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btm/Desktop/"/>
    </mc:Choice>
  </mc:AlternateContent>
  <xr:revisionPtr revIDLastSave="0" documentId="13_ncr:1_{A5CDD2A7-B52E-C148-A1C3-C9D2711F39B4}" xr6:coauthVersionLast="47" xr6:coauthVersionMax="47" xr10:uidLastSave="{00000000-0000-0000-0000-000000000000}"/>
  <bookViews>
    <workbookView xWindow="0" yWindow="660" windowWidth="29400" windowHeight="18460" firstSheet="5" activeTab="15" xr2:uid="{D82E7092-1A4C-0041-9612-C431AA3B912B}"/>
  </bookViews>
  <sheets>
    <sheet name="Nodes" sheetId="2" r:id="rId1"/>
    <sheet name="Demand Stage 1" sheetId="13" r:id="rId2"/>
    <sheet name="Demand Stage 2" sheetId="5" r:id="rId3"/>
    <sheet name="Demand Stage 3" sheetId="20" r:id="rId4"/>
    <sheet name="Demand Stage 3 Old" sheetId="9" r:id="rId5"/>
    <sheet name="SalesPriceGasMix" sheetId="11" r:id="rId6"/>
    <sheet name="SalesPricePureHydrogen" sheetId="12" r:id="rId7"/>
    <sheet name="Parameters" sheetId="8" r:id="rId8"/>
    <sheet name="Arcs" sheetId="1" r:id="rId9"/>
    <sheet name="Traders" sheetId="3" r:id="rId10"/>
    <sheet name="TraderPercentages" sheetId="16" r:id="rId11"/>
    <sheet name="Commodities" sheetId="4" r:id="rId12"/>
    <sheet name="Probabilities" sheetId="14" r:id="rId13"/>
    <sheet name="HydrogenUncertainty" sheetId="18" r:id="rId14"/>
    <sheet name="ProductionCapacities" sheetId="15" r:id="rId15"/>
    <sheet name="Extra" sheetId="17" r:id="rId16"/>
    <sheet name="OverwiewSecondStage" sheetId="19" r:id="rId17"/>
  </sheets>
  <definedNames>
    <definedName name="_xlnm._FilterDatabase" localSheetId="8" hidden="1">Arcs!$A$1:$O$54</definedName>
    <definedName name="_xlnm._FilterDatabase" localSheetId="0" hidden="1">Nodes!$A$2:$AI$61</definedName>
    <definedName name="_xlnm._FilterDatabase" localSheetId="14" hidden="1">ProductionCapacities!$A$1:$H$51</definedName>
    <definedName name="solver_adj" localSheetId="10" hidden="1">TraderPercentages!$B$2:$L$9</definedName>
    <definedName name="solver_cvg" localSheetId="10" hidden="1">0.0001</definedName>
    <definedName name="solver_drv" localSheetId="10" hidden="1">1</definedName>
    <definedName name="solver_eng" localSheetId="10" hidden="1">1</definedName>
    <definedName name="solver_itr" localSheetId="10" hidden="1">2147483647</definedName>
    <definedName name="solver_lhs1" localSheetId="10" hidden="1">TraderPercentages!$D$2:$D$4</definedName>
    <definedName name="solver_lhs2" localSheetId="10" hidden="1">TraderPercentages!$D$6:$D$9</definedName>
    <definedName name="solver_lhs3" localSheetId="10" hidden="1">TraderPercentages!$O$2:$O$9</definedName>
    <definedName name="solver_lin" localSheetId="10" hidden="1">2</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3</definedName>
    <definedName name="solver_opt" localSheetId="10" hidden="1">TraderPercentages!$O$10</definedName>
    <definedName name="solver_pre" localSheetId="10" hidden="1">0.000001</definedName>
    <definedName name="solver_rbv" localSheetId="10" hidden="1">1</definedName>
    <definedName name="solver_rel1" localSheetId="10" hidden="1">2</definedName>
    <definedName name="solver_rel2" localSheetId="10" hidden="1">2</definedName>
    <definedName name="solver_rel3" localSheetId="10" hidden="1">1</definedName>
    <definedName name="solver_rhs1" localSheetId="10" hidden="1">0</definedName>
    <definedName name="solver_rhs2" localSheetId="10" hidden="1">0</definedName>
    <definedName name="solver_rhs3" localSheetId="10" hidden="1">TraderPercentages!$N$2:$N$9</definedName>
    <definedName name="solver_rlx" localSheetId="10" hidden="1">1</definedName>
    <definedName name="solver_rsd" localSheetId="10" hidden="1">0</definedName>
    <definedName name="solver_scl" localSheetId="10" hidden="1">2</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1</definedName>
    <definedName name="solver_val" localSheetId="10" hidden="1">0</definedName>
    <definedName name="solver_ver" localSheetId="1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3" i="19" l="1"/>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2" i="19"/>
  <c r="K3" i="19" a="1"/>
  <c r="K3" i="19" s="1"/>
  <c r="K4" i="19" a="1"/>
  <c r="K4" i="19" s="1"/>
  <c r="K5" i="19" a="1"/>
  <c r="K5" i="19" s="1"/>
  <c r="K6" i="19" a="1"/>
  <c r="K6" i="19" s="1"/>
  <c r="K7" i="19" a="1"/>
  <c r="K7" i="19"/>
  <c r="K8" i="19" a="1"/>
  <c r="K8" i="19" s="1"/>
  <c r="K9" i="19" a="1"/>
  <c r="K9" i="19" s="1"/>
  <c r="K10" i="19" a="1"/>
  <c r="K10" i="19" s="1"/>
  <c r="K11" i="19" a="1"/>
  <c r="K11" i="19"/>
  <c r="K12" i="19" a="1"/>
  <c r="K12" i="19"/>
  <c r="K13" i="19" a="1"/>
  <c r="K13" i="19" s="1"/>
  <c r="K14" i="19" a="1"/>
  <c r="K14" i="19" s="1"/>
  <c r="K15" i="19" a="1"/>
  <c r="K15" i="19" s="1"/>
  <c r="K16" i="19" a="1"/>
  <c r="K16" i="19"/>
  <c r="K17" i="19" a="1"/>
  <c r="K17" i="19"/>
  <c r="K18" i="19" a="1"/>
  <c r="K18" i="19" s="1"/>
  <c r="K19" i="19" a="1"/>
  <c r="K19" i="19" s="1"/>
  <c r="K20" i="19" a="1"/>
  <c r="K20" i="19" s="1"/>
  <c r="K21" i="19" a="1"/>
  <c r="K21" i="19"/>
  <c r="K22" i="19" a="1"/>
  <c r="K22" i="19"/>
  <c r="K23" i="19" a="1"/>
  <c r="K23" i="19" s="1"/>
  <c r="K24" i="19" a="1"/>
  <c r="K24" i="19" s="1"/>
  <c r="K25" i="19" a="1"/>
  <c r="K25" i="19" s="1"/>
  <c r="K26" i="19" a="1"/>
  <c r="K26" i="19"/>
  <c r="K27" i="19" a="1"/>
  <c r="K27" i="19"/>
  <c r="K28" i="19" a="1"/>
  <c r="K28" i="19" s="1"/>
  <c r="K29" i="19" a="1"/>
  <c r="K29" i="19" s="1"/>
  <c r="K30" i="19" a="1"/>
  <c r="K30" i="19" s="1"/>
  <c r="K31" i="19" a="1"/>
  <c r="K31" i="19"/>
  <c r="K32" i="19" a="1"/>
  <c r="K32" i="19"/>
  <c r="K33" i="19" a="1"/>
  <c r="K33" i="19" s="1"/>
  <c r="K2" i="19" a="1"/>
  <c r="K2" i="19" s="1"/>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2" i="19"/>
  <c r="H3" i="19"/>
  <c r="H5" i="19"/>
  <c r="H7" i="19"/>
  <c r="H9" i="19"/>
  <c r="H11" i="19"/>
  <c r="H13" i="19"/>
  <c r="H15" i="19"/>
  <c r="H17" i="19"/>
  <c r="H18" i="19"/>
  <c r="H19" i="19"/>
  <c r="H20" i="19"/>
  <c r="H21" i="19"/>
  <c r="H22" i="19"/>
  <c r="H23" i="19"/>
  <c r="H24" i="19"/>
  <c r="H25" i="19"/>
  <c r="H26" i="19"/>
  <c r="H27" i="19"/>
  <c r="H28" i="19"/>
  <c r="H29" i="19"/>
  <c r="H30" i="19"/>
  <c r="H31" i="19"/>
  <c r="H32" i="19"/>
  <c r="H33" i="19"/>
  <c r="QV2" i="5"/>
  <c r="RR2" i="5"/>
  <c r="SN2" i="5"/>
  <c r="TJ2" i="5"/>
  <c r="J47" i="2"/>
  <c r="B9" i="8"/>
  <c r="XP2" i="5"/>
  <c r="YL2" i="5"/>
  <c r="ZH2" i="5"/>
  <c r="J44" i="5"/>
  <c r="J45" i="5"/>
  <c r="J46" i="5"/>
  <c r="J47" i="5"/>
  <c r="J48" i="5"/>
  <c r="J49" i="5"/>
  <c r="J50" i="5"/>
  <c r="J43" i="5"/>
  <c r="I44" i="5"/>
  <c r="I45" i="5"/>
  <c r="I46" i="5"/>
  <c r="I47" i="5"/>
  <c r="I48" i="5"/>
  <c r="I49" i="5"/>
  <c r="I50" i="5"/>
  <c r="I43" i="5"/>
  <c r="X2" i="20"/>
  <c r="AT2" i="20"/>
  <c r="BP2" i="20"/>
  <c r="CL2" i="20"/>
  <c r="DH2" i="20"/>
  <c r="ED2" i="20"/>
  <c r="EZ2" i="20"/>
  <c r="FV2" i="20"/>
  <c r="GR2" i="20"/>
  <c r="HN2" i="20"/>
  <c r="IJ2" i="20"/>
  <c r="JF2" i="20"/>
  <c r="KB2" i="20"/>
  <c r="KX2" i="20"/>
  <c r="LT2" i="20"/>
  <c r="MP2" i="20"/>
  <c r="NL2" i="20"/>
  <c r="OH2" i="20"/>
  <c r="PD2" i="20"/>
  <c r="PZ2" i="20"/>
  <c r="QV2" i="20"/>
  <c r="TJ2" i="20"/>
  <c r="UF2" i="20"/>
  <c r="VB2" i="20"/>
  <c r="VX2" i="20"/>
  <c r="WT2" i="20"/>
  <c r="XP2" i="20"/>
  <c r="ZH2" i="20"/>
  <c r="AAD2" i="20"/>
  <c r="AAZ2" i="20"/>
  <c r="ABV2" i="20"/>
  <c r="ACR2" i="20"/>
  <c r="ADN2" i="20"/>
  <c r="AEJ2" i="20"/>
  <c r="AFF2" i="20"/>
  <c r="AGB2" i="20"/>
  <c r="AGX2" i="20"/>
  <c r="AHT2" i="20"/>
  <c r="AIP2" i="20"/>
  <c r="AJL2" i="20"/>
  <c r="AKH2" i="20"/>
  <c r="ALD2" i="20"/>
  <c r="ALZ2" i="20"/>
  <c r="AMV2" i="20"/>
  <c r="ANR2" i="20"/>
  <c r="AON2" i="20"/>
  <c r="APJ2" i="20"/>
  <c r="AQF2" i="20"/>
  <c r="ARB2" i="20"/>
  <c r="ARX2" i="20"/>
  <c r="ATP2" i="20"/>
  <c r="AUL2" i="20"/>
  <c r="AVH2" i="20"/>
  <c r="AWD2" i="20"/>
  <c r="AWZ2" i="20"/>
  <c r="AXV2" i="20"/>
  <c r="AYR2" i="20"/>
  <c r="AZN2" i="20"/>
  <c r="BAJ2" i="20"/>
  <c r="BBF2" i="20"/>
  <c r="BCB2" i="20"/>
  <c r="BCX2" i="20"/>
  <c r="BDT2" i="20"/>
  <c r="BEP2" i="20"/>
  <c r="BFL2" i="20"/>
  <c r="BGH2" i="20"/>
  <c r="BHD2" i="20"/>
  <c r="BHZ2" i="20"/>
  <c r="BIV2" i="20"/>
  <c r="BJR2" i="20"/>
  <c r="BKN2" i="20"/>
  <c r="BLJ2" i="20"/>
  <c r="BMF2" i="20"/>
  <c r="BNB2" i="20"/>
  <c r="BNX2" i="20"/>
  <c r="BOT2" i="20"/>
  <c r="BPP2" i="20"/>
  <c r="BQL2" i="20"/>
  <c r="BRH2" i="20"/>
  <c r="BSD2" i="20"/>
  <c r="BSZ2" i="20"/>
  <c r="BTV2" i="20"/>
  <c r="BUR2" i="20"/>
  <c r="BVN2" i="20"/>
  <c r="BWJ2" i="20"/>
  <c r="BXF2" i="20"/>
  <c r="BYB2" i="20"/>
  <c r="BYX2" i="20"/>
  <c r="BZT2" i="20"/>
  <c r="CAP2" i="20"/>
  <c r="CBL2" i="20"/>
  <c r="CCH2" i="20"/>
  <c r="CDD2" i="20"/>
  <c r="CDZ2" i="20"/>
  <c r="CEV2" i="20"/>
  <c r="CFR2" i="20"/>
  <c r="CGN2" i="20"/>
  <c r="CHJ2" i="20"/>
  <c r="CIF2" i="20"/>
  <c r="CJB2" i="20"/>
  <c r="CJX2" i="20"/>
  <c r="CKT2" i="20"/>
  <c r="CLP2" i="20"/>
  <c r="CML2" i="20"/>
  <c r="CNH2" i="20"/>
  <c r="COD2" i="20"/>
  <c r="COZ2" i="20"/>
  <c r="CPV2" i="20"/>
  <c r="CQR2" i="20"/>
  <c r="CRN2" i="20"/>
  <c r="CSJ2" i="20"/>
  <c r="CTF2" i="20"/>
  <c r="CUB2" i="20"/>
  <c r="CUX2" i="20"/>
  <c r="CVT2" i="20"/>
  <c r="CWP2" i="20"/>
  <c r="CXL2" i="20"/>
  <c r="CYH2" i="20"/>
  <c r="CZD2" i="20"/>
  <c r="CZZ2" i="20"/>
  <c r="DAV2" i="20"/>
  <c r="DBR2" i="20"/>
  <c r="DCN2" i="20"/>
  <c r="B2" i="20"/>
  <c r="WT2" i="5"/>
  <c r="VX2" i="5"/>
  <c r="VB2" i="5"/>
  <c r="UF2" i="5"/>
  <c r="PZ2" i="5"/>
  <c r="PD2" i="5"/>
  <c r="OH2" i="5"/>
  <c r="NL2" i="5"/>
  <c r="MP2" i="5"/>
  <c r="LT2" i="5"/>
  <c r="KX2" i="5"/>
  <c r="KB2" i="5"/>
  <c r="JF2" i="5"/>
  <c r="IJ2" i="5"/>
  <c r="HN2" i="5"/>
  <c r="GR2" i="5"/>
  <c r="FV2" i="5"/>
  <c r="EZ2" i="5"/>
  <c r="ED2" i="5"/>
  <c r="DH2" i="5"/>
  <c r="CL2" i="5"/>
  <c r="BP2" i="5"/>
  <c r="AT2" i="5"/>
  <c r="X2" i="5"/>
  <c r="B2" i="5"/>
  <c r="F47" i="5"/>
  <c r="G47" i="5"/>
  <c r="H47" i="5"/>
  <c r="L44" i="5"/>
  <c r="L45" i="5"/>
  <c r="L46" i="5"/>
  <c r="L47" i="5"/>
  <c r="L48" i="5"/>
  <c r="L49" i="5"/>
  <c r="L50" i="5"/>
  <c r="L43" i="5"/>
  <c r="K50" i="5"/>
  <c r="K49" i="5"/>
  <c r="K48" i="5"/>
  <c r="K47" i="5"/>
  <c r="K44" i="5"/>
  <c r="K45" i="5"/>
  <c r="K46" i="5"/>
  <c r="K43" i="5"/>
  <c r="F48" i="5"/>
  <c r="G48" i="5"/>
  <c r="H48" i="5"/>
  <c r="F49" i="5"/>
  <c r="G49" i="5"/>
  <c r="H49" i="5"/>
  <c r="F50" i="5"/>
  <c r="G50" i="5"/>
  <c r="H50" i="5"/>
  <c r="E50" i="5"/>
  <c r="E49" i="5"/>
  <c r="E48" i="5"/>
  <c r="E47" i="5"/>
  <c r="E44" i="5"/>
  <c r="F44" i="5"/>
  <c r="G44" i="5"/>
  <c r="H44" i="5"/>
  <c r="E45" i="5"/>
  <c r="F45" i="5"/>
  <c r="G45" i="5"/>
  <c r="H45" i="5"/>
  <c r="E46" i="5"/>
  <c r="F46" i="5"/>
  <c r="G46" i="5"/>
  <c r="H46" i="5"/>
  <c r="F43" i="5"/>
  <c r="G43" i="5"/>
  <c r="H43" i="5"/>
  <c r="E43" i="5"/>
  <c r="B44" i="5"/>
  <c r="C44" i="5"/>
  <c r="D44" i="5"/>
  <c r="B45" i="5"/>
  <c r="C45" i="5"/>
  <c r="D45" i="5"/>
  <c r="B46" i="5"/>
  <c r="C46" i="5"/>
  <c r="D46" i="5"/>
  <c r="B47" i="5"/>
  <c r="C47" i="5"/>
  <c r="D47" i="5"/>
  <c r="B48" i="5"/>
  <c r="C48" i="5"/>
  <c r="D48" i="5"/>
  <c r="B49" i="5"/>
  <c r="C49" i="5"/>
  <c r="D49" i="5"/>
  <c r="B50" i="5"/>
  <c r="C50" i="5"/>
  <c r="D50" i="5"/>
  <c r="C43" i="5"/>
  <c r="D43" i="5"/>
  <c r="B43" i="5"/>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3" i="2"/>
  <c r="J10" i="2"/>
  <c r="J4" i="2"/>
  <c r="J5" i="2"/>
  <c r="J6" i="2"/>
  <c r="J7" i="2"/>
  <c r="J8" i="2"/>
  <c r="J9"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8" i="2"/>
  <c r="J49" i="2"/>
  <c r="J50" i="2"/>
  <c r="J51" i="2"/>
  <c r="J52" i="2"/>
  <c r="J53" i="2"/>
  <c r="J54" i="2"/>
  <c r="J55" i="2"/>
  <c r="J56" i="2"/>
  <c r="J57" i="2"/>
  <c r="J58" i="2"/>
  <c r="J59" i="2"/>
  <c r="J60" i="2"/>
  <c r="J61" i="2"/>
  <c r="J62" i="2"/>
  <c r="J63" i="2"/>
  <c r="J64" i="2"/>
  <c r="J65" i="2"/>
  <c r="J66" i="2"/>
  <c r="J67" i="2"/>
  <c r="J3"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2" i="1"/>
  <c r="E4" i="16"/>
  <c r="I10" i="16"/>
  <c r="G5" i="16"/>
  <c r="G10" i="16" s="1"/>
  <c r="E5" i="16"/>
  <c r="E10" i="16" s="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3" i="2"/>
  <c r="F5" i="16"/>
  <c r="B2" i="16"/>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I9" i="13"/>
  <c r="SN2" i="20" l="1"/>
  <c r="AST2" i="20"/>
  <c r="YL2" i="20"/>
  <c r="RR2" i="20"/>
  <c r="W4" i="13"/>
  <c r="V4" i="13"/>
  <c r="O4" i="13"/>
  <c r="N4" i="13"/>
  <c r="M4" i="13"/>
  <c r="P46" i="5"/>
  <c r="B6" i="13"/>
  <c r="C6" i="13"/>
  <c r="D6" i="13"/>
  <c r="E6" i="13"/>
  <c r="F6" i="13"/>
  <c r="G6" i="13"/>
  <c r="H6" i="13"/>
  <c r="I6" i="13"/>
  <c r="J6" i="13"/>
  <c r="K6" i="13"/>
  <c r="L6" i="13"/>
  <c r="B7" i="13"/>
  <c r="C7" i="13"/>
  <c r="D7" i="13"/>
  <c r="E7" i="13"/>
  <c r="F7" i="13"/>
  <c r="G7" i="13"/>
  <c r="H7" i="13"/>
  <c r="I7" i="13"/>
  <c r="J7" i="13"/>
  <c r="K7" i="13"/>
  <c r="L7" i="13"/>
  <c r="B8" i="13"/>
  <c r="C8" i="13"/>
  <c r="D8" i="13"/>
  <c r="E8" i="13"/>
  <c r="F8" i="13"/>
  <c r="G8" i="13"/>
  <c r="H8" i="13"/>
  <c r="I8" i="13"/>
  <c r="J8" i="13"/>
  <c r="K8" i="13"/>
  <c r="L8" i="13"/>
  <c r="B9" i="13"/>
  <c r="C9" i="13"/>
  <c r="D9" i="13"/>
  <c r="E9" i="13"/>
  <c r="F9" i="13"/>
  <c r="G9" i="13"/>
  <c r="H9" i="13"/>
  <c r="J9" i="13"/>
  <c r="K9" i="13"/>
  <c r="L9" i="13"/>
  <c r="B10" i="13"/>
  <c r="C10" i="13"/>
  <c r="D10" i="13"/>
  <c r="E10" i="13"/>
  <c r="F10" i="13"/>
  <c r="G10" i="13"/>
  <c r="H10" i="13"/>
  <c r="I10" i="13"/>
  <c r="J10" i="13"/>
  <c r="K10" i="13"/>
  <c r="L10" i="13"/>
  <c r="B11" i="13"/>
  <c r="C11" i="13"/>
  <c r="D11" i="13"/>
  <c r="E11" i="13"/>
  <c r="F11" i="13"/>
  <c r="G11" i="13"/>
  <c r="H11" i="13"/>
  <c r="I11" i="13"/>
  <c r="J11" i="13"/>
  <c r="K11" i="13"/>
  <c r="L11" i="13"/>
  <c r="B12" i="13"/>
  <c r="C12" i="13"/>
  <c r="D12" i="13"/>
  <c r="E12" i="13"/>
  <c r="F12" i="13"/>
  <c r="G12" i="13"/>
  <c r="H12" i="13"/>
  <c r="I12" i="13"/>
  <c r="J12" i="13"/>
  <c r="K12" i="13"/>
  <c r="L12" i="13"/>
  <c r="C5" i="13"/>
  <c r="D5" i="13"/>
  <c r="E5" i="13"/>
  <c r="F5" i="13"/>
  <c r="G5" i="13"/>
  <c r="H5" i="13"/>
  <c r="I5" i="13"/>
  <c r="J5" i="13"/>
  <c r="K5" i="13"/>
  <c r="L5" i="13"/>
  <c r="R4" i="2"/>
  <c r="S4" i="2"/>
  <c r="T4" i="2"/>
  <c r="U4" i="2"/>
  <c r="R5" i="2"/>
  <c r="S5" i="2"/>
  <c r="T5" i="2"/>
  <c r="U5" i="2"/>
  <c r="R6" i="2"/>
  <c r="S6" i="2"/>
  <c r="T6" i="2"/>
  <c r="U6" i="2"/>
  <c r="R7" i="2"/>
  <c r="S7" i="2"/>
  <c r="T7" i="2"/>
  <c r="U7" i="2"/>
  <c r="R8" i="2"/>
  <c r="S8" i="2"/>
  <c r="T8" i="2"/>
  <c r="U8" i="2"/>
  <c r="R9" i="2"/>
  <c r="S9" i="2"/>
  <c r="T9" i="2"/>
  <c r="U9" i="2"/>
  <c r="R10" i="2"/>
  <c r="S10" i="2"/>
  <c r="T10" i="2"/>
  <c r="U10" i="2"/>
  <c r="R11" i="2"/>
  <c r="S11" i="2"/>
  <c r="T11" i="2"/>
  <c r="U11" i="2"/>
  <c r="R12" i="2"/>
  <c r="S12" i="2"/>
  <c r="T12" i="2"/>
  <c r="U12" i="2"/>
  <c r="R13" i="2"/>
  <c r="S13" i="2"/>
  <c r="T13" i="2"/>
  <c r="U13" i="2"/>
  <c r="R14" i="2"/>
  <c r="S14" i="2"/>
  <c r="T14" i="2"/>
  <c r="U14" i="2"/>
  <c r="R15" i="2"/>
  <c r="S15" i="2"/>
  <c r="T15" i="2"/>
  <c r="U15" i="2"/>
  <c r="R16" i="2"/>
  <c r="S16" i="2"/>
  <c r="T16" i="2"/>
  <c r="U16" i="2"/>
  <c r="R17" i="2"/>
  <c r="S17" i="2"/>
  <c r="T17" i="2"/>
  <c r="U17" i="2"/>
  <c r="R18" i="2"/>
  <c r="S18" i="2"/>
  <c r="T18" i="2"/>
  <c r="U18" i="2"/>
  <c r="R19" i="2"/>
  <c r="S19" i="2"/>
  <c r="T19" i="2"/>
  <c r="U19" i="2"/>
  <c r="R20" i="2"/>
  <c r="S20" i="2"/>
  <c r="T20" i="2"/>
  <c r="U20" i="2"/>
  <c r="R21" i="2"/>
  <c r="S21" i="2"/>
  <c r="T21" i="2"/>
  <c r="U21" i="2"/>
  <c r="R22" i="2"/>
  <c r="S22" i="2"/>
  <c r="T22" i="2"/>
  <c r="U22" i="2"/>
  <c r="R23" i="2"/>
  <c r="S23" i="2"/>
  <c r="T23" i="2"/>
  <c r="U23" i="2"/>
  <c r="R24" i="2"/>
  <c r="S24" i="2"/>
  <c r="T24" i="2"/>
  <c r="U24" i="2"/>
  <c r="R25" i="2"/>
  <c r="S25" i="2"/>
  <c r="T25" i="2"/>
  <c r="U25" i="2"/>
  <c r="R26" i="2"/>
  <c r="S26" i="2"/>
  <c r="T26" i="2"/>
  <c r="U26" i="2"/>
  <c r="R27" i="2"/>
  <c r="S27" i="2"/>
  <c r="T27" i="2"/>
  <c r="U27" i="2"/>
  <c r="R28" i="2"/>
  <c r="S28" i="2"/>
  <c r="T28" i="2"/>
  <c r="U28" i="2"/>
  <c r="R29" i="2"/>
  <c r="S29" i="2"/>
  <c r="T29" i="2"/>
  <c r="U29" i="2"/>
  <c r="R30" i="2"/>
  <c r="S30" i="2"/>
  <c r="T30" i="2"/>
  <c r="U30" i="2"/>
  <c r="R31" i="2"/>
  <c r="S31" i="2"/>
  <c r="T31" i="2"/>
  <c r="U31" i="2"/>
  <c r="R32" i="2"/>
  <c r="S32" i="2"/>
  <c r="T32" i="2"/>
  <c r="U32" i="2"/>
  <c r="R33" i="2"/>
  <c r="S33" i="2"/>
  <c r="T33" i="2"/>
  <c r="U33" i="2"/>
  <c r="R34" i="2"/>
  <c r="S34" i="2"/>
  <c r="T34" i="2"/>
  <c r="U34" i="2"/>
  <c r="R35" i="2"/>
  <c r="S35" i="2"/>
  <c r="T35" i="2"/>
  <c r="U35" i="2"/>
  <c r="R36" i="2"/>
  <c r="S36" i="2"/>
  <c r="T36" i="2"/>
  <c r="U36" i="2"/>
  <c r="R37" i="2"/>
  <c r="S37" i="2"/>
  <c r="T37" i="2"/>
  <c r="U37" i="2"/>
  <c r="R38" i="2"/>
  <c r="S38" i="2"/>
  <c r="T38" i="2"/>
  <c r="U38" i="2"/>
  <c r="R39" i="2"/>
  <c r="S39" i="2"/>
  <c r="T39" i="2"/>
  <c r="U39" i="2"/>
  <c r="R40" i="2"/>
  <c r="S40" i="2"/>
  <c r="T40" i="2"/>
  <c r="U40" i="2"/>
  <c r="R41" i="2"/>
  <c r="S41" i="2"/>
  <c r="T41" i="2"/>
  <c r="U41" i="2"/>
  <c r="R42" i="2"/>
  <c r="S42" i="2"/>
  <c r="T42" i="2"/>
  <c r="U42" i="2"/>
  <c r="R43" i="2"/>
  <c r="S43" i="2"/>
  <c r="T43" i="2"/>
  <c r="U43" i="2"/>
  <c r="R44" i="2"/>
  <c r="S44" i="2"/>
  <c r="T44" i="2"/>
  <c r="U44" i="2"/>
  <c r="R45" i="2"/>
  <c r="S45" i="2"/>
  <c r="T45" i="2"/>
  <c r="U45" i="2"/>
  <c r="R46" i="2"/>
  <c r="S46" i="2"/>
  <c r="T46" i="2"/>
  <c r="U46" i="2"/>
  <c r="R47" i="2"/>
  <c r="S47" i="2"/>
  <c r="T47" i="2"/>
  <c r="U47" i="2"/>
  <c r="R48" i="2"/>
  <c r="S48" i="2"/>
  <c r="T48" i="2"/>
  <c r="U48" i="2"/>
  <c r="R49" i="2"/>
  <c r="S49" i="2"/>
  <c r="T49" i="2"/>
  <c r="U49" i="2"/>
  <c r="R50" i="2"/>
  <c r="S50" i="2"/>
  <c r="T50" i="2"/>
  <c r="U50" i="2"/>
  <c r="R51" i="2"/>
  <c r="S51" i="2"/>
  <c r="T51" i="2"/>
  <c r="U51" i="2"/>
  <c r="R52" i="2"/>
  <c r="S52" i="2"/>
  <c r="T52" i="2"/>
  <c r="U52" i="2"/>
  <c r="R53" i="2"/>
  <c r="S53" i="2"/>
  <c r="T53" i="2"/>
  <c r="U53" i="2"/>
  <c r="R54" i="2"/>
  <c r="S54" i="2"/>
  <c r="T54" i="2"/>
  <c r="U54" i="2"/>
  <c r="R55" i="2"/>
  <c r="S55" i="2"/>
  <c r="T55" i="2"/>
  <c r="U55" i="2"/>
  <c r="R56" i="2"/>
  <c r="S56" i="2"/>
  <c r="T56" i="2"/>
  <c r="U56" i="2"/>
  <c r="R57" i="2"/>
  <c r="S57" i="2"/>
  <c r="T57" i="2"/>
  <c r="U57" i="2"/>
  <c r="R58" i="2"/>
  <c r="S58" i="2"/>
  <c r="T58" i="2"/>
  <c r="U58" i="2"/>
  <c r="R59" i="2"/>
  <c r="S59" i="2"/>
  <c r="T59" i="2"/>
  <c r="U59" i="2"/>
  <c r="R60" i="2"/>
  <c r="S60" i="2"/>
  <c r="T60" i="2"/>
  <c r="U60" i="2"/>
  <c r="R61" i="2"/>
  <c r="S61" i="2"/>
  <c r="T61" i="2"/>
  <c r="U61" i="2"/>
  <c r="R62" i="2"/>
  <c r="S62" i="2"/>
  <c r="T62" i="2"/>
  <c r="U62" i="2"/>
  <c r="R63" i="2"/>
  <c r="S63" i="2"/>
  <c r="T63" i="2"/>
  <c r="U63" i="2"/>
  <c r="R64" i="2"/>
  <c r="S64" i="2"/>
  <c r="T64" i="2"/>
  <c r="U64" i="2"/>
  <c r="R65" i="2"/>
  <c r="S65" i="2"/>
  <c r="T65" i="2"/>
  <c r="U65" i="2"/>
  <c r="R66" i="2"/>
  <c r="S66" i="2"/>
  <c r="T66" i="2"/>
  <c r="U66" i="2"/>
  <c r="R67" i="2"/>
  <c r="S67" i="2"/>
  <c r="T67" i="2"/>
  <c r="U67" i="2"/>
  <c r="U3" i="2"/>
  <c r="T3" i="2"/>
  <c r="S3" i="2"/>
  <c r="R3" i="2"/>
  <c r="ZR12" i="5"/>
  <c r="ZQ12" i="5"/>
  <c r="ZJ12" i="5"/>
  <c r="ZI12" i="5"/>
  <c r="ZH12" i="5"/>
  <c r="ZH13" i="20" s="1"/>
  <c r="BAJ13" i="20" s="1"/>
  <c r="CBL13" i="20" s="1"/>
  <c r="DCN13" i="20" s="1"/>
  <c r="ZR11" i="5"/>
  <c r="ZR12" i="20" s="1"/>
  <c r="BAT12" i="20" s="1"/>
  <c r="CBV12" i="20" s="1"/>
  <c r="DCX12" i="20" s="1"/>
  <c r="ZQ11" i="5"/>
  <c r="ZP11" i="5"/>
  <c r="ZP12" i="20" s="1"/>
  <c r="BAR12" i="20" s="1"/>
  <c r="CBT12" i="20" s="1"/>
  <c r="DCV12" i="20" s="1"/>
  <c r="ZO11" i="5"/>
  <c r="ZN11" i="5"/>
  <c r="ZM11" i="5"/>
  <c r="ZL11" i="5"/>
  <c r="ZK11" i="5"/>
  <c r="ZK12" i="20" s="1"/>
  <c r="BAM12" i="20" s="1"/>
  <c r="CBO12" i="20" s="1"/>
  <c r="DCQ12" i="20" s="1"/>
  <c r="ZJ11" i="5"/>
  <c r="ZJ12" i="20" s="1"/>
  <c r="BAL12" i="20" s="1"/>
  <c r="CBN12" i="20" s="1"/>
  <c r="DCP12" i="20" s="1"/>
  <c r="ZI11" i="5"/>
  <c r="ZH11" i="5"/>
  <c r="ZR10" i="5"/>
  <c r="ZQ10" i="5"/>
  <c r="ZP10" i="5"/>
  <c r="ZO10" i="5"/>
  <c r="ZN10" i="5"/>
  <c r="ZM10" i="5"/>
  <c r="ZL10" i="5"/>
  <c r="ZK10" i="5"/>
  <c r="ZK11" i="20" s="1"/>
  <c r="BAM11" i="20" s="1"/>
  <c r="CBO11" i="20" s="1"/>
  <c r="DCQ11" i="20" s="1"/>
  <c r="ZJ10" i="5"/>
  <c r="ZJ11" i="20" s="1"/>
  <c r="BAL11" i="20" s="1"/>
  <c r="CBN11" i="20" s="1"/>
  <c r="DCP11" i="20" s="1"/>
  <c r="ZI10" i="5"/>
  <c r="ZH10" i="5"/>
  <c r="ZR9" i="5"/>
  <c r="ZQ9" i="5"/>
  <c r="ZJ9" i="5"/>
  <c r="ZI9" i="5"/>
  <c r="ZH9" i="5"/>
  <c r="ZH10" i="20" s="1"/>
  <c r="BAJ10" i="20" s="1"/>
  <c r="CBL10" i="20" s="1"/>
  <c r="DCN10" i="20" s="1"/>
  <c r="ZR8" i="5"/>
  <c r="ZQ8" i="5"/>
  <c r="ZP8" i="5"/>
  <c r="ZO8" i="5"/>
  <c r="ZN8" i="5"/>
  <c r="ZN9" i="20" s="1"/>
  <c r="BAP9" i="20" s="1"/>
  <c r="CBR9" i="20" s="1"/>
  <c r="DCT9" i="20" s="1"/>
  <c r="ZM8" i="5"/>
  <c r="ZL8" i="5"/>
  <c r="ZL9" i="20" s="1"/>
  <c r="BAN9" i="20" s="1"/>
  <c r="CBP9" i="20" s="1"/>
  <c r="DCR9" i="20" s="1"/>
  <c r="ZK8" i="5"/>
  <c r="ZK9" i="20" s="1"/>
  <c r="BAM9" i="20" s="1"/>
  <c r="CBO9" i="20" s="1"/>
  <c r="DCQ9" i="20" s="1"/>
  <c r="ZJ8" i="5"/>
  <c r="ZJ9" i="20" s="1"/>
  <c r="BAL9" i="20" s="1"/>
  <c r="CBN9" i="20" s="1"/>
  <c r="DCP9" i="20" s="1"/>
  <c r="ZI8" i="5"/>
  <c r="ZH8" i="5"/>
  <c r="ZR7" i="5"/>
  <c r="ZQ7" i="5"/>
  <c r="ZP7" i="5"/>
  <c r="ZO7" i="5"/>
  <c r="ZO8" i="20" s="1"/>
  <c r="BAQ8" i="20" s="1"/>
  <c r="CBS8" i="20" s="1"/>
  <c r="DCU8" i="20" s="1"/>
  <c r="ZN7" i="5"/>
  <c r="ZM7" i="5"/>
  <c r="ZL7" i="5"/>
  <c r="ZK7" i="5"/>
  <c r="ZJ7" i="5"/>
  <c r="ZI7" i="5"/>
  <c r="ZH7" i="5"/>
  <c r="ZH8" i="20" s="1"/>
  <c r="BAJ8" i="20" s="1"/>
  <c r="CBL8" i="20" s="1"/>
  <c r="DCN8" i="20" s="1"/>
  <c r="ZR6" i="5"/>
  <c r="ZR7" i="20" s="1"/>
  <c r="BAT7" i="20" s="1"/>
  <c r="CBV7" i="20" s="1"/>
  <c r="DCX7" i="20" s="1"/>
  <c r="ZQ6" i="5"/>
  <c r="ZQ7" i="20" s="1"/>
  <c r="BAS7" i="20" s="1"/>
  <c r="CBU7" i="20" s="1"/>
  <c r="DCW7" i="20" s="1"/>
  <c r="ZP6" i="5"/>
  <c r="ZO6" i="5"/>
  <c r="ZN6" i="5"/>
  <c r="ZM6" i="5"/>
  <c r="ZL6" i="5"/>
  <c r="ZL7" i="20" s="1"/>
  <c r="BAN7" i="20" s="1"/>
  <c r="CBP7" i="20" s="1"/>
  <c r="DCR7" i="20" s="1"/>
  <c r="ZK6" i="5"/>
  <c r="ZK7" i="20" s="1"/>
  <c r="BAM7" i="20" s="1"/>
  <c r="CBO7" i="20" s="1"/>
  <c r="DCQ7" i="20" s="1"/>
  <c r="ZJ6" i="5"/>
  <c r="ZI6" i="5"/>
  <c r="ZI7" i="20" s="1"/>
  <c r="BAK7" i="20" s="1"/>
  <c r="CBM7" i="20" s="1"/>
  <c r="DCO7" i="20" s="1"/>
  <c r="ZH6" i="5"/>
  <c r="ZR5" i="5"/>
  <c r="ZQ5" i="5"/>
  <c r="ZP5" i="5"/>
  <c r="ZP6" i="20" s="1"/>
  <c r="BAR6" i="20" s="1"/>
  <c r="CBT6" i="20" s="1"/>
  <c r="DCV6" i="20" s="1"/>
  <c r="ZO5" i="5"/>
  <c r="ZN5" i="5"/>
  <c r="ZM5" i="5"/>
  <c r="ZL5" i="5"/>
  <c r="ZL6" i="20" s="1"/>
  <c r="BAN6" i="20" s="1"/>
  <c r="CBP6" i="20" s="1"/>
  <c r="DCR6" i="20" s="1"/>
  <c r="ZK5" i="5"/>
  <c r="ZJ5" i="5"/>
  <c r="ZI5" i="5"/>
  <c r="ZI6" i="20" s="1"/>
  <c r="BAK6" i="20" s="1"/>
  <c r="CBM6" i="20" s="1"/>
  <c r="DCO6" i="20" s="1"/>
  <c r="ZH5" i="5"/>
  <c r="YV12" i="5"/>
  <c r="YU12" i="5"/>
  <c r="YU13" i="20" s="1"/>
  <c r="AZW13" i="20" s="1"/>
  <c r="CAY13" i="20" s="1"/>
  <c r="DCA13" i="20" s="1"/>
  <c r="YN12" i="5"/>
  <c r="YM12" i="5"/>
  <c r="YL12" i="5"/>
  <c r="YV11" i="5"/>
  <c r="YU11" i="5"/>
  <c r="YU12" i="20" s="1"/>
  <c r="AZW12" i="20" s="1"/>
  <c r="CAY12" i="20" s="1"/>
  <c r="DCA12" i="20" s="1"/>
  <c r="YT11" i="5"/>
  <c r="YS11" i="5"/>
  <c r="YR11" i="5"/>
  <c r="YR12" i="20" s="1"/>
  <c r="AZT12" i="20" s="1"/>
  <c r="CAV12" i="20" s="1"/>
  <c r="DBX12" i="20" s="1"/>
  <c r="YQ11" i="5"/>
  <c r="YP11" i="5"/>
  <c r="YO11" i="5"/>
  <c r="YO12" i="20" s="1"/>
  <c r="AZQ12" i="20" s="1"/>
  <c r="CAS12" i="20" s="1"/>
  <c r="DBU12" i="20" s="1"/>
  <c r="YN11" i="5"/>
  <c r="YM11" i="5"/>
  <c r="YM12" i="20" s="1"/>
  <c r="AZO12" i="20" s="1"/>
  <c r="CAQ12" i="20" s="1"/>
  <c r="DBS12" i="20" s="1"/>
  <c r="YL11" i="5"/>
  <c r="YV10" i="5"/>
  <c r="YU10" i="5"/>
  <c r="YU11" i="20" s="1"/>
  <c r="AZW11" i="20" s="1"/>
  <c r="CAY11" i="20" s="1"/>
  <c r="DCA11" i="20" s="1"/>
  <c r="YT10" i="5"/>
  <c r="YT11" i="20" s="1"/>
  <c r="AZV11" i="20" s="1"/>
  <c r="CAX11" i="20" s="1"/>
  <c r="DBZ11" i="20" s="1"/>
  <c r="YS10" i="5"/>
  <c r="YS11" i="20" s="1"/>
  <c r="AZU11" i="20" s="1"/>
  <c r="CAW11" i="20" s="1"/>
  <c r="DBY11" i="20" s="1"/>
  <c r="YR10" i="5"/>
  <c r="YQ10" i="5"/>
  <c r="YP10" i="5"/>
  <c r="YO10" i="5"/>
  <c r="YO11" i="20" s="1"/>
  <c r="AZQ11" i="20" s="1"/>
  <c r="CAS11" i="20" s="1"/>
  <c r="DBU11" i="20" s="1"/>
  <c r="YN10" i="5"/>
  <c r="YN11" i="20" s="1"/>
  <c r="AZP11" i="20" s="1"/>
  <c r="CAR11" i="20" s="1"/>
  <c r="DBT11" i="20" s="1"/>
  <c r="YM10" i="5"/>
  <c r="YM11" i="20" s="1"/>
  <c r="AZO11" i="20" s="1"/>
  <c r="CAQ11" i="20" s="1"/>
  <c r="DBS11" i="20" s="1"/>
  <c r="YL10" i="5"/>
  <c r="YV9" i="5"/>
  <c r="YV10" i="20" s="1"/>
  <c r="AZX10" i="20" s="1"/>
  <c r="CAZ10" i="20" s="1"/>
  <c r="DCB10" i="20" s="1"/>
  <c r="YU9" i="5"/>
  <c r="YN9" i="5"/>
  <c r="YM9" i="5"/>
  <c r="YL9" i="5"/>
  <c r="YV8" i="5"/>
  <c r="YU8" i="5"/>
  <c r="YU9" i="20" s="1"/>
  <c r="AZW9" i="20" s="1"/>
  <c r="CAY9" i="20" s="1"/>
  <c r="DCA9" i="20" s="1"/>
  <c r="YT8" i="5"/>
  <c r="YT9" i="20" s="1"/>
  <c r="AZV9" i="20" s="1"/>
  <c r="CAX9" i="20" s="1"/>
  <c r="DBZ9" i="20" s="1"/>
  <c r="YS8" i="5"/>
  <c r="YS9" i="20" s="1"/>
  <c r="AZU9" i="20" s="1"/>
  <c r="CAW9" i="20" s="1"/>
  <c r="DBY9" i="20" s="1"/>
  <c r="YR8" i="5"/>
  <c r="YQ8" i="5"/>
  <c r="YP8" i="5"/>
  <c r="YO8" i="5"/>
  <c r="YN8" i="5"/>
  <c r="YN9" i="20" s="1"/>
  <c r="AZP9" i="20" s="1"/>
  <c r="CAR9" i="20" s="1"/>
  <c r="DBT9" i="20" s="1"/>
  <c r="YM8" i="5"/>
  <c r="YM9" i="20" s="1"/>
  <c r="AZO9" i="20" s="1"/>
  <c r="CAQ9" i="20" s="1"/>
  <c r="DBS9" i="20" s="1"/>
  <c r="YL8" i="5"/>
  <c r="YV7" i="5"/>
  <c r="YV8" i="20" s="1"/>
  <c r="AZX8" i="20" s="1"/>
  <c r="CAZ8" i="20" s="1"/>
  <c r="DCB8" i="20" s="1"/>
  <c r="YU7" i="5"/>
  <c r="YT7" i="5"/>
  <c r="YT8" i="20" s="1"/>
  <c r="AZV8" i="20" s="1"/>
  <c r="CAX8" i="20" s="1"/>
  <c r="DBZ8" i="20" s="1"/>
  <c r="YS7" i="5"/>
  <c r="YR7" i="5"/>
  <c r="YR8" i="20" s="1"/>
  <c r="AZT8" i="20" s="1"/>
  <c r="CAV8" i="20" s="1"/>
  <c r="DBX8" i="20" s="1"/>
  <c r="YQ7" i="5"/>
  <c r="YP7" i="5"/>
  <c r="YP8" i="20" s="1"/>
  <c r="AZR8" i="20" s="1"/>
  <c r="CAT8" i="20" s="1"/>
  <c r="DBV8" i="20" s="1"/>
  <c r="YO7" i="5"/>
  <c r="YO8" i="20" s="1"/>
  <c r="AZQ8" i="20" s="1"/>
  <c r="CAS8" i="20" s="1"/>
  <c r="DBU8" i="20" s="1"/>
  <c r="YN7" i="5"/>
  <c r="YN8" i="20" s="1"/>
  <c r="AZP8" i="20" s="1"/>
  <c r="CAR8" i="20" s="1"/>
  <c r="DBT8" i="20" s="1"/>
  <c r="YM7" i="5"/>
  <c r="YL7" i="5"/>
  <c r="YV6" i="5"/>
  <c r="YV7" i="20" s="1"/>
  <c r="AZX7" i="20" s="1"/>
  <c r="CAZ7" i="20" s="1"/>
  <c r="DCB7" i="20" s="1"/>
  <c r="YU6" i="5"/>
  <c r="YT6" i="5"/>
  <c r="YS6" i="5"/>
  <c r="YS7" i="20" s="1"/>
  <c r="AZU7" i="20" s="1"/>
  <c r="CAW7" i="20" s="1"/>
  <c r="DBY7" i="20" s="1"/>
  <c r="YR6" i="5"/>
  <c r="YR7" i="20" s="1"/>
  <c r="AZT7" i="20" s="1"/>
  <c r="CAV7" i="20" s="1"/>
  <c r="DBX7" i="20" s="1"/>
  <c r="YQ6" i="5"/>
  <c r="YQ7" i="20" s="1"/>
  <c r="AZS7" i="20" s="1"/>
  <c r="CAU7" i="20" s="1"/>
  <c r="DBW7" i="20" s="1"/>
  <c r="YP6" i="5"/>
  <c r="YO6" i="5"/>
  <c r="YN6" i="5"/>
  <c r="YM6" i="5"/>
  <c r="YL6" i="5"/>
  <c r="YL7" i="20" s="1"/>
  <c r="AZN7" i="20" s="1"/>
  <c r="CAP7" i="20" s="1"/>
  <c r="DBR7" i="20" s="1"/>
  <c r="YV5" i="5"/>
  <c r="YV6" i="20" s="1"/>
  <c r="AZX6" i="20" s="1"/>
  <c r="CAZ6" i="20" s="1"/>
  <c r="DCB6" i="20" s="1"/>
  <c r="YU5" i="5"/>
  <c r="YT5" i="5"/>
  <c r="YT6" i="20" s="1"/>
  <c r="AZV6" i="20" s="1"/>
  <c r="CAX6" i="20" s="1"/>
  <c r="DBZ6" i="20" s="1"/>
  <c r="YS5" i="5"/>
  <c r="YR5" i="5"/>
  <c r="YR6" i="20" s="1"/>
  <c r="AZT6" i="20" s="1"/>
  <c r="CAV6" i="20" s="1"/>
  <c r="DBX6" i="20" s="1"/>
  <c r="YQ5" i="5"/>
  <c r="YP5" i="5"/>
  <c r="YO5" i="5"/>
  <c r="YO6" i="20" s="1"/>
  <c r="AZQ6" i="20" s="1"/>
  <c r="CAS6" i="20" s="1"/>
  <c r="DBU6" i="20" s="1"/>
  <c r="YN5" i="5"/>
  <c r="YN6" i="20" s="1"/>
  <c r="AZP6" i="20" s="1"/>
  <c r="CAR6" i="20" s="1"/>
  <c r="DBT6" i="20" s="1"/>
  <c r="YM5" i="5"/>
  <c r="YM6" i="20" s="1"/>
  <c r="AZO6" i="20" s="1"/>
  <c r="CAQ6" i="20" s="1"/>
  <c r="DBS6" i="20" s="1"/>
  <c r="YL5" i="5"/>
  <c r="YL6" i="20" s="1"/>
  <c r="AZN6" i="20" s="1"/>
  <c r="CAP6" i="20" s="1"/>
  <c r="DBR6" i="20" s="1"/>
  <c r="XZ12" i="5"/>
  <c r="XY12" i="5"/>
  <c r="XR12" i="5"/>
  <c r="XQ12" i="5"/>
  <c r="XP12" i="5"/>
  <c r="XZ11" i="5"/>
  <c r="XZ12" i="20" s="1"/>
  <c r="AZB12" i="20" s="1"/>
  <c r="CAD12" i="20" s="1"/>
  <c r="DBF12" i="20" s="1"/>
  <c r="XY11" i="5"/>
  <c r="XX11" i="5"/>
  <c r="XW11" i="5"/>
  <c r="XW12" i="20" s="1"/>
  <c r="AYY12" i="20" s="1"/>
  <c r="CAA12" i="20" s="1"/>
  <c r="DBC12" i="20" s="1"/>
  <c r="XV11" i="5"/>
  <c r="XV12" i="20" s="1"/>
  <c r="AYX12" i="20" s="1"/>
  <c r="BZZ12" i="20" s="1"/>
  <c r="DBB12" i="20" s="1"/>
  <c r="XU11" i="5"/>
  <c r="XT11" i="5"/>
  <c r="XT12" i="20" s="1"/>
  <c r="AYV12" i="20" s="1"/>
  <c r="BZX12" i="20" s="1"/>
  <c r="DAZ12" i="20" s="1"/>
  <c r="XS11" i="5"/>
  <c r="XR11" i="5"/>
  <c r="XQ11" i="5"/>
  <c r="XP11" i="5"/>
  <c r="XZ10" i="5"/>
  <c r="XY10" i="5"/>
  <c r="XY11" i="20" s="1"/>
  <c r="AZA11" i="20" s="1"/>
  <c r="CAC11" i="20" s="1"/>
  <c r="DBE11" i="20" s="1"/>
  <c r="XX10" i="5"/>
  <c r="XW10" i="5"/>
  <c r="XV10" i="5"/>
  <c r="XV11" i="20" s="1"/>
  <c r="AYX11" i="20" s="1"/>
  <c r="BZZ11" i="20" s="1"/>
  <c r="DBB11" i="20" s="1"/>
  <c r="XU10" i="5"/>
  <c r="XT10" i="5"/>
  <c r="XS10" i="5"/>
  <c r="XS11" i="20" s="1"/>
  <c r="AYU11" i="20" s="1"/>
  <c r="BZW11" i="20" s="1"/>
  <c r="DAY11" i="20" s="1"/>
  <c r="XR10" i="5"/>
  <c r="XR11" i="20" s="1"/>
  <c r="AYT11" i="20" s="1"/>
  <c r="BZV11" i="20" s="1"/>
  <c r="DAX11" i="20" s="1"/>
  <c r="XQ10" i="5"/>
  <c r="XQ11" i="20" s="1"/>
  <c r="AYS11" i="20" s="1"/>
  <c r="BZU11" i="20" s="1"/>
  <c r="DAW11" i="20" s="1"/>
  <c r="XP10" i="5"/>
  <c r="XZ9" i="5"/>
  <c r="XY9" i="5"/>
  <c r="XR9" i="5"/>
  <c r="XQ9" i="5"/>
  <c r="XP9" i="5"/>
  <c r="XZ8" i="5"/>
  <c r="XY8" i="5"/>
  <c r="XX8" i="5"/>
  <c r="XW8" i="5"/>
  <c r="XW9" i="20" s="1"/>
  <c r="AYY9" i="20" s="1"/>
  <c r="CAA9" i="20" s="1"/>
  <c r="DBC9" i="20" s="1"/>
  <c r="XV8" i="5"/>
  <c r="XV9" i="20" s="1"/>
  <c r="AYX9" i="20" s="1"/>
  <c r="BZZ9" i="20" s="1"/>
  <c r="DBB9" i="20" s="1"/>
  <c r="XU8" i="5"/>
  <c r="XU9" i="20" s="1"/>
  <c r="AYW9" i="20" s="1"/>
  <c r="BZY9" i="20" s="1"/>
  <c r="DBA9" i="20" s="1"/>
  <c r="XT8" i="5"/>
  <c r="XT9" i="20" s="1"/>
  <c r="AYV9" i="20" s="1"/>
  <c r="BZX9" i="20" s="1"/>
  <c r="DAZ9" i="20" s="1"/>
  <c r="XS8" i="5"/>
  <c r="XS9" i="20" s="1"/>
  <c r="AYU9" i="20" s="1"/>
  <c r="BZW9" i="20" s="1"/>
  <c r="DAY9" i="20" s="1"/>
  <c r="XR8" i="5"/>
  <c r="XR9" i="20" s="1"/>
  <c r="AYT9" i="20" s="1"/>
  <c r="BZV9" i="20" s="1"/>
  <c r="DAX9" i="20" s="1"/>
  <c r="XQ8" i="5"/>
  <c r="XP8" i="5"/>
  <c r="XP9" i="20" s="1"/>
  <c r="AYR9" i="20" s="1"/>
  <c r="BZT9" i="20" s="1"/>
  <c r="DAV9" i="20" s="1"/>
  <c r="XZ7" i="5"/>
  <c r="XZ8" i="20" s="1"/>
  <c r="AZB8" i="20" s="1"/>
  <c r="CAD8" i="20" s="1"/>
  <c r="DBF8" i="20" s="1"/>
  <c r="XY7" i="5"/>
  <c r="XX7" i="5"/>
  <c r="XX8" i="20" s="1"/>
  <c r="AYZ8" i="20" s="1"/>
  <c r="CAB8" i="20" s="1"/>
  <c r="DBD8" i="20" s="1"/>
  <c r="XW7" i="5"/>
  <c r="XW8" i="20" s="1"/>
  <c r="AYY8" i="20" s="1"/>
  <c r="CAA8" i="20" s="1"/>
  <c r="DBC8" i="20" s="1"/>
  <c r="XV7" i="5"/>
  <c r="XV8" i="20" s="1"/>
  <c r="AYX8" i="20" s="1"/>
  <c r="BZZ8" i="20" s="1"/>
  <c r="DBB8" i="20" s="1"/>
  <c r="XU7" i="5"/>
  <c r="XT7" i="5"/>
  <c r="XS7" i="5"/>
  <c r="XR7" i="5"/>
  <c r="XR8" i="20" s="1"/>
  <c r="AYT8" i="20" s="1"/>
  <c r="BZV8" i="20" s="1"/>
  <c r="DAX8" i="20" s="1"/>
  <c r="XQ7" i="5"/>
  <c r="XQ8" i="20" s="1"/>
  <c r="AYS8" i="20" s="1"/>
  <c r="BZU8" i="20" s="1"/>
  <c r="DAW8" i="20" s="1"/>
  <c r="XP7" i="5"/>
  <c r="XP8" i="20" s="1"/>
  <c r="AYR8" i="20" s="1"/>
  <c r="BZT8" i="20" s="1"/>
  <c r="DAV8" i="20" s="1"/>
  <c r="XZ6" i="5"/>
  <c r="XZ7" i="20" s="1"/>
  <c r="AZB7" i="20" s="1"/>
  <c r="CAD7" i="20" s="1"/>
  <c r="DBF7" i="20" s="1"/>
  <c r="XY6" i="5"/>
  <c r="XX6" i="5"/>
  <c r="XW6" i="5"/>
  <c r="XW7" i="20" s="1"/>
  <c r="AYY7" i="20" s="1"/>
  <c r="CAA7" i="20" s="1"/>
  <c r="DBC7" i="20" s="1"/>
  <c r="XV6" i="5"/>
  <c r="XU6" i="5"/>
  <c r="XU7" i="20" s="1"/>
  <c r="AYW7" i="20" s="1"/>
  <c r="BZY7" i="20" s="1"/>
  <c r="DBA7" i="20" s="1"/>
  <c r="XT6" i="5"/>
  <c r="XS6" i="5"/>
  <c r="XR6" i="5"/>
  <c r="XQ6" i="5"/>
  <c r="XP6" i="5"/>
  <c r="XZ5" i="5"/>
  <c r="XY5" i="5"/>
  <c r="XX5" i="5"/>
  <c r="XX6" i="20" s="1"/>
  <c r="AYZ6" i="20" s="1"/>
  <c r="CAB6" i="20" s="1"/>
  <c r="DBD6" i="20" s="1"/>
  <c r="XW5" i="5"/>
  <c r="XV5" i="5"/>
  <c r="XV6" i="20" s="1"/>
  <c r="AYX6" i="20" s="1"/>
  <c r="BZZ6" i="20" s="1"/>
  <c r="DBB6" i="20" s="1"/>
  <c r="XU5" i="5"/>
  <c r="XT5" i="5"/>
  <c r="XT6" i="20" s="1"/>
  <c r="AYV6" i="20" s="1"/>
  <c r="BZX6" i="20" s="1"/>
  <c r="DAZ6" i="20" s="1"/>
  <c r="XS5" i="5"/>
  <c r="XR5" i="5"/>
  <c r="XQ5" i="5"/>
  <c r="XP5" i="5"/>
  <c r="XP6" i="20" s="1"/>
  <c r="AYR6" i="20" s="1"/>
  <c r="BZT6" i="20" s="1"/>
  <c r="DAV6" i="20" s="1"/>
  <c r="XD12" i="5"/>
  <c r="XC12" i="5"/>
  <c r="XC13" i="20" s="1"/>
  <c r="AYE13" i="20" s="1"/>
  <c r="BZG13" i="20" s="1"/>
  <c r="DAI13" i="20" s="1"/>
  <c r="WV12" i="5"/>
  <c r="WU12" i="5"/>
  <c r="WT12" i="5"/>
  <c r="XD11" i="5"/>
  <c r="XC11" i="5"/>
  <c r="XB11" i="5"/>
  <c r="XA11" i="5"/>
  <c r="XA12" i="20" s="1"/>
  <c r="AYC12" i="20" s="1"/>
  <c r="BZE12" i="20" s="1"/>
  <c r="DAG12" i="20" s="1"/>
  <c r="WZ11" i="5"/>
  <c r="WZ12" i="20" s="1"/>
  <c r="AYB12" i="20" s="1"/>
  <c r="BZD12" i="20" s="1"/>
  <c r="DAF12" i="20" s="1"/>
  <c r="WY11" i="5"/>
  <c r="WX11" i="5"/>
  <c r="WX12" i="20" s="1"/>
  <c r="AXZ12" i="20" s="1"/>
  <c r="BZB12" i="20" s="1"/>
  <c r="DAD12" i="20" s="1"/>
  <c r="WW11" i="5"/>
  <c r="WW12" i="20" s="1"/>
  <c r="AXY12" i="20" s="1"/>
  <c r="BZA12" i="20" s="1"/>
  <c r="DAC12" i="20" s="1"/>
  <c r="WV11" i="5"/>
  <c r="WU11" i="5"/>
  <c r="WT11" i="5"/>
  <c r="XD10" i="5"/>
  <c r="XC10" i="5"/>
  <c r="XC11" i="20" s="1"/>
  <c r="AYE11" i="20" s="1"/>
  <c r="BZG11" i="20" s="1"/>
  <c r="DAI11" i="20" s="1"/>
  <c r="XB10" i="5"/>
  <c r="XA10" i="5"/>
  <c r="WZ10" i="5"/>
  <c r="WY10" i="5"/>
  <c r="WX10" i="5"/>
  <c r="WW10" i="5"/>
  <c r="WW11" i="20" s="1"/>
  <c r="AXY11" i="20" s="1"/>
  <c r="BZA11" i="20" s="1"/>
  <c r="DAC11" i="20" s="1"/>
  <c r="WV10" i="5"/>
  <c r="WV11" i="20" s="1"/>
  <c r="AXX11" i="20" s="1"/>
  <c r="BYZ11" i="20" s="1"/>
  <c r="DAB11" i="20" s="1"/>
  <c r="WU10" i="5"/>
  <c r="WU11" i="20" s="1"/>
  <c r="AXW11" i="20" s="1"/>
  <c r="BYY11" i="20" s="1"/>
  <c r="DAA11" i="20" s="1"/>
  <c r="WT10" i="5"/>
  <c r="WT11" i="20" s="1"/>
  <c r="AXV11" i="20" s="1"/>
  <c r="BYX11" i="20" s="1"/>
  <c r="CZZ11" i="20" s="1"/>
  <c r="XD9" i="5"/>
  <c r="XD10" i="20" s="1"/>
  <c r="AYF10" i="20" s="1"/>
  <c r="BZH10" i="20" s="1"/>
  <c r="DAJ10" i="20" s="1"/>
  <c r="XC9" i="5"/>
  <c r="WV9" i="5"/>
  <c r="WV10" i="20" s="1"/>
  <c r="AXX10" i="20" s="1"/>
  <c r="BYZ10" i="20" s="1"/>
  <c r="DAB10" i="20" s="1"/>
  <c r="WU9" i="5"/>
  <c r="WT9" i="5"/>
  <c r="XD8" i="5"/>
  <c r="XC8" i="5"/>
  <c r="XC9" i="20" s="1"/>
  <c r="AYE9" i="20" s="1"/>
  <c r="BZG9" i="20" s="1"/>
  <c r="DAI9" i="20" s="1"/>
  <c r="XB8" i="5"/>
  <c r="XB9" i="20" s="1"/>
  <c r="AYD9" i="20" s="1"/>
  <c r="BZF9" i="20" s="1"/>
  <c r="DAH9" i="20" s="1"/>
  <c r="XA8" i="5"/>
  <c r="WZ8" i="5"/>
  <c r="WY8" i="5"/>
  <c r="WX8" i="5"/>
  <c r="WW8" i="5"/>
  <c r="WV8" i="5"/>
  <c r="WV9" i="20" s="1"/>
  <c r="AXX9" i="20" s="1"/>
  <c r="BYZ9" i="20" s="1"/>
  <c r="DAB9" i="20" s="1"/>
  <c r="WU8" i="5"/>
  <c r="WU9" i="20" s="1"/>
  <c r="AXW9" i="20" s="1"/>
  <c r="BYY9" i="20" s="1"/>
  <c r="DAA9" i="20" s="1"/>
  <c r="WT8" i="5"/>
  <c r="XD7" i="5"/>
  <c r="XD8" i="20" s="1"/>
  <c r="AYF8" i="20" s="1"/>
  <c r="BZH8" i="20" s="1"/>
  <c r="DAJ8" i="20" s="1"/>
  <c r="XC7" i="5"/>
  <c r="XB7" i="5"/>
  <c r="XA7" i="5"/>
  <c r="WZ7" i="5"/>
  <c r="WZ8" i="20" s="1"/>
  <c r="AYB8" i="20" s="1"/>
  <c r="BZD8" i="20" s="1"/>
  <c r="DAF8" i="20" s="1"/>
  <c r="WY7" i="5"/>
  <c r="WX7" i="5"/>
  <c r="WX8" i="20" s="1"/>
  <c r="AXZ8" i="20" s="1"/>
  <c r="BZB8" i="20" s="1"/>
  <c r="DAD8" i="20" s="1"/>
  <c r="WW7" i="5"/>
  <c r="WV7" i="5"/>
  <c r="WU7" i="5"/>
  <c r="WT7" i="5"/>
  <c r="WT8" i="20" s="1"/>
  <c r="AXV8" i="20" s="1"/>
  <c r="BYX8" i="20" s="1"/>
  <c r="CZZ8" i="20" s="1"/>
  <c r="XD6" i="5"/>
  <c r="XD7" i="20" s="1"/>
  <c r="AYF7" i="20" s="1"/>
  <c r="BZH7" i="20" s="1"/>
  <c r="DAJ7" i="20" s="1"/>
  <c r="XC6" i="5"/>
  <c r="XB6" i="5"/>
  <c r="XA6" i="5"/>
  <c r="XA7" i="20" s="1"/>
  <c r="AYC7" i="20" s="1"/>
  <c r="BZE7" i="20" s="1"/>
  <c r="DAG7" i="20" s="1"/>
  <c r="WZ6" i="5"/>
  <c r="WZ7" i="20" s="1"/>
  <c r="AYB7" i="20" s="1"/>
  <c r="BZD7" i="20" s="1"/>
  <c r="DAF7" i="20" s="1"/>
  <c r="WY6" i="5"/>
  <c r="WY7" i="20" s="1"/>
  <c r="AYA7" i="20" s="1"/>
  <c r="BZC7" i="20" s="1"/>
  <c r="DAE7" i="20" s="1"/>
  <c r="WX6" i="5"/>
  <c r="WW6" i="5"/>
  <c r="WV6" i="5"/>
  <c r="WU6" i="5"/>
  <c r="WT6" i="5"/>
  <c r="XD5" i="5"/>
  <c r="XC5" i="5"/>
  <c r="XB5" i="5"/>
  <c r="XB6" i="20" s="1"/>
  <c r="AYD6" i="20" s="1"/>
  <c r="BZF6" i="20" s="1"/>
  <c r="DAH6" i="20" s="1"/>
  <c r="XA5" i="5"/>
  <c r="WZ5" i="5"/>
  <c r="WY5" i="5"/>
  <c r="WX5" i="5"/>
  <c r="WW5" i="5"/>
  <c r="WW6" i="20" s="1"/>
  <c r="AXY6" i="20" s="1"/>
  <c r="BZA6" i="20" s="1"/>
  <c r="DAC6" i="20" s="1"/>
  <c r="WV5" i="5"/>
  <c r="WV6" i="20" s="1"/>
  <c r="AXX6" i="20" s="1"/>
  <c r="BYZ6" i="20" s="1"/>
  <c r="DAB6" i="20" s="1"/>
  <c r="WU5" i="5"/>
  <c r="WT5" i="5"/>
  <c r="WH12" i="5"/>
  <c r="WG12" i="5"/>
  <c r="VZ12" i="5"/>
  <c r="VY12" i="5"/>
  <c r="VX12" i="5"/>
  <c r="VX13" i="20" s="1"/>
  <c r="AWZ13" i="20" s="1"/>
  <c r="BYB13" i="20" s="1"/>
  <c r="CZD13" i="20" s="1"/>
  <c r="WH11" i="5"/>
  <c r="WG11" i="5"/>
  <c r="WF11" i="5"/>
  <c r="WF12" i="20" s="1"/>
  <c r="AXH12" i="20" s="1"/>
  <c r="BYJ12" i="20" s="1"/>
  <c r="CZL12" i="20" s="1"/>
  <c r="WE11" i="5"/>
  <c r="WD11" i="5"/>
  <c r="WD12" i="20" s="1"/>
  <c r="AXF12" i="20" s="1"/>
  <c r="BYH12" i="20" s="1"/>
  <c r="CZJ12" i="20" s="1"/>
  <c r="WC11" i="5"/>
  <c r="WB11" i="5"/>
  <c r="WB12" i="20" s="1"/>
  <c r="AXD12" i="20" s="1"/>
  <c r="BYF12" i="20" s="1"/>
  <c r="CZH12" i="20" s="1"/>
  <c r="WA11" i="5"/>
  <c r="WA12" i="20" s="1"/>
  <c r="AXC12" i="20" s="1"/>
  <c r="BYE12" i="20" s="1"/>
  <c r="CZG12" i="20" s="1"/>
  <c r="VZ11" i="5"/>
  <c r="VZ12" i="20" s="1"/>
  <c r="AXB12" i="20" s="1"/>
  <c r="BYD12" i="20" s="1"/>
  <c r="CZF12" i="20" s="1"/>
  <c r="VY11" i="5"/>
  <c r="VX11" i="5"/>
  <c r="WH10" i="5"/>
  <c r="WG10" i="5"/>
  <c r="WG11" i="20" s="1"/>
  <c r="AXI11" i="20" s="1"/>
  <c r="BYK11" i="20" s="1"/>
  <c r="CZM11" i="20" s="1"/>
  <c r="WF10" i="5"/>
  <c r="WE10" i="5"/>
  <c r="WD10" i="5"/>
  <c r="WC10" i="5"/>
  <c r="WB10" i="5"/>
  <c r="WA10" i="5"/>
  <c r="WA11" i="20" s="1"/>
  <c r="AXC11" i="20" s="1"/>
  <c r="BYE11" i="20" s="1"/>
  <c r="CZG11" i="20" s="1"/>
  <c r="VZ10" i="5"/>
  <c r="VZ11" i="20" s="1"/>
  <c r="AXB11" i="20" s="1"/>
  <c r="BYD11" i="20" s="1"/>
  <c r="CZF11" i="20" s="1"/>
  <c r="VY10" i="5"/>
  <c r="VY11" i="20" s="1"/>
  <c r="AXA11" i="20" s="1"/>
  <c r="BYC11" i="20" s="1"/>
  <c r="CZE11" i="20" s="1"/>
  <c r="VX10" i="5"/>
  <c r="WH9" i="5"/>
  <c r="WG9" i="5"/>
  <c r="VZ9" i="5"/>
  <c r="VZ10" i="20" s="1"/>
  <c r="AXB10" i="20" s="1"/>
  <c r="BYD10" i="20" s="1"/>
  <c r="CZF10" i="20" s="1"/>
  <c r="VY9" i="5"/>
  <c r="VX9" i="5"/>
  <c r="VX10" i="20" s="1"/>
  <c r="AWZ10" i="20" s="1"/>
  <c r="BYB10" i="20" s="1"/>
  <c r="CZD10" i="20" s="1"/>
  <c r="WH8" i="5"/>
  <c r="WG8" i="5"/>
  <c r="WF8" i="5"/>
  <c r="WE8" i="5"/>
  <c r="WE9" i="20" s="1"/>
  <c r="AXG9" i="20" s="1"/>
  <c r="BYI9" i="20" s="1"/>
  <c r="CZK9" i="20" s="1"/>
  <c r="WD8" i="5"/>
  <c r="WD9" i="20" s="1"/>
  <c r="AXF9" i="20" s="1"/>
  <c r="BYH9" i="20" s="1"/>
  <c r="CZJ9" i="20" s="1"/>
  <c r="WC8" i="5"/>
  <c r="WB8" i="5"/>
  <c r="WB9" i="20" s="1"/>
  <c r="AXD9" i="20" s="1"/>
  <c r="BYF9" i="20" s="1"/>
  <c r="CZH9" i="20" s="1"/>
  <c r="WA8" i="5"/>
  <c r="WA9" i="20" s="1"/>
  <c r="AXC9" i="20" s="1"/>
  <c r="BYE9" i="20" s="1"/>
  <c r="CZG9" i="20" s="1"/>
  <c r="VZ8" i="5"/>
  <c r="VZ9" i="20" s="1"/>
  <c r="AXB9" i="20" s="1"/>
  <c r="BYD9" i="20" s="1"/>
  <c r="CZF9" i="20" s="1"/>
  <c r="VY8" i="5"/>
  <c r="VX8" i="5"/>
  <c r="WH7" i="5"/>
  <c r="WG7" i="5"/>
  <c r="WF7" i="5"/>
  <c r="WF8" i="20" s="1"/>
  <c r="AXH8" i="20" s="1"/>
  <c r="BYJ8" i="20" s="1"/>
  <c r="CZL8" i="20" s="1"/>
  <c r="WE7" i="5"/>
  <c r="WE8" i="20" s="1"/>
  <c r="AXG8" i="20" s="1"/>
  <c r="BYI8" i="20" s="1"/>
  <c r="CZK8" i="20" s="1"/>
  <c r="WD7" i="5"/>
  <c r="WD8" i="20" s="1"/>
  <c r="AXF8" i="20" s="1"/>
  <c r="BYH8" i="20" s="1"/>
  <c r="CZJ8" i="20" s="1"/>
  <c r="WC7" i="5"/>
  <c r="WB7" i="5"/>
  <c r="WA7" i="5"/>
  <c r="VZ7" i="5"/>
  <c r="VY7" i="5"/>
  <c r="VX7" i="5"/>
  <c r="VX8" i="20" s="1"/>
  <c r="AWZ8" i="20" s="1"/>
  <c r="BYB8" i="20" s="1"/>
  <c r="CZD8" i="20" s="1"/>
  <c r="WH6" i="5"/>
  <c r="WH7" i="20" s="1"/>
  <c r="AXJ7" i="20" s="1"/>
  <c r="BYL7" i="20" s="1"/>
  <c r="CZN7" i="20" s="1"/>
  <c r="WG6" i="5"/>
  <c r="WG7" i="20" s="1"/>
  <c r="AXI7" i="20" s="1"/>
  <c r="BYK7" i="20" s="1"/>
  <c r="CZM7" i="20" s="1"/>
  <c r="WF6" i="5"/>
  <c r="WE6" i="5"/>
  <c r="WD6" i="5"/>
  <c r="WC6" i="5"/>
  <c r="WC7" i="20" s="1"/>
  <c r="AXE7" i="20" s="1"/>
  <c r="BYG7" i="20" s="1"/>
  <c r="CZI7" i="20" s="1"/>
  <c r="WB6" i="5"/>
  <c r="WB7" i="20" s="1"/>
  <c r="AXD7" i="20" s="1"/>
  <c r="BYF7" i="20" s="1"/>
  <c r="CZH7" i="20" s="1"/>
  <c r="WA6" i="5"/>
  <c r="WA7" i="20" s="1"/>
  <c r="AXC7" i="20" s="1"/>
  <c r="BYE7" i="20" s="1"/>
  <c r="CZG7" i="20" s="1"/>
  <c r="VZ6" i="5"/>
  <c r="VY6" i="5"/>
  <c r="VY7" i="20" s="1"/>
  <c r="AXA7" i="20" s="1"/>
  <c r="BYC7" i="20" s="1"/>
  <c r="CZE7" i="20" s="1"/>
  <c r="VX6" i="5"/>
  <c r="WH5" i="5"/>
  <c r="WG5" i="5"/>
  <c r="WF5" i="5"/>
  <c r="WF6" i="20" s="1"/>
  <c r="AXH6" i="20" s="1"/>
  <c r="BYJ6" i="20" s="1"/>
  <c r="CZL6" i="20" s="1"/>
  <c r="WE5" i="5"/>
  <c r="WD5" i="5"/>
  <c r="WD6" i="20" s="1"/>
  <c r="AXF6" i="20" s="1"/>
  <c r="BYH6" i="20" s="1"/>
  <c r="CZJ6" i="20" s="1"/>
  <c r="WC5" i="5"/>
  <c r="WB5" i="5"/>
  <c r="WB6" i="20" s="1"/>
  <c r="AXD6" i="20" s="1"/>
  <c r="BYF6" i="20" s="1"/>
  <c r="CZH6" i="20" s="1"/>
  <c r="WA5" i="5"/>
  <c r="VZ5" i="5"/>
  <c r="VY5" i="5"/>
  <c r="VY6" i="20" s="1"/>
  <c r="AXA6" i="20" s="1"/>
  <c r="BYC6" i="20" s="1"/>
  <c r="CZE6" i="20" s="1"/>
  <c r="VX5" i="5"/>
  <c r="VX6" i="20" s="1"/>
  <c r="AWZ6" i="20" s="1"/>
  <c r="BYB6" i="20" s="1"/>
  <c r="CZD6" i="20" s="1"/>
  <c r="VL12" i="5"/>
  <c r="VK12" i="5"/>
  <c r="VK13" i="20" s="1"/>
  <c r="AWM13" i="20" s="1"/>
  <c r="BXO13" i="20" s="1"/>
  <c r="CYQ13" i="20" s="1"/>
  <c r="VD12" i="5"/>
  <c r="VC12" i="5"/>
  <c r="VB12" i="5"/>
  <c r="VL11" i="5"/>
  <c r="VK11" i="5"/>
  <c r="VK12" i="20" s="1"/>
  <c r="AWM12" i="20" s="1"/>
  <c r="BXO12" i="20" s="1"/>
  <c r="CYQ12" i="20" s="1"/>
  <c r="VJ11" i="5"/>
  <c r="VI11" i="5"/>
  <c r="VH11" i="5"/>
  <c r="VG11" i="5"/>
  <c r="VF11" i="5"/>
  <c r="VE11" i="5"/>
  <c r="VE12" i="20" s="1"/>
  <c r="AWG12" i="20" s="1"/>
  <c r="BXI12" i="20" s="1"/>
  <c r="CYK12" i="20" s="1"/>
  <c r="VD11" i="5"/>
  <c r="VC11" i="5"/>
  <c r="VB11" i="5"/>
  <c r="VL10" i="5"/>
  <c r="VK10" i="5"/>
  <c r="VK11" i="20" s="1"/>
  <c r="AWM11" i="20" s="1"/>
  <c r="BXO11" i="20" s="1"/>
  <c r="CYQ11" i="20" s="1"/>
  <c r="VJ10" i="5"/>
  <c r="VJ11" i="20" s="1"/>
  <c r="AWL11" i="20" s="1"/>
  <c r="BXN11" i="20" s="1"/>
  <c r="CYP11" i="20" s="1"/>
  <c r="VI10" i="5"/>
  <c r="VI11" i="20" s="1"/>
  <c r="AWK11" i="20" s="1"/>
  <c r="BXM11" i="20" s="1"/>
  <c r="CYO11" i="20" s="1"/>
  <c r="VH10" i="5"/>
  <c r="VG10" i="5"/>
  <c r="VF10" i="5"/>
  <c r="VE10" i="5"/>
  <c r="VE11" i="20" s="1"/>
  <c r="AWG11" i="20" s="1"/>
  <c r="BXI11" i="20" s="1"/>
  <c r="CYK11" i="20" s="1"/>
  <c r="VD10" i="5"/>
  <c r="VD11" i="20" s="1"/>
  <c r="AWF11" i="20" s="1"/>
  <c r="BXH11" i="20" s="1"/>
  <c r="CYJ11" i="20" s="1"/>
  <c r="VC10" i="5"/>
  <c r="VC11" i="20" s="1"/>
  <c r="AWE11" i="20" s="1"/>
  <c r="BXG11" i="20" s="1"/>
  <c r="CYI11" i="20" s="1"/>
  <c r="VB10" i="5"/>
  <c r="VL9" i="5"/>
  <c r="VK9" i="5"/>
  <c r="VD9" i="5"/>
  <c r="VC9" i="5"/>
  <c r="VB9" i="5"/>
  <c r="VL8" i="5"/>
  <c r="VK8" i="5"/>
  <c r="VK9" i="20" s="1"/>
  <c r="AWM9" i="20" s="1"/>
  <c r="BXO9" i="20" s="1"/>
  <c r="CYQ9" i="20" s="1"/>
  <c r="VJ8" i="5"/>
  <c r="VJ9" i="20" s="1"/>
  <c r="AWL9" i="20" s="1"/>
  <c r="BXN9" i="20" s="1"/>
  <c r="CYP9" i="20" s="1"/>
  <c r="VI8" i="5"/>
  <c r="VI9" i="20" s="1"/>
  <c r="AWK9" i="20" s="1"/>
  <c r="BXM9" i="20" s="1"/>
  <c r="CYO9" i="20" s="1"/>
  <c r="VH8" i="5"/>
  <c r="VG8" i="5"/>
  <c r="VF8" i="5"/>
  <c r="VE8" i="5"/>
  <c r="VD8" i="5"/>
  <c r="VD9" i="20" s="1"/>
  <c r="AWF9" i="20" s="1"/>
  <c r="BXH9" i="20" s="1"/>
  <c r="CYJ9" i="20" s="1"/>
  <c r="VC8" i="5"/>
  <c r="VC9" i="20" s="1"/>
  <c r="AWE9" i="20" s="1"/>
  <c r="BXG9" i="20" s="1"/>
  <c r="CYI9" i="20" s="1"/>
  <c r="VB8" i="5"/>
  <c r="VL7" i="5"/>
  <c r="VL8" i="20" s="1"/>
  <c r="AWN8" i="20" s="1"/>
  <c r="BXP8" i="20" s="1"/>
  <c r="CYR8" i="20" s="1"/>
  <c r="VK7" i="5"/>
  <c r="VJ7" i="5"/>
  <c r="VJ8" i="20" s="1"/>
  <c r="AWL8" i="20" s="1"/>
  <c r="BXN8" i="20" s="1"/>
  <c r="CYP8" i="20" s="1"/>
  <c r="VI7" i="5"/>
  <c r="VH7" i="5"/>
  <c r="VH8" i="20" s="1"/>
  <c r="AWJ8" i="20" s="1"/>
  <c r="BXL8" i="20" s="1"/>
  <c r="CYN8" i="20" s="1"/>
  <c r="VG7" i="5"/>
  <c r="VF7" i="5"/>
  <c r="VE7" i="5"/>
  <c r="VD7" i="5"/>
  <c r="VC7" i="5"/>
  <c r="VB7" i="5"/>
  <c r="VL6" i="5"/>
  <c r="VK6" i="5"/>
  <c r="VJ6" i="5"/>
  <c r="VI6" i="5"/>
  <c r="VI7" i="20" s="1"/>
  <c r="AWK7" i="20" s="1"/>
  <c r="BXM7" i="20" s="1"/>
  <c r="CYO7" i="20" s="1"/>
  <c r="VH6" i="5"/>
  <c r="VG6" i="5"/>
  <c r="VF6" i="5"/>
  <c r="VE6" i="5"/>
  <c r="VD6" i="5"/>
  <c r="VC6" i="5"/>
  <c r="VB6" i="5"/>
  <c r="VB7" i="20" s="1"/>
  <c r="AWD7" i="20" s="1"/>
  <c r="BXF7" i="20" s="1"/>
  <c r="CYH7" i="20" s="1"/>
  <c r="VL5" i="5"/>
  <c r="VL6" i="20" s="1"/>
  <c r="AWN6" i="20" s="1"/>
  <c r="BXP6" i="20" s="1"/>
  <c r="CYR6" i="20" s="1"/>
  <c r="VK5" i="5"/>
  <c r="VJ5" i="5"/>
  <c r="VJ6" i="20" s="1"/>
  <c r="AWL6" i="20" s="1"/>
  <c r="BXN6" i="20" s="1"/>
  <c r="CYP6" i="20" s="1"/>
  <c r="VI5" i="5"/>
  <c r="VH5" i="5"/>
  <c r="VG5" i="5"/>
  <c r="VF5" i="5"/>
  <c r="VF6" i="20" s="1"/>
  <c r="AWH6" i="20" s="1"/>
  <c r="BXJ6" i="20" s="1"/>
  <c r="CYL6" i="20" s="1"/>
  <c r="VE5" i="5"/>
  <c r="VE6" i="20" s="1"/>
  <c r="AWG6" i="20" s="1"/>
  <c r="BXI6" i="20" s="1"/>
  <c r="CYK6" i="20" s="1"/>
  <c r="VD5" i="5"/>
  <c r="VD6" i="20" s="1"/>
  <c r="AWF6" i="20" s="1"/>
  <c r="BXH6" i="20" s="1"/>
  <c r="CYJ6" i="20" s="1"/>
  <c r="VC5" i="5"/>
  <c r="VB5" i="5"/>
  <c r="UP12" i="5"/>
  <c r="UO12" i="5"/>
  <c r="UH12" i="5"/>
  <c r="UG12" i="5"/>
  <c r="UF12" i="5"/>
  <c r="UP11" i="5"/>
  <c r="UP12" i="20" s="1"/>
  <c r="AVR12" i="20" s="1"/>
  <c r="BWT12" i="20" s="1"/>
  <c r="CXV12" i="20" s="1"/>
  <c r="UO11" i="5"/>
  <c r="UN11" i="5"/>
  <c r="UN12" i="20" s="1"/>
  <c r="AVP12" i="20" s="1"/>
  <c r="BWR12" i="20" s="1"/>
  <c r="CXT12" i="20" s="1"/>
  <c r="UM11" i="5"/>
  <c r="UM12" i="20" s="1"/>
  <c r="AVO12" i="20" s="1"/>
  <c r="BWQ12" i="20" s="1"/>
  <c r="CXS12" i="20" s="1"/>
  <c r="UL11" i="5"/>
  <c r="UK11" i="5"/>
  <c r="UJ11" i="5"/>
  <c r="UJ12" i="20" s="1"/>
  <c r="AVL12" i="20" s="1"/>
  <c r="BWN12" i="20" s="1"/>
  <c r="CXP12" i="20" s="1"/>
  <c r="UI11" i="5"/>
  <c r="UI12" i="20" s="1"/>
  <c r="AVK12" i="20" s="1"/>
  <c r="BWM12" i="20" s="1"/>
  <c r="CXO12" i="20" s="1"/>
  <c r="UH11" i="5"/>
  <c r="UH12" i="20" s="1"/>
  <c r="AVJ12" i="20" s="1"/>
  <c r="BWL12" i="20" s="1"/>
  <c r="CXN12" i="20" s="1"/>
  <c r="UG11" i="5"/>
  <c r="UF11" i="5"/>
  <c r="UF12" i="20" s="1"/>
  <c r="AVH12" i="20" s="1"/>
  <c r="BWJ12" i="20" s="1"/>
  <c r="CXL12" i="20" s="1"/>
  <c r="UP10" i="5"/>
  <c r="UO10" i="5"/>
  <c r="UN10" i="5"/>
  <c r="UM10" i="5"/>
  <c r="UL10" i="5"/>
  <c r="UL11" i="20" s="1"/>
  <c r="AVN11" i="20" s="1"/>
  <c r="BWP11" i="20" s="1"/>
  <c r="CXR11" i="20" s="1"/>
  <c r="UK10" i="5"/>
  <c r="UJ10" i="5"/>
  <c r="UI10" i="5"/>
  <c r="UI11" i="20" s="1"/>
  <c r="AVK11" i="20" s="1"/>
  <c r="BWM11" i="20" s="1"/>
  <c r="CXO11" i="20" s="1"/>
  <c r="UH10" i="5"/>
  <c r="UH11" i="20" s="1"/>
  <c r="AVJ11" i="20" s="1"/>
  <c r="BWL11" i="20" s="1"/>
  <c r="CXN11" i="20" s="1"/>
  <c r="UG10" i="5"/>
  <c r="UF10" i="5"/>
  <c r="UP9" i="5"/>
  <c r="UO9" i="5"/>
  <c r="UH9" i="5"/>
  <c r="UH10" i="20" s="1"/>
  <c r="AVJ10" i="20" s="1"/>
  <c r="BWL10" i="20" s="1"/>
  <c r="CXN10" i="20" s="1"/>
  <c r="UG9" i="5"/>
  <c r="UF9" i="5"/>
  <c r="UP8" i="5"/>
  <c r="UO8" i="5"/>
  <c r="UN8" i="5"/>
  <c r="UM8" i="5"/>
  <c r="UL8" i="5"/>
  <c r="UL9" i="20" s="1"/>
  <c r="AVN9" i="20" s="1"/>
  <c r="BWP9" i="20" s="1"/>
  <c r="CXR9" i="20" s="1"/>
  <c r="UK8" i="5"/>
  <c r="UJ8" i="5"/>
  <c r="UI8" i="5"/>
  <c r="UI9" i="20" s="1"/>
  <c r="AVK9" i="20" s="1"/>
  <c r="BWM9" i="20" s="1"/>
  <c r="CXO9" i="20" s="1"/>
  <c r="UH8" i="5"/>
  <c r="UH9" i="20" s="1"/>
  <c r="AVJ9" i="20" s="1"/>
  <c r="BWL9" i="20" s="1"/>
  <c r="CXN9" i="20" s="1"/>
  <c r="UG8" i="5"/>
  <c r="UF8" i="5"/>
  <c r="UP7" i="5"/>
  <c r="UO7" i="5"/>
  <c r="UN7" i="5"/>
  <c r="UN8" i="20" s="1"/>
  <c r="AVP8" i="20" s="1"/>
  <c r="BWR8" i="20" s="1"/>
  <c r="CXT8" i="20" s="1"/>
  <c r="UM7" i="5"/>
  <c r="UM8" i="20" s="1"/>
  <c r="AVO8" i="20" s="1"/>
  <c r="BWQ8" i="20" s="1"/>
  <c r="CXS8" i="20" s="1"/>
  <c r="UL7" i="5"/>
  <c r="UL8" i="20" s="1"/>
  <c r="AVN8" i="20" s="1"/>
  <c r="BWP8" i="20" s="1"/>
  <c r="CXR8" i="20" s="1"/>
  <c r="UK7" i="5"/>
  <c r="UJ7" i="5"/>
  <c r="UI7" i="5"/>
  <c r="UI8" i="20" s="1"/>
  <c r="AVK8" i="20" s="1"/>
  <c r="BWM8" i="20" s="1"/>
  <c r="CXO8" i="20" s="1"/>
  <c r="UH7" i="5"/>
  <c r="UG7" i="5"/>
  <c r="UF7" i="5"/>
  <c r="UF8" i="20" s="1"/>
  <c r="AVH8" i="20" s="1"/>
  <c r="BWJ8" i="20" s="1"/>
  <c r="CXL8" i="20" s="1"/>
  <c r="UP6" i="5"/>
  <c r="UO6" i="5"/>
  <c r="UO7" i="20" s="1"/>
  <c r="AVQ7" i="20" s="1"/>
  <c r="BWS7" i="20" s="1"/>
  <c r="CXU7" i="20" s="1"/>
  <c r="UN6" i="5"/>
  <c r="UM6" i="5"/>
  <c r="UL6" i="5"/>
  <c r="UK6" i="5"/>
  <c r="UJ6" i="5"/>
  <c r="UJ7" i="20" s="1"/>
  <c r="AVL7" i="20" s="1"/>
  <c r="BWN7" i="20" s="1"/>
  <c r="CXP7" i="20" s="1"/>
  <c r="UI6" i="5"/>
  <c r="UI7" i="20" s="1"/>
  <c r="AVK7" i="20" s="1"/>
  <c r="BWM7" i="20" s="1"/>
  <c r="CXO7" i="20" s="1"/>
  <c r="UH6" i="5"/>
  <c r="UG6" i="5"/>
  <c r="UF6" i="5"/>
  <c r="UP5" i="5"/>
  <c r="UO5" i="5"/>
  <c r="UN5" i="5"/>
  <c r="UM5" i="5"/>
  <c r="UL5" i="5"/>
  <c r="UL6" i="20" s="1"/>
  <c r="AVN6" i="20" s="1"/>
  <c r="BWP6" i="20" s="1"/>
  <c r="CXR6" i="20" s="1"/>
  <c r="UK5" i="5"/>
  <c r="UJ5" i="5"/>
  <c r="UI5" i="5"/>
  <c r="UH5" i="5"/>
  <c r="UG5" i="5"/>
  <c r="UF5" i="5"/>
  <c r="TT12" i="5"/>
  <c r="TS12" i="5"/>
  <c r="TS13" i="20" s="1"/>
  <c r="AUU13" i="20" s="1"/>
  <c r="BVW13" i="20" s="1"/>
  <c r="CWY13" i="20" s="1"/>
  <c r="TL12" i="5"/>
  <c r="TK12" i="5"/>
  <c r="TJ12" i="5"/>
  <c r="TT11" i="5"/>
  <c r="TS11" i="5"/>
  <c r="TR11" i="5"/>
  <c r="TQ11" i="5"/>
  <c r="TQ12" i="20" s="1"/>
  <c r="AUS12" i="20" s="1"/>
  <c r="BVU12" i="20" s="1"/>
  <c r="CWW12" i="20" s="1"/>
  <c r="TP11" i="5"/>
  <c r="TP12" i="20" s="1"/>
  <c r="AUR12" i="20" s="1"/>
  <c r="BVT12" i="20" s="1"/>
  <c r="CWV12" i="20" s="1"/>
  <c r="TO11" i="5"/>
  <c r="TN11" i="5"/>
  <c r="TM11" i="5"/>
  <c r="TL11" i="5"/>
  <c r="TK11" i="5"/>
  <c r="TJ11" i="5"/>
  <c r="TT10" i="5"/>
  <c r="TT11" i="20" s="1"/>
  <c r="AUV11" i="20" s="1"/>
  <c r="BVX11" i="20" s="1"/>
  <c r="CWZ11" i="20" s="1"/>
  <c r="TS10" i="5"/>
  <c r="TS11" i="20" s="1"/>
  <c r="AUU11" i="20" s="1"/>
  <c r="BVW11" i="20" s="1"/>
  <c r="CWY11" i="20" s="1"/>
  <c r="TR10" i="5"/>
  <c r="TR11" i="20" s="1"/>
  <c r="AUT11" i="20" s="1"/>
  <c r="BVV11" i="20" s="1"/>
  <c r="CWX11" i="20" s="1"/>
  <c r="TQ10" i="5"/>
  <c r="TP10" i="5"/>
  <c r="TO10" i="5"/>
  <c r="TN10" i="5"/>
  <c r="TM10" i="5"/>
  <c r="TM11" i="20" s="1"/>
  <c r="AUO11" i="20" s="1"/>
  <c r="BVQ11" i="20" s="1"/>
  <c r="CWS11" i="20" s="1"/>
  <c r="TL10" i="5"/>
  <c r="TL11" i="20" s="1"/>
  <c r="AUN11" i="20" s="1"/>
  <c r="BVP11" i="20" s="1"/>
  <c r="CWR11" i="20" s="1"/>
  <c r="TK10" i="5"/>
  <c r="TK11" i="20" s="1"/>
  <c r="AUM11" i="20" s="1"/>
  <c r="BVO11" i="20" s="1"/>
  <c r="CWQ11" i="20" s="1"/>
  <c r="TJ10" i="5"/>
  <c r="TJ11" i="20" s="1"/>
  <c r="AUL11" i="20" s="1"/>
  <c r="BVN11" i="20" s="1"/>
  <c r="CWP11" i="20" s="1"/>
  <c r="TT9" i="5"/>
  <c r="TT10" i="20" s="1"/>
  <c r="AUV10" i="20" s="1"/>
  <c r="BVX10" i="20" s="1"/>
  <c r="CWZ10" i="20" s="1"/>
  <c r="TS9" i="5"/>
  <c r="TL9" i="5"/>
  <c r="TL10" i="20" s="1"/>
  <c r="AUN10" i="20" s="1"/>
  <c r="BVP10" i="20" s="1"/>
  <c r="CWR10" i="20" s="1"/>
  <c r="TK9" i="5"/>
  <c r="TJ9" i="5"/>
  <c r="TT8" i="5"/>
  <c r="TS8" i="5"/>
  <c r="TS9" i="20" s="1"/>
  <c r="AUU9" i="20" s="1"/>
  <c r="BVW9" i="20" s="1"/>
  <c r="CWY9" i="20" s="1"/>
  <c r="TR8" i="5"/>
  <c r="TR9" i="20" s="1"/>
  <c r="AUT9" i="20" s="1"/>
  <c r="BVV9" i="20" s="1"/>
  <c r="CWX9" i="20" s="1"/>
  <c r="TQ8" i="5"/>
  <c r="TQ9" i="20" s="1"/>
  <c r="AUS9" i="20" s="1"/>
  <c r="BVU9" i="20" s="1"/>
  <c r="CWW9" i="20" s="1"/>
  <c r="TP8" i="5"/>
  <c r="TO8" i="5"/>
  <c r="TN8" i="5"/>
  <c r="TM8" i="5"/>
  <c r="TL8" i="5"/>
  <c r="TL9" i="20" s="1"/>
  <c r="AUN9" i="20" s="1"/>
  <c r="BVP9" i="20" s="1"/>
  <c r="CWR9" i="20" s="1"/>
  <c r="TK8" i="5"/>
  <c r="TK9" i="20" s="1"/>
  <c r="AUM9" i="20" s="1"/>
  <c r="BVO9" i="20" s="1"/>
  <c r="CWQ9" i="20" s="1"/>
  <c r="TJ8" i="5"/>
  <c r="TJ9" i="20" s="1"/>
  <c r="AUL9" i="20" s="1"/>
  <c r="BVN9" i="20" s="1"/>
  <c r="CWP9" i="20" s="1"/>
  <c r="TT7" i="5"/>
  <c r="TT8" i="20" s="1"/>
  <c r="AUV8" i="20" s="1"/>
  <c r="BVX8" i="20" s="1"/>
  <c r="CWZ8" i="20" s="1"/>
  <c r="TS7" i="5"/>
  <c r="TR7" i="5"/>
  <c r="TQ7" i="5"/>
  <c r="TP7" i="5"/>
  <c r="TP8" i="20" s="1"/>
  <c r="AUR8" i="20" s="1"/>
  <c r="BVT8" i="20" s="1"/>
  <c r="CWV8" i="20" s="1"/>
  <c r="TO7" i="5"/>
  <c r="TN7" i="5"/>
  <c r="TN8" i="20" s="1"/>
  <c r="AUP8" i="20" s="1"/>
  <c r="BVR8" i="20" s="1"/>
  <c r="CWT8" i="20" s="1"/>
  <c r="TM7" i="5"/>
  <c r="TM8" i="20" s="1"/>
  <c r="AUO8" i="20" s="1"/>
  <c r="BVQ8" i="20" s="1"/>
  <c r="CWS8" i="20" s="1"/>
  <c r="TL7" i="5"/>
  <c r="TK7" i="5"/>
  <c r="TJ7" i="5"/>
  <c r="TJ8" i="20" s="1"/>
  <c r="AUL8" i="20" s="1"/>
  <c r="BVN8" i="20" s="1"/>
  <c r="CWP8" i="20" s="1"/>
  <c r="TT6" i="5"/>
  <c r="TS6" i="5"/>
  <c r="TR6" i="5"/>
  <c r="TQ6" i="5"/>
  <c r="TQ7" i="20" s="1"/>
  <c r="AUS7" i="20" s="1"/>
  <c r="BVU7" i="20" s="1"/>
  <c r="CWW7" i="20" s="1"/>
  <c r="TP6" i="5"/>
  <c r="TO6" i="5"/>
  <c r="TN6" i="5"/>
  <c r="TM6" i="5"/>
  <c r="TL6" i="5"/>
  <c r="TK6" i="5"/>
  <c r="TJ6" i="5"/>
  <c r="TT5" i="5"/>
  <c r="TS5" i="5"/>
  <c r="TR5" i="5"/>
  <c r="TR6" i="20" s="1"/>
  <c r="AUT6" i="20" s="1"/>
  <c r="BVV6" i="20" s="1"/>
  <c r="CWX6" i="20" s="1"/>
  <c r="TQ5" i="5"/>
  <c r="TP5" i="5"/>
  <c r="TO5" i="5"/>
  <c r="TN5" i="5"/>
  <c r="TM5" i="5"/>
  <c r="TM6" i="20" s="1"/>
  <c r="AUO6" i="20" s="1"/>
  <c r="BVQ6" i="20" s="1"/>
  <c r="CWS6" i="20" s="1"/>
  <c r="TL5" i="5"/>
  <c r="TL6" i="20" s="1"/>
  <c r="AUN6" i="20" s="1"/>
  <c r="BVP6" i="20" s="1"/>
  <c r="CWR6" i="20" s="1"/>
  <c r="TK5" i="5"/>
  <c r="TJ5" i="5"/>
  <c r="SX12" i="5"/>
  <c r="SW12" i="5"/>
  <c r="SP12" i="5"/>
  <c r="SO12" i="5"/>
  <c r="SN12" i="5"/>
  <c r="SN13" i="20" s="1"/>
  <c r="ATP13" i="20" s="1"/>
  <c r="BUR13" i="20" s="1"/>
  <c r="CVT13" i="20" s="1"/>
  <c r="SX11" i="5"/>
  <c r="SX12" i="20" s="1"/>
  <c r="ATZ12" i="20" s="1"/>
  <c r="BVB12" i="20" s="1"/>
  <c r="CWD12" i="20" s="1"/>
  <c r="SW11" i="5"/>
  <c r="SV11" i="5"/>
  <c r="SU11" i="5"/>
  <c r="ST11" i="5"/>
  <c r="SS11" i="5"/>
  <c r="SR11" i="5"/>
  <c r="SR12" i="20" s="1"/>
  <c r="ATT12" i="20" s="1"/>
  <c r="BUV12" i="20" s="1"/>
  <c r="CVX12" i="20" s="1"/>
  <c r="SQ11" i="5"/>
  <c r="SQ12" i="20" s="1"/>
  <c r="ATS12" i="20" s="1"/>
  <c r="BUU12" i="20" s="1"/>
  <c r="CVW12" i="20" s="1"/>
  <c r="SP11" i="5"/>
  <c r="SP12" i="20" s="1"/>
  <c r="ATR12" i="20" s="1"/>
  <c r="BUT12" i="20" s="1"/>
  <c r="CVV12" i="20" s="1"/>
  <c r="SO11" i="5"/>
  <c r="SN11" i="5"/>
  <c r="SX10" i="5"/>
  <c r="SW10" i="5"/>
  <c r="SV10" i="5"/>
  <c r="SU10" i="5"/>
  <c r="SU11" i="20" s="1"/>
  <c r="ATW11" i="20" s="1"/>
  <c r="BUY11" i="20" s="1"/>
  <c r="CWA11" i="20" s="1"/>
  <c r="ST10" i="5"/>
  <c r="ST11" i="20" s="1"/>
  <c r="ATV11" i="20" s="1"/>
  <c r="BUX11" i="20" s="1"/>
  <c r="CVZ11" i="20" s="1"/>
  <c r="SS10" i="5"/>
  <c r="SR10" i="5"/>
  <c r="SQ10" i="5"/>
  <c r="SQ11" i="20" s="1"/>
  <c r="ATS11" i="20" s="1"/>
  <c r="BUU11" i="20" s="1"/>
  <c r="CVW11" i="20" s="1"/>
  <c r="SP10" i="5"/>
  <c r="SP11" i="20" s="1"/>
  <c r="ATR11" i="20" s="1"/>
  <c r="BUT11" i="20" s="1"/>
  <c r="CVV11" i="20" s="1"/>
  <c r="SO10" i="5"/>
  <c r="SN10" i="5"/>
  <c r="SX9" i="5"/>
  <c r="SW9" i="5"/>
  <c r="SP9" i="5"/>
  <c r="SP10" i="20" s="1"/>
  <c r="ATR10" i="20" s="1"/>
  <c r="BUT10" i="20" s="1"/>
  <c r="CVV10" i="20" s="1"/>
  <c r="SO9" i="5"/>
  <c r="SN9" i="5"/>
  <c r="SN10" i="20" s="1"/>
  <c r="ATP10" i="20" s="1"/>
  <c r="BUR10" i="20" s="1"/>
  <c r="CVT10" i="20" s="1"/>
  <c r="SX8" i="5"/>
  <c r="SW8" i="5"/>
  <c r="SV8" i="5"/>
  <c r="SU8" i="5"/>
  <c r="ST8" i="5"/>
  <c r="ST9" i="20" s="1"/>
  <c r="ATV9" i="20" s="1"/>
  <c r="BUX9" i="20" s="1"/>
  <c r="CVZ9" i="20" s="1"/>
  <c r="SS8" i="5"/>
  <c r="SS9" i="20" s="1"/>
  <c r="ATU9" i="20" s="1"/>
  <c r="BUW9" i="20" s="1"/>
  <c r="CVY9" i="20" s="1"/>
  <c r="SR8" i="5"/>
  <c r="SR9" i="20" s="1"/>
  <c r="ATT9" i="20" s="1"/>
  <c r="BUV9" i="20" s="1"/>
  <c r="CVX9" i="20" s="1"/>
  <c r="SQ8" i="5"/>
  <c r="SQ9" i="20" s="1"/>
  <c r="ATS9" i="20" s="1"/>
  <c r="BUU9" i="20" s="1"/>
  <c r="CVW9" i="20" s="1"/>
  <c r="SP8" i="5"/>
  <c r="SP9" i="20" s="1"/>
  <c r="ATR9" i="20" s="1"/>
  <c r="BUT9" i="20" s="1"/>
  <c r="CVV9" i="20" s="1"/>
  <c r="SO8" i="5"/>
  <c r="SN8" i="5"/>
  <c r="SX7" i="5"/>
  <c r="SW7" i="5"/>
  <c r="SV7" i="5"/>
  <c r="SU7" i="5"/>
  <c r="ST7" i="5"/>
  <c r="SS7" i="5"/>
  <c r="SR7" i="5"/>
  <c r="SQ7" i="5"/>
  <c r="SP7" i="5"/>
  <c r="SO7" i="5"/>
  <c r="SN7" i="5"/>
  <c r="SX6" i="5"/>
  <c r="SW6" i="5"/>
  <c r="SW7" i="20" s="1"/>
  <c r="ATY7" i="20" s="1"/>
  <c r="BVA7" i="20" s="1"/>
  <c r="CWC7" i="20" s="1"/>
  <c r="SV6" i="5"/>
  <c r="SU6" i="5"/>
  <c r="ST6" i="5"/>
  <c r="SS6" i="5"/>
  <c r="SR6" i="5"/>
  <c r="SR7" i="20" s="1"/>
  <c r="ATT7" i="20" s="1"/>
  <c r="BUV7" i="20" s="1"/>
  <c r="CVX7" i="20" s="1"/>
  <c r="SQ6" i="5"/>
  <c r="SQ7" i="20" s="1"/>
  <c r="ATS7" i="20" s="1"/>
  <c r="BUU7" i="20" s="1"/>
  <c r="CVW7" i="20" s="1"/>
  <c r="SP6" i="5"/>
  <c r="SO6" i="5"/>
  <c r="SO7" i="20" s="1"/>
  <c r="ATQ7" i="20" s="1"/>
  <c r="BUS7" i="20" s="1"/>
  <c r="CVU7" i="20" s="1"/>
  <c r="SN6" i="5"/>
  <c r="SX5" i="5"/>
  <c r="SW5" i="5"/>
  <c r="SV5" i="5"/>
  <c r="SU5" i="5"/>
  <c r="ST5" i="5"/>
  <c r="ST6" i="20" s="1"/>
  <c r="ATV6" i="20" s="1"/>
  <c r="BUX6" i="20" s="1"/>
  <c r="CVZ6" i="20" s="1"/>
  <c r="SS5" i="5"/>
  <c r="SR5" i="5"/>
  <c r="SR6" i="20" s="1"/>
  <c r="ATT6" i="20" s="1"/>
  <c r="BUV6" i="20" s="1"/>
  <c r="CVX6" i="20" s="1"/>
  <c r="SQ5" i="5"/>
  <c r="SP5" i="5"/>
  <c r="SO5" i="5"/>
  <c r="SO6" i="20" s="1"/>
  <c r="ATQ6" i="20" s="1"/>
  <c r="BUS6" i="20" s="1"/>
  <c r="CVU6" i="20" s="1"/>
  <c r="SN5" i="5"/>
  <c r="SB12" i="5"/>
  <c r="SA12" i="5"/>
  <c r="RT12" i="5"/>
  <c r="RS12" i="5"/>
  <c r="RR12" i="5"/>
  <c r="SB11" i="5"/>
  <c r="SA11" i="5"/>
  <c r="SA12" i="20" s="1"/>
  <c r="ATC12" i="20" s="1"/>
  <c r="BUE12" i="20" s="1"/>
  <c r="CVG12" i="20" s="1"/>
  <c r="RZ11" i="5"/>
  <c r="RY11" i="5"/>
  <c r="RX11" i="5"/>
  <c r="RX12" i="20" s="1"/>
  <c r="ASZ12" i="20" s="1"/>
  <c r="BUB12" i="20" s="1"/>
  <c r="CVD12" i="20" s="1"/>
  <c r="RW11" i="5"/>
  <c r="RV11" i="5"/>
  <c r="RV12" i="20" s="1"/>
  <c r="ASX12" i="20" s="1"/>
  <c r="BTZ12" i="20" s="1"/>
  <c r="CVB12" i="20" s="1"/>
  <c r="RU11" i="5"/>
  <c r="RT11" i="5"/>
  <c r="RS11" i="5"/>
  <c r="RS12" i="20" s="1"/>
  <c r="ASU12" i="20" s="1"/>
  <c r="BTW12" i="20" s="1"/>
  <c r="CUY12" i="20" s="1"/>
  <c r="RR11" i="5"/>
  <c r="SB10" i="5"/>
  <c r="SB11" i="20" s="1"/>
  <c r="ATD11" i="20" s="1"/>
  <c r="BUF11" i="20" s="1"/>
  <c r="CVH11" i="20" s="1"/>
  <c r="SA10" i="5"/>
  <c r="SA11" i="20" s="1"/>
  <c r="ATC11" i="20" s="1"/>
  <c r="BUE11" i="20" s="1"/>
  <c r="CVG11" i="20" s="1"/>
  <c r="RZ10" i="5"/>
  <c r="RZ11" i="20" s="1"/>
  <c r="ATB11" i="20" s="1"/>
  <c r="BUD11" i="20" s="1"/>
  <c r="CVF11" i="20" s="1"/>
  <c r="RY10" i="5"/>
  <c r="RX10" i="5"/>
  <c r="RW10" i="5"/>
  <c r="RV10" i="5"/>
  <c r="RU10" i="5"/>
  <c r="RU11" i="20" s="1"/>
  <c r="ASW11" i="20" s="1"/>
  <c r="BTY11" i="20" s="1"/>
  <c r="CVA11" i="20" s="1"/>
  <c r="RT10" i="5"/>
  <c r="RT11" i="20" s="1"/>
  <c r="ASV11" i="20" s="1"/>
  <c r="BTX11" i="20" s="1"/>
  <c r="CUZ11" i="20" s="1"/>
  <c r="RS10" i="5"/>
  <c r="RS11" i="20" s="1"/>
  <c r="ASU11" i="20" s="1"/>
  <c r="BTW11" i="20" s="1"/>
  <c r="CUY11" i="20" s="1"/>
  <c r="RR10" i="5"/>
  <c r="SB9" i="5"/>
  <c r="SB10" i="20" s="1"/>
  <c r="ATD10" i="20" s="1"/>
  <c r="BUF10" i="20" s="1"/>
  <c r="CVH10" i="20" s="1"/>
  <c r="SA9" i="5"/>
  <c r="RT9" i="5"/>
  <c r="RS9" i="5"/>
  <c r="RR9" i="5"/>
  <c r="SB8" i="5"/>
  <c r="SA8" i="5"/>
  <c r="SA9" i="20" s="1"/>
  <c r="ATC9" i="20" s="1"/>
  <c r="BUE9" i="20" s="1"/>
  <c r="CVG9" i="20" s="1"/>
  <c r="RZ8" i="5"/>
  <c r="RZ9" i="20" s="1"/>
  <c r="ATB9" i="20" s="1"/>
  <c r="BUD9" i="20" s="1"/>
  <c r="CVF9" i="20" s="1"/>
  <c r="RY8" i="5"/>
  <c r="RY9" i="20" s="1"/>
  <c r="ATA9" i="20" s="1"/>
  <c r="BUC9" i="20" s="1"/>
  <c r="CVE9" i="20" s="1"/>
  <c r="RX8" i="5"/>
  <c r="RW8" i="5"/>
  <c r="RV8" i="5"/>
  <c r="RU8" i="5"/>
  <c r="RT8" i="5"/>
  <c r="RT9" i="20" s="1"/>
  <c r="ASV9" i="20" s="1"/>
  <c r="BTX9" i="20" s="1"/>
  <c r="CUZ9" i="20" s="1"/>
  <c r="RS8" i="5"/>
  <c r="RS9" i="20" s="1"/>
  <c r="ASU9" i="20" s="1"/>
  <c r="BTW9" i="20" s="1"/>
  <c r="CUY9" i="20" s="1"/>
  <c r="RR8" i="5"/>
  <c r="SB7" i="5"/>
  <c r="SB8" i="20" s="1"/>
  <c r="ATD8" i="20" s="1"/>
  <c r="BUF8" i="20" s="1"/>
  <c r="CVH8" i="20" s="1"/>
  <c r="SA7" i="5"/>
  <c r="RZ7" i="5"/>
  <c r="RZ8" i="20" s="1"/>
  <c r="ATB8" i="20" s="1"/>
  <c r="BUD8" i="20" s="1"/>
  <c r="CVF8" i="20" s="1"/>
  <c r="RY7" i="5"/>
  <c r="RX7" i="5"/>
  <c r="RX8" i="20" s="1"/>
  <c r="ASZ8" i="20" s="1"/>
  <c r="BUB8" i="20" s="1"/>
  <c r="CVD8" i="20" s="1"/>
  <c r="RW7" i="5"/>
  <c r="RV7" i="5"/>
  <c r="RV8" i="20" s="1"/>
  <c r="ASX8" i="20" s="1"/>
  <c r="BTZ8" i="20" s="1"/>
  <c r="CVB8" i="20" s="1"/>
  <c r="RU7" i="5"/>
  <c r="RU8" i="20" s="1"/>
  <c r="ASW8" i="20" s="1"/>
  <c r="BTY8" i="20" s="1"/>
  <c r="CVA8" i="20" s="1"/>
  <c r="RT7" i="5"/>
  <c r="RT8" i="20" s="1"/>
  <c r="ASV8" i="20" s="1"/>
  <c r="BTX8" i="20" s="1"/>
  <c r="CUZ8" i="20" s="1"/>
  <c r="RS7" i="5"/>
  <c r="RR7" i="5"/>
  <c r="SB6" i="5"/>
  <c r="SA6" i="5"/>
  <c r="RZ6" i="5"/>
  <c r="RY6" i="5"/>
  <c r="RY7" i="20" s="1"/>
  <c r="ATA7" i="20" s="1"/>
  <c r="BUC7" i="20" s="1"/>
  <c r="CVE7" i="20" s="1"/>
  <c r="RX6" i="5"/>
  <c r="RW6" i="5"/>
  <c r="RW7" i="20" s="1"/>
  <c r="ASY7" i="20" s="1"/>
  <c r="BUA7" i="20" s="1"/>
  <c r="CVC7" i="20" s="1"/>
  <c r="RV6" i="5"/>
  <c r="RU6" i="5"/>
  <c r="RT6" i="5"/>
  <c r="RS6" i="5"/>
  <c r="RR6" i="5"/>
  <c r="RR7" i="20" s="1"/>
  <c r="AST7" i="20" s="1"/>
  <c r="BTV7" i="20" s="1"/>
  <c r="CUX7" i="20" s="1"/>
  <c r="SB5" i="5"/>
  <c r="SB6" i="20" s="1"/>
  <c r="ATD6" i="20" s="1"/>
  <c r="BUF6" i="20" s="1"/>
  <c r="CVH6" i="20" s="1"/>
  <c r="SA5" i="5"/>
  <c r="SA6" i="20" s="1"/>
  <c r="ATC6" i="20" s="1"/>
  <c r="BUE6" i="20" s="1"/>
  <c r="CVG6" i="20" s="1"/>
  <c r="RZ5" i="5"/>
  <c r="RZ6" i="20" s="1"/>
  <c r="ATB6" i="20" s="1"/>
  <c r="BUD6" i="20" s="1"/>
  <c r="CVF6" i="20" s="1"/>
  <c r="RY5" i="5"/>
  <c r="RX5" i="5"/>
  <c r="RX6" i="20" s="1"/>
  <c r="ASZ6" i="20" s="1"/>
  <c r="BUB6" i="20" s="1"/>
  <c r="CVD6" i="20" s="1"/>
  <c r="RW5" i="5"/>
  <c r="RV5" i="5"/>
  <c r="RV6" i="20" s="1"/>
  <c r="ASX6" i="20" s="1"/>
  <c r="BTZ6" i="20" s="1"/>
  <c r="CVB6" i="20" s="1"/>
  <c r="RU5" i="5"/>
  <c r="RU6" i="20" s="1"/>
  <c r="ASW6" i="20" s="1"/>
  <c r="BTY6" i="20" s="1"/>
  <c r="CVA6" i="20" s="1"/>
  <c r="RT5" i="5"/>
  <c r="RT6" i="20" s="1"/>
  <c r="ASV6" i="20" s="1"/>
  <c r="BTX6" i="20" s="1"/>
  <c r="CUZ6" i="20" s="1"/>
  <c r="RS5" i="5"/>
  <c r="RS6" i="20" s="1"/>
  <c r="ASU6" i="20" s="1"/>
  <c r="BTW6" i="20" s="1"/>
  <c r="CUY6" i="20" s="1"/>
  <c r="RR5" i="5"/>
  <c r="RR6" i="20" s="1"/>
  <c r="AST6" i="20" s="1"/>
  <c r="BTV6" i="20" s="1"/>
  <c r="CUX6" i="20" s="1"/>
  <c r="RF12" i="5"/>
  <c r="RE12" i="5"/>
  <c r="QX12" i="5"/>
  <c r="QW12" i="5"/>
  <c r="QV12" i="5"/>
  <c r="RF11" i="5"/>
  <c r="RF12" i="20" s="1"/>
  <c r="ASH12" i="20" s="1"/>
  <c r="BTJ12" i="20" s="1"/>
  <c r="CUL12" i="20" s="1"/>
  <c r="RE11" i="5"/>
  <c r="RD11" i="5"/>
  <c r="RD12" i="20" s="1"/>
  <c r="ASF12" i="20" s="1"/>
  <c r="BTH12" i="20" s="1"/>
  <c r="CUJ12" i="20" s="1"/>
  <c r="RC11" i="5"/>
  <c r="RC12" i="20" s="1"/>
  <c r="ASE12" i="20" s="1"/>
  <c r="BTG12" i="20" s="1"/>
  <c r="CUI12" i="20" s="1"/>
  <c r="RB11" i="5"/>
  <c r="RA11" i="5"/>
  <c r="QZ11" i="5"/>
  <c r="QY11" i="5"/>
  <c r="QX11" i="5"/>
  <c r="QX12" i="20" s="1"/>
  <c r="ARZ12" i="20" s="1"/>
  <c r="BTB12" i="20" s="1"/>
  <c r="CUD12" i="20" s="1"/>
  <c r="QW11" i="5"/>
  <c r="QV11" i="5"/>
  <c r="RF10" i="5"/>
  <c r="RE10" i="5"/>
  <c r="RD10" i="5"/>
  <c r="RC10" i="5"/>
  <c r="RB10" i="5"/>
  <c r="RB11" i="20" s="1"/>
  <c r="ASD11" i="20" s="1"/>
  <c r="BTF11" i="20" s="1"/>
  <c r="CUH11" i="20" s="1"/>
  <c r="RA10" i="5"/>
  <c r="QZ10" i="5"/>
  <c r="QY10" i="5"/>
  <c r="QY11" i="20" s="1"/>
  <c r="ASA11" i="20" s="1"/>
  <c r="BTC11" i="20" s="1"/>
  <c r="CUE11" i="20" s="1"/>
  <c r="QX10" i="5"/>
  <c r="QX11" i="20" s="1"/>
  <c r="ARZ11" i="20" s="1"/>
  <c r="BTB11" i="20" s="1"/>
  <c r="CUD11" i="20" s="1"/>
  <c r="QW10" i="5"/>
  <c r="QV10" i="5"/>
  <c r="RF9" i="5"/>
  <c r="RE9" i="5"/>
  <c r="QX9" i="5"/>
  <c r="QX10" i="20" s="1"/>
  <c r="ARZ10" i="20" s="1"/>
  <c r="BTB10" i="20" s="1"/>
  <c r="CUD10" i="20" s="1"/>
  <c r="QW9" i="5"/>
  <c r="QV9" i="5"/>
  <c r="RF8" i="5"/>
  <c r="RE8" i="5"/>
  <c r="RD8" i="5"/>
  <c r="RC8" i="5"/>
  <c r="RC9" i="20" s="1"/>
  <c r="ASE9" i="20" s="1"/>
  <c r="BTG9" i="20" s="1"/>
  <c r="CUI9" i="20" s="1"/>
  <c r="RB8" i="5"/>
  <c r="RB9" i="20" s="1"/>
  <c r="ASD9" i="20" s="1"/>
  <c r="BTF9" i="20" s="1"/>
  <c r="CUH9" i="20" s="1"/>
  <c r="RA8" i="5"/>
  <c r="RA9" i="20" s="1"/>
  <c r="ASC9" i="20" s="1"/>
  <c r="BTE9" i="20" s="1"/>
  <c r="CUG9" i="20" s="1"/>
  <c r="QZ8" i="5"/>
  <c r="QY8" i="5"/>
  <c r="QY9" i="20" s="1"/>
  <c r="ASA9" i="20" s="1"/>
  <c r="BTC9" i="20" s="1"/>
  <c r="CUE9" i="20" s="1"/>
  <c r="QX8" i="5"/>
  <c r="QX9" i="20" s="1"/>
  <c r="ARZ9" i="20" s="1"/>
  <c r="BTB9" i="20" s="1"/>
  <c r="CUD9" i="20" s="1"/>
  <c r="QW8" i="5"/>
  <c r="QV8" i="5"/>
  <c r="RF7" i="5"/>
  <c r="RE7" i="5"/>
  <c r="RD7" i="5"/>
  <c r="RD8" i="20" s="1"/>
  <c r="ASF8" i="20" s="1"/>
  <c r="BTH8" i="20" s="1"/>
  <c r="CUJ8" i="20" s="1"/>
  <c r="RC7" i="5"/>
  <c r="RC8" i="20" s="1"/>
  <c r="ASE8" i="20" s="1"/>
  <c r="BTG8" i="20" s="1"/>
  <c r="CUI8" i="20" s="1"/>
  <c r="RB7" i="5"/>
  <c r="RB8" i="20" s="1"/>
  <c r="ASD8" i="20" s="1"/>
  <c r="BTF8" i="20" s="1"/>
  <c r="CUH8" i="20" s="1"/>
  <c r="RA7" i="5"/>
  <c r="QZ7" i="5"/>
  <c r="QY7" i="5"/>
  <c r="QY8" i="20" s="1"/>
  <c r="ASA8" i="20" s="1"/>
  <c r="BTC8" i="20" s="1"/>
  <c r="CUE8" i="20" s="1"/>
  <c r="QX7" i="5"/>
  <c r="QX8" i="20" s="1"/>
  <c r="ARZ8" i="20" s="1"/>
  <c r="BTB8" i="20" s="1"/>
  <c r="CUD8" i="20" s="1"/>
  <c r="QW7" i="5"/>
  <c r="QW8" i="20" s="1"/>
  <c r="ARY8" i="20" s="1"/>
  <c r="BTA8" i="20" s="1"/>
  <c r="CUC8" i="20" s="1"/>
  <c r="QV7" i="5"/>
  <c r="QV8" i="20" s="1"/>
  <c r="ARX8" i="20" s="1"/>
  <c r="BSZ8" i="20" s="1"/>
  <c r="CUB8" i="20" s="1"/>
  <c r="RF6" i="5"/>
  <c r="RF7" i="20" s="1"/>
  <c r="ASH7" i="20" s="1"/>
  <c r="BTJ7" i="20" s="1"/>
  <c r="CUL7" i="20" s="1"/>
  <c r="RE6" i="5"/>
  <c r="RE7" i="20" s="1"/>
  <c r="ASG7" i="20" s="1"/>
  <c r="BTI7" i="20" s="1"/>
  <c r="CUK7" i="20" s="1"/>
  <c r="RD6" i="5"/>
  <c r="RC6" i="5"/>
  <c r="RC7" i="20" s="1"/>
  <c r="ASE7" i="20" s="1"/>
  <c r="BTG7" i="20" s="1"/>
  <c r="CUI7" i="20" s="1"/>
  <c r="RB6" i="5"/>
  <c r="RA6" i="5"/>
  <c r="QZ6" i="5"/>
  <c r="QZ7" i="20" s="1"/>
  <c r="ASB7" i="20" s="1"/>
  <c r="BTD7" i="20" s="1"/>
  <c r="CUF7" i="20" s="1"/>
  <c r="QY6" i="5"/>
  <c r="QY7" i="20" s="1"/>
  <c r="ASA7" i="20" s="1"/>
  <c r="BTC7" i="20" s="1"/>
  <c r="CUE7" i="20" s="1"/>
  <c r="QX6" i="5"/>
  <c r="QW6" i="5"/>
  <c r="QV6" i="5"/>
  <c r="RF5" i="5"/>
  <c r="RE5" i="5"/>
  <c r="RD5" i="5"/>
  <c r="RC5" i="5"/>
  <c r="RB5" i="5"/>
  <c r="RA5" i="5"/>
  <c r="QZ5" i="5"/>
  <c r="QZ6" i="20" s="1"/>
  <c r="ASB6" i="20" s="1"/>
  <c r="BTD6" i="20" s="1"/>
  <c r="CUF6" i="20" s="1"/>
  <c r="QY5" i="5"/>
  <c r="QX5" i="5"/>
  <c r="QW5" i="5"/>
  <c r="QV5" i="5"/>
  <c r="QJ12" i="5"/>
  <c r="QI12" i="5"/>
  <c r="QB12" i="5"/>
  <c r="QA12" i="5"/>
  <c r="PZ12" i="5"/>
  <c r="QJ11" i="5"/>
  <c r="QI11" i="5"/>
  <c r="QH11" i="5"/>
  <c r="QG11" i="5"/>
  <c r="QG12" i="20" s="1"/>
  <c r="ARI12" i="20" s="1"/>
  <c r="BSK12" i="20" s="1"/>
  <c r="CTM12" i="20" s="1"/>
  <c r="QF11" i="5"/>
  <c r="QF12" i="20" s="1"/>
  <c r="ARH12" i="20" s="1"/>
  <c r="BSJ12" i="20" s="1"/>
  <c r="CTL12" i="20" s="1"/>
  <c r="QE11" i="5"/>
  <c r="QD11" i="5"/>
  <c r="QD12" i="20" s="1"/>
  <c r="ARF12" i="20" s="1"/>
  <c r="BSH12" i="20" s="1"/>
  <c r="CTJ12" i="20" s="1"/>
  <c r="QC11" i="5"/>
  <c r="QB11" i="5"/>
  <c r="QA11" i="5"/>
  <c r="PZ11" i="5"/>
  <c r="QJ10" i="5"/>
  <c r="QI10" i="5"/>
  <c r="QH10" i="5"/>
  <c r="QH11" i="20" s="1"/>
  <c r="ARJ11" i="20" s="1"/>
  <c r="BSL11" i="20" s="1"/>
  <c r="CTN11" i="20" s="1"/>
  <c r="QG10" i="5"/>
  <c r="QG11" i="20" s="1"/>
  <c r="ARI11" i="20" s="1"/>
  <c r="BSK11" i="20" s="1"/>
  <c r="CTM11" i="20" s="1"/>
  <c r="QF10" i="5"/>
  <c r="QE10" i="5"/>
  <c r="QD10" i="5"/>
  <c r="QC10" i="5"/>
  <c r="QC11" i="20" s="1"/>
  <c r="ARE11" i="20" s="1"/>
  <c r="BSG11" i="20" s="1"/>
  <c r="CTI11" i="20" s="1"/>
  <c r="QB10" i="5"/>
  <c r="QB11" i="20" s="1"/>
  <c r="ARD11" i="20" s="1"/>
  <c r="BSF11" i="20" s="1"/>
  <c r="CTH11" i="20" s="1"/>
  <c r="QA10" i="5"/>
  <c r="QA11" i="20" s="1"/>
  <c r="ARC11" i="20" s="1"/>
  <c r="BSE11" i="20" s="1"/>
  <c r="CTG11" i="20" s="1"/>
  <c r="PZ10" i="5"/>
  <c r="PZ11" i="20" s="1"/>
  <c r="ARB11" i="20" s="1"/>
  <c r="BSD11" i="20" s="1"/>
  <c r="CTF11" i="20" s="1"/>
  <c r="QJ9" i="5"/>
  <c r="QJ10" i="20" s="1"/>
  <c r="ARL10" i="20" s="1"/>
  <c r="BSN10" i="20" s="1"/>
  <c r="CTP10" i="20" s="1"/>
  <c r="QI9" i="5"/>
  <c r="QB9" i="5"/>
  <c r="QB10" i="20" s="1"/>
  <c r="ARD10" i="20" s="1"/>
  <c r="BSF10" i="20" s="1"/>
  <c r="CTH10" i="20" s="1"/>
  <c r="QA9" i="5"/>
  <c r="PZ9" i="5"/>
  <c r="QJ8" i="5"/>
  <c r="QI8" i="5"/>
  <c r="QI9" i="20" s="1"/>
  <c r="ARK9" i="20" s="1"/>
  <c r="BSM9" i="20" s="1"/>
  <c r="CTO9" i="20" s="1"/>
  <c r="QH8" i="5"/>
  <c r="QH9" i="20" s="1"/>
  <c r="ARJ9" i="20" s="1"/>
  <c r="BSL9" i="20" s="1"/>
  <c r="CTN9" i="20" s="1"/>
  <c r="QG8" i="5"/>
  <c r="QG9" i="20" s="1"/>
  <c r="ARI9" i="20" s="1"/>
  <c r="BSK9" i="20" s="1"/>
  <c r="CTM9" i="20" s="1"/>
  <c r="QF8" i="5"/>
  <c r="QE8" i="5"/>
  <c r="QD8" i="5"/>
  <c r="QC8" i="5"/>
  <c r="QB8" i="5"/>
  <c r="QB9" i="20" s="1"/>
  <c r="ARD9" i="20" s="1"/>
  <c r="BSF9" i="20" s="1"/>
  <c r="CTH9" i="20" s="1"/>
  <c r="QA8" i="5"/>
  <c r="QA9" i="20" s="1"/>
  <c r="ARC9" i="20" s="1"/>
  <c r="BSE9" i="20" s="1"/>
  <c r="CTG9" i="20" s="1"/>
  <c r="PZ8" i="5"/>
  <c r="QJ7" i="5"/>
  <c r="QJ8" i="20" s="1"/>
  <c r="ARL8" i="20" s="1"/>
  <c r="BSN8" i="20" s="1"/>
  <c r="CTP8" i="20" s="1"/>
  <c r="QI7" i="5"/>
  <c r="QH7" i="5"/>
  <c r="QG7" i="5"/>
  <c r="QF7" i="5"/>
  <c r="QE7" i="5"/>
  <c r="QD7" i="5"/>
  <c r="QD8" i="20" s="1"/>
  <c r="ARF8" i="20" s="1"/>
  <c r="BSH8" i="20" s="1"/>
  <c r="CTJ8" i="20" s="1"/>
  <c r="QC7" i="5"/>
  <c r="QC8" i="20" s="1"/>
  <c r="ARE8" i="20" s="1"/>
  <c r="BSG8" i="20" s="1"/>
  <c r="CTI8" i="20" s="1"/>
  <c r="QB7" i="5"/>
  <c r="QA7" i="5"/>
  <c r="PZ7" i="5"/>
  <c r="PZ8" i="20" s="1"/>
  <c r="ARB8" i="20" s="1"/>
  <c r="BSD8" i="20" s="1"/>
  <c r="CTF8" i="20" s="1"/>
  <c r="QJ6" i="5"/>
  <c r="QJ7" i="20" s="1"/>
  <c r="ARL7" i="20" s="1"/>
  <c r="BSN7" i="20" s="1"/>
  <c r="CTP7" i="20" s="1"/>
  <c r="QI6" i="5"/>
  <c r="QH6" i="5"/>
  <c r="QG6" i="5"/>
  <c r="QG7" i="20" s="1"/>
  <c r="ARI7" i="20" s="1"/>
  <c r="BSK7" i="20" s="1"/>
  <c r="CTM7" i="20" s="1"/>
  <c r="QF6" i="5"/>
  <c r="QF7" i="20" s="1"/>
  <c r="ARH7" i="20" s="1"/>
  <c r="BSJ7" i="20" s="1"/>
  <c r="CTL7" i="20" s="1"/>
  <c r="QE6" i="5"/>
  <c r="QE7" i="20" s="1"/>
  <c r="ARG7" i="20" s="1"/>
  <c r="BSI7" i="20" s="1"/>
  <c r="CTK7" i="20" s="1"/>
  <c r="QD6" i="5"/>
  <c r="QC6" i="5"/>
  <c r="QB6" i="5"/>
  <c r="QA6" i="5"/>
  <c r="PZ6" i="5"/>
  <c r="QJ5" i="5"/>
  <c r="QI5" i="5"/>
  <c r="QH5" i="5"/>
  <c r="QG5" i="5"/>
  <c r="QF5" i="5"/>
  <c r="QE5" i="5"/>
  <c r="QD5" i="5"/>
  <c r="QD6" i="20" s="1"/>
  <c r="ARF6" i="20" s="1"/>
  <c r="BSH6" i="20" s="1"/>
  <c r="CTJ6" i="20" s="1"/>
  <c r="QC5" i="5"/>
  <c r="QC6" i="20" s="1"/>
  <c r="ARE6" i="20" s="1"/>
  <c r="BSG6" i="20" s="1"/>
  <c r="CTI6" i="20" s="1"/>
  <c r="QB5" i="5"/>
  <c r="QB6" i="20" s="1"/>
  <c r="ARD6" i="20" s="1"/>
  <c r="BSF6" i="20" s="1"/>
  <c r="CTH6" i="20" s="1"/>
  <c r="QA5" i="5"/>
  <c r="PZ5" i="5"/>
  <c r="PN12" i="5"/>
  <c r="PM12" i="5"/>
  <c r="PF12" i="5"/>
  <c r="PE12" i="5"/>
  <c r="PD12" i="5"/>
  <c r="PD13" i="20" s="1"/>
  <c r="AQF13" i="20" s="1"/>
  <c r="BRH13" i="20" s="1"/>
  <c r="CSJ13" i="20" s="1"/>
  <c r="PN11" i="5"/>
  <c r="PN12" i="20" s="1"/>
  <c r="AQP12" i="20" s="1"/>
  <c r="BRR12" i="20" s="1"/>
  <c r="CST12" i="20" s="1"/>
  <c r="PM11" i="5"/>
  <c r="PM12" i="20" s="1"/>
  <c r="AQO12" i="20" s="1"/>
  <c r="BRQ12" i="20" s="1"/>
  <c r="CSS12" i="20" s="1"/>
  <c r="PL11" i="5"/>
  <c r="PL12" i="20" s="1"/>
  <c r="AQN12" i="20" s="1"/>
  <c r="BRP12" i="20" s="1"/>
  <c r="CSR12" i="20" s="1"/>
  <c r="PK11" i="5"/>
  <c r="PJ11" i="5"/>
  <c r="PI11" i="5"/>
  <c r="PH11" i="5"/>
  <c r="PH12" i="20" s="1"/>
  <c r="AQJ12" i="20" s="1"/>
  <c r="BRL12" i="20" s="1"/>
  <c r="CSN12" i="20" s="1"/>
  <c r="PG11" i="5"/>
  <c r="PG12" i="20" s="1"/>
  <c r="AQI12" i="20" s="1"/>
  <c r="BRK12" i="20" s="1"/>
  <c r="CSM12" i="20" s="1"/>
  <c r="PF11" i="5"/>
  <c r="PF12" i="20" s="1"/>
  <c r="AQH12" i="20" s="1"/>
  <c r="BRJ12" i="20" s="1"/>
  <c r="CSL12" i="20" s="1"/>
  <c r="PE11" i="5"/>
  <c r="PD11" i="5"/>
  <c r="PN10" i="5"/>
  <c r="PM10" i="5"/>
  <c r="PM11" i="20" s="1"/>
  <c r="AQO11" i="20" s="1"/>
  <c r="BRQ11" i="20" s="1"/>
  <c r="CSS11" i="20" s="1"/>
  <c r="PL10" i="5"/>
  <c r="PK10" i="5"/>
  <c r="PK11" i="20" s="1"/>
  <c r="AQM11" i="20" s="1"/>
  <c r="BRO11" i="20" s="1"/>
  <c r="CSQ11" i="20" s="1"/>
  <c r="PJ10" i="5"/>
  <c r="PJ11" i="20" s="1"/>
  <c r="AQL11" i="20" s="1"/>
  <c r="BRN11" i="20" s="1"/>
  <c r="CSP11" i="20" s="1"/>
  <c r="PI10" i="5"/>
  <c r="PH10" i="5"/>
  <c r="PG10" i="5"/>
  <c r="PG11" i="20" s="1"/>
  <c r="AQI11" i="20" s="1"/>
  <c r="BRK11" i="20" s="1"/>
  <c r="CSM11" i="20" s="1"/>
  <c r="PF10" i="5"/>
  <c r="PF11" i="20" s="1"/>
  <c r="AQH11" i="20" s="1"/>
  <c r="BRJ11" i="20" s="1"/>
  <c r="CSL11" i="20" s="1"/>
  <c r="PE10" i="5"/>
  <c r="PE11" i="20" s="1"/>
  <c r="AQG11" i="20" s="1"/>
  <c r="BRI11" i="20" s="1"/>
  <c r="CSK11" i="20" s="1"/>
  <c r="PD10" i="5"/>
  <c r="PN9" i="5"/>
  <c r="PM9" i="5"/>
  <c r="PF9" i="5"/>
  <c r="PF10" i="20" s="1"/>
  <c r="AQH10" i="20" s="1"/>
  <c r="BRJ10" i="20" s="1"/>
  <c r="CSL10" i="20" s="1"/>
  <c r="PE9" i="5"/>
  <c r="PD9" i="5"/>
  <c r="PD10" i="20" s="1"/>
  <c r="AQF10" i="20" s="1"/>
  <c r="BRH10" i="20" s="1"/>
  <c r="CSJ10" i="20" s="1"/>
  <c r="PN8" i="5"/>
  <c r="PM8" i="5"/>
  <c r="PL8" i="5"/>
  <c r="PK8" i="5"/>
  <c r="PK9" i="20" s="1"/>
  <c r="AQM9" i="20" s="1"/>
  <c r="BRO9" i="20" s="1"/>
  <c r="CSQ9" i="20" s="1"/>
  <c r="PJ8" i="5"/>
  <c r="PJ9" i="20" s="1"/>
  <c r="AQL9" i="20" s="1"/>
  <c r="BRN9" i="20" s="1"/>
  <c r="CSP9" i="20" s="1"/>
  <c r="PI8" i="5"/>
  <c r="PI9" i="20" s="1"/>
  <c r="AQK9" i="20" s="1"/>
  <c r="BRM9" i="20" s="1"/>
  <c r="CSO9" i="20" s="1"/>
  <c r="PH8" i="5"/>
  <c r="PH9" i="20" s="1"/>
  <c r="AQJ9" i="20" s="1"/>
  <c r="BRL9" i="20" s="1"/>
  <c r="CSN9" i="20" s="1"/>
  <c r="PG8" i="5"/>
  <c r="PG9" i="20" s="1"/>
  <c r="AQI9" i="20" s="1"/>
  <c r="BRK9" i="20" s="1"/>
  <c r="CSM9" i="20" s="1"/>
  <c r="PF8" i="5"/>
  <c r="PF9" i="20" s="1"/>
  <c r="AQH9" i="20" s="1"/>
  <c r="BRJ9" i="20" s="1"/>
  <c r="CSL9" i="20" s="1"/>
  <c r="PE8" i="5"/>
  <c r="PD8" i="5"/>
  <c r="PN7" i="5"/>
  <c r="PM7" i="5"/>
  <c r="PL7" i="5"/>
  <c r="PK7" i="5"/>
  <c r="PK8" i="20" s="1"/>
  <c r="AQM8" i="20" s="1"/>
  <c r="BRO8" i="20" s="1"/>
  <c r="CSQ8" i="20" s="1"/>
  <c r="PJ7" i="5"/>
  <c r="PJ8" i="20" s="1"/>
  <c r="AQL8" i="20" s="1"/>
  <c r="BRN8" i="20" s="1"/>
  <c r="CSP8" i="20" s="1"/>
  <c r="PI7" i="5"/>
  <c r="PH7" i="5"/>
  <c r="PG7" i="5"/>
  <c r="PF7" i="5"/>
  <c r="PE7" i="5"/>
  <c r="PD7" i="5"/>
  <c r="PD8" i="20" s="1"/>
  <c r="AQF8" i="20" s="1"/>
  <c r="BRH8" i="20" s="1"/>
  <c r="CSJ8" i="20" s="1"/>
  <c r="PN6" i="5"/>
  <c r="PM6" i="5"/>
  <c r="PM7" i="20" s="1"/>
  <c r="AQO7" i="20" s="1"/>
  <c r="BRQ7" i="20" s="1"/>
  <c r="CSS7" i="20" s="1"/>
  <c r="PL6" i="5"/>
  <c r="PK6" i="5"/>
  <c r="PJ6" i="5"/>
  <c r="PI6" i="5"/>
  <c r="PI7" i="20" s="1"/>
  <c r="AQK7" i="20" s="1"/>
  <c r="BRM7" i="20" s="1"/>
  <c r="CSO7" i="20" s="1"/>
  <c r="PH6" i="5"/>
  <c r="PH7" i="20" s="1"/>
  <c r="AQJ7" i="20" s="1"/>
  <c r="BRL7" i="20" s="1"/>
  <c r="CSN7" i="20" s="1"/>
  <c r="PG6" i="5"/>
  <c r="PG7" i="20" s="1"/>
  <c r="AQI7" i="20" s="1"/>
  <c r="BRK7" i="20" s="1"/>
  <c r="CSM7" i="20" s="1"/>
  <c r="PF6" i="5"/>
  <c r="PE6" i="5"/>
  <c r="PE7" i="20" s="1"/>
  <c r="AQG7" i="20" s="1"/>
  <c r="BRI7" i="20" s="1"/>
  <c r="CSK7" i="20" s="1"/>
  <c r="PD6" i="5"/>
  <c r="PN5" i="5"/>
  <c r="PM5" i="5"/>
  <c r="PL5" i="5"/>
  <c r="PL6" i="20" s="1"/>
  <c r="AQN6" i="20" s="1"/>
  <c r="BRP6" i="20" s="1"/>
  <c r="CSR6" i="20" s="1"/>
  <c r="PK5" i="5"/>
  <c r="PJ5" i="5"/>
  <c r="PI5" i="5"/>
  <c r="PH5" i="5"/>
  <c r="PH6" i="20" s="1"/>
  <c r="AQJ6" i="20" s="1"/>
  <c r="BRL6" i="20" s="1"/>
  <c r="CSN6" i="20" s="1"/>
  <c r="PG5" i="5"/>
  <c r="PF5" i="5"/>
  <c r="PE5" i="5"/>
  <c r="PD5" i="5"/>
  <c r="PD6" i="20" s="1"/>
  <c r="AQF6" i="20" s="1"/>
  <c r="BRH6" i="20" s="1"/>
  <c r="CSJ6" i="20" s="1"/>
  <c r="OR12" i="5"/>
  <c r="OQ12" i="5"/>
  <c r="OQ13" i="20" s="1"/>
  <c r="APS13" i="20" s="1"/>
  <c r="BQU13" i="20" s="1"/>
  <c r="CRW13" i="20" s="1"/>
  <c r="OJ12" i="5"/>
  <c r="OI12" i="5"/>
  <c r="OH12" i="5"/>
  <c r="OR11" i="5"/>
  <c r="OQ11" i="5"/>
  <c r="OP11" i="5"/>
  <c r="OO11" i="5"/>
  <c r="ON11" i="5"/>
  <c r="ON12" i="20" s="1"/>
  <c r="APP12" i="20" s="1"/>
  <c r="BQR12" i="20" s="1"/>
  <c r="CRT12" i="20" s="1"/>
  <c r="OM11" i="5"/>
  <c r="OL11" i="5"/>
  <c r="OL12" i="20" s="1"/>
  <c r="APN12" i="20" s="1"/>
  <c r="BQP12" i="20" s="1"/>
  <c r="CRR12" i="20" s="1"/>
  <c r="OK11" i="5"/>
  <c r="OK12" i="20" s="1"/>
  <c r="APM12" i="20" s="1"/>
  <c r="BQO12" i="20" s="1"/>
  <c r="CRQ12" i="20" s="1"/>
  <c r="OJ11" i="5"/>
  <c r="OI11" i="5"/>
  <c r="OI12" i="20" s="1"/>
  <c r="APK12" i="20" s="1"/>
  <c r="BQM12" i="20" s="1"/>
  <c r="CRO12" i="20" s="1"/>
  <c r="OH11" i="5"/>
  <c r="OR10" i="5"/>
  <c r="OQ10" i="5"/>
  <c r="OQ11" i="20" s="1"/>
  <c r="APS11" i="20" s="1"/>
  <c r="BQU11" i="20" s="1"/>
  <c r="CRW11" i="20" s="1"/>
  <c r="OP10" i="5"/>
  <c r="OP11" i="20" s="1"/>
  <c r="APR11" i="20" s="1"/>
  <c r="BQT11" i="20" s="1"/>
  <c r="CRV11" i="20" s="1"/>
  <c r="OO10" i="5"/>
  <c r="ON10" i="5"/>
  <c r="OM10" i="5"/>
  <c r="OL10" i="5"/>
  <c r="OK10" i="5"/>
  <c r="OK11" i="20" s="1"/>
  <c r="APM11" i="20" s="1"/>
  <c r="BQO11" i="20" s="1"/>
  <c r="CRQ11" i="20" s="1"/>
  <c r="OJ10" i="5"/>
  <c r="OJ11" i="20" s="1"/>
  <c r="APL11" i="20" s="1"/>
  <c r="BQN11" i="20" s="1"/>
  <c r="CRP11" i="20" s="1"/>
  <c r="OI10" i="5"/>
  <c r="OI11" i="20" s="1"/>
  <c r="APK11" i="20" s="1"/>
  <c r="BQM11" i="20" s="1"/>
  <c r="CRO11" i="20" s="1"/>
  <c r="OH10" i="5"/>
  <c r="OR9" i="5"/>
  <c r="OQ9" i="5"/>
  <c r="OJ9" i="5"/>
  <c r="OI9" i="5"/>
  <c r="OH9" i="5"/>
  <c r="OR8" i="5"/>
  <c r="OQ8" i="5"/>
  <c r="OP8" i="5"/>
  <c r="OP9" i="20" s="1"/>
  <c r="APR9" i="20" s="1"/>
  <c r="BQT9" i="20" s="1"/>
  <c r="CRV9" i="20" s="1"/>
  <c r="OO8" i="5"/>
  <c r="OO9" i="20" s="1"/>
  <c r="APQ9" i="20" s="1"/>
  <c r="BQS9" i="20" s="1"/>
  <c r="CRU9" i="20" s="1"/>
  <c r="ON8" i="5"/>
  <c r="OM8" i="5"/>
  <c r="OL8" i="5"/>
  <c r="OK8" i="5"/>
  <c r="OJ8" i="5"/>
  <c r="OJ9" i="20" s="1"/>
  <c r="APL9" i="20" s="1"/>
  <c r="BQN9" i="20" s="1"/>
  <c r="CRP9" i="20" s="1"/>
  <c r="OI8" i="5"/>
  <c r="OI9" i="20" s="1"/>
  <c r="APK9" i="20" s="1"/>
  <c r="BQM9" i="20" s="1"/>
  <c r="CRO9" i="20" s="1"/>
  <c r="OH8" i="5"/>
  <c r="OR7" i="5"/>
  <c r="OQ7" i="5"/>
  <c r="OP7" i="5"/>
  <c r="OP8" i="20" s="1"/>
  <c r="APR8" i="20" s="1"/>
  <c r="BQT8" i="20" s="1"/>
  <c r="CRV8" i="20" s="1"/>
  <c r="OO7" i="5"/>
  <c r="ON7" i="5"/>
  <c r="OM7" i="5"/>
  <c r="OL7" i="5"/>
  <c r="OL8" i="20" s="1"/>
  <c r="APN8" i="20" s="1"/>
  <c r="BQP8" i="20" s="1"/>
  <c r="CRR8" i="20" s="1"/>
  <c r="OK7" i="5"/>
  <c r="OK8" i="20" s="1"/>
  <c r="APM8" i="20" s="1"/>
  <c r="BQO8" i="20" s="1"/>
  <c r="CRQ8" i="20" s="1"/>
  <c r="OJ7" i="5"/>
  <c r="OI7" i="5"/>
  <c r="OH7" i="5"/>
  <c r="OR6" i="5"/>
  <c r="OQ6" i="5"/>
  <c r="OP6" i="5"/>
  <c r="OO6" i="5"/>
  <c r="OO7" i="20" s="1"/>
  <c r="APQ7" i="20" s="1"/>
  <c r="BQS7" i="20" s="1"/>
  <c r="CRU7" i="20" s="1"/>
  <c r="ON6" i="5"/>
  <c r="ON7" i="20" s="1"/>
  <c r="APP7" i="20" s="1"/>
  <c r="BQR7" i="20" s="1"/>
  <c r="CRT7" i="20" s="1"/>
  <c r="OM6" i="5"/>
  <c r="OM7" i="20" s="1"/>
  <c r="APO7" i="20" s="1"/>
  <c r="BQQ7" i="20" s="1"/>
  <c r="CRS7" i="20" s="1"/>
  <c r="OL6" i="5"/>
  <c r="OK6" i="5"/>
  <c r="OJ6" i="5"/>
  <c r="OI6" i="5"/>
  <c r="OH6" i="5"/>
  <c r="OH7" i="20" s="1"/>
  <c r="APJ7" i="20" s="1"/>
  <c r="BQL7" i="20" s="1"/>
  <c r="CRN7" i="20" s="1"/>
  <c r="OR5" i="5"/>
  <c r="OR6" i="20" s="1"/>
  <c r="APT6" i="20" s="1"/>
  <c r="BQV6" i="20" s="1"/>
  <c r="CRX6" i="20" s="1"/>
  <c r="OQ5" i="5"/>
  <c r="OP5" i="5"/>
  <c r="OP6" i="20" s="1"/>
  <c r="APR6" i="20" s="1"/>
  <c r="BQT6" i="20" s="1"/>
  <c r="CRV6" i="20" s="1"/>
  <c r="OO5" i="5"/>
  <c r="ON5" i="5"/>
  <c r="ON6" i="20" s="1"/>
  <c r="APP6" i="20" s="1"/>
  <c r="BQR6" i="20" s="1"/>
  <c r="CRT6" i="20" s="1"/>
  <c r="OM5" i="5"/>
  <c r="OL5" i="5"/>
  <c r="OL6" i="20" s="1"/>
  <c r="APN6" i="20" s="1"/>
  <c r="BQP6" i="20" s="1"/>
  <c r="CRR6" i="20" s="1"/>
  <c r="OK5" i="5"/>
  <c r="OK6" i="20" s="1"/>
  <c r="APM6" i="20" s="1"/>
  <c r="BQO6" i="20" s="1"/>
  <c r="CRQ6" i="20" s="1"/>
  <c r="OJ5" i="5"/>
  <c r="OJ6" i="20" s="1"/>
  <c r="APL6" i="20" s="1"/>
  <c r="BQN6" i="20" s="1"/>
  <c r="CRP6" i="20" s="1"/>
  <c r="OI5" i="5"/>
  <c r="OI6" i="20" s="1"/>
  <c r="APK6" i="20" s="1"/>
  <c r="BQM6" i="20" s="1"/>
  <c r="CRO6" i="20" s="1"/>
  <c r="OH5" i="5"/>
  <c r="OH6" i="20" s="1"/>
  <c r="APJ6" i="20" s="1"/>
  <c r="BQL6" i="20" s="1"/>
  <c r="CRN6" i="20" s="1"/>
  <c r="NV12" i="5"/>
  <c r="NU12" i="5"/>
  <c r="NN12" i="5"/>
  <c r="NM12" i="5"/>
  <c r="NL12" i="5"/>
  <c r="NL13" i="20" s="1"/>
  <c r="AON13" i="20" s="1"/>
  <c r="BPP13" i="20" s="1"/>
  <c r="CQR13" i="20" s="1"/>
  <c r="NV11" i="5"/>
  <c r="NU11" i="5"/>
  <c r="NT11" i="5"/>
  <c r="NT12" i="20" s="1"/>
  <c r="AOV12" i="20" s="1"/>
  <c r="BPX12" i="20" s="1"/>
  <c r="CQZ12" i="20" s="1"/>
  <c r="NS11" i="5"/>
  <c r="NS12" i="20" s="1"/>
  <c r="AOU12" i="20" s="1"/>
  <c r="BPW12" i="20" s="1"/>
  <c r="CQY12" i="20" s="1"/>
  <c r="NR11" i="5"/>
  <c r="NQ11" i="5"/>
  <c r="NP11" i="5"/>
  <c r="NP12" i="20" s="1"/>
  <c r="AOR12" i="20" s="1"/>
  <c r="BPT12" i="20" s="1"/>
  <c r="CQV12" i="20" s="1"/>
  <c r="NO11" i="5"/>
  <c r="NO12" i="20" s="1"/>
  <c r="AOQ12" i="20" s="1"/>
  <c r="BPS12" i="20" s="1"/>
  <c r="CQU12" i="20" s="1"/>
  <c r="NN11" i="5"/>
  <c r="NM11" i="5"/>
  <c r="NL11" i="5"/>
  <c r="NL12" i="20" s="1"/>
  <c r="AON12" i="20" s="1"/>
  <c r="BPP12" i="20" s="1"/>
  <c r="CQR12" i="20" s="1"/>
  <c r="NV10" i="5"/>
  <c r="NU10" i="5"/>
  <c r="NT10" i="5"/>
  <c r="NS10" i="5"/>
  <c r="NR10" i="5"/>
  <c r="NR11" i="20" s="1"/>
  <c r="AOT11" i="20" s="1"/>
  <c r="BPV11" i="20" s="1"/>
  <c r="CQX11" i="20" s="1"/>
  <c r="NQ10" i="5"/>
  <c r="NP10" i="5"/>
  <c r="NO10" i="5"/>
  <c r="NO11" i="20" s="1"/>
  <c r="AOQ11" i="20" s="1"/>
  <c r="BPS11" i="20" s="1"/>
  <c r="CQU11" i="20" s="1"/>
  <c r="NN10" i="5"/>
  <c r="NN11" i="20" s="1"/>
  <c r="AOP11" i="20" s="1"/>
  <c r="BPR11" i="20" s="1"/>
  <c r="CQT11" i="20" s="1"/>
  <c r="NM10" i="5"/>
  <c r="NL10" i="5"/>
  <c r="NV9" i="5"/>
  <c r="NU9" i="5"/>
  <c r="NN9" i="5"/>
  <c r="NN10" i="20" s="1"/>
  <c r="AOP10" i="20" s="1"/>
  <c r="BPR10" i="20" s="1"/>
  <c r="CQT10" i="20" s="1"/>
  <c r="NM9" i="5"/>
  <c r="NL9" i="5"/>
  <c r="NV8" i="5"/>
  <c r="NU8" i="5"/>
  <c r="NT8" i="5"/>
  <c r="NS8" i="5"/>
  <c r="NR8" i="5"/>
  <c r="NR9" i="20" s="1"/>
  <c r="AOT9" i="20" s="1"/>
  <c r="BPV9" i="20" s="1"/>
  <c r="CQX9" i="20" s="1"/>
  <c r="NQ8" i="5"/>
  <c r="NQ9" i="20" s="1"/>
  <c r="AOS9" i="20" s="1"/>
  <c r="BPU9" i="20" s="1"/>
  <c r="CQW9" i="20" s="1"/>
  <c r="NP8" i="5"/>
  <c r="NP9" i="20" s="1"/>
  <c r="AOR9" i="20" s="1"/>
  <c r="BPT9" i="20" s="1"/>
  <c r="CQV9" i="20" s="1"/>
  <c r="NO8" i="5"/>
  <c r="NO9" i="20" s="1"/>
  <c r="AOQ9" i="20" s="1"/>
  <c r="BPS9" i="20" s="1"/>
  <c r="CQU9" i="20" s="1"/>
  <c r="NN8" i="5"/>
  <c r="NN9" i="20" s="1"/>
  <c r="AOP9" i="20" s="1"/>
  <c r="BPR9" i="20" s="1"/>
  <c r="CQT9" i="20" s="1"/>
  <c r="NM8" i="5"/>
  <c r="NL8" i="5"/>
  <c r="NV7" i="5"/>
  <c r="NU7" i="5"/>
  <c r="NT7" i="5"/>
  <c r="NS7" i="5"/>
  <c r="NR7" i="5"/>
  <c r="NR8" i="20" s="1"/>
  <c r="AOT8" i="20" s="1"/>
  <c r="BPV8" i="20" s="1"/>
  <c r="CQX8" i="20" s="1"/>
  <c r="NQ7" i="5"/>
  <c r="NP7" i="5"/>
  <c r="NO7" i="5"/>
  <c r="NN7" i="5"/>
  <c r="NN8" i="20" s="1"/>
  <c r="AOP8" i="20" s="1"/>
  <c r="BPR8" i="20" s="1"/>
  <c r="CQT8" i="20" s="1"/>
  <c r="NM7" i="5"/>
  <c r="NL7" i="5"/>
  <c r="NL8" i="20" s="1"/>
  <c r="AON8" i="20" s="1"/>
  <c r="BPP8" i="20" s="1"/>
  <c r="CQR8" i="20" s="1"/>
  <c r="NV6" i="5"/>
  <c r="NV7" i="20" s="1"/>
  <c r="AOX7" i="20" s="1"/>
  <c r="BPZ7" i="20" s="1"/>
  <c r="CRB7" i="20" s="1"/>
  <c r="NU6" i="5"/>
  <c r="NU7" i="20" s="1"/>
  <c r="AOW7" i="20" s="1"/>
  <c r="BPY7" i="20" s="1"/>
  <c r="CRA7" i="20" s="1"/>
  <c r="NT6" i="5"/>
  <c r="NS6" i="5"/>
  <c r="NR6" i="5"/>
  <c r="NQ6" i="5"/>
  <c r="NP6" i="5"/>
  <c r="NP7" i="20" s="1"/>
  <c r="AOR7" i="20" s="1"/>
  <c r="BPT7" i="20" s="1"/>
  <c r="CQV7" i="20" s="1"/>
  <c r="NO6" i="5"/>
  <c r="NO7" i="20" s="1"/>
  <c r="AOQ7" i="20" s="1"/>
  <c r="BPS7" i="20" s="1"/>
  <c r="CQU7" i="20" s="1"/>
  <c r="NN6" i="5"/>
  <c r="NM6" i="5"/>
  <c r="NL6" i="5"/>
  <c r="NV5" i="5"/>
  <c r="NU5" i="5"/>
  <c r="NT5" i="5"/>
  <c r="NS5" i="5"/>
  <c r="NR5" i="5"/>
  <c r="NR6" i="20" s="1"/>
  <c r="AOT6" i="20" s="1"/>
  <c r="BPV6" i="20" s="1"/>
  <c r="CQX6" i="20" s="1"/>
  <c r="NQ5" i="5"/>
  <c r="NP5" i="5"/>
  <c r="NO5" i="5"/>
  <c r="NN5" i="5"/>
  <c r="NM5" i="5"/>
  <c r="NL5" i="5"/>
  <c r="AAO6" i="20"/>
  <c r="AAP6" i="20"/>
  <c r="AAQ6" i="20"/>
  <c r="AAR6" i="20"/>
  <c r="AAS6" i="20"/>
  <c r="AAT6" i="20"/>
  <c r="AAU6" i="20"/>
  <c r="AAV6" i="20"/>
  <c r="AAW6" i="20"/>
  <c r="AAX6" i="20"/>
  <c r="AAY6" i="20"/>
  <c r="ABK6" i="20"/>
  <c r="ABL6" i="20"/>
  <c r="ABM6" i="20"/>
  <c r="ABN6" i="20"/>
  <c r="ABO6" i="20"/>
  <c r="ABP6" i="20"/>
  <c r="ABQ6" i="20"/>
  <c r="ABR6" i="20"/>
  <c r="ABS6" i="20"/>
  <c r="ABT6" i="20"/>
  <c r="ABU6" i="20"/>
  <c r="ACG6" i="20"/>
  <c r="ACH6" i="20"/>
  <c r="ACI6" i="20"/>
  <c r="ACJ6" i="20"/>
  <c r="ACK6" i="20"/>
  <c r="ACL6" i="20"/>
  <c r="ACM6" i="20"/>
  <c r="ACN6" i="20"/>
  <c r="ACO6" i="20"/>
  <c r="ACP6" i="20"/>
  <c r="ACQ6" i="20"/>
  <c r="ADC6" i="20"/>
  <c r="ADD6" i="20"/>
  <c r="ADE6" i="20"/>
  <c r="ADF6" i="20"/>
  <c r="ADG6" i="20"/>
  <c r="ADH6" i="20"/>
  <c r="ADI6" i="20"/>
  <c r="ADJ6" i="20"/>
  <c r="ADK6" i="20"/>
  <c r="ADL6" i="20"/>
  <c r="ADM6" i="20"/>
  <c r="ADY6" i="20"/>
  <c r="ADZ6" i="20"/>
  <c r="AEA6" i="20"/>
  <c r="AEB6" i="20"/>
  <c r="AEC6" i="20"/>
  <c r="AED6" i="20"/>
  <c r="AEE6" i="20"/>
  <c r="AEF6" i="20"/>
  <c r="AEG6" i="20"/>
  <c r="AEH6" i="20"/>
  <c r="AEI6" i="20"/>
  <c r="AEU6" i="20"/>
  <c r="AEV6" i="20"/>
  <c r="AEW6" i="20"/>
  <c r="AEX6" i="20"/>
  <c r="AEY6" i="20"/>
  <c r="AEZ6" i="20"/>
  <c r="AFA6" i="20"/>
  <c r="AFB6" i="20"/>
  <c r="AFC6" i="20"/>
  <c r="AFD6" i="20"/>
  <c r="AFE6" i="20"/>
  <c r="AFQ6" i="20"/>
  <c r="AFR6" i="20"/>
  <c r="AFS6" i="20"/>
  <c r="AFT6" i="20"/>
  <c r="AFU6" i="20"/>
  <c r="AFV6" i="20"/>
  <c r="AFW6" i="20"/>
  <c r="AFX6" i="20"/>
  <c r="AFY6" i="20"/>
  <c r="AFZ6" i="20"/>
  <c r="AGA6" i="20"/>
  <c r="AGM6" i="20"/>
  <c r="AGN6" i="20"/>
  <c r="AGO6" i="20"/>
  <c r="AGP6" i="20"/>
  <c r="AGQ6" i="20"/>
  <c r="AGR6" i="20"/>
  <c r="AGS6" i="20"/>
  <c r="AGT6" i="20"/>
  <c r="AGU6" i="20"/>
  <c r="AGV6" i="20"/>
  <c r="AGW6" i="20"/>
  <c r="AHI6" i="20"/>
  <c r="AHJ6" i="20"/>
  <c r="AHK6" i="20"/>
  <c r="AHL6" i="20"/>
  <c r="AHM6" i="20"/>
  <c r="AHN6" i="20"/>
  <c r="AHO6" i="20"/>
  <c r="AHP6" i="20"/>
  <c r="AHQ6" i="20"/>
  <c r="AHR6" i="20"/>
  <c r="AHS6" i="20"/>
  <c r="AIE6" i="20"/>
  <c r="AIF6" i="20"/>
  <c r="AIG6" i="20"/>
  <c r="AIH6" i="20"/>
  <c r="AII6" i="20"/>
  <c r="AIJ6" i="20"/>
  <c r="AIK6" i="20"/>
  <c r="AIL6" i="20"/>
  <c r="AIM6" i="20"/>
  <c r="AIN6" i="20"/>
  <c r="AIO6" i="20"/>
  <c r="AJA6" i="20"/>
  <c r="AJB6" i="20"/>
  <c r="AJC6" i="20"/>
  <c r="AJD6" i="20"/>
  <c r="AJE6" i="20"/>
  <c r="AJF6" i="20"/>
  <c r="AJG6" i="20"/>
  <c r="AJH6" i="20"/>
  <c r="AJI6" i="20"/>
  <c r="AJJ6" i="20"/>
  <c r="AJK6" i="20"/>
  <c r="AJW6" i="20"/>
  <c r="AJX6" i="20"/>
  <c r="AJY6" i="20"/>
  <c r="AJZ6" i="20"/>
  <c r="AKA6" i="20"/>
  <c r="AKB6" i="20"/>
  <c r="AKC6" i="20"/>
  <c r="AKD6" i="20"/>
  <c r="AKE6" i="20"/>
  <c r="AKF6" i="20"/>
  <c r="AKG6" i="20"/>
  <c r="AKS6" i="20"/>
  <c r="AKT6" i="20"/>
  <c r="AKU6" i="20"/>
  <c r="AKV6" i="20"/>
  <c r="AKW6" i="20"/>
  <c r="AKX6" i="20"/>
  <c r="AKY6" i="20"/>
  <c r="AKZ6" i="20"/>
  <c r="ALA6" i="20"/>
  <c r="ALB6" i="20"/>
  <c r="ALC6" i="20"/>
  <c r="ALO6" i="20"/>
  <c r="ALP6" i="20"/>
  <c r="ALQ6" i="20"/>
  <c r="ALR6" i="20"/>
  <c r="ALS6" i="20"/>
  <c r="ALT6" i="20"/>
  <c r="ALU6" i="20"/>
  <c r="ALV6" i="20"/>
  <c r="ALW6" i="20"/>
  <c r="ALX6" i="20"/>
  <c r="ALY6" i="20"/>
  <c r="AMK6" i="20"/>
  <c r="AML6" i="20"/>
  <c r="AMM6" i="20"/>
  <c r="AMN6" i="20"/>
  <c r="AMO6" i="20"/>
  <c r="AMP6" i="20"/>
  <c r="AMQ6" i="20"/>
  <c r="AMR6" i="20"/>
  <c r="AMS6" i="20"/>
  <c r="AMT6" i="20"/>
  <c r="AMU6" i="20"/>
  <c r="ANG6" i="20"/>
  <c r="ANH6" i="20"/>
  <c r="ANI6" i="20"/>
  <c r="ANJ6" i="20"/>
  <c r="ANK6" i="20"/>
  <c r="ANL6" i="20"/>
  <c r="ANM6" i="20"/>
  <c r="ANN6" i="20"/>
  <c r="ANO6" i="20"/>
  <c r="ANP6" i="20"/>
  <c r="ANQ6" i="20"/>
  <c r="AOC6" i="20"/>
  <c r="AOD6" i="20"/>
  <c r="AOE6" i="20"/>
  <c r="AOF6" i="20"/>
  <c r="AOG6" i="20"/>
  <c r="AOH6" i="20"/>
  <c r="AOI6" i="20"/>
  <c r="AOJ6" i="20"/>
  <c r="AOK6" i="20"/>
  <c r="AOL6" i="20"/>
  <c r="AOM6" i="20"/>
  <c r="AOY6" i="20"/>
  <c r="AOZ6" i="20"/>
  <c r="APA6" i="20"/>
  <c r="APB6" i="20"/>
  <c r="APC6" i="20"/>
  <c r="APD6" i="20"/>
  <c r="APE6" i="20"/>
  <c r="APF6" i="20"/>
  <c r="APG6" i="20"/>
  <c r="APH6" i="20"/>
  <c r="API6" i="20"/>
  <c r="APU6" i="20"/>
  <c r="APV6" i="20"/>
  <c r="APW6" i="20"/>
  <c r="APX6" i="20"/>
  <c r="APY6" i="20"/>
  <c r="APZ6" i="20"/>
  <c r="AQA6" i="20"/>
  <c r="AQB6" i="20"/>
  <c r="AQC6" i="20"/>
  <c r="AQD6" i="20"/>
  <c r="AQE6" i="20"/>
  <c r="AQQ6" i="20"/>
  <c r="AQR6" i="20"/>
  <c r="AQS6" i="20"/>
  <c r="AQT6" i="20"/>
  <c r="AQU6" i="20"/>
  <c r="AQV6" i="20"/>
  <c r="AQW6" i="20"/>
  <c r="AQX6" i="20"/>
  <c r="AQY6" i="20"/>
  <c r="AQZ6" i="20"/>
  <c r="ARA6" i="20"/>
  <c r="ARM6" i="20"/>
  <c r="ARN6" i="20"/>
  <c r="ARO6" i="20"/>
  <c r="ARP6" i="20"/>
  <c r="ARQ6" i="20"/>
  <c r="ARR6" i="20"/>
  <c r="ARS6" i="20"/>
  <c r="ART6" i="20"/>
  <c r="ARU6" i="20"/>
  <c r="ARV6" i="20"/>
  <c r="ARW6" i="20"/>
  <c r="ASI6" i="20"/>
  <c r="ASJ6" i="20"/>
  <c r="ASK6" i="20"/>
  <c r="ASL6" i="20"/>
  <c r="ASM6" i="20"/>
  <c r="ASN6" i="20"/>
  <c r="ASO6" i="20"/>
  <c r="ASP6" i="20"/>
  <c r="ASQ6" i="20"/>
  <c r="ASR6" i="20"/>
  <c r="ASS6" i="20"/>
  <c r="ATE6" i="20"/>
  <c r="ATF6" i="20"/>
  <c r="ATG6" i="20"/>
  <c r="ATH6" i="20"/>
  <c r="ATI6" i="20"/>
  <c r="ATJ6" i="20"/>
  <c r="ATK6" i="20"/>
  <c r="ATL6" i="20"/>
  <c r="ATM6" i="20"/>
  <c r="ATN6" i="20"/>
  <c r="ATO6" i="20"/>
  <c r="AUA6" i="20"/>
  <c r="AUB6" i="20"/>
  <c r="AUC6" i="20"/>
  <c r="AUD6" i="20"/>
  <c r="AUE6" i="20"/>
  <c r="AUF6" i="20"/>
  <c r="AUG6" i="20"/>
  <c r="AUH6" i="20"/>
  <c r="AUI6" i="20"/>
  <c r="AUJ6" i="20"/>
  <c r="AUK6" i="20"/>
  <c r="AUW6" i="20"/>
  <c r="AUX6" i="20"/>
  <c r="AUY6" i="20"/>
  <c r="AUZ6" i="20"/>
  <c r="AVA6" i="20"/>
  <c r="AVB6" i="20"/>
  <c r="AVC6" i="20"/>
  <c r="AVD6" i="20"/>
  <c r="AVE6" i="20"/>
  <c r="AVF6" i="20"/>
  <c r="AVG6" i="20"/>
  <c r="AVS6" i="20"/>
  <c r="AVT6" i="20"/>
  <c r="AVU6" i="20"/>
  <c r="AVV6" i="20"/>
  <c r="AVW6" i="20"/>
  <c r="AVX6" i="20"/>
  <c r="AVY6" i="20"/>
  <c r="AVZ6" i="20"/>
  <c r="AWA6" i="20"/>
  <c r="AWB6" i="20"/>
  <c r="AWC6" i="20"/>
  <c r="AWO6" i="20"/>
  <c r="AWP6" i="20"/>
  <c r="AWQ6" i="20"/>
  <c r="AWR6" i="20"/>
  <c r="AWS6" i="20"/>
  <c r="AWT6" i="20"/>
  <c r="AWU6" i="20"/>
  <c r="AWV6" i="20"/>
  <c r="AWW6" i="20"/>
  <c r="AWX6" i="20"/>
  <c r="AWY6" i="20"/>
  <c r="AXK6" i="20"/>
  <c r="AXL6" i="20"/>
  <c r="AXM6" i="20"/>
  <c r="AXN6" i="20"/>
  <c r="AXO6" i="20"/>
  <c r="AXP6" i="20"/>
  <c r="AXQ6" i="20"/>
  <c r="AXR6" i="20"/>
  <c r="AXS6" i="20"/>
  <c r="AXT6" i="20"/>
  <c r="AXU6" i="20"/>
  <c r="AYG6" i="20"/>
  <c r="AYH6" i="20"/>
  <c r="AYI6" i="20"/>
  <c r="AYJ6" i="20"/>
  <c r="AYK6" i="20"/>
  <c r="AYL6" i="20"/>
  <c r="AYM6" i="20"/>
  <c r="AYN6" i="20"/>
  <c r="AYO6" i="20"/>
  <c r="AYP6" i="20"/>
  <c r="AYQ6" i="20"/>
  <c r="AZC6" i="20"/>
  <c r="AZD6" i="20"/>
  <c r="AZE6" i="20"/>
  <c r="AZF6" i="20"/>
  <c r="AZG6" i="20"/>
  <c r="AZH6" i="20"/>
  <c r="AZI6" i="20"/>
  <c r="AZJ6" i="20"/>
  <c r="AZK6" i="20"/>
  <c r="AZL6" i="20"/>
  <c r="AZM6" i="20"/>
  <c r="AZY6" i="20"/>
  <c r="AZZ6" i="20"/>
  <c r="BAA6" i="20"/>
  <c r="BAB6" i="20"/>
  <c r="BAC6" i="20"/>
  <c r="BAD6" i="20"/>
  <c r="BAE6" i="20"/>
  <c r="BAF6" i="20"/>
  <c r="BAG6" i="20"/>
  <c r="BAH6" i="20"/>
  <c r="BAI6" i="20"/>
  <c r="BAU6" i="20"/>
  <c r="BAV6" i="20"/>
  <c r="BAW6" i="20"/>
  <c r="BAX6" i="20"/>
  <c r="BAY6" i="20"/>
  <c r="BAZ6" i="20"/>
  <c r="BBA6" i="20"/>
  <c r="BBB6" i="20"/>
  <c r="BBC6" i="20"/>
  <c r="BBD6" i="20"/>
  <c r="BBE6" i="20"/>
  <c r="BBQ6" i="20"/>
  <c r="BBR6" i="20"/>
  <c r="BBS6" i="20"/>
  <c r="BBT6" i="20"/>
  <c r="BBU6" i="20"/>
  <c r="BBV6" i="20"/>
  <c r="BBW6" i="20"/>
  <c r="BBX6" i="20"/>
  <c r="BBY6" i="20"/>
  <c r="BBZ6" i="20"/>
  <c r="BCA6" i="20"/>
  <c r="BCM6" i="20"/>
  <c r="BCN6" i="20"/>
  <c r="BCO6" i="20"/>
  <c r="BCP6" i="20"/>
  <c r="BCQ6" i="20"/>
  <c r="BCR6" i="20"/>
  <c r="BCS6" i="20"/>
  <c r="BCT6" i="20"/>
  <c r="BCU6" i="20"/>
  <c r="BCV6" i="20"/>
  <c r="BCW6" i="20"/>
  <c r="BDI6" i="20"/>
  <c r="BDJ6" i="20"/>
  <c r="BDK6" i="20"/>
  <c r="BDL6" i="20"/>
  <c r="BDM6" i="20"/>
  <c r="BDN6" i="20"/>
  <c r="BDO6" i="20"/>
  <c r="BDP6" i="20"/>
  <c r="BDQ6" i="20"/>
  <c r="BDR6" i="20"/>
  <c r="BDS6" i="20"/>
  <c r="BEE6" i="20"/>
  <c r="BEF6" i="20"/>
  <c r="BEG6" i="20"/>
  <c r="BEH6" i="20"/>
  <c r="BEI6" i="20"/>
  <c r="BEJ6" i="20"/>
  <c r="BEK6" i="20"/>
  <c r="BEL6" i="20"/>
  <c r="BEM6" i="20"/>
  <c r="BEN6" i="20"/>
  <c r="BEO6" i="20"/>
  <c r="BFA6" i="20"/>
  <c r="BFB6" i="20"/>
  <c r="BFC6" i="20"/>
  <c r="BFD6" i="20"/>
  <c r="BFE6" i="20"/>
  <c r="BFF6" i="20"/>
  <c r="BFG6" i="20"/>
  <c r="BFH6" i="20"/>
  <c r="BFI6" i="20"/>
  <c r="BFJ6" i="20"/>
  <c r="BFK6" i="20"/>
  <c r="BFW6" i="20"/>
  <c r="BFX6" i="20"/>
  <c r="BFY6" i="20"/>
  <c r="BFZ6" i="20"/>
  <c r="BGA6" i="20"/>
  <c r="BGB6" i="20"/>
  <c r="BGC6" i="20"/>
  <c r="BGD6" i="20"/>
  <c r="BGE6" i="20"/>
  <c r="BGF6" i="20"/>
  <c r="BGG6" i="20"/>
  <c r="BGS6" i="20"/>
  <c r="BGT6" i="20"/>
  <c r="BGU6" i="20"/>
  <c r="BGV6" i="20"/>
  <c r="BGW6" i="20"/>
  <c r="BGX6" i="20"/>
  <c r="BGY6" i="20"/>
  <c r="BGZ6" i="20"/>
  <c r="BHA6" i="20"/>
  <c r="BHB6" i="20"/>
  <c r="BHC6" i="20"/>
  <c r="BHO6" i="20"/>
  <c r="BHP6" i="20"/>
  <c r="BHQ6" i="20"/>
  <c r="BHR6" i="20"/>
  <c r="BHS6" i="20"/>
  <c r="BHT6" i="20"/>
  <c r="BHU6" i="20"/>
  <c r="BHV6" i="20"/>
  <c r="BHW6" i="20"/>
  <c r="BHX6" i="20"/>
  <c r="BHY6" i="20"/>
  <c r="BIK6" i="20"/>
  <c r="BIL6" i="20"/>
  <c r="BIM6" i="20"/>
  <c r="BIN6" i="20"/>
  <c r="BIO6" i="20"/>
  <c r="BIP6" i="20"/>
  <c r="BIQ6" i="20"/>
  <c r="BIR6" i="20"/>
  <c r="BIS6" i="20"/>
  <c r="BIT6" i="20"/>
  <c r="BIU6" i="20"/>
  <c r="BJG6" i="20"/>
  <c r="BJH6" i="20"/>
  <c r="BJI6" i="20"/>
  <c r="BJJ6" i="20"/>
  <c r="BJK6" i="20"/>
  <c r="BJL6" i="20"/>
  <c r="BJM6" i="20"/>
  <c r="BJN6" i="20"/>
  <c r="BJO6" i="20"/>
  <c r="BJP6" i="20"/>
  <c r="BJQ6" i="20"/>
  <c r="BKC6" i="20"/>
  <c r="BKD6" i="20"/>
  <c r="BKE6" i="20"/>
  <c r="BKF6" i="20"/>
  <c r="BKG6" i="20"/>
  <c r="BKH6" i="20"/>
  <c r="BKI6" i="20"/>
  <c r="BKJ6" i="20"/>
  <c r="BKK6" i="20"/>
  <c r="BKL6" i="20"/>
  <c r="BKM6" i="20"/>
  <c r="BKY6" i="20"/>
  <c r="BKZ6" i="20"/>
  <c r="BLA6" i="20"/>
  <c r="BLB6" i="20"/>
  <c r="BLC6" i="20"/>
  <c r="BLD6" i="20"/>
  <c r="BLE6" i="20"/>
  <c r="BLF6" i="20"/>
  <c r="BLG6" i="20"/>
  <c r="BLH6" i="20"/>
  <c r="BLI6" i="20"/>
  <c r="BLU6" i="20"/>
  <c r="BLV6" i="20"/>
  <c r="BLW6" i="20"/>
  <c r="BLX6" i="20"/>
  <c r="BLY6" i="20"/>
  <c r="BLZ6" i="20"/>
  <c r="BMA6" i="20"/>
  <c r="BMB6" i="20"/>
  <c r="BMC6" i="20"/>
  <c r="BMD6" i="20"/>
  <c r="BME6" i="20"/>
  <c r="BMQ6" i="20"/>
  <c r="BMR6" i="20"/>
  <c r="BMS6" i="20"/>
  <c r="BMT6" i="20"/>
  <c r="BMU6" i="20"/>
  <c r="BMV6" i="20"/>
  <c r="BMW6" i="20"/>
  <c r="BMX6" i="20"/>
  <c r="BMY6" i="20"/>
  <c r="BMZ6" i="20"/>
  <c r="BNA6" i="20"/>
  <c r="BNM6" i="20"/>
  <c r="BNN6" i="20"/>
  <c r="BNO6" i="20"/>
  <c r="BNP6" i="20"/>
  <c r="BNQ6" i="20"/>
  <c r="BNR6" i="20"/>
  <c r="BNS6" i="20"/>
  <c r="BNT6" i="20"/>
  <c r="BNU6" i="20"/>
  <c r="BNV6" i="20"/>
  <c r="BNW6" i="20"/>
  <c r="BOI6" i="20"/>
  <c r="BOJ6" i="20"/>
  <c r="BOK6" i="20"/>
  <c r="BOL6" i="20"/>
  <c r="BOM6" i="20"/>
  <c r="BON6" i="20"/>
  <c r="BOO6" i="20"/>
  <c r="BOP6" i="20"/>
  <c r="BOQ6" i="20"/>
  <c r="BOR6" i="20"/>
  <c r="BOS6" i="20"/>
  <c r="BPE6" i="20"/>
  <c r="BPF6" i="20"/>
  <c r="BPG6" i="20"/>
  <c r="BPH6" i="20"/>
  <c r="BPI6" i="20"/>
  <c r="BPJ6" i="20"/>
  <c r="BPK6" i="20"/>
  <c r="BPL6" i="20"/>
  <c r="BPM6" i="20"/>
  <c r="BPN6" i="20"/>
  <c r="BPO6" i="20"/>
  <c r="BQA6" i="20"/>
  <c r="BQB6" i="20"/>
  <c r="BQC6" i="20"/>
  <c r="BQD6" i="20"/>
  <c r="BQE6" i="20"/>
  <c r="BQF6" i="20"/>
  <c r="BQG6" i="20"/>
  <c r="BQH6" i="20"/>
  <c r="BQI6" i="20"/>
  <c r="BQJ6" i="20"/>
  <c r="BQK6" i="20"/>
  <c r="BQW6" i="20"/>
  <c r="BQX6" i="20"/>
  <c r="BQY6" i="20"/>
  <c r="BQZ6" i="20"/>
  <c r="BRA6" i="20"/>
  <c r="BRB6" i="20"/>
  <c r="BRC6" i="20"/>
  <c r="BRD6" i="20"/>
  <c r="BRE6" i="20"/>
  <c r="BRF6" i="20"/>
  <c r="BRG6" i="20"/>
  <c r="BRS6" i="20"/>
  <c r="BRT6" i="20"/>
  <c r="BRU6" i="20"/>
  <c r="BRV6" i="20"/>
  <c r="BRW6" i="20"/>
  <c r="BRX6" i="20"/>
  <c r="BRY6" i="20"/>
  <c r="BRZ6" i="20"/>
  <c r="BSA6" i="20"/>
  <c r="BSB6" i="20"/>
  <c r="BSC6" i="20"/>
  <c r="BSO6" i="20"/>
  <c r="BSP6" i="20"/>
  <c r="BSQ6" i="20"/>
  <c r="BSR6" i="20"/>
  <c r="BSS6" i="20"/>
  <c r="BST6" i="20"/>
  <c r="BSU6" i="20"/>
  <c r="BSV6" i="20"/>
  <c r="BSW6" i="20"/>
  <c r="BSX6" i="20"/>
  <c r="BSY6" i="20"/>
  <c r="BTK6" i="20"/>
  <c r="BTL6" i="20"/>
  <c r="BTM6" i="20"/>
  <c r="BTN6" i="20"/>
  <c r="BTO6" i="20"/>
  <c r="BTP6" i="20"/>
  <c r="BTQ6" i="20"/>
  <c r="BTR6" i="20"/>
  <c r="BTS6" i="20"/>
  <c r="BTT6" i="20"/>
  <c r="BTU6" i="20"/>
  <c r="BUG6" i="20"/>
  <c r="BUH6" i="20"/>
  <c r="BUI6" i="20"/>
  <c r="BUJ6" i="20"/>
  <c r="BUK6" i="20"/>
  <c r="BUL6" i="20"/>
  <c r="BUM6" i="20"/>
  <c r="BUN6" i="20"/>
  <c r="BUO6" i="20"/>
  <c r="BUP6" i="20"/>
  <c r="BUQ6" i="20"/>
  <c r="BVC6" i="20"/>
  <c r="BVD6" i="20"/>
  <c r="BVE6" i="20"/>
  <c r="BVF6" i="20"/>
  <c r="BVG6" i="20"/>
  <c r="BVH6" i="20"/>
  <c r="BVI6" i="20"/>
  <c r="BVJ6" i="20"/>
  <c r="BVK6" i="20"/>
  <c r="BVL6" i="20"/>
  <c r="BVM6" i="20"/>
  <c r="BVY6" i="20"/>
  <c r="BVZ6" i="20"/>
  <c r="BWA6" i="20"/>
  <c r="BWB6" i="20"/>
  <c r="BWC6" i="20"/>
  <c r="BWD6" i="20"/>
  <c r="BWE6" i="20"/>
  <c r="BWF6" i="20"/>
  <c r="BWG6" i="20"/>
  <c r="BWH6" i="20"/>
  <c r="BWI6" i="20"/>
  <c r="BWU6" i="20"/>
  <c r="BWV6" i="20"/>
  <c r="BWW6" i="20"/>
  <c r="BWX6" i="20"/>
  <c r="BWY6" i="20"/>
  <c r="BWZ6" i="20"/>
  <c r="BXA6" i="20"/>
  <c r="BXB6" i="20"/>
  <c r="BXC6" i="20"/>
  <c r="BXD6" i="20"/>
  <c r="BXE6" i="20"/>
  <c r="BXQ6" i="20"/>
  <c r="BXR6" i="20"/>
  <c r="BXS6" i="20"/>
  <c r="BXT6" i="20"/>
  <c r="BXU6" i="20"/>
  <c r="BXV6" i="20"/>
  <c r="BXW6" i="20"/>
  <c r="BXX6" i="20"/>
  <c r="BXY6" i="20"/>
  <c r="BXZ6" i="20"/>
  <c r="BYA6" i="20"/>
  <c r="BYM6" i="20"/>
  <c r="BYN6" i="20"/>
  <c r="BYO6" i="20"/>
  <c r="BYP6" i="20"/>
  <c r="BYQ6" i="20"/>
  <c r="BYR6" i="20"/>
  <c r="BYS6" i="20"/>
  <c r="BYT6" i="20"/>
  <c r="BYU6" i="20"/>
  <c r="BYV6" i="20"/>
  <c r="BYW6" i="20"/>
  <c r="BZI6" i="20"/>
  <c r="BZJ6" i="20"/>
  <c r="BZK6" i="20"/>
  <c r="BZL6" i="20"/>
  <c r="BZM6" i="20"/>
  <c r="BZN6" i="20"/>
  <c r="BZO6" i="20"/>
  <c r="BZP6" i="20"/>
  <c r="BZQ6" i="20"/>
  <c r="BZR6" i="20"/>
  <c r="BZS6" i="20"/>
  <c r="CAE6" i="20"/>
  <c r="CAF6" i="20"/>
  <c r="CAG6" i="20"/>
  <c r="CAH6" i="20"/>
  <c r="CAI6" i="20"/>
  <c r="CAJ6" i="20"/>
  <c r="CAK6" i="20"/>
  <c r="CAL6" i="20"/>
  <c r="CAM6" i="20"/>
  <c r="CAN6" i="20"/>
  <c r="CAO6" i="20"/>
  <c r="CBA6" i="20"/>
  <c r="CBB6" i="20"/>
  <c r="CBC6" i="20"/>
  <c r="CBD6" i="20"/>
  <c r="CBE6" i="20"/>
  <c r="CBF6" i="20"/>
  <c r="CBG6" i="20"/>
  <c r="CBH6" i="20"/>
  <c r="CBI6" i="20"/>
  <c r="CBJ6" i="20"/>
  <c r="CBK6" i="20"/>
  <c r="CBW6" i="20"/>
  <c r="CBX6" i="20"/>
  <c r="CBY6" i="20"/>
  <c r="CBZ6" i="20"/>
  <c r="CCA6" i="20"/>
  <c r="CCB6" i="20"/>
  <c r="CCC6" i="20"/>
  <c r="CCD6" i="20"/>
  <c r="CCE6" i="20"/>
  <c r="CCF6" i="20"/>
  <c r="CCG6" i="20"/>
  <c r="CCS6" i="20"/>
  <c r="CCT6" i="20"/>
  <c r="CCU6" i="20"/>
  <c r="CCV6" i="20"/>
  <c r="CCW6" i="20"/>
  <c r="CCX6" i="20"/>
  <c r="CCY6" i="20"/>
  <c r="CCZ6" i="20"/>
  <c r="CDA6" i="20"/>
  <c r="CDB6" i="20"/>
  <c r="CDC6" i="20"/>
  <c r="CDO6" i="20"/>
  <c r="CDP6" i="20"/>
  <c r="CDQ6" i="20"/>
  <c r="CDR6" i="20"/>
  <c r="CDS6" i="20"/>
  <c r="CDT6" i="20"/>
  <c r="CDU6" i="20"/>
  <c r="CDV6" i="20"/>
  <c r="CDW6" i="20"/>
  <c r="CDX6" i="20"/>
  <c r="CDY6" i="20"/>
  <c r="CEK6" i="20"/>
  <c r="CEL6" i="20"/>
  <c r="CEM6" i="20"/>
  <c r="CEN6" i="20"/>
  <c r="CEO6" i="20"/>
  <c r="CEP6" i="20"/>
  <c r="CEQ6" i="20"/>
  <c r="CER6" i="20"/>
  <c r="CES6" i="20"/>
  <c r="CET6" i="20"/>
  <c r="CEU6" i="20"/>
  <c r="CFG6" i="20"/>
  <c r="CFH6" i="20"/>
  <c r="CFI6" i="20"/>
  <c r="CFJ6" i="20"/>
  <c r="CFK6" i="20"/>
  <c r="CFL6" i="20"/>
  <c r="CFM6" i="20"/>
  <c r="CFN6" i="20"/>
  <c r="CFO6" i="20"/>
  <c r="CFP6" i="20"/>
  <c r="CFQ6" i="20"/>
  <c r="CGC6" i="20"/>
  <c r="CGD6" i="20"/>
  <c r="CGE6" i="20"/>
  <c r="CGF6" i="20"/>
  <c r="CGG6" i="20"/>
  <c r="CGH6" i="20"/>
  <c r="CGI6" i="20"/>
  <c r="CGJ6" i="20"/>
  <c r="CGK6" i="20"/>
  <c r="CGL6" i="20"/>
  <c r="CGM6" i="20"/>
  <c r="CGY6" i="20"/>
  <c r="CGZ6" i="20"/>
  <c r="CHA6" i="20"/>
  <c r="CHB6" i="20"/>
  <c r="CHC6" i="20"/>
  <c r="CHD6" i="20"/>
  <c r="CHE6" i="20"/>
  <c r="CHF6" i="20"/>
  <c r="CHG6" i="20"/>
  <c r="CHH6" i="20"/>
  <c r="CHI6" i="20"/>
  <c r="CHU6" i="20"/>
  <c r="CHV6" i="20"/>
  <c r="CHW6" i="20"/>
  <c r="CHX6" i="20"/>
  <c r="CHY6" i="20"/>
  <c r="CHZ6" i="20"/>
  <c r="CIA6" i="20"/>
  <c r="CIB6" i="20"/>
  <c r="CIC6" i="20"/>
  <c r="CID6" i="20"/>
  <c r="CIE6" i="20"/>
  <c r="CIQ6" i="20"/>
  <c r="CIR6" i="20"/>
  <c r="CIS6" i="20"/>
  <c r="CIT6" i="20"/>
  <c r="CIU6" i="20"/>
  <c r="CIV6" i="20"/>
  <c r="CIW6" i="20"/>
  <c r="CIX6" i="20"/>
  <c r="CIY6" i="20"/>
  <c r="CIZ6" i="20"/>
  <c r="CJA6" i="20"/>
  <c r="CJM6" i="20"/>
  <c r="CJN6" i="20"/>
  <c r="CJO6" i="20"/>
  <c r="CJP6" i="20"/>
  <c r="CJQ6" i="20"/>
  <c r="CJR6" i="20"/>
  <c r="CJS6" i="20"/>
  <c r="CJT6" i="20"/>
  <c r="CJU6" i="20"/>
  <c r="CJV6" i="20"/>
  <c r="CJW6" i="20"/>
  <c r="CKI6" i="20"/>
  <c r="CKJ6" i="20"/>
  <c r="CKK6" i="20"/>
  <c r="CKL6" i="20"/>
  <c r="CKM6" i="20"/>
  <c r="CKN6" i="20"/>
  <c r="CKO6" i="20"/>
  <c r="CKP6" i="20"/>
  <c r="CKQ6" i="20"/>
  <c r="CKR6" i="20"/>
  <c r="CKS6" i="20"/>
  <c r="CLE6" i="20"/>
  <c r="CLF6" i="20"/>
  <c r="CLG6" i="20"/>
  <c r="CLH6" i="20"/>
  <c r="CLI6" i="20"/>
  <c r="CLJ6" i="20"/>
  <c r="CLK6" i="20"/>
  <c r="CLL6" i="20"/>
  <c r="CLM6" i="20"/>
  <c r="CLN6" i="20"/>
  <c r="CLO6" i="20"/>
  <c r="CMA6" i="20"/>
  <c r="CMB6" i="20"/>
  <c r="CMC6" i="20"/>
  <c r="CMD6" i="20"/>
  <c r="CME6" i="20"/>
  <c r="CMF6" i="20"/>
  <c r="CMG6" i="20"/>
  <c r="CMH6" i="20"/>
  <c r="CMI6" i="20"/>
  <c r="CMJ6" i="20"/>
  <c r="CMK6" i="20"/>
  <c r="CMW6" i="20"/>
  <c r="CMX6" i="20"/>
  <c r="CMY6" i="20"/>
  <c r="CMZ6" i="20"/>
  <c r="CNA6" i="20"/>
  <c r="CNB6" i="20"/>
  <c r="CNC6" i="20"/>
  <c r="CND6" i="20"/>
  <c r="CNE6" i="20"/>
  <c r="CNF6" i="20"/>
  <c r="CNG6" i="20"/>
  <c r="CNS6" i="20"/>
  <c r="CNT6" i="20"/>
  <c r="CNU6" i="20"/>
  <c r="CNV6" i="20"/>
  <c r="CNW6" i="20"/>
  <c r="CNX6" i="20"/>
  <c r="CNY6" i="20"/>
  <c r="CNZ6" i="20"/>
  <c r="COA6" i="20"/>
  <c r="COB6" i="20"/>
  <c r="COC6" i="20"/>
  <c r="COO6" i="20"/>
  <c r="COP6" i="20"/>
  <c r="COQ6" i="20"/>
  <c r="COR6" i="20"/>
  <c r="COS6" i="20"/>
  <c r="COT6" i="20"/>
  <c r="COU6" i="20"/>
  <c r="COV6" i="20"/>
  <c r="COW6" i="20"/>
  <c r="COX6" i="20"/>
  <c r="COY6" i="20"/>
  <c r="CPK6" i="20"/>
  <c r="CPL6" i="20"/>
  <c r="CPM6" i="20"/>
  <c r="CPN6" i="20"/>
  <c r="CPO6" i="20"/>
  <c r="CPP6" i="20"/>
  <c r="CPQ6" i="20"/>
  <c r="CPR6" i="20"/>
  <c r="CPS6" i="20"/>
  <c r="CPT6" i="20"/>
  <c r="CPU6" i="20"/>
  <c r="CQG6" i="20"/>
  <c r="CQH6" i="20"/>
  <c r="CQI6" i="20"/>
  <c r="CQJ6" i="20"/>
  <c r="CQK6" i="20"/>
  <c r="CQL6" i="20"/>
  <c r="CQM6" i="20"/>
  <c r="CQN6" i="20"/>
  <c r="CQO6" i="20"/>
  <c r="CQP6" i="20"/>
  <c r="CQQ6" i="20"/>
  <c r="CRC6" i="20"/>
  <c r="CRD6" i="20"/>
  <c r="CRE6" i="20"/>
  <c r="CRF6" i="20"/>
  <c r="CRG6" i="20"/>
  <c r="CRH6" i="20"/>
  <c r="CRI6" i="20"/>
  <c r="CRJ6" i="20"/>
  <c r="CRK6" i="20"/>
  <c r="CRL6" i="20"/>
  <c r="CRM6" i="20"/>
  <c r="CRY6" i="20"/>
  <c r="CRZ6" i="20"/>
  <c r="CSA6" i="20"/>
  <c r="CSB6" i="20"/>
  <c r="CSC6" i="20"/>
  <c r="CSD6" i="20"/>
  <c r="CSE6" i="20"/>
  <c r="CSF6" i="20"/>
  <c r="CSG6" i="20"/>
  <c r="CSH6" i="20"/>
  <c r="CSI6" i="20"/>
  <c r="CSU6" i="20"/>
  <c r="CSV6" i="20"/>
  <c r="CSW6" i="20"/>
  <c r="CSX6" i="20"/>
  <c r="CSY6" i="20"/>
  <c r="CSZ6" i="20"/>
  <c r="CTA6" i="20"/>
  <c r="CTB6" i="20"/>
  <c r="CTC6" i="20"/>
  <c r="CTD6" i="20"/>
  <c r="CTE6" i="20"/>
  <c r="CTQ6" i="20"/>
  <c r="CTR6" i="20"/>
  <c r="CTS6" i="20"/>
  <c r="CTT6" i="20"/>
  <c r="CTU6" i="20"/>
  <c r="CTV6" i="20"/>
  <c r="CTW6" i="20"/>
  <c r="CTX6" i="20"/>
  <c r="CTY6" i="20"/>
  <c r="CTZ6" i="20"/>
  <c r="CUA6" i="20"/>
  <c r="CUM6" i="20"/>
  <c r="CUN6" i="20"/>
  <c r="CUO6" i="20"/>
  <c r="CUP6" i="20"/>
  <c r="CUQ6" i="20"/>
  <c r="CUR6" i="20"/>
  <c r="CUS6" i="20"/>
  <c r="CUT6" i="20"/>
  <c r="CUU6" i="20"/>
  <c r="CUV6" i="20"/>
  <c r="CUW6" i="20"/>
  <c r="CVI6" i="20"/>
  <c r="CVJ6" i="20"/>
  <c r="CVK6" i="20"/>
  <c r="CVL6" i="20"/>
  <c r="CVM6" i="20"/>
  <c r="CVN6" i="20"/>
  <c r="CVO6" i="20"/>
  <c r="CVP6" i="20"/>
  <c r="CVQ6" i="20"/>
  <c r="CVR6" i="20"/>
  <c r="CVS6" i="20"/>
  <c r="CWE6" i="20"/>
  <c r="CWF6" i="20"/>
  <c r="CWG6" i="20"/>
  <c r="CWH6" i="20"/>
  <c r="CWI6" i="20"/>
  <c r="CWJ6" i="20"/>
  <c r="CWK6" i="20"/>
  <c r="CWL6" i="20"/>
  <c r="CWM6" i="20"/>
  <c r="CWN6" i="20"/>
  <c r="CWO6" i="20"/>
  <c r="CXA6" i="20"/>
  <c r="CXB6" i="20"/>
  <c r="CXC6" i="20"/>
  <c r="CXD6" i="20"/>
  <c r="CXE6" i="20"/>
  <c r="CXF6" i="20"/>
  <c r="CXG6" i="20"/>
  <c r="CXH6" i="20"/>
  <c r="CXI6" i="20"/>
  <c r="CXJ6" i="20"/>
  <c r="CXK6" i="20"/>
  <c r="CXW6" i="20"/>
  <c r="CXX6" i="20"/>
  <c r="CXY6" i="20"/>
  <c r="CXZ6" i="20"/>
  <c r="CYA6" i="20"/>
  <c r="CYB6" i="20"/>
  <c r="CYC6" i="20"/>
  <c r="CYD6" i="20"/>
  <c r="CYE6" i="20"/>
  <c r="CYF6" i="20"/>
  <c r="CYG6" i="20"/>
  <c r="CYS6" i="20"/>
  <c r="CYT6" i="20"/>
  <c r="CYU6" i="20"/>
  <c r="CYV6" i="20"/>
  <c r="CYW6" i="20"/>
  <c r="CYX6" i="20"/>
  <c r="CYY6" i="20"/>
  <c r="CYZ6" i="20"/>
  <c r="CZA6" i="20"/>
  <c r="CZB6" i="20"/>
  <c r="CZC6" i="20"/>
  <c r="CZO6" i="20"/>
  <c r="CZP6" i="20"/>
  <c r="CZQ6" i="20"/>
  <c r="CZR6" i="20"/>
  <c r="CZS6" i="20"/>
  <c r="CZT6" i="20"/>
  <c r="CZU6" i="20"/>
  <c r="CZV6" i="20"/>
  <c r="CZW6" i="20"/>
  <c r="CZX6" i="20"/>
  <c r="CZY6" i="20"/>
  <c r="DAK6" i="20"/>
  <c r="DAL6" i="20"/>
  <c r="DAM6" i="20"/>
  <c r="DAN6" i="20"/>
  <c r="DAO6" i="20"/>
  <c r="DAP6" i="20"/>
  <c r="DAQ6" i="20"/>
  <c r="DAR6" i="20"/>
  <c r="DAS6" i="20"/>
  <c r="DAT6" i="20"/>
  <c r="DAU6" i="20"/>
  <c r="DBG6" i="20"/>
  <c r="DBH6" i="20"/>
  <c r="DBI6" i="20"/>
  <c r="DBJ6" i="20"/>
  <c r="DBK6" i="20"/>
  <c r="DBL6" i="20"/>
  <c r="DBM6" i="20"/>
  <c r="DBN6" i="20"/>
  <c r="DBO6" i="20"/>
  <c r="DBP6" i="20"/>
  <c r="DBQ6" i="20"/>
  <c r="DCC6" i="20"/>
  <c r="DCD6" i="20"/>
  <c r="DCE6" i="20"/>
  <c r="DCF6" i="20"/>
  <c r="DCG6" i="20"/>
  <c r="DCH6" i="20"/>
  <c r="DCI6" i="20"/>
  <c r="DCJ6" i="20"/>
  <c r="DCK6" i="20"/>
  <c r="DCL6" i="20"/>
  <c r="DCM6" i="20"/>
  <c r="DCY6" i="20"/>
  <c r="DCZ6" i="20"/>
  <c r="DDA6" i="20"/>
  <c r="DDB6" i="20"/>
  <c r="DDC6" i="20"/>
  <c r="DDD6" i="20"/>
  <c r="DDE6" i="20"/>
  <c r="DDF6" i="20"/>
  <c r="DDG6" i="20"/>
  <c r="DDH6" i="20"/>
  <c r="DDI6" i="20"/>
  <c r="AAO7" i="20"/>
  <c r="AAP7" i="20"/>
  <c r="AAQ7" i="20"/>
  <c r="AAR7" i="20"/>
  <c r="AAS7" i="20"/>
  <c r="AAT7" i="20"/>
  <c r="AAU7" i="20"/>
  <c r="AAV7" i="20"/>
  <c r="AAW7" i="20"/>
  <c r="AAX7" i="20"/>
  <c r="AAY7" i="20"/>
  <c r="ABK7" i="20"/>
  <c r="ABL7" i="20"/>
  <c r="ABM7" i="20"/>
  <c r="ABN7" i="20"/>
  <c r="ABO7" i="20"/>
  <c r="ABP7" i="20"/>
  <c r="ABQ7" i="20"/>
  <c r="ABR7" i="20"/>
  <c r="ABS7" i="20"/>
  <c r="ABT7" i="20"/>
  <c r="ABU7" i="20"/>
  <c r="ACG7" i="20"/>
  <c r="ACH7" i="20"/>
  <c r="ACI7" i="20"/>
  <c r="ACJ7" i="20"/>
  <c r="ACK7" i="20"/>
  <c r="ACL7" i="20"/>
  <c r="ACM7" i="20"/>
  <c r="ACN7" i="20"/>
  <c r="ACO7" i="20"/>
  <c r="ACP7" i="20"/>
  <c r="ACQ7" i="20"/>
  <c r="ADC7" i="20"/>
  <c r="ADD7" i="20"/>
  <c r="ADE7" i="20"/>
  <c r="ADF7" i="20"/>
  <c r="ADG7" i="20"/>
  <c r="ADH7" i="20"/>
  <c r="ADI7" i="20"/>
  <c r="ADJ7" i="20"/>
  <c r="ADK7" i="20"/>
  <c r="ADL7" i="20"/>
  <c r="ADM7" i="20"/>
  <c r="ADY7" i="20"/>
  <c r="ADZ7" i="20"/>
  <c r="AEA7" i="20"/>
  <c r="AEB7" i="20"/>
  <c r="AEC7" i="20"/>
  <c r="AED7" i="20"/>
  <c r="AEE7" i="20"/>
  <c r="AEF7" i="20"/>
  <c r="AEG7" i="20"/>
  <c r="AEH7" i="20"/>
  <c r="AEI7" i="20"/>
  <c r="AEU7" i="20"/>
  <c r="AEV7" i="20"/>
  <c r="AEW7" i="20"/>
  <c r="AEX7" i="20"/>
  <c r="AEY7" i="20"/>
  <c r="AEZ7" i="20"/>
  <c r="AFA7" i="20"/>
  <c r="AFB7" i="20"/>
  <c r="AFC7" i="20"/>
  <c r="AFD7" i="20"/>
  <c r="AFE7" i="20"/>
  <c r="AFQ7" i="20"/>
  <c r="AFR7" i="20"/>
  <c r="AFS7" i="20"/>
  <c r="AFT7" i="20"/>
  <c r="AFU7" i="20"/>
  <c r="AFV7" i="20"/>
  <c r="AFW7" i="20"/>
  <c r="AFX7" i="20"/>
  <c r="AFY7" i="20"/>
  <c r="AFZ7" i="20"/>
  <c r="AGA7" i="20"/>
  <c r="AGM7" i="20"/>
  <c r="AGN7" i="20"/>
  <c r="AGO7" i="20"/>
  <c r="AGP7" i="20"/>
  <c r="AGQ7" i="20"/>
  <c r="AGR7" i="20"/>
  <c r="AGS7" i="20"/>
  <c r="AGT7" i="20"/>
  <c r="AGU7" i="20"/>
  <c r="AGV7" i="20"/>
  <c r="AGW7" i="20"/>
  <c r="AHI7" i="20"/>
  <c r="AHJ7" i="20"/>
  <c r="AHK7" i="20"/>
  <c r="AHL7" i="20"/>
  <c r="AHM7" i="20"/>
  <c r="AHN7" i="20"/>
  <c r="AHO7" i="20"/>
  <c r="AHP7" i="20"/>
  <c r="AHQ7" i="20"/>
  <c r="AHR7" i="20"/>
  <c r="AHS7" i="20"/>
  <c r="AIE7" i="20"/>
  <c r="AIF7" i="20"/>
  <c r="AIG7" i="20"/>
  <c r="AIH7" i="20"/>
  <c r="AII7" i="20"/>
  <c r="AIJ7" i="20"/>
  <c r="AIK7" i="20"/>
  <c r="AIL7" i="20"/>
  <c r="AIM7" i="20"/>
  <c r="AIN7" i="20"/>
  <c r="AIO7" i="20"/>
  <c r="AJA7" i="20"/>
  <c r="AJB7" i="20"/>
  <c r="AJC7" i="20"/>
  <c r="AJD7" i="20"/>
  <c r="AJE7" i="20"/>
  <c r="AJF7" i="20"/>
  <c r="AJG7" i="20"/>
  <c r="AJH7" i="20"/>
  <c r="AJI7" i="20"/>
  <c r="AJJ7" i="20"/>
  <c r="AJK7" i="20"/>
  <c r="AJW7" i="20"/>
  <c r="AJX7" i="20"/>
  <c r="AJY7" i="20"/>
  <c r="AJZ7" i="20"/>
  <c r="AKA7" i="20"/>
  <c r="AKB7" i="20"/>
  <c r="AKC7" i="20"/>
  <c r="AKD7" i="20"/>
  <c r="AKE7" i="20"/>
  <c r="AKF7" i="20"/>
  <c r="AKG7" i="20"/>
  <c r="AKS7" i="20"/>
  <c r="AKT7" i="20"/>
  <c r="AKU7" i="20"/>
  <c r="AKV7" i="20"/>
  <c r="AKW7" i="20"/>
  <c r="AKX7" i="20"/>
  <c r="AKY7" i="20"/>
  <c r="AKZ7" i="20"/>
  <c r="ALA7" i="20"/>
  <c r="ALB7" i="20"/>
  <c r="ALC7" i="20"/>
  <c r="ALO7" i="20"/>
  <c r="ALP7" i="20"/>
  <c r="ALQ7" i="20"/>
  <c r="ALR7" i="20"/>
  <c r="ALS7" i="20"/>
  <c r="ALT7" i="20"/>
  <c r="ALU7" i="20"/>
  <c r="ALV7" i="20"/>
  <c r="ALW7" i="20"/>
  <c r="ALX7" i="20"/>
  <c r="ALY7" i="20"/>
  <c r="AMK7" i="20"/>
  <c r="AML7" i="20"/>
  <c r="AMM7" i="20"/>
  <c r="AMN7" i="20"/>
  <c r="AMO7" i="20"/>
  <c r="AMP7" i="20"/>
  <c r="AMQ7" i="20"/>
  <c r="AMR7" i="20"/>
  <c r="AMS7" i="20"/>
  <c r="AMT7" i="20"/>
  <c r="AMU7" i="20"/>
  <c r="ANG7" i="20"/>
  <c r="ANH7" i="20"/>
  <c r="ANI7" i="20"/>
  <c r="ANJ7" i="20"/>
  <c r="ANK7" i="20"/>
  <c r="ANL7" i="20"/>
  <c r="ANM7" i="20"/>
  <c r="ANN7" i="20"/>
  <c r="ANO7" i="20"/>
  <c r="ANP7" i="20"/>
  <c r="ANQ7" i="20"/>
  <c r="AOC7" i="20"/>
  <c r="AOD7" i="20"/>
  <c r="AOE7" i="20"/>
  <c r="AOF7" i="20"/>
  <c r="AOG7" i="20"/>
  <c r="AOH7" i="20"/>
  <c r="AOI7" i="20"/>
  <c r="AOJ7" i="20"/>
  <c r="AOK7" i="20"/>
  <c r="AOL7" i="20"/>
  <c r="AOM7" i="20"/>
  <c r="AOY7" i="20"/>
  <c r="AOZ7" i="20"/>
  <c r="APA7" i="20"/>
  <c r="APB7" i="20"/>
  <c r="APC7" i="20"/>
  <c r="APD7" i="20"/>
  <c r="APE7" i="20"/>
  <c r="APF7" i="20"/>
  <c r="APG7" i="20"/>
  <c r="APH7" i="20"/>
  <c r="API7" i="20"/>
  <c r="APU7" i="20"/>
  <c r="APV7" i="20"/>
  <c r="APW7" i="20"/>
  <c r="APX7" i="20"/>
  <c r="APY7" i="20"/>
  <c r="APZ7" i="20"/>
  <c r="AQA7" i="20"/>
  <c r="AQB7" i="20"/>
  <c r="AQC7" i="20"/>
  <c r="AQD7" i="20"/>
  <c r="AQE7" i="20"/>
  <c r="AQQ7" i="20"/>
  <c r="AQR7" i="20"/>
  <c r="AQS7" i="20"/>
  <c r="AQT7" i="20"/>
  <c r="AQU7" i="20"/>
  <c r="AQV7" i="20"/>
  <c r="AQW7" i="20"/>
  <c r="AQX7" i="20"/>
  <c r="AQY7" i="20"/>
  <c r="AQZ7" i="20"/>
  <c r="ARA7" i="20"/>
  <c r="ARM7" i="20"/>
  <c r="ARN7" i="20"/>
  <c r="ARO7" i="20"/>
  <c r="ARP7" i="20"/>
  <c r="ARQ7" i="20"/>
  <c r="ARR7" i="20"/>
  <c r="ARS7" i="20"/>
  <c r="ART7" i="20"/>
  <c r="ARU7" i="20"/>
  <c r="ARV7" i="20"/>
  <c r="ARW7" i="20"/>
  <c r="ASI7" i="20"/>
  <c r="ASJ7" i="20"/>
  <c r="ASK7" i="20"/>
  <c r="ASL7" i="20"/>
  <c r="ASM7" i="20"/>
  <c r="ASN7" i="20"/>
  <c r="ASO7" i="20"/>
  <c r="ASP7" i="20"/>
  <c r="ASQ7" i="20"/>
  <c r="ASR7" i="20"/>
  <c r="ASS7" i="20"/>
  <c r="ATE7" i="20"/>
  <c r="ATF7" i="20"/>
  <c r="ATG7" i="20"/>
  <c r="ATH7" i="20"/>
  <c r="ATI7" i="20"/>
  <c r="ATJ7" i="20"/>
  <c r="ATK7" i="20"/>
  <c r="ATL7" i="20"/>
  <c r="ATM7" i="20"/>
  <c r="ATN7" i="20"/>
  <c r="ATO7" i="20"/>
  <c r="AUA7" i="20"/>
  <c r="AUB7" i="20"/>
  <c r="AUC7" i="20"/>
  <c r="AUD7" i="20"/>
  <c r="AUE7" i="20"/>
  <c r="AUF7" i="20"/>
  <c r="AUG7" i="20"/>
  <c r="AUH7" i="20"/>
  <c r="AUI7" i="20"/>
  <c r="AUJ7" i="20"/>
  <c r="AUK7" i="20"/>
  <c r="AUW7" i="20"/>
  <c r="AUX7" i="20"/>
  <c r="AUY7" i="20"/>
  <c r="AUZ7" i="20"/>
  <c r="AVA7" i="20"/>
  <c r="AVB7" i="20"/>
  <c r="AVC7" i="20"/>
  <c r="AVD7" i="20"/>
  <c r="AVE7" i="20"/>
  <c r="AVF7" i="20"/>
  <c r="AVG7" i="20"/>
  <c r="AVS7" i="20"/>
  <c r="AVT7" i="20"/>
  <c r="AVU7" i="20"/>
  <c r="AVV7" i="20"/>
  <c r="AVW7" i="20"/>
  <c r="AVX7" i="20"/>
  <c r="AVY7" i="20"/>
  <c r="AVZ7" i="20"/>
  <c r="AWA7" i="20"/>
  <c r="AWB7" i="20"/>
  <c r="AWC7" i="20"/>
  <c r="AWO7" i="20"/>
  <c r="AWP7" i="20"/>
  <c r="AWQ7" i="20"/>
  <c r="AWR7" i="20"/>
  <c r="AWS7" i="20"/>
  <c r="AWT7" i="20"/>
  <c r="AWU7" i="20"/>
  <c r="AWV7" i="20"/>
  <c r="AWW7" i="20"/>
  <c r="AWX7" i="20"/>
  <c r="AWY7" i="20"/>
  <c r="AXK7" i="20"/>
  <c r="AXL7" i="20"/>
  <c r="AXM7" i="20"/>
  <c r="AXN7" i="20"/>
  <c r="AXO7" i="20"/>
  <c r="AXP7" i="20"/>
  <c r="AXQ7" i="20"/>
  <c r="AXR7" i="20"/>
  <c r="AXS7" i="20"/>
  <c r="AXT7" i="20"/>
  <c r="AXU7" i="20"/>
  <c r="AYG7" i="20"/>
  <c r="AYH7" i="20"/>
  <c r="AYI7" i="20"/>
  <c r="AYJ7" i="20"/>
  <c r="AYK7" i="20"/>
  <c r="AYL7" i="20"/>
  <c r="AYM7" i="20"/>
  <c r="AYN7" i="20"/>
  <c r="AYO7" i="20"/>
  <c r="AYP7" i="20"/>
  <c r="AYQ7" i="20"/>
  <c r="AZC7" i="20"/>
  <c r="AZD7" i="20"/>
  <c r="AZE7" i="20"/>
  <c r="AZF7" i="20"/>
  <c r="AZG7" i="20"/>
  <c r="AZH7" i="20"/>
  <c r="AZI7" i="20"/>
  <c r="AZJ7" i="20"/>
  <c r="AZK7" i="20"/>
  <c r="AZL7" i="20"/>
  <c r="AZM7" i="20"/>
  <c r="AZY7" i="20"/>
  <c r="AZZ7" i="20"/>
  <c r="BAA7" i="20"/>
  <c r="BAB7" i="20"/>
  <c r="BAC7" i="20"/>
  <c r="BAD7" i="20"/>
  <c r="BAE7" i="20"/>
  <c r="BAF7" i="20"/>
  <c r="BAG7" i="20"/>
  <c r="BAH7" i="20"/>
  <c r="BAI7" i="20"/>
  <c r="BAU7" i="20"/>
  <c r="BAV7" i="20"/>
  <c r="BAW7" i="20"/>
  <c r="BAX7" i="20"/>
  <c r="BAY7" i="20"/>
  <c r="BAZ7" i="20"/>
  <c r="BBA7" i="20"/>
  <c r="BBB7" i="20"/>
  <c r="BBC7" i="20"/>
  <c r="BBD7" i="20"/>
  <c r="BBE7" i="20"/>
  <c r="BBQ7" i="20"/>
  <c r="BBR7" i="20"/>
  <c r="BBS7" i="20"/>
  <c r="BBT7" i="20"/>
  <c r="BBU7" i="20"/>
  <c r="BBV7" i="20"/>
  <c r="BBW7" i="20"/>
  <c r="BBX7" i="20"/>
  <c r="BBY7" i="20"/>
  <c r="BBZ7" i="20"/>
  <c r="BCA7" i="20"/>
  <c r="BCM7" i="20"/>
  <c r="BCN7" i="20"/>
  <c r="BCO7" i="20"/>
  <c r="BCP7" i="20"/>
  <c r="BCQ7" i="20"/>
  <c r="BCR7" i="20"/>
  <c r="BCS7" i="20"/>
  <c r="BCT7" i="20"/>
  <c r="BCU7" i="20"/>
  <c r="BCV7" i="20"/>
  <c r="BCW7" i="20"/>
  <c r="BDI7" i="20"/>
  <c r="BDJ7" i="20"/>
  <c r="BDK7" i="20"/>
  <c r="BDL7" i="20"/>
  <c r="BDM7" i="20"/>
  <c r="BDN7" i="20"/>
  <c r="BDO7" i="20"/>
  <c r="BDP7" i="20"/>
  <c r="BDQ7" i="20"/>
  <c r="BDR7" i="20"/>
  <c r="BDS7" i="20"/>
  <c r="BEE7" i="20"/>
  <c r="BEF7" i="20"/>
  <c r="BEG7" i="20"/>
  <c r="BEH7" i="20"/>
  <c r="BEI7" i="20"/>
  <c r="BEJ7" i="20"/>
  <c r="BEK7" i="20"/>
  <c r="BEL7" i="20"/>
  <c r="BEM7" i="20"/>
  <c r="BEN7" i="20"/>
  <c r="BEO7" i="20"/>
  <c r="BFA7" i="20"/>
  <c r="BFB7" i="20"/>
  <c r="BFC7" i="20"/>
  <c r="BFD7" i="20"/>
  <c r="BFE7" i="20"/>
  <c r="BFF7" i="20"/>
  <c r="BFG7" i="20"/>
  <c r="BFH7" i="20"/>
  <c r="BFI7" i="20"/>
  <c r="BFJ7" i="20"/>
  <c r="BFK7" i="20"/>
  <c r="BFW7" i="20"/>
  <c r="BFX7" i="20"/>
  <c r="BFY7" i="20"/>
  <c r="BFZ7" i="20"/>
  <c r="BGA7" i="20"/>
  <c r="BGB7" i="20"/>
  <c r="BGC7" i="20"/>
  <c r="BGD7" i="20"/>
  <c r="BGE7" i="20"/>
  <c r="BGF7" i="20"/>
  <c r="BGG7" i="20"/>
  <c r="BGS7" i="20"/>
  <c r="BGT7" i="20"/>
  <c r="BGU7" i="20"/>
  <c r="BGV7" i="20"/>
  <c r="BGW7" i="20"/>
  <c r="BGX7" i="20"/>
  <c r="BGY7" i="20"/>
  <c r="BGZ7" i="20"/>
  <c r="BHA7" i="20"/>
  <c r="BHB7" i="20"/>
  <c r="BHC7" i="20"/>
  <c r="BHO7" i="20"/>
  <c r="BHP7" i="20"/>
  <c r="BHQ7" i="20"/>
  <c r="BHR7" i="20"/>
  <c r="BHS7" i="20"/>
  <c r="BHT7" i="20"/>
  <c r="BHU7" i="20"/>
  <c r="BHV7" i="20"/>
  <c r="BHW7" i="20"/>
  <c r="BHX7" i="20"/>
  <c r="BHY7" i="20"/>
  <c r="BIK7" i="20"/>
  <c r="BIL7" i="20"/>
  <c r="BIM7" i="20"/>
  <c r="BIN7" i="20"/>
  <c r="BIO7" i="20"/>
  <c r="BIP7" i="20"/>
  <c r="BIQ7" i="20"/>
  <c r="BIR7" i="20"/>
  <c r="BIS7" i="20"/>
  <c r="BIT7" i="20"/>
  <c r="BIU7" i="20"/>
  <c r="BJG7" i="20"/>
  <c r="BJH7" i="20"/>
  <c r="BJI7" i="20"/>
  <c r="BJJ7" i="20"/>
  <c r="BJK7" i="20"/>
  <c r="BJL7" i="20"/>
  <c r="BJM7" i="20"/>
  <c r="BJN7" i="20"/>
  <c r="BJO7" i="20"/>
  <c r="BJP7" i="20"/>
  <c r="BJQ7" i="20"/>
  <c r="BKC7" i="20"/>
  <c r="BKD7" i="20"/>
  <c r="BKE7" i="20"/>
  <c r="BKF7" i="20"/>
  <c r="BKG7" i="20"/>
  <c r="BKH7" i="20"/>
  <c r="BKI7" i="20"/>
  <c r="BKJ7" i="20"/>
  <c r="BKK7" i="20"/>
  <c r="BKL7" i="20"/>
  <c r="BKM7" i="20"/>
  <c r="BKY7" i="20"/>
  <c r="BKZ7" i="20"/>
  <c r="BLA7" i="20"/>
  <c r="BLB7" i="20"/>
  <c r="BLC7" i="20"/>
  <c r="BLD7" i="20"/>
  <c r="BLE7" i="20"/>
  <c r="BLF7" i="20"/>
  <c r="BLG7" i="20"/>
  <c r="BLH7" i="20"/>
  <c r="BLI7" i="20"/>
  <c r="BLU7" i="20"/>
  <c r="BLV7" i="20"/>
  <c r="BLW7" i="20"/>
  <c r="BLX7" i="20"/>
  <c r="BLY7" i="20"/>
  <c r="BLZ7" i="20"/>
  <c r="BMA7" i="20"/>
  <c r="BMB7" i="20"/>
  <c r="BMC7" i="20"/>
  <c r="BMD7" i="20"/>
  <c r="BME7" i="20"/>
  <c r="BMQ7" i="20"/>
  <c r="BMR7" i="20"/>
  <c r="BMS7" i="20"/>
  <c r="BMT7" i="20"/>
  <c r="BMU7" i="20"/>
  <c r="BMV7" i="20"/>
  <c r="BMW7" i="20"/>
  <c r="BMX7" i="20"/>
  <c r="BMY7" i="20"/>
  <c r="BMZ7" i="20"/>
  <c r="BNA7" i="20"/>
  <c r="BNM7" i="20"/>
  <c r="BNN7" i="20"/>
  <c r="BNO7" i="20"/>
  <c r="BNP7" i="20"/>
  <c r="BNQ7" i="20"/>
  <c r="BNR7" i="20"/>
  <c r="BNS7" i="20"/>
  <c r="BNT7" i="20"/>
  <c r="BNU7" i="20"/>
  <c r="BNV7" i="20"/>
  <c r="BNW7" i="20"/>
  <c r="BOI7" i="20"/>
  <c r="BOJ7" i="20"/>
  <c r="BOK7" i="20"/>
  <c r="BOL7" i="20"/>
  <c r="BOM7" i="20"/>
  <c r="BON7" i="20"/>
  <c r="BOO7" i="20"/>
  <c r="BOP7" i="20"/>
  <c r="BOQ7" i="20"/>
  <c r="BOR7" i="20"/>
  <c r="BOS7" i="20"/>
  <c r="BPE7" i="20"/>
  <c r="BPF7" i="20"/>
  <c r="BPG7" i="20"/>
  <c r="BPH7" i="20"/>
  <c r="BPI7" i="20"/>
  <c r="BPJ7" i="20"/>
  <c r="BPK7" i="20"/>
  <c r="BPL7" i="20"/>
  <c r="BPM7" i="20"/>
  <c r="BPN7" i="20"/>
  <c r="BPO7" i="20"/>
  <c r="BQA7" i="20"/>
  <c r="BQB7" i="20"/>
  <c r="BQC7" i="20"/>
  <c r="BQD7" i="20"/>
  <c r="BQE7" i="20"/>
  <c r="BQF7" i="20"/>
  <c r="BQG7" i="20"/>
  <c r="BQH7" i="20"/>
  <c r="BQI7" i="20"/>
  <c r="BQJ7" i="20"/>
  <c r="BQK7" i="20"/>
  <c r="BQW7" i="20"/>
  <c r="BQX7" i="20"/>
  <c r="BQY7" i="20"/>
  <c r="BQZ7" i="20"/>
  <c r="BRA7" i="20"/>
  <c r="BRB7" i="20"/>
  <c r="BRC7" i="20"/>
  <c r="BRD7" i="20"/>
  <c r="BRE7" i="20"/>
  <c r="BRF7" i="20"/>
  <c r="BRG7" i="20"/>
  <c r="BRS7" i="20"/>
  <c r="BRT7" i="20"/>
  <c r="BRU7" i="20"/>
  <c r="BRV7" i="20"/>
  <c r="BRW7" i="20"/>
  <c r="BRX7" i="20"/>
  <c r="BRY7" i="20"/>
  <c r="BRZ7" i="20"/>
  <c r="BSA7" i="20"/>
  <c r="BSB7" i="20"/>
  <c r="BSC7" i="20"/>
  <c r="BSO7" i="20"/>
  <c r="BSP7" i="20"/>
  <c r="BSQ7" i="20"/>
  <c r="BSR7" i="20"/>
  <c r="BSS7" i="20"/>
  <c r="BST7" i="20"/>
  <c r="BSU7" i="20"/>
  <c r="BSV7" i="20"/>
  <c r="BSW7" i="20"/>
  <c r="BSX7" i="20"/>
  <c r="BSY7" i="20"/>
  <c r="BTK7" i="20"/>
  <c r="BTL7" i="20"/>
  <c r="BTM7" i="20"/>
  <c r="BTN7" i="20"/>
  <c r="BTO7" i="20"/>
  <c r="BTP7" i="20"/>
  <c r="BTQ7" i="20"/>
  <c r="BTR7" i="20"/>
  <c r="BTS7" i="20"/>
  <c r="BTT7" i="20"/>
  <c r="BTU7" i="20"/>
  <c r="BUG7" i="20"/>
  <c r="BUH7" i="20"/>
  <c r="BUI7" i="20"/>
  <c r="BUJ7" i="20"/>
  <c r="BUK7" i="20"/>
  <c r="BUL7" i="20"/>
  <c r="BUM7" i="20"/>
  <c r="BUN7" i="20"/>
  <c r="BUO7" i="20"/>
  <c r="BUP7" i="20"/>
  <c r="BUQ7" i="20"/>
  <c r="BVC7" i="20"/>
  <c r="BVD7" i="20"/>
  <c r="BVE7" i="20"/>
  <c r="BVF7" i="20"/>
  <c r="BVG7" i="20"/>
  <c r="BVH7" i="20"/>
  <c r="BVI7" i="20"/>
  <c r="BVJ7" i="20"/>
  <c r="BVK7" i="20"/>
  <c r="BVL7" i="20"/>
  <c r="BVM7" i="20"/>
  <c r="BVY7" i="20"/>
  <c r="BVZ7" i="20"/>
  <c r="BWA7" i="20"/>
  <c r="BWB7" i="20"/>
  <c r="BWC7" i="20"/>
  <c r="BWD7" i="20"/>
  <c r="BWE7" i="20"/>
  <c r="BWF7" i="20"/>
  <c r="BWG7" i="20"/>
  <c r="BWH7" i="20"/>
  <c r="BWI7" i="20"/>
  <c r="BWU7" i="20"/>
  <c r="BWV7" i="20"/>
  <c r="BWW7" i="20"/>
  <c r="BWX7" i="20"/>
  <c r="BWY7" i="20"/>
  <c r="BWZ7" i="20"/>
  <c r="BXA7" i="20"/>
  <c r="BXB7" i="20"/>
  <c r="BXC7" i="20"/>
  <c r="BXD7" i="20"/>
  <c r="BXE7" i="20"/>
  <c r="BXQ7" i="20"/>
  <c r="BXR7" i="20"/>
  <c r="BXS7" i="20"/>
  <c r="BXT7" i="20"/>
  <c r="BXU7" i="20"/>
  <c r="BXV7" i="20"/>
  <c r="BXW7" i="20"/>
  <c r="BXX7" i="20"/>
  <c r="BXY7" i="20"/>
  <c r="BXZ7" i="20"/>
  <c r="BYA7" i="20"/>
  <c r="BYM7" i="20"/>
  <c r="BYN7" i="20"/>
  <c r="BYO7" i="20"/>
  <c r="BYP7" i="20"/>
  <c r="BYQ7" i="20"/>
  <c r="BYR7" i="20"/>
  <c r="BYS7" i="20"/>
  <c r="BYT7" i="20"/>
  <c r="BYU7" i="20"/>
  <c r="BYV7" i="20"/>
  <c r="BYW7" i="20"/>
  <c r="BZI7" i="20"/>
  <c r="BZJ7" i="20"/>
  <c r="BZK7" i="20"/>
  <c r="BZL7" i="20"/>
  <c r="BZM7" i="20"/>
  <c r="BZN7" i="20"/>
  <c r="BZO7" i="20"/>
  <c r="BZP7" i="20"/>
  <c r="BZQ7" i="20"/>
  <c r="BZR7" i="20"/>
  <c r="BZS7" i="20"/>
  <c r="CAE7" i="20"/>
  <c r="CAF7" i="20"/>
  <c r="CAG7" i="20"/>
  <c r="CAH7" i="20"/>
  <c r="CAI7" i="20"/>
  <c r="CAJ7" i="20"/>
  <c r="CAK7" i="20"/>
  <c r="CAL7" i="20"/>
  <c r="CAM7" i="20"/>
  <c r="CAN7" i="20"/>
  <c r="CAO7" i="20"/>
  <c r="CBA7" i="20"/>
  <c r="CBB7" i="20"/>
  <c r="CBC7" i="20"/>
  <c r="CBD7" i="20"/>
  <c r="CBE7" i="20"/>
  <c r="CBF7" i="20"/>
  <c r="CBG7" i="20"/>
  <c r="CBH7" i="20"/>
  <c r="CBI7" i="20"/>
  <c r="CBJ7" i="20"/>
  <c r="CBK7" i="20"/>
  <c r="CBW7" i="20"/>
  <c r="CBX7" i="20"/>
  <c r="CBY7" i="20"/>
  <c r="CBZ7" i="20"/>
  <c r="CCA7" i="20"/>
  <c r="CCB7" i="20"/>
  <c r="CCC7" i="20"/>
  <c r="CCD7" i="20"/>
  <c r="CCE7" i="20"/>
  <c r="CCF7" i="20"/>
  <c r="CCG7" i="20"/>
  <c r="CCS7" i="20"/>
  <c r="CCT7" i="20"/>
  <c r="CCU7" i="20"/>
  <c r="CCV7" i="20"/>
  <c r="CCW7" i="20"/>
  <c r="CCX7" i="20"/>
  <c r="CCY7" i="20"/>
  <c r="CCZ7" i="20"/>
  <c r="CDA7" i="20"/>
  <c r="CDB7" i="20"/>
  <c r="CDC7" i="20"/>
  <c r="CDO7" i="20"/>
  <c r="CDP7" i="20"/>
  <c r="CDQ7" i="20"/>
  <c r="CDR7" i="20"/>
  <c r="CDS7" i="20"/>
  <c r="CDT7" i="20"/>
  <c r="CDU7" i="20"/>
  <c r="CDV7" i="20"/>
  <c r="CDW7" i="20"/>
  <c r="CDX7" i="20"/>
  <c r="CDY7" i="20"/>
  <c r="CEK7" i="20"/>
  <c r="CEL7" i="20"/>
  <c r="CEM7" i="20"/>
  <c r="CEN7" i="20"/>
  <c r="CEO7" i="20"/>
  <c r="CEP7" i="20"/>
  <c r="CEQ7" i="20"/>
  <c r="CER7" i="20"/>
  <c r="CES7" i="20"/>
  <c r="CET7" i="20"/>
  <c r="CEU7" i="20"/>
  <c r="CFG7" i="20"/>
  <c r="CFH7" i="20"/>
  <c r="CFI7" i="20"/>
  <c r="CFJ7" i="20"/>
  <c r="CFK7" i="20"/>
  <c r="CFL7" i="20"/>
  <c r="CFM7" i="20"/>
  <c r="CFN7" i="20"/>
  <c r="CFO7" i="20"/>
  <c r="CFP7" i="20"/>
  <c r="CFQ7" i="20"/>
  <c r="CGC7" i="20"/>
  <c r="CGD7" i="20"/>
  <c r="CGE7" i="20"/>
  <c r="CGF7" i="20"/>
  <c r="CGG7" i="20"/>
  <c r="CGH7" i="20"/>
  <c r="CGI7" i="20"/>
  <c r="CGJ7" i="20"/>
  <c r="CGK7" i="20"/>
  <c r="CGL7" i="20"/>
  <c r="CGM7" i="20"/>
  <c r="CGY7" i="20"/>
  <c r="CGZ7" i="20"/>
  <c r="CHA7" i="20"/>
  <c r="CHB7" i="20"/>
  <c r="CHC7" i="20"/>
  <c r="CHD7" i="20"/>
  <c r="CHE7" i="20"/>
  <c r="CHF7" i="20"/>
  <c r="CHG7" i="20"/>
  <c r="CHH7" i="20"/>
  <c r="CHI7" i="20"/>
  <c r="CHU7" i="20"/>
  <c r="CHV7" i="20"/>
  <c r="CHW7" i="20"/>
  <c r="CHX7" i="20"/>
  <c r="CHY7" i="20"/>
  <c r="CHZ7" i="20"/>
  <c r="CIA7" i="20"/>
  <c r="CIB7" i="20"/>
  <c r="CIC7" i="20"/>
  <c r="CID7" i="20"/>
  <c r="CIE7" i="20"/>
  <c r="CIQ7" i="20"/>
  <c r="CIR7" i="20"/>
  <c r="CIS7" i="20"/>
  <c r="CIT7" i="20"/>
  <c r="CIU7" i="20"/>
  <c r="CIV7" i="20"/>
  <c r="CIW7" i="20"/>
  <c r="CIX7" i="20"/>
  <c r="CIY7" i="20"/>
  <c r="CIZ7" i="20"/>
  <c r="CJA7" i="20"/>
  <c r="CJM7" i="20"/>
  <c r="CJN7" i="20"/>
  <c r="CJO7" i="20"/>
  <c r="CJP7" i="20"/>
  <c r="CJQ7" i="20"/>
  <c r="CJR7" i="20"/>
  <c r="CJS7" i="20"/>
  <c r="CJT7" i="20"/>
  <c r="CJU7" i="20"/>
  <c r="CJV7" i="20"/>
  <c r="CJW7" i="20"/>
  <c r="CKI7" i="20"/>
  <c r="CKJ7" i="20"/>
  <c r="CKK7" i="20"/>
  <c r="CKL7" i="20"/>
  <c r="CKM7" i="20"/>
  <c r="CKN7" i="20"/>
  <c r="CKO7" i="20"/>
  <c r="CKP7" i="20"/>
  <c r="CKQ7" i="20"/>
  <c r="CKR7" i="20"/>
  <c r="CKS7" i="20"/>
  <c r="CLE7" i="20"/>
  <c r="CLF7" i="20"/>
  <c r="CLG7" i="20"/>
  <c r="CLH7" i="20"/>
  <c r="CLI7" i="20"/>
  <c r="CLJ7" i="20"/>
  <c r="CLK7" i="20"/>
  <c r="CLL7" i="20"/>
  <c r="CLM7" i="20"/>
  <c r="CLN7" i="20"/>
  <c r="CLO7" i="20"/>
  <c r="CMA7" i="20"/>
  <c r="CMB7" i="20"/>
  <c r="CMC7" i="20"/>
  <c r="CMD7" i="20"/>
  <c r="CME7" i="20"/>
  <c r="CMF7" i="20"/>
  <c r="CMG7" i="20"/>
  <c r="CMH7" i="20"/>
  <c r="CMI7" i="20"/>
  <c r="CMJ7" i="20"/>
  <c r="CMK7" i="20"/>
  <c r="CMW7" i="20"/>
  <c r="CMX7" i="20"/>
  <c r="CMY7" i="20"/>
  <c r="CMZ7" i="20"/>
  <c r="CNA7" i="20"/>
  <c r="CNB7" i="20"/>
  <c r="CNC7" i="20"/>
  <c r="CND7" i="20"/>
  <c r="CNE7" i="20"/>
  <c r="CNF7" i="20"/>
  <c r="CNG7" i="20"/>
  <c r="CNS7" i="20"/>
  <c r="CNT7" i="20"/>
  <c r="CNU7" i="20"/>
  <c r="CNV7" i="20"/>
  <c r="CNW7" i="20"/>
  <c r="CNX7" i="20"/>
  <c r="CNY7" i="20"/>
  <c r="CNZ7" i="20"/>
  <c r="COA7" i="20"/>
  <c r="COB7" i="20"/>
  <c r="COC7" i="20"/>
  <c r="COO7" i="20"/>
  <c r="COP7" i="20"/>
  <c r="COQ7" i="20"/>
  <c r="COR7" i="20"/>
  <c r="COS7" i="20"/>
  <c r="COT7" i="20"/>
  <c r="COU7" i="20"/>
  <c r="COV7" i="20"/>
  <c r="COW7" i="20"/>
  <c r="COX7" i="20"/>
  <c r="COY7" i="20"/>
  <c r="CPK7" i="20"/>
  <c r="CPL7" i="20"/>
  <c r="CPM7" i="20"/>
  <c r="CPN7" i="20"/>
  <c r="CPO7" i="20"/>
  <c r="CPP7" i="20"/>
  <c r="CPQ7" i="20"/>
  <c r="CPR7" i="20"/>
  <c r="CPS7" i="20"/>
  <c r="CPT7" i="20"/>
  <c r="CPU7" i="20"/>
  <c r="CQG7" i="20"/>
  <c r="CQH7" i="20"/>
  <c r="CQI7" i="20"/>
  <c r="CQJ7" i="20"/>
  <c r="CQK7" i="20"/>
  <c r="CQL7" i="20"/>
  <c r="CQM7" i="20"/>
  <c r="CQN7" i="20"/>
  <c r="CQO7" i="20"/>
  <c r="CQP7" i="20"/>
  <c r="CQQ7" i="20"/>
  <c r="CRC7" i="20"/>
  <c r="CRD7" i="20"/>
  <c r="CRE7" i="20"/>
  <c r="CRF7" i="20"/>
  <c r="CRG7" i="20"/>
  <c r="CRH7" i="20"/>
  <c r="CRI7" i="20"/>
  <c r="CRJ7" i="20"/>
  <c r="CRK7" i="20"/>
  <c r="CRL7" i="20"/>
  <c r="CRM7" i="20"/>
  <c r="CRY7" i="20"/>
  <c r="CRZ7" i="20"/>
  <c r="CSA7" i="20"/>
  <c r="CSB7" i="20"/>
  <c r="CSC7" i="20"/>
  <c r="CSD7" i="20"/>
  <c r="CSE7" i="20"/>
  <c r="CSF7" i="20"/>
  <c r="CSG7" i="20"/>
  <c r="CSH7" i="20"/>
  <c r="CSI7" i="20"/>
  <c r="CSU7" i="20"/>
  <c r="CSV7" i="20"/>
  <c r="CSW7" i="20"/>
  <c r="CSX7" i="20"/>
  <c r="CSY7" i="20"/>
  <c r="CSZ7" i="20"/>
  <c r="CTA7" i="20"/>
  <c r="CTB7" i="20"/>
  <c r="CTC7" i="20"/>
  <c r="CTD7" i="20"/>
  <c r="CTE7" i="20"/>
  <c r="CTQ7" i="20"/>
  <c r="CTR7" i="20"/>
  <c r="CTS7" i="20"/>
  <c r="CTT7" i="20"/>
  <c r="CTU7" i="20"/>
  <c r="CTV7" i="20"/>
  <c r="CTW7" i="20"/>
  <c r="CTX7" i="20"/>
  <c r="CTY7" i="20"/>
  <c r="CTZ7" i="20"/>
  <c r="CUA7" i="20"/>
  <c r="CUM7" i="20"/>
  <c r="CUN7" i="20"/>
  <c r="CUO7" i="20"/>
  <c r="CUP7" i="20"/>
  <c r="CUQ7" i="20"/>
  <c r="CUR7" i="20"/>
  <c r="CUS7" i="20"/>
  <c r="CUT7" i="20"/>
  <c r="CUU7" i="20"/>
  <c r="CUV7" i="20"/>
  <c r="CUW7" i="20"/>
  <c r="CVI7" i="20"/>
  <c r="CVJ7" i="20"/>
  <c r="CVK7" i="20"/>
  <c r="CVL7" i="20"/>
  <c r="CVM7" i="20"/>
  <c r="CVN7" i="20"/>
  <c r="CVO7" i="20"/>
  <c r="CVP7" i="20"/>
  <c r="CVQ7" i="20"/>
  <c r="CVR7" i="20"/>
  <c r="CVS7" i="20"/>
  <c r="CWE7" i="20"/>
  <c r="CWF7" i="20"/>
  <c r="CWG7" i="20"/>
  <c r="CWH7" i="20"/>
  <c r="CWI7" i="20"/>
  <c r="CWJ7" i="20"/>
  <c r="CWK7" i="20"/>
  <c r="CWL7" i="20"/>
  <c r="CWM7" i="20"/>
  <c r="CWN7" i="20"/>
  <c r="CWO7" i="20"/>
  <c r="CXA7" i="20"/>
  <c r="CXB7" i="20"/>
  <c r="CXC7" i="20"/>
  <c r="CXD7" i="20"/>
  <c r="CXE7" i="20"/>
  <c r="CXF7" i="20"/>
  <c r="CXG7" i="20"/>
  <c r="CXH7" i="20"/>
  <c r="CXI7" i="20"/>
  <c r="CXJ7" i="20"/>
  <c r="CXK7" i="20"/>
  <c r="CXW7" i="20"/>
  <c r="CXX7" i="20"/>
  <c r="CXY7" i="20"/>
  <c r="CXZ7" i="20"/>
  <c r="CYA7" i="20"/>
  <c r="CYB7" i="20"/>
  <c r="CYC7" i="20"/>
  <c r="CYD7" i="20"/>
  <c r="CYE7" i="20"/>
  <c r="CYF7" i="20"/>
  <c r="CYG7" i="20"/>
  <c r="CYS7" i="20"/>
  <c r="CYT7" i="20"/>
  <c r="CYU7" i="20"/>
  <c r="CYV7" i="20"/>
  <c r="CYW7" i="20"/>
  <c r="CYX7" i="20"/>
  <c r="CYY7" i="20"/>
  <c r="CYZ7" i="20"/>
  <c r="CZA7" i="20"/>
  <c r="CZB7" i="20"/>
  <c r="CZC7" i="20"/>
  <c r="CZO7" i="20"/>
  <c r="CZP7" i="20"/>
  <c r="CZQ7" i="20"/>
  <c r="CZR7" i="20"/>
  <c r="CZS7" i="20"/>
  <c r="CZT7" i="20"/>
  <c r="CZU7" i="20"/>
  <c r="CZV7" i="20"/>
  <c r="CZW7" i="20"/>
  <c r="CZX7" i="20"/>
  <c r="CZY7" i="20"/>
  <c r="DAK7" i="20"/>
  <c r="DAL7" i="20"/>
  <c r="DAM7" i="20"/>
  <c r="DAN7" i="20"/>
  <c r="DAO7" i="20"/>
  <c r="DAP7" i="20"/>
  <c r="DAQ7" i="20"/>
  <c r="DAR7" i="20"/>
  <c r="DAS7" i="20"/>
  <c r="DAT7" i="20"/>
  <c r="DAU7" i="20"/>
  <c r="DBG7" i="20"/>
  <c r="DBH7" i="20"/>
  <c r="DBI7" i="20"/>
  <c r="DBJ7" i="20"/>
  <c r="DBK7" i="20"/>
  <c r="DBL7" i="20"/>
  <c r="DBM7" i="20"/>
  <c r="DBN7" i="20"/>
  <c r="DBO7" i="20"/>
  <c r="DBP7" i="20"/>
  <c r="DBQ7" i="20"/>
  <c r="DCC7" i="20"/>
  <c r="DCD7" i="20"/>
  <c r="DCE7" i="20"/>
  <c r="DCF7" i="20"/>
  <c r="DCG7" i="20"/>
  <c r="DCH7" i="20"/>
  <c r="DCI7" i="20"/>
  <c r="DCJ7" i="20"/>
  <c r="DCK7" i="20"/>
  <c r="DCL7" i="20"/>
  <c r="DCM7" i="20"/>
  <c r="DCY7" i="20"/>
  <c r="DCZ7" i="20"/>
  <c r="DDA7" i="20"/>
  <c r="DDB7" i="20"/>
  <c r="DDC7" i="20"/>
  <c r="DDD7" i="20"/>
  <c r="DDE7" i="20"/>
  <c r="DDF7" i="20"/>
  <c r="DDG7" i="20"/>
  <c r="DDH7" i="20"/>
  <c r="DDI7" i="20"/>
  <c r="AAO8" i="20"/>
  <c r="AAP8" i="20"/>
  <c r="AAQ8" i="20"/>
  <c r="AAR8" i="20"/>
  <c r="AAS8" i="20"/>
  <c r="AAT8" i="20"/>
  <c r="AAU8" i="20"/>
  <c r="AAV8" i="20"/>
  <c r="AAW8" i="20"/>
  <c r="AAX8" i="20"/>
  <c r="AAY8" i="20"/>
  <c r="ABK8" i="20"/>
  <c r="ABL8" i="20"/>
  <c r="ABM8" i="20"/>
  <c r="ABN8" i="20"/>
  <c r="ABO8" i="20"/>
  <c r="ABP8" i="20"/>
  <c r="ABQ8" i="20"/>
  <c r="ABR8" i="20"/>
  <c r="ABS8" i="20"/>
  <c r="ABT8" i="20"/>
  <c r="ABU8" i="20"/>
  <c r="ACG8" i="20"/>
  <c r="ACH8" i="20"/>
  <c r="ACI8" i="20"/>
  <c r="ACJ8" i="20"/>
  <c r="ACK8" i="20"/>
  <c r="ACL8" i="20"/>
  <c r="ACM8" i="20"/>
  <c r="ACN8" i="20"/>
  <c r="ACO8" i="20"/>
  <c r="ACP8" i="20"/>
  <c r="ACQ8" i="20"/>
  <c r="ADC8" i="20"/>
  <c r="ADD8" i="20"/>
  <c r="ADE8" i="20"/>
  <c r="ADF8" i="20"/>
  <c r="ADG8" i="20"/>
  <c r="ADH8" i="20"/>
  <c r="ADI8" i="20"/>
  <c r="ADJ8" i="20"/>
  <c r="ADK8" i="20"/>
  <c r="ADL8" i="20"/>
  <c r="ADM8" i="20"/>
  <c r="ADY8" i="20"/>
  <c r="ADZ8" i="20"/>
  <c r="AEA8" i="20"/>
  <c r="AEB8" i="20"/>
  <c r="AEC8" i="20"/>
  <c r="AED8" i="20"/>
  <c r="AEE8" i="20"/>
  <c r="AEF8" i="20"/>
  <c r="AEG8" i="20"/>
  <c r="AEH8" i="20"/>
  <c r="AEI8" i="20"/>
  <c r="AEU8" i="20"/>
  <c r="AEV8" i="20"/>
  <c r="AEW8" i="20"/>
  <c r="AEX8" i="20"/>
  <c r="AEY8" i="20"/>
  <c r="AEZ8" i="20"/>
  <c r="AFA8" i="20"/>
  <c r="AFB8" i="20"/>
  <c r="AFC8" i="20"/>
  <c r="AFD8" i="20"/>
  <c r="AFE8" i="20"/>
  <c r="AFQ8" i="20"/>
  <c r="AFR8" i="20"/>
  <c r="AFS8" i="20"/>
  <c r="AFT8" i="20"/>
  <c r="AFU8" i="20"/>
  <c r="AFV8" i="20"/>
  <c r="AFW8" i="20"/>
  <c r="AFX8" i="20"/>
  <c r="AFY8" i="20"/>
  <c r="AFZ8" i="20"/>
  <c r="AGA8" i="20"/>
  <c r="AGM8" i="20"/>
  <c r="AGN8" i="20"/>
  <c r="AGO8" i="20"/>
  <c r="AGP8" i="20"/>
  <c r="AGQ8" i="20"/>
  <c r="AGR8" i="20"/>
  <c r="AGS8" i="20"/>
  <c r="AGT8" i="20"/>
  <c r="AGU8" i="20"/>
  <c r="AGV8" i="20"/>
  <c r="AGW8" i="20"/>
  <c r="AHI8" i="20"/>
  <c r="AHJ8" i="20"/>
  <c r="AHK8" i="20"/>
  <c r="AHL8" i="20"/>
  <c r="AHM8" i="20"/>
  <c r="AHN8" i="20"/>
  <c r="AHO8" i="20"/>
  <c r="AHP8" i="20"/>
  <c r="AHQ8" i="20"/>
  <c r="AHR8" i="20"/>
  <c r="AHS8" i="20"/>
  <c r="AIE8" i="20"/>
  <c r="AIF8" i="20"/>
  <c r="AIG8" i="20"/>
  <c r="AIH8" i="20"/>
  <c r="AII8" i="20"/>
  <c r="AIJ8" i="20"/>
  <c r="AIK8" i="20"/>
  <c r="AIL8" i="20"/>
  <c r="AIM8" i="20"/>
  <c r="AIN8" i="20"/>
  <c r="AIO8" i="20"/>
  <c r="AJA8" i="20"/>
  <c r="AJB8" i="20"/>
  <c r="AJC8" i="20"/>
  <c r="AJD8" i="20"/>
  <c r="AJE8" i="20"/>
  <c r="AJF8" i="20"/>
  <c r="AJG8" i="20"/>
  <c r="AJH8" i="20"/>
  <c r="AJI8" i="20"/>
  <c r="AJJ8" i="20"/>
  <c r="AJK8" i="20"/>
  <c r="AJW8" i="20"/>
  <c r="AJX8" i="20"/>
  <c r="AJY8" i="20"/>
  <c r="AJZ8" i="20"/>
  <c r="AKA8" i="20"/>
  <c r="AKB8" i="20"/>
  <c r="AKC8" i="20"/>
  <c r="AKD8" i="20"/>
  <c r="AKE8" i="20"/>
  <c r="AKF8" i="20"/>
  <c r="AKG8" i="20"/>
  <c r="AKS8" i="20"/>
  <c r="AKT8" i="20"/>
  <c r="AKU8" i="20"/>
  <c r="AKV8" i="20"/>
  <c r="AKW8" i="20"/>
  <c r="AKX8" i="20"/>
  <c r="AKY8" i="20"/>
  <c r="AKZ8" i="20"/>
  <c r="ALA8" i="20"/>
  <c r="ALB8" i="20"/>
  <c r="ALC8" i="20"/>
  <c r="ALO8" i="20"/>
  <c r="ALP8" i="20"/>
  <c r="ALQ8" i="20"/>
  <c r="ALR8" i="20"/>
  <c r="ALS8" i="20"/>
  <c r="ALT8" i="20"/>
  <c r="ALU8" i="20"/>
  <c r="ALV8" i="20"/>
  <c r="ALW8" i="20"/>
  <c r="ALX8" i="20"/>
  <c r="ALY8" i="20"/>
  <c r="AMK8" i="20"/>
  <c r="AML8" i="20"/>
  <c r="AMM8" i="20"/>
  <c r="AMN8" i="20"/>
  <c r="AMO8" i="20"/>
  <c r="AMP8" i="20"/>
  <c r="AMQ8" i="20"/>
  <c r="AMR8" i="20"/>
  <c r="AMS8" i="20"/>
  <c r="AMT8" i="20"/>
  <c r="AMU8" i="20"/>
  <c r="ANG8" i="20"/>
  <c r="ANH8" i="20"/>
  <c r="ANI8" i="20"/>
  <c r="ANJ8" i="20"/>
  <c r="ANK8" i="20"/>
  <c r="ANL8" i="20"/>
  <c r="ANM8" i="20"/>
  <c r="ANN8" i="20"/>
  <c r="ANO8" i="20"/>
  <c r="ANP8" i="20"/>
  <c r="ANQ8" i="20"/>
  <c r="AOC8" i="20"/>
  <c r="AOD8" i="20"/>
  <c r="AOE8" i="20"/>
  <c r="AOF8" i="20"/>
  <c r="AOG8" i="20"/>
  <c r="AOH8" i="20"/>
  <c r="AOI8" i="20"/>
  <c r="AOJ8" i="20"/>
  <c r="AOK8" i="20"/>
  <c r="AOL8" i="20"/>
  <c r="AOM8" i="20"/>
  <c r="AOY8" i="20"/>
  <c r="AOZ8" i="20"/>
  <c r="APA8" i="20"/>
  <c r="APB8" i="20"/>
  <c r="APC8" i="20"/>
  <c r="APD8" i="20"/>
  <c r="APE8" i="20"/>
  <c r="APF8" i="20"/>
  <c r="APG8" i="20"/>
  <c r="APH8" i="20"/>
  <c r="API8" i="20"/>
  <c r="APU8" i="20"/>
  <c r="APV8" i="20"/>
  <c r="APW8" i="20"/>
  <c r="APX8" i="20"/>
  <c r="APY8" i="20"/>
  <c r="APZ8" i="20"/>
  <c r="AQA8" i="20"/>
  <c r="AQB8" i="20"/>
  <c r="AQC8" i="20"/>
  <c r="AQD8" i="20"/>
  <c r="AQE8" i="20"/>
  <c r="AQQ8" i="20"/>
  <c r="AQR8" i="20"/>
  <c r="AQS8" i="20"/>
  <c r="AQT8" i="20"/>
  <c r="AQU8" i="20"/>
  <c r="AQV8" i="20"/>
  <c r="AQW8" i="20"/>
  <c r="AQX8" i="20"/>
  <c r="AQY8" i="20"/>
  <c r="AQZ8" i="20"/>
  <c r="ARA8" i="20"/>
  <c r="ARM8" i="20"/>
  <c r="ARN8" i="20"/>
  <c r="ARO8" i="20"/>
  <c r="ARP8" i="20"/>
  <c r="ARQ8" i="20"/>
  <c r="ARR8" i="20"/>
  <c r="ARS8" i="20"/>
  <c r="ART8" i="20"/>
  <c r="ARU8" i="20"/>
  <c r="ARV8" i="20"/>
  <c r="ARW8" i="20"/>
  <c r="ASI8" i="20"/>
  <c r="ASJ8" i="20"/>
  <c r="ASK8" i="20"/>
  <c r="ASL8" i="20"/>
  <c r="ASM8" i="20"/>
  <c r="ASN8" i="20"/>
  <c r="ASO8" i="20"/>
  <c r="ASP8" i="20"/>
  <c r="ASQ8" i="20"/>
  <c r="ASR8" i="20"/>
  <c r="ASS8" i="20"/>
  <c r="ATE8" i="20"/>
  <c r="ATF8" i="20"/>
  <c r="ATG8" i="20"/>
  <c r="ATH8" i="20"/>
  <c r="ATI8" i="20"/>
  <c r="ATJ8" i="20"/>
  <c r="ATK8" i="20"/>
  <c r="ATL8" i="20"/>
  <c r="ATM8" i="20"/>
  <c r="ATN8" i="20"/>
  <c r="ATO8" i="20"/>
  <c r="AUA8" i="20"/>
  <c r="AUB8" i="20"/>
  <c r="AUC8" i="20"/>
  <c r="AUD8" i="20"/>
  <c r="AUE8" i="20"/>
  <c r="AUF8" i="20"/>
  <c r="AUG8" i="20"/>
  <c r="AUH8" i="20"/>
  <c r="AUI8" i="20"/>
  <c r="AUJ8" i="20"/>
  <c r="AUK8" i="20"/>
  <c r="AUW8" i="20"/>
  <c r="AUX8" i="20"/>
  <c r="AUY8" i="20"/>
  <c r="AUZ8" i="20"/>
  <c r="AVA8" i="20"/>
  <c r="AVB8" i="20"/>
  <c r="AVC8" i="20"/>
  <c r="AVD8" i="20"/>
  <c r="AVE8" i="20"/>
  <c r="AVF8" i="20"/>
  <c r="AVG8" i="20"/>
  <c r="AVS8" i="20"/>
  <c r="AVT8" i="20"/>
  <c r="AVU8" i="20"/>
  <c r="AVV8" i="20"/>
  <c r="AVW8" i="20"/>
  <c r="AVX8" i="20"/>
  <c r="AVY8" i="20"/>
  <c r="AVZ8" i="20"/>
  <c r="AWA8" i="20"/>
  <c r="AWB8" i="20"/>
  <c r="AWC8" i="20"/>
  <c r="AWO8" i="20"/>
  <c r="AWP8" i="20"/>
  <c r="AWQ8" i="20"/>
  <c r="AWR8" i="20"/>
  <c r="AWS8" i="20"/>
  <c r="AWT8" i="20"/>
  <c r="AWU8" i="20"/>
  <c r="AWV8" i="20"/>
  <c r="AWW8" i="20"/>
  <c r="AWX8" i="20"/>
  <c r="AWY8" i="20"/>
  <c r="AXK8" i="20"/>
  <c r="AXL8" i="20"/>
  <c r="AXM8" i="20"/>
  <c r="AXN8" i="20"/>
  <c r="AXO8" i="20"/>
  <c r="AXP8" i="20"/>
  <c r="AXQ8" i="20"/>
  <c r="AXR8" i="20"/>
  <c r="AXS8" i="20"/>
  <c r="AXT8" i="20"/>
  <c r="AXU8" i="20"/>
  <c r="AYG8" i="20"/>
  <c r="AYH8" i="20"/>
  <c r="AYI8" i="20"/>
  <c r="AYJ8" i="20"/>
  <c r="AYK8" i="20"/>
  <c r="AYL8" i="20"/>
  <c r="AYM8" i="20"/>
  <c r="AYN8" i="20"/>
  <c r="AYO8" i="20"/>
  <c r="AYP8" i="20"/>
  <c r="AYQ8" i="20"/>
  <c r="AZC8" i="20"/>
  <c r="AZD8" i="20"/>
  <c r="AZE8" i="20"/>
  <c r="AZF8" i="20"/>
  <c r="AZG8" i="20"/>
  <c r="AZH8" i="20"/>
  <c r="AZI8" i="20"/>
  <c r="AZJ8" i="20"/>
  <c r="AZK8" i="20"/>
  <c r="AZL8" i="20"/>
  <c r="AZM8" i="20"/>
  <c r="AZY8" i="20"/>
  <c r="AZZ8" i="20"/>
  <c r="BAA8" i="20"/>
  <c r="BAB8" i="20"/>
  <c r="BAC8" i="20"/>
  <c r="BAD8" i="20"/>
  <c r="BAE8" i="20"/>
  <c r="BAF8" i="20"/>
  <c r="BAG8" i="20"/>
  <c r="BAH8" i="20"/>
  <c r="BAI8" i="20"/>
  <c r="BAU8" i="20"/>
  <c r="BAV8" i="20"/>
  <c r="BAW8" i="20"/>
  <c r="BAX8" i="20"/>
  <c r="BAY8" i="20"/>
  <c r="BAZ8" i="20"/>
  <c r="BBA8" i="20"/>
  <c r="BBB8" i="20"/>
  <c r="BBC8" i="20"/>
  <c r="BBD8" i="20"/>
  <c r="BBE8" i="20"/>
  <c r="BBQ8" i="20"/>
  <c r="BBR8" i="20"/>
  <c r="BBS8" i="20"/>
  <c r="BBT8" i="20"/>
  <c r="BBU8" i="20"/>
  <c r="BBV8" i="20"/>
  <c r="BBW8" i="20"/>
  <c r="BBX8" i="20"/>
  <c r="BBY8" i="20"/>
  <c r="BBZ8" i="20"/>
  <c r="BCA8" i="20"/>
  <c r="BCM8" i="20"/>
  <c r="BCN8" i="20"/>
  <c r="BCO8" i="20"/>
  <c r="BCP8" i="20"/>
  <c r="BCQ8" i="20"/>
  <c r="BCR8" i="20"/>
  <c r="BCS8" i="20"/>
  <c r="BCT8" i="20"/>
  <c r="BCU8" i="20"/>
  <c r="BCV8" i="20"/>
  <c r="BCW8" i="20"/>
  <c r="BDI8" i="20"/>
  <c r="BDJ8" i="20"/>
  <c r="BDK8" i="20"/>
  <c r="BDL8" i="20"/>
  <c r="BDM8" i="20"/>
  <c r="BDN8" i="20"/>
  <c r="BDO8" i="20"/>
  <c r="BDP8" i="20"/>
  <c r="BDQ8" i="20"/>
  <c r="BDR8" i="20"/>
  <c r="BDS8" i="20"/>
  <c r="BEE8" i="20"/>
  <c r="BEF8" i="20"/>
  <c r="BEG8" i="20"/>
  <c r="BEH8" i="20"/>
  <c r="BEI8" i="20"/>
  <c r="BEJ8" i="20"/>
  <c r="BEK8" i="20"/>
  <c r="BEL8" i="20"/>
  <c r="BEM8" i="20"/>
  <c r="BEN8" i="20"/>
  <c r="BEO8" i="20"/>
  <c r="BFA8" i="20"/>
  <c r="BFB8" i="20"/>
  <c r="BFC8" i="20"/>
  <c r="BFD8" i="20"/>
  <c r="BFE8" i="20"/>
  <c r="BFF8" i="20"/>
  <c r="BFG8" i="20"/>
  <c r="BFH8" i="20"/>
  <c r="BFI8" i="20"/>
  <c r="BFJ8" i="20"/>
  <c r="BFK8" i="20"/>
  <c r="BFW8" i="20"/>
  <c r="BFX8" i="20"/>
  <c r="BFY8" i="20"/>
  <c r="BFZ8" i="20"/>
  <c r="BGA8" i="20"/>
  <c r="BGB8" i="20"/>
  <c r="BGC8" i="20"/>
  <c r="BGD8" i="20"/>
  <c r="BGE8" i="20"/>
  <c r="BGF8" i="20"/>
  <c r="BGG8" i="20"/>
  <c r="BGS8" i="20"/>
  <c r="BGT8" i="20"/>
  <c r="BGU8" i="20"/>
  <c r="BGV8" i="20"/>
  <c r="BGW8" i="20"/>
  <c r="BGX8" i="20"/>
  <c r="BGY8" i="20"/>
  <c r="BGZ8" i="20"/>
  <c r="BHA8" i="20"/>
  <c r="BHB8" i="20"/>
  <c r="BHC8" i="20"/>
  <c r="BHO8" i="20"/>
  <c r="BHP8" i="20"/>
  <c r="BHQ8" i="20"/>
  <c r="BHR8" i="20"/>
  <c r="BHS8" i="20"/>
  <c r="BHT8" i="20"/>
  <c r="BHU8" i="20"/>
  <c r="BHV8" i="20"/>
  <c r="BHW8" i="20"/>
  <c r="BHX8" i="20"/>
  <c r="BHY8" i="20"/>
  <c r="BIK8" i="20"/>
  <c r="BIL8" i="20"/>
  <c r="BIM8" i="20"/>
  <c r="BIN8" i="20"/>
  <c r="BIO8" i="20"/>
  <c r="BIP8" i="20"/>
  <c r="BIQ8" i="20"/>
  <c r="BIR8" i="20"/>
  <c r="BIS8" i="20"/>
  <c r="BIT8" i="20"/>
  <c r="BIU8" i="20"/>
  <c r="BJG8" i="20"/>
  <c r="BJH8" i="20"/>
  <c r="BJI8" i="20"/>
  <c r="BJJ8" i="20"/>
  <c r="BJK8" i="20"/>
  <c r="BJL8" i="20"/>
  <c r="BJM8" i="20"/>
  <c r="BJN8" i="20"/>
  <c r="BJO8" i="20"/>
  <c r="BJP8" i="20"/>
  <c r="BJQ8" i="20"/>
  <c r="BKC8" i="20"/>
  <c r="BKD8" i="20"/>
  <c r="BKE8" i="20"/>
  <c r="BKF8" i="20"/>
  <c r="BKG8" i="20"/>
  <c r="BKH8" i="20"/>
  <c r="BKI8" i="20"/>
  <c r="BKJ8" i="20"/>
  <c r="BKK8" i="20"/>
  <c r="BKL8" i="20"/>
  <c r="BKM8" i="20"/>
  <c r="BKY8" i="20"/>
  <c r="BKZ8" i="20"/>
  <c r="BLA8" i="20"/>
  <c r="BLB8" i="20"/>
  <c r="BLC8" i="20"/>
  <c r="BLD8" i="20"/>
  <c r="BLE8" i="20"/>
  <c r="BLF8" i="20"/>
  <c r="BLG8" i="20"/>
  <c r="BLH8" i="20"/>
  <c r="BLI8" i="20"/>
  <c r="BLU8" i="20"/>
  <c r="BLV8" i="20"/>
  <c r="BLW8" i="20"/>
  <c r="BLX8" i="20"/>
  <c r="BLY8" i="20"/>
  <c r="BLZ8" i="20"/>
  <c r="BMA8" i="20"/>
  <c r="BMB8" i="20"/>
  <c r="BMC8" i="20"/>
  <c r="BMD8" i="20"/>
  <c r="BME8" i="20"/>
  <c r="BMQ8" i="20"/>
  <c r="BMR8" i="20"/>
  <c r="BMS8" i="20"/>
  <c r="BMT8" i="20"/>
  <c r="BMU8" i="20"/>
  <c r="BMV8" i="20"/>
  <c r="BMW8" i="20"/>
  <c r="BMX8" i="20"/>
  <c r="BMY8" i="20"/>
  <c r="BMZ8" i="20"/>
  <c r="BNA8" i="20"/>
  <c r="BNM8" i="20"/>
  <c r="BNN8" i="20"/>
  <c r="BNO8" i="20"/>
  <c r="BNP8" i="20"/>
  <c r="BNQ8" i="20"/>
  <c r="BNR8" i="20"/>
  <c r="BNS8" i="20"/>
  <c r="BNT8" i="20"/>
  <c r="BNU8" i="20"/>
  <c r="BNV8" i="20"/>
  <c r="BNW8" i="20"/>
  <c r="BOI8" i="20"/>
  <c r="BOJ8" i="20"/>
  <c r="BOK8" i="20"/>
  <c r="BOL8" i="20"/>
  <c r="BOM8" i="20"/>
  <c r="BON8" i="20"/>
  <c r="BOO8" i="20"/>
  <c r="BOP8" i="20"/>
  <c r="BOQ8" i="20"/>
  <c r="BOR8" i="20"/>
  <c r="BOS8" i="20"/>
  <c r="BPE8" i="20"/>
  <c r="BPF8" i="20"/>
  <c r="BPG8" i="20"/>
  <c r="BPH8" i="20"/>
  <c r="BPI8" i="20"/>
  <c r="BPJ8" i="20"/>
  <c r="BPK8" i="20"/>
  <c r="BPL8" i="20"/>
  <c r="BPM8" i="20"/>
  <c r="BPN8" i="20"/>
  <c r="BPO8" i="20"/>
  <c r="BQA8" i="20"/>
  <c r="BQB8" i="20"/>
  <c r="BQC8" i="20"/>
  <c r="BQD8" i="20"/>
  <c r="BQE8" i="20"/>
  <c r="BQF8" i="20"/>
  <c r="BQG8" i="20"/>
  <c r="BQH8" i="20"/>
  <c r="BQI8" i="20"/>
  <c r="BQJ8" i="20"/>
  <c r="BQK8" i="20"/>
  <c r="BQW8" i="20"/>
  <c r="BQX8" i="20"/>
  <c r="BQY8" i="20"/>
  <c r="BQZ8" i="20"/>
  <c r="BRA8" i="20"/>
  <c r="BRB8" i="20"/>
  <c r="BRC8" i="20"/>
  <c r="BRD8" i="20"/>
  <c r="BRE8" i="20"/>
  <c r="BRF8" i="20"/>
  <c r="BRG8" i="20"/>
  <c r="BRS8" i="20"/>
  <c r="BRT8" i="20"/>
  <c r="BRU8" i="20"/>
  <c r="BRV8" i="20"/>
  <c r="BRW8" i="20"/>
  <c r="BRX8" i="20"/>
  <c r="BRY8" i="20"/>
  <c r="BRZ8" i="20"/>
  <c r="BSA8" i="20"/>
  <c r="BSB8" i="20"/>
  <c r="BSC8" i="20"/>
  <c r="BSO8" i="20"/>
  <c r="BSP8" i="20"/>
  <c r="BSQ8" i="20"/>
  <c r="BSR8" i="20"/>
  <c r="BSS8" i="20"/>
  <c r="BST8" i="20"/>
  <c r="BSU8" i="20"/>
  <c r="BSV8" i="20"/>
  <c r="BSW8" i="20"/>
  <c r="BSX8" i="20"/>
  <c r="BSY8" i="20"/>
  <c r="BTK8" i="20"/>
  <c r="BTL8" i="20"/>
  <c r="BTM8" i="20"/>
  <c r="BTN8" i="20"/>
  <c r="BTO8" i="20"/>
  <c r="BTP8" i="20"/>
  <c r="BTQ8" i="20"/>
  <c r="BTR8" i="20"/>
  <c r="BTS8" i="20"/>
  <c r="BTT8" i="20"/>
  <c r="BTU8" i="20"/>
  <c r="BUG8" i="20"/>
  <c r="BUH8" i="20"/>
  <c r="BUI8" i="20"/>
  <c r="BUJ8" i="20"/>
  <c r="BUK8" i="20"/>
  <c r="BUL8" i="20"/>
  <c r="BUM8" i="20"/>
  <c r="BUN8" i="20"/>
  <c r="BUO8" i="20"/>
  <c r="BUP8" i="20"/>
  <c r="BUQ8" i="20"/>
  <c r="BVC8" i="20"/>
  <c r="BVD8" i="20"/>
  <c r="BVE8" i="20"/>
  <c r="BVF8" i="20"/>
  <c r="BVG8" i="20"/>
  <c r="BVH8" i="20"/>
  <c r="BVI8" i="20"/>
  <c r="BVJ8" i="20"/>
  <c r="BVK8" i="20"/>
  <c r="BVL8" i="20"/>
  <c r="BVM8" i="20"/>
  <c r="BVY8" i="20"/>
  <c r="BVZ8" i="20"/>
  <c r="BWA8" i="20"/>
  <c r="BWB8" i="20"/>
  <c r="BWC8" i="20"/>
  <c r="BWD8" i="20"/>
  <c r="BWE8" i="20"/>
  <c r="BWF8" i="20"/>
  <c r="BWG8" i="20"/>
  <c r="BWH8" i="20"/>
  <c r="BWI8" i="20"/>
  <c r="BWU8" i="20"/>
  <c r="BWV8" i="20"/>
  <c r="BWW8" i="20"/>
  <c r="BWX8" i="20"/>
  <c r="BWY8" i="20"/>
  <c r="BWZ8" i="20"/>
  <c r="BXA8" i="20"/>
  <c r="BXB8" i="20"/>
  <c r="BXC8" i="20"/>
  <c r="BXD8" i="20"/>
  <c r="BXE8" i="20"/>
  <c r="BXQ8" i="20"/>
  <c r="BXR8" i="20"/>
  <c r="BXS8" i="20"/>
  <c r="BXT8" i="20"/>
  <c r="BXU8" i="20"/>
  <c r="BXV8" i="20"/>
  <c r="BXW8" i="20"/>
  <c r="BXX8" i="20"/>
  <c r="BXY8" i="20"/>
  <c r="BXZ8" i="20"/>
  <c r="BYA8" i="20"/>
  <c r="BYM8" i="20"/>
  <c r="BYN8" i="20"/>
  <c r="BYO8" i="20"/>
  <c r="BYP8" i="20"/>
  <c r="BYQ8" i="20"/>
  <c r="BYR8" i="20"/>
  <c r="BYS8" i="20"/>
  <c r="BYT8" i="20"/>
  <c r="BYU8" i="20"/>
  <c r="BYV8" i="20"/>
  <c r="BYW8" i="20"/>
  <c r="BZI8" i="20"/>
  <c r="BZJ8" i="20"/>
  <c r="BZK8" i="20"/>
  <c r="BZL8" i="20"/>
  <c r="BZM8" i="20"/>
  <c r="BZN8" i="20"/>
  <c r="BZO8" i="20"/>
  <c r="BZP8" i="20"/>
  <c r="BZQ8" i="20"/>
  <c r="BZR8" i="20"/>
  <c r="BZS8" i="20"/>
  <c r="CAE8" i="20"/>
  <c r="CAF8" i="20"/>
  <c r="CAG8" i="20"/>
  <c r="CAH8" i="20"/>
  <c r="CAI8" i="20"/>
  <c r="CAJ8" i="20"/>
  <c r="CAK8" i="20"/>
  <c r="CAL8" i="20"/>
  <c r="CAM8" i="20"/>
  <c r="CAN8" i="20"/>
  <c r="CAO8" i="20"/>
  <c r="CBA8" i="20"/>
  <c r="CBB8" i="20"/>
  <c r="CBC8" i="20"/>
  <c r="CBD8" i="20"/>
  <c r="CBE8" i="20"/>
  <c r="CBF8" i="20"/>
  <c r="CBG8" i="20"/>
  <c r="CBH8" i="20"/>
  <c r="CBI8" i="20"/>
  <c r="CBJ8" i="20"/>
  <c r="CBK8" i="20"/>
  <c r="CBW8" i="20"/>
  <c r="CBX8" i="20"/>
  <c r="CBY8" i="20"/>
  <c r="CBZ8" i="20"/>
  <c r="CCA8" i="20"/>
  <c r="CCB8" i="20"/>
  <c r="CCC8" i="20"/>
  <c r="CCD8" i="20"/>
  <c r="CCE8" i="20"/>
  <c r="CCF8" i="20"/>
  <c r="CCG8" i="20"/>
  <c r="CCS8" i="20"/>
  <c r="CCT8" i="20"/>
  <c r="CCU8" i="20"/>
  <c r="CCV8" i="20"/>
  <c r="CCW8" i="20"/>
  <c r="CCX8" i="20"/>
  <c r="CCY8" i="20"/>
  <c r="CCZ8" i="20"/>
  <c r="CDA8" i="20"/>
  <c r="CDB8" i="20"/>
  <c r="CDC8" i="20"/>
  <c r="CDO8" i="20"/>
  <c r="CDP8" i="20"/>
  <c r="CDQ8" i="20"/>
  <c r="CDR8" i="20"/>
  <c r="CDS8" i="20"/>
  <c r="CDT8" i="20"/>
  <c r="CDU8" i="20"/>
  <c r="CDV8" i="20"/>
  <c r="CDW8" i="20"/>
  <c r="CDX8" i="20"/>
  <c r="CDY8" i="20"/>
  <c r="CEK8" i="20"/>
  <c r="CEL8" i="20"/>
  <c r="CEM8" i="20"/>
  <c r="CEN8" i="20"/>
  <c r="CEO8" i="20"/>
  <c r="CEP8" i="20"/>
  <c r="CEQ8" i="20"/>
  <c r="CER8" i="20"/>
  <c r="CES8" i="20"/>
  <c r="CET8" i="20"/>
  <c r="CEU8" i="20"/>
  <c r="CFG8" i="20"/>
  <c r="CFH8" i="20"/>
  <c r="CFI8" i="20"/>
  <c r="CFJ8" i="20"/>
  <c r="CFK8" i="20"/>
  <c r="CFL8" i="20"/>
  <c r="CFM8" i="20"/>
  <c r="CFN8" i="20"/>
  <c r="CFO8" i="20"/>
  <c r="CFP8" i="20"/>
  <c r="CFQ8" i="20"/>
  <c r="CGC8" i="20"/>
  <c r="CGD8" i="20"/>
  <c r="CGE8" i="20"/>
  <c r="CGF8" i="20"/>
  <c r="CGG8" i="20"/>
  <c r="CGH8" i="20"/>
  <c r="CGI8" i="20"/>
  <c r="CGJ8" i="20"/>
  <c r="CGK8" i="20"/>
  <c r="CGL8" i="20"/>
  <c r="CGM8" i="20"/>
  <c r="CGY8" i="20"/>
  <c r="CGZ8" i="20"/>
  <c r="CHA8" i="20"/>
  <c r="CHB8" i="20"/>
  <c r="CHC8" i="20"/>
  <c r="CHD8" i="20"/>
  <c r="CHE8" i="20"/>
  <c r="CHF8" i="20"/>
  <c r="CHG8" i="20"/>
  <c r="CHH8" i="20"/>
  <c r="CHI8" i="20"/>
  <c r="CHU8" i="20"/>
  <c r="CHV8" i="20"/>
  <c r="CHW8" i="20"/>
  <c r="CHX8" i="20"/>
  <c r="CHY8" i="20"/>
  <c r="CHZ8" i="20"/>
  <c r="CIA8" i="20"/>
  <c r="CIB8" i="20"/>
  <c r="CIC8" i="20"/>
  <c r="CID8" i="20"/>
  <c r="CIE8" i="20"/>
  <c r="CIQ8" i="20"/>
  <c r="CIR8" i="20"/>
  <c r="CIS8" i="20"/>
  <c r="CIT8" i="20"/>
  <c r="CIU8" i="20"/>
  <c r="CIV8" i="20"/>
  <c r="CIW8" i="20"/>
  <c r="CIX8" i="20"/>
  <c r="CIY8" i="20"/>
  <c r="CIZ8" i="20"/>
  <c r="CJA8" i="20"/>
  <c r="CJM8" i="20"/>
  <c r="CJN8" i="20"/>
  <c r="CJO8" i="20"/>
  <c r="CJP8" i="20"/>
  <c r="CJQ8" i="20"/>
  <c r="CJR8" i="20"/>
  <c r="CJS8" i="20"/>
  <c r="CJT8" i="20"/>
  <c r="CJU8" i="20"/>
  <c r="CJV8" i="20"/>
  <c r="CJW8" i="20"/>
  <c r="CKI8" i="20"/>
  <c r="CKJ8" i="20"/>
  <c r="CKK8" i="20"/>
  <c r="CKL8" i="20"/>
  <c r="CKM8" i="20"/>
  <c r="CKN8" i="20"/>
  <c r="CKO8" i="20"/>
  <c r="CKP8" i="20"/>
  <c r="CKQ8" i="20"/>
  <c r="CKR8" i="20"/>
  <c r="CKS8" i="20"/>
  <c r="CLE8" i="20"/>
  <c r="CLF8" i="20"/>
  <c r="CLG8" i="20"/>
  <c r="CLH8" i="20"/>
  <c r="CLI8" i="20"/>
  <c r="CLJ8" i="20"/>
  <c r="CLK8" i="20"/>
  <c r="CLL8" i="20"/>
  <c r="CLM8" i="20"/>
  <c r="CLN8" i="20"/>
  <c r="CLO8" i="20"/>
  <c r="CMA8" i="20"/>
  <c r="CMB8" i="20"/>
  <c r="CMC8" i="20"/>
  <c r="CMD8" i="20"/>
  <c r="CME8" i="20"/>
  <c r="CMF8" i="20"/>
  <c r="CMG8" i="20"/>
  <c r="CMH8" i="20"/>
  <c r="CMI8" i="20"/>
  <c r="CMJ8" i="20"/>
  <c r="CMK8" i="20"/>
  <c r="CMW8" i="20"/>
  <c r="CMX8" i="20"/>
  <c r="CMY8" i="20"/>
  <c r="CMZ8" i="20"/>
  <c r="CNA8" i="20"/>
  <c r="CNB8" i="20"/>
  <c r="CNC8" i="20"/>
  <c r="CND8" i="20"/>
  <c r="CNE8" i="20"/>
  <c r="CNF8" i="20"/>
  <c r="CNG8" i="20"/>
  <c r="CNS8" i="20"/>
  <c r="CNT8" i="20"/>
  <c r="CNU8" i="20"/>
  <c r="CNV8" i="20"/>
  <c r="CNW8" i="20"/>
  <c r="CNX8" i="20"/>
  <c r="CNY8" i="20"/>
  <c r="CNZ8" i="20"/>
  <c r="COA8" i="20"/>
  <c r="COB8" i="20"/>
  <c r="COC8" i="20"/>
  <c r="COO8" i="20"/>
  <c r="COP8" i="20"/>
  <c r="COQ8" i="20"/>
  <c r="COR8" i="20"/>
  <c r="COS8" i="20"/>
  <c r="COT8" i="20"/>
  <c r="COU8" i="20"/>
  <c r="COV8" i="20"/>
  <c r="COW8" i="20"/>
  <c r="COX8" i="20"/>
  <c r="COY8" i="20"/>
  <c r="CPK8" i="20"/>
  <c r="CPL8" i="20"/>
  <c r="CPM8" i="20"/>
  <c r="CPN8" i="20"/>
  <c r="CPO8" i="20"/>
  <c r="CPP8" i="20"/>
  <c r="CPQ8" i="20"/>
  <c r="CPR8" i="20"/>
  <c r="CPS8" i="20"/>
  <c r="CPT8" i="20"/>
  <c r="CPU8" i="20"/>
  <c r="CQG8" i="20"/>
  <c r="CQH8" i="20"/>
  <c r="CQI8" i="20"/>
  <c r="CQJ8" i="20"/>
  <c r="CQK8" i="20"/>
  <c r="CQL8" i="20"/>
  <c r="CQM8" i="20"/>
  <c r="CQN8" i="20"/>
  <c r="CQO8" i="20"/>
  <c r="CQP8" i="20"/>
  <c r="CQQ8" i="20"/>
  <c r="CRC8" i="20"/>
  <c r="CRD8" i="20"/>
  <c r="CRE8" i="20"/>
  <c r="CRF8" i="20"/>
  <c r="CRG8" i="20"/>
  <c r="CRH8" i="20"/>
  <c r="CRI8" i="20"/>
  <c r="CRJ8" i="20"/>
  <c r="CRK8" i="20"/>
  <c r="CRL8" i="20"/>
  <c r="CRM8" i="20"/>
  <c r="CRY8" i="20"/>
  <c r="CRZ8" i="20"/>
  <c r="CSA8" i="20"/>
  <c r="CSB8" i="20"/>
  <c r="CSC8" i="20"/>
  <c r="CSD8" i="20"/>
  <c r="CSE8" i="20"/>
  <c r="CSF8" i="20"/>
  <c r="CSG8" i="20"/>
  <c r="CSH8" i="20"/>
  <c r="CSI8" i="20"/>
  <c r="CSU8" i="20"/>
  <c r="CSV8" i="20"/>
  <c r="CSW8" i="20"/>
  <c r="CSX8" i="20"/>
  <c r="CSY8" i="20"/>
  <c r="CSZ8" i="20"/>
  <c r="CTA8" i="20"/>
  <c r="CTB8" i="20"/>
  <c r="CTC8" i="20"/>
  <c r="CTD8" i="20"/>
  <c r="CTE8" i="20"/>
  <c r="CTQ8" i="20"/>
  <c r="CTR8" i="20"/>
  <c r="CTS8" i="20"/>
  <c r="CTT8" i="20"/>
  <c r="CTU8" i="20"/>
  <c r="CTV8" i="20"/>
  <c r="CTW8" i="20"/>
  <c r="CTX8" i="20"/>
  <c r="CTY8" i="20"/>
  <c r="CTZ8" i="20"/>
  <c r="CUA8" i="20"/>
  <c r="CUM8" i="20"/>
  <c r="CUN8" i="20"/>
  <c r="CUO8" i="20"/>
  <c r="CUP8" i="20"/>
  <c r="CUQ8" i="20"/>
  <c r="CUR8" i="20"/>
  <c r="CUS8" i="20"/>
  <c r="CUT8" i="20"/>
  <c r="CUU8" i="20"/>
  <c r="CUV8" i="20"/>
  <c r="CUW8" i="20"/>
  <c r="CVI8" i="20"/>
  <c r="CVJ8" i="20"/>
  <c r="CVK8" i="20"/>
  <c r="CVL8" i="20"/>
  <c r="CVM8" i="20"/>
  <c r="CVN8" i="20"/>
  <c r="CVO8" i="20"/>
  <c r="CVP8" i="20"/>
  <c r="CVQ8" i="20"/>
  <c r="CVR8" i="20"/>
  <c r="CVS8" i="20"/>
  <c r="CWE8" i="20"/>
  <c r="CWF8" i="20"/>
  <c r="CWG8" i="20"/>
  <c r="CWH8" i="20"/>
  <c r="CWI8" i="20"/>
  <c r="CWJ8" i="20"/>
  <c r="CWK8" i="20"/>
  <c r="CWL8" i="20"/>
  <c r="CWM8" i="20"/>
  <c r="CWN8" i="20"/>
  <c r="CWO8" i="20"/>
  <c r="CXA8" i="20"/>
  <c r="CXB8" i="20"/>
  <c r="CXC8" i="20"/>
  <c r="CXD8" i="20"/>
  <c r="CXE8" i="20"/>
  <c r="CXF8" i="20"/>
  <c r="CXG8" i="20"/>
  <c r="CXH8" i="20"/>
  <c r="CXI8" i="20"/>
  <c r="CXJ8" i="20"/>
  <c r="CXK8" i="20"/>
  <c r="CXW8" i="20"/>
  <c r="CXX8" i="20"/>
  <c r="CXY8" i="20"/>
  <c r="CXZ8" i="20"/>
  <c r="CYA8" i="20"/>
  <c r="CYB8" i="20"/>
  <c r="CYC8" i="20"/>
  <c r="CYD8" i="20"/>
  <c r="CYE8" i="20"/>
  <c r="CYF8" i="20"/>
  <c r="CYG8" i="20"/>
  <c r="CYS8" i="20"/>
  <c r="CYT8" i="20"/>
  <c r="CYU8" i="20"/>
  <c r="CYV8" i="20"/>
  <c r="CYW8" i="20"/>
  <c r="CYX8" i="20"/>
  <c r="CYY8" i="20"/>
  <c r="CYZ8" i="20"/>
  <c r="CZA8" i="20"/>
  <c r="CZB8" i="20"/>
  <c r="CZC8" i="20"/>
  <c r="CZO8" i="20"/>
  <c r="CZP8" i="20"/>
  <c r="CZQ8" i="20"/>
  <c r="CZR8" i="20"/>
  <c r="CZS8" i="20"/>
  <c r="CZT8" i="20"/>
  <c r="CZU8" i="20"/>
  <c r="CZV8" i="20"/>
  <c r="CZW8" i="20"/>
  <c r="CZX8" i="20"/>
  <c r="CZY8" i="20"/>
  <c r="DAK8" i="20"/>
  <c r="DAL8" i="20"/>
  <c r="DAM8" i="20"/>
  <c r="DAN8" i="20"/>
  <c r="DAO8" i="20"/>
  <c r="DAP8" i="20"/>
  <c r="DAQ8" i="20"/>
  <c r="DAR8" i="20"/>
  <c r="DAS8" i="20"/>
  <c r="DAT8" i="20"/>
  <c r="DAU8" i="20"/>
  <c r="DBG8" i="20"/>
  <c r="DBH8" i="20"/>
  <c r="DBI8" i="20"/>
  <c r="DBJ8" i="20"/>
  <c r="DBK8" i="20"/>
  <c r="DBL8" i="20"/>
  <c r="DBM8" i="20"/>
  <c r="DBN8" i="20"/>
  <c r="DBO8" i="20"/>
  <c r="DBP8" i="20"/>
  <c r="DBQ8" i="20"/>
  <c r="DCC8" i="20"/>
  <c r="DCD8" i="20"/>
  <c r="DCE8" i="20"/>
  <c r="DCF8" i="20"/>
  <c r="DCG8" i="20"/>
  <c r="DCH8" i="20"/>
  <c r="DCI8" i="20"/>
  <c r="DCJ8" i="20"/>
  <c r="DCK8" i="20"/>
  <c r="DCL8" i="20"/>
  <c r="DCM8" i="20"/>
  <c r="DCY8" i="20"/>
  <c r="DCZ8" i="20"/>
  <c r="DDA8" i="20"/>
  <c r="DDB8" i="20"/>
  <c r="DDC8" i="20"/>
  <c r="DDD8" i="20"/>
  <c r="DDE8" i="20"/>
  <c r="DDF8" i="20"/>
  <c r="DDG8" i="20"/>
  <c r="DDH8" i="20"/>
  <c r="DDI8" i="20"/>
  <c r="AAO9" i="20"/>
  <c r="AAP9" i="20"/>
  <c r="AAQ9" i="20"/>
  <c r="AAR9" i="20"/>
  <c r="AAS9" i="20"/>
  <c r="AAT9" i="20"/>
  <c r="AAU9" i="20"/>
  <c r="AAV9" i="20"/>
  <c r="AAW9" i="20"/>
  <c r="AAX9" i="20"/>
  <c r="AAY9" i="20"/>
  <c r="ABK9" i="20"/>
  <c r="ABL9" i="20"/>
  <c r="ABM9" i="20"/>
  <c r="ABN9" i="20"/>
  <c r="ABO9" i="20"/>
  <c r="ABP9" i="20"/>
  <c r="ABQ9" i="20"/>
  <c r="ABR9" i="20"/>
  <c r="ABS9" i="20"/>
  <c r="ABT9" i="20"/>
  <c r="ABU9" i="20"/>
  <c r="ACG9" i="20"/>
  <c r="ACH9" i="20"/>
  <c r="ACI9" i="20"/>
  <c r="ACJ9" i="20"/>
  <c r="ACK9" i="20"/>
  <c r="ACL9" i="20"/>
  <c r="ACM9" i="20"/>
  <c r="ACN9" i="20"/>
  <c r="ACO9" i="20"/>
  <c r="ACP9" i="20"/>
  <c r="ACQ9" i="20"/>
  <c r="ADC9" i="20"/>
  <c r="ADD9" i="20"/>
  <c r="ADE9" i="20"/>
  <c r="ADF9" i="20"/>
  <c r="ADG9" i="20"/>
  <c r="ADH9" i="20"/>
  <c r="ADI9" i="20"/>
  <c r="ADJ9" i="20"/>
  <c r="ADK9" i="20"/>
  <c r="ADL9" i="20"/>
  <c r="ADM9" i="20"/>
  <c r="ADY9" i="20"/>
  <c r="ADZ9" i="20"/>
  <c r="AEA9" i="20"/>
  <c r="AEB9" i="20"/>
  <c r="AEC9" i="20"/>
  <c r="AED9" i="20"/>
  <c r="AEE9" i="20"/>
  <c r="AEF9" i="20"/>
  <c r="AEG9" i="20"/>
  <c r="AEH9" i="20"/>
  <c r="AEI9" i="20"/>
  <c r="AEU9" i="20"/>
  <c r="AEV9" i="20"/>
  <c r="AEW9" i="20"/>
  <c r="AEX9" i="20"/>
  <c r="AEY9" i="20"/>
  <c r="AEZ9" i="20"/>
  <c r="AFA9" i="20"/>
  <c r="AFB9" i="20"/>
  <c r="AFC9" i="20"/>
  <c r="AFD9" i="20"/>
  <c r="AFE9" i="20"/>
  <c r="AFQ9" i="20"/>
  <c r="AFR9" i="20"/>
  <c r="AFS9" i="20"/>
  <c r="AFT9" i="20"/>
  <c r="AFU9" i="20"/>
  <c r="AFV9" i="20"/>
  <c r="AFW9" i="20"/>
  <c r="AFX9" i="20"/>
  <c r="AFY9" i="20"/>
  <c r="AFZ9" i="20"/>
  <c r="AGA9" i="20"/>
  <c r="AGM9" i="20"/>
  <c r="AGN9" i="20"/>
  <c r="AGO9" i="20"/>
  <c r="AGP9" i="20"/>
  <c r="AGQ9" i="20"/>
  <c r="AGR9" i="20"/>
  <c r="AGS9" i="20"/>
  <c r="AGT9" i="20"/>
  <c r="AGU9" i="20"/>
  <c r="AGV9" i="20"/>
  <c r="AGW9" i="20"/>
  <c r="AHI9" i="20"/>
  <c r="AHJ9" i="20"/>
  <c r="AHK9" i="20"/>
  <c r="AHL9" i="20"/>
  <c r="AHM9" i="20"/>
  <c r="AHN9" i="20"/>
  <c r="AHO9" i="20"/>
  <c r="AHP9" i="20"/>
  <c r="AHQ9" i="20"/>
  <c r="AHR9" i="20"/>
  <c r="AHS9" i="20"/>
  <c r="AIE9" i="20"/>
  <c r="AIF9" i="20"/>
  <c r="AIG9" i="20"/>
  <c r="AIH9" i="20"/>
  <c r="AII9" i="20"/>
  <c r="AIJ9" i="20"/>
  <c r="AIK9" i="20"/>
  <c r="AIL9" i="20"/>
  <c r="AIM9" i="20"/>
  <c r="AIN9" i="20"/>
  <c r="AIO9" i="20"/>
  <c r="AJA9" i="20"/>
  <c r="AJB9" i="20"/>
  <c r="AJC9" i="20"/>
  <c r="AJD9" i="20"/>
  <c r="AJE9" i="20"/>
  <c r="AJF9" i="20"/>
  <c r="AJG9" i="20"/>
  <c r="AJH9" i="20"/>
  <c r="AJI9" i="20"/>
  <c r="AJJ9" i="20"/>
  <c r="AJK9" i="20"/>
  <c r="AJW9" i="20"/>
  <c r="AJX9" i="20"/>
  <c r="AJY9" i="20"/>
  <c r="AJZ9" i="20"/>
  <c r="AKA9" i="20"/>
  <c r="AKB9" i="20"/>
  <c r="AKC9" i="20"/>
  <c r="AKD9" i="20"/>
  <c r="AKE9" i="20"/>
  <c r="AKF9" i="20"/>
  <c r="AKG9" i="20"/>
  <c r="AKS9" i="20"/>
  <c r="AKT9" i="20"/>
  <c r="AKU9" i="20"/>
  <c r="AKV9" i="20"/>
  <c r="AKW9" i="20"/>
  <c r="AKX9" i="20"/>
  <c r="AKY9" i="20"/>
  <c r="AKZ9" i="20"/>
  <c r="ALA9" i="20"/>
  <c r="ALB9" i="20"/>
  <c r="ALC9" i="20"/>
  <c r="ALO9" i="20"/>
  <c r="ALP9" i="20"/>
  <c r="ALQ9" i="20"/>
  <c r="ALR9" i="20"/>
  <c r="ALS9" i="20"/>
  <c r="ALT9" i="20"/>
  <c r="ALU9" i="20"/>
  <c r="ALV9" i="20"/>
  <c r="ALW9" i="20"/>
  <c r="ALX9" i="20"/>
  <c r="ALY9" i="20"/>
  <c r="AMK9" i="20"/>
  <c r="AML9" i="20"/>
  <c r="AMM9" i="20"/>
  <c r="AMN9" i="20"/>
  <c r="AMO9" i="20"/>
  <c r="AMP9" i="20"/>
  <c r="AMQ9" i="20"/>
  <c r="AMR9" i="20"/>
  <c r="AMS9" i="20"/>
  <c r="AMT9" i="20"/>
  <c r="AMU9" i="20"/>
  <c r="ANG9" i="20"/>
  <c r="ANH9" i="20"/>
  <c r="ANI9" i="20"/>
  <c r="ANJ9" i="20"/>
  <c r="ANK9" i="20"/>
  <c r="ANL9" i="20"/>
  <c r="ANM9" i="20"/>
  <c r="ANN9" i="20"/>
  <c r="ANO9" i="20"/>
  <c r="ANP9" i="20"/>
  <c r="ANQ9" i="20"/>
  <c r="AOC9" i="20"/>
  <c r="AOD9" i="20"/>
  <c r="AOE9" i="20"/>
  <c r="AOF9" i="20"/>
  <c r="AOG9" i="20"/>
  <c r="AOH9" i="20"/>
  <c r="AOI9" i="20"/>
  <c r="AOJ9" i="20"/>
  <c r="AOK9" i="20"/>
  <c r="AOL9" i="20"/>
  <c r="AOM9" i="20"/>
  <c r="AOY9" i="20"/>
  <c r="AOZ9" i="20"/>
  <c r="APA9" i="20"/>
  <c r="APB9" i="20"/>
  <c r="APC9" i="20"/>
  <c r="APD9" i="20"/>
  <c r="APE9" i="20"/>
  <c r="APF9" i="20"/>
  <c r="APG9" i="20"/>
  <c r="APH9" i="20"/>
  <c r="API9" i="20"/>
  <c r="APU9" i="20"/>
  <c r="APV9" i="20"/>
  <c r="APW9" i="20"/>
  <c r="APX9" i="20"/>
  <c r="APY9" i="20"/>
  <c r="APZ9" i="20"/>
  <c r="AQA9" i="20"/>
  <c r="AQB9" i="20"/>
  <c r="AQC9" i="20"/>
  <c r="AQD9" i="20"/>
  <c r="AQE9" i="20"/>
  <c r="AQQ9" i="20"/>
  <c r="AQR9" i="20"/>
  <c r="AQS9" i="20"/>
  <c r="AQT9" i="20"/>
  <c r="AQU9" i="20"/>
  <c r="AQV9" i="20"/>
  <c r="AQW9" i="20"/>
  <c r="AQX9" i="20"/>
  <c r="AQY9" i="20"/>
  <c r="AQZ9" i="20"/>
  <c r="ARA9" i="20"/>
  <c r="ARM9" i="20"/>
  <c r="ARN9" i="20"/>
  <c r="ARO9" i="20"/>
  <c r="ARP9" i="20"/>
  <c r="ARQ9" i="20"/>
  <c r="ARR9" i="20"/>
  <c r="ARS9" i="20"/>
  <c r="ART9" i="20"/>
  <c r="ARU9" i="20"/>
  <c r="ARV9" i="20"/>
  <c r="ARW9" i="20"/>
  <c r="ASI9" i="20"/>
  <c r="ASJ9" i="20"/>
  <c r="ASK9" i="20"/>
  <c r="ASL9" i="20"/>
  <c r="ASM9" i="20"/>
  <c r="ASN9" i="20"/>
  <c r="ASO9" i="20"/>
  <c r="ASP9" i="20"/>
  <c r="ASQ9" i="20"/>
  <c r="ASR9" i="20"/>
  <c r="ASS9" i="20"/>
  <c r="ATE9" i="20"/>
  <c r="ATF9" i="20"/>
  <c r="ATG9" i="20"/>
  <c r="ATH9" i="20"/>
  <c r="ATI9" i="20"/>
  <c r="ATJ9" i="20"/>
  <c r="ATK9" i="20"/>
  <c r="ATL9" i="20"/>
  <c r="ATM9" i="20"/>
  <c r="ATN9" i="20"/>
  <c r="ATO9" i="20"/>
  <c r="AUA9" i="20"/>
  <c r="AUB9" i="20"/>
  <c r="AUC9" i="20"/>
  <c r="AUD9" i="20"/>
  <c r="AUE9" i="20"/>
  <c r="AUF9" i="20"/>
  <c r="AUG9" i="20"/>
  <c r="AUH9" i="20"/>
  <c r="AUI9" i="20"/>
  <c r="AUJ9" i="20"/>
  <c r="AUK9" i="20"/>
  <c r="AUW9" i="20"/>
  <c r="AUX9" i="20"/>
  <c r="AUY9" i="20"/>
  <c r="AUZ9" i="20"/>
  <c r="AVA9" i="20"/>
  <c r="AVB9" i="20"/>
  <c r="AVC9" i="20"/>
  <c r="AVD9" i="20"/>
  <c r="AVE9" i="20"/>
  <c r="AVF9" i="20"/>
  <c r="AVG9" i="20"/>
  <c r="AVS9" i="20"/>
  <c r="AVT9" i="20"/>
  <c r="AVU9" i="20"/>
  <c r="AVV9" i="20"/>
  <c r="AVW9" i="20"/>
  <c r="AVX9" i="20"/>
  <c r="AVY9" i="20"/>
  <c r="AVZ9" i="20"/>
  <c r="AWA9" i="20"/>
  <c r="AWB9" i="20"/>
  <c r="AWC9" i="20"/>
  <c r="AWO9" i="20"/>
  <c r="AWP9" i="20"/>
  <c r="AWQ9" i="20"/>
  <c r="AWR9" i="20"/>
  <c r="AWS9" i="20"/>
  <c r="AWT9" i="20"/>
  <c r="AWU9" i="20"/>
  <c r="AWV9" i="20"/>
  <c r="AWW9" i="20"/>
  <c r="AWX9" i="20"/>
  <c r="AWY9" i="20"/>
  <c r="AXK9" i="20"/>
  <c r="AXL9" i="20"/>
  <c r="AXM9" i="20"/>
  <c r="AXN9" i="20"/>
  <c r="AXO9" i="20"/>
  <c r="AXP9" i="20"/>
  <c r="AXQ9" i="20"/>
  <c r="AXR9" i="20"/>
  <c r="AXS9" i="20"/>
  <c r="AXT9" i="20"/>
  <c r="AXU9" i="20"/>
  <c r="AYG9" i="20"/>
  <c r="AYH9" i="20"/>
  <c r="AYI9" i="20"/>
  <c r="AYJ9" i="20"/>
  <c r="AYK9" i="20"/>
  <c r="AYL9" i="20"/>
  <c r="AYM9" i="20"/>
  <c r="AYN9" i="20"/>
  <c r="AYO9" i="20"/>
  <c r="AYP9" i="20"/>
  <c r="AYQ9" i="20"/>
  <c r="AZC9" i="20"/>
  <c r="AZD9" i="20"/>
  <c r="AZE9" i="20"/>
  <c r="AZF9" i="20"/>
  <c r="AZG9" i="20"/>
  <c r="AZH9" i="20"/>
  <c r="AZI9" i="20"/>
  <c r="AZJ9" i="20"/>
  <c r="AZK9" i="20"/>
  <c r="AZL9" i="20"/>
  <c r="AZM9" i="20"/>
  <c r="AZY9" i="20"/>
  <c r="AZZ9" i="20"/>
  <c r="BAA9" i="20"/>
  <c r="BAB9" i="20"/>
  <c r="BAC9" i="20"/>
  <c r="BAD9" i="20"/>
  <c r="BAE9" i="20"/>
  <c r="BAF9" i="20"/>
  <c r="BAG9" i="20"/>
  <c r="BAH9" i="20"/>
  <c r="BAI9" i="20"/>
  <c r="BAU9" i="20"/>
  <c r="BAV9" i="20"/>
  <c r="BAW9" i="20"/>
  <c r="BAX9" i="20"/>
  <c r="BAY9" i="20"/>
  <c r="BAZ9" i="20"/>
  <c r="BBA9" i="20"/>
  <c r="BBB9" i="20"/>
  <c r="BBC9" i="20"/>
  <c r="BBD9" i="20"/>
  <c r="BBE9" i="20"/>
  <c r="BBQ9" i="20"/>
  <c r="BBR9" i="20"/>
  <c r="BBS9" i="20"/>
  <c r="BBT9" i="20"/>
  <c r="BBU9" i="20"/>
  <c r="BBV9" i="20"/>
  <c r="BBW9" i="20"/>
  <c r="BBX9" i="20"/>
  <c r="BBY9" i="20"/>
  <c r="BBZ9" i="20"/>
  <c r="BCA9" i="20"/>
  <c r="BCM9" i="20"/>
  <c r="BCN9" i="20"/>
  <c r="BCO9" i="20"/>
  <c r="BCP9" i="20"/>
  <c r="BCQ9" i="20"/>
  <c r="BCR9" i="20"/>
  <c r="BCS9" i="20"/>
  <c r="BCT9" i="20"/>
  <c r="BCU9" i="20"/>
  <c r="BCV9" i="20"/>
  <c r="BCW9" i="20"/>
  <c r="BDI9" i="20"/>
  <c r="BDJ9" i="20"/>
  <c r="BDK9" i="20"/>
  <c r="BDL9" i="20"/>
  <c r="BDM9" i="20"/>
  <c r="BDN9" i="20"/>
  <c r="BDO9" i="20"/>
  <c r="BDP9" i="20"/>
  <c r="BDQ9" i="20"/>
  <c r="BDR9" i="20"/>
  <c r="BDS9" i="20"/>
  <c r="BEE9" i="20"/>
  <c r="BEF9" i="20"/>
  <c r="BEG9" i="20"/>
  <c r="BEH9" i="20"/>
  <c r="BEI9" i="20"/>
  <c r="BEJ9" i="20"/>
  <c r="BEK9" i="20"/>
  <c r="BEL9" i="20"/>
  <c r="BEM9" i="20"/>
  <c r="BEN9" i="20"/>
  <c r="BEO9" i="20"/>
  <c r="BFA9" i="20"/>
  <c r="BFB9" i="20"/>
  <c r="BFC9" i="20"/>
  <c r="BFD9" i="20"/>
  <c r="BFE9" i="20"/>
  <c r="BFF9" i="20"/>
  <c r="BFG9" i="20"/>
  <c r="BFH9" i="20"/>
  <c r="BFI9" i="20"/>
  <c r="BFJ9" i="20"/>
  <c r="BFK9" i="20"/>
  <c r="BFW9" i="20"/>
  <c r="BFX9" i="20"/>
  <c r="BFY9" i="20"/>
  <c r="BFZ9" i="20"/>
  <c r="BGA9" i="20"/>
  <c r="BGB9" i="20"/>
  <c r="BGC9" i="20"/>
  <c r="BGD9" i="20"/>
  <c r="BGE9" i="20"/>
  <c r="BGF9" i="20"/>
  <c r="BGG9" i="20"/>
  <c r="BGS9" i="20"/>
  <c r="BGT9" i="20"/>
  <c r="BGU9" i="20"/>
  <c r="BGV9" i="20"/>
  <c r="BGW9" i="20"/>
  <c r="BGX9" i="20"/>
  <c r="BGY9" i="20"/>
  <c r="BGZ9" i="20"/>
  <c r="BHA9" i="20"/>
  <c r="BHB9" i="20"/>
  <c r="BHC9" i="20"/>
  <c r="BHO9" i="20"/>
  <c r="BHP9" i="20"/>
  <c r="BHQ9" i="20"/>
  <c r="BHR9" i="20"/>
  <c r="BHS9" i="20"/>
  <c r="BHT9" i="20"/>
  <c r="BHU9" i="20"/>
  <c r="BHV9" i="20"/>
  <c r="BHW9" i="20"/>
  <c r="BHX9" i="20"/>
  <c r="BHY9" i="20"/>
  <c r="BIK9" i="20"/>
  <c r="BIL9" i="20"/>
  <c r="BIM9" i="20"/>
  <c r="BIN9" i="20"/>
  <c r="BIO9" i="20"/>
  <c r="BIP9" i="20"/>
  <c r="BIQ9" i="20"/>
  <c r="BIR9" i="20"/>
  <c r="BIS9" i="20"/>
  <c r="BIT9" i="20"/>
  <c r="BIU9" i="20"/>
  <c r="BJG9" i="20"/>
  <c r="BJH9" i="20"/>
  <c r="BJI9" i="20"/>
  <c r="BJJ9" i="20"/>
  <c r="BJK9" i="20"/>
  <c r="BJL9" i="20"/>
  <c r="BJM9" i="20"/>
  <c r="BJN9" i="20"/>
  <c r="BJO9" i="20"/>
  <c r="BJP9" i="20"/>
  <c r="BJQ9" i="20"/>
  <c r="BKC9" i="20"/>
  <c r="BKD9" i="20"/>
  <c r="BKE9" i="20"/>
  <c r="BKF9" i="20"/>
  <c r="BKG9" i="20"/>
  <c r="BKH9" i="20"/>
  <c r="BKI9" i="20"/>
  <c r="BKJ9" i="20"/>
  <c r="BKK9" i="20"/>
  <c r="BKL9" i="20"/>
  <c r="BKM9" i="20"/>
  <c r="BKY9" i="20"/>
  <c r="BKZ9" i="20"/>
  <c r="BLA9" i="20"/>
  <c r="BLB9" i="20"/>
  <c r="BLC9" i="20"/>
  <c r="BLD9" i="20"/>
  <c r="BLE9" i="20"/>
  <c r="BLF9" i="20"/>
  <c r="BLG9" i="20"/>
  <c r="BLH9" i="20"/>
  <c r="BLI9" i="20"/>
  <c r="BLU9" i="20"/>
  <c r="BLV9" i="20"/>
  <c r="BLW9" i="20"/>
  <c r="BLX9" i="20"/>
  <c r="BLY9" i="20"/>
  <c r="BLZ9" i="20"/>
  <c r="BMA9" i="20"/>
  <c r="BMB9" i="20"/>
  <c r="BMC9" i="20"/>
  <c r="BMD9" i="20"/>
  <c r="BME9" i="20"/>
  <c r="BMQ9" i="20"/>
  <c r="BMR9" i="20"/>
  <c r="BMS9" i="20"/>
  <c r="BMT9" i="20"/>
  <c r="BMU9" i="20"/>
  <c r="BMV9" i="20"/>
  <c r="BMW9" i="20"/>
  <c r="BMX9" i="20"/>
  <c r="BMY9" i="20"/>
  <c r="BMZ9" i="20"/>
  <c r="BNA9" i="20"/>
  <c r="BNM9" i="20"/>
  <c r="BNN9" i="20"/>
  <c r="BNO9" i="20"/>
  <c r="BNP9" i="20"/>
  <c r="BNQ9" i="20"/>
  <c r="BNR9" i="20"/>
  <c r="BNS9" i="20"/>
  <c r="BNT9" i="20"/>
  <c r="BNU9" i="20"/>
  <c r="BNV9" i="20"/>
  <c r="BNW9" i="20"/>
  <c r="BOI9" i="20"/>
  <c r="BOJ9" i="20"/>
  <c r="BOK9" i="20"/>
  <c r="BOL9" i="20"/>
  <c r="BOM9" i="20"/>
  <c r="BON9" i="20"/>
  <c r="BOO9" i="20"/>
  <c r="BOP9" i="20"/>
  <c r="BOQ9" i="20"/>
  <c r="BOR9" i="20"/>
  <c r="BOS9" i="20"/>
  <c r="BPE9" i="20"/>
  <c r="BPF9" i="20"/>
  <c r="BPG9" i="20"/>
  <c r="BPH9" i="20"/>
  <c r="BPI9" i="20"/>
  <c r="BPJ9" i="20"/>
  <c r="BPK9" i="20"/>
  <c r="BPL9" i="20"/>
  <c r="BPM9" i="20"/>
  <c r="BPN9" i="20"/>
  <c r="BPO9" i="20"/>
  <c r="BQA9" i="20"/>
  <c r="BQB9" i="20"/>
  <c r="BQC9" i="20"/>
  <c r="BQD9" i="20"/>
  <c r="BQE9" i="20"/>
  <c r="BQF9" i="20"/>
  <c r="BQG9" i="20"/>
  <c r="BQH9" i="20"/>
  <c r="BQI9" i="20"/>
  <c r="BQJ9" i="20"/>
  <c r="BQK9" i="20"/>
  <c r="BQW9" i="20"/>
  <c r="BQX9" i="20"/>
  <c r="BQY9" i="20"/>
  <c r="BQZ9" i="20"/>
  <c r="BRA9" i="20"/>
  <c r="BRB9" i="20"/>
  <c r="BRC9" i="20"/>
  <c r="BRD9" i="20"/>
  <c r="BRE9" i="20"/>
  <c r="BRF9" i="20"/>
  <c r="BRG9" i="20"/>
  <c r="BRS9" i="20"/>
  <c r="BRT9" i="20"/>
  <c r="BRU9" i="20"/>
  <c r="BRV9" i="20"/>
  <c r="BRW9" i="20"/>
  <c r="BRX9" i="20"/>
  <c r="BRY9" i="20"/>
  <c r="BRZ9" i="20"/>
  <c r="BSA9" i="20"/>
  <c r="BSB9" i="20"/>
  <c r="BSC9" i="20"/>
  <c r="BSO9" i="20"/>
  <c r="BSP9" i="20"/>
  <c r="BSQ9" i="20"/>
  <c r="BSR9" i="20"/>
  <c r="BSS9" i="20"/>
  <c r="BST9" i="20"/>
  <c r="BSU9" i="20"/>
  <c r="BSV9" i="20"/>
  <c r="BSW9" i="20"/>
  <c r="BSX9" i="20"/>
  <c r="BSY9" i="20"/>
  <c r="BTK9" i="20"/>
  <c r="BTL9" i="20"/>
  <c r="BTM9" i="20"/>
  <c r="BTN9" i="20"/>
  <c r="BTO9" i="20"/>
  <c r="BTP9" i="20"/>
  <c r="BTQ9" i="20"/>
  <c r="BTR9" i="20"/>
  <c r="BTS9" i="20"/>
  <c r="BTT9" i="20"/>
  <c r="BTU9" i="20"/>
  <c r="BUG9" i="20"/>
  <c r="BUH9" i="20"/>
  <c r="BUI9" i="20"/>
  <c r="BUJ9" i="20"/>
  <c r="BUK9" i="20"/>
  <c r="BUL9" i="20"/>
  <c r="BUM9" i="20"/>
  <c r="BUN9" i="20"/>
  <c r="BUO9" i="20"/>
  <c r="BUP9" i="20"/>
  <c r="BUQ9" i="20"/>
  <c r="BVC9" i="20"/>
  <c r="BVD9" i="20"/>
  <c r="BVE9" i="20"/>
  <c r="BVF9" i="20"/>
  <c r="BVG9" i="20"/>
  <c r="BVH9" i="20"/>
  <c r="BVI9" i="20"/>
  <c r="BVJ9" i="20"/>
  <c r="BVK9" i="20"/>
  <c r="BVL9" i="20"/>
  <c r="BVM9" i="20"/>
  <c r="BVY9" i="20"/>
  <c r="BVZ9" i="20"/>
  <c r="BWA9" i="20"/>
  <c r="BWB9" i="20"/>
  <c r="BWC9" i="20"/>
  <c r="BWD9" i="20"/>
  <c r="BWE9" i="20"/>
  <c r="BWF9" i="20"/>
  <c r="BWG9" i="20"/>
  <c r="BWH9" i="20"/>
  <c r="BWI9" i="20"/>
  <c r="BWU9" i="20"/>
  <c r="BWV9" i="20"/>
  <c r="BWW9" i="20"/>
  <c r="BWX9" i="20"/>
  <c r="BWY9" i="20"/>
  <c r="BWZ9" i="20"/>
  <c r="BXA9" i="20"/>
  <c r="BXB9" i="20"/>
  <c r="BXC9" i="20"/>
  <c r="BXD9" i="20"/>
  <c r="BXE9" i="20"/>
  <c r="BXQ9" i="20"/>
  <c r="BXR9" i="20"/>
  <c r="BXS9" i="20"/>
  <c r="BXT9" i="20"/>
  <c r="BXU9" i="20"/>
  <c r="BXV9" i="20"/>
  <c r="BXW9" i="20"/>
  <c r="BXX9" i="20"/>
  <c r="BXY9" i="20"/>
  <c r="BXZ9" i="20"/>
  <c r="BYA9" i="20"/>
  <c r="BYM9" i="20"/>
  <c r="BYN9" i="20"/>
  <c r="BYO9" i="20"/>
  <c r="BYP9" i="20"/>
  <c r="BYQ9" i="20"/>
  <c r="BYR9" i="20"/>
  <c r="BYS9" i="20"/>
  <c r="BYT9" i="20"/>
  <c r="BYU9" i="20"/>
  <c r="BYV9" i="20"/>
  <c r="BYW9" i="20"/>
  <c r="BZI9" i="20"/>
  <c r="BZJ9" i="20"/>
  <c r="BZK9" i="20"/>
  <c r="BZL9" i="20"/>
  <c r="BZM9" i="20"/>
  <c r="BZN9" i="20"/>
  <c r="BZO9" i="20"/>
  <c r="BZP9" i="20"/>
  <c r="BZQ9" i="20"/>
  <c r="BZR9" i="20"/>
  <c r="BZS9" i="20"/>
  <c r="CAE9" i="20"/>
  <c r="CAF9" i="20"/>
  <c r="CAG9" i="20"/>
  <c r="CAH9" i="20"/>
  <c r="CAI9" i="20"/>
  <c r="CAJ9" i="20"/>
  <c r="CAK9" i="20"/>
  <c r="CAL9" i="20"/>
  <c r="CAM9" i="20"/>
  <c r="CAN9" i="20"/>
  <c r="CAO9" i="20"/>
  <c r="CBA9" i="20"/>
  <c r="CBB9" i="20"/>
  <c r="CBC9" i="20"/>
  <c r="CBD9" i="20"/>
  <c r="CBE9" i="20"/>
  <c r="CBF9" i="20"/>
  <c r="CBG9" i="20"/>
  <c r="CBH9" i="20"/>
  <c r="CBI9" i="20"/>
  <c r="CBJ9" i="20"/>
  <c r="CBK9" i="20"/>
  <c r="CBW9" i="20"/>
  <c r="CBX9" i="20"/>
  <c r="CBY9" i="20"/>
  <c r="CBZ9" i="20"/>
  <c r="CCA9" i="20"/>
  <c r="CCB9" i="20"/>
  <c r="CCC9" i="20"/>
  <c r="CCD9" i="20"/>
  <c r="CCE9" i="20"/>
  <c r="CCF9" i="20"/>
  <c r="CCG9" i="20"/>
  <c r="CCS9" i="20"/>
  <c r="CCT9" i="20"/>
  <c r="CCU9" i="20"/>
  <c r="CCV9" i="20"/>
  <c r="CCW9" i="20"/>
  <c r="CCX9" i="20"/>
  <c r="CCY9" i="20"/>
  <c r="CCZ9" i="20"/>
  <c r="CDA9" i="20"/>
  <c r="CDB9" i="20"/>
  <c r="CDC9" i="20"/>
  <c r="CDO9" i="20"/>
  <c r="CDP9" i="20"/>
  <c r="CDQ9" i="20"/>
  <c r="CDR9" i="20"/>
  <c r="CDS9" i="20"/>
  <c r="CDT9" i="20"/>
  <c r="CDU9" i="20"/>
  <c r="CDV9" i="20"/>
  <c r="CDW9" i="20"/>
  <c r="CDX9" i="20"/>
  <c r="CDY9" i="20"/>
  <c r="CEK9" i="20"/>
  <c r="CEL9" i="20"/>
  <c r="CEM9" i="20"/>
  <c r="CEN9" i="20"/>
  <c r="CEO9" i="20"/>
  <c r="CEP9" i="20"/>
  <c r="CEQ9" i="20"/>
  <c r="CER9" i="20"/>
  <c r="CES9" i="20"/>
  <c r="CET9" i="20"/>
  <c r="CEU9" i="20"/>
  <c r="CFG9" i="20"/>
  <c r="CFH9" i="20"/>
  <c r="CFI9" i="20"/>
  <c r="CFJ9" i="20"/>
  <c r="CFK9" i="20"/>
  <c r="CFL9" i="20"/>
  <c r="CFM9" i="20"/>
  <c r="CFN9" i="20"/>
  <c r="CFO9" i="20"/>
  <c r="CFP9" i="20"/>
  <c r="CFQ9" i="20"/>
  <c r="CGC9" i="20"/>
  <c r="CGD9" i="20"/>
  <c r="CGE9" i="20"/>
  <c r="CGF9" i="20"/>
  <c r="CGG9" i="20"/>
  <c r="CGH9" i="20"/>
  <c r="CGI9" i="20"/>
  <c r="CGJ9" i="20"/>
  <c r="CGK9" i="20"/>
  <c r="CGL9" i="20"/>
  <c r="CGM9" i="20"/>
  <c r="CGY9" i="20"/>
  <c r="CGZ9" i="20"/>
  <c r="CHA9" i="20"/>
  <c r="CHB9" i="20"/>
  <c r="CHC9" i="20"/>
  <c r="CHD9" i="20"/>
  <c r="CHE9" i="20"/>
  <c r="CHF9" i="20"/>
  <c r="CHG9" i="20"/>
  <c r="CHH9" i="20"/>
  <c r="CHI9" i="20"/>
  <c r="CHU9" i="20"/>
  <c r="CHV9" i="20"/>
  <c r="CHW9" i="20"/>
  <c r="CHX9" i="20"/>
  <c r="CHY9" i="20"/>
  <c r="CHZ9" i="20"/>
  <c r="CIA9" i="20"/>
  <c r="CIB9" i="20"/>
  <c r="CIC9" i="20"/>
  <c r="CID9" i="20"/>
  <c r="CIE9" i="20"/>
  <c r="CIQ9" i="20"/>
  <c r="CIR9" i="20"/>
  <c r="CIS9" i="20"/>
  <c r="CIT9" i="20"/>
  <c r="CIU9" i="20"/>
  <c r="CIV9" i="20"/>
  <c r="CIW9" i="20"/>
  <c r="CIX9" i="20"/>
  <c r="CIY9" i="20"/>
  <c r="CIZ9" i="20"/>
  <c r="CJA9" i="20"/>
  <c r="CJM9" i="20"/>
  <c r="CJN9" i="20"/>
  <c r="CJO9" i="20"/>
  <c r="CJP9" i="20"/>
  <c r="CJQ9" i="20"/>
  <c r="CJR9" i="20"/>
  <c r="CJS9" i="20"/>
  <c r="CJT9" i="20"/>
  <c r="CJU9" i="20"/>
  <c r="CJV9" i="20"/>
  <c r="CJW9" i="20"/>
  <c r="CKI9" i="20"/>
  <c r="CKJ9" i="20"/>
  <c r="CKK9" i="20"/>
  <c r="CKL9" i="20"/>
  <c r="CKM9" i="20"/>
  <c r="CKN9" i="20"/>
  <c r="CKO9" i="20"/>
  <c r="CKP9" i="20"/>
  <c r="CKQ9" i="20"/>
  <c r="CKR9" i="20"/>
  <c r="CKS9" i="20"/>
  <c r="CLE9" i="20"/>
  <c r="CLF9" i="20"/>
  <c r="CLG9" i="20"/>
  <c r="CLH9" i="20"/>
  <c r="CLI9" i="20"/>
  <c r="CLJ9" i="20"/>
  <c r="CLK9" i="20"/>
  <c r="CLL9" i="20"/>
  <c r="CLM9" i="20"/>
  <c r="CLN9" i="20"/>
  <c r="CLO9" i="20"/>
  <c r="CMA9" i="20"/>
  <c r="CMB9" i="20"/>
  <c r="CMC9" i="20"/>
  <c r="CMD9" i="20"/>
  <c r="CME9" i="20"/>
  <c r="CMF9" i="20"/>
  <c r="CMG9" i="20"/>
  <c r="CMH9" i="20"/>
  <c r="CMI9" i="20"/>
  <c r="CMJ9" i="20"/>
  <c r="CMK9" i="20"/>
  <c r="CMW9" i="20"/>
  <c r="CMX9" i="20"/>
  <c r="CMY9" i="20"/>
  <c r="CMZ9" i="20"/>
  <c r="CNA9" i="20"/>
  <c r="CNB9" i="20"/>
  <c r="CNC9" i="20"/>
  <c r="CND9" i="20"/>
  <c r="CNE9" i="20"/>
  <c r="CNF9" i="20"/>
  <c r="CNG9" i="20"/>
  <c r="CNS9" i="20"/>
  <c r="CNT9" i="20"/>
  <c r="CNU9" i="20"/>
  <c r="CNV9" i="20"/>
  <c r="CNW9" i="20"/>
  <c r="CNX9" i="20"/>
  <c r="CNY9" i="20"/>
  <c r="CNZ9" i="20"/>
  <c r="COA9" i="20"/>
  <c r="COB9" i="20"/>
  <c r="COC9" i="20"/>
  <c r="COO9" i="20"/>
  <c r="COP9" i="20"/>
  <c r="COQ9" i="20"/>
  <c r="COR9" i="20"/>
  <c r="COS9" i="20"/>
  <c r="COT9" i="20"/>
  <c r="COU9" i="20"/>
  <c r="COV9" i="20"/>
  <c r="COW9" i="20"/>
  <c r="COX9" i="20"/>
  <c r="COY9" i="20"/>
  <c r="CPK9" i="20"/>
  <c r="CPL9" i="20"/>
  <c r="CPM9" i="20"/>
  <c r="CPN9" i="20"/>
  <c r="CPO9" i="20"/>
  <c r="CPP9" i="20"/>
  <c r="CPQ9" i="20"/>
  <c r="CPR9" i="20"/>
  <c r="CPS9" i="20"/>
  <c r="CPT9" i="20"/>
  <c r="CPU9" i="20"/>
  <c r="CQG9" i="20"/>
  <c r="CQH9" i="20"/>
  <c r="CQI9" i="20"/>
  <c r="CQJ9" i="20"/>
  <c r="CQK9" i="20"/>
  <c r="CQL9" i="20"/>
  <c r="CQM9" i="20"/>
  <c r="CQN9" i="20"/>
  <c r="CQO9" i="20"/>
  <c r="CQP9" i="20"/>
  <c r="CQQ9" i="20"/>
  <c r="CRC9" i="20"/>
  <c r="CRD9" i="20"/>
  <c r="CRE9" i="20"/>
  <c r="CRF9" i="20"/>
  <c r="CRG9" i="20"/>
  <c r="CRH9" i="20"/>
  <c r="CRI9" i="20"/>
  <c r="CRJ9" i="20"/>
  <c r="CRK9" i="20"/>
  <c r="CRL9" i="20"/>
  <c r="CRM9" i="20"/>
  <c r="CRY9" i="20"/>
  <c r="CRZ9" i="20"/>
  <c r="CSA9" i="20"/>
  <c r="CSB9" i="20"/>
  <c r="CSC9" i="20"/>
  <c r="CSD9" i="20"/>
  <c r="CSE9" i="20"/>
  <c r="CSF9" i="20"/>
  <c r="CSG9" i="20"/>
  <c r="CSH9" i="20"/>
  <c r="CSI9" i="20"/>
  <c r="CSU9" i="20"/>
  <c r="CSV9" i="20"/>
  <c r="CSW9" i="20"/>
  <c r="CSX9" i="20"/>
  <c r="CSY9" i="20"/>
  <c r="CSZ9" i="20"/>
  <c r="CTA9" i="20"/>
  <c r="CTB9" i="20"/>
  <c r="CTC9" i="20"/>
  <c r="CTD9" i="20"/>
  <c r="CTE9" i="20"/>
  <c r="CTQ9" i="20"/>
  <c r="CTR9" i="20"/>
  <c r="CTS9" i="20"/>
  <c r="CTT9" i="20"/>
  <c r="CTU9" i="20"/>
  <c r="CTV9" i="20"/>
  <c r="CTW9" i="20"/>
  <c r="CTX9" i="20"/>
  <c r="CTY9" i="20"/>
  <c r="CTZ9" i="20"/>
  <c r="CUA9" i="20"/>
  <c r="CUM9" i="20"/>
  <c r="CUN9" i="20"/>
  <c r="CUO9" i="20"/>
  <c r="CUP9" i="20"/>
  <c r="CUQ9" i="20"/>
  <c r="CUR9" i="20"/>
  <c r="CUS9" i="20"/>
  <c r="CUT9" i="20"/>
  <c r="CUU9" i="20"/>
  <c r="CUV9" i="20"/>
  <c r="CUW9" i="20"/>
  <c r="CVI9" i="20"/>
  <c r="CVJ9" i="20"/>
  <c r="CVK9" i="20"/>
  <c r="CVL9" i="20"/>
  <c r="CVM9" i="20"/>
  <c r="CVN9" i="20"/>
  <c r="CVO9" i="20"/>
  <c r="CVP9" i="20"/>
  <c r="CVQ9" i="20"/>
  <c r="CVR9" i="20"/>
  <c r="CVS9" i="20"/>
  <c r="CWE9" i="20"/>
  <c r="CWF9" i="20"/>
  <c r="CWG9" i="20"/>
  <c r="CWH9" i="20"/>
  <c r="CWI9" i="20"/>
  <c r="CWJ9" i="20"/>
  <c r="CWK9" i="20"/>
  <c r="CWL9" i="20"/>
  <c r="CWM9" i="20"/>
  <c r="CWN9" i="20"/>
  <c r="CWO9" i="20"/>
  <c r="CXA9" i="20"/>
  <c r="CXB9" i="20"/>
  <c r="CXC9" i="20"/>
  <c r="CXD9" i="20"/>
  <c r="CXE9" i="20"/>
  <c r="CXF9" i="20"/>
  <c r="CXG9" i="20"/>
  <c r="CXH9" i="20"/>
  <c r="CXI9" i="20"/>
  <c r="CXJ9" i="20"/>
  <c r="CXK9" i="20"/>
  <c r="CXW9" i="20"/>
  <c r="CXX9" i="20"/>
  <c r="CXY9" i="20"/>
  <c r="CXZ9" i="20"/>
  <c r="CYA9" i="20"/>
  <c r="CYB9" i="20"/>
  <c r="CYC9" i="20"/>
  <c r="CYD9" i="20"/>
  <c r="CYE9" i="20"/>
  <c r="CYF9" i="20"/>
  <c r="CYG9" i="20"/>
  <c r="CYS9" i="20"/>
  <c r="CYT9" i="20"/>
  <c r="CYU9" i="20"/>
  <c r="CYV9" i="20"/>
  <c r="CYW9" i="20"/>
  <c r="CYX9" i="20"/>
  <c r="CYY9" i="20"/>
  <c r="CYZ9" i="20"/>
  <c r="CZA9" i="20"/>
  <c r="CZB9" i="20"/>
  <c r="CZC9" i="20"/>
  <c r="CZO9" i="20"/>
  <c r="CZP9" i="20"/>
  <c r="CZQ9" i="20"/>
  <c r="CZR9" i="20"/>
  <c r="CZS9" i="20"/>
  <c r="CZT9" i="20"/>
  <c r="CZU9" i="20"/>
  <c r="CZV9" i="20"/>
  <c r="CZW9" i="20"/>
  <c r="CZX9" i="20"/>
  <c r="CZY9" i="20"/>
  <c r="DAK9" i="20"/>
  <c r="DAL9" i="20"/>
  <c r="DAM9" i="20"/>
  <c r="DAN9" i="20"/>
  <c r="DAO9" i="20"/>
  <c r="DAP9" i="20"/>
  <c r="DAQ9" i="20"/>
  <c r="DAR9" i="20"/>
  <c r="DAS9" i="20"/>
  <c r="DAT9" i="20"/>
  <c r="DAU9" i="20"/>
  <c r="DBG9" i="20"/>
  <c r="DBH9" i="20"/>
  <c r="DBI9" i="20"/>
  <c r="DBJ9" i="20"/>
  <c r="DBK9" i="20"/>
  <c r="DBL9" i="20"/>
  <c r="DBM9" i="20"/>
  <c r="DBN9" i="20"/>
  <c r="DBO9" i="20"/>
  <c r="DBP9" i="20"/>
  <c r="DBQ9" i="20"/>
  <c r="DCC9" i="20"/>
  <c r="DCD9" i="20"/>
  <c r="DCE9" i="20"/>
  <c r="DCF9" i="20"/>
  <c r="DCG9" i="20"/>
  <c r="DCH9" i="20"/>
  <c r="DCI9" i="20"/>
  <c r="DCJ9" i="20"/>
  <c r="DCK9" i="20"/>
  <c r="DCL9" i="20"/>
  <c r="DCM9" i="20"/>
  <c r="DCY9" i="20"/>
  <c r="DCZ9" i="20"/>
  <c r="DDA9" i="20"/>
  <c r="DDB9" i="20"/>
  <c r="DDC9" i="20"/>
  <c r="DDD9" i="20"/>
  <c r="DDE9" i="20"/>
  <c r="DDF9" i="20"/>
  <c r="DDG9" i="20"/>
  <c r="DDH9" i="20"/>
  <c r="DDI9" i="20"/>
  <c r="AAO10" i="20"/>
  <c r="AAP10" i="20"/>
  <c r="AAQ10" i="20"/>
  <c r="AAR10" i="20"/>
  <c r="AAS10" i="20"/>
  <c r="AAT10" i="20"/>
  <c r="AAU10" i="20"/>
  <c r="AAV10" i="20"/>
  <c r="AAW10" i="20"/>
  <c r="AAX10" i="20"/>
  <c r="AAY10" i="20"/>
  <c r="ABK10" i="20"/>
  <c r="ABL10" i="20"/>
  <c r="ABM10" i="20"/>
  <c r="ABN10" i="20"/>
  <c r="ABO10" i="20"/>
  <c r="ABP10" i="20"/>
  <c r="ABQ10" i="20"/>
  <c r="ABR10" i="20"/>
  <c r="ABS10" i="20"/>
  <c r="ABT10" i="20"/>
  <c r="ABU10" i="20"/>
  <c r="ACG10" i="20"/>
  <c r="ACH10" i="20"/>
  <c r="ACI10" i="20"/>
  <c r="ACJ10" i="20"/>
  <c r="ACK10" i="20"/>
  <c r="ACL10" i="20"/>
  <c r="ACM10" i="20"/>
  <c r="ACN10" i="20"/>
  <c r="ACO10" i="20"/>
  <c r="ACP10" i="20"/>
  <c r="ACQ10" i="20"/>
  <c r="ADC10" i="20"/>
  <c r="ADD10" i="20"/>
  <c r="ADE10" i="20"/>
  <c r="ADF10" i="20"/>
  <c r="ADG10" i="20"/>
  <c r="ADH10" i="20"/>
  <c r="ADI10" i="20"/>
  <c r="ADJ10" i="20"/>
  <c r="ADK10" i="20"/>
  <c r="ADL10" i="20"/>
  <c r="ADM10" i="20"/>
  <c r="ADY10" i="20"/>
  <c r="ADZ10" i="20"/>
  <c r="AEA10" i="20"/>
  <c r="AEB10" i="20"/>
  <c r="AEC10" i="20"/>
  <c r="AED10" i="20"/>
  <c r="AEE10" i="20"/>
  <c r="AEF10" i="20"/>
  <c r="AEG10" i="20"/>
  <c r="AEH10" i="20"/>
  <c r="AEI10" i="20"/>
  <c r="AEU10" i="20"/>
  <c r="AEV10" i="20"/>
  <c r="AEW10" i="20"/>
  <c r="AEX10" i="20"/>
  <c r="AEY10" i="20"/>
  <c r="AEZ10" i="20"/>
  <c r="AFA10" i="20"/>
  <c r="AFB10" i="20"/>
  <c r="AFC10" i="20"/>
  <c r="AFD10" i="20"/>
  <c r="AFE10" i="20"/>
  <c r="AFQ10" i="20"/>
  <c r="AFR10" i="20"/>
  <c r="AFS10" i="20"/>
  <c r="AFT10" i="20"/>
  <c r="AFU10" i="20"/>
  <c r="AFV10" i="20"/>
  <c r="AFW10" i="20"/>
  <c r="AFX10" i="20"/>
  <c r="AFY10" i="20"/>
  <c r="AFZ10" i="20"/>
  <c r="AGA10" i="20"/>
  <c r="AGM10" i="20"/>
  <c r="AGN10" i="20"/>
  <c r="AGO10" i="20"/>
  <c r="AGP10" i="20"/>
  <c r="AGQ10" i="20"/>
  <c r="AGR10" i="20"/>
  <c r="AGS10" i="20"/>
  <c r="AGT10" i="20"/>
  <c r="AGU10" i="20"/>
  <c r="AGV10" i="20"/>
  <c r="AGW10" i="20"/>
  <c r="AHI10" i="20"/>
  <c r="AHJ10" i="20"/>
  <c r="AHK10" i="20"/>
  <c r="AHL10" i="20"/>
  <c r="AHM10" i="20"/>
  <c r="AHN10" i="20"/>
  <c r="AHO10" i="20"/>
  <c r="AHP10" i="20"/>
  <c r="AHQ10" i="20"/>
  <c r="AHR10" i="20"/>
  <c r="AHS10" i="20"/>
  <c r="AIE10" i="20"/>
  <c r="AIF10" i="20"/>
  <c r="AIG10" i="20"/>
  <c r="AIH10" i="20"/>
  <c r="AII10" i="20"/>
  <c r="AIJ10" i="20"/>
  <c r="AIK10" i="20"/>
  <c r="AIL10" i="20"/>
  <c r="AIM10" i="20"/>
  <c r="AIN10" i="20"/>
  <c r="AIO10" i="20"/>
  <c r="AJA10" i="20"/>
  <c r="AJB10" i="20"/>
  <c r="AJC10" i="20"/>
  <c r="AJD10" i="20"/>
  <c r="AJE10" i="20"/>
  <c r="AJF10" i="20"/>
  <c r="AJG10" i="20"/>
  <c r="AJH10" i="20"/>
  <c r="AJI10" i="20"/>
  <c r="AJJ10" i="20"/>
  <c r="AJK10" i="20"/>
  <c r="AJW10" i="20"/>
  <c r="AJX10" i="20"/>
  <c r="AJY10" i="20"/>
  <c r="AJZ10" i="20"/>
  <c r="AKA10" i="20"/>
  <c r="AKB10" i="20"/>
  <c r="AKC10" i="20"/>
  <c r="AKD10" i="20"/>
  <c r="AKE10" i="20"/>
  <c r="AKF10" i="20"/>
  <c r="AKG10" i="20"/>
  <c r="AKS10" i="20"/>
  <c r="AKT10" i="20"/>
  <c r="AKU10" i="20"/>
  <c r="AKV10" i="20"/>
  <c r="AKW10" i="20"/>
  <c r="AKX10" i="20"/>
  <c r="AKY10" i="20"/>
  <c r="AKZ10" i="20"/>
  <c r="ALA10" i="20"/>
  <c r="ALB10" i="20"/>
  <c r="ALC10" i="20"/>
  <c r="ALO10" i="20"/>
  <c r="ALP10" i="20"/>
  <c r="ALQ10" i="20"/>
  <c r="ALR10" i="20"/>
  <c r="ALS10" i="20"/>
  <c r="ALT10" i="20"/>
  <c r="ALU10" i="20"/>
  <c r="ALV10" i="20"/>
  <c r="ALW10" i="20"/>
  <c r="ALX10" i="20"/>
  <c r="ALY10" i="20"/>
  <c r="AMK10" i="20"/>
  <c r="AML10" i="20"/>
  <c r="AMM10" i="20"/>
  <c r="AMN10" i="20"/>
  <c r="AMO10" i="20"/>
  <c r="AMP10" i="20"/>
  <c r="AMQ10" i="20"/>
  <c r="AMR10" i="20"/>
  <c r="AMS10" i="20"/>
  <c r="AMT10" i="20"/>
  <c r="AMU10" i="20"/>
  <c r="ANG10" i="20"/>
  <c r="ANH10" i="20"/>
  <c r="ANI10" i="20"/>
  <c r="ANJ10" i="20"/>
  <c r="ANK10" i="20"/>
  <c r="ANL10" i="20"/>
  <c r="ANM10" i="20"/>
  <c r="ANN10" i="20"/>
  <c r="ANO10" i="20"/>
  <c r="ANP10" i="20"/>
  <c r="ANQ10" i="20"/>
  <c r="AOC10" i="20"/>
  <c r="AOD10" i="20"/>
  <c r="AOE10" i="20"/>
  <c r="AOF10" i="20"/>
  <c r="AOG10" i="20"/>
  <c r="AOH10" i="20"/>
  <c r="AOI10" i="20"/>
  <c r="AOJ10" i="20"/>
  <c r="AOK10" i="20"/>
  <c r="AOL10" i="20"/>
  <c r="AOM10" i="20"/>
  <c r="AOY10" i="20"/>
  <c r="AOZ10" i="20"/>
  <c r="APA10" i="20"/>
  <c r="APB10" i="20"/>
  <c r="APC10" i="20"/>
  <c r="APD10" i="20"/>
  <c r="APE10" i="20"/>
  <c r="APF10" i="20"/>
  <c r="APG10" i="20"/>
  <c r="APH10" i="20"/>
  <c r="API10" i="20"/>
  <c r="APU10" i="20"/>
  <c r="APV10" i="20"/>
  <c r="APW10" i="20"/>
  <c r="APX10" i="20"/>
  <c r="APY10" i="20"/>
  <c r="APZ10" i="20"/>
  <c r="AQA10" i="20"/>
  <c r="AQB10" i="20"/>
  <c r="AQC10" i="20"/>
  <c r="AQD10" i="20"/>
  <c r="AQE10" i="20"/>
  <c r="AQQ10" i="20"/>
  <c r="AQR10" i="20"/>
  <c r="AQS10" i="20"/>
  <c r="AQT10" i="20"/>
  <c r="AQU10" i="20"/>
  <c r="AQV10" i="20"/>
  <c r="AQW10" i="20"/>
  <c r="AQX10" i="20"/>
  <c r="AQY10" i="20"/>
  <c r="AQZ10" i="20"/>
  <c r="ARA10" i="20"/>
  <c r="ARM10" i="20"/>
  <c r="ARN10" i="20"/>
  <c r="ARO10" i="20"/>
  <c r="ARP10" i="20"/>
  <c r="ARQ10" i="20"/>
  <c r="ARR10" i="20"/>
  <c r="ARS10" i="20"/>
  <c r="ART10" i="20"/>
  <c r="ARU10" i="20"/>
  <c r="ARV10" i="20"/>
  <c r="ARW10" i="20"/>
  <c r="ASI10" i="20"/>
  <c r="ASJ10" i="20"/>
  <c r="ASK10" i="20"/>
  <c r="ASL10" i="20"/>
  <c r="ASM10" i="20"/>
  <c r="ASN10" i="20"/>
  <c r="ASO10" i="20"/>
  <c r="ASP10" i="20"/>
  <c r="ASQ10" i="20"/>
  <c r="ASR10" i="20"/>
  <c r="ASS10" i="20"/>
  <c r="ATE10" i="20"/>
  <c r="ATF10" i="20"/>
  <c r="ATG10" i="20"/>
  <c r="ATH10" i="20"/>
  <c r="ATI10" i="20"/>
  <c r="ATJ10" i="20"/>
  <c r="ATK10" i="20"/>
  <c r="ATL10" i="20"/>
  <c r="ATM10" i="20"/>
  <c r="ATN10" i="20"/>
  <c r="ATO10" i="20"/>
  <c r="AUA10" i="20"/>
  <c r="AUB10" i="20"/>
  <c r="AUC10" i="20"/>
  <c r="AUD10" i="20"/>
  <c r="AUE10" i="20"/>
  <c r="AUF10" i="20"/>
  <c r="AUG10" i="20"/>
  <c r="AUH10" i="20"/>
  <c r="AUI10" i="20"/>
  <c r="AUJ10" i="20"/>
  <c r="AUK10" i="20"/>
  <c r="AUW10" i="20"/>
  <c r="AUX10" i="20"/>
  <c r="AUY10" i="20"/>
  <c r="AUZ10" i="20"/>
  <c r="AVA10" i="20"/>
  <c r="AVB10" i="20"/>
  <c r="AVC10" i="20"/>
  <c r="AVD10" i="20"/>
  <c r="AVE10" i="20"/>
  <c r="AVF10" i="20"/>
  <c r="AVG10" i="20"/>
  <c r="AVS10" i="20"/>
  <c r="AVT10" i="20"/>
  <c r="AVU10" i="20"/>
  <c r="AVV10" i="20"/>
  <c r="AVW10" i="20"/>
  <c r="AVX10" i="20"/>
  <c r="AVY10" i="20"/>
  <c r="AVZ10" i="20"/>
  <c r="AWA10" i="20"/>
  <c r="AWB10" i="20"/>
  <c r="AWC10" i="20"/>
  <c r="AWO10" i="20"/>
  <c r="AWP10" i="20"/>
  <c r="AWQ10" i="20"/>
  <c r="AWR10" i="20"/>
  <c r="AWS10" i="20"/>
  <c r="AWT10" i="20"/>
  <c r="AWU10" i="20"/>
  <c r="AWV10" i="20"/>
  <c r="AWW10" i="20"/>
  <c r="AWX10" i="20"/>
  <c r="AWY10" i="20"/>
  <c r="AXK10" i="20"/>
  <c r="AXL10" i="20"/>
  <c r="AXM10" i="20"/>
  <c r="AXN10" i="20"/>
  <c r="AXO10" i="20"/>
  <c r="AXP10" i="20"/>
  <c r="AXQ10" i="20"/>
  <c r="AXR10" i="20"/>
  <c r="AXS10" i="20"/>
  <c r="AXT10" i="20"/>
  <c r="AXU10" i="20"/>
  <c r="AYG10" i="20"/>
  <c r="AYH10" i="20"/>
  <c r="AYI10" i="20"/>
  <c r="AYJ10" i="20"/>
  <c r="AYK10" i="20"/>
  <c r="AYL10" i="20"/>
  <c r="AYM10" i="20"/>
  <c r="AYN10" i="20"/>
  <c r="AYO10" i="20"/>
  <c r="AYP10" i="20"/>
  <c r="AYQ10" i="20"/>
  <c r="AZC10" i="20"/>
  <c r="AZD10" i="20"/>
  <c r="AZE10" i="20"/>
  <c r="AZF10" i="20"/>
  <c r="AZG10" i="20"/>
  <c r="AZH10" i="20"/>
  <c r="AZI10" i="20"/>
  <c r="AZJ10" i="20"/>
  <c r="AZK10" i="20"/>
  <c r="AZL10" i="20"/>
  <c r="AZM10" i="20"/>
  <c r="AZY10" i="20"/>
  <c r="AZZ10" i="20"/>
  <c r="BAA10" i="20"/>
  <c r="BAB10" i="20"/>
  <c r="BAC10" i="20"/>
  <c r="BAD10" i="20"/>
  <c r="BAE10" i="20"/>
  <c r="BAF10" i="20"/>
  <c r="BAG10" i="20"/>
  <c r="BAH10" i="20"/>
  <c r="BAI10" i="20"/>
  <c r="BAU10" i="20"/>
  <c r="BAV10" i="20"/>
  <c r="BAW10" i="20"/>
  <c r="BAX10" i="20"/>
  <c r="BAY10" i="20"/>
  <c r="BAZ10" i="20"/>
  <c r="BBA10" i="20"/>
  <c r="BBB10" i="20"/>
  <c r="BBC10" i="20"/>
  <c r="BBD10" i="20"/>
  <c r="BBE10" i="20"/>
  <c r="BBQ10" i="20"/>
  <c r="BBR10" i="20"/>
  <c r="BBS10" i="20"/>
  <c r="BBT10" i="20"/>
  <c r="BBU10" i="20"/>
  <c r="BBV10" i="20"/>
  <c r="BBW10" i="20"/>
  <c r="BBX10" i="20"/>
  <c r="BBY10" i="20"/>
  <c r="BBZ10" i="20"/>
  <c r="BCA10" i="20"/>
  <c r="BCM10" i="20"/>
  <c r="BCN10" i="20"/>
  <c r="BCO10" i="20"/>
  <c r="BCP10" i="20"/>
  <c r="BCQ10" i="20"/>
  <c r="BCR10" i="20"/>
  <c r="BCS10" i="20"/>
  <c r="BCT10" i="20"/>
  <c r="BCU10" i="20"/>
  <c r="BCV10" i="20"/>
  <c r="BCW10" i="20"/>
  <c r="BDI10" i="20"/>
  <c r="BDJ10" i="20"/>
  <c r="BDK10" i="20"/>
  <c r="BDL10" i="20"/>
  <c r="BDM10" i="20"/>
  <c r="BDN10" i="20"/>
  <c r="BDO10" i="20"/>
  <c r="BDP10" i="20"/>
  <c r="BDQ10" i="20"/>
  <c r="BDR10" i="20"/>
  <c r="BDS10" i="20"/>
  <c r="BEE10" i="20"/>
  <c r="BEF10" i="20"/>
  <c r="BEG10" i="20"/>
  <c r="BEH10" i="20"/>
  <c r="BEI10" i="20"/>
  <c r="BEJ10" i="20"/>
  <c r="BEK10" i="20"/>
  <c r="BEL10" i="20"/>
  <c r="BEM10" i="20"/>
  <c r="BEN10" i="20"/>
  <c r="BEO10" i="20"/>
  <c r="BFA10" i="20"/>
  <c r="BFB10" i="20"/>
  <c r="BFC10" i="20"/>
  <c r="BFD10" i="20"/>
  <c r="BFE10" i="20"/>
  <c r="BFF10" i="20"/>
  <c r="BFG10" i="20"/>
  <c r="BFH10" i="20"/>
  <c r="BFI10" i="20"/>
  <c r="BFJ10" i="20"/>
  <c r="BFK10" i="20"/>
  <c r="BFW10" i="20"/>
  <c r="BFX10" i="20"/>
  <c r="BFY10" i="20"/>
  <c r="BFZ10" i="20"/>
  <c r="BGA10" i="20"/>
  <c r="BGB10" i="20"/>
  <c r="BGC10" i="20"/>
  <c r="BGD10" i="20"/>
  <c r="BGE10" i="20"/>
  <c r="BGF10" i="20"/>
  <c r="BGG10" i="20"/>
  <c r="BGS10" i="20"/>
  <c r="BGT10" i="20"/>
  <c r="BGU10" i="20"/>
  <c r="BGV10" i="20"/>
  <c r="BGW10" i="20"/>
  <c r="BGX10" i="20"/>
  <c r="BGY10" i="20"/>
  <c r="BGZ10" i="20"/>
  <c r="BHA10" i="20"/>
  <c r="BHB10" i="20"/>
  <c r="BHC10" i="20"/>
  <c r="BHO10" i="20"/>
  <c r="BHP10" i="20"/>
  <c r="BHQ10" i="20"/>
  <c r="BHR10" i="20"/>
  <c r="BHS10" i="20"/>
  <c r="BHT10" i="20"/>
  <c r="BHU10" i="20"/>
  <c r="BHV10" i="20"/>
  <c r="BHW10" i="20"/>
  <c r="BHX10" i="20"/>
  <c r="BHY10" i="20"/>
  <c r="BIK10" i="20"/>
  <c r="BIL10" i="20"/>
  <c r="BIM10" i="20"/>
  <c r="BIN10" i="20"/>
  <c r="BIO10" i="20"/>
  <c r="BIP10" i="20"/>
  <c r="BIQ10" i="20"/>
  <c r="BIR10" i="20"/>
  <c r="BIS10" i="20"/>
  <c r="BIT10" i="20"/>
  <c r="BIU10" i="20"/>
  <c r="BJG10" i="20"/>
  <c r="BJH10" i="20"/>
  <c r="BJI10" i="20"/>
  <c r="BJJ10" i="20"/>
  <c r="BJK10" i="20"/>
  <c r="BJL10" i="20"/>
  <c r="BJM10" i="20"/>
  <c r="BJN10" i="20"/>
  <c r="BJO10" i="20"/>
  <c r="BJP10" i="20"/>
  <c r="BJQ10" i="20"/>
  <c r="BKC10" i="20"/>
  <c r="BKD10" i="20"/>
  <c r="BKE10" i="20"/>
  <c r="BKF10" i="20"/>
  <c r="BKG10" i="20"/>
  <c r="BKH10" i="20"/>
  <c r="BKI10" i="20"/>
  <c r="BKJ10" i="20"/>
  <c r="BKK10" i="20"/>
  <c r="BKL10" i="20"/>
  <c r="BKM10" i="20"/>
  <c r="BKY10" i="20"/>
  <c r="BKZ10" i="20"/>
  <c r="BLA10" i="20"/>
  <c r="BLB10" i="20"/>
  <c r="BLC10" i="20"/>
  <c r="BLD10" i="20"/>
  <c r="BLE10" i="20"/>
  <c r="BLF10" i="20"/>
  <c r="BLG10" i="20"/>
  <c r="BLH10" i="20"/>
  <c r="BLI10" i="20"/>
  <c r="BLU10" i="20"/>
  <c r="BLV10" i="20"/>
  <c r="BLW10" i="20"/>
  <c r="BLX10" i="20"/>
  <c r="BLY10" i="20"/>
  <c r="BLZ10" i="20"/>
  <c r="BMA10" i="20"/>
  <c r="BMB10" i="20"/>
  <c r="BMC10" i="20"/>
  <c r="BMD10" i="20"/>
  <c r="BME10" i="20"/>
  <c r="BMQ10" i="20"/>
  <c r="BMR10" i="20"/>
  <c r="BMS10" i="20"/>
  <c r="BMT10" i="20"/>
  <c r="BMU10" i="20"/>
  <c r="BMV10" i="20"/>
  <c r="BMW10" i="20"/>
  <c r="BMX10" i="20"/>
  <c r="BMY10" i="20"/>
  <c r="BMZ10" i="20"/>
  <c r="BNA10" i="20"/>
  <c r="BNM10" i="20"/>
  <c r="BNN10" i="20"/>
  <c r="BNO10" i="20"/>
  <c r="BNP10" i="20"/>
  <c r="BNQ10" i="20"/>
  <c r="BNR10" i="20"/>
  <c r="BNS10" i="20"/>
  <c r="BNT10" i="20"/>
  <c r="BNU10" i="20"/>
  <c r="BNV10" i="20"/>
  <c r="BNW10" i="20"/>
  <c r="BOI10" i="20"/>
  <c r="BOJ10" i="20"/>
  <c r="BOK10" i="20"/>
  <c r="BOL10" i="20"/>
  <c r="BOM10" i="20"/>
  <c r="BON10" i="20"/>
  <c r="BOO10" i="20"/>
  <c r="BOP10" i="20"/>
  <c r="BOQ10" i="20"/>
  <c r="BOR10" i="20"/>
  <c r="BOS10" i="20"/>
  <c r="BPE10" i="20"/>
  <c r="BPF10" i="20"/>
  <c r="BPG10" i="20"/>
  <c r="BPH10" i="20"/>
  <c r="BPI10" i="20"/>
  <c r="BPJ10" i="20"/>
  <c r="BPK10" i="20"/>
  <c r="BPL10" i="20"/>
  <c r="BPM10" i="20"/>
  <c r="BPN10" i="20"/>
  <c r="BPO10" i="20"/>
  <c r="BQA10" i="20"/>
  <c r="BQB10" i="20"/>
  <c r="BQC10" i="20"/>
  <c r="BQD10" i="20"/>
  <c r="BQE10" i="20"/>
  <c r="BQF10" i="20"/>
  <c r="BQG10" i="20"/>
  <c r="BQH10" i="20"/>
  <c r="BQI10" i="20"/>
  <c r="BQJ10" i="20"/>
  <c r="BQK10" i="20"/>
  <c r="BQW10" i="20"/>
  <c r="BQX10" i="20"/>
  <c r="BQY10" i="20"/>
  <c r="BQZ10" i="20"/>
  <c r="BRA10" i="20"/>
  <c r="BRB10" i="20"/>
  <c r="BRC10" i="20"/>
  <c r="BRD10" i="20"/>
  <c r="BRE10" i="20"/>
  <c r="BRF10" i="20"/>
  <c r="BRG10" i="20"/>
  <c r="BRS10" i="20"/>
  <c r="BRT10" i="20"/>
  <c r="BRU10" i="20"/>
  <c r="BRV10" i="20"/>
  <c r="BRW10" i="20"/>
  <c r="BRX10" i="20"/>
  <c r="BRY10" i="20"/>
  <c r="BRZ10" i="20"/>
  <c r="BSA10" i="20"/>
  <c r="BSB10" i="20"/>
  <c r="BSC10" i="20"/>
  <c r="BSO10" i="20"/>
  <c r="BSP10" i="20"/>
  <c r="BSQ10" i="20"/>
  <c r="BSR10" i="20"/>
  <c r="BSS10" i="20"/>
  <c r="BST10" i="20"/>
  <c r="BSU10" i="20"/>
  <c r="BSV10" i="20"/>
  <c r="BSW10" i="20"/>
  <c r="BSX10" i="20"/>
  <c r="BSY10" i="20"/>
  <c r="BTK10" i="20"/>
  <c r="BTL10" i="20"/>
  <c r="BTM10" i="20"/>
  <c r="BTN10" i="20"/>
  <c r="BTO10" i="20"/>
  <c r="BTP10" i="20"/>
  <c r="BTQ10" i="20"/>
  <c r="BTR10" i="20"/>
  <c r="BTS10" i="20"/>
  <c r="BTT10" i="20"/>
  <c r="BTU10" i="20"/>
  <c r="BUG10" i="20"/>
  <c r="BUH10" i="20"/>
  <c r="BUI10" i="20"/>
  <c r="BUJ10" i="20"/>
  <c r="BUK10" i="20"/>
  <c r="BUL10" i="20"/>
  <c r="BUM10" i="20"/>
  <c r="BUN10" i="20"/>
  <c r="BUO10" i="20"/>
  <c r="BUP10" i="20"/>
  <c r="BUQ10" i="20"/>
  <c r="BVC10" i="20"/>
  <c r="BVD10" i="20"/>
  <c r="BVE10" i="20"/>
  <c r="BVF10" i="20"/>
  <c r="BVG10" i="20"/>
  <c r="BVH10" i="20"/>
  <c r="BVI10" i="20"/>
  <c r="BVJ10" i="20"/>
  <c r="BVK10" i="20"/>
  <c r="BVL10" i="20"/>
  <c r="BVM10" i="20"/>
  <c r="BVY10" i="20"/>
  <c r="BVZ10" i="20"/>
  <c r="BWA10" i="20"/>
  <c r="BWB10" i="20"/>
  <c r="BWC10" i="20"/>
  <c r="BWD10" i="20"/>
  <c r="BWE10" i="20"/>
  <c r="BWF10" i="20"/>
  <c r="BWG10" i="20"/>
  <c r="BWH10" i="20"/>
  <c r="BWI10" i="20"/>
  <c r="BWU10" i="20"/>
  <c r="BWV10" i="20"/>
  <c r="BWW10" i="20"/>
  <c r="BWX10" i="20"/>
  <c r="BWY10" i="20"/>
  <c r="BWZ10" i="20"/>
  <c r="BXA10" i="20"/>
  <c r="BXB10" i="20"/>
  <c r="BXC10" i="20"/>
  <c r="BXD10" i="20"/>
  <c r="BXE10" i="20"/>
  <c r="BXQ10" i="20"/>
  <c r="BXR10" i="20"/>
  <c r="BXS10" i="20"/>
  <c r="BXT10" i="20"/>
  <c r="BXU10" i="20"/>
  <c r="BXV10" i="20"/>
  <c r="BXW10" i="20"/>
  <c r="BXX10" i="20"/>
  <c r="BXY10" i="20"/>
  <c r="BXZ10" i="20"/>
  <c r="BYA10" i="20"/>
  <c r="BYM10" i="20"/>
  <c r="BYN10" i="20"/>
  <c r="BYO10" i="20"/>
  <c r="BYP10" i="20"/>
  <c r="BYQ10" i="20"/>
  <c r="BYR10" i="20"/>
  <c r="BYS10" i="20"/>
  <c r="BYT10" i="20"/>
  <c r="BYU10" i="20"/>
  <c r="BYV10" i="20"/>
  <c r="BYW10" i="20"/>
  <c r="BZI10" i="20"/>
  <c r="BZJ10" i="20"/>
  <c r="BZK10" i="20"/>
  <c r="BZL10" i="20"/>
  <c r="BZM10" i="20"/>
  <c r="BZN10" i="20"/>
  <c r="BZO10" i="20"/>
  <c r="BZP10" i="20"/>
  <c r="BZQ10" i="20"/>
  <c r="BZR10" i="20"/>
  <c r="BZS10" i="20"/>
  <c r="CAE10" i="20"/>
  <c r="CAF10" i="20"/>
  <c r="CAG10" i="20"/>
  <c r="CAH10" i="20"/>
  <c r="CAI10" i="20"/>
  <c r="CAJ10" i="20"/>
  <c r="CAK10" i="20"/>
  <c r="CAL10" i="20"/>
  <c r="CAM10" i="20"/>
  <c r="CAN10" i="20"/>
  <c r="CAO10" i="20"/>
  <c r="CBA10" i="20"/>
  <c r="CBB10" i="20"/>
  <c r="CBC10" i="20"/>
  <c r="CBD10" i="20"/>
  <c r="CBE10" i="20"/>
  <c r="CBF10" i="20"/>
  <c r="CBG10" i="20"/>
  <c r="CBH10" i="20"/>
  <c r="CBI10" i="20"/>
  <c r="CBJ10" i="20"/>
  <c r="CBK10" i="20"/>
  <c r="CBW10" i="20"/>
  <c r="CBX10" i="20"/>
  <c r="CBY10" i="20"/>
  <c r="CBZ10" i="20"/>
  <c r="CCA10" i="20"/>
  <c r="CCB10" i="20"/>
  <c r="CCC10" i="20"/>
  <c r="CCD10" i="20"/>
  <c r="CCE10" i="20"/>
  <c r="CCF10" i="20"/>
  <c r="CCG10" i="20"/>
  <c r="CCS10" i="20"/>
  <c r="CCT10" i="20"/>
  <c r="CCU10" i="20"/>
  <c r="CCV10" i="20"/>
  <c r="CCW10" i="20"/>
  <c r="CCX10" i="20"/>
  <c r="CCY10" i="20"/>
  <c r="CCZ10" i="20"/>
  <c r="CDA10" i="20"/>
  <c r="CDB10" i="20"/>
  <c r="CDC10" i="20"/>
  <c r="CDO10" i="20"/>
  <c r="CDP10" i="20"/>
  <c r="CDQ10" i="20"/>
  <c r="CDR10" i="20"/>
  <c r="CDS10" i="20"/>
  <c r="CDT10" i="20"/>
  <c r="CDU10" i="20"/>
  <c r="CDV10" i="20"/>
  <c r="CDW10" i="20"/>
  <c r="CDX10" i="20"/>
  <c r="CDY10" i="20"/>
  <c r="CEK10" i="20"/>
  <c r="CEL10" i="20"/>
  <c r="CEM10" i="20"/>
  <c r="CEN10" i="20"/>
  <c r="CEO10" i="20"/>
  <c r="CEP10" i="20"/>
  <c r="CEQ10" i="20"/>
  <c r="CER10" i="20"/>
  <c r="CES10" i="20"/>
  <c r="CET10" i="20"/>
  <c r="CEU10" i="20"/>
  <c r="CFG10" i="20"/>
  <c r="CFH10" i="20"/>
  <c r="CFI10" i="20"/>
  <c r="CFJ10" i="20"/>
  <c r="CFK10" i="20"/>
  <c r="CFL10" i="20"/>
  <c r="CFM10" i="20"/>
  <c r="CFN10" i="20"/>
  <c r="CFO10" i="20"/>
  <c r="CFP10" i="20"/>
  <c r="CFQ10" i="20"/>
  <c r="CGC10" i="20"/>
  <c r="CGD10" i="20"/>
  <c r="CGE10" i="20"/>
  <c r="CGF10" i="20"/>
  <c r="CGG10" i="20"/>
  <c r="CGH10" i="20"/>
  <c r="CGI10" i="20"/>
  <c r="CGJ10" i="20"/>
  <c r="CGK10" i="20"/>
  <c r="CGL10" i="20"/>
  <c r="CGM10" i="20"/>
  <c r="CGY10" i="20"/>
  <c r="CGZ10" i="20"/>
  <c r="CHA10" i="20"/>
  <c r="CHB10" i="20"/>
  <c r="CHC10" i="20"/>
  <c r="CHD10" i="20"/>
  <c r="CHE10" i="20"/>
  <c r="CHF10" i="20"/>
  <c r="CHG10" i="20"/>
  <c r="CHH10" i="20"/>
  <c r="CHI10" i="20"/>
  <c r="CHU10" i="20"/>
  <c r="CHV10" i="20"/>
  <c r="CHW10" i="20"/>
  <c r="CHX10" i="20"/>
  <c r="CHY10" i="20"/>
  <c r="CHZ10" i="20"/>
  <c r="CIA10" i="20"/>
  <c r="CIB10" i="20"/>
  <c r="CIC10" i="20"/>
  <c r="CID10" i="20"/>
  <c r="CIE10" i="20"/>
  <c r="CIQ10" i="20"/>
  <c r="CIR10" i="20"/>
  <c r="CIS10" i="20"/>
  <c r="CIT10" i="20"/>
  <c r="CIU10" i="20"/>
  <c r="CIV10" i="20"/>
  <c r="CIW10" i="20"/>
  <c r="CIX10" i="20"/>
  <c r="CIY10" i="20"/>
  <c r="CIZ10" i="20"/>
  <c r="CJA10" i="20"/>
  <c r="CJM10" i="20"/>
  <c r="CJN10" i="20"/>
  <c r="CJO10" i="20"/>
  <c r="CJP10" i="20"/>
  <c r="CJQ10" i="20"/>
  <c r="CJR10" i="20"/>
  <c r="CJS10" i="20"/>
  <c r="CJT10" i="20"/>
  <c r="CJU10" i="20"/>
  <c r="CJV10" i="20"/>
  <c r="CJW10" i="20"/>
  <c r="CKI10" i="20"/>
  <c r="CKJ10" i="20"/>
  <c r="CKK10" i="20"/>
  <c r="CKL10" i="20"/>
  <c r="CKM10" i="20"/>
  <c r="CKN10" i="20"/>
  <c r="CKO10" i="20"/>
  <c r="CKP10" i="20"/>
  <c r="CKQ10" i="20"/>
  <c r="CKR10" i="20"/>
  <c r="CKS10" i="20"/>
  <c r="CLE10" i="20"/>
  <c r="CLF10" i="20"/>
  <c r="CLG10" i="20"/>
  <c r="CLH10" i="20"/>
  <c r="CLI10" i="20"/>
  <c r="CLJ10" i="20"/>
  <c r="CLK10" i="20"/>
  <c r="CLL10" i="20"/>
  <c r="CLM10" i="20"/>
  <c r="CLN10" i="20"/>
  <c r="CLO10" i="20"/>
  <c r="CMA10" i="20"/>
  <c r="CMB10" i="20"/>
  <c r="CMC10" i="20"/>
  <c r="CMD10" i="20"/>
  <c r="CME10" i="20"/>
  <c r="CMF10" i="20"/>
  <c r="CMG10" i="20"/>
  <c r="CMH10" i="20"/>
  <c r="CMI10" i="20"/>
  <c r="CMJ10" i="20"/>
  <c r="CMK10" i="20"/>
  <c r="CMW10" i="20"/>
  <c r="CMX10" i="20"/>
  <c r="CMY10" i="20"/>
  <c r="CMZ10" i="20"/>
  <c r="CNA10" i="20"/>
  <c r="CNB10" i="20"/>
  <c r="CNC10" i="20"/>
  <c r="CND10" i="20"/>
  <c r="CNE10" i="20"/>
  <c r="CNF10" i="20"/>
  <c r="CNG10" i="20"/>
  <c r="CNS10" i="20"/>
  <c r="CNT10" i="20"/>
  <c r="CNU10" i="20"/>
  <c r="CNV10" i="20"/>
  <c r="CNW10" i="20"/>
  <c r="CNX10" i="20"/>
  <c r="CNY10" i="20"/>
  <c r="CNZ10" i="20"/>
  <c r="COA10" i="20"/>
  <c r="COB10" i="20"/>
  <c r="COC10" i="20"/>
  <c r="COO10" i="20"/>
  <c r="COP10" i="20"/>
  <c r="COQ10" i="20"/>
  <c r="COR10" i="20"/>
  <c r="COS10" i="20"/>
  <c r="COT10" i="20"/>
  <c r="COU10" i="20"/>
  <c r="COV10" i="20"/>
  <c r="COW10" i="20"/>
  <c r="COX10" i="20"/>
  <c r="COY10" i="20"/>
  <c r="CPK10" i="20"/>
  <c r="CPL10" i="20"/>
  <c r="CPM10" i="20"/>
  <c r="CPN10" i="20"/>
  <c r="CPO10" i="20"/>
  <c r="CPP10" i="20"/>
  <c r="CPQ10" i="20"/>
  <c r="CPR10" i="20"/>
  <c r="CPS10" i="20"/>
  <c r="CPT10" i="20"/>
  <c r="CPU10" i="20"/>
  <c r="CQG10" i="20"/>
  <c r="CQH10" i="20"/>
  <c r="CQI10" i="20"/>
  <c r="CQJ10" i="20"/>
  <c r="CQK10" i="20"/>
  <c r="CQL10" i="20"/>
  <c r="CQM10" i="20"/>
  <c r="CQN10" i="20"/>
  <c r="CQO10" i="20"/>
  <c r="CQP10" i="20"/>
  <c r="CQQ10" i="20"/>
  <c r="CRC10" i="20"/>
  <c r="CRD10" i="20"/>
  <c r="CRE10" i="20"/>
  <c r="CRF10" i="20"/>
  <c r="CRG10" i="20"/>
  <c r="CRH10" i="20"/>
  <c r="CRI10" i="20"/>
  <c r="CRJ10" i="20"/>
  <c r="CRK10" i="20"/>
  <c r="CRL10" i="20"/>
  <c r="CRM10" i="20"/>
  <c r="CRY10" i="20"/>
  <c r="CRZ10" i="20"/>
  <c r="CSA10" i="20"/>
  <c r="CSB10" i="20"/>
  <c r="CSC10" i="20"/>
  <c r="CSD10" i="20"/>
  <c r="CSE10" i="20"/>
  <c r="CSF10" i="20"/>
  <c r="CSG10" i="20"/>
  <c r="CSH10" i="20"/>
  <c r="CSI10" i="20"/>
  <c r="CSU10" i="20"/>
  <c r="CSV10" i="20"/>
  <c r="CSW10" i="20"/>
  <c r="CSX10" i="20"/>
  <c r="CSY10" i="20"/>
  <c r="CSZ10" i="20"/>
  <c r="CTA10" i="20"/>
  <c r="CTB10" i="20"/>
  <c r="CTC10" i="20"/>
  <c r="CTD10" i="20"/>
  <c r="CTE10" i="20"/>
  <c r="CTQ10" i="20"/>
  <c r="CTR10" i="20"/>
  <c r="CTS10" i="20"/>
  <c r="CTT10" i="20"/>
  <c r="CTU10" i="20"/>
  <c r="CTV10" i="20"/>
  <c r="CTW10" i="20"/>
  <c r="CTX10" i="20"/>
  <c r="CTY10" i="20"/>
  <c r="CTZ10" i="20"/>
  <c r="CUA10" i="20"/>
  <c r="CUM10" i="20"/>
  <c r="CUN10" i="20"/>
  <c r="CUO10" i="20"/>
  <c r="CUP10" i="20"/>
  <c r="CUQ10" i="20"/>
  <c r="CUR10" i="20"/>
  <c r="CUS10" i="20"/>
  <c r="CUT10" i="20"/>
  <c r="CUU10" i="20"/>
  <c r="CUV10" i="20"/>
  <c r="CUW10" i="20"/>
  <c r="CVI10" i="20"/>
  <c r="CVJ10" i="20"/>
  <c r="CVK10" i="20"/>
  <c r="CVL10" i="20"/>
  <c r="CVM10" i="20"/>
  <c r="CVN10" i="20"/>
  <c r="CVO10" i="20"/>
  <c r="CVP10" i="20"/>
  <c r="CVQ10" i="20"/>
  <c r="CVR10" i="20"/>
  <c r="CVS10" i="20"/>
  <c r="CWE10" i="20"/>
  <c r="CWF10" i="20"/>
  <c r="CWG10" i="20"/>
  <c r="CWH10" i="20"/>
  <c r="CWI10" i="20"/>
  <c r="CWJ10" i="20"/>
  <c r="CWK10" i="20"/>
  <c r="CWL10" i="20"/>
  <c r="CWM10" i="20"/>
  <c r="CWN10" i="20"/>
  <c r="CWO10" i="20"/>
  <c r="CXA10" i="20"/>
  <c r="CXB10" i="20"/>
  <c r="CXC10" i="20"/>
  <c r="CXD10" i="20"/>
  <c r="CXE10" i="20"/>
  <c r="CXF10" i="20"/>
  <c r="CXG10" i="20"/>
  <c r="CXH10" i="20"/>
  <c r="CXI10" i="20"/>
  <c r="CXJ10" i="20"/>
  <c r="CXK10" i="20"/>
  <c r="CXW10" i="20"/>
  <c r="CXX10" i="20"/>
  <c r="CXY10" i="20"/>
  <c r="CXZ10" i="20"/>
  <c r="CYA10" i="20"/>
  <c r="CYB10" i="20"/>
  <c r="CYC10" i="20"/>
  <c r="CYD10" i="20"/>
  <c r="CYE10" i="20"/>
  <c r="CYF10" i="20"/>
  <c r="CYG10" i="20"/>
  <c r="CYS10" i="20"/>
  <c r="CYT10" i="20"/>
  <c r="CYU10" i="20"/>
  <c r="CYV10" i="20"/>
  <c r="CYW10" i="20"/>
  <c r="CYX10" i="20"/>
  <c r="CYY10" i="20"/>
  <c r="CYZ10" i="20"/>
  <c r="CZA10" i="20"/>
  <c r="CZB10" i="20"/>
  <c r="CZC10" i="20"/>
  <c r="CZO10" i="20"/>
  <c r="CZP10" i="20"/>
  <c r="CZQ10" i="20"/>
  <c r="CZR10" i="20"/>
  <c r="CZS10" i="20"/>
  <c r="CZT10" i="20"/>
  <c r="CZU10" i="20"/>
  <c r="CZV10" i="20"/>
  <c r="CZW10" i="20"/>
  <c r="CZX10" i="20"/>
  <c r="CZY10" i="20"/>
  <c r="DAK10" i="20"/>
  <c r="DAL10" i="20"/>
  <c r="DAM10" i="20"/>
  <c r="DAN10" i="20"/>
  <c r="DAO10" i="20"/>
  <c r="DAP10" i="20"/>
  <c r="DAQ10" i="20"/>
  <c r="DAR10" i="20"/>
  <c r="DAS10" i="20"/>
  <c r="DAT10" i="20"/>
  <c r="DAU10" i="20"/>
  <c r="DBG10" i="20"/>
  <c r="DBH10" i="20"/>
  <c r="DBI10" i="20"/>
  <c r="DBJ10" i="20"/>
  <c r="DBK10" i="20"/>
  <c r="DBL10" i="20"/>
  <c r="DBM10" i="20"/>
  <c r="DBN10" i="20"/>
  <c r="DBO10" i="20"/>
  <c r="DBP10" i="20"/>
  <c r="DBQ10" i="20"/>
  <c r="DCC10" i="20"/>
  <c r="DCD10" i="20"/>
  <c r="DCE10" i="20"/>
  <c r="DCF10" i="20"/>
  <c r="DCG10" i="20"/>
  <c r="DCH10" i="20"/>
  <c r="DCI10" i="20"/>
  <c r="DCJ10" i="20"/>
  <c r="DCK10" i="20"/>
  <c r="DCL10" i="20"/>
  <c r="DCM10" i="20"/>
  <c r="DCY10" i="20"/>
  <c r="DCZ10" i="20"/>
  <c r="DDA10" i="20"/>
  <c r="DDB10" i="20"/>
  <c r="DDC10" i="20"/>
  <c r="DDD10" i="20"/>
  <c r="DDE10" i="20"/>
  <c r="DDF10" i="20"/>
  <c r="DDG10" i="20"/>
  <c r="DDH10" i="20"/>
  <c r="DDI10" i="20"/>
  <c r="AAO11" i="20"/>
  <c r="AAP11" i="20"/>
  <c r="AAQ11" i="20"/>
  <c r="AAR11" i="20"/>
  <c r="AAS11" i="20"/>
  <c r="AAT11" i="20"/>
  <c r="AAU11" i="20"/>
  <c r="AAV11" i="20"/>
  <c r="AAW11" i="20"/>
  <c r="AAX11" i="20"/>
  <c r="AAY11" i="20"/>
  <c r="ABK11" i="20"/>
  <c r="ABL11" i="20"/>
  <c r="ABM11" i="20"/>
  <c r="ABN11" i="20"/>
  <c r="ABO11" i="20"/>
  <c r="ABP11" i="20"/>
  <c r="ABQ11" i="20"/>
  <c r="ABR11" i="20"/>
  <c r="ABS11" i="20"/>
  <c r="ABT11" i="20"/>
  <c r="ABU11" i="20"/>
  <c r="ACG11" i="20"/>
  <c r="ACH11" i="20"/>
  <c r="ACI11" i="20"/>
  <c r="ACJ11" i="20"/>
  <c r="ACK11" i="20"/>
  <c r="ACL11" i="20"/>
  <c r="ACM11" i="20"/>
  <c r="ACN11" i="20"/>
  <c r="ACO11" i="20"/>
  <c r="ACP11" i="20"/>
  <c r="ACQ11" i="20"/>
  <c r="ADC11" i="20"/>
  <c r="ADD11" i="20"/>
  <c r="ADE11" i="20"/>
  <c r="ADF11" i="20"/>
  <c r="ADG11" i="20"/>
  <c r="ADH11" i="20"/>
  <c r="ADI11" i="20"/>
  <c r="ADJ11" i="20"/>
  <c r="ADK11" i="20"/>
  <c r="ADL11" i="20"/>
  <c r="ADM11" i="20"/>
  <c r="ADY11" i="20"/>
  <c r="ADZ11" i="20"/>
  <c r="AEA11" i="20"/>
  <c r="AEB11" i="20"/>
  <c r="AEC11" i="20"/>
  <c r="AED11" i="20"/>
  <c r="AEE11" i="20"/>
  <c r="AEF11" i="20"/>
  <c r="AEG11" i="20"/>
  <c r="AEH11" i="20"/>
  <c r="AEI11" i="20"/>
  <c r="AEU11" i="20"/>
  <c r="AEV11" i="20"/>
  <c r="AEW11" i="20"/>
  <c r="AEX11" i="20"/>
  <c r="AEY11" i="20"/>
  <c r="AEZ11" i="20"/>
  <c r="AFA11" i="20"/>
  <c r="AFB11" i="20"/>
  <c r="AFC11" i="20"/>
  <c r="AFD11" i="20"/>
  <c r="AFE11" i="20"/>
  <c r="AFQ11" i="20"/>
  <c r="AFR11" i="20"/>
  <c r="AFS11" i="20"/>
  <c r="AFT11" i="20"/>
  <c r="AFU11" i="20"/>
  <c r="AFV11" i="20"/>
  <c r="AFW11" i="20"/>
  <c r="AFX11" i="20"/>
  <c r="AFY11" i="20"/>
  <c r="AFZ11" i="20"/>
  <c r="AGA11" i="20"/>
  <c r="AGM11" i="20"/>
  <c r="AGN11" i="20"/>
  <c r="AGO11" i="20"/>
  <c r="AGP11" i="20"/>
  <c r="AGQ11" i="20"/>
  <c r="AGR11" i="20"/>
  <c r="AGS11" i="20"/>
  <c r="AGT11" i="20"/>
  <c r="AGU11" i="20"/>
  <c r="AGV11" i="20"/>
  <c r="AGW11" i="20"/>
  <c r="AHI11" i="20"/>
  <c r="AHJ11" i="20"/>
  <c r="AHK11" i="20"/>
  <c r="AHL11" i="20"/>
  <c r="AHM11" i="20"/>
  <c r="AHN11" i="20"/>
  <c r="AHO11" i="20"/>
  <c r="AHP11" i="20"/>
  <c r="AHQ11" i="20"/>
  <c r="AHR11" i="20"/>
  <c r="AHS11" i="20"/>
  <c r="AIE11" i="20"/>
  <c r="AIF11" i="20"/>
  <c r="AIG11" i="20"/>
  <c r="AIH11" i="20"/>
  <c r="AII11" i="20"/>
  <c r="AIJ11" i="20"/>
  <c r="AIK11" i="20"/>
  <c r="AIL11" i="20"/>
  <c r="AIM11" i="20"/>
  <c r="AIN11" i="20"/>
  <c r="AIO11" i="20"/>
  <c r="AJA11" i="20"/>
  <c r="AJB11" i="20"/>
  <c r="AJC11" i="20"/>
  <c r="AJD11" i="20"/>
  <c r="AJE11" i="20"/>
  <c r="AJF11" i="20"/>
  <c r="AJG11" i="20"/>
  <c r="AJH11" i="20"/>
  <c r="AJI11" i="20"/>
  <c r="AJJ11" i="20"/>
  <c r="AJK11" i="20"/>
  <c r="AJW11" i="20"/>
  <c r="AJX11" i="20"/>
  <c r="AJY11" i="20"/>
  <c r="AJZ11" i="20"/>
  <c r="AKA11" i="20"/>
  <c r="AKB11" i="20"/>
  <c r="AKC11" i="20"/>
  <c r="AKD11" i="20"/>
  <c r="AKE11" i="20"/>
  <c r="AKF11" i="20"/>
  <c r="AKG11" i="20"/>
  <c r="AKS11" i="20"/>
  <c r="AKT11" i="20"/>
  <c r="AKU11" i="20"/>
  <c r="AKV11" i="20"/>
  <c r="AKW11" i="20"/>
  <c r="AKX11" i="20"/>
  <c r="AKY11" i="20"/>
  <c r="AKZ11" i="20"/>
  <c r="ALA11" i="20"/>
  <c r="ALB11" i="20"/>
  <c r="ALC11" i="20"/>
  <c r="ALO11" i="20"/>
  <c r="ALP11" i="20"/>
  <c r="ALQ11" i="20"/>
  <c r="ALR11" i="20"/>
  <c r="ALS11" i="20"/>
  <c r="ALT11" i="20"/>
  <c r="ALU11" i="20"/>
  <c r="ALV11" i="20"/>
  <c r="ALW11" i="20"/>
  <c r="ALX11" i="20"/>
  <c r="ALY11" i="20"/>
  <c r="AMK11" i="20"/>
  <c r="AML11" i="20"/>
  <c r="AMM11" i="20"/>
  <c r="AMN11" i="20"/>
  <c r="AMO11" i="20"/>
  <c r="AMP11" i="20"/>
  <c r="AMQ11" i="20"/>
  <c r="AMR11" i="20"/>
  <c r="AMS11" i="20"/>
  <c r="AMT11" i="20"/>
  <c r="AMU11" i="20"/>
  <c r="ANG11" i="20"/>
  <c r="ANH11" i="20"/>
  <c r="ANI11" i="20"/>
  <c r="ANJ11" i="20"/>
  <c r="ANK11" i="20"/>
  <c r="ANL11" i="20"/>
  <c r="ANM11" i="20"/>
  <c r="ANN11" i="20"/>
  <c r="ANO11" i="20"/>
  <c r="ANP11" i="20"/>
  <c r="ANQ11" i="20"/>
  <c r="AOC11" i="20"/>
  <c r="AOD11" i="20"/>
  <c r="AOE11" i="20"/>
  <c r="AOF11" i="20"/>
  <c r="AOG11" i="20"/>
  <c r="AOH11" i="20"/>
  <c r="AOI11" i="20"/>
  <c r="AOJ11" i="20"/>
  <c r="AOK11" i="20"/>
  <c r="AOL11" i="20"/>
  <c r="AOM11" i="20"/>
  <c r="AOY11" i="20"/>
  <c r="AOZ11" i="20"/>
  <c r="APA11" i="20"/>
  <c r="APB11" i="20"/>
  <c r="APC11" i="20"/>
  <c r="APD11" i="20"/>
  <c r="APE11" i="20"/>
  <c r="APF11" i="20"/>
  <c r="APG11" i="20"/>
  <c r="APH11" i="20"/>
  <c r="API11" i="20"/>
  <c r="APU11" i="20"/>
  <c r="APV11" i="20"/>
  <c r="APW11" i="20"/>
  <c r="APX11" i="20"/>
  <c r="APY11" i="20"/>
  <c r="APZ11" i="20"/>
  <c r="AQA11" i="20"/>
  <c r="AQB11" i="20"/>
  <c r="AQC11" i="20"/>
  <c r="AQD11" i="20"/>
  <c r="AQE11" i="20"/>
  <c r="AQQ11" i="20"/>
  <c r="AQR11" i="20"/>
  <c r="AQS11" i="20"/>
  <c r="AQT11" i="20"/>
  <c r="AQU11" i="20"/>
  <c r="AQV11" i="20"/>
  <c r="AQW11" i="20"/>
  <c r="AQX11" i="20"/>
  <c r="AQY11" i="20"/>
  <c r="AQZ11" i="20"/>
  <c r="ARA11" i="20"/>
  <c r="ARM11" i="20"/>
  <c r="ARN11" i="20"/>
  <c r="ARO11" i="20"/>
  <c r="ARP11" i="20"/>
  <c r="ARQ11" i="20"/>
  <c r="ARR11" i="20"/>
  <c r="ARS11" i="20"/>
  <c r="ART11" i="20"/>
  <c r="ARU11" i="20"/>
  <c r="ARV11" i="20"/>
  <c r="ARW11" i="20"/>
  <c r="ASI11" i="20"/>
  <c r="ASJ11" i="20"/>
  <c r="ASK11" i="20"/>
  <c r="ASL11" i="20"/>
  <c r="ASM11" i="20"/>
  <c r="ASN11" i="20"/>
  <c r="ASO11" i="20"/>
  <c r="ASP11" i="20"/>
  <c r="ASQ11" i="20"/>
  <c r="ASR11" i="20"/>
  <c r="ASS11" i="20"/>
  <c r="ATE11" i="20"/>
  <c r="ATF11" i="20"/>
  <c r="ATG11" i="20"/>
  <c r="ATH11" i="20"/>
  <c r="ATI11" i="20"/>
  <c r="ATJ11" i="20"/>
  <c r="ATK11" i="20"/>
  <c r="ATL11" i="20"/>
  <c r="ATM11" i="20"/>
  <c r="ATN11" i="20"/>
  <c r="ATO11" i="20"/>
  <c r="AUA11" i="20"/>
  <c r="AUB11" i="20"/>
  <c r="AUC11" i="20"/>
  <c r="AUD11" i="20"/>
  <c r="AUE11" i="20"/>
  <c r="AUF11" i="20"/>
  <c r="AUG11" i="20"/>
  <c r="AUH11" i="20"/>
  <c r="AUI11" i="20"/>
  <c r="AUJ11" i="20"/>
  <c r="AUK11" i="20"/>
  <c r="AUW11" i="20"/>
  <c r="AUX11" i="20"/>
  <c r="AUY11" i="20"/>
  <c r="AUZ11" i="20"/>
  <c r="AVA11" i="20"/>
  <c r="AVB11" i="20"/>
  <c r="AVC11" i="20"/>
  <c r="AVD11" i="20"/>
  <c r="AVE11" i="20"/>
  <c r="AVF11" i="20"/>
  <c r="AVG11" i="20"/>
  <c r="AVS11" i="20"/>
  <c r="AVT11" i="20"/>
  <c r="AVU11" i="20"/>
  <c r="AVV11" i="20"/>
  <c r="AVW11" i="20"/>
  <c r="AVX11" i="20"/>
  <c r="AVY11" i="20"/>
  <c r="AVZ11" i="20"/>
  <c r="AWA11" i="20"/>
  <c r="AWB11" i="20"/>
  <c r="AWC11" i="20"/>
  <c r="AWO11" i="20"/>
  <c r="AWP11" i="20"/>
  <c r="AWQ11" i="20"/>
  <c r="AWR11" i="20"/>
  <c r="AWS11" i="20"/>
  <c r="AWT11" i="20"/>
  <c r="AWU11" i="20"/>
  <c r="AWV11" i="20"/>
  <c r="AWW11" i="20"/>
  <c r="AWX11" i="20"/>
  <c r="AWY11" i="20"/>
  <c r="AXK11" i="20"/>
  <c r="AXL11" i="20"/>
  <c r="AXM11" i="20"/>
  <c r="AXN11" i="20"/>
  <c r="AXO11" i="20"/>
  <c r="AXP11" i="20"/>
  <c r="AXQ11" i="20"/>
  <c r="AXR11" i="20"/>
  <c r="AXS11" i="20"/>
  <c r="AXT11" i="20"/>
  <c r="AXU11" i="20"/>
  <c r="AYG11" i="20"/>
  <c r="AYH11" i="20"/>
  <c r="AYI11" i="20"/>
  <c r="AYJ11" i="20"/>
  <c r="AYK11" i="20"/>
  <c r="AYL11" i="20"/>
  <c r="AYM11" i="20"/>
  <c r="AYN11" i="20"/>
  <c r="AYO11" i="20"/>
  <c r="AYP11" i="20"/>
  <c r="AYQ11" i="20"/>
  <c r="AZC11" i="20"/>
  <c r="AZD11" i="20"/>
  <c r="AZE11" i="20"/>
  <c r="AZF11" i="20"/>
  <c r="AZG11" i="20"/>
  <c r="AZH11" i="20"/>
  <c r="AZI11" i="20"/>
  <c r="AZJ11" i="20"/>
  <c r="AZK11" i="20"/>
  <c r="AZL11" i="20"/>
  <c r="AZM11" i="20"/>
  <c r="AZY11" i="20"/>
  <c r="AZZ11" i="20"/>
  <c r="BAA11" i="20"/>
  <c r="BAB11" i="20"/>
  <c r="BAC11" i="20"/>
  <c r="BAD11" i="20"/>
  <c r="BAE11" i="20"/>
  <c r="BAF11" i="20"/>
  <c r="BAG11" i="20"/>
  <c r="BAH11" i="20"/>
  <c r="BAI11" i="20"/>
  <c r="BAU11" i="20"/>
  <c r="BAV11" i="20"/>
  <c r="BAW11" i="20"/>
  <c r="BAX11" i="20"/>
  <c r="BAY11" i="20"/>
  <c r="BAZ11" i="20"/>
  <c r="BBA11" i="20"/>
  <c r="BBB11" i="20"/>
  <c r="BBC11" i="20"/>
  <c r="BBD11" i="20"/>
  <c r="BBE11" i="20"/>
  <c r="BBQ11" i="20"/>
  <c r="BBR11" i="20"/>
  <c r="BBS11" i="20"/>
  <c r="BBT11" i="20"/>
  <c r="BBU11" i="20"/>
  <c r="BBV11" i="20"/>
  <c r="BBW11" i="20"/>
  <c r="BBX11" i="20"/>
  <c r="BBY11" i="20"/>
  <c r="BBZ11" i="20"/>
  <c r="BCA11" i="20"/>
  <c r="BCM11" i="20"/>
  <c r="BCN11" i="20"/>
  <c r="BCO11" i="20"/>
  <c r="BCP11" i="20"/>
  <c r="BCQ11" i="20"/>
  <c r="BCR11" i="20"/>
  <c r="BCS11" i="20"/>
  <c r="BCT11" i="20"/>
  <c r="BCU11" i="20"/>
  <c r="BCV11" i="20"/>
  <c r="BCW11" i="20"/>
  <c r="BDI11" i="20"/>
  <c r="BDJ11" i="20"/>
  <c r="BDK11" i="20"/>
  <c r="BDL11" i="20"/>
  <c r="BDM11" i="20"/>
  <c r="BDN11" i="20"/>
  <c r="BDO11" i="20"/>
  <c r="BDP11" i="20"/>
  <c r="BDQ11" i="20"/>
  <c r="BDR11" i="20"/>
  <c r="BDS11" i="20"/>
  <c r="BEE11" i="20"/>
  <c r="BEF11" i="20"/>
  <c r="BEG11" i="20"/>
  <c r="BEH11" i="20"/>
  <c r="BEI11" i="20"/>
  <c r="BEJ11" i="20"/>
  <c r="BEK11" i="20"/>
  <c r="BEL11" i="20"/>
  <c r="BEM11" i="20"/>
  <c r="BEN11" i="20"/>
  <c r="BEO11" i="20"/>
  <c r="BFA11" i="20"/>
  <c r="BFB11" i="20"/>
  <c r="BFC11" i="20"/>
  <c r="BFD11" i="20"/>
  <c r="BFE11" i="20"/>
  <c r="BFF11" i="20"/>
  <c r="BFG11" i="20"/>
  <c r="BFH11" i="20"/>
  <c r="BFI11" i="20"/>
  <c r="BFJ11" i="20"/>
  <c r="BFK11" i="20"/>
  <c r="BFW11" i="20"/>
  <c r="BFX11" i="20"/>
  <c r="BFY11" i="20"/>
  <c r="BFZ11" i="20"/>
  <c r="BGA11" i="20"/>
  <c r="BGB11" i="20"/>
  <c r="BGC11" i="20"/>
  <c r="BGD11" i="20"/>
  <c r="BGE11" i="20"/>
  <c r="BGF11" i="20"/>
  <c r="BGG11" i="20"/>
  <c r="BGS11" i="20"/>
  <c r="BGT11" i="20"/>
  <c r="BGU11" i="20"/>
  <c r="BGV11" i="20"/>
  <c r="BGW11" i="20"/>
  <c r="BGX11" i="20"/>
  <c r="BGY11" i="20"/>
  <c r="BGZ11" i="20"/>
  <c r="BHA11" i="20"/>
  <c r="BHB11" i="20"/>
  <c r="BHC11" i="20"/>
  <c r="BHO11" i="20"/>
  <c r="BHP11" i="20"/>
  <c r="BHQ11" i="20"/>
  <c r="BHR11" i="20"/>
  <c r="BHS11" i="20"/>
  <c r="BHT11" i="20"/>
  <c r="BHU11" i="20"/>
  <c r="BHV11" i="20"/>
  <c r="BHW11" i="20"/>
  <c r="BHX11" i="20"/>
  <c r="BHY11" i="20"/>
  <c r="BIK11" i="20"/>
  <c r="BIL11" i="20"/>
  <c r="BIM11" i="20"/>
  <c r="BIN11" i="20"/>
  <c r="BIO11" i="20"/>
  <c r="BIP11" i="20"/>
  <c r="BIQ11" i="20"/>
  <c r="BIR11" i="20"/>
  <c r="BIS11" i="20"/>
  <c r="BIT11" i="20"/>
  <c r="BIU11" i="20"/>
  <c r="BJG11" i="20"/>
  <c r="BJH11" i="20"/>
  <c r="BJI11" i="20"/>
  <c r="BJJ11" i="20"/>
  <c r="BJK11" i="20"/>
  <c r="BJL11" i="20"/>
  <c r="BJM11" i="20"/>
  <c r="BJN11" i="20"/>
  <c r="BJO11" i="20"/>
  <c r="BJP11" i="20"/>
  <c r="BJQ11" i="20"/>
  <c r="BKC11" i="20"/>
  <c r="BKD11" i="20"/>
  <c r="BKE11" i="20"/>
  <c r="BKF11" i="20"/>
  <c r="BKG11" i="20"/>
  <c r="BKH11" i="20"/>
  <c r="BKI11" i="20"/>
  <c r="BKJ11" i="20"/>
  <c r="BKK11" i="20"/>
  <c r="BKL11" i="20"/>
  <c r="BKM11" i="20"/>
  <c r="BKY11" i="20"/>
  <c r="BKZ11" i="20"/>
  <c r="BLA11" i="20"/>
  <c r="BLB11" i="20"/>
  <c r="BLC11" i="20"/>
  <c r="BLD11" i="20"/>
  <c r="BLE11" i="20"/>
  <c r="BLF11" i="20"/>
  <c r="BLG11" i="20"/>
  <c r="BLH11" i="20"/>
  <c r="BLI11" i="20"/>
  <c r="BLU11" i="20"/>
  <c r="BLV11" i="20"/>
  <c r="BLW11" i="20"/>
  <c r="BLX11" i="20"/>
  <c r="BLY11" i="20"/>
  <c r="BLZ11" i="20"/>
  <c r="BMA11" i="20"/>
  <c r="BMB11" i="20"/>
  <c r="BMC11" i="20"/>
  <c r="BMD11" i="20"/>
  <c r="BME11" i="20"/>
  <c r="BMQ11" i="20"/>
  <c r="BMR11" i="20"/>
  <c r="BMS11" i="20"/>
  <c r="BMT11" i="20"/>
  <c r="BMU11" i="20"/>
  <c r="BMV11" i="20"/>
  <c r="BMW11" i="20"/>
  <c r="BMX11" i="20"/>
  <c r="BMY11" i="20"/>
  <c r="BMZ11" i="20"/>
  <c r="BNA11" i="20"/>
  <c r="BNM11" i="20"/>
  <c r="BNN11" i="20"/>
  <c r="BNO11" i="20"/>
  <c r="BNP11" i="20"/>
  <c r="BNQ11" i="20"/>
  <c r="BNR11" i="20"/>
  <c r="BNS11" i="20"/>
  <c r="BNT11" i="20"/>
  <c r="BNU11" i="20"/>
  <c r="BNV11" i="20"/>
  <c r="BNW11" i="20"/>
  <c r="BOI11" i="20"/>
  <c r="BOJ11" i="20"/>
  <c r="BOK11" i="20"/>
  <c r="BOL11" i="20"/>
  <c r="BOM11" i="20"/>
  <c r="BON11" i="20"/>
  <c r="BOO11" i="20"/>
  <c r="BOP11" i="20"/>
  <c r="BOQ11" i="20"/>
  <c r="BOR11" i="20"/>
  <c r="BOS11" i="20"/>
  <c r="BPE11" i="20"/>
  <c r="BPF11" i="20"/>
  <c r="BPG11" i="20"/>
  <c r="BPH11" i="20"/>
  <c r="BPI11" i="20"/>
  <c r="BPJ11" i="20"/>
  <c r="BPK11" i="20"/>
  <c r="BPL11" i="20"/>
  <c r="BPM11" i="20"/>
  <c r="BPN11" i="20"/>
  <c r="BPO11" i="20"/>
  <c r="BQA11" i="20"/>
  <c r="BQB11" i="20"/>
  <c r="BQC11" i="20"/>
  <c r="BQD11" i="20"/>
  <c r="BQE11" i="20"/>
  <c r="BQF11" i="20"/>
  <c r="BQG11" i="20"/>
  <c r="BQH11" i="20"/>
  <c r="BQI11" i="20"/>
  <c r="BQJ11" i="20"/>
  <c r="BQK11" i="20"/>
  <c r="BQW11" i="20"/>
  <c r="BQX11" i="20"/>
  <c r="BQY11" i="20"/>
  <c r="BQZ11" i="20"/>
  <c r="BRA11" i="20"/>
  <c r="BRB11" i="20"/>
  <c r="BRC11" i="20"/>
  <c r="BRD11" i="20"/>
  <c r="BRE11" i="20"/>
  <c r="BRF11" i="20"/>
  <c r="BRG11" i="20"/>
  <c r="BRS11" i="20"/>
  <c r="BRT11" i="20"/>
  <c r="BRU11" i="20"/>
  <c r="BRV11" i="20"/>
  <c r="BRW11" i="20"/>
  <c r="BRX11" i="20"/>
  <c r="BRY11" i="20"/>
  <c r="BRZ11" i="20"/>
  <c r="BSA11" i="20"/>
  <c r="BSB11" i="20"/>
  <c r="BSC11" i="20"/>
  <c r="BSO11" i="20"/>
  <c r="BSP11" i="20"/>
  <c r="BSQ11" i="20"/>
  <c r="BSR11" i="20"/>
  <c r="BSS11" i="20"/>
  <c r="BST11" i="20"/>
  <c r="BSU11" i="20"/>
  <c r="BSV11" i="20"/>
  <c r="BSW11" i="20"/>
  <c r="BSX11" i="20"/>
  <c r="BSY11" i="20"/>
  <c r="BTK11" i="20"/>
  <c r="BTL11" i="20"/>
  <c r="BTM11" i="20"/>
  <c r="BTN11" i="20"/>
  <c r="BTO11" i="20"/>
  <c r="BTP11" i="20"/>
  <c r="BTQ11" i="20"/>
  <c r="BTR11" i="20"/>
  <c r="BTS11" i="20"/>
  <c r="BTT11" i="20"/>
  <c r="BTU11" i="20"/>
  <c r="BUG11" i="20"/>
  <c r="BUH11" i="20"/>
  <c r="BUI11" i="20"/>
  <c r="BUJ11" i="20"/>
  <c r="BUK11" i="20"/>
  <c r="BUL11" i="20"/>
  <c r="BUM11" i="20"/>
  <c r="BUN11" i="20"/>
  <c r="BUO11" i="20"/>
  <c r="BUP11" i="20"/>
  <c r="BUQ11" i="20"/>
  <c r="BVC11" i="20"/>
  <c r="BVD11" i="20"/>
  <c r="BVE11" i="20"/>
  <c r="BVF11" i="20"/>
  <c r="BVG11" i="20"/>
  <c r="BVH11" i="20"/>
  <c r="BVI11" i="20"/>
  <c r="BVJ11" i="20"/>
  <c r="BVK11" i="20"/>
  <c r="BVL11" i="20"/>
  <c r="BVM11" i="20"/>
  <c r="BVY11" i="20"/>
  <c r="BVZ11" i="20"/>
  <c r="BWA11" i="20"/>
  <c r="BWB11" i="20"/>
  <c r="BWC11" i="20"/>
  <c r="BWD11" i="20"/>
  <c r="BWE11" i="20"/>
  <c r="BWF11" i="20"/>
  <c r="BWG11" i="20"/>
  <c r="BWH11" i="20"/>
  <c r="BWI11" i="20"/>
  <c r="BWU11" i="20"/>
  <c r="BWV11" i="20"/>
  <c r="BWW11" i="20"/>
  <c r="BWX11" i="20"/>
  <c r="BWY11" i="20"/>
  <c r="BWZ11" i="20"/>
  <c r="BXA11" i="20"/>
  <c r="BXB11" i="20"/>
  <c r="BXC11" i="20"/>
  <c r="BXD11" i="20"/>
  <c r="BXE11" i="20"/>
  <c r="BXQ11" i="20"/>
  <c r="BXR11" i="20"/>
  <c r="BXS11" i="20"/>
  <c r="BXT11" i="20"/>
  <c r="BXU11" i="20"/>
  <c r="BXV11" i="20"/>
  <c r="BXW11" i="20"/>
  <c r="BXX11" i="20"/>
  <c r="BXY11" i="20"/>
  <c r="BXZ11" i="20"/>
  <c r="BYA11" i="20"/>
  <c r="BYM11" i="20"/>
  <c r="BYN11" i="20"/>
  <c r="BYO11" i="20"/>
  <c r="BYP11" i="20"/>
  <c r="BYQ11" i="20"/>
  <c r="BYR11" i="20"/>
  <c r="BYS11" i="20"/>
  <c r="BYT11" i="20"/>
  <c r="BYU11" i="20"/>
  <c r="BYV11" i="20"/>
  <c r="BYW11" i="20"/>
  <c r="BZI11" i="20"/>
  <c r="BZJ11" i="20"/>
  <c r="BZK11" i="20"/>
  <c r="BZL11" i="20"/>
  <c r="BZM11" i="20"/>
  <c r="BZN11" i="20"/>
  <c r="BZO11" i="20"/>
  <c r="BZP11" i="20"/>
  <c r="BZQ11" i="20"/>
  <c r="BZR11" i="20"/>
  <c r="BZS11" i="20"/>
  <c r="CAE11" i="20"/>
  <c r="CAF11" i="20"/>
  <c r="CAG11" i="20"/>
  <c r="CAH11" i="20"/>
  <c r="CAI11" i="20"/>
  <c r="CAJ11" i="20"/>
  <c r="CAK11" i="20"/>
  <c r="CAL11" i="20"/>
  <c r="CAM11" i="20"/>
  <c r="CAN11" i="20"/>
  <c r="CAO11" i="20"/>
  <c r="CBA11" i="20"/>
  <c r="CBB11" i="20"/>
  <c r="CBC11" i="20"/>
  <c r="CBD11" i="20"/>
  <c r="CBE11" i="20"/>
  <c r="CBF11" i="20"/>
  <c r="CBG11" i="20"/>
  <c r="CBH11" i="20"/>
  <c r="CBI11" i="20"/>
  <c r="CBJ11" i="20"/>
  <c r="CBK11" i="20"/>
  <c r="CBW11" i="20"/>
  <c r="CBX11" i="20"/>
  <c r="CBY11" i="20"/>
  <c r="CBZ11" i="20"/>
  <c r="CCA11" i="20"/>
  <c r="CCB11" i="20"/>
  <c r="CCC11" i="20"/>
  <c r="CCD11" i="20"/>
  <c r="CCE11" i="20"/>
  <c r="CCF11" i="20"/>
  <c r="CCG11" i="20"/>
  <c r="CCS11" i="20"/>
  <c r="CCT11" i="20"/>
  <c r="CCU11" i="20"/>
  <c r="CCV11" i="20"/>
  <c r="CCW11" i="20"/>
  <c r="CCX11" i="20"/>
  <c r="CCY11" i="20"/>
  <c r="CCZ11" i="20"/>
  <c r="CDA11" i="20"/>
  <c r="CDB11" i="20"/>
  <c r="CDC11" i="20"/>
  <c r="CDO11" i="20"/>
  <c r="CDP11" i="20"/>
  <c r="CDQ11" i="20"/>
  <c r="CDR11" i="20"/>
  <c r="CDS11" i="20"/>
  <c r="CDT11" i="20"/>
  <c r="CDU11" i="20"/>
  <c r="CDV11" i="20"/>
  <c r="CDW11" i="20"/>
  <c r="CDX11" i="20"/>
  <c r="CDY11" i="20"/>
  <c r="CEK11" i="20"/>
  <c r="CEL11" i="20"/>
  <c r="CEM11" i="20"/>
  <c r="CEN11" i="20"/>
  <c r="CEO11" i="20"/>
  <c r="CEP11" i="20"/>
  <c r="CEQ11" i="20"/>
  <c r="CER11" i="20"/>
  <c r="CES11" i="20"/>
  <c r="CET11" i="20"/>
  <c r="CEU11" i="20"/>
  <c r="CFG11" i="20"/>
  <c r="CFH11" i="20"/>
  <c r="CFI11" i="20"/>
  <c r="CFJ11" i="20"/>
  <c r="CFK11" i="20"/>
  <c r="CFL11" i="20"/>
  <c r="CFM11" i="20"/>
  <c r="CFN11" i="20"/>
  <c r="CFO11" i="20"/>
  <c r="CFP11" i="20"/>
  <c r="CFQ11" i="20"/>
  <c r="CGC11" i="20"/>
  <c r="CGD11" i="20"/>
  <c r="CGE11" i="20"/>
  <c r="CGF11" i="20"/>
  <c r="CGG11" i="20"/>
  <c r="CGH11" i="20"/>
  <c r="CGI11" i="20"/>
  <c r="CGJ11" i="20"/>
  <c r="CGK11" i="20"/>
  <c r="CGL11" i="20"/>
  <c r="CGM11" i="20"/>
  <c r="CGY11" i="20"/>
  <c r="CGZ11" i="20"/>
  <c r="CHA11" i="20"/>
  <c r="CHB11" i="20"/>
  <c r="CHC11" i="20"/>
  <c r="CHD11" i="20"/>
  <c r="CHE11" i="20"/>
  <c r="CHF11" i="20"/>
  <c r="CHG11" i="20"/>
  <c r="CHH11" i="20"/>
  <c r="CHI11" i="20"/>
  <c r="CHU11" i="20"/>
  <c r="CHV11" i="20"/>
  <c r="CHW11" i="20"/>
  <c r="CHX11" i="20"/>
  <c r="CHY11" i="20"/>
  <c r="CHZ11" i="20"/>
  <c r="CIA11" i="20"/>
  <c r="CIB11" i="20"/>
  <c r="CIC11" i="20"/>
  <c r="CID11" i="20"/>
  <c r="CIE11" i="20"/>
  <c r="CIQ11" i="20"/>
  <c r="CIR11" i="20"/>
  <c r="CIS11" i="20"/>
  <c r="CIT11" i="20"/>
  <c r="CIU11" i="20"/>
  <c r="CIV11" i="20"/>
  <c r="CIW11" i="20"/>
  <c r="CIX11" i="20"/>
  <c r="CIY11" i="20"/>
  <c r="CIZ11" i="20"/>
  <c r="CJA11" i="20"/>
  <c r="CJM11" i="20"/>
  <c r="CJN11" i="20"/>
  <c r="CJO11" i="20"/>
  <c r="CJP11" i="20"/>
  <c r="CJQ11" i="20"/>
  <c r="CJR11" i="20"/>
  <c r="CJS11" i="20"/>
  <c r="CJT11" i="20"/>
  <c r="CJU11" i="20"/>
  <c r="CJV11" i="20"/>
  <c r="CJW11" i="20"/>
  <c r="CKI11" i="20"/>
  <c r="CKJ11" i="20"/>
  <c r="CKK11" i="20"/>
  <c r="CKL11" i="20"/>
  <c r="CKM11" i="20"/>
  <c r="CKN11" i="20"/>
  <c r="CKO11" i="20"/>
  <c r="CKP11" i="20"/>
  <c r="CKQ11" i="20"/>
  <c r="CKR11" i="20"/>
  <c r="CKS11" i="20"/>
  <c r="CLE11" i="20"/>
  <c r="CLF11" i="20"/>
  <c r="CLG11" i="20"/>
  <c r="CLH11" i="20"/>
  <c r="CLI11" i="20"/>
  <c r="CLJ11" i="20"/>
  <c r="CLK11" i="20"/>
  <c r="CLL11" i="20"/>
  <c r="CLM11" i="20"/>
  <c r="CLN11" i="20"/>
  <c r="CLO11" i="20"/>
  <c r="CMA11" i="20"/>
  <c r="CMB11" i="20"/>
  <c r="CMC11" i="20"/>
  <c r="CMD11" i="20"/>
  <c r="CME11" i="20"/>
  <c r="CMF11" i="20"/>
  <c r="CMG11" i="20"/>
  <c r="CMH11" i="20"/>
  <c r="CMI11" i="20"/>
  <c r="CMJ11" i="20"/>
  <c r="CMK11" i="20"/>
  <c r="CMW11" i="20"/>
  <c r="CMX11" i="20"/>
  <c r="CMY11" i="20"/>
  <c r="CMZ11" i="20"/>
  <c r="CNA11" i="20"/>
  <c r="CNB11" i="20"/>
  <c r="CNC11" i="20"/>
  <c r="CND11" i="20"/>
  <c r="CNE11" i="20"/>
  <c r="CNF11" i="20"/>
  <c r="CNG11" i="20"/>
  <c r="CNS11" i="20"/>
  <c r="CNT11" i="20"/>
  <c r="CNU11" i="20"/>
  <c r="CNV11" i="20"/>
  <c r="CNW11" i="20"/>
  <c r="CNX11" i="20"/>
  <c r="CNY11" i="20"/>
  <c r="CNZ11" i="20"/>
  <c r="COA11" i="20"/>
  <c r="COB11" i="20"/>
  <c r="COC11" i="20"/>
  <c r="COO11" i="20"/>
  <c r="COP11" i="20"/>
  <c r="COQ11" i="20"/>
  <c r="COR11" i="20"/>
  <c r="COS11" i="20"/>
  <c r="COT11" i="20"/>
  <c r="COU11" i="20"/>
  <c r="COV11" i="20"/>
  <c r="COW11" i="20"/>
  <c r="COX11" i="20"/>
  <c r="COY11" i="20"/>
  <c r="CPK11" i="20"/>
  <c r="CPL11" i="20"/>
  <c r="CPM11" i="20"/>
  <c r="CPN11" i="20"/>
  <c r="CPO11" i="20"/>
  <c r="CPP11" i="20"/>
  <c r="CPQ11" i="20"/>
  <c r="CPR11" i="20"/>
  <c r="CPS11" i="20"/>
  <c r="CPT11" i="20"/>
  <c r="CPU11" i="20"/>
  <c r="CQG11" i="20"/>
  <c r="CQH11" i="20"/>
  <c r="CQI11" i="20"/>
  <c r="CQJ11" i="20"/>
  <c r="CQK11" i="20"/>
  <c r="CQL11" i="20"/>
  <c r="CQM11" i="20"/>
  <c r="CQN11" i="20"/>
  <c r="CQO11" i="20"/>
  <c r="CQP11" i="20"/>
  <c r="CQQ11" i="20"/>
  <c r="CRC11" i="20"/>
  <c r="CRD11" i="20"/>
  <c r="CRE11" i="20"/>
  <c r="CRF11" i="20"/>
  <c r="CRG11" i="20"/>
  <c r="CRH11" i="20"/>
  <c r="CRI11" i="20"/>
  <c r="CRJ11" i="20"/>
  <c r="CRK11" i="20"/>
  <c r="CRL11" i="20"/>
  <c r="CRM11" i="20"/>
  <c r="CRY11" i="20"/>
  <c r="CRZ11" i="20"/>
  <c r="CSA11" i="20"/>
  <c r="CSB11" i="20"/>
  <c r="CSC11" i="20"/>
  <c r="CSD11" i="20"/>
  <c r="CSE11" i="20"/>
  <c r="CSF11" i="20"/>
  <c r="CSG11" i="20"/>
  <c r="CSH11" i="20"/>
  <c r="CSI11" i="20"/>
  <c r="CSU11" i="20"/>
  <c r="CSV11" i="20"/>
  <c r="CSW11" i="20"/>
  <c r="CSX11" i="20"/>
  <c r="CSY11" i="20"/>
  <c r="CSZ11" i="20"/>
  <c r="CTA11" i="20"/>
  <c r="CTB11" i="20"/>
  <c r="CTC11" i="20"/>
  <c r="CTD11" i="20"/>
  <c r="CTE11" i="20"/>
  <c r="CTQ11" i="20"/>
  <c r="CTR11" i="20"/>
  <c r="CTS11" i="20"/>
  <c r="CTT11" i="20"/>
  <c r="CTU11" i="20"/>
  <c r="CTV11" i="20"/>
  <c r="CTW11" i="20"/>
  <c r="CTX11" i="20"/>
  <c r="CTY11" i="20"/>
  <c r="CTZ11" i="20"/>
  <c r="CUA11" i="20"/>
  <c r="CUM11" i="20"/>
  <c r="CUN11" i="20"/>
  <c r="CUO11" i="20"/>
  <c r="CUP11" i="20"/>
  <c r="CUQ11" i="20"/>
  <c r="CUR11" i="20"/>
  <c r="CUS11" i="20"/>
  <c r="CUT11" i="20"/>
  <c r="CUU11" i="20"/>
  <c r="CUV11" i="20"/>
  <c r="CUW11" i="20"/>
  <c r="CVI11" i="20"/>
  <c r="CVJ11" i="20"/>
  <c r="CVK11" i="20"/>
  <c r="CVL11" i="20"/>
  <c r="CVM11" i="20"/>
  <c r="CVN11" i="20"/>
  <c r="CVO11" i="20"/>
  <c r="CVP11" i="20"/>
  <c r="CVQ11" i="20"/>
  <c r="CVR11" i="20"/>
  <c r="CVS11" i="20"/>
  <c r="CWE11" i="20"/>
  <c r="CWF11" i="20"/>
  <c r="CWG11" i="20"/>
  <c r="CWH11" i="20"/>
  <c r="CWI11" i="20"/>
  <c r="CWJ11" i="20"/>
  <c r="CWK11" i="20"/>
  <c r="CWL11" i="20"/>
  <c r="CWM11" i="20"/>
  <c r="CWN11" i="20"/>
  <c r="CWO11" i="20"/>
  <c r="CXA11" i="20"/>
  <c r="CXB11" i="20"/>
  <c r="CXC11" i="20"/>
  <c r="CXD11" i="20"/>
  <c r="CXE11" i="20"/>
  <c r="CXF11" i="20"/>
  <c r="CXG11" i="20"/>
  <c r="CXH11" i="20"/>
  <c r="CXI11" i="20"/>
  <c r="CXJ11" i="20"/>
  <c r="CXK11" i="20"/>
  <c r="CXW11" i="20"/>
  <c r="CXX11" i="20"/>
  <c r="CXY11" i="20"/>
  <c r="CXZ11" i="20"/>
  <c r="CYA11" i="20"/>
  <c r="CYB11" i="20"/>
  <c r="CYC11" i="20"/>
  <c r="CYD11" i="20"/>
  <c r="CYE11" i="20"/>
  <c r="CYF11" i="20"/>
  <c r="CYG11" i="20"/>
  <c r="CYS11" i="20"/>
  <c r="CYT11" i="20"/>
  <c r="CYU11" i="20"/>
  <c r="CYV11" i="20"/>
  <c r="CYW11" i="20"/>
  <c r="CYX11" i="20"/>
  <c r="CYY11" i="20"/>
  <c r="CYZ11" i="20"/>
  <c r="CZA11" i="20"/>
  <c r="CZB11" i="20"/>
  <c r="CZC11" i="20"/>
  <c r="CZO11" i="20"/>
  <c r="CZP11" i="20"/>
  <c r="CZQ11" i="20"/>
  <c r="CZR11" i="20"/>
  <c r="CZS11" i="20"/>
  <c r="CZT11" i="20"/>
  <c r="CZU11" i="20"/>
  <c r="CZV11" i="20"/>
  <c r="CZW11" i="20"/>
  <c r="CZX11" i="20"/>
  <c r="CZY11" i="20"/>
  <c r="DAK11" i="20"/>
  <c r="DAL11" i="20"/>
  <c r="DAM11" i="20"/>
  <c r="DAN11" i="20"/>
  <c r="DAO11" i="20"/>
  <c r="DAP11" i="20"/>
  <c r="DAQ11" i="20"/>
  <c r="DAR11" i="20"/>
  <c r="DAS11" i="20"/>
  <c r="DAT11" i="20"/>
  <c r="DAU11" i="20"/>
  <c r="DBG11" i="20"/>
  <c r="DBH11" i="20"/>
  <c r="DBI11" i="20"/>
  <c r="DBJ11" i="20"/>
  <c r="DBK11" i="20"/>
  <c r="DBL11" i="20"/>
  <c r="DBM11" i="20"/>
  <c r="DBN11" i="20"/>
  <c r="DBO11" i="20"/>
  <c r="DBP11" i="20"/>
  <c r="DBQ11" i="20"/>
  <c r="DCC11" i="20"/>
  <c r="DCD11" i="20"/>
  <c r="DCE11" i="20"/>
  <c r="DCF11" i="20"/>
  <c r="DCG11" i="20"/>
  <c r="DCH11" i="20"/>
  <c r="DCI11" i="20"/>
  <c r="DCJ11" i="20"/>
  <c r="DCK11" i="20"/>
  <c r="DCL11" i="20"/>
  <c r="DCM11" i="20"/>
  <c r="DCY11" i="20"/>
  <c r="DCZ11" i="20"/>
  <c r="DDA11" i="20"/>
  <c r="DDB11" i="20"/>
  <c r="DDC11" i="20"/>
  <c r="DDD11" i="20"/>
  <c r="DDE11" i="20"/>
  <c r="DDF11" i="20"/>
  <c r="DDG11" i="20"/>
  <c r="DDH11" i="20"/>
  <c r="DDI11" i="20"/>
  <c r="AAO12" i="20"/>
  <c r="AAP12" i="20"/>
  <c r="AAQ12" i="20"/>
  <c r="AAR12" i="20"/>
  <c r="AAS12" i="20"/>
  <c r="AAT12" i="20"/>
  <c r="AAU12" i="20"/>
  <c r="AAV12" i="20"/>
  <c r="AAW12" i="20"/>
  <c r="AAX12" i="20"/>
  <c r="AAY12" i="20"/>
  <c r="ABK12" i="20"/>
  <c r="ABL12" i="20"/>
  <c r="ABM12" i="20"/>
  <c r="ABN12" i="20"/>
  <c r="ABO12" i="20"/>
  <c r="ABP12" i="20"/>
  <c r="ABQ12" i="20"/>
  <c r="ABR12" i="20"/>
  <c r="ABS12" i="20"/>
  <c r="ABT12" i="20"/>
  <c r="ABU12" i="20"/>
  <c r="ACG12" i="20"/>
  <c r="ACH12" i="20"/>
  <c r="ACI12" i="20"/>
  <c r="ACJ12" i="20"/>
  <c r="ACK12" i="20"/>
  <c r="ACL12" i="20"/>
  <c r="ACM12" i="20"/>
  <c r="ACN12" i="20"/>
  <c r="ACO12" i="20"/>
  <c r="ACP12" i="20"/>
  <c r="ACQ12" i="20"/>
  <c r="ADC12" i="20"/>
  <c r="ADD12" i="20"/>
  <c r="ADE12" i="20"/>
  <c r="ADF12" i="20"/>
  <c r="ADG12" i="20"/>
  <c r="ADH12" i="20"/>
  <c r="ADI12" i="20"/>
  <c r="ADJ12" i="20"/>
  <c r="ADK12" i="20"/>
  <c r="ADL12" i="20"/>
  <c r="ADM12" i="20"/>
  <c r="ADY12" i="20"/>
  <c r="ADZ12" i="20"/>
  <c r="AEA12" i="20"/>
  <c r="AEB12" i="20"/>
  <c r="AEC12" i="20"/>
  <c r="AED12" i="20"/>
  <c r="AEE12" i="20"/>
  <c r="AEF12" i="20"/>
  <c r="AEG12" i="20"/>
  <c r="AEH12" i="20"/>
  <c r="AEI12" i="20"/>
  <c r="AEU12" i="20"/>
  <c r="AEV12" i="20"/>
  <c r="AEW12" i="20"/>
  <c r="AEX12" i="20"/>
  <c r="AEY12" i="20"/>
  <c r="AEZ12" i="20"/>
  <c r="AFA12" i="20"/>
  <c r="AFB12" i="20"/>
  <c r="AFC12" i="20"/>
  <c r="AFD12" i="20"/>
  <c r="AFE12" i="20"/>
  <c r="AFQ12" i="20"/>
  <c r="AFR12" i="20"/>
  <c r="AFS12" i="20"/>
  <c r="AFT12" i="20"/>
  <c r="AFU12" i="20"/>
  <c r="AFV12" i="20"/>
  <c r="AFW12" i="20"/>
  <c r="AFX12" i="20"/>
  <c r="AFY12" i="20"/>
  <c r="AFZ12" i="20"/>
  <c r="AGA12" i="20"/>
  <c r="AGM12" i="20"/>
  <c r="AGN12" i="20"/>
  <c r="AGO12" i="20"/>
  <c r="AGP12" i="20"/>
  <c r="AGQ12" i="20"/>
  <c r="AGR12" i="20"/>
  <c r="AGS12" i="20"/>
  <c r="AGT12" i="20"/>
  <c r="AGU12" i="20"/>
  <c r="AGV12" i="20"/>
  <c r="AGW12" i="20"/>
  <c r="AHI12" i="20"/>
  <c r="AHJ12" i="20"/>
  <c r="AHK12" i="20"/>
  <c r="AHL12" i="20"/>
  <c r="AHM12" i="20"/>
  <c r="AHN12" i="20"/>
  <c r="AHO12" i="20"/>
  <c r="AHP12" i="20"/>
  <c r="AHQ12" i="20"/>
  <c r="AHR12" i="20"/>
  <c r="AHS12" i="20"/>
  <c r="AIE12" i="20"/>
  <c r="AIF12" i="20"/>
  <c r="AIG12" i="20"/>
  <c r="AIH12" i="20"/>
  <c r="AII12" i="20"/>
  <c r="AIJ12" i="20"/>
  <c r="AIK12" i="20"/>
  <c r="AIL12" i="20"/>
  <c r="AIM12" i="20"/>
  <c r="AIN12" i="20"/>
  <c r="AIO12" i="20"/>
  <c r="AJA12" i="20"/>
  <c r="AJB12" i="20"/>
  <c r="AJC12" i="20"/>
  <c r="AJD12" i="20"/>
  <c r="AJE12" i="20"/>
  <c r="AJF12" i="20"/>
  <c r="AJG12" i="20"/>
  <c r="AJH12" i="20"/>
  <c r="AJI12" i="20"/>
  <c r="AJJ12" i="20"/>
  <c r="AJK12" i="20"/>
  <c r="AJW12" i="20"/>
  <c r="AJX12" i="20"/>
  <c r="AJY12" i="20"/>
  <c r="AJZ12" i="20"/>
  <c r="AKA12" i="20"/>
  <c r="AKB12" i="20"/>
  <c r="AKC12" i="20"/>
  <c r="AKD12" i="20"/>
  <c r="AKE12" i="20"/>
  <c r="AKF12" i="20"/>
  <c r="AKG12" i="20"/>
  <c r="AKS12" i="20"/>
  <c r="AKT12" i="20"/>
  <c r="AKU12" i="20"/>
  <c r="AKV12" i="20"/>
  <c r="AKW12" i="20"/>
  <c r="AKX12" i="20"/>
  <c r="AKY12" i="20"/>
  <c r="AKZ12" i="20"/>
  <c r="ALA12" i="20"/>
  <c r="ALB12" i="20"/>
  <c r="ALC12" i="20"/>
  <c r="ALO12" i="20"/>
  <c r="ALP12" i="20"/>
  <c r="ALQ12" i="20"/>
  <c r="ALR12" i="20"/>
  <c r="ALS12" i="20"/>
  <c r="ALT12" i="20"/>
  <c r="ALU12" i="20"/>
  <c r="ALV12" i="20"/>
  <c r="ALW12" i="20"/>
  <c r="ALX12" i="20"/>
  <c r="ALY12" i="20"/>
  <c r="AMK12" i="20"/>
  <c r="AML12" i="20"/>
  <c r="AMM12" i="20"/>
  <c r="AMN12" i="20"/>
  <c r="AMO12" i="20"/>
  <c r="AMP12" i="20"/>
  <c r="AMQ12" i="20"/>
  <c r="AMR12" i="20"/>
  <c r="AMS12" i="20"/>
  <c r="AMT12" i="20"/>
  <c r="AMU12" i="20"/>
  <c r="ANG12" i="20"/>
  <c r="ANH12" i="20"/>
  <c r="ANI12" i="20"/>
  <c r="ANJ12" i="20"/>
  <c r="ANK12" i="20"/>
  <c r="ANL12" i="20"/>
  <c r="ANM12" i="20"/>
  <c r="ANN12" i="20"/>
  <c r="ANO12" i="20"/>
  <c r="ANP12" i="20"/>
  <c r="ANQ12" i="20"/>
  <c r="AOC12" i="20"/>
  <c r="AOD12" i="20"/>
  <c r="AOE12" i="20"/>
  <c r="AOF12" i="20"/>
  <c r="AOG12" i="20"/>
  <c r="AOH12" i="20"/>
  <c r="AOI12" i="20"/>
  <c r="AOJ12" i="20"/>
  <c r="AOK12" i="20"/>
  <c r="AOL12" i="20"/>
  <c r="AOM12" i="20"/>
  <c r="AOY12" i="20"/>
  <c r="AOZ12" i="20"/>
  <c r="APA12" i="20"/>
  <c r="APB12" i="20"/>
  <c r="APC12" i="20"/>
  <c r="APD12" i="20"/>
  <c r="APE12" i="20"/>
  <c r="APF12" i="20"/>
  <c r="APG12" i="20"/>
  <c r="APH12" i="20"/>
  <c r="API12" i="20"/>
  <c r="APU12" i="20"/>
  <c r="APV12" i="20"/>
  <c r="APW12" i="20"/>
  <c r="APX12" i="20"/>
  <c r="APY12" i="20"/>
  <c r="APZ12" i="20"/>
  <c r="AQA12" i="20"/>
  <c r="AQB12" i="20"/>
  <c r="AQC12" i="20"/>
  <c r="AQD12" i="20"/>
  <c r="AQE12" i="20"/>
  <c r="AQQ12" i="20"/>
  <c r="AQR12" i="20"/>
  <c r="AQS12" i="20"/>
  <c r="AQT12" i="20"/>
  <c r="AQU12" i="20"/>
  <c r="AQV12" i="20"/>
  <c r="AQW12" i="20"/>
  <c r="AQX12" i="20"/>
  <c r="AQY12" i="20"/>
  <c r="AQZ12" i="20"/>
  <c r="ARA12" i="20"/>
  <c r="ARM12" i="20"/>
  <c r="ARN12" i="20"/>
  <c r="ARO12" i="20"/>
  <c r="ARP12" i="20"/>
  <c r="ARQ12" i="20"/>
  <c r="ARR12" i="20"/>
  <c r="ARS12" i="20"/>
  <c r="ART12" i="20"/>
  <c r="ARU12" i="20"/>
  <c r="ARV12" i="20"/>
  <c r="ARW12" i="20"/>
  <c r="ASI12" i="20"/>
  <c r="ASJ12" i="20"/>
  <c r="ASK12" i="20"/>
  <c r="ASL12" i="20"/>
  <c r="ASM12" i="20"/>
  <c r="ASN12" i="20"/>
  <c r="ASO12" i="20"/>
  <c r="ASP12" i="20"/>
  <c r="ASQ12" i="20"/>
  <c r="ASR12" i="20"/>
  <c r="ASS12" i="20"/>
  <c r="ATE12" i="20"/>
  <c r="ATF12" i="20"/>
  <c r="ATG12" i="20"/>
  <c r="ATH12" i="20"/>
  <c r="ATI12" i="20"/>
  <c r="ATJ12" i="20"/>
  <c r="ATK12" i="20"/>
  <c r="ATL12" i="20"/>
  <c r="ATM12" i="20"/>
  <c r="ATN12" i="20"/>
  <c r="ATO12" i="20"/>
  <c r="AUA12" i="20"/>
  <c r="AUB12" i="20"/>
  <c r="AUC12" i="20"/>
  <c r="AUD12" i="20"/>
  <c r="AUE12" i="20"/>
  <c r="AUF12" i="20"/>
  <c r="AUG12" i="20"/>
  <c r="AUH12" i="20"/>
  <c r="AUI12" i="20"/>
  <c r="AUJ12" i="20"/>
  <c r="AUK12" i="20"/>
  <c r="AUW12" i="20"/>
  <c r="AUX12" i="20"/>
  <c r="AUY12" i="20"/>
  <c r="AUZ12" i="20"/>
  <c r="AVA12" i="20"/>
  <c r="AVB12" i="20"/>
  <c r="AVC12" i="20"/>
  <c r="AVD12" i="20"/>
  <c r="AVE12" i="20"/>
  <c r="AVF12" i="20"/>
  <c r="AVG12" i="20"/>
  <c r="AVS12" i="20"/>
  <c r="AVT12" i="20"/>
  <c r="AVU12" i="20"/>
  <c r="AVV12" i="20"/>
  <c r="AVW12" i="20"/>
  <c r="AVX12" i="20"/>
  <c r="AVY12" i="20"/>
  <c r="AVZ12" i="20"/>
  <c r="AWA12" i="20"/>
  <c r="AWB12" i="20"/>
  <c r="AWC12" i="20"/>
  <c r="AWO12" i="20"/>
  <c r="AWP12" i="20"/>
  <c r="AWQ12" i="20"/>
  <c r="AWR12" i="20"/>
  <c r="AWS12" i="20"/>
  <c r="AWT12" i="20"/>
  <c r="AWU12" i="20"/>
  <c r="AWV12" i="20"/>
  <c r="AWW12" i="20"/>
  <c r="AWX12" i="20"/>
  <c r="AWY12" i="20"/>
  <c r="AXK12" i="20"/>
  <c r="AXL12" i="20"/>
  <c r="AXM12" i="20"/>
  <c r="AXN12" i="20"/>
  <c r="AXO12" i="20"/>
  <c r="AXP12" i="20"/>
  <c r="AXQ12" i="20"/>
  <c r="AXR12" i="20"/>
  <c r="AXS12" i="20"/>
  <c r="AXT12" i="20"/>
  <c r="AXU12" i="20"/>
  <c r="AYG12" i="20"/>
  <c r="AYH12" i="20"/>
  <c r="AYI12" i="20"/>
  <c r="AYJ12" i="20"/>
  <c r="AYK12" i="20"/>
  <c r="AYL12" i="20"/>
  <c r="AYM12" i="20"/>
  <c r="AYN12" i="20"/>
  <c r="AYO12" i="20"/>
  <c r="AYP12" i="20"/>
  <c r="AYQ12" i="20"/>
  <c r="AZC12" i="20"/>
  <c r="AZD12" i="20"/>
  <c r="AZE12" i="20"/>
  <c r="AZF12" i="20"/>
  <c r="AZG12" i="20"/>
  <c r="AZH12" i="20"/>
  <c r="AZI12" i="20"/>
  <c r="AZJ12" i="20"/>
  <c r="AZK12" i="20"/>
  <c r="AZL12" i="20"/>
  <c r="AZM12" i="20"/>
  <c r="AZY12" i="20"/>
  <c r="AZZ12" i="20"/>
  <c r="BAA12" i="20"/>
  <c r="BAB12" i="20"/>
  <c r="BAC12" i="20"/>
  <c r="BAD12" i="20"/>
  <c r="BAE12" i="20"/>
  <c r="BAF12" i="20"/>
  <c r="BAG12" i="20"/>
  <c r="BAH12" i="20"/>
  <c r="BAI12" i="20"/>
  <c r="BAU12" i="20"/>
  <c r="BAV12" i="20"/>
  <c r="BAW12" i="20"/>
  <c r="BAX12" i="20"/>
  <c r="BAY12" i="20"/>
  <c r="BAZ12" i="20"/>
  <c r="BBA12" i="20"/>
  <c r="BBB12" i="20"/>
  <c r="BBC12" i="20"/>
  <c r="BBD12" i="20"/>
  <c r="BBE12" i="20"/>
  <c r="BBQ12" i="20"/>
  <c r="BBR12" i="20"/>
  <c r="BBS12" i="20"/>
  <c r="BBT12" i="20"/>
  <c r="BBU12" i="20"/>
  <c r="BBV12" i="20"/>
  <c r="BBW12" i="20"/>
  <c r="BBX12" i="20"/>
  <c r="BBY12" i="20"/>
  <c r="BBZ12" i="20"/>
  <c r="BCA12" i="20"/>
  <c r="BCM12" i="20"/>
  <c r="BCN12" i="20"/>
  <c r="BCO12" i="20"/>
  <c r="BCP12" i="20"/>
  <c r="BCQ12" i="20"/>
  <c r="BCR12" i="20"/>
  <c r="BCS12" i="20"/>
  <c r="BCT12" i="20"/>
  <c r="BCU12" i="20"/>
  <c r="BCV12" i="20"/>
  <c r="BCW12" i="20"/>
  <c r="BDI12" i="20"/>
  <c r="BDJ12" i="20"/>
  <c r="BDK12" i="20"/>
  <c r="BDL12" i="20"/>
  <c r="BDM12" i="20"/>
  <c r="BDN12" i="20"/>
  <c r="BDO12" i="20"/>
  <c r="BDP12" i="20"/>
  <c r="BDQ12" i="20"/>
  <c r="BDR12" i="20"/>
  <c r="BDS12" i="20"/>
  <c r="BEE12" i="20"/>
  <c r="BEF12" i="20"/>
  <c r="BEG12" i="20"/>
  <c r="BEH12" i="20"/>
  <c r="BEI12" i="20"/>
  <c r="BEJ12" i="20"/>
  <c r="BEK12" i="20"/>
  <c r="BEL12" i="20"/>
  <c r="BEM12" i="20"/>
  <c r="BEN12" i="20"/>
  <c r="BEO12" i="20"/>
  <c r="BFA12" i="20"/>
  <c r="BFB12" i="20"/>
  <c r="BFC12" i="20"/>
  <c r="BFD12" i="20"/>
  <c r="BFE12" i="20"/>
  <c r="BFF12" i="20"/>
  <c r="BFG12" i="20"/>
  <c r="BFH12" i="20"/>
  <c r="BFI12" i="20"/>
  <c r="BFJ12" i="20"/>
  <c r="BFK12" i="20"/>
  <c r="BFW12" i="20"/>
  <c r="BFX12" i="20"/>
  <c r="BFY12" i="20"/>
  <c r="BFZ12" i="20"/>
  <c r="BGA12" i="20"/>
  <c r="BGB12" i="20"/>
  <c r="BGC12" i="20"/>
  <c r="BGD12" i="20"/>
  <c r="BGE12" i="20"/>
  <c r="BGF12" i="20"/>
  <c r="BGG12" i="20"/>
  <c r="BGS12" i="20"/>
  <c r="BGT12" i="20"/>
  <c r="BGU12" i="20"/>
  <c r="BGV12" i="20"/>
  <c r="BGW12" i="20"/>
  <c r="BGX12" i="20"/>
  <c r="BGY12" i="20"/>
  <c r="BGZ12" i="20"/>
  <c r="BHA12" i="20"/>
  <c r="BHB12" i="20"/>
  <c r="BHC12" i="20"/>
  <c r="BHO12" i="20"/>
  <c r="BHP12" i="20"/>
  <c r="BHQ12" i="20"/>
  <c r="BHR12" i="20"/>
  <c r="BHS12" i="20"/>
  <c r="BHT12" i="20"/>
  <c r="BHU12" i="20"/>
  <c r="BHV12" i="20"/>
  <c r="BHW12" i="20"/>
  <c r="BHX12" i="20"/>
  <c r="BHY12" i="20"/>
  <c r="BIK12" i="20"/>
  <c r="BIL12" i="20"/>
  <c r="BIM12" i="20"/>
  <c r="BIN12" i="20"/>
  <c r="BIO12" i="20"/>
  <c r="BIP12" i="20"/>
  <c r="BIQ12" i="20"/>
  <c r="BIR12" i="20"/>
  <c r="BIS12" i="20"/>
  <c r="BIT12" i="20"/>
  <c r="BIU12" i="20"/>
  <c r="BJG12" i="20"/>
  <c r="BJH12" i="20"/>
  <c r="BJI12" i="20"/>
  <c r="BJJ12" i="20"/>
  <c r="BJK12" i="20"/>
  <c r="BJL12" i="20"/>
  <c r="BJM12" i="20"/>
  <c r="BJN12" i="20"/>
  <c r="BJO12" i="20"/>
  <c r="BJP12" i="20"/>
  <c r="BJQ12" i="20"/>
  <c r="BKC12" i="20"/>
  <c r="BKD12" i="20"/>
  <c r="BKE12" i="20"/>
  <c r="BKF12" i="20"/>
  <c r="BKG12" i="20"/>
  <c r="BKH12" i="20"/>
  <c r="BKI12" i="20"/>
  <c r="BKJ12" i="20"/>
  <c r="BKK12" i="20"/>
  <c r="BKL12" i="20"/>
  <c r="BKM12" i="20"/>
  <c r="BKY12" i="20"/>
  <c r="BKZ12" i="20"/>
  <c r="BLA12" i="20"/>
  <c r="BLB12" i="20"/>
  <c r="BLC12" i="20"/>
  <c r="BLD12" i="20"/>
  <c r="BLE12" i="20"/>
  <c r="BLF12" i="20"/>
  <c r="BLG12" i="20"/>
  <c r="BLH12" i="20"/>
  <c r="BLI12" i="20"/>
  <c r="BLU12" i="20"/>
  <c r="BLV12" i="20"/>
  <c r="BLW12" i="20"/>
  <c r="BLX12" i="20"/>
  <c r="BLY12" i="20"/>
  <c r="BLZ12" i="20"/>
  <c r="BMA12" i="20"/>
  <c r="BMB12" i="20"/>
  <c r="BMC12" i="20"/>
  <c r="BMD12" i="20"/>
  <c r="BME12" i="20"/>
  <c r="BMQ12" i="20"/>
  <c r="BMR12" i="20"/>
  <c r="BMS12" i="20"/>
  <c r="BMT12" i="20"/>
  <c r="BMU12" i="20"/>
  <c r="BMV12" i="20"/>
  <c r="BMW12" i="20"/>
  <c r="BMX12" i="20"/>
  <c r="BMY12" i="20"/>
  <c r="BMZ12" i="20"/>
  <c r="BNA12" i="20"/>
  <c r="BNM12" i="20"/>
  <c r="BNN12" i="20"/>
  <c r="BNO12" i="20"/>
  <c r="BNP12" i="20"/>
  <c r="BNQ12" i="20"/>
  <c r="BNR12" i="20"/>
  <c r="BNS12" i="20"/>
  <c r="BNT12" i="20"/>
  <c r="BNU12" i="20"/>
  <c r="BNV12" i="20"/>
  <c r="BNW12" i="20"/>
  <c r="BOI12" i="20"/>
  <c r="BOJ12" i="20"/>
  <c r="BOK12" i="20"/>
  <c r="BOL12" i="20"/>
  <c r="BOM12" i="20"/>
  <c r="BON12" i="20"/>
  <c r="BOO12" i="20"/>
  <c r="BOP12" i="20"/>
  <c r="BOQ12" i="20"/>
  <c r="BOR12" i="20"/>
  <c r="BOS12" i="20"/>
  <c r="BPE12" i="20"/>
  <c r="BPF12" i="20"/>
  <c r="BPG12" i="20"/>
  <c r="BPH12" i="20"/>
  <c r="BPI12" i="20"/>
  <c r="BPJ12" i="20"/>
  <c r="BPK12" i="20"/>
  <c r="BPL12" i="20"/>
  <c r="BPM12" i="20"/>
  <c r="BPN12" i="20"/>
  <c r="BPO12" i="20"/>
  <c r="BQA12" i="20"/>
  <c r="BQB12" i="20"/>
  <c r="BQC12" i="20"/>
  <c r="BQD12" i="20"/>
  <c r="BQE12" i="20"/>
  <c r="BQF12" i="20"/>
  <c r="BQG12" i="20"/>
  <c r="BQH12" i="20"/>
  <c r="BQI12" i="20"/>
  <c r="BQJ12" i="20"/>
  <c r="BQK12" i="20"/>
  <c r="BQW12" i="20"/>
  <c r="BQX12" i="20"/>
  <c r="BQY12" i="20"/>
  <c r="BQZ12" i="20"/>
  <c r="BRA12" i="20"/>
  <c r="BRB12" i="20"/>
  <c r="BRC12" i="20"/>
  <c r="BRD12" i="20"/>
  <c r="BRE12" i="20"/>
  <c r="BRF12" i="20"/>
  <c r="BRG12" i="20"/>
  <c r="BRS12" i="20"/>
  <c r="BRT12" i="20"/>
  <c r="BRU12" i="20"/>
  <c r="BRV12" i="20"/>
  <c r="BRW12" i="20"/>
  <c r="BRX12" i="20"/>
  <c r="BRY12" i="20"/>
  <c r="BRZ12" i="20"/>
  <c r="BSA12" i="20"/>
  <c r="BSB12" i="20"/>
  <c r="BSC12" i="20"/>
  <c r="BSO12" i="20"/>
  <c r="BSP12" i="20"/>
  <c r="BSQ12" i="20"/>
  <c r="BSR12" i="20"/>
  <c r="BSS12" i="20"/>
  <c r="BST12" i="20"/>
  <c r="BSU12" i="20"/>
  <c r="BSV12" i="20"/>
  <c r="BSW12" i="20"/>
  <c r="BSX12" i="20"/>
  <c r="BSY12" i="20"/>
  <c r="BTK12" i="20"/>
  <c r="BTL12" i="20"/>
  <c r="BTM12" i="20"/>
  <c r="BTN12" i="20"/>
  <c r="BTO12" i="20"/>
  <c r="BTP12" i="20"/>
  <c r="BTQ12" i="20"/>
  <c r="BTR12" i="20"/>
  <c r="BTS12" i="20"/>
  <c r="BTT12" i="20"/>
  <c r="BTU12" i="20"/>
  <c r="BUG12" i="20"/>
  <c r="BUH12" i="20"/>
  <c r="BUI12" i="20"/>
  <c r="BUJ12" i="20"/>
  <c r="BUK12" i="20"/>
  <c r="BUL12" i="20"/>
  <c r="BUM12" i="20"/>
  <c r="BUN12" i="20"/>
  <c r="BUO12" i="20"/>
  <c r="BUP12" i="20"/>
  <c r="BUQ12" i="20"/>
  <c r="BVC12" i="20"/>
  <c r="BVD12" i="20"/>
  <c r="BVE12" i="20"/>
  <c r="BVF12" i="20"/>
  <c r="BVG12" i="20"/>
  <c r="BVH12" i="20"/>
  <c r="BVI12" i="20"/>
  <c r="BVJ12" i="20"/>
  <c r="BVK12" i="20"/>
  <c r="BVL12" i="20"/>
  <c r="BVM12" i="20"/>
  <c r="BVY12" i="20"/>
  <c r="BVZ12" i="20"/>
  <c r="BWA12" i="20"/>
  <c r="BWB12" i="20"/>
  <c r="BWC12" i="20"/>
  <c r="BWD12" i="20"/>
  <c r="BWE12" i="20"/>
  <c r="BWF12" i="20"/>
  <c r="BWG12" i="20"/>
  <c r="BWH12" i="20"/>
  <c r="BWI12" i="20"/>
  <c r="BWU12" i="20"/>
  <c r="BWV12" i="20"/>
  <c r="BWW12" i="20"/>
  <c r="BWX12" i="20"/>
  <c r="BWY12" i="20"/>
  <c r="BWZ12" i="20"/>
  <c r="BXA12" i="20"/>
  <c r="BXB12" i="20"/>
  <c r="BXC12" i="20"/>
  <c r="BXD12" i="20"/>
  <c r="BXE12" i="20"/>
  <c r="BXQ12" i="20"/>
  <c r="BXR12" i="20"/>
  <c r="BXS12" i="20"/>
  <c r="BXT12" i="20"/>
  <c r="BXU12" i="20"/>
  <c r="BXV12" i="20"/>
  <c r="BXW12" i="20"/>
  <c r="BXX12" i="20"/>
  <c r="BXY12" i="20"/>
  <c r="BXZ12" i="20"/>
  <c r="BYA12" i="20"/>
  <c r="BYM12" i="20"/>
  <c r="BYN12" i="20"/>
  <c r="BYO12" i="20"/>
  <c r="BYP12" i="20"/>
  <c r="BYQ12" i="20"/>
  <c r="BYR12" i="20"/>
  <c r="BYS12" i="20"/>
  <c r="BYT12" i="20"/>
  <c r="BYU12" i="20"/>
  <c r="BYV12" i="20"/>
  <c r="BYW12" i="20"/>
  <c r="BZI12" i="20"/>
  <c r="BZJ12" i="20"/>
  <c r="BZK12" i="20"/>
  <c r="BZL12" i="20"/>
  <c r="BZM12" i="20"/>
  <c r="BZN12" i="20"/>
  <c r="BZO12" i="20"/>
  <c r="BZP12" i="20"/>
  <c r="BZQ12" i="20"/>
  <c r="BZR12" i="20"/>
  <c r="BZS12" i="20"/>
  <c r="CAE12" i="20"/>
  <c r="CAF12" i="20"/>
  <c r="CAG12" i="20"/>
  <c r="CAH12" i="20"/>
  <c r="CAI12" i="20"/>
  <c r="CAJ12" i="20"/>
  <c r="CAK12" i="20"/>
  <c r="CAL12" i="20"/>
  <c r="CAM12" i="20"/>
  <c r="CAN12" i="20"/>
  <c r="CAO12" i="20"/>
  <c r="CBA12" i="20"/>
  <c r="CBB12" i="20"/>
  <c r="CBC12" i="20"/>
  <c r="CBD12" i="20"/>
  <c r="CBE12" i="20"/>
  <c r="CBF12" i="20"/>
  <c r="CBG12" i="20"/>
  <c r="CBH12" i="20"/>
  <c r="CBI12" i="20"/>
  <c r="CBJ12" i="20"/>
  <c r="CBK12" i="20"/>
  <c r="CBW12" i="20"/>
  <c r="CBX12" i="20"/>
  <c r="CBY12" i="20"/>
  <c r="CBZ12" i="20"/>
  <c r="CCA12" i="20"/>
  <c r="CCB12" i="20"/>
  <c r="CCC12" i="20"/>
  <c r="CCD12" i="20"/>
  <c r="CCE12" i="20"/>
  <c r="CCF12" i="20"/>
  <c r="CCG12" i="20"/>
  <c r="CCS12" i="20"/>
  <c r="CCT12" i="20"/>
  <c r="CCU12" i="20"/>
  <c r="CCV12" i="20"/>
  <c r="CCW12" i="20"/>
  <c r="CCX12" i="20"/>
  <c r="CCY12" i="20"/>
  <c r="CCZ12" i="20"/>
  <c r="CDA12" i="20"/>
  <c r="CDB12" i="20"/>
  <c r="CDC12" i="20"/>
  <c r="CDO12" i="20"/>
  <c r="CDP12" i="20"/>
  <c r="CDQ12" i="20"/>
  <c r="CDR12" i="20"/>
  <c r="CDS12" i="20"/>
  <c r="CDT12" i="20"/>
  <c r="CDU12" i="20"/>
  <c r="CDV12" i="20"/>
  <c r="CDW12" i="20"/>
  <c r="CDX12" i="20"/>
  <c r="CDY12" i="20"/>
  <c r="CEK12" i="20"/>
  <c r="CEL12" i="20"/>
  <c r="CEM12" i="20"/>
  <c r="CEN12" i="20"/>
  <c r="CEO12" i="20"/>
  <c r="CEP12" i="20"/>
  <c r="CEQ12" i="20"/>
  <c r="CER12" i="20"/>
  <c r="CES12" i="20"/>
  <c r="CET12" i="20"/>
  <c r="CEU12" i="20"/>
  <c r="CFG12" i="20"/>
  <c r="CFH12" i="20"/>
  <c r="CFI12" i="20"/>
  <c r="CFJ12" i="20"/>
  <c r="CFK12" i="20"/>
  <c r="CFL12" i="20"/>
  <c r="CFM12" i="20"/>
  <c r="CFN12" i="20"/>
  <c r="CFO12" i="20"/>
  <c r="CFP12" i="20"/>
  <c r="CFQ12" i="20"/>
  <c r="CGC12" i="20"/>
  <c r="CGD12" i="20"/>
  <c r="CGE12" i="20"/>
  <c r="CGF12" i="20"/>
  <c r="CGG12" i="20"/>
  <c r="CGH12" i="20"/>
  <c r="CGI12" i="20"/>
  <c r="CGJ12" i="20"/>
  <c r="CGK12" i="20"/>
  <c r="CGL12" i="20"/>
  <c r="CGM12" i="20"/>
  <c r="CGY12" i="20"/>
  <c r="CGZ12" i="20"/>
  <c r="CHA12" i="20"/>
  <c r="CHB12" i="20"/>
  <c r="CHC12" i="20"/>
  <c r="CHD12" i="20"/>
  <c r="CHE12" i="20"/>
  <c r="CHF12" i="20"/>
  <c r="CHG12" i="20"/>
  <c r="CHH12" i="20"/>
  <c r="CHI12" i="20"/>
  <c r="CHU12" i="20"/>
  <c r="CHV12" i="20"/>
  <c r="CHW12" i="20"/>
  <c r="CHX12" i="20"/>
  <c r="CHY12" i="20"/>
  <c r="CHZ12" i="20"/>
  <c r="CIA12" i="20"/>
  <c r="CIB12" i="20"/>
  <c r="CIC12" i="20"/>
  <c r="CID12" i="20"/>
  <c r="CIE12" i="20"/>
  <c r="CIQ12" i="20"/>
  <c r="CIR12" i="20"/>
  <c r="CIS12" i="20"/>
  <c r="CIT12" i="20"/>
  <c r="CIU12" i="20"/>
  <c r="CIV12" i="20"/>
  <c r="CIW12" i="20"/>
  <c r="CIX12" i="20"/>
  <c r="CIY12" i="20"/>
  <c r="CIZ12" i="20"/>
  <c r="CJA12" i="20"/>
  <c r="CJM12" i="20"/>
  <c r="CJN12" i="20"/>
  <c r="CJO12" i="20"/>
  <c r="CJP12" i="20"/>
  <c r="CJQ12" i="20"/>
  <c r="CJR12" i="20"/>
  <c r="CJS12" i="20"/>
  <c r="CJT12" i="20"/>
  <c r="CJU12" i="20"/>
  <c r="CJV12" i="20"/>
  <c r="CJW12" i="20"/>
  <c r="CKI12" i="20"/>
  <c r="CKJ12" i="20"/>
  <c r="CKK12" i="20"/>
  <c r="CKL12" i="20"/>
  <c r="CKM12" i="20"/>
  <c r="CKN12" i="20"/>
  <c r="CKO12" i="20"/>
  <c r="CKP12" i="20"/>
  <c r="CKQ12" i="20"/>
  <c r="CKR12" i="20"/>
  <c r="CKS12" i="20"/>
  <c r="CLE12" i="20"/>
  <c r="CLF12" i="20"/>
  <c r="CLG12" i="20"/>
  <c r="CLH12" i="20"/>
  <c r="CLI12" i="20"/>
  <c r="CLJ12" i="20"/>
  <c r="CLK12" i="20"/>
  <c r="CLL12" i="20"/>
  <c r="CLM12" i="20"/>
  <c r="CLN12" i="20"/>
  <c r="CLO12" i="20"/>
  <c r="CMA12" i="20"/>
  <c r="CMB12" i="20"/>
  <c r="CMC12" i="20"/>
  <c r="CMD12" i="20"/>
  <c r="CME12" i="20"/>
  <c r="CMF12" i="20"/>
  <c r="CMG12" i="20"/>
  <c r="CMH12" i="20"/>
  <c r="CMI12" i="20"/>
  <c r="CMJ12" i="20"/>
  <c r="CMK12" i="20"/>
  <c r="CMW12" i="20"/>
  <c r="CMX12" i="20"/>
  <c r="CMY12" i="20"/>
  <c r="CMZ12" i="20"/>
  <c r="CNA12" i="20"/>
  <c r="CNB12" i="20"/>
  <c r="CNC12" i="20"/>
  <c r="CND12" i="20"/>
  <c r="CNE12" i="20"/>
  <c r="CNF12" i="20"/>
  <c r="CNG12" i="20"/>
  <c r="CNS12" i="20"/>
  <c r="CNT12" i="20"/>
  <c r="CNU12" i="20"/>
  <c r="CNV12" i="20"/>
  <c r="CNW12" i="20"/>
  <c r="CNX12" i="20"/>
  <c r="CNY12" i="20"/>
  <c r="CNZ12" i="20"/>
  <c r="COA12" i="20"/>
  <c r="COB12" i="20"/>
  <c r="COC12" i="20"/>
  <c r="COO12" i="20"/>
  <c r="COP12" i="20"/>
  <c r="COQ12" i="20"/>
  <c r="COR12" i="20"/>
  <c r="COS12" i="20"/>
  <c r="COT12" i="20"/>
  <c r="COU12" i="20"/>
  <c r="COV12" i="20"/>
  <c r="COW12" i="20"/>
  <c r="COX12" i="20"/>
  <c r="COY12" i="20"/>
  <c r="CPK12" i="20"/>
  <c r="CPL12" i="20"/>
  <c r="CPM12" i="20"/>
  <c r="CPN12" i="20"/>
  <c r="CPO12" i="20"/>
  <c r="CPP12" i="20"/>
  <c r="CPQ12" i="20"/>
  <c r="CPR12" i="20"/>
  <c r="CPS12" i="20"/>
  <c r="CPT12" i="20"/>
  <c r="CPU12" i="20"/>
  <c r="CQG12" i="20"/>
  <c r="CQH12" i="20"/>
  <c r="CQI12" i="20"/>
  <c r="CQJ12" i="20"/>
  <c r="CQK12" i="20"/>
  <c r="CQL12" i="20"/>
  <c r="CQM12" i="20"/>
  <c r="CQN12" i="20"/>
  <c r="CQO12" i="20"/>
  <c r="CQP12" i="20"/>
  <c r="CQQ12" i="20"/>
  <c r="CRC12" i="20"/>
  <c r="CRD12" i="20"/>
  <c r="CRE12" i="20"/>
  <c r="CRF12" i="20"/>
  <c r="CRG12" i="20"/>
  <c r="CRH12" i="20"/>
  <c r="CRI12" i="20"/>
  <c r="CRJ12" i="20"/>
  <c r="CRK12" i="20"/>
  <c r="CRL12" i="20"/>
  <c r="CRM12" i="20"/>
  <c r="CRY12" i="20"/>
  <c r="CRZ12" i="20"/>
  <c r="CSA12" i="20"/>
  <c r="CSB12" i="20"/>
  <c r="CSC12" i="20"/>
  <c r="CSD12" i="20"/>
  <c r="CSE12" i="20"/>
  <c r="CSF12" i="20"/>
  <c r="CSG12" i="20"/>
  <c r="CSH12" i="20"/>
  <c r="CSI12" i="20"/>
  <c r="CSU12" i="20"/>
  <c r="CSV12" i="20"/>
  <c r="CSW12" i="20"/>
  <c r="CSX12" i="20"/>
  <c r="CSY12" i="20"/>
  <c r="CSZ12" i="20"/>
  <c r="CTA12" i="20"/>
  <c r="CTB12" i="20"/>
  <c r="CTC12" i="20"/>
  <c r="CTD12" i="20"/>
  <c r="CTE12" i="20"/>
  <c r="CTQ12" i="20"/>
  <c r="CTR12" i="20"/>
  <c r="CTS12" i="20"/>
  <c r="CTT12" i="20"/>
  <c r="CTU12" i="20"/>
  <c r="CTV12" i="20"/>
  <c r="CTW12" i="20"/>
  <c r="CTX12" i="20"/>
  <c r="CTY12" i="20"/>
  <c r="CTZ12" i="20"/>
  <c r="CUA12" i="20"/>
  <c r="CUM12" i="20"/>
  <c r="CUN12" i="20"/>
  <c r="CUO12" i="20"/>
  <c r="CUP12" i="20"/>
  <c r="CUQ12" i="20"/>
  <c r="CUR12" i="20"/>
  <c r="CUS12" i="20"/>
  <c r="CUT12" i="20"/>
  <c r="CUU12" i="20"/>
  <c r="CUV12" i="20"/>
  <c r="CUW12" i="20"/>
  <c r="CVI12" i="20"/>
  <c r="CVJ12" i="20"/>
  <c r="CVK12" i="20"/>
  <c r="CVL12" i="20"/>
  <c r="CVM12" i="20"/>
  <c r="CVN12" i="20"/>
  <c r="CVO12" i="20"/>
  <c r="CVP12" i="20"/>
  <c r="CVQ12" i="20"/>
  <c r="CVR12" i="20"/>
  <c r="CVS12" i="20"/>
  <c r="CWE12" i="20"/>
  <c r="CWF12" i="20"/>
  <c r="CWG12" i="20"/>
  <c r="CWH12" i="20"/>
  <c r="CWI12" i="20"/>
  <c r="CWJ12" i="20"/>
  <c r="CWK12" i="20"/>
  <c r="CWL12" i="20"/>
  <c r="CWM12" i="20"/>
  <c r="CWN12" i="20"/>
  <c r="CWO12" i="20"/>
  <c r="CXA12" i="20"/>
  <c r="CXB12" i="20"/>
  <c r="CXC12" i="20"/>
  <c r="CXD12" i="20"/>
  <c r="CXE12" i="20"/>
  <c r="CXF12" i="20"/>
  <c r="CXG12" i="20"/>
  <c r="CXH12" i="20"/>
  <c r="CXI12" i="20"/>
  <c r="CXJ12" i="20"/>
  <c r="CXK12" i="20"/>
  <c r="CXW12" i="20"/>
  <c r="CXX12" i="20"/>
  <c r="CXY12" i="20"/>
  <c r="CXZ12" i="20"/>
  <c r="CYA12" i="20"/>
  <c r="CYB12" i="20"/>
  <c r="CYC12" i="20"/>
  <c r="CYD12" i="20"/>
  <c r="CYE12" i="20"/>
  <c r="CYF12" i="20"/>
  <c r="CYG12" i="20"/>
  <c r="CYS12" i="20"/>
  <c r="CYT12" i="20"/>
  <c r="CYU12" i="20"/>
  <c r="CYV12" i="20"/>
  <c r="CYW12" i="20"/>
  <c r="CYX12" i="20"/>
  <c r="CYY12" i="20"/>
  <c r="CYZ12" i="20"/>
  <c r="CZA12" i="20"/>
  <c r="CZB12" i="20"/>
  <c r="CZC12" i="20"/>
  <c r="CZO12" i="20"/>
  <c r="CZP12" i="20"/>
  <c r="CZQ12" i="20"/>
  <c r="CZR12" i="20"/>
  <c r="CZS12" i="20"/>
  <c r="CZT12" i="20"/>
  <c r="CZU12" i="20"/>
  <c r="CZV12" i="20"/>
  <c r="CZW12" i="20"/>
  <c r="CZX12" i="20"/>
  <c r="CZY12" i="20"/>
  <c r="DAK12" i="20"/>
  <c r="DAL12" i="20"/>
  <c r="DAM12" i="20"/>
  <c r="DAN12" i="20"/>
  <c r="DAO12" i="20"/>
  <c r="DAP12" i="20"/>
  <c r="DAQ12" i="20"/>
  <c r="DAR12" i="20"/>
  <c r="DAS12" i="20"/>
  <c r="DAT12" i="20"/>
  <c r="DAU12" i="20"/>
  <c r="DBG12" i="20"/>
  <c r="DBH12" i="20"/>
  <c r="DBI12" i="20"/>
  <c r="DBJ12" i="20"/>
  <c r="DBK12" i="20"/>
  <c r="DBL12" i="20"/>
  <c r="DBM12" i="20"/>
  <c r="DBN12" i="20"/>
  <c r="DBO12" i="20"/>
  <c r="DBP12" i="20"/>
  <c r="DBQ12" i="20"/>
  <c r="DCC12" i="20"/>
  <c r="DCD12" i="20"/>
  <c r="DCE12" i="20"/>
  <c r="DCF12" i="20"/>
  <c r="DCG12" i="20"/>
  <c r="DCH12" i="20"/>
  <c r="DCI12" i="20"/>
  <c r="DCJ12" i="20"/>
  <c r="DCK12" i="20"/>
  <c r="DCL12" i="20"/>
  <c r="DCM12" i="20"/>
  <c r="DCY12" i="20"/>
  <c r="DCZ12" i="20"/>
  <c r="DDA12" i="20"/>
  <c r="DDB12" i="20"/>
  <c r="DDC12" i="20"/>
  <c r="DDD12" i="20"/>
  <c r="DDE12" i="20"/>
  <c r="DDF12" i="20"/>
  <c r="DDG12" i="20"/>
  <c r="DDH12" i="20"/>
  <c r="DDI12" i="20"/>
  <c r="AAO13" i="20"/>
  <c r="AAP13" i="20"/>
  <c r="AAQ13" i="20"/>
  <c r="AAR13" i="20"/>
  <c r="AAS13" i="20"/>
  <c r="AAT13" i="20"/>
  <c r="AAU13" i="20"/>
  <c r="AAV13" i="20"/>
  <c r="AAW13" i="20"/>
  <c r="AAX13" i="20"/>
  <c r="AAY13" i="20"/>
  <c r="ABK13" i="20"/>
  <c r="ABL13" i="20"/>
  <c r="ABM13" i="20"/>
  <c r="ABN13" i="20"/>
  <c r="ABO13" i="20"/>
  <c r="ABP13" i="20"/>
  <c r="ABQ13" i="20"/>
  <c r="ABR13" i="20"/>
  <c r="ABS13" i="20"/>
  <c r="ABT13" i="20"/>
  <c r="ABU13" i="20"/>
  <c r="ACG13" i="20"/>
  <c r="ACH13" i="20"/>
  <c r="ACI13" i="20"/>
  <c r="ACJ13" i="20"/>
  <c r="ACK13" i="20"/>
  <c r="ACL13" i="20"/>
  <c r="ACM13" i="20"/>
  <c r="ACN13" i="20"/>
  <c r="ACO13" i="20"/>
  <c r="ACP13" i="20"/>
  <c r="ACQ13" i="20"/>
  <c r="ADC13" i="20"/>
  <c r="ADD13" i="20"/>
  <c r="ADE13" i="20"/>
  <c r="ADF13" i="20"/>
  <c r="ADG13" i="20"/>
  <c r="ADH13" i="20"/>
  <c r="ADI13" i="20"/>
  <c r="ADJ13" i="20"/>
  <c r="ADK13" i="20"/>
  <c r="ADL13" i="20"/>
  <c r="ADM13" i="20"/>
  <c r="ADY13" i="20"/>
  <c r="ADZ13" i="20"/>
  <c r="AEA13" i="20"/>
  <c r="AEB13" i="20"/>
  <c r="AEC13" i="20"/>
  <c r="AED13" i="20"/>
  <c r="AEE13" i="20"/>
  <c r="AEF13" i="20"/>
  <c r="AEG13" i="20"/>
  <c r="AEH13" i="20"/>
  <c r="AEI13" i="20"/>
  <c r="AEU13" i="20"/>
  <c r="AEV13" i="20"/>
  <c r="AEW13" i="20"/>
  <c r="AEX13" i="20"/>
  <c r="AEY13" i="20"/>
  <c r="AEZ13" i="20"/>
  <c r="AFA13" i="20"/>
  <c r="AFB13" i="20"/>
  <c r="AFC13" i="20"/>
  <c r="AFD13" i="20"/>
  <c r="AFE13" i="20"/>
  <c r="AFQ13" i="20"/>
  <c r="AFR13" i="20"/>
  <c r="AFS13" i="20"/>
  <c r="AFT13" i="20"/>
  <c r="AFU13" i="20"/>
  <c r="AFV13" i="20"/>
  <c r="AFW13" i="20"/>
  <c r="AFX13" i="20"/>
  <c r="AFY13" i="20"/>
  <c r="AFZ13" i="20"/>
  <c r="AGA13" i="20"/>
  <c r="AGM13" i="20"/>
  <c r="AGN13" i="20"/>
  <c r="AGO13" i="20"/>
  <c r="AGP13" i="20"/>
  <c r="AGQ13" i="20"/>
  <c r="AGR13" i="20"/>
  <c r="AGS13" i="20"/>
  <c r="AGT13" i="20"/>
  <c r="AGU13" i="20"/>
  <c r="AGV13" i="20"/>
  <c r="AGW13" i="20"/>
  <c r="AHI13" i="20"/>
  <c r="AHJ13" i="20"/>
  <c r="AHK13" i="20"/>
  <c r="AHL13" i="20"/>
  <c r="AHM13" i="20"/>
  <c r="AHN13" i="20"/>
  <c r="AHO13" i="20"/>
  <c r="AHP13" i="20"/>
  <c r="AHQ13" i="20"/>
  <c r="AHR13" i="20"/>
  <c r="AHS13" i="20"/>
  <c r="AIE13" i="20"/>
  <c r="AIF13" i="20"/>
  <c r="AIG13" i="20"/>
  <c r="AIH13" i="20"/>
  <c r="AII13" i="20"/>
  <c r="AIJ13" i="20"/>
  <c r="AIK13" i="20"/>
  <c r="AIL13" i="20"/>
  <c r="AIM13" i="20"/>
  <c r="AIN13" i="20"/>
  <c r="AIO13" i="20"/>
  <c r="AJA13" i="20"/>
  <c r="AJB13" i="20"/>
  <c r="AJC13" i="20"/>
  <c r="AJD13" i="20"/>
  <c r="AJE13" i="20"/>
  <c r="AJF13" i="20"/>
  <c r="AJG13" i="20"/>
  <c r="AJH13" i="20"/>
  <c r="AJI13" i="20"/>
  <c r="AJJ13" i="20"/>
  <c r="AJK13" i="20"/>
  <c r="AJW13" i="20"/>
  <c r="AJX13" i="20"/>
  <c r="AJY13" i="20"/>
  <c r="AJZ13" i="20"/>
  <c r="AKA13" i="20"/>
  <c r="AKB13" i="20"/>
  <c r="AKC13" i="20"/>
  <c r="AKD13" i="20"/>
  <c r="AKE13" i="20"/>
  <c r="AKF13" i="20"/>
  <c r="AKG13" i="20"/>
  <c r="AKS13" i="20"/>
  <c r="AKT13" i="20"/>
  <c r="AKU13" i="20"/>
  <c r="AKV13" i="20"/>
  <c r="AKW13" i="20"/>
  <c r="AKX13" i="20"/>
  <c r="AKY13" i="20"/>
  <c r="AKZ13" i="20"/>
  <c r="ALA13" i="20"/>
  <c r="ALB13" i="20"/>
  <c r="ALC13" i="20"/>
  <c r="ALO13" i="20"/>
  <c r="ALP13" i="20"/>
  <c r="ALQ13" i="20"/>
  <c r="ALR13" i="20"/>
  <c r="ALS13" i="20"/>
  <c r="ALT13" i="20"/>
  <c r="ALU13" i="20"/>
  <c r="ALV13" i="20"/>
  <c r="ALW13" i="20"/>
  <c r="ALX13" i="20"/>
  <c r="ALY13" i="20"/>
  <c r="AMK13" i="20"/>
  <c r="AML13" i="20"/>
  <c r="AMM13" i="20"/>
  <c r="AMN13" i="20"/>
  <c r="AMO13" i="20"/>
  <c r="AMP13" i="20"/>
  <c r="AMQ13" i="20"/>
  <c r="AMR13" i="20"/>
  <c r="AMS13" i="20"/>
  <c r="AMT13" i="20"/>
  <c r="AMU13" i="20"/>
  <c r="ANG13" i="20"/>
  <c r="ANH13" i="20"/>
  <c r="ANI13" i="20"/>
  <c r="ANJ13" i="20"/>
  <c r="ANK13" i="20"/>
  <c r="ANL13" i="20"/>
  <c r="ANM13" i="20"/>
  <c r="ANN13" i="20"/>
  <c r="ANO13" i="20"/>
  <c r="ANP13" i="20"/>
  <c r="ANQ13" i="20"/>
  <c r="AOC13" i="20"/>
  <c r="AOD13" i="20"/>
  <c r="AOE13" i="20"/>
  <c r="AOF13" i="20"/>
  <c r="AOG13" i="20"/>
  <c r="AOH13" i="20"/>
  <c r="AOI13" i="20"/>
  <c r="AOJ13" i="20"/>
  <c r="AOK13" i="20"/>
  <c r="AOL13" i="20"/>
  <c r="AOM13" i="20"/>
  <c r="AOY13" i="20"/>
  <c r="AOZ13" i="20"/>
  <c r="APA13" i="20"/>
  <c r="APB13" i="20"/>
  <c r="APC13" i="20"/>
  <c r="APD13" i="20"/>
  <c r="APE13" i="20"/>
  <c r="APF13" i="20"/>
  <c r="APG13" i="20"/>
  <c r="APH13" i="20"/>
  <c r="API13" i="20"/>
  <c r="APU13" i="20"/>
  <c r="APV13" i="20"/>
  <c r="APW13" i="20"/>
  <c r="APX13" i="20"/>
  <c r="APY13" i="20"/>
  <c r="APZ13" i="20"/>
  <c r="AQA13" i="20"/>
  <c r="AQB13" i="20"/>
  <c r="AQC13" i="20"/>
  <c r="AQD13" i="20"/>
  <c r="AQE13" i="20"/>
  <c r="AQQ13" i="20"/>
  <c r="AQR13" i="20"/>
  <c r="AQS13" i="20"/>
  <c r="AQT13" i="20"/>
  <c r="AQU13" i="20"/>
  <c r="AQV13" i="20"/>
  <c r="AQW13" i="20"/>
  <c r="AQX13" i="20"/>
  <c r="AQY13" i="20"/>
  <c r="AQZ13" i="20"/>
  <c r="ARA13" i="20"/>
  <c r="ARM13" i="20"/>
  <c r="ARN13" i="20"/>
  <c r="ARO13" i="20"/>
  <c r="ARP13" i="20"/>
  <c r="ARQ13" i="20"/>
  <c r="ARR13" i="20"/>
  <c r="ARS13" i="20"/>
  <c r="ART13" i="20"/>
  <c r="ARU13" i="20"/>
  <c r="ARV13" i="20"/>
  <c r="ARW13" i="20"/>
  <c r="ASI13" i="20"/>
  <c r="ASJ13" i="20"/>
  <c r="ASK13" i="20"/>
  <c r="ASL13" i="20"/>
  <c r="ASM13" i="20"/>
  <c r="ASN13" i="20"/>
  <c r="ASO13" i="20"/>
  <c r="ASP13" i="20"/>
  <c r="ASQ13" i="20"/>
  <c r="ASR13" i="20"/>
  <c r="ASS13" i="20"/>
  <c r="ATE13" i="20"/>
  <c r="ATF13" i="20"/>
  <c r="ATG13" i="20"/>
  <c r="ATH13" i="20"/>
  <c r="ATI13" i="20"/>
  <c r="ATJ13" i="20"/>
  <c r="ATK13" i="20"/>
  <c r="ATL13" i="20"/>
  <c r="ATM13" i="20"/>
  <c r="ATN13" i="20"/>
  <c r="ATO13" i="20"/>
  <c r="AUA13" i="20"/>
  <c r="AUB13" i="20"/>
  <c r="AUC13" i="20"/>
  <c r="AUD13" i="20"/>
  <c r="AUE13" i="20"/>
  <c r="AUF13" i="20"/>
  <c r="AUG13" i="20"/>
  <c r="AUH13" i="20"/>
  <c r="AUI13" i="20"/>
  <c r="AUJ13" i="20"/>
  <c r="AUK13" i="20"/>
  <c r="AUW13" i="20"/>
  <c r="AUX13" i="20"/>
  <c r="AUY13" i="20"/>
  <c r="AUZ13" i="20"/>
  <c r="AVA13" i="20"/>
  <c r="AVB13" i="20"/>
  <c r="AVC13" i="20"/>
  <c r="AVD13" i="20"/>
  <c r="AVE13" i="20"/>
  <c r="AVF13" i="20"/>
  <c r="AVG13" i="20"/>
  <c r="AVS13" i="20"/>
  <c r="AVT13" i="20"/>
  <c r="AVU13" i="20"/>
  <c r="AVV13" i="20"/>
  <c r="AVW13" i="20"/>
  <c r="AVX13" i="20"/>
  <c r="AVY13" i="20"/>
  <c r="AVZ13" i="20"/>
  <c r="AWA13" i="20"/>
  <c r="AWB13" i="20"/>
  <c r="AWC13" i="20"/>
  <c r="AWO13" i="20"/>
  <c r="AWP13" i="20"/>
  <c r="AWQ13" i="20"/>
  <c r="AWR13" i="20"/>
  <c r="AWS13" i="20"/>
  <c r="AWT13" i="20"/>
  <c r="AWU13" i="20"/>
  <c r="AWV13" i="20"/>
  <c r="AWW13" i="20"/>
  <c r="AWX13" i="20"/>
  <c r="AWY13" i="20"/>
  <c r="AXK13" i="20"/>
  <c r="AXL13" i="20"/>
  <c r="AXM13" i="20"/>
  <c r="AXN13" i="20"/>
  <c r="AXO13" i="20"/>
  <c r="AXP13" i="20"/>
  <c r="AXQ13" i="20"/>
  <c r="AXR13" i="20"/>
  <c r="AXS13" i="20"/>
  <c r="AXT13" i="20"/>
  <c r="AXU13" i="20"/>
  <c r="AYG13" i="20"/>
  <c r="AYH13" i="20"/>
  <c r="AYI13" i="20"/>
  <c r="AYJ13" i="20"/>
  <c r="AYK13" i="20"/>
  <c r="AYL13" i="20"/>
  <c r="AYM13" i="20"/>
  <c r="AYN13" i="20"/>
  <c r="AYO13" i="20"/>
  <c r="AYP13" i="20"/>
  <c r="AYQ13" i="20"/>
  <c r="AZC13" i="20"/>
  <c r="AZD13" i="20"/>
  <c r="AZE13" i="20"/>
  <c r="AZF13" i="20"/>
  <c r="AZG13" i="20"/>
  <c r="AZH13" i="20"/>
  <c r="AZI13" i="20"/>
  <c r="AZJ13" i="20"/>
  <c r="AZK13" i="20"/>
  <c r="AZL13" i="20"/>
  <c r="AZM13" i="20"/>
  <c r="AZY13" i="20"/>
  <c r="AZZ13" i="20"/>
  <c r="BAA13" i="20"/>
  <c r="BAB13" i="20"/>
  <c r="BAC13" i="20"/>
  <c r="BAD13" i="20"/>
  <c r="BAE13" i="20"/>
  <c r="BAF13" i="20"/>
  <c r="BAG13" i="20"/>
  <c r="BAH13" i="20"/>
  <c r="BAI13" i="20"/>
  <c r="BAU13" i="20"/>
  <c r="BAV13" i="20"/>
  <c r="BAW13" i="20"/>
  <c r="BAX13" i="20"/>
  <c r="BAY13" i="20"/>
  <c r="BAZ13" i="20"/>
  <c r="BBA13" i="20"/>
  <c r="BBB13" i="20"/>
  <c r="BBC13" i="20"/>
  <c r="BBD13" i="20"/>
  <c r="BBE13" i="20"/>
  <c r="BBQ13" i="20"/>
  <c r="BBR13" i="20"/>
  <c r="BBS13" i="20"/>
  <c r="BBT13" i="20"/>
  <c r="BBU13" i="20"/>
  <c r="BBV13" i="20"/>
  <c r="BBW13" i="20"/>
  <c r="BBX13" i="20"/>
  <c r="BBY13" i="20"/>
  <c r="BBZ13" i="20"/>
  <c r="BCA13" i="20"/>
  <c r="BCM13" i="20"/>
  <c r="BCN13" i="20"/>
  <c r="BCO13" i="20"/>
  <c r="BCP13" i="20"/>
  <c r="BCQ13" i="20"/>
  <c r="BCR13" i="20"/>
  <c r="BCS13" i="20"/>
  <c r="BCT13" i="20"/>
  <c r="BCU13" i="20"/>
  <c r="BCV13" i="20"/>
  <c r="BCW13" i="20"/>
  <c r="BDI13" i="20"/>
  <c r="BDJ13" i="20"/>
  <c r="BDK13" i="20"/>
  <c r="BDL13" i="20"/>
  <c r="BDM13" i="20"/>
  <c r="BDN13" i="20"/>
  <c r="BDO13" i="20"/>
  <c r="BDP13" i="20"/>
  <c r="BDQ13" i="20"/>
  <c r="BDR13" i="20"/>
  <c r="BDS13" i="20"/>
  <c r="BEE13" i="20"/>
  <c r="BEF13" i="20"/>
  <c r="BEG13" i="20"/>
  <c r="BEH13" i="20"/>
  <c r="BEI13" i="20"/>
  <c r="BEJ13" i="20"/>
  <c r="BEK13" i="20"/>
  <c r="BEL13" i="20"/>
  <c r="BEM13" i="20"/>
  <c r="BEN13" i="20"/>
  <c r="BEO13" i="20"/>
  <c r="BFA13" i="20"/>
  <c r="BFB13" i="20"/>
  <c r="BFC13" i="20"/>
  <c r="BFD13" i="20"/>
  <c r="BFE13" i="20"/>
  <c r="BFF13" i="20"/>
  <c r="BFG13" i="20"/>
  <c r="BFH13" i="20"/>
  <c r="BFI13" i="20"/>
  <c r="BFJ13" i="20"/>
  <c r="BFK13" i="20"/>
  <c r="BFW13" i="20"/>
  <c r="BFX13" i="20"/>
  <c r="BFY13" i="20"/>
  <c r="BFZ13" i="20"/>
  <c r="BGA13" i="20"/>
  <c r="BGB13" i="20"/>
  <c r="BGC13" i="20"/>
  <c r="BGD13" i="20"/>
  <c r="BGE13" i="20"/>
  <c r="BGF13" i="20"/>
  <c r="BGG13" i="20"/>
  <c r="BGS13" i="20"/>
  <c r="BGT13" i="20"/>
  <c r="BGU13" i="20"/>
  <c r="BGV13" i="20"/>
  <c r="BGW13" i="20"/>
  <c r="BGX13" i="20"/>
  <c r="BGY13" i="20"/>
  <c r="BGZ13" i="20"/>
  <c r="BHA13" i="20"/>
  <c r="BHB13" i="20"/>
  <c r="BHC13" i="20"/>
  <c r="BHO13" i="20"/>
  <c r="BHP13" i="20"/>
  <c r="BHQ13" i="20"/>
  <c r="BHR13" i="20"/>
  <c r="BHS13" i="20"/>
  <c r="BHT13" i="20"/>
  <c r="BHU13" i="20"/>
  <c r="BHV13" i="20"/>
  <c r="BHW13" i="20"/>
  <c r="BHX13" i="20"/>
  <c r="BHY13" i="20"/>
  <c r="BIK13" i="20"/>
  <c r="BIL13" i="20"/>
  <c r="BIM13" i="20"/>
  <c r="BIN13" i="20"/>
  <c r="BIO13" i="20"/>
  <c r="BIP13" i="20"/>
  <c r="BIQ13" i="20"/>
  <c r="BIR13" i="20"/>
  <c r="BIS13" i="20"/>
  <c r="BIT13" i="20"/>
  <c r="BIU13" i="20"/>
  <c r="BJG13" i="20"/>
  <c r="BJH13" i="20"/>
  <c r="BJI13" i="20"/>
  <c r="BJJ13" i="20"/>
  <c r="BJK13" i="20"/>
  <c r="BJL13" i="20"/>
  <c r="BJM13" i="20"/>
  <c r="BJN13" i="20"/>
  <c r="BJO13" i="20"/>
  <c r="BJP13" i="20"/>
  <c r="BJQ13" i="20"/>
  <c r="BKC13" i="20"/>
  <c r="BKD13" i="20"/>
  <c r="BKE13" i="20"/>
  <c r="BKF13" i="20"/>
  <c r="BKG13" i="20"/>
  <c r="BKH13" i="20"/>
  <c r="BKI13" i="20"/>
  <c r="BKJ13" i="20"/>
  <c r="BKK13" i="20"/>
  <c r="BKL13" i="20"/>
  <c r="BKM13" i="20"/>
  <c r="BKY13" i="20"/>
  <c r="BKZ13" i="20"/>
  <c r="BLA13" i="20"/>
  <c r="BLB13" i="20"/>
  <c r="BLC13" i="20"/>
  <c r="BLD13" i="20"/>
  <c r="BLE13" i="20"/>
  <c r="BLF13" i="20"/>
  <c r="BLG13" i="20"/>
  <c r="BLH13" i="20"/>
  <c r="BLI13" i="20"/>
  <c r="BLU13" i="20"/>
  <c r="BLV13" i="20"/>
  <c r="BLW13" i="20"/>
  <c r="BLX13" i="20"/>
  <c r="BLY13" i="20"/>
  <c r="BLZ13" i="20"/>
  <c r="BMA13" i="20"/>
  <c r="BMB13" i="20"/>
  <c r="BMC13" i="20"/>
  <c r="BMD13" i="20"/>
  <c r="BME13" i="20"/>
  <c r="BMQ13" i="20"/>
  <c r="BMR13" i="20"/>
  <c r="BMS13" i="20"/>
  <c r="BMT13" i="20"/>
  <c r="BMU13" i="20"/>
  <c r="BMV13" i="20"/>
  <c r="BMW13" i="20"/>
  <c r="BMX13" i="20"/>
  <c r="BMY13" i="20"/>
  <c r="BMZ13" i="20"/>
  <c r="BNA13" i="20"/>
  <c r="BNM13" i="20"/>
  <c r="BNN13" i="20"/>
  <c r="BNO13" i="20"/>
  <c r="BNP13" i="20"/>
  <c r="BNQ13" i="20"/>
  <c r="BNR13" i="20"/>
  <c r="BNS13" i="20"/>
  <c r="BNT13" i="20"/>
  <c r="BNU13" i="20"/>
  <c r="BNV13" i="20"/>
  <c r="BNW13" i="20"/>
  <c r="BOI13" i="20"/>
  <c r="BOJ13" i="20"/>
  <c r="BOK13" i="20"/>
  <c r="BOL13" i="20"/>
  <c r="BOM13" i="20"/>
  <c r="BON13" i="20"/>
  <c r="BOO13" i="20"/>
  <c r="BOP13" i="20"/>
  <c r="BOQ13" i="20"/>
  <c r="BOR13" i="20"/>
  <c r="BOS13" i="20"/>
  <c r="BPE13" i="20"/>
  <c r="BPF13" i="20"/>
  <c r="BPG13" i="20"/>
  <c r="BPH13" i="20"/>
  <c r="BPI13" i="20"/>
  <c r="BPJ13" i="20"/>
  <c r="BPK13" i="20"/>
  <c r="BPL13" i="20"/>
  <c r="BPM13" i="20"/>
  <c r="BPN13" i="20"/>
  <c r="BPO13" i="20"/>
  <c r="BQA13" i="20"/>
  <c r="BQB13" i="20"/>
  <c r="BQC13" i="20"/>
  <c r="BQD13" i="20"/>
  <c r="BQE13" i="20"/>
  <c r="BQF13" i="20"/>
  <c r="BQG13" i="20"/>
  <c r="BQH13" i="20"/>
  <c r="BQI13" i="20"/>
  <c r="BQJ13" i="20"/>
  <c r="BQK13" i="20"/>
  <c r="BQW13" i="20"/>
  <c r="BQX13" i="20"/>
  <c r="BQY13" i="20"/>
  <c r="BQZ13" i="20"/>
  <c r="BRA13" i="20"/>
  <c r="BRB13" i="20"/>
  <c r="BRC13" i="20"/>
  <c r="BRD13" i="20"/>
  <c r="BRE13" i="20"/>
  <c r="BRF13" i="20"/>
  <c r="BRG13" i="20"/>
  <c r="BRS13" i="20"/>
  <c r="BRT13" i="20"/>
  <c r="BRU13" i="20"/>
  <c r="BRV13" i="20"/>
  <c r="BRW13" i="20"/>
  <c r="BRX13" i="20"/>
  <c r="BRY13" i="20"/>
  <c r="BRZ13" i="20"/>
  <c r="BSA13" i="20"/>
  <c r="BSB13" i="20"/>
  <c r="BSC13" i="20"/>
  <c r="BSO13" i="20"/>
  <c r="BSP13" i="20"/>
  <c r="BSQ13" i="20"/>
  <c r="BSR13" i="20"/>
  <c r="BSS13" i="20"/>
  <c r="BST13" i="20"/>
  <c r="BSU13" i="20"/>
  <c r="BSV13" i="20"/>
  <c r="BSW13" i="20"/>
  <c r="BSX13" i="20"/>
  <c r="BSY13" i="20"/>
  <c r="BTK13" i="20"/>
  <c r="BTL13" i="20"/>
  <c r="BTM13" i="20"/>
  <c r="BTN13" i="20"/>
  <c r="BTO13" i="20"/>
  <c r="BTP13" i="20"/>
  <c r="BTQ13" i="20"/>
  <c r="BTR13" i="20"/>
  <c r="BTS13" i="20"/>
  <c r="BTT13" i="20"/>
  <c r="BTU13" i="20"/>
  <c r="BUG13" i="20"/>
  <c r="BUH13" i="20"/>
  <c r="BUI13" i="20"/>
  <c r="BUJ13" i="20"/>
  <c r="BUK13" i="20"/>
  <c r="BUL13" i="20"/>
  <c r="BUM13" i="20"/>
  <c r="BUN13" i="20"/>
  <c r="BUO13" i="20"/>
  <c r="BUP13" i="20"/>
  <c r="BUQ13" i="20"/>
  <c r="BVC13" i="20"/>
  <c r="BVD13" i="20"/>
  <c r="BVE13" i="20"/>
  <c r="BVF13" i="20"/>
  <c r="BVG13" i="20"/>
  <c r="BVH13" i="20"/>
  <c r="BVI13" i="20"/>
  <c r="BVJ13" i="20"/>
  <c r="BVK13" i="20"/>
  <c r="BVL13" i="20"/>
  <c r="BVM13" i="20"/>
  <c r="BVY13" i="20"/>
  <c r="BVZ13" i="20"/>
  <c r="BWA13" i="20"/>
  <c r="BWB13" i="20"/>
  <c r="BWC13" i="20"/>
  <c r="BWD13" i="20"/>
  <c r="BWE13" i="20"/>
  <c r="BWF13" i="20"/>
  <c r="BWG13" i="20"/>
  <c r="BWH13" i="20"/>
  <c r="BWI13" i="20"/>
  <c r="BWU13" i="20"/>
  <c r="BWV13" i="20"/>
  <c r="BWW13" i="20"/>
  <c r="BWX13" i="20"/>
  <c r="BWY13" i="20"/>
  <c r="BWZ13" i="20"/>
  <c r="BXA13" i="20"/>
  <c r="BXB13" i="20"/>
  <c r="BXC13" i="20"/>
  <c r="BXD13" i="20"/>
  <c r="BXE13" i="20"/>
  <c r="BXQ13" i="20"/>
  <c r="BXR13" i="20"/>
  <c r="BXS13" i="20"/>
  <c r="BXT13" i="20"/>
  <c r="BXU13" i="20"/>
  <c r="BXV13" i="20"/>
  <c r="BXW13" i="20"/>
  <c r="BXX13" i="20"/>
  <c r="BXY13" i="20"/>
  <c r="BXZ13" i="20"/>
  <c r="BYA13" i="20"/>
  <c r="BYM13" i="20"/>
  <c r="BYN13" i="20"/>
  <c r="BYO13" i="20"/>
  <c r="BYP13" i="20"/>
  <c r="BYQ13" i="20"/>
  <c r="BYR13" i="20"/>
  <c r="BYS13" i="20"/>
  <c r="BYT13" i="20"/>
  <c r="BYU13" i="20"/>
  <c r="BYV13" i="20"/>
  <c r="BYW13" i="20"/>
  <c r="BZI13" i="20"/>
  <c r="BZJ13" i="20"/>
  <c r="BZK13" i="20"/>
  <c r="BZL13" i="20"/>
  <c r="BZM13" i="20"/>
  <c r="BZN13" i="20"/>
  <c r="BZO13" i="20"/>
  <c r="BZP13" i="20"/>
  <c r="BZQ13" i="20"/>
  <c r="BZR13" i="20"/>
  <c r="BZS13" i="20"/>
  <c r="CAE13" i="20"/>
  <c r="CAF13" i="20"/>
  <c r="CAG13" i="20"/>
  <c r="CAH13" i="20"/>
  <c r="CAI13" i="20"/>
  <c r="CAJ13" i="20"/>
  <c r="CAK13" i="20"/>
  <c r="CAL13" i="20"/>
  <c r="CAM13" i="20"/>
  <c r="CAN13" i="20"/>
  <c r="CAO13" i="20"/>
  <c r="CBA13" i="20"/>
  <c r="CBB13" i="20"/>
  <c r="CBC13" i="20"/>
  <c r="CBD13" i="20"/>
  <c r="CBE13" i="20"/>
  <c r="CBF13" i="20"/>
  <c r="CBG13" i="20"/>
  <c r="CBH13" i="20"/>
  <c r="CBI13" i="20"/>
  <c r="CBJ13" i="20"/>
  <c r="CBK13" i="20"/>
  <c r="CBW13" i="20"/>
  <c r="CBX13" i="20"/>
  <c r="CBY13" i="20"/>
  <c r="CBZ13" i="20"/>
  <c r="CCA13" i="20"/>
  <c r="CCB13" i="20"/>
  <c r="CCC13" i="20"/>
  <c r="CCD13" i="20"/>
  <c r="CCE13" i="20"/>
  <c r="CCF13" i="20"/>
  <c r="CCG13" i="20"/>
  <c r="CCS13" i="20"/>
  <c r="CCT13" i="20"/>
  <c r="CCU13" i="20"/>
  <c r="CCV13" i="20"/>
  <c r="CCW13" i="20"/>
  <c r="CCX13" i="20"/>
  <c r="CCY13" i="20"/>
  <c r="CCZ13" i="20"/>
  <c r="CDA13" i="20"/>
  <c r="CDB13" i="20"/>
  <c r="CDC13" i="20"/>
  <c r="CDO13" i="20"/>
  <c r="CDP13" i="20"/>
  <c r="CDQ13" i="20"/>
  <c r="CDR13" i="20"/>
  <c r="CDS13" i="20"/>
  <c r="CDT13" i="20"/>
  <c r="CDU13" i="20"/>
  <c r="CDV13" i="20"/>
  <c r="CDW13" i="20"/>
  <c r="CDX13" i="20"/>
  <c r="CDY13" i="20"/>
  <c r="CEK13" i="20"/>
  <c r="CEL13" i="20"/>
  <c r="CEM13" i="20"/>
  <c r="CEN13" i="20"/>
  <c r="CEO13" i="20"/>
  <c r="CEP13" i="20"/>
  <c r="CEQ13" i="20"/>
  <c r="CER13" i="20"/>
  <c r="CES13" i="20"/>
  <c r="CET13" i="20"/>
  <c r="CEU13" i="20"/>
  <c r="CFG13" i="20"/>
  <c r="CFH13" i="20"/>
  <c r="CFI13" i="20"/>
  <c r="CFJ13" i="20"/>
  <c r="CFK13" i="20"/>
  <c r="CFL13" i="20"/>
  <c r="CFM13" i="20"/>
  <c r="CFN13" i="20"/>
  <c r="CFO13" i="20"/>
  <c r="CFP13" i="20"/>
  <c r="CFQ13" i="20"/>
  <c r="CGC13" i="20"/>
  <c r="CGD13" i="20"/>
  <c r="CGE13" i="20"/>
  <c r="CGF13" i="20"/>
  <c r="CGG13" i="20"/>
  <c r="CGH13" i="20"/>
  <c r="CGI13" i="20"/>
  <c r="CGJ13" i="20"/>
  <c r="CGK13" i="20"/>
  <c r="CGL13" i="20"/>
  <c r="CGM13" i="20"/>
  <c r="CGY13" i="20"/>
  <c r="CGZ13" i="20"/>
  <c r="CHA13" i="20"/>
  <c r="CHB13" i="20"/>
  <c r="CHC13" i="20"/>
  <c r="CHD13" i="20"/>
  <c r="CHE13" i="20"/>
  <c r="CHF13" i="20"/>
  <c r="CHG13" i="20"/>
  <c r="CHH13" i="20"/>
  <c r="CHI13" i="20"/>
  <c r="CHU13" i="20"/>
  <c r="CHV13" i="20"/>
  <c r="CHW13" i="20"/>
  <c r="CHX13" i="20"/>
  <c r="CHY13" i="20"/>
  <c r="CHZ13" i="20"/>
  <c r="CIA13" i="20"/>
  <c r="CIB13" i="20"/>
  <c r="CIC13" i="20"/>
  <c r="CID13" i="20"/>
  <c r="CIE13" i="20"/>
  <c r="CIQ13" i="20"/>
  <c r="CIR13" i="20"/>
  <c r="CIS13" i="20"/>
  <c r="CIT13" i="20"/>
  <c r="CIU13" i="20"/>
  <c r="CIV13" i="20"/>
  <c r="CIW13" i="20"/>
  <c r="CIX13" i="20"/>
  <c r="CIY13" i="20"/>
  <c r="CIZ13" i="20"/>
  <c r="CJA13" i="20"/>
  <c r="CJM13" i="20"/>
  <c r="CJN13" i="20"/>
  <c r="CJO13" i="20"/>
  <c r="CJP13" i="20"/>
  <c r="CJQ13" i="20"/>
  <c r="CJR13" i="20"/>
  <c r="CJS13" i="20"/>
  <c r="CJT13" i="20"/>
  <c r="CJU13" i="20"/>
  <c r="CJV13" i="20"/>
  <c r="CJW13" i="20"/>
  <c r="CKI13" i="20"/>
  <c r="CKJ13" i="20"/>
  <c r="CKK13" i="20"/>
  <c r="CKL13" i="20"/>
  <c r="CKM13" i="20"/>
  <c r="CKN13" i="20"/>
  <c r="CKO13" i="20"/>
  <c r="CKP13" i="20"/>
  <c r="CKQ13" i="20"/>
  <c r="CKR13" i="20"/>
  <c r="CKS13" i="20"/>
  <c r="CLE13" i="20"/>
  <c r="CLF13" i="20"/>
  <c r="CLG13" i="20"/>
  <c r="CLH13" i="20"/>
  <c r="CLI13" i="20"/>
  <c r="CLJ13" i="20"/>
  <c r="CLK13" i="20"/>
  <c r="CLL13" i="20"/>
  <c r="CLM13" i="20"/>
  <c r="CLN13" i="20"/>
  <c r="CLO13" i="20"/>
  <c r="CMA13" i="20"/>
  <c r="CMB13" i="20"/>
  <c r="CMC13" i="20"/>
  <c r="CMD13" i="20"/>
  <c r="CME13" i="20"/>
  <c r="CMF13" i="20"/>
  <c r="CMG13" i="20"/>
  <c r="CMH13" i="20"/>
  <c r="CMI13" i="20"/>
  <c r="CMJ13" i="20"/>
  <c r="CMK13" i="20"/>
  <c r="CMW13" i="20"/>
  <c r="CMX13" i="20"/>
  <c r="CMY13" i="20"/>
  <c r="CMZ13" i="20"/>
  <c r="CNA13" i="20"/>
  <c r="CNB13" i="20"/>
  <c r="CNC13" i="20"/>
  <c r="CND13" i="20"/>
  <c r="CNE13" i="20"/>
  <c r="CNF13" i="20"/>
  <c r="CNG13" i="20"/>
  <c r="CNS13" i="20"/>
  <c r="CNT13" i="20"/>
  <c r="CNU13" i="20"/>
  <c r="CNV13" i="20"/>
  <c r="CNW13" i="20"/>
  <c r="CNX13" i="20"/>
  <c r="CNY13" i="20"/>
  <c r="CNZ13" i="20"/>
  <c r="COA13" i="20"/>
  <c r="COB13" i="20"/>
  <c r="COC13" i="20"/>
  <c r="COO13" i="20"/>
  <c r="COP13" i="20"/>
  <c r="COQ13" i="20"/>
  <c r="COR13" i="20"/>
  <c r="COS13" i="20"/>
  <c r="COT13" i="20"/>
  <c r="COU13" i="20"/>
  <c r="COV13" i="20"/>
  <c r="COW13" i="20"/>
  <c r="COX13" i="20"/>
  <c r="COY13" i="20"/>
  <c r="CPK13" i="20"/>
  <c r="CPL13" i="20"/>
  <c r="CPM13" i="20"/>
  <c r="CPN13" i="20"/>
  <c r="CPO13" i="20"/>
  <c r="CPP13" i="20"/>
  <c r="CPQ13" i="20"/>
  <c r="CPR13" i="20"/>
  <c r="CPS13" i="20"/>
  <c r="CPT13" i="20"/>
  <c r="CPU13" i="20"/>
  <c r="CQG13" i="20"/>
  <c r="CQH13" i="20"/>
  <c r="CQI13" i="20"/>
  <c r="CQJ13" i="20"/>
  <c r="CQK13" i="20"/>
  <c r="CQL13" i="20"/>
  <c r="CQM13" i="20"/>
  <c r="CQN13" i="20"/>
  <c r="CQO13" i="20"/>
  <c r="CQP13" i="20"/>
  <c r="CQQ13" i="20"/>
  <c r="CRC13" i="20"/>
  <c r="CRD13" i="20"/>
  <c r="CRE13" i="20"/>
  <c r="CRF13" i="20"/>
  <c r="CRG13" i="20"/>
  <c r="CRH13" i="20"/>
  <c r="CRI13" i="20"/>
  <c r="CRJ13" i="20"/>
  <c r="CRK13" i="20"/>
  <c r="CRL13" i="20"/>
  <c r="CRM13" i="20"/>
  <c r="CRY13" i="20"/>
  <c r="CRZ13" i="20"/>
  <c r="CSA13" i="20"/>
  <c r="CSB13" i="20"/>
  <c r="CSC13" i="20"/>
  <c r="CSD13" i="20"/>
  <c r="CSE13" i="20"/>
  <c r="CSF13" i="20"/>
  <c r="CSG13" i="20"/>
  <c r="CSH13" i="20"/>
  <c r="CSI13" i="20"/>
  <c r="CSU13" i="20"/>
  <c r="CSV13" i="20"/>
  <c r="CSW13" i="20"/>
  <c r="CSX13" i="20"/>
  <c r="CSY13" i="20"/>
  <c r="CSZ13" i="20"/>
  <c r="CTA13" i="20"/>
  <c r="CTB13" i="20"/>
  <c r="CTC13" i="20"/>
  <c r="CTD13" i="20"/>
  <c r="CTE13" i="20"/>
  <c r="CTQ13" i="20"/>
  <c r="CTR13" i="20"/>
  <c r="CTS13" i="20"/>
  <c r="CTT13" i="20"/>
  <c r="CTU13" i="20"/>
  <c r="CTV13" i="20"/>
  <c r="CTW13" i="20"/>
  <c r="CTX13" i="20"/>
  <c r="CTY13" i="20"/>
  <c r="CTZ13" i="20"/>
  <c r="CUA13" i="20"/>
  <c r="CUM13" i="20"/>
  <c r="CUN13" i="20"/>
  <c r="CUO13" i="20"/>
  <c r="CUP13" i="20"/>
  <c r="CUQ13" i="20"/>
  <c r="CUR13" i="20"/>
  <c r="CUS13" i="20"/>
  <c r="CUT13" i="20"/>
  <c r="CUU13" i="20"/>
  <c r="CUV13" i="20"/>
  <c r="CUW13" i="20"/>
  <c r="CVI13" i="20"/>
  <c r="CVJ13" i="20"/>
  <c r="CVK13" i="20"/>
  <c r="CVL13" i="20"/>
  <c r="CVM13" i="20"/>
  <c r="CVN13" i="20"/>
  <c r="CVO13" i="20"/>
  <c r="CVP13" i="20"/>
  <c r="CVQ13" i="20"/>
  <c r="CVR13" i="20"/>
  <c r="CVS13" i="20"/>
  <c r="CWE13" i="20"/>
  <c r="CWF13" i="20"/>
  <c r="CWG13" i="20"/>
  <c r="CWH13" i="20"/>
  <c r="CWI13" i="20"/>
  <c r="CWJ13" i="20"/>
  <c r="CWK13" i="20"/>
  <c r="CWL13" i="20"/>
  <c r="CWM13" i="20"/>
  <c r="CWN13" i="20"/>
  <c r="CWO13" i="20"/>
  <c r="CXA13" i="20"/>
  <c r="CXB13" i="20"/>
  <c r="CXC13" i="20"/>
  <c r="CXD13" i="20"/>
  <c r="CXE13" i="20"/>
  <c r="CXF13" i="20"/>
  <c r="CXG13" i="20"/>
  <c r="CXH13" i="20"/>
  <c r="CXI13" i="20"/>
  <c r="CXJ13" i="20"/>
  <c r="CXK13" i="20"/>
  <c r="CXW13" i="20"/>
  <c r="CXX13" i="20"/>
  <c r="CXY13" i="20"/>
  <c r="CXZ13" i="20"/>
  <c r="CYA13" i="20"/>
  <c r="CYB13" i="20"/>
  <c r="CYC13" i="20"/>
  <c r="CYD13" i="20"/>
  <c r="CYE13" i="20"/>
  <c r="CYF13" i="20"/>
  <c r="CYG13" i="20"/>
  <c r="CYS13" i="20"/>
  <c r="CYT13" i="20"/>
  <c r="CYU13" i="20"/>
  <c r="CYV13" i="20"/>
  <c r="CYW13" i="20"/>
  <c r="CYX13" i="20"/>
  <c r="CYY13" i="20"/>
  <c r="CYZ13" i="20"/>
  <c r="CZA13" i="20"/>
  <c r="CZB13" i="20"/>
  <c r="CZC13" i="20"/>
  <c r="CZO13" i="20"/>
  <c r="CZP13" i="20"/>
  <c r="CZQ13" i="20"/>
  <c r="CZR13" i="20"/>
  <c r="CZS13" i="20"/>
  <c r="CZT13" i="20"/>
  <c r="CZU13" i="20"/>
  <c r="CZV13" i="20"/>
  <c r="CZW13" i="20"/>
  <c r="CZX13" i="20"/>
  <c r="CZY13" i="20"/>
  <c r="DAK13" i="20"/>
  <c r="DAL13" i="20"/>
  <c r="DAM13" i="20"/>
  <c r="DAN13" i="20"/>
  <c r="DAO13" i="20"/>
  <c r="DAP13" i="20"/>
  <c r="DAQ13" i="20"/>
  <c r="DAR13" i="20"/>
  <c r="DAS13" i="20"/>
  <c r="DAT13" i="20"/>
  <c r="DAU13" i="20"/>
  <c r="DBG13" i="20"/>
  <c r="DBH13" i="20"/>
  <c r="DBI13" i="20"/>
  <c r="DBJ13" i="20"/>
  <c r="DBK13" i="20"/>
  <c r="DBL13" i="20"/>
  <c r="DBM13" i="20"/>
  <c r="DBN13" i="20"/>
  <c r="DBO13" i="20"/>
  <c r="DBP13" i="20"/>
  <c r="DBQ13" i="20"/>
  <c r="DCC13" i="20"/>
  <c r="DCD13" i="20"/>
  <c r="DCE13" i="20"/>
  <c r="DCF13" i="20"/>
  <c r="DCG13" i="20"/>
  <c r="DCH13" i="20"/>
  <c r="DCI13" i="20"/>
  <c r="DCJ13" i="20"/>
  <c r="DCK13" i="20"/>
  <c r="DCL13" i="20"/>
  <c r="DCM13" i="20"/>
  <c r="DCY13" i="20"/>
  <c r="DCZ13" i="20"/>
  <c r="DDA13" i="20"/>
  <c r="DDB13" i="20"/>
  <c r="DDC13" i="20"/>
  <c r="DDD13" i="20"/>
  <c r="DDE13" i="20"/>
  <c r="DDF13" i="20"/>
  <c r="DDG13" i="20"/>
  <c r="DDH13" i="20"/>
  <c r="DDI13" i="20"/>
  <c r="AAE14" i="20"/>
  <c r="AAF14" i="20"/>
  <c r="AAG14" i="20"/>
  <c r="AAH14" i="20"/>
  <c r="AAI14" i="20"/>
  <c r="AAJ14" i="20"/>
  <c r="AAK14" i="20"/>
  <c r="AAL14" i="20"/>
  <c r="AAM14" i="20"/>
  <c r="AAN14" i="20"/>
  <c r="AAO14" i="20"/>
  <c r="AAP14" i="20"/>
  <c r="AAQ14" i="20"/>
  <c r="AAR14" i="20"/>
  <c r="AAS14" i="20"/>
  <c r="AAT14" i="20"/>
  <c r="AAU14" i="20"/>
  <c r="AAV14" i="20"/>
  <c r="AAW14" i="20"/>
  <c r="AAX14" i="20"/>
  <c r="AAY14" i="20"/>
  <c r="AAZ14" i="20"/>
  <c r="ABA14" i="20"/>
  <c r="ABB14" i="20"/>
  <c r="ABC14" i="20"/>
  <c r="ABD14" i="20"/>
  <c r="ABE14" i="20"/>
  <c r="ABF14" i="20"/>
  <c r="ABG14" i="20"/>
  <c r="ABH14" i="20"/>
  <c r="ABI14" i="20"/>
  <c r="ABJ14" i="20"/>
  <c r="ABK14" i="20"/>
  <c r="ABL14" i="20"/>
  <c r="ABM14" i="20"/>
  <c r="ABN14" i="20"/>
  <c r="ABO14" i="20"/>
  <c r="ABP14" i="20"/>
  <c r="ABQ14" i="20"/>
  <c r="ABR14" i="20"/>
  <c r="ABS14" i="20"/>
  <c r="ABT14" i="20"/>
  <c r="ABU14" i="20"/>
  <c r="ABV14" i="20"/>
  <c r="ABW14" i="20"/>
  <c r="ABX14" i="20"/>
  <c r="ABY14" i="20"/>
  <c r="ABZ14" i="20"/>
  <c r="ACA14" i="20"/>
  <c r="ACB14" i="20"/>
  <c r="ACC14" i="20"/>
  <c r="ACD14" i="20"/>
  <c r="ACE14" i="20"/>
  <c r="ACF14" i="20"/>
  <c r="ACG14" i="20"/>
  <c r="ACH14" i="20"/>
  <c r="ACI14" i="20"/>
  <c r="ACJ14" i="20"/>
  <c r="ACK14" i="20"/>
  <c r="ACL14" i="20"/>
  <c r="ACM14" i="20"/>
  <c r="ACN14" i="20"/>
  <c r="ACO14" i="20"/>
  <c r="ACP14" i="20"/>
  <c r="ACQ14" i="20"/>
  <c r="ACR14" i="20"/>
  <c r="ACS14" i="20"/>
  <c r="ACT14" i="20"/>
  <c r="ACU14" i="20"/>
  <c r="ACV14" i="20"/>
  <c r="ACW14" i="20"/>
  <c r="ACX14" i="20"/>
  <c r="ACY14" i="20"/>
  <c r="ACZ14" i="20"/>
  <c r="ADA14" i="20"/>
  <c r="ADB14" i="20"/>
  <c r="ADC14" i="20"/>
  <c r="ADD14" i="20"/>
  <c r="ADE14" i="20"/>
  <c r="ADF14" i="20"/>
  <c r="ADG14" i="20"/>
  <c r="ADH14" i="20"/>
  <c r="ADI14" i="20"/>
  <c r="ADJ14" i="20"/>
  <c r="ADK14" i="20"/>
  <c r="ADL14" i="20"/>
  <c r="ADM14" i="20"/>
  <c r="ADN14" i="20"/>
  <c r="ADO14" i="20"/>
  <c r="ADP14" i="20"/>
  <c r="ADQ14" i="20"/>
  <c r="ADR14" i="20"/>
  <c r="ADS14" i="20"/>
  <c r="ADT14" i="20"/>
  <c r="ADU14" i="20"/>
  <c r="ADV14" i="20"/>
  <c r="ADW14" i="20"/>
  <c r="ADX14" i="20"/>
  <c r="ADY14" i="20"/>
  <c r="ADZ14" i="20"/>
  <c r="AEA14" i="20"/>
  <c r="AEB14" i="20"/>
  <c r="AEC14" i="20"/>
  <c r="AED14" i="20"/>
  <c r="AEE14" i="20"/>
  <c r="AEF14" i="20"/>
  <c r="AEG14" i="20"/>
  <c r="AEH14" i="20"/>
  <c r="AEI14" i="20"/>
  <c r="AEJ14" i="20"/>
  <c r="AEK14" i="20"/>
  <c r="AEL14" i="20"/>
  <c r="AEM14" i="20"/>
  <c r="AEN14" i="20"/>
  <c r="AEO14" i="20"/>
  <c r="AEP14" i="20"/>
  <c r="AEQ14" i="20"/>
  <c r="AER14" i="20"/>
  <c r="AES14" i="20"/>
  <c r="AET14" i="20"/>
  <c r="AEU14" i="20"/>
  <c r="AEV14" i="20"/>
  <c r="AEW14" i="20"/>
  <c r="AEX14" i="20"/>
  <c r="AEY14" i="20"/>
  <c r="AEZ14" i="20"/>
  <c r="AFA14" i="20"/>
  <c r="AFB14" i="20"/>
  <c r="AFC14" i="20"/>
  <c r="AFD14" i="20"/>
  <c r="AFE14" i="20"/>
  <c r="AFF14" i="20"/>
  <c r="AFG14" i="20"/>
  <c r="AFH14" i="20"/>
  <c r="AFI14" i="20"/>
  <c r="AFJ14" i="20"/>
  <c r="AFK14" i="20"/>
  <c r="AFL14" i="20"/>
  <c r="AFM14" i="20"/>
  <c r="AFN14" i="20"/>
  <c r="AFO14" i="20"/>
  <c r="AFP14" i="20"/>
  <c r="AFQ14" i="20"/>
  <c r="AFR14" i="20"/>
  <c r="AFS14" i="20"/>
  <c r="AFT14" i="20"/>
  <c r="AFU14" i="20"/>
  <c r="AFV14" i="20"/>
  <c r="AFW14" i="20"/>
  <c r="AFX14" i="20"/>
  <c r="AFY14" i="20"/>
  <c r="AFZ14" i="20"/>
  <c r="AGA14" i="20"/>
  <c r="AGB14" i="20"/>
  <c r="AGC14" i="20"/>
  <c r="AGD14" i="20"/>
  <c r="AGE14" i="20"/>
  <c r="AGF14" i="20"/>
  <c r="AGG14" i="20"/>
  <c r="AGH14" i="20"/>
  <c r="AGI14" i="20"/>
  <c r="AGJ14" i="20"/>
  <c r="AGK14" i="20"/>
  <c r="AGL14" i="20"/>
  <c r="AGM14" i="20"/>
  <c r="AGN14" i="20"/>
  <c r="AGO14" i="20"/>
  <c r="AGP14" i="20"/>
  <c r="AGQ14" i="20"/>
  <c r="AGR14" i="20"/>
  <c r="AGS14" i="20"/>
  <c r="AGT14" i="20"/>
  <c r="AGU14" i="20"/>
  <c r="AGV14" i="20"/>
  <c r="AGW14" i="20"/>
  <c r="AGX14" i="20"/>
  <c r="AGY14" i="20"/>
  <c r="AGZ14" i="20"/>
  <c r="AHA14" i="20"/>
  <c r="AHB14" i="20"/>
  <c r="AHC14" i="20"/>
  <c r="AHD14" i="20"/>
  <c r="AHE14" i="20"/>
  <c r="AHF14" i="20"/>
  <c r="AHG14" i="20"/>
  <c r="AHH14" i="20"/>
  <c r="AHI14" i="20"/>
  <c r="AHJ14" i="20"/>
  <c r="AHK14" i="20"/>
  <c r="AHL14" i="20"/>
  <c r="AHM14" i="20"/>
  <c r="AHN14" i="20"/>
  <c r="AHO14" i="20"/>
  <c r="AHP14" i="20"/>
  <c r="AHQ14" i="20"/>
  <c r="AHR14" i="20"/>
  <c r="AHS14" i="20"/>
  <c r="AHT14" i="20"/>
  <c r="AHU14" i="20"/>
  <c r="AHV14" i="20"/>
  <c r="AHW14" i="20"/>
  <c r="AHX14" i="20"/>
  <c r="AHY14" i="20"/>
  <c r="AHZ14" i="20"/>
  <c r="AIA14" i="20"/>
  <c r="AIB14" i="20"/>
  <c r="AIC14" i="20"/>
  <c r="AID14" i="20"/>
  <c r="AIE14" i="20"/>
  <c r="AIF14" i="20"/>
  <c r="AIG14" i="20"/>
  <c r="AIH14" i="20"/>
  <c r="AII14" i="20"/>
  <c r="AIJ14" i="20"/>
  <c r="AIK14" i="20"/>
  <c r="AIL14" i="20"/>
  <c r="AIM14" i="20"/>
  <c r="AIN14" i="20"/>
  <c r="AIO14" i="20"/>
  <c r="AIP14" i="20"/>
  <c r="AIQ14" i="20"/>
  <c r="AIR14" i="20"/>
  <c r="AIS14" i="20"/>
  <c r="AIT14" i="20"/>
  <c r="AIU14" i="20"/>
  <c r="AIV14" i="20"/>
  <c r="AIW14" i="20"/>
  <c r="AIX14" i="20"/>
  <c r="AIY14" i="20"/>
  <c r="AIZ14" i="20"/>
  <c r="AJA14" i="20"/>
  <c r="AJB14" i="20"/>
  <c r="AJC14" i="20"/>
  <c r="AJD14" i="20"/>
  <c r="AJE14" i="20"/>
  <c r="AJF14" i="20"/>
  <c r="AJG14" i="20"/>
  <c r="AJH14" i="20"/>
  <c r="AJI14" i="20"/>
  <c r="AJJ14" i="20"/>
  <c r="AJK14" i="20"/>
  <c r="AJL14" i="20"/>
  <c r="AJM14" i="20"/>
  <c r="AJN14" i="20"/>
  <c r="AJO14" i="20"/>
  <c r="AJP14" i="20"/>
  <c r="AJQ14" i="20"/>
  <c r="AJR14" i="20"/>
  <c r="AJS14" i="20"/>
  <c r="AJT14" i="20"/>
  <c r="AJU14" i="20"/>
  <c r="AJV14" i="20"/>
  <c r="AJW14" i="20"/>
  <c r="AJX14" i="20"/>
  <c r="AJY14" i="20"/>
  <c r="AJZ14" i="20"/>
  <c r="AKA14" i="20"/>
  <c r="AKB14" i="20"/>
  <c r="AKC14" i="20"/>
  <c r="AKD14" i="20"/>
  <c r="AKE14" i="20"/>
  <c r="AKF14" i="20"/>
  <c r="AKG14" i="20"/>
  <c r="AKH14" i="20"/>
  <c r="AKI14" i="20"/>
  <c r="AKJ14" i="20"/>
  <c r="AKK14" i="20"/>
  <c r="AKL14" i="20"/>
  <c r="AKM14" i="20"/>
  <c r="AKN14" i="20"/>
  <c r="AKO14" i="20"/>
  <c r="AKP14" i="20"/>
  <c r="AKQ14" i="20"/>
  <c r="AKR14" i="20"/>
  <c r="AKS14" i="20"/>
  <c r="AKT14" i="20"/>
  <c r="AKU14" i="20"/>
  <c r="AKV14" i="20"/>
  <c r="AKW14" i="20"/>
  <c r="AKX14" i="20"/>
  <c r="AKY14" i="20"/>
  <c r="AKZ14" i="20"/>
  <c r="ALA14" i="20"/>
  <c r="ALB14" i="20"/>
  <c r="ALC14" i="20"/>
  <c r="ALD14" i="20"/>
  <c r="ALE14" i="20"/>
  <c r="ALF14" i="20"/>
  <c r="ALG14" i="20"/>
  <c r="ALH14" i="20"/>
  <c r="ALI14" i="20"/>
  <c r="ALJ14" i="20"/>
  <c r="ALK14" i="20"/>
  <c r="ALL14" i="20"/>
  <c r="ALM14" i="20"/>
  <c r="ALN14" i="20"/>
  <c r="ALO14" i="20"/>
  <c r="ALP14" i="20"/>
  <c r="ALQ14" i="20"/>
  <c r="ALR14" i="20"/>
  <c r="ALS14" i="20"/>
  <c r="ALT14" i="20"/>
  <c r="ALU14" i="20"/>
  <c r="ALV14" i="20"/>
  <c r="ALW14" i="20"/>
  <c r="ALX14" i="20"/>
  <c r="ALY14" i="20"/>
  <c r="ALZ14" i="20"/>
  <c r="AMA14" i="20"/>
  <c r="AMB14" i="20"/>
  <c r="AMC14" i="20"/>
  <c r="AMD14" i="20"/>
  <c r="AME14" i="20"/>
  <c r="AMF14" i="20"/>
  <c r="AMG14" i="20"/>
  <c r="AMH14" i="20"/>
  <c r="AMI14" i="20"/>
  <c r="AMJ14" i="20"/>
  <c r="AMK14" i="20"/>
  <c r="AML14" i="20"/>
  <c r="AMM14" i="20"/>
  <c r="AMN14" i="20"/>
  <c r="AMO14" i="20"/>
  <c r="AMP14" i="20"/>
  <c r="AMQ14" i="20"/>
  <c r="AMR14" i="20"/>
  <c r="AMS14" i="20"/>
  <c r="AMT14" i="20"/>
  <c r="AMU14" i="20"/>
  <c r="AMV14" i="20"/>
  <c r="AMW14" i="20"/>
  <c r="AMX14" i="20"/>
  <c r="AMY14" i="20"/>
  <c r="AMZ14" i="20"/>
  <c r="ANA14" i="20"/>
  <c r="ANB14" i="20"/>
  <c r="ANC14" i="20"/>
  <c r="AND14" i="20"/>
  <c r="ANE14" i="20"/>
  <c r="ANF14" i="20"/>
  <c r="ANG14" i="20"/>
  <c r="ANH14" i="20"/>
  <c r="ANI14" i="20"/>
  <c r="ANJ14" i="20"/>
  <c r="ANK14" i="20"/>
  <c r="ANL14" i="20"/>
  <c r="ANM14" i="20"/>
  <c r="ANN14" i="20"/>
  <c r="ANO14" i="20"/>
  <c r="ANP14" i="20"/>
  <c r="ANQ14" i="20"/>
  <c r="ANR14" i="20"/>
  <c r="ANS14" i="20"/>
  <c r="ANT14" i="20"/>
  <c r="ANU14" i="20"/>
  <c r="ANV14" i="20"/>
  <c r="ANW14" i="20"/>
  <c r="ANX14" i="20"/>
  <c r="ANY14" i="20"/>
  <c r="ANZ14" i="20"/>
  <c r="AOA14" i="20"/>
  <c r="AOB14" i="20"/>
  <c r="AOC14" i="20"/>
  <c r="AOD14" i="20"/>
  <c r="AOE14" i="20"/>
  <c r="AOF14" i="20"/>
  <c r="AOG14" i="20"/>
  <c r="AOH14" i="20"/>
  <c r="AOI14" i="20"/>
  <c r="AOJ14" i="20"/>
  <c r="AOK14" i="20"/>
  <c r="AOL14" i="20"/>
  <c r="AOM14" i="20"/>
  <c r="AON14" i="20"/>
  <c r="AOO14" i="20"/>
  <c r="AOP14" i="20"/>
  <c r="AOQ14" i="20"/>
  <c r="AOR14" i="20"/>
  <c r="AOS14" i="20"/>
  <c r="AOT14" i="20"/>
  <c r="AOU14" i="20"/>
  <c r="AOV14" i="20"/>
  <c r="AOW14" i="20"/>
  <c r="AOX14" i="20"/>
  <c r="AOY14" i="20"/>
  <c r="AOZ14" i="20"/>
  <c r="APA14" i="20"/>
  <c r="APB14" i="20"/>
  <c r="APC14" i="20"/>
  <c r="APD14" i="20"/>
  <c r="APE14" i="20"/>
  <c r="APF14" i="20"/>
  <c r="APG14" i="20"/>
  <c r="APH14" i="20"/>
  <c r="API14" i="20"/>
  <c r="APJ14" i="20"/>
  <c r="APK14" i="20"/>
  <c r="APL14" i="20"/>
  <c r="APM14" i="20"/>
  <c r="APN14" i="20"/>
  <c r="APO14" i="20"/>
  <c r="APP14" i="20"/>
  <c r="APQ14" i="20"/>
  <c r="APR14" i="20"/>
  <c r="APS14" i="20"/>
  <c r="APT14" i="20"/>
  <c r="APU14" i="20"/>
  <c r="APV14" i="20"/>
  <c r="APW14" i="20"/>
  <c r="APX14" i="20"/>
  <c r="APY14" i="20"/>
  <c r="APZ14" i="20"/>
  <c r="AQA14" i="20"/>
  <c r="AQB14" i="20"/>
  <c r="AQC14" i="20"/>
  <c r="AQD14" i="20"/>
  <c r="AQE14" i="20"/>
  <c r="AQF14" i="20"/>
  <c r="AQG14" i="20"/>
  <c r="AQH14" i="20"/>
  <c r="AQI14" i="20"/>
  <c r="AQJ14" i="20"/>
  <c r="AQK14" i="20"/>
  <c r="AQL14" i="20"/>
  <c r="AQM14" i="20"/>
  <c r="AQN14" i="20"/>
  <c r="AQO14" i="20"/>
  <c r="AQP14" i="20"/>
  <c r="AQQ14" i="20"/>
  <c r="AQR14" i="20"/>
  <c r="AQS14" i="20"/>
  <c r="AQT14" i="20"/>
  <c r="AQU14" i="20"/>
  <c r="AQV14" i="20"/>
  <c r="AQW14" i="20"/>
  <c r="AQX14" i="20"/>
  <c r="AQY14" i="20"/>
  <c r="AQZ14" i="20"/>
  <c r="ARA14" i="20"/>
  <c r="ARB14" i="20"/>
  <c r="ARC14" i="20"/>
  <c r="ARD14" i="20"/>
  <c r="ARE14" i="20"/>
  <c r="ARF14" i="20"/>
  <c r="ARG14" i="20"/>
  <c r="ARH14" i="20"/>
  <c r="ARI14" i="20"/>
  <c r="ARJ14" i="20"/>
  <c r="ARK14" i="20"/>
  <c r="ARL14" i="20"/>
  <c r="ARM14" i="20"/>
  <c r="ARN14" i="20"/>
  <c r="ARO14" i="20"/>
  <c r="ARP14" i="20"/>
  <c r="ARQ14" i="20"/>
  <c r="ARR14" i="20"/>
  <c r="ARS14" i="20"/>
  <c r="ART14" i="20"/>
  <c r="ARU14" i="20"/>
  <c r="ARV14" i="20"/>
  <c r="ARW14" i="20"/>
  <c r="ARX14" i="20"/>
  <c r="ARY14" i="20"/>
  <c r="ARZ14" i="20"/>
  <c r="ASA14" i="20"/>
  <c r="ASB14" i="20"/>
  <c r="ASC14" i="20"/>
  <c r="ASD14" i="20"/>
  <c r="ASE14" i="20"/>
  <c r="ASF14" i="20"/>
  <c r="ASG14" i="20"/>
  <c r="ASH14" i="20"/>
  <c r="ASI14" i="20"/>
  <c r="ASJ14" i="20"/>
  <c r="ASK14" i="20"/>
  <c r="ASL14" i="20"/>
  <c r="ASM14" i="20"/>
  <c r="ASN14" i="20"/>
  <c r="ASO14" i="20"/>
  <c r="ASP14" i="20"/>
  <c r="ASQ14" i="20"/>
  <c r="ASR14" i="20"/>
  <c r="ASS14" i="20"/>
  <c r="AST14" i="20"/>
  <c r="ASU14" i="20"/>
  <c r="ASV14" i="20"/>
  <c r="ASW14" i="20"/>
  <c r="ASX14" i="20"/>
  <c r="ASY14" i="20"/>
  <c r="ASZ14" i="20"/>
  <c r="ATA14" i="20"/>
  <c r="ATB14" i="20"/>
  <c r="ATC14" i="20"/>
  <c r="ATD14" i="20"/>
  <c r="ATE14" i="20"/>
  <c r="ATF14" i="20"/>
  <c r="ATG14" i="20"/>
  <c r="ATH14" i="20"/>
  <c r="ATI14" i="20"/>
  <c r="ATJ14" i="20"/>
  <c r="ATK14" i="20"/>
  <c r="ATL14" i="20"/>
  <c r="ATM14" i="20"/>
  <c r="ATN14" i="20"/>
  <c r="ATO14" i="20"/>
  <c r="ATP14" i="20"/>
  <c r="ATQ14" i="20"/>
  <c r="ATR14" i="20"/>
  <c r="ATS14" i="20"/>
  <c r="ATT14" i="20"/>
  <c r="ATU14" i="20"/>
  <c r="ATV14" i="20"/>
  <c r="ATW14" i="20"/>
  <c r="ATX14" i="20"/>
  <c r="ATY14" i="20"/>
  <c r="ATZ14" i="20"/>
  <c r="AUA14" i="20"/>
  <c r="AUB14" i="20"/>
  <c r="AUC14" i="20"/>
  <c r="AUD14" i="20"/>
  <c r="AUE14" i="20"/>
  <c r="AUF14" i="20"/>
  <c r="AUG14" i="20"/>
  <c r="AUH14" i="20"/>
  <c r="AUI14" i="20"/>
  <c r="AUJ14" i="20"/>
  <c r="AUK14" i="20"/>
  <c r="AUL14" i="20"/>
  <c r="AUM14" i="20"/>
  <c r="AUN14" i="20"/>
  <c r="AUO14" i="20"/>
  <c r="AUP14" i="20"/>
  <c r="AUQ14" i="20"/>
  <c r="AUR14" i="20"/>
  <c r="AUS14" i="20"/>
  <c r="AUT14" i="20"/>
  <c r="AUU14" i="20"/>
  <c r="AUV14" i="20"/>
  <c r="AUW14" i="20"/>
  <c r="AUX14" i="20"/>
  <c r="AUY14" i="20"/>
  <c r="AUZ14" i="20"/>
  <c r="AVA14" i="20"/>
  <c r="AVB14" i="20"/>
  <c r="AVC14" i="20"/>
  <c r="AVD14" i="20"/>
  <c r="AVE14" i="20"/>
  <c r="AVF14" i="20"/>
  <c r="AVG14" i="20"/>
  <c r="AVH14" i="20"/>
  <c r="AVI14" i="20"/>
  <c r="AVJ14" i="20"/>
  <c r="AVK14" i="20"/>
  <c r="AVL14" i="20"/>
  <c r="AVM14" i="20"/>
  <c r="AVN14" i="20"/>
  <c r="AVO14" i="20"/>
  <c r="AVP14" i="20"/>
  <c r="AVQ14" i="20"/>
  <c r="AVR14" i="20"/>
  <c r="AVS14" i="20"/>
  <c r="AVT14" i="20"/>
  <c r="AVU14" i="20"/>
  <c r="AVV14" i="20"/>
  <c r="AVW14" i="20"/>
  <c r="AVX14" i="20"/>
  <c r="AVY14" i="20"/>
  <c r="AVZ14" i="20"/>
  <c r="AWA14" i="20"/>
  <c r="AWB14" i="20"/>
  <c r="AWC14" i="20"/>
  <c r="AWD14" i="20"/>
  <c r="AWE14" i="20"/>
  <c r="AWF14" i="20"/>
  <c r="AWG14" i="20"/>
  <c r="AWH14" i="20"/>
  <c r="AWI14" i="20"/>
  <c r="AWJ14" i="20"/>
  <c r="AWK14" i="20"/>
  <c r="AWL14" i="20"/>
  <c r="AWM14" i="20"/>
  <c r="AWN14" i="20"/>
  <c r="AWO14" i="20"/>
  <c r="AWP14" i="20"/>
  <c r="AWQ14" i="20"/>
  <c r="AWR14" i="20"/>
  <c r="AWS14" i="20"/>
  <c r="AWT14" i="20"/>
  <c r="AWU14" i="20"/>
  <c r="AWV14" i="20"/>
  <c r="AWW14" i="20"/>
  <c r="AWX14" i="20"/>
  <c r="AWY14" i="20"/>
  <c r="AWZ14" i="20"/>
  <c r="AXA14" i="20"/>
  <c r="AXB14" i="20"/>
  <c r="AXC14" i="20"/>
  <c r="AXD14" i="20"/>
  <c r="AXE14" i="20"/>
  <c r="AXF14" i="20"/>
  <c r="AXG14" i="20"/>
  <c r="AXH14" i="20"/>
  <c r="AXI14" i="20"/>
  <c r="AXJ14" i="20"/>
  <c r="AXK14" i="20"/>
  <c r="AXL14" i="20"/>
  <c r="AXM14" i="20"/>
  <c r="AXN14" i="20"/>
  <c r="AXO14" i="20"/>
  <c r="AXP14" i="20"/>
  <c r="AXQ14" i="20"/>
  <c r="AXR14" i="20"/>
  <c r="AXS14" i="20"/>
  <c r="AXT14" i="20"/>
  <c r="AXU14" i="20"/>
  <c r="AXV14" i="20"/>
  <c r="AXW14" i="20"/>
  <c r="AXX14" i="20"/>
  <c r="AXY14" i="20"/>
  <c r="AXZ14" i="20"/>
  <c r="AYA14" i="20"/>
  <c r="AYB14" i="20"/>
  <c r="AYC14" i="20"/>
  <c r="AYD14" i="20"/>
  <c r="AYE14" i="20"/>
  <c r="AYF14" i="20"/>
  <c r="AYG14" i="20"/>
  <c r="AYH14" i="20"/>
  <c r="AYI14" i="20"/>
  <c r="AYJ14" i="20"/>
  <c r="AYK14" i="20"/>
  <c r="AYL14" i="20"/>
  <c r="AYM14" i="20"/>
  <c r="AYN14" i="20"/>
  <c r="AYO14" i="20"/>
  <c r="AYP14" i="20"/>
  <c r="AYQ14" i="20"/>
  <c r="AYR14" i="20"/>
  <c r="AYS14" i="20"/>
  <c r="AYT14" i="20"/>
  <c r="AYU14" i="20"/>
  <c r="AYV14" i="20"/>
  <c r="AYW14" i="20"/>
  <c r="AYX14" i="20"/>
  <c r="AYY14" i="20"/>
  <c r="AYZ14" i="20"/>
  <c r="AZA14" i="20"/>
  <c r="AZB14" i="20"/>
  <c r="AZC14" i="20"/>
  <c r="AZD14" i="20"/>
  <c r="AZE14" i="20"/>
  <c r="AZF14" i="20"/>
  <c r="AZG14" i="20"/>
  <c r="AZH14" i="20"/>
  <c r="AZI14" i="20"/>
  <c r="AZJ14" i="20"/>
  <c r="AZK14" i="20"/>
  <c r="AZL14" i="20"/>
  <c r="AZM14" i="20"/>
  <c r="AZN14" i="20"/>
  <c r="AZO14" i="20"/>
  <c r="AZP14" i="20"/>
  <c r="AZQ14" i="20"/>
  <c r="AZR14" i="20"/>
  <c r="AZS14" i="20"/>
  <c r="AZT14" i="20"/>
  <c r="AZU14" i="20"/>
  <c r="AZV14" i="20"/>
  <c r="AZW14" i="20"/>
  <c r="AZX14" i="20"/>
  <c r="AZY14" i="20"/>
  <c r="AZZ14" i="20"/>
  <c r="BAA14" i="20"/>
  <c r="BAB14" i="20"/>
  <c r="BAC14" i="20"/>
  <c r="BAD14" i="20"/>
  <c r="BAE14" i="20"/>
  <c r="BAF14" i="20"/>
  <c r="BAG14" i="20"/>
  <c r="BAH14" i="20"/>
  <c r="BAI14" i="20"/>
  <c r="BAJ14" i="20"/>
  <c r="BAK14" i="20"/>
  <c r="BAL14" i="20"/>
  <c r="BAM14" i="20"/>
  <c r="BAN14" i="20"/>
  <c r="BAO14" i="20"/>
  <c r="BAP14" i="20"/>
  <c r="BAQ14" i="20"/>
  <c r="BAR14" i="20"/>
  <c r="BAS14" i="20"/>
  <c r="BAT14" i="20"/>
  <c r="BAU14" i="20"/>
  <c r="BAV14" i="20"/>
  <c r="BAW14" i="20"/>
  <c r="BAX14" i="20"/>
  <c r="BAY14" i="20"/>
  <c r="BAZ14" i="20"/>
  <c r="BBA14" i="20"/>
  <c r="BBB14" i="20"/>
  <c r="BBC14" i="20"/>
  <c r="BBD14" i="20"/>
  <c r="BBE14" i="20"/>
  <c r="BBF14" i="20"/>
  <c r="BBG14" i="20"/>
  <c r="BBH14" i="20"/>
  <c r="BBI14" i="20"/>
  <c r="BBJ14" i="20"/>
  <c r="BBK14" i="20"/>
  <c r="BBL14" i="20"/>
  <c r="BBM14" i="20"/>
  <c r="BBN14" i="20"/>
  <c r="BBO14" i="20"/>
  <c r="BBP14" i="20"/>
  <c r="BBQ14" i="20"/>
  <c r="BBR14" i="20"/>
  <c r="BBS14" i="20"/>
  <c r="BBT14" i="20"/>
  <c r="BBU14" i="20"/>
  <c r="BBV14" i="20"/>
  <c r="BBW14" i="20"/>
  <c r="BBX14" i="20"/>
  <c r="BBY14" i="20"/>
  <c r="BBZ14" i="20"/>
  <c r="BCA14" i="20"/>
  <c r="BCB14" i="20"/>
  <c r="BCC14" i="20"/>
  <c r="BCD14" i="20"/>
  <c r="BCE14" i="20"/>
  <c r="BCF14" i="20"/>
  <c r="BCG14" i="20"/>
  <c r="BCH14" i="20"/>
  <c r="BCI14" i="20"/>
  <c r="BCJ14" i="20"/>
  <c r="BCK14" i="20"/>
  <c r="BCL14" i="20"/>
  <c r="BCM14" i="20"/>
  <c r="BCN14" i="20"/>
  <c r="BCO14" i="20"/>
  <c r="BCP14" i="20"/>
  <c r="BCQ14" i="20"/>
  <c r="BCR14" i="20"/>
  <c r="BCS14" i="20"/>
  <c r="BCT14" i="20"/>
  <c r="BCU14" i="20"/>
  <c r="BCV14" i="20"/>
  <c r="BCW14" i="20"/>
  <c r="BCX14" i="20"/>
  <c r="BCY14" i="20"/>
  <c r="BCZ14" i="20"/>
  <c r="BDA14" i="20"/>
  <c r="BDB14" i="20"/>
  <c r="BDC14" i="20"/>
  <c r="BDD14" i="20"/>
  <c r="BDE14" i="20"/>
  <c r="BDF14" i="20"/>
  <c r="BDG14" i="20"/>
  <c r="BDH14" i="20"/>
  <c r="BDI14" i="20"/>
  <c r="BDJ14" i="20"/>
  <c r="BDK14" i="20"/>
  <c r="BDL14" i="20"/>
  <c r="BDM14" i="20"/>
  <c r="BDN14" i="20"/>
  <c r="BDO14" i="20"/>
  <c r="BDP14" i="20"/>
  <c r="BDQ14" i="20"/>
  <c r="BDR14" i="20"/>
  <c r="BDS14" i="20"/>
  <c r="BDT14" i="20"/>
  <c r="BDU14" i="20"/>
  <c r="BDV14" i="20"/>
  <c r="BDW14" i="20"/>
  <c r="BDX14" i="20"/>
  <c r="BDY14" i="20"/>
  <c r="BDZ14" i="20"/>
  <c r="BEA14" i="20"/>
  <c r="BEB14" i="20"/>
  <c r="BEC14" i="20"/>
  <c r="BED14" i="20"/>
  <c r="BEE14" i="20"/>
  <c r="BEF14" i="20"/>
  <c r="BEG14" i="20"/>
  <c r="BEH14" i="20"/>
  <c r="BEI14" i="20"/>
  <c r="BEJ14" i="20"/>
  <c r="BEK14" i="20"/>
  <c r="BEL14" i="20"/>
  <c r="BEM14" i="20"/>
  <c r="BEN14" i="20"/>
  <c r="BEO14" i="20"/>
  <c r="BEP14" i="20"/>
  <c r="BEQ14" i="20"/>
  <c r="BER14" i="20"/>
  <c r="BES14" i="20"/>
  <c r="BET14" i="20"/>
  <c r="BEU14" i="20"/>
  <c r="BEV14" i="20"/>
  <c r="BEW14" i="20"/>
  <c r="BEX14" i="20"/>
  <c r="BEY14" i="20"/>
  <c r="BEZ14" i="20"/>
  <c r="BFA14" i="20"/>
  <c r="BFB14" i="20"/>
  <c r="BFC14" i="20"/>
  <c r="BFD14" i="20"/>
  <c r="BFE14" i="20"/>
  <c r="BFF14" i="20"/>
  <c r="BFG14" i="20"/>
  <c r="BFH14" i="20"/>
  <c r="BFI14" i="20"/>
  <c r="BFJ14" i="20"/>
  <c r="BFK14" i="20"/>
  <c r="BFL14" i="20"/>
  <c r="BFM14" i="20"/>
  <c r="BFN14" i="20"/>
  <c r="BFO14" i="20"/>
  <c r="BFP14" i="20"/>
  <c r="BFQ14" i="20"/>
  <c r="BFR14" i="20"/>
  <c r="BFS14" i="20"/>
  <c r="BFT14" i="20"/>
  <c r="BFU14" i="20"/>
  <c r="BFV14" i="20"/>
  <c r="BFW14" i="20"/>
  <c r="BFX14" i="20"/>
  <c r="BFY14" i="20"/>
  <c r="BFZ14" i="20"/>
  <c r="BGA14" i="20"/>
  <c r="BGB14" i="20"/>
  <c r="BGC14" i="20"/>
  <c r="BGD14" i="20"/>
  <c r="BGE14" i="20"/>
  <c r="BGF14" i="20"/>
  <c r="BGG14" i="20"/>
  <c r="BGH14" i="20"/>
  <c r="BGI14" i="20"/>
  <c r="BGJ14" i="20"/>
  <c r="BGK14" i="20"/>
  <c r="BGL14" i="20"/>
  <c r="BGM14" i="20"/>
  <c r="BGN14" i="20"/>
  <c r="BGO14" i="20"/>
  <c r="BGP14" i="20"/>
  <c r="BGQ14" i="20"/>
  <c r="BGR14" i="20"/>
  <c r="BGS14" i="20"/>
  <c r="BGT14" i="20"/>
  <c r="BGU14" i="20"/>
  <c r="BGV14" i="20"/>
  <c r="BGW14" i="20"/>
  <c r="BGX14" i="20"/>
  <c r="BGY14" i="20"/>
  <c r="BGZ14" i="20"/>
  <c r="BHA14" i="20"/>
  <c r="BHB14" i="20"/>
  <c r="BHC14" i="20"/>
  <c r="BHD14" i="20"/>
  <c r="BHE14" i="20"/>
  <c r="BHF14" i="20"/>
  <c r="BHG14" i="20"/>
  <c r="BHH14" i="20"/>
  <c r="BHI14" i="20"/>
  <c r="BHJ14" i="20"/>
  <c r="BHK14" i="20"/>
  <c r="BHL14" i="20"/>
  <c r="BHM14" i="20"/>
  <c r="BHN14" i="20"/>
  <c r="BHO14" i="20"/>
  <c r="BHP14" i="20"/>
  <c r="BHQ14" i="20"/>
  <c r="BHR14" i="20"/>
  <c r="BHS14" i="20"/>
  <c r="BHT14" i="20"/>
  <c r="BHU14" i="20"/>
  <c r="BHV14" i="20"/>
  <c r="BHW14" i="20"/>
  <c r="BHX14" i="20"/>
  <c r="BHY14" i="20"/>
  <c r="BHZ14" i="20"/>
  <c r="BIA14" i="20"/>
  <c r="BIB14" i="20"/>
  <c r="BIC14" i="20"/>
  <c r="BID14" i="20"/>
  <c r="BIE14" i="20"/>
  <c r="BIF14" i="20"/>
  <c r="BIG14" i="20"/>
  <c r="BIH14" i="20"/>
  <c r="BII14" i="20"/>
  <c r="BIJ14" i="20"/>
  <c r="BIK14" i="20"/>
  <c r="BIL14" i="20"/>
  <c r="BIM14" i="20"/>
  <c r="BIN14" i="20"/>
  <c r="BIO14" i="20"/>
  <c r="BIP14" i="20"/>
  <c r="BIQ14" i="20"/>
  <c r="BIR14" i="20"/>
  <c r="BIS14" i="20"/>
  <c r="BIT14" i="20"/>
  <c r="BIU14" i="20"/>
  <c r="BIV14" i="20"/>
  <c r="BIW14" i="20"/>
  <c r="BIX14" i="20"/>
  <c r="BIY14" i="20"/>
  <c r="BIZ14" i="20"/>
  <c r="BJA14" i="20"/>
  <c r="BJB14" i="20"/>
  <c r="BJC14" i="20"/>
  <c r="BJD14" i="20"/>
  <c r="BJE14" i="20"/>
  <c r="BJF14" i="20"/>
  <c r="BJG14" i="20"/>
  <c r="BJH14" i="20"/>
  <c r="BJI14" i="20"/>
  <c r="BJJ14" i="20"/>
  <c r="BJK14" i="20"/>
  <c r="BJL14" i="20"/>
  <c r="BJM14" i="20"/>
  <c r="BJN14" i="20"/>
  <c r="BJO14" i="20"/>
  <c r="BJP14" i="20"/>
  <c r="BJQ14" i="20"/>
  <c r="BJR14" i="20"/>
  <c r="BJS14" i="20"/>
  <c r="BJT14" i="20"/>
  <c r="BJU14" i="20"/>
  <c r="BJV14" i="20"/>
  <c r="BJW14" i="20"/>
  <c r="BJX14" i="20"/>
  <c r="BJY14" i="20"/>
  <c r="BJZ14" i="20"/>
  <c r="BKA14" i="20"/>
  <c r="BKB14" i="20"/>
  <c r="BKC14" i="20"/>
  <c r="BKD14" i="20"/>
  <c r="BKE14" i="20"/>
  <c r="BKF14" i="20"/>
  <c r="BKG14" i="20"/>
  <c r="BKH14" i="20"/>
  <c r="BKI14" i="20"/>
  <c r="BKJ14" i="20"/>
  <c r="BKK14" i="20"/>
  <c r="BKL14" i="20"/>
  <c r="BKM14" i="20"/>
  <c r="BKN14" i="20"/>
  <c r="BKO14" i="20"/>
  <c r="BKP14" i="20"/>
  <c r="BKQ14" i="20"/>
  <c r="BKR14" i="20"/>
  <c r="BKS14" i="20"/>
  <c r="BKT14" i="20"/>
  <c r="BKU14" i="20"/>
  <c r="BKV14" i="20"/>
  <c r="BKW14" i="20"/>
  <c r="BKX14" i="20"/>
  <c r="BKY14" i="20"/>
  <c r="BKZ14" i="20"/>
  <c r="BLA14" i="20"/>
  <c r="BLB14" i="20"/>
  <c r="BLC14" i="20"/>
  <c r="BLD14" i="20"/>
  <c r="BLE14" i="20"/>
  <c r="BLF14" i="20"/>
  <c r="BLG14" i="20"/>
  <c r="BLH14" i="20"/>
  <c r="BLI14" i="20"/>
  <c r="BLJ14" i="20"/>
  <c r="BLK14" i="20"/>
  <c r="BLL14" i="20"/>
  <c r="BLM14" i="20"/>
  <c r="BLN14" i="20"/>
  <c r="BLO14" i="20"/>
  <c r="BLP14" i="20"/>
  <c r="BLQ14" i="20"/>
  <c r="BLR14" i="20"/>
  <c r="BLS14" i="20"/>
  <c r="BLT14" i="20"/>
  <c r="BLU14" i="20"/>
  <c r="BLV14" i="20"/>
  <c r="BLW14" i="20"/>
  <c r="BLX14" i="20"/>
  <c r="BLY14" i="20"/>
  <c r="BLZ14" i="20"/>
  <c r="BMA14" i="20"/>
  <c r="BMB14" i="20"/>
  <c r="BMC14" i="20"/>
  <c r="BMD14" i="20"/>
  <c r="BME14" i="20"/>
  <c r="BMF14" i="20"/>
  <c r="BMG14" i="20"/>
  <c r="BMH14" i="20"/>
  <c r="BMI14" i="20"/>
  <c r="BMJ14" i="20"/>
  <c r="BMK14" i="20"/>
  <c r="BML14" i="20"/>
  <c r="BMM14" i="20"/>
  <c r="BMN14" i="20"/>
  <c r="BMO14" i="20"/>
  <c r="BMP14" i="20"/>
  <c r="BMQ14" i="20"/>
  <c r="BMR14" i="20"/>
  <c r="BMS14" i="20"/>
  <c r="BMT14" i="20"/>
  <c r="BMU14" i="20"/>
  <c r="BMV14" i="20"/>
  <c r="BMW14" i="20"/>
  <c r="BMX14" i="20"/>
  <c r="BMY14" i="20"/>
  <c r="BMZ14" i="20"/>
  <c r="BNA14" i="20"/>
  <c r="BNB14" i="20"/>
  <c r="BNC14" i="20"/>
  <c r="BND14" i="20"/>
  <c r="BNE14" i="20"/>
  <c r="BNF14" i="20"/>
  <c r="BNG14" i="20"/>
  <c r="BNH14" i="20"/>
  <c r="BNI14" i="20"/>
  <c r="BNJ14" i="20"/>
  <c r="BNK14" i="20"/>
  <c r="BNL14" i="20"/>
  <c r="BNM14" i="20"/>
  <c r="BNN14" i="20"/>
  <c r="BNO14" i="20"/>
  <c r="BNP14" i="20"/>
  <c r="BNQ14" i="20"/>
  <c r="BNR14" i="20"/>
  <c r="BNS14" i="20"/>
  <c r="BNT14" i="20"/>
  <c r="BNU14" i="20"/>
  <c r="BNV14" i="20"/>
  <c r="BNW14" i="20"/>
  <c r="BNX14" i="20"/>
  <c r="BNY14" i="20"/>
  <c r="BNZ14" i="20"/>
  <c r="BOA14" i="20"/>
  <c r="BOB14" i="20"/>
  <c r="BOC14" i="20"/>
  <c r="BOD14" i="20"/>
  <c r="BOE14" i="20"/>
  <c r="BOF14" i="20"/>
  <c r="BOG14" i="20"/>
  <c r="BOH14" i="20"/>
  <c r="BOI14" i="20"/>
  <c r="BOJ14" i="20"/>
  <c r="BOK14" i="20"/>
  <c r="BOL14" i="20"/>
  <c r="BOM14" i="20"/>
  <c r="BON14" i="20"/>
  <c r="BOO14" i="20"/>
  <c r="BOP14" i="20"/>
  <c r="BOQ14" i="20"/>
  <c r="BOR14" i="20"/>
  <c r="BOS14" i="20"/>
  <c r="BOT14" i="20"/>
  <c r="BOU14" i="20"/>
  <c r="BOV14" i="20"/>
  <c r="BOW14" i="20"/>
  <c r="BOX14" i="20"/>
  <c r="BOY14" i="20"/>
  <c r="BOZ14" i="20"/>
  <c r="BPA14" i="20"/>
  <c r="BPB14" i="20"/>
  <c r="BPC14" i="20"/>
  <c r="BPD14" i="20"/>
  <c r="BPE14" i="20"/>
  <c r="BPF14" i="20"/>
  <c r="BPG14" i="20"/>
  <c r="BPH14" i="20"/>
  <c r="BPI14" i="20"/>
  <c r="BPJ14" i="20"/>
  <c r="BPK14" i="20"/>
  <c r="BPL14" i="20"/>
  <c r="BPM14" i="20"/>
  <c r="BPN14" i="20"/>
  <c r="BPO14" i="20"/>
  <c r="BPP14" i="20"/>
  <c r="BPQ14" i="20"/>
  <c r="BPR14" i="20"/>
  <c r="BPS14" i="20"/>
  <c r="BPT14" i="20"/>
  <c r="BPU14" i="20"/>
  <c r="BPV14" i="20"/>
  <c r="BPW14" i="20"/>
  <c r="BPX14" i="20"/>
  <c r="BPY14" i="20"/>
  <c r="BPZ14" i="20"/>
  <c r="BQA14" i="20"/>
  <c r="BQB14" i="20"/>
  <c r="BQC14" i="20"/>
  <c r="BQD14" i="20"/>
  <c r="BQE14" i="20"/>
  <c r="BQF14" i="20"/>
  <c r="BQG14" i="20"/>
  <c r="BQH14" i="20"/>
  <c r="BQI14" i="20"/>
  <c r="BQJ14" i="20"/>
  <c r="BQK14" i="20"/>
  <c r="BQL14" i="20"/>
  <c r="BQM14" i="20"/>
  <c r="BQN14" i="20"/>
  <c r="BQO14" i="20"/>
  <c r="BQP14" i="20"/>
  <c r="BQQ14" i="20"/>
  <c r="BQR14" i="20"/>
  <c r="BQS14" i="20"/>
  <c r="BQT14" i="20"/>
  <c r="BQU14" i="20"/>
  <c r="BQV14" i="20"/>
  <c r="BQW14" i="20"/>
  <c r="BQX14" i="20"/>
  <c r="BQY14" i="20"/>
  <c r="BQZ14" i="20"/>
  <c r="BRA14" i="20"/>
  <c r="BRB14" i="20"/>
  <c r="BRC14" i="20"/>
  <c r="BRD14" i="20"/>
  <c r="BRE14" i="20"/>
  <c r="BRF14" i="20"/>
  <c r="BRG14" i="20"/>
  <c r="BRH14" i="20"/>
  <c r="BRI14" i="20"/>
  <c r="BRJ14" i="20"/>
  <c r="BRK14" i="20"/>
  <c r="BRL14" i="20"/>
  <c r="BRM14" i="20"/>
  <c r="BRN14" i="20"/>
  <c r="BRO14" i="20"/>
  <c r="BRP14" i="20"/>
  <c r="BRQ14" i="20"/>
  <c r="BRR14" i="20"/>
  <c r="BRS14" i="20"/>
  <c r="BRT14" i="20"/>
  <c r="BRU14" i="20"/>
  <c r="BRV14" i="20"/>
  <c r="BRW14" i="20"/>
  <c r="BRX14" i="20"/>
  <c r="BRY14" i="20"/>
  <c r="BRZ14" i="20"/>
  <c r="BSA14" i="20"/>
  <c r="BSB14" i="20"/>
  <c r="BSC14" i="20"/>
  <c r="BSD14" i="20"/>
  <c r="BSE14" i="20"/>
  <c r="BSF14" i="20"/>
  <c r="BSG14" i="20"/>
  <c r="BSH14" i="20"/>
  <c r="BSI14" i="20"/>
  <c r="BSJ14" i="20"/>
  <c r="BSK14" i="20"/>
  <c r="BSL14" i="20"/>
  <c r="BSM14" i="20"/>
  <c r="BSN14" i="20"/>
  <c r="BSO14" i="20"/>
  <c r="BSP14" i="20"/>
  <c r="BSQ14" i="20"/>
  <c r="BSR14" i="20"/>
  <c r="BSS14" i="20"/>
  <c r="BST14" i="20"/>
  <c r="BSU14" i="20"/>
  <c r="BSV14" i="20"/>
  <c r="BSW14" i="20"/>
  <c r="BSX14" i="20"/>
  <c r="BSY14" i="20"/>
  <c r="BSZ14" i="20"/>
  <c r="BTA14" i="20"/>
  <c r="BTB14" i="20"/>
  <c r="BTC14" i="20"/>
  <c r="BTD14" i="20"/>
  <c r="BTE14" i="20"/>
  <c r="BTF14" i="20"/>
  <c r="BTG14" i="20"/>
  <c r="BTH14" i="20"/>
  <c r="BTI14" i="20"/>
  <c r="BTJ14" i="20"/>
  <c r="BTK14" i="20"/>
  <c r="BTL14" i="20"/>
  <c r="BTM14" i="20"/>
  <c r="BTN14" i="20"/>
  <c r="BTO14" i="20"/>
  <c r="BTP14" i="20"/>
  <c r="BTQ14" i="20"/>
  <c r="BTR14" i="20"/>
  <c r="BTS14" i="20"/>
  <c r="BTT14" i="20"/>
  <c r="BTU14" i="20"/>
  <c r="BTV14" i="20"/>
  <c r="BTW14" i="20"/>
  <c r="BTX14" i="20"/>
  <c r="BTY14" i="20"/>
  <c r="BTZ14" i="20"/>
  <c r="BUA14" i="20"/>
  <c r="BUB14" i="20"/>
  <c r="BUC14" i="20"/>
  <c r="BUD14" i="20"/>
  <c r="BUE14" i="20"/>
  <c r="BUF14" i="20"/>
  <c r="BUG14" i="20"/>
  <c r="BUH14" i="20"/>
  <c r="BUI14" i="20"/>
  <c r="BUJ14" i="20"/>
  <c r="BUK14" i="20"/>
  <c r="BUL14" i="20"/>
  <c r="BUM14" i="20"/>
  <c r="BUN14" i="20"/>
  <c r="BUO14" i="20"/>
  <c r="BUP14" i="20"/>
  <c r="BUQ14" i="20"/>
  <c r="BUR14" i="20"/>
  <c r="BUS14" i="20"/>
  <c r="BUT14" i="20"/>
  <c r="BUU14" i="20"/>
  <c r="BUV14" i="20"/>
  <c r="BUW14" i="20"/>
  <c r="BUX14" i="20"/>
  <c r="BUY14" i="20"/>
  <c r="BUZ14" i="20"/>
  <c r="BVA14" i="20"/>
  <c r="BVB14" i="20"/>
  <c r="BVC14" i="20"/>
  <c r="BVD14" i="20"/>
  <c r="BVE14" i="20"/>
  <c r="BVF14" i="20"/>
  <c r="BVG14" i="20"/>
  <c r="BVH14" i="20"/>
  <c r="BVI14" i="20"/>
  <c r="BVJ14" i="20"/>
  <c r="BVK14" i="20"/>
  <c r="BVL14" i="20"/>
  <c r="BVM14" i="20"/>
  <c r="BVN14" i="20"/>
  <c r="BVO14" i="20"/>
  <c r="BVP14" i="20"/>
  <c r="BVQ14" i="20"/>
  <c r="BVR14" i="20"/>
  <c r="BVS14" i="20"/>
  <c r="BVT14" i="20"/>
  <c r="BVU14" i="20"/>
  <c r="BVV14" i="20"/>
  <c r="BVW14" i="20"/>
  <c r="BVX14" i="20"/>
  <c r="BVY14" i="20"/>
  <c r="BVZ14" i="20"/>
  <c r="BWA14" i="20"/>
  <c r="BWB14" i="20"/>
  <c r="BWC14" i="20"/>
  <c r="BWD14" i="20"/>
  <c r="BWE14" i="20"/>
  <c r="BWF14" i="20"/>
  <c r="BWG14" i="20"/>
  <c r="BWH14" i="20"/>
  <c r="BWI14" i="20"/>
  <c r="BWJ14" i="20"/>
  <c r="BWK14" i="20"/>
  <c r="BWL14" i="20"/>
  <c r="BWM14" i="20"/>
  <c r="BWN14" i="20"/>
  <c r="BWO14" i="20"/>
  <c r="BWP14" i="20"/>
  <c r="BWQ14" i="20"/>
  <c r="BWR14" i="20"/>
  <c r="BWS14" i="20"/>
  <c r="BWT14" i="20"/>
  <c r="BWU14" i="20"/>
  <c r="BWV14" i="20"/>
  <c r="BWW14" i="20"/>
  <c r="BWX14" i="20"/>
  <c r="BWY14" i="20"/>
  <c r="BWZ14" i="20"/>
  <c r="BXA14" i="20"/>
  <c r="BXB14" i="20"/>
  <c r="BXC14" i="20"/>
  <c r="BXD14" i="20"/>
  <c r="BXE14" i="20"/>
  <c r="BXF14" i="20"/>
  <c r="BXG14" i="20"/>
  <c r="BXH14" i="20"/>
  <c r="BXI14" i="20"/>
  <c r="BXJ14" i="20"/>
  <c r="BXK14" i="20"/>
  <c r="BXL14" i="20"/>
  <c r="BXM14" i="20"/>
  <c r="BXN14" i="20"/>
  <c r="BXO14" i="20"/>
  <c r="BXP14" i="20"/>
  <c r="BXQ14" i="20"/>
  <c r="BXR14" i="20"/>
  <c r="BXS14" i="20"/>
  <c r="BXT14" i="20"/>
  <c r="BXU14" i="20"/>
  <c r="BXV14" i="20"/>
  <c r="BXW14" i="20"/>
  <c r="BXX14" i="20"/>
  <c r="BXY14" i="20"/>
  <c r="BXZ14" i="20"/>
  <c r="BYA14" i="20"/>
  <c r="BYB14" i="20"/>
  <c r="BYC14" i="20"/>
  <c r="BYD14" i="20"/>
  <c r="BYE14" i="20"/>
  <c r="BYF14" i="20"/>
  <c r="BYG14" i="20"/>
  <c r="BYH14" i="20"/>
  <c r="BYI14" i="20"/>
  <c r="BYJ14" i="20"/>
  <c r="BYK14" i="20"/>
  <c r="BYL14" i="20"/>
  <c r="BYM14" i="20"/>
  <c r="BYN14" i="20"/>
  <c r="BYO14" i="20"/>
  <c r="BYP14" i="20"/>
  <c r="BYQ14" i="20"/>
  <c r="BYR14" i="20"/>
  <c r="BYS14" i="20"/>
  <c r="BYT14" i="20"/>
  <c r="BYU14" i="20"/>
  <c r="BYV14" i="20"/>
  <c r="BYW14" i="20"/>
  <c r="BYX14" i="20"/>
  <c r="BYY14" i="20"/>
  <c r="BYZ14" i="20"/>
  <c r="BZA14" i="20"/>
  <c r="BZB14" i="20"/>
  <c r="BZC14" i="20"/>
  <c r="BZD14" i="20"/>
  <c r="BZE14" i="20"/>
  <c r="BZF14" i="20"/>
  <c r="BZG14" i="20"/>
  <c r="BZH14" i="20"/>
  <c r="BZI14" i="20"/>
  <c r="BZJ14" i="20"/>
  <c r="BZK14" i="20"/>
  <c r="BZL14" i="20"/>
  <c r="BZM14" i="20"/>
  <c r="BZN14" i="20"/>
  <c r="BZO14" i="20"/>
  <c r="BZP14" i="20"/>
  <c r="BZQ14" i="20"/>
  <c r="BZR14" i="20"/>
  <c r="BZS14" i="20"/>
  <c r="BZT14" i="20"/>
  <c r="BZU14" i="20"/>
  <c r="BZV14" i="20"/>
  <c r="BZW14" i="20"/>
  <c r="BZX14" i="20"/>
  <c r="BZY14" i="20"/>
  <c r="BZZ14" i="20"/>
  <c r="CAA14" i="20"/>
  <c r="CAB14" i="20"/>
  <c r="CAC14" i="20"/>
  <c r="CAD14" i="20"/>
  <c r="CAE14" i="20"/>
  <c r="CAF14" i="20"/>
  <c r="CAG14" i="20"/>
  <c r="CAH14" i="20"/>
  <c r="CAI14" i="20"/>
  <c r="CAJ14" i="20"/>
  <c r="CAK14" i="20"/>
  <c r="CAL14" i="20"/>
  <c r="CAM14" i="20"/>
  <c r="CAN14" i="20"/>
  <c r="CAO14" i="20"/>
  <c r="CAP14" i="20"/>
  <c r="CAQ14" i="20"/>
  <c r="CAR14" i="20"/>
  <c r="CAS14" i="20"/>
  <c r="CAT14" i="20"/>
  <c r="CAU14" i="20"/>
  <c r="CAV14" i="20"/>
  <c r="CAW14" i="20"/>
  <c r="CAX14" i="20"/>
  <c r="CAY14" i="20"/>
  <c r="CAZ14" i="20"/>
  <c r="CBA14" i="20"/>
  <c r="CBB14" i="20"/>
  <c r="CBC14" i="20"/>
  <c r="CBD14" i="20"/>
  <c r="CBE14" i="20"/>
  <c r="CBF14" i="20"/>
  <c r="CBG14" i="20"/>
  <c r="CBH14" i="20"/>
  <c r="CBI14" i="20"/>
  <c r="CBJ14" i="20"/>
  <c r="CBK14" i="20"/>
  <c r="CBL14" i="20"/>
  <c r="CBM14" i="20"/>
  <c r="CBN14" i="20"/>
  <c r="CBO14" i="20"/>
  <c r="CBP14" i="20"/>
  <c r="CBQ14" i="20"/>
  <c r="CBR14" i="20"/>
  <c r="CBS14" i="20"/>
  <c r="CBT14" i="20"/>
  <c r="CBU14" i="20"/>
  <c r="CBV14" i="20"/>
  <c r="CBW14" i="20"/>
  <c r="CBX14" i="20"/>
  <c r="CBY14" i="20"/>
  <c r="CBZ14" i="20"/>
  <c r="CCA14" i="20"/>
  <c r="CCB14" i="20"/>
  <c r="CCC14" i="20"/>
  <c r="CCD14" i="20"/>
  <c r="CCE14" i="20"/>
  <c r="CCF14" i="20"/>
  <c r="CCG14" i="20"/>
  <c r="CCH14" i="20"/>
  <c r="CCI14" i="20"/>
  <c r="CCJ14" i="20"/>
  <c r="CCK14" i="20"/>
  <c r="CCL14" i="20"/>
  <c r="CCM14" i="20"/>
  <c r="CCN14" i="20"/>
  <c r="CCO14" i="20"/>
  <c r="CCP14" i="20"/>
  <c r="CCQ14" i="20"/>
  <c r="CCR14" i="20"/>
  <c r="CCS14" i="20"/>
  <c r="CCT14" i="20"/>
  <c r="CCU14" i="20"/>
  <c r="CCV14" i="20"/>
  <c r="CCW14" i="20"/>
  <c r="CCX14" i="20"/>
  <c r="CCY14" i="20"/>
  <c r="CCZ14" i="20"/>
  <c r="CDA14" i="20"/>
  <c r="CDB14" i="20"/>
  <c r="CDC14" i="20"/>
  <c r="CDD14" i="20"/>
  <c r="CDE14" i="20"/>
  <c r="CDF14" i="20"/>
  <c r="CDG14" i="20"/>
  <c r="CDH14" i="20"/>
  <c r="CDI14" i="20"/>
  <c r="CDJ14" i="20"/>
  <c r="CDK14" i="20"/>
  <c r="CDL14" i="20"/>
  <c r="CDM14" i="20"/>
  <c r="CDN14" i="20"/>
  <c r="CDO14" i="20"/>
  <c r="CDP14" i="20"/>
  <c r="CDQ14" i="20"/>
  <c r="CDR14" i="20"/>
  <c r="CDS14" i="20"/>
  <c r="CDT14" i="20"/>
  <c r="CDU14" i="20"/>
  <c r="CDV14" i="20"/>
  <c r="CDW14" i="20"/>
  <c r="CDX14" i="20"/>
  <c r="CDY14" i="20"/>
  <c r="CDZ14" i="20"/>
  <c r="CEA14" i="20"/>
  <c r="CEB14" i="20"/>
  <c r="CEC14" i="20"/>
  <c r="CED14" i="20"/>
  <c r="CEE14" i="20"/>
  <c r="CEF14" i="20"/>
  <c r="CEG14" i="20"/>
  <c r="CEH14" i="20"/>
  <c r="CEI14" i="20"/>
  <c r="CEJ14" i="20"/>
  <c r="CEK14" i="20"/>
  <c r="CEL14" i="20"/>
  <c r="CEM14" i="20"/>
  <c r="CEN14" i="20"/>
  <c r="CEO14" i="20"/>
  <c r="CEP14" i="20"/>
  <c r="CEQ14" i="20"/>
  <c r="CER14" i="20"/>
  <c r="CES14" i="20"/>
  <c r="CET14" i="20"/>
  <c r="CEU14" i="20"/>
  <c r="CEV14" i="20"/>
  <c r="CEW14" i="20"/>
  <c r="CEX14" i="20"/>
  <c r="CEY14" i="20"/>
  <c r="CEZ14" i="20"/>
  <c r="CFA14" i="20"/>
  <c r="CFB14" i="20"/>
  <c r="CFC14" i="20"/>
  <c r="CFD14" i="20"/>
  <c r="CFE14" i="20"/>
  <c r="CFF14" i="20"/>
  <c r="CFG14" i="20"/>
  <c r="CFH14" i="20"/>
  <c r="CFI14" i="20"/>
  <c r="CFJ14" i="20"/>
  <c r="CFK14" i="20"/>
  <c r="CFL14" i="20"/>
  <c r="CFM14" i="20"/>
  <c r="CFN14" i="20"/>
  <c r="CFO14" i="20"/>
  <c r="CFP14" i="20"/>
  <c r="CFQ14" i="20"/>
  <c r="CFR14" i="20"/>
  <c r="CFS14" i="20"/>
  <c r="CFT14" i="20"/>
  <c r="CFU14" i="20"/>
  <c r="CFV14" i="20"/>
  <c r="CFW14" i="20"/>
  <c r="CFX14" i="20"/>
  <c r="CFY14" i="20"/>
  <c r="CFZ14" i="20"/>
  <c r="CGA14" i="20"/>
  <c r="CGB14" i="20"/>
  <c r="CGC14" i="20"/>
  <c r="CGD14" i="20"/>
  <c r="CGE14" i="20"/>
  <c r="CGF14" i="20"/>
  <c r="CGG14" i="20"/>
  <c r="CGH14" i="20"/>
  <c r="CGI14" i="20"/>
  <c r="CGJ14" i="20"/>
  <c r="CGK14" i="20"/>
  <c r="CGL14" i="20"/>
  <c r="CGM14" i="20"/>
  <c r="CGN14" i="20"/>
  <c r="CGO14" i="20"/>
  <c r="CGP14" i="20"/>
  <c r="CGQ14" i="20"/>
  <c r="CGR14" i="20"/>
  <c r="CGS14" i="20"/>
  <c r="CGT14" i="20"/>
  <c r="CGU14" i="20"/>
  <c r="CGV14" i="20"/>
  <c r="CGW14" i="20"/>
  <c r="CGX14" i="20"/>
  <c r="CGY14" i="20"/>
  <c r="CGZ14" i="20"/>
  <c r="CHA14" i="20"/>
  <c r="CHB14" i="20"/>
  <c r="CHC14" i="20"/>
  <c r="CHD14" i="20"/>
  <c r="CHE14" i="20"/>
  <c r="CHF14" i="20"/>
  <c r="CHG14" i="20"/>
  <c r="CHH14" i="20"/>
  <c r="CHI14" i="20"/>
  <c r="CHJ14" i="20"/>
  <c r="CHK14" i="20"/>
  <c r="CHL14" i="20"/>
  <c r="CHM14" i="20"/>
  <c r="CHN14" i="20"/>
  <c r="CHO14" i="20"/>
  <c r="CHP14" i="20"/>
  <c r="CHQ14" i="20"/>
  <c r="CHR14" i="20"/>
  <c r="CHS14" i="20"/>
  <c r="CHT14" i="20"/>
  <c r="CHU14" i="20"/>
  <c r="CHV14" i="20"/>
  <c r="CHW14" i="20"/>
  <c r="CHX14" i="20"/>
  <c r="CHY14" i="20"/>
  <c r="CHZ14" i="20"/>
  <c r="CIA14" i="20"/>
  <c r="CIB14" i="20"/>
  <c r="CIC14" i="20"/>
  <c r="CID14" i="20"/>
  <c r="CIE14" i="20"/>
  <c r="CIF14" i="20"/>
  <c r="CIG14" i="20"/>
  <c r="CIH14" i="20"/>
  <c r="CII14" i="20"/>
  <c r="CIJ14" i="20"/>
  <c r="CIK14" i="20"/>
  <c r="CIL14" i="20"/>
  <c r="CIM14" i="20"/>
  <c r="CIN14" i="20"/>
  <c r="CIO14" i="20"/>
  <c r="CIP14" i="20"/>
  <c r="CIQ14" i="20"/>
  <c r="CIR14" i="20"/>
  <c r="CIS14" i="20"/>
  <c r="CIT14" i="20"/>
  <c r="CIU14" i="20"/>
  <c r="CIV14" i="20"/>
  <c r="CIW14" i="20"/>
  <c r="CIX14" i="20"/>
  <c r="CIY14" i="20"/>
  <c r="CIZ14" i="20"/>
  <c r="CJA14" i="20"/>
  <c r="CJB14" i="20"/>
  <c r="CJC14" i="20"/>
  <c r="CJD14" i="20"/>
  <c r="CJE14" i="20"/>
  <c r="CJF14" i="20"/>
  <c r="CJG14" i="20"/>
  <c r="CJH14" i="20"/>
  <c r="CJI14" i="20"/>
  <c r="CJJ14" i="20"/>
  <c r="CJK14" i="20"/>
  <c r="CJL14" i="20"/>
  <c r="CJM14" i="20"/>
  <c r="CJN14" i="20"/>
  <c r="CJO14" i="20"/>
  <c r="CJP14" i="20"/>
  <c r="CJQ14" i="20"/>
  <c r="CJR14" i="20"/>
  <c r="CJS14" i="20"/>
  <c r="CJT14" i="20"/>
  <c r="CJU14" i="20"/>
  <c r="CJV14" i="20"/>
  <c r="CJW14" i="20"/>
  <c r="CJX14" i="20"/>
  <c r="CJY14" i="20"/>
  <c r="CJZ14" i="20"/>
  <c r="CKA14" i="20"/>
  <c r="CKB14" i="20"/>
  <c r="CKC14" i="20"/>
  <c r="CKD14" i="20"/>
  <c r="CKE14" i="20"/>
  <c r="CKF14" i="20"/>
  <c r="CKG14" i="20"/>
  <c r="CKH14" i="20"/>
  <c r="CKI14" i="20"/>
  <c r="CKJ14" i="20"/>
  <c r="CKK14" i="20"/>
  <c r="CKL14" i="20"/>
  <c r="CKM14" i="20"/>
  <c r="CKN14" i="20"/>
  <c r="CKO14" i="20"/>
  <c r="CKP14" i="20"/>
  <c r="CKQ14" i="20"/>
  <c r="CKR14" i="20"/>
  <c r="CKS14" i="20"/>
  <c r="CKT14" i="20"/>
  <c r="CKU14" i="20"/>
  <c r="CKV14" i="20"/>
  <c r="CKW14" i="20"/>
  <c r="CKX14" i="20"/>
  <c r="CKY14" i="20"/>
  <c r="CKZ14" i="20"/>
  <c r="CLA14" i="20"/>
  <c r="CLB14" i="20"/>
  <c r="CLC14" i="20"/>
  <c r="CLD14" i="20"/>
  <c r="CLE14" i="20"/>
  <c r="CLF14" i="20"/>
  <c r="CLG14" i="20"/>
  <c r="CLH14" i="20"/>
  <c r="CLI14" i="20"/>
  <c r="CLJ14" i="20"/>
  <c r="CLK14" i="20"/>
  <c r="CLL14" i="20"/>
  <c r="CLM14" i="20"/>
  <c r="CLN14" i="20"/>
  <c r="CLO14" i="20"/>
  <c r="CLP14" i="20"/>
  <c r="CLQ14" i="20"/>
  <c r="CLR14" i="20"/>
  <c r="CLS14" i="20"/>
  <c r="CLT14" i="20"/>
  <c r="CLU14" i="20"/>
  <c r="CLV14" i="20"/>
  <c r="CLW14" i="20"/>
  <c r="CLX14" i="20"/>
  <c r="CLY14" i="20"/>
  <c r="CLZ14" i="20"/>
  <c r="CMA14" i="20"/>
  <c r="CMB14" i="20"/>
  <c r="CMC14" i="20"/>
  <c r="CMD14" i="20"/>
  <c r="CME14" i="20"/>
  <c r="CMF14" i="20"/>
  <c r="CMG14" i="20"/>
  <c r="CMH14" i="20"/>
  <c r="CMI14" i="20"/>
  <c r="CMJ14" i="20"/>
  <c r="CMK14" i="20"/>
  <c r="CML14" i="20"/>
  <c r="CMM14" i="20"/>
  <c r="CMN14" i="20"/>
  <c r="CMO14" i="20"/>
  <c r="CMP14" i="20"/>
  <c r="CMQ14" i="20"/>
  <c r="CMR14" i="20"/>
  <c r="CMS14" i="20"/>
  <c r="CMT14" i="20"/>
  <c r="CMU14" i="20"/>
  <c r="CMV14" i="20"/>
  <c r="CMW14" i="20"/>
  <c r="CMX14" i="20"/>
  <c r="CMY14" i="20"/>
  <c r="CMZ14" i="20"/>
  <c r="CNA14" i="20"/>
  <c r="CNB14" i="20"/>
  <c r="CNC14" i="20"/>
  <c r="CND14" i="20"/>
  <c r="CNE14" i="20"/>
  <c r="CNF14" i="20"/>
  <c r="CNG14" i="20"/>
  <c r="CNH14" i="20"/>
  <c r="CNI14" i="20"/>
  <c r="CNJ14" i="20"/>
  <c r="CNK14" i="20"/>
  <c r="CNL14" i="20"/>
  <c r="CNM14" i="20"/>
  <c r="CNN14" i="20"/>
  <c r="CNO14" i="20"/>
  <c r="CNP14" i="20"/>
  <c r="CNQ14" i="20"/>
  <c r="CNR14" i="20"/>
  <c r="CNS14" i="20"/>
  <c r="CNT14" i="20"/>
  <c r="CNU14" i="20"/>
  <c r="CNV14" i="20"/>
  <c r="CNW14" i="20"/>
  <c r="CNX14" i="20"/>
  <c r="CNY14" i="20"/>
  <c r="CNZ14" i="20"/>
  <c r="COA14" i="20"/>
  <c r="COB14" i="20"/>
  <c r="COC14" i="20"/>
  <c r="COD14" i="20"/>
  <c r="COE14" i="20"/>
  <c r="COF14" i="20"/>
  <c r="COG14" i="20"/>
  <c r="COH14" i="20"/>
  <c r="COI14" i="20"/>
  <c r="COJ14" i="20"/>
  <c r="COK14" i="20"/>
  <c r="COL14" i="20"/>
  <c r="COM14" i="20"/>
  <c r="CON14" i="20"/>
  <c r="COO14" i="20"/>
  <c r="COP14" i="20"/>
  <c r="COQ14" i="20"/>
  <c r="COR14" i="20"/>
  <c r="COS14" i="20"/>
  <c r="COT14" i="20"/>
  <c r="COU14" i="20"/>
  <c r="COV14" i="20"/>
  <c r="COW14" i="20"/>
  <c r="COX14" i="20"/>
  <c r="COY14" i="20"/>
  <c r="COZ14" i="20"/>
  <c r="CPA14" i="20"/>
  <c r="CPB14" i="20"/>
  <c r="CPC14" i="20"/>
  <c r="CPD14" i="20"/>
  <c r="CPE14" i="20"/>
  <c r="CPF14" i="20"/>
  <c r="CPG14" i="20"/>
  <c r="CPH14" i="20"/>
  <c r="CPI14" i="20"/>
  <c r="CPJ14" i="20"/>
  <c r="CPK14" i="20"/>
  <c r="CPL14" i="20"/>
  <c r="CPM14" i="20"/>
  <c r="CPN14" i="20"/>
  <c r="CPO14" i="20"/>
  <c r="CPP14" i="20"/>
  <c r="CPQ14" i="20"/>
  <c r="CPR14" i="20"/>
  <c r="CPS14" i="20"/>
  <c r="CPT14" i="20"/>
  <c r="CPU14" i="20"/>
  <c r="CPV14" i="20"/>
  <c r="CPW14" i="20"/>
  <c r="CPX14" i="20"/>
  <c r="CPY14" i="20"/>
  <c r="CPZ14" i="20"/>
  <c r="CQA14" i="20"/>
  <c r="CQB14" i="20"/>
  <c r="CQC14" i="20"/>
  <c r="CQD14" i="20"/>
  <c r="CQE14" i="20"/>
  <c r="CQF14" i="20"/>
  <c r="CQG14" i="20"/>
  <c r="CQH14" i="20"/>
  <c r="CQI14" i="20"/>
  <c r="CQJ14" i="20"/>
  <c r="CQK14" i="20"/>
  <c r="CQL14" i="20"/>
  <c r="CQM14" i="20"/>
  <c r="CQN14" i="20"/>
  <c r="CQO14" i="20"/>
  <c r="CQP14" i="20"/>
  <c r="CQQ14" i="20"/>
  <c r="CQR14" i="20"/>
  <c r="CQS14" i="20"/>
  <c r="CQT14" i="20"/>
  <c r="CQU14" i="20"/>
  <c r="CQV14" i="20"/>
  <c r="CQW14" i="20"/>
  <c r="CQX14" i="20"/>
  <c r="CQY14" i="20"/>
  <c r="CQZ14" i="20"/>
  <c r="CRA14" i="20"/>
  <c r="CRB14" i="20"/>
  <c r="CRC14" i="20"/>
  <c r="CRD14" i="20"/>
  <c r="CRE14" i="20"/>
  <c r="CRF14" i="20"/>
  <c r="CRG14" i="20"/>
  <c r="CRH14" i="20"/>
  <c r="CRI14" i="20"/>
  <c r="CRJ14" i="20"/>
  <c r="CRK14" i="20"/>
  <c r="CRL14" i="20"/>
  <c r="CRM14" i="20"/>
  <c r="CRN14" i="20"/>
  <c r="CRO14" i="20"/>
  <c r="CRP14" i="20"/>
  <c r="CRQ14" i="20"/>
  <c r="CRR14" i="20"/>
  <c r="CRS14" i="20"/>
  <c r="CRT14" i="20"/>
  <c r="CRU14" i="20"/>
  <c r="CRV14" i="20"/>
  <c r="CRW14" i="20"/>
  <c r="CRX14" i="20"/>
  <c r="CRY14" i="20"/>
  <c r="CRZ14" i="20"/>
  <c r="CSA14" i="20"/>
  <c r="CSB14" i="20"/>
  <c r="CSC14" i="20"/>
  <c r="CSD14" i="20"/>
  <c r="CSE14" i="20"/>
  <c r="CSF14" i="20"/>
  <c r="CSG14" i="20"/>
  <c r="CSH14" i="20"/>
  <c r="CSI14" i="20"/>
  <c r="CSJ14" i="20"/>
  <c r="CSK14" i="20"/>
  <c r="CSL14" i="20"/>
  <c r="CSM14" i="20"/>
  <c r="CSN14" i="20"/>
  <c r="CSO14" i="20"/>
  <c r="CSP14" i="20"/>
  <c r="CSQ14" i="20"/>
  <c r="CSR14" i="20"/>
  <c r="CSS14" i="20"/>
  <c r="CST14" i="20"/>
  <c r="CSU14" i="20"/>
  <c r="CSV14" i="20"/>
  <c r="CSW14" i="20"/>
  <c r="CSX14" i="20"/>
  <c r="CSY14" i="20"/>
  <c r="CSZ14" i="20"/>
  <c r="CTA14" i="20"/>
  <c r="CTB14" i="20"/>
  <c r="CTC14" i="20"/>
  <c r="CTD14" i="20"/>
  <c r="CTE14" i="20"/>
  <c r="CTF14" i="20"/>
  <c r="CTG14" i="20"/>
  <c r="CTH14" i="20"/>
  <c r="CTI14" i="20"/>
  <c r="CTJ14" i="20"/>
  <c r="CTK14" i="20"/>
  <c r="CTL14" i="20"/>
  <c r="CTM14" i="20"/>
  <c r="CTN14" i="20"/>
  <c r="CTO14" i="20"/>
  <c r="CTP14" i="20"/>
  <c r="CTQ14" i="20"/>
  <c r="CTR14" i="20"/>
  <c r="CTS14" i="20"/>
  <c r="CTT14" i="20"/>
  <c r="CTU14" i="20"/>
  <c r="CTV14" i="20"/>
  <c r="CTW14" i="20"/>
  <c r="CTX14" i="20"/>
  <c r="CTY14" i="20"/>
  <c r="CTZ14" i="20"/>
  <c r="CUA14" i="20"/>
  <c r="CUB14" i="20"/>
  <c r="CUC14" i="20"/>
  <c r="CUD14" i="20"/>
  <c r="CUE14" i="20"/>
  <c r="CUF14" i="20"/>
  <c r="CUG14" i="20"/>
  <c r="CUH14" i="20"/>
  <c r="CUI14" i="20"/>
  <c r="CUJ14" i="20"/>
  <c r="CUK14" i="20"/>
  <c r="CUL14" i="20"/>
  <c r="CUM14" i="20"/>
  <c r="CUN14" i="20"/>
  <c r="CUO14" i="20"/>
  <c r="CUP14" i="20"/>
  <c r="CUQ14" i="20"/>
  <c r="CUR14" i="20"/>
  <c r="CUS14" i="20"/>
  <c r="CUT14" i="20"/>
  <c r="CUU14" i="20"/>
  <c r="CUV14" i="20"/>
  <c r="CUW14" i="20"/>
  <c r="CUX14" i="20"/>
  <c r="CUY14" i="20"/>
  <c r="CUZ14" i="20"/>
  <c r="CVA14" i="20"/>
  <c r="CVB14" i="20"/>
  <c r="CVC14" i="20"/>
  <c r="CVD14" i="20"/>
  <c r="CVE14" i="20"/>
  <c r="CVF14" i="20"/>
  <c r="CVG14" i="20"/>
  <c r="CVH14" i="20"/>
  <c r="CVI14" i="20"/>
  <c r="CVJ14" i="20"/>
  <c r="CVK14" i="20"/>
  <c r="CVL14" i="20"/>
  <c r="CVM14" i="20"/>
  <c r="CVN14" i="20"/>
  <c r="CVO14" i="20"/>
  <c r="CVP14" i="20"/>
  <c r="CVQ14" i="20"/>
  <c r="CVR14" i="20"/>
  <c r="CVS14" i="20"/>
  <c r="CVT14" i="20"/>
  <c r="CVU14" i="20"/>
  <c r="CVV14" i="20"/>
  <c r="CVW14" i="20"/>
  <c r="CVX14" i="20"/>
  <c r="CVY14" i="20"/>
  <c r="CVZ14" i="20"/>
  <c r="CWA14" i="20"/>
  <c r="CWB14" i="20"/>
  <c r="CWC14" i="20"/>
  <c r="CWD14" i="20"/>
  <c r="CWE14" i="20"/>
  <c r="CWF14" i="20"/>
  <c r="CWG14" i="20"/>
  <c r="CWH14" i="20"/>
  <c r="CWI14" i="20"/>
  <c r="CWJ14" i="20"/>
  <c r="CWK14" i="20"/>
  <c r="CWL14" i="20"/>
  <c r="CWM14" i="20"/>
  <c r="CWN14" i="20"/>
  <c r="CWO14" i="20"/>
  <c r="CWP14" i="20"/>
  <c r="CWQ14" i="20"/>
  <c r="CWR14" i="20"/>
  <c r="CWS14" i="20"/>
  <c r="CWT14" i="20"/>
  <c r="CWU14" i="20"/>
  <c r="CWV14" i="20"/>
  <c r="CWW14" i="20"/>
  <c r="CWX14" i="20"/>
  <c r="CWY14" i="20"/>
  <c r="CWZ14" i="20"/>
  <c r="CXA14" i="20"/>
  <c r="CXB14" i="20"/>
  <c r="CXC14" i="20"/>
  <c r="CXD14" i="20"/>
  <c r="CXE14" i="20"/>
  <c r="CXF14" i="20"/>
  <c r="CXG14" i="20"/>
  <c r="CXH14" i="20"/>
  <c r="CXI14" i="20"/>
  <c r="CXJ14" i="20"/>
  <c r="CXK14" i="20"/>
  <c r="CXL14" i="20"/>
  <c r="CXM14" i="20"/>
  <c r="CXN14" i="20"/>
  <c r="CXO14" i="20"/>
  <c r="CXP14" i="20"/>
  <c r="CXQ14" i="20"/>
  <c r="CXR14" i="20"/>
  <c r="CXS14" i="20"/>
  <c r="CXT14" i="20"/>
  <c r="CXU14" i="20"/>
  <c r="CXV14" i="20"/>
  <c r="CXW14" i="20"/>
  <c r="CXX14" i="20"/>
  <c r="CXY14" i="20"/>
  <c r="CXZ14" i="20"/>
  <c r="CYA14" i="20"/>
  <c r="CYB14" i="20"/>
  <c r="CYC14" i="20"/>
  <c r="CYD14" i="20"/>
  <c r="CYE14" i="20"/>
  <c r="CYF14" i="20"/>
  <c r="CYG14" i="20"/>
  <c r="CYH14" i="20"/>
  <c r="CYI14" i="20"/>
  <c r="CYJ14" i="20"/>
  <c r="CYK14" i="20"/>
  <c r="CYL14" i="20"/>
  <c r="CYM14" i="20"/>
  <c r="CYN14" i="20"/>
  <c r="CYO14" i="20"/>
  <c r="CYP14" i="20"/>
  <c r="CYQ14" i="20"/>
  <c r="CYR14" i="20"/>
  <c r="CYS14" i="20"/>
  <c r="CYT14" i="20"/>
  <c r="CYU14" i="20"/>
  <c r="CYV14" i="20"/>
  <c r="CYW14" i="20"/>
  <c r="CYX14" i="20"/>
  <c r="CYY14" i="20"/>
  <c r="CYZ14" i="20"/>
  <c r="CZA14" i="20"/>
  <c r="CZB14" i="20"/>
  <c r="CZC14" i="20"/>
  <c r="CZD14" i="20"/>
  <c r="CZE14" i="20"/>
  <c r="CZF14" i="20"/>
  <c r="CZG14" i="20"/>
  <c r="CZH14" i="20"/>
  <c r="CZI14" i="20"/>
  <c r="CZJ14" i="20"/>
  <c r="CZK14" i="20"/>
  <c r="CZL14" i="20"/>
  <c r="CZM14" i="20"/>
  <c r="CZN14" i="20"/>
  <c r="CZO14" i="20"/>
  <c r="CZP14" i="20"/>
  <c r="CZQ14" i="20"/>
  <c r="CZR14" i="20"/>
  <c r="CZS14" i="20"/>
  <c r="CZT14" i="20"/>
  <c r="CZU14" i="20"/>
  <c r="CZV14" i="20"/>
  <c r="CZW14" i="20"/>
  <c r="CZX14" i="20"/>
  <c r="CZY14" i="20"/>
  <c r="CZZ14" i="20"/>
  <c r="DAA14" i="20"/>
  <c r="DAB14" i="20"/>
  <c r="DAC14" i="20"/>
  <c r="DAD14" i="20"/>
  <c r="DAE14" i="20"/>
  <c r="DAF14" i="20"/>
  <c r="DAG14" i="20"/>
  <c r="DAH14" i="20"/>
  <c r="DAI14" i="20"/>
  <c r="DAJ14" i="20"/>
  <c r="DAK14" i="20"/>
  <c r="DAL14" i="20"/>
  <c r="DAM14" i="20"/>
  <c r="DAN14" i="20"/>
  <c r="DAO14" i="20"/>
  <c r="DAP14" i="20"/>
  <c r="DAQ14" i="20"/>
  <c r="DAR14" i="20"/>
  <c r="DAS14" i="20"/>
  <c r="DAT14" i="20"/>
  <c r="DAU14" i="20"/>
  <c r="DAV14" i="20"/>
  <c r="DAW14" i="20"/>
  <c r="DAX14" i="20"/>
  <c r="DAY14" i="20"/>
  <c r="DAZ14" i="20"/>
  <c r="DBA14" i="20"/>
  <c r="DBB14" i="20"/>
  <c r="DBC14" i="20"/>
  <c r="DBD14" i="20"/>
  <c r="DBE14" i="20"/>
  <c r="DBF14" i="20"/>
  <c r="DBG14" i="20"/>
  <c r="DBH14" i="20"/>
  <c r="DBI14" i="20"/>
  <c r="DBJ14" i="20"/>
  <c r="DBK14" i="20"/>
  <c r="DBL14" i="20"/>
  <c r="DBM14" i="20"/>
  <c r="DBN14" i="20"/>
  <c r="DBO14" i="20"/>
  <c r="DBP14" i="20"/>
  <c r="DBQ14" i="20"/>
  <c r="DBR14" i="20"/>
  <c r="DBS14" i="20"/>
  <c r="DBT14" i="20"/>
  <c r="DBU14" i="20"/>
  <c r="DBV14" i="20"/>
  <c r="DBW14" i="20"/>
  <c r="DBX14" i="20"/>
  <c r="DBY14" i="20"/>
  <c r="DBZ14" i="20"/>
  <c r="DCA14" i="20"/>
  <c r="DCB14" i="20"/>
  <c r="DCC14" i="20"/>
  <c r="DCD14" i="20"/>
  <c r="DCE14" i="20"/>
  <c r="DCF14" i="20"/>
  <c r="DCG14" i="20"/>
  <c r="DCH14" i="20"/>
  <c r="DCI14" i="20"/>
  <c r="DCJ14" i="20"/>
  <c r="DCK14" i="20"/>
  <c r="DCL14" i="20"/>
  <c r="DCM14" i="20"/>
  <c r="DCN14" i="20"/>
  <c r="DCO14" i="20"/>
  <c r="DCP14" i="20"/>
  <c r="DCQ14" i="20"/>
  <c r="DCR14" i="20"/>
  <c r="DCS14" i="20"/>
  <c r="DCT14" i="20"/>
  <c r="DCU14" i="20"/>
  <c r="DCV14" i="20"/>
  <c r="DCW14" i="20"/>
  <c r="DCX14" i="20"/>
  <c r="DCY14" i="20"/>
  <c r="DCZ14" i="20"/>
  <c r="DDA14" i="20"/>
  <c r="DDB14" i="20"/>
  <c r="DDC14" i="20"/>
  <c r="DDD14" i="20"/>
  <c r="DDE14" i="20"/>
  <c r="DDF14" i="20"/>
  <c r="DDG14" i="20"/>
  <c r="DDH14" i="20"/>
  <c r="DDI14" i="20"/>
  <c r="AAE15" i="20"/>
  <c r="AAF15" i="20"/>
  <c r="AAG15" i="20"/>
  <c r="AAH15" i="20"/>
  <c r="AAI15" i="20"/>
  <c r="AAJ15" i="20"/>
  <c r="AAK15" i="20"/>
  <c r="AAL15" i="20"/>
  <c r="AAM15" i="20"/>
  <c r="AAN15" i="20"/>
  <c r="AAO15" i="20"/>
  <c r="AAP15" i="20"/>
  <c r="AAQ15" i="20"/>
  <c r="AAR15" i="20"/>
  <c r="AAS15" i="20"/>
  <c r="AAT15" i="20"/>
  <c r="AAU15" i="20"/>
  <c r="AAV15" i="20"/>
  <c r="AAW15" i="20"/>
  <c r="AAX15" i="20"/>
  <c r="AAY15" i="20"/>
  <c r="AAZ15" i="20"/>
  <c r="ABA15" i="20"/>
  <c r="ABB15" i="20"/>
  <c r="ABC15" i="20"/>
  <c r="ABD15" i="20"/>
  <c r="ABE15" i="20"/>
  <c r="ABF15" i="20"/>
  <c r="ABG15" i="20"/>
  <c r="ABH15" i="20"/>
  <c r="ABI15" i="20"/>
  <c r="ABJ15" i="20"/>
  <c r="ABK15" i="20"/>
  <c r="ABL15" i="20"/>
  <c r="ABM15" i="20"/>
  <c r="ABN15" i="20"/>
  <c r="ABO15" i="20"/>
  <c r="ABP15" i="20"/>
  <c r="ABQ15" i="20"/>
  <c r="ABR15" i="20"/>
  <c r="ABS15" i="20"/>
  <c r="ABT15" i="20"/>
  <c r="ABU15" i="20"/>
  <c r="ABV15" i="20"/>
  <c r="ABW15" i="20"/>
  <c r="ABX15" i="20"/>
  <c r="ABY15" i="20"/>
  <c r="ABZ15" i="20"/>
  <c r="ACA15" i="20"/>
  <c r="ACB15" i="20"/>
  <c r="ACC15" i="20"/>
  <c r="ACD15" i="20"/>
  <c r="ACE15" i="20"/>
  <c r="ACF15" i="20"/>
  <c r="ACG15" i="20"/>
  <c r="ACH15" i="20"/>
  <c r="ACI15" i="20"/>
  <c r="ACJ15" i="20"/>
  <c r="ACK15" i="20"/>
  <c r="ACL15" i="20"/>
  <c r="ACM15" i="20"/>
  <c r="ACN15" i="20"/>
  <c r="ACO15" i="20"/>
  <c r="ACP15" i="20"/>
  <c r="ACQ15" i="20"/>
  <c r="ACR15" i="20"/>
  <c r="ACS15" i="20"/>
  <c r="ACT15" i="20"/>
  <c r="ACU15" i="20"/>
  <c r="ACV15" i="20"/>
  <c r="ACW15" i="20"/>
  <c r="ACX15" i="20"/>
  <c r="ACY15" i="20"/>
  <c r="ACZ15" i="20"/>
  <c r="ADA15" i="20"/>
  <c r="ADB15" i="20"/>
  <c r="ADC15" i="20"/>
  <c r="ADD15" i="20"/>
  <c r="ADE15" i="20"/>
  <c r="ADF15" i="20"/>
  <c r="ADG15" i="20"/>
  <c r="ADH15" i="20"/>
  <c r="ADI15" i="20"/>
  <c r="ADJ15" i="20"/>
  <c r="ADK15" i="20"/>
  <c r="ADL15" i="20"/>
  <c r="ADM15" i="20"/>
  <c r="ADN15" i="20"/>
  <c r="ADO15" i="20"/>
  <c r="ADP15" i="20"/>
  <c r="ADQ15" i="20"/>
  <c r="ADR15" i="20"/>
  <c r="ADS15" i="20"/>
  <c r="ADT15" i="20"/>
  <c r="ADU15" i="20"/>
  <c r="ADV15" i="20"/>
  <c r="ADW15" i="20"/>
  <c r="ADX15" i="20"/>
  <c r="ADY15" i="20"/>
  <c r="ADZ15" i="20"/>
  <c r="AEA15" i="20"/>
  <c r="AEB15" i="20"/>
  <c r="AEC15" i="20"/>
  <c r="AED15" i="20"/>
  <c r="AEE15" i="20"/>
  <c r="AEF15" i="20"/>
  <c r="AEG15" i="20"/>
  <c r="AEH15" i="20"/>
  <c r="AEI15" i="20"/>
  <c r="AEJ15" i="20"/>
  <c r="AEK15" i="20"/>
  <c r="AEL15" i="20"/>
  <c r="AEM15" i="20"/>
  <c r="AEN15" i="20"/>
  <c r="AEO15" i="20"/>
  <c r="AEP15" i="20"/>
  <c r="AEQ15" i="20"/>
  <c r="AER15" i="20"/>
  <c r="AES15" i="20"/>
  <c r="AET15" i="20"/>
  <c r="AEU15" i="20"/>
  <c r="AEV15" i="20"/>
  <c r="AEW15" i="20"/>
  <c r="AEX15" i="20"/>
  <c r="AEY15" i="20"/>
  <c r="AEZ15" i="20"/>
  <c r="AFA15" i="20"/>
  <c r="AFB15" i="20"/>
  <c r="AFC15" i="20"/>
  <c r="AFD15" i="20"/>
  <c r="AFE15" i="20"/>
  <c r="AFF15" i="20"/>
  <c r="AFG15" i="20"/>
  <c r="AFH15" i="20"/>
  <c r="AFI15" i="20"/>
  <c r="AFJ15" i="20"/>
  <c r="AFK15" i="20"/>
  <c r="AFL15" i="20"/>
  <c r="AFM15" i="20"/>
  <c r="AFN15" i="20"/>
  <c r="AFO15" i="20"/>
  <c r="AFP15" i="20"/>
  <c r="AFQ15" i="20"/>
  <c r="AFR15" i="20"/>
  <c r="AFS15" i="20"/>
  <c r="AFT15" i="20"/>
  <c r="AFU15" i="20"/>
  <c r="AFV15" i="20"/>
  <c r="AFW15" i="20"/>
  <c r="AFX15" i="20"/>
  <c r="AFY15" i="20"/>
  <c r="AFZ15" i="20"/>
  <c r="AGA15" i="20"/>
  <c r="AGB15" i="20"/>
  <c r="AGC15" i="20"/>
  <c r="AGD15" i="20"/>
  <c r="AGE15" i="20"/>
  <c r="AGF15" i="20"/>
  <c r="AGG15" i="20"/>
  <c r="AGH15" i="20"/>
  <c r="AGI15" i="20"/>
  <c r="AGJ15" i="20"/>
  <c r="AGK15" i="20"/>
  <c r="AGL15" i="20"/>
  <c r="AGM15" i="20"/>
  <c r="AGN15" i="20"/>
  <c r="AGO15" i="20"/>
  <c r="AGP15" i="20"/>
  <c r="AGQ15" i="20"/>
  <c r="AGR15" i="20"/>
  <c r="AGS15" i="20"/>
  <c r="AGT15" i="20"/>
  <c r="AGU15" i="20"/>
  <c r="AGV15" i="20"/>
  <c r="AGW15" i="20"/>
  <c r="AGX15" i="20"/>
  <c r="AGY15" i="20"/>
  <c r="AGZ15" i="20"/>
  <c r="AHA15" i="20"/>
  <c r="AHB15" i="20"/>
  <c r="AHC15" i="20"/>
  <c r="AHD15" i="20"/>
  <c r="AHE15" i="20"/>
  <c r="AHF15" i="20"/>
  <c r="AHG15" i="20"/>
  <c r="AHH15" i="20"/>
  <c r="AHI15" i="20"/>
  <c r="AHJ15" i="20"/>
  <c r="AHK15" i="20"/>
  <c r="AHL15" i="20"/>
  <c r="AHM15" i="20"/>
  <c r="AHN15" i="20"/>
  <c r="AHO15" i="20"/>
  <c r="AHP15" i="20"/>
  <c r="AHQ15" i="20"/>
  <c r="AHR15" i="20"/>
  <c r="AHS15" i="20"/>
  <c r="AHT15" i="20"/>
  <c r="AHU15" i="20"/>
  <c r="AHV15" i="20"/>
  <c r="AHW15" i="20"/>
  <c r="AHX15" i="20"/>
  <c r="AHY15" i="20"/>
  <c r="AHZ15" i="20"/>
  <c r="AIA15" i="20"/>
  <c r="AIB15" i="20"/>
  <c r="AIC15" i="20"/>
  <c r="AID15" i="20"/>
  <c r="AIE15" i="20"/>
  <c r="AIF15" i="20"/>
  <c r="AIG15" i="20"/>
  <c r="AIH15" i="20"/>
  <c r="AII15" i="20"/>
  <c r="AIJ15" i="20"/>
  <c r="AIK15" i="20"/>
  <c r="AIL15" i="20"/>
  <c r="AIM15" i="20"/>
  <c r="AIN15" i="20"/>
  <c r="AIO15" i="20"/>
  <c r="AIP15" i="20"/>
  <c r="AIQ15" i="20"/>
  <c r="AIR15" i="20"/>
  <c r="AIS15" i="20"/>
  <c r="AIT15" i="20"/>
  <c r="AIU15" i="20"/>
  <c r="AIV15" i="20"/>
  <c r="AIW15" i="20"/>
  <c r="AIX15" i="20"/>
  <c r="AIY15" i="20"/>
  <c r="AIZ15" i="20"/>
  <c r="AJA15" i="20"/>
  <c r="AJB15" i="20"/>
  <c r="AJC15" i="20"/>
  <c r="AJD15" i="20"/>
  <c r="AJE15" i="20"/>
  <c r="AJF15" i="20"/>
  <c r="AJG15" i="20"/>
  <c r="AJH15" i="20"/>
  <c r="AJI15" i="20"/>
  <c r="AJJ15" i="20"/>
  <c r="AJK15" i="20"/>
  <c r="AJL15" i="20"/>
  <c r="AJM15" i="20"/>
  <c r="AJN15" i="20"/>
  <c r="AJO15" i="20"/>
  <c r="AJP15" i="20"/>
  <c r="AJQ15" i="20"/>
  <c r="AJR15" i="20"/>
  <c r="AJS15" i="20"/>
  <c r="AJT15" i="20"/>
  <c r="AJU15" i="20"/>
  <c r="AJV15" i="20"/>
  <c r="AJW15" i="20"/>
  <c r="AJX15" i="20"/>
  <c r="AJY15" i="20"/>
  <c r="AJZ15" i="20"/>
  <c r="AKA15" i="20"/>
  <c r="AKB15" i="20"/>
  <c r="AKC15" i="20"/>
  <c r="AKD15" i="20"/>
  <c r="AKE15" i="20"/>
  <c r="AKF15" i="20"/>
  <c r="AKG15" i="20"/>
  <c r="AKH15" i="20"/>
  <c r="AKI15" i="20"/>
  <c r="AKJ15" i="20"/>
  <c r="AKK15" i="20"/>
  <c r="AKL15" i="20"/>
  <c r="AKM15" i="20"/>
  <c r="AKN15" i="20"/>
  <c r="AKO15" i="20"/>
  <c r="AKP15" i="20"/>
  <c r="AKQ15" i="20"/>
  <c r="AKR15" i="20"/>
  <c r="AKS15" i="20"/>
  <c r="AKT15" i="20"/>
  <c r="AKU15" i="20"/>
  <c r="AKV15" i="20"/>
  <c r="AKW15" i="20"/>
  <c r="AKX15" i="20"/>
  <c r="AKY15" i="20"/>
  <c r="AKZ15" i="20"/>
  <c r="ALA15" i="20"/>
  <c r="ALB15" i="20"/>
  <c r="ALC15" i="20"/>
  <c r="ALD15" i="20"/>
  <c r="ALE15" i="20"/>
  <c r="ALF15" i="20"/>
  <c r="ALG15" i="20"/>
  <c r="ALH15" i="20"/>
  <c r="ALI15" i="20"/>
  <c r="ALJ15" i="20"/>
  <c r="ALK15" i="20"/>
  <c r="ALL15" i="20"/>
  <c r="ALM15" i="20"/>
  <c r="ALN15" i="20"/>
  <c r="ALO15" i="20"/>
  <c r="ALP15" i="20"/>
  <c r="ALQ15" i="20"/>
  <c r="ALR15" i="20"/>
  <c r="ALS15" i="20"/>
  <c r="ALT15" i="20"/>
  <c r="ALU15" i="20"/>
  <c r="ALV15" i="20"/>
  <c r="ALW15" i="20"/>
  <c r="ALX15" i="20"/>
  <c r="ALY15" i="20"/>
  <c r="ALZ15" i="20"/>
  <c r="AMA15" i="20"/>
  <c r="AMB15" i="20"/>
  <c r="AMC15" i="20"/>
  <c r="AMD15" i="20"/>
  <c r="AME15" i="20"/>
  <c r="AMF15" i="20"/>
  <c r="AMG15" i="20"/>
  <c r="AMH15" i="20"/>
  <c r="AMI15" i="20"/>
  <c r="AMJ15" i="20"/>
  <c r="AMK15" i="20"/>
  <c r="AML15" i="20"/>
  <c r="AMM15" i="20"/>
  <c r="AMN15" i="20"/>
  <c r="AMO15" i="20"/>
  <c r="AMP15" i="20"/>
  <c r="AMQ15" i="20"/>
  <c r="AMR15" i="20"/>
  <c r="AMS15" i="20"/>
  <c r="AMT15" i="20"/>
  <c r="AMU15" i="20"/>
  <c r="AMV15" i="20"/>
  <c r="AMW15" i="20"/>
  <c r="AMX15" i="20"/>
  <c r="AMY15" i="20"/>
  <c r="AMZ15" i="20"/>
  <c r="ANA15" i="20"/>
  <c r="ANB15" i="20"/>
  <c r="ANC15" i="20"/>
  <c r="AND15" i="20"/>
  <c r="ANE15" i="20"/>
  <c r="ANF15" i="20"/>
  <c r="ANG15" i="20"/>
  <c r="ANH15" i="20"/>
  <c r="ANI15" i="20"/>
  <c r="ANJ15" i="20"/>
  <c r="ANK15" i="20"/>
  <c r="ANL15" i="20"/>
  <c r="ANM15" i="20"/>
  <c r="ANN15" i="20"/>
  <c r="ANO15" i="20"/>
  <c r="ANP15" i="20"/>
  <c r="ANQ15" i="20"/>
  <c r="ANR15" i="20"/>
  <c r="ANS15" i="20"/>
  <c r="ANT15" i="20"/>
  <c r="ANU15" i="20"/>
  <c r="ANV15" i="20"/>
  <c r="ANW15" i="20"/>
  <c r="ANX15" i="20"/>
  <c r="ANY15" i="20"/>
  <c r="ANZ15" i="20"/>
  <c r="AOA15" i="20"/>
  <c r="AOB15" i="20"/>
  <c r="AOC15" i="20"/>
  <c r="AOD15" i="20"/>
  <c r="AOE15" i="20"/>
  <c r="AOF15" i="20"/>
  <c r="AOG15" i="20"/>
  <c r="AOH15" i="20"/>
  <c r="AOI15" i="20"/>
  <c r="AOJ15" i="20"/>
  <c r="AOK15" i="20"/>
  <c r="AOL15" i="20"/>
  <c r="AOM15" i="20"/>
  <c r="AON15" i="20"/>
  <c r="AOO15" i="20"/>
  <c r="AOP15" i="20"/>
  <c r="AOQ15" i="20"/>
  <c r="AOR15" i="20"/>
  <c r="AOS15" i="20"/>
  <c r="AOT15" i="20"/>
  <c r="AOU15" i="20"/>
  <c r="AOV15" i="20"/>
  <c r="AOW15" i="20"/>
  <c r="AOX15" i="20"/>
  <c r="AOY15" i="20"/>
  <c r="AOZ15" i="20"/>
  <c r="APA15" i="20"/>
  <c r="APB15" i="20"/>
  <c r="APC15" i="20"/>
  <c r="APD15" i="20"/>
  <c r="APE15" i="20"/>
  <c r="APF15" i="20"/>
  <c r="APG15" i="20"/>
  <c r="APH15" i="20"/>
  <c r="API15" i="20"/>
  <c r="APJ15" i="20"/>
  <c r="APK15" i="20"/>
  <c r="APL15" i="20"/>
  <c r="APM15" i="20"/>
  <c r="APN15" i="20"/>
  <c r="APO15" i="20"/>
  <c r="APP15" i="20"/>
  <c r="APQ15" i="20"/>
  <c r="APR15" i="20"/>
  <c r="APS15" i="20"/>
  <c r="APT15" i="20"/>
  <c r="APU15" i="20"/>
  <c r="APV15" i="20"/>
  <c r="APW15" i="20"/>
  <c r="APX15" i="20"/>
  <c r="APY15" i="20"/>
  <c r="APZ15" i="20"/>
  <c r="AQA15" i="20"/>
  <c r="AQB15" i="20"/>
  <c r="AQC15" i="20"/>
  <c r="AQD15" i="20"/>
  <c r="AQE15" i="20"/>
  <c r="AQF15" i="20"/>
  <c r="AQG15" i="20"/>
  <c r="AQH15" i="20"/>
  <c r="AQI15" i="20"/>
  <c r="AQJ15" i="20"/>
  <c r="AQK15" i="20"/>
  <c r="AQL15" i="20"/>
  <c r="AQM15" i="20"/>
  <c r="AQN15" i="20"/>
  <c r="AQO15" i="20"/>
  <c r="AQP15" i="20"/>
  <c r="AQQ15" i="20"/>
  <c r="AQR15" i="20"/>
  <c r="AQS15" i="20"/>
  <c r="AQT15" i="20"/>
  <c r="AQU15" i="20"/>
  <c r="AQV15" i="20"/>
  <c r="AQW15" i="20"/>
  <c r="AQX15" i="20"/>
  <c r="AQY15" i="20"/>
  <c r="AQZ15" i="20"/>
  <c r="ARA15" i="20"/>
  <c r="ARB15" i="20"/>
  <c r="ARC15" i="20"/>
  <c r="ARD15" i="20"/>
  <c r="ARE15" i="20"/>
  <c r="ARF15" i="20"/>
  <c r="ARG15" i="20"/>
  <c r="ARH15" i="20"/>
  <c r="ARI15" i="20"/>
  <c r="ARJ15" i="20"/>
  <c r="ARK15" i="20"/>
  <c r="ARL15" i="20"/>
  <c r="ARM15" i="20"/>
  <c r="ARN15" i="20"/>
  <c r="ARO15" i="20"/>
  <c r="ARP15" i="20"/>
  <c r="ARQ15" i="20"/>
  <c r="ARR15" i="20"/>
  <c r="ARS15" i="20"/>
  <c r="ART15" i="20"/>
  <c r="ARU15" i="20"/>
  <c r="ARV15" i="20"/>
  <c r="ARW15" i="20"/>
  <c r="ARX15" i="20"/>
  <c r="ARY15" i="20"/>
  <c r="ARZ15" i="20"/>
  <c r="ASA15" i="20"/>
  <c r="ASB15" i="20"/>
  <c r="ASC15" i="20"/>
  <c r="ASD15" i="20"/>
  <c r="ASE15" i="20"/>
  <c r="ASF15" i="20"/>
  <c r="ASG15" i="20"/>
  <c r="ASH15" i="20"/>
  <c r="ASI15" i="20"/>
  <c r="ASJ15" i="20"/>
  <c r="ASK15" i="20"/>
  <c r="ASL15" i="20"/>
  <c r="ASM15" i="20"/>
  <c r="ASN15" i="20"/>
  <c r="ASO15" i="20"/>
  <c r="ASP15" i="20"/>
  <c r="ASQ15" i="20"/>
  <c r="ASR15" i="20"/>
  <c r="ASS15" i="20"/>
  <c r="AST15" i="20"/>
  <c r="ASU15" i="20"/>
  <c r="ASV15" i="20"/>
  <c r="ASW15" i="20"/>
  <c r="ASX15" i="20"/>
  <c r="ASY15" i="20"/>
  <c r="ASZ15" i="20"/>
  <c r="ATA15" i="20"/>
  <c r="ATB15" i="20"/>
  <c r="ATC15" i="20"/>
  <c r="ATD15" i="20"/>
  <c r="ATE15" i="20"/>
  <c r="ATF15" i="20"/>
  <c r="ATG15" i="20"/>
  <c r="ATH15" i="20"/>
  <c r="ATI15" i="20"/>
  <c r="ATJ15" i="20"/>
  <c r="ATK15" i="20"/>
  <c r="ATL15" i="20"/>
  <c r="ATM15" i="20"/>
  <c r="ATN15" i="20"/>
  <c r="ATO15" i="20"/>
  <c r="ATP15" i="20"/>
  <c r="ATQ15" i="20"/>
  <c r="ATR15" i="20"/>
  <c r="ATS15" i="20"/>
  <c r="ATT15" i="20"/>
  <c r="ATU15" i="20"/>
  <c r="ATV15" i="20"/>
  <c r="ATW15" i="20"/>
  <c r="ATX15" i="20"/>
  <c r="ATY15" i="20"/>
  <c r="ATZ15" i="20"/>
  <c r="AUA15" i="20"/>
  <c r="AUB15" i="20"/>
  <c r="AUC15" i="20"/>
  <c r="AUD15" i="20"/>
  <c r="AUE15" i="20"/>
  <c r="AUF15" i="20"/>
  <c r="AUG15" i="20"/>
  <c r="AUH15" i="20"/>
  <c r="AUI15" i="20"/>
  <c r="AUJ15" i="20"/>
  <c r="AUK15" i="20"/>
  <c r="AUL15" i="20"/>
  <c r="AUM15" i="20"/>
  <c r="AUN15" i="20"/>
  <c r="AUO15" i="20"/>
  <c r="AUP15" i="20"/>
  <c r="AUQ15" i="20"/>
  <c r="AUR15" i="20"/>
  <c r="AUS15" i="20"/>
  <c r="AUT15" i="20"/>
  <c r="AUU15" i="20"/>
  <c r="AUV15" i="20"/>
  <c r="AUW15" i="20"/>
  <c r="AUX15" i="20"/>
  <c r="AUY15" i="20"/>
  <c r="AUZ15" i="20"/>
  <c r="AVA15" i="20"/>
  <c r="AVB15" i="20"/>
  <c r="AVC15" i="20"/>
  <c r="AVD15" i="20"/>
  <c r="AVE15" i="20"/>
  <c r="AVF15" i="20"/>
  <c r="AVG15" i="20"/>
  <c r="AVH15" i="20"/>
  <c r="AVI15" i="20"/>
  <c r="AVJ15" i="20"/>
  <c r="AVK15" i="20"/>
  <c r="AVL15" i="20"/>
  <c r="AVM15" i="20"/>
  <c r="AVN15" i="20"/>
  <c r="AVO15" i="20"/>
  <c r="AVP15" i="20"/>
  <c r="AVQ15" i="20"/>
  <c r="AVR15" i="20"/>
  <c r="AVS15" i="20"/>
  <c r="AVT15" i="20"/>
  <c r="AVU15" i="20"/>
  <c r="AVV15" i="20"/>
  <c r="AVW15" i="20"/>
  <c r="AVX15" i="20"/>
  <c r="AVY15" i="20"/>
  <c r="AVZ15" i="20"/>
  <c r="AWA15" i="20"/>
  <c r="AWB15" i="20"/>
  <c r="AWC15" i="20"/>
  <c r="AWD15" i="20"/>
  <c r="AWE15" i="20"/>
  <c r="AWF15" i="20"/>
  <c r="AWG15" i="20"/>
  <c r="AWH15" i="20"/>
  <c r="AWI15" i="20"/>
  <c r="AWJ15" i="20"/>
  <c r="AWK15" i="20"/>
  <c r="AWL15" i="20"/>
  <c r="AWM15" i="20"/>
  <c r="AWN15" i="20"/>
  <c r="AWO15" i="20"/>
  <c r="AWP15" i="20"/>
  <c r="AWQ15" i="20"/>
  <c r="AWR15" i="20"/>
  <c r="AWS15" i="20"/>
  <c r="AWT15" i="20"/>
  <c r="AWU15" i="20"/>
  <c r="AWV15" i="20"/>
  <c r="AWW15" i="20"/>
  <c r="AWX15" i="20"/>
  <c r="AWY15" i="20"/>
  <c r="AWZ15" i="20"/>
  <c r="AXA15" i="20"/>
  <c r="AXB15" i="20"/>
  <c r="AXC15" i="20"/>
  <c r="AXD15" i="20"/>
  <c r="AXE15" i="20"/>
  <c r="AXF15" i="20"/>
  <c r="AXG15" i="20"/>
  <c r="AXH15" i="20"/>
  <c r="AXI15" i="20"/>
  <c r="AXJ15" i="20"/>
  <c r="AXK15" i="20"/>
  <c r="AXL15" i="20"/>
  <c r="AXM15" i="20"/>
  <c r="AXN15" i="20"/>
  <c r="AXO15" i="20"/>
  <c r="AXP15" i="20"/>
  <c r="AXQ15" i="20"/>
  <c r="AXR15" i="20"/>
  <c r="AXS15" i="20"/>
  <c r="AXT15" i="20"/>
  <c r="AXU15" i="20"/>
  <c r="AXV15" i="20"/>
  <c r="AXW15" i="20"/>
  <c r="AXX15" i="20"/>
  <c r="AXY15" i="20"/>
  <c r="AXZ15" i="20"/>
  <c r="AYA15" i="20"/>
  <c r="AYB15" i="20"/>
  <c r="AYC15" i="20"/>
  <c r="AYD15" i="20"/>
  <c r="AYE15" i="20"/>
  <c r="AYF15" i="20"/>
  <c r="AYG15" i="20"/>
  <c r="AYH15" i="20"/>
  <c r="AYI15" i="20"/>
  <c r="AYJ15" i="20"/>
  <c r="AYK15" i="20"/>
  <c r="AYL15" i="20"/>
  <c r="AYM15" i="20"/>
  <c r="AYN15" i="20"/>
  <c r="AYO15" i="20"/>
  <c r="AYP15" i="20"/>
  <c r="AYQ15" i="20"/>
  <c r="AYR15" i="20"/>
  <c r="AYS15" i="20"/>
  <c r="AYT15" i="20"/>
  <c r="AYU15" i="20"/>
  <c r="AYV15" i="20"/>
  <c r="AYW15" i="20"/>
  <c r="AYX15" i="20"/>
  <c r="AYY15" i="20"/>
  <c r="AYZ15" i="20"/>
  <c r="AZA15" i="20"/>
  <c r="AZB15" i="20"/>
  <c r="AZC15" i="20"/>
  <c r="AZD15" i="20"/>
  <c r="AZE15" i="20"/>
  <c r="AZF15" i="20"/>
  <c r="AZG15" i="20"/>
  <c r="AZH15" i="20"/>
  <c r="AZI15" i="20"/>
  <c r="AZJ15" i="20"/>
  <c r="AZK15" i="20"/>
  <c r="AZL15" i="20"/>
  <c r="AZM15" i="20"/>
  <c r="AZN15" i="20"/>
  <c r="AZO15" i="20"/>
  <c r="AZP15" i="20"/>
  <c r="AZQ15" i="20"/>
  <c r="AZR15" i="20"/>
  <c r="AZS15" i="20"/>
  <c r="AZT15" i="20"/>
  <c r="AZU15" i="20"/>
  <c r="AZV15" i="20"/>
  <c r="AZW15" i="20"/>
  <c r="AZX15" i="20"/>
  <c r="AZY15" i="20"/>
  <c r="AZZ15" i="20"/>
  <c r="BAA15" i="20"/>
  <c r="BAB15" i="20"/>
  <c r="BAC15" i="20"/>
  <c r="BAD15" i="20"/>
  <c r="BAE15" i="20"/>
  <c r="BAF15" i="20"/>
  <c r="BAG15" i="20"/>
  <c r="BAH15" i="20"/>
  <c r="BAI15" i="20"/>
  <c r="BAJ15" i="20"/>
  <c r="BAK15" i="20"/>
  <c r="BAL15" i="20"/>
  <c r="BAM15" i="20"/>
  <c r="BAN15" i="20"/>
  <c r="BAO15" i="20"/>
  <c r="BAP15" i="20"/>
  <c r="BAQ15" i="20"/>
  <c r="BAR15" i="20"/>
  <c r="BAS15" i="20"/>
  <c r="BAT15" i="20"/>
  <c r="BAU15" i="20"/>
  <c r="BAV15" i="20"/>
  <c r="BAW15" i="20"/>
  <c r="BAX15" i="20"/>
  <c r="BAY15" i="20"/>
  <c r="BAZ15" i="20"/>
  <c r="BBA15" i="20"/>
  <c r="BBB15" i="20"/>
  <c r="BBC15" i="20"/>
  <c r="BBD15" i="20"/>
  <c r="BBE15" i="20"/>
  <c r="BBF15" i="20"/>
  <c r="BBG15" i="20"/>
  <c r="BBH15" i="20"/>
  <c r="BBI15" i="20"/>
  <c r="BBJ15" i="20"/>
  <c r="BBK15" i="20"/>
  <c r="BBL15" i="20"/>
  <c r="BBM15" i="20"/>
  <c r="BBN15" i="20"/>
  <c r="BBO15" i="20"/>
  <c r="BBP15" i="20"/>
  <c r="BBQ15" i="20"/>
  <c r="BBR15" i="20"/>
  <c r="BBS15" i="20"/>
  <c r="BBT15" i="20"/>
  <c r="BBU15" i="20"/>
  <c r="BBV15" i="20"/>
  <c r="BBW15" i="20"/>
  <c r="BBX15" i="20"/>
  <c r="BBY15" i="20"/>
  <c r="BBZ15" i="20"/>
  <c r="BCA15" i="20"/>
  <c r="BCB15" i="20"/>
  <c r="BCC15" i="20"/>
  <c r="BCD15" i="20"/>
  <c r="BCE15" i="20"/>
  <c r="BCF15" i="20"/>
  <c r="BCG15" i="20"/>
  <c r="BCH15" i="20"/>
  <c r="BCI15" i="20"/>
  <c r="BCJ15" i="20"/>
  <c r="BCK15" i="20"/>
  <c r="BCL15" i="20"/>
  <c r="BCM15" i="20"/>
  <c r="BCN15" i="20"/>
  <c r="BCO15" i="20"/>
  <c r="BCP15" i="20"/>
  <c r="BCQ15" i="20"/>
  <c r="BCR15" i="20"/>
  <c r="BCS15" i="20"/>
  <c r="BCT15" i="20"/>
  <c r="BCU15" i="20"/>
  <c r="BCV15" i="20"/>
  <c r="BCW15" i="20"/>
  <c r="BCX15" i="20"/>
  <c r="BCY15" i="20"/>
  <c r="BCZ15" i="20"/>
  <c r="BDA15" i="20"/>
  <c r="BDB15" i="20"/>
  <c r="BDC15" i="20"/>
  <c r="BDD15" i="20"/>
  <c r="BDE15" i="20"/>
  <c r="BDF15" i="20"/>
  <c r="BDG15" i="20"/>
  <c r="BDH15" i="20"/>
  <c r="BDI15" i="20"/>
  <c r="BDJ15" i="20"/>
  <c r="BDK15" i="20"/>
  <c r="BDL15" i="20"/>
  <c r="BDM15" i="20"/>
  <c r="BDN15" i="20"/>
  <c r="BDO15" i="20"/>
  <c r="BDP15" i="20"/>
  <c r="BDQ15" i="20"/>
  <c r="BDR15" i="20"/>
  <c r="BDS15" i="20"/>
  <c r="BDT15" i="20"/>
  <c r="BDU15" i="20"/>
  <c r="BDV15" i="20"/>
  <c r="BDW15" i="20"/>
  <c r="BDX15" i="20"/>
  <c r="BDY15" i="20"/>
  <c r="BDZ15" i="20"/>
  <c r="BEA15" i="20"/>
  <c r="BEB15" i="20"/>
  <c r="BEC15" i="20"/>
  <c r="BED15" i="20"/>
  <c r="BEE15" i="20"/>
  <c r="BEF15" i="20"/>
  <c r="BEG15" i="20"/>
  <c r="BEH15" i="20"/>
  <c r="BEI15" i="20"/>
  <c r="BEJ15" i="20"/>
  <c r="BEK15" i="20"/>
  <c r="BEL15" i="20"/>
  <c r="BEM15" i="20"/>
  <c r="BEN15" i="20"/>
  <c r="BEO15" i="20"/>
  <c r="BEP15" i="20"/>
  <c r="BEQ15" i="20"/>
  <c r="BER15" i="20"/>
  <c r="BES15" i="20"/>
  <c r="BET15" i="20"/>
  <c r="BEU15" i="20"/>
  <c r="BEV15" i="20"/>
  <c r="BEW15" i="20"/>
  <c r="BEX15" i="20"/>
  <c r="BEY15" i="20"/>
  <c r="BEZ15" i="20"/>
  <c r="BFA15" i="20"/>
  <c r="BFB15" i="20"/>
  <c r="BFC15" i="20"/>
  <c r="BFD15" i="20"/>
  <c r="BFE15" i="20"/>
  <c r="BFF15" i="20"/>
  <c r="BFG15" i="20"/>
  <c r="BFH15" i="20"/>
  <c r="BFI15" i="20"/>
  <c r="BFJ15" i="20"/>
  <c r="BFK15" i="20"/>
  <c r="BFL15" i="20"/>
  <c r="BFM15" i="20"/>
  <c r="BFN15" i="20"/>
  <c r="BFO15" i="20"/>
  <c r="BFP15" i="20"/>
  <c r="BFQ15" i="20"/>
  <c r="BFR15" i="20"/>
  <c r="BFS15" i="20"/>
  <c r="BFT15" i="20"/>
  <c r="BFU15" i="20"/>
  <c r="BFV15" i="20"/>
  <c r="BFW15" i="20"/>
  <c r="BFX15" i="20"/>
  <c r="BFY15" i="20"/>
  <c r="BFZ15" i="20"/>
  <c r="BGA15" i="20"/>
  <c r="BGB15" i="20"/>
  <c r="BGC15" i="20"/>
  <c r="BGD15" i="20"/>
  <c r="BGE15" i="20"/>
  <c r="BGF15" i="20"/>
  <c r="BGG15" i="20"/>
  <c r="BGH15" i="20"/>
  <c r="BGI15" i="20"/>
  <c r="BGJ15" i="20"/>
  <c r="BGK15" i="20"/>
  <c r="BGL15" i="20"/>
  <c r="BGM15" i="20"/>
  <c r="BGN15" i="20"/>
  <c r="BGO15" i="20"/>
  <c r="BGP15" i="20"/>
  <c r="BGQ15" i="20"/>
  <c r="BGR15" i="20"/>
  <c r="BGS15" i="20"/>
  <c r="BGT15" i="20"/>
  <c r="BGU15" i="20"/>
  <c r="BGV15" i="20"/>
  <c r="BGW15" i="20"/>
  <c r="BGX15" i="20"/>
  <c r="BGY15" i="20"/>
  <c r="BGZ15" i="20"/>
  <c r="BHA15" i="20"/>
  <c r="BHB15" i="20"/>
  <c r="BHC15" i="20"/>
  <c r="BHD15" i="20"/>
  <c r="BHE15" i="20"/>
  <c r="BHF15" i="20"/>
  <c r="BHG15" i="20"/>
  <c r="BHH15" i="20"/>
  <c r="BHI15" i="20"/>
  <c r="BHJ15" i="20"/>
  <c r="BHK15" i="20"/>
  <c r="BHL15" i="20"/>
  <c r="BHM15" i="20"/>
  <c r="BHN15" i="20"/>
  <c r="BHO15" i="20"/>
  <c r="BHP15" i="20"/>
  <c r="BHQ15" i="20"/>
  <c r="BHR15" i="20"/>
  <c r="BHS15" i="20"/>
  <c r="BHT15" i="20"/>
  <c r="BHU15" i="20"/>
  <c r="BHV15" i="20"/>
  <c r="BHW15" i="20"/>
  <c r="BHX15" i="20"/>
  <c r="BHY15" i="20"/>
  <c r="BHZ15" i="20"/>
  <c r="BIA15" i="20"/>
  <c r="BIB15" i="20"/>
  <c r="BIC15" i="20"/>
  <c r="BID15" i="20"/>
  <c r="BIE15" i="20"/>
  <c r="BIF15" i="20"/>
  <c r="BIG15" i="20"/>
  <c r="BIH15" i="20"/>
  <c r="BII15" i="20"/>
  <c r="BIJ15" i="20"/>
  <c r="BIK15" i="20"/>
  <c r="BIL15" i="20"/>
  <c r="BIM15" i="20"/>
  <c r="BIN15" i="20"/>
  <c r="BIO15" i="20"/>
  <c r="BIP15" i="20"/>
  <c r="BIQ15" i="20"/>
  <c r="BIR15" i="20"/>
  <c r="BIS15" i="20"/>
  <c r="BIT15" i="20"/>
  <c r="BIU15" i="20"/>
  <c r="BIV15" i="20"/>
  <c r="BIW15" i="20"/>
  <c r="BIX15" i="20"/>
  <c r="BIY15" i="20"/>
  <c r="BIZ15" i="20"/>
  <c r="BJA15" i="20"/>
  <c r="BJB15" i="20"/>
  <c r="BJC15" i="20"/>
  <c r="BJD15" i="20"/>
  <c r="BJE15" i="20"/>
  <c r="BJF15" i="20"/>
  <c r="BJG15" i="20"/>
  <c r="BJH15" i="20"/>
  <c r="BJI15" i="20"/>
  <c r="BJJ15" i="20"/>
  <c r="BJK15" i="20"/>
  <c r="BJL15" i="20"/>
  <c r="BJM15" i="20"/>
  <c r="BJN15" i="20"/>
  <c r="BJO15" i="20"/>
  <c r="BJP15" i="20"/>
  <c r="BJQ15" i="20"/>
  <c r="BJR15" i="20"/>
  <c r="BJS15" i="20"/>
  <c r="BJT15" i="20"/>
  <c r="BJU15" i="20"/>
  <c r="BJV15" i="20"/>
  <c r="BJW15" i="20"/>
  <c r="BJX15" i="20"/>
  <c r="BJY15" i="20"/>
  <c r="BJZ15" i="20"/>
  <c r="BKA15" i="20"/>
  <c r="BKB15" i="20"/>
  <c r="BKC15" i="20"/>
  <c r="BKD15" i="20"/>
  <c r="BKE15" i="20"/>
  <c r="BKF15" i="20"/>
  <c r="BKG15" i="20"/>
  <c r="BKH15" i="20"/>
  <c r="BKI15" i="20"/>
  <c r="BKJ15" i="20"/>
  <c r="BKK15" i="20"/>
  <c r="BKL15" i="20"/>
  <c r="BKM15" i="20"/>
  <c r="BKN15" i="20"/>
  <c r="BKO15" i="20"/>
  <c r="BKP15" i="20"/>
  <c r="BKQ15" i="20"/>
  <c r="BKR15" i="20"/>
  <c r="BKS15" i="20"/>
  <c r="BKT15" i="20"/>
  <c r="BKU15" i="20"/>
  <c r="BKV15" i="20"/>
  <c r="BKW15" i="20"/>
  <c r="BKX15" i="20"/>
  <c r="BKY15" i="20"/>
  <c r="BKZ15" i="20"/>
  <c r="BLA15" i="20"/>
  <c r="BLB15" i="20"/>
  <c r="BLC15" i="20"/>
  <c r="BLD15" i="20"/>
  <c r="BLE15" i="20"/>
  <c r="BLF15" i="20"/>
  <c r="BLG15" i="20"/>
  <c r="BLH15" i="20"/>
  <c r="BLI15" i="20"/>
  <c r="BLJ15" i="20"/>
  <c r="BLK15" i="20"/>
  <c r="BLL15" i="20"/>
  <c r="BLM15" i="20"/>
  <c r="BLN15" i="20"/>
  <c r="BLO15" i="20"/>
  <c r="BLP15" i="20"/>
  <c r="BLQ15" i="20"/>
  <c r="BLR15" i="20"/>
  <c r="BLS15" i="20"/>
  <c r="BLT15" i="20"/>
  <c r="BLU15" i="20"/>
  <c r="BLV15" i="20"/>
  <c r="BLW15" i="20"/>
  <c r="BLX15" i="20"/>
  <c r="BLY15" i="20"/>
  <c r="BLZ15" i="20"/>
  <c r="BMA15" i="20"/>
  <c r="BMB15" i="20"/>
  <c r="BMC15" i="20"/>
  <c r="BMD15" i="20"/>
  <c r="BME15" i="20"/>
  <c r="BMF15" i="20"/>
  <c r="BMG15" i="20"/>
  <c r="BMH15" i="20"/>
  <c r="BMI15" i="20"/>
  <c r="BMJ15" i="20"/>
  <c r="BMK15" i="20"/>
  <c r="BML15" i="20"/>
  <c r="BMM15" i="20"/>
  <c r="BMN15" i="20"/>
  <c r="BMO15" i="20"/>
  <c r="BMP15" i="20"/>
  <c r="BMQ15" i="20"/>
  <c r="BMR15" i="20"/>
  <c r="BMS15" i="20"/>
  <c r="BMT15" i="20"/>
  <c r="BMU15" i="20"/>
  <c r="BMV15" i="20"/>
  <c r="BMW15" i="20"/>
  <c r="BMX15" i="20"/>
  <c r="BMY15" i="20"/>
  <c r="BMZ15" i="20"/>
  <c r="BNA15" i="20"/>
  <c r="BNB15" i="20"/>
  <c r="BNC15" i="20"/>
  <c r="BND15" i="20"/>
  <c r="BNE15" i="20"/>
  <c r="BNF15" i="20"/>
  <c r="BNG15" i="20"/>
  <c r="BNH15" i="20"/>
  <c r="BNI15" i="20"/>
  <c r="BNJ15" i="20"/>
  <c r="BNK15" i="20"/>
  <c r="BNL15" i="20"/>
  <c r="BNM15" i="20"/>
  <c r="BNN15" i="20"/>
  <c r="BNO15" i="20"/>
  <c r="BNP15" i="20"/>
  <c r="BNQ15" i="20"/>
  <c r="BNR15" i="20"/>
  <c r="BNS15" i="20"/>
  <c r="BNT15" i="20"/>
  <c r="BNU15" i="20"/>
  <c r="BNV15" i="20"/>
  <c r="BNW15" i="20"/>
  <c r="BNX15" i="20"/>
  <c r="BNY15" i="20"/>
  <c r="BNZ15" i="20"/>
  <c r="BOA15" i="20"/>
  <c r="BOB15" i="20"/>
  <c r="BOC15" i="20"/>
  <c r="BOD15" i="20"/>
  <c r="BOE15" i="20"/>
  <c r="BOF15" i="20"/>
  <c r="BOG15" i="20"/>
  <c r="BOH15" i="20"/>
  <c r="BOI15" i="20"/>
  <c r="BOJ15" i="20"/>
  <c r="BOK15" i="20"/>
  <c r="BOL15" i="20"/>
  <c r="BOM15" i="20"/>
  <c r="BON15" i="20"/>
  <c r="BOO15" i="20"/>
  <c r="BOP15" i="20"/>
  <c r="BOQ15" i="20"/>
  <c r="BOR15" i="20"/>
  <c r="BOS15" i="20"/>
  <c r="BOT15" i="20"/>
  <c r="BOU15" i="20"/>
  <c r="BOV15" i="20"/>
  <c r="BOW15" i="20"/>
  <c r="BOX15" i="20"/>
  <c r="BOY15" i="20"/>
  <c r="BOZ15" i="20"/>
  <c r="BPA15" i="20"/>
  <c r="BPB15" i="20"/>
  <c r="BPC15" i="20"/>
  <c r="BPD15" i="20"/>
  <c r="BPE15" i="20"/>
  <c r="BPF15" i="20"/>
  <c r="BPG15" i="20"/>
  <c r="BPH15" i="20"/>
  <c r="BPI15" i="20"/>
  <c r="BPJ15" i="20"/>
  <c r="BPK15" i="20"/>
  <c r="BPL15" i="20"/>
  <c r="BPM15" i="20"/>
  <c r="BPN15" i="20"/>
  <c r="BPO15" i="20"/>
  <c r="BPP15" i="20"/>
  <c r="BPQ15" i="20"/>
  <c r="BPR15" i="20"/>
  <c r="BPS15" i="20"/>
  <c r="BPT15" i="20"/>
  <c r="BPU15" i="20"/>
  <c r="BPV15" i="20"/>
  <c r="BPW15" i="20"/>
  <c r="BPX15" i="20"/>
  <c r="BPY15" i="20"/>
  <c r="BPZ15" i="20"/>
  <c r="BQA15" i="20"/>
  <c r="BQB15" i="20"/>
  <c r="BQC15" i="20"/>
  <c r="BQD15" i="20"/>
  <c r="BQE15" i="20"/>
  <c r="BQF15" i="20"/>
  <c r="BQG15" i="20"/>
  <c r="BQH15" i="20"/>
  <c r="BQI15" i="20"/>
  <c r="BQJ15" i="20"/>
  <c r="BQK15" i="20"/>
  <c r="BQL15" i="20"/>
  <c r="BQM15" i="20"/>
  <c r="BQN15" i="20"/>
  <c r="BQO15" i="20"/>
  <c r="BQP15" i="20"/>
  <c r="BQQ15" i="20"/>
  <c r="BQR15" i="20"/>
  <c r="BQS15" i="20"/>
  <c r="BQT15" i="20"/>
  <c r="BQU15" i="20"/>
  <c r="BQV15" i="20"/>
  <c r="BQW15" i="20"/>
  <c r="BQX15" i="20"/>
  <c r="BQY15" i="20"/>
  <c r="BQZ15" i="20"/>
  <c r="BRA15" i="20"/>
  <c r="BRB15" i="20"/>
  <c r="BRC15" i="20"/>
  <c r="BRD15" i="20"/>
  <c r="BRE15" i="20"/>
  <c r="BRF15" i="20"/>
  <c r="BRG15" i="20"/>
  <c r="BRH15" i="20"/>
  <c r="BRI15" i="20"/>
  <c r="BRJ15" i="20"/>
  <c r="BRK15" i="20"/>
  <c r="BRL15" i="20"/>
  <c r="BRM15" i="20"/>
  <c r="BRN15" i="20"/>
  <c r="BRO15" i="20"/>
  <c r="BRP15" i="20"/>
  <c r="BRQ15" i="20"/>
  <c r="BRR15" i="20"/>
  <c r="BRS15" i="20"/>
  <c r="BRT15" i="20"/>
  <c r="BRU15" i="20"/>
  <c r="BRV15" i="20"/>
  <c r="BRW15" i="20"/>
  <c r="BRX15" i="20"/>
  <c r="BRY15" i="20"/>
  <c r="BRZ15" i="20"/>
  <c r="BSA15" i="20"/>
  <c r="BSB15" i="20"/>
  <c r="BSC15" i="20"/>
  <c r="BSD15" i="20"/>
  <c r="BSE15" i="20"/>
  <c r="BSF15" i="20"/>
  <c r="BSG15" i="20"/>
  <c r="BSH15" i="20"/>
  <c r="BSI15" i="20"/>
  <c r="BSJ15" i="20"/>
  <c r="BSK15" i="20"/>
  <c r="BSL15" i="20"/>
  <c r="BSM15" i="20"/>
  <c r="BSN15" i="20"/>
  <c r="BSO15" i="20"/>
  <c r="BSP15" i="20"/>
  <c r="BSQ15" i="20"/>
  <c r="BSR15" i="20"/>
  <c r="BSS15" i="20"/>
  <c r="BST15" i="20"/>
  <c r="BSU15" i="20"/>
  <c r="BSV15" i="20"/>
  <c r="BSW15" i="20"/>
  <c r="BSX15" i="20"/>
  <c r="BSY15" i="20"/>
  <c r="BSZ15" i="20"/>
  <c r="BTA15" i="20"/>
  <c r="BTB15" i="20"/>
  <c r="BTC15" i="20"/>
  <c r="BTD15" i="20"/>
  <c r="BTE15" i="20"/>
  <c r="BTF15" i="20"/>
  <c r="BTG15" i="20"/>
  <c r="BTH15" i="20"/>
  <c r="BTI15" i="20"/>
  <c r="BTJ15" i="20"/>
  <c r="BTK15" i="20"/>
  <c r="BTL15" i="20"/>
  <c r="BTM15" i="20"/>
  <c r="BTN15" i="20"/>
  <c r="BTO15" i="20"/>
  <c r="BTP15" i="20"/>
  <c r="BTQ15" i="20"/>
  <c r="BTR15" i="20"/>
  <c r="BTS15" i="20"/>
  <c r="BTT15" i="20"/>
  <c r="BTU15" i="20"/>
  <c r="BTV15" i="20"/>
  <c r="BTW15" i="20"/>
  <c r="BTX15" i="20"/>
  <c r="BTY15" i="20"/>
  <c r="BTZ15" i="20"/>
  <c r="BUA15" i="20"/>
  <c r="BUB15" i="20"/>
  <c r="BUC15" i="20"/>
  <c r="BUD15" i="20"/>
  <c r="BUE15" i="20"/>
  <c r="BUF15" i="20"/>
  <c r="BUG15" i="20"/>
  <c r="BUH15" i="20"/>
  <c r="BUI15" i="20"/>
  <c r="BUJ15" i="20"/>
  <c r="BUK15" i="20"/>
  <c r="BUL15" i="20"/>
  <c r="BUM15" i="20"/>
  <c r="BUN15" i="20"/>
  <c r="BUO15" i="20"/>
  <c r="BUP15" i="20"/>
  <c r="BUQ15" i="20"/>
  <c r="BUR15" i="20"/>
  <c r="BUS15" i="20"/>
  <c r="BUT15" i="20"/>
  <c r="BUU15" i="20"/>
  <c r="BUV15" i="20"/>
  <c r="BUW15" i="20"/>
  <c r="BUX15" i="20"/>
  <c r="BUY15" i="20"/>
  <c r="BUZ15" i="20"/>
  <c r="BVA15" i="20"/>
  <c r="BVB15" i="20"/>
  <c r="BVC15" i="20"/>
  <c r="BVD15" i="20"/>
  <c r="BVE15" i="20"/>
  <c r="BVF15" i="20"/>
  <c r="BVG15" i="20"/>
  <c r="BVH15" i="20"/>
  <c r="BVI15" i="20"/>
  <c r="BVJ15" i="20"/>
  <c r="BVK15" i="20"/>
  <c r="BVL15" i="20"/>
  <c r="BVM15" i="20"/>
  <c r="BVN15" i="20"/>
  <c r="BVO15" i="20"/>
  <c r="BVP15" i="20"/>
  <c r="BVQ15" i="20"/>
  <c r="BVR15" i="20"/>
  <c r="BVS15" i="20"/>
  <c r="BVT15" i="20"/>
  <c r="BVU15" i="20"/>
  <c r="BVV15" i="20"/>
  <c r="BVW15" i="20"/>
  <c r="BVX15" i="20"/>
  <c r="BVY15" i="20"/>
  <c r="BVZ15" i="20"/>
  <c r="BWA15" i="20"/>
  <c r="BWB15" i="20"/>
  <c r="BWC15" i="20"/>
  <c r="BWD15" i="20"/>
  <c r="BWE15" i="20"/>
  <c r="BWF15" i="20"/>
  <c r="BWG15" i="20"/>
  <c r="BWH15" i="20"/>
  <c r="BWI15" i="20"/>
  <c r="BWJ15" i="20"/>
  <c r="BWK15" i="20"/>
  <c r="BWL15" i="20"/>
  <c r="BWM15" i="20"/>
  <c r="BWN15" i="20"/>
  <c r="BWO15" i="20"/>
  <c r="BWP15" i="20"/>
  <c r="BWQ15" i="20"/>
  <c r="BWR15" i="20"/>
  <c r="BWS15" i="20"/>
  <c r="BWT15" i="20"/>
  <c r="BWU15" i="20"/>
  <c r="BWV15" i="20"/>
  <c r="BWW15" i="20"/>
  <c r="BWX15" i="20"/>
  <c r="BWY15" i="20"/>
  <c r="BWZ15" i="20"/>
  <c r="BXA15" i="20"/>
  <c r="BXB15" i="20"/>
  <c r="BXC15" i="20"/>
  <c r="BXD15" i="20"/>
  <c r="BXE15" i="20"/>
  <c r="BXF15" i="20"/>
  <c r="BXG15" i="20"/>
  <c r="BXH15" i="20"/>
  <c r="BXI15" i="20"/>
  <c r="BXJ15" i="20"/>
  <c r="BXK15" i="20"/>
  <c r="BXL15" i="20"/>
  <c r="BXM15" i="20"/>
  <c r="BXN15" i="20"/>
  <c r="BXO15" i="20"/>
  <c r="BXP15" i="20"/>
  <c r="BXQ15" i="20"/>
  <c r="BXR15" i="20"/>
  <c r="BXS15" i="20"/>
  <c r="BXT15" i="20"/>
  <c r="BXU15" i="20"/>
  <c r="BXV15" i="20"/>
  <c r="BXW15" i="20"/>
  <c r="BXX15" i="20"/>
  <c r="BXY15" i="20"/>
  <c r="BXZ15" i="20"/>
  <c r="BYA15" i="20"/>
  <c r="BYB15" i="20"/>
  <c r="BYC15" i="20"/>
  <c r="BYD15" i="20"/>
  <c r="BYE15" i="20"/>
  <c r="BYF15" i="20"/>
  <c r="BYG15" i="20"/>
  <c r="BYH15" i="20"/>
  <c r="BYI15" i="20"/>
  <c r="BYJ15" i="20"/>
  <c r="BYK15" i="20"/>
  <c r="BYL15" i="20"/>
  <c r="BYM15" i="20"/>
  <c r="BYN15" i="20"/>
  <c r="BYO15" i="20"/>
  <c r="BYP15" i="20"/>
  <c r="BYQ15" i="20"/>
  <c r="BYR15" i="20"/>
  <c r="BYS15" i="20"/>
  <c r="BYT15" i="20"/>
  <c r="BYU15" i="20"/>
  <c r="BYV15" i="20"/>
  <c r="BYW15" i="20"/>
  <c r="BYX15" i="20"/>
  <c r="BYY15" i="20"/>
  <c r="BYZ15" i="20"/>
  <c r="BZA15" i="20"/>
  <c r="BZB15" i="20"/>
  <c r="BZC15" i="20"/>
  <c r="BZD15" i="20"/>
  <c r="BZE15" i="20"/>
  <c r="BZF15" i="20"/>
  <c r="BZG15" i="20"/>
  <c r="BZH15" i="20"/>
  <c r="BZI15" i="20"/>
  <c r="BZJ15" i="20"/>
  <c r="BZK15" i="20"/>
  <c r="BZL15" i="20"/>
  <c r="BZM15" i="20"/>
  <c r="BZN15" i="20"/>
  <c r="BZO15" i="20"/>
  <c r="BZP15" i="20"/>
  <c r="BZQ15" i="20"/>
  <c r="BZR15" i="20"/>
  <c r="BZS15" i="20"/>
  <c r="BZT15" i="20"/>
  <c r="BZU15" i="20"/>
  <c r="BZV15" i="20"/>
  <c r="BZW15" i="20"/>
  <c r="BZX15" i="20"/>
  <c r="BZY15" i="20"/>
  <c r="BZZ15" i="20"/>
  <c r="CAA15" i="20"/>
  <c r="CAB15" i="20"/>
  <c r="CAC15" i="20"/>
  <c r="CAD15" i="20"/>
  <c r="CAE15" i="20"/>
  <c r="CAF15" i="20"/>
  <c r="CAG15" i="20"/>
  <c r="CAH15" i="20"/>
  <c r="CAI15" i="20"/>
  <c r="CAJ15" i="20"/>
  <c r="CAK15" i="20"/>
  <c r="CAL15" i="20"/>
  <c r="CAM15" i="20"/>
  <c r="CAN15" i="20"/>
  <c r="CAO15" i="20"/>
  <c r="CAP15" i="20"/>
  <c r="CAQ15" i="20"/>
  <c r="CAR15" i="20"/>
  <c r="CAS15" i="20"/>
  <c r="CAT15" i="20"/>
  <c r="CAU15" i="20"/>
  <c r="CAV15" i="20"/>
  <c r="CAW15" i="20"/>
  <c r="CAX15" i="20"/>
  <c r="CAY15" i="20"/>
  <c r="CAZ15" i="20"/>
  <c r="CBA15" i="20"/>
  <c r="CBB15" i="20"/>
  <c r="CBC15" i="20"/>
  <c r="CBD15" i="20"/>
  <c r="CBE15" i="20"/>
  <c r="CBF15" i="20"/>
  <c r="CBG15" i="20"/>
  <c r="CBH15" i="20"/>
  <c r="CBI15" i="20"/>
  <c r="CBJ15" i="20"/>
  <c r="CBK15" i="20"/>
  <c r="CBL15" i="20"/>
  <c r="CBM15" i="20"/>
  <c r="CBN15" i="20"/>
  <c r="CBO15" i="20"/>
  <c r="CBP15" i="20"/>
  <c r="CBQ15" i="20"/>
  <c r="CBR15" i="20"/>
  <c r="CBS15" i="20"/>
  <c r="CBT15" i="20"/>
  <c r="CBU15" i="20"/>
  <c r="CBV15" i="20"/>
  <c r="CBW15" i="20"/>
  <c r="CBX15" i="20"/>
  <c r="CBY15" i="20"/>
  <c r="CBZ15" i="20"/>
  <c r="CCA15" i="20"/>
  <c r="CCB15" i="20"/>
  <c r="CCC15" i="20"/>
  <c r="CCD15" i="20"/>
  <c r="CCE15" i="20"/>
  <c r="CCF15" i="20"/>
  <c r="CCG15" i="20"/>
  <c r="CCH15" i="20"/>
  <c r="CCI15" i="20"/>
  <c r="CCJ15" i="20"/>
  <c r="CCK15" i="20"/>
  <c r="CCL15" i="20"/>
  <c r="CCM15" i="20"/>
  <c r="CCN15" i="20"/>
  <c r="CCO15" i="20"/>
  <c r="CCP15" i="20"/>
  <c r="CCQ15" i="20"/>
  <c r="CCR15" i="20"/>
  <c r="CCS15" i="20"/>
  <c r="CCT15" i="20"/>
  <c r="CCU15" i="20"/>
  <c r="CCV15" i="20"/>
  <c r="CCW15" i="20"/>
  <c r="CCX15" i="20"/>
  <c r="CCY15" i="20"/>
  <c r="CCZ15" i="20"/>
  <c r="CDA15" i="20"/>
  <c r="CDB15" i="20"/>
  <c r="CDC15" i="20"/>
  <c r="CDD15" i="20"/>
  <c r="CDE15" i="20"/>
  <c r="CDF15" i="20"/>
  <c r="CDG15" i="20"/>
  <c r="CDH15" i="20"/>
  <c r="CDI15" i="20"/>
  <c r="CDJ15" i="20"/>
  <c r="CDK15" i="20"/>
  <c r="CDL15" i="20"/>
  <c r="CDM15" i="20"/>
  <c r="CDN15" i="20"/>
  <c r="CDO15" i="20"/>
  <c r="CDP15" i="20"/>
  <c r="CDQ15" i="20"/>
  <c r="CDR15" i="20"/>
  <c r="CDS15" i="20"/>
  <c r="CDT15" i="20"/>
  <c r="CDU15" i="20"/>
  <c r="CDV15" i="20"/>
  <c r="CDW15" i="20"/>
  <c r="CDX15" i="20"/>
  <c r="CDY15" i="20"/>
  <c r="CDZ15" i="20"/>
  <c r="CEA15" i="20"/>
  <c r="CEB15" i="20"/>
  <c r="CEC15" i="20"/>
  <c r="CED15" i="20"/>
  <c r="CEE15" i="20"/>
  <c r="CEF15" i="20"/>
  <c r="CEG15" i="20"/>
  <c r="CEH15" i="20"/>
  <c r="CEI15" i="20"/>
  <c r="CEJ15" i="20"/>
  <c r="CEK15" i="20"/>
  <c r="CEL15" i="20"/>
  <c r="CEM15" i="20"/>
  <c r="CEN15" i="20"/>
  <c r="CEO15" i="20"/>
  <c r="CEP15" i="20"/>
  <c r="CEQ15" i="20"/>
  <c r="CER15" i="20"/>
  <c r="CES15" i="20"/>
  <c r="CET15" i="20"/>
  <c r="CEU15" i="20"/>
  <c r="CEV15" i="20"/>
  <c r="CEW15" i="20"/>
  <c r="CEX15" i="20"/>
  <c r="CEY15" i="20"/>
  <c r="CEZ15" i="20"/>
  <c r="CFA15" i="20"/>
  <c r="CFB15" i="20"/>
  <c r="CFC15" i="20"/>
  <c r="CFD15" i="20"/>
  <c r="CFE15" i="20"/>
  <c r="CFF15" i="20"/>
  <c r="CFG15" i="20"/>
  <c r="CFH15" i="20"/>
  <c r="CFI15" i="20"/>
  <c r="CFJ15" i="20"/>
  <c r="CFK15" i="20"/>
  <c r="CFL15" i="20"/>
  <c r="CFM15" i="20"/>
  <c r="CFN15" i="20"/>
  <c r="CFO15" i="20"/>
  <c r="CFP15" i="20"/>
  <c r="CFQ15" i="20"/>
  <c r="CFR15" i="20"/>
  <c r="CFS15" i="20"/>
  <c r="CFT15" i="20"/>
  <c r="CFU15" i="20"/>
  <c r="CFV15" i="20"/>
  <c r="CFW15" i="20"/>
  <c r="CFX15" i="20"/>
  <c r="CFY15" i="20"/>
  <c r="CFZ15" i="20"/>
  <c r="CGA15" i="20"/>
  <c r="CGB15" i="20"/>
  <c r="CGC15" i="20"/>
  <c r="CGD15" i="20"/>
  <c r="CGE15" i="20"/>
  <c r="CGF15" i="20"/>
  <c r="CGG15" i="20"/>
  <c r="CGH15" i="20"/>
  <c r="CGI15" i="20"/>
  <c r="CGJ15" i="20"/>
  <c r="CGK15" i="20"/>
  <c r="CGL15" i="20"/>
  <c r="CGM15" i="20"/>
  <c r="CGN15" i="20"/>
  <c r="CGO15" i="20"/>
  <c r="CGP15" i="20"/>
  <c r="CGQ15" i="20"/>
  <c r="CGR15" i="20"/>
  <c r="CGS15" i="20"/>
  <c r="CGT15" i="20"/>
  <c r="CGU15" i="20"/>
  <c r="CGV15" i="20"/>
  <c r="CGW15" i="20"/>
  <c r="CGX15" i="20"/>
  <c r="CGY15" i="20"/>
  <c r="CGZ15" i="20"/>
  <c r="CHA15" i="20"/>
  <c r="CHB15" i="20"/>
  <c r="CHC15" i="20"/>
  <c r="CHD15" i="20"/>
  <c r="CHE15" i="20"/>
  <c r="CHF15" i="20"/>
  <c r="CHG15" i="20"/>
  <c r="CHH15" i="20"/>
  <c r="CHI15" i="20"/>
  <c r="CHJ15" i="20"/>
  <c r="CHK15" i="20"/>
  <c r="CHL15" i="20"/>
  <c r="CHM15" i="20"/>
  <c r="CHN15" i="20"/>
  <c r="CHO15" i="20"/>
  <c r="CHP15" i="20"/>
  <c r="CHQ15" i="20"/>
  <c r="CHR15" i="20"/>
  <c r="CHS15" i="20"/>
  <c r="CHT15" i="20"/>
  <c r="CHU15" i="20"/>
  <c r="CHV15" i="20"/>
  <c r="CHW15" i="20"/>
  <c r="CHX15" i="20"/>
  <c r="CHY15" i="20"/>
  <c r="CHZ15" i="20"/>
  <c r="CIA15" i="20"/>
  <c r="CIB15" i="20"/>
  <c r="CIC15" i="20"/>
  <c r="CID15" i="20"/>
  <c r="CIE15" i="20"/>
  <c r="CIF15" i="20"/>
  <c r="CIG15" i="20"/>
  <c r="CIH15" i="20"/>
  <c r="CII15" i="20"/>
  <c r="CIJ15" i="20"/>
  <c r="CIK15" i="20"/>
  <c r="CIL15" i="20"/>
  <c r="CIM15" i="20"/>
  <c r="CIN15" i="20"/>
  <c r="CIO15" i="20"/>
  <c r="CIP15" i="20"/>
  <c r="CIQ15" i="20"/>
  <c r="CIR15" i="20"/>
  <c r="CIS15" i="20"/>
  <c r="CIT15" i="20"/>
  <c r="CIU15" i="20"/>
  <c r="CIV15" i="20"/>
  <c r="CIW15" i="20"/>
  <c r="CIX15" i="20"/>
  <c r="CIY15" i="20"/>
  <c r="CIZ15" i="20"/>
  <c r="CJA15" i="20"/>
  <c r="CJB15" i="20"/>
  <c r="CJC15" i="20"/>
  <c r="CJD15" i="20"/>
  <c r="CJE15" i="20"/>
  <c r="CJF15" i="20"/>
  <c r="CJG15" i="20"/>
  <c r="CJH15" i="20"/>
  <c r="CJI15" i="20"/>
  <c r="CJJ15" i="20"/>
  <c r="CJK15" i="20"/>
  <c r="CJL15" i="20"/>
  <c r="CJM15" i="20"/>
  <c r="CJN15" i="20"/>
  <c r="CJO15" i="20"/>
  <c r="CJP15" i="20"/>
  <c r="CJQ15" i="20"/>
  <c r="CJR15" i="20"/>
  <c r="CJS15" i="20"/>
  <c r="CJT15" i="20"/>
  <c r="CJU15" i="20"/>
  <c r="CJV15" i="20"/>
  <c r="CJW15" i="20"/>
  <c r="CJX15" i="20"/>
  <c r="CJY15" i="20"/>
  <c r="CJZ15" i="20"/>
  <c r="CKA15" i="20"/>
  <c r="CKB15" i="20"/>
  <c r="CKC15" i="20"/>
  <c r="CKD15" i="20"/>
  <c r="CKE15" i="20"/>
  <c r="CKF15" i="20"/>
  <c r="CKG15" i="20"/>
  <c r="CKH15" i="20"/>
  <c r="CKI15" i="20"/>
  <c r="CKJ15" i="20"/>
  <c r="CKK15" i="20"/>
  <c r="CKL15" i="20"/>
  <c r="CKM15" i="20"/>
  <c r="CKN15" i="20"/>
  <c r="CKO15" i="20"/>
  <c r="CKP15" i="20"/>
  <c r="CKQ15" i="20"/>
  <c r="CKR15" i="20"/>
  <c r="CKS15" i="20"/>
  <c r="CKT15" i="20"/>
  <c r="CKU15" i="20"/>
  <c r="CKV15" i="20"/>
  <c r="CKW15" i="20"/>
  <c r="CKX15" i="20"/>
  <c r="CKY15" i="20"/>
  <c r="CKZ15" i="20"/>
  <c r="CLA15" i="20"/>
  <c r="CLB15" i="20"/>
  <c r="CLC15" i="20"/>
  <c r="CLD15" i="20"/>
  <c r="CLE15" i="20"/>
  <c r="CLF15" i="20"/>
  <c r="CLG15" i="20"/>
  <c r="CLH15" i="20"/>
  <c r="CLI15" i="20"/>
  <c r="CLJ15" i="20"/>
  <c r="CLK15" i="20"/>
  <c r="CLL15" i="20"/>
  <c r="CLM15" i="20"/>
  <c r="CLN15" i="20"/>
  <c r="CLO15" i="20"/>
  <c r="CLP15" i="20"/>
  <c r="CLQ15" i="20"/>
  <c r="CLR15" i="20"/>
  <c r="CLS15" i="20"/>
  <c r="CLT15" i="20"/>
  <c r="CLU15" i="20"/>
  <c r="CLV15" i="20"/>
  <c r="CLW15" i="20"/>
  <c r="CLX15" i="20"/>
  <c r="CLY15" i="20"/>
  <c r="CLZ15" i="20"/>
  <c r="CMA15" i="20"/>
  <c r="CMB15" i="20"/>
  <c r="CMC15" i="20"/>
  <c r="CMD15" i="20"/>
  <c r="CME15" i="20"/>
  <c r="CMF15" i="20"/>
  <c r="CMG15" i="20"/>
  <c r="CMH15" i="20"/>
  <c r="CMI15" i="20"/>
  <c r="CMJ15" i="20"/>
  <c r="CMK15" i="20"/>
  <c r="CML15" i="20"/>
  <c r="CMM15" i="20"/>
  <c r="CMN15" i="20"/>
  <c r="CMO15" i="20"/>
  <c r="CMP15" i="20"/>
  <c r="CMQ15" i="20"/>
  <c r="CMR15" i="20"/>
  <c r="CMS15" i="20"/>
  <c r="CMT15" i="20"/>
  <c r="CMU15" i="20"/>
  <c r="CMV15" i="20"/>
  <c r="CMW15" i="20"/>
  <c r="CMX15" i="20"/>
  <c r="CMY15" i="20"/>
  <c r="CMZ15" i="20"/>
  <c r="CNA15" i="20"/>
  <c r="CNB15" i="20"/>
  <c r="CNC15" i="20"/>
  <c r="CND15" i="20"/>
  <c r="CNE15" i="20"/>
  <c r="CNF15" i="20"/>
  <c r="CNG15" i="20"/>
  <c r="CNH15" i="20"/>
  <c r="CNI15" i="20"/>
  <c r="CNJ15" i="20"/>
  <c r="CNK15" i="20"/>
  <c r="CNL15" i="20"/>
  <c r="CNM15" i="20"/>
  <c r="CNN15" i="20"/>
  <c r="CNO15" i="20"/>
  <c r="CNP15" i="20"/>
  <c r="CNQ15" i="20"/>
  <c r="CNR15" i="20"/>
  <c r="CNS15" i="20"/>
  <c r="CNT15" i="20"/>
  <c r="CNU15" i="20"/>
  <c r="CNV15" i="20"/>
  <c r="CNW15" i="20"/>
  <c r="CNX15" i="20"/>
  <c r="CNY15" i="20"/>
  <c r="CNZ15" i="20"/>
  <c r="COA15" i="20"/>
  <c r="COB15" i="20"/>
  <c r="COC15" i="20"/>
  <c r="COD15" i="20"/>
  <c r="COE15" i="20"/>
  <c r="COF15" i="20"/>
  <c r="COG15" i="20"/>
  <c r="COH15" i="20"/>
  <c r="COI15" i="20"/>
  <c r="COJ15" i="20"/>
  <c r="COK15" i="20"/>
  <c r="COL15" i="20"/>
  <c r="COM15" i="20"/>
  <c r="CON15" i="20"/>
  <c r="COO15" i="20"/>
  <c r="COP15" i="20"/>
  <c r="COQ15" i="20"/>
  <c r="COR15" i="20"/>
  <c r="COS15" i="20"/>
  <c r="COT15" i="20"/>
  <c r="COU15" i="20"/>
  <c r="COV15" i="20"/>
  <c r="COW15" i="20"/>
  <c r="COX15" i="20"/>
  <c r="COY15" i="20"/>
  <c r="COZ15" i="20"/>
  <c r="CPA15" i="20"/>
  <c r="CPB15" i="20"/>
  <c r="CPC15" i="20"/>
  <c r="CPD15" i="20"/>
  <c r="CPE15" i="20"/>
  <c r="CPF15" i="20"/>
  <c r="CPG15" i="20"/>
  <c r="CPH15" i="20"/>
  <c r="CPI15" i="20"/>
  <c r="CPJ15" i="20"/>
  <c r="CPK15" i="20"/>
  <c r="CPL15" i="20"/>
  <c r="CPM15" i="20"/>
  <c r="CPN15" i="20"/>
  <c r="CPO15" i="20"/>
  <c r="CPP15" i="20"/>
  <c r="CPQ15" i="20"/>
  <c r="CPR15" i="20"/>
  <c r="CPS15" i="20"/>
  <c r="CPT15" i="20"/>
  <c r="CPU15" i="20"/>
  <c r="CPV15" i="20"/>
  <c r="CPW15" i="20"/>
  <c r="CPX15" i="20"/>
  <c r="CPY15" i="20"/>
  <c r="CPZ15" i="20"/>
  <c r="CQA15" i="20"/>
  <c r="CQB15" i="20"/>
  <c r="CQC15" i="20"/>
  <c r="CQD15" i="20"/>
  <c r="CQE15" i="20"/>
  <c r="CQF15" i="20"/>
  <c r="CQG15" i="20"/>
  <c r="CQH15" i="20"/>
  <c r="CQI15" i="20"/>
  <c r="CQJ15" i="20"/>
  <c r="CQK15" i="20"/>
  <c r="CQL15" i="20"/>
  <c r="CQM15" i="20"/>
  <c r="CQN15" i="20"/>
  <c r="CQO15" i="20"/>
  <c r="CQP15" i="20"/>
  <c r="CQQ15" i="20"/>
  <c r="CQR15" i="20"/>
  <c r="CQS15" i="20"/>
  <c r="CQT15" i="20"/>
  <c r="CQU15" i="20"/>
  <c r="CQV15" i="20"/>
  <c r="CQW15" i="20"/>
  <c r="CQX15" i="20"/>
  <c r="CQY15" i="20"/>
  <c r="CQZ15" i="20"/>
  <c r="CRA15" i="20"/>
  <c r="CRB15" i="20"/>
  <c r="CRC15" i="20"/>
  <c r="CRD15" i="20"/>
  <c r="CRE15" i="20"/>
  <c r="CRF15" i="20"/>
  <c r="CRG15" i="20"/>
  <c r="CRH15" i="20"/>
  <c r="CRI15" i="20"/>
  <c r="CRJ15" i="20"/>
  <c r="CRK15" i="20"/>
  <c r="CRL15" i="20"/>
  <c r="CRM15" i="20"/>
  <c r="CRN15" i="20"/>
  <c r="CRO15" i="20"/>
  <c r="CRP15" i="20"/>
  <c r="CRQ15" i="20"/>
  <c r="CRR15" i="20"/>
  <c r="CRS15" i="20"/>
  <c r="CRT15" i="20"/>
  <c r="CRU15" i="20"/>
  <c r="CRV15" i="20"/>
  <c r="CRW15" i="20"/>
  <c r="CRX15" i="20"/>
  <c r="CRY15" i="20"/>
  <c r="CRZ15" i="20"/>
  <c r="CSA15" i="20"/>
  <c r="CSB15" i="20"/>
  <c r="CSC15" i="20"/>
  <c r="CSD15" i="20"/>
  <c r="CSE15" i="20"/>
  <c r="CSF15" i="20"/>
  <c r="CSG15" i="20"/>
  <c r="CSH15" i="20"/>
  <c r="CSI15" i="20"/>
  <c r="CSJ15" i="20"/>
  <c r="CSK15" i="20"/>
  <c r="CSL15" i="20"/>
  <c r="CSM15" i="20"/>
  <c r="CSN15" i="20"/>
  <c r="CSO15" i="20"/>
  <c r="CSP15" i="20"/>
  <c r="CSQ15" i="20"/>
  <c r="CSR15" i="20"/>
  <c r="CSS15" i="20"/>
  <c r="CST15" i="20"/>
  <c r="CSU15" i="20"/>
  <c r="CSV15" i="20"/>
  <c r="CSW15" i="20"/>
  <c r="CSX15" i="20"/>
  <c r="CSY15" i="20"/>
  <c r="CSZ15" i="20"/>
  <c r="CTA15" i="20"/>
  <c r="CTB15" i="20"/>
  <c r="CTC15" i="20"/>
  <c r="CTD15" i="20"/>
  <c r="CTE15" i="20"/>
  <c r="CTF15" i="20"/>
  <c r="CTG15" i="20"/>
  <c r="CTH15" i="20"/>
  <c r="CTI15" i="20"/>
  <c r="CTJ15" i="20"/>
  <c r="CTK15" i="20"/>
  <c r="CTL15" i="20"/>
  <c r="CTM15" i="20"/>
  <c r="CTN15" i="20"/>
  <c r="CTO15" i="20"/>
  <c r="CTP15" i="20"/>
  <c r="CTQ15" i="20"/>
  <c r="CTR15" i="20"/>
  <c r="CTS15" i="20"/>
  <c r="CTT15" i="20"/>
  <c r="CTU15" i="20"/>
  <c r="CTV15" i="20"/>
  <c r="CTW15" i="20"/>
  <c r="CTX15" i="20"/>
  <c r="CTY15" i="20"/>
  <c r="CTZ15" i="20"/>
  <c r="CUA15" i="20"/>
  <c r="CUB15" i="20"/>
  <c r="CUC15" i="20"/>
  <c r="CUD15" i="20"/>
  <c r="CUE15" i="20"/>
  <c r="CUF15" i="20"/>
  <c r="CUG15" i="20"/>
  <c r="CUH15" i="20"/>
  <c r="CUI15" i="20"/>
  <c r="CUJ15" i="20"/>
  <c r="CUK15" i="20"/>
  <c r="CUL15" i="20"/>
  <c r="CUM15" i="20"/>
  <c r="CUN15" i="20"/>
  <c r="CUO15" i="20"/>
  <c r="CUP15" i="20"/>
  <c r="CUQ15" i="20"/>
  <c r="CUR15" i="20"/>
  <c r="CUS15" i="20"/>
  <c r="CUT15" i="20"/>
  <c r="CUU15" i="20"/>
  <c r="CUV15" i="20"/>
  <c r="CUW15" i="20"/>
  <c r="CUX15" i="20"/>
  <c r="CUY15" i="20"/>
  <c r="CUZ15" i="20"/>
  <c r="CVA15" i="20"/>
  <c r="CVB15" i="20"/>
  <c r="CVC15" i="20"/>
  <c r="CVD15" i="20"/>
  <c r="CVE15" i="20"/>
  <c r="CVF15" i="20"/>
  <c r="CVG15" i="20"/>
  <c r="CVH15" i="20"/>
  <c r="CVI15" i="20"/>
  <c r="CVJ15" i="20"/>
  <c r="CVK15" i="20"/>
  <c r="CVL15" i="20"/>
  <c r="CVM15" i="20"/>
  <c r="CVN15" i="20"/>
  <c r="CVO15" i="20"/>
  <c r="CVP15" i="20"/>
  <c r="CVQ15" i="20"/>
  <c r="CVR15" i="20"/>
  <c r="CVS15" i="20"/>
  <c r="CVT15" i="20"/>
  <c r="CVU15" i="20"/>
  <c r="CVV15" i="20"/>
  <c r="CVW15" i="20"/>
  <c r="CVX15" i="20"/>
  <c r="CVY15" i="20"/>
  <c r="CVZ15" i="20"/>
  <c r="CWA15" i="20"/>
  <c r="CWB15" i="20"/>
  <c r="CWC15" i="20"/>
  <c r="CWD15" i="20"/>
  <c r="CWE15" i="20"/>
  <c r="CWF15" i="20"/>
  <c r="CWG15" i="20"/>
  <c r="CWH15" i="20"/>
  <c r="CWI15" i="20"/>
  <c r="CWJ15" i="20"/>
  <c r="CWK15" i="20"/>
  <c r="CWL15" i="20"/>
  <c r="CWM15" i="20"/>
  <c r="CWN15" i="20"/>
  <c r="CWO15" i="20"/>
  <c r="CWP15" i="20"/>
  <c r="CWQ15" i="20"/>
  <c r="CWR15" i="20"/>
  <c r="CWS15" i="20"/>
  <c r="CWT15" i="20"/>
  <c r="CWU15" i="20"/>
  <c r="CWV15" i="20"/>
  <c r="CWW15" i="20"/>
  <c r="CWX15" i="20"/>
  <c r="CWY15" i="20"/>
  <c r="CWZ15" i="20"/>
  <c r="CXA15" i="20"/>
  <c r="CXB15" i="20"/>
  <c r="CXC15" i="20"/>
  <c r="CXD15" i="20"/>
  <c r="CXE15" i="20"/>
  <c r="CXF15" i="20"/>
  <c r="CXG15" i="20"/>
  <c r="CXH15" i="20"/>
  <c r="CXI15" i="20"/>
  <c r="CXJ15" i="20"/>
  <c r="CXK15" i="20"/>
  <c r="CXL15" i="20"/>
  <c r="CXM15" i="20"/>
  <c r="CXN15" i="20"/>
  <c r="CXO15" i="20"/>
  <c r="CXP15" i="20"/>
  <c r="CXQ15" i="20"/>
  <c r="CXR15" i="20"/>
  <c r="CXS15" i="20"/>
  <c r="CXT15" i="20"/>
  <c r="CXU15" i="20"/>
  <c r="CXV15" i="20"/>
  <c r="CXW15" i="20"/>
  <c r="CXX15" i="20"/>
  <c r="CXY15" i="20"/>
  <c r="CXZ15" i="20"/>
  <c r="CYA15" i="20"/>
  <c r="CYB15" i="20"/>
  <c r="CYC15" i="20"/>
  <c r="CYD15" i="20"/>
  <c r="CYE15" i="20"/>
  <c r="CYF15" i="20"/>
  <c r="CYG15" i="20"/>
  <c r="CYH15" i="20"/>
  <c r="CYI15" i="20"/>
  <c r="CYJ15" i="20"/>
  <c r="CYK15" i="20"/>
  <c r="CYL15" i="20"/>
  <c r="CYM15" i="20"/>
  <c r="CYN15" i="20"/>
  <c r="CYO15" i="20"/>
  <c r="CYP15" i="20"/>
  <c r="CYQ15" i="20"/>
  <c r="CYR15" i="20"/>
  <c r="CYS15" i="20"/>
  <c r="CYT15" i="20"/>
  <c r="CYU15" i="20"/>
  <c r="CYV15" i="20"/>
  <c r="CYW15" i="20"/>
  <c r="CYX15" i="20"/>
  <c r="CYY15" i="20"/>
  <c r="CYZ15" i="20"/>
  <c r="CZA15" i="20"/>
  <c r="CZB15" i="20"/>
  <c r="CZC15" i="20"/>
  <c r="CZD15" i="20"/>
  <c r="CZE15" i="20"/>
  <c r="CZF15" i="20"/>
  <c r="CZG15" i="20"/>
  <c r="CZH15" i="20"/>
  <c r="CZI15" i="20"/>
  <c r="CZJ15" i="20"/>
  <c r="CZK15" i="20"/>
  <c r="CZL15" i="20"/>
  <c r="CZM15" i="20"/>
  <c r="CZN15" i="20"/>
  <c r="CZO15" i="20"/>
  <c r="CZP15" i="20"/>
  <c r="CZQ15" i="20"/>
  <c r="CZR15" i="20"/>
  <c r="CZS15" i="20"/>
  <c r="CZT15" i="20"/>
  <c r="CZU15" i="20"/>
  <c r="CZV15" i="20"/>
  <c r="CZW15" i="20"/>
  <c r="CZX15" i="20"/>
  <c r="CZY15" i="20"/>
  <c r="CZZ15" i="20"/>
  <c r="DAA15" i="20"/>
  <c r="DAB15" i="20"/>
  <c r="DAC15" i="20"/>
  <c r="DAD15" i="20"/>
  <c r="DAE15" i="20"/>
  <c r="DAF15" i="20"/>
  <c r="DAG15" i="20"/>
  <c r="DAH15" i="20"/>
  <c r="DAI15" i="20"/>
  <c r="DAJ15" i="20"/>
  <c r="DAK15" i="20"/>
  <c r="DAL15" i="20"/>
  <c r="DAM15" i="20"/>
  <c r="DAN15" i="20"/>
  <c r="DAO15" i="20"/>
  <c r="DAP15" i="20"/>
  <c r="DAQ15" i="20"/>
  <c r="DAR15" i="20"/>
  <c r="DAS15" i="20"/>
  <c r="DAT15" i="20"/>
  <c r="DAU15" i="20"/>
  <c r="DAV15" i="20"/>
  <c r="DAW15" i="20"/>
  <c r="DAX15" i="20"/>
  <c r="DAY15" i="20"/>
  <c r="DAZ15" i="20"/>
  <c r="DBA15" i="20"/>
  <c r="DBB15" i="20"/>
  <c r="DBC15" i="20"/>
  <c r="DBD15" i="20"/>
  <c r="DBE15" i="20"/>
  <c r="DBF15" i="20"/>
  <c r="DBG15" i="20"/>
  <c r="DBH15" i="20"/>
  <c r="DBI15" i="20"/>
  <c r="DBJ15" i="20"/>
  <c r="DBK15" i="20"/>
  <c r="DBL15" i="20"/>
  <c r="DBM15" i="20"/>
  <c r="DBN15" i="20"/>
  <c r="DBO15" i="20"/>
  <c r="DBP15" i="20"/>
  <c r="DBQ15" i="20"/>
  <c r="DBR15" i="20"/>
  <c r="DBS15" i="20"/>
  <c r="DBT15" i="20"/>
  <c r="DBU15" i="20"/>
  <c r="DBV15" i="20"/>
  <c r="DBW15" i="20"/>
  <c r="DBX15" i="20"/>
  <c r="DBY15" i="20"/>
  <c r="DBZ15" i="20"/>
  <c r="DCA15" i="20"/>
  <c r="DCB15" i="20"/>
  <c r="DCC15" i="20"/>
  <c r="DCD15" i="20"/>
  <c r="DCE15" i="20"/>
  <c r="DCF15" i="20"/>
  <c r="DCG15" i="20"/>
  <c r="DCH15" i="20"/>
  <c r="DCI15" i="20"/>
  <c r="DCJ15" i="20"/>
  <c r="DCK15" i="20"/>
  <c r="DCL15" i="20"/>
  <c r="DCM15" i="20"/>
  <c r="DCN15" i="20"/>
  <c r="DCO15" i="20"/>
  <c r="DCP15" i="20"/>
  <c r="DCQ15" i="20"/>
  <c r="DCR15" i="20"/>
  <c r="DCS15" i="20"/>
  <c r="DCT15" i="20"/>
  <c r="DCU15" i="20"/>
  <c r="DCV15" i="20"/>
  <c r="DCW15" i="20"/>
  <c r="DCX15" i="20"/>
  <c r="DCY15" i="20"/>
  <c r="DCZ15" i="20"/>
  <c r="DDA15" i="20"/>
  <c r="DDB15" i="20"/>
  <c r="DDC15" i="20"/>
  <c r="DDD15" i="20"/>
  <c r="DDE15" i="20"/>
  <c r="DDF15" i="20"/>
  <c r="DDG15" i="20"/>
  <c r="DDH15" i="20"/>
  <c r="DDI15" i="20"/>
  <c r="AAE16" i="20"/>
  <c r="AAF16" i="20"/>
  <c r="AAG16" i="20"/>
  <c r="AAH16" i="20"/>
  <c r="AAI16" i="20"/>
  <c r="AAJ16" i="20"/>
  <c r="AAK16" i="20"/>
  <c r="AAL16" i="20"/>
  <c r="AAM16" i="20"/>
  <c r="AAN16" i="20"/>
  <c r="AAO16" i="20"/>
  <c r="AAP16" i="20"/>
  <c r="AAQ16" i="20"/>
  <c r="AAR16" i="20"/>
  <c r="AAS16" i="20"/>
  <c r="AAT16" i="20"/>
  <c r="AAU16" i="20"/>
  <c r="AAV16" i="20"/>
  <c r="AAW16" i="20"/>
  <c r="AAX16" i="20"/>
  <c r="AAY16" i="20"/>
  <c r="AAZ16" i="20"/>
  <c r="ABA16" i="20"/>
  <c r="ABB16" i="20"/>
  <c r="ABC16" i="20"/>
  <c r="ABD16" i="20"/>
  <c r="ABE16" i="20"/>
  <c r="ABF16" i="20"/>
  <c r="ABG16" i="20"/>
  <c r="ABH16" i="20"/>
  <c r="ABI16" i="20"/>
  <c r="ABJ16" i="20"/>
  <c r="ABK16" i="20"/>
  <c r="ABL16" i="20"/>
  <c r="ABM16" i="20"/>
  <c r="ABN16" i="20"/>
  <c r="ABO16" i="20"/>
  <c r="ABP16" i="20"/>
  <c r="ABQ16" i="20"/>
  <c r="ABR16" i="20"/>
  <c r="ABS16" i="20"/>
  <c r="ABT16" i="20"/>
  <c r="ABU16" i="20"/>
  <c r="ABV16" i="20"/>
  <c r="ABW16" i="20"/>
  <c r="ABX16" i="20"/>
  <c r="ABY16" i="20"/>
  <c r="ABZ16" i="20"/>
  <c r="ACA16" i="20"/>
  <c r="ACB16" i="20"/>
  <c r="ACC16" i="20"/>
  <c r="ACD16" i="20"/>
  <c r="ACE16" i="20"/>
  <c r="ACF16" i="20"/>
  <c r="ACG16" i="20"/>
  <c r="ACH16" i="20"/>
  <c r="ACI16" i="20"/>
  <c r="ACJ16" i="20"/>
  <c r="ACK16" i="20"/>
  <c r="ACL16" i="20"/>
  <c r="ACM16" i="20"/>
  <c r="ACN16" i="20"/>
  <c r="ACO16" i="20"/>
  <c r="ACP16" i="20"/>
  <c r="ACQ16" i="20"/>
  <c r="ACR16" i="20"/>
  <c r="ACS16" i="20"/>
  <c r="ACT16" i="20"/>
  <c r="ACU16" i="20"/>
  <c r="ACV16" i="20"/>
  <c r="ACW16" i="20"/>
  <c r="ACX16" i="20"/>
  <c r="ACY16" i="20"/>
  <c r="ACZ16" i="20"/>
  <c r="ADA16" i="20"/>
  <c r="ADB16" i="20"/>
  <c r="ADC16" i="20"/>
  <c r="ADD16" i="20"/>
  <c r="ADE16" i="20"/>
  <c r="ADF16" i="20"/>
  <c r="ADG16" i="20"/>
  <c r="ADH16" i="20"/>
  <c r="ADI16" i="20"/>
  <c r="ADJ16" i="20"/>
  <c r="ADK16" i="20"/>
  <c r="ADL16" i="20"/>
  <c r="ADM16" i="20"/>
  <c r="ADN16" i="20"/>
  <c r="ADO16" i="20"/>
  <c r="ADP16" i="20"/>
  <c r="ADQ16" i="20"/>
  <c r="ADR16" i="20"/>
  <c r="ADS16" i="20"/>
  <c r="ADT16" i="20"/>
  <c r="ADU16" i="20"/>
  <c r="ADV16" i="20"/>
  <c r="ADW16" i="20"/>
  <c r="ADX16" i="20"/>
  <c r="ADY16" i="20"/>
  <c r="ADZ16" i="20"/>
  <c r="AEA16" i="20"/>
  <c r="AEB16" i="20"/>
  <c r="AEC16" i="20"/>
  <c r="AED16" i="20"/>
  <c r="AEE16" i="20"/>
  <c r="AEF16" i="20"/>
  <c r="AEG16" i="20"/>
  <c r="AEH16" i="20"/>
  <c r="AEI16" i="20"/>
  <c r="AEJ16" i="20"/>
  <c r="AEK16" i="20"/>
  <c r="AEL16" i="20"/>
  <c r="AEM16" i="20"/>
  <c r="AEN16" i="20"/>
  <c r="AEO16" i="20"/>
  <c r="AEP16" i="20"/>
  <c r="AEQ16" i="20"/>
  <c r="AER16" i="20"/>
  <c r="AES16" i="20"/>
  <c r="AET16" i="20"/>
  <c r="AEU16" i="20"/>
  <c r="AEV16" i="20"/>
  <c r="AEW16" i="20"/>
  <c r="AEX16" i="20"/>
  <c r="AEY16" i="20"/>
  <c r="AEZ16" i="20"/>
  <c r="AFA16" i="20"/>
  <c r="AFB16" i="20"/>
  <c r="AFC16" i="20"/>
  <c r="AFD16" i="20"/>
  <c r="AFE16" i="20"/>
  <c r="AFF16" i="20"/>
  <c r="AFG16" i="20"/>
  <c r="AFH16" i="20"/>
  <c r="AFI16" i="20"/>
  <c r="AFJ16" i="20"/>
  <c r="AFK16" i="20"/>
  <c r="AFL16" i="20"/>
  <c r="AFM16" i="20"/>
  <c r="AFN16" i="20"/>
  <c r="AFO16" i="20"/>
  <c r="AFP16" i="20"/>
  <c r="AFQ16" i="20"/>
  <c r="AFR16" i="20"/>
  <c r="AFS16" i="20"/>
  <c r="AFT16" i="20"/>
  <c r="AFU16" i="20"/>
  <c r="AFV16" i="20"/>
  <c r="AFW16" i="20"/>
  <c r="AFX16" i="20"/>
  <c r="AFY16" i="20"/>
  <c r="AFZ16" i="20"/>
  <c r="AGA16" i="20"/>
  <c r="AGB16" i="20"/>
  <c r="AGC16" i="20"/>
  <c r="AGD16" i="20"/>
  <c r="AGE16" i="20"/>
  <c r="AGF16" i="20"/>
  <c r="AGG16" i="20"/>
  <c r="AGH16" i="20"/>
  <c r="AGI16" i="20"/>
  <c r="AGJ16" i="20"/>
  <c r="AGK16" i="20"/>
  <c r="AGL16" i="20"/>
  <c r="AGM16" i="20"/>
  <c r="AGN16" i="20"/>
  <c r="AGO16" i="20"/>
  <c r="AGP16" i="20"/>
  <c r="AGQ16" i="20"/>
  <c r="AGR16" i="20"/>
  <c r="AGS16" i="20"/>
  <c r="AGT16" i="20"/>
  <c r="AGU16" i="20"/>
  <c r="AGV16" i="20"/>
  <c r="AGW16" i="20"/>
  <c r="AGX16" i="20"/>
  <c r="AGY16" i="20"/>
  <c r="AGZ16" i="20"/>
  <c r="AHA16" i="20"/>
  <c r="AHB16" i="20"/>
  <c r="AHC16" i="20"/>
  <c r="AHD16" i="20"/>
  <c r="AHE16" i="20"/>
  <c r="AHF16" i="20"/>
  <c r="AHG16" i="20"/>
  <c r="AHH16" i="20"/>
  <c r="AHI16" i="20"/>
  <c r="AHJ16" i="20"/>
  <c r="AHK16" i="20"/>
  <c r="AHL16" i="20"/>
  <c r="AHM16" i="20"/>
  <c r="AHN16" i="20"/>
  <c r="AHO16" i="20"/>
  <c r="AHP16" i="20"/>
  <c r="AHQ16" i="20"/>
  <c r="AHR16" i="20"/>
  <c r="AHS16" i="20"/>
  <c r="AHT16" i="20"/>
  <c r="AHU16" i="20"/>
  <c r="AHV16" i="20"/>
  <c r="AHW16" i="20"/>
  <c r="AHX16" i="20"/>
  <c r="AHY16" i="20"/>
  <c r="AHZ16" i="20"/>
  <c r="AIA16" i="20"/>
  <c r="AIB16" i="20"/>
  <c r="AIC16" i="20"/>
  <c r="AID16" i="20"/>
  <c r="AIE16" i="20"/>
  <c r="AIF16" i="20"/>
  <c r="AIG16" i="20"/>
  <c r="AIH16" i="20"/>
  <c r="AII16" i="20"/>
  <c r="AIJ16" i="20"/>
  <c r="AIK16" i="20"/>
  <c r="AIL16" i="20"/>
  <c r="AIM16" i="20"/>
  <c r="AIN16" i="20"/>
  <c r="AIO16" i="20"/>
  <c r="AIP16" i="20"/>
  <c r="AIQ16" i="20"/>
  <c r="AIR16" i="20"/>
  <c r="AIS16" i="20"/>
  <c r="AIT16" i="20"/>
  <c r="AIU16" i="20"/>
  <c r="AIV16" i="20"/>
  <c r="AIW16" i="20"/>
  <c r="AIX16" i="20"/>
  <c r="AIY16" i="20"/>
  <c r="AIZ16" i="20"/>
  <c r="AJA16" i="20"/>
  <c r="AJB16" i="20"/>
  <c r="AJC16" i="20"/>
  <c r="AJD16" i="20"/>
  <c r="AJE16" i="20"/>
  <c r="AJF16" i="20"/>
  <c r="AJG16" i="20"/>
  <c r="AJH16" i="20"/>
  <c r="AJI16" i="20"/>
  <c r="AJJ16" i="20"/>
  <c r="AJK16" i="20"/>
  <c r="AJL16" i="20"/>
  <c r="AJM16" i="20"/>
  <c r="AJN16" i="20"/>
  <c r="AJO16" i="20"/>
  <c r="AJP16" i="20"/>
  <c r="AJQ16" i="20"/>
  <c r="AJR16" i="20"/>
  <c r="AJS16" i="20"/>
  <c r="AJT16" i="20"/>
  <c r="AJU16" i="20"/>
  <c r="AJV16" i="20"/>
  <c r="AJW16" i="20"/>
  <c r="AJX16" i="20"/>
  <c r="AJY16" i="20"/>
  <c r="AJZ16" i="20"/>
  <c r="AKA16" i="20"/>
  <c r="AKB16" i="20"/>
  <c r="AKC16" i="20"/>
  <c r="AKD16" i="20"/>
  <c r="AKE16" i="20"/>
  <c r="AKF16" i="20"/>
  <c r="AKG16" i="20"/>
  <c r="AKH16" i="20"/>
  <c r="AKI16" i="20"/>
  <c r="AKJ16" i="20"/>
  <c r="AKK16" i="20"/>
  <c r="AKL16" i="20"/>
  <c r="AKM16" i="20"/>
  <c r="AKN16" i="20"/>
  <c r="AKO16" i="20"/>
  <c r="AKP16" i="20"/>
  <c r="AKQ16" i="20"/>
  <c r="AKR16" i="20"/>
  <c r="AKS16" i="20"/>
  <c r="AKT16" i="20"/>
  <c r="AKU16" i="20"/>
  <c r="AKV16" i="20"/>
  <c r="AKW16" i="20"/>
  <c r="AKX16" i="20"/>
  <c r="AKY16" i="20"/>
  <c r="AKZ16" i="20"/>
  <c r="ALA16" i="20"/>
  <c r="ALB16" i="20"/>
  <c r="ALC16" i="20"/>
  <c r="ALD16" i="20"/>
  <c r="ALE16" i="20"/>
  <c r="ALF16" i="20"/>
  <c r="ALG16" i="20"/>
  <c r="ALH16" i="20"/>
  <c r="ALI16" i="20"/>
  <c r="ALJ16" i="20"/>
  <c r="ALK16" i="20"/>
  <c r="ALL16" i="20"/>
  <c r="ALM16" i="20"/>
  <c r="ALN16" i="20"/>
  <c r="ALO16" i="20"/>
  <c r="ALP16" i="20"/>
  <c r="ALQ16" i="20"/>
  <c r="ALR16" i="20"/>
  <c r="ALS16" i="20"/>
  <c r="ALT16" i="20"/>
  <c r="ALU16" i="20"/>
  <c r="ALV16" i="20"/>
  <c r="ALW16" i="20"/>
  <c r="ALX16" i="20"/>
  <c r="ALY16" i="20"/>
  <c r="ALZ16" i="20"/>
  <c r="AMA16" i="20"/>
  <c r="AMB16" i="20"/>
  <c r="AMC16" i="20"/>
  <c r="AMD16" i="20"/>
  <c r="AME16" i="20"/>
  <c r="AMF16" i="20"/>
  <c r="AMG16" i="20"/>
  <c r="AMH16" i="20"/>
  <c r="AMI16" i="20"/>
  <c r="AMJ16" i="20"/>
  <c r="AMK16" i="20"/>
  <c r="AML16" i="20"/>
  <c r="AMM16" i="20"/>
  <c r="AMN16" i="20"/>
  <c r="AMO16" i="20"/>
  <c r="AMP16" i="20"/>
  <c r="AMQ16" i="20"/>
  <c r="AMR16" i="20"/>
  <c r="AMS16" i="20"/>
  <c r="AMT16" i="20"/>
  <c r="AMU16" i="20"/>
  <c r="AMV16" i="20"/>
  <c r="AMW16" i="20"/>
  <c r="AMX16" i="20"/>
  <c r="AMY16" i="20"/>
  <c r="AMZ16" i="20"/>
  <c r="ANA16" i="20"/>
  <c r="ANB16" i="20"/>
  <c r="ANC16" i="20"/>
  <c r="AND16" i="20"/>
  <c r="ANE16" i="20"/>
  <c r="ANF16" i="20"/>
  <c r="ANG16" i="20"/>
  <c r="ANH16" i="20"/>
  <c r="ANI16" i="20"/>
  <c r="ANJ16" i="20"/>
  <c r="ANK16" i="20"/>
  <c r="ANL16" i="20"/>
  <c r="ANM16" i="20"/>
  <c r="ANN16" i="20"/>
  <c r="ANO16" i="20"/>
  <c r="ANP16" i="20"/>
  <c r="ANQ16" i="20"/>
  <c r="ANR16" i="20"/>
  <c r="ANS16" i="20"/>
  <c r="ANT16" i="20"/>
  <c r="ANU16" i="20"/>
  <c r="ANV16" i="20"/>
  <c r="ANW16" i="20"/>
  <c r="ANX16" i="20"/>
  <c r="ANY16" i="20"/>
  <c r="ANZ16" i="20"/>
  <c r="AOA16" i="20"/>
  <c r="AOB16" i="20"/>
  <c r="AOC16" i="20"/>
  <c r="AOD16" i="20"/>
  <c r="AOE16" i="20"/>
  <c r="AOF16" i="20"/>
  <c r="AOG16" i="20"/>
  <c r="AOH16" i="20"/>
  <c r="AOI16" i="20"/>
  <c r="AOJ16" i="20"/>
  <c r="AOK16" i="20"/>
  <c r="AOL16" i="20"/>
  <c r="AOM16" i="20"/>
  <c r="AON16" i="20"/>
  <c r="AOO16" i="20"/>
  <c r="AOP16" i="20"/>
  <c r="AOQ16" i="20"/>
  <c r="AOR16" i="20"/>
  <c r="AOS16" i="20"/>
  <c r="AOT16" i="20"/>
  <c r="AOU16" i="20"/>
  <c r="AOV16" i="20"/>
  <c r="AOW16" i="20"/>
  <c r="AOX16" i="20"/>
  <c r="AOY16" i="20"/>
  <c r="AOZ16" i="20"/>
  <c r="APA16" i="20"/>
  <c r="APB16" i="20"/>
  <c r="APC16" i="20"/>
  <c r="APD16" i="20"/>
  <c r="APE16" i="20"/>
  <c r="APF16" i="20"/>
  <c r="APG16" i="20"/>
  <c r="APH16" i="20"/>
  <c r="API16" i="20"/>
  <c r="APJ16" i="20"/>
  <c r="APK16" i="20"/>
  <c r="APL16" i="20"/>
  <c r="APM16" i="20"/>
  <c r="APN16" i="20"/>
  <c r="APO16" i="20"/>
  <c r="APP16" i="20"/>
  <c r="APQ16" i="20"/>
  <c r="APR16" i="20"/>
  <c r="APS16" i="20"/>
  <c r="APT16" i="20"/>
  <c r="APU16" i="20"/>
  <c r="APV16" i="20"/>
  <c r="APW16" i="20"/>
  <c r="APX16" i="20"/>
  <c r="APY16" i="20"/>
  <c r="APZ16" i="20"/>
  <c r="AQA16" i="20"/>
  <c r="AQB16" i="20"/>
  <c r="AQC16" i="20"/>
  <c r="AQD16" i="20"/>
  <c r="AQE16" i="20"/>
  <c r="AQF16" i="20"/>
  <c r="AQG16" i="20"/>
  <c r="AQH16" i="20"/>
  <c r="AQI16" i="20"/>
  <c r="AQJ16" i="20"/>
  <c r="AQK16" i="20"/>
  <c r="AQL16" i="20"/>
  <c r="AQM16" i="20"/>
  <c r="AQN16" i="20"/>
  <c r="AQO16" i="20"/>
  <c r="AQP16" i="20"/>
  <c r="AQQ16" i="20"/>
  <c r="AQR16" i="20"/>
  <c r="AQS16" i="20"/>
  <c r="AQT16" i="20"/>
  <c r="AQU16" i="20"/>
  <c r="AQV16" i="20"/>
  <c r="AQW16" i="20"/>
  <c r="AQX16" i="20"/>
  <c r="AQY16" i="20"/>
  <c r="AQZ16" i="20"/>
  <c r="ARA16" i="20"/>
  <c r="ARB16" i="20"/>
  <c r="ARC16" i="20"/>
  <c r="ARD16" i="20"/>
  <c r="ARE16" i="20"/>
  <c r="ARF16" i="20"/>
  <c r="ARG16" i="20"/>
  <c r="ARH16" i="20"/>
  <c r="ARI16" i="20"/>
  <c r="ARJ16" i="20"/>
  <c r="ARK16" i="20"/>
  <c r="ARL16" i="20"/>
  <c r="ARM16" i="20"/>
  <c r="ARN16" i="20"/>
  <c r="ARO16" i="20"/>
  <c r="ARP16" i="20"/>
  <c r="ARQ16" i="20"/>
  <c r="ARR16" i="20"/>
  <c r="ARS16" i="20"/>
  <c r="ART16" i="20"/>
  <c r="ARU16" i="20"/>
  <c r="ARV16" i="20"/>
  <c r="ARW16" i="20"/>
  <c r="ARX16" i="20"/>
  <c r="ARY16" i="20"/>
  <c r="ARZ16" i="20"/>
  <c r="ASA16" i="20"/>
  <c r="ASB16" i="20"/>
  <c r="ASC16" i="20"/>
  <c r="ASD16" i="20"/>
  <c r="ASE16" i="20"/>
  <c r="ASF16" i="20"/>
  <c r="ASG16" i="20"/>
  <c r="ASH16" i="20"/>
  <c r="ASI16" i="20"/>
  <c r="ASJ16" i="20"/>
  <c r="ASK16" i="20"/>
  <c r="ASL16" i="20"/>
  <c r="ASM16" i="20"/>
  <c r="ASN16" i="20"/>
  <c r="ASO16" i="20"/>
  <c r="ASP16" i="20"/>
  <c r="ASQ16" i="20"/>
  <c r="ASR16" i="20"/>
  <c r="ASS16" i="20"/>
  <c r="AST16" i="20"/>
  <c r="ASU16" i="20"/>
  <c r="ASV16" i="20"/>
  <c r="ASW16" i="20"/>
  <c r="ASX16" i="20"/>
  <c r="ASY16" i="20"/>
  <c r="ASZ16" i="20"/>
  <c r="ATA16" i="20"/>
  <c r="ATB16" i="20"/>
  <c r="ATC16" i="20"/>
  <c r="ATD16" i="20"/>
  <c r="ATE16" i="20"/>
  <c r="ATF16" i="20"/>
  <c r="ATG16" i="20"/>
  <c r="ATH16" i="20"/>
  <c r="ATI16" i="20"/>
  <c r="ATJ16" i="20"/>
  <c r="ATK16" i="20"/>
  <c r="ATL16" i="20"/>
  <c r="ATM16" i="20"/>
  <c r="ATN16" i="20"/>
  <c r="ATO16" i="20"/>
  <c r="ATP16" i="20"/>
  <c r="ATQ16" i="20"/>
  <c r="ATR16" i="20"/>
  <c r="ATS16" i="20"/>
  <c r="ATT16" i="20"/>
  <c r="ATU16" i="20"/>
  <c r="ATV16" i="20"/>
  <c r="ATW16" i="20"/>
  <c r="ATX16" i="20"/>
  <c r="ATY16" i="20"/>
  <c r="ATZ16" i="20"/>
  <c r="AUA16" i="20"/>
  <c r="AUB16" i="20"/>
  <c r="AUC16" i="20"/>
  <c r="AUD16" i="20"/>
  <c r="AUE16" i="20"/>
  <c r="AUF16" i="20"/>
  <c r="AUG16" i="20"/>
  <c r="AUH16" i="20"/>
  <c r="AUI16" i="20"/>
  <c r="AUJ16" i="20"/>
  <c r="AUK16" i="20"/>
  <c r="AUL16" i="20"/>
  <c r="AUM16" i="20"/>
  <c r="AUN16" i="20"/>
  <c r="AUO16" i="20"/>
  <c r="AUP16" i="20"/>
  <c r="AUQ16" i="20"/>
  <c r="AUR16" i="20"/>
  <c r="AUS16" i="20"/>
  <c r="AUT16" i="20"/>
  <c r="AUU16" i="20"/>
  <c r="AUV16" i="20"/>
  <c r="AUW16" i="20"/>
  <c r="AUX16" i="20"/>
  <c r="AUY16" i="20"/>
  <c r="AUZ16" i="20"/>
  <c r="AVA16" i="20"/>
  <c r="AVB16" i="20"/>
  <c r="AVC16" i="20"/>
  <c r="AVD16" i="20"/>
  <c r="AVE16" i="20"/>
  <c r="AVF16" i="20"/>
  <c r="AVG16" i="20"/>
  <c r="AVH16" i="20"/>
  <c r="AVI16" i="20"/>
  <c r="AVJ16" i="20"/>
  <c r="AVK16" i="20"/>
  <c r="AVL16" i="20"/>
  <c r="AVM16" i="20"/>
  <c r="AVN16" i="20"/>
  <c r="AVO16" i="20"/>
  <c r="AVP16" i="20"/>
  <c r="AVQ16" i="20"/>
  <c r="AVR16" i="20"/>
  <c r="AVS16" i="20"/>
  <c r="AVT16" i="20"/>
  <c r="AVU16" i="20"/>
  <c r="AVV16" i="20"/>
  <c r="AVW16" i="20"/>
  <c r="AVX16" i="20"/>
  <c r="AVY16" i="20"/>
  <c r="AVZ16" i="20"/>
  <c r="AWA16" i="20"/>
  <c r="AWB16" i="20"/>
  <c r="AWC16" i="20"/>
  <c r="AWD16" i="20"/>
  <c r="AWE16" i="20"/>
  <c r="AWF16" i="20"/>
  <c r="AWG16" i="20"/>
  <c r="AWH16" i="20"/>
  <c r="AWI16" i="20"/>
  <c r="AWJ16" i="20"/>
  <c r="AWK16" i="20"/>
  <c r="AWL16" i="20"/>
  <c r="AWM16" i="20"/>
  <c r="AWN16" i="20"/>
  <c r="AWO16" i="20"/>
  <c r="AWP16" i="20"/>
  <c r="AWQ16" i="20"/>
  <c r="AWR16" i="20"/>
  <c r="AWS16" i="20"/>
  <c r="AWT16" i="20"/>
  <c r="AWU16" i="20"/>
  <c r="AWV16" i="20"/>
  <c r="AWW16" i="20"/>
  <c r="AWX16" i="20"/>
  <c r="AWY16" i="20"/>
  <c r="AWZ16" i="20"/>
  <c r="AXA16" i="20"/>
  <c r="AXB16" i="20"/>
  <c r="AXC16" i="20"/>
  <c r="AXD16" i="20"/>
  <c r="AXE16" i="20"/>
  <c r="AXF16" i="20"/>
  <c r="AXG16" i="20"/>
  <c r="AXH16" i="20"/>
  <c r="AXI16" i="20"/>
  <c r="AXJ16" i="20"/>
  <c r="AXK16" i="20"/>
  <c r="AXL16" i="20"/>
  <c r="AXM16" i="20"/>
  <c r="AXN16" i="20"/>
  <c r="AXO16" i="20"/>
  <c r="AXP16" i="20"/>
  <c r="AXQ16" i="20"/>
  <c r="AXR16" i="20"/>
  <c r="AXS16" i="20"/>
  <c r="AXT16" i="20"/>
  <c r="AXU16" i="20"/>
  <c r="AXV16" i="20"/>
  <c r="AXW16" i="20"/>
  <c r="AXX16" i="20"/>
  <c r="AXY16" i="20"/>
  <c r="AXZ16" i="20"/>
  <c r="AYA16" i="20"/>
  <c r="AYB16" i="20"/>
  <c r="AYC16" i="20"/>
  <c r="AYD16" i="20"/>
  <c r="AYE16" i="20"/>
  <c r="AYF16" i="20"/>
  <c r="AYG16" i="20"/>
  <c r="AYH16" i="20"/>
  <c r="AYI16" i="20"/>
  <c r="AYJ16" i="20"/>
  <c r="AYK16" i="20"/>
  <c r="AYL16" i="20"/>
  <c r="AYM16" i="20"/>
  <c r="AYN16" i="20"/>
  <c r="AYO16" i="20"/>
  <c r="AYP16" i="20"/>
  <c r="AYQ16" i="20"/>
  <c r="AYR16" i="20"/>
  <c r="AYS16" i="20"/>
  <c r="AYT16" i="20"/>
  <c r="AYU16" i="20"/>
  <c r="AYV16" i="20"/>
  <c r="AYW16" i="20"/>
  <c r="AYX16" i="20"/>
  <c r="AYY16" i="20"/>
  <c r="AYZ16" i="20"/>
  <c r="AZA16" i="20"/>
  <c r="AZB16" i="20"/>
  <c r="AZC16" i="20"/>
  <c r="AZD16" i="20"/>
  <c r="AZE16" i="20"/>
  <c r="AZF16" i="20"/>
  <c r="AZG16" i="20"/>
  <c r="AZH16" i="20"/>
  <c r="AZI16" i="20"/>
  <c r="AZJ16" i="20"/>
  <c r="AZK16" i="20"/>
  <c r="AZL16" i="20"/>
  <c r="AZM16" i="20"/>
  <c r="AZN16" i="20"/>
  <c r="AZO16" i="20"/>
  <c r="AZP16" i="20"/>
  <c r="AZQ16" i="20"/>
  <c r="AZR16" i="20"/>
  <c r="AZS16" i="20"/>
  <c r="AZT16" i="20"/>
  <c r="AZU16" i="20"/>
  <c r="AZV16" i="20"/>
  <c r="AZW16" i="20"/>
  <c r="AZX16" i="20"/>
  <c r="AZY16" i="20"/>
  <c r="AZZ16" i="20"/>
  <c r="BAA16" i="20"/>
  <c r="BAB16" i="20"/>
  <c r="BAC16" i="20"/>
  <c r="BAD16" i="20"/>
  <c r="BAE16" i="20"/>
  <c r="BAF16" i="20"/>
  <c r="BAG16" i="20"/>
  <c r="BAH16" i="20"/>
  <c r="BAI16" i="20"/>
  <c r="BAJ16" i="20"/>
  <c r="BAK16" i="20"/>
  <c r="BAL16" i="20"/>
  <c r="BAM16" i="20"/>
  <c r="BAN16" i="20"/>
  <c r="BAO16" i="20"/>
  <c r="BAP16" i="20"/>
  <c r="BAQ16" i="20"/>
  <c r="BAR16" i="20"/>
  <c r="BAS16" i="20"/>
  <c r="BAT16" i="20"/>
  <c r="BAU16" i="20"/>
  <c r="BAV16" i="20"/>
  <c r="BAW16" i="20"/>
  <c r="BAX16" i="20"/>
  <c r="BAY16" i="20"/>
  <c r="BAZ16" i="20"/>
  <c r="BBA16" i="20"/>
  <c r="BBB16" i="20"/>
  <c r="BBC16" i="20"/>
  <c r="BBD16" i="20"/>
  <c r="BBE16" i="20"/>
  <c r="BBF16" i="20"/>
  <c r="BBG16" i="20"/>
  <c r="BBH16" i="20"/>
  <c r="BBI16" i="20"/>
  <c r="BBJ16" i="20"/>
  <c r="BBK16" i="20"/>
  <c r="BBL16" i="20"/>
  <c r="BBM16" i="20"/>
  <c r="BBN16" i="20"/>
  <c r="BBO16" i="20"/>
  <c r="BBP16" i="20"/>
  <c r="BBQ16" i="20"/>
  <c r="BBR16" i="20"/>
  <c r="BBS16" i="20"/>
  <c r="BBT16" i="20"/>
  <c r="BBU16" i="20"/>
  <c r="BBV16" i="20"/>
  <c r="BBW16" i="20"/>
  <c r="BBX16" i="20"/>
  <c r="BBY16" i="20"/>
  <c r="BBZ16" i="20"/>
  <c r="BCA16" i="20"/>
  <c r="BCB16" i="20"/>
  <c r="BCC16" i="20"/>
  <c r="BCD16" i="20"/>
  <c r="BCE16" i="20"/>
  <c r="BCF16" i="20"/>
  <c r="BCG16" i="20"/>
  <c r="BCH16" i="20"/>
  <c r="BCI16" i="20"/>
  <c r="BCJ16" i="20"/>
  <c r="BCK16" i="20"/>
  <c r="BCL16" i="20"/>
  <c r="BCM16" i="20"/>
  <c r="BCN16" i="20"/>
  <c r="BCO16" i="20"/>
  <c r="BCP16" i="20"/>
  <c r="BCQ16" i="20"/>
  <c r="BCR16" i="20"/>
  <c r="BCS16" i="20"/>
  <c r="BCT16" i="20"/>
  <c r="BCU16" i="20"/>
  <c r="BCV16" i="20"/>
  <c r="BCW16" i="20"/>
  <c r="BCX16" i="20"/>
  <c r="BCY16" i="20"/>
  <c r="BCZ16" i="20"/>
  <c r="BDA16" i="20"/>
  <c r="BDB16" i="20"/>
  <c r="BDC16" i="20"/>
  <c r="BDD16" i="20"/>
  <c r="BDE16" i="20"/>
  <c r="BDF16" i="20"/>
  <c r="BDG16" i="20"/>
  <c r="BDH16" i="20"/>
  <c r="BDI16" i="20"/>
  <c r="BDJ16" i="20"/>
  <c r="BDK16" i="20"/>
  <c r="BDL16" i="20"/>
  <c r="BDM16" i="20"/>
  <c r="BDN16" i="20"/>
  <c r="BDO16" i="20"/>
  <c r="BDP16" i="20"/>
  <c r="BDQ16" i="20"/>
  <c r="BDR16" i="20"/>
  <c r="BDS16" i="20"/>
  <c r="BDT16" i="20"/>
  <c r="BDU16" i="20"/>
  <c r="BDV16" i="20"/>
  <c r="BDW16" i="20"/>
  <c r="BDX16" i="20"/>
  <c r="BDY16" i="20"/>
  <c r="BDZ16" i="20"/>
  <c r="BEA16" i="20"/>
  <c r="BEB16" i="20"/>
  <c r="BEC16" i="20"/>
  <c r="BED16" i="20"/>
  <c r="BEE16" i="20"/>
  <c r="BEF16" i="20"/>
  <c r="BEG16" i="20"/>
  <c r="BEH16" i="20"/>
  <c r="BEI16" i="20"/>
  <c r="BEJ16" i="20"/>
  <c r="BEK16" i="20"/>
  <c r="BEL16" i="20"/>
  <c r="BEM16" i="20"/>
  <c r="BEN16" i="20"/>
  <c r="BEO16" i="20"/>
  <c r="BEP16" i="20"/>
  <c r="BEQ16" i="20"/>
  <c r="BER16" i="20"/>
  <c r="BES16" i="20"/>
  <c r="BET16" i="20"/>
  <c r="BEU16" i="20"/>
  <c r="BEV16" i="20"/>
  <c r="BEW16" i="20"/>
  <c r="BEX16" i="20"/>
  <c r="BEY16" i="20"/>
  <c r="BEZ16" i="20"/>
  <c r="BFA16" i="20"/>
  <c r="BFB16" i="20"/>
  <c r="BFC16" i="20"/>
  <c r="BFD16" i="20"/>
  <c r="BFE16" i="20"/>
  <c r="BFF16" i="20"/>
  <c r="BFG16" i="20"/>
  <c r="BFH16" i="20"/>
  <c r="BFI16" i="20"/>
  <c r="BFJ16" i="20"/>
  <c r="BFK16" i="20"/>
  <c r="BFL16" i="20"/>
  <c r="BFM16" i="20"/>
  <c r="BFN16" i="20"/>
  <c r="BFO16" i="20"/>
  <c r="BFP16" i="20"/>
  <c r="BFQ16" i="20"/>
  <c r="BFR16" i="20"/>
  <c r="BFS16" i="20"/>
  <c r="BFT16" i="20"/>
  <c r="BFU16" i="20"/>
  <c r="BFV16" i="20"/>
  <c r="BFW16" i="20"/>
  <c r="BFX16" i="20"/>
  <c r="BFY16" i="20"/>
  <c r="BFZ16" i="20"/>
  <c r="BGA16" i="20"/>
  <c r="BGB16" i="20"/>
  <c r="BGC16" i="20"/>
  <c r="BGD16" i="20"/>
  <c r="BGE16" i="20"/>
  <c r="BGF16" i="20"/>
  <c r="BGG16" i="20"/>
  <c r="BGH16" i="20"/>
  <c r="BGI16" i="20"/>
  <c r="BGJ16" i="20"/>
  <c r="BGK16" i="20"/>
  <c r="BGL16" i="20"/>
  <c r="BGM16" i="20"/>
  <c r="BGN16" i="20"/>
  <c r="BGO16" i="20"/>
  <c r="BGP16" i="20"/>
  <c r="BGQ16" i="20"/>
  <c r="BGR16" i="20"/>
  <c r="BGS16" i="20"/>
  <c r="BGT16" i="20"/>
  <c r="BGU16" i="20"/>
  <c r="BGV16" i="20"/>
  <c r="BGW16" i="20"/>
  <c r="BGX16" i="20"/>
  <c r="BGY16" i="20"/>
  <c r="BGZ16" i="20"/>
  <c r="BHA16" i="20"/>
  <c r="BHB16" i="20"/>
  <c r="BHC16" i="20"/>
  <c r="BHD16" i="20"/>
  <c r="BHE16" i="20"/>
  <c r="BHF16" i="20"/>
  <c r="BHG16" i="20"/>
  <c r="BHH16" i="20"/>
  <c r="BHI16" i="20"/>
  <c r="BHJ16" i="20"/>
  <c r="BHK16" i="20"/>
  <c r="BHL16" i="20"/>
  <c r="BHM16" i="20"/>
  <c r="BHN16" i="20"/>
  <c r="BHO16" i="20"/>
  <c r="BHP16" i="20"/>
  <c r="BHQ16" i="20"/>
  <c r="BHR16" i="20"/>
  <c r="BHS16" i="20"/>
  <c r="BHT16" i="20"/>
  <c r="BHU16" i="20"/>
  <c r="BHV16" i="20"/>
  <c r="BHW16" i="20"/>
  <c r="BHX16" i="20"/>
  <c r="BHY16" i="20"/>
  <c r="BHZ16" i="20"/>
  <c r="BIA16" i="20"/>
  <c r="BIB16" i="20"/>
  <c r="BIC16" i="20"/>
  <c r="BID16" i="20"/>
  <c r="BIE16" i="20"/>
  <c r="BIF16" i="20"/>
  <c r="BIG16" i="20"/>
  <c r="BIH16" i="20"/>
  <c r="BII16" i="20"/>
  <c r="BIJ16" i="20"/>
  <c r="BIK16" i="20"/>
  <c r="BIL16" i="20"/>
  <c r="BIM16" i="20"/>
  <c r="BIN16" i="20"/>
  <c r="BIO16" i="20"/>
  <c r="BIP16" i="20"/>
  <c r="BIQ16" i="20"/>
  <c r="BIR16" i="20"/>
  <c r="BIS16" i="20"/>
  <c r="BIT16" i="20"/>
  <c r="BIU16" i="20"/>
  <c r="BIV16" i="20"/>
  <c r="BIW16" i="20"/>
  <c r="BIX16" i="20"/>
  <c r="BIY16" i="20"/>
  <c r="BIZ16" i="20"/>
  <c r="BJA16" i="20"/>
  <c r="BJB16" i="20"/>
  <c r="BJC16" i="20"/>
  <c r="BJD16" i="20"/>
  <c r="BJE16" i="20"/>
  <c r="BJF16" i="20"/>
  <c r="BJG16" i="20"/>
  <c r="BJH16" i="20"/>
  <c r="BJI16" i="20"/>
  <c r="BJJ16" i="20"/>
  <c r="BJK16" i="20"/>
  <c r="BJL16" i="20"/>
  <c r="BJM16" i="20"/>
  <c r="BJN16" i="20"/>
  <c r="BJO16" i="20"/>
  <c r="BJP16" i="20"/>
  <c r="BJQ16" i="20"/>
  <c r="BJR16" i="20"/>
  <c r="BJS16" i="20"/>
  <c r="BJT16" i="20"/>
  <c r="BJU16" i="20"/>
  <c r="BJV16" i="20"/>
  <c r="BJW16" i="20"/>
  <c r="BJX16" i="20"/>
  <c r="BJY16" i="20"/>
  <c r="BJZ16" i="20"/>
  <c r="BKA16" i="20"/>
  <c r="BKB16" i="20"/>
  <c r="BKC16" i="20"/>
  <c r="BKD16" i="20"/>
  <c r="BKE16" i="20"/>
  <c r="BKF16" i="20"/>
  <c r="BKG16" i="20"/>
  <c r="BKH16" i="20"/>
  <c r="BKI16" i="20"/>
  <c r="BKJ16" i="20"/>
  <c r="BKK16" i="20"/>
  <c r="BKL16" i="20"/>
  <c r="BKM16" i="20"/>
  <c r="BKN16" i="20"/>
  <c r="BKO16" i="20"/>
  <c r="BKP16" i="20"/>
  <c r="BKQ16" i="20"/>
  <c r="BKR16" i="20"/>
  <c r="BKS16" i="20"/>
  <c r="BKT16" i="20"/>
  <c r="BKU16" i="20"/>
  <c r="BKV16" i="20"/>
  <c r="BKW16" i="20"/>
  <c r="BKX16" i="20"/>
  <c r="BKY16" i="20"/>
  <c r="BKZ16" i="20"/>
  <c r="BLA16" i="20"/>
  <c r="BLB16" i="20"/>
  <c r="BLC16" i="20"/>
  <c r="BLD16" i="20"/>
  <c r="BLE16" i="20"/>
  <c r="BLF16" i="20"/>
  <c r="BLG16" i="20"/>
  <c r="BLH16" i="20"/>
  <c r="BLI16" i="20"/>
  <c r="BLJ16" i="20"/>
  <c r="BLK16" i="20"/>
  <c r="BLL16" i="20"/>
  <c r="BLM16" i="20"/>
  <c r="BLN16" i="20"/>
  <c r="BLO16" i="20"/>
  <c r="BLP16" i="20"/>
  <c r="BLQ16" i="20"/>
  <c r="BLR16" i="20"/>
  <c r="BLS16" i="20"/>
  <c r="BLT16" i="20"/>
  <c r="BLU16" i="20"/>
  <c r="BLV16" i="20"/>
  <c r="BLW16" i="20"/>
  <c r="BLX16" i="20"/>
  <c r="BLY16" i="20"/>
  <c r="BLZ16" i="20"/>
  <c r="BMA16" i="20"/>
  <c r="BMB16" i="20"/>
  <c r="BMC16" i="20"/>
  <c r="BMD16" i="20"/>
  <c r="BME16" i="20"/>
  <c r="BMF16" i="20"/>
  <c r="BMG16" i="20"/>
  <c r="BMH16" i="20"/>
  <c r="BMI16" i="20"/>
  <c r="BMJ16" i="20"/>
  <c r="BMK16" i="20"/>
  <c r="BML16" i="20"/>
  <c r="BMM16" i="20"/>
  <c r="BMN16" i="20"/>
  <c r="BMO16" i="20"/>
  <c r="BMP16" i="20"/>
  <c r="BMQ16" i="20"/>
  <c r="BMR16" i="20"/>
  <c r="BMS16" i="20"/>
  <c r="BMT16" i="20"/>
  <c r="BMU16" i="20"/>
  <c r="BMV16" i="20"/>
  <c r="BMW16" i="20"/>
  <c r="BMX16" i="20"/>
  <c r="BMY16" i="20"/>
  <c r="BMZ16" i="20"/>
  <c r="BNA16" i="20"/>
  <c r="BNB16" i="20"/>
  <c r="BNC16" i="20"/>
  <c r="BND16" i="20"/>
  <c r="BNE16" i="20"/>
  <c r="BNF16" i="20"/>
  <c r="BNG16" i="20"/>
  <c r="BNH16" i="20"/>
  <c r="BNI16" i="20"/>
  <c r="BNJ16" i="20"/>
  <c r="BNK16" i="20"/>
  <c r="BNL16" i="20"/>
  <c r="BNM16" i="20"/>
  <c r="BNN16" i="20"/>
  <c r="BNO16" i="20"/>
  <c r="BNP16" i="20"/>
  <c r="BNQ16" i="20"/>
  <c r="BNR16" i="20"/>
  <c r="BNS16" i="20"/>
  <c r="BNT16" i="20"/>
  <c r="BNU16" i="20"/>
  <c r="BNV16" i="20"/>
  <c r="BNW16" i="20"/>
  <c r="BNX16" i="20"/>
  <c r="BNY16" i="20"/>
  <c r="BNZ16" i="20"/>
  <c r="BOA16" i="20"/>
  <c r="BOB16" i="20"/>
  <c r="BOC16" i="20"/>
  <c r="BOD16" i="20"/>
  <c r="BOE16" i="20"/>
  <c r="BOF16" i="20"/>
  <c r="BOG16" i="20"/>
  <c r="BOH16" i="20"/>
  <c r="BOI16" i="20"/>
  <c r="BOJ16" i="20"/>
  <c r="BOK16" i="20"/>
  <c r="BOL16" i="20"/>
  <c r="BOM16" i="20"/>
  <c r="BON16" i="20"/>
  <c r="BOO16" i="20"/>
  <c r="BOP16" i="20"/>
  <c r="BOQ16" i="20"/>
  <c r="BOR16" i="20"/>
  <c r="BOS16" i="20"/>
  <c r="BOT16" i="20"/>
  <c r="BOU16" i="20"/>
  <c r="BOV16" i="20"/>
  <c r="BOW16" i="20"/>
  <c r="BOX16" i="20"/>
  <c r="BOY16" i="20"/>
  <c r="BOZ16" i="20"/>
  <c r="BPA16" i="20"/>
  <c r="BPB16" i="20"/>
  <c r="BPC16" i="20"/>
  <c r="BPD16" i="20"/>
  <c r="BPE16" i="20"/>
  <c r="BPF16" i="20"/>
  <c r="BPG16" i="20"/>
  <c r="BPH16" i="20"/>
  <c r="BPI16" i="20"/>
  <c r="BPJ16" i="20"/>
  <c r="BPK16" i="20"/>
  <c r="BPL16" i="20"/>
  <c r="BPM16" i="20"/>
  <c r="BPN16" i="20"/>
  <c r="BPO16" i="20"/>
  <c r="BPP16" i="20"/>
  <c r="BPQ16" i="20"/>
  <c r="BPR16" i="20"/>
  <c r="BPS16" i="20"/>
  <c r="BPT16" i="20"/>
  <c r="BPU16" i="20"/>
  <c r="BPV16" i="20"/>
  <c r="BPW16" i="20"/>
  <c r="BPX16" i="20"/>
  <c r="BPY16" i="20"/>
  <c r="BPZ16" i="20"/>
  <c r="BQA16" i="20"/>
  <c r="BQB16" i="20"/>
  <c r="BQC16" i="20"/>
  <c r="BQD16" i="20"/>
  <c r="BQE16" i="20"/>
  <c r="BQF16" i="20"/>
  <c r="BQG16" i="20"/>
  <c r="BQH16" i="20"/>
  <c r="BQI16" i="20"/>
  <c r="BQJ16" i="20"/>
  <c r="BQK16" i="20"/>
  <c r="BQL16" i="20"/>
  <c r="BQM16" i="20"/>
  <c r="BQN16" i="20"/>
  <c r="BQO16" i="20"/>
  <c r="BQP16" i="20"/>
  <c r="BQQ16" i="20"/>
  <c r="BQR16" i="20"/>
  <c r="BQS16" i="20"/>
  <c r="BQT16" i="20"/>
  <c r="BQU16" i="20"/>
  <c r="BQV16" i="20"/>
  <c r="BQW16" i="20"/>
  <c r="BQX16" i="20"/>
  <c r="BQY16" i="20"/>
  <c r="BQZ16" i="20"/>
  <c r="BRA16" i="20"/>
  <c r="BRB16" i="20"/>
  <c r="BRC16" i="20"/>
  <c r="BRD16" i="20"/>
  <c r="BRE16" i="20"/>
  <c r="BRF16" i="20"/>
  <c r="BRG16" i="20"/>
  <c r="BRH16" i="20"/>
  <c r="BRI16" i="20"/>
  <c r="BRJ16" i="20"/>
  <c r="BRK16" i="20"/>
  <c r="BRL16" i="20"/>
  <c r="BRM16" i="20"/>
  <c r="BRN16" i="20"/>
  <c r="BRO16" i="20"/>
  <c r="BRP16" i="20"/>
  <c r="BRQ16" i="20"/>
  <c r="BRR16" i="20"/>
  <c r="BRS16" i="20"/>
  <c r="BRT16" i="20"/>
  <c r="BRU16" i="20"/>
  <c r="BRV16" i="20"/>
  <c r="BRW16" i="20"/>
  <c r="BRX16" i="20"/>
  <c r="BRY16" i="20"/>
  <c r="BRZ16" i="20"/>
  <c r="BSA16" i="20"/>
  <c r="BSB16" i="20"/>
  <c r="BSC16" i="20"/>
  <c r="BSD16" i="20"/>
  <c r="BSE16" i="20"/>
  <c r="BSF16" i="20"/>
  <c r="BSG16" i="20"/>
  <c r="BSH16" i="20"/>
  <c r="BSI16" i="20"/>
  <c r="BSJ16" i="20"/>
  <c r="BSK16" i="20"/>
  <c r="BSL16" i="20"/>
  <c r="BSM16" i="20"/>
  <c r="BSN16" i="20"/>
  <c r="BSO16" i="20"/>
  <c r="BSP16" i="20"/>
  <c r="BSQ16" i="20"/>
  <c r="BSR16" i="20"/>
  <c r="BSS16" i="20"/>
  <c r="BST16" i="20"/>
  <c r="BSU16" i="20"/>
  <c r="BSV16" i="20"/>
  <c r="BSW16" i="20"/>
  <c r="BSX16" i="20"/>
  <c r="BSY16" i="20"/>
  <c r="BSZ16" i="20"/>
  <c r="BTA16" i="20"/>
  <c r="BTB16" i="20"/>
  <c r="BTC16" i="20"/>
  <c r="BTD16" i="20"/>
  <c r="BTE16" i="20"/>
  <c r="BTF16" i="20"/>
  <c r="BTG16" i="20"/>
  <c r="BTH16" i="20"/>
  <c r="BTI16" i="20"/>
  <c r="BTJ16" i="20"/>
  <c r="BTK16" i="20"/>
  <c r="BTL16" i="20"/>
  <c r="BTM16" i="20"/>
  <c r="BTN16" i="20"/>
  <c r="BTO16" i="20"/>
  <c r="BTP16" i="20"/>
  <c r="BTQ16" i="20"/>
  <c r="BTR16" i="20"/>
  <c r="BTS16" i="20"/>
  <c r="BTT16" i="20"/>
  <c r="BTU16" i="20"/>
  <c r="BTV16" i="20"/>
  <c r="BTW16" i="20"/>
  <c r="BTX16" i="20"/>
  <c r="BTY16" i="20"/>
  <c r="BTZ16" i="20"/>
  <c r="BUA16" i="20"/>
  <c r="BUB16" i="20"/>
  <c r="BUC16" i="20"/>
  <c r="BUD16" i="20"/>
  <c r="BUE16" i="20"/>
  <c r="BUF16" i="20"/>
  <c r="BUG16" i="20"/>
  <c r="BUH16" i="20"/>
  <c r="BUI16" i="20"/>
  <c r="BUJ16" i="20"/>
  <c r="BUK16" i="20"/>
  <c r="BUL16" i="20"/>
  <c r="BUM16" i="20"/>
  <c r="BUN16" i="20"/>
  <c r="BUO16" i="20"/>
  <c r="BUP16" i="20"/>
  <c r="BUQ16" i="20"/>
  <c r="BUR16" i="20"/>
  <c r="BUS16" i="20"/>
  <c r="BUT16" i="20"/>
  <c r="BUU16" i="20"/>
  <c r="BUV16" i="20"/>
  <c r="BUW16" i="20"/>
  <c r="BUX16" i="20"/>
  <c r="BUY16" i="20"/>
  <c r="BUZ16" i="20"/>
  <c r="BVA16" i="20"/>
  <c r="BVB16" i="20"/>
  <c r="BVC16" i="20"/>
  <c r="BVD16" i="20"/>
  <c r="BVE16" i="20"/>
  <c r="BVF16" i="20"/>
  <c r="BVG16" i="20"/>
  <c r="BVH16" i="20"/>
  <c r="BVI16" i="20"/>
  <c r="BVJ16" i="20"/>
  <c r="BVK16" i="20"/>
  <c r="BVL16" i="20"/>
  <c r="BVM16" i="20"/>
  <c r="BVN16" i="20"/>
  <c r="BVO16" i="20"/>
  <c r="BVP16" i="20"/>
  <c r="BVQ16" i="20"/>
  <c r="BVR16" i="20"/>
  <c r="BVS16" i="20"/>
  <c r="BVT16" i="20"/>
  <c r="BVU16" i="20"/>
  <c r="BVV16" i="20"/>
  <c r="BVW16" i="20"/>
  <c r="BVX16" i="20"/>
  <c r="BVY16" i="20"/>
  <c r="BVZ16" i="20"/>
  <c r="BWA16" i="20"/>
  <c r="BWB16" i="20"/>
  <c r="BWC16" i="20"/>
  <c r="BWD16" i="20"/>
  <c r="BWE16" i="20"/>
  <c r="BWF16" i="20"/>
  <c r="BWG16" i="20"/>
  <c r="BWH16" i="20"/>
  <c r="BWI16" i="20"/>
  <c r="BWJ16" i="20"/>
  <c r="BWK16" i="20"/>
  <c r="BWL16" i="20"/>
  <c r="BWM16" i="20"/>
  <c r="BWN16" i="20"/>
  <c r="BWO16" i="20"/>
  <c r="BWP16" i="20"/>
  <c r="BWQ16" i="20"/>
  <c r="BWR16" i="20"/>
  <c r="BWS16" i="20"/>
  <c r="BWT16" i="20"/>
  <c r="BWU16" i="20"/>
  <c r="BWV16" i="20"/>
  <c r="BWW16" i="20"/>
  <c r="BWX16" i="20"/>
  <c r="BWY16" i="20"/>
  <c r="BWZ16" i="20"/>
  <c r="BXA16" i="20"/>
  <c r="BXB16" i="20"/>
  <c r="BXC16" i="20"/>
  <c r="BXD16" i="20"/>
  <c r="BXE16" i="20"/>
  <c r="BXF16" i="20"/>
  <c r="BXG16" i="20"/>
  <c r="BXH16" i="20"/>
  <c r="BXI16" i="20"/>
  <c r="BXJ16" i="20"/>
  <c r="BXK16" i="20"/>
  <c r="BXL16" i="20"/>
  <c r="BXM16" i="20"/>
  <c r="BXN16" i="20"/>
  <c r="BXO16" i="20"/>
  <c r="BXP16" i="20"/>
  <c r="BXQ16" i="20"/>
  <c r="BXR16" i="20"/>
  <c r="BXS16" i="20"/>
  <c r="BXT16" i="20"/>
  <c r="BXU16" i="20"/>
  <c r="BXV16" i="20"/>
  <c r="BXW16" i="20"/>
  <c r="BXX16" i="20"/>
  <c r="BXY16" i="20"/>
  <c r="BXZ16" i="20"/>
  <c r="BYA16" i="20"/>
  <c r="BYB16" i="20"/>
  <c r="BYC16" i="20"/>
  <c r="BYD16" i="20"/>
  <c r="BYE16" i="20"/>
  <c r="BYF16" i="20"/>
  <c r="BYG16" i="20"/>
  <c r="BYH16" i="20"/>
  <c r="BYI16" i="20"/>
  <c r="BYJ16" i="20"/>
  <c r="BYK16" i="20"/>
  <c r="BYL16" i="20"/>
  <c r="BYM16" i="20"/>
  <c r="BYN16" i="20"/>
  <c r="BYO16" i="20"/>
  <c r="BYP16" i="20"/>
  <c r="BYQ16" i="20"/>
  <c r="BYR16" i="20"/>
  <c r="BYS16" i="20"/>
  <c r="BYT16" i="20"/>
  <c r="BYU16" i="20"/>
  <c r="BYV16" i="20"/>
  <c r="BYW16" i="20"/>
  <c r="BYX16" i="20"/>
  <c r="BYY16" i="20"/>
  <c r="BYZ16" i="20"/>
  <c r="BZA16" i="20"/>
  <c r="BZB16" i="20"/>
  <c r="BZC16" i="20"/>
  <c r="BZD16" i="20"/>
  <c r="BZE16" i="20"/>
  <c r="BZF16" i="20"/>
  <c r="BZG16" i="20"/>
  <c r="BZH16" i="20"/>
  <c r="BZI16" i="20"/>
  <c r="BZJ16" i="20"/>
  <c r="BZK16" i="20"/>
  <c r="BZL16" i="20"/>
  <c r="BZM16" i="20"/>
  <c r="BZN16" i="20"/>
  <c r="BZO16" i="20"/>
  <c r="BZP16" i="20"/>
  <c r="BZQ16" i="20"/>
  <c r="BZR16" i="20"/>
  <c r="BZS16" i="20"/>
  <c r="BZT16" i="20"/>
  <c r="BZU16" i="20"/>
  <c r="BZV16" i="20"/>
  <c r="BZW16" i="20"/>
  <c r="BZX16" i="20"/>
  <c r="BZY16" i="20"/>
  <c r="BZZ16" i="20"/>
  <c r="CAA16" i="20"/>
  <c r="CAB16" i="20"/>
  <c r="CAC16" i="20"/>
  <c r="CAD16" i="20"/>
  <c r="CAE16" i="20"/>
  <c r="CAF16" i="20"/>
  <c r="CAG16" i="20"/>
  <c r="CAH16" i="20"/>
  <c r="CAI16" i="20"/>
  <c r="CAJ16" i="20"/>
  <c r="CAK16" i="20"/>
  <c r="CAL16" i="20"/>
  <c r="CAM16" i="20"/>
  <c r="CAN16" i="20"/>
  <c r="CAO16" i="20"/>
  <c r="CAP16" i="20"/>
  <c r="CAQ16" i="20"/>
  <c r="CAR16" i="20"/>
  <c r="CAS16" i="20"/>
  <c r="CAT16" i="20"/>
  <c r="CAU16" i="20"/>
  <c r="CAV16" i="20"/>
  <c r="CAW16" i="20"/>
  <c r="CAX16" i="20"/>
  <c r="CAY16" i="20"/>
  <c r="CAZ16" i="20"/>
  <c r="CBA16" i="20"/>
  <c r="CBB16" i="20"/>
  <c r="CBC16" i="20"/>
  <c r="CBD16" i="20"/>
  <c r="CBE16" i="20"/>
  <c r="CBF16" i="20"/>
  <c r="CBG16" i="20"/>
  <c r="CBH16" i="20"/>
  <c r="CBI16" i="20"/>
  <c r="CBJ16" i="20"/>
  <c r="CBK16" i="20"/>
  <c r="CBL16" i="20"/>
  <c r="CBM16" i="20"/>
  <c r="CBN16" i="20"/>
  <c r="CBO16" i="20"/>
  <c r="CBP16" i="20"/>
  <c r="CBQ16" i="20"/>
  <c r="CBR16" i="20"/>
  <c r="CBS16" i="20"/>
  <c r="CBT16" i="20"/>
  <c r="CBU16" i="20"/>
  <c r="CBV16" i="20"/>
  <c r="CBW16" i="20"/>
  <c r="CBX16" i="20"/>
  <c r="CBY16" i="20"/>
  <c r="CBZ16" i="20"/>
  <c r="CCA16" i="20"/>
  <c r="CCB16" i="20"/>
  <c r="CCC16" i="20"/>
  <c r="CCD16" i="20"/>
  <c r="CCE16" i="20"/>
  <c r="CCF16" i="20"/>
  <c r="CCG16" i="20"/>
  <c r="CCH16" i="20"/>
  <c r="CCI16" i="20"/>
  <c r="CCJ16" i="20"/>
  <c r="CCK16" i="20"/>
  <c r="CCL16" i="20"/>
  <c r="CCM16" i="20"/>
  <c r="CCN16" i="20"/>
  <c r="CCO16" i="20"/>
  <c r="CCP16" i="20"/>
  <c r="CCQ16" i="20"/>
  <c r="CCR16" i="20"/>
  <c r="CCS16" i="20"/>
  <c r="CCT16" i="20"/>
  <c r="CCU16" i="20"/>
  <c r="CCV16" i="20"/>
  <c r="CCW16" i="20"/>
  <c r="CCX16" i="20"/>
  <c r="CCY16" i="20"/>
  <c r="CCZ16" i="20"/>
  <c r="CDA16" i="20"/>
  <c r="CDB16" i="20"/>
  <c r="CDC16" i="20"/>
  <c r="CDD16" i="20"/>
  <c r="CDE16" i="20"/>
  <c r="CDF16" i="20"/>
  <c r="CDG16" i="20"/>
  <c r="CDH16" i="20"/>
  <c r="CDI16" i="20"/>
  <c r="CDJ16" i="20"/>
  <c r="CDK16" i="20"/>
  <c r="CDL16" i="20"/>
  <c r="CDM16" i="20"/>
  <c r="CDN16" i="20"/>
  <c r="CDO16" i="20"/>
  <c r="CDP16" i="20"/>
  <c r="CDQ16" i="20"/>
  <c r="CDR16" i="20"/>
  <c r="CDS16" i="20"/>
  <c r="CDT16" i="20"/>
  <c r="CDU16" i="20"/>
  <c r="CDV16" i="20"/>
  <c r="CDW16" i="20"/>
  <c r="CDX16" i="20"/>
  <c r="CDY16" i="20"/>
  <c r="CDZ16" i="20"/>
  <c r="CEA16" i="20"/>
  <c r="CEB16" i="20"/>
  <c r="CEC16" i="20"/>
  <c r="CED16" i="20"/>
  <c r="CEE16" i="20"/>
  <c r="CEF16" i="20"/>
  <c r="CEG16" i="20"/>
  <c r="CEH16" i="20"/>
  <c r="CEI16" i="20"/>
  <c r="CEJ16" i="20"/>
  <c r="CEK16" i="20"/>
  <c r="CEL16" i="20"/>
  <c r="CEM16" i="20"/>
  <c r="CEN16" i="20"/>
  <c r="CEO16" i="20"/>
  <c r="CEP16" i="20"/>
  <c r="CEQ16" i="20"/>
  <c r="CER16" i="20"/>
  <c r="CES16" i="20"/>
  <c r="CET16" i="20"/>
  <c r="CEU16" i="20"/>
  <c r="CEV16" i="20"/>
  <c r="CEW16" i="20"/>
  <c r="CEX16" i="20"/>
  <c r="CEY16" i="20"/>
  <c r="CEZ16" i="20"/>
  <c r="CFA16" i="20"/>
  <c r="CFB16" i="20"/>
  <c r="CFC16" i="20"/>
  <c r="CFD16" i="20"/>
  <c r="CFE16" i="20"/>
  <c r="CFF16" i="20"/>
  <c r="CFG16" i="20"/>
  <c r="CFH16" i="20"/>
  <c r="CFI16" i="20"/>
  <c r="CFJ16" i="20"/>
  <c r="CFK16" i="20"/>
  <c r="CFL16" i="20"/>
  <c r="CFM16" i="20"/>
  <c r="CFN16" i="20"/>
  <c r="CFO16" i="20"/>
  <c r="CFP16" i="20"/>
  <c r="CFQ16" i="20"/>
  <c r="CFR16" i="20"/>
  <c r="CFS16" i="20"/>
  <c r="CFT16" i="20"/>
  <c r="CFU16" i="20"/>
  <c r="CFV16" i="20"/>
  <c r="CFW16" i="20"/>
  <c r="CFX16" i="20"/>
  <c r="CFY16" i="20"/>
  <c r="CFZ16" i="20"/>
  <c r="CGA16" i="20"/>
  <c r="CGB16" i="20"/>
  <c r="CGC16" i="20"/>
  <c r="CGD16" i="20"/>
  <c r="CGE16" i="20"/>
  <c r="CGF16" i="20"/>
  <c r="CGG16" i="20"/>
  <c r="CGH16" i="20"/>
  <c r="CGI16" i="20"/>
  <c r="CGJ16" i="20"/>
  <c r="CGK16" i="20"/>
  <c r="CGL16" i="20"/>
  <c r="CGM16" i="20"/>
  <c r="CGN16" i="20"/>
  <c r="CGO16" i="20"/>
  <c r="CGP16" i="20"/>
  <c r="CGQ16" i="20"/>
  <c r="CGR16" i="20"/>
  <c r="CGS16" i="20"/>
  <c r="CGT16" i="20"/>
  <c r="CGU16" i="20"/>
  <c r="CGV16" i="20"/>
  <c r="CGW16" i="20"/>
  <c r="CGX16" i="20"/>
  <c r="CGY16" i="20"/>
  <c r="CGZ16" i="20"/>
  <c r="CHA16" i="20"/>
  <c r="CHB16" i="20"/>
  <c r="CHC16" i="20"/>
  <c r="CHD16" i="20"/>
  <c r="CHE16" i="20"/>
  <c r="CHF16" i="20"/>
  <c r="CHG16" i="20"/>
  <c r="CHH16" i="20"/>
  <c r="CHI16" i="20"/>
  <c r="CHJ16" i="20"/>
  <c r="CHK16" i="20"/>
  <c r="CHL16" i="20"/>
  <c r="CHM16" i="20"/>
  <c r="CHN16" i="20"/>
  <c r="CHO16" i="20"/>
  <c r="CHP16" i="20"/>
  <c r="CHQ16" i="20"/>
  <c r="CHR16" i="20"/>
  <c r="CHS16" i="20"/>
  <c r="CHT16" i="20"/>
  <c r="CHU16" i="20"/>
  <c r="CHV16" i="20"/>
  <c r="CHW16" i="20"/>
  <c r="CHX16" i="20"/>
  <c r="CHY16" i="20"/>
  <c r="CHZ16" i="20"/>
  <c r="CIA16" i="20"/>
  <c r="CIB16" i="20"/>
  <c r="CIC16" i="20"/>
  <c r="CID16" i="20"/>
  <c r="CIE16" i="20"/>
  <c r="CIF16" i="20"/>
  <c r="CIG16" i="20"/>
  <c r="CIH16" i="20"/>
  <c r="CII16" i="20"/>
  <c r="CIJ16" i="20"/>
  <c r="CIK16" i="20"/>
  <c r="CIL16" i="20"/>
  <c r="CIM16" i="20"/>
  <c r="CIN16" i="20"/>
  <c r="CIO16" i="20"/>
  <c r="CIP16" i="20"/>
  <c r="CIQ16" i="20"/>
  <c r="CIR16" i="20"/>
  <c r="CIS16" i="20"/>
  <c r="CIT16" i="20"/>
  <c r="CIU16" i="20"/>
  <c r="CIV16" i="20"/>
  <c r="CIW16" i="20"/>
  <c r="CIX16" i="20"/>
  <c r="CIY16" i="20"/>
  <c r="CIZ16" i="20"/>
  <c r="CJA16" i="20"/>
  <c r="CJB16" i="20"/>
  <c r="CJC16" i="20"/>
  <c r="CJD16" i="20"/>
  <c r="CJE16" i="20"/>
  <c r="CJF16" i="20"/>
  <c r="CJG16" i="20"/>
  <c r="CJH16" i="20"/>
  <c r="CJI16" i="20"/>
  <c r="CJJ16" i="20"/>
  <c r="CJK16" i="20"/>
  <c r="CJL16" i="20"/>
  <c r="CJM16" i="20"/>
  <c r="CJN16" i="20"/>
  <c r="CJO16" i="20"/>
  <c r="CJP16" i="20"/>
  <c r="CJQ16" i="20"/>
  <c r="CJR16" i="20"/>
  <c r="CJS16" i="20"/>
  <c r="CJT16" i="20"/>
  <c r="CJU16" i="20"/>
  <c r="CJV16" i="20"/>
  <c r="CJW16" i="20"/>
  <c r="CJX16" i="20"/>
  <c r="CJY16" i="20"/>
  <c r="CJZ16" i="20"/>
  <c r="CKA16" i="20"/>
  <c r="CKB16" i="20"/>
  <c r="CKC16" i="20"/>
  <c r="CKD16" i="20"/>
  <c r="CKE16" i="20"/>
  <c r="CKF16" i="20"/>
  <c r="CKG16" i="20"/>
  <c r="CKH16" i="20"/>
  <c r="CKI16" i="20"/>
  <c r="CKJ16" i="20"/>
  <c r="CKK16" i="20"/>
  <c r="CKL16" i="20"/>
  <c r="CKM16" i="20"/>
  <c r="CKN16" i="20"/>
  <c r="CKO16" i="20"/>
  <c r="CKP16" i="20"/>
  <c r="CKQ16" i="20"/>
  <c r="CKR16" i="20"/>
  <c r="CKS16" i="20"/>
  <c r="CKT16" i="20"/>
  <c r="CKU16" i="20"/>
  <c r="CKV16" i="20"/>
  <c r="CKW16" i="20"/>
  <c r="CKX16" i="20"/>
  <c r="CKY16" i="20"/>
  <c r="CKZ16" i="20"/>
  <c r="CLA16" i="20"/>
  <c r="CLB16" i="20"/>
  <c r="CLC16" i="20"/>
  <c r="CLD16" i="20"/>
  <c r="CLE16" i="20"/>
  <c r="CLF16" i="20"/>
  <c r="CLG16" i="20"/>
  <c r="CLH16" i="20"/>
  <c r="CLI16" i="20"/>
  <c r="CLJ16" i="20"/>
  <c r="CLK16" i="20"/>
  <c r="CLL16" i="20"/>
  <c r="CLM16" i="20"/>
  <c r="CLN16" i="20"/>
  <c r="CLO16" i="20"/>
  <c r="CLP16" i="20"/>
  <c r="CLQ16" i="20"/>
  <c r="CLR16" i="20"/>
  <c r="CLS16" i="20"/>
  <c r="CLT16" i="20"/>
  <c r="CLU16" i="20"/>
  <c r="CLV16" i="20"/>
  <c r="CLW16" i="20"/>
  <c r="CLX16" i="20"/>
  <c r="CLY16" i="20"/>
  <c r="CLZ16" i="20"/>
  <c r="CMA16" i="20"/>
  <c r="CMB16" i="20"/>
  <c r="CMC16" i="20"/>
  <c r="CMD16" i="20"/>
  <c r="CME16" i="20"/>
  <c r="CMF16" i="20"/>
  <c r="CMG16" i="20"/>
  <c r="CMH16" i="20"/>
  <c r="CMI16" i="20"/>
  <c r="CMJ16" i="20"/>
  <c r="CMK16" i="20"/>
  <c r="CML16" i="20"/>
  <c r="CMM16" i="20"/>
  <c r="CMN16" i="20"/>
  <c r="CMO16" i="20"/>
  <c r="CMP16" i="20"/>
  <c r="CMQ16" i="20"/>
  <c r="CMR16" i="20"/>
  <c r="CMS16" i="20"/>
  <c r="CMT16" i="20"/>
  <c r="CMU16" i="20"/>
  <c r="CMV16" i="20"/>
  <c r="CMW16" i="20"/>
  <c r="CMX16" i="20"/>
  <c r="CMY16" i="20"/>
  <c r="CMZ16" i="20"/>
  <c r="CNA16" i="20"/>
  <c r="CNB16" i="20"/>
  <c r="CNC16" i="20"/>
  <c r="CND16" i="20"/>
  <c r="CNE16" i="20"/>
  <c r="CNF16" i="20"/>
  <c r="CNG16" i="20"/>
  <c r="CNH16" i="20"/>
  <c r="CNI16" i="20"/>
  <c r="CNJ16" i="20"/>
  <c r="CNK16" i="20"/>
  <c r="CNL16" i="20"/>
  <c r="CNM16" i="20"/>
  <c r="CNN16" i="20"/>
  <c r="CNO16" i="20"/>
  <c r="CNP16" i="20"/>
  <c r="CNQ16" i="20"/>
  <c r="CNR16" i="20"/>
  <c r="CNS16" i="20"/>
  <c r="CNT16" i="20"/>
  <c r="CNU16" i="20"/>
  <c r="CNV16" i="20"/>
  <c r="CNW16" i="20"/>
  <c r="CNX16" i="20"/>
  <c r="CNY16" i="20"/>
  <c r="CNZ16" i="20"/>
  <c r="COA16" i="20"/>
  <c r="COB16" i="20"/>
  <c r="COC16" i="20"/>
  <c r="COD16" i="20"/>
  <c r="COE16" i="20"/>
  <c r="COF16" i="20"/>
  <c r="COG16" i="20"/>
  <c r="COH16" i="20"/>
  <c r="COI16" i="20"/>
  <c r="COJ16" i="20"/>
  <c r="COK16" i="20"/>
  <c r="COL16" i="20"/>
  <c r="COM16" i="20"/>
  <c r="CON16" i="20"/>
  <c r="COO16" i="20"/>
  <c r="COP16" i="20"/>
  <c r="COQ16" i="20"/>
  <c r="COR16" i="20"/>
  <c r="COS16" i="20"/>
  <c r="COT16" i="20"/>
  <c r="COU16" i="20"/>
  <c r="COV16" i="20"/>
  <c r="COW16" i="20"/>
  <c r="COX16" i="20"/>
  <c r="COY16" i="20"/>
  <c r="COZ16" i="20"/>
  <c r="CPA16" i="20"/>
  <c r="CPB16" i="20"/>
  <c r="CPC16" i="20"/>
  <c r="CPD16" i="20"/>
  <c r="CPE16" i="20"/>
  <c r="CPF16" i="20"/>
  <c r="CPG16" i="20"/>
  <c r="CPH16" i="20"/>
  <c r="CPI16" i="20"/>
  <c r="CPJ16" i="20"/>
  <c r="CPK16" i="20"/>
  <c r="CPL16" i="20"/>
  <c r="CPM16" i="20"/>
  <c r="CPN16" i="20"/>
  <c r="CPO16" i="20"/>
  <c r="CPP16" i="20"/>
  <c r="CPQ16" i="20"/>
  <c r="CPR16" i="20"/>
  <c r="CPS16" i="20"/>
  <c r="CPT16" i="20"/>
  <c r="CPU16" i="20"/>
  <c r="CPV16" i="20"/>
  <c r="CPW16" i="20"/>
  <c r="CPX16" i="20"/>
  <c r="CPY16" i="20"/>
  <c r="CPZ16" i="20"/>
  <c r="CQA16" i="20"/>
  <c r="CQB16" i="20"/>
  <c r="CQC16" i="20"/>
  <c r="CQD16" i="20"/>
  <c r="CQE16" i="20"/>
  <c r="CQF16" i="20"/>
  <c r="CQG16" i="20"/>
  <c r="CQH16" i="20"/>
  <c r="CQI16" i="20"/>
  <c r="CQJ16" i="20"/>
  <c r="CQK16" i="20"/>
  <c r="CQL16" i="20"/>
  <c r="CQM16" i="20"/>
  <c r="CQN16" i="20"/>
  <c r="CQO16" i="20"/>
  <c r="CQP16" i="20"/>
  <c r="CQQ16" i="20"/>
  <c r="CQR16" i="20"/>
  <c r="CQS16" i="20"/>
  <c r="CQT16" i="20"/>
  <c r="CQU16" i="20"/>
  <c r="CQV16" i="20"/>
  <c r="CQW16" i="20"/>
  <c r="CQX16" i="20"/>
  <c r="CQY16" i="20"/>
  <c r="CQZ16" i="20"/>
  <c r="CRA16" i="20"/>
  <c r="CRB16" i="20"/>
  <c r="CRC16" i="20"/>
  <c r="CRD16" i="20"/>
  <c r="CRE16" i="20"/>
  <c r="CRF16" i="20"/>
  <c r="CRG16" i="20"/>
  <c r="CRH16" i="20"/>
  <c r="CRI16" i="20"/>
  <c r="CRJ16" i="20"/>
  <c r="CRK16" i="20"/>
  <c r="CRL16" i="20"/>
  <c r="CRM16" i="20"/>
  <c r="CRN16" i="20"/>
  <c r="CRO16" i="20"/>
  <c r="CRP16" i="20"/>
  <c r="CRQ16" i="20"/>
  <c r="CRR16" i="20"/>
  <c r="CRS16" i="20"/>
  <c r="CRT16" i="20"/>
  <c r="CRU16" i="20"/>
  <c r="CRV16" i="20"/>
  <c r="CRW16" i="20"/>
  <c r="CRX16" i="20"/>
  <c r="CRY16" i="20"/>
  <c r="CRZ16" i="20"/>
  <c r="CSA16" i="20"/>
  <c r="CSB16" i="20"/>
  <c r="CSC16" i="20"/>
  <c r="CSD16" i="20"/>
  <c r="CSE16" i="20"/>
  <c r="CSF16" i="20"/>
  <c r="CSG16" i="20"/>
  <c r="CSH16" i="20"/>
  <c r="CSI16" i="20"/>
  <c r="CSJ16" i="20"/>
  <c r="CSK16" i="20"/>
  <c r="CSL16" i="20"/>
  <c r="CSM16" i="20"/>
  <c r="CSN16" i="20"/>
  <c r="CSO16" i="20"/>
  <c r="CSP16" i="20"/>
  <c r="CSQ16" i="20"/>
  <c r="CSR16" i="20"/>
  <c r="CSS16" i="20"/>
  <c r="CST16" i="20"/>
  <c r="CSU16" i="20"/>
  <c r="CSV16" i="20"/>
  <c r="CSW16" i="20"/>
  <c r="CSX16" i="20"/>
  <c r="CSY16" i="20"/>
  <c r="CSZ16" i="20"/>
  <c r="CTA16" i="20"/>
  <c r="CTB16" i="20"/>
  <c r="CTC16" i="20"/>
  <c r="CTD16" i="20"/>
  <c r="CTE16" i="20"/>
  <c r="CTF16" i="20"/>
  <c r="CTG16" i="20"/>
  <c r="CTH16" i="20"/>
  <c r="CTI16" i="20"/>
  <c r="CTJ16" i="20"/>
  <c r="CTK16" i="20"/>
  <c r="CTL16" i="20"/>
  <c r="CTM16" i="20"/>
  <c r="CTN16" i="20"/>
  <c r="CTO16" i="20"/>
  <c r="CTP16" i="20"/>
  <c r="CTQ16" i="20"/>
  <c r="CTR16" i="20"/>
  <c r="CTS16" i="20"/>
  <c r="CTT16" i="20"/>
  <c r="CTU16" i="20"/>
  <c r="CTV16" i="20"/>
  <c r="CTW16" i="20"/>
  <c r="CTX16" i="20"/>
  <c r="CTY16" i="20"/>
  <c r="CTZ16" i="20"/>
  <c r="CUA16" i="20"/>
  <c r="CUB16" i="20"/>
  <c r="CUC16" i="20"/>
  <c r="CUD16" i="20"/>
  <c r="CUE16" i="20"/>
  <c r="CUF16" i="20"/>
  <c r="CUG16" i="20"/>
  <c r="CUH16" i="20"/>
  <c r="CUI16" i="20"/>
  <c r="CUJ16" i="20"/>
  <c r="CUK16" i="20"/>
  <c r="CUL16" i="20"/>
  <c r="CUM16" i="20"/>
  <c r="CUN16" i="20"/>
  <c r="CUO16" i="20"/>
  <c r="CUP16" i="20"/>
  <c r="CUQ16" i="20"/>
  <c r="CUR16" i="20"/>
  <c r="CUS16" i="20"/>
  <c r="CUT16" i="20"/>
  <c r="CUU16" i="20"/>
  <c r="CUV16" i="20"/>
  <c r="CUW16" i="20"/>
  <c r="CUX16" i="20"/>
  <c r="CUY16" i="20"/>
  <c r="CUZ16" i="20"/>
  <c r="CVA16" i="20"/>
  <c r="CVB16" i="20"/>
  <c r="CVC16" i="20"/>
  <c r="CVD16" i="20"/>
  <c r="CVE16" i="20"/>
  <c r="CVF16" i="20"/>
  <c r="CVG16" i="20"/>
  <c r="CVH16" i="20"/>
  <c r="CVI16" i="20"/>
  <c r="CVJ16" i="20"/>
  <c r="CVK16" i="20"/>
  <c r="CVL16" i="20"/>
  <c r="CVM16" i="20"/>
  <c r="CVN16" i="20"/>
  <c r="CVO16" i="20"/>
  <c r="CVP16" i="20"/>
  <c r="CVQ16" i="20"/>
  <c r="CVR16" i="20"/>
  <c r="CVS16" i="20"/>
  <c r="CVT16" i="20"/>
  <c r="CVU16" i="20"/>
  <c r="CVV16" i="20"/>
  <c r="CVW16" i="20"/>
  <c r="CVX16" i="20"/>
  <c r="CVY16" i="20"/>
  <c r="CVZ16" i="20"/>
  <c r="CWA16" i="20"/>
  <c r="CWB16" i="20"/>
  <c r="CWC16" i="20"/>
  <c r="CWD16" i="20"/>
  <c r="CWE16" i="20"/>
  <c r="CWF16" i="20"/>
  <c r="CWG16" i="20"/>
  <c r="CWH16" i="20"/>
  <c r="CWI16" i="20"/>
  <c r="CWJ16" i="20"/>
  <c r="CWK16" i="20"/>
  <c r="CWL16" i="20"/>
  <c r="CWM16" i="20"/>
  <c r="CWN16" i="20"/>
  <c r="CWO16" i="20"/>
  <c r="CWP16" i="20"/>
  <c r="CWQ16" i="20"/>
  <c r="CWR16" i="20"/>
  <c r="CWS16" i="20"/>
  <c r="CWT16" i="20"/>
  <c r="CWU16" i="20"/>
  <c r="CWV16" i="20"/>
  <c r="CWW16" i="20"/>
  <c r="CWX16" i="20"/>
  <c r="CWY16" i="20"/>
  <c r="CWZ16" i="20"/>
  <c r="CXA16" i="20"/>
  <c r="CXB16" i="20"/>
  <c r="CXC16" i="20"/>
  <c r="CXD16" i="20"/>
  <c r="CXE16" i="20"/>
  <c r="CXF16" i="20"/>
  <c r="CXG16" i="20"/>
  <c r="CXH16" i="20"/>
  <c r="CXI16" i="20"/>
  <c r="CXJ16" i="20"/>
  <c r="CXK16" i="20"/>
  <c r="CXL16" i="20"/>
  <c r="CXM16" i="20"/>
  <c r="CXN16" i="20"/>
  <c r="CXO16" i="20"/>
  <c r="CXP16" i="20"/>
  <c r="CXQ16" i="20"/>
  <c r="CXR16" i="20"/>
  <c r="CXS16" i="20"/>
  <c r="CXT16" i="20"/>
  <c r="CXU16" i="20"/>
  <c r="CXV16" i="20"/>
  <c r="CXW16" i="20"/>
  <c r="CXX16" i="20"/>
  <c r="CXY16" i="20"/>
  <c r="CXZ16" i="20"/>
  <c r="CYA16" i="20"/>
  <c r="CYB16" i="20"/>
  <c r="CYC16" i="20"/>
  <c r="CYD16" i="20"/>
  <c r="CYE16" i="20"/>
  <c r="CYF16" i="20"/>
  <c r="CYG16" i="20"/>
  <c r="CYH16" i="20"/>
  <c r="CYI16" i="20"/>
  <c r="CYJ16" i="20"/>
  <c r="CYK16" i="20"/>
  <c r="CYL16" i="20"/>
  <c r="CYM16" i="20"/>
  <c r="CYN16" i="20"/>
  <c r="CYO16" i="20"/>
  <c r="CYP16" i="20"/>
  <c r="CYQ16" i="20"/>
  <c r="CYR16" i="20"/>
  <c r="CYS16" i="20"/>
  <c r="CYT16" i="20"/>
  <c r="CYU16" i="20"/>
  <c r="CYV16" i="20"/>
  <c r="CYW16" i="20"/>
  <c r="CYX16" i="20"/>
  <c r="CYY16" i="20"/>
  <c r="CYZ16" i="20"/>
  <c r="CZA16" i="20"/>
  <c r="CZB16" i="20"/>
  <c r="CZC16" i="20"/>
  <c r="CZD16" i="20"/>
  <c r="CZE16" i="20"/>
  <c r="CZF16" i="20"/>
  <c r="CZG16" i="20"/>
  <c r="CZH16" i="20"/>
  <c r="CZI16" i="20"/>
  <c r="CZJ16" i="20"/>
  <c r="CZK16" i="20"/>
  <c r="CZL16" i="20"/>
  <c r="CZM16" i="20"/>
  <c r="CZN16" i="20"/>
  <c r="CZO16" i="20"/>
  <c r="CZP16" i="20"/>
  <c r="CZQ16" i="20"/>
  <c r="CZR16" i="20"/>
  <c r="CZS16" i="20"/>
  <c r="CZT16" i="20"/>
  <c r="CZU16" i="20"/>
  <c r="CZV16" i="20"/>
  <c r="CZW16" i="20"/>
  <c r="CZX16" i="20"/>
  <c r="CZY16" i="20"/>
  <c r="CZZ16" i="20"/>
  <c r="DAA16" i="20"/>
  <c r="DAB16" i="20"/>
  <c r="DAC16" i="20"/>
  <c r="DAD16" i="20"/>
  <c r="DAE16" i="20"/>
  <c r="DAF16" i="20"/>
  <c r="DAG16" i="20"/>
  <c r="DAH16" i="20"/>
  <c r="DAI16" i="20"/>
  <c r="DAJ16" i="20"/>
  <c r="DAK16" i="20"/>
  <c r="DAL16" i="20"/>
  <c r="DAM16" i="20"/>
  <c r="DAN16" i="20"/>
  <c r="DAO16" i="20"/>
  <c r="DAP16" i="20"/>
  <c r="DAQ16" i="20"/>
  <c r="DAR16" i="20"/>
  <c r="DAS16" i="20"/>
  <c r="DAT16" i="20"/>
  <c r="DAU16" i="20"/>
  <c r="DAV16" i="20"/>
  <c r="DAW16" i="20"/>
  <c r="DAX16" i="20"/>
  <c r="DAY16" i="20"/>
  <c r="DAZ16" i="20"/>
  <c r="DBA16" i="20"/>
  <c r="DBB16" i="20"/>
  <c r="DBC16" i="20"/>
  <c r="DBD16" i="20"/>
  <c r="DBE16" i="20"/>
  <c r="DBF16" i="20"/>
  <c r="DBG16" i="20"/>
  <c r="DBH16" i="20"/>
  <c r="DBI16" i="20"/>
  <c r="DBJ16" i="20"/>
  <c r="DBK16" i="20"/>
  <c r="DBL16" i="20"/>
  <c r="DBM16" i="20"/>
  <c r="DBN16" i="20"/>
  <c r="DBO16" i="20"/>
  <c r="DBP16" i="20"/>
  <c r="DBQ16" i="20"/>
  <c r="DBR16" i="20"/>
  <c r="DBS16" i="20"/>
  <c r="DBT16" i="20"/>
  <c r="DBU16" i="20"/>
  <c r="DBV16" i="20"/>
  <c r="DBW16" i="20"/>
  <c r="DBX16" i="20"/>
  <c r="DBY16" i="20"/>
  <c r="DBZ16" i="20"/>
  <c r="DCA16" i="20"/>
  <c r="DCB16" i="20"/>
  <c r="DCC16" i="20"/>
  <c r="DCD16" i="20"/>
  <c r="DCE16" i="20"/>
  <c r="DCF16" i="20"/>
  <c r="DCG16" i="20"/>
  <c r="DCH16" i="20"/>
  <c r="DCI16" i="20"/>
  <c r="DCJ16" i="20"/>
  <c r="DCK16" i="20"/>
  <c r="DCL16" i="20"/>
  <c r="DCM16" i="20"/>
  <c r="DCN16" i="20"/>
  <c r="DCO16" i="20"/>
  <c r="DCP16" i="20"/>
  <c r="DCQ16" i="20"/>
  <c r="DCR16" i="20"/>
  <c r="DCS16" i="20"/>
  <c r="DCT16" i="20"/>
  <c r="DCU16" i="20"/>
  <c r="DCV16" i="20"/>
  <c r="DCW16" i="20"/>
  <c r="DCX16" i="20"/>
  <c r="DCY16" i="20"/>
  <c r="DCZ16" i="20"/>
  <c r="DDA16" i="20"/>
  <c r="DDB16" i="20"/>
  <c r="DDC16" i="20"/>
  <c r="DDD16" i="20"/>
  <c r="DDE16" i="20"/>
  <c r="DDF16" i="20"/>
  <c r="DDG16" i="20"/>
  <c r="DDH16" i="20"/>
  <c r="DDI16" i="20"/>
  <c r="AAE17" i="20"/>
  <c r="AAF17" i="20"/>
  <c r="AAG17" i="20"/>
  <c r="AAH17" i="20"/>
  <c r="AAI17" i="20"/>
  <c r="AAJ17" i="20"/>
  <c r="AAK17" i="20"/>
  <c r="AAL17" i="20"/>
  <c r="AAM17" i="20"/>
  <c r="AAN17" i="20"/>
  <c r="AAO17" i="20"/>
  <c r="AAP17" i="20"/>
  <c r="AAQ17" i="20"/>
  <c r="AAR17" i="20"/>
  <c r="AAS17" i="20"/>
  <c r="AAT17" i="20"/>
  <c r="AAU17" i="20"/>
  <c r="AAV17" i="20"/>
  <c r="AAW17" i="20"/>
  <c r="AAX17" i="20"/>
  <c r="AAY17" i="20"/>
  <c r="AAZ17" i="20"/>
  <c r="ABA17" i="20"/>
  <c r="ABB17" i="20"/>
  <c r="ABC17" i="20"/>
  <c r="ABD17" i="20"/>
  <c r="ABE17" i="20"/>
  <c r="ABF17" i="20"/>
  <c r="ABG17" i="20"/>
  <c r="ABH17" i="20"/>
  <c r="ABI17" i="20"/>
  <c r="ABJ17" i="20"/>
  <c r="ABK17" i="20"/>
  <c r="ABL17" i="20"/>
  <c r="ABM17" i="20"/>
  <c r="ABN17" i="20"/>
  <c r="ABO17" i="20"/>
  <c r="ABP17" i="20"/>
  <c r="ABQ17" i="20"/>
  <c r="ABR17" i="20"/>
  <c r="ABS17" i="20"/>
  <c r="ABT17" i="20"/>
  <c r="ABU17" i="20"/>
  <c r="ABV17" i="20"/>
  <c r="ABW17" i="20"/>
  <c r="ABX17" i="20"/>
  <c r="ABY17" i="20"/>
  <c r="ABZ17" i="20"/>
  <c r="ACA17" i="20"/>
  <c r="ACB17" i="20"/>
  <c r="ACC17" i="20"/>
  <c r="ACD17" i="20"/>
  <c r="ACE17" i="20"/>
  <c r="ACF17" i="20"/>
  <c r="ACG17" i="20"/>
  <c r="ACH17" i="20"/>
  <c r="ACI17" i="20"/>
  <c r="ACJ17" i="20"/>
  <c r="ACK17" i="20"/>
  <c r="ACL17" i="20"/>
  <c r="ACM17" i="20"/>
  <c r="ACN17" i="20"/>
  <c r="ACO17" i="20"/>
  <c r="ACP17" i="20"/>
  <c r="ACQ17" i="20"/>
  <c r="ACR17" i="20"/>
  <c r="ACS17" i="20"/>
  <c r="ACT17" i="20"/>
  <c r="ACU17" i="20"/>
  <c r="ACV17" i="20"/>
  <c r="ACW17" i="20"/>
  <c r="ACX17" i="20"/>
  <c r="ACY17" i="20"/>
  <c r="ACZ17" i="20"/>
  <c r="ADA17" i="20"/>
  <c r="ADB17" i="20"/>
  <c r="ADC17" i="20"/>
  <c r="ADD17" i="20"/>
  <c r="ADE17" i="20"/>
  <c r="ADF17" i="20"/>
  <c r="ADG17" i="20"/>
  <c r="ADH17" i="20"/>
  <c r="ADI17" i="20"/>
  <c r="ADJ17" i="20"/>
  <c r="ADK17" i="20"/>
  <c r="ADL17" i="20"/>
  <c r="ADM17" i="20"/>
  <c r="ADN17" i="20"/>
  <c r="ADO17" i="20"/>
  <c r="ADP17" i="20"/>
  <c r="ADQ17" i="20"/>
  <c r="ADR17" i="20"/>
  <c r="ADS17" i="20"/>
  <c r="ADT17" i="20"/>
  <c r="ADU17" i="20"/>
  <c r="ADV17" i="20"/>
  <c r="ADW17" i="20"/>
  <c r="ADX17" i="20"/>
  <c r="ADY17" i="20"/>
  <c r="ADZ17" i="20"/>
  <c r="AEA17" i="20"/>
  <c r="AEB17" i="20"/>
  <c r="AEC17" i="20"/>
  <c r="AED17" i="20"/>
  <c r="AEE17" i="20"/>
  <c r="AEF17" i="20"/>
  <c r="AEG17" i="20"/>
  <c r="AEH17" i="20"/>
  <c r="AEI17" i="20"/>
  <c r="AEJ17" i="20"/>
  <c r="AEK17" i="20"/>
  <c r="AEL17" i="20"/>
  <c r="AEM17" i="20"/>
  <c r="AEN17" i="20"/>
  <c r="AEO17" i="20"/>
  <c r="AEP17" i="20"/>
  <c r="AEQ17" i="20"/>
  <c r="AER17" i="20"/>
  <c r="AES17" i="20"/>
  <c r="AET17" i="20"/>
  <c r="AEU17" i="20"/>
  <c r="AEV17" i="20"/>
  <c r="AEW17" i="20"/>
  <c r="AEX17" i="20"/>
  <c r="AEY17" i="20"/>
  <c r="AEZ17" i="20"/>
  <c r="AFA17" i="20"/>
  <c r="AFB17" i="20"/>
  <c r="AFC17" i="20"/>
  <c r="AFD17" i="20"/>
  <c r="AFE17" i="20"/>
  <c r="AFF17" i="20"/>
  <c r="AFG17" i="20"/>
  <c r="AFH17" i="20"/>
  <c r="AFI17" i="20"/>
  <c r="AFJ17" i="20"/>
  <c r="AFK17" i="20"/>
  <c r="AFL17" i="20"/>
  <c r="AFM17" i="20"/>
  <c r="AFN17" i="20"/>
  <c r="AFO17" i="20"/>
  <c r="AFP17" i="20"/>
  <c r="AFQ17" i="20"/>
  <c r="AFR17" i="20"/>
  <c r="AFS17" i="20"/>
  <c r="AFT17" i="20"/>
  <c r="AFU17" i="20"/>
  <c r="AFV17" i="20"/>
  <c r="AFW17" i="20"/>
  <c r="AFX17" i="20"/>
  <c r="AFY17" i="20"/>
  <c r="AFZ17" i="20"/>
  <c r="AGA17" i="20"/>
  <c r="AGB17" i="20"/>
  <c r="AGC17" i="20"/>
  <c r="AGD17" i="20"/>
  <c r="AGE17" i="20"/>
  <c r="AGF17" i="20"/>
  <c r="AGG17" i="20"/>
  <c r="AGH17" i="20"/>
  <c r="AGI17" i="20"/>
  <c r="AGJ17" i="20"/>
  <c r="AGK17" i="20"/>
  <c r="AGL17" i="20"/>
  <c r="AGM17" i="20"/>
  <c r="AGN17" i="20"/>
  <c r="AGO17" i="20"/>
  <c r="AGP17" i="20"/>
  <c r="AGQ17" i="20"/>
  <c r="AGR17" i="20"/>
  <c r="AGS17" i="20"/>
  <c r="AGT17" i="20"/>
  <c r="AGU17" i="20"/>
  <c r="AGV17" i="20"/>
  <c r="AGW17" i="20"/>
  <c r="AGX17" i="20"/>
  <c r="AGY17" i="20"/>
  <c r="AGZ17" i="20"/>
  <c r="AHA17" i="20"/>
  <c r="AHB17" i="20"/>
  <c r="AHC17" i="20"/>
  <c r="AHD17" i="20"/>
  <c r="AHE17" i="20"/>
  <c r="AHF17" i="20"/>
  <c r="AHG17" i="20"/>
  <c r="AHH17" i="20"/>
  <c r="AHI17" i="20"/>
  <c r="AHJ17" i="20"/>
  <c r="AHK17" i="20"/>
  <c r="AHL17" i="20"/>
  <c r="AHM17" i="20"/>
  <c r="AHN17" i="20"/>
  <c r="AHO17" i="20"/>
  <c r="AHP17" i="20"/>
  <c r="AHQ17" i="20"/>
  <c r="AHR17" i="20"/>
  <c r="AHS17" i="20"/>
  <c r="AHT17" i="20"/>
  <c r="AHU17" i="20"/>
  <c r="AHV17" i="20"/>
  <c r="AHW17" i="20"/>
  <c r="AHX17" i="20"/>
  <c r="AHY17" i="20"/>
  <c r="AHZ17" i="20"/>
  <c r="AIA17" i="20"/>
  <c r="AIB17" i="20"/>
  <c r="AIC17" i="20"/>
  <c r="AID17" i="20"/>
  <c r="AIE17" i="20"/>
  <c r="AIF17" i="20"/>
  <c r="AIG17" i="20"/>
  <c r="AIH17" i="20"/>
  <c r="AII17" i="20"/>
  <c r="AIJ17" i="20"/>
  <c r="AIK17" i="20"/>
  <c r="AIL17" i="20"/>
  <c r="AIM17" i="20"/>
  <c r="AIN17" i="20"/>
  <c r="AIO17" i="20"/>
  <c r="AIP17" i="20"/>
  <c r="AIQ17" i="20"/>
  <c r="AIR17" i="20"/>
  <c r="AIS17" i="20"/>
  <c r="AIT17" i="20"/>
  <c r="AIU17" i="20"/>
  <c r="AIV17" i="20"/>
  <c r="AIW17" i="20"/>
  <c r="AIX17" i="20"/>
  <c r="AIY17" i="20"/>
  <c r="AIZ17" i="20"/>
  <c r="AJA17" i="20"/>
  <c r="AJB17" i="20"/>
  <c r="AJC17" i="20"/>
  <c r="AJD17" i="20"/>
  <c r="AJE17" i="20"/>
  <c r="AJF17" i="20"/>
  <c r="AJG17" i="20"/>
  <c r="AJH17" i="20"/>
  <c r="AJI17" i="20"/>
  <c r="AJJ17" i="20"/>
  <c r="AJK17" i="20"/>
  <c r="AJL17" i="20"/>
  <c r="AJM17" i="20"/>
  <c r="AJN17" i="20"/>
  <c r="AJO17" i="20"/>
  <c r="AJP17" i="20"/>
  <c r="AJQ17" i="20"/>
  <c r="AJR17" i="20"/>
  <c r="AJS17" i="20"/>
  <c r="AJT17" i="20"/>
  <c r="AJU17" i="20"/>
  <c r="AJV17" i="20"/>
  <c r="AJW17" i="20"/>
  <c r="AJX17" i="20"/>
  <c r="AJY17" i="20"/>
  <c r="AJZ17" i="20"/>
  <c r="AKA17" i="20"/>
  <c r="AKB17" i="20"/>
  <c r="AKC17" i="20"/>
  <c r="AKD17" i="20"/>
  <c r="AKE17" i="20"/>
  <c r="AKF17" i="20"/>
  <c r="AKG17" i="20"/>
  <c r="AKH17" i="20"/>
  <c r="AKI17" i="20"/>
  <c r="AKJ17" i="20"/>
  <c r="AKK17" i="20"/>
  <c r="AKL17" i="20"/>
  <c r="AKM17" i="20"/>
  <c r="AKN17" i="20"/>
  <c r="AKO17" i="20"/>
  <c r="AKP17" i="20"/>
  <c r="AKQ17" i="20"/>
  <c r="AKR17" i="20"/>
  <c r="AKS17" i="20"/>
  <c r="AKT17" i="20"/>
  <c r="AKU17" i="20"/>
  <c r="AKV17" i="20"/>
  <c r="AKW17" i="20"/>
  <c r="AKX17" i="20"/>
  <c r="AKY17" i="20"/>
  <c r="AKZ17" i="20"/>
  <c r="ALA17" i="20"/>
  <c r="ALB17" i="20"/>
  <c r="ALC17" i="20"/>
  <c r="ALD17" i="20"/>
  <c r="ALE17" i="20"/>
  <c r="ALF17" i="20"/>
  <c r="ALG17" i="20"/>
  <c r="ALH17" i="20"/>
  <c r="ALI17" i="20"/>
  <c r="ALJ17" i="20"/>
  <c r="ALK17" i="20"/>
  <c r="ALL17" i="20"/>
  <c r="ALM17" i="20"/>
  <c r="ALN17" i="20"/>
  <c r="ALO17" i="20"/>
  <c r="ALP17" i="20"/>
  <c r="ALQ17" i="20"/>
  <c r="ALR17" i="20"/>
  <c r="ALS17" i="20"/>
  <c r="ALT17" i="20"/>
  <c r="ALU17" i="20"/>
  <c r="ALV17" i="20"/>
  <c r="ALW17" i="20"/>
  <c r="ALX17" i="20"/>
  <c r="ALY17" i="20"/>
  <c r="ALZ17" i="20"/>
  <c r="AMA17" i="20"/>
  <c r="AMB17" i="20"/>
  <c r="AMC17" i="20"/>
  <c r="AMD17" i="20"/>
  <c r="AME17" i="20"/>
  <c r="AMF17" i="20"/>
  <c r="AMG17" i="20"/>
  <c r="AMH17" i="20"/>
  <c r="AMI17" i="20"/>
  <c r="AMJ17" i="20"/>
  <c r="AMK17" i="20"/>
  <c r="AML17" i="20"/>
  <c r="AMM17" i="20"/>
  <c r="AMN17" i="20"/>
  <c r="AMO17" i="20"/>
  <c r="AMP17" i="20"/>
  <c r="AMQ17" i="20"/>
  <c r="AMR17" i="20"/>
  <c r="AMS17" i="20"/>
  <c r="AMT17" i="20"/>
  <c r="AMU17" i="20"/>
  <c r="AMV17" i="20"/>
  <c r="AMW17" i="20"/>
  <c r="AMX17" i="20"/>
  <c r="AMY17" i="20"/>
  <c r="AMZ17" i="20"/>
  <c r="ANA17" i="20"/>
  <c r="ANB17" i="20"/>
  <c r="ANC17" i="20"/>
  <c r="AND17" i="20"/>
  <c r="ANE17" i="20"/>
  <c r="ANF17" i="20"/>
  <c r="ANG17" i="20"/>
  <c r="ANH17" i="20"/>
  <c r="ANI17" i="20"/>
  <c r="ANJ17" i="20"/>
  <c r="ANK17" i="20"/>
  <c r="ANL17" i="20"/>
  <c r="ANM17" i="20"/>
  <c r="ANN17" i="20"/>
  <c r="ANO17" i="20"/>
  <c r="ANP17" i="20"/>
  <c r="ANQ17" i="20"/>
  <c r="ANR17" i="20"/>
  <c r="ANS17" i="20"/>
  <c r="ANT17" i="20"/>
  <c r="ANU17" i="20"/>
  <c r="ANV17" i="20"/>
  <c r="ANW17" i="20"/>
  <c r="ANX17" i="20"/>
  <c r="ANY17" i="20"/>
  <c r="ANZ17" i="20"/>
  <c r="AOA17" i="20"/>
  <c r="AOB17" i="20"/>
  <c r="AOC17" i="20"/>
  <c r="AOD17" i="20"/>
  <c r="AOE17" i="20"/>
  <c r="AOF17" i="20"/>
  <c r="AOG17" i="20"/>
  <c r="AOH17" i="20"/>
  <c r="AOI17" i="20"/>
  <c r="AOJ17" i="20"/>
  <c r="AOK17" i="20"/>
  <c r="AOL17" i="20"/>
  <c r="AOM17" i="20"/>
  <c r="AON17" i="20"/>
  <c r="AOO17" i="20"/>
  <c r="AOP17" i="20"/>
  <c r="AOQ17" i="20"/>
  <c r="AOR17" i="20"/>
  <c r="AOS17" i="20"/>
  <c r="AOT17" i="20"/>
  <c r="AOU17" i="20"/>
  <c r="AOV17" i="20"/>
  <c r="AOW17" i="20"/>
  <c r="AOX17" i="20"/>
  <c r="AOY17" i="20"/>
  <c r="AOZ17" i="20"/>
  <c r="APA17" i="20"/>
  <c r="APB17" i="20"/>
  <c r="APC17" i="20"/>
  <c r="APD17" i="20"/>
  <c r="APE17" i="20"/>
  <c r="APF17" i="20"/>
  <c r="APG17" i="20"/>
  <c r="APH17" i="20"/>
  <c r="API17" i="20"/>
  <c r="APJ17" i="20"/>
  <c r="APK17" i="20"/>
  <c r="APL17" i="20"/>
  <c r="APM17" i="20"/>
  <c r="APN17" i="20"/>
  <c r="APO17" i="20"/>
  <c r="APP17" i="20"/>
  <c r="APQ17" i="20"/>
  <c r="APR17" i="20"/>
  <c r="APS17" i="20"/>
  <c r="APT17" i="20"/>
  <c r="APU17" i="20"/>
  <c r="APV17" i="20"/>
  <c r="APW17" i="20"/>
  <c r="APX17" i="20"/>
  <c r="APY17" i="20"/>
  <c r="APZ17" i="20"/>
  <c r="AQA17" i="20"/>
  <c r="AQB17" i="20"/>
  <c r="AQC17" i="20"/>
  <c r="AQD17" i="20"/>
  <c r="AQE17" i="20"/>
  <c r="AQF17" i="20"/>
  <c r="AQG17" i="20"/>
  <c r="AQH17" i="20"/>
  <c r="AQI17" i="20"/>
  <c r="AQJ17" i="20"/>
  <c r="AQK17" i="20"/>
  <c r="AQL17" i="20"/>
  <c r="AQM17" i="20"/>
  <c r="AQN17" i="20"/>
  <c r="AQO17" i="20"/>
  <c r="AQP17" i="20"/>
  <c r="AQQ17" i="20"/>
  <c r="AQR17" i="20"/>
  <c r="AQS17" i="20"/>
  <c r="AQT17" i="20"/>
  <c r="AQU17" i="20"/>
  <c r="AQV17" i="20"/>
  <c r="AQW17" i="20"/>
  <c r="AQX17" i="20"/>
  <c r="AQY17" i="20"/>
  <c r="AQZ17" i="20"/>
  <c r="ARA17" i="20"/>
  <c r="ARB17" i="20"/>
  <c r="ARC17" i="20"/>
  <c r="ARD17" i="20"/>
  <c r="ARE17" i="20"/>
  <c r="ARF17" i="20"/>
  <c r="ARG17" i="20"/>
  <c r="ARH17" i="20"/>
  <c r="ARI17" i="20"/>
  <c r="ARJ17" i="20"/>
  <c r="ARK17" i="20"/>
  <c r="ARL17" i="20"/>
  <c r="ARM17" i="20"/>
  <c r="ARN17" i="20"/>
  <c r="ARO17" i="20"/>
  <c r="ARP17" i="20"/>
  <c r="ARQ17" i="20"/>
  <c r="ARR17" i="20"/>
  <c r="ARS17" i="20"/>
  <c r="ART17" i="20"/>
  <c r="ARU17" i="20"/>
  <c r="ARV17" i="20"/>
  <c r="ARW17" i="20"/>
  <c r="ARX17" i="20"/>
  <c r="ARY17" i="20"/>
  <c r="ARZ17" i="20"/>
  <c r="ASA17" i="20"/>
  <c r="ASB17" i="20"/>
  <c r="ASC17" i="20"/>
  <c r="ASD17" i="20"/>
  <c r="ASE17" i="20"/>
  <c r="ASF17" i="20"/>
  <c r="ASG17" i="20"/>
  <c r="ASH17" i="20"/>
  <c r="ASI17" i="20"/>
  <c r="ASJ17" i="20"/>
  <c r="ASK17" i="20"/>
  <c r="ASL17" i="20"/>
  <c r="ASM17" i="20"/>
  <c r="ASN17" i="20"/>
  <c r="ASO17" i="20"/>
  <c r="ASP17" i="20"/>
  <c r="ASQ17" i="20"/>
  <c r="ASR17" i="20"/>
  <c r="ASS17" i="20"/>
  <c r="AST17" i="20"/>
  <c r="ASU17" i="20"/>
  <c r="ASV17" i="20"/>
  <c r="ASW17" i="20"/>
  <c r="ASX17" i="20"/>
  <c r="ASY17" i="20"/>
  <c r="ASZ17" i="20"/>
  <c r="ATA17" i="20"/>
  <c r="ATB17" i="20"/>
  <c r="ATC17" i="20"/>
  <c r="ATD17" i="20"/>
  <c r="ATE17" i="20"/>
  <c r="ATF17" i="20"/>
  <c r="ATG17" i="20"/>
  <c r="ATH17" i="20"/>
  <c r="ATI17" i="20"/>
  <c r="ATJ17" i="20"/>
  <c r="ATK17" i="20"/>
  <c r="ATL17" i="20"/>
  <c r="ATM17" i="20"/>
  <c r="ATN17" i="20"/>
  <c r="ATO17" i="20"/>
  <c r="ATP17" i="20"/>
  <c r="ATQ17" i="20"/>
  <c r="ATR17" i="20"/>
  <c r="ATS17" i="20"/>
  <c r="ATT17" i="20"/>
  <c r="ATU17" i="20"/>
  <c r="ATV17" i="20"/>
  <c r="ATW17" i="20"/>
  <c r="ATX17" i="20"/>
  <c r="ATY17" i="20"/>
  <c r="ATZ17" i="20"/>
  <c r="AUA17" i="20"/>
  <c r="AUB17" i="20"/>
  <c r="AUC17" i="20"/>
  <c r="AUD17" i="20"/>
  <c r="AUE17" i="20"/>
  <c r="AUF17" i="20"/>
  <c r="AUG17" i="20"/>
  <c r="AUH17" i="20"/>
  <c r="AUI17" i="20"/>
  <c r="AUJ17" i="20"/>
  <c r="AUK17" i="20"/>
  <c r="AUL17" i="20"/>
  <c r="AUM17" i="20"/>
  <c r="AUN17" i="20"/>
  <c r="AUO17" i="20"/>
  <c r="AUP17" i="20"/>
  <c r="AUQ17" i="20"/>
  <c r="AUR17" i="20"/>
  <c r="AUS17" i="20"/>
  <c r="AUT17" i="20"/>
  <c r="AUU17" i="20"/>
  <c r="AUV17" i="20"/>
  <c r="AUW17" i="20"/>
  <c r="AUX17" i="20"/>
  <c r="AUY17" i="20"/>
  <c r="AUZ17" i="20"/>
  <c r="AVA17" i="20"/>
  <c r="AVB17" i="20"/>
  <c r="AVC17" i="20"/>
  <c r="AVD17" i="20"/>
  <c r="AVE17" i="20"/>
  <c r="AVF17" i="20"/>
  <c r="AVG17" i="20"/>
  <c r="AVH17" i="20"/>
  <c r="AVI17" i="20"/>
  <c r="AVJ17" i="20"/>
  <c r="AVK17" i="20"/>
  <c r="AVL17" i="20"/>
  <c r="AVM17" i="20"/>
  <c r="AVN17" i="20"/>
  <c r="AVO17" i="20"/>
  <c r="AVP17" i="20"/>
  <c r="AVQ17" i="20"/>
  <c r="AVR17" i="20"/>
  <c r="AVS17" i="20"/>
  <c r="AVT17" i="20"/>
  <c r="AVU17" i="20"/>
  <c r="AVV17" i="20"/>
  <c r="AVW17" i="20"/>
  <c r="AVX17" i="20"/>
  <c r="AVY17" i="20"/>
  <c r="AVZ17" i="20"/>
  <c r="AWA17" i="20"/>
  <c r="AWB17" i="20"/>
  <c r="AWC17" i="20"/>
  <c r="AWD17" i="20"/>
  <c r="AWE17" i="20"/>
  <c r="AWF17" i="20"/>
  <c r="AWG17" i="20"/>
  <c r="AWH17" i="20"/>
  <c r="AWI17" i="20"/>
  <c r="AWJ17" i="20"/>
  <c r="AWK17" i="20"/>
  <c r="AWL17" i="20"/>
  <c r="AWM17" i="20"/>
  <c r="AWN17" i="20"/>
  <c r="AWO17" i="20"/>
  <c r="AWP17" i="20"/>
  <c r="AWQ17" i="20"/>
  <c r="AWR17" i="20"/>
  <c r="AWS17" i="20"/>
  <c r="AWT17" i="20"/>
  <c r="AWU17" i="20"/>
  <c r="AWV17" i="20"/>
  <c r="AWW17" i="20"/>
  <c r="AWX17" i="20"/>
  <c r="AWY17" i="20"/>
  <c r="AWZ17" i="20"/>
  <c r="AXA17" i="20"/>
  <c r="AXB17" i="20"/>
  <c r="AXC17" i="20"/>
  <c r="AXD17" i="20"/>
  <c r="AXE17" i="20"/>
  <c r="AXF17" i="20"/>
  <c r="AXG17" i="20"/>
  <c r="AXH17" i="20"/>
  <c r="AXI17" i="20"/>
  <c r="AXJ17" i="20"/>
  <c r="AXK17" i="20"/>
  <c r="AXL17" i="20"/>
  <c r="AXM17" i="20"/>
  <c r="AXN17" i="20"/>
  <c r="AXO17" i="20"/>
  <c r="AXP17" i="20"/>
  <c r="AXQ17" i="20"/>
  <c r="AXR17" i="20"/>
  <c r="AXS17" i="20"/>
  <c r="AXT17" i="20"/>
  <c r="AXU17" i="20"/>
  <c r="AXV17" i="20"/>
  <c r="AXW17" i="20"/>
  <c r="AXX17" i="20"/>
  <c r="AXY17" i="20"/>
  <c r="AXZ17" i="20"/>
  <c r="AYA17" i="20"/>
  <c r="AYB17" i="20"/>
  <c r="AYC17" i="20"/>
  <c r="AYD17" i="20"/>
  <c r="AYE17" i="20"/>
  <c r="AYF17" i="20"/>
  <c r="AYG17" i="20"/>
  <c r="AYH17" i="20"/>
  <c r="AYI17" i="20"/>
  <c r="AYJ17" i="20"/>
  <c r="AYK17" i="20"/>
  <c r="AYL17" i="20"/>
  <c r="AYM17" i="20"/>
  <c r="AYN17" i="20"/>
  <c r="AYO17" i="20"/>
  <c r="AYP17" i="20"/>
  <c r="AYQ17" i="20"/>
  <c r="AYR17" i="20"/>
  <c r="AYS17" i="20"/>
  <c r="AYT17" i="20"/>
  <c r="AYU17" i="20"/>
  <c r="AYV17" i="20"/>
  <c r="AYW17" i="20"/>
  <c r="AYX17" i="20"/>
  <c r="AYY17" i="20"/>
  <c r="AYZ17" i="20"/>
  <c r="AZA17" i="20"/>
  <c r="AZB17" i="20"/>
  <c r="AZC17" i="20"/>
  <c r="AZD17" i="20"/>
  <c r="AZE17" i="20"/>
  <c r="AZF17" i="20"/>
  <c r="AZG17" i="20"/>
  <c r="AZH17" i="20"/>
  <c r="AZI17" i="20"/>
  <c r="AZJ17" i="20"/>
  <c r="AZK17" i="20"/>
  <c r="AZL17" i="20"/>
  <c r="AZM17" i="20"/>
  <c r="AZN17" i="20"/>
  <c r="AZO17" i="20"/>
  <c r="AZP17" i="20"/>
  <c r="AZQ17" i="20"/>
  <c r="AZR17" i="20"/>
  <c r="AZS17" i="20"/>
  <c r="AZT17" i="20"/>
  <c r="AZU17" i="20"/>
  <c r="AZV17" i="20"/>
  <c r="AZW17" i="20"/>
  <c r="AZX17" i="20"/>
  <c r="AZY17" i="20"/>
  <c r="AZZ17" i="20"/>
  <c r="BAA17" i="20"/>
  <c r="BAB17" i="20"/>
  <c r="BAC17" i="20"/>
  <c r="BAD17" i="20"/>
  <c r="BAE17" i="20"/>
  <c r="BAF17" i="20"/>
  <c r="BAG17" i="20"/>
  <c r="BAH17" i="20"/>
  <c r="BAI17" i="20"/>
  <c r="BAJ17" i="20"/>
  <c r="BAK17" i="20"/>
  <c r="BAL17" i="20"/>
  <c r="BAM17" i="20"/>
  <c r="BAN17" i="20"/>
  <c r="BAO17" i="20"/>
  <c r="BAP17" i="20"/>
  <c r="BAQ17" i="20"/>
  <c r="BAR17" i="20"/>
  <c r="BAS17" i="20"/>
  <c r="BAT17" i="20"/>
  <c r="BAU17" i="20"/>
  <c r="BAV17" i="20"/>
  <c r="BAW17" i="20"/>
  <c r="BAX17" i="20"/>
  <c r="BAY17" i="20"/>
  <c r="BAZ17" i="20"/>
  <c r="BBA17" i="20"/>
  <c r="BBB17" i="20"/>
  <c r="BBC17" i="20"/>
  <c r="BBD17" i="20"/>
  <c r="BBE17" i="20"/>
  <c r="BBF17" i="20"/>
  <c r="BBG17" i="20"/>
  <c r="BBH17" i="20"/>
  <c r="BBI17" i="20"/>
  <c r="BBJ17" i="20"/>
  <c r="BBK17" i="20"/>
  <c r="BBL17" i="20"/>
  <c r="BBM17" i="20"/>
  <c r="BBN17" i="20"/>
  <c r="BBO17" i="20"/>
  <c r="BBP17" i="20"/>
  <c r="BBQ17" i="20"/>
  <c r="BBR17" i="20"/>
  <c r="BBS17" i="20"/>
  <c r="BBT17" i="20"/>
  <c r="BBU17" i="20"/>
  <c r="BBV17" i="20"/>
  <c r="BBW17" i="20"/>
  <c r="BBX17" i="20"/>
  <c r="BBY17" i="20"/>
  <c r="BBZ17" i="20"/>
  <c r="BCA17" i="20"/>
  <c r="BCB17" i="20"/>
  <c r="BCC17" i="20"/>
  <c r="BCD17" i="20"/>
  <c r="BCE17" i="20"/>
  <c r="BCF17" i="20"/>
  <c r="BCG17" i="20"/>
  <c r="BCH17" i="20"/>
  <c r="BCI17" i="20"/>
  <c r="BCJ17" i="20"/>
  <c r="BCK17" i="20"/>
  <c r="BCL17" i="20"/>
  <c r="BCM17" i="20"/>
  <c r="BCN17" i="20"/>
  <c r="BCO17" i="20"/>
  <c r="BCP17" i="20"/>
  <c r="BCQ17" i="20"/>
  <c r="BCR17" i="20"/>
  <c r="BCS17" i="20"/>
  <c r="BCT17" i="20"/>
  <c r="BCU17" i="20"/>
  <c r="BCV17" i="20"/>
  <c r="BCW17" i="20"/>
  <c r="BCX17" i="20"/>
  <c r="BCY17" i="20"/>
  <c r="BCZ17" i="20"/>
  <c r="BDA17" i="20"/>
  <c r="BDB17" i="20"/>
  <c r="BDC17" i="20"/>
  <c r="BDD17" i="20"/>
  <c r="BDE17" i="20"/>
  <c r="BDF17" i="20"/>
  <c r="BDG17" i="20"/>
  <c r="BDH17" i="20"/>
  <c r="BDI17" i="20"/>
  <c r="BDJ17" i="20"/>
  <c r="BDK17" i="20"/>
  <c r="BDL17" i="20"/>
  <c r="BDM17" i="20"/>
  <c r="BDN17" i="20"/>
  <c r="BDO17" i="20"/>
  <c r="BDP17" i="20"/>
  <c r="BDQ17" i="20"/>
  <c r="BDR17" i="20"/>
  <c r="BDS17" i="20"/>
  <c r="BDT17" i="20"/>
  <c r="BDU17" i="20"/>
  <c r="BDV17" i="20"/>
  <c r="BDW17" i="20"/>
  <c r="BDX17" i="20"/>
  <c r="BDY17" i="20"/>
  <c r="BDZ17" i="20"/>
  <c r="BEA17" i="20"/>
  <c r="BEB17" i="20"/>
  <c r="BEC17" i="20"/>
  <c r="BED17" i="20"/>
  <c r="BEE17" i="20"/>
  <c r="BEF17" i="20"/>
  <c r="BEG17" i="20"/>
  <c r="BEH17" i="20"/>
  <c r="BEI17" i="20"/>
  <c r="BEJ17" i="20"/>
  <c r="BEK17" i="20"/>
  <c r="BEL17" i="20"/>
  <c r="BEM17" i="20"/>
  <c r="BEN17" i="20"/>
  <c r="BEO17" i="20"/>
  <c r="BEP17" i="20"/>
  <c r="BEQ17" i="20"/>
  <c r="BER17" i="20"/>
  <c r="BES17" i="20"/>
  <c r="BET17" i="20"/>
  <c r="BEU17" i="20"/>
  <c r="BEV17" i="20"/>
  <c r="BEW17" i="20"/>
  <c r="BEX17" i="20"/>
  <c r="BEY17" i="20"/>
  <c r="BEZ17" i="20"/>
  <c r="BFA17" i="20"/>
  <c r="BFB17" i="20"/>
  <c r="BFC17" i="20"/>
  <c r="BFD17" i="20"/>
  <c r="BFE17" i="20"/>
  <c r="BFF17" i="20"/>
  <c r="BFG17" i="20"/>
  <c r="BFH17" i="20"/>
  <c r="BFI17" i="20"/>
  <c r="BFJ17" i="20"/>
  <c r="BFK17" i="20"/>
  <c r="BFL17" i="20"/>
  <c r="BFM17" i="20"/>
  <c r="BFN17" i="20"/>
  <c r="BFO17" i="20"/>
  <c r="BFP17" i="20"/>
  <c r="BFQ17" i="20"/>
  <c r="BFR17" i="20"/>
  <c r="BFS17" i="20"/>
  <c r="BFT17" i="20"/>
  <c r="BFU17" i="20"/>
  <c r="BFV17" i="20"/>
  <c r="BFW17" i="20"/>
  <c r="BFX17" i="20"/>
  <c r="BFY17" i="20"/>
  <c r="BFZ17" i="20"/>
  <c r="BGA17" i="20"/>
  <c r="BGB17" i="20"/>
  <c r="BGC17" i="20"/>
  <c r="BGD17" i="20"/>
  <c r="BGE17" i="20"/>
  <c r="BGF17" i="20"/>
  <c r="BGG17" i="20"/>
  <c r="BGH17" i="20"/>
  <c r="BGI17" i="20"/>
  <c r="BGJ17" i="20"/>
  <c r="BGK17" i="20"/>
  <c r="BGL17" i="20"/>
  <c r="BGM17" i="20"/>
  <c r="BGN17" i="20"/>
  <c r="BGO17" i="20"/>
  <c r="BGP17" i="20"/>
  <c r="BGQ17" i="20"/>
  <c r="BGR17" i="20"/>
  <c r="BGS17" i="20"/>
  <c r="BGT17" i="20"/>
  <c r="BGU17" i="20"/>
  <c r="BGV17" i="20"/>
  <c r="BGW17" i="20"/>
  <c r="BGX17" i="20"/>
  <c r="BGY17" i="20"/>
  <c r="BGZ17" i="20"/>
  <c r="BHA17" i="20"/>
  <c r="BHB17" i="20"/>
  <c r="BHC17" i="20"/>
  <c r="BHD17" i="20"/>
  <c r="BHE17" i="20"/>
  <c r="BHF17" i="20"/>
  <c r="BHG17" i="20"/>
  <c r="BHH17" i="20"/>
  <c r="BHI17" i="20"/>
  <c r="BHJ17" i="20"/>
  <c r="BHK17" i="20"/>
  <c r="BHL17" i="20"/>
  <c r="BHM17" i="20"/>
  <c r="BHN17" i="20"/>
  <c r="BHO17" i="20"/>
  <c r="BHP17" i="20"/>
  <c r="BHQ17" i="20"/>
  <c r="BHR17" i="20"/>
  <c r="BHS17" i="20"/>
  <c r="BHT17" i="20"/>
  <c r="BHU17" i="20"/>
  <c r="BHV17" i="20"/>
  <c r="BHW17" i="20"/>
  <c r="BHX17" i="20"/>
  <c r="BHY17" i="20"/>
  <c r="BHZ17" i="20"/>
  <c r="BIA17" i="20"/>
  <c r="BIB17" i="20"/>
  <c r="BIC17" i="20"/>
  <c r="BID17" i="20"/>
  <c r="BIE17" i="20"/>
  <c r="BIF17" i="20"/>
  <c r="BIG17" i="20"/>
  <c r="BIH17" i="20"/>
  <c r="BII17" i="20"/>
  <c r="BIJ17" i="20"/>
  <c r="BIK17" i="20"/>
  <c r="BIL17" i="20"/>
  <c r="BIM17" i="20"/>
  <c r="BIN17" i="20"/>
  <c r="BIO17" i="20"/>
  <c r="BIP17" i="20"/>
  <c r="BIQ17" i="20"/>
  <c r="BIR17" i="20"/>
  <c r="BIS17" i="20"/>
  <c r="BIT17" i="20"/>
  <c r="BIU17" i="20"/>
  <c r="BIV17" i="20"/>
  <c r="BIW17" i="20"/>
  <c r="BIX17" i="20"/>
  <c r="BIY17" i="20"/>
  <c r="BIZ17" i="20"/>
  <c r="BJA17" i="20"/>
  <c r="BJB17" i="20"/>
  <c r="BJC17" i="20"/>
  <c r="BJD17" i="20"/>
  <c r="BJE17" i="20"/>
  <c r="BJF17" i="20"/>
  <c r="BJG17" i="20"/>
  <c r="BJH17" i="20"/>
  <c r="BJI17" i="20"/>
  <c r="BJJ17" i="20"/>
  <c r="BJK17" i="20"/>
  <c r="BJL17" i="20"/>
  <c r="BJM17" i="20"/>
  <c r="BJN17" i="20"/>
  <c r="BJO17" i="20"/>
  <c r="BJP17" i="20"/>
  <c r="BJQ17" i="20"/>
  <c r="BJR17" i="20"/>
  <c r="BJS17" i="20"/>
  <c r="BJT17" i="20"/>
  <c r="BJU17" i="20"/>
  <c r="BJV17" i="20"/>
  <c r="BJW17" i="20"/>
  <c r="BJX17" i="20"/>
  <c r="BJY17" i="20"/>
  <c r="BJZ17" i="20"/>
  <c r="BKA17" i="20"/>
  <c r="BKB17" i="20"/>
  <c r="BKC17" i="20"/>
  <c r="BKD17" i="20"/>
  <c r="BKE17" i="20"/>
  <c r="BKF17" i="20"/>
  <c r="BKG17" i="20"/>
  <c r="BKH17" i="20"/>
  <c r="BKI17" i="20"/>
  <c r="BKJ17" i="20"/>
  <c r="BKK17" i="20"/>
  <c r="BKL17" i="20"/>
  <c r="BKM17" i="20"/>
  <c r="BKN17" i="20"/>
  <c r="BKO17" i="20"/>
  <c r="BKP17" i="20"/>
  <c r="BKQ17" i="20"/>
  <c r="BKR17" i="20"/>
  <c r="BKS17" i="20"/>
  <c r="BKT17" i="20"/>
  <c r="BKU17" i="20"/>
  <c r="BKV17" i="20"/>
  <c r="BKW17" i="20"/>
  <c r="BKX17" i="20"/>
  <c r="BKY17" i="20"/>
  <c r="BKZ17" i="20"/>
  <c r="BLA17" i="20"/>
  <c r="BLB17" i="20"/>
  <c r="BLC17" i="20"/>
  <c r="BLD17" i="20"/>
  <c r="BLE17" i="20"/>
  <c r="BLF17" i="20"/>
  <c r="BLG17" i="20"/>
  <c r="BLH17" i="20"/>
  <c r="BLI17" i="20"/>
  <c r="BLJ17" i="20"/>
  <c r="BLK17" i="20"/>
  <c r="BLL17" i="20"/>
  <c r="BLM17" i="20"/>
  <c r="BLN17" i="20"/>
  <c r="BLO17" i="20"/>
  <c r="BLP17" i="20"/>
  <c r="BLQ17" i="20"/>
  <c r="BLR17" i="20"/>
  <c r="BLS17" i="20"/>
  <c r="BLT17" i="20"/>
  <c r="BLU17" i="20"/>
  <c r="BLV17" i="20"/>
  <c r="BLW17" i="20"/>
  <c r="BLX17" i="20"/>
  <c r="BLY17" i="20"/>
  <c r="BLZ17" i="20"/>
  <c r="BMA17" i="20"/>
  <c r="BMB17" i="20"/>
  <c r="BMC17" i="20"/>
  <c r="BMD17" i="20"/>
  <c r="BME17" i="20"/>
  <c r="BMF17" i="20"/>
  <c r="BMG17" i="20"/>
  <c r="BMH17" i="20"/>
  <c r="BMI17" i="20"/>
  <c r="BMJ17" i="20"/>
  <c r="BMK17" i="20"/>
  <c r="BML17" i="20"/>
  <c r="BMM17" i="20"/>
  <c r="BMN17" i="20"/>
  <c r="BMO17" i="20"/>
  <c r="BMP17" i="20"/>
  <c r="BMQ17" i="20"/>
  <c r="BMR17" i="20"/>
  <c r="BMS17" i="20"/>
  <c r="BMT17" i="20"/>
  <c r="BMU17" i="20"/>
  <c r="BMV17" i="20"/>
  <c r="BMW17" i="20"/>
  <c r="BMX17" i="20"/>
  <c r="BMY17" i="20"/>
  <c r="BMZ17" i="20"/>
  <c r="BNA17" i="20"/>
  <c r="BNB17" i="20"/>
  <c r="BNC17" i="20"/>
  <c r="BND17" i="20"/>
  <c r="BNE17" i="20"/>
  <c r="BNF17" i="20"/>
  <c r="BNG17" i="20"/>
  <c r="BNH17" i="20"/>
  <c r="BNI17" i="20"/>
  <c r="BNJ17" i="20"/>
  <c r="BNK17" i="20"/>
  <c r="BNL17" i="20"/>
  <c r="BNM17" i="20"/>
  <c r="BNN17" i="20"/>
  <c r="BNO17" i="20"/>
  <c r="BNP17" i="20"/>
  <c r="BNQ17" i="20"/>
  <c r="BNR17" i="20"/>
  <c r="BNS17" i="20"/>
  <c r="BNT17" i="20"/>
  <c r="BNU17" i="20"/>
  <c r="BNV17" i="20"/>
  <c r="BNW17" i="20"/>
  <c r="BNX17" i="20"/>
  <c r="BNY17" i="20"/>
  <c r="BNZ17" i="20"/>
  <c r="BOA17" i="20"/>
  <c r="BOB17" i="20"/>
  <c r="BOC17" i="20"/>
  <c r="BOD17" i="20"/>
  <c r="BOE17" i="20"/>
  <c r="BOF17" i="20"/>
  <c r="BOG17" i="20"/>
  <c r="BOH17" i="20"/>
  <c r="BOI17" i="20"/>
  <c r="BOJ17" i="20"/>
  <c r="BOK17" i="20"/>
  <c r="BOL17" i="20"/>
  <c r="BOM17" i="20"/>
  <c r="BON17" i="20"/>
  <c r="BOO17" i="20"/>
  <c r="BOP17" i="20"/>
  <c r="BOQ17" i="20"/>
  <c r="BOR17" i="20"/>
  <c r="BOS17" i="20"/>
  <c r="BOT17" i="20"/>
  <c r="BOU17" i="20"/>
  <c r="BOV17" i="20"/>
  <c r="BOW17" i="20"/>
  <c r="BOX17" i="20"/>
  <c r="BOY17" i="20"/>
  <c r="BOZ17" i="20"/>
  <c r="BPA17" i="20"/>
  <c r="BPB17" i="20"/>
  <c r="BPC17" i="20"/>
  <c r="BPD17" i="20"/>
  <c r="BPE17" i="20"/>
  <c r="BPF17" i="20"/>
  <c r="BPG17" i="20"/>
  <c r="BPH17" i="20"/>
  <c r="BPI17" i="20"/>
  <c r="BPJ17" i="20"/>
  <c r="BPK17" i="20"/>
  <c r="BPL17" i="20"/>
  <c r="BPM17" i="20"/>
  <c r="BPN17" i="20"/>
  <c r="BPO17" i="20"/>
  <c r="BPP17" i="20"/>
  <c r="BPQ17" i="20"/>
  <c r="BPR17" i="20"/>
  <c r="BPS17" i="20"/>
  <c r="BPT17" i="20"/>
  <c r="BPU17" i="20"/>
  <c r="BPV17" i="20"/>
  <c r="BPW17" i="20"/>
  <c r="BPX17" i="20"/>
  <c r="BPY17" i="20"/>
  <c r="BPZ17" i="20"/>
  <c r="BQA17" i="20"/>
  <c r="BQB17" i="20"/>
  <c r="BQC17" i="20"/>
  <c r="BQD17" i="20"/>
  <c r="BQE17" i="20"/>
  <c r="BQF17" i="20"/>
  <c r="BQG17" i="20"/>
  <c r="BQH17" i="20"/>
  <c r="BQI17" i="20"/>
  <c r="BQJ17" i="20"/>
  <c r="BQK17" i="20"/>
  <c r="BQL17" i="20"/>
  <c r="BQM17" i="20"/>
  <c r="BQN17" i="20"/>
  <c r="BQO17" i="20"/>
  <c r="BQP17" i="20"/>
  <c r="BQQ17" i="20"/>
  <c r="BQR17" i="20"/>
  <c r="BQS17" i="20"/>
  <c r="BQT17" i="20"/>
  <c r="BQU17" i="20"/>
  <c r="BQV17" i="20"/>
  <c r="BQW17" i="20"/>
  <c r="BQX17" i="20"/>
  <c r="BQY17" i="20"/>
  <c r="BQZ17" i="20"/>
  <c r="BRA17" i="20"/>
  <c r="BRB17" i="20"/>
  <c r="BRC17" i="20"/>
  <c r="BRD17" i="20"/>
  <c r="BRE17" i="20"/>
  <c r="BRF17" i="20"/>
  <c r="BRG17" i="20"/>
  <c r="BRH17" i="20"/>
  <c r="BRI17" i="20"/>
  <c r="BRJ17" i="20"/>
  <c r="BRK17" i="20"/>
  <c r="BRL17" i="20"/>
  <c r="BRM17" i="20"/>
  <c r="BRN17" i="20"/>
  <c r="BRO17" i="20"/>
  <c r="BRP17" i="20"/>
  <c r="BRQ17" i="20"/>
  <c r="BRR17" i="20"/>
  <c r="BRS17" i="20"/>
  <c r="BRT17" i="20"/>
  <c r="BRU17" i="20"/>
  <c r="BRV17" i="20"/>
  <c r="BRW17" i="20"/>
  <c r="BRX17" i="20"/>
  <c r="BRY17" i="20"/>
  <c r="BRZ17" i="20"/>
  <c r="BSA17" i="20"/>
  <c r="BSB17" i="20"/>
  <c r="BSC17" i="20"/>
  <c r="BSD17" i="20"/>
  <c r="BSE17" i="20"/>
  <c r="BSF17" i="20"/>
  <c r="BSG17" i="20"/>
  <c r="BSH17" i="20"/>
  <c r="BSI17" i="20"/>
  <c r="BSJ17" i="20"/>
  <c r="BSK17" i="20"/>
  <c r="BSL17" i="20"/>
  <c r="BSM17" i="20"/>
  <c r="BSN17" i="20"/>
  <c r="BSO17" i="20"/>
  <c r="BSP17" i="20"/>
  <c r="BSQ17" i="20"/>
  <c r="BSR17" i="20"/>
  <c r="BSS17" i="20"/>
  <c r="BST17" i="20"/>
  <c r="BSU17" i="20"/>
  <c r="BSV17" i="20"/>
  <c r="BSW17" i="20"/>
  <c r="BSX17" i="20"/>
  <c r="BSY17" i="20"/>
  <c r="BSZ17" i="20"/>
  <c r="BTA17" i="20"/>
  <c r="BTB17" i="20"/>
  <c r="BTC17" i="20"/>
  <c r="BTD17" i="20"/>
  <c r="BTE17" i="20"/>
  <c r="BTF17" i="20"/>
  <c r="BTG17" i="20"/>
  <c r="BTH17" i="20"/>
  <c r="BTI17" i="20"/>
  <c r="BTJ17" i="20"/>
  <c r="BTK17" i="20"/>
  <c r="BTL17" i="20"/>
  <c r="BTM17" i="20"/>
  <c r="BTN17" i="20"/>
  <c r="BTO17" i="20"/>
  <c r="BTP17" i="20"/>
  <c r="BTQ17" i="20"/>
  <c r="BTR17" i="20"/>
  <c r="BTS17" i="20"/>
  <c r="BTT17" i="20"/>
  <c r="BTU17" i="20"/>
  <c r="BTV17" i="20"/>
  <c r="BTW17" i="20"/>
  <c r="BTX17" i="20"/>
  <c r="BTY17" i="20"/>
  <c r="BTZ17" i="20"/>
  <c r="BUA17" i="20"/>
  <c r="BUB17" i="20"/>
  <c r="BUC17" i="20"/>
  <c r="BUD17" i="20"/>
  <c r="BUE17" i="20"/>
  <c r="BUF17" i="20"/>
  <c r="BUG17" i="20"/>
  <c r="BUH17" i="20"/>
  <c r="BUI17" i="20"/>
  <c r="BUJ17" i="20"/>
  <c r="BUK17" i="20"/>
  <c r="BUL17" i="20"/>
  <c r="BUM17" i="20"/>
  <c r="BUN17" i="20"/>
  <c r="BUO17" i="20"/>
  <c r="BUP17" i="20"/>
  <c r="BUQ17" i="20"/>
  <c r="BUR17" i="20"/>
  <c r="BUS17" i="20"/>
  <c r="BUT17" i="20"/>
  <c r="BUU17" i="20"/>
  <c r="BUV17" i="20"/>
  <c r="BUW17" i="20"/>
  <c r="BUX17" i="20"/>
  <c r="BUY17" i="20"/>
  <c r="BUZ17" i="20"/>
  <c r="BVA17" i="20"/>
  <c r="BVB17" i="20"/>
  <c r="BVC17" i="20"/>
  <c r="BVD17" i="20"/>
  <c r="BVE17" i="20"/>
  <c r="BVF17" i="20"/>
  <c r="BVG17" i="20"/>
  <c r="BVH17" i="20"/>
  <c r="BVI17" i="20"/>
  <c r="BVJ17" i="20"/>
  <c r="BVK17" i="20"/>
  <c r="BVL17" i="20"/>
  <c r="BVM17" i="20"/>
  <c r="BVN17" i="20"/>
  <c r="BVO17" i="20"/>
  <c r="BVP17" i="20"/>
  <c r="BVQ17" i="20"/>
  <c r="BVR17" i="20"/>
  <c r="BVS17" i="20"/>
  <c r="BVT17" i="20"/>
  <c r="BVU17" i="20"/>
  <c r="BVV17" i="20"/>
  <c r="BVW17" i="20"/>
  <c r="BVX17" i="20"/>
  <c r="BVY17" i="20"/>
  <c r="BVZ17" i="20"/>
  <c r="BWA17" i="20"/>
  <c r="BWB17" i="20"/>
  <c r="BWC17" i="20"/>
  <c r="BWD17" i="20"/>
  <c r="BWE17" i="20"/>
  <c r="BWF17" i="20"/>
  <c r="BWG17" i="20"/>
  <c r="BWH17" i="20"/>
  <c r="BWI17" i="20"/>
  <c r="BWJ17" i="20"/>
  <c r="BWK17" i="20"/>
  <c r="BWL17" i="20"/>
  <c r="BWM17" i="20"/>
  <c r="BWN17" i="20"/>
  <c r="BWO17" i="20"/>
  <c r="BWP17" i="20"/>
  <c r="BWQ17" i="20"/>
  <c r="BWR17" i="20"/>
  <c r="BWS17" i="20"/>
  <c r="BWT17" i="20"/>
  <c r="BWU17" i="20"/>
  <c r="BWV17" i="20"/>
  <c r="BWW17" i="20"/>
  <c r="BWX17" i="20"/>
  <c r="BWY17" i="20"/>
  <c r="BWZ17" i="20"/>
  <c r="BXA17" i="20"/>
  <c r="BXB17" i="20"/>
  <c r="BXC17" i="20"/>
  <c r="BXD17" i="20"/>
  <c r="BXE17" i="20"/>
  <c r="BXF17" i="20"/>
  <c r="BXG17" i="20"/>
  <c r="BXH17" i="20"/>
  <c r="BXI17" i="20"/>
  <c r="BXJ17" i="20"/>
  <c r="BXK17" i="20"/>
  <c r="BXL17" i="20"/>
  <c r="BXM17" i="20"/>
  <c r="BXN17" i="20"/>
  <c r="BXO17" i="20"/>
  <c r="BXP17" i="20"/>
  <c r="BXQ17" i="20"/>
  <c r="BXR17" i="20"/>
  <c r="BXS17" i="20"/>
  <c r="BXT17" i="20"/>
  <c r="BXU17" i="20"/>
  <c r="BXV17" i="20"/>
  <c r="BXW17" i="20"/>
  <c r="BXX17" i="20"/>
  <c r="BXY17" i="20"/>
  <c r="BXZ17" i="20"/>
  <c r="BYA17" i="20"/>
  <c r="BYB17" i="20"/>
  <c r="BYC17" i="20"/>
  <c r="BYD17" i="20"/>
  <c r="BYE17" i="20"/>
  <c r="BYF17" i="20"/>
  <c r="BYG17" i="20"/>
  <c r="BYH17" i="20"/>
  <c r="BYI17" i="20"/>
  <c r="BYJ17" i="20"/>
  <c r="BYK17" i="20"/>
  <c r="BYL17" i="20"/>
  <c r="BYM17" i="20"/>
  <c r="BYN17" i="20"/>
  <c r="BYO17" i="20"/>
  <c r="BYP17" i="20"/>
  <c r="BYQ17" i="20"/>
  <c r="BYR17" i="20"/>
  <c r="BYS17" i="20"/>
  <c r="BYT17" i="20"/>
  <c r="BYU17" i="20"/>
  <c r="BYV17" i="20"/>
  <c r="BYW17" i="20"/>
  <c r="BYX17" i="20"/>
  <c r="BYY17" i="20"/>
  <c r="BYZ17" i="20"/>
  <c r="BZA17" i="20"/>
  <c r="BZB17" i="20"/>
  <c r="BZC17" i="20"/>
  <c r="BZD17" i="20"/>
  <c r="BZE17" i="20"/>
  <c r="BZF17" i="20"/>
  <c r="BZG17" i="20"/>
  <c r="BZH17" i="20"/>
  <c r="BZI17" i="20"/>
  <c r="BZJ17" i="20"/>
  <c r="BZK17" i="20"/>
  <c r="BZL17" i="20"/>
  <c r="BZM17" i="20"/>
  <c r="BZN17" i="20"/>
  <c r="BZO17" i="20"/>
  <c r="BZP17" i="20"/>
  <c r="BZQ17" i="20"/>
  <c r="BZR17" i="20"/>
  <c r="BZS17" i="20"/>
  <c r="BZT17" i="20"/>
  <c r="BZU17" i="20"/>
  <c r="BZV17" i="20"/>
  <c r="BZW17" i="20"/>
  <c r="BZX17" i="20"/>
  <c r="BZY17" i="20"/>
  <c r="BZZ17" i="20"/>
  <c r="CAA17" i="20"/>
  <c r="CAB17" i="20"/>
  <c r="CAC17" i="20"/>
  <c r="CAD17" i="20"/>
  <c r="CAE17" i="20"/>
  <c r="CAF17" i="20"/>
  <c r="CAG17" i="20"/>
  <c r="CAH17" i="20"/>
  <c r="CAI17" i="20"/>
  <c r="CAJ17" i="20"/>
  <c r="CAK17" i="20"/>
  <c r="CAL17" i="20"/>
  <c r="CAM17" i="20"/>
  <c r="CAN17" i="20"/>
  <c r="CAO17" i="20"/>
  <c r="CAP17" i="20"/>
  <c r="CAQ17" i="20"/>
  <c r="CAR17" i="20"/>
  <c r="CAS17" i="20"/>
  <c r="CAT17" i="20"/>
  <c r="CAU17" i="20"/>
  <c r="CAV17" i="20"/>
  <c r="CAW17" i="20"/>
  <c r="CAX17" i="20"/>
  <c r="CAY17" i="20"/>
  <c r="CAZ17" i="20"/>
  <c r="CBA17" i="20"/>
  <c r="CBB17" i="20"/>
  <c r="CBC17" i="20"/>
  <c r="CBD17" i="20"/>
  <c r="CBE17" i="20"/>
  <c r="CBF17" i="20"/>
  <c r="CBG17" i="20"/>
  <c r="CBH17" i="20"/>
  <c r="CBI17" i="20"/>
  <c r="CBJ17" i="20"/>
  <c r="CBK17" i="20"/>
  <c r="CBL17" i="20"/>
  <c r="CBM17" i="20"/>
  <c r="CBN17" i="20"/>
  <c r="CBO17" i="20"/>
  <c r="CBP17" i="20"/>
  <c r="CBQ17" i="20"/>
  <c r="CBR17" i="20"/>
  <c r="CBS17" i="20"/>
  <c r="CBT17" i="20"/>
  <c r="CBU17" i="20"/>
  <c r="CBV17" i="20"/>
  <c r="CBW17" i="20"/>
  <c r="CBX17" i="20"/>
  <c r="CBY17" i="20"/>
  <c r="CBZ17" i="20"/>
  <c r="CCA17" i="20"/>
  <c r="CCB17" i="20"/>
  <c r="CCC17" i="20"/>
  <c r="CCD17" i="20"/>
  <c r="CCE17" i="20"/>
  <c r="CCF17" i="20"/>
  <c r="CCG17" i="20"/>
  <c r="CCH17" i="20"/>
  <c r="CCI17" i="20"/>
  <c r="CCJ17" i="20"/>
  <c r="CCK17" i="20"/>
  <c r="CCL17" i="20"/>
  <c r="CCM17" i="20"/>
  <c r="CCN17" i="20"/>
  <c r="CCO17" i="20"/>
  <c r="CCP17" i="20"/>
  <c r="CCQ17" i="20"/>
  <c r="CCR17" i="20"/>
  <c r="CCS17" i="20"/>
  <c r="CCT17" i="20"/>
  <c r="CCU17" i="20"/>
  <c r="CCV17" i="20"/>
  <c r="CCW17" i="20"/>
  <c r="CCX17" i="20"/>
  <c r="CCY17" i="20"/>
  <c r="CCZ17" i="20"/>
  <c r="CDA17" i="20"/>
  <c r="CDB17" i="20"/>
  <c r="CDC17" i="20"/>
  <c r="CDD17" i="20"/>
  <c r="CDE17" i="20"/>
  <c r="CDF17" i="20"/>
  <c r="CDG17" i="20"/>
  <c r="CDH17" i="20"/>
  <c r="CDI17" i="20"/>
  <c r="CDJ17" i="20"/>
  <c r="CDK17" i="20"/>
  <c r="CDL17" i="20"/>
  <c r="CDM17" i="20"/>
  <c r="CDN17" i="20"/>
  <c r="CDO17" i="20"/>
  <c r="CDP17" i="20"/>
  <c r="CDQ17" i="20"/>
  <c r="CDR17" i="20"/>
  <c r="CDS17" i="20"/>
  <c r="CDT17" i="20"/>
  <c r="CDU17" i="20"/>
  <c r="CDV17" i="20"/>
  <c r="CDW17" i="20"/>
  <c r="CDX17" i="20"/>
  <c r="CDY17" i="20"/>
  <c r="CDZ17" i="20"/>
  <c r="CEA17" i="20"/>
  <c r="CEB17" i="20"/>
  <c r="CEC17" i="20"/>
  <c r="CED17" i="20"/>
  <c r="CEE17" i="20"/>
  <c r="CEF17" i="20"/>
  <c r="CEG17" i="20"/>
  <c r="CEH17" i="20"/>
  <c r="CEI17" i="20"/>
  <c r="CEJ17" i="20"/>
  <c r="CEK17" i="20"/>
  <c r="CEL17" i="20"/>
  <c r="CEM17" i="20"/>
  <c r="CEN17" i="20"/>
  <c r="CEO17" i="20"/>
  <c r="CEP17" i="20"/>
  <c r="CEQ17" i="20"/>
  <c r="CER17" i="20"/>
  <c r="CES17" i="20"/>
  <c r="CET17" i="20"/>
  <c r="CEU17" i="20"/>
  <c r="CEV17" i="20"/>
  <c r="CEW17" i="20"/>
  <c r="CEX17" i="20"/>
  <c r="CEY17" i="20"/>
  <c r="CEZ17" i="20"/>
  <c r="CFA17" i="20"/>
  <c r="CFB17" i="20"/>
  <c r="CFC17" i="20"/>
  <c r="CFD17" i="20"/>
  <c r="CFE17" i="20"/>
  <c r="CFF17" i="20"/>
  <c r="CFG17" i="20"/>
  <c r="CFH17" i="20"/>
  <c r="CFI17" i="20"/>
  <c r="CFJ17" i="20"/>
  <c r="CFK17" i="20"/>
  <c r="CFL17" i="20"/>
  <c r="CFM17" i="20"/>
  <c r="CFN17" i="20"/>
  <c r="CFO17" i="20"/>
  <c r="CFP17" i="20"/>
  <c r="CFQ17" i="20"/>
  <c r="CFR17" i="20"/>
  <c r="CFS17" i="20"/>
  <c r="CFT17" i="20"/>
  <c r="CFU17" i="20"/>
  <c r="CFV17" i="20"/>
  <c r="CFW17" i="20"/>
  <c r="CFX17" i="20"/>
  <c r="CFY17" i="20"/>
  <c r="CFZ17" i="20"/>
  <c r="CGA17" i="20"/>
  <c r="CGB17" i="20"/>
  <c r="CGC17" i="20"/>
  <c r="CGD17" i="20"/>
  <c r="CGE17" i="20"/>
  <c r="CGF17" i="20"/>
  <c r="CGG17" i="20"/>
  <c r="CGH17" i="20"/>
  <c r="CGI17" i="20"/>
  <c r="CGJ17" i="20"/>
  <c r="CGK17" i="20"/>
  <c r="CGL17" i="20"/>
  <c r="CGM17" i="20"/>
  <c r="CGN17" i="20"/>
  <c r="CGO17" i="20"/>
  <c r="CGP17" i="20"/>
  <c r="CGQ17" i="20"/>
  <c r="CGR17" i="20"/>
  <c r="CGS17" i="20"/>
  <c r="CGT17" i="20"/>
  <c r="CGU17" i="20"/>
  <c r="CGV17" i="20"/>
  <c r="CGW17" i="20"/>
  <c r="CGX17" i="20"/>
  <c r="CGY17" i="20"/>
  <c r="CGZ17" i="20"/>
  <c r="CHA17" i="20"/>
  <c r="CHB17" i="20"/>
  <c r="CHC17" i="20"/>
  <c r="CHD17" i="20"/>
  <c r="CHE17" i="20"/>
  <c r="CHF17" i="20"/>
  <c r="CHG17" i="20"/>
  <c r="CHH17" i="20"/>
  <c r="CHI17" i="20"/>
  <c r="CHJ17" i="20"/>
  <c r="CHK17" i="20"/>
  <c r="CHL17" i="20"/>
  <c r="CHM17" i="20"/>
  <c r="CHN17" i="20"/>
  <c r="CHO17" i="20"/>
  <c r="CHP17" i="20"/>
  <c r="CHQ17" i="20"/>
  <c r="CHR17" i="20"/>
  <c r="CHS17" i="20"/>
  <c r="CHT17" i="20"/>
  <c r="CHU17" i="20"/>
  <c r="CHV17" i="20"/>
  <c r="CHW17" i="20"/>
  <c r="CHX17" i="20"/>
  <c r="CHY17" i="20"/>
  <c r="CHZ17" i="20"/>
  <c r="CIA17" i="20"/>
  <c r="CIB17" i="20"/>
  <c r="CIC17" i="20"/>
  <c r="CID17" i="20"/>
  <c r="CIE17" i="20"/>
  <c r="CIF17" i="20"/>
  <c r="CIG17" i="20"/>
  <c r="CIH17" i="20"/>
  <c r="CII17" i="20"/>
  <c r="CIJ17" i="20"/>
  <c r="CIK17" i="20"/>
  <c r="CIL17" i="20"/>
  <c r="CIM17" i="20"/>
  <c r="CIN17" i="20"/>
  <c r="CIO17" i="20"/>
  <c r="CIP17" i="20"/>
  <c r="CIQ17" i="20"/>
  <c r="CIR17" i="20"/>
  <c r="CIS17" i="20"/>
  <c r="CIT17" i="20"/>
  <c r="CIU17" i="20"/>
  <c r="CIV17" i="20"/>
  <c r="CIW17" i="20"/>
  <c r="CIX17" i="20"/>
  <c r="CIY17" i="20"/>
  <c r="CIZ17" i="20"/>
  <c r="CJA17" i="20"/>
  <c r="CJB17" i="20"/>
  <c r="CJC17" i="20"/>
  <c r="CJD17" i="20"/>
  <c r="CJE17" i="20"/>
  <c r="CJF17" i="20"/>
  <c r="CJG17" i="20"/>
  <c r="CJH17" i="20"/>
  <c r="CJI17" i="20"/>
  <c r="CJJ17" i="20"/>
  <c r="CJK17" i="20"/>
  <c r="CJL17" i="20"/>
  <c r="CJM17" i="20"/>
  <c r="CJN17" i="20"/>
  <c r="CJO17" i="20"/>
  <c r="CJP17" i="20"/>
  <c r="CJQ17" i="20"/>
  <c r="CJR17" i="20"/>
  <c r="CJS17" i="20"/>
  <c r="CJT17" i="20"/>
  <c r="CJU17" i="20"/>
  <c r="CJV17" i="20"/>
  <c r="CJW17" i="20"/>
  <c r="CJX17" i="20"/>
  <c r="CJY17" i="20"/>
  <c r="CJZ17" i="20"/>
  <c r="CKA17" i="20"/>
  <c r="CKB17" i="20"/>
  <c r="CKC17" i="20"/>
  <c r="CKD17" i="20"/>
  <c r="CKE17" i="20"/>
  <c r="CKF17" i="20"/>
  <c r="CKG17" i="20"/>
  <c r="CKH17" i="20"/>
  <c r="CKI17" i="20"/>
  <c r="CKJ17" i="20"/>
  <c r="CKK17" i="20"/>
  <c r="CKL17" i="20"/>
  <c r="CKM17" i="20"/>
  <c r="CKN17" i="20"/>
  <c r="CKO17" i="20"/>
  <c r="CKP17" i="20"/>
  <c r="CKQ17" i="20"/>
  <c r="CKR17" i="20"/>
  <c r="CKS17" i="20"/>
  <c r="CKT17" i="20"/>
  <c r="CKU17" i="20"/>
  <c r="CKV17" i="20"/>
  <c r="CKW17" i="20"/>
  <c r="CKX17" i="20"/>
  <c r="CKY17" i="20"/>
  <c r="CKZ17" i="20"/>
  <c r="CLA17" i="20"/>
  <c r="CLB17" i="20"/>
  <c r="CLC17" i="20"/>
  <c r="CLD17" i="20"/>
  <c r="CLE17" i="20"/>
  <c r="CLF17" i="20"/>
  <c r="CLG17" i="20"/>
  <c r="CLH17" i="20"/>
  <c r="CLI17" i="20"/>
  <c r="CLJ17" i="20"/>
  <c r="CLK17" i="20"/>
  <c r="CLL17" i="20"/>
  <c r="CLM17" i="20"/>
  <c r="CLN17" i="20"/>
  <c r="CLO17" i="20"/>
  <c r="CLP17" i="20"/>
  <c r="CLQ17" i="20"/>
  <c r="CLR17" i="20"/>
  <c r="CLS17" i="20"/>
  <c r="CLT17" i="20"/>
  <c r="CLU17" i="20"/>
  <c r="CLV17" i="20"/>
  <c r="CLW17" i="20"/>
  <c r="CLX17" i="20"/>
  <c r="CLY17" i="20"/>
  <c r="CLZ17" i="20"/>
  <c r="CMA17" i="20"/>
  <c r="CMB17" i="20"/>
  <c r="CMC17" i="20"/>
  <c r="CMD17" i="20"/>
  <c r="CME17" i="20"/>
  <c r="CMF17" i="20"/>
  <c r="CMG17" i="20"/>
  <c r="CMH17" i="20"/>
  <c r="CMI17" i="20"/>
  <c r="CMJ17" i="20"/>
  <c r="CMK17" i="20"/>
  <c r="CML17" i="20"/>
  <c r="CMM17" i="20"/>
  <c r="CMN17" i="20"/>
  <c r="CMO17" i="20"/>
  <c r="CMP17" i="20"/>
  <c r="CMQ17" i="20"/>
  <c r="CMR17" i="20"/>
  <c r="CMS17" i="20"/>
  <c r="CMT17" i="20"/>
  <c r="CMU17" i="20"/>
  <c r="CMV17" i="20"/>
  <c r="CMW17" i="20"/>
  <c r="CMX17" i="20"/>
  <c r="CMY17" i="20"/>
  <c r="CMZ17" i="20"/>
  <c r="CNA17" i="20"/>
  <c r="CNB17" i="20"/>
  <c r="CNC17" i="20"/>
  <c r="CND17" i="20"/>
  <c r="CNE17" i="20"/>
  <c r="CNF17" i="20"/>
  <c r="CNG17" i="20"/>
  <c r="CNH17" i="20"/>
  <c r="CNI17" i="20"/>
  <c r="CNJ17" i="20"/>
  <c r="CNK17" i="20"/>
  <c r="CNL17" i="20"/>
  <c r="CNM17" i="20"/>
  <c r="CNN17" i="20"/>
  <c r="CNO17" i="20"/>
  <c r="CNP17" i="20"/>
  <c r="CNQ17" i="20"/>
  <c r="CNR17" i="20"/>
  <c r="CNS17" i="20"/>
  <c r="CNT17" i="20"/>
  <c r="CNU17" i="20"/>
  <c r="CNV17" i="20"/>
  <c r="CNW17" i="20"/>
  <c r="CNX17" i="20"/>
  <c r="CNY17" i="20"/>
  <c r="CNZ17" i="20"/>
  <c r="COA17" i="20"/>
  <c r="COB17" i="20"/>
  <c r="COC17" i="20"/>
  <c r="COD17" i="20"/>
  <c r="COE17" i="20"/>
  <c r="COF17" i="20"/>
  <c r="COG17" i="20"/>
  <c r="COH17" i="20"/>
  <c r="COI17" i="20"/>
  <c r="COJ17" i="20"/>
  <c r="COK17" i="20"/>
  <c r="COL17" i="20"/>
  <c r="COM17" i="20"/>
  <c r="CON17" i="20"/>
  <c r="COO17" i="20"/>
  <c r="COP17" i="20"/>
  <c r="COQ17" i="20"/>
  <c r="COR17" i="20"/>
  <c r="COS17" i="20"/>
  <c r="COT17" i="20"/>
  <c r="COU17" i="20"/>
  <c r="COV17" i="20"/>
  <c r="COW17" i="20"/>
  <c r="COX17" i="20"/>
  <c r="COY17" i="20"/>
  <c r="COZ17" i="20"/>
  <c r="CPA17" i="20"/>
  <c r="CPB17" i="20"/>
  <c r="CPC17" i="20"/>
  <c r="CPD17" i="20"/>
  <c r="CPE17" i="20"/>
  <c r="CPF17" i="20"/>
  <c r="CPG17" i="20"/>
  <c r="CPH17" i="20"/>
  <c r="CPI17" i="20"/>
  <c r="CPJ17" i="20"/>
  <c r="CPK17" i="20"/>
  <c r="CPL17" i="20"/>
  <c r="CPM17" i="20"/>
  <c r="CPN17" i="20"/>
  <c r="CPO17" i="20"/>
  <c r="CPP17" i="20"/>
  <c r="CPQ17" i="20"/>
  <c r="CPR17" i="20"/>
  <c r="CPS17" i="20"/>
  <c r="CPT17" i="20"/>
  <c r="CPU17" i="20"/>
  <c r="CPV17" i="20"/>
  <c r="CPW17" i="20"/>
  <c r="CPX17" i="20"/>
  <c r="CPY17" i="20"/>
  <c r="CPZ17" i="20"/>
  <c r="CQA17" i="20"/>
  <c r="CQB17" i="20"/>
  <c r="CQC17" i="20"/>
  <c r="CQD17" i="20"/>
  <c r="CQE17" i="20"/>
  <c r="CQF17" i="20"/>
  <c r="CQG17" i="20"/>
  <c r="CQH17" i="20"/>
  <c r="CQI17" i="20"/>
  <c r="CQJ17" i="20"/>
  <c r="CQK17" i="20"/>
  <c r="CQL17" i="20"/>
  <c r="CQM17" i="20"/>
  <c r="CQN17" i="20"/>
  <c r="CQO17" i="20"/>
  <c r="CQP17" i="20"/>
  <c r="CQQ17" i="20"/>
  <c r="CQR17" i="20"/>
  <c r="CQS17" i="20"/>
  <c r="CQT17" i="20"/>
  <c r="CQU17" i="20"/>
  <c r="CQV17" i="20"/>
  <c r="CQW17" i="20"/>
  <c r="CQX17" i="20"/>
  <c r="CQY17" i="20"/>
  <c r="CQZ17" i="20"/>
  <c r="CRA17" i="20"/>
  <c r="CRB17" i="20"/>
  <c r="CRC17" i="20"/>
  <c r="CRD17" i="20"/>
  <c r="CRE17" i="20"/>
  <c r="CRF17" i="20"/>
  <c r="CRG17" i="20"/>
  <c r="CRH17" i="20"/>
  <c r="CRI17" i="20"/>
  <c r="CRJ17" i="20"/>
  <c r="CRK17" i="20"/>
  <c r="CRL17" i="20"/>
  <c r="CRM17" i="20"/>
  <c r="CRN17" i="20"/>
  <c r="CRO17" i="20"/>
  <c r="CRP17" i="20"/>
  <c r="CRQ17" i="20"/>
  <c r="CRR17" i="20"/>
  <c r="CRS17" i="20"/>
  <c r="CRT17" i="20"/>
  <c r="CRU17" i="20"/>
  <c r="CRV17" i="20"/>
  <c r="CRW17" i="20"/>
  <c r="CRX17" i="20"/>
  <c r="CRY17" i="20"/>
  <c r="CRZ17" i="20"/>
  <c r="CSA17" i="20"/>
  <c r="CSB17" i="20"/>
  <c r="CSC17" i="20"/>
  <c r="CSD17" i="20"/>
  <c r="CSE17" i="20"/>
  <c r="CSF17" i="20"/>
  <c r="CSG17" i="20"/>
  <c r="CSH17" i="20"/>
  <c r="CSI17" i="20"/>
  <c r="CSJ17" i="20"/>
  <c r="CSK17" i="20"/>
  <c r="CSL17" i="20"/>
  <c r="CSM17" i="20"/>
  <c r="CSN17" i="20"/>
  <c r="CSO17" i="20"/>
  <c r="CSP17" i="20"/>
  <c r="CSQ17" i="20"/>
  <c r="CSR17" i="20"/>
  <c r="CSS17" i="20"/>
  <c r="CST17" i="20"/>
  <c r="CSU17" i="20"/>
  <c r="CSV17" i="20"/>
  <c r="CSW17" i="20"/>
  <c r="CSX17" i="20"/>
  <c r="CSY17" i="20"/>
  <c r="CSZ17" i="20"/>
  <c r="CTA17" i="20"/>
  <c r="CTB17" i="20"/>
  <c r="CTC17" i="20"/>
  <c r="CTD17" i="20"/>
  <c r="CTE17" i="20"/>
  <c r="CTF17" i="20"/>
  <c r="CTG17" i="20"/>
  <c r="CTH17" i="20"/>
  <c r="CTI17" i="20"/>
  <c r="CTJ17" i="20"/>
  <c r="CTK17" i="20"/>
  <c r="CTL17" i="20"/>
  <c r="CTM17" i="20"/>
  <c r="CTN17" i="20"/>
  <c r="CTO17" i="20"/>
  <c r="CTP17" i="20"/>
  <c r="CTQ17" i="20"/>
  <c r="CTR17" i="20"/>
  <c r="CTS17" i="20"/>
  <c r="CTT17" i="20"/>
  <c r="CTU17" i="20"/>
  <c r="CTV17" i="20"/>
  <c r="CTW17" i="20"/>
  <c r="CTX17" i="20"/>
  <c r="CTY17" i="20"/>
  <c r="CTZ17" i="20"/>
  <c r="CUA17" i="20"/>
  <c r="CUB17" i="20"/>
  <c r="CUC17" i="20"/>
  <c r="CUD17" i="20"/>
  <c r="CUE17" i="20"/>
  <c r="CUF17" i="20"/>
  <c r="CUG17" i="20"/>
  <c r="CUH17" i="20"/>
  <c r="CUI17" i="20"/>
  <c r="CUJ17" i="20"/>
  <c r="CUK17" i="20"/>
  <c r="CUL17" i="20"/>
  <c r="CUM17" i="20"/>
  <c r="CUN17" i="20"/>
  <c r="CUO17" i="20"/>
  <c r="CUP17" i="20"/>
  <c r="CUQ17" i="20"/>
  <c r="CUR17" i="20"/>
  <c r="CUS17" i="20"/>
  <c r="CUT17" i="20"/>
  <c r="CUU17" i="20"/>
  <c r="CUV17" i="20"/>
  <c r="CUW17" i="20"/>
  <c r="CUX17" i="20"/>
  <c r="CUY17" i="20"/>
  <c r="CUZ17" i="20"/>
  <c r="CVA17" i="20"/>
  <c r="CVB17" i="20"/>
  <c r="CVC17" i="20"/>
  <c r="CVD17" i="20"/>
  <c r="CVE17" i="20"/>
  <c r="CVF17" i="20"/>
  <c r="CVG17" i="20"/>
  <c r="CVH17" i="20"/>
  <c r="CVI17" i="20"/>
  <c r="CVJ17" i="20"/>
  <c r="CVK17" i="20"/>
  <c r="CVL17" i="20"/>
  <c r="CVM17" i="20"/>
  <c r="CVN17" i="20"/>
  <c r="CVO17" i="20"/>
  <c r="CVP17" i="20"/>
  <c r="CVQ17" i="20"/>
  <c r="CVR17" i="20"/>
  <c r="CVS17" i="20"/>
  <c r="CVT17" i="20"/>
  <c r="CVU17" i="20"/>
  <c r="CVV17" i="20"/>
  <c r="CVW17" i="20"/>
  <c r="CVX17" i="20"/>
  <c r="CVY17" i="20"/>
  <c r="CVZ17" i="20"/>
  <c r="CWA17" i="20"/>
  <c r="CWB17" i="20"/>
  <c r="CWC17" i="20"/>
  <c r="CWD17" i="20"/>
  <c r="CWE17" i="20"/>
  <c r="CWF17" i="20"/>
  <c r="CWG17" i="20"/>
  <c r="CWH17" i="20"/>
  <c r="CWI17" i="20"/>
  <c r="CWJ17" i="20"/>
  <c r="CWK17" i="20"/>
  <c r="CWL17" i="20"/>
  <c r="CWM17" i="20"/>
  <c r="CWN17" i="20"/>
  <c r="CWO17" i="20"/>
  <c r="CWP17" i="20"/>
  <c r="CWQ17" i="20"/>
  <c r="CWR17" i="20"/>
  <c r="CWS17" i="20"/>
  <c r="CWT17" i="20"/>
  <c r="CWU17" i="20"/>
  <c r="CWV17" i="20"/>
  <c r="CWW17" i="20"/>
  <c r="CWX17" i="20"/>
  <c r="CWY17" i="20"/>
  <c r="CWZ17" i="20"/>
  <c r="CXA17" i="20"/>
  <c r="CXB17" i="20"/>
  <c r="CXC17" i="20"/>
  <c r="CXD17" i="20"/>
  <c r="CXE17" i="20"/>
  <c r="CXF17" i="20"/>
  <c r="CXG17" i="20"/>
  <c r="CXH17" i="20"/>
  <c r="CXI17" i="20"/>
  <c r="CXJ17" i="20"/>
  <c r="CXK17" i="20"/>
  <c r="CXL17" i="20"/>
  <c r="CXM17" i="20"/>
  <c r="CXN17" i="20"/>
  <c r="CXO17" i="20"/>
  <c r="CXP17" i="20"/>
  <c r="CXQ17" i="20"/>
  <c r="CXR17" i="20"/>
  <c r="CXS17" i="20"/>
  <c r="CXT17" i="20"/>
  <c r="CXU17" i="20"/>
  <c r="CXV17" i="20"/>
  <c r="CXW17" i="20"/>
  <c r="CXX17" i="20"/>
  <c r="CXY17" i="20"/>
  <c r="CXZ17" i="20"/>
  <c r="CYA17" i="20"/>
  <c r="CYB17" i="20"/>
  <c r="CYC17" i="20"/>
  <c r="CYD17" i="20"/>
  <c r="CYE17" i="20"/>
  <c r="CYF17" i="20"/>
  <c r="CYG17" i="20"/>
  <c r="CYH17" i="20"/>
  <c r="CYI17" i="20"/>
  <c r="CYJ17" i="20"/>
  <c r="CYK17" i="20"/>
  <c r="CYL17" i="20"/>
  <c r="CYM17" i="20"/>
  <c r="CYN17" i="20"/>
  <c r="CYO17" i="20"/>
  <c r="CYP17" i="20"/>
  <c r="CYQ17" i="20"/>
  <c r="CYR17" i="20"/>
  <c r="CYS17" i="20"/>
  <c r="CYT17" i="20"/>
  <c r="CYU17" i="20"/>
  <c r="CYV17" i="20"/>
  <c r="CYW17" i="20"/>
  <c r="CYX17" i="20"/>
  <c r="CYY17" i="20"/>
  <c r="CYZ17" i="20"/>
  <c r="CZA17" i="20"/>
  <c r="CZB17" i="20"/>
  <c r="CZC17" i="20"/>
  <c r="CZD17" i="20"/>
  <c r="CZE17" i="20"/>
  <c r="CZF17" i="20"/>
  <c r="CZG17" i="20"/>
  <c r="CZH17" i="20"/>
  <c r="CZI17" i="20"/>
  <c r="CZJ17" i="20"/>
  <c r="CZK17" i="20"/>
  <c r="CZL17" i="20"/>
  <c r="CZM17" i="20"/>
  <c r="CZN17" i="20"/>
  <c r="CZO17" i="20"/>
  <c r="CZP17" i="20"/>
  <c r="CZQ17" i="20"/>
  <c r="CZR17" i="20"/>
  <c r="CZS17" i="20"/>
  <c r="CZT17" i="20"/>
  <c r="CZU17" i="20"/>
  <c r="CZV17" i="20"/>
  <c r="CZW17" i="20"/>
  <c r="CZX17" i="20"/>
  <c r="CZY17" i="20"/>
  <c r="CZZ17" i="20"/>
  <c r="DAA17" i="20"/>
  <c r="DAB17" i="20"/>
  <c r="DAC17" i="20"/>
  <c r="DAD17" i="20"/>
  <c r="DAE17" i="20"/>
  <c r="DAF17" i="20"/>
  <c r="DAG17" i="20"/>
  <c r="DAH17" i="20"/>
  <c r="DAI17" i="20"/>
  <c r="DAJ17" i="20"/>
  <c r="DAK17" i="20"/>
  <c r="DAL17" i="20"/>
  <c r="DAM17" i="20"/>
  <c r="DAN17" i="20"/>
  <c r="DAO17" i="20"/>
  <c r="DAP17" i="20"/>
  <c r="DAQ17" i="20"/>
  <c r="DAR17" i="20"/>
  <c r="DAS17" i="20"/>
  <c r="DAT17" i="20"/>
  <c r="DAU17" i="20"/>
  <c r="DAV17" i="20"/>
  <c r="DAW17" i="20"/>
  <c r="DAX17" i="20"/>
  <c r="DAY17" i="20"/>
  <c r="DAZ17" i="20"/>
  <c r="DBA17" i="20"/>
  <c r="DBB17" i="20"/>
  <c r="DBC17" i="20"/>
  <c r="DBD17" i="20"/>
  <c r="DBE17" i="20"/>
  <c r="DBF17" i="20"/>
  <c r="DBG17" i="20"/>
  <c r="DBH17" i="20"/>
  <c r="DBI17" i="20"/>
  <c r="DBJ17" i="20"/>
  <c r="DBK17" i="20"/>
  <c r="DBL17" i="20"/>
  <c r="DBM17" i="20"/>
  <c r="DBN17" i="20"/>
  <c r="DBO17" i="20"/>
  <c r="DBP17" i="20"/>
  <c r="DBQ17" i="20"/>
  <c r="DBR17" i="20"/>
  <c r="DBS17" i="20"/>
  <c r="DBT17" i="20"/>
  <c r="DBU17" i="20"/>
  <c r="DBV17" i="20"/>
  <c r="DBW17" i="20"/>
  <c r="DBX17" i="20"/>
  <c r="DBY17" i="20"/>
  <c r="DBZ17" i="20"/>
  <c r="DCA17" i="20"/>
  <c r="DCB17" i="20"/>
  <c r="DCC17" i="20"/>
  <c r="DCD17" i="20"/>
  <c r="DCE17" i="20"/>
  <c r="DCF17" i="20"/>
  <c r="DCG17" i="20"/>
  <c r="DCH17" i="20"/>
  <c r="DCI17" i="20"/>
  <c r="DCJ17" i="20"/>
  <c r="DCK17" i="20"/>
  <c r="DCL17" i="20"/>
  <c r="DCM17" i="20"/>
  <c r="DCN17" i="20"/>
  <c r="DCO17" i="20"/>
  <c r="DCP17" i="20"/>
  <c r="DCQ17" i="20"/>
  <c r="DCR17" i="20"/>
  <c r="DCS17" i="20"/>
  <c r="DCT17" i="20"/>
  <c r="DCU17" i="20"/>
  <c r="DCV17" i="20"/>
  <c r="DCW17" i="20"/>
  <c r="DCX17" i="20"/>
  <c r="DCY17" i="20"/>
  <c r="DCZ17" i="20"/>
  <c r="DDA17" i="20"/>
  <c r="DDB17" i="20"/>
  <c r="DDC17" i="20"/>
  <c r="DDD17" i="20"/>
  <c r="DDE17" i="20"/>
  <c r="DDF17" i="20"/>
  <c r="DDG17" i="20"/>
  <c r="DDH17" i="20"/>
  <c r="DDI17" i="20"/>
  <c r="AAE18" i="20"/>
  <c r="AAF18" i="20"/>
  <c r="AAG18" i="20"/>
  <c r="AAH18" i="20"/>
  <c r="AAI18" i="20"/>
  <c r="AAJ18" i="20"/>
  <c r="AAK18" i="20"/>
  <c r="AAL18" i="20"/>
  <c r="AAM18" i="20"/>
  <c r="AAN18" i="20"/>
  <c r="AAO18" i="20"/>
  <c r="AAP18" i="20"/>
  <c r="AAQ18" i="20"/>
  <c r="AAR18" i="20"/>
  <c r="AAS18" i="20"/>
  <c r="AAT18" i="20"/>
  <c r="AAU18" i="20"/>
  <c r="AAV18" i="20"/>
  <c r="AAW18" i="20"/>
  <c r="AAX18" i="20"/>
  <c r="AAY18" i="20"/>
  <c r="AAZ18" i="20"/>
  <c r="ABA18" i="20"/>
  <c r="ABB18" i="20"/>
  <c r="ABC18" i="20"/>
  <c r="ABD18" i="20"/>
  <c r="ABE18" i="20"/>
  <c r="ABF18" i="20"/>
  <c r="ABG18" i="20"/>
  <c r="ABH18" i="20"/>
  <c r="ABI18" i="20"/>
  <c r="ABJ18" i="20"/>
  <c r="ABK18" i="20"/>
  <c r="ABL18" i="20"/>
  <c r="ABM18" i="20"/>
  <c r="ABN18" i="20"/>
  <c r="ABO18" i="20"/>
  <c r="ABP18" i="20"/>
  <c r="ABQ18" i="20"/>
  <c r="ABR18" i="20"/>
  <c r="ABS18" i="20"/>
  <c r="ABT18" i="20"/>
  <c r="ABU18" i="20"/>
  <c r="ABV18" i="20"/>
  <c r="ABW18" i="20"/>
  <c r="ABX18" i="20"/>
  <c r="ABY18" i="20"/>
  <c r="ABZ18" i="20"/>
  <c r="ACA18" i="20"/>
  <c r="ACB18" i="20"/>
  <c r="ACC18" i="20"/>
  <c r="ACD18" i="20"/>
  <c r="ACE18" i="20"/>
  <c r="ACF18" i="20"/>
  <c r="ACG18" i="20"/>
  <c r="ACH18" i="20"/>
  <c r="ACI18" i="20"/>
  <c r="ACJ18" i="20"/>
  <c r="ACK18" i="20"/>
  <c r="ACL18" i="20"/>
  <c r="ACM18" i="20"/>
  <c r="ACN18" i="20"/>
  <c r="ACO18" i="20"/>
  <c r="ACP18" i="20"/>
  <c r="ACQ18" i="20"/>
  <c r="ACR18" i="20"/>
  <c r="ACS18" i="20"/>
  <c r="ACT18" i="20"/>
  <c r="ACU18" i="20"/>
  <c r="ACV18" i="20"/>
  <c r="ACW18" i="20"/>
  <c r="ACX18" i="20"/>
  <c r="ACY18" i="20"/>
  <c r="ACZ18" i="20"/>
  <c r="ADA18" i="20"/>
  <c r="ADB18" i="20"/>
  <c r="ADC18" i="20"/>
  <c r="ADD18" i="20"/>
  <c r="ADE18" i="20"/>
  <c r="ADF18" i="20"/>
  <c r="ADG18" i="20"/>
  <c r="ADH18" i="20"/>
  <c r="ADI18" i="20"/>
  <c r="ADJ18" i="20"/>
  <c r="ADK18" i="20"/>
  <c r="ADL18" i="20"/>
  <c r="ADM18" i="20"/>
  <c r="ADN18" i="20"/>
  <c r="ADO18" i="20"/>
  <c r="ADP18" i="20"/>
  <c r="ADQ18" i="20"/>
  <c r="ADR18" i="20"/>
  <c r="ADS18" i="20"/>
  <c r="ADT18" i="20"/>
  <c r="ADU18" i="20"/>
  <c r="ADV18" i="20"/>
  <c r="ADW18" i="20"/>
  <c r="ADX18" i="20"/>
  <c r="ADY18" i="20"/>
  <c r="ADZ18" i="20"/>
  <c r="AEA18" i="20"/>
  <c r="AEB18" i="20"/>
  <c r="AEC18" i="20"/>
  <c r="AED18" i="20"/>
  <c r="AEE18" i="20"/>
  <c r="AEF18" i="20"/>
  <c r="AEG18" i="20"/>
  <c r="AEH18" i="20"/>
  <c r="AEI18" i="20"/>
  <c r="AEJ18" i="20"/>
  <c r="AEK18" i="20"/>
  <c r="AEL18" i="20"/>
  <c r="AEM18" i="20"/>
  <c r="AEN18" i="20"/>
  <c r="AEO18" i="20"/>
  <c r="AEP18" i="20"/>
  <c r="AEQ18" i="20"/>
  <c r="AER18" i="20"/>
  <c r="AES18" i="20"/>
  <c r="AET18" i="20"/>
  <c r="AEU18" i="20"/>
  <c r="AEV18" i="20"/>
  <c r="AEW18" i="20"/>
  <c r="AEX18" i="20"/>
  <c r="AEY18" i="20"/>
  <c r="AEZ18" i="20"/>
  <c r="AFA18" i="20"/>
  <c r="AFB18" i="20"/>
  <c r="AFC18" i="20"/>
  <c r="AFD18" i="20"/>
  <c r="AFE18" i="20"/>
  <c r="AFF18" i="20"/>
  <c r="AFG18" i="20"/>
  <c r="AFH18" i="20"/>
  <c r="AFI18" i="20"/>
  <c r="AFJ18" i="20"/>
  <c r="AFK18" i="20"/>
  <c r="AFL18" i="20"/>
  <c r="AFM18" i="20"/>
  <c r="AFN18" i="20"/>
  <c r="AFO18" i="20"/>
  <c r="AFP18" i="20"/>
  <c r="AFQ18" i="20"/>
  <c r="AFR18" i="20"/>
  <c r="AFS18" i="20"/>
  <c r="AFT18" i="20"/>
  <c r="AFU18" i="20"/>
  <c r="AFV18" i="20"/>
  <c r="AFW18" i="20"/>
  <c r="AFX18" i="20"/>
  <c r="AFY18" i="20"/>
  <c r="AFZ18" i="20"/>
  <c r="AGA18" i="20"/>
  <c r="AGB18" i="20"/>
  <c r="AGC18" i="20"/>
  <c r="AGD18" i="20"/>
  <c r="AGE18" i="20"/>
  <c r="AGF18" i="20"/>
  <c r="AGG18" i="20"/>
  <c r="AGH18" i="20"/>
  <c r="AGI18" i="20"/>
  <c r="AGJ18" i="20"/>
  <c r="AGK18" i="20"/>
  <c r="AGL18" i="20"/>
  <c r="AGM18" i="20"/>
  <c r="AGN18" i="20"/>
  <c r="AGO18" i="20"/>
  <c r="AGP18" i="20"/>
  <c r="AGQ18" i="20"/>
  <c r="AGR18" i="20"/>
  <c r="AGS18" i="20"/>
  <c r="AGT18" i="20"/>
  <c r="AGU18" i="20"/>
  <c r="AGV18" i="20"/>
  <c r="AGW18" i="20"/>
  <c r="AGX18" i="20"/>
  <c r="AGY18" i="20"/>
  <c r="AGZ18" i="20"/>
  <c r="AHA18" i="20"/>
  <c r="AHB18" i="20"/>
  <c r="AHC18" i="20"/>
  <c r="AHD18" i="20"/>
  <c r="AHE18" i="20"/>
  <c r="AHF18" i="20"/>
  <c r="AHG18" i="20"/>
  <c r="AHH18" i="20"/>
  <c r="AHI18" i="20"/>
  <c r="AHJ18" i="20"/>
  <c r="AHK18" i="20"/>
  <c r="AHL18" i="20"/>
  <c r="AHM18" i="20"/>
  <c r="AHN18" i="20"/>
  <c r="AHO18" i="20"/>
  <c r="AHP18" i="20"/>
  <c r="AHQ18" i="20"/>
  <c r="AHR18" i="20"/>
  <c r="AHS18" i="20"/>
  <c r="AHT18" i="20"/>
  <c r="AHU18" i="20"/>
  <c r="AHV18" i="20"/>
  <c r="AHW18" i="20"/>
  <c r="AHX18" i="20"/>
  <c r="AHY18" i="20"/>
  <c r="AHZ18" i="20"/>
  <c r="AIA18" i="20"/>
  <c r="AIB18" i="20"/>
  <c r="AIC18" i="20"/>
  <c r="AID18" i="20"/>
  <c r="AIE18" i="20"/>
  <c r="AIF18" i="20"/>
  <c r="AIG18" i="20"/>
  <c r="AIH18" i="20"/>
  <c r="AII18" i="20"/>
  <c r="AIJ18" i="20"/>
  <c r="AIK18" i="20"/>
  <c r="AIL18" i="20"/>
  <c r="AIM18" i="20"/>
  <c r="AIN18" i="20"/>
  <c r="AIO18" i="20"/>
  <c r="AIP18" i="20"/>
  <c r="AIQ18" i="20"/>
  <c r="AIR18" i="20"/>
  <c r="AIS18" i="20"/>
  <c r="AIT18" i="20"/>
  <c r="AIU18" i="20"/>
  <c r="AIV18" i="20"/>
  <c r="AIW18" i="20"/>
  <c r="AIX18" i="20"/>
  <c r="AIY18" i="20"/>
  <c r="AIZ18" i="20"/>
  <c r="AJA18" i="20"/>
  <c r="AJB18" i="20"/>
  <c r="AJC18" i="20"/>
  <c r="AJD18" i="20"/>
  <c r="AJE18" i="20"/>
  <c r="AJF18" i="20"/>
  <c r="AJG18" i="20"/>
  <c r="AJH18" i="20"/>
  <c r="AJI18" i="20"/>
  <c r="AJJ18" i="20"/>
  <c r="AJK18" i="20"/>
  <c r="AJL18" i="20"/>
  <c r="AJM18" i="20"/>
  <c r="AJN18" i="20"/>
  <c r="AJO18" i="20"/>
  <c r="AJP18" i="20"/>
  <c r="AJQ18" i="20"/>
  <c r="AJR18" i="20"/>
  <c r="AJS18" i="20"/>
  <c r="AJT18" i="20"/>
  <c r="AJU18" i="20"/>
  <c r="AJV18" i="20"/>
  <c r="AJW18" i="20"/>
  <c r="AJX18" i="20"/>
  <c r="AJY18" i="20"/>
  <c r="AJZ18" i="20"/>
  <c r="AKA18" i="20"/>
  <c r="AKB18" i="20"/>
  <c r="AKC18" i="20"/>
  <c r="AKD18" i="20"/>
  <c r="AKE18" i="20"/>
  <c r="AKF18" i="20"/>
  <c r="AKG18" i="20"/>
  <c r="AKH18" i="20"/>
  <c r="AKI18" i="20"/>
  <c r="AKJ18" i="20"/>
  <c r="AKK18" i="20"/>
  <c r="AKL18" i="20"/>
  <c r="AKM18" i="20"/>
  <c r="AKN18" i="20"/>
  <c r="AKO18" i="20"/>
  <c r="AKP18" i="20"/>
  <c r="AKQ18" i="20"/>
  <c r="AKR18" i="20"/>
  <c r="AKS18" i="20"/>
  <c r="AKT18" i="20"/>
  <c r="AKU18" i="20"/>
  <c r="AKV18" i="20"/>
  <c r="AKW18" i="20"/>
  <c r="AKX18" i="20"/>
  <c r="AKY18" i="20"/>
  <c r="AKZ18" i="20"/>
  <c r="ALA18" i="20"/>
  <c r="ALB18" i="20"/>
  <c r="ALC18" i="20"/>
  <c r="ALD18" i="20"/>
  <c r="ALE18" i="20"/>
  <c r="ALF18" i="20"/>
  <c r="ALG18" i="20"/>
  <c r="ALH18" i="20"/>
  <c r="ALI18" i="20"/>
  <c r="ALJ18" i="20"/>
  <c r="ALK18" i="20"/>
  <c r="ALL18" i="20"/>
  <c r="ALM18" i="20"/>
  <c r="ALN18" i="20"/>
  <c r="ALO18" i="20"/>
  <c r="ALP18" i="20"/>
  <c r="ALQ18" i="20"/>
  <c r="ALR18" i="20"/>
  <c r="ALS18" i="20"/>
  <c r="ALT18" i="20"/>
  <c r="ALU18" i="20"/>
  <c r="ALV18" i="20"/>
  <c r="ALW18" i="20"/>
  <c r="ALX18" i="20"/>
  <c r="ALY18" i="20"/>
  <c r="ALZ18" i="20"/>
  <c r="AMA18" i="20"/>
  <c r="AMB18" i="20"/>
  <c r="AMC18" i="20"/>
  <c r="AMD18" i="20"/>
  <c r="AME18" i="20"/>
  <c r="AMF18" i="20"/>
  <c r="AMG18" i="20"/>
  <c r="AMH18" i="20"/>
  <c r="AMI18" i="20"/>
  <c r="AMJ18" i="20"/>
  <c r="AMK18" i="20"/>
  <c r="AML18" i="20"/>
  <c r="AMM18" i="20"/>
  <c r="AMN18" i="20"/>
  <c r="AMO18" i="20"/>
  <c r="AMP18" i="20"/>
  <c r="AMQ18" i="20"/>
  <c r="AMR18" i="20"/>
  <c r="AMS18" i="20"/>
  <c r="AMT18" i="20"/>
  <c r="AMU18" i="20"/>
  <c r="AMV18" i="20"/>
  <c r="AMW18" i="20"/>
  <c r="AMX18" i="20"/>
  <c r="AMY18" i="20"/>
  <c r="AMZ18" i="20"/>
  <c r="ANA18" i="20"/>
  <c r="ANB18" i="20"/>
  <c r="ANC18" i="20"/>
  <c r="AND18" i="20"/>
  <c r="ANE18" i="20"/>
  <c r="ANF18" i="20"/>
  <c r="ANG18" i="20"/>
  <c r="ANH18" i="20"/>
  <c r="ANI18" i="20"/>
  <c r="ANJ18" i="20"/>
  <c r="ANK18" i="20"/>
  <c r="ANL18" i="20"/>
  <c r="ANM18" i="20"/>
  <c r="ANN18" i="20"/>
  <c r="ANO18" i="20"/>
  <c r="ANP18" i="20"/>
  <c r="ANQ18" i="20"/>
  <c r="ANR18" i="20"/>
  <c r="ANS18" i="20"/>
  <c r="ANT18" i="20"/>
  <c r="ANU18" i="20"/>
  <c r="ANV18" i="20"/>
  <c r="ANW18" i="20"/>
  <c r="ANX18" i="20"/>
  <c r="ANY18" i="20"/>
  <c r="ANZ18" i="20"/>
  <c r="AOA18" i="20"/>
  <c r="AOB18" i="20"/>
  <c r="AOC18" i="20"/>
  <c r="AOD18" i="20"/>
  <c r="AOE18" i="20"/>
  <c r="AOF18" i="20"/>
  <c r="AOG18" i="20"/>
  <c r="AOH18" i="20"/>
  <c r="AOI18" i="20"/>
  <c r="AOJ18" i="20"/>
  <c r="AOK18" i="20"/>
  <c r="AOL18" i="20"/>
  <c r="AOM18" i="20"/>
  <c r="AON18" i="20"/>
  <c r="AOO18" i="20"/>
  <c r="AOP18" i="20"/>
  <c r="AOQ18" i="20"/>
  <c r="AOR18" i="20"/>
  <c r="AOS18" i="20"/>
  <c r="AOT18" i="20"/>
  <c r="AOU18" i="20"/>
  <c r="AOV18" i="20"/>
  <c r="AOW18" i="20"/>
  <c r="AOX18" i="20"/>
  <c r="AOY18" i="20"/>
  <c r="AOZ18" i="20"/>
  <c r="APA18" i="20"/>
  <c r="APB18" i="20"/>
  <c r="APC18" i="20"/>
  <c r="APD18" i="20"/>
  <c r="APE18" i="20"/>
  <c r="APF18" i="20"/>
  <c r="APG18" i="20"/>
  <c r="APH18" i="20"/>
  <c r="API18" i="20"/>
  <c r="APJ18" i="20"/>
  <c r="APK18" i="20"/>
  <c r="APL18" i="20"/>
  <c r="APM18" i="20"/>
  <c r="APN18" i="20"/>
  <c r="APO18" i="20"/>
  <c r="APP18" i="20"/>
  <c r="APQ18" i="20"/>
  <c r="APR18" i="20"/>
  <c r="APS18" i="20"/>
  <c r="APT18" i="20"/>
  <c r="APU18" i="20"/>
  <c r="APV18" i="20"/>
  <c r="APW18" i="20"/>
  <c r="APX18" i="20"/>
  <c r="APY18" i="20"/>
  <c r="APZ18" i="20"/>
  <c r="AQA18" i="20"/>
  <c r="AQB18" i="20"/>
  <c r="AQC18" i="20"/>
  <c r="AQD18" i="20"/>
  <c r="AQE18" i="20"/>
  <c r="AQF18" i="20"/>
  <c r="AQG18" i="20"/>
  <c r="AQH18" i="20"/>
  <c r="AQI18" i="20"/>
  <c r="AQJ18" i="20"/>
  <c r="AQK18" i="20"/>
  <c r="AQL18" i="20"/>
  <c r="AQM18" i="20"/>
  <c r="AQN18" i="20"/>
  <c r="AQO18" i="20"/>
  <c r="AQP18" i="20"/>
  <c r="AQQ18" i="20"/>
  <c r="AQR18" i="20"/>
  <c r="AQS18" i="20"/>
  <c r="AQT18" i="20"/>
  <c r="AQU18" i="20"/>
  <c r="AQV18" i="20"/>
  <c r="AQW18" i="20"/>
  <c r="AQX18" i="20"/>
  <c r="AQY18" i="20"/>
  <c r="AQZ18" i="20"/>
  <c r="ARA18" i="20"/>
  <c r="ARB18" i="20"/>
  <c r="ARC18" i="20"/>
  <c r="ARD18" i="20"/>
  <c r="ARE18" i="20"/>
  <c r="ARF18" i="20"/>
  <c r="ARG18" i="20"/>
  <c r="ARH18" i="20"/>
  <c r="ARI18" i="20"/>
  <c r="ARJ18" i="20"/>
  <c r="ARK18" i="20"/>
  <c r="ARL18" i="20"/>
  <c r="ARM18" i="20"/>
  <c r="ARN18" i="20"/>
  <c r="ARO18" i="20"/>
  <c r="ARP18" i="20"/>
  <c r="ARQ18" i="20"/>
  <c r="ARR18" i="20"/>
  <c r="ARS18" i="20"/>
  <c r="ART18" i="20"/>
  <c r="ARU18" i="20"/>
  <c r="ARV18" i="20"/>
  <c r="ARW18" i="20"/>
  <c r="ARX18" i="20"/>
  <c r="ARY18" i="20"/>
  <c r="ARZ18" i="20"/>
  <c r="ASA18" i="20"/>
  <c r="ASB18" i="20"/>
  <c r="ASC18" i="20"/>
  <c r="ASD18" i="20"/>
  <c r="ASE18" i="20"/>
  <c r="ASF18" i="20"/>
  <c r="ASG18" i="20"/>
  <c r="ASH18" i="20"/>
  <c r="ASI18" i="20"/>
  <c r="ASJ18" i="20"/>
  <c r="ASK18" i="20"/>
  <c r="ASL18" i="20"/>
  <c r="ASM18" i="20"/>
  <c r="ASN18" i="20"/>
  <c r="ASO18" i="20"/>
  <c r="ASP18" i="20"/>
  <c r="ASQ18" i="20"/>
  <c r="ASR18" i="20"/>
  <c r="ASS18" i="20"/>
  <c r="AST18" i="20"/>
  <c r="ASU18" i="20"/>
  <c r="ASV18" i="20"/>
  <c r="ASW18" i="20"/>
  <c r="ASX18" i="20"/>
  <c r="ASY18" i="20"/>
  <c r="ASZ18" i="20"/>
  <c r="ATA18" i="20"/>
  <c r="ATB18" i="20"/>
  <c r="ATC18" i="20"/>
  <c r="ATD18" i="20"/>
  <c r="ATE18" i="20"/>
  <c r="ATF18" i="20"/>
  <c r="ATG18" i="20"/>
  <c r="ATH18" i="20"/>
  <c r="ATI18" i="20"/>
  <c r="ATJ18" i="20"/>
  <c r="ATK18" i="20"/>
  <c r="ATL18" i="20"/>
  <c r="ATM18" i="20"/>
  <c r="ATN18" i="20"/>
  <c r="ATO18" i="20"/>
  <c r="ATP18" i="20"/>
  <c r="ATQ18" i="20"/>
  <c r="ATR18" i="20"/>
  <c r="ATS18" i="20"/>
  <c r="ATT18" i="20"/>
  <c r="ATU18" i="20"/>
  <c r="ATV18" i="20"/>
  <c r="ATW18" i="20"/>
  <c r="ATX18" i="20"/>
  <c r="ATY18" i="20"/>
  <c r="ATZ18" i="20"/>
  <c r="AUA18" i="20"/>
  <c r="AUB18" i="20"/>
  <c r="AUC18" i="20"/>
  <c r="AUD18" i="20"/>
  <c r="AUE18" i="20"/>
  <c r="AUF18" i="20"/>
  <c r="AUG18" i="20"/>
  <c r="AUH18" i="20"/>
  <c r="AUI18" i="20"/>
  <c r="AUJ18" i="20"/>
  <c r="AUK18" i="20"/>
  <c r="AUL18" i="20"/>
  <c r="AUM18" i="20"/>
  <c r="AUN18" i="20"/>
  <c r="AUO18" i="20"/>
  <c r="AUP18" i="20"/>
  <c r="AUQ18" i="20"/>
  <c r="AUR18" i="20"/>
  <c r="AUS18" i="20"/>
  <c r="AUT18" i="20"/>
  <c r="AUU18" i="20"/>
  <c r="AUV18" i="20"/>
  <c r="AUW18" i="20"/>
  <c r="AUX18" i="20"/>
  <c r="AUY18" i="20"/>
  <c r="AUZ18" i="20"/>
  <c r="AVA18" i="20"/>
  <c r="AVB18" i="20"/>
  <c r="AVC18" i="20"/>
  <c r="AVD18" i="20"/>
  <c r="AVE18" i="20"/>
  <c r="AVF18" i="20"/>
  <c r="AVG18" i="20"/>
  <c r="AVH18" i="20"/>
  <c r="AVI18" i="20"/>
  <c r="AVJ18" i="20"/>
  <c r="AVK18" i="20"/>
  <c r="AVL18" i="20"/>
  <c r="AVM18" i="20"/>
  <c r="AVN18" i="20"/>
  <c r="AVO18" i="20"/>
  <c r="AVP18" i="20"/>
  <c r="AVQ18" i="20"/>
  <c r="AVR18" i="20"/>
  <c r="AVS18" i="20"/>
  <c r="AVT18" i="20"/>
  <c r="AVU18" i="20"/>
  <c r="AVV18" i="20"/>
  <c r="AVW18" i="20"/>
  <c r="AVX18" i="20"/>
  <c r="AVY18" i="20"/>
  <c r="AVZ18" i="20"/>
  <c r="AWA18" i="20"/>
  <c r="AWB18" i="20"/>
  <c r="AWC18" i="20"/>
  <c r="AWD18" i="20"/>
  <c r="AWE18" i="20"/>
  <c r="AWF18" i="20"/>
  <c r="AWG18" i="20"/>
  <c r="AWH18" i="20"/>
  <c r="AWI18" i="20"/>
  <c r="AWJ18" i="20"/>
  <c r="AWK18" i="20"/>
  <c r="AWL18" i="20"/>
  <c r="AWM18" i="20"/>
  <c r="AWN18" i="20"/>
  <c r="AWO18" i="20"/>
  <c r="AWP18" i="20"/>
  <c r="AWQ18" i="20"/>
  <c r="AWR18" i="20"/>
  <c r="AWS18" i="20"/>
  <c r="AWT18" i="20"/>
  <c r="AWU18" i="20"/>
  <c r="AWV18" i="20"/>
  <c r="AWW18" i="20"/>
  <c r="AWX18" i="20"/>
  <c r="AWY18" i="20"/>
  <c r="AWZ18" i="20"/>
  <c r="AXA18" i="20"/>
  <c r="AXB18" i="20"/>
  <c r="AXC18" i="20"/>
  <c r="AXD18" i="20"/>
  <c r="AXE18" i="20"/>
  <c r="AXF18" i="20"/>
  <c r="AXG18" i="20"/>
  <c r="AXH18" i="20"/>
  <c r="AXI18" i="20"/>
  <c r="AXJ18" i="20"/>
  <c r="AXK18" i="20"/>
  <c r="AXL18" i="20"/>
  <c r="AXM18" i="20"/>
  <c r="AXN18" i="20"/>
  <c r="AXO18" i="20"/>
  <c r="AXP18" i="20"/>
  <c r="AXQ18" i="20"/>
  <c r="AXR18" i="20"/>
  <c r="AXS18" i="20"/>
  <c r="AXT18" i="20"/>
  <c r="AXU18" i="20"/>
  <c r="AXV18" i="20"/>
  <c r="AXW18" i="20"/>
  <c r="AXX18" i="20"/>
  <c r="AXY18" i="20"/>
  <c r="AXZ18" i="20"/>
  <c r="AYA18" i="20"/>
  <c r="AYB18" i="20"/>
  <c r="AYC18" i="20"/>
  <c r="AYD18" i="20"/>
  <c r="AYE18" i="20"/>
  <c r="AYF18" i="20"/>
  <c r="AYG18" i="20"/>
  <c r="AYH18" i="20"/>
  <c r="AYI18" i="20"/>
  <c r="AYJ18" i="20"/>
  <c r="AYK18" i="20"/>
  <c r="AYL18" i="20"/>
  <c r="AYM18" i="20"/>
  <c r="AYN18" i="20"/>
  <c r="AYO18" i="20"/>
  <c r="AYP18" i="20"/>
  <c r="AYQ18" i="20"/>
  <c r="AYR18" i="20"/>
  <c r="AYS18" i="20"/>
  <c r="AYT18" i="20"/>
  <c r="AYU18" i="20"/>
  <c r="AYV18" i="20"/>
  <c r="AYW18" i="20"/>
  <c r="AYX18" i="20"/>
  <c r="AYY18" i="20"/>
  <c r="AYZ18" i="20"/>
  <c r="AZA18" i="20"/>
  <c r="AZB18" i="20"/>
  <c r="AZC18" i="20"/>
  <c r="AZD18" i="20"/>
  <c r="AZE18" i="20"/>
  <c r="AZF18" i="20"/>
  <c r="AZG18" i="20"/>
  <c r="AZH18" i="20"/>
  <c r="AZI18" i="20"/>
  <c r="AZJ18" i="20"/>
  <c r="AZK18" i="20"/>
  <c r="AZL18" i="20"/>
  <c r="AZM18" i="20"/>
  <c r="AZN18" i="20"/>
  <c r="AZO18" i="20"/>
  <c r="AZP18" i="20"/>
  <c r="AZQ18" i="20"/>
  <c r="AZR18" i="20"/>
  <c r="AZS18" i="20"/>
  <c r="AZT18" i="20"/>
  <c r="AZU18" i="20"/>
  <c r="AZV18" i="20"/>
  <c r="AZW18" i="20"/>
  <c r="AZX18" i="20"/>
  <c r="AZY18" i="20"/>
  <c r="AZZ18" i="20"/>
  <c r="BAA18" i="20"/>
  <c r="BAB18" i="20"/>
  <c r="BAC18" i="20"/>
  <c r="BAD18" i="20"/>
  <c r="BAE18" i="20"/>
  <c r="BAF18" i="20"/>
  <c r="BAG18" i="20"/>
  <c r="BAH18" i="20"/>
  <c r="BAI18" i="20"/>
  <c r="BAJ18" i="20"/>
  <c r="BAK18" i="20"/>
  <c r="BAL18" i="20"/>
  <c r="BAM18" i="20"/>
  <c r="BAN18" i="20"/>
  <c r="BAO18" i="20"/>
  <c r="BAP18" i="20"/>
  <c r="BAQ18" i="20"/>
  <c r="BAR18" i="20"/>
  <c r="BAS18" i="20"/>
  <c r="BAT18" i="20"/>
  <c r="BAU18" i="20"/>
  <c r="BAV18" i="20"/>
  <c r="BAW18" i="20"/>
  <c r="BAX18" i="20"/>
  <c r="BAY18" i="20"/>
  <c r="BAZ18" i="20"/>
  <c r="BBA18" i="20"/>
  <c r="BBB18" i="20"/>
  <c r="BBC18" i="20"/>
  <c r="BBD18" i="20"/>
  <c r="BBE18" i="20"/>
  <c r="BBF18" i="20"/>
  <c r="BBG18" i="20"/>
  <c r="BBH18" i="20"/>
  <c r="BBI18" i="20"/>
  <c r="BBJ18" i="20"/>
  <c r="BBK18" i="20"/>
  <c r="BBL18" i="20"/>
  <c r="BBM18" i="20"/>
  <c r="BBN18" i="20"/>
  <c r="BBO18" i="20"/>
  <c r="BBP18" i="20"/>
  <c r="BBQ18" i="20"/>
  <c r="BBR18" i="20"/>
  <c r="BBS18" i="20"/>
  <c r="BBT18" i="20"/>
  <c r="BBU18" i="20"/>
  <c r="BBV18" i="20"/>
  <c r="BBW18" i="20"/>
  <c r="BBX18" i="20"/>
  <c r="BBY18" i="20"/>
  <c r="BBZ18" i="20"/>
  <c r="BCA18" i="20"/>
  <c r="BCB18" i="20"/>
  <c r="BCC18" i="20"/>
  <c r="BCD18" i="20"/>
  <c r="BCE18" i="20"/>
  <c r="BCF18" i="20"/>
  <c r="BCG18" i="20"/>
  <c r="BCH18" i="20"/>
  <c r="BCI18" i="20"/>
  <c r="BCJ18" i="20"/>
  <c r="BCK18" i="20"/>
  <c r="BCL18" i="20"/>
  <c r="BCM18" i="20"/>
  <c r="BCN18" i="20"/>
  <c r="BCO18" i="20"/>
  <c r="BCP18" i="20"/>
  <c r="BCQ18" i="20"/>
  <c r="BCR18" i="20"/>
  <c r="BCS18" i="20"/>
  <c r="BCT18" i="20"/>
  <c r="BCU18" i="20"/>
  <c r="BCV18" i="20"/>
  <c r="BCW18" i="20"/>
  <c r="BCX18" i="20"/>
  <c r="BCY18" i="20"/>
  <c r="BCZ18" i="20"/>
  <c r="BDA18" i="20"/>
  <c r="BDB18" i="20"/>
  <c r="BDC18" i="20"/>
  <c r="BDD18" i="20"/>
  <c r="BDE18" i="20"/>
  <c r="BDF18" i="20"/>
  <c r="BDG18" i="20"/>
  <c r="BDH18" i="20"/>
  <c r="BDI18" i="20"/>
  <c r="BDJ18" i="20"/>
  <c r="BDK18" i="20"/>
  <c r="BDL18" i="20"/>
  <c r="BDM18" i="20"/>
  <c r="BDN18" i="20"/>
  <c r="BDO18" i="20"/>
  <c r="BDP18" i="20"/>
  <c r="BDQ18" i="20"/>
  <c r="BDR18" i="20"/>
  <c r="BDS18" i="20"/>
  <c r="BDT18" i="20"/>
  <c r="BDU18" i="20"/>
  <c r="BDV18" i="20"/>
  <c r="BDW18" i="20"/>
  <c r="BDX18" i="20"/>
  <c r="BDY18" i="20"/>
  <c r="BDZ18" i="20"/>
  <c r="BEA18" i="20"/>
  <c r="BEB18" i="20"/>
  <c r="BEC18" i="20"/>
  <c r="BED18" i="20"/>
  <c r="BEE18" i="20"/>
  <c r="BEF18" i="20"/>
  <c r="BEG18" i="20"/>
  <c r="BEH18" i="20"/>
  <c r="BEI18" i="20"/>
  <c r="BEJ18" i="20"/>
  <c r="BEK18" i="20"/>
  <c r="BEL18" i="20"/>
  <c r="BEM18" i="20"/>
  <c r="BEN18" i="20"/>
  <c r="BEO18" i="20"/>
  <c r="BEP18" i="20"/>
  <c r="BEQ18" i="20"/>
  <c r="BER18" i="20"/>
  <c r="BES18" i="20"/>
  <c r="BET18" i="20"/>
  <c r="BEU18" i="20"/>
  <c r="BEV18" i="20"/>
  <c r="BEW18" i="20"/>
  <c r="BEX18" i="20"/>
  <c r="BEY18" i="20"/>
  <c r="BEZ18" i="20"/>
  <c r="BFA18" i="20"/>
  <c r="BFB18" i="20"/>
  <c r="BFC18" i="20"/>
  <c r="BFD18" i="20"/>
  <c r="BFE18" i="20"/>
  <c r="BFF18" i="20"/>
  <c r="BFG18" i="20"/>
  <c r="BFH18" i="20"/>
  <c r="BFI18" i="20"/>
  <c r="BFJ18" i="20"/>
  <c r="BFK18" i="20"/>
  <c r="BFL18" i="20"/>
  <c r="BFM18" i="20"/>
  <c r="BFN18" i="20"/>
  <c r="BFO18" i="20"/>
  <c r="BFP18" i="20"/>
  <c r="BFQ18" i="20"/>
  <c r="BFR18" i="20"/>
  <c r="BFS18" i="20"/>
  <c r="BFT18" i="20"/>
  <c r="BFU18" i="20"/>
  <c r="BFV18" i="20"/>
  <c r="BFW18" i="20"/>
  <c r="BFX18" i="20"/>
  <c r="BFY18" i="20"/>
  <c r="BFZ18" i="20"/>
  <c r="BGA18" i="20"/>
  <c r="BGB18" i="20"/>
  <c r="BGC18" i="20"/>
  <c r="BGD18" i="20"/>
  <c r="BGE18" i="20"/>
  <c r="BGF18" i="20"/>
  <c r="BGG18" i="20"/>
  <c r="BGH18" i="20"/>
  <c r="BGI18" i="20"/>
  <c r="BGJ18" i="20"/>
  <c r="BGK18" i="20"/>
  <c r="BGL18" i="20"/>
  <c r="BGM18" i="20"/>
  <c r="BGN18" i="20"/>
  <c r="BGO18" i="20"/>
  <c r="BGP18" i="20"/>
  <c r="BGQ18" i="20"/>
  <c r="BGR18" i="20"/>
  <c r="BGS18" i="20"/>
  <c r="BGT18" i="20"/>
  <c r="BGU18" i="20"/>
  <c r="BGV18" i="20"/>
  <c r="BGW18" i="20"/>
  <c r="BGX18" i="20"/>
  <c r="BGY18" i="20"/>
  <c r="BGZ18" i="20"/>
  <c r="BHA18" i="20"/>
  <c r="BHB18" i="20"/>
  <c r="BHC18" i="20"/>
  <c r="BHD18" i="20"/>
  <c r="BHE18" i="20"/>
  <c r="BHF18" i="20"/>
  <c r="BHG18" i="20"/>
  <c r="BHH18" i="20"/>
  <c r="BHI18" i="20"/>
  <c r="BHJ18" i="20"/>
  <c r="BHK18" i="20"/>
  <c r="BHL18" i="20"/>
  <c r="BHM18" i="20"/>
  <c r="BHN18" i="20"/>
  <c r="BHO18" i="20"/>
  <c r="BHP18" i="20"/>
  <c r="BHQ18" i="20"/>
  <c r="BHR18" i="20"/>
  <c r="BHS18" i="20"/>
  <c r="BHT18" i="20"/>
  <c r="BHU18" i="20"/>
  <c r="BHV18" i="20"/>
  <c r="BHW18" i="20"/>
  <c r="BHX18" i="20"/>
  <c r="BHY18" i="20"/>
  <c r="BHZ18" i="20"/>
  <c r="BIA18" i="20"/>
  <c r="BIB18" i="20"/>
  <c r="BIC18" i="20"/>
  <c r="BID18" i="20"/>
  <c r="BIE18" i="20"/>
  <c r="BIF18" i="20"/>
  <c r="BIG18" i="20"/>
  <c r="BIH18" i="20"/>
  <c r="BII18" i="20"/>
  <c r="BIJ18" i="20"/>
  <c r="BIK18" i="20"/>
  <c r="BIL18" i="20"/>
  <c r="BIM18" i="20"/>
  <c r="BIN18" i="20"/>
  <c r="BIO18" i="20"/>
  <c r="BIP18" i="20"/>
  <c r="BIQ18" i="20"/>
  <c r="BIR18" i="20"/>
  <c r="BIS18" i="20"/>
  <c r="BIT18" i="20"/>
  <c r="BIU18" i="20"/>
  <c r="BIV18" i="20"/>
  <c r="BIW18" i="20"/>
  <c r="BIX18" i="20"/>
  <c r="BIY18" i="20"/>
  <c r="BIZ18" i="20"/>
  <c r="BJA18" i="20"/>
  <c r="BJB18" i="20"/>
  <c r="BJC18" i="20"/>
  <c r="BJD18" i="20"/>
  <c r="BJE18" i="20"/>
  <c r="BJF18" i="20"/>
  <c r="BJG18" i="20"/>
  <c r="BJH18" i="20"/>
  <c r="BJI18" i="20"/>
  <c r="BJJ18" i="20"/>
  <c r="BJK18" i="20"/>
  <c r="BJL18" i="20"/>
  <c r="BJM18" i="20"/>
  <c r="BJN18" i="20"/>
  <c r="BJO18" i="20"/>
  <c r="BJP18" i="20"/>
  <c r="BJQ18" i="20"/>
  <c r="BJR18" i="20"/>
  <c r="BJS18" i="20"/>
  <c r="BJT18" i="20"/>
  <c r="BJU18" i="20"/>
  <c r="BJV18" i="20"/>
  <c r="BJW18" i="20"/>
  <c r="BJX18" i="20"/>
  <c r="BJY18" i="20"/>
  <c r="BJZ18" i="20"/>
  <c r="BKA18" i="20"/>
  <c r="BKB18" i="20"/>
  <c r="BKC18" i="20"/>
  <c r="BKD18" i="20"/>
  <c r="BKE18" i="20"/>
  <c r="BKF18" i="20"/>
  <c r="BKG18" i="20"/>
  <c r="BKH18" i="20"/>
  <c r="BKI18" i="20"/>
  <c r="BKJ18" i="20"/>
  <c r="BKK18" i="20"/>
  <c r="BKL18" i="20"/>
  <c r="BKM18" i="20"/>
  <c r="BKN18" i="20"/>
  <c r="BKO18" i="20"/>
  <c r="BKP18" i="20"/>
  <c r="BKQ18" i="20"/>
  <c r="BKR18" i="20"/>
  <c r="BKS18" i="20"/>
  <c r="BKT18" i="20"/>
  <c r="BKU18" i="20"/>
  <c r="BKV18" i="20"/>
  <c r="BKW18" i="20"/>
  <c r="BKX18" i="20"/>
  <c r="BKY18" i="20"/>
  <c r="BKZ18" i="20"/>
  <c r="BLA18" i="20"/>
  <c r="BLB18" i="20"/>
  <c r="BLC18" i="20"/>
  <c r="BLD18" i="20"/>
  <c r="BLE18" i="20"/>
  <c r="BLF18" i="20"/>
  <c r="BLG18" i="20"/>
  <c r="BLH18" i="20"/>
  <c r="BLI18" i="20"/>
  <c r="BLJ18" i="20"/>
  <c r="BLK18" i="20"/>
  <c r="BLL18" i="20"/>
  <c r="BLM18" i="20"/>
  <c r="BLN18" i="20"/>
  <c r="BLO18" i="20"/>
  <c r="BLP18" i="20"/>
  <c r="BLQ18" i="20"/>
  <c r="BLR18" i="20"/>
  <c r="BLS18" i="20"/>
  <c r="BLT18" i="20"/>
  <c r="BLU18" i="20"/>
  <c r="BLV18" i="20"/>
  <c r="BLW18" i="20"/>
  <c r="BLX18" i="20"/>
  <c r="BLY18" i="20"/>
  <c r="BLZ18" i="20"/>
  <c r="BMA18" i="20"/>
  <c r="BMB18" i="20"/>
  <c r="BMC18" i="20"/>
  <c r="BMD18" i="20"/>
  <c r="BME18" i="20"/>
  <c r="BMF18" i="20"/>
  <c r="BMG18" i="20"/>
  <c r="BMH18" i="20"/>
  <c r="BMI18" i="20"/>
  <c r="BMJ18" i="20"/>
  <c r="BMK18" i="20"/>
  <c r="BML18" i="20"/>
  <c r="BMM18" i="20"/>
  <c r="BMN18" i="20"/>
  <c r="BMO18" i="20"/>
  <c r="BMP18" i="20"/>
  <c r="BMQ18" i="20"/>
  <c r="BMR18" i="20"/>
  <c r="BMS18" i="20"/>
  <c r="BMT18" i="20"/>
  <c r="BMU18" i="20"/>
  <c r="BMV18" i="20"/>
  <c r="BMW18" i="20"/>
  <c r="BMX18" i="20"/>
  <c r="BMY18" i="20"/>
  <c r="BMZ18" i="20"/>
  <c r="BNA18" i="20"/>
  <c r="BNB18" i="20"/>
  <c r="BNC18" i="20"/>
  <c r="BND18" i="20"/>
  <c r="BNE18" i="20"/>
  <c r="BNF18" i="20"/>
  <c r="BNG18" i="20"/>
  <c r="BNH18" i="20"/>
  <c r="BNI18" i="20"/>
  <c r="BNJ18" i="20"/>
  <c r="BNK18" i="20"/>
  <c r="BNL18" i="20"/>
  <c r="BNM18" i="20"/>
  <c r="BNN18" i="20"/>
  <c r="BNO18" i="20"/>
  <c r="BNP18" i="20"/>
  <c r="BNQ18" i="20"/>
  <c r="BNR18" i="20"/>
  <c r="BNS18" i="20"/>
  <c r="BNT18" i="20"/>
  <c r="BNU18" i="20"/>
  <c r="BNV18" i="20"/>
  <c r="BNW18" i="20"/>
  <c r="BNX18" i="20"/>
  <c r="BNY18" i="20"/>
  <c r="BNZ18" i="20"/>
  <c r="BOA18" i="20"/>
  <c r="BOB18" i="20"/>
  <c r="BOC18" i="20"/>
  <c r="BOD18" i="20"/>
  <c r="BOE18" i="20"/>
  <c r="BOF18" i="20"/>
  <c r="BOG18" i="20"/>
  <c r="BOH18" i="20"/>
  <c r="BOI18" i="20"/>
  <c r="BOJ18" i="20"/>
  <c r="BOK18" i="20"/>
  <c r="BOL18" i="20"/>
  <c r="BOM18" i="20"/>
  <c r="BON18" i="20"/>
  <c r="BOO18" i="20"/>
  <c r="BOP18" i="20"/>
  <c r="BOQ18" i="20"/>
  <c r="BOR18" i="20"/>
  <c r="BOS18" i="20"/>
  <c r="BOT18" i="20"/>
  <c r="BOU18" i="20"/>
  <c r="BOV18" i="20"/>
  <c r="BOW18" i="20"/>
  <c r="BOX18" i="20"/>
  <c r="BOY18" i="20"/>
  <c r="BOZ18" i="20"/>
  <c r="BPA18" i="20"/>
  <c r="BPB18" i="20"/>
  <c r="BPC18" i="20"/>
  <c r="BPD18" i="20"/>
  <c r="BPE18" i="20"/>
  <c r="BPF18" i="20"/>
  <c r="BPG18" i="20"/>
  <c r="BPH18" i="20"/>
  <c r="BPI18" i="20"/>
  <c r="BPJ18" i="20"/>
  <c r="BPK18" i="20"/>
  <c r="BPL18" i="20"/>
  <c r="BPM18" i="20"/>
  <c r="BPN18" i="20"/>
  <c r="BPO18" i="20"/>
  <c r="BPP18" i="20"/>
  <c r="BPQ18" i="20"/>
  <c r="BPR18" i="20"/>
  <c r="BPS18" i="20"/>
  <c r="BPT18" i="20"/>
  <c r="BPU18" i="20"/>
  <c r="BPV18" i="20"/>
  <c r="BPW18" i="20"/>
  <c r="BPX18" i="20"/>
  <c r="BPY18" i="20"/>
  <c r="BPZ18" i="20"/>
  <c r="BQA18" i="20"/>
  <c r="BQB18" i="20"/>
  <c r="BQC18" i="20"/>
  <c r="BQD18" i="20"/>
  <c r="BQE18" i="20"/>
  <c r="BQF18" i="20"/>
  <c r="BQG18" i="20"/>
  <c r="BQH18" i="20"/>
  <c r="BQI18" i="20"/>
  <c r="BQJ18" i="20"/>
  <c r="BQK18" i="20"/>
  <c r="BQL18" i="20"/>
  <c r="BQM18" i="20"/>
  <c r="BQN18" i="20"/>
  <c r="BQO18" i="20"/>
  <c r="BQP18" i="20"/>
  <c r="BQQ18" i="20"/>
  <c r="BQR18" i="20"/>
  <c r="BQS18" i="20"/>
  <c r="BQT18" i="20"/>
  <c r="BQU18" i="20"/>
  <c r="BQV18" i="20"/>
  <c r="BQW18" i="20"/>
  <c r="BQX18" i="20"/>
  <c r="BQY18" i="20"/>
  <c r="BQZ18" i="20"/>
  <c r="BRA18" i="20"/>
  <c r="BRB18" i="20"/>
  <c r="BRC18" i="20"/>
  <c r="BRD18" i="20"/>
  <c r="BRE18" i="20"/>
  <c r="BRF18" i="20"/>
  <c r="BRG18" i="20"/>
  <c r="BRH18" i="20"/>
  <c r="BRI18" i="20"/>
  <c r="BRJ18" i="20"/>
  <c r="BRK18" i="20"/>
  <c r="BRL18" i="20"/>
  <c r="BRM18" i="20"/>
  <c r="BRN18" i="20"/>
  <c r="BRO18" i="20"/>
  <c r="BRP18" i="20"/>
  <c r="BRQ18" i="20"/>
  <c r="BRR18" i="20"/>
  <c r="BRS18" i="20"/>
  <c r="BRT18" i="20"/>
  <c r="BRU18" i="20"/>
  <c r="BRV18" i="20"/>
  <c r="BRW18" i="20"/>
  <c r="BRX18" i="20"/>
  <c r="BRY18" i="20"/>
  <c r="BRZ18" i="20"/>
  <c r="BSA18" i="20"/>
  <c r="BSB18" i="20"/>
  <c r="BSC18" i="20"/>
  <c r="BSD18" i="20"/>
  <c r="BSE18" i="20"/>
  <c r="BSF18" i="20"/>
  <c r="BSG18" i="20"/>
  <c r="BSH18" i="20"/>
  <c r="BSI18" i="20"/>
  <c r="BSJ18" i="20"/>
  <c r="BSK18" i="20"/>
  <c r="BSL18" i="20"/>
  <c r="BSM18" i="20"/>
  <c r="BSN18" i="20"/>
  <c r="BSO18" i="20"/>
  <c r="BSP18" i="20"/>
  <c r="BSQ18" i="20"/>
  <c r="BSR18" i="20"/>
  <c r="BSS18" i="20"/>
  <c r="BST18" i="20"/>
  <c r="BSU18" i="20"/>
  <c r="BSV18" i="20"/>
  <c r="BSW18" i="20"/>
  <c r="BSX18" i="20"/>
  <c r="BSY18" i="20"/>
  <c r="BSZ18" i="20"/>
  <c r="BTA18" i="20"/>
  <c r="BTB18" i="20"/>
  <c r="BTC18" i="20"/>
  <c r="BTD18" i="20"/>
  <c r="BTE18" i="20"/>
  <c r="BTF18" i="20"/>
  <c r="BTG18" i="20"/>
  <c r="BTH18" i="20"/>
  <c r="BTI18" i="20"/>
  <c r="BTJ18" i="20"/>
  <c r="BTK18" i="20"/>
  <c r="BTL18" i="20"/>
  <c r="BTM18" i="20"/>
  <c r="BTN18" i="20"/>
  <c r="BTO18" i="20"/>
  <c r="BTP18" i="20"/>
  <c r="BTQ18" i="20"/>
  <c r="BTR18" i="20"/>
  <c r="BTS18" i="20"/>
  <c r="BTT18" i="20"/>
  <c r="BTU18" i="20"/>
  <c r="BTV18" i="20"/>
  <c r="BTW18" i="20"/>
  <c r="BTX18" i="20"/>
  <c r="BTY18" i="20"/>
  <c r="BTZ18" i="20"/>
  <c r="BUA18" i="20"/>
  <c r="BUB18" i="20"/>
  <c r="BUC18" i="20"/>
  <c r="BUD18" i="20"/>
  <c r="BUE18" i="20"/>
  <c r="BUF18" i="20"/>
  <c r="BUG18" i="20"/>
  <c r="BUH18" i="20"/>
  <c r="BUI18" i="20"/>
  <c r="BUJ18" i="20"/>
  <c r="BUK18" i="20"/>
  <c r="BUL18" i="20"/>
  <c r="BUM18" i="20"/>
  <c r="BUN18" i="20"/>
  <c r="BUO18" i="20"/>
  <c r="BUP18" i="20"/>
  <c r="BUQ18" i="20"/>
  <c r="BUR18" i="20"/>
  <c r="BUS18" i="20"/>
  <c r="BUT18" i="20"/>
  <c r="BUU18" i="20"/>
  <c r="BUV18" i="20"/>
  <c r="BUW18" i="20"/>
  <c r="BUX18" i="20"/>
  <c r="BUY18" i="20"/>
  <c r="BUZ18" i="20"/>
  <c r="BVA18" i="20"/>
  <c r="BVB18" i="20"/>
  <c r="BVC18" i="20"/>
  <c r="BVD18" i="20"/>
  <c r="BVE18" i="20"/>
  <c r="BVF18" i="20"/>
  <c r="BVG18" i="20"/>
  <c r="BVH18" i="20"/>
  <c r="BVI18" i="20"/>
  <c r="BVJ18" i="20"/>
  <c r="BVK18" i="20"/>
  <c r="BVL18" i="20"/>
  <c r="BVM18" i="20"/>
  <c r="BVN18" i="20"/>
  <c r="BVO18" i="20"/>
  <c r="BVP18" i="20"/>
  <c r="BVQ18" i="20"/>
  <c r="BVR18" i="20"/>
  <c r="BVS18" i="20"/>
  <c r="BVT18" i="20"/>
  <c r="BVU18" i="20"/>
  <c r="BVV18" i="20"/>
  <c r="BVW18" i="20"/>
  <c r="BVX18" i="20"/>
  <c r="BVY18" i="20"/>
  <c r="BVZ18" i="20"/>
  <c r="BWA18" i="20"/>
  <c r="BWB18" i="20"/>
  <c r="BWC18" i="20"/>
  <c r="BWD18" i="20"/>
  <c r="BWE18" i="20"/>
  <c r="BWF18" i="20"/>
  <c r="BWG18" i="20"/>
  <c r="BWH18" i="20"/>
  <c r="BWI18" i="20"/>
  <c r="BWJ18" i="20"/>
  <c r="BWK18" i="20"/>
  <c r="BWL18" i="20"/>
  <c r="BWM18" i="20"/>
  <c r="BWN18" i="20"/>
  <c r="BWO18" i="20"/>
  <c r="BWP18" i="20"/>
  <c r="BWQ18" i="20"/>
  <c r="BWR18" i="20"/>
  <c r="BWS18" i="20"/>
  <c r="BWT18" i="20"/>
  <c r="BWU18" i="20"/>
  <c r="BWV18" i="20"/>
  <c r="BWW18" i="20"/>
  <c r="BWX18" i="20"/>
  <c r="BWY18" i="20"/>
  <c r="BWZ18" i="20"/>
  <c r="BXA18" i="20"/>
  <c r="BXB18" i="20"/>
  <c r="BXC18" i="20"/>
  <c r="BXD18" i="20"/>
  <c r="BXE18" i="20"/>
  <c r="BXF18" i="20"/>
  <c r="BXG18" i="20"/>
  <c r="BXH18" i="20"/>
  <c r="BXI18" i="20"/>
  <c r="BXJ18" i="20"/>
  <c r="BXK18" i="20"/>
  <c r="BXL18" i="20"/>
  <c r="BXM18" i="20"/>
  <c r="BXN18" i="20"/>
  <c r="BXO18" i="20"/>
  <c r="BXP18" i="20"/>
  <c r="BXQ18" i="20"/>
  <c r="BXR18" i="20"/>
  <c r="BXS18" i="20"/>
  <c r="BXT18" i="20"/>
  <c r="BXU18" i="20"/>
  <c r="BXV18" i="20"/>
  <c r="BXW18" i="20"/>
  <c r="BXX18" i="20"/>
  <c r="BXY18" i="20"/>
  <c r="BXZ18" i="20"/>
  <c r="BYA18" i="20"/>
  <c r="BYB18" i="20"/>
  <c r="BYC18" i="20"/>
  <c r="BYD18" i="20"/>
  <c r="BYE18" i="20"/>
  <c r="BYF18" i="20"/>
  <c r="BYG18" i="20"/>
  <c r="BYH18" i="20"/>
  <c r="BYI18" i="20"/>
  <c r="BYJ18" i="20"/>
  <c r="BYK18" i="20"/>
  <c r="BYL18" i="20"/>
  <c r="BYM18" i="20"/>
  <c r="BYN18" i="20"/>
  <c r="BYO18" i="20"/>
  <c r="BYP18" i="20"/>
  <c r="BYQ18" i="20"/>
  <c r="BYR18" i="20"/>
  <c r="BYS18" i="20"/>
  <c r="BYT18" i="20"/>
  <c r="BYU18" i="20"/>
  <c r="BYV18" i="20"/>
  <c r="BYW18" i="20"/>
  <c r="BYX18" i="20"/>
  <c r="BYY18" i="20"/>
  <c r="BYZ18" i="20"/>
  <c r="BZA18" i="20"/>
  <c r="BZB18" i="20"/>
  <c r="BZC18" i="20"/>
  <c r="BZD18" i="20"/>
  <c r="BZE18" i="20"/>
  <c r="BZF18" i="20"/>
  <c r="BZG18" i="20"/>
  <c r="BZH18" i="20"/>
  <c r="BZI18" i="20"/>
  <c r="BZJ18" i="20"/>
  <c r="BZK18" i="20"/>
  <c r="BZL18" i="20"/>
  <c r="BZM18" i="20"/>
  <c r="BZN18" i="20"/>
  <c r="BZO18" i="20"/>
  <c r="BZP18" i="20"/>
  <c r="BZQ18" i="20"/>
  <c r="BZR18" i="20"/>
  <c r="BZS18" i="20"/>
  <c r="BZT18" i="20"/>
  <c r="BZU18" i="20"/>
  <c r="BZV18" i="20"/>
  <c r="BZW18" i="20"/>
  <c r="BZX18" i="20"/>
  <c r="BZY18" i="20"/>
  <c r="BZZ18" i="20"/>
  <c r="CAA18" i="20"/>
  <c r="CAB18" i="20"/>
  <c r="CAC18" i="20"/>
  <c r="CAD18" i="20"/>
  <c r="CAE18" i="20"/>
  <c r="CAF18" i="20"/>
  <c r="CAG18" i="20"/>
  <c r="CAH18" i="20"/>
  <c r="CAI18" i="20"/>
  <c r="CAJ18" i="20"/>
  <c r="CAK18" i="20"/>
  <c r="CAL18" i="20"/>
  <c r="CAM18" i="20"/>
  <c r="CAN18" i="20"/>
  <c r="CAO18" i="20"/>
  <c r="CAP18" i="20"/>
  <c r="CAQ18" i="20"/>
  <c r="CAR18" i="20"/>
  <c r="CAS18" i="20"/>
  <c r="CAT18" i="20"/>
  <c r="CAU18" i="20"/>
  <c r="CAV18" i="20"/>
  <c r="CAW18" i="20"/>
  <c r="CAX18" i="20"/>
  <c r="CAY18" i="20"/>
  <c r="CAZ18" i="20"/>
  <c r="CBA18" i="20"/>
  <c r="CBB18" i="20"/>
  <c r="CBC18" i="20"/>
  <c r="CBD18" i="20"/>
  <c r="CBE18" i="20"/>
  <c r="CBF18" i="20"/>
  <c r="CBG18" i="20"/>
  <c r="CBH18" i="20"/>
  <c r="CBI18" i="20"/>
  <c r="CBJ18" i="20"/>
  <c r="CBK18" i="20"/>
  <c r="CBL18" i="20"/>
  <c r="CBM18" i="20"/>
  <c r="CBN18" i="20"/>
  <c r="CBO18" i="20"/>
  <c r="CBP18" i="20"/>
  <c r="CBQ18" i="20"/>
  <c r="CBR18" i="20"/>
  <c r="CBS18" i="20"/>
  <c r="CBT18" i="20"/>
  <c r="CBU18" i="20"/>
  <c r="CBV18" i="20"/>
  <c r="CBW18" i="20"/>
  <c r="CBX18" i="20"/>
  <c r="CBY18" i="20"/>
  <c r="CBZ18" i="20"/>
  <c r="CCA18" i="20"/>
  <c r="CCB18" i="20"/>
  <c r="CCC18" i="20"/>
  <c r="CCD18" i="20"/>
  <c r="CCE18" i="20"/>
  <c r="CCF18" i="20"/>
  <c r="CCG18" i="20"/>
  <c r="CCH18" i="20"/>
  <c r="CCI18" i="20"/>
  <c r="CCJ18" i="20"/>
  <c r="CCK18" i="20"/>
  <c r="CCL18" i="20"/>
  <c r="CCM18" i="20"/>
  <c r="CCN18" i="20"/>
  <c r="CCO18" i="20"/>
  <c r="CCP18" i="20"/>
  <c r="CCQ18" i="20"/>
  <c r="CCR18" i="20"/>
  <c r="CCS18" i="20"/>
  <c r="CCT18" i="20"/>
  <c r="CCU18" i="20"/>
  <c r="CCV18" i="20"/>
  <c r="CCW18" i="20"/>
  <c r="CCX18" i="20"/>
  <c r="CCY18" i="20"/>
  <c r="CCZ18" i="20"/>
  <c r="CDA18" i="20"/>
  <c r="CDB18" i="20"/>
  <c r="CDC18" i="20"/>
  <c r="CDD18" i="20"/>
  <c r="CDE18" i="20"/>
  <c r="CDF18" i="20"/>
  <c r="CDG18" i="20"/>
  <c r="CDH18" i="20"/>
  <c r="CDI18" i="20"/>
  <c r="CDJ18" i="20"/>
  <c r="CDK18" i="20"/>
  <c r="CDL18" i="20"/>
  <c r="CDM18" i="20"/>
  <c r="CDN18" i="20"/>
  <c r="CDO18" i="20"/>
  <c r="CDP18" i="20"/>
  <c r="CDQ18" i="20"/>
  <c r="CDR18" i="20"/>
  <c r="CDS18" i="20"/>
  <c r="CDT18" i="20"/>
  <c r="CDU18" i="20"/>
  <c r="CDV18" i="20"/>
  <c r="CDW18" i="20"/>
  <c r="CDX18" i="20"/>
  <c r="CDY18" i="20"/>
  <c r="CDZ18" i="20"/>
  <c r="CEA18" i="20"/>
  <c r="CEB18" i="20"/>
  <c r="CEC18" i="20"/>
  <c r="CED18" i="20"/>
  <c r="CEE18" i="20"/>
  <c r="CEF18" i="20"/>
  <c r="CEG18" i="20"/>
  <c r="CEH18" i="20"/>
  <c r="CEI18" i="20"/>
  <c r="CEJ18" i="20"/>
  <c r="CEK18" i="20"/>
  <c r="CEL18" i="20"/>
  <c r="CEM18" i="20"/>
  <c r="CEN18" i="20"/>
  <c r="CEO18" i="20"/>
  <c r="CEP18" i="20"/>
  <c r="CEQ18" i="20"/>
  <c r="CER18" i="20"/>
  <c r="CES18" i="20"/>
  <c r="CET18" i="20"/>
  <c r="CEU18" i="20"/>
  <c r="CEV18" i="20"/>
  <c r="CEW18" i="20"/>
  <c r="CEX18" i="20"/>
  <c r="CEY18" i="20"/>
  <c r="CEZ18" i="20"/>
  <c r="CFA18" i="20"/>
  <c r="CFB18" i="20"/>
  <c r="CFC18" i="20"/>
  <c r="CFD18" i="20"/>
  <c r="CFE18" i="20"/>
  <c r="CFF18" i="20"/>
  <c r="CFG18" i="20"/>
  <c r="CFH18" i="20"/>
  <c r="CFI18" i="20"/>
  <c r="CFJ18" i="20"/>
  <c r="CFK18" i="20"/>
  <c r="CFL18" i="20"/>
  <c r="CFM18" i="20"/>
  <c r="CFN18" i="20"/>
  <c r="CFO18" i="20"/>
  <c r="CFP18" i="20"/>
  <c r="CFQ18" i="20"/>
  <c r="CFR18" i="20"/>
  <c r="CFS18" i="20"/>
  <c r="CFT18" i="20"/>
  <c r="CFU18" i="20"/>
  <c r="CFV18" i="20"/>
  <c r="CFW18" i="20"/>
  <c r="CFX18" i="20"/>
  <c r="CFY18" i="20"/>
  <c r="CFZ18" i="20"/>
  <c r="CGA18" i="20"/>
  <c r="CGB18" i="20"/>
  <c r="CGC18" i="20"/>
  <c r="CGD18" i="20"/>
  <c r="CGE18" i="20"/>
  <c r="CGF18" i="20"/>
  <c r="CGG18" i="20"/>
  <c r="CGH18" i="20"/>
  <c r="CGI18" i="20"/>
  <c r="CGJ18" i="20"/>
  <c r="CGK18" i="20"/>
  <c r="CGL18" i="20"/>
  <c r="CGM18" i="20"/>
  <c r="CGN18" i="20"/>
  <c r="CGO18" i="20"/>
  <c r="CGP18" i="20"/>
  <c r="CGQ18" i="20"/>
  <c r="CGR18" i="20"/>
  <c r="CGS18" i="20"/>
  <c r="CGT18" i="20"/>
  <c r="CGU18" i="20"/>
  <c r="CGV18" i="20"/>
  <c r="CGW18" i="20"/>
  <c r="CGX18" i="20"/>
  <c r="CGY18" i="20"/>
  <c r="CGZ18" i="20"/>
  <c r="CHA18" i="20"/>
  <c r="CHB18" i="20"/>
  <c r="CHC18" i="20"/>
  <c r="CHD18" i="20"/>
  <c r="CHE18" i="20"/>
  <c r="CHF18" i="20"/>
  <c r="CHG18" i="20"/>
  <c r="CHH18" i="20"/>
  <c r="CHI18" i="20"/>
  <c r="CHJ18" i="20"/>
  <c r="CHK18" i="20"/>
  <c r="CHL18" i="20"/>
  <c r="CHM18" i="20"/>
  <c r="CHN18" i="20"/>
  <c r="CHO18" i="20"/>
  <c r="CHP18" i="20"/>
  <c r="CHQ18" i="20"/>
  <c r="CHR18" i="20"/>
  <c r="CHS18" i="20"/>
  <c r="CHT18" i="20"/>
  <c r="CHU18" i="20"/>
  <c r="CHV18" i="20"/>
  <c r="CHW18" i="20"/>
  <c r="CHX18" i="20"/>
  <c r="CHY18" i="20"/>
  <c r="CHZ18" i="20"/>
  <c r="CIA18" i="20"/>
  <c r="CIB18" i="20"/>
  <c r="CIC18" i="20"/>
  <c r="CID18" i="20"/>
  <c r="CIE18" i="20"/>
  <c r="CIF18" i="20"/>
  <c r="CIG18" i="20"/>
  <c r="CIH18" i="20"/>
  <c r="CII18" i="20"/>
  <c r="CIJ18" i="20"/>
  <c r="CIK18" i="20"/>
  <c r="CIL18" i="20"/>
  <c r="CIM18" i="20"/>
  <c r="CIN18" i="20"/>
  <c r="CIO18" i="20"/>
  <c r="CIP18" i="20"/>
  <c r="CIQ18" i="20"/>
  <c r="CIR18" i="20"/>
  <c r="CIS18" i="20"/>
  <c r="CIT18" i="20"/>
  <c r="CIU18" i="20"/>
  <c r="CIV18" i="20"/>
  <c r="CIW18" i="20"/>
  <c r="CIX18" i="20"/>
  <c r="CIY18" i="20"/>
  <c r="CIZ18" i="20"/>
  <c r="CJA18" i="20"/>
  <c r="CJB18" i="20"/>
  <c r="CJC18" i="20"/>
  <c r="CJD18" i="20"/>
  <c r="CJE18" i="20"/>
  <c r="CJF18" i="20"/>
  <c r="CJG18" i="20"/>
  <c r="CJH18" i="20"/>
  <c r="CJI18" i="20"/>
  <c r="CJJ18" i="20"/>
  <c r="CJK18" i="20"/>
  <c r="CJL18" i="20"/>
  <c r="CJM18" i="20"/>
  <c r="CJN18" i="20"/>
  <c r="CJO18" i="20"/>
  <c r="CJP18" i="20"/>
  <c r="CJQ18" i="20"/>
  <c r="CJR18" i="20"/>
  <c r="CJS18" i="20"/>
  <c r="CJT18" i="20"/>
  <c r="CJU18" i="20"/>
  <c r="CJV18" i="20"/>
  <c r="CJW18" i="20"/>
  <c r="CJX18" i="20"/>
  <c r="CJY18" i="20"/>
  <c r="CJZ18" i="20"/>
  <c r="CKA18" i="20"/>
  <c r="CKB18" i="20"/>
  <c r="CKC18" i="20"/>
  <c r="CKD18" i="20"/>
  <c r="CKE18" i="20"/>
  <c r="CKF18" i="20"/>
  <c r="CKG18" i="20"/>
  <c r="CKH18" i="20"/>
  <c r="CKI18" i="20"/>
  <c r="CKJ18" i="20"/>
  <c r="CKK18" i="20"/>
  <c r="CKL18" i="20"/>
  <c r="CKM18" i="20"/>
  <c r="CKN18" i="20"/>
  <c r="CKO18" i="20"/>
  <c r="CKP18" i="20"/>
  <c r="CKQ18" i="20"/>
  <c r="CKR18" i="20"/>
  <c r="CKS18" i="20"/>
  <c r="CKT18" i="20"/>
  <c r="CKU18" i="20"/>
  <c r="CKV18" i="20"/>
  <c r="CKW18" i="20"/>
  <c r="CKX18" i="20"/>
  <c r="CKY18" i="20"/>
  <c r="CKZ18" i="20"/>
  <c r="CLA18" i="20"/>
  <c r="CLB18" i="20"/>
  <c r="CLC18" i="20"/>
  <c r="CLD18" i="20"/>
  <c r="CLE18" i="20"/>
  <c r="CLF18" i="20"/>
  <c r="CLG18" i="20"/>
  <c r="CLH18" i="20"/>
  <c r="CLI18" i="20"/>
  <c r="CLJ18" i="20"/>
  <c r="CLK18" i="20"/>
  <c r="CLL18" i="20"/>
  <c r="CLM18" i="20"/>
  <c r="CLN18" i="20"/>
  <c r="CLO18" i="20"/>
  <c r="CLP18" i="20"/>
  <c r="CLQ18" i="20"/>
  <c r="CLR18" i="20"/>
  <c r="CLS18" i="20"/>
  <c r="CLT18" i="20"/>
  <c r="CLU18" i="20"/>
  <c r="CLV18" i="20"/>
  <c r="CLW18" i="20"/>
  <c r="CLX18" i="20"/>
  <c r="CLY18" i="20"/>
  <c r="CLZ18" i="20"/>
  <c r="CMA18" i="20"/>
  <c r="CMB18" i="20"/>
  <c r="CMC18" i="20"/>
  <c r="CMD18" i="20"/>
  <c r="CME18" i="20"/>
  <c r="CMF18" i="20"/>
  <c r="CMG18" i="20"/>
  <c r="CMH18" i="20"/>
  <c r="CMI18" i="20"/>
  <c r="CMJ18" i="20"/>
  <c r="CMK18" i="20"/>
  <c r="CML18" i="20"/>
  <c r="CMM18" i="20"/>
  <c r="CMN18" i="20"/>
  <c r="CMO18" i="20"/>
  <c r="CMP18" i="20"/>
  <c r="CMQ18" i="20"/>
  <c r="CMR18" i="20"/>
  <c r="CMS18" i="20"/>
  <c r="CMT18" i="20"/>
  <c r="CMU18" i="20"/>
  <c r="CMV18" i="20"/>
  <c r="CMW18" i="20"/>
  <c r="CMX18" i="20"/>
  <c r="CMY18" i="20"/>
  <c r="CMZ18" i="20"/>
  <c r="CNA18" i="20"/>
  <c r="CNB18" i="20"/>
  <c r="CNC18" i="20"/>
  <c r="CND18" i="20"/>
  <c r="CNE18" i="20"/>
  <c r="CNF18" i="20"/>
  <c r="CNG18" i="20"/>
  <c r="CNH18" i="20"/>
  <c r="CNI18" i="20"/>
  <c r="CNJ18" i="20"/>
  <c r="CNK18" i="20"/>
  <c r="CNL18" i="20"/>
  <c r="CNM18" i="20"/>
  <c r="CNN18" i="20"/>
  <c r="CNO18" i="20"/>
  <c r="CNP18" i="20"/>
  <c r="CNQ18" i="20"/>
  <c r="CNR18" i="20"/>
  <c r="CNS18" i="20"/>
  <c r="CNT18" i="20"/>
  <c r="CNU18" i="20"/>
  <c r="CNV18" i="20"/>
  <c r="CNW18" i="20"/>
  <c r="CNX18" i="20"/>
  <c r="CNY18" i="20"/>
  <c r="CNZ18" i="20"/>
  <c r="COA18" i="20"/>
  <c r="COB18" i="20"/>
  <c r="COC18" i="20"/>
  <c r="COD18" i="20"/>
  <c r="COE18" i="20"/>
  <c r="COF18" i="20"/>
  <c r="COG18" i="20"/>
  <c r="COH18" i="20"/>
  <c r="COI18" i="20"/>
  <c r="COJ18" i="20"/>
  <c r="COK18" i="20"/>
  <c r="COL18" i="20"/>
  <c r="COM18" i="20"/>
  <c r="CON18" i="20"/>
  <c r="COO18" i="20"/>
  <c r="COP18" i="20"/>
  <c r="COQ18" i="20"/>
  <c r="COR18" i="20"/>
  <c r="COS18" i="20"/>
  <c r="COT18" i="20"/>
  <c r="COU18" i="20"/>
  <c r="COV18" i="20"/>
  <c r="COW18" i="20"/>
  <c r="COX18" i="20"/>
  <c r="COY18" i="20"/>
  <c r="COZ18" i="20"/>
  <c r="CPA18" i="20"/>
  <c r="CPB18" i="20"/>
  <c r="CPC18" i="20"/>
  <c r="CPD18" i="20"/>
  <c r="CPE18" i="20"/>
  <c r="CPF18" i="20"/>
  <c r="CPG18" i="20"/>
  <c r="CPH18" i="20"/>
  <c r="CPI18" i="20"/>
  <c r="CPJ18" i="20"/>
  <c r="CPK18" i="20"/>
  <c r="CPL18" i="20"/>
  <c r="CPM18" i="20"/>
  <c r="CPN18" i="20"/>
  <c r="CPO18" i="20"/>
  <c r="CPP18" i="20"/>
  <c r="CPQ18" i="20"/>
  <c r="CPR18" i="20"/>
  <c r="CPS18" i="20"/>
  <c r="CPT18" i="20"/>
  <c r="CPU18" i="20"/>
  <c r="CPV18" i="20"/>
  <c r="CPW18" i="20"/>
  <c r="CPX18" i="20"/>
  <c r="CPY18" i="20"/>
  <c r="CPZ18" i="20"/>
  <c r="CQA18" i="20"/>
  <c r="CQB18" i="20"/>
  <c r="CQC18" i="20"/>
  <c r="CQD18" i="20"/>
  <c r="CQE18" i="20"/>
  <c r="CQF18" i="20"/>
  <c r="CQG18" i="20"/>
  <c r="CQH18" i="20"/>
  <c r="CQI18" i="20"/>
  <c r="CQJ18" i="20"/>
  <c r="CQK18" i="20"/>
  <c r="CQL18" i="20"/>
  <c r="CQM18" i="20"/>
  <c r="CQN18" i="20"/>
  <c r="CQO18" i="20"/>
  <c r="CQP18" i="20"/>
  <c r="CQQ18" i="20"/>
  <c r="CQR18" i="20"/>
  <c r="CQS18" i="20"/>
  <c r="CQT18" i="20"/>
  <c r="CQU18" i="20"/>
  <c r="CQV18" i="20"/>
  <c r="CQW18" i="20"/>
  <c r="CQX18" i="20"/>
  <c r="CQY18" i="20"/>
  <c r="CQZ18" i="20"/>
  <c r="CRA18" i="20"/>
  <c r="CRB18" i="20"/>
  <c r="CRC18" i="20"/>
  <c r="CRD18" i="20"/>
  <c r="CRE18" i="20"/>
  <c r="CRF18" i="20"/>
  <c r="CRG18" i="20"/>
  <c r="CRH18" i="20"/>
  <c r="CRI18" i="20"/>
  <c r="CRJ18" i="20"/>
  <c r="CRK18" i="20"/>
  <c r="CRL18" i="20"/>
  <c r="CRM18" i="20"/>
  <c r="CRN18" i="20"/>
  <c r="CRO18" i="20"/>
  <c r="CRP18" i="20"/>
  <c r="CRQ18" i="20"/>
  <c r="CRR18" i="20"/>
  <c r="CRS18" i="20"/>
  <c r="CRT18" i="20"/>
  <c r="CRU18" i="20"/>
  <c r="CRV18" i="20"/>
  <c r="CRW18" i="20"/>
  <c r="CRX18" i="20"/>
  <c r="CRY18" i="20"/>
  <c r="CRZ18" i="20"/>
  <c r="CSA18" i="20"/>
  <c r="CSB18" i="20"/>
  <c r="CSC18" i="20"/>
  <c r="CSD18" i="20"/>
  <c r="CSE18" i="20"/>
  <c r="CSF18" i="20"/>
  <c r="CSG18" i="20"/>
  <c r="CSH18" i="20"/>
  <c r="CSI18" i="20"/>
  <c r="CSJ18" i="20"/>
  <c r="CSK18" i="20"/>
  <c r="CSL18" i="20"/>
  <c r="CSM18" i="20"/>
  <c r="CSN18" i="20"/>
  <c r="CSO18" i="20"/>
  <c r="CSP18" i="20"/>
  <c r="CSQ18" i="20"/>
  <c r="CSR18" i="20"/>
  <c r="CSS18" i="20"/>
  <c r="CST18" i="20"/>
  <c r="CSU18" i="20"/>
  <c r="CSV18" i="20"/>
  <c r="CSW18" i="20"/>
  <c r="CSX18" i="20"/>
  <c r="CSY18" i="20"/>
  <c r="CSZ18" i="20"/>
  <c r="CTA18" i="20"/>
  <c r="CTB18" i="20"/>
  <c r="CTC18" i="20"/>
  <c r="CTD18" i="20"/>
  <c r="CTE18" i="20"/>
  <c r="CTF18" i="20"/>
  <c r="CTG18" i="20"/>
  <c r="CTH18" i="20"/>
  <c r="CTI18" i="20"/>
  <c r="CTJ18" i="20"/>
  <c r="CTK18" i="20"/>
  <c r="CTL18" i="20"/>
  <c r="CTM18" i="20"/>
  <c r="CTN18" i="20"/>
  <c r="CTO18" i="20"/>
  <c r="CTP18" i="20"/>
  <c r="CTQ18" i="20"/>
  <c r="CTR18" i="20"/>
  <c r="CTS18" i="20"/>
  <c r="CTT18" i="20"/>
  <c r="CTU18" i="20"/>
  <c r="CTV18" i="20"/>
  <c r="CTW18" i="20"/>
  <c r="CTX18" i="20"/>
  <c r="CTY18" i="20"/>
  <c r="CTZ18" i="20"/>
  <c r="CUA18" i="20"/>
  <c r="CUB18" i="20"/>
  <c r="CUC18" i="20"/>
  <c r="CUD18" i="20"/>
  <c r="CUE18" i="20"/>
  <c r="CUF18" i="20"/>
  <c r="CUG18" i="20"/>
  <c r="CUH18" i="20"/>
  <c r="CUI18" i="20"/>
  <c r="CUJ18" i="20"/>
  <c r="CUK18" i="20"/>
  <c r="CUL18" i="20"/>
  <c r="CUM18" i="20"/>
  <c r="CUN18" i="20"/>
  <c r="CUO18" i="20"/>
  <c r="CUP18" i="20"/>
  <c r="CUQ18" i="20"/>
  <c r="CUR18" i="20"/>
  <c r="CUS18" i="20"/>
  <c r="CUT18" i="20"/>
  <c r="CUU18" i="20"/>
  <c r="CUV18" i="20"/>
  <c r="CUW18" i="20"/>
  <c r="CUX18" i="20"/>
  <c r="CUY18" i="20"/>
  <c r="CUZ18" i="20"/>
  <c r="CVA18" i="20"/>
  <c r="CVB18" i="20"/>
  <c r="CVC18" i="20"/>
  <c r="CVD18" i="20"/>
  <c r="CVE18" i="20"/>
  <c r="CVF18" i="20"/>
  <c r="CVG18" i="20"/>
  <c r="CVH18" i="20"/>
  <c r="CVI18" i="20"/>
  <c r="CVJ18" i="20"/>
  <c r="CVK18" i="20"/>
  <c r="CVL18" i="20"/>
  <c r="CVM18" i="20"/>
  <c r="CVN18" i="20"/>
  <c r="CVO18" i="20"/>
  <c r="CVP18" i="20"/>
  <c r="CVQ18" i="20"/>
  <c r="CVR18" i="20"/>
  <c r="CVS18" i="20"/>
  <c r="CVT18" i="20"/>
  <c r="CVU18" i="20"/>
  <c r="CVV18" i="20"/>
  <c r="CVW18" i="20"/>
  <c r="CVX18" i="20"/>
  <c r="CVY18" i="20"/>
  <c r="CVZ18" i="20"/>
  <c r="CWA18" i="20"/>
  <c r="CWB18" i="20"/>
  <c r="CWC18" i="20"/>
  <c r="CWD18" i="20"/>
  <c r="CWE18" i="20"/>
  <c r="CWF18" i="20"/>
  <c r="CWG18" i="20"/>
  <c r="CWH18" i="20"/>
  <c r="CWI18" i="20"/>
  <c r="CWJ18" i="20"/>
  <c r="CWK18" i="20"/>
  <c r="CWL18" i="20"/>
  <c r="CWM18" i="20"/>
  <c r="CWN18" i="20"/>
  <c r="CWO18" i="20"/>
  <c r="CWP18" i="20"/>
  <c r="CWQ18" i="20"/>
  <c r="CWR18" i="20"/>
  <c r="CWS18" i="20"/>
  <c r="CWT18" i="20"/>
  <c r="CWU18" i="20"/>
  <c r="CWV18" i="20"/>
  <c r="CWW18" i="20"/>
  <c r="CWX18" i="20"/>
  <c r="CWY18" i="20"/>
  <c r="CWZ18" i="20"/>
  <c r="CXA18" i="20"/>
  <c r="CXB18" i="20"/>
  <c r="CXC18" i="20"/>
  <c r="CXD18" i="20"/>
  <c r="CXE18" i="20"/>
  <c r="CXF18" i="20"/>
  <c r="CXG18" i="20"/>
  <c r="CXH18" i="20"/>
  <c r="CXI18" i="20"/>
  <c r="CXJ18" i="20"/>
  <c r="CXK18" i="20"/>
  <c r="CXL18" i="20"/>
  <c r="CXM18" i="20"/>
  <c r="CXN18" i="20"/>
  <c r="CXO18" i="20"/>
  <c r="CXP18" i="20"/>
  <c r="CXQ18" i="20"/>
  <c r="CXR18" i="20"/>
  <c r="CXS18" i="20"/>
  <c r="CXT18" i="20"/>
  <c r="CXU18" i="20"/>
  <c r="CXV18" i="20"/>
  <c r="CXW18" i="20"/>
  <c r="CXX18" i="20"/>
  <c r="CXY18" i="20"/>
  <c r="CXZ18" i="20"/>
  <c r="CYA18" i="20"/>
  <c r="CYB18" i="20"/>
  <c r="CYC18" i="20"/>
  <c r="CYD18" i="20"/>
  <c r="CYE18" i="20"/>
  <c r="CYF18" i="20"/>
  <c r="CYG18" i="20"/>
  <c r="CYH18" i="20"/>
  <c r="CYI18" i="20"/>
  <c r="CYJ18" i="20"/>
  <c r="CYK18" i="20"/>
  <c r="CYL18" i="20"/>
  <c r="CYM18" i="20"/>
  <c r="CYN18" i="20"/>
  <c r="CYO18" i="20"/>
  <c r="CYP18" i="20"/>
  <c r="CYQ18" i="20"/>
  <c r="CYR18" i="20"/>
  <c r="CYS18" i="20"/>
  <c r="CYT18" i="20"/>
  <c r="CYU18" i="20"/>
  <c r="CYV18" i="20"/>
  <c r="CYW18" i="20"/>
  <c r="CYX18" i="20"/>
  <c r="CYY18" i="20"/>
  <c r="CYZ18" i="20"/>
  <c r="CZA18" i="20"/>
  <c r="CZB18" i="20"/>
  <c r="CZC18" i="20"/>
  <c r="CZD18" i="20"/>
  <c r="CZE18" i="20"/>
  <c r="CZF18" i="20"/>
  <c r="CZG18" i="20"/>
  <c r="CZH18" i="20"/>
  <c r="CZI18" i="20"/>
  <c r="CZJ18" i="20"/>
  <c r="CZK18" i="20"/>
  <c r="CZL18" i="20"/>
  <c r="CZM18" i="20"/>
  <c r="CZN18" i="20"/>
  <c r="CZO18" i="20"/>
  <c r="CZP18" i="20"/>
  <c r="CZQ18" i="20"/>
  <c r="CZR18" i="20"/>
  <c r="CZS18" i="20"/>
  <c r="CZT18" i="20"/>
  <c r="CZU18" i="20"/>
  <c r="CZV18" i="20"/>
  <c r="CZW18" i="20"/>
  <c r="CZX18" i="20"/>
  <c r="CZY18" i="20"/>
  <c r="CZZ18" i="20"/>
  <c r="DAA18" i="20"/>
  <c r="DAB18" i="20"/>
  <c r="DAC18" i="20"/>
  <c r="DAD18" i="20"/>
  <c r="DAE18" i="20"/>
  <c r="DAF18" i="20"/>
  <c r="DAG18" i="20"/>
  <c r="DAH18" i="20"/>
  <c r="DAI18" i="20"/>
  <c r="DAJ18" i="20"/>
  <c r="DAK18" i="20"/>
  <c r="DAL18" i="20"/>
  <c r="DAM18" i="20"/>
  <c r="DAN18" i="20"/>
  <c r="DAO18" i="20"/>
  <c r="DAP18" i="20"/>
  <c r="DAQ18" i="20"/>
  <c r="DAR18" i="20"/>
  <c r="DAS18" i="20"/>
  <c r="DAT18" i="20"/>
  <c r="DAU18" i="20"/>
  <c r="DAV18" i="20"/>
  <c r="DAW18" i="20"/>
  <c r="DAX18" i="20"/>
  <c r="DAY18" i="20"/>
  <c r="DAZ18" i="20"/>
  <c r="DBA18" i="20"/>
  <c r="DBB18" i="20"/>
  <c r="DBC18" i="20"/>
  <c r="DBD18" i="20"/>
  <c r="DBE18" i="20"/>
  <c r="DBF18" i="20"/>
  <c r="DBG18" i="20"/>
  <c r="DBH18" i="20"/>
  <c r="DBI18" i="20"/>
  <c r="DBJ18" i="20"/>
  <c r="DBK18" i="20"/>
  <c r="DBL18" i="20"/>
  <c r="DBM18" i="20"/>
  <c r="DBN18" i="20"/>
  <c r="DBO18" i="20"/>
  <c r="DBP18" i="20"/>
  <c r="DBQ18" i="20"/>
  <c r="DBR18" i="20"/>
  <c r="DBS18" i="20"/>
  <c r="DBT18" i="20"/>
  <c r="DBU18" i="20"/>
  <c r="DBV18" i="20"/>
  <c r="DBW18" i="20"/>
  <c r="DBX18" i="20"/>
  <c r="DBY18" i="20"/>
  <c r="DBZ18" i="20"/>
  <c r="DCA18" i="20"/>
  <c r="DCB18" i="20"/>
  <c r="DCC18" i="20"/>
  <c r="DCD18" i="20"/>
  <c r="DCE18" i="20"/>
  <c r="DCF18" i="20"/>
  <c r="DCG18" i="20"/>
  <c r="DCH18" i="20"/>
  <c r="DCI18" i="20"/>
  <c r="DCJ18" i="20"/>
  <c r="DCK18" i="20"/>
  <c r="DCL18" i="20"/>
  <c r="DCM18" i="20"/>
  <c r="DCN18" i="20"/>
  <c r="DCO18" i="20"/>
  <c r="DCP18" i="20"/>
  <c r="DCQ18" i="20"/>
  <c r="DCR18" i="20"/>
  <c r="DCS18" i="20"/>
  <c r="DCT18" i="20"/>
  <c r="DCU18" i="20"/>
  <c r="DCV18" i="20"/>
  <c r="DCW18" i="20"/>
  <c r="DCX18" i="20"/>
  <c r="DCY18" i="20"/>
  <c r="DCZ18" i="20"/>
  <c r="DDA18" i="20"/>
  <c r="DDB18" i="20"/>
  <c r="DDC18" i="20"/>
  <c r="DDD18" i="20"/>
  <c r="DDE18" i="20"/>
  <c r="DDF18" i="20"/>
  <c r="DDG18" i="20"/>
  <c r="DDH18" i="20"/>
  <c r="DDI18" i="20"/>
  <c r="AAE19" i="20"/>
  <c r="AAF19" i="20"/>
  <c r="AAG19" i="20"/>
  <c r="AAH19" i="20"/>
  <c r="AAI19" i="20"/>
  <c r="AAJ19" i="20"/>
  <c r="AAK19" i="20"/>
  <c r="AAL19" i="20"/>
  <c r="AAM19" i="20"/>
  <c r="AAN19" i="20"/>
  <c r="AAO19" i="20"/>
  <c r="AAP19" i="20"/>
  <c r="AAQ19" i="20"/>
  <c r="AAR19" i="20"/>
  <c r="AAS19" i="20"/>
  <c r="AAT19" i="20"/>
  <c r="AAU19" i="20"/>
  <c r="AAV19" i="20"/>
  <c r="AAW19" i="20"/>
  <c r="AAX19" i="20"/>
  <c r="AAY19" i="20"/>
  <c r="AAZ19" i="20"/>
  <c r="ABA19" i="20"/>
  <c r="ABB19" i="20"/>
  <c r="ABC19" i="20"/>
  <c r="ABD19" i="20"/>
  <c r="ABE19" i="20"/>
  <c r="ABF19" i="20"/>
  <c r="ABG19" i="20"/>
  <c r="ABH19" i="20"/>
  <c r="ABI19" i="20"/>
  <c r="ABJ19" i="20"/>
  <c r="ABK19" i="20"/>
  <c r="ABL19" i="20"/>
  <c r="ABM19" i="20"/>
  <c r="ABN19" i="20"/>
  <c r="ABO19" i="20"/>
  <c r="ABP19" i="20"/>
  <c r="ABQ19" i="20"/>
  <c r="ABR19" i="20"/>
  <c r="ABS19" i="20"/>
  <c r="ABT19" i="20"/>
  <c r="ABU19" i="20"/>
  <c r="ABV19" i="20"/>
  <c r="ABW19" i="20"/>
  <c r="ABX19" i="20"/>
  <c r="ABY19" i="20"/>
  <c r="ABZ19" i="20"/>
  <c r="ACA19" i="20"/>
  <c r="ACB19" i="20"/>
  <c r="ACC19" i="20"/>
  <c r="ACD19" i="20"/>
  <c r="ACE19" i="20"/>
  <c r="ACF19" i="20"/>
  <c r="ACG19" i="20"/>
  <c r="ACH19" i="20"/>
  <c r="ACI19" i="20"/>
  <c r="ACJ19" i="20"/>
  <c r="ACK19" i="20"/>
  <c r="ACL19" i="20"/>
  <c r="ACM19" i="20"/>
  <c r="ACN19" i="20"/>
  <c r="ACO19" i="20"/>
  <c r="ACP19" i="20"/>
  <c r="ACQ19" i="20"/>
  <c r="ACR19" i="20"/>
  <c r="ACS19" i="20"/>
  <c r="ACT19" i="20"/>
  <c r="ACU19" i="20"/>
  <c r="ACV19" i="20"/>
  <c r="ACW19" i="20"/>
  <c r="ACX19" i="20"/>
  <c r="ACY19" i="20"/>
  <c r="ACZ19" i="20"/>
  <c r="ADA19" i="20"/>
  <c r="ADB19" i="20"/>
  <c r="ADC19" i="20"/>
  <c r="ADD19" i="20"/>
  <c r="ADE19" i="20"/>
  <c r="ADF19" i="20"/>
  <c r="ADG19" i="20"/>
  <c r="ADH19" i="20"/>
  <c r="ADI19" i="20"/>
  <c r="ADJ19" i="20"/>
  <c r="ADK19" i="20"/>
  <c r="ADL19" i="20"/>
  <c r="ADM19" i="20"/>
  <c r="ADN19" i="20"/>
  <c r="ADO19" i="20"/>
  <c r="ADP19" i="20"/>
  <c r="ADQ19" i="20"/>
  <c r="ADR19" i="20"/>
  <c r="ADS19" i="20"/>
  <c r="ADT19" i="20"/>
  <c r="ADU19" i="20"/>
  <c r="ADV19" i="20"/>
  <c r="ADW19" i="20"/>
  <c r="ADX19" i="20"/>
  <c r="ADY19" i="20"/>
  <c r="ADZ19" i="20"/>
  <c r="AEA19" i="20"/>
  <c r="AEB19" i="20"/>
  <c r="AEC19" i="20"/>
  <c r="AED19" i="20"/>
  <c r="AEE19" i="20"/>
  <c r="AEF19" i="20"/>
  <c r="AEG19" i="20"/>
  <c r="AEH19" i="20"/>
  <c r="AEI19" i="20"/>
  <c r="AEJ19" i="20"/>
  <c r="AEK19" i="20"/>
  <c r="AEL19" i="20"/>
  <c r="AEM19" i="20"/>
  <c r="AEN19" i="20"/>
  <c r="AEO19" i="20"/>
  <c r="AEP19" i="20"/>
  <c r="AEQ19" i="20"/>
  <c r="AER19" i="20"/>
  <c r="AES19" i="20"/>
  <c r="AET19" i="20"/>
  <c r="AEU19" i="20"/>
  <c r="AEV19" i="20"/>
  <c r="AEW19" i="20"/>
  <c r="AEX19" i="20"/>
  <c r="AEY19" i="20"/>
  <c r="AEZ19" i="20"/>
  <c r="AFA19" i="20"/>
  <c r="AFB19" i="20"/>
  <c r="AFC19" i="20"/>
  <c r="AFD19" i="20"/>
  <c r="AFE19" i="20"/>
  <c r="AFF19" i="20"/>
  <c r="AFG19" i="20"/>
  <c r="AFH19" i="20"/>
  <c r="AFI19" i="20"/>
  <c r="AFJ19" i="20"/>
  <c r="AFK19" i="20"/>
  <c r="AFL19" i="20"/>
  <c r="AFM19" i="20"/>
  <c r="AFN19" i="20"/>
  <c r="AFO19" i="20"/>
  <c r="AFP19" i="20"/>
  <c r="AFQ19" i="20"/>
  <c r="AFR19" i="20"/>
  <c r="AFS19" i="20"/>
  <c r="AFT19" i="20"/>
  <c r="AFU19" i="20"/>
  <c r="AFV19" i="20"/>
  <c r="AFW19" i="20"/>
  <c r="AFX19" i="20"/>
  <c r="AFY19" i="20"/>
  <c r="AFZ19" i="20"/>
  <c r="AGA19" i="20"/>
  <c r="AGB19" i="20"/>
  <c r="AGC19" i="20"/>
  <c r="AGD19" i="20"/>
  <c r="AGE19" i="20"/>
  <c r="AGF19" i="20"/>
  <c r="AGG19" i="20"/>
  <c r="AGH19" i="20"/>
  <c r="AGI19" i="20"/>
  <c r="AGJ19" i="20"/>
  <c r="AGK19" i="20"/>
  <c r="AGL19" i="20"/>
  <c r="AGM19" i="20"/>
  <c r="AGN19" i="20"/>
  <c r="AGO19" i="20"/>
  <c r="AGP19" i="20"/>
  <c r="AGQ19" i="20"/>
  <c r="AGR19" i="20"/>
  <c r="AGS19" i="20"/>
  <c r="AGT19" i="20"/>
  <c r="AGU19" i="20"/>
  <c r="AGV19" i="20"/>
  <c r="AGW19" i="20"/>
  <c r="AGX19" i="20"/>
  <c r="AGY19" i="20"/>
  <c r="AGZ19" i="20"/>
  <c r="AHA19" i="20"/>
  <c r="AHB19" i="20"/>
  <c r="AHC19" i="20"/>
  <c r="AHD19" i="20"/>
  <c r="AHE19" i="20"/>
  <c r="AHF19" i="20"/>
  <c r="AHG19" i="20"/>
  <c r="AHH19" i="20"/>
  <c r="AHI19" i="20"/>
  <c r="AHJ19" i="20"/>
  <c r="AHK19" i="20"/>
  <c r="AHL19" i="20"/>
  <c r="AHM19" i="20"/>
  <c r="AHN19" i="20"/>
  <c r="AHO19" i="20"/>
  <c r="AHP19" i="20"/>
  <c r="AHQ19" i="20"/>
  <c r="AHR19" i="20"/>
  <c r="AHS19" i="20"/>
  <c r="AHT19" i="20"/>
  <c r="AHU19" i="20"/>
  <c r="AHV19" i="20"/>
  <c r="AHW19" i="20"/>
  <c r="AHX19" i="20"/>
  <c r="AHY19" i="20"/>
  <c r="AHZ19" i="20"/>
  <c r="AIA19" i="20"/>
  <c r="AIB19" i="20"/>
  <c r="AIC19" i="20"/>
  <c r="AID19" i="20"/>
  <c r="AIE19" i="20"/>
  <c r="AIF19" i="20"/>
  <c r="AIG19" i="20"/>
  <c r="AIH19" i="20"/>
  <c r="AII19" i="20"/>
  <c r="AIJ19" i="20"/>
  <c r="AIK19" i="20"/>
  <c r="AIL19" i="20"/>
  <c r="AIM19" i="20"/>
  <c r="AIN19" i="20"/>
  <c r="AIO19" i="20"/>
  <c r="AIP19" i="20"/>
  <c r="AIQ19" i="20"/>
  <c r="AIR19" i="20"/>
  <c r="AIS19" i="20"/>
  <c r="AIT19" i="20"/>
  <c r="AIU19" i="20"/>
  <c r="AIV19" i="20"/>
  <c r="AIW19" i="20"/>
  <c r="AIX19" i="20"/>
  <c r="AIY19" i="20"/>
  <c r="AIZ19" i="20"/>
  <c r="AJA19" i="20"/>
  <c r="AJB19" i="20"/>
  <c r="AJC19" i="20"/>
  <c r="AJD19" i="20"/>
  <c r="AJE19" i="20"/>
  <c r="AJF19" i="20"/>
  <c r="AJG19" i="20"/>
  <c r="AJH19" i="20"/>
  <c r="AJI19" i="20"/>
  <c r="AJJ19" i="20"/>
  <c r="AJK19" i="20"/>
  <c r="AJL19" i="20"/>
  <c r="AJM19" i="20"/>
  <c r="AJN19" i="20"/>
  <c r="AJO19" i="20"/>
  <c r="AJP19" i="20"/>
  <c r="AJQ19" i="20"/>
  <c r="AJR19" i="20"/>
  <c r="AJS19" i="20"/>
  <c r="AJT19" i="20"/>
  <c r="AJU19" i="20"/>
  <c r="AJV19" i="20"/>
  <c r="AJW19" i="20"/>
  <c r="AJX19" i="20"/>
  <c r="AJY19" i="20"/>
  <c r="AJZ19" i="20"/>
  <c r="AKA19" i="20"/>
  <c r="AKB19" i="20"/>
  <c r="AKC19" i="20"/>
  <c r="AKD19" i="20"/>
  <c r="AKE19" i="20"/>
  <c r="AKF19" i="20"/>
  <c r="AKG19" i="20"/>
  <c r="AKH19" i="20"/>
  <c r="AKI19" i="20"/>
  <c r="AKJ19" i="20"/>
  <c r="AKK19" i="20"/>
  <c r="AKL19" i="20"/>
  <c r="AKM19" i="20"/>
  <c r="AKN19" i="20"/>
  <c r="AKO19" i="20"/>
  <c r="AKP19" i="20"/>
  <c r="AKQ19" i="20"/>
  <c r="AKR19" i="20"/>
  <c r="AKS19" i="20"/>
  <c r="AKT19" i="20"/>
  <c r="AKU19" i="20"/>
  <c r="AKV19" i="20"/>
  <c r="AKW19" i="20"/>
  <c r="AKX19" i="20"/>
  <c r="AKY19" i="20"/>
  <c r="AKZ19" i="20"/>
  <c r="ALA19" i="20"/>
  <c r="ALB19" i="20"/>
  <c r="ALC19" i="20"/>
  <c r="ALD19" i="20"/>
  <c r="ALE19" i="20"/>
  <c r="ALF19" i="20"/>
  <c r="ALG19" i="20"/>
  <c r="ALH19" i="20"/>
  <c r="ALI19" i="20"/>
  <c r="ALJ19" i="20"/>
  <c r="ALK19" i="20"/>
  <c r="ALL19" i="20"/>
  <c r="ALM19" i="20"/>
  <c r="ALN19" i="20"/>
  <c r="ALO19" i="20"/>
  <c r="ALP19" i="20"/>
  <c r="ALQ19" i="20"/>
  <c r="ALR19" i="20"/>
  <c r="ALS19" i="20"/>
  <c r="ALT19" i="20"/>
  <c r="ALU19" i="20"/>
  <c r="ALV19" i="20"/>
  <c r="ALW19" i="20"/>
  <c r="ALX19" i="20"/>
  <c r="ALY19" i="20"/>
  <c r="ALZ19" i="20"/>
  <c r="AMA19" i="20"/>
  <c r="AMB19" i="20"/>
  <c r="AMC19" i="20"/>
  <c r="AMD19" i="20"/>
  <c r="AME19" i="20"/>
  <c r="AMF19" i="20"/>
  <c r="AMG19" i="20"/>
  <c r="AMH19" i="20"/>
  <c r="AMI19" i="20"/>
  <c r="AMJ19" i="20"/>
  <c r="AMK19" i="20"/>
  <c r="AML19" i="20"/>
  <c r="AMM19" i="20"/>
  <c r="AMN19" i="20"/>
  <c r="AMO19" i="20"/>
  <c r="AMP19" i="20"/>
  <c r="AMQ19" i="20"/>
  <c r="AMR19" i="20"/>
  <c r="AMS19" i="20"/>
  <c r="AMT19" i="20"/>
  <c r="AMU19" i="20"/>
  <c r="AMV19" i="20"/>
  <c r="AMW19" i="20"/>
  <c r="AMX19" i="20"/>
  <c r="AMY19" i="20"/>
  <c r="AMZ19" i="20"/>
  <c r="ANA19" i="20"/>
  <c r="ANB19" i="20"/>
  <c r="ANC19" i="20"/>
  <c r="AND19" i="20"/>
  <c r="ANE19" i="20"/>
  <c r="ANF19" i="20"/>
  <c r="ANG19" i="20"/>
  <c r="ANH19" i="20"/>
  <c r="ANI19" i="20"/>
  <c r="ANJ19" i="20"/>
  <c r="ANK19" i="20"/>
  <c r="ANL19" i="20"/>
  <c r="ANM19" i="20"/>
  <c r="ANN19" i="20"/>
  <c r="ANO19" i="20"/>
  <c r="ANP19" i="20"/>
  <c r="ANQ19" i="20"/>
  <c r="ANR19" i="20"/>
  <c r="ANS19" i="20"/>
  <c r="ANT19" i="20"/>
  <c r="ANU19" i="20"/>
  <c r="ANV19" i="20"/>
  <c r="ANW19" i="20"/>
  <c r="ANX19" i="20"/>
  <c r="ANY19" i="20"/>
  <c r="ANZ19" i="20"/>
  <c r="AOA19" i="20"/>
  <c r="AOB19" i="20"/>
  <c r="AOC19" i="20"/>
  <c r="AOD19" i="20"/>
  <c r="AOE19" i="20"/>
  <c r="AOF19" i="20"/>
  <c r="AOG19" i="20"/>
  <c r="AOH19" i="20"/>
  <c r="AOI19" i="20"/>
  <c r="AOJ19" i="20"/>
  <c r="AOK19" i="20"/>
  <c r="AOL19" i="20"/>
  <c r="AOM19" i="20"/>
  <c r="AON19" i="20"/>
  <c r="AOO19" i="20"/>
  <c r="AOP19" i="20"/>
  <c r="AOQ19" i="20"/>
  <c r="AOR19" i="20"/>
  <c r="AOS19" i="20"/>
  <c r="AOT19" i="20"/>
  <c r="AOU19" i="20"/>
  <c r="AOV19" i="20"/>
  <c r="AOW19" i="20"/>
  <c r="AOX19" i="20"/>
  <c r="AOY19" i="20"/>
  <c r="AOZ19" i="20"/>
  <c r="APA19" i="20"/>
  <c r="APB19" i="20"/>
  <c r="APC19" i="20"/>
  <c r="APD19" i="20"/>
  <c r="APE19" i="20"/>
  <c r="APF19" i="20"/>
  <c r="APG19" i="20"/>
  <c r="APH19" i="20"/>
  <c r="API19" i="20"/>
  <c r="APJ19" i="20"/>
  <c r="APK19" i="20"/>
  <c r="APL19" i="20"/>
  <c r="APM19" i="20"/>
  <c r="APN19" i="20"/>
  <c r="APO19" i="20"/>
  <c r="APP19" i="20"/>
  <c r="APQ19" i="20"/>
  <c r="APR19" i="20"/>
  <c r="APS19" i="20"/>
  <c r="APT19" i="20"/>
  <c r="APU19" i="20"/>
  <c r="APV19" i="20"/>
  <c r="APW19" i="20"/>
  <c r="APX19" i="20"/>
  <c r="APY19" i="20"/>
  <c r="APZ19" i="20"/>
  <c r="AQA19" i="20"/>
  <c r="AQB19" i="20"/>
  <c r="AQC19" i="20"/>
  <c r="AQD19" i="20"/>
  <c r="AQE19" i="20"/>
  <c r="AQF19" i="20"/>
  <c r="AQG19" i="20"/>
  <c r="AQH19" i="20"/>
  <c r="AQI19" i="20"/>
  <c r="AQJ19" i="20"/>
  <c r="AQK19" i="20"/>
  <c r="AQL19" i="20"/>
  <c r="AQM19" i="20"/>
  <c r="AQN19" i="20"/>
  <c r="AQO19" i="20"/>
  <c r="AQP19" i="20"/>
  <c r="AQQ19" i="20"/>
  <c r="AQR19" i="20"/>
  <c r="AQS19" i="20"/>
  <c r="AQT19" i="20"/>
  <c r="AQU19" i="20"/>
  <c r="AQV19" i="20"/>
  <c r="AQW19" i="20"/>
  <c r="AQX19" i="20"/>
  <c r="AQY19" i="20"/>
  <c r="AQZ19" i="20"/>
  <c r="ARA19" i="20"/>
  <c r="ARB19" i="20"/>
  <c r="ARC19" i="20"/>
  <c r="ARD19" i="20"/>
  <c r="ARE19" i="20"/>
  <c r="ARF19" i="20"/>
  <c r="ARG19" i="20"/>
  <c r="ARH19" i="20"/>
  <c r="ARI19" i="20"/>
  <c r="ARJ19" i="20"/>
  <c r="ARK19" i="20"/>
  <c r="ARL19" i="20"/>
  <c r="ARM19" i="20"/>
  <c r="ARN19" i="20"/>
  <c r="ARO19" i="20"/>
  <c r="ARP19" i="20"/>
  <c r="ARQ19" i="20"/>
  <c r="ARR19" i="20"/>
  <c r="ARS19" i="20"/>
  <c r="ART19" i="20"/>
  <c r="ARU19" i="20"/>
  <c r="ARV19" i="20"/>
  <c r="ARW19" i="20"/>
  <c r="ARX19" i="20"/>
  <c r="ARY19" i="20"/>
  <c r="ARZ19" i="20"/>
  <c r="ASA19" i="20"/>
  <c r="ASB19" i="20"/>
  <c r="ASC19" i="20"/>
  <c r="ASD19" i="20"/>
  <c r="ASE19" i="20"/>
  <c r="ASF19" i="20"/>
  <c r="ASG19" i="20"/>
  <c r="ASH19" i="20"/>
  <c r="ASI19" i="20"/>
  <c r="ASJ19" i="20"/>
  <c r="ASK19" i="20"/>
  <c r="ASL19" i="20"/>
  <c r="ASM19" i="20"/>
  <c r="ASN19" i="20"/>
  <c r="ASO19" i="20"/>
  <c r="ASP19" i="20"/>
  <c r="ASQ19" i="20"/>
  <c r="ASR19" i="20"/>
  <c r="ASS19" i="20"/>
  <c r="AST19" i="20"/>
  <c r="ASU19" i="20"/>
  <c r="ASV19" i="20"/>
  <c r="ASW19" i="20"/>
  <c r="ASX19" i="20"/>
  <c r="ASY19" i="20"/>
  <c r="ASZ19" i="20"/>
  <c r="ATA19" i="20"/>
  <c r="ATB19" i="20"/>
  <c r="ATC19" i="20"/>
  <c r="ATD19" i="20"/>
  <c r="ATE19" i="20"/>
  <c r="ATF19" i="20"/>
  <c r="ATG19" i="20"/>
  <c r="ATH19" i="20"/>
  <c r="ATI19" i="20"/>
  <c r="ATJ19" i="20"/>
  <c r="ATK19" i="20"/>
  <c r="ATL19" i="20"/>
  <c r="ATM19" i="20"/>
  <c r="ATN19" i="20"/>
  <c r="ATO19" i="20"/>
  <c r="ATP19" i="20"/>
  <c r="ATQ19" i="20"/>
  <c r="ATR19" i="20"/>
  <c r="ATS19" i="20"/>
  <c r="ATT19" i="20"/>
  <c r="ATU19" i="20"/>
  <c r="ATV19" i="20"/>
  <c r="ATW19" i="20"/>
  <c r="ATX19" i="20"/>
  <c r="ATY19" i="20"/>
  <c r="ATZ19" i="20"/>
  <c r="AUA19" i="20"/>
  <c r="AUB19" i="20"/>
  <c r="AUC19" i="20"/>
  <c r="AUD19" i="20"/>
  <c r="AUE19" i="20"/>
  <c r="AUF19" i="20"/>
  <c r="AUG19" i="20"/>
  <c r="AUH19" i="20"/>
  <c r="AUI19" i="20"/>
  <c r="AUJ19" i="20"/>
  <c r="AUK19" i="20"/>
  <c r="AUL19" i="20"/>
  <c r="AUM19" i="20"/>
  <c r="AUN19" i="20"/>
  <c r="AUO19" i="20"/>
  <c r="AUP19" i="20"/>
  <c r="AUQ19" i="20"/>
  <c r="AUR19" i="20"/>
  <c r="AUS19" i="20"/>
  <c r="AUT19" i="20"/>
  <c r="AUU19" i="20"/>
  <c r="AUV19" i="20"/>
  <c r="AUW19" i="20"/>
  <c r="AUX19" i="20"/>
  <c r="AUY19" i="20"/>
  <c r="AUZ19" i="20"/>
  <c r="AVA19" i="20"/>
  <c r="AVB19" i="20"/>
  <c r="AVC19" i="20"/>
  <c r="AVD19" i="20"/>
  <c r="AVE19" i="20"/>
  <c r="AVF19" i="20"/>
  <c r="AVG19" i="20"/>
  <c r="AVH19" i="20"/>
  <c r="AVI19" i="20"/>
  <c r="AVJ19" i="20"/>
  <c r="AVK19" i="20"/>
  <c r="AVL19" i="20"/>
  <c r="AVM19" i="20"/>
  <c r="AVN19" i="20"/>
  <c r="AVO19" i="20"/>
  <c r="AVP19" i="20"/>
  <c r="AVQ19" i="20"/>
  <c r="AVR19" i="20"/>
  <c r="AVS19" i="20"/>
  <c r="AVT19" i="20"/>
  <c r="AVU19" i="20"/>
  <c r="AVV19" i="20"/>
  <c r="AVW19" i="20"/>
  <c r="AVX19" i="20"/>
  <c r="AVY19" i="20"/>
  <c r="AVZ19" i="20"/>
  <c r="AWA19" i="20"/>
  <c r="AWB19" i="20"/>
  <c r="AWC19" i="20"/>
  <c r="AWD19" i="20"/>
  <c r="AWE19" i="20"/>
  <c r="AWF19" i="20"/>
  <c r="AWG19" i="20"/>
  <c r="AWH19" i="20"/>
  <c r="AWI19" i="20"/>
  <c r="AWJ19" i="20"/>
  <c r="AWK19" i="20"/>
  <c r="AWL19" i="20"/>
  <c r="AWM19" i="20"/>
  <c r="AWN19" i="20"/>
  <c r="AWO19" i="20"/>
  <c r="AWP19" i="20"/>
  <c r="AWQ19" i="20"/>
  <c r="AWR19" i="20"/>
  <c r="AWS19" i="20"/>
  <c r="AWT19" i="20"/>
  <c r="AWU19" i="20"/>
  <c r="AWV19" i="20"/>
  <c r="AWW19" i="20"/>
  <c r="AWX19" i="20"/>
  <c r="AWY19" i="20"/>
  <c r="AWZ19" i="20"/>
  <c r="AXA19" i="20"/>
  <c r="AXB19" i="20"/>
  <c r="AXC19" i="20"/>
  <c r="AXD19" i="20"/>
  <c r="AXE19" i="20"/>
  <c r="AXF19" i="20"/>
  <c r="AXG19" i="20"/>
  <c r="AXH19" i="20"/>
  <c r="AXI19" i="20"/>
  <c r="AXJ19" i="20"/>
  <c r="AXK19" i="20"/>
  <c r="AXL19" i="20"/>
  <c r="AXM19" i="20"/>
  <c r="AXN19" i="20"/>
  <c r="AXO19" i="20"/>
  <c r="AXP19" i="20"/>
  <c r="AXQ19" i="20"/>
  <c r="AXR19" i="20"/>
  <c r="AXS19" i="20"/>
  <c r="AXT19" i="20"/>
  <c r="AXU19" i="20"/>
  <c r="AXV19" i="20"/>
  <c r="AXW19" i="20"/>
  <c r="AXX19" i="20"/>
  <c r="AXY19" i="20"/>
  <c r="AXZ19" i="20"/>
  <c r="AYA19" i="20"/>
  <c r="AYB19" i="20"/>
  <c r="AYC19" i="20"/>
  <c r="AYD19" i="20"/>
  <c r="AYE19" i="20"/>
  <c r="AYF19" i="20"/>
  <c r="AYG19" i="20"/>
  <c r="AYH19" i="20"/>
  <c r="AYI19" i="20"/>
  <c r="AYJ19" i="20"/>
  <c r="AYK19" i="20"/>
  <c r="AYL19" i="20"/>
  <c r="AYM19" i="20"/>
  <c r="AYN19" i="20"/>
  <c r="AYO19" i="20"/>
  <c r="AYP19" i="20"/>
  <c r="AYQ19" i="20"/>
  <c r="AYR19" i="20"/>
  <c r="AYS19" i="20"/>
  <c r="AYT19" i="20"/>
  <c r="AYU19" i="20"/>
  <c r="AYV19" i="20"/>
  <c r="AYW19" i="20"/>
  <c r="AYX19" i="20"/>
  <c r="AYY19" i="20"/>
  <c r="AYZ19" i="20"/>
  <c r="AZA19" i="20"/>
  <c r="AZB19" i="20"/>
  <c r="AZC19" i="20"/>
  <c r="AZD19" i="20"/>
  <c r="AZE19" i="20"/>
  <c r="AZF19" i="20"/>
  <c r="AZG19" i="20"/>
  <c r="AZH19" i="20"/>
  <c r="AZI19" i="20"/>
  <c r="AZJ19" i="20"/>
  <c r="AZK19" i="20"/>
  <c r="AZL19" i="20"/>
  <c r="AZM19" i="20"/>
  <c r="AZN19" i="20"/>
  <c r="AZO19" i="20"/>
  <c r="AZP19" i="20"/>
  <c r="AZQ19" i="20"/>
  <c r="AZR19" i="20"/>
  <c r="AZS19" i="20"/>
  <c r="AZT19" i="20"/>
  <c r="AZU19" i="20"/>
  <c r="AZV19" i="20"/>
  <c r="AZW19" i="20"/>
  <c r="AZX19" i="20"/>
  <c r="AZY19" i="20"/>
  <c r="AZZ19" i="20"/>
  <c r="BAA19" i="20"/>
  <c r="BAB19" i="20"/>
  <c r="BAC19" i="20"/>
  <c r="BAD19" i="20"/>
  <c r="BAE19" i="20"/>
  <c r="BAF19" i="20"/>
  <c r="BAG19" i="20"/>
  <c r="BAH19" i="20"/>
  <c r="BAI19" i="20"/>
  <c r="BAJ19" i="20"/>
  <c r="BAK19" i="20"/>
  <c r="BAL19" i="20"/>
  <c r="BAM19" i="20"/>
  <c r="BAN19" i="20"/>
  <c r="BAO19" i="20"/>
  <c r="BAP19" i="20"/>
  <c r="BAQ19" i="20"/>
  <c r="BAR19" i="20"/>
  <c r="BAS19" i="20"/>
  <c r="BAT19" i="20"/>
  <c r="BAU19" i="20"/>
  <c r="BAV19" i="20"/>
  <c r="BAW19" i="20"/>
  <c r="BAX19" i="20"/>
  <c r="BAY19" i="20"/>
  <c r="BAZ19" i="20"/>
  <c r="BBA19" i="20"/>
  <c r="BBB19" i="20"/>
  <c r="BBC19" i="20"/>
  <c r="BBD19" i="20"/>
  <c r="BBE19" i="20"/>
  <c r="BBF19" i="20"/>
  <c r="BBG19" i="20"/>
  <c r="BBH19" i="20"/>
  <c r="BBI19" i="20"/>
  <c r="BBJ19" i="20"/>
  <c r="BBK19" i="20"/>
  <c r="BBL19" i="20"/>
  <c r="BBM19" i="20"/>
  <c r="BBN19" i="20"/>
  <c r="BBO19" i="20"/>
  <c r="BBP19" i="20"/>
  <c r="BBQ19" i="20"/>
  <c r="BBR19" i="20"/>
  <c r="BBS19" i="20"/>
  <c r="BBT19" i="20"/>
  <c r="BBU19" i="20"/>
  <c r="BBV19" i="20"/>
  <c r="BBW19" i="20"/>
  <c r="BBX19" i="20"/>
  <c r="BBY19" i="20"/>
  <c r="BBZ19" i="20"/>
  <c r="BCA19" i="20"/>
  <c r="BCB19" i="20"/>
  <c r="BCC19" i="20"/>
  <c r="BCD19" i="20"/>
  <c r="BCE19" i="20"/>
  <c r="BCF19" i="20"/>
  <c r="BCG19" i="20"/>
  <c r="BCH19" i="20"/>
  <c r="BCI19" i="20"/>
  <c r="BCJ19" i="20"/>
  <c r="BCK19" i="20"/>
  <c r="BCL19" i="20"/>
  <c r="BCM19" i="20"/>
  <c r="BCN19" i="20"/>
  <c r="BCO19" i="20"/>
  <c r="BCP19" i="20"/>
  <c r="BCQ19" i="20"/>
  <c r="BCR19" i="20"/>
  <c r="BCS19" i="20"/>
  <c r="BCT19" i="20"/>
  <c r="BCU19" i="20"/>
  <c r="BCV19" i="20"/>
  <c r="BCW19" i="20"/>
  <c r="BCX19" i="20"/>
  <c r="BCY19" i="20"/>
  <c r="BCZ19" i="20"/>
  <c r="BDA19" i="20"/>
  <c r="BDB19" i="20"/>
  <c r="BDC19" i="20"/>
  <c r="BDD19" i="20"/>
  <c r="BDE19" i="20"/>
  <c r="BDF19" i="20"/>
  <c r="BDG19" i="20"/>
  <c r="BDH19" i="20"/>
  <c r="BDI19" i="20"/>
  <c r="BDJ19" i="20"/>
  <c r="BDK19" i="20"/>
  <c r="BDL19" i="20"/>
  <c r="BDM19" i="20"/>
  <c r="BDN19" i="20"/>
  <c r="BDO19" i="20"/>
  <c r="BDP19" i="20"/>
  <c r="BDQ19" i="20"/>
  <c r="BDR19" i="20"/>
  <c r="BDS19" i="20"/>
  <c r="BDT19" i="20"/>
  <c r="BDU19" i="20"/>
  <c r="BDV19" i="20"/>
  <c r="BDW19" i="20"/>
  <c r="BDX19" i="20"/>
  <c r="BDY19" i="20"/>
  <c r="BDZ19" i="20"/>
  <c r="BEA19" i="20"/>
  <c r="BEB19" i="20"/>
  <c r="BEC19" i="20"/>
  <c r="BED19" i="20"/>
  <c r="BEE19" i="20"/>
  <c r="BEF19" i="20"/>
  <c r="BEG19" i="20"/>
  <c r="BEH19" i="20"/>
  <c r="BEI19" i="20"/>
  <c r="BEJ19" i="20"/>
  <c r="BEK19" i="20"/>
  <c r="BEL19" i="20"/>
  <c r="BEM19" i="20"/>
  <c r="BEN19" i="20"/>
  <c r="BEO19" i="20"/>
  <c r="BEP19" i="20"/>
  <c r="BEQ19" i="20"/>
  <c r="BER19" i="20"/>
  <c r="BES19" i="20"/>
  <c r="BET19" i="20"/>
  <c r="BEU19" i="20"/>
  <c r="BEV19" i="20"/>
  <c r="BEW19" i="20"/>
  <c r="BEX19" i="20"/>
  <c r="BEY19" i="20"/>
  <c r="BEZ19" i="20"/>
  <c r="BFA19" i="20"/>
  <c r="BFB19" i="20"/>
  <c r="BFC19" i="20"/>
  <c r="BFD19" i="20"/>
  <c r="BFE19" i="20"/>
  <c r="BFF19" i="20"/>
  <c r="BFG19" i="20"/>
  <c r="BFH19" i="20"/>
  <c r="BFI19" i="20"/>
  <c r="BFJ19" i="20"/>
  <c r="BFK19" i="20"/>
  <c r="BFL19" i="20"/>
  <c r="BFM19" i="20"/>
  <c r="BFN19" i="20"/>
  <c r="BFO19" i="20"/>
  <c r="BFP19" i="20"/>
  <c r="BFQ19" i="20"/>
  <c r="BFR19" i="20"/>
  <c r="BFS19" i="20"/>
  <c r="BFT19" i="20"/>
  <c r="BFU19" i="20"/>
  <c r="BFV19" i="20"/>
  <c r="BFW19" i="20"/>
  <c r="BFX19" i="20"/>
  <c r="BFY19" i="20"/>
  <c r="BFZ19" i="20"/>
  <c r="BGA19" i="20"/>
  <c r="BGB19" i="20"/>
  <c r="BGC19" i="20"/>
  <c r="BGD19" i="20"/>
  <c r="BGE19" i="20"/>
  <c r="BGF19" i="20"/>
  <c r="BGG19" i="20"/>
  <c r="BGH19" i="20"/>
  <c r="BGI19" i="20"/>
  <c r="BGJ19" i="20"/>
  <c r="BGK19" i="20"/>
  <c r="BGL19" i="20"/>
  <c r="BGM19" i="20"/>
  <c r="BGN19" i="20"/>
  <c r="BGO19" i="20"/>
  <c r="BGP19" i="20"/>
  <c r="BGQ19" i="20"/>
  <c r="BGR19" i="20"/>
  <c r="BGS19" i="20"/>
  <c r="BGT19" i="20"/>
  <c r="BGU19" i="20"/>
  <c r="BGV19" i="20"/>
  <c r="BGW19" i="20"/>
  <c r="BGX19" i="20"/>
  <c r="BGY19" i="20"/>
  <c r="BGZ19" i="20"/>
  <c r="BHA19" i="20"/>
  <c r="BHB19" i="20"/>
  <c r="BHC19" i="20"/>
  <c r="BHD19" i="20"/>
  <c r="BHE19" i="20"/>
  <c r="BHF19" i="20"/>
  <c r="BHG19" i="20"/>
  <c r="BHH19" i="20"/>
  <c r="BHI19" i="20"/>
  <c r="BHJ19" i="20"/>
  <c r="BHK19" i="20"/>
  <c r="BHL19" i="20"/>
  <c r="BHM19" i="20"/>
  <c r="BHN19" i="20"/>
  <c r="BHO19" i="20"/>
  <c r="BHP19" i="20"/>
  <c r="BHQ19" i="20"/>
  <c r="BHR19" i="20"/>
  <c r="BHS19" i="20"/>
  <c r="BHT19" i="20"/>
  <c r="BHU19" i="20"/>
  <c r="BHV19" i="20"/>
  <c r="BHW19" i="20"/>
  <c r="BHX19" i="20"/>
  <c r="BHY19" i="20"/>
  <c r="BHZ19" i="20"/>
  <c r="BIA19" i="20"/>
  <c r="BIB19" i="20"/>
  <c r="BIC19" i="20"/>
  <c r="BID19" i="20"/>
  <c r="BIE19" i="20"/>
  <c r="BIF19" i="20"/>
  <c r="BIG19" i="20"/>
  <c r="BIH19" i="20"/>
  <c r="BII19" i="20"/>
  <c r="BIJ19" i="20"/>
  <c r="BIK19" i="20"/>
  <c r="BIL19" i="20"/>
  <c r="BIM19" i="20"/>
  <c r="BIN19" i="20"/>
  <c r="BIO19" i="20"/>
  <c r="BIP19" i="20"/>
  <c r="BIQ19" i="20"/>
  <c r="BIR19" i="20"/>
  <c r="BIS19" i="20"/>
  <c r="BIT19" i="20"/>
  <c r="BIU19" i="20"/>
  <c r="BIV19" i="20"/>
  <c r="BIW19" i="20"/>
  <c r="BIX19" i="20"/>
  <c r="BIY19" i="20"/>
  <c r="BIZ19" i="20"/>
  <c r="BJA19" i="20"/>
  <c r="BJB19" i="20"/>
  <c r="BJC19" i="20"/>
  <c r="BJD19" i="20"/>
  <c r="BJE19" i="20"/>
  <c r="BJF19" i="20"/>
  <c r="BJG19" i="20"/>
  <c r="BJH19" i="20"/>
  <c r="BJI19" i="20"/>
  <c r="BJJ19" i="20"/>
  <c r="BJK19" i="20"/>
  <c r="BJL19" i="20"/>
  <c r="BJM19" i="20"/>
  <c r="BJN19" i="20"/>
  <c r="BJO19" i="20"/>
  <c r="BJP19" i="20"/>
  <c r="BJQ19" i="20"/>
  <c r="BJR19" i="20"/>
  <c r="BJS19" i="20"/>
  <c r="BJT19" i="20"/>
  <c r="BJU19" i="20"/>
  <c r="BJV19" i="20"/>
  <c r="BJW19" i="20"/>
  <c r="BJX19" i="20"/>
  <c r="BJY19" i="20"/>
  <c r="BJZ19" i="20"/>
  <c r="BKA19" i="20"/>
  <c r="BKB19" i="20"/>
  <c r="BKC19" i="20"/>
  <c r="BKD19" i="20"/>
  <c r="BKE19" i="20"/>
  <c r="BKF19" i="20"/>
  <c r="BKG19" i="20"/>
  <c r="BKH19" i="20"/>
  <c r="BKI19" i="20"/>
  <c r="BKJ19" i="20"/>
  <c r="BKK19" i="20"/>
  <c r="BKL19" i="20"/>
  <c r="BKM19" i="20"/>
  <c r="BKN19" i="20"/>
  <c r="BKO19" i="20"/>
  <c r="BKP19" i="20"/>
  <c r="BKQ19" i="20"/>
  <c r="BKR19" i="20"/>
  <c r="BKS19" i="20"/>
  <c r="BKT19" i="20"/>
  <c r="BKU19" i="20"/>
  <c r="BKV19" i="20"/>
  <c r="BKW19" i="20"/>
  <c r="BKX19" i="20"/>
  <c r="BKY19" i="20"/>
  <c r="BKZ19" i="20"/>
  <c r="BLA19" i="20"/>
  <c r="BLB19" i="20"/>
  <c r="BLC19" i="20"/>
  <c r="BLD19" i="20"/>
  <c r="BLE19" i="20"/>
  <c r="BLF19" i="20"/>
  <c r="BLG19" i="20"/>
  <c r="BLH19" i="20"/>
  <c r="BLI19" i="20"/>
  <c r="BLJ19" i="20"/>
  <c r="BLK19" i="20"/>
  <c r="BLL19" i="20"/>
  <c r="BLM19" i="20"/>
  <c r="BLN19" i="20"/>
  <c r="BLO19" i="20"/>
  <c r="BLP19" i="20"/>
  <c r="BLQ19" i="20"/>
  <c r="BLR19" i="20"/>
  <c r="BLS19" i="20"/>
  <c r="BLT19" i="20"/>
  <c r="BLU19" i="20"/>
  <c r="BLV19" i="20"/>
  <c r="BLW19" i="20"/>
  <c r="BLX19" i="20"/>
  <c r="BLY19" i="20"/>
  <c r="BLZ19" i="20"/>
  <c r="BMA19" i="20"/>
  <c r="BMB19" i="20"/>
  <c r="BMC19" i="20"/>
  <c r="BMD19" i="20"/>
  <c r="BME19" i="20"/>
  <c r="BMF19" i="20"/>
  <c r="BMG19" i="20"/>
  <c r="BMH19" i="20"/>
  <c r="BMI19" i="20"/>
  <c r="BMJ19" i="20"/>
  <c r="BMK19" i="20"/>
  <c r="BML19" i="20"/>
  <c r="BMM19" i="20"/>
  <c r="BMN19" i="20"/>
  <c r="BMO19" i="20"/>
  <c r="BMP19" i="20"/>
  <c r="BMQ19" i="20"/>
  <c r="BMR19" i="20"/>
  <c r="BMS19" i="20"/>
  <c r="BMT19" i="20"/>
  <c r="BMU19" i="20"/>
  <c r="BMV19" i="20"/>
  <c r="BMW19" i="20"/>
  <c r="BMX19" i="20"/>
  <c r="BMY19" i="20"/>
  <c r="BMZ19" i="20"/>
  <c r="BNA19" i="20"/>
  <c r="BNB19" i="20"/>
  <c r="BNC19" i="20"/>
  <c r="BND19" i="20"/>
  <c r="BNE19" i="20"/>
  <c r="BNF19" i="20"/>
  <c r="BNG19" i="20"/>
  <c r="BNH19" i="20"/>
  <c r="BNI19" i="20"/>
  <c r="BNJ19" i="20"/>
  <c r="BNK19" i="20"/>
  <c r="BNL19" i="20"/>
  <c r="BNM19" i="20"/>
  <c r="BNN19" i="20"/>
  <c r="BNO19" i="20"/>
  <c r="BNP19" i="20"/>
  <c r="BNQ19" i="20"/>
  <c r="BNR19" i="20"/>
  <c r="BNS19" i="20"/>
  <c r="BNT19" i="20"/>
  <c r="BNU19" i="20"/>
  <c r="BNV19" i="20"/>
  <c r="BNW19" i="20"/>
  <c r="BNX19" i="20"/>
  <c r="BNY19" i="20"/>
  <c r="BNZ19" i="20"/>
  <c r="BOA19" i="20"/>
  <c r="BOB19" i="20"/>
  <c r="BOC19" i="20"/>
  <c r="BOD19" i="20"/>
  <c r="BOE19" i="20"/>
  <c r="BOF19" i="20"/>
  <c r="BOG19" i="20"/>
  <c r="BOH19" i="20"/>
  <c r="BOI19" i="20"/>
  <c r="BOJ19" i="20"/>
  <c r="BOK19" i="20"/>
  <c r="BOL19" i="20"/>
  <c r="BOM19" i="20"/>
  <c r="BON19" i="20"/>
  <c r="BOO19" i="20"/>
  <c r="BOP19" i="20"/>
  <c r="BOQ19" i="20"/>
  <c r="BOR19" i="20"/>
  <c r="BOS19" i="20"/>
  <c r="BOT19" i="20"/>
  <c r="BOU19" i="20"/>
  <c r="BOV19" i="20"/>
  <c r="BOW19" i="20"/>
  <c r="BOX19" i="20"/>
  <c r="BOY19" i="20"/>
  <c r="BOZ19" i="20"/>
  <c r="BPA19" i="20"/>
  <c r="BPB19" i="20"/>
  <c r="BPC19" i="20"/>
  <c r="BPD19" i="20"/>
  <c r="BPE19" i="20"/>
  <c r="BPF19" i="20"/>
  <c r="BPG19" i="20"/>
  <c r="BPH19" i="20"/>
  <c r="BPI19" i="20"/>
  <c r="BPJ19" i="20"/>
  <c r="BPK19" i="20"/>
  <c r="BPL19" i="20"/>
  <c r="BPM19" i="20"/>
  <c r="BPN19" i="20"/>
  <c r="BPO19" i="20"/>
  <c r="BPP19" i="20"/>
  <c r="BPQ19" i="20"/>
  <c r="BPR19" i="20"/>
  <c r="BPS19" i="20"/>
  <c r="BPT19" i="20"/>
  <c r="BPU19" i="20"/>
  <c r="BPV19" i="20"/>
  <c r="BPW19" i="20"/>
  <c r="BPX19" i="20"/>
  <c r="BPY19" i="20"/>
  <c r="BPZ19" i="20"/>
  <c r="BQA19" i="20"/>
  <c r="BQB19" i="20"/>
  <c r="BQC19" i="20"/>
  <c r="BQD19" i="20"/>
  <c r="BQE19" i="20"/>
  <c r="BQF19" i="20"/>
  <c r="BQG19" i="20"/>
  <c r="BQH19" i="20"/>
  <c r="BQI19" i="20"/>
  <c r="BQJ19" i="20"/>
  <c r="BQK19" i="20"/>
  <c r="BQL19" i="20"/>
  <c r="BQM19" i="20"/>
  <c r="BQN19" i="20"/>
  <c r="BQO19" i="20"/>
  <c r="BQP19" i="20"/>
  <c r="BQQ19" i="20"/>
  <c r="BQR19" i="20"/>
  <c r="BQS19" i="20"/>
  <c r="BQT19" i="20"/>
  <c r="BQU19" i="20"/>
  <c r="BQV19" i="20"/>
  <c r="BQW19" i="20"/>
  <c r="BQX19" i="20"/>
  <c r="BQY19" i="20"/>
  <c r="BQZ19" i="20"/>
  <c r="BRA19" i="20"/>
  <c r="BRB19" i="20"/>
  <c r="BRC19" i="20"/>
  <c r="BRD19" i="20"/>
  <c r="BRE19" i="20"/>
  <c r="BRF19" i="20"/>
  <c r="BRG19" i="20"/>
  <c r="BRH19" i="20"/>
  <c r="BRI19" i="20"/>
  <c r="BRJ19" i="20"/>
  <c r="BRK19" i="20"/>
  <c r="BRL19" i="20"/>
  <c r="BRM19" i="20"/>
  <c r="BRN19" i="20"/>
  <c r="BRO19" i="20"/>
  <c r="BRP19" i="20"/>
  <c r="BRQ19" i="20"/>
  <c r="BRR19" i="20"/>
  <c r="BRS19" i="20"/>
  <c r="BRT19" i="20"/>
  <c r="BRU19" i="20"/>
  <c r="BRV19" i="20"/>
  <c r="BRW19" i="20"/>
  <c r="BRX19" i="20"/>
  <c r="BRY19" i="20"/>
  <c r="BRZ19" i="20"/>
  <c r="BSA19" i="20"/>
  <c r="BSB19" i="20"/>
  <c r="BSC19" i="20"/>
  <c r="BSD19" i="20"/>
  <c r="BSE19" i="20"/>
  <c r="BSF19" i="20"/>
  <c r="BSG19" i="20"/>
  <c r="BSH19" i="20"/>
  <c r="BSI19" i="20"/>
  <c r="BSJ19" i="20"/>
  <c r="BSK19" i="20"/>
  <c r="BSL19" i="20"/>
  <c r="BSM19" i="20"/>
  <c r="BSN19" i="20"/>
  <c r="BSO19" i="20"/>
  <c r="BSP19" i="20"/>
  <c r="BSQ19" i="20"/>
  <c r="BSR19" i="20"/>
  <c r="BSS19" i="20"/>
  <c r="BST19" i="20"/>
  <c r="BSU19" i="20"/>
  <c r="BSV19" i="20"/>
  <c r="BSW19" i="20"/>
  <c r="BSX19" i="20"/>
  <c r="BSY19" i="20"/>
  <c r="BSZ19" i="20"/>
  <c r="BTA19" i="20"/>
  <c r="BTB19" i="20"/>
  <c r="BTC19" i="20"/>
  <c r="BTD19" i="20"/>
  <c r="BTE19" i="20"/>
  <c r="BTF19" i="20"/>
  <c r="BTG19" i="20"/>
  <c r="BTH19" i="20"/>
  <c r="BTI19" i="20"/>
  <c r="BTJ19" i="20"/>
  <c r="BTK19" i="20"/>
  <c r="BTL19" i="20"/>
  <c r="BTM19" i="20"/>
  <c r="BTN19" i="20"/>
  <c r="BTO19" i="20"/>
  <c r="BTP19" i="20"/>
  <c r="BTQ19" i="20"/>
  <c r="BTR19" i="20"/>
  <c r="BTS19" i="20"/>
  <c r="BTT19" i="20"/>
  <c r="BTU19" i="20"/>
  <c r="BTV19" i="20"/>
  <c r="BTW19" i="20"/>
  <c r="BTX19" i="20"/>
  <c r="BTY19" i="20"/>
  <c r="BTZ19" i="20"/>
  <c r="BUA19" i="20"/>
  <c r="BUB19" i="20"/>
  <c r="BUC19" i="20"/>
  <c r="BUD19" i="20"/>
  <c r="BUE19" i="20"/>
  <c r="BUF19" i="20"/>
  <c r="BUG19" i="20"/>
  <c r="BUH19" i="20"/>
  <c r="BUI19" i="20"/>
  <c r="BUJ19" i="20"/>
  <c r="BUK19" i="20"/>
  <c r="BUL19" i="20"/>
  <c r="BUM19" i="20"/>
  <c r="BUN19" i="20"/>
  <c r="BUO19" i="20"/>
  <c r="BUP19" i="20"/>
  <c r="BUQ19" i="20"/>
  <c r="BUR19" i="20"/>
  <c r="BUS19" i="20"/>
  <c r="BUT19" i="20"/>
  <c r="BUU19" i="20"/>
  <c r="BUV19" i="20"/>
  <c r="BUW19" i="20"/>
  <c r="BUX19" i="20"/>
  <c r="BUY19" i="20"/>
  <c r="BUZ19" i="20"/>
  <c r="BVA19" i="20"/>
  <c r="BVB19" i="20"/>
  <c r="BVC19" i="20"/>
  <c r="BVD19" i="20"/>
  <c r="BVE19" i="20"/>
  <c r="BVF19" i="20"/>
  <c r="BVG19" i="20"/>
  <c r="BVH19" i="20"/>
  <c r="BVI19" i="20"/>
  <c r="BVJ19" i="20"/>
  <c r="BVK19" i="20"/>
  <c r="BVL19" i="20"/>
  <c r="BVM19" i="20"/>
  <c r="BVN19" i="20"/>
  <c r="BVO19" i="20"/>
  <c r="BVP19" i="20"/>
  <c r="BVQ19" i="20"/>
  <c r="BVR19" i="20"/>
  <c r="BVS19" i="20"/>
  <c r="BVT19" i="20"/>
  <c r="BVU19" i="20"/>
  <c r="BVV19" i="20"/>
  <c r="BVW19" i="20"/>
  <c r="BVX19" i="20"/>
  <c r="BVY19" i="20"/>
  <c r="BVZ19" i="20"/>
  <c r="BWA19" i="20"/>
  <c r="BWB19" i="20"/>
  <c r="BWC19" i="20"/>
  <c r="BWD19" i="20"/>
  <c r="BWE19" i="20"/>
  <c r="BWF19" i="20"/>
  <c r="BWG19" i="20"/>
  <c r="BWH19" i="20"/>
  <c r="BWI19" i="20"/>
  <c r="BWJ19" i="20"/>
  <c r="BWK19" i="20"/>
  <c r="BWL19" i="20"/>
  <c r="BWM19" i="20"/>
  <c r="BWN19" i="20"/>
  <c r="BWO19" i="20"/>
  <c r="BWP19" i="20"/>
  <c r="BWQ19" i="20"/>
  <c r="BWR19" i="20"/>
  <c r="BWS19" i="20"/>
  <c r="BWT19" i="20"/>
  <c r="BWU19" i="20"/>
  <c r="BWV19" i="20"/>
  <c r="BWW19" i="20"/>
  <c r="BWX19" i="20"/>
  <c r="BWY19" i="20"/>
  <c r="BWZ19" i="20"/>
  <c r="BXA19" i="20"/>
  <c r="BXB19" i="20"/>
  <c r="BXC19" i="20"/>
  <c r="BXD19" i="20"/>
  <c r="BXE19" i="20"/>
  <c r="BXF19" i="20"/>
  <c r="BXG19" i="20"/>
  <c r="BXH19" i="20"/>
  <c r="BXI19" i="20"/>
  <c r="BXJ19" i="20"/>
  <c r="BXK19" i="20"/>
  <c r="BXL19" i="20"/>
  <c r="BXM19" i="20"/>
  <c r="BXN19" i="20"/>
  <c r="BXO19" i="20"/>
  <c r="BXP19" i="20"/>
  <c r="BXQ19" i="20"/>
  <c r="BXR19" i="20"/>
  <c r="BXS19" i="20"/>
  <c r="BXT19" i="20"/>
  <c r="BXU19" i="20"/>
  <c r="BXV19" i="20"/>
  <c r="BXW19" i="20"/>
  <c r="BXX19" i="20"/>
  <c r="BXY19" i="20"/>
  <c r="BXZ19" i="20"/>
  <c r="BYA19" i="20"/>
  <c r="BYB19" i="20"/>
  <c r="BYC19" i="20"/>
  <c r="BYD19" i="20"/>
  <c r="BYE19" i="20"/>
  <c r="BYF19" i="20"/>
  <c r="BYG19" i="20"/>
  <c r="BYH19" i="20"/>
  <c r="BYI19" i="20"/>
  <c r="BYJ19" i="20"/>
  <c r="BYK19" i="20"/>
  <c r="BYL19" i="20"/>
  <c r="BYM19" i="20"/>
  <c r="BYN19" i="20"/>
  <c r="BYO19" i="20"/>
  <c r="BYP19" i="20"/>
  <c r="BYQ19" i="20"/>
  <c r="BYR19" i="20"/>
  <c r="BYS19" i="20"/>
  <c r="BYT19" i="20"/>
  <c r="BYU19" i="20"/>
  <c r="BYV19" i="20"/>
  <c r="BYW19" i="20"/>
  <c r="BYX19" i="20"/>
  <c r="BYY19" i="20"/>
  <c r="BYZ19" i="20"/>
  <c r="BZA19" i="20"/>
  <c r="BZB19" i="20"/>
  <c r="BZC19" i="20"/>
  <c r="BZD19" i="20"/>
  <c r="BZE19" i="20"/>
  <c r="BZF19" i="20"/>
  <c r="BZG19" i="20"/>
  <c r="BZH19" i="20"/>
  <c r="BZI19" i="20"/>
  <c r="BZJ19" i="20"/>
  <c r="BZK19" i="20"/>
  <c r="BZL19" i="20"/>
  <c r="BZM19" i="20"/>
  <c r="BZN19" i="20"/>
  <c r="BZO19" i="20"/>
  <c r="BZP19" i="20"/>
  <c r="BZQ19" i="20"/>
  <c r="BZR19" i="20"/>
  <c r="BZS19" i="20"/>
  <c r="BZT19" i="20"/>
  <c r="BZU19" i="20"/>
  <c r="BZV19" i="20"/>
  <c r="BZW19" i="20"/>
  <c r="BZX19" i="20"/>
  <c r="BZY19" i="20"/>
  <c r="BZZ19" i="20"/>
  <c r="CAA19" i="20"/>
  <c r="CAB19" i="20"/>
  <c r="CAC19" i="20"/>
  <c r="CAD19" i="20"/>
  <c r="CAE19" i="20"/>
  <c r="CAF19" i="20"/>
  <c r="CAG19" i="20"/>
  <c r="CAH19" i="20"/>
  <c r="CAI19" i="20"/>
  <c r="CAJ19" i="20"/>
  <c r="CAK19" i="20"/>
  <c r="CAL19" i="20"/>
  <c r="CAM19" i="20"/>
  <c r="CAN19" i="20"/>
  <c r="CAO19" i="20"/>
  <c r="CAP19" i="20"/>
  <c r="CAQ19" i="20"/>
  <c r="CAR19" i="20"/>
  <c r="CAS19" i="20"/>
  <c r="CAT19" i="20"/>
  <c r="CAU19" i="20"/>
  <c r="CAV19" i="20"/>
  <c r="CAW19" i="20"/>
  <c r="CAX19" i="20"/>
  <c r="CAY19" i="20"/>
  <c r="CAZ19" i="20"/>
  <c r="CBA19" i="20"/>
  <c r="CBB19" i="20"/>
  <c r="CBC19" i="20"/>
  <c r="CBD19" i="20"/>
  <c r="CBE19" i="20"/>
  <c r="CBF19" i="20"/>
  <c r="CBG19" i="20"/>
  <c r="CBH19" i="20"/>
  <c r="CBI19" i="20"/>
  <c r="CBJ19" i="20"/>
  <c r="CBK19" i="20"/>
  <c r="CBL19" i="20"/>
  <c r="CBM19" i="20"/>
  <c r="CBN19" i="20"/>
  <c r="CBO19" i="20"/>
  <c r="CBP19" i="20"/>
  <c r="CBQ19" i="20"/>
  <c r="CBR19" i="20"/>
  <c r="CBS19" i="20"/>
  <c r="CBT19" i="20"/>
  <c r="CBU19" i="20"/>
  <c r="CBV19" i="20"/>
  <c r="CBW19" i="20"/>
  <c r="CBX19" i="20"/>
  <c r="CBY19" i="20"/>
  <c r="CBZ19" i="20"/>
  <c r="CCA19" i="20"/>
  <c r="CCB19" i="20"/>
  <c r="CCC19" i="20"/>
  <c r="CCD19" i="20"/>
  <c r="CCE19" i="20"/>
  <c r="CCF19" i="20"/>
  <c r="CCG19" i="20"/>
  <c r="CCH19" i="20"/>
  <c r="CCI19" i="20"/>
  <c r="CCJ19" i="20"/>
  <c r="CCK19" i="20"/>
  <c r="CCL19" i="20"/>
  <c r="CCM19" i="20"/>
  <c r="CCN19" i="20"/>
  <c r="CCO19" i="20"/>
  <c r="CCP19" i="20"/>
  <c r="CCQ19" i="20"/>
  <c r="CCR19" i="20"/>
  <c r="CCS19" i="20"/>
  <c r="CCT19" i="20"/>
  <c r="CCU19" i="20"/>
  <c r="CCV19" i="20"/>
  <c r="CCW19" i="20"/>
  <c r="CCX19" i="20"/>
  <c r="CCY19" i="20"/>
  <c r="CCZ19" i="20"/>
  <c r="CDA19" i="20"/>
  <c r="CDB19" i="20"/>
  <c r="CDC19" i="20"/>
  <c r="CDD19" i="20"/>
  <c r="CDE19" i="20"/>
  <c r="CDF19" i="20"/>
  <c r="CDG19" i="20"/>
  <c r="CDH19" i="20"/>
  <c r="CDI19" i="20"/>
  <c r="CDJ19" i="20"/>
  <c r="CDK19" i="20"/>
  <c r="CDL19" i="20"/>
  <c r="CDM19" i="20"/>
  <c r="CDN19" i="20"/>
  <c r="CDO19" i="20"/>
  <c r="CDP19" i="20"/>
  <c r="CDQ19" i="20"/>
  <c r="CDR19" i="20"/>
  <c r="CDS19" i="20"/>
  <c r="CDT19" i="20"/>
  <c r="CDU19" i="20"/>
  <c r="CDV19" i="20"/>
  <c r="CDW19" i="20"/>
  <c r="CDX19" i="20"/>
  <c r="CDY19" i="20"/>
  <c r="CDZ19" i="20"/>
  <c r="CEA19" i="20"/>
  <c r="CEB19" i="20"/>
  <c r="CEC19" i="20"/>
  <c r="CED19" i="20"/>
  <c r="CEE19" i="20"/>
  <c r="CEF19" i="20"/>
  <c r="CEG19" i="20"/>
  <c r="CEH19" i="20"/>
  <c r="CEI19" i="20"/>
  <c r="CEJ19" i="20"/>
  <c r="CEK19" i="20"/>
  <c r="CEL19" i="20"/>
  <c r="CEM19" i="20"/>
  <c r="CEN19" i="20"/>
  <c r="CEO19" i="20"/>
  <c r="CEP19" i="20"/>
  <c r="CEQ19" i="20"/>
  <c r="CER19" i="20"/>
  <c r="CES19" i="20"/>
  <c r="CET19" i="20"/>
  <c r="CEU19" i="20"/>
  <c r="CEV19" i="20"/>
  <c r="CEW19" i="20"/>
  <c r="CEX19" i="20"/>
  <c r="CEY19" i="20"/>
  <c r="CEZ19" i="20"/>
  <c r="CFA19" i="20"/>
  <c r="CFB19" i="20"/>
  <c r="CFC19" i="20"/>
  <c r="CFD19" i="20"/>
  <c r="CFE19" i="20"/>
  <c r="CFF19" i="20"/>
  <c r="CFG19" i="20"/>
  <c r="CFH19" i="20"/>
  <c r="CFI19" i="20"/>
  <c r="CFJ19" i="20"/>
  <c r="CFK19" i="20"/>
  <c r="CFL19" i="20"/>
  <c r="CFM19" i="20"/>
  <c r="CFN19" i="20"/>
  <c r="CFO19" i="20"/>
  <c r="CFP19" i="20"/>
  <c r="CFQ19" i="20"/>
  <c r="CFR19" i="20"/>
  <c r="CFS19" i="20"/>
  <c r="CFT19" i="20"/>
  <c r="CFU19" i="20"/>
  <c r="CFV19" i="20"/>
  <c r="CFW19" i="20"/>
  <c r="CFX19" i="20"/>
  <c r="CFY19" i="20"/>
  <c r="CFZ19" i="20"/>
  <c r="CGA19" i="20"/>
  <c r="CGB19" i="20"/>
  <c r="CGC19" i="20"/>
  <c r="CGD19" i="20"/>
  <c r="CGE19" i="20"/>
  <c r="CGF19" i="20"/>
  <c r="CGG19" i="20"/>
  <c r="CGH19" i="20"/>
  <c r="CGI19" i="20"/>
  <c r="CGJ19" i="20"/>
  <c r="CGK19" i="20"/>
  <c r="CGL19" i="20"/>
  <c r="CGM19" i="20"/>
  <c r="CGN19" i="20"/>
  <c r="CGO19" i="20"/>
  <c r="CGP19" i="20"/>
  <c r="CGQ19" i="20"/>
  <c r="CGR19" i="20"/>
  <c r="CGS19" i="20"/>
  <c r="CGT19" i="20"/>
  <c r="CGU19" i="20"/>
  <c r="CGV19" i="20"/>
  <c r="CGW19" i="20"/>
  <c r="CGX19" i="20"/>
  <c r="CGY19" i="20"/>
  <c r="CGZ19" i="20"/>
  <c r="CHA19" i="20"/>
  <c r="CHB19" i="20"/>
  <c r="CHC19" i="20"/>
  <c r="CHD19" i="20"/>
  <c r="CHE19" i="20"/>
  <c r="CHF19" i="20"/>
  <c r="CHG19" i="20"/>
  <c r="CHH19" i="20"/>
  <c r="CHI19" i="20"/>
  <c r="CHJ19" i="20"/>
  <c r="CHK19" i="20"/>
  <c r="CHL19" i="20"/>
  <c r="CHM19" i="20"/>
  <c r="CHN19" i="20"/>
  <c r="CHO19" i="20"/>
  <c r="CHP19" i="20"/>
  <c r="CHQ19" i="20"/>
  <c r="CHR19" i="20"/>
  <c r="CHS19" i="20"/>
  <c r="CHT19" i="20"/>
  <c r="CHU19" i="20"/>
  <c r="CHV19" i="20"/>
  <c r="CHW19" i="20"/>
  <c r="CHX19" i="20"/>
  <c r="CHY19" i="20"/>
  <c r="CHZ19" i="20"/>
  <c r="CIA19" i="20"/>
  <c r="CIB19" i="20"/>
  <c r="CIC19" i="20"/>
  <c r="CID19" i="20"/>
  <c r="CIE19" i="20"/>
  <c r="CIF19" i="20"/>
  <c r="CIG19" i="20"/>
  <c r="CIH19" i="20"/>
  <c r="CII19" i="20"/>
  <c r="CIJ19" i="20"/>
  <c r="CIK19" i="20"/>
  <c r="CIL19" i="20"/>
  <c r="CIM19" i="20"/>
  <c r="CIN19" i="20"/>
  <c r="CIO19" i="20"/>
  <c r="CIP19" i="20"/>
  <c r="CIQ19" i="20"/>
  <c r="CIR19" i="20"/>
  <c r="CIS19" i="20"/>
  <c r="CIT19" i="20"/>
  <c r="CIU19" i="20"/>
  <c r="CIV19" i="20"/>
  <c r="CIW19" i="20"/>
  <c r="CIX19" i="20"/>
  <c r="CIY19" i="20"/>
  <c r="CIZ19" i="20"/>
  <c r="CJA19" i="20"/>
  <c r="CJB19" i="20"/>
  <c r="CJC19" i="20"/>
  <c r="CJD19" i="20"/>
  <c r="CJE19" i="20"/>
  <c r="CJF19" i="20"/>
  <c r="CJG19" i="20"/>
  <c r="CJH19" i="20"/>
  <c r="CJI19" i="20"/>
  <c r="CJJ19" i="20"/>
  <c r="CJK19" i="20"/>
  <c r="CJL19" i="20"/>
  <c r="CJM19" i="20"/>
  <c r="CJN19" i="20"/>
  <c r="CJO19" i="20"/>
  <c r="CJP19" i="20"/>
  <c r="CJQ19" i="20"/>
  <c r="CJR19" i="20"/>
  <c r="CJS19" i="20"/>
  <c r="CJT19" i="20"/>
  <c r="CJU19" i="20"/>
  <c r="CJV19" i="20"/>
  <c r="CJW19" i="20"/>
  <c r="CJX19" i="20"/>
  <c r="CJY19" i="20"/>
  <c r="CJZ19" i="20"/>
  <c r="CKA19" i="20"/>
  <c r="CKB19" i="20"/>
  <c r="CKC19" i="20"/>
  <c r="CKD19" i="20"/>
  <c r="CKE19" i="20"/>
  <c r="CKF19" i="20"/>
  <c r="CKG19" i="20"/>
  <c r="CKH19" i="20"/>
  <c r="CKI19" i="20"/>
  <c r="CKJ19" i="20"/>
  <c r="CKK19" i="20"/>
  <c r="CKL19" i="20"/>
  <c r="CKM19" i="20"/>
  <c r="CKN19" i="20"/>
  <c r="CKO19" i="20"/>
  <c r="CKP19" i="20"/>
  <c r="CKQ19" i="20"/>
  <c r="CKR19" i="20"/>
  <c r="CKS19" i="20"/>
  <c r="CKT19" i="20"/>
  <c r="CKU19" i="20"/>
  <c r="CKV19" i="20"/>
  <c r="CKW19" i="20"/>
  <c r="CKX19" i="20"/>
  <c r="CKY19" i="20"/>
  <c r="CKZ19" i="20"/>
  <c r="CLA19" i="20"/>
  <c r="CLB19" i="20"/>
  <c r="CLC19" i="20"/>
  <c r="CLD19" i="20"/>
  <c r="CLE19" i="20"/>
  <c r="CLF19" i="20"/>
  <c r="CLG19" i="20"/>
  <c r="CLH19" i="20"/>
  <c r="CLI19" i="20"/>
  <c r="CLJ19" i="20"/>
  <c r="CLK19" i="20"/>
  <c r="CLL19" i="20"/>
  <c r="CLM19" i="20"/>
  <c r="CLN19" i="20"/>
  <c r="CLO19" i="20"/>
  <c r="CLP19" i="20"/>
  <c r="CLQ19" i="20"/>
  <c r="CLR19" i="20"/>
  <c r="CLS19" i="20"/>
  <c r="CLT19" i="20"/>
  <c r="CLU19" i="20"/>
  <c r="CLV19" i="20"/>
  <c r="CLW19" i="20"/>
  <c r="CLX19" i="20"/>
  <c r="CLY19" i="20"/>
  <c r="CLZ19" i="20"/>
  <c r="CMA19" i="20"/>
  <c r="CMB19" i="20"/>
  <c r="CMC19" i="20"/>
  <c r="CMD19" i="20"/>
  <c r="CME19" i="20"/>
  <c r="CMF19" i="20"/>
  <c r="CMG19" i="20"/>
  <c r="CMH19" i="20"/>
  <c r="CMI19" i="20"/>
  <c r="CMJ19" i="20"/>
  <c r="CMK19" i="20"/>
  <c r="CML19" i="20"/>
  <c r="CMM19" i="20"/>
  <c r="CMN19" i="20"/>
  <c r="CMO19" i="20"/>
  <c r="CMP19" i="20"/>
  <c r="CMQ19" i="20"/>
  <c r="CMR19" i="20"/>
  <c r="CMS19" i="20"/>
  <c r="CMT19" i="20"/>
  <c r="CMU19" i="20"/>
  <c r="CMV19" i="20"/>
  <c r="CMW19" i="20"/>
  <c r="CMX19" i="20"/>
  <c r="CMY19" i="20"/>
  <c r="CMZ19" i="20"/>
  <c r="CNA19" i="20"/>
  <c r="CNB19" i="20"/>
  <c r="CNC19" i="20"/>
  <c r="CND19" i="20"/>
  <c r="CNE19" i="20"/>
  <c r="CNF19" i="20"/>
  <c r="CNG19" i="20"/>
  <c r="CNH19" i="20"/>
  <c r="CNI19" i="20"/>
  <c r="CNJ19" i="20"/>
  <c r="CNK19" i="20"/>
  <c r="CNL19" i="20"/>
  <c r="CNM19" i="20"/>
  <c r="CNN19" i="20"/>
  <c r="CNO19" i="20"/>
  <c r="CNP19" i="20"/>
  <c r="CNQ19" i="20"/>
  <c r="CNR19" i="20"/>
  <c r="CNS19" i="20"/>
  <c r="CNT19" i="20"/>
  <c r="CNU19" i="20"/>
  <c r="CNV19" i="20"/>
  <c r="CNW19" i="20"/>
  <c r="CNX19" i="20"/>
  <c r="CNY19" i="20"/>
  <c r="CNZ19" i="20"/>
  <c r="COA19" i="20"/>
  <c r="COB19" i="20"/>
  <c r="COC19" i="20"/>
  <c r="COD19" i="20"/>
  <c r="COE19" i="20"/>
  <c r="COF19" i="20"/>
  <c r="COG19" i="20"/>
  <c r="COH19" i="20"/>
  <c r="COI19" i="20"/>
  <c r="COJ19" i="20"/>
  <c r="COK19" i="20"/>
  <c r="COL19" i="20"/>
  <c r="COM19" i="20"/>
  <c r="CON19" i="20"/>
  <c r="COO19" i="20"/>
  <c r="COP19" i="20"/>
  <c r="COQ19" i="20"/>
  <c r="COR19" i="20"/>
  <c r="COS19" i="20"/>
  <c r="COT19" i="20"/>
  <c r="COU19" i="20"/>
  <c r="COV19" i="20"/>
  <c r="COW19" i="20"/>
  <c r="COX19" i="20"/>
  <c r="COY19" i="20"/>
  <c r="COZ19" i="20"/>
  <c r="CPA19" i="20"/>
  <c r="CPB19" i="20"/>
  <c r="CPC19" i="20"/>
  <c r="CPD19" i="20"/>
  <c r="CPE19" i="20"/>
  <c r="CPF19" i="20"/>
  <c r="CPG19" i="20"/>
  <c r="CPH19" i="20"/>
  <c r="CPI19" i="20"/>
  <c r="CPJ19" i="20"/>
  <c r="CPK19" i="20"/>
  <c r="CPL19" i="20"/>
  <c r="CPM19" i="20"/>
  <c r="CPN19" i="20"/>
  <c r="CPO19" i="20"/>
  <c r="CPP19" i="20"/>
  <c r="CPQ19" i="20"/>
  <c r="CPR19" i="20"/>
  <c r="CPS19" i="20"/>
  <c r="CPT19" i="20"/>
  <c r="CPU19" i="20"/>
  <c r="CPV19" i="20"/>
  <c r="CPW19" i="20"/>
  <c r="CPX19" i="20"/>
  <c r="CPY19" i="20"/>
  <c r="CPZ19" i="20"/>
  <c r="CQA19" i="20"/>
  <c r="CQB19" i="20"/>
  <c r="CQC19" i="20"/>
  <c r="CQD19" i="20"/>
  <c r="CQE19" i="20"/>
  <c r="CQF19" i="20"/>
  <c r="CQG19" i="20"/>
  <c r="CQH19" i="20"/>
  <c r="CQI19" i="20"/>
  <c r="CQJ19" i="20"/>
  <c r="CQK19" i="20"/>
  <c r="CQL19" i="20"/>
  <c r="CQM19" i="20"/>
  <c r="CQN19" i="20"/>
  <c r="CQO19" i="20"/>
  <c r="CQP19" i="20"/>
  <c r="CQQ19" i="20"/>
  <c r="CQR19" i="20"/>
  <c r="CQS19" i="20"/>
  <c r="CQT19" i="20"/>
  <c r="CQU19" i="20"/>
  <c r="CQV19" i="20"/>
  <c r="CQW19" i="20"/>
  <c r="CQX19" i="20"/>
  <c r="CQY19" i="20"/>
  <c r="CQZ19" i="20"/>
  <c r="CRA19" i="20"/>
  <c r="CRB19" i="20"/>
  <c r="CRC19" i="20"/>
  <c r="CRD19" i="20"/>
  <c r="CRE19" i="20"/>
  <c r="CRF19" i="20"/>
  <c r="CRG19" i="20"/>
  <c r="CRH19" i="20"/>
  <c r="CRI19" i="20"/>
  <c r="CRJ19" i="20"/>
  <c r="CRK19" i="20"/>
  <c r="CRL19" i="20"/>
  <c r="CRM19" i="20"/>
  <c r="CRN19" i="20"/>
  <c r="CRO19" i="20"/>
  <c r="CRP19" i="20"/>
  <c r="CRQ19" i="20"/>
  <c r="CRR19" i="20"/>
  <c r="CRS19" i="20"/>
  <c r="CRT19" i="20"/>
  <c r="CRU19" i="20"/>
  <c r="CRV19" i="20"/>
  <c r="CRW19" i="20"/>
  <c r="CRX19" i="20"/>
  <c r="CRY19" i="20"/>
  <c r="CRZ19" i="20"/>
  <c r="CSA19" i="20"/>
  <c r="CSB19" i="20"/>
  <c r="CSC19" i="20"/>
  <c r="CSD19" i="20"/>
  <c r="CSE19" i="20"/>
  <c r="CSF19" i="20"/>
  <c r="CSG19" i="20"/>
  <c r="CSH19" i="20"/>
  <c r="CSI19" i="20"/>
  <c r="CSJ19" i="20"/>
  <c r="CSK19" i="20"/>
  <c r="CSL19" i="20"/>
  <c r="CSM19" i="20"/>
  <c r="CSN19" i="20"/>
  <c r="CSO19" i="20"/>
  <c r="CSP19" i="20"/>
  <c r="CSQ19" i="20"/>
  <c r="CSR19" i="20"/>
  <c r="CSS19" i="20"/>
  <c r="CST19" i="20"/>
  <c r="CSU19" i="20"/>
  <c r="CSV19" i="20"/>
  <c r="CSW19" i="20"/>
  <c r="CSX19" i="20"/>
  <c r="CSY19" i="20"/>
  <c r="CSZ19" i="20"/>
  <c r="CTA19" i="20"/>
  <c r="CTB19" i="20"/>
  <c r="CTC19" i="20"/>
  <c r="CTD19" i="20"/>
  <c r="CTE19" i="20"/>
  <c r="CTF19" i="20"/>
  <c r="CTG19" i="20"/>
  <c r="CTH19" i="20"/>
  <c r="CTI19" i="20"/>
  <c r="CTJ19" i="20"/>
  <c r="CTK19" i="20"/>
  <c r="CTL19" i="20"/>
  <c r="CTM19" i="20"/>
  <c r="CTN19" i="20"/>
  <c r="CTO19" i="20"/>
  <c r="CTP19" i="20"/>
  <c r="CTQ19" i="20"/>
  <c r="CTR19" i="20"/>
  <c r="CTS19" i="20"/>
  <c r="CTT19" i="20"/>
  <c r="CTU19" i="20"/>
  <c r="CTV19" i="20"/>
  <c r="CTW19" i="20"/>
  <c r="CTX19" i="20"/>
  <c r="CTY19" i="20"/>
  <c r="CTZ19" i="20"/>
  <c r="CUA19" i="20"/>
  <c r="CUB19" i="20"/>
  <c r="CUC19" i="20"/>
  <c r="CUD19" i="20"/>
  <c r="CUE19" i="20"/>
  <c r="CUF19" i="20"/>
  <c r="CUG19" i="20"/>
  <c r="CUH19" i="20"/>
  <c r="CUI19" i="20"/>
  <c r="CUJ19" i="20"/>
  <c r="CUK19" i="20"/>
  <c r="CUL19" i="20"/>
  <c r="CUM19" i="20"/>
  <c r="CUN19" i="20"/>
  <c r="CUO19" i="20"/>
  <c r="CUP19" i="20"/>
  <c r="CUQ19" i="20"/>
  <c r="CUR19" i="20"/>
  <c r="CUS19" i="20"/>
  <c r="CUT19" i="20"/>
  <c r="CUU19" i="20"/>
  <c r="CUV19" i="20"/>
  <c r="CUW19" i="20"/>
  <c r="CUX19" i="20"/>
  <c r="CUY19" i="20"/>
  <c r="CUZ19" i="20"/>
  <c r="CVA19" i="20"/>
  <c r="CVB19" i="20"/>
  <c r="CVC19" i="20"/>
  <c r="CVD19" i="20"/>
  <c r="CVE19" i="20"/>
  <c r="CVF19" i="20"/>
  <c r="CVG19" i="20"/>
  <c r="CVH19" i="20"/>
  <c r="CVI19" i="20"/>
  <c r="CVJ19" i="20"/>
  <c r="CVK19" i="20"/>
  <c r="CVL19" i="20"/>
  <c r="CVM19" i="20"/>
  <c r="CVN19" i="20"/>
  <c r="CVO19" i="20"/>
  <c r="CVP19" i="20"/>
  <c r="CVQ19" i="20"/>
  <c r="CVR19" i="20"/>
  <c r="CVS19" i="20"/>
  <c r="CVT19" i="20"/>
  <c r="CVU19" i="20"/>
  <c r="CVV19" i="20"/>
  <c r="CVW19" i="20"/>
  <c r="CVX19" i="20"/>
  <c r="CVY19" i="20"/>
  <c r="CVZ19" i="20"/>
  <c r="CWA19" i="20"/>
  <c r="CWB19" i="20"/>
  <c r="CWC19" i="20"/>
  <c r="CWD19" i="20"/>
  <c r="CWE19" i="20"/>
  <c r="CWF19" i="20"/>
  <c r="CWG19" i="20"/>
  <c r="CWH19" i="20"/>
  <c r="CWI19" i="20"/>
  <c r="CWJ19" i="20"/>
  <c r="CWK19" i="20"/>
  <c r="CWL19" i="20"/>
  <c r="CWM19" i="20"/>
  <c r="CWN19" i="20"/>
  <c r="CWO19" i="20"/>
  <c r="CWP19" i="20"/>
  <c r="CWQ19" i="20"/>
  <c r="CWR19" i="20"/>
  <c r="CWS19" i="20"/>
  <c r="CWT19" i="20"/>
  <c r="CWU19" i="20"/>
  <c r="CWV19" i="20"/>
  <c r="CWW19" i="20"/>
  <c r="CWX19" i="20"/>
  <c r="CWY19" i="20"/>
  <c r="CWZ19" i="20"/>
  <c r="CXA19" i="20"/>
  <c r="CXB19" i="20"/>
  <c r="CXC19" i="20"/>
  <c r="CXD19" i="20"/>
  <c r="CXE19" i="20"/>
  <c r="CXF19" i="20"/>
  <c r="CXG19" i="20"/>
  <c r="CXH19" i="20"/>
  <c r="CXI19" i="20"/>
  <c r="CXJ19" i="20"/>
  <c r="CXK19" i="20"/>
  <c r="CXL19" i="20"/>
  <c r="CXM19" i="20"/>
  <c r="CXN19" i="20"/>
  <c r="CXO19" i="20"/>
  <c r="CXP19" i="20"/>
  <c r="CXQ19" i="20"/>
  <c r="CXR19" i="20"/>
  <c r="CXS19" i="20"/>
  <c r="CXT19" i="20"/>
  <c r="CXU19" i="20"/>
  <c r="CXV19" i="20"/>
  <c r="CXW19" i="20"/>
  <c r="CXX19" i="20"/>
  <c r="CXY19" i="20"/>
  <c r="CXZ19" i="20"/>
  <c r="CYA19" i="20"/>
  <c r="CYB19" i="20"/>
  <c r="CYC19" i="20"/>
  <c r="CYD19" i="20"/>
  <c r="CYE19" i="20"/>
  <c r="CYF19" i="20"/>
  <c r="CYG19" i="20"/>
  <c r="CYH19" i="20"/>
  <c r="CYI19" i="20"/>
  <c r="CYJ19" i="20"/>
  <c r="CYK19" i="20"/>
  <c r="CYL19" i="20"/>
  <c r="CYM19" i="20"/>
  <c r="CYN19" i="20"/>
  <c r="CYO19" i="20"/>
  <c r="CYP19" i="20"/>
  <c r="CYQ19" i="20"/>
  <c r="CYR19" i="20"/>
  <c r="CYS19" i="20"/>
  <c r="CYT19" i="20"/>
  <c r="CYU19" i="20"/>
  <c r="CYV19" i="20"/>
  <c r="CYW19" i="20"/>
  <c r="CYX19" i="20"/>
  <c r="CYY19" i="20"/>
  <c r="CYZ19" i="20"/>
  <c r="CZA19" i="20"/>
  <c r="CZB19" i="20"/>
  <c r="CZC19" i="20"/>
  <c r="CZD19" i="20"/>
  <c r="CZE19" i="20"/>
  <c r="CZF19" i="20"/>
  <c r="CZG19" i="20"/>
  <c r="CZH19" i="20"/>
  <c r="CZI19" i="20"/>
  <c r="CZJ19" i="20"/>
  <c r="CZK19" i="20"/>
  <c r="CZL19" i="20"/>
  <c r="CZM19" i="20"/>
  <c r="CZN19" i="20"/>
  <c r="CZO19" i="20"/>
  <c r="CZP19" i="20"/>
  <c r="CZQ19" i="20"/>
  <c r="CZR19" i="20"/>
  <c r="CZS19" i="20"/>
  <c r="CZT19" i="20"/>
  <c r="CZU19" i="20"/>
  <c r="CZV19" i="20"/>
  <c r="CZW19" i="20"/>
  <c r="CZX19" i="20"/>
  <c r="CZY19" i="20"/>
  <c r="CZZ19" i="20"/>
  <c r="DAA19" i="20"/>
  <c r="DAB19" i="20"/>
  <c r="DAC19" i="20"/>
  <c r="DAD19" i="20"/>
  <c r="DAE19" i="20"/>
  <c r="DAF19" i="20"/>
  <c r="DAG19" i="20"/>
  <c r="DAH19" i="20"/>
  <c r="DAI19" i="20"/>
  <c r="DAJ19" i="20"/>
  <c r="DAK19" i="20"/>
  <c r="DAL19" i="20"/>
  <c r="DAM19" i="20"/>
  <c r="DAN19" i="20"/>
  <c r="DAO19" i="20"/>
  <c r="DAP19" i="20"/>
  <c r="DAQ19" i="20"/>
  <c r="DAR19" i="20"/>
  <c r="DAS19" i="20"/>
  <c r="DAT19" i="20"/>
  <c r="DAU19" i="20"/>
  <c r="DAV19" i="20"/>
  <c r="DAW19" i="20"/>
  <c r="DAX19" i="20"/>
  <c r="DAY19" i="20"/>
  <c r="DAZ19" i="20"/>
  <c r="DBA19" i="20"/>
  <c r="DBB19" i="20"/>
  <c r="DBC19" i="20"/>
  <c r="DBD19" i="20"/>
  <c r="DBE19" i="20"/>
  <c r="DBF19" i="20"/>
  <c r="DBG19" i="20"/>
  <c r="DBH19" i="20"/>
  <c r="DBI19" i="20"/>
  <c r="DBJ19" i="20"/>
  <c r="DBK19" i="20"/>
  <c r="DBL19" i="20"/>
  <c r="DBM19" i="20"/>
  <c r="DBN19" i="20"/>
  <c r="DBO19" i="20"/>
  <c r="DBP19" i="20"/>
  <c r="DBQ19" i="20"/>
  <c r="DBR19" i="20"/>
  <c r="DBS19" i="20"/>
  <c r="DBT19" i="20"/>
  <c r="DBU19" i="20"/>
  <c r="DBV19" i="20"/>
  <c r="DBW19" i="20"/>
  <c r="DBX19" i="20"/>
  <c r="DBY19" i="20"/>
  <c r="DBZ19" i="20"/>
  <c r="DCA19" i="20"/>
  <c r="DCB19" i="20"/>
  <c r="DCC19" i="20"/>
  <c r="DCD19" i="20"/>
  <c r="DCE19" i="20"/>
  <c r="DCF19" i="20"/>
  <c r="DCG19" i="20"/>
  <c r="DCH19" i="20"/>
  <c r="DCI19" i="20"/>
  <c r="DCJ19" i="20"/>
  <c r="DCK19" i="20"/>
  <c r="DCL19" i="20"/>
  <c r="DCM19" i="20"/>
  <c r="DCN19" i="20"/>
  <c r="DCO19" i="20"/>
  <c r="DCP19" i="20"/>
  <c r="DCQ19" i="20"/>
  <c r="DCR19" i="20"/>
  <c r="DCS19" i="20"/>
  <c r="DCT19" i="20"/>
  <c r="DCU19" i="20"/>
  <c r="DCV19" i="20"/>
  <c r="DCW19" i="20"/>
  <c r="DCX19" i="20"/>
  <c r="DCY19" i="20"/>
  <c r="DCZ19" i="20"/>
  <c r="DDA19" i="20"/>
  <c r="DDB19" i="20"/>
  <c r="DDC19" i="20"/>
  <c r="DDD19" i="20"/>
  <c r="DDE19" i="20"/>
  <c r="DDF19" i="20"/>
  <c r="DDG19" i="20"/>
  <c r="DDH19" i="20"/>
  <c r="DDI19" i="20"/>
  <c r="AAE20" i="20"/>
  <c r="AAF20" i="20"/>
  <c r="AAG20" i="20"/>
  <c r="AAH20" i="20"/>
  <c r="AAI20" i="20"/>
  <c r="AAJ20" i="20"/>
  <c r="AAK20" i="20"/>
  <c r="AAL20" i="20"/>
  <c r="AAM20" i="20"/>
  <c r="AAN20" i="20"/>
  <c r="AAO20" i="20"/>
  <c r="AAP20" i="20"/>
  <c r="AAQ20" i="20"/>
  <c r="AAR20" i="20"/>
  <c r="AAS20" i="20"/>
  <c r="AAT20" i="20"/>
  <c r="AAU20" i="20"/>
  <c r="AAV20" i="20"/>
  <c r="AAW20" i="20"/>
  <c r="AAX20" i="20"/>
  <c r="AAY20" i="20"/>
  <c r="AAZ20" i="20"/>
  <c r="ABA20" i="20"/>
  <c r="ABB20" i="20"/>
  <c r="ABC20" i="20"/>
  <c r="ABD20" i="20"/>
  <c r="ABE20" i="20"/>
  <c r="ABF20" i="20"/>
  <c r="ABG20" i="20"/>
  <c r="ABH20" i="20"/>
  <c r="ABI20" i="20"/>
  <c r="ABJ20" i="20"/>
  <c r="ABK20" i="20"/>
  <c r="ABL20" i="20"/>
  <c r="ABM20" i="20"/>
  <c r="ABN20" i="20"/>
  <c r="ABO20" i="20"/>
  <c r="ABP20" i="20"/>
  <c r="ABQ20" i="20"/>
  <c r="ABR20" i="20"/>
  <c r="ABS20" i="20"/>
  <c r="ABT20" i="20"/>
  <c r="ABU20" i="20"/>
  <c r="ABV20" i="20"/>
  <c r="ABW20" i="20"/>
  <c r="ABX20" i="20"/>
  <c r="ABY20" i="20"/>
  <c r="ABZ20" i="20"/>
  <c r="ACA20" i="20"/>
  <c r="ACB20" i="20"/>
  <c r="ACC20" i="20"/>
  <c r="ACD20" i="20"/>
  <c r="ACE20" i="20"/>
  <c r="ACF20" i="20"/>
  <c r="ACG20" i="20"/>
  <c r="ACH20" i="20"/>
  <c r="ACI20" i="20"/>
  <c r="ACJ20" i="20"/>
  <c r="ACK20" i="20"/>
  <c r="ACL20" i="20"/>
  <c r="ACM20" i="20"/>
  <c r="ACN20" i="20"/>
  <c r="ACO20" i="20"/>
  <c r="ACP20" i="20"/>
  <c r="ACQ20" i="20"/>
  <c r="ACR20" i="20"/>
  <c r="ACS20" i="20"/>
  <c r="ACT20" i="20"/>
  <c r="ACU20" i="20"/>
  <c r="ACV20" i="20"/>
  <c r="ACW20" i="20"/>
  <c r="ACX20" i="20"/>
  <c r="ACY20" i="20"/>
  <c r="ACZ20" i="20"/>
  <c r="ADA20" i="20"/>
  <c r="ADB20" i="20"/>
  <c r="ADC20" i="20"/>
  <c r="ADD20" i="20"/>
  <c r="ADE20" i="20"/>
  <c r="ADF20" i="20"/>
  <c r="ADG20" i="20"/>
  <c r="ADH20" i="20"/>
  <c r="ADI20" i="20"/>
  <c r="ADJ20" i="20"/>
  <c r="ADK20" i="20"/>
  <c r="ADL20" i="20"/>
  <c r="ADM20" i="20"/>
  <c r="ADN20" i="20"/>
  <c r="ADO20" i="20"/>
  <c r="ADP20" i="20"/>
  <c r="ADQ20" i="20"/>
  <c r="ADR20" i="20"/>
  <c r="ADS20" i="20"/>
  <c r="ADT20" i="20"/>
  <c r="ADU20" i="20"/>
  <c r="ADV20" i="20"/>
  <c r="ADW20" i="20"/>
  <c r="ADX20" i="20"/>
  <c r="ADY20" i="20"/>
  <c r="ADZ20" i="20"/>
  <c r="AEA20" i="20"/>
  <c r="AEB20" i="20"/>
  <c r="AEC20" i="20"/>
  <c r="AED20" i="20"/>
  <c r="AEE20" i="20"/>
  <c r="AEF20" i="20"/>
  <c r="AEG20" i="20"/>
  <c r="AEH20" i="20"/>
  <c r="AEI20" i="20"/>
  <c r="AEJ20" i="20"/>
  <c r="AEK20" i="20"/>
  <c r="AEL20" i="20"/>
  <c r="AEM20" i="20"/>
  <c r="AEN20" i="20"/>
  <c r="AEO20" i="20"/>
  <c r="AEP20" i="20"/>
  <c r="AEQ20" i="20"/>
  <c r="AER20" i="20"/>
  <c r="AES20" i="20"/>
  <c r="AET20" i="20"/>
  <c r="AEU20" i="20"/>
  <c r="AEV20" i="20"/>
  <c r="AEW20" i="20"/>
  <c r="AEX20" i="20"/>
  <c r="AEY20" i="20"/>
  <c r="AEZ20" i="20"/>
  <c r="AFA20" i="20"/>
  <c r="AFB20" i="20"/>
  <c r="AFC20" i="20"/>
  <c r="AFD20" i="20"/>
  <c r="AFE20" i="20"/>
  <c r="AFF20" i="20"/>
  <c r="AFG20" i="20"/>
  <c r="AFH20" i="20"/>
  <c r="AFI20" i="20"/>
  <c r="AFJ20" i="20"/>
  <c r="AFK20" i="20"/>
  <c r="AFL20" i="20"/>
  <c r="AFM20" i="20"/>
  <c r="AFN20" i="20"/>
  <c r="AFO20" i="20"/>
  <c r="AFP20" i="20"/>
  <c r="AFQ20" i="20"/>
  <c r="AFR20" i="20"/>
  <c r="AFS20" i="20"/>
  <c r="AFT20" i="20"/>
  <c r="AFU20" i="20"/>
  <c r="AFV20" i="20"/>
  <c r="AFW20" i="20"/>
  <c r="AFX20" i="20"/>
  <c r="AFY20" i="20"/>
  <c r="AFZ20" i="20"/>
  <c r="AGA20" i="20"/>
  <c r="AGB20" i="20"/>
  <c r="AGC20" i="20"/>
  <c r="AGD20" i="20"/>
  <c r="AGE20" i="20"/>
  <c r="AGF20" i="20"/>
  <c r="AGG20" i="20"/>
  <c r="AGH20" i="20"/>
  <c r="AGI20" i="20"/>
  <c r="AGJ20" i="20"/>
  <c r="AGK20" i="20"/>
  <c r="AGL20" i="20"/>
  <c r="AGM20" i="20"/>
  <c r="AGN20" i="20"/>
  <c r="AGO20" i="20"/>
  <c r="AGP20" i="20"/>
  <c r="AGQ20" i="20"/>
  <c r="AGR20" i="20"/>
  <c r="AGS20" i="20"/>
  <c r="AGT20" i="20"/>
  <c r="AGU20" i="20"/>
  <c r="AGV20" i="20"/>
  <c r="AGW20" i="20"/>
  <c r="AGX20" i="20"/>
  <c r="AGY20" i="20"/>
  <c r="AGZ20" i="20"/>
  <c r="AHA20" i="20"/>
  <c r="AHB20" i="20"/>
  <c r="AHC20" i="20"/>
  <c r="AHD20" i="20"/>
  <c r="AHE20" i="20"/>
  <c r="AHF20" i="20"/>
  <c r="AHG20" i="20"/>
  <c r="AHH20" i="20"/>
  <c r="AHI20" i="20"/>
  <c r="AHJ20" i="20"/>
  <c r="AHK20" i="20"/>
  <c r="AHL20" i="20"/>
  <c r="AHM20" i="20"/>
  <c r="AHN20" i="20"/>
  <c r="AHO20" i="20"/>
  <c r="AHP20" i="20"/>
  <c r="AHQ20" i="20"/>
  <c r="AHR20" i="20"/>
  <c r="AHS20" i="20"/>
  <c r="AHT20" i="20"/>
  <c r="AHU20" i="20"/>
  <c r="AHV20" i="20"/>
  <c r="AHW20" i="20"/>
  <c r="AHX20" i="20"/>
  <c r="AHY20" i="20"/>
  <c r="AHZ20" i="20"/>
  <c r="AIA20" i="20"/>
  <c r="AIB20" i="20"/>
  <c r="AIC20" i="20"/>
  <c r="AID20" i="20"/>
  <c r="AIE20" i="20"/>
  <c r="AIF20" i="20"/>
  <c r="AIG20" i="20"/>
  <c r="AIH20" i="20"/>
  <c r="AII20" i="20"/>
  <c r="AIJ20" i="20"/>
  <c r="AIK20" i="20"/>
  <c r="AIL20" i="20"/>
  <c r="AIM20" i="20"/>
  <c r="AIN20" i="20"/>
  <c r="AIO20" i="20"/>
  <c r="AIP20" i="20"/>
  <c r="AIQ20" i="20"/>
  <c r="AIR20" i="20"/>
  <c r="AIS20" i="20"/>
  <c r="AIT20" i="20"/>
  <c r="AIU20" i="20"/>
  <c r="AIV20" i="20"/>
  <c r="AIW20" i="20"/>
  <c r="AIX20" i="20"/>
  <c r="AIY20" i="20"/>
  <c r="AIZ20" i="20"/>
  <c r="AJA20" i="20"/>
  <c r="AJB20" i="20"/>
  <c r="AJC20" i="20"/>
  <c r="AJD20" i="20"/>
  <c r="AJE20" i="20"/>
  <c r="AJF20" i="20"/>
  <c r="AJG20" i="20"/>
  <c r="AJH20" i="20"/>
  <c r="AJI20" i="20"/>
  <c r="AJJ20" i="20"/>
  <c r="AJK20" i="20"/>
  <c r="AJL20" i="20"/>
  <c r="AJM20" i="20"/>
  <c r="AJN20" i="20"/>
  <c r="AJO20" i="20"/>
  <c r="AJP20" i="20"/>
  <c r="AJQ20" i="20"/>
  <c r="AJR20" i="20"/>
  <c r="AJS20" i="20"/>
  <c r="AJT20" i="20"/>
  <c r="AJU20" i="20"/>
  <c r="AJV20" i="20"/>
  <c r="AJW20" i="20"/>
  <c r="AJX20" i="20"/>
  <c r="AJY20" i="20"/>
  <c r="AJZ20" i="20"/>
  <c r="AKA20" i="20"/>
  <c r="AKB20" i="20"/>
  <c r="AKC20" i="20"/>
  <c r="AKD20" i="20"/>
  <c r="AKE20" i="20"/>
  <c r="AKF20" i="20"/>
  <c r="AKG20" i="20"/>
  <c r="AKH20" i="20"/>
  <c r="AKI20" i="20"/>
  <c r="AKJ20" i="20"/>
  <c r="AKK20" i="20"/>
  <c r="AKL20" i="20"/>
  <c r="AKM20" i="20"/>
  <c r="AKN20" i="20"/>
  <c r="AKO20" i="20"/>
  <c r="AKP20" i="20"/>
  <c r="AKQ20" i="20"/>
  <c r="AKR20" i="20"/>
  <c r="AKS20" i="20"/>
  <c r="AKT20" i="20"/>
  <c r="AKU20" i="20"/>
  <c r="AKV20" i="20"/>
  <c r="AKW20" i="20"/>
  <c r="AKX20" i="20"/>
  <c r="AKY20" i="20"/>
  <c r="AKZ20" i="20"/>
  <c r="ALA20" i="20"/>
  <c r="ALB20" i="20"/>
  <c r="ALC20" i="20"/>
  <c r="ALD20" i="20"/>
  <c r="ALE20" i="20"/>
  <c r="ALF20" i="20"/>
  <c r="ALG20" i="20"/>
  <c r="ALH20" i="20"/>
  <c r="ALI20" i="20"/>
  <c r="ALJ20" i="20"/>
  <c r="ALK20" i="20"/>
  <c r="ALL20" i="20"/>
  <c r="ALM20" i="20"/>
  <c r="ALN20" i="20"/>
  <c r="ALO20" i="20"/>
  <c r="ALP20" i="20"/>
  <c r="ALQ20" i="20"/>
  <c r="ALR20" i="20"/>
  <c r="ALS20" i="20"/>
  <c r="ALT20" i="20"/>
  <c r="ALU20" i="20"/>
  <c r="ALV20" i="20"/>
  <c r="ALW20" i="20"/>
  <c r="ALX20" i="20"/>
  <c r="ALY20" i="20"/>
  <c r="ALZ20" i="20"/>
  <c r="AMA20" i="20"/>
  <c r="AMB20" i="20"/>
  <c r="AMC20" i="20"/>
  <c r="AMD20" i="20"/>
  <c r="AME20" i="20"/>
  <c r="AMF20" i="20"/>
  <c r="AMG20" i="20"/>
  <c r="AMH20" i="20"/>
  <c r="AMI20" i="20"/>
  <c r="AMJ20" i="20"/>
  <c r="AMK20" i="20"/>
  <c r="AML20" i="20"/>
  <c r="AMM20" i="20"/>
  <c r="AMN20" i="20"/>
  <c r="AMO20" i="20"/>
  <c r="AMP20" i="20"/>
  <c r="AMQ20" i="20"/>
  <c r="AMR20" i="20"/>
  <c r="AMS20" i="20"/>
  <c r="AMT20" i="20"/>
  <c r="AMU20" i="20"/>
  <c r="AMV20" i="20"/>
  <c r="AMW20" i="20"/>
  <c r="AMX20" i="20"/>
  <c r="AMY20" i="20"/>
  <c r="AMZ20" i="20"/>
  <c r="ANA20" i="20"/>
  <c r="ANB20" i="20"/>
  <c r="ANC20" i="20"/>
  <c r="AND20" i="20"/>
  <c r="ANE20" i="20"/>
  <c r="ANF20" i="20"/>
  <c r="ANG20" i="20"/>
  <c r="ANH20" i="20"/>
  <c r="ANI20" i="20"/>
  <c r="ANJ20" i="20"/>
  <c r="ANK20" i="20"/>
  <c r="ANL20" i="20"/>
  <c r="ANM20" i="20"/>
  <c r="ANN20" i="20"/>
  <c r="ANO20" i="20"/>
  <c r="ANP20" i="20"/>
  <c r="ANQ20" i="20"/>
  <c r="ANR20" i="20"/>
  <c r="ANS20" i="20"/>
  <c r="ANT20" i="20"/>
  <c r="ANU20" i="20"/>
  <c r="ANV20" i="20"/>
  <c r="ANW20" i="20"/>
  <c r="ANX20" i="20"/>
  <c r="ANY20" i="20"/>
  <c r="ANZ20" i="20"/>
  <c r="AOA20" i="20"/>
  <c r="AOB20" i="20"/>
  <c r="AOC20" i="20"/>
  <c r="AOD20" i="20"/>
  <c r="AOE20" i="20"/>
  <c r="AOF20" i="20"/>
  <c r="AOG20" i="20"/>
  <c r="AOH20" i="20"/>
  <c r="AOI20" i="20"/>
  <c r="AOJ20" i="20"/>
  <c r="AOK20" i="20"/>
  <c r="AOL20" i="20"/>
  <c r="AOM20" i="20"/>
  <c r="AON20" i="20"/>
  <c r="AOO20" i="20"/>
  <c r="AOP20" i="20"/>
  <c r="AOQ20" i="20"/>
  <c r="AOR20" i="20"/>
  <c r="AOS20" i="20"/>
  <c r="AOT20" i="20"/>
  <c r="AOU20" i="20"/>
  <c r="AOV20" i="20"/>
  <c r="AOW20" i="20"/>
  <c r="AOX20" i="20"/>
  <c r="AOY20" i="20"/>
  <c r="AOZ20" i="20"/>
  <c r="APA20" i="20"/>
  <c r="APB20" i="20"/>
  <c r="APC20" i="20"/>
  <c r="APD20" i="20"/>
  <c r="APE20" i="20"/>
  <c r="APF20" i="20"/>
  <c r="APG20" i="20"/>
  <c r="APH20" i="20"/>
  <c r="API20" i="20"/>
  <c r="APJ20" i="20"/>
  <c r="APK20" i="20"/>
  <c r="APL20" i="20"/>
  <c r="APM20" i="20"/>
  <c r="APN20" i="20"/>
  <c r="APO20" i="20"/>
  <c r="APP20" i="20"/>
  <c r="APQ20" i="20"/>
  <c r="APR20" i="20"/>
  <c r="APS20" i="20"/>
  <c r="APT20" i="20"/>
  <c r="APU20" i="20"/>
  <c r="APV20" i="20"/>
  <c r="APW20" i="20"/>
  <c r="APX20" i="20"/>
  <c r="APY20" i="20"/>
  <c r="APZ20" i="20"/>
  <c r="AQA20" i="20"/>
  <c r="AQB20" i="20"/>
  <c r="AQC20" i="20"/>
  <c r="AQD20" i="20"/>
  <c r="AQE20" i="20"/>
  <c r="AQF20" i="20"/>
  <c r="AQG20" i="20"/>
  <c r="AQH20" i="20"/>
  <c r="AQI20" i="20"/>
  <c r="AQJ20" i="20"/>
  <c r="AQK20" i="20"/>
  <c r="AQL20" i="20"/>
  <c r="AQM20" i="20"/>
  <c r="AQN20" i="20"/>
  <c r="AQO20" i="20"/>
  <c r="AQP20" i="20"/>
  <c r="AQQ20" i="20"/>
  <c r="AQR20" i="20"/>
  <c r="AQS20" i="20"/>
  <c r="AQT20" i="20"/>
  <c r="AQU20" i="20"/>
  <c r="AQV20" i="20"/>
  <c r="AQW20" i="20"/>
  <c r="AQX20" i="20"/>
  <c r="AQY20" i="20"/>
  <c r="AQZ20" i="20"/>
  <c r="ARA20" i="20"/>
  <c r="ARB20" i="20"/>
  <c r="ARC20" i="20"/>
  <c r="ARD20" i="20"/>
  <c r="ARE20" i="20"/>
  <c r="ARF20" i="20"/>
  <c r="ARG20" i="20"/>
  <c r="ARH20" i="20"/>
  <c r="ARI20" i="20"/>
  <c r="ARJ20" i="20"/>
  <c r="ARK20" i="20"/>
  <c r="ARL20" i="20"/>
  <c r="ARM20" i="20"/>
  <c r="ARN20" i="20"/>
  <c r="ARO20" i="20"/>
  <c r="ARP20" i="20"/>
  <c r="ARQ20" i="20"/>
  <c r="ARR20" i="20"/>
  <c r="ARS20" i="20"/>
  <c r="ART20" i="20"/>
  <c r="ARU20" i="20"/>
  <c r="ARV20" i="20"/>
  <c r="ARW20" i="20"/>
  <c r="ARX20" i="20"/>
  <c r="ARY20" i="20"/>
  <c r="ARZ20" i="20"/>
  <c r="ASA20" i="20"/>
  <c r="ASB20" i="20"/>
  <c r="ASC20" i="20"/>
  <c r="ASD20" i="20"/>
  <c r="ASE20" i="20"/>
  <c r="ASF20" i="20"/>
  <c r="ASG20" i="20"/>
  <c r="ASH20" i="20"/>
  <c r="ASI20" i="20"/>
  <c r="ASJ20" i="20"/>
  <c r="ASK20" i="20"/>
  <c r="ASL20" i="20"/>
  <c r="ASM20" i="20"/>
  <c r="ASN20" i="20"/>
  <c r="ASO20" i="20"/>
  <c r="ASP20" i="20"/>
  <c r="ASQ20" i="20"/>
  <c r="ASR20" i="20"/>
  <c r="ASS20" i="20"/>
  <c r="AST20" i="20"/>
  <c r="ASU20" i="20"/>
  <c r="ASV20" i="20"/>
  <c r="ASW20" i="20"/>
  <c r="ASX20" i="20"/>
  <c r="ASY20" i="20"/>
  <c r="ASZ20" i="20"/>
  <c r="ATA20" i="20"/>
  <c r="ATB20" i="20"/>
  <c r="ATC20" i="20"/>
  <c r="ATD20" i="20"/>
  <c r="ATE20" i="20"/>
  <c r="ATF20" i="20"/>
  <c r="ATG20" i="20"/>
  <c r="ATH20" i="20"/>
  <c r="ATI20" i="20"/>
  <c r="ATJ20" i="20"/>
  <c r="ATK20" i="20"/>
  <c r="ATL20" i="20"/>
  <c r="ATM20" i="20"/>
  <c r="ATN20" i="20"/>
  <c r="ATO20" i="20"/>
  <c r="ATP20" i="20"/>
  <c r="ATQ20" i="20"/>
  <c r="ATR20" i="20"/>
  <c r="ATS20" i="20"/>
  <c r="ATT20" i="20"/>
  <c r="ATU20" i="20"/>
  <c r="ATV20" i="20"/>
  <c r="ATW20" i="20"/>
  <c r="ATX20" i="20"/>
  <c r="ATY20" i="20"/>
  <c r="ATZ20" i="20"/>
  <c r="AUA20" i="20"/>
  <c r="AUB20" i="20"/>
  <c r="AUC20" i="20"/>
  <c r="AUD20" i="20"/>
  <c r="AUE20" i="20"/>
  <c r="AUF20" i="20"/>
  <c r="AUG20" i="20"/>
  <c r="AUH20" i="20"/>
  <c r="AUI20" i="20"/>
  <c r="AUJ20" i="20"/>
  <c r="AUK20" i="20"/>
  <c r="AUL20" i="20"/>
  <c r="AUM20" i="20"/>
  <c r="AUN20" i="20"/>
  <c r="AUO20" i="20"/>
  <c r="AUP20" i="20"/>
  <c r="AUQ20" i="20"/>
  <c r="AUR20" i="20"/>
  <c r="AUS20" i="20"/>
  <c r="AUT20" i="20"/>
  <c r="AUU20" i="20"/>
  <c r="AUV20" i="20"/>
  <c r="AUW20" i="20"/>
  <c r="AUX20" i="20"/>
  <c r="AUY20" i="20"/>
  <c r="AUZ20" i="20"/>
  <c r="AVA20" i="20"/>
  <c r="AVB20" i="20"/>
  <c r="AVC20" i="20"/>
  <c r="AVD20" i="20"/>
  <c r="AVE20" i="20"/>
  <c r="AVF20" i="20"/>
  <c r="AVG20" i="20"/>
  <c r="AVH20" i="20"/>
  <c r="AVI20" i="20"/>
  <c r="AVJ20" i="20"/>
  <c r="AVK20" i="20"/>
  <c r="AVL20" i="20"/>
  <c r="AVM20" i="20"/>
  <c r="AVN20" i="20"/>
  <c r="AVO20" i="20"/>
  <c r="AVP20" i="20"/>
  <c r="AVQ20" i="20"/>
  <c r="AVR20" i="20"/>
  <c r="AVS20" i="20"/>
  <c r="AVT20" i="20"/>
  <c r="AVU20" i="20"/>
  <c r="AVV20" i="20"/>
  <c r="AVW20" i="20"/>
  <c r="AVX20" i="20"/>
  <c r="AVY20" i="20"/>
  <c r="AVZ20" i="20"/>
  <c r="AWA20" i="20"/>
  <c r="AWB20" i="20"/>
  <c r="AWC20" i="20"/>
  <c r="AWD20" i="20"/>
  <c r="AWE20" i="20"/>
  <c r="AWF20" i="20"/>
  <c r="AWG20" i="20"/>
  <c r="AWH20" i="20"/>
  <c r="AWI20" i="20"/>
  <c r="AWJ20" i="20"/>
  <c r="AWK20" i="20"/>
  <c r="AWL20" i="20"/>
  <c r="AWM20" i="20"/>
  <c r="AWN20" i="20"/>
  <c r="AWO20" i="20"/>
  <c r="AWP20" i="20"/>
  <c r="AWQ20" i="20"/>
  <c r="AWR20" i="20"/>
  <c r="AWS20" i="20"/>
  <c r="AWT20" i="20"/>
  <c r="AWU20" i="20"/>
  <c r="AWV20" i="20"/>
  <c r="AWW20" i="20"/>
  <c r="AWX20" i="20"/>
  <c r="AWY20" i="20"/>
  <c r="AWZ20" i="20"/>
  <c r="AXA20" i="20"/>
  <c r="AXB20" i="20"/>
  <c r="AXC20" i="20"/>
  <c r="AXD20" i="20"/>
  <c r="AXE20" i="20"/>
  <c r="AXF20" i="20"/>
  <c r="AXG20" i="20"/>
  <c r="AXH20" i="20"/>
  <c r="AXI20" i="20"/>
  <c r="AXJ20" i="20"/>
  <c r="AXK20" i="20"/>
  <c r="AXL20" i="20"/>
  <c r="AXM20" i="20"/>
  <c r="AXN20" i="20"/>
  <c r="AXO20" i="20"/>
  <c r="AXP20" i="20"/>
  <c r="AXQ20" i="20"/>
  <c r="AXR20" i="20"/>
  <c r="AXS20" i="20"/>
  <c r="AXT20" i="20"/>
  <c r="AXU20" i="20"/>
  <c r="AXV20" i="20"/>
  <c r="AXW20" i="20"/>
  <c r="AXX20" i="20"/>
  <c r="AXY20" i="20"/>
  <c r="AXZ20" i="20"/>
  <c r="AYA20" i="20"/>
  <c r="AYB20" i="20"/>
  <c r="AYC20" i="20"/>
  <c r="AYD20" i="20"/>
  <c r="AYE20" i="20"/>
  <c r="AYF20" i="20"/>
  <c r="AYG20" i="20"/>
  <c r="AYH20" i="20"/>
  <c r="AYI20" i="20"/>
  <c r="AYJ20" i="20"/>
  <c r="AYK20" i="20"/>
  <c r="AYL20" i="20"/>
  <c r="AYM20" i="20"/>
  <c r="AYN20" i="20"/>
  <c r="AYO20" i="20"/>
  <c r="AYP20" i="20"/>
  <c r="AYQ20" i="20"/>
  <c r="AYR20" i="20"/>
  <c r="AYS20" i="20"/>
  <c r="AYT20" i="20"/>
  <c r="AYU20" i="20"/>
  <c r="AYV20" i="20"/>
  <c r="AYW20" i="20"/>
  <c r="AYX20" i="20"/>
  <c r="AYY20" i="20"/>
  <c r="AYZ20" i="20"/>
  <c r="AZA20" i="20"/>
  <c r="AZB20" i="20"/>
  <c r="AZC20" i="20"/>
  <c r="AZD20" i="20"/>
  <c r="AZE20" i="20"/>
  <c r="AZF20" i="20"/>
  <c r="AZG20" i="20"/>
  <c r="AZH20" i="20"/>
  <c r="AZI20" i="20"/>
  <c r="AZJ20" i="20"/>
  <c r="AZK20" i="20"/>
  <c r="AZL20" i="20"/>
  <c r="AZM20" i="20"/>
  <c r="AZN20" i="20"/>
  <c r="AZO20" i="20"/>
  <c r="AZP20" i="20"/>
  <c r="AZQ20" i="20"/>
  <c r="AZR20" i="20"/>
  <c r="AZS20" i="20"/>
  <c r="AZT20" i="20"/>
  <c r="AZU20" i="20"/>
  <c r="AZV20" i="20"/>
  <c r="AZW20" i="20"/>
  <c r="AZX20" i="20"/>
  <c r="AZY20" i="20"/>
  <c r="AZZ20" i="20"/>
  <c r="BAA20" i="20"/>
  <c r="BAB20" i="20"/>
  <c r="BAC20" i="20"/>
  <c r="BAD20" i="20"/>
  <c r="BAE20" i="20"/>
  <c r="BAF20" i="20"/>
  <c r="BAG20" i="20"/>
  <c r="BAH20" i="20"/>
  <c r="BAI20" i="20"/>
  <c r="BAJ20" i="20"/>
  <c r="BAK20" i="20"/>
  <c r="BAL20" i="20"/>
  <c r="BAM20" i="20"/>
  <c r="BAN20" i="20"/>
  <c r="BAO20" i="20"/>
  <c r="BAP20" i="20"/>
  <c r="BAQ20" i="20"/>
  <c r="BAR20" i="20"/>
  <c r="BAS20" i="20"/>
  <c r="BAT20" i="20"/>
  <c r="BAU20" i="20"/>
  <c r="BAV20" i="20"/>
  <c r="BAW20" i="20"/>
  <c r="BAX20" i="20"/>
  <c r="BAY20" i="20"/>
  <c r="BAZ20" i="20"/>
  <c r="BBA20" i="20"/>
  <c r="BBB20" i="20"/>
  <c r="BBC20" i="20"/>
  <c r="BBD20" i="20"/>
  <c r="BBE20" i="20"/>
  <c r="BBF20" i="20"/>
  <c r="BBG20" i="20"/>
  <c r="BBH20" i="20"/>
  <c r="BBI20" i="20"/>
  <c r="BBJ20" i="20"/>
  <c r="BBK20" i="20"/>
  <c r="BBL20" i="20"/>
  <c r="BBM20" i="20"/>
  <c r="BBN20" i="20"/>
  <c r="BBO20" i="20"/>
  <c r="BBP20" i="20"/>
  <c r="BBQ20" i="20"/>
  <c r="BBR20" i="20"/>
  <c r="BBS20" i="20"/>
  <c r="BBT20" i="20"/>
  <c r="BBU20" i="20"/>
  <c r="BBV20" i="20"/>
  <c r="BBW20" i="20"/>
  <c r="BBX20" i="20"/>
  <c r="BBY20" i="20"/>
  <c r="BBZ20" i="20"/>
  <c r="BCA20" i="20"/>
  <c r="BCB20" i="20"/>
  <c r="BCC20" i="20"/>
  <c r="BCD20" i="20"/>
  <c r="BCE20" i="20"/>
  <c r="BCF20" i="20"/>
  <c r="BCG20" i="20"/>
  <c r="BCH20" i="20"/>
  <c r="BCI20" i="20"/>
  <c r="BCJ20" i="20"/>
  <c r="BCK20" i="20"/>
  <c r="BCL20" i="20"/>
  <c r="BCM20" i="20"/>
  <c r="BCN20" i="20"/>
  <c r="BCO20" i="20"/>
  <c r="BCP20" i="20"/>
  <c r="BCQ20" i="20"/>
  <c r="BCR20" i="20"/>
  <c r="BCS20" i="20"/>
  <c r="BCT20" i="20"/>
  <c r="BCU20" i="20"/>
  <c r="BCV20" i="20"/>
  <c r="BCW20" i="20"/>
  <c r="BCX20" i="20"/>
  <c r="BCY20" i="20"/>
  <c r="BCZ20" i="20"/>
  <c r="BDA20" i="20"/>
  <c r="BDB20" i="20"/>
  <c r="BDC20" i="20"/>
  <c r="BDD20" i="20"/>
  <c r="BDE20" i="20"/>
  <c r="BDF20" i="20"/>
  <c r="BDG20" i="20"/>
  <c r="BDH20" i="20"/>
  <c r="BDI20" i="20"/>
  <c r="BDJ20" i="20"/>
  <c r="BDK20" i="20"/>
  <c r="BDL20" i="20"/>
  <c r="BDM20" i="20"/>
  <c r="BDN20" i="20"/>
  <c r="BDO20" i="20"/>
  <c r="BDP20" i="20"/>
  <c r="BDQ20" i="20"/>
  <c r="BDR20" i="20"/>
  <c r="BDS20" i="20"/>
  <c r="BDT20" i="20"/>
  <c r="BDU20" i="20"/>
  <c r="BDV20" i="20"/>
  <c r="BDW20" i="20"/>
  <c r="BDX20" i="20"/>
  <c r="BDY20" i="20"/>
  <c r="BDZ20" i="20"/>
  <c r="BEA20" i="20"/>
  <c r="BEB20" i="20"/>
  <c r="BEC20" i="20"/>
  <c r="BED20" i="20"/>
  <c r="BEE20" i="20"/>
  <c r="BEF20" i="20"/>
  <c r="BEG20" i="20"/>
  <c r="BEH20" i="20"/>
  <c r="BEI20" i="20"/>
  <c r="BEJ20" i="20"/>
  <c r="BEK20" i="20"/>
  <c r="BEL20" i="20"/>
  <c r="BEM20" i="20"/>
  <c r="BEN20" i="20"/>
  <c r="BEO20" i="20"/>
  <c r="BEP20" i="20"/>
  <c r="BEQ20" i="20"/>
  <c r="BER20" i="20"/>
  <c r="BES20" i="20"/>
  <c r="BET20" i="20"/>
  <c r="BEU20" i="20"/>
  <c r="BEV20" i="20"/>
  <c r="BEW20" i="20"/>
  <c r="BEX20" i="20"/>
  <c r="BEY20" i="20"/>
  <c r="BEZ20" i="20"/>
  <c r="BFA20" i="20"/>
  <c r="BFB20" i="20"/>
  <c r="BFC20" i="20"/>
  <c r="BFD20" i="20"/>
  <c r="BFE20" i="20"/>
  <c r="BFF20" i="20"/>
  <c r="BFG20" i="20"/>
  <c r="BFH20" i="20"/>
  <c r="BFI20" i="20"/>
  <c r="BFJ20" i="20"/>
  <c r="BFK20" i="20"/>
  <c r="BFL20" i="20"/>
  <c r="BFM20" i="20"/>
  <c r="BFN20" i="20"/>
  <c r="BFO20" i="20"/>
  <c r="BFP20" i="20"/>
  <c r="BFQ20" i="20"/>
  <c r="BFR20" i="20"/>
  <c r="BFS20" i="20"/>
  <c r="BFT20" i="20"/>
  <c r="BFU20" i="20"/>
  <c r="BFV20" i="20"/>
  <c r="BFW20" i="20"/>
  <c r="BFX20" i="20"/>
  <c r="BFY20" i="20"/>
  <c r="BFZ20" i="20"/>
  <c r="BGA20" i="20"/>
  <c r="BGB20" i="20"/>
  <c r="BGC20" i="20"/>
  <c r="BGD20" i="20"/>
  <c r="BGE20" i="20"/>
  <c r="BGF20" i="20"/>
  <c r="BGG20" i="20"/>
  <c r="BGH20" i="20"/>
  <c r="BGI20" i="20"/>
  <c r="BGJ20" i="20"/>
  <c r="BGK20" i="20"/>
  <c r="BGL20" i="20"/>
  <c r="BGM20" i="20"/>
  <c r="BGN20" i="20"/>
  <c r="BGO20" i="20"/>
  <c r="BGP20" i="20"/>
  <c r="BGQ20" i="20"/>
  <c r="BGR20" i="20"/>
  <c r="BGS20" i="20"/>
  <c r="BGT20" i="20"/>
  <c r="BGU20" i="20"/>
  <c r="BGV20" i="20"/>
  <c r="BGW20" i="20"/>
  <c r="BGX20" i="20"/>
  <c r="BGY20" i="20"/>
  <c r="BGZ20" i="20"/>
  <c r="BHA20" i="20"/>
  <c r="BHB20" i="20"/>
  <c r="BHC20" i="20"/>
  <c r="BHD20" i="20"/>
  <c r="BHE20" i="20"/>
  <c r="BHF20" i="20"/>
  <c r="BHG20" i="20"/>
  <c r="BHH20" i="20"/>
  <c r="BHI20" i="20"/>
  <c r="BHJ20" i="20"/>
  <c r="BHK20" i="20"/>
  <c r="BHL20" i="20"/>
  <c r="BHM20" i="20"/>
  <c r="BHN20" i="20"/>
  <c r="BHO20" i="20"/>
  <c r="BHP20" i="20"/>
  <c r="BHQ20" i="20"/>
  <c r="BHR20" i="20"/>
  <c r="BHS20" i="20"/>
  <c r="BHT20" i="20"/>
  <c r="BHU20" i="20"/>
  <c r="BHV20" i="20"/>
  <c r="BHW20" i="20"/>
  <c r="BHX20" i="20"/>
  <c r="BHY20" i="20"/>
  <c r="BHZ20" i="20"/>
  <c r="BIA20" i="20"/>
  <c r="BIB20" i="20"/>
  <c r="BIC20" i="20"/>
  <c r="BID20" i="20"/>
  <c r="BIE20" i="20"/>
  <c r="BIF20" i="20"/>
  <c r="BIG20" i="20"/>
  <c r="BIH20" i="20"/>
  <c r="BII20" i="20"/>
  <c r="BIJ20" i="20"/>
  <c r="BIK20" i="20"/>
  <c r="BIL20" i="20"/>
  <c r="BIM20" i="20"/>
  <c r="BIN20" i="20"/>
  <c r="BIO20" i="20"/>
  <c r="BIP20" i="20"/>
  <c r="BIQ20" i="20"/>
  <c r="BIR20" i="20"/>
  <c r="BIS20" i="20"/>
  <c r="BIT20" i="20"/>
  <c r="BIU20" i="20"/>
  <c r="BIV20" i="20"/>
  <c r="BIW20" i="20"/>
  <c r="BIX20" i="20"/>
  <c r="BIY20" i="20"/>
  <c r="BIZ20" i="20"/>
  <c r="BJA20" i="20"/>
  <c r="BJB20" i="20"/>
  <c r="BJC20" i="20"/>
  <c r="BJD20" i="20"/>
  <c r="BJE20" i="20"/>
  <c r="BJF20" i="20"/>
  <c r="BJG20" i="20"/>
  <c r="BJH20" i="20"/>
  <c r="BJI20" i="20"/>
  <c r="BJJ20" i="20"/>
  <c r="BJK20" i="20"/>
  <c r="BJL20" i="20"/>
  <c r="BJM20" i="20"/>
  <c r="BJN20" i="20"/>
  <c r="BJO20" i="20"/>
  <c r="BJP20" i="20"/>
  <c r="BJQ20" i="20"/>
  <c r="BJR20" i="20"/>
  <c r="BJS20" i="20"/>
  <c r="BJT20" i="20"/>
  <c r="BJU20" i="20"/>
  <c r="BJV20" i="20"/>
  <c r="BJW20" i="20"/>
  <c r="BJX20" i="20"/>
  <c r="BJY20" i="20"/>
  <c r="BJZ20" i="20"/>
  <c r="BKA20" i="20"/>
  <c r="BKB20" i="20"/>
  <c r="BKC20" i="20"/>
  <c r="BKD20" i="20"/>
  <c r="BKE20" i="20"/>
  <c r="BKF20" i="20"/>
  <c r="BKG20" i="20"/>
  <c r="BKH20" i="20"/>
  <c r="BKI20" i="20"/>
  <c r="BKJ20" i="20"/>
  <c r="BKK20" i="20"/>
  <c r="BKL20" i="20"/>
  <c r="BKM20" i="20"/>
  <c r="BKN20" i="20"/>
  <c r="BKO20" i="20"/>
  <c r="BKP20" i="20"/>
  <c r="BKQ20" i="20"/>
  <c r="BKR20" i="20"/>
  <c r="BKS20" i="20"/>
  <c r="BKT20" i="20"/>
  <c r="BKU20" i="20"/>
  <c r="BKV20" i="20"/>
  <c r="BKW20" i="20"/>
  <c r="BKX20" i="20"/>
  <c r="BKY20" i="20"/>
  <c r="BKZ20" i="20"/>
  <c r="BLA20" i="20"/>
  <c r="BLB20" i="20"/>
  <c r="BLC20" i="20"/>
  <c r="BLD20" i="20"/>
  <c r="BLE20" i="20"/>
  <c r="BLF20" i="20"/>
  <c r="BLG20" i="20"/>
  <c r="BLH20" i="20"/>
  <c r="BLI20" i="20"/>
  <c r="BLJ20" i="20"/>
  <c r="BLK20" i="20"/>
  <c r="BLL20" i="20"/>
  <c r="BLM20" i="20"/>
  <c r="BLN20" i="20"/>
  <c r="BLO20" i="20"/>
  <c r="BLP20" i="20"/>
  <c r="BLQ20" i="20"/>
  <c r="BLR20" i="20"/>
  <c r="BLS20" i="20"/>
  <c r="BLT20" i="20"/>
  <c r="BLU20" i="20"/>
  <c r="BLV20" i="20"/>
  <c r="BLW20" i="20"/>
  <c r="BLX20" i="20"/>
  <c r="BLY20" i="20"/>
  <c r="BLZ20" i="20"/>
  <c r="BMA20" i="20"/>
  <c r="BMB20" i="20"/>
  <c r="BMC20" i="20"/>
  <c r="BMD20" i="20"/>
  <c r="BME20" i="20"/>
  <c r="BMF20" i="20"/>
  <c r="BMG20" i="20"/>
  <c r="BMH20" i="20"/>
  <c r="BMI20" i="20"/>
  <c r="BMJ20" i="20"/>
  <c r="BMK20" i="20"/>
  <c r="BML20" i="20"/>
  <c r="BMM20" i="20"/>
  <c r="BMN20" i="20"/>
  <c r="BMO20" i="20"/>
  <c r="BMP20" i="20"/>
  <c r="BMQ20" i="20"/>
  <c r="BMR20" i="20"/>
  <c r="BMS20" i="20"/>
  <c r="BMT20" i="20"/>
  <c r="BMU20" i="20"/>
  <c r="BMV20" i="20"/>
  <c r="BMW20" i="20"/>
  <c r="BMX20" i="20"/>
  <c r="BMY20" i="20"/>
  <c r="BMZ20" i="20"/>
  <c r="BNA20" i="20"/>
  <c r="BNB20" i="20"/>
  <c r="BNC20" i="20"/>
  <c r="BND20" i="20"/>
  <c r="BNE20" i="20"/>
  <c r="BNF20" i="20"/>
  <c r="BNG20" i="20"/>
  <c r="BNH20" i="20"/>
  <c r="BNI20" i="20"/>
  <c r="BNJ20" i="20"/>
  <c r="BNK20" i="20"/>
  <c r="BNL20" i="20"/>
  <c r="BNM20" i="20"/>
  <c r="BNN20" i="20"/>
  <c r="BNO20" i="20"/>
  <c r="BNP20" i="20"/>
  <c r="BNQ20" i="20"/>
  <c r="BNR20" i="20"/>
  <c r="BNS20" i="20"/>
  <c r="BNT20" i="20"/>
  <c r="BNU20" i="20"/>
  <c r="BNV20" i="20"/>
  <c r="BNW20" i="20"/>
  <c r="BNX20" i="20"/>
  <c r="BNY20" i="20"/>
  <c r="BNZ20" i="20"/>
  <c r="BOA20" i="20"/>
  <c r="BOB20" i="20"/>
  <c r="BOC20" i="20"/>
  <c r="BOD20" i="20"/>
  <c r="BOE20" i="20"/>
  <c r="BOF20" i="20"/>
  <c r="BOG20" i="20"/>
  <c r="BOH20" i="20"/>
  <c r="BOI20" i="20"/>
  <c r="BOJ20" i="20"/>
  <c r="BOK20" i="20"/>
  <c r="BOL20" i="20"/>
  <c r="BOM20" i="20"/>
  <c r="BON20" i="20"/>
  <c r="BOO20" i="20"/>
  <c r="BOP20" i="20"/>
  <c r="BOQ20" i="20"/>
  <c r="BOR20" i="20"/>
  <c r="BOS20" i="20"/>
  <c r="BOT20" i="20"/>
  <c r="BOU20" i="20"/>
  <c r="BOV20" i="20"/>
  <c r="BOW20" i="20"/>
  <c r="BOX20" i="20"/>
  <c r="BOY20" i="20"/>
  <c r="BOZ20" i="20"/>
  <c r="BPA20" i="20"/>
  <c r="BPB20" i="20"/>
  <c r="BPC20" i="20"/>
  <c r="BPD20" i="20"/>
  <c r="BPE20" i="20"/>
  <c r="BPF20" i="20"/>
  <c r="BPG20" i="20"/>
  <c r="BPH20" i="20"/>
  <c r="BPI20" i="20"/>
  <c r="BPJ20" i="20"/>
  <c r="BPK20" i="20"/>
  <c r="BPL20" i="20"/>
  <c r="BPM20" i="20"/>
  <c r="BPN20" i="20"/>
  <c r="BPO20" i="20"/>
  <c r="BPP20" i="20"/>
  <c r="BPQ20" i="20"/>
  <c r="BPR20" i="20"/>
  <c r="BPS20" i="20"/>
  <c r="BPT20" i="20"/>
  <c r="BPU20" i="20"/>
  <c r="BPV20" i="20"/>
  <c r="BPW20" i="20"/>
  <c r="BPX20" i="20"/>
  <c r="BPY20" i="20"/>
  <c r="BPZ20" i="20"/>
  <c r="BQA20" i="20"/>
  <c r="BQB20" i="20"/>
  <c r="BQC20" i="20"/>
  <c r="BQD20" i="20"/>
  <c r="BQE20" i="20"/>
  <c r="BQF20" i="20"/>
  <c r="BQG20" i="20"/>
  <c r="BQH20" i="20"/>
  <c r="BQI20" i="20"/>
  <c r="BQJ20" i="20"/>
  <c r="BQK20" i="20"/>
  <c r="BQL20" i="20"/>
  <c r="BQM20" i="20"/>
  <c r="BQN20" i="20"/>
  <c r="BQO20" i="20"/>
  <c r="BQP20" i="20"/>
  <c r="BQQ20" i="20"/>
  <c r="BQR20" i="20"/>
  <c r="BQS20" i="20"/>
  <c r="BQT20" i="20"/>
  <c r="BQU20" i="20"/>
  <c r="BQV20" i="20"/>
  <c r="BQW20" i="20"/>
  <c r="BQX20" i="20"/>
  <c r="BQY20" i="20"/>
  <c r="BQZ20" i="20"/>
  <c r="BRA20" i="20"/>
  <c r="BRB20" i="20"/>
  <c r="BRC20" i="20"/>
  <c r="BRD20" i="20"/>
  <c r="BRE20" i="20"/>
  <c r="BRF20" i="20"/>
  <c r="BRG20" i="20"/>
  <c r="BRH20" i="20"/>
  <c r="BRI20" i="20"/>
  <c r="BRJ20" i="20"/>
  <c r="BRK20" i="20"/>
  <c r="BRL20" i="20"/>
  <c r="BRM20" i="20"/>
  <c r="BRN20" i="20"/>
  <c r="BRO20" i="20"/>
  <c r="BRP20" i="20"/>
  <c r="BRQ20" i="20"/>
  <c r="BRR20" i="20"/>
  <c r="BRS20" i="20"/>
  <c r="BRT20" i="20"/>
  <c r="BRU20" i="20"/>
  <c r="BRV20" i="20"/>
  <c r="BRW20" i="20"/>
  <c r="BRX20" i="20"/>
  <c r="BRY20" i="20"/>
  <c r="BRZ20" i="20"/>
  <c r="BSA20" i="20"/>
  <c r="BSB20" i="20"/>
  <c r="BSC20" i="20"/>
  <c r="BSD20" i="20"/>
  <c r="BSE20" i="20"/>
  <c r="BSF20" i="20"/>
  <c r="BSG20" i="20"/>
  <c r="BSH20" i="20"/>
  <c r="BSI20" i="20"/>
  <c r="BSJ20" i="20"/>
  <c r="BSK20" i="20"/>
  <c r="BSL20" i="20"/>
  <c r="BSM20" i="20"/>
  <c r="BSN20" i="20"/>
  <c r="BSO20" i="20"/>
  <c r="BSP20" i="20"/>
  <c r="BSQ20" i="20"/>
  <c r="BSR20" i="20"/>
  <c r="BSS20" i="20"/>
  <c r="BST20" i="20"/>
  <c r="BSU20" i="20"/>
  <c r="BSV20" i="20"/>
  <c r="BSW20" i="20"/>
  <c r="BSX20" i="20"/>
  <c r="BSY20" i="20"/>
  <c r="BSZ20" i="20"/>
  <c r="BTA20" i="20"/>
  <c r="BTB20" i="20"/>
  <c r="BTC20" i="20"/>
  <c r="BTD20" i="20"/>
  <c r="BTE20" i="20"/>
  <c r="BTF20" i="20"/>
  <c r="BTG20" i="20"/>
  <c r="BTH20" i="20"/>
  <c r="BTI20" i="20"/>
  <c r="BTJ20" i="20"/>
  <c r="BTK20" i="20"/>
  <c r="BTL20" i="20"/>
  <c r="BTM20" i="20"/>
  <c r="BTN20" i="20"/>
  <c r="BTO20" i="20"/>
  <c r="BTP20" i="20"/>
  <c r="BTQ20" i="20"/>
  <c r="BTR20" i="20"/>
  <c r="BTS20" i="20"/>
  <c r="BTT20" i="20"/>
  <c r="BTU20" i="20"/>
  <c r="BTV20" i="20"/>
  <c r="BTW20" i="20"/>
  <c r="BTX20" i="20"/>
  <c r="BTY20" i="20"/>
  <c r="BTZ20" i="20"/>
  <c r="BUA20" i="20"/>
  <c r="BUB20" i="20"/>
  <c r="BUC20" i="20"/>
  <c r="BUD20" i="20"/>
  <c r="BUE20" i="20"/>
  <c r="BUF20" i="20"/>
  <c r="BUG20" i="20"/>
  <c r="BUH20" i="20"/>
  <c r="BUI20" i="20"/>
  <c r="BUJ20" i="20"/>
  <c r="BUK20" i="20"/>
  <c r="BUL20" i="20"/>
  <c r="BUM20" i="20"/>
  <c r="BUN20" i="20"/>
  <c r="BUO20" i="20"/>
  <c r="BUP20" i="20"/>
  <c r="BUQ20" i="20"/>
  <c r="BUR20" i="20"/>
  <c r="BUS20" i="20"/>
  <c r="BUT20" i="20"/>
  <c r="BUU20" i="20"/>
  <c r="BUV20" i="20"/>
  <c r="BUW20" i="20"/>
  <c r="BUX20" i="20"/>
  <c r="BUY20" i="20"/>
  <c r="BUZ20" i="20"/>
  <c r="BVA20" i="20"/>
  <c r="BVB20" i="20"/>
  <c r="BVC20" i="20"/>
  <c r="BVD20" i="20"/>
  <c r="BVE20" i="20"/>
  <c r="BVF20" i="20"/>
  <c r="BVG20" i="20"/>
  <c r="BVH20" i="20"/>
  <c r="BVI20" i="20"/>
  <c r="BVJ20" i="20"/>
  <c r="BVK20" i="20"/>
  <c r="BVL20" i="20"/>
  <c r="BVM20" i="20"/>
  <c r="BVN20" i="20"/>
  <c r="BVO20" i="20"/>
  <c r="BVP20" i="20"/>
  <c r="BVQ20" i="20"/>
  <c r="BVR20" i="20"/>
  <c r="BVS20" i="20"/>
  <c r="BVT20" i="20"/>
  <c r="BVU20" i="20"/>
  <c r="BVV20" i="20"/>
  <c r="BVW20" i="20"/>
  <c r="BVX20" i="20"/>
  <c r="BVY20" i="20"/>
  <c r="BVZ20" i="20"/>
  <c r="BWA20" i="20"/>
  <c r="BWB20" i="20"/>
  <c r="BWC20" i="20"/>
  <c r="BWD20" i="20"/>
  <c r="BWE20" i="20"/>
  <c r="BWF20" i="20"/>
  <c r="BWG20" i="20"/>
  <c r="BWH20" i="20"/>
  <c r="BWI20" i="20"/>
  <c r="BWJ20" i="20"/>
  <c r="BWK20" i="20"/>
  <c r="BWL20" i="20"/>
  <c r="BWM20" i="20"/>
  <c r="BWN20" i="20"/>
  <c r="BWO20" i="20"/>
  <c r="BWP20" i="20"/>
  <c r="BWQ20" i="20"/>
  <c r="BWR20" i="20"/>
  <c r="BWS20" i="20"/>
  <c r="BWT20" i="20"/>
  <c r="BWU20" i="20"/>
  <c r="BWV20" i="20"/>
  <c r="BWW20" i="20"/>
  <c r="BWX20" i="20"/>
  <c r="BWY20" i="20"/>
  <c r="BWZ20" i="20"/>
  <c r="BXA20" i="20"/>
  <c r="BXB20" i="20"/>
  <c r="BXC20" i="20"/>
  <c r="BXD20" i="20"/>
  <c r="BXE20" i="20"/>
  <c r="BXF20" i="20"/>
  <c r="BXG20" i="20"/>
  <c r="BXH20" i="20"/>
  <c r="BXI20" i="20"/>
  <c r="BXJ20" i="20"/>
  <c r="BXK20" i="20"/>
  <c r="BXL20" i="20"/>
  <c r="BXM20" i="20"/>
  <c r="BXN20" i="20"/>
  <c r="BXO20" i="20"/>
  <c r="BXP20" i="20"/>
  <c r="BXQ20" i="20"/>
  <c r="BXR20" i="20"/>
  <c r="BXS20" i="20"/>
  <c r="BXT20" i="20"/>
  <c r="BXU20" i="20"/>
  <c r="BXV20" i="20"/>
  <c r="BXW20" i="20"/>
  <c r="BXX20" i="20"/>
  <c r="BXY20" i="20"/>
  <c r="BXZ20" i="20"/>
  <c r="BYA20" i="20"/>
  <c r="BYB20" i="20"/>
  <c r="BYC20" i="20"/>
  <c r="BYD20" i="20"/>
  <c r="BYE20" i="20"/>
  <c r="BYF20" i="20"/>
  <c r="BYG20" i="20"/>
  <c r="BYH20" i="20"/>
  <c r="BYI20" i="20"/>
  <c r="BYJ20" i="20"/>
  <c r="BYK20" i="20"/>
  <c r="BYL20" i="20"/>
  <c r="BYM20" i="20"/>
  <c r="BYN20" i="20"/>
  <c r="BYO20" i="20"/>
  <c r="BYP20" i="20"/>
  <c r="BYQ20" i="20"/>
  <c r="BYR20" i="20"/>
  <c r="BYS20" i="20"/>
  <c r="BYT20" i="20"/>
  <c r="BYU20" i="20"/>
  <c r="BYV20" i="20"/>
  <c r="BYW20" i="20"/>
  <c r="BYX20" i="20"/>
  <c r="BYY20" i="20"/>
  <c r="BYZ20" i="20"/>
  <c r="BZA20" i="20"/>
  <c r="BZB20" i="20"/>
  <c r="BZC20" i="20"/>
  <c r="BZD20" i="20"/>
  <c r="BZE20" i="20"/>
  <c r="BZF20" i="20"/>
  <c r="BZG20" i="20"/>
  <c r="BZH20" i="20"/>
  <c r="BZI20" i="20"/>
  <c r="BZJ20" i="20"/>
  <c r="BZK20" i="20"/>
  <c r="BZL20" i="20"/>
  <c r="BZM20" i="20"/>
  <c r="BZN20" i="20"/>
  <c r="BZO20" i="20"/>
  <c r="BZP20" i="20"/>
  <c r="BZQ20" i="20"/>
  <c r="BZR20" i="20"/>
  <c r="BZS20" i="20"/>
  <c r="BZT20" i="20"/>
  <c r="BZU20" i="20"/>
  <c r="BZV20" i="20"/>
  <c r="BZW20" i="20"/>
  <c r="BZX20" i="20"/>
  <c r="BZY20" i="20"/>
  <c r="BZZ20" i="20"/>
  <c r="CAA20" i="20"/>
  <c r="CAB20" i="20"/>
  <c r="CAC20" i="20"/>
  <c r="CAD20" i="20"/>
  <c r="CAE20" i="20"/>
  <c r="CAF20" i="20"/>
  <c r="CAG20" i="20"/>
  <c r="CAH20" i="20"/>
  <c r="CAI20" i="20"/>
  <c r="CAJ20" i="20"/>
  <c r="CAK20" i="20"/>
  <c r="CAL20" i="20"/>
  <c r="CAM20" i="20"/>
  <c r="CAN20" i="20"/>
  <c r="CAO20" i="20"/>
  <c r="CAP20" i="20"/>
  <c r="CAQ20" i="20"/>
  <c r="CAR20" i="20"/>
  <c r="CAS20" i="20"/>
  <c r="CAT20" i="20"/>
  <c r="CAU20" i="20"/>
  <c r="CAV20" i="20"/>
  <c r="CAW20" i="20"/>
  <c r="CAX20" i="20"/>
  <c r="CAY20" i="20"/>
  <c r="CAZ20" i="20"/>
  <c r="CBA20" i="20"/>
  <c r="CBB20" i="20"/>
  <c r="CBC20" i="20"/>
  <c r="CBD20" i="20"/>
  <c r="CBE20" i="20"/>
  <c r="CBF20" i="20"/>
  <c r="CBG20" i="20"/>
  <c r="CBH20" i="20"/>
  <c r="CBI20" i="20"/>
  <c r="CBJ20" i="20"/>
  <c r="CBK20" i="20"/>
  <c r="CBL20" i="20"/>
  <c r="CBM20" i="20"/>
  <c r="CBN20" i="20"/>
  <c r="CBO20" i="20"/>
  <c r="CBP20" i="20"/>
  <c r="CBQ20" i="20"/>
  <c r="CBR20" i="20"/>
  <c r="CBS20" i="20"/>
  <c r="CBT20" i="20"/>
  <c r="CBU20" i="20"/>
  <c r="CBV20" i="20"/>
  <c r="CBW20" i="20"/>
  <c r="CBX20" i="20"/>
  <c r="CBY20" i="20"/>
  <c r="CBZ20" i="20"/>
  <c r="CCA20" i="20"/>
  <c r="CCB20" i="20"/>
  <c r="CCC20" i="20"/>
  <c r="CCD20" i="20"/>
  <c r="CCE20" i="20"/>
  <c r="CCF20" i="20"/>
  <c r="CCG20" i="20"/>
  <c r="CCH20" i="20"/>
  <c r="CCI20" i="20"/>
  <c r="CCJ20" i="20"/>
  <c r="CCK20" i="20"/>
  <c r="CCL20" i="20"/>
  <c r="CCM20" i="20"/>
  <c r="CCN20" i="20"/>
  <c r="CCO20" i="20"/>
  <c r="CCP20" i="20"/>
  <c r="CCQ20" i="20"/>
  <c r="CCR20" i="20"/>
  <c r="CCS20" i="20"/>
  <c r="CCT20" i="20"/>
  <c r="CCU20" i="20"/>
  <c r="CCV20" i="20"/>
  <c r="CCW20" i="20"/>
  <c r="CCX20" i="20"/>
  <c r="CCY20" i="20"/>
  <c r="CCZ20" i="20"/>
  <c r="CDA20" i="20"/>
  <c r="CDB20" i="20"/>
  <c r="CDC20" i="20"/>
  <c r="CDD20" i="20"/>
  <c r="CDE20" i="20"/>
  <c r="CDF20" i="20"/>
  <c r="CDG20" i="20"/>
  <c r="CDH20" i="20"/>
  <c r="CDI20" i="20"/>
  <c r="CDJ20" i="20"/>
  <c r="CDK20" i="20"/>
  <c r="CDL20" i="20"/>
  <c r="CDM20" i="20"/>
  <c r="CDN20" i="20"/>
  <c r="CDO20" i="20"/>
  <c r="CDP20" i="20"/>
  <c r="CDQ20" i="20"/>
  <c r="CDR20" i="20"/>
  <c r="CDS20" i="20"/>
  <c r="CDT20" i="20"/>
  <c r="CDU20" i="20"/>
  <c r="CDV20" i="20"/>
  <c r="CDW20" i="20"/>
  <c r="CDX20" i="20"/>
  <c r="CDY20" i="20"/>
  <c r="CDZ20" i="20"/>
  <c r="CEA20" i="20"/>
  <c r="CEB20" i="20"/>
  <c r="CEC20" i="20"/>
  <c r="CED20" i="20"/>
  <c r="CEE20" i="20"/>
  <c r="CEF20" i="20"/>
  <c r="CEG20" i="20"/>
  <c r="CEH20" i="20"/>
  <c r="CEI20" i="20"/>
  <c r="CEJ20" i="20"/>
  <c r="CEK20" i="20"/>
  <c r="CEL20" i="20"/>
  <c r="CEM20" i="20"/>
  <c r="CEN20" i="20"/>
  <c r="CEO20" i="20"/>
  <c r="CEP20" i="20"/>
  <c r="CEQ20" i="20"/>
  <c r="CER20" i="20"/>
  <c r="CES20" i="20"/>
  <c r="CET20" i="20"/>
  <c r="CEU20" i="20"/>
  <c r="CEV20" i="20"/>
  <c r="CEW20" i="20"/>
  <c r="CEX20" i="20"/>
  <c r="CEY20" i="20"/>
  <c r="CEZ20" i="20"/>
  <c r="CFA20" i="20"/>
  <c r="CFB20" i="20"/>
  <c r="CFC20" i="20"/>
  <c r="CFD20" i="20"/>
  <c r="CFE20" i="20"/>
  <c r="CFF20" i="20"/>
  <c r="CFG20" i="20"/>
  <c r="CFH20" i="20"/>
  <c r="CFI20" i="20"/>
  <c r="CFJ20" i="20"/>
  <c r="CFK20" i="20"/>
  <c r="CFL20" i="20"/>
  <c r="CFM20" i="20"/>
  <c r="CFN20" i="20"/>
  <c r="CFO20" i="20"/>
  <c r="CFP20" i="20"/>
  <c r="CFQ20" i="20"/>
  <c r="CFR20" i="20"/>
  <c r="CFS20" i="20"/>
  <c r="CFT20" i="20"/>
  <c r="CFU20" i="20"/>
  <c r="CFV20" i="20"/>
  <c r="CFW20" i="20"/>
  <c r="CFX20" i="20"/>
  <c r="CFY20" i="20"/>
  <c r="CFZ20" i="20"/>
  <c r="CGA20" i="20"/>
  <c r="CGB20" i="20"/>
  <c r="CGC20" i="20"/>
  <c r="CGD20" i="20"/>
  <c r="CGE20" i="20"/>
  <c r="CGF20" i="20"/>
  <c r="CGG20" i="20"/>
  <c r="CGH20" i="20"/>
  <c r="CGI20" i="20"/>
  <c r="CGJ20" i="20"/>
  <c r="CGK20" i="20"/>
  <c r="CGL20" i="20"/>
  <c r="CGM20" i="20"/>
  <c r="CGN20" i="20"/>
  <c r="CGO20" i="20"/>
  <c r="CGP20" i="20"/>
  <c r="CGQ20" i="20"/>
  <c r="CGR20" i="20"/>
  <c r="CGS20" i="20"/>
  <c r="CGT20" i="20"/>
  <c r="CGU20" i="20"/>
  <c r="CGV20" i="20"/>
  <c r="CGW20" i="20"/>
  <c r="CGX20" i="20"/>
  <c r="CGY20" i="20"/>
  <c r="CGZ20" i="20"/>
  <c r="CHA20" i="20"/>
  <c r="CHB20" i="20"/>
  <c r="CHC20" i="20"/>
  <c r="CHD20" i="20"/>
  <c r="CHE20" i="20"/>
  <c r="CHF20" i="20"/>
  <c r="CHG20" i="20"/>
  <c r="CHH20" i="20"/>
  <c r="CHI20" i="20"/>
  <c r="CHJ20" i="20"/>
  <c r="CHK20" i="20"/>
  <c r="CHL20" i="20"/>
  <c r="CHM20" i="20"/>
  <c r="CHN20" i="20"/>
  <c r="CHO20" i="20"/>
  <c r="CHP20" i="20"/>
  <c r="CHQ20" i="20"/>
  <c r="CHR20" i="20"/>
  <c r="CHS20" i="20"/>
  <c r="CHT20" i="20"/>
  <c r="CHU20" i="20"/>
  <c r="CHV20" i="20"/>
  <c r="CHW20" i="20"/>
  <c r="CHX20" i="20"/>
  <c r="CHY20" i="20"/>
  <c r="CHZ20" i="20"/>
  <c r="CIA20" i="20"/>
  <c r="CIB20" i="20"/>
  <c r="CIC20" i="20"/>
  <c r="CID20" i="20"/>
  <c r="CIE20" i="20"/>
  <c r="CIF20" i="20"/>
  <c r="CIG20" i="20"/>
  <c r="CIH20" i="20"/>
  <c r="CII20" i="20"/>
  <c r="CIJ20" i="20"/>
  <c r="CIK20" i="20"/>
  <c r="CIL20" i="20"/>
  <c r="CIM20" i="20"/>
  <c r="CIN20" i="20"/>
  <c r="CIO20" i="20"/>
  <c r="CIP20" i="20"/>
  <c r="CIQ20" i="20"/>
  <c r="CIR20" i="20"/>
  <c r="CIS20" i="20"/>
  <c r="CIT20" i="20"/>
  <c r="CIU20" i="20"/>
  <c r="CIV20" i="20"/>
  <c r="CIW20" i="20"/>
  <c r="CIX20" i="20"/>
  <c r="CIY20" i="20"/>
  <c r="CIZ20" i="20"/>
  <c r="CJA20" i="20"/>
  <c r="CJB20" i="20"/>
  <c r="CJC20" i="20"/>
  <c r="CJD20" i="20"/>
  <c r="CJE20" i="20"/>
  <c r="CJF20" i="20"/>
  <c r="CJG20" i="20"/>
  <c r="CJH20" i="20"/>
  <c r="CJI20" i="20"/>
  <c r="CJJ20" i="20"/>
  <c r="CJK20" i="20"/>
  <c r="CJL20" i="20"/>
  <c r="CJM20" i="20"/>
  <c r="CJN20" i="20"/>
  <c r="CJO20" i="20"/>
  <c r="CJP20" i="20"/>
  <c r="CJQ20" i="20"/>
  <c r="CJR20" i="20"/>
  <c r="CJS20" i="20"/>
  <c r="CJT20" i="20"/>
  <c r="CJU20" i="20"/>
  <c r="CJV20" i="20"/>
  <c r="CJW20" i="20"/>
  <c r="CJX20" i="20"/>
  <c r="CJY20" i="20"/>
  <c r="CJZ20" i="20"/>
  <c r="CKA20" i="20"/>
  <c r="CKB20" i="20"/>
  <c r="CKC20" i="20"/>
  <c r="CKD20" i="20"/>
  <c r="CKE20" i="20"/>
  <c r="CKF20" i="20"/>
  <c r="CKG20" i="20"/>
  <c r="CKH20" i="20"/>
  <c r="CKI20" i="20"/>
  <c r="CKJ20" i="20"/>
  <c r="CKK20" i="20"/>
  <c r="CKL20" i="20"/>
  <c r="CKM20" i="20"/>
  <c r="CKN20" i="20"/>
  <c r="CKO20" i="20"/>
  <c r="CKP20" i="20"/>
  <c r="CKQ20" i="20"/>
  <c r="CKR20" i="20"/>
  <c r="CKS20" i="20"/>
  <c r="CKT20" i="20"/>
  <c r="CKU20" i="20"/>
  <c r="CKV20" i="20"/>
  <c r="CKW20" i="20"/>
  <c r="CKX20" i="20"/>
  <c r="CKY20" i="20"/>
  <c r="CKZ20" i="20"/>
  <c r="CLA20" i="20"/>
  <c r="CLB20" i="20"/>
  <c r="CLC20" i="20"/>
  <c r="CLD20" i="20"/>
  <c r="CLE20" i="20"/>
  <c r="CLF20" i="20"/>
  <c r="CLG20" i="20"/>
  <c r="CLH20" i="20"/>
  <c r="CLI20" i="20"/>
  <c r="CLJ20" i="20"/>
  <c r="CLK20" i="20"/>
  <c r="CLL20" i="20"/>
  <c r="CLM20" i="20"/>
  <c r="CLN20" i="20"/>
  <c r="CLO20" i="20"/>
  <c r="CLP20" i="20"/>
  <c r="CLQ20" i="20"/>
  <c r="CLR20" i="20"/>
  <c r="CLS20" i="20"/>
  <c r="CLT20" i="20"/>
  <c r="CLU20" i="20"/>
  <c r="CLV20" i="20"/>
  <c r="CLW20" i="20"/>
  <c r="CLX20" i="20"/>
  <c r="CLY20" i="20"/>
  <c r="CLZ20" i="20"/>
  <c r="CMA20" i="20"/>
  <c r="CMB20" i="20"/>
  <c r="CMC20" i="20"/>
  <c r="CMD20" i="20"/>
  <c r="CME20" i="20"/>
  <c r="CMF20" i="20"/>
  <c r="CMG20" i="20"/>
  <c r="CMH20" i="20"/>
  <c r="CMI20" i="20"/>
  <c r="CMJ20" i="20"/>
  <c r="CMK20" i="20"/>
  <c r="CML20" i="20"/>
  <c r="CMM20" i="20"/>
  <c r="CMN20" i="20"/>
  <c r="CMO20" i="20"/>
  <c r="CMP20" i="20"/>
  <c r="CMQ20" i="20"/>
  <c r="CMR20" i="20"/>
  <c r="CMS20" i="20"/>
  <c r="CMT20" i="20"/>
  <c r="CMU20" i="20"/>
  <c r="CMV20" i="20"/>
  <c r="CMW20" i="20"/>
  <c r="CMX20" i="20"/>
  <c r="CMY20" i="20"/>
  <c r="CMZ20" i="20"/>
  <c r="CNA20" i="20"/>
  <c r="CNB20" i="20"/>
  <c r="CNC20" i="20"/>
  <c r="CND20" i="20"/>
  <c r="CNE20" i="20"/>
  <c r="CNF20" i="20"/>
  <c r="CNG20" i="20"/>
  <c r="CNH20" i="20"/>
  <c r="CNI20" i="20"/>
  <c r="CNJ20" i="20"/>
  <c r="CNK20" i="20"/>
  <c r="CNL20" i="20"/>
  <c r="CNM20" i="20"/>
  <c r="CNN20" i="20"/>
  <c r="CNO20" i="20"/>
  <c r="CNP20" i="20"/>
  <c r="CNQ20" i="20"/>
  <c r="CNR20" i="20"/>
  <c r="CNS20" i="20"/>
  <c r="CNT20" i="20"/>
  <c r="CNU20" i="20"/>
  <c r="CNV20" i="20"/>
  <c r="CNW20" i="20"/>
  <c r="CNX20" i="20"/>
  <c r="CNY20" i="20"/>
  <c r="CNZ20" i="20"/>
  <c r="COA20" i="20"/>
  <c r="COB20" i="20"/>
  <c r="COC20" i="20"/>
  <c r="COD20" i="20"/>
  <c r="COE20" i="20"/>
  <c r="COF20" i="20"/>
  <c r="COG20" i="20"/>
  <c r="COH20" i="20"/>
  <c r="COI20" i="20"/>
  <c r="COJ20" i="20"/>
  <c r="COK20" i="20"/>
  <c r="COL20" i="20"/>
  <c r="COM20" i="20"/>
  <c r="CON20" i="20"/>
  <c r="COO20" i="20"/>
  <c r="COP20" i="20"/>
  <c r="COQ20" i="20"/>
  <c r="COR20" i="20"/>
  <c r="COS20" i="20"/>
  <c r="COT20" i="20"/>
  <c r="COU20" i="20"/>
  <c r="COV20" i="20"/>
  <c r="COW20" i="20"/>
  <c r="COX20" i="20"/>
  <c r="COY20" i="20"/>
  <c r="COZ20" i="20"/>
  <c r="CPA20" i="20"/>
  <c r="CPB20" i="20"/>
  <c r="CPC20" i="20"/>
  <c r="CPD20" i="20"/>
  <c r="CPE20" i="20"/>
  <c r="CPF20" i="20"/>
  <c r="CPG20" i="20"/>
  <c r="CPH20" i="20"/>
  <c r="CPI20" i="20"/>
  <c r="CPJ20" i="20"/>
  <c r="CPK20" i="20"/>
  <c r="CPL20" i="20"/>
  <c r="CPM20" i="20"/>
  <c r="CPN20" i="20"/>
  <c r="CPO20" i="20"/>
  <c r="CPP20" i="20"/>
  <c r="CPQ20" i="20"/>
  <c r="CPR20" i="20"/>
  <c r="CPS20" i="20"/>
  <c r="CPT20" i="20"/>
  <c r="CPU20" i="20"/>
  <c r="CPV20" i="20"/>
  <c r="CPW20" i="20"/>
  <c r="CPX20" i="20"/>
  <c r="CPY20" i="20"/>
  <c r="CPZ20" i="20"/>
  <c r="CQA20" i="20"/>
  <c r="CQB20" i="20"/>
  <c r="CQC20" i="20"/>
  <c r="CQD20" i="20"/>
  <c r="CQE20" i="20"/>
  <c r="CQF20" i="20"/>
  <c r="CQG20" i="20"/>
  <c r="CQH20" i="20"/>
  <c r="CQI20" i="20"/>
  <c r="CQJ20" i="20"/>
  <c r="CQK20" i="20"/>
  <c r="CQL20" i="20"/>
  <c r="CQM20" i="20"/>
  <c r="CQN20" i="20"/>
  <c r="CQO20" i="20"/>
  <c r="CQP20" i="20"/>
  <c r="CQQ20" i="20"/>
  <c r="CQR20" i="20"/>
  <c r="CQS20" i="20"/>
  <c r="CQT20" i="20"/>
  <c r="CQU20" i="20"/>
  <c r="CQV20" i="20"/>
  <c r="CQW20" i="20"/>
  <c r="CQX20" i="20"/>
  <c r="CQY20" i="20"/>
  <c r="CQZ20" i="20"/>
  <c r="CRA20" i="20"/>
  <c r="CRB20" i="20"/>
  <c r="CRC20" i="20"/>
  <c r="CRD20" i="20"/>
  <c r="CRE20" i="20"/>
  <c r="CRF20" i="20"/>
  <c r="CRG20" i="20"/>
  <c r="CRH20" i="20"/>
  <c r="CRI20" i="20"/>
  <c r="CRJ20" i="20"/>
  <c r="CRK20" i="20"/>
  <c r="CRL20" i="20"/>
  <c r="CRM20" i="20"/>
  <c r="CRN20" i="20"/>
  <c r="CRO20" i="20"/>
  <c r="CRP20" i="20"/>
  <c r="CRQ20" i="20"/>
  <c r="CRR20" i="20"/>
  <c r="CRS20" i="20"/>
  <c r="CRT20" i="20"/>
  <c r="CRU20" i="20"/>
  <c r="CRV20" i="20"/>
  <c r="CRW20" i="20"/>
  <c r="CRX20" i="20"/>
  <c r="CRY20" i="20"/>
  <c r="CRZ20" i="20"/>
  <c r="CSA20" i="20"/>
  <c r="CSB20" i="20"/>
  <c r="CSC20" i="20"/>
  <c r="CSD20" i="20"/>
  <c r="CSE20" i="20"/>
  <c r="CSF20" i="20"/>
  <c r="CSG20" i="20"/>
  <c r="CSH20" i="20"/>
  <c r="CSI20" i="20"/>
  <c r="CSJ20" i="20"/>
  <c r="CSK20" i="20"/>
  <c r="CSL20" i="20"/>
  <c r="CSM20" i="20"/>
  <c r="CSN20" i="20"/>
  <c r="CSO20" i="20"/>
  <c r="CSP20" i="20"/>
  <c r="CSQ20" i="20"/>
  <c r="CSR20" i="20"/>
  <c r="CSS20" i="20"/>
  <c r="CST20" i="20"/>
  <c r="CSU20" i="20"/>
  <c r="CSV20" i="20"/>
  <c r="CSW20" i="20"/>
  <c r="CSX20" i="20"/>
  <c r="CSY20" i="20"/>
  <c r="CSZ20" i="20"/>
  <c r="CTA20" i="20"/>
  <c r="CTB20" i="20"/>
  <c r="CTC20" i="20"/>
  <c r="CTD20" i="20"/>
  <c r="CTE20" i="20"/>
  <c r="CTF20" i="20"/>
  <c r="CTG20" i="20"/>
  <c r="CTH20" i="20"/>
  <c r="CTI20" i="20"/>
  <c r="CTJ20" i="20"/>
  <c r="CTK20" i="20"/>
  <c r="CTL20" i="20"/>
  <c r="CTM20" i="20"/>
  <c r="CTN20" i="20"/>
  <c r="CTO20" i="20"/>
  <c r="CTP20" i="20"/>
  <c r="CTQ20" i="20"/>
  <c r="CTR20" i="20"/>
  <c r="CTS20" i="20"/>
  <c r="CTT20" i="20"/>
  <c r="CTU20" i="20"/>
  <c r="CTV20" i="20"/>
  <c r="CTW20" i="20"/>
  <c r="CTX20" i="20"/>
  <c r="CTY20" i="20"/>
  <c r="CTZ20" i="20"/>
  <c r="CUA20" i="20"/>
  <c r="CUB20" i="20"/>
  <c r="CUC20" i="20"/>
  <c r="CUD20" i="20"/>
  <c r="CUE20" i="20"/>
  <c r="CUF20" i="20"/>
  <c r="CUG20" i="20"/>
  <c r="CUH20" i="20"/>
  <c r="CUI20" i="20"/>
  <c r="CUJ20" i="20"/>
  <c r="CUK20" i="20"/>
  <c r="CUL20" i="20"/>
  <c r="CUM20" i="20"/>
  <c r="CUN20" i="20"/>
  <c r="CUO20" i="20"/>
  <c r="CUP20" i="20"/>
  <c r="CUQ20" i="20"/>
  <c r="CUR20" i="20"/>
  <c r="CUS20" i="20"/>
  <c r="CUT20" i="20"/>
  <c r="CUU20" i="20"/>
  <c r="CUV20" i="20"/>
  <c r="CUW20" i="20"/>
  <c r="CUX20" i="20"/>
  <c r="CUY20" i="20"/>
  <c r="CUZ20" i="20"/>
  <c r="CVA20" i="20"/>
  <c r="CVB20" i="20"/>
  <c r="CVC20" i="20"/>
  <c r="CVD20" i="20"/>
  <c r="CVE20" i="20"/>
  <c r="CVF20" i="20"/>
  <c r="CVG20" i="20"/>
  <c r="CVH20" i="20"/>
  <c r="CVI20" i="20"/>
  <c r="CVJ20" i="20"/>
  <c r="CVK20" i="20"/>
  <c r="CVL20" i="20"/>
  <c r="CVM20" i="20"/>
  <c r="CVN20" i="20"/>
  <c r="CVO20" i="20"/>
  <c r="CVP20" i="20"/>
  <c r="CVQ20" i="20"/>
  <c r="CVR20" i="20"/>
  <c r="CVS20" i="20"/>
  <c r="CVT20" i="20"/>
  <c r="CVU20" i="20"/>
  <c r="CVV20" i="20"/>
  <c r="CVW20" i="20"/>
  <c r="CVX20" i="20"/>
  <c r="CVY20" i="20"/>
  <c r="CVZ20" i="20"/>
  <c r="CWA20" i="20"/>
  <c r="CWB20" i="20"/>
  <c r="CWC20" i="20"/>
  <c r="CWD20" i="20"/>
  <c r="CWE20" i="20"/>
  <c r="CWF20" i="20"/>
  <c r="CWG20" i="20"/>
  <c r="CWH20" i="20"/>
  <c r="CWI20" i="20"/>
  <c r="CWJ20" i="20"/>
  <c r="CWK20" i="20"/>
  <c r="CWL20" i="20"/>
  <c r="CWM20" i="20"/>
  <c r="CWN20" i="20"/>
  <c r="CWO20" i="20"/>
  <c r="CWP20" i="20"/>
  <c r="CWQ20" i="20"/>
  <c r="CWR20" i="20"/>
  <c r="CWS20" i="20"/>
  <c r="CWT20" i="20"/>
  <c r="CWU20" i="20"/>
  <c r="CWV20" i="20"/>
  <c r="CWW20" i="20"/>
  <c r="CWX20" i="20"/>
  <c r="CWY20" i="20"/>
  <c r="CWZ20" i="20"/>
  <c r="CXA20" i="20"/>
  <c r="CXB20" i="20"/>
  <c r="CXC20" i="20"/>
  <c r="CXD20" i="20"/>
  <c r="CXE20" i="20"/>
  <c r="CXF20" i="20"/>
  <c r="CXG20" i="20"/>
  <c r="CXH20" i="20"/>
  <c r="CXI20" i="20"/>
  <c r="CXJ20" i="20"/>
  <c r="CXK20" i="20"/>
  <c r="CXL20" i="20"/>
  <c r="CXM20" i="20"/>
  <c r="CXN20" i="20"/>
  <c r="CXO20" i="20"/>
  <c r="CXP20" i="20"/>
  <c r="CXQ20" i="20"/>
  <c r="CXR20" i="20"/>
  <c r="CXS20" i="20"/>
  <c r="CXT20" i="20"/>
  <c r="CXU20" i="20"/>
  <c r="CXV20" i="20"/>
  <c r="CXW20" i="20"/>
  <c r="CXX20" i="20"/>
  <c r="CXY20" i="20"/>
  <c r="CXZ20" i="20"/>
  <c r="CYA20" i="20"/>
  <c r="CYB20" i="20"/>
  <c r="CYC20" i="20"/>
  <c r="CYD20" i="20"/>
  <c r="CYE20" i="20"/>
  <c r="CYF20" i="20"/>
  <c r="CYG20" i="20"/>
  <c r="CYH20" i="20"/>
  <c r="CYI20" i="20"/>
  <c r="CYJ20" i="20"/>
  <c r="CYK20" i="20"/>
  <c r="CYL20" i="20"/>
  <c r="CYM20" i="20"/>
  <c r="CYN20" i="20"/>
  <c r="CYO20" i="20"/>
  <c r="CYP20" i="20"/>
  <c r="CYQ20" i="20"/>
  <c r="CYR20" i="20"/>
  <c r="CYS20" i="20"/>
  <c r="CYT20" i="20"/>
  <c r="CYU20" i="20"/>
  <c r="CYV20" i="20"/>
  <c r="CYW20" i="20"/>
  <c r="CYX20" i="20"/>
  <c r="CYY20" i="20"/>
  <c r="CYZ20" i="20"/>
  <c r="CZA20" i="20"/>
  <c r="CZB20" i="20"/>
  <c r="CZC20" i="20"/>
  <c r="CZD20" i="20"/>
  <c r="CZE20" i="20"/>
  <c r="CZF20" i="20"/>
  <c r="CZG20" i="20"/>
  <c r="CZH20" i="20"/>
  <c r="CZI20" i="20"/>
  <c r="CZJ20" i="20"/>
  <c r="CZK20" i="20"/>
  <c r="CZL20" i="20"/>
  <c r="CZM20" i="20"/>
  <c r="CZN20" i="20"/>
  <c r="CZO20" i="20"/>
  <c r="CZP20" i="20"/>
  <c r="CZQ20" i="20"/>
  <c r="CZR20" i="20"/>
  <c r="CZS20" i="20"/>
  <c r="CZT20" i="20"/>
  <c r="CZU20" i="20"/>
  <c r="CZV20" i="20"/>
  <c r="CZW20" i="20"/>
  <c r="CZX20" i="20"/>
  <c r="CZY20" i="20"/>
  <c r="CZZ20" i="20"/>
  <c r="DAA20" i="20"/>
  <c r="DAB20" i="20"/>
  <c r="DAC20" i="20"/>
  <c r="DAD20" i="20"/>
  <c r="DAE20" i="20"/>
  <c r="DAF20" i="20"/>
  <c r="DAG20" i="20"/>
  <c r="DAH20" i="20"/>
  <c r="DAI20" i="20"/>
  <c r="DAJ20" i="20"/>
  <c r="DAK20" i="20"/>
  <c r="DAL20" i="20"/>
  <c r="DAM20" i="20"/>
  <c r="DAN20" i="20"/>
  <c r="DAO20" i="20"/>
  <c r="DAP20" i="20"/>
  <c r="DAQ20" i="20"/>
  <c r="DAR20" i="20"/>
  <c r="DAS20" i="20"/>
  <c r="DAT20" i="20"/>
  <c r="DAU20" i="20"/>
  <c r="DAV20" i="20"/>
  <c r="DAW20" i="20"/>
  <c r="DAX20" i="20"/>
  <c r="DAY20" i="20"/>
  <c r="DAZ20" i="20"/>
  <c r="DBA20" i="20"/>
  <c r="DBB20" i="20"/>
  <c r="DBC20" i="20"/>
  <c r="DBD20" i="20"/>
  <c r="DBE20" i="20"/>
  <c r="DBF20" i="20"/>
  <c r="DBG20" i="20"/>
  <c r="DBH20" i="20"/>
  <c r="DBI20" i="20"/>
  <c r="DBJ20" i="20"/>
  <c r="DBK20" i="20"/>
  <c r="DBL20" i="20"/>
  <c r="DBM20" i="20"/>
  <c r="DBN20" i="20"/>
  <c r="DBO20" i="20"/>
  <c r="DBP20" i="20"/>
  <c r="DBQ20" i="20"/>
  <c r="DBR20" i="20"/>
  <c r="DBS20" i="20"/>
  <c r="DBT20" i="20"/>
  <c r="DBU20" i="20"/>
  <c r="DBV20" i="20"/>
  <c r="DBW20" i="20"/>
  <c r="DBX20" i="20"/>
  <c r="DBY20" i="20"/>
  <c r="DBZ20" i="20"/>
  <c r="DCA20" i="20"/>
  <c r="DCB20" i="20"/>
  <c r="DCC20" i="20"/>
  <c r="DCD20" i="20"/>
  <c r="DCE20" i="20"/>
  <c r="DCF20" i="20"/>
  <c r="DCG20" i="20"/>
  <c r="DCH20" i="20"/>
  <c r="DCI20" i="20"/>
  <c r="DCJ20" i="20"/>
  <c r="DCK20" i="20"/>
  <c r="DCL20" i="20"/>
  <c r="DCM20" i="20"/>
  <c r="DCN20" i="20"/>
  <c r="DCO20" i="20"/>
  <c r="DCP20" i="20"/>
  <c r="DCQ20" i="20"/>
  <c r="DCR20" i="20"/>
  <c r="DCS20" i="20"/>
  <c r="DCT20" i="20"/>
  <c r="DCU20" i="20"/>
  <c r="DCV20" i="20"/>
  <c r="DCW20" i="20"/>
  <c r="DCX20" i="20"/>
  <c r="DCY20" i="20"/>
  <c r="DCZ20" i="20"/>
  <c r="DDA20" i="20"/>
  <c r="DDB20" i="20"/>
  <c r="DDC20" i="20"/>
  <c r="DDD20" i="20"/>
  <c r="DDE20" i="20"/>
  <c r="DDF20" i="20"/>
  <c r="DDG20" i="20"/>
  <c r="DDH20" i="20"/>
  <c r="DDI20" i="20"/>
  <c r="AAE21" i="20"/>
  <c r="AAF21" i="20"/>
  <c r="AAG21" i="20"/>
  <c r="AAH21" i="20"/>
  <c r="AAI21" i="20"/>
  <c r="AAJ21" i="20"/>
  <c r="AAK21" i="20"/>
  <c r="AAL21" i="20"/>
  <c r="AAM21" i="20"/>
  <c r="AAN21" i="20"/>
  <c r="AAO21" i="20"/>
  <c r="AAP21" i="20"/>
  <c r="AAQ21" i="20"/>
  <c r="AAR21" i="20"/>
  <c r="AAS21" i="20"/>
  <c r="AAT21" i="20"/>
  <c r="AAU21" i="20"/>
  <c r="AAV21" i="20"/>
  <c r="AAW21" i="20"/>
  <c r="AAX21" i="20"/>
  <c r="AAY21" i="20"/>
  <c r="AAZ21" i="20"/>
  <c r="ABA21" i="20"/>
  <c r="ABB21" i="20"/>
  <c r="ABC21" i="20"/>
  <c r="ABD21" i="20"/>
  <c r="ABE21" i="20"/>
  <c r="ABF21" i="20"/>
  <c r="ABG21" i="20"/>
  <c r="ABH21" i="20"/>
  <c r="ABI21" i="20"/>
  <c r="ABJ21" i="20"/>
  <c r="ABK21" i="20"/>
  <c r="ABL21" i="20"/>
  <c r="ABM21" i="20"/>
  <c r="ABN21" i="20"/>
  <c r="ABO21" i="20"/>
  <c r="ABP21" i="20"/>
  <c r="ABQ21" i="20"/>
  <c r="ABR21" i="20"/>
  <c r="ABS21" i="20"/>
  <c r="ABT21" i="20"/>
  <c r="ABU21" i="20"/>
  <c r="ABV21" i="20"/>
  <c r="ABW21" i="20"/>
  <c r="ABX21" i="20"/>
  <c r="ABY21" i="20"/>
  <c r="ABZ21" i="20"/>
  <c r="ACA21" i="20"/>
  <c r="ACB21" i="20"/>
  <c r="ACC21" i="20"/>
  <c r="ACD21" i="20"/>
  <c r="ACE21" i="20"/>
  <c r="ACF21" i="20"/>
  <c r="ACG21" i="20"/>
  <c r="ACH21" i="20"/>
  <c r="ACI21" i="20"/>
  <c r="ACJ21" i="20"/>
  <c r="ACK21" i="20"/>
  <c r="ACL21" i="20"/>
  <c r="ACM21" i="20"/>
  <c r="ACN21" i="20"/>
  <c r="ACO21" i="20"/>
  <c r="ACP21" i="20"/>
  <c r="ACQ21" i="20"/>
  <c r="ACR21" i="20"/>
  <c r="ACS21" i="20"/>
  <c r="ACT21" i="20"/>
  <c r="ACU21" i="20"/>
  <c r="ACV21" i="20"/>
  <c r="ACW21" i="20"/>
  <c r="ACX21" i="20"/>
  <c r="ACY21" i="20"/>
  <c r="ACZ21" i="20"/>
  <c r="ADA21" i="20"/>
  <c r="ADB21" i="20"/>
  <c r="ADC21" i="20"/>
  <c r="ADD21" i="20"/>
  <c r="ADE21" i="20"/>
  <c r="ADF21" i="20"/>
  <c r="ADG21" i="20"/>
  <c r="ADH21" i="20"/>
  <c r="ADI21" i="20"/>
  <c r="ADJ21" i="20"/>
  <c r="ADK21" i="20"/>
  <c r="ADL21" i="20"/>
  <c r="ADM21" i="20"/>
  <c r="ADN21" i="20"/>
  <c r="ADO21" i="20"/>
  <c r="ADP21" i="20"/>
  <c r="ADQ21" i="20"/>
  <c r="ADR21" i="20"/>
  <c r="ADS21" i="20"/>
  <c r="ADT21" i="20"/>
  <c r="ADU21" i="20"/>
  <c r="ADV21" i="20"/>
  <c r="ADW21" i="20"/>
  <c r="ADX21" i="20"/>
  <c r="ADY21" i="20"/>
  <c r="ADZ21" i="20"/>
  <c r="AEA21" i="20"/>
  <c r="AEB21" i="20"/>
  <c r="AEC21" i="20"/>
  <c r="AED21" i="20"/>
  <c r="AEE21" i="20"/>
  <c r="AEF21" i="20"/>
  <c r="AEG21" i="20"/>
  <c r="AEH21" i="20"/>
  <c r="AEI21" i="20"/>
  <c r="AEJ21" i="20"/>
  <c r="AEK21" i="20"/>
  <c r="AEL21" i="20"/>
  <c r="AEM21" i="20"/>
  <c r="AEN21" i="20"/>
  <c r="AEO21" i="20"/>
  <c r="AEP21" i="20"/>
  <c r="AEQ21" i="20"/>
  <c r="AER21" i="20"/>
  <c r="AES21" i="20"/>
  <c r="AET21" i="20"/>
  <c r="AEU21" i="20"/>
  <c r="AEV21" i="20"/>
  <c r="AEW21" i="20"/>
  <c r="AEX21" i="20"/>
  <c r="AEY21" i="20"/>
  <c r="AEZ21" i="20"/>
  <c r="AFA21" i="20"/>
  <c r="AFB21" i="20"/>
  <c r="AFC21" i="20"/>
  <c r="AFD21" i="20"/>
  <c r="AFE21" i="20"/>
  <c r="AFF21" i="20"/>
  <c r="AFG21" i="20"/>
  <c r="AFH21" i="20"/>
  <c r="AFI21" i="20"/>
  <c r="AFJ21" i="20"/>
  <c r="AFK21" i="20"/>
  <c r="AFL21" i="20"/>
  <c r="AFM21" i="20"/>
  <c r="AFN21" i="20"/>
  <c r="AFO21" i="20"/>
  <c r="AFP21" i="20"/>
  <c r="AFQ21" i="20"/>
  <c r="AFR21" i="20"/>
  <c r="AFS21" i="20"/>
  <c r="AFT21" i="20"/>
  <c r="AFU21" i="20"/>
  <c r="AFV21" i="20"/>
  <c r="AFW21" i="20"/>
  <c r="AFX21" i="20"/>
  <c r="AFY21" i="20"/>
  <c r="AFZ21" i="20"/>
  <c r="AGA21" i="20"/>
  <c r="AGB21" i="20"/>
  <c r="AGC21" i="20"/>
  <c r="AGD21" i="20"/>
  <c r="AGE21" i="20"/>
  <c r="AGF21" i="20"/>
  <c r="AGG21" i="20"/>
  <c r="AGH21" i="20"/>
  <c r="AGI21" i="20"/>
  <c r="AGJ21" i="20"/>
  <c r="AGK21" i="20"/>
  <c r="AGL21" i="20"/>
  <c r="AGM21" i="20"/>
  <c r="AGN21" i="20"/>
  <c r="AGO21" i="20"/>
  <c r="AGP21" i="20"/>
  <c r="AGQ21" i="20"/>
  <c r="AGR21" i="20"/>
  <c r="AGS21" i="20"/>
  <c r="AGT21" i="20"/>
  <c r="AGU21" i="20"/>
  <c r="AGV21" i="20"/>
  <c r="AGW21" i="20"/>
  <c r="AGX21" i="20"/>
  <c r="AGY21" i="20"/>
  <c r="AGZ21" i="20"/>
  <c r="AHA21" i="20"/>
  <c r="AHB21" i="20"/>
  <c r="AHC21" i="20"/>
  <c r="AHD21" i="20"/>
  <c r="AHE21" i="20"/>
  <c r="AHF21" i="20"/>
  <c r="AHG21" i="20"/>
  <c r="AHH21" i="20"/>
  <c r="AHI21" i="20"/>
  <c r="AHJ21" i="20"/>
  <c r="AHK21" i="20"/>
  <c r="AHL21" i="20"/>
  <c r="AHM21" i="20"/>
  <c r="AHN21" i="20"/>
  <c r="AHO21" i="20"/>
  <c r="AHP21" i="20"/>
  <c r="AHQ21" i="20"/>
  <c r="AHR21" i="20"/>
  <c r="AHS21" i="20"/>
  <c r="AHT21" i="20"/>
  <c r="AHU21" i="20"/>
  <c r="AHV21" i="20"/>
  <c r="AHW21" i="20"/>
  <c r="AHX21" i="20"/>
  <c r="AHY21" i="20"/>
  <c r="AHZ21" i="20"/>
  <c r="AIA21" i="20"/>
  <c r="AIB21" i="20"/>
  <c r="AIC21" i="20"/>
  <c r="AID21" i="20"/>
  <c r="AIE21" i="20"/>
  <c r="AIF21" i="20"/>
  <c r="AIG21" i="20"/>
  <c r="AIH21" i="20"/>
  <c r="AII21" i="20"/>
  <c r="AIJ21" i="20"/>
  <c r="AIK21" i="20"/>
  <c r="AIL21" i="20"/>
  <c r="AIM21" i="20"/>
  <c r="AIN21" i="20"/>
  <c r="AIO21" i="20"/>
  <c r="AIP21" i="20"/>
  <c r="AIQ21" i="20"/>
  <c r="AIR21" i="20"/>
  <c r="AIS21" i="20"/>
  <c r="AIT21" i="20"/>
  <c r="AIU21" i="20"/>
  <c r="AIV21" i="20"/>
  <c r="AIW21" i="20"/>
  <c r="AIX21" i="20"/>
  <c r="AIY21" i="20"/>
  <c r="AIZ21" i="20"/>
  <c r="AJA21" i="20"/>
  <c r="AJB21" i="20"/>
  <c r="AJC21" i="20"/>
  <c r="AJD21" i="20"/>
  <c r="AJE21" i="20"/>
  <c r="AJF21" i="20"/>
  <c r="AJG21" i="20"/>
  <c r="AJH21" i="20"/>
  <c r="AJI21" i="20"/>
  <c r="AJJ21" i="20"/>
  <c r="AJK21" i="20"/>
  <c r="AJL21" i="20"/>
  <c r="AJM21" i="20"/>
  <c r="AJN21" i="20"/>
  <c r="AJO21" i="20"/>
  <c r="AJP21" i="20"/>
  <c r="AJQ21" i="20"/>
  <c r="AJR21" i="20"/>
  <c r="AJS21" i="20"/>
  <c r="AJT21" i="20"/>
  <c r="AJU21" i="20"/>
  <c r="AJV21" i="20"/>
  <c r="AJW21" i="20"/>
  <c r="AJX21" i="20"/>
  <c r="AJY21" i="20"/>
  <c r="AJZ21" i="20"/>
  <c r="AKA21" i="20"/>
  <c r="AKB21" i="20"/>
  <c r="AKC21" i="20"/>
  <c r="AKD21" i="20"/>
  <c r="AKE21" i="20"/>
  <c r="AKF21" i="20"/>
  <c r="AKG21" i="20"/>
  <c r="AKH21" i="20"/>
  <c r="AKI21" i="20"/>
  <c r="AKJ21" i="20"/>
  <c r="AKK21" i="20"/>
  <c r="AKL21" i="20"/>
  <c r="AKM21" i="20"/>
  <c r="AKN21" i="20"/>
  <c r="AKO21" i="20"/>
  <c r="AKP21" i="20"/>
  <c r="AKQ21" i="20"/>
  <c r="AKR21" i="20"/>
  <c r="AKS21" i="20"/>
  <c r="AKT21" i="20"/>
  <c r="AKU21" i="20"/>
  <c r="AKV21" i="20"/>
  <c r="AKW21" i="20"/>
  <c r="AKX21" i="20"/>
  <c r="AKY21" i="20"/>
  <c r="AKZ21" i="20"/>
  <c r="ALA21" i="20"/>
  <c r="ALB21" i="20"/>
  <c r="ALC21" i="20"/>
  <c r="ALD21" i="20"/>
  <c r="ALE21" i="20"/>
  <c r="ALF21" i="20"/>
  <c r="ALG21" i="20"/>
  <c r="ALH21" i="20"/>
  <c r="ALI21" i="20"/>
  <c r="ALJ21" i="20"/>
  <c r="ALK21" i="20"/>
  <c r="ALL21" i="20"/>
  <c r="ALM21" i="20"/>
  <c r="ALN21" i="20"/>
  <c r="ALO21" i="20"/>
  <c r="ALP21" i="20"/>
  <c r="ALQ21" i="20"/>
  <c r="ALR21" i="20"/>
  <c r="ALS21" i="20"/>
  <c r="ALT21" i="20"/>
  <c r="ALU21" i="20"/>
  <c r="ALV21" i="20"/>
  <c r="ALW21" i="20"/>
  <c r="ALX21" i="20"/>
  <c r="ALY21" i="20"/>
  <c r="ALZ21" i="20"/>
  <c r="AMA21" i="20"/>
  <c r="AMB21" i="20"/>
  <c r="AMC21" i="20"/>
  <c r="AMD21" i="20"/>
  <c r="AME21" i="20"/>
  <c r="AMF21" i="20"/>
  <c r="AMG21" i="20"/>
  <c r="AMH21" i="20"/>
  <c r="AMI21" i="20"/>
  <c r="AMJ21" i="20"/>
  <c r="AMK21" i="20"/>
  <c r="AML21" i="20"/>
  <c r="AMM21" i="20"/>
  <c r="AMN21" i="20"/>
  <c r="AMO21" i="20"/>
  <c r="AMP21" i="20"/>
  <c r="AMQ21" i="20"/>
  <c r="AMR21" i="20"/>
  <c r="AMS21" i="20"/>
  <c r="AMT21" i="20"/>
  <c r="AMU21" i="20"/>
  <c r="AMV21" i="20"/>
  <c r="AMW21" i="20"/>
  <c r="AMX21" i="20"/>
  <c r="AMY21" i="20"/>
  <c r="AMZ21" i="20"/>
  <c r="ANA21" i="20"/>
  <c r="ANB21" i="20"/>
  <c r="ANC21" i="20"/>
  <c r="AND21" i="20"/>
  <c r="ANE21" i="20"/>
  <c r="ANF21" i="20"/>
  <c r="ANG21" i="20"/>
  <c r="ANH21" i="20"/>
  <c r="ANI21" i="20"/>
  <c r="ANJ21" i="20"/>
  <c r="ANK21" i="20"/>
  <c r="ANL21" i="20"/>
  <c r="ANM21" i="20"/>
  <c r="ANN21" i="20"/>
  <c r="ANO21" i="20"/>
  <c r="ANP21" i="20"/>
  <c r="ANQ21" i="20"/>
  <c r="ANR21" i="20"/>
  <c r="ANS21" i="20"/>
  <c r="ANT21" i="20"/>
  <c r="ANU21" i="20"/>
  <c r="ANV21" i="20"/>
  <c r="ANW21" i="20"/>
  <c r="ANX21" i="20"/>
  <c r="ANY21" i="20"/>
  <c r="ANZ21" i="20"/>
  <c r="AOA21" i="20"/>
  <c r="AOB21" i="20"/>
  <c r="AOC21" i="20"/>
  <c r="AOD21" i="20"/>
  <c r="AOE21" i="20"/>
  <c r="AOF21" i="20"/>
  <c r="AOG21" i="20"/>
  <c r="AOH21" i="20"/>
  <c r="AOI21" i="20"/>
  <c r="AOJ21" i="20"/>
  <c r="AOK21" i="20"/>
  <c r="AOL21" i="20"/>
  <c r="AOM21" i="20"/>
  <c r="AON21" i="20"/>
  <c r="AOO21" i="20"/>
  <c r="AOP21" i="20"/>
  <c r="AOQ21" i="20"/>
  <c r="AOR21" i="20"/>
  <c r="AOS21" i="20"/>
  <c r="AOT21" i="20"/>
  <c r="AOU21" i="20"/>
  <c r="AOV21" i="20"/>
  <c r="AOW21" i="20"/>
  <c r="AOX21" i="20"/>
  <c r="AOY21" i="20"/>
  <c r="AOZ21" i="20"/>
  <c r="APA21" i="20"/>
  <c r="APB21" i="20"/>
  <c r="APC21" i="20"/>
  <c r="APD21" i="20"/>
  <c r="APE21" i="20"/>
  <c r="APF21" i="20"/>
  <c r="APG21" i="20"/>
  <c r="APH21" i="20"/>
  <c r="API21" i="20"/>
  <c r="APJ21" i="20"/>
  <c r="APK21" i="20"/>
  <c r="APL21" i="20"/>
  <c r="APM21" i="20"/>
  <c r="APN21" i="20"/>
  <c r="APO21" i="20"/>
  <c r="APP21" i="20"/>
  <c r="APQ21" i="20"/>
  <c r="APR21" i="20"/>
  <c r="APS21" i="20"/>
  <c r="APT21" i="20"/>
  <c r="APU21" i="20"/>
  <c r="APV21" i="20"/>
  <c r="APW21" i="20"/>
  <c r="APX21" i="20"/>
  <c r="APY21" i="20"/>
  <c r="APZ21" i="20"/>
  <c r="AQA21" i="20"/>
  <c r="AQB21" i="20"/>
  <c r="AQC21" i="20"/>
  <c r="AQD21" i="20"/>
  <c r="AQE21" i="20"/>
  <c r="AQF21" i="20"/>
  <c r="AQG21" i="20"/>
  <c r="AQH21" i="20"/>
  <c r="AQI21" i="20"/>
  <c r="AQJ21" i="20"/>
  <c r="AQK21" i="20"/>
  <c r="AQL21" i="20"/>
  <c r="AQM21" i="20"/>
  <c r="AQN21" i="20"/>
  <c r="AQO21" i="20"/>
  <c r="AQP21" i="20"/>
  <c r="AQQ21" i="20"/>
  <c r="AQR21" i="20"/>
  <c r="AQS21" i="20"/>
  <c r="AQT21" i="20"/>
  <c r="AQU21" i="20"/>
  <c r="AQV21" i="20"/>
  <c r="AQW21" i="20"/>
  <c r="AQX21" i="20"/>
  <c r="AQY21" i="20"/>
  <c r="AQZ21" i="20"/>
  <c r="ARA21" i="20"/>
  <c r="ARB21" i="20"/>
  <c r="ARC21" i="20"/>
  <c r="ARD21" i="20"/>
  <c r="ARE21" i="20"/>
  <c r="ARF21" i="20"/>
  <c r="ARG21" i="20"/>
  <c r="ARH21" i="20"/>
  <c r="ARI21" i="20"/>
  <c r="ARJ21" i="20"/>
  <c r="ARK21" i="20"/>
  <c r="ARL21" i="20"/>
  <c r="ARM21" i="20"/>
  <c r="ARN21" i="20"/>
  <c r="ARO21" i="20"/>
  <c r="ARP21" i="20"/>
  <c r="ARQ21" i="20"/>
  <c r="ARR21" i="20"/>
  <c r="ARS21" i="20"/>
  <c r="ART21" i="20"/>
  <c r="ARU21" i="20"/>
  <c r="ARV21" i="20"/>
  <c r="ARW21" i="20"/>
  <c r="ARX21" i="20"/>
  <c r="ARY21" i="20"/>
  <c r="ARZ21" i="20"/>
  <c r="ASA21" i="20"/>
  <c r="ASB21" i="20"/>
  <c r="ASC21" i="20"/>
  <c r="ASD21" i="20"/>
  <c r="ASE21" i="20"/>
  <c r="ASF21" i="20"/>
  <c r="ASG21" i="20"/>
  <c r="ASH21" i="20"/>
  <c r="ASI21" i="20"/>
  <c r="ASJ21" i="20"/>
  <c r="ASK21" i="20"/>
  <c r="ASL21" i="20"/>
  <c r="ASM21" i="20"/>
  <c r="ASN21" i="20"/>
  <c r="ASO21" i="20"/>
  <c r="ASP21" i="20"/>
  <c r="ASQ21" i="20"/>
  <c r="ASR21" i="20"/>
  <c r="ASS21" i="20"/>
  <c r="AST21" i="20"/>
  <c r="ASU21" i="20"/>
  <c r="ASV21" i="20"/>
  <c r="ASW21" i="20"/>
  <c r="ASX21" i="20"/>
  <c r="ASY21" i="20"/>
  <c r="ASZ21" i="20"/>
  <c r="ATA21" i="20"/>
  <c r="ATB21" i="20"/>
  <c r="ATC21" i="20"/>
  <c r="ATD21" i="20"/>
  <c r="ATE21" i="20"/>
  <c r="ATF21" i="20"/>
  <c r="ATG21" i="20"/>
  <c r="ATH21" i="20"/>
  <c r="ATI21" i="20"/>
  <c r="ATJ21" i="20"/>
  <c r="ATK21" i="20"/>
  <c r="ATL21" i="20"/>
  <c r="ATM21" i="20"/>
  <c r="ATN21" i="20"/>
  <c r="ATO21" i="20"/>
  <c r="ATP21" i="20"/>
  <c r="ATQ21" i="20"/>
  <c r="ATR21" i="20"/>
  <c r="ATS21" i="20"/>
  <c r="ATT21" i="20"/>
  <c r="ATU21" i="20"/>
  <c r="ATV21" i="20"/>
  <c r="ATW21" i="20"/>
  <c r="ATX21" i="20"/>
  <c r="ATY21" i="20"/>
  <c r="ATZ21" i="20"/>
  <c r="AUA21" i="20"/>
  <c r="AUB21" i="20"/>
  <c r="AUC21" i="20"/>
  <c r="AUD21" i="20"/>
  <c r="AUE21" i="20"/>
  <c r="AUF21" i="20"/>
  <c r="AUG21" i="20"/>
  <c r="AUH21" i="20"/>
  <c r="AUI21" i="20"/>
  <c r="AUJ21" i="20"/>
  <c r="AUK21" i="20"/>
  <c r="AUL21" i="20"/>
  <c r="AUM21" i="20"/>
  <c r="AUN21" i="20"/>
  <c r="AUO21" i="20"/>
  <c r="AUP21" i="20"/>
  <c r="AUQ21" i="20"/>
  <c r="AUR21" i="20"/>
  <c r="AUS21" i="20"/>
  <c r="AUT21" i="20"/>
  <c r="AUU21" i="20"/>
  <c r="AUV21" i="20"/>
  <c r="AUW21" i="20"/>
  <c r="AUX21" i="20"/>
  <c r="AUY21" i="20"/>
  <c r="AUZ21" i="20"/>
  <c r="AVA21" i="20"/>
  <c r="AVB21" i="20"/>
  <c r="AVC21" i="20"/>
  <c r="AVD21" i="20"/>
  <c r="AVE21" i="20"/>
  <c r="AVF21" i="20"/>
  <c r="AVG21" i="20"/>
  <c r="AVH21" i="20"/>
  <c r="AVI21" i="20"/>
  <c r="AVJ21" i="20"/>
  <c r="AVK21" i="20"/>
  <c r="AVL21" i="20"/>
  <c r="AVM21" i="20"/>
  <c r="AVN21" i="20"/>
  <c r="AVO21" i="20"/>
  <c r="AVP21" i="20"/>
  <c r="AVQ21" i="20"/>
  <c r="AVR21" i="20"/>
  <c r="AVS21" i="20"/>
  <c r="AVT21" i="20"/>
  <c r="AVU21" i="20"/>
  <c r="AVV21" i="20"/>
  <c r="AVW21" i="20"/>
  <c r="AVX21" i="20"/>
  <c r="AVY21" i="20"/>
  <c r="AVZ21" i="20"/>
  <c r="AWA21" i="20"/>
  <c r="AWB21" i="20"/>
  <c r="AWC21" i="20"/>
  <c r="AWD21" i="20"/>
  <c r="AWE21" i="20"/>
  <c r="AWF21" i="20"/>
  <c r="AWG21" i="20"/>
  <c r="AWH21" i="20"/>
  <c r="AWI21" i="20"/>
  <c r="AWJ21" i="20"/>
  <c r="AWK21" i="20"/>
  <c r="AWL21" i="20"/>
  <c r="AWM21" i="20"/>
  <c r="AWN21" i="20"/>
  <c r="AWO21" i="20"/>
  <c r="AWP21" i="20"/>
  <c r="AWQ21" i="20"/>
  <c r="AWR21" i="20"/>
  <c r="AWS21" i="20"/>
  <c r="AWT21" i="20"/>
  <c r="AWU21" i="20"/>
  <c r="AWV21" i="20"/>
  <c r="AWW21" i="20"/>
  <c r="AWX21" i="20"/>
  <c r="AWY21" i="20"/>
  <c r="AWZ21" i="20"/>
  <c r="AXA21" i="20"/>
  <c r="AXB21" i="20"/>
  <c r="AXC21" i="20"/>
  <c r="AXD21" i="20"/>
  <c r="AXE21" i="20"/>
  <c r="AXF21" i="20"/>
  <c r="AXG21" i="20"/>
  <c r="AXH21" i="20"/>
  <c r="AXI21" i="20"/>
  <c r="AXJ21" i="20"/>
  <c r="AXK21" i="20"/>
  <c r="AXL21" i="20"/>
  <c r="AXM21" i="20"/>
  <c r="AXN21" i="20"/>
  <c r="AXO21" i="20"/>
  <c r="AXP21" i="20"/>
  <c r="AXQ21" i="20"/>
  <c r="AXR21" i="20"/>
  <c r="AXS21" i="20"/>
  <c r="AXT21" i="20"/>
  <c r="AXU21" i="20"/>
  <c r="AXV21" i="20"/>
  <c r="AXW21" i="20"/>
  <c r="AXX21" i="20"/>
  <c r="AXY21" i="20"/>
  <c r="AXZ21" i="20"/>
  <c r="AYA21" i="20"/>
  <c r="AYB21" i="20"/>
  <c r="AYC21" i="20"/>
  <c r="AYD21" i="20"/>
  <c r="AYE21" i="20"/>
  <c r="AYF21" i="20"/>
  <c r="AYG21" i="20"/>
  <c r="AYH21" i="20"/>
  <c r="AYI21" i="20"/>
  <c r="AYJ21" i="20"/>
  <c r="AYK21" i="20"/>
  <c r="AYL21" i="20"/>
  <c r="AYM21" i="20"/>
  <c r="AYN21" i="20"/>
  <c r="AYO21" i="20"/>
  <c r="AYP21" i="20"/>
  <c r="AYQ21" i="20"/>
  <c r="AYR21" i="20"/>
  <c r="AYS21" i="20"/>
  <c r="AYT21" i="20"/>
  <c r="AYU21" i="20"/>
  <c r="AYV21" i="20"/>
  <c r="AYW21" i="20"/>
  <c r="AYX21" i="20"/>
  <c r="AYY21" i="20"/>
  <c r="AYZ21" i="20"/>
  <c r="AZA21" i="20"/>
  <c r="AZB21" i="20"/>
  <c r="AZC21" i="20"/>
  <c r="AZD21" i="20"/>
  <c r="AZE21" i="20"/>
  <c r="AZF21" i="20"/>
  <c r="AZG21" i="20"/>
  <c r="AZH21" i="20"/>
  <c r="AZI21" i="20"/>
  <c r="AZJ21" i="20"/>
  <c r="AZK21" i="20"/>
  <c r="AZL21" i="20"/>
  <c r="AZM21" i="20"/>
  <c r="AZN21" i="20"/>
  <c r="AZO21" i="20"/>
  <c r="AZP21" i="20"/>
  <c r="AZQ21" i="20"/>
  <c r="AZR21" i="20"/>
  <c r="AZS21" i="20"/>
  <c r="AZT21" i="20"/>
  <c r="AZU21" i="20"/>
  <c r="AZV21" i="20"/>
  <c r="AZW21" i="20"/>
  <c r="AZX21" i="20"/>
  <c r="AZY21" i="20"/>
  <c r="AZZ21" i="20"/>
  <c r="BAA21" i="20"/>
  <c r="BAB21" i="20"/>
  <c r="BAC21" i="20"/>
  <c r="BAD21" i="20"/>
  <c r="BAE21" i="20"/>
  <c r="BAF21" i="20"/>
  <c r="BAG21" i="20"/>
  <c r="BAH21" i="20"/>
  <c r="BAI21" i="20"/>
  <c r="BAJ21" i="20"/>
  <c r="BAK21" i="20"/>
  <c r="BAL21" i="20"/>
  <c r="BAM21" i="20"/>
  <c r="BAN21" i="20"/>
  <c r="BAO21" i="20"/>
  <c r="BAP21" i="20"/>
  <c r="BAQ21" i="20"/>
  <c r="BAR21" i="20"/>
  <c r="BAS21" i="20"/>
  <c r="BAT21" i="20"/>
  <c r="BAU21" i="20"/>
  <c r="BAV21" i="20"/>
  <c r="BAW21" i="20"/>
  <c r="BAX21" i="20"/>
  <c r="BAY21" i="20"/>
  <c r="BAZ21" i="20"/>
  <c r="BBA21" i="20"/>
  <c r="BBB21" i="20"/>
  <c r="BBC21" i="20"/>
  <c r="BBD21" i="20"/>
  <c r="BBE21" i="20"/>
  <c r="BBF21" i="20"/>
  <c r="BBG21" i="20"/>
  <c r="BBH21" i="20"/>
  <c r="BBI21" i="20"/>
  <c r="BBJ21" i="20"/>
  <c r="BBK21" i="20"/>
  <c r="BBL21" i="20"/>
  <c r="BBM21" i="20"/>
  <c r="BBN21" i="20"/>
  <c r="BBO21" i="20"/>
  <c r="BBP21" i="20"/>
  <c r="BBQ21" i="20"/>
  <c r="BBR21" i="20"/>
  <c r="BBS21" i="20"/>
  <c r="BBT21" i="20"/>
  <c r="BBU21" i="20"/>
  <c r="BBV21" i="20"/>
  <c r="BBW21" i="20"/>
  <c r="BBX21" i="20"/>
  <c r="BBY21" i="20"/>
  <c r="BBZ21" i="20"/>
  <c r="BCA21" i="20"/>
  <c r="BCB21" i="20"/>
  <c r="BCC21" i="20"/>
  <c r="BCD21" i="20"/>
  <c r="BCE21" i="20"/>
  <c r="BCF21" i="20"/>
  <c r="BCG21" i="20"/>
  <c r="BCH21" i="20"/>
  <c r="BCI21" i="20"/>
  <c r="BCJ21" i="20"/>
  <c r="BCK21" i="20"/>
  <c r="BCL21" i="20"/>
  <c r="BCM21" i="20"/>
  <c r="BCN21" i="20"/>
  <c r="BCO21" i="20"/>
  <c r="BCP21" i="20"/>
  <c r="BCQ21" i="20"/>
  <c r="BCR21" i="20"/>
  <c r="BCS21" i="20"/>
  <c r="BCT21" i="20"/>
  <c r="BCU21" i="20"/>
  <c r="BCV21" i="20"/>
  <c r="BCW21" i="20"/>
  <c r="BCX21" i="20"/>
  <c r="BCY21" i="20"/>
  <c r="BCZ21" i="20"/>
  <c r="BDA21" i="20"/>
  <c r="BDB21" i="20"/>
  <c r="BDC21" i="20"/>
  <c r="BDD21" i="20"/>
  <c r="BDE21" i="20"/>
  <c r="BDF21" i="20"/>
  <c r="BDG21" i="20"/>
  <c r="BDH21" i="20"/>
  <c r="BDI21" i="20"/>
  <c r="BDJ21" i="20"/>
  <c r="BDK21" i="20"/>
  <c r="BDL21" i="20"/>
  <c r="BDM21" i="20"/>
  <c r="BDN21" i="20"/>
  <c r="BDO21" i="20"/>
  <c r="BDP21" i="20"/>
  <c r="BDQ21" i="20"/>
  <c r="BDR21" i="20"/>
  <c r="BDS21" i="20"/>
  <c r="BDT21" i="20"/>
  <c r="BDU21" i="20"/>
  <c r="BDV21" i="20"/>
  <c r="BDW21" i="20"/>
  <c r="BDX21" i="20"/>
  <c r="BDY21" i="20"/>
  <c r="BDZ21" i="20"/>
  <c r="BEA21" i="20"/>
  <c r="BEB21" i="20"/>
  <c r="BEC21" i="20"/>
  <c r="BED21" i="20"/>
  <c r="BEE21" i="20"/>
  <c r="BEF21" i="20"/>
  <c r="BEG21" i="20"/>
  <c r="BEH21" i="20"/>
  <c r="BEI21" i="20"/>
  <c r="BEJ21" i="20"/>
  <c r="BEK21" i="20"/>
  <c r="BEL21" i="20"/>
  <c r="BEM21" i="20"/>
  <c r="BEN21" i="20"/>
  <c r="BEO21" i="20"/>
  <c r="BEP21" i="20"/>
  <c r="BEQ21" i="20"/>
  <c r="BER21" i="20"/>
  <c r="BES21" i="20"/>
  <c r="BET21" i="20"/>
  <c r="BEU21" i="20"/>
  <c r="BEV21" i="20"/>
  <c r="BEW21" i="20"/>
  <c r="BEX21" i="20"/>
  <c r="BEY21" i="20"/>
  <c r="BEZ21" i="20"/>
  <c r="BFA21" i="20"/>
  <c r="BFB21" i="20"/>
  <c r="BFC21" i="20"/>
  <c r="BFD21" i="20"/>
  <c r="BFE21" i="20"/>
  <c r="BFF21" i="20"/>
  <c r="BFG21" i="20"/>
  <c r="BFH21" i="20"/>
  <c r="BFI21" i="20"/>
  <c r="BFJ21" i="20"/>
  <c r="BFK21" i="20"/>
  <c r="BFL21" i="20"/>
  <c r="BFM21" i="20"/>
  <c r="BFN21" i="20"/>
  <c r="BFO21" i="20"/>
  <c r="BFP21" i="20"/>
  <c r="BFQ21" i="20"/>
  <c r="BFR21" i="20"/>
  <c r="BFS21" i="20"/>
  <c r="BFT21" i="20"/>
  <c r="BFU21" i="20"/>
  <c r="BFV21" i="20"/>
  <c r="BFW21" i="20"/>
  <c r="BFX21" i="20"/>
  <c r="BFY21" i="20"/>
  <c r="BFZ21" i="20"/>
  <c r="BGA21" i="20"/>
  <c r="BGB21" i="20"/>
  <c r="BGC21" i="20"/>
  <c r="BGD21" i="20"/>
  <c r="BGE21" i="20"/>
  <c r="BGF21" i="20"/>
  <c r="BGG21" i="20"/>
  <c r="BGH21" i="20"/>
  <c r="BGI21" i="20"/>
  <c r="BGJ21" i="20"/>
  <c r="BGK21" i="20"/>
  <c r="BGL21" i="20"/>
  <c r="BGM21" i="20"/>
  <c r="BGN21" i="20"/>
  <c r="BGO21" i="20"/>
  <c r="BGP21" i="20"/>
  <c r="BGQ21" i="20"/>
  <c r="BGR21" i="20"/>
  <c r="BGS21" i="20"/>
  <c r="BGT21" i="20"/>
  <c r="BGU21" i="20"/>
  <c r="BGV21" i="20"/>
  <c r="BGW21" i="20"/>
  <c r="BGX21" i="20"/>
  <c r="BGY21" i="20"/>
  <c r="BGZ21" i="20"/>
  <c r="BHA21" i="20"/>
  <c r="BHB21" i="20"/>
  <c r="BHC21" i="20"/>
  <c r="BHD21" i="20"/>
  <c r="BHE21" i="20"/>
  <c r="BHF21" i="20"/>
  <c r="BHG21" i="20"/>
  <c r="BHH21" i="20"/>
  <c r="BHI21" i="20"/>
  <c r="BHJ21" i="20"/>
  <c r="BHK21" i="20"/>
  <c r="BHL21" i="20"/>
  <c r="BHM21" i="20"/>
  <c r="BHN21" i="20"/>
  <c r="BHO21" i="20"/>
  <c r="BHP21" i="20"/>
  <c r="BHQ21" i="20"/>
  <c r="BHR21" i="20"/>
  <c r="BHS21" i="20"/>
  <c r="BHT21" i="20"/>
  <c r="BHU21" i="20"/>
  <c r="BHV21" i="20"/>
  <c r="BHW21" i="20"/>
  <c r="BHX21" i="20"/>
  <c r="BHY21" i="20"/>
  <c r="BHZ21" i="20"/>
  <c r="BIA21" i="20"/>
  <c r="BIB21" i="20"/>
  <c r="BIC21" i="20"/>
  <c r="BID21" i="20"/>
  <c r="BIE21" i="20"/>
  <c r="BIF21" i="20"/>
  <c r="BIG21" i="20"/>
  <c r="BIH21" i="20"/>
  <c r="BII21" i="20"/>
  <c r="BIJ21" i="20"/>
  <c r="BIK21" i="20"/>
  <c r="BIL21" i="20"/>
  <c r="BIM21" i="20"/>
  <c r="BIN21" i="20"/>
  <c r="BIO21" i="20"/>
  <c r="BIP21" i="20"/>
  <c r="BIQ21" i="20"/>
  <c r="BIR21" i="20"/>
  <c r="BIS21" i="20"/>
  <c r="BIT21" i="20"/>
  <c r="BIU21" i="20"/>
  <c r="BIV21" i="20"/>
  <c r="BIW21" i="20"/>
  <c r="BIX21" i="20"/>
  <c r="BIY21" i="20"/>
  <c r="BIZ21" i="20"/>
  <c r="BJA21" i="20"/>
  <c r="BJB21" i="20"/>
  <c r="BJC21" i="20"/>
  <c r="BJD21" i="20"/>
  <c r="BJE21" i="20"/>
  <c r="BJF21" i="20"/>
  <c r="BJG21" i="20"/>
  <c r="BJH21" i="20"/>
  <c r="BJI21" i="20"/>
  <c r="BJJ21" i="20"/>
  <c r="BJK21" i="20"/>
  <c r="BJL21" i="20"/>
  <c r="BJM21" i="20"/>
  <c r="BJN21" i="20"/>
  <c r="BJO21" i="20"/>
  <c r="BJP21" i="20"/>
  <c r="BJQ21" i="20"/>
  <c r="BJR21" i="20"/>
  <c r="BJS21" i="20"/>
  <c r="BJT21" i="20"/>
  <c r="BJU21" i="20"/>
  <c r="BJV21" i="20"/>
  <c r="BJW21" i="20"/>
  <c r="BJX21" i="20"/>
  <c r="BJY21" i="20"/>
  <c r="BJZ21" i="20"/>
  <c r="BKA21" i="20"/>
  <c r="BKB21" i="20"/>
  <c r="BKC21" i="20"/>
  <c r="BKD21" i="20"/>
  <c r="BKE21" i="20"/>
  <c r="BKF21" i="20"/>
  <c r="BKG21" i="20"/>
  <c r="BKH21" i="20"/>
  <c r="BKI21" i="20"/>
  <c r="BKJ21" i="20"/>
  <c r="BKK21" i="20"/>
  <c r="BKL21" i="20"/>
  <c r="BKM21" i="20"/>
  <c r="BKN21" i="20"/>
  <c r="BKO21" i="20"/>
  <c r="BKP21" i="20"/>
  <c r="BKQ21" i="20"/>
  <c r="BKR21" i="20"/>
  <c r="BKS21" i="20"/>
  <c r="BKT21" i="20"/>
  <c r="BKU21" i="20"/>
  <c r="BKV21" i="20"/>
  <c r="BKW21" i="20"/>
  <c r="BKX21" i="20"/>
  <c r="BKY21" i="20"/>
  <c r="BKZ21" i="20"/>
  <c r="BLA21" i="20"/>
  <c r="BLB21" i="20"/>
  <c r="BLC21" i="20"/>
  <c r="BLD21" i="20"/>
  <c r="BLE21" i="20"/>
  <c r="BLF21" i="20"/>
  <c r="BLG21" i="20"/>
  <c r="BLH21" i="20"/>
  <c r="BLI21" i="20"/>
  <c r="BLJ21" i="20"/>
  <c r="BLK21" i="20"/>
  <c r="BLL21" i="20"/>
  <c r="BLM21" i="20"/>
  <c r="BLN21" i="20"/>
  <c r="BLO21" i="20"/>
  <c r="BLP21" i="20"/>
  <c r="BLQ21" i="20"/>
  <c r="BLR21" i="20"/>
  <c r="BLS21" i="20"/>
  <c r="BLT21" i="20"/>
  <c r="BLU21" i="20"/>
  <c r="BLV21" i="20"/>
  <c r="BLW21" i="20"/>
  <c r="BLX21" i="20"/>
  <c r="BLY21" i="20"/>
  <c r="BLZ21" i="20"/>
  <c r="BMA21" i="20"/>
  <c r="BMB21" i="20"/>
  <c r="BMC21" i="20"/>
  <c r="BMD21" i="20"/>
  <c r="BME21" i="20"/>
  <c r="BMF21" i="20"/>
  <c r="BMG21" i="20"/>
  <c r="BMH21" i="20"/>
  <c r="BMI21" i="20"/>
  <c r="BMJ21" i="20"/>
  <c r="BMK21" i="20"/>
  <c r="BML21" i="20"/>
  <c r="BMM21" i="20"/>
  <c r="BMN21" i="20"/>
  <c r="BMO21" i="20"/>
  <c r="BMP21" i="20"/>
  <c r="BMQ21" i="20"/>
  <c r="BMR21" i="20"/>
  <c r="BMS21" i="20"/>
  <c r="BMT21" i="20"/>
  <c r="BMU21" i="20"/>
  <c r="BMV21" i="20"/>
  <c r="BMW21" i="20"/>
  <c r="BMX21" i="20"/>
  <c r="BMY21" i="20"/>
  <c r="BMZ21" i="20"/>
  <c r="BNA21" i="20"/>
  <c r="BNB21" i="20"/>
  <c r="BNC21" i="20"/>
  <c r="BND21" i="20"/>
  <c r="BNE21" i="20"/>
  <c r="BNF21" i="20"/>
  <c r="BNG21" i="20"/>
  <c r="BNH21" i="20"/>
  <c r="BNI21" i="20"/>
  <c r="BNJ21" i="20"/>
  <c r="BNK21" i="20"/>
  <c r="BNL21" i="20"/>
  <c r="BNM21" i="20"/>
  <c r="BNN21" i="20"/>
  <c r="BNO21" i="20"/>
  <c r="BNP21" i="20"/>
  <c r="BNQ21" i="20"/>
  <c r="BNR21" i="20"/>
  <c r="BNS21" i="20"/>
  <c r="BNT21" i="20"/>
  <c r="BNU21" i="20"/>
  <c r="BNV21" i="20"/>
  <c r="BNW21" i="20"/>
  <c r="BNX21" i="20"/>
  <c r="BNY21" i="20"/>
  <c r="BNZ21" i="20"/>
  <c r="BOA21" i="20"/>
  <c r="BOB21" i="20"/>
  <c r="BOC21" i="20"/>
  <c r="BOD21" i="20"/>
  <c r="BOE21" i="20"/>
  <c r="BOF21" i="20"/>
  <c r="BOG21" i="20"/>
  <c r="BOH21" i="20"/>
  <c r="BOI21" i="20"/>
  <c r="BOJ21" i="20"/>
  <c r="BOK21" i="20"/>
  <c r="BOL21" i="20"/>
  <c r="BOM21" i="20"/>
  <c r="BON21" i="20"/>
  <c r="BOO21" i="20"/>
  <c r="BOP21" i="20"/>
  <c r="BOQ21" i="20"/>
  <c r="BOR21" i="20"/>
  <c r="BOS21" i="20"/>
  <c r="BOT21" i="20"/>
  <c r="BOU21" i="20"/>
  <c r="BOV21" i="20"/>
  <c r="BOW21" i="20"/>
  <c r="BOX21" i="20"/>
  <c r="BOY21" i="20"/>
  <c r="BOZ21" i="20"/>
  <c r="BPA21" i="20"/>
  <c r="BPB21" i="20"/>
  <c r="BPC21" i="20"/>
  <c r="BPD21" i="20"/>
  <c r="BPE21" i="20"/>
  <c r="BPF21" i="20"/>
  <c r="BPG21" i="20"/>
  <c r="BPH21" i="20"/>
  <c r="BPI21" i="20"/>
  <c r="BPJ21" i="20"/>
  <c r="BPK21" i="20"/>
  <c r="BPL21" i="20"/>
  <c r="BPM21" i="20"/>
  <c r="BPN21" i="20"/>
  <c r="BPO21" i="20"/>
  <c r="BPP21" i="20"/>
  <c r="BPQ21" i="20"/>
  <c r="BPR21" i="20"/>
  <c r="BPS21" i="20"/>
  <c r="BPT21" i="20"/>
  <c r="BPU21" i="20"/>
  <c r="BPV21" i="20"/>
  <c r="BPW21" i="20"/>
  <c r="BPX21" i="20"/>
  <c r="BPY21" i="20"/>
  <c r="BPZ21" i="20"/>
  <c r="BQA21" i="20"/>
  <c r="BQB21" i="20"/>
  <c r="BQC21" i="20"/>
  <c r="BQD21" i="20"/>
  <c r="BQE21" i="20"/>
  <c r="BQF21" i="20"/>
  <c r="BQG21" i="20"/>
  <c r="BQH21" i="20"/>
  <c r="BQI21" i="20"/>
  <c r="BQJ21" i="20"/>
  <c r="BQK21" i="20"/>
  <c r="BQL21" i="20"/>
  <c r="BQM21" i="20"/>
  <c r="BQN21" i="20"/>
  <c r="BQO21" i="20"/>
  <c r="BQP21" i="20"/>
  <c r="BQQ21" i="20"/>
  <c r="BQR21" i="20"/>
  <c r="BQS21" i="20"/>
  <c r="BQT21" i="20"/>
  <c r="BQU21" i="20"/>
  <c r="BQV21" i="20"/>
  <c r="BQW21" i="20"/>
  <c r="BQX21" i="20"/>
  <c r="BQY21" i="20"/>
  <c r="BQZ21" i="20"/>
  <c r="BRA21" i="20"/>
  <c r="BRB21" i="20"/>
  <c r="BRC21" i="20"/>
  <c r="BRD21" i="20"/>
  <c r="BRE21" i="20"/>
  <c r="BRF21" i="20"/>
  <c r="BRG21" i="20"/>
  <c r="BRH21" i="20"/>
  <c r="BRI21" i="20"/>
  <c r="BRJ21" i="20"/>
  <c r="BRK21" i="20"/>
  <c r="BRL21" i="20"/>
  <c r="BRM21" i="20"/>
  <c r="BRN21" i="20"/>
  <c r="BRO21" i="20"/>
  <c r="BRP21" i="20"/>
  <c r="BRQ21" i="20"/>
  <c r="BRR21" i="20"/>
  <c r="BRS21" i="20"/>
  <c r="BRT21" i="20"/>
  <c r="BRU21" i="20"/>
  <c r="BRV21" i="20"/>
  <c r="BRW21" i="20"/>
  <c r="BRX21" i="20"/>
  <c r="BRY21" i="20"/>
  <c r="BRZ21" i="20"/>
  <c r="BSA21" i="20"/>
  <c r="BSB21" i="20"/>
  <c r="BSC21" i="20"/>
  <c r="BSD21" i="20"/>
  <c r="BSE21" i="20"/>
  <c r="BSF21" i="20"/>
  <c r="BSG21" i="20"/>
  <c r="BSH21" i="20"/>
  <c r="BSI21" i="20"/>
  <c r="BSJ21" i="20"/>
  <c r="BSK21" i="20"/>
  <c r="BSL21" i="20"/>
  <c r="BSM21" i="20"/>
  <c r="BSN21" i="20"/>
  <c r="BSO21" i="20"/>
  <c r="BSP21" i="20"/>
  <c r="BSQ21" i="20"/>
  <c r="BSR21" i="20"/>
  <c r="BSS21" i="20"/>
  <c r="BST21" i="20"/>
  <c r="BSU21" i="20"/>
  <c r="BSV21" i="20"/>
  <c r="BSW21" i="20"/>
  <c r="BSX21" i="20"/>
  <c r="BSY21" i="20"/>
  <c r="BSZ21" i="20"/>
  <c r="BTA21" i="20"/>
  <c r="BTB21" i="20"/>
  <c r="BTC21" i="20"/>
  <c r="BTD21" i="20"/>
  <c r="BTE21" i="20"/>
  <c r="BTF21" i="20"/>
  <c r="BTG21" i="20"/>
  <c r="BTH21" i="20"/>
  <c r="BTI21" i="20"/>
  <c r="BTJ21" i="20"/>
  <c r="BTK21" i="20"/>
  <c r="BTL21" i="20"/>
  <c r="BTM21" i="20"/>
  <c r="BTN21" i="20"/>
  <c r="BTO21" i="20"/>
  <c r="BTP21" i="20"/>
  <c r="BTQ21" i="20"/>
  <c r="BTR21" i="20"/>
  <c r="BTS21" i="20"/>
  <c r="BTT21" i="20"/>
  <c r="BTU21" i="20"/>
  <c r="BTV21" i="20"/>
  <c r="BTW21" i="20"/>
  <c r="BTX21" i="20"/>
  <c r="BTY21" i="20"/>
  <c r="BTZ21" i="20"/>
  <c r="BUA21" i="20"/>
  <c r="BUB21" i="20"/>
  <c r="BUC21" i="20"/>
  <c r="BUD21" i="20"/>
  <c r="BUE21" i="20"/>
  <c r="BUF21" i="20"/>
  <c r="BUG21" i="20"/>
  <c r="BUH21" i="20"/>
  <c r="BUI21" i="20"/>
  <c r="BUJ21" i="20"/>
  <c r="BUK21" i="20"/>
  <c r="BUL21" i="20"/>
  <c r="BUM21" i="20"/>
  <c r="BUN21" i="20"/>
  <c r="BUO21" i="20"/>
  <c r="BUP21" i="20"/>
  <c r="BUQ21" i="20"/>
  <c r="BUR21" i="20"/>
  <c r="BUS21" i="20"/>
  <c r="BUT21" i="20"/>
  <c r="BUU21" i="20"/>
  <c r="BUV21" i="20"/>
  <c r="BUW21" i="20"/>
  <c r="BUX21" i="20"/>
  <c r="BUY21" i="20"/>
  <c r="BUZ21" i="20"/>
  <c r="BVA21" i="20"/>
  <c r="BVB21" i="20"/>
  <c r="BVC21" i="20"/>
  <c r="BVD21" i="20"/>
  <c r="BVE21" i="20"/>
  <c r="BVF21" i="20"/>
  <c r="BVG21" i="20"/>
  <c r="BVH21" i="20"/>
  <c r="BVI21" i="20"/>
  <c r="BVJ21" i="20"/>
  <c r="BVK21" i="20"/>
  <c r="BVL21" i="20"/>
  <c r="BVM21" i="20"/>
  <c r="BVN21" i="20"/>
  <c r="BVO21" i="20"/>
  <c r="BVP21" i="20"/>
  <c r="BVQ21" i="20"/>
  <c r="BVR21" i="20"/>
  <c r="BVS21" i="20"/>
  <c r="BVT21" i="20"/>
  <c r="BVU21" i="20"/>
  <c r="BVV21" i="20"/>
  <c r="BVW21" i="20"/>
  <c r="BVX21" i="20"/>
  <c r="BVY21" i="20"/>
  <c r="BVZ21" i="20"/>
  <c r="BWA21" i="20"/>
  <c r="BWB21" i="20"/>
  <c r="BWC21" i="20"/>
  <c r="BWD21" i="20"/>
  <c r="BWE21" i="20"/>
  <c r="BWF21" i="20"/>
  <c r="BWG21" i="20"/>
  <c r="BWH21" i="20"/>
  <c r="BWI21" i="20"/>
  <c r="BWJ21" i="20"/>
  <c r="BWK21" i="20"/>
  <c r="BWL21" i="20"/>
  <c r="BWM21" i="20"/>
  <c r="BWN21" i="20"/>
  <c r="BWO21" i="20"/>
  <c r="BWP21" i="20"/>
  <c r="BWQ21" i="20"/>
  <c r="BWR21" i="20"/>
  <c r="BWS21" i="20"/>
  <c r="BWT21" i="20"/>
  <c r="BWU21" i="20"/>
  <c r="BWV21" i="20"/>
  <c r="BWW21" i="20"/>
  <c r="BWX21" i="20"/>
  <c r="BWY21" i="20"/>
  <c r="BWZ21" i="20"/>
  <c r="BXA21" i="20"/>
  <c r="BXB21" i="20"/>
  <c r="BXC21" i="20"/>
  <c r="BXD21" i="20"/>
  <c r="BXE21" i="20"/>
  <c r="BXF21" i="20"/>
  <c r="BXG21" i="20"/>
  <c r="BXH21" i="20"/>
  <c r="BXI21" i="20"/>
  <c r="BXJ21" i="20"/>
  <c r="BXK21" i="20"/>
  <c r="BXL21" i="20"/>
  <c r="BXM21" i="20"/>
  <c r="BXN21" i="20"/>
  <c r="BXO21" i="20"/>
  <c r="BXP21" i="20"/>
  <c r="BXQ21" i="20"/>
  <c r="BXR21" i="20"/>
  <c r="BXS21" i="20"/>
  <c r="BXT21" i="20"/>
  <c r="BXU21" i="20"/>
  <c r="BXV21" i="20"/>
  <c r="BXW21" i="20"/>
  <c r="BXX21" i="20"/>
  <c r="BXY21" i="20"/>
  <c r="BXZ21" i="20"/>
  <c r="BYA21" i="20"/>
  <c r="BYB21" i="20"/>
  <c r="BYC21" i="20"/>
  <c r="BYD21" i="20"/>
  <c r="BYE21" i="20"/>
  <c r="BYF21" i="20"/>
  <c r="BYG21" i="20"/>
  <c r="BYH21" i="20"/>
  <c r="BYI21" i="20"/>
  <c r="BYJ21" i="20"/>
  <c r="BYK21" i="20"/>
  <c r="BYL21" i="20"/>
  <c r="BYM21" i="20"/>
  <c r="BYN21" i="20"/>
  <c r="BYO21" i="20"/>
  <c r="BYP21" i="20"/>
  <c r="BYQ21" i="20"/>
  <c r="BYR21" i="20"/>
  <c r="BYS21" i="20"/>
  <c r="BYT21" i="20"/>
  <c r="BYU21" i="20"/>
  <c r="BYV21" i="20"/>
  <c r="BYW21" i="20"/>
  <c r="BYX21" i="20"/>
  <c r="BYY21" i="20"/>
  <c r="BYZ21" i="20"/>
  <c r="BZA21" i="20"/>
  <c r="BZB21" i="20"/>
  <c r="BZC21" i="20"/>
  <c r="BZD21" i="20"/>
  <c r="BZE21" i="20"/>
  <c r="BZF21" i="20"/>
  <c r="BZG21" i="20"/>
  <c r="BZH21" i="20"/>
  <c r="BZI21" i="20"/>
  <c r="BZJ21" i="20"/>
  <c r="BZK21" i="20"/>
  <c r="BZL21" i="20"/>
  <c r="BZM21" i="20"/>
  <c r="BZN21" i="20"/>
  <c r="BZO21" i="20"/>
  <c r="BZP21" i="20"/>
  <c r="BZQ21" i="20"/>
  <c r="BZR21" i="20"/>
  <c r="BZS21" i="20"/>
  <c r="BZT21" i="20"/>
  <c r="BZU21" i="20"/>
  <c r="BZV21" i="20"/>
  <c r="BZW21" i="20"/>
  <c r="BZX21" i="20"/>
  <c r="BZY21" i="20"/>
  <c r="BZZ21" i="20"/>
  <c r="CAA21" i="20"/>
  <c r="CAB21" i="20"/>
  <c r="CAC21" i="20"/>
  <c r="CAD21" i="20"/>
  <c r="CAE21" i="20"/>
  <c r="CAF21" i="20"/>
  <c r="CAG21" i="20"/>
  <c r="CAH21" i="20"/>
  <c r="CAI21" i="20"/>
  <c r="CAJ21" i="20"/>
  <c r="CAK21" i="20"/>
  <c r="CAL21" i="20"/>
  <c r="CAM21" i="20"/>
  <c r="CAN21" i="20"/>
  <c r="CAO21" i="20"/>
  <c r="CAP21" i="20"/>
  <c r="CAQ21" i="20"/>
  <c r="CAR21" i="20"/>
  <c r="CAS21" i="20"/>
  <c r="CAT21" i="20"/>
  <c r="CAU21" i="20"/>
  <c r="CAV21" i="20"/>
  <c r="CAW21" i="20"/>
  <c r="CAX21" i="20"/>
  <c r="CAY21" i="20"/>
  <c r="CAZ21" i="20"/>
  <c r="CBA21" i="20"/>
  <c r="CBB21" i="20"/>
  <c r="CBC21" i="20"/>
  <c r="CBD21" i="20"/>
  <c r="CBE21" i="20"/>
  <c r="CBF21" i="20"/>
  <c r="CBG21" i="20"/>
  <c r="CBH21" i="20"/>
  <c r="CBI21" i="20"/>
  <c r="CBJ21" i="20"/>
  <c r="CBK21" i="20"/>
  <c r="CBL21" i="20"/>
  <c r="CBM21" i="20"/>
  <c r="CBN21" i="20"/>
  <c r="CBO21" i="20"/>
  <c r="CBP21" i="20"/>
  <c r="CBQ21" i="20"/>
  <c r="CBR21" i="20"/>
  <c r="CBS21" i="20"/>
  <c r="CBT21" i="20"/>
  <c r="CBU21" i="20"/>
  <c r="CBV21" i="20"/>
  <c r="CBW21" i="20"/>
  <c r="CBX21" i="20"/>
  <c r="CBY21" i="20"/>
  <c r="CBZ21" i="20"/>
  <c r="CCA21" i="20"/>
  <c r="CCB21" i="20"/>
  <c r="CCC21" i="20"/>
  <c r="CCD21" i="20"/>
  <c r="CCE21" i="20"/>
  <c r="CCF21" i="20"/>
  <c r="CCG21" i="20"/>
  <c r="CCH21" i="20"/>
  <c r="CCI21" i="20"/>
  <c r="CCJ21" i="20"/>
  <c r="CCK21" i="20"/>
  <c r="CCL21" i="20"/>
  <c r="CCM21" i="20"/>
  <c r="CCN21" i="20"/>
  <c r="CCO21" i="20"/>
  <c r="CCP21" i="20"/>
  <c r="CCQ21" i="20"/>
  <c r="CCR21" i="20"/>
  <c r="CCS21" i="20"/>
  <c r="CCT21" i="20"/>
  <c r="CCU21" i="20"/>
  <c r="CCV21" i="20"/>
  <c r="CCW21" i="20"/>
  <c r="CCX21" i="20"/>
  <c r="CCY21" i="20"/>
  <c r="CCZ21" i="20"/>
  <c r="CDA21" i="20"/>
  <c r="CDB21" i="20"/>
  <c r="CDC21" i="20"/>
  <c r="CDD21" i="20"/>
  <c r="CDE21" i="20"/>
  <c r="CDF21" i="20"/>
  <c r="CDG21" i="20"/>
  <c r="CDH21" i="20"/>
  <c r="CDI21" i="20"/>
  <c r="CDJ21" i="20"/>
  <c r="CDK21" i="20"/>
  <c r="CDL21" i="20"/>
  <c r="CDM21" i="20"/>
  <c r="CDN21" i="20"/>
  <c r="CDO21" i="20"/>
  <c r="CDP21" i="20"/>
  <c r="CDQ21" i="20"/>
  <c r="CDR21" i="20"/>
  <c r="CDS21" i="20"/>
  <c r="CDT21" i="20"/>
  <c r="CDU21" i="20"/>
  <c r="CDV21" i="20"/>
  <c r="CDW21" i="20"/>
  <c r="CDX21" i="20"/>
  <c r="CDY21" i="20"/>
  <c r="CDZ21" i="20"/>
  <c r="CEA21" i="20"/>
  <c r="CEB21" i="20"/>
  <c r="CEC21" i="20"/>
  <c r="CED21" i="20"/>
  <c r="CEE21" i="20"/>
  <c r="CEF21" i="20"/>
  <c r="CEG21" i="20"/>
  <c r="CEH21" i="20"/>
  <c r="CEI21" i="20"/>
  <c r="CEJ21" i="20"/>
  <c r="CEK21" i="20"/>
  <c r="CEL21" i="20"/>
  <c r="CEM21" i="20"/>
  <c r="CEN21" i="20"/>
  <c r="CEO21" i="20"/>
  <c r="CEP21" i="20"/>
  <c r="CEQ21" i="20"/>
  <c r="CER21" i="20"/>
  <c r="CES21" i="20"/>
  <c r="CET21" i="20"/>
  <c r="CEU21" i="20"/>
  <c r="CEV21" i="20"/>
  <c r="CEW21" i="20"/>
  <c r="CEX21" i="20"/>
  <c r="CEY21" i="20"/>
  <c r="CEZ21" i="20"/>
  <c r="CFA21" i="20"/>
  <c r="CFB21" i="20"/>
  <c r="CFC21" i="20"/>
  <c r="CFD21" i="20"/>
  <c r="CFE21" i="20"/>
  <c r="CFF21" i="20"/>
  <c r="CFG21" i="20"/>
  <c r="CFH21" i="20"/>
  <c r="CFI21" i="20"/>
  <c r="CFJ21" i="20"/>
  <c r="CFK21" i="20"/>
  <c r="CFL21" i="20"/>
  <c r="CFM21" i="20"/>
  <c r="CFN21" i="20"/>
  <c r="CFO21" i="20"/>
  <c r="CFP21" i="20"/>
  <c r="CFQ21" i="20"/>
  <c r="CFR21" i="20"/>
  <c r="CFS21" i="20"/>
  <c r="CFT21" i="20"/>
  <c r="CFU21" i="20"/>
  <c r="CFV21" i="20"/>
  <c r="CFW21" i="20"/>
  <c r="CFX21" i="20"/>
  <c r="CFY21" i="20"/>
  <c r="CFZ21" i="20"/>
  <c r="CGA21" i="20"/>
  <c r="CGB21" i="20"/>
  <c r="CGC21" i="20"/>
  <c r="CGD21" i="20"/>
  <c r="CGE21" i="20"/>
  <c r="CGF21" i="20"/>
  <c r="CGG21" i="20"/>
  <c r="CGH21" i="20"/>
  <c r="CGI21" i="20"/>
  <c r="CGJ21" i="20"/>
  <c r="CGK21" i="20"/>
  <c r="CGL21" i="20"/>
  <c r="CGM21" i="20"/>
  <c r="CGN21" i="20"/>
  <c r="CGO21" i="20"/>
  <c r="CGP21" i="20"/>
  <c r="CGQ21" i="20"/>
  <c r="CGR21" i="20"/>
  <c r="CGS21" i="20"/>
  <c r="CGT21" i="20"/>
  <c r="CGU21" i="20"/>
  <c r="CGV21" i="20"/>
  <c r="CGW21" i="20"/>
  <c r="CGX21" i="20"/>
  <c r="CGY21" i="20"/>
  <c r="CGZ21" i="20"/>
  <c r="CHA21" i="20"/>
  <c r="CHB21" i="20"/>
  <c r="CHC21" i="20"/>
  <c r="CHD21" i="20"/>
  <c r="CHE21" i="20"/>
  <c r="CHF21" i="20"/>
  <c r="CHG21" i="20"/>
  <c r="CHH21" i="20"/>
  <c r="CHI21" i="20"/>
  <c r="CHJ21" i="20"/>
  <c r="CHK21" i="20"/>
  <c r="CHL21" i="20"/>
  <c r="CHM21" i="20"/>
  <c r="CHN21" i="20"/>
  <c r="CHO21" i="20"/>
  <c r="CHP21" i="20"/>
  <c r="CHQ21" i="20"/>
  <c r="CHR21" i="20"/>
  <c r="CHS21" i="20"/>
  <c r="CHT21" i="20"/>
  <c r="CHU21" i="20"/>
  <c r="CHV21" i="20"/>
  <c r="CHW21" i="20"/>
  <c r="CHX21" i="20"/>
  <c r="CHY21" i="20"/>
  <c r="CHZ21" i="20"/>
  <c r="CIA21" i="20"/>
  <c r="CIB21" i="20"/>
  <c r="CIC21" i="20"/>
  <c r="CID21" i="20"/>
  <c r="CIE21" i="20"/>
  <c r="CIF21" i="20"/>
  <c r="CIG21" i="20"/>
  <c r="CIH21" i="20"/>
  <c r="CII21" i="20"/>
  <c r="CIJ21" i="20"/>
  <c r="CIK21" i="20"/>
  <c r="CIL21" i="20"/>
  <c r="CIM21" i="20"/>
  <c r="CIN21" i="20"/>
  <c r="CIO21" i="20"/>
  <c r="CIP21" i="20"/>
  <c r="CIQ21" i="20"/>
  <c r="CIR21" i="20"/>
  <c r="CIS21" i="20"/>
  <c r="CIT21" i="20"/>
  <c r="CIU21" i="20"/>
  <c r="CIV21" i="20"/>
  <c r="CIW21" i="20"/>
  <c r="CIX21" i="20"/>
  <c r="CIY21" i="20"/>
  <c r="CIZ21" i="20"/>
  <c r="CJA21" i="20"/>
  <c r="CJB21" i="20"/>
  <c r="CJC21" i="20"/>
  <c r="CJD21" i="20"/>
  <c r="CJE21" i="20"/>
  <c r="CJF21" i="20"/>
  <c r="CJG21" i="20"/>
  <c r="CJH21" i="20"/>
  <c r="CJI21" i="20"/>
  <c r="CJJ21" i="20"/>
  <c r="CJK21" i="20"/>
  <c r="CJL21" i="20"/>
  <c r="CJM21" i="20"/>
  <c r="CJN21" i="20"/>
  <c r="CJO21" i="20"/>
  <c r="CJP21" i="20"/>
  <c r="CJQ21" i="20"/>
  <c r="CJR21" i="20"/>
  <c r="CJS21" i="20"/>
  <c r="CJT21" i="20"/>
  <c r="CJU21" i="20"/>
  <c r="CJV21" i="20"/>
  <c r="CJW21" i="20"/>
  <c r="CJX21" i="20"/>
  <c r="CJY21" i="20"/>
  <c r="CJZ21" i="20"/>
  <c r="CKA21" i="20"/>
  <c r="CKB21" i="20"/>
  <c r="CKC21" i="20"/>
  <c r="CKD21" i="20"/>
  <c r="CKE21" i="20"/>
  <c r="CKF21" i="20"/>
  <c r="CKG21" i="20"/>
  <c r="CKH21" i="20"/>
  <c r="CKI21" i="20"/>
  <c r="CKJ21" i="20"/>
  <c r="CKK21" i="20"/>
  <c r="CKL21" i="20"/>
  <c r="CKM21" i="20"/>
  <c r="CKN21" i="20"/>
  <c r="CKO21" i="20"/>
  <c r="CKP21" i="20"/>
  <c r="CKQ21" i="20"/>
  <c r="CKR21" i="20"/>
  <c r="CKS21" i="20"/>
  <c r="CKT21" i="20"/>
  <c r="CKU21" i="20"/>
  <c r="CKV21" i="20"/>
  <c r="CKW21" i="20"/>
  <c r="CKX21" i="20"/>
  <c r="CKY21" i="20"/>
  <c r="CKZ21" i="20"/>
  <c r="CLA21" i="20"/>
  <c r="CLB21" i="20"/>
  <c r="CLC21" i="20"/>
  <c r="CLD21" i="20"/>
  <c r="CLE21" i="20"/>
  <c r="CLF21" i="20"/>
  <c r="CLG21" i="20"/>
  <c r="CLH21" i="20"/>
  <c r="CLI21" i="20"/>
  <c r="CLJ21" i="20"/>
  <c r="CLK21" i="20"/>
  <c r="CLL21" i="20"/>
  <c r="CLM21" i="20"/>
  <c r="CLN21" i="20"/>
  <c r="CLO21" i="20"/>
  <c r="CLP21" i="20"/>
  <c r="CLQ21" i="20"/>
  <c r="CLR21" i="20"/>
  <c r="CLS21" i="20"/>
  <c r="CLT21" i="20"/>
  <c r="CLU21" i="20"/>
  <c r="CLV21" i="20"/>
  <c r="CLW21" i="20"/>
  <c r="CLX21" i="20"/>
  <c r="CLY21" i="20"/>
  <c r="CLZ21" i="20"/>
  <c r="CMA21" i="20"/>
  <c r="CMB21" i="20"/>
  <c r="CMC21" i="20"/>
  <c r="CMD21" i="20"/>
  <c r="CME21" i="20"/>
  <c r="CMF21" i="20"/>
  <c r="CMG21" i="20"/>
  <c r="CMH21" i="20"/>
  <c r="CMI21" i="20"/>
  <c r="CMJ21" i="20"/>
  <c r="CMK21" i="20"/>
  <c r="CML21" i="20"/>
  <c r="CMM21" i="20"/>
  <c r="CMN21" i="20"/>
  <c r="CMO21" i="20"/>
  <c r="CMP21" i="20"/>
  <c r="CMQ21" i="20"/>
  <c r="CMR21" i="20"/>
  <c r="CMS21" i="20"/>
  <c r="CMT21" i="20"/>
  <c r="CMU21" i="20"/>
  <c r="CMV21" i="20"/>
  <c r="CMW21" i="20"/>
  <c r="CMX21" i="20"/>
  <c r="CMY21" i="20"/>
  <c r="CMZ21" i="20"/>
  <c r="CNA21" i="20"/>
  <c r="CNB21" i="20"/>
  <c r="CNC21" i="20"/>
  <c r="CND21" i="20"/>
  <c r="CNE21" i="20"/>
  <c r="CNF21" i="20"/>
  <c r="CNG21" i="20"/>
  <c r="CNH21" i="20"/>
  <c r="CNI21" i="20"/>
  <c r="CNJ21" i="20"/>
  <c r="CNK21" i="20"/>
  <c r="CNL21" i="20"/>
  <c r="CNM21" i="20"/>
  <c r="CNN21" i="20"/>
  <c r="CNO21" i="20"/>
  <c r="CNP21" i="20"/>
  <c r="CNQ21" i="20"/>
  <c r="CNR21" i="20"/>
  <c r="CNS21" i="20"/>
  <c r="CNT21" i="20"/>
  <c r="CNU21" i="20"/>
  <c r="CNV21" i="20"/>
  <c r="CNW21" i="20"/>
  <c r="CNX21" i="20"/>
  <c r="CNY21" i="20"/>
  <c r="CNZ21" i="20"/>
  <c r="COA21" i="20"/>
  <c r="COB21" i="20"/>
  <c r="COC21" i="20"/>
  <c r="COD21" i="20"/>
  <c r="COE21" i="20"/>
  <c r="COF21" i="20"/>
  <c r="COG21" i="20"/>
  <c r="COH21" i="20"/>
  <c r="COI21" i="20"/>
  <c r="COJ21" i="20"/>
  <c r="COK21" i="20"/>
  <c r="COL21" i="20"/>
  <c r="COM21" i="20"/>
  <c r="CON21" i="20"/>
  <c r="COO21" i="20"/>
  <c r="COP21" i="20"/>
  <c r="COQ21" i="20"/>
  <c r="COR21" i="20"/>
  <c r="COS21" i="20"/>
  <c r="COT21" i="20"/>
  <c r="COU21" i="20"/>
  <c r="COV21" i="20"/>
  <c r="COW21" i="20"/>
  <c r="COX21" i="20"/>
  <c r="COY21" i="20"/>
  <c r="COZ21" i="20"/>
  <c r="CPA21" i="20"/>
  <c r="CPB21" i="20"/>
  <c r="CPC21" i="20"/>
  <c r="CPD21" i="20"/>
  <c r="CPE21" i="20"/>
  <c r="CPF21" i="20"/>
  <c r="CPG21" i="20"/>
  <c r="CPH21" i="20"/>
  <c r="CPI21" i="20"/>
  <c r="CPJ21" i="20"/>
  <c r="CPK21" i="20"/>
  <c r="CPL21" i="20"/>
  <c r="CPM21" i="20"/>
  <c r="CPN21" i="20"/>
  <c r="CPO21" i="20"/>
  <c r="CPP21" i="20"/>
  <c r="CPQ21" i="20"/>
  <c r="CPR21" i="20"/>
  <c r="CPS21" i="20"/>
  <c r="CPT21" i="20"/>
  <c r="CPU21" i="20"/>
  <c r="CPV21" i="20"/>
  <c r="CPW21" i="20"/>
  <c r="CPX21" i="20"/>
  <c r="CPY21" i="20"/>
  <c r="CPZ21" i="20"/>
  <c r="CQA21" i="20"/>
  <c r="CQB21" i="20"/>
  <c r="CQC21" i="20"/>
  <c r="CQD21" i="20"/>
  <c r="CQE21" i="20"/>
  <c r="CQF21" i="20"/>
  <c r="CQG21" i="20"/>
  <c r="CQH21" i="20"/>
  <c r="CQI21" i="20"/>
  <c r="CQJ21" i="20"/>
  <c r="CQK21" i="20"/>
  <c r="CQL21" i="20"/>
  <c r="CQM21" i="20"/>
  <c r="CQN21" i="20"/>
  <c r="CQO21" i="20"/>
  <c r="CQP21" i="20"/>
  <c r="CQQ21" i="20"/>
  <c r="CQR21" i="20"/>
  <c r="CQS21" i="20"/>
  <c r="CQT21" i="20"/>
  <c r="CQU21" i="20"/>
  <c r="CQV21" i="20"/>
  <c r="CQW21" i="20"/>
  <c r="CQX21" i="20"/>
  <c r="CQY21" i="20"/>
  <c r="CQZ21" i="20"/>
  <c r="CRA21" i="20"/>
  <c r="CRB21" i="20"/>
  <c r="CRC21" i="20"/>
  <c r="CRD21" i="20"/>
  <c r="CRE21" i="20"/>
  <c r="CRF21" i="20"/>
  <c r="CRG21" i="20"/>
  <c r="CRH21" i="20"/>
  <c r="CRI21" i="20"/>
  <c r="CRJ21" i="20"/>
  <c r="CRK21" i="20"/>
  <c r="CRL21" i="20"/>
  <c r="CRM21" i="20"/>
  <c r="CRN21" i="20"/>
  <c r="CRO21" i="20"/>
  <c r="CRP21" i="20"/>
  <c r="CRQ21" i="20"/>
  <c r="CRR21" i="20"/>
  <c r="CRS21" i="20"/>
  <c r="CRT21" i="20"/>
  <c r="CRU21" i="20"/>
  <c r="CRV21" i="20"/>
  <c r="CRW21" i="20"/>
  <c r="CRX21" i="20"/>
  <c r="CRY21" i="20"/>
  <c r="CRZ21" i="20"/>
  <c r="CSA21" i="20"/>
  <c r="CSB21" i="20"/>
  <c r="CSC21" i="20"/>
  <c r="CSD21" i="20"/>
  <c r="CSE21" i="20"/>
  <c r="CSF21" i="20"/>
  <c r="CSG21" i="20"/>
  <c r="CSH21" i="20"/>
  <c r="CSI21" i="20"/>
  <c r="CSJ21" i="20"/>
  <c r="CSK21" i="20"/>
  <c r="CSL21" i="20"/>
  <c r="CSM21" i="20"/>
  <c r="CSN21" i="20"/>
  <c r="CSO21" i="20"/>
  <c r="CSP21" i="20"/>
  <c r="CSQ21" i="20"/>
  <c r="CSR21" i="20"/>
  <c r="CSS21" i="20"/>
  <c r="CST21" i="20"/>
  <c r="CSU21" i="20"/>
  <c r="CSV21" i="20"/>
  <c r="CSW21" i="20"/>
  <c r="CSX21" i="20"/>
  <c r="CSY21" i="20"/>
  <c r="CSZ21" i="20"/>
  <c r="CTA21" i="20"/>
  <c r="CTB21" i="20"/>
  <c r="CTC21" i="20"/>
  <c r="CTD21" i="20"/>
  <c r="CTE21" i="20"/>
  <c r="CTF21" i="20"/>
  <c r="CTG21" i="20"/>
  <c r="CTH21" i="20"/>
  <c r="CTI21" i="20"/>
  <c r="CTJ21" i="20"/>
  <c r="CTK21" i="20"/>
  <c r="CTL21" i="20"/>
  <c r="CTM21" i="20"/>
  <c r="CTN21" i="20"/>
  <c r="CTO21" i="20"/>
  <c r="CTP21" i="20"/>
  <c r="CTQ21" i="20"/>
  <c r="CTR21" i="20"/>
  <c r="CTS21" i="20"/>
  <c r="CTT21" i="20"/>
  <c r="CTU21" i="20"/>
  <c r="CTV21" i="20"/>
  <c r="CTW21" i="20"/>
  <c r="CTX21" i="20"/>
  <c r="CTY21" i="20"/>
  <c r="CTZ21" i="20"/>
  <c r="CUA21" i="20"/>
  <c r="CUB21" i="20"/>
  <c r="CUC21" i="20"/>
  <c r="CUD21" i="20"/>
  <c r="CUE21" i="20"/>
  <c r="CUF21" i="20"/>
  <c r="CUG21" i="20"/>
  <c r="CUH21" i="20"/>
  <c r="CUI21" i="20"/>
  <c r="CUJ21" i="20"/>
  <c r="CUK21" i="20"/>
  <c r="CUL21" i="20"/>
  <c r="CUM21" i="20"/>
  <c r="CUN21" i="20"/>
  <c r="CUO21" i="20"/>
  <c r="CUP21" i="20"/>
  <c r="CUQ21" i="20"/>
  <c r="CUR21" i="20"/>
  <c r="CUS21" i="20"/>
  <c r="CUT21" i="20"/>
  <c r="CUU21" i="20"/>
  <c r="CUV21" i="20"/>
  <c r="CUW21" i="20"/>
  <c r="CUX21" i="20"/>
  <c r="CUY21" i="20"/>
  <c r="CUZ21" i="20"/>
  <c r="CVA21" i="20"/>
  <c r="CVB21" i="20"/>
  <c r="CVC21" i="20"/>
  <c r="CVD21" i="20"/>
  <c r="CVE21" i="20"/>
  <c r="CVF21" i="20"/>
  <c r="CVG21" i="20"/>
  <c r="CVH21" i="20"/>
  <c r="CVI21" i="20"/>
  <c r="CVJ21" i="20"/>
  <c r="CVK21" i="20"/>
  <c r="CVL21" i="20"/>
  <c r="CVM21" i="20"/>
  <c r="CVN21" i="20"/>
  <c r="CVO21" i="20"/>
  <c r="CVP21" i="20"/>
  <c r="CVQ21" i="20"/>
  <c r="CVR21" i="20"/>
  <c r="CVS21" i="20"/>
  <c r="CVT21" i="20"/>
  <c r="CVU21" i="20"/>
  <c r="CVV21" i="20"/>
  <c r="CVW21" i="20"/>
  <c r="CVX21" i="20"/>
  <c r="CVY21" i="20"/>
  <c r="CVZ21" i="20"/>
  <c r="CWA21" i="20"/>
  <c r="CWB21" i="20"/>
  <c r="CWC21" i="20"/>
  <c r="CWD21" i="20"/>
  <c r="CWE21" i="20"/>
  <c r="CWF21" i="20"/>
  <c r="CWG21" i="20"/>
  <c r="CWH21" i="20"/>
  <c r="CWI21" i="20"/>
  <c r="CWJ21" i="20"/>
  <c r="CWK21" i="20"/>
  <c r="CWL21" i="20"/>
  <c r="CWM21" i="20"/>
  <c r="CWN21" i="20"/>
  <c r="CWO21" i="20"/>
  <c r="CWP21" i="20"/>
  <c r="CWQ21" i="20"/>
  <c r="CWR21" i="20"/>
  <c r="CWS21" i="20"/>
  <c r="CWT21" i="20"/>
  <c r="CWU21" i="20"/>
  <c r="CWV21" i="20"/>
  <c r="CWW21" i="20"/>
  <c r="CWX21" i="20"/>
  <c r="CWY21" i="20"/>
  <c r="CWZ21" i="20"/>
  <c r="CXA21" i="20"/>
  <c r="CXB21" i="20"/>
  <c r="CXC21" i="20"/>
  <c r="CXD21" i="20"/>
  <c r="CXE21" i="20"/>
  <c r="CXF21" i="20"/>
  <c r="CXG21" i="20"/>
  <c r="CXH21" i="20"/>
  <c r="CXI21" i="20"/>
  <c r="CXJ21" i="20"/>
  <c r="CXK21" i="20"/>
  <c r="CXL21" i="20"/>
  <c r="CXM21" i="20"/>
  <c r="CXN21" i="20"/>
  <c r="CXO21" i="20"/>
  <c r="CXP21" i="20"/>
  <c r="CXQ21" i="20"/>
  <c r="CXR21" i="20"/>
  <c r="CXS21" i="20"/>
  <c r="CXT21" i="20"/>
  <c r="CXU21" i="20"/>
  <c r="CXV21" i="20"/>
  <c r="CXW21" i="20"/>
  <c r="CXX21" i="20"/>
  <c r="CXY21" i="20"/>
  <c r="CXZ21" i="20"/>
  <c r="CYA21" i="20"/>
  <c r="CYB21" i="20"/>
  <c r="CYC21" i="20"/>
  <c r="CYD21" i="20"/>
  <c r="CYE21" i="20"/>
  <c r="CYF21" i="20"/>
  <c r="CYG21" i="20"/>
  <c r="CYH21" i="20"/>
  <c r="CYI21" i="20"/>
  <c r="CYJ21" i="20"/>
  <c r="CYK21" i="20"/>
  <c r="CYL21" i="20"/>
  <c r="CYM21" i="20"/>
  <c r="CYN21" i="20"/>
  <c r="CYO21" i="20"/>
  <c r="CYP21" i="20"/>
  <c r="CYQ21" i="20"/>
  <c r="CYR21" i="20"/>
  <c r="CYS21" i="20"/>
  <c r="CYT21" i="20"/>
  <c r="CYU21" i="20"/>
  <c r="CYV21" i="20"/>
  <c r="CYW21" i="20"/>
  <c r="CYX21" i="20"/>
  <c r="CYY21" i="20"/>
  <c r="CYZ21" i="20"/>
  <c r="CZA21" i="20"/>
  <c r="CZB21" i="20"/>
  <c r="CZC21" i="20"/>
  <c r="CZD21" i="20"/>
  <c r="CZE21" i="20"/>
  <c r="CZF21" i="20"/>
  <c r="CZG21" i="20"/>
  <c r="CZH21" i="20"/>
  <c r="CZI21" i="20"/>
  <c r="CZJ21" i="20"/>
  <c r="CZK21" i="20"/>
  <c r="CZL21" i="20"/>
  <c r="CZM21" i="20"/>
  <c r="CZN21" i="20"/>
  <c r="CZO21" i="20"/>
  <c r="CZP21" i="20"/>
  <c r="CZQ21" i="20"/>
  <c r="CZR21" i="20"/>
  <c r="CZS21" i="20"/>
  <c r="CZT21" i="20"/>
  <c r="CZU21" i="20"/>
  <c r="CZV21" i="20"/>
  <c r="CZW21" i="20"/>
  <c r="CZX21" i="20"/>
  <c r="CZY21" i="20"/>
  <c r="CZZ21" i="20"/>
  <c r="DAA21" i="20"/>
  <c r="DAB21" i="20"/>
  <c r="DAC21" i="20"/>
  <c r="DAD21" i="20"/>
  <c r="DAE21" i="20"/>
  <c r="DAF21" i="20"/>
  <c r="DAG21" i="20"/>
  <c r="DAH21" i="20"/>
  <c r="DAI21" i="20"/>
  <c r="DAJ21" i="20"/>
  <c r="DAK21" i="20"/>
  <c r="DAL21" i="20"/>
  <c r="DAM21" i="20"/>
  <c r="DAN21" i="20"/>
  <c r="DAO21" i="20"/>
  <c r="DAP21" i="20"/>
  <c r="DAQ21" i="20"/>
  <c r="DAR21" i="20"/>
  <c r="DAS21" i="20"/>
  <c r="DAT21" i="20"/>
  <c r="DAU21" i="20"/>
  <c r="DAV21" i="20"/>
  <c r="DAW21" i="20"/>
  <c r="DAX21" i="20"/>
  <c r="DAY21" i="20"/>
  <c r="DAZ21" i="20"/>
  <c r="DBA21" i="20"/>
  <c r="DBB21" i="20"/>
  <c r="DBC21" i="20"/>
  <c r="DBD21" i="20"/>
  <c r="DBE21" i="20"/>
  <c r="DBF21" i="20"/>
  <c r="DBG21" i="20"/>
  <c r="DBH21" i="20"/>
  <c r="DBI21" i="20"/>
  <c r="DBJ21" i="20"/>
  <c r="DBK21" i="20"/>
  <c r="DBL21" i="20"/>
  <c r="DBM21" i="20"/>
  <c r="DBN21" i="20"/>
  <c r="DBO21" i="20"/>
  <c r="DBP21" i="20"/>
  <c r="DBQ21" i="20"/>
  <c r="DBR21" i="20"/>
  <c r="DBS21" i="20"/>
  <c r="DBT21" i="20"/>
  <c r="DBU21" i="20"/>
  <c r="DBV21" i="20"/>
  <c r="DBW21" i="20"/>
  <c r="DBX21" i="20"/>
  <c r="DBY21" i="20"/>
  <c r="DBZ21" i="20"/>
  <c r="DCA21" i="20"/>
  <c r="DCB21" i="20"/>
  <c r="DCC21" i="20"/>
  <c r="DCD21" i="20"/>
  <c r="DCE21" i="20"/>
  <c r="DCF21" i="20"/>
  <c r="DCG21" i="20"/>
  <c r="DCH21" i="20"/>
  <c r="DCI21" i="20"/>
  <c r="DCJ21" i="20"/>
  <c r="DCK21" i="20"/>
  <c r="DCL21" i="20"/>
  <c r="DCM21" i="20"/>
  <c r="DCN21" i="20"/>
  <c r="DCO21" i="20"/>
  <c r="DCP21" i="20"/>
  <c r="DCQ21" i="20"/>
  <c r="DCR21" i="20"/>
  <c r="DCS21" i="20"/>
  <c r="DCT21" i="20"/>
  <c r="DCU21" i="20"/>
  <c r="DCV21" i="20"/>
  <c r="DCW21" i="20"/>
  <c r="DCX21" i="20"/>
  <c r="DCY21" i="20"/>
  <c r="DCZ21" i="20"/>
  <c r="DDA21" i="20"/>
  <c r="DDB21" i="20"/>
  <c r="DDC21" i="20"/>
  <c r="DDD21" i="20"/>
  <c r="DDE21" i="20"/>
  <c r="DDF21" i="20"/>
  <c r="DDG21" i="20"/>
  <c r="DDH21" i="20"/>
  <c r="DDI21" i="20"/>
  <c r="AAE22" i="20"/>
  <c r="AAF22" i="20"/>
  <c r="AAG22" i="20"/>
  <c r="AAH22" i="20"/>
  <c r="AAI22" i="20"/>
  <c r="AAJ22" i="20"/>
  <c r="AAK22" i="20"/>
  <c r="AAL22" i="20"/>
  <c r="AAM22" i="20"/>
  <c r="AAN22" i="20"/>
  <c r="AAO22" i="20"/>
  <c r="AAP22" i="20"/>
  <c r="AAQ22" i="20"/>
  <c r="AAR22" i="20"/>
  <c r="AAS22" i="20"/>
  <c r="AAT22" i="20"/>
  <c r="AAU22" i="20"/>
  <c r="AAV22" i="20"/>
  <c r="AAW22" i="20"/>
  <c r="AAX22" i="20"/>
  <c r="AAY22" i="20"/>
  <c r="AAZ22" i="20"/>
  <c r="ABA22" i="20"/>
  <c r="ABB22" i="20"/>
  <c r="ABC22" i="20"/>
  <c r="ABD22" i="20"/>
  <c r="ABE22" i="20"/>
  <c r="ABF22" i="20"/>
  <c r="ABG22" i="20"/>
  <c r="ABH22" i="20"/>
  <c r="ABI22" i="20"/>
  <c r="ABJ22" i="20"/>
  <c r="ABK22" i="20"/>
  <c r="ABL22" i="20"/>
  <c r="ABM22" i="20"/>
  <c r="ABN22" i="20"/>
  <c r="ABO22" i="20"/>
  <c r="ABP22" i="20"/>
  <c r="ABQ22" i="20"/>
  <c r="ABR22" i="20"/>
  <c r="ABS22" i="20"/>
  <c r="ABT22" i="20"/>
  <c r="ABU22" i="20"/>
  <c r="ABV22" i="20"/>
  <c r="ABW22" i="20"/>
  <c r="ABX22" i="20"/>
  <c r="ABY22" i="20"/>
  <c r="ABZ22" i="20"/>
  <c r="ACA22" i="20"/>
  <c r="ACB22" i="20"/>
  <c r="ACC22" i="20"/>
  <c r="ACD22" i="20"/>
  <c r="ACE22" i="20"/>
  <c r="ACF22" i="20"/>
  <c r="ACG22" i="20"/>
  <c r="ACH22" i="20"/>
  <c r="ACI22" i="20"/>
  <c r="ACJ22" i="20"/>
  <c r="ACK22" i="20"/>
  <c r="ACL22" i="20"/>
  <c r="ACM22" i="20"/>
  <c r="ACN22" i="20"/>
  <c r="ACO22" i="20"/>
  <c r="ACP22" i="20"/>
  <c r="ACQ22" i="20"/>
  <c r="ACR22" i="20"/>
  <c r="ACS22" i="20"/>
  <c r="ACT22" i="20"/>
  <c r="ACU22" i="20"/>
  <c r="ACV22" i="20"/>
  <c r="ACW22" i="20"/>
  <c r="ACX22" i="20"/>
  <c r="ACY22" i="20"/>
  <c r="ACZ22" i="20"/>
  <c r="ADA22" i="20"/>
  <c r="ADB22" i="20"/>
  <c r="ADC22" i="20"/>
  <c r="ADD22" i="20"/>
  <c r="ADE22" i="20"/>
  <c r="ADF22" i="20"/>
  <c r="ADG22" i="20"/>
  <c r="ADH22" i="20"/>
  <c r="ADI22" i="20"/>
  <c r="ADJ22" i="20"/>
  <c r="ADK22" i="20"/>
  <c r="ADL22" i="20"/>
  <c r="ADM22" i="20"/>
  <c r="ADN22" i="20"/>
  <c r="ADO22" i="20"/>
  <c r="ADP22" i="20"/>
  <c r="ADQ22" i="20"/>
  <c r="ADR22" i="20"/>
  <c r="ADS22" i="20"/>
  <c r="ADT22" i="20"/>
  <c r="ADU22" i="20"/>
  <c r="ADV22" i="20"/>
  <c r="ADW22" i="20"/>
  <c r="ADX22" i="20"/>
  <c r="ADY22" i="20"/>
  <c r="ADZ22" i="20"/>
  <c r="AEA22" i="20"/>
  <c r="AEB22" i="20"/>
  <c r="AEC22" i="20"/>
  <c r="AED22" i="20"/>
  <c r="AEE22" i="20"/>
  <c r="AEF22" i="20"/>
  <c r="AEG22" i="20"/>
  <c r="AEH22" i="20"/>
  <c r="AEI22" i="20"/>
  <c r="AEJ22" i="20"/>
  <c r="AEK22" i="20"/>
  <c r="AEL22" i="20"/>
  <c r="AEM22" i="20"/>
  <c r="AEN22" i="20"/>
  <c r="AEO22" i="20"/>
  <c r="AEP22" i="20"/>
  <c r="AEQ22" i="20"/>
  <c r="AER22" i="20"/>
  <c r="AES22" i="20"/>
  <c r="AET22" i="20"/>
  <c r="AEU22" i="20"/>
  <c r="AEV22" i="20"/>
  <c r="AEW22" i="20"/>
  <c r="AEX22" i="20"/>
  <c r="AEY22" i="20"/>
  <c r="AEZ22" i="20"/>
  <c r="AFA22" i="20"/>
  <c r="AFB22" i="20"/>
  <c r="AFC22" i="20"/>
  <c r="AFD22" i="20"/>
  <c r="AFE22" i="20"/>
  <c r="AFF22" i="20"/>
  <c r="AFG22" i="20"/>
  <c r="AFH22" i="20"/>
  <c r="AFI22" i="20"/>
  <c r="AFJ22" i="20"/>
  <c r="AFK22" i="20"/>
  <c r="AFL22" i="20"/>
  <c r="AFM22" i="20"/>
  <c r="AFN22" i="20"/>
  <c r="AFO22" i="20"/>
  <c r="AFP22" i="20"/>
  <c r="AFQ22" i="20"/>
  <c r="AFR22" i="20"/>
  <c r="AFS22" i="20"/>
  <c r="AFT22" i="20"/>
  <c r="AFU22" i="20"/>
  <c r="AFV22" i="20"/>
  <c r="AFW22" i="20"/>
  <c r="AFX22" i="20"/>
  <c r="AFY22" i="20"/>
  <c r="AFZ22" i="20"/>
  <c r="AGA22" i="20"/>
  <c r="AGB22" i="20"/>
  <c r="AGC22" i="20"/>
  <c r="AGD22" i="20"/>
  <c r="AGE22" i="20"/>
  <c r="AGF22" i="20"/>
  <c r="AGG22" i="20"/>
  <c r="AGH22" i="20"/>
  <c r="AGI22" i="20"/>
  <c r="AGJ22" i="20"/>
  <c r="AGK22" i="20"/>
  <c r="AGL22" i="20"/>
  <c r="AGM22" i="20"/>
  <c r="AGN22" i="20"/>
  <c r="AGO22" i="20"/>
  <c r="AGP22" i="20"/>
  <c r="AGQ22" i="20"/>
  <c r="AGR22" i="20"/>
  <c r="AGS22" i="20"/>
  <c r="AGT22" i="20"/>
  <c r="AGU22" i="20"/>
  <c r="AGV22" i="20"/>
  <c r="AGW22" i="20"/>
  <c r="AGX22" i="20"/>
  <c r="AGY22" i="20"/>
  <c r="AGZ22" i="20"/>
  <c r="AHA22" i="20"/>
  <c r="AHB22" i="20"/>
  <c r="AHC22" i="20"/>
  <c r="AHD22" i="20"/>
  <c r="AHE22" i="20"/>
  <c r="AHF22" i="20"/>
  <c r="AHG22" i="20"/>
  <c r="AHH22" i="20"/>
  <c r="AHI22" i="20"/>
  <c r="AHJ22" i="20"/>
  <c r="AHK22" i="20"/>
  <c r="AHL22" i="20"/>
  <c r="AHM22" i="20"/>
  <c r="AHN22" i="20"/>
  <c r="AHO22" i="20"/>
  <c r="AHP22" i="20"/>
  <c r="AHQ22" i="20"/>
  <c r="AHR22" i="20"/>
  <c r="AHS22" i="20"/>
  <c r="AHT22" i="20"/>
  <c r="AHU22" i="20"/>
  <c r="AHV22" i="20"/>
  <c r="AHW22" i="20"/>
  <c r="AHX22" i="20"/>
  <c r="AHY22" i="20"/>
  <c r="AHZ22" i="20"/>
  <c r="AIA22" i="20"/>
  <c r="AIB22" i="20"/>
  <c r="AIC22" i="20"/>
  <c r="AID22" i="20"/>
  <c r="AIE22" i="20"/>
  <c r="AIF22" i="20"/>
  <c r="AIG22" i="20"/>
  <c r="AIH22" i="20"/>
  <c r="AII22" i="20"/>
  <c r="AIJ22" i="20"/>
  <c r="AIK22" i="20"/>
  <c r="AIL22" i="20"/>
  <c r="AIM22" i="20"/>
  <c r="AIN22" i="20"/>
  <c r="AIO22" i="20"/>
  <c r="AIP22" i="20"/>
  <c r="AIQ22" i="20"/>
  <c r="AIR22" i="20"/>
  <c r="AIS22" i="20"/>
  <c r="AIT22" i="20"/>
  <c r="AIU22" i="20"/>
  <c r="AIV22" i="20"/>
  <c r="AIW22" i="20"/>
  <c r="AIX22" i="20"/>
  <c r="AIY22" i="20"/>
  <c r="AIZ22" i="20"/>
  <c r="AJA22" i="20"/>
  <c r="AJB22" i="20"/>
  <c r="AJC22" i="20"/>
  <c r="AJD22" i="20"/>
  <c r="AJE22" i="20"/>
  <c r="AJF22" i="20"/>
  <c r="AJG22" i="20"/>
  <c r="AJH22" i="20"/>
  <c r="AJI22" i="20"/>
  <c r="AJJ22" i="20"/>
  <c r="AJK22" i="20"/>
  <c r="AJL22" i="20"/>
  <c r="AJM22" i="20"/>
  <c r="AJN22" i="20"/>
  <c r="AJO22" i="20"/>
  <c r="AJP22" i="20"/>
  <c r="AJQ22" i="20"/>
  <c r="AJR22" i="20"/>
  <c r="AJS22" i="20"/>
  <c r="AJT22" i="20"/>
  <c r="AJU22" i="20"/>
  <c r="AJV22" i="20"/>
  <c r="AJW22" i="20"/>
  <c r="AJX22" i="20"/>
  <c r="AJY22" i="20"/>
  <c r="AJZ22" i="20"/>
  <c r="AKA22" i="20"/>
  <c r="AKB22" i="20"/>
  <c r="AKC22" i="20"/>
  <c r="AKD22" i="20"/>
  <c r="AKE22" i="20"/>
  <c r="AKF22" i="20"/>
  <c r="AKG22" i="20"/>
  <c r="AKH22" i="20"/>
  <c r="AKI22" i="20"/>
  <c r="AKJ22" i="20"/>
  <c r="AKK22" i="20"/>
  <c r="AKL22" i="20"/>
  <c r="AKM22" i="20"/>
  <c r="AKN22" i="20"/>
  <c r="AKO22" i="20"/>
  <c r="AKP22" i="20"/>
  <c r="AKQ22" i="20"/>
  <c r="AKR22" i="20"/>
  <c r="AKS22" i="20"/>
  <c r="AKT22" i="20"/>
  <c r="AKU22" i="20"/>
  <c r="AKV22" i="20"/>
  <c r="AKW22" i="20"/>
  <c r="AKX22" i="20"/>
  <c r="AKY22" i="20"/>
  <c r="AKZ22" i="20"/>
  <c r="ALA22" i="20"/>
  <c r="ALB22" i="20"/>
  <c r="ALC22" i="20"/>
  <c r="ALD22" i="20"/>
  <c r="ALE22" i="20"/>
  <c r="ALF22" i="20"/>
  <c r="ALG22" i="20"/>
  <c r="ALH22" i="20"/>
  <c r="ALI22" i="20"/>
  <c r="ALJ22" i="20"/>
  <c r="ALK22" i="20"/>
  <c r="ALL22" i="20"/>
  <c r="ALM22" i="20"/>
  <c r="ALN22" i="20"/>
  <c r="ALO22" i="20"/>
  <c r="ALP22" i="20"/>
  <c r="ALQ22" i="20"/>
  <c r="ALR22" i="20"/>
  <c r="ALS22" i="20"/>
  <c r="ALT22" i="20"/>
  <c r="ALU22" i="20"/>
  <c r="ALV22" i="20"/>
  <c r="ALW22" i="20"/>
  <c r="ALX22" i="20"/>
  <c r="ALY22" i="20"/>
  <c r="ALZ22" i="20"/>
  <c r="AMA22" i="20"/>
  <c r="AMB22" i="20"/>
  <c r="AMC22" i="20"/>
  <c r="AMD22" i="20"/>
  <c r="AME22" i="20"/>
  <c r="AMF22" i="20"/>
  <c r="AMG22" i="20"/>
  <c r="AMH22" i="20"/>
  <c r="AMI22" i="20"/>
  <c r="AMJ22" i="20"/>
  <c r="AMK22" i="20"/>
  <c r="AML22" i="20"/>
  <c r="AMM22" i="20"/>
  <c r="AMN22" i="20"/>
  <c r="AMO22" i="20"/>
  <c r="AMP22" i="20"/>
  <c r="AMQ22" i="20"/>
  <c r="AMR22" i="20"/>
  <c r="AMS22" i="20"/>
  <c r="AMT22" i="20"/>
  <c r="AMU22" i="20"/>
  <c r="AMV22" i="20"/>
  <c r="AMW22" i="20"/>
  <c r="AMX22" i="20"/>
  <c r="AMY22" i="20"/>
  <c r="AMZ22" i="20"/>
  <c r="ANA22" i="20"/>
  <c r="ANB22" i="20"/>
  <c r="ANC22" i="20"/>
  <c r="AND22" i="20"/>
  <c r="ANE22" i="20"/>
  <c r="ANF22" i="20"/>
  <c r="ANG22" i="20"/>
  <c r="ANH22" i="20"/>
  <c r="ANI22" i="20"/>
  <c r="ANJ22" i="20"/>
  <c r="ANK22" i="20"/>
  <c r="ANL22" i="20"/>
  <c r="ANM22" i="20"/>
  <c r="ANN22" i="20"/>
  <c r="ANO22" i="20"/>
  <c r="ANP22" i="20"/>
  <c r="ANQ22" i="20"/>
  <c r="ANR22" i="20"/>
  <c r="ANS22" i="20"/>
  <c r="ANT22" i="20"/>
  <c r="ANU22" i="20"/>
  <c r="ANV22" i="20"/>
  <c r="ANW22" i="20"/>
  <c r="ANX22" i="20"/>
  <c r="ANY22" i="20"/>
  <c r="ANZ22" i="20"/>
  <c r="AOA22" i="20"/>
  <c r="AOB22" i="20"/>
  <c r="AOC22" i="20"/>
  <c r="AOD22" i="20"/>
  <c r="AOE22" i="20"/>
  <c r="AOF22" i="20"/>
  <c r="AOG22" i="20"/>
  <c r="AOH22" i="20"/>
  <c r="AOI22" i="20"/>
  <c r="AOJ22" i="20"/>
  <c r="AOK22" i="20"/>
  <c r="AOL22" i="20"/>
  <c r="AOM22" i="20"/>
  <c r="AON22" i="20"/>
  <c r="AOO22" i="20"/>
  <c r="AOP22" i="20"/>
  <c r="AOQ22" i="20"/>
  <c r="AOR22" i="20"/>
  <c r="AOS22" i="20"/>
  <c r="AOT22" i="20"/>
  <c r="AOU22" i="20"/>
  <c r="AOV22" i="20"/>
  <c r="AOW22" i="20"/>
  <c r="AOX22" i="20"/>
  <c r="AOY22" i="20"/>
  <c r="AOZ22" i="20"/>
  <c r="APA22" i="20"/>
  <c r="APB22" i="20"/>
  <c r="APC22" i="20"/>
  <c r="APD22" i="20"/>
  <c r="APE22" i="20"/>
  <c r="APF22" i="20"/>
  <c r="APG22" i="20"/>
  <c r="APH22" i="20"/>
  <c r="API22" i="20"/>
  <c r="APJ22" i="20"/>
  <c r="APK22" i="20"/>
  <c r="APL22" i="20"/>
  <c r="APM22" i="20"/>
  <c r="APN22" i="20"/>
  <c r="APO22" i="20"/>
  <c r="APP22" i="20"/>
  <c r="APQ22" i="20"/>
  <c r="APR22" i="20"/>
  <c r="APS22" i="20"/>
  <c r="APT22" i="20"/>
  <c r="APU22" i="20"/>
  <c r="APV22" i="20"/>
  <c r="APW22" i="20"/>
  <c r="APX22" i="20"/>
  <c r="APY22" i="20"/>
  <c r="APZ22" i="20"/>
  <c r="AQA22" i="20"/>
  <c r="AQB22" i="20"/>
  <c r="AQC22" i="20"/>
  <c r="AQD22" i="20"/>
  <c r="AQE22" i="20"/>
  <c r="AQF22" i="20"/>
  <c r="AQG22" i="20"/>
  <c r="AQH22" i="20"/>
  <c r="AQI22" i="20"/>
  <c r="AQJ22" i="20"/>
  <c r="AQK22" i="20"/>
  <c r="AQL22" i="20"/>
  <c r="AQM22" i="20"/>
  <c r="AQN22" i="20"/>
  <c r="AQO22" i="20"/>
  <c r="AQP22" i="20"/>
  <c r="AQQ22" i="20"/>
  <c r="AQR22" i="20"/>
  <c r="AQS22" i="20"/>
  <c r="AQT22" i="20"/>
  <c r="AQU22" i="20"/>
  <c r="AQV22" i="20"/>
  <c r="AQW22" i="20"/>
  <c r="AQX22" i="20"/>
  <c r="AQY22" i="20"/>
  <c r="AQZ22" i="20"/>
  <c r="ARA22" i="20"/>
  <c r="ARB22" i="20"/>
  <c r="ARC22" i="20"/>
  <c r="ARD22" i="20"/>
  <c r="ARE22" i="20"/>
  <c r="ARF22" i="20"/>
  <c r="ARG22" i="20"/>
  <c r="ARH22" i="20"/>
  <c r="ARI22" i="20"/>
  <c r="ARJ22" i="20"/>
  <c r="ARK22" i="20"/>
  <c r="ARL22" i="20"/>
  <c r="ARM22" i="20"/>
  <c r="ARN22" i="20"/>
  <c r="ARO22" i="20"/>
  <c r="ARP22" i="20"/>
  <c r="ARQ22" i="20"/>
  <c r="ARR22" i="20"/>
  <c r="ARS22" i="20"/>
  <c r="ART22" i="20"/>
  <c r="ARU22" i="20"/>
  <c r="ARV22" i="20"/>
  <c r="ARW22" i="20"/>
  <c r="ARX22" i="20"/>
  <c r="ARY22" i="20"/>
  <c r="ARZ22" i="20"/>
  <c r="ASA22" i="20"/>
  <c r="ASB22" i="20"/>
  <c r="ASC22" i="20"/>
  <c r="ASD22" i="20"/>
  <c r="ASE22" i="20"/>
  <c r="ASF22" i="20"/>
  <c r="ASG22" i="20"/>
  <c r="ASH22" i="20"/>
  <c r="ASI22" i="20"/>
  <c r="ASJ22" i="20"/>
  <c r="ASK22" i="20"/>
  <c r="ASL22" i="20"/>
  <c r="ASM22" i="20"/>
  <c r="ASN22" i="20"/>
  <c r="ASO22" i="20"/>
  <c r="ASP22" i="20"/>
  <c r="ASQ22" i="20"/>
  <c r="ASR22" i="20"/>
  <c r="ASS22" i="20"/>
  <c r="AST22" i="20"/>
  <c r="ASU22" i="20"/>
  <c r="ASV22" i="20"/>
  <c r="ASW22" i="20"/>
  <c r="ASX22" i="20"/>
  <c r="ASY22" i="20"/>
  <c r="ASZ22" i="20"/>
  <c r="ATA22" i="20"/>
  <c r="ATB22" i="20"/>
  <c r="ATC22" i="20"/>
  <c r="ATD22" i="20"/>
  <c r="ATE22" i="20"/>
  <c r="ATF22" i="20"/>
  <c r="ATG22" i="20"/>
  <c r="ATH22" i="20"/>
  <c r="ATI22" i="20"/>
  <c r="ATJ22" i="20"/>
  <c r="ATK22" i="20"/>
  <c r="ATL22" i="20"/>
  <c r="ATM22" i="20"/>
  <c r="ATN22" i="20"/>
  <c r="ATO22" i="20"/>
  <c r="ATP22" i="20"/>
  <c r="ATQ22" i="20"/>
  <c r="ATR22" i="20"/>
  <c r="ATS22" i="20"/>
  <c r="ATT22" i="20"/>
  <c r="ATU22" i="20"/>
  <c r="ATV22" i="20"/>
  <c r="ATW22" i="20"/>
  <c r="ATX22" i="20"/>
  <c r="ATY22" i="20"/>
  <c r="ATZ22" i="20"/>
  <c r="AUA22" i="20"/>
  <c r="AUB22" i="20"/>
  <c r="AUC22" i="20"/>
  <c r="AUD22" i="20"/>
  <c r="AUE22" i="20"/>
  <c r="AUF22" i="20"/>
  <c r="AUG22" i="20"/>
  <c r="AUH22" i="20"/>
  <c r="AUI22" i="20"/>
  <c r="AUJ22" i="20"/>
  <c r="AUK22" i="20"/>
  <c r="AUL22" i="20"/>
  <c r="AUM22" i="20"/>
  <c r="AUN22" i="20"/>
  <c r="AUO22" i="20"/>
  <c r="AUP22" i="20"/>
  <c r="AUQ22" i="20"/>
  <c r="AUR22" i="20"/>
  <c r="AUS22" i="20"/>
  <c r="AUT22" i="20"/>
  <c r="AUU22" i="20"/>
  <c r="AUV22" i="20"/>
  <c r="AUW22" i="20"/>
  <c r="AUX22" i="20"/>
  <c r="AUY22" i="20"/>
  <c r="AUZ22" i="20"/>
  <c r="AVA22" i="20"/>
  <c r="AVB22" i="20"/>
  <c r="AVC22" i="20"/>
  <c r="AVD22" i="20"/>
  <c r="AVE22" i="20"/>
  <c r="AVF22" i="20"/>
  <c r="AVG22" i="20"/>
  <c r="AVH22" i="20"/>
  <c r="AVI22" i="20"/>
  <c r="AVJ22" i="20"/>
  <c r="AVK22" i="20"/>
  <c r="AVL22" i="20"/>
  <c r="AVM22" i="20"/>
  <c r="AVN22" i="20"/>
  <c r="AVO22" i="20"/>
  <c r="AVP22" i="20"/>
  <c r="AVQ22" i="20"/>
  <c r="AVR22" i="20"/>
  <c r="AVS22" i="20"/>
  <c r="AVT22" i="20"/>
  <c r="AVU22" i="20"/>
  <c r="AVV22" i="20"/>
  <c r="AVW22" i="20"/>
  <c r="AVX22" i="20"/>
  <c r="AVY22" i="20"/>
  <c r="AVZ22" i="20"/>
  <c r="AWA22" i="20"/>
  <c r="AWB22" i="20"/>
  <c r="AWC22" i="20"/>
  <c r="AWD22" i="20"/>
  <c r="AWE22" i="20"/>
  <c r="AWF22" i="20"/>
  <c r="AWG22" i="20"/>
  <c r="AWH22" i="20"/>
  <c r="AWI22" i="20"/>
  <c r="AWJ22" i="20"/>
  <c r="AWK22" i="20"/>
  <c r="AWL22" i="20"/>
  <c r="AWM22" i="20"/>
  <c r="AWN22" i="20"/>
  <c r="AWO22" i="20"/>
  <c r="AWP22" i="20"/>
  <c r="AWQ22" i="20"/>
  <c r="AWR22" i="20"/>
  <c r="AWS22" i="20"/>
  <c r="AWT22" i="20"/>
  <c r="AWU22" i="20"/>
  <c r="AWV22" i="20"/>
  <c r="AWW22" i="20"/>
  <c r="AWX22" i="20"/>
  <c r="AWY22" i="20"/>
  <c r="AWZ22" i="20"/>
  <c r="AXA22" i="20"/>
  <c r="AXB22" i="20"/>
  <c r="AXC22" i="20"/>
  <c r="AXD22" i="20"/>
  <c r="AXE22" i="20"/>
  <c r="AXF22" i="20"/>
  <c r="AXG22" i="20"/>
  <c r="AXH22" i="20"/>
  <c r="AXI22" i="20"/>
  <c r="AXJ22" i="20"/>
  <c r="AXK22" i="20"/>
  <c r="AXL22" i="20"/>
  <c r="AXM22" i="20"/>
  <c r="AXN22" i="20"/>
  <c r="AXO22" i="20"/>
  <c r="AXP22" i="20"/>
  <c r="AXQ22" i="20"/>
  <c r="AXR22" i="20"/>
  <c r="AXS22" i="20"/>
  <c r="AXT22" i="20"/>
  <c r="AXU22" i="20"/>
  <c r="AXV22" i="20"/>
  <c r="AXW22" i="20"/>
  <c r="AXX22" i="20"/>
  <c r="AXY22" i="20"/>
  <c r="AXZ22" i="20"/>
  <c r="AYA22" i="20"/>
  <c r="AYB22" i="20"/>
  <c r="AYC22" i="20"/>
  <c r="AYD22" i="20"/>
  <c r="AYE22" i="20"/>
  <c r="AYF22" i="20"/>
  <c r="AYG22" i="20"/>
  <c r="AYH22" i="20"/>
  <c r="AYI22" i="20"/>
  <c r="AYJ22" i="20"/>
  <c r="AYK22" i="20"/>
  <c r="AYL22" i="20"/>
  <c r="AYM22" i="20"/>
  <c r="AYN22" i="20"/>
  <c r="AYO22" i="20"/>
  <c r="AYP22" i="20"/>
  <c r="AYQ22" i="20"/>
  <c r="AYR22" i="20"/>
  <c r="AYS22" i="20"/>
  <c r="AYT22" i="20"/>
  <c r="AYU22" i="20"/>
  <c r="AYV22" i="20"/>
  <c r="AYW22" i="20"/>
  <c r="AYX22" i="20"/>
  <c r="AYY22" i="20"/>
  <c r="AYZ22" i="20"/>
  <c r="AZA22" i="20"/>
  <c r="AZB22" i="20"/>
  <c r="AZC22" i="20"/>
  <c r="AZD22" i="20"/>
  <c r="AZE22" i="20"/>
  <c r="AZF22" i="20"/>
  <c r="AZG22" i="20"/>
  <c r="AZH22" i="20"/>
  <c r="AZI22" i="20"/>
  <c r="AZJ22" i="20"/>
  <c r="AZK22" i="20"/>
  <c r="AZL22" i="20"/>
  <c r="AZM22" i="20"/>
  <c r="AZN22" i="20"/>
  <c r="AZO22" i="20"/>
  <c r="AZP22" i="20"/>
  <c r="AZQ22" i="20"/>
  <c r="AZR22" i="20"/>
  <c r="AZS22" i="20"/>
  <c r="AZT22" i="20"/>
  <c r="AZU22" i="20"/>
  <c r="AZV22" i="20"/>
  <c r="AZW22" i="20"/>
  <c r="AZX22" i="20"/>
  <c r="AZY22" i="20"/>
  <c r="AZZ22" i="20"/>
  <c r="BAA22" i="20"/>
  <c r="BAB22" i="20"/>
  <c r="BAC22" i="20"/>
  <c r="BAD22" i="20"/>
  <c r="BAE22" i="20"/>
  <c r="BAF22" i="20"/>
  <c r="BAG22" i="20"/>
  <c r="BAH22" i="20"/>
  <c r="BAI22" i="20"/>
  <c r="BAJ22" i="20"/>
  <c r="BAK22" i="20"/>
  <c r="BAL22" i="20"/>
  <c r="BAM22" i="20"/>
  <c r="BAN22" i="20"/>
  <c r="BAO22" i="20"/>
  <c r="BAP22" i="20"/>
  <c r="BAQ22" i="20"/>
  <c r="BAR22" i="20"/>
  <c r="BAS22" i="20"/>
  <c r="BAT22" i="20"/>
  <c r="BAU22" i="20"/>
  <c r="BAV22" i="20"/>
  <c r="BAW22" i="20"/>
  <c r="BAX22" i="20"/>
  <c r="BAY22" i="20"/>
  <c r="BAZ22" i="20"/>
  <c r="BBA22" i="20"/>
  <c r="BBB22" i="20"/>
  <c r="BBC22" i="20"/>
  <c r="BBD22" i="20"/>
  <c r="BBE22" i="20"/>
  <c r="BBF22" i="20"/>
  <c r="BBG22" i="20"/>
  <c r="BBH22" i="20"/>
  <c r="BBI22" i="20"/>
  <c r="BBJ22" i="20"/>
  <c r="BBK22" i="20"/>
  <c r="BBL22" i="20"/>
  <c r="BBM22" i="20"/>
  <c r="BBN22" i="20"/>
  <c r="BBO22" i="20"/>
  <c r="BBP22" i="20"/>
  <c r="BBQ22" i="20"/>
  <c r="BBR22" i="20"/>
  <c r="BBS22" i="20"/>
  <c r="BBT22" i="20"/>
  <c r="BBU22" i="20"/>
  <c r="BBV22" i="20"/>
  <c r="BBW22" i="20"/>
  <c r="BBX22" i="20"/>
  <c r="BBY22" i="20"/>
  <c r="BBZ22" i="20"/>
  <c r="BCA22" i="20"/>
  <c r="BCB22" i="20"/>
  <c r="BCC22" i="20"/>
  <c r="BCD22" i="20"/>
  <c r="BCE22" i="20"/>
  <c r="BCF22" i="20"/>
  <c r="BCG22" i="20"/>
  <c r="BCH22" i="20"/>
  <c r="BCI22" i="20"/>
  <c r="BCJ22" i="20"/>
  <c r="BCK22" i="20"/>
  <c r="BCL22" i="20"/>
  <c r="BCM22" i="20"/>
  <c r="BCN22" i="20"/>
  <c r="BCO22" i="20"/>
  <c r="BCP22" i="20"/>
  <c r="BCQ22" i="20"/>
  <c r="BCR22" i="20"/>
  <c r="BCS22" i="20"/>
  <c r="BCT22" i="20"/>
  <c r="BCU22" i="20"/>
  <c r="BCV22" i="20"/>
  <c r="BCW22" i="20"/>
  <c r="BCX22" i="20"/>
  <c r="BCY22" i="20"/>
  <c r="BCZ22" i="20"/>
  <c r="BDA22" i="20"/>
  <c r="BDB22" i="20"/>
  <c r="BDC22" i="20"/>
  <c r="BDD22" i="20"/>
  <c r="BDE22" i="20"/>
  <c r="BDF22" i="20"/>
  <c r="BDG22" i="20"/>
  <c r="BDH22" i="20"/>
  <c r="BDI22" i="20"/>
  <c r="BDJ22" i="20"/>
  <c r="BDK22" i="20"/>
  <c r="BDL22" i="20"/>
  <c r="BDM22" i="20"/>
  <c r="BDN22" i="20"/>
  <c r="BDO22" i="20"/>
  <c r="BDP22" i="20"/>
  <c r="BDQ22" i="20"/>
  <c r="BDR22" i="20"/>
  <c r="BDS22" i="20"/>
  <c r="BDT22" i="20"/>
  <c r="BDU22" i="20"/>
  <c r="BDV22" i="20"/>
  <c r="BDW22" i="20"/>
  <c r="BDX22" i="20"/>
  <c r="BDY22" i="20"/>
  <c r="BDZ22" i="20"/>
  <c r="BEA22" i="20"/>
  <c r="BEB22" i="20"/>
  <c r="BEC22" i="20"/>
  <c r="BED22" i="20"/>
  <c r="BEE22" i="20"/>
  <c r="BEF22" i="20"/>
  <c r="BEG22" i="20"/>
  <c r="BEH22" i="20"/>
  <c r="BEI22" i="20"/>
  <c r="BEJ22" i="20"/>
  <c r="BEK22" i="20"/>
  <c r="BEL22" i="20"/>
  <c r="BEM22" i="20"/>
  <c r="BEN22" i="20"/>
  <c r="BEO22" i="20"/>
  <c r="BEP22" i="20"/>
  <c r="BEQ22" i="20"/>
  <c r="BER22" i="20"/>
  <c r="BES22" i="20"/>
  <c r="BET22" i="20"/>
  <c r="BEU22" i="20"/>
  <c r="BEV22" i="20"/>
  <c r="BEW22" i="20"/>
  <c r="BEX22" i="20"/>
  <c r="BEY22" i="20"/>
  <c r="BEZ22" i="20"/>
  <c r="BFA22" i="20"/>
  <c r="BFB22" i="20"/>
  <c r="BFC22" i="20"/>
  <c r="BFD22" i="20"/>
  <c r="BFE22" i="20"/>
  <c r="BFF22" i="20"/>
  <c r="BFG22" i="20"/>
  <c r="BFH22" i="20"/>
  <c r="BFI22" i="20"/>
  <c r="BFJ22" i="20"/>
  <c r="BFK22" i="20"/>
  <c r="BFL22" i="20"/>
  <c r="BFM22" i="20"/>
  <c r="BFN22" i="20"/>
  <c r="BFO22" i="20"/>
  <c r="BFP22" i="20"/>
  <c r="BFQ22" i="20"/>
  <c r="BFR22" i="20"/>
  <c r="BFS22" i="20"/>
  <c r="BFT22" i="20"/>
  <c r="BFU22" i="20"/>
  <c r="BFV22" i="20"/>
  <c r="BFW22" i="20"/>
  <c r="BFX22" i="20"/>
  <c r="BFY22" i="20"/>
  <c r="BFZ22" i="20"/>
  <c r="BGA22" i="20"/>
  <c r="BGB22" i="20"/>
  <c r="BGC22" i="20"/>
  <c r="BGD22" i="20"/>
  <c r="BGE22" i="20"/>
  <c r="BGF22" i="20"/>
  <c r="BGG22" i="20"/>
  <c r="BGH22" i="20"/>
  <c r="BGI22" i="20"/>
  <c r="BGJ22" i="20"/>
  <c r="BGK22" i="20"/>
  <c r="BGL22" i="20"/>
  <c r="BGM22" i="20"/>
  <c r="BGN22" i="20"/>
  <c r="BGO22" i="20"/>
  <c r="BGP22" i="20"/>
  <c r="BGQ22" i="20"/>
  <c r="BGR22" i="20"/>
  <c r="BGS22" i="20"/>
  <c r="BGT22" i="20"/>
  <c r="BGU22" i="20"/>
  <c r="BGV22" i="20"/>
  <c r="BGW22" i="20"/>
  <c r="BGX22" i="20"/>
  <c r="BGY22" i="20"/>
  <c r="BGZ22" i="20"/>
  <c r="BHA22" i="20"/>
  <c r="BHB22" i="20"/>
  <c r="BHC22" i="20"/>
  <c r="BHD22" i="20"/>
  <c r="BHE22" i="20"/>
  <c r="BHF22" i="20"/>
  <c r="BHG22" i="20"/>
  <c r="BHH22" i="20"/>
  <c r="BHI22" i="20"/>
  <c r="BHJ22" i="20"/>
  <c r="BHK22" i="20"/>
  <c r="BHL22" i="20"/>
  <c r="BHM22" i="20"/>
  <c r="BHN22" i="20"/>
  <c r="BHO22" i="20"/>
  <c r="BHP22" i="20"/>
  <c r="BHQ22" i="20"/>
  <c r="BHR22" i="20"/>
  <c r="BHS22" i="20"/>
  <c r="BHT22" i="20"/>
  <c r="BHU22" i="20"/>
  <c r="BHV22" i="20"/>
  <c r="BHW22" i="20"/>
  <c r="BHX22" i="20"/>
  <c r="BHY22" i="20"/>
  <c r="BHZ22" i="20"/>
  <c r="BIA22" i="20"/>
  <c r="BIB22" i="20"/>
  <c r="BIC22" i="20"/>
  <c r="BID22" i="20"/>
  <c r="BIE22" i="20"/>
  <c r="BIF22" i="20"/>
  <c r="BIG22" i="20"/>
  <c r="BIH22" i="20"/>
  <c r="BII22" i="20"/>
  <c r="BIJ22" i="20"/>
  <c r="BIK22" i="20"/>
  <c r="BIL22" i="20"/>
  <c r="BIM22" i="20"/>
  <c r="BIN22" i="20"/>
  <c r="BIO22" i="20"/>
  <c r="BIP22" i="20"/>
  <c r="BIQ22" i="20"/>
  <c r="BIR22" i="20"/>
  <c r="BIS22" i="20"/>
  <c r="BIT22" i="20"/>
  <c r="BIU22" i="20"/>
  <c r="BIV22" i="20"/>
  <c r="BIW22" i="20"/>
  <c r="BIX22" i="20"/>
  <c r="BIY22" i="20"/>
  <c r="BIZ22" i="20"/>
  <c r="BJA22" i="20"/>
  <c r="BJB22" i="20"/>
  <c r="BJC22" i="20"/>
  <c r="BJD22" i="20"/>
  <c r="BJE22" i="20"/>
  <c r="BJF22" i="20"/>
  <c r="BJG22" i="20"/>
  <c r="BJH22" i="20"/>
  <c r="BJI22" i="20"/>
  <c r="BJJ22" i="20"/>
  <c r="BJK22" i="20"/>
  <c r="BJL22" i="20"/>
  <c r="BJM22" i="20"/>
  <c r="BJN22" i="20"/>
  <c r="BJO22" i="20"/>
  <c r="BJP22" i="20"/>
  <c r="BJQ22" i="20"/>
  <c r="BJR22" i="20"/>
  <c r="BJS22" i="20"/>
  <c r="BJT22" i="20"/>
  <c r="BJU22" i="20"/>
  <c r="BJV22" i="20"/>
  <c r="BJW22" i="20"/>
  <c r="BJX22" i="20"/>
  <c r="BJY22" i="20"/>
  <c r="BJZ22" i="20"/>
  <c r="BKA22" i="20"/>
  <c r="BKB22" i="20"/>
  <c r="BKC22" i="20"/>
  <c r="BKD22" i="20"/>
  <c r="BKE22" i="20"/>
  <c r="BKF22" i="20"/>
  <c r="BKG22" i="20"/>
  <c r="BKH22" i="20"/>
  <c r="BKI22" i="20"/>
  <c r="BKJ22" i="20"/>
  <c r="BKK22" i="20"/>
  <c r="BKL22" i="20"/>
  <c r="BKM22" i="20"/>
  <c r="BKN22" i="20"/>
  <c r="BKO22" i="20"/>
  <c r="BKP22" i="20"/>
  <c r="BKQ22" i="20"/>
  <c r="BKR22" i="20"/>
  <c r="BKS22" i="20"/>
  <c r="BKT22" i="20"/>
  <c r="BKU22" i="20"/>
  <c r="BKV22" i="20"/>
  <c r="BKW22" i="20"/>
  <c r="BKX22" i="20"/>
  <c r="BKY22" i="20"/>
  <c r="BKZ22" i="20"/>
  <c r="BLA22" i="20"/>
  <c r="BLB22" i="20"/>
  <c r="BLC22" i="20"/>
  <c r="BLD22" i="20"/>
  <c r="BLE22" i="20"/>
  <c r="BLF22" i="20"/>
  <c r="BLG22" i="20"/>
  <c r="BLH22" i="20"/>
  <c r="BLI22" i="20"/>
  <c r="BLJ22" i="20"/>
  <c r="BLK22" i="20"/>
  <c r="BLL22" i="20"/>
  <c r="BLM22" i="20"/>
  <c r="BLN22" i="20"/>
  <c r="BLO22" i="20"/>
  <c r="BLP22" i="20"/>
  <c r="BLQ22" i="20"/>
  <c r="BLR22" i="20"/>
  <c r="BLS22" i="20"/>
  <c r="BLT22" i="20"/>
  <c r="BLU22" i="20"/>
  <c r="BLV22" i="20"/>
  <c r="BLW22" i="20"/>
  <c r="BLX22" i="20"/>
  <c r="BLY22" i="20"/>
  <c r="BLZ22" i="20"/>
  <c r="BMA22" i="20"/>
  <c r="BMB22" i="20"/>
  <c r="BMC22" i="20"/>
  <c r="BMD22" i="20"/>
  <c r="BME22" i="20"/>
  <c r="BMF22" i="20"/>
  <c r="BMG22" i="20"/>
  <c r="BMH22" i="20"/>
  <c r="BMI22" i="20"/>
  <c r="BMJ22" i="20"/>
  <c r="BMK22" i="20"/>
  <c r="BML22" i="20"/>
  <c r="BMM22" i="20"/>
  <c r="BMN22" i="20"/>
  <c r="BMO22" i="20"/>
  <c r="BMP22" i="20"/>
  <c r="BMQ22" i="20"/>
  <c r="BMR22" i="20"/>
  <c r="BMS22" i="20"/>
  <c r="BMT22" i="20"/>
  <c r="BMU22" i="20"/>
  <c r="BMV22" i="20"/>
  <c r="BMW22" i="20"/>
  <c r="BMX22" i="20"/>
  <c r="BMY22" i="20"/>
  <c r="BMZ22" i="20"/>
  <c r="BNA22" i="20"/>
  <c r="BNB22" i="20"/>
  <c r="BNC22" i="20"/>
  <c r="BND22" i="20"/>
  <c r="BNE22" i="20"/>
  <c r="BNF22" i="20"/>
  <c r="BNG22" i="20"/>
  <c r="BNH22" i="20"/>
  <c r="BNI22" i="20"/>
  <c r="BNJ22" i="20"/>
  <c r="BNK22" i="20"/>
  <c r="BNL22" i="20"/>
  <c r="BNM22" i="20"/>
  <c r="BNN22" i="20"/>
  <c r="BNO22" i="20"/>
  <c r="BNP22" i="20"/>
  <c r="BNQ22" i="20"/>
  <c r="BNR22" i="20"/>
  <c r="BNS22" i="20"/>
  <c r="BNT22" i="20"/>
  <c r="BNU22" i="20"/>
  <c r="BNV22" i="20"/>
  <c r="BNW22" i="20"/>
  <c r="BNX22" i="20"/>
  <c r="BNY22" i="20"/>
  <c r="BNZ22" i="20"/>
  <c r="BOA22" i="20"/>
  <c r="BOB22" i="20"/>
  <c r="BOC22" i="20"/>
  <c r="BOD22" i="20"/>
  <c r="BOE22" i="20"/>
  <c r="BOF22" i="20"/>
  <c r="BOG22" i="20"/>
  <c r="BOH22" i="20"/>
  <c r="BOI22" i="20"/>
  <c r="BOJ22" i="20"/>
  <c r="BOK22" i="20"/>
  <c r="BOL22" i="20"/>
  <c r="BOM22" i="20"/>
  <c r="BON22" i="20"/>
  <c r="BOO22" i="20"/>
  <c r="BOP22" i="20"/>
  <c r="BOQ22" i="20"/>
  <c r="BOR22" i="20"/>
  <c r="BOS22" i="20"/>
  <c r="BOT22" i="20"/>
  <c r="BOU22" i="20"/>
  <c r="BOV22" i="20"/>
  <c r="BOW22" i="20"/>
  <c r="BOX22" i="20"/>
  <c r="BOY22" i="20"/>
  <c r="BOZ22" i="20"/>
  <c r="BPA22" i="20"/>
  <c r="BPB22" i="20"/>
  <c r="BPC22" i="20"/>
  <c r="BPD22" i="20"/>
  <c r="BPE22" i="20"/>
  <c r="BPF22" i="20"/>
  <c r="BPG22" i="20"/>
  <c r="BPH22" i="20"/>
  <c r="BPI22" i="20"/>
  <c r="BPJ22" i="20"/>
  <c r="BPK22" i="20"/>
  <c r="BPL22" i="20"/>
  <c r="BPM22" i="20"/>
  <c r="BPN22" i="20"/>
  <c r="BPO22" i="20"/>
  <c r="BPP22" i="20"/>
  <c r="BPQ22" i="20"/>
  <c r="BPR22" i="20"/>
  <c r="BPS22" i="20"/>
  <c r="BPT22" i="20"/>
  <c r="BPU22" i="20"/>
  <c r="BPV22" i="20"/>
  <c r="BPW22" i="20"/>
  <c r="BPX22" i="20"/>
  <c r="BPY22" i="20"/>
  <c r="BPZ22" i="20"/>
  <c r="BQA22" i="20"/>
  <c r="BQB22" i="20"/>
  <c r="BQC22" i="20"/>
  <c r="BQD22" i="20"/>
  <c r="BQE22" i="20"/>
  <c r="BQF22" i="20"/>
  <c r="BQG22" i="20"/>
  <c r="BQH22" i="20"/>
  <c r="BQI22" i="20"/>
  <c r="BQJ22" i="20"/>
  <c r="BQK22" i="20"/>
  <c r="BQL22" i="20"/>
  <c r="BQM22" i="20"/>
  <c r="BQN22" i="20"/>
  <c r="BQO22" i="20"/>
  <c r="BQP22" i="20"/>
  <c r="BQQ22" i="20"/>
  <c r="BQR22" i="20"/>
  <c r="BQS22" i="20"/>
  <c r="BQT22" i="20"/>
  <c r="BQU22" i="20"/>
  <c r="BQV22" i="20"/>
  <c r="BQW22" i="20"/>
  <c r="BQX22" i="20"/>
  <c r="BQY22" i="20"/>
  <c r="BQZ22" i="20"/>
  <c r="BRA22" i="20"/>
  <c r="BRB22" i="20"/>
  <c r="BRC22" i="20"/>
  <c r="BRD22" i="20"/>
  <c r="BRE22" i="20"/>
  <c r="BRF22" i="20"/>
  <c r="BRG22" i="20"/>
  <c r="BRH22" i="20"/>
  <c r="BRI22" i="20"/>
  <c r="BRJ22" i="20"/>
  <c r="BRK22" i="20"/>
  <c r="BRL22" i="20"/>
  <c r="BRM22" i="20"/>
  <c r="BRN22" i="20"/>
  <c r="BRO22" i="20"/>
  <c r="BRP22" i="20"/>
  <c r="BRQ22" i="20"/>
  <c r="BRR22" i="20"/>
  <c r="BRS22" i="20"/>
  <c r="BRT22" i="20"/>
  <c r="BRU22" i="20"/>
  <c r="BRV22" i="20"/>
  <c r="BRW22" i="20"/>
  <c r="BRX22" i="20"/>
  <c r="BRY22" i="20"/>
  <c r="BRZ22" i="20"/>
  <c r="BSA22" i="20"/>
  <c r="BSB22" i="20"/>
  <c r="BSC22" i="20"/>
  <c r="BSD22" i="20"/>
  <c r="BSE22" i="20"/>
  <c r="BSF22" i="20"/>
  <c r="BSG22" i="20"/>
  <c r="BSH22" i="20"/>
  <c r="BSI22" i="20"/>
  <c r="BSJ22" i="20"/>
  <c r="BSK22" i="20"/>
  <c r="BSL22" i="20"/>
  <c r="BSM22" i="20"/>
  <c r="BSN22" i="20"/>
  <c r="BSO22" i="20"/>
  <c r="BSP22" i="20"/>
  <c r="BSQ22" i="20"/>
  <c r="BSR22" i="20"/>
  <c r="BSS22" i="20"/>
  <c r="BST22" i="20"/>
  <c r="BSU22" i="20"/>
  <c r="BSV22" i="20"/>
  <c r="BSW22" i="20"/>
  <c r="BSX22" i="20"/>
  <c r="BSY22" i="20"/>
  <c r="BSZ22" i="20"/>
  <c r="BTA22" i="20"/>
  <c r="BTB22" i="20"/>
  <c r="BTC22" i="20"/>
  <c r="BTD22" i="20"/>
  <c r="BTE22" i="20"/>
  <c r="BTF22" i="20"/>
  <c r="BTG22" i="20"/>
  <c r="BTH22" i="20"/>
  <c r="BTI22" i="20"/>
  <c r="BTJ22" i="20"/>
  <c r="BTK22" i="20"/>
  <c r="BTL22" i="20"/>
  <c r="BTM22" i="20"/>
  <c r="BTN22" i="20"/>
  <c r="BTO22" i="20"/>
  <c r="BTP22" i="20"/>
  <c r="BTQ22" i="20"/>
  <c r="BTR22" i="20"/>
  <c r="BTS22" i="20"/>
  <c r="BTT22" i="20"/>
  <c r="BTU22" i="20"/>
  <c r="BTV22" i="20"/>
  <c r="BTW22" i="20"/>
  <c r="BTX22" i="20"/>
  <c r="BTY22" i="20"/>
  <c r="BTZ22" i="20"/>
  <c r="BUA22" i="20"/>
  <c r="BUB22" i="20"/>
  <c r="BUC22" i="20"/>
  <c r="BUD22" i="20"/>
  <c r="BUE22" i="20"/>
  <c r="BUF22" i="20"/>
  <c r="BUG22" i="20"/>
  <c r="BUH22" i="20"/>
  <c r="BUI22" i="20"/>
  <c r="BUJ22" i="20"/>
  <c r="BUK22" i="20"/>
  <c r="BUL22" i="20"/>
  <c r="BUM22" i="20"/>
  <c r="BUN22" i="20"/>
  <c r="BUO22" i="20"/>
  <c r="BUP22" i="20"/>
  <c r="BUQ22" i="20"/>
  <c r="BUR22" i="20"/>
  <c r="BUS22" i="20"/>
  <c r="BUT22" i="20"/>
  <c r="BUU22" i="20"/>
  <c r="BUV22" i="20"/>
  <c r="BUW22" i="20"/>
  <c r="BUX22" i="20"/>
  <c r="BUY22" i="20"/>
  <c r="BUZ22" i="20"/>
  <c r="BVA22" i="20"/>
  <c r="BVB22" i="20"/>
  <c r="BVC22" i="20"/>
  <c r="BVD22" i="20"/>
  <c r="BVE22" i="20"/>
  <c r="BVF22" i="20"/>
  <c r="BVG22" i="20"/>
  <c r="BVH22" i="20"/>
  <c r="BVI22" i="20"/>
  <c r="BVJ22" i="20"/>
  <c r="BVK22" i="20"/>
  <c r="BVL22" i="20"/>
  <c r="BVM22" i="20"/>
  <c r="BVN22" i="20"/>
  <c r="BVO22" i="20"/>
  <c r="BVP22" i="20"/>
  <c r="BVQ22" i="20"/>
  <c r="BVR22" i="20"/>
  <c r="BVS22" i="20"/>
  <c r="BVT22" i="20"/>
  <c r="BVU22" i="20"/>
  <c r="BVV22" i="20"/>
  <c r="BVW22" i="20"/>
  <c r="BVX22" i="20"/>
  <c r="BVY22" i="20"/>
  <c r="BVZ22" i="20"/>
  <c r="BWA22" i="20"/>
  <c r="BWB22" i="20"/>
  <c r="BWC22" i="20"/>
  <c r="BWD22" i="20"/>
  <c r="BWE22" i="20"/>
  <c r="BWF22" i="20"/>
  <c r="BWG22" i="20"/>
  <c r="BWH22" i="20"/>
  <c r="BWI22" i="20"/>
  <c r="BWJ22" i="20"/>
  <c r="BWK22" i="20"/>
  <c r="BWL22" i="20"/>
  <c r="BWM22" i="20"/>
  <c r="BWN22" i="20"/>
  <c r="BWO22" i="20"/>
  <c r="BWP22" i="20"/>
  <c r="BWQ22" i="20"/>
  <c r="BWR22" i="20"/>
  <c r="BWS22" i="20"/>
  <c r="BWT22" i="20"/>
  <c r="BWU22" i="20"/>
  <c r="BWV22" i="20"/>
  <c r="BWW22" i="20"/>
  <c r="BWX22" i="20"/>
  <c r="BWY22" i="20"/>
  <c r="BWZ22" i="20"/>
  <c r="BXA22" i="20"/>
  <c r="BXB22" i="20"/>
  <c r="BXC22" i="20"/>
  <c r="BXD22" i="20"/>
  <c r="BXE22" i="20"/>
  <c r="BXF22" i="20"/>
  <c r="BXG22" i="20"/>
  <c r="BXH22" i="20"/>
  <c r="BXI22" i="20"/>
  <c r="BXJ22" i="20"/>
  <c r="BXK22" i="20"/>
  <c r="BXL22" i="20"/>
  <c r="BXM22" i="20"/>
  <c r="BXN22" i="20"/>
  <c r="BXO22" i="20"/>
  <c r="BXP22" i="20"/>
  <c r="BXQ22" i="20"/>
  <c r="BXR22" i="20"/>
  <c r="BXS22" i="20"/>
  <c r="BXT22" i="20"/>
  <c r="BXU22" i="20"/>
  <c r="BXV22" i="20"/>
  <c r="BXW22" i="20"/>
  <c r="BXX22" i="20"/>
  <c r="BXY22" i="20"/>
  <c r="BXZ22" i="20"/>
  <c r="BYA22" i="20"/>
  <c r="BYB22" i="20"/>
  <c r="BYC22" i="20"/>
  <c r="BYD22" i="20"/>
  <c r="BYE22" i="20"/>
  <c r="BYF22" i="20"/>
  <c r="BYG22" i="20"/>
  <c r="BYH22" i="20"/>
  <c r="BYI22" i="20"/>
  <c r="BYJ22" i="20"/>
  <c r="BYK22" i="20"/>
  <c r="BYL22" i="20"/>
  <c r="BYM22" i="20"/>
  <c r="BYN22" i="20"/>
  <c r="BYO22" i="20"/>
  <c r="BYP22" i="20"/>
  <c r="BYQ22" i="20"/>
  <c r="BYR22" i="20"/>
  <c r="BYS22" i="20"/>
  <c r="BYT22" i="20"/>
  <c r="BYU22" i="20"/>
  <c r="BYV22" i="20"/>
  <c r="BYW22" i="20"/>
  <c r="BYX22" i="20"/>
  <c r="BYY22" i="20"/>
  <c r="BYZ22" i="20"/>
  <c r="BZA22" i="20"/>
  <c r="BZB22" i="20"/>
  <c r="BZC22" i="20"/>
  <c r="BZD22" i="20"/>
  <c r="BZE22" i="20"/>
  <c r="BZF22" i="20"/>
  <c r="BZG22" i="20"/>
  <c r="BZH22" i="20"/>
  <c r="BZI22" i="20"/>
  <c r="BZJ22" i="20"/>
  <c r="BZK22" i="20"/>
  <c r="BZL22" i="20"/>
  <c r="BZM22" i="20"/>
  <c r="BZN22" i="20"/>
  <c r="BZO22" i="20"/>
  <c r="BZP22" i="20"/>
  <c r="BZQ22" i="20"/>
  <c r="BZR22" i="20"/>
  <c r="BZS22" i="20"/>
  <c r="BZT22" i="20"/>
  <c r="BZU22" i="20"/>
  <c r="BZV22" i="20"/>
  <c r="BZW22" i="20"/>
  <c r="BZX22" i="20"/>
  <c r="BZY22" i="20"/>
  <c r="BZZ22" i="20"/>
  <c r="CAA22" i="20"/>
  <c r="CAB22" i="20"/>
  <c r="CAC22" i="20"/>
  <c r="CAD22" i="20"/>
  <c r="CAE22" i="20"/>
  <c r="CAF22" i="20"/>
  <c r="CAG22" i="20"/>
  <c r="CAH22" i="20"/>
  <c r="CAI22" i="20"/>
  <c r="CAJ22" i="20"/>
  <c r="CAK22" i="20"/>
  <c r="CAL22" i="20"/>
  <c r="CAM22" i="20"/>
  <c r="CAN22" i="20"/>
  <c r="CAO22" i="20"/>
  <c r="CAP22" i="20"/>
  <c r="CAQ22" i="20"/>
  <c r="CAR22" i="20"/>
  <c r="CAS22" i="20"/>
  <c r="CAT22" i="20"/>
  <c r="CAU22" i="20"/>
  <c r="CAV22" i="20"/>
  <c r="CAW22" i="20"/>
  <c r="CAX22" i="20"/>
  <c r="CAY22" i="20"/>
  <c r="CAZ22" i="20"/>
  <c r="CBA22" i="20"/>
  <c r="CBB22" i="20"/>
  <c r="CBC22" i="20"/>
  <c r="CBD22" i="20"/>
  <c r="CBE22" i="20"/>
  <c r="CBF22" i="20"/>
  <c r="CBG22" i="20"/>
  <c r="CBH22" i="20"/>
  <c r="CBI22" i="20"/>
  <c r="CBJ22" i="20"/>
  <c r="CBK22" i="20"/>
  <c r="CBL22" i="20"/>
  <c r="CBM22" i="20"/>
  <c r="CBN22" i="20"/>
  <c r="CBO22" i="20"/>
  <c r="CBP22" i="20"/>
  <c r="CBQ22" i="20"/>
  <c r="CBR22" i="20"/>
  <c r="CBS22" i="20"/>
  <c r="CBT22" i="20"/>
  <c r="CBU22" i="20"/>
  <c r="CBV22" i="20"/>
  <c r="CBW22" i="20"/>
  <c r="CBX22" i="20"/>
  <c r="CBY22" i="20"/>
  <c r="CBZ22" i="20"/>
  <c r="CCA22" i="20"/>
  <c r="CCB22" i="20"/>
  <c r="CCC22" i="20"/>
  <c r="CCD22" i="20"/>
  <c r="CCE22" i="20"/>
  <c r="CCF22" i="20"/>
  <c r="CCG22" i="20"/>
  <c r="CCH22" i="20"/>
  <c r="CCI22" i="20"/>
  <c r="CCJ22" i="20"/>
  <c r="CCK22" i="20"/>
  <c r="CCL22" i="20"/>
  <c r="CCM22" i="20"/>
  <c r="CCN22" i="20"/>
  <c r="CCO22" i="20"/>
  <c r="CCP22" i="20"/>
  <c r="CCQ22" i="20"/>
  <c r="CCR22" i="20"/>
  <c r="CCS22" i="20"/>
  <c r="CCT22" i="20"/>
  <c r="CCU22" i="20"/>
  <c r="CCV22" i="20"/>
  <c r="CCW22" i="20"/>
  <c r="CCX22" i="20"/>
  <c r="CCY22" i="20"/>
  <c r="CCZ22" i="20"/>
  <c r="CDA22" i="20"/>
  <c r="CDB22" i="20"/>
  <c r="CDC22" i="20"/>
  <c r="CDD22" i="20"/>
  <c r="CDE22" i="20"/>
  <c r="CDF22" i="20"/>
  <c r="CDG22" i="20"/>
  <c r="CDH22" i="20"/>
  <c r="CDI22" i="20"/>
  <c r="CDJ22" i="20"/>
  <c r="CDK22" i="20"/>
  <c r="CDL22" i="20"/>
  <c r="CDM22" i="20"/>
  <c r="CDN22" i="20"/>
  <c r="CDO22" i="20"/>
  <c r="CDP22" i="20"/>
  <c r="CDQ22" i="20"/>
  <c r="CDR22" i="20"/>
  <c r="CDS22" i="20"/>
  <c r="CDT22" i="20"/>
  <c r="CDU22" i="20"/>
  <c r="CDV22" i="20"/>
  <c r="CDW22" i="20"/>
  <c r="CDX22" i="20"/>
  <c r="CDY22" i="20"/>
  <c r="CDZ22" i="20"/>
  <c r="CEA22" i="20"/>
  <c r="CEB22" i="20"/>
  <c r="CEC22" i="20"/>
  <c r="CED22" i="20"/>
  <c r="CEE22" i="20"/>
  <c r="CEF22" i="20"/>
  <c r="CEG22" i="20"/>
  <c r="CEH22" i="20"/>
  <c r="CEI22" i="20"/>
  <c r="CEJ22" i="20"/>
  <c r="CEK22" i="20"/>
  <c r="CEL22" i="20"/>
  <c r="CEM22" i="20"/>
  <c r="CEN22" i="20"/>
  <c r="CEO22" i="20"/>
  <c r="CEP22" i="20"/>
  <c r="CEQ22" i="20"/>
  <c r="CER22" i="20"/>
  <c r="CES22" i="20"/>
  <c r="CET22" i="20"/>
  <c r="CEU22" i="20"/>
  <c r="CEV22" i="20"/>
  <c r="CEW22" i="20"/>
  <c r="CEX22" i="20"/>
  <c r="CEY22" i="20"/>
  <c r="CEZ22" i="20"/>
  <c r="CFA22" i="20"/>
  <c r="CFB22" i="20"/>
  <c r="CFC22" i="20"/>
  <c r="CFD22" i="20"/>
  <c r="CFE22" i="20"/>
  <c r="CFF22" i="20"/>
  <c r="CFG22" i="20"/>
  <c r="CFH22" i="20"/>
  <c r="CFI22" i="20"/>
  <c r="CFJ22" i="20"/>
  <c r="CFK22" i="20"/>
  <c r="CFL22" i="20"/>
  <c r="CFM22" i="20"/>
  <c r="CFN22" i="20"/>
  <c r="CFO22" i="20"/>
  <c r="CFP22" i="20"/>
  <c r="CFQ22" i="20"/>
  <c r="CFR22" i="20"/>
  <c r="CFS22" i="20"/>
  <c r="CFT22" i="20"/>
  <c r="CFU22" i="20"/>
  <c r="CFV22" i="20"/>
  <c r="CFW22" i="20"/>
  <c r="CFX22" i="20"/>
  <c r="CFY22" i="20"/>
  <c r="CFZ22" i="20"/>
  <c r="CGA22" i="20"/>
  <c r="CGB22" i="20"/>
  <c r="CGC22" i="20"/>
  <c r="CGD22" i="20"/>
  <c r="CGE22" i="20"/>
  <c r="CGF22" i="20"/>
  <c r="CGG22" i="20"/>
  <c r="CGH22" i="20"/>
  <c r="CGI22" i="20"/>
  <c r="CGJ22" i="20"/>
  <c r="CGK22" i="20"/>
  <c r="CGL22" i="20"/>
  <c r="CGM22" i="20"/>
  <c r="CGN22" i="20"/>
  <c r="CGO22" i="20"/>
  <c r="CGP22" i="20"/>
  <c r="CGQ22" i="20"/>
  <c r="CGR22" i="20"/>
  <c r="CGS22" i="20"/>
  <c r="CGT22" i="20"/>
  <c r="CGU22" i="20"/>
  <c r="CGV22" i="20"/>
  <c r="CGW22" i="20"/>
  <c r="CGX22" i="20"/>
  <c r="CGY22" i="20"/>
  <c r="CGZ22" i="20"/>
  <c r="CHA22" i="20"/>
  <c r="CHB22" i="20"/>
  <c r="CHC22" i="20"/>
  <c r="CHD22" i="20"/>
  <c r="CHE22" i="20"/>
  <c r="CHF22" i="20"/>
  <c r="CHG22" i="20"/>
  <c r="CHH22" i="20"/>
  <c r="CHI22" i="20"/>
  <c r="CHJ22" i="20"/>
  <c r="CHK22" i="20"/>
  <c r="CHL22" i="20"/>
  <c r="CHM22" i="20"/>
  <c r="CHN22" i="20"/>
  <c r="CHO22" i="20"/>
  <c r="CHP22" i="20"/>
  <c r="CHQ22" i="20"/>
  <c r="CHR22" i="20"/>
  <c r="CHS22" i="20"/>
  <c r="CHT22" i="20"/>
  <c r="CHU22" i="20"/>
  <c r="CHV22" i="20"/>
  <c r="CHW22" i="20"/>
  <c r="CHX22" i="20"/>
  <c r="CHY22" i="20"/>
  <c r="CHZ22" i="20"/>
  <c r="CIA22" i="20"/>
  <c r="CIB22" i="20"/>
  <c r="CIC22" i="20"/>
  <c r="CID22" i="20"/>
  <c r="CIE22" i="20"/>
  <c r="CIF22" i="20"/>
  <c r="CIG22" i="20"/>
  <c r="CIH22" i="20"/>
  <c r="CII22" i="20"/>
  <c r="CIJ22" i="20"/>
  <c r="CIK22" i="20"/>
  <c r="CIL22" i="20"/>
  <c r="CIM22" i="20"/>
  <c r="CIN22" i="20"/>
  <c r="CIO22" i="20"/>
  <c r="CIP22" i="20"/>
  <c r="CIQ22" i="20"/>
  <c r="CIR22" i="20"/>
  <c r="CIS22" i="20"/>
  <c r="CIT22" i="20"/>
  <c r="CIU22" i="20"/>
  <c r="CIV22" i="20"/>
  <c r="CIW22" i="20"/>
  <c r="CIX22" i="20"/>
  <c r="CIY22" i="20"/>
  <c r="CIZ22" i="20"/>
  <c r="CJA22" i="20"/>
  <c r="CJB22" i="20"/>
  <c r="CJC22" i="20"/>
  <c r="CJD22" i="20"/>
  <c r="CJE22" i="20"/>
  <c r="CJF22" i="20"/>
  <c r="CJG22" i="20"/>
  <c r="CJH22" i="20"/>
  <c r="CJI22" i="20"/>
  <c r="CJJ22" i="20"/>
  <c r="CJK22" i="20"/>
  <c r="CJL22" i="20"/>
  <c r="CJM22" i="20"/>
  <c r="CJN22" i="20"/>
  <c r="CJO22" i="20"/>
  <c r="CJP22" i="20"/>
  <c r="CJQ22" i="20"/>
  <c r="CJR22" i="20"/>
  <c r="CJS22" i="20"/>
  <c r="CJT22" i="20"/>
  <c r="CJU22" i="20"/>
  <c r="CJV22" i="20"/>
  <c r="CJW22" i="20"/>
  <c r="CJX22" i="20"/>
  <c r="CJY22" i="20"/>
  <c r="CJZ22" i="20"/>
  <c r="CKA22" i="20"/>
  <c r="CKB22" i="20"/>
  <c r="CKC22" i="20"/>
  <c r="CKD22" i="20"/>
  <c r="CKE22" i="20"/>
  <c r="CKF22" i="20"/>
  <c r="CKG22" i="20"/>
  <c r="CKH22" i="20"/>
  <c r="CKI22" i="20"/>
  <c r="CKJ22" i="20"/>
  <c r="CKK22" i="20"/>
  <c r="CKL22" i="20"/>
  <c r="CKM22" i="20"/>
  <c r="CKN22" i="20"/>
  <c r="CKO22" i="20"/>
  <c r="CKP22" i="20"/>
  <c r="CKQ22" i="20"/>
  <c r="CKR22" i="20"/>
  <c r="CKS22" i="20"/>
  <c r="CKT22" i="20"/>
  <c r="CKU22" i="20"/>
  <c r="CKV22" i="20"/>
  <c r="CKW22" i="20"/>
  <c r="CKX22" i="20"/>
  <c r="CKY22" i="20"/>
  <c r="CKZ22" i="20"/>
  <c r="CLA22" i="20"/>
  <c r="CLB22" i="20"/>
  <c r="CLC22" i="20"/>
  <c r="CLD22" i="20"/>
  <c r="CLE22" i="20"/>
  <c r="CLF22" i="20"/>
  <c r="CLG22" i="20"/>
  <c r="CLH22" i="20"/>
  <c r="CLI22" i="20"/>
  <c r="CLJ22" i="20"/>
  <c r="CLK22" i="20"/>
  <c r="CLL22" i="20"/>
  <c r="CLM22" i="20"/>
  <c r="CLN22" i="20"/>
  <c r="CLO22" i="20"/>
  <c r="CLP22" i="20"/>
  <c r="CLQ22" i="20"/>
  <c r="CLR22" i="20"/>
  <c r="CLS22" i="20"/>
  <c r="CLT22" i="20"/>
  <c r="CLU22" i="20"/>
  <c r="CLV22" i="20"/>
  <c r="CLW22" i="20"/>
  <c r="CLX22" i="20"/>
  <c r="CLY22" i="20"/>
  <c r="CLZ22" i="20"/>
  <c r="CMA22" i="20"/>
  <c r="CMB22" i="20"/>
  <c r="CMC22" i="20"/>
  <c r="CMD22" i="20"/>
  <c r="CME22" i="20"/>
  <c r="CMF22" i="20"/>
  <c r="CMG22" i="20"/>
  <c r="CMH22" i="20"/>
  <c r="CMI22" i="20"/>
  <c r="CMJ22" i="20"/>
  <c r="CMK22" i="20"/>
  <c r="CML22" i="20"/>
  <c r="CMM22" i="20"/>
  <c r="CMN22" i="20"/>
  <c r="CMO22" i="20"/>
  <c r="CMP22" i="20"/>
  <c r="CMQ22" i="20"/>
  <c r="CMR22" i="20"/>
  <c r="CMS22" i="20"/>
  <c r="CMT22" i="20"/>
  <c r="CMU22" i="20"/>
  <c r="CMV22" i="20"/>
  <c r="CMW22" i="20"/>
  <c r="CMX22" i="20"/>
  <c r="CMY22" i="20"/>
  <c r="CMZ22" i="20"/>
  <c r="CNA22" i="20"/>
  <c r="CNB22" i="20"/>
  <c r="CNC22" i="20"/>
  <c r="CND22" i="20"/>
  <c r="CNE22" i="20"/>
  <c r="CNF22" i="20"/>
  <c r="CNG22" i="20"/>
  <c r="CNH22" i="20"/>
  <c r="CNI22" i="20"/>
  <c r="CNJ22" i="20"/>
  <c r="CNK22" i="20"/>
  <c r="CNL22" i="20"/>
  <c r="CNM22" i="20"/>
  <c r="CNN22" i="20"/>
  <c r="CNO22" i="20"/>
  <c r="CNP22" i="20"/>
  <c r="CNQ22" i="20"/>
  <c r="CNR22" i="20"/>
  <c r="CNS22" i="20"/>
  <c r="CNT22" i="20"/>
  <c r="CNU22" i="20"/>
  <c r="CNV22" i="20"/>
  <c r="CNW22" i="20"/>
  <c r="CNX22" i="20"/>
  <c r="CNY22" i="20"/>
  <c r="CNZ22" i="20"/>
  <c r="COA22" i="20"/>
  <c r="COB22" i="20"/>
  <c r="COC22" i="20"/>
  <c r="COD22" i="20"/>
  <c r="COE22" i="20"/>
  <c r="COF22" i="20"/>
  <c r="COG22" i="20"/>
  <c r="COH22" i="20"/>
  <c r="COI22" i="20"/>
  <c r="COJ22" i="20"/>
  <c r="COK22" i="20"/>
  <c r="COL22" i="20"/>
  <c r="COM22" i="20"/>
  <c r="CON22" i="20"/>
  <c r="COO22" i="20"/>
  <c r="COP22" i="20"/>
  <c r="COQ22" i="20"/>
  <c r="COR22" i="20"/>
  <c r="COS22" i="20"/>
  <c r="COT22" i="20"/>
  <c r="COU22" i="20"/>
  <c r="COV22" i="20"/>
  <c r="COW22" i="20"/>
  <c r="COX22" i="20"/>
  <c r="COY22" i="20"/>
  <c r="COZ22" i="20"/>
  <c r="CPA22" i="20"/>
  <c r="CPB22" i="20"/>
  <c r="CPC22" i="20"/>
  <c r="CPD22" i="20"/>
  <c r="CPE22" i="20"/>
  <c r="CPF22" i="20"/>
  <c r="CPG22" i="20"/>
  <c r="CPH22" i="20"/>
  <c r="CPI22" i="20"/>
  <c r="CPJ22" i="20"/>
  <c r="CPK22" i="20"/>
  <c r="CPL22" i="20"/>
  <c r="CPM22" i="20"/>
  <c r="CPN22" i="20"/>
  <c r="CPO22" i="20"/>
  <c r="CPP22" i="20"/>
  <c r="CPQ22" i="20"/>
  <c r="CPR22" i="20"/>
  <c r="CPS22" i="20"/>
  <c r="CPT22" i="20"/>
  <c r="CPU22" i="20"/>
  <c r="CPV22" i="20"/>
  <c r="CPW22" i="20"/>
  <c r="CPX22" i="20"/>
  <c r="CPY22" i="20"/>
  <c r="CPZ22" i="20"/>
  <c r="CQA22" i="20"/>
  <c r="CQB22" i="20"/>
  <c r="CQC22" i="20"/>
  <c r="CQD22" i="20"/>
  <c r="CQE22" i="20"/>
  <c r="CQF22" i="20"/>
  <c r="CQG22" i="20"/>
  <c r="CQH22" i="20"/>
  <c r="CQI22" i="20"/>
  <c r="CQJ22" i="20"/>
  <c r="CQK22" i="20"/>
  <c r="CQL22" i="20"/>
  <c r="CQM22" i="20"/>
  <c r="CQN22" i="20"/>
  <c r="CQO22" i="20"/>
  <c r="CQP22" i="20"/>
  <c r="CQQ22" i="20"/>
  <c r="CQR22" i="20"/>
  <c r="CQS22" i="20"/>
  <c r="CQT22" i="20"/>
  <c r="CQU22" i="20"/>
  <c r="CQV22" i="20"/>
  <c r="CQW22" i="20"/>
  <c r="CQX22" i="20"/>
  <c r="CQY22" i="20"/>
  <c r="CQZ22" i="20"/>
  <c r="CRA22" i="20"/>
  <c r="CRB22" i="20"/>
  <c r="CRC22" i="20"/>
  <c r="CRD22" i="20"/>
  <c r="CRE22" i="20"/>
  <c r="CRF22" i="20"/>
  <c r="CRG22" i="20"/>
  <c r="CRH22" i="20"/>
  <c r="CRI22" i="20"/>
  <c r="CRJ22" i="20"/>
  <c r="CRK22" i="20"/>
  <c r="CRL22" i="20"/>
  <c r="CRM22" i="20"/>
  <c r="CRN22" i="20"/>
  <c r="CRO22" i="20"/>
  <c r="CRP22" i="20"/>
  <c r="CRQ22" i="20"/>
  <c r="CRR22" i="20"/>
  <c r="CRS22" i="20"/>
  <c r="CRT22" i="20"/>
  <c r="CRU22" i="20"/>
  <c r="CRV22" i="20"/>
  <c r="CRW22" i="20"/>
  <c r="CRX22" i="20"/>
  <c r="CRY22" i="20"/>
  <c r="CRZ22" i="20"/>
  <c r="CSA22" i="20"/>
  <c r="CSB22" i="20"/>
  <c r="CSC22" i="20"/>
  <c r="CSD22" i="20"/>
  <c r="CSE22" i="20"/>
  <c r="CSF22" i="20"/>
  <c r="CSG22" i="20"/>
  <c r="CSH22" i="20"/>
  <c r="CSI22" i="20"/>
  <c r="CSJ22" i="20"/>
  <c r="CSK22" i="20"/>
  <c r="CSL22" i="20"/>
  <c r="CSM22" i="20"/>
  <c r="CSN22" i="20"/>
  <c r="CSO22" i="20"/>
  <c r="CSP22" i="20"/>
  <c r="CSQ22" i="20"/>
  <c r="CSR22" i="20"/>
  <c r="CSS22" i="20"/>
  <c r="CST22" i="20"/>
  <c r="CSU22" i="20"/>
  <c r="CSV22" i="20"/>
  <c r="CSW22" i="20"/>
  <c r="CSX22" i="20"/>
  <c r="CSY22" i="20"/>
  <c r="CSZ22" i="20"/>
  <c r="CTA22" i="20"/>
  <c r="CTB22" i="20"/>
  <c r="CTC22" i="20"/>
  <c r="CTD22" i="20"/>
  <c r="CTE22" i="20"/>
  <c r="CTF22" i="20"/>
  <c r="CTG22" i="20"/>
  <c r="CTH22" i="20"/>
  <c r="CTI22" i="20"/>
  <c r="CTJ22" i="20"/>
  <c r="CTK22" i="20"/>
  <c r="CTL22" i="20"/>
  <c r="CTM22" i="20"/>
  <c r="CTN22" i="20"/>
  <c r="CTO22" i="20"/>
  <c r="CTP22" i="20"/>
  <c r="CTQ22" i="20"/>
  <c r="CTR22" i="20"/>
  <c r="CTS22" i="20"/>
  <c r="CTT22" i="20"/>
  <c r="CTU22" i="20"/>
  <c r="CTV22" i="20"/>
  <c r="CTW22" i="20"/>
  <c r="CTX22" i="20"/>
  <c r="CTY22" i="20"/>
  <c r="CTZ22" i="20"/>
  <c r="CUA22" i="20"/>
  <c r="CUB22" i="20"/>
  <c r="CUC22" i="20"/>
  <c r="CUD22" i="20"/>
  <c r="CUE22" i="20"/>
  <c r="CUF22" i="20"/>
  <c r="CUG22" i="20"/>
  <c r="CUH22" i="20"/>
  <c r="CUI22" i="20"/>
  <c r="CUJ22" i="20"/>
  <c r="CUK22" i="20"/>
  <c r="CUL22" i="20"/>
  <c r="CUM22" i="20"/>
  <c r="CUN22" i="20"/>
  <c r="CUO22" i="20"/>
  <c r="CUP22" i="20"/>
  <c r="CUQ22" i="20"/>
  <c r="CUR22" i="20"/>
  <c r="CUS22" i="20"/>
  <c r="CUT22" i="20"/>
  <c r="CUU22" i="20"/>
  <c r="CUV22" i="20"/>
  <c r="CUW22" i="20"/>
  <c r="CUX22" i="20"/>
  <c r="CUY22" i="20"/>
  <c r="CUZ22" i="20"/>
  <c r="CVA22" i="20"/>
  <c r="CVB22" i="20"/>
  <c r="CVC22" i="20"/>
  <c r="CVD22" i="20"/>
  <c r="CVE22" i="20"/>
  <c r="CVF22" i="20"/>
  <c r="CVG22" i="20"/>
  <c r="CVH22" i="20"/>
  <c r="CVI22" i="20"/>
  <c r="CVJ22" i="20"/>
  <c r="CVK22" i="20"/>
  <c r="CVL22" i="20"/>
  <c r="CVM22" i="20"/>
  <c r="CVN22" i="20"/>
  <c r="CVO22" i="20"/>
  <c r="CVP22" i="20"/>
  <c r="CVQ22" i="20"/>
  <c r="CVR22" i="20"/>
  <c r="CVS22" i="20"/>
  <c r="CVT22" i="20"/>
  <c r="CVU22" i="20"/>
  <c r="CVV22" i="20"/>
  <c r="CVW22" i="20"/>
  <c r="CVX22" i="20"/>
  <c r="CVY22" i="20"/>
  <c r="CVZ22" i="20"/>
  <c r="CWA22" i="20"/>
  <c r="CWB22" i="20"/>
  <c r="CWC22" i="20"/>
  <c r="CWD22" i="20"/>
  <c r="CWE22" i="20"/>
  <c r="CWF22" i="20"/>
  <c r="CWG22" i="20"/>
  <c r="CWH22" i="20"/>
  <c r="CWI22" i="20"/>
  <c r="CWJ22" i="20"/>
  <c r="CWK22" i="20"/>
  <c r="CWL22" i="20"/>
  <c r="CWM22" i="20"/>
  <c r="CWN22" i="20"/>
  <c r="CWO22" i="20"/>
  <c r="CWP22" i="20"/>
  <c r="CWQ22" i="20"/>
  <c r="CWR22" i="20"/>
  <c r="CWS22" i="20"/>
  <c r="CWT22" i="20"/>
  <c r="CWU22" i="20"/>
  <c r="CWV22" i="20"/>
  <c r="CWW22" i="20"/>
  <c r="CWX22" i="20"/>
  <c r="CWY22" i="20"/>
  <c r="CWZ22" i="20"/>
  <c r="CXA22" i="20"/>
  <c r="CXB22" i="20"/>
  <c r="CXC22" i="20"/>
  <c r="CXD22" i="20"/>
  <c r="CXE22" i="20"/>
  <c r="CXF22" i="20"/>
  <c r="CXG22" i="20"/>
  <c r="CXH22" i="20"/>
  <c r="CXI22" i="20"/>
  <c r="CXJ22" i="20"/>
  <c r="CXK22" i="20"/>
  <c r="CXL22" i="20"/>
  <c r="CXM22" i="20"/>
  <c r="CXN22" i="20"/>
  <c r="CXO22" i="20"/>
  <c r="CXP22" i="20"/>
  <c r="CXQ22" i="20"/>
  <c r="CXR22" i="20"/>
  <c r="CXS22" i="20"/>
  <c r="CXT22" i="20"/>
  <c r="CXU22" i="20"/>
  <c r="CXV22" i="20"/>
  <c r="CXW22" i="20"/>
  <c r="CXX22" i="20"/>
  <c r="CXY22" i="20"/>
  <c r="CXZ22" i="20"/>
  <c r="CYA22" i="20"/>
  <c r="CYB22" i="20"/>
  <c r="CYC22" i="20"/>
  <c r="CYD22" i="20"/>
  <c r="CYE22" i="20"/>
  <c r="CYF22" i="20"/>
  <c r="CYG22" i="20"/>
  <c r="CYH22" i="20"/>
  <c r="CYI22" i="20"/>
  <c r="CYJ22" i="20"/>
  <c r="CYK22" i="20"/>
  <c r="CYL22" i="20"/>
  <c r="CYM22" i="20"/>
  <c r="CYN22" i="20"/>
  <c r="CYO22" i="20"/>
  <c r="CYP22" i="20"/>
  <c r="CYQ22" i="20"/>
  <c r="CYR22" i="20"/>
  <c r="CYS22" i="20"/>
  <c r="CYT22" i="20"/>
  <c r="CYU22" i="20"/>
  <c r="CYV22" i="20"/>
  <c r="CYW22" i="20"/>
  <c r="CYX22" i="20"/>
  <c r="CYY22" i="20"/>
  <c r="CYZ22" i="20"/>
  <c r="CZA22" i="20"/>
  <c r="CZB22" i="20"/>
  <c r="CZC22" i="20"/>
  <c r="CZD22" i="20"/>
  <c r="CZE22" i="20"/>
  <c r="CZF22" i="20"/>
  <c r="CZG22" i="20"/>
  <c r="CZH22" i="20"/>
  <c r="CZI22" i="20"/>
  <c r="CZJ22" i="20"/>
  <c r="CZK22" i="20"/>
  <c r="CZL22" i="20"/>
  <c r="CZM22" i="20"/>
  <c r="CZN22" i="20"/>
  <c r="CZO22" i="20"/>
  <c r="CZP22" i="20"/>
  <c r="CZQ22" i="20"/>
  <c r="CZR22" i="20"/>
  <c r="CZS22" i="20"/>
  <c r="CZT22" i="20"/>
  <c r="CZU22" i="20"/>
  <c r="CZV22" i="20"/>
  <c r="CZW22" i="20"/>
  <c r="CZX22" i="20"/>
  <c r="CZY22" i="20"/>
  <c r="CZZ22" i="20"/>
  <c r="DAA22" i="20"/>
  <c r="DAB22" i="20"/>
  <c r="DAC22" i="20"/>
  <c r="DAD22" i="20"/>
  <c r="DAE22" i="20"/>
  <c r="DAF22" i="20"/>
  <c r="DAG22" i="20"/>
  <c r="DAH22" i="20"/>
  <c r="DAI22" i="20"/>
  <c r="DAJ22" i="20"/>
  <c r="DAK22" i="20"/>
  <c r="DAL22" i="20"/>
  <c r="DAM22" i="20"/>
  <c r="DAN22" i="20"/>
  <c r="DAO22" i="20"/>
  <c r="DAP22" i="20"/>
  <c r="DAQ22" i="20"/>
  <c r="DAR22" i="20"/>
  <c r="DAS22" i="20"/>
  <c r="DAT22" i="20"/>
  <c r="DAU22" i="20"/>
  <c r="DAV22" i="20"/>
  <c r="DAW22" i="20"/>
  <c r="DAX22" i="20"/>
  <c r="DAY22" i="20"/>
  <c r="DAZ22" i="20"/>
  <c r="DBA22" i="20"/>
  <c r="DBB22" i="20"/>
  <c r="DBC22" i="20"/>
  <c r="DBD22" i="20"/>
  <c r="DBE22" i="20"/>
  <c r="DBF22" i="20"/>
  <c r="DBG22" i="20"/>
  <c r="DBH22" i="20"/>
  <c r="DBI22" i="20"/>
  <c r="DBJ22" i="20"/>
  <c r="DBK22" i="20"/>
  <c r="DBL22" i="20"/>
  <c r="DBM22" i="20"/>
  <c r="DBN22" i="20"/>
  <c r="DBO22" i="20"/>
  <c r="DBP22" i="20"/>
  <c r="DBQ22" i="20"/>
  <c r="DBR22" i="20"/>
  <c r="DBS22" i="20"/>
  <c r="DBT22" i="20"/>
  <c r="DBU22" i="20"/>
  <c r="DBV22" i="20"/>
  <c r="DBW22" i="20"/>
  <c r="DBX22" i="20"/>
  <c r="DBY22" i="20"/>
  <c r="DBZ22" i="20"/>
  <c r="DCA22" i="20"/>
  <c r="DCB22" i="20"/>
  <c r="DCC22" i="20"/>
  <c r="DCD22" i="20"/>
  <c r="DCE22" i="20"/>
  <c r="DCF22" i="20"/>
  <c r="DCG22" i="20"/>
  <c r="DCH22" i="20"/>
  <c r="DCI22" i="20"/>
  <c r="DCJ22" i="20"/>
  <c r="DCK22" i="20"/>
  <c r="DCL22" i="20"/>
  <c r="DCM22" i="20"/>
  <c r="DCN22" i="20"/>
  <c r="DCO22" i="20"/>
  <c r="DCP22" i="20"/>
  <c r="DCQ22" i="20"/>
  <c r="DCR22" i="20"/>
  <c r="DCS22" i="20"/>
  <c r="DCT22" i="20"/>
  <c r="DCU22" i="20"/>
  <c r="DCV22" i="20"/>
  <c r="DCW22" i="20"/>
  <c r="DCX22" i="20"/>
  <c r="DCY22" i="20"/>
  <c r="DCZ22" i="20"/>
  <c r="DDA22" i="20"/>
  <c r="DDB22" i="20"/>
  <c r="DDC22" i="20"/>
  <c r="DDD22" i="20"/>
  <c r="DDE22" i="20"/>
  <c r="DDF22" i="20"/>
  <c r="DDG22" i="20"/>
  <c r="DDH22" i="20"/>
  <c r="DDI22" i="20"/>
  <c r="AAE23" i="20"/>
  <c r="AAF23" i="20"/>
  <c r="AAG23" i="20"/>
  <c r="AAH23" i="20"/>
  <c r="AAI23" i="20"/>
  <c r="AAJ23" i="20"/>
  <c r="AAK23" i="20"/>
  <c r="AAL23" i="20"/>
  <c r="AAM23" i="20"/>
  <c r="AAN23" i="20"/>
  <c r="AAO23" i="20"/>
  <c r="AAP23" i="20"/>
  <c r="AAQ23" i="20"/>
  <c r="AAR23" i="20"/>
  <c r="AAS23" i="20"/>
  <c r="AAT23" i="20"/>
  <c r="AAU23" i="20"/>
  <c r="AAV23" i="20"/>
  <c r="AAW23" i="20"/>
  <c r="AAX23" i="20"/>
  <c r="AAY23" i="20"/>
  <c r="AAZ23" i="20"/>
  <c r="ABA23" i="20"/>
  <c r="ABB23" i="20"/>
  <c r="ABC23" i="20"/>
  <c r="ABD23" i="20"/>
  <c r="ABE23" i="20"/>
  <c r="ABF23" i="20"/>
  <c r="ABG23" i="20"/>
  <c r="ABH23" i="20"/>
  <c r="ABI23" i="20"/>
  <c r="ABJ23" i="20"/>
  <c r="ABK23" i="20"/>
  <c r="ABL23" i="20"/>
  <c r="ABM23" i="20"/>
  <c r="ABN23" i="20"/>
  <c r="ABO23" i="20"/>
  <c r="ABP23" i="20"/>
  <c r="ABQ23" i="20"/>
  <c r="ABR23" i="20"/>
  <c r="ABS23" i="20"/>
  <c r="ABT23" i="20"/>
  <c r="ABU23" i="20"/>
  <c r="ABV23" i="20"/>
  <c r="ABW23" i="20"/>
  <c r="ABX23" i="20"/>
  <c r="ABY23" i="20"/>
  <c r="ABZ23" i="20"/>
  <c r="ACA23" i="20"/>
  <c r="ACB23" i="20"/>
  <c r="ACC23" i="20"/>
  <c r="ACD23" i="20"/>
  <c r="ACE23" i="20"/>
  <c r="ACF23" i="20"/>
  <c r="ACG23" i="20"/>
  <c r="ACH23" i="20"/>
  <c r="ACI23" i="20"/>
  <c r="ACJ23" i="20"/>
  <c r="ACK23" i="20"/>
  <c r="ACL23" i="20"/>
  <c r="ACM23" i="20"/>
  <c r="ACN23" i="20"/>
  <c r="ACO23" i="20"/>
  <c r="ACP23" i="20"/>
  <c r="ACQ23" i="20"/>
  <c r="ACR23" i="20"/>
  <c r="ACS23" i="20"/>
  <c r="ACT23" i="20"/>
  <c r="ACU23" i="20"/>
  <c r="ACV23" i="20"/>
  <c r="ACW23" i="20"/>
  <c r="ACX23" i="20"/>
  <c r="ACY23" i="20"/>
  <c r="ACZ23" i="20"/>
  <c r="ADA23" i="20"/>
  <c r="ADB23" i="20"/>
  <c r="ADC23" i="20"/>
  <c r="ADD23" i="20"/>
  <c r="ADE23" i="20"/>
  <c r="ADF23" i="20"/>
  <c r="ADG23" i="20"/>
  <c r="ADH23" i="20"/>
  <c r="ADI23" i="20"/>
  <c r="ADJ23" i="20"/>
  <c r="ADK23" i="20"/>
  <c r="ADL23" i="20"/>
  <c r="ADM23" i="20"/>
  <c r="ADN23" i="20"/>
  <c r="ADO23" i="20"/>
  <c r="ADP23" i="20"/>
  <c r="ADQ23" i="20"/>
  <c r="ADR23" i="20"/>
  <c r="ADS23" i="20"/>
  <c r="ADT23" i="20"/>
  <c r="ADU23" i="20"/>
  <c r="ADV23" i="20"/>
  <c r="ADW23" i="20"/>
  <c r="ADX23" i="20"/>
  <c r="ADY23" i="20"/>
  <c r="ADZ23" i="20"/>
  <c r="AEA23" i="20"/>
  <c r="AEB23" i="20"/>
  <c r="AEC23" i="20"/>
  <c r="AED23" i="20"/>
  <c r="AEE23" i="20"/>
  <c r="AEF23" i="20"/>
  <c r="AEG23" i="20"/>
  <c r="AEH23" i="20"/>
  <c r="AEI23" i="20"/>
  <c r="AEJ23" i="20"/>
  <c r="AEK23" i="20"/>
  <c r="AEL23" i="20"/>
  <c r="AEM23" i="20"/>
  <c r="AEN23" i="20"/>
  <c r="AEO23" i="20"/>
  <c r="AEP23" i="20"/>
  <c r="AEQ23" i="20"/>
  <c r="AER23" i="20"/>
  <c r="AES23" i="20"/>
  <c r="AET23" i="20"/>
  <c r="AEU23" i="20"/>
  <c r="AEV23" i="20"/>
  <c r="AEW23" i="20"/>
  <c r="AEX23" i="20"/>
  <c r="AEY23" i="20"/>
  <c r="AEZ23" i="20"/>
  <c r="AFA23" i="20"/>
  <c r="AFB23" i="20"/>
  <c r="AFC23" i="20"/>
  <c r="AFD23" i="20"/>
  <c r="AFE23" i="20"/>
  <c r="AFF23" i="20"/>
  <c r="AFG23" i="20"/>
  <c r="AFH23" i="20"/>
  <c r="AFI23" i="20"/>
  <c r="AFJ23" i="20"/>
  <c r="AFK23" i="20"/>
  <c r="AFL23" i="20"/>
  <c r="AFM23" i="20"/>
  <c r="AFN23" i="20"/>
  <c r="AFO23" i="20"/>
  <c r="AFP23" i="20"/>
  <c r="AFQ23" i="20"/>
  <c r="AFR23" i="20"/>
  <c r="AFS23" i="20"/>
  <c r="AFT23" i="20"/>
  <c r="AFU23" i="20"/>
  <c r="AFV23" i="20"/>
  <c r="AFW23" i="20"/>
  <c r="AFX23" i="20"/>
  <c r="AFY23" i="20"/>
  <c r="AFZ23" i="20"/>
  <c r="AGA23" i="20"/>
  <c r="AGB23" i="20"/>
  <c r="AGC23" i="20"/>
  <c r="AGD23" i="20"/>
  <c r="AGE23" i="20"/>
  <c r="AGF23" i="20"/>
  <c r="AGG23" i="20"/>
  <c r="AGH23" i="20"/>
  <c r="AGI23" i="20"/>
  <c r="AGJ23" i="20"/>
  <c r="AGK23" i="20"/>
  <c r="AGL23" i="20"/>
  <c r="AGM23" i="20"/>
  <c r="AGN23" i="20"/>
  <c r="AGO23" i="20"/>
  <c r="AGP23" i="20"/>
  <c r="AGQ23" i="20"/>
  <c r="AGR23" i="20"/>
  <c r="AGS23" i="20"/>
  <c r="AGT23" i="20"/>
  <c r="AGU23" i="20"/>
  <c r="AGV23" i="20"/>
  <c r="AGW23" i="20"/>
  <c r="AGX23" i="20"/>
  <c r="AGY23" i="20"/>
  <c r="AGZ23" i="20"/>
  <c r="AHA23" i="20"/>
  <c r="AHB23" i="20"/>
  <c r="AHC23" i="20"/>
  <c r="AHD23" i="20"/>
  <c r="AHE23" i="20"/>
  <c r="AHF23" i="20"/>
  <c r="AHG23" i="20"/>
  <c r="AHH23" i="20"/>
  <c r="AHI23" i="20"/>
  <c r="AHJ23" i="20"/>
  <c r="AHK23" i="20"/>
  <c r="AHL23" i="20"/>
  <c r="AHM23" i="20"/>
  <c r="AHN23" i="20"/>
  <c r="AHO23" i="20"/>
  <c r="AHP23" i="20"/>
  <c r="AHQ23" i="20"/>
  <c r="AHR23" i="20"/>
  <c r="AHS23" i="20"/>
  <c r="AHT23" i="20"/>
  <c r="AHU23" i="20"/>
  <c r="AHV23" i="20"/>
  <c r="AHW23" i="20"/>
  <c r="AHX23" i="20"/>
  <c r="AHY23" i="20"/>
  <c r="AHZ23" i="20"/>
  <c r="AIA23" i="20"/>
  <c r="AIB23" i="20"/>
  <c r="AIC23" i="20"/>
  <c r="AID23" i="20"/>
  <c r="AIE23" i="20"/>
  <c r="AIF23" i="20"/>
  <c r="AIG23" i="20"/>
  <c r="AIH23" i="20"/>
  <c r="AII23" i="20"/>
  <c r="AIJ23" i="20"/>
  <c r="AIK23" i="20"/>
  <c r="AIL23" i="20"/>
  <c r="AIM23" i="20"/>
  <c r="AIN23" i="20"/>
  <c r="AIO23" i="20"/>
  <c r="AIP23" i="20"/>
  <c r="AIQ23" i="20"/>
  <c r="AIR23" i="20"/>
  <c r="AIS23" i="20"/>
  <c r="AIT23" i="20"/>
  <c r="AIU23" i="20"/>
  <c r="AIV23" i="20"/>
  <c r="AIW23" i="20"/>
  <c r="AIX23" i="20"/>
  <c r="AIY23" i="20"/>
  <c r="AIZ23" i="20"/>
  <c r="AJA23" i="20"/>
  <c r="AJB23" i="20"/>
  <c r="AJC23" i="20"/>
  <c r="AJD23" i="20"/>
  <c r="AJE23" i="20"/>
  <c r="AJF23" i="20"/>
  <c r="AJG23" i="20"/>
  <c r="AJH23" i="20"/>
  <c r="AJI23" i="20"/>
  <c r="AJJ23" i="20"/>
  <c r="AJK23" i="20"/>
  <c r="AJL23" i="20"/>
  <c r="AJM23" i="20"/>
  <c r="AJN23" i="20"/>
  <c r="AJO23" i="20"/>
  <c r="AJP23" i="20"/>
  <c r="AJQ23" i="20"/>
  <c r="AJR23" i="20"/>
  <c r="AJS23" i="20"/>
  <c r="AJT23" i="20"/>
  <c r="AJU23" i="20"/>
  <c r="AJV23" i="20"/>
  <c r="AJW23" i="20"/>
  <c r="AJX23" i="20"/>
  <c r="AJY23" i="20"/>
  <c r="AJZ23" i="20"/>
  <c r="AKA23" i="20"/>
  <c r="AKB23" i="20"/>
  <c r="AKC23" i="20"/>
  <c r="AKD23" i="20"/>
  <c r="AKE23" i="20"/>
  <c r="AKF23" i="20"/>
  <c r="AKG23" i="20"/>
  <c r="AKH23" i="20"/>
  <c r="AKI23" i="20"/>
  <c r="AKJ23" i="20"/>
  <c r="AKK23" i="20"/>
  <c r="AKL23" i="20"/>
  <c r="AKM23" i="20"/>
  <c r="AKN23" i="20"/>
  <c r="AKO23" i="20"/>
  <c r="AKP23" i="20"/>
  <c r="AKQ23" i="20"/>
  <c r="AKR23" i="20"/>
  <c r="AKS23" i="20"/>
  <c r="AKT23" i="20"/>
  <c r="AKU23" i="20"/>
  <c r="AKV23" i="20"/>
  <c r="AKW23" i="20"/>
  <c r="AKX23" i="20"/>
  <c r="AKY23" i="20"/>
  <c r="AKZ23" i="20"/>
  <c r="ALA23" i="20"/>
  <c r="ALB23" i="20"/>
  <c r="ALC23" i="20"/>
  <c r="ALD23" i="20"/>
  <c r="ALE23" i="20"/>
  <c r="ALF23" i="20"/>
  <c r="ALG23" i="20"/>
  <c r="ALH23" i="20"/>
  <c r="ALI23" i="20"/>
  <c r="ALJ23" i="20"/>
  <c r="ALK23" i="20"/>
  <c r="ALL23" i="20"/>
  <c r="ALM23" i="20"/>
  <c r="ALN23" i="20"/>
  <c r="ALO23" i="20"/>
  <c r="ALP23" i="20"/>
  <c r="ALQ23" i="20"/>
  <c r="ALR23" i="20"/>
  <c r="ALS23" i="20"/>
  <c r="ALT23" i="20"/>
  <c r="ALU23" i="20"/>
  <c r="ALV23" i="20"/>
  <c r="ALW23" i="20"/>
  <c r="ALX23" i="20"/>
  <c r="ALY23" i="20"/>
  <c r="ALZ23" i="20"/>
  <c r="AMA23" i="20"/>
  <c r="AMB23" i="20"/>
  <c r="AMC23" i="20"/>
  <c r="AMD23" i="20"/>
  <c r="AME23" i="20"/>
  <c r="AMF23" i="20"/>
  <c r="AMG23" i="20"/>
  <c r="AMH23" i="20"/>
  <c r="AMI23" i="20"/>
  <c r="AMJ23" i="20"/>
  <c r="AMK23" i="20"/>
  <c r="AML23" i="20"/>
  <c r="AMM23" i="20"/>
  <c r="AMN23" i="20"/>
  <c r="AMO23" i="20"/>
  <c r="AMP23" i="20"/>
  <c r="AMQ23" i="20"/>
  <c r="AMR23" i="20"/>
  <c r="AMS23" i="20"/>
  <c r="AMT23" i="20"/>
  <c r="AMU23" i="20"/>
  <c r="AMV23" i="20"/>
  <c r="AMW23" i="20"/>
  <c r="AMX23" i="20"/>
  <c r="AMY23" i="20"/>
  <c r="AMZ23" i="20"/>
  <c r="ANA23" i="20"/>
  <c r="ANB23" i="20"/>
  <c r="ANC23" i="20"/>
  <c r="AND23" i="20"/>
  <c r="ANE23" i="20"/>
  <c r="ANF23" i="20"/>
  <c r="ANG23" i="20"/>
  <c r="ANH23" i="20"/>
  <c r="ANI23" i="20"/>
  <c r="ANJ23" i="20"/>
  <c r="ANK23" i="20"/>
  <c r="ANL23" i="20"/>
  <c r="ANM23" i="20"/>
  <c r="ANN23" i="20"/>
  <c r="ANO23" i="20"/>
  <c r="ANP23" i="20"/>
  <c r="ANQ23" i="20"/>
  <c r="ANR23" i="20"/>
  <c r="ANS23" i="20"/>
  <c r="ANT23" i="20"/>
  <c r="ANU23" i="20"/>
  <c r="ANV23" i="20"/>
  <c r="ANW23" i="20"/>
  <c r="ANX23" i="20"/>
  <c r="ANY23" i="20"/>
  <c r="ANZ23" i="20"/>
  <c r="AOA23" i="20"/>
  <c r="AOB23" i="20"/>
  <c r="AOC23" i="20"/>
  <c r="AOD23" i="20"/>
  <c r="AOE23" i="20"/>
  <c r="AOF23" i="20"/>
  <c r="AOG23" i="20"/>
  <c r="AOH23" i="20"/>
  <c r="AOI23" i="20"/>
  <c r="AOJ23" i="20"/>
  <c r="AOK23" i="20"/>
  <c r="AOL23" i="20"/>
  <c r="AOM23" i="20"/>
  <c r="AON23" i="20"/>
  <c r="AOO23" i="20"/>
  <c r="AOP23" i="20"/>
  <c r="AOQ23" i="20"/>
  <c r="AOR23" i="20"/>
  <c r="AOS23" i="20"/>
  <c r="AOT23" i="20"/>
  <c r="AOU23" i="20"/>
  <c r="AOV23" i="20"/>
  <c r="AOW23" i="20"/>
  <c r="AOX23" i="20"/>
  <c r="AOY23" i="20"/>
  <c r="AOZ23" i="20"/>
  <c r="APA23" i="20"/>
  <c r="APB23" i="20"/>
  <c r="APC23" i="20"/>
  <c r="APD23" i="20"/>
  <c r="APE23" i="20"/>
  <c r="APF23" i="20"/>
  <c r="APG23" i="20"/>
  <c r="APH23" i="20"/>
  <c r="API23" i="20"/>
  <c r="APJ23" i="20"/>
  <c r="APK23" i="20"/>
  <c r="APL23" i="20"/>
  <c r="APM23" i="20"/>
  <c r="APN23" i="20"/>
  <c r="APO23" i="20"/>
  <c r="APP23" i="20"/>
  <c r="APQ23" i="20"/>
  <c r="APR23" i="20"/>
  <c r="APS23" i="20"/>
  <c r="APT23" i="20"/>
  <c r="APU23" i="20"/>
  <c r="APV23" i="20"/>
  <c r="APW23" i="20"/>
  <c r="APX23" i="20"/>
  <c r="APY23" i="20"/>
  <c r="APZ23" i="20"/>
  <c r="AQA23" i="20"/>
  <c r="AQB23" i="20"/>
  <c r="AQC23" i="20"/>
  <c r="AQD23" i="20"/>
  <c r="AQE23" i="20"/>
  <c r="AQF23" i="20"/>
  <c r="AQG23" i="20"/>
  <c r="AQH23" i="20"/>
  <c r="AQI23" i="20"/>
  <c r="AQJ23" i="20"/>
  <c r="AQK23" i="20"/>
  <c r="AQL23" i="20"/>
  <c r="AQM23" i="20"/>
  <c r="AQN23" i="20"/>
  <c r="AQO23" i="20"/>
  <c r="AQP23" i="20"/>
  <c r="AQQ23" i="20"/>
  <c r="AQR23" i="20"/>
  <c r="AQS23" i="20"/>
  <c r="AQT23" i="20"/>
  <c r="AQU23" i="20"/>
  <c r="AQV23" i="20"/>
  <c r="AQW23" i="20"/>
  <c r="AQX23" i="20"/>
  <c r="AQY23" i="20"/>
  <c r="AQZ23" i="20"/>
  <c r="ARA23" i="20"/>
  <c r="ARB23" i="20"/>
  <c r="ARC23" i="20"/>
  <c r="ARD23" i="20"/>
  <c r="ARE23" i="20"/>
  <c r="ARF23" i="20"/>
  <c r="ARG23" i="20"/>
  <c r="ARH23" i="20"/>
  <c r="ARI23" i="20"/>
  <c r="ARJ23" i="20"/>
  <c r="ARK23" i="20"/>
  <c r="ARL23" i="20"/>
  <c r="ARM23" i="20"/>
  <c r="ARN23" i="20"/>
  <c r="ARO23" i="20"/>
  <c r="ARP23" i="20"/>
  <c r="ARQ23" i="20"/>
  <c r="ARR23" i="20"/>
  <c r="ARS23" i="20"/>
  <c r="ART23" i="20"/>
  <c r="ARU23" i="20"/>
  <c r="ARV23" i="20"/>
  <c r="ARW23" i="20"/>
  <c r="ARX23" i="20"/>
  <c r="ARY23" i="20"/>
  <c r="ARZ23" i="20"/>
  <c r="ASA23" i="20"/>
  <c r="ASB23" i="20"/>
  <c r="ASC23" i="20"/>
  <c r="ASD23" i="20"/>
  <c r="ASE23" i="20"/>
  <c r="ASF23" i="20"/>
  <c r="ASG23" i="20"/>
  <c r="ASH23" i="20"/>
  <c r="ASI23" i="20"/>
  <c r="ASJ23" i="20"/>
  <c r="ASK23" i="20"/>
  <c r="ASL23" i="20"/>
  <c r="ASM23" i="20"/>
  <c r="ASN23" i="20"/>
  <c r="ASO23" i="20"/>
  <c r="ASP23" i="20"/>
  <c r="ASQ23" i="20"/>
  <c r="ASR23" i="20"/>
  <c r="ASS23" i="20"/>
  <c r="AST23" i="20"/>
  <c r="ASU23" i="20"/>
  <c r="ASV23" i="20"/>
  <c r="ASW23" i="20"/>
  <c r="ASX23" i="20"/>
  <c r="ASY23" i="20"/>
  <c r="ASZ23" i="20"/>
  <c r="ATA23" i="20"/>
  <c r="ATB23" i="20"/>
  <c r="ATC23" i="20"/>
  <c r="ATD23" i="20"/>
  <c r="ATE23" i="20"/>
  <c r="ATF23" i="20"/>
  <c r="ATG23" i="20"/>
  <c r="ATH23" i="20"/>
  <c r="ATI23" i="20"/>
  <c r="ATJ23" i="20"/>
  <c r="ATK23" i="20"/>
  <c r="ATL23" i="20"/>
  <c r="ATM23" i="20"/>
  <c r="ATN23" i="20"/>
  <c r="ATO23" i="20"/>
  <c r="ATP23" i="20"/>
  <c r="ATQ23" i="20"/>
  <c r="ATR23" i="20"/>
  <c r="ATS23" i="20"/>
  <c r="ATT23" i="20"/>
  <c r="ATU23" i="20"/>
  <c r="ATV23" i="20"/>
  <c r="ATW23" i="20"/>
  <c r="ATX23" i="20"/>
  <c r="ATY23" i="20"/>
  <c r="ATZ23" i="20"/>
  <c r="AUA23" i="20"/>
  <c r="AUB23" i="20"/>
  <c r="AUC23" i="20"/>
  <c r="AUD23" i="20"/>
  <c r="AUE23" i="20"/>
  <c r="AUF23" i="20"/>
  <c r="AUG23" i="20"/>
  <c r="AUH23" i="20"/>
  <c r="AUI23" i="20"/>
  <c r="AUJ23" i="20"/>
  <c r="AUK23" i="20"/>
  <c r="AUL23" i="20"/>
  <c r="AUM23" i="20"/>
  <c r="AUN23" i="20"/>
  <c r="AUO23" i="20"/>
  <c r="AUP23" i="20"/>
  <c r="AUQ23" i="20"/>
  <c r="AUR23" i="20"/>
  <c r="AUS23" i="20"/>
  <c r="AUT23" i="20"/>
  <c r="AUU23" i="20"/>
  <c r="AUV23" i="20"/>
  <c r="AUW23" i="20"/>
  <c r="AUX23" i="20"/>
  <c r="AUY23" i="20"/>
  <c r="AUZ23" i="20"/>
  <c r="AVA23" i="20"/>
  <c r="AVB23" i="20"/>
  <c r="AVC23" i="20"/>
  <c r="AVD23" i="20"/>
  <c r="AVE23" i="20"/>
  <c r="AVF23" i="20"/>
  <c r="AVG23" i="20"/>
  <c r="AVH23" i="20"/>
  <c r="AVI23" i="20"/>
  <c r="AVJ23" i="20"/>
  <c r="AVK23" i="20"/>
  <c r="AVL23" i="20"/>
  <c r="AVM23" i="20"/>
  <c r="AVN23" i="20"/>
  <c r="AVO23" i="20"/>
  <c r="AVP23" i="20"/>
  <c r="AVQ23" i="20"/>
  <c r="AVR23" i="20"/>
  <c r="AVS23" i="20"/>
  <c r="AVT23" i="20"/>
  <c r="AVU23" i="20"/>
  <c r="AVV23" i="20"/>
  <c r="AVW23" i="20"/>
  <c r="AVX23" i="20"/>
  <c r="AVY23" i="20"/>
  <c r="AVZ23" i="20"/>
  <c r="AWA23" i="20"/>
  <c r="AWB23" i="20"/>
  <c r="AWC23" i="20"/>
  <c r="AWD23" i="20"/>
  <c r="AWE23" i="20"/>
  <c r="AWF23" i="20"/>
  <c r="AWG23" i="20"/>
  <c r="AWH23" i="20"/>
  <c r="AWI23" i="20"/>
  <c r="AWJ23" i="20"/>
  <c r="AWK23" i="20"/>
  <c r="AWL23" i="20"/>
  <c r="AWM23" i="20"/>
  <c r="AWN23" i="20"/>
  <c r="AWO23" i="20"/>
  <c r="AWP23" i="20"/>
  <c r="AWQ23" i="20"/>
  <c r="AWR23" i="20"/>
  <c r="AWS23" i="20"/>
  <c r="AWT23" i="20"/>
  <c r="AWU23" i="20"/>
  <c r="AWV23" i="20"/>
  <c r="AWW23" i="20"/>
  <c r="AWX23" i="20"/>
  <c r="AWY23" i="20"/>
  <c r="AWZ23" i="20"/>
  <c r="AXA23" i="20"/>
  <c r="AXB23" i="20"/>
  <c r="AXC23" i="20"/>
  <c r="AXD23" i="20"/>
  <c r="AXE23" i="20"/>
  <c r="AXF23" i="20"/>
  <c r="AXG23" i="20"/>
  <c r="AXH23" i="20"/>
  <c r="AXI23" i="20"/>
  <c r="AXJ23" i="20"/>
  <c r="AXK23" i="20"/>
  <c r="AXL23" i="20"/>
  <c r="AXM23" i="20"/>
  <c r="AXN23" i="20"/>
  <c r="AXO23" i="20"/>
  <c r="AXP23" i="20"/>
  <c r="AXQ23" i="20"/>
  <c r="AXR23" i="20"/>
  <c r="AXS23" i="20"/>
  <c r="AXT23" i="20"/>
  <c r="AXU23" i="20"/>
  <c r="AXV23" i="20"/>
  <c r="AXW23" i="20"/>
  <c r="AXX23" i="20"/>
  <c r="AXY23" i="20"/>
  <c r="AXZ23" i="20"/>
  <c r="AYA23" i="20"/>
  <c r="AYB23" i="20"/>
  <c r="AYC23" i="20"/>
  <c r="AYD23" i="20"/>
  <c r="AYE23" i="20"/>
  <c r="AYF23" i="20"/>
  <c r="AYG23" i="20"/>
  <c r="AYH23" i="20"/>
  <c r="AYI23" i="20"/>
  <c r="AYJ23" i="20"/>
  <c r="AYK23" i="20"/>
  <c r="AYL23" i="20"/>
  <c r="AYM23" i="20"/>
  <c r="AYN23" i="20"/>
  <c r="AYO23" i="20"/>
  <c r="AYP23" i="20"/>
  <c r="AYQ23" i="20"/>
  <c r="AYR23" i="20"/>
  <c r="AYS23" i="20"/>
  <c r="AYT23" i="20"/>
  <c r="AYU23" i="20"/>
  <c r="AYV23" i="20"/>
  <c r="AYW23" i="20"/>
  <c r="AYX23" i="20"/>
  <c r="AYY23" i="20"/>
  <c r="AYZ23" i="20"/>
  <c r="AZA23" i="20"/>
  <c r="AZB23" i="20"/>
  <c r="AZC23" i="20"/>
  <c r="AZD23" i="20"/>
  <c r="AZE23" i="20"/>
  <c r="AZF23" i="20"/>
  <c r="AZG23" i="20"/>
  <c r="AZH23" i="20"/>
  <c r="AZI23" i="20"/>
  <c r="AZJ23" i="20"/>
  <c r="AZK23" i="20"/>
  <c r="AZL23" i="20"/>
  <c r="AZM23" i="20"/>
  <c r="AZN23" i="20"/>
  <c r="AZO23" i="20"/>
  <c r="AZP23" i="20"/>
  <c r="AZQ23" i="20"/>
  <c r="AZR23" i="20"/>
  <c r="AZS23" i="20"/>
  <c r="AZT23" i="20"/>
  <c r="AZU23" i="20"/>
  <c r="AZV23" i="20"/>
  <c r="AZW23" i="20"/>
  <c r="AZX23" i="20"/>
  <c r="AZY23" i="20"/>
  <c r="AZZ23" i="20"/>
  <c r="BAA23" i="20"/>
  <c r="BAB23" i="20"/>
  <c r="BAC23" i="20"/>
  <c r="BAD23" i="20"/>
  <c r="BAE23" i="20"/>
  <c r="BAF23" i="20"/>
  <c r="BAG23" i="20"/>
  <c r="BAH23" i="20"/>
  <c r="BAI23" i="20"/>
  <c r="BAJ23" i="20"/>
  <c r="BAK23" i="20"/>
  <c r="BAL23" i="20"/>
  <c r="BAM23" i="20"/>
  <c r="BAN23" i="20"/>
  <c r="BAO23" i="20"/>
  <c r="BAP23" i="20"/>
  <c r="BAQ23" i="20"/>
  <c r="BAR23" i="20"/>
  <c r="BAS23" i="20"/>
  <c r="BAT23" i="20"/>
  <c r="BAU23" i="20"/>
  <c r="BAV23" i="20"/>
  <c r="BAW23" i="20"/>
  <c r="BAX23" i="20"/>
  <c r="BAY23" i="20"/>
  <c r="BAZ23" i="20"/>
  <c r="BBA23" i="20"/>
  <c r="BBB23" i="20"/>
  <c r="BBC23" i="20"/>
  <c r="BBD23" i="20"/>
  <c r="BBE23" i="20"/>
  <c r="BBF23" i="20"/>
  <c r="BBG23" i="20"/>
  <c r="BBH23" i="20"/>
  <c r="BBI23" i="20"/>
  <c r="BBJ23" i="20"/>
  <c r="BBK23" i="20"/>
  <c r="BBL23" i="20"/>
  <c r="BBM23" i="20"/>
  <c r="BBN23" i="20"/>
  <c r="BBO23" i="20"/>
  <c r="BBP23" i="20"/>
  <c r="BBQ23" i="20"/>
  <c r="BBR23" i="20"/>
  <c r="BBS23" i="20"/>
  <c r="BBT23" i="20"/>
  <c r="BBU23" i="20"/>
  <c r="BBV23" i="20"/>
  <c r="BBW23" i="20"/>
  <c r="BBX23" i="20"/>
  <c r="BBY23" i="20"/>
  <c r="BBZ23" i="20"/>
  <c r="BCA23" i="20"/>
  <c r="BCB23" i="20"/>
  <c r="BCC23" i="20"/>
  <c r="BCD23" i="20"/>
  <c r="BCE23" i="20"/>
  <c r="BCF23" i="20"/>
  <c r="BCG23" i="20"/>
  <c r="BCH23" i="20"/>
  <c r="BCI23" i="20"/>
  <c r="BCJ23" i="20"/>
  <c r="BCK23" i="20"/>
  <c r="BCL23" i="20"/>
  <c r="BCM23" i="20"/>
  <c r="BCN23" i="20"/>
  <c r="BCO23" i="20"/>
  <c r="BCP23" i="20"/>
  <c r="BCQ23" i="20"/>
  <c r="BCR23" i="20"/>
  <c r="BCS23" i="20"/>
  <c r="BCT23" i="20"/>
  <c r="BCU23" i="20"/>
  <c r="BCV23" i="20"/>
  <c r="BCW23" i="20"/>
  <c r="BCX23" i="20"/>
  <c r="BCY23" i="20"/>
  <c r="BCZ23" i="20"/>
  <c r="BDA23" i="20"/>
  <c r="BDB23" i="20"/>
  <c r="BDC23" i="20"/>
  <c r="BDD23" i="20"/>
  <c r="BDE23" i="20"/>
  <c r="BDF23" i="20"/>
  <c r="BDG23" i="20"/>
  <c r="BDH23" i="20"/>
  <c r="BDI23" i="20"/>
  <c r="BDJ23" i="20"/>
  <c r="BDK23" i="20"/>
  <c r="BDL23" i="20"/>
  <c r="BDM23" i="20"/>
  <c r="BDN23" i="20"/>
  <c r="BDO23" i="20"/>
  <c r="BDP23" i="20"/>
  <c r="BDQ23" i="20"/>
  <c r="BDR23" i="20"/>
  <c r="BDS23" i="20"/>
  <c r="BDT23" i="20"/>
  <c r="BDU23" i="20"/>
  <c r="BDV23" i="20"/>
  <c r="BDW23" i="20"/>
  <c r="BDX23" i="20"/>
  <c r="BDY23" i="20"/>
  <c r="BDZ23" i="20"/>
  <c r="BEA23" i="20"/>
  <c r="BEB23" i="20"/>
  <c r="BEC23" i="20"/>
  <c r="BED23" i="20"/>
  <c r="BEE23" i="20"/>
  <c r="BEF23" i="20"/>
  <c r="BEG23" i="20"/>
  <c r="BEH23" i="20"/>
  <c r="BEI23" i="20"/>
  <c r="BEJ23" i="20"/>
  <c r="BEK23" i="20"/>
  <c r="BEL23" i="20"/>
  <c r="BEM23" i="20"/>
  <c r="BEN23" i="20"/>
  <c r="BEO23" i="20"/>
  <c r="BEP23" i="20"/>
  <c r="BEQ23" i="20"/>
  <c r="BER23" i="20"/>
  <c r="BES23" i="20"/>
  <c r="BET23" i="20"/>
  <c r="BEU23" i="20"/>
  <c r="BEV23" i="20"/>
  <c r="BEW23" i="20"/>
  <c r="BEX23" i="20"/>
  <c r="BEY23" i="20"/>
  <c r="BEZ23" i="20"/>
  <c r="BFA23" i="20"/>
  <c r="BFB23" i="20"/>
  <c r="BFC23" i="20"/>
  <c r="BFD23" i="20"/>
  <c r="BFE23" i="20"/>
  <c r="BFF23" i="20"/>
  <c r="BFG23" i="20"/>
  <c r="BFH23" i="20"/>
  <c r="BFI23" i="20"/>
  <c r="BFJ23" i="20"/>
  <c r="BFK23" i="20"/>
  <c r="BFL23" i="20"/>
  <c r="BFM23" i="20"/>
  <c r="BFN23" i="20"/>
  <c r="BFO23" i="20"/>
  <c r="BFP23" i="20"/>
  <c r="BFQ23" i="20"/>
  <c r="BFR23" i="20"/>
  <c r="BFS23" i="20"/>
  <c r="BFT23" i="20"/>
  <c r="BFU23" i="20"/>
  <c r="BFV23" i="20"/>
  <c r="BFW23" i="20"/>
  <c r="BFX23" i="20"/>
  <c r="BFY23" i="20"/>
  <c r="BFZ23" i="20"/>
  <c r="BGA23" i="20"/>
  <c r="BGB23" i="20"/>
  <c r="BGC23" i="20"/>
  <c r="BGD23" i="20"/>
  <c r="BGE23" i="20"/>
  <c r="BGF23" i="20"/>
  <c r="BGG23" i="20"/>
  <c r="BGH23" i="20"/>
  <c r="BGI23" i="20"/>
  <c r="BGJ23" i="20"/>
  <c r="BGK23" i="20"/>
  <c r="BGL23" i="20"/>
  <c r="BGM23" i="20"/>
  <c r="BGN23" i="20"/>
  <c r="BGO23" i="20"/>
  <c r="BGP23" i="20"/>
  <c r="BGQ23" i="20"/>
  <c r="BGR23" i="20"/>
  <c r="BGS23" i="20"/>
  <c r="BGT23" i="20"/>
  <c r="BGU23" i="20"/>
  <c r="BGV23" i="20"/>
  <c r="BGW23" i="20"/>
  <c r="BGX23" i="20"/>
  <c r="BGY23" i="20"/>
  <c r="BGZ23" i="20"/>
  <c r="BHA23" i="20"/>
  <c r="BHB23" i="20"/>
  <c r="BHC23" i="20"/>
  <c r="BHD23" i="20"/>
  <c r="BHE23" i="20"/>
  <c r="BHF23" i="20"/>
  <c r="BHG23" i="20"/>
  <c r="BHH23" i="20"/>
  <c r="BHI23" i="20"/>
  <c r="BHJ23" i="20"/>
  <c r="BHK23" i="20"/>
  <c r="BHL23" i="20"/>
  <c r="BHM23" i="20"/>
  <c r="BHN23" i="20"/>
  <c r="BHO23" i="20"/>
  <c r="BHP23" i="20"/>
  <c r="BHQ23" i="20"/>
  <c r="BHR23" i="20"/>
  <c r="BHS23" i="20"/>
  <c r="BHT23" i="20"/>
  <c r="BHU23" i="20"/>
  <c r="BHV23" i="20"/>
  <c r="BHW23" i="20"/>
  <c r="BHX23" i="20"/>
  <c r="BHY23" i="20"/>
  <c r="BHZ23" i="20"/>
  <c r="BIA23" i="20"/>
  <c r="BIB23" i="20"/>
  <c r="BIC23" i="20"/>
  <c r="BID23" i="20"/>
  <c r="BIE23" i="20"/>
  <c r="BIF23" i="20"/>
  <c r="BIG23" i="20"/>
  <c r="BIH23" i="20"/>
  <c r="BII23" i="20"/>
  <c r="BIJ23" i="20"/>
  <c r="BIK23" i="20"/>
  <c r="BIL23" i="20"/>
  <c r="BIM23" i="20"/>
  <c r="BIN23" i="20"/>
  <c r="BIO23" i="20"/>
  <c r="BIP23" i="20"/>
  <c r="BIQ23" i="20"/>
  <c r="BIR23" i="20"/>
  <c r="BIS23" i="20"/>
  <c r="BIT23" i="20"/>
  <c r="BIU23" i="20"/>
  <c r="BIV23" i="20"/>
  <c r="BIW23" i="20"/>
  <c r="BIX23" i="20"/>
  <c r="BIY23" i="20"/>
  <c r="BIZ23" i="20"/>
  <c r="BJA23" i="20"/>
  <c r="BJB23" i="20"/>
  <c r="BJC23" i="20"/>
  <c r="BJD23" i="20"/>
  <c r="BJE23" i="20"/>
  <c r="BJF23" i="20"/>
  <c r="BJG23" i="20"/>
  <c r="BJH23" i="20"/>
  <c r="BJI23" i="20"/>
  <c r="BJJ23" i="20"/>
  <c r="BJK23" i="20"/>
  <c r="BJL23" i="20"/>
  <c r="BJM23" i="20"/>
  <c r="BJN23" i="20"/>
  <c r="BJO23" i="20"/>
  <c r="BJP23" i="20"/>
  <c r="BJQ23" i="20"/>
  <c r="BJR23" i="20"/>
  <c r="BJS23" i="20"/>
  <c r="BJT23" i="20"/>
  <c r="BJU23" i="20"/>
  <c r="BJV23" i="20"/>
  <c r="BJW23" i="20"/>
  <c r="BJX23" i="20"/>
  <c r="BJY23" i="20"/>
  <c r="BJZ23" i="20"/>
  <c r="BKA23" i="20"/>
  <c r="BKB23" i="20"/>
  <c r="BKC23" i="20"/>
  <c r="BKD23" i="20"/>
  <c r="BKE23" i="20"/>
  <c r="BKF23" i="20"/>
  <c r="BKG23" i="20"/>
  <c r="BKH23" i="20"/>
  <c r="BKI23" i="20"/>
  <c r="BKJ23" i="20"/>
  <c r="BKK23" i="20"/>
  <c r="BKL23" i="20"/>
  <c r="BKM23" i="20"/>
  <c r="BKN23" i="20"/>
  <c r="BKO23" i="20"/>
  <c r="BKP23" i="20"/>
  <c r="BKQ23" i="20"/>
  <c r="BKR23" i="20"/>
  <c r="BKS23" i="20"/>
  <c r="BKT23" i="20"/>
  <c r="BKU23" i="20"/>
  <c r="BKV23" i="20"/>
  <c r="BKW23" i="20"/>
  <c r="BKX23" i="20"/>
  <c r="BKY23" i="20"/>
  <c r="BKZ23" i="20"/>
  <c r="BLA23" i="20"/>
  <c r="BLB23" i="20"/>
  <c r="BLC23" i="20"/>
  <c r="BLD23" i="20"/>
  <c r="BLE23" i="20"/>
  <c r="BLF23" i="20"/>
  <c r="BLG23" i="20"/>
  <c r="BLH23" i="20"/>
  <c r="BLI23" i="20"/>
  <c r="BLJ23" i="20"/>
  <c r="BLK23" i="20"/>
  <c r="BLL23" i="20"/>
  <c r="BLM23" i="20"/>
  <c r="BLN23" i="20"/>
  <c r="BLO23" i="20"/>
  <c r="BLP23" i="20"/>
  <c r="BLQ23" i="20"/>
  <c r="BLR23" i="20"/>
  <c r="BLS23" i="20"/>
  <c r="BLT23" i="20"/>
  <c r="BLU23" i="20"/>
  <c r="BLV23" i="20"/>
  <c r="BLW23" i="20"/>
  <c r="BLX23" i="20"/>
  <c r="BLY23" i="20"/>
  <c r="BLZ23" i="20"/>
  <c r="BMA23" i="20"/>
  <c r="BMB23" i="20"/>
  <c r="BMC23" i="20"/>
  <c r="BMD23" i="20"/>
  <c r="BME23" i="20"/>
  <c r="BMF23" i="20"/>
  <c r="BMG23" i="20"/>
  <c r="BMH23" i="20"/>
  <c r="BMI23" i="20"/>
  <c r="BMJ23" i="20"/>
  <c r="BMK23" i="20"/>
  <c r="BML23" i="20"/>
  <c r="BMM23" i="20"/>
  <c r="BMN23" i="20"/>
  <c r="BMO23" i="20"/>
  <c r="BMP23" i="20"/>
  <c r="BMQ23" i="20"/>
  <c r="BMR23" i="20"/>
  <c r="BMS23" i="20"/>
  <c r="BMT23" i="20"/>
  <c r="BMU23" i="20"/>
  <c r="BMV23" i="20"/>
  <c r="BMW23" i="20"/>
  <c r="BMX23" i="20"/>
  <c r="BMY23" i="20"/>
  <c r="BMZ23" i="20"/>
  <c r="BNA23" i="20"/>
  <c r="BNB23" i="20"/>
  <c r="BNC23" i="20"/>
  <c r="BND23" i="20"/>
  <c r="BNE23" i="20"/>
  <c r="BNF23" i="20"/>
  <c r="BNG23" i="20"/>
  <c r="BNH23" i="20"/>
  <c r="BNI23" i="20"/>
  <c r="BNJ23" i="20"/>
  <c r="BNK23" i="20"/>
  <c r="BNL23" i="20"/>
  <c r="BNM23" i="20"/>
  <c r="BNN23" i="20"/>
  <c r="BNO23" i="20"/>
  <c r="BNP23" i="20"/>
  <c r="BNQ23" i="20"/>
  <c r="BNR23" i="20"/>
  <c r="BNS23" i="20"/>
  <c r="BNT23" i="20"/>
  <c r="BNU23" i="20"/>
  <c r="BNV23" i="20"/>
  <c r="BNW23" i="20"/>
  <c r="BNX23" i="20"/>
  <c r="BNY23" i="20"/>
  <c r="BNZ23" i="20"/>
  <c r="BOA23" i="20"/>
  <c r="BOB23" i="20"/>
  <c r="BOC23" i="20"/>
  <c r="BOD23" i="20"/>
  <c r="BOE23" i="20"/>
  <c r="BOF23" i="20"/>
  <c r="BOG23" i="20"/>
  <c r="BOH23" i="20"/>
  <c r="BOI23" i="20"/>
  <c r="BOJ23" i="20"/>
  <c r="BOK23" i="20"/>
  <c r="BOL23" i="20"/>
  <c r="BOM23" i="20"/>
  <c r="BON23" i="20"/>
  <c r="BOO23" i="20"/>
  <c r="BOP23" i="20"/>
  <c r="BOQ23" i="20"/>
  <c r="BOR23" i="20"/>
  <c r="BOS23" i="20"/>
  <c r="BOT23" i="20"/>
  <c r="BOU23" i="20"/>
  <c r="BOV23" i="20"/>
  <c r="BOW23" i="20"/>
  <c r="BOX23" i="20"/>
  <c r="BOY23" i="20"/>
  <c r="BOZ23" i="20"/>
  <c r="BPA23" i="20"/>
  <c r="BPB23" i="20"/>
  <c r="BPC23" i="20"/>
  <c r="BPD23" i="20"/>
  <c r="BPE23" i="20"/>
  <c r="BPF23" i="20"/>
  <c r="BPG23" i="20"/>
  <c r="BPH23" i="20"/>
  <c r="BPI23" i="20"/>
  <c r="BPJ23" i="20"/>
  <c r="BPK23" i="20"/>
  <c r="BPL23" i="20"/>
  <c r="BPM23" i="20"/>
  <c r="BPN23" i="20"/>
  <c r="BPO23" i="20"/>
  <c r="BPP23" i="20"/>
  <c r="BPQ23" i="20"/>
  <c r="BPR23" i="20"/>
  <c r="BPS23" i="20"/>
  <c r="BPT23" i="20"/>
  <c r="BPU23" i="20"/>
  <c r="BPV23" i="20"/>
  <c r="BPW23" i="20"/>
  <c r="BPX23" i="20"/>
  <c r="BPY23" i="20"/>
  <c r="BPZ23" i="20"/>
  <c r="BQA23" i="20"/>
  <c r="BQB23" i="20"/>
  <c r="BQC23" i="20"/>
  <c r="BQD23" i="20"/>
  <c r="BQE23" i="20"/>
  <c r="BQF23" i="20"/>
  <c r="BQG23" i="20"/>
  <c r="BQH23" i="20"/>
  <c r="BQI23" i="20"/>
  <c r="BQJ23" i="20"/>
  <c r="BQK23" i="20"/>
  <c r="BQL23" i="20"/>
  <c r="BQM23" i="20"/>
  <c r="BQN23" i="20"/>
  <c r="BQO23" i="20"/>
  <c r="BQP23" i="20"/>
  <c r="BQQ23" i="20"/>
  <c r="BQR23" i="20"/>
  <c r="BQS23" i="20"/>
  <c r="BQT23" i="20"/>
  <c r="BQU23" i="20"/>
  <c r="BQV23" i="20"/>
  <c r="BQW23" i="20"/>
  <c r="BQX23" i="20"/>
  <c r="BQY23" i="20"/>
  <c r="BQZ23" i="20"/>
  <c r="BRA23" i="20"/>
  <c r="BRB23" i="20"/>
  <c r="BRC23" i="20"/>
  <c r="BRD23" i="20"/>
  <c r="BRE23" i="20"/>
  <c r="BRF23" i="20"/>
  <c r="BRG23" i="20"/>
  <c r="BRH23" i="20"/>
  <c r="BRI23" i="20"/>
  <c r="BRJ23" i="20"/>
  <c r="BRK23" i="20"/>
  <c r="BRL23" i="20"/>
  <c r="BRM23" i="20"/>
  <c r="BRN23" i="20"/>
  <c r="BRO23" i="20"/>
  <c r="BRP23" i="20"/>
  <c r="BRQ23" i="20"/>
  <c r="BRR23" i="20"/>
  <c r="BRS23" i="20"/>
  <c r="BRT23" i="20"/>
  <c r="BRU23" i="20"/>
  <c r="BRV23" i="20"/>
  <c r="BRW23" i="20"/>
  <c r="BRX23" i="20"/>
  <c r="BRY23" i="20"/>
  <c r="BRZ23" i="20"/>
  <c r="BSA23" i="20"/>
  <c r="BSB23" i="20"/>
  <c r="BSC23" i="20"/>
  <c r="BSD23" i="20"/>
  <c r="BSE23" i="20"/>
  <c r="BSF23" i="20"/>
  <c r="BSG23" i="20"/>
  <c r="BSH23" i="20"/>
  <c r="BSI23" i="20"/>
  <c r="BSJ23" i="20"/>
  <c r="BSK23" i="20"/>
  <c r="BSL23" i="20"/>
  <c r="BSM23" i="20"/>
  <c r="BSN23" i="20"/>
  <c r="BSO23" i="20"/>
  <c r="BSP23" i="20"/>
  <c r="BSQ23" i="20"/>
  <c r="BSR23" i="20"/>
  <c r="BSS23" i="20"/>
  <c r="BST23" i="20"/>
  <c r="BSU23" i="20"/>
  <c r="BSV23" i="20"/>
  <c r="BSW23" i="20"/>
  <c r="BSX23" i="20"/>
  <c r="BSY23" i="20"/>
  <c r="BSZ23" i="20"/>
  <c r="BTA23" i="20"/>
  <c r="BTB23" i="20"/>
  <c r="BTC23" i="20"/>
  <c r="BTD23" i="20"/>
  <c r="BTE23" i="20"/>
  <c r="BTF23" i="20"/>
  <c r="BTG23" i="20"/>
  <c r="BTH23" i="20"/>
  <c r="BTI23" i="20"/>
  <c r="BTJ23" i="20"/>
  <c r="BTK23" i="20"/>
  <c r="BTL23" i="20"/>
  <c r="BTM23" i="20"/>
  <c r="BTN23" i="20"/>
  <c r="BTO23" i="20"/>
  <c r="BTP23" i="20"/>
  <c r="BTQ23" i="20"/>
  <c r="BTR23" i="20"/>
  <c r="BTS23" i="20"/>
  <c r="BTT23" i="20"/>
  <c r="BTU23" i="20"/>
  <c r="BTV23" i="20"/>
  <c r="BTW23" i="20"/>
  <c r="BTX23" i="20"/>
  <c r="BTY23" i="20"/>
  <c r="BTZ23" i="20"/>
  <c r="BUA23" i="20"/>
  <c r="BUB23" i="20"/>
  <c r="BUC23" i="20"/>
  <c r="BUD23" i="20"/>
  <c r="BUE23" i="20"/>
  <c r="BUF23" i="20"/>
  <c r="BUG23" i="20"/>
  <c r="BUH23" i="20"/>
  <c r="BUI23" i="20"/>
  <c r="BUJ23" i="20"/>
  <c r="BUK23" i="20"/>
  <c r="BUL23" i="20"/>
  <c r="BUM23" i="20"/>
  <c r="BUN23" i="20"/>
  <c r="BUO23" i="20"/>
  <c r="BUP23" i="20"/>
  <c r="BUQ23" i="20"/>
  <c r="BUR23" i="20"/>
  <c r="BUS23" i="20"/>
  <c r="BUT23" i="20"/>
  <c r="BUU23" i="20"/>
  <c r="BUV23" i="20"/>
  <c r="BUW23" i="20"/>
  <c r="BUX23" i="20"/>
  <c r="BUY23" i="20"/>
  <c r="BUZ23" i="20"/>
  <c r="BVA23" i="20"/>
  <c r="BVB23" i="20"/>
  <c r="BVC23" i="20"/>
  <c r="BVD23" i="20"/>
  <c r="BVE23" i="20"/>
  <c r="BVF23" i="20"/>
  <c r="BVG23" i="20"/>
  <c r="BVH23" i="20"/>
  <c r="BVI23" i="20"/>
  <c r="BVJ23" i="20"/>
  <c r="BVK23" i="20"/>
  <c r="BVL23" i="20"/>
  <c r="BVM23" i="20"/>
  <c r="BVN23" i="20"/>
  <c r="BVO23" i="20"/>
  <c r="BVP23" i="20"/>
  <c r="BVQ23" i="20"/>
  <c r="BVR23" i="20"/>
  <c r="BVS23" i="20"/>
  <c r="BVT23" i="20"/>
  <c r="BVU23" i="20"/>
  <c r="BVV23" i="20"/>
  <c r="BVW23" i="20"/>
  <c r="BVX23" i="20"/>
  <c r="BVY23" i="20"/>
  <c r="BVZ23" i="20"/>
  <c r="BWA23" i="20"/>
  <c r="BWB23" i="20"/>
  <c r="BWC23" i="20"/>
  <c r="BWD23" i="20"/>
  <c r="BWE23" i="20"/>
  <c r="BWF23" i="20"/>
  <c r="BWG23" i="20"/>
  <c r="BWH23" i="20"/>
  <c r="BWI23" i="20"/>
  <c r="BWJ23" i="20"/>
  <c r="BWK23" i="20"/>
  <c r="BWL23" i="20"/>
  <c r="BWM23" i="20"/>
  <c r="BWN23" i="20"/>
  <c r="BWO23" i="20"/>
  <c r="BWP23" i="20"/>
  <c r="BWQ23" i="20"/>
  <c r="BWR23" i="20"/>
  <c r="BWS23" i="20"/>
  <c r="BWT23" i="20"/>
  <c r="BWU23" i="20"/>
  <c r="BWV23" i="20"/>
  <c r="BWW23" i="20"/>
  <c r="BWX23" i="20"/>
  <c r="BWY23" i="20"/>
  <c r="BWZ23" i="20"/>
  <c r="BXA23" i="20"/>
  <c r="BXB23" i="20"/>
  <c r="BXC23" i="20"/>
  <c r="BXD23" i="20"/>
  <c r="BXE23" i="20"/>
  <c r="BXF23" i="20"/>
  <c r="BXG23" i="20"/>
  <c r="BXH23" i="20"/>
  <c r="BXI23" i="20"/>
  <c r="BXJ23" i="20"/>
  <c r="BXK23" i="20"/>
  <c r="BXL23" i="20"/>
  <c r="BXM23" i="20"/>
  <c r="BXN23" i="20"/>
  <c r="BXO23" i="20"/>
  <c r="BXP23" i="20"/>
  <c r="BXQ23" i="20"/>
  <c r="BXR23" i="20"/>
  <c r="BXS23" i="20"/>
  <c r="BXT23" i="20"/>
  <c r="BXU23" i="20"/>
  <c r="BXV23" i="20"/>
  <c r="BXW23" i="20"/>
  <c r="BXX23" i="20"/>
  <c r="BXY23" i="20"/>
  <c r="BXZ23" i="20"/>
  <c r="BYA23" i="20"/>
  <c r="BYB23" i="20"/>
  <c r="BYC23" i="20"/>
  <c r="BYD23" i="20"/>
  <c r="BYE23" i="20"/>
  <c r="BYF23" i="20"/>
  <c r="BYG23" i="20"/>
  <c r="BYH23" i="20"/>
  <c r="BYI23" i="20"/>
  <c r="BYJ23" i="20"/>
  <c r="BYK23" i="20"/>
  <c r="BYL23" i="20"/>
  <c r="BYM23" i="20"/>
  <c r="BYN23" i="20"/>
  <c r="BYO23" i="20"/>
  <c r="BYP23" i="20"/>
  <c r="BYQ23" i="20"/>
  <c r="BYR23" i="20"/>
  <c r="BYS23" i="20"/>
  <c r="BYT23" i="20"/>
  <c r="BYU23" i="20"/>
  <c r="BYV23" i="20"/>
  <c r="BYW23" i="20"/>
  <c r="BYX23" i="20"/>
  <c r="BYY23" i="20"/>
  <c r="BYZ23" i="20"/>
  <c r="BZA23" i="20"/>
  <c r="BZB23" i="20"/>
  <c r="BZC23" i="20"/>
  <c r="BZD23" i="20"/>
  <c r="BZE23" i="20"/>
  <c r="BZF23" i="20"/>
  <c r="BZG23" i="20"/>
  <c r="BZH23" i="20"/>
  <c r="BZI23" i="20"/>
  <c r="BZJ23" i="20"/>
  <c r="BZK23" i="20"/>
  <c r="BZL23" i="20"/>
  <c r="BZM23" i="20"/>
  <c r="BZN23" i="20"/>
  <c r="BZO23" i="20"/>
  <c r="BZP23" i="20"/>
  <c r="BZQ23" i="20"/>
  <c r="BZR23" i="20"/>
  <c r="BZS23" i="20"/>
  <c r="BZT23" i="20"/>
  <c r="BZU23" i="20"/>
  <c r="BZV23" i="20"/>
  <c r="BZW23" i="20"/>
  <c r="BZX23" i="20"/>
  <c r="BZY23" i="20"/>
  <c r="BZZ23" i="20"/>
  <c r="CAA23" i="20"/>
  <c r="CAB23" i="20"/>
  <c r="CAC23" i="20"/>
  <c r="CAD23" i="20"/>
  <c r="CAE23" i="20"/>
  <c r="CAF23" i="20"/>
  <c r="CAG23" i="20"/>
  <c r="CAH23" i="20"/>
  <c r="CAI23" i="20"/>
  <c r="CAJ23" i="20"/>
  <c r="CAK23" i="20"/>
  <c r="CAL23" i="20"/>
  <c r="CAM23" i="20"/>
  <c r="CAN23" i="20"/>
  <c r="CAO23" i="20"/>
  <c r="CAP23" i="20"/>
  <c r="CAQ23" i="20"/>
  <c r="CAR23" i="20"/>
  <c r="CAS23" i="20"/>
  <c r="CAT23" i="20"/>
  <c r="CAU23" i="20"/>
  <c r="CAV23" i="20"/>
  <c r="CAW23" i="20"/>
  <c r="CAX23" i="20"/>
  <c r="CAY23" i="20"/>
  <c r="CAZ23" i="20"/>
  <c r="CBA23" i="20"/>
  <c r="CBB23" i="20"/>
  <c r="CBC23" i="20"/>
  <c r="CBD23" i="20"/>
  <c r="CBE23" i="20"/>
  <c r="CBF23" i="20"/>
  <c r="CBG23" i="20"/>
  <c r="CBH23" i="20"/>
  <c r="CBI23" i="20"/>
  <c r="CBJ23" i="20"/>
  <c r="CBK23" i="20"/>
  <c r="CBL23" i="20"/>
  <c r="CBM23" i="20"/>
  <c r="CBN23" i="20"/>
  <c r="CBO23" i="20"/>
  <c r="CBP23" i="20"/>
  <c r="CBQ23" i="20"/>
  <c r="CBR23" i="20"/>
  <c r="CBS23" i="20"/>
  <c r="CBT23" i="20"/>
  <c r="CBU23" i="20"/>
  <c r="CBV23" i="20"/>
  <c r="CBW23" i="20"/>
  <c r="CBX23" i="20"/>
  <c r="CBY23" i="20"/>
  <c r="CBZ23" i="20"/>
  <c r="CCA23" i="20"/>
  <c r="CCB23" i="20"/>
  <c r="CCC23" i="20"/>
  <c r="CCD23" i="20"/>
  <c r="CCE23" i="20"/>
  <c r="CCF23" i="20"/>
  <c r="CCG23" i="20"/>
  <c r="CCH23" i="20"/>
  <c r="CCI23" i="20"/>
  <c r="CCJ23" i="20"/>
  <c r="CCK23" i="20"/>
  <c r="CCL23" i="20"/>
  <c r="CCM23" i="20"/>
  <c r="CCN23" i="20"/>
  <c r="CCO23" i="20"/>
  <c r="CCP23" i="20"/>
  <c r="CCQ23" i="20"/>
  <c r="CCR23" i="20"/>
  <c r="CCS23" i="20"/>
  <c r="CCT23" i="20"/>
  <c r="CCU23" i="20"/>
  <c r="CCV23" i="20"/>
  <c r="CCW23" i="20"/>
  <c r="CCX23" i="20"/>
  <c r="CCY23" i="20"/>
  <c r="CCZ23" i="20"/>
  <c r="CDA23" i="20"/>
  <c r="CDB23" i="20"/>
  <c r="CDC23" i="20"/>
  <c r="CDD23" i="20"/>
  <c r="CDE23" i="20"/>
  <c r="CDF23" i="20"/>
  <c r="CDG23" i="20"/>
  <c r="CDH23" i="20"/>
  <c r="CDI23" i="20"/>
  <c r="CDJ23" i="20"/>
  <c r="CDK23" i="20"/>
  <c r="CDL23" i="20"/>
  <c r="CDM23" i="20"/>
  <c r="CDN23" i="20"/>
  <c r="CDO23" i="20"/>
  <c r="CDP23" i="20"/>
  <c r="CDQ23" i="20"/>
  <c r="CDR23" i="20"/>
  <c r="CDS23" i="20"/>
  <c r="CDT23" i="20"/>
  <c r="CDU23" i="20"/>
  <c r="CDV23" i="20"/>
  <c r="CDW23" i="20"/>
  <c r="CDX23" i="20"/>
  <c r="CDY23" i="20"/>
  <c r="CDZ23" i="20"/>
  <c r="CEA23" i="20"/>
  <c r="CEB23" i="20"/>
  <c r="CEC23" i="20"/>
  <c r="CED23" i="20"/>
  <c r="CEE23" i="20"/>
  <c r="CEF23" i="20"/>
  <c r="CEG23" i="20"/>
  <c r="CEH23" i="20"/>
  <c r="CEI23" i="20"/>
  <c r="CEJ23" i="20"/>
  <c r="CEK23" i="20"/>
  <c r="CEL23" i="20"/>
  <c r="CEM23" i="20"/>
  <c r="CEN23" i="20"/>
  <c r="CEO23" i="20"/>
  <c r="CEP23" i="20"/>
  <c r="CEQ23" i="20"/>
  <c r="CER23" i="20"/>
  <c r="CES23" i="20"/>
  <c r="CET23" i="20"/>
  <c r="CEU23" i="20"/>
  <c r="CEV23" i="20"/>
  <c r="CEW23" i="20"/>
  <c r="CEX23" i="20"/>
  <c r="CEY23" i="20"/>
  <c r="CEZ23" i="20"/>
  <c r="CFA23" i="20"/>
  <c r="CFB23" i="20"/>
  <c r="CFC23" i="20"/>
  <c r="CFD23" i="20"/>
  <c r="CFE23" i="20"/>
  <c r="CFF23" i="20"/>
  <c r="CFG23" i="20"/>
  <c r="CFH23" i="20"/>
  <c r="CFI23" i="20"/>
  <c r="CFJ23" i="20"/>
  <c r="CFK23" i="20"/>
  <c r="CFL23" i="20"/>
  <c r="CFM23" i="20"/>
  <c r="CFN23" i="20"/>
  <c r="CFO23" i="20"/>
  <c r="CFP23" i="20"/>
  <c r="CFQ23" i="20"/>
  <c r="CFR23" i="20"/>
  <c r="CFS23" i="20"/>
  <c r="CFT23" i="20"/>
  <c r="CFU23" i="20"/>
  <c r="CFV23" i="20"/>
  <c r="CFW23" i="20"/>
  <c r="CFX23" i="20"/>
  <c r="CFY23" i="20"/>
  <c r="CFZ23" i="20"/>
  <c r="CGA23" i="20"/>
  <c r="CGB23" i="20"/>
  <c r="CGC23" i="20"/>
  <c r="CGD23" i="20"/>
  <c r="CGE23" i="20"/>
  <c r="CGF23" i="20"/>
  <c r="CGG23" i="20"/>
  <c r="CGH23" i="20"/>
  <c r="CGI23" i="20"/>
  <c r="CGJ23" i="20"/>
  <c r="CGK23" i="20"/>
  <c r="CGL23" i="20"/>
  <c r="CGM23" i="20"/>
  <c r="CGN23" i="20"/>
  <c r="CGO23" i="20"/>
  <c r="CGP23" i="20"/>
  <c r="CGQ23" i="20"/>
  <c r="CGR23" i="20"/>
  <c r="CGS23" i="20"/>
  <c r="CGT23" i="20"/>
  <c r="CGU23" i="20"/>
  <c r="CGV23" i="20"/>
  <c r="CGW23" i="20"/>
  <c r="CGX23" i="20"/>
  <c r="CGY23" i="20"/>
  <c r="CGZ23" i="20"/>
  <c r="CHA23" i="20"/>
  <c r="CHB23" i="20"/>
  <c r="CHC23" i="20"/>
  <c r="CHD23" i="20"/>
  <c r="CHE23" i="20"/>
  <c r="CHF23" i="20"/>
  <c r="CHG23" i="20"/>
  <c r="CHH23" i="20"/>
  <c r="CHI23" i="20"/>
  <c r="CHJ23" i="20"/>
  <c r="CHK23" i="20"/>
  <c r="CHL23" i="20"/>
  <c r="CHM23" i="20"/>
  <c r="CHN23" i="20"/>
  <c r="CHO23" i="20"/>
  <c r="CHP23" i="20"/>
  <c r="CHQ23" i="20"/>
  <c r="CHR23" i="20"/>
  <c r="CHS23" i="20"/>
  <c r="CHT23" i="20"/>
  <c r="CHU23" i="20"/>
  <c r="CHV23" i="20"/>
  <c r="CHW23" i="20"/>
  <c r="CHX23" i="20"/>
  <c r="CHY23" i="20"/>
  <c r="CHZ23" i="20"/>
  <c r="CIA23" i="20"/>
  <c r="CIB23" i="20"/>
  <c r="CIC23" i="20"/>
  <c r="CID23" i="20"/>
  <c r="CIE23" i="20"/>
  <c r="CIF23" i="20"/>
  <c r="CIG23" i="20"/>
  <c r="CIH23" i="20"/>
  <c r="CII23" i="20"/>
  <c r="CIJ23" i="20"/>
  <c r="CIK23" i="20"/>
  <c r="CIL23" i="20"/>
  <c r="CIM23" i="20"/>
  <c r="CIN23" i="20"/>
  <c r="CIO23" i="20"/>
  <c r="CIP23" i="20"/>
  <c r="CIQ23" i="20"/>
  <c r="CIR23" i="20"/>
  <c r="CIS23" i="20"/>
  <c r="CIT23" i="20"/>
  <c r="CIU23" i="20"/>
  <c r="CIV23" i="20"/>
  <c r="CIW23" i="20"/>
  <c r="CIX23" i="20"/>
  <c r="CIY23" i="20"/>
  <c r="CIZ23" i="20"/>
  <c r="CJA23" i="20"/>
  <c r="CJB23" i="20"/>
  <c r="CJC23" i="20"/>
  <c r="CJD23" i="20"/>
  <c r="CJE23" i="20"/>
  <c r="CJF23" i="20"/>
  <c r="CJG23" i="20"/>
  <c r="CJH23" i="20"/>
  <c r="CJI23" i="20"/>
  <c r="CJJ23" i="20"/>
  <c r="CJK23" i="20"/>
  <c r="CJL23" i="20"/>
  <c r="CJM23" i="20"/>
  <c r="CJN23" i="20"/>
  <c r="CJO23" i="20"/>
  <c r="CJP23" i="20"/>
  <c r="CJQ23" i="20"/>
  <c r="CJR23" i="20"/>
  <c r="CJS23" i="20"/>
  <c r="CJT23" i="20"/>
  <c r="CJU23" i="20"/>
  <c r="CJV23" i="20"/>
  <c r="CJW23" i="20"/>
  <c r="CJX23" i="20"/>
  <c r="CJY23" i="20"/>
  <c r="CJZ23" i="20"/>
  <c r="CKA23" i="20"/>
  <c r="CKB23" i="20"/>
  <c r="CKC23" i="20"/>
  <c r="CKD23" i="20"/>
  <c r="CKE23" i="20"/>
  <c r="CKF23" i="20"/>
  <c r="CKG23" i="20"/>
  <c r="CKH23" i="20"/>
  <c r="CKI23" i="20"/>
  <c r="CKJ23" i="20"/>
  <c r="CKK23" i="20"/>
  <c r="CKL23" i="20"/>
  <c r="CKM23" i="20"/>
  <c r="CKN23" i="20"/>
  <c r="CKO23" i="20"/>
  <c r="CKP23" i="20"/>
  <c r="CKQ23" i="20"/>
  <c r="CKR23" i="20"/>
  <c r="CKS23" i="20"/>
  <c r="CKT23" i="20"/>
  <c r="CKU23" i="20"/>
  <c r="CKV23" i="20"/>
  <c r="CKW23" i="20"/>
  <c r="CKX23" i="20"/>
  <c r="CKY23" i="20"/>
  <c r="CKZ23" i="20"/>
  <c r="CLA23" i="20"/>
  <c r="CLB23" i="20"/>
  <c r="CLC23" i="20"/>
  <c r="CLD23" i="20"/>
  <c r="CLE23" i="20"/>
  <c r="CLF23" i="20"/>
  <c r="CLG23" i="20"/>
  <c r="CLH23" i="20"/>
  <c r="CLI23" i="20"/>
  <c r="CLJ23" i="20"/>
  <c r="CLK23" i="20"/>
  <c r="CLL23" i="20"/>
  <c r="CLM23" i="20"/>
  <c r="CLN23" i="20"/>
  <c r="CLO23" i="20"/>
  <c r="CLP23" i="20"/>
  <c r="CLQ23" i="20"/>
  <c r="CLR23" i="20"/>
  <c r="CLS23" i="20"/>
  <c r="CLT23" i="20"/>
  <c r="CLU23" i="20"/>
  <c r="CLV23" i="20"/>
  <c r="CLW23" i="20"/>
  <c r="CLX23" i="20"/>
  <c r="CLY23" i="20"/>
  <c r="CLZ23" i="20"/>
  <c r="CMA23" i="20"/>
  <c r="CMB23" i="20"/>
  <c r="CMC23" i="20"/>
  <c r="CMD23" i="20"/>
  <c r="CME23" i="20"/>
  <c r="CMF23" i="20"/>
  <c r="CMG23" i="20"/>
  <c r="CMH23" i="20"/>
  <c r="CMI23" i="20"/>
  <c r="CMJ23" i="20"/>
  <c r="CMK23" i="20"/>
  <c r="CML23" i="20"/>
  <c r="CMM23" i="20"/>
  <c r="CMN23" i="20"/>
  <c r="CMO23" i="20"/>
  <c r="CMP23" i="20"/>
  <c r="CMQ23" i="20"/>
  <c r="CMR23" i="20"/>
  <c r="CMS23" i="20"/>
  <c r="CMT23" i="20"/>
  <c r="CMU23" i="20"/>
  <c r="CMV23" i="20"/>
  <c r="CMW23" i="20"/>
  <c r="CMX23" i="20"/>
  <c r="CMY23" i="20"/>
  <c r="CMZ23" i="20"/>
  <c r="CNA23" i="20"/>
  <c r="CNB23" i="20"/>
  <c r="CNC23" i="20"/>
  <c r="CND23" i="20"/>
  <c r="CNE23" i="20"/>
  <c r="CNF23" i="20"/>
  <c r="CNG23" i="20"/>
  <c r="CNH23" i="20"/>
  <c r="CNI23" i="20"/>
  <c r="CNJ23" i="20"/>
  <c r="CNK23" i="20"/>
  <c r="CNL23" i="20"/>
  <c r="CNM23" i="20"/>
  <c r="CNN23" i="20"/>
  <c r="CNO23" i="20"/>
  <c r="CNP23" i="20"/>
  <c r="CNQ23" i="20"/>
  <c r="CNR23" i="20"/>
  <c r="CNS23" i="20"/>
  <c r="CNT23" i="20"/>
  <c r="CNU23" i="20"/>
  <c r="CNV23" i="20"/>
  <c r="CNW23" i="20"/>
  <c r="CNX23" i="20"/>
  <c r="CNY23" i="20"/>
  <c r="CNZ23" i="20"/>
  <c r="COA23" i="20"/>
  <c r="COB23" i="20"/>
  <c r="COC23" i="20"/>
  <c r="COD23" i="20"/>
  <c r="COE23" i="20"/>
  <c r="COF23" i="20"/>
  <c r="COG23" i="20"/>
  <c r="COH23" i="20"/>
  <c r="COI23" i="20"/>
  <c r="COJ23" i="20"/>
  <c r="COK23" i="20"/>
  <c r="COL23" i="20"/>
  <c r="COM23" i="20"/>
  <c r="CON23" i="20"/>
  <c r="COO23" i="20"/>
  <c r="COP23" i="20"/>
  <c r="COQ23" i="20"/>
  <c r="COR23" i="20"/>
  <c r="COS23" i="20"/>
  <c r="COT23" i="20"/>
  <c r="COU23" i="20"/>
  <c r="COV23" i="20"/>
  <c r="COW23" i="20"/>
  <c r="COX23" i="20"/>
  <c r="COY23" i="20"/>
  <c r="COZ23" i="20"/>
  <c r="CPA23" i="20"/>
  <c r="CPB23" i="20"/>
  <c r="CPC23" i="20"/>
  <c r="CPD23" i="20"/>
  <c r="CPE23" i="20"/>
  <c r="CPF23" i="20"/>
  <c r="CPG23" i="20"/>
  <c r="CPH23" i="20"/>
  <c r="CPI23" i="20"/>
  <c r="CPJ23" i="20"/>
  <c r="CPK23" i="20"/>
  <c r="CPL23" i="20"/>
  <c r="CPM23" i="20"/>
  <c r="CPN23" i="20"/>
  <c r="CPO23" i="20"/>
  <c r="CPP23" i="20"/>
  <c r="CPQ23" i="20"/>
  <c r="CPR23" i="20"/>
  <c r="CPS23" i="20"/>
  <c r="CPT23" i="20"/>
  <c r="CPU23" i="20"/>
  <c r="CPV23" i="20"/>
  <c r="CPW23" i="20"/>
  <c r="CPX23" i="20"/>
  <c r="CPY23" i="20"/>
  <c r="CPZ23" i="20"/>
  <c r="CQA23" i="20"/>
  <c r="CQB23" i="20"/>
  <c r="CQC23" i="20"/>
  <c r="CQD23" i="20"/>
  <c r="CQE23" i="20"/>
  <c r="CQF23" i="20"/>
  <c r="CQG23" i="20"/>
  <c r="CQH23" i="20"/>
  <c r="CQI23" i="20"/>
  <c r="CQJ23" i="20"/>
  <c r="CQK23" i="20"/>
  <c r="CQL23" i="20"/>
  <c r="CQM23" i="20"/>
  <c r="CQN23" i="20"/>
  <c r="CQO23" i="20"/>
  <c r="CQP23" i="20"/>
  <c r="CQQ23" i="20"/>
  <c r="CQR23" i="20"/>
  <c r="CQS23" i="20"/>
  <c r="CQT23" i="20"/>
  <c r="CQU23" i="20"/>
  <c r="CQV23" i="20"/>
  <c r="CQW23" i="20"/>
  <c r="CQX23" i="20"/>
  <c r="CQY23" i="20"/>
  <c r="CQZ23" i="20"/>
  <c r="CRA23" i="20"/>
  <c r="CRB23" i="20"/>
  <c r="CRC23" i="20"/>
  <c r="CRD23" i="20"/>
  <c r="CRE23" i="20"/>
  <c r="CRF23" i="20"/>
  <c r="CRG23" i="20"/>
  <c r="CRH23" i="20"/>
  <c r="CRI23" i="20"/>
  <c r="CRJ23" i="20"/>
  <c r="CRK23" i="20"/>
  <c r="CRL23" i="20"/>
  <c r="CRM23" i="20"/>
  <c r="CRN23" i="20"/>
  <c r="CRO23" i="20"/>
  <c r="CRP23" i="20"/>
  <c r="CRQ23" i="20"/>
  <c r="CRR23" i="20"/>
  <c r="CRS23" i="20"/>
  <c r="CRT23" i="20"/>
  <c r="CRU23" i="20"/>
  <c r="CRV23" i="20"/>
  <c r="CRW23" i="20"/>
  <c r="CRX23" i="20"/>
  <c r="CRY23" i="20"/>
  <c r="CRZ23" i="20"/>
  <c r="CSA23" i="20"/>
  <c r="CSB23" i="20"/>
  <c r="CSC23" i="20"/>
  <c r="CSD23" i="20"/>
  <c r="CSE23" i="20"/>
  <c r="CSF23" i="20"/>
  <c r="CSG23" i="20"/>
  <c r="CSH23" i="20"/>
  <c r="CSI23" i="20"/>
  <c r="CSJ23" i="20"/>
  <c r="CSK23" i="20"/>
  <c r="CSL23" i="20"/>
  <c r="CSM23" i="20"/>
  <c r="CSN23" i="20"/>
  <c r="CSO23" i="20"/>
  <c r="CSP23" i="20"/>
  <c r="CSQ23" i="20"/>
  <c r="CSR23" i="20"/>
  <c r="CSS23" i="20"/>
  <c r="CST23" i="20"/>
  <c r="CSU23" i="20"/>
  <c r="CSV23" i="20"/>
  <c r="CSW23" i="20"/>
  <c r="CSX23" i="20"/>
  <c r="CSY23" i="20"/>
  <c r="CSZ23" i="20"/>
  <c r="CTA23" i="20"/>
  <c r="CTB23" i="20"/>
  <c r="CTC23" i="20"/>
  <c r="CTD23" i="20"/>
  <c r="CTE23" i="20"/>
  <c r="CTF23" i="20"/>
  <c r="CTG23" i="20"/>
  <c r="CTH23" i="20"/>
  <c r="CTI23" i="20"/>
  <c r="CTJ23" i="20"/>
  <c r="CTK23" i="20"/>
  <c r="CTL23" i="20"/>
  <c r="CTM23" i="20"/>
  <c r="CTN23" i="20"/>
  <c r="CTO23" i="20"/>
  <c r="CTP23" i="20"/>
  <c r="CTQ23" i="20"/>
  <c r="CTR23" i="20"/>
  <c r="CTS23" i="20"/>
  <c r="CTT23" i="20"/>
  <c r="CTU23" i="20"/>
  <c r="CTV23" i="20"/>
  <c r="CTW23" i="20"/>
  <c r="CTX23" i="20"/>
  <c r="CTY23" i="20"/>
  <c r="CTZ23" i="20"/>
  <c r="CUA23" i="20"/>
  <c r="CUB23" i="20"/>
  <c r="CUC23" i="20"/>
  <c r="CUD23" i="20"/>
  <c r="CUE23" i="20"/>
  <c r="CUF23" i="20"/>
  <c r="CUG23" i="20"/>
  <c r="CUH23" i="20"/>
  <c r="CUI23" i="20"/>
  <c r="CUJ23" i="20"/>
  <c r="CUK23" i="20"/>
  <c r="CUL23" i="20"/>
  <c r="CUM23" i="20"/>
  <c r="CUN23" i="20"/>
  <c r="CUO23" i="20"/>
  <c r="CUP23" i="20"/>
  <c r="CUQ23" i="20"/>
  <c r="CUR23" i="20"/>
  <c r="CUS23" i="20"/>
  <c r="CUT23" i="20"/>
  <c r="CUU23" i="20"/>
  <c r="CUV23" i="20"/>
  <c r="CUW23" i="20"/>
  <c r="CUX23" i="20"/>
  <c r="CUY23" i="20"/>
  <c r="CUZ23" i="20"/>
  <c r="CVA23" i="20"/>
  <c r="CVB23" i="20"/>
  <c r="CVC23" i="20"/>
  <c r="CVD23" i="20"/>
  <c r="CVE23" i="20"/>
  <c r="CVF23" i="20"/>
  <c r="CVG23" i="20"/>
  <c r="CVH23" i="20"/>
  <c r="CVI23" i="20"/>
  <c r="CVJ23" i="20"/>
  <c r="CVK23" i="20"/>
  <c r="CVL23" i="20"/>
  <c r="CVM23" i="20"/>
  <c r="CVN23" i="20"/>
  <c r="CVO23" i="20"/>
  <c r="CVP23" i="20"/>
  <c r="CVQ23" i="20"/>
  <c r="CVR23" i="20"/>
  <c r="CVS23" i="20"/>
  <c r="CVT23" i="20"/>
  <c r="CVU23" i="20"/>
  <c r="CVV23" i="20"/>
  <c r="CVW23" i="20"/>
  <c r="CVX23" i="20"/>
  <c r="CVY23" i="20"/>
  <c r="CVZ23" i="20"/>
  <c r="CWA23" i="20"/>
  <c r="CWB23" i="20"/>
  <c r="CWC23" i="20"/>
  <c r="CWD23" i="20"/>
  <c r="CWE23" i="20"/>
  <c r="CWF23" i="20"/>
  <c r="CWG23" i="20"/>
  <c r="CWH23" i="20"/>
  <c r="CWI23" i="20"/>
  <c r="CWJ23" i="20"/>
  <c r="CWK23" i="20"/>
  <c r="CWL23" i="20"/>
  <c r="CWM23" i="20"/>
  <c r="CWN23" i="20"/>
  <c r="CWO23" i="20"/>
  <c r="CWP23" i="20"/>
  <c r="CWQ23" i="20"/>
  <c r="CWR23" i="20"/>
  <c r="CWS23" i="20"/>
  <c r="CWT23" i="20"/>
  <c r="CWU23" i="20"/>
  <c r="CWV23" i="20"/>
  <c r="CWW23" i="20"/>
  <c r="CWX23" i="20"/>
  <c r="CWY23" i="20"/>
  <c r="CWZ23" i="20"/>
  <c r="CXA23" i="20"/>
  <c r="CXB23" i="20"/>
  <c r="CXC23" i="20"/>
  <c r="CXD23" i="20"/>
  <c r="CXE23" i="20"/>
  <c r="CXF23" i="20"/>
  <c r="CXG23" i="20"/>
  <c r="CXH23" i="20"/>
  <c r="CXI23" i="20"/>
  <c r="CXJ23" i="20"/>
  <c r="CXK23" i="20"/>
  <c r="CXL23" i="20"/>
  <c r="CXM23" i="20"/>
  <c r="CXN23" i="20"/>
  <c r="CXO23" i="20"/>
  <c r="CXP23" i="20"/>
  <c r="CXQ23" i="20"/>
  <c r="CXR23" i="20"/>
  <c r="CXS23" i="20"/>
  <c r="CXT23" i="20"/>
  <c r="CXU23" i="20"/>
  <c r="CXV23" i="20"/>
  <c r="CXW23" i="20"/>
  <c r="CXX23" i="20"/>
  <c r="CXY23" i="20"/>
  <c r="CXZ23" i="20"/>
  <c r="CYA23" i="20"/>
  <c r="CYB23" i="20"/>
  <c r="CYC23" i="20"/>
  <c r="CYD23" i="20"/>
  <c r="CYE23" i="20"/>
  <c r="CYF23" i="20"/>
  <c r="CYG23" i="20"/>
  <c r="CYH23" i="20"/>
  <c r="CYI23" i="20"/>
  <c r="CYJ23" i="20"/>
  <c r="CYK23" i="20"/>
  <c r="CYL23" i="20"/>
  <c r="CYM23" i="20"/>
  <c r="CYN23" i="20"/>
  <c r="CYO23" i="20"/>
  <c r="CYP23" i="20"/>
  <c r="CYQ23" i="20"/>
  <c r="CYR23" i="20"/>
  <c r="CYS23" i="20"/>
  <c r="CYT23" i="20"/>
  <c r="CYU23" i="20"/>
  <c r="CYV23" i="20"/>
  <c r="CYW23" i="20"/>
  <c r="CYX23" i="20"/>
  <c r="CYY23" i="20"/>
  <c r="CYZ23" i="20"/>
  <c r="CZA23" i="20"/>
  <c r="CZB23" i="20"/>
  <c r="CZC23" i="20"/>
  <c r="CZD23" i="20"/>
  <c r="CZE23" i="20"/>
  <c r="CZF23" i="20"/>
  <c r="CZG23" i="20"/>
  <c r="CZH23" i="20"/>
  <c r="CZI23" i="20"/>
  <c r="CZJ23" i="20"/>
  <c r="CZK23" i="20"/>
  <c r="CZL23" i="20"/>
  <c r="CZM23" i="20"/>
  <c r="CZN23" i="20"/>
  <c r="CZO23" i="20"/>
  <c r="CZP23" i="20"/>
  <c r="CZQ23" i="20"/>
  <c r="CZR23" i="20"/>
  <c r="CZS23" i="20"/>
  <c r="CZT23" i="20"/>
  <c r="CZU23" i="20"/>
  <c r="CZV23" i="20"/>
  <c r="CZW23" i="20"/>
  <c r="CZX23" i="20"/>
  <c r="CZY23" i="20"/>
  <c r="CZZ23" i="20"/>
  <c r="DAA23" i="20"/>
  <c r="DAB23" i="20"/>
  <c r="DAC23" i="20"/>
  <c r="DAD23" i="20"/>
  <c r="DAE23" i="20"/>
  <c r="DAF23" i="20"/>
  <c r="DAG23" i="20"/>
  <c r="DAH23" i="20"/>
  <c r="DAI23" i="20"/>
  <c r="DAJ23" i="20"/>
  <c r="DAK23" i="20"/>
  <c r="DAL23" i="20"/>
  <c r="DAM23" i="20"/>
  <c r="DAN23" i="20"/>
  <c r="DAO23" i="20"/>
  <c r="DAP23" i="20"/>
  <c r="DAQ23" i="20"/>
  <c r="DAR23" i="20"/>
  <c r="DAS23" i="20"/>
  <c r="DAT23" i="20"/>
  <c r="DAU23" i="20"/>
  <c r="DAV23" i="20"/>
  <c r="DAW23" i="20"/>
  <c r="DAX23" i="20"/>
  <c r="DAY23" i="20"/>
  <c r="DAZ23" i="20"/>
  <c r="DBA23" i="20"/>
  <c r="DBB23" i="20"/>
  <c r="DBC23" i="20"/>
  <c r="DBD23" i="20"/>
  <c r="DBE23" i="20"/>
  <c r="DBF23" i="20"/>
  <c r="DBG23" i="20"/>
  <c r="DBH23" i="20"/>
  <c r="DBI23" i="20"/>
  <c r="DBJ23" i="20"/>
  <c r="DBK23" i="20"/>
  <c r="DBL23" i="20"/>
  <c r="DBM23" i="20"/>
  <c r="DBN23" i="20"/>
  <c r="DBO23" i="20"/>
  <c r="DBP23" i="20"/>
  <c r="DBQ23" i="20"/>
  <c r="DBR23" i="20"/>
  <c r="DBS23" i="20"/>
  <c r="DBT23" i="20"/>
  <c r="DBU23" i="20"/>
  <c r="DBV23" i="20"/>
  <c r="DBW23" i="20"/>
  <c r="DBX23" i="20"/>
  <c r="DBY23" i="20"/>
  <c r="DBZ23" i="20"/>
  <c r="DCA23" i="20"/>
  <c r="DCB23" i="20"/>
  <c r="DCC23" i="20"/>
  <c r="DCD23" i="20"/>
  <c r="DCE23" i="20"/>
  <c r="DCF23" i="20"/>
  <c r="DCG23" i="20"/>
  <c r="DCH23" i="20"/>
  <c r="DCI23" i="20"/>
  <c r="DCJ23" i="20"/>
  <c r="DCK23" i="20"/>
  <c r="DCL23" i="20"/>
  <c r="DCM23" i="20"/>
  <c r="DCN23" i="20"/>
  <c r="DCO23" i="20"/>
  <c r="DCP23" i="20"/>
  <c r="DCQ23" i="20"/>
  <c r="DCR23" i="20"/>
  <c r="DCS23" i="20"/>
  <c r="DCT23" i="20"/>
  <c r="DCU23" i="20"/>
  <c r="DCV23" i="20"/>
  <c r="DCW23" i="20"/>
  <c r="DCX23" i="20"/>
  <c r="DCY23" i="20"/>
  <c r="DCZ23" i="20"/>
  <c r="DDA23" i="20"/>
  <c r="DDB23" i="20"/>
  <c r="DDC23" i="20"/>
  <c r="DDD23" i="20"/>
  <c r="DDE23" i="20"/>
  <c r="DDF23" i="20"/>
  <c r="DDG23" i="20"/>
  <c r="DDH23" i="20"/>
  <c r="DDI23" i="20"/>
  <c r="AAE24" i="20"/>
  <c r="AAF24" i="20"/>
  <c r="AAG24" i="20"/>
  <c r="AAH24" i="20"/>
  <c r="AAI24" i="20"/>
  <c r="AAJ24" i="20"/>
  <c r="AAK24" i="20"/>
  <c r="AAL24" i="20"/>
  <c r="AAM24" i="20"/>
  <c r="AAN24" i="20"/>
  <c r="AAO24" i="20"/>
  <c r="AAP24" i="20"/>
  <c r="AAQ24" i="20"/>
  <c r="AAR24" i="20"/>
  <c r="AAS24" i="20"/>
  <c r="AAT24" i="20"/>
  <c r="AAU24" i="20"/>
  <c r="AAV24" i="20"/>
  <c r="AAW24" i="20"/>
  <c r="AAX24" i="20"/>
  <c r="AAY24" i="20"/>
  <c r="AAZ24" i="20"/>
  <c r="ABA24" i="20"/>
  <c r="ABB24" i="20"/>
  <c r="ABC24" i="20"/>
  <c r="ABD24" i="20"/>
  <c r="ABE24" i="20"/>
  <c r="ABF24" i="20"/>
  <c r="ABG24" i="20"/>
  <c r="ABH24" i="20"/>
  <c r="ABI24" i="20"/>
  <c r="ABJ24" i="20"/>
  <c r="ABK24" i="20"/>
  <c r="ABL24" i="20"/>
  <c r="ABM24" i="20"/>
  <c r="ABN24" i="20"/>
  <c r="ABO24" i="20"/>
  <c r="ABP24" i="20"/>
  <c r="ABQ24" i="20"/>
  <c r="ABR24" i="20"/>
  <c r="ABS24" i="20"/>
  <c r="ABT24" i="20"/>
  <c r="ABU24" i="20"/>
  <c r="ABV24" i="20"/>
  <c r="ABW24" i="20"/>
  <c r="ABX24" i="20"/>
  <c r="ABY24" i="20"/>
  <c r="ABZ24" i="20"/>
  <c r="ACA24" i="20"/>
  <c r="ACB24" i="20"/>
  <c r="ACC24" i="20"/>
  <c r="ACD24" i="20"/>
  <c r="ACE24" i="20"/>
  <c r="ACF24" i="20"/>
  <c r="ACG24" i="20"/>
  <c r="ACH24" i="20"/>
  <c r="ACI24" i="20"/>
  <c r="ACJ24" i="20"/>
  <c r="ACK24" i="20"/>
  <c r="ACL24" i="20"/>
  <c r="ACM24" i="20"/>
  <c r="ACN24" i="20"/>
  <c r="ACO24" i="20"/>
  <c r="ACP24" i="20"/>
  <c r="ACQ24" i="20"/>
  <c r="ACR24" i="20"/>
  <c r="ACS24" i="20"/>
  <c r="ACT24" i="20"/>
  <c r="ACU24" i="20"/>
  <c r="ACV24" i="20"/>
  <c r="ACW24" i="20"/>
  <c r="ACX24" i="20"/>
  <c r="ACY24" i="20"/>
  <c r="ACZ24" i="20"/>
  <c r="ADA24" i="20"/>
  <c r="ADB24" i="20"/>
  <c r="ADC24" i="20"/>
  <c r="ADD24" i="20"/>
  <c r="ADE24" i="20"/>
  <c r="ADF24" i="20"/>
  <c r="ADG24" i="20"/>
  <c r="ADH24" i="20"/>
  <c r="ADI24" i="20"/>
  <c r="ADJ24" i="20"/>
  <c r="ADK24" i="20"/>
  <c r="ADL24" i="20"/>
  <c r="ADM24" i="20"/>
  <c r="ADN24" i="20"/>
  <c r="ADO24" i="20"/>
  <c r="ADP24" i="20"/>
  <c r="ADQ24" i="20"/>
  <c r="ADR24" i="20"/>
  <c r="ADS24" i="20"/>
  <c r="ADT24" i="20"/>
  <c r="ADU24" i="20"/>
  <c r="ADV24" i="20"/>
  <c r="ADW24" i="20"/>
  <c r="ADX24" i="20"/>
  <c r="ADY24" i="20"/>
  <c r="ADZ24" i="20"/>
  <c r="AEA24" i="20"/>
  <c r="AEB24" i="20"/>
  <c r="AEC24" i="20"/>
  <c r="AED24" i="20"/>
  <c r="AEE24" i="20"/>
  <c r="AEF24" i="20"/>
  <c r="AEG24" i="20"/>
  <c r="AEH24" i="20"/>
  <c r="AEI24" i="20"/>
  <c r="AEJ24" i="20"/>
  <c r="AEK24" i="20"/>
  <c r="AEL24" i="20"/>
  <c r="AEM24" i="20"/>
  <c r="AEN24" i="20"/>
  <c r="AEO24" i="20"/>
  <c r="AEP24" i="20"/>
  <c r="AEQ24" i="20"/>
  <c r="AER24" i="20"/>
  <c r="AES24" i="20"/>
  <c r="AET24" i="20"/>
  <c r="AEU24" i="20"/>
  <c r="AEV24" i="20"/>
  <c r="AEW24" i="20"/>
  <c r="AEX24" i="20"/>
  <c r="AEY24" i="20"/>
  <c r="AEZ24" i="20"/>
  <c r="AFA24" i="20"/>
  <c r="AFB24" i="20"/>
  <c r="AFC24" i="20"/>
  <c r="AFD24" i="20"/>
  <c r="AFE24" i="20"/>
  <c r="AFF24" i="20"/>
  <c r="AFG24" i="20"/>
  <c r="AFH24" i="20"/>
  <c r="AFI24" i="20"/>
  <c r="AFJ24" i="20"/>
  <c r="AFK24" i="20"/>
  <c r="AFL24" i="20"/>
  <c r="AFM24" i="20"/>
  <c r="AFN24" i="20"/>
  <c r="AFO24" i="20"/>
  <c r="AFP24" i="20"/>
  <c r="AFQ24" i="20"/>
  <c r="AFR24" i="20"/>
  <c r="AFS24" i="20"/>
  <c r="AFT24" i="20"/>
  <c r="AFU24" i="20"/>
  <c r="AFV24" i="20"/>
  <c r="AFW24" i="20"/>
  <c r="AFX24" i="20"/>
  <c r="AFY24" i="20"/>
  <c r="AFZ24" i="20"/>
  <c r="AGA24" i="20"/>
  <c r="AGB24" i="20"/>
  <c r="AGC24" i="20"/>
  <c r="AGD24" i="20"/>
  <c r="AGE24" i="20"/>
  <c r="AGF24" i="20"/>
  <c r="AGG24" i="20"/>
  <c r="AGH24" i="20"/>
  <c r="AGI24" i="20"/>
  <c r="AGJ24" i="20"/>
  <c r="AGK24" i="20"/>
  <c r="AGL24" i="20"/>
  <c r="AGM24" i="20"/>
  <c r="AGN24" i="20"/>
  <c r="AGO24" i="20"/>
  <c r="AGP24" i="20"/>
  <c r="AGQ24" i="20"/>
  <c r="AGR24" i="20"/>
  <c r="AGS24" i="20"/>
  <c r="AGT24" i="20"/>
  <c r="AGU24" i="20"/>
  <c r="AGV24" i="20"/>
  <c r="AGW24" i="20"/>
  <c r="AGX24" i="20"/>
  <c r="AGY24" i="20"/>
  <c r="AGZ24" i="20"/>
  <c r="AHA24" i="20"/>
  <c r="AHB24" i="20"/>
  <c r="AHC24" i="20"/>
  <c r="AHD24" i="20"/>
  <c r="AHE24" i="20"/>
  <c r="AHF24" i="20"/>
  <c r="AHG24" i="20"/>
  <c r="AHH24" i="20"/>
  <c r="AHI24" i="20"/>
  <c r="AHJ24" i="20"/>
  <c r="AHK24" i="20"/>
  <c r="AHL24" i="20"/>
  <c r="AHM24" i="20"/>
  <c r="AHN24" i="20"/>
  <c r="AHO24" i="20"/>
  <c r="AHP24" i="20"/>
  <c r="AHQ24" i="20"/>
  <c r="AHR24" i="20"/>
  <c r="AHS24" i="20"/>
  <c r="AHT24" i="20"/>
  <c r="AHU24" i="20"/>
  <c r="AHV24" i="20"/>
  <c r="AHW24" i="20"/>
  <c r="AHX24" i="20"/>
  <c r="AHY24" i="20"/>
  <c r="AHZ24" i="20"/>
  <c r="AIA24" i="20"/>
  <c r="AIB24" i="20"/>
  <c r="AIC24" i="20"/>
  <c r="AID24" i="20"/>
  <c r="AIE24" i="20"/>
  <c r="AIF24" i="20"/>
  <c r="AIG24" i="20"/>
  <c r="AIH24" i="20"/>
  <c r="AII24" i="20"/>
  <c r="AIJ24" i="20"/>
  <c r="AIK24" i="20"/>
  <c r="AIL24" i="20"/>
  <c r="AIM24" i="20"/>
  <c r="AIN24" i="20"/>
  <c r="AIO24" i="20"/>
  <c r="AIP24" i="20"/>
  <c r="AIQ24" i="20"/>
  <c r="AIR24" i="20"/>
  <c r="AIS24" i="20"/>
  <c r="AIT24" i="20"/>
  <c r="AIU24" i="20"/>
  <c r="AIV24" i="20"/>
  <c r="AIW24" i="20"/>
  <c r="AIX24" i="20"/>
  <c r="AIY24" i="20"/>
  <c r="AIZ24" i="20"/>
  <c r="AJA24" i="20"/>
  <c r="AJB24" i="20"/>
  <c r="AJC24" i="20"/>
  <c r="AJD24" i="20"/>
  <c r="AJE24" i="20"/>
  <c r="AJF24" i="20"/>
  <c r="AJG24" i="20"/>
  <c r="AJH24" i="20"/>
  <c r="AJI24" i="20"/>
  <c r="AJJ24" i="20"/>
  <c r="AJK24" i="20"/>
  <c r="AJL24" i="20"/>
  <c r="AJM24" i="20"/>
  <c r="AJN24" i="20"/>
  <c r="AJO24" i="20"/>
  <c r="AJP24" i="20"/>
  <c r="AJQ24" i="20"/>
  <c r="AJR24" i="20"/>
  <c r="AJS24" i="20"/>
  <c r="AJT24" i="20"/>
  <c r="AJU24" i="20"/>
  <c r="AJV24" i="20"/>
  <c r="AJW24" i="20"/>
  <c r="AJX24" i="20"/>
  <c r="AJY24" i="20"/>
  <c r="AJZ24" i="20"/>
  <c r="AKA24" i="20"/>
  <c r="AKB24" i="20"/>
  <c r="AKC24" i="20"/>
  <c r="AKD24" i="20"/>
  <c r="AKE24" i="20"/>
  <c r="AKF24" i="20"/>
  <c r="AKG24" i="20"/>
  <c r="AKH24" i="20"/>
  <c r="AKI24" i="20"/>
  <c r="AKJ24" i="20"/>
  <c r="AKK24" i="20"/>
  <c r="AKL24" i="20"/>
  <c r="AKM24" i="20"/>
  <c r="AKN24" i="20"/>
  <c r="AKO24" i="20"/>
  <c r="AKP24" i="20"/>
  <c r="AKQ24" i="20"/>
  <c r="AKR24" i="20"/>
  <c r="AKS24" i="20"/>
  <c r="AKT24" i="20"/>
  <c r="AKU24" i="20"/>
  <c r="AKV24" i="20"/>
  <c r="AKW24" i="20"/>
  <c r="AKX24" i="20"/>
  <c r="AKY24" i="20"/>
  <c r="AKZ24" i="20"/>
  <c r="ALA24" i="20"/>
  <c r="ALB24" i="20"/>
  <c r="ALC24" i="20"/>
  <c r="ALD24" i="20"/>
  <c r="ALE24" i="20"/>
  <c r="ALF24" i="20"/>
  <c r="ALG24" i="20"/>
  <c r="ALH24" i="20"/>
  <c r="ALI24" i="20"/>
  <c r="ALJ24" i="20"/>
  <c r="ALK24" i="20"/>
  <c r="ALL24" i="20"/>
  <c r="ALM24" i="20"/>
  <c r="ALN24" i="20"/>
  <c r="ALO24" i="20"/>
  <c r="ALP24" i="20"/>
  <c r="ALQ24" i="20"/>
  <c r="ALR24" i="20"/>
  <c r="ALS24" i="20"/>
  <c r="ALT24" i="20"/>
  <c r="ALU24" i="20"/>
  <c r="ALV24" i="20"/>
  <c r="ALW24" i="20"/>
  <c r="ALX24" i="20"/>
  <c r="ALY24" i="20"/>
  <c r="ALZ24" i="20"/>
  <c r="AMA24" i="20"/>
  <c r="AMB24" i="20"/>
  <c r="AMC24" i="20"/>
  <c r="AMD24" i="20"/>
  <c r="AME24" i="20"/>
  <c r="AMF24" i="20"/>
  <c r="AMG24" i="20"/>
  <c r="AMH24" i="20"/>
  <c r="AMI24" i="20"/>
  <c r="AMJ24" i="20"/>
  <c r="AMK24" i="20"/>
  <c r="AML24" i="20"/>
  <c r="AMM24" i="20"/>
  <c r="AMN24" i="20"/>
  <c r="AMO24" i="20"/>
  <c r="AMP24" i="20"/>
  <c r="AMQ24" i="20"/>
  <c r="AMR24" i="20"/>
  <c r="AMS24" i="20"/>
  <c r="AMT24" i="20"/>
  <c r="AMU24" i="20"/>
  <c r="AMV24" i="20"/>
  <c r="AMW24" i="20"/>
  <c r="AMX24" i="20"/>
  <c r="AMY24" i="20"/>
  <c r="AMZ24" i="20"/>
  <c r="ANA24" i="20"/>
  <c r="ANB24" i="20"/>
  <c r="ANC24" i="20"/>
  <c r="AND24" i="20"/>
  <c r="ANE24" i="20"/>
  <c r="ANF24" i="20"/>
  <c r="ANG24" i="20"/>
  <c r="ANH24" i="20"/>
  <c r="ANI24" i="20"/>
  <c r="ANJ24" i="20"/>
  <c r="ANK24" i="20"/>
  <c r="ANL24" i="20"/>
  <c r="ANM24" i="20"/>
  <c r="ANN24" i="20"/>
  <c r="ANO24" i="20"/>
  <c r="ANP24" i="20"/>
  <c r="ANQ24" i="20"/>
  <c r="ANR24" i="20"/>
  <c r="ANS24" i="20"/>
  <c r="ANT24" i="20"/>
  <c r="ANU24" i="20"/>
  <c r="ANV24" i="20"/>
  <c r="ANW24" i="20"/>
  <c r="ANX24" i="20"/>
  <c r="ANY24" i="20"/>
  <c r="ANZ24" i="20"/>
  <c r="AOA24" i="20"/>
  <c r="AOB24" i="20"/>
  <c r="AOC24" i="20"/>
  <c r="AOD24" i="20"/>
  <c r="AOE24" i="20"/>
  <c r="AOF24" i="20"/>
  <c r="AOG24" i="20"/>
  <c r="AOH24" i="20"/>
  <c r="AOI24" i="20"/>
  <c r="AOJ24" i="20"/>
  <c r="AOK24" i="20"/>
  <c r="AOL24" i="20"/>
  <c r="AOM24" i="20"/>
  <c r="AON24" i="20"/>
  <c r="AOO24" i="20"/>
  <c r="AOP24" i="20"/>
  <c r="AOQ24" i="20"/>
  <c r="AOR24" i="20"/>
  <c r="AOS24" i="20"/>
  <c r="AOT24" i="20"/>
  <c r="AOU24" i="20"/>
  <c r="AOV24" i="20"/>
  <c r="AOW24" i="20"/>
  <c r="AOX24" i="20"/>
  <c r="AOY24" i="20"/>
  <c r="AOZ24" i="20"/>
  <c r="APA24" i="20"/>
  <c r="APB24" i="20"/>
  <c r="APC24" i="20"/>
  <c r="APD24" i="20"/>
  <c r="APE24" i="20"/>
  <c r="APF24" i="20"/>
  <c r="APG24" i="20"/>
  <c r="APH24" i="20"/>
  <c r="API24" i="20"/>
  <c r="APJ24" i="20"/>
  <c r="APK24" i="20"/>
  <c r="APL24" i="20"/>
  <c r="APM24" i="20"/>
  <c r="APN24" i="20"/>
  <c r="APO24" i="20"/>
  <c r="APP24" i="20"/>
  <c r="APQ24" i="20"/>
  <c r="APR24" i="20"/>
  <c r="APS24" i="20"/>
  <c r="APT24" i="20"/>
  <c r="APU24" i="20"/>
  <c r="APV24" i="20"/>
  <c r="APW24" i="20"/>
  <c r="APX24" i="20"/>
  <c r="APY24" i="20"/>
  <c r="APZ24" i="20"/>
  <c r="AQA24" i="20"/>
  <c r="AQB24" i="20"/>
  <c r="AQC24" i="20"/>
  <c r="AQD24" i="20"/>
  <c r="AQE24" i="20"/>
  <c r="AQF24" i="20"/>
  <c r="AQG24" i="20"/>
  <c r="AQH24" i="20"/>
  <c r="AQI24" i="20"/>
  <c r="AQJ24" i="20"/>
  <c r="AQK24" i="20"/>
  <c r="AQL24" i="20"/>
  <c r="AQM24" i="20"/>
  <c r="AQN24" i="20"/>
  <c r="AQO24" i="20"/>
  <c r="AQP24" i="20"/>
  <c r="AQQ24" i="20"/>
  <c r="AQR24" i="20"/>
  <c r="AQS24" i="20"/>
  <c r="AQT24" i="20"/>
  <c r="AQU24" i="20"/>
  <c r="AQV24" i="20"/>
  <c r="AQW24" i="20"/>
  <c r="AQX24" i="20"/>
  <c r="AQY24" i="20"/>
  <c r="AQZ24" i="20"/>
  <c r="ARA24" i="20"/>
  <c r="ARB24" i="20"/>
  <c r="ARC24" i="20"/>
  <c r="ARD24" i="20"/>
  <c r="ARE24" i="20"/>
  <c r="ARF24" i="20"/>
  <c r="ARG24" i="20"/>
  <c r="ARH24" i="20"/>
  <c r="ARI24" i="20"/>
  <c r="ARJ24" i="20"/>
  <c r="ARK24" i="20"/>
  <c r="ARL24" i="20"/>
  <c r="ARM24" i="20"/>
  <c r="ARN24" i="20"/>
  <c r="ARO24" i="20"/>
  <c r="ARP24" i="20"/>
  <c r="ARQ24" i="20"/>
  <c r="ARR24" i="20"/>
  <c r="ARS24" i="20"/>
  <c r="ART24" i="20"/>
  <c r="ARU24" i="20"/>
  <c r="ARV24" i="20"/>
  <c r="ARW24" i="20"/>
  <c r="ARX24" i="20"/>
  <c r="ARY24" i="20"/>
  <c r="ARZ24" i="20"/>
  <c r="ASA24" i="20"/>
  <c r="ASB24" i="20"/>
  <c r="ASC24" i="20"/>
  <c r="ASD24" i="20"/>
  <c r="ASE24" i="20"/>
  <c r="ASF24" i="20"/>
  <c r="ASG24" i="20"/>
  <c r="ASH24" i="20"/>
  <c r="ASI24" i="20"/>
  <c r="ASJ24" i="20"/>
  <c r="ASK24" i="20"/>
  <c r="ASL24" i="20"/>
  <c r="ASM24" i="20"/>
  <c r="ASN24" i="20"/>
  <c r="ASO24" i="20"/>
  <c r="ASP24" i="20"/>
  <c r="ASQ24" i="20"/>
  <c r="ASR24" i="20"/>
  <c r="ASS24" i="20"/>
  <c r="AST24" i="20"/>
  <c r="ASU24" i="20"/>
  <c r="ASV24" i="20"/>
  <c r="ASW24" i="20"/>
  <c r="ASX24" i="20"/>
  <c r="ASY24" i="20"/>
  <c r="ASZ24" i="20"/>
  <c r="ATA24" i="20"/>
  <c r="ATB24" i="20"/>
  <c r="ATC24" i="20"/>
  <c r="ATD24" i="20"/>
  <c r="ATE24" i="20"/>
  <c r="ATF24" i="20"/>
  <c r="ATG24" i="20"/>
  <c r="ATH24" i="20"/>
  <c r="ATI24" i="20"/>
  <c r="ATJ24" i="20"/>
  <c r="ATK24" i="20"/>
  <c r="ATL24" i="20"/>
  <c r="ATM24" i="20"/>
  <c r="ATN24" i="20"/>
  <c r="ATO24" i="20"/>
  <c r="ATP24" i="20"/>
  <c r="ATQ24" i="20"/>
  <c r="ATR24" i="20"/>
  <c r="ATS24" i="20"/>
  <c r="ATT24" i="20"/>
  <c r="ATU24" i="20"/>
  <c r="ATV24" i="20"/>
  <c r="ATW24" i="20"/>
  <c r="ATX24" i="20"/>
  <c r="ATY24" i="20"/>
  <c r="ATZ24" i="20"/>
  <c r="AUA24" i="20"/>
  <c r="AUB24" i="20"/>
  <c r="AUC24" i="20"/>
  <c r="AUD24" i="20"/>
  <c r="AUE24" i="20"/>
  <c r="AUF24" i="20"/>
  <c r="AUG24" i="20"/>
  <c r="AUH24" i="20"/>
  <c r="AUI24" i="20"/>
  <c r="AUJ24" i="20"/>
  <c r="AUK24" i="20"/>
  <c r="AUL24" i="20"/>
  <c r="AUM24" i="20"/>
  <c r="AUN24" i="20"/>
  <c r="AUO24" i="20"/>
  <c r="AUP24" i="20"/>
  <c r="AUQ24" i="20"/>
  <c r="AUR24" i="20"/>
  <c r="AUS24" i="20"/>
  <c r="AUT24" i="20"/>
  <c r="AUU24" i="20"/>
  <c r="AUV24" i="20"/>
  <c r="AUW24" i="20"/>
  <c r="AUX24" i="20"/>
  <c r="AUY24" i="20"/>
  <c r="AUZ24" i="20"/>
  <c r="AVA24" i="20"/>
  <c r="AVB24" i="20"/>
  <c r="AVC24" i="20"/>
  <c r="AVD24" i="20"/>
  <c r="AVE24" i="20"/>
  <c r="AVF24" i="20"/>
  <c r="AVG24" i="20"/>
  <c r="AVH24" i="20"/>
  <c r="AVI24" i="20"/>
  <c r="AVJ24" i="20"/>
  <c r="AVK24" i="20"/>
  <c r="AVL24" i="20"/>
  <c r="AVM24" i="20"/>
  <c r="AVN24" i="20"/>
  <c r="AVO24" i="20"/>
  <c r="AVP24" i="20"/>
  <c r="AVQ24" i="20"/>
  <c r="AVR24" i="20"/>
  <c r="AVS24" i="20"/>
  <c r="AVT24" i="20"/>
  <c r="AVU24" i="20"/>
  <c r="AVV24" i="20"/>
  <c r="AVW24" i="20"/>
  <c r="AVX24" i="20"/>
  <c r="AVY24" i="20"/>
  <c r="AVZ24" i="20"/>
  <c r="AWA24" i="20"/>
  <c r="AWB24" i="20"/>
  <c r="AWC24" i="20"/>
  <c r="AWD24" i="20"/>
  <c r="AWE24" i="20"/>
  <c r="AWF24" i="20"/>
  <c r="AWG24" i="20"/>
  <c r="AWH24" i="20"/>
  <c r="AWI24" i="20"/>
  <c r="AWJ24" i="20"/>
  <c r="AWK24" i="20"/>
  <c r="AWL24" i="20"/>
  <c r="AWM24" i="20"/>
  <c r="AWN24" i="20"/>
  <c r="AWO24" i="20"/>
  <c r="AWP24" i="20"/>
  <c r="AWQ24" i="20"/>
  <c r="AWR24" i="20"/>
  <c r="AWS24" i="20"/>
  <c r="AWT24" i="20"/>
  <c r="AWU24" i="20"/>
  <c r="AWV24" i="20"/>
  <c r="AWW24" i="20"/>
  <c r="AWX24" i="20"/>
  <c r="AWY24" i="20"/>
  <c r="AWZ24" i="20"/>
  <c r="AXA24" i="20"/>
  <c r="AXB24" i="20"/>
  <c r="AXC24" i="20"/>
  <c r="AXD24" i="20"/>
  <c r="AXE24" i="20"/>
  <c r="AXF24" i="20"/>
  <c r="AXG24" i="20"/>
  <c r="AXH24" i="20"/>
  <c r="AXI24" i="20"/>
  <c r="AXJ24" i="20"/>
  <c r="AXK24" i="20"/>
  <c r="AXL24" i="20"/>
  <c r="AXM24" i="20"/>
  <c r="AXN24" i="20"/>
  <c r="AXO24" i="20"/>
  <c r="AXP24" i="20"/>
  <c r="AXQ24" i="20"/>
  <c r="AXR24" i="20"/>
  <c r="AXS24" i="20"/>
  <c r="AXT24" i="20"/>
  <c r="AXU24" i="20"/>
  <c r="AXV24" i="20"/>
  <c r="AXW24" i="20"/>
  <c r="AXX24" i="20"/>
  <c r="AXY24" i="20"/>
  <c r="AXZ24" i="20"/>
  <c r="AYA24" i="20"/>
  <c r="AYB24" i="20"/>
  <c r="AYC24" i="20"/>
  <c r="AYD24" i="20"/>
  <c r="AYE24" i="20"/>
  <c r="AYF24" i="20"/>
  <c r="AYG24" i="20"/>
  <c r="AYH24" i="20"/>
  <c r="AYI24" i="20"/>
  <c r="AYJ24" i="20"/>
  <c r="AYK24" i="20"/>
  <c r="AYL24" i="20"/>
  <c r="AYM24" i="20"/>
  <c r="AYN24" i="20"/>
  <c r="AYO24" i="20"/>
  <c r="AYP24" i="20"/>
  <c r="AYQ24" i="20"/>
  <c r="AYR24" i="20"/>
  <c r="AYS24" i="20"/>
  <c r="AYT24" i="20"/>
  <c r="AYU24" i="20"/>
  <c r="AYV24" i="20"/>
  <c r="AYW24" i="20"/>
  <c r="AYX24" i="20"/>
  <c r="AYY24" i="20"/>
  <c r="AYZ24" i="20"/>
  <c r="AZA24" i="20"/>
  <c r="AZB24" i="20"/>
  <c r="AZC24" i="20"/>
  <c r="AZD24" i="20"/>
  <c r="AZE24" i="20"/>
  <c r="AZF24" i="20"/>
  <c r="AZG24" i="20"/>
  <c r="AZH24" i="20"/>
  <c r="AZI24" i="20"/>
  <c r="AZJ24" i="20"/>
  <c r="AZK24" i="20"/>
  <c r="AZL24" i="20"/>
  <c r="AZM24" i="20"/>
  <c r="AZN24" i="20"/>
  <c r="AZO24" i="20"/>
  <c r="AZP24" i="20"/>
  <c r="AZQ24" i="20"/>
  <c r="AZR24" i="20"/>
  <c r="AZS24" i="20"/>
  <c r="AZT24" i="20"/>
  <c r="AZU24" i="20"/>
  <c r="AZV24" i="20"/>
  <c r="AZW24" i="20"/>
  <c r="AZX24" i="20"/>
  <c r="AZY24" i="20"/>
  <c r="AZZ24" i="20"/>
  <c r="BAA24" i="20"/>
  <c r="BAB24" i="20"/>
  <c r="BAC24" i="20"/>
  <c r="BAD24" i="20"/>
  <c r="BAE24" i="20"/>
  <c r="BAF24" i="20"/>
  <c r="BAG24" i="20"/>
  <c r="BAH24" i="20"/>
  <c r="BAI24" i="20"/>
  <c r="BAJ24" i="20"/>
  <c r="BAK24" i="20"/>
  <c r="BAL24" i="20"/>
  <c r="BAM24" i="20"/>
  <c r="BAN24" i="20"/>
  <c r="BAO24" i="20"/>
  <c r="BAP24" i="20"/>
  <c r="BAQ24" i="20"/>
  <c r="BAR24" i="20"/>
  <c r="BAS24" i="20"/>
  <c r="BAT24" i="20"/>
  <c r="BAU24" i="20"/>
  <c r="BAV24" i="20"/>
  <c r="BAW24" i="20"/>
  <c r="BAX24" i="20"/>
  <c r="BAY24" i="20"/>
  <c r="BAZ24" i="20"/>
  <c r="BBA24" i="20"/>
  <c r="BBB24" i="20"/>
  <c r="BBC24" i="20"/>
  <c r="BBD24" i="20"/>
  <c r="BBE24" i="20"/>
  <c r="BBF24" i="20"/>
  <c r="BBG24" i="20"/>
  <c r="BBH24" i="20"/>
  <c r="BBI24" i="20"/>
  <c r="BBJ24" i="20"/>
  <c r="BBK24" i="20"/>
  <c r="BBL24" i="20"/>
  <c r="BBM24" i="20"/>
  <c r="BBN24" i="20"/>
  <c r="BBO24" i="20"/>
  <c r="BBP24" i="20"/>
  <c r="BBQ24" i="20"/>
  <c r="BBR24" i="20"/>
  <c r="BBS24" i="20"/>
  <c r="BBT24" i="20"/>
  <c r="BBU24" i="20"/>
  <c r="BBV24" i="20"/>
  <c r="BBW24" i="20"/>
  <c r="BBX24" i="20"/>
  <c r="BBY24" i="20"/>
  <c r="BBZ24" i="20"/>
  <c r="BCA24" i="20"/>
  <c r="BCB24" i="20"/>
  <c r="BCC24" i="20"/>
  <c r="BCD24" i="20"/>
  <c r="BCE24" i="20"/>
  <c r="BCF24" i="20"/>
  <c r="BCG24" i="20"/>
  <c r="BCH24" i="20"/>
  <c r="BCI24" i="20"/>
  <c r="BCJ24" i="20"/>
  <c r="BCK24" i="20"/>
  <c r="BCL24" i="20"/>
  <c r="BCM24" i="20"/>
  <c r="BCN24" i="20"/>
  <c r="BCO24" i="20"/>
  <c r="BCP24" i="20"/>
  <c r="BCQ24" i="20"/>
  <c r="BCR24" i="20"/>
  <c r="BCS24" i="20"/>
  <c r="BCT24" i="20"/>
  <c r="BCU24" i="20"/>
  <c r="BCV24" i="20"/>
  <c r="BCW24" i="20"/>
  <c r="BCX24" i="20"/>
  <c r="BCY24" i="20"/>
  <c r="BCZ24" i="20"/>
  <c r="BDA24" i="20"/>
  <c r="BDB24" i="20"/>
  <c r="BDC24" i="20"/>
  <c r="BDD24" i="20"/>
  <c r="BDE24" i="20"/>
  <c r="BDF24" i="20"/>
  <c r="BDG24" i="20"/>
  <c r="BDH24" i="20"/>
  <c r="BDI24" i="20"/>
  <c r="BDJ24" i="20"/>
  <c r="BDK24" i="20"/>
  <c r="BDL24" i="20"/>
  <c r="BDM24" i="20"/>
  <c r="BDN24" i="20"/>
  <c r="BDO24" i="20"/>
  <c r="BDP24" i="20"/>
  <c r="BDQ24" i="20"/>
  <c r="BDR24" i="20"/>
  <c r="BDS24" i="20"/>
  <c r="BDT24" i="20"/>
  <c r="BDU24" i="20"/>
  <c r="BDV24" i="20"/>
  <c r="BDW24" i="20"/>
  <c r="BDX24" i="20"/>
  <c r="BDY24" i="20"/>
  <c r="BDZ24" i="20"/>
  <c r="BEA24" i="20"/>
  <c r="BEB24" i="20"/>
  <c r="BEC24" i="20"/>
  <c r="BED24" i="20"/>
  <c r="BEE24" i="20"/>
  <c r="BEF24" i="20"/>
  <c r="BEG24" i="20"/>
  <c r="BEH24" i="20"/>
  <c r="BEI24" i="20"/>
  <c r="BEJ24" i="20"/>
  <c r="BEK24" i="20"/>
  <c r="BEL24" i="20"/>
  <c r="BEM24" i="20"/>
  <c r="BEN24" i="20"/>
  <c r="BEO24" i="20"/>
  <c r="BEP24" i="20"/>
  <c r="BEQ24" i="20"/>
  <c r="BER24" i="20"/>
  <c r="BES24" i="20"/>
  <c r="BET24" i="20"/>
  <c r="BEU24" i="20"/>
  <c r="BEV24" i="20"/>
  <c r="BEW24" i="20"/>
  <c r="BEX24" i="20"/>
  <c r="BEY24" i="20"/>
  <c r="BEZ24" i="20"/>
  <c r="BFA24" i="20"/>
  <c r="BFB24" i="20"/>
  <c r="BFC24" i="20"/>
  <c r="BFD24" i="20"/>
  <c r="BFE24" i="20"/>
  <c r="BFF24" i="20"/>
  <c r="BFG24" i="20"/>
  <c r="BFH24" i="20"/>
  <c r="BFI24" i="20"/>
  <c r="BFJ24" i="20"/>
  <c r="BFK24" i="20"/>
  <c r="BFL24" i="20"/>
  <c r="BFM24" i="20"/>
  <c r="BFN24" i="20"/>
  <c r="BFO24" i="20"/>
  <c r="BFP24" i="20"/>
  <c r="BFQ24" i="20"/>
  <c r="BFR24" i="20"/>
  <c r="BFS24" i="20"/>
  <c r="BFT24" i="20"/>
  <c r="BFU24" i="20"/>
  <c r="BFV24" i="20"/>
  <c r="BFW24" i="20"/>
  <c r="BFX24" i="20"/>
  <c r="BFY24" i="20"/>
  <c r="BFZ24" i="20"/>
  <c r="BGA24" i="20"/>
  <c r="BGB24" i="20"/>
  <c r="BGC24" i="20"/>
  <c r="BGD24" i="20"/>
  <c r="BGE24" i="20"/>
  <c r="BGF24" i="20"/>
  <c r="BGG24" i="20"/>
  <c r="BGH24" i="20"/>
  <c r="BGI24" i="20"/>
  <c r="BGJ24" i="20"/>
  <c r="BGK24" i="20"/>
  <c r="BGL24" i="20"/>
  <c r="BGM24" i="20"/>
  <c r="BGN24" i="20"/>
  <c r="BGO24" i="20"/>
  <c r="BGP24" i="20"/>
  <c r="BGQ24" i="20"/>
  <c r="BGR24" i="20"/>
  <c r="BGS24" i="20"/>
  <c r="BGT24" i="20"/>
  <c r="BGU24" i="20"/>
  <c r="BGV24" i="20"/>
  <c r="BGW24" i="20"/>
  <c r="BGX24" i="20"/>
  <c r="BGY24" i="20"/>
  <c r="BGZ24" i="20"/>
  <c r="BHA24" i="20"/>
  <c r="BHB24" i="20"/>
  <c r="BHC24" i="20"/>
  <c r="BHD24" i="20"/>
  <c r="BHE24" i="20"/>
  <c r="BHF24" i="20"/>
  <c r="BHG24" i="20"/>
  <c r="BHH24" i="20"/>
  <c r="BHI24" i="20"/>
  <c r="BHJ24" i="20"/>
  <c r="BHK24" i="20"/>
  <c r="BHL24" i="20"/>
  <c r="BHM24" i="20"/>
  <c r="BHN24" i="20"/>
  <c r="BHO24" i="20"/>
  <c r="BHP24" i="20"/>
  <c r="BHQ24" i="20"/>
  <c r="BHR24" i="20"/>
  <c r="BHS24" i="20"/>
  <c r="BHT24" i="20"/>
  <c r="BHU24" i="20"/>
  <c r="BHV24" i="20"/>
  <c r="BHW24" i="20"/>
  <c r="BHX24" i="20"/>
  <c r="BHY24" i="20"/>
  <c r="BHZ24" i="20"/>
  <c r="BIA24" i="20"/>
  <c r="BIB24" i="20"/>
  <c r="BIC24" i="20"/>
  <c r="BID24" i="20"/>
  <c r="BIE24" i="20"/>
  <c r="BIF24" i="20"/>
  <c r="BIG24" i="20"/>
  <c r="BIH24" i="20"/>
  <c r="BII24" i="20"/>
  <c r="BIJ24" i="20"/>
  <c r="BIK24" i="20"/>
  <c r="BIL24" i="20"/>
  <c r="BIM24" i="20"/>
  <c r="BIN24" i="20"/>
  <c r="BIO24" i="20"/>
  <c r="BIP24" i="20"/>
  <c r="BIQ24" i="20"/>
  <c r="BIR24" i="20"/>
  <c r="BIS24" i="20"/>
  <c r="BIT24" i="20"/>
  <c r="BIU24" i="20"/>
  <c r="BIV24" i="20"/>
  <c r="BIW24" i="20"/>
  <c r="BIX24" i="20"/>
  <c r="BIY24" i="20"/>
  <c r="BIZ24" i="20"/>
  <c r="BJA24" i="20"/>
  <c r="BJB24" i="20"/>
  <c r="BJC24" i="20"/>
  <c r="BJD24" i="20"/>
  <c r="BJE24" i="20"/>
  <c r="BJF24" i="20"/>
  <c r="BJG24" i="20"/>
  <c r="BJH24" i="20"/>
  <c r="BJI24" i="20"/>
  <c r="BJJ24" i="20"/>
  <c r="BJK24" i="20"/>
  <c r="BJL24" i="20"/>
  <c r="BJM24" i="20"/>
  <c r="BJN24" i="20"/>
  <c r="BJO24" i="20"/>
  <c r="BJP24" i="20"/>
  <c r="BJQ24" i="20"/>
  <c r="BJR24" i="20"/>
  <c r="BJS24" i="20"/>
  <c r="BJT24" i="20"/>
  <c r="BJU24" i="20"/>
  <c r="BJV24" i="20"/>
  <c r="BJW24" i="20"/>
  <c r="BJX24" i="20"/>
  <c r="BJY24" i="20"/>
  <c r="BJZ24" i="20"/>
  <c r="BKA24" i="20"/>
  <c r="BKB24" i="20"/>
  <c r="BKC24" i="20"/>
  <c r="BKD24" i="20"/>
  <c r="BKE24" i="20"/>
  <c r="BKF24" i="20"/>
  <c r="BKG24" i="20"/>
  <c r="BKH24" i="20"/>
  <c r="BKI24" i="20"/>
  <c r="BKJ24" i="20"/>
  <c r="BKK24" i="20"/>
  <c r="BKL24" i="20"/>
  <c r="BKM24" i="20"/>
  <c r="BKN24" i="20"/>
  <c r="BKO24" i="20"/>
  <c r="BKP24" i="20"/>
  <c r="BKQ24" i="20"/>
  <c r="BKR24" i="20"/>
  <c r="BKS24" i="20"/>
  <c r="BKT24" i="20"/>
  <c r="BKU24" i="20"/>
  <c r="BKV24" i="20"/>
  <c r="BKW24" i="20"/>
  <c r="BKX24" i="20"/>
  <c r="BKY24" i="20"/>
  <c r="BKZ24" i="20"/>
  <c r="BLA24" i="20"/>
  <c r="BLB24" i="20"/>
  <c r="BLC24" i="20"/>
  <c r="BLD24" i="20"/>
  <c r="BLE24" i="20"/>
  <c r="BLF24" i="20"/>
  <c r="BLG24" i="20"/>
  <c r="BLH24" i="20"/>
  <c r="BLI24" i="20"/>
  <c r="BLJ24" i="20"/>
  <c r="BLK24" i="20"/>
  <c r="BLL24" i="20"/>
  <c r="BLM24" i="20"/>
  <c r="BLN24" i="20"/>
  <c r="BLO24" i="20"/>
  <c r="BLP24" i="20"/>
  <c r="BLQ24" i="20"/>
  <c r="BLR24" i="20"/>
  <c r="BLS24" i="20"/>
  <c r="BLT24" i="20"/>
  <c r="BLU24" i="20"/>
  <c r="BLV24" i="20"/>
  <c r="BLW24" i="20"/>
  <c r="BLX24" i="20"/>
  <c r="BLY24" i="20"/>
  <c r="BLZ24" i="20"/>
  <c r="BMA24" i="20"/>
  <c r="BMB24" i="20"/>
  <c r="BMC24" i="20"/>
  <c r="BMD24" i="20"/>
  <c r="BME24" i="20"/>
  <c r="BMF24" i="20"/>
  <c r="BMG24" i="20"/>
  <c r="BMH24" i="20"/>
  <c r="BMI24" i="20"/>
  <c r="BMJ24" i="20"/>
  <c r="BMK24" i="20"/>
  <c r="BML24" i="20"/>
  <c r="BMM24" i="20"/>
  <c r="BMN24" i="20"/>
  <c r="BMO24" i="20"/>
  <c r="BMP24" i="20"/>
  <c r="BMQ24" i="20"/>
  <c r="BMR24" i="20"/>
  <c r="BMS24" i="20"/>
  <c r="BMT24" i="20"/>
  <c r="BMU24" i="20"/>
  <c r="BMV24" i="20"/>
  <c r="BMW24" i="20"/>
  <c r="BMX24" i="20"/>
  <c r="BMY24" i="20"/>
  <c r="BMZ24" i="20"/>
  <c r="BNA24" i="20"/>
  <c r="BNB24" i="20"/>
  <c r="BNC24" i="20"/>
  <c r="BND24" i="20"/>
  <c r="BNE24" i="20"/>
  <c r="BNF24" i="20"/>
  <c r="BNG24" i="20"/>
  <c r="BNH24" i="20"/>
  <c r="BNI24" i="20"/>
  <c r="BNJ24" i="20"/>
  <c r="BNK24" i="20"/>
  <c r="BNL24" i="20"/>
  <c r="BNM24" i="20"/>
  <c r="BNN24" i="20"/>
  <c r="BNO24" i="20"/>
  <c r="BNP24" i="20"/>
  <c r="BNQ24" i="20"/>
  <c r="BNR24" i="20"/>
  <c r="BNS24" i="20"/>
  <c r="BNT24" i="20"/>
  <c r="BNU24" i="20"/>
  <c r="BNV24" i="20"/>
  <c r="BNW24" i="20"/>
  <c r="BNX24" i="20"/>
  <c r="BNY24" i="20"/>
  <c r="BNZ24" i="20"/>
  <c r="BOA24" i="20"/>
  <c r="BOB24" i="20"/>
  <c r="BOC24" i="20"/>
  <c r="BOD24" i="20"/>
  <c r="BOE24" i="20"/>
  <c r="BOF24" i="20"/>
  <c r="BOG24" i="20"/>
  <c r="BOH24" i="20"/>
  <c r="BOI24" i="20"/>
  <c r="BOJ24" i="20"/>
  <c r="BOK24" i="20"/>
  <c r="BOL24" i="20"/>
  <c r="BOM24" i="20"/>
  <c r="BON24" i="20"/>
  <c r="BOO24" i="20"/>
  <c r="BOP24" i="20"/>
  <c r="BOQ24" i="20"/>
  <c r="BOR24" i="20"/>
  <c r="BOS24" i="20"/>
  <c r="BOT24" i="20"/>
  <c r="BOU24" i="20"/>
  <c r="BOV24" i="20"/>
  <c r="BOW24" i="20"/>
  <c r="BOX24" i="20"/>
  <c r="BOY24" i="20"/>
  <c r="BOZ24" i="20"/>
  <c r="BPA24" i="20"/>
  <c r="BPB24" i="20"/>
  <c r="BPC24" i="20"/>
  <c r="BPD24" i="20"/>
  <c r="BPE24" i="20"/>
  <c r="BPF24" i="20"/>
  <c r="BPG24" i="20"/>
  <c r="BPH24" i="20"/>
  <c r="BPI24" i="20"/>
  <c r="BPJ24" i="20"/>
  <c r="BPK24" i="20"/>
  <c r="BPL24" i="20"/>
  <c r="BPM24" i="20"/>
  <c r="BPN24" i="20"/>
  <c r="BPO24" i="20"/>
  <c r="BPP24" i="20"/>
  <c r="BPQ24" i="20"/>
  <c r="BPR24" i="20"/>
  <c r="BPS24" i="20"/>
  <c r="BPT24" i="20"/>
  <c r="BPU24" i="20"/>
  <c r="BPV24" i="20"/>
  <c r="BPW24" i="20"/>
  <c r="BPX24" i="20"/>
  <c r="BPY24" i="20"/>
  <c r="BPZ24" i="20"/>
  <c r="BQA24" i="20"/>
  <c r="BQB24" i="20"/>
  <c r="BQC24" i="20"/>
  <c r="BQD24" i="20"/>
  <c r="BQE24" i="20"/>
  <c r="BQF24" i="20"/>
  <c r="BQG24" i="20"/>
  <c r="BQH24" i="20"/>
  <c r="BQI24" i="20"/>
  <c r="BQJ24" i="20"/>
  <c r="BQK24" i="20"/>
  <c r="BQL24" i="20"/>
  <c r="BQM24" i="20"/>
  <c r="BQN24" i="20"/>
  <c r="BQO24" i="20"/>
  <c r="BQP24" i="20"/>
  <c r="BQQ24" i="20"/>
  <c r="BQR24" i="20"/>
  <c r="BQS24" i="20"/>
  <c r="BQT24" i="20"/>
  <c r="BQU24" i="20"/>
  <c r="BQV24" i="20"/>
  <c r="BQW24" i="20"/>
  <c r="BQX24" i="20"/>
  <c r="BQY24" i="20"/>
  <c r="BQZ24" i="20"/>
  <c r="BRA24" i="20"/>
  <c r="BRB24" i="20"/>
  <c r="BRC24" i="20"/>
  <c r="BRD24" i="20"/>
  <c r="BRE24" i="20"/>
  <c r="BRF24" i="20"/>
  <c r="BRG24" i="20"/>
  <c r="BRH24" i="20"/>
  <c r="BRI24" i="20"/>
  <c r="BRJ24" i="20"/>
  <c r="BRK24" i="20"/>
  <c r="BRL24" i="20"/>
  <c r="BRM24" i="20"/>
  <c r="BRN24" i="20"/>
  <c r="BRO24" i="20"/>
  <c r="BRP24" i="20"/>
  <c r="BRQ24" i="20"/>
  <c r="BRR24" i="20"/>
  <c r="BRS24" i="20"/>
  <c r="BRT24" i="20"/>
  <c r="BRU24" i="20"/>
  <c r="BRV24" i="20"/>
  <c r="BRW24" i="20"/>
  <c r="BRX24" i="20"/>
  <c r="BRY24" i="20"/>
  <c r="BRZ24" i="20"/>
  <c r="BSA24" i="20"/>
  <c r="BSB24" i="20"/>
  <c r="BSC24" i="20"/>
  <c r="BSD24" i="20"/>
  <c r="BSE24" i="20"/>
  <c r="BSF24" i="20"/>
  <c r="BSG24" i="20"/>
  <c r="BSH24" i="20"/>
  <c r="BSI24" i="20"/>
  <c r="BSJ24" i="20"/>
  <c r="BSK24" i="20"/>
  <c r="BSL24" i="20"/>
  <c r="BSM24" i="20"/>
  <c r="BSN24" i="20"/>
  <c r="BSO24" i="20"/>
  <c r="BSP24" i="20"/>
  <c r="BSQ24" i="20"/>
  <c r="BSR24" i="20"/>
  <c r="BSS24" i="20"/>
  <c r="BST24" i="20"/>
  <c r="BSU24" i="20"/>
  <c r="BSV24" i="20"/>
  <c r="BSW24" i="20"/>
  <c r="BSX24" i="20"/>
  <c r="BSY24" i="20"/>
  <c r="BSZ24" i="20"/>
  <c r="BTA24" i="20"/>
  <c r="BTB24" i="20"/>
  <c r="BTC24" i="20"/>
  <c r="BTD24" i="20"/>
  <c r="BTE24" i="20"/>
  <c r="BTF24" i="20"/>
  <c r="BTG24" i="20"/>
  <c r="BTH24" i="20"/>
  <c r="BTI24" i="20"/>
  <c r="BTJ24" i="20"/>
  <c r="BTK24" i="20"/>
  <c r="BTL24" i="20"/>
  <c r="BTM24" i="20"/>
  <c r="BTN24" i="20"/>
  <c r="BTO24" i="20"/>
  <c r="BTP24" i="20"/>
  <c r="BTQ24" i="20"/>
  <c r="BTR24" i="20"/>
  <c r="BTS24" i="20"/>
  <c r="BTT24" i="20"/>
  <c r="BTU24" i="20"/>
  <c r="BTV24" i="20"/>
  <c r="BTW24" i="20"/>
  <c r="BTX24" i="20"/>
  <c r="BTY24" i="20"/>
  <c r="BTZ24" i="20"/>
  <c r="BUA24" i="20"/>
  <c r="BUB24" i="20"/>
  <c r="BUC24" i="20"/>
  <c r="BUD24" i="20"/>
  <c r="BUE24" i="20"/>
  <c r="BUF24" i="20"/>
  <c r="BUG24" i="20"/>
  <c r="BUH24" i="20"/>
  <c r="BUI24" i="20"/>
  <c r="BUJ24" i="20"/>
  <c r="BUK24" i="20"/>
  <c r="BUL24" i="20"/>
  <c r="BUM24" i="20"/>
  <c r="BUN24" i="20"/>
  <c r="BUO24" i="20"/>
  <c r="BUP24" i="20"/>
  <c r="BUQ24" i="20"/>
  <c r="BUR24" i="20"/>
  <c r="BUS24" i="20"/>
  <c r="BUT24" i="20"/>
  <c r="BUU24" i="20"/>
  <c r="BUV24" i="20"/>
  <c r="BUW24" i="20"/>
  <c r="BUX24" i="20"/>
  <c r="BUY24" i="20"/>
  <c r="BUZ24" i="20"/>
  <c r="BVA24" i="20"/>
  <c r="BVB24" i="20"/>
  <c r="BVC24" i="20"/>
  <c r="BVD24" i="20"/>
  <c r="BVE24" i="20"/>
  <c r="BVF24" i="20"/>
  <c r="BVG24" i="20"/>
  <c r="BVH24" i="20"/>
  <c r="BVI24" i="20"/>
  <c r="BVJ24" i="20"/>
  <c r="BVK24" i="20"/>
  <c r="BVL24" i="20"/>
  <c r="BVM24" i="20"/>
  <c r="BVN24" i="20"/>
  <c r="BVO24" i="20"/>
  <c r="BVP24" i="20"/>
  <c r="BVQ24" i="20"/>
  <c r="BVR24" i="20"/>
  <c r="BVS24" i="20"/>
  <c r="BVT24" i="20"/>
  <c r="BVU24" i="20"/>
  <c r="BVV24" i="20"/>
  <c r="BVW24" i="20"/>
  <c r="BVX24" i="20"/>
  <c r="BVY24" i="20"/>
  <c r="BVZ24" i="20"/>
  <c r="BWA24" i="20"/>
  <c r="BWB24" i="20"/>
  <c r="BWC24" i="20"/>
  <c r="BWD24" i="20"/>
  <c r="BWE24" i="20"/>
  <c r="BWF24" i="20"/>
  <c r="BWG24" i="20"/>
  <c r="BWH24" i="20"/>
  <c r="BWI24" i="20"/>
  <c r="BWJ24" i="20"/>
  <c r="BWK24" i="20"/>
  <c r="BWL24" i="20"/>
  <c r="BWM24" i="20"/>
  <c r="BWN24" i="20"/>
  <c r="BWO24" i="20"/>
  <c r="BWP24" i="20"/>
  <c r="BWQ24" i="20"/>
  <c r="BWR24" i="20"/>
  <c r="BWS24" i="20"/>
  <c r="BWT24" i="20"/>
  <c r="BWU24" i="20"/>
  <c r="BWV24" i="20"/>
  <c r="BWW24" i="20"/>
  <c r="BWX24" i="20"/>
  <c r="BWY24" i="20"/>
  <c r="BWZ24" i="20"/>
  <c r="BXA24" i="20"/>
  <c r="BXB24" i="20"/>
  <c r="BXC24" i="20"/>
  <c r="BXD24" i="20"/>
  <c r="BXE24" i="20"/>
  <c r="BXF24" i="20"/>
  <c r="BXG24" i="20"/>
  <c r="BXH24" i="20"/>
  <c r="BXI24" i="20"/>
  <c r="BXJ24" i="20"/>
  <c r="BXK24" i="20"/>
  <c r="BXL24" i="20"/>
  <c r="BXM24" i="20"/>
  <c r="BXN24" i="20"/>
  <c r="BXO24" i="20"/>
  <c r="BXP24" i="20"/>
  <c r="BXQ24" i="20"/>
  <c r="BXR24" i="20"/>
  <c r="BXS24" i="20"/>
  <c r="BXT24" i="20"/>
  <c r="BXU24" i="20"/>
  <c r="BXV24" i="20"/>
  <c r="BXW24" i="20"/>
  <c r="BXX24" i="20"/>
  <c r="BXY24" i="20"/>
  <c r="BXZ24" i="20"/>
  <c r="BYA24" i="20"/>
  <c r="BYB24" i="20"/>
  <c r="BYC24" i="20"/>
  <c r="BYD24" i="20"/>
  <c r="BYE24" i="20"/>
  <c r="BYF24" i="20"/>
  <c r="BYG24" i="20"/>
  <c r="BYH24" i="20"/>
  <c r="BYI24" i="20"/>
  <c r="BYJ24" i="20"/>
  <c r="BYK24" i="20"/>
  <c r="BYL24" i="20"/>
  <c r="BYM24" i="20"/>
  <c r="BYN24" i="20"/>
  <c r="BYO24" i="20"/>
  <c r="BYP24" i="20"/>
  <c r="BYQ24" i="20"/>
  <c r="BYR24" i="20"/>
  <c r="BYS24" i="20"/>
  <c r="BYT24" i="20"/>
  <c r="BYU24" i="20"/>
  <c r="BYV24" i="20"/>
  <c r="BYW24" i="20"/>
  <c r="BYX24" i="20"/>
  <c r="BYY24" i="20"/>
  <c r="BYZ24" i="20"/>
  <c r="BZA24" i="20"/>
  <c r="BZB24" i="20"/>
  <c r="BZC24" i="20"/>
  <c r="BZD24" i="20"/>
  <c r="BZE24" i="20"/>
  <c r="BZF24" i="20"/>
  <c r="BZG24" i="20"/>
  <c r="BZH24" i="20"/>
  <c r="BZI24" i="20"/>
  <c r="BZJ24" i="20"/>
  <c r="BZK24" i="20"/>
  <c r="BZL24" i="20"/>
  <c r="BZM24" i="20"/>
  <c r="BZN24" i="20"/>
  <c r="BZO24" i="20"/>
  <c r="BZP24" i="20"/>
  <c r="BZQ24" i="20"/>
  <c r="BZR24" i="20"/>
  <c r="BZS24" i="20"/>
  <c r="BZT24" i="20"/>
  <c r="BZU24" i="20"/>
  <c r="BZV24" i="20"/>
  <c r="BZW24" i="20"/>
  <c r="BZX24" i="20"/>
  <c r="BZY24" i="20"/>
  <c r="BZZ24" i="20"/>
  <c r="CAA24" i="20"/>
  <c r="CAB24" i="20"/>
  <c r="CAC24" i="20"/>
  <c r="CAD24" i="20"/>
  <c r="CAE24" i="20"/>
  <c r="CAF24" i="20"/>
  <c r="CAG24" i="20"/>
  <c r="CAH24" i="20"/>
  <c r="CAI24" i="20"/>
  <c r="CAJ24" i="20"/>
  <c r="CAK24" i="20"/>
  <c r="CAL24" i="20"/>
  <c r="CAM24" i="20"/>
  <c r="CAN24" i="20"/>
  <c r="CAO24" i="20"/>
  <c r="CAP24" i="20"/>
  <c r="CAQ24" i="20"/>
  <c r="CAR24" i="20"/>
  <c r="CAS24" i="20"/>
  <c r="CAT24" i="20"/>
  <c r="CAU24" i="20"/>
  <c r="CAV24" i="20"/>
  <c r="CAW24" i="20"/>
  <c r="CAX24" i="20"/>
  <c r="CAY24" i="20"/>
  <c r="CAZ24" i="20"/>
  <c r="CBA24" i="20"/>
  <c r="CBB24" i="20"/>
  <c r="CBC24" i="20"/>
  <c r="CBD24" i="20"/>
  <c r="CBE24" i="20"/>
  <c r="CBF24" i="20"/>
  <c r="CBG24" i="20"/>
  <c r="CBH24" i="20"/>
  <c r="CBI24" i="20"/>
  <c r="CBJ24" i="20"/>
  <c r="CBK24" i="20"/>
  <c r="CBL24" i="20"/>
  <c r="CBM24" i="20"/>
  <c r="CBN24" i="20"/>
  <c r="CBO24" i="20"/>
  <c r="CBP24" i="20"/>
  <c r="CBQ24" i="20"/>
  <c r="CBR24" i="20"/>
  <c r="CBS24" i="20"/>
  <c r="CBT24" i="20"/>
  <c r="CBU24" i="20"/>
  <c r="CBV24" i="20"/>
  <c r="CBW24" i="20"/>
  <c r="CBX24" i="20"/>
  <c r="CBY24" i="20"/>
  <c r="CBZ24" i="20"/>
  <c r="CCA24" i="20"/>
  <c r="CCB24" i="20"/>
  <c r="CCC24" i="20"/>
  <c r="CCD24" i="20"/>
  <c r="CCE24" i="20"/>
  <c r="CCF24" i="20"/>
  <c r="CCG24" i="20"/>
  <c r="CCH24" i="20"/>
  <c r="CCI24" i="20"/>
  <c r="CCJ24" i="20"/>
  <c r="CCK24" i="20"/>
  <c r="CCL24" i="20"/>
  <c r="CCM24" i="20"/>
  <c r="CCN24" i="20"/>
  <c r="CCO24" i="20"/>
  <c r="CCP24" i="20"/>
  <c r="CCQ24" i="20"/>
  <c r="CCR24" i="20"/>
  <c r="CCS24" i="20"/>
  <c r="CCT24" i="20"/>
  <c r="CCU24" i="20"/>
  <c r="CCV24" i="20"/>
  <c r="CCW24" i="20"/>
  <c r="CCX24" i="20"/>
  <c r="CCY24" i="20"/>
  <c r="CCZ24" i="20"/>
  <c r="CDA24" i="20"/>
  <c r="CDB24" i="20"/>
  <c r="CDC24" i="20"/>
  <c r="CDD24" i="20"/>
  <c r="CDE24" i="20"/>
  <c r="CDF24" i="20"/>
  <c r="CDG24" i="20"/>
  <c r="CDH24" i="20"/>
  <c r="CDI24" i="20"/>
  <c r="CDJ24" i="20"/>
  <c r="CDK24" i="20"/>
  <c r="CDL24" i="20"/>
  <c r="CDM24" i="20"/>
  <c r="CDN24" i="20"/>
  <c r="CDO24" i="20"/>
  <c r="CDP24" i="20"/>
  <c r="CDQ24" i="20"/>
  <c r="CDR24" i="20"/>
  <c r="CDS24" i="20"/>
  <c r="CDT24" i="20"/>
  <c r="CDU24" i="20"/>
  <c r="CDV24" i="20"/>
  <c r="CDW24" i="20"/>
  <c r="CDX24" i="20"/>
  <c r="CDY24" i="20"/>
  <c r="CDZ24" i="20"/>
  <c r="CEA24" i="20"/>
  <c r="CEB24" i="20"/>
  <c r="CEC24" i="20"/>
  <c r="CED24" i="20"/>
  <c r="CEE24" i="20"/>
  <c r="CEF24" i="20"/>
  <c r="CEG24" i="20"/>
  <c r="CEH24" i="20"/>
  <c r="CEI24" i="20"/>
  <c r="CEJ24" i="20"/>
  <c r="CEK24" i="20"/>
  <c r="CEL24" i="20"/>
  <c r="CEM24" i="20"/>
  <c r="CEN24" i="20"/>
  <c r="CEO24" i="20"/>
  <c r="CEP24" i="20"/>
  <c r="CEQ24" i="20"/>
  <c r="CER24" i="20"/>
  <c r="CES24" i="20"/>
  <c r="CET24" i="20"/>
  <c r="CEU24" i="20"/>
  <c r="CEV24" i="20"/>
  <c r="CEW24" i="20"/>
  <c r="CEX24" i="20"/>
  <c r="CEY24" i="20"/>
  <c r="CEZ24" i="20"/>
  <c r="CFA24" i="20"/>
  <c r="CFB24" i="20"/>
  <c r="CFC24" i="20"/>
  <c r="CFD24" i="20"/>
  <c r="CFE24" i="20"/>
  <c r="CFF24" i="20"/>
  <c r="CFG24" i="20"/>
  <c r="CFH24" i="20"/>
  <c r="CFI24" i="20"/>
  <c r="CFJ24" i="20"/>
  <c r="CFK24" i="20"/>
  <c r="CFL24" i="20"/>
  <c r="CFM24" i="20"/>
  <c r="CFN24" i="20"/>
  <c r="CFO24" i="20"/>
  <c r="CFP24" i="20"/>
  <c r="CFQ24" i="20"/>
  <c r="CFR24" i="20"/>
  <c r="CFS24" i="20"/>
  <c r="CFT24" i="20"/>
  <c r="CFU24" i="20"/>
  <c r="CFV24" i="20"/>
  <c r="CFW24" i="20"/>
  <c r="CFX24" i="20"/>
  <c r="CFY24" i="20"/>
  <c r="CFZ24" i="20"/>
  <c r="CGA24" i="20"/>
  <c r="CGB24" i="20"/>
  <c r="CGC24" i="20"/>
  <c r="CGD24" i="20"/>
  <c r="CGE24" i="20"/>
  <c r="CGF24" i="20"/>
  <c r="CGG24" i="20"/>
  <c r="CGH24" i="20"/>
  <c r="CGI24" i="20"/>
  <c r="CGJ24" i="20"/>
  <c r="CGK24" i="20"/>
  <c r="CGL24" i="20"/>
  <c r="CGM24" i="20"/>
  <c r="CGN24" i="20"/>
  <c r="CGO24" i="20"/>
  <c r="CGP24" i="20"/>
  <c r="CGQ24" i="20"/>
  <c r="CGR24" i="20"/>
  <c r="CGS24" i="20"/>
  <c r="CGT24" i="20"/>
  <c r="CGU24" i="20"/>
  <c r="CGV24" i="20"/>
  <c r="CGW24" i="20"/>
  <c r="CGX24" i="20"/>
  <c r="CGY24" i="20"/>
  <c r="CGZ24" i="20"/>
  <c r="CHA24" i="20"/>
  <c r="CHB24" i="20"/>
  <c r="CHC24" i="20"/>
  <c r="CHD24" i="20"/>
  <c r="CHE24" i="20"/>
  <c r="CHF24" i="20"/>
  <c r="CHG24" i="20"/>
  <c r="CHH24" i="20"/>
  <c r="CHI24" i="20"/>
  <c r="CHJ24" i="20"/>
  <c r="CHK24" i="20"/>
  <c r="CHL24" i="20"/>
  <c r="CHM24" i="20"/>
  <c r="CHN24" i="20"/>
  <c r="CHO24" i="20"/>
  <c r="CHP24" i="20"/>
  <c r="CHQ24" i="20"/>
  <c r="CHR24" i="20"/>
  <c r="CHS24" i="20"/>
  <c r="CHT24" i="20"/>
  <c r="CHU24" i="20"/>
  <c r="CHV24" i="20"/>
  <c r="CHW24" i="20"/>
  <c r="CHX24" i="20"/>
  <c r="CHY24" i="20"/>
  <c r="CHZ24" i="20"/>
  <c r="CIA24" i="20"/>
  <c r="CIB24" i="20"/>
  <c r="CIC24" i="20"/>
  <c r="CID24" i="20"/>
  <c r="CIE24" i="20"/>
  <c r="CIF24" i="20"/>
  <c r="CIG24" i="20"/>
  <c r="CIH24" i="20"/>
  <c r="CII24" i="20"/>
  <c r="CIJ24" i="20"/>
  <c r="CIK24" i="20"/>
  <c r="CIL24" i="20"/>
  <c r="CIM24" i="20"/>
  <c r="CIN24" i="20"/>
  <c r="CIO24" i="20"/>
  <c r="CIP24" i="20"/>
  <c r="CIQ24" i="20"/>
  <c r="CIR24" i="20"/>
  <c r="CIS24" i="20"/>
  <c r="CIT24" i="20"/>
  <c r="CIU24" i="20"/>
  <c r="CIV24" i="20"/>
  <c r="CIW24" i="20"/>
  <c r="CIX24" i="20"/>
  <c r="CIY24" i="20"/>
  <c r="CIZ24" i="20"/>
  <c r="CJA24" i="20"/>
  <c r="CJB24" i="20"/>
  <c r="CJC24" i="20"/>
  <c r="CJD24" i="20"/>
  <c r="CJE24" i="20"/>
  <c r="CJF24" i="20"/>
  <c r="CJG24" i="20"/>
  <c r="CJH24" i="20"/>
  <c r="CJI24" i="20"/>
  <c r="CJJ24" i="20"/>
  <c r="CJK24" i="20"/>
  <c r="CJL24" i="20"/>
  <c r="CJM24" i="20"/>
  <c r="CJN24" i="20"/>
  <c r="CJO24" i="20"/>
  <c r="CJP24" i="20"/>
  <c r="CJQ24" i="20"/>
  <c r="CJR24" i="20"/>
  <c r="CJS24" i="20"/>
  <c r="CJT24" i="20"/>
  <c r="CJU24" i="20"/>
  <c r="CJV24" i="20"/>
  <c r="CJW24" i="20"/>
  <c r="CJX24" i="20"/>
  <c r="CJY24" i="20"/>
  <c r="CJZ24" i="20"/>
  <c r="CKA24" i="20"/>
  <c r="CKB24" i="20"/>
  <c r="CKC24" i="20"/>
  <c r="CKD24" i="20"/>
  <c r="CKE24" i="20"/>
  <c r="CKF24" i="20"/>
  <c r="CKG24" i="20"/>
  <c r="CKH24" i="20"/>
  <c r="CKI24" i="20"/>
  <c r="CKJ24" i="20"/>
  <c r="CKK24" i="20"/>
  <c r="CKL24" i="20"/>
  <c r="CKM24" i="20"/>
  <c r="CKN24" i="20"/>
  <c r="CKO24" i="20"/>
  <c r="CKP24" i="20"/>
  <c r="CKQ24" i="20"/>
  <c r="CKR24" i="20"/>
  <c r="CKS24" i="20"/>
  <c r="CKT24" i="20"/>
  <c r="CKU24" i="20"/>
  <c r="CKV24" i="20"/>
  <c r="CKW24" i="20"/>
  <c r="CKX24" i="20"/>
  <c r="CKY24" i="20"/>
  <c r="CKZ24" i="20"/>
  <c r="CLA24" i="20"/>
  <c r="CLB24" i="20"/>
  <c r="CLC24" i="20"/>
  <c r="CLD24" i="20"/>
  <c r="CLE24" i="20"/>
  <c r="CLF24" i="20"/>
  <c r="CLG24" i="20"/>
  <c r="CLH24" i="20"/>
  <c r="CLI24" i="20"/>
  <c r="CLJ24" i="20"/>
  <c r="CLK24" i="20"/>
  <c r="CLL24" i="20"/>
  <c r="CLM24" i="20"/>
  <c r="CLN24" i="20"/>
  <c r="CLO24" i="20"/>
  <c r="CLP24" i="20"/>
  <c r="CLQ24" i="20"/>
  <c r="CLR24" i="20"/>
  <c r="CLS24" i="20"/>
  <c r="CLT24" i="20"/>
  <c r="CLU24" i="20"/>
  <c r="CLV24" i="20"/>
  <c r="CLW24" i="20"/>
  <c r="CLX24" i="20"/>
  <c r="CLY24" i="20"/>
  <c r="CLZ24" i="20"/>
  <c r="CMA24" i="20"/>
  <c r="CMB24" i="20"/>
  <c r="CMC24" i="20"/>
  <c r="CMD24" i="20"/>
  <c r="CME24" i="20"/>
  <c r="CMF24" i="20"/>
  <c r="CMG24" i="20"/>
  <c r="CMH24" i="20"/>
  <c r="CMI24" i="20"/>
  <c r="CMJ24" i="20"/>
  <c r="CMK24" i="20"/>
  <c r="CML24" i="20"/>
  <c r="CMM24" i="20"/>
  <c r="CMN24" i="20"/>
  <c r="CMO24" i="20"/>
  <c r="CMP24" i="20"/>
  <c r="CMQ24" i="20"/>
  <c r="CMR24" i="20"/>
  <c r="CMS24" i="20"/>
  <c r="CMT24" i="20"/>
  <c r="CMU24" i="20"/>
  <c r="CMV24" i="20"/>
  <c r="CMW24" i="20"/>
  <c r="CMX24" i="20"/>
  <c r="CMY24" i="20"/>
  <c r="CMZ24" i="20"/>
  <c r="CNA24" i="20"/>
  <c r="CNB24" i="20"/>
  <c r="CNC24" i="20"/>
  <c r="CND24" i="20"/>
  <c r="CNE24" i="20"/>
  <c r="CNF24" i="20"/>
  <c r="CNG24" i="20"/>
  <c r="CNH24" i="20"/>
  <c r="CNI24" i="20"/>
  <c r="CNJ24" i="20"/>
  <c r="CNK24" i="20"/>
  <c r="CNL24" i="20"/>
  <c r="CNM24" i="20"/>
  <c r="CNN24" i="20"/>
  <c r="CNO24" i="20"/>
  <c r="CNP24" i="20"/>
  <c r="CNQ24" i="20"/>
  <c r="CNR24" i="20"/>
  <c r="CNS24" i="20"/>
  <c r="CNT24" i="20"/>
  <c r="CNU24" i="20"/>
  <c r="CNV24" i="20"/>
  <c r="CNW24" i="20"/>
  <c r="CNX24" i="20"/>
  <c r="CNY24" i="20"/>
  <c r="CNZ24" i="20"/>
  <c r="COA24" i="20"/>
  <c r="COB24" i="20"/>
  <c r="COC24" i="20"/>
  <c r="COD24" i="20"/>
  <c r="COE24" i="20"/>
  <c r="COF24" i="20"/>
  <c r="COG24" i="20"/>
  <c r="COH24" i="20"/>
  <c r="COI24" i="20"/>
  <c r="COJ24" i="20"/>
  <c r="COK24" i="20"/>
  <c r="COL24" i="20"/>
  <c r="COM24" i="20"/>
  <c r="CON24" i="20"/>
  <c r="COO24" i="20"/>
  <c r="COP24" i="20"/>
  <c r="COQ24" i="20"/>
  <c r="COR24" i="20"/>
  <c r="COS24" i="20"/>
  <c r="COT24" i="20"/>
  <c r="COU24" i="20"/>
  <c r="COV24" i="20"/>
  <c r="COW24" i="20"/>
  <c r="COX24" i="20"/>
  <c r="COY24" i="20"/>
  <c r="COZ24" i="20"/>
  <c r="CPA24" i="20"/>
  <c r="CPB24" i="20"/>
  <c r="CPC24" i="20"/>
  <c r="CPD24" i="20"/>
  <c r="CPE24" i="20"/>
  <c r="CPF24" i="20"/>
  <c r="CPG24" i="20"/>
  <c r="CPH24" i="20"/>
  <c r="CPI24" i="20"/>
  <c r="CPJ24" i="20"/>
  <c r="CPK24" i="20"/>
  <c r="CPL24" i="20"/>
  <c r="CPM24" i="20"/>
  <c r="CPN24" i="20"/>
  <c r="CPO24" i="20"/>
  <c r="CPP24" i="20"/>
  <c r="CPQ24" i="20"/>
  <c r="CPR24" i="20"/>
  <c r="CPS24" i="20"/>
  <c r="CPT24" i="20"/>
  <c r="CPU24" i="20"/>
  <c r="CPV24" i="20"/>
  <c r="CPW24" i="20"/>
  <c r="CPX24" i="20"/>
  <c r="CPY24" i="20"/>
  <c r="CPZ24" i="20"/>
  <c r="CQA24" i="20"/>
  <c r="CQB24" i="20"/>
  <c r="CQC24" i="20"/>
  <c r="CQD24" i="20"/>
  <c r="CQE24" i="20"/>
  <c r="CQF24" i="20"/>
  <c r="CQG24" i="20"/>
  <c r="CQH24" i="20"/>
  <c r="CQI24" i="20"/>
  <c r="CQJ24" i="20"/>
  <c r="CQK24" i="20"/>
  <c r="CQL24" i="20"/>
  <c r="CQM24" i="20"/>
  <c r="CQN24" i="20"/>
  <c r="CQO24" i="20"/>
  <c r="CQP24" i="20"/>
  <c r="CQQ24" i="20"/>
  <c r="CQR24" i="20"/>
  <c r="CQS24" i="20"/>
  <c r="CQT24" i="20"/>
  <c r="CQU24" i="20"/>
  <c r="CQV24" i="20"/>
  <c r="CQW24" i="20"/>
  <c r="CQX24" i="20"/>
  <c r="CQY24" i="20"/>
  <c r="CQZ24" i="20"/>
  <c r="CRA24" i="20"/>
  <c r="CRB24" i="20"/>
  <c r="CRC24" i="20"/>
  <c r="CRD24" i="20"/>
  <c r="CRE24" i="20"/>
  <c r="CRF24" i="20"/>
  <c r="CRG24" i="20"/>
  <c r="CRH24" i="20"/>
  <c r="CRI24" i="20"/>
  <c r="CRJ24" i="20"/>
  <c r="CRK24" i="20"/>
  <c r="CRL24" i="20"/>
  <c r="CRM24" i="20"/>
  <c r="CRN24" i="20"/>
  <c r="CRO24" i="20"/>
  <c r="CRP24" i="20"/>
  <c r="CRQ24" i="20"/>
  <c r="CRR24" i="20"/>
  <c r="CRS24" i="20"/>
  <c r="CRT24" i="20"/>
  <c r="CRU24" i="20"/>
  <c r="CRV24" i="20"/>
  <c r="CRW24" i="20"/>
  <c r="CRX24" i="20"/>
  <c r="CRY24" i="20"/>
  <c r="CRZ24" i="20"/>
  <c r="CSA24" i="20"/>
  <c r="CSB24" i="20"/>
  <c r="CSC24" i="20"/>
  <c r="CSD24" i="20"/>
  <c r="CSE24" i="20"/>
  <c r="CSF24" i="20"/>
  <c r="CSG24" i="20"/>
  <c r="CSH24" i="20"/>
  <c r="CSI24" i="20"/>
  <c r="CSJ24" i="20"/>
  <c r="CSK24" i="20"/>
  <c r="CSL24" i="20"/>
  <c r="CSM24" i="20"/>
  <c r="CSN24" i="20"/>
  <c r="CSO24" i="20"/>
  <c r="CSP24" i="20"/>
  <c r="CSQ24" i="20"/>
  <c r="CSR24" i="20"/>
  <c r="CSS24" i="20"/>
  <c r="CST24" i="20"/>
  <c r="CSU24" i="20"/>
  <c r="CSV24" i="20"/>
  <c r="CSW24" i="20"/>
  <c r="CSX24" i="20"/>
  <c r="CSY24" i="20"/>
  <c r="CSZ24" i="20"/>
  <c r="CTA24" i="20"/>
  <c r="CTB24" i="20"/>
  <c r="CTC24" i="20"/>
  <c r="CTD24" i="20"/>
  <c r="CTE24" i="20"/>
  <c r="CTF24" i="20"/>
  <c r="CTG24" i="20"/>
  <c r="CTH24" i="20"/>
  <c r="CTI24" i="20"/>
  <c r="CTJ24" i="20"/>
  <c r="CTK24" i="20"/>
  <c r="CTL24" i="20"/>
  <c r="CTM24" i="20"/>
  <c r="CTN24" i="20"/>
  <c r="CTO24" i="20"/>
  <c r="CTP24" i="20"/>
  <c r="CTQ24" i="20"/>
  <c r="CTR24" i="20"/>
  <c r="CTS24" i="20"/>
  <c r="CTT24" i="20"/>
  <c r="CTU24" i="20"/>
  <c r="CTV24" i="20"/>
  <c r="CTW24" i="20"/>
  <c r="CTX24" i="20"/>
  <c r="CTY24" i="20"/>
  <c r="CTZ24" i="20"/>
  <c r="CUA24" i="20"/>
  <c r="CUB24" i="20"/>
  <c r="CUC24" i="20"/>
  <c r="CUD24" i="20"/>
  <c r="CUE24" i="20"/>
  <c r="CUF24" i="20"/>
  <c r="CUG24" i="20"/>
  <c r="CUH24" i="20"/>
  <c r="CUI24" i="20"/>
  <c r="CUJ24" i="20"/>
  <c r="CUK24" i="20"/>
  <c r="CUL24" i="20"/>
  <c r="CUM24" i="20"/>
  <c r="CUN24" i="20"/>
  <c r="CUO24" i="20"/>
  <c r="CUP24" i="20"/>
  <c r="CUQ24" i="20"/>
  <c r="CUR24" i="20"/>
  <c r="CUS24" i="20"/>
  <c r="CUT24" i="20"/>
  <c r="CUU24" i="20"/>
  <c r="CUV24" i="20"/>
  <c r="CUW24" i="20"/>
  <c r="CUX24" i="20"/>
  <c r="CUY24" i="20"/>
  <c r="CUZ24" i="20"/>
  <c r="CVA24" i="20"/>
  <c r="CVB24" i="20"/>
  <c r="CVC24" i="20"/>
  <c r="CVD24" i="20"/>
  <c r="CVE24" i="20"/>
  <c r="CVF24" i="20"/>
  <c r="CVG24" i="20"/>
  <c r="CVH24" i="20"/>
  <c r="CVI24" i="20"/>
  <c r="CVJ24" i="20"/>
  <c r="CVK24" i="20"/>
  <c r="CVL24" i="20"/>
  <c r="CVM24" i="20"/>
  <c r="CVN24" i="20"/>
  <c r="CVO24" i="20"/>
  <c r="CVP24" i="20"/>
  <c r="CVQ24" i="20"/>
  <c r="CVR24" i="20"/>
  <c r="CVS24" i="20"/>
  <c r="CVT24" i="20"/>
  <c r="CVU24" i="20"/>
  <c r="CVV24" i="20"/>
  <c r="CVW24" i="20"/>
  <c r="CVX24" i="20"/>
  <c r="CVY24" i="20"/>
  <c r="CVZ24" i="20"/>
  <c r="CWA24" i="20"/>
  <c r="CWB24" i="20"/>
  <c r="CWC24" i="20"/>
  <c r="CWD24" i="20"/>
  <c r="CWE24" i="20"/>
  <c r="CWF24" i="20"/>
  <c r="CWG24" i="20"/>
  <c r="CWH24" i="20"/>
  <c r="CWI24" i="20"/>
  <c r="CWJ24" i="20"/>
  <c r="CWK24" i="20"/>
  <c r="CWL24" i="20"/>
  <c r="CWM24" i="20"/>
  <c r="CWN24" i="20"/>
  <c r="CWO24" i="20"/>
  <c r="CWP24" i="20"/>
  <c r="CWQ24" i="20"/>
  <c r="CWR24" i="20"/>
  <c r="CWS24" i="20"/>
  <c r="CWT24" i="20"/>
  <c r="CWU24" i="20"/>
  <c r="CWV24" i="20"/>
  <c r="CWW24" i="20"/>
  <c r="CWX24" i="20"/>
  <c r="CWY24" i="20"/>
  <c r="CWZ24" i="20"/>
  <c r="CXA24" i="20"/>
  <c r="CXB24" i="20"/>
  <c r="CXC24" i="20"/>
  <c r="CXD24" i="20"/>
  <c r="CXE24" i="20"/>
  <c r="CXF24" i="20"/>
  <c r="CXG24" i="20"/>
  <c r="CXH24" i="20"/>
  <c r="CXI24" i="20"/>
  <c r="CXJ24" i="20"/>
  <c r="CXK24" i="20"/>
  <c r="CXL24" i="20"/>
  <c r="CXM24" i="20"/>
  <c r="CXN24" i="20"/>
  <c r="CXO24" i="20"/>
  <c r="CXP24" i="20"/>
  <c r="CXQ24" i="20"/>
  <c r="CXR24" i="20"/>
  <c r="CXS24" i="20"/>
  <c r="CXT24" i="20"/>
  <c r="CXU24" i="20"/>
  <c r="CXV24" i="20"/>
  <c r="CXW24" i="20"/>
  <c r="CXX24" i="20"/>
  <c r="CXY24" i="20"/>
  <c r="CXZ24" i="20"/>
  <c r="CYA24" i="20"/>
  <c r="CYB24" i="20"/>
  <c r="CYC24" i="20"/>
  <c r="CYD24" i="20"/>
  <c r="CYE24" i="20"/>
  <c r="CYF24" i="20"/>
  <c r="CYG24" i="20"/>
  <c r="CYH24" i="20"/>
  <c r="CYI24" i="20"/>
  <c r="CYJ24" i="20"/>
  <c r="CYK24" i="20"/>
  <c r="CYL24" i="20"/>
  <c r="CYM24" i="20"/>
  <c r="CYN24" i="20"/>
  <c r="CYO24" i="20"/>
  <c r="CYP24" i="20"/>
  <c r="CYQ24" i="20"/>
  <c r="CYR24" i="20"/>
  <c r="CYS24" i="20"/>
  <c r="CYT24" i="20"/>
  <c r="CYU24" i="20"/>
  <c r="CYV24" i="20"/>
  <c r="CYW24" i="20"/>
  <c r="CYX24" i="20"/>
  <c r="CYY24" i="20"/>
  <c r="CYZ24" i="20"/>
  <c r="CZA24" i="20"/>
  <c r="CZB24" i="20"/>
  <c r="CZC24" i="20"/>
  <c r="CZD24" i="20"/>
  <c r="CZE24" i="20"/>
  <c r="CZF24" i="20"/>
  <c r="CZG24" i="20"/>
  <c r="CZH24" i="20"/>
  <c r="CZI24" i="20"/>
  <c r="CZJ24" i="20"/>
  <c r="CZK24" i="20"/>
  <c r="CZL24" i="20"/>
  <c r="CZM24" i="20"/>
  <c r="CZN24" i="20"/>
  <c r="CZO24" i="20"/>
  <c r="CZP24" i="20"/>
  <c r="CZQ24" i="20"/>
  <c r="CZR24" i="20"/>
  <c r="CZS24" i="20"/>
  <c r="CZT24" i="20"/>
  <c r="CZU24" i="20"/>
  <c r="CZV24" i="20"/>
  <c r="CZW24" i="20"/>
  <c r="CZX24" i="20"/>
  <c r="CZY24" i="20"/>
  <c r="CZZ24" i="20"/>
  <c r="DAA24" i="20"/>
  <c r="DAB24" i="20"/>
  <c r="DAC24" i="20"/>
  <c r="DAD24" i="20"/>
  <c r="DAE24" i="20"/>
  <c r="DAF24" i="20"/>
  <c r="DAG24" i="20"/>
  <c r="DAH24" i="20"/>
  <c r="DAI24" i="20"/>
  <c r="DAJ24" i="20"/>
  <c r="DAK24" i="20"/>
  <c r="DAL24" i="20"/>
  <c r="DAM24" i="20"/>
  <c r="DAN24" i="20"/>
  <c r="DAO24" i="20"/>
  <c r="DAP24" i="20"/>
  <c r="DAQ24" i="20"/>
  <c r="DAR24" i="20"/>
  <c r="DAS24" i="20"/>
  <c r="DAT24" i="20"/>
  <c r="DAU24" i="20"/>
  <c r="DAV24" i="20"/>
  <c r="DAW24" i="20"/>
  <c r="DAX24" i="20"/>
  <c r="DAY24" i="20"/>
  <c r="DAZ24" i="20"/>
  <c r="DBA24" i="20"/>
  <c r="DBB24" i="20"/>
  <c r="DBC24" i="20"/>
  <c r="DBD24" i="20"/>
  <c r="DBE24" i="20"/>
  <c r="DBF24" i="20"/>
  <c r="DBG24" i="20"/>
  <c r="DBH24" i="20"/>
  <c r="DBI24" i="20"/>
  <c r="DBJ24" i="20"/>
  <c r="DBK24" i="20"/>
  <c r="DBL24" i="20"/>
  <c r="DBM24" i="20"/>
  <c r="DBN24" i="20"/>
  <c r="DBO24" i="20"/>
  <c r="DBP24" i="20"/>
  <c r="DBQ24" i="20"/>
  <c r="DBR24" i="20"/>
  <c r="DBS24" i="20"/>
  <c r="DBT24" i="20"/>
  <c r="DBU24" i="20"/>
  <c r="DBV24" i="20"/>
  <c r="DBW24" i="20"/>
  <c r="DBX24" i="20"/>
  <c r="DBY24" i="20"/>
  <c r="DBZ24" i="20"/>
  <c r="DCA24" i="20"/>
  <c r="DCB24" i="20"/>
  <c r="DCC24" i="20"/>
  <c r="DCD24" i="20"/>
  <c r="DCE24" i="20"/>
  <c r="DCF24" i="20"/>
  <c r="DCG24" i="20"/>
  <c r="DCH24" i="20"/>
  <c r="DCI24" i="20"/>
  <c r="DCJ24" i="20"/>
  <c r="DCK24" i="20"/>
  <c r="DCL24" i="20"/>
  <c r="DCM24" i="20"/>
  <c r="DCN24" i="20"/>
  <c r="DCO24" i="20"/>
  <c r="DCP24" i="20"/>
  <c r="DCQ24" i="20"/>
  <c r="DCR24" i="20"/>
  <c r="DCS24" i="20"/>
  <c r="DCT24" i="20"/>
  <c r="DCU24" i="20"/>
  <c r="DCV24" i="20"/>
  <c r="DCW24" i="20"/>
  <c r="DCX24" i="20"/>
  <c r="DCY24" i="20"/>
  <c r="DCZ24" i="20"/>
  <c r="DDA24" i="20"/>
  <c r="DDB24" i="20"/>
  <c r="DDC24" i="20"/>
  <c r="DDD24" i="20"/>
  <c r="DDE24" i="20"/>
  <c r="DDF24" i="20"/>
  <c r="DDG24" i="20"/>
  <c r="DDH24" i="20"/>
  <c r="DDI24" i="20"/>
  <c r="AAE25" i="20"/>
  <c r="AAF25" i="20"/>
  <c r="AAG25" i="20"/>
  <c r="AAH25" i="20"/>
  <c r="AAI25" i="20"/>
  <c r="AAJ25" i="20"/>
  <c r="AAK25" i="20"/>
  <c r="AAL25" i="20"/>
  <c r="AAM25" i="20"/>
  <c r="AAN25" i="20"/>
  <c r="AAO25" i="20"/>
  <c r="AAP25" i="20"/>
  <c r="AAQ25" i="20"/>
  <c r="AAR25" i="20"/>
  <c r="AAS25" i="20"/>
  <c r="AAT25" i="20"/>
  <c r="AAU25" i="20"/>
  <c r="AAV25" i="20"/>
  <c r="AAW25" i="20"/>
  <c r="AAX25" i="20"/>
  <c r="AAY25" i="20"/>
  <c r="AAZ25" i="20"/>
  <c r="ABA25" i="20"/>
  <c r="ABB25" i="20"/>
  <c r="ABC25" i="20"/>
  <c r="ABD25" i="20"/>
  <c r="ABE25" i="20"/>
  <c r="ABF25" i="20"/>
  <c r="ABG25" i="20"/>
  <c r="ABH25" i="20"/>
  <c r="ABI25" i="20"/>
  <c r="ABJ25" i="20"/>
  <c r="ABK25" i="20"/>
  <c r="ABL25" i="20"/>
  <c r="ABM25" i="20"/>
  <c r="ABN25" i="20"/>
  <c r="ABO25" i="20"/>
  <c r="ABP25" i="20"/>
  <c r="ABQ25" i="20"/>
  <c r="ABR25" i="20"/>
  <c r="ABS25" i="20"/>
  <c r="ABT25" i="20"/>
  <c r="ABU25" i="20"/>
  <c r="ABV25" i="20"/>
  <c r="ABW25" i="20"/>
  <c r="ABX25" i="20"/>
  <c r="ABY25" i="20"/>
  <c r="ABZ25" i="20"/>
  <c r="ACA25" i="20"/>
  <c r="ACB25" i="20"/>
  <c r="ACC25" i="20"/>
  <c r="ACD25" i="20"/>
  <c r="ACE25" i="20"/>
  <c r="ACF25" i="20"/>
  <c r="ACG25" i="20"/>
  <c r="ACH25" i="20"/>
  <c r="ACI25" i="20"/>
  <c r="ACJ25" i="20"/>
  <c r="ACK25" i="20"/>
  <c r="ACL25" i="20"/>
  <c r="ACM25" i="20"/>
  <c r="ACN25" i="20"/>
  <c r="ACO25" i="20"/>
  <c r="ACP25" i="20"/>
  <c r="ACQ25" i="20"/>
  <c r="ACR25" i="20"/>
  <c r="ACS25" i="20"/>
  <c r="ACT25" i="20"/>
  <c r="ACU25" i="20"/>
  <c r="ACV25" i="20"/>
  <c r="ACW25" i="20"/>
  <c r="ACX25" i="20"/>
  <c r="ACY25" i="20"/>
  <c r="ACZ25" i="20"/>
  <c r="ADA25" i="20"/>
  <c r="ADB25" i="20"/>
  <c r="ADC25" i="20"/>
  <c r="ADD25" i="20"/>
  <c r="ADE25" i="20"/>
  <c r="ADF25" i="20"/>
  <c r="ADG25" i="20"/>
  <c r="ADH25" i="20"/>
  <c r="ADI25" i="20"/>
  <c r="ADJ25" i="20"/>
  <c r="ADK25" i="20"/>
  <c r="ADL25" i="20"/>
  <c r="ADM25" i="20"/>
  <c r="ADN25" i="20"/>
  <c r="ADO25" i="20"/>
  <c r="ADP25" i="20"/>
  <c r="ADQ25" i="20"/>
  <c r="ADR25" i="20"/>
  <c r="ADS25" i="20"/>
  <c r="ADT25" i="20"/>
  <c r="ADU25" i="20"/>
  <c r="ADV25" i="20"/>
  <c r="ADW25" i="20"/>
  <c r="ADX25" i="20"/>
  <c r="ADY25" i="20"/>
  <c r="ADZ25" i="20"/>
  <c r="AEA25" i="20"/>
  <c r="AEB25" i="20"/>
  <c r="AEC25" i="20"/>
  <c r="AED25" i="20"/>
  <c r="AEE25" i="20"/>
  <c r="AEF25" i="20"/>
  <c r="AEG25" i="20"/>
  <c r="AEH25" i="20"/>
  <c r="AEI25" i="20"/>
  <c r="AEJ25" i="20"/>
  <c r="AEK25" i="20"/>
  <c r="AEL25" i="20"/>
  <c r="AEM25" i="20"/>
  <c r="AEN25" i="20"/>
  <c r="AEO25" i="20"/>
  <c r="AEP25" i="20"/>
  <c r="AEQ25" i="20"/>
  <c r="AER25" i="20"/>
  <c r="AES25" i="20"/>
  <c r="AET25" i="20"/>
  <c r="AEU25" i="20"/>
  <c r="AEV25" i="20"/>
  <c r="AEW25" i="20"/>
  <c r="AEX25" i="20"/>
  <c r="AEY25" i="20"/>
  <c r="AEZ25" i="20"/>
  <c r="AFA25" i="20"/>
  <c r="AFB25" i="20"/>
  <c r="AFC25" i="20"/>
  <c r="AFD25" i="20"/>
  <c r="AFE25" i="20"/>
  <c r="AFF25" i="20"/>
  <c r="AFG25" i="20"/>
  <c r="AFH25" i="20"/>
  <c r="AFI25" i="20"/>
  <c r="AFJ25" i="20"/>
  <c r="AFK25" i="20"/>
  <c r="AFL25" i="20"/>
  <c r="AFM25" i="20"/>
  <c r="AFN25" i="20"/>
  <c r="AFO25" i="20"/>
  <c r="AFP25" i="20"/>
  <c r="AFQ25" i="20"/>
  <c r="AFR25" i="20"/>
  <c r="AFS25" i="20"/>
  <c r="AFT25" i="20"/>
  <c r="AFU25" i="20"/>
  <c r="AFV25" i="20"/>
  <c r="AFW25" i="20"/>
  <c r="AFX25" i="20"/>
  <c r="AFY25" i="20"/>
  <c r="AFZ25" i="20"/>
  <c r="AGA25" i="20"/>
  <c r="AGB25" i="20"/>
  <c r="AGC25" i="20"/>
  <c r="AGD25" i="20"/>
  <c r="AGE25" i="20"/>
  <c r="AGF25" i="20"/>
  <c r="AGG25" i="20"/>
  <c r="AGH25" i="20"/>
  <c r="AGI25" i="20"/>
  <c r="AGJ25" i="20"/>
  <c r="AGK25" i="20"/>
  <c r="AGL25" i="20"/>
  <c r="AGM25" i="20"/>
  <c r="AGN25" i="20"/>
  <c r="AGO25" i="20"/>
  <c r="AGP25" i="20"/>
  <c r="AGQ25" i="20"/>
  <c r="AGR25" i="20"/>
  <c r="AGS25" i="20"/>
  <c r="AGT25" i="20"/>
  <c r="AGU25" i="20"/>
  <c r="AGV25" i="20"/>
  <c r="AGW25" i="20"/>
  <c r="AGX25" i="20"/>
  <c r="AGY25" i="20"/>
  <c r="AGZ25" i="20"/>
  <c r="AHA25" i="20"/>
  <c r="AHB25" i="20"/>
  <c r="AHC25" i="20"/>
  <c r="AHD25" i="20"/>
  <c r="AHE25" i="20"/>
  <c r="AHF25" i="20"/>
  <c r="AHG25" i="20"/>
  <c r="AHH25" i="20"/>
  <c r="AHI25" i="20"/>
  <c r="AHJ25" i="20"/>
  <c r="AHK25" i="20"/>
  <c r="AHL25" i="20"/>
  <c r="AHM25" i="20"/>
  <c r="AHN25" i="20"/>
  <c r="AHO25" i="20"/>
  <c r="AHP25" i="20"/>
  <c r="AHQ25" i="20"/>
  <c r="AHR25" i="20"/>
  <c r="AHS25" i="20"/>
  <c r="AHT25" i="20"/>
  <c r="AHU25" i="20"/>
  <c r="AHV25" i="20"/>
  <c r="AHW25" i="20"/>
  <c r="AHX25" i="20"/>
  <c r="AHY25" i="20"/>
  <c r="AHZ25" i="20"/>
  <c r="AIA25" i="20"/>
  <c r="AIB25" i="20"/>
  <c r="AIC25" i="20"/>
  <c r="AID25" i="20"/>
  <c r="AIE25" i="20"/>
  <c r="AIF25" i="20"/>
  <c r="AIG25" i="20"/>
  <c r="AIH25" i="20"/>
  <c r="AII25" i="20"/>
  <c r="AIJ25" i="20"/>
  <c r="AIK25" i="20"/>
  <c r="AIL25" i="20"/>
  <c r="AIM25" i="20"/>
  <c r="AIN25" i="20"/>
  <c r="AIO25" i="20"/>
  <c r="AIP25" i="20"/>
  <c r="AIQ25" i="20"/>
  <c r="AIR25" i="20"/>
  <c r="AIS25" i="20"/>
  <c r="AIT25" i="20"/>
  <c r="AIU25" i="20"/>
  <c r="AIV25" i="20"/>
  <c r="AIW25" i="20"/>
  <c r="AIX25" i="20"/>
  <c r="AIY25" i="20"/>
  <c r="AIZ25" i="20"/>
  <c r="AJA25" i="20"/>
  <c r="AJB25" i="20"/>
  <c r="AJC25" i="20"/>
  <c r="AJD25" i="20"/>
  <c r="AJE25" i="20"/>
  <c r="AJF25" i="20"/>
  <c r="AJG25" i="20"/>
  <c r="AJH25" i="20"/>
  <c r="AJI25" i="20"/>
  <c r="AJJ25" i="20"/>
  <c r="AJK25" i="20"/>
  <c r="AJL25" i="20"/>
  <c r="AJM25" i="20"/>
  <c r="AJN25" i="20"/>
  <c r="AJO25" i="20"/>
  <c r="AJP25" i="20"/>
  <c r="AJQ25" i="20"/>
  <c r="AJR25" i="20"/>
  <c r="AJS25" i="20"/>
  <c r="AJT25" i="20"/>
  <c r="AJU25" i="20"/>
  <c r="AJV25" i="20"/>
  <c r="AJW25" i="20"/>
  <c r="AJX25" i="20"/>
  <c r="AJY25" i="20"/>
  <c r="AJZ25" i="20"/>
  <c r="AKA25" i="20"/>
  <c r="AKB25" i="20"/>
  <c r="AKC25" i="20"/>
  <c r="AKD25" i="20"/>
  <c r="AKE25" i="20"/>
  <c r="AKF25" i="20"/>
  <c r="AKG25" i="20"/>
  <c r="AKH25" i="20"/>
  <c r="AKI25" i="20"/>
  <c r="AKJ25" i="20"/>
  <c r="AKK25" i="20"/>
  <c r="AKL25" i="20"/>
  <c r="AKM25" i="20"/>
  <c r="AKN25" i="20"/>
  <c r="AKO25" i="20"/>
  <c r="AKP25" i="20"/>
  <c r="AKQ25" i="20"/>
  <c r="AKR25" i="20"/>
  <c r="AKS25" i="20"/>
  <c r="AKT25" i="20"/>
  <c r="AKU25" i="20"/>
  <c r="AKV25" i="20"/>
  <c r="AKW25" i="20"/>
  <c r="AKX25" i="20"/>
  <c r="AKY25" i="20"/>
  <c r="AKZ25" i="20"/>
  <c r="ALA25" i="20"/>
  <c r="ALB25" i="20"/>
  <c r="ALC25" i="20"/>
  <c r="ALD25" i="20"/>
  <c r="ALE25" i="20"/>
  <c r="ALF25" i="20"/>
  <c r="ALG25" i="20"/>
  <c r="ALH25" i="20"/>
  <c r="ALI25" i="20"/>
  <c r="ALJ25" i="20"/>
  <c r="ALK25" i="20"/>
  <c r="ALL25" i="20"/>
  <c r="ALM25" i="20"/>
  <c r="ALN25" i="20"/>
  <c r="ALO25" i="20"/>
  <c r="ALP25" i="20"/>
  <c r="ALQ25" i="20"/>
  <c r="ALR25" i="20"/>
  <c r="ALS25" i="20"/>
  <c r="ALT25" i="20"/>
  <c r="ALU25" i="20"/>
  <c r="ALV25" i="20"/>
  <c r="ALW25" i="20"/>
  <c r="ALX25" i="20"/>
  <c r="ALY25" i="20"/>
  <c r="ALZ25" i="20"/>
  <c r="AMA25" i="20"/>
  <c r="AMB25" i="20"/>
  <c r="AMC25" i="20"/>
  <c r="AMD25" i="20"/>
  <c r="AME25" i="20"/>
  <c r="AMF25" i="20"/>
  <c r="AMG25" i="20"/>
  <c r="AMH25" i="20"/>
  <c r="AMI25" i="20"/>
  <c r="AMJ25" i="20"/>
  <c r="AMK25" i="20"/>
  <c r="AML25" i="20"/>
  <c r="AMM25" i="20"/>
  <c r="AMN25" i="20"/>
  <c r="AMO25" i="20"/>
  <c r="AMP25" i="20"/>
  <c r="AMQ25" i="20"/>
  <c r="AMR25" i="20"/>
  <c r="AMS25" i="20"/>
  <c r="AMT25" i="20"/>
  <c r="AMU25" i="20"/>
  <c r="AMV25" i="20"/>
  <c r="AMW25" i="20"/>
  <c r="AMX25" i="20"/>
  <c r="AMY25" i="20"/>
  <c r="AMZ25" i="20"/>
  <c r="ANA25" i="20"/>
  <c r="ANB25" i="20"/>
  <c r="ANC25" i="20"/>
  <c r="AND25" i="20"/>
  <c r="ANE25" i="20"/>
  <c r="ANF25" i="20"/>
  <c r="ANG25" i="20"/>
  <c r="ANH25" i="20"/>
  <c r="ANI25" i="20"/>
  <c r="ANJ25" i="20"/>
  <c r="ANK25" i="20"/>
  <c r="ANL25" i="20"/>
  <c r="ANM25" i="20"/>
  <c r="ANN25" i="20"/>
  <c r="ANO25" i="20"/>
  <c r="ANP25" i="20"/>
  <c r="ANQ25" i="20"/>
  <c r="ANR25" i="20"/>
  <c r="ANS25" i="20"/>
  <c r="ANT25" i="20"/>
  <c r="ANU25" i="20"/>
  <c r="ANV25" i="20"/>
  <c r="ANW25" i="20"/>
  <c r="ANX25" i="20"/>
  <c r="ANY25" i="20"/>
  <c r="ANZ25" i="20"/>
  <c r="AOA25" i="20"/>
  <c r="AOB25" i="20"/>
  <c r="AOC25" i="20"/>
  <c r="AOD25" i="20"/>
  <c r="AOE25" i="20"/>
  <c r="AOF25" i="20"/>
  <c r="AOG25" i="20"/>
  <c r="AOH25" i="20"/>
  <c r="AOI25" i="20"/>
  <c r="AOJ25" i="20"/>
  <c r="AOK25" i="20"/>
  <c r="AOL25" i="20"/>
  <c r="AOM25" i="20"/>
  <c r="AON25" i="20"/>
  <c r="AOO25" i="20"/>
  <c r="AOP25" i="20"/>
  <c r="AOQ25" i="20"/>
  <c r="AOR25" i="20"/>
  <c r="AOS25" i="20"/>
  <c r="AOT25" i="20"/>
  <c r="AOU25" i="20"/>
  <c r="AOV25" i="20"/>
  <c r="AOW25" i="20"/>
  <c r="AOX25" i="20"/>
  <c r="AOY25" i="20"/>
  <c r="AOZ25" i="20"/>
  <c r="APA25" i="20"/>
  <c r="APB25" i="20"/>
  <c r="APC25" i="20"/>
  <c r="APD25" i="20"/>
  <c r="APE25" i="20"/>
  <c r="APF25" i="20"/>
  <c r="APG25" i="20"/>
  <c r="APH25" i="20"/>
  <c r="API25" i="20"/>
  <c r="APJ25" i="20"/>
  <c r="APK25" i="20"/>
  <c r="APL25" i="20"/>
  <c r="APM25" i="20"/>
  <c r="APN25" i="20"/>
  <c r="APO25" i="20"/>
  <c r="APP25" i="20"/>
  <c r="APQ25" i="20"/>
  <c r="APR25" i="20"/>
  <c r="APS25" i="20"/>
  <c r="APT25" i="20"/>
  <c r="APU25" i="20"/>
  <c r="APV25" i="20"/>
  <c r="APW25" i="20"/>
  <c r="APX25" i="20"/>
  <c r="APY25" i="20"/>
  <c r="APZ25" i="20"/>
  <c r="AQA25" i="20"/>
  <c r="AQB25" i="20"/>
  <c r="AQC25" i="20"/>
  <c r="AQD25" i="20"/>
  <c r="AQE25" i="20"/>
  <c r="AQF25" i="20"/>
  <c r="AQG25" i="20"/>
  <c r="AQH25" i="20"/>
  <c r="AQI25" i="20"/>
  <c r="AQJ25" i="20"/>
  <c r="AQK25" i="20"/>
  <c r="AQL25" i="20"/>
  <c r="AQM25" i="20"/>
  <c r="AQN25" i="20"/>
  <c r="AQO25" i="20"/>
  <c r="AQP25" i="20"/>
  <c r="AQQ25" i="20"/>
  <c r="AQR25" i="20"/>
  <c r="AQS25" i="20"/>
  <c r="AQT25" i="20"/>
  <c r="AQU25" i="20"/>
  <c r="AQV25" i="20"/>
  <c r="AQW25" i="20"/>
  <c r="AQX25" i="20"/>
  <c r="AQY25" i="20"/>
  <c r="AQZ25" i="20"/>
  <c r="ARA25" i="20"/>
  <c r="ARB25" i="20"/>
  <c r="ARC25" i="20"/>
  <c r="ARD25" i="20"/>
  <c r="ARE25" i="20"/>
  <c r="ARF25" i="20"/>
  <c r="ARG25" i="20"/>
  <c r="ARH25" i="20"/>
  <c r="ARI25" i="20"/>
  <c r="ARJ25" i="20"/>
  <c r="ARK25" i="20"/>
  <c r="ARL25" i="20"/>
  <c r="ARM25" i="20"/>
  <c r="ARN25" i="20"/>
  <c r="ARO25" i="20"/>
  <c r="ARP25" i="20"/>
  <c r="ARQ25" i="20"/>
  <c r="ARR25" i="20"/>
  <c r="ARS25" i="20"/>
  <c r="ART25" i="20"/>
  <c r="ARU25" i="20"/>
  <c r="ARV25" i="20"/>
  <c r="ARW25" i="20"/>
  <c r="ARX25" i="20"/>
  <c r="ARY25" i="20"/>
  <c r="ARZ25" i="20"/>
  <c r="ASA25" i="20"/>
  <c r="ASB25" i="20"/>
  <c r="ASC25" i="20"/>
  <c r="ASD25" i="20"/>
  <c r="ASE25" i="20"/>
  <c r="ASF25" i="20"/>
  <c r="ASG25" i="20"/>
  <c r="ASH25" i="20"/>
  <c r="ASI25" i="20"/>
  <c r="ASJ25" i="20"/>
  <c r="ASK25" i="20"/>
  <c r="ASL25" i="20"/>
  <c r="ASM25" i="20"/>
  <c r="ASN25" i="20"/>
  <c r="ASO25" i="20"/>
  <c r="ASP25" i="20"/>
  <c r="ASQ25" i="20"/>
  <c r="ASR25" i="20"/>
  <c r="ASS25" i="20"/>
  <c r="AST25" i="20"/>
  <c r="ASU25" i="20"/>
  <c r="ASV25" i="20"/>
  <c r="ASW25" i="20"/>
  <c r="ASX25" i="20"/>
  <c r="ASY25" i="20"/>
  <c r="ASZ25" i="20"/>
  <c r="ATA25" i="20"/>
  <c r="ATB25" i="20"/>
  <c r="ATC25" i="20"/>
  <c r="ATD25" i="20"/>
  <c r="ATE25" i="20"/>
  <c r="ATF25" i="20"/>
  <c r="ATG25" i="20"/>
  <c r="ATH25" i="20"/>
  <c r="ATI25" i="20"/>
  <c r="ATJ25" i="20"/>
  <c r="ATK25" i="20"/>
  <c r="ATL25" i="20"/>
  <c r="ATM25" i="20"/>
  <c r="ATN25" i="20"/>
  <c r="ATO25" i="20"/>
  <c r="ATP25" i="20"/>
  <c r="ATQ25" i="20"/>
  <c r="ATR25" i="20"/>
  <c r="ATS25" i="20"/>
  <c r="ATT25" i="20"/>
  <c r="ATU25" i="20"/>
  <c r="ATV25" i="20"/>
  <c r="ATW25" i="20"/>
  <c r="ATX25" i="20"/>
  <c r="ATY25" i="20"/>
  <c r="ATZ25" i="20"/>
  <c r="AUA25" i="20"/>
  <c r="AUB25" i="20"/>
  <c r="AUC25" i="20"/>
  <c r="AUD25" i="20"/>
  <c r="AUE25" i="20"/>
  <c r="AUF25" i="20"/>
  <c r="AUG25" i="20"/>
  <c r="AUH25" i="20"/>
  <c r="AUI25" i="20"/>
  <c r="AUJ25" i="20"/>
  <c r="AUK25" i="20"/>
  <c r="AUL25" i="20"/>
  <c r="AUM25" i="20"/>
  <c r="AUN25" i="20"/>
  <c r="AUO25" i="20"/>
  <c r="AUP25" i="20"/>
  <c r="AUQ25" i="20"/>
  <c r="AUR25" i="20"/>
  <c r="AUS25" i="20"/>
  <c r="AUT25" i="20"/>
  <c r="AUU25" i="20"/>
  <c r="AUV25" i="20"/>
  <c r="AUW25" i="20"/>
  <c r="AUX25" i="20"/>
  <c r="AUY25" i="20"/>
  <c r="AUZ25" i="20"/>
  <c r="AVA25" i="20"/>
  <c r="AVB25" i="20"/>
  <c r="AVC25" i="20"/>
  <c r="AVD25" i="20"/>
  <c r="AVE25" i="20"/>
  <c r="AVF25" i="20"/>
  <c r="AVG25" i="20"/>
  <c r="AVH25" i="20"/>
  <c r="AVI25" i="20"/>
  <c r="AVJ25" i="20"/>
  <c r="AVK25" i="20"/>
  <c r="AVL25" i="20"/>
  <c r="AVM25" i="20"/>
  <c r="AVN25" i="20"/>
  <c r="AVO25" i="20"/>
  <c r="AVP25" i="20"/>
  <c r="AVQ25" i="20"/>
  <c r="AVR25" i="20"/>
  <c r="AVS25" i="20"/>
  <c r="AVT25" i="20"/>
  <c r="AVU25" i="20"/>
  <c r="AVV25" i="20"/>
  <c r="AVW25" i="20"/>
  <c r="AVX25" i="20"/>
  <c r="AVY25" i="20"/>
  <c r="AVZ25" i="20"/>
  <c r="AWA25" i="20"/>
  <c r="AWB25" i="20"/>
  <c r="AWC25" i="20"/>
  <c r="AWD25" i="20"/>
  <c r="AWE25" i="20"/>
  <c r="AWF25" i="20"/>
  <c r="AWG25" i="20"/>
  <c r="AWH25" i="20"/>
  <c r="AWI25" i="20"/>
  <c r="AWJ25" i="20"/>
  <c r="AWK25" i="20"/>
  <c r="AWL25" i="20"/>
  <c r="AWM25" i="20"/>
  <c r="AWN25" i="20"/>
  <c r="AWO25" i="20"/>
  <c r="AWP25" i="20"/>
  <c r="AWQ25" i="20"/>
  <c r="AWR25" i="20"/>
  <c r="AWS25" i="20"/>
  <c r="AWT25" i="20"/>
  <c r="AWU25" i="20"/>
  <c r="AWV25" i="20"/>
  <c r="AWW25" i="20"/>
  <c r="AWX25" i="20"/>
  <c r="AWY25" i="20"/>
  <c r="AWZ25" i="20"/>
  <c r="AXA25" i="20"/>
  <c r="AXB25" i="20"/>
  <c r="AXC25" i="20"/>
  <c r="AXD25" i="20"/>
  <c r="AXE25" i="20"/>
  <c r="AXF25" i="20"/>
  <c r="AXG25" i="20"/>
  <c r="AXH25" i="20"/>
  <c r="AXI25" i="20"/>
  <c r="AXJ25" i="20"/>
  <c r="AXK25" i="20"/>
  <c r="AXL25" i="20"/>
  <c r="AXM25" i="20"/>
  <c r="AXN25" i="20"/>
  <c r="AXO25" i="20"/>
  <c r="AXP25" i="20"/>
  <c r="AXQ25" i="20"/>
  <c r="AXR25" i="20"/>
  <c r="AXS25" i="20"/>
  <c r="AXT25" i="20"/>
  <c r="AXU25" i="20"/>
  <c r="AXV25" i="20"/>
  <c r="AXW25" i="20"/>
  <c r="AXX25" i="20"/>
  <c r="AXY25" i="20"/>
  <c r="AXZ25" i="20"/>
  <c r="AYA25" i="20"/>
  <c r="AYB25" i="20"/>
  <c r="AYC25" i="20"/>
  <c r="AYD25" i="20"/>
  <c r="AYE25" i="20"/>
  <c r="AYF25" i="20"/>
  <c r="AYG25" i="20"/>
  <c r="AYH25" i="20"/>
  <c r="AYI25" i="20"/>
  <c r="AYJ25" i="20"/>
  <c r="AYK25" i="20"/>
  <c r="AYL25" i="20"/>
  <c r="AYM25" i="20"/>
  <c r="AYN25" i="20"/>
  <c r="AYO25" i="20"/>
  <c r="AYP25" i="20"/>
  <c r="AYQ25" i="20"/>
  <c r="AYR25" i="20"/>
  <c r="AYS25" i="20"/>
  <c r="AYT25" i="20"/>
  <c r="AYU25" i="20"/>
  <c r="AYV25" i="20"/>
  <c r="AYW25" i="20"/>
  <c r="AYX25" i="20"/>
  <c r="AYY25" i="20"/>
  <c r="AYZ25" i="20"/>
  <c r="AZA25" i="20"/>
  <c r="AZB25" i="20"/>
  <c r="AZC25" i="20"/>
  <c r="AZD25" i="20"/>
  <c r="AZE25" i="20"/>
  <c r="AZF25" i="20"/>
  <c r="AZG25" i="20"/>
  <c r="AZH25" i="20"/>
  <c r="AZI25" i="20"/>
  <c r="AZJ25" i="20"/>
  <c r="AZK25" i="20"/>
  <c r="AZL25" i="20"/>
  <c r="AZM25" i="20"/>
  <c r="AZN25" i="20"/>
  <c r="AZO25" i="20"/>
  <c r="AZP25" i="20"/>
  <c r="AZQ25" i="20"/>
  <c r="AZR25" i="20"/>
  <c r="AZS25" i="20"/>
  <c r="AZT25" i="20"/>
  <c r="AZU25" i="20"/>
  <c r="AZV25" i="20"/>
  <c r="AZW25" i="20"/>
  <c r="AZX25" i="20"/>
  <c r="AZY25" i="20"/>
  <c r="AZZ25" i="20"/>
  <c r="BAA25" i="20"/>
  <c r="BAB25" i="20"/>
  <c r="BAC25" i="20"/>
  <c r="BAD25" i="20"/>
  <c r="BAE25" i="20"/>
  <c r="BAF25" i="20"/>
  <c r="BAG25" i="20"/>
  <c r="BAH25" i="20"/>
  <c r="BAI25" i="20"/>
  <c r="BAJ25" i="20"/>
  <c r="BAK25" i="20"/>
  <c r="BAL25" i="20"/>
  <c r="BAM25" i="20"/>
  <c r="BAN25" i="20"/>
  <c r="BAO25" i="20"/>
  <c r="BAP25" i="20"/>
  <c r="BAQ25" i="20"/>
  <c r="BAR25" i="20"/>
  <c r="BAS25" i="20"/>
  <c r="BAT25" i="20"/>
  <c r="BAU25" i="20"/>
  <c r="BAV25" i="20"/>
  <c r="BAW25" i="20"/>
  <c r="BAX25" i="20"/>
  <c r="BAY25" i="20"/>
  <c r="BAZ25" i="20"/>
  <c r="BBA25" i="20"/>
  <c r="BBB25" i="20"/>
  <c r="BBC25" i="20"/>
  <c r="BBD25" i="20"/>
  <c r="BBE25" i="20"/>
  <c r="BBF25" i="20"/>
  <c r="BBG25" i="20"/>
  <c r="BBH25" i="20"/>
  <c r="BBI25" i="20"/>
  <c r="BBJ25" i="20"/>
  <c r="BBK25" i="20"/>
  <c r="BBL25" i="20"/>
  <c r="BBM25" i="20"/>
  <c r="BBN25" i="20"/>
  <c r="BBO25" i="20"/>
  <c r="BBP25" i="20"/>
  <c r="BBQ25" i="20"/>
  <c r="BBR25" i="20"/>
  <c r="BBS25" i="20"/>
  <c r="BBT25" i="20"/>
  <c r="BBU25" i="20"/>
  <c r="BBV25" i="20"/>
  <c r="BBW25" i="20"/>
  <c r="BBX25" i="20"/>
  <c r="BBY25" i="20"/>
  <c r="BBZ25" i="20"/>
  <c r="BCA25" i="20"/>
  <c r="BCB25" i="20"/>
  <c r="BCC25" i="20"/>
  <c r="BCD25" i="20"/>
  <c r="BCE25" i="20"/>
  <c r="BCF25" i="20"/>
  <c r="BCG25" i="20"/>
  <c r="BCH25" i="20"/>
  <c r="BCI25" i="20"/>
  <c r="BCJ25" i="20"/>
  <c r="BCK25" i="20"/>
  <c r="BCL25" i="20"/>
  <c r="BCM25" i="20"/>
  <c r="BCN25" i="20"/>
  <c r="BCO25" i="20"/>
  <c r="BCP25" i="20"/>
  <c r="BCQ25" i="20"/>
  <c r="BCR25" i="20"/>
  <c r="BCS25" i="20"/>
  <c r="BCT25" i="20"/>
  <c r="BCU25" i="20"/>
  <c r="BCV25" i="20"/>
  <c r="BCW25" i="20"/>
  <c r="BCX25" i="20"/>
  <c r="BCY25" i="20"/>
  <c r="BCZ25" i="20"/>
  <c r="BDA25" i="20"/>
  <c r="BDB25" i="20"/>
  <c r="BDC25" i="20"/>
  <c r="BDD25" i="20"/>
  <c r="BDE25" i="20"/>
  <c r="BDF25" i="20"/>
  <c r="BDG25" i="20"/>
  <c r="BDH25" i="20"/>
  <c r="BDI25" i="20"/>
  <c r="BDJ25" i="20"/>
  <c r="BDK25" i="20"/>
  <c r="BDL25" i="20"/>
  <c r="BDM25" i="20"/>
  <c r="BDN25" i="20"/>
  <c r="BDO25" i="20"/>
  <c r="BDP25" i="20"/>
  <c r="BDQ25" i="20"/>
  <c r="BDR25" i="20"/>
  <c r="BDS25" i="20"/>
  <c r="BDT25" i="20"/>
  <c r="BDU25" i="20"/>
  <c r="BDV25" i="20"/>
  <c r="BDW25" i="20"/>
  <c r="BDX25" i="20"/>
  <c r="BDY25" i="20"/>
  <c r="BDZ25" i="20"/>
  <c r="BEA25" i="20"/>
  <c r="BEB25" i="20"/>
  <c r="BEC25" i="20"/>
  <c r="BED25" i="20"/>
  <c r="BEE25" i="20"/>
  <c r="BEF25" i="20"/>
  <c r="BEG25" i="20"/>
  <c r="BEH25" i="20"/>
  <c r="BEI25" i="20"/>
  <c r="BEJ25" i="20"/>
  <c r="BEK25" i="20"/>
  <c r="BEL25" i="20"/>
  <c r="BEM25" i="20"/>
  <c r="BEN25" i="20"/>
  <c r="BEO25" i="20"/>
  <c r="BEP25" i="20"/>
  <c r="BEQ25" i="20"/>
  <c r="BER25" i="20"/>
  <c r="BES25" i="20"/>
  <c r="BET25" i="20"/>
  <c r="BEU25" i="20"/>
  <c r="BEV25" i="20"/>
  <c r="BEW25" i="20"/>
  <c r="BEX25" i="20"/>
  <c r="BEY25" i="20"/>
  <c r="BEZ25" i="20"/>
  <c r="BFA25" i="20"/>
  <c r="BFB25" i="20"/>
  <c r="BFC25" i="20"/>
  <c r="BFD25" i="20"/>
  <c r="BFE25" i="20"/>
  <c r="BFF25" i="20"/>
  <c r="BFG25" i="20"/>
  <c r="BFH25" i="20"/>
  <c r="BFI25" i="20"/>
  <c r="BFJ25" i="20"/>
  <c r="BFK25" i="20"/>
  <c r="BFL25" i="20"/>
  <c r="BFM25" i="20"/>
  <c r="BFN25" i="20"/>
  <c r="BFO25" i="20"/>
  <c r="BFP25" i="20"/>
  <c r="BFQ25" i="20"/>
  <c r="BFR25" i="20"/>
  <c r="BFS25" i="20"/>
  <c r="BFT25" i="20"/>
  <c r="BFU25" i="20"/>
  <c r="BFV25" i="20"/>
  <c r="BFW25" i="20"/>
  <c r="BFX25" i="20"/>
  <c r="BFY25" i="20"/>
  <c r="BFZ25" i="20"/>
  <c r="BGA25" i="20"/>
  <c r="BGB25" i="20"/>
  <c r="BGC25" i="20"/>
  <c r="BGD25" i="20"/>
  <c r="BGE25" i="20"/>
  <c r="BGF25" i="20"/>
  <c r="BGG25" i="20"/>
  <c r="BGH25" i="20"/>
  <c r="BGI25" i="20"/>
  <c r="BGJ25" i="20"/>
  <c r="BGK25" i="20"/>
  <c r="BGL25" i="20"/>
  <c r="BGM25" i="20"/>
  <c r="BGN25" i="20"/>
  <c r="BGO25" i="20"/>
  <c r="BGP25" i="20"/>
  <c r="BGQ25" i="20"/>
  <c r="BGR25" i="20"/>
  <c r="BGS25" i="20"/>
  <c r="BGT25" i="20"/>
  <c r="BGU25" i="20"/>
  <c r="BGV25" i="20"/>
  <c r="BGW25" i="20"/>
  <c r="BGX25" i="20"/>
  <c r="BGY25" i="20"/>
  <c r="BGZ25" i="20"/>
  <c r="BHA25" i="20"/>
  <c r="BHB25" i="20"/>
  <c r="BHC25" i="20"/>
  <c r="BHD25" i="20"/>
  <c r="BHE25" i="20"/>
  <c r="BHF25" i="20"/>
  <c r="BHG25" i="20"/>
  <c r="BHH25" i="20"/>
  <c r="BHI25" i="20"/>
  <c r="BHJ25" i="20"/>
  <c r="BHK25" i="20"/>
  <c r="BHL25" i="20"/>
  <c r="BHM25" i="20"/>
  <c r="BHN25" i="20"/>
  <c r="BHO25" i="20"/>
  <c r="BHP25" i="20"/>
  <c r="BHQ25" i="20"/>
  <c r="BHR25" i="20"/>
  <c r="BHS25" i="20"/>
  <c r="BHT25" i="20"/>
  <c r="BHU25" i="20"/>
  <c r="BHV25" i="20"/>
  <c r="BHW25" i="20"/>
  <c r="BHX25" i="20"/>
  <c r="BHY25" i="20"/>
  <c r="BHZ25" i="20"/>
  <c r="BIA25" i="20"/>
  <c r="BIB25" i="20"/>
  <c r="BIC25" i="20"/>
  <c r="BID25" i="20"/>
  <c r="BIE25" i="20"/>
  <c r="BIF25" i="20"/>
  <c r="BIG25" i="20"/>
  <c r="BIH25" i="20"/>
  <c r="BII25" i="20"/>
  <c r="BIJ25" i="20"/>
  <c r="BIK25" i="20"/>
  <c r="BIL25" i="20"/>
  <c r="BIM25" i="20"/>
  <c r="BIN25" i="20"/>
  <c r="BIO25" i="20"/>
  <c r="BIP25" i="20"/>
  <c r="BIQ25" i="20"/>
  <c r="BIR25" i="20"/>
  <c r="BIS25" i="20"/>
  <c r="BIT25" i="20"/>
  <c r="BIU25" i="20"/>
  <c r="BIV25" i="20"/>
  <c r="BIW25" i="20"/>
  <c r="BIX25" i="20"/>
  <c r="BIY25" i="20"/>
  <c r="BIZ25" i="20"/>
  <c r="BJA25" i="20"/>
  <c r="BJB25" i="20"/>
  <c r="BJC25" i="20"/>
  <c r="BJD25" i="20"/>
  <c r="BJE25" i="20"/>
  <c r="BJF25" i="20"/>
  <c r="BJG25" i="20"/>
  <c r="BJH25" i="20"/>
  <c r="BJI25" i="20"/>
  <c r="BJJ25" i="20"/>
  <c r="BJK25" i="20"/>
  <c r="BJL25" i="20"/>
  <c r="BJM25" i="20"/>
  <c r="BJN25" i="20"/>
  <c r="BJO25" i="20"/>
  <c r="BJP25" i="20"/>
  <c r="BJQ25" i="20"/>
  <c r="BJR25" i="20"/>
  <c r="BJS25" i="20"/>
  <c r="BJT25" i="20"/>
  <c r="BJU25" i="20"/>
  <c r="BJV25" i="20"/>
  <c r="BJW25" i="20"/>
  <c r="BJX25" i="20"/>
  <c r="BJY25" i="20"/>
  <c r="BJZ25" i="20"/>
  <c r="BKA25" i="20"/>
  <c r="BKB25" i="20"/>
  <c r="BKC25" i="20"/>
  <c r="BKD25" i="20"/>
  <c r="BKE25" i="20"/>
  <c r="BKF25" i="20"/>
  <c r="BKG25" i="20"/>
  <c r="BKH25" i="20"/>
  <c r="BKI25" i="20"/>
  <c r="BKJ25" i="20"/>
  <c r="BKK25" i="20"/>
  <c r="BKL25" i="20"/>
  <c r="BKM25" i="20"/>
  <c r="BKN25" i="20"/>
  <c r="BKO25" i="20"/>
  <c r="BKP25" i="20"/>
  <c r="BKQ25" i="20"/>
  <c r="BKR25" i="20"/>
  <c r="BKS25" i="20"/>
  <c r="BKT25" i="20"/>
  <c r="BKU25" i="20"/>
  <c r="BKV25" i="20"/>
  <c r="BKW25" i="20"/>
  <c r="BKX25" i="20"/>
  <c r="BKY25" i="20"/>
  <c r="BKZ25" i="20"/>
  <c r="BLA25" i="20"/>
  <c r="BLB25" i="20"/>
  <c r="BLC25" i="20"/>
  <c r="BLD25" i="20"/>
  <c r="BLE25" i="20"/>
  <c r="BLF25" i="20"/>
  <c r="BLG25" i="20"/>
  <c r="BLH25" i="20"/>
  <c r="BLI25" i="20"/>
  <c r="BLJ25" i="20"/>
  <c r="BLK25" i="20"/>
  <c r="BLL25" i="20"/>
  <c r="BLM25" i="20"/>
  <c r="BLN25" i="20"/>
  <c r="BLO25" i="20"/>
  <c r="BLP25" i="20"/>
  <c r="BLQ25" i="20"/>
  <c r="BLR25" i="20"/>
  <c r="BLS25" i="20"/>
  <c r="BLT25" i="20"/>
  <c r="BLU25" i="20"/>
  <c r="BLV25" i="20"/>
  <c r="BLW25" i="20"/>
  <c r="BLX25" i="20"/>
  <c r="BLY25" i="20"/>
  <c r="BLZ25" i="20"/>
  <c r="BMA25" i="20"/>
  <c r="BMB25" i="20"/>
  <c r="BMC25" i="20"/>
  <c r="BMD25" i="20"/>
  <c r="BME25" i="20"/>
  <c r="BMF25" i="20"/>
  <c r="BMG25" i="20"/>
  <c r="BMH25" i="20"/>
  <c r="BMI25" i="20"/>
  <c r="BMJ25" i="20"/>
  <c r="BMK25" i="20"/>
  <c r="BML25" i="20"/>
  <c r="BMM25" i="20"/>
  <c r="BMN25" i="20"/>
  <c r="BMO25" i="20"/>
  <c r="BMP25" i="20"/>
  <c r="BMQ25" i="20"/>
  <c r="BMR25" i="20"/>
  <c r="BMS25" i="20"/>
  <c r="BMT25" i="20"/>
  <c r="BMU25" i="20"/>
  <c r="BMV25" i="20"/>
  <c r="BMW25" i="20"/>
  <c r="BMX25" i="20"/>
  <c r="BMY25" i="20"/>
  <c r="BMZ25" i="20"/>
  <c r="BNA25" i="20"/>
  <c r="BNB25" i="20"/>
  <c r="BNC25" i="20"/>
  <c r="BND25" i="20"/>
  <c r="BNE25" i="20"/>
  <c r="BNF25" i="20"/>
  <c r="BNG25" i="20"/>
  <c r="BNH25" i="20"/>
  <c r="BNI25" i="20"/>
  <c r="BNJ25" i="20"/>
  <c r="BNK25" i="20"/>
  <c r="BNL25" i="20"/>
  <c r="BNM25" i="20"/>
  <c r="BNN25" i="20"/>
  <c r="BNO25" i="20"/>
  <c r="BNP25" i="20"/>
  <c r="BNQ25" i="20"/>
  <c r="BNR25" i="20"/>
  <c r="BNS25" i="20"/>
  <c r="BNT25" i="20"/>
  <c r="BNU25" i="20"/>
  <c r="BNV25" i="20"/>
  <c r="BNW25" i="20"/>
  <c r="BNX25" i="20"/>
  <c r="BNY25" i="20"/>
  <c r="BNZ25" i="20"/>
  <c r="BOA25" i="20"/>
  <c r="BOB25" i="20"/>
  <c r="BOC25" i="20"/>
  <c r="BOD25" i="20"/>
  <c r="BOE25" i="20"/>
  <c r="BOF25" i="20"/>
  <c r="BOG25" i="20"/>
  <c r="BOH25" i="20"/>
  <c r="BOI25" i="20"/>
  <c r="BOJ25" i="20"/>
  <c r="BOK25" i="20"/>
  <c r="BOL25" i="20"/>
  <c r="BOM25" i="20"/>
  <c r="BON25" i="20"/>
  <c r="BOO25" i="20"/>
  <c r="BOP25" i="20"/>
  <c r="BOQ25" i="20"/>
  <c r="BOR25" i="20"/>
  <c r="BOS25" i="20"/>
  <c r="BOT25" i="20"/>
  <c r="BOU25" i="20"/>
  <c r="BOV25" i="20"/>
  <c r="BOW25" i="20"/>
  <c r="BOX25" i="20"/>
  <c r="BOY25" i="20"/>
  <c r="BOZ25" i="20"/>
  <c r="BPA25" i="20"/>
  <c r="BPB25" i="20"/>
  <c r="BPC25" i="20"/>
  <c r="BPD25" i="20"/>
  <c r="BPE25" i="20"/>
  <c r="BPF25" i="20"/>
  <c r="BPG25" i="20"/>
  <c r="BPH25" i="20"/>
  <c r="BPI25" i="20"/>
  <c r="BPJ25" i="20"/>
  <c r="BPK25" i="20"/>
  <c r="BPL25" i="20"/>
  <c r="BPM25" i="20"/>
  <c r="BPN25" i="20"/>
  <c r="BPO25" i="20"/>
  <c r="BPP25" i="20"/>
  <c r="BPQ25" i="20"/>
  <c r="BPR25" i="20"/>
  <c r="BPS25" i="20"/>
  <c r="BPT25" i="20"/>
  <c r="BPU25" i="20"/>
  <c r="BPV25" i="20"/>
  <c r="BPW25" i="20"/>
  <c r="BPX25" i="20"/>
  <c r="BPY25" i="20"/>
  <c r="BPZ25" i="20"/>
  <c r="BQA25" i="20"/>
  <c r="BQB25" i="20"/>
  <c r="BQC25" i="20"/>
  <c r="BQD25" i="20"/>
  <c r="BQE25" i="20"/>
  <c r="BQF25" i="20"/>
  <c r="BQG25" i="20"/>
  <c r="BQH25" i="20"/>
  <c r="BQI25" i="20"/>
  <c r="BQJ25" i="20"/>
  <c r="BQK25" i="20"/>
  <c r="BQL25" i="20"/>
  <c r="BQM25" i="20"/>
  <c r="BQN25" i="20"/>
  <c r="BQO25" i="20"/>
  <c r="BQP25" i="20"/>
  <c r="BQQ25" i="20"/>
  <c r="BQR25" i="20"/>
  <c r="BQS25" i="20"/>
  <c r="BQT25" i="20"/>
  <c r="BQU25" i="20"/>
  <c r="BQV25" i="20"/>
  <c r="BQW25" i="20"/>
  <c r="BQX25" i="20"/>
  <c r="BQY25" i="20"/>
  <c r="BQZ25" i="20"/>
  <c r="BRA25" i="20"/>
  <c r="BRB25" i="20"/>
  <c r="BRC25" i="20"/>
  <c r="BRD25" i="20"/>
  <c r="BRE25" i="20"/>
  <c r="BRF25" i="20"/>
  <c r="BRG25" i="20"/>
  <c r="BRH25" i="20"/>
  <c r="BRI25" i="20"/>
  <c r="BRJ25" i="20"/>
  <c r="BRK25" i="20"/>
  <c r="BRL25" i="20"/>
  <c r="BRM25" i="20"/>
  <c r="BRN25" i="20"/>
  <c r="BRO25" i="20"/>
  <c r="BRP25" i="20"/>
  <c r="BRQ25" i="20"/>
  <c r="BRR25" i="20"/>
  <c r="BRS25" i="20"/>
  <c r="BRT25" i="20"/>
  <c r="BRU25" i="20"/>
  <c r="BRV25" i="20"/>
  <c r="BRW25" i="20"/>
  <c r="BRX25" i="20"/>
  <c r="BRY25" i="20"/>
  <c r="BRZ25" i="20"/>
  <c r="BSA25" i="20"/>
  <c r="BSB25" i="20"/>
  <c r="BSC25" i="20"/>
  <c r="BSD25" i="20"/>
  <c r="BSE25" i="20"/>
  <c r="BSF25" i="20"/>
  <c r="BSG25" i="20"/>
  <c r="BSH25" i="20"/>
  <c r="BSI25" i="20"/>
  <c r="BSJ25" i="20"/>
  <c r="BSK25" i="20"/>
  <c r="BSL25" i="20"/>
  <c r="BSM25" i="20"/>
  <c r="BSN25" i="20"/>
  <c r="BSO25" i="20"/>
  <c r="BSP25" i="20"/>
  <c r="BSQ25" i="20"/>
  <c r="BSR25" i="20"/>
  <c r="BSS25" i="20"/>
  <c r="BST25" i="20"/>
  <c r="BSU25" i="20"/>
  <c r="BSV25" i="20"/>
  <c r="BSW25" i="20"/>
  <c r="BSX25" i="20"/>
  <c r="BSY25" i="20"/>
  <c r="BSZ25" i="20"/>
  <c r="BTA25" i="20"/>
  <c r="BTB25" i="20"/>
  <c r="BTC25" i="20"/>
  <c r="BTD25" i="20"/>
  <c r="BTE25" i="20"/>
  <c r="BTF25" i="20"/>
  <c r="BTG25" i="20"/>
  <c r="BTH25" i="20"/>
  <c r="BTI25" i="20"/>
  <c r="BTJ25" i="20"/>
  <c r="BTK25" i="20"/>
  <c r="BTL25" i="20"/>
  <c r="BTM25" i="20"/>
  <c r="BTN25" i="20"/>
  <c r="BTO25" i="20"/>
  <c r="BTP25" i="20"/>
  <c r="BTQ25" i="20"/>
  <c r="BTR25" i="20"/>
  <c r="BTS25" i="20"/>
  <c r="BTT25" i="20"/>
  <c r="BTU25" i="20"/>
  <c r="BTV25" i="20"/>
  <c r="BTW25" i="20"/>
  <c r="BTX25" i="20"/>
  <c r="BTY25" i="20"/>
  <c r="BTZ25" i="20"/>
  <c r="BUA25" i="20"/>
  <c r="BUB25" i="20"/>
  <c r="BUC25" i="20"/>
  <c r="BUD25" i="20"/>
  <c r="BUE25" i="20"/>
  <c r="BUF25" i="20"/>
  <c r="BUG25" i="20"/>
  <c r="BUH25" i="20"/>
  <c r="BUI25" i="20"/>
  <c r="BUJ25" i="20"/>
  <c r="BUK25" i="20"/>
  <c r="BUL25" i="20"/>
  <c r="BUM25" i="20"/>
  <c r="BUN25" i="20"/>
  <c r="BUO25" i="20"/>
  <c r="BUP25" i="20"/>
  <c r="BUQ25" i="20"/>
  <c r="BUR25" i="20"/>
  <c r="BUS25" i="20"/>
  <c r="BUT25" i="20"/>
  <c r="BUU25" i="20"/>
  <c r="BUV25" i="20"/>
  <c r="BUW25" i="20"/>
  <c r="BUX25" i="20"/>
  <c r="BUY25" i="20"/>
  <c r="BUZ25" i="20"/>
  <c r="BVA25" i="20"/>
  <c r="BVB25" i="20"/>
  <c r="BVC25" i="20"/>
  <c r="BVD25" i="20"/>
  <c r="BVE25" i="20"/>
  <c r="BVF25" i="20"/>
  <c r="BVG25" i="20"/>
  <c r="BVH25" i="20"/>
  <c r="BVI25" i="20"/>
  <c r="BVJ25" i="20"/>
  <c r="BVK25" i="20"/>
  <c r="BVL25" i="20"/>
  <c r="BVM25" i="20"/>
  <c r="BVN25" i="20"/>
  <c r="BVO25" i="20"/>
  <c r="BVP25" i="20"/>
  <c r="BVQ25" i="20"/>
  <c r="BVR25" i="20"/>
  <c r="BVS25" i="20"/>
  <c r="BVT25" i="20"/>
  <c r="BVU25" i="20"/>
  <c r="BVV25" i="20"/>
  <c r="BVW25" i="20"/>
  <c r="BVX25" i="20"/>
  <c r="BVY25" i="20"/>
  <c r="BVZ25" i="20"/>
  <c r="BWA25" i="20"/>
  <c r="BWB25" i="20"/>
  <c r="BWC25" i="20"/>
  <c r="BWD25" i="20"/>
  <c r="BWE25" i="20"/>
  <c r="BWF25" i="20"/>
  <c r="BWG25" i="20"/>
  <c r="BWH25" i="20"/>
  <c r="BWI25" i="20"/>
  <c r="BWJ25" i="20"/>
  <c r="BWK25" i="20"/>
  <c r="BWL25" i="20"/>
  <c r="BWM25" i="20"/>
  <c r="BWN25" i="20"/>
  <c r="BWO25" i="20"/>
  <c r="BWP25" i="20"/>
  <c r="BWQ25" i="20"/>
  <c r="BWR25" i="20"/>
  <c r="BWS25" i="20"/>
  <c r="BWT25" i="20"/>
  <c r="BWU25" i="20"/>
  <c r="BWV25" i="20"/>
  <c r="BWW25" i="20"/>
  <c r="BWX25" i="20"/>
  <c r="BWY25" i="20"/>
  <c r="BWZ25" i="20"/>
  <c r="BXA25" i="20"/>
  <c r="BXB25" i="20"/>
  <c r="BXC25" i="20"/>
  <c r="BXD25" i="20"/>
  <c r="BXE25" i="20"/>
  <c r="BXF25" i="20"/>
  <c r="BXG25" i="20"/>
  <c r="BXH25" i="20"/>
  <c r="BXI25" i="20"/>
  <c r="BXJ25" i="20"/>
  <c r="BXK25" i="20"/>
  <c r="BXL25" i="20"/>
  <c r="BXM25" i="20"/>
  <c r="BXN25" i="20"/>
  <c r="BXO25" i="20"/>
  <c r="BXP25" i="20"/>
  <c r="BXQ25" i="20"/>
  <c r="BXR25" i="20"/>
  <c r="BXS25" i="20"/>
  <c r="BXT25" i="20"/>
  <c r="BXU25" i="20"/>
  <c r="BXV25" i="20"/>
  <c r="BXW25" i="20"/>
  <c r="BXX25" i="20"/>
  <c r="BXY25" i="20"/>
  <c r="BXZ25" i="20"/>
  <c r="BYA25" i="20"/>
  <c r="BYB25" i="20"/>
  <c r="BYC25" i="20"/>
  <c r="BYD25" i="20"/>
  <c r="BYE25" i="20"/>
  <c r="BYF25" i="20"/>
  <c r="BYG25" i="20"/>
  <c r="BYH25" i="20"/>
  <c r="BYI25" i="20"/>
  <c r="BYJ25" i="20"/>
  <c r="BYK25" i="20"/>
  <c r="BYL25" i="20"/>
  <c r="BYM25" i="20"/>
  <c r="BYN25" i="20"/>
  <c r="BYO25" i="20"/>
  <c r="BYP25" i="20"/>
  <c r="BYQ25" i="20"/>
  <c r="BYR25" i="20"/>
  <c r="BYS25" i="20"/>
  <c r="BYT25" i="20"/>
  <c r="BYU25" i="20"/>
  <c r="BYV25" i="20"/>
  <c r="BYW25" i="20"/>
  <c r="BYX25" i="20"/>
  <c r="BYY25" i="20"/>
  <c r="BYZ25" i="20"/>
  <c r="BZA25" i="20"/>
  <c r="BZB25" i="20"/>
  <c r="BZC25" i="20"/>
  <c r="BZD25" i="20"/>
  <c r="BZE25" i="20"/>
  <c r="BZF25" i="20"/>
  <c r="BZG25" i="20"/>
  <c r="BZH25" i="20"/>
  <c r="BZI25" i="20"/>
  <c r="BZJ25" i="20"/>
  <c r="BZK25" i="20"/>
  <c r="BZL25" i="20"/>
  <c r="BZM25" i="20"/>
  <c r="BZN25" i="20"/>
  <c r="BZO25" i="20"/>
  <c r="BZP25" i="20"/>
  <c r="BZQ25" i="20"/>
  <c r="BZR25" i="20"/>
  <c r="BZS25" i="20"/>
  <c r="BZT25" i="20"/>
  <c r="BZU25" i="20"/>
  <c r="BZV25" i="20"/>
  <c r="BZW25" i="20"/>
  <c r="BZX25" i="20"/>
  <c r="BZY25" i="20"/>
  <c r="BZZ25" i="20"/>
  <c r="CAA25" i="20"/>
  <c r="CAB25" i="20"/>
  <c r="CAC25" i="20"/>
  <c r="CAD25" i="20"/>
  <c r="CAE25" i="20"/>
  <c r="CAF25" i="20"/>
  <c r="CAG25" i="20"/>
  <c r="CAH25" i="20"/>
  <c r="CAI25" i="20"/>
  <c r="CAJ25" i="20"/>
  <c r="CAK25" i="20"/>
  <c r="CAL25" i="20"/>
  <c r="CAM25" i="20"/>
  <c r="CAN25" i="20"/>
  <c r="CAO25" i="20"/>
  <c r="CAP25" i="20"/>
  <c r="CAQ25" i="20"/>
  <c r="CAR25" i="20"/>
  <c r="CAS25" i="20"/>
  <c r="CAT25" i="20"/>
  <c r="CAU25" i="20"/>
  <c r="CAV25" i="20"/>
  <c r="CAW25" i="20"/>
  <c r="CAX25" i="20"/>
  <c r="CAY25" i="20"/>
  <c r="CAZ25" i="20"/>
  <c r="CBA25" i="20"/>
  <c r="CBB25" i="20"/>
  <c r="CBC25" i="20"/>
  <c r="CBD25" i="20"/>
  <c r="CBE25" i="20"/>
  <c r="CBF25" i="20"/>
  <c r="CBG25" i="20"/>
  <c r="CBH25" i="20"/>
  <c r="CBI25" i="20"/>
  <c r="CBJ25" i="20"/>
  <c r="CBK25" i="20"/>
  <c r="CBL25" i="20"/>
  <c r="CBM25" i="20"/>
  <c r="CBN25" i="20"/>
  <c r="CBO25" i="20"/>
  <c r="CBP25" i="20"/>
  <c r="CBQ25" i="20"/>
  <c r="CBR25" i="20"/>
  <c r="CBS25" i="20"/>
  <c r="CBT25" i="20"/>
  <c r="CBU25" i="20"/>
  <c r="CBV25" i="20"/>
  <c r="CBW25" i="20"/>
  <c r="CBX25" i="20"/>
  <c r="CBY25" i="20"/>
  <c r="CBZ25" i="20"/>
  <c r="CCA25" i="20"/>
  <c r="CCB25" i="20"/>
  <c r="CCC25" i="20"/>
  <c r="CCD25" i="20"/>
  <c r="CCE25" i="20"/>
  <c r="CCF25" i="20"/>
  <c r="CCG25" i="20"/>
  <c r="CCH25" i="20"/>
  <c r="CCI25" i="20"/>
  <c r="CCJ25" i="20"/>
  <c r="CCK25" i="20"/>
  <c r="CCL25" i="20"/>
  <c r="CCM25" i="20"/>
  <c r="CCN25" i="20"/>
  <c r="CCO25" i="20"/>
  <c r="CCP25" i="20"/>
  <c r="CCQ25" i="20"/>
  <c r="CCR25" i="20"/>
  <c r="CCS25" i="20"/>
  <c r="CCT25" i="20"/>
  <c r="CCU25" i="20"/>
  <c r="CCV25" i="20"/>
  <c r="CCW25" i="20"/>
  <c r="CCX25" i="20"/>
  <c r="CCY25" i="20"/>
  <c r="CCZ25" i="20"/>
  <c r="CDA25" i="20"/>
  <c r="CDB25" i="20"/>
  <c r="CDC25" i="20"/>
  <c r="CDD25" i="20"/>
  <c r="CDE25" i="20"/>
  <c r="CDF25" i="20"/>
  <c r="CDG25" i="20"/>
  <c r="CDH25" i="20"/>
  <c r="CDI25" i="20"/>
  <c r="CDJ25" i="20"/>
  <c r="CDK25" i="20"/>
  <c r="CDL25" i="20"/>
  <c r="CDM25" i="20"/>
  <c r="CDN25" i="20"/>
  <c r="CDO25" i="20"/>
  <c r="CDP25" i="20"/>
  <c r="CDQ25" i="20"/>
  <c r="CDR25" i="20"/>
  <c r="CDS25" i="20"/>
  <c r="CDT25" i="20"/>
  <c r="CDU25" i="20"/>
  <c r="CDV25" i="20"/>
  <c r="CDW25" i="20"/>
  <c r="CDX25" i="20"/>
  <c r="CDY25" i="20"/>
  <c r="CDZ25" i="20"/>
  <c r="CEA25" i="20"/>
  <c r="CEB25" i="20"/>
  <c r="CEC25" i="20"/>
  <c r="CED25" i="20"/>
  <c r="CEE25" i="20"/>
  <c r="CEF25" i="20"/>
  <c r="CEG25" i="20"/>
  <c r="CEH25" i="20"/>
  <c r="CEI25" i="20"/>
  <c r="CEJ25" i="20"/>
  <c r="CEK25" i="20"/>
  <c r="CEL25" i="20"/>
  <c r="CEM25" i="20"/>
  <c r="CEN25" i="20"/>
  <c r="CEO25" i="20"/>
  <c r="CEP25" i="20"/>
  <c r="CEQ25" i="20"/>
  <c r="CER25" i="20"/>
  <c r="CES25" i="20"/>
  <c r="CET25" i="20"/>
  <c r="CEU25" i="20"/>
  <c r="CEV25" i="20"/>
  <c r="CEW25" i="20"/>
  <c r="CEX25" i="20"/>
  <c r="CEY25" i="20"/>
  <c r="CEZ25" i="20"/>
  <c r="CFA25" i="20"/>
  <c r="CFB25" i="20"/>
  <c r="CFC25" i="20"/>
  <c r="CFD25" i="20"/>
  <c r="CFE25" i="20"/>
  <c r="CFF25" i="20"/>
  <c r="CFG25" i="20"/>
  <c r="CFH25" i="20"/>
  <c r="CFI25" i="20"/>
  <c r="CFJ25" i="20"/>
  <c r="CFK25" i="20"/>
  <c r="CFL25" i="20"/>
  <c r="CFM25" i="20"/>
  <c r="CFN25" i="20"/>
  <c r="CFO25" i="20"/>
  <c r="CFP25" i="20"/>
  <c r="CFQ25" i="20"/>
  <c r="CFR25" i="20"/>
  <c r="CFS25" i="20"/>
  <c r="CFT25" i="20"/>
  <c r="CFU25" i="20"/>
  <c r="CFV25" i="20"/>
  <c r="CFW25" i="20"/>
  <c r="CFX25" i="20"/>
  <c r="CFY25" i="20"/>
  <c r="CFZ25" i="20"/>
  <c r="CGA25" i="20"/>
  <c r="CGB25" i="20"/>
  <c r="CGC25" i="20"/>
  <c r="CGD25" i="20"/>
  <c r="CGE25" i="20"/>
  <c r="CGF25" i="20"/>
  <c r="CGG25" i="20"/>
  <c r="CGH25" i="20"/>
  <c r="CGI25" i="20"/>
  <c r="CGJ25" i="20"/>
  <c r="CGK25" i="20"/>
  <c r="CGL25" i="20"/>
  <c r="CGM25" i="20"/>
  <c r="CGN25" i="20"/>
  <c r="CGO25" i="20"/>
  <c r="CGP25" i="20"/>
  <c r="CGQ25" i="20"/>
  <c r="CGR25" i="20"/>
  <c r="CGS25" i="20"/>
  <c r="CGT25" i="20"/>
  <c r="CGU25" i="20"/>
  <c r="CGV25" i="20"/>
  <c r="CGW25" i="20"/>
  <c r="CGX25" i="20"/>
  <c r="CGY25" i="20"/>
  <c r="CGZ25" i="20"/>
  <c r="CHA25" i="20"/>
  <c r="CHB25" i="20"/>
  <c r="CHC25" i="20"/>
  <c r="CHD25" i="20"/>
  <c r="CHE25" i="20"/>
  <c r="CHF25" i="20"/>
  <c r="CHG25" i="20"/>
  <c r="CHH25" i="20"/>
  <c r="CHI25" i="20"/>
  <c r="CHJ25" i="20"/>
  <c r="CHK25" i="20"/>
  <c r="CHL25" i="20"/>
  <c r="CHM25" i="20"/>
  <c r="CHN25" i="20"/>
  <c r="CHO25" i="20"/>
  <c r="CHP25" i="20"/>
  <c r="CHQ25" i="20"/>
  <c r="CHR25" i="20"/>
  <c r="CHS25" i="20"/>
  <c r="CHT25" i="20"/>
  <c r="CHU25" i="20"/>
  <c r="CHV25" i="20"/>
  <c r="CHW25" i="20"/>
  <c r="CHX25" i="20"/>
  <c r="CHY25" i="20"/>
  <c r="CHZ25" i="20"/>
  <c r="CIA25" i="20"/>
  <c r="CIB25" i="20"/>
  <c r="CIC25" i="20"/>
  <c r="CID25" i="20"/>
  <c r="CIE25" i="20"/>
  <c r="CIF25" i="20"/>
  <c r="CIG25" i="20"/>
  <c r="CIH25" i="20"/>
  <c r="CII25" i="20"/>
  <c r="CIJ25" i="20"/>
  <c r="CIK25" i="20"/>
  <c r="CIL25" i="20"/>
  <c r="CIM25" i="20"/>
  <c r="CIN25" i="20"/>
  <c r="CIO25" i="20"/>
  <c r="CIP25" i="20"/>
  <c r="CIQ25" i="20"/>
  <c r="CIR25" i="20"/>
  <c r="CIS25" i="20"/>
  <c r="CIT25" i="20"/>
  <c r="CIU25" i="20"/>
  <c r="CIV25" i="20"/>
  <c r="CIW25" i="20"/>
  <c r="CIX25" i="20"/>
  <c r="CIY25" i="20"/>
  <c r="CIZ25" i="20"/>
  <c r="CJA25" i="20"/>
  <c r="CJB25" i="20"/>
  <c r="CJC25" i="20"/>
  <c r="CJD25" i="20"/>
  <c r="CJE25" i="20"/>
  <c r="CJF25" i="20"/>
  <c r="CJG25" i="20"/>
  <c r="CJH25" i="20"/>
  <c r="CJI25" i="20"/>
  <c r="CJJ25" i="20"/>
  <c r="CJK25" i="20"/>
  <c r="CJL25" i="20"/>
  <c r="CJM25" i="20"/>
  <c r="CJN25" i="20"/>
  <c r="CJO25" i="20"/>
  <c r="CJP25" i="20"/>
  <c r="CJQ25" i="20"/>
  <c r="CJR25" i="20"/>
  <c r="CJS25" i="20"/>
  <c r="CJT25" i="20"/>
  <c r="CJU25" i="20"/>
  <c r="CJV25" i="20"/>
  <c r="CJW25" i="20"/>
  <c r="CJX25" i="20"/>
  <c r="CJY25" i="20"/>
  <c r="CJZ25" i="20"/>
  <c r="CKA25" i="20"/>
  <c r="CKB25" i="20"/>
  <c r="CKC25" i="20"/>
  <c r="CKD25" i="20"/>
  <c r="CKE25" i="20"/>
  <c r="CKF25" i="20"/>
  <c r="CKG25" i="20"/>
  <c r="CKH25" i="20"/>
  <c r="CKI25" i="20"/>
  <c r="CKJ25" i="20"/>
  <c r="CKK25" i="20"/>
  <c r="CKL25" i="20"/>
  <c r="CKM25" i="20"/>
  <c r="CKN25" i="20"/>
  <c r="CKO25" i="20"/>
  <c r="CKP25" i="20"/>
  <c r="CKQ25" i="20"/>
  <c r="CKR25" i="20"/>
  <c r="CKS25" i="20"/>
  <c r="CKT25" i="20"/>
  <c r="CKU25" i="20"/>
  <c r="CKV25" i="20"/>
  <c r="CKW25" i="20"/>
  <c r="CKX25" i="20"/>
  <c r="CKY25" i="20"/>
  <c r="CKZ25" i="20"/>
  <c r="CLA25" i="20"/>
  <c r="CLB25" i="20"/>
  <c r="CLC25" i="20"/>
  <c r="CLD25" i="20"/>
  <c r="CLE25" i="20"/>
  <c r="CLF25" i="20"/>
  <c r="CLG25" i="20"/>
  <c r="CLH25" i="20"/>
  <c r="CLI25" i="20"/>
  <c r="CLJ25" i="20"/>
  <c r="CLK25" i="20"/>
  <c r="CLL25" i="20"/>
  <c r="CLM25" i="20"/>
  <c r="CLN25" i="20"/>
  <c r="CLO25" i="20"/>
  <c r="CLP25" i="20"/>
  <c r="CLQ25" i="20"/>
  <c r="CLR25" i="20"/>
  <c r="CLS25" i="20"/>
  <c r="CLT25" i="20"/>
  <c r="CLU25" i="20"/>
  <c r="CLV25" i="20"/>
  <c r="CLW25" i="20"/>
  <c r="CLX25" i="20"/>
  <c r="CLY25" i="20"/>
  <c r="CLZ25" i="20"/>
  <c r="CMA25" i="20"/>
  <c r="CMB25" i="20"/>
  <c r="CMC25" i="20"/>
  <c r="CMD25" i="20"/>
  <c r="CME25" i="20"/>
  <c r="CMF25" i="20"/>
  <c r="CMG25" i="20"/>
  <c r="CMH25" i="20"/>
  <c r="CMI25" i="20"/>
  <c r="CMJ25" i="20"/>
  <c r="CMK25" i="20"/>
  <c r="CML25" i="20"/>
  <c r="CMM25" i="20"/>
  <c r="CMN25" i="20"/>
  <c r="CMO25" i="20"/>
  <c r="CMP25" i="20"/>
  <c r="CMQ25" i="20"/>
  <c r="CMR25" i="20"/>
  <c r="CMS25" i="20"/>
  <c r="CMT25" i="20"/>
  <c r="CMU25" i="20"/>
  <c r="CMV25" i="20"/>
  <c r="CMW25" i="20"/>
  <c r="CMX25" i="20"/>
  <c r="CMY25" i="20"/>
  <c r="CMZ25" i="20"/>
  <c r="CNA25" i="20"/>
  <c r="CNB25" i="20"/>
  <c r="CNC25" i="20"/>
  <c r="CND25" i="20"/>
  <c r="CNE25" i="20"/>
  <c r="CNF25" i="20"/>
  <c r="CNG25" i="20"/>
  <c r="CNH25" i="20"/>
  <c r="CNI25" i="20"/>
  <c r="CNJ25" i="20"/>
  <c r="CNK25" i="20"/>
  <c r="CNL25" i="20"/>
  <c r="CNM25" i="20"/>
  <c r="CNN25" i="20"/>
  <c r="CNO25" i="20"/>
  <c r="CNP25" i="20"/>
  <c r="CNQ25" i="20"/>
  <c r="CNR25" i="20"/>
  <c r="CNS25" i="20"/>
  <c r="CNT25" i="20"/>
  <c r="CNU25" i="20"/>
  <c r="CNV25" i="20"/>
  <c r="CNW25" i="20"/>
  <c r="CNX25" i="20"/>
  <c r="CNY25" i="20"/>
  <c r="CNZ25" i="20"/>
  <c r="COA25" i="20"/>
  <c r="COB25" i="20"/>
  <c r="COC25" i="20"/>
  <c r="COD25" i="20"/>
  <c r="COE25" i="20"/>
  <c r="COF25" i="20"/>
  <c r="COG25" i="20"/>
  <c r="COH25" i="20"/>
  <c r="COI25" i="20"/>
  <c r="COJ25" i="20"/>
  <c r="COK25" i="20"/>
  <c r="COL25" i="20"/>
  <c r="COM25" i="20"/>
  <c r="CON25" i="20"/>
  <c r="COO25" i="20"/>
  <c r="COP25" i="20"/>
  <c r="COQ25" i="20"/>
  <c r="COR25" i="20"/>
  <c r="COS25" i="20"/>
  <c r="COT25" i="20"/>
  <c r="COU25" i="20"/>
  <c r="COV25" i="20"/>
  <c r="COW25" i="20"/>
  <c r="COX25" i="20"/>
  <c r="COY25" i="20"/>
  <c r="COZ25" i="20"/>
  <c r="CPA25" i="20"/>
  <c r="CPB25" i="20"/>
  <c r="CPC25" i="20"/>
  <c r="CPD25" i="20"/>
  <c r="CPE25" i="20"/>
  <c r="CPF25" i="20"/>
  <c r="CPG25" i="20"/>
  <c r="CPH25" i="20"/>
  <c r="CPI25" i="20"/>
  <c r="CPJ25" i="20"/>
  <c r="CPK25" i="20"/>
  <c r="CPL25" i="20"/>
  <c r="CPM25" i="20"/>
  <c r="CPN25" i="20"/>
  <c r="CPO25" i="20"/>
  <c r="CPP25" i="20"/>
  <c r="CPQ25" i="20"/>
  <c r="CPR25" i="20"/>
  <c r="CPS25" i="20"/>
  <c r="CPT25" i="20"/>
  <c r="CPU25" i="20"/>
  <c r="CPV25" i="20"/>
  <c r="CPW25" i="20"/>
  <c r="CPX25" i="20"/>
  <c r="CPY25" i="20"/>
  <c r="CPZ25" i="20"/>
  <c r="CQA25" i="20"/>
  <c r="CQB25" i="20"/>
  <c r="CQC25" i="20"/>
  <c r="CQD25" i="20"/>
  <c r="CQE25" i="20"/>
  <c r="CQF25" i="20"/>
  <c r="CQG25" i="20"/>
  <c r="CQH25" i="20"/>
  <c r="CQI25" i="20"/>
  <c r="CQJ25" i="20"/>
  <c r="CQK25" i="20"/>
  <c r="CQL25" i="20"/>
  <c r="CQM25" i="20"/>
  <c r="CQN25" i="20"/>
  <c r="CQO25" i="20"/>
  <c r="CQP25" i="20"/>
  <c r="CQQ25" i="20"/>
  <c r="CQR25" i="20"/>
  <c r="CQS25" i="20"/>
  <c r="CQT25" i="20"/>
  <c r="CQU25" i="20"/>
  <c r="CQV25" i="20"/>
  <c r="CQW25" i="20"/>
  <c r="CQX25" i="20"/>
  <c r="CQY25" i="20"/>
  <c r="CQZ25" i="20"/>
  <c r="CRA25" i="20"/>
  <c r="CRB25" i="20"/>
  <c r="CRC25" i="20"/>
  <c r="CRD25" i="20"/>
  <c r="CRE25" i="20"/>
  <c r="CRF25" i="20"/>
  <c r="CRG25" i="20"/>
  <c r="CRH25" i="20"/>
  <c r="CRI25" i="20"/>
  <c r="CRJ25" i="20"/>
  <c r="CRK25" i="20"/>
  <c r="CRL25" i="20"/>
  <c r="CRM25" i="20"/>
  <c r="CRN25" i="20"/>
  <c r="CRO25" i="20"/>
  <c r="CRP25" i="20"/>
  <c r="CRQ25" i="20"/>
  <c r="CRR25" i="20"/>
  <c r="CRS25" i="20"/>
  <c r="CRT25" i="20"/>
  <c r="CRU25" i="20"/>
  <c r="CRV25" i="20"/>
  <c r="CRW25" i="20"/>
  <c r="CRX25" i="20"/>
  <c r="CRY25" i="20"/>
  <c r="CRZ25" i="20"/>
  <c r="CSA25" i="20"/>
  <c r="CSB25" i="20"/>
  <c r="CSC25" i="20"/>
  <c r="CSD25" i="20"/>
  <c r="CSE25" i="20"/>
  <c r="CSF25" i="20"/>
  <c r="CSG25" i="20"/>
  <c r="CSH25" i="20"/>
  <c r="CSI25" i="20"/>
  <c r="CSJ25" i="20"/>
  <c r="CSK25" i="20"/>
  <c r="CSL25" i="20"/>
  <c r="CSM25" i="20"/>
  <c r="CSN25" i="20"/>
  <c r="CSO25" i="20"/>
  <c r="CSP25" i="20"/>
  <c r="CSQ25" i="20"/>
  <c r="CSR25" i="20"/>
  <c r="CSS25" i="20"/>
  <c r="CST25" i="20"/>
  <c r="CSU25" i="20"/>
  <c r="CSV25" i="20"/>
  <c r="CSW25" i="20"/>
  <c r="CSX25" i="20"/>
  <c r="CSY25" i="20"/>
  <c r="CSZ25" i="20"/>
  <c r="CTA25" i="20"/>
  <c r="CTB25" i="20"/>
  <c r="CTC25" i="20"/>
  <c r="CTD25" i="20"/>
  <c r="CTE25" i="20"/>
  <c r="CTF25" i="20"/>
  <c r="CTG25" i="20"/>
  <c r="CTH25" i="20"/>
  <c r="CTI25" i="20"/>
  <c r="CTJ25" i="20"/>
  <c r="CTK25" i="20"/>
  <c r="CTL25" i="20"/>
  <c r="CTM25" i="20"/>
  <c r="CTN25" i="20"/>
  <c r="CTO25" i="20"/>
  <c r="CTP25" i="20"/>
  <c r="CTQ25" i="20"/>
  <c r="CTR25" i="20"/>
  <c r="CTS25" i="20"/>
  <c r="CTT25" i="20"/>
  <c r="CTU25" i="20"/>
  <c r="CTV25" i="20"/>
  <c r="CTW25" i="20"/>
  <c r="CTX25" i="20"/>
  <c r="CTY25" i="20"/>
  <c r="CTZ25" i="20"/>
  <c r="CUA25" i="20"/>
  <c r="CUB25" i="20"/>
  <c r="CUC25" i="20"/>
  <c r="CUD25" i="20"/>
  <c r="CUE25" i="20"/>
  <c r="CUF25" i="20"/>
  <c r="CUG25" i="20"/>
  <c r="CUH25" i="20"/>
  <c r="CUI25" i="20"/>
  <c r="CUJ25" i="20"/>
  <c r="CUK25" i="20"/>
  <c r="CUL25" i="20"/>
  <c r="CUM25" i="20"/>
  <c r="CUN25" i="20"/>
  <c r="CUO25" i="20"/>
  <c r="CUP25" i="20"/>
  <c r="CUQ25" i="20"/>
  <c r="CUR25" i="20"/>
  <c r="CUS25" i="20"/>
  <c r="CUT25" i="20"/>
  <c r="CUU25" i="20"/>
  <c r="CUV25" i="20"/>
  <c r="CUW25" i="20"/>
  <c r="CUX25" i="20"/>
  <c r="CUY25" i="20"/>
  <c r="CUZ25" i="20"/>
  <c r="CVA25" i="20"/>
  <c r="CVB25" i="20"/>
  <c r="CVC25" i="20"/>
  <c r="CVD25" i="20"/>
  <c r="CVE25" i="20"/>
  <c r="CVF25" i="20"/>
  <c r="CVG25" i="20"/>
  <c r="CVH25" i="20"/>
  <c r="CVI25" i="20"/>
  <c r="CVJ25" i="20"/>
  <c r="CVK25" i="20"/>
  <c r="CVL25" i="20"/>
  <c r="CVM25" i="20"/>
  <c r="CVN25" i="20"/>
  <c r="CVO25" i="20"/>
  <c r="CVP25" i="20"/>
  <c r="CVQ25" i="20"/>
  <c r="CVR25" i="20"/>
  <c r="CVS25" i="20"/>
  <c r="CVT25" i="20"/>
  <c r="CVU25" i="20"/>
  <c r="CVV25" i="20"/>
  <c r="CVW25" i="20"/>
  <c r="CVX25" i="20"/>
  <c r="CVY25" i="20"/>
  <c r="CVZ25" i="20"/>
  <c r="CWA25" i="20"/>
  <c r="CWB25" i="20"/>
  <c r="CWC25" i="20"/>
  <c r="CWD25" i="20"/>
  <c r="CWE25" i="20"/>
  <c r="CWF25" i="20"/>
  <c r="CWG25" i="20"/>
  <c r="CWH25" i="20"/>
  <c r="CWI25" i="20"/>
  <c r="CWJ25" i="20"/>
  <c r="CWK25" i="20"/>
  <c r="CWL25" i="20"/>
  <c r="CWM25" i="20"/>
  <c r="CWN25" i="20"/>
  <c r="CWO25" i="20"/>
  <c r="CWP25" i="20"/>
  <c r="CWQ25" i="20"/>
  <c r="CWR25" i="20"/>
  <c r="CWS25" i="20"/>
  <c r="CWT25" i="20"/>
  <c r="CWU25" i="20"/>
  <c r="CWV25" i="20"/>
  <c r="CWW25" i="20"/>
  <c r="CWX25" i="20"/>
  <c r="CWY25" i="20"/>
  <c r="CWZ25" i="20"/>
  <c r="CXA25" i="20"/>
  <c r="CXB25" i="20"/>
  <c r="CXC25" i="20"/>
  <c r="CXD25" i="20"/>
  <c r="CXE25" i="20"/>
  <c r="CXF25" i="20"/>
  <c r="CXG25" i="20"/>
  <c r="CXH25" i="20"/>
  <c r="CXI25" i="20"/>
  <c r="CXJ25" i="20"/>
  <c r="CXK25" i="20"/>
  <c r="CXL25" i="20"/>
  <c r="CXM25" i="20"/>
  <c r="CXN25" i="20"/>
  <c r="CXO25" i="20"/>
  <c r="CXP25" i="20"/>
  <c r="CXQ25" i="20"/>
  <c r="CXR25" i="20"/>
  <c r="CXS25" i="20"/>
  <c r="CXT25" i="20"/>
  <c r="CXU25" i="20"/>
  <c r="CXV25" i="20"/>
  <c r="CXW25" i="20"/>
  <c r="CXX25" i="20"/>
  <c r="CXY25" i="20"/>
  <c r="CXZ25" i="20"/>
  <c r="CYA25" i="20"/>
  <c r="CYB25" i="20"/>
  <c r="CYC25" i="20"/>
  <c r="CYD25" i="20"/>
  <c r="CYE25" i="20"/>
  <c r="CYF25" i="20"/>
  <c r="CYG25" i="20"/>
  <c r="CYH25" i="20"/>
  <c r="CYI25" i="20"/>
  <c r="CYJ25" i="20"/>
  <c r="CYK25" i="20"/>
  <c r="CYL25" i="20"/>
  <c r="CYM25" i="20"/>
  <c r="CYN25" i="20"/>
  <c r="CYO25" i="20"/>
  <c r="CYP25" i="20"/>
  <c r="CYQ25" i="20"/>
  <c r="CYR25" i="20"/>
  <c r="CYS25" i="20"/>
  <c r="CYT25" i="20"/>
  <c r="CYU25" i="20"/>
  <c r="CYV25" i="20"/>
  <c r="CYW25" i="20"/>
  <c r="CYX25" i="20"/>
  <c r="CYY25" i="20"/>
  <c r="CYZ25" i="20"/>
  <c r="CZA25" i="20"/>
  <c r="CZB25" i="20"/>
  <c r="CZC25" i="20"/>
  <c r="CZD25" i="20"/>
  <c r="CZE25" i="20"/>
  <c r="CZF25" i="20"/>
  <c r="CZG25" i="20"/>
  <c r="CZH25" i="20"/>
  <c r="CZI25" i="20"/>
  <c r="CZJ25" i="20"/>
  <c r="CZK25" i="20"/>
  <c r="CZL25" i="20"/>
  <c r="CZM25" i="20"/>
  <c r="CZN25" i="20"/>
  <c r="CZO25" i="20"/>
  <c r="CZP25" i="20"/>
  <c r="CZQ25" i="20"/>
  <c r="CZR25" i="20"/>
  <c r="CZS25" i="20"/>
  <c r="CZT25" i="20"/>
  <c r="CZU25" i="20"/>
  <c r="CZV25" i="20"/>
  <c r="CZW25" i="20"/>
  <c r="CZX25" i="20"/>
  <c r="CZY25" i="20"/>
  <c r="CZZ25" i="20"/>
  <c r="DAA25" i="20"/>
  <c r="DAB25" i="20"/>
  <c r="DAC25" i="20"/>
  <c r="DAD25" i="20"/>
  <c r="DAE25" i="20"/>
  <c r="DAF25" i="20"/>
  <c r="DAG25" i="20"/>
  <c r="DAH25" i="20"/>
  <c r="DAI25" i="20"/>
  <c r="DAJ25" i="20"/>
  <c r="DAK25" i="20"/>
  <c r="DAL25" i="20"/>
  <c r="DAM25" i="20"/>
  <c r="DAN25" i="20"/>
  <c r="DAO25" i="20"/>
  <c r="DAP25" i="20"/>
  <c r="DAQ25" i="20"/>
  <c r="DAR25" i="20"/>
  <c r="DAS25" i="20"/>
  <c r="DAT25" i="20"/>
  <c r="DAU25" i="20"/>
  <c r="DAV25" i="20"/>
  <c r="DAW25" i="20"/>
  <c r="DAX25" i="20"/>
  <c r="DAY25" i="20"/>
  <c r="DAZ25" i="20"/>
  <c r="DBA25" i="20"/>
  <c r="DBB25" i="20"/>
  <c r="DBC25" i="20"/>
  <c r="DBD25" i="20"/>
  <c r="DBE25" i="20"/>
  <c r="DBF25" i="20"/>
  <c r="DBG25" i="20"/>
  <c r="DBH25" i="20"/>
  <c r="DBI25" i="20"/>
  <c r="DBJ25" i="20"/>
  <c r="DBK25" i="20"/>
  <c r="DBL25" i="20"/>
  <c r="DBM25" i="20"/>
  <c r="DBN25" i="20"/>
  <c r="DBO25" i="20"/>
  <c r="DBP25" i="20"/>
  <c r="DBQ25" i="20"/>
  <c r="DBR25" i="20"/>
  <c r="DBS25" i="20"/>
  <c r="DBT25" i="20"/>
  <c r="DBU25" i="20"/>
  <c r="DBV25" i="20"/>
  <c r="DBW25" i="20"/>
  <c r="DBX25" i="20"/>
  <c r="DBY25" i="20"/>
  <c r="DBZ25" i="20"/>
  <c r="DCA25" i="20"/>
  <c r="DCB25" i="20"/>
  <c r="DCC25" i="20"/>
  <c r="DCD25" i="20"/>
  <c r="DCE25" i="20"/>
  <c r="DCF25" i="20"/>
  <c r="DCG25" i="20"/>
  <c r="DCH25" i="20"/>
  <c r="DCI25" i="20"/>
  <c r="DCJ25" i="20"/>
  <c r="DCK25" i="20"/>
  <c r="DCL25" i="20"/>
  <c r="DCM25" i="20"/>
  <c r="DCN25" i="20"/>
  <c r="DCO25" i="20"/>
  <c r="DCP25" i="20"/>
  <c r="DCQ25" i="20"/>
  <c r="DCR25" i="20"/>
  <c r="DCS25" i="20"/>
  <c r="DCT25" i="20"/>
  <c r="DCU25" i="20"/>
  <c r="DCV25" i="20"/>
  <c r="DCW25" i="20"/>
  <c r="DCX25" i="20"/>
  <c r="DCY25" i="20"/>
  <c r="DCZ25" i="20"/>
  <c r="DDA25" i="20"/>
  <c r="DDB25" i="20"/>
  <c r="DDC25" i="20"/>
  <c r="DDD25" i="20"/>
  <c r="DDE25" i="20"/>
  <c r="DDF25" i="20"/>
  <c r="DDG25" i="20"/>
  <c r="DDH25" i="20"/>
  <c r="DDI25" i="20"/>
  <c r="AAE26" i="20"/>
  <c r="AAF26" i="20"/>
  <c r="AAG26" i="20"/>
  <c r="AAH26" i="20"/>
  <c r="AAI26" i="20"/>
  <c r="AAJ26" i="20"/>
  <c r="AAK26" i="20"/>
  <c r="AAL26" i="20"/>
  <c r="AAM26" i="20"/>
  <c r="AAN26" i="20"/>
  <c r="AAO26" i="20"/>
  <c r="AAP26" i="20"/>
  <c r="AAQ26" i="20"/>
  <c r="AAR26" i="20"/>
  <c r="AAS26" i="20"/>
  <c r="AAT26" i="20"/>
  <c r="AAU26" i="20"/>
  <c r="AAV26" i="20"/>
  <c r="AAW26" i="20"/>
  <c r="AAX26" i="20"/>
  <c r="AAY26" i="20"/>
  <c r="AAZ26" i="20"/>
  <c r="ABA26" i="20"/>
  <c r="ABB26" i="20"/>
  <c r="ABC26" i="20"/>
  <c r="ABD26" i="20"/>
  <c r="ABE26" i="20"/>
  <c r="ABF26" i="20"/>
  <c r="ABG26" i="20"/>
  <c r="ABH26" i="20"/>
  <c r="ABI26" i="20"/>
  <c r="ABJ26" i="20"/>
  <c r="ABK26" i="20"/>
  <c r="ABL26" i="20"/>
  <c r="ABM26" i="20"/>
  <c r="ABN26" i="20"/>
  <c r="ABO26" i="20"/>
  <c r="ABP26" i="20"/>
  <c r="ABQ26" i="20"/>
  <c r="ABR26" i="20"/>
  <c r="ABS26" i="20"/>
  <c r="ABT26" i="20"/>
  <c r="ABU26" i="20"/>
  <c r="ABV26" i="20"/>
  <c r="ABW26" i="20"/>
  <c r="ABX26" i="20"/>
  <c r="ABY26" i="20"/>
  <c r="ABZ26" i="20"/>
  <c r="ACA26" i="20"/>
  <c r="ACB26" i="20"/>
  <c r="ACC26" i="20"/>
  <c r="ACD26" i="20"/>
  <c r="ACE26" i="20"/>
  <c r="ACF26" i="20"/>
  <c r="ACG26" i="20"/>
  <c r="ACH26" i="20"/>
  <c r="ACI26" i="20"/>
  <c r="ACJ26" i="20"/>
  <c r="ACK26" i="20"/>
  <c r="ACL26" i="20"/>
  <c r="ACM26" i="20"/>
  <c r="ACN26" i="20"/>
  <c r="ACO26" i="20"/>
  <c r="ACP26" i="20"/>
  <c r="ACQ26" i="20"/>
  <c r="ACR26" i="20"/>
  <c r="ACS26" i="20"/>
  <c r="ACT26" i="20"/>
  <c r="ACU26" i="20"/>
  <c r="ACV26" i="20"/>
  <c r="ACW26" i="20"/>
  <c r="ACX26" i="20"/>
  <c r="ACY26" i="20"/>
  <c r="ACZ26" i="20"/>
  <c r="ADA26" i="20"/>
  <c r="ADB26" i="20"/>
  <c r="ADC26" i="20"/>
  <c r="ADD26" i="20"/>
  <c r="ADE26" i="20"/>
  <c r="ADF26" i="20"/>
  <c r="ADG26" i="20"/>
  <c r="ADH26" i="20"/>
  <c r="ADI26" i="20"/>
  <c r="ADJ26" i="20"/>
  <c r="ADK26" i="20"/>
  <c r="ADL26" i="20"/>
  <c r="ADM26" i="20"/>
  <c r="ADN26" i="20"/>
  <c r="ADO26" i="20"/>
  <c r="ADP26" i="20"/>
  <c r="ADQ26" i="20"/>
  <c r="ADR26" i="20"/>
  <c r="ADS26" i="20"/>
  <c r="ADT26" i="20"/>
  <c r="ADU26" i="20"/>
  <c r="ADV26" i="20"/>
  <c r="ADW26" i="20"/>
  <c r="ADX26" i="20"/>
  <c r="ADY26" i="20"/>
  <c r="ADZ26" i="20"/>
  <c r="AEA26" i="20"/>
  <c r="AEB26" i="20"/>
  <c r="AEC26" i="20"/>
  <c r="AED26" i="20"/>
  <c r="AEE26" i="20"/>
  <c r="AEF26" i="20"/>
  <c r="AEG26" i="20"/>
  <c r="AEH26" i="20"/>
  <c r="AEI26" i="20"/>
  <c r="AEJ26" i="20"/>
  <c r="AEK26" i="20"/>
  <c r="AEL26" i="20"/>
  <c r="AEM26" i="20"/>
  <c r="AEN26" i="20"/>
  <c r="AEO26" i="20"/>
  <c r="AEP26" i="20"/>
  <c r="AEQ26" i="20"/>
  <c r="AER26" i="20"/>
  <c r="AES26" i="20"/>
  <c r="AET26" i="20"/>
  <c r="AEU26" i="20"/>
  <c r="AEV26" i="20"/>
  <c r="AEW26" i="20"/>
  <c r="AEX26" i="20"/>
  <c r="AEY26" i="20"/>
  <c r="AEZ26" i="20"/>
  <c r="AFA26" i="20"/>
  <c r="AFB26" i="20"/>
  <c r="AFC26" i="20"/>
  <c r="AFD26" i="20"/>
  <c r="AFE26" i="20"/>
  <c r="AFF26" i="20"/>
  <c r="AFG26" i="20"/>
  <c r="AFH26" i="20"/>
  <c r="AFI26" i="20"/>
  <c r="AFJ26" i="20"/>
  <c r="AFK26" i="20"/>
  <c r="AFL26" i="20"/>
  <c r="AFM26" i="20"/>
  <c r="AFN26" i="20"/>
  <c r="AFO26" i="20"/>
  <c r="AFP26" i="20"/>
  <c r="AFQ26" i="20"/>
  <c r="AFR26" i="20"/>
  <c r="AFS26" i="20"/>
  <c r="AFT26" i="20"/>
  <c r="AFU26" i="20"/>
  <c r="AFV26" i="20"/>
  <c r="AFW26" i="20"/>
  <c r="AFX26" i="20"/>
  <c r="AFY26" i="20"/>
  <c r="AFZ26" i="20"/>
  <c r="AGA26" i="20"/>
  <c r="AGB26" i="20"/>
  <c r="AGC26" i="20"/>
  <c r="AGD26" i="20"/>
  <c r="AGE26" i="20"/>
  <c r="AGF26" i="20"/>
  <c r="AGG26" i="20"/>
  <c r="AGH26" i="20"/>
  <c r="AGI26" i="20"/>
  <c r="AGJ26" i="20"/>
  <c r="AGK26" i="20"/>
  <c r="AGL26" i="20"/>
  <c r="AGM26" i="20"/>
  <c r="AGN26" i="20"/>
  <c r="AGO26" i="20"/>
  <c r="AGP26" i="20"/>
  <c r="AGQ26" i="20"/>
  <c r="AGR26" i="20"/>
  <c r="AGS26" i="20"/>
  <c r="AGT26" i="20"/>
  <c r="AGU26" i="20"/>
  <c r="AGV26" i="20"/>
  <c r="AGW26" i="20"/>
  <c r="AGX26" i="20"/>
  <c r="AGY26" i="20"/>
  <c r="AGZ26" i="20"/>
  <c r="AHA26" i="20"/>
  <c r="AHB26" i="20"/>
  <c r="AHC26" i="20"/>
  <c r="AHD26" i="20"/>
  <c r="AHE26" i="20"/>
  <c r="AHF26" i="20"/>
  <c r="AHG26" i="20"/>
  <c r="AHH26" i="20"/>
  <c r="AHI26" i="20"/>
  <c r="AHJ26" i="20"/>
  <c r="AHK26" i="20"/>
  <c r="AHL26" i="20"/>
  <c r="AHM26" i="20"/>
  <c r="AHN26" i="20"/>
  <c r="AHO26" i="20"/>
  <c r="AHP26" i="20"/>
  <c r="AHQ26" i="20"/>
  <c r="AHR26" i="20"/>
  <c r="AHS26" i="20"/>
  <c r="AHT26" i="20"/>
  <c r="AHU26" i="20"/>
  <c r="AHV26" i="20"/>
  <c r="AHW26" i="20"/>
  <c r="AHX26" i="20"/>
  <c r="AHY26" i="20"/>
  <c r="AHZ26" i="20"/>
  <c r="AIA26" i="20"/>
  <c r="AIB26" i="20"/>
  <c r="AIC26" i="20"/>
  <c r="AID26" i="20"/>
  <c r="AIE26" i="20"/>
  <c r="AIF26" i="20"/>
  <c r="AIG26" i="20"/>
  <c r="AIH26" i="20"/>
  <c r="AII26" i="20"/>
  <c r="AIJ26" i="20"/>
  <c r="AIK26" i="20"/>
  <c r="AIL26" i="20"/>
  <c r="AIM26" i="20"/>
  <c r="AIN26" i="20"/>
  <c r="AIO26" i="20"/>
  <c r="AIP26" i="20"/>
  <c r="AIQ26" i="20"/>
  <c r="AIR26" i="20"/>
  <c r="AIS26" i="20"/>
  <c r="AIT26" i="20"/>
  <c r="AIU26" i="20"/>
  <c r="AIV26" i="20"/>
  <c r="AIW26" i="20"/>
  <c r="AIX26" i="20"/>
  <c r="AIY26" i="20"/>
  <c r="AIZ26" i="20"/>
  <c r="AJA26" i="20"/>
  <c r="AJB26" i="20"/>
  <c r="AJC26" i="20"/>
  <c r="AJD26" i="20"/>
  <c r="AJE26" i="20"/>
  <c r="AJF26" i="20"/>
  <c r="AJG26" i="20"/>
  <c r="AJH26" i="20"/>
  <c r="AJI26" i="20"/>
  <c r="AJJ26" i="20"/>
  <c r="AJK26" i="20"/>
  <c r="AJL26" i="20"/>
  <c r="AJM26" i="20"/>
  <c r="AJN26" i="20"/>
  <c r="AJO26" i="20"/>
  <c r="AJP26" i="20"/>
  <c r="AJQ26" i="20"/>
  <c r="AJR26" i="20"/>
  <c r="AJS26" i="20"/>
  <c r="AJT26" i="20"/>
  <c r="AJU26" i="20"/>
  <c r="AJV26" i="20"/>
  <c r="AJW26" i="20"/>
  <c r="AJX26" i="20"/>
  <c r="AJY26" i="20"/>
  <c r="AJZ26" i="20"/>
  <c r="AKA26" i="20"/>
  <c r="AKB26" i="20"/>
  <c r="AKC26" i="20"/>
  <c r="AKD26" i="20"/>
  <c r="AKE26" i="20"/>
  <c r="AKF26" i="20"/>
  <c r="AKG26" i="20"/>
  <c r="AKH26" i="20"/>
  <c r="AKI26" i="20"/>
  <c r="AKJ26" i="20"/>
  <c r="AKK26" i="20"/>
  <c r="AKL26" i="20"/>
  <c r="AKM26" i="20"/>
  <c r="AKN26" i="20"/>
  <c r="AKO26" i="20"/>
  <c r="AKP26" i="20"/>
  <c r="AKQ26" i="20"/>
  <c r="AKR26" i="20"/>
  <c r="AKS26" i="20"/>
  <c r="AKT26" i="20"/>
  <c r="AKU26" i="20"/>
  <c r="AKV26" i="20"/>
  <c r="AKW26" i="20"/>
  <c r="AKX26" i="20"/>
  <c r="AKY26" i="20"/>
  <c r="AKZ26" i="20"/>
  <c r="ALA26" i="20"/>
  <c r="ALB26" i="20"/>
  <c r="ALC26" i="20"/>
  <c r="ALD26" i="20"/>
  <c r="ALE26" i="20"/>
  <c r="ALF26" i="20"/>
  <c r="ALG26" i="20"/>
  <c r="ALH26" i="20"/>
  <c r="ALI26" i="20"/>
  <c r="ALJ26" i="20"/>
  <c r="ALK26" i="20"/>
  <c r="ALL26" i="20"/>
  <c r="ALM26" i="20"/>
  <c r="ALN26" i="20"/>
  <c r="ALO26" i="20"/>
  <c r="ALP26" i="20"/>
  <c r="ALQ26" i="20"/>
  <c r="ALR26" i="20"/>
  <c r="ALS26" i="20"/>
  <c r="ALT26" i="20"/>
  <c r="ALU26" i="20"/>
  <c r="ALV26" i="20"/>
  <c r="ALW26" i="20"/>
  <c r="ALX26" i="20"/>
  <c r="ALY26" i="20"/>
  <c r="ALZ26" i="20"/>
  <c r="AMA26" i="20"/>
  <c r="BNC26" i="20" s="1"/>
  <c r="COE26" i="20" s="1"/>
  <c r="AMB26" i="20"/>
  <c r="AMC26" i="20"/>
  <c r="AMD26" i="20"/>
  <c r="AME26" i="20"/>
  <c r="AMF26" i="20"/>
  <c r="AMG26" i="20"/>
  <c r="AMH26" i="20"/>
  <c r="AMI26" i="20"/>
  <c r="AMJ26" i="20"/>
  <c r="AMK26" i="20"/>
  <c r="AML26" i="20"/>
  <c r="AMM26" i="20"/>
  <c r="AMN26" i="20"/>
  <c r="AMO26" i="20"/>
  <c r="AMP26" i="20"/>
  <c r="AMQ26" i="20"/>
  <c r="AMR26" i="20"/>
  <c r="AMS26" i="20"/>
  <c r="AMT26" i="20"/>
  <c r="AMU26" i="20"/>
  <c r="AMV26" i="20"/>
  <c r="AMW26" i="20"/>
  <c r="AMX26" i="20"/>
  <c r="AMY26" i="20"/>
  <c r="AMZ26" i="20"/>
  <c r="ANA26" i="20"/>
  <c r="ANB26" i="20"/>
  <c r="ANC26" i="20"/>
  <c r="AND26" i="20"/>
  <c r="ANE26" i="20"/>
  <c r="ANF26" i="20"/>
  <c r="ANG26" i="20"/>
  <c r="ANH26" i="20"/>
  <c r="ANI26" i="20"/>
  <c r="ANJ26" i="20"/>
  <c r="ANK26" i="20"/>
  <c r="ANL26" i="20"/>
  <c r="ANM26" i="20"/>
  <c r="ANN26" i="20"/>
  <c r="ANO26" i="20"/>
  <c r="ANP26" i="20"/>
  <c r="ANQ26" i="20"/>
  <c r="ANR26" i="20"/>
  <c r="ANS26" i="20"/>
  <c r="ANT26" i="20"/>
  <c r="ANU26" i="20"/>
  <c r="ANV26" i="20"/>
  <c r="ANW26" i="20"/>
  <c r="ANX26" i="20"/>
  <c r="ANY26" i="20"/>
  <c r="ANZ26" i="20"/>
  <c r="AOA26" i="20"/>
  <c r="AOB26" i="20"/>
  <c r="AOC26" i="20"/>
  <c r="AOD26" i="20"/>
  <c r="AOE26" i="20"/>
  <c r="AOF26" i="20"/>
  <c r="AOG26" i="20"/>
  <c r="AOH26" i="20"/>
  <c r="AOI26" i="20"/>
  <c r="AOJ26" i="20"/>
  <c r="AOK26" i="20"/>
  <c r="AOL26" i="20"/>
  <c r="AOM26" i="20"/>
  <c r="AON26" i="20"/>
  <c r="AOO26" i="20"/>
  <c r="AOP26" i="20"/>
  <c r="AOQ26" i="20"/>
  <c r="AOR26" i="20"/>
  <c r="AOS26" i="20"/>
  <c r="AOT26" i="20"/>
  <c r="AOU26" i="20"/>
  <c r="AOV26" i="20"/>
  <c r="AOW26" i="20"/>
  <c r="AOX26" i="20"/>
  <c r="AOY26" i="20"/>
  <c r="AOZ26" i="20"/>
  <c r="APA26" i="20"/>
  <c r="APB26" i="20"/>
  <c r="APC26" i="20"/>
  <c r="APD26" i="20"/>
  <c r="APE26" i="20"/>
  <c r="APF26" i="20"/>
  <c r="APG26" i="20"/>
  <c r="APH26" i="20"/>
  <c r="API26" i="20"/>
  <c r="APJ26" i="20"/>
  <c r="APK26" i="20"/>
  <c r="APL26" i="20"/>
  <c r="APM26" i="20"/>
  <c r="APN26" i="20"/>
  <c r="APO26" i="20"/>
  <c r="APP26" i="20"/>
  <c r="APQ26" i="20"/>
  <c r="APR26" i="20"/>
  <c r="APS26" i="20"/>
  <c r="APT26" i="20"/>
  <c r="APU26" i="20"/>
  <c r="APV26" i="20"/>
  <c r="APW26" i="20"/>
  <c r="APX26" i="20"/>
  <c r="APY26" i="20"/>
  <c r="APZ26" i="20"/>
  <c r="AQA26" i="20"/>
  <c r="AQB26" i="20"/>
  <c r="AQC26" i="20"/>
  <c r="AQD26" i="20"/>
  <c r="AQE26" i="20"/>
  <c r="AQF26" i="20"/>
  <c r="AQG26" i="20"/>
  <c r="AQH26" i="20"/>
  <c r="AQI26" i="20"/>
  <c r="AQJ26" i="20"/>
  <c r="AQK26" i="20"/>
  <c r="AQL26" i="20"/>
  <c r="AQM26" i="20"/>
  <c r="AQN26" i="20"/>
  <c r="AQO26" i="20"/>
  <c r="AQP26" i="20"/>
  <c r="AQQ26" i="20"/>
  <c r="AQR26" i="20"/>
  <c r="AQS26" i="20"/>
  <c r="AQT26" i="20"/>
  <c r="AQU26" i="20"/>
  <c r="AQV26" i="20"/>
  <c r="AQW26" i="20"/>
  <c r="AQX26" i="20"/>
  <c r="AQY26" i="20"/>
  <c r="AQZ26" i="20"/>
  <c r="ARA26" i="20"/>
  <c r="ARB26" i="20"/>
  <c r="ARC26" i="20"/>
  <c r="ARD26" i="20"/>
  <c r="ARE26" i="20"/>
  <c r="ARF26" i="20"/>
  <c r="ARG26" i="20"/>
  <c r="ARH26" i="20"/>
  <c r="ARI26" i="20"/>
  <c r="ARJ26" i="20"/>
  <c r="ARK26" i="20"/>
  <c r="ARL26" i="20"/>
  <c r="ARM26" i="20"/>
  <c r="ARN26" i="20"/>
  <c r="ARO26" i="20"/>
  <c r="ARP26" i="20"/>
  <c r="ARQ26" i="20"/>
  <c r="ARR26" i="20"/>
  <c r="ARS26" i="20"/>
  <c r="ART26" i="20"/>
  <c r="ARU26" i="20"/>
  <c r="ARV26" i="20"/>
  <c r="ARW26" i="20"/>
  <c r="ARX26" i="20"/>
  <c r="ARY26" i="20"/>
  <c r="ARZ26" i="20"/>
  <c r="ASA26" i="20"/>
  <c r="ASB26" i="20"/>
  <c r="ASC26" i="20"/>
  <c r="ASD26" i="20"/>
  <c r="ASE26" i="20"/>
  <c r="ASF26" i="20"/>
  <c r="ASG26" i="20"/>
  <c r="ASH26" i="20"/>
  <c r="ASI26" i="20"/>
  <c r="ASJ26" i="20"/>
  <c r="ASK26" i="20"/>
  <c r="ASL26" i="20"/>
  <c r="ASM26" i="20"/>
  <c r="ASN26" i="20"/>
  <c r="ASO26" i="20"/>
  <c r="ASP26" i="20"/>
  <c r="ASQ26" i="20"/>
  <c r="ASR26" i="20"/>
  <c r="ASS26" i="20"/>
  <c r="AST26" i="20"/>
  <c r="ASU26" i="20"/>
  <c r="ASV26" i="20"/>
  <c r="ASW26" i="20"/>
  <c r="ASX26" i="20"/>
  <c r="ASY26" i="20"/>
  <c r="ASZ26" i="20"/>
  <c r="ATA26" i="20"/>
  <c r="ATB26" i="20"/>
  <c r="ATC26" i="20"/>
  <c r="ATD26" i="20"/>
  <c r="ATE26" i="20"/>
  <c r="ATF26" i="20"/>
  <c r="ATG26" i="20"/>
  <c r="ATH26" i="20"/>
  <c r="ATI26" i="20"/>
  <c r="ATJ26" i="20"/>
  <c r="ATK26" i="20"/>
  <c r="ATL26" i="20"/>
  <c r="ATM26" i="20"/>
  <c r="ATN26" i="20"/>
  <c r="ATO26" i="20"/>
  <c r="ATP26" i="20"/>
  <c r="ATQ26" i="20"/>
  <c r="ATR26" i="20"/>
  <c r="ATS26" i="20"/>
  <c r="ATT26" i="20"/>
  <c r="ATU26" i="20"/>
  <c r="ATV26" i="20"/>
  <c r="ATW26" i="20"/>
  <c r="ATX26" i="20"/>
  <c r="ATY26" i="20"/>
  <c r="ATZ26" i="20"/>
  <c r="AUA26" i="20"/>
  <c r="AUB26" i="20"/>
  <c r="AUC26" i="20"/>
  <c r="AUD26" i="20"/>
  <c r="AUE26" i="20"/>
  <c r="AUF26" i="20"/>
  <c r="AUG26" i="20"/>
  <c r="AUH26" i="20"/>
  <c r="AUI26" i="20"/>
  <c r="AUJ26" i="20"/>
  <c r="AUK26" i="20"/>
  <c r="AUL26" i="20"/>
  <c r="AUM26" i="20"/>
  <c r="AUN26" i="20"/>
  <c r="AUO26" i="20"/>
  <c r="AUP26" i="20"/>
  <c r="AUQ26" i="20"/>
  <c r="AUR26" i="20"/>
  <c r="AUS26" i="20"/>
  <c r="AUT26" i="20"/>
  <c r="AUU26" i="20"/>
  <c r="AUV26" i="20"/>
  <c r="AUW26" i="20"/>
  <c r="AUX26" i="20"/>
  <c r="AUY26" i="20"/>
  <c r="AUZ26" i="20"/>
  <c r="AVA26" i="20"/>
  <c r="AVB26" i="20"/>
  <c r="AVC26" i="20"/>
  <c r="AVD26" i="20"/>
  <c r="AVE26" i="20"/>
  <c r="AVF26" i="20"/>
  <c r="AVG26" i="20"/>
  <c r="AVH26" i="20"/>
  <c r="AVI26" i="20"/>
  <c r="AVJ26" i="20"/>
  <c r="AVK26" i="20"/>
  <c r="AVL26" i="20"/>
  <c r="AVM26" i="20"/>
  <c r="AVN26" i="20"/>
  <c r="AVO26" i="20"/>
  <c r="AVP26" i="20"/>
  <c r="AVQ26" i="20"/>
  <c r="AVR26" i="20"/>
  <c r="AVS26" i="20"/>
  <c r="AVT26" i="20"/>
  <c r="AVU26" i="20"/>
  <c r="AVV26" i="20"/>
  <c r="AVW26" i="20"/>
  <c r="AVX26" i="20"/>
  <c r="AVY26" i="20"/>
  <c r="AVZ26" i="20"/>
  <c r="AWA26" i="20"/>
  <c r="AWB26" i="20"/>
  <c r="AWC26" i="20"/>
  <c r="AWD26" i="20"/>
  <c r="AWE26" i="20"/>
  <c r="AWF26" i="20"/>
  <c r="AWG26" i="20"/>
  <c r="AWH26" i="20"/>
  <c r="AWI26" i="20"/>
  <c r="AWJ26" i="20"/>
  <c r="AWK26" i="20"/>
  <c r="AWL26" i="20"/>
  <c r="AWM26" i="20"/>
  <c r="AWN26" i="20"/>
  <c r="AWO26" i="20"/>
  <c r="AWP26" i="20"/>
  <c r="AWQ26" i="20"/>
  <c r="AWR26" i="20"/>
  <c r="AWS26" i="20"/>
  <c r="AWT26" i="20"/>
  <c r="AWU26" i="20"/>
  <c r="AWV26" i="20"/>
  <c r="AWW26" i="20"/>
  <c r="AWX26" i="20"/>
  <c r="AWY26" i="20"/>
  <c r="AWZ26" i="20"/>
  <c r="AXA26" i="20"/>
  <c r="AXB26" i="20"/>
  <c r="AXC26" i="20"/>
  <c r="AXD26" i="20"/>
  <c r="AXE26" i="20"/>
  <c r="AXF26" i="20"/>
  <c r="AXG26" i="20"/>
  <c r="AXH26" i="20"/>
  <c r="AXI26" i="20"/>
  <c r="AXJ26" i="20"/>
  <c r="AXK26" i="20"/>
  <c r="AXL26" i="20"/>
  <c r="AXM26" i="20"/>
  <c r="AXN26" i="20"/>
  <c r="AXO26" i="20"/>
  <c r="AXP26" i="20"/>
  <c r="AXQ26" i="20"/>
  <c r="AXR26" i="20"/>
  <c r="AXS26" i="20"/>
  <c r="AXT26" i="20"/>
  <c r="AXU26" i="20"/>
  <c r="AXV26" i="20"/>
  <c r="AXW26" i="20"/>
  <c r="AXX26" i="20"/>
  <c r="AXY26" i="20"/>
  <c r="AXZ26" i="20"/>
  <c r="AYA26" i="20"/>
  <c r="AYB26" i="20"/>
  <c r="AYC26" i="20"/>
  <c r="AYD26" i="20"/>
  <c r="AYE26" i="20"/>
  <c r="AYF26" i="20"/>
  <c r="AYG26" i="20"/>
  <c r="AYH26" i="20"/>
  <c r="AYI26" i="20"/>
  <c r="AYJ26" i="20"/>
  <c r="AYK26" i="20"/>
  <c r="AYL26" i="20"/>
  <c r="AYM26" i="20"/>
  <c r="AYN26" i="20"/>
  <c r="AYO26" i="20"/>
  <c r="AYP26" i="20"/>
  <c r="AYQ26" i="20"/>
  <c r="AYR26" i="20"/>
  <c r="AYS26" i="20"/>
  <c r="AYT26" i="20"/>
  <c r="AYU26" i="20"/>
  <c r="AYV26" i="20"/>
  <c r="AYW26" i="20"/>
  <c r="AYX26" i="20"/>
  <c r="AYY26" i="20"/>
  <c r="AYZ26" i="20"/>
  <c r="AZA26" i="20"/>
  <c r="AZB26" i="20"/>
  <c r="AZC26" i="20"/>
  <c r="AZD26" i="20"/>
  <c r="AZE26" i="20"/>
  <c r="AZF26" i="20"/>
  <c r="AZG26" i="20"/>
  <c r="AZH26" i="20"/>
  <c r="AZI26" i="20"/>
  <c r="AZJ26" i="20"/>
  <c r="AZK26" i="20"/>
  <c r="AZL26" i="20"/>
  <c r="AZM26" i="20"/>
  <c r="AZN26" i="20"/>
  <c r="AZO26" i="20"/>
  <c r="AZP26" i="20"/>
  <c r="AZQ26" i="20"/>
  <c r="AZR26" i="20"/>
  <c r="AZS26" i="20"/>
  <c r="AZT26" i="20"/>
  <c r="AZU26" i="20"/>
  <c r="AZV26" i="20"/>
  <c r="AZW26" i="20"/>
  <c r="AZX26" i="20"/>
  <c r="AZY26" i="20"/>
  <c r="AZZ26" i="20"/>
  <c r="BAA26" i="20"/>
  <c r="BAB26" i="20"/>
  <c r="BAC26" i="20"/>
  <c r="BAD26" i="20"/>
  <c r="BAE26" i="20"/>
  <c r="BAF26" i="20"/>
  <c r="BAG26" i="20"/>
  <c r="BAH26" i="20"/>
  <c r="BAI26" i="20"/>
  <c r="BAJ26" i="20"/>
  <c r="BAK26" i="20"/>
  <c r="BAL26" i="20"/>
  <c r="BAM26" i="20"/>
  <c r="BAN26" i="20"/>
  <c r="BAO26" i="20"/>
  <c r="BAP26" i="20"/>
  <c r="BAQ26" i="20"/>
  <c r="BAR26" i="20"/>
  <c r="BAS26" i="20"/>
  <c r="BAT26" i="20"/>
  <c r="BAU26" i="20"/>
  <c r="BAV26" i="20"/>
  <c r="BAW26" i="20"/>
  <c r="BAX26" i="20"/>
  <c r="BAY26" i="20"/>
  <c r="BAZ26" i="20"/>
  <c r="BBA26" i="20"/>
  <c r="BBB26" i="20"/>
  <c r="BBC26" i="20"/>
  <c r="BBD26" i="20"/>
  <c r="BBE26" i="20"/>
  <c r="BBF26" i="20"/>
  <c r="BBG26" i="20"/>
  <c r="BBH26" i="20"/>
  <c r="BBI26" i="20"/>
  <c r="BBJ26" i="20"/>
  <c r="BBK26" i="20"/>
  <c r="BBL26" i="20"/>
  <c r="BBM26" i="20"/>
  <c r="BBN26" i="20"/>
  <c r="BBO26" i="20"/>
  <c r="BBP26" i="20"/>
  <c r="BBQ26" i="20"/>
  <c r="BBR26" i="20"/>
  <c r="BBS26" i="20"/>
  <c r="BBT26" i="20"/>
  <c r="BBU26" i="20"/>
  <c r="BBV26" i="20"/>
  <c r="BBW26" i="20"/>
  <c r="BBX26" i="20"/>
  <c r="BBY26" i="20"/>
  <c r="BBZ26" i="20"/>
  <c r="BCA26" i="20"/>
  <c r="BCB26" i="20"/>
  <c r="BCC26" i="20"/>
  <c r="BCD26" i="20"/>
  <c r="BCE26" i="20"/>
  <c r="BCF26" i="20"/>
  <c r="BCG26" i="20"/>
  <c r="BCH26" i="20"/>
  <c r="BCI26" i="20"/>
  <c r="BCJ26" i="20"/>
  <c r="BCK26" i="20"/>
  <c r="BCL26" i="20"/>
  <c r="BCM26" i="20"/>
  <c r="BCN26" i="20"/>
  <c r="BCO26" i="20"/>
  <c r="BCP26" i="20"/>
  <c r="BCQ26" i="20"/>
  <c r="BCR26" i="20"/>
  <c r="BCS26" i="20"/>
  <c r="BCT26" i="20"/>
  <c r="BCU26" i="20"/>
  <c r="BCV26" i="20"/>
  <c r="BCW26" i="20"/>
  <c r="BCX26" i="20"/>
  <c r="BCY26" i="20"/>
  <c r="BCZ26" i="20"/>
  <c r="BDA26" i="20"/>
  <c r="BDB26" i="20"/>
  <c r="BDC26" i="20"/>
  <c r="BDD26" i="20"/>
  <c r="BDE26" i="20"/>
  <c r="BDF26" i="20"/>
  <c r="BDG26" i="20"/>
  <c r="BDH26" i="20"/>
  <c r="BDI26" i="20"/>
  <c r="BDJ26" i="20"/>
  <c r="BDK26" i="20"/>
  <c r="BDL26" i="20"/>
  <c r="BDM26" i="20"/>
  <c r="BDN26" i="20"/>
  <c r="BDO26" i="20"/>
  <c r="BDP26" i="20"/>
  <c r="BDQ26" i="20"/>
  <c r="BDR26" i="20"/>
  <c r="BDS26" i="20"/>
  <c r="BDT26" i="20"/>
  <c r="BDU26" i="20"/>
  <c r="BDV26" i="20"/>
  <c r="BDW26" i="20"/>
  <c r="BDX26" i="20"/>
  <c r="BDY26" i="20"/>
  <c r="BDZ26" i="20"/>
  <c r="BEA26" i="20"/>
  <c r="BEB26" i="20"/>
  <c r="BEC26" i="20"/>
  <c r="BED26" i="20"/>
  <c r="BEE26" i="20"/>
  <c r="BEF26" i="20"/>
  <c r="BEG26" i="20"/>
  <c r="BEH26" i="20"/>
  <c r="BEI26" i="20"/>
  <c r="BEJ26" i="20"/>
  <c r="BEK26" i="20"/>
  <c r="BEL26" i="20"/>
  <c r="BEM26" i="20"/>
  <c r="BEN26" i="20"/>
  <c r="BEO26" i="20"/>
  <c r="BEP26" i="20"/>
  <c r="BEQ26" i="20"/>
  <c r="BER26" i="20"/>
  <c r="BES26" i="20"/>
  <c r="BET26" i="20"/>
  <c r="BEU26" i="20"/>
  <c r="BEV26" i="20"/>
  <c r="BEW26" i="20"/>
  <c r="BEX26" i="20"/>
  <c r="BEY26" i="20"/>
  <c r="BEZ26" i="20"/>
  <c r="BFA26" i="20"/>
  <c r="BFB26" i="20"/>
  <c r="BFC26" i="20"/>
  <c r="BFD26" i="20"/>
  <c r="BFE26" i="20"/>
  <c r="BFF26" i="20"/>
  <c r="BFG26" i="20"/>
  <c r="BFH26" i="20"/>
  <c r="BFI26" i="20"/>
  <c r="BFJ26" i="20"/>
  <c r="BFK26" i="20"/>
  <c r="BFL26" i="20"/>
  <c r="BFM26" i="20"/>
  <c r="BFN26" i="20"/>
  <c r="BFO26" i="20"/>
  <c r="BFP26" i="20"/>
  <c r="BFQ26" i="20"/>
  <c r="BFR26" i="20"/>
  <c r="BFS26" i="20"/>
  <c r="BFT26" i="20"/>
  <c r="BFU26" i="20"/>
  <c r="BFV26" i="20"/>
  <c r="BFW26" i="20"/>
  <c r="BFX26" i="20"/>
  <c r="BFY26" i="20"/>
  <c r="BFZ26" i="20"/>
  <c r="BGA26" i="20"/>
  <c r="BGB26" i="20"/>
  <c r="BGC26" i="20"/>
  <c r="BGD26" i="20"/>
  <c r="BGE26" i="20"/>
  <c r="BGF26" i="20"/>
  <c r="BGG26" i="20"/>
  <c r="BGH26" i="20"/>
  <c r="BGI26" i="20"/>
  <c r="BGJ26" i="20"/>
  <c r="BGK26" i="20"/>
  <c r="BGL26" i="20"/>
  <c r="BGM26" i="20"/>
  <c r="BGN26" i="20"/>
  <c r="BGO26" i="20"/>
  <c r="BGP26" i="20"/>
  <c r="BGQ26" i="20"/>
  <c r="BGR26" i="20"/>
  <c r="BGS26" i="20"/>
  <c r="BGT26" i="20"/>
  <c r="BGU26" i="20"/>
  <c r="BGV26" i="20"/>
  <c r="BGW26" i="20"/>
  <c r="BGX26" i="20"/>
  <c r="BGY26" i="20"/>
  <c r="BGZ26" i="20"/>
  <c r="BHA26" i="20"/>
  <c r="BHB26" i="20"/>
  <c r="BHC26" i="20"/>
  <c r="BHD26" i="20"/>
  <c r="BHE26" i="20"/>
  <c r="BHF26" i="20"/>
  <c r="BHG26" i="20"/>
  <c r="BHH26" i="20"/>
  <c r="BHI26" i="20"/>
  <c r="BHJ26" i="20"/>
  <c r="BHK26" i="20"/>
  <c r="BHL26" i="20"/>
  <c r="BHM26" i="20"/>
  <c r="BHN26" i="20"/>
  <c r="BHO26" i="20"/>
  <c r="BHP26" i="20"/>
  <c r="BHQ26" i="20"/>
  <c r="BHR26" i="20"/>
  <c r="BHS26" i="20"/>
  <c r="BHT26" i="20"/>
  <c r="BHU26" i="20"/>
  <c r="BHV26" i="20"/>
  <c r="BHW26" i="20"/>
  <c r="BHX26" i="20"/>
  <c r="BHY26" i="20"/>
  <c r="BHZ26" i="20"/>
  <c r="BIA26" i="20"/>
  <c r="BIB26" i="20"/>
  <c r="BIC26" i="20"/>
  <c r="BID26" i="20"/>
  <c r="BIE26" i="20"/>
  <c r="BIF26" i="20"/>
  <c r="BIG26" i="20"/>
  <c r="BIH26" i="20"/>
  <c r="BII26" i="20"/>
  <c r="BIJ26" i="20"/>
  <c r="BIK26" i="20"/>
  <c r="BIL26" i="20"/>
  <c r="BIM26" i="20"/>
  <c r="BIN26" i="20"/>
  <c r="BIO26" i="20"/>
  <c r="BIP26" i="20"/>
  <c r="BIQ26" i="20"/>
  <c r="BIR26" i="20"/>
  <c r="BIS26" i="20"/>
  <c r="BIT26" i="20"/>
  <c r="BIU26" i="20"/>
  <c r="BIV26" i="20"/>
  <c r="BIW26" i="20"/>
  <c r="BIX26" i="20"/>
  <c r="BIY26" i="20"/>
  <c r="BIZ26" i="20"/>
  <c r="BJA26" i="20"/>
  <c r="BJB26" i="20"/>
  <c r="BJC26" i="20"/>
  <c r="BJD26" i="20"/>
  <c r="BJE26" i="20"/>
  <c r="BJF26" i="20"/>
  <c r="BJG26" i="20"/>
  <c r="BJH26" i="20"/>
  <c r="BJI26" i="20"/>
  <c r="BJJ26" i="20"/>
  <c r="BJK26" i="20"/>
  <c r="BJL26" i="20"/>
  <c r="BJM26" i="20"/>
  <c r="BJN26" i="20"/>
  <c r="BJO26" i="20"/>
  <c r="BJP26" i="20"/>
  <c r="BJQ26" i="20"/>
  <c r="BJR26" i="20"/>
  <c r="BJS26" i="20"/>
  <c r="BJT26" i="20"/>
  <c r="BJU26" i="20"/>
  <c r="BJV26" i="20"/>
  <c r="BJW26" i="20"/>
  <c r="BJX26" i="20"/>
  <c r="BJY26" i="20"/>
  <c r="BJZ26" i="20"/>
  <c r="BKA26" i="20"/>
  <c r="BKB26" i="20"/>
  <c r="BKC26" i="20"/>
  <c r="BKD26" i="20"/>
  <c r="BKE26" i="20"/>
  <c r="BKF26" i="20"/>
  <c r="BKG26" i="20"/>
  <c r="BKH26" i="20"/>
  <c r="BKI26" i="20"/>
  <c r="BKJ26" i="20"/>
  <c r="BKK26" i="20"/>
  <c r="BKL26" i="20"/>
  <c r="BKM26" i="20"/>
  <c r="BKN26" i="20"/>
  <c r="BKO26" i="20"/>
  <c r="BKP26" i="20"/>
  <c r="BKQ26" i="20"/>
  <c r="BKR26" i="20"/>
  <c r="BKS26" i="20"/>
  <c r="BKT26" i="20"/>
  <c r="BKU26" i="20"/>
  <c r="BKV26" i="20"/>
  <c r="BKW26" i="20"/>
  <c r="BKX26" i="20"/>
  <c r="BKY26" i="20"/>
  <c r="BKZ26" i="20"/>
  <c r="BLA26" i="20"/>
  <c r="BLB26" i="20"/>
  <c r="BLC26" i="20"/>
  <c r="BLD26" i="20"/>
  <c r="BLE26" i="20"/>
  <c r="BLF26" i="20"/>
  <c r="BLG26" i="20"/>
  <c r="BLH26" i="20"/>
  <c r="BLI26" i="20"/>
  <c r="BLJ26" i="20"/>
  <c r="BLK26" i="20"/>
  <c r="BLL26" i="20"/>
  <c r="BLM26" i="20"/>
  <c r="BLN26" i="20"/>
  <c r="BLO26" i="20"/>
  <c r="BLP26" i="20"/>
  <c r="BLQ26" i="20"/>
  <c r="BLR26" i="20"/>
  <c r="BLS26" i="20"/>
  <c r="BLT26" i="20"/>
  <c r="BLU26" i="20"/>
  <c r="BLV26" i="20"/>
  <c r="BLW26" i="20"/>
  <c r="BLX26" i="20"/>
  <c r="BLY26" i="20"/>
  <c r="BLZ26" i="20"/>
  <c r="BMA26" i="20"/>
  <c r="BMB26" i="20"/>
  <c r="BMC26" i="20"/>
  <c r="BMD26" i="20"/>
  <c r="BME26" i="20"/>
  <c r="BMF26" i="20"/>
  <c r="BMG26" i="20"/>
  <c r="BMH26" i="20"/>
  <c r="BMI26" i="20"/>
  <c r="BMJ26" i="20"/>
  <c r="BMK26" i="20"/>
  <c r="BML26" i="20"/>
  <c r="BMM26" i="20"/>
  <c r="BMN26" i="20"/>
  <c r="BMO26" i="20"/>
  <c r="BMP26" i="20"/>
  <c r="BMQ26" i="20"/>
  <c r="BMR26" i="20"/>
  <c r="BMS26" i="20"/>
  <c r="BMT26" i="20"/>
  <c r="BMU26" i="20"/>
  <c r="BMV26" i="20"/>
  <c r="BMW26" i="20"/>
  <c r="BMX26" i="20"/>
  <c r="BMY26" i="20"/>
  <c r="BMZ26" i="20"/>
  <c r="BNA26" i="20"/>
  <c r="BNB26" i="20"/>
  <c r="BND26" i="20"/>
  <c r="BNE26" i="20"/>
  <c r="BNF26" i="20"/>
  <c r="BNG26" i="20"/>
  <c r="BNH26" i="20"/>
  <c r="BNI26" i="20"/>
  <c r="BNJ26" i="20"/>
  <c r="BNK26" i="20"/>
  <c r="BNL26" i="20"/>
  <c r="BNM26" i="20"/>
  <c r="BNN26" i="20"/>
  <c r="BNO26" i="20"/>
  <c r="BNP26" i="20"/>
  <c r="BNQ26" i="20"/>
  <c r="BNR26" i="20"/>
  <c r="BNS26" i="20"/>
  <c r="BNT26" i="20"/>
  <c r="BNU26" i="20"/>
  <c r="BNV26" i="20"/>
  <c r="BNW26" i="20"/>
  <c r="BNX26" i="20"/>
  <c r="BNY26" i="20"/>
  <c r="BNZ26" i="20"/>
  <c r="BOA26" i="20"/>
  <c r="BOB26" i="20"/>
  <c r="BOC26" i="20"/>
  <c r="BOD26" i="20"/>
  <c r="BOE26" i="20"/>
  <c r="BOF26" i="20"/>
  <c r="BOG26" i="20"/>
  <c r="BOH26" i="20"/>
  <c r="BOI26" i="20"/>
  <c r="BOJ26" i="20"/>
  <c r="BOK26" i="20"/>
  <c r="BOL26" i="20"/>
  <c r="BOM26" i="20"/>
  <c r="BON26" i="20"/>
  <c r="BOO26" i="20"/>
  <c r="BOP26" i="20"/>
  <c r="BOQ26" i="20"/>
  <c r="BOR26" i="20"/>
  <c r="BOS26" i="20"/>
  <c r="BOT26" i="20"/>
  <c r="BOU26" i="20"/>
  <c r="BOV26" i="20"/>
  <c r="BOW26" i="20"/>
  <c r="BOX26" i="20"/>
  <c r="BOY26" i="20"/>
  <c r="BOZ26" i="20"/>
  <c r="BPA26" i="20"/>
  <c r="BPB26" i="20"/>
  <c r="BPC26" i="20"/>
  <c r="BPD26" i="20"/>
  <c r="BPE26" i="20"/>
  <c r="BPF26" i="20"/>
  <c r="BPG26" i="20"/>
  <c r="BPH26" i="20"/>
  <c r="BPI26" i="20"/>
  <c r="BPJ26" i="20"/>
  <c r="BPK26" i="20"/>
  <c r="BPL26" i="20"/>
  <c r="BPM26" i="20"/>
  <c r="BPN26" i="20"/>
  <c r="BPO26" i="20"/>
  <c r="BPP26" i="20"/>
  <c r="BPQ26" i="20"/>
  <c r="BPR26" i="20"/>
  <c r="BPS26" i="20"/>
  <c r="BPT26" i="20"/>
  <c r="BPU26" i="20"/>
  <c r="BPV26" i="20"/>
  <c r="BPW26" i="20"/>
  <c r="BPX26" i="20"/>
  <c r="BPY26" i="20"/>
  <c r="BPZ26" i="20"/>
  <c r="BQA26" i="20"/>
  <c r="BQB26" i="20"/>
  <c r="BQC26" i="20"/>
  <c r="BQD26" i="20"/>
  <c r="BQE26" i="20"/>
  <c r="BQF26" i="20"/>
  <c r="BQG26" i="20"/>
  <c r="BQH26" i="20"/>
  <c r="BQI26" i="20"/>
  <c r="BQJ26" i="20"/>
  <c r="BQK26" i="20"/>
  <c r="BQL26" i="20"/>
  <c r="BQM26" i="20"/>
  <c r="BQN26" i="20"/>
  <c r="BQO26" i="20"/>
  <c r="BQP26" i="20"/>
  <c r="BQQ26" i="20"/>
  <c r="BQR26" i="20"/>
  <c r="BQS26" i="20"/>
  <c r="BQT26" i="20"/>
  <c r="BQU26" i="20"/>
  <c r="BQV26" i="20"/>
  <c r="BQW26" i="20"/>
  <c r="BQX26" i="20"/>
  <c r="BQY26" i="20"/>
  <c r="BQZ26" i="20"/>
  <c r="BRA26" i="20"/>
  <c r="BRB26" i="20"/>
  <c r="BRC26" i="20"/>
  <c r="BRD26" i="20"/>
  <c r="BRE26" i="20"/>
  <c r="BRF26" i="20"/>
  <c r="BRG26" i="20"/>
  <c r="BRH26" i="20"/>
  <c r="BRI26" i="20"/>
  <c r="BRJ26" i="20"/>
  <c r="BRK26" i="20"/>
  <c r="BRL26" i="20"/>
  <c r="BRM26" i="20"/>
  <c r="BRN26" i="20"/>
  <c r="BRO26" i="20"/>
  <c r="BRP26" i="20"/>
  <c r="BRQ26" i="20"/>
  <c r="BRR26" i="20"/>
  <c r="BRS26" i="20"/>
  <c r="BRT26" i="20"/>
  <c r="BRU26" i="20"/>
  <c r="BRV26" i="20"/>
  <c r="BRW26" i="20"/>
  <c r="BRX26" i="20"/>
  <c r="BRY26" i="20"/>
  <c r="BRZ26" i="20"/>
  <c r="BSA26" i="20"/>
  <c r="BSB26" i="20"/>
  <c r="BSC26" i="20"/>
  <c r="BSD26" i="20"/>
  <c r="BSE26" i="20"/>
  <c r="BSF26" i="20"/>
  <c r="BSG26" i="20"/>
  <c r="BSH26" i="20"/>
  <c r="BSI26" i="20"/>
  <c r="BSJ26" i="20"/>
  <c r="BSK26" i="20"/>
  <c r="BSL26" i="20"/>
  <c r="BSM26" i="20"/>
  <c r="BSN26" i="20"/>
  <c r="BSO26" i="20"/>
  <c r="BSP26" i="20"/>
  <c r="BSQ26" i="20"/>
  <c r="BSR26" i="20"/>
  <c r="BSS26" i="20"/>
  <c r="BST26" i="20"/>
  <c r="BSU26" i="20"/>
  <c r="BSV26" i="20"/>
  <c r="BSW26" i="20"/>
  <c r="BSX26" i="20"/>
  <c r="BSY26" i="20"/>
  <c r="BSZ26" i="20"/>
  <c r="BTA26" i="20"/>
  <c r="BTB26" i="20"/>
  <c r="BTC26" i="20"/>
  <c r="BTD26" i="20"/>
  <c r="BTE26" i="20"/>
  <c r="BTF26" i="20"/>
  <c r="BTG26" i="20"/>
  <c r="BTH26" i="20"/>
  <c r="BTI26" i="20"/>
  <c r="BTJ26" i="20"/>
  <c r="BTK26" i="20"/>
  <c r="BTL26" i="20"/>
  <c r="BTM26" i="20"/>
  <c r="BTN26" i="20"/>
  <c r="BTO26" i="20"/>
  <c r="BTP26" i="20"/>
  <c r="BTQ26" i="20"/>
  <c r="BTR26" i="20"/>
  <c r="BTS26" i="20"/>
  <c r="BTT26" i="20"/>
  <c r="BTU26" i="20"/>
  <c r="BTV26" i="20"/>
  <c r="BTW26" i="20"/>
  <c r="BTX26" i="20"/>
  <c r="BTY26" i="20"/>
  <c r="BTZ26" i="20"/>
  <c r="BUA26" i="20"/>
  <c r="BUB26" i="20"/>
  <c r="BUC26" i="20"/>
  <c r="BUD26" i="20"/>
  <c r="BUE26" i="20"/>
  <c r="BUF26" i="20"/>
  <c r="BUG26" i="20"/>
  <c r="BUH26" i="20"/>
  <c r="BUI26" i="20"/>
  <c r="BUJ26" i="20"/>
  <c r="BUK26" i="20"/>
  <c r="BUL26" i="20"/>
  <c r="BUM26" i="20"/>
  <c r="BUN26" i="20"/>
  <c r="BUO26" i="20"/>
  <c r="BUP26" i="20"/>
  <c r="BUQ26" i="20"/>
  <c r="BUR26" i="20"/>
  <c r="BUS26" i="20"/>
  <c r="BUT26" i="20"/>
  <c r="BUU26" i="20"/>
  <c r="BUV26" i="20"/>
  <c r="BUW26" i="20"/>
  <c r="BUX26" i="20"/>
  <c r="BUY26" i="20"/>
  <c r="BUZ26" i="20"/>
  <c r="BVA26" i="20"/>
  <c r="BVB26" i="20"/>
  <c r="BVC26" i="20"/>
  <c r="BVD26" i="20"/>
  <c r="BVE26" i="20"/>
  <c r="BVF26" i="20"/>
  <c r="BVG26" i="20"/>
  <c r="BVH26" i="20"/>
  <c r="BVI26" i="20"/>
  <c r="BVJ26" i="20"/>
  <c r="BVK26" i="20"/>
  <c r="BVL26" i="20"/>
  <c r="BVM26" i="20"/>
  <c r="BVN26" i="20"/>
  <c r="BVO26" i="20"/>
  <c r="BVP26" i="20"/>
  <c r="BVQ26" i="20"/>
  <c r="BVR26" i="20"/>
  <c r="BVS26" i="20"/>
  <c r="BVT26" i="20"/>
  <c r="BVU26" i="20"/>
  <c r="BVV26" i="20"/>
  <c r="BVW26" i="20"/>
  <c r="BVX26" i="20"/>
  <c r="BVY26" i="20"/>
  <c r="BVZ26" i="20"/>
  <c r="BWA26" i="20"/>
  <c r="BWB26" i="20"/>
  <c r="BWC26" i="20"/>
  <c r="BWD26" i="20"/>
  <c r="BWE26" i="20"/>
  <c r="BWF26" i="20"/>
  <c r="BWG26" i="20"/>
  <c r="BWH26" i="20"/>
  <c r="BWI26" i="20"/>
  <c r="BWJ26" i="20"/>
  <c r="BWK26" i="20"/>
  <c r="BWL26" i="20"/>
  <c r="BWM26" i="20"/>
  <c r="BWN26" i="20"/>
  <c r="BWO26" i="20"/>
  <c r="BWP26" i="20"/>
  <c r="BWQ26" i="20"/>
  <c r="BWR26" i="20"/>
  <c r="BWS26" i="20"/>
  <c r="BWT26" i="20"/>
  <c r="BWU26" i="20"/>
  <c r="BWV26" i="20"/>
  <c r="BWW26" i="20"/>
  <c r="BWX26" i="20"/>
  <c r="BWY26" i="20"/>
  <c r="BWZ26" i="20"/>
  <c r="BXA26" i="20"/>
  <c r="BXB26" i="20"/>
  <c r="BXC26" i="20"/>
  <c r="BXD26" i="20"/>
  <c r="BXE26" i="20"/>
  <c r="BXF26" i="20"/>
  <c r="BXG26" i="20"/>
  <c r="BXH26" i="20"/>
  <c r="BXI26" i="20"/>
  <c r="BXJ26" i="20"/>
  <c r="BXK26" i="20"/>
  <c r="BXL26" i="20"/>
  <c r="BXM26" i="20"/>
  <c r="BXN26" i="20"/>
  <c r="BXO26" i="20"/>
  <c r="BXP26" i="20"/>
  <c r="BXQ26" i="20"/>
  <c r="BXR26" i="20"/>
  <c r="BXS26" i="20"/>
  <c r="BXT26" i="20"/>
  <c r="BXU26" i="20"/>
  <c r="BXV26" i="20"/>
  <c r="BXW26" i="20"/>
  <c r="BXX26" i="20"/>
  <c r="BXY26" i="20"/>
  <c r="BXZ26" i="20"/>
  <c r="BYA26" i="20"/>
  <c r="BYB26" i="20"/>
  <c r="BYC26" i="20"/>
  <c r="BYD26" i="20"/>
  <c r="BYE26" i="20"/>
  <c r="BYF26" i="20"/>
  <c r="BYG26" i="20"/>
  <c r="BYH26" i="20"/>
  <c r="BYI26" i="20"/>
  <c r="BYJ26" i="20"/>
  <c r="BYK26" i="20"/>
  <c r="BYL26" i="20"/>
  <c r="BYM26" i="20"/>
  <c r="BYN26" i="20"/>
  <c r="BYO26" i="20"/>
  <c r="BYP26" i="20"/>
  <c r="BYQ26" i="20"/>
  <c r="BYR26" i="20"/>
  <c r="BYS26" i="20"/>
  <c r="BYT26" i="20"/>
  <c r="BYU26" i="20"/>
  <c r="BYV26" i="20"/>
  <c r="BYW26" i="20"/>
  <c r="BYX26" i="20"/>
  <c r="BYY26" i="20"/>
  <c r="BYZ26" i="20"/>
  <c r="BZA26" i="20"/>
  <c r="BZB26" i="20"/>
  <c r="BZC26" i="20"/>
  <c r="BZD26" i="20"/>
  <c r="BZE26" i="20"/>
  <c r="BZF26" i="20"/>
  <c r="BZG26" i="20"/>
  <c r="BZH26" i="20"/>
  <c r="BZI26" i="20"/>
  <c r="BZJ26" i="20"/>
  <c r="BZK26" i="20"/>
  <c r="BZL26" i="20"/>
  <c r="BZM26" i="20"/>
  <c r="BZN26" i="20"/>
  <c r="BZO26" i="20"/>
  <c r="BZP26" i="20"/>
  <c r="BZQ26" i="20"/>
  <c r="BZR26" i="20"/>
  <c r="BZS26" i="20"/>
  <c r="BZT26" i="20"/>
  <c r="BZU26" i="20"/>
  <c r="BZV26" i="20"/>
  <c r="BZW26" i="20"/>
  <c r="BZX26" i="20"/>
  <c r="BZY26" i="20"/>
  <c r="BZZ26" i="20"/>
  <c r="CAA26" i="20"/>
  <c r="CAB26" i="20"/>
  <c r="CAC26" i="20"/>
  <c r="CAD26" i="20"/>
  <c r="CAE26" i="20"/>
  <c r="CAF26" i="20"/>
  <c r="CAG26" i="20"/>
  <c r="CAH26" i="20"/>
  <c r="CAI26" i="20"/>
  <c r="CAJ26" i="20"/>
  <c r="CAK26" i="20"/>
  <c r="CAL26" i="20"/>
  <c r="CAM26" i="20"/>
  <c r="CAN26" i="20"/>
  <c r="CAO26" i="20"/>
  <c r="CAP26" i="20"/>
  <c r="CAQ26" i="20"/>
  <c r="CAR26" i="20"/>
  <c r="CAS26" i="20"/>
  <c r="CAT26" i="20"/>
  <c r="CAU26" i="20"/>
  <c r="CAV26" i="20"/>
  <c r="CAW26" i="20"/>
  <c r="CAX26" i="20"/>
  <c r="CAY26" i="20"/>
  <c r="CAZ26" i="20"/>
  <c r="CBA26" i="20"/>
  <c r="CBB26" i="20"/>
  <c r="CBC26" i="20"/>
  <c r="CBD26" i="20"/>
  <c r="CBE26" i="20"/>
  <c r="CBF26" i="20"/>
  <c r="CBG26" i="20"/>
  <c r="CBH26" i="20"/>
  <c r="CBI26" i="20"/>
  <c r="CBJ26" i="20"/>
  <c r="CBK26" i="20"/>
  <c r="CBL26" i="20"/>
  <c r="CBM26" i="20"/>
  <c r="CBN26" i="20"/>
  <c r="CBO26" i="20"/>
  <c r="CBP26" i="20"/>
  <c r="CBQ26" i="20"/>
  <c r="CBR26" i="20"/>
  <c r="CBS26" i="20"/>
  <c r="CBT26" i="20"/>
  <c r="CBU26" i="20"/>
  <c r="CBV26" i="20"/>
  <c r="CBW26" i="20"/>
  <c r="CBX26" i="20"/>
  <c r="CBY26" i="20"/>
  <c r="CBZ26" i="20"/>
  <c r="CCA26" i="20"/>
  <c r="CCB26" i="20"/>
  <c r="CCC26" i="20"/>
  <c r="CCD26" i="20"/>
  <c r="CCE26" i="20"/>
  <c r="CCF26" i="20"/>
  <c r="CCG26" i="20"/>
  <c r="CCH26" i="20"/>
  <c r="CCI26" i="20"/>
  <c r="CCJ26" i="20"/>
  <c r="CCK26" i="20"/>
  <c r="CCL26" i="20"/>
  <c r="CCM26" i="20"/>
  <c r="CCN26" i="20"/>
  <c r="CCO26" i="20"/>
  <c r="CCP26" i="20"/>
  <c r="CCQ26" i="20"/>
  <c r="CCR26" i="20"/>
  <c r="CCS26" i="20"/>
  <c r="CCT26" i="20"/>
  <c r="CCU26" i="20"/>
  <c r="CCV26" i="20"/>
  <c r="CCW26" i="20"/>
  <c r="CCX26" i="20"/>
  <c r="CCY26" i="20"/>
  <c r="CCZ26" i="20"/>
  <c r="CDA26" i="20"/>
  <c r="CDB26" i="20"/>
  <c r="CDC26" i="20"/>
  <c r="CDD26" i="20"/>
  <c r="CDE26" i="20"/>
  <c r="CDF26" i="20"/>
  <c r="CDG26" i="20"/>
  <c r="CDH26" i="20"/>
  <c r="CDI26" i="20"/>
  <c r="CDJ26" i="20"/>
  <c r="CDK26" i="20"/>
  <c r="CDL26" i="20"/>
  <c r="CDM26" i="20"/>
  <c r="CDN26" i="20"/>
  <c r="CDO26" i="20"/>
  <c r="CDP26" i="20"/>
  <c r="CDQ26" i="20"/>
  <c r="CDR26" i="20"/>
  <c r="CDS26" i="20"/>
  <c r="CDT26" i="20"/>
  <c r="CDU26" i="20"/>
  <c r="CDV26" i="20"/>
  <c r="CDW26" i="20"/>
  <c r="CDX26" i="20"/>
  <c r="CDY26" i="20"/>
  <c r="CDZ26" i="20"/>
  <c r="CEA26" i="20"/>
  <c r="CEB26" i="20"/>
  <c r="CEC26" i="20"/>
  <c r="CED26" i="20"/>
  <c r="CEE26" i="20"/>
  <c r="CEF26" i="20"/>
  <c r="CEG26" i="20"/>
  <c r="CEH26" i="20"/>
  <c r="CEI26" i="20"/>
  <c r="CEJ26" i="20"/>
  <c r="CEK26" i="20"/>
  <c r="CEL26" i="20"/>
  <c r="CEM26" i="20"/>
  <c r="CEN26" i="20"/>
  <c r="CEO26" i="20"/>
  <c r="CEP26" i="20"/>
  <c r="CEQ26" i="20"/>
  <c r="CER26" i="20"/>
  <c r="CES26" i="20"/>
  <c r="CET26" i="20"/>
  <c r="CEU26" i="20"/>
  <c r="CEV26" i="20"/>
  <c r="CEW26" i="20"/>
  <c r="CEX26" i="20"/>
  <c r="CEY26" i="20"/>
  <c r="CEZ26" i="20"/>
  <c r="CFA26" i="20"/>
  <c r="CFB26" i="20"/>
  <c r="CFC26" i="20"/>
  <c r="CFD26" i="20"/>
  <c r="CFE26" i="20"/>
  <c r="CFF26" i="20"/>
  <c r="CFG26" i="20"/>
  <c r="CFH26" i="20"/>
  <c r="CFI26" i="20"/>
  <c r="CFJ26" i="20"/>
  <c r="CFK26" i="20"/>
  <c r="CFL26" i="20"/>
  <c r="CFM26" i="20"/>
  <c r="CFN26" i="20"/>
  <c r="CFO26" i="20"/>
  <c r="CFP26" i="20"/>
  <c r="CFQ26" i="20"/>
  <c r="CFR26" i="20"/>
  <c r="CFS26" i="20"/>
  <c r="CFT26" i="20"/>
  <c r="CFU26" i="20"/>
  <c r="CFV26" i="20"/>
  <c r="CFW26" i="20"/>
  <c r="CFX26" i="20"/>
  <c r="CFY26" i="20"/>
  <c r="CFZ26" i="20"/>
  <c r="CGA26" i="20"/>
  <c r="CGB26" i="20"/>
  <c r="CGC26" i="20"/>
  <c r="CGD26" i="20"/>
  <c r="CGE26" i="20"/>
  <c r="CGF26" i="20"/>
  <c r="CGG26" i="20"/>
  <c r="CGH26" i="20"/>
  <c r="CGI26" i="20"/>
  <c r="CGJ26" i="20"/>
  <c r="CGK26" i="20"/>
  <c r="CGL26" i="20"/>
  <c r="CGM26" i="20"/>
  <c r="CGN26" i="20"/>
  <c r="CGO26" i="20"/>
  <c r="CGP26" i="20"/>
  <c r="CGQ26" i="20"/>
  <c r="CGR26" i="20"/>
  <c r="CGS26" i="20"/>
  <c r="CGT26" i="20"/>
  <c r="CGU26" i="20"/>
  <c r="CGV26" i="20"/>
  <c r="CGW26" i="20"/>
  <c r="CGX26" i="20"/>
  <c r="CGY26" i="20"/>
  <c r="CGZ26" i="20"/>
  <c r="CHA26" i="20"/>
  <c r="CHB26" i="20"/>
  <c r="CHC26" i="20"/>
  <c r="CHD26" i="20"/>
  <c r="CHE26" i="20"/>
  <c r="CHF26" i="20"/>
  <c r="CHG26" i="20"/>
  <c r="CHH26" i="20"/>
  <c r="CHI26" i="20"/>
  <c r="CHJ26" i="20"/>
  <c r="CHK26" i="20"/>
  <c r="CHL26" i="20"/>
  <c r="CHM26" i="20"/>
  <c r="CHN26" i="20"/>
  <c r="CHO26" i="20"/>
  <c r="CHP26" i="20"/>
  <c r="CHQ26" i="20"/>
  <c r="CHR26" i="20"/>
  <c r="CHS26" i="20"/>
  <c r="CHT26" i="20"/>
  <c r="CHU26" i="20"/>
  <c r="CHV26" i="20"/>
  <c r="CHW26" i="20"/>
  <c r="CHX26" i="20"/>
  <c r="CHY26" i="20"/>
  <c r="CHZ26" i="20"/>
  <c r="CIA26" i="20"/>
  <c r="CIB26" i="20"/>
  <c r="CIC26" i="20"/>
  <c r="CID26" i="20"/>
  <c r="CIE26" i="20"/>
  <c r="CIF26" i="20"/>
  <c r="CIG26" i="20"/>
  <c r="CIH26" i="20"/>
  <c r="CII26" i="20"/>
  <c r="CIJ26" i="20"/>
  <c r="CIK26" i="20"/>
  <c r="CIL26" i="20"/>
  <c r="CIM26" i="20"/>
  <c r="CIN26" i="20"/>
  <c r="CIO26" i="20"/>
  <c r="CIP26" i="20"/>
  <c r="CIQ26" i="20"/>
  <c r="CIR26" i="20"/>
  <c r="CIS26" i="20"/>
  <c r="CIT26" i="20"/>
  <c r="CIU26" i="20"/>
  <c r="CIV26" i="20"/>
  <c r="CIW26" i="20"/>
  <c r="CIX26" i="20"/>
  <c r="CIY26" i="20"/>
  <c r="CIZ26" i="20"/>
  <c r="CJA26" i="20"/>
  <c r="CJB26" i="20"/>
  <c r="CJC26" i="20"/>
  <c r="CJD26" i="20"/>
  <c r="CJE26" i="20"/>
  <c r="CJF26" i="20"/>
  <c r="CJG26" i="20"/>
  <c r="CJH26" i="20"/>
  <c r="CJI26" i="20"/>
  <c r="CJJ26" i="20"/>
  <c r="CJK26" i="20"/>
  <c r="CJL26" i="20"/>
  <c r="CJM26" i="20"/>
  <c r="CJN26" i="20"/>
  <c r="CJO26" i="20"/>
  <c r="CJP26" i="20"/>
  <c r="CJQ26" i="20"/>
  <c r="CJR26" i="20"/>
  <c r="CJS26" i="20"/>
  <c r="CJT26" i="20"/>
  <c r="CJU26" i="20"/>
  <c r="CJV26" i="20"/>
  <c r="CJW26" i="20"/>
  <c r="CJX26" i="20"/>
  <c r="CJY26" i="20"/>
  <c r="CJZ26" i="20"/>
  <c r="CKA26" i="20"/>
  <c r="CKB26" i="20"/>
  <c r="CKC26" i="20"/>
  <c r="CKD26" i="20"/>
  <c r="CKE26" i="20"/>
  <c r="CKF26" i="20"/>
  <c r="CKG26" i="20"/>
  <c r="CKH26" i="20"/>
  <c r="CKI26" i="20"/>
  <c r="CKJ26" i="20"/>
  <c r="CKK26" i="20"/>
  <c r="CKL26" i="20"/>
  <c r="CKM26" i="20"/>
  <c r="CKN26" i="20"/>
  <c r="CKO26" i="20"/>
  <c r="CKP26" i="20"/>
  <c r="CKQ26" i="20"/>
  <c r="CKR26" i="20"/>
  <c r="CKS26" i="20"/>
  <c r="CKT26" i="20"/>
  <c r="CKU26" i="20"/>
  <c r="CKV26" i="20"/>
  <c r="CKW26" i="20"/>
  <c r="CKX26" i="20"/>
  <c r="CKY26" i="20"/>
  <c r="CKZ26" i="20"/>
  <c r="CLA26" i="20"/>
  <c r="CLB26" i="20"/>
  <c r="CLC26" i="20"/>
  <c r="CLD26" i="20"/>
  <c r="CLE26" i="20"/>
  <c r="CLF26" i="20"/>
  <c r="CLG26" i="20"/>
  <c r="CLH26" i="20"/>
  <c r="CLI26" i="20"/>
  <c r="CLJ26" i="20"/>
  <c r="CLK26" i="20"/>
  <c r="CLL26" i="20"/>
  <c r="CLM26" i="20"/>
  <c r="CLN26" i="20"/>
  <c r="CLO26" i="20"/>
  <c r="CLP26" i="20"/>
  <c r="CLQ26" i="20"/>
  <c r="CLR26" i="20"/>
  <c r="CLS26" i="20"/>
  <c r="CLT26" i="20"/>
  <c r="CLU26" i="20"/>
  <c r="CLV26" i="20"/>
  <c r="CLW26" i="20"/>
  <c r="CLX26" i="20"/>
  <c r="CLY26" i="20"/>
  <c r="CLZ26" i="20"/>
  <c r="CMA26" i="20"/>
  <c r="CMB26" i="20"/>
  <c r="CMC26" i="20"/>
  <c r="CMD26" i="20"/>
  <c r="CME26" i="20"/>
  <c r="CMF26" i="20"/>
  <c r="CMG26" i="20"/>
  <c r="CMH26" i="20"/>
  <c r="CMI26" i="20"/>
  <c r="CMJ26" i="20"/>
  <c r="CMK26" i="20"/>
  <c r="CML26" i="20"/>
  <c r="CMM26" i="20"/>
  <c r="CMN26" i="20"/>
  <c r="CMO26" i="20"/>
  <c r="CMP26" i="20"/>
  <c r="CMQ26" i="20"/>
  <c r="CMR26" i="20"/>
  <c r="CMS26" i="20"/>
  <c r="CMT26" i="20"/>
  <c r="CMU26" i="20"/>
  <c r="CMV26" i="20"/>
  <c r="CMW26" i="20"/>
  <c r="CMX26" i="20"/>
  <c r="CMY26" i="20"/>
  <c r="CMZ26" i="20"/>
  <c r="CNA26" i="20"/>
  <c r="CNB26" i="20"/>
  <c r="CNC26" i="20"/>
  <c r="CND26" i="20"/>
  <c r="CNE26" i="20"/>
  <c r="CNF26" i="20"/>
  <c r="CNG26" i="20"/>
  <c r="CNH26" i="20"/>
  <c r="CNI26" i="20"/>
  <c r="CNJ26" i="20"/>
  <c r="CNK26" i="20"/>
  <c r="CNL26" i="20"/>
  <c r="CNM26" i="20"/>
  <c r="CNN26" i="20"/>
  <c r="CNO26" i="20"/>
  <c r="CNP26" i="20"/>
  <c r="CNQ26" i="20"/>
  <c r="CNR26" i="20"/>
  <c r="CNS26" i="20"/>
  <c r="CNT26" i="20"/>
  <c r="CNU26" i="20"/>
  <c r="CNV26" i="20"/>
  <c r="CNW26" i="20"/>
  <c r="CNX26" i="20"/>
  <c r="CNY26" i="20"/>
  <c r="CNZ26" i="20"/>
  <c r="COA26" i="20"/>
  <c r="COB26" i="20"/>
  <c r="COC26" i="20"/>
  <c r="COD26" i="20"/>
  <c r="COF26" i="20"/>
  <c r="COG26" i="20"/>
  <c r="COH26" i="20"/>
  <c r="COI26" i="20"/>
  <c r="COJ26" i="20"/>
  <c r="COK26" i="20"/>
  <c r="COL26" i="20"/>
  <c r="COM26" i="20"/>
  <c r="CON26" i="20"/>
  <c r="COO26" i="20"/>
  <c r="COP26" i="20"/>
  <c r="COQ26" i="20"/>
  <c r="COR26" i="20"/>
  <c r="COS26" i="20"/>
  <c r="COT26" i="20"/>
  <c r="COU26" i="20"/>
  <c r="COV26" i="20"/>
  <c r="COW26" i="20"/>
  <c r="COX26" i="20"/>
  <c r="COY26" i="20"/>
  <c r="COZ26" i="20"/>
  <c r="CPA26" i="20"/>
  <c r="CPB26" i="20"/>
  <c r="CPC26" i="20"/>
  <c r="CPD26" i="20"/>
  <c r="CPE26" i="20"/>
  <c r="CPF26" i="20"/>
  <c r="CPG26" i="20"/>
  <c r="CPH26" i="20"/>
  <c r="CPI26" i="20"/>
  <c r="CPJ26" i="20"/>
  <c r="CPK26" i="20"/>
  <c r="CPL26" i="20"/>
  <c r="CPM26" i="20"/>
  <c r="CPN26" i="20"/>
  <c r="CPO26" i="20"/>
  <c r="CPP26" i="20"/>
  <c r="CPQ26" i="20"/>
  <c r="CPR26" i="20"/>
  <c r="CPS26" i="20"/>
  <c r="CPT26" i="20"/>
  <c r="CPU26" i="20"/>
  <c r="CPV26" i="20"/>
  <c r="CPW26" i="20"/>
  <c r="CPX26" i="20"/>
  <c r="CPY26" i="20"/>
  <c r="CPZ26" i="20"/>
  <c r="CQA26" i="20"/>
  <c r="CQB26" i="20"/>
  <c r="CQC26" i="20"/>
  <c r="CQD26" i="20"/>
  <c r="CQE26" i="20"/>
  <c r="CQF26" i="20"/>
  <c r="CQG26" i="20"/>
  <c r="CQH26" i="20"/>
  <c r="CQI26" i="20"/>
  <c r="CQJ26" i="20"/>
  <c r="CQK26" i="20"/>
  <c r="CQL26" i="20"/>
  <c r="CQM26" i="20"/>
  <c r="CQN26" i="20"/>
  <c r="CQO26" i="20"/>
  <c r="CQP26" i="20"/>
  <c r="CQQ26" i="20"/>
  <c r="CQR26" i="20"/>
  <c r="CQS26" i="20"/>
  <c r="CQT26" i="20"/>
  <c r="CQU26" i="20"/>
  <c r="CQV26" i="20"/>
  <c r="CQW26" i="20"/>
  <c r="CQX26" i="20"/>
  <c r="CQY26" i="20"/>
  <c r="CQZ26" i="20"/>
  <c r="CRA26" i="20"/>
  <c r="CRB26" i="20"/>
  <c r="CRC26" i="20"/>
  <c r="CRD26" i="20"/>
  <c r="CRE26" i="20"/>
  <c r="CRF26" i="20"/>
  <c r="CRG26" i="20"/>
  <c r="CRH26" i="20"/>
  <c r="CRI26" i="20"/>
  <c r="CRJ26" i="20"/>
  <c r="CRK26" i="20"/>
  <c r="CRL26" i="20"/>
  <c r="CRM26" i="20"/>
  <c r="CRN26" i="20"/>
  <c r="CRO26" i="20"/>
  <c r="CRP26" i="20"/>
  <c r="CRQ26" i="20"/>
  <c r="CRR26" i="20"/>
  <c r="CRS26" i="20"/>
  <c r="CRT26" i="20"/>
  <c r="CRU26" i="20"/>
  <c r="CRV26" i="20"/>
  <c r="CRW26" i="20"/>
  <c r="CRX26" i="20"/>
  <c r="CRY26" i="20"/>
  <c r="CRZ26" i="20"/>
  <c r="CSA26" i="20"/>
  <c r="CSB26" i="20"/>
  <c r="CSC26" i="20"/>
  <c r="CSD26" i="20"/>
  <c r="CSE26" i="20"/>
  <c r="CSF26" i="20"/>
  <c r="CSG26" i="20"/>
  <c r="CSH26" i="20"/>
  <c r="CSI26" i="20"/>
  <c r="CSJ26" i="20"/>
  <c r="CSK26" i="20"/>
  <c r="CSL26" i="20"/>
  <c r="CSM26" i="20"/>
  <c r="CSN26" i="20"/>
  <c r="CSO26" i="20"/>
  <c r="CSP26" i="20"/>
  <c r="CSQ26" i="20"/>
  <c r="CSR26" i="20"/>
  <c r="CSS26" i="20"/>
  <c r="CST26" i="20"/>
  <c r="CSU26" i="20"/>
  <c r="CSV26" i="20"/>
  <c r="CSW26" i="20"/>
  <c r="CSX26" i="20"/>
  <c r="CSY26" i="20"/>
  <c r="CSZ26" i="20"/>
  <c r="CTA26" i="20"/>
  <c r="CTB26" i="20"/>
  <c r="CTC26" i="20"/>
  <c r="CTD26" i="20"/>
  <c r="CTE26" i="20"/>
  <c r="CTF26" i="20"/>
  <c r="CTG26" i="20"/>
  <c r="CTH26" i="20"/>
  <c r="CTI26" i="20"/>
  <c r="CTJ26" i="20"/>
  <c r="CTK26" i="20"/>
  <c r="CTL26" i="20"/>
  <c r="CTM26" i="20"/>
  <c r="CTN26" i="20"/>
  <c r="CTO26" i="20"/>
  <c r="CTP26" i="20"/>
  <c r="CTQ26" i="20"/>
  <c r="CTR26" i="20"/>
  <c r="CTS26" i="20"/>
  <c r="CTT26" i="20"/>
  <c r="CTU26" i="20"/>
  <c r="CTV26" i="20"/>
  <c r="CTW26" i="20"/>
  <c r="CTX26" i="20"/>
  <c r="CTY26" i="20"/>
  <c r="CTZ26" i="20"/>
  <c r="CUA26" i="20"/>
  <c r="CUB26" i="20"/>
  <c r="CUC26" i="20"/>
  <c r="CUD26" i="20"/>
  <c r="CUE26" i="20"/>
  <c r="CUF26" i="20"/>
  <c r="CUG26" i="20"/>
  <c r="CUH26" i="20"/>
  <c r="CUI26" i="20"/>
  <c r="CUJ26" i="20"/>
  <c r="CUK26" i="20"/>
  <c r="CUL26" i="20"/>
  <c r="CUM26" i="20"/>
  <c r="CUN26" i="20"/>
  <c r="CUO26" i="20"/>
  <c r="CUP26" i="20"/>
  <c r="CUQ26" i="20"/>
  <c r="CUR26" i="20"/>
  <c r="CUS26" i="20"/>
  <c r="CUT26" i="20"/>
  <c r="CUU26" i="20"/>
  <c r="CUV26" i="20"/>
  <c r="CUW26" i="20"/>
  <c r="CUX26" i="20"/>
  <c r="CUY26" i="20"/>
  <c r="CUZ26" i="20"/>
  <c r="CVA26" i="20"/>
  <c r="CVB26" i="20"/>
  <c r="CVC26" i="20"/>
  <c r="CVD26" i="20"/>
  <c r="CVE26" i="20"/>
  <c r="CVF26" i="20"/>
  <c r="CVG26" i="20"/>
  <c r="CVH26" i="20"/>
  <c r="CVI26" i="20"/>
  <c r="CVJ26" i="20"/>
  <c r="CVK26" i="20"/>
  <c r="CVL26" i="20"/>
  <c r="CVM26" i="20"/>
  <c r="CVN26" i="20"/>
  <c r="CVO26" i="20"/>
  <c r="CVP26" i="20"/>
  <c r="CVQ26" i="20"/>
  <c r="CVR26" i="20"/>
  <c r="CVS26" i="20"/>
  <c r="CVT26" i="20"/>
  <c r="CVU26" i="20"/>
  <c r="CVV26" i="20"/>
  <c r="CVW26" i="20"/>
  <c r="CVX26" i="20"/>
  <c r="CVY26" i="20"/>
  <c r="CVZ26" i="20"/>
  <c r="CWA26" i="20"/>
  <c r="CWB26" i="20"/>
  <c r="CWC26" i="20"/>
  <c r="CWD26" i="20"/>
  <c r="CWE26" i="20"/>
  <c r="CWF26" i="20"/>
  <c r="CWG26" i="20"/>
  <c r="CWH26" i="20"/>
  <c r="CWI26" i="20"/>
  <c r="CWJ26" i="20"/>
  <c r="CWK26" i="20"/>
  <c r="CWL26" i="20"/>
  <c r="CWM26" i="20"/>
  <c r="CWN26" i="20"/>
  <c r="CWO26" i="20"/>
  <c r="CWP26" i="20"/>
  <c r="CWQ26" i="20"/>
  <c r="CWR26" i="20"/>
  <c r="CWS26" i="20"/>
  <c r="CWT26" i="20"/>
  <c r="CWU26" i="20"/>
  <c r="CWV26" i="20"/>
  <c r="CWW26" i="20"/>
  <c r="CWX26" i="20"/>
  <c r="CWY26" i="20"/>
  <c r="CWZ26" i="20"/>
  <c r="CXA26" i="20"/>
  <c r="CXB26" i="20"/>
  <c r="CXC26" i="20"/>
  <c r="CXD26" i="20"/>
  <c r="CXE26" i="20"/>
  <c r="CXF26" i="20"/>
  <c r="CXG26" i="20"/>
  <c r="CXH26" i="20"/>
  <c r="CXI26" i="20"/>
  <c r="CXJ26" i="20"/>
  <c r="CXK26" i="20"/>
  <c r="CXL26" i="20"/>
  <c r="CXM26" i="20"/>
  <c r="CXN26" i="20"/>
  <c r="CXO26" i="20"/>
  <c r="CXP26" i="20"/>
  <c r="CXQ26" i="20"/>
  <c r="CXR26" i="20"/>
  <c r="CXS26" i="20"/>
  <c r="CXT26" i="20"/>
  <c r="CXU26" i="20"/>
  <c r="CXV26" i="20"/>
  <c r="CXW26" i="20"/>
  <c r="CXX26" i="20"/>
  <c r="CXY26" i="20"/>
  <c r="CXZ26" i="20"/>
  <c r="CYA26" i="20"/>
  <c r="CYB26" i="20"/>
  <c r="CYC26" i="20"/>
  <c r="CYD26" i="20"/>
  <c r="CYE26" i="20"/>
  <c r="CYF26" i="20"/>
  <c r="CYG26" i="20"/>
  <c r="CYH26" i="20"/>
  <c r="CYI26" i="20"/>
  <c r="CYJ26" i="20"/>
  <c r="CYK26" i="20"/>
  <c r="CYL26" i="20"/>
  <c r="CYM26" i="20"/>
  <c r="CYN26" i="20"/>
  <c r="CYO26" i="20"/>
  <c r="CYP26" i="20"/>
  <c r="CYQ26" i="20"/>
  <c r="CYR26" i="20"/>
  <c r="CYS26" i="20"/>
  <c r="CYT26" i="20"/>
  <c r="CYU26" i="20"/>
  <c r="CYV26" i="20"/>
  <c r="CYW26" i="20"/>
  <c r="CYX26" i="20"/>
  <c r="CYY26" i="20"/>
  <c r="CYZ26" i="20"/>
  <c r="CZA26" i="20"/>
  <c r="CZB26" i="20"/>
  <c r="CZC26" i="20"/>
  <c r="CZD26" i="20"/>
  <c r="CZE26" i="20"/>
  <c r="CZF26" i="20"/>
  <c r="CZG26" i="20"/>
  <c r="CZH26" i="20"/>
  <c r="CZI26" i="20"/>
  <c r="CZJ26" i="20"/>
  <c r="CZK26" i="20"/>
  <c r="CZL26" i="20"/>
  <c r="CZM26" i="20"/>
  <c r="CZN26" i="20"/>
  <c r="CZO26" i="20"/>
  <c r="CZP26" i="20"/>
  <c r="CZQ26" i="20"/>
  <c r="CZR26" i="20"/>
  <c r="CZS26" i="20"/>
  <c r="CZT26" i="20"/>
  <c r="CZU26" i="20"/>
  <c r="CZV26" i="20"/>
  <c r="CZW26" i="20"/>
  <c r="CZX26" i="20"/>
  <c r="CZY26" i="20"/>
  <c r="CZZ26" i="20"/>
  <c r="DAA26" i="20"/>
  <c r="DAB26" i="20"/>
  <c r="DAC26" i="20"/>
  <c r="DAD26" i="20"/>
  <c r="DAE26" i="20"/>
  <c r="DAF26" i="20"/>
  <c r="DAG26" i="20"/>
  <c r="DAH26" i="20"/>
  <c r="DAI26" i="20"/>
  <c r="DAJ26" i="20"/>
  <c r="DAK26" i="20"/>
  <c r="DAL26" i="20"/>
  <c r="DAM26" i="20"/>
  <c r="DAN26" i="20"/>
  <c r="DAO26" i="20"/>
  <c r="DAP26" i="20"/>
  <c r="DAQ26" i="20"/>
  <c r="DAR26" i="20"/>
  <c r="DAS26" i="20"/>
  <c r="DAT26" i="20"/>
  <c r="DAU26" i="20"/>
  <c r="DAV26" i="20"/>
  <c r="DAW26" i="20"/>
  <c r="DAX26" i="20"/>
  <c r="DAY26" i="20"/>
  <c r="DAZ26" i="20"/>
  <c r="DBA26" i="20"/>
  <c r="DBB26" i="20"/>
  <c r="DBC26" i="20"/>
  <c r="DBD26" i="20"/>
  <c r="DBE26" i="20"/>
  <c r="DBF26" i="20"/>
  <c r="DBG26" i="20"/>
  <c r="DBH26" i="20"/>
  <c r="DBI26" i="20"/>
  <c r="DBJ26" i="20"/>
  <c r="DBK26" i="20"/>
  <c r="DBL26" i="20"/>
  <c r="DBM26" i="20"/>
  <c r="DBN26" i="20"/>
  <c r="DBO26" i="20"/>
  <c r="DBP26" i="20"/>
  <c r="DBQ26" i="20"/>
  <c r="DBR26" i="20"/>
  <c r="DBS26" i="20"/>
  <c r="DBT26" i="20"/>
  <c r="DBU26" i="20"/>
  <c r="DBV26" i="20"/>
  <c r="DBW26" i="20"/>
  <c r="DBX26" i="20"/>
  <c r="DBY26" i="20"/>
  <c r="DBZ26" i="20"/>
  <c r="DCA26" i="20"/>
  <c r="DCB26" i="20"/>
  <c r="DCC26" i="20"/>
  <c r="DCD26" i="20"/>
  <c r="DCE26" i="20"/>
  <c r="DCF26" i="20"/>
  <c r="DCG26" i="20"/>
  <c r="DCH26" i="20"/>
  <c r="DCI26" i="20"/>
  <c r="DCJ26" i="20"/>
  <c r="DCK26" i="20"/>
  <c r="DCL26" i="20"/>
  <c r="DCM26" i="20"/>
  <c r="DCN26" i="20"/>
  <c r="DCO26" i="20"/>
  <c r="DCP26" i="20"/>
  <c r="DCQ26" i="20"/>
  <c r="DCR26" i="20"/>
  <c r="DCS26" i="20"/>
  <c r="DCT26" i="20"/>
  <c r="DCU26" i="20"/>
  <c r="DCV26" i="20"/>
  <c r="DCW26" i="20"/>
  <c r="DCX26" i="20"/>
  <c r="DCY26" i="20"/>
  <c r="DCZ26" i="20"/>
  <c r="DDA26" i="20"/>
  <c r="DDB26" i="20"/>
  <c r="DDC26" i="20"/>
  <c r="DDD26" i="20"/>
  <c r="DDE26" i="20"/>
  <c r="DDF26" i="20"/>
  <c r="DDG26" i="20"/>
  <c r="DDH26" i="20"/>
  <c r="DDI26" i="20"/>
  <c r="AAE27" i="20"/>
  <c r="AAF27" i="20"/>
  <c r="AAG27" i="20"/>
  <c r="AAH27" i="20"/>
  <c r="AAI27" i="20"/>
  <c r="AAJ27" i="20"/>
  <c r="AAK27" i="20"/>
  <c r="AAL27" i="20"/>
  <c r="AAM27" i="20"/>
  <c r="AAN27" i="20"/>
  <c r="AAO27" i="20"/>
  <c r="AAP27" i="20"/>
  <c r="AAQ27" i="20"/>
  <c r="AAR27" i="20"/>
  <c r="AAS27" i="20"/>
  <c r="AAT27" i="20"/>
  <c r="AAU27" i="20"/>
  <c r="AAV27" i="20"/>
  <c r="AAW27" i="20"/>
  <c r="AAX27" i="20"/>
  <c r="AAY27" i="20"/>
  <c r="AAZ27" i="20"/>
  <c r="ABA27" i="20"/>
  <c r="ABB27" i="20"/>
  <c r="ABC27" i="20"/>
  <c r="ABD27" i="20"/>
  <c r="ABE27" i="20"/>
  <c r="ABF27" i="20"/>
  <c r="ABG27" i="20"/>
  <c r="ABH27" i="20"/>
  <c r="ABI27" i="20"/>
  <c r="ABJ27" i="20"/>
  <c r="ABK27" i="20"/>
  <c r="ABL27" i="20"/>
  <c r="ABM27" i="20"/>
  <c r="ABN27" i="20"/>
  <c r="ABO27" i="20"/>
  <c r="ABP27" i="20"/>
  <c r="ABQ27" i="20"/>
  <c r="ABR27" i="20"/>
  <c r="ABS27" i="20"/>
  <c r="ABT27" i="20"/>
  <c r="ABU27" i="20"/>
  <c r="ABV27" i="20"/>
  <c r="ABW27" i="20"/>
  <c r="ABX27" i="20"/>
  <c r="ABY27" i="20"/>
  <c r="ABZ27" i="20"/>
  <c r="ACA27" i="20"/>
  <c r="ACB27" i="20"/>
  <c r="ACC27" i="20"/>
  <c r="ACD27" i="20"/>
  <c r="ACE27" i="20"/>
  <c r="ACF27" i="20"/>
  <c r="ACG27" i="20"/>
  <c r="ACH27" i="20"/>
  <c r="ACI27" i="20"/>
  <c r="ACJ27" i="20"/>
  <c r="ACK27" i="20"/>
  <c r="ACL27" i="20"/>
  <c r="ACM27" i="20"/>
  <c r="ACN27" i="20"/>
  <c r="ACO27" i="20"/>
  <c r="ACP27" i="20"/>
  <c r="ACQ27" i="20"/>
  <c r="ACR27" i="20"/>
  <c r="ACS27" i="20"/>
  <c r="ACT27" i="20"/>
  <c r="ACU27" i="20"/>
  <c r="ACV27" i="20"/>
  <c r="ACW27" i="20"/>
  <c r="ACX27" i="20"/>
  <c r="ACY27" i="20"/>
  <c r="ACZ27" i="20"/>
  <c r="ADA27" i="20"/>
  <c r="ADB27" i="20"/>
  <c r="ADC27" i="20"/>
  <c r="ADD27" i="20"/>
  <c r="ADE27" i="20"/>
  <c r="ADF27" i="20"/>
  <c r="ADG27" i="20"/>
  <c r="ADH27" i="20"/>
  <c r="ADI27" i="20"/>
  <c r="ADJ27" i="20"/>
  <c r="ADK27" i="20"/>
  <c r="ADL27" i="20"/>
  <c r="ADM27" i="20"/>
  <c r="ADN27" i="20"/>
  <c r="ADO27" i="20"/>
  <c r="ADP27" i="20"/>
  <c r="ADQ27" i="20"/>
  <c r="ADR27" i="20"/>
  <c r="ADS27" i="20"/>
  <c r="ADT27" i="20"/>
  <c r="ADU27" i="20"/>
  <c r="ADV27" i="20"/>
  <c r="ADW27" i="20"/>
  <c r="ADX27" i="20"/>
  <c r="ADY27" i="20"/>
  <c r="ADZ27" i="20"/>
  <c r="AEA27" i="20"/>
  <c r="AEB27" i="20"/>
  <c r="AEC27" i="20"/>
  <c r="AED27" i="20"/>
  <c r="AEE27" i="20"/>
  <c r="AEF27" i="20"/>
  <c r="AEG27" i="20"/>
  <c r="AEH27" i="20"/>
  <c r="AEI27" i="20"/>
  <c r="AEJ27" i="20"/>
  <c r="AEK27" i="20"/>
  <c r="AEL27" i="20"/>
  <c r="AEM27" i="20"/>
  <c r="AEN27" i="20"/>
  <c r="AEO27" i="20"/>
  <c r="AEP27" i="20"/>
  <c r="AEQ27" i="20"/>
  <c r="AER27" i="20"/>
  <c r="AES27" i="20"/>
  <c r="AET27" i="20"/>
  <c r="AEU27" i="20"/>
  <c r="AEV27" i="20"/>
  <c r="AEW27" i="20"/>
  <c r="AEX27" i="20"/>
  <c r="AEY27" i="20"/>
  <c r="AEZ27" i="20"/>
  <c r="AFA27" i="20"/>
  <c r="AFB27" i="20"/>
  <c r="AFC27" i="20"/>
  <c r="AFD27" i="20"/>
  <c r="AFE27" i="20"/>
  <c r="AFF27" i="20"/>
  <c r="AFG27" i="20"/>
  <c r="AFH27" i="20"/>
  <c r="AFI27" i="20"/>
  <c r="AFJ27" i="20"/>
  <c r="AFK27" i="20"/>
  <c r="AFL27" i="20"/>
  <c r="AFM27" i="20"/>
  <c r="AFN27" i="20"/>
  <c r="AFO27" i="20"/>
  <c r="AFP27" i="20"/>
  <c r="AFQ27" i="20"/>
  <c r="AFR27" i="20"/>
  <c r="AFS27" i="20"/>
  <c r="AFT27" i="20"/>
  <c r="AFU27" i="20"/>
  <c r="AFV27" i="20"/>
  <c r="AFW27" i="20"/>
  <c r="AFX27" i="20"/>
  <c r="AFY27" i="20"/>
  <c r="AFZ27" i="20"/>
  <c r="AGA27" i="20"/>
  <c r="AGB27" i="20"/>
  <c r="AGC27" i="20"/>
  <c r="AGD27" i="20"/>
  <c r="AGE27" i="20"/>
  <c r="AGF27" i="20"/>
  <c r="AGG27" i="20"/>
  <c r="AGH27" i="20"/>
  <c r="AGI27" i="20"/>
  <c r="AGJ27" i="20"/>
  <c r="AGK27" i="20"/>
  <c r="AGL27" i="20"/>
  <c r="AGM27" i="20"/>
  <c r="AGN27" i="20"/>
  <c r="AGO27" i="20"/>
  <c r="AGP27" i="20"/>
  <c r="AGQ27" i="20"/>
  <c r="AGR27" i="20"/>
  <c r="AGS27" i="20"/>
  <c r="AGT27" i="20"/>
  <c r="AGU27" i="20"/>
  <c r="AGV27" i="20"/>
  <c r="AGW27" i="20"/>
  <c r="AGX27" i="20"/>
  <c r="AGY27" i="20"/>
  <c r="AGZ27" i="20"/>
  <c r="AHA27" i="20"/>
  <c r="AHB27" i="20"/>
  <c r="AHC27" i="20"/>
  <c r="AHD27" i="20"/>
  <c r="AHE27" i="20"/>
  <c r="AHF27" i="20"/>
  <c r="AHG27" i="20"/>
  <c r="AHH27" i="20"/>
  <c r="AHI27" i="20"/>
  <c r="AHJ27" i="20"/>
  <c r="AHK27" i="20"/>
  <c r="AHL27" i="20"/>
  <c r="AHM27" i="20"/>
  <c r="AHN27" i="20"/>
  <c r="AHO27" i="20"/>
  <c r="AHP27" i="20"/>
  <c r="AHQ27" i="20"/>
  <c r="AHR27" i="20"/>
  <c r="AHS27" i="20"/>
  <c r="AHT27" i="20"/>
  <c r="AHU27" i="20"/>
  <c r="AHV27" i="20"/>
  <c r="AHW27" i="20"/>
  <c r="AHX27" i="20"/>
  <c r="AHY27" i="20"/>
  <c r="AHZ27" i="20"/>
  <c r="AIA27" i="20"/>
  <c r="AIB27" i="20"/>
  <c r="AIC27" i="20"/>
  <c r="AID27" i="20"/>
  <c r="AIE27" i="20"/>
  <c r="AIF27" i="20"/>
  <c r="AIG27" i="20"/>
  <c r="AIH27" i="20"/>
  <c r="AII27" i="20"/>
  <c r="AIJ27" i="20"/>
  <c r="AIK27" i="20"/>
  <c r="AIL27" i="20"/>
  <c r="AIM27" i="20"/>
  <c r="AIN27" i="20"/>
  <c r="AIO27" i="20"/>
  <c r="AIP27" i="20"/>
  <c r="AIQ27" i="20"/>
  <c r="AIR27" i="20"/>
  <c r="AIS27" i="20"/>
  <c r="AIT27" i="20"/>
  <c r="AIU27" i="20"/>
  <c r="AIV27" i="20"/>
  <c r="AIW27" i="20"/>
  <c r="AIX27" i="20"/>
  <c r="AIY27" i="20"/>
  <c r="AIZ27" i="20"/>
  <c r="AJA27" i="20"/>
  <c r="AJB27" i="20"/>
  <c r="AJC27" i="20"/>
  <c r="AJD27" i="20"/>
  <c r="AJE27" i="20"/>
  <c r="AJF27" i="20"/>
  <c r="AJG27" i="20"/>
  <c r="AJH27" i="20"/>
  <c r="AJI27" i="20"/>
  <c r="AJJ27" i="20"/>
  <c r="AJK27" i="20"/>
  <c r="AJL27" i="20"/>
  <c r="AJM27" i="20"/>
  <c r="AJN27" i="20"/>
  <c r="AJO27" i="20"/>
  <c r="AJP27" i="20"/>
  <c r="AJQ27" i="20"/>
  <c r="AJR27" i="20"/>
  <c r="AJS27" i="20"/>
  <c r="AJT27" i="20"/>
  <c r="AJU27" i="20"/>
  <c r="AJV27" i="20"/>
  <c r="AJW27" i="20"/>
  <c r="AJX27" i="20"/>
  <c r="AJY27" i="20"/>
  <c r="AJZ27" i="20"/>
  <c r="AKA27" i="20"/>
  <c r="AKB27" i="20"/>
  <c r="AKC27" i="20"/>
  <c r="AKD27" i="20"/>
  <c r="AKE27" i="20"/>
  <c r="AKF27" i="20"/>
  <c r="AKG27" i="20"/>
  <c r="AKH27" i="20"/>
  <c r="AKI27" i="20"/>
  <c r="AKJ27" i="20"/>
  <c r="AKK27" i="20"/>
  <c r="AKL27" i="20"/>
  <c r="AKM27" i="20"/>
  <c r="AKN27" i="20"/>
  <c r="AKO27" i="20"/>
  <c r="AKP27" i="20"/>
  <c r="AKQ27" i="20"/>
  <c r="AKR27" i="20"/>
  <c r="AKS27" i="20"/>
  <c r="AKT27" i="20"/>
  <c r="AKU27" i="20"/>
  <c r="AKV27" i="20"/>
  <c r="AKW27" i="20"/>
  <c r="AKX27" i="20"/>
  <c r="AKY27" i="20"/>
  <c r="AKZ27" i="20"/>
  <c r="ALA27" i="20"/>
  <c r="ALB27" i="20"/>
  <c r="ALC27" i="20"/>
  <c r="ALD27" i="20"/>
  <c r="ALE27" i="20"/>
  <c r="ALF27" i="20"/>
  <c r="ALG27" i="20"/>
  <c r="ALH27" i="20"/>
  <c r="ALI27" i="20"/>
  <c r="ALJ27" i="20"/>
  <c r="ALK27" i="20"/>
  <c r="ALL27" i="20"/>
  <c r="ALM27" i="20"/>
  <c r="ALN27" i="20"/>
  <c r="ALO27" i="20"/>
  <c r="ALP27" i="20"/>
  <c r="ALQ27" i="20"/>
  <c r="ALR27" i="20"/>
  <c r="ALS27" i="20"/>
  <c r="ALT27" i="20"/>
  <c r="ALU27" i="20"/>
  <c r="ALV27" i="20"/>
  <c r="ALW27" i="20"/>
  <c r="ALX27" i="20"/>
  <c r="ALY27" i="20"/>
  <c r="ALZ27" i="20"/>
  <c r="AMA27" i="20"/>
  <c r="AMB27" i="20"/>
  <c r="AMC27" i="20"/>
  <c r="AMD27" i="20"/>
  <c r="AME27" i="20"/>
  <c r="AMF27" i="20"/>
  <c r="AMG27" i="20"/>
  <c r="AMH27" i="20"/>
  <c r="AMI27" i="20"/>
  <c r="AMJ27" i="20"/>
  <c r="AMK27" i="20"/>
  <c r="AML27" i="20"/>
  <c r="AMM27" i="20"/>
  <c r="AMN27" i="20"/>
  <c r="AMO27" i="20"/>
  <c r="AMP27" i="20"/>
  <c r="AMQ27" i="20"/>
  <c r="AMR27" i="20"/>
  <c r="AMS27" i="20"/>
  <c r="AMT27" i="20"/>
  <c r="AMU27" i="20"/>
  <c r="AMV27" i="20"/>
  <c r="AMW27" i="20"/>
  <c r="AMX27" i="20"/>
  <c r="AMY27" i="20"/>
  <c r="AMZ27" i="20"/>
  <c r="ANA27" i="20"/>
  <c r="ANB27" i="20"/>
  <c r="ANC27" i="20"/>
  <c r="AND27" i="20"/>
  <c r="ANE27" i="20"/>
  <c r="ANF27" i="20"/>
  <c r="ANG27" i="20"/>
  <c r="ANH27" i="20"/>
  <c r="ANI27" i="20"/>
  <c r="ANJ27" i="20"/>
  <c r="ANK27" i="20"/>
  <c r="ANL27" i="20"/>
  <c r="ANM27" i="20"/>
  <c r="ANN27" i="20"/>
  <c r="ANO27" i="20"/>
  <c r="ANP27" i="20"/>
  <c r="ANQ27" i="20"/>
  <c r="ANR27" i="20"/>
  <c r="ANS27" i="20"/>
  <c r="ANT27" i="20"/>
  <c r="ANU27" i="20"/>
  <c r="ANV27" i="20"/>
  <c r="ANW27" i="20"/>
  <c r="ANX27" i="20"/>
  <c r="ANY27" i="20"/>
  <c r="ANZ27" i="20"/>
  <c r="AOA27" i="20"/>
  <c r="AOB27" i="20"/>
  <c r="AOC27" i="20"/>
  <c r="AOD27" i="20"/>
  <c r="AOE27" i="20"/>
  <c r="AOF27" i="20"/>
  <c r="AOG27" i="20"/>
  <c r="AOH27" i="20"/>
  <c r="AOI27" i="20"/>
  <c r="AOJ27" i="20"/>
  <c r="AOK27" i="20"/>
  <c r="AOL27" i="20"/>
  <c r="AOM27" i="20"/>
  <c r="AON27" i="20"/>
  <c r="AOO27" i="20"/>
  <c r="AOP27" i="20"/>
  <c r="AOQ27" i="20"/>
  <c r="AOR27" i="20"/>
  <c r="AOS27" i="20"/>
  <c r="AOT27" i="20"/>
  <c r="AOU27" i="20"/>
  <c r="AOV27" i="20"/>
  <c r="AOW27" i="20"/>
  <c r="AOX27" i="20"/>
  <c r="AOY27" i="20"/>
  <c r="AOZ27" i="20"/>
  <c r="APA27" i="20"/>
  <c r="APB27" i="20"/>
  <c r="APC27" i="20"/>
  <c r="APD27" i="20"/>
  <c r="APE27" i="20"/>
  <c r="APF27" i="20"/>
  <c r="APG27" i="20"/>
  <c r="APH27" i="20"/>
  <c r="API27" i="20"/>
  <c r="APJ27" i="20"/>
  <c r="APK27" i="20"/>
  <c r="APL27" i="20"/>
  <c r="APM27" i="20"/>
  <c r="APN27" i="20"/>
  <c r="APO27" i="20"/>
  <c r="APP27" i="20"/>
  <c r="APQ27" i="20"/>
  <c r="APR27" i="20"/>
  <c r="APS27" i="20"/>
  <c r="APT27" i="20"/>
  <c r="APU27" i="20"/>
  <c r="APV27" i="20"/>
  <c r="APW27" i="20"/>
  <c r="APX27" i="20"/>
  <c r="APY27" i="20"/>
  <c r="APZ27" i="20"/>
  <c r="AQA27" i="20"/>
  <c r="AQB27" i="20"/>
  <c r="AQC27" i="20"/>
  <c r="AQD27" i="20"/>
  <c r="AQE27" i="20"/>
  <c r="AQF27" i="20"/>
  <c r="AQG27" i="20"/>
  <c r="AQH27" i="20"/>
  <c r="AQI27" i="20"/>
  <c r="AQJ27" i="20"/>
  <c r="AQK27" i="20"/>
  <c r="AQL27" i="20"/>
  <c r="AQM27" i="20"/>
  <c r="AQN27" i="20"/>
  <c r="AQO27" i="20"/>
  <c r="AQP27" i="20"/>
  <c r="AQQ27" i="20"/>
  <c r="AQR27" i="20"/>
  <c r="AQS27" i="20"/>
  <c r="AQT27" i="20"/>
  <c r="AQU27" i="20"/>
  <c r="AQV27" i="20"/>
  <c r="AQW27" i="20"/>
  <c r="AQX27" i="20"/>
  <c r="AQY27" i="20"/>
  <c r="AQZ27" i="20"/>
  <c r="ARA27" i="20"/>
  <c r="ARB27" i="20"/>
  <c r="ARC27" i="20"/>
  <c r="ARD27" i="20"/>
  <c r="ARE27" i="20"/>
  <c r="ARF27" i="20"/>
  <c r="ARG27" i="20"/>
  <c r="ARH27" i="20"/>
  <c r="ARI27" i="20"/>
  <c r="ARJ27" i="20"/>
  <c r="ARK27" i="20"/>
  <c r="ARL27" i="20"/>
  <c r="ARM27" i="20"/>
  <c r="ARN27" i="20"/>
  <c r="ARO27" i="20"/>
  <c r="ARP27" i="20"/>
  <c r="ARQ27" i="20"/>
  <c r="ARR27" i="20"/>
  <c r="ARS27" i="20"/>
  <c r="ART27" i="20"/>
  <c r="ARU27" i="20"/>
  <c r="ARV27" i="20"/>
  <c r="ARW27" i="20"/>
  <c r="ARX27" i="20"/>
  <c r="ARY27" i="20"/>
  <c r="ARZ27" i="20"/>
  <c r="ASA27" i="20"/>
  <c r="ASB27" i="20"/>
  <c r="ASC27" i="20"/>
  <c r="ASD27" i="20"/>
  <c r="ASE27" i="20"/>
  <c r="ASF27" i="20"/>
  <c r="ASG27" i="20"/>
  <c r="ASH27" i="20"/>
  <c r="ASI27" i="20"/>
  <c r="ASJ27" i="20"/>
  <c r="ASK27" i="20"/>
  <c r="ASL27" i="20"/>
  <c r="ASM27" i="20"/>
  <c r="ASN27" i="20"/>
  <c r="ASO27" i="20"/>
  <c r="ASP27" i="20"/>
  <c r="ASQ27" i="20"/>
  <c r="ASR27" i="20"/>
  <c r="ASS27" i="20"/>
  <c r="AST27" i="20"/>
  <c r="ASU27" i="20"/>
  <c r="ASV27" i="20"/>
  <c r="ASW27" i="20"/>
  <c r="ASX27" i="20"/>
  <c r="ASY27" i="20"/>
  <c r="ASZ27" i="20"/>
  <c r="ATA27" i="20"/>
  <c r="ATB27" i="20"/>
  <c r="ATC27" i="20"/>
  <c r="ATD27" i="20"/>
  <c r="ATE27" i="20"/>
  <c r="ATF27" i="20"/>
  <c r="ATG27" i="20"/>
  <c r="ATH27" i="20"/>
  <c r="ATI27" i="20"/>
  <c r="ATJ27" i="20"/>
  <c r="ATK27" i="20"/>
  <c r="ATL27" i="20"/>
  <c r="ATM27" i="20"/>
  <c r="ATN27" i="20"/>
  <c r="ATO27" i="20"/>
  <c r="ATP27" i="20"/>
  <c r="ATQ27" i="20"/>
  <c r="ATR27" i="20"/>
  <c r="ATS27" i="20"/>
  <c r="ATT27" i="20"/>
  <c r="ATU27" i="20"/>
  <c r="ATV27" i="20"/>
  <c r="ATW27" i="20"/>
  <c r="ATX27" i="20"/>
  <c r="ATY27" i="20"/>
  <c r="ATZ27" i="20"/>
  <c r="AUA27" i="20"/>
  <c r="AUB27" i="20"/>
  <c r="AUC27" i="20"/>
  <c r="AUD27" i="20"/>
  <c r="AUE27" i="20"/>
  <c r="AUF27" i="20"/>
  <c r="AUG27" i="20"/>
  <c r="AUH27" i="20"/>
  <c r="AUI27" i="20"/>
  <c r="AUJ27" i="20"/>
  <c r="AUK27" i="20"/>
  <c r="AUL27" i="20"/>
  <c r="AUM27" i="20"/>
  <c r="AUN27" i="20"/>
  <c r="AUO27" i="20"/>
  <c r="AUP27" i="20"/>
  <c r="AUQ27" i="20"/>
  <c r="AUR27" i="20"/>
  <c r="AUS27" i="20"/>
  <c r="AUT27" i="20"/>
  <c r="AUU27" i="20"/>
  <c r="AUV27" i="20"/>
  <c r="AUW27" i="20"/>
  <c r="AUX27" i="20"/>
  <c r="AUY27" i="20"/>
  <c r="AUZ27" i="20"/>
  <c r="AVA27" i="20"/>
  <c r="AVB27" i="20"/>
  <c r="AVC27" i="20"/>
  <c r="AVD27" i="20"/>
  <c r="AVE27" i="20"/>
  <c r="AVF27" i="20"/>
  <c r="AVG27" i="20"/>
  <c r="AVH27" i="20"/>
  <c r="AVI27" i="20"/>
  <c r="AVJ27" i="20"/>
  <c r="AVK27" i="20"/>
  <c r="AVL27" i="20"/>
  <c r="AVM27" i="20"/>
  <c r="AVN27" i="20"/>
  <c r="AVO27" i="20"/>
  <c r="AVP27" i="20"/>
  <c r="AVQ27" i="20"/>
  <c r="AVR27" i="20"/>
  <c r="AVS27" i="20"/>
  <c r="AVT27" i="20"/>
  <c r="AVU27" i="20"/>
  <c r="AVV27" i="20"/>
  <c r="AVW27" i="20"/>
  <c r="AVX27" i="20"/>
  <c r="AVY27" i="20"/>
  <c r="AVZ27" i="20"/>
  <c r="AWA27" i="20"/>
  <c r="AWB27" i="20"/>
  <c r="AWC27" i="20"/>
  <c r="AWD27" i="20"/>
  <c r="AWE27" i="20"/>
  <c r="AWF27" i="20"/>
  <c r="AWG27" i="20"/>
  <c r="AWH27" i="20"/>
  <c r="AWI27" i="20"/>
  <c r="AWJ27" i="20"/>
  <c r="AWK27" i="20"/>
  <c r="AWL27" i="20"/>
  <c r="AWM27" i="20"/>
  <c r="AWN27" i="20"/>
  <c r="AWO27" i="20"/>
  <c r="AWP27" i="20"/>
  <c r="AWQ27" i="20"/>
  <c r="AWR27" i="20"/>
  <c r="AWS27" i="20"/>
  <c r="AWT27" i="20"/>
  <c r="AWU27" i="20"/>
  <c r="AWV27" i="20"/>
  <c r="AWW27" i="20"/>
  <c r="AWX27" i="20"/>
  <c r="AWY27" i="20"/>
  <c r="AWZ27" i="20"/>
  <c r="AXA27" i="20"/>
  <c r="AXB27" i="20"/>
  <c r="AXC27" i="20"/>
  <c r="AXD27" i="20"/>
  <c r="AXE27" i="20"/>
  <c r="AXF27" i="20"/>
  <c r="AXG27" i="20"/>
  <c r="AXH27" i="20"/>
  <c r="AXI27" i="20"/>
  <c r="AXJ27" i="20"/>
  <c r="AXK27" i="20"/>
  <c r="AXL27" i="20"/>
  <c r="AXM27" i="20"/>
  <c r="AXN27" i="20"/>
  <c r="AXO27" i="20"/>
  <c r="AXP27" i="20"/>
  <c r="AXQ27" i="20"/>
  <c r="AXR27" i="20"/>
  <c r="AXS27" i="20"/>
  <c r="AXT27" i="20"/>
  <c r="AXU27" i="20"/>
  <c r="AXV27" i="20"/>
  <c r="AXW27" i="20"/>
  <c r="AXX27" i="20"/>
  <c r="AXY27" i="20"/>
  <c r="AXZ27" i="20"/>
  <c r="AYA27" i="20"/>
  <c r="AYB27" i="20"/>
  <c r="AYC27" i="20"/>
  <c r="AYD27" i="20"/>
  <c r="AYE27" i="20"/>
  <c r="AYF27" i="20"/>
  <c r="AYG27" i="20"/>
  <c r="AYH27" i="20"/>
  <c r="AYI27" i="20"/>
  <c r="AYJ27" i="20"/>
  <c r="AYK27" i="20"/>
  <c r="AYL27" i="20"/>
  <c r="AYM27" i="20"/>
  <c r="AYN27" i="20"/>
  <c r="AYO27" i="20"/>
  <c r="AYP27" i="20"/>
  <c r="AYQ27" i="20"/>
  <c r="AYR27" i="20"/>
  <c r="AYS27" i="20"/>
  <c r="AYT27" i="20"/>
  <c r="AYU27" i="20"/>
  <c r="AYV27" i="20"/>
  <c r="AYW27" i="20"/>
  <c r="AYX27" i="20"/>
  <c r="AYY27" i="20"/>
  <c r="AYZ27" i="20"/>
  <c r="AZA27" i="20"/>
  <c r="AZB27" i="20"/>
  <c r="AZC27" i="20"/>
  <c r="AZD27" i="20"/>
  <c r="AZE27" i="20"/>
  <c r="AZF27" i="20"/>
  <c r="AZG27" i="20"/>
  <c r="AZH27" i="20"/>
  <c r="AZI27" i="20"/>
  <c r="AZJ27" i="20"/>
  <c r="AZK27" i="20"/>
  <c r="AZL27" i="20"/>
  <c r="AZM27" i="20"/>
  <c r="AZN27" i="20"/>
  <c r="AZO27" i="20"/>
  <c r="AZP27" i="20"/>
  <c r="AZQ27" i="20"/>
  <c r="AZR27" i="20"/>
  <c r="AZS27" i="20"/>
  <c r="AZT27" i="20"/>
  <c r="AZU27" i="20"/>
  <c r="AZV27" i="20"/>
  <c r="AZW27" i="20"/>
  <c r="AZX27" i="20"/>
  <c r="AZY27" i="20"/>
  <c r="AZZ27" i="20"/>
  <c r="BAA27" i="20"/>
  <c r="BAB27" i="20"/>
  <c r="BAC27" i="20"/>
  <c r="BAD27" i="20"/>
  <c r="BAE27" i="20"/>
  <c r="BAF27" i="20"/>
  <c r="BAG27" i="20"/>
  <c r="BAH27" i="20"/>
  <c r="BAI27" i="20"/>
  <c r="BAJ27" i="20"/>
  <c r="BAK27" i="20"/>
  <c r="BAL27" i="20"/>
  <c r="BAM27" i="20"/>
  <c r="BAN27" i="20"/>
  <c r="BAO27" i="20"/>
  <c r="BAP27" i="20"/>
  <c r="BAQ27" i="20"/>
  <c r="BAR27" i="20"/>
  <c r="BAS27" i="20"/>
  <c r="BAT27" i="20"/>
  <c r="BAU27" i="20"/>
  <c r="BAV27" i="20"/>
  <c r="BAW27" i="20"/>
  <c r="BAX27" i="20"/>
  <c r="BAY27" i="20"/>
  <c r="BAZ27" i="20"/>
  <c r="BBA27" i="20"/>
  <c r="BBB27" i="20"/>
  <c r="BBC27" i="20"/>
  <c r="BBD27" i="20"/>
  <c r="BBE27" i="20"/>
  <c r="BBF27" i="20"/>
  <c r="BBG27" i="20"/>
  <c r="BBH27" i="20"/>
  <c r="BBI27" i="20"/>
  <c r="BBJ27" i="20"/>
  <c r="BBK27" i="20"/>
  <c r="BBL27" i="20"/>
  <c r="BBM27" i="20"/>
  <c r="BBN27" i="20"/>
  <c r="BBO27" i="20"/>
  <c r="BBP27" i="20"/>
  <c r="BBQ27" i="20"/>
  <c r="BBR27" i="20"/>
  <c r="BBS27" i="20"/>
  <c r="BBT27" i="20"/>
  <c r="BBU27" i="20"/>
  <c r="BBV27" i="20"/>
  <c r="BBW27" i="20"/>
  <c r="BBX27" i="20"/>
  <c r="BBY27" i="20"/>
  <c r="BBZ27" i="20"/>
  <c r="BCA27" i="20"/>
  <c r="BCB27" i="20"/>
  <c r="BCC27" i="20"/>
  <c r="BCD27" i="20"/>
  <c r="BCE27" i="20"/>
  <c r="BCF27" i="20"/>
  <c r="BCG27" i="20"/>
  <c r="BCH27" i="20"/>
  <c r="BCI27" i="20"/>
  <c r="BCJ27" i="20"/>
  <c r="BCK27" i="20"/>
  <c r="BCL27" i="20"/>
  <c r="BCM27" i="20"/>
  <c r="BCN27" i="20"/>
  <c r="BCO27" i="20"/>
  <c r="BCP27" i="20"/>
  <c r="BCQ27" i="20"/>
  <c r="BCR27" i="20"/>
  <c r="BCS27" i="20"/>
  <c r="BCT27" i="20"/>
  <c r="BCU27" i="20"/>
  <c r="BCV27" i="20"/>
  <c r="BCW27" i="20"/>
  <c r="BCX27" i="20"/>
  <c r="BCY27" i="20"/>
  <c r="BCZ27" i="20"/>
  <c r="BDA27" i="20"/>
  <c r="BDB27" i="20"/>
  <c r="BDC27" i="20"/>
  <c r="BDD27" i="20"/>
  <c r="BDE27" i="20"/>
  <c r="BDF27" i="20"/>
  <c r="BDG27" i="20"/>
  <c r="BDH27" i="20"/>
  <c r="BDI27" i="20"/>
  <c r="BDJ27" i="20"/>
  <c r="BDK27" i="20"/>
  <c r="BDL27" i="20"/>
  <c r="BDM27" i="20"/>
  <c r="BDN27" i="20"/>
  <c r="BDO27" i="20"/>
  <c r="BDP27" i="20"/>
  <c r="BDQ27" i="20"/>
  <c r="BDR27" i="20"/>
  <c r="BDS27" i="20"/>
  <c r="BDT27" i="20"/>
  <c r="BDU27" i="20"/>
  <c r="BDV27" i="20"/>
  <c r="BDW27" i="20"/>
  <c r="BDX27" i="20"/>
  <c r="BDY27" i="20"/>
  <c r="BDZ27" i="20"/>
  <c r="BEA27" i="20"/>
  <c r="BEB27" i="20"/>
  <c r="BEC27" i="20"/>
  <c r="BED27" i="20"/>
  <c r="BEE27" i="20"/>
  <c r="BEF27" i="20"/>
  <c r="BEG27" i="20"/>
  <c r="BEH27" i="20"/>
  <c r="BEI27" i="20"/>
  <c r="BEJ27" i="20"/>
  <c r="BEK27" i="20"/>
  <c r="BEL27" i="20"/>
  <c r="BEM27" i="20"/>
  <c r="BEN27" i="20"/>
  <c r="BEO27" i="20"/>
  <c r="BEP27" i="20"/>
  <c r="BEQ27" i="20"/>
  <c r="BER27" i="20"/>
  <c r="BES27" i="20"/>
  <c r="BET27" i="20"/>
  <c r="BEU27" i="20"/>
  <c r="BEV27" i="20"/>
  <c r="BEW27" i="20"/>
  <c r="BEX27" i="20"/>
  <c r="BEY27" i="20"/>
  <c r="BEZ27" i="20"/>
  <c r="BFA27" i="20"/>
  <c r="BFB27" i="20"/>
  <c r="BFC27" i="20"/>
  <c r="BFD27" i="20"/>
  <c r="BFE27" i="20"/>
  <c r="BFF27" i="20"/>
  <c r="BFG27" i="20"/>
  <c r="BFH27" i="20"/>
  <c r="BFI27" i="20"/>
  <c r="BFJ27" i="20"/>
  <c r="BFK27" i="20"/>
  <c r="BFL27" i="20"/>
  <c r="BFM27" i="20"/>
  <c r="BFN27" i="20"/>
  <c r="BFO27" i="20"/>
  <c r="BFP27" i="20"/>
  <c r="BFQ27" i="20"/>
  <c r="BFR27" i="20"/>
  <c r="BFS27" i="20"/>
  <c r="BFT27" i="20"/>
  <c r="BFU27" i="20"/>
  <c r="BFV27" i="20"/>
  <c r="BFW27" i="20"/>
  <c r="BFX27" i="20"/>
  <c r="BFY27" i="20"/>
  <c r="BFZ27" i="20"/>
  <c r="BGA27" i="20"/>
  <c r="BGB27" i="20"/>
  <c r="BGC27" i="20"/>
  <c r="BGD27" i="20"/>
  <c r="BGE27" i="20"/>
  <c r="BGF27" i="20"/>
  <c r="BGG27" i="20"/>
  <c r="BGH27" i="20"/>
  <c r="BGI27" i="20"/>
  <c r="BGJ27" i="20"/>
  <c r="BGK27" i="20"/>
  <c r="BGL27" i="20"/>
  <c r="BGM27" i="20"/>
  <c r="BGN27" i="20"/>
  <c r="BGO27" i="20"/>
  <c r="BGP27" i="20"/>
  <c r="BGQ27" i="20"/>
  <c r="BGR27" i="20"/>
  <c r="BGS27" i="20"/>
  <c r="BGT27" i="20"/>
  <c r="BGU27" i="20"/>
  <c r="BGV27" i="20"/>
  <c r="BGW27" i="20"/>
  <c r="BGX27" i="20"/>
  <c r="BGY27" i="20"/>
  <c r="BGZ27" i="20"/>
  <c r="BHA27" i="20"/>
  <c r="BHB27" i="20"/>
  <c r="BHC27" i="20"/>
  <c r="BHD27" i="20"/>
  <c r="BHE27" i="20"/>
  <c r="BHF27" i="20"/>
  <c r="BHG27" i="20"/>
  <c r="BHH27" i="20"/>
  <c r="BHI27" i="20"/>
  <c r="BHJ27" i="20"/>
  <c r="BHK27" i="20"/>
  <c r="BHL27" i="20"/>
  <c r="BHM27" i="20"/>
  <c r="BHN27" i="20"/>
  <c r="BHO27" i="20"/>
  <c r="BHP27" i="20"/>
  <c r="BHQ27" i="20"/>
  <c r="BHR27" i="20"/>
  <c r="BHS27" i="20"/>
  <c r="BHT27" i="20"/>
  <c r="BHU27" i="20"/>
  <c r="BHV27" i="20"/>
  <c r="BHW27" i="20"/>
  <c r="BHX27" i="20"/>
  <c r="BHY27" i="20"/>
  <c r="BHZ27" i="20"/>
  <c r="BIA27" i="20"/>
  <c r="BIB27" i="20"/>
  <c r="BIC27" i="20"/>
  <c r="BID27" i="20"/>
  <c r="BIE27" i="20"/>
  <c r="BIF27" i="20"/>
  <c r="BIG27" i="20"/>
  <c r="BIH27" i="20"/>
  <c r="BII27" i="20"/>
  <c r="BIJ27" i="20"/>
  <c r="BIK27" i="20"/>
  <c r="BIL27" i="20"/>
  <c r="BIM27" i="20"/>
  <c r="BIN27" i="20"/>
  <c r="BIO27" i="20"/>
  <c r="BIP27" i="20"/>
  <c r="BIQ27" i="20"/>
  <c r="BIR27" i="20"/>
  <c r="BIS27" i="20"/>
  <c r="BIT27" i="20"/>
  <c r="BIU27" i="20"/>
  <c r="BIV27" i="20"/>
  <c r="BIW27" i="20"/>
  <c r="BIX27" i="20"/>
  <c r="BIY27" i="20"/>
  <c r="BIZ27" i="20"/>
  <c r="BJA27" i="20"/>
  <c r="BJB27" i="20"/>
  <c r="BJC27" i="20"/>
  <c r="BJD27" i="20"/>
  <c r="BJE27" i="20"/>
  <c r="BJF27" i="20"/>
  <c r="BJG27" i="20"/>
  <c r="BJH27" i="20"/>
  <c r="BJI27" i="20"/>
  <c r="BJJ27" i="20"/>
  <c r="BJK27" i="20"/>
  <c r="BJL27" i="20"/>
  <c r="BJM27" i="20"/>
  <c r="BJN27" i="20"/>
  <c r="BJO27" i="20"/>
  <c r="BJP27" i="20"/>
  <c r="BJQ27" i="20"/>
  <c r="BJR27" i="20"/>
  <c r="BJS27" i="20"/>
  <c r="BJT27" i="20"/>
  <c r="BJU27" i="20"/>
  <c r="BJV27" i="20"/>
  <c r="BJW27" i="20"/>
  <c r="BJX27" i="20"/>
  <c r="BJY27" i="20"/>
  <c r="BJZ27" i="20"/>
  <c r="BKA27" i="20"/>
  <c r="BKB27" i="20"/>
  <c r="BKC27" i="20"/>
  <c r="BKD27" i="20"/>
  <c r="BKE27" i="20"/>
  <c r="BKF27" i="20"/>
  <c r="BKG27" i="20"/>
  <c r="BKH27" i="20"/>
  <c r="BKI27" i="20"/>
  <c r="BKJ27" i="20"/>
  <c r="BKK27" i="20"/>
  <c r="BKL27" i="20"/>
  <c r="BKM27" i="20"/>
  <c r="BKN27" i="20"/>
  <c r="BKO27" i="20"/>
  <c r="BKP27" i="20"/>
  <c r="BKQ27" i="20"/>
  <c r="BKR27" i="20"/>
  <c r="BKS27" i="20"/>
  <c r="BKT27" i="20"/>
  <c r="BKU27" i="20"/>
  <c r="BKV27" i="20"/>
  <c r="BKW27" i="20"/>
  <c r="BKX27" i="20"/>
  <c r="BKY27" i="20"/>
  <c r="BKZ27" i="20"/>
  <c r="BLA27" i="20"/>
  <c r="BLB27" i="20"/>
  <c r="BLC27" i="20"/>
  <c r="BLD27" i="20"/>
  <c r="BLE27" i="20"/>
  <c r="BLF27" i="20"/>
  <c r="BLG27" i="20"/>
  <c r="BLH27" i="20"/>
  <c r="BLI27" i="20"/>
  <c r="BLJ27" i="20"/>
  <c r="BLK27" i="20"/>
  <c r="BLL27" i="20"/>
  <c r="BLM27" i="20"/>
  <c r="BLN27" i="20"/>
  <c r="BLO27" i="20"/>
  <c r="BLP27" i="20"/>
  <c r="BLQ27" i="20"/>
  <c r="BLR27" i="20"/>
  <c r="BLS27" i="20"/>
  <c r="BLT27" i="20"/>
  <c r="BLU27" i="20"/>
  <c r="BLV27" i="20"/>
  <c r="BLW27" i="20"/>
  <c r="BLX27" i="20"/>
  <c r="BLY27" i="20"/>
  <c r="BLZ27" i="20"/>
  <c r="BMA27" i="20"/>
  <c r="BMB27" i="20"/>
  <c r="BMC27" i="20"/>
  <c r="BMD27" i="20"/>
  <c r="BME27" i="20"/>
  <c r="BMF27" i="20"/>
  <c r="BMG27" i="20"/>
  <c r="BMH27" i="20"/>
  <c r="BMI27" i="20"/>
  <c r="BMJ27" i="20"/>
  <c r="BMK27" i="20"/>
  <c r="BML27" i="20"/>
  <c r="BMM27" i="20"/>
  <c r="BMN27" i="20"/>
  <c r="BMO27" i="20"/>
  <c r="BMP27" i="20"/>
  <c r="BMQ27" i="20"/>
  <c r="BMR27" i="20"/>
  <c r="BMS27" i="20"/>
  <c r="BMT27" i="20"/>
  <c r="BMU27" i="20"/>
  <c r="BMV27" i="20"/>
  <c r="BMW27" i="20"/>
  <c r="BMX27" i="20"/>
  <c r="BMY27" i="20"/>
  <c r="BMZ27" i="20"/>
  <c r="BNA27" i="20"/>
  <c r="BNB27" i="20"/>
  <c r="BNC27" i="20"/>
  <c r="BND27" i="20"/>
  <c r="BNE27" i="20"/>
  <c r="BNF27" i="20"/>
  <c r="BNG27" i="20"/>
  <c r="BNH27" i="20"/>
  <c r="BNI27" i="20"/>
  <c r="BNJ27" i="20"/>
  <c r="BNK27" i="20"/>
  <c r="BNL27" i="20"/>
  <c r="BNM27" i="20"/>
  <c r="BNN27" i="20"/>
  <c r="BNO27" i="20"/>
  <c r="BNP27" i="20"/>
  <c r="BNQ27" i="20"/>
  <c r="BNR27" i="20"/>
  <c r="BNS27" i="20"/>
  <c r="BNT27" i="20"/>
  <c r="BNU27" i="20"/>
  <c r="BNV27" i="20"/>
  <c r="BNW27" i="20"/>
  <c r="BNX27" i="20"/>
  <c r="BNY27" i="20"/>
  <c r="BNZ27" i="20"/>
  <c r="BOA27" i="20"/>
  <c r="BOB27" i="20"/>
  <c r="BOC27" i="20"/>
  <c r="BOD27" i="20"/>
  <c r="BOE27" i="20"/>
  <c r="BOF27" i="20"/>
  <c r="BOG27" i="20"/>
  <c r="BOH27" i="20"/>
  <c r="BOI27" i="20"/>
  <c r="BOJ27" i="20"/>
  <c r="BOK27" i="20"/>
  <c r="BOL27" i="20"/>
  <c r="BOM27" i="20"/>
  <c r="BON27" i="20"/>
  <c r="BOO27" i="20"/>
  <c r="BOP27" i="20"/>
  <c r="BOQ27" i="20"/>
  <c r="BOR27" i="20"/>
  <c r="BOS27" i="20"/>
  <c r="BOT27" i="20"/>
  <c r="BOU27" i="20"/>
  <c r="BOV27" i="20"/>
  <c r="BOW27" i="20"/>
  <c r="BOX27" i="20"/>
  <c r="BOY27" i="20"/>
  <c r="BOZ27" i="20"/>
  <c r="BPA27" i="20"/>
  <c r="BPB27" i="20"/>
  <c r="BPC27" i="20"/>
  <c r="BPD27" i="20"/>
  <c r="BPE27" i="20"/>
  <c r="BPF27" i="20"/>
  <c r="BPG27" i="20"/>
  <c r="BPH27" i="20"/>
  <c r="BPI27" i="20"/>
  <c r="BPJ27" i="20"/>
  <c r="BPK27" i="20"/>
  <c r="BPL27" i="20"/>
  <c r="BPM27" i="20"/>
  <c r="BPN27" i="20"/>
  <c r="BPO27" i="20"/>
  <c r="BPP27" i="20"/>
  <c r="BPQ27" i="20"/>
  <c r="BPR27" i="20"/>
  <c r="BPS27" i="20"/>
  <c r="BPT27" i="20"/>
  <c r="BPU27" i="20"/>
  <c r="BPV27" i="20"/>
  <c r="BPW27" i="20"/>
  <c r="BPX27" i="20"/>
  <c r="BPY27" i="20"/>
  <c r="BPZ27" i="20"/>
  <c r="BQA27" i="20"/>
  <c r="BQB27" i="20"/>
  <c r="BQC27" i="20"/>
  <c r="BQD27" i="20"/>
  <c r="BQE27" i="20"/>
  <c r="BQF27" i="20"/>
  <c r="BQG27" i="20"/>
  <c r="BQH27" i="20"/>
  <c r="BQI27" i="20"/>
  <c r="BQJ27" i="20"/>
  <c r="BQK27" i="20"/>
  <c r="BQL27" i="20"/>
  <c r="BQM27" i="20"/>
  <c r="BQN27" i="20"/>
  <c r="BQO27" i="20"/>
  <c r="BQP27" i="20"/>
  <c r="BQQ27" i="20"/>
  <c r="BQR27" i="20"/>
  <c r="BQS27" i="20"/>
  <c r="BQT27" i="20"/>
  <c r="BQU27" i="20"/>
  <c r="BQV27" i="20"/>
  <c r="BQW27" i="20"/>
  <c r="BQX27" i="20"/>
  <c r="BQY27" i="20"/>
  <c r="BQZ27" i="20"/>
  <c r="BRA27" i="20"/>
  <c r="BRB27" i="20"/>
  <c r="BRC27" i="20"/>
  <c r="BRD27" i="20"/>
  <c r="BRE27" i="20"/>
  <c r="BRF27" i="20"/>
  <c r="BRG27" i="20"/>
  <c r="BRH27" i="20"/>
  <c r="BRI27" i="20"/>
  <c r="BRJ27" i="20"/>
  <c r="BRK27" i="20"/>
  <c r="BRL27" i="20"/>
  <c r="BRM27" i="20"/>
  <c r="BRN27" i="20"/>
  <c r="BRO27" i="20"/>
  <c r="BRP27" i="20"/>
  <c r="BRQ27" i="20"/>
  <c r="BRR27" i="20"/>
  <c r="BRS27" i="20"/>
  <c r="BRT27" i="20"/>
  <c r="BRU27" i="20"/>
  <c r="BRV27" i="20"/>
  <c r="BRW27" i="20"/>
  <c r="BRX27" i="20"/>
  <c r="BRY27" i="20"/>
  <c r="BRZ27" i="20"/>
  <c r="BSA27" i="20"/>
  <c r="BSB27" i="20"/>
  <c r="BSC27" i="20"/>
  <c r="BSD27" i="20"/>
  <c r="BSE27" i="20"/>
  <c r="BSF27" i="20"/>
  <c r="BSG27" i="20"/>
  <c r="BSH27" i="20"/>
  <c r="BSI27" i="20"/>
  <c r="BSJ27" i="20"/>
  <c r="BSK27" i="20"/>
  <c r="BSL27" i="20"/>
  <c r="BSM27" i="20"/>
  <c r="BSN27" i="20"/>
  <c r="BSO27" i="20"/>
  <c r="BSP27" i="20"/>
  <c r="BSQ27" i="20"/>
  <c r="BSR27" i="20"/>
  <c r="BSS27" i="20"/>
  <c r="BST27" i="20"/>
  <c r="BSU27" i="20"/>
  <c r="BSV27" i="20"/>
  <c r="BSW27" i="20"/>
  <c r="BSX27" i="20"/>
  <c r="BSY27" i="20"/>
  <c r="BSZ27" i="20"/>
  <c r="BTA27" i="20"/>
  <c r="BTB27" i="20"/>
  <c r="BTC27" i="20"/>
  <c r="BTD27" i="20"/>
  <c r="BTE27" i="20"/>
  <c r="BTF27" i="20"/>
  <c r="BTG27" i="20"/>
  <c r="BTH27" i="20"/>
  <c r="BTI27" i="20"/>
  <c r="BTJ27" i="20"/>
  <c r="BTK27" i="20"/>
  <c r="BTL27" i="20"/>
  <c r="BTM27" i="20"/>
  <c r="BTN27" i="20"/>
  <c r="BTO27" i="20"/>
  <c r="BTP27" i="20"/>
  <c r="BTQ27" i="20"/>
  <c r="BTR27" i="20"/>
  <c r="BTS27" i="20"/>
  <c r="BTT27" i="20"/>
  <c r="BTU27" i="20"/>
  <c r="BTV27" i="20"/>
  <c r="BTW27" i="20"/>
  <c r="BTX27" i="20"/>
  <c r="BTY27" i="20"/>
  <c r="BTZ27" i="20"/>
  <c r="BUA27" i="20"/>
  <c r="BUB27" i="20"/>
  <c r="BUC27" i="20"/>
  <c r="BUD27" i="20"/>
  <c r="BUE27" i="20"/>
  <c r="BUF27" i="20"/>
  <c r="BUG27" i="20"/>
  <c r="BUH27" i="20"/>
  <c r="BUI27" i="20"/>
  <c r="BUJ27" i="20"/>
  <c r="BUK27" i="20"/>
  <c r="BUL27" i="20"/>
  <c r="BUM27" i="20"/>
  <c r="BUN27" i="20"/>
  <c r="BUO27" i="20"/>
  <c r="BUP27" i="20"/>
  <c r="BUQ27" i="20"/>
  <c r="BUR27" i="20"/>
  <c r="BUS27" i="20"/>
  <c r="BUT27" i="20"/>
  <c r="BUU27" i="20"/>
  <c r="BUV27" i="20"/>
  <c r="BUW27" i="20"/>
  <c r="BUX27" i="20"/>
  <c r="BUY27" i="20"/>
  <c r="BUZ27" i="20"/>
  <c r="BVA27" i="20"/>
  <c r="BVB27" i="20"/>
  <c r="BVC27" i="20"/>
  <c r="BVD27" i="20"/>
  <c r="BVE27" i="20"/>
  <c r="BVF27" i="20"/>
  <c r="BVG27" i="20"/>
  <c r="BVH27" i="20"/>
  <c r="BVI27" i="20"/>
  <c r="BVJ27" i="20"/>
  <c r="BVK27" i="20"/>
  <c r="BVL27" i="20"/>
  <c r="BVM27" i="20"/>
  <c r="BVN27" i="20"/>
  <c r="BVO27" i="20"/>
  <c r="BVP27" i="20"/>
  <c r="BVQ27" i="20"/>
  <c r="BVR27" i="20"/>
  <c r="BVS27" i="20"/>
  <c r="BVT27" i="20"/>
  <c r="BVU27" i="20"/>
  <c r="BVV27" i="20"/>
  <c r="BVW27" i="20"/>
  <c r="BVX27" i="20"/>
  <c r="BVY27" i="20"/>
  <c r="BVZ27" i="20"/>
  <c r="BWA27" i="20"/>
  <c r="BWB27" i="20"/>
  <c r="BWC27" i="20"/>
  <c r="BWD27" i="20"/>
  <c r="BWE27" i="20"/>
  <c r="BWF27" i="20"/>
  <c r="BWG27" i="20"/>
  <c r="BWH27" i="20"/>
  <c r="BWI27" i="20"/>
  <c r="BWJ27" i="20"/>
  <c r="BWK27" i="20"/>
  <c r="BWL27" i="20"/>
  <c r="BWM27" i="20"/>
  <c r="BWN27" i="20"/>
  <c r="BWO27" i="20"/>
  <c r="BWP27" i="20"/>
  <c r="BWQ27" i="20"/>
  <c r="BWR27" i="20"/>
  <c r="BWS27" i="20"/>
  <c r="BWT27" i="20"/>
  <c r="BWU27" i="20"/>
  <c r="BWV27" i="20"/>
  <c r="BWW27" i="20"/>
  <c r="BWX27" i="20"/>
  <c r="BWY27" i="20"/>
  <c r="BWZ27" i="20"/>
  <c r="BXA27" i="20"/>
  <c r="BXB27" i="20"/>
  <c r="BXC27" i="20"/>
  <c r="BXD27" i="20"/>
  <c r="BXE27" i="20"/>
  <c r="BXF27" i="20"/>
  <c r="BXG27" i="20"/>
  <c r="BXH27" i="20"/>
  <c r="BXI27" i="20"/>
  <c r="BXJ27" i="20"/>
  <c r="BXK27" i="20"/>
  <c r="BXL27" i="20"/>
  <c r="BXM27" i="20"/>
  <c r="BXN27" i="20"/>
  <c r="BXO27" i="20"/>
  <c r="BXP27" i="20"/>
  <c r="BXQ27" i="20"/>
  <c r="BXR27" i="20"/>
  <c r="BXS27" i="20"/>
  <c r="BXT27" i="20"/>
  <c r="BXU27" i="20"/>
  <c r="BXV27" i="20"/>
  <c r="BXW27" i="20"/>
  <c r="BXX27" i="20"/>
  <c r="BXY27" i="20"/>
  <c r="BXZ27" i="20"/>
  <c r="BYA27" i="20"/>
  <c r="BYB27" i="20"/>
  <c r="BYC27" i="20"/>
  <c r="BYD27" i="20"/>
  <c r="BYE27" i="20"/>
  <c r="BYF27" i="20"/>
  <c r="BYG27" i="20"/>
  <c r="BYH27" i="20"/>
  <c r="BYI27" i="20"/>
  <c r="BYJ27" i="20"/>
  <c r="BYK27" i="20"/>
  <c r="BYL27" i="20"/>
  <c r="BYM27" i="20"/>
  <c r="BYN27" i="20"/>
  <c r="BYO27" i="20"/>
  <c r="BYP27" i="20"/>
  <c r="BYQ27" i="20"/>
  <c r="BYR27" i="20"/>
  <c r="BYS27" i="20"/>
  <c r="BYT27" i="20"/>
  <c r="BYU27" i="20"/>
  <c r="BYV27" i="20"/>
  <c r="BYW27" i="20"/>
  <c r="BYX27" i="20"/>
  <c r="BYY27" i="20"/>
  <c r="BYZ27" i="20"/>
  <c r="BZA27" i="20"/>
  <c r="BZB27" i="20"/>
  <c r="BZC27" i="20"/>
  <c r="BZD27" i="20"/>
  <c r="BZE27" i="20"/>
  <c r="BZF27" i="20"/>
  <c r="BZG27" i="20"/>
  <c r="BZH27" i="20"/>
  <c r="BZI27" i="20"/>
  <c r="BZJ27" i="20"/>
  <c r="BZK27" i="20"/>
  <c r="BZL27" i="20"/>
  <c r="BZM27" i="20"/>
  <c r="BZN27" i="20"/>
  <c r="BZO27" i="20"/>
  <c r="BZP27" i="20"/>
  <c r="BZQ27" i="20"/>
  <c r="BZR27" i="20"/>
  <c r="BZS27" i="20"/>
  <c r="BZT27" i="20"/>
  <c r="BZU27" i="20"/>
  <c r="BZV27" i="20"/>
  <c r="BZW27" i="20"/>
  <c r="BZX27" i="20"/>
  <c r="BZY27" i="20"/>
  <c r="BZZ27" i="20"/>
  <c r="CAA27" i="20"/>
  <c r="CAB27" i="20"/>
  <c r="CAC27" i="20"/>
  <c r="CAD27" i="20"/>
  <c r="CAE27" i="20"/>
  <c r="CAF27" i="20"/>
  <c r="CAG27" i="20"/>
  <c r="CAH27" i="20"/>
  <c r="CAI27" i="20"/>
  <c r="CAJ27" i="20"/>
  <c r="CAK27" i="20"/>
  <c r="CAL27" i="20"/>
  <c r="CAM27" i="20"/>
  <c r="CAN27" i="20"/>
  <c r="CAO27" i="20"/>
  <c r="CAP27" i="20"/>
  <c r="CAQ27" i="20"/>
  <c r="CAR27" i="20"/>
  <c r="CAS27" i="20"/>
  <c r="CAT27" i="20"/>
  <c r="CAU27" i="20"/>
  <c r="CAV27" i="20"/>
  <c r="CAW27" i="20"/>
  <c r="CAX27" i="20"/>
  <c r="CAY27" i="20"/>
  <c r="CAZ27" i="20"/>
  <c r="CBA27" i="20"/>
  <c r="CBB27" i="20"/>
  <c r="CBC27" i="20"/>
  <c r="CBD27" i="20"/>
  <c r="CBE27" i="20"/>
  <c r="CBF27" i="20"/>
  <c r="CBG27" i="20"/>
  <c r="CBH27" i="20"/>
  <c r="CBI27" i="20"/>
  <c r="CBJ27" i="20"/>
  <c r="CBK27" i="20"/>
  <c r="CBL27" i="20"/>
  <c r="CBM27" i="20"/>
  <c r="CBN27" i="20"/>
  <c r="CBO27" i="20"/>
  <c r="CBP27" i="20"/>
  <c r="CBQ27" i="20"/>
  <c r="CBR27" i="20"/>
  <c r="CBS27" i="20"/>
  <c r="CBT27" i="20"/>
  <c r="CBU27" i="20"/>
  <c r="CBV27" i="20"/>
  <c r="CBW27" i="20"/>
  <c r="CBX27" i="20"/>
  <c r="CBY27" i="20"/>
  <c r="CBZ27" i="20"/>
  <c r="CCA27" i="20"/>
  <c r="CCB27" i="20"/>
  <c r="CCC27" i="20"/>
  <c r="CCD27" i="20"/>
  <c r="CCE27" i="20"/>
  <c r="CCF27" i="20"/>
  <c r="CCG27" i="20"/>
  <c r="CCH27" i="20"/>
  <c r="CCI27" i="20"/>
  <c r="CCJ27" i="20"/>
  <c r="CCK27" i="20"/>
  <c r="CCL27" i="20"/>
  <c r="CCM27" i="20"/>
  <c r="CCN27" i="20"/>
  <c r="CCO27" i="20"/>
  <c r="CCP27" i="20"/>
  <c r="CCQ27" i="20"/>
  <c r="CCR27" i="20"/>
  <c r="CCS27" i="20"/>
  <c r="CCT27" i="20"/>
  <c r="CCU27" i="20"/>
  <c r="CCV27" i="20"/>
  <c r="CCW27" i="20"/>
  <c r="CCX27" i="20"/>
  <c r="CCY27" i="20"/>
  <c r="CCZ27" i="20"/>
  <c r="CDA27" i="20"/>
  <c r="CDB27" i="20"/>
  <c r="CDC27" i="20"/>
  <c r="CDD27" i="20"/>
  <c r="CDE27" i="20"/>
  <c r="CDF27" i="20"/>
  <c r="CDG27" i="20"/>
  <c r="CDH27" i="20"/>
  <c r="CDI27" i="20"/>
  <c r="CDJ27" i="20"/>
  <c r="CDK27" i="20"/>
  <c r="CDL27" i="20"/>
  <c r="CDM27" i="20"/>
  <c r="CDN27" i="20"/>
  <c r="CDO27" i="20"/>
  <c r="CDP27" i="20"/>
  <c r="CDQ27" i="20"/>
  <c r="CDR27" i="20"/>
  <c r="CDS27" i="20"/>
  <c r="CDT27" i="20"/>
  <c r="CDU27" i="20"/>
  <c r="CDV27" i="20"/>
  <c r="CDW27" i="20"/>
  <c r="CDX27" i="20"/>
  <c r="CDY27" i="20"/>
  <c r="CDZ27" i="20"/>
  <c r="CEA27" i="20"/>
  <c r="CEB27" i="20"/>
  <c r="CEC27" i="20"/>
  <c r="CED27" i="20"/>
  <c r="CEE27" i="20"/>
  <c r="CEF27" i="20"/>
  <c r="CEG27" i="20"/>
  <c r="CEH27" i="20"/>
  <c r="CEI27" i="20"/>
  <c r="CEJ27" i="20"/>
  <c r="CEK27" i="20"/>
  <c r="CEL27" i="20"/>
  <c r="CEM27" i="20"/>
  <c r="CEN27" i="20"/>
  <c r="CEO27" i="20"/>
  <c r="CEP27" i="20"/>
  <c r="CEQ27" i="20"/>
  <c r="CER27" i="20"/>
  <c r="CES27" i="20"/>
  <c r="CET27" i="20"/>
  <c r="CEU27" i="20"/>
  <c r="CEV27" i="20"/>
  <c r="CEW27" i="20"/>
  <c r="CEX27" i="20"/>
  <c r="CEY27" i="20"/>
  <c r="CEZ27" i="20"/>
  <c r="CFA27" i="20"/>
  <c r="CFB27" i="20"/>
  <c r="CFC27" i="20"/>
  <c r="CFD27" i="20"/>
  <c r="CFE27" i="20"/>
  <c r="CFF27" i="20"/>
  <c r="CFG27" i="20"/>
  <c r="CFH27" i="20"/>
  <c r="CFI27" i="20"/>
  <c r="CFJ27" i="20"/>
  <c r="CFK27" i="20"/>
  <c r="CFL27" i="20"/>
  <c r="CFM27" i="20"/>
  <c r="CFN27" i="20"/>
  <c r="CFO27" i="20"/>
  <c r="CFP27" i="20"/>
  <c r="CFQ27" i="20"/>
  <c r="CFR27" i="20"/>
  <c r="CFS27" i="20"/>
  <c r="CFT27" i="20"/>
  <c r="CFU27" i="20"/>
  <c r="CFV27" i="20"/>
  <c r="CFW27" i="20"/>
  <c r="CFX27" i="20"/>
  <c r="CFY27" i="20"/>
  <c r="CFZ27" i="20"/>
  <c r="CGA27" i="20"/>
  <c r="CGB27" i="20"/>
  <c r="CGC27" i="20"/>
  <c r="CGD27" i="20"/>
  <c r="CGE27" i="20"/>
  <c r="CGF27" i="20"/>
  <c r="CGG27" i="20"/>
  <c r="CGH27" i="20"/>
  <c r="CGI27" i="20"/>
  <c r="CGJ27" i="20"/>
  <c r="CGK27" i="20"/>
  <c r="CGL27" i="20"/>
  <c r="CGM27" i="20"/>
  <c r="CGN27" i="20"/>
  <c r="CGO27" i="20"/>
  <c r="CGP27" i="20"/>
  <c r="CGQ27" i="20"/>
  <c r="CGR27" i="20"/>
  <c r="CGS27" i="20"/>
  <c r="CGT27" i="20"/>
  <c r="CGU27" i="20"/>
  <c r="CGV27" i="20"/>
  <c r="CGW27" i="20"/>
  <c r="CGX27" i="20"/>
  <c r="CGY27" i="20"/>
  <c r="CGZ27" i="20"/>
  <c r="CHA27" i="20"/>
  <c r="CHB27" i="20"/>
  <c r="CHC27" i="20"/>
  <c r="CHD27" i="20"/>
  <c r="CHE27" i="20"/>
  <c r="CHF27" i="20"/>
  <c r="CHG27" i="20"/>
  <c r="CHH27" i="20"/>
  <c r="CHI27" i="20"/>
  <c r="CHJ27" i="20"/>
  <c r="CHK27" i="20"/>
  <c r="CHL27" i="20"/>
  <c r="CHM27" i="20"/>
  <c r="CHN27" i="20"/>
  <c r="CHO27" i="20"/>
  <c r="CHP27" i="20"/>
  <c r="CHQ27" i="20"/>
  <c r="CHR27" i="20"/>
  <c r="CHS27" i="20"/>
  <c r="CHT27" i="20"/>
  <c r="CHU27" i="20"/>
  <c r="CHV27" i="20"/>
  <c r="CHW27" i="20"/>
  <c r="CHX27" i="20"/>
  <c r="CHY27" i="20"/>
  <c r="CHZ27" i="20"/>
  <c r="CIA27" i="20"/>
  <c r="CIB27" i="20"/>
  <c r="CIC27" i="20"/>
  <c r="CID27" i="20"/>
  <c r="CIE27" i="20"/>
  <c r="CIF27" i="20"/>
  <c r="CIG27" i="20"/>
  <c r="CIH27" i="20"/>
  <c r="CII27" i="20"/>
  <c r="CIJ27" i="20"/>
  <c r="CIK27" i="20"/>
  <c r="CIL27" i="20"/>
  <c r="CIM27" i="20"/>
  <c r="CIN27" i="20"/>
  <c r="CIO27" i="20"/>
  <c r="CIP27" i="20"/>
  <c r="CIQ27" i="20"/>
  <c r="CIR27" i="20"/>
  <c r="CIS27" i="20"/>
  <c r="CIT27" i="20"/>
  <c r="CIU27" i="20"/>
  <c r="CIV27" i="20"/>
  <c r="CIW27" i="20"/>
  <c r="CIX27" i="20"/>
  <c r="CIY27" i="20"/>
  <c r="CIZ27" i="20"/>
  <c r="CJA27" i="20"/>
  <c r="CJB27" i="20"/>
  <c r="CJC27" i="20"/>
  <c r="CJD27" i="20"/>
  <c r="CJE27" i="20"/>
  <c r="CJF27" i="20"/>
  <c r="CJG27" i="20"/>
  <c r="CJH27" i="20"/>
  <c r="CJI27" i="20"/>
  <c r="CJJ27" i="20"/>
  <c r="CJK27" i="20"/>
  <c r="CJL27" i="20"/>
  <c r="CJM27" i="20"/>
  <c r="CJN27" i="20"/>
  <c r="CJO27" i="20"/>
  <c r="CJP27" i="20"/>
  <c r="CJQ27" i="20"/>
  <c r="CJR27" i="20"/>
  <c r="CJS27" i="20"/>
  <c r="CJT27" i="20"/>
  <c r="CJU27" i="20"/>
  <c r="CJV27" i="20"/>
  <c r="CJW27" i="20"/>
  <c r="CJX27" i="20"/>
  <c r="CJY27" i="20"/>
  <c r="CJZ27" i="20"/>
  <c r="CKA27" i="20"/>
  <c r="CKB27" i="20"/>
  <c r="CKC27" i="20"/>
  <c r="CKD27" i="20"/>
  <c r="CKE27" i="20"/>
  <c r="CKF27" i="20"/>
  <c r="CKG27" i="20"/>
  <c r="CKH27" i="20"/>
  <c r="CKI27" i="20"/>
  <c r="CKJ27" i="20"/>
  <c r="CKK27" i="20"/>
  <c r="CKL27" i="20"/>
  <c r="CKM27" i="20"/>
  <c r="CKN27" i="20"/>
  <c r="CKO27" i="20"/>
  <c r="CKP27" i="20"/>
  <c r="CKQ27" i="20"/>
  <c r="CKR27" i="20"/>
  <c r="CKS27" i="20"/>
  <c r="CKT27" i="20"/>
  <c r="CKU27" i="20"/>
  <c r="CKV27" i="20"/>
  <c r="CKW27" i="20"/>
  <c r="CKX27" i="20"/>
  <c r="CKY27" i="20"/>
  <c r="CKZ27" i="20"/>
  <c r="CLA27" i="20"/>
  <c r="CLB27" i="20"/>
  <c r="CLC27" i="20"/>
  <c r="CLD27" i="20"/>
  <c r="CLE27" i="20"/>
  <c r="CLF27" i="20"/>
  <c r="CLG27" i="20"/>
  <c r="CLH27" i="20"/>
  <c r="CLI27" i="20"/>
  <c r="CLJ27" i="20"/>
  <c r="CLK27" i="20"/>
  <c r="CLL27" i="20"/>
  <c r="CLM27" i="20"/>
  <c r="CLN27" i="20"/>
  <c r="CLO27" i="20"/>
  <c r="CLP27" i="20"/>
  <c r="CLQ27" i="20"/>
  <c r="CLR27" i="20"/>
  <c r="CLS27" i="20"/>
  <c r="CLT27" i="20"/>
  <c r="CLU27" i="20"/>
  <c r="CLV27" i="20"/>
  <c r="CLW27" i="20"/>
  <c r="CLX27" i="20"/>
  <c r="CLY27" i="20"/>
  <c r="CLZ27" i="20"/>
  <c r="CMA27" i="20"/>
  <c r="CMB27" i="20"/>
  <c r="CMC27" i="20"/>
  <c r="CMD27" i="20"/>
  <c r="CME27" i="20"/>
  <c r="CMF27" i="20"/>
  <c r="CMG27" i="20"/>
  <c r="CMH27" i="20"/>
  <c r="CMI27" i="20"/>
  <c r="CMJ27" i="20"/>
  <c r="CMK27" i="20"/>
  <c r="CML27" i="20"/>
  <c r="CMM27" i="20"/>
  <c r="CMN27" i="20"/>
  <c r="CMO27" i="20"/>
  <c r="CMP27" i="20"/>
  <c r="CMQ27" i="20"/>
  <c r="CMR27" i="20"/>
  <c r="CMS27" i="20"/>
  <c r="CMT27" i="20"/>
  <c r="CMU27" i="20"/>
  <c r="CMV27" i="20"/>
  <c r="CMW27" i="20"/>
  <c r="CMX27" i="20"/>
  <c r="CMY27" i="20"/>
  <c r="CMZ27" i="20"/>
  <c r="CNA27" i="20"/>
  <c r="CNB27" i="20"/>
  <c r="CNC27" i="20"/>
  <c r="CND27" i="20"/>
  <c r="CNE27" i="20"/>
  <c r="CNF27" i="20"/>
  <c r="CNG27" i="20"/>
  <c r="CNH27" i="20"/>
  <c r="CNI27" i="20"/>
  <c r="CNJ27" i="20"/>
  <c r="CNK27" i="20"/>
  <c r="CNL27" i="20"/>
  <c r="CNM27" i="20"/>
  <c r="CNN27" i="20"/>
  <c r="CNO27" i="20"/>
  <c r="CNP27" i="20"/>
  <c r="CNQ27" i="20"/>
  <c r="CNR27" i="20"/>
  <c r="CNS27" i="20"/>
  <c r="CNT27" i="20"/>
  <c r="CNU27" i="20"/>
  <c r="CNV27" i="20"/>
  <c r="CNW27" i="20"/>
  <c r="CNX27" i="20"/>
  <c r="CNY27" i="20"/>
  <c r="CNZ27" i="20"/>
  <c r="COA27" i="20"/>
  <c r="COB27" i="20"/>
  <c r="COC27" i="20"/>
  <c r="COD27" i="20"/>
  <c r="COE27" i="20"/>
  <c r="COF27" i="20"/>
  <c r="COG27" i="20"/>
  <c r="COH27" i="20"/>
  <c r="COI27" i="20"/>
  <c r="COJ27" i="20"/>
  <c r="COK27" i="20"/>
  <c r="COL27" i="20"/>
  <c r="COM27" i="20"/>
  <c r="CON27" i="20"/>
  <c r="COO27" i="20"/>
  <c r="COP27" i="20"/>
  <c r="COQ27" i="20"/>
  <c r="COR27" i="20"/>
  <c r="COS27" i="20"/>
  <c r="COT27" i="20"/>
  <c r="COU27" i="20"/>
  <c r="COV27" i="20"/>
  <c r="COW27" i="20"/>
  <c r="COX27" i="20"/>
  <c r="COY27" i="20"/>
  <c r="COZ27" i="20"/>
  <c r="CPA27" i="20"/>
  <c r="CPB27" i="20"/>
  <c r="CPC27" i="20"/>
  <c r="CPD27" i="20"/>
  <c r="CPE27" i="20"/>
  <c r="CPF27" i="20"/>
  <c r="CPG27" i="20"/>
  <c r="CPH27" i="20"/>
  <c r="CPI27" i="20"/>
  <c r="CPJ27" i="20"/>
  <c r="CPK27" i="20"/>
  <c r="CPL27" i="20"/>
  <c r="CPM27" i="20"/>
  <c r="CPN27" i="20"/>
  <c r="CPO27" i="20"/>
  <c r="CPP27" i="20"/>
  <c r="CPQ27" i="20"/>
  <c r="CPR27" i="20"/>
  <c r="CPS27" i="20"/>
  <c r="CPT27" i="20"/>
  <c r="CPU27" i="20"/>
  <c r="CPV27" i="20"/>
  <c r="CPW27" i="20"/>
  <c r="CPX27" i="20"/>
  <c r="CPY27" i="20"/>
  <c r="CPZ27" i="20"/>
  <c r="CQA27" i="20"/>
  <c r="CQB27" i="20"/>
  <c r="CQC27" i="20"/>
  <c r="CQD27" i="20"/>
  <c r="CQE27" i="20"/>
  <c r="CQF27" i="20"/>
  <c r="CQG27" i="20"/>
  <c r="CQH27" i="20"/>
  <c r="CQI27" i="20"/>
  <c r="CQJ27" i="20"/>
  <c r="CQK27" i="20"/>
  <c r="CQL27" i="20"/>
  <c r="CQM27" i="20"/>
  <c r="CQN27" i="20"/>
  <c r="CQO27" i="20"/>
  <c r="CQP27" i="20"/>
  <c r="CQQ27" i="20"/>
  <c r="CQR27" i="20"/>
  <c r="CQS27" i="20"/>
  <c r="CQT27" i="20"/>
  <c r="CQU27" i="20"/>
  <c r="CQV27" i="20"/>
  <c r="CQW27" i="20"/>
  <c r="CQX27" i="20"/>
  <c r="CQY27" i="20"/>
  <c r="CQZ27" i="20"/>
  <c r="CRA27" i="20"/>
  <c r="CRB27" i="20"/>
  <c r="CRC27" i="20"/>
  <c r="CRD27" i="20"/>
  <c r="CRE27" i="20"/>
  <c r="CRF27" i="20"/>
  <c r="CRG27" i="20"/>
  <c r="CRH27" i="20"/>
  <c r="CRI27" i="20"/>
  <c r="CRJ27" i="20"/>
  <c r="CRK27" i="20"/>
  <c r="CRL27" i="20"/>
  <c r="CRM27" i="20"/>
  <c r="CRN27" i="20"/>
  <c r="CRO27" i="20"/>
  <c r="CRP27" i="20"/>
  <c r="CRQ27" i="20"/>
  <c r="CRR27" i="20"/>
  <c r="CRS27" i="20"/>
  <c r="CRT27" i="20"/>
  <c r="CRU27" i="20"/>
  <c r="CRV27" i="20"/>
  <c r="CRW27" i="20"/>
  <c r="CRX27" i="20"/>
  <c r="CRY27" i="20"/>
  <c r="CRZ27" i="20"/>
  <c r="CSA27" i="20"/>
  <c r="CSB27" i="20"/>
  <c r="CSC27" i="20"/>
  <c r="CSD27" i="20"/>
  <c r="CSE27" i="20"/>
  <c r="CSF27" i="20"/>
  <c r="CSG27" i="20"/>
  <c r="CSH27" i="20"/>
  <c r="CSI27" i="20"/>
  <c r="CSJ27" i="20"/>
  <c r="CSK27" i="20"/>
  <c r="CSL27" i="20"/>
  <c r="CSM27" i="20"/>
  <c r="CSN27" i="20"/>
  <c r="CSO27" i="20"/>
  <c r="CSP27" i="20"/>
  <c r="CSQ27" i="20"/>
  <c r="CSR27" i="20"/>
  <c r="CSS27" i="20"/>
  <c r="CST27" i="20"/>
  <c r="CSU27" i="20"/>
  <c r="CSV27" i="20"/>
  <c r="CSW27" i="20"/>
  <c r="CSX27" i="20"/>
  <c r="CSY27" i="20"/>
  <c r="CSZ27" i="20"/>
  <c r="CTA27" i="20"/>
  <c r="CTB27" i="20"/>
  <c r="CTC27" i="20"/>
  <c r="CTD27" i="20"/>
  <c r="CTE27" i="20"/>
  <c r="CTF27" i="20"/>
  <c r="CTG27" i="20"/>
  <c r="CTH27" i="20"/>
  <c r="CTI27" i="20"/>
  <c r="CTJ27" i="20"/>
  <c r="CTK27" i="20"/>
  <c r="CTL27" i="20"/>
  <c r="CTM27" i="20"/>
  <c r="CTN27" i="20"/>
  <c r="CTO27" i="20"/>
  <c r="CTP27" i="20"/>
  <c r="CTQ27" i="20"/>
  <c r="CTR27" i="20"/>
  <c r="CTS27" i="20"/>
  <c r="CTT27" i="20"/>
  <c r="CTU27" i="20"/>
  <c r="CTV27" i="20"/>
  <c r="CTW27" i="20"/>
  <c r="CTX27" i="20"/>
  <c r="CTY27" i="20"/>
  <c r="CTZ27" i="20"/>
  <c r="CUA27" i="20"/>
  <c r="CUB27" i="20"/>
  <c r="CUC27" i="20"/>
  <c r="CUD27" i="20"/>
  <c r="CUE27" i="20"/>
  <c r="CUF27" i="20"/>
  <c r="CUG27" i="20"/>
  <c r="CUH27" i="20"/>
  <c r="CUI27" i="20"/>
  <c r="CUJ27" i="20"/>
  <c r="CUK27" i="20"/>
  <c r="CUL27" i="20"/>
  <c r="CUM27" i="20"/>
  <c r="CUN27" i="20"/>
  <c r="CUO27" i="20"/>
  <c r="CUP27" i="20"/>
  <c r="CUQ27" i="20"/>
  <c r="CUR27" i="20"/>
  <c r="CUS27" i="20"/>
  <c r="CUT27" i="20"/>
  <c r="CUU27" i="20"/>
  <c r="CUV27" i="20"/>
  <c r="CUW27" i="20"/>
  <c r="CUX27" i="20"/>
  <c r="CUY27" i="20"/>
  <c r="CUZ27" i="20"/>
  <c r="CVA27" i="20"/>
  <c r="CVB27" i="20"/>
  <c r="CVC27" i="20"/>
  <c r="CVD27" i="20"/>
  <c r="CVE27" i="20"/>
  <c r="CVF27" i="20"/>
  <c r="CVG27" i="20"/>
  <c r="CVH27" i="20"/>
  <c r="CVI27" i="20"/>
  <c r="CVJ27" i="20"/>
  <c r="CVK27" i="20"/>
  <c r="CVL27" i="20"/>
  <c r="CVM27" i="20"/>
  <c r="CVN27" i="20"/>
  <c r="CVO27" i="20"/>
  <c r="CVP27" i="20"/>
  <c r="CVQ27" i="20"/>
  <c r="CVR27" i="20"/>
  <c r="CVS27" i="20"/>
  <c r="CVT27" i="20"/>
  <c r="CVU27" i="20"/>
  <c r="CVV27" i="20"/>
  <c r="CVW27" i="20"/>
  <c r="CVX27" i="20"/>
  <c r="CVY27" i="20"/>
  <c r="CVZ27" i="20"/>
  <c r="CWA27" i="20"/>
  <c r="CWB27" i="20"/>
  <c r="CWC27" i="20"/>
  <c r="CWD27" i="20"/>
  <c r="CWE27" i="20"/>
  <c r="CWF27" i="20"/>
  <c r="CWG27" i="20"/>
  <c r="CWH27" i="20"/>
  <c r="CWI27" i="20"/>
  <c r="CWJ27" i="20"/>
  <c r="CWK27" i="20"/>
  <c r="CWL27" i="20"/>
  <c r="CWM27" i="20"/>
  <c r="CWN27" i="20"/>
  <c r="CWO27" i="20"/>
  <c r="CWP27" i="20"/>
  <c r="CWQ27" i="20"/>
  <c r="CWR27" i="20"/>
  <c r="CWS27" i="20"/>
  <c r="CWT27" i="20"/>
  <c r="CWU27" i="20"/>
  <c r="CWV27" i="20"/>
  <c r="CWW27" i="20"/>
  <c r="CWX27" i="20"/>
  <c r="CWY27" i="20"/>
  <c r="CWZ27" i="20"/>
  <c r="CXA27" i="20"/>
  <c r="CXB27" i="20"/>
  <c r="CXC27" i="20"/>
  <c r="CXD27" i="20"/>
  <c r="CXE27" i="20"/>
  <c r="CXF27" i="20"/>
  <c r="CXG27" i="20"/>
  <c r="CXH27" i="20"/>
  <c r="CXI27" i="20"/>
  <c r="CXJ27" i="20"/>
  <c r="CXK27" i="20"/>
  <c r="CXL27" i="20"/>
  <c r="CXM27" i="20"/>
  <c r="CXN27" i="20"/>
  <c r="CXO27" i="20"/>
  <c r="CXP27" i="20"/>
  <c r="CXQ27" i="20"/>
  <c r="CXR27" i="20"/>
  <c r="CXS27" i="20"/>
  <c r="CXT27" i="20"/>
  <c r="CXU27" i="20"/>
  <c r="CXV27" i="20"/>
  <c r="CXW27" i="20"/>
  <c r="CXX27" i="20"/>
  <c r="CXY27" i="20"/>
  <c r="CXZ27" i="20"/>
  <c r="CYA27" i="20"/>
  <c r="CYB27" i="20"/>
  <c r="CYC27" i="20"/>
  <c r="CYD27" i="20"/>
  <c r="CYE27" i="20"/>
  <c r="CYF27" i="20"/>
  <c r="CYG27" i="20"/>
  <c r="CYH27" i="20"/>
  <c r="CYI27" i="20"/>
  <c r="CYJ27" i="20"/>
  <c r="CYK27" i="20"/>
  <c r="CYL27" i="20"/>
  <c r="CYM27" i="20"/>
  <c r="CYN27" i="20"/>
  <c r="CYO27" i="20"/>
  <c r="CYP27" i="20"/>
  <c r="CYQ27" i="20"/>
  <c r="CYR27" i="20"/>
  <c r="CYS27" i="20"/>
  <c r="CYT27" i="20"/>
  <c r="CYU27" i="20"/>
  <c r="CYV27" i="20"/>
  <c r="CYW27" i="20"/>
  <c r="CYX27" i="20"/>
  <c r="CYY27" i="20"/>
  <c r="CYZ27" i="20"/>
  <c r="CZA27" i="20"/>
  <c r="CZB27" i="20"/>
  <c r="CZC27" i="20"/>
  <c r="CZD27" i="20"/>
  <c r="CZE27" i="20"/>
  <c r="CZF27" i="20"/>
  <c r="CZG27" i="20"/>
  <c r="CZH27" i="20"/>
  <c r="CZI27" i="20"/>
  <c r="CZJ27" i="20"/>
  <c r="CZK27" i="20"/>
  <c r="CZL27" i="20"/>
  <c r="CZM27" i="20"/>
  <c r="CZN27" i="20"/>
  <c r="CZO27" i="20"/>
  <c r="CZP27" i="20"/>
  <c r="CZQ27" i="20"/>
  <c r="CZR27" i="20"/>
  <c r="CZS27" i="20"/>
  <c r="CZT27" i="20"/>
  <c r="CZU27" i="20"/>
  <c r="CZV27" i="20"/>
  <c r="CZW27" i="20"/>
  <c r="CZX27" i="20"/>
  <c r="CZY27" i="20"/>
  <c r="CZZ27" i="20"/>
  <c r="DAA27" i="20"/>
  <c r="DAB27" i="20"/>
  <c r="DAC27" i="20"/>
  <c r="DAD27" i="20"/>
  <c r="DAE27" i="20"/>
  <c r="DAF27" i="20"/>
  <c r="DAG27" i="20"/>
  <c r="DAH27" i="20"/>
  <c r="DAI27" i="20"/>
  <c r="DAJ27" i="20"/>
  <c r="DAK27" i="20"/>
  <c r="DAL27" i="20"/>
  <c r="DAM27" i="20"/>
  <c r="DAN27" i="20"/>
  <c r="DAO27" i="20"/>
  <c r="DAP27" i="20"/>
  <c r="DAQ27" i="20"/>
  <c r="DAR27" i="20"/>
  <c r="DAS27" i="20"/>
  <c r="DAT27" i="20"/>
  <c r="DAU27" i="20"/>
  <c r="DAV27" i="20"/>
  <c r="DAW27" i="20"/>
  <c r="DAX27" i="20"/>
  <c r="DAY27" i="20"/>
  <c r="DAZ27" i="20"/>
  <c r="DBA27" i="20"/>
  <c r="DBB27" i="20"/>
  <c r="DBC27" i="20"/>
  <c r="DBD27" i="20"/>
  <c r="DBE27" i="20"/>
  <c r="DBF27" i="20"/>
  <c r="DBG27" i="20"/>
  <c r="DBH27" i="20"/>
  <c r="DBI27" i="20"/>
  <c r="DBJ27" i="20"/>
  <c r="DBK27" i="20"/>
  <c r="DBL27" i="20"/>
  <c r="DBM27" i="20"/>
  <c r="DBN27" i="20"/>
  <c r="DBO27" i="20"/>
  <c r="DBP27" i="20"/>
  <c r="DBQ27" i="20"/>
  <c r="DBR27" i="20"/>
  <c r="DBS27" i="20"/>
  <c r="DBT27" i="20"/>
  <c r="DBU27" i="20"/>
  <c r="DBV27" i="20"/>
  <c r="DBW27" i="20"/>
  <c r="DBX27" i="20"/>
  <c r="DBY27" i="20"/>
  <c r="DBZ27" i="20"/>
  <c r="DCA27" i="20"/>
  <c r="DCB27" i="20"/>
  <c r="DCC27" i="20"/>
  <c r="DCD27" i="20"/>
  <c r="DCE27" i="20"/>
  <c r="DCF27" i="20"/>
  <c r="DCG27" i="20"/>
  <c r="DCH27" i="20"/>
  <c r="DCI27" i="20"/>
  <c r="DCJ27" i="20"/>
  <c r="DCK27" i="20"/>
  <c r="DCL27" i="20"/>
  <c r="DCM27" i="20"/>
  <c r="DCN27" i="20"/>
  <c r="DCO27" i="20"/>
  <c r="DCP27" i="20"/>
  <c r="DCQ27" i="20"/>
  <c r="DCR27" i="20"/>
  <c r="DCS27" i="20"/>
  <c r="DCT27" i="20"/>
  <c r="DCU27" i="20"/>
  <c r="DCV27" i="20"/>
  <c r="DCW27" i="20"/>
  <c r="DCX27" i="20"/>
  <c r="DCY27" i="20"/>
  <c r="DCZ27" i="20"/>
  <c r="DDA27" i="20"/>
  <c r="DDB27" i="20"/>
  <c r="DDC27" i="20"/>
  <c r="DDD27" i="20"/>
  <c r="DDE27" i="20"/>
  <c r="DDF27" i="20"/>
  <c r="DDG27" i="20"/>
  <c r="DDH27" i="20"/>
  <c r="DDI27" i="20"/>
  <c r="AAE28" i="20"/>
  <c r="AAF28" i="20"/>
  <c r="AAG28" i="20"/>
  <c r="AAH28" i="20"/>
  <c r="AAI28" i="20"/>
  <c r="AAJ28" i="20"/>
  <c r="AAK28" i="20"/>
  <c r="AAL28" i="20"/>
  <c r="AAM28" i="20"/>
  <c r="AAN28" i="20"/>
  <c r="AAO28" i="20"/>
  <c r="AAP28" i="20"/>
  <c r="AAQ28" i="20"/>
  <c r="AAR28" i="20"/>
  <c r="AAS28" i="20"/>
  <c r="AAT28" i="20"/>
  <c r="AAU28" i="20"/>
  <c r="AAV28" i="20"/>
  <c r="AAW28" i="20"/>
  <c r="AAX28" i="20"/>
  <c r="AAY28" i="20"/>
  <c r="AAZ28" i="20"/>
  <c r="ABA28" i="20"/>
  <c r="ABB28" i="20"/>
  <c r="ABC28" i="20"/>
  <c r="ABD28" i="20"/>
  <c r="ABE28" i="20"/>
  <c r="ABF28" i="20"/>
  <c r="ABG28" i="20"/>
  <c r="ABH28" i="20"/>
  <c r="ABI28" i="20"/>
  <c r="ABJ28" i="20"/>
  <c r="ABK28" i="20"/>
  <c r="ABL28" i="20"/>
  <c r="ABM28" i="20"/>
  <c r="ABN28" i="20"/>
  <c r="ABO28" i="20"/>
  <c r="ABP28" i="20"/>
  <c r="ABQ28" i="20"/>
  <c r="ABR28" i="20"/>
  <c r="ABS28" i="20"/>
  <c r="ABT28" i="20"/>
  <c r="ABU28" i="20"/>
  <c r="ABV28" i="20"/>
  <c r="ABW28" i="20"/>
  <c r="ABX28" i="20"/>
  <c r="ABY28" i="20"/>
  <c r="ABZ28" i="20"/>
  <c r="ACA28" i="20"/>
  <c r="ACB28" i="20"/>
  <c r="ACC28" i="20"/>
  <c r="ACD28" i="20"/>
  <c r="ACE28" i="20"/>
  <c r="ACF28" i="20"/>
  <c r="ACG28" i="20"/>
  <c r="ACH28" i="20"/>
  <c r="ACI28" i="20"/>
  <c r="ACJ28" i="20"/>
  <c r="ACK28" i="20"/>
  <c r="ACL28" i="20"/>
  <c r="ACM28" i="20"/>
  <c r="ACN28" i="20"/>
  <c r="ACO28" i="20"/>
  <c r="ACP28" i="20"/>
  <c r="ACQ28" i="20"/>
  <c r="ACR28" i="20"/>
  <c r="ACS28" i="20"/>
  <c r="ACT28" i="20"/>
  <c r="ACU28" i="20"/>
  <c r="ACV28" i="20"/>
  <c r="ACW28" i="20"/>
  <c r="ACX28" i="20"/>
  <c r="ACY28" i="20"/>
  <c r="ACZ28" i="20"/>
  <c r="ADA28" i="20"/>
  <c r="ADB28" i="20"/>
  <c r="ADC28" i="20"/>
  <c r="ADD28" i="20"/>
  <c r="ADE28" i="20"/>
  <c r="ADF28" i="20"/>
  <c r="ADG28" i="20"/>
  <c r="ADH28" i="20"/>
  <c r="ADI28" i="20"/>
  <c r="ADJ28" i="20"/>
  <c r="ADK28" i="20"/>
  <c r="ADL28" i="20"/>
  <c r="ADM28" i="20"/>
  <c r="ADN28" i="20"/>
  <c r="ADO28" i="20"/>
  <c r="ADP28" i="20"/>
  <c r="ADQ28" i="20"/>
  <c r="ADR28" i="20"/>
  <c r="ADS28" i="20"/>
  <c r="ADT28" i="20"/>
  <c r="ADU28" i="20"/>
  <c r="ADV28" i="20"/>
  <c r="ADW28" i="20"/>
  <c r="ADX28" i="20"/>
  <c r="ADY28" i="20"/>
  <c r="ADZ28" i="20"/>
  <c r="AEA28" i="20"/>
  <c r="AEB28" i="20"/>
  <c r="AEC28" i="20"/>
  <c r="AED28" i="20"/>
  <c r="AEE28" i="20"/>
  <c r="AEF28" i="20"/>
  <c r="AEG28" i="20"/>
  <c r="AEH28" i="20"/>
  <c r="AEI28" i="20"/>
  <c r="AEJ28" i="20"/>
  <c r="AEK28" i="20"/>
  <c r="AEL28" i="20"/>
  <c r="AEM28" i="20"/>
  <c r="AEN28" i="20"/>
  <c r="AEO28" i="20"/>
  <c r="AEP28" i="20"/>
  <c r="AEQ28" i="20"/>
  <c r="AER28" i="20"/>
  <c r="AES28" i="20"/>
  <c r="AET28" i="20"/>
  <c r="AEU28" i="20"/>
  <c r="AEV28" i="20"/>
  <c r="AEW28" i="20"/>
  <c r="AEX28" i="20"/>
  <c r="AEY28" i="20"/>
  <c r="AEZ28" i="20"/>
  <c r="AFA28" i="20"/>
  <c r="AFB28" i="20"/>
  <c r="AFC28" i="20"/>
  <c r="AFD28" i="20"/>
  <c r="AFE28" i="20"/>
  <c r="AFF28" i="20"/>
  <c r="AFG28" i="20"/>
  <c r="AFH28" i="20"/>
  <c r="AFI28" i="20"/>
  <c r="AFJ28" i="20"/>
  <c r="AFK28" i="20"/>
  <c r="AFL28" i="20"/>
  <c r="AFM28" i="20"/>
  <c r="AFN28" i="20"/>
  <c r="AFO28" i="20"/>
  <c r="AFP28" i="20"/>
  <c r="AFQ28" i="20"/>
  <c r="AFR28" i="20"/>
  <c r="AFS28" i="20"/>
  <c r="AFT28" i="20"/>
  <c r="AFU28" i="20"/>
  <c r="AFV28" i="20"/>
  <c r="AFW28" i="20"/>
  <c r="AFX28" i="20"/>
  <c r="AFY28" i="20"/>
  <c r="AFZ28" i="20"/>
  <c r="AGA28" i="20"/>
  <c r="AGB28" i="20"/>
  <c r="AGC28" i="20"/>
  <c r="AGD28" i="20"/>
  <c r="AGE28" i="20"/>
  <c r="AGF28" i="20"/>
  <c r="AGG28" i="20"/>
  <c r="AGH28" i="20"/>
  <c r="AGI28" i="20"/>
  <c r="AGJ28" i="20"/>
  <c r="AGK28" i="20"/>
  <c r="AGL28" i="20"/>
  <c r="AGM28" i="20"/>
  <c r="AGN28" i="20"/>
  <c r="AGO28" i="20"/>
  <c r="AGP28" i="20"/>
  <c r="AGQ28" i="20"/>
  <c r="AGR28" i="20"/>
  <c r="AGS28" i="20"/>
  <c r="AGT28" i="20"/>
  <c r="AGU28" i="20"/>
  <c r="AGV28" i="20"/>
  <c r="AGW28" i="20"/>
  <c r="AGX28" i="20"/>
  <c r="AGY28" i="20"/>
  <c r="AGZ28" i="20"/>
  <c r="AHA28" i="20"/>
  <c r="AHB28" i="20"/>
  <c r="AHC28" i="20"/>
  <c r="AHD28" i="20"/>
  <c r="AHE28" i="20"/>
  <c r="AHF28" i="20"/>
  <c r="AHG28" i="20"/>
  <c r="AHH28" i="20"/>
  <c r="AHI28" i="20"/>
  <c r="AHJ28" i="20"/>
  <c r="AHK28" i="20"/>
  <c r="AHL28" i="20"/>
  <c r="AHM28" i="20"/>
  <c r="AHN28" i="20"/>
  <c r="AHO28" i="20"/>
  <c r="AHP28" i="20"/>
  <c r="AHQ28" i="20"/>
  <c r="AHR28" i="20"/>
  <c r="AHS28" i="20"/>
  <c r="AHT28" i="20"/>
  <c r="AHU28" i="20"/>
  <c r="AHV28" i="20"/>
  <c r="AHW28" i="20"/>
  <c r="AHX28" i="20"/>
  <c r="AHY28" i="20"/>
  <c r="AHZ28" i="20"/>
  <c r="AIA28" i="20"/>
  <c r="AIB28" i="20"/>
  <c r="AIC28" i="20"/>
  <c r="AID28" i="20"/>
  <c r="AIE28" i="20"/>
  <c r="AIF28" i="20"/>
  <c r="AIG28" i="20"/>
  <c r="AIH28" i="20"/>
  <c r="AII28" i="20"/>
  <c r="AIJ28" i="20"/>
  <c r="AIK28" i="20"/>
  <c r="AIL28" i="20"/>
  <c r="AIM28" i="20"/>
  <c r="AIN28" i="20"/>
  <c r="AIO28" i="20"/>
  <c r="AIP28" i="20"/>
  <c r="AIQ28" i="20"/>
  <c r="AIR28" i="20"/>
  <c r="AIS28" i="20"/>
  <c r="AIT28" i="20"/>
  <c r="AIU28" i="20"/>
  <c r="AIV28" i="20"/>
  <c r="AIW28" i="20"/>
  <c r="AIX28" i="20"/>
  <c r="AIY28" i="20"/>
  <c r="AIZ28" i="20"/>
  <c r="AJA28" i="20"/>
  <c r="AJB28" i="20"/>
  <c r="AJC28" i="20"/>
  <c r="AJD28" i="20"/>
  <c r="AJE28" i="20"/>
  <c r="AJF28" i="20"/>
  <c r="AJG28" i="20"/>
  <c r="AJH28" i="20"/>
  <c r="AJI28" i="20"/>
  <c r="AJJ28" i="20"/>
  <c r="AJK28" i="20"/>
  <c r="AJL28" i="20"/>
  <c r="AJM28" i="20"/>
  <c r="AJN28" i="20"/>
  <c r="AJO28" i="20"/>
  <c r="AJP28" i="20"/>
  <c r="AJQ28" i="20"/>
  <c r="AJR28" i="20"/>
  <c r="AJS28" i="20"/>
  <c r="AJT28" i="20"/>
  <c r="AJU28" i="20"/>
  <c r="AJV28" i="20"/>
  <c r="AJW28" i="20"/>
  <c r="AJX28" i="20"/>
  <c r="AJY28" i="20"/>
  <c r="AJZ28" i="20"/>
  <c r="AKA28" i="20"/>
  <c r="AKB28" i="20"/>
  <c r="AKC28" i="20"/>
  <c r="AKD28" i="20"/>
  <c r="AKE28" i="20"/>
  <c r="AKF28" i="20"/>
  <c r="AKG28" i="20"/>
  <c r="AKH28" i="20"/>
  <c r="AKI28" i="20"/>
  <c r="AKJ28" i="20"/>
  <c r="AKK28" i="20"/>
  <c r="AKL28" i="20"/>
  <c r="AKM28" i="20"/>
  <c r="AKN28" i="20"/>
  <c r="AKO28" i="20"/>
  <c r="AKP28" i="20"/>
  <c r="AKQ28" i="20"/>
  <c r="AKR28" i="20"/>
  <c r="AKS28" i="20"/>
  <c r="AKT28" i="20"/>
  <c r="AKU28" i="20"/>
  <c r="AKV28" i="20"/>
  <c r="AKW28" i="20"/>
  <c r="AKX28" i="20"/>
  <c r="AKY28" i="20"/>
  <c r="AKZ28" i="20"/>
  <c r="ALA28" i="20"/>
  <c r="ALB28" i="20"/>
  <c r="ALC28" i="20"/>
  <c r="ALD28" i="20"/>
  <c r="ALE28" i="20"/>
  <c r="ALF28" i="20"/>
  <c r="ALG28" i="20"/>
  <c r="ALH28" i="20"/>
  <c r="ALI28" i="20"/>
  <c r="ALJ28" i="20"/>
  <c r="ALK28" i="20"/>
  <c r="ALL28" i="20"/>
  <c r="ALM28" i="20"/>
  <c r="ALN28" i="20"/>
  <c r="ALO28" i="20"/>
  <c r="ALP28" i="20"/>
  <c r="ALQ28" i="20"/>
  <c r="ALR28" i="20"/>
  <c r="ALS28" i="20"/>
  <c r="ALT28" i="20"/>
  <c r="ALU28" i="20"/>
  <c r="ALV28" i="20"/>
  <c r="ALW28" i="20"/>
  <c r="ALX28" i="20"/>
  <c r="ALY28" i="20"/>
  <c r="ALZ28" i="20"/>
  <c r="AMA28" i="20"/>
  <c r="AMB28" i="20"/>
  <c r="AMC28" i="20"/>
  <c r="AMD28" i="20"/>
  <c r="AME28" i="20"/>
  <c r="AMF28" i="20"/>
  <c r="AMG28" i="20"/>
  <c r="AMH28" i="20"/>
  <c r="AMI28" i="20"/>
  <c r="AMJ28" i="20"/>
  <c r="AMK28" i="20"/>
  <c r="AML28" i="20"/>
  <c r="AMM28" i="20"/>
  <c r="AMN28" i="20"/>
  <c r="AMO28" i="20"/>
  <c r="AMP28" i="20"/>
  <c r="AMQ28" i="20"/>
  <c r="AMR28" i="20"/>
  <c r="AMS28" i="20"/>
  <c r="AMT28" i="20"/>
  <c r="AMU28" i="20"/>
  <c r="AMV28" i="20"/>
  <c r="AMW28" i="20"/>
  <c r="AMX28" i="20"/>
  <c r="AMY28" i="20"/>
  <c r="AMZ28" i="20"/>
  <c r="ANA28" i="20"/>
  <c r="ANB28" i="20"/>
  <c r="ANC28" i="20"/>
  <c r="AND28" i="20"/>
  <c r="ANE28" i="20"/>
  <c r="ANF28" i="20"/>
  <c r="ANG28" i="20"/>
  <c r="ANH28" i="20"/>
  <c r="ANI28" i="20"/>
  <c r="ANJ28" i="20"/>
  <c r="ANK28" i="20"/>
  <c r="ANL28" i="20"/>
  <c r="ANM28" i="20"/>
  <c r="ANN28" i="20"/>
  <c r="ANO28" i="20"/>
  <c r="ANP28" i="20"/>
  <c r="ANQ28" i="20"/>
  <c r="ANR28" i="20"/>
  <c r="ANS28" i="20"/>
  <c r="ANT28" i="20"/>
  <c r="ANU28" i="20"/>
  <c r="ANV28" i="20"/>
  <c r="ANW28" i="20"/>
  <c r="ANX28" i="20"/>
  <c r="ANY28" i="20"/>
  <c r="ANZ28" i="20"/>
  <c r="AOA28" i="20"/>
  <c r="AOB28" i="20"/>
  <c r="AOC28" i="20"/>
  <c r="AOD28" i="20"/>
  <c r="AOE28" i="20"/>
  <c r="AOF28" i="20"/>
  <c r="AOG28" i="20"/>
  <c r="AOH28" i="20"/>
  <c r="AOI28" i="20"/>
  <c r="AOJ28" i="20"/>
  <c r="AOK28" i="20"/>
  <c r="AOL28" i="20"/>
  <c r="AOM28" i="20"/>
  <c r="AON28" i="20"/>
  <c r="AOO28" i="20"/>
  <c r="AOP28" i="20"/>
  <c r="AOQ28" i="20"/>
  <c r="AOR28" i="20"/>
  <c r="AOS28" i="20"/>
  <c r="AOT28" i="20"/>
  <c r="AOU28" i="20"/>
  <c r="AOV28" i="20"/>
  <c r="AOW28" i="20"/>
  <c r="AOX28" i="20"/>
  <c r="AOY28" i="20"/>
  <c r="AOZ28" i="20"/>
  <c r="APA28" i="20"/>
  <c r="APB28" i="20"/>
  <c r="APC28" i="20"/>
  <c r="APD28" i="20"/>
  <c r="APE28" i="20"/>
  <c r="APF28" i="20"/>
  <c r="APG28" i="20"/>
  <c r="APH28" i="20"/>
  <c r="API28" i="20"/>
  <c r="APJ28" i="20"/>
  <c r="APK28" i="20"/>
  <c r="APL28" i="20"/>
  <c r="APM28" i="20"/>
  <c r="APN28" i="20"/>
  <c r="APO28" i="20"/>
  <c r="APP28" i="20"/>
  <c r="APQ28" i="20"/>
  <c r="APR28" i="20"/>
  <c r="APS28" i="20"/>
  <c r="APT28" i="20"/>
  <c r="APU28" i="20"/>
  <c r="APV28" i="20"/>
  <c r="APW28" i="20"/>
  <c r="APX28" i="20"/>
  <c r="APY28" i="20"/>
  <c r="APZ28" i="20"/>
  <c r="AQA28" i="20"/>
  <c r="AQB28" i="20"/>
  <c r="AQC28" i="20"/>
  <c r="AQD28" i="20"/>
  <c r="AQE28" i="20"/>
  <c r="AQF28" i="20"/>
  <c r="AQG28" i="20"/>
  <c r="AQH28" i="20"/>
  <c r="AQI28" i="20"/>
  <c r="AQJ28" i="20"/>
  <c r="AQK28" i="20"/>
  <c r="AQL28" i="20"/>
  <c r="AQM28" i="20"/>
  <c r="AQN28" i="20"/>
  <c r="AQO28" i="20"/>
  <c r="AQP28" i="20"/>
  <c r="AQQ28" i="20"/>
  <c r="AQR28" i="20"/>
  <c r="AQS28" i="20"/>
  <c r="AQT28" i="20"/>
  <c r="AQU28" i="20"/>
  <c r="AQV28" i="20"/>
  <c r="AQW28" i="20"/>
  <c r="AQX28" i="20"/>
  <c r="AQY28" i="20"/>
  <c r="AQZ28" i="20"/>
  <c r="ARA28" i="20"/>
  <c r="ARB28" i="20"/>
  <c r="ARC28" i="20"/>
  <c r="ARD28" i="20"/>
  <c r="ARE28" i="20"/>
  <c r="ARF28" i="20"/>
  <c r="ARG28" i="20"/>
  <c r="ARH28" i="20"/>
  <c r="ARI28" i="20"/>
  <c r="ARJ28" i="20"/>
  <c r="ARK28" i="20"/>
  <c r="ARL28" i="20"/>
  <c r="ARM28" i="20"/>
  <c r="ARN28" i="20"/>
  <c r="ARO28" i="20"/>
  <c r="ARP28" i="20"/>
  <c r="ARQ28" i="20"/>
  <c r="ARR28" i="20"/>
  <c r="ARS28" i="20"/>
  <c r="ART28" i="20"/>
  <c r="ARU28" i="20"/>
  <c r="ARV28" i="20"/>
  <c r="ARW28" i="20"/>
  <c r="ARX28" i="20"/>
  <c r="ARY28" i="20"/>
  <c r="ARZ28" i="20"/>
  <c r="ASA28" i="20"/>
  <c r="ASB28" i="20"/>
  <c r="ASC28" i="20"/>
  <c r="ASD28" i="20"/>
  <c r="ASE28" i="20"/>
  <c r="ASF28" i="20"/>
  <c r="ASG28" i="20"/>
  <c r="ASH28" i="20"/>
  <c r="ASI28" i="20"/>
  <c r="ASJ28" i="20"/>
  <c r="ASK28" i="20"/>
  <c r="ASL28" i="20"/>
  <c r="ASM28" i="20"/>
  <c r="ASN28" i="20"/>
  <c r="ASO28" i="20"/>
  <c r="ASP28" i="20"/>
  <c r="ASQ28" i="20"/>
  <c r="ASR28" i="20"/>
  <c r="ASS28" i="20"/>
  <c r="AST28" i="20"/>
  <c r="ASU28" i="20"/>
  <c r="ASV28" i="20"/>
  <c r="ASW28" i="20"/>
  <c r="ASX28" i="20"/>
  <c r="ASY28" i="20"/>
  <c r="ASZ28" i="20"/>
  <c r="ATA28" i="20"/>
  <c r="ATB28" i="20"/>
  <c r="ATC28" i="20"/>
  <c r="ATD28" i="20"/>
  <c r="ATE28" i="20"/>
  <c r="ATF28" i="20"/>
  <c r="ATG28" i="20"/>
  <c r="ATH28" i="20"/>
  <c r="ATI28" i="20"/>
  <c r="ATJ28" i="20"/>
  <c r="ATK28" i="20"/>
  <c r="ATL28" i="20"/>
  <c r="ATM28" i="20"/>
  <c r="ATN28" i="20"/>
  <c r="ATO28" i="20"/>
  <c r="ATP28" i="20"/>
  <c r="ATQ28" i="20"/>
  <c r="ATR28" i="20"/>
  <c r="ATS28" i="20"/>
  <c r="ATT28" i="20"/>
  <c r="ATU28" i="20"/>
  <c r="ATV28" i="20"/>
  <c r="ATW28" i="20"/>
  <c r="ATX28" i="20"/>
  <c r="ATY28" i="20"/>
  <c r="ATZ28" i="20"/>
  <c r="AUA28" i="20"/>
  <c r="AUB28" i="20"/>
  <c r="AUC28" i="20"/>
  <c r="AUD28" i="20"/>
  <c r="AUE28" i="20"/>
  <c r="AUF28" i="20"/>
  <c r="AUG28" i="20"/>
  <c r="AUH28" i="20"/>
  <c r="AUI28" i="20"/>
  <c r="AUJ28" i="20"/>
  <c r="AUK28" i="20"/>
  <c r="AUL28" i="20"/>
  <c r="AUM28" i="20"/>
  <c r="AUN28" i="20"/>
  <c r="AUO28" i="20"/>
  <c r="AUP28" i="20"/>
  <c r="AUQ28" i="20"/>
  <c r="AUR28" i="20"/>
  <c r="AUS28" i="20"/>
  <c r="AUT28" i="20"/>
  <c r="AUU28" i="20"/>
  <c r="AUV28" i="20"/>
  <c r="AUW28" i="20"/>
  <c r="AUX28" i="20"/>
  <c r="AUY28" i="20"/>
  <c r="AUZ28" i="20"/>
  <c r="AVA28" i="20"/>
  <c r="AVB28" i="20"/>
  <c r="AVC28" i="20"/>
  <c r="AVD28" i="20"/>
  <c r="AVE28" i="20"/>
  <c r="AVF28" i="20"/>
  <c r="AVG28" i="20"/>
  <c r="AVH28" i="20"/>
  <c r="AVI28" i="20"/>
  <c r="AVJ28" i="20"/>
  <c r="AVK28" i="20"/>
  <c r="AVL28" i="20"/>
  <c r="AVM28" i="20"/>
  <c r="AVN28" i="20"/>
  <c r="AVO28" i="20"/>
  <c r="AVP28" i="20"/>
  <c r="AVQ28" i="20"/>
  <c r="AVR28" i="20"/>
  <c r="AVS28" i="20"/>
  <c r="AVT28" i="20"/>
  <c r="AVU28" i="20"/>
  <c r="AVV28" i="20"/>
  <c r="AVW28" i="20"/>
  <c r="AVX28" i="20"/>
  <c r="AVY28" i="20"/>
  <c r="AVZ28" i="20"/>
  <c r="AWA28" i="20"/>
  <c r="AWB28" i="20"/>
  <c r="AWC28" i="20"/>
  <c r="AWD28" i="20"/>
  <c r="AWE28" i="20"/>
  <c r="AWF28" i="20"/>
  <c r="AWG28" i="20"/>
  <c r="AWH28" i="20"/>
  <c r="AWI28" i="20"/>
  <c r="AWJ28" i="20"/>
  <c r="AWK28" i="20"/>
  <c r="AWL28" i="20"/>
  <c r="AWM28" i="20"/>
  <c r="AWN28" i="20"/>
  <c r="AWO28" i="20"/>
  <c r="AWP28" i="20"/>
  <c r="AWQ28" i="20"/>
  <c r="AWR28" i="20"/>
  <c r="AWS28" i="20"/>
  <c r="AWT28" i="20"/>
  <c r="AWU28" i="20"/>
  <c r="AWV28" i="20"/>
  <c r="AWW28" i="20"/>
  <c r="AWX28" i="20"/>
  <c r="AWY28" i="20"/>
  <c r="AWZ28" i="20"/>
  <c r="AXA28" i="20"/>
  <c r="AXB28" i="20"/>
  <c r="AXC28" i="20"/>
  <c r="AXD28" i="20"/>
  <c r="AXE28" i="20"/>
  <c r="AXF28" i="20"/>
  <c r="AXG28" i="20"/>
  <c r="AXH28" i="20"/>
  <c r="AXI28" i="20"/>
  <c r="AXJ28" i="20"/>
  <c r="AXK28" i="20"/>
  <c r="AXL28" i="20"/>
  <c r="AXM28" i="20"/>
  <c r="AXN28" i="20"/>
  <c r="AXO28" i="20"/>
  <c r="AXP28" i="20"/>
  <c r="AXQ28" i="20"/>
  <c r="AXR28" i="20"/>
  <c r="AXS28" i="20"/>
  <c r="AXT28" i="20"/>
  <c r="AXU28" i="20"/>
  <c r="AXV28" i="20"/>
  <c r="AXW28" i="20"/>
  <c r="AXX28" i="20"/>
  <c r="AXY28" i="20"/>
  <c r="AXZ28" i="20"/>
  <c r="AYA28" i="20"/>
  <c r="AYB28" i="20"/>
  <c r="AYC28" i="20"/>
  <c r="AYD28" i="20"/>
  <c r="AYE28" i="20"/>
  <c r="AYF28" i="20"/>
  <c r="AYG28" i="20"/>
  <c r="AYH28" i="20"/>
  <c r="AYI28" i="20"/>
  <c r="AYJ28" i="20"/>
  <c r="AYK28" i="20"/>
  <c r="AYL28" i="20"/>
  <c r="AYM28" i="20"/>
  <c r="AYN28" i="20"/>
  <c r="AYO28" i="20"/>
  <c r="AYP28" i="20"/>
  <c r="AYQ28" i="20"/>
  <c r="AYR28" i="20"/>
  <c r="AYS28" i="20"/>
  <c r="AYT28" i="20"/>
  <c r="AYU28" i="20"/>
  <c r="AYV28" i="20"/>
  <c r="AYW28" i="20"/>
  <c r="AYX28" i="20"/>
  <c r="AYY28" i="20"/>
  <c r="AYZ28" i="20"/>
  <c r="AZA28" i="20"/>
  <c r="AZB28" i="20"/>
  <c r="AZC28" i="20"/>
  <c r="AZD28" i="20"/>
  <c r="AZE28" i="20"/>
  <c r="AZF28" i="20"/>
  <c r="AZG28" i="20"/>
  <c r="AZH28" i="20"/>
  <c r="AZI28" i="20"/>
  <c r="AZJ28" i="20"/>
  <c r="AZK28" i="20"/>
  <c r="AZL28" i="20"/>
  <c r="AZM28" i="20"/>
  <c r="AZN28" i="20"/>
  <c r="AZO28" i="20"/>
  <c r="AZP28" i="20"/>
  <c r="AZQ28" i="20"/>
  <c r="AZR28" i="20"/>
  <c r="AZS28" i="20"/>
  <c r="AZT28" i="20"/>
  <c r="AZU28" i="20"/>
  <c r="AZV28" i="20"/>
  <c r="AZW28" i="20"/>
  <c r="AZX28" i="20"/>
  <c r="AZY28" i="20"/>
  <c r="AZZ28" i="20"/>
  <c r="BAA28" i="20"/>
  <c r="BAB28" i="20"/>
  <c r="BAC28" i="20"/>
  <c r="BAD28" i="20"/>
  <c r="BAE28" i="20"/>
  <c r="BAF28" i="20"/>
  <c r="BAG28" i="20"/>
  <c r="BAH28" i="20"/>
  <c r="BAI28" i="20"/>
  <c r="BAJ28" i="20"/>
  <c r="BAK28" i="20"/>
  <c r="BAL28" i="20"/>
  <c r="BAM28" i="20"/>
  <c r="BAN28" i="20"/>
  <c r="BAO28" i="20"/>
  <c r="BAP28" i="20"/>
  <c r="BAQ28" i="20"/>
  <c r="BAR28" i="20"/>
  <c r="BAS28" i="20"/>
  <c r="BAT28" i="20"/>
  <c r="BAU28" i="20"/>
  <c r="BAV28" i="20"/>
  <c r="BAW28" i="20"/>
  <c r="BAX28" i="20"/>
  <c r="BAY28" i="20"/>
  <c r="BAZ28" i="20"/>
  <c r="BBA28" i="20"/>
  <c r="BBB28" i="20"/>
  <c r="BBC28" i="20"/>
  <c r="BBD28" i="20"/>
  <c r="BBE28" i="20"/>
  <c r="BBF28" i="20"/>
  <c r="BBG28" i="20"/>
  <c r="BBH28" i="20"/>
  <c r="BBI28" i="20"/>
  <c r="BBJ28" i="20"/>
  <c r="BBK28" i="20"/>
  <c r="BBL28" i="20"/>
  <c r="BBM28" i="20"/>
  <c r="BBN28" i="20"/>
  <c r="BBO28" i="20"/>
  <c r="BBP28" i="20"/>
  <c r="BBQ28" i="20"/>
  <c r="BBR28" i="20"/>
  <c r="BBS28" i="20"/>
  <c r="BBT28" i="20"/>
  <c r="BBU28" i="20"/>
  <c r="BBV28" i="20"/>
  <c r="BBW28" i="20"/>
  <c r="BBX28" i="20"/>
  <c r="BBY28" i="20"/>
  <c r="BBZ28" i="20"/>
  <c r="BCA28" i="20"/>
  <c r="BCB28" i="20"/>
  <c r="BCC28" i="20"/>
  <c r="BCD28" i="20"/>
  <c r="BCE28" i="20"/>
  <c r="BCF28" i="20"/>
  <c r="BCG28" i="20"/>
  <c r="BCH28" i="20"/>
  <c r="BCI28" i="20"/>
  <c r="BCJ28" i="20"/>
  <c r="BCK28" i="20"/>
  <c r="BCL28" i="20"/>
  <c r="BCM28" i="20"/>
  <c r="BCN28" i="20"/>
  <c r="BCO28" i="20"/>
  <c r="BCP28" i="20"/>
  <c r="BCQ28" i="20"/>
  <c r="BCR28" i="20"/>
  <c r="BCS28" i="20"/>
  <c r="BCT28" i="20"/>
  <c r="BCU28" i="20"/>
  <c r="BCV28" i="20"/>
  <c r="BCW28" i="20"/>
  <c r="BCX28" i="20"/>
  <c r="BCY28" i="20"/>
  <c r="BCZ28" i="20"/>
  <c r="BDA28" i="20"/>
  <c r="BDB28" i="20"/>
  <c r="BDC28" i="20"/>
  <c r="BDD28" i="20"/>
  <c r="BDE28" i="20"/>
  <c r="BDF28" i="20"/>
  <c r="BDG28" i="20"/>
  <c r="BDH28" i="20"/>
  <c r="BDI28" i="20"/>
  <c r="BDJ28" i="20"/>
  <c r="BDK28" i="20"/>
  <c r="BDL28" i="20"/>
  <c r="BDM28" i="20"/>
  <c r="BDN28" i="20"/>
  <c r="BDO28" i="20"/>
  <c r="BDP28" i="20"/>
  <c r="BDQ28" i="20"/>
  <c r="BDR28" i="20"/>
  <c r="BDS28" i="20"/>
  <c r="BDT28" i="20"/>
  <c r="BDU28" i="20"/>
  <c r="BDV28" i="20"/>
  <c r="BDW28" i="20"/>
  <c r="BDX28" i="20"/>
  <c r="BDY28" i="20"/>
  <c r="BDZ28" i="20"/>
  <c r="BEA28" i="20"/>
  <c r="BEB28" i="20"/>
  <c r="BEC28" i="20"/>
  <c r="BED28" i="20"/>
  <c r="BEE28" i="20"/>
  <c r="BEF28" i="20"/>
  <c r="BEG28" i="20"/>
  <c r="BEH28" i="20"/>
  <c r="BEI28" i="20"/>
  <c r="BEJ28" i="20"/>
  <c r="BEK28" i="20"/>
  <c r="BEL28" i="20"/>
  <c r="BEM28" i="20"/>
  <c r="BEN28" i="20"/>
  <c r="BEO28" i="20"/>
  <c r="BEP28" i="20"/>
  <c r="BEQ28" i="20"/>
  <c r="BER28" i="20"/>
  <c r="BES28" i="20"/>
  <c r="BET28" i="20"/>
  <c r="BEU28" i="20"/>
  <c r="BEV28" i="20"/>
  <c r="BEW28" i="20"/>
  <c r="BEX28" i="20"/>
  <c r="BEY28" i="20"/>
  <c r="BEZ28" i="20"/>
  <c r="BFA28" i="20"/>
  <c r="BFB28" i="20"/>
  <c r="BFC28" i="20"/>
  <c r="BFD28" i="20"/>
  <c r="BFE28" i="20"/>
  <c r="BFF28" i="20"/>
  <c r="BFG28" i="20"/>
  <c r="BFH28" i="20"/>
  <c r="BFI28" i="20"/>
  <c r="BFJ28" i="20"/>
  <c r="BFK28" i="20"/>
  <c r="BFL28" i="20"/>
  <c r="BFM28" i="20"/>
  <c r="BFN28" i="20"/>
  <c r="BFO28" i="20"/>
  <c r="BFP28" i="20"/>
  <c r="BFQ28" i="20"/>
  <c r="BFR28" i="20"/>
  <c r="BFS28" i="20"/>
  <c r="BFT28" i="20"/>
  <c r="BFU28" i="20"/>
  <c r="BFV28" i="20"/>
  <c r="BFW28" i="20"/>
  <c r="BFX28" i="20"/>
  <c r="BFY28" i="20"/>
  <c r="BFZ28" i="20"/>
  <c r="BGA28" i="20"/>
  <c r="BGB28" i="20"/>
  <c r="BGC28" i="20"/>
  <c r="BGD28" i="20"/>
  <c r="BGE28" i="20"/>
  <c r="BGF28" i="20"/>
  <c r="BGG28" i="20"/>
  <c r="BGH28" i="20"/>
  <c r="BGI28" i="20"/>
  <c r="BGJ28" i="20"/>
  <c r="BGK28" i="20"/>
  <c r="BGL28" i="20"/>
  <c r="BGM28" i="20"/>
  <c r="BGN28" i="20"/>
  <c r="BGO28" i="20"/>
  <c r="BGP28" i="20"/>
  <c r="BGQ28" i="20"/>
  <c r="BGR28" i="20"/>
  <c r="BGS28" i="20"/>
  <c r="BGT28" i="20"/>
  <c r="BGU28" i="20"/>
  <c r="BGV28" i="20"/>
  <c r="BGW28" i="20"/>
  <c r="BGX28" i="20"/>
  <c r="BGY28" i="20"/>
  <c r="BGZ28" i="20"/>
  <c r="BHA28" i="20"/>
  <c r="BHB28" i="20"/>
  <c r="BHC28" i="20"/>
  <c r="BHD28" i="20"/>
  <c r="BHE28" i="20"/>
  <c r="BHF28" i="20"/>
  <c r="BHG28" i="20"/>
  <c r="BHH28" i="20"/>
  <c r="BHI28" i="20"/>
  <c r="BHJ28" i="20"/>
  <c r="BHK28" i="20"/>
  <c r="BHL28" i="20"/>
  <c r="BHM28" i="20"/>
  <c r="BHN28" i="20"/>
  <c r="BHO28" i="20"/>
  <c r="BHP28" i="20"/>
  <c r="BHQ28" i="20"/>
  <c r="BHR28" i="20"/>
  <c r="BHS28" i="20"/>
  <c r="BHT28" i="20"/>
  <c r="BHU28" i="20"/>
  <c r="BHV28" i="20"/>
  <c r="BHW28" i="20"/>
  <c r="BHX28" i="20"/>
  <c r="BHY28" i="20"/>
  <c r="BHZ28" i="20"/>
  <c r="BIA28" i="20"/>
  <c r="BIB28" i="20"/>
  <c r="BIC28" i="20"/>
  <c r="BID28" i="20"/>
  <c r="BIE28" i="20"/>
  <c r="BIF28" i="20"/>
  <c r="BIG28" i="20"/>
  <c r="BIH28" i="20"/>
  <c r="BII28" i="20"/>
  <c r="BIJ28" i="20"/>
  <c r="BIK28" i="20"/>
  <c r="BIL28" i="20"/>
  <c r="BIM28" i="20"/>
  <c r="BIN28" i="20"/>
  <c r="BIO28" i="20"/>
  <c r="BIP28" i="20"/>
  <c r="BIQ28" i="20"/>
  <c r="BIR28" i="20"/>
  <c r="BIS28" i="20"/>
  <c r="BIT28" i="20"/>
  <c r="BIU28" i="20"/>
  <c r="BIV28" i="20"/>
  <c r="BIW28" i="20"/>
  <c r="BIX28" i="20"/>
  <c r="BIY28" i="20"/>
  <c r="BIZ28" i="20"/>
  <c r="BJA28" i="20"/>
  <c r="BJB28" i="20"/>
  <c r="BJC28" i="20"/>
  <c r="BJD28" i="20"/>
  <c r="BJE28" i="20"/>
  <c r="BJF28" i="20"/>
  <c r="BJG28" i="20"/>
  <c r="BJH28" i="20"/>
  <c r="BJI28" i="20"/>
  <c r="BJJ28" i="20"/>
  <c r="BJK28" i="20"/>
  <c r="BJL28" i="20"/>
  <c r="BJM28" i="20"/>
  <c r="BJN28" i="20"/>
  <c r="BJO28" i="20"/>
  <c r="BJP28" i="20"/>
  <c r="BJQ28" i="20"/>
  <c r="BJR28" i="20"/>
  <c r="BJS28" i="20"/>
  <c r="BJT28" i="20"/>
  <c r="BJU28" i="20"/>
  <c r="BJV28" i="20"/>
  <c r="BJW28" i="20"/>
  <c r="BJX28" i="20"/>
  <c r="BJY28" i="20"/>
  <c r="BJZ28" i="20"/>
  <c r="BKA28" i="20"/>
  <c r="BKB28" i="20"/>
  <c r="BKC28" i="20"/>
  <c r="BKD28" i="20"/>
  <c r="BKE28" i="20"/>
  <c r="BKF28" i="20"/>
  <c r="BKG28" i="20"/>
  <c r="BKH28" i="20"/>
  <c r="BKI28" i="20"/>
  <c r="BKJ28" i="20"/>
  <c r="BKK28" i="20"/>
  <c r="BKL28" i="20"/>
  <c r="BKM28" i="20"/>
  <c r="BKN28" i="20"/>
  <c r="BKO28" i="20"/>
  <c r="BKP28" i="20"/>
  <c r="BKQ28" i="20"/>
  <c r="BKR28" i="20"/>
  <c r="BKS28" i="20"/>
  <c r="BKT28" i="20"/>
  <c r="BKU28" i="20"/>
  <c r="BKV28" i="20"/>
  <c r="BKW28" i="20"/>
  <c r="BKX28" i="20"/>
  <c r="BKY28" i="20"/>
  <c r="BKZ28" i="20"/>
  <c r="BLA28" i="20"/>
  <c r="BLB28" i="20"/>
  <c r="BLC28" i="20"/>
  <c r="BLD28" i="20"/>
  <c r="BLE28" i="20"/>
  <c r="BLF28" i="20"/>
  <c r="BLG28" i="20"/>
  <c r="BLH28" i="20"/>
  <c r="BLI28" i="20"/>
  <c r="BLJ28" i="20"/>
  <c r="BLK28" i="20"/>
  <c r="BLL28" i="20"/>
  <c r="BLM28" i="20"/>
  <c r="BLN28" i="20"/>
  <c r="BLO28" i="20"/>
  <c r="BLP28" i="20"/>
  <c r="BLQ28" i="20"/>
  <c r="BLR28" i="20"/>
  <c r="BLS28" i="20"/>
  <c r="BLT28" i="20"/>
  <c r="BLU28" i="20"/>
  <c r="BLV28" i="20"/>
  <c r="BLW28" i="20"/>
  <c r="BLX28" i="20"/>
  <c r="BLY28" i="20"/>
  <c r="BLZ28" i="20"/>
  <c r="BMA28" i="20"/>
  <c r="BMB28" i="20"/>
  <c r="BMC28" i="20"/>
  <c r="BMD28" i="20"/>
  <c r="BME28" i="20"/>
  <c r="BMF28" i="20"/>
  <c r="BMG28" i="20"/>
  <c r="BMH28" i="20"/>
  <c r="BMI28" i="20"/>
  <c r="BMJ28" i="20"/>
  <c r="BMK28" i="20"/>
  <c r="BML28" i="20"/>
  <c r="BMM28" i="20"/>
  <c r="BMN28" i="20"/>
  <c r="BMO28" i="20"/>
  <c r="BMP28" i="20"/>
  <c r="BMQ28" i="20"/>
  <c r="BMR28" i="20"/>
  <c r="BMS28" i="20"/>
  <c r="BMT28" i="20"/>
  <c r="BMU28" i="20"/>
  <c r="BMV28" i="20"/>
  <c r="BMW28" i="20"/>
  <c r="BMX28" i="20"/>
  <c r="BMY28" i="20"/>
  <c r="BMZ28" i="20"/>
  <c r="BNA28" i="20"/>
  <c r="BNB28" i="20"/>
  <c r="BNC28" i="20"/>
  <c r="BND28" i="20"/>
  <c r="BNE28" i="20"/>
  <c r="BNF28" i="20"/>
  <c r="BNG28" i="20"/>
  <c r="BNH28" i="20"/>
  <c r="BNI28" i="20"/>
  <c r="BNJ28" i="20"/>
  <c r="BNK28" i="20"/>
  <c r="BNL28" i="20"/>
  <c r="BNM28" i="20"/>
  <c r="BNN28" i="20"/>
  <c r="BNO28" i="20"/>
  <c r="BNP28" i="20"/>
  <c r="BNQ28" i="20"/>
  <c r="BNR28" i="20"/>
  <c r="BNS28" i="20"/>
  <c r="BNT28" i="20"/>
  <c r="BNU28" i="20"/>
  <c r="BNV28" i="20"/>
  <c r="BNW28" i="20"/>
  <c r="BNX28" i="20"/>
  <c r="BNY28" i="20"/>
  <c r="BNZ28" i="20"/>
  <c r="BOA28" i="20"/>
  <c r="BOB28" i="20"/>
  <c r="BOC28" i="20"/>
  <c r="BOD28" i="20"/>
  <c r="BOE28" i="20"/>
  <c r="BOF28" i="20"/>
  <c r="BOG28" i="20"/>
  <c r="BOH28" i="20"/>
  <c r="BOI28" i="20"/>
  <c r="BOJ28" i="20"/>
  <c r="BOK28" i="20"/>
  <c r="BOL28" i="20"/>
  <c r="BOM28" i="20"/>
  <c r="BON28" i="20"/>
  <c r="BOO28" i="20"/>
  <c r="BOP28" i="20"/>
  <c r="BOQ28" i="20"/>
  <c r="BOR28" i="20"/>
  <c r="BOS28" i="20"/>
  <c r="BOT28" i="20"/>
  <c r="BOU28" i="20"/>
  <c r="BOV28" i="20"/>
  <c r="BOW28" i="20"/>
  <c r="BOX28" i="20"/>
  <c r="BOY28" i="20"/>
  <c r="BOZ28" i="20"/>
  <c r="BPA28" i="20"/>
  <c r="BPB28" i="20"/>
  <c r="BPC28" i="20"/>
  <c r="BPD28" i="20"/>
  <c r="BPE28" i="20"/>
  <c r="BPF28" i="20"/>
  <c r="BPG28" i="20"/>
  <c r="BPH28" i="20"/>
  <c r="BPI28" i="20"/>
  <c r="BPJ28" i="20"/>
  <c r="BPK28" i="20"/>
  <c r="BPL28" i="20"/>
  <c r="BPM28" i="20"/>
  <c r="BPN28" i="20"/>
  <c r="BPO28" i="20"/>
  <c r="BPP28" i="20"/>
  <c r="BPQ28" i="20"/>
  <c r="BPR28" i="20"/>
  <c r="BPS28" i="20"/>
  <c r="BPT28" i="20"/>
  <c r="BPU28" i="20"/>
  <c r="BPV28" i="20"/>
  <c r="BPW28" i="20"/>
  <c r="BPX28" i="20"/>
  <c r="BPY28" i="20"/>
  <c r="BPZ28" i="20"/>
  <c r="BQA28" i="20"/>
  <c r="BQB28" i="20"/>
  <c r="BQC28" i="20"/>
  <c r="BQD28" i="20"/>
  <c r="BQE28" i="20"/>
  <c r="BQF28" i="20"/>
  <c r="BQG28" i="20"/>
  <c r="BQH28" i="20"/>
  <c r="BQI28" i="20"/>
  <c r="BQJ28" i="20"/>
  <c r="BQK28" i="20"/>
  <c r="BQL28" i="20"/>
  <c r="BQM28" i="20"/>
  <c r="BQN28" i="20"/>
  <c r="BQO28" i="20"/>
  <c r="BQP28" i="20"/>
  <c r="BQQ28" i="20"/>
  <c r="BQR28" i="20"/>
  <c r="BQS28" i="20"/>
  <c r="BQT28" i="20"/>
  <c r="BQU28" i="20"/>
  <c r="BQV28" i="20"/>
  <c r="BQW28" i="20"/>
  <c r="BQX28" i="20"/>
  <c r="BQY28" i="20"/>
  <c r="BQZ28" i="20"/>
  <c r="BRA28" i="20"/>
  <c r="BRB28" i="20"/>
  <c r="BRC28" i="20"/>
  <c r="BRD28" i="20"/>
  <c r="BRE28" i="20"/>
  <c r="BRF28" i="20"/>
  <c r="BRG28" i="20"/>
  <c r="BRH28" i="20"/>
  <c r="BRI28" i="20"/>
  <c r="BRJ28" i="20"/>
  <c r="BRK28" i="20"/>
  <c r="BRL28" i="20"/>
  <c r="BRM28" i="20"/>
  <c r="BRN28" i="20"/>
  <c r="BRO28" i="20"/>
  <c r="BRP28" i="20"/>
  <c r="BRQ28" i="20"/>
  <c r="BRR28" i="20"/>
  <c r="BRS28" i="20"/>
  <c r="BRT28" i="20"/>
  <c r="BRU28" i="20"/>
  <c r="BRV28" i="20"/>
  <c r="BRW28" i="20"/>
  <c r="BRX28" i="20"/>
  <c r="BRY28" i="20"/>
  <c r="BRZ28" i="20"/>
  <c r="BSA28" i="20"/>
  <c r="BSB28" i="20"/>
  <c r="BSC28" i="20"/>
  <c r="BSD28" i="20"/>
  <c r="BSE28" i="20"/>
  <c r="BSF28" i="20"/>
  <c r="BSG28" i="20"/>
  <c r="BSH28" i="20"/>
  <c r="BSI28" i="20"/>
  <c r="BSJ28" i="20"/>
  <c r="BSK28" i="20"/>
  <c r="BSL28" i="20"/>
  <c r="BSM28" i="20"/>
  <c r="BSN28" i="20"/>
  <c r="BSO28" i="20"/>
  <c r="BSP28" i="20"/>
  <c r="BSQ28" i="20"/>
  <c r="BSR28" i="20"/>
  <c r="BSS28" i="20"/>
  <c r="BST28" i="20"/>
  <c r="BSU28" i="20"/>
  <c r="BSV28" i="20"/>
  <c r="BSW28" i="20"/>
  <c r="BSX28" i="20"/>
  <c r="BSY28" i="20"/>
  <c r="BSZ28" i="20"/>
  <c r="BTA28" i="20"/>
  <c r="BTB28" i="20"/>
  <c r="BTC28" i="20"/>
  <c r="BTD28" i="20"/>
  <c r="BTE28" i="20"/>
  <c r="BTF28" i="20"/>
  <c r="BTG28" i="20"/>
  <c r="BTH28" i="20"/>
  <c r="BTI28" i="20"/>
  <c r="BTJ28" i="20"/>
  <c r="BTK28" i="20"/>
  <c r="BTL28" i="20"/>
  <c r="BTM28" i="20"/>
  <c r="BTN28" i="20"/>
  <c r="BTO28" i="20"/>
  <c r="BTP28" i="20"/>
  <c r="BTQ28" i="20"/>
  <c r="BTR28" i="20"/>
  <c r="BTS28" i="20"/>
  <c r="BTT28" i="20"/>
  <c r="BTU28" i="20"/>
  <c r="BTV28" i="20"/>
  <c r="BTW28" i="20"/>
  <c r="BTX28" i="20"/>
  <c r="BTY28" i="20"/>
  <c r="BTZ28" i="20"/>
  <c r="BUA28" i="20"/>
  <c r="BUB28" i="20"/>
  <c r="BUC28" i="20"/>
  <c r="BUD28" i="20"/>
  <c r="BUE28" i="20"/>
  <c r="BUF28" i="20"/>
  <c r="BUG28" i="20"/>
  <c r="BUH28" i="20"/>
  <c r="BUI28" i="20"/>
  <c r="BUJ28" i="20"/>
  <c r="BUK28" i="20"/>
  <c r="BUL28" i="20"/>
  <c r="BUM28" i="20"/>
  <c r="BUN28" i="20"/>
  <c r="BUO28" i="20"/>
  <c r="BUP28" i="20"/>
  <c r="BUQ28" i="20"/>
  <c r="BUR28" i="20"/>
  <c r="BUS28" i="20"/>
  <c r="BUT28" i="20"/>
  <c r="BUU28" i="20"/>
  <c r="BUV28" i="20"/>
  <c r="BUW28" i="20"/>
  <c r="BUX28" i="20"/>
  <c r="BUY28" i="20"/>
  <c r="BUZ28" i="20"/>
  <c r="BVA28" i="20"/>
  <c r="BVB28" i="20"/>
  <c r="BVC28" i="20"/>
  <c r="BVD28" i="20"/>
  <c r="BVE28" i="20"/>
  <c r="BVF28" i="20"/>
  <c r="BVG28" i="20"/>
  <c r="BVH28" i="20"/>
  <c r="BVI28" i="20"/>
  <c r="BVJ28" i="20"/>
  <c r="BVK28" i="20"/>
  <c r="BVL28" i="20"/>
  <c r="BVM28" i="20"/>
  <c r="BVN28" i="20"/>
  <c r="BVO28" i="20"/>
  <c r="BVP28" i="20"/>
  <c r="BVQ28" i="20"/>
  <c r="BVR28" i="20"/>
  <c r="BVS28" i="20"/>
  <c r="BVT28" i="20"/>
  <c r="BVU28" i="20"/>
  <c r="BVV28" i="20"/>
  <c r="BVW28" i="20"/>
  <c r="BVX28" i="20"/>
  <c r="BVY28" i="20"/>
  <c r="BVZ28" i="20"/>
  <c r="BWA28" i="20"/>
  <c r="BWB28" i="20"/>
  <c r="BWC28" i="20"/>
  <c r="BWD28" i="20"/>
  <c r="BWE28" i="20"/>
  <c r="BWF28" i="20"/>
  <c r="BWG28" i="20"/>
  <c r="BWH28" i="20"/>
  <c r="BWI28" i="20"/>
  <c r="BWJ28" i="20"/>
  <c r="BWK28" i="20"/>
  <c r="BWL28" i="20"/>
  <c r="BWM28" i="20"/>
  <c r="BWN28" i="20"/>
  <c r="BWO28" i="20"/>
  <c r="BWP28" i="20"/>
  <c r="BWQ28" i="20"/>
  <c r="BWR28" i="20"/>
  <c r="BWS28" i="20"/>
  <c r="BWT28" i="20"/>
  <c r="BWU28" i="20"/>
  <c r="BWV28" i="20"/>
  <c r="BWW28" i="20"/>
  <c r="BWX28" i="20"/>
  <c r="BWY28" i="20"/>
  <c r="BWZ28" i="20"/>
  <c r="BXA28" i="20"/>
  <c r="BXB28" i="20"/>
  <c r="BXC28" i="20"/>
  <c r="BXD28" i="20"/>
  <c r="BXE28" i="20"/>
  <c r="BXF28" i="20"/>
  <c r="BXG28" i="20"/>
  <c r="BXH28" i="20"/>
  <c r="BXI28" i="20"/>
  <c r="BXJ28" i="20"/>
  <c r="BXK28" i="20"/>
  <c r="BXL28" i="20"/>
  <c r="BXM28" i="20"/>
  <c r="BXN28" i="20"/>
  <c r="BXO28" i="20"/>
  <c r="BXP28" i="20"/>
  <c r="BXQ28" i="20"/>
  <c r="BXR28" i="20"/>
  <c r="BXS28" i="20"/>
  <c r="BXT28" i="20"/>
  <c r="BXU28" i="20"/>
  <c r="BXV28" i="20"/>
  <c r="BXW28" i="20"/>
  <c r="BXX28" i="20"/>
  <c r="BXY28" i="20"/>
  <c r="BXZ28" i="20"/>
  <c r="BYA28" i="20"/>
  <c r="BYB28" i="20"/>
  <c r="BYC28" i="20"/>
  <c r="BYD28" i="20"/>
  <c r="BYE28" i="20"/>
  <c r="BYF28" i="20"/>
  <c r="BYG28" i="20"/>
  <c r="BYH28" i="20"/>
  <c r="BYI28" i="20"/>
  <c r="BYJ28" i="20"/>
  <c r="BYK28" i="20"/>
  <c r="BYL28" i="20"/>
  <c r="BYM28" i="20"/>
  <c r="BYN28" i="20"/>
  <c r="BYO28" i="20"/>
  <c r="BYP28" i="20"/>
  <c r="BYQ28" i="20"/>
  <c r="BYR28" i="20"/>
  <c r="BYS28" i="20"/>
  <c r="BYT28" i="20"/>
  <c r="BYU28" i="20"/>
  <c r="BYV28" i="20"/>
  <c r="BYW28" i="20"/>
  <c r="BYX28" i="20"/>
  <c r="BYY28" i="20"/>
  <c r="BYZ28" i="20"/>
  <c r="BZA28" i="20"/>
  <c r="BZB28" i="20"/>
  <c r="BZC28" i="20"/>
  <c r="BZD28" i="20"/>
  <c r="BZE28" i="20"/>
  <c r="BZF28" i="20"/>
  <c r="BZG28" i="20"/>
  <c r="BZH28" i="20"/>
  <c r="BZI28" i="20"/>
  <c r="BZJ28" i="20"/>
  <c r="BZK28" i="20"/>
  <c r="BZL28" i="20"/>
  <c r="BZM28" i="20"/>
  <c r="BZN28" i="20"/>
  <c r="BZO28" i="20"/>
  <c r="BZP28" i="20"/>
  <c r="BZQ28" i="20"/>
  <c r="BZR28" i="20"/>
  <c r="BZS28" i="20"/>
  <c r="BZT28" i="20"/>
  <c r="BZU28" i="20"/>
  <c r="BZV28" i="20"/>
  <c r="BZW28" i="20"/>
  <c r="BZX28" i="20"/>
  <c r="BZY28" i="20"/>
  <c r="BZZ28" i="20"/>
  <c r="CAA28" i="20"/>
  <c r="CAB28" i="20"/>
  <c r="CAC28" i="20"/>
  <c r="CAD28" i="20"/>
  <c r="CAE28" i="20"/>
  <c r="CAF28" i="20"/>
  <c r="CAG28" i="20"/>
  <c r="CAH28" i="20"/>
  <c r="CAI28" i="20"/>
  <c r="CAJ28" i="20"/>
  <c r="CAK28" i="20"/>
  <c r="CAL28" i="20"/>
  <c r="CAM28" i="20"/>
  <c r="CAN28" i="20"/>
  <c r="CAO28" i="20"/>
  <c r="CAP28" i="20"/>
  <c r="CAQ28" i="20"/>
  <c r="CAR28" i="20"/>
  <c r="CAS28" i="20"/>
  <c r="CAT28" i="20"/>
  <c r="CAU28" i="20"/>
  <c r="CAV28" i="20"/>
  <c r="CAW28" i="20"/>
  <c r="CAX28" i="20"/>
  <c r="CAY28" i="20"/>
  <c r="CAZ28" i="20"/>
  <c r="CBA28" i="20"/>
  <c r="CBB28" i="20"/>
  <c r="CBC28" i="20"/>
  <c r="CBD28" i="20"/>
  <c r="CBE28" i="20"/>
  <c r="CBF28" i="20"/>
  <c r="CBG28" i="20"/>
  <c r="CBH28" i="20"/>
  <c r="CBI28" i="20"/>
  <c r="CBJ28" i="20"/>
  <c r="CBK28" i="20"/>
  <c r="CBL28" i="20"/>
  <c r="CBM28" i="20"/>
  <c r="CBN28" i="20"/>
  <c r="CBO28" i="20"/>
  <c r="CBP28" i="20"/>
  <c r="CBQ28" i="20"/>
  <c r="CBR28" i="20"/>
  <c r="CBS28" i="20"/>
  <c r="CBT28" i="20"/>
  <c r="CBU28" i="20"/>
  <c r="CBV28" i="20"/>
  <c r="CBW28" i="20"/>
  <c r="CBX28" i="20"/>
  <c r="CBY28" i="20"/>
  <c r="CBZ28" i="20"/>
  <c r="CCA28" i="20"/>
  <c r="CCB28" i="20"/>
  <c r="CCC28" i="20"/>
  <c r="CCD28" i="20"/>
  <c r="CCE28" i="20"/>
  <c r="CCF28" i="20"/>
  <c r="CCG28" i="20"/>
  <c r="CCH28" i="20"/>
  <c r="CCI28" i="20"/>
  <c r="CCJ28" i="20"/>
  <c r="CCK28" i="20"/>
  <c r="CCL28" i="20"/>
  <c r="CCM28" i="20"/>
  <c r="CCN28" i="20"/>
  <c r="CCO28" i="20"/>
  <c r="CCP28" i="20"/>
  <c r="CCQ28" i="20"/>
  <c r="CCR28" i="20"/>
  <c r="CCS28" i="20"/>
  <c r="CCT28" i="20"/>
  <c r="CCU28" i="20"/>
  <c r="CCV28" i="20"/>
  <c r="CCW28" i="20"/>
  <c r="CCX28" i="20"/>
  <c r="CCY28" i="20"/>
  <c r="CCZ28" i="20"/>
  <c r="CDA28" i="20"/>
  <c r="CDB28" i="20"/>
  <c r="CDC28" i="20"/>
  <c r="CDD28" i="20"/>
  <c r="CDE28" i="20"/>
  <c r="CDF28" i="20"/>
  <c r="CDG28" i="20"/>
  <c r="CDH28" i="20"/>
  <c r="CDI28" i="20"/>
  <c r="CDJ28" i="20"/>
  <c r="CDK28" i="20"/>
  <c r="CDL28" i="20"/>
  <c r="CDM28" i="20"/>
  <c r="CDN28" i="20"/>
  <c r="CDO28" i="20"/>
  <c r="CDP28" i="20"/>
  <c r="CDQ28" i="20"/>
  <c r="CDR28" i="20"/>
  <c r="CDS28" i="20"/>
  <c r="CDT28" i="20"/>
  <c r="CDU28" i="20"/>
  <c r="CDV28" i="20"/>
  <c r="CDW28" i="20"/>
  <c r="CDX28" i="20"/>
  <c r="CDY28" i="20"/>
  <c r="CDZ28" i="20"/>
  <c r="CEA28" i="20"/>
  <c r="CEB28" i="20"/>
  <c r="CEC28" i="20"/>
  <c r="CED28" i="20"/>
  <c r="CEE28" i="20"/>
  <c r="CEF28" i="20"/>
  <c r="CEG28" i="20"/>
  <c r="CEH28" i="20"/>
  <c r="CEI28" i="20"/>
  <c r="CEJ28" i="20"/>
  <c r="CEK28" i="20"/>
  <c r="CEL28" i="20"/>
  <c r="CEM28" i="20"/>
  <c r="CEN28" i="20"/>
  <c r="CEO28" i="20"/>
  <c r="CEP28" i="20"/>
  <c r="CEQ28" i="20"/>
  <c r="CER28" i="20"/>
  <c r="CES28" i="20"/>
  <c r="CET28" i="20"/>
  <c r="CEU28" i="20"/>
  <c r="CEV28" i="20"/>
  <c r="CEW28" i="20"/>
  <c r="CEX28" i="20"/>
  <c r="CEY28" i="20"/>
  <c r="CEZ28" i="20"/>
  <c r="CFA28" i="20"/>
  <c r="CFB28" i="20"/>
  <c r="CFC28" i="20"/>
  <c r="CFD28" i="20"/>
  <c r="CFE28" i="20"/>
  <c r="CFF28" i="20"/>
  <c r="CFG28" i="20"/>
  <c r="CFH28" i="20"/>
  <c r="CFI28" i="20"/>
  <c r="CFJ28" i="20"/>
  <c r="CFK28" i="20"/>
  <c r="CFL28" i="20"/>
  <c r="CFM28" i="20"/>
  <c r="CFN28" i="20"/>
  <c r="CFO28" i="20"/>
  <c r="CFP28" i="20"/>
  <c r="CFQ28" i="20"/>
  <c r="CFR28" i="20"/>
  <c r="CFS28" i="20"/>
  <c r="CFT28" i="20"/>
  <c r="CFU28" i="20"/>
  <c r="CFV28" i="20"/>
  <c r="CFW28" i="20"/>
  <c r="CFX28" i="20"/>
  <c r="CFY28" i="20"/>
  <c r="CFZ28" i="20"/>
  <c r="CGA28" i="20"/>
  <c r="CGB28" i="20"/>
  <c r="CGC28" i="20"/>
  <c r="CGD28" i="20"/>
  <c r="CGE28" i="20"/>
  <c r="CGF28" i="20"/>
  <c r="CGG28" i="20"/>
  <c r="CGH28" i="20"/>
  <c r="CGI28" i="20"/>
  <c r="CGJ28" i="20"/>
  <c r="CGK28" i="20"/>
  <c r="CGL28" i="20"/>
  <c r="CGM28" i="20"/>
  <c r="CGN28" i="20"/>
  <c r="CGO28" i="20"/>
  <c r="CGP28" i="20"/>
  <c r="CGQ28" i="20"/>
  <c r="CGR28" i="20"/>
  <c r="CGS28" i="20"/>
  <c r="CGT28" i="20"/>
  <c r="CGU28" i="20"/>
  <c r="CGV28" i="20"/>
  <c r="CGW28" i="20"/>
  <c r="CGX28" i="20"/>
  <c r="CGY28" i="20"/>
  <c r="CGZ28" i="20"/>
  <c r="CHA28" i="20"/>
  <c r="CHB28" i="20"/>
  <c r="CHC28" i="20"/>
  <c r="CHD28" i="20"/>
  <c r="CHE28" i="20"/>
  <c r="CHF28" i="20"/>
  <c r="CHG28" i="20"/>
  <c r="CHH28" i="20"/>
  <c r="CHI28" i="20"/>
  <c r="CHJ28" i="20"/>
  <c r="CHK28" i="20"/>
  <c r="CHL28" i="20"/>
  <c r="CHM28" i="20"/>
  <c r="CHN28" i="20"/>
  <c r="CHO28" i="20"/>
  <c r="CHP28" i="20"/>
  <c r="CHQ28" i="20"/>
  <c r="CHR28" i="20"/>
  <c r="CHS28" i="20"/>
  <c r="CHT28" i="20"/>
  <c r="CHU28" i="20"/>
  <c r="CHV28" i="20"/>
  <c r="CHW28" i="20"/>
  <c r="CHX28" i="20"/>
  <c r="CHY28" i="20"/>
  <c r="CHZ28" i="20"/>
  <c r="CIA28" i="20"/>
  <c r="CIB28" i="20"/>
  <c r="CIC28" i="20"/>
  <c r="CID28" i="20"/>
  <c r="CIE28" i="20"/>
  <c r="CIF28" i="20"/>
  <c r="CIG28" i="20"/>
  <c r="CIH28" i="20"/>
  <c r="CII28" i="20"/>
  <c r="CIJ28" i="20"/>
  <c r="CIK28" i="20"/>
  <c r="CIL28" i="20"/>
  <c r="CIM28" i="20"/>
  <c r="CIN28" i="20"/>
  <c r="CIO28" i="20"/>
  <c r="CIP28" i="20"/>
  <c r="CIQ28" i="20"/>
  <c r="CIR28" i="20"/>
  <c r="CIS28" i="20"/>
  <c r="CIT28" i="20"/>
  <c r="CIU28" i="20"/>
  <c r="CIV28" i="20"/>
  <c r="CIW28" i="20"/>
  <c r="CIX28" i="20"/>
  <c r="CIY28" i="20"/>
  <c r="CIZ28" i="20"/>
  <c r="CJA28" i="20"/>
  <c r="CJB28" i="20"/>
  <c r="CJC28" i="20"/>
  <c r="CJD28" i="20"/>
  <c r="CJE28" i="20"/>
  <c r="CJF28" i="20"/>
  <c r="CJG28" i="20"/>
  <c r="CJH28" i="20"/>
  <c r="CJI28" i="20"/>
  <c r="CJJ28" i="20"/>
  <c r="CJK28" i="20"/>
  <c r="CJL28" i="20"/>
  <c r="CJM28" i="20"/>
  <c r="CJN28" i="20"/>
  <c r="CJO28" i="20"/>
  <c r="CJP28" i="20"/>
  <c r="CJQ28" i="20"/>
  <c r="CJR28" i="20"/>
  <c r="CJS28" i="20"/>
  <c r="CJT28" i="20"/>
  <c r="CJU28" i="20"/>
  <c r="CJV28" i="20"/>
  <c r="CJW28" i="20"/>
  <c r="CJX28" i="20"/>
  <c r="CJY28" i="20"/>
  <c r="CJZ28" i="20"/>
  <c r="CKA28" i="20"/>
  <c r="CKB28" i="20"/>
  <c r="CKC28" i="20"/>
  <c r="CKD28" i="20"/>
  <c r="CKE28" i="20"/>
  <c r="CKF28" i="20"/>
  <c r="CKG28" i="20"/>
  <c r="CKH28" i="20"/>
  <c r="CKI28" i="20"/>
  <c r="CKJ28" i="20"/>
  <c r="CKK28" i="20"/>
  <c r="CKL28" i="20"/>
  <c r="CKM28" i="20"/>
  <c r="CKN28" i="20"/>
  <c r="CKO28" i="20"/>
  <c r="CKP28" i="20"/>
  <c r="CKQ28" i="20"/>
  <c r="CKR28" i="20"/>
  <c r="CKS28" i="20"/>
  <c r="CKT28" i="20"/>
  <c r="CKU28" i="20"/>
  <c r="CKV28" i="20"/>
  <c r="CKW28" i="20"/>
  <c r="CKX28" i="20"/>
  <c r="CKY28" i="20"/>
  <c r="CKZ28" i="20"/>
  <c r="CLA28" i="20"/>
  <c r="CLB28" i="20"/>
  <c r="CLC28" i="20"/>
  <c r="CLD28" i="20"/>
  <c r="CLE28" i="20"/>
  <c r="CLF28" i="20"/>
  <c r="CLG28" i="20"/>
  <c r="CLH28" i="20"/>
  <c r="CLI28" i="20"/>
  <c r="CLJ28" i="20"/>
  <c r="CLK28" i="20"/>
  <c r="CLL28" i="20"/>
  <c r="CLM28" i="20"/>
  <c r="CLN28" i="20"/>
  <c r="CLO28" i="20"/>
  <c r="CLP28" i="20"/>
  <c r="CLQ28" i="20"/>
  <c r="CLR28" i="20"/>
  <c r="CLS28" i="20"/>
  <c r="CLT28" i="20"/>
  <c r="CLU28" i="20"/>
  <c r="CLV28" i="20"/>
  <c r="CLW28" i="20"/>
  <c r="CLX28" i="20"/>
  <c r="CLY28" i="20"/>
  <c r="CLZ28" i="20"/>
  <c r="CMA28" i="20"/>
  <c r="CMB28" i="20"/>
  <c r="CMC28" i="20"/>
  <c r="CMD28" i="20"/>
  <c r="CME28" i="20"/>
  <c r="CMF28" i="20"/>
  <c r="CMG28" i="20"/>
  <c r="CMH28" i="20"/>
  <c r="CMI28" i="20"/>
  <c r="CMJ28" i="20"/>
  <c r="CMK28" i="20"/>
  <c r="CML28" i="20"/>
  <c r="CMM28" i="20"/>
  <c r="CMN28" i="20"/>
  <c r="CMO28" i="20"/>
  <c r="CMP28" i="20"/>
  <c r="CMQ28" i="20"/>
  <c r="CMR28" i="20"/>
  <c r="CMS28" i="20"/>
  <c r="CMT28" i="20"/>
  <c r="CMU28" i="20"/>
  <c r="CMV28" i="20"/>
  <c r="CMW28" i="20"/>
  <c r="CMX28" i="20"/>
  <c r="CMY28" i="20"/>
  <c r="CMZ28" i="20"/>
  <c r="CNA28" i="20"/>
  <c r="CNB28" i="20"/>
  <c r="CNC28" i="20"/>
  <c r="CND28" i="20"/>
  <c r="CNE28" i="20"/>
  <c r="CNF28" i="20"/>
  <c r="CNG28" i="20"/>
  <c r="CNH28" i="20"/>
  <c r="CNI28" i="20"/>
  <c r="CNJ28" i="20"/>
  <c r="CNK28" i="20"/>
  <c r="CNL28" i="20"/>
  <c r="CNM28" i="20"/>
  <c r="CNN28" i="20"/>
  <c r="CNO28" i="20"/>
  <c r="CNP28" i="20"/>
  <c r="CNQ28" i="20"/>
  <c r="CNR28" i="20"/>
  <c r="CNS28" i="20"/>
  <c r="CNT28" i="20"/>
  <c r="CNU28" i="20"/>
  <c r="CNV28" i="20"/>
  <c r="CNW28" i="20"/>
  <c r="CNX28" i="20"/>
  <c r="CNY28" i="20"/>
  <c r="CNZ28" i="20"/>
  <c r="COA28" i="20"/>
  <c r="COB28" i="20"/>
  <c r="COC28" i="20"/>
  <c r="COD28" i="20"/>
  <c r="COE28" i="20"/>
  <c r="COF28" i="20"/>
  <c r="COG28" i="20"/>
  <c r="COH28" i="20"/>
  <c r="COI28" i="20"/>
  <c r="COJ28" i="20"/>
  <c r="COK28" i="20"/>
  <c r="COL28" i="20"/>
  <c r="COM28" i="20"/>
  <c r="CON28" i="20"/>
  <c r="COO28" i="20"/>
  <c r="COP28" i="20"/>
  <c r="COQ28" i="20"/>
  <c r="COR28" i="20"/>
  <c r="COS28" i="20"/>
  <c r="COT28" i="20"/>
  <c r="COU28" i="20"/>
  <c r="COV28" i="20"/>
  <c r="COW28" i="20"/>
  <c r="COX28" i="20"/>
  <c r="COY28" i="20"/>
  <c r="COZ28" i="20"/>
  <c r="CPA28" i="20"/>
  <c r="CPB28" i="20"/>
  <c r="CPC28" i="20"/>
  <c r="CPD28" i="20"/>
  <c r="CPE28" i="20"/>
  <c r="CPF28" i="20"/>
  <c r="CPG28" i="20"/>
  <c r="CPH28" i="20"/>
  <c r="CPI28" i="20"/>
  <c r="CPJ28" i="20"/>
  <c r="CPK28" i="20"/>
  <c r="CPL28" i="20"/>
  <c r="CPM28" i="20"/>
  <c r="CPN28" i="20"/>
  <c r="CPO28" i="20"/>
  <c r="CPP28" i="20"/>
  <c r="CPQ28" i="20"/>
  <c r="CPR28" i="20"/>
  <c r="CPS28" i="20"/>
  <c r="CPT28" i="20"/>
  <c r="CPU28" i="20"/>
  <c r="CPV28" i="20"/>
  <c r="CPW28" i="20"/>
  <c r="CPX28" i="20"/>
  <c r="CPY28" i="20"/>
  <c r="CPZ28" i="20"/>
  <c r="CQA28" i="20"/>
  <c r="CQB28" i="20"/>
  <c r="CQC28" i="20"/>
  <c r="CQD28" i="20"/>
  <c r="CQE28" i="20"/>
  <c r="CQF28" i="20"/>
  <c r="CQG28" i="20"/>
  <c r="CQH28" i="20"/>
  <c r="CQI28" i="20"/>
  <c r="CQJ28" i="20"/>
  <c r="CQK28" i="20"/>
  <c r="CQL28" i="20"/>
  <c r="CQM28" i="20"/>
  <c r="CQN28" i="20"/>
  <c r="CQO28" i="20"/>
  <c r="CQP28" i="20"/>
  <c r="CQQ28" i="20"/>
  <c r="CQR28" i="20"/>
  <c r="CQS28" i="20"/>
  <c r="CQT28" i="20"/>
  <c r="CQU28" i="20"/>
  <c r="CQV28" i="20"/>
  <c r="CQW28" i="20"/>
  <c r="CQX28" i="20"/>
  <c r="CQY28" i="20"/>
  <c r="CQZ28" i="20"/>
  <c r="CRA28" i="20"/>
  <c r="CRB28" i="20"/>
  <c r="CRC28" i="20"/>
  <c r="CRD28" i="20"/>
  <c r="CRE28" i="20"/>
  <c r="CRF28" i="20"/>
  <c r="CRG28" i="20"/>
  <c r="CRH28" i="20"/>
  <c r="CRI28" i="20"/>
  <c r="CRJ28" i="20"/>
  <c r="CRK28" i="20"/>
  <c r="CRL28" i="20"/>
  <c r="CRM28" i="20"/>
  <c r="CRN28" i="20"/>
  <c r="CRO28" i="20"/>
  <c r="CRP28" i="20"/>
  <c r="CRQ28" i="20"/>
  <c r="CRR28" i="20"/>
  <c r="CRS28" i="20"/>
  <c r="CRT28" i="20"/>
  <c r="CRU28" i="20"/>
  <c r="CRV28" i="20"/>
  <c r="CRW28" i="20"/>
  <c r="CRX28" i="20"/>
  <c r="CRY28" i="20"/>
  <c r="CRZ28" i="20"/>
  <c r="CSA28" i="20"/>
  <c r="CSB28" i="20"/>
  <c r="CSC28" i="20"/>
  <c r="CSD28" i="20"/>
  <c r="CSE28" i="20"/>
  <c r="CSF28" i="20"/>
  <c r="CSG28" i="20"/>
  <c r="CSH28" i="20"/>
  <c r="CSI28" i="20"/>
  <c r="CSJ28" i="20"/>
  <c r="CSK28" i="20"/>
  <c r="CSL28" i="20"/>
  <c r="CSM28" i="20"/>
  <c r="CSN28" i="20"/>
  <c r="CSO28" i="20"/>
  <c r="CSP28" i="20"/>
  <c r="CSQ28" i="20"/>
  <c r="CSR28" i="20"/>
  <c r="CSS28" i="20"/>
  <c r="CST28" i="20"/>
  <c r="CSU28" i="20"/>
  <c r="CSV28" i="20"/>
  <c r="CSW28" i="20"/>
  <c r="CSX28" i="20"/>
  <c r="CSY28" i="20"/>
  <c r="CSZ28" i="20"/>
  <c r="CTA28" i="20"/>
  <c r="CTB28" i="20"/>
  <c r="CTC28" i="20"/>
  <c r="CTD28" i="20"/>
  <c r="CTE28" i="20"/>
  <c r="CTF28" i="20"/>
  <c r="CTG28" i="20"/>
  <c r="CTH28" i="20"/>
  <c r="CTI28" i="20"/>
  <c r="CTJ28" i="20"/>
  <c r="CTK28" i="20"/>
  <c r="CTL28" i="20"/>
  <c r="CTM28" i="20"/>
  <c r="CTN28" i="20"/>
  <c r="CTO28" i="20"/>
  <c r="CTP28" i="20"/>
  <c r="CTQ28" i="20"/>
  <c r="CTR28" i="20"/>
  <c r="CTS28" i="20"/>
  <c r="CTT28" i="20"/>
  <c r="CTU28" i="20"/>
  <c r="CTV28" i="20"/>
  <c r="CTW28" i="20"/>
  <c r="CTX28" i="20"/>
  <c r="CTY28" i="20"/>
  <c r="CTZ28" i="20"/>
  <c r="CUA28" i="20"/>
  <c r="CUB28" i="20"/>
  <c r="CUC28" i="20"/>
  <c r="CUD28" i="20"/>
  <c r="CUE28" i="20"/>
  <c r="CUF28" i="20"/>
  <c r="CUG28" i="20"/>
  <c r="CUH28" i="20"/>
  <c r="CUI28" i="20"/>
  <c r="CUJ28" i="20"/>
  <c r="CUK28" i="20"/>
  <c r="CUL28" i="20"/>
  <c r="CUM28" i="20"/>
  <c r="CUN28" i="20"/>
  <c r="CUO28" i="20"/>
  <c r="CUP28" i="20"/>
  <c r="CUQ28" i="20"/>
  <c r="CUR28" i="20"/>
  <c r="CUS28" i="20"/>
  <c r="CUT28" i="20"/>
  <c r="CUU28" i="20"/>
  <c r="CUV28" i="20"/>
  <c r="CUW28" i="20"/>
  <c r="CUX28" i="20"/>
  <c r="CUY28" i="20"/>
  <c r="CUZ28" i="20"/>
  <c r="CVA28" i="20"/>
  <c r="CVB28" i="20"/>
  <c r="CVC28" i="20"/>
  <c r="CVD28" i="20"/>
  <c r="CVE28" i="20"/>
  <c r="CVF28" i="20"/>
  <c r="CVG28" i="20"/>
  <c r="CVH28" i="20"/>
  <c r="CVI28" i="20"/>
  <c r="CVJ28" i="20"/>
  <c r="CVK28" i="20"/>
  <c r="CVL28" i="20"/>
  <c r="CVM28" i="20"/>
  <c r="CVN28" i="20"/>
  <c r="CVO28" i="20"/>
  <c r="CVP28" i="20"/>
  <c r="CVQ28" i="20"/>
  <c r="CVR28" i="20"/>
  <c r="CVS28" i="20"/>
  <c r="CVT28" i="20"/>
  <c r="CVU28" i="20"/>
  <c r="CVV28" i="20"/>
  <c r="CVW28" i="20"/>
  <c r="CVX28" i="20"/>
  <c r="CVY28" i="20"/>
  <c r="CVZ28" i="20"/>
  <c r="CWA28" i="20"/>
  <c r="CWB28" i="20"/>
  <c r="CWC28" i="20"/>
  <c r="CWD28" i="20"/>
  <c r="CWE28" i="20"/>
  <c r="CWF28" i="20"/>
  <c r="CWG28" i="20"/>
  <c r="CWH28" i="20"/>
  <c r="CWI28" i="20"/>
  <c r="CWJ28" i="20"/>
  <c r="CWK28" i="20"/>
  <c r="CWL28" i="20"/>
  <c r="CWM28" i="20"/>
  <c r="CWN28" i="20"/>
  <c r="CWO28" i="20"/>
  <c r="CWP28" i="20"/>
  <c r="CWQ28" i="20"/>
  <c r="CWR28" i="20"/>
  <c r="CWS28" i="20"/>
  <c r="CWT28" i="20"/>
  <c r="CWU28" i="20"/>
  <c r="CWV28" i="20"/>
  <c r="CWW28" i="20"/>
  <c r="CWX28" i="20"/>
  <c r="CWY28" i="20"/>
  <c r="CWZ28" i="20"/>
  <c r="CXA28" i="20"/>
  <c r="CXB28" i="20"/>
  <c r="CXC28" i="20"/>
  <c r="CXD28" i="20"/>
  <c r="CXE28" i="20"/>
  <c r="CXF28" i="20"/>
  <c r="CXG28" i="20"/>
  <c r="CXH28" i="20"/>
  <c r="CXI28" i="20"/>
  <c r="CXJ28" i="20"/>
  <c r="CXK28" i="20"/>
  <c r="CXL28" i="20"/>
  <c r="CXM28" i="20"/>
  <c r="CXN28" i="20"/>
  <c r="CXO28" i="20"/>
  <c r="CXP28" i="20"/>
  <c r="CXQ28" i="20"/>
  <c r="CXR28" i="20"/>
  <c r="CXS28" i="20"/>
  <c r="CXT28" i="20"/>
  <c r="CXU28" i="20"/>
  <c r="CXV28" i="20"/>
  <c r="CXW28" i="20"/>
  <c r="CXX28" i="20"/>
  <c r="CXY28" i="20"/>
  <c r="CXZ28" i="20"/>
  <c r="CYA28" i="20"/>
  <c r="CYB28" i="20"/>
  <c r="CYC28" i="20"/>
  <c r="CYD28" i="20"/>
  <c r="CYE28" i="20"/>
  <c r="CYF28" i="20"/>
  <c r="CYG28" i="20"/>
  <c r="CYH28" i="20"/>
  <c r="CYI28" i="20"/>
  <c r="CYJ28" i="20"/>
  <c r="CYK28" i="20"/>
  <c r="CYL28" i="20"/>
  <c r="CYM28" i="20"/>
  <c r="CYN28" i="20"/>
  <c r="CYO28" i="20"/>
  <c r="CYP28" i="20"/>
  <c r="CYQ28" i="20"/>
  <c r="CYR28" i="20"/>
  <c r="CYS28" i="20"/>
  <c r="CYT28" i="20"/>
  <c r="CYU28" i="20"/>
  <c r="CYV28" i="20"/>
  <c r="CYW28" i="20"/>
  <c r="CYX28" i="20"/>
  <c r="CYY28" i="20"/>
  <c r="CYZ28" i="20"/>
  <c r="CZA28" i="20"/>
  <c r="CZB28" i="20"/>
  <c r="CZC28" i="20"/>
  <c r="CZD28" i="20"/>
  <c r="CZE28" i="20"/>
  <c r="CZF28" i="20"/>
  <c r="CZG28" i="20"/>
  <c r="CZH28" i="20"/>
  <c r="CZI28" i="20"/>
  <c r="CZJ28" i="20"/>
  <c r="CZK28" i="20"/>
  <c r="CZL28" i="20"/>
  <c r="CZM28" i="20"/>
  <c r="CZN28" i="20"/>
  <c r="CZO28" i="20"/>
  <c r="CZP28" i="20"/>
  <c r="CZQ28" i="20"/>
  <c r="CZR28" i="20"/>
  <c r="CZS28" i="20"/>
  <c r="CZT28" i="20"/>
  <c r="CZU28" i="20"/>
  <c r="CZV28" i="20"/>
  <c r="CZW28" i="20"/>
  <c r="CZX28" i="20"/>
  <c r="CZY28" i="20"/>
  <c r="CZZ28" i="20"/>
  <c r="DAA28" i="20"/>
  <c r="DAB28" i="20"/>
  <c r="DAC28" i="20"/>
  <c r="DAD28" i="20"/>
  <c r="DAE28" i="20"/>
  <c r="DAF28" i="20"/>
  <c r="DAG28" i="20"/>
  <c r="DAH28" i="20"/>
  <c r="DAI28" i="20"/>
  <c r="DAJ28" i="20"/>
  <c r="DAK28" i="20"/>
  <c r="DAL28" i="20"/>
  <c r="DAM28" i="20"/>
  <c r="DAN28" i="20"/>
  <c r="DAO28" i="20"/>
  <c r="DAP28" i="20"/>
  <c r="DAQ28" i="20"/>
  <c r="DAR28" i="20"/>
  <c r="DAS28" i="20"/>
  <c r="DAT28" i="20"/>
  <c r="DAU28" i="20"/>
  <c r="DAV28" i="20"/>
  <c r="DAW28" i="20"/>
  <c r="DAX28" i="20"/>
  <c r="DAY28" i="20"/>
  <c r="DAZ28" i="20"/>
  <c r="DBA28" i="20"/>
  <c r="DBB28" i="20"/>
  <c r="DBC28" i="20"/>
  <c r="DBD28" i="20"/>
  <c r="DBE28" i="20"/>
  <c r="DBF28" i="20"/>
  <c r="DBG28" i="20"/>
  <c r="DBH28" i="20"/>
  <c r="DBI28" i="20"/>
  <c r="DBJ28" i="20"/>
  <c r="DBK28" i="20"/>
  <c r="DBL28" i="20"/>
  <c r="DBM28" i="20"/>
  <c r="DBN28" i="20"/>
  <c r="DBO28" i="20"/>
  <c r="DBP28" i="20"/>
  <c r="DBQ28" i="20"/>
  <c r="DBR28" i="20"/>
  <c r="DBS28" i="20"/>
  <c r="DBT28" i="20"/>
  <c r="DBU28" i="20"/>
  <c r="DBV28" i="20"/>
  <c r="DBW28" i="20"/>
  <c r="DBX28" i="20"/>
  <c r="DBY28" i="20"/>
  <c r="DBZ28" i="20"/>
  <c r="DCA28" i="20"/>
  <c r="DCB28" i="20"/>
  <c r="DCC28" i="20"/>
  <c r="DCD28" i="20"/>
  <c r="DCE28" i="20"/>
  <c r="DCF28" i="20"/>
  <c r="DCG28" i="20"/>
  <c r="DCH28" i="20"/>
  <c r="DCI28" i="20"/>
  <c r="DCJ28" i="20"/>
  <c r="DCK28" i="20"/>
  <c r="DCL28" i="20"/>
  <c r="DCM28" i="20"/>
  <c r="DCN28" i="20"/>
  <c r="DCO28" i="20"/>
  <c r="DCP28" i="20"/>
  <c r="DCQ28" i="20"/>
  <c r="DCR28" i="20"/>
  <c r="DCS28" i="20"/>
  <c r="DCT28" i="20"/>
  <c r="DCU28" i="20"/>
  <c r="DCV28" i="20"/>
  <c r="DCW28" i="20"/>
  <c r="DCX28" i="20"/>
  <c r="DCY28" i="20"/>
  <c r="DCZ28" i="20"/>
  <c r="DDA28" i="20"/>
  <c r="DDB28" i="20"/>
  <c r="DDC28" i="20"/>
  <c r="DDD28" i="20"/>
  <c r="DDE28" i="20"/>
  <c r="DDF28" i="20"/>
  <c r="DDG28" i="20"/>
  <c r="DDH28" i="20"/>
  <c r="DDI28" i="20"/>
  <c r="AAE29" i="20"/>
  <c r="AAF29" i="20"/>
  <c r="AAG29" i="20"/>
  <c r="AAH29" i="20"/>
  <c r="AAI29" i="20"/>
  <c r="AAJ29" i="20"/>
  <c r="AAK29" i="20"/>
  <c r="AAL29" i="20"/>
  <c r="AAM29" i="20"/>
  <c r="AAN29" i="20"/>
  <c r="AAO29" i="20"/>
  <c r="AAP29" i="20"/>
  <c r="AAQ29" i="20"/>
  <c r="AAR29" i="20"/>
  <c r="AAS29" i="20"/>
  <c r="AAT29" i="20"/>
  <c r="AAU29" i="20"/>
  <c r="AAV29" i="20"/>
  <c r="AAW29" i="20"/>
  <c r="AAX29" i="20"/>
  <c r="AAY29" i="20"/>
  <c r="AAZ29" i="20"/>
  <c r="ABA29" i="20"/>
  <c r="ABB29" i="20"/>
  <c r="ABC29" i="20"/>
  <c r="ABD29" i="20"/>
  <c r="ABE29" i="20"/>
  <c r="ABF29" i="20"/>
  <c r="ABG29" i="20"/>
  <c r="ABH29" i="20"/>
  <c r="ABI29" i="20"/>
  <c r="ABJ29" i="20"/>
  <c r="ABK29" i="20"/>
  <c r="ABL29" i="20"/>
  <c r="ABM29" i="20"/>
  <c r="ABN29" i="20"/>
  <c r="ABO29" i="20"/>
  <c r="ABP29" i="20"/>
  <c r="ABQ29" i="20"/>
  <c r="ABR29" i="20"/>
  <c r="ABS29" i="20"/>
  <c r="ABT29" i="20"/>
  <c r="ABU29" i="20"/>
  <c r="ABV29" i="20"/>
  <c r="ABW29" i="20"/>
  <c r="ABX29" i="20"/>
  <c r="ABY29" i="20"/>
  <c r="ABZ29" i="20"/>
  <c r="ACA29" i="20"/>
  <c r="ACB29" i="20"/>
  <c r="ACC29" i="20"/>
  <c r="ACD29" i="20"/>
  <c r="ACE29" i="20"/>
  <c r="ACF29" i="20"/>
  <c r="ACG29" i="20"/>
  <c r="ACH29" i="20"/>
  <c r="ACI29" i="20"/>
  <c r="ACJ29" i="20"/>
  <c r="ACK29" i="20"/>
  <c r="ACL29" i="20"/>
  <c r="ACM29" i="20"/>
  <c r="ACN29" i="20"/>
  <c r="ACO29" i="20"/>
  <c r="ACP29" i="20"/>
  <c r="ACQ29" i="20"/>
  <c r="ACR29" i="20"/>
  <c r="ACS29" i="20"/>
  <c r="ACT29" i="20"/>
  <c r="ACU29" i="20"/>
  <c r="ACV29" i="20"/>
  <c r="ACW29" i="20"/>
  <c r="ACX29" i="20"/>
  <c r="ACY29" i="20"/>
  <c r="ACZ29" i="20"/>
  <c r="ADA29" i="20"/>
  <c r="ADB29" i="20"/>
  <c r="ADC29" i="20"/>
  <c r="ADD29" i="20"/>
  <c r="ADE29" i="20"/>
  <c r="ADF29" i="20"/>
  <c r="ADG29" i="20"/>
  <c r="ADH29" i="20"/>
  <c r="ADI29" i="20"/>
  <c r="ADJ29" i="20"/>
  <c r="ADK29" i="20"/>
  <c r="ADL29" i="20"/>
  <c r="ADM29" i="20"/>
  <c r="ADN29" i="20"/>
  <c r="BEP29" i="20" s="1"/>
  <c r="CFR29" i="20" s="1"/>
  <c r="ADO29" i="20"/>
  <c r="ADP29" i="20"/>
  <c r="ADQ29" i="20"/>
  <c r="ADR29" i="20"/>
  <c r="ADS29" i="20"/>
  <c r="ADT29" i="20"/>
  <c r="ADU29" i="20"/>
  <c r="ADV29" i="20"/>
  <c r="ADW29" i="20"/>
  <c r="ADX29" i="20"/>
  <c r="ADY29" i="20"/>
  <c r="ADZ29" i="20"/>
  <c r="AEA29" i="20"/>
  <c r="AEB29" i="20"/>
  <c r="AEC29" i="20"/>
  <c r="AED29" i="20"/>
  <c r="AEE29" i="20"/>
  <c r="AEF29" i="20"/>
  <c r="AEG29" i="20"/>
  <c r="AEH29" i="20"/>
  <c r="AEI29" i="20"/>
  <c r="AEJ29" i="20"/>
  <c r="AEK29" i="20"/>
  <c r="AEL29" i="20"/>
  <c r="AEM29" i="20"/>
  <c r="AEN29" i="20"/>
  <c r="AEO29" i="20"/>
  <c r="AEP29" i="20"/>
  <c r="AEQ29" i="20"/>
  <c r="AER29" i="20"/>
  <c r="AES29" i="20"/>
  <c r="AET29" i="20"/>
  <c r="AEU29" i="20"/>
  <c r="AEV29" i="20"/>
  <c r="AEW29" i="20"/>
  <c r="AEX29" i="20"/>
  <c r="AEY29" i="20"/>
  <c r="AEZ29" i="20"/>
  <c r="AFA29" i="20"/>
  <c r="AFB29" i="20"/>
  <c r="AFC29" i="20"/>
  <c r="AFD29" i="20"/>
  <c r="AFE29" i="20"/>
  <c r="AFF29" i="20"/>
  <c r="AFG29" i="20"/>
  <c r="AFH29" i="20"/>
  <c r="AFI29" i="20"/>
  <c r="AFJ29" i="20"/>
  <c r="AFK29" i="20"/>
  <c r="AFL29" i="20"/>
  <c r="AFM29" i="20"/>
  <c r="AFN29" i="20"/>
  <c r="AFO29" i="20"/>
  <c r="AFP29" i="20"/>
  <c r="AFQ29" i="20"/>
  <c r="AFR29" i="20"/>
  <c r="AFS29" i="20"/>
  <c r="AFT29" i="20"/>
  <c r="AFU29" i="20"/>
  <c r="AFV29" i="20"/>
  <c r="AFW29" i="20"/>
  <c r="AFX29" i="20"/>
  <c r="AFY29" i="20"/>
  <c r="AFZ29" i="20"/>
  <c r="AGA29" i="20"/>
  <c r="AGB29" i="20"/>
  <c r="AGC29" i="20"/>
  <c r="AGD29" i="20"/>
  <c r="AGE29" i="20"/>
  <c r="AGF29" i="20"/>
  <c r="AGG29" i="20"/>
  <c r="AGH29" i="20"/>
  <c r="AGI29" i="20"/>
  <c r="AGJ29" i="20"/>
  <c r="AGK29" i="20"/>
  <c r="AGL29" i="20"/>
  <c r="AGM29" i="20"/>
  <c r="AGN29" i="20"/>
  <c r="AGO29" i="20"/>
  <c r="AGP29" i="20"/>
  <c r="AGQ29" i="20"/>
  <c r="AGR29" i="20"/>
  <c r="AGS29" i="20"/>
  <c r="AGT29" i="20"/>
  <c r="AGU29" i="20"/>
  <c r="AGV29" i="20"/>
  <c r="AGW29" i="20"/>
  <c r="AGX29" i="20"/>
  <c r="AGY29" i="20"/>
  <c r="AGZ29" i="20"/>
  <c r="AHA29" i="20"/>
  <c r="AHB29" i="20"/>
  <c r="AHC29" i="20"/>
  <c r="AHD29" i="20"/>
  <c r="AHE29" i="20"/>
  <c r="AHF29" i="20"/>
  <c r="AHG29" i="20"/>
  <c r="AHH29" i="20"/>
  <c r="AHI29" i="20"/>
  <c r="AHJ29" i="20"/>
  <c r="AHK29" i="20"/>
  <c r="AHL29" i="20"/>
  <c r="AHM29" i="20"/>
  <c r="AHN29" i="20"/>
  <c r="AHO29" i="20"/>
  <c r="AHP29" i="20"/>
  <c r="AHQ29" i="20"/>
  <c r="AHR29" i="20"/>
  <c r="AHS29" i="20"/>
  <c r="AHT29" i="20"/>
  <c r="AHU29" i="20"/>
  <c r="AHV29" i="20"/>
  <c r="AHW29" i="20"/>
  <c r="AHX29" i="20"/>
  <c r="AHY29" i="20"/>
  <c r="AHZ29" i="20"/>
  <c r="AIA29" i="20"/>
  <c r="AIB29" i="20"/>
  <c r="AIC29" i="20"/>
  <c r="AID29" i="20"/>
  <c r="AIE29" i="20"/>
  <c r="AIF29" i="20"/>
  <c r="AIG29" i="20"/>
  <c r="AIH29" i="20"/>
  <c r="AII29" i="20"/>
  <c r="AIJ29" i="20"/>
  <c r="AIK29" i="20"/>
  <c r="AIL29" i="20"/>
  <c r="AIM29" i="20"/>
  <c r="AIN29" i="20"/>
  <c r="AIO29" i="20"/>
  <c r="AIP29" i="20"/>
  <c r="AIQ29" i="20"/>
  <c r="AIR29" i="20"/>
  <c r="AIS29" i="20"/>
  <c r="AIT29" i="20"/>
  <c r="AIU29" i="20"/>
  <c r="AIV29" i="20"/>
  <c r="AIW29" i="20"/>
  <c r="AIX29" i="20"/>
  <c r="AIY29" i="20"/>
  <c r="AIZ29" i="20"/>
  <c r="AJA29" i="20"/>
  <c r="AJB29" i="20"/>
  <c r="AJC29" i="20"/>
  <c r="AJD29" i="20"/>
  <c r="AJE29" i="20"/>
  <c r="AJF29" i="20"/>
  <c r="AJG29" i="20"/>
  <c r="AJH29" i="20"/>
  <c r="AJI29" i="20"/>
  <c r="AJJ29" i="20"/>
  <c r="AJK29" i="20"/>
  <c r="AJL29" i="20"/>
  <c r="AJM29" i="20"/>
  <c r="AJN29" i="20"/>
  <c r="AJO29" i="20"/>
  <c r="AJP29" i="20"/>
  <c r="AJQ29" i="20"/>
  <c r="AJR29" i="20"/>
  <c r="AJS29" i="20"/>
  <c r="AJT29" i="20"/>
  <c r="AJU29" i="20"/>
  <c r="AJV29" i="20"/>
  <c r="AJW29" i="20"/>
  <c r="AJX29" i="20"/>
  <c r="AJY29" i="20"/>
  <c r="AJZ29" i="20"/>
  <c r="AKA29" i="20"/>
  <c r="AKB29" i="20"/>
  <c r="AKC29" i="20"/>
  <c r="AKD29" i="20"/>
  <c r="AKE29" i="20"/>
  <c r="AKF29" i="20"/>
  <c r="AKG29" i="20"/>
  <c r="AKH29" i="20"/>
  <c r="AKI29" i="20"/>
  <c r="AKJ29" i="20"/>
  <c r="AKK29" i="20"/>
  <c r="AKL29" i="20"/>
  <c r="AKM29" i="20"/>
  <c r="AKN29" i="20"/>
  <c r="AKO29" i="20"/>
  <c r="AKP29" i="20"/>
  <c r="AKQ29" i="20"/>
  <c r="AKR29" i="20"/>
  <c r="AKS29" i="20"/>
  <c r="AKT29" i="20"/>
  <c r="AKU29" i="20"/>
  <c r="AKV29" i="20"/>
  <c r="AKW29" i="20"/>
  <c r="AKX29" i="20"/>
  <c r="AKY29" i="20"/>
  <c r="AKZ29" i="20"/>
  <c r="ALA29" i="20"/>
  <c r="ALB29" i="20"/>
  <c r="ALC29" i="20"/>
  <c r="ALD29" i="20"/>
  <c r="ALE29" i="20"/>
  <c r="ALF29" i="20"/>
  <c r="ALG29" i="20"/>
  <c r="ALH29" i="20"/>
  <c r="ALI29" i="20"/>
  <c r="ALJ29" i="20"/>
  <c r="ALK29" i="20"/>
  <c r="ALL29" i="20"/>
  <c r="ALM29" i="20"/>
  <c r="ALN29" i="20"/>
  <c r="ALO29" i="20"/>
  <c r="ALP29" i="20"/>
  <c r="ALQ29" i="20"/>
  <c r="ALR29" i="20"/>
  <c r="ALS29" i="20"/>
  <c r="ALT29" i="20"/>
  <c r="ALU29" i="20"/>
  <c r="ALV29" i="20"/>
  <c r="ALW29" i="20"/>
  <c r="ALX29" i="20"/>
  <c r="ALY29" i="20"/>
  <c r="ALZ29" i="20"/>
  <c r="AMA29" i="20"/>
  <c r="AMB29" i="20"/>
  <c r="AMC29" i="20"/>
  <c r="AMD29" i="20"/>
  <c r="AME29" i="20"/>
  <c r="AMF29" i="20"/>
  <c r="AMG29" i="20"/>
  <c r="AMH29" i="20"/>
  <c r="AMI29" i="20"/>
  <c r="AMJ29" i="20"/>
  <c r="AMK29" i="20"/>
  <c r="AML29" i="20"/>
  <c r="AMM29" i="20"/>
  <c r="AMN29" i="20"/>
  <c r="AMO29" i="20"/>
  <c r="AMP29" i="20"/>
  <c r="AMQ29" i="20"/>
  <c r="AMR29" i="20"/>
  <c r="AMS29" i="20"/>
  <c r="AMT29" i="20"/>
  <c r="AMU29" i="20"/>
  <c r="AMV29" i="20"/>
  <c r="AMW29" i="20"/>
  <c r="AMX29" i="20"/>
  <c r="AMY29" i="20"/>
  <c r="AMZ29" i="20"/>
  <c r="ANA29" i="20"/>
  <c r="ANB29" i="20"/>
  <c r="ANC29" i="20"/>
  <c r="AND29" i="20"/>
  <c r="ANE29" i="20"/>
  <c r="ANF29" i="20"/>
  <c r="ANG29" i="20"/>
  <c r="ANH29" i="20"/>
  <c r="ANI29" i="20"/>
  <c r="ANJ29" i="20"/>
  <c r="ANK29" i="20"/>
  <c r="ANL29" i="20"/>
  <c r="ANM29" i="20"/>
  <c r="ANN29" i="20"/>
  <c r="ANO29" i="20"/>
  <c r="ANP29" i="20"/>
  <c r="ANQ29" i="20"/>
  <c r="ANR29" i="20"/>
  <c r="ANS29" i="20"/>
  <c r="ANT29" i="20"/>
  <c r="ANU29" i="20"/>
  <c r="ANV29" i="20"/>
  <c r="ANW29" i="20"/>
  <c r="ANX29" i="20"/>
  <c r="ANY29" i="20"/>
  <c r="ANZ29" i="20"/>
  <c r="AOA29" i="20"/>
  <c r="AOB29" i="20"/>
  <c r="AOC29" i="20"/>
  <c r="AOD29" i="20"/>
  <c r="AOE29" i="20"/>
  <c r="AOF29" i="20"/>
  <c r="AOG29" i="20"/>
  <c r="AOH29" i="20"/>
  <c r="AOI29" i="20"/>
  <c r="AOJ29" i="20"/>
  <c r="AOK29" i="20"/>
  <c r="AOL29" i="20"/>
  <c r="AOM29" i="20"/>
  <c r="AON29" i="20"/>
  <c r="AOO29" i="20"/>
  <c r="AOP29" i="20"/>
  <c r="AOQ29" i="20"/>
  <c r="AOR29" i="20"/>
  <c r="AOS29" i="20"/>
  <c r="AOT29" i="20"/>
  <c r="AOU29" i="20"/>
  <c r="AOV29" i="20"/>
  <c r="AOW29" i="20"/>
  <c r="AOX29" i="20"/>
  <c r="AOY29" i="20"/>
  <c r="AOZ29" i="20"/>
  <c r="APA29" i="20"/>
  <c r="APB29" i="20"/>
  <c r="APC29" i="20"/>
  <c r="APD29" i="20"/>
  <c r="APE29" i="20"/>
  <c r="APF29" i="20"/>
  <c r="APG29" i="20"/>
  <c r="APH29" i="20"/>
  <c r="API29" i="20"/>
  <c r="APJ29" i="20"/>
  <c r="APK29" i="20"/>
  <c r="APL29" i="20"/>
  <c r="APM29" i="20"/>
  <c r="APN29" i="20"/>
  <c r="APO29" i="20"/>
  <c r="APP29" i="20"/>
  <c r="APQ29" i="20"/>
  <c r="APR29" i="20"/>
  <c r="APS29" i="20"/>
  <c r="APT29" i="20"/>
  <c r="APU29" i="20"/>
  <c r="APV29" i="20"/>
  <c r="APW29" i="20"/>
  <c r="APX29" i="20"/>
  <c r="APY29" i="20"/>
  <c r="APZ29" i="20"/>
  <c r="AQA29" i="20"/>
  <c r="AQB29" i="20"/>
  <c r="AQC29" i="20"/>
  <c r="AQD29" i="20"/>
  <c r="AQE29" i="20"/>
  <c r="AQF29" i="20"/>
  <c r="AQG29" i="20"/>
  <c r="AQH29" i="20"/>
  <c r="AQI29" i="20"/>
  <c r="AQJ29" i="20"/>
  <c r="AQK29" i="20"/>
  <c r="AQL29" i="20"/>
  <c r="AQM29" i="20"/>
  <c r="AQN29" i="20"/>
  <c r="AQO29" i="20"/>
  <c r="AQP29" i="20"/>
  <c r="AQQ29" i="20"/>
  <c r="AQR29" i="20"/>
  <c r="AQS29" i="20"/>
  <c r="AQT29" i="20"/>
  <c r="AQU29" i="20"/>
  <c r="AQV29" i="20"/>
  <c r="AQW29" i="20"/>
  <c r="AQX29" i="20"/>
  <c r="AQY29" i="20"/>
  <c r="AQZ29" i="20"/>
  <c r="ARA29" i="20"/>
  <c r="ARB29" i="20"/>
  <c r="ARC29" i="20"/>
  <c r="ARD29" i="20"/>
  <c r="ARE29" i="20"/>
  <c r="ARF29" i="20"/>
  <c r="ARG29" i="20"/>
  <c r="ARH29" i="20"/>
  <c r="ARI29" i="20"/>
  <c r="ARJ29" i="20"/>
  <c r="ARK29" i="20"/>
  <c r="ARL29" i="20"/>
  <c r="ARM29" i="20"/>
  <c r="ARN29" i="20"/>
  <c r="ARO29" i="20"/>
  <c r="ARP29" i="20"/>
  <c r="ARQ29" i="20"/>
  <c r="ARR29" i="20"/>
  <c r="ARS29" i="20"/>
  <c r="ART29" i="20"/>
  <c r="ARU29" i="20"/>
  <c r="ARV29" i="20"/>
  <c r="ARW29" i="20"/>
  <c r="ARX29" i="20"/>
  <c r="ARY29" i="20"/>
  <c r="ARZ29" i="20"/>
  <c r="ASA29" i="20"/>
  <c r="ASB29" i="20"/>
  <c r="ASC29" i="20"/>
  <c r="ASD29" i="20"/>
  <c r="ASE29" i="20"/>
  <c r="ASF29" i="20"/>
  <c r="ASG29" i="20"/>
  <c r="ASH29" i="20"/>
  <c r="ASI29" i="20"/>
  <c r="ASJ29" i="20"/>
  <c r="ASK29" i="20"/>
  <c r="ASL29" i="20"/>
  <c r="ASM29" i="20"/>
  <c r="ASN29" i="20"/>
  <c r="ASO29" i="20"/>
  <c r="ASP29" i="20"/>
  <c r="ASQ29" i="20"/>
  <c r="ASR29" i="20"/>
  <c r="ASS29" i="20"/>
  <c r="AST29" i="20"/>
  <c r="ASU29" i="20"/>
  <c r="ASV29" i="20"/>
  <c r="ASW29" i="20"/>
  <c r="ASX29" i="20"/>
  <c r="ASY29" i="20"/>
  <c r="ASZ29" i="20"/>
  <c r="ATA29" i="20"/>
  <c r="ATB29" i="20"/>
  <c r="ATC29" i="20"/>
  <c r="ATD29" i="20"/>
  <c r="ATE29" i="20"/>
  <c r="ATF29" i="20"/>
  <c r="ATG29" i="20"/>
  <c r="ATH29" i="20"/>
  <c r="ATI29" i="20"/>
  <c r="ATJ29" i="20"/>
  <c r="ATK29" i="20"/>
  <c r="ATL29" i="20"/>
  <c r="ATM29" i="20"/>
  <c r="ATN29" i="20"/>
  <c r="ATO29" i="20"/>
  <c r="ATP29" i="20"/>
  <c r="ATQ29" i="20"/>
  <c r="ATR29" i="20"/>
  <c r="ATS29" i="20"/>
  <c r="ATT29" i="20"/>
  <c r="ATU29" i="20"/>
  <c r="ATV29" i="20"/>
  <c r="ATW29" i="20"/>
  <c r="ATX29" i="20"/>
  <c r="ATY29" i="20"/>
  <c r="ATZ29" i="20"/>
  <c r="AUA29" i="20"/>
  <c r="AUB29" i="20"/>
  <c r="AUC29" i="20"/>
  <c r="AUD29" i="20"/>
  <c r="AUE29" i="20"/>
  <c r="AUF29" i="20"/>
  <c r="AUG29" i="20"/>
  <c r="AUH29" i="20"/>
  <c r="AUI29" i="20"/>
  <c r="AUJ29" i="20"/>
  <c r="AUK29" i="20"/>
  <c r="AUL29" i="20"/>
  <c r="AUM29" i="20"/>
  <c r="AUN29" i="20"/>
  <c r="AUO29" i="20"/>
  <c r="AUP29" i="20"/>
  <c r="AUQ29" i="20"/>
  <c r="AUR29" i="20"/>
  <c r="AUS29" i="20"/>
  <c r="AUT29" i="20"/>
  <c r="AUU29" i="20"/>
  <c r="AUV29" i="20"/>
  <c r="AUW29" i="20"/>
  <c r="AUX29" i="20"/>
  <c r="AUY29" i="20"/>
  <c r="AUZ29" i="20"/>
  <c r="AVA29" i="20"/>
  <c r="AVB29" i="20"/>
  <c r="AVC29" i="20"/>
  <c r="AVD29" i="20"/>
  <c r="AVE29" i="20"/>
  <c r="AVF29" i="20"/>
  <c r="AVG29" i="20"/>
  <c r="AVH29" i="20"/>
  <c r="AVI29" i="20"/>
  <c r="AVJ29" i="20"/>
  <c r="AVK29" i="20"/>
  <c r="AVL29" i="20"/>
  <c r="AVM29" i="20"/>
  <c r="AVN29" i="20"/>
  <c r="AVO29" i="20"/>
  <c r="AVP29" i="20"/>
  <c r="AVQ29" i="20"/>
  <c r="AVR29" i="20"/>
  <c r="AVS29" i="20"/>
  <c r="AVT29" i="20"/>
  <c r="AVU29" i="20"/>
  <c r="AVV29" i="20"/>
  <c r="AVW29" i="20"/>
  <c r="AVX29" i="20"/>
  <c r="AVY29" i="20"/>
  <c r="AVZ29" i="20"/>
  <c r="AWA29" i="20"/>
  <c r="AWB29" i="20"/>
  <c r="AWC29" i="20"/>
  <c r="AWD29" i="20"/>
  <c r="AWE29" i="20"/>
  <c r="AWF29" i="20"/>
  <c r="AWG29" i="20"/>
  <c r="AWH29" i="20"/>
  <c r="AWI29" i="20"/>
  <c r="AWJ29" i="20"/>
  <c r="AWK29" i="20"/>
  <c r="AWL29" i="20"/>
  <c r="AWM29" i="20"/>
  <c r="AWN29" i="20"/>
  <c r="AWO29" i="20"/>
  <c r="AWP29" i="20"/>
  <c r="AWQ29" i="20"/>
  <c r="AWR29" i="20"/>
  <c r="AWS29" i="20"/>
  <c r="AWT29" i="20"/>
  <c r="AWU29" i="20"/>
  <c r="AWV29" i="20"/>
  <c r="AWW29" i="20"/>
  <c r="AWX29" i="20"/>
  <c r="AWY29" i="20"/>
  <c r="AWZ29" i="20"/>
  <c r="AXA29" i="20"/>
  <c r="AXB29" i="20"/>
  <c r="AXC29" i="20"/>
  <c r="AXD29" i="20"/>
  <c r="AXE29" i="20"/>
  <c r="AXF29" i="20"/>
  <c r="AXG29" i="20"/>
  <c r="AXH29" i="20"/>
  <c r="AXI29" i="20"/>
  <c r="AXJ29" i="20"/>
  <c r="AXK29" i="20"/>
  <c r="AXL29" i="20"/>
  <c r="AXM29" i="20"/>
  <c r="AXN29" i="20"/>
  <c r="AXO29" i="20"/>
  <c r="AXP29" i="20"/>
  <c r="AXQ29" i="20"/>
  <c r="AXR29" i="20"/>
  <c r="AXS29" i="20"/>
  <c r="AXT29" i="20"/>
  <c r="AXU29" i="20"/>
  <c r="AXV29" i="20"/>
  <c r="AXW29" i="20"/>
  <c r="AXX29" i="20"/>
  <c r="AXY29" i="20"/>
  <c r="AXZ29" i="20"/>
  <c r="AYA29" i="20"/>
  <c r="AYB29" i="20"/>
  <c r="AYC29" i="20"/>
  <c r="AYD29" i="20"/>
  <c r="AYE29" i="20"/>
  <c r="AYF29" i="20"/>
  <c r="AYG29" i="20"/>
  <c r="AYH29" i="20"/>
  <c r="AYI29" i="20"/>
  <c r="AYJ29" i="20"/>
  <c r="AYK29" i="20"/>
  <c r="AYL29" i="20"/>
  <c r="AYM29" i="20"/>
  <c r="AYN29" i="20"/>
  <c r="AYO29" i="20"/>
  <c r="AYP29" i="20"/>
  <c r="AYQ29" i="20"/>
  <c r="AYR29" i="20"/>
  <c r="AYS29" i="20"/>
  <c r="AYT29" i="20"/>
  <c r="AYU29" i="20"/>
  <c r="AYV29" i="20"/>
  <c r="AYW29" i="20"/>
  <c r="AYX29" i="20"/>
  <c r="AYY29" i="20"/>
  <c r="AYZ29" i="20"/>
  <c r="AZA29" i="20"/>
  <c r="AZB29" i="20"/>
  <c r="AZC29" i="20"/>
  <c r="AZD29" i="20"/>
  <c r="AZE29" i="20"/>
  <c r="AZF29" i="20"/>
  <c r="AZG29" i="20"/>
  <c r="AZH29" i="20"/>
  <c r="AZI29" i="20"/>
  <c r="AZJ29" i="20"/>
  <c r="AZK29" i="20"/>
  <c r="AZL29" i="20"/>
  <c r="AZM29" i="20"/>
  <c r="AZN29" i="20"/>
  <c r="AZO29" i="20"/>
  <c r="AZP29" i="20"/>
  <c r="AZQ29" i="20"/>
  <c r="AZR29" i="20"/>
  <c r="AZS29" i="20"/>
  <c r="AZT29" i="20"/>
  <c r="AZU29" i="20"/>
  <c r="AZV29" i="20"/>
  <c r="AZW29" i="20"/>
  <c r="AZX29" i="20"/>
  <c r="AZY29" i="20"/>
  <c r="AZZ29" i="20"/>
  <c r="BAA29" i="20"/>
  <c r="BAB29" i="20"/>
  <c r="BAC29" i="20"/>
  <c r="BAD29" i="20"/>
  <c r="BAE29" i="20"/>
  <c r="BAF29" i="20"/>
  <c r="BAG29" i="20"/>
  <c r="BAH29" i="20"/>
  <c r="CBJ29" i="20" s="1"/>
  <c r="DCL29" i="20" s="1"/>
  <c r="BAI29" i="20"/>
  <c r="BAJ29" i="20"/>
  <c r="BAK29" i="20"/>
  <c r="BAL29" i="20"/>
  <c r="BAM29" i="20"/>
  <c r="BAN29" i="20"/>
  <c r="BAO29" i="20"/>
  <c r="BAP29" i="20"/>
  <c r="BAQ29" i="20"/>
  <c r="BAR29" i="20"/>
  <c r="BAS29" i="20"/>
  <c r="BAT29" i="20"/>
  <c r="BAU29" i="20"/>
  <c r="BAV29" i="20"/>
  <c r="BAW29" i="20"/>
  <c r="BAX29" i="20"/>
  <c r="BAY29" i="20"/>
  <c r="BAZ29" i="20"/>
  <c r="BBA29" i="20"/>
  <c r="BBB29" i="20"/>
  <c r="BBC29" i="20"/>
  <c r="BBD29" i="20"/>
  <c r="BBE29" i="20"/>
  <c r="BBF29" i="20"/>
  <c r="CCH29" i="20" s="1"/>
  <c r="BBG29" i="20"/>
  <c r="BBH29" i="20"/>
  <c r="BBI29" i="20"/>
  <c r="BBJ29" i="20"/>
  <c r="BBK29" i="20"/>
  <c r="BBL29" i="20"/>
  <c r="BBM29" i="20"/>
  <c r="BBN29" i="20"/>
  <c r="BBO29" i="20"/>
  <c r="BBP29" i="20"/>
  <c r="BBQ29" i="20"/>
  <c r="BBR29" i="20"/>
  <c r="BBS29" i="20"/>
  <c r="BBT29" i="20"/>
  <c r="BBU29" i="20"/>
  <c r="BBV29" i="20"/>
  <c r="BBW29" i="20"/>
  <c r="BBX29" i="20"/>
  <c r="BBY29" i="20"/>
  <c r="BBZ29" i="20"/>
  <c r="BCA29" i="20"/>
  <c r="BCB29" i="20"/>
  <c r="BCC29" i="20"/>
  <c r="BCD29" i="20"/>
  <c r="BCE29" i="20"/>
  <c r="BCF29" i="20"/>
  <c r="BCG29" i="20"/>
  <c r="BCH29" i="20"/>
  <c r="BCI29" i="20"/>
  <c r="BCJ29" i="20"/>
  <c r="BCK29" i="20"/>
  <c r="BCL29" i="20"/>
  <c r="BCM29" i="20"/>
  <c r="BCN29" i="20"/>
  <c r="BCO29" i="20"/>
  <c r="BCP29" i="20"/>
  <c r="BCQ29" i="20"/>
  <c r="BCR29" i="20"/>
  <c r="BCS29" i="20"/>
  <c r="BCT29" i="20"/>
  <c r="BCU29" i="20"/>
  <c r="BCV29" i="20"/>
  <c r="BCW29" i="20"/>
  <c r="BCX29" i="20"/>
  <c r="BCY29" i="20"/>
  <c r="BCZ29" i="20"/>
  <c r="BDA29" i="20"/>
  <c r="BDB29" i="20"/>
  <c r="BDC29" i="20"/>
  <c r="BDD29" i="20"/>
  <c r="BDE29" i="20"/>
  <c r="BDF29" i="20"/>
  <c r="BDG29" i="20"/>
  <c r="BDH29" i="20"/>
  <c r="BDI29" i="20"/>
  <c r="BDJ29" i="20"/>
  <c r="BDK29" i="20"/>
  <c r="BDL29" i="20"/>
  <c r="BDM29" i="20"/>
  <c r="BDN29" i="20"/>
  <c r="BDO29" i="20"/>
  <c r="BDP29" i="20"/>
  <c r="BDQ29" i="20"/>
  <c r="BDR29" i="20"/>
  <c r="BDS29" i="20"/>
  <c r="BDT29" i="20"/>
  <c r="BDU29" i="20"/>
  <c r="BDV29" i="20"/>
  <c r="BDW29" i="20"/>
  <c r="BDX29" i="20"/>
  <c r="BDY29" i="20"/>
  <c r="BDZ29" i="20"/>
  <c r="BEA29" i="20"/>
  <c r="BEB29" i="20"/>
  <c r="BEC29" i="20"/>
  <c r="BED29" i="20"/>
  <c r="BEE29" i="20"/>
  <c r="BEF29" i="20"/>
  <c r="BEG29" i="20"/>
  <c r="BEH29" i="20"/>
  <c r="BEI29" i="20"/>
  <c r="BEJ29" i="20"/>
  <c r="BEK29" i="20"/>
  <c r="BEL29" i="20"/>
  <c r="BEM29" i="20"/>
  <c r="BEN29" i="20"/>
  <c r="BEO29" i="20"/>
  <c r="BEQ29" i="20"/>
  <c r="BER29" i="20"/>
  <c r="BES29" i="20"/>
  <c r="BET29" i="20"/>
  <c r="BEU29" i="20"/>
  <c r="BEV29" i="20"/>
  <c r="BEW29" i="20"/>
  <c r="BEX29" i="20"/>
  <c r="BEY29" i="20"/>
  <c r="BEZ29" i="20"/>
  <c r="BFA29" i="20"/>
  <c r="BFB29" i="20"/>
  <c r="BFC29" i="20"/>
  <c r="BFD29" i="20"/>
  <c r="BFE29" i="20"/>
  <c r="BFF29" i="20"/>
  <c r="BFG29" i="20"/>
  <c r="BFH29" i="20"/>
  <c r="BFI29" i="20"/>
  <c r="BFJ29" i="20"/>
  <c r="BFK29" i="20"/>
  <c r="BFL29" i="20"/>
  <c r="BFM29" i="20"/>
  <c r="BFN29" i="20"/>
  <c r="BFO29" i="20"/>
  <c r="BFP29" i="20"/>
  <c r="BFQ29" i="20"/>
  <c r="BFR29" i="20"/>
  <c r="BFS29" i="20"/>
  <c r="BFT29" i="20"/>
  <c r="BFU29" i="20"/>
  <c r="BFV29" i="20"/>
  <c r="BFW29" i="20"/>
  <c r="BFX29" i="20"/>
  <c r="BFY29" i="20"/>
  <c r="BFZ29" i="20"/>
  <c r="BGA29" i="20"/>
  <c r="BGB29" i="20"/>
  <c r="BGC29" i="20"/>
  <c r="BGD29" i="20"/>
  <c r="CHF29" i="20" s="1"/>
  <c r="BGE29" i="20"/>
  <c r="BGF29" i="20"/>
  <c r="BGG29" i="20"/>
  <c r="BGH29" i="20"/>
  <c r="BGI29" i="20"/>
  <c r="BGJ29" i="20"/>
  <c r="BGK29" i="20"/>
  <c r="BGL29" i="20"/>
  <c r="BGM29" i="20"/>
  <c r="BGN29" i="20"/>
  <c r="BGO29" i="20"/>
  <c r="BGP29" i="20"/>
  <c r="BGQ29" i="20"/>
  <c r="BGR29" i="20"/>
  <c r="BGS29" i="20"/>
  <c r="BGT29" i="20"/>
  <c r="CHV29" i="20" s="1"/>
  <c r="BGU29" i="20"/>
  <c r="BGV29" i="20"/>
  <c r="BGW29" i="20"/>
  <c r="BGX29" i="20"/>
  <c r="BGY29" i="20"/>
  <c r="BGZ29" i="20"/>
  <c r="BHA29" i="20"/>
  <c r="BHB29" i="20"/>
  <c r="BHC29" i="20"/>
  <c r="BHD29" i="20"/>
  <c r="BHE29" i="20"/>
  <c r="BHF29" i="20"/>
  <c r="BHG29" i="20"/>
  <c r="BHH29" i="20"/>
  <c r="BHI29" i="20"/>
  <c r="BHJ29" i="20"/>
  <c r="BHK29" i="20"/>
  <c r="BHL29" i="20"/>
  <c r="BHM29" i="20"/>
  <c r="BHN29" i="20"/>
  <c r="BHO29" i="20"/>
  <c r="BHP29" i="20"/>
  <c r="BHQ29" i="20"/>
  <c r="BHR29" i="20"/>
  <c r="BHS29" i="20"/>
  <c r="BHT29" i="20"/>
  <c r="BHU29" i="20"/>
  <c r="BHV29" i="20"/>
  <c r="BHW29" i="20"/>
  <c r="BHX29" i="20"/>
  <c r="BHY29" i="20"/>
  <c r="BHZ29" i="20"/>
  <c r="BIA29" i="20"/>
  <c r="BIB29" i="20"/>
  <c r="BIC29" i="20"/>
  <c r="BID29" i="20"/>
  <c r="BIE29" i="20"/>
  <c r="BIF29" i="20"/>
  <c r="BIG29" i="20"/>
  <c r="BIH29" i="20"/>
  <c r="BII29" i="20"/>
  <c r="BIJ29" i="20"/>
  <c r="BIK29" i="20"/>
  <c r="BIL29" i="20"/>
  <c r="BIM29" i="20"/>
  <c r="BIN29" i="20"/>
  <c r="BIO29" i="20"/>
  <c r="BIP29" i="20"/>
  <c r="BIQ29" i="20"/>
  <c r="BIR29" i="20"/>
  <c r="BIS29" i="20"/>
  <c r="BIT29" i="20"/>
  <c r="BIU29" i="20"/>
  <c r="BIV29" i="20"/>
  <c r="BIW29" i="20"/>
  <c r="BIX29" i="20"/>
  <c r="BIY29" i="20"/>
  <c r="BIZ29" i="20"/>
  <c r="BJA29" i="20"/>
  <c r="BJB29" i="20"/>
  <c r="BJC29" i="20"/>
  <c r="BJD29" i="20"/>
  <c r="BJE29" i="20"/>
  <c r="BJF29" i="20"/>
  <c r="BJG29" i="20"/>
  <c r="BJH29" i="20"/>
  <c r="BJI29" i="20"/>
  <c r="BJJ29" i="20"/>
  <c r="BJK29" i="20"/>
  <c r="BJL29" i="20"/>
  <c r="BJM29" i="20"/>
  <c r="BJN29" i="20"/>
  <c r="BJO29" i="20"/>
  <c r="BJP29" i="20"/>
  <c r="BJQ29" i="20"/>
  <c r="BJR29" i="20"/>
  <c r="BJS29" i="20"/>
  <c r="BJT29" i="20"/>
  <c r="BJU29" i="20"/>
  <c r="BJV29" i="20"/>
  <c r="BJW29" i="20"/>
  <c r="BJX29" i="20"/>
  <c r="BJY29" i="20"/>
  <c r="BJZ29" i="20"/>
  <c r="BKA29" i="20"/>
  <c r="BKB29" i="20"/>
  <c r="BKC29" i="20"/>
  <c r="BKD29" i="20"/>
  <c r="BKE29" i="20"/>
  <c r="BKF29" i="20"/>
  <c r="BKG29" i="20"/>
  <c r="BKH29" i="20"/>
  <c r="BKI29" i="20"/>
  <c r="BKJ29" i="20"/>
  <c r="BKK29" i="20"/>
  <c r="BKL29" i="20"/>
  <c r="BKM29" i="20"/>
  <c r="BKN29" i="20"/>
  <c r="BKO29" i="20"/>
  <c r="BKP29" i="20"/>
  <c r="BKQ29" i="20"/>
  <c r="BKR29" i="20"/>
  <c r="BKS29" i="20"/>
  <c r="BKT29" i="20"/>
  <c r="BKU29" i="20"/>
  <c r="BKV29" i="20"/>
  <c r="BKW29" i="20"/>
  <c r="BKX29" i="20"/>
  <c r="BKY29" i="20"/>
  <c r="BKZ29" i="20"/>
  <c r="BLA29" i="20"/>
  <c r="BLB29" i="20"/>
  <c r="BLC29" i="20"/>
  <c r="BLD29" i="20"/>
  <c r="BLE29" i="20"/>
  <c r="BLF29" i="20"/>
  <c r="BLG29" i="20"/>
  <c r="BLH29" i="20"/>
  <c r="BLI29" i="20"/>
  <c r="BLJ29" i="20"/>
  <c r="BLK29" i="20"/>
  <c r="BLL29" i="20"/>
  <c r="BLM29" i="20"/>
  <c r="BLN29" i="20"/>
  <c r="BLO29" i="20"/>
  <c r="BLP29" i="20"/>
  <c r="BLQ29" i="20"/>
  <c r="BLR29" i="20"/>
  <c r="BLS29" i="20"/>
  <c r="BLT29" i="20"/>
  <c r="BLU29" i="20"/>
  <c r="BLV29" i="20"/>
  <c r="BLW29" i="20"/>
  <c r="BLX29" i="20"/>
  <c r="BLY29" i="20"/>
  <c r="BLZ29" i="20"/>
  <c r="BMA29" i="20"/>
  <c r="BMB29" i="20"/>
  <c r="BMC29" i="20"/>
  <c r="BMD29" i="20"/>
  <c r="BME29" i="20"/>
  <c r="BMF29" i="20"/>
  <c r="BMG29" i="20"/>
  <c r="BMH29" i="20"/>
  <c r="BMI29" i="20"/>
  <c r="BMJ29" i="20"/>
  <c r="BMK29" i="20"/>
  <c r="BML29" i="20"/>
  <c r="BMM29" i="20"/>
  <c r="BMN29" i="20"/>
  <c r="BMO29" i="20"/>
  <c r="BMP29" i="20"/>
  <c r="BMQ29" i="20"/>
  <c r="BMR29" i="20"/>
  <c r="BMS29" i="20"/>
  <c r="BMT29" i="20"/>
  <c r="BMU29" i="20"/>
  <c r="BMV29" i="20"/>
  <c r="BMW29" i="20"/>
  <c r="BMX29" i="20"/>
  <c r="BMY29" i="20"/>
  <c r="BMZ29" i="20"/>
  <c r="BNA29" i="20"/>
  <c r="BNB29" i="20"/>
  <c r="BNC29" i="20"/>
  <c r="BND29" i="20"/>
  <c r="BNE29" i="20"/>
  <c r="BNF29" i="20"/>
  <c r="BNG29" i="20"/>
  <c r="BNH29" i="20"/>
  <c r="BNI29" i="20"/>
  <c r="BNJ29" i="20"/>
  <c r="BNK29" i="20"/>
  <c r="BNL29" i="20"/>
  <c r="BNM29" i="20"/>
  <c r="BNN29" i="20"/>
  <c r="BNO29" i="20"/>
  <c r="BNP29" i="20"/>
  <c r="BNQ29" i="20"/>
  <c r="BNR29" i="20"/>
  <c r="BNS29" i="20"/>
  <c r="BNT29" i="20"/>
  <c r="BNU29" i="20"/>
  <c r="BNV29" i="20"/>
  <c r="BNW29" i="20"/>
  <c r="BNX29" i="20"/>
  <c r="BNY29" i="20"/>
  <c r="BNZ29" i="20"/>
  <c r="BOA29" i="20"/>
  <c r="BOB29" i="20"/>
  <c r="BOC29" i="20"/>
  <c r="BOD29" i="20"/>
  <c r="BOE29" i="20"/>
  <c r="BOF29" i="20"/>
  <c r="BOG29" i="20"/>
  <c r="BOH29" i="20"/>
  <c r="BOI29" i="20"/>
  <c r="BOJ29" i="20"/>
  <c r="BOK29" i="20"/>
  <c r="BOL29" i="20"/>
  <c r="BOM29" i="20"/>
  <c r="BON29" i="20"/>
  <c r="BOO29" i="20"/>
  <c r="BOP29" i="20"/>
  <c r="BOQ29" i="20"/>
  <c r="BOR29" i="20"/>
  <c r="BOS29" i="20"/>
  <c r="BOT29" i="20"/>
  <c r="BOU29" i="20"/>
  <c r="BOV29" i="20"/>
  <c r="BOW29" i="20"/>
  <c r="BOX29" i="20"/>
  <c r="BOY29" i="20"/>
  <c r="BOZ29" i="20"/>
  <c r="BPA29" i="20"/>
  <c r="BPB29" i="20"/>
  <c r="BPC29" i="20"/>
  <c r="BPD29" i="20"/>
  <c r="BPE29" i="20"/>
  <c r="BPF29" i="20"/>
  <c r="BPG29" i="20"/>
  <c r="BPH29" i="20"/>
  <c r="BPI29" i="20"/>
  <c r="BPJ29" i="20"/>
  <c r="BPK29" i="20"/>
  <c r="BPL29" i="20"/>
  <c r="BPM29" i="20"/>
  <c r="BPN29" i="20"/>
  <c r="BPO29" i="20"/>
  <c r="BPP29" i="20"/>
  <c r="BPQ29" i="20"/>
  <c r="BPR29" i="20"/>
  <c r="BPS29" i="20"/>
  <c r="BPT29" i="20"/>
  <c r="BPU29" i="20"/>
  <c r="BPV29" i="20"/>
  <c r="BPW29" i="20"/>
  <c r="BPX29" i="20"/>
  <c r="BPY29" i="20"/>
  <c r="BPZ29" i="20"/>
  <c r="BQA29" i="20"/>
  <c r="BQB29" i="20"/>
  <c r="BQC29" i="20"/>
  <c r="BQD29" i="20"/>
  <c r="BQE29" i="20"/>
  <c r="BQF29" i="20"/>
  <c r="BQG29" i="20"/>
  <c r="BQH29" i="20"/>
  <c r="BQI29" i="20"/>
  <c r="BQJ29" i="20"/>
  <c r="BQK29" i="20"/>
  <c r="BQL29" i="20"/>
  <c r="BQM29" i="20"/>
  <c r="BQN29" i="20"/>
  <c r="BQO29" i="20"/>
  <c r="BQP29" i="20"/>
  <c r="BQQ29" i="20"/>
  <c r="BQR29" i="20"/>
  <c r="BQS29" i="20"/>
  <c r="BQT29" i="20"/>
  <c r="BQU29" i="20"/>
  <c r="BQV29" i="20"/>
  <c r="BQW29" i="20"/>
  <c r="BQX29" i="20"/>
  <c r="BQY29" i="20"/>
  <c r="BQZ29" i="20"/>
  <c r="BRA29" i="20"/>
  <c r="BRB29" i="20"/>
  <c r="BRC29" i="20"/>
  <c r="BRD29" i="20"/>
  <c r="BRE29" i="20"/>
  <c r="BRF29" i="20"/>
  <c r="BRG29" i="20"/>
  <c r="BRH29" i="20"/>
  <c r="BRI29" i="20"/>
  <c r="BRJ29" i="20"/>
  <c r="BRK29" i="20"/>
  <c r="BRL29" i="20"/>
  <c r="BRM29" i="20"/>
  <c r="BRN29" i="20"/>
  <c r="BRO29" i="20"/>
  <c r="BRP29" i="20"/>
  <c r="BRQ29" i="20"/>
  <c r="BRR29" i="20"/>
  <c r="BRS29" i="20"/>
  <c r="BRT29" i="20"/>
  <c r="BRU29" i="20"/>
  <c r="BRV29" i="20"/>
  <c r="BRW29" i="20"/>
  <c r="BRX29" i="20"/>
  <c r="BRY29" i="20"/>
  <c r="BRZ29" i="20"/>
  <c r="BSA29" i="20"/>
  <c r="BSB29" i="20"/>
  <c r="BSC29" i="20"/>
  <c r="BSD29" i="20"/>
  <c r="BSE29" i="20"/>
  <c r="BSF29" i="20"/>
  <c r="BSG29" i="20"/>
  <c r="BSH29" i="20"/>
  <c r="BSI29" i="20"/>
  <c r="BSJ29" i="20"/>
  <c r="BSK29" i="20"/>
  <c r="BSL29" i="20"/>
  <c r="BSM29" i="20"/>
  <c r="BSN29" i="20"/>
  <c r="BSO29" i="20"/>
  <c r="BSP29" i="20"/>
  <c r="BSQ29" i="20"/>
  <c r="BSR29" i="20"/>
  <c r="BSS29" i="20"/>
  <c r="BST29" i="20"/>
  <c r="BSU29" i="20"/>
  <c r="BSV29" i="20"/>
  <c r="BSW29" i="20"/>
  <c r="BSX29" i="20"/>
  <c r="BSY29" i="20"/>
  <c r="BSZ29" i="20"/>
  <c r="BTA29" i="20"/>
  <c r="BTB29" i="20"/>
  <c r="BTC29" i="20"/>
  <c r="BTD29" i="20"/>
  <c r="BTE29" i="20"/>
  <c r="BTF29" i="20"/>
  <c r="BTG29" i="20"/>
  <c r="BTH29" i="20"/>
  <c r="BTI29" i="20"/>
  <c r="BTJ29" i="20"/>
  <c r="BTK29" i="20"/>
  <c r="BTL29" i="20"/>
  <c r="BTM29" i="20"/>
  <c r="BTN29" i="20"/>
  <c r="BTO29" i="20"/>
  <c r="BTP29" i="20"/>
  <c r="BTQ29" i="20"/>
  <c r="BTR29" i="20"/>
  <c r="BTS29" i="20"/>
  <c r="BTT29" i="20"/>
  <c r="BTU29" i="20"/>
  <c r="BTV29" i="20"/>
  <c r="BTW29" i="20"/>
  <c r="BTX29" i="20"/>
  <c r="BTY29" i="20"/>
  <c r="BTZ29" i="20"/>
  <c r="BUA29" i="20"/>
  <c r="BUB29" i="20"/>
  <c r="BUC29" i="20"/>
  <c r="BUD29" i="20"/>
  <c r="BUE29" i="20"/>
  <c r="BUF29" i="20"/>
  <c r="BUG29" i="20"/>
  <c r="BUH29" i="20"/>
  <c r="BUI29" i="20"/>
  <c r="BUJ29" i="20"/>
  <c r="BUK29" i="20"/>
  <c r="BUL29" i="20"/>
  <c r="BUM29" i="20"/>
  <c r="BUN29" i="20"/>
  <c r="BUO29" i="20"/>
  <c r="BUP29" i="20"/>
  <c r="BUQ29" i="20"/>
  <c r="BUR29" i="20"/>
  <c r="BUS29" i="20"/>
  <c r="BUT29" i="20"/>
  <c r="BUU29" i="20"/>
  <c r="BUV29" i="20"/>
  <c r="BUW29" i="20"/>
  <c r="BUX29" i="20"/>
  <c r="BUY29" i="20"/>
  <c r="BUZ29" i="20"/>
  <c r="BVA29" i="20"/>
  <c r="BVB29" i="20"/>
  <c r="BVC29" i="20"/>
  <c r="BVD29" i="20"/>
  <c r="BVE29" i="20"/>
  <c r="BVF29" i="20"/>
  <c r="BVG29" i="20"/>
  <c r="BVH29" i="20"/>
  <c r="BVI29" i="20"/>
  <c r="BVJ29" i="20"/>
  <c r="BVK29" i="20"/>
  <c r="BVL29" i="20"/>
  <c r="BVM29" i="20"/>
  <c r="BVN29" i="20"/>
  <c r="BVO29" i="20"/>
  <c r="BVP29" i="20"/>
  <c r="BVQ29" i="20"/>
  <c r="BVR29" i="20"/>
  <c r="BVS29" i="20"/>
  <c r="BVT29" i="20"/>
  <c r="BVU29" i="20"/>
  <c r="BVV29" i="20"/>
  <c r="BVW29" i="20"/>
  <c r="BVX29" i="20"/>
  <c r="BVY29" i="20"/>
  <c r="BVZ29" i="20"/>
  <c r="BWA29" i="20"/>
  <c r="BWB29" i="20"/>
  <c r="BWC29" i="20"/>
  <c r="BWD29" i="20"/>
  <c r="BWE29" i="20"/>
  <c r="BWF29" i="20"/>
  <c r="BWG29" i="20"/>
  <c r="BWH29" i="20"/>
  <c r="BWI29" i="20"/>
  <c r="BWJ29" i="20"/>
  <c r="BWK29" i="20"/>
  <c r="BWL29" i="20"/>
  <c r="BWM29" i="20"/>
  <c r="BWN29" i="20"/>
  <c r="BWO29" i="20"/>
  <c r="BWP29" i="20"/>
  <c r="BWQ29" i="20"/>
  <c r="BWR29" i="20"/>
  <c r="BWS29" i="20"/>
  <c r="BWT29" i="20"/>
  <c r="BWU29" i="20"/>
  <c r="BWV29" i="20"/>
  <c r="BWW29" i="20"/>
  <c r="BWX29" i="20"/>
  <c r="BWY29" i="20"/>
  <c r="BWZ29" i="20"/>
  <c r="BXA29" i="20"/>
  <c r="BXB29" i="20"/>
  <c r="BXC29" i="20"/>
  <c r="BXD29" i="20"/>
  <c r="BXE29" i="20"/>
  <c r="BXF29" i="20"/>
  <c r="BXG29" i="20"/>
  <c r="BXH29" i="20"/>
  <c r="BXI29" i="20"/>
  <c r="BXJ29" i="20"/>
  <c r="BXK29" i="20"/>
  <c r="BXL29" i="20"/>
  <c r="BXM29" i="20"/>
  <c r="BXN29" i="20"/>
  <c r="BXO29" i="20"/>
  <c r="BXP29" i="20"/>
  <c r="BXQ29" i="20"/>
  <c r="BXR29" i="20"/>
  <c r="BXS29" i="20"/>
  <c r="BXT29" i="20"/>
  <c r="BXU29" i="20"/>
  <c r="BXV29" i="20"/>
  <c r="BXW29" i="20"/>
  <c r="BXX29" i="20"/>
  <c r="BXY29" i="20"/>
  <c r="BXZ29" i="20"/>
  <c r="BYA29" i="20"/>
  <c r="BYB29" i="20"/>
  <c r="BYC29" i="20"/>
  <c r="BYD29" i="20"/>
  <c r="BYE29" i="20"/>
  <c r="BYF29" i="20"/>
  <c r="BYG29" i="20"/>
  <c r="BYH29" i="20"/>
  <c r="BYI29" i="20"/>
  <c r="BYJ29" i="20"/>
  <c r="BYK29" i="20"/>
  <c r="BYL29" i="20"/>
  <c r="BYM29" i="20"/>
  <c r="BYN29" i="20"/>
  <c r="BYO29" i="20"/>
  <c r="BYP29" i="20"/>
  <c r="BYQ29" i="20"/>
  <c r="BYR29" i="20"/>
  <c r="BYS29" i="20"/>
  <c r="BYT29" i="20"/>
  <c r="BYU29" i="20"/>
  <c r="BYV29" i="20"/>
  <c r="BYW29" i="20"/>
  <c r="BYX29" i="20"/>
  <c r="BYY29" i="20"/>
  <c r="BYZ29" i="20"/>
  <c r="BZA29" i="20"/>
  <c r="BZB29" i="20"/>
  <c r="BZC29" i="20"/>
  <c r="BZD29" i="20"/>
  <c r="BZE29" i="20"/>
  <c r="BZF29" i="20"/>
  <c r="BZG29" i="20"/>
  <c r="BZH29" i="20"/>
  <c r="BZI29" i="20"/>
  <c r="BZJ29" i="20"/>
  <c r="BZK29" i="20"/>
  <c r="BZL29" i="20"/>
  <c r="BZM29" i="20"/>
  <c r="BZN29" i="20"/>
  <c r="BZO29" i="20"/>
  <c r="BZP29" i="20"/>
  <c r="BZQ29" i="20"/>
  <c r="BZR29" i="20"/>
  <c r="BZS29" i="20"/>
  <c r="BZT29" i="20"/>
  <c r="BZU29" i="20"/>
  <c r="BZV29" i="20"/>
  <c r="BZW29" i="20"/>
  <c r="BZX29" i="20"/>
  <c r="BZY29" i="20"/>
  <c r="BZZ29" i="20"/>
  <c r="CAA29" i="20"/>
  <c r="CAB29" i="20"/>
  <c r="CAC29" i="20"/>
  <c r="CAD29" i="20"/>
  <c r="CAE29" i="20"/>
  <c r="CAF29" i="20"/>
  <c r="CAG29" i="20"/>
  <c r="CAH29" i="20"/>
  <c r="CAI29" i="20"/>
  <c r="CAJ29" i="20"/>
  <c r="CAK29" i="20"/>
  <c r="CAL29" i="20"/>
  <c r="CAM29" i="20"/>
  <c r="CAN29" i="20"/>
  <c r="CAO29" i="20"/>
  <c r="CAP29" i="20"/>
  <c r="CAQ29" i="20"/>
  <c r="CAR29" i="20"/>
  <c r="CAS29" i="20"/>
  <c r="CAT29" i="20"/>
  <c r="CAU29" i="20"/>
  <c r="CAV29" i="20"/>
  <c r="CAW29" i="20"/>
  <c r="CAX29" i="20"/>
  <c r="CAY29" i="20"/>
  <c r="CAZ29" i="20"/>
  <c r="CBA29" i="20"/>
  <c r="CBB29" i="20"/>
  <c r="CBC29" i="20"/>
  <c r="CBD29" i="20"/>
  <c r="CBE29" i="20"/>
  <c r="CBF29" i="20"/>
  <c r="CBG29" i="20"/>
  <c r="CBH29" i="20"/>
  <c r="CBI29" i="20"/>
  <c r="CBK29" i="20"/>
  <c r="CBL29" i="20"/>
  <c r="CBM29" i="20"/>
  <c r="CBN29" i="20"/>
  <c r="CBO29" i="20"/>
  <c r="CBP29" i="20"/>
  <c r="CBQ29" i="20"/>
  <c r="CBR29" i="20"/>
  <c r="CBS29" i="20"/>
  <c r="CBT29" i="20"/>
  <c r="CBU29" i="20"/>
  <c r="CBV29" i="20"/>
  <c r="CBW29" i="20"/>
  <c r="CBX29" i="20"/>
  <c r="CBY29" i="20"/>
  <c r="CBZ29" i="20"/>
  <c r="CCA29" i="20"/>
  <c r="CCB29" i="20"/>
  <c r="CCC29" i="20"/>
  <c r="CCD29" i="20"/>
  <c r="CCE29" i="20"/>
  <c r="CCF29" i="20"/>
  <c r="CCG29" i="20"/>
  <c r="CCI29" i="20"/>
  <c r="CCJ29" i="20"/>
  <c r="CCK29" i="20"/>
  <c r="CCL29" i="20"/>
  <c r="CCM29" i="20"/>
  <c r="CCN29" i="20"/>
  <c r="CCO29" i="20"/>
  <c r="CCP29" i="20"/>
  <c r="CCQ29" i="20"/>
  <c r="CCR29" i="20"/>
  <c r="CCS29" i="20"/>
  <c r="CCT29" i="20"/>
  <c r="CCU29" i="20"/>
  <c r="CCV29" i="20"/>
  <c r="CCW29" i="20"/>
  <c r="CCX29" i="20"/>
  <c r="CCY29" i="20"/>
  <c r="CCZ29" i="20"/>
  <c r="CDA29" i="20"/>
  <c r="CDB29" i="20"/>
  <c r="CDC29" i="20"/>
  <c r="CDD29" i="20"/>
  <c r="CDE29" i="20"/>
  <c r="CDF29" i="20"/>
  <c r="CDG29" i="20"/>
  <c r="CDH29" i="20"/>
  <c r="CDI29" i="20"/>
  <c r="CDJ29" i="20"/>
  <c r="CDK29" i="20"/>
  <c r="CDL29" i="20"/>
  <c r="CDM29" i="20"/>
  <c r="CDN29" i="20"/>
  <c r="CDO29" i="20"/>
  <c r="CDP29" i="20"/>
  <c r="CDQ29" i="20"/>
  <c r="CDR29" i="20"/>
  <c r="CDS29" i="20"/>
  <c r="CDT29" i="20"/>
  <c r="CDU29" i="20"/>
  <c r="CDV29" i="20"/>
  <c r="CDW29" i="20"/>
  <c r="CDX29" i="20"/>
  <c r="CDY29" i="20"/>
  <c r="CDZ29" i="20"/>
  <c r="CEA29" i="20"/>
  <c r="CEB29" i="20"/>
  <c r="CEC29" i="20"/>
  <c r="CED29" i="20"/>
  <c r="CEE29" i="20"/>
  <c r="CEF29" i="20"/>
  <c r="CEG29" i="20"/>
  <c r="CEH29" i="20"/>
  <c r="CEI29" i="20"/>
  <c r="CEJ29" i="20"/>
  <c r="CEK29" i="20"/>
  <c r="CEL29" i="20"/>
  <c r="CEM29" i="20"/>
  <c r="CEN29" i="20"/>
  <c r="CEO29" i="20"/>
  <c r="CEP29" i="20"/>
  <c r="CEQ29" i="20"/>
  <c r="CER29" i="20"/>
  <c r="CES29" i="20"/>
  <c r="CET29" i="20"/>
  <c r="CEU29" i="20"/>
  <c r="CEV29" i="20"/>
  <c r="CEW29" i="20"/>
  <c r="CEX29" i="20"/>
  <c r="CEY29" i="20"/>
  <c r="CEZ29" i="20"/>
  <c r="CFA29" i="20"/>
  <c r="CFB29" i="20"/>
  <c r="CFC29" i="20"/>
  <c r="CFD29" i="20"/>
  <c r="CFE29" i="20"/>
  <c r="CFF29" i="20"/>
  <c r="CFG29" i="20"/>
  <c r="CFH29" i="20"/>
  <c r="CFI29" i="20"/>
  <c r="CFJ29" i="20"/>
  <c r="CFK29" i="20"/>
  <c r="CFL29" i="20"/>
  <c r="CFM29" i="20"/>
  <c r="CFN29" i="20"/>
  <c r="CFO29" i="20"/>
  <c r="CFP29" i="20"/>
  <c r="CFQ29" i="20"/>
  <c r="CFS29" i="20"/>
  <c r="CFT29" i="20"/>
  <c r="CFU29" i="20"/>
  <c r="CFV29" i="20"/>
  <c r="CFW29" i="20"/>
  <c r="CFX29" i="20"/>
  <c r="CFY29" i="20"/>
  <c r="CFZ29" i="20"/>
  <c r="CGA29" i="20"/>
  <c r="CGB29" i="20"/>
  <c r="CGC29" i="20"/>
  <c r="CGD29" i="20"/>
  <c r="CGE29" i="20"/>
  <c r="CGF29" i="20"/>
  <c r="CGG29" i="20"/>
  <c r="CGH29" i="20"/>
  <c r="CGI29" i="20"/>
  <c r="CGJ29" i="20"/>
  <c r="CGK29" i="20"/>
  <c r="CGL29" i="20"/>
  <c r="CGM29" i="20"/>
  <c r="CGN29" i="20"/>
  <c r="CGO29" i="20"/>
  <c r="CGP29" i="20"/>
  <c r="CGQ29" i="20"/>
  <c r="CGR29" i="20"/>
  <c r="CGS29" i="20"/>
  <c r="CGT29" i="20"/>
  <c r="CGU29" i="20"/>
  <c r="CGV29" i="20"/>
  <c r="CGW29" i="20"/>
  <c r="CGX29" i="20"/>
  <c r="CGY29" i="20"/>
  <c r="CGZ29" i="20"/>
  <c r="CHA29" i="20"/>
  <c r="CHB29" i="20"/>
  <c r="CHC29" i="20"/>
  <c r="CHD29" i="20"/>
  <c r="CHE29" i="20"/>
  <c r="CHG29" i="20"/>
  <c r="CHH29" i="20"/>
  <c r="CHI29" i="20"/>
  <c r="CHJ29" i="20"/>
  <c r="CHK29" i="20"/>
  <c r="CHL29" i="20"/>
  <c r="CHM29" i="20"/>
  <c r="CHN29" i="20"/>
  <c r="CHO29" i="20"/>
  <c r="CHP29" i="20"/>
  <c r="CHQ29" i="20"/>
  <c r="CHR29" i="20"/>
  <c r="CHS29" i="20"/>
  <c r="CHT29" i="20"/>
  <c r="CHU29" i="20"/>
  <c r="CHW29" i="20"/>
  <c r="CHX29" i="20"/>
  <c r="CHY29" i="20"/>
  <c r="CHZ29" i="20"/>
  <c r="CIA29" i="20"/>
  <c r="CIB29" i="20"/>
  <c r="CIC29" i="20"/>
  <c r="CID29" i="20"/>
  <c r="CIE29" i="20"/>
  <c r="CIF29" i="20"/>
  <c r="CIG29" i="20"/>
  <c r="CIH29" i="20"/>
  <c r="CII29" i="20"/>
  <c r="CIJ29" i="20"/>
  <c r="CIK29" i="20"/>
  <c r="CIL29" i="20"/>
  <c r="CIM29" i="20"/>
  <c r="CIN29" i="20"/>
  <c r="CIO29" i="20"/>
  <c r="CIP29" i="20"/>
  <c r="CIQ29" i="20"/>
  <c r="CIR29" i="20"/>
  <c r="CIS29" i="20"/>
  <c r="CIT29" i="20"/>
  <c r="CIU29" i="20"/>
  <c r="CIV29" i="20"/>
  <c r="CIW29" i="20"/>
  <c r="CIX29" i="20"/>
  <c r="CIY29" i="20"/>
  <c r="CIZ29" i="20"/>
  <c r="CJA29" i="20"/>
  <c r="CJB29" i="20"/>
  <c r="CJC29" i="20"/>
  <c r="CJD29" i="20"/>
  <c r="CJE29" i="20"/>
  <c r="CJF29" i="20"/>
  <c r="CJG29" i="20"/>
  <c r="CJH29" i="20"/>
  <c r="CJI29" i="20"/>
  <c r="CJJ29" i="20"/>
  <c r="CJK29" i="20"/>
  <c r="CJL29" i="20"/>
  <c r="CJM29" i="20"/>
  <c r="CJN29" i="20"/>
  <c r="CJO29" i="20"/>
  <c r="CJP29" i="20"/>
  <c r="CJQ29" i="20"/>
  <c r="CJR29" i="20"/>
  <c r="CJS29" i="20"/>
  <c r="CJT29" i="20"/>
  <c r="CJU29" i="20"/>
  <c r="CJV29" i="20"/>
  <c r="CJW29" i="20"/>
  <c r="CJX29" i="20"/>
  <c r="CJY29" i="20"/>
  <c r="CJZ29" i="20"/>
  <c r="CKA29" i="20"/>
  <c r="CKB29" i="20"/>
  <c r="CKC29" i="20"/>
  <c r="CKD29" i="20"/>
  <c r="CKE29" i="20"/>
  <c r="CKF29" i="20"/>
  <c r="CKG29" i="20"/>
  <c r="CKH29" i="20"/>
  <c r="CKI29" i="20"/>
  <c r="CKJ29" i="20"/>
  <c r="CKK29" i="20"/>
  <c r="CKL29" i="20"/>
  <c r="CKM29" i="20"/>
  <c r="CKN29" i="20"/>
  <c r="CKO29" i="20"/>
  <c r="CKP29" i="20"/>
  <c r="CKQ29" i="20"/>
  <c r="CKR29" i="20"/>
  <c r="CKS29" i="20"/>
  <c r="CKT29" i="20"/>
  <c r="CKU29" i="20"/>
  <c r="CKV29" i="20"/>
  <c r="CKW29" i="20"/>
  <c r="CKX29" i="20"/>
  <c r="CKY29" i="20"/>
  <c r="CKZ29" i="20"/>
  <c r="CLA29" i="20"/>
  <c r="CLB29" i="20"/>
  <c r="CLC29" i="20"/>
  <c r="CLD29" i="20"/>
  <c r="CLE29" i="20"/>
  <c r="CLF29" i="20"/>
  <c r="CLG29" i="20"/>
  <c r="CLH29" i="20"/>
  <c r="CLI29" i="20"/>
  <c r="CLJ29" i="20"/>
  <c r="CLK29" i="20"/>
  <c r="CLL29" i="20"/>
  <c r="CLM29" i="20"/>
  <c r="CLN29" i="20"/>
  <c r="CLO29" i="20"/>
  <c r="CLP29" i="20"/>
  <c r="CLQ29" i="20"/>
  <c r="CLR29" i="20"/>
  <c r="CLS29" i="20"/>
  <c r="CLT29" i="20"/>
  <c r="CLU29" i="20"/>
  <c r="CLV29" i="20"/>
  <c r="CLW29" i="20"/>
  <c r="CLX29" i="20"/>
  <c r="CLY29" i="20"/>
  <c r="CLZ29" i="20"/>
  <c r="CMA29" i="20"/>
  <c r="CMB29" i="20"/>
  <c r="CMC29" i="20"/>
  <c r="CMD29" i="20"/>
  <c r="CME29" i="20"/>
  <c r="CMF29" i="20"/>
  <c r="CMG29" i="20"/>
  <c r="CMH29" i="20"/>
  <c r="CMI29" i="20"/>
  <c r="CMJ29" i="20"/>
  <c r="CMK29" i="20"/>
  <c r="CML29" i="20"/>
  <c r="CMM29" i="20"/>
  <c r="CMN29" i="20"/>
  <c r="CMO29" i="20"/>
  <c r="CMP29" i="20"/>
  <c r="CMQ29" i="20"/>
  <c r="CMR29" i="20"/>
  <c r="CMS29" i="20"/>
  <c r="CMT29" i="20"/>
  <c r="CMU29" i="20"/>
  <c r="CMV29" i="20"/>
  <c r="CMW29" i="20"/>
  <c r="CMX29" i="20"/>
  <c r="CMY29" i="20"/>
  <c r="CMZ29" i="20"/>
  <c r="CNA29" i="20"/>
  <c r="CNB29" i="20"/>
  <c r="CNC29" i="20"/>
  <c r="CND29" i="20"/>
  <c r="CNE29" i="20"/>
  <c r="CNF29" i="20"/>
  <c r="CNG29" i="20"/>
  <c r="CNH29" i="20"/>
  <c r="CNI29" i="20"/>
  <c r="CNJ29" i="20"/>
  <c r="CNK29" i="20"/>
  <c r="CNL29" i="20"/>
  <c r="CNM29" i="20"/>
  <c r="CNN29" i="20"/>
  <c r="CNO29" i="20"/>
  <c r="CNP29" i="20"/>
  <c r="CNQ29" i="20"/>
  <c r="CNR29" i="20"/>
  <c r="CNS29" i="20"/>
  <c r="CNT29" i="20"/>
  <c r="CNU29" i="20"/>
  <c r="CNV29" i="20"/>
  <c r="CNW29" i="20"/>
  <c r="CNX29" i="20"/>
  <c r="CNY29" i="20"/>
  <c r="CNZ29" i="20"/>
  <c r="COA29" i="20"/>
  <c r="COB29" i="20"/>
  <c r="COC29" i="20"/>
  <c r="COD29" i="20"/>
  <c r="COE29" i="20"/>
  <c r="COF29" i="20"/>
  <c r="COG29" i="20"/>
  <c r="COH29" i="20"/>
  <c r="COI29" i="20"/>
  <c r="COJ29" i="20"/>
  <c r="COK29" i="20"/>
  <c r="COL29" i="20"/>
  <c r="COM29" i="20"/>
  <c r="CON29" i="20"/>
  <c r="COO29" i="20"/>
  <c r="COP29" i="20"/>
  <c r="COQ29" i="20"/>
  <c r="COR29" i="20"/>
  <c r="COS29" i="20"/>
  <c r="COT29" i="20"/>
  <c r="COU29" i="20"/>
  <c r="COV29" i="20"/>
  <c r="COW29" i="20"/>
  <c r="COX29" i="20"/>
  <c r="COY29" i="20"/>
  <c r="COZ29" i="20"/>
  <c r="CPA29" i="20"/>
  <c r="CPB29" i="20"/>
  <c r="CPC29" i="20"/>
  <c r="CPD29" i="20"/>
  <c r="CPE29" i="20"/>
  <c r="CPF29" i="20"/>
  <c r="CPG29" i="20"/>
  <c r="CPH29" i="20"/>
  <c r="CPI29" i="20"/>
  <c r="CPJ29" i="20"/>
  <c r="CPK29" i="20"/>
  <c r="CPL29" i="20"/>
  <c r="CPM29" i="20"/>
  <c r="CPN29" i="20"/>
  <c r="CPO29" i="20"/>
  <c r="CPP29" i="20"/>
  <c r="CPQ29" i="20"/>
  <c r="CPR29" i="20"/>
  <c r="CPS29" i="20"/>
  <c r="CPT29" i="20"/>
  <c r="CPU29" i="20"/>
  <c r="CPV29" i="20"/>
  <c r="CPW29" i="20"/>
  <c r="CPX29" i="20"/>
  <c r="CPY29" i="20"/>
  <c r="CPZ29" i="20"/>
  <c r="CQA29" i="20"/>
  <c r="CQB29" i="20"/>
  <c r="CQC29" i="20"/>
  <c r="CQD29" i="20"/>
  <c r="CQE29" i="20"/>
  <c r="CQF29" i="20"/>
  <c r="CQG29" i="20"/>
  <c r="CQH29" i="20"/>
  <c r="CQI29" i="20"/>
  <c r="CQJ29" i="20"/>
  <c r="CQK29" i="20"/>
  <c r="CQL29" i="20"/>
  <c r="CQM29" i="20"/>
  <c r="CQN29" i="20"/>
  <c r="CQO29" i="20"/>
  <c r="CQP29" i="20"/>
  <c r="CQQ29" i="20"/>
  <c r="CQR29" i="20"/>
  <c r="CQS29" i="20"/>
  <c r="CQT29" i="20"/>
  <c r="CQU29" i="20"/>
  <c r="CQV29" i="20"/>
  <c r="CQW29" i="20"/>
  <c r="CQX29" i="20"/>
  <c r="CQY29" i="20"/>
  <c r="CQZ29" i="20"/>
  <c r="CRA29" i="20"/>
  <c r="CRB29" i="20"/>
  <c r="CRC29" i="20"/>
  <c r="CRD29" i="20"/>
  <c r="CRE29" i="20"/>
  <c r="CRF29" i="20"/>
  <c r="CRG29" i="20"/>
  <c r="CRH29" i="20"/>
  <c r="CRI29" i="20"/>
  <c r="CRJ29" i="20"/>
  <c r="CRK29" i="20"/>
  <c r="CRL29" i="20"/>
  <c r="CRM29" i="20"/>
  <c r="CRN29" i="20"/>
  <c r="CRO29" i="20"/>
  <c r="CRP29" i="20"/>
  <c r="CRQ29" i="20"/>
  <c r="CRR29" i="20"/>
  <c r="CRS29" i="20"/>
  <c r="CRT29" i="20"/>
  <c r="CRU29" i="20"/>
  <c r="CRV29" i="20"/>
  <c r="CRW29" i="20"/>
  <c r="CRX29" i="20"/>
  <c r="CRY29" i="20"/>
  <c r="CRZ29" i="20"/>
  <c r="CSA29" i="20"/>
  <c r="CSB29" i="20"/>
  <c r="CSC29" i="20"/>
  <c r="CSD29" i="20"/>
  <c r="CSE29" i="20"/>
  <c r="CSF29" i="20"/>
  <c r="CSG29" i="20"/>
  <c r="CSH29" i="20"/>
  <c r="CSI29" i="20"/>
  <c r="CSJ29" i="20"/>
  <c r="CSK29" i="20"/>
  <c r="CSL29" i="20"/>
  <c r="CSM29" i="20"/>
  <c r="CSN29" i="20"/>
  <c r="CSO29" i="20"/>
  <c r="CSP29" i="20"/>
  <c r="CSQ29" i="20"/>
  <c r="CSR29" i="20"/>
  <c r="CSS29" i="20"/>
  <c r="CST29" i="20"/>
  <c r="CSU29" i="20"/>
  <c r="CSV29" i="20"/>
  <c r="CSW29" i="20"/>
  <c r="CSX29" i="20"/>
  <c r="CSY29" i="20"/>
  <c r="CSZ29" i="20"/>
  <c r="CTA29" i="20"/>
  <c r="CTB29" i="20"/>
  <c r="CTC29" i="20"/>
  <c r="CTD29" i="20"/>
  <c r="CTE29" i="20"/>
  <c r="CTF29" i="20"/>
  <c r="CTG29" i="20"/>
  <c r="CTH29" i="20"/>
  <c r="CTI29" i="20"/>
  <c r="CTJ29" i="20"/>
  <c r="CTK29" i="20"/>
  <c r="CTL29" i="20"/>
  <c r="CTM29" i="20"/>
  <c r="CTN29" i="20"/>
  <c r="CTO29" i="20"/>
  <c r="CTP29" i="20"/>
  <c r="CTQ29" i="20"/>
  <c r="CTR29" i="20"/>
  <c r="CTS29" i="20"/>
  <c r="CTT29" i="20"/>
  <c r="CTU29" i="20"/>
  <c r="CTV29" i="20"/>
  <c r="CTW29" i="20"/>
  <c r="CTX29" i="20"/>
  <c r="CTY29" i="20"/>
  <c r="CTZ29" i="20"/>
  <c r="CUA29" i="20"/>
  <c r="CUB29" i="20"/>
  <c r="CUC29" i="20"/>
  <c r="CUD29" i="20"/>
  <c r="CUE29" i="20"/>
  <c r="CUF29" i="20"/>
  <c r="CUG29" i="20"/>
  <c r="CUH29" i="20"/>
  <c r="CUI29" i="20"/>
  <c r="CUJ29" i="20"/>
  <c r="CUK29" i="20"/>
  <c r="CUL29" i="20"/>
  <c r="CUM29" i="20"/>
  <c r="CUN29" i="20"/>
  <c r="CUO29" i="20"/>
  <c r="CUP29" i="20"/>
  <c r="CUQ29" i="20"/>
  <c r="CUR29" i="20"/>
  <c r="CUS29" i="20"/>
  <c r="CUT29" i="20"/>
  <c r="CUU29" i="20"/>
  <c r="CUV29" i="20"/>
  <c r="CUW29" i="20"/>
  <c r="CUX29" i="20"/>
  <c r="CUY29" i="20"/>
  <c r="CUZ29" i="20"/>
  <c r="CVA29" i="20"/>
  <c r="CVB29" i="20"/>
  <c r="CVC29" i="20"/>
  <c r="CVD29" i="20"/>
  <c r="CVE29" i="20"/>
  <c r="CVF29" i="20"/>
  <c r="CVG29" i="20"/>
  <c r="CVH29" i="20"/>
  <c r="CVI29" i="20"/>
  <c r="CVJ29" i="20"/>
  <c r="CVK29" i="20"/>
  <c r="CVL29" i="20"/>
  <c r="CVM29" i="20"/>
  <c r="CVN29" i="20"/>
  <c r="CVO29" i="20"/>
  <c r="CVP29" i="20"/>
  <c r="CVQ29" i="20"/>
  <c r="CVR29" i="20"/>
  <c r="CVS29" i="20"/>
  <c r="CVT29" i="20"/>
  <c r="CVU29" i="20"/>
  <c r="CVV29" i="20"/>
  <c r="CVW29" i="20"/>
  <c r="CVX29" i="20"/>
  <c r="CVY29" i="20"/>
  <c r="CVZ29" i="20"/>
  <c r="CWA29" i="20"/>
  <c r="CWB29" i="20"/>
  <c r="CWC29" i="20"/>
  <c r="CWD29" i="20"/>
  <c r="CWE29" i="20"/>
  <c r="CWF29" i="20"/>
  <c r="CWG29" i="20"/>
  <c r="CWH29" i="20"/>
  <c r="CWI29" i="20"/>
  <c r="CWJ29" i="20"/>
  <c r="CWK29" i="20"/>
  <c r="CWL29" i="20"/>
  <c r="CWM29" i="20"/>
  <c r="CWN29" i="20"/>
  <c r="CWO29" i="20"/>
  <c r="CWP29" i="20"/>
  <c r="CWQ29" i="20"/>
  <c r="CWR29" i="20"/>
  <c r="CWS29" i="20"/>
  <c r="CWT29" i="20"/>
  <c r="CWU29" i="20"/>
  <c r="CWV29" i="20"/>
  <c r="CWW29" i="20"/>
  <c r="CWX29" i="20"/>
  <c r="CWY29" i="20"/>
  <c r="CWZ29" i="20"/>
  <c r="CXA29" i="20"/>
  <c r="CXB29" i="20"/>
  <c r="CXC29" i="20"/>
  <c r="CXD29" i="20"/>
  <c r="CXE29" i="20"/>
  <c r="CXF29" i="20"/>
  <c r="CXG29" i="20"/>
  <c r="CXH29" i="20"/>
  <c r="CXI29" i="20"/>
  <c r="CXJ29" i="20"/>
  <c r="CXK29" i="20"/>
  <c r="CXL29" i="20"/>
  <c r="CXM29" i="20"/>
  <c r="CXN29" i="20"/>
  <c r="CXO29" i="20"/>
  <c r="CXP29" i="20"/>
  <c r="CXQ29" i="20"/>
  <c r="CXR29" i="20"/>
  <c r="CXS29" i="20"/>
  <c r="CXT29" i="20"/>
  <c r="CXU29" i="20"/>
  <c r="CXV29" i="20"/>
  <c r="CXW29" i="20"/>
  <c r="CXX29" i="20"/>
  <c r="CXY29" i="20"/>
  <c r="CXZ29" i="20"/>
  <c r="CYA29" i="20"/>
  <c r="CYB29" i="20"/>
  <c r="CYC29" i="20"/>
  <c r="CYD29" i="20"/>
  <c r="CYE29" i="20"/>
  <c r="CYF29" i="20"/>
  <c r="CYG29" i="20"/>
  <c r="CYH29" i="20"/>
  <c r="CYI29" i="20"/>
  <c r="CYJ29" i="20"/>
  <c r="CYK29" i="20"/>
  <c r="CYL29" i="20"/>
  <c r="CYM29" i="20"/>
  <c r="CYN29" i="20"/>
  <c r="CYO29" i="20"/>
  <c r="CYP29" i="20"/>
  <c r="CYQ29" i="20"/>
  <c r="CYR29" i="20"/>
  <c r="CYS29" i="20"/>
  <c r="CYT29" i="20"/>
  <c r="CYU29" i="20"/>
  <c r="CYV29" i="20"/>
  <c r="CYW29" i="20"/>
  <c r="CYX29" i="20"/>
  <c r="CYY29" i="20"/>
  <c r="CYZ29" i="20"/>
  <c r="CZA29" i="20"/>
  <c r="CZB29" i="20"/>
  <c r="CZC29" i="20"/>
  <c r="CZD29" i="20"/>
  <c r="CZE29" i="20"/>
  <c r="CZF29" i="20"/>
  <c r="CZG29" i="20"/>
  <c r="CZH29" i="20"/>
  <c r="CZI29" i="20"/>
  <c r="CZJ29" i="20"/>
  <c r="CZK29" i="20"/>
  <c r="CZL29" i="20"/>
  <c r="CZM29" i="20"/>
  <c r="CZN29" i="20"/>
  <c r="CZO29" i="20"/>
  <c r="CZP29" i="20"/>
  <c r="CZQ29" i="20"/>
  <c r="CZR29" i="20"/>
  <c r="CZS29" i="20"/>
  <c r="CZT29" i="20"/>
  <c r="CZU29" i="20"/>
  <c r="CZV29" i="20"/>
  <c r="CZW29" i="20"/>
  <c r="CZX29" i="20"/>
  <c r="CZY29" i="20"/>
  <c r="CZZ29" i="20"/>
  <c r="DAA29" i="20"/>
  <c r="DAB29" i="20"/>
  <c r="DAC29" i="20"/>
  <c r="DAD29" i="20"/>
  <c r="DAE29" i="20"/>
  <c r="DAF29" i="20"/>
  <c r="DAG29" i="20"/>
  <c r="DAH29" i="20"/>
  <c r="DAI29" i="20"/>
  <c r="DAJ29" i="20"/>
  <c r="DAK29" i="20"/>
  <c r="DAL29" i="20"/>
  <c r="DAM29" i="20"/>
  <c r="DAN29" i="20"/>
  <c r="DAO29" i="20"/>
  <c r="DAP29" i="20"/>
  <c r="DAQ29" i="20"/>
  <c r="DAR29" i="20"/>
  <c r="DAS29" i="20"/>
  <c r="DAT29" i="20"/>
  <c r="DAU29" i="20"/>
  <c r="DAV29" i="20"/>
  <c r="DAW29" i="20"/>
  <c r="DAX29" i="20"/>
  <c r="DAY29" i="20"/>
  <c r="DAZ29" i="20"/>
  <c r="DBA29" i="20"/>
  <c r="DBB29" i="20"/>
  <c r="DBC29" i="20"/>
  <c r="DBD29" i="20"/>
  <c r="DBE29" i="20"/>
  <c r="DBF29" i="20"/>
  <c r="DBG29" i="20"/>
  <c r="DBH29" i="20"/>
  <c r="DBI29" i="20"/>
  <c r="DBJ29" i="20"/>
  <c r="DBK29" i="20"/>
  <c r="DBL29" i="20"/>
  <c r="DBM29" i="20"/>
  <c r="DBN29" i="20"/>
  <c r="DBO29" i="20"/>
  <c r="DBP29" i="20"/>
  <c r="DBQ29" i="20"/>
  <c r="DBR29" i="20"/>
  <c r="DBS29" i="20"/>
  <c r="DBT29" i="20"/>
  <c r="DBU29" i="20"/>
  <c r="DBV29" i="20"/>
  <c r="DBW29" i="20"/>
  <c r="DBX29" i="20"/>
  <c r="DBY29" i="20"/>
  <c r="DBZ29" i="20"/>
  <c r="DCA29" i="20"/>
  <c r="DCB29" i="20"/>
  <c r="DCC29" i="20"/>
  <c r="DCD29" i="20"/>
  <c r="DCE29" i="20"/>
  <c r="DCF29" i="20"/>
  <c r="DCG29" i="20"/>
  <c r="DCH29" i="20"/>
  <c r="DCI29" i="20"/>
  <c r="DCJ29" i="20"/>
  <c r="DCK29" i="20"/>
  <c r="DCM29" i="20"/>
  <c r="DCN29" i="20"/>
  <c r="DCO29" i="20"/>
  <c r="DCP29" i="20"/>
  <c r="DCQ29" i="20"/>
  <c r="DCR29" i="20"/>
  <c r="DCS29" i="20"/>
  <c r="DCT29" i="20"/>
  <c r="DCU29" i="20"/>
  <c r="DCV29" i="20"/>
  <c r="DCW29" i="20"/>
  <c r="DCX29" i="20"/>
  <c r="DCY29" i="20"/>
  <c r="DCZ29" i="20"/>
  <c r="DDA29" i="20"/>
  <c r="DDB29" i="20"/>
  <c r="DDC29" i="20"/>
  <c r="DDD29" i="20"/>
  <c r="DDE29" i="20"/>
  <c r="DDF29" i="20"/>
  <c r="DDG29" i="20"/>
  <c r="DDH29" i="20"/>
  <c r="DDI29" i="20"/>
  <c r="AAD14" i="20"/>
  <c r="AAD15" i="20"/>
  <c r="AAD16" i="20"/>
  <c r="AAD17" i="20"/>
  <c r="AAD18" i="20"/>
  <c r="AAD19" i="20"/>
  <c r="AAD20" i="20"/>
  <c r="AAD21" i="20"/>
  <c r="AAD22" i="20"/>
  <c r="AAD23" i="20"/>
  <c r="AAD24" i="20"/>
  <c r="AAD25" i="20"/>
  <c r="AAD26" i="20"/>
  <c r="AAD27" i="20"/>
  <c r="AAD28" i="20"/>
  <c r="AAD29" i="20"/>
  <c r="AAD3" i="20"/>
  <c r="AAZ3" i="20" s="1"/>
  <c r="ABV3" i="20" s="1"/>
  <c r="ACR3" i="20" s="1"/>
  <c r="ADN3" i="20" s="1"/>
  <c r="AEJ3" i="20" s="1"/>
  <c r="AFF3" i="20" s="1"/>
  <c r="AGB3" i="20" s="1"/>
  <c r="AGX3" i="20" s="1"/>
  <c r="AHT3" i="20" s="1"/>
  <c r="AIP3" i="20" s="1"/>
  <c r="AJL3" i="20" s="1"/>
  <c r="AKH3" i="20" s="1"/>
  <c r="ALD3" i="20" s="1"/>
  <c r="ALZ3" i="20" s="1"/>
  <c r="AMV3" i="20" s="1"/>
  <c r="ANR3" i="20" s="1"/>
  <c r="AON3" i="20" s="1"/>
  <c r="APJ3" i="20" s="1"/>
  <c r="AQF3" i="20" s="1"/>
  <c r="ARB3" i="20" s="1"/>
  <c r="ARX3" i="20" s="1"/>
  <c r="AST3" i="20" s="1"/>
  <c r="ATP3" i="20" s="1"/>
  <c r="AUL3" i="20" s="1"/>
  <c r="AVH3" i="20" s="1"/>
  <c r="AWD3" i="20" s="1"/>
  <c r="AWZ3" i="20" s="1"/>
  <c r="AXV3" i="20" s="1"/>
  <c r="AYR3" i="20" s="1"/>
  <c r="AZN3" i="20" s="1"/>
  <c r="BAJ3" i="20" s="1"/>
  <c r="B1" i="20"/>
  <c r="X1" i="20" s="1"/>
  <c r="AT1" i="20" s="1"/>
  <c r="BP1" i="20" s="1"/>
  <c r="CL1" i="20" s="1"/>
  <c r="DH1" i="20" s="1"/>
  <c r="ED1" i="20" s="1"/>
  <c r="EZ1" i="20" s="1"/>
  <c r="FV1" i="20" s="1"/>
  <c r="GR1" i="20" s="1"/>
  <c r="HN1" i="20" s="1"/>
  <c r="IJ1" i="20" s="1"/>
  <c r="JF1" i="20" s="1"/>
  <c r="KB1" i="20" s="1"/>
  <c r="KX1" i="20" s="1"/>
  <c r="LT1" i="20" s="1"/>
  <c r="MP1" i="20" s="1"/>
  <c r="NL1" i="20" s="1"/>
  <c r="OH1" i="20" s="1"/>
  <c r="PD1" i="20" s="1"/>
  <c r="PZ1" i="20" s="1"/>
  <c r="QV1" i="20" s="1"/>
  <c r="RR1" i="20" s="1"/>
  <c r="SN1" i="20" s="1"/>
  <c r="TJ1" i="20" s="1"/>
  <c r="UF1" i="20" s="1"/>
  <c r="VB1" i="20" s="1"/>
  <c r="VX1" i="20" s="1"/>
  <c r="WT1" i="20" s="1"/>
  <c r="XP1" i="20" s="1"/>
  <c r="YL1" i="20" s="1"/>
  <c r="ZH1" i="20" s="1"/>
  <c r="AAD1" i="20" s="1"/>
  <c r="AAZ1" i="20" s="1"/>
  <c r="ABV1" i="20" s="1"/>
  <c r="ACR1" i="20" s="1"/>
  <c r="ADN1" i="20" s="1"/>
  <c r="AEJ1" i="20" s="1"/>
  <c r="AFF1" i="20" s="1"/>
  <c r="AGB1" i="20" s="1"/>
  <c r="AGX1" i="20" s="1"/>
  <c r="AHT1" i="20" s="1"/>
  <c r="AIP1" i="20" s="1"/>
  <c r="AJL1" i="20" s="1"/>
  <c r="AKH1" i="20" s="1"/>
  <c r="ALD1" i="20" s="1"/>
  <c r="ALZ1" i="20" s="1"/>
  <c r="AMV1" i="20" s="1"/>
  <c r="ANR1" i="20" s="1"/>
  <c r="AON1" i="20" s="1"/>
  <c r="APJ1" i="20" s="1"/>
  <c r="AQF1" i="20" s="1"/>
  <c r="ARB1" i="20" s="1"/>
  <c r="ARX1" i="20" s="1"/>
  <c r="AST1" i="20" s="1"/>
  <c r="ATP1" i="20" s="1"/>
  <c r="AUL1" i="20" s="1"/>
  <c r="AVH1" i="20" s="1"/>
  <c r="AWD1" i="20" s="1"/>
  <c r="AWZ1" i="20" s="1"/>
  <c r="AXV1" i="20" s="1"/>
  <c r="AYR1" i="20" s="1"/>
  <c r="AZN1" i="20" s="1"/>
  <c r="BAJ1" i="20" s="1"/>
  <c r="BBF1" i="20" s="1"/>
  <c r="BCB1" i="20" s="1"/>
  <c r="BCX1" i="20" s="1"/>
  <c r="BDT1" i="20" s="1"/>
  <c r="BEP1" i="20" s="1"/>
  <c r="BFL1" i="20" s="1"/>
  <c r="BGH1" i="20" s="1"/>
  <c r="BHD1" i="20" s="1"/>
  <c r="BHZ1" i="20" s="1"/>
  <c r="BIV1" i="20" s="1"/>
  <c r="BJR1" i="20" s="1"/>
  <c r="BKN1" i="20" s="1"/>
  <c r="BLJ1" i="20" s="1"/>
  <c r="BMF1" i="20" s="1"/>
  <c r="BNB1" i="20" s="1"/>
  <c r="BNX1" i="20" s="1"/>
  <c r="BOT1" i="20" s="1"/>
  <c r="BPP1" i="20" s="1"/>
  <c r="BQL1" i="20" s="1"/>
  <c r="BRH1" i="20" s="1"/>
  <c r="BSD1" i="20" s="1"/>
  <c r="BSZ1" i="20" s="1"/>
  <c r="BTV1" i="20" s="1"/>
  <c r="BUR1" i="20" s="1"/>
  <c r="BVN1" i="20" s="1"/>
  <c r="BWJ1" i="20" s="1"/>
  <c r="BXF1" i="20" s="1"/>
  <c r="BYB1" i="20" s="1"/>
  <c r="BYX1" i="20" s="1"/>
  <c r="BZT1" i="20" s="1"/>
  <c r="CAP1" i="20" s="1"/>
  <c r="CBL1" i="20" s="1"/>
  <c r="CCH1" i="20" s="1"/>
  <c r="CDD1" i="20" s="1"/>
  <c r="CDZ1" i="20" s="1"/>
  <c r="CEV1" i="20" s="1"/>
  <c r="CFR1" i="20" s="1"/>
  <c r="CGN1" i="20" s="1"/>
  <c r="CHJ1" i="20" s="1"/>
  <c r="CIF1" i="20" s="1"/>
  <c r="CJB1" i="20" s="1"/>
  <c r="CJX1" i="20" s="1"/>
  <c r="CKT1" i="20" s="1"/>
  <c r="CLP1" i="20" s="1"/>
  <c r="CML1" i="20" s="1"/>
  <c r="CNH1" i="20" s="1"/>
  <c r="COD1" i="20" s="1"/>
  <c r="COZ1" i="20" s="1"/>
  <c r="CPV1" i="20" s="1"/>
  <c r="CQR1" i="20" s="1"/>
  <c r="CRN1" i="20" s="1"/>
  <c r="CSJ1" i="20" s="1"/>
  <c r="CTF1" i="20" s="1"/>
  <c r="CUB1" i="20" s="1"/>
  <c r="CUX1" i="20" s="1"/>
  <c r="CVT1" i="20" s="1"/>
  <c r="CWP1" i="20" s="1"/>
  <c r="CXL1" i="20" s="1"/>
  <c r="CYH1" i="20" s="1"/>
  <c r="CZD1" i="20" s="1"/>
  <c r="CZZ1" i="20" s="1"/>
  <c r="DAV1" i="20" s="1"/>
  <c r="DBR1" i="20" s="1"/>
  <c r="DCN1" i="20" s="1"/>
  <c r="DDJ1" i="20" s="1"/>
  <c r="B3" i="20"/>
  <c r="X3" i="20" s="1"/>
  <c r="AT3" i="20" s="1"/>
  <c r="BP3" i="20" s="1"/>
  <c r="CL3" i="20" s="1"/>
  <c r="DH3" i="20" s="1"/>
  <c r="ED3" i="20" s="1"/>
  <c r="EZ3" i="20" s="1"/>
  <c r="FV3" i="20" s="1"/>
  <c r="GR3" i="20" s="1"/>
  <c r="HN3" i="20" s="1"/>
  <c r="IJ3" i="20" s="1"/>
  <c r="JF3" i="20" s="1"/>
  <c r="KB3" i="20" s="1"/>
  <c r="KX3" i="20" s="1"/>
  <c r="LT3" i="20" s="1"/>
  <c r="MP3" i="20" s="1"/>
  <c r="NL3" i="20" s="1"/>
  <c r="OH3" i="20" s="1"/>
  <c r="PD3" i="20" s="1"/>
  <c r="PZ3" i="20" s="1"/>
  <c r="QV3" i="20" s="1"/>
  <c r="RR3" i="20" s="1"/>
  <c r="SN3" i="20" s="1"/>
  <c r="TJ3" i="20" s="1"/>
  <c r="UF3" i="20" s="1"/>
  <c r="VB3" i="20" s="1"/>
  <c r="VX3" i="20" s="1"/>
  <c r="WT3" i="20" s="1"/>
  <c r="XP3" i="20" s="1"/>
  <c r="YL3" i="20" s="1"/>
  <c r="ZH3" i="20" s="1"/>
  <c r="B1" i="5"/>
  <c r="M6" i="20"/>
  <c r="N6" i="20"/>
  <c r="O6" i="20"/>
  <c r="P6" i="20"/>
  <c r="Q6" i="20"/>
  <c r="R6" i="20"/>
  <c r="S6" i="20"/>
  <c r="T6" i="20"/>
  <c r="U6" i="20"/>
  <c r="V6" i="20"/>
  <c r="W6" i="20"/>
  <c r="AI6" i="20"/>
  <c r="AJ6" i="20"/>
  <c r="AK6" i="20"/>
  <c r="AL6" i="20"/>
  <c r="AM6" i="20"/>
  <c r="AN6" i="20"/>
  <c r="AO6" i="20"/>
  <c r="AP6" i="20"/>
  <c r="AQ6" i="20"/>
  <c r="AR6" i="20"/>
  <c r="AS6" i="20"/>
  <c r="BE6" i="20"/>
  <c r="BF6" i="20"/>
  <c r="BG6" i="20"/>
  <c r="BH6" i="20"/>
  <c r="BI6" i="20"/>
  <c r="BJ6" i="20"/>
  <c r="BK6" i="20"/>
  <c r="BL6" i="20"/>
  <c r="BM6" i="20"/>
  <c r="BN6" i="20"/>
  <c r="BO6" i="20"/>
  <c r="CA6" i="20"/>
  <c r="CB6" i="20"/>
  <c r="CC6" i="20"/>
  <c r="CD6" i="20"/>
  <c r="CE6" i="20"/>
  <c r="CF6" i="20"/>
  <c r="CG6" i="20"/>
  <c r="CH6" i="20"/>
  <c r="CI6" i="20"/>
  <c r="CJ6" i="20"/>
  <c r="CK6" i="20"/>
  <c r="CW6" i="20"/>
  <c r="CX6" i="20"/>
  <c r="CY6" i="20"/>
  <c r="CZ6" i="20"/>
  <c r="DA6" i="20"/>
  <c r="DB6" i="20"/>
  <c r="DC6" i="20"/>
  <c r="DD6" i="20"/>
  <c r="DE6" i="20"/>
  <c r="DF6" i="20"/>
  <c r="DG6" i="20"/>
  <c r="DS6" i="20"/>
  <c r="DT6" i="20"/>
  <c r="DU6" i="20"/>
  <c r="DV6" i="20"/>
  <c r="DW6" i="20"/>
  <c r="DX6" i="20"/>
  <c r="DY6" i="20"/>
  <c r="DZ6" i="20"/>
  <c r="EA6" i="20"/>
  <c r="EB6" i="20"/>
  <c r="EC6" i="20"/>
  <c r="EO6" i="20"/>
  <c r="EP6" i="20"/>
  <c r="EQ6" i="20"/>
  <c r="ER6" i="20"/>
  <c r="ES6" i="20"/>
  <c r="ET6" i="20"/>
  <c r="EU6" i="20"/>
  <c r="EV6" i="20"/>
  <c r="EW6" i="20"/>
  <c r="EX6" i="20"/>
  <c r="EY6" i="20"/>
  <c r="FK6" i="20"/>
  <c r="FL6" i="20"/>
  <c r="FM6" i="20"/>
  <c r="FN6" i="20"/>
  <c r="FO6" i="20"/>
  <c r="FP6" i="20"/>
  <c r="FQ6" i="20"/>
  <c r="FR6" i="20"/>
  <c r="FS6" i="20"/>
  <c r="FT6" i="20"/>
  <c r="FU6" i="20"/>
  <c r="GG6" i="20"/>
  <c r="GH6" i="20"/>
  <c r="GI6" i="20"/>
  <c r="GJ6" i="20"/>
  <c r="GK6" i="20"/>
  <c r="GL6" i="20"/>
  <c r="GM6" i="20"/>
  <c r="GN6" i="20"/>
  <c r="GO6" i="20"/>
  <c r="GP6" i="20"/>
  <c r="GQ6" i="20"/>
  <c r="HC6" i="20"/>
  <c r="HD6" i="20"/>
  <c r="HE6" i="20"/>
  <c r="HF6" i="20"/>
  <c r="HG6" i="20"/>
  <c r="HH6" i="20"/>
  <c r="HI6" i="20"/>
  <c r="HJ6" i="20"/>
  <c r="HK6" i="20"/>
  <c r="HL6" i="20"/>
  <c r="HM6" i="20"/>
  <c r="HY6" i="20"/>
  <c r="HZ6" i="20"/>
  <c r="IA6" i="20"/>
  <c r="IB6" i="20"/>
  <c r="IC6" i="20"/>
  <c r="ID6" i="20"/>
  <c r="IE6" i="20"/>
  <c r="IF6" i="20"/>
  <c r="IG6" i="20"/>
  <c r="IH6" i="20"/>
  <c r="II6" i="20"/>
  <c r="IU6" i="20"/>
  <c r="IV6" i="20"/>
  <c r="IW6" i="20"/>
  <c r="IX6" i="20"/>
  <c r="IY6" i="20"/>
  <c r="IZ6" i="20"/>
  <c r="JA6" i="20"/>
  <c r="JB6" i="20"/>
  <c r="JC6" i="20"/>
  <c r="JD6" i="20"/>
  <c r="JE6" i="20"/>
  <c r="JQ6" i="20"/>
  <c r="JR6" i="20"/>
  <c r="JS6" i="20"/>
  <c r="JT6" i="20"/>
  <c r="JU6" i="20"/>
  <c r="JV6" i="20"/>
  <c r="JW6" i="20"/>
  <c r="JX6" i="20"/>
  <c r="JY6" i="20"/>
  <c r="JZ6" i="20"/>
  <c r="KA6" i="20"/>
  <c r="KM6" i="20"/>
  <c r="KN6" i="20"/>
  <c r="KO6" i="20"/>
  <c r="KP6" i="20"/>
  <c r="KQ6" i="20"/>
  <c r="KR6" i="20"/>
  <c r="KS6" i="20"/>
  <c r="KT6" i="20"/>
  <c r="KU6" i="20"/>
  <c r="KV6" i="20"/>
  <c r="KW6" i="20"/>
  <c r="LI6" i="20"/>
  <c r="LJ6" i="20"/>
  <c r="LK6" i="20"/>
  <c r="LL6" i="20"/>
  <c r="LM6" i="20"/>
  <c r="LN6" i="20"/>
  <c r="LO6" i="20"/>
  <c r="LP6" i="20"/>
  <c r="LQ6" i="20"/>
  <c r="LR6" i="20"/>
  <c r="LS6" i="20"/>
  <c r="ME6" i="20"/>
  <c r="MF6" i="20"/>
  <c r="MG6" i="20"/>
  <c r="MH6" i="20"/>
  <c r="MI6" i="20"/>
  <c r="MJ6" i="20"/>
  <c r="MK6" i="20"/>
  <c r="ML6" i="20"/>
  <c r="MM6" i="20"/>
  <c r="MN6" i="20"/>
  <c r="MO6" i="20"/>
  <c r="NA6" i="20"/>
  <c r="NB6" i="20"/>
  <c r="NC6" i="20"/>
  <c r="ND6" i="20"/>
  <c r="NE6" i="20"/>
  <c r="NF6" i="20"/>
  <c r="NG6" i="20"/>
  <c r="NH6" i="20"/>
  <c r="NI6" i="20"/>
  <c r="NJ6" i="20"/>
  <c r="NK6" i="20"/>
  <c r="NL6" i="20"/>
  <c r="AON6" i="20" s="1"/>
  <c r="BPP6" i="20" s="1"/>
  <c r="CQR6" i="20" s="1"/>
  <c r="NM6" i="20"/>
  <c r="AOO6" i="20" s="1"/>
  <c r="BPQ6" i="20" s="1"/>
  <c r="CQS6" i="20" s="1"/>
  <c r="NN6" i="20"/>
  <c r="AOP6" i="20" s="1"/>
  <c r="BPR6" i="20" s="1"/>
  <c r="CQT6" i="20" s="1"/>
  <c r="NO6" i="20"/>
  <c r="AOQ6" i="20" s="1"/>
  <c r="BPS6" i="20" s="1"/>
  <c r="CQU6" i="20" s="1"/>
  <c r="NP6" i="20"/>
  <c r="AOR6" i="20" s="1"/>
  <c r="BPT6" i="20" s="1"/>
  <c r="CQV6" i="20" s="1"/>
  <c r="NQ6" i="20"/>
  <c r="AOS6" i="20" s="1"/>
  <c r="BPU6" i="20" s="1"/>
  <c r="CQW6" i="20" s="1"/>
  <c r="NS6" i="20"/>
  <c r="AOU6" i="20" s="1"/>
  <c r="BPW6" i="20" s="1"/>
  <c r="CQY6" i="20" s="1"/>
  <c r="NT6" i="20"/>
  <c r="AOV6" i="20" s="1"/>
  <c r="BPX6" i="20" s="1"/>
  <c r="CQZ6" i="20" s="1"/>
  <c r="NU6" i="20"/>
  <c r="AOW6" i="20" s="1"/>
  <c r="BPY6" i="20" s="1"/>
  <c r="CRA6" i="20" s="1"/>
  <c r="NV6" i="20"/>
  <c r="AOX6" i="20" s="1"/>
  <c r="BPZ6" i="20" s="1"/>
  <c r="CRB6" i="20" s="1"/>
  <c r="NW6" i="20"/>
  <c r="NX6" i="20"/>
  <c r="NY6" i="20"/>
  <c r="NZ6" i="20"/>
  <c r="OA6" i="20"/>
  <c r="OB6" i="20"/>
  <c r="OC6" i="20"/>
  <c r="OD6" i="20"/>
  <c r="OE6" i="20"/>
  <c r="OF6" i="20"/>
  <c r="OG6" i="20"/>
  <c r="OM6" i="20"/>
  <c r="APO6" i="20" s="1"/>
  <c r="BQQ6" i="20" s="1"/>
  <c r="CRS6" i="20" s="1"/>
  <c r="OO6" i="20"/>
  <c r="APQ6" i="20" s="1"/>
  <c r="BQS6" i="20" s="1"/>
  <c r="CRU6" i="20" s="1"/>
  <c r="OQ6" i="20"/>
  <c r="APS6" i="20" s="1"/>
  <c r="BQU6" i="20" s="1"/>
  <c r="CRW6" i="20" s="1"/>
  <c r="OS6" i="20"/>
  <c r="OT6" i="20"/>
  <c r="OU6" i="20"/>
  <c r="OV6" i="20"/>
  <c r="OW6" i="20"/>
  <c r="OX6" i="20"/>
  <c r="OY6" i="20"/>
  <c r="OZ6" i="20"/>
  <c r="PA6" i="20"/>
  <c r="PB6" i="20"/>
  <c r="PC6" i="20"/>
  <c r="PE6" i="20"/>
  <c r="AQG6" i="20" s="1"/>
  <c r="BRI6" i="20" s="1"/>
  <c r="CSK6" i="20" s="1"/>
  <c r="PF6" i="20"/>
  <c r="AQH6" i="20" s="1"/>
  <c r="BRJ6" i="20" s="1"/>
  <c r="CSL6" i="20" s="1"/>
  <c r="PG6" i="20"/>
  <c r="AQI6" i="20" s="1"/>
  <c r="BRK6" i="20" s="1"/>
  <c r="CSM6" i="20" s="1"/>
  <c r="PI6" i="20"/>
  <c r="AQK6" i="20" s="1"/>
  <c r="BRM6" i="20" s="1"/>
  <c r="CSO6" i="20" s="1"/>
  <c r="PJ6" i="20"/>
  <c r="AQL6" i="20" s="1"/>
  <c r="BRN6" i="20" s="1"/>
  <c r="CSP6" i="20" s="1"/>
  <c r="PK6" i="20"/>
  <c r="AQM6" i="20" s="1"/>
  <c r="BRO6" i="20" s="1"/>
  <c r="CSQ6" i="20" s="1"/>
  <c r="PM6" i="20"/>
  <c r="AQO6" i="20" s="1"/>
  <c r="BRQ6" i="20" s="1"/>
  <c r="CSS6" i="20" s="1"/>
  <c r="PN6" i="20"/>
  <c r="AQP6" i="20" s="1"/>
  <c r="BRR6" i="20" s="1"/>
  <c r="CST6" i="20" s="1"/>
  <c r="PO6" i="20"/>
  <c r="PP6" i="20"/>
  <c r="PQ6" i="20"/>
  <c r="PR6" i="20"/>
  <c r="PS6" i="20"/>
  <c r="PT6" i="20"/>
  <c r="PU6" i="20"/>
  <c r="PV6" i="20"/>
  <c r="PW6" i="20"/>
  <c r="PX6" i="20"/>
  <c r="PY6" i="20"/>
  <c r="PZ6" i="20"/>
  <c r="ARB6" i="20" s="1"/>
  <c r="BSD6" i="20" s="1"/>
  <c r="CTF6" i="20" s="1"/>
  <c r="QA6" i="20"/>
  <c r="ARC6" i="20" s="1"/>
  <c r="BSE6" i="20" s="1"/>
  <c r="CTG6" i="20" s="1"/>
  <c r="QE6" i="20"/>
  <c r="ARG6" i="20" s="1"/>
  <c r="BSI6" i="20" s="1"/>
  <c r="CTK6" i="20" s="1"/>
  <c r="QF6" i="20"/>
  <c r="ARH6" i="20" s="1"/>
  <c r="BSJ6" i="20" s="1"/>
  <c r="CTL6" i="20" s="1"/>
  <c r="QG6" i="20"/>
  <c r="ARI6" i="20" s="1"/>
  <c r="BSK6" i="20" s="1"/>
  <c r="CTM6" i="20" s="1"/>
  <c r="QH6" i="20"/>
  <c r="ARJ6" i="20" s="1"/>
  <c r="BSL6" i="20" s="1"/>
  <c r="CTN6" i="20" s="1"/>
  <c r="QI6" i="20"/>
  <c r="ARK6" i="20" s="1"/>
  <c r="BSM6" i="20" s="1"/>
  <c r="CTO6" i="20" s="1"/>
  <c r="QJ6" i="20"/>
  <c r="ARL6" i="20" s="1"/>
  <c r="BSN6" i="20" s="1"/>
  <c r="CTP6" i="20" s="1"/>
  <c r="QK6" i="20"/>
  <c r="QL6" i="20"/>
  <c r="QM6" i="20"/>
  <c r="QN6" i="20"/>
  <c r="QO6" i="20"/>
  <c r="QP6" i="20"/>
  <c r="QQ6" i="20"/>
  <c r="QR6" i="20"/>
  <c r="QS6" i="20"/>
  <c r="QT6" i="20"/>
  <c r="QU6" i="20"/>
  <c r="QV6" i="20"/>
  <c r="ARX6" i="20" s="1"/>
  <c r="BSZ6" i="20" s="1"/>
  <c r="CUB6" i="20" s="1"/>
  <c r="QW6" i="20"/>
  <c r="ARY6" i="20" s="1"/>
  <c r="BTA6" i="20" s="1"/>
  <c r="CUC6" i="20" s="1"/>
  <c r="QX6" i="20"/>
  <c r="ARZ6" i="20" s="1"/>
  <c r="BTB6" i="20" s="1"/>
  <c r="CUD6" i="20" s="1"/>
  <c r="QY6" i="20"/>
  <c r="ASA6" i="20" s="1"/>
  <c r="BTC6" i="20" s="1"/>
  <c r="CUE6" i="20" s="1"/>
  <c r="RA6" i="20"/>
  <c r="ASC6" i="20" s="1"/>
  <c r="BTE6" i="20" s="1"/>
  <c r="CUG6" i="20" s="1"/>
  <c r="RB6" i="20"/>
  <c r="ASD6" i="20" s="1"/>
  <c r="BTF6" i="20" s="1"/>
  <c r="CUH6" i="20" s="1"/>
  <c r="RC6" i="20"/>
  <c r="ASE6" i="20" s="1"/>
  <c r="BTG6" i="20" s="1"/>
  <c r="CUI6" i="20" s="1"/>
  <c r="RD6" i="20"/>
  <c r="ASF6" i="20" s="1"/>
  <c r="BTH6" i="20" s="1"/>
  <c r="CUJ6" i="20" s="1"/>
  <c r="RE6" i="20"/>
  <c r="ASG6" i="20" s="1"/>
  <c r="BTI6" i="20" s="1"/>
  <c r="CUK6" i="20" s="1"/>
  <c r="RF6" i="20"/>
  <c r="ASH6" i="20" s="1"/>
  <c r="BTJ6" i="20" s="1"/>
  <c r="CUL6" i="20" s="1"/>
  <c r="RG6" i="20"/>
  <c r="RH6" i="20"/>
  <c r="RI6" i="20"/>
  <c r="RJ6" i="20"/>
  <c r="RK6" i="20"/>
  <c r="RL6" i="20"/>
  <c r="RM6" i="20"/>
  <c r="RN6" i="20"/>
  <c r="RO6" i="20"/>
  <c r="RP6" i="20"/>
  <c r="RQ6" i="20"/>
  <c r="RW6" i="20"/>
  <c r="ASY6" i="20" s="1"/>
  <c r="BUA6" i="20" s="1"/>
  <c r="CVC6" i="20" s="1"/>
  <c r="RY6" i="20"/>
  <c r="ATA6" i="20" s="1"/>
  <c r="BUC6" i="20" s="1"/>
  <c r="CVE6" i="20" s="1"/>
  <c r="SC6" i="20"/>
  <c r="SD6" i="20"/>
  <c r="SE6" i="20"/>
  <c r="SF6" i="20"/>
  <c r="SG6" i="20"/>
  <c r="SH6" i="20"/>
  <c r="SI6" i="20"/>
  <c r="SJ6" i="20"/>
  <c r="SK6" i="20"/>
  <c r="SL6" i="20"/>
  <c r="SM6" i="20"/>
  <c r="SN6" i="20"/>
  <c r="ATP6" i="20" s="1"/>
  <c r="BUR6" i="20" s="1"/>
  <c r="CVT6" i="20" s="1"/>
  <c r="SP6" i="20"/>
  <c r="ATR6" i="20" s="1"/>
  <c r="BUT6" i="20" s="1"/>
  <c r="CVV6" i="20" s="1"/>
  <c r="SQ6" i="20"/>
  <c r="ATS6" i="20" s="1"/>
  <c r="BUU6" i="20" s="1"/>
  <c r="CVW6" i="20" s="1"/>
  <c r="SS6" i="20"/>
  <c r="ATU6" i="20" s="1"/>
  <c r="BUW6" i="20" s="1"/>
  <c r="CVY6" i="20" s="1"/>
  <c r="SU6" i="20"/>
  <c r="ATW6" i="20" s="1"/>
  <c r="BUY6" i="20" s="1"/>
  <c r="CWA6" i="20" s="1"/>
  <c r="SV6" i="20"/>
  <c r="ATX6" i="20" s="1"/>
  <c r="BUZ6" i="20" s="1"/>
  <c r="CWB6" i="20" s="1"/>
  <c r="SW6" i="20"/>
  <c r="ATY6" i="20" s="1"/>
  <c r="BVA6" i="20" s="1"/>
  <c r="CWC6" i="20" s="1"/>
  <c r="SX6" i="20"/>
  <c r="ATZ6" i="20" s="1"/>
  <c r="BVB6" i="20" s="1"/>
  <c r="CWD6" i="20" s="1"/>
  <c r="SY6" i="20"/>
  <c r="SZ6" i="20"/>
  <c r="TA6" i="20"/>
  <c r="TB6" i="20"/>
  <c r="TC6" i="20"/>
  <c r="TD6" i="20"/>
  <c r="TE6" i="20"/>
  <c r="TF6" i="20"/>
  <c r="TG6" i="20"/>
  <c r="TH6" i="20"/>
  <c r="TI6" i="20"/>
  <c r="TJ6" i="20"/>
  <c r="AUL6" i="20" s="1"/>
  <c r="BVN6" i="20" s="1"/>
  <c r="CWP6" i="20" s="1"/>
  <c r="TK6" i="20"/>
  <c r="AUM6" i="20" s="1"/>
  <c r="BVO6" i="20" s="1"/>
  <c r="CWQ6" i="20" s="1"/>
  <c r="TN6" i="20"/>
  <c r="AUP6" i="20" s="1"/>
  <c r="BVR6" i="20" s="1"/>
  <c r="CWT6" i="20" s="1"/>
  <c r="TO6" i="20"/>
  <c r="AUQ6" i="20" s="1"/>
  <c r="BVS6" i="20" s="1"/>
  <c r="CWU6" i="20" s="1"/>
  <c r="TP6" i="20"/>
  <c r="AUR6" i="20" s="1"/>
  <c r="BVT6" i="20" s="1"/>
  <c r="CWV6" i="20" s="1"/>
  <c r="TQ6" i="20"/>
  <c r="AUS6" i="20" s="1"/>
  <c r="BVU6" i="20" s="1"/>
  <c r="CWW6" i="20" s="1"/>
  <c r="TS6" i="20"/>
  <c r="AUU6" i="20" s="1"/>
  <c r="BVW6" i="20" s="1"/>
  <c r="CWY6" i="20" s="1"/>
  <c r="TT6" i="20"/>
  <c r="AUV6" i="20" s="1"/>
  <c r="BVX6" i="20" s="1"/>
  <c r="CWZ6" i="20" s="1"/>
  <c r="TU6" i="20"/>
  <c r="TV6" i="20"/>
  <c r="TW6" i="20"/>
  <c r="TX6" i="20"/>
  <c r="TY6" i="20"/>
  <c r="TZ6" i="20"/>
  <c r="UA6" i="20"/>
  <c r="UB6" i="20"/>
  <c r="UC6" i="20"/>
  <c r="UD6" i="20"/>
  <c r="UE6" i="20"/>
  <c r="UF6" i="20"/>
  <c r="AVH6" i="20" s="1"/>
  <c r="BWJ6" i="20" s="1"/>
  <c r="CXL6" i="20" s="1"/>
  <c r="UG6" i="20"/>
  <c r="AVI6" i="20" s="1"/>
  <c r="BWK6" i="20" s="1"/>
  <c r="CXM6" i="20" s="1"/>
  <c r="UH6" i="20"/>
  <c r="AVJ6" i="20" s="1"/>
  <c r="BWL6" i="20" s="1"/>
  <c r="CXN6" i="20" s="1"/>
  <c r="UI6" i="20"/>
  <c r="AVK6" i="20" s="1"/>
  <c r="BWM6" i="20" s="1"/>
  <c r="CXO6" i="20" s="1"/>
  <c r="UJ6" i="20"/>
  <c r="AVL6" i="20" s="1"/>
  <c r="BWN6" i="20" s="1"/>
  <c r="CXP6" i="20" s="1"/>
  <c r="UK6" i="20"/>
  <c r="AVM6" i="20" s="1"/>
  <c r="BWO6" i="20" s="1"/>
  <c r="CXQ6" i="20" s="1"/>
  <c r="UM6" i="20"/>
  <c r="AVO6" i="20" s="1"/>
  <c r="BWQ6" i="20" s="1"/>
  <c r="CXS6" i="20" s="1"/>
  <c r="UN6" i="20"/>
  <c r="AVP6" i="20" s="1"/>
  <c r="BWR6" i="20" s="1"/>
  <c r="CXT6" i="20" s="1"/>
  <c r="UO6" i="20"/>
  <c r="AVQ6" i="20" s="1"/>
  <c r="BWS6" i="20" s="1"/>
  <c r="CXU6" i="20" s="1"/>
  <c r="UP6" i="20"/>
  <c r="AVR6" i="20" s="1"/>
  <c r="BWT6" i="20" s="1"/>
  <c r="CXV6" i="20" s="1"/>
  <c r="UQ6" i="20"/>
  <c r="UR6" i="20"/>
  <c r="US6" i="20"/>
  <c r="UT6" i="20"/>
  <c r="UU6" i="20"/>
  <c r="UV6" i="20"/>
  <c r="UW6" i="20"/>
  <c r="UX6" i="20"/>
  <c r="UY6" i="20"/>
  <c r="UZ6" i="20"/>
  <c r="VA6" i="20"/>
  <c r="VB6" i="20"/>
  <c r="AWD6" i="20" s="1"/>
  <c r="BXF6" i="20" s="1"/>
  <c r="CYH6" i="20" s="1"/>
  <c r="VC6" i="20"/>
  <c r="AWE6" i="20" s="1"/>
  <c r="BXG6" i="20" s="1"/>
  <c r="CYI6" i="20" s="1"/>
  <c r="VG6" i="20"/>
  <c r="AWI6" i="20" s="1"/>
  <c r="BXK6" i="20" s="1"/>
  <c r="CYM6" i="20" s="1"/>
  <c r="VH6" i="20"/>
  <c r="AWJ6" i="20" s="1"/>
  <c r="BXL6" i="20" s="1"/>
  <c r="CYN6" i="20" s="1"/>
  <c r="VI6" i="20"/>
  <c r="AWK6" i="20" s="1"/>
  <c r="BXM6" i="20" s="1"/>
  <c r="CYO6" i="20" s="1"/>
  <c r="VK6" i="20"/>
  <c r="AWM6" i="20" s="1"/>
  <c r="BXO6" i="20" s="1"/>
  <c r="CYQ6" i="20" s="1"/>
  <c r="VM6" i="20"/>
  <c r="VN6" i="20"/>
  <c r="VO6" i="20"/>
  <c r="VP6" i="20"/>
  <c r="VQ6" i="20"/>
  <c r="VR6" i="20"/>
  <c r="VS6" i="20"/>
  <c r="VT6" i="20"/>
  <c r="VU6" i="20"/>
  <c r="VV6" i="20"/>
  <c r="VW6" i="20"/>
  <c r="VZ6" i="20"/>
  <c r="AXB6" i="20" s="1"/>
  <c r="BYD6" i="20" s="1"/>
  <c r="CZF6" i="20" s="1"/>
  <c r="WA6" i="20"/>
  <c r="AXC6" i="20" s="1"/>
  <c r="BYE6" i="20" s="1"/>
  <c r="CZG6" i="20" s="1"/>
  <c r="WC6" i="20"/>
  <c r="AXE6" i="20" s="1"/>
  <c r="BYG6" i="20" s="1"/>
  <c r="CZI6" i="20" s="1"/>
  <c r="WE6" i="20"/>
  <c r="AXG6" i="20" s="1"/>
  <c r="BYI6" i="20" s="1"/>
  <c r="CZK6" i="20" s="1"/>
  <c r="WG6" i="20"/>
  <c r="AXI6" i="20" s="1"/>
  <c r="BYK6" i="20" s="1"/>
  <c r="CZM6" i="20" s="1"/>
  <c r="WH6" i="20"/>
  <c r="AXJ6" i="20" s="1"/>
  <c r="BYL6" i="20" s="1"/>
  <c r="CZN6" i="20" s="1"/>
  <c r="WI6" i="20"/>
  <c r="WJ6" i="20"/>
  <c r="WK6" i="20"/>
  <c r="WL6" i="20"/>
  <c r="WM6" i="20"/>
  <c r="WN6" i="20"/>
  <c r="WO6" i="20"/>
  <c r="WP6" i="20"/>
  <c r="WQ6" i="20"/>
  <c r="WR6" i="20"/>
  <c r="WS6" i="20"/>
  <c r="WT6" i="20"/>
  <c r="AXV6" i="20" s="1"/>
  <c r="BYX6" i="20" s="1"/>
  <c r="CZZ6" i="20" s="1"/>
  <c r="WU6" i="20"/>
  <c r="AXW6" i="20" s="1"/>
  <c r="BYY6" i="20" s="1"/>
  <c r="DAA6" i="20" s="1"/>
  <c r="WX6" i="20"/>
  <c r="AXZ6" i="20" s="1"/>
  <c r="BZB6" i="20" s="1"/>
  <c r="DAD6" i="20" s="1"/>
  <c r="WY6" i="20"/>
  <c r="AYA6" i="20" s="1"/>
  <c r="BZC6" i="20" s="1"/>
  <c r="DAE6" i="20" s="1"/>
  <c r="WZ6" i="20"/>
  <c r="AYB6" i="20" s="1"/>
  <c r="BZD6" i="20" s="1"/>
  <c r="DAF6" i="20" s="1"/>
  <c r="XA6" i="20"/>
  <c r="AYC6" i="20" s="1"/>
  <c r="BZE6" i="20" s="1"/>
  <c r="DAG6" i="20" s="1"/>
  <c r="XC6" i="20"/>
  <c r="AYE6" i="20" s="1"/>
  <c r="BZG6" i="20" s="1"/>
  <c r="DAI6" i="20" s="1"/>
  <c r="XD6" i="20"/>
  <c r="AYF6" i="20" s="1"/>
  <c r="BZH6" i="20" s="1"/>
  <c r="DAJ6" i="20" s="1"/>
  <c r="XE6" i="20"/>
  <c r="XF6" i="20"/>
  <c r="XG6" i="20"/>
  <c r="XH6" i="20"/>
  <c r="XI6" i="20"/>
  <c r="XJ6" i="20"/>
  <c r="XK6" i="20"/>
  <c r="XL6" i="20"/>
  <c r="XM6" i="20"/>
  <c r="XN6" i="20"/>
  <c r="XO6" i="20"/>
  <c r="XQ6" i="20"/>
  <c r="AYS6" i="20" s="1"/>
  <c r="BZU6" i="20" s="1"/>
  <c r="DAW6" i="20" s="1"/>
  <c r="XR6" i="20"/>
  <c r="AYT6" i="20" s="1"/>
  <c r="BZV6" i="20" s="1"/>
  <c r="DAX6" i="20" s="1"/>
  <c r="XS6" i="20"/>
  <c r="AYU6" i="20" s="1"/>
  <c r="BZW6" i="20" s="1"/>
  <c r="DAY6" i="20" s="1"/>
  <c r="XU6" i="20"/>
  <c r="AYW6" i="20" s="1"/>
  <c r="BZY6" i="20" s="1"/>
  <c r="DBA6" i="20" s="1"/>
  <c r="XW6" i="20"/>
  <c r="AYY6" i="20" s="1"/>
  <c r="CAA6" i="20" s="1"/>
  <c r="DBC6" i="20" s="1"/>
  <c r="XY6" i="20"/>
  <c r="AZA6" i="20" s="1"/>
  <c r="CAC6" i="20" s="1"/>
  <c r="DBE6" i="20" s="1"/>
  <c r="XZ6" i="20"/>
  <c r="AZB6" i="20" s="1"/>
  <c r="CAD6" i="20" s="1"/>
  <c r="DBF6" i="20" s="1"/>
  <c r="YA6" i="20"/>
  <c r="YB6" i="20"/>
  <c r="YC6" i="20"/>
  <c r="YD6" i="20"/>
  <c r="YE6" i="20"/>
  <c r="YF6" i="20"/>
  <c r="YG6" i="20"/>
  <c r="YH6" i="20"/>
  <c r="YI6" i="20"/>
  <c r="YJ6" i="20"/>
  <c r="YK6" i="20"/>
  <c r="YP6" i="20"/>
  <c r="AZR6" i="20" s="1"/>
  <c r="CAT6" i="20" s="1"/>
  <c r="DBV6" i="20" s="1"/>
  <c r="YQ6" i="20"/>
  <c r="AZS6" i="20" s="1"/>
  <c r="CAU6" i="20" s="1"/>
  <c r="DBW6" i="20" s="1"/>
  <c r="YS6" i="20"/>
  <c r="AZU6" i="20" s="1"/>
  <c r="CAW6" i="20" s="1"/>
  <c r="DBY6" i="20" s="1"/>
  <c r="YU6" i="20"/>
  <c r="AZW6" i="20" s="1"/>
  <c r="CAY6" i="20" s="1"/>
  <c r="DCA6" i="20" s="1"/>
  <c r="YW6" i="20"/>
  <c r="YX6" i="20"/>
  <c r="YY6" i="20"/>
  <c r="YZ6" i="20"/>
  <c r="ZA6" i="20"/>
  <c r="ZB6" i="20"/>
  <c r="ZC6" i="20"/>
  <c r="ZD6" i="20"/>
  <c r="ZE6" i="20"/>
  <c r="ZF6" i="20"/>
  <c r="ZG6" i="20"/>
  <c r="ZH6" i="20"/>
  <c r="BAJ6" i="20" s="1"/>
  <c r="CBL6" i="20" s="1"/>
  <c r="DCN6" i="20" s="1"/>
  <c r="ZJ6" i="20"/>
  <c r="BAL6" i="20" s="1"/>
  <c r="CBN6" i="20" s="1"/>
  <c r="DCP6" i="20" s="1"/>
  <c r="ZK6" i="20"/>
  <c r="BAM6" i="20" s="1"/>
  <c r="CBO6" i="20" s="1"/>
  <c r="DCQ6" i="20" s="1"/>
  <c r="ZM6" i="20"/>
  <c r="BAO6" i="20" s="1"/>
  <c r="CBQ6" i="20" s="1"/>
  <c r="DCS6" i="20" s="1"/>
  <c r="ZN6" i="20"/>
  <c r="BAP6" i="20" s="1"/>
  <c r="CBR6" i="20" s="1"/>
  <c r="DCT6" i="20" s="1"/>
  <c r="ZO6" i="20"/>
  <c r="BAQ6" i="20" s="1"/>
  <c r="CBS6" i="20" s="1"/>
  <c r="DCU6" i="20" s="1"/>
  <c r="ZQ6" i="20"/>
  <c r="BAS6" i="20" s="1"/>
  <c r="CBU6" i="20" s="1"/>
  <c r="DCW6" i="20" s="1"/>
  <c r="ZR6" i="20"/>
  <c r="BAT6" i="20" s="1"/>
  <c r="CBV6" i="20" s="1"/>
  <c r="DCX6" i="20" s="1"/>
  <c r="ZS6" i="20"/>
  <c r="ZT6" i="20"/>
  <c r="ZU6" i="20"/>
  <c r="ZV6" i="20"/>
  <c r="ZW6" i="20"/>
  <c r="ZX6" i="20"/>
  <c r="ZY6" i="20"/>
  <c r="ZZ6" i="20"/>
  <c r="AAA6" i="20"/>
  <c r="AAB6" i="20"/>
  <c r="AAC6" i="20"/>
  <c r="M7" i="20"/>
  <c r="N7" i="20"/>
  <c r="O7" i="20"/>
  <c r="P7" i="20"/>
  <c r="Q7" i="20"/>
  <c r="R7" i="20"/>
  <c r="S7" i="20"/>
  <c r="T7" i="20"/>
  <c r="U7" i="20"/>
  <c r="V7" i="20"/>
  <c r="W7" i="20"/>
  <c r="AI7" i="20"/>
  <c r="AJ7" i="20"/>
  <c r="AK7" i="20"/>
  <c r="AL7" i="20"/>
  <c r="AM7" i="20"/>
  <c r="AN7" i="20"/>
  <c r="AO7" i="20"/>
  <c r="AP7" i="20"/>
  <c r="AQ7" i="20"/>
  <c r="AR7" i="20"/>
  <c r="AS7" i="20"/>
  <c r="BE7" i="20"/>
  <c r="BF7" i="20"/>
  <c r="BG7" i="20"/>
  <c r="BH7" i="20"/>
  <c r="BI7" i="20"/>
  <c r="BJ7" i="20"/>
  <c r="BK7" i="20"/>
  <c r="BL7" i="20"/>
  <c r="BM7" i="20"/>
  <c r="BN7" i="20"/>
  <c r="BO7" i="20"/>
  <c r="CA7" i="20"/>
  <c r="CB7" i="20"/>
  <c r="CC7" i="20"/>
  <c r="CD7" i="20"/>
  <c r="CE7" i="20"/>
  <c r="CF7" i="20"/>
  <c r="CG7" i="20"/>
  <c r="CH7" i="20"/>
  <c r="CI7" i="20"/>
  <c r="CJ7" i="20"/>
  <c r="CK7" i="20"/>
  <c r="CW7" i="20"/>
  <c r="CX7" i="20"/>
  <c r="CY7" i="20"/>
  <c r="CZ7" i="20"/>
  <c r="DA7" i="20"/>
  <c r="DB7" i="20"/>
  <c r="DC7" i="20"/>
  <c r="DD7" i="20"/>
  <c r="DE7" i="20"/>
  <c r="DF7" i="20"/>
  <c r="DG7" i="20"/>
  <c r="DS7" i="20"/>
  <c r="DT7" i="20"/>
  <c r="DU7" i="20"/>
  <c r="DV7" i="20"/>
  <c r="DW7" i="20"/>
  <c r="DX7" i="20"/>
  <c r="DY7" i="20"/>
  <c r="DZ7" i="20"/>
  <c r="EA7" i="20"/>
  <c r="EB7" i="20"/>
  <c r="EC7" i="20"/>
  <c r="EO7" i="20"/>
  <c r="EP7" i="20"/>
  <c r="EQ7" i="20"/>
  <c r="ER7" i="20"/>
  <c r="ES7" i="20"/>
  <c r="ET7" i="20"/>
  <c r="EU7" i="20"/>
  <c r="EV7" i="20"/>
  <c r="EW7" i="20"/>
  <c r="EX7" i="20"/>
  <c r="EY7" i="20"/>
  <c r="FK7" i="20"/>
  <c r="FL7" i="20"/>
  <c r="FM7" i="20"/>
  <c r="FN7" i="20"/>
  <c r="FO7" i="20"/>
  <c r="FP7" i="20"/>
  <c r="FQ7" i="20"/>
  <c r="FR7" i="20"/>
  <c r="FS7" i="20"/>
  <c r="FT7" i="20"/>
  <c r="FU7" i="20"/>
  <c r="GG7" i="20"/>
  <c r="GH7" i="20"/>
  <c r="GI7" i="20"/>
  <c r="GJ7" i="20"/>
  <c r="GK7" i="20"/>
  <c r="GL7" i="20"/>
  <c r="GM7" i="20"/>
  <c r="GN7" i="20"/>
  <c r="GO7" i="20"/>
  <c r="GP7" i="20"/>
  <c r="GQ7" i="20"/>
  <c r="HC7" i="20"/>
  <c r="HD7" i="20"/>
  <c r="HE7" i="20"/>
  <c r="HF7" i="20"/>
  <c r="HG7" i="20"/>
  <c r="HH7" i="20"/>
  <c r="HI7" i="20"/>
  <c r="HJ7" i="20"/>
  <c r="HK7" i="20"/>
  <c r="HL7" i="20"/>
  <c r="HM7" i="20"/>
  <c r="HY7" i="20"/>
  <c r="HZ7" i="20"/>
  <c r="IA7" i="20"/>
  <c r="IB7" i="20"/>
  <c r="IC7" i="20"/>
  <c r="ID7" i="20"/>
  <c r="IE7" i="20"/>
  <c r="IF7" i="20"/>
  <c r="IG7" i="20"/>
  <c r="IH7" i="20"/>
  <c r="II7" i="20"/>
  <c r="IU7" i="20"/>
  <c r="IV7" i="20"/>
  <c r="IW7" i="20"/>
  <c r="IX7" i="20"/>
  <c r="IY7" i="20"/>
  <c r="IZ7" i="20"/>
  <c r="JA7" i="20"/>
  <c r="JB7" i="20"/>
  <c r="JC7" i="20"/>
  <c r="JD7" i="20"/>
  <c r="JE7" i="20"/>
  <c r="JQ7" i="20"/>
  <c r="JR7" i="20"/>
  <c r="JS7" i="20"/>
  <c r="JT7" i="20"/>
  <c r="JU7" i="20"/>
  <c r="JV7" i="20"/>
  <c r="JW7" i="20"/>
  <c r="JX7" i="20"/>
  <c r="JY7" i="20"/>
  <c r="JZ7" i="20"/>
  <c r="KA7" i="20"/>
  <c r="KM7" i="20"/>
  <c r="KN7" i="20"/>
  <c r="KO7" i="20"/>
  <c r="KP7" i="20"/>
  <c r="KQ7" i="20"/>
  <c r="KR7" i="20"/>
  <c r="KS7" i="20"/>
  <c r="KT7" i="20"/>
  <c r="KU7" i="20"/>
  <c r="KV7" i="20"/>
  <c r="KW7" i="20"/>
  <c r="LI7" i="20"/>
  <c r="LJ7" i="20"/>
  <c r="LK7" i="20"/>
  <c r="LL7" i="20"/>
  <c r="LM7" i="20"/>
  <c r="LN7" i="20"/>
  <c r="LO7" i="20"/>
  <c r="LP7" i="20"/>
  <c r="LQ7" i="20"/>
  <c r="LR7" i="20"/>
  <c r="LS7" i="20"/>
  <c r="ME7" i="20"/>
  <c r="MF7" i="20"/>
  <c r="MG7" i="20"/>
  <c r="MH7" i="20"/>
  <c r="MI7" i="20"/>
  <c r="MJ7" i="20"/>
  <c r="MK7" i="20"/>
  <c r="ML7" i="20"/>
  <c r="MM7" i="20"/>
  <c r="MN7" i="20"/>
  <c r="MO7" i="20"/>
  <c r="NA7" i="20"/>
  <c r="NB7" i="20"/>
  <c r="NC7" i="20"/>
  <c r="ND7" i="20"/>
  <c r="NE7" i="20"/>
  <c r="NF7" i="20"/>
  <c r="NG7" i="20"/>
  <c r="NH7" i="20"/>
  <c r="NI7" i="20"/>
  <c r="NJ7" i="20"/>
  <c r="NK7" i="20"/>
  <c r="NL7" i="20"/>
  <c r="AON7" i="20" s="1"/>
  <c r="BPP7" i="20" s="1"/>
  <c r="CQR7" i="20" s="1"/>
  <c r="NM7" i="20"/>
  <c r="AOO7" i="20" s="1"/>
  <c r="BPQ7" i="20" s="1"/>
  <c r="CQS7" i="20" s="1"/>
  <c r="NN7" i="20"/>
  <c r="AOP7" i="20" s="1"/>
  <c r="BPR7" i="20" s="1"/>
  <c r="CQT7" i="20" s="1"/>
  <c r="NQ7" i="20"/>
  <c r="AOS7" i="20" s="1"/>
  <c r="BPU7" i="20" s="1"/>
  <c r="CQW7" i="20" s="1"/>
  <c r="NR7" i="20"/>
  <c r="AOT7" i="20" s="1"/>
  <c r="BPV7" i="20" s="1"/>
  <c r="CQX7" i="20" s="1"/>
  <c r="NS7" i="20"/>
  <c r="AOU7" i="20" s="1"/>
  <c r="BPW7" i="20" s="1"/>
  <c r="CQY7" i="20" s="1"/>
  <c r="NT7" i="20"/>
  <c r="AOV7" i="20" s="1"/>
  <c r="BPX7" i="20" s="1"/>
  <c r="CQZ7" i="20" s="1"/>
  <c r="NW7" i="20"/>
  <c r="NX7" i="20"/>
  <c r="NY7" i="20"/>
  <c r="NZ7" i="20"/>
  <c r="OA7" i="20"/>
  <c r="OB7" i="20"/>
  <c r="OC7" i="20"/>
  <c r="OD7" i="20"/>
  <c r="OE7" i="20"/>
  <c r="OF7" i="20"/>
  <c r="OG7" i="20"/>
  <c r="OI7" i="20"/>
  <c r="APK7" i="20" s="1"/>
  <c r="BQM7" i="20" s="1"/>
  <c r="CRO7" i="20" s="1"/>
  <c r="OJ7" i="20"/>
  <c r="APL7" i="20" s="1"/>
  <c r="BQN7" i="20" s="1"/>
  <c r="CRP7" i="20" s="1"/>
  <c r="OK7" i="20"/>
  <c r="APM7" i="20" s="1"/>
  <c r="BQO7" i="20" s="1"/>
  <c r="CRQ7" i="20" s="1"/>
  <c r="OL7" i="20"/>
  <c r="APN7" i="20" s="1"/>
  <c r="BQP7" i="20" s="1"/>
  <c r="CRR7" i="20" s="1"/>
  <c r="OP7" i="20"/>
  <c r="APR7" i="20" s="1"/>
  <c r="BQT7" i="20" s="1"/>
  <c r="CRV7" i="20" s="1"/>
  <c r="OQ7" i="20"/>
  <c r="APS7" i="20" s="1"/>
  <c r="BQU7" i="20" s="1"/>
  <c r="CRW7" i="20" s="1"/>
  <c r="OR7" i="20"/>
  <c r="APT7" i="20" s="1"/>
  <c r="BQV7" i="20" s="1"/>
  <c r="CRX7" i="20" s="1"/>
  <c r="OS7" i="20"/>
  <c r="OT7" i="20"/>
  <c r="OU7" i="20"/>
  <c r="OV7" i="20"/>
  <c r="OW7" i="20"/>
  <c r="OX7" i="20"/>
  <c r="OY7" i="20"/>
  <c r="OZ7" i="20"/>
  <c r="PA7" i="20"/>
  <c r="PB7" i="20"/>
  <c r="PC7" i="20"/>
  <c r="PD7" i="20"/>
  <c r="AQF7" i="20" s="1"/>
  <c r="BRH7" i="20" s="1"/>
  <c r="CSJ7" i="20" s="1"/>
  <c r="PF7" i="20"/>
  <c r="AQH7" i="20" s="1"/>
  <c r="BRJ7" i="20" s="1"/>
  <c r="CSL7" i="20" s="1"/>
  <c r="PJ7" i="20"/>
  <c r="AQL7" i="20" s="1"/>
  <c r="BRN7" i="20" s="1"/>
  <c r="CSP7" i="20" s="1"/>
  <c r="PK7" i="20"/>
  <c r="AQM7" i="20" s="1"/>
  <c r="BRO7" i="20" s="1"/>
  <c r="CSQ7" i="20" s="1"/>
  <c r="PL7" i="20"/>
  <c r="AQN7" i="20" s="1"/>
  <c r="BRP7" i="20" s="1"/>
  <c r="CSR7" i="20" s="1"/>
  <c r="PN7" i="20"/>
  <c r="AQP7" i="20" s="1"/>
  <c r="BRR7" i="20" s="1"/>
  <c r="CST7" i="20" s="1"/>
  <c r="PO7" i="20"/>
  <c r="PP7" i="20"/>
  <c r="PQ7" i="20"/>
  <c r="PR7" i="20"/>
  <c r="PS7" i="20"/>
  <c r="PT7" i="20"/>
  <c r="PU7" i="20"/>
  <c r="PV7" i="20"/>
  <c r="PW7" i="20"/>
  <c r="PX7" i="20"/>
  <c r="PY7" i="20"/>
  <c r="PZ7" i="20"/>
  <c r="ARB7" i="20" s="1"/>
  <c r="BSD7" i="20" s="1"/>
  <c r="CTF7" i="20" s="1"/>
  <c r="QA7" i="20"/>
  <c r="ARC7" i="20" s="1"/>
  <c r="BSE7" i="20" s="1"/>
  <c r="CTG7" i="20" s="1"/>
  <c r="QB7" i="20"/>
  <c r="ARD7" i="20" s="1"/>
  <c r="BSF7" i="20" s="1"/>
  <c r="CTH7" i="20" s="1"/>
  <c r="QC7" i="20"/>
  <c r="ARE7" i="20" s="1"/>
  <c r="BSG7" i="20" s="1"/>
  <c r="CTI7" i="20" s="1"/>
  <c r="QD7" i="20"/>
  <c r="ARF7" i="20" s="1"/>
  <c r="BSH7" i="20" s="1"/>
  <c r="CTJ7" i="20" s="1"/>
  <c r="QH7" i="20"/>
  <c r="ARJ7" i="20" s="1"/>
  <c r="BSL7" i="20" s="1"/>
  <c r="CTN7" i="20" s="1"/>
  <c r="QI7" i="20"/>
  <c r="ARK7" i="20" s="1"/>
  <c r="BSM7" i="20" s="1"/>
  <c r="CTO7" i="20" s="1"/>
  <c r="QK7" i="20"/>
  <c r="QL7" i="20"/>
  <c r="QM7" i="20"/>
  <c r="QN7" i="20"/>
  <c r="QO7" i="20"/>
  <c r="QP7" i="20"/>
  <c r="QQ7" i="20"/>
  <c r="QR7" i="20"/>
  <c r="QS7" i="20"/>
  <c r="QT7" i="20"/>
  <c r="QU7" i="20"/>
  <c r="QV7" i="20"/>
  <c r="ARX7" i="20" s="1"/>
  <c r="BSZ7" i="20" s="1"/>
  <c r="CUB7" i="20" s="1"/>
  <c r="QW7" i="20"/>
  <c r="ARY7" i="20" s="1"/>
  <c r="BTA7" i="20" s="1"/>
  <c r="CUC7" i="20" s="1"/>
  <c r="QX7" i="20"/>
  <c r="ARZ7" i="20" s="1"/>
  <c r="BTB7" i="20" s="1"/>
  <c r="CUD7" i="20" s="1"/>
  <c r="RA7" i="20"/>
  <c r="ASC7" i="20" s="1"/>
  <c r="BTE7" i="20" s="1"/>
  <c r="CUG7" i="20" s="1"/>
  <c r="RB7" i="20"/>
  <c r="ASD7" i="20" s="1"/>
  <c r="BTF7" i="20" s="1"/>
  <c r="CUH7" i="20" s="1"/>
  <c r="RD7" i="20"/>
  <c r="ASF7" i="20" s="1"/>
  <c r="BTH7" i="20" s="1"/>
  <c r="CUJ7" i="20" s="1"/>
  <c r="RG7" i="20"/>
  <c r="RH7" i="20"/>
  <c r="RI7" i="20"/>
  <c r="RJ7" i="20"/>
  <c r="RK7" i="20"/>
  <c r="RL7" i="20"/>
  <c r="RM7" i="20"/>
  <c r="RN7" i="20"/>
  <c r="RO7" i="20"/>
  <c r="RP7" i="20"/>
  <c r="RQ7" i="20"/>
  <c r="RS7" i="20"/>
  <c r="ASU7" i="20" s="1"/>
  <c r="BTW7" i="20" s="1"/>
  <c r="CUY7" i="20" s="1"/>
  <c r="RT7" i="20"/>
  <c r="ASV7" i="20" s="1"/>
  <c r="BTX7" i="20" s="1"/>
  <c r="CUZ7" i="20" s="1"/>
  <c r="RU7" i="20"/>
  <c r="ASW7" i="20" s="1"/>
  <c r="BTY7" i="20" s="1"/>
  <c r="CVA7" i="20" s="1"/>
  <c r="RV7" i="20"/>
  <c r="ASX7" i="20" s="1"/>
  <c r="BTZ7" i="20" s="1"/>
  <c r="CVB7" i="20" s="1"/>
  <c r="RX7" i="20"/>
  <c r="ASZ7" i="20" s="1"/>
  <c r="BUB7" i="20" s="1"/>
  <c r="CVD7" i="20" s="1"/>
  <c r="RZ7" i="20"/>
  <c r="ATB7" i="20" s="1"/>
  <c r="BUD7" i="20" s="1"/>
  <c r="CVF7" i="20" s="1"/>
  <c r="SA7" i="20"/>
  <c r="ATC7" i="20" s="1"/>
  <c r="BUE7" i="20" s="1"/>
  <c r="CVG7" i="20" s="1"/>
  <c r="SB7" i="20"/>
  <c r="ATD7" i="20" s="1"/>
  <c r="BUF7" i="20" s="1"/>
  <c r="CVH7" i="20" s="1"/>
  <c r="SC7" i="20"/>
  <c r="SD7" i="20"/>
  <c r="SE7" i="20"/>
  <c r="SF7" i="20"/>
  <c r="SG7" i="20"/>
  <c r="SH7" i="20"/>
  <c r="SI7" i="20"/>
  <c r="SJ7" i="20"/>
  <c r="SK7" i="20"/>
  <c r="SL7" i="20"/>
  <c r="SM7" i="20"/>
  <c r="SN7" i="20"/>
  <c r="ATP7" i="20" s="1"/>
  <c r="BUR7" i="20" s="1"/>
  <c r="CVT7" i="20" s="1"/>
  <c r="SP7" i="20"/>
  <c r="ATR7" i="20" s="1"/>
  <c r="BUT7" i="20" s="1"/>
  <c r="CVV7" i="20" s="1"/>
  <c r="SS7" i="20"/>
  <c r="ATU7" i="20" s="1"/>
  <c r="BUW7" i="20" s="1"/>
  <c r="CVY7" i="20" s="1"/>
  <c r="ST7" i="20"/>
  <c r="ATV7" i="20" s="1"/>
  <c r="BUX7" i="20" s="1"/>
  <c r="CVZ7" i="20" s="1"/>
  <c r="SU7" i="20"/>
  <c r="ATW7" i="20" s="1"/>
  <c r="BUY7" i="20" s="1"/>
  <c r="CWA7" i="20" s="1"/>
  <c r="SV7" i="20"/>
  <c r="ATX7" i="20" s="1"/>
  <c r="BUZ7" i="20" s="1"/>
  <c r="CWB7" i="20" s="1"/>
  <c r="SX7" i="20"/>
  <c r="ATZ7" i="20" s="1"/>
  <c r="BVB7" i="20" s="1"/>
  <c r="CWD7" i="20" s="1"/>
  <c r="SY7" i="20"/>
  <c r="SZ7" i="20"/>
  <c r="TA7" i="20"/>
  <c r="TB7" i="20"/>
  <c r="TC7" i="20"/>
  <c r="TD7" i="20"/>
  <c r="TE7" i="20"/>
  <c r="TF7" i="20"/>
  <c r="TG7" i="20"/>
  <c r="TH7" i="20"/>
  <c r="TI7" i="20"/>
  <c r="TJ7" i="20"/>
  <c r="AUL7" i="20" s="1"/>
  <c r="BVN7" i="20" s="1"/>
  <c r="CWP7" i="20" s="1"/>
  <c r="TK7" i="20"/>
  <c r="AUM7" i="20" s="1"/>
  <c r="BVO7" i="20" s="1"/>
  <c r="CWQ7" i="20" s="1"/>
  <c r="TL7" i="20"/>
  <c r="AUN7" i="20" s="1"/>
  <c r="BVP7" i="20" s="1"/>
  <c r="CWR7" i="20" s="1"/>
  <c r="TM7" i="20"/>
  <c r="AUO7" i="20" s="1"/>
  <c r="BVQ7" i="20" s="1"/>
  <c r="CWS7" i="20" s="1"/>
  <c r="TN7" i="20"/>
  <c r="AUP7" i="20" s="1"/>
  <c r="BVR7" i="20" s="1"/>
  <c r="CWT7" i="20" s="1"/>
  <c r="TO7" i="20"/>
  <c r="AUQ7" i="20" s="1"/>
  <c r="BVS7" i="20" s="1"/>
  <c r="CWU7" i="20" s="1"/>
  <c r="TP7" i="20"/>
  <c r="AUR7" i="20" s="1"/>
  <c r="BVT7" i="20" s="1"/>
  <c r="CWV7" i="20" s="1"/>
  <c r="TR7" i="20"/>
  <c r="AUT7" i="20" s="1"/>
  <c r="BVV7" i="20" s="1"/>
  <c r="CWX7" i="20" s="1"/>
  <c r="TS7" i="20"/>
  <c r="AUU7" i="20" s="1"/>
  <c r="BVW7" i="20" s="1"/>
  <c r="CWY7" i="20" s="1"/>
  <c r="TT7" i="20"/>
  <c r="AUV7" i="20" s="1"/>
  <c r="BVX7" i="20" s="1"/>
  <c r="CWZ7" i="20" s="1"/>
  <c r="TU7" i="20"/>
  <c r="TV7" i="20"/>
  <c r="TW7" i="20"/>
  <c r="TX7" i="20"/>
  <c r="TY7" i="20"/>
  <c r="TZ7" i="20"/>
  <c r="UA7" i="20"/>
  <c r="UB7" i="20"/>
  <c r="UC7" i="20"/>
  <c r="UD7" i="20"/>
  <c r="UE7" i="20"/>
  <c r="UF7" i="20"/>
  <c r="AVH7" i="20" s="1"/>
  <c r="BWJ7" i="20" s="1"/>
  <c r="CXL7" i="20" s="1"/>
  <c r="UG7" i="20"/>
  <c r="AVI7" i="20" s="1"/>
  <c r="BWK7" i="20" s="1"/>
  <c r="CXM7" i="20" s="1"/>
  <c r="UH7" i="20"/>
  <c r="AVJ7" i="20" s="1"/>
  <c r="BWL7" i="20" s="1"/>
  <c r="CXN7" i="20" s="1"/>
  <c r="UK7" i="20"/>
  <c r="AVM7" i="20" s="1"/>
  <c r="BWO7" i="20" s="1"/>
  <c r="CXQ7" i="20" s="1"/>
  <c r="UL7" i="20"/>
  <c r="AVN7" i="20" s="1"/>
  <c r="BWP7" i="20" s="1"/>
  <c r="CXR7" i="20" s="1"/>
  <c r="UM7" i="20"/>
  <c r="AVO7" i="20" s="1"/>
  <c r="BWQ7" i="20" s="1"/>
  <c r="CXS7" i="20" s="1"/>
  <c r="UN7" i="20"/>
  <c r="AVP7" i="20" s="1"/>
  <c r="BWR7" i="20" s="1"/>
  <c r="CXT7" i="20" s="1"/>
  <c r="UP7" i="20"/>
  <c r="AVR7" i="20" s="1"/>
  <c r="BWT7" i="20" s="1"/>
  <c r="CXV7" i="20" s="1"/>
  <c r="UQ7" i="20"/>
  <c r="UR7" i="20"/>
  <c r="US7" i="20"/>
  <c r="UT7" i="20"/>
  <c r="UU7" i="20"/>
  <c r="UV7" i="20"/>
  <c r="UW7" i="20"/>
  <c r="UX7" i="20"/>
  <c r="UY7" i="20"/>
  <c r="UZ7" i="20"/>
  <c r="VA7" i="20"/>
  <c r="VC7" i="20"/>
  <c r="AWE7" i="20" s="1"/>
  <c r="BXG7" i="20" s="1"/>
  <c r="CYI7" i="20" s="1"/>
  <c r="VD7" i="20"/>
  <c r="AWF7" i="20" s="1"/>
  <c r="BXH7" i="20" s="1"/>
  <c r="CYJ7" i="20" s="1"/>
  <c r="VE7" i="20"/>
  <c r="AWG7" i="20" s="1"/>
  <c r="BXI7" i="20" s="1"/>
  <c r="CYK7" i="20" s="1"/>
  <c r="VF7" i="20"/>
  <c r="AWH7" i="20" s="1"/>
  <c r="BXJ7" i="20" s="1"/>
  <c r="CYL7" i="20" s="1"/>
  <c r="VG7" i="20"/>
  <c r="AWI7" i="20" s="1"/>
  <c r="BXK7" i="20" s="1"/>
  <c r="CYM7" i="20" s="1"/>
  <c r="VH7" i="20"/>
  <c r="AWJ7" i="20" s="1"/>
  <c r="BXL7" i="20" s="1"/>
  <c r="CYN7" i="20" s="1"/>
  <c r="VJ7" i="20"/>
  <c r="AWL7" i="20" s="1"/>
  <c r="BXN7" i="20" s="1"/>
  <c r="CYP7" i="20" s="1"/>
  <c r="VK7" i="20"/>
  <c r="AWM7" i="20" s="1"/>
  <c r="BXO7" i="20" s="1"/>
  <c r="CYQ7" i="20" s="1"/>
  <c r="VL7" i="20"/>
  <c r="AWN7" i="20" s="1"/>
  <c r="BXP7" i="20" s="1"/>
  <c r="CYR7" i="20" s="1"/>
  <c r="VM7" i="20"/>
  <c r="VN7" i="20"/>
  <c r="VO7" i="20"/>
  <c r="VP7" i="20"/>
  <c r="VQ7" i="20"/>
  <c r="VR7" i="20"/>
  <c r="VS7" i="20"/>
  <c r="VT7" i="20"/>
  <c r="VU7" i="20"/>
  <c r="VV7" i="20"/>
  <c r="VW7" i="20"/>
  <c r="VX7" i="20"/>
  <c r="AWZ7" i="20" s="1"/>
  <c r="BYB7" i="20" s="1"/>
  <c r="CZD7" i="20" s="1"/>
  <c r="VZ7" i="20"/>
  <c r="AXB7" i="20" s="1"/>
  <c r="BYD7" i="20" s="1"/>
  <c r="CZF7" i="20" s="1"/>
  <c r="WD7" i="20"/>
  <c r="AXF7" i="20" s="1"/>
  <c r="BYH7" i="20" s="1"/>
  <c r="CZJ7" i="20" s="1"/>
  <c r="WE7" i="20"/>
  <c r="AXG7" i="20" s="1"/>
  <c r="BYI7" i="20" s="1"/>
  <c r="CZK7" i="20" s="1"/>
  <c r="WF7" i="20"/>
  <c r="AXH7" i="20" s="1"/>
  <c r="BYJ7" i="20" s="1"/>
  <c r="CZL7" i="20" s="1"/>
  <c r="WI7" i="20"/>
  <c r="WJ7" i="20"/>
  <c r="WK7" i="20"/>
  <c r="WL7" i="20"/>
  <c r="WM7" i="20"/>
  <c r="WN7" i="20"/>
  <c r="WO7" i="20"/>
  <c r="WP7" i="20"/>
  <c r="WQ7" i="20"/>
  <c r="WR7" i="20"/>
  <c r="WS7" i="20"/>
  <c r="WT7" i="20"/>
  <c r="AXV7" i="20" s="1"/>
  <c r="BYX7" i="20" s="1"/>
  <c r="CZZ7" i="20" s="1"/>
  <c r="WU7" i="20"/>
  <c r="AXW7" i="20" s="1"/>
  <c r="BYY7" i="20" s="1"/>
  <c r="DAA7" i="20" s="1"/>
  <c r="WV7" i="20"/>
  <c r="AXX7" i="20" s="1"/>
  <c r="BYZ7" i="20" s="1"/>
  <c r="DAB7" i="20" s="1"/>
  <c r="WW7" i="20"/>
  <c r="AXY7" i="20" s="1"/>
  <c r="BZA7" i="20" s="1"/>
  <c r="DAC7" i="20" s="1"/>
  <c r="WX7" i="20"/>
  <c r="AXZ7" i="20" s="1"/>
  <c r="BZB7" i="20" s="1"/>
  <c r="DAD7" i="20" s="1"/>
  <c r="XB7" i="20"/>
  <c r="AYD7" i="20" s="1"/>
  <c r="BZF7" i="20" s="1"/>
  <c r="DAH7" i="20" s="1"/>
  <c r="XC7" i="20"/>
  <c r="AYE7" i="20" s="1"/>
  <c r="BZG7" i="20" s="1"/>
  <c r="DAI7" i="20" s="1"/>
  <c r="XE7" i="20"/>
  <c r="XF7" i="20"/>
  <c r="XG7" i="20"/>
  <c r="XH7" i="20"/>
  <c r="XI7" i="20"/>
  <c r="XJ7" i="20"/>
  <c r="XK7" i="20"/>
  <c r="XL7" i="20"/>
  <c r="XM7" i="20"/>
  <c r="XN7" i="20"/>
  <c r="XO7" i="20"/>
  <c r="XP7" i="20"/>
  <c r="AYR7" i="20" s="1"/>
  <c r="BZT7" i="20" s="1"/>
  <c r="DAV7" i="20" s="1"/>
  <c r="XQ7" i="20"/>
  <c r="AYS7" i="20" s="1"/>
  <c r="BZU7" i="20" s="1"/>
  <c r="DAW7" i="20" s="1"/>
  <c r="XR7" i="20"/>
  <c r="AYT7" i="20" s="1"/>
  <c r="BZV7" i="20" s="1"/>
  <c r="DAX7" i="20" s="1"/>
  <c r="XS7" i="20"/>
  <c r="AYU7" i="20" s="1"/>
  <c r="BZW7" i="20" s="1"/>
  <c r="DAY7" i="20" s="1"/>
  <c r="XT7" i="20"/>
  <c r="AYV7" i="20" s="1"/>
  <c r="BZX7" i="20" s="1"/>
  <c r="DAZ7" i="20" s="1"/>
  <c r="XV7" i="20"/>
  <c r="AYX7" i="20" s="1"/>
  <c r="BZZ7" i="20" s="1"/>
  <c r="DBB7" i="20" s="1"/>
  <c r="XX7" i="20"/>
  <c r="AYZ7" i="20" s="1"/>
  <c r="CAB7" i="20" s="1"/>
  <c r="DBD7" i="20" s="1"/>
  <c r="XY7" i="20"/>
  <c r="AZA7" i="20" s="1"/>
  <c r="CAC7" i="20" s="1"/>
  <c r="DBE7" i="20" s="1"/>
  <c r="YA7" i="20"/>
  <c r="YB7" i="20"/>
  <c r="YC7" i="20"/>
  <c r="YD7" i="20"/>
  <c r="YE7" i="20"/>
  <c r="YF7" i="20"/>
  <c r="YG7" i="20"/>
  <c r="YH7" i="20"/>
  <c r="YI7" i="20"/>
  <c r="YJ7" i="20"/>
  <c r="YK7" i="20"/>
  <c r="YM7" i="20"/>
  <c r="AZO7" i="20" s="1"/>
  <c r="CAQ7" i="20" s="1"/>
  <c r="DBS7" i="20" s="1"/>
  <c r="YN7" i="20"/>
  <c r="AZP7" i="20" s="1"/>
  <c r="CAR7" i="20" s="1"/>
  <c r="DBT7" i="20" s="1"/>
  <c r="YO7" i="20"/>
  <c r="AZQ7" i="20" s="1"/>
  <c r="CAS7" i="20" s="1"/>
  <c r="DBU7" i="20" s="1"/>
  <c r="YP7" i="20"/>
  <c r="AZR7" i="20" s="1"/>
  <c r="CAT7" i="20" s="1"/>
  <c r="DBV7" i="20" s="1"/>
  <c r="YT7" i="20"/>
  <c r="AZV7" i="20" s="1"/>
  <c r="CAX7" i="20" s="1"/>
  <c r="DBZ7" i="20" s="1"/>
  <c r="YU7" i="20"/>
  <c r="AZW7" i="20" s="1"/>
  <c r="CAY7" i="20" s="1"/>
  <c r="DCA7" i="20" s="1"/>
  <c r="YW7" i="20"/>
  <c r="YX7" i="20"/>
  <c r="YY7" i="20"/>
  <c r="YZ7" i="20"/>
  <c r="ZA7" i="20"/>
  <c r="ZB7" i="20"/>
  <c r="ZC7" i="20"/>
  <c r="ZD7" i="20"/>
  <c r="ZE7" i="20"/>
  <c r="ZF7" i="20"/>
  <c r="ZG7" i="20"/>
  <c r="ZH7" i="20"/>
  <c r="BAJ7" i="20" s="1"/>
  <c r="CBL7" i="20" s="1"/>
  <c r="DCN7" i="20" s="1"/>
  <c r="ZJ7" i="20"/>
  <c r="BAL7" i="20" s="1"/>
  <c r="CBN7" i="20" s="1"/>
  <c r="DCP7" i="20" s="1"/>
  <c r="ZM7" i="20"/>
  <c r="BAO7" i="20" s="1"/>
  <c r="CBQ7" i="20" s="1"/>
  <c r="DCS7" i="20" s="1"/>
  <c r="ZN7" i="20"/>
  <c r="BAP7" i="20" s="1"/>
  <c r="CBR7" i="20" s="1"/>
  <c r="DCT7" i="20" s="1"/>
  <c r="ZO7" i="20"/>
  <c r="BAQ7" i="20" s="1"/>
  <c r="CBS7" i="20" s="1"/>
  <c r="DCU7" i="20" s="1"/>
  <c r="ZP7" i="20"/>
  <c r="BAR7" i="20" s="1"/>
  <c r="CBT7" i="20" s="1"/>
  <c r="DCV7" i="20" s="1"/>
  <c r="ZS7" i="20"/>
  <c r="ZT7" i="20"/>
  <c r="ZU7" i="20"/>
  <c r="ZV7" i="20"/>
  <c r="ZW7" i="20"/>
  <c r="ZX7" i="20"/>
  <c r="ZY7" i="20"/>
  <c r="ZZ7" i="20"/>
  <c r="AAA7" i="20"/>
  <c r="AAB7" i="20"/>
  <c r="AAC7" i="20"/>
  <c r="M8" i="20"/>
  <c r="N8" i="20"/>
  <c r="O8" i="20"/>
  <c r="P8" i="20"/>
  <c r="Q8" i="20"/>
  <c r="R8" i="20"/>
  <c r="S8" i="20"/>
  <c r="T8" i="20"/>
  <c r="U8" i="20"/>
  <c r="V8" i="20"/>
  <c r="W8" i="20"/>
  <c r="AI8" i="20"/>
  <c r="AJ8" i="20"/>
  <c r="AK8" i="20"/>
  <c r="AL8" i="20"/>
  <c r="AM8" i="20"/>
  <c r="AN8" i="20"/>
  <c r="AO8" i="20"/>
  <c r="AP8" i="20"/>
  <c r="AQ8" i="20"/>
  <c r="AR8" i="20"/>
  <c r="AS8" i="20"/>
  <c r="BE8" i="20"/>
  <c r="BF8" i="20"/>
  <c r="BG8" i="20"/>
  <c r="BH8" i="20"/>
  <c r="BI8" i="20"/>
  <c r="BJ8" i="20"/>
  <c r="BK8" i="20"/>
  <c r="BL8" i="20"/>
  <c r="BM8" i="20"/>
  <c r="BN8" i="20"/>
  <c r="BO8" i="20"/>
  <c r="CA8" i="20"/>
  <c r="CB8" i="20"/>
  <c r="CC8" i="20"/>
  <c r="CD8" i="20"/>
  <c r="CE8" i="20"/>
  <c r="CF8" i="20"/>
  <c r="CG8" i="20"/>
  <c r="CH8" i="20"/>
  <c r="CI8" i="20"/>
  <c r="CJ8" i="20"/>
  <c r="CK8" i="20"/>
  <c r="CW8" i="20"/>
  <c r="CX8" i="20"/>
  <c r="CY8" i="20"/>
  <c r="CZ8" i="20"/>
  <c r="DA8" i="20"/>
  <c r="DB8" i="20"/>
  <c r="DC8" i="20"/>
  <c r="DD8" i="20"/>
  <c r="DE8" i="20"/>
  <c r="DF8" i="20"/>
  <c r="DG8" i="20"/>
  <c r="DS8" i="20"/>
  <c r="DT8" i="20"/>
  <c r="DU8" i="20"/>
  <c r="DV8" i="20"/>
  <c r="DW8" i="20"/>
  <c r="DX8" i="20"/>
  <c r="DY8" i="20"/>
  <c r="DZ8" i="20"/>
  <c r="EA8" i="20"/>
  <c r="EB8" i="20"/>
  <c r="EC8" i="20"/>
  <c r="EO8" i="20"/>
  <c r="EP8" i="20"/>
  <c r="EQ8" i="20"/>
  <c r="ER8" i="20"/>
  <c r="ES8" i="20"/>
  <c r="ET8" i="20"/>
  <c r="EU8" i="20"/>
  <c r="EV8" i="20"/>
  <c r="EW8" i="20"/>
  <c r="EX8" i="20"/>
  <c r="EY8" i="20"/>
  <c r="FK8" i="20"/>
  <c r="FL8" i="20"/>
  <c r="FM8" i="20"/>
  <c r="FN8" i="20"/>
  <c r="FO8" i="20"/>
  <c r="FP8" i="20"/>
  <c r="FQ8" i="20"/>
  <c r="FR8" i="20"/>
  <c r="FS8" i="20"/>
  <c r="FT8" i="20"/>
  <c r="FU8" i="20"/>
  <c r="GG8" i="20"/>
  <c r="GH8" i="20"/>
  <c r="GI8" i="20"/>
  <c r="GJ8" i="20"/>
  <c r="GK8" i="20"/>
  <c r="GL8" i="20"/>
  <c r="GM8" i="20"/>
  <c r="GN8" i="20"/>
  <c r="GO8" i="20"/>
  <c r="GP8" i="20"/>
  <c r="GQ8" i="20"/>
  <c r="HC8" i="20"/>
  <c r="HD8" i="20"/>
  <c r="HE8" i="20"/>
  <c r="HF8" i="20"/>
  <c r="HG8" i="20"/>
  <c r="HH8" i="20"/>
  <c r="HI8" i="20"/>
  <c r="HJ8" i="20"/>
  <c r="HK8" i="20"/>
  <c r="HL8" i="20"/>
  <c r="HM8" i="20"/>
  <c r="HY8" i="20"/>
  <c r="HZ8" i="20"/>
  <c r="IA8" i="20"/>
  <c r="IB8" i="20"/>
  <c r="IC8" i="20"/>
  <c r="ID8" i="20"/>
  <c r="IE8" i="20"/>
  <c r="IF8" i="20"/>
  <c r="IG8" i="20"/>
  <c r="IH8" i="20"/>
  <c r="II8" i="20"/>
  <c r="IU8" i="20"/>
  <c r="IV8" i="20"/>
  <c r="IW8" i="20"/>
  <c r="IX8" i="20"/>
  <c r="IY8" i="20"/>
  <c r="IZ8" i="20"/>
  <c r="JA8" i="20"/>
  <c r="JB8" i="20"/>
  <c r="JC8" i="20"/>
  <c r="JD8" i="20"/>
  <c r="JE8" i="20"/>
  <c r="JQ8" i="20"/>
  <c r="JR8" i="20"/>
  <c r="JS8" i="20"/>
  <c r="JT8" i="20"/>
  <c r="JU8" i="20"/>
  <c r="JV8" i="20"/>
  <c r="JW8" i="20"/>
  <c r="JX8" i="20"/>
  <c r="JY8" i="20"/>
  <c r="JZ8" i="20"/>
  <c r="KA8" i="20"/>
  <c r="KM8" i="20"/>
  <c r="KN8" i="20"/>
  <c r="KO8" i="20"/>
  <c r="KP8" i="20"/>
  <c r="KQ8" i="20"/>
  <c r="KR8" i="20"/>
  <c r="KS8" i="20"/>
  <c r="KT8" i="20"/>
  <c r="KU8" i="20"/>
  <c r="KV8" i="20"/>
  <c r="KW8" i="20"/>
  <c r="LI8" i="20"/>
  <c r="LJ8" i="20"/>
  <c r="LK8" i="20"/>
  <c r="LL8" i="20"/>
  <c r="LM8" i="20"/>
  <c r="LN8" i="20"/>
  <c r="LO8" i="20"/>
  <c r="LP8" i="20"/>
  <c r="LQ8" i="20"/>
  <c r="LR8" i="20"/>
  <c r="LS8" i="20"/>
  <c r="ME8" i="20"/>
  <c r="MF8" i="20"/>
  <c r="MG8" i="20"/>
  <c r="MH8" i="20"/>
  <c r="MI8" i="20"/>
  <c r="MJ8" i="20"/>
  <c r="MK8" i="20"/>
  <c r="ML8" i="20"/>
  <c r="MM8" i="20"/>
  <c r="MN8" i="20"/>
  <c r="MO8" i="20"/>
  <c r="NA8" i="20"/>
  <c r="NB8" i="20"/>
  <c r="NC8" i="20"/>
  <c r="ND8" i="20"/>
  <c r="NE8" i="20"/>
  <c r="NF8" i="20"/>
  <c r="NG8" i="20"/>
  <c r="NH8" i="20"/>
  <c r="NI8" i="20"/>
  <c r="NJ8" i="20"/>
  <c r="NK8" i="20"/>
  <c r="NM8" i="20"/>
  <c r="AOO8" i="20" s="1"/>
  <c r="BPQ8" i="20" s="1"/>
  <c r="CQS8" i="20" s="1"/>
  <c r="NO8" i="20"/>
  <c r="AOQ8" i="20" s="1"/>
  <c r="BPS8" i="20" s="1"/>
  <c r="CQU8" i="20" s="1"/>
  <c r="NP8" i="20"/>
  <c r="AOR8" i="20" s="1"/>
  <c r="BPT8" i="20" s="1"/>
  <c r="CQV8" i="20" s="1"/>
  <c r="NQ8" i="20"/>
  <c r="AOS8" i="20" s="1"/>
  <c r="BPU8" i="20" s="1"/>
  <c r="CQW8" i="20" s="1"/>
  <c r="NS8" i="20"/>
  <c r="AOU8" i="20" s="1"/>
  <c r="BPW8" i="20" s="1"/>
  <c r="CQY8" i="20" s="1"/>
  <c r="NT8" i="20"/>
  <c r="AOV8" i="20" s="1"/>
  <c r="BPX8" i="20" s="1"/>
  <c r="CQZ8" i="20" s="1"/>
  <c r="NU8" i="20"/>
  <c r="AOW8" i="20" s="1"/>
  <c r="BPY8" i="20" s="1"/>
  <c r="CRA8" i="20" s="1"/>
  <c r="NV8" i="20"/>
  <c r="AOX8" i="20" s="1"/>
  <c r="BPZ8" i="20" s="1"/>
  <c r="CRB8" i="20" s="1"/>
  <c r="NW8" i="20"/>
  <c r="NX8" i="20"/>
  <c r="NY8" i="20"/>
  <c r="NZ8" i="20"/>
  <c r="OA8" i="20"/>
  <c r="OB8" i="20"/>
  <c r="OC8" i="20"/>
  <c r="OD8" i="20"/>
  <c r="OE8" i="20"/>
  <c r="OF8" i="20"/>
  <c r="OG8" i="20"/>
  <c r="OH8" i="20"/>
  <c r="APJ8" i="20" s="1"/>
  <c r="BQL8" i="20" s="1"/>
  <c r="CRN8" i="20" s="1"/>
  <c r="OI8" i="20"/>
  <c r="APK8" i="20" s="1"/>
  <c r="BQM8" i="20" s="1"/>
  <c r="CRO8" i="20" s="1"/>
  <c r="OJ8" i="20"/>
  <c r="APL8" i="20" s="1"/>
  <c r="BQN8" i="20" s="1"/>
  <c r="CRP8" i="20" s="1"/>
  <c r="OM8" i="20"/>
  <c r="APO8" i="20" s="1"/>
  <c r="BQQ8" i="20" s="1"/>
  <c r="CRS8" i="20" s="1"/>
  <c r="ON8" i="20"/>
  <c r="APP8" i="20" s="1"/>
  <c r="BQR8" i="20" s="1"/>
  <c r="CRT8" i="20" s="1"/>
  <c r="OO8" i="20"/>
  <c r="APQ8" i="20" s="1"/>
  <c r="BQS8" i="20" s="1"/>
  <c r="CRU8" i="20" s="1"/>
  <c r="OQ8" i="20"/>
  <c r="APS8" i="20" s="1"/>
  <c r="BQU8" i="20" s="1"/>
  <c r="CRW8" i="20" s="1"/>
  <c r="OR8" i="20"/>
  <c r="APT8" i="20" s="1"/>
  <c r="BQV8" i="20" s="1"/>
  <c r="CRX8" i="20" s="1"/>
  <c r="OS8" i="20"/>
  <c r="OT8" i="20"/>
  <c r="OU8" i="20"/>
  <c r="OV8" i="20"/>
  <c r="OW8" i="20"/>
  <c r="OX8" i="20"/>
  <c r="OY8" i="20"/>
  <c r="OZ8" i="20"/>
  <c r="PA8" i="20"/>
  <c r="PB8" i="20"/>
  <c r="PC8" i="20"/>
  <c r="PE8" i="20"/>
  <c r="AQG8" i="20" s="1"/>
  <c r="BRI8" i="20" s="1"/>
  <c r="CSK8" i="20" s="1"/>
  <c r="PF8" i="20"/>
  <c r="AQH8" i="20" s="1"/>
  <c r="BRJ8" i="20" s="1"/>
  <c r="CSL8" i="20" s="1"/>
  <c r="PG8" i="20"/>
  <c r="AQI8" i="20" s="1"/>
  <c r="BRK8" i="20" s="1"/>
  <c r="CSM8" i="20" s="1"/>
  <c r="PH8" i="20"/>
  <c r="AQJ8" i="20" s="1"/>
  <c r="BRL8" i="20" s="1"/>
  <c r="CSN8" i="20" s="1"/>
  <c r="PI8" i="20"/>
  <c r="AQK8" i="20" s="1"/>
  <c r="BRM8" i="20" s="1"/>
  <c r="CSO8" i="20" s="1"/>
  <c r="PL8" i="20"/>
  <c r="AQN8" i="20" s="1"/>
  <c r="BRP8" i="20" s="1"/>
  <c r="CSR8" i="20" s="1"/>
  <c r="PM8" i="20"/>
  <c r="AQO8" i="20" s="1"/>
  <c r="BRQ8" i="20" s="1"/>
  <c r="CSS8" i="20" s="1"/>
  <c r="PN8" i="20"/>
  <c r="AQP8" i="20" s="1"/>
  <c r="BRR8" i="20" s="1"/>
  <c r="CST8" i="20" s="1"/>
  <c r="PO8" i="20"/>
  <c r="PP8" i="20"/>
  <c r="PQ8" i="20"/>
  <c r="PR8" i="20"/>
  <c r="PS8" i="20"/>
  <c r="PT8" i="20"/>
  <c r="PU8" i="20"/>
  <c r="PV8" i="20"/>
  <c r="PW8" i="20"/>
  <c r="PX8" i="20"/>
  <c r="PY8" i="20"/>
  <c r="QA8" i="20"/>
  <c r="ARC8" i="20" s="1"/>
  <c r="BSE8" i="20" s="1"/>
  <c r="CTG8" i="20" s="1"/>
  <c r="QB8" i="20"/>
  <c r="ARD8" i="20" s="1"/>
  <c r="BSF8" i="20" s="1"/>
  <c r="CTH8" i="20" s="1"/>
  <c r="QE8" i="20"/>
  <c r="ARG8" i="20" s="1"/>
  <c r="BSI8" i="20" s="1"/>
  <c r="CTK8" i="20" s="1"/>
  <c r="QF8" i="20"/>
  <c r="ARH8" i="20" s="1"/>
  <c r="BSJ8" i="20" s="1"/>
  <c r="CTL8" i="20" s="1"/>
  <c r="QG8" i="20"/>
  <c r="ARI8" i="20" s="1"/>
  <c r="BSK8" i="20" s="1"/>
  <c r="CTM8" i="20" s="1"/>
  <c r="QH8" i="20"/>
  <c r="ARJ8" i="20" s="1"/>
  <c r="BSL8" i="20" s="1"/>
  <c r="CTN8" i="20" s="1"/>
  <c r="QI8" i="20"/>
  <c r="ARK8" i="20" s="1"/>
  <c r="BSM8" i="20" s="1"/>
  <c r="CTO8" i="20" s="1"/>
  <c r="QK8" i="20"/>
  <c r="QL8" i="20"/>
  <c r="QM8" i="20"/>
  <c r="QN8" i="20"/>
  <c r="QO8" i="20"/>
  <c r="QP8" i="20"/>
  <c r="QQ8" i="20"/>
  <c r="QR8" i="20"/>
  <c r="QS8" i="20"/>
  <c r="QT8" i="20"/>
  <c r="QU8" i="20"/>
  <c r="QZ8" i="20"/>
  <c r="ASB8" i="20" s="1"/>
  <c r="BTD8" i="20" s="1"/>
  <c r="CUF8" i="20" s="1"/>
  <c r="RA8" i="20"/>
  <c r="ASC8" i="20" s="1"/>
  <c r="BTE8" i="20" s="1"/>
  <c r="CUG8" i="20" s="1"/>
  <c r="RE8" i="20"/>
  <c r="ASG8" i="20" s="1"/>
  <c r="BTI8" i="20" s="1"/>
  <c r="CUK8" i="20" s="1"/>
  <c r="RF8" i="20"/>
  <c r="ASH8" i="20" s="1"/>
  <c r="BTJ8" i="20" s="1"/>
  <c r="CUL8" i="20" s="1"/>
  <c r="RG8" i="20"/>
  <c r="RH8" i="20"/>
  <c r="RI8" i="20"/>
  <c r="RJ8" i="20"/>
  <c r="RK8" i="20"/>
  <c r="RL8" i="20"/>
  <c r="RM8" i="20"/>
  <c r="RN8" i="20"/>
  <c r="RO8" i="20"/>
  <c r="RP8" i="20"/>
  <c r="RQ8" i="20"/>
  <c r="RR8" i="20"/>
  <c r="AST8" i="20" s="1"/>
  <c r="BTV8" i="20" s="1"/>
  <c r="CUX8" i="20" s="1"/>
  <c r="RS8" i="20"/>
  <c r="ASU8" i="20" s="1"/>
  <c r="BTW8" i="20" s="1"/>
  <c r="CUY8" i="20" s="1"/>
  <c r="RW8" i="20"/>
  <c r="ASY8" i="20" s="1"/>
  <c r="BUA8" i="20" s="1"/>
  <c r="CVC8" i="20" s="1"/>
  <c r="RY8" i="20"/>
  <c r="ATA8" i="20" s="1"/>
  <c r="BUC8" i="20" s="1"/>
  <c r="CVE8" i="20" s="1"/>
  <c r="SA8" i="20"/>
  <c r="ATC8" i="20" s="1"/>
  <c r="BUE8" i="20" s="1"/>
  <c r="CVG8" i="20" s="1"/>
  <c r="SC8" i="20"/>
  <c r="SD8" i="20"/>
  <c r="SE8" i="20"/>
  <c r="SF8" i="20"/>
  <c r="SG8" i="20"/>
  <c r="SH8" i="20"/>
  <c r="SI8" i="20"/>
  <c r="SJ8" i="20"/>
  <c r="SK8" i="20"/>
  <c r="SL8" i="20"/>
  <c r="SM8" i="20"/>
  <c r="SN8" i="20"/>
  <c r="ATP8" i="20" s="1"/>
  <c r="BUR8" i="20" s="1"/>
  <c r="CVT8" i="20" s="1"/>
  <c r="SO8" i="20"/>
  <c r="ATQ8" i="20" s="1"/>
  <c r="BUS8" i="20" s="1"/>
  <c r="CVU8" i="20" s="1"/>
  <c r="SP8" i="20"/>
  <c r="ATR8" i="20" s="1"/>
  <c r="BUT8" i="20" s="1"/>
  <c r="CVV8" i="20" s="1"/>
  <c r="SQ8" i="20"/>
  <c r="ATS8" i="20" s="1"/>
  <c r="BUU8" i="20" s="1"/>
  <c r="CVW8" i="20" s="1"/>
  <c r="SR8" i="20"/>
  <c r="ATT8" i="20" s="1"/>
  <c r="BUV8" i="20" s="1"/>
  <c r="CVX8" i="20" s="1"/>
  <c r="SS8" i="20"/>
  <c r="ATU8" i="20" s="1"/>
  <c r="BUW8" i="20" s="1"/>
  <c r="CVY8" i="20" s="1"/>
  <c r="ST8" i="20"/>
  <c r="ATV8" i="20" s="1"/>
  <c r="BUX8" i="20" s="1"/>
  <c r="CVZ8" i="20" s="1"/>
  <c r="SU8" i="20"/>
  <c r="ATW8" i="20" s="1"/>
  <c r="BUY8" i="20" s="1"/>
  <c r="CWA8" i="20" s="1"/>
  <c r="SV8" i="20"/>
  <c r="ATX8" i="20" s="1"/>
  <c r="BUZ8" i="20" s="1"/>
  <c r="CWB8" i="20" s="1"/>
  <c r="SW8" i="20"/>
  <c r="ATY8" i="20" s="1"/>
  <c r="BVA8" i="20" s="1"/>
  <c r="CWC8" i="20" s="1"/>
  <c r="SX8" i="20"/>
  <c r="ATZ8" i="20" s="1"/>
  <c r="BVB8" i="20" s="1"/>
  <c r="CWD8" i="20" s="1"/>
  <c r="SY8" i="20"/>
  <c r="SZ8" i="20"/>
  <c r="TA8" i="20"/>
  <c r="TB8" i="20"/>
  <c r="TC8" i="20"/>
  <c r="TD8" i="20"/>
  <c r="TE8" i="20"/>
  <c r="TF8" i="20"/>
  <c r="TG8" i="20"/>
  <c r="TH8" i="20"/>
  <c r="TI8" i="20"/>
  <c r="TK8" i="20"/>
  <c r="AUM8" i="20" s="1"/>
  <c r="BVO8" i="20" s="1"/>
  <c r="CWQ8" i="20" s="1"/>
  <c r="TL8" i="20"/>
  <c r="AUN8" i="20" s="1"/>
  <c r="BVP8" i="20" s="1"/>
  <c r="CWR8" i="20" s="1"/>
  <c r="TO8" i="20"/>
  <c r="AUQ8" i="20" s="1"/>
  <c r="BVS8" i="20" s="1"/>
  <c r="CWU8" i="20" s="1"/>
  <c r="TQ8" i="20"/>
  <c r="AUS8" i="20" s="1"/>
  <c r="BVU8" i="20" s="1"/>
  <c r="CWW8" i="20" s="1"/>
  <c r="TR8" i="20"/>
  <c r="AUT8" i="20" s="1"/>
  <c r="BVV8" i="20" s="1"/>
  <c r="CWX8" i="20" s="1"/>
  <c r="TS8" i="20"/>
  <c r="AUU8" i="20" s="1"/>
  <c r="BVW8" i="20" s="1"/>
  <c r="CWY8" i="20" s="1"/>
  <c r="TU8" i="20"/>
  <c r="TV8" i="20"/>
  <c r="TW8" i="20"/>
  <c r="TX8" i="20"/>
  <c r="TY8" i="20"/>
  <c r="TZ8" i="20"/>
  <c r="UA8" i="20"/>
  <c r="UB8" i="20"/>
  <c r="UC8" i="20"/>
  <c r="UD8" i="20"/>
  <c r="UE8" i="20"/>
  <c r="UG8" i="20"/>
  <c r="AVI8" i="20" s="1"/>
  <c r="BWK8" i="20" s="1"/>
  <c r="CXM8" i="20" s="1"/>
  <c r="UH8" i="20"/>
  <c r="AVJ8" i="20" s="1"/>
  <c r="BWL8" i="20" s="1"/>
  <c r="CXN8" i="20" s="1"/>
  <c r="UJ8" i="20"/>
  <c r="AVL8" i="20" s="1"/>
  <c r="BWN8" i="20" s="1"/>
  <c r="CXP8" i="20" s="1"/>
  <c r="UK8" i="20"/>
  <c r="AVM8" i="20" s="1"/>
  <c r="BWO8" i="20" s="1"/>
  <c r="CXQ8" i="20" s="1"/>
  <c r="UO8" i="20"/>
  <c r="AVQ8" i="20" s="1"/>
  <c r="BWS8" i="20" s="1"/>
  <c r="CXU8" i="20" s="1"/>
  <c r="UP8" i="20"/>
  <c r="AVR8" i="20" s="1"/>
  <c r="BWT8" i="20" s="1"/>
  <c r="CXV8" i="20" s="1"/>
  <c r="UQ8" i="20"/>
  <c r="UR8" i="20"/>
  <c r="US8" i="20"/>
  <c r="UT8" i="20"/>
  <c r="UU8" i="20"/>
  <c r="UV8" i="20"/>
  <c r="UW8" i="20"/>
  <c r="UX8" i="20"/>
  <c r="UY8" i="20"/>
  <c r="UZ8" i="20"/>
  <c r="VA8" i="20"/>
  <c r="VB8" i="20"/>
  <c r="AWD8" i="20" s="1"/>
  <c r="BXF8" i="20" s="1"/>
  <c r="CYH8" i="20" s="1"/>
  <c r="VC8" i="20"/>
  <c r="AWE8" i="20" s="1"/>
  <c r="BXG8" i="20" s="1"/>
  <c r="CYI8" i="20" s="1"/>
  <c r="VD8" i="20"/>
  <c r="AWF8" i="20" s="1"/>
  <c r="BXH8" i="20" s="1"/>
  <c r="CYJ8" i="20" s="1"/>
  <c r="VE8" i="20"/>
  <c r="AWG8" i="20" s="1"/>
  <c r="BXI8" i="20" s="1"/>
  <c r="CYK8" i="20" s="1"/>
  <c r="VF8" i="20"/>
  <c r="AWH8" i="20" s="1"/>
  <c r="BXJ8" i="20" s="1"/>
  <c r="CYL8" i="20" s="1"/>
  <c r="VG8" i="20"/>
  <c r="AWI8" i="20" s="1"/>
  <c r="BXK8" i="20" s="1"/>
  <c r="CYM8" i="20" s="1"/>
  <c r="VI8" i="20"/>
  <c r="AWK8" i="20" s="1"/>
  <c r="BXM8" i="20" s="1"/>
  <c r="CYO8" i="20" s="1"/>
  <c r="VK8" i="20"/>
  <c r="AWM8" i="20" s="1"/>
  <c r="BXO8" i="20" s="1"/>
  <c r="CYQ8" i="20" s="1"/>
  <c r="VM8" i="20"/>
  <c r="VN8" i="20"/>
  <c r="VO8" i="20"/>
  <c r="VP8" i="20"/>
  <c r="VQ8" i="20"/>
  <c r="VR8" i="20"/>
  <c r="VS8" i="20"/>
  <c r="VT8" i="20"/>
  <c r="VU8" i="20"/>
  <c r="VV8" i="20"/>
  <c r="VW8" i="20"/>
  <c r="VY8" i="20"/>
  <c r="AXA8" i="20" s="1"/>
  <c r="BYC8" i="20" s="1"/>
  <c r="CZE8" i="20" s="1"/>
  <c r="VZ8" i="20"/>
  <c r="AXB8" i="20" s="1"/>
  <c r="BYD8" i="20" s="1"/>
  <c r="CZF8" i="20" s="1"/>
  <c r="WA8" i="20"/>
  <c r="AXC8" i="20" s="1"/>
  <c r="BYE8" i="20" s="1"/>
  <c r="CZG8" i="20" s="1"/>
  <c r="WB8" i="20"/>
  <c r="AXD8" i="20" s="1"/>
  <c r="BYF8" i="20" s="1"/>
  <c r="CZH8" i="20" s="1"/>
  <c r="WC8" i="20"/>
  <c r="AXE8" i="20" s="1"/>
  <c r="BYG8" i="20" s="1"/>
  <c r="CZI8" i="20" s="1"/>
  <c r="WG8" i="20"/>
  <c r="AXI8" i="20" s="1"/>
  <c r="BYK8" i="20" s="1"/>
  <c r="CZM8" i="20" s="1"/>
  <c r="WH8" i="20"/>
  <c r="AXJ8" i="20" s="1"/>
  <c r="BYL8" i="20" s="1"/>
  <c r="CZN8" i="20" s="1"/>
  <c r="WI8" i="20"/>
  <c r="WJ8" i="20"/>
  <c r="WK8" i="20"/>
  <c r="WL8" i="20"/>
  <c r="WM8" i="20"/>
  <c r="WN8" i="20"/>
  <c r="WO8" i="20"/>
  <c r="WP8" i="20"/>
  <c r="WQ8" i="20"/>
  <c r="WR8" i="20"/>
  <c r="WS8" i="20"/>
  <c r="WU8" i="20"/>
  <c r="AXW8" i="20" s="1"/>
  <c r="BYY8" i="20" s="1"/>
  <c r="DAA8" i="20" s="1"/>
  <c r="WV8" i="20"/>
  <c r="AXX8" i="20" s="1"/>
  <c r="BYZ8" i="20" s="1"/>
  <c r="DAB8" i="20" s="1"/>
  <c r="WW8" i="20"/>
  <c r="AXY8" i="20" s="1"/>
  <c r="BZA8" i="20" s="1"/>
  <c r="DAC8" i="20" s="1"/>
  <c r="WY8" i="20"/>
  <c r="AYA8" i="20" s="1"/>
  <c r="BZC8" i="20" s="1"/>
  <c r="DAE8" i="20" s="1"/>
  <c r="XA8" i="20"/>
  <c r="AYC8" i="20" s="1"/>
  <c r="BZE8" i="20" s="1"/>
  <c r="DAG8" i="20" s="1"/>
  <c r="XB8" i="20"/>
  <c r="AYD8" i="20" s="1"/>
  <c r="BZF8" i="20" s="1"/>
  <c r="DAH8" i="20" s="1"/>
  <c r="XC8" i="20"/>
  <c r="AYE8" i="20" s="1"/>
  <c r="BZG8" i="20" s="1"/>
  <c r="DAI8" i="20" s="1"/>
  <c r="XE8" i="20"/>
  <c r="XF8" i="20"/>
  <c r="XG8" i="20"/>
  <c r="XH8" i="20"/>
  <c r="XI8" i="20"/>
  <c r="XJ8" i="20"/>
  <c r="XK8" i="20"/>
  <c r="XL8" i="20"/>
  <c r="XM8" i="20"/>
  <c r="XN8" i="20"/>
  <c r="XO8" i="20"/>
  <c r="XS8" i="20"/>
  <c r="AYU8" i="20" s="1"/>
  <c r="BZW8" i="20" s="1"/>
  <c r="DAY8" i="20" s="1"/>
  <c r="XT8" i="20"/>
  <c r="AYV8" i="20" s="1"/>
  <c r="BZX8" i="20" s="1"/>
  <c r="DAZ8" i="20" s="1"/>
  <c r="XU8" i="20"/>
  <c r="AYW8" i="20" s="1"/>
  <c r="BZY8" i="20" s="1"/>
  <c r="DBA8" i="20" s="1"/>
  <c r="XY8" i="20"/>
  <c r="AZA8" i="20" s="1"/>
  <c r="CAC8" i="20" s="1"/>
  <c r="DBE8" i="20" s="1"/>
  <c r="YA8" i="20"/>
  <c r="YB8" i="20"/>
  <c r="YC8" i="20"/>
  <c r="YD8" i="20"/>
  <c r="YE8" i="20"/>
  <c r="YF8" i="20"/>
  <c r="YG8" i="20"/>
  <c r="YH8" i="20"/>
  <c r="YI8" i="20"/>
  <c r="YJ8" i="20"/>
  <c r="YK8" i="20"/>
  <c r="YL8" i="20"/>
  <c r="AZN8" i="20" s="1"/>
  <c r="CAP8" i="20" s="1"/>
  <c r="DBR8" i="20" s="1"/>
  <c r="YM8" i="20"/>
  <c r="AZO8" i="20" s="1"/>
  <c r="CAQ8" i="20" s="1"/>
  <c r="DBS8" i="20" s="1"/>
  <c r="YQ8" i="20"/>
  <c r="AZS8" i="20" s="1"/>
  <c r="CAU8" i="20" s="1"/>
  <c r="DBW8" i="20" s="1"/>
  <c r="YS8" i="20"/>
  <c r="AZU8" i="20" s="1"/>
  <c r="CAW8" i="20" s="1"/>
  <c r="DBY8" i="20" s="1"/>
  <c r="YU8" i="20"/>
  <c r="AZW8" i="20" s="1"/>
  <c r="CAY8" i="20" s="1"/>
  <c r="DCA8" i="20" s="1"/>
  <c r="YW8" i="20"/>
  <c r="YX8" i="20"/>
  <c r="YY8" i="20"/>
  <c r="YZ8" i="20"/>
  <c r="ZA8" i="20"/>
  <c r="ZB8" i="20"/>
  <c r="ZC8" i="20"/>
  <c r="ZD8" i="20"/>
  <c r="ZE8" i="20"/>
  <c r="ZF8" i="20"/>
  <c r="ZG8" i="20"/>
  <c r="ZI8" i="20"/>
  <c r="BAK8" i="20" s="1"/>
  <c r="CBM8" i="20" s="1"/>
  <c r="DCO8" i="20" s="1"/>
  <c r="ZJ8" i="20"/>
  <c r="BAL8" i="20" s="1"/>
  <c r="CBN8" i="20" s="1"/>
  <c r="DCP8" i="20" s="1"/>
  <c r="ZK8" i="20"/>
  <c r="BAM8" i="20" s="1"/>
  <c r="CBO8" i="20" s="1"/>
  <c r="DCQ8" i="20" s="1"/>
  <c r="ZL8" i="20"/>
  <c r="BAN8" i="20" s="1"/>
  <c r="CBP8" i="20" s="1"/>
  <c r="DCR8" i="20" s="1"/>
  <c r="ZM8" i="20"/>
  <c r="BAO8" i="20" s="1"/>
  <c r="CBQ8" i="20" s="1"/>
  <c r="DCS8" i="20" s="1"/>
  <c r="ZN8" i="20"/>
  <c r="BAP8" i="20" s="1"/>
  <c r="CBR8" i="20" s="1"/>
  <c r="DCT8" i="20" s="1"/>
  <c r="ZP8" i="20"/>
  <c r="BAR8" i="20" s="1"/>
  <c r="CBT8" i="20" s="1"/>
  <c r="DCV8" i="20" s="1"/>
  <c r="ZQ8" i="20"/>
  <c r="BAS8" i="20" s="1"/>
  <c r="CBU8" i="20" s="1"/>
  <c r="DCW8" i="20" s="1"/>
  <c r="ZR8" i="20"/>
  <c r="BAT8" i="20" s="1"/>
  <c r="CBV8" i="20" s="1"/>
  <c r="DCX8" i="20" s="1"/>
  <c r="ZS8" i="20"/>
  <c r="ZT8" i="20"/>
  <c r="ZU8" i="20"/>
  <c r="ZV8" i="20"/>
  <c r="ZW8" i="20"/>
  <c r="ZX8" i="20"/>
  <c r="ZY8" i="20"/>
  <c r="ZZ8" i="20"/>
  <c r="AAA8" i="20"/>
  <c r="AAB8" i="20"/>
  <c r="AAC8" i="20"/>
  <c r="M9" i="20"/>
  <c r="N9" i="20"/>
  <c r="O9" i="20"/>
  <c r="P9" i="20"/>
  <c r="Q9" i="20"/>
  <c r="R9" i="20"/>
  <c r="S9" i="20"/>
  <c r="T9" i="20"/>
  <c r="U9" i="20"/>
  <c r="V9" i="20"/>
  <c r="W9" i="20"/>
  <c r="AI9" i="20"/>
  <c r="AJ9" i="20"/>
  <c r="AK9" i="20"/>
  <c r="AL9" i="20"/>
  <c r="AM9" i="20"/>
  <c r="AN9" i="20"/>
  <c r="AO9" i="20"/>
  <c r="AP9" i="20"/>
  <c r="AQ9" i="20"/>
  <c r="AR9" i="20"/>
  <c r="AS9" i="20"/>
  <c r="BE9" i="20"/>
  <c r="BF9" i="20"/>
  <c r="BG9" i="20"/>
  <c r="BH9" i="20"/>
  <c r="BI9" i="20"/>
  <c r="BJ9" i="20"/>
  <c r="BK9" i="20"/>
  <c r="BL9" i="20"/>
  <c r="BM9" i="20"/>
  <c r="BN9" i="20"/>
  <c r="BO9" i="20"/>
  <c r="CA9" i="20"/>
  <c r="CB9" i="20"/>
  <c r="CC9" i="20"/>
  <c r="CD9" i="20"/>
  <c r="CE9" i="20"/>
  <c r="CF9" i="20"/>
  <c r="CG9" i="20"/>
  <c r="CH9" i="20"/>
  <c r="CI9" i="20"/>
  <c r="CJ9" i="20"/>
  <c r="CK9" i="20"/>
  <c r="CW9" i="20"/>
  <c r="CX9" i="20"/>
  <c r="CY9" i="20"/>
  <c r="CZ9" i="20"/>
  <c r="DA9" i="20"/>
  <c r="DB9" i="20"/>
  <c r="DC9" i="20"/>
  <c r="DD9" i="20"/>
  <c r="DE9" i="20"/>
  <c r="DF9" i="20"/>
  <c r="DG9" i="20"/>
  <c r="DS9" i="20"/>
  <c r="DT9" i="20"/>
  <c r="DU9" i="20"/>
  <c r="DV9" i="20"/>
  <c r="DW9" i="20"/>
  <c r="DX9" i="20"/>
  <c r="DY9" i="20"/>
  <c r="DZ9" i="20"/>
  <c r="EA9" i="20"/>
  <c r="EB9" i="20"/>
  <c r="EC9" i="20"/>
  <c r="EO9" i="20"/>
  <c r="EP9" i="20"/>
  <c r="EQ9" i="20"/>
  <c r="ER9" i="20"/>
  <c r="ES9" i="20"/>
  <c r="ET9" i="20"/>
  <c r="EU9" i="20"/>
  <c r="EV9" i="20"/>
  <c r="EW9" i="20"/>
  <c r="EX9" i="20"/>
  <c r="EY9" i="20"/>
  <c r="FK9" i="20"/>
  <c r="FL9" i="20"/>
  <c r="FM9" i="20"/>
  <c r="FN9" i="20"/>
  <c r="FO9" i="20"/>
  <c r="FP9" i="20"/>
  <c r="FQ9" i="20"/>
  <c r="FR9" i="20"/>
  <c r="FS9" i="20"/>
  <c r="FT9" i="20"/>
  <c r="FU9" i="20"/>
  <c r="GG9" i="20"/>
  <c r="GH9" i="20"/>
  <c r="GI9" i="20"/>
  <c r="GJ9" i="20"/>
  <c r="GK9" i="20"/>
  <c r="GL9" i="20"/>
  <c r="GM9" i="20"/>
  <c r="GN9" i="20"/>
  <c r="GO9" i="20"/>
  <c r="GP9" i="20"/>
  <c r="GQ9" i="20"/>
  <c r="HC9" i="20"/>
  <c r="HD9" i="20"/>
  <c r="HE9" i="20"/>
  <c r="HF9" i="20"/>
  <c r="HG9" i="20"/>
  <c r="HH9" i="20"/>
  <c r="HI9" i="20"/>
  <c r="HJ9" i="20"/>
  <c r="HK9" i="20"/>
  <c r="HL9" i="20"/>
  <c r="HM9" i="20"/>
  <c r="HY9" i="20"/>
  <c r="HZ9" i="20"/>
  <c r="IA9" i="20"/>
  <c r="IB9" i="20"/>
  <c r="IC9" i="20"/>
  <c r="ID9" i="20"/>
  <c r="IE9" i="20"/>
  <c r="IF9" i="20"/>
  <c r="IG9" i="20"/>
  <c r="IH9" i="20"/>
  <c r="II9" i="20"/>
  <c r="IU9" i="20"/>
  <c r="IV9" i="20"/>
  <c r="IW9" i="20"/>
  <c r="IX9" i="20"/>
  <c r="IY9" i="20"/>
  <c r="IZ9" i="20"/>
  <c r="JA9" i="20"/>
  <c r="JB9" i="20"/>
  <c r="JC9" i="20"/>
  <c r="JD9" i="20"/>
  <c r="JE9" i="20"/>
  <c r="JQ9" i="20"/>
  <c r="JR9" i="20"/>
  <c r="JS9" i="20"/>
  <c r="JT9" i="20"/>
  <c r="JU9" i="20"/>
  <c r="JV9" i="20"/>
  <c r="JW9" i="20"/>
  <c r="JX9" i="20"/>
  <c r="JY9" i="20"/>
  <c r="JZ9" i="20"/>
  <c r="KA9" i="20"/>
  <c r="KM9" i="20"/>
  <c r="KN9" i="20"/>
  <c r="KO9" i="20"/>
  <c r="KP9" i="20"/>
  <c r="KQ9" i="20"/>
  <c r="KR9" i="20"/>
  <c r="KS9" i="20"/>
  <c r="KT9" i="20"/>
  <c r="KU9" i="20"/>
  <c r="KV9" i="20"/>
  <c r="KW9" i="20"/>
  <c r="LI9" i="20"/>
  <c r="LJ9" i="20"/>
  <c r="LK9" i="20"/>
  <c r="LL9" i="20"/>
  <c r="LM9" i="20"/>
  <c r="LN9" i="20"/>
  <c r="LO9" i="20"/>
  <c r="LP9" i="20"/>
  <c r="LQ9" i="20"/>
  <c r="LR9" i="20"/>
  <c r="LS9" i="20"/>
  <c r="ME9" i="20"/>
  <c r="MF9" i="20"/>
  <c r="MG9" i="20"/>
  <c r="MH9" i="20"/>
  <c r="MI9" i="20"/>
  <c r="MJ9" i="20"/>
  <c r="MK9" i="20"/>
  <c r="ML9" i="20"/>
  <c r="MM9" i="20"/>
  <c r="MN9" i="20"/>
  <c r="MO9" i="20"/>
  <c r="NA9" i="20"/>
  <c r="NB9" i="20"/>
  <c r="NC9" i="20"/>
  <c r="ND9" i="20"/>
  <c r="NE9" i="20"/>
  <c r="NF9" i="20"/>
  <c r="NG9" i="20"/>
  <c r="NH9" i="20"/>
  <c r="NI9" i="20"/>
  <c r="NJ9" i="20"/>
  <c r="NK9" i="20"/>
  <c r="NL9" i="20"/>
  <c r="AON9" i="20" s="1"/>
  <c r="BPP9" i="20" s="1"/>
  <c r="CQR9" i="20" s="1"/>
  <c r="NM9" i="20"/>
  <c r="AOO9" i="20" s="1"/>
  <c r="BPQ9" i="20" s="1"/>
  <c r="CQS9" i="20" s="1"/>
  <c r="NS9" i="20"/>
  <c r="AOU9" i="20" s="1"/>
  <c r="BPW9" i="20" s="1"/>
  <c r="CQY9" i="20" s="1"/>
  <c r="NT9" i="20"/>
  <c r="AOV9" i="20" s="1"/>
  <c r="BPX9" i="20" s="1"/>
  <c r="CQZ9" i="20" s="1"/>
  <c r="NU9" i="20"/>
  <c r="AOW9" i="20" s="1"/>
  <c r="BPY9" i="20" s="1"/>
  <c r="CRA9" i="20" s="1"/>
  <c r="NV9" i="20"/>
  <c r="AOX9" i="20" s="1"/>
  <c r="BPZ9" i="20" s="1"/>
  <c r="CRB9" i="20" s="1"/>
  <c r="NW9" i="20"/>
  <c r="NX9" i="20"/>
  <c r="NY9" i="20"/>
  <c r="NZ9" i="20"/>
  <c r="OA9" i="20"/>
  <c r="OB9" i="20"/>
  <c r="OC9" i="20"/>
  <c r="OD9" i="20"/>
  <c r="OE9" i="20"/>
  <c r="OF9" i="20"/>
  <c r="OG9" i="20"/>
  <c r="OH9" i="20"/>
  <c r="APJ9" i="20" s="1"/>
  <c r="BQL9" i="20" s="1"/>
  <c r="CRN9" i="20" s="1"/>
  <c r="OK9" i="20"/>
  <c r="APM9" i="20" s="1"/>
  <c r="BQO9" i="20" s="1"/>
  <c r="CRQ9" i="20" s="1"/>
  <c r="OL9" i="20"/>
  <c r="APN9" i="20" s="1"/>
  <c r="BQP9" i="20" s="1"/>
  <c r="CRR9" i="20" s="1"/>
  <c r="OM9" i="20"/>
  <c r="APO9" i="20" s="1"/>
  <c r="BQQ9" i="20" s="1"/>
  <c r="CRS9" i="20" s="1"/>
  <c r="ON9" i="20"/>
  <c r="APP9" i="20" s="1"/>
  <c r="BQR9" i="20" s="1"/>
  <c r="CRT9" i="20" s="1"/>
  <c r="OQ9" i="20"/>
  <c r="APS9" i="20" s="1"/>
  <c r="BQU9" i="20" s="1"/>
  <c r="CRW9" i="20" s="1"/>
  <c r="OR9" i="20"/>
  <c r="APT9" i="20" s="1"/>
  <c r="BQV9" i="20" s="1"/>
  <c r="CRX9" i="20" s="1"/>
  <c r="OS9" i="20"/>
  <c r="OT9" i="20"/>
  <c r="OU9" i="20"/>
  <c r="OV9" i="20"/>
  <c r="OW9" i="20"/>
  <c r="OX9" i="20"/>
  <c r="OY9" i="20"/>
  <c r="OZ9" i="20"/>
  <c r="PA9" i="20"/>
  <c r="PB9" i="20"/>
  <c r="PC9" i="20"/>
  <c r="PD9" i="20"/>
  <c r="AQF9" i="20" s="1"/>
  <c r="BRH9" i="20" s="1"/>
  <c r="CSJ9" i="20" s="1"/>
  <c r="PE9" i="20"/>
  <c r="AQG9" i="20" s="1"/>
  <c r="BRI9" i="20" s="1"/>
  <c r="CSK9" i="20" s="1"/>
  <c r="PL9" i="20"/>
  <c r="AQN9" i="20" s="1"/>
  <c r="BRP9" i="20" s="1"/>
  <c r="CSR9" i="20" s="1"/>
  <c r="PM9" i="20"/>
  <c r="AQO9" i="20" s="1"/>
  <c r="BRQ9" i="20" s="1"/>
  <c r="CSS9" i="20" s="1"/>
  <c r="PN9" i="20"/>
  <c r="AQP9" i="20" s="1"/>
  <c r="BRR9" i="20" s="1"/>
  <c r="CST9" i="20" s="1"/>
  <c r="PO9" i="20"/>
  <c r="PP9" i="20"/>
  <c r="PQ9" i="20"/>
  <c r="PR9" i="20"/>
  <c r="PS9" i="20"/>
  <c r="PT9" i="20"/>
  <c r="PU9" i="20"/>
  <c r="PV9" i="20"/>
  <c r="PW9" i="20"/>
  <c r="PX9" i="20"/>
  <c r="PY9" i="20"/>
  <c r="PZ9" i="20"/>
  <c r="ARB9" i="20" s="1"/>
  <c r="BSD9" i="20" s="1"/>
  <c r="CTF9" i="20" s="1"/>
  <c r="QC9" i="20"/>
  <c r="ARE9" i="20" s="1"/>
  <c r="BSG9" i="20" s="1"/>
  <c r="CTI9" i="20" s="1"/>
  <c r="QD9" i="20"/>
  <c r="ARF9" i="20" s="1"/>
  <c r="BSH9" i="20" s="1"/>
  <c r="CTJ9" i="20" s="1"/>
  <c r="QE9" i="20"/>
  <c r="ARG9" i="20" s="1"/>
  <c r="BSI9" i="20" s="1"/>
  <c r="CTK9" i="20" s="1"/>
  <c r="QF9" i="20"/>
  <c r="ARH9" i="20" s="1"/>
  <c r="BSJ9" i="20" s="1"/>
  <c r="CTL9" i="20" s="1"/>
  <c r="QJ9" i="20"/>
  <c r="ARL9" i="20" s="1"/>
  <c r="BSN9" i="20" s="1"/>
  <c r="CTP9" i="20" s="1"/>
  <c r="QK9" i="20"/>
  <c r="QL9" i="20"/>
  <c r="QM9" i="20"/>
  <c r="QN9" i="20"/>
  <c r="QO9" i="20"/>
  <c r="QP9" i="20"/>
  <c r="QQ9" i="20"/>
  <c r="QR9" i="20"/>
  <c r="QS9" i="20"/>
  <c r="QT9" i="20"/>
  <c r="QU9" i="20"/>
  <c r="QV9" i="20"/>
  <c r="ARX9" i="20" s="1"/>
  <c r="BSZ9" i="20" s="1"/>
  <c r="CUB9" i="20" s="1"/>
  <c r="QW9" i="20"/>
  <c r="ARY9" i="20" s="1"/>
  <c r="BTA9" i="20" s="1"/>
  <c r="CUC9" i="20" s="1"/>
  <c r="QZ9" i="20"/>
  <c r="ASB9" i="20" s="1"/>
  <c r="BTD9" i="20" s="1"/>
  <c r="CUF9" i="20" s="1"/>
  <c r="RD9" i="20"/>
  <c r="ASF9" i="20" s="1"/>
  <c r="BTH9" i="20" s="1"/>
  <c r="CUJ9" i="20" s="1"/>
  <c r="RE9" i="20"/>
  <c r="ASG9" i="20" s="1"/>
  <c r="BTI9" i="20" s="1"/>
  <c r="CUK9" i="20" s="1"/>
  <c r="RF9" i="20"/>
  <c r="ASH9" i="20" s="1"/>
  <c r="BTJ9" i="20" s="1"/>
  <c r="CUL9" i="20" s="1"/>
  <c r="RG9" i="20"/>
  <c r="RH9" i="20"/>
  <c r="RI9" i="20"/>
  <c r="RJ9" i="20"/>
  <c r="RK9" i="20"/>
  <c r="RL9" i="20"/>
  <c r="RM9" i="20"/>
  <c r="RN9" i="20"/>
  <c r="RO9" i="20"/>
  <c r="RP9" i="20"/>
  <c r="RQ9" i="20"/>
  <c r="RR9" i="20"/>
  <c r="AST9" i="20" s="1"/>
  <c r="BTV9" i="20" s="1"/>
  <c r="CUX9" i="20" s="1"/>
  <c r="RU9" i="20"/>
  <c r="ASW9" i="20" s="1"/>
  <c r="BTY9" i="20" s="1"/>
  <c r="CVA9" i="20" s="1"/>
  <c r="RV9" i="20"/>
  <c r="ASX9" i="20" s="1"/>
  <c r="BTZ9" i="20" s="1"/>
  <c r="CVB9" i="20" s="1"/>
  <c r="RW9" i="20"/>
  <c r="ASY9" i="20" s="1"/>
  <c r="BUA9" i="20" s="1"/>
  <c r="CVC9" i="20" s="1"/>
  <c r="RX9" i="20"/>
  <c r="ASZ9" i="20" s="1"/>
  <c r="BUB9" i="20" s="1"/>
  <c r="CVD9" i="20" s="1"/>
  <c r="SB9" i="20"/>
  <c r="ATD9" i="20" s="1"/>
  <c r="BUF9" i="20" s="1"/>
  <c r="CVH9" i="20" s="1"/>
  <c r="SC9" i="20"/>
  <c r="SD9" i="20"/>
  <c r="SE9" i="20"/>
  <c r="SF9" i="20"/>
  <c r="SG9" i="20"/>
  <c r="SH9" i="20"/>
  <c r="SI9" i="20"/>
  <c r="SJ9" i="20"/>
  <c r="SK9" i="20"/>
  <c r="SL9" i="20"/>
  <c r="SM9" i="20"/>
  <c r="SN9" i="20"/>
  <c r="ATP9" i="20" s="1"/>
  <c r="BUR9" i="20" s="1"/>
  <c r="CVT9" i="20" s="1"/>
  <c r="SO9" i="20"/>
  <c r="ATQ9" i="20" s="1"/>
  <c r="BUS9" i="20" s="1"/>
  <c r="CVU9" i="20" s="1"/>
  <c r="SU9" i="20"/>
  <c r="ATW9" i="20" s="1"/>
  <c r="BUY9" i="20" s="1"/>
  <c r="CWA9" i="20" s="1"/>
  <c r="SV9" i="20"/>
  <c r="ATX9" i="20" s="1"/>
  <c r="BUZ9" i="20" s="1"/>
  <c r="CWB9" i="20" s="1"/>
  <c r="SW9" i="20"/>
  <c r="ATY9" i="20" s="1"/>
  <c r="BVA9" i="20" s="1"/>
  <c r="CWC9" i="20" s="1"/>
  <c r="SX9" i="20"/>
  <c r="ATZ9" i="20" s="1"/>
  <c r="BVB9" i="20" s="1"/>
  <c r="CWD9" i="20" s="1"/>
  <c r="SY9" i="20"/>
  <c r="SZ9" i="20"/>
  <c r="TA9" i="20"/>
  <c r="TB9" i="20"/>
  <c r="TC9" i="20"/>
  <c r="TD9" i="20"/>
  <c r="TE9" i="20"/>
  <c r="TF9" i="20"/>
  <c r="TG9" i="20"/>
  <c r="TH9" i="20"/>
  <c r="TI9" i="20"/>
  <c r="TM9" i="20"/>
  <c r="AUO9" i="20" s="1"/>
  <c r="BVQ9" i="20" s="1"/>
  <c r="CWS9" i="20" s="1"/>
  <c r="TN9" i="20"/>
  <c r="AUP9" i="20" s="1"/>
  <c r="BVR9" i="20" s="1"/>
  <c r="CWT9" i="20" s="1"/>
  <c r="TO9" i="20"/>
  <c r="AUQ9" i="20" s="1"/>
  <c r="BVS9" i="20" s="1"/>
  <c r="CWU9" i="20" s="1"/>
  <c r="TP9" i="20"/>
  <c r="AUR9" i="20" s="1"/>
  <c r="BVT9" i="20" s="1"/>
  <c r="CWV9" i="20" s="1"/>
  <c r="TT9" i="20"/>
  <c r="AUV9" i="20" s="1"/>
  <c r="BVX9" i="20" s="1"/>
  <c r="CWZ9" i="20" s="1"/>
  <c r="TU9" i="20"/>
  <c r="TV9" i="20"/>
  <c r="TW9" i="20"/>
  <c r="TX9" i="20"/>
  <c r="TY9" i="20"/>
  <c r="TZ9" i="20"/>
  <c r="UA9" i="20"/>
  <c r="UB9" i="20"/>
  <c r="UC9" i="20"/>
  <c r="UD9" i="20"/>
  <c r="UE9" i="20"/>
  <c r="UF9" i="20"/>
  <c r="AVH9" i="20" s="1"/>
  <c r="BWJ9" i="20" s="1"/>
  <c r="CXL9" i="20" s="1"/>
  <c r="UG9" i="20"/>
  <c r="AVI9" i="20" s="1"/>
  <c r="BWK9" i="20" s="1"/>
  <c r="CXM9" i="20" s="1"/>
  <c r="UJ9" i="20"/>
  <c r="AVL9" i="20" s="1"/>
  <c r="BWN9" i="20" s="1"/>
  <c r="CXP9" i="20" s="1"/>
  <c r="UK9" i="20"/>
  <c r="AVM9" i="20" s="1"/>
  <c r="BWO9" i="20" s="1"/>
  <c r="CXQ9" i="20" s="1"/>
  <c r="UM9" i="20"/>
  <c r="AVO9" i="20" s="1"/>
  <c r="BWQ9" i="20" s="1"/>
  <c r="CXS9" i="20" s="1"/>
  <c r="UN9" i="20"/>
  <c r="AVP9" i="20" s="1"/>
  <c r="BWR9" i="20" s="1"/>
  <c r="CXT9" i="20" s="1"/>
  <c r="UO9" i="20"/>
  <c r="AVQ9" i="20" s="1"/>
  <c r="BWS9" i="20" s="1"/>
  <c r="CXU9" i="20" s="1"/>
  <c r="UP9" i="20"/>
  <c r="AVR9" i="20" s="1"/>
  <c r="BWT9" i="20" s="1"/>
  <c r="CXV9" i="20" s="1"/>
  <c r="UQ9" i="20"/>
  <c r="UR9" i="20"/>
  <c r="US9" i="20"/>
  <c r="UT9" i="20"/>
  <c r="UU9" i="20"/>
  <c r="UV9" i="20"/>
  <c r="UW9" i="20"/>
  <c r="UX9" i="20"/>
  <c r="UY9" i="20"/>
  <c r="UZ9" i="20"/>
  <c r="VA9" i="20"/>
  <c r="VB9" i="20"/>
  <c r="AWD9" i="20" s="1"/>
  <c r="BXF9" i="20" s="1"/>
  <c r="CYH9" i="20" s="1"/>
  <c r="VE9" i="20"/>
  <c r="AWG9" i="20" s="1"/>
  <c r="BXI9" i="20" s="1"/>
  <c r="CYK9" i="20" s="1"/>
  <c r="VF9" i="20"/>
  <c r="AWH9" i="20" s="1"/>
  <c r="BXJ9" i="20" s="1"/>
  <c r="CYL9" i="20" s="1"/>
  <c r="VG9" i="20"/>
  <c r="AWI9" i="20" s="1"/>
  <c r="BXK9" i="20" s="1"/>
  <c r="CYM9" i="20" s="1"/>
  <c r="VH9" i="20"/>
  <c r="AWJ9" i="20" s="1"/>
  <c r="BXL9" i="20" s="1"/>
  <c r="CYN9" i="20" s="1"/>
  <c r="VL9" i="20"/>
  <c r="AWN9" i="20" s="1"/>
  <c r="BXP9" i="20" s="1"/>
  <c r="CYR9" i="20" s="1"/>
  <c r="VM9" i="20"/>
  <c r="VN9" i="20"/>
  <c r="VO9" i="20"/>
  <c r="VP9" i="20"/>
  <c r="VQ9" i="20"/>
  <c r="VR9" i="20"/>
  <c r="VS9" i="20"/>
  <c r="VT9" i="20"/>
  <c r="VU9" i="20"/>
  <c r="VV9" i="20"/>
  <c r="VW9" i="20"/>
  <c r="VX9" i="20"/>
  <c r="AWZ9" i="20" s="1"/>
  <c r="BYB9" i="20" s="1"/>
  <c r="CZD9" i="20" s="1"/>
  <c r="VY9" i="20"/>
  <c r="AXA9" i="20" s="1"/>
  <c r="BYC9" i="20" s="1"/>
  <c r="CZE9" i="20" s="1"/>
  <c r="WC9" i="20"/>
  <c r="AXE9" i="20" s="1"/>
  <c r="BYG9" i="20" s="1"/>
  <c r="CZI9" i="20" s="1"/>
  <c r="WF9" i="20"/>
  <c r="AXH9" i="20" s="1"/>
  <c r="BYJ9" i="20" s="1"/>
  <c r="CZL9" i="20" s="1"/>
  <c r="WG9" i="20"/>
  <c r="AXI9" i="20" s="1"/>
  <c r="BYK9" i="20" s="1"/>
  <c r="CZM9" i="20" s="1"/>
  <c r="WH9" i="20"/>
  <c r="AXJ9" i="20" s="1"/>
  <c r="BYL9" i="20" s="1"/>
  <c r="CZN9" i="20" s="1"/>
  <c r="WI9" i="20"/>
  <c r="WJ9" i="20"/>
  <c r="WK9" i="20"/>
  <c r="WL9" i="20"/>
  <c r="WM9" i="20"/>
  <c r="WN9" i="20"/>
  <c r="WO9" i="20"/>
  <c r="WP9" i="20"/>
  <c r="WQ9" i="20"/>
  <c r="WR9" i="20"/>
  <c r="WS9" i="20"/>
  <c r="WT9" i="20"/>
  <c r="AXV9" i="20" s="1"/>
  <c r="BYX9" i="20" s="1"/>
  <c r="CZZ9" i="20" s="1"/>
  <c r="WW9" i="20"/>
  <c r="AXY9" i="20" s="1"/>
  <c r="BZA9" i="20" s="1"/>
  <c r="DAC9" i="20" s="1"/>
  <c r="WX9" i="20"/>
  <c r="AXZ9" i="20" s="1"/>
  <c r="BZB9" i="20" s="1"/>
  <c r="DAD9" i="20" s="1"/>
  <c r="WY9" i="20"/>
  <c r="AYA9" i="20" s="1"/>
  <c r="BZC9" i="20" s="1"/>
  <c r="DAE9" i="20" s="1"/>
  <c r="WZ9" i="20"/>
  <c r="AYB9" i="20" s="1"/>
  <c r="BZD9" i="20" s="1"/>
  <c r="DAF9" i="20" s="1"/>
  <c r="XA9" i="20"/>
  <c r="AYC9" i="20" s="1"/>
  <c r="BZE9" i="20" s="1"/>
  <c r="DAG9" i="20" s="1"/>
  <c r="XD9" i="20"/>
  <c r="AYF9" i="20" s="1"/>
  <c r="BZH9" i="20" s="1"/>
  <c r="DAJ9" i="20" s="1"/>
  <c r="XE9" i="20"/>
  <c r="XF9" i="20"/>
  <c r="XG9" i="20"/>
  <c r="XH9" i="20"/>
  <c r="XI9" i="20"/>
  <c r="XJ9" i="20"/>
  <c r="XK9" i="20"/>
  <c r="XL9" i="20"/>
  <c r="XM9" i="20"/>
  <c r="XN9" i="20"/>
  <c r="XO9" i="20"/>
  <c r="XQ9" i="20"/>
  <c r="AYS9" i="20" s="1"/>
  <c r="BZU9" i="20" s="1"/>
  <c r="DAW9" i="20" s="1"/>
  <c r="XX9" i="20"/>
  <c r="AYZ9" i="20" s="1"/>
  <c r="CAB9" i="20" s="1"/>
  <c r="DBD9" i="20" s="1"/>
  <c r="XY9" i="20"/>
  <c r="AZA9" i="20" s="1"/>
  <c r="CAC9" i="20" s="1"/>
  <c r="DBE9" i="20" s="1"/>
  <c r="XZ9" i="20"/>
  <c r="AZB9" i="20" s="1"/>
  <c r="CAD9" i="20" s="1"/>
  <c r="DBF9" i="20" s="1"/>
  <c r="YA9" i="20"/>
  <c r="YB9" i="20"/>
  <c r="YC9" i="20"/>
  <c r="YD9" i="20"/>
  <c r="YE9" i="20"/>
  <c r="YF9" i="20"/>
  <c r="YG9" i="20"/>
  <c r="YH9" i="20"/>
  <c r="YI9" i="20"/>
  <c r="YJ9" i="20"/>
  <c r="YK9" i="20"/>
  <c r="YL9" i="20"/>
  <c r="AZN9" i="20" s="1"/>
  <c r="CAP9" i="20" s="1"/>
  <c r="DBR9" i="20" s="1"/>
  <c r="YO9" i="20"/>
  <c r="AZQ9" i="20" s="1"/>
  <c r="CAS9" i="20" s="1"/>
  <c r="DBU9" i="20" s="1"/>
  <c r="YP9" i="20"/>
  <c r="AZR9" i="20" s="1"/>
  <c r="CAT9" i="20" s="1"/>
  <c r="DBV9" i="20" s="1"/>
  <c r="YQ9" i="20"/>
  <c r="AZS9" i="20" s="1"/>
  <c r="CAU9" i="20" s="1"/>
  <c r="DBW9" i="20" s="1"/>
  <c r="YR9" i="20"/>
  <c r="AZT9" i="20" s="1"/>
  <c r="CAV9" i="20" s="1"/>
  <c r="DBX9" i="20" s="1"/>
  <c r="YV9" i="20"/>
  <c r="AZX9" i="20" s="1"/>
  <c r="CAZ9" i="20" s="1"/>
  <c r="DCB9" i="20" s="1"/>
  <c r="YW9" i="20"/>
  <c r="YX9" i="20"/>
  <c r="YY9" i="20"/>
  <c r="YZ9" i="20"/>
  <c r="ZA9" i="20"/>
  <c r="ZB9" i="20"/>
  <c r="ZC9" i="20"/>
  <c r="ZD9" i="20"/>
  <c r="ZE9" i="20"/>
  <c r="ZF9" i="20"/>
  <c r="ZG9" i="20"/>
  <c r="ZH9" i="20"/>
  <c r="BAJ9" i="20" s="1"/>
  <c r="CBL9" i="20" s="1"/>
  <c r="DCN9" i="20" s="1"/>
  <c r="ZI9" i="20"/>
  <c r="BAK9" i="20" s="1"/>
  <c r="CBM9" i="20" s="1"/>
  <c r="DCO9" i="20" s="1"/>
  <c r="ZM9" i="20"/>
  <c r="BAO9" i="20" s="1"/>
  <c r="CBQ9" i="20" s="1"/>
  <c r="DCS9" i="20" s="1"/>
  <c r="ZO9" i="20"/>
  <c r="BAQ9" i="20" s="1"/>
  <c r="CBS9" i="20" s="1"/>
  <c r="DCU9" i="20" s="1"/>
  <c r="ZP9" i="20"/>
  <c r="BAR9" i="20" s="1"/>
  <c r="CBT9" i="20" s="1"/>
  <c r="DCV9" i="20" s="1"/>
  <c r="ZQ9" i="20"/>
  <c r="BAS9" i="20" s="1"/>
  <c r="CBU9" i="20" s="1"/>
  <c r="DCW9" i="20" s="1"/>
  <c r="ZR9" i="20"/>
  <c r="BAT9" i="20" s="1"/>
  <c r="CBV9" i="20" s="1"/>
  <c r="DCX9" i="20" s="1"/>
  <c r="ZS9" i="20"/>
  <c r="ZT9" i="20"/>
  <c r="ZU9" i="20"/>
  <c r="ZV9" i="20"/>
  <c r="ZW9" i="20"/>
  <c r="ZX9" i="20"/>
  <c r="ZY9" i="20"/>
  <c r="ZZ9" i="20"/>
  <c r="AAA9" i="20"/>
  <c r="AAB9" i="20"/>
  <c r="AAC9" i="20"/>
  <c r="M10" i="20"/>
  <c r="N10" i="20"/>
  <c r="O10" i="20"/>
  <c r="P10" i="20"/>
  <c r="Q10" i="20"/>
  <c r="R10" i="20"/>
  <c r="S10" i="20"/>
  <c r="T10" i="20"/>
  <c r="U10" i="20"/>
  <c r="V10" i="20"/>
  <c r="W10" i="20"/>
  <c r="AI10" i="20"/>
  <c r="AJ10" i="20"/>
  <c r="AK10" i="20"/>
  <c r="AL10" i="20"/>
  <c r="AM10" i="20"/>
  <c r="AN10" i="20"/>
  <c r="AO10" i="20"/>
  <c r="AP10" i="20"/>
  <c r="AQ10" i="20"/>
  <c r="AR10" i="20"/>
  <c r="AS10" i="20"/>
  <c r="BE10" i="20"/>
  <c r="BF10" i="20"/>
  <c r="BG10" i="20"/>
  <c r="BH10" i="20"/>
  <c r="BI10" i="20"/>
  <c r="BJ10" i="20"/>
  <c r="BK10" i="20"/>
  <c r="BL10" i="20"/>
  <c r="BM10" i="20"/>
  <c r="BN10" i="20"/>
  <c r="BO10" i="20"/>
  <c r="CA10" i="20"/>
  <c r="CB10" i="20"/>
  <c r="CC10" i="20"/>
  <c r="CD10" i="20"/>
  <c r="CE10" i="20"/>
  <c r="CF10" i="20"/>
  <c r="CG10" i="20"/>
  <c r="CH10" i="20"/>
  <c r="CI10" i="20"/>
  <c r="CJ10" i="20"/>
  <c r="CK10" i="20"/>
  <c r="CW10" i="20"/>
  <c r="CX10" i="20"/>
  <c r="CY10" i="20"/>
  <c r="CZ10" i="20"/>
  <c r="DA10" i="20"/>
  <c r="DB10" i="20"/>
  <c r="DC10" i="20"/>
  <c r="DD10" i="20"/>
  <c r="DE10" i="20"/>
  <c r="DF10" i="20"/>
  <c r="DG10" i="20"/>
  <c r="DS10" i="20"/>
  <c r="DT10" i="20"/>
  <c r="DU10" i="20"/>
  <c r="DV10" i="20"/>
  <c r="DW10" i="20"/>
  <c r="DX10" i="20"/>
  <c r="DY10" i="20"/>
  <c r="DZ10" i="20"/>
  <c r="EA10" i="20"/>
  <c r="EB10" i="20"/>
  <c r="EC10" i="20"/>
  <c r="EO10" i="20"/>
  <c r="EP10" i="20"/>
  <c r="EQ10" i="20"/>
  <c r="ER10" i="20"/>
  <c r="ES10" i="20"/>
  <c r="ET10" i="20"/>
  <c r="EU10" i="20"/>
  <c r="EV10" i="20"/>
  <c r="EW10" i="20"/>
  <c r="EX10" i="20"/>
  <c r="EY10" i="20"/>
  <c r="FK10" i="20"/>
  <c r="FL10" i="20"/>
  <c r="FM10" i="20"/>
  <c r="FN10" i="20"/>
  <c r="FO10" i="20"/>
  <c r="FP10" i="20"/>
  <c r="FQ10" i="20"/>
  <c r="FR10" i="20"/>
  <c r="FS10" i="20"/>
  <c r="FT10" i="20"/>
  <c r="FU10" i="20"/>
  <c r="GG10" i="20"/>
  <c r="GH10" i="20"/>
  <c r="GI10" i="20"/>
  <c r="GJ10" i="20"/>
  <c r="GK10" i="20"/>
  <c r="GL10" i="20"/>
  <c r="GM10" i="20"/>
  <c r="GN10" i="20"/>
  <c r="GO10" i="20"/>
  <c r="GP10" i="20"/>
  <c r="GQ10" i="20"/>
  <c r="HC10" i="20"/>
  <c r="HD10" i="20"/>
  <c r="HE10" i="20"/>
  <c r="HF10" i="20"/>
  <c r="HG10" i="20"/>
  <c r="HH10" i="20"/>
  <c r="HI10" i="20"/>
  <c r="HJ10" i="20"/>
  <c r="HK10" i="20"/>
  <c r="HL10" i="20"/>
  <c r="HM10" i="20"/>
  <c r="HY10" i="20"/>
  <c r="HZ10" i="20"/>
  <c r="IA10" i="20"/>
  <c r="IB10" i="20"/>
  <c r="IC10" i="20"/>
  <c r="ID10" i="20"/>
  <c r="IE10" i="20"/>
  <c r="IF10" i="20"/>
  <c r="IG10" i="20"/>
  <c r="IH10" i="20"/>
  <c r="II10" i="20"/>
  <c r="IU10" i="20"/>
  <c r="IV10" i="20"/>
  <c r="IW10" i="20"/>
  <c r="IX10" i="20"/>
  <c r="IY10" i="20"/>
  <c r="IZ10" i="20"/>
  <c r="JA10" i="20"/>
  <c r="JB10" i="20"/>
  <c r="JC10" i="20"/>
  <c r="JD10" i="20"/>
  <c r="JE10" i="20"/>
  <c r="JQ10" i="20"/>
  <c r="JR10" i="20"/>
  <c r="JS10" i="20"/>
  <c r="JT10" i="20"/>
  <c r="JU10" i="20"/>
  <c r="JV10" i="20"/>
  <c r="JW10" i="20"/>
  <c r="JX10" i="20"/>
  <c r="JY10" i="20"/>
  <c r="JZ10" i="20"/>
  <c r="KA10" i="20"/>
  <c r="KM10" i="20"/>
  <c r="KN10" i="20"/>
  <c r="KO10" i="20"/>
  <c r="KP10" i="20"/>
  <c r="KQ10" i="20"/>
  <c r="KR10" i="20"/>
  <c r="KS10" i="20"/>
  <c r="KT10" i="20"/>
  <c r="KU10" i="20"/>
  <c r="KV10" i="20"/>
  <c r="KW10" i="20"/>
  <c r="LI10" i="20"/>
  <c r="LJ10" i="20"/>
  <c r="LK10" i="20"/>
  <c r="LL10" i="20"/>
  <c r="LM10" i="20"/>
  <c r="LN10" i="20"/>
  <c r="LO10" i="20"/>
  <c r="LP10" i="20"/>
  <c r="LQ10" i="20"/>
  <c r="LR10" i="20"/>
  <c r="LS10" i="20"/>
  <c r="ME10" i="20"/>
  <c r="MF10" i="20"/>
  <c r="MG10" i="20"/>
  <c r="MH10" i="20"/>
  <c r="MI10" i="20"/>
  <c r="MJ10" i="20"/>
  <c r="MK10" i="20"/>
  <c r="ML10" i="20"/>
  <c r="MM10" i="20"/>
  <c r="MN10" i="20"/>
  <c r="MO10" i="20"/>
  <c r="NA10" i="20"/>
  <c r="NB10" i="20"/>
  <c r="NC10" i="20"/>
  <c r="ND10" i="20"/>
  <c r="NE10" i="20"/>
  <c r="NF10" i="20"/>
  <c r="NG10" i="20"/>
  <c r="NH10" i="20"/>
  <c r="NI10" i="20"/>
  <c r="NJ10" i="20"/>
  <c r="NK10" i="20"/>
  <c r="NL10" i="20"/>
  <c r="AON10" i="20" s="1"/>
  <c r="BPP10" i="20" s="1"/>
  <c r="CQR10" i="20" s="1"/>
  <c r="NM10" i="20"/>
  <c r="AOO10" i="20" s="1"/>
  <c r="BPQ10" i="20" s="1"/>
  <c r="CQS10" i="20" s="1"/>
  <c r="NU10" i="20"/>
  <c r="AOW10" i="20" s="1"/>
  <c r="BPY10" i="20" s="1"/>
  <c r="CRA10" i="20" s="1"/>
  <c r="NV10" i="20"/>
  <c r="AOX10" i="20" s="1"/>
  <c r="BPZ10" i="20" s="1"/>
  <c r="CRB10" i="20" s="1"/>
  <c r="NW10" i="20"/>
  <c r="NX10" i="20"/>
  <c r="NY10" i="20"/>
  <c r="NZ10" i="20"/>
  <c r="OA10" i="20"/>
  <c r="OB10" i="20"/>
  <c r="OC10" i="20"/>
  <c r="OD10" i="20"/>
  <c r="OE10" i="20"/>
  <c r="OF10" i="20"/>
  <c r="OG10" i="20"/>
  <c r="OH10" i="20"/>
  <c r="APJ10" i="20" s="1"/>
  <c r="BQL10" i="20" s="1"/>
  <c r="CRN10" i="20" s="1"/>
  <c r="OI10" i="20"/>
  <c r="APK10" i="20" s="1"/>
  <c r="BQM10" i="20" s="1"/>
  <c r="CRO10" i="20" s="1"/>
  <c r="OJ10" i="20"/>
  <c r="APL10" i="20" s="1"/>
  <c r="BQN10" i="20" s="1"/>
  <c r="CRP10" i="20" s="1"/>
  <c r="OQ10" i="20"/>
  <c r="APS10" i="20" s="1"/>
  <c r="BQU10" i="20" s="1"/>
  <c r="CRW10" i="20" s="1"/>
  <c r="OR10" i="20"/>
  <c r="APT10" i="20" s="1"/>
  <c r="BQV10" i="20" s="1"/>
  <c r="CRX10" i="20" s="1"/>
  <c r="OS10" i="20"/>
  <c r="OT10" i="20"/>
  <c r="OU10" i="20"/>
  <c r="OV10" i="20"/>
  <c r="OW10" i="20"/>
  <c r="OX10" i="20"/>
  <c r="OY10" i="20"/>
  <c r="OZ10" i="20"/>
  <c r="PA10" i="20"/>
  <c r="PB10" i="20"/>
  <c r="PC10" i="20"/>
  <c r="PE10" i="20"/>
  <c r="AQG10" i="20" s="1"/>
  <c r="BRI10" i="20" s="1"/>
  <c r="CSK10" i="20" s="1"/>
  <c r="PM10" i="20"/>
  <c r="AQO10" i="20" s="1"/>
  <c r="BRQ10" i="20" s="1"/>
  <c r="CSS10" i="20" s="1"/>
  <c r="PN10" i="20"/>
  <c r="AQP10" i="20" s="1"/>
  <c r="BRR10" i="20" s="1"/>
  <c r="CST10" i="20" s="1"/>
  <c r="PO10" i="20"/>
  <c r="PP10" i="20"/>
  <c r="PQ10" i="20"/>
  <c r="PR10" i="20"/>
  <c r="PS10" i="20"/>
  <c r="PT10" i="20"/>
  <c r="PU10" i="20"/>
  <c r="PV10" i="20"/>
  <c r="PW10" i="20"/>
  <c r="PX10" i="20"/>
  <c r="PY10" i="20"/>
  <c r="PZ10" i="20"/>
  <c r="ARB10" i="20" s="1"/>
  <c r="BSD10" i="20" s="1"/>
  <c r="CTF10" i="20" s="1"/>
  <c r="QA10" i="20"/>
  <c r="ARC10" i="20" s="1"/>
  <c r="BSE10" i="20" s="1"/>
  <c r="CTG10" i="20" s="1"/>
  <c r="QI10" i="20"/>
  <c r="ARK10" i="20" s="1"/>
  <c r="BSM10" i="20" s="1"/>
  <c r="CTO10" i="20" s="1"/>
  <c r="QK10" i="20"/>
  <c r="QL10" i="20"/>
  <c r="QM10" i="20"/>
  <c r="QN10" i="20"/>
  <c r="QO10" i="20"/>
  <c r="QP10" i="20"/>
  <c r="QQ10" i="20"/>
  <c r="QR10" i="20"/>
  <c r="QS10" i="20"/>
  <c r="QT10" i="20"/>
  <c r="QU10" i="20"/>
  <c r="QV10" i="20"/>
  <c r="ARX10" i="20" s="1"/>
  <c r="BSZ10" i="20" s="1"/>
  <c r="CUB10" i="20" s="1"/>
  <c r="QW10" i="20"/>
  <c r="ARY10" i="20" s="1"/>
  <c r="BTA10" i="20" s="1"/>
  <c r="CUC10" i="20" s="1"/>
  <c r="RE10" i="20"/>
  <c r="ASG10" i="20" s="1"/>
  <c r="BTI10" i="20" s="1"/>
  <c r="CUK10" i="20" s="1"/>
  <c r="RF10" i="20"/>
  <c r="ASH10" i="20" s="1"/>
  <c r="BTJ10" i="20" s="1"/>
  <c r="CUL10" i="20" s="1"/>
  <c r="RG10" i="20"/>
  <c r="RH10" i="20"/>
  <c r="RI10" i="20"/>
  <c r="RJ10" i="20"/>
  <c r="RK10" i="20"/>
  <c r="RL10" i="20"/>
  <c r="RM10" i="20"/>
  <c r="RN10" i="20"/>
  <c r="RO10" i="20"/>
  <c r="RP10" i="20"/>
  <c r="RQ10" i="20"/>
  <c r="RR10" i="20"/>
  <c r="AST10" i="20" s="1"/>
  <c r="BTV10" i="20" s="1"/>
  <c r="CUX10" i="20" s="1"/>
  <c r="RS10" i="20"/>
  <c r="ASU10" i="20" s="1"/>
  <c r="BTW10" i="20" s="1"/>
  <c r="CUY10" i="20" s="1"/>
  <c r="RT10" i="20"/>
  <c r="ASV10" i="20" s="1"/>
  <c r="BTX10" i="20" s="1"/>
  <c r="CUZ10" i="20" s="1"/>
  <c r="SA10" i="20"/>
  <c r="ATC10" i="20" s="1"/>
  <c r="BUE10" i="20" s="1"/>
  <c r="CVG10" i="20" s="1"/>
  <c r="SC10" i="20"/>
  <c r="SD10" i="20"/>
  <c r="SE10" i="20"/>
  <c r="SF10" i="20"/>
  <c r="SG10" i="20"/>
  <c r="SH10" i="20"/>
  <c r="SI10" i="20"/>
  <c r="SJ10" i="20"/>
  <c r="SK10" i="20"/>
  <c r="SL10" i="20"/>
  <c r="SM10" i="20"/>
  <c r="SO10" i="20"/>
  <c r="ATQ10" i="20" s="1"/>
  <c r="BUS10" i="20" s="1"/>
  <c r="CVU10" i="20" s="1"/>
  <c r="SW10" i="20"/>
  <c r="ATY10" i="20" s="1"/>
  <c r="BVA10" i="20" s="1"/>
  <c r="CWC10" i="20" s="1"/>
  <c r="SX10" i="20"/>
  <c r="ATZ10" i="20" s="1"/>
  <c r="BVB10" i="20" s="1"/>
  <c r="CWD10" i="20" s="1"/>
  <c r="SY10" i="20"/>
  <c r="SZ10" i="20"/>
  <c r="TA10" i="20"/>
  <c r="TB10" i="20"/>
  <c r="TC10" i="20"/>
  <c r="TD10" i="20"/>
  <c r="TE10" i="20"/>
  <c r="TF10" i="20"/>
  <c r="TG10" i="20"/>
  <c r="TH10" i="20"/>
  <c r="TI10" i="20"/>
  <c r="TJ10" i="20"/>
  <c r="AUL10" i="20" s="1"/>
  <c r="BVN10" i="20" s="1"/>
  <c r="CWP10" i="20" s="1"/>
  <c r="TK10" i="20"/>
  <c r="AUM10" i="20" s="1"/>
  <c r="BVO10" i="20" s="1"/>
  <c r="CWQ10" i="20" s="1"/>
  <c r="TS10" i="20"/>
  <c r="AUU10" i="20" s="1"/>
  <c r="BVW10" i="20" s="1"/>
  <c r="CWY10" i="20" s="1"/>
  <c r="TU10" i="20"/>
  <c r="TV10" i="20"/>
  <c r="TW10" i="20"/>
  <c r="TX10" i="20"/>
  <c r="TY10" i="20"/>
  <c r="TZ10" i="20"/>
  <c r="UA10" i="20"/>
  <c r="UB10" i="20"/>
  <c r="UC10" i="20"/>
  <c r="UD10" i="20"/>
  <c r="UE10" i="20"/>
  <c r="UF10" i="20"/>
  <c r="AVH10" i="20" s="1"/>
  <c r="BWJ10" i="20" s="1"/>
  <c r="CXL10" i="20" s="1"/>
  <c r="UG10" i="20"/>
  <c r="AVI10" i="20" s="1"/>
  <c r="BWK10" i="20" s="1"/>
  <c r="CXM10" i="20" s="1"/>
  <c r="UO10" i="20"/>
  <c r="AVQ10" i="20" s="1"/>
  <c r="BWS10" i="20" s="1"/>
  <c r="CXU10" i="20" s="1"/>
  <c r="UP10" i="20"/>
  <c r="AVR10" i="20" s="1"/>
  <c r="BWT10" i="20" s="1"/>
  <c r="CXV10" i="20" s="1"/>
  <c r="UQ10" i="20"/>
  <c r="UR10" i="20"/>
  <c r="US10" i="20"/>
  <c r="UT10" i="20"/>
  <c r="UU10" i="20"/>
  <c r="UV10" i="20"/>
  <c r="UW10" i="20"/>
  <c r="UX10" i="20"/>
  <c r="UY10" i="20"/>
  <c r="UZ10" i="20"/>
  <c r="VA10" i="20"/>
  <c r="VB10" i="20"/>
  <c r="AWD10" i="20" s="1"/>
  <c r="BXF10" i="20" s="1"/>
  <c r="CYH10" i="20" s="1"/>
  <c r="VC10" i="20"/>
  <c r="AWE10" i="20" s="1"/>
  <c r="BXG10" i="20" s="1"/>
  <c r="CYI10" i="20" s="1"/>
  <c r="VD10" i="20"/>
  <c r="AWF10" i="20" s="1"/>
  <c r="BXH10" i="20" s="1"/>
  <c r="CYJ10" i="20" s="1"/>
  <c r="VK10" i="20"/>
  <c r="AWM10" i="20" s="1"/>
  <c r="BXO10" i="20" s="1"/>
  <c r="CYQ10" i="20" s="1"/>
  <c r="VL10" i="20"/>
  <c r="AWN10" i="20" s="1"/>
  <c r="BXP10" i="20" s="1"/>
  <c r="CYR10" i="20" s="1"/>
  <c r="VM10" i="20"/>
  <c r="VN10" i="20"/>
  <c r="VO10" i="20"/>
  <c r="VP10" i="20"/>
  <c r="VQ10" i="20"/>
  <c r="VR10" i="20"/>
  <c r="VS10" i="20"/>
  <c r="VT10" i="20"/>
  <c r="VU10" i="20"/>
  <c r="VV10" i="20"/>
  <c r="VW10" i="20"/>
  <c r="VY10" i="20"/>
  <c r="AXA10" i="20" s="1"/>
  <c r="BYC10" i="20" s="1"/>
  <c r="CZE10" i="20" s="1"/>
  <c r="WG10" i="20"/>
  <c r="AXI10" i="20" s="1"/>
  <c r="BYK10" i="20" s="1"/>
  <c r="CZM10" i="20" s="1"/>
  <c r="WH10" i="20"/>
  <c r="AXJ10" i="20" s="1"/>
  <c r="BYL10" i="20" s="1"/>
  <c r="CZN10" i="20" s="1"/>
  <c r="WI10" i="20"/>
  <c r="WJ10" i="20"/>
  <c r="WK10" i="20"/>
  <c r="WL10" i="20"/>
  <c r="WM10" i="20"/>
  <c r="WN10" i="20"/>
  <c r="WO10" i="20"/>
  <c r="WP10" i="20"/>
  <c r="WQ10" i="20"/>
  <c r="WR10" i="20"/>
  <c r="WS10" i="20"/>
  <c r="WT10" i="20"/>
  <c r="AXV10" i="20" s="1"/>
  <c r="BYX10" i="20" s="1"/>
  <c r="CZZ10" i="20" s="1"/>
  <c r="WU10" i="20"/>
  <c r="AXW10" i="20" s="1"/>
  <c r="BYY10" i="20" s="1"/>
  <c r="DAA10" i="20" s="1"/>
  <c r="XC10" i="20"/>
  <c r="AYE10" i="20" s="1"/>
  <c r="BZG10" i="20" s="1"/>
  <c r="DAI10" i="20" s="1"/>
  <c r="XE10" i="20"/>
  <c r="XF10" i="20"/>
  <c r="XG10" i="20"/>
  <c r="XH10" i="20"/>
  <c r="XI10" i="20"/>
  <c r="XJ10" i="20"/>
  <c r="XK10" i="20"/>
  <c r="XL10" i="20"/>
  <c r="XM10" i="20"/>
  <c r="XN10" i="20"/>
  <c r="XO10" i="20"/>
  <c r="XP10" i="20"/>
  <c r="AYR10" i="20" s="1"/>
  <c r="BZT10" i="20" s="1"/>
  <c r="DAV10" i="20" s="1"/>
  <c r="XQ10" i="20"/>
  <c r="AYS10" i="20" s="1"/>
  <c r="BZU10" i="20" s="1"/>
  <c r="DAW10" i="20" s="1"/>
  <c r="XR10" i="20"/>
  <c r="AYT10" i="20" s="1"/>
  <c r="BZV10" i="20" s="1"/>
  <c r="DAX10" i="20" s="1"/>
  <c r="XY10" i="20"/>
  <c r="AZA10" i="20" s="1"/>
  <c r="CAC10" i="20" s="1"/>
  <c r="DBE10" i="20" s="1"/>
  <c r="XZ10" i="20"/>
  <c r="AZB10" i="20" s="1"/>
  <c r="CAD10" i="20" s="1"/>
  <c r="DBF10" i="20" s="1"/>
  <c r="YA10" i="20"/>
  <c r="YB10" i="20"/>
  <c r="YC10" i="20"/>
  <c r="YD10" i="20"/>
  <c r="YE10" i="20"/>
  <c r="YF10" i="20"/>
  <c r="YG10" i="20"/>
  <c r="YH10" i="20"/>
  <c r="YI10" i="20"/>
  <c r="YJ10" i="20"/>
  <c r="YK10" i="20"/>
  <c r="YL10" i="20"/>
  <c r="AZN10" i="20" s="1"/>
  <c r="CAP10" i="20" s="1"/>
  <c r="DBR10" i="20" s="1"/>
  <c r="YM10" i="20"/>
  <c r="AZO10" i="20" s="1"/>
  <c r="CAQ10" i="20" s="1"/>
  <c r="DBS10" i="20" s="1"/>
  <c r="YN10" i="20"/>
  <c r="AZP10" i="20" s="1"/>
  <c r="CAR10" i="20" s="1"/>
  <c r="DBT10" i="20" s="1"/>
  <c r="YU10" i="20"/>
  <c r="AZW10" i="20" s="1"/>
  <c r="CAY10" i="20" s="1"/>
  <c r="DCA10" i="20" s="1"/>
  <c r="YW10" i="20"/>
  <c r="YX10" i="20"/>
  <c r="YY10" i="20"/>
  <c r="YZ10" i="20"/>
  <c r="ZA10" i="20"/>
  <c r="ZB10" i="20"/>
  <c r="ZC10" i="20"/>
  <c r="ZD10" i="20"/>
  <c r="ZE10" i="20"/>
  <c r="ZF10" i="20"/>
  <c r="ZG10" i="20"/>
  <c r="ZI10" i="20"/>
  <c r="BAK10" i="20" s="1"/>
  <c r="CBM10" i="20" s="1"/>
  <c r="DCO10" i="20" s="1"/>
  <c r="ZJ10" i="20"/>
  <c r="BAL10" i="20" s="1"/>
  <c r="CBN10" i="20" s="1"/>
  <c r="DCP10" i="20" s="1"/>
  <c r="ZQ10" i="20"/>
  <c r="BAS10" i="20" s="1"/>
  <c r="CBU10" i="20" s="1"/>
  <c r="DCW10" i="20" s="1"/>
  <c r="ZR10" i="20"/>
  <c r="BAT10" i="20" s="1"/>
  <c r="CBV10" i="20" s="1"/>
  <c r="DCX10" i="20" s="1"/>
  <c r="ZS10" i="20"/>
  <c r="ZT10" i="20"/>
  <c r="ZU10" i="20"/>
  <c r="ZV10" i="20"/>
  <c r="ZW10" i="20"/>
  <c r="ZX10" i="20"/>
  <c r="ZY10" i="20"/>
  <c r="ZZ10" i="20"/>
  <c r="AAA10" i="20"/>
  <c r="AAB10" i="20"/>
  <c r="AAC10" i="20"/>
  <c r="M11" i="20"/>
  <c r="N11" i="20"/>
  <c r="O11" i="20"/>
  <c r="P11" i="20"/>
  <c r="Q11" i="20"/>
  <c r="R11" i="20"/>
  <c r="S11" i="20"/>
  <c r="T11" i="20"/>
  <c r="U11" i="20"/>
  <c r="V11" i="20"/>
  <c r="W11" i="20"/>
  <c r="AI11" i="20"/>
  <c r="AJ11" i="20"/>
  <c r="AK11" i="20"/>
  <c r="AL11" i="20"/>
  <c r="AM11" i="20"/>
  <c r="AN11" i="20"/>
  <c r="AO11" i="20"/>
  <c r="AP11" i="20"/>
  <c r="AQ11" i="20"/>
  <c r="AR11" i="20"/>
  <c r="AS11" i="20"/>
  <c r="BE11" i="20"/>
  <c r="BF11" i="20"/>
  <c r="BG11" i="20"/>
  <c r="BH11" i="20"/>
  <c r="BI11" i="20"/>
  <c r="BJ11" i="20"/>
  <c r="BK11" i="20"/>
  <c r="BL11" i="20"/>
  <c r="BM11" i="20"/>
  <c r="BN11" i="20"/>
  <c r="BO11" i="20"/>
  <c r="CA11" i="20"/>
  <c r="CB11" i="20"/>
  <c r="CC11" i="20"/>
  <c r="CD11" i="20"/>
  <c r="CE11" i="20"/>
  <c r="CF11" i="20"/>
  <c r="CG11" i="20"/>
  <c r="CH11" i="20"/>
  <c r="CI11" i="20"/>
  <c r="CJ11" i="20"/>
  <c r="CK11" i="20"/>
  <c r="CW11" i="20"/>
  <c r="CX11" i="20"/>
  <c r="CY11" i="20"/>
  <c r="CZ11" i="20"/>
  <c r="DA11" i="20"/>
  <c r="DB11" i="20"/>
  <c r="DC11" i="20"/>
  <c r="DD11" i="20"/>
  <c r="DE11" i="20"/>
  <c r="DF11" i="20"/>
  <c r="DG11" i="20"/>
  <c r="DS11" i="20"/>
  <c r="DT11" i="20"/>
  <c r="DU11" i="20"/>
  <c r="DV11" i="20"/>
  <c r="DW11" i="20"/>
  <c r="DX11" i="20"/>
  <c r="DY11" i="20"/>
  <c r="DZ11" i="20"/>
  <c r="EA11" i="20"/>
  <c r="EB11" i="20"/>
  <c r="EC11" i="20"/>
  <c r="EO11" i="20"/>
  <c r="EP11" i="20"/>
  <c r="EQ11" i="20"/>
  <c r="ER11" i="20"/>
  <c r="ES11" i="20"/>
  <c r="ET11" i="20"/>
  <c r="EU11" i="20"/>
  <c r="EV11" i="20"/>
  <c r="EW11" i="20"/>
  <c r="EX11" i="20"/>
  <c r="EY11" i="20"/>
  <c r="FK11" i="20"/>
  <c r="FL11" i="20"/>
  <c r="FM11" i="20"/>
  <c r="FN11" i="20"/>
  <c r="FO11" i="20"/>
  <c r="FP11" i="20"/>
  <c r="FQ11" i="20"/>
  <c r="FR11" i="20"/>
  <c r="FS11" i="20"/>
  <c r="FT11" i="20"/>
  <c r="FU11" i="20"/>
  <c r="GG11" i="20"/>
  <c r="GH11" i="20"/>
  <c r="GI11" i="20"/>
  <c r="GJ11" i="20"/>
  <c r="GK11" i="20"/>
  <c r="GL11" i="20"/>
  <c r="GM11" i="20"/>
  <c r="GN11" i="20"/>
  <c r="GO11" i="20"/>
  <c r="GP11" i="20"/>
  <c r="GQ11" i="20"/>
  <c r="HC11" i="20"/>
  <c r="HD11" i="20"/>
  <c r="HE11" i="20"/>
  <c r="HF11" i="20"/>
  <c r="HG11" i="20"/>
  <c r="HH11" i="20"/>
  <c r="HI11" i="20"/>
  <c r="HJ11" i="20"/>
  <c r="HK11" i="20"/>
  <c r="HL11" i="20"/>
  <c r="HM11" i="20"/>
  <c r="HY11" i="20"/>
  <c r="HZ11" i="20"/>
  <c r="IA11" i="20"/>
  <c r="IB11" i="20"/>
  <c r="IC11" i="20"/>
  <c r="ID11" i="20"/>
  <c r="IE11" i="20"/>
  <c r="IF11" i="20"/>
  <c r="IG11" i="20"/>
  <c r="IH11" i="20"/>
  <c r="II11" i="20"/>
  <c r="IU11" i="20"/>
  <c r="IV11" i="20"/>
  <c r="IW11" i="20"/>
  <c r="IX11" i="20"/>
  <c r="IY11" i="20"/>
  <c r="IZ11" i="20"/>
  <c r="JA11" i="20"/>
  <c r="JB11" i="20"/>
  <c r="JC11" i="20"/>
  <c r="JD11" i="20"/>
  <c r="JE11" i="20"/>
  <c r="JQ11" i="20"/>
  <c r="JR11" i="20"/>
  <c r="JS11" i="20"/>
  <c r="JT11" i="20"/>
  <c r="JU11" i="20"/>
  <c r="JV11" i="20"/>
  <c r="JW11" i="20"/>
  <c r="JX11" i="20"/>
  <c r="JY11" i="20"/>
  <c r="JZ11" i="20"/>
  <c r="KA11" i="20"/>
  <c r="KM11" i="20"/>
  <c r="KN11" i="20"/>
  <c r="KO11" i="20"/>
  <c r="KP11" i="20"/>
  <c r="KQ11" i="20"/>
  <c r="KR11" i="20"/>
  <c r="KS11" i="20"/>
  <c r="KT11" i="20"/>
  <c r="KU11" i="20"/>
  <c r="KV11" i="20"/>
  <c r="KW11" i="20"/>
  <c r="LI11" i="20"/>
  <c r="LJ11" i="20"/>
  <c r="LK11" i="20"/>
  <c r="LL11" i="20"/>
  <c r="LM11" i="20"/>
  <c r="LN11" i="20"/>
  <c r="LO11" i="20"/>
  <c r="LP11" i="20"/>
  <c r="LQ11" i="20"/>
  <c r="LR11" i="20"/>
  <c r="LS11" i="20"/>
  <c r="ME11" i="20"/>
  <c r="MF11" i="20"/>
  <c r="MG11" i="20"/>
  <c r="MH11" i="20"/>
  <c r="MI11" i="20"/>
  <c r="MJ11" i="20"/>
  <c r="MK11" i="20"/>
  <c r="ML11" i="20"/>
  <c r="MM11" i="20"/>
  <c r="MN11" i="20"/>
  <c r="MO11" i="20"/>
  <c r="NA11" i="20"/>
  <c r="NB11" i="20"/>
  <c r="NC11" i="20"/>
  <c r="ND11" i="20"/>
  <c r="NE11" i="20"/>
  <c r="NF11" i="20"/>
  <c r="NG11" i="20"/>
  <c r="NH11" i="20"/>
  <c r="NI11" i="20"/>
  <c r="NJ11" i="20"/>
  <c r="NK11" i="20"/>
  <c r="NL11" i="20"/>
  <c r="AON11" i="20" s="1"/>
  <c r="BPP11" i="20" s="1"/>
  <c r="CQR11" i="20" s="1"/>
  <c r="NM11" i="20"/>
  <c r="AOO11" i="20" s="1"/>
  <c r="BPQ11" i="20" s="1"/>
  <c r="CQS11" i="20" s="1"/>
  <c r="NP11" i="20"/>
  <c r="AOR11" i="20" s="1"/>
  <c r="BPT11" i="20" s="1"/>
  <c r="CQV11" i="20" s="1"/>
  <c r="NQ11" i="20"/>
  <c r="AOS11" i="20" s="1"/>
  <c r="BPU11" i="20" s="1"/>
  <c r="CQW11" i="20" s="1"/>
  <c r="NS11" i="20"/>
  <c r="AOU11" i="20" s="1"/>
  <c r="BPW11" i="20" s="1"/>
  <c r="CQY11" i="20" s="1"/>
  <c r="NT11" i="20"/>
  <c r="AOV11" i="20" s="1"/>
  <c r="BPX11" i="20" s="1"/>
  <c r="CQZ11" i="20" s="1"/>
  <c r="NU11" i="20"/>
  <c r="AOW11" i="20" s="1"/>
  <c r="BPY11" i="20" s="1"/>
  <c r="CRA11" i="20" s="1"/>
  <c r="NV11" i="20"/>
  <c r="AOX11" i="20" s="1"/>
  <c r="BPZ11" i="20" s="1"/>
  <c r="CRB11" i="20" s="1"/>
  <c r="NW11" i="20"/>
  <c r="NX11" i="20"/>
  <c r="NY11" i="20"/>
  <c r="NZ11" i="20"/>
  <c r="OA11" i="20"/>
  <c r="OB11" i="20"/>
  <c r="OC11" i="20"/>
  <c r="OD11" i="20"/>
  <c r="OE11" i="20"/>
  <c r="OF11" i="20"/>
  <c r="OG11" i="20"/>
  <c r="OH11" i="20"/>
  <c r="APJ11" i="20" s="1"/>
  <c r="BQL11" i="20" s="1"/>
  <c r="CRN11" i="20" s="1"/>
  <c r="OL11" i="20"/>
  <c r="APN11" i="20" s="1"/>
  <c r="BQP11" i="20" s="1"/>
  <c r="CRR11" i="20" s="1"/>
  <c r="OM11" i="20"/>
  <c r="APO11" i="20" s="1"/>
  <c r="BQQ11" i="20" s="1"/>
  <c r="CRS11" i="20" s="1"/>
  <c r="ON11" i="20"/>
  <c r="APP11" i="20" s="1"/>
  <c r="BQR11" i="20" s="1"/>
  <c r="CRT11" i="20" s="1"/>
  <c r="OO11" i="20"/>
  <c r="APQ11" i="20" s="1"/>
  <c r="BQS11" i="20" s="1"/>
  <c r="CRU11" i="20" s="1"/>
  <c r="OR11" i="20"/>
  <c r="APT11" i="20" s="1"/>
  <c r="BQV11" i="20" s="1"/>
  <c r="CRX11" i="20" s="1"/>
  <c r="OS11" i="20"/>
  <c r="OT11" i="20"/>
  <c r="OU11" i="20"/>
  <c r="OV11" i="20"/>
  <c r="OW11" i="20"/>
  <c r="OX11" i="20"/>
  <c r="OY11" i="20"/>
  <c r="OZ11" i="20"/>
  <c r="PA11" i="20"/>
  <c r="PB11" i="20"/>
  <c r="PC11" i="20"/>
  <c r="PD11" i="20"/>
  <c r="AQF11" i="20" s="1"/>
  <c r="BRH11" i="20" s="1"/>
  <c r="CSJ11" i="20" s="1"/>
  <c r="PH11" i="20"/>
  <c r="AQJ11" i="20" s="1"/>
  <c r="BRL11" i="20" s="1"/>
  <c r="CSN11" i="20" s="1"/>
  <c r="PI11" i="20"/>
  <c r="AQK11" i="20" s="1"/>
  <c r="BRM11" i="20" s="1"/>
  <c r="CSO11" i="20" s="1"/>
  <c r="PL11" i="20"/>
  <c r="AQN11" i="20" s="1"/>
  <c r="BRP11" i="20" s="1"/>
  <c r="CSR11" i="20" s="1"/>
  <c r="PN11" i="20"/>
  <c r="AQP11" i="20" s="1"/>
  <c r="BRR11" i="20" s="1"/>
  <c r="CST11" i="20" s="1"/>
  <c r="PO11" i="20"/>
  <c r="PP11" i="20"/>
  <c r="PQ11" i="20"/>
  <c r="PR11" i="20"/>
  <c r="PS11" i="20"/>
  <c r="PT11" i="20"/>
  <c r="PU11" i="20"/>
  <c r="PV11" i="20"/>
  <c r="PW11" i="20"/>
  <c r="PX11" i="20"/>
  <c r="PY11" i="20"/>
  <c r="QD11" i="20"/>
  <c r="ARF11" i="20" s="1"/>
  <c r="BSH11" i="20" s="1"/>
  <c r="CTJ11" i="20" s="1"/>
  <c r="QE11" i="20"/>
  <c r="ARG11" i="20" s="1"/>
  <c r="BSI11" i="20" s="1"/>
  <c r="CTK11" i="20" s="1"/>
  <c r="QF11" i="20"/>
  <c r="ARH11" i="20" s="1"/>
  <c r="BSJ11" i="20" s="1"/>
  <c r="CTL11" i="20" s="1"/>
  <c r="QI11" i="20"/>
  <c r="ARK11" i="20" s="1"/>
  <c r="BSM11" i="20" s="1"/>
  <c r="CTO11" i="20" s="1"/>
  <c r="QJ11" i="20"/>
  <c r="ARL11" i="20" s="1"/>
  <c r="BSN11" i="20" s="1"/>
  <c r="CTP11" i="20" s="1"/>
  <c r="QK11" i="20"/>
  <c r="QL11" i="20"/>
  <c r="QM11" i="20"/>
  <c r="QN11" i="20"/>
  <c r="QO11" i="20"/>
  <c r="QP11" i="20"/>
  <c r="QQ11" i="20"/>
  <c r="QR11" i="20"/>
  <c r="QS11" i="20"/>
  <c r="QT11" i="20"/>
  <c r="QU11" i="20"/>
  <c r="QV11" i="20"/>
  <c r="ARX11" i="20" s="1"/>
  <c r="BSZ11" i="20" s="1"/>
  <c r="CUB11" i="20" s="1"/>
  <c r="QW11" i="20"/>
  <c r="ARY11" i="20" s="1"/>
  <c r="BTA11" i="20" s="1"/>
  <c r="CUC11" i="20" s="1"/>
  <c r="QZ11" i="20"/>
  <c r="ASB11" i="20" s="1"/>
  <c r="BTD11" i="20" s="1"/>
  <c r="CUF11" i="20" s="1"/>
  <c r="RA11" i="20"/>
  <c r="ASC11" i="20" s="1"/>
  <c r="BTE11" i="20" s="1"/>
  <c r="CUG11" i="20" s="1"/>
  <c r="RC11" i="20"/>
  <c r="ASE11" i="20" s="1"/>
  <c r="BTG11" i="20" s="1"/>
  <c r="CUI11" i="20" s="1"/>
  <c r="RD11" i="20"/>
  <c r="ASF11" i="20" s="1"/>
  <c r="BTH11" i="20" s="1"/>
  <c r="CUJ11" i="20" s="1"/>
  <c r="RE11" i="20"/>
  <c r="ASG11" i="20" s="1"/>
  <c r="BTI11" i="20" s="1"/>
  <c r="CUK11" i="20" s="1"/>
  <c r="RF11" i="20"/>
  <c r="ASH11" i="20" s="1"/>
  <c r="BTJ11" i="20" s="1"/>
  <c r="CUL11" i="20" s="1"/>
  <c r="RG11" i="20"/>
  <c r="RH11" i="20"/>
  <c r="RI11" i="20"/>
  <c r="RJ11" i="20"/>
  <c r="RK11" i="20"/>
  <c r="RL11" i="20"/>
  <c r="RM11" i="20"/>
  <c r="RN11" i="20"/>
  <c r="RO11" i="20"/>
  <c r="RP11" i="20"/>
  <c r="RQ11" i="20"/>
  <c r="RR11" i="20"/>
  <c r="AST11" i="20" s="1"/>
  <c r="BTV11" i="20" s="1"/>
  <c r="CUX11" i="20" s="1"/>
  <c r="RV11" i="20"/>
  <c r="ASX11" i="20" s="1"/>
  <c r="BTZ11" i="20" s="1"/>
  <c r="CVB11" i="20" s="1"/>
  <c r="RW11" i="20"/>
  <c r="ASY11" i="20" s="1"/>
  <c r="BUA11" i="20" s="1"/>
  <c r="CVC11" i="20" s="1"/>
  <c r="RX11" i="20"/>
  <c r="ASZ11" i="20" s="1"/>
  <c r="BUB11" i="20" s="1"/>
  <c r="CVD11" i="20" s="1"/>
  <c r="RY11" i="20"/>
  <c r="ATA11" i="20" s="1"/>
  <c r="BUC11" i="20" s="1"/>
  <c r="CVE11" i="20" s="1"/>
  <c r="SC11" i="20"/>
  <c r="SD11" i="20"/>
  <c r="SE11" i="20"/>
  <c r="SF11" i="20"/>
  <c r="SG11" i="20"/>
  <c r="SH11" i="20"/>
  <c r="SI11" i="20"/>
  <c r="SJ11" i="20"/>
  <c r="SK11" i="20"/>
  <c r="SL11" i="20"/>
  <c r="SM11" i="20"/>
  <c r="SN11" i="20"/>
  <c r="ATP11" i="20" s="1"/>
  <c r="BUR11" i="20" s="1"/>
  <c r="CVT11" i="20" s="1"/>
  <c r="SO11" i="20"/>
  <c r="ATQ11" i="20" s="1"/>
  <c r="BUS11" i="20" s="1"/>
  <c r="CVU11" i="20" s="1"/>
  <c r="SR11" i="20"/>
  <c r="ATT11" i="20" s="1"/>
  <c r="BUV11" i="20" s="1"/>
  <c r="CVX11" i="20" s="1"/>
  <c r="SS11" i="20"/>
  <c r="ATU11" i="20" s="1"/>
  <c r="BUW11" i="20" s="1"/>
  <c r="CVY11" i="20" s="1"/>
  <c r="SV11" i="20"/>
  <c r="ATX11" i="20" s="1"/>
  <c r="BUZ11" i="20" s="1"/>
  <c r="CWB11" i="20" s="1"/>
  <c r="SW11" i="20"/>
  <c r="ATY11" i="20" s="1"/>
  <c r="BVA11" i="20" s="1"/>
  <c r="CWC11" i="20" s="1"/>
  <c r="SX11" i="20"/>
  <c r="ATZ11" i="20" s="1"/>
  <c r="BVB11" i="20" s="1"/>
  <c r="CWD11" i="20" s="1"/>
  <c r="SY11" i="20"/>
  <c r="SZ11" i="20"/>
  <c r="TA11" i="20"/>
  <c r="TB11" i="20"/>
  <c r="TC11" i="20"/>
  <c r="TD11" i="20"/>
  <c r="TE11" i="20"/>
  <c r="TF11" i="20"/>
  <c r="TG11" i="20"/>
  <c r="TH11" i="20"/>
  <c r="TI11" i="20"/>
  <c r="TN11" i="20"/>
  <c r="AUP11" i="20" s="1"/>
  <c r="BVR11" i="20" s="1"/>
  <c r="CWT11" i="20" s="1"/>
  <c r="TO11" i="20"/>
  <c r="AUQ11" i="20" s="1"/>
  <c r="BVS11" i="20" s="1"/>
  <c r="CWU11" i="20" s="1"/>
  <c r="TP11" i="20"/>
  <c r="AUR11" i="20" s="1"/>
  <c r="BVT11" i="20" s="1"/>
  <c r="CWV11" i="20" s="1"/>
  <c r="TQ11" i="20"/>
  <c r="AUS11" i="20" s="1"/>
  <c r="BVU11" i="20" s="1"/>
  <c r="CWW11" i="20" s="1"/>
  <c r="TU11" i="20"/>
  <c r="TV11" i="20"/>
  <c r="TW11" i="20"/>
  <c r="TX11" i="20"/>
  <c r="TY11" i="20"/>
  <c r="TZ11" i="20"/>
  <c r="UA11" i="20"/>
  <c r="UB11" i="20"/>
  <c r="UC11" i="20"/>
  <c r="UD11" i="20"/>
  <c r="UE11" i="20"/>
  <c r="UF11" i="20"/>
  <c r="AVH11" i="20" s="1"/>
  <c r="BWJ11" i="20" s="1"/>
  <c r="CXL11" i="20" s="1"/>
  <c r="UG11" i="20"/>
  <c r="AVI11" i="20" s="1"/>
  <c r="BWK11" i="20" s="1"/>
  <c r="CXM11" i="20" s="1"/>
  <c r="UJ11" i="20"/>
  <c r="AVL11" i="20" s="1"/>
  <c r="BWN11" i="20" s="1"/>
  <c r="CXP11" i="20" s="1"/>
  <c r="UK11" i="20"/>
  <c r="AVM11" i="20" s="1"/>
  <c r="BWO11" i="20" s="1"/>
  <c r="CXQ11" i="20" s="1"/>
  <c r="UM11" i="20"/>
  <c r="AVO11" i="20" s="1"/>
  <c r="BWQ11" i="20" s="1"/>
  <c r="CXS11" i="20" s="1"/>
  <c r="UN11" i="20"/>
  <c r="AVP11" i="20" s="1"/>
  <c r="BWR11" i="20" s="1"/>
  <c r="CXT11" i="20" s="1"/>
  <c r="UO11" i="20"/>
  <c r="AVQ11" i="20" s="1"/>
  <c r="BWS11" i="20" s="1"/>
  <c r="CXU11" i="20" s="1"/>
  <c r="UP11" i="20"/>
  <c r="AVR11" i="20" s="1"/>
  <c r="BWT11" i="20" s="1"/>
  <c r="CXV11" i="20" s="1"/>
  <c r="UQ11" i="20"/>
  <c r="UR11" i="20"/>
  <c r="US11" i="20"/>
  <c r="UT11" i="20"/>
  <c r="UU11" i="20"/>
  <c r="UV11" i="20"/>
  <c r="UW11" i="20"/>
  <c r="UX11" i="20"/>
  <c r="UY11" i="20"/>
  <c r="UZ11" i="20"/>
  <c r="VA11" i="20"/>
  <c r="VB11" i="20"/>
  <c r="AWD11" i="20" s="1"/>
  <c r="BXF11" i="20" s="1"/>
  <c r="CYH11" i="20" s="1"/>
  <c r="VF11" i="20"/>
  <c r="AWH11" i="20" s="1"/>
  <c r="BXJ11" i="20" s="1"/>
  <c r="CYL11" i="20" s="1"/>
  <c r="VG11" i="20"/>
  <c r="AWI11" i="20" s="1"/>
  <c r="BXK11" i="20" s="1"/>
  <c r="CYM11" i="20" s="1"/>
  <c r="VH11" i="20"/>
  <c r="AWJ11" i="20" s="1"/>
  <c r="BXL11" i="20" s="1"/>
  <c r="CYN11" i="20" s="1"/>
  <c r="VL11" i="20"/>
  <c r="AWN11" i="20" s="1"/>
  <c r="BXP11" i="20" s="1"/>
  <c r="CYR11" i="20" s="1"/>
  <c r="VM11" i="20"/>
  <c r="VN11" i="20"/>
  <c r="VO11" i="20"/>
  <c r="VP11" i="20"/>
  <c r="VQ11" i="20"/>
  <c r="VR11" i="20"/>
  <c r="VS11" i="20"/>
  <c r="VT11" i="20"/>
  <c r="VU11" i="20"/>
  <c r="VV11" i="20"/>
  <c r="VW11" i="20"/>
  <c r="VX11" i="20"/>
  <c r="AWZ11" i="20" s="1"/>
  <c r="BYB11" i="20" s="1"/>
  <c r="CZD11" i="20" s="1"/>
  <c r="WB11" i="20"/>
  <c r="AXD11" i="20" s="1"/>
  <c r="BYF11" i="20" s="1"/>
  <c r="CZH11" i="20" s="1"/>
  <c r="WC11" i="20"/>
  <c r="AXE11" i="20" s="1"/>
  <c r="BYG11" i="20" s="1"/>
  <c r="CZI11" i="20" s="1"/>
  <c r="WD11" i="20"/>
  <c r="AXF11" i="20" s="1"/>
  <c r="BYH11" i="20" s="1"/>
  <c r="CZJ11" i="20" s="1"/>
  <c r="WE11" i="20"/>
  <c r="AXG11" i="20" s="1"/>
  <c r="BYI11" i="20" s="1"/>
  <c r="CZK11" i="20" s="1"/>
  <c r="WF11" i="20"/>
  <c r="AXH11" i="20" s="1"/>
  <c r="BYJ11" i="20" s="1"/>
  <c r="CZL11" i="20" s="1"/>
  <c r="WH11" i="20"/>
  <c r="AXJ11" i="20" s="1"/>
  <c r="BYL11" i="20" s="1"/>
  <c r="CZN11" i="20" s="1"/>
  <c r="WI11" i="20"/>
  <c r="WJ11" i="20"/>
  <c r="WK11" i="20"/>
  <c r="WL11" i="20"/>
  <c r="WM11" i="20"/>
  <c r="WN11" i="20"/>
  <c r="WO11" i="20"/>
  <c r="WP11" i="20"/>
  <c r="WQ11" i="20"/>
  <c r="WR11" i="20"/>
  <c r="WS11" i="20"/>
  <c r="WX11" i="20"/>
  <c r="AXZ11" i="20" s="1"/>
  <c r="BZB11" i="20" s="1"/>
  <c r="DAD11" i="20" s="1"/>
  <c r="WY11" i="20"/>
  <c r="AYA11" i="20" s="1"/>
  <c r="BZC11" i="20" s="1"/>
  <c r="DAE11" i="20" s="1"/>
  <c r="WZ11" i="20"/>
  <c r="AYB11" i="20" s="1"/>
  <c r="BZD11" i="20" s="1"/>
  <c r="DAF11" i="20" s="1"/>
  <c r="XA11" i="20"/>
  <c r="AYC11" i="20" s="1"/>
  <c r="BZE11" i="20" s="1"/>
  <c r="DAG11" i="20" s="1"/>
  <c r="XB11" i="20"/>
  <c r="AYD11" i="20" s="1"/>
  <c r="BZF11" i="20" s="1"/>
  <c r="DAH11" i="20" s="1"/>
  <c r="XD11" i="20"/>
  <c r="AYF11" i="20" s="1"/>
  <c r="BZH11" i="20" s="1"/>
  <c r="DAJ11" i="20" s="1"/>
  <c r="XE11" i="20"/>
  <c r="XF11" i="20"/>
  <c r="XG11" i="20"/>
  <c r="XH11" i="20"/>
  <c r="XI11" i="20"/>
  <c r="XJ11" i="20"/>
  <c r="XK11" i="20"/>
  <c r="XL11" i="20"/>
  <c r="XM11" i="20"/>
  <c r="XN11" i="20"/>
  <c r="XO11" i="20"/>
  <c r="XP11" i="20"/>
  <c r="AYR11" i="20" s="1"/>
  <c r="BZT11" i="20" s="1"/>
  <c r="DAV11" i="20" s="1"/>
  <c r="XT11" i="20"/>
  <c r="AYV11" i="20" s="1"/>
  <c r="BZX11" i="20" s="1"/>
  <c r="DAZ11" i="20" s="1"/>
  <c r="XU11" i="20"/>
  <c r="AYW11" i="20" s="1"/>
  <c r="BZY11" i="20" s="1"/>
  <c r="DBA11" i="20" s="1"/>
  <c r="XW11" i="20"/>
  <c r="AYY11" i="20" s="1"/>
  <c r="CAA11" i="20" s="1"/>
  <c r="DBC11" i="20" s="1"/>
  <c r="XX11" i="20"/>
  <c r="AYZ11" i="20" s="1"/>
  <c r="CAB11" i="20" s="1"/>
  <c r="DBD11" i="20" s="1"/>
  <c r="XZ11" i="20"/>
  <c r="AZB11" i="20" s="1"/>
  <c r="CAD11" i="20" s="1"/>
  <c r="DBF11" i="20" s="1"/>
  <c r="YA11" i="20"/>
  <c r="YB11" i="20"/>
  <c r="YC11" i="20"/>
  <c r="YD11" i="20"/>
  <c r="YE11" i="20"/>
  <c r="YF11" i="20"/>
  <c r="YG11" i="20"/>
  <c r="YH11" i="20"/>
  <c r="YI11" i="20"/>
  <c r="YJ11" i="20"/>
  <c r="YK11" i="20"/>
  <c r="YL11" i="20"/>
  <c r="AZN11" i="20" s="1"/>
  <c r="CAP11" i="20" s="1"/>
  <c r="DBR11" i="20" s="1"/>
  <c r="YP11" i="20"/>
  <c r="AZR11" i="20" s="1"/>
  <c r="CAT11" i="20" s="1"/>
  <c r="DBV11" i="20" s="1"/>
  <c r="YQ11" i="20"/>
  <c r="AZS11" i="20" s="1"/>
  <c r="CAU11" i="20" s="1"/>
  <c r="DBW11" i="20" s="1"/>
  <c r="YR11" i="20"/>
  <c r="AZT11" i="20" s="1"/>
  <c r="CAV11" i="20" s="1"/>
  <c r="DBX11" i="20" s="1"/>
  <c r="YV11" i="20"/>
  <c r="AZX11" i="20" s="1"/>
  <c r="CAZ11" i="20" s="1"/>
  <c r="DCB11" i="20" s="1"/>
  <c r="YW11" i="20"/>
  <c r="YX11" i="20"/>
  <c r="YY11" i="20"/>
  <c r="YZ11" i="20"/>
  <c r="ZA11" i="20"/>
  <c r="ZB11" i="20"/>
  <c r="ZC11" i="20"/>
  <c r="ZD11" i="20"/>
  <c r="ZE11" i="20"/>
  <c r="ZF11" i="20"/>
  <c r="ZG11" i="20"/>
  <c r="ZH11" i="20"/>
  <c r="BAJ11" i="20" s="1"/>
  <c r="CBL11" i="20" s="1"/>
  <c r="DCN11" i="20" s="1"/>
  <c r="ZI11" i="20"/>
  <c r="BAK11" i="20" s="1"/>
  <c r="CBM11" i="20" s="1"/>
  <c r="DCO11" i="20" s="1"/>
  <c r="ZL11" i="20"/>
  <c r="BAN11" i="20" s="1"/>
  <c r="CBP11" i="20" s="1"/>
  <c r="DCR11" i="20" s="1"/>
  <c r="ZM11" i="20"/>
  <c r="BAO11" i="20" s="1"/>
  <c r="CBQ11" i="20" s="1"/>
  <c r="DCS11" i="20" s="1"/>
  <c r="ZN11" i="20"/>
  <c r="BAP11" i="20" s="1"/>
  <c r="CBR11" i="20" s="1"/>
  <c r="DCT11" i="20" s="1"/>
  <c r="ZO11" i="20"/>
  <c r="BAQ11" i="20" s="1"/>
  <c r="CBS11" i="20" s="1"/>
  <c r="DCU11" i="20" s="1"/>
  <c r="ZP11" i="20"/>
  <c r="BAR11" i="20" s="1"/>
  <c r="CBT11" i="20" s="1"/>
  <c r="DCV11" i="20" s="1"/>
  <c r="ZQ11" i="20"/>
  <c r="BAS11" i="20" s="1"/>
  <c r="CBU11" i="20" s="1"/>
  <c r="DCW11" i="20" s="1"/>
  <c r="ZR11" i="20"/>
  <c r="BAT11" i="20" s="1"/>
  <c r="CBV11" i="20" s="1"/>
  <c r="DCX11" i="20" s="1"/>
  <c r="ZS11" i="20"/>
  <c r="ZT11" i="20"/>
  <c r="ZU11" i="20"/>
  <c r="ZV11" i="20"/>
  <c r="ZW11" i="20"/>
  <c r="ZX11" i="20"/>
  <c r="ZY11" i="20"/>
  <c r="ZZ11" i="20"/>
  <c r="AAA11" i="20"/>
  <c r="AAB11" i="20"/>
  <c r="AAC11" i="20"/>
  <c r="M12" i="20"/>
  <c r="N12" i="20"/>
  <c r="O12" i="20"/>
  <c r="P12" i="20"/>
  <c r="Q12" i="20"/>
  <c r="R12" i="20"/>
  <c r="S12" i="20"/>
  <c r="T12" i="20"/>
  <c r="U12" i="20"/>
  <c r="V12" i="20"/>
  <c r="W12" i="20"/>
  <c r="AI12" i="20"/>
  <c r="AJ12" i="20"/>
  <c r="AK12" i="20"/>
  <c r="AL12" i="20"/>
  <c r="AM12" i="20"/>
  <c r="AN12" i="20"/>
  <c r="AO12" i="20"/>
  <c r="AP12" i="20"/>
  <c r="AQ12" i="20"/>
  <c r="AR12" i="20"/>
  <c r="AS12" i="20"/>
  <c r="BE12" i="20"/>
  <c r="BF12" i="20"/>
  <c r="BG12" i="20"/>
  <c r="BH12" i="20"/>
  <c r="BI12" i="20"/>
  <c r="BJ12" i="20"/>
  <c r="BK12" i="20"/>
  <c r="BL12" i="20"/>
  <c r="BM12" i="20"/>
  <c r="BN12" i="20"/>
  <c r="BO12" i="20"/>
  <c r="CA12" i="20"/>
  <c r="CB12" i="20"/>
  <c r="CC12" i="20"/>
  <c r="CD12" i="20"/>
  <c r="CE12" i="20"/>
  <c r="CF12" i="20"/>
  <c r="CG12" i="20"/>
  <c r="CH12" i="20"/>
  <c r="CI12" i="20"/>
  <c r="CJ12" i="20"/>
  <c r="CK12" i="20"/>
  <c r="CW12" i="20"/>
  <c r="CX12" i="20"/>
  <c r="CY12" i="20"/>
  <c r="CZ12" i="20"/>
  <c r="DA12" i="20"/>
  <c r="DB12" i="20"/>
  <c r="DC12" i="20"/>
  <c r="DD12" i="20"/>
  <c r="DE12" i="20"/>
  <c r="DF12" i="20"/>
  <c r="DG12" i="20"/>
  <c r="DS12" i="20"/>
  <c r="DT12" i="20"/>
  <c r="DU12" i="20"/>
  <c r="DV12" i="20"/>
  <c r="DW12" i="20"/>
  <c r="DX12" i="20"/>
  <c r="DY12" i="20"/>
  <c r="DZ12" i="20"/>
  <c r="EA12" i="20"/>
  <c r="EB12" i="20"/>
  <c r="EC12" i="20"/>
  <c r="EO12" i="20"/>
  <c r="EP12" i="20"/>
  <c r="EQ12" i="20"/>
  <c r="ER12" i="20"/>
  <c r="ES12" i="20"/>
  <c r="ET12" i="20"/>
  <c r="EU12" i="20"/>
  <c r="EV12" i="20"/>
  <c r="EW12" i="20"/>
  <c r="EX12" i="20"/>
  <c r="EY12" i="20"/>
  <c r="FK12" i="20"/>
  <c r="FL12" i="20"/>
  <c r="FM12" i="20"/>
  <c r="FN12" i="20"/>
  <c r="FO12" i="20"/>
  <c r="FP12" i="20"/>
  <c r="FQ12" i="20"/>
  <c r="FR12" i="20"/>
  <c r="FS12" i="20"/>
  <c r="FT12" i="20"/>
  <c r="FU12" i="20"/>
  <c r="GG12" i="20"/>
  <c r="GH12" i="20"/>
  <c r="GI12" i="20"/>
  <c r="GJ12" i="20"/>
  <c r="GK12" i="20"/>
  <c r="GL12" i="20"/>
  <c r="GM12" i="20"/>
  <c r="GN12" i="20"/>
  <c r="GO12" i="20"/>
  <c r="GP12" i="20"/>
  <c r="GQ12" i="20"/>
  <c r="HC12" i="20"/>
  <c r="HD12" i="20"/>
  <c r="HE12" i="20"/>
  <c r="HF12" i="20"/>
  <c r="HG12" i="20"/>
  <c r="HH12" i="20"/>
  <c r="HI12" i="20"/>
  <c r="HJ12" i="20"/>
  <c r="HK12" i="20"/>
  <c r="HL12" i="20"/>
  <c r="HM12" i="20"/>
  <c r="HY12" i="20"/>
  <c r="HZ12" i="20"/>
  <c r="IA12" i="20"/>
  <c r="IB12" i="20"/>
  <c r="IC12" i="20"/>
  <c r="ID12" i="20"/>
  <c r="IE12" i="20"/>
  <c r="IF12" i="20"/>
  <c r="IG12" i="20"/>
  <c r="IH12" i="20"/>
  <c r="II12" i="20"/>
  <c r="IU12" i="20"/>
  <c r="IV12" i="20"/>
  <c r="IW12" i="20"/>
  <c r="IX12" i="20"/>
  <c r="IY12" i="20"/>
  <c r="IZ12" i="20"/>
  <c r="JA12" i="20"/>
  <c r="JB12" i="20"/>
  <c r="JC12" i="20"/>
  <c r="JD12" i="20"/>
  <c r="JE12" i="20"/>
  <c r="JQ12" i="20"/>
  <c r="JR12" i="20"/>
  <c r="JS12" i="20"/>
  <c r="JT12" i="20"/>
  <c r="JU12" i="20"/>
  <c r="JV12" i="20"/>
  <c r="JW12" i="20"/>
  <c r="JX12" i="20"/>
  <c r="JY12" i="20"/>
  <c r="JZ12" i="20"/>
  <c r="KA12" i="20"/>
  <c r="KM12" i="20"/>
  <c r="KN12" i="20"/>
  <c r="KO12" i="20"/>
  <c r="KP12" i="20"/>
  <c r="KQ12" i="20"/>
  <c r="KR12" i="20"/>
  <c r="KS12" i="20"/>
  <c r="KT12" i="20"/>
  <c r="KU12" i="20"/>
  <c r="KV12" i="20"/>
  <c r="KW12" i="20"/>
  <c r="LI12" i="20"/>
  <c r="LJ12" i="20"/>
  <c r="LK12" i="20"/>
  <c r="LL12" i="20"/>
  <c r="LM12" i="20"/>
  <c r="LN12" i="20"/>
  <c r="LO12" i="20"/>
  <c r="LP12" i="20"/>
  <c r="LQ12" i="20"/>
  <c r="LR12" i="20"/>
  <c r="LS12" i="20"/>
  <c r="ME12" i="20"/>
  <c r="MF12" i="20"/>
  <c r="MG12" i="20"/>
  <c r="MH12" i="20"/>
  <c r="MI12" i="20"/>
  <c r="MJ12" i="20"/>
  <c r="MK12" i="20"/>
  <c r="ML12" i="20"/>
  <c r="MM12" i="20"/>
  <c r="MN12" i="20"/>
  <c r="MO12" i="20"/>
  <c r="NA12" i="20"/>
  <c r="NB12" i="20"/>
  <c r="NC12" i="20"/>
  <c r="ND12" i="20"/>
  <c r="NE12" i="20"/>
  <c r="NF12" i="20"/>
  <c r="NG12" i="20"/>
  <c r="NH12" i="20"/>
  <c r="NI12" i="20"/>
  <c r="NJ12" i="20"/>
  <c r="NK12" i="20"/>
  <c r="NM12" i="20"/>
  <c r="AOO12" i="20" s="1"/>
  <c r="BPQ12" i="20" s="1"/>
  <c r="CQS12" i="20" s="1"/>
  <c r="NN12" i="20"/>
  <c r="AOP12" i="20" s="1"/>
  <c r="BPR12" i="20" s="1"/>
  <c r="CQT12" i="20" s="1"/>
  <c r="NQ12" i="20"/>
  <c r="AOS12" i="20" s="1"/>
  <c r="BPU12" i="20" s="1"/>
  <c r="CQW12" i="20" s="1"/>
  <c r="NR12" i="20"/>
  <c r="AOT12" i="20" s="1"/>
  <c r="BPV12" i="20" s="1"/>
  <c r="CQX12" i="20" s="1"/>
  <c r="NU12" i="20"/>
  <c r="AOW12" i="20" s="1"/>
  <c r="BPY12" i="20" s="1"/>
  <c r="CRA12" i="20" s="1"/>
  <c r="NV12" i="20"/>
  <c r="AOX12" i="20" s="1"/>
  <c r="BPZ12" i="20" s="1"/>
  <c r="CRB12" i="20" s="1"/>
  <c r="NW12" i="20"/>
  <c r="NX12" i="20"/>
  <c r="NY12" i="20"/>
  <c r="NZ12" i="20"/>
  <c r="OA12" i="20"/>
  <c r="OB12" i="20"/>
  <c r="OC12" i="20"/>
  <c r="OD12" i="20"/>
  <c r="OE12" i="20"/>
  <c r="OF12" i="20"/>
  <c r="OG12" i="20"/>
  <c r="OH12" i="20"/>
  <c r="APJ12" i="20" s="1"/>
  <c r="BQL12" i="20" s="1"/>
  <c r="CRN12" i="20" s="1"/>
  <c r="OJ12" i="20"/>
  <c r="APL12" i="20" s="1"/>
  <c r="BQN12" i="20" s="1"/>
  <c r="CRP12" i="20" s="1"/>
  <c r="OM12" i="20"/>
  <c r="APO12" i="20" s="1"/>
  <c r="BQQ12" i="20" s="1"/>
  <c r="CRS12" i="20" s="1"/>
  <c r="OO12" i="20"/>
  <c r="APQ12" i="20" s="1"/>
  <c r="BQS12" i="20" s="1"/>
  <c r="CRU12" i="20" s="1"/>
  <c r="OP12" i="20"/>
  <c r="APR12" i="20" s="1"/>
  <c r="BQT12" i="20" s="1"/>
  <c r="CRV12" i="20" s="1"/>
  <c r="OQ12" i="20"/>
  <c r="APS12" i="20" s="1"/>
  <c r="BQU12" i="20" s="1"/>
  <c r="CRW12" i="20" s="1"/>
  <c r="OR12" i="20"/>
  <c r="APT12" i="20" s="1"/>
  <c r="BQV12" i="20" s="1"/>
  <c r="CRX12" i="20" s="1"/>
  <c r="OS12" i="20"/>
  <c r="OT12" i="20"/>
  <c r="OU12" i="20"/>
  <c r="OV12" i="20"/>
  <c r="OW12" i="20"/>
  <c r="OX12" i="20"/>
  <c r="OY12" i="20"/>
  <c r="OZ12" i="20"/>
  <c r="PA12" i="20"/>
  <c r="PB12" i="20"/>
  <c r="PC12" i="20"/>
  <c r="PD12" i="20"/>
  <c r="AQF12" i="20" s="1"/>
  <c r="BRH12" i="20" s="1"/>
  <c r="CSJ12" i="20" s="1"/>
  <c r="PE12" i="20"/>
  <c r="AQG12" i="20" s="1"/>
  <c r="BRI12" i="20" s="1"/>
  <c r="CSK12" i="20" s="1"/>
  <c r="PI12" i="20"/>
  <c r="AQK12" i="20" s="1"/>
  <c r="BRM12" i="20" s="1"/>
  <c r="CSO12" i="20" s="1"/>
  <c r="PJ12" i="20"/>
  <c r="AQL12" i="20" s="1"/>
  <c r="BRN12" i="20" s="1"/>
  <c r="CSP12" i="20" s="1"/>
  <c r="PK12" i="20"/>
  <c r="AQM12" i="20" s="1"/>
  <c r="BRO12" i="20" s="1"/>
  <c r="CSQ12" i="20" s="1"/>
  <c r="PO12" i="20"/>
  <c r="PP12" i="20"/>
  <c r="PQ12" i="20"/>
  <c r="PR12" i="20"/>
  <c r="PS12" i="20"/>
  <c r="PT12" i="20"/>
  <c r="PU12" i="20"/>
  <c r="PV12" i="20"/>
  <c r="PW12" i="20"/>
  <c r="PX12" i="20"/>
  <c r="PY12" i="20"/>
  <c r="PZ12" i="20"/>
  <c r="ARB12" i="20" s="1"/>
  <c r="BSD12" i="20" s="1"/>
  <c r="CTF12" i="20" s="1"/>
  <c r="QA12" i="20"/>
  <c r="ARC12" i="20" s="1"/>
  <c r="BSE12" i="20" s="1"/>
  <c r="CTG12" i="20" s="1"/>
  <c r="QB12" i="20"/>
  <c r="ARD12" i="20" s="1"/>
  <c r="BSF12" i="20" s="1"/>
  <c r="CTH12" i="20" s="1"/>
  <c r="QC12" i="20"/>
  <c r="ARE12" i="20" s="1"/>
  <c r="BSG12" i="20" s="1"/>
  <c r="CTI12" i="20" s="1"/>
  <c r="QE12" i="20"/>
  <c r="ARG12" i="20" s="1"/>
  <c r="BSI12" i="20" s="1"/>
  <c r="CTK12" i="20" s="1"/>
  <c r="QH12" i="20"/>
  <c r="ARJ12" i="20" s="1"/>
  <c r="BSL12" i="20" s="1"/>
  <c r="CTN12" i="20" s="1"/>
  <c r="QI12" i="20"/>
  <c r="ARK12" i="20" s="1"/>
  <c r="BSM12" i="20" s="1"/>
  <c r="CTO12" i="20" s="1"/>
  <c r="QJ12" i="20"/>
  <c r="ARL12" i="20" s="1"/>
  <c r="BSN12" i="20" s="1"/>
  <c r="CTP12" i="20" s="1"/>
  <c r="QK12" i="20"/>
  <c r="QL12" i="20"/>
  <c r="QM12" i="20"/>
  <c r="QN12" i="20"/>
  <c r="QO12" i="20"/>
  <c r="QP12" i="20"/>
  <c r="QQ12" i="20"/>
  <c r="QR12" i="20"/>
  <c r="QS12" i="20"/>
  <c r="QT12" i="20"/>
  <c r="QU12" i="20"/>
  <c r="QV12" i="20"/>
  <c r="ARX12" i="20" s="1"/>
  <c r="BSZ12" i="20" s="1"/>
  <c r="CUB12" i="20" s="1"/>
  <c r="QW12" i="20"/>
  <c r="ARY12" i="20" s="1"/>
  <c r="BTA12" i="20" s="1"/>
  <c r="CUC12" i="20" s="1"/>
  <c r="QY12" i="20"/>
  <c r="ASA12" i="20" s="1"/>
  <c r="BTC12" i="20" s="1"/>
  <c r="CUE12" i="20" s="1"/>
  <c r="QZ12" i="20"/>
  <c r="ASB12" i="20" s="1"/>
  <c r="BTD12" i="20" s="1"/>
  <c r="CUF12" i="20" s="1"/>
  <c r="RA12" i="20"/>
  <c r="ASC12" i="20" s="1"/>
  <c r="BTE12" i="20" s="1"/>
  <c r="CUG12" i="20" s="1"/>
  <c r="RB12" i="20"/>
  <c r="ASD12" i="20" s="1"/>
  <c r="BTF12" i="20" s="1"/>
  <c r="CUH12" i="20" s="1"/>
  <c r="RE12" i="20"/>
  <c r="ASG12" i="20" s="1"/>
  <c r="BTI12" i="20" s="1"/>
  <c r="CUK12" i="20" s="1"/>
  <c r="RG12" i="20"/>
  <c r="RH12" i="20"/>
  <c r="RI12" i="20"/>
  <c r="RJ12" i="20"/>
  <c r="RK12" i="20"/>
  <c r="RL12" i="20"/>
  <c r="RM12" i="20"/>
  <c r="RN12" i="20"/>
  <c r="RO12" i="20"/>
  <c r="RP12" i="20"/>
  <c r="RQ12" i="20"/>
  <c r="RR12" i="20"/>
  <c r="AST12" i="20" s="1"/>
  <c r="BTV12" i="20" s="1"/>
  <c r="CUX12" i="20" s="1"/>
  <c r="RT12" i="20"/>
  <c r="ASV12" i="20" s="1"/>
  <c r="BTX12" i="20" s="1"/>
  <c r="CUZ12" i="20" s="1"/>
  <c r="RU12" i="20"/>
  <c r="ASW12" i="20" s="1"/>
  <c r="BTY12" i="20" s="1"/>
  <c r="CVA12" i="20" s="1"/>
  <c r="RW12" i="20"/>
  <c r="ASY12" i="20" s="1"/>
  <c r="BUA12" i="20" s="1"/>
  <c r="CVC12" i="20" s="1"/>
  <c r="RY12" i="20"/>
  <c r="ATA12" i="20" s="1"/>
  <c r="BUC12" i="20" s="1"/>
  <c r="CVE12" i="20" s="1"/>
  <c r="RZ12" i="20"/>
  <c r="ATB12" i="20" s="1"/>
  <c r="BUD12" i="20" s="1"/>
  <c r="CVF12" i="20" s="1"/>
  <c r="SB12" i="20"/>
  <c r="ATD12" i="20" s="1"/>
  <c r="BUF12" i="20" s="1"/>
  <c r="CVH12" i="20" s="1"/>
  <c r="SC12" i="20"/>
  <c r="SD12" i="20"/>
  <c r="SE12" i="20"/>
  <c r="SF12" i="20"/>
  <c r="SG12" i="20"/>
  <c r="SH12" i="20"/>
  <c r="SI12" i="20"/>
  <c r="SJ12" i="20"/>
  <c r="SK12" i="20"/>
  <c r="SL12" i="20"/>
  <c r="SM12" i="20"/>
  <c r="SN12" i="20"/>
  <c r="ATP12" i="20" s="1"/>
  <c r="BUR12" i="20" s="1"/>
  <c r="CVT12" i="20" s="1"/>
  <c r="SO12" i="20"/>
  <c r="ATQ12" i="20" s="1"/>
  <c r="BUS12" i="20" s="1"/>
  <c r="CVU12" i="20" s="1"/>
  <c r="SS12" i="20"/>
  <c r="ATU12" i="20" s="1"/>
  <c r="BUW12" i="20" s="1"/>
  <c r="CVY12" i="20" s="1"/>
  <c r="ST12" i="20"/>
  <c r="ATV12" i="20" s="1"/>
  <c r="BUX12" i="20" s="1"/>
  <c r="CVZ12" i="20" s="1"/>
  <c r="SU12" i="20"/>
  <c r="ATW12" i="20" s="1"/>
  <c r="BUY12" i="20" s="1"/>
  <c r="CWA12" i="20" s="1"/>
  <c r="SV12" i="20"/>
  <c r="ATX12" i="20" s="1"/>
  <c r="BUZ12" i="20" s="1"/>
  <c r="CWB12" i="20" s="1"/>
  <c r="SW12" i="20"/>
  <c r="ATY12" i="20" s="1"/>
  <c r="BVA12" i="20" s="1"/>
  <c r="CWC12" i="20" s="1"/>
  <c r="SY12" i="20"/>
  <c r="SZ12" i="20"/>
  <c r="TA12" i="20"/>
  <c r="TB12" i="20"/>
  <c r="TC12" i="20"/>
  <c r="TD12" i="20"/>
  <c r="TE12" i="20"/>
  <c r="TF12" i="20"/>
  <c r="TG12" i="20"/>
  <c r="TH12" i="20"/>
  <c r="TI12" i="20"/>
  <c r="TJ12" i="20"/>
  <c r="AUL12" i="20" s="1"/>
  <c r="BVN12" i="20" s="1"/>
  <c r="CWP12" i="20" s="1"/>
  <c r="TK12" i="20"/>
  <c r="AUM12" i="20" s="1"/>
  <c r="BVO12" i="20" s="1"/>
  <c r="CWQ12" i="20" s="1"/>
  <c r="TL12" i="20"/>
  <c r="AUN12" i="20" s="1"/>
  <c r="BVP12" i="20" s="1"/>
  <c r="CWR12" i="20" s="1"/>
  <c r="TM12" i="20"/>
  <c r="AUO12" i="20" s="1"/>
  <c r="BVQ12" i="20" s="1"/>
  <c r="CWS12" i="20" s="1"/>
  <c r="TN12" i="20"/>
  <c r="AUP12" i="20" s="1"/>
  <c r="BVR12" i="20" s="1"/>
  <c r="CWT12" i="20" s="1"/>
  <c r="TO12" i="20"/>
  <c r="AUQ12" i="20" s="1"/>
  <c r="BVS12" i="20" s="1"/>
  <c r="CWU12" i="20" s="1"/>
  <c r="TR12" i="20"/>
  <c r="AUT12" i="20" s="1"/>
  <c r="BVV12" i="20" s="1"/>
  <c r="CWX12" i="20" s="1"/>
  <c r="TS12" i="20"/>
  <c r="AUU12" i="20" s="1"/>
  <c r="BVW12" i="20" s="1"/>
  <c r="CWY12" i="20" s="1"/>
  <c r="TT12" i="20"/>
  <c r="AUV12" i="20" s="1"/>
  <c r="BVX12" i="20" s="1"/>
  <c r="CWZ12" i="20" s="1"/>
  <c r="TU12" i="20"/>
  <c r="TV12" i="20"/>
  <c r="TW12" i="20"/>
  <c r="TX12" i="20"/>
  <c r="TY12" i="20"/>
  <c r="TZ12" i="20"/>
  <c r="UA12" i="20"/>
  <c r="UB12" i="20"/>
  <c r="UC12" i="20"/>
  <c r="UD12" i="20"/>
  <c r="UE12" i="20"/>
  <c r="UG12" i="20"/>
  <c r="AVI12" i="20" s="1"/>
  <c r="BWK12" i="20" s="1"/>
  <c r="CXM12" i="20" s="1"/>
  <c r="UK12" i="20"/>
  <c r="AVM12" i="20" s="1"/>
  <c r="BWO12" i="20" s="1"/>
  <c r="CXQ12" i="20" s="1"/>
  <c r="UL12" i="20"/>
  <c r="AVN12" i="20" s="1"/>
  <c r="BWP12" i="20" s="1"/>
  <c r="CXR12" i="20" s="1"/>
  <c r="UO12" i="20"/>
  <c r="AVQ12" i="20" s="1"/>
  <c r="BWS12" i="20" s="1"/>
  <c r="CXU12" i="20" s="1"/>
  <c r="UQ12" i="20"/>
  <c r="UR12" i="20"/>
  <c r="US12" i="20"/>
  <c r="UT12" i="20"/>
  <c r="UU12" i="20"/>
  <c r="UV12" i="20"/>
  <c r="UW12" i="20"/>
  <c r="UX12" i="20"/>
  <c r="UY12" i="20"/>
  <c r="UZ12" i="20"/>
  <c r="VA12" i="20"/>
  <c r="VB12" i="20"/>
  <c r="AWD12" i="20" s="1"/>
  <c r="BXF12" i="20" s="1"/>
  <c r="CYH12" i="20" s="1"/>
  <c r="VC12" i="20"/>
  <c r="AWE12" i="20" s="1"/>
  <c r="BXG12" i="20" s="1"/>
  <c r="CYI12" i="20" s="1"/>
  <c r="VD12" i="20"/>
  <c r="AWF12" i="20" s="1"/>
  <c r="BXH12" i="20" s="1"/>
  <c r="CYJ12" i="20" s="1"/>
  <c r="VF12" i="20"/>
  <c r="AWH12" i="20" s="1"/>
  <c r="BXJ12" i="20" s="1"/>
  <c r="CYL12" i="20" s="1"/>
  <c r="VG12" i="20"/>
  <c r="AWI12" i="20" s="1"/>
  <c r="BXK12" i="20" s="1"/>
  <c r="CYM12" i="20" s="1"/>
  <c r="VH12" i="20"/>
  <c r="AWJ12" i="20" s="1"/>
  <c r="BXL12" i="20" s="1"/>
  <c r="CYN12" i="20" s="1"/>
  <c r="VI12" i="20"/>
  <c r="AWK12" i="20" s="1"/>
  <c r="BXM12" i="20" s="1"/>
  <c r="CYO12" i="20" s="1"/>
  <c r="VJ12" i="20"/>
  <c r="AWL12" i="20" s="1"/>
  <c r="BXN12" i="20" s="1"/>
  <c r="CYP12" i="20" s="1"/>
  <c r="VL12" i="20"/>
  <c r="AWN12" i="20" s="1"/>
  <c r="BXP12" i="20" s="1"/>
  <c r="CYR12" i="20" s="1"/>
  <c r="VM12" i="20"/>
  <c r="VN12" i="20"/>
  <c r="VO12" i="20"/>
  <c r="VP12" i="20"/>
  <c r="VQ12" i="20"/>
  <c r="VR12" i="20"/>
  <c r="VS12" i="20"/>
  <c r="VT12" i="20"/>
  <c r="VU12" i="20"/>
  <c r="VV12" i="20"/>
  <c r="VW12" i="20"/>
  <c r="VX12" i="20"/>
  <c r="AWZ12" i="20" s="1"/>
  <c r="BYB12" i="20" s="1"/>
  <c r="CZD12" i="20" s="1"/>
  <c r="VY12" i="20"/>
  <c r="AXA12" i="20" s="1"/>
  <c r="BYC12" i="20" s="1"/>
  <c r="CZE12" i="20" s="1"/>
  <c r="WC12" i="20"/>
  <c r="AXE12" i="20" s="1"/>
  <c r="BYG12" i="20" s="1"/>
  <c r="CZI12" i="20" s="1"/>
  <c r="WE12" i="20"/>
  <c r="AXG12" i="20" s="1"/>
  <c r="BYI12" i="20" s="1"/>
  <c r="CZK12" i="20" s="1"/>
  <c r="WG12" i="20"/>
  <c r="AXI12" i="20" s="1"/>
  <c r="BYK12" i="20" s="1"/>
  <c r="CZM12" i="20" s="1"/>
  <c r="WH12" i="20"/>
  <c r="AXJ12" i="20" s="1"/>
  <c r="BYL12" i="20" s="1"/>
  <c r="CZN12" i="20" s="1"/>
  <c r="WI12" i="20"/>
  <c r="WJ12" i="20"/>
  <c r="WK12" i="20"/>
  <c r="WL12" i="20"/>
  <c r="WM12" i="20"/>
  <c r="WN12" i="20"/>
  <c r="WO12" i="20"/>
  <c r="WP12" i="20"/>
  <c r="WQ12" i="20"/>
  <c r="WR12" i="20"/>
  <c r="WS12" i="20"/>
  <c r="WT12" i="20"/>
  <c r="AXV12" i="20" s="1"/>
  <c r="BYX12" i="20" s="1"/>
  <c r="CZZ12" i="20" s="1"/>
  <c r="WU12" i="20"/>
  <c r="AXW12" i="20" s="1"/>
  <c r="BYY12" i="20" s="1"/>
  <c r="DAA12" i="20" s="1"/>
  <c r="WV12" i="20"/>
  <c r="AXX12" i="20" s="1"/>
  <c r="BYZ12" i="20" s="1"/>
  <c r="DAB12" i="20" s="1"/>
  <c r="WY12" i="20"/>
  <c r="AYA12" i="20" s="1"/>
  <c r="BZC12" i="20" s="1"/>
  <c r="DAE12" i="20" s="1"/>
  <c r="XB12" i="20"/>
  <c r="AYD12" i="20" s="1"/>
  <c r="BZF12" i="20" s="1"/>
  <c r="DAH12" i="20" s="1"/>
  <c r="XC12" i="20"/>
  <c r="AYE12" i="20" s="1"/>
  <c r="BZG12" i="20" s="1"/>
  <c r="DAI12" i="20" s="1"/>
  <c r="XD12" i="20"/>
  <c r="AYF12" i="20" s="1"/>
  <c r="BZH12" i="20" s="1"/>
  <c r="DAJ12" i="20" s="1"/>
  <c r="XE12" i="20"/>
  <c r="XF12" i="20"/>
  <c r="XG12" i="20"/>
  <c r="XH12" i="20"/>
  <c r="XI12" i="20"/>
  <c r="XJ12" i="20"/>
  <c r="XK12" i="20"/>
  <c r="XL12" i="20"/>
  <c r="XM12" i="20"/>
  <c r="XN12" i="20"/>
  <c r="XO12" i="20"/>
  <c r="XP12" i="20"/>
  <c r="AYR12" i="20" s="1"/>
  <c r="BZT12" i="20" s="1"/>
  <c r="DAV12" i="20" s="1"/>
  <c r="XQ12" i="20"/>
  <c r="AYS12" i="20" s="1"/>
  <c r="BZU12" i="20" s="1"/>
  <c r="DAW12" i="20" s="1"/>
  <c r="XR12" i="20"/>
  <c r="AYT12" i="20" s="1"/>
  <c r="BZV12" i="20" s="1"/>
  <c r="DAX12" i="20" s="1"/>
  <c r="XS12" i="20"/>
  <c r="AYU12" i="20" s="1"/>
  <c r="BZW12" i="20" s="1"/>
  <c r="DAY12" i="20" s="1"/>
  <c r="XU12" i="20"/>
  <c r="AYW12" i="20" s="1"/>
  <c r="BZY12" i="20" s="1"/>
  <c r="DBA12" i="20" s="1"/>
  <c r="XX12" i="20"/>
  <c r="AYZ12" i="20" s="1"/>
  <c r="CAB12" i="20" s="1"/>
  <c r="DBD12" i="20" s="1"/>
  <c r="XY12" i="20"/>
  <c r="AZA12" i="20" s="1"/>
  <c r="CAC12" i="20" s="1"/>
  <c r="DBE12" i="20" s="1"/>
  <c r="YA12" i="20"/>
  <c r="YB12" i="20"/>
  <c r="YC12" i="20"/>
  <c r="YD12" i="20"/>
  <c r="YE12" i="20"/>
  <c r="YF12" i="20"/>
  <c r="YG12" i="20"/>
  <c r="YH12" i="20"/>
  <c r="YI12" i="20"/>
  <c r="YJ12" i="20"/>
  <c r="YK12" i="20"/>
  <c r="YL12" i="20"/>
  <c r="AZN12" i="20" s="1"/>
  <c r="CAP12" i="20" s="1"/>
  <c r="DBR12" i="20" s="1"/>
  <c r="YN12" i="20"/>
  <c r="AZP12" i="20" s="1"/>
  <c r="CAR12" i="20" s="1"/>
  <c r="DBT12" i="20" s="1"/>
  <c r="YP12" i="20"/>
  <c r="AZR12" i="20" s="1"/>
  <c r="CAT12" i="20" s="1"/>
  <c r="DBV12" i="20" s="1"/>
  <c r="YQ12" i="20"/>
  <c r="AZS12" i="20" s="1"/>
  <c r="CAU12" i="20" s="1"/>
  <c r="DBW12" i="20" s="1"/>
  <c r="YS12" i="20"/>
  <c r="AZU12" i="20" s="1"/>
  <c r="CAW12" i="20" s="1"/>
  <c r="DBY12" i="20" s="1"/>
  <c r="YT12" i="20"/>
  <c r="AZV12" i="20" s="1"/>
  <c r="CAX12" i="20" s="1"/>
  <c r="DBZ12" i="20" s="1"/>
  <c r="YV12" i="20"/>
  <c r="AZX12" i="20" s="1"/>
  <c r="CAZ12" i="20" s="1"/>
  <c r="DCB12" i="20" s="1"/>
  <c r="YW12" i="20"/>
  <c r="YX12" i="20"/>
  <c r="YY12" i="20"/>
  <c r="YZ12" i="20"/>
  <c r="ZA12" i="20"/>
  <c r="ZB12" i="20"/>
  <c r="ZC12" i="20"/>
  <c r="ZD12" i="20"/>
  <c r="ZE12" i="20"/>
  <c r="ZF12" i="20"/>
  <c r="ZG12" i="20"/>
  <c r="ZH12" i="20"/>
  <c r="BAJ12" i="20" s="1"/>
  <c r="CBL12" i="20" s="1"/>
  <c r="DCN12" i="20" s="1"/>
  <c r="ZI12" i="20"/>
  <c r="BAK12" i="20" s="1"/>
  <c r="CBM12" i="20" s="1"/>
  <c r="DCO12" i="20" s="1"/>
  <c r="ZL12" i="20"/>
  <c r="BAN12" i="20" s="1"/>
  <c r="CBP12" i="20" s="1"/>
  <c r="DCR12" i="20" s="1"/>
  <c r="ZM12" i="20"/>
  <c r="BAO12" i="20" s="1"/>
  <c r="CBQ12" i="20" s="1"/>
  <c r="DCS12" i="20" s="1"/>
  <c r="ZN12" i="20"/>
  <c r="BAP12" i="20" s="1"/>
  <c r="CBR12" i="20" s="1"/>
  <c r="DCT12" i="20" s="1"/>
  <c r="ZO12" i="20"/>
  <c r="BAQ12" i="20" s="1"/>
  <c r="CBS12" i="20" s="1"/>
  <c r="DCU12" i="20" s="1"/>
  <c r="ZQ12" i="20"/>
  <c r="BAS12" i="20" s="1"/>
  <c r="CBU12" i="20" s="1"/>
  <c r="DCW12" i="20" s="1"/>
  <c r="ZS12" i="20"/>
  <c r="ZT12" i="20"/>
  <c r="ZU12" i="20"/>
  <c r="ZV12" i="20"/>
  <c r="ZW12" i="20"/>
  <c r="ZX12" i="20"/>
  <c r="ZY12" i="20"/>
  <c r="ZZ12" i="20"/>
  <c r="AAA12" i="20"/>
  <c r="AAB12" i="20"/>
  <c r="AAC12" i="20"/>
  <c r="M13" i="20"/>
  <c r="N13" i="20"/>
  <c r="O13" i="20"/>
  <c r="P13" i="20"/>
  <c r="Q13" i="20"/>
  <c r="R13" i="20"/>
  <c r="S13" i="20"/>
  <c r="T13" i="20"/>
  <c r="U13" i="20"/>
  <c r="V13" i="20"/>
  <c r="W13" i="20"/>
  <c r="AI13" i="20"/>
  <c r="AJ13" i="20"/>
  <c r="AK13" i="20"/>
  <c r="AL13" i="20"/>
  <c r="AM13" i="20"/>
  <c r="AN13" i="20"/>
  <c r="AO13" i="20"/>
  <c r="AP13" i="20"/>
  <c r="AQ13" i="20"/>
  <c r="AR13" i="20"/>
  <c r="AS13" i="20"/>
  <c r="BE13" i="20"/>
  <c r="BF13" i="20"/>
  <c r="BG13" i="20"/>
  <c r="BH13" i="20"/>
  <c r="BI13" i="20"/>
  <c r="BJ13" i="20"/>
  <c r="BK13" i="20"/>
  <c r="BL13" i="20"/>
  <c r="BM13" i="20"/>
  <c r="BN13" i="20"/>
  <c r="BO13" i="20"/>
  <c r="CA13" i="20"/>
  <c r="CB13" i="20"/>
  <c r="CC13" i="20"/>
  <c r="CD13" i="20"/>
  <c r="CE13" i="20"/>
  <c r="CF13" i="20"/>
  <c r="CG13" i="20"/>
  <c r="CH13" i="20"/>
  <c r="CI13" i="20"/>
  <c r="CJ13" i="20"/>
  <c r="CK13" i="20"/>
  <c r="CW13" i="20"/>
  <c r="CX13" i="20"/>
  <c r="CY13" i="20"/>
  <c r="CZ13" i="20"/>
  <c r="DA13" i="20"/>
  <c r="DB13" i="20"/>
  <c r="DC13" i="20"/>
  <c r="DD13" i="20"/>
  <c r="DE13" i="20"/>
  <c r="DF13" i="20"/>
  <c r="DG13" i="20"/>
  <c r="DS13" i="20"/>
  <c r="DT13" i="20"/>
  <c r="DU13" i="20"/>
  <c r="DV13" i="20"/>
  <c r="DW13" i="20"/>
  <c r="DX13" i="20"/>
  <c r="DY13" i="20"/>
  <c r="DZ13" i="20"/>
  <c r="EA13" i="20"/>
  <c r="EB13" i="20"/>
  <c r="EC13" i="20"/>
  <c r="EO13" i="20"/>
  <c r="EP13" i="20"/>
  <c r="EQ13" i="20"/>
  <c r="ER13" i="20"/>
  <c r="ES13" i="20"/>
  <c r="ET13" i="20"/>
  <c r="EU13" i="20"/>
  <c r="EV13" i="20"/>
  <c r="EW13" i="20"/>
  <c r="EX13" i="20"/>
  <c r="EY13" i="20"/>
  <c r="FK13" i="20"/>
  <c r="FL13" i="20"/>
  <c r="FM13" i="20"/>
  <c r="FN13" i="20"/>
  <c r="FO13" i="20"/>
  <c r="FP13" i="20"/>
  <c r="FQ13" i="20"/>
  <c r="FR13" i="20"/>
  <c r="FS13" i="20"/>
  <c r="FT13" i="20"/>
  <c r="FU13" i="20"/>
  <c r="GG13" i="20"/>
  <c r="GH13" i="20"/>
  <c r="GI13" i="20"/>
  <c r="GJ13" i="20"/>
  <c r="GK13" i="20"/>
  <c r="GL13" i="20"/>
  <c r="GM13" i="20"/>
  <c r="GN13" i="20"/>
  <c r="GO13" i="20"/>
  <c r="GP13" i="20"/>
  <c r="GQ13" i="20"/>
  <c r="HC13" i="20"/>
  <c r="HD13" i="20"/>
  <c r="HE13" i="20"/>
  <c r="HF13" i="20"/>
  <c r="HG13" i="20"/>
  <c r="HH13" i="20"/>
  <c r="HI13" i="20"/>
  <c r="HJ13" i="20"/>
  <c r="HK13" i="20"/>
  <c r="HL13" i="20"/>
  <c r="HM13" i="20"/>
  <c r="HY13" i="20"/>
  <c r="HZ13" i="20"/>
  <c r="IA13" i="20"/>
  <c r="IB13" i="20"/>
  <c r="IC13" i="20"/>
  <c r="ID13" i="20"/>
  <c r="IE13" i="20"/>
  <c r="IF13" i="20"/>
  <c r="IG13" i="20"/>
  <c r="IH13" i="20"/>
  <c r="II13" i="20"/>
  <c r="IU13" i="20"/>
  <c r="IV13" i="20"/>
  <c r="IW13" i="20"/>
  <c r="IX13" i="20"/>
  <c r="IY13" i="20"/>
  <c r="IZ13" i="20"/>
  <c r="JA13" i="20"/>
  <c r="JB13" i="20"/>
  <c r="JC13" i="20"/>
  <c r="JD13" i="20"/>
  <c r="JE13" i="20"/>
  <c r="JQ13" i="20"/>
  <c r="JR13" i="20"/>
  <c r="JS13" i="20"/>
  <c r="JT13" i="20"/>
  <c r="JU13" i="20"/>
  <c r="JV13" i="20"/>
  <c r="JW13" i="20"/>
  <c r="JX13" i="20"/>
  <c r="JY13" i="20"/>
  <c r="JZ13" i="20"/>
  <c r="KA13" i="20"/>
  <c r="KM13" i="20"/>
  <c r="KN13" i="20"/>
  <c r="KO13" i="20"/>
  <c r="KP13" i="20"/>
  <c r="KQ13" i="20"/>
  <c r="KR13" i="20"/>
  <c r="KS13" i="20"/>
  <c r="KT13" i="20"/>
  <c r="KU13" i="20"/>
  <c r="KV13" i="20"/>
  <c r="KW13" i="20"/>
  <c r="LI13" i="20"/>
  <c r="LJ13" i="20"/>
  <c r="LK13" i="20"/>
  <c r="LL13" i="20"/>
  <c r="LM13" i="20"/>
  <c r="LN13" i="20"/>
  <c r="LO13" i="20"/>
  <c r="LP13" i="20"/>
  <c r="LQ13" i="20"/>
  <c r="LR13" i="20"/>
  <c r="LS13" i="20"/>
  <c r="ME13" i="20"/>
  <c r="MF13" i="20"/>
  <c r="MG13" i="20"/>
  <c r="MH13" i="20"/>
  <c r="MI13" i="20"/>
  <c r="MJ13" i="20"/>
  <c r="MK13" i="20"/>
  <c r="ML13" i="20"/>
  <c r="MM13" i="20"/>
  <c r="MN13" i="20"/>
  <c r="MO13" i="20"/>
  <c r="NA13" i="20"/>
  <c r="NB13" i="20"/>
  <c r="NC13" i="20"/>
  <c r="ND13" i="20"/>
  <c r="NE13" i="20"/>
  <c r="NF13" i="20"/>
  <c r="NG13" i="20"/>
  <c r="NH13" i="20"/>
  <c r="NI13" i="20"/>
  <c r="NJ13" i="20"/>
  <c r="NK13" i="20"/>
  <c r="NM13" i="20"/>
  <c r="AOO13" i="20" s="1"/>
  <c r="BPQ13" i="20" s="1"/>
  <c r="CQS13" i="20" s="1"/>
  <c r="NN13" i="20"/>
  <c r="AOP13" i="20" s="1"/>
  <c r="BPR13" i="20" s="1"/>
  <c r="CQT13" i="20" s="1"/>
  <c r="NU13" i="20"/>
  <c r="AOW13" i="20" s="1"/>
  <c r="BPY13" i="20" s="1"/>
  <c r="CRA13" i="20" s="1"/>
  <c r="NV13" i="20"/>
  <c r="AOX13" i="20" s="1"/>
  <c r="BPZ13" i="20" s="1"/>
  <c r="CRB13" i="20" s="1"/>
  <c r="NW13" i="20"/>
  <c r="NX13" i="20"/>
  <c r="NY13" i="20"/>
  <c r="NZ13" i="20"/>
  <c r="OA13" i="20"/>
  <c r="OB13" i="20"/>
  <c r="OC13" i="20"/>
  <c r="OD13" i="20"/>
  <c r="OE13" i="20"/>
  <c r="OF13" i="20"/>
  <c r="OG13" i="20"/>
  <c r="OH13" i="20"/>
  <c r="APJ13" i="20" s="1"/>
  <c r="BQL13" i="20" s="1"/>
  <c r="CRN13" i="20" s="1"/>
  <c r="OI13" i="20"/>
  <c r="APK13" i="20" s="1"/>
  <c r="BQM13" i="20" s="1"/>
  <c r="CRO13" i="20" s="1"/>
  <c r="OJ13" i="20"/>
  <c r="APL13" i="20" s="1"/>
  <c r="BQN13" i="20" s="1"/>
  <c r="CRP13" i="20" s="1"/>
  <c r="OR13" i="20"/>
  <c r="APT13" i="20" s="1"/>
  <c r="BQV13" i="20" s="1"/>
  <c r="CRX13" i="20" s="1"/>
  <c r="OS13" i="20"/>
  <c r="OT13" i="20"/>
  <c r="OU13" i="20"/>
  <c r="OV13" i="20"/>
  <c r="OW13" i="20"/>
  <c r="OX13" i="20"/>
  <c r="OY13" i="20"/>
  <c r="OZ13" i="20"/>
  <c r="PA13" i="20"/>
  <c r="PB13" i="20"/>
  <c r="PC13" i="20"/>
  <c r="PE13" i="20"/>
  <c r="AQG13" i="20" s="1"/>
  <c r="BRI13" i="20" s="1"/>
  <c r="CSK13" i="20" s="1"/>
  <c r="PF13" i="20"/>
  <c r="AQH13" i="20" s="1"/>
  <c r="BRJ13" i="20" s="1"/>
  <c r="CSL13" i="20" s="1"/>
  <c r="PM13" i="20"/>
  <c r="AQO13" i="20" s="1"/>
  <c r="BRQ13" i="20" s="1"/>
  <c r="CSS13" i="20" s="1"/>
  <c r="PN13" i="20"/>
  <c r="AQP13" i="20" s="1"/>
  <c r="BRR13" i="20" s="1"/>
  <c r="CST13" i="20" s="1"/>
  <c r="PO13" i="20"/>
  <c r="PP13" i="20"/>
  <c r="PQ13" i="20"/>
  <c r="PR13" i="20"/>
  <c r="PS13" i="20"/>
  <c r="PT13" i="20"/>
  <c r="PU13" i="20"/>
  <c r="PV13" i="20"/>
  <c r="PW13" i="20"/>
  <c r="PX13" i="20"/>
  <c r="PY13" i="20"/>
  <c r="PZ13" i="20"/>
  <c r="ARB13" i="20" s="1"/>
  <c r="BSD13" i="20" s="1"/>
  <c r="CTF13" i="20" s="1"/>
  <c r="QA13" i="20"/>
  <c r="ARC13" i="20" s="1"/>
  <c r="BSE13" i="20" s="1"/>
  <c r="CTG13" i="20" s="1"/>
  <c r="QB13" i="20"/>
  <c r="ARD13" i="20" s="1"/>
  <c r="BSF13" i="20" s="1"/>
  <c r="CTH13" i="20" s="1"/>
  <c r="QI13" i="20"/>
  <c r="ARK13" i="20" s="1"/>
  <c r="BSM13" i="20" s="1"/>
  <c r="CTO13" i="20" s="1"/>
  <c r="QJ13" i="20"/>
  <c r="ARL13" i="20" s="1"/>
  <c r="BSN13" i="20" s="1"/>
  <c r="CTP13" i="20" s="1"/>
  <c r="QK13" i="20"/>
  <c r="QL13" i="20"/>
  <c r="QM13" i="20"/>
  <c r="QN13" i="20"/>
  <c r="QO13" i="20"/>
  <c r="QP13" i="20"/>
  <c r="QQ13" i="20"/>
  <c r="QR13" i="20"/>
  <c r="QS13" i="20"/>
  <c r="QT13" i="20"/>
  <c r="QU13" i="20"/>
  <c r="QV13" i="20"/>
  <c r="ARX13" i="20" s="1"/>
  <c r="BSZ13" i="20" s="1"/>
  <c r="CUB13" i="20" s="1"/>
  <c r="QW13" i="20"/>
  <c r="ARY13" i="20" s="1"/>
  <c r="BTA13" i="20" s="1"/>
  <c r="CUC13" i="20" s="1"/>
  <c r="QX13" i="20"/>
  <c r="ARZ13" i="20" s="1"/>
  <c r="BTB13" i="20" s="1"/>
  <c r="CUD13" i="20" s="1"/>
  <c r="RE13" i="20"/>
  <c r="ASG13" i="20" s="1"/>
  <c r="BTI13" i="20" s="1"/>
  <c r="CUK13" i="20" s="1"/>
  <c r="RF13" i="20"/>
  <c r="ASH13" i="20" s="1"/>
  <c r="BTJ13" i="20" s="1"/>
  <c r="CUL13" i="20" s="1"/>
  <c r="RG13" i="20"/>
  <c r="RH13" i="20"/>
  <c r="RI13" i="20"/>
  <c r="RJ13" i="20"/>
  <c r="RK13" i="20"/>
  <c r="RL13" i="20"/>
  <c r="RM13" i="20"/>
  <c r="RN13" i="20"/>
  <c r="RO13" i="20"/>
  <c r="RP13" i="20"/>
  <c r="RQ13" i="20"/>
  <c r="RR13" i="20"/>
  <c r="AST13" i="20" s="1"/>
  <c r="BTV13" i="20" s="1"/>
  <c r="CUX13" i="20" s="1"/>
  <c r="RS13" i="20"/>
  <c r="ASU13" i="20" s="1"/>
  <c r="BTW13" i="20" s="1"/>
  <c r="CUY13" i="20" s="1"/>
  <c r="RT13" i="20"/>
  <c r="ASV13" i="20" s="1"/>
  <c r="BTX13" i="20" s="1"/>
  <c r="CUZ13" i="20" s="1"/>
  <c r="SA13" i="20"/>
  <c r="ATC13" i="20" s="1"/>
  <c r="BUE13" i="20" s="1"/>
  <c r="CVG13" i="20" s="1"/>
  <c r="SB13" i="20"/>
  <c r="ATD13" i="20" s="1"/>
  <c r="BUF13" i="20" s="1"/>
  <c r="CVH13" i="20" s="1"/>
  <c r="SC13" i="20"/>
  <c r="SD13" i="20"/>
  <c r="SE13" i="20"/>
  <c r="SF13" i="20"/>
  <c r="SG13" i="20"/>
  <c r="SH13" i="20"/>
  <c r="SI13" i="20"/>
  <c r="SJ13" i="20"/>
  <c r="SK13" i="20"/>
  <c r="SL13" i="20"/>
  <c r="SM13" i="20"/>
  <c r="SO13" i="20"/>
  <c r="ATQ13" i="20" s="1"/>
  <c r="BUS13" i="20" s="1"/>
  <c r="CVU13" i="20" s="1"/>
  <c r="SP13" i="20"/>
  <c r="ATR13" i="20" s="1"/>
  <c r="BUT13" i="20" s="1"/>
  <c r="CVV13" i="20" s="1"/>
  <c r="SW13" i="20"/>
  <c r="ATY13" i="20" s="1"/>
  <c r="BVA13" i="20" s="1"/>
  <c r="CWC13" i="20" s="1"/>
  <c r="SX13" i="20"/>
  <c r="ATZ13" i="20" s="1"/>
  <c r="BVB13" i="20" s="1"/>
  <c r="CWD13" i="20" s="1"/>
  <c r="SY13" i="20"/>
  <c r="SZ13" i="20"/>
  <c r="TA13" i="20"/>
  <c r="TB13" i="20"/>
  <c r="TC13" i="20"/>
  <c r="TD13" i="20"/>
  <c r="TE13" i="20"/>
  <c r="TF13" i="20"/>
  <c r="TG13" i="20"/>
  <c r="TH13" i="20"/>
  <c r="TI13" i="20"/>
  <c r="TJ13" i="20"/>
  <c r="AUL13" i="20" s="1"/>
  <c r="BVN13" i="20" s="1"/>
  <c r="CWP13" i="20" s="1"/>
  <c r="TK13" i="20"/>
  <c r="AUM13" i="20" s="1"/>
  <c r="BVO13" i="20" s="1"/>
  <c r="CWQ13" i="20" s="1"/>
  <c r="TL13" i="20"/>
  <c r="AUN13" i="20" s="1"/>
  <c r="BVP13" i="20" s="1"/>
  <c r="CWR13" i="20" s="1"/>
  <c r="TT13" i="20"/>
  <c r="AUV13" i="20" s="1"/>
  <c r="BVX13" i="20" s="1"/>
  <c r="CWZ13" i="20" s="1"/>
  <c r="TU13" i="20"/>
  <c r="TV13" i="20"/>
  <c r="TW13" i="20"/>
  <c r="TX13" i="20"/>
  <c r="TY13" i="20"/>
  <c r="TZ13" i="20"/>
  <c r="UA13" i="20"/>
  <c r="UB13" i="20"/>
  <c r="UC13" i="20"/>
  <c r="UD13" i="20"/>
  <c r="UE13" i="20"/>
  <c r="UF13" i="20"/>
  <c r="AVH13" i="20" s="1"/>
  <c r="BWJ13" i="20" s="1"/>
  <c r="CXL13" i="20" s="1"/>
  <c r="UG13" i="20"/>
  <c r="AVI13" i="20" s="1"/>
  <c r="BWK13" i="20" s="1"/>
  <c r="CXM13" i="20" s="1"/>
  <c r="UH13" i="20"/>
  <c r="AVJ13" i="20" s="1"/>
  <c r="BWL13" i="20" s="1"/>
  <c r="CXN13" i="20" s="1"/>
  <c r="UO13" i="20"/>
  <c r="AVQ13" i="20" s="1"/>
  <c r="BWS13" i="20" s="1"/>
  <c r="CXU13" i="20" s="1"/>
  <c r="UP13" i="20"/>
  <c r="AVR13" i="20" s="1"/>
  <c r="BWT13" i="20" s="1"/>
  <c r="CXV13" i="20" s="1"/>
  <c r="UQ13" i="20"/>
  <c r="UR13" i="20"/>
  <c r="US13" i="20"/>
  <c r="UT13" i="20"/>
  <c r="UU13" i="20"/>
  <c r="UV13" i="20"/>
  <c r="UW13" i="20"/>
  <c r="UX13" i="20"/>
  <c r="UY13" i="20"/>
  <c r="UZ13" i="20"/>
  <c r="VA13" i="20"/>
  <c r="VB13" i="20"/>
  <c r="AWD13" i="20" s="1"/>
  <c r="BXF13" i="20" s="1"/>
  <c r="CYH13" i="20" s="1"/>
  <c r="VC13" i="20"/>
  <c r="AWE13" i="20" s="1"/>
  <c r="BXG13" i="20" s="1"/>
  <c r="CYI13" i="20" s="1"/>
  <c r="VD13" i="20"/>
  <c r="AWF13" i="20" s="1"/>
  <c r="BXH13" i="20" s="1"/>
  <c r="CYJ13" i="20" s="1"/>
  <c r="VL13" i="20"/>
  <c r="AWN13" i="20" s="1"/>
  <c r="BXP13" i="20" s="1"/>
  <c r="CYR13" i="20" s="1"/>
  <c r="VM13" i="20"/>
  <c r="VN13" i="20"/>
  <c r="VO13" i="20"/>
  <c r="VP13" i="20"/>
  <c r="VQ13" i="20"/>
  <c r="VR13" i="20"/>
  <c r="VS13" i="20"/>
  <c r="VT13" i="20"/>
  <c r="VU13" i="20"/>
  <c r="VV13" i="20"/>
  <c r="VW13" i="20"/>
  <c r="VY13" i="20"/>
  <c r="AXA13" i="20" s="1"/>
  <c r="BYC13" i="20" s="1"/>
  <c r="CZE13" i="20" s="1"/>
  <c r="VZ13" i="20"/>
  <c r="AXB13" i="20" s="1"/>
  <c r="BYD13" i="20" s="1"/>
  <c r="CZF13" i="20" s="1"/>
  <c r="WG13" i="20"/>
  <c r="AXI13" i="20" s="1"/>
  <c r="BYK13" i="20" s="1"/>
  <c r="CZM13" i="20" s="1"/>
  <c r="WH13" i="20"/>
  <c r="AXJ13" i="20" s="1"/>
  <c r="BYL13" i="20" s="1"/>
  <c r="CZN13" i="20" s="1"/>
  <c r="WI13" i="20"/>
  <c r="WJ13" i="20"/>
  <c r="WK13" i="20"/>
  <c r="WL13" i="20"/>
  <c r="WM13" i="20"/>
  <c r="WN13" i="20"/>
  <c r="WO13" i="20"/>
  <c r="WP13" i="20"/>
  <c r="WQ13" i="20"/>
  <c r="WR13" i="20"/>
  <c r="WS13" i="20"/>
  <c r="WT13" i="20"/>
  <c r="AXV13" i="20" s="1"/>
  <c r="BYX13" i="20" s="1"/>
  <c r="CZZ13" i="20" s="1"/>
  <c r="WU13" i="20"/>
  <c r="AXW13" i="20" s="1"/>
  <c r="BYY13" i="20" s="1"/>
  <c r="DAA13" i="20" s="1"/>
  <c r="WV13" i="20"/>
  <c r="AXX13" i="20" s="1"/>
  <c r="BYZ13" i="20" s="1"/>
  <c r="DAB13" i="20" s="1"/>
  <c r="XD13" i="20"/>
  <c r="AYF13" i="20" s="1"/>
  <c r="BZH13" i="20" s="1"/>
  <c r="DAJ13" i="20" s="1"/>
  <c r="XE13" i="20"/>
  <c r="XF13" i="20"/>
  <c r="XG13" i="20"/>
  <c r="XH13" i="20"/>
  <c r="XI13" i="20"/>
  <c r="XJ13" i="20"/>
  <c r="XK13" i="20"/>
  <c r="XL13" i="20"/>
  <c r="XM13" i="20"/>
  <c r="XN13" i="20"/>
  <c r="XO13" i="20"/>
  <c r="XP13" i="20"/>
  <c r="AYR13" i="20" s="1"/>
  <c r="BZT13" i="20" s="1"/>
  <c r="DAV13" i="20" s="1"/>
  <c r="XQ13" i="20"/>
  <c r="AYS13" i="20" s="1"/>
  <c r="BZU13" i="20" s="1"/>
  <c r="DAW13" i="20" s="1"/>
  <c r="XR13" i="20"/>
  <c r="AYT13" i="20" s="1"/>
  <c r="BZV13" i="20" s="1"/>
  <c r="DAX13" i="20" s="1"/>
  <c r="XY13" i="20"/>
  <c r="AZA13" i="20" s="1"/>
  <c r="CAC13" i="20" s="1"/>
  <c r="DBE13" i="20" s="1"/>
  <c r="XZ13" i="20"/>
  <c r="AZB13" i="20" s="1"/>
  <c r="CAD13" i="20" s="1"/>
  <c r="DBF13" i="20" s="1"/>
  <c r="YA13" i="20"/>
  <c r="YB13" i="20"/>
  <c r="YC13" i="20"/>
  <c r="YD13" i="20"/>
  <c r="YE13" i="20"/>
  <c r="YF13" i="20"/>
  <c r="YG13" i="20"/>
  <c r="YH13" i="20"/>
  <c r="YI13" i="20"/>
  <c r="YJ13" i="20"/>
  <c r="YK13" i="20"/>
  <c r="YL13" i="20"/>
  <c r="AZN13" i="20" s="1"/>
  <c r="CAP13" i="20" s="1"/>
  <c r="DBR13" i="20" s="1"/>
  <c r="YM13" i="20"/>
  <c r="AZO13" i="20" s="1"/>
  <c r="CAQ13" i="20" s="1"/>
  <c r="DBS13" i="20" s="1"/>
  <c r="YN13" i="20"/>
  <c r="AZP13" i="20" s="1"/>
  <c r="CAR13" i="20" s="1"/>
  <c r="DBT13" i="20" s="1"/>
  <c r="YV13" i="20"/>
  <c r="AZX13" i="20" s="1"/>
  <c r="CAZ13" i="20" s="1"/>
  <c r="DCB13" i="20" s="1"/>
  <c r="YW13" i="20"/>
  <c r="YX13" i="20"/>
  <c r="YY13" i="20"/>
  <c r="YZ13" i="20"/>
  <c r="ZA13" i="20"/>
  <c r="ZB13" i="20"/>
  <c r="ZC13" i="20"/>
  <c r="ZD13" i="20"/>
  <c r="ZE13" i="20"/>
  <c r="ZF13" i="20"/>
  <c r="ZG13" i="20"/>
  <c r="ZI13" i="20"/>
  <c r="BAK13" i="20" s="1"/>
  <c r="CBM13" i="20" s="1"/>
  <c r="DCO13" i="20" s="1"/>
  <c r="ZJ13" i="20"/>
  <c r="BAL13" i="20" s="1"/>
  <c r="CBN13" i="20" s="1"/>
  <c r="DCP13" i="20" s="1"/>
  <c r="ZQ13" i="20"/>
  <c r="BAS13" i="20" s="1"/>
  <c r="CBU13" i="20" s="1"/>
  <c r="DCW13" i="20" s="1"/>
  <c r="ZR13" i="20"/>
  <c r="BAT13" i="20" s="1"/>
  <c r="CBV13" i="20" s="1"/>
  <c r="DCX13" i="20" s="1"/>
  <c r="ZS13" i="20"/>
  <c r="ZT13" i="20"/>
  <c r="ZU13" i="20"/>
  <c r="ZV13" i="20"/>
  <c r="ZW13" i="20"/>
  <c r="ZX13" i="20"/>
  <c r="ZY13" i="20"/>
  <c r="ZZ13" i="20"/>
  <c r="AAA13" i="20"/>
  <c r="AAB13" i="20"/>
  <c r="AAC13" i="20"/>
  <c r="C14" i="20"/>
  <c r="D14" i="20"/>
  <c r="E14" i="20"/>
  <c r="F14" i="20"/>
  <c r="G14" i="20"/>
  <c r="H14" i="20"/>
  <c r="I14" i="20"/>
  <c r="J14" i="20"/>
  <c r="K14" i="20"/>
  <c r="L14" i="20"/>
  <c r="M14" i="20"/>
  <c r="N14" i="20"/>
  <c r="O14" i="20"/>
  <c r="P14" i="20"/>
  <c r="Q14" i="20"/>
  <c r="R14" i="20"/>
  <c r="S14" i="20"/>
  <c r="T14" i="20"/>
  <c r="U14" i="20"/>
  <c r="V14" i="20"/>
  <c r="W14" i="20"/>
  <c r="X14" i="20"/>
  <c r="Y14" i="20"/>
  <c r="Z14" i="20"/>
  <c r="AA14" i="20"/>
  <c r="AB14" i="20"/>
  <c r="AC14" i="20"/>
  <c r="AD14" i="20"/>
  <c r="AE14" i="20"/>
  <c r="AF14" i="20"/>
  <c r="AG14" i="20"/>
  <c r="AH14" i="20"/>
  <c r="AI14" i="20"/>
  <c r="AJ14" i="20"/>
  <c r="AK14" i="20"/>
  <c r="AL14" i="20"/>
  <c r="AM14" i="20"/>
  <c r="AN14" i="20"/>
  <c r="AO14" i="20"/>
  <c r="AP14" i="20"/>
  <c r="AQ14" i="20"/>
  <c r="AR14" i="20"/>
  <c r="AS14" i="20"/>
  <c r="AT14" i="20"/>
  <c r="AU14" i="20"/>
  <c r="AV14" i="20"/>
  <c r="AW14" i="20"/>
  <c r="AX14" i="20"/>
  <c r="AY14" i="20"/>
  <c r="AZ14" i="20"/>
  <c r="BA14" i="20"/>
  <c r="BB14" i="20"/>
  <c r="BC14" i="20"/>
  <c r="BD14" i="20"/>
  <c r="BE14" i="20"/>
  <c r="BF14" i="20"/>
  <c r="BG14" i="20"/>
  <c r="BH14" i="20"/>
  <c r="BI14" i="20"/>
  <c r="BJ14" i="20"/>
  <c r="BK14" i="20"/>
  <c r="BL14" i="20"/>
  <c r="BM14" i="20"/>
  <c r="BN14" i="20"/>
  <c r="BO14" i="20"/>
  <c r="BP14" i="20"/>
  <c r="BQ14" i="20"/>
  <c r="BR14" i="20"/>
  <c r="BS14" i="20"/>
  <c r="BT14" i="20"/>
  <c r="BU14" i="20"/>
  <c r="BV14" i="20"/>
  <c r="BW14" i="20"/>
  <c r="BX14" i="20"/>
  <c r="BY14" i="20"/>
  <c r="BZ14" i="20"/>
  <c r="CA14" i="20"/>
  <c r="CB14" i="20"/>
  <c r="CC14" i="20"/>
  <c r="CD14" i="20"/>
  <c r="CE14" i="20"/>
  <c r="CF14" i="20"/>
  <c r="CG14" i="20"/>
  <c r="CH14" i="20"/>
  <c r="CI14" i="20"/>
  <c r="CJ14" i="20"/>
  <c r="CK14" i="20"/>
  <c r="CL14" i="20"/>
  <c r="CM14" i="20"/>
  <c r="CN14" i="20"/>
  <c r="CO14" i="20"/>
  <c r="CP14" i="20"/>
  <c r="CQ14" i="20"/>
  <c r="CR14" i="20"/>
  <c r="CS14" i="20"/>
  <c r="CT14" i="20"/>
  <c r="CU14" i="20"/>
  <c r="CV14" i="20"/>
  <c r="CW14" i="20"/>
  <c r="CX14" i="20"/>
  <c r="CY14" i="20"/>
  <c r="CZ14" i="20"/>
  <c r="DA14" i="20"/>
  <c r="DB14" i="20"/>
  <c r="DC14" i="20"/>
  <c r="DD14" i="20"/>
  <c r="DE14" i="20"/>
  <c r="DF14" i="20"/>
  <c r="DG14" i="20"/>
  <c r="DH14" i="20"/>
  <c r="DI14" i="20"/>
  <c r="DJ14" i="20"/>
  <c r="DK14" i="20"/>
  <c r="DL14" i="20"/>
  <c r="DM14" i="20"/>
  <c r="DN14" i="20"/>
  <c r="DO14" i="20"/>
  <c r="DP14" i="20"/>
  <c r="DQ14" i="20"/>
  <c r="DR14" i="20"/>
  <c r="DS14" i="20"/>
  <c r="DT14" i="20"/>
  <c r="DU14" i="20"/>
  <c r="DV14" i="20"/>
  <c r="DW14" i="20"/>
  <c r="DX14" i="20"/>
  <c r="DY14" i="20"/>
  <c r="DZ14" i="20"/>
  <c r="EA14" i="20"/>
  <c r="EB14" i="20"/>
  <c r="EC14" i="20"/>
  <c r="ED14" i="20"/>
  <c r="EE14" i="20"/>
  <c r="EF14" i="20"/>
  <c r="EG14" i="20"/>
  <c r="EH14" i="20"/>
  <c r="EI14" i="20"/>
  <c r="EJ14" i="20"/>
  <c r="EK14" i="20"/>
  <c r="EL14" i="20"/>
  <c r="EM14" i="20"/>
  <c r="EN14" i="20"/>
  <c r="EO14" i="20"/>
  <c r="EP14" i="20"/>
  <c r="EQ14" i="20"/>
  <c r="ER14" i="20"/>
  <c r="ES14" i="20"/>
  <c r="ET14" i="20"/>
  <c r="EU14" i="20"/>
  <c r="EV14" i="20"/>
  <c r="EW14" i="20"/>
  <c r="EX14" i="20"/>
  <c r="EY14" i="20"/>
  <c r="EZ14" i="20"/>
  <c r="FA14" i="20"/>
  <c r="FB14" i="20"/>
  <c r="FC14" i="20"/>
  <c r="FD14" i="20"/>
  <c r="FE14" i="20"/>
  <c r="FF14" i="20"/>
  <c r="FG14" i="20"/>
  <c r="FH14" i="20"/>
  <c r="FI14" i="20"/>
  <c r="FJ14" i="20"/>
  <c r="FK14" i="20"/>
  <c r="FL14" i="20"/>
  <c r="FM14" i="20"/>
  <c r="FN14" i="20"/>
  <c r="FO14" i="20"/>
  <c r="FP14" i="20"/>
  <c r="FQ14" i="20"/>
  <c r="FR14" i="20"/>
  <c r="FS14" i="20"/>
  <c r="FT14" i="20"/>
  <c r="FU14" i="20"/>
  <c r="FV14" i="20"/>
  <c r="FW14" i="20"/>
  <c r="FX14" i="20"/>
  <c r="FY14" i="20"/>
  <c r="FZ14" i="20"/>
  <c r="GA14" i="20"/>
  <c r="GB14" i="20"/>
  <c r="GC14" i="20"/>
  <c r="GD14" i="20"/>
  <c r="GE14" i="20"/>
  <c r="GF14" i="20"/>
  <c r="GG14" i="20"/>
  <c r="GH14" i="20"/>
  <c r="GI14" i="20"/>
  <c r="GJ14" i="20"/>
  <c r="GK14" i="20"/>
  <c r="GL14" i="20"/>
  <c r="GM14" i="20"/>
  <c r="GN14" i="20"/>
  <c r="GO14" i="20"/>
  <c r="GP14" i="20"/>
  <c r="GQ14" i="20"/>
  <c r="GR14" i="20"/>
  <c r="GS14" i="20"/>
  <c r="GT14" i="20"/>
  <c r="GU14" i="20"/>
  <c r="GV14" i="20"/>
  <c r="GW14" i="20"/>
  <c r="GX14" i="20"/>
  <c r="GY14" i="20"/>
  <c r="GZ14" i="20"/>
  <c r="HA14" i="20"/>
  <c r="HB14" i="20"/>
  <c r="HC14" i="20"/>
  <c r="HD14" i="20"/>
  <c r="HE14" i="20"/>
  <c r="HF14" i="20"/>
  <c r="HG14" i="20"/>
  <c r="HH14" i="20"/>
  <c r="HI14" i="20"/>
  <c r="HJ14" i="20"/>
  <c r="HK14" i="20"/>
  <c r="HL14" i="20"/>
  <c r="HM14" i="20"/>
  <c r="HN14" i="20"/>
  <c r="HO14" i="20"/>
  <c r="HP14" i="20"/>
  <c r="HQ14" i="20"/>
  <c r="HR14" i="20"/>
  <c r="HS14" i="20"/>
  <c r="HT14" i="20"/>
  <c r="HU14" i="20"/>
  <c r="HV14" i="20"/>
  <c r="HW14" i="20"/>
  <c r="HX14" i="20"/>
  <c r="HY14" i="20"/>
  <c r="HZ14" i="20"/>
  <c r="IA14" i="20"/>
  <c r="IB14" i="20"/>
  <c r="IC14" i="20"/>
  <c r="ID14" i="20"/>
  <c r="IE14" i="20"/>
  <c r="IF14" i="20"/>
  <c r="IG14" i="20"/>
  <c r="IH14" i="20"/>
  <c r="II14" i="20"/>
  <c r="IJ14" i="20"/>
  <c r="IK14" i="20"/>
  <c r="IL14" i="20"/>
  <c r="IM14" i="20"/>
  <c r="IN14" i="20"/>
  <c r="IO14" i="20"/>
  <c r="IP14" i="20"/>
  <c r="IQ14" i="20"/>
  <c r="IR14" i="20"/>
  <c r="IS14" i="20"/>
  <c r="IT14" i="20"/>
  <c r="IU14" i="20"/>
  <c r="IV14" i="20"/>
  <c r="IW14" i="20"/>
  <c r="IX14" i="20"/>
  <c r="IY14" i="20"/>
  <c r="IZ14" i="20"/>
  <c r="JA14" i="20"/>
  <c r="JB14" i="20"/>
  <c r="JC14" i="20"/>
  <c r="JD14" i="20"/>
  <c r="JE14" i="20"/>
  <c r="JF14" i="20"/>
  <c r="JG14" i="20"/>
  <c r="JH14" i="20"/>
  <c r="JI14" i="20"/>
  <c r="JJ14" i="20"/>
  <c r="JK14" i="20"/>
  <c r="JL14" i="20"/>
  <c r="JM14" i="20"/>
  <c r="JN14" i="20"/>
  <c r="JO14" i="20"/>
  <c r="JP14" i="20"/>
  <c r="JQ14" i="20"/>
  <c r="JR14" i="20"/>
  <c r="JS14" i="20"/>
  <c r="JT14" i="20"/>
  <c r="JU14" i="20"/>
  <c r="JV14" i="20"/>
  <c r="JW14" i="20"/>
  <c r="JX14" i="20"/>
  <c r="JY14" i="20"/>
  <c r="JZ14" i="20"/>
  <c r="KA14" i="20"/>
  <c r="KB14" i="20"/>
  <c r="KC14" i="20"/>
  <c r="KD14" i="20"/>
  <c r="KE14" i="20"/>
  <c r="KF14" i="20"/>
  <c r="KG14" i="20"/>
  <c r="KH14" i="20"/>
  <c r="KI14" i="20"/>
  <c r="KJ14" i="20"/>
  <c r="KK14" i="20"/>
  <c r="KL14" i="20"/>
  <c r="KM14" i="20"/>
  <c r="KN14" i="20"/>
  <c r="KO14" i="20"/>
  <c r="KP14" i="20"/>
  <c r="KQ14" i="20"/>
  <c r="KR14" i="20"/>
  <c r="KS14" i="20"/>
  <c r="KT14" i="20"/>
  <c r="KU14" i="20"/>
  <c r="KV14" i="20"/>
  <c r="KW14" i="20"/>
  <c r="KX14" i="20"/>
  <c r="KY14" i="20"/>
  <c r="KZ14" i="20"/>
  <c r="LA14" i="20"/>
  <c r="LB14" i="20"/>
  <c r="LC14" i="20"/>
  <c r="LD14" i="20"/>
  <c r="LE14" i="20"/>
  <c r="LF14" i="20"/>
  <c r="LG14" i="20"/>
  <c r="LH14" i="20"/>
  <c r="LI14" i="20"/>
  <c r="LJ14" i="20"/>
  <c r="LK14" i="20"/>
  <c r="LL14" i="20"/>
  <c r="LM14" i="20"/>
  <c r="LN14" i="20"/>
  <c r="LO14" i="20"/>
  <c r="LP14" i="20"/>
  <c r="LQ14" i="20"/>
  <c r="LR14" i="20"/>
  <c r="LS14" i="20"/>
  <c r="LT14" i="20"/>
  <c r="LU14" i="20"/>
  <c r="LV14" i="20"/>
  <c r="LW14" i="20"/>
  <c r="LX14" i="20"/>
  <c r="LY14" i="20"/>
  <c r="LZ14" i="20"/>
  <c r="MA14" i="20"/>
  <c r="MB14" i="20"/>
  <c r="MC14" i="20"/>
  <c r="MD14" i="20"/>
  <c r="ME14" i="20"/>
  <c r="MF14" i="20"/>
  <c r="MG14" i="20"/>
  <c r="MH14" i="20"/>
  <c r="MI14" i="20"/>
  <c r="MJ14" i="20"/>
  <c r="MK14" i="20"/>
  <c r="ML14" i="20"/>
  <c r="MM14" i="20"/>
  <c r="MN14" i="20"/>
  <c r="MO14" i="20"/>
  <c r="MP14" i="20"/>
  <c r="MQ14" i="20"/>
  <c r="MR14" i="20"/>
  <c r="MS14" i="20"/>
  <c r="MT14" i="20"/>
  <c r="MU14" i="20"/>
  <c r="MV14" i="20"/>
  <c r="MW14" i="20"/>
  <c r="MX14" i="20"/>
  <c r="MY14" i="20"/>
  <c r="MZ14" i="20"/>
  <c r="NA14" i="20"/>
  <c r="NB14" i="20"/>
  <c r="NC14" i="20"/>
  <c r="ND14" i="20"/>
  <c r="NE14" i="20"/>
  <c r="NF14" i="20"/>
  <c r="NG14" i="20"/>
  <c r="NH14" i="20"/>
  <c r="NI14" i="20"/>
  <c r="NJ14" i="20"/>
  <c r="NK14" i="20"/>
  <c r="NL14" i="20"/>
  <c r="NM14" i="20"/>
  <c r="NN14" i="20"/>
  <c r="NO14" i="20"/>
  <c r="NP14" i="20"/>
  <c r="NQ14" i="20"/>
  <c r="NR14" i="20"/>
  <c r="NS14" i="20"/>
  <c r="NT14" i="20"/>
  <c r="NU14" i="20"/>
  <c r="NV14" i="20"/>
  <c r="NW14" i="20"/>
  <c r="NX14" i="20"/>
  <c r="NY14" i="20"/>
  <c r="NZ14" i="20"/>
  <c r="OA14" i="20"/>
  <c r="OB14" i="20"/>
  <c r="OC14" i="20"/>
  <c r="OD14" i="20"/>
  <c r="OE14" i="20"/>
  <c r="OF14" i="20"/>
  <c r="OG14" i="20"/>
  <c r="OH14" i="20"/>
  <c r="OI14" i="20"/>
  <c r="OJ14" i="20"/>
  <c r="OK14" i="20"/>
  <c r="OL14" i="20"/>
  <c r="OM14" i="20"/>
  <c r="ON14" i="20"/>
  <c r="OO14" i="20"/>
  <c r="OP14" i="20"/>
  <c r="OQ14" i="20"/>
  <c r="OR14" i="20"/>
  <c r="OS14" i="20"/>
  <c r="OT14" i="20"/>
  <c r="OU14" i="20"/>
  <c r="OV14" i="20"/>
  <c r="OW14" i="20"/>
  <c r="OX14" i="20"/>
  <c r="OY14" i="20"/>
  <c r="OZ14" i="20"/>
  <c r="PA14" i="20"/>
  <c r="PB14" i="20"/>
  <c r="PC14" i="20"/>
  <c r="PD14" i="20"/>
  <c r="PE14" i="20"/>
  <c r="PF14" i="20"/>
  <c r="PG14" i="20"/>
  <c r="PH14" i="20"/>
  <c r="PI14" i="20"/>
  <c r="PJ14" i="20"/>
  <c r="PK14" i="20"/>
  <c r="PL14" i="20"/>
  <c r="PM14" i="20"/>
  <c r="PN14" i="20"/>
  <c r="PO14" i="20"/>
  <c r="PP14" i="20"/>
  <c r="PQ14" i="20"/>
  <c r="PR14" i="20"/>
  <c r="PS14" i="20"/>
  <c r="PT14" i="20"/>
  <c r="PU14" i="20"/>
  <c r="PV14" i="20"/>
  <c r="PW14" i="20"/>
  <c r="PX14" i="20"/>
  <c r="PY14" i="20"/>
  <c r="PZ14" i="20"/>
  <c r="QA14" i="20"/>
  <c r="QB14" i="20"/>
  <c r="QC14" i="20"/>
  <c r="QD14" i="20"/>
  <c r="QE14" i="20"/>
  <c r="QF14" i="20"/>
  <c r="QG14" i="20"/>
  <c r="QH14" i="20"/>
  <c r="QI14" i="20"/>
  <c r="QJ14" i="20"/>
  <c r="QK14" i="20"/>
  <c r="QL14" i="20"/>
  <c r="QM14" i="20"/>
  <c r="QN14" i="20"/>
  <c r="QO14" i="20"/>
  <c r="QP14" i="20"/>
  <c r="QQ14" i="20"/>
  <c r="QR14" i="20"/>
  <c r="QS14" i="20"/>
  <c r="QT14" i="20"/>
  <c r="QU14" i="20"/>
  <c r="QV14" i="20"/>
  <c r="QW14" i="20"/>
  <c r="QX14" i="20"/>
  <c r="QY14" i="20"/>
  <c r="QZ14" i="20"/>
  <c r="RA14" i="20"/>
  <c r="RB14" i="20"/>
  <c r="RC14" i="20"/>
  <c r="RD14" i="20"/>
  <c r="RE14" i="20"/>
  <c r="RF14" i="20"/>
  <c r="RG14" i="20"/>
  <c r="RH14" i="20"/>
  <c r="RI14" i="20"/>
  <c r="RJ14" i="20"/>
  <c r="RK14" i="20"/>
  <c r="RL14" i="20"/>
  <c r="RM14" i="20"/>
  <c r="RN14" i="20"/>
  <c r="RO14" i="20"/>
  <c r="RP14" i="20"/>
  <c r="RQ14" i="20"/>
  <c r="RR14" i="20"/>
  <c r="RS14" i="20"/>
  <c r="RT14" i="20"/>
  <c r="RU14" i="20"/>
  <c r="RV14" i="20"/>
  <c r="RW14" i="20"/>
  <c r="RX14" i="20"/>
  <c r="RY14" i="20"/>
  <c r="RZ14" i="20"/>
  <c r="SA14" i="20"/>
  <c r="SB14" i="20"/>
  <c r="SC14" i="20"/>
  <c r="SD14" i="20"/>
  <c r="SE14" i="20"/>
  <c r="SF14" i="20"/>
  <c r="SG14" i="20"/>
  <c r="SH14" i="20"/>
  <c r="SI14" i="20"/>
  <c r="SJ14" i="20"/>
  <c r="SK14" i="20"/>
  <c r="SL14" i="20"/>
  <c r="SM14" i="20"/>
  <c r="SN14" i="20"/>
  <c r="SO14" i="20"/>
  <c r="SP14" i="20"/>
  <c r="SQ14" i="20"/>
  <c r="SR14" i="20"/>
  <c r="SS14" i="20"/>
  <c r="ST14" i="20"/>
  <c r="SU14" i="20"/>
  <c r="SV14" i="20"/>
  <c r="SW14" i="20"/>
  <c r="SX14" i="20"/>
  <c r="SY14" i="20"/>
  <c r="SZ14" i="20"/>
  <c r="TA14" i="20"/>
  <c r="TB14" i="20"/>
  <c r="TC14" i="20"/>
  <c r="TD14" i="20"/>
  <c r="TE14" i="20"/>
  <c r="TF14" i="20"/>
  <c r="TG14" i="20"/>
  <c r="TH14" i="20"/>
  <c r="TI14" i="20"/>
  <c r="TJ14" i="20"/>
  <c r="TK14" i="20"/>
  <c r="TL14" i="20"/>
  <c r="TM14" i="20"/>
  <c r="TN14" i="20"/>
  <c r="TO14" i="20"/>
  <c r="TP14" i="20"/>
  <c r="TQ14" i="20"/>
  <c r="TR14" i="20"/>
  <c r="TS14" i="20"/>
  <c r="TT14" i="20"/>
  <c r="TU14" i="20"/>
  <c r="TV14" i="20"/>
  <c r="TW14" i="20"/>
  <c r="TX14" i="20"/>
  <c r="TY14" i="20"/>
  <c r="TZ14" i="20"/>
  <c r="UA14" i="20"/>
  <c r="UB14" i="20"/>
  <c r="UC14" i="20"/>
  <c r="UD14" i="20"/>
  <c r="UE14" i="20"/>
  <c r="UF14" i="20"/>
  <c r="UG14" i="20"/>
  <c r="UH14" i="20"/>
  <c r="UI14" i="20"/>
  <c r="UJ14" i="20"/>
  <c r="UK14" i="20"/>
  <c r="UL14" i="20"/>
  <c r="UM14" i="20"/>
  <c r="UN14" i="20"/>
  <c r="UO14" i="20"/>
  <c r="UP14" i="20"/>
  <c r="UQ14" i="20"/>
  <c r="UR14" i="20"/>
  <c r="US14" i="20"/>
  <c r="UT14" i="20"/>
  <c r="UU14" i="20"/>
  <c r="UV14" i="20"/>
  <c r="UW14" i="20"/>
  <c r="UX14" i="20"/>
  <c r="UY14" i="20"/>
  <c r="UZ14" i="20"/>
  <c r="VA14" i="20"/>
  <c r="VB14" i="20"/>
  <c r="VC14" i="20"/>
  <c r="VD14" i="20"/>
  <c r="VE14" i="20"/>
  <c r="VF14" i="20"/>
  <c r="VG14" i="20"/>
  <c r="VH14" i="20"/>
  <c r="VI14" i="20"/>
  <c r="VJ14" i="20"/>
  <c r="VK14" i="20"/>
  <c r="VL14" i="20"/>
  <c r="VM14" i="20"/>
  <c r="VN14" i="20"/>
  <c r="VO14" i="20"/>
  <c r="VP14" i="20"/>
  <c r="VQ14" i="20"/>
  <c r="VR14" i="20"/>
  <c r="VS14" i="20"/>
  <c r="VT14" i="20"/>
  <c r="VU14" i="20"/>
  <c r="VV14" i="20"/>
  <c r="VW14" i="20"/>
  <c r="VX14" i="20"/>
  <c r="VY14" i="20"/>
  <c r="VZ14" i="20"/>
  <c r="WA14" i="20"/>
  <c r="WB14" i="20"/>
  <c r="WC14" i="20"/>
  <c r="WD14" i="20"/>
  <c r="WE14" i="20"/>
  <c r="WF14" i="20"/>
  <c r="WG14" i="20"/>
  <c r="WH14" i="20"/>
  <c r="WI14" i="20"/>
  <c r="WJ14" i="20"/>
  <c r="WK14" i="20"/>
  <c r="WL14" i="20"/>
  <c r="WM14" i="20"/>
  <c r="WN14" i="20"/>
  <c r="WO14" i="20"/>
  <c r="WP14" i="20"/>
  <c r="WQ14" i="20"/>
  <c r="WR14" i="20"/>
  <c r="WS14" i="20"/>
  <c r="WT14" i="20"/>
  <c r="WU14" i="20"/>
  <c r="WV14" i="20"/>
  <c r="WW14" i="20"/>
  <c r="WX14" i="20"/>
  <c r="WY14" i="20"/>
  <c r="WZ14" i="20"/>
  <c r="XA14" i="20"/>
  <c r="XB14" i="20"/>
  <c r="XC14" i="20"/>
  <c r="XD14" i="20"/>
  <c r="XE14" i="20"/>
  <c r="XF14" i="20"/>
  <c r="XG14" i="20"/>
  <c r="XH14" i="20"/>
  <c r="XI14" i="20"/>
  <c r="XJ14" i="20"/>
  <c r="XK14" i="20"/>
  <c r="XL14" i="20"/>
  <c r="XM14" i="20"/>
  <c r="XN14" i="20"/>
  <c r="XO14" i="20"/>
  <c r="XP14" i="20"/>
  <c r="XQ14" i="20"/>
  <c r="XR14" i="20"/>
  <c r="XS14" i="20"/>
  <c r="XT14" i="20"/>
  <c r="XU14" i="20"/>
  <c r="XV14" i="20"/>
  <c r="XW14" i="20"/>
  <c r="XX14" i="20"/>
  <c r="XY14" i="20"/>
  <c r="XZ14" i="20"/>
  <c r="YA14" i="20"/>
  <c r="YB14" i="20"/>
  <c r="YC14" i="20"/>
  <c r="YD14" i="20"/>
  <c r="YE14" i="20"/>
  <c r="YF14" i="20"/>
  <c r="YG14" i="20"/>
  <c r="YH14" i="20"/>
  <c r="YI14" i="20"/>
  <c r="YJ14" i="20"/>
  <c r="YK14" i="20"/>
  <c r="YL14" i="20"/>
  <c r="YM14" i="20"/>
  <c r="YN14" i="20"/>
  <c r="YO14" i="20"/>
  <c r="YP14" i="20"/>
  <c r="YQ14" i="20"/>
  <c r="YR14" i="20"/>
  <c r="YS14" i="20"/>
  <c r="YT14" i="20"/>
  <c r="YU14" i="20"/>
  <c r="YV14" i="20"/>
  <c r="YW14" i="20"/>
  <c r="YX14" i="20"/>
  <c r="YY14" i="20"/>
  <c r="YZ14" i="20"/>
  <c r="ZA14" i="20"/>
  <c r="ZB14" i="20"/>
  <c r="ZC14" i="20"/>
  <c r="ZD14" i="20"/>
  <c r="ZE14" i="20"/>
  <c r="ZF14" i="20"/>
  <c r="ZG14" i="20"/>
  <c r="ZH14" i="20"/>
  <c r="ZI14" i="20"/>
  <c r="ZJ14" i="20"/>
  <c r="ZK14" i="20"/>
  <c r="ZL14" i="20"/>
  <c r="ZM14" i="20"/>
  <c r="ZN14" i="20"/>
  <c r="ZO14" i="20"/>
  <c r="ZP14" i="20"/>
  <c r="ZQ14" i="20"/>
  <c r="ZR14" i="20"/>
  <c r="ZS14" i="20"/>
  <c r="ZT14" i="20"/>
  <c r="ZU14" i="20"/>
  <c r="ZV14" i="20"/>
  <c r="ZW14" i="20"/>
  <c r="ZX14" i="20"/>
  <c r="ZY14" i="20"/>
  <c r="ZZ14" i="20"/>
  <c r="AAA14" i="20"/>
  <c r="AAB14" i="20"/>
  <c r="AAC14" i="20"/>
  <c r="C15" i="20"/>
  <c r="D15" i="20"/>
  <c r="E15" i="20"/>
  <c r="F15" i="20"/>
  <c r="G15" i="20"/>
  <c r="H15" i="20"/>
  <c r="I15" i="20"/>
  <c r="J15" i="20"/>
  <c r="K15" i="20"/>
  <c r="L15" i="20"/>
  <c r="M15" i="20"/>
  <c r="N15" i="20"/>
  <c r="O15" i="20"/>
  <c r="P15" i="20"/>
  <c r="Q15" i="20"/>
  <c r="R15" i="20"/>
  <c r="S15" i="20"/>
  <c r="T15" i="20"/>
  <c r="U15" i="20"/>
  <c r="V15" i="20"/>
  <c r="W15" i="20"/>
  <c r="X15" i="20"/>
  <c r="Y15" i="20"/>
  <c r="Z15" i="20"/>
  <c r="AA15" i="20"/>
  <c r="AB15" i="20"/>
  <c r="AC15" i="20"/>
  <c r="AD15" i="20"/>
  <c r="AE15" i="20"/>
  <c r="AF15" i="20"/>
  <c r="AG15" i="20"/>
  <c r="AH15" i="20"/>
  <c r="AI15" i="20"/>
  <c r="AJ15" i="20"/>
  <c r="AK15" i="20"/>
  <c r="AL15" i="20"/>
  <c r="AM15" i="20"/>
  <c r="AN15" i="20"/>
  <c r="AO15" i="20"/>
  <c r="AP15" i="20"/>
  <c r="AQ15" i="20"/>
  <c r="AR15" i="20"/>
  <c r="AS15" i="20"/>
  <c r="AT15" i="20"/>
  <c r="AU15" i="20"/>
  <c r="AV15" i="20"/>
  <c r="AW15" i="20"/>
  <c r="AX15" i="20"/>
  <c r="AY15" i="20"/>
  <c r="AZ15" i="20"/>
  <c r="BA15" i="20"/>
  <c r="BB15" i="20"/>
  <c r="BC15" i="20"/>
  <c r="BD15" i="20"/>
  <c r="BE15" i="20"/>
  <c r="BF15" i="20"/>
  <c r="BG15" i="20"/>
  <c r="BH15" i="20"/>
  <c r="BI15" i="20"/>
  <c r="BJ15" i="20"/>
  <c r="BK15" i="20"/>
  <c r="BL15" i="20"/>
  <c r="BM15" i="20"/>
  <c r="BN15" i="20"/>
  <c r="BO15" i="20"/>
  <c r="BP15" i="20"/>
  <c r="BQ15" i="20"/>
  <c r="BR15" i="20"/>
  <c r="BS15" i="20"/>
  <c r="BT15" i="20"/>
  <c r="BU15" i="20"/>
  <c r="BV15" i="20"/>
  <c r="BW15" i="20"/>
  <c r="BX15" i="20"/>
  <c r="BY15" i="20"/>
  <c r="BZ15" i="20"/>
  <c r="CA15" i="20"/>
  <c r="CB15" i="20"/>
  <c r="CC15" i="20"/>
  <c r="CD15" i="20"/>
  <c r="CE15" i="20"/>
  <c r="CF15" i="20"/>
  <c r="CG15" i="20"/>
  <c r="CH15" i="20"/>
  <c r="CI15" i="20"/>
  <c r="CJ15" i="20"/>
  <c r="CK15" i="20"/>
  <c r="CL15" i="20"/>
  <c r="CM15" i="20"/>
  <c r="CN15" i="20"/>
  <c r="CO15" i="20"/>
  <c r="CP15" i="20"/>
  <c r="CQ15" i="20"/>
  <c r="CR15" i="20"/>
  <c r="CS15" i="20"/>
  <c r="CT15" i="20"/>
  <c r="CU15" i="20"/>
  <c r="CV15" i="20"/>
  <c r="CW15" i="20"/>
  <c r="CX15" i="20"/>
  <c r="CY15" i="20"/>
  <c r="CZ15" i="20"/>
  <c r="DA15" i="20"/>
  <c r="DB15" i="20"/>
  <c r="DC15" i="20"/>
  <c r="DD15" i="20"/>
  <c r="DE15" i="20"/>
  <c r="DF15" i="20"/>
  <c r="DG15" i="20"/>
  <c r="DH15" i="20"/>
  <c r="DI15" i="20"/>
  <c r="DJ15" i="20"/>
  <c r="DK15" i="20"/>
  <c r="DL15" i="20"/>
  <c r="DM15" i="20"/>
  <c r="DN15" i="20"/>
  <c r="DO15" i="20"/>
  <c r="DP15" i="20"/>
  <c r="DQ15" i="20"/>
  <c r="DR15" i="20"/>
  <c r="DS15" i="20"/>
  <c r="DT15" i="20"/>
  <c r="DU15" i="20"/>
  <c r="DV15" i="20"/>
  <c r="DW15" i="20"/>
  <c r="DX15" i="20"/>
  <c r="DY15" i="20"/>
  <c r="DZ15" i="20"/>
  <c r="EA15" i="20"/>
  <c r="EB15" i="20"/>
  <c r="EC15" i="20"/>
  <c r="ED15" i="20"/>
  <c r="EE15" i="20"/>
  <c r="EF15" i="20"/>
  <c r="EG15" i="20"/>
  <c r="EH15" i="20"/>
  <c r="EI15" i="20"/>
  <c r="EJ15" i="20"/>
  <c r="EK15" i="20"/>
  <c r="EL15" i="20"/>
  <c r="EM15" i="20"/>
  <c r="EN15" i="20"/>
  <c r="EO15" i="20"/>
  <c r="EP15" i="20"/>
  <c r="EQ15" i="20"/>
  <c r="ER15" i="20"/>
  <c r="ES15" i="20"/>
  <c r="ET15" i="20"/>
  <c r="EU15" i="20"/>
  <c r="EV15" i="20"/>
  <c r="EW15" i="20"/>
  <c r="EX15" i="20"/>
  <c r="EY15" i="20"/>
  <c r="EZ15" i="20"/>
  <c r="FA15" i="20"/>
  <c r="FB15" i="20"/>
  <c r="FC15" i="20"/>
  <c r="FD15" i="20"/>
  <c r="FE15" i="20"/>
  <c r="FF15" i="20"/>
  <c r="FG15" i="20"/>
  <c r="FH15" i="20"/>
  <c r="FI15" i="20"/>
  <c r="FJ15" i="20"/>
  <c r="FK15" i="20"/>
  <c r="FL15" i="20"/>
  <c r="FM15" i="20"/>
  <c r="FN15" i="20"/>
  <c r="FO15" i="20"/>
  <c r="FP15" i="20"/>
  <c r="FQ15" i="20"/>
  <c r="FR15" i="20"/>
  <c r="FS15" i="20"/>
  <c r="FT15" i="20"/>
  <c r="FU15" i="20"/>
  <c r="FV15" i="20"/>
  <c r="FW15" i="20"/>
  <c r="FX15" i="20"/>
  <c r="FY15" i="20"/>
  <c r="FZ15" i="20"/>
  <c r="GA15" i="20"/>
  <c r="GB15" i="20"/>
  <c r="GC15" i="20"/>
  <c r="GD15" i="20"/>
  <c r="GE15" i="20"/>
  <c r="GF15" i="20"/>
  <c r="GG15" i="20"/>
  <c r="GH15" i="20"/>
  <c r="GI15" i="20"/>
  <c r="GJ15" i="20"/>
  <c r="GK15" i="20"/>
  <c r="GL15" i="20"/>
  <c r="GM15" i="20"/>
  <c r="GN15" i="20"/>
  <c r="GO15" i="20"/>
  <c r="GP15" i="20"/>
  <c r="GQ15" i="20"/>
  <c r="GR15" i="20"/>
  <c r="GS15" i="20"/>
  <c r="GT15" i="20"/>
  <c r="GU15" i="20"/>
  <c r="GV15" i="20"/>
  <c r="GW15" i="20"/>
  <c r="GX15" i="20"/>
  <c r="GY15" i="20"/>
  <c r="GZ15" i="20"/>
  <c r="HA15" i="20"/>
  <c r="HB15" i="20"/>
  <c r="HC15" i="20"/>
  <c r="HD15" i="20"/>
  <c r="HE15" i="20"/>
  <c r="HF15" i="20"/>
  <c r="HG15" i="20"/>
  <c r="HH15" i="20"/>
  <c r="HI15" i="20"/>
  <c r="HJ15" i="20"/>
  <c r="HK15" i="20"/>
  <c r="HL15" i="20"/>
  <c r="HM15" i="20"/>
  <c r="HN15" i="20"/>
  <c r="HO15" i="20"/>
  <c r="HP15" i="20"/>
  <c r="HQ15" i="20"/>
  <c r="HR15" i="20"/>
  <c r="HS15" i="20"/>
  <c r="HT15" i="20"/>
  <c r="HU15" i="20"/>
  <c r="HV15" i="20"/>
  <c r="HW15" i="20"/>
  <c r="HX15" i="20"/>
  <c r="HY15" i="20"/>
  <c r="HZ15" i="20"/>
  <c r="IA15" i="20"/>
  <c r="IB15" i="20"/>
  <c r="IC15" i="20"/>
  <c r="ID15" i="20"/>
  <c r="IE15" i="20"/>
  <c r="IF15" i="20"/>
  <c r="IG15" i="20"/>
  <c r="IH15" i="20"/>
  <c r="II15" i="20"/>
  <c r="IJ15" i="20"/>
  <c r="IK15" i="20"/>
  <c r="IL15" i="20"/>
  <c r="IM15" i="20"/>
  <c r="IN15" i="20"/>
  <c r="IO15" i="20"/>
  <c r="IP15" i="20"/>
  <c r="IQ15" i="20"/>
  <c r="IR15" i="20"/>
  <c r="IS15" i="20"/>
  <c r="IT15" i="20"/>
  <c r="IU15" i="20"/>
  <c r="IV15" i="20"/>
  <c r="IW15" i="20"/>
  <c r="IX15" i="20"/>
  <c r="IY15" i="20"/>
  <c r="IZ15" i="20"/>
  <c r="JA15" i="20"/>
  <c r="JB15" i="20"/>
  <c r="JC15" i="20"/>
  <c r="JD15" i="20"/>
  <c r="JE15" i="20"/>
  <c r="JF15" i="20"/>
  <c r="JG15" i="20"/>
  <c r="JH15" i="20"/>
  <c r="JI15" i="20"/>
  <c r="JJ15" i="20"/>
  <c r="JK15" i="20"/>
  <c r="JL15" i="20"/>
  <c r="JM15" i="20"/>
  <c r="JN15" i="20"/>
  <c r="JO15" i="20"/>
  <c r="JP15" i="20"/>
  <c r="JQ15" i="20"/>
  <c r="JR15" i="20"/>
  <c r="JS15" i="20"/>
  <c r="JT15" i="20"/>
  <c r="JU15" i="20"/>
  <c r="JV15" i="20"/>
  <c r="JW15" i="20"/>
  <c r="JX15" i="20"/>
  <c r="JY15" i="20"/>
  <c r="JZ15" i="20"/>
  <c r="KA15" i="20"/>
  <c r="KB15" i="20"/>
  <c r="KC15" i="20"/>
  <c r="KD15" i="20"/>
  <c r="KE15" i="20"/>
  <c r="KF15" i="20"/>
  <c r="KG15" i="20"/>
  <c r="KH15" i="20"/>
  <c r="KI15" i="20"/>
  <c r="KJ15" i="20"/>
  <c r="KK15" i="20"/>
  <c r="KL15" i="20"/>
  <c r="KM15" i="20"/>
  <c r="KN15" i="20"/>
  <c r="KO15" i="20"/>
  <c r="KP15" i="20"/>
  <c r="KQ15" i="20"/>
  <c r="KR15" i="20"/>
  <c r="KS15" i="20"/>
  <c r="KT15" i="20"/>
  <c r="KU15" i="20"/>
  <c r="KV15" i="20"/>
  <c r="KW15" i="20"/>
  <c r="KX15" i="20"/>
  <c r="KY15" i="20"/>
  <c r="KZ15" i="20"/>
  <c r="LA15" i="20"/>
  <c r="LB15" i="20"/>
  <c r="LC15" i="20"/>
  <c r="LD15" i="20"/>
  <c r="LE15" i="20"/>
  <c r="LF15" i="20"/>
  <c r="LG15" i="20"/>
  <c r="LH15" i="20"/>
  <c r="LI15" i="20"/>
  <c r="LJ15" i="20"/>
  <c r="LK15" i="20"/>
  <c r="LL15" i="20"/>
  <c r="LM15" i="20"/>
  <c r="LN15" i="20"/>
  <c r="LO15" i="20"/>
  <c r="LP15" i="20"/>
  <c r="LQ15" i="20"/>
  <c r="LR15" i="20"/>
  <c r="LS15" i="20"/>
  <c r="LT15" i="20"/>
  <c r="LU15" i="20"/>
  <c r="LV15" i="20"/>
  <c r="LW15" i="20"/>
  <c r="LX15" i="20"/>
  <c r="LY15" i="20"/>
  <c r="LZ15" i="20"/>
  <c r="MA15" i="20"/>
  <c r="MB15" i="20"/>
  <c r="MC15" i="20"/>
  <c r="MD15" i="20"/>
  <c r="ME15" i="20"/>
  <c r="MF15" i="20"/>
  <c r="MG15" i="20"/>
  <c r="MH15" i="20"/>
  <c r="MI15" i="20"/>
  <c r="MJ15" i="20"/>
  <c r="MK15" i="20"/>
  <c r="ML15" i="20"/>
  <c r="MM15" i="20"/>
  <c r="MN15" i="20"/>
  <c r="MO15" i="20"/>
  <c r="MP15" i="20"/>
  <c r="MQ15" i="20"/>
  <c r="MR15" i="20"/>
  <c r="MS15" i="20"/>
  <c r="MT15" i="20"/>
  <c r="MU15" i="20"/>
  <c r="MV15" i="20"/>
  <c r="MW15" i="20"/>
  <c r="MX15" i="20"/>
  <c r="MY15" i="20"/>
  <c r="MZ15" i="20"/>
  <c r="NA15" i="20"/>
  <c r="NB15" i="20"/>
  <c r="NC15" i="20"/>
  <c r="ND15" i="20"/>
  <c r="NE15" i="20"/>
  <c r="NF15" i="20"/>
  <c r="NG15" i="20"/>
  <c r="NH15" i="20"/>
  <c r="NI15" i="20"/>
  <c r="NJ15" i="20"/>
  <c r="NK15" i="20"/>
  <c r="NL15" i="20"/>
  <c r="NM15" i="20"/>
  <c r="NN15" i="20"/>
  <c r="NO15" i="20"/>
  <c r="NP15" i="20"/>
  <c r="NQ15" i="20"/>
  <c r="NR15" i="20"/>
  <c r="NS15" i="20"/>
  <c r="NT15" i="20"/>
  <c r="NU15" i="20"/>
  <c r="NV15" i="20"/>
  <c r="NW15" i="20"/>
  <c r="NX15" i="20"/>
  <c r="NY15" i="20"/>
  <c r="NZ15" i="20"/>
  <c r="OA15" i="20"/>
  <c r="OB15" i="20"/>
  <c r="OC15" i="20"/>
  <c r="OD15" i="20"/>
  <c r="OE15" i="20"/>
  <c r="OF15" i="20"/>
  <c r="OG15" i="20"/>
  <c r="OH15" i="20"/>
  <c r="OI15" i="20"/>
  <c r="OJ15" i="20"/>
  <c r="OK15" i="20"/>
  <c r="OL15" i="20"/>
  <c r="OM15" i="20"/>
  <c r="ON15" i="20"/>
  <c r="OO15" i="20"/>
  <c r="OP15" i="20"/>
  <c r="OQ15" i="20"/>
  <c r="OR15" i="20"/>
  <c r="OS15" i="20"/>
  <c r="OT15" i="20"/>
  <c r="OU15" i="20"/>
  <c r="OV15" i="20"/>
  <c r="OW15" i="20"/>
  <c r="OX15" i="20"/>
  <c r="OY15" i="20"/>
  <c r="OZ15" i="20"/>
  <c r="PA15" i="20"/>
  <c r="PB15" i="20"/>
  <c r="PC15" i="20"/>
  <c r="PD15" i="20"/>
  <c r="PE15" i="20"/>
  <c r="PF15" i="20"/>
  <c r="PG15" i="20"/>
  <c r="PH15" i="20"/>
  <c r="PI15" i="20"/>
  <c r="PJ15" i="20"/>
  <c r="PK15" i="20"/>
  <c r="PL15" i="20"/>
  <c r="PM15" i="20"/>
  <c r="PN15" i="20"/>
  <c r="PO15" i="20"/>
  <c r="PP15" i="20"/>
  <c r="PQ15" i="20"/>
  <c r="PR15" i="20"/>
  <c r="PS15" i="20"/>
  <c r="PT15" i="20"/>
  <c r="PU15" i="20"/>
  <c r="PV15" i="20"/>
  <c r="PW15" i="20"/>
  <c r="PX15" i="20"/>
  <c r="PY15" i="20"/>
  <c r="PZ15" i="20"/>
  <c r="QA15" i="20"/>
  <c r="QB15" i="20"/>
  <c r="QC15" i="20"/>
  <c r="QD15" i="20"/>
  <c r="QE15" i="20"/>
  <c r="QF15" i="20"/>
  <c r="QG15" i="20"/>
  <c r="QH15" i="20"/>
  <c r="QI15" i="20"/>
  <c r="QJ15" i="20"/>
  <c r="QK15" i="20"/>
  <c r="QL15" i="20"/>
  <c r="QM15" i="20"/>
  <c r="QN15" i="20"/>
  <c r="QO15" i="20"/>
  <c r="QP15" i="20"/>
  <c r="QQ15" i="20"/>
  <c r="QR15" i="20"/>
  <c r="QS15" i="20"/>
  <c r="QT15" i="20"/>
  <c r="QU15" i="20"/>
  <c r="QV15" i="20"/>
  <c r="QW15" i="20"/>
  <c r="QX15" i="20"/>
  <c r="QY15" i="20"/>
  <c r="QZ15" i="20"/>
  <c r="RA15" i="20"/>
  <c r="RB15" i="20"/>
  <c r="RC15" i="20"/>
  <c r="RD15" i="20"/>
  <c r="RE15" i="20"/>
  <c r="RF15" i="20"/>
  <c r="RG15" i="20"/>
  <c r="RH15" i="20"/>
  <c r="RI15" i="20"/>
  <c r="RJ15" i="20"/>
  <c r="RK15" i="20"/>
  <c r="RL15" i="20"/>
  <c r="RM15" i="20"/>
  <c r="RN15" i="20"/>
  <c r="RO15" i="20"/>
  <c r="RP15" i="20"/>
  <c r="RQ15" i="20"/>
  <c r="RR15" i="20"/>
  <c r="RS15" i="20"/>
  <c r="RT15" i="20"/>
  <c r="RU15" i="20"/>
  <c r="RV15" i="20"/>
  <c r="RW15" i="20"/>
  <c r="RX15" i="20"/>
  <c r="RY15" i="20"/>
  <c r="RZ15" i="20"/>
  <c r="SA15" i="20"/>
  <c r="SB15" i="20"/>
  <c r="SC15" i="20"/>
  <c r="SD15" i="20"/>
  <c r="SE15" i="20"/>
  <c r="SF15" i="20"/>
  <c r="SG15" i="20"/>
  <c r="SH15" i="20"/>
  <c r="SI15" i="20"/>
  <c r="SJ15" i="20"/>
  <c r="SK15" i="20"/>
  <c r="SL15" i="20"/>
  <c r="SM15" i="20"/>
  <c r="SN15" i="20"/>
  <c r="SO15" i="20"/>
  <c r="SP15" i="20"/>
  <c r="SQ15" i="20"/>
  <c r="SR15" i="20"/>
  <c r="SS15" i="20"/>
  <c r="ST15" i="20"/>
  <c r="SU15" i="20"/>
  <c r="SV15" i="20"/>
  <c r="SW15" i="20"/>
  <c r="SX15" i="20"/>
  <c r="SY15" i="20"/>
  <c r="SZ15" i="20"/>
  <c r="TA15" i="20"/>
  <c r="TB15" i="20"/>
  <c r="TC15" i="20"/>
  <c r="TD15" i="20"/>
  <c r="TE15" i="20"/>
  <c r="TF15" i="20"/>
  <c r="TG15" i="20"/>
  <c r="TH15" i="20"/>
  <c r="TI15" i="20"/>
  <c r="TJ15" i="20"/>
  <c r="TK15" i="20"/>
  <c r="TL15" i="20"/>
  <c r="TM15" i="20"/>
  <c r="TN15" i="20"/>
  <c r="TO15" i="20"/>
  <c r="TP15" i="20"/>
  <c r="TQ15" i="20"/>
  <c r="TR15" i="20"/>
  <c r="TS15" i="20"/>
  <c r="TT15" i="20"/>
  <c r="TU15" i="20"/>
  <c r="TV15" i="20"/>
  <c r="TW15" i="20"/>
  <c r="TX15" i="20"/>
  <c r="TY15" i="20"/>
  <c r="TZ15" i="20"/>
  <c r="UA15" i="20"/>
  <c r="UB15" i="20"/>
  <c r="UC15" i="20"/>
  <c r="UD15" i="20"/>
  <c r="UE15" i="20"/>
  <c r="UF15" i="20"/>
  <c r="UG15" i="20"/>
  <c r="UH15" i="20"/>
  <c r="UI15" i="20"/>
  <c r="UJ15" i="20"/>
  <c r="UK15" i="20"/>
  <c r="UL15" i="20"/>
  <c r="UM15" i="20"/>
  <c r="UN15" i="20"/>
  <c r="UO15" i="20"/>
  <c r="UP15" i="20"/>
  <c r="UQ15" i="20"/>
  <c r="UR15" i="20"/>
  <c r="US15" i="20"/>
  <c r="UT15" i="20"/>
  <c r="UU15" i="20"/>
  <c r="UV15" i="20"/>
  <c r="UW15" i="20"/>
  <c r="UX15" i="20"/>
  <c r="UY15" i="20"/>
  <c r="UZ15" i="20"/>
  <c r="VA15" i="20"/>
  <c r="VB15" i="20"/>
  <c r="VC15" i="20"/>
  <c r="VD15" i="20"/>
  <c r="VE15" i="20"/>
  <c r="VF15" i="20"/>
  <c r="VG15" i="20"/>
  <c r="VH15" i="20"/>
  <c r="VI15" i="20"/>
  <c r="VJ15" i="20"/>
  <c r="VK15" i="20"/>
  <c r="VL15" i="20"/>
  <c r="VM15" i="20"/>
  <c r="VN15" i="20"/>
  <c r="VO15" i="20"/>
  <c r="VP15" i="20"/>
  <c r="VQ15" i="20"/>
  <c r="VR15" i="20"/>
  <c r="VS15" i="20"/>
  <c r="VT15" i="20"/>
  <c r="VU15" i="20"/>
  <c r="VV15" i="20"/>
  <c r="VW15" i="20"/>
  <c r="VX15" i="20"/>
  <c r="VY15" i="20"/>
  <c r="VZ15" i="20"/>
  <c r="WA15" i="20"/>
  <c r="WB15" i="20"/>
  <c r="WC15" i="20"/>
  <c r="WD15" i="20"/>
  <c r="WE15" i="20"/>
  <c r="WF15" i="20"/>
  <c r="WG15" i="20"/>
  <c r="WH15" i="20"/>
  <c r="WI15" i="20"/>
  <c r="WJ15" i="20"/>
  <c r="WK15" i="20"/>
  <c r="WL15" i="20"/>
  <c r="WM15" i="20"/>
  <c r="WN15" i="20"/>
  <c r="WO15" i="20"/>
  <c r="WP15" i="20"/>
  <c r="WQ15" i="20"/>
  <c r="WR15" i="20"/>
  <c r="WS15" i="20"/>
  <c r="WT15" i="20"/>
  <c r="WU15" i="20"/>
  <c r="WV15" i="20"/>
  <c r="WW15" i="20"/>
  <c r="WX15" i="20"/>
  <c r="WY15" i="20"/>
  <c r="WZ15" i="20"/>
  <c r="XA15" i="20"/>
  <c r="XB15" i="20"/>
  <c r="XC15" i="20"/>
  <c r="XD15" i="20"/>
  <c r="XE15" i="20"/>
  <c r="XF15" i="20"/>
  <c r="XG15" i="20"/>
  <c r="XH15" i="20"/>
  <c r="XI15" i="20"/>
  <c r="XJ15" i="20"/>
  <c r="XK15" i="20"/>
  <c r="XL15" i="20"/>
  <c r="XM15" i="20"/>
  <c r="XN15" i="20"/>
  <c r="XO15" i="20"/>
  <c r="XP15" i="20"/>
  <c r="XQ15" i="20"/>
  <c r="XR15" i="20"/>
  <c r="XS15" i="20"/>
  <c r="XT15" i="20"/>
  <c r="XU15" i="20"/>
  <c r="XV15" i="20"/>
  <c r="XW15" i="20"/>
  <c r="XX15" i="20"/>
  <c r="XY15" i="20"/>
  <c r="XZ15" i="20"/>
  <c r="YA15" i="20"/>
  <c r="YB15" i="20"/>
  <c r="YC15" i="20"/>
  <c r="YD15" i="20"/>
  <c r="YE15" i="20"/>
  <c r="YF15" i="20"/>
  <c r="YG15" i="20"/>
  <c r="YH15" i="20"/>
  <c r="YI15" i="20"/>
  <c r="YJ15" i="20"/>
  <c r="YK15" i="20"/>
  <c r="YL15" i="20"/>
  <c r="YM15" i="20"/>
  <c r="YN15" i="20"/>
  <c r="YO15" i="20"/>
  <c r="YP15" i="20"/>
  <c r="YQ15" i="20"/>
  <c r="YR15" i="20"/>
  <c r="YS15" i="20"/>
  <c r="YT15" i="20"/>
  <c r="YU15" i="20"/>
  <c r="YV15" i="20"/>
  <c r="YW15" i="20"/>
  <c r="YX15" i="20"/>
  <c r="YY15" i="20"/>
  <c r="YZ15" i="20"/>
  <c r="ZA15" i="20"/>
  <c r="ZB15" i="20"/>
  <c r="ZC15" i="20"/>
  <c r="ZD15" i="20"/>
  <c r="ZE15" i="20"/>
  <c r="ZF15" i="20"/>
  <c r="ZG15" i="20"/>
  <c r="ZH15" i="20"/>
  <c r="ZI15" i="20"/>
  <c r="ZJ15" i="20"/>
  <c r="ZK15" i="20"/>
  <c r="ZL15" i="20"/>
  <c r="ZM15" i="20"/>
  <c r="ZN15" i="20"/>
  <c r="ZO15" i="20"/>
  <c r="ZP15" i="20"/>
  <c r="ZQ15" i="20"/>
  <c r="ZR15" i="20"/>
  <c r="ZS15" i="20"/>
  <c r="ZT15" i="20"/>
  <c r="ZU15" i="20"/>
  <c r="ZV15" i="20"/>
  <c r="ZW15" i="20"/>
  <c r="ZX15" i="20"/>
  <c r="ZY15" i="20"/>
  <c r="ZZ15" i="20"/>
  <c r="AAA15" i="20"/>
  <c r="AAB15" i="20"/>
  <c r="AAC15" i="20"/>
  <c r="C16" i="20"/>
  <c r="D16" i="20"/>
  <c r="E16" i="20"/>
  <c r="F16" i="20"/>
  <c r="G16" i="20"/>
  <c r="H16" i="20"/>
  <c r="I16" i="20"/>
  <c r="J16" i="20"/>
  <c r="K16" i="20"/>
  <c r="L16" i="20"/>
  <c r="M16" i="20"/>
  <c r="N16" i="20"/>
  <c r="O16" i="20"/>
  <c r="P16" i="20"/>
  <c r="Q16" i="20"/>
  <c r="R16" i="20"/>
  <c r="S16" i="20"/>
  <c r="T16" i="20"/>
  <c r="U16" i="20"/>
  <c r="V16" i="20"/>
  <c r="W16" i="20"/>
  <c r="X16" i="20"/>
  <c r="Y16" i="20"/>
  <c r="Z16" i="20"/>
  <c r="AA16" i="20"/>
  <c r="AB16" i="20"/>
  <c r="AC16" i="20"/>
  <c r="AD16" i="20"/>
  <c r="AE16" i="20"/>
  <c r="AF16" i="20"/>
  <c r="AG16" i="20"/>
  <c r="AH16" i="20"/>
  <c r="AI16" i="20"/>
  <c r="AJ16" i="20"/>
  <c r="AK16" i="20"/>
  <c r="AL16" i="20"/>
  <c r="AM16" i="20"/>
  <c r="AN16" i="20"/>
  <c r="AO16" i="20"/>
  <c r="AP16" i="20"/>
  <c r="AQ16" i="20"/>
  <c r="AR16" i="20"/>
  <c r="AS16" i="20"/>
  <c r="AT16" i="20"/>
  <c r="AU16" i="20"/>
  <c r="AV16" i="20"/>
  <c r="AW16" i="20"/>
  <c r="AX16" i="20"/>
  <c r="AY16" i="20"/>
  <c r="AZ16" i="20"/>
  <c r="BA16" i="20"/>
  <c r="BB16" i="20"/>
  <c r="BC16" i="20"/>
  <c r="BD16" i="20"/>
  <c r="BE16" i="20"/>
  <c r="BF16" i="20"/>
  <c r="BG16" i="20"/>
  <c r="BH16" i="20"/>
  <c r="BI16" i="20"/>
  <c r="BJ16" i="20"/>
  <c r="BK16" i="20"/>
  <c r="BL16" i="20"/>
  <c r="BM16" i="20"/>
  <c r="BN16" i="20"/>
  <c r="BO16" i="20"/>
  <c r="BP16" i="20"/>
  <c r="BQ16" i="20"/>
  <c r="BR16" i="20"/>
  <c r="BS16" i="20"/>
  <c r="BT16" i="20"/>
  <c r="BU16" i="20"/>
  <c r="BV16" i="20"/>
  <c r="BW16" i="20"/>
  <c r="BX16" i="20"/>
  <c r="BY16" i="20"/>
  <c r="BZ16" i="20"/>
  <c r="CA16" i="20"/>
  <c r="CB16" i="20"/>
  <c r="CC16" i="20"/>
  <c r="CD16" i="20"/>
  <c r="CE16" i="20"/>
  <c r="CF16" i="20"/>
  <c r="CG16" i="20"/>
  <c r="CH16" i="20"/>
  <c r="CI16" i="20"/>
  <c r="CJ16" i="20"/>
  <c r="CK16" i="20"/>
  <c r="CL16" i="20"/>
  <c r="CM16" i="20"/>
  <c r="CN16" i="20"/>
  <c r="CO16" i="20"/>
  <c r="CP16" i="20"/>
  <c r="CQ16" i="20"/>
  <c r="CR16" i="20"/>
  <c r="CS16" i="20"/>
  <c r="CT16" i="20"/>
  <c r="CU16" i="20"/>
  <c r="CV16" i="20"/>
  <c r="CW16" i="20"/>
  <c r="CX16" i="20"/>
  <c r="CY16" i="20"/>
  <c r="CZ16" i="20"/>
  <c r="DA16" i="20"/>
  <c r="DB16" i="20"/>
  <c r="DC16" i="20"/>
  <c r="DD16" i="20"/>
  <c r="DE16" i="20"/>
  <c r="DF16" i="20"/>
  <c r="DG16" i="20"/>
  <c r="DH16" i="20"/>
  <c r="DI16" i="20"/>
  <c r="DJ16" i="20"/>
  <c r="DK16" i="20"/>
  <c r="DL16" i="20"/>
  <c r="DM16" i="20"/>
  <c r="DN16" i="20"/>
  <c r="DO16" i="20"/>
  <c r="DP16" i="20"/>
  <c r="DQ16" i="20"/>
  <c r="DR16" i="20"/>
  <c r="DS16" i="20"/>
  <c r="DT16" i="20"/>
  <c r="DU16" i="20"/>
  <c r="DV16" i="20"/>
  <c r="DW16" i="20"/>
  <c r="DX16" i="20"/>
  <c r="DY16" i="20"/>
  <c r="DZ16" i="20"/>
  <c r="EA16" i="20"/>
  <c r="EB16" i="20"/>
  <c r="EC16" i="20"/>
  <c r="ED16" i="20"/>
  <c r="EE16" i="20"/>
  <c r="EF16" i="20"/>
  <c r="EG16" i="20"/>
  <c r="EH16" i="20"/>
  <c r="EI16" i="20"/>
  <c r="EJ16" i="20"/>
  <c r="EK16" i="20"/>
  <c r="EL16" i="20"/>
  <c r="EM16" i="20"/>
  <c r="EN16" i="20"/>
  <c r="EO16" i="20"/>
  <c r="EP16" i="20"/>
  <c r="EQ16" i="20"/>
  <c r="ER16" i="20"/>
  <c r="ES16" i="20"/>
  <c r="ET16" i="20"/>
  <c r="EU16" i="20"/>
  <c r="EV16" i="20"/>
  <c r="EW16" i="20"/>
  <c r="EX16" i="20"/>
  <c r="EY16" i="20"/>
  <c r="EZ16" i="20"/>
  <c r="FA16" i="20"/>
  <c r="FB16" i="20"/>
  <c r="FC16" i="20"/>
  <c r="FD16" i="20"/>
  <c r="FE16" i="20"/>
  <c r="FF16" i="20"/>
  <c r="FG16" i="20"/>
  <c r="FH16" i="20"/>
  <c r="FI16" i="20"/>
  <c r="FJ16" i="20"/>
  <c r="FK16" i="20"/>
  <c r="FL16" i="20"/>
  <c r="FM16" i="20"/>
  <c r="FN16" i="20"/>
  <c r="FO16" i="20"/>
  <c r="FP16" i="20"/>
  <c r="FQ16" i="20"/>
  <c r="FR16" i="20"/>
  <c r="FS16" i="20"/>
  <c r="FT16" i="20"/>
  <c r="FU16" i="20"/>
  <c r="FV16" i="20"/>
  <c r="FW16" i="20"/>
  <c r="FX16" i="20"/>
  <c r="FY16" i="20"/>
  <c r="FZ16" i="20"/>
  <c r="GA16" i="20"/>
  <c r="GB16" i="20"/>
  <c r="GC16" i="20"/>
  <c r="GD16" i="20"/>
  <c r="GE16" i="20"/>
  <c r="GF16" i="20"/>
  <c r="GG16" i="20"/>
  <c r="GH16" i="20"/>
  <c r="GI16" i="20"/>
  <c r="GJ16" i="20"/>
  <c r="GK16" i="20"/>
  <c r="GL16" i="20"/>
  <c r="GM16" i="20"/>
  <c r="GN16" i="20"/>
  <c r="GO16" i="20"/>
  <c r="GP16" i="20"/>
  <c r="GQ16" i="20"/>
  <c r="GR16" i="20"/>
  <c r="GS16" i="20"/>
  <c r="GT16" i="20"/>
  <c r="GU16" i="20"/>
  <c r="GV16" i="20"/>
  <c r="GW16" i="20"/>
  <c r="GX16" i="20"/>
  <c r="GY16" i="20"/>
  <c r="GZ16" i="20"/>
  <c r="HA16" i="20"/>
  <c r="HB16" i="20"/>
  <c r="HC16" i="20"/>
  <c r="HD16" i="20"/>
  <c r="HE16" i="20"/>
  <c r="HF16" i="20"/>
  <c r="HG16" i="20"/>
  <c r="HH16" i="20"/>
  <c r="HI16" i="20"/>
  <c r="HJ16" i="20"/>
  <c r="HK16" i="20"/>
  <c r="HL16" i="20"/>
  <c r="HM16" i="20"/>
  <c r="HN16" i="20"/>
  <c r="HO16" i="20"/>
  <c r="HP16" i="20"/>
  <c r="HQ16" i="20"/>
  <c r="HR16" i="20"/>
  <c r="HS16" i="20"/>
  <c r="HT16" i="20"/>
  <c r="HU16" i="20"/>
  <c r="HV16" i="20"/>
  <c r="HW16" i="20"/>
  <c r="HX16" i="20"/>
  <c r="HY16" i="20"/>
  <c r="HZ16" i="20"/>
  <c r="IA16" i="20"/>
  <c r="IB16" i="20"/>
  <c r="IC16" i="20"/>
  <c r="ID16" i="20"/>
  <c r="IE16" i="20"/>
  <c r="IF16" i="20"/>
  <c r="IG16" i="20"/>
  <c r="IH16" i="20"/>
  <c r="II16" i="20"/>
  <c r="IJ16" i="20"/>
  <c r="IK16" i="20"/>
  <c r="IL16" i="20"/>
  <c r="IM16" i="20"/>
  <c r="IN16" i="20"/>
  <c r="IO16" i="20"/>
  <c r="IP16" i="20"/>
  <c r="IQ16" i="20"/>
  <c r="IR16" i="20"/>
  <c r="IS16" i="20"/>
  <c r="IT16" i="20"/>
  <c r="IU16" i="20"/>
  <c r="IV16" i="20"/>
  <c r="IW16" i="20"/>
  <c r="IX16" i="20"/>
  <c r="IY16" i="20"/>
  <c r="IZ16" i="20"/>
  <c r="JA16" i="20"/>
  <c r="JB16" i="20"/>
  <c r="JC16" i="20"/>
  <c r="JD16" i="20"/>
  <c r="JE16" i="20"/>
  <c r="JF16" i="20"/>
  <c r="JG16" i="20"/>
  <c r="JH16" i="20"/>
  <c r="JI16" i="20"/>
  <c r="JJ16" i="20"/>
  <c r="JK16" i="20"/>
  <c r="JL16" i="20"/>
  <c r="JM16" i="20"/>
  <c r="JN16" i="20"/>
  <c r="JO16" i="20"/>
  <c r="JP16" i="20"/>
  <c r="JQ16" i="20"/>
  <c r="JR16" i="20"/>
  <c r="JS16" i="20"/>
  <c r="JT16" i="20"/>
  <c r="JU16" i="20"/>
  <c r="JV16" i="20"/>
  <c r="JW16" i="20"/>
  <c r="JX16" i="20"/>
  <c r="JY16" i="20"/>
  <c r="JZ16" i="20"/>
  <c r="KA16" i="20"/>
  <c r="KB16" i="20"/>
  <c r="KC16" i="20"/>
  <c r="KD16" i="20"/>
  <c r="KE16" i="20"/>
  <c r="KF16" i="20"/>
  <c r="KG16" i="20"/>
  <c r="KH16" i="20"/>
  <c r="KI16" i="20"/>
  <c r="KJ16" i="20"/>
  <c r="KK16" i="20"/>
  <c r="KL16" i="20"/>
  <c r="KM16" i="20"/>
  <c r="KN16" i="20"/>
  <c r="KO16" i="20"/>
  <c r="KP16" i="20"/>
  <c r="KQ16" i="20"/>
  <c r="KR16" i="20"/>
  <c r="KS16" i="20"/>
  <c r="KT16" i="20"/>
  <c r="KU16" i="20"/>
  <c r="KV16" i="20"/>
  <c r="KW16" i="20"/>
  <c r="KX16" i="20"/>
  <c r="KY16" i="20"/>
  <c r="KZ16" i="20"/>
  <c r="LA16" i="20"/>
  <c r="LB16" i="20"/>
  <c r="LC16" i="20"/>
  <c r="LD16" i="20"/>
  <c r="LE16" i="20"/>
  <c r="LF16" i="20"/>
  <c r="LG16" i="20"/>
  <c r="LH16" i="20"/>
  <c r="LI16" i="20"/>
  <c r="LJ16" i="20"/>
  <c r="LK16" i="20"/>
  <c r="LL16" i="20"/>
  <c r="LM16" i="20"/>
  <c r="LN16" i="20"/>
  <c r="LO16" i="20"/>
  <c r="LP16" i="20"/>
  <c r="LQ16" i="20"/>
  <c r="LR16" i="20"/>
  <c r="LS16" i="20"/>
  <c r="LT16" i="20"/>
  <c r="LU16" i="20"/>
  <c r="LV16" i="20"/>
  <c r="LW16" i="20"/>
  <c r="LX16" i="20"/>
  <c r="LY16" i="20"/>
  <c r="LZ16" i="20"/>
  <c r="MA16" i="20"/>
  <c r="MB16" i="20"/>
  <c r="MC16" i="20"/>
  <c r="MD16" i="20"/>
  <c r="ME16" i="20"/>
  <c r="MF16" i="20"/>
  <c r="MG16" i="20"/>
  <c r="MH16" i="20"/>
  <c r="MI16" i="20"/>
  <c r="MJ16" i="20"/>
  <c r="MK16" i="20"/>
  <c r="ML16" i="20"/>
  <c r="MM16" i="20"/>
  <c r="MN16" i="20"/>
  <c r="MO16" i="20"/>
  <c r="MP16" i="20"/>
  <c r="MQ16" i="20"/>
  <c r="MR16" i="20"/>
  <c r="MS16" i="20"/>
  <c r="MT16" i="20"/>
  <c r="MU16" i="20"/>
  <c r="MV16" i="20"/>
  <c r="MW16" i="20"/>
  <c r="MX16" i="20"/>
  <c r="MY16" i="20"/>
  <c r="MZ16" i="20"/>
  <c r="NA16" i="20"/>
  <c r="NB16" i="20"/>
  <c r="NC16" i="20"/>
  <c r="ND16" i="20"/>
  <c r="NE16" i="20"/>
  <c r="NF16" i="20"/>
  <c r="NG16" i="20"/>
  <c r="NH16" i="20"/>
  <c r="NI16" i="20"/>
  <c r="NJ16" i="20"/>
  <c r="NK16" i="20"/>
  <c r="NL16" i="20"/>
  <c r="NM16" i="20"/>
  <c r="NN16" i="20"/>
  <c r="NO16" i="20"/>
  <c r="NP16" i="20"/>
  <c r="NQ16" i="20"/>
  <c r="NR16" i="20"/>
  <c r="NS16" i="20"/>
  <c r="NT16" i="20"/>
  <c r="NU16" i="20"/>
  <c r="NV16" i="20"/>
  <c r="NW16" i="20"/>
  <c r="NX16" i="20"/>
  <c r="NY16" i="20"/>
  <c r="NZ16" i="20"/>
  <c r="OA16" i="20"/>
  <c r="OB16" i="20"/>
  <c r="OC16" i="20"/>
  <c r="OD16" i="20"/>
  <c r="OE16" i="20"/>
  <c r="OF16" i="20"/>
  <c r="OG16" i="20"/>
  <c r="OH16" i="20"/>
  <c r="OI16" i="20"/>
  <c r="OJ16" i="20"/>
  <c r="OK16" i="20"/>
  <c r="OL16" i="20"/>
  <c r="OM16" i="20"/>
  <c r="ON16" i="20"/>
  <c r="OO16" i="20"/>
  <c r="OP16" i="20"/>
  <c r="OQ16" i="20"/>
  <c r="OR16" i="20"/>
  <c r="OS16" i="20"/>
  <c r="OT16" i="20"/>
  <c r="OU16" i="20"/>
  <c r="OV16" i="20"/>
  <c r="OW16" i="20"/>
  <c r="OX16" i="20"/>
  <c r="OY16" i="20"/>
  <c r="OZ16" i="20"/>
  <c r="PA16" i="20"/>
  <c r="PB16" i="20"/>
  <c r="PC16" i="20"/>
  <c r="PD16" i="20"/>
  <c r="PE16" i="20"/>
  <c r="PF16" i="20"/>
  <c r="PG16" i="20"/>
  <c r="PH16" i="20"/>
  <c r="PI16" i="20"/>
  <c r="PJ16" i="20"/>
  <c r="PK16" i="20"/>
  <c r="PL16" i="20"/>
  <c r="PM16" i="20"/>
  <c r="PN16" i="20"/>
  <c r="PO16" i="20"/>
  <c r="PP16" i="20"/>
  <c r="PQ16" i="20"/>
  <c r="PR16" i="20"/>
  <c r="PS16" i="20"/>
  <c r="PT16" i="20"/>
  <c r="PU16" i="20"/>
  <c r="PV16" i="20"/>
  <c r="PW16" i="20"/>
  <c r="PX16" i="20"/>
  <c r="PY16" i="20"/>
  <c r="PZ16" i="20"/>
  <c r="QA16" i="20"/>
  <c r="QB16" i="20"/>
  <c r="QC16" i="20"/>
  <c r="QD16" i="20"/>
  <c r="QE16" i="20"/>
  <c r="QF16" i="20"/>
  <c r="QG16" i="20"/>
  <c r="QH16" i="20"/>
  <c r="QI16" i="20"/>
  <c r="QJ16" i="20"/>
  <c r="QK16" i="20"/>
  <c r="QL16" i="20"/>
  <c r="QM16" i="20"/>
  <c r="QN16" i="20"/>
  <c r="QO16" i="20"/>
  <c r="QP16" i="20"/>
  <c r="QQ16" i="20"/>
  <c r="QR16" i="20"/>
  <c r="QS16" i="20"/>
  <c r="QT16" i="20"/>
  <c r="QU16" i="20"/>
  <c r="QV16" i="20"/>
  <c r="QW16" i="20"/>
  <c r="QX16" i="20"/>
  <c r="QY16" i="20"/>
  <c r="QZ16" i="20"/>
  <c r="RA16" i="20"/>
  <c r="RB16" i="20"/>
  <c r="RC16" i="20"/>
  <c r="RD16" i="20"/>
  <c r="RE16" i="20"/>
  <c r="RF16" i="20"/>
  <c r="RG16" i="20"/>
  <c r="RH16" i="20"/>
  <c r="RI16" i="20"/>
  <c r="RJ16" i="20"/>
  <c r="RK16" i="20"/>
  <c r="RL16" i="20"/>
  <c r="RM16" i="20"/>
  <c r="RN16" i="20"/>
  <c r="RO16" i="20"/>
  <c r="RP16" i="20"/>
  <c r="RQ16" i="20"/>
  <c r="RR16" i="20"/>
  <c r="RS16" i="20"/>
  <c r="RT16" i="20"/>
  <c r="RU16" i="20"/>
  <c r="RV16" i="20"/>
  <c r="RW16" i="20"/>
  <c r="RX16" i="20"/>
  <c r="RY16" i="20"/>
  <c r="RZ16" i="20"/>
  <c r="SA16" i="20"/>
  <c r="SB16" i="20"/>
  <c r="SC16" i="20"/>
  <c r="SD16" i="20"/>
  <c r="SE16" i="20"/>
  <c r="SF16" i="20"/>
  <c r="SG16" i="20"/>
  <c r="SH16" i="20"/>
  <c r="SI16" i="20"/>
  <c r="SJ16" i="20"/>
  <c r="SK16" i="20"/>
  <c r="SL16" i="20"/>
  <c r="SM16" i="20"/>
  <c r="SN16" i="20"/>
  <c r="SO16" i="20"/>
  <c r="SP16" i="20"/>
  <c r="SQ16" i="20"/>
  <c r="SR16" i="20"/>
  <c r="SS16" i="20"/>
  <c r="ST16" i="20"/>
  <c r="SU16" i="20"/>
  <c r="SV16" i="20"/>
  <c r="SW16" i="20"/>
  <c r="SX16" i="20"/>
  <c r="SY16" i="20"/>
  <c r="SZ16" i="20"/>
  <c r="TA16" i="20"/>
  <c r="TB16" i="20"/>
  <c r="TC16" i="20"/>
  <c r="TD16" i="20"/>
  <c r="TE16" i="20"/>
  <c r="TF16" i="20"/>
  <c r="TG16" i="20"/>
  <c r="TH16" i="20"/>
  <c r="TI16" i="20"/>
  <c r="TJ16" i="20"/>
  <c r="TK16" i="20"/>
  <c r="TL16" i="20"/>
  <c r="TM16" i="20"/>
  <c r="TN16" i="20"/>
  <c r="TO16" i="20"/>
  <c r="TP16" i="20"/>
  <c r="TQ16" i="20"/>
  <c r="TR16" i="20"/>
  <c r="TS16" i="20"/>
  <c r="TT16" i="20"/>
  <c r="TU16" i="20"/>
  <c r="TV16" i="20"/>
  <c r="TW16" i="20"/>
  <c r="TX16" i="20"/>
  <c r="TY16" i="20"/>
  <c r="TZ16" i="20"/>
  <c r="UA16" i="20"/>
  <c r="UB16" i="20"/>
  <c r="UC16" i="20"/>
  <c r="UD16" i="20"/>
  <c r="UE16" i="20"/>
  <c r="UF16" i="20"/>
  <c r="UG16" i="20"/>
  <c r="UH16" i="20"/>
  <c r="UI16" i="20"/>
  <c r="UJ16" i="20"/>
  <c r="UK16" i="20"/>
  <c r="UL16" i="20"/>
  <c r="UM16" i="20"/>
  <c r="UN16" i="20"/>
  <c r="UO16" i="20"/>
  <c r="UP16" i="20"/>
  <c r="UQ16" i="20"/>
  <c r="UR16" i="20"/>
  <c r="US16" i="20"/>
  <c r="UT16" i="20"/>
  <c r="UU16" i="20"/>
  <c r="UV16" i="20"/>
  <c r="UW16" i="20"/>
  <c r="UX16" i="20"/>
  <c r="UY16" i="20"/>
  <c r="UZ16" i="20"/>
  <c r="VA16" i="20"/>
  <c r="VB16" i="20"/>
  <c r="VC16" i="20"/>
  <c r="VD16" i="20"/>
  <c r="VE16" i="20"/>
  <c r="VF16" i="20"/>
  <c r="VG16" i="20"/>
  <c r="VH16" i="20"/>
  <c r="VI16" i="20"/>
  <c r="VJ16" i="20"/>
  <c r="VK16" i="20"/>
  <c r="VL16" i="20"/>
  <c r="VM16" i="20"/>
  <c r="VN16" i="20"/>
  <c r="VO16" i="20"/>
  <c r="VP16" i="20"/>
  <c r="VQ16" i="20"/>
  <c r="VR16" i="20"/>
  <c r="VS16" i="20"/>
  <c r="VT16" i="20"/>
  <c r="VU16" i="20"/>
  <c r="VV16" i="20"/>
  <c r="VW16" i="20"/>
  <c r="VX16" i="20"/>
  <c r="VY16" i="20"/>
  <c r="VZ16" i="20"/>
  <c r="WA16" i="20"/>
  <c r="WB16" i="20"/>
  <c r="WC16" i="20"/>
  <c r="WD16" i="20"/>
  <c r="WE16" i="20"/>
  <c r="WF16" i="20"/>
  <c r="WG16" i="20"/>
  <c r="WH16" i="20"/>
  <c r="WI16" i="20"/>
  <c r="WJ16" i="20"/>
  <c r="WK16" i="20"/>
  <c r="WL16" i="20"/>
  <c r="WM16" i="20"/>
  <c r="WN16" i="20"/>
  <c r="WO16" i="20"/>
  <c r="WP16" i="20"/>
  <c r="WQ16" i="20"/>
  <c r="WR16" i="20"/>
  <c r="WS16" i="20"/>
  <c r="WT16" i="20"/>
  <c r="WU16" i="20"/>
  <c r="WV16" i="20"/>
  <c r="WW16" i="20"/>
  <c r="WX16" i="20"/>
  <c r="WY16" i="20"/>
  <c r="WZ16" i="20"/>
  <c r="XA16" i="20"/>
  <c r="XB16" i="20"/>
  <c r="XC16" i="20"/>
  <c r="XD16" i="20"/>
  <c r="XE16" i="20"/>
  <c r="XF16" i="20"/>
  <c r="XG16" i="20"/>
  <c r="XH16" i="20"/>
  <c r="XI16" i="20"/>
  <c r="XJ16" i="20"/>
  <c r="XK16" i="20"/>
  <c r="XL16" i="20"/>
  <c r="XM16" i="20"/>
  <c r="XN16" i="20"/>
  <c r="XO16" i="20"/>
  <c r="XP16" i="20"/>
  <c r="XQ16" i="20"/>
  <c r="XR16" i="20"/>
  <c r="XS16" i="20"/>
  <c r="XT16" i="20"/>
  <c r="XU16" i="20"/>
  <c r="XV16" i="20"/>
  <c r="XW16" i="20"/>
  <c r="XX16" i="20"/>
  <c r="XY16" i="20"/>
  <c r="XZ16" i="20"/>
  <c r="YA16" i="20"/>
  <c r="YB16" i="20"/>
  <c r="YC16" i="20"/>
  <c r="YD16" i="20"/>
  <c r="YE16" i="20"/>
  <c r="YF16" i="20"/>
  <c r="YG16" i="20"/>
  <c r="YH16" i="20"/>
  <c r="YI16" i="20"/>
  <c r="YJ16" i="20"/>
  <c r="YK16" i="20"/>
  <c r="YL16" i="20"/>
  <c r="YM16" i="20"/>
  <c r="YN16" i="20"/>
  <c r="YO16" i="20"/>
  <c r="YP16" i="20"/>
  <c r="YQ16" i="20"/>
  <c r="YR16" i="20"/>
  <c r="YS16" i="20"/>
  <c r="YT16" i="20"/>
  <c r="YU16" i="20"/>
  <c r="YV16" i="20"/>
  <c r="YW16" i="20"/>
  <c r="YX16" i="20"/>
  <c r="YY16" i="20"/>
  <c r="YZ16" i="20"/>
  <c r="ZA16" i="20"/>
  <c r="ZB16" i="20"/>
  <c r="ZC16" i="20"/>
  <c r="ZD16" i="20"/>
  <c r="ZE16" i="20"/>
  <c r="ZF16" i="20"/>
  <c r="ZG16" i="20"/>
  <c r="ZH16" i="20"/>
  <c r="ZI16" i="20"/>
  <c r="ZJ16" i="20"/>
  <c r="ZK16" i="20"/>
  <c r="ZL16" i="20"/>
  <c r="ZM16" i="20"/>
  <c r="ZN16" i="20"/>
  <c r="ZO16" i="20"/>
  <c r="ZP16" i="20"/>
  <c r="ZQ16" i="20"/>
  <c r="ZR16" i="20"/>
  <c r="ZS16" i="20"/>
  <c r="ZT16" i="20"/>
  <c r="ZU16" i="20"/>
  <c r="ZV16" i="20"/>
  <c r="ZW16" i="20"/>
  <c r="ZX16" i="20"/>
  <c r="ZY16" i="20"/>
  <c r="ZZ16" i="20"/>
  <c r="AAA16" i="20"/>
  <c r="AAB16" i="20"/>
  <c r="AAC16" i="20"/>
  <c r="C17" i="20"/>
  <c r="D17" i="20"/>
  <c r="E17" i="20"/>
  <c r="F17" i="20"/>
  <c r="G17" i="20"/>
  <c r="H17" i="20"/>
  <c r="I17" i="20"/>
  <c r="J17" i="20"/>
  <c r="K17" i="20"/>
  <c r="L17" i="20"/>
  <c r="M17" i="20"/>
  <c r="N17" i="20"/>
  <c r="O17" i="20"/>
  <c r="P17" i="20"/>
  <c r="Q17" i="20"/>
  <c r="R17" i="20"/>
  <c r="S17" i="20"/>
  <c r="T17" i="20"/>
  <c r="U17" i="20"/>
  <c r="V17" i="20"/>
  <c r="W17" i="20"/>
  <c r="X17" i="20"/>
  <c r="Y17" i="20"/>
  <c r="Z17" i="20"/>
  <c r="AA17" i="20"/>
  <c r="AB17" i="20"/>
  <c r="AC17" i="20"/>
  <c r="AD17" i="20"/>
  <c r="AE17" i="20"/>
  <c r="AF17" i="20"/>
  <c r="AG17" i="20"/>
  <c r="AH17" i="20"/>
  <c r="AI17" i="20"/>
  <c r="AJ17" i="20"/>
  <c r="AK17" i="20"/>
  <c r="AL17" i="20"/>
  <c r="AM17" i="20"/>
  <c r="AN17" i="20"/>
  <c r="AO17" i="20"/>
  <c r="AP17" i="20"/>
  <c r="AQ17" i="20"/>
  <c r="AR17" i="20"/>
  <c r="AS17" i="20"/>
  <c r="AT17" i="20"/>
  <c r="AU17" i="20"/>
  <c r="AV17" i="20"/>
  <c r="AW17" i="20"/>
  <c r="AX17" i="20"/>
  <c r="AY17" i="20"/>
  <c r="AZ17" i="20"/>
  <c r="BA17" i="20"/>
  <c r="BB17" i="20"/>
  <c r="BC17" i="20"/>
  <c r="BD17" i="20"/>
  <c r="BE17" i="20"/>
  <c r="BF17" i="20"/>
  <c r="BG17" i="20"/>
  <c r="BH17" i="20"/>
  <c r="BI17" i="20"/>
  <c r="BJ17" i="20"/>
  <c r="BK17" i="20"/>
  <c r="BL17" i="20"/>
  <c r="BM17" i="20"/>
  <c r="BN17" i="20"/>
  <c r="BO17" i="20"/>
  <c r="BP17" i="20"/>
  <c r="BQ17" i="20"/>
  <c r="BR17" i="20"/>
  <c r="BS17" i="20"/>
  <c r="BT17" i="20"/>
  <c r="BU17" i="20"/>
  <c r="BV17" i="20"/>
  <c r="BW17" i="20"/>
  <c r="BX17" i="20"/>
  <c r="BY17" i="20"/>
  <c r="BZ17" i="20"/>
  <c r="CA17" i="20"/>
  <c r="CB17" i="20"/>
  <c r="CC17" i="20"/>
  <c r="CD17" i="20"/>
  <c r="CE17" i="20"/>
  <c r="CF17" i="20"/>
  <c r="CG17" i="20"/>
  <c r="CH17" i="20"/>
  <c r="CI17" i="20"/>
  <c r="CJ17" i="20"/>
  <c r="CK17" i="20"/>
  <c r="CL17" i="20"/>
  <c r="CM17" i="20"/>
  <c r="CN17" i="20"/>
  <c r="CO17" i="20"/>
  <c r="CP17" i="20"/>
  <c r="CQ17" i="20"/>
  <c r="CR17" i="20"/>
  <c r="CS17" i="20"/>
  <c r="CT17" i="20"/>
  <c r="CU17" i="20"/>
  <c r="CV17" i="20"/>
  <c r="CW17" i="20"/>
  <c r="CX17" i="20"/>
  <c r="CY17" i="20"/>
  <c r="CZ17" i="20"/>
  <c r="DA17" i="20"/>
  <c r="DB17" i="20"/>
  <c r="DC17" i="20"/>
  <c r="DD17" i="20"/>
  <c r="DE17" i="20"/>
  <c r="DF17" i="20"/>
  <c r="DG17" i="20"/>
  <c r="DH17" i="20"/>
  <c r="DI17" i="20"/>
  <c r="DJ17" i="20"/>
  <c r="DK17" i="20"/>
  <c r="DL17" i="20"/>
  <c r="DM17" i="20"/>
  <c r="DN17" i="20"/>
  <c r="DO17" i="20"/>
  <c r="DP17" i="20"/>
  <c r="DQ17" i="20"/>
  <c r="DR17" i="20"/>
  <c r="DS17" i="20"/>
  <c r="DT17" i="20"/>
  <c r="DU17" i="20"/>
  <c r="DV17" i="20"/>
  <c r="DW17" i="20"/>
  <c r="DX17" i="20"/>
  <c r="DY17" i="20"/>
  <c r="DZ17" i="20"/>
  <c r="EA17" i="20"/>
  <c r="EB17" i="20"/>
  <c r="EC17" i="20"/>
  <c r="ED17" i="20"/>
  <c r="EE17" i="20"/>
  <c r="EF17" i="20"/>
  <c r="EG17" i="20"/>
  <c r="EH17" i="20"/>
  <c r="EI17" i="20"/>
  <c r="EJ17" i="20"/>
  <c r="EK17" i="20"/>
  <c r="EL17" i="20"/>
  <c r="EM17" i="20"/>
  <c r="EN17" i="20"/>
  <c r="EO17" i="20"/>
  <c r="EP17" i="20"/>
  <c r="EQ17" i="20"/>
  <c r="ER17" i="20"/>
  <c r="ES17" i="20"/>
  <c r="ET17" i="20"/>
  <c r="EU17" i="20"/>
  <c r="EV17" i="20"/>
  <c r="EW17" i="20"/>
  <c r="EX17" i="20"/>
  <c r="EY17" i="20"/>
  <c r="EZ17" i="20"/>
  <c r="FA17" i="20"/>
  <c r="FB17" i="20"/>
  <c r="FC17" i="20"/>
  <c r="FD17" i="20"/>
  <c r="FE17" i="20"/>
  <c r="FF17" i="20"/>
  <c r="FG17" i="20"/>
  <c r="FH17" i="20"/>
  <c r="FI17" i="20"/>
  <c r="FJ17" i="20"/>
  <c r="FK17" i="20"/>
  <c r="FL17" i="20"/>
  <c r="FM17" i="20"/>
  <c r="FN17" i="20"/>
  <c r="FO17" i="20"/>
  <c r="FP17" i="20"/>
  <c r="FQ17" i="20"/>
  <c r="FR17" i="20"/>
  <c r="FS17" i="20"/>
  <c r="FT17" i="20"/>
  <c r="FU17" i="20"/>
  <c r="FV17" i="20"/>
  <c r="FW17" i="20"/>
  <c r="FX17" i="20"/>
  <c r="FY17" i="20"/>
  <c r="FZ17" i="20"/>
  <c r="GA17" i="20"/>
  <c r="GB17" i="20"/>
  <c r="GC17" i="20"/>
  <c r="GD17" i="20"/>
  <c r="GE17" i="20"/>
  <c r="GF17" i="20"/>
  <c r="GG17" i="20"/>
  <c r="GH17" i="20"/>
  <c r="GI17" i="20"/>
  <c r="GJ17" i="20"/>
  <c r="GK17" i="20"/>
  <c r="GL17" i="20"/>
  <c r="GM17" i="20"/>
  <c r="GN17" i="20"/>
  <c r="GO17" i="20"/>
  <c r="GP17" i="20"/>
  <c r="GQ17" i="20"/>
  <c r="GR17" i="20"/>
  <c r="GS17" i="20"/>
  <c r="GT17" i="20"/>
  <c r="GU17" i="20"/>
  <c r="GV17" i="20"/>
  <c r="GW17" i="20"/>
  <c r="GX17" i="20"/>
  <c r="GY17" i="20"/>
  <c r="GZ17" i="20"/>
  <c r="HA17" i="20"/>
  <c r="HB17" i="20"/>
  <c r="HC17" i="20"/>
  <c r="HD17" i="20"/>
  <c r="HE17" i="20"/>
  <c r="HF17" i="20"/>
  <c r="HG17" i="20"/>
  <c r="HH17" i="20"/>
  <c r="HI17" i="20"/>
  <c r="HJ17" i="20"/>
  <c r="HK17" i="20"/>
  <c r="HL17" i="20"/>
  <c r="HM17" i="20"/>
  <c r="HN17" i="20"/>
  <c r="HO17" i="20"/>
  <c r="HP17" i="20"/>
  <c r="HQ17" i="20"/>
  <c r="HR17" i="20"/>
  <c r="HS17" i="20"/>
  <c r="HT17" i="20"/>
  <c r="HU17" i="20"/>
  <c r="HV17" i="20"/>
  <c r="HW17" i="20"/>
  <c r="HX17" i="20"/>
  <c r="HY17" i="20"/>
  <c r="HZ17" i="20"/>
  <c r="IA17" i="20"/>
  <c r="IB17" i="20"/>
  <c r="IC17" i="20"/>
  <c r="ID17" i="20"/>
  <c r="IE17" i="20"/>
  <c r="IF17" i="20"/>
  <c r="IG17" i="20"/>
  <c r="IH17" i="20"/>
  <c r="II17" i="20"/>
  <c r="IJ17" i="20"/>
  <c r="IK17" i="20"/>
  <c r="IL17" i="20"/>
  <c r="IM17" i="20"/>
  <c r="IN17" i="20"/>
  <c r="IO17" i="20"/>
  <c r="IP17" i="20"/>
  <c r="IQ17" i="20"/>
  <c r="IR17" i="20"/>
  <c r="IS17" i="20"/>
  <c r="IT17" i="20"/>
  <c r="IU17" i="20"/>
  <c r="IV17" i="20"/>
  <c r="IW17" i="20"/>
  <c r="IX17" i="20"/>
  <c r="IY17" i="20"/>
  <c r="IZ17" i="20"/>
  <c r="JA17" i="20"/>
  <c r="JB17" i="20"/>
  <c r="JC17" i="20"/>
  <c r="JD17" i="20"/>
  <c r="JE17" i="20"/>
  <c r="JF17" i="20"/>
  <c r="JG17" i="20"/>
  <c r="JH17" i="20"/>
  <c r="JI17" i="20"/>
  <c r="JJ17" i="20"/>
  <c r="JK17" i="20"/>
  <c r="JL17" i="20"/>
  <c r="JM17" i="20"/>
  <c r="JN17" i="20"/>
  <c r="JO17" i="20"/>
  <c r="JP17" i="20"/>
  <c r="JQ17" i="20"/>
  <c r="JR17" i="20"/>
  <c r="JS17" i="20"/>
  <c r="JT17" i="20"/>
  <c r="JU17" i="20"/>
  <c r="JV17" i="20"/>
  <c r="JW17" i="20"/>
  <c r="JX17" i="20"/>
  <c r="JY17" i="20"/>
  <c r="JZ17" i="20"/>
  <c r="KA17" i="20"/>
  <c r="KB17" i="20"/>
  <c r="KC17" i="20"/>
  <c r="KD17" i="20"/>
  <c r="KE17" i="20"/>
  <c r="KF17" i="20"/>
  <c r="KG17" i="20"/>
  <c r="KH17" i="20"/>
  <c r="KI17" i="20"/>
  <c r="KJ17" i="20"/>
  <c r="KK17" i="20"/>
  <c r="KL17" i="20"/>
  <c r="KM17" i="20"/>
  <c r="KN17" i="20"/>
  <c r="KO17" i="20"/>
  <c r="KP17" i="20"/>
  <c r="KQ17" i="20"/>
  <c r="KR17" i="20"/>
  <c r="KS17" i="20"/>
  <c r="KT17" i="20"/>
  <c r="KU17" i="20"/>
  <c r="KV17" i="20"/>
  <c r="KW17" i="20"/>
  <c r="KX17" i="20"/>
  <c r="KY17" i="20"/>
  <c r="KZ17" i="20"/>
  <c r="LA17" i="20"/>
  <c r="LB17" i="20"/>
  <c r="LC17" i="20"/>
  <c r="LD17" i="20"/>
  <c r="LE17" i="20"/>
  <c r="LF17" i="20"/>
  <c r="LG17" i="20"/>
  <c r="LH17" i="20"/>
  <c r="LI17" i="20"/>
  <c r="LJ17" i="20"/>
  <c r="LK17" i="20"/>
  <c r="LL17" i="20"/>
  <c r="LM17" i="20"/>
  <c r="LN17" i="20"/>
  <c r="LO17" i="20"/>
  <c r="LP17" i="20"/>
  <c r="LQ17" i="20"/>
  <c r="LR17" i="20"/>
  <c r="LS17" i="20"/>
  <c r="LT17" i="20"/>
  <c r="LU17" i="20"/>
  <c r="LV17" i="20"/>
  <c r="LW17" i="20"/>
  <c r="LX17" i="20"/>
  <c r="LY17" i="20"/>
  <c r="LZ17" i="20"/>
  <c r="MA17" i="20"/>
  <c r="MB17" i="20"/>
  <c r="MC17" i="20"/>
  <c r="MD17" i="20"/>
  <c r="ME17" i="20"/>
  <c r="MF17" i="20"/>
  <c r="MG17" i="20"/>
  <c r="MH17" i="20"/>
  <c r="MI17" i="20"/>
  <c r="MJ17" i="20"/>
  <c r="MK17" i="20"/>
  <c r="ML17" i="20"/>
  <c r="MM17" i="20"/>
  <c r="MN17" i="20"/>
  <c r="MO17" i="20"/>
  <c r="MP17" i="20"/>
  <c r="MQ17" i="20"/>
  <c r="MR17" i="20"/>
  <c r="MS17" i="20"/>
  <c r="MT17" i="20"/>
  <c r="MU17" i="20"/>
  <c r="MV17" i="20"/>
  <c r="MW17" i="20"/>
  <c r="MX17" i="20"/>
  <c r="MY17" i="20"/>
  <c r="MZ17" i="20"/>
  <c r="NA17" i="20"/>
  <c r="NB17" i="20"/>
  <c r="NC17" i="20"/>
  <c r="ND17" i="20"/>
  <c r="NE17" i="20"/>
  <c r="NF17" i="20"/>
  <c r="NG17" i="20"/>
  <c r="NH17" i="20"/>
  <c r="NI17" i="20"/>
  <c r="NJ17" i="20"/>
  <c r="NK17" i="20"/>
  <c r="NL17" i="20"/>
  <c r="NM17" i="20"/>
  <c r="NN17" i="20"/>
  <c r="NO17" i="20"/>
  <c r="NP17" i="20"/>
  <c r="NQ17" i="20"/>
  <c r="NR17" i="20"/>
  <c r="NS17" i="20"/>
  <c r="NT17" i="20"/>
  <c r="NU17" i="20"/>
  <c r="NV17" i="20"/>
  <c r="NW17" i="20"/>
  <c r="NX17" i="20"/>
  <c r="NY17" i="20"/>
  <c r="NZ17" i="20"/>
  <c r="OA17" i="20"/>
  <c r="OB17" i="20"/>
  <c r="OC17" i="20"/>
  <c r="OD17" i="20"/>
  <c r="OE17" i="20"/>
  <c r="OF17" i="20"/>
  <c r="OG17" i="20"/>
  <c r="OH17" i="20"/>
  <c r="OI17" i="20"/>
  <c r="OJ17" i="20"/>
  <c r="OK17" i="20"/>
  <c r="OL17" i="20"/>
  <c r="OM17" i="20"/>
  <c r="ON17" i="20"/>
  <c r="OO17" i="20"/>
  <c r="OP17" i="20"/>
  <c r="OQ17" i="20"/>
  <c r="OR17" i="20"/>
  <c r="OS17" i="20"/>
  <c r="OT17" i="20"/>
  <c r="OU17" i="20"/>
  <c r="OV17" i="20"/>
  <c r="OW17" i="20"/>
  <c r="OX17" i="20"/>
  <c r="OY17" i="20"/>
  <c r="OZ17" i="20"/>
  <c r="PA17" i="20"/>
  <c r="PB17" i="20"/>
  <c r="PC17" i="20"/>
  <c r="PD17" i="20"/>
  <c r="PE17" i="20"/>
  <c r="PF17" i="20"/>
  <c r="PG17" i="20"/>
  <c r="PH17" i="20"/>
  <c r="PI17" i="20"/>
  <c r="PJ17" i="20"/>
  <c r="PK17" i="20"/>
  <c r="PL17" i="20"/>
  <c r="PM17" i="20"/>
  <c r="PN17" i="20"/>
  <c r="PO17" i="20"/>
  <c r="PP17" i="20"/>
  <c r="PQ17" i="20"/>
  <c r="PR17" i="20"/>
  <c r="PS17" i="20"/>
  <c r="PT17" i="20"/>
  <c r="PU17" i="20"/>
  <c r="PV17" i="20"/>
  <c r="PW17" i="20"/>
  <c r="PX17" i="20"/>
  <c r="PY17" i="20"/>
  <c r="PZ17" i="20"/>
  <c r="QA17" i="20"/>
  <c r="QB17" i="20"/>
  <c r="QC17" i="20"/>
  <c r="QD17" i="20"/>
  <c r="QE17" i="20"/>
  <c r="QF17" i="20"/>
  <c r="QG17" i="20"/>
  <c r="QH17" i="20"/>
  <c r="QI17" i="20"/>
  <c r="QJ17" i="20"/>
  <c r="QK17" i="20"/>
  <c r="QL17" i="20"/>
  <c r="QM17" i="20"/>
  <c r="QN17" i="20"/>
  <c r="QO17" i="20"/>
  <c r="QP17" i="20"/>
  <c r="QQ17" i="20"/>
  <c r="QR17" i="20"/>
  <c r="QS17" i="20"/>
  <c r="QT17" i="20"/>
  <c r="QU17" i="20"/>
  <c r="QV17" i="20"/>
  <c r="QW17" i="20"/>
  <c r="QX17" i="20"/>
  <c r="QY17" i="20"/>
  <c r="QZ17" i="20"/>
  <c r="RA17" i="20"/>
  <c r="RB17" i="20"/>
  <c r="RC17" i="20"/>
  <c r="RD17" i="20"/>
  <c r="RE17" i="20"/>
  <c r="RF17" i="20"/>
  <c r="RG17" i="20"/>
  <c r="RH17" i="20"/>
  <c r="RI17" i="20"/>
  <c r="RJ17" i="20"/>
  <c r="RK17" i="20"/>
  <c r="RL17" i="20"/>
  <c r="RM17" i="20"/>
  <c r="RN17" i="20"/>
  <c r="RO17" i="20"/>
  <c r="RP17" i="20"/>
  <c r="RQ17" i="20"/>
  <c r="RR17" i="20"/>
  <c r="RS17" i="20"/>
  <c r="RT17" i="20"/>
  <c r="RU17" i="20"/>
  <c r="RV17" i="20"/>
  <c r="RW17" i="20"/>
  <c r="RX17" i="20"/>
  <c r="RY17" i="20"/>
  <c r="RZ17" i="20"/>
  <c r="SA17" i="20"/>
  <c r="SB17" i="20"/>
  <c r="SC17" i="20"/>
  <c r="SD17" i="20"/>
  <c r="SE17" i="20"/>
  <c r="SF17" i="20"/>
  <c r="SG17" i="20"/>
  <c r="SH17" i="20"/>
  <c r="SI17" i="20"/>
  <c r="SJ17" i="20"/>
  <c r="SK17" i="20"/>
  <c r="SL17" i="20"/>
  <c r="SM17" i="20"/>
  <c r="SN17" i="20"/>
  <c r="SO17" i="20"/>
  <c r="SP17" i="20"/>
  <c r="SQ17" i="20"/>
  <c r="SR17" i="20"/>
  <c r="SS17" i="20"/>
  <c r="ST17" i="20"/>
  <c r="SU17" i="20"/>
  <c r="SV17" i="20"/>
  <c r="SW17" i="20"/>
  <c r="SX17" i="20"/>
  <c r="SY17" i="20"/>
  <c r="SZ17" i="20"/>
  <c r="TA17" i="20"/>
  <c r="TB17" i="20"/>
  <c r="TC17" i="20"/>
  <c r="TD17" i="20"/>
  <c r="TE17" i="20"/>
  <c r="TF17" i="20"/>
  <c r="TG17" i="20"/>
  <c r="TH17" i="20"/>
  <c r="TI17" i="20"/>
  <c r="TJ17" i="20"/>
  <c r="TK17" i="20"/>
  <c r="TL17" i="20"/>
  <c r="TM17" i="20"/>
  <c r="TN17" i="20"/>
  <c r="TO17" i="20"/>
  <c r="TP17" i="20"/>
  <c r="TQ17" i="20"/>
  <c r="TR17" i="20"/>
  <c r="TS17" i="20"/>
  <c r="TT17" i="20"/>
  <c r="TU17" i="20"/>
  <c r="TV17" i="20"/>
  <c r="TW17" i="20"/>
  <c r="TX17" i="20"/>
  <c r="TY17" i="20"/>
  <c r="TZ17" i="20"/>
  <c r="UA17" i="20"/>
  <c r="UB17" i="20"/>
  <c r="UC17" i="20"/>
  <c r="UD17" i="20"/>
  <c r="UE17" i="20"/>
  <c r="UF17" i="20"/>
  <c r="UG17" i="20"/>
  <c r="UH17" i="20"/>
  <c r="UI17" i="20"/>
  <c r="UJ17" i="20"/>
  <c r="UK17" i="20"/>
  <c r="UL17" i="20"/>
  <c r="UM17" i="20"/>
  <c r="UN17" i="20"/>
  <c r="UO17" i="20"/>
  <c r="UP17" i="20"/>
  <c r="UQ17" i="20"/>
  <c r="UR17" i="20"/>
  <c r="US17" i="20"/>
  <c r="UT17" i="20"/>
  <c r="UU17" i="20"/>
  <c r="UV17" i="20"/>
  <c r="UW17" i="20"/>
  <c r="UX17" i="20"/>
  <c r="UY17" i="20"/>
  <c r="UZ17" i="20"/>
  <c r="VA17" i="20"/>
  <c r="VB17" i="20"/>
  <c r="VC17" i="20"/>
  <c r="VD17" i="20"/>
  <c r="VE17" i="20"/>
  <c r="VF17" i="20"/>
  <c r="VG17" i="20"/>
  <c r="VH17" i="20"/>
  <c r="VI17" i="20"/>
  <c r="VJ17" i="20"/>
  <c r="VK17" i="20"/>
  <c r="VL17" i="20"/>
  <c r="VM17" i="20"/>
  <c r="VN17" i="20"/>
  <c r="VO17" i="20"/>
  <c r="VP17" i="20"/>
  <c r="VQ17" i="20"/>
  <c r="VR17" i="20"/>
  <c r="VS17" i="20"/>
  <c r="VT17" i="20"/>
  <c r="VU17" i="20"/>
  <c r="VV17" i="20"/>
  <c r="VW17" i="20"/>
  <c r="VX17" i="20"/>
  <c r="VY17" i="20"/>
  <c r="VZ17" i="20"/>
  <c r="WA17" i="20"/>
  <c r="WB17" i="20"/>
  <c r="WC17" i="20"/>
  <c r="WD17" i="20"/>
  <c r="WE17" i="20"/>
  <c r="WF17" i="20"/>
  <c r="WG17" i="20"/>
  <c r="WH17" i="20"/>
  <c r="WI17" i="20"/>
  <c r="WJ17" i="20"/>
  <c r="WK17" i="20"/>
  <c r="WL17" i="20"/>
  <c r="WM17" i="20"/>
  <c r="WN17" i="20"/>
  <c r="WO17" i="20"/>
  <c r="WP17" i="20"/>
  <c r="WQ17" i="20"/>
  <c r="WR17" i="20"/>
  <c r="WS17" i="20"/>
  <c r="WT17" i="20"/>
  <c r="WU17" i="20"/>
  <c r="WV17" i="20"/>
  <c r="WW17" i="20"/>
  <c r="WX17" i="20"/>
  <c r="WY17" i="20"/>
  <c r="WZ17" i="20"/>
  <c r="XA17" i="20"/>
  <c r="XB17" i="20"/>
  <c r="XC17" i="20"/>
  <c r="XD17" i="20"/>
  <c r="XE17" i="20"/>
  <c r="XF17" i="20"/>
  <c r="XG17" i="20"/>
  <c r="XH17" i="20"/>
  <c r="XI17" i="20"/>
  <c r="XJ17" i="20"/>
  <c r="XK17" i="20"/>
  <c r="XL17" i="20"/>
  <c r="XM17" i="20"/>
  <c r="XN17" i="20"/>
  <c r="XO17" i="20"/>
  <c r="XP17" i="20"/>
  <c r="XQ17" i="20"/>
  <c r="XR17" i="20"/>
  <c r="XS17" i="20"/>
  <c r="XT17" i="20"/>
  <c r="XU17" i="20"/>
  <c r="XV17" i="20"/>
  <c r="XW17" i="20"/>
  <c r="XX17" i="20"/>
  <c r="XY17" i="20"/>
  <c r="XZ17" i="20"/>
  <c r="YA17" i="20"/>
  <c r="YB17" i="20"/>
  <c r="YC17" i="20"/>
  <c r="YD17" i="20"/>
  <c r="YE17" i="20"/>
  <c r="YF17" i="20"/>
  <c r="YG17" i="20"/>
  <c r="YH17" i="20"/>
  <c r="YI17" i="20"/>
  <c r="YJ17" i="20"/>
  <c r="YK17" i="20"/>
  <c r="YL17" i="20"/>
  <c r="YM17" i="20"/>
  <c r="YN17" i="20"/>
  <c r="YO17" i="20"/>
  <c r="YP17" i="20"/>
  <c r="YQ17" i="20"/>
  <c r="YR17" i="20"/>
  <c r="YS17" i="20"/>
  <c r="YT17" i="20"/>
  <c r="YU17" i="20"/>
  <c r="YV17" i="20"/>
  <c r="YW17" i="20"/>
  <c r="YX17" i="20"/>
  <c r="YY17" i="20"/>
  <c r="YZ17" i="20"/>
  <c r="ZA17" i="20"/>
  <c r="ZB17" i="20"/>
  <c r="ZC17" i="20"/>
  <c r="ZD17" i="20"/>
  <c r="ZE17" i="20"/>
  <c r="ZF17" i="20"/>
  <c r="ZG17" i="20"/>
  <c r="ZH17" i="20"/>
  <c r="ZI17" i="20"/>
  <c r="ZJ17" i="20"/>
  <c r="ZK17" i="20"/>
  <c r="ZL17" i="20"/>
  <c r="ZM17" i="20"/>
  <c r="ZN17" i="20"/>
  <c r="ZO17" i="20"/>
  <c r="ZP17" i="20"/>
  <c r="ZQ17" i="20"/>
  <c r="ZR17" i="20"/>
  <c r="ZS17" i="20"/>
  <c r="ZT17" i="20"/>
  <c r="ZU17" i="20"/>
  <c r="ZV17" i="20"/>
  <c r="ZW17" i="20"/>
  <c r="ZX17" i="20"/>
  <c r="ZY17" i="20"/>
  <c r="ZZ17" i="20"/>
  <c r="AAA17" i="20"/>
  <c r="AAB17" i="20"/>
  <c r="AAC17" i="20"/>
  <c r="C18" i="20"/>
  <c r="D18" i="20"/>
  <c r="E18" i="20"/>
  <c r="F18" i="20"/>
  <c r="G18" i="20"/>
  <c r="H18" i="20"/>
  <c r="I18" i="20"/>
  <c r="J18" i="20"/>
  <c r="K18" i="20"/>
  <c r="L18" i="20"/>
  <c r="M18" i="20"/>
  <c r="N18" i="20"/>
  <c r="O18" i="20"/>
  <c r="P18" i="20"/>
  <c r="Q18" i="20"/>
  <c r="R18" i="20"/>
  <c r="S18" i="20"/>
  <c r="T18" i="20"/>
  <c r="U18" i="20"/>
  <c r="V18" i="20"/>
  <c r="W18" i="20"/>
  <c r="X18" i="20"/>
  <c r="Y18" i="20"/>
  <c r="Z18" i="20"/>
  <c r="AA18" i="20"/>
  <c r="AB18" i="20"/>
  <c r="AC18" i="20"/>
  <c r="AD18" i="20"/>
  <c r="AE18" i="20"/>
  <c r="AF18" i="20"/>
  <c r="AG18" i="20"/>
  <c r="AH18" i="20"/>
  <c r="AI18" i="20"/>
  <c r="AJ18" i="20"/>
  <c r="AK18" i="20"/>
  <c r="AL18" i="20"/>
  <c r="AM18" i="20"/>
  <c r="AN18" i="20"/>
  <c r="AO18" i="20"/>
  <c r="AP18" i="20"/>
  <c r="AQ18" i="20"/>
  <c r="AR18" i="20"/>
  <c r="AS18" i="20"/>
  <c r="AT18" i="20"/>
  <c r="AU18" i="20"/>
  <c r="AV18" i="20"/>
  <c r="AW18" i="20"/>
  <c r="AX18" i="20"/>
  <c r="AY18" i="20"/>
  <c r="AZ18" i="20"/>
  <c r="BA18" i="20"/>
  <c r="BB18" i="20"/>
  <c r="BC18" i="20"/>
  <c r="BD18" i="20"/>
  <c r="BE18" i="20"/>
  <c r="BF18" i="20"/>
  <c r="BG18" i="20"/>
  <c r="BH18" i="20"/>
  <c r="BI18" i="20"/>
  <c r="BJ18" i="20"/>
  <c r="BK18" i="20"/>
  <c r="BL18" i="20"/>
  <c r="BM18" i="20"/>
  <c r="BN18" i="20"/>
  <c r="BO18" i="20"/>
  <c r="BP18" i="20"/>
  <c r="BQ18" i="20"/>
  <c r="BR18" i="20"/>
  <c r="BS18" i="20"/>
  <c r="BT18" i="20"/>
  <c r="BU18" i="20"/>
  <c r="BV18" i="20"/>
  <c r="BW18" i="20"/>
  <c r="BX18" i="20"/>
  <c r="BY18" i="20"/>
  <c r="BZ18" i="20"/>
  <c r="CA18" i="20"/>
  <c r="CB18" i="20"/>
  <c r="CC18" i="20"/>
  <c r="CD18" i="20"/>
  <c r="CE18" i="20"/>
  <c r="CF18" i="20"/>
  <c r="CG18" i="20"/>
  <c r="CH18" i="20"/>
  <c r="CI18" i="20"/>
  <c r="CJ18" i="20"/>
  <c r="CK18" i="20"/>
  <c r="CL18" i="20"/>
  <c r="CM18" i="20"/>
  <c r="CN18" i="20"/>
  <c r="CO18" i="20"/>
  <c r="CP18" i="20"/>
  <c r="CQ18" i="20"/>
  <c r="CR18" i="20"/>
  <c r="CS18" i="20"/>
  <c r="CT18" i="20"/>
  <c r="CU18" i="20"/>
  <c r="CV18" i="20"/>
  <c r="CW18" i="20"/>
  <c r="CX18" i="20"/>
  <c r="CY18" i="20"/>
  <c r="CZ18" i="20"/>
  <c r="DA18" i="20"/>
  <c r="DB18" i="20"/>
  <c r="DC18" i="20"/>
  <c r="DD18" i="20"/>
  <c r="DE18" i="20"/>
  <c r="DF18" i="20"/>
  <c r="DG18" i="20"/>
  <c r="DH18" i="20"/>
  <c r="DI18" i="20"/>
  <c r="DJ18" i="20"/>
  <c r="DK18" i="20"/>
  <c r="DL18" i="20"/>
  <c r="DM18" i="20"/>
  <c r="DN18" i="20"/>
  <c r="DO18" i="20"/>
  <c r="DP18" i="20"/>
  <c r="DQ18" i="20"/>
  <c r="DR18" i="20"/>
  <c r="DS18" i="20"/>
  <c r="DT18" i="20"/>
  <c r="DU18" i="20"/>
  <c r="DV18" i="20"/>
  <c r="DW18" i="20"/>
  <c r="DX18" i="20"/>
  <c r="DY18" i="20"/>
  <c r="DZ18" i="20"/>
  <c r="EA18" i="20"/>
  <c r="EB18" i="20"/>
  <c r="EC18" i="20"/>
  <c r="ED18" i="20"/>
  <c r="EE18" i="20"/>
  <c r="EF18" i="20"/>
  <c r="EG18" i="20"/>
  <c r="EH18" i="20"/>
  <c r="EI18" i="20"/>
  <c r="EJ18" i="20"/>
  <c r="EK18" i="20"/>
  <c r="EL18" i="20"/>
  <c r="EM18" i="20"/>
  <c r="EN18" i="20"/>
  <c r="EO18" i="20"/>
  <c r="EP18" i="20"/>
  <c r="EQ18" i="20"/>
  <c r="ER18" i="20"/>
  <c r="ES18" i="20"/>
  <c r="ET18" i="20"/>
  <c r="EU18" i="20"/>
  <c r="EV18" i="20"/>
  <c r="EW18" i="20"/>
  <c r="EX18" i="20"/>
  <c r="EY18" i="20"/>
  <c r="EZ18" i="20"/>
  <c r="FA18" i="20"/>
  <c r="FB18" i="20"/>
  <c r="FC18" i="20"/>
  <c r="FD18" i="20"/>
  <c r="FE18" i="20"/>
  <c r="FF18" i="20"/>
  <c r="FG18" i="20"/>
  <c r="FH18" i="20"/>
  <c r="FI18" i="20"/>
  <c r="FJ18" i="20"/>
  <c r="FK18" i="20"/>
  <c r="FL18" i="20"/>
  <c r="FM18" i="20"/>
  <c r="FN18" i="20"/>
  <c r="FO18" i="20"/>
  <c r="FP18" i="20"/>
  <c r="FQ18" i="20"/>
  <c r="FR18" i="20"/>
  <c r="FS18" i="20"/>
  <c r="FT18" i="20"/>
  <c r="FU18" i="20"/>
  <c r="FV18" i="20"/>
  <c r="FW18" i="20"/>
  <c r="FX18" i="20"/>
  <c r="FY18" i="20"/>
  <c r="FZ18" i="20"/>
  <c r="GA18" i="20"/>
  <c r="GB18" i="20"/>
  <c r="GC18" i="20"/>
  <c r="GD18" i="20"/>
  <c r="GE18" i="20"/>
  <c r="GF18" i="20"/>
  <c r="GG18" i="20"/>
  <c r="GH18" i="20"/>
  <c r="GI18" i="20"/>
  <c r="GJ18" i="20"/>
  <c r="GK18" i="20"/>
  <c r="GL18" i="20"/>
  <c r="GM18" i="20"/>
  <c r="GN18" i="20"/>
  <c r="GO18" i="20"/>
  <c r="GP18" i="20"/>
  <c r="GQ18" i="20"/>
  <c r="GR18" i="20"/>
  <c r="GS18" i="20"/>
  <c r="GT18" i="20"/>
  <c r="GU18" i="20"/>
  <c r="GV18" i="20"/>
  <c r="GW18" i="20"/>
  <c r="GX18" i="20"/>
  <c r="GY18" i="20"/>
  <c r="GZ18" i="20"/>
  <c r="HA18" i="20"/>
  <c r="HB18" i="20"/>
  <c r="HC18" i="20"/>
  <c r="HD18" i="20"/>
  <c r="HE18" i="20"/>
  <c r="HF18" i="20"/>
  <c r="HG18" i="20"/>
  <c r="HH18" i="20"/>
  <c r="HI18" i="20"/>
  <c r="HJ18" i="20"/>
  <c r="HK18" i="20"/>
  <c r="HL18" i="20"/>
  <c r="HM18" i="20"/>
  <c r="HN18" i="20"/>
  <c r="HO18" i="20"/>
  <c r="HP18" i="20"/>
  <c r="HQ18" i="20"/>
  <c r="HR18" i="20"/>
  <c r="HS18" i="20"/>
  <c r="HT18" i="20"/>
  <c r="HU18" i="20"/>
  <c r="HV18" i="20"/>
  <c r="HW18" i="20"/>
  <c r="HX18" i="20"/>
  <c r="HY18" i="20"/>
  <c r="HZ18" i="20"/>
  <c r="IA18" i="20"/>
  <c r="IB18" i="20"/>
  <c r="IC18" i="20"/>
  <c r="ID18" i="20"/>
  <c r="IE18" i="20"/>
  <c r="IF18" i="20"/>
  <c r="IG18" i="20"/>
  <c r="IH18" i="20"/>
  <c r="II18" i="20"/>
  <c r="IJ18" i="20"/>
  <c r="IK18" i="20"/>
  <c r="IL18" i="20"/>
  <c r="IM18" i="20"/>
  <c r="IN18" i="20"/>
  <c r="IO18" i="20"/>
  <c r="IP18" i="20"/>
  <c r="IQ18" i="20"/>
  <c r="IR18" i="20"/>
  <c r="IS18" i="20"/>
  <c r="IT18" i="20"/>
  <c r="IU18" i="20"/>
  <c r="IV18" i="20"/>
  <c r="IW18" i="20"/>
  <c r="IX18" i="20"/>
  <c r="IY18" i="20"/>
  <c r="IZ18" i="20"/>
  <c r="JA18" i="20"/>
  <c r="JB18" i="20"/>
  <c r="JC18" i="20"/>
  <c r="JD18" i="20"/>
  <c r="JE18" i="20"/>
  <c r="JF18" i="20"/>
  <c r="JG18" i="20"/>
  <c r="JH18" i="20"/>
  <c r="JI18" i="20"/>
  <c r="JJ18" i="20"/>
  <c r="JK18" i="20"/>
  <c r="JL18" i="20"/>
  <c r="JM18" i="20"/>
  <c r="JN18" i="20"/>
  <c r="JO18" i="20"/>
  <c r="JP18" i="20"/>
  <c r="JQ18" i="20"/>
  <c r="JR18" i="20"/>
  <c r="JS18" i="20"/>
  <c r="JT18" i="20"/>
  <c r="JU18" i="20"/>
  <c r="JV18" i="20"/>
  <c r="JW18" i="20"/>
  <c r="JX18" i="20"/>
  <c r="JY18" i="20"/>
  <c r="JZ18" i="20"/>
  <c r="KA18" i="20"/>
  <c r="KB18" i="20"/>
  <c r="KC18" i="20"/>
  <c r="KD18" i="20"/>
  <c r="KE18" i="20"/>
  <c r="KF18" i="20"/>
  <c r="KG18" i="20"/>
  <c r="KH18" i="20"/>
  <c r="KI18" i="20"/>
  <c r="KJ18" i="20"/>
  <c r="KK18" i="20"/>
  <c r="KL18" i="20"/>
  <c r="KM18" i="20"/>
  <c r="KN18" i="20"/>
  <c r="KO18" i="20"/>
  <c r="KP18" i="20"/>
  <c r="KQ18" i="20"/>
  <c r="KR18" i="20"/>
  <c r="KS18" i="20"/>
  <c r="KT18" i="20"/>
  <c r="KU18" i="20"/>
  <c r="KV18" i="20"/>
  <c r="KW18" i="20"/>
  <c r="KX18" i="20"/>
  <c r="KY18" i="20"/>
  <c r="KZ18" i="20"/>
  <c r="LA18" i="20"/>
  <c r="LB18" i="20"/>
  <c r="LC18" i="20"/>
  <c r="LD18" i="20"/>
  <c r="LE18" i="20"/>
  <c r="LF18" i="20"/>
  <c r="LG18" i="20"/>
  <c r="LH18" i="20"/>
  <c r="LI18" i="20"/>
  <c r="LJ18" i="20"/>
  <c r="LK18" i="20"/>
  <c r="LL18" i="20"/>
  <c r="LM18" i="20"/>
  <c r="LN18" i="20"/>
  <c r="LO18" i="20"/>
  <c r="LP18" i="20"/>
  <c r="LQ18" i="20"/>
  <c r="LR18" i="20"/>
  <c r="LS18" i="20"/>
  <c r="LT18" i="20"/>
  <c r="LU18" i="20"/>
  <c r="LV18" i="20"/>
  <c r="LW18" i="20"/>
  <c r="LX18" i="20"/>
  <c r="LY18" i="20"/>
  <c r="LZ18" i="20"/>
  <c r="MA18" i="20"/>
  <c r="MB18" i="20"/>
  <c r="MC18" i="20"/>
  <c r="MD18" i="20"/>
  <c r="ME18" i="20"/>
  <c r="MF18" i="20"/>
  <c r="MG18" i="20"/>
  <c r="MH18" i="20"/>
  <c r="MI18" i="20"/>
  <c r="MJ18" i="20"/>
  <c r="MK18" i="20"/>
  <c r="ML18" i="20"/>
  <c r="MM18" i="20"/>
  <c r="MN18" i="20"/>
  <c r="MO18" i="20"/>
  <c r="MP18" i="20"/>
  <c r="MQ18" i="20"/>
  <c r="MR18" i="20"/>
  <c r="MS18" i="20"/>
  <c r="MT18" i="20"/>
  <c r="MU18" i="20"/>
  <c r="MV18" i="20"/>
  <c r="MW18" i="20"/>
  <c r="MX18" i="20"/>
  <c r="MY18" i="20"/>
  <c r="MZ18" i="20"/>
  <c r="NA18" i="20"/>
  <c r="NB18" i="20"/>
  <c r="NC18" i="20"/>
  <c r="ND18" i="20"/>
  <c r="NE18" i="20"/>
  <c r="NF18" i="20"/>
  <c r="NG18" i="20"/>
  <c r="NH18" i="20"/>
  <c r="NI18" i="20"/>
  <c r="NJ18" i="20"/>
  <c r="NK18" i="20"/>
  <c r="NL18" i="20"/>
  <c r="NM18" i="20"/>
  <c r="NN18" i="20"/>
  <c r="NO18" i="20"/>
  <c r="NP18" i="20"/>
  <c r="NQ18" i="20"/>
  <c r="NR18" i="20"/>
  <c r="NS18" i="20"/>
  <c r="NT18" i="20"/>
  <c r="NU18" i="20"/>
  <c r="NV18" i="20"/>
  <c r="NW18" i="20"/>
  <c r="NX18" i="20"/>
  <c r="NY18" i="20"/>
  <c r="NZ18" i="20"/>
  <c r="OA18" i="20"/>
  <c r="OB18" i="20"/>
  <c r="OC18" i="20"/>
  <c r="OD18" i="20"/>
  <c r="OE18" i="20"/>
  <c r="OF18" i="20"/>
  <c r="OG18" i="20"/>
  <c r="OH18" i="20"/>
  <c r="OI18" i="20"/>
  <c r="OJ18" i="20"/>
  <c r="OK18" i="20"/>
  <c r="OL18" i="20"/>
  <c r="OM18" i="20"/>
  <c r="ON18" i="20"/>
  <c r="OO18" i="20"/>
  <c r="OP18" i="20"/>
  <c r="OQ18" i="20"/>
  <c r="OR18" i="20"/>
  <c r="OS18" i="20"/>
  <c r="OT18" i="20"/>
  <c r="OU18" i="20"/>
  <c r="OV18" i="20"/>
  <c r="OW18" i="20"/>
  <c r="OX18" i="20"/>
  <c r="OY18" i="20"/>
  <c r="OZ18" i="20"/>
  <c r="PA18" i="20"/>
  <c r="PB18" i="20"/>
  <c r="PC18" i="20"/>
  <c r="PD18" i="20"/>
  <c r="PE18" i="20"/>
  <c r="PF18" i="20"/>
  <c r="PG18" i="20"/>
  <c r="PH18" i="20"/>
  <c r="PI18" i="20"/>
  <c r="PJ18" i="20"/>
  <c r="PK18" i="20"/>
  <c r="PL18" i="20"/>
  <c r="PM18" i="20"/>
  <c r="PN18" i="20"/>
  <c r="PO18" i="20"/>
  <c r="PP18" i="20"/>
  <c r="PQ18" i="20"/>
  <c r="PR18" i="20"/>
  <c r="PS18" i="20"/>
  <c r="PT18" i="20"/>
  <c r="PU18" i="20"/>
  <c r="PV18" i="20"/>
  <c r="PW18" i="20"/>
  <c r="PX18" i="20"/>
  <c r="PY18" i="20"/>
  <c r="PZ18" i="20"/>
  <c r="QA18" i="20"/>
  <c r="QB18" i="20"/>
  <c r="QC18" i="20"/>
  <c r="QD18" i="20"/>
  <c r="QE18" i="20"/>
  <c r="QF18" i="20"/>
  <c r="QG18" i="20"/>
  <c r="QH18" i="20"/>
  <c r="QI18" i="20"/>
  <c r="QJ18" i="20"/>
  <c r="QK18" i="20"/>
  <c r="QL18" i="20"/>
  <c r="QM18" i="20"/>
  <c r="QN18" i="20"/>
  <c r="QO18" i="20"/>
  <c r="QP18" i="20"/>
  <c r="QQ18" i="20"/>
  <c r="QR18" i="20"/>
  <c r="QS18" i="20"/>
  <c r="QT18" i="20"/>
  <c r="QU18" i="20"/>
  <c r="QV18" i="20"/>
  <c r="QW18" i="20"/>
  <c r="QX18" i="20"/>
  <c r="QY18" i="20"/>
  <c r="QZ18" i="20"/>
  <c r="RA18" i="20"/>
  <c r="RB18" i="20"/>
  <c r="RC18" i="20"/>
  <c r="RD18" i="20"/>
  <c r="RE18" i="20"/>
  <c r="RF18" i="20"/>
  <c r="RG18" i="20"/>
  <c r="RH18" i="20"/>
  <c r="RI18" i="20"/>
  <c r="RJ18" i="20"/>
  <c r="RK18" i="20"/>
  <c r="RL18" i="20"/>
  <c r="RM18" i="20"/>
  <c r="RN18" i="20"/>
  <c r="RO18" i="20"/>
  <c r="RP18" i="20"/>
  <c r="RQ18" i="20"/>
  <c r="RR18" i="20"/>
  <c r="RS18" i="20"/>
  <c r="RT18" i="20"/>
  <c r="RU18" i="20"/>
  <c r="RV18" i="20"/>
  <c r="RW18" i="20"/>
  <c r="RX18" i="20"/>
  <c r="RY18" i="20"/>
  <c r="RZ18" i="20"/>
  <c r="SA18" i="20"/>
  <c r="SB18" i="20"/>
  <c r="SC18" i="20"/>
  <c r="SD18" i="20"/>
  <c r="SE18" i="20"/>
  <c r="SF18" i="20"/>
  <c r="SG18" i="20"/>
  <c r="SH18" i="20"/>
  <c r="SI18" i="20"/>
  <c r="SJ18" i="20"/>
  <c r="SK18" i="20"/>
  <c r="SL18" i="20"/>
  <c r="SM18" i="20"/>
  <c r="SN18" i="20"/>
  <c r="SO18" i="20"/>
  <c r="SP18" i="20"/>
  <c r="SQ18" i="20"/>
  <c r="SR18" i="20"/>
  <c r="SS18" i="20"/>
  <c r="ST18" i="20"/>
  <c r="SU18" i="20"/>
  <c r="SV18" i="20"/>
  <c r="SW18" i="20"/>
  <c r="SX18" i="20"/>
  <c r="SY18" i="20"/>
  <c r="SZ18" i="20"/>
  <c r="TA18" i="20"/>
  <c r="TB18" i="20"/>
  <c r="TC18" i="20"/>
  <c r="TD18" i="20"/>
  <c r="TE18" i="20"/>
  <c r="TF18" i="20"/>
  <c r="TG18" i="20"/>
  <c r="TH18" i="20"/>
  <c r="TI18" i="20"/>
  <c r="TJ18" i="20"/>
  <c r="TK18" i="20"/>
  <c r="TL18" i="20"/>
  <c r="TM18" i="20"/>
  <c r="TN18" i="20"/>
  <c r="TO18" i="20"/>
  <c r="TP18" i="20"/>
  <c r="TQ18" i="20"/>
  <c r="TR18" i="20"/>
  <c r="TS18" i="20"/>
  <c r="TT18" i="20"/>
  <c r="TU18" i="20"/>
  <c r="TV18" i="20"/>
  <c r="TW18" i="20"/>
  <c r="TX18" i="20"/>
  <c r="TY18" i="20"/>
  <c r="TZ18" i="20"/>
  <c r="UA18" i="20"/>
  <c r="UB18" i="20"/>
  <c r="UC18" i="20"/>
  <c r="UD18" i="20"/>
  <c r="UE18" i="20"/>
  <c r="UF18" i="20"/>
  <c r="UG18" i="20"/>
  <c r="UH18" i="20"/>
  <c r="UI18" i="20"/>
  <c r="UJ18" i="20"/>
  <c r="UK18" i="20"/>
  <c r="UL18" i="20"/>
  <c r="UM18" i="20"/>
  <c r="UN18" i="20"/>
  <c r="UO18" i="20"/>
  <c r="UP18" i="20"/>
  <c r="UQ18" i="20"/>
  <c r="UR18" i="20"/>
  <c r="US18" i="20"/>
  <c r="UT18" i="20"/>
  <c r="UU18" i="20"/>
  <c r="UV18" i="20"/>
  <c r="UW18" i="20"/>
  <c r="UX18" i="20"/>
  <c r="UY18" i="20"/>
  <c r="UZ18" i="20"/>
  <c r="VA18" i="20"/>
  <c r="VB18" i="20"/>
  <c r="VC18" i="20"/>
  <c r="VD18" i="20"/>
  <c r="VE18" i="20"/>
  <c r="VF18" i="20"/>
  <c r="VG18" i="20"/>
  <c r="VH18" i="20"/>
  <c r="VI18" i="20"/>
  <c r="VJ18" i="20"/>
  <c r="VK18" i="20"/>
  <c r="VL18" i="20"/>
  <c r="VM18" i="20"/>
  <c r="VN18" i="20"/>
  <c r="VO18" i="20"/>
  <c r="VP18" i="20"/>
  <c r="VQ18" i="20"/>
  <c r="VR18" i="20"/>
  <c r="VS18" i="20"/>
  <c r="VT18" i="20"/>
  <c r="VU18" i="20"/>
  <c r="VV18" i="20"/>
  <c r="VW18" i="20"/>
  <c r="VX18" i="20"/>
  <c r="VY18" i="20"/>
  <c r="VZ18" i="20"/>
  <c r="WA18" i="20"/>
  <c r="WB18" i="20"/>
  <c r="WC18" i="20"/>
  <c r="WD18" i="20"/>
  <c r="WE18" i="20"/>
  <c r="WF18" i="20"/>
  <c r="WG18" i="20"/>
  <c r="WH18" i="20"/>
  <c r="WI18" i="20"/>
  <c r="WJ18" i="20"/>
  <c r="WK18" i="20"/>
  <c r="WL18" i="20"/>
  <c r="WM18" i="20"/>
  <c r="WN18" i="20"/>
  <c r="WO18" i="20"/>
  <c r="WP18" i="20"/>
  <c r="WQ18" i="20"/>
  <c r="WR18" i="20"/>
  <c r="WS18" i="20"/>
  <c r="WT18" i="20"/>
  <c r="WU18" i="20"/>
  <c r="WV18" i="20"/>
  <c r="WW18" i="20"/>
  <c r="WX18" i="20"/>
  <c r="WY18" i="20"/>
  <c r="WZ18" i="20"/>
  <c r="XA18" i="20"/>
  <c r="XB18" i="20"/>
  <c r="XC18" i="20"/>
  <c r="XD18" i="20"/>
  <c r="XE18" i="20"/>
  <c r="XF18" i="20"/>
  <c r="XG18" i="20"/>
  <c r="XH18" i="20"/>
  <c r="XI18" i="20"/>
  <c r="XJ18" i="20"/>
  <c r="XK18" i="20"/>
  <c r="XL18" i="20"/>
  <c r="XM18" i="20"/>
  <c r="XN18" i="20"/>
  <c r="XO18" i="20"/>
  <c r="XP18" i="20"/>
  <c r="XQ18" i="20"/>
  <c r="XR18" i="20"/>
  <c r="XS18" i="20"/>
  <c r="XT18" i="20"/>
  <c r="XU18" i="20"/>
  <c r="XV18" i="20"/>
  <c r="XW18" i="20"/>
  <c r="XX18" i="20"/>
  <c r="XY18" i="20"/>
  <c r="XZ18" i="20"/>
  <c r="YA18" i="20"/>
  <c r="YB18" i="20"/>
  <c r="YC18" i="20"/>
  <c r="YD18" i="20"/>
  <c r="YE18" i="20"/>
  <c r="YF18" i="20"/>
  <c r="YG18" i="20"/>
  <c r="YH18" i="20"/>
  <c r="YI18" i="20"/>
  <c r="YJ18" i="20"/>
  <c r="YK18" i="20"/>
  <c r="YL18" i="20"/>
  <c r="YM18" i="20"/>
  <c r="YN18" i="20"/>
  <c r="YO18" i="20"/>
  <c r="YP18" i="20"/>
  <c r="YQ18" i="20"/>
  <c r="YR18" i="20"/>
  <c r="YS18" i="20"/>
  <c r="YT18" i="20"/>
  <c r="YU18" i="20"/>
  <c r="YV18" i="20"/>
  <c r="YW18" i="20"/>
  <c r="YX18" i="20"/>
  <c r="YY18" i="20"/>
  <c r="YZ18" i="20"/>
  <c r="ZA18" i="20"/>
  <c r="ZB18" i="20"/>
  <c r="ZC18" i="20"/>
  <c r="ZD18" i="20"/>
  <c r="ZE18" i="20"/>
  <c r="ZF18" i="20"/>
  <c r="ZG18" i="20"/>
  <c r="ZH18" i="20"/>
  <c r="ZI18" i="20"/>
  <c r="ZJ18" i="20"/>
  <c r="ZK18" i="20"/>
  <c r="ZL18" i="20"/>
  <c r="ZM18" i="20"/>
  <c r="ZN18" i="20"/>
  <c r="ZO18" i="20"/>
  <c r="ZP18" i="20"/>
  <c r="ZQ18" i="20"/>
  <c r="ZR18" i="20"/>
  <c r="ZS18" i="20"/>
  <c r="ZT18" i="20"/>
  <c r="ZU18" i="20"/>
  <c r="ZV18" i="20"/>
  <c r="ZW18" i="20"/>
  <c r="ZX18" i="20"/>
  <c r="ZY18" i="20"/>
  <c r="ZZ18" i="20"/>
  <c r="AAA18" i="20"/>
  <c r="AAB18" i="20"/>
  <c r="AAC18" i="20"/>
  <c r="C19" i="20"/>
  <c r="D19" i="20"/>
  <c r="E19" i="20"/>
  <c r="F19" i="20"/>
  <c r="G19" i="20"/>
  <c r="H19" i="20"/>
  <c r="I19" i="20"/>
  <c r="J19" i="20"/>
  <c r="K19" i="20"/>
  <c r="L19" i="20"/>
  <c r="M19" i="20"/>
  <c r="N19" i="20"/>
  <c r="O19" i="20"/>
  <c r="P19" i="20"/>
  <c r="Q19" i="20"/>
  <c r="R19" i="20"/>
  <c r="S19" i="20"/>
  <c r="T19" i="20"/>
  <c r="U19" i="20"/>
  <c r="V19" i="20"/>
  <c r="W19" i="20"/>
  <c r="X19" i="20"/>
  <c r="Y19" i="20"/>
  <c r="Z19" i="20"/>
  <c r="AA19" i="20"/>
  <c r="AB19" i="20"/>
  <c r="AC19" i="20"/>
  <c r="AD19" i="20"/>
  <c r="AE19" i="20"/>
  <c r="AF19" i="20"/>
  <c r="AG19" i="20"/>
  <c r="AH19" i="20"/>
  <c r="AI19" i="20"/>
  <c r="AJ19" i="20"/>
  <c r="AK19" i="20"/>
  <c r="AL19" i="20"/>
  <c r="AM19" i="20"/>
  <c r="AN19" i="20"/>
  <c r="AO19" i="20"/>
  <c r="AP19" i="20"/>
  <c r="AQ19" i="20"/>
  <c r="AR19" i="20"/>
  <c r="AS19" i="20"/>
  <c r="AT19" i="20"/>
  <c r="AU19" i="20"/>
  <c r="AV19" i="20"/>
  <c r="AW19" i="20"/>
  <c r="AX19" i="20"/>
  <c r="AY19" i="20"/>
  <c r="AZ19" i="20"/>
  <c r="BA19" i="20"/>
  <c r="BB19" i="20"/>
  <c r="BC19" i="20"/>
  <c r="BD19" i="20"/>
  <c r="BE19" i="20"/>
  <c r="BF19" i="20"/>
  <c r="BG19" i="20"/>
  <c r="BH19" i="20"/>
  <c r="BI19" i="20"/>
  <c r="BJ19" i="20"/>
  <c r="BK19" i="20"/>
  <c r="BL19" i="20"/>
  <c r="BM19" i="20"/>
  <c r="BN19" i="20"/>
  <c r="BO19" i="20"/>
  <c r="BP19" i="20"/>
  <c r="BQ19" i="20"/>
  <c r="BR19" i="20"/>
  <c r="BS19" i="20"/>
  <c r="BT19" i="20"/>
  <c r="BU19" i="20"/>
  <c r="BV19" i="20"/>
  <c r="BW19" i="20"/>
  <c r="BX19" i="20"/>
  <c r="BY19" i="20"/>
  <c r="BZ19" i="20"/>
  <c r="CA19" i="20"/>
  <c r="CB19" i="20"/>
  <c r="CC19" i="20"/>
  <c r="CD19" i="20"/>
  <c r="CE19" i="20"/>
  <c r="CF19" i="20"/>
  <c r="CG19" i="20"/>
  <c r="CH19" i="20"/>
  <c r="CI19" i="20"/>
  <c r="CJ19" i="20"/>
  <c r="CK19" i="20"/>
  <c r="CL19" i="20"/>
  <c r="CM19" i="20"/>
  <c r="CN19" i="20"/>
  <c r="CO19" i="20"/>
  <c r="CP19" i="20"/>
  <c r="CQ19" i="20"/>
  <c r="CR19" i="20"/>
  <c r="CS19" i="20"/>
  <c r="CT19" i="20"/>
  <c r="CU19" i="20"/>
  <c r="CV19" i="20"/>
  <c r="CW19" i="20"/>
  <c r="CX19" i="20"/>
  <c r="CY19" i="20"/>
  <c r="CZ19" i="20"/>
  <c r="DA19" i="20"/>
  <c r="DB19" i="20"/>
  <c r="DC19" i="20"/>
  <c r="DD19" i="20"/>
  <c r="DE19" i="20"/>
  <c r="DF19" i="20"/>
  <c r="DG19" i="20"/>
  <c r="DH19" i="20"/>
  <c r="DI19" i="20"/>
  <c r="DJ19" i="20"/>
  <c r="DK19" i="20"/>
  <c r="DL19" i="20"/>
  <c r="DM19" i="20"/>
  <c r="DN19" i="20"/>
  <c r="DO19" i="20"/>
  <c r="DP19" i="20"/>
  <c r="DQ19" i="20"/>
  <c r="DR19" i="20"/>
  <c r="DS19" i="20"/>
  <c r="DT19" i="20"/>
  <c r="DU19" i="20"/>
  <c r="DV19" i="20"/>
  <c r="DW19" i="20"/>
  <c r="DX19" i="20"/>
  <c r="DY19" i="20"/>
  <c r="DZ19" i="20"/>
  <c r="EA19" i="20"/>
  <c r="EB19" i="20"/>
  <c r="EC19" i="20"/>
  <c r="ED19" i="20"/>
  <c r="EE19" i="20"/>
  <c r="EF19" i="20"/>
  <c r="EG19" i="20"/>
  <c r="EH19" i="20"/>
  <c r="EI19" i="20"/>
  <c r="EJ19" i="20"/>
  <c r="EK19" i="20"/>
  <c r="EL19" i="20"/>
  <c r="EM19" i="20"/>
  <c r="EN19" i="20"/>
  <c r="EO19" i="20"/>
  <c r="EP19" i="20"/>
  <c r="EQ19" i="20"/>
  <c r="ER19" i="20"/>
  <c r="ES19" i="20"/>
  <c r="ET19" i="20"/>
  <c r="EU19" i="20"/>
  <c r="EV19" i="20"/>
  <c r="EW19" i="20"/>
  <c r="EX19" i="20"/>
  <c r="EY19" i="20"/>
  <c r="EZ19" i="20"/>
  <c r="FA19" i="20"/>
  <c r="FB19" i="20"/>
  <c r="FC19" i="20"/>
  <c r="FD19" i="20"/>
  <c r="FE19" i="20"/>
  <c r="FF19" i="20"/>
  <c r="FG19" i="20"/>
  <c r="FH19" i="20"/>
  <c r="FI19" i="20"/>
  <c r="FJ19" i="20"/>
  <c r="FK19" i="20"/>
  <c r="FL19" i="20"/>
  <c r="FM19" i="20"/>
  <c r="FN19" i="20"/>
  <c r="FO19" i="20"/>
  <c r="FP19" i="20"/>
  <c r="FQ19" i="20"/>
  <c r="FR19" i="20"/>
  <c r="FS19" i="20"/>
  <c r="FT19" i="20"/>
  <c r="FU19" i="20"/>
  <c r="FV19" i="20"/>
  <c r="FW19" i="20"/>
  <c r="FX19" i="20"/>
  <c r="FY19" i="20"/>
  <c r="FZ19" i="20"/>
  <c r="GA19" i="20"/>
  <c r="GB19" i="20"/>
  <c r="GC19" i="20"/>
  <c r="GD19" i="20"/>
  <c r="GE19" i="20"/>
  <c r="GF19" i="20"/>
  <c r="GG19" i="20"/>
  <c r="GH19" i="20"/>
  <c r="GI19" i="20"/>
  <c r="GJ19" i="20"/>
  <c r="GK19" i="20"/>
  <c r="GL19" i="20"/>
  <c r="GM19" i="20"/>
  <c r="GN19" i="20"/>
  <c r="GO19" i="20"/>
  <c r="GP19" i="20"/>
  <c r="GQ19" i="20"/>
  <c r="GR19" i="20"/>
  <c r="GS19" i="20"/>
  <c r="GT19" i="20"/>
  <c r="GU19" i="20"/>
  <c r="GV19" i="20"/>
  <c r="GW19" i="20"/>
  <c r="GX19" i="20"/>
  <c r="GY19" i="20"/>
  <c r="GZ19" i="20"/>
  <c r="HA19" i="20"/>
  <c r="HB19" i="20"/>
  <c r="HC19" i="20"/>
  <c r="HD19" i="20"/>
  <c r="HE19" i="20"/>
  <c r="HF19" i="20"/>
  <c r="HG19" i="20"/>
  <c r="HH19" i="20"/>
  <c r="HI19" i="20"/>
  <c r="HJ19" i="20"/>
  <c r="HK19" i="20"/>
  <c r="HL19" i="20"/>
  <c r="HM19" i="20"/>
  <c r="HN19" i="20"/>
  <c r="HO19" i="20"/>
  <c r="HP19" i="20"/>
  <c r="HQ19" i="20"/>
  <c r="HR19" i="20"/>
  <c r="HS19" i="20"/>
  <c r="HT19" i="20"/>
  <c r="HU19" i="20"/>
  <c r="HV19" i="20"/>
  <c r="HW19" i="20"/>
  <c r="HX19" i="20"/>
  <c r="HY19" i="20"/>
  <c r="HZ19" i="20"/>
  <c r="IA19" i="20"/>
  <c r="IB19" i="20"/>
  <c r="IC19" i="20"/>
  <c r="ID19" i="20"/>
  <c r="IE19" i="20"/>
  <c r="IF19" i="20"/>
  <c r="IG19" i="20"/>
  <c r="IH19" i="20"/>
  <c r="II19" i="20"/>
  <c r="IJ19" i="20"/>
  <c r="IK19" i="20"/>
  <c r="IL19" i="20"/>
  <c r="IM19" i="20"/>
  <c r="IN19" i="20"/>
  <c r="IO19" i="20"/>
  <c r="IP19" i="20"/>
  <c r="IQ19" i="20"/>
  <c r="IR19" i="20"/>
  <c r="IS19" i="20"/>
  <c r="IT19" i="20"/>
  <c r="IU19" i="20"/>
  <c r="IV19" i="20"/>
  <c r="IW19" i="20"/>
  <c r="IX19" i="20"/>
  <c r="IY19" i="20"/>
  <c r="IZ19" i="20"/>
  <c r="JA19" i="20"/>
  <c r="JB19" i="20"/>
  <c r="JC19" i="20"/>
  <c r="JD19" i="20"/>
  <c r="JE19" i="20"/>
  <c r="JF19" i="20"/>
  <c r="JG19" i="20"/>
  <c r="JH19" i="20"/>
  <c r="JI19" i="20"/>
  <c r="JJ19" i="20"/>
  <c r="JK19" i="20"/>
  <c r="JL19" i="20"/>
  <c r="JM19" i="20"/>
  <c r="JN19" i="20"/>
  <c r="JO19" i="20"/>
  <c r="JP19" i="20"/>
  <c r="JQ19" i="20"/>
  <c r="JR19" i="20"/>
  <c r="JS19" i="20"/>
  <c r="JT19" i="20"/>
  <c r="JU19" i="20"/>
  <c r="JV19" i="20"/>
  <c r="JW19" i="20"/>
  <c r="JX19" i="20"/>
  <c r="JY19" i="20"/>
  <c r="JZ19" i="20"/>
  <c r="KA19" i="20"/>
  <c r="KB19" i="20"/>
  <c r="KC19" i="20"/>
  <c r="KD19" i="20"/>
  <c r="KE19" i="20"/>
  <c r="KF19" i="20"/>
  <c r="KG19" i="20"/>
  <c r="KH19" i="20"/>
  <c r="KI19" i="20"/>
  <c r="KJ19" i="20"/>
  <c r="KK19" i="20"/>
  <c r="KL19" i="20"/>
  <c r="KM19" i="20"/>
  <c r="KN19" i="20"/>
  <c r="KO19" i="20"/>
  <c r="KP19" i="20"/>
  <c r="KQ19" i="20"/>
  <c r="KR19" i="20"/>
  <c r="KS19" i="20"/>
  <c r="KT19" i="20"/>
  <c r="KU19" i="20"/>
  <c r="KV19" i="20"/>
  <c r="KW19" i="20"/>
  <c r="KX19" i="20"/>
  <c r="KY19" i="20"/>
  <c r="KZ19" i="20"/>
  <c r="LA19" i="20"/>
  <c r="LB19" i="20"/>
  <c r="LC19" i="20"/>
  <c r="LD19" i="20"/>
  <c r="LE19" i="20"/>
  <c r="LF19" i="20"/>
  <c r="LG19" i="20"/>
  <c r="LH19" i="20"/>
  <c r="LI19" i="20"/>
  <c r="LJ19" i="20"/>
  <c r="LK19" i="20"/>
  <c r="LL19" i="20"/>
  <c r="LM19" i="20"/>
  <c r="LN19" i="20"/>
  <c r="LO19" i="20"/>
  <c r="LP19" i="20"/>
  <c r="LQ19" i="20"/>
  <c r="LR19" i="20"/>
  <c r="LS19" i="20"/>
  <c r="LT19" i="20"/>
  <c r="LU19" i="20"/>
  <c r="LV19" i="20"/>
  <c r="LW19" i="20"/>
  <c r="LX19" i="20"/>
  <c r="LY19" i="20"/>
  <c r="LZ19" i="20"/>
  <c r="MA19" i="20"/>
  <c r="MB19" i="20"/>
  <c r="MC19" i="20"/>
  <c r="MD19" i="20"/>
  <c r="ME19" i="20"/>
  <c r="MF19" i="20"/>
  <c r="MG19" i="20"/>
  <c r="MH19" i="20"/>
  <c r="MI19" i="20"/>
  <c r="MJ19" i="20"/>
  <c r="MK19" i="20"/>
  <c r="ML19" i="20"/>
  <c r="MM19" i="20"/>
  <c r="MN19" i="20"/>
  <c r="MO19" i="20"/>
  <c r="MP19" i="20"/>
  <c r="MQ19" i="20"/>
  <c r="MR19" i="20"/>
  <c r="MS19" i="20"/>
  <c r="MT19" i="20"/>
  <c r="MU19" i="20"/>
  <c r="MV19" i="20"/>
  <c r="MW19" i="20"/>
  <c r="MX19" i="20"/>
  <c r="MY19" i="20"/>
  <c r="MZ19" i="20"/>
  <c r="NA19" i="20"/>
  <c r="NB19" i="20"/>
  <c r="NC19" i="20"/>
  <c r="ND19" i="20"/>
  <c r="NE19" i="20"/>
  <c r="NF19" i="20"/>
  <c r="NG19" i="20"/>
  <c r="NH19" i="20"/>
  <c r="NI19" i="20"/>
  <c r="NJ19" i="20"/>
  <c r="NK19" i="20"/>
  <c r="NL19" i="20"/>
  <c r="NM19" i="20"/>
  <c r="NN19" i="20"/>
  <c r="NO19" i="20"/>
  <c r="NP19" i="20"/>
  <c r="NQ19" i="20"/>
  <c r="NR19" i="20"/>
  <c r="NS19" i="20"/>
  <c r="NT19" i="20"/>
  <c r="NU19" i="20"/>
  <c r="NV19" i="20"/>
  <c r="NW19" i="20"/>
  <c r="NX19" i="20"/>
  <c r="NY19" i="20"/>
  <c r="NZ19" i="20"/>
  <c r="OA19" i="20"/>
  <c r="OB19" i="20"/>
  <c r="OC19" i="20"/>
  <c r="OD19" i="20"/>
  <c r="OE19" i="20"/>
  <c r="OF19" i="20"/>
  <c r="OG19" i="20"/>
  <c r="OH19" i="20"/>
  <c r="OI19" i="20"/>
  <c r="OJ19" i="20"/>
  <c r="OK19" i="20"/>
  <c r="OL19" i="20"/>
  <c r="OM19" i="20"/>
  <c r="ON19" i="20"/>
  <c r="OO19" i="20"/>
  <c r="OP19" i="20"/>
  <c r="OQ19" i="20"/>
  <c r="OR19" i="20"/>
  <c r="OS19" i="20"/>
  <c r="OT19" i="20"/>
  <c r="OU19" i="20"/>
  <c r="OV19" i="20"/>
  <c r="OW19" i="20"/>
  <c r="OX19" i="20"/>
  <c r="OY19" i="20"/>
  <c r="OZ19" i="20"/>
  <c r="PA19" i="20"/>
  <c r="PB19" i="20"/>
  <c r="PC19" i="20"/>
  <c r="PD19" i="20"/>
  <c r="PE19" i="20"/>
  <c r="PF19" i="20"/>
  <c r="PG19" i="20"/>
  <c r="PH19" i="20"/>
  <c r="PI19" i="20"/>
  <c r="PJ19" i="20"/>
  <c r="PK19" i="20"/>
  <c r="PL19" i="20"/>
  <c r="PM19" i="20"/>
  <c r="PN19" i="20"/>
  <c r="PO19" i="20"/>
  <c r="PP19" i="20"/>
  <c r="PQ19" i="20"/>
  <c r="PR19" i="20"/>
  <c r="PS19" i="20"/>
  <c r="PT19" i="20"/>
  <c r="PU19" i="20"/>
  <c r="PV19" i="20"/>
  <c r="PW19" i="20"/>
  <c r="PX19" i="20"/>
  <c r="PY19" i="20"/>
  <c r="PZ19" i="20"/>
  <c r="QA19" i="20"/>
  <c r="QB19" i="20"/>
  <c r="QC19" i="20"/>
  <c r="QD19" i="20"/>
  <c r="QE19" i="20"/>
  <c r="QF19" i="20"/>
  <c r="QG19" i="20"/>
  <c r="QH19" i="20"/>
  <c r="QI19" i="20"/>
  <c r="QJ19" i="20"/>
  <c r="QK19" i="20"/>
  <c r="QL19" i="20"/>
  <c r="QM19" i="20"/>
  <c r="QN19" i="20"/>
  <c r="QO19" i="20"/>
  <c r="QP19" i="20"/>
  <c r="QQ19" i="20"/>
  <c r="QR19" i="20"/>
  <c r="QS19" i="20"/>
  <c r="QT19" i="20"/>
  <c r="QU19" i="20"/>
  <c r="QV19" i="20"/>
  <c r="QW19" i="20"/>
  <c r="QX19" i="20"/>
  <c r="QY19" i="20"/>
  <c r="QZ19" i="20"/>
  <c r="RA19" i="20"/>
  <c r="RB19" i="20"/>
  <c r="RC19" i="20"/>
  <c r="RD19" i="20"/>
  <c r="RE19" i="20"/>
  <c r="RF19" i="20"/>
  <c r="RG19" i="20"/>
  <c r="RH19" i="20"/>
  <c r="RI19" i="20"/>
  <c r="RJ19" i="20"/>
  <c r="RK19" i="20"/>
  <c r="RL19" i="20"/>
  <c r="RM19" i="20"/>
  <c r="RN19" i="20"/>
  <c r="RO19" i="20"/>
  <c r="RP19" i="20"/>
  <c r="RQ19" i="20"/>
  <c r="RR19" i="20"/>
  <c r="RS19" i="20"/>
  <c r="RT19" i="20"/>
  <c r="RU19" i="20"/>
  <c r="RV19" i="20"/>
  <c r="RW19" i="20"/>
  <c r="RX19" i="20"/>
  <c r="RY19" i="20"/>
  <c r="RZ19" i="20"/>
  <c r="SA19" i="20"/>
  <c r="SB19" i="20"/>
  <c r="SC19" i="20"/>
  <c r="SD19" i="20"/>
  <c r="SE19" i="20"/>
  <c r="SF19" i="20"/>
  <c r="SG19" i="20"/>
  <c r="SH19" i="20"/>
  <c r="SI19" i="20"/>
  <c r="SJ19" i="20"/>
  <c r="SK19" i="20"/>
  <c r="SL19" i="20"/>
  <c r="SM19" i="20"/>
  <c r="SN19" i="20"/>
  <c r="SO19" i="20"/>
  <c r="SP19" i="20"/>
  <c r="SQ19" i="20"/>
  <c r="SR19" i="20"/>
  <c r="SS19" i="20"/>
  <c r="ST19" i="20"/>
  <c r="SU19" i="20"/>
  <c r="SV19" i="20"/>
  <c r="SW19" i="20"/>
  <c r="SX19" i="20"/>
  <c r="SY19" i="20"/>
  <c r="SZ19" i="20"/>
  <c r="TA19" i="20"/>
  <c r="TB19" i="20"/>
  <c r="TC19" i="20"/>
  <c r="TD19" i="20"/>
  <c r="TE19" i="20"/>
  <c r="TF19" i="20"/>
  <c r="TG19" i="20"/>
  <c r="TH19" i="20"/>
  <c r="TI19" i="20"/>
  <c r="TJ19" i="20"/>
  <c r="TK19" i="20"/>
  <c r="TL19" i="20"/>
  <c r="TM19" i="20"/>
  <c r="TN19" i="20"/>
  <c r="TO19" i="20"/>
  <c r="TP19" i="20"/>
  <c r="TQ19" i="20"/>
  <c r="TR19" i="20"/>
  <c r="TS19" i="20"/>
  <c r="TT19" i="20"/>
  <c r="TU19" i="20"/>
  <c r="TV19" i="20"/>
  <c r="TW19" i="20"/>
  <c r="TX19" i="20"/>
  <c r="TY19" i="20"/>
  <c r="TZ19" i="20"/>
  <c r="UA19" i="20"/>
  <c r="UB19" i="20"/>
  <c r="UC19" i="20"/>
  <c r="UD19" i="20"/>
  <c r="UE19" i="20"/>
  <c r="UF19" i="20"/>
  <c r="UG19" i="20"/>
  <c r="UH19" i="20"/>
  <c r="UI19" i="20"/>
  <c r="UJ19" i="20"/>
  <c r="UK19" i="20"/>
  <c r="UL19" i="20"/>
  <c r="UM19" i="20"/>
  <c r="UN19" i="20"/>
  <c r="UO19" i="20"/>
  <c r="UP19" i="20"/>
  <c r="UQ19" i="20"/>
  <c r="UR19" i="20"/>
  <c r="US19" i="20"/>
  <c r="UT19" i="20"/>
  <c r="UU19" i="20"/>
  <c r="UV19" i="20"/>
  <c r="UW19" i="20"/>
  <c r="UX19" i="20"/>
  <c r="UY19" i="20"/>
  <c r="UZ19" i="20"/>
  <c r="VA19" i="20"/>
  <c r="VB19" i="20"/>
  <c r="VC19" i="20"/>
  <c r="VD19" i="20"/>
  <c r="VE19" i="20"/>
  <c r="VF19" i="20"/>
  <c r="VG19" i="20"/>
  <c r="VH19" i="20"/>
  <c r="VI19" i="20"/>
  <c r="VJ19" i="20"/>
  <c r="VK19" i="20"/>
  <c r="VL19" i="20"/>
  <c r="VM19" i="20"/>
  <c r="VN19" i="20"/>
  <c r="VO19" i="20"/>
  <c r="VP19" i="20"/>
  <c r="VQ19" i="20"/>
  <c r="VR19" i="20"/>
  <c r="VS19" i="20"/>
  <c r="VT19" i="20"/>
  <c r="VU19" i="20"/>
  <c r="VV19" i="20"/>
  <c r="VW19" i="20"/>
  <c r="VX19" i="20"/>
  <c r="VY19" i="20"/>
  <c r="VZ19" i="20"/>
  <c r="WA19" i="20"/>
  <c r="WB19" i="20"/>
  <c r="WC19" i="20"/>
  <c r="WD19" i="20"/>
  <c r="WE19" i="20"/>
  <c r="WF19" i="20"/>
  <c r="WG19" i="20"/>
  <c r="WH19" i="20"/>
  <c r="WI19" i="20"/>
  <c r="WJ19" i="20"/>
  <c r="WK19" i="20"/>
  <c r="WL19" i="20"/>
  <c r="WM19" i="20"/>
  <c r="WN19" i="20"/>
  <c r="WO19" i="20"/>
  <c r="WP19" i="20"/>
  <c r="WQ19" i="20"/>
  <c r="WR19" i="20"/>
  <c r="WS19" i="20"/>
  <c r="WT19" i="20"/>
  <c r="WU19" i="20"/>
  <c r="WV19" i="20"/>
  <c r="WW19" i="20"/>
  <c r="WX19" i="20"/>
  <c r="WY19" i="20"/>
  <c r="WZ19" i="20"/>
  <c r="XA19" i="20"/>
  <c r="XB19" i="20"/>
  <c r="XC19" i="20"/>
  <c r="XD19" i="20"/>
  <c r="XE19" i="20"/>
  <c r="XF19" i="20"/>
  <c r="XG19" i="20"/>
  <c r="XH19" i="20"/>
  <c r="XI19" i="20"/>
  <c r="XJ19" i="20"/>
  <c r="XK19" i="20"/>
  <c r="XL19" i="20"/>
  <c r="XM19" i="20"/>
  <c r="XN19" i="20"/>
  <c r="XO19" i="20"/>
  <c r="XP19" i="20"/>
  <c r="XQ19" i="20"/>
  <c r="XR19" i="20"/>
  <c r="XS19" i="20"/>
  <c r="XT19" i="20"/>
  <c r="XU19" i="20"/>
  <c r="XV19" i="20"/>
  <c r="XW19" i="20"/>
  <c r="XX19" i="20"/>
  <c r="XY19" i="20"/>
  <c r="XZ19" i="20"/>
  <c r="YA19" i="20"/>
  <c r="YB19" i="20"/>
  <c r="YC19" i="20"/>
  <c r="YD19" i="20"/>
  <c r="YE19" i="20"/>
  <c r="YF19" i="20"/>
  <c r="YG19" i="20"/>
  <c r="YH19" i="20"/>
  <c r="YI19" i="20"/>
  <c r="YJ19" i="20"/>
  <c r="YK19" i="20"/>
  <c r="YL19" i="20"/>
  <c r="YM19" i="20"/>
  <c r="YN19" i="20"/>
  <c r="YO19" i="20"/>
  <c r="YP19" i="20"/>
  <c r="YQ19" i="20"/>
  <c r="YR19" i="20"/>
  <c r="YS19" i="20"/>
  <c r="YT19" i="20"/>
  <c r="YU19" i="20"/>
  <c r="YV19" i="20"/>
  <c r="YW19" i="20"/>
  <c r="YX19" i="20"/>
  <c r="YY19" i="20"/>
  <c r="YZ19" i="20"/>
  <c r="ZA19" i="20"/>
  <c r="ZB19" i="20"/>
  <c r="ZC19" i="20"/>
  <c r="ZD19" i="20"/>
  <c r="ZE19" i="20"/>
  <c r="ZF19" i="20"/>
  <c r="ZG19" i="20"/>
  <c r="ZH19" i="20"/>
  <c r="ZI19" i="20"/>
  <c r="ZJ19" i="20"/>
  <c r="ZK19" i="20"/>
  <c r="ZL19" i="20"/>
  <c r="ZM19" i="20"/>
  <c r="ZN19" i="20"/>
  <c r="ZO19" i="20"/>
  <c r="ZP19" i="20"/>
  <c r="ZQ19" i="20"/>
  <c r="ZR19" i="20"/>
  <c r="ZS19" i="20"/>
  <c r="ZT19" i="20"/>
  <c r="ZU19" i="20"/>
  <c r="ZV19" i="20"/>
  <c r="ZW19" i="20"/>
  <c r="ZX19" i="20"/>
  <c r="ZY19" i="20"/>
  <c r="ZZ19" i="20"/>
  <c r="AAA19" i="20"/>
  <c r="AAB19" i="20"/>
  <c r="AAC19" i="20"/>
  <c r="C20" i="20"/>
  <c r="D20" i="20"/>
  <c r="E20" i="20"/>
  <c r="F20" i="20"/>
  <c r="G20" i="20"/>
  <c r="H20" i="20"/>
  <c r="I20" i="20"/>
  <c r="J20" i="20"/>
  <c r="K20" i="20"/>
  <c r="L20" i="20"/>
  <c r="M20" i="20"/>
  <c r="N20" i="20"/>
  <c r="O20" i="20"/>
  <c r="P20" i="20"/>
  <c r="Q20" i="20"/>
  <c r="R20" i="20"/>
  <c r="S20" i="20"/>
  <c r="T20" i="20"/>
  <c r="U20" i="20"/>
  <c r="V20" i="20"/>
  <c r="W20" i="20"/>
  <c r="X20" i="20"/>
  <c r="Y20" i="20"/>
  <c r="Z20" i="20"/>
  <c r="AA20" i="20"/>
  <c r="AB20" i="20"/>
  <c r="AC20" i="20"/>
  <c r="AD20" i="20"/>
  <c r="AE20" i="20"/>
  <c r="AF20" i="20"/>
  <c r="AG20" i="20"/>
  <c r="AH20" i="20"/>
  <c r="AI20" i="20"/>
  <c r="AJ20" i="20"/>
  <c r="AK20" i="20"/>
  <c r="AL20" i="20"/>
  <c r="AM20" i="20"/>
  <c r="AN20" i="20"/>
  <c r="AO20" i="20"/>
  <c r="AP20" i="20"/>
  <c r="AQ20" i="20"/>
  <c r="AR20" i="20"/>
  <c r="AS20" i="20"/>
  <c r="AT20" i="20"/>
  <c r="AU20" i="20"/>
  <c r="AV20" i="20"/>
  <c r="AW20" i="20"/>
  <c r="AX20" i="20"/>
  <c r="AY20" i="20"/>
  <c r="AZ20" i="20"/>
  <c r="BA20" i="20"/>
  <c r="BB20" i="20"/>
  <c r="BC20" i="20"/>
  <c r="BD20" i="20"/>
  <c r="BE20" i="20"/>
  <c r="BF20" i="20"/>
  <c r="BG20" i="20"/>
  <c r="BH20" i="20"/>
  <c r="BI20" i="20"/>
  <c r="BJ20" i="20"/>
  <c r="BK20" i="20"/>
  <c r="BL20" i="20"/>
  <c r="BM20" i="20"/>
  <c r="BN20" i="20"/>
  <c r="BO20" i="20"/>
  <c r="BP20" i="20"/>
  <c r="BQ20" i="20"/>
  <c r="BR20" i="20"/>
  <c r="BS20" i="20"/>
  <c r="BT20" i="20"/>
  <c r="BU20" i="20"/>
  <c r="BV20" i="20"/>
  <c r="BW20" i="20"/>
  <c r="BX20" i="20"/>
  <c r="BY20" i="20"/>
  <c r="BZ20" i="20"/>
  <c r="CA20" i="20"/>
  <c r="CB20" i="20"/>
  <c r="CC20" i="20"/>
  <c r="CD20" i="20"/>
  <c r="CE20" i="20"/>
  <c r="CF20" i="20"/>
  <c r="CG20" i="20"/>
  <c r="CH20" i="20"/>
  <c r="CI20" i="20"/>
  <c r="CJ20" i="20"/>
  <c r="CK20" i="20"/>
  <c r="CL20" i="20"/>
  <c r="CM20" i="20"/>
  <c r="CN20" i="20"/>
  <c r="CO20" i="20"/>
  <c r="CP20" i="20"/>
  <c r="CQ20" i="20"/>
  <c r="CR20" i="20"/>
  <c r="CS20" i="20"/>
  <c r="CT20" i="20"/>
  <c r="CU20" i="20"/>
  <c r="CV20" i="20"/>
  <c r="CW20" i="20"/>
  <c r="CX20" i="20"/>
  <c r="CY20" i="20"/>
  <c r="CZ20" i="20"/>
  <c r="DA20" i="20"/>
  <c r="DB20" i="20"/>
  <c r="DC20" i="20"/>
  <c r="DD20" i="20"/>
  <c r="DE20" i="20"/>
  <c r="DF20" i="20"/>
  <c r="DG20" i="20"/>
  <c r="DH20" i="20"/>
  <c r="DI20" i="20"/>
  <c r="DJ20" i="20"/>
  <c r="DK20" i="20"/>
  <c r="DL20" i="20"/>
  <c r="DM20" i="20"/>
  <c r="DN20" i="20"/>
  <c r="DO20" i="20"/>
  <c r="DP20" i="20"/>
  <c r="DQ20" i="20"/>
  <c r="DR20" i="20"/>
  <c r="DS20" i="20"/>
  <c r="DT20" i="20"/>
  <c r="DU20" i="20"/>
  <c r="DV20" i="20"/>
  <c r="DW20" i="20"/>
  <c r="DX20" i="20"/>
  <c r="DY20" i="20"/>
  <c r="DZ20" i="20"/>
  <c r="EA20" i="20"/>
  <c r="EB20" i="20"/>
  <c r="EC20" i="20"/>
  <c r="ED20" i="20"/>
  <c r="EE20" i="20"/>
  <c r="EF20" i="20"/>
  <c r="EG20" i="20"/>
  <c r="EH20" i="20"/>
  <c r="EI20" i="20"/>
  <c r="EJ20" i="20"/>
  <c r="EK20" i="20"/>
  <c r="EL20" i="20"/>
  <c r="EM20" i="20"/>
  <c r="EN20" i="20"/>
  <c r="EO20" i="20"/>
  <c r="EP20" i="20"/>
  <c r="EQ20" i="20"/>
  <c r="ER20" i="20"/>
  <c r="ES20" i="20"/>
  <c r="ET20" i="20"/>
  <c r="EU20" i="20"/>
  <c r="EV20" i="20"/>
  <c r="EW20" i="20"/>
  <c r="EX20" i="20"/>
  <c r="EY20" i="20"/>
  <c r="EZ20" i="20"/>
  <c r="FA20" i="20"/>
  <c r="FB20" i="20"/>
  <c r="FC20" i="20"/>
  <c r="FD20" i="20"/>
  <c r="FE20" i="20"/>
  <c r="FF20" i="20"/>
  <c r="FG20" i="20"/>
  <c r="FH20" i="20"/>
  <c r="FI20" i="20"/>
  <c r="FJ20" i="20"/>
  <c r="FK20" i="20"/>
  <c r="FL20" i="20"/>
  <c r="FM20" i="20"/>
  <c r="FN20" i="20"/>
  <c r="FO20" i="20"/>
  <c r="FP20" i="20"/>
  <c r="FQ20" i="20"/>
  <c r="FR20" i="20"/>
  <c r="FS20" i="20"/>
  <c r="FT20" i="20"/>
  <c r="FU20" i="20"/>
  <c r="FV20" i="20"/>
  <c r="FW20" i="20"/>
  <c r="FX20" i="20"/>
  <c r="FY20" i="20"/>
  <c r="FZ20" i="20"/>
  <c r="GA20" i="20"/>
  <c r="GB20" i="20"/>
  <c r="GC20" i="20"/>
  <c r="GD20" i="20"/>
  <c r="GE20" i="20"/>
  <c r="GF20" i="20"/>
  <c r="GG20" i="20"/>
  <c r="GH20" i="20"/>
  <c r="GI20" i="20"/>
  <c r="GJ20" i="20"/>
  <c r="GK20" i="20"/>
  <c r="GL20" i="20"/>
  <c r="GM20" i="20"/>
  <c r="GN20" i="20"/>
  <c r="GO20" i="20"/>
  <c r="GP20" i="20"/>
  <c r="GQ20" i="20"/>
  <c r="GR20" i="20"/>
  <c r="GS20" i="20"/>
  <c r="GT20" i="20"/>
  <c r="GU20" i="20"/>
  <c r="GV20" i="20"/>
  <c r="GW20" i="20"/>
  <c r="GX20" i="20"/>
  <c r="GY20" i="20"/>
  <c r="GZ20" i="20"/>
  <c r="HA20" i="20"/>
  <c r="HB20" i="20"/>
  <c r="HC20" i="20"/>
  <c r="HD20" i="20"/>
  <c r="HE20" i="20"/>
  <c r="HF20" i="20"/>
  <c r="HG20" i="20"/>
  <c r="HH20" i="20"/>
  <c r="HI20" i="20"/>
  <c r="HJ20" i="20"/>
  <c r="HK20" i="20"/>
  <c r="HL20" i="20"/>
  <c r="HM20" i="20"/>
  <c r="HN20" i="20"/>
  <c r="HO20" i="20"/>
  <c r="HP20" i="20"/>
  <c r="HQ20" i="20"/>
  <c r="HR20" i="20"/>
  <c r="HS20" i="20"/>
  <c r="HT20" i="20"/>
  <c r="HU20" i="20"/>
  <c r="HV20" i="20"/>
  <c r="HW20" i="20"/>
  <c r="HX20" i="20"/>
  <c r="HY20" i="20"/>
  <c r="HZ20" i="20"/>
  <c r="IA20" i="20"/>
  <c r="IB20" i="20"/>
  <c r="IC20" i="20"/>
  <c r="ID20" i="20"/>
  <c r="IE20" i="20"/>
  <c r="IF20" i="20"/>
  <c r="IG20" i="20"/>
  <c r="IH20" i="20"/>
  <c r="II20" i="20"/>
  <c r="IJ20" i="20"/>
  <c r="IK20" i="20"/>
  <c r="IL20" i="20"/>
  <c r="IM20" i="20"/>
  <c r="IN20" i="20"/>
  <c r="IO20" i="20"/>
  <c r="IP20" i="20"/>
  <c r="IQ20" i="20"/>
  <c r="IR20" i="20"/>
  <c r="IS20" i="20"/>
  <c r="IT20" i="20"/>
  <c r="IU20" i="20"/>
  <c r="IV20" i="20"/>
  <c r="IW20" i="20"/>
  <c r="IX20" i="20"/>
  <c r="IY20" i="20"/>
  <c r="IZ20" i="20"/>
  <c r="JA20" i="20"/>
  <c r="JB20" i="20"/>
  <c r="JC20" i="20"/>
  <c r="JD20" i="20"/>
  <c r="JE20" i="20"/>
  <c r="JF20" i="20"/>
  <c r="JG20" i="20"/>
  <c r="JH20" i="20"/>
  <c r="JI20" i="20"/>
  <c r="JJ20" i="20"/>
  <c r="JK20" i="20"/>
  <c r="JL20" i="20"/>
  <c r="JM20" i="20"/>
  <c r="JN20" i="20"/>
  <c r="JO20" i="20"/>
  <c r="JP20" i="20"/>
  <c r="JQ20" i="20"/>
  <c r="JR20" i="20"/>
  <c r="JS20" i="20"/>
  <c r="JT20" i="20"/>
  <c r="JU20" i="20"/>
  <c r="JV20" i="20"/>
  <c r="JW20" i="20"/>
  <c r="JX20" i="20"/>
  <c r="JY20" i="20"/>
  <c r="JZ20" i="20"/>
  <c r="KA20" i="20"/>
  <c r="KB20" i="20"/>
  <c r="KC20" i="20"/>
  <c r="KD20" i="20"/>
  <c r="KE20" i="20"/>
  <c r="KF20" i="20"/>
  <c r="KG20" i="20"/>
  <c r="KH20" i="20"/>
  <c r="KI20" i="20"/>
  <c r="KJ20" i="20"/>
  <c r="KK20" i="20"/>
  <c r="KL20" i="20"/>
  <c r="KM20" i="20"/>
  <c r="KN20" i="20"/>
  <c r="KO20" i="20"/>
  <c r="KP20" i="20"/>
  <c r="KQ20" i="20"/>
  <c r="KR20" i="20"/>
  <c r="KS20" i="20"/>
  <c r="KT20" i="20"/>
  <c r="KU20" i="20"/>
  <c r="KV20" i="20"/>
  <c r="KW20" i="20"/>
  <c r="KX20" i="20"/>
  <c r="KY20" i="20"/>
  <c r="KZ20" i="20"/>
  <c r="LA20" i="20"/>
  <c r="LB20" i="20"/>
  <c r="LC20" i="20"/>
  <c r="LD20" i="20"/>
  <c r="LE20" i="20"/>
  <c r="LF20" i="20"/>
  <c r="LG20" i="20"/>
  <c r="LH20" i="20"/>
  <c r="LI20" i="20"/>
  <c r="LJ20" i="20"/>
  <c r="LK20" i="20"/>
  <c r="LL20" i="20"/>
  <c r="LM20" i="20"/>
  <c r="LN20" i="20"/>
  <c r="LO20" i="20"/>
  <c r="LP20" i="20"/>
  <c r="LQ20" i="20"/>
  <c r="LR20" i="20"/>
  <c r="LS20" i="20"/>
  <c r="LT20" i="20"/>
  <c r="LU20" i="20"/>
  <c r="LV20" i="20"/>
  <c r="LW20" i="20"/>
  <c r="LX20" i="20"/>
  <c r="LY20" i="20"/>
  <c r="LZ20" i="20"/>
  <c r="MA20" i="20"/>
  <c r="MB20" i="20"/>
  <c r="MC20" i="20"/>
  <c r="MD20" i="20"/>
  <c r="ME20" i="20"/>
  <c r="MF20" i="20"/>
  <c r="MG20" i="20"/>
  <c r="MH20" i="20"/>
  <c r="MI20" i="20"/>
  <c r="MJ20" i="20"/>
  <c r="MK20" i="20"/>
  <c r="ML20" i="20"/>
  <c r="MM20" i="20"/>
  <c r="MN20" i="20"/>
  <c r="MO20" i="20"/>
  <c r="MP20" i="20"/>
  <c r="MQ20" i="20"/>
  <c r="MR20" i="20"/>
  <c r="MS20" i="20"/>
  <c r="MT20" i="20"/>
  <c r="MU20" i="20"/>
  <c r="MV20" i="20"/>
  <c r="MW20" i="20"/>
  <c r="MX20" i="20"/>
  <c r="MY20" i="20"/>
  <c r="MZ20" i="20"/>
  <c r="NA20" i="20"/>
  <c r="NB20" i="20"/>
  <c r="NC20" i="20"/>
  <c r="ND20" i="20"/>
  <c r="NE20" i="20"/>
  <c r="NF20" i="20"/>
  <c r="NG20" i="20"/>
  <c r="NH20" i="20"/>
  <c r="NI20" i="20"/>
  <c r="NJ20" i="20"/>
  <c r="NK20" i="20"/>
  <c r="NL20" i="20"/>
  <c r="NM20" i="20"/>
  <c r="NN20" i="20"/>
  <c r="NO20" i="20"/>
  <c r="NP20" i="20"/>
  <c r="NQ20" i="20"/>
  <c r="NR20" i="20"/>
  <c r="NS20" i="20"/>
  <c r="NT20" i="20"/>
  <c r="NU20" i="20"/>
  <c r="NV20" i="20"/>
  <c r="NW20" i="20"/>
  <c r="NX20" i="20"/>
  <c r="NY20" i="20"/>
  <c r="NZ20" i="20"/>
  <c r="OA20" i="20"/>
  <c r="OB20" i="20"/>
  <c r="OC20" i="20"/>
  <c r="OD20" i="20"/>
  <c r="OE20" i="20"/>
  <c r="OF20" i="20"/>
  <c r="OG20" i="20"/>
  <c r="OH20" i="20"/>
  <c r="OI20" i="20"/>
  <c r="OJ20" i="20"/>
  <c r="OK20" i="20"/>
  <c r="OL20" i="20"/>
  <c r="OM20" i="20"/>
  <c r="ON20" i="20"/>
  <c r="OO20" i="20"/>
  <c r="OP20" i="20"/>
  <c r="OQ20" i="20"/>
  <c r="OR20" i="20"/>
  <c r="OS20" i="20"/>
  <c r="OT20" i="20"/>
  <c r="OU20" i="20"/>
  <c r="OV20" i="20"/>
  <c r="OW20" i="20"/>
  <c r="OX20" i="20"/>
  <c r="OY20" i="20"/>
  <c r="OZ20" i="20"/>
  <c r="PA20" i="20"/>
  <c r="PB20" i="20"/>
  <c r="PC20" i="20"/>
  <c r="PD20" i="20"/>
  <c r="PE20" i="20"/>
  <c r="PF20" i="20"/>
  <c r="PG20" i="20"/>
  <c r="PH20" i="20"/>
  <c r="PI20" i="20"/>
  <c r="PJ20" i="20"/>
  <c r="PK20" i="20"/>
  <c r="PL20" i="20"/>
  <c r="PM20" i="20"/>
  <c r="PN20" i="20"/>
  <c r="PO20" i="20"/>
  <c r="PP20" i="20"/>
  <c r="PQ20" i="20"/>
  <c r="PR20" i="20"/>
  <c r="PS20" i="20"/>
  <c r="PT20" i="20"/>
  <c r="PU20" i="20"/>
  <c r="PV20" i="20"/>
  <c r="PW20" i="20"/>
  <c r="PX20" i="20"/>
  <c r="PY20" i="20"/>
  <c r="PZ20" i="20"/>
  <c r="QA20" i="20"/>
  <c r="QB20" i="20"/>
  <c r="QC20" i="20"/>
  <c r="QD20" i="20"/>
  <c r="QE20" i="20"/>
  <c r="QF20" i="20"/>
  <c r="QG20" i="20"/>
  <c r="QH20" i="20"/>
  <c r="QI20" i="20"/>
  <c r="QJ20" i="20"/>
  <c r="QK20" i="20"/>
  <c r="QL20" i="20"/>
  <c r="QM20" i="20"/>
  <c r="QN20" i="20"/>
  <c r="QO20" i="20"/>
  <c r="QP20" i="20"/>
  <c r="QQ20" i="20"/>
  <c r="QR20" i="20"/>
  <c r="QS20" i="20"/>
  <c r="QT20" i="20"/>
  <c r="QU20" i="20"/>
  <c r="QV20" i="20"/>
  <c r="QW20" i="20"/>
  <c r="QX20" i="20"/>
  <c r="QY20" i="20"/>
  <c r="QZ20" i="20"/>
  <c r="RA20" i="20"/>
  <c r="RB20" i="20"/>
  <c r="RC20" i="20"/>
  <c r="RD20" i="20"/>
  <c r="RE20" i="20"/>
  <c r="RF20" i="20"/>
  <c r="RG20" i="20"/>
  <c r="RH20" i="20"/>
  <c r="RI20" i="20"/>
  <c r="RJ20" i="20"/>
  <c r="RK20" i="20"/>
  <c r="RL20" i="20"/>
  <c r="RM20" i="20"/>
  <c r="RN20" i="20"/>
  <c r="RO20" i="20"/>
  <c r="RP20" i="20"/>
  <c r="RQ20" i="20"/>
  <c r="RR20" i="20"/>
  <c r="RS20" i="20"/>
  <c r="RT20" i="20"/>
  <c r="RU20" i="20"/>
  <c r="RV20" i="20"/>
  <c r="RW20" i="20"/>
  <c r="RX20" i="20"/>
  <c r="RY20" i="20"/>
  <c r="RZ20" i="20"/>
  <c r="SA20" i="20"/>
  <c r="SB20" i="20"/>
  <c r="SC20" i="20"/>
  <c r="SD20" i="20"/>
  <c r="SE20" i="20"/>
  <c r="SF20" i="20"/>
  <c r="SG20" i="20"/>
  <c r="SH20" i="20"/>
  <c r="SI20" i="20"/>
  <c r="SJ20" i="20"/>
  <c r="SK20" i="20"/>
  <c r="SL20" i="20"/>
  <c r="SM20" i="20"/>
  <c r="SN20" i="20"/>
  <c r="SO20" i="20"/>
  <c r="SP20" i="20"/>
  <c r="SQ20" i="20"/>
  <c r="SR20" i="20"/>
  <c r="SS20" i="20"/>
  <c r="ST20" i="20"/>
  <c r="SU20" i="20"/>
  <c r="SV20" i="20"/>
  <c r="SW20" i="20"/>
  <c r="SX20" i="20"/>
  <c r="SY20" i="20"/>
  <c r="SZ20" i="20"/>
  <c r="TA20" i="20"/>
  <c r="TB20" i="20"/>
  <c r="TC20" i="20"/>
  <c r="TD20" i="20"/>
  <c r="TE20" i="20"/>
  <c r="TF20" i="20"/>
  <c r="TG20" i="20"/>
  <c r="TH20" i="20"/>
  <c r="TI20" i="20"/>
  <c r="TJ20" i="20"/>
  <c r="TK20" i="20"/>
  <c r="TL20" i="20"/>
  <c r="TM20" i="20"/>
  <c r="TN20" i="20"/>
  <c r="TO20" i="20"/>
  <c r="TP20" i="20"/>
  <c r="TQ20" i="20"/>
  <c r="TR20" i="20"/>
  <c r="TS20" i="20"/>
  <c r="TT20" i="20"/>
  <c r="TU20" i="20"/>
  <c r="TV20" i="20"/>
  <c r="TW20" i="20"/>
  <c r="TX20" i="20"/>
  <c r="TY20" i="20"/>
  <c r="TZ20" i="20"/>
  <c r="UA20" i="20"/>
  <c r="UB20" i="20"/>
  <c r="UC20" i="20"/>
  <c r="UD20" i="20"/>
  <c r="UE20" i="20"/>
  <c r="UF20" i="20"/>
  <c r="UG20" i="20"/>
  <c r="UH20" i="20"/>
  <c r="UI20" i="20"/>
  <c r="UJ20" i="20"/>
  <c r="UK20" i="20"/>
  <c r="UL20" i="20"/>
  <c r="UM20" i="20"/>
  <c r="UN20" i="20"/>
  <c r="UO20" i="20"/>
  <c r="UP20" i="20"/>
  <c r="UQ20" i="20"/>
  <c r="UR20" i="20"/>
  <c r="US20" i="20"/>
  <c r="UT20" i="20"/>
  <c r="UU20" i="20"/>
  <c r="UV20" i="20"/>
  <c r="UW20" i="20"/>
  <c r="UX20" i="20"/>
  <c r="UY20" i="20"/>
  <c r="UZ20" i="20"/>
  <c r="VA20" i="20"/>
  <c r="VB20" i="20"/>
  <c r="VC20" i="20"/>
  <c r="VD20" i="20"/>
  <c r="VE20" i="20"/>
  <c r="VF20" i="20"/>
  <c r="VG20" i="20"/>
  <c r="VH20" i="20"/>
  <c r="VI20" i="20"/>
  <c r="VJ20" i="20"/>
  <c r="VK20" i="20"/>
  <c r="VL20" i="20"/>
  <c r="VM20" i="20"/>
  <c r="VN20" i="20"/>
  <c r="VO20" i="20"/>
  <c r="VP20" i="20"/>
  <c r="VQ20" i="20"/>
  <c r="VR20" i="20"/>
  <c r="VS20" i="20"/>
  <c r="VT20" i="20"/>
  <c r="VU20" i="20"/>
  <c r="VV20" i="20"/>
  <c r="VW20" i="20"/>
  <c r="VX20" i="20"/>
  <c r="VY20" i="20"/>
  <c r="VZ20" i="20"/>
  <c r="WA20" i="20"/>
  <c r="WB20" i="20"/>
  <c r="WC20" i="20"/>
  <c r="WD20" i="20"/>
  <c r="WE20" i="20"/>
  <c r="WF20" i="20"/>
  <c r="WG20" i="20"/>
  <c r="WH20" i="20"/>
  <c r="WI20" i="20"/>
  <c r="WJ20" i="20"/>
  <c r="WK20" i="20"/>
  <c r="WL20" i="20"/>
  <c r="WM20" i="20"/>
  <c r="WN20" i="20"/>
  <c r="WO20" i="20"/>
  <c r="WP20" i="20"/>
  <c r="WQ20" i="20"/>
  <c r="WR20" i="20"/>
  <c r="WS20" i="20"/>
  <c r="WT20" i="20"/>
  <c r="WU20" i="20"/>
  <c r="WV20" i="20"/>
  <c r="WW20" i="20"/>
  <c r="WX20" i="20"/>
  <c r="WY20" i="20"/>
  <c r="WZ20" i="20"/>
  <c r="XA20" i="20"/>
  <c r="XB20" i="20"/>
  <c r="XC20" i="20"/>
  <c r="XD20" i="20"/>
  <c r="XE20" i="20"/>
  <c r="XF20" i="20"/>
  <c r="XG20" i="20"/>
  <c r="XH20" i="20"/>
  <c r="XI20" i="20"/>
  <c r="XJ20" i="20"/>
  <c r="XK20" i="20"/>
  <c r="XL20" i="20"/>
  <c r="XM20" i="20"/>
  <c r="XN20" i="20"/>
  <c r="XO20" i="20"/>
  <c r="XP20" i="20"/>
  <c r="XQ20" i="20"/>
  <c r="XR20" i="20"/>
  <c r="XS20" i="20"/>
  <c r="XT20" i="20"/>
  <c r="XU20" i="20"/>
  <c r="XV20" i="20"/>
  <c r="XW20" i="20"/>
  <c r="XX20" i="20"/>
  <c r="XY20" i="20"/>
  <c r="XZ20" i="20"/>
  <c r="YA20" i="20"/>
  <c r="YB20" i="20"/>
  <c r="YC20" i="20"/>
  <c r="YD20" i="20"/>
  <c r="YE20" i="20"/>
  <c r="YF20" i="20"/>
  <c r="YG20" i="20"/>
  <c r="YH20" i="20"/>
  <c r="YI20" i="20"/>
  <c r="YJ20" i="20"/>
  <c r="YK20" i="20"/>
  <c r="YL20" i="20"/>
  <c r="YM20" i="20"/>
  <c r="YN20" i="20"/>
  <c r="YO20" i="20"/>
  <c r="YP20" i="20"/>
  <c r="YQ20" i="20"/>
  <c r="YR20" i="20"/>
  <c r="YS20" i="20"/>
  <c r="YT20" i="20"/>
  <c r="YU20" i="20"/>
  <c r="YV20" i="20"/>
  <c r="YW20" i="20"/>
  <c r="YX20" i="20"/>
  <c r="YY20" i="20"/>
  <c r="YZ20" i="20"/>
  <c r="ZA20" i="20"/>
  <c r="ZB20" i="20"/>
  <c r="ZC20" i="20"/>
  <c r="ZD20" i="20"/>
  <c r="ZE20" i="20"/>
  <c r="ZF20" i="20"/>
  <c r="ZG20" i="20"/>
  <c r="ZH20" i="20"/>
  <c r="ZI20" i="20"/>
  <c r="ZJ20" i="20"/>
  <c r="ZK20" i="20"/>
  <c r="ZL20" i="20"/>
  <c r="ZM20" i="20"/>
  <c r="ZN20" i="20"/>
  <c r="ZO20" i="20"/>
  <c r="ZP20" i="20"/>
  <c r="ZQ20" i="20"/>
  <c r="ZR20" i="20"/>
  <c r="ZS20" i="20"/>
  <c r="ZT20" i="20"/>
  <c r="ZU20" i="20"/>
  <c r="ZV20" i="20"/>
  <c r="ZW20" i="20"/>
  <c r="ZX20" i="20"/>
  <c r="ZY20" i="20"/>
  <c r="ZZ20" i="20"/>
  <c r="AAA20" i="20"/>
  <c r="AAB20" i="20"/>
  <c r="AAC20" i="20"/>
  <c r="C21" i="20"/>
  <c r="D21" i="20"/>
  <c r="E21" i="20"/>
  <c r="F21" i="20"/>
  <c r="G21" i="20"/>
  <c r="H21" i="20"/>
  <c r="I21" i="20"/>
  <c r="J21" i="20"/>
  <c r="K21" i="20"/>
  <c r="L21" i="20"/>
  <c r="M21" i="20"/>
  <c r="N21" i="20"/>
  <c r="O21" i="20"/>
  <c r="P21" i="20"/>
  <c r="Q21" i="20"/>
  <c r="R21" i="20"/>
  <c r="S21" i="20"/>
  <c r="T21" i="20"/>
  <c r="U21" i="20"/>
  <c r="V21" i="20"/>
  <c r="W21" i="20"/>
  <c r="X21" i="20"/>
  <c r="Y21" i="20"/>
  <c r="Z21" i="20"/>
  <c r="AA21" i="20"/>
  <c r="AB21" i="20"/>
  <c r="AC21" i="20"/>
  <c r="AD21" i="20"/>
  <c r="AE21" i="20"/>
  <c r="AF21" i="20"/>
  <c r="AG21" i="20"/>
  <c r="AH21" i="20"/>
  <c r="AI21" i="20"/>
  <c r="AJ21" i="20"/>
  <c r="AK21" i="20"/>
  <c r="AL21" i="20"/>
  <c r="AM21" i="20"/>
  <c r="AN21" i="20"/>
  <c r="AO21" i="20"/>
  <c r="AP21" i="20"/>
  <c r="AQ21" i="20"/>
  <c r="AR21" i="20"/>
  <c r="AS21" i="20"/>
  <c r="AT21" i="20"/>
  <c r="AU21" i="20"/>
  <c r="AV21" i="20"/>
  <c r="AW21" i="20"/>
  <c r="AX21" i="20"/>
  <c r="AY21" i="20"/>
  <c r="AZ21" i="20"/>
  <c r="BA21" i="20"/>
  <c r="BB21" i="20"/>
  <c r="BC21" i="20"/>
  <c r="BD21" i="20"/>
  <c r="BE21" i="20"/>
  <c r="BF21" i="20"/>
  <c r="BG21" i="20"/>
  <c r="BH21" i="20"/>
  <c r="BI21" i="20"/>
  <c r="BJ21" i="20"/>
  <c r="BK21" i="20"/>
  <c r="BL21" i="20"/>
  <c r="BM21" i="20"/>
  <c r="BN21" i="20"/>
  <c r="BO21" i="20"/>
  <c r="BP21" i="20"/>
  <c r="BQ21" i="20"/>
  <c r="BR21" i="20"/>
  <c r="BS21" i="20"/>
  <c r="BT21" i="20"/>
  <c r="BU21" i="20"/>
  <c r="BV21" i="20"/>
  <c r="BW21" i="20"/>
  <c r="BX21" i="20"/>
  <c r="BY21" i="20"/>
  <c r="BZ21" i="20"/>
  <c r="CA21" i="20"/>
  <c r="CB21" i="20"/>
  <c r="CC21" i="20"/>
  <c r="CD21" i="20"/>
  <c r="CE21" i="20"/>
  <c r="CF21" i="20"/>
  <c r="CG21" i="20"/>
  <c r="CH21" i="20"/>
  <c r="CI21" i="20"/>
  <c r="CJ21" i="20"/>
  <c r="CK21" i="20"/>
  <c r="CL21" i="20"/>
  <c r="CM21" i="20"/>
  <c r="CN21" i="20"/>
  <c r="CO21" i="20"/>
  <c r="CP21" i="20"/>
  <c r="CQ21" i="20"/>
  <c r="CR21" i="20"/>
  <c r="CS21" i="20"/>
  <c r="CT21" i="20"/>
  <c r="CU21" i="20"/>
  <c r="CV21" i="20"/>
  <c r="CW21" i="20"/>
  <c r="CX21" i="20"/>
  <c r="CY21" i="20"/>
  <c r="CZ21" i="20"/>
  <c r="DA21" i="20"/>
  <c r="DB21" i="20"/>
  <c r="DC21" i="20"/>
  <c r="DD21" i="20"/>
  <c r="DE21" i="20"/>
  <c r="DF21" i="20"/>
  <c r="DG21" i="20"/>
  <c r="DH21" i="20"/>
  <c r="DI21" i="20"/>
  <c r="DJ21" i="20"/>
  <c r="DK21" i="20"/>
  <c r="DL21" i="20"/>
  <c r="DM21" i="20"/>
  <c r="DN21" i="20"/>
  <c r="DO21" i="20"/>
  <c r="DP21" i="20"/>
  <c r="DQ21" i="20"/>
  <c r="DR21" i="20"/>
  <c r="DS21" i="20"/>
  <c r="DT21" i="20"/>
  <c r="DU21" i="20"/>
  <c r="DV21" i="20"/>
  <c r="DW21" i="20"/>
  <c r="DX21" i="20"/>
  <c r="DY21" i="20"/>
  <c r="DZ21" i="20"/>
  <c r="EA21" i="20"/>
  <c r="EB21" i="20"/>
  <c r="EC21" i="20"/>
  <c r="ED21" i="20"/>
  <c r="EE21" i="20"/>
  <c r="EF21" i="20"/>
  <c r="EG21" i="20"/>
  <c r="EH21" i="20"/>
  <c r="EI21" i="20"/>
  <c r="EJ21" i="20"/>
  <c r="EK21" i="20"/>
  <c r="EL21" i="20"/>
  <c r="EM21" i="20"/>
  <c r="EN21" i="20"/>
  <c r="EO21" i="20"/>
  <c r="EP21" i="20"/>
  <c r="EQ21" i="20"/>
  <c r="ER21" i="20"/>
  <c r="ES21" i="20"/>
  <c r="ET21" i="20"/>
  <c r="EU21" i="20"/>
  <c r="EV21" i="20"/>
  <c r="EW21" i="20"/>
  <c r="EX21" i="20"/>
  <c r="EY21" i="20"/>
  <c r="EZ21" i="20"/>
  <c r="FA21" i="20"/>
  <c r="FB21" i="20"/>
  <c r="FC21" i="20"/>
  <c r="FD21" i="20"/>
  <c r="FE21" i="20"/>
  <c r="FF21" i="20"/>
  <c r="FG21" i="20"/>
  <c r="FH21" i="20"/>
  <c r="FI21" i="20"/>
  <c r="FJ21" i="20"/>
  <c r="FK21" i="20"/>
  <c r="FL21" i="20"/>
  <c r="FM21" i="20"/>
  <c r="FN21" i="20"/>
  <c r="FO21" i="20"/>
  <c r="FP21" i="20"/>
  <c r="FQ21" i="20"/>
  <c r="FR21" i="20"/>
  <c r="FS21" i="20"/>
  <c r="FT21" i="20"/>
  <c r="FU21" i="20"/>
  <c r="FV21" i="20"/>
  <c r="FW21" i="20"/>
  <c r="FX21" i="20"/>
  <c r="FY21" i="20"/>
  <c r="FZ21" i="20"/>
  <c r="GA21" i="20"/>
  <c r="GB21" i="20"/>
  <c r="GC21" i="20"/>
  <c r="GD21" i="20"/>
  <c r="GE21" i="20"/>
  <c r="GF21" i="20"/>
  <c r="GG21" i="20"/>
  <c r="GH21" i="20"/>
  <c r="GI21" i="20"/>
  <c r="GJ21" i="20"/>
  <c r="GK21" i="20"/>
  <c r="GL21" i="20"/>
  <c r="GM21" i="20"/>
  <c r="GN21" i="20"/>
  <c r="GO21" i="20"/>
  <c r="GP21" i="20"/>
  <c r="GQ21" i="20"/>
  <c r="GR21" i="20"/>
  <c r="GS21" i="20"/>
  <c r="GT21" i="20"/>
  <c r="GU21" i="20"/>
  <c r="GV21" i="20"/>
  <c r="GW21" i="20"/>
  <c r="GX21" i="20"/>
  <c r="GY21" i="20"/>
  <c r="GZ21" i="20"/>
  <c r="HA21" i="20"/>
  <c r="HB21" i="20"/>
  <c r="HC21" i="20"/>
  <c r="HD21" i="20"/>
  <c r="HE21" i="20"/>
  <c r="HF21" i="20"/>
  <c r="HG21" i="20"/>
  <c r="HH21" i="20"/>
  <c r="HI21" i="20"/>
  <c r="HJ21" i="20"/>
  <c r="HK21" i="20"/>
  <c r="HL21" i="20"/>
  <c r="HM21" i="20"/>
  <c r="HN21" i="20"/>
  <c r="HO21" i="20"/>
  <c r="HP21" i="20"/>
  <c r="HQ21" i="20"/>
  <c r="HR21" i="20"/>
  <c r="HS21" i="20"/>
  <c r="HT21" i="20"/>
  <c r="HU21" i="20"/>
  <c r="HV21" i="20"/>
  <c r="HW21" i="20"/>
  <c r="HX21" i="20"/>
  <c r="HY21" i="20"/>
  <c r="HZ21" i="20"/>
  <c r="IA21" i="20"/>
  <c r="IB21" i="20"/>
  <c r="IC21" i="20"/>
  <c r="ID21" i="20"/>
  <c r="IE21" i="20"/>
  <c r="IF21" i="20"/>
  <c r="IG21" i="20"/>
  <c r="IH21" i="20"/>
  <c r="II21" i="20"/>
  <c r="IJ21" i="20"/>
  <c r="IK21" i="20"/>
  <c r="IL21" i="20"/>
  <c r="IM21" i="20"/>
  <c r="IN21" i="20"/>
  <c r="IO21" i="20"/>
  <c r="IP21" i="20"/>
  <c r="IQ21" i="20"/>
  <c r="IR21" i="20"/>
  <c r="IS21" i="20"/>
  <c r="IT21" i="20"/>
  <c r="IU21" i="20"/>
  <c r="IV21" i="20"/>
  <c r="IW21" i="20"/>
  <c r="IX21" i="20"/>
  <c r="IY21" i="20"/>
  <c r="IZ21" i="20"/>
  <c r="JA21" i="20"/>
  <c r="JB21" i="20"/>
  <c r="JC21" i="20"/>
  <c r="JD21" i="20"/>
  <c r="JE21" i="20"/>
  <c r="JF21" i="20"/>
  <c r="JG21" i="20"/>
  <c r="JH21" i="20"/>
  <c r="JI21" i="20"/>
  <c r="JJ21" i="20"/>
  <c r="JK21" i="20"/>
  <c r="JL21" i="20"/>
  <c r="JM21" i="20"/>
  <c r="JN21" i="20"/>
  <c r="JO21" i="20"/>
  <c r="JP21" i="20"/>
  <c r="JQ21" i="20"/>
  <c r="JR21" i="20"/>
  <c r="JS21" i="20"/>
  <c r="JT21" i="20"/>
  <c r="JU21" i="20"/>
  <c r="JV21" i="20"/>
  <c r="JW21" i="20"/>
  <c r="JX21" i="20"/>
  <c r="JY21" i="20"/>
  <c r="JZ21" i="20"/>
  <c r="KA21" i="20"/>
  <c r="KB21" i="20"/>
  <c r="KC21" i="20"/>
  <c r="KD21" i="20"/>
  <c r="KE21" i="20"/>
  <c r="KF21" i="20"/>
  <c r="KG21" i="20"/>
  <c r="KH21" i="20"/>
  <c r="KI21" i="20"/>
  <c r="KJ21" i="20"/>
  <c r="KK21" i="20"/>
  <c r="KL21" i="20"/>
  <c r="KM21" i="20"/>
  <c r="KN21" i="20"/>
  <c r="KO21" i="20"/>
  <c r="KP21" i="20"/>
  <c r="KQ21" i="20"/>
  <c r="KR21" i="20"/>
  <c r="KS21" i="20"/>
  <c r="KT21" i="20"/>
  <c r="KU21" i="20"/>
  <c r="KV21" i="20"/>
  <c r="KW21" i="20"/>
  <c r="KX21" i="20"/>
  <c r="KY21" i="20"/>
  <c r="KZ21" i="20"/>
  <c r="LA21" i="20"/>
  <c r="LB21" i="20"/>
  <c r="LC21" i="20"/>
  <c r="LD21" i="20"/>
  <c r="LE21" i="20"/>
  <c r="LF21" i="20"/>
  <c r="LG21" i="20"/>
  <c r="LH21" i="20"/>
  <c r="LI21" i="20"/>
  <c r="LJ21" i="20"/>
  <c r="LK21" i="20"/>
  <c r="LL21" i="20"/>
  <c r="LM21" i="20"/>
  <c r="LN21" i="20"/>
  <c r="LO21" i="20"/>
  <c r="LP21" i="20"/>
  <c r="LQ21" i="20"/>
  <c r="LR21" i="20"/>
  <c r="LS21" i="20"/>
  <c r="LT21" i="20"/>
  <c r="LU21" i="20"/>
  <c r="LV21" i="20"/>
  <c r="LW21" i="20"/>
  <c r="LX21" i="20"/>
  <c r="LY21" i="20"/>
  <c r="LZ21" i="20"/>
  <c r="MA21" i="20"/>
  <c r="MB21" i="20"/>
  <c r="MC21" i="20"/>
  <c r="MD21" i="20"/>
  <c r="ME21" i="20"/>
  <c r="MF21" i="20"/>
  <c r="MG21" i="20"/>
  <c r="MH21" i="20"/>
  <c r="MI21" i="20"/>
  <c r="MJ21" i="20"/>
  <c r="MK21" i="20"/>
  <c r="ML21" i="20"/>
  <c r="MM21" i="20"/>
  <c r="MN21" i="20"/>
  <c r="MO21" i="20"/>
  <c r="MP21" i="20"/>
  <c r="MQ21" i="20"/>
  <c r="MR21" i="20"/>
  <c r="MS21" i="20"/>
  <c r="MT21" i="20"/>
  <c r="MU21" i="20"/>
  <c r="MV21" i="20"/>
  <c r="MW21" i="20"/>
  <c r="MX21" i="20"/>
  <c r="MY21" i="20"/>
  <c r="MZ21" i="20"/>
  <c r="NA21" i="20"/>
  <c r="NB21" i="20"/>
  <c r="NC21" i="20"/>
  <c r="ND21" i="20"/>
  <c r="NE21" i="20"/>
  <c r="NF21" i="20"/>
  <c r="NG21" i="20"/>
  <c r="NH21" i="20"/>
  <c r="NI21" i="20"/>
  <c r="NJ21" i="20"/>
  <c r="NK21" i="20"/>
  <c r="NL21" i="20"/>
  <c r="NM21" i="20"/>
  <c r="NN21" i="20"/>
  <c r="NO21" i="20"/>
  <c r="NP21" i="20"/>
  <c r="NQ21" i="20"/>
  <c r="NR21" i="20"/>
  <c r="NS21" i="20"/>
  <c r="NT21" i="20"/>
  <c r="NU21" i="20"/>
  <c r="NV21" i="20"/>
  <c r="NW21" i="20"/>
  <c r="NX21" i="20"/>
  <c r="NY21" i="20"/>
  <c r="NZ21" i="20"/>
  <c r="OA21" i="20"/>
  <c r="OB21" i="20"/>
  <c r="OC21" i="20"/>
  <c r="OD21" i="20"/>
  <c r="OE21" i="20"/>
  <c r="OF21" i="20"/>
  <c r="OG21" i="20"/>
  <c r="OH21" i="20"/>
  <c r="OI21" i="20"/>
  <c r="OJ21" i="20"/>
  <c r="OK21" i="20"/>
  <c r="OL21" i="20"/>
  <c r="OM21" i="20"/>
  <c r="ON21" i="20"/>
  <c r="OO21" i="20"/>
  <c r="OP21" i="20"/>
  <c r="OQ21" i="20"/>
  <c r="OR21" i="20"/>
  <c r="OS21" i="20"/>
  <c r="OT21" i="20"/>
  <c r="OU21" i="20"/>
  <c r="OV21" i="20"/>
  <c r="OW21" i="20"/>
  <c r="OX21" i="20"/>
  <c r="OY21" i="20"/>
  <c r="OZ21" i="20"/>
  <c r="PA21" i="20"/>
  <c r="PB21" i="20"/>
  <c r="PC21" i="20"/>
  <c r="PD21" i="20"/>
  <c r="PE21" i="20"/>
  <c r="PF21" i="20"/>
  <c r="PG21" i="20"/>
  <c r="PH21" i="20"/>
  <c r="PI21" i="20"/>
  <c r="PJ21" i="20"/>
  <c r="PK21" i="20"/>
  <c r="PL21" i="20"/>
  <c r="PM21" i="20"/>
  <c r="PN21" i="20"/>
  <c r="PO21" i="20"/>
  <c r="PP21" i="20"/>
  <c r="PQ21" i="20"/>
  <c r="PR21" i="20"/>
  <c r="PS21" i="20"/>
  <c r="PT21" i="20"/>
  <c r="PU21" i="20"/>
  <c r="PV21" i="20"/>
  <c r="PW21" i="20"/>
  <c r="PX21" i="20"/>
  <c r="PY21" i="20"/>
  <c r="PZ21" i="20"/>
  <c r="QA21" i="20"/>
  <c r="QB21" i="20"/>
  <c r="QC21" i="20"/>
  <c r="QD21" i="20"/>
  <c r="QE21" i="20"/>
  <c r="QF21" i="20"/>
  <c r="QG21" i="20"/>
  <c r="QH21" i="20"/>
  <c r="QI21" i="20"/>
  <c r="QJ21" i="20"/>
  <c r="QK21" i="20"/>
  <c r="QL21" i="20"/>
  <c r="QM21" i="20"/>
  <c r="QN21" i="20"/>
  <c r="QO21" i="20"/>
  <c r="QP21" i="20"/>
  <c r="QQ21" i="20"/>
  <c r="QR21" i="20"/>
  <c r="QS21" i="20"/>
  <c r="QT21" i="20"/>
  <c r="QU21" i="20"/>
  <c r="QV21" i="20"/>
  <c r="QW21" i="20"/>
  <c r="QX21" i="20"/>
  <c r="QY21" i="20"/>
  <c r="QZ21" i="20"/>
  <c r="RA21" i="20"/>
  <c r="RB21" i="20"/>
  <c r="RC21" i="20"/>
  <c r="RD21" i="20"/>
  <c r="RE21" i="20"/>
  <c r="RF21" i="20"/>
  <c r="RG21" i="20"/>
  <c r="RH21" i="20"/>
  <c r="RI21" i="20"/>
  <c r="RJ21" i="20"/>
  <c r="RK21" i="20"/>
  <c r="RL21" i="20"/>
  <c r="RM21" i="20"/>
  <c r="RN21" i="20"/>
  <c r="RO21" i="20"/>
  <c r="RP21" i="20"/>
  <c r="RQ21" i="20"/>
  <c r="RR21" i="20"/>
  <c r="RS21" i="20"/>
  <c r="RT21" i="20"/>
  <c r="RU21" i="20"/>
  <c r="RV21" i="20"/>
  <c r="RW21" i="20"/>
  <c r="RX21" i="20"/>
  <c r="RY21" i="20"/>
  <c r="RZ21" i="20"/>
  <c r="SA21" i="20"/>
  <c r="SB21" i="20"/>
  <c r="SC21" i="20"/>
  <c r="SD21" i="20"/>
  <c r="SE21" i="20"/>
  <c r="SF21" i="20"/>
  <c r="SG21" i="20"/>
  <c r="SH21" i="20"/>
  <c r="SI21" i="20"/>
  <c r="SJ21" i="20"/>
  <c r="SK21" i="20"/>
  <c r="SL21" i="20"/>
  <c r="SM21" i="20"/>
  <c r="SN21" i="20"/>
  <c r="SO21" i="20"/>
  <c r="SP21" i="20"/>
  <c r="SQ21" i="20"/>
  <c r="SR21" i="20"/>
  <c r="SS21" i="20"/>
  <c r="ST21" i="20"/>
  <c r="SU21" i="20"/>
  <c r="SV21" i="20"/>
  <c r="SW21" i="20"/>
  <c r="SX21" i="20"/>
  <c r="SY21" i="20"/>
  <c r="SZ21" i="20"/>
  <c r="TA21" i="20"/>
  <c r="TB21" i="20"/>
  <c r="TC21" i="20"/>
  <c r="TD21" i="20"/>
  <c r="TE21" i="20"/>
  <c r="TF21" i="20"/>
  <c r="TG21" i="20"/>
  <c r="TH21" i="20"/>
  <c r="TI21" i="20"/>
  <c r="TJ21" i="20"/>
  <c r="TK21" i="20"/>
  <c r="TL21" i="20"/>
  <c r="TM21" i="20"/>
  <c r="TN21" i="20"/>
  <c r="TO21" i="20"/>
  <c r="TP21" i="20"/>
  <c r="TQ21" i="20"/>
  <c r="TR21" i="20"/>
  <c r="TS21" i="20"/>
  <c r="TT21" i="20"/>
  <c r="TU21" i="20"/>
  <c r="TV21" i="20"/>
  <c r="TW21" i="20"/>
  <c r="TX21" i="20"/>
  <c r="TY21" i="20"/>
  <c r="TZ21" i="20"/>
  <c r="UA21" i="20"/>
  <c r="UB21" i="20"/>
  <c r="UC21" i="20"/>
  <c r="UD21" i="20"/>
  <c r="UE21" i="20"/>
  <c r="UF21" i="20"/>
  <c r="UG21" i="20"/>
  <c r="UH21" i="20"/>
  <c r="UI21" i="20"/>
  <c r="UJ21" i="20"/>
  <c r="UK21" i="20"/>
  <c r="UL21" i="20"/>
  <c r="UM21" i="20"/>
  <c r="UN21" i="20"/>
  <c r="UO21" i="20"/>
  <c r="UP21" i="20"/>
  <c r="UQ21" i="20"/>
  <c r="UR21" i="20"/>
  <c r="US21" i="20"/>
  <c r="UT21" i="20"/>
  <c r="UU21" i="20"/>
  <c r="UV21" i="20"/>
  <c r="UW21" i="20"/>
  <c r="UX21" i="20"/>
  <c r="UY21" i="20"/>
  <c r="UZ21" i="20"/>
  <c r="VA21" i="20"/>
  <c r="VB21" i="20"/>
  <c r="VC21" i="20"/>
  <c r="VD21" i="20"/>
  <c r="VE21" i="20"/>
  <c r="VF21" i="20"/>
  <c r="VG21" i="20"/>
  <c r="VH21" i="20"/>
  <c r="VI21" i="20"/>
  <c r="VJ21" i="20"/>
  <c r="VK21" i="20"/>
  <c r="VL21" i="20"/>
  <c r="VM21" i="20"/>
  <c r="VN21" i="20"/>
  <c r="VO21" i="20"/>
  <c r="VP21" i="20"/>
  <c r="VQ21" i="20"/>
  <c r="VR21" i="20"/>
  <c r="VS21" i="20"/>
  <c r="VT21" i="20"/>
  <c r="VU21" i="20"/>
  <c r="VV21" i="20"/>
  <c r="VW21" i="20"/>
  <c r="VX21" i="20"/>
  <c r="VY21" i="20"/>
  <c r="VZ21" i="20"/>
  <c r="WA21" i="20"/>
  <c r="WB21" i="20"/>
  <c r="WC21" i="20"/>
  <c r="WD21" i="20"/>
  <c r="WE21" i="20"/>
  <c r="WF21" i="20"/>
  <c r="WG21" i="20"/>
  <c r="WH21" i="20"/>
  <c r="WI21" i="20"/>
  <c r="WJ21" i="20"/>
  <c r="WK21" i="20"/>
  <c r="WL21" i="20"/>
  <c r="WM21" i="20"/>
  <c r="WN21" i="20"/>
  <c r="WO21" i="20"/>
  <c r="WP21" i="20"/>
  <c r="WQ21" i="20"/>
  <c r="WR21" i="20"/>
  <c r="WS21" i="20"/>
  <c r="WT21" i="20"/>
  <c r="WU21" i="20"/>
  <c r="WV21" i="20"/>
  <c r="WW21" i="20"/>
  <c r="WX21" i="20"/>
  <c r="WY21" i="20"/>
  <c r="WZ21" i="20"/>
  <c r="XA21" i="20"/>
  <c r="XB21" i="20"/>
  <c r="XC21" i="20"/>
  <c r="XD21" i="20"/>
  <c r="XE21" i="20"/>
  <c r="XF21" i="20"/>
  <c r="XG21" i="20"/>
  <c r="XH21" i="20"/>
  <c r="XI21" i="20"/>
  <c r="XJ21" i="20"/>
  <c r="XK21" i="20"/>
  <c r="XL21" i="20"/>
  <c r="XM21" i="20"/>
  <c r="XN21" i="20"/>
  <c r="XO21" i="20"/>
  <c r="XP21" i="20"/>
  <c r="XQ21" i="20"/>
  <c r="XR21" i="20"/>
  <c r="XS21" i="20"/>
  <c r="XT21" i="20"/>
  <c r="XU21" i="20"/>
  <c r="XV21" i="20"/>
  <c r="XW21" i="20"/>
  <c r="XX21" i="20"/>
  <c r="XY21" i="20"/>
  <c r="XZ21" i="20"/>
  <c r="YA21" i="20"/>
  <c r="YB21" i="20"/>
  <c r="YC21" i="20"/>
  <c r="YD21" i="20"/>
  <c r="YE21" i="20"/>
  <c r="YF21" i="20"/>
  <c r="YG21" i="20"/>
  <c r="YH21" i="20"/>
  <c r="YI21" i="20"/>
  <c r="YJ21" i="20"/>
  <c r="YK21" i="20"/>
  <c r="YL21" i="20"/>
  <c r="YM21" i="20"/>
  <c r="YN21" i="20"/>
  <c r="YO21" i="20"/>
  <c r="YP21" i="20"/>
  <c r="YQ21" i="20"/>
  <c r="YR21" i="20"/>
  <c r="YS21" i="20"/>
  <c r="YT21" i="20"/>
  <c r="YU21" i="20"/>
  <c r="YV21" i="20"/>
  <c r="YW21" i="20"/>
  <c r="YX21" i="20"/>
  <c r="YY21" i="20"/>
  <c r="YZ21" i="20"/>
  <c r="ZA21" i="20"/>
  <c r="ZB21" i="20"/>
  <c r="ZC21" i="20"/>
  <c r="ZD21" i="20"/>
  <c r="ZE21" i="20"/>
  <c r="ZF21" i="20"/>
  <c r="ZG21" i="20"/>
  <c r="ZH21" i="20"/>
  <c r="ZI21" i="20"/>
  <c r="ZJ21" i="20"/>
  <c r="ZK21" i="20"/>
  <c r="ZL21" i="20"/>
  <c r="ZM21" i="20"/>
  <c r="ZN21" i="20"/>
  <c r="ZO21" i="20"/>
  <c r="ZP21" i="20"/>
  <c r="ZQ21" i="20"/>
  <c r="ZR21" i="20"/>
  <c r="ZS21" i="20"/>
  <c r="ZT21" i="20"/>
  <c r="ZU21" i="20"/>
  <c r="ZV21" i="20"/>
  <c r="ZW21" i="20"/>
  <c r="ZX21" i="20"/>
  <c r="ZY21" i="20"/>
  <c r="ZZ21" i="20"/>
  <c r="AAA21" i="20"/>
  <c r="AAB21" i="20"/>
  <c r="AAC21" i="20"/>
  <c r="C22" i="20"/>
  <c r="D22" i="20"/>
  <c r="E22" i="20"/>
  <c r="F22" i="20"/>
  <c r="G22" i="20"/>
  <c r="H22" i="20"/>
  <c r="I22" i="20"/>
  <c r="J22" i="20"/>
  <c r="K22" i="20"/>
  <c r="L22" i="20"/>
  <c r="M22" i="20"/>
  <c r="N22" i="20"/>
  <c r="O22" i="20"/>
  <c r="P22" i="20"/>
  <c r="Q22" i="20"/>
  <c r="R22" i="20"/>
  <c r="S22" i="20"/>
  <c r="T22" i="20"/>
  <c r="U22" i="20"/>
  <c r="V22" i="20"/>
  <c r="W22" i="20"/>
  <c r="X22" i="20"/>
  <c r="Y22" i="20"/>
  <c r="Z22" i="20"/>
  <c r="AA22" i="20"/>
  <c r="AB22" i="20"/>
  <c r="AC22" i="20"/>
  <c r="AD22" i="20"/>
  <c r="AE22" i="20"/>
  <c r="AF22" i="20"/>
  <c r="AG22" i="20"/>
  <c r="AH22" i="20"/>
  <c r="AI22" i="20"/>
  <c r="AJ22" i="20"/>
  <c r="AK22" i="20"/>
  <c r="AL22" i="20"/>
  <c r="AM22" i="20"/>
  <c r="AN22" i="20"/>
  <c r="AO22" i="20"/>
  <c r="AP22" i="20"/>
  <c r="AQ22" i="20"/>
  <c r="AR22" i="20"/>
  <c r="AS22" i="20"/>
  <c r="AT22" i="20"/>
  <c r="AU22" i="20"/>
  <c r="AV22" i="20"/>
  <c r="AW22" i="20"/>
  <c r="AX22" i="20"/>
  <c r="AY22" i="20"/>
  <c r="AZ22" i="20"/>
  <c r="BA22" i="20"/>
  <c r="BB22" i="20"/>
  <c r="BC22" i="20"/>
  <c r="BD22" i="20"/>
  <c r="BE22" i="20"/>
  <c r="BF22" i="20"/>
  <c r="BG22" i="20"/>
  <c r="BH22" i="20"/>
  <c r="BI22" i="20"/>
  <c r="BJ22" i="20"/>
  <c r="BK22" i="20"/>
  <c r="BL22" i="20"/>
  <c r="BM22" i="20"/>
  <c r="BN22" i="20"/>
  <c r="BO22" i="20"/>
  <c r="BP22" i="20"/>
  <c r="BQ22" i="20"/>
  <c r="BR22" i="20"/>
  <c r="BS22" i="20"/>
  <c r="BT22" i="20"/>
  <c r="BU22" i="20"/>
  <c r="BV22" i="20"/>
  <c r="BW22" i="20"/>
  <c r="BX22" i="20"/>
  <c r="BY22" i="20"/>
  <c r="BZ22" i="20"/>
  <c r="CA22" i="20"/>
  <c r="CB22" i="20"/>
  <c r="CC22" i="20"/>
  <c r="CD22" i="20"/>
  <c r="CE22" i="20"/>
  <c r="CF22" i="20"/>
  <c r="CG22" i="20"/>
  <c r="CH22" i="20"/>
  <c r="CI22" i="20"/>
  <c r="CJ22" i="20"/>
  <c r="CK22" i="20"/>
  <c r="CL22" i="20"/>
  <c r="CM22" i="20"/>
  <c r="CN22" i="20"/>
  <c r="CO22" i="20"/>
  <c r="CP22" i="20"/>
  <c r="CQ22" i="20"/>
  <c r="CR22" i="20"/>
  <c r="CS22" i="20"/>
  <c r="CT22" i="20"/>
  <c r="CU22" i="20"/>
  <c r="CV22" i="20"/>
  <c r="CW22" i="20"/>
  <c r="CX22" i="20"/>
  <c r="CY22" i="20"/>
  <c r="CZ22" i="20"/>
  <c r="DA22" i="20"/>
  <c r="DB22" i="20"/>
  <c r="DC22" i="20"/>
  <c r="DD22" i="20"/>
  <c r="DE22" i="20"/>
  <c r="DF22" i="20"/>
  <c r="DG22" i="20"/>
  <c r="DH22" i="20"/>
  <c r="DI22" i="20"/>
  <c r="DJ22" i="20"/>
  <c r="DK22" i="20"/>
  <c r="DL22" i="20"/>
  <c r="DM22" i="20"/>
  <c r="DN22" i="20"/>
  <c r="DO22" i="20"/>
  <c r="DP22" i="20"/>
  <c r="DQ22" i="20"/>
  <c r="DR22" i="20"/>
  <c r="DS22" i="20"/>
  <c r="DT22" i="20"/>
  <c r="DU22" i="20"/>
  <c r="DV22" i="20"/>
  <c r="DW22" i="20"/>
  <c r="DX22" i="20"/>
  <c r="DY22" i="20"/>
  <c r="DZ22" i="20"/>
  <c r="EA22" i="20"/>
  <c r="EB22" i="20"/>
  <c r="EC22" i="20"/>
  <c r="ED22" i="20"/>
  <c r="EE22" i="20"/>
  <c r="EF22" i="20"/>
  <c r="EG22" i="20"/>
  <c r="EH22" i="20"/>
  <c r="EI22" i="20"/>
  <c r="EJ22" i="20"/>
  <c r="EK22" i="20"/>
  <c r="EL22" i="20"/>
  <c r="EM22" i="20"/>
  <c r="EN22" i="20"/>
  <c r="EO22" i="20"/>
  <c r="EP22" i="20"/>
  <c r="EQ22" i="20"/>
  <c r="ER22" i="20"/>
  <c r="ES22" i="20"/>
  <c r="ET22" i="20"/>
  <c r="EU22" i="20"/>
  <c r="EV22" i="20"/>
  <c r="EW22" i="20"/>
  <c r="EX22" i="20"/>
  <c r="EY22" i="20"/>
  <c r="EZ22" i="20"/>
  <c r="FA22" i="20"/>
  <c r="FB22" i="20"/>
  <c r="FC22" i="20"/>
  <c r="FD22" i="20"/>
  <c r="FE22" i="20"/>
  <c r="FF22" i="20"/>
  <c r="FG22" i="20"/>
  <c r="FH22" i="20"/>
  <c r="FI22" i="20"/>
  <c r="FJ22" i="20"/>
  <c r="FK22" i="20"/>
  <c r="FL22" i="20"/>
  <c r="FM22" i="20"/>
  <c r="FN22" i="20"/>
  <c r="FO22" i="20"/>
  <c r="FP22" i="20"/>
  <c r="FQ22" i="20"/>
  <c r="FR22" i="20"/>
  <c r="FS22" i="20"/>
  <c r="FT22" i="20"/>
  <c r="FU22" i="20"/>
  <c r="FV22" i="20"/>
  <c r="FW22" i="20"/>
  <c r="FX22" i="20"/>
  <c r="FY22" i="20"/>
  <c r="FZ22" i="20"/>
  <c r="GA22" i="20"/>
  <c r="GB22" i="20"/>
  <c r="GC22" i="20"/>
  <c r="GD22" i="20"/>
  <c r="GE22" i="20"/>
  <c r="GF22" i="20"/>
  <c r="GG22" i="20"/>
  <c r="GH22" i="20"/>
  <c r="GI22" i="20"/>
  <c r="GJ22" i="20"/>
  <c r="GK22" i="20"/>
  <c r="GL22" i="20"/>
  <c r="GM22" i="20"/>
  <c r="GN22" i="20"/>
  <c r="GO22" i="20"/>
  <c r="GP22" i="20"/>
  <c r="GQ22" i="20"/>
  <c r="GR22" i="20"/>
  <c r="GS22" i="20"/>
  <c r="GT22" i="20"/>
  <c r="GU22" i="20"/>
  <c r="GV22" i="20"/>
  <c r="GW22" i="20"/>
  <c r="GX22" i="20"/>
  <c r="GY22" i="20"/>
  <c r="GZ22" i="20"/>
  <c r="HA22" i="20"/>
  <c r="HB22" i="20"/>
  <c r="HC22" i="20"/>
  <c r="HD22" i="20"/>
  <c r="HE22" i="20"/>
  <c r="HF22" i="20"/>
  <c r="HG22" i="20"/>
  <c r="HH22" i="20"/>
  <c r="HI22" i="20"/>
  <c r="HJ22" i="20"/>
  <c r="HK22" i="20"/>
  <c r="HL22" i="20"/>
  <c r="HM22" i="20"/>
  <c r="HN22" i="20"/>
  <c r="HO22" i="20"/>
  <c r="HP22" i="20"/>
  <c r="HQ22" i="20"/>
  <c r="HR22" i="20"/>
  <c r="HS22" i="20"/>
  <c r="HT22" i="20"/>
  <c r="HU22" i="20"/>
  <c r="HV22" i="20"/>
  <c r="HW22" i="20"/>
  <c r="HX22" i="20"/>
  <c r="HY22" i="20"/>
  <c r="HZ22" i="20"/>
  <c r="IA22" i="20"/>
  <c r="IB22" i="20"/>
  <c r="IC22" i="20"/>
  <c r="ID22" i="20"/>
  <c r="IE22" i="20"/>
  <c r="IF22" i="20"/>
  <c r="IG22" i="20"/>
  <c r="IH22" i="20"/>
  <c r="II22" i="20"/>
  <c r="IJ22" i="20"/>
  <c r="IK22" i="20"/>
  <c r="IL22" i="20"/>
  <c r="IM22" i="20"/>
  <c r="IN22" i="20"/>
  <c r="IO22" i="20"/>
  <c r="IP22" i="20"/>
  <c r="IQ22" i="20"/>
  <c r="IR22" i="20"/>
  <c r="IS22" i="20"/>
  <c r="IT22" i="20"/>
  <c r="IU22" i="20"/>
  <c r="IV22" i="20"/>
  <c r="IW22" i="20"/>
  <c r="IX22" i="20"/>
  <c r="IY22" i="20"/>
  <c r="IZ22" i="20"/>
  <c r="JA22" i="20"/>
  <c r="JB22" i="20"/>
  <c r="JC22" i="20"/>
  <c r="JD22" i="20"/>
  <c r="JE22" i="20"/>
  <c r="JF22" i="20"/>
  <c r="JG22" i="20"/>
  <c r="JH22" i="20"/>
  <c r="JI22" i="20"/>
  <c r="JJ22" i="20"/>
  <c r="JK22" i="20"/>
  <c r="JL22" i="20"/>
  <c r="JM22" i="20"/>
  <c r="JN22" i="20"/>
  <c r="JO22" i="20"/>
  <c r="JP22" i="20"/>
  <c r="JQ22" i="20"/>
  <c r="JR22" i="20"/>
  <c r="JS22" i="20"/>
  <c r="JT22" i="20"/>
  <c r="JU22" i="20"/>
  <c r="JV22" i="20"/>
  <c r="JW22" i="20"/>
  <c r="JX22" i="20"/>
  <c r="JY22" i="20"/>
  <c r="JZ22" i="20"/>
  <c r="KA22" i="20"/>
  <c r="KB22" i="20"/>
  <c r="KC22" i="20"/>
  <c r="KD22" i="20"/>
  <c r="KE22" i="20"/>
  <c r="KF22" i="20"/>
  <c r="KG22" i="20"/>
  <c r="KH22" i="20"/>
  <c r="KI22" i="20"/>
  <c r="KJ22" i="20"/>
  <c r="KK22" i="20"/>
  <c r="KL22" i="20"/>
  <c r="KM22" i="20"/>
  <c r="KN22" i="20"/>
  <c r="KO22" i="20"/>
  <c r="KP22" i="20"/>
  <c r="KQ22" i="20"/>
  <c r="KR22" i="20"/>
  <c r="KS22" i="20"/>
  <c r="KT22" i="20"/>
  <c r="KU22" i="20"/>
  <c r="KV22" i="20"/>
  <c r="KW22" i="20"/>
  <c r="KX22" i="20"/>
  <c r="KY22" i="20"/>
  <c r="KZ22" i="20"/>
  <c r="LA22" i="20"/>
  <c r="LB22" i="20"/>
  <c r="LC22" i="20"/>
  <c r="LD22" i="20"/>
  <c r="LE22" i="20"/>
  <c r="LF22" i="20"/>
  <c r="LG22" i="20"/>
  <c r="LH22" i="20"/>
  <c r="LI22" i="20"/>
  <c r="LJ22" i="20"/>
  <c r="LK22" i="20"/>
  <c r="LL22" i="20"/>
  <c r="LM22" i="20"/>
  <c r="LN22" i="20"/>
  <c r="LO22" i="20"/>
  <c r="LP22" i="20"/>
  <c r="LQ22" i="20"/>
  <c r="LR22" i="20"/>
  <c r="LS22" i="20"/>
  <c r="LT22" i="20"/>
  <c r="LU22" i="20"/>
  <c r="LV22" i="20"/>
  <c r="LW22" i="20"/>
  <c r="LX22" i="20"/>
  <c r="LY22" i="20"/>
  <c r="LZ22" i="20"/>
  <c r="MA22" i="20"/>
  <c r="MB22" i="20"/>
  <c r="MC22" i="20"/>
  <c r="MD22" i="20"/>
  <c r="ME22" i="20"/>
  <c r="MF22" i="20"/>
  <c r="MG22" i="20"/>
  <c r="MH22" i="20"/>
  <c r="MI22" i="20"/>
  <c r="MJ22" i="20"/>
  <c r="MK22" i="20"/>
  <c r="ML22" i="20"/>
  <c r="MM22" i="20"/>
  <c r="MN22" i="20"/>
  <c r="MO22" i="20"/>
  <c r="MP22" i="20"/>
  <c r="MQ22" i="20"/>
  <c r="MR22" i="20"/>
  <c r="MS22" i="20"/>
  <c r="MT22" i="20"/>
  <c r="MU22" i="20"/>
  <c r="MV22" i="20"/>
  <c r="MW22" i="20"/>
  <c r="MX22" i="20"/>
  <c r="MY22" i="20"/>
  <c r="MZ22" i="20"/>
  <c r="NA22" i="20"/>
  <c r="NB22" i="20"/>
  <c r="NC22" i="20"/>
  <c r="ND22" i="20"/>
  <c r="NE22" i="20"/>
  <c r="NF22" i="20"/>
  <c r="NG22" i="20"/>
  <c r="NH22" i="20"/>
  <c r="NI22" i="20"/>
  <c r="NJ22" i="20"/>
  <c r="NK22" i="20"/>
  <c r="NL22" i="20"/>
  <c r="NM22" i="20"/>
  <c r="NN22" i="20"/>
  <c r="NO22" i="20"/>
  <c r="NP22" i="20"/>
  <c r="NQ22" i="20"/>
  <c r="NR22" i="20"/>
  <c r="NS22" i="20"/>
  <c r="NT22" i="20"/>
  <c r="NU22" i="20"/>
  <c r="NV22" i="20"/>
  <c r="NW22" i="20"/>
  <c r="NX22" i="20"/>
  <c r="NY22" i="20"/>
  <c r="NZ22" i="20"/>
  <c r="OA22" i="20"/>
  <c r="OB22" i="20"/>
  <c r="OC22" i="20"/>
  <c r="OD22" i="20"/>
  <c r="OE22" i="20"/>
  <c r="OF22" i="20"/>
  <c r="OG22" i="20"/>
  <c r="OH22" i="20"/>
  <c r="OI22" i="20"/>
  <c r="OJ22" i="20"/>
  <c r="OK22" i="20"/>
  <c r="OL22" i="20"/>
  <c r="OM22" i="20"/>
  <c r="ON22" i="20"/>
  <c r="OO22" i="20"/>
  <c r="OP22" i="20"/>
  <c r="OQ22" i="20"/>
  <c r="OR22" i="20"/>
  <c r="OS22" i="20"/>
  <c r="OT22" i="20"/>
  <c r="OU22" i="20"/>
  <c r="OV22" i="20"/>
  <c r="OW22" i="20"/>
  <c r="OX22" i="20"/>
  <c r="OY22" i="20"/>
  <c r="OZ22" i="20"/>
  <c r="PA22" i="20"/>
  <c r="PB22" i="20"/>
  <c r="PC22" i="20"/>
  <c r="PD22" i="20"/>
  <c r="PE22" i="20"/>
  <c r="PF22" i="20"/>
  <c r="PG22" i="20"/>
  <c r="PH22" i="20"/>
  <c r="PI22" i="20"/>
  <c r="PJ22" i="20"/>
  <c r="PK22" i="20"/>
  <c r="PL22" i="20"/>
  <c r="PM22" i="20"/>
  <c r="PN22" i="20"/>
  <c r="PO22" i="20"/>
  <c r="PP22" i="20"/>
  <c r="PQ22" i="20"/>
  <c r="PR22" i="20"/>
  <c r="PS22" i="20"/>
  <c r="PT22" i="20"/>
  <c r="PU22" i="20"/>
  <c r="PV22" i="20"/>
  <c r="PW22" i="20"/>
  <c r="PX22" i="20"/>
  <c r="PY22" i="20"/>
  <c r="PZ22" i="20"/>
  <c r="QA22" i="20"/>
  <c r="QB22" i="20"/>
  <c r="QC22" i="20"/>
  <c r="QD22" i="20"/>
  <c r="QE22" i="20"/>
  <c r="QF22" i="20"/>
  <c r="QG22" i="20"/>
  <c r="QH22" i="20"/>
  <c r="QI22" i="20"/>
  <c r="QJ22" i="20"/>
  <c r="QK22" i="20"/>
  <c r="QL22" i="20"/>
  <c r="QM22" i="20"/>
  <c r="QN22" i="20"/>
  <c r="QO22" i="20"/>
  <c r="QP22" i="20"/>
  <c r="QQ22" i="20"/>
  <c r="QR22" i="20"/>
  <c r="QS22" i="20"/>
  <c r="QT22" i="20"/>
  <c r="QU22" i="20"/>
  <c r="QV22" i="20"/>
  <c r="QW22" i="20"/>
  <c r="QX22" i="20"/>
  <c r="QY22" i="20"/>
  <c r="QZ22" i="20"/>
  <c r="RA22" i="20"/>
  <c r="RB22" i="20"/>
  <c r="RC22" i="20"/>
  <c r="RD22" i="20"/>
  <c r="RE22" i="20"/>
  <c r="RF22" i="20"/>
  <c r="RG22" i="20"/>
  <c r="RH22" i="20"/>
  <c r="RI22" i="20"/>
  <c r="RJ22" i="20"/>
  <c r="RK22" i="20"/>
  <c r="RL22" i="20"/>
  <c r="RM22" i="20"/>
  <c r="RN22" i="20"/>
  <c r="RO22" i="20"/>
  <c r="RP22" i="20"/>
  <c r="RQ22" i="20"/>
  <c r="RR22" i="20"/>
  <c r="RS22" i="20"/>
  <c r="RT22" i="20"/>
  <c r="RU22" i="20"/>
  <c r="RV22" i="20"/>
  <c r="RW22" i="20"/>
  <c r="RX22" i="20"/>
  <c r="RY22" i="20"/>
  <c r="RZ22" i="20"/>
  <c r="SA22" i="20"/>
  <c r="SB22" i="20"/>
  <c r="SC22" i="20"/>
  <c r="SD22" i="20"/>
  <c r="SE22" i="20"/>
  <c r="SF22" i="20"/>
  <c r="SG22" i="20"/>
  <c r="SH22" i="20"/>
  <c r="SI22" i="20"/>
  <c r="SJ22" i="20"/>
  <c r="SK22" i="20"/>
  <c r="SL22" i="20"/>
  <c r="SM22" i="20"/>
  <c r="SN22" i="20"/>
  <c r="SO22" i="20"/>
  <c r="SP22" i="20"/>
  <c r="SQ22" i="20"/>
  <c r="SR22" i="20"/>
  <c r="SS22" i="20"/>
  <c r="ST22" i="20"/>
  <c r="SU22" i="20"/>
  <c r="SV22" i="20"/>
  <c r="SW22" i="20"/>
  <c r="SX22" i="20"/>
  <c r="SY22" i="20"/>
  <c r="SZ22" i="20"/>
  <c r="TA22" i="20"/>
  <c r="TB22" i="20"/>
  <c r="TC22" i="20"/>
  <c r="TD22" i="20"/>
  <c r="TE22" i="20"/>
  <c r="TF22" i="20"/>
  <c r="TG22" i="20"/>
  <c r="TH22" i="20"/>
  <c r="TI22" i="20"/>
  <c r="TJ22" i="20"/>
  <c r="TK22" i="20"/>
  <c r="TL22" i="20"/>
  <c r="TM22" i="20"/>
  <c r="TN22" i="20"/>
  <c r="TO22" i="20"/>
  <c r="TP22" i="20"/>
  <c r="TQ22" i="20"/>
  <c r="TR22" i="20"/>
  <c r="TS22" i="20"/>
  <c r="TT22" i="20"/>
  <c r="TU22" i="20"/>
  <c r="TV22" i="20"/>
  <c r="TW22" i="20"/>
  <c r="TX22" i="20"/>
  <c r="TY22" i="20"/>
  <c r="TZ22" i="20"/>
  <c r="UA22" i="20"/>
  <c r="UB22" i="20"/>
  <c r="UC22" i="20"/>
  <c r="UD22" i="20"/>
  <c r="UE22" i="20"/>
  <c r="UF22" i="20"/>
  <c r="UG22" i="20"/>
  <c r="UH22" i="20"/>
  <c r="UI22" i="20"/>
  <c r="UJ22" i="20"/>
  <c r="UK22" i="20"/>
  <c r="UL22" i="20"/>
  <c r="UM22" i="20"/>
  <c r="UN22" i="20"/>
  <c r="UO22" i="20"/>
  <c r="UP22" i="20"/>
  <c r="UQ22" i="20"/>
  <c r="UR22" i="20"/>
  <c r="US22" i="20"/>
  <c r="UT22" i="20"/>
  <c r="UU22" i="20"/>
  <c r="UV22" i="20"/>
  <c r="UW22" i="20"/>
  <c r="UX22" i="20"/>
  <c r="UY22" i="20"/>
  <c r="UZ22" i="20"/>
  <c r="VA22" i="20"/>
  <c r="VB22" i="20"/>
  <c r="VC22" i="20"/>
  <c r="VD22" i="20"/>
  <c r="VE22" i="20"/>
  <c r="VF22" i="20"/>
  <c r="VG22" i="20"/>
  <c r="VH22" i="20"/>
  <c r="VI22" i="20"/>
  <c r="VJ22" i="20"/>
  <c r="VK22" i="20"/>
  <c r="VL22" i="20"/>
  <c r="VM22" i="20"/>
  <c r="VN22" i="20"/>
  <c r="VO22" i="20"/>
  <c r="VP22" i="20"/>
  <c r="VQ22" i="20"/>
  <c r="VR22" i="20"/>
  <c r="VS22" i="20"/>
  <c r="VT22" i="20"/>
  <c r="VU22" i="20"/>
  <c r="VV22" i="20"/>
  <c r="VW22" i="20"/>
  <c r="VX22" i="20"/>
  <c r="VY22" i="20"/>
  <c r="VZ22" i="20"/>
  <c r="WA22" i="20"/>
  <c r="WB22" i="20"/>
  <c r="WC22" i="20"/>
  <c r="WD22" i="20"/>
  <c r="WE22" i="20"/>
  <c r="WF22" i="20"/>
  <c r="WG22" i="20"/>
  <c r="WH22" i="20"/>
  <c r="WI22" i="20"/>
  <c r="WJ22" i="20"/>
  <c r="WK22" i="20"/>
  <c r="WL22" i="20"/>
  <c r="WM22" i="20"/>
  <c r="WN22" i="20"/>
  <c r="WO22" i="20"/>
  <c r="WP22" i="20"/>
  <c r="WQ22" i="20"/>
  <c r="WR22" i="20"/>
  <c r="WS22" i="20"/>
  <c r="WT22" i="20"/>
  <c r="WU22" i="20"/>
  <c r="WV22" i="20"/>
  <c r="WW22" i="20"/>
  <c r="WX22" i="20"/>
  <c r="WY22" i="20"/>
  <c r="WZ22" i="20"/>
  <c r="XA22" i="20"/>
  <c r="XB22" i="20"/>
  <c r="XC22" i="20"/>
  <c r="XD22" i="20"/>
  <c r="XE22" i="20"/>
  <c r="XF22" i="20"/>
  <c r="XG22" i="20"/>
  <c r="XH22" i="20"/>
  <c r="XI22" i="20"/>
  <c r="XJ22" i="20"/>
  <c r="XK22" i="20"/>
  <c r="XL22" i="20"/>
  <c r="XM22" i="20"/>
  <c r="XN22" i="20"/>
  <c r="XO22" i="20"/>
  <c r="XP22" i="20"/>
  <c r="XQ22" i="20"/>
  <c r="XR22" i="20"/>
  <c r="XS22" i="20"/>
  <c r="XT22" i="20"/>
  <c r="XU22" i="20"/>
  <c r="XV22" i="20"/>
  <c r="XW22" i="20"/>
  <c r="XX22" i="20"/>
  <c r="XY22" i="20"/>
  <c r="XZ22" i="20"/>
  <c r="YA22" i="20"/>
  <c r="YB22" i="20"/>
  <c r="YC22" i="20"/>
  <c r="YD22" i="20"/>
  <c r="YE22" i="20"/>
  <c r="YF22" i="20"/>
  <c r="YG22" i="20"/>
  <c r="YH22" i="20"/>
  <c r="YI22" i="20"/>
  <c r="YJ22" i="20"/>
  <c r="YK22" i="20"/>
  <c r="YL22" i="20"/>
  <c r="YM22" i="20"/>
  <c r="YN22" i="20"/>
  <c r="YO22" i="20"/>
  <c r="YP22" i="20"/>
  <c r="YQ22" i="20"/>
  <c r="YR22" i="20"/>
  <c r="YS22" i="20"/>
  <c r="YT22" i="20"/>
  <c r="YU22" i="20"/>
  <c r="YV22" i="20"/>
  <c r="YW22" i="20"/>
  <c r="YX22" i="20"/>
  <c r="YY22" i="20"/>
  <c r="YZ22" i="20"/>
  <c r="ZA22" i="20"/>
  <c r="ZB22" i="20"/>
  <c r="ZC22" i="20"/>
  <c r="ZD22" i="20"/>
  <c r="ZE22" i="20"/>
  <c r="ZF22" i="20"/>
  <c r="ZG22" i="20"/>
  <c r="ZH22" i="20"/>
  <c r="ZI22" i="20"/>
  <c r="ZJ22" i="20"/>
  <c r="ZK22" i="20"/>
  <c r="ZL22" i="20"/>
  <c r="ZM22" i="20"/>
  <c r="ZN22" i="20"/>
  <c r="ZO22" i="20"/>
  <c r="ZP22" i="20"/>
  <c r="ZQ22" i="20"/>
  <c r="ZR22" i="20"/>
  <c r="ZS22" i="20"/>
  <c r="ZT22" i="20"/>
  <c r="ZU22" i="20"/>
  <c r="ZV22" i="20"/>
  <c r="ZW22" i="20"/>
  <c r="ZX22" i="20"/>
  <c r="ZY22" i="20"/>
  <c r="ZZ22" i="20"/>
  <c r="AAA22" i="20"/>
  <c r="AAB22" i="20"/>
  <c r="AAC22" i="20"/>
  <c r="C23" i="20"/>
  <c r="D23" i="20"/>
  <c r="E23" i="20"/>
  <c r="F23" i="20"/>
  <c r="G23" i="20"/>
  <c r="H23" i="20"/>
  <c r="I23" i="20"/>
  <c r="J23" i="20"/>
  <c r="K23" i="20"/>
  <c r="L23" i="20"/>
  <c r="M23" i="20"/>
  <c r="N23" i="20"/>
  <c r="O23" i="20"/>
  <c r="P23" i="20"/>
  <c r="Q23" i="20"/>
  <c r="R23" i="20"/>
  <c r="S23" i="20"/>
  <c r="T23" i="20"/>
  <c r="U23" i="20"/>
  <c r="V23" i="20"/>
  <c r="W23" i="20"/>
  <c r="X23" i="20"/>
  <c r="Y23" i="20"/>
  <c r="Z23" i="20"/>
  <c r="AA23" i="20"/>
  <c r="AB23" i="20"/>
  <c r="AC23" i="20"/>
  <c r="AD23" i="20"/>
  <c r="AE23" i="20"/>
  <c r="AF23" i="20"/>
  <c r="AG23" i="20"/>
  <c r="AH23" i="20"/>
  <c r="AI23" i="20"/>
  <c r="AJ23" i="20"/>
  <c r="AK23" i="20"/>
  <c r="AL23" i="20"/>
  <c r="AM23" i="20"/>
  <c r="AN23" i="20"/>
  <c r="AO23" i="20"/>
  <c r="AP23" i="20"/>
  <c r="AQ23" i="20"/>
  <c r="AR23" i="20"/>
  <c r="AS23" i="20"/>
  <c r="AT23" i="20"/>
  <c r="AU23" i="20"/>
  <c r="AV23" i="20"/>
  <c r="AW23" i="20"/>
  <c r="AX23" i="20"/>
  <c r="AY23" i="20"/>
  <c r="AZ23" i="20"/>
  <c r="BA23" i="20"/>
  <c r="BB23" i="20"/>
  <c r="BC23" i="20"/>
  <c r="BD23" i="20"/>
  <c r="BE23" i="20"/>
  <c r="BF23" i="20"/>
  <c r="BG23" i="20"/>
  <c r="BH23" i="20"/>
  <c r="BI23" i="20"/>
  <c r="BJ23" i="20"/>
  <c r="BK23" i="20"/>
  <c r="BL23" i="20"/>
  <c r="BM23" i="20"/>
  <c r="BN23" i="20"/>
  <c r="BO23" i="20"/>
  <c r="BP23" i="20"/>
  <c r="BQ23" i="20"/>
  <c r="BR23" i="20"/>
  <c r="BS23" i="20"/>
  <c r="BT23" i="20"/>
  <c r="BU23" i="20"/>
  <c r="BV23" i="20"/>
  <c r="BW23" i="20"/>
  <c r="BX23" i="20"/>
  <c r="BY23" i="20"/>
  <c r="BZ23" i="20"/>
  <c r="CA23" i="20"/>
  <c r="CB23" i="20"/>
  <c r="CC23" i="20"/>
  <c r="CD23" i="20"/>
  <c r="CE23" i="20"/>
  <c r="CF23" i="20"/>
  <c r="CG23" i="20"/>
  <c r="CH23" i="20"/>
  <c r="CI23" i="20"/>
  <c r="CJ23" i="20"/>
  <c r="CK23" i="20"/>
  <c r="CL23" i="20"/>
  <c r="CM23" i="20"/>
  <c r="CN23" i="20"/>
  <c r="CO23" i="20"/>
  <c r="CP23" i="20"/>
  <c r="CQ23" i="20"/>
  <c r="CR23" i="20"/>
  <c r="CS23" i="20"/>
  <c r="CT23" i="20"/>
  <c r="CU23" i="20"/>
  <c r="CV23" i="20"/>
  <c r="CW23" i="20"/>
  <c r="CX23" i="20"/>
  <c r="CY23" i="20"/>
  <c r="CZ23" i="20"/>
  <c r="DA23" i="20"/>
  <c r="DB23" i="20"/>
  <c r="DC23" i="20"/>
  <c r="DD23" i="20"/>
  <c r="DE23" i="20"/>
  <c r="DF23" i="20"/>
  <c r="DG23" i="20"/>
  <c r="DH23" i="20"/>
  <c r="DI23" i="20"/>
  <c r="DJ23" i="20"/>
  <c r="DK23" i="20"/>
  <c r="DL23" i="20"/>
  <c r="DM23" i="20"/>
  <c r="DN23" i="20"/>
  <c r="DO23" i="20"/>
  <c r="DP23" i="20"/>
  <c r="DQ23" i="20"/>
  <c r="DR23" i="20"/>
  <c r="DS23" i="20"/>
  <c r="DT23" i="20"/>
  <c r="DU23" i="20"/>
  <c r="DV23" i="20"/>
  <c r="DW23" i="20"/>
  <c r="DX23" i="20"/>
  <c r="DY23" i="20"/>
  <c r="DZ23" i="20"/>
  <c r="EA23" i="20"/>
  <c r="EB23" i="20"/>
  <c r="EC23" i="20"/>
  <c r="ED23" i="20"/>
  <c r="EE23" i="20"/>
  <c r="EF23" i="20"/>
  <c r="EG23" i="20"/>
  <c r="EH23" i="20"/>
  <c r="EI23" i="20"/>
  <c r="EJ23" i="20"/>
  <c r="EK23" i="20"/>
  <c r="EL23" i="20"/>
  <c r="EM23" i="20"/>
  <c r="EN23" i="20"/>
  <c r="EO23" i="20"/>
  <c r="EP23" i="20"/>
  <c r="EQ23" i="20"/>
  <c r="ER23" i="20"/>
  <c r="ES23" i="20"/>
  <c r="ET23" i="20"/>
  <c r="EU23" i="20"/>
  <c r="EV23" i="20"/>
  <c r="EW23" i="20"/>
  <c r="EX23" i="20"/>
  <c r="EY23" i="20"/>
  <c r="EZ23" i="20"/>
  <c r="FA23" i="20"/>
  <c r="FB23" i="20"/>
  <c r="FC23" i="20"/>
  <c r="FD23" i="20"/>
  <c r="FE23" i="20"/>
  <c r="FF23" i="20"/>
  <c r="FG23" i="20"/>
  <c r="FH23" i="20"/>
  <c r="FI23" i="20"/>
  <c r="FJ23" i="20"/>
  <c r="FK23" i="20"/>
  <c r="FL23" i="20"/>
  <c r="FM23" i="20"/>
  <c r="FN23" i="20"/>
  <c r="FO23" i="20"/>
  <c r="FP23" i="20"/>
  <c r="FQ23" i="20"/>
  <c r="FR23" i="20"/>
  <c r="FS23" i="20"/>
  <c r="FT23" i="20"/>
  <c r="FU23" i="20"/>
  <c r="FV23" i="20"/>
  <c r="FW23" i="20"/>
  <c r="FX23" i="20"/>
  <c r="FY23" i="20"/>
  <c r="FZ23" i="20"/>
  <c r="GA23" i="20"/>
  <c r="GB23" i="20"/>
  <c r="GC23" i="20"/>
  <c r="GD23" i="20"/>
  <c r="GE23" i="20"/>
  <c r="GF23" i="20"/>
  <c r="GG23" i="20"/>
  <c r="GH23" i="20"/>
  <c r="GI23" i="20"/>
  <c r="GJ23" i="20"/>
  <c r="GK23" i="20"/>
  <c r="GL23" i="20"/>
  <c r="GM23" i="20"/>
  <c r="GN23" i="20"/>
  <c r="GO23" i="20"/>
  <c r="GP23" i="20"/>
  <c r="GQ23" i="20"/>
  <c r="GR23" i="20"/>
  <c r="GS23" i="20"/>
  <c r="GT23" i="20"/>
  <c r="GU23" i="20"/>
  <c r="GV23" i="20"/>
  <c r="GW23" i="20"/>
  <c r="GX23" i="20"/>
  <c r="GY23" i="20"/>
  <c r="GZ23" i="20"/>
  <c r="HA23" i="20"/>
  <c r="HB23" i="20"/>
  <c r="HC23" i="20"/>
  <c r="HD23" i="20"/>
  <c r="HE23" i="20"/>
  <c r="HF23" i="20"/>
  <c r="HG23" i="20"/>
  <c r="HH23" i="20"/>
  <c r="HI23" i="20"/>
  <c r="HJ23" i="20"/>
  <c r="HK23" i="20"/>
  <c r="HL23" i="20"/>
  <c r="HM23" i="20"/>
  <c r="HN23" i="20"/>
  <c r="HO23" i="20"/>
  <c r="HP23" i="20"/>
  <c r="HQ23" i="20"/>
  <c r="HR23" i="20"/>
  <c r="HS23" i="20"/>
  <c r="HT23" i="20"/>
  <c r="HU23" i="20"/>
  <c r="HV23" i="20"/>
  <c r="HW23" i="20"/>
  <c r="HX23" i="20"/>
  <c r="HY23" i="20"/>
  <c r="HZ23" i="20"/>
  <c r="IA23" i="20"/>
  <c r="IB23" i="20"/>
  <c r="IC23" i="20"/>
  <c r="ID23" i="20"/>
  <c r="IE23" i="20"/>
  <c r="IF23" i="20"/>
  <c r="IG23" i="20"/>
  <c r="IH23" i="20"/>
  <c r="II23" i="20"/>
  <c r="IJ23" i="20"/>
  <c r="IK23" i="20"/>
  <c r="IL23" i="20"/>
  <c r="IM23" i="20"/>
  <c r="IN23" i="20"/>
  <c r="IO23" i="20"/>
  <c r="IP23" i="20"/>
  <c r="IQ23" i="20"/>
  <c r="IR23" i="20"/>
  <c r="IS23" i="20"/>
  <c r="IT23" i="20"/>
  <c r="IU23" i="20"/>
  <c r="IV23" i="20"/>
  <c r="IW23" i="20"/>
  <c r="IX23" i="20"/>
  <c r="IY23" i="20"/>
  <c r="IZ23" i="20"/>
  <c r="JA23" i="20"/>
  <c r="JB23" i="20"/>
  <c r="JC23" i="20"/>
  <c r="JD23" i="20"/>
  <c r="JE23" i="20"/>
  <c r="JF23" i="20"/>
  <c r="JG23" i="20"/>
  <c r="JH23" i="20"/>
  <c r="JI23" i="20"/>
  <c r="JJ23" i="20"/>
  <c r="JK23" i="20"/>
  <c r="JL23" i="20"/>
  <c r="JM23" i="20"/>
  <c r="JN23" i="20"/>
  <c r="JO23" i="20"/>
  <c r="JP23" i="20"/>
  <c r="JQ23" i="20"/>
  <c r="JR23" i="20"/>
  <c r="JS23" i="20"/>
  <c r="JT23" i="20"/>
  <c r="JU23" i="20"/>
  <c r="JV23" i="20"/>
  <c r="JW23" i="20"/>
  <c r="JX23" i="20"/>
  <c r="JY23" i="20"/>
  <c r="JZ23" i="20"/>
  <c r="KA23" i="20"/>
  <c r="KB23" i="20"/>
  <c r="KC23" i="20"/>
  <c r="KD23" i="20"/>
  <c r="KE23" i="20"/>
  <c r="KF23" i="20"/>
  <c r="KG23" i="20"/>
  <c r="KH23" i="20"/>
  <c r="KI23" i="20"/>
  <c r="KJ23" i="20"/>
  <c r="KK23" i="20"/>
  <c r="KL23" i="20"/>
  <c r="KM23" i="20"/>
  <c r="KN23" i="20"/>
  <c r="KO23" i="20"/>
  <c r="KP23" i="20"/>
  <c r="KQ23" i="20"/>
  <c r="KR23" i="20"/>
  <c r="KS23" i="20"/>
  <c r="KT23" i="20"/>
  <c r="KU23" i="20"/>
  <c r="KV23" i="20"/>
  <c r="KW23" i="20"/>
  <c r="KX23" i="20"/>
  <c r="KY23" i="20"/>
  <c r="KZ23" i="20"/>
  <c r="LA23" i="20"/>
  <c r="LB23" i="20"/>
  <c r="LC23" i="20"/>
  <c r="LD23" i="20"/>
  <c r="LE23" i="20"/>
  <c r="LF23" i="20"/>
  <c r="LG23" i="20"/>
  <c r="LH23" i="20"/>
  <c r="LI23" i="20"/>
  <c r="LJ23" i="20"/>
  <c r="LK23" i="20"/>
  <c r="LL23" i="20"/>
  <c r="LM23" i="20"/>
  <c r="LN23" i="20"/>
  <c r="LO23" i="20"/>
  <c r="LP23" i="20"/>
  <c r="LQ23" i="20"/>
  <c r="LR23" i="20"/>
  <c r="LS23" i="20"/>
  <c r="LT23" i="20"/>
  <c r="LU23" i="20"/>
  <c r="LV23" i="20"/>
  <c r="LW23" i="20"/>
  <c r="LX23" i="20"/>
  <c r="LY23" i="20"/>
  <c r="LZ23" i="20"/>
  <c r="MA23" i="20"/>
  <c r="MB23" i="20"/>
  <c r="MC23" i="20"/>
  <c r="MD23" i="20"/>
  <c r="ME23" i="20"/>
  <c r="MF23" i="20"/>
  <c r="MG23" i="20"/>
  <c r="MH23" i="20"/>
  <c r="MI23" i="20"/>
  <c r="MJ23" i="20"/>
  <c r="MK23" i="20"/>
  <c r="ML23" i="20"/>
  <c r="MM23" i="20"/>
  <c r="MN23" i="20"/>
  <c r="MO23" i="20"/>
  <c r="MP23" i="20"/>
  <c r="MQ23" i="20"/>
  <c r="MR23" i="20"/>
  <c r="MS23" i="20"/>
  <c r="MT23" i="20"/>
  <c r="MU23" i="20"/>
  <c r="MV23" i="20"/>
  <c r="MW23" i="20"/>
  <c r="MX23" i="20"/>
  <c r="MY23" i="20"/>
  <c r="MZ23" i="20"/>
  <c r="NA23" i="20"/>
  <c r="NB23" i="20"/>
  <c r="NC23" i="20"/>
  <c r="ND23" i="20"/>
  <c r="NE23" i="20"/>
  <c r="NF23" i="20"/>
  <c r="NG23" i="20"/>
  <c r="NH23" i="20"/>
  <c r="NI23" i="20"/>
  <c r="NJ23" i="20"/>
  <c r="NK23" i="20"/>
  <c r="NL23" i="20"/>
  <c r="NM23" i="20"/>
  <c r="NN23" i="20"/>
  <c r="NO23" i="20"/>
  <c r="NP23" i="20"/>
  <c r="NQ23" i="20"/>
  <c r="NR23" i="20"/>
  <c r="NS23" i="20"/>
  <c r="NT23" i="20"/>
  <c r="NU23" i="20"/>
  <c r="NV23" i="20"/>
  <c r="NW23" i="20"/>
  <c r="NX23" i="20"/>
  <c r="NY23" i="20"/>
  <c r="NZ23" i="20"/>
  <c r="OA23" i="20"/>
  <c r="OB23" i="20"/>
  <c r="OC23" i="20"/>
  <c r="OD23" i="20"/>
  <c r="OE23" i="20"/>
  <c r="OF23" i="20"/>
  <c r="OG23" i="20"/>
  <c r="OH23" i="20"/>
  <c r="OI23" i="20"/>
  <c r="OJ23" i="20"/>
  <c r="OK23" i="20"/>
  <c r="OL23" i="20"/>
  <c r="OM23" i="20"/>
  <c r="ON23" i="20"/>
  <c r="OO23" i="20"/>
  <c r="OP23" i="20"/>
  <c r="OQ23" i="20"/>
  <c r="OR23" i="20"/>
  <c r="OS23" i="20"/>
  <c r="OT23" i="20"/>
  <c r="OU23" i="20"/>
  <c r="OV23" i="20"/>
  <c r="OW23" i="20"/>
  <c r="OX23" i="20"/>
  <c r="OY23" i="20"/>
  <c r="OZ23" i="20"/>
  <c r="PA23" i="20"/>
  <c r="PB23" i="20"/>
  <c r="PC23" i="20"/>
  <c r="PD23" i="20"/>
  <c r="PE23" i="20"/>
  <c r="PF23" i="20"/>
  <c r="PG23" i="20"/>
  <c r="PH23" i="20"/>
  <c r="PI23" i="20"/>
  <c r="PJ23" i="20"/>
  <c r="PK23" i="20"/>
  <c r="PL23" i="20"/>
  <c r="PM23" i="20"/>
  <c r="PN23" i="20"/>
  <c r="PO23" i="20"/>
  <c r="PP23" i="20"/>
  <c r="PQ23" i="20"/>
  <c r="PR23" i="20"/>
  <c r="PS23" i="20"/>
  <c r="PT23" i="20"/>
  <c r="PU23" i="20"/>
  <c r="PV23" i="20"/>
  <c r="PW23" i="20"/>
  <c r="PX23" i="20"/>
  <c r="PY23" i="20"/>
  <c r="PZ23" i="20"/>
  <c r="QA23" i="20"/>
  <c r="QB23" i="20"/>
  <c r="QC23" i="20"/>
  <c r="QD23" i="20"/>
  <c r="QE23" i="20"/>
  <c r="QF23" i="20"/>
  <c r="QG23" i="20"/>
  <c r="QH23" i="20"/>
  <c r="QI23" i="20"/>
  <c r="QJ23" i="20"/>
  <c r="QK23" i="20"/>
  <c r="QL23" i="20"/>
  <c r="QM23" i="20"/>
  <c r="QN23" i="20"/>
  <c r="QO23" i="20"/>
  <c r="QP23" i="20"/>
  <c r="QQ23" i="20"/>
  <c r="QR23" i="20"/>
  <c r="QS23" i="20"/>
  <c r="QT23" i="20"/>
  <c r="QU23" i="20"/>
  <c r="QV23" i="20"/>
  <c r="QW23" i="20"/>
  <c r="QX23" i="20"/>
  <c r="QY23" i="20"/>
  <c r="QZ23" i="20"/>
  <c r="RA23" i="20"/>
  <c r="RB23" i="20"/>
  <c r="RC23" i="20"/>
  <c r="RD23" i="20"/>
  <c r="RE23" i="20"/>
  <c r="RF23" i="20"/>
  <c r="RG23" i="20"/>
  <c r="RH23" i="20"/>
  <c r="RI23" i="20"/>
  <c r="RJ23" i="20"/>
  <c r="RK23" i="20"/>
  <c r="RL23" i="20"/>
  <c r="RM23" i="20"/>
  <c r="RN23" i="20"/>
  <c r="RO23" i="20"/>
  <c r="RP23" i="20"/>
  <c r="RQ23" i="20"/>
  <c r="RR23" i="20"/>
  <c r="RS23" i="20"/>
  <c r="RT23" i="20"/>
  <c r="RU23" i="20"/>
  <c r="RV23" i="20"/>
  <c r="RW23" i="20"/>
  <c r="RX23" i="20"/>
  <c r="RY23" i="20"/>
  <c r="RZ23" i="20"/>
  <c r="SA23" i="20"/>
  <c r="SB23" i="20"/>
  <c r="SC23" i="20"/>
  <c r="SD23" i="20"/>
  <c r="SE23" i="20"/>
  <c r="SF23" i="20"/>
  <c r="SG23" i="20"/>
  <c r="SH23" i="20"/>
  <c r="SI23" i="20"/>
  <c r="SJ23" i="20"/>
  <c r="SK23" i="20"/>
  <c r="SL23" i="20"/>
  <c r="SM23" i="20"/>
  <c r="SN23" i="20"/>
  <c r="SO23" i="20"/>
  <c r="SP23" i="20"/>
  <c r="SQ23" i="20"/>
  <c r="SR23" i="20"/>
  <c r="SS23" i="20"/>
  <c r="ST23" i="20"/>
  <c r="SU23" i="20"/>
  <c r="SV23" i="20"/>
  <c r="SW23" i="20"/>
  <c r="SX23" i="20"/>
  <c r="SY23" i="20"/>
  <c r="SZ23" i="20"/>
  <c r="TA23" i="20"/>
  <c r="TB23" i="20"/>
  <c r="TC23" i="20"/>
  <c r="TD23" i="20"/>
  <c r="TE23" i="20"/>
  <c r="TF23" i="20"/>
  <c r="TG23" i="20"/>
  <c r="TH23" i="20"/>
  <c r="TI23" i="20"/>
  <c r="TJ23" i="20"/>
  <c r="TK23" i="20"/>
  <c r="TL23" i="20"/>
  <c r="TM23" i="20"/>
  <c r="TN23" i="20"/>
  <c r="TO23" i="20"/>
  <c r="TP23" i="20"/>
  <c r="TQ23" i="20"/>
  <c r="TR23" i="20"/>
  <c r="TS23" i="20"/>
  <c r="TT23" i="20"/>
  <c r="TU23" i="20"/>
  <c r="TV23" i="20"/>
  <c r="TW23" i="20"/>
  <c r="TX23" i="20"/>
  <c r="TY23" i="20"/>
  <c r="TZ23" i="20"/>
  <c r="UA23" i="20"/>
  <c r="UB23" i="20"/>
  <c r="UC23" i="20"/>
  <c r="UD23" i="20"/>
  <c r="UE23" i="20"/>
  <c r="UF23" i="20"/>
  <c r="UG23" i="20"/>
  <c r="UH23" i="20"/>
  <c r="UI23" i="20"/>
  <c r="UJ23" i="20"/>
  <c r="UK23" i="20"/>
  <c r="UL23" i="20"/>
  <c r="UM23" i="20"/>
  <c r="UN23" i="20"/>
  <c r="UO23" i="20"/>
  <c r="UP23" i="20"/>
  <c r="UQ23" i="20"/>
  <c r="UR23" i="20"/>
  <c r="US23" i="20"/>
  <c r="UT23" i="20"/>
  <c r="UU23" i="20"/>
  <c r="UV23" i="20"/>
  <c r="UW23" i="20"/>
  <c r="UX23" i="20"/>
  <c r="UY23" i="20"/>
  <c r="UZ23" i="20"/>
  <c r="VA23" i="20"/>
  <c r="VB23" i="20"/>
  <c r="VC23" i="20"/>
  <c r="VD23" i="20"/>
  <c r="VE23" i="20"/>
  <c r="VF23" i="20"/>
  <c r="VG23" i="20"/>
  <c r="VH23" i="20"/>
  <c r="VI23" i="20"/>
  <c r="VJ23" i="20"/>
  <c r="VK23" i="20"/>
  <c r="VL23" i="20"/>
  <c r="VM23" i="20"/>
  <c r="VN23" i="20"/>
  <c r="VO23" i="20"/>
  <c r="VP23" i="20"/>
  <c r="VQ23" i="20"/>
  <c r="VR23" i="20"/>
  <c r="VS23" i="20"/>
  <c r="VT23" i="20"/>
  <c r="VU23" i="20"/>
  <c r="VV23" i="20"/>
  <c r="VW23" i="20"/>
  <c r="VX23" i="20"/>
  <c r="VY23" i="20"/>
  <c r="VZ23" i="20"/>
  <c r="WA23" i="20"/>
  <c r="WB23" i="20"/>
  <c r="WC23" i="20"/>
  <c r="WD23" i="20"/>
  <c r="WE23" i="20"/>
  <c r="WF23" i="20"/>
  <c r="WG23" i="20"/>
  <c r="WH23" i="20"/>
  <c r="WI23" i="20"/>
  <c r="WJ23" i="20"/>
  <c r="WK23" i="20"/>
  <c r="WL23" i="20"/>
  <c r="WM23" i="20"/>
  <c r="WN23" i="20"/>
  <c r="WO23" i="20"/>
  <c r="WP23" i="20"/>
  <c r="WQ23" i="20"/>
  <c r="WR23" i="20"/>
  <c r="WS23" i="20"/>
  <c r="WT23" i="20"/>
  <c r="WU23" i="20"/>
  <c r="WV23" i="20"/>
  <c r="WW23" i="20"/>
  <c r="WX23" i="20"/>
  <c r="WY23" i="20"/>
  <c r="WZ23" i="20"/>
  <c r="XA23" i="20"/>
  <c r="XB23" i="20"/>
  <c r="XC23" i="20"/>
  <c r="XD23" i="20"/>
  <c r="XE23" i="20"/>
  <c r="XF23" i="20"/>
  <c r="XG23" i="20"/>
  <c r="XH23" i="20"/>
  <c r="XI23" i="20"/>
  <c r="XJ23" i="20"/>
  <c r="XK23" i="20"/>
  <c r="XL23" i="20"/>
  <c r="XM23" i="20"/>
  <c r="XN23" i="20"/>
  <c r="XO23" i="20"/>
  <c r="XP23" i="20"/>
  <c r="XQ23" i="20"/>
  <c r="XR23" i="20"/>
  <c r="XS23" i="20"/>
  <c r="XT23" i="20"/>
  <c r="XU23" i="20"/>
  <c r="XV23" i="20"/>
  <c r="XW23" i="20"/>
  <c r="XX23" i="20"/>
  <c r="XY23" i="20"/>
  <c r="XZ23" i="20"/>
  <c r="YA23" i="20"/>
  <c r="YB23" i="20"/>
  <c r="YC23" i="20"/>
  <c r="YD23" i="20"/>
  <c r="YE23" i="20"/>
  <c r="YF23" i="20"/>
  <c r="YG23" i="20"/>
  <c r="YH23" i="20"/>
  <c r="YI23" i="20"/>
  <c r="YJ23" i="20"/>
  <c r="YK23" i="20"/>
  <c r="YL23" i="20"/>
  <c r="YM23" i="20"/>
  <c r="YN23" i="20"/>
  <c r="YO23" i="20"/>
  <c r="YP23" i="20"/>
  <c r="YQ23" i="20"/>
  <c r="YR23" i="20"/>
  <c r="YS23" i="20"/>
  <c r="YT23" i="20"/>
  <c r="YU23" i="20"/>
  <c r="YV23" i="20"/>
  <c r="YW23" i="20"/>
  <c r="YX23" i="20"/>
  <c r="YY23" i="20"/>
  <c r="YZ23" i="20"/>
  <c r="ZA23" i="20"/>
  <c r="ZB23" i="20"/>
  <c r="ZC23" i="20"/>
  <c r="ZD23" i="20"/>
  <c r="ZE23" i="20"/>
  <c r="ZF23" i="20"/>
  <c r="ZG23" i="20"/>
  <c r="ZH23" i="20"/>
  <c r="ZI23" i="20"/>
  <c r="ZJ23" i="20"/>
  <c r="ZK23" i="20"/>
  <c r="ZL23" i="20"/>
  <c r="ZM23" i="20"/>
  <c r="ZN23" i="20"/>
  <c r="ZO23" i="20"/>
  <c r="ZP23" i="20"/>
  <c r="ZQ23" i="20"/>
  <c r="ZR23" i="20"/>
  <c r="ZS23" i="20"/>
  <c r="ZT23" i="20"/>
  <c r="ZU23" i="20"/>
  <c r="ZV23" i="20"/>
  <c r="ZW23" i="20"/>
  <c r="ZX23" i="20"/>
  <c r="ZY23" i="20"/>
  <c r="ZZ23" i="20"/>
  <c r="AAA23" i="20"/>
  <c r="AAB23" i="20"/>
  <c r="AAC23" i="20"/>
  <c r="C24" i="20"/>
  <c r="D24" i="20"/>
  <c r="E24" i="20"/>
  <c r="F24" i="20"/>
  <c r="G24" i="20"/>
  <c r="H24" i="20"/>
  <c r="I24" i="20"/>
  <c r="J24" i="20"/>
  <c r="K24" i="20"/>
  <c r="L24" i="20"/>
  <c r="M24" i="20"/>
  <c r="N24" i="20"/>
  <c r="O24" i="20"/>
  <c r="P24" i="20"/>
  <c r="Q24" i="20"/>
  <c r="R24" i="20"/>
  <c r="S24" i="20"/>
  <c r="T24" i="20"/>
  <c r="U24" i="20"/>
  <c r="V24" i="20"/>
  <c r="W24" i="20"/>
  <c r="X24" i="20"/>
  <c r="Y24" i="20"/>
  <c r="Z24" i="20"/>
  <c r="AA24" i="20"/>
  <c r="AB24" i="20"/>
  <c r="AC24" i="20"/>
  <c r="AD24" i="20"/>
  <c r="AE24" i="20"/>
  <c r="AF24" i="20"/>
  <c r="AG24" i="20"/>
  <c r="AH24" i="20"/>
  <c r="AI24" i="20"/>
  <c r="AJ24" i="20"/>
  <c r="AK24" i="20"/>
  <c r="AL24" i="20"/>
  <c r="AM24" i="20"/>
  <c r="AN24" i="20"/>
  <c r="AO24" i="20"/>
  <c r="AP24" i="20"/>
  <c r="AQ24" i="20"/>
  <c r="AR24" i="20"/>
  <c r="AS24" i="20"/>
  <c r="AT24" i="20"/>
  <c r="AU24" i="20"/>
  <c r="AV24" i="20"/>
  <c r="AW24" i="20"/>
  <c r="AX24" i="20"/>
  <c r="AY24" i="20"/>
  <c r="AZ24" i="20"/>
  <c r="BA24" i="20"/>
  <c r="BB24" i="20"/>
  <c r="BC24" i="20"/>
  <c r="BD24" i="20"/>
  <c r="BE24" i="20"/>
  <c r="BF24" i="20"/>
  <c r="BG24" i="20"/>
  <c r="BH24" i="20"/>
  <c r="BI24" i="20"/>
  <c r="BJ24" i="20"/>
  <c r="BK24" i="20"/>
  <c r="BL24" i="20"/>
  <c r="BM24" i="20"/>
  <c r="BN24" i="20"/>
  <c r="BO24" i="20"/>
  <c r="BP24" i="20"/>
  <c r="BQ24" i="20"/>
  <c r="BR24" i="20"/>
  <c r="BS24" i="20"/>
  <c r="BT24" i="20"/>
  <c r="BU24" i="20"/>
  <c r="BV24" i="20"/>
  <c r="BW24" i="20"/>
  <c r="BX24" i="20"/>
  <c r="BY24" i="20"/>
  <c r="BZ24" i="20"/>
  <c r="CA24" i="20"/>
  <c r="CB24" i="20"/>
  <c r="CC24" i="20"/>
  <c r="CD24" i="20"/>
  <c r="CE24" i="20"/>
  <c r="CF24" i="20"/>
  <c r="CG24" i="20"/>
  <c r="CH24" i="20"/>
  <c r="CI24" i="20"/>
  <c r="CJ24" i="20"/>
  <c r="CK24" i="20"/>
  <c r="CL24" i="20"/>
  <c r="CM24" i="20"/>
  <c r="CN24" i="20"/>
  <c r="CO24" i="20"/>
  <c r="CP24" i="20"/>
  <c r="CQ24" i="20"/>
  <c r="CR24" i="20"/>
  <c r="CS24" i="20"/>
  <c r="CT24" i="20"/>
  <c r="CU24" i="20"/>
  <c r="CV24" i="20"/>
  <c r="CW24" i="20"/>
  <c r="CX24" i="20"/>
  <c r="CY24" i="20"/>
  <c r="CZ24" i="20"/>
  <c r="DA24" i="20"/>
  <c r="DB24" i="20"/>
  <c r="DC24" i="20"/>
  <c r="DD24" i="20"/>
  <c r="DE24" i="20"/>
  <c r="DF24" i="20"/>
  <c r="DG24" i="20"/>
  <c r="DH24" i="20"/>
  <c r="DI24" i="20"/>
  <c r="DJ24" i="20"/>
  <c r="DK24" i="20"/>
  <c r="DL24" i="20"/>
  <c r="DM24" i="20"/>
  <c r="DN24" i="20"/>
  <c r="DO24" i="20"/>
  <c r="DP24" i="20"/>
  <c r="DQ24" i="20"/>
  <c r="DR24" i="20"/>
  <c r="DS24" i="20"/>
  <c r="DT24" i="20"/>
  <c r="DU24" i="20"/>
  <c r="DV24" i="20"/>
  <c r="DW24" i="20"/>
  <c r="DX24" i="20"/>
  <c r="DY24" i="20"/>
  <c r="DZ24" i="20"/>
  <c r="EA24" i="20"/>
  <c r="EB24" i="20"/>
  <c r="EC24" i="20"/>
  <c r="ED24" i="20"/>
  <c r="EE24" i="20"/>
  <c r="EF24" i="20"/>
  <c r="EG24" i="20"/>
  <c r="EH24" i="20"/>
  <c r="EI24" i="20"/>
  <c r="EJ24" i="20"/>
  <c r="EK24" i="20"/>
  <c r="EL24" i="20"/>
  <c r="EM24" i="20"/>
  <c r="EN24" i="20"/>
  <c r="EO24" i="20"/>
  <c r="EP24" i="20"/>
  <c r="EQ24" i="20"/>
  <c r="ER24" i="20"/>
  <c r="ES24" i="20"/>
  <c r="ET24" i="20"/>
  <c r="EU24" i="20"/>
  <c r="EV24" i="20"/>
  <c r="EW24" i="20"/>
  <c r="EX24" i="20"/>
  <c r="EY24" i="20"/>
  <c r="EZ24" i="20"/>
  <c r="FA24" i="20"/>
  <c r="FB24" i="20"/>
  <c r="FC24" i="20"/>
  <c r="FD24" i="20"/>
  <c r="FE24" i="20"/>
  <c r="FF24" i="20"/>
  <c r="FG24" i="20"/>
  <c r="FH24" i="20"/>
  <c r="FI24" i="20"/>
  <c r="FJ24" i="20"/>
  <c r="FK24" i="20"/>
  <c r="FL24" i="20"/>
  <c r="FM24" i="20"/>
  <c r="FN24" i="20"/>
  <c r="FO24" i="20"/>
  <c r="FP24" i="20"/>
  <c r="FQ24" i="20"/>
  <c r="FR24" i="20"/>
  <c r="FS24" i="20"/>
  <c r="FT24" i="20"/>
  <c r="FU24" i="20"/>
  <c r="FV24" i="20"/>
  <c r="FW24" i="20"/>
  <c r="FX24" i="20"/>
  <c r="FY24" i="20"/>
  <c r="FZ24" i="20"/>
  <c r="GA24" i="20"/>
  <c r="GB24" i="20"/>
  <c r="GC24" i="20"/>
  <c r="GD24" i="20"/>
  <c r="GE24" i="20"/>
  <c r="GF24" i="20"/>
  <c r="GG24" i="20"/>
  <c r="GH24" i="20"/>
  <c r="GI24" i="20"/>
  <c r="GJ24" i="20"/>
  <c r="GK24" i="20"/>
  <c r="GL24" i="20"/>
  <c r="GM24" i="20"/>
  <c r="GN24" i="20"/>
  <c r="GO24" i="20"/>
  <c r="GP24" i="20"/>
  <c r="GQ24" i="20"/>
  <c r="GR24" i="20"/>
  <c r="GS24" i="20"/>
  <c r="GT24" i="20"/>
  <c r="GU24" i="20"/>
  <c r="GV24" i="20"/>
  <c r="GW24" i="20"/>
  <c r="GX24" i="20"/>
  <c r="GY24" i="20"/>
  <c r="GZ24" i="20"/>
  <c r="HA24" i="20"/>
  <c r="HB24" i="20"/>
  <c r="HC24" i="20"/>
  <c r="HD24" i="20"/>
  <c r="HE24" i="20"/>
  <c r="HF24" i="20"/>
  <c r="HG24" i="20"/>
  <c r="HH24" i="20"/>
  <c r="HI24" i="20"/>
  <c r="HJ24" i="20"/>
  <c r="HK24" i="20"/>
  <c r="HL24" i="20"/>
  <c r="HM24" i="20"/>
  <c r="HN24" i="20"/>
  <c r="HO24" i="20"/>
  <c r="HP24" i="20"/>
  <c r="HQ24" i="20"/>
  <c r="HR24" i="20"/>
  <c r="HS24" i="20"/>
  <c r="HT24" i="20"/>
  <c r="HU24" i="20"/>
  <c r="HV24" i="20"/>
  <c r="HW24" i="20"/>
  <c r="HX24" i="20"/>
  <c r="HY24" i="20"/>
  <c r="HZ24" i="20"/>
  <c r="IA24" i="20"/>
  <c r="IB24" i="20"/>
  <c r="IC24" i="20"/>
  <c r="ID24" i="20"/>
  <c r="IE24" i="20"/>
  <c r="IF24" i="20"/>
  <c r="IG24" i="20"/>
  <c r="IH24" i="20"/>
  <c r="II24" i="20"/>
  <c r="IJ24" i="20"/>
  <c r="IK24" i="20"/>
  <c r="IL24" i="20"/>
  <c r="IM24" i="20"/>
  <c r="IN24" i="20"/>
  <c r="IO24" i="20"/>
  <c r="IP24" i="20"/>
  <c r="IQ24" i="20"/>
  <c r="IR24" i="20"/>
  <c r="IS24" i="20"/>
  <c r="IT24" i="20"/>
  <c r="IU24" i="20"/>
  <c r="IV24" i="20"/>
  <c r="IW24" i="20"/>
  <c r="IX24" i="20"/>
  <c r="IY24" i="20"/>
  <c r="IZ24" i="20"/>
  <c r="JA24" i="20"/>
  <c r="JB24" i="20"/>
  <c r="JC24" i="20"/>
  <c r="JD24" i="20"/>
  <c r="JE24" i="20"/>
  <c r="JF24" i="20"/>
  <c r="JG24" i="20"/>
  <c r="JH24" i="20"/>
  <c r="JI24" i="20"/>
  <c r="JJ24" i="20"/>
  <c r="JK24" i="20"/>
  <c r="JL24" i="20"/>
  <c r="JM24" i="20"/>
  <c r="JN24" i="20"/>
  <c r="JO24" i="20"/>
  <c r="JP24" i="20"/>
  <c r="JQ24" i="20"/>
  <c r="JR24" i="20"/>
  <c r="JS24" i="20"/>
  <c r="JT24" i="20"/>
  <c r="JU24" i="20"/>
  <c r="JV24" i="20"/>
  <c r="JW24" i="20"/>
  <c r="JX24" i="20"/>
  <c r="JY24" i="20"/>
  <c r="JZ24" i="20"/>
  <c r="KA24" i="20"/>
  <c r="KB24" i="20"/>
  <c r="KC24" i="20"/>
  <c r="KD24" i="20"/>
  <c r="KE24" i="20"/>
  <c r="KF24" i="20"/>
  <c r="KG24" i="20"/>
  <c r="KH24" i="20"/>
  <c r="KI24" i="20"/>
  <c r="KJ24" i="20"/>
  <c r="KK24" i="20"/>
  <c r="KL24" i="20"/>
  <c r="KM24" i="20"/>
  <c r="KN24" i="20"/>
  <c r="KO24" i="20"/>
  <c r="KP24" i="20"/>
  <c r="KQ24" i="20"/>
  <c r="KR24" i="20"/>
  <c r="KS24" i="20"/>
  <c r="KT24" i="20"/>
  <c r="KU24" i="20"/>
  <c r="KV24" i="20"/>
  <c r="KW24" i="20"/>
  <c r="KX24" i="20"/>
  <c r="KY24" i="20"/>
  <c r="KZ24" i="20"/>
  <c r="LA24" i="20"/>
  <c r="LB24" i="20"/>
  <c r="LC24" i="20"/>
  <c r="LD24" i="20"/>
  <c r="LE24" i="20"/>
  <c r="LF24" i="20"/>
  <c r="LG24" i="20"/>
  <c r="LH24" i="20"/>
  <c r="LI24" i="20"/>
  <c r="LJ24" i="20"/>
  <c r="LK24" i="20"/>
  <c r="LL24" i="20"/>
  <c r="LM24" i="20"/>
  <c r="LN24" i="20"/>
  <c r="LO24" i="20"/>
  <c r="LP24" i="20"/>
  <c r="LQ24" i="20"/>
  <c r="LR24" i="20"/>
  <c r="LS24" i="20"/>
  <c r="LT24" i="20"/>
  <c r="LU24" i="20"/>
  <c r="LV24" i="20"/>
  <c r="LW24" i="20"/>
  <c r="LX24" i="20"/>
  <c r="LY24" i="20"/>
  <c r="LZ24" i="20"/>
  <c r="MA24" i="20"/>
  <c r="MB24" i="20"/>
  <c r="MC24" i="20"/>
  <c r="MD24" i="20"/>
  <c r="ME24" i="20"/>
  <c r="MF24" i="20"/>
  <c r="MG24" i="20"/>
  <c r="MH24" i="20"/>
  <c r="MI24" i="20"/>
  <c r="MJ24" i="20"/>
  <c r="MK24" i="20"/>
  <c r="ML24" i="20"/>
  <c r="MM24" i="20"/>
  <c r="MN24" i="20"/>
  <c r="MO24" i="20"/>
  <c r="MP24" i="20"/>
  <c r="MQ24" i="20"/>
  <c r="MR24" i="20"/>
  <c r="MS24" i="20"/>
  <c r="MT24" i="20"/>
  <c r="MU24" i="20"/>
  <c r="MV24" i="20"/>
  <c r="MW24" i="20"/>
  <c r="MX24" i="20"/>
  <c r="MY24" i="20"/>
  <c r="MZ24" i="20"/>
  <c r="NA24" i="20"/>
  <c r="NB24" i="20"/>
  <c r="NC24" i="20"/>
  <c r="ND24" i="20"/>
  <c r="NE24" i="20"/>
  <c r="NF24" i="20"/>
  <c r="NG24" i="20"/>
  <c r="NH24" i="20"/>
  <c r="NI24" i="20"/>
  <c r="NJ24" i="20"/>
  <c r="NK24" i="20"/>
  <c r="NL24" i="20"/>
  <c r="NM24" i="20"/>
  <c r="NN24" i="20"/>
  <c r="NO24" i="20"/>
  <c r="NP24" i="20"/>
  <c r="NQ24" i="20"/>
  <c r="NR24" i="20"/>
  <c r="NS24" i="20"/>
  <c r="NT24" i="20"/>
  <c r="NU24" i="20"/>
  <c r="NV24" i="20"/>
  <c r="NW24" i="20"/>
  <c r="NX24" i="20"/>
  <c r="NY24" i="20"/>
  <c r="NZ24" i="20"/>
  <c r="OA24" i="20"/>
  <c r="OB24" i="20"/>
  <c r="OC24" i="20"/>
  <c r="OD24" i="20"/>
  <c r="OE24" i="20"/>
  <c r="OF24" i="20"/>
  <c r="OG24" i="20"/>
  <c r="OH24" i="20"/>
  <c r="OI24" i="20"/>
  <c r="OJ24" i="20"/>
  <c r="OK24" i="20"/>
  <c r="OL24" i="20"/>
  <c r="OM24" i="20"/>
  <c r="ON24" i="20"/>
  <c r="OO24" i="20"/>
  <c r="OP24" i="20"/>
  <c r="OQ24" i="20"/>
  <c r="OR24" i="20"/>
  <c r="OS24" i="20"/>
  <c r="OT24" i="20"/>
  <c r="OU24" i="20"/>
  <c r="OV24" i="20"/>
  <c r="OW24" i="20"/>
  <c r="OX24" i="20"/>
  <c r="OY24" i="20"/>
  <c r="OZ24" i="20"/>
  <c r="PA24" i="20"/>
  <c r="PB24" i="20"/>
  <c r="PC24" i="20"/>
  <c r="PD24" i="20"/>
  <c r="PE24" i="20"/>
  <c r="PF24" i="20"/>
  <c r="PG24" i="20"/>
  <c r="PH24" i="20"/>
  <c r="PI24" i="20"/>
  <c r="PJ24" i="20"/>
  <c r="PK24" i="20"/>
  <c r="PL24" i="20"/>
  <c r="PM24" i="20"/>
  <c r="PN24" i="20"/>
  <c r="PO24" i="20"/>
  <c r="PP24" i="20"/>
  <c r="PQ24" i="20"/>
  <c r="PR24" i="20"/>
  <c r="PS24" i="20"/>
  <c r="PT24" i="20"/>
  <c r="PU24" i="20"/>
  <c r="PV24" i="20"/>
  <c r="PW24" i="20"/>
  <c r="PX24" i="20"/>
  <c r="PY24" i="20"/>
  <c r="PZ24" i="20"/>
  <c r="QA24" i="20"/>
  <c r="QB24" i="20"/>
  <c r="QC24" i="20"/>
  <c r="QD24" i="20"/>
  <c r="QE24" i="20"/>
  <c r="QF24" i="20"/>
  <c r="QG24" i="20"/>
  <c r="QH24" i="20"/>
  <c r="QI24" i="20"/>
  <c r="QJ24" i="20"/>
  <c r="QK24" i="20"/>
  <c r="QL24" i="20"/>
  <c r="QM24" i="20"/>
  <c r="QN24" i="20"/>
  <c r="QO24" i="20"/>
  <c r="QP24" i="20"/>
  <c r="QQ24" i="20"/>
  <c r="QR24" i="20"/>
  <c r="QS24" i="20"/>
  <c r="QT24" i="20"/>
  <c r="QU24" i="20"/>
  <c r="QV24" i="20"/>
  <c r="QW24" i="20"/>
  <c r="QX24" i="20"/>
  <c r="QY24" i="20"/>
  <c r="QZ24" i="20"/>
  <c r="RA24" i="20"/>
  <c r="RB24" i="20"/>
  <c r="RC24" i="20"/>
  <c r="RD24" i="20"/>
  <c r="RE24" i="20"/>
  <c r="RF24" i="20"/>
  <c r="RG24" i="20"/>
  <c r="RH24" i="20"/>
  <c r="RI24" i="20"/>
  <c r="RJ24" i="20"/>
  <c r="RK24" i="20"/>
  <c r="RL24" i="20"/>
  <c r="RM24" i="20"/>
  <c r="RN24" i="20"/>
  <c r="RO24" i="20"/>
  <c r="RP24" i="20"/>
  <c r="RQ24" i="20"/>
  <c r="RR24" i="20"/>
  <c r="RS24" i="20"/>
  <c r="RT24" i="20"/>
  <c r="RU24" i="20"/>
  <c r="RV24" i="20"/>
  <c r="RW24" i="20"/>
  <c r="RX24" i="20"/>
  <c r="RY24" i="20"/>
  <c r="RZ24" i="20"/>
  <c r="SA24" i="20"/>
  <c r="SB24" i="20"/>
  <c r="SC24" i="20"/>
  <c r="SD24" i="20"/>
  <c r="SE24" i="20"/>
  <c r="SF24" i="20"/>
  <c r="SG24" i="20"/>
  <c r="SH24" i="20"/>
  <c r="SI24" i="20"/>
  <c r="SJ24" i="20"/>
  <c r="SK24" i="20"/>
  <c r="SL24" i="20"/>
  <c r="SM24" i="20"/>
  <c r="SN24" i="20"/>
  <c r="SO24" i="20"/>
  <c r="SP24" i="20"/>
  <c r="SQ24" i="20"/>
  <c r="SR24" i="20"/>
  <c r="SS24" i="20"/>
  <c r="ST24" i="20"/>
  <c r="SU24" i="20"/>
  <c r="SV24" i="20"/>
  <c r="SW24" i="20"/>
  <c r="SX24" i="20"/>
  <c r="SY24" i="20"/>
  <c r="SZ24" i="20"/>
  <c r="TA24" i="20"/>
  <c r="TB24" i="20"/>
  <c r="TC24" i="20"/>
  <c r="TD24" i="20"/>
  <c r="TE24" i="20"/>
  <c r="TF24" i="20"/>
  <c r="TG24" i="20"/>
  <c r="TH24" i="20"/>
  <c r="TI24" i="20"/>
  <c r="TJ24" i="20"/>
  <c r="TK24" i="20"/>
  <c r="TL24" i="20"/>
  <c r="TM24" i="20"/>
  <c r="TN24" i="20"/>
  <c r="TO24" i="20"/>
  <c r="TP24" i="20"/>
  <c r="TQ24" i="20"/>
  <c r="TR24" i="20"/>
  <c r="TS24" i="20"/>
  <c r="TT24" i="20"/>
  <c r="TU24" i="20"/>
  <c r="TV24" i="20"/>
  <c r="TW24" i="20"/>
  <c r="TX24" i="20"/>
  <c r="TY24" i="20"/>
  <c r="TZ24" i="20"/>
  <c r="UA24" i="20"/>
  <c r="UB24" i="20"/>
  <c r="UC24" i="20"/>
  <c r="UD24" i="20"/>
  <c r="UE24" i="20"/>
  <c r="UF24" i="20"/>
  <c r="UG24" i="20"/>
  <c r="UH24" i="20"/>
  <c r="UI24" i="20"/>
  <c r="UJ24" i="20"/>
  <c r="UK24" i="20"/>
  <c r="UL24" i="20"/>
  <c r="UM24" i="20"/>
  <c r="UN24" i="20"/>
  <c r="UO24" i="20"/>
  <c r="UP24" i="20"/>
  <c r="UQ24" i="20"/>
  <c r="UR24" i="20"/>
  <c r="US24" i="20"/>
  <c r="UT24" i="20"/>
  <c r="UU24" i="20"/>
  <c r="UV24" i="20"/>
  <c r="UW24" i="20"/>
  <c r="UX24" i="20"/>
  <c r="UY24" i="20"/>
  <c r="UZ24" i="20"/>
  <c r="VA24" i="20"/>
  <c r="VB24" i="20"/>
  <c r="VC24" i="20"/>
  <c r="VD24" i="20"/>
  <c r="VE24" i="20"/>
  <c r="VF24" i="20"/>
  <c r="VG24" i="20"/>
  <c r="VH24" i="20"/>
  <c r="VI24" i="20"/>
  <c r="VJ24" i="20"/>
  <c r="VK24" i="20"/>
  <c r="VL24" i="20"/>
  <c r="VM24" i="20"/>
  <c r="VN24" i="20"/>
  <c r="VO24" i="20"/>
  <c r="VP24" i="20"/>
  <c r="VQ24" i="20"/>
  <c r="VR24" i="20"/>
  <c r="VS24" i="20"/>
  <c r="VT24" i="20"/>
  <c r="VU24" i="20"/>
  <c r="VV24" i="20"/>
  <c r="VW24" i="20"/>
  <c r="VX24" i="20"/>
  <c r="VY24" i="20"/>
  <c r="VZ24" i="20"/>
  <c r="WA24" i="20"/>
  <c r="WB24" i="20"/>
  <c r="WC24" i="20"/>
  <c r="WD24" i="20"/>
  <c r="WE24" i="20"/>
  <c r="WF24" i="20"/>
  <c r="WG24" i="20"/>
  <c r="WH24" i="20"/>
  <c r="WI24" i="20"/>
  <c r="WJ24" i="20"/>
  <c r="WK24" i="20"/>
  <c r="WL24" i="20"/>
  <c r="WM24" i="20"/>
  <c r="WN24" i="20"/>
  <c r="WO24" i="20"/>
  <c r="WP24" i="20"/>
  <c r="WQ24" i="20"/>
  <c r="WR24" i="20"/>
  <c r="WS24" i="20"/>
  <c r="WT24" i="20"/>
  <c r="WU24" i="20"/>
  <c r="WV24" i="20"/>
  <c r="WW24" i="20"/>
  <c r="WX24" i="20"/>
  <c r="WY24" i="20"/>
  <c r="WZ24" i="20"/>
  <c r="XA24" i="20"/>
  <c r="XB24" i="20"/>
  <c r="XC24" i="20"/>
  <c r="XD24" i="20"/>
  <c r="XE24" i="20"/>
  <c r="XF24" i="20"/>
  <c r="XG24" i="20"/>
  <c r="XH24" i="20"/>
  <c r="XI24" i="20"/>
  <c r="XJ24" i="20"/>
  <c r="XK24" i="20"/>
  <c r="XL24" i="20"/>
  <c r="XM24" i="20"/>
  <c r="XN24" i="20"/>
  <c r="XO24" i="20"/>
  <c r="XP24" i="20"/>
  <c r="XQ24" i="20"/>
  <c r="XR24" i="20"/>
  <c r="XS24" i="20"/>
  <c r="XT24" i="20"/>
  <c r="XU24" i="20"/>
  <c r="XV24" i="20"/>
  <c r="XW24" i="20"/>
  <c r="XX24" i="20"/>
  <c r="XY24" i="20"/>
  <c r="XZ24" i="20"/>
  <c r="YA24" i="20"/>
  <c r="YB24" i="20"/>
  <c r="YC24" i="20"/>
  <c r="YD24" i="20"/>
  <c r="YE24" i="20"/>
  <c r="YF24" i="20"/>
  <c r="YG24" i="20"/>
  <c r="YH24" i="20"/>
  <c r="YI24" i="20"/>
  <c r="YJ24" i="20"/>
  <c r="YK24" i="20"/>
  <c r="YL24" i="20"/>
  <c r="YM24" i="20"/>
  <c r="YN24" i="20"/>
  <c r="YO24" i="20"/>
  <c r="YP24" i="20"/>
  <c r="YQ24" i="20"/>
  <c r="YR24" i="20"/>
  <c r="YS24" i="20"/>
  <c r="YT24" i="20"/>
  <c r="YU24" i="20"/>
  <c r="YV24" i="20"/>
  <c r="YW24" i="20"/>
  <c r="YX24" i="20"/>
  <c r="YY24" i="20"/>
  <c r="YZ24" i="20"/>
  <c r="ZA24" i="20"/>
  <c r="ZB24" i="20"/>
  <c r="ZC24" i="20"/>
  <c r="ZD24" i="20"/>
  <c r="ZE24" i="20"/>
  <c r="ZF24" i="20"/>
  <c r="ZG24" i="20"/>
  <c r="ZH24" i="20"/>
  <c r="ZI24" i="20"/>
  <c r="ZJ24" i="20"/>
  <c r="ZK24" i="20"/>
  <c r="ZL24" i="20"/>
  <c r="ZM24" i="20"/>
  <c r="ZN24" i="20"/>
  <c r="ZO24" i="20"/>
  <c r="ZP24" i="20"/>
  <c r="ZQ24" i="20"/>
  <c r="ZR24" i="20"/>
  <c r="ZS24" i="20"/>
  <c r="ZT24" i="20"/>
  <c r="ZU24" i="20"/>
  <c r="ZV24" i="20"/>
  <c r="ZW24" i="20"/>
  <c r="ZX24" i="20"/>
  <c r="ZY24" i="20"/>
  <c r="ZZ24" i="20"/>
  <c r="AAA24" i="20"/>
  <c r="AAB24" i="20"/>
  <c r="AAC24" i="20"/>
  <c r="C25" i="20"/>
  <c r="D25" i="20"/>
  <c r="E25" i="20"/>
  <c r="F25" i="20"/>
  <c r="G25" i="20"/>
  <c r="H25" i="20"/>
  <c r="I25" i="20"/>
  <c r="J25" i="20"/>
  <c r="K25" i="20"/>
  <c r="L25" i="20"/>
  <c r="M25" i="20"/>
  <c r="N25" i="20"/>
  <c r="O25" i="20"/>
  <c r="P25" i="20"/>
  <c r="Q25" i="20"/>
  <c r="R25" i="20"/>
  <c r="S25" i="20"/>
  <c r="T25" i="20"/>
  <c r="U25" i="20"/>
  <c r="V25" i="20"/>
  <c r="W25" i="20"/>
  <c r="X25" i="20"/>
  <c r="Y25" i="20"/>
  <c r="Z25" i="20"/>
  <c r="AA25" i="20"/>
  <c r="AB25" i="20"/>
  <c r="AC25" i="20"/>
  <c r="AD25" i="20"/>
  <c r="AE25" i="20"/>
  <c r="AF25" i="20"/>
  <c r="AG25" i="20"/>
  <c r="AH25" i="20"/>
  <c r="AI25" i="20"/>
  <c r="AJ25" i="20"/>
  <c r="AK25" i="20"/>
  <c r="AL25" i="20"/>
  <c r="AM25" i="20"/>
  <c r="AN25" i="20"/>
  <c r="AO25" i="20"/>
  <c r="AP25" i="20"/>
  <c r="AQ25" i="20"/>
  <c r="AR25" i="20"/>
  <c r="AS25" i="20"/>
  <c r="AT25" i="20"/>
  <c r="AU25" i="20"/>
  <c r="AV25" i="20"/>
  <c r="AW25" i="20"/>
  <c r="AX25" i="20"/>
  <c r="AY25" i="20"/>
  <c r="AZ25" i="20"/>
  <c r="BA25" i="20"/>
  <c r="BB25" i="20"/>
  <c r="BC25" i="20"/>
  <c r="BD25" i="20"/>
  <c r="BE25" i="20"/>
  <c r="BF25" i="20"/>
  <c r="BG25" i="20"/>
  <c r="BH25" i="20"/>
  <c r="BI25" i="20"/>
  <c r="BJ25" i="20"/>
  <c r="BK25" i="20"/>
  <c r="BL25" i="20"/>
  <c r="BM25" i="20"/>
  <c r="BN25" i="20"/>
  <c r="BO25" i="20"/>
  <c r="BP25" i="20"/>
  <c r="BQ25" i="20"/>
  <c r="BR25" i="20"/>
  <c r="BS25" i="20"/>
  <c r="BT25" i="20"/>
  <c r="BU25" i="20"/>
  <c r="BV25" i="20"/>
  <c r="BW25" i="20"/>
  <c r="BX25" i="20"/>
  <c r="BY25" i="20"/>
  <c r="BZ25" i="20"/>
  <c r="CA25" i="20"/>
  <c r="CB25" i="20"/>
  <c r="CC25" i="20"/>
  <c r="CD25" i="20"/>
  <c r="CE25" i="20"/>
  <c r="CF25" i="20"/>
  <c r="CG25" i="20"/>
  <c r="CH25" i="20"/>
  <c r="CI25" i="20"/>
  <c r="CJ25" i="20"/>
  <c r="CK25" i="20"/>
  <c r="CL25" i="20"/>
  <c r="CM25" i="20"/>
  <c r="CN25" i="20"/>
  <c r="CO25" i="20"/>
  <c r="CP25" i="20"/>
  <c r="CQ25" i="20"/>
  <c r="CR25" i="20"/>
  <c r="CS25" i="20"/>
  <c r="CT25" i="20"/>
  <c r="CU25" i="20"/>
  <c r="CV25" i="20"/>
  <c r="CW25" i="20"/>
  <c r="CX25" i="20"/>
  <c r="CY25" i="20"/>
  <c r="CZ25" i="20"/>
  <c r="DA25" i="20"/>
  <c r="DB25" i="20"/>
  <c r="DC25" i="20"/>
  <c r="DD25" i="20"/>
  <c r="DE25" i="20"/>
  <c r="DF25" i="20"/>
  <c r="DG25" i="20"/>
  <c r="DH25" i="20"/>
  <c r="DI25" i="20"/>
  <c r="DJ25" i="20"/>
  <c r="DK25" i="20"/>
  <c r="DL25" i="20"/>
  <c r="DM25" i="20"/>
  <c r="DN25" i="20"/>
  <c r="DO25" i="20"/>
  <c r="DP25" i="20"/>
  <c r="DQ25" i="20"/>
  <c r="DR25" i="20"/>
  <c r="DS25" i="20"/>
  <c r="DT25" i="20"/>
  <c r="DU25" i="20"/>
  <c r="DV25" i="20"/>
  <c r="DW25" i="20"/>
  <c r="DX25" i="20"/>
  <c r="DY25" i="20"/>
  <c r="DZ25" i="20"/>
  <c r="EA25" i="20"/>
  <c r="EB25" i="20"/>
  <c r="EC25" i="20"/>
  <c r="ED25" i="20"/>
  <c r="EE25" i="20"/>
  <c r="EF25" i="20"/>
  <c r="EG25" i="20"/>
  <c r="EH25" i="20"/>
  <c r="EI25" i="20"/>
  <c r="EJ25" i="20"/>
  <c r="EK25" i="20"/>
  <c r="EL25" i="20"/>
  <c r="EM25" i="20"/>
  <c r="EN25" i="20"/>
  <c r="EO25" i="20"/>
  <c r="EP25" i="20"/>
  <c r="EQ25" i="20"/>
  <c r="ER25" i="20"/>
  <c r="ES25" i="20"/>
  <c r="ET25" i="20"/>
  <c r="EU25" i="20"/>
  <c r="EV25" i="20"/>
  <c r="EW25" i="20"/>
  <c r="EX25" i="20"/>
  <c r="EY25" i="20"/>
  <c r="EZ25" i="20"/>
  <c r="FA25" i="20"/>
  <c r="FB25" i="20"/>
  <c r="FC25" i="20"/>
  <c r="FD25" i="20"/>
  <c r="FE25" i="20"/>
  <c r="FF25" i="20"/>
  <c r="FG25" i="20"/>
  <c r="FH25" i="20"/>
  <c r="FI25" i="20"/>
  <c r="FJ25" i="20"/>
  <c r="FK25" i="20"/>
  <c r="FL25" i="20"/>
  <c r="FM25" i="20"/>
  <c r="FN25" i="20"/>
  <c r="FO25" i="20"/>
  <c r="FP25" i="20"/>
  <c r="FQ25" i="20"/>
  <c r="FR25" i="20"/>
  <c r="FS25" i="20"/>
  <c r="FT25" i="20"/>
  <c r="FU25" i="20"/>
  <c r="FV25" i="20"/>
  <c r="FW25" i="20"/>
  <c r="FX25" i="20"/>
  <c r="FY25" i="20"/>
  <c r="FZ25" i="20"/>
  <c r="GA25" i="20"/>
  <c r="GB25" i="20"/>
  <c r="GC25" i="20"/>
  <c r="GD25" i="20"/>
  <c r="GE25" i="20"/>
  <c r="GF25" i="20"/>
  <c r="GG25" i="20"/>
  <c r="GH25" i="20"/>
  <c r="GI25" i="20"/>
  <c r="GJ25" i="20"/>
  <c r="GK25" i="20"/>
  <c r="GL25" i="20"/>
  <c r="GM25" i="20"/>
  <c r="GN25" i="20"/>
  <c r="GO25" i="20"/>
  <c r="GP25" i="20"/>
  <c r="GQ25" i="20"/>
  <c r="GR25" i="20"/>
  <c r="GS25" i="20"/>
  <c r="GT25" i="20"/>
  <c r="GU25" i="20"/>
  <c r="GV25" i="20"/>
  <c r="GW25" i="20"/>
  <c r="GX25" i="20"/>
  <c r="GY25" i="20"/>
  <c r="GZ25" i="20"/>
  <c r="HA25" i="20"/>
  <c r="HB25" i="20"/>
  <c r="HC25" i="20"/>
  <c r="HD25" i="20"/>
  <c r="HE25" i="20"/>
  <c r="HF25" i="20"/>
  <c r="HG25" i="20"/>
  <c r="HH25" i="20"/>
  <c r="HI25" i="20"/>
  <c r="HJ25" i="20"/>
  <c r="HK25" i="20"/>
  <c r="HL25" i="20"/>
  <c r="HM25" i="20"/>
  <c r="HN25" i="20"/>
  <c r="HO25" i="20"/>
  <c r="HP25" i="20"/>
  <c r="HQ25" i="20"/>
  <c r="HR25" i="20"/>
  <c r="HS25" i="20"/>
  <c r="HT25" i="20"/>
  <c r="HU25" i="20"/>
  <c r="HV25" i="20"/>
  <c r="HW25" i="20"/>
  <c r="HX25" i="20"/>
  <c r="HY25" i="20"/>
  <c r="HZ25" i="20"/>
  <c r="IA25" i="20"/>
  <c r="IB25" i="20"/>
  <c r="IC25" i="20"/>
  <c r="ID25" i="20"/>
  <c r="IE25" i="20"/>
  <c r="IF25" i="20"/>
  <c r="IG25" i="20"/>
  <c r="IH25" i="20"/>
  <c r="II25" i="20"/>
  <c r="IJ25" i="20"/>
  <c r="IK25" i="20"/>
  <c r="IL25" i="20"/>
  <c r="IM25" i="20"/>
  <c r="IN25" i="20"/>
  <c r="IO25" i="20"/>
  <c r="IP25" i="20"/>
  <c r="IQ25" i="20"/>
  <c r="IR25" i="20"/>
  <c r="IS25" i="20"/>
  <c r="IT25" i="20"/>
  <c r="IU25" i="20"/>
  <c r="IV25" i="20"/>
  <c r="IW25" i="20"/>
  <c r="IX25" i="20"/>
  <c r="IY25" i="20"/>
  <c r="IZ25" i="20"/>
  <c r="JA25" i="20"/>
  <c r="JB25" i="20"/>
  <c r="JC25" i="20"/>
  <c r="JD25" i="20"/>
  <c r="JE25" i="20"/>
  <c r="JF25" i="20"/>
  <c r="JG25" i="20"/>
  <c r="JH25" i="20"/>
  <c r="JI25" i="20"/>
  <c r="JJ25" i="20"/>
  <c r="JK25" i="20"/>
  <c r="JL25" i="20"/>
  <c r="JM25" i="20"/>
  <c r="JN25" i="20"/>
  <c r="JO25" i="20"/>
  <c r="JP25" i="20"/>
  <c r="JQ25" i="20"/>
  <c r="JR25" i="20"/>
  <c r="JS25" i="20"/>
  <c r="JT25" i="20"/>
  <c r="JU25" i="20"/>
  <c r="JV25" i="20"/>
  <c r="JW25" i="20"/>
  <c r="JX25" i="20"/>
  <c r="JY25" i="20"/>
  <c r="JZ25" i="20"/>
  <c r="KA25" i="20"/>
  <c r="KB25" i="20"/>
  <c r="KC25" i="20"/>
  <c r="KD25" i="20"/>
  <c r="KE25" i="20"/>
  <c r="KF25" i="20"/>
  <c r="KG25" i="20"/>
  <c r="KH25" i="20"/>
  <c r="KI25" i="20"/>
  <c r="KJ25" i="20"/>
  <c r="KK25" i="20"/>
  <c r="KL25" i="20"/>
  <c r="KM25" i="20"/>
  <c r="KN25" i="20"/>
  <c r="KO25" i="20"/>
  <c r="KP25" i="20"/>
  <c r="KQ25" i="20"/>
  <c r="KR25" i="20"/>
  <c r="KS25" i="20"/>
  <c r="KT25" i="20"/>
  <c r="KU25" i="20"/>
  <c r="KV25" i="20"/>
  <c r="KW25" i="20"/>
  <c r="KX25" i="20"/>
  <c r="KY25" i="20"/>
  <c r="KZ25" i="20"/>
  <c r="LA25" i="20"/>
  <c r="LB25" i="20"/>
  <c r="LC25" i="20"/>
  <c r="LD25" i="20"/>
  <c r="LE25" i="20"/>
  <c r="LF25" i="20"/>
  <c r="LG25" i="20"/>
  <c r="LH25" i="20"/>
  <c r="LI25" i="20"/>
  <c r="LJ25" i="20"/>
  <c r="LK25" i="20"/>
  <c r="LL25" i="20"/>
  <c r="LM25" i="20"/>
  <c r="LN25" i="20"/>
  <c r="LO25" i="20"/>
  <c r="LP25" i="20"/>
  <c r="LQ25" i="20"/>
  <c r="LR25" i="20"/>
  <c r="LS25" i="20"/>
  <c r="LT25" i="20"/>
  <c r="LU25" i="20"/>
  <c r="LV25" i="20"/>
  <c r="LW25" i="20"/>
  <c r="LX25" i="20"/>
  <c r="LY25" i="20"/>
  <c r="LZ25" i="20"/>
  <c r="MA25" i="20"/>
  <c r="MB25" i="20"/>
  <c r="MC25" i="20"/>
  <c r="MD25" i="20"/>
  <c r="ME25" i="20"/>
  <c r="MF25" i="20"/>
  <c r="MG25" i="20"/>
  <c r="MH25" i="20"/>
  <c r="MI25" i="20"/>
  <c r="MJ25" i="20"/>
  <c r="MK25" i="20"/>
  <c r="ML25" i="20"/>
  <c r="MM25" i="20"/>
  <c r="MN25" i="20"/>
  <c r="MO25" i="20"/>
  <c r="MP25" i="20"/>
  <c r="MQ25" i="20"/>
  <c r="MR25" i="20"/>
  <c r="MS25" i="20"/>
  <c r="MT25" i="20"/>
  <c r="MU25" i="20"/>
  <c r="MV25" i="20"/>
  <c r="MW25" i="20"/>
  <c r="MX25" i="20"/>
  <c r="MY25" i="20"/>
  <c r="MZ25" i="20"/>
  <c r="NA25" i="20"/>
  <c r="NB25" i="20"/>
  <c r="NC25" i="20"/>
  <c r="ND25" i="20"/>
  <c r="NE25" i="20"/>
  <c r="NF25" i="20"/>
  <c r="NG25" i="20"/>
  <c r="NH25" i="20"/>
  <c r="NI25" i="20"/>
  <c r="NJ25" i="20"/>
  <c r="NK25" i="20"/>
  <c r="NL25" i="20"/>
  <c r="NM25" i="20"/>
  <c r="NN25" i="20"/>
  <c r="NO25" i="20"/>
  <c r="NP25" i="20"/>
  <c r="NQ25" i="20"/>
  <c r="NR25" i="20"/>
  <c r="NS25" i="20"/>
  <c r="NT25" i="20"/>
  <c r="NU25" i="20"/>
  <c r="NV25" i="20"/>
  <c r="NW25" i="20"/>
  <c r="NX25" i="20"/>
  <c r="NY25" i="20"/>
  <c r="NZ25" i="20"/>
  <c r="OA25" i="20"/>
  <c r="OB25" i="20"/>
  <c r="OC25" i="20"/>
  <c r="OD25" i="20"/>
  <c r="OE25" i="20"/>
  <c r="OF25" i="20"/>
  <c r="OG25" i="20"/>
  <c r="OH25" i="20"/>
  <c r="OI25" i="20"/>
  <c r="OJ25" i="20"/>
  <c r="OK25" i="20"/>
  <c r="OL25" i="20"/>
  <c r="OM25" i="20"/>
  <c r="ON25" i="20"/>
  <c r="OO25" i="20"/>
  <c r="OP25" i="20"/>
  <c r="OQ25" i="20"/>
  <c r="OR25" i="20"/>
  <c r="OS25" i="20"/>
  <c r="OT25" i="20"/>
  <c r="OU25" i="20"/>
  <c r="OV25" i="20"/>
  <c r="OW25" i="20"/>
  <c r="OX25" i="20"/>
  <c r="OY25" i="20"/>
  <c r="OZ25" i="20"/>
  <c r="PA25" i="20"/>
  <c r="PB25" i="20"/>
  <c r="PC25" i="20"/>
  <c r="PD25" i="20"/>
  <c r="PE25" i="20"/>
  <c r="PF25" i="20"/>
  <c r="PG25" i="20"/>
  <c r="PH25" i="20"/>
  <c r="PI25" i="20"/>
  <c r="PJ25" i="20"/>
  <c r="PK25" i="20"/>
  <c r="PL25" i="20"/>
  <c r="PM25" i="20"/>
  <c r="PN25" i="20"/>
  <c r="PO25" i="20"/>
  <c r="PP25" i="20"/>
  <c r="PQ25" i="20"/>
  <c r="PR25" i="20"/>
  <c r="PS25" i="20"/>
  <c r="PT25" i="20"/>
  <c r="PU25" i="20"/>
  <c r="PV25" i="20"/>
  <c r="PW25" i="20"/>
  <c r="PX25" i="20"/>
  <c r="PY25" i="20"/>
  <c r="PZ25" i="20"/>
  <c r="QA25" i="20"/>
  <c r="QB25" i="20"/>
  <c r="QC25" i="20"/>
  <c r="QD25" i="20"/>
  <c r="QE25" i="20"/>
  <c r="QF25" i="20"/>
  <c r="QG25" i="20"/>
  <c r="QH25" i="20"/>
  <c r="QI25" i="20"/>
  <c r="QJ25" i="20"/>
  <c r="QK25" i="20"/>
  <c r="QL25" i="20"/>
  <c r="QM25" i="20"/>
  <c r="QN25" i="20"/>
  <c r="QO25" i="20"/>
  <c r="QP25" i="20"/>
  <c r="QQ25" i="20"/>
  <c r="QR25" i="20"/>
  <c r="QS25" i="20"/>
  <c r="QT25" i="20"/>
  <c r="QU25" i="20"/>
  <c r="QV25" i="20"/>
  <c r="QW25" i="20"/>
  <c r="QX25" i="20"/>
  <c r="QY25" i="20"/>
  <c r="QZ25" i="20"/>
  <c r="RA25" i="20"/>
  <c r="RB25" i="20"/>
  <c r="RC25" i="20"/>
  <c r="RD25" i="20"/>
  <c r="RE25" i="20"/>
  <c r="RF25" i="20"/>
  <c r="RG25" i="20"/>
  <c r="RH25" i="20"/>
  <c r="RI25" i="20"/>
  <c r="RJ25" i="20"/>
  <c r="RK25" i="20"/>
  <c r="RL25" i="20"/>
  <c r="RM25" i="20"/>
  <c r="RN25" i="20"/>
  <c r="RO25" i="20"/>
  <c r="RP25" i="20"/>
  <c r="RQ25" i="20"/>
  <c r="RR25" i="20"/>
  <c r="RS25" i="20"/>
  <c r="RT25" i="20"/>
  <c r="RU25" i="20"/>
  <c r="RV25" i="20"/>
  <c r="RW25" i="20"/>
  <c r="RX25" i="20"/>
  <c r="RY25" i="20"/>
  <c r="RZ25" i="20"/>
  <c r="SA25" i="20"/>
  <c r="SB25" i="20"/>
  <c r="SC25" i="20"/>
  <c r="SD25" i="20"/>
  <c r="SE25" i="20"/>
  <c r="SF25" i="20"/>
  <c r="SG25" i="20"/>
  <c r="SH25" i="20"/>
  <c r="SI25" i="20"/>
  <c r="SJ25" i="20"/>
  <c r="SK25" i="20"/>
  <c r="SL25" i="20"/>
  <c r="SM25" i="20"/>
  <c r="SN25" i="20"/>
  <c r="SO25" i="20"/>
  <c r="SP25" i="20"/>
  <c r="SQ25" i="20"/>
  <c r="SR25" i="20"/>
  <c r="SS25" i="20"/>
  <c r="ST25" i="20"/>
  <c r="SU25" i="20"/>
  <c r="SV25" i="20"/>
  <c r="SW25" i="20"/>
  <c r="SX25" i="20"/>
  <c r="SY25" i="20"/>
  <c r="SZ25" i="20"/>
  <c r="TA25" i="20"/>
  <c r="TB25" i="20"/>
  <c r="TC25" i="20"/>
  <c r="TD25" i="20"/>
  <c r="TE25" i="20"/>
  <c r="TF25" i="20"/>
  <c r="TG25" i="20"/>
  <c r="TH25" i="20"/>
  <c r="TI25" i="20"/>
  <c r="TJ25" i="20"/>
  <c r="TK25" i="20"/>
  <c r="TL25" i="20"/>
  <c r="TM25" i="20"/>
  <c r="TN25" i="20"/>
  <c r="TO25" i="20"/>
  <c r="TP25" i="20"/>
  <c r="TQ25" i="20"/>
  <c r="TR25" i="20"/>
  <c r="TS25" i="20"/>
  <c r="TT25" i="20"/>
  <c r="TU25" i="20"/>
  <c r="TV25" i="20"/>
  <c r="TW25" i="20"/>
  <c r="TX25" i="20"/>
  <c r="TY25" i="20"/>
  <c r="TZ25" i="20"/>
  <c r="UA25" i="20"/>
  <c r="UB25" i="20"/>
  <c r="UC25" i="20"/>
  <c r="UD25" i="20"/>
  <c r="UE25" i="20"/>
  <c r="UF25" i="20"/>
  <c r="UG25" i="20"/>
  <c r="UH25" i="20"/>
  <c r="UI25" i="20"/>
  <c r="UJ25" i="20"/>
  <c r="UK25" i="20"/>
  <c r="UL25" i="20"/>
  <c r="UM25" i="20"/>
  <c r="UN25" i="20"/>
  <c r="UO25" i="20"/>
  <c r="UP25" i="20"/>
  <c r="UQ25" i="20"/>
  <c r="UR25" i="20"/>
  <c r="US25" i="20"/>
  <c r="UT25" i="20"/>
  <c r="UU25" i="20"/>
  <c r="UV25" i="20"/>
  <c r="UW25" i="20"/>
  <c r="UX25" i="20"/>
  <c r="UY25" i="20"/>
  <c r="UZ25" i="20"/>
  <c r="VA25" i="20"/>
  <c r="VB25" i="20"/>
  <c r="VC25" i="20"/>
  <c r="VD25" i="20"/>
  <c r="VE25" i="20"/>
  <c r="VF25" i="20"/>
  <c r="VG25" i="20"/>
  <c r="VH25" i="20"/>
  <c r="VI25" i="20"/>
  <c r="VJ25" i="20"/>
  <c r="VK25" i="20"/>
  <c r="VL25" i="20"/>
  <c r="VM25" i="20"/>
  <c r="VN25" i="20"/>
  <c r="VO25" i="20"/>
  <c r="VP25" i="20"/>
  <c r="VQ25" i="20"/>
  <c r="VR25" i="20"/>
  <c r="VS25" i="20"/>
  <c r="VT25" i="20"/>
  <c r="VU25" i="20"/>
  <c r="VV25" i="20"/>
  <c r="VW25" i="20"/>
  <c r="VX25" i="20"/>
  <c r="VY25" i="20"/>
  <c r="VZ25" i="20"/>
  <c r="WA25" i="20"/>
  <c r="WB25" i="20"/>
  <c r="WC25" i="20"/>
  <c r="WD25" i="20"/>
  <c r="WE25" i="20"/>
  <c r="WF25" i="20"/>
  <c r="WG25" i="20"/>
  <c r="WH25" i="20"/>
  <c r="WI25" i="20"/>
  <c r="WJ25" i="20"/>
  <c r="WK25" i="20"/>
  <c r="WL25" i="20"/>
  <c r="WM25" i="20"/>
  <c r="WN25" i="20"/>
  <c r="WO25" i="20"/>
  <c r="WP25" i="20"/>
  <c r="WQ25" i="20"/>
  <c r="WR25" i="20"/>
  <c r="WS25" i="20"/>
  <c r="WT25" i="20"/>
  <c r="WU25" i="20"/>
  <c r="WV25" i="20"/>
  <c r="WW25" i="20"/>
  <c r="WX25" i="20"/>
  <c r="WY25" i="20"/>
  <c r="WZ25" i="20"/>
  <c r="XA25" i="20"/>
  <c r="XB25" i="20"/>
  <c r="XC25" i="20"/>
  <c r="XD25" i="20"/>
  <c r="XE25" i="20"/>
  <c r="XF25" i="20"/>
  <c r="XG25" i="20"/>
  <c r="XH25" i="20"/>
  <c r="XI25" i="20"/>
  <c r="XJ25" i="20"/>
  <c r="XK25" i="20"/>
  <c r="XL25" i="20"/>
  <c r="XM25" i="20"/>
  <c r="XN25" i="20"/>
  <c r="XO25" i="20"/>
  <c r="XP25" i="20"/>
  <c r="XQ25" i="20"/>
  <c r="XR25" i="20"/>
  <c r="XS25" i="20"/>
  <c r="XT25" i="20"/>
  <c r="XU25" i="20"/>
  <c r="XV25" i="20"/>
  <c r="XW25" i="20"/>
  <c r="XX25" i="20"/>
  <c r="XY25" i="20"/>
  <c r="XZ25" i="20"/>
  <c r="YA25" i="20"/>
  <c r="YB25" i="20"/>
  <c r="YC25" i="20"/>
  <c r="YD25" i="20"/>
  <c r="YE25" i="20"/>
  <c r="YF25" i="20"/>
  <c r="YG25" i="20"/>
  <c r="YH25" i="20"/>
  <c r="YI25" i="20"/>
  <c r="YJ25" i="20"/>
  <c r="YK25" i="20"/>
  <c r="YL25" i="20"/>
  <c r="YM25" i="20"/>
  <c r="YN25" i="20"/>
  <c r="YO25" i="20"/>
  <c r="YP25" i="20"/>
  <c r="YQ25" i="20"/>
  <c r="YR25" i="20"/>
  <c r="YS25" i="20"/>
  <c r="YT25" i="20"/>
  <c r="YU25" i="20"/>
  <c r="YV25" i="20"/>
  <c r="YW25" i="20"/>
  <c r="YX25" i="20"/>
  <c r="YY25" i="20"/>
  <c r="YZ25" i="20"/>
  <c r="ZA25" i="20"/>
  <c r="ZB25" i="20"/>
  <c r="ZC25" i="20"/>
  <c r="ZD25" i="20"/>
  <c r="ZE25" i="20"/>
  <c r="ZF25" i="20"/>
  <c r="ZG25" i="20"/>
  <c r="ZH25" i="20"/>
  <c r="ZI25" i="20"/>
  <c r="ZJ25" i="20"/>
  <c r="ZK25" i="20"/>
  <c r="ZL25" i="20"/>
  <c r="ZM25" i="20"/>
  <c r="ZN25" i="20"/>
  <c r="ZO25" i="20"/>
  <c r="ZP25" i="20"/>
  <c r="ZQ25" i="20"/>
  <c r="ZR25" i="20"/>
  <c r="ZS25" i="20"/>
  <c r="ZT25" i="20"/>
  <c r="ZU25" i="20"/>
  <c r="ZV25" i="20"/>
  <c r="ZW25" i="20"/>
  <c r="ZX25" i="20"/>
  <c r="ZY25" i="20"/>
  <c r="ZZ25" i="20"/>
  <c r="AAA25" i="20"/>
  <c r="AAB25" i="20"/>
  <c r="AAC25" i="20"/>
  <c r="C26" i="20"/>
  <c r="D26" i="20"/>
  <c r="E26" i="20"/>
  <c r="F26" i="20"/>
  <c r="G26" i="20"/>
  <c r="H26" i="20"/>
  <c r="I26" i="20"/>
  <c r="J26" i="20"/>
  <c r="K26" i="20"/>
  <c r="L26" i="20"/>
  <c r="M26" i="20"/>
  <c r="N26" i="20"/>
  <c r="O26" i="20"/>
  <c r="P26" i="20"/>
  <c r="Q26" i="20"/>
  <c r="R26" i="20"/>
  <c r="S26" i="20"/>
  <c r="T26" i="20"/>
  <c r="U26" i="20"/>
  <c r="V26" i="20"/>
  <c r="W26" i="20"/>
  <c r="X26" i="20"/>
  <c r="Y26" i="20"/>
  <c r="Z26" i="20"/>
  <c r="AA26" i="20"/>
  <c r="AB26" i="20"/>
  <c r="AC26" i="20"/>
  <c r="AD26" i="20"/>
  <c r="AE26" i="20"/>
  <c r="AF26" i="20"/>
  <c r="AG26" i="20"/>
  <c r="AH26" i="20"/>
  <c r="AI26" i="20"/>
  <c r="AJ26" i="20"/>
  <c r="AK26" i="20"/>
  <c r="AL26" i="20"/>
  <c r="AM26" i="20"/>
  <c r="AN26" i="20"/>
  <c r="AO26" i="20"/>
  <c r="AP26" i="20"/>
  <c r="AQ26" i="20"/>
  <c r="AR26" i="20"/>
  <c r="AS26" i="20"/>
  <c r="AT26" i="20"/>
  <c r="AU26" i="20"/>
  <c r="AV26" i="20"/>
  <c r="AW26" i="20"/>
  <c r="AX26" i="20"/>
  <c r="AY26" i="20"/>
  <c r="AZ26" i="20"/>
  <c r="BA26" i="20"/>
  <c r="BB26" i="20"/>
  <c r="BC26" i="20"/>
  <c r="BD26" i="20"/>
  <c r="BE26" i="20"/>
  <c r="BF26" i="20"/>
  <c r="BG26" i="20"/>
  <c r="BH26" i="20"/>
  <c r="BI26" i="20"/>
  <c r="BJ26" i="20"/>
  <c r="BK26" i="20"/>
  <c r="BL26" i="20"/>
  <c r="BM26" i="20"/>
  <c r="BN26" i="20"/>
  <c r="BO26" i="20"/>
  <c r="BP26" i="20"/>
  <c r="BQ26" i="20"/>
  <c r="BR26" i="20"/>
  <c r="BS26" i="20"/>
  <c r="BT26" i="20"/>
  <c r="BU26" i="20"/>
  <c r="BV26" i="20"/>
  <c r="BW26" i="20"/>
  <c r="BX26" i="20"/>
  <c r="BY26" i="20"/>
  <c r="BZ26" i="20"/>
  <c r="CA26" i="20"/>
  <c r="CB26" i="20"/>
  <c r="CC26" i="20"/>
  <c r="CD26" i="20"/>
  <c r="CE26" i="20"/>
  <c r="CF26" i="20"/>
  <c r="CG26" i="20"/>
  <c r="CH26" i="20"/>
  <c r="CI26" i="20"/>
  <c r="CJ26" i="20"/>
  <c r="CK26" i="20"/>
  <c r="CL26" i="20"/>
  <c r="CM26" i="20"/>
  <c r="CN26" i="20"/>
  <c r="CO26" i="20"/>
  <c r="CP26" i="20"/>
  <c r="CQ26" i="20"/>
  <c r="CR26" i="20"/>
  <c r="CS26" i="20"/>
  <c r="CT26" i="20"/>
  <c r="CU26" i="20"/>
  <c r="CV26" i="20"/>
  <c r="CW26" i="20"/>
  <c r="CX26" i="20"/>
  <c r="CY26" i="20"/>
  <c r="CZ26" i="20"/>
  <c r="DA26" i="20"/>
  <c r="DB26" i="20"/>
  <c r="DC26" i="20"/>
  <c r="DD26" i="20"/>
  <c r="DE26" i="20"/>
  <c r="DF26" i="20"/>
  <c r="DG26" i="20"/>
  <c r="DH26" i="20"/>
  <c r="DI26" i="20"/>
  <c r="DJ26" i="20"/>
  <c r="DK26" i="20"/>
  <c r="DL26" i="20"/>
  <c r="DM26" i="20"/>
  <c r="DN26" i="20"/>
  <c r="DO26" i="20"/>
  <c r="DP26" i="20"/>
  <c r="DQ26" i="20"/>
  <c r="DR26" i="20"/>
  <c r="DS26" i="20"/>
  <c r="DT26" i="20"/>
  <c r="DU26" i="20"/>
  <c r="DV26" i="20"/>
  <c r="DW26" i="20"/>
  <c r="DX26" i="20"/>
  <c r="DY26" i="20"/>
  <c r="DZ26" i="20"/>
  <c r="EA26" i="20"/>
  <c r="EB26" i="20"/>
  <c r="EC26" i="20"/>
  <c r="ED26" i="20"/>
  <c r="EE26" i="20"/>
  <c r="EF26" i="20"/>
  <c r="EG26" i="20"/>
  <c r="EH26" i="20"/>
  <c r="EI26" i="20"/>
  <c r="EJ26" i="20"/>
  <c r="EK26" i="20"/>
  <c r="EL26" i="20"/>
  <c r="EM26" i="20"/>
  <c r="EN26" i="20"/>
  <c r="EO26" i="20"/>
  <c r="EP26" i="20"/>
  <c r="EQ26" i="20"/>
  <c r="ER26" i="20"/>
  <c r="ES26" i="20"/>
  <c r="ET26" i="20"/>
  <c r="EU26" i="20"/>
  <c r="EV26" i="20"/>
  <c r="EW26" i="20"/>
  <c r="EX26" i="20"/>
  <c r="EY26" i="20"/>
  <c r="EZ26" i="20"/>
  <c r="FA26" i="20"/>
  <c r="FB26" i="20"/>
  <c r="FC26" i="20"/>
  <c r="FD26" i="20"/>
  <c r="FE26" i="20"/>
  <c r="FF26" i="20"/>
  <c r="FG26" i="20"/>
  <c r="FH26" i="20"/>
  <c r="FI26" i="20"/>
  <c r="FJ26" i="20"/>
  <c r="FK26" i="20"/>
  <c r="FL26" i="20"/>
  <c r="FM26" i="20"/>
  <c r="FN26" i="20"/>
  <c r="FO26" i="20"/>
  <c r="FP26" i="20"/>
  <c r="FQ26" i="20"/>
  <c r="FR26" i="20"/>
  <c r="FS26" i="20"/>
  <c r="FT26" i="20"/>
  <c r="FU26" i="20"/>
  <c r="FV26" i="20"/>
  <c r="FW26" i="20"/>
  <c r="FX26" i="20"/>
  <c r="FY26" i="20"/>
  <c r="FZ26" i="20"/>
  <c r="GA26" i="20"/>
  <c r="GB26" i="20"/>
  <c r="GC26" i="20"/>
  <c r="GD26" i="20"/>
  <c r="GE26" i="20"/>
  <c r="GF26" i="20"/>
  <c r="GG26" i="20"/>
  <c r="GH26" i="20"/>
  <c r="GI26" i="20"/>
  <c r="GJ26" i="20"/>
  <c r="GK26" i="20"/>
  <c r="GL26" i="20"/>
  <c r="GM26" i="20"/>
  <c r="GN26" i="20"/>
  <c r="GO26" i="20"/>
  <c r="GP26" i="20"/>
  <c r="GQ26" i="20"/>
  <c r="GR26" i="20"/>
  <c r="GS26" i="20"/>
  <c r="GT26" i="20"/>
  <c r="GU26" i="20"/>
  <c r="GV26" i="20"/>
  <c r="GW26" i="20"/>
  <c r="GX26" i="20"/>
  <c r="GY26" i="20"/>
  <c r="GZ26" i="20"/>
  <c r="HA26" i="20"/>
  <c r="HB26" i="20"/>
  <c r="HC26" i="20"/>
  <c r="HD26" i="20"/>
  <c r="HE26" i="20"/>
  <c r="HF26" i="20"/>
  <c r="HG26" i="20"/>
  <c r="HH26" i="20"/>
  <c r="HI26" i="20"/>
  <c r="HJ26" i="20"/>
  <c r="HK26" i="20"/>
  <c r="HL26" i="20"/>
  <c r="HM26" i="20"/>
  <c r="HN26" i="20"/>
  <c r="HO26" i="20"/>
  <c r="HP26" i="20"/>
  <c r="HQ26" i="20"/>
  <c r="HR26" i="20"/>
  <c r="HS26" i="20"/>
  <c r="HT26" i="20"/>
  <c r="HU26" i="20"/>
  <c r="HV26" i="20"/>
  <c r="HW26" i="20"/>
  <c r="HX26" i="20"/>
  <c r="HY26" i="20"/>
  <c r="HZ26" i="20"/>
  <c r="IA26" i="20"/>
  <c r="IB26" i="20"/>
  <c r="IC26" i="20"/>
  <c r="ID26" i="20"/>
  <c r="IE26" i="20"/>
  <c r="IF26" i="20"/>
  <c r="IG26" i="20"/>
  <c r="IH26" i="20"/>
  <c r="II26" i="20"/>
  <c r="IJ26" i="20"/>
  <c r="IK26" i="20"/>
  <c r="IL26" i="20"/>
  <c r="IM26" i="20"/>
  <c r="IN26" i="20"/>
  <c r="IO26" i="20"/>
  <c r="IP26" i="20"/>
  <c r="IQ26" i="20"/>
  <c r="IR26" i="20"/>
  <c r="IS26" i="20"/>
  <c r="IT26" i="20"/>
  <c r="IU26" i="20"/>
  <c r="IV26" i="20"/>
  <c r="IW26" i="20"/>
  <c r="IX26" i="20"/>
  <c r="IY26" i="20"/>
  <c r="IZ26" i="20"/>
  <c r="JA26" i="20"/>
  <c r="JB26" i="20"/>
  <c r="JC26" i="20"/>
  <c r="JD26" i="20"/>
  <c r="JE26" i="20"/>
  <c r="JF26" i="20"/>
  <c r="JG26" i="20"/>
  <c r="JH26" i="20"/>
  <c r="JI26" i="20"/>
  <c r="JJ26" i="20"/>
  <c r="JK26" i="20"/>
  <c r="JL26" i="20"/>
  <c r="JM26" i="20"/>
  <c r="JN26" i="20"/>
  <c r="JO26" i="20"/>
  <c r="JP26" i="20"/>
  <c r="JQ26" i="20"/>
  <c r="JR26" i="20"/>
  <c r="JS26" i="20"/>
  <c r="JT26" i="20"/>
  <c r="JU26" i="20"/>
  <c r="JV26" i="20"/>
  <c r="JW26" i="20"/>
  <c r="JX26" i="20"/>
  <c r="JY26" i="20"/>
  <c r="JZ26" i="20"/>
  <c r="KA26" i="20"/>
  <c r="KB26" i="20"/>
  <c r="KC26" i="20"/>
  <c r="KD26" i="20"/>
  <c r="KE26" i="20"/>
  <c r="KF26" i="20"/>
  <c r="KG26" i="20"/>
  <c r="KH26" i="20"/>
  <c r="KI26" i="20"/>
  <c r="KJ26" i="20"/>
  <c r="KK26" i="20"/>
  <c r="KL26" i="20"/>
  <c r="KM26" i="20"/>
  <c r="KN26" i="20"/>
  <c r="KO26" i="20"/>
  <c r="KP26" i="20"/>
  <c r="KQ26" i="20"/>
  <c r="KR26" i="20"/>
  <c r="KS26" i="20"/>
  <c r="KT26" i="20"/>
  <c r="KU26" i="20"/>
  <c r="KV26" i="20"/>
  <c r="KW26" i="20"/>
  <c r="KX26" i="20"/>
  <c r="KY26" i="20"/>
  <c r="KZ26" i="20"/>
  <c r="LA26" i="20"/>
  <c r="LB26" i="20"/>
  <c r="LC26" i="20"/>
  <c r="LD26" i="20"/>
  <c r="LE26" i="20"/>
  <c r="LF26" i="20"/>
  <c r="LG26" i="20"/>
  <c r="LH26" i="20"/>
  <c r="LI26" i="20"/>
  <c r="LJ26" i="20"/>
  <c r="LK26" i="20"/>
  <c r="LL26" i="20"/>
  <c r="LM26" i="20"/>
  <c r="LN26" i="20"/>
  <c r="LO26" i="20"/>
  <c r="LP26" i="20"/>
  <c r="LQ26" i="20"/>
  <c r="LR26" i="20"/>
  <c r="LS26" i="20"/>
  <c r="LT26" i="20"/>
  <c r="LU26" i="20"/>
  <c r="LV26" i="20"/>
  <c r="LW26" i="20"/>
  <c r="LX26" i="20"/>
  <c r="LY26" i="20"/>
  <c r="LZ26" i="20"/>
  <c r="MA26" i="20"/>
  <c r="MB26" i="20"/>
  <c r="MC26" i="20"/>
  <c r="MD26" i="20"/>
  <c r="ME26" i="20"/>
  <c r="MF26" i="20"/>
  <c r="MG26" i="20"/>
  <c r="MH26" i="20"/>
  <c r="MI26" i="20"/>
  <c r="MJ26" i="20"/>
  <c r="MK26" i="20"/>
  <c r="ML26" i="20"/>
  <c r="MM26" i="20"/>
  <c r="MN26" i="20"/>
  <c r="MO26" i="20"/>
  <c r="MP26" i="20"/>
  <c r="MQ26" i="20"/>
  <c r="MR26" i="20"/>
  <c r="MS26" i="20"/>
  <c r="MT26" i="20"/>
  <c r="MU26" i="20"/>
  <c r="MV26" i="20"/>
  <c r="MW26" i="20"/>
  <c r="MX26" i="20"/>
  <c r="MY26" i="20"/>
  <c r="MZ26" i="20"/>
  <c r="NA26" i="20"/>
  <c r="NB26" i="20"/>
  <c r="NC26" i="20"/>
  <c r="ND26" i="20"/>
  <c r="NE26" i="20"/>
  <c r="NF26" i="20"/>
  <c r="NG26" i="20"/>
  <c r="NH26" i="20"/>
  <c r="NI26" i="20"/>
  <c r="NJ26" i="20"/>
  <c r="NK26" i="20"/>
  <c r="NL26" i="20"/>
  <c r="NM26" i="20"/>
  <c r="NN26" i="20"/>
  <c r="NO26" i="20"/>
  <c r="NP26" i="20"/>
  <c r="NQ26" i="20"/>
  <c r="NR26" i="20"/>
  <c r="NS26" i="20"/>
  <c r="NT26" i="20"/>
  <c r="NU26" i="20"/>
  <c r="NV26" i="20"/>
  <c r="NW26" i="20"/>
  <c r="NX26" i="20"/>
  <c r="NY26" i="20"/>
  <c r="NZ26" i="20"/>
  <c r="OA26" i="20"/>
  <c r="OB26" i="20"/>
  <c r="OC26" i="20"/>
  <c r="OD26" i="20"/>
  <c r="OE26" i="20"/>
  <c r="OF26" i="20"/>
  <c r="OG26" i="20"/>
  <c r="OH26" i="20"/>
  <c r="OI26" i="20"/>
  <c r="OJ26" i="20"/>
  <c r="OK26" i="20"/>
  <c r="OL26" i="20"/>
  <c r="OM26" i="20"/>
  <c r="ON26" i="20"/>
  <c r="OO26" i="20"/>
  <c r="OP26" i="20"/>
  <c r="OQ26" i="20"/>
  <c r="OR26" i="20"/>
  <c r="OS26" i="20"/>
  <c r="OT26" i="20"/>
  <c r="OU26" i="20"/>
  <c r="OV26" i="20"/>
  <c r="OW26" i="20"/>
  <c r="OX26" i="20"/>
  <c r="OY26" i="20"/>
  <c r="OZ26" i="20"/>
  <c r="PA26" i="20"/>
  <c r="PB26" i="20"/>
  <c r="PC26" i="20"/>
  <c r="PD26" i="20"/>
  <c r="PE26" i="20"/>
  <c r="PF26" i="20"/>
  <c r="PG26" i="20"/>
  <c r="PH26" i="20"/>
  <c r="PI26" i="20"/>
  <c r="PJ26" i="20"/>
  <c r="PK26" i="20"/>
  <c r="PL26" i="20"/>
  <c r="PM26" i="20"/>
  <c r="PN26" i="20"/>
  <c r="PO26" i="20"/>
  <c r="PP26" i="20"/>
  <c r="PQ26" i="20"/>
  <c r="PR26" i="20"/>
  <c r="PS26" i="20"/>
  <c r="PT26" i="20"/>
  <c r="PU26" i="20"/>
  <c r="PV26" i="20"/>
  <c r="PW26" i="20"/>
  <c r="PX26" i="20"/>
  <c r="PY26" i="20"/>
  <c r="PZ26" i="20"/>
  <c r="QA26" i="20"/>
  <c r="QB26" i="20"/>
  <c r="QC26" i="20"/>
  <c r="QD26" i="20"/>
  <c r="QE26" i="20"/>
  <c r="QF26" i="20"/>
  <c r="QG26" i="20"/>
  <c r="QH26" i="20"/>
  <c r="QI26" i="20"/>
  <c r="QJ26" i="20"/>
  <c r="QK26" i="20"/>
  <c r="QL26" i="20"/>
  <c r="QM26" i="20"/>
  <c r="QN26" i="20"/>
  <c r="QO26" i="20"/>
  <c r="QP26" i="20"/>
  <c r="QQ26" i="20"/>
  <c r="QR26" i="20"/>
  <c r="QS26" i="20"/>
  <c r="QT26" i="20"/>
  <c r="QU26" i="20"/>
  <c r="QV26" i="20"/>
  <c r="QW26" i="20"/>
  <c r="QX26" i="20"/>
  <c r="QY26" i="20"/>
  <c r="QZ26" i="20"/>
  <c r="RA26" i="20"/>
  <c r="RB26" i="20"/>
  <c r="RC26" i="20"/>
  <c r="RD26" i="20"/>
  <c r="RE26" i="20"/>
  <c r="RF26" i="20"/>
  <c r="RG26" i="20"/>
  <c r="RH26" i="20"/>
  <c r="RI26" i="20"/>
  <c r="RJ26" i="20"/>
  <c r="RK26" i="20"/>
  <c r="RL26" i="20"/>
  <c r="RM26" i="20"/>
  <c r="RN26" i="20"/>
  <c r="RO26" i="20"/>
  <c r="RP26" i="20"/>
  <c r="RQ26" i="20"/>
  <c r="RR26" i="20"/>
  <c r="RS26" i="20"/>
  <c r="RT26" i="20"/>
  <c r="RU26" i="20"/>
  <c r="RV26" i="20"/>
  <c r="RW26" i="20"/>
  <c r="RX26" i="20"/>
  <c r="RY26" i="20"/>
  <c r="RZ26" i="20"/>
  <c r="SA26" i="20"/>
  <c r="SB26" i="20"/>
  <c r="SC26" i="20"/>
  <c r="SD26" i="20"/>
  <c r="SE26" i="20"/>
  <c r="SF26" i="20"/>
  <c r="SG26" i="20"/>
  <c r="SH26" i="20"/>
  <c r="SI26" i="20"/>
  <c r="SJ26" i="20"/>
  <c r="SK26" i="20"/>
  <c r="SL26" i="20"/>
  <c r="SM26" i="20"/>
  <c r="SN26" i="20"/>
  <c r="SO26" i="20"/>
  <c r="SP26" i="20"/>
  <c r="SQ26" i="20"/>
  <c r="SR26" i="20"/>
  <c r="SS26" i="20"/>
  <c r="ST26" i="20"/>
  <c r="SU26" i="20"/>
  <c r="SV26" i="20"/>
  <c r="SW26" i="20"/>
  <c r="SX26" i="20"/>
  <c r="SY26" i="20"/>
  <c r="SZ26" i="20"/>
  <c r="TA26" i="20"/>
  <c r="TB26" i="20"/>
  <c r="TC26" i="20"/>
  <c r="TD26" i="20"/>
  <c r="TE26" i="20"/>
  <c r="TF26" i="20"/>
  <c r="TG26" i="20"/>
  <c r="TH26" i="20"/>
  <c r="TI26" i="20"/>
  <c r="TJ26" i="20"/>
  <c r="TK26" i="20"/>
  <c r="TL26" i="20"/>
  <c r="TM26" i="20"/>
  <c r="TN26" i="20"/>
  <c r="TO26" i="20"/>
  <c r="TP26" i="20"/>
  <c r="TQ26" i="20"/>
  <c r="TR26" i="20"/>
  <c r="TS26" i="20"/>
  <c r="TT26" i="20"/>
  <c r="TU26" i="20"/>
  <c r="TV26" i="20"/>
  <c r="TW26" i="20"/>
  <c r="TX26" i="20"/>
  <c r="TY26" i="20"/>
  <c r="TZ26" i="20"/>
  <c r="UA26" i="20"/>
  <c r="UB26" i="20"/>
  <c r="UC26" i="20"/>
  <c r="UD26" i="20"/>
  <c r="UE26" i="20"/>
  <c r="UF26" i="20"/>
  <c r="UG26" i="20"/>
  <c r="UH26" i="20"/>
  <c r="UI26" i="20"/>
  <c r="UJ26" i="20"/>
  <c r="UK26" i="20"/>
  <c r="UL26" i="20"/>
  <c r="UM26" i="20"/>
  <c r="UN26" i="20"/>
  <c r="UO26" i="20"/>
  <c r="UP26" i="20"/>
  <c r="UQ26" i="20"/>
  <c r="UR26" i="20"/>
  <c r="US26" i="20"/>
  <c r="UT26" i="20"/>
  <c r="UU26" i="20"/>
  <c r="UV26" i="20"/>
  <c r="UW26" i="20"/>
  <c r="UX26" i="20"/>
  <c r="UY26" i="20"/>
  <c r="UZ26" i="20"/>
  <c r="VA26" i="20"/>
  <c r="VB26" i="20"/>
  <c r="VC26" i="20"/>
  <c r="VD26" i="20"/>
  <c r="VE26" i="20"/>
  <c r="VF26" i="20"/>
  <c r="VG26" i="20"/>
  <c r="VH26" i="20"/>
  <c r="VI26" i="20"/>
  <c r="VJ26" i="20"/>
  <c r="VK26" i="20"/>
  <c r="VL26" i="20"/>
  <c r="VM26" i="20"/>
  <c r="VN26" i="20"/>
  <c r="VO26" i="20"/>
  <c r="VP26" i="20"/>
  <c r="VQ26" i="20"/>
  <c r="VR26" i="20"/>
  <c r="VS26" i="20"/>
  <c r="VT26" i="20"/>
  <c r="VU26" i="20"/>
  <c r="VV26" i="20"/>
  <c r="VW26" i="20"/>
  <c r="VX26" i="20"/>
  <c r="VY26" i="20"/>
  <c r="VZ26" i="20"/>
  <c r="WA26" i="20"/>
  <c r="WB26" i="20"/>
  <c r="WC26" i="20"/>
  <c r="WD26" i="20"/>
  <c r="WE26" i="20"/>
  <c r="WF26" i="20"/>
  <c r="WG26" i="20"/>
  <c r="WH26" i="20"/>
  <c r="WI26" i="20"/>
  <c r="WJ26" i="20"/>
  <c r="WK26" i="20"/>
  <c r="WL26" i="20"/>
  <c r="WM26" i="20"/>
  <c r="WN26" i="20"/>
  <c r="WO26" i="20"/>
  <c r="WP26" i="20"/>
  <c r="WQ26" i="20"/>
  <c r="WR26" i="20"/>
  <c r="WS26" i="20"/>
  <c r="WT26" i="20"/>
  <c r="WU26" i="20"/>
  <c r="WV26" i="20"/>
  <c r="WW26" i="20"/>
  <c r="WX26" i="20"/>
  <c r="WY26" i="20"/>
  <c r="WZ26" i="20"/>
  <c r="XA26" i="20"/>
  <c r="XB26" i="20"/>
  <c r="XC26" i="20"/>
  <c r="XD26" i="20"/>
  <c r="XE26" i="20"/>
  <c r="XF26" i="20"/>
  <c r="XG26" i="20"/>
  <c r="XH26" i="20"/>
  <c r="XI26" i="20"/>
  <c r="XJ26" i="20"/>
  <c r="XK26" i="20"/>
  <c r="XL26" i="20"/>
  <c r="XM26" i="20"/>
  <c r="XN26" i="20"/>
  <c r="XO26" i="20"/>
  <c r="XP26" i="20"/>
  <c r="XQ26" i="20"/>
  <c r="XR26" i="20"/>
  <c r="XS26" i="20"/>
  <c r="XT26" i="20"/>
  <c r="XU26" i="20"/>
  <c r="XV26" i="20"/>
  <c r="XW26" i="20"/>
  <c r="XX26" i="20"/>
  <c r="XY26" i="20"/>
  <c r="XZ26" i="20"/>
  <c r="YA26" i="20"/>
  <c r="YB26" i="20"/>
  <c r="YC26" i="20"/>
  <c r="YD26" i="20"/>
  <c r="YE26" i="20"/>
  <c r="YF26" i="20"/>
  <c r="YG26" i="20"/>
  <c r="YH26" i="20"/>
  <c r="YI26" i="20"/>
  <c r="YJ26" i="20"/>
  <c r="YK26" i="20"/>
  <c r="YL26" i="20"/>
  <c r="YM26" i="20"/>
  <c r="YN26" i="20"/>
  <c r="YO26" i="20"/>
  <c r="YP26" i="20"/>
  <c r="YQ26" i="20"/>
  <c r="YR26" i="20"/>
  <c r="YS26" i="20"/>
  <c r="YT26" i="20"/>
  <c r="YU26" i="20"/>
  <c r="YV26" i="20"/>
  <c r="YW26" i="20"/>
  <c r="YX26" i="20"/>
  <c r="YY26" i="20"/>
  <c r="YZ26" i="20"/>
  <c r="ZA26" i="20"/>
  <c r="ZB26" i="20"/>
  <c r="ZC26" i="20"/>
  <c r="ZD26" i="20"/>
  <c r="ZE26" i="20"/>
  <c r="ZF26" i="20"/>
  <c r="ZG26" i="20"/>
  <c r="ZH26" i="20"/>
  <c r="ZI26" i="20"/>
  <c r="ZJ26" i="20"/>
  <c r="ZK26" i="20"/>
  <c r="ZL26" i="20"/>
  <c r="ZM26" i="20"/>
  <c r="ZN26" i="20"/>
  <c r="ZO26" i="20"/>
  <c r="ZP26" i="20"/>
  <c r="ZQ26" i="20"/>
  <c r="ZR26" i="20"/>
  <c r="ZS26" i="20"/>
  <c r="ZT26" i="20"/>
  <c r="ZU26" i="20"/>
  <c r="ZV26" i="20"/>
  <c r="ZW26" i="20"/>
  <c r="ZX26" i="20"/>
  <c r="ZY26" i="20"/>
  <c r="ZZ26" i="20"/>
  <c r="AAA26" i="20"/>
  <c r="AAB26" i="20"/>
  <c r="AAC26" i="20"/>
  <c r="C27" i="20"/>
  <c r="D27" i="20"/>
  <c r="E27" i="20"/>
  <c r="F27" i="20"/>
  <c r="G27" i="20"/>
  <c r="H27" i="20"/>
  <c r="I27" i="20"/>
  <c r="J27" i="20"/>
  <c r="K27" i="20"/>
  <c r="L27" i="20"/>
  <c r="M27" i="20"/>
  <c r="N27" i="20"/>
  <c r="O27" i="20"/>
  <c r="P27" i="20"/>
  <c r="Q27" i="20"/>
  <c r="R27" i="20"/>
  <c r="S27" i="20"/>
  <c r="T27" i="20"/>
  <c r="U27" i="20"/>
  <c r="V27" i="20"/>
  <c r="W27" i="20"/>
  <c r="X27" i="20"/>
  <c r="Y27" i="20"/>
  <c r="Z27" i="20"/>
  <c r="AA27" i="20"/>
  <c r="AB27" i="20"/>
  <c r="AC27" i="20"/>
  <c r="AD27" i="20"/>
  <c r="AE27" i="20"/>
  <c r="AF27" i="20"/>
  <c r="AG27" i="20"/>
  <c r="AH27" i="20"/>
  <c r="AI27" i="20"/>
  <c r="AJ27" i="20"/>
  <c r="AK27" i="20"/>
  <c r="AL27" i="20"/>
  <c r="AM27" i="20"/>
  <c r="AN27" i="20"/>
  <c r="AO27" i="20"/>
  <c r="AP27" i="20"/>
  <c r="AQ27" i="20"/>
  <c r="AR27" i="20"/>
  <c r="AS27" i="20"/>
  <c r="AT27" i="20"/>
  <c r="AU27" i="20"/>
  <c r="AV27" i="20"/>
  <c r="AW27" i="20"/>
  <c r="AX27" i="20"/>
  <c r="AY27" i="20"/>
  <c r="AZ27" i="20"/>
  <c r="BA27" i="20"/>
  <c r="BB27" i="20"/>
  <c r="BC27" i="20"/>
  <c r="BD27" i="20"/>
  <c r="BE27" i="20"/>
  <c r="BF27" i="20"/>
  <c r="BG27" i="20"/>
  <c r="BH27" i="20"/>
  <c r="BI27" i="20"/>
  <c r="BJ27" i="20"/>
  <c r="BK27" i="20"/>
  <c r="BL27" i="20"/>
  <c r="BM27" i="20"/>
  <c r="BN27" i="20"/>
  <c r="BO27" i="20"/>
  <c r="BP27" i="20"/>
  <c r="BQ27" i="20"/>
  <c r="BR27" i="20"/>
  <c r="BS27" i="20"/>
  <c r="BT27" i="20"/>
  <c r="BU27" i="20"/>
  <c r="BV27" i="20"/>
  <c r="BW27" i="20"/>
  <c r="BX27" i="20"/>
  <c r="BY27" i="20"/>
  <c r="BZ27" i="20"/>
  <c r="CA27" i="20"/>
  <c r="CB27" i="20"/>
  <c r="CC27" i="20"/>
  <c r="CD27" i="20"/>
  <c r="CE27" i="20"/>
  <c r="CF27" i="20"/>
  <c r="CG27" i="20"/>
  <c r="CH27" i="20"/>
  <c r="CI27" i="20"/>
  <c r="CJ27" i="20"/>
  <c r="CK27" i="20"/>
  <c r="CL27" i="20"/>
  <c r="CM27" i="20"/>
  <c r="CN27" i="20"/>
  <c r="CO27" i="20"/>
  <c r="CP27" i="20"/>
  <c r="CQ27" i="20"/>
  <c r="CR27" i="20"/>
  <c r="CS27" i="20"/>
  <c r="CT27" i="20"/>
  <c r="CU27" i="20"/>
  <c r="CV27" i="20"/>
  <c r="CW27" i="20"/>
  <c r="CX27" i="20"/>
  <c r="CY27" i="20"/>
  <c r="CZ27" i="20"/>
  <c r="DA27" i="20"/>
  <c r="DB27" i="20"/>
  <c r="DC27" i="20"/>
  <c r="DD27" i="20"/>
  <c r="DE27" i="20"/>
  <c r="DF27" i="20"/>
  <c r="DG27" i="20"/>
  <c r="DH27" i="20"/>
  <c r="DI27" i="20"/>
  <c r="DJ27" i="20"/>
  <c r="DK27" i="20"/>
  <c r="DL27" i="20"/>
  <c r="DM27" i="20"/>
  <c r="DN27" i="20"/>
  <c r="DO27" i="20"/>
  <c r="DP27" i="20"/>
  <c r="DQ27" i="20"/>
  <c r="DR27" i="20"/>
  <c r="DS27" i="20"/>
  <c r="DT27" i="20"/>
  <c r="DU27" i="20"/>
  <c r="DV27" i="20"/>
  <c r="DW27" i="20"/>
  <c r="DX27" i="20"/>
  <c r="DY27" i="20"/>
  <c r="DZ27" i="20"/>
  <c r="EA27" i="20"/>
  <c r="EB27" i="20"/>
  <c r="EC27" i="20"/>
  <c r="ED27" i="20"/>
  <c r="EE27" i="20"/>
  <c r="EF27" i="20"/>
  <c r="EG27" i="20"/>
  <c r="EH27" i="20"/>
  <c r="EI27" i="20"/>
  <c r="EJ27" i="20"/>
  <c r="EK27" i="20"/>
  <c r="EL27" i="20"/>
  <c r="EM27" i="20"/>
  <c r="EN27" i="20"/>
  <c r="EO27" i="20"/>
  <c r="EP27" i="20"/>
  <c r="EQ27" i="20"/>
  <c r="ER27" i="20"/>
  <c r="ES27" i="20"/>
  <c r="ET27" i="20"/>
  <c r="EU27" i="20"/>
  <c r="EV27" i="20"/>
  <c r="EW27" i="20"/>
  <c r="EX27" i="20"/>
  <c r="EY27" i="20"/>
  <c r="EZ27" i="20"/>
  <c r="FA27" i="20"/>
  <c r="FB27" i="20"/>
  <c r="FC27" i="20"/>
  <c r="FD27" i="20"/>
  <c r="FE27" i="20"/>
  <c r="FF27" i="20"/>
  <c r="FG27" i="20"/>
  <c r="FH27" i="20"/>
  <c r="FI27" i="20"/>
  <c r="FJ27" i="20"/>
  <c r="FK27" i="20"/>
  <c r="FL27" i="20"/>
  <c r="FM27" i="20"/>
  <c r="FN27" i="20"/>
  <c r="FO27" i="20"/>
  <c r="FP27" i="20"/>
  <c r="FQ27" i="20"/>
  <c r="FR27" i="20"/>
  <c r="FS27" i="20"/>
  <c r="FT27" i="20"/>
  <c r="FU27" i="20"/>
  <c r="FV27" i="20"/>
  <c r="FW27" i="20"/>
  <c r="FX27" i="20"/>
  <c r="FY27" i="20"/>
  <c r="FZ27" i="20"/>
  <c r="GA27" i="20"/>
  <c r="GB27" i="20"/>
  <c r="GC27" i="20"/>
  <c r="GD27" i="20"/>
  <c r="GE27" i="20"/>
  <c r="GF27" i="20"/>
  <c r="GG27" i="20"/>
  <c r="GH27" i="20"/>
  <c r="GI27" i="20"/>
  <c r="GJ27" i="20"/>
  <c r="GK27" i="20"/>
  <c r="GL27" i="20"/>
  <c r="GM27" i="20"/>
  <c r="GN27" i="20"/>
  <c r="GO27" i="20"/>
  <c r="GP27" i="20"/>
  <c r="GQ27" i="20"/>
  <c r="GR27" i="20"/>
  <c r="GS27" i="20"/>
  <c r="GT27" i="20"/>
  <c r="GU27" i="20"/>
  <c r="GV27" i="20"/>
  <c r="GW27" i="20"/>
  <c r="GX27" i="20"/>
  <c r="GY27" i="20"/>
  <c r="GZ27" i="20"/>
  <c r="HA27" i="20"/>
  <c r="HB27" i="20"/>
  <c r="HC27" i="20"/>
  <c r="HD27" i="20"/>
  <c r="HE27" i="20"/>
  <c r="HF27" i="20"/>
  <c r="HG27" i="20"/>
  <c r="HH27" i="20"/>
  <c r="HI27" i="20"/>
  <c r="HJ27" i="20"/>
  <c r="HK27" i="20"/>
  <c r="HL27" i="20"/>
  <c r="HM27" i="20"/>
  <c r="HN27" i="20"/>
  <c r="HO27" i="20"/>
  <c r="HP27" i="20"/>
  <c r="HQ27" i="20"/>
  <c r="HR27" i="20"/>
  <c r="HS27" i="20"/>
  <c r="HT27" i="20"/>
  <c r="HU27" i="20"/>
  <c r="HV27" i="20"/>
  <c r="HW27" i="20"/>
  <c r="HX27" i="20"/>
  <c r="HY27" i="20"/>
  <c r="HZ27" i="20"/>
  <c r="IA27" i="20"/>
  <c r="IB27" i="20"/>
  <c r="IC27" i="20"/>
  <c r="ID27" i="20"/>
  <c r="IE27" i="20"/>
  <c r="IF27" i="20"/>
  <c r="IG27" i="20"/>
  <c r="IH27" i="20"/>
  <c r="II27" i="20"/>
  <c r="IJ27" i="20"/>
  <c r="IK27" i="20"/>
  <c r="IL27" i="20"/>
  <c r="IM27" i="20"/>
  <c r="IN27" i="20"/>
  <c r="IO27" i="20"/>
  <c r="IP27" i="20"/>
  <c r="IQ27" i="20"/>
  <c r="IR27" i="20"/>
  <c r="IS27" i="20"/>
  <c r="IT27" i="20"/>
  <c r="IU27" i="20"/>
  <c r="IV27" i="20"/>
  <c r="IW27" i="20"/>
  <c r="IX27" i="20"/>
  <c r="IY27" i="20"/>
  <c r="IZ27" i="20"/>
  <c r="JA27" i="20"/>
  <c r="JB27" i="20"/>
  <c r="JC27" i="20"/>
  <c r="JD27" i="20"/>
  <c r="JE27" i="20"/>
  <c r="JF27" i="20"/>
  <c r="JG27" i="20"/>
  <c r="JH27" i="20"/>
  <c r="JI27" i="20"/>
  <c r="JJ27" i="20"/>
  <c r="JK27" i="20"/>
  <c r="JL27" i="20"/>
  <c r="JM27" i="20"/>
  <c r="JN27" i="20"/>
  <c r="JO27" i="20"/>
  <c r="JP27" i="20"/>
  <c r="JQ27" i="20"/>
  <c r="JR27" i="20"/>
  <c r="JS27" i="20"/>
  <c r="JT27" i="20"/>
  <c r="JU27" i="20"/>
  <c r="JV27" i="20"/>
  <c r="JW27" i="20"/>
  <c r="JX27" i="20"/>
  <c r="JY27" i="20"/>
  <c r="JZ27" i="20"/>
  <c r="KA27" i="20"/>
  <c r="KB27" i="20"/>
  <c r="KC27" i="20"/>
  <c r="KD27" i="20"/>
  <c r="KE27" i="20"/>
  <c r="KF27" i="20"/>
  <c r="KG27" i="20"/>
  <c r="KH27" i="20"/>
  <c r="KI27" i="20"/>
  <c r="KJ27" i="20"/>
  <c r="KK27" i="20"/>
  <c r="KL27" i="20"/>
  <c r="KM27" i="20"/>
  <c r="KN27" i="20"/>
  <c r="KO27" i="20"/>
  <c r="KP27" i="20"/>
  <c r="KQ27" i="20"/>
  <c r="KR27" i="20"/>
  <c r="KS27" i="20"/>
  <c r="KT27" i="20"/>
  <c r="KU27" i="20"/>
  <c r="KV27" i="20"/>
  <c r="KW27" i="20"/>
  <c r="KX27" i="20"/>
  <c r="KY27" i="20"/>
  <c r="KZ27" i="20"/>
  <c r="LA27" i="20"/>
  <c r="LB27" i="20"/>
  <c r="LC27" i="20"/>
  <c r="LD27" i="20"/>
  <c r="LE27" i="20"/>
  <c r="LF27" i="20"/>
  <c r="LG27" i="20"/>
  <c r="LH27" i="20"/>
  <c r="LI27" i="20"/>
  <c r="LJ27" i="20"/>
  <c r="LK27" i="20"/>
  <c r="LL27" i="20"/>
  <c r="LM27" i="20"/>
  <c r="LN27" i="20"/>
  <c r="LO27" i="20"/>
  <c r="LP27" i="20"/>
  <c r="LQ27" i="20"/>
  <c r="LR27" i="20"/>
  <c r="LS27" i="20"/>
  <c r="LT27" i="20"/>
  <c r="LU27" i="20"/>
  <c r="LV27" i="20"/>
  <c r="LW27" i="20"/>
  <c r="LX27" i="20"/>
  <c r="LY27" i="20"/>
  <c r="LZ27" i="20"/>
  <c r="MA27" i="20"/>
  <c r="MB27" i="20"/>
  <c r="MC27" i="20"/>
  <c r="MD27" i="20"/>
  <c r="ME27" i="20"/>
  <c r="MF27" i="20"/>
  <c r="MG27" i="20"/>
  <c r="MH27" i="20"/>
  <c r="MI27" i="20"/>
  <c r="MJ27" i="20"/>
  <c r="MK27" i="20"/>
  <c r="ML27" i="20"/>
  <c r="MM27" i="20"/>
  <c r="MN27" i="20"/>
  <c r="MO27" i="20"/>
  <c r="MP27" i="20"/>
  <c r="MQ27" i="20"/>
  <c r="MR27" i="20"/>
  <c r="MS27" i="20"/>
  <c r="MT27" i="20"/>
  <c r="MU27" i="20"/>
  <c r="MV27" i="20"/>
  <c r="MW27" i="20"/>
  <c r="MX27" i="20"/>
  <c r="MY27" i="20"/>
  <c r="MZ27" i="20"/>
  <c r="NA27" i="20"/>
  <c r="NB27" i="20"/>
  <c r="NC27" i="20"/>
  <c r="ND27" i="20"/>
  <c r="NE27" i="20"/>
  <c r="NF27" i="20"/>
  <c r="NG27" i="20"/>
  <c r="NH27" i="20"/>
  <c r="NI27" i="20"/>
  <c r="NJ27" i="20"/>
  <c r="NK27" i="20"/>
  <c r="NL27" i="20"/>
  <c r="NM27" i="20"/>
  <c r="NN27" i="20"/>
  <c r="NO27" i="20"/>
  <c r="NP27" i="20"/>
  <c r="NQ27" i="20"/>
  <c r="NR27" i="20"/>
  <c r="NS27" i="20"/>
  <c r="NT27" i="20"/>
  <c r="NU27" i="20"/>
  <c r="NV27" i="20"/>
  <c r="NW27" i="20"/>
  <c r="NX27" i="20"/>
  <c r="NY27" i="20"/>
  <c r="NZ27" i="20"/>
  <c r="OA27" i="20"/>
  <c r="OB27" i="20"/>
  <c r="OC27" i="20"/>
  <c r="OD27" i="20"/>
  <c r="OE27" i="20"/>
  <c r="OF27" i="20"/>
  <c r="OG27" i="20"/>
  <c r="OH27" i="20"/>
  <c r="OI27" i="20"/>
  <c r="OJ27" i="20"/>
  <c r="OK27" i="20"/>
  <c r="OL27" i="20"/>
  <c r="OM27" i="20"/>
  <c r="ON27" i="20"/>
  <c r="OO27" i="20"/>
  <c r="OP27" i="20"/>
  <c r="OQ27" i="20"/>
  <c r="OR27" i="20"/>
  <c r="OS27" i="20"/>
  <c r="OT27" i="20"/>
  <c r="OU27" i="20"/>
  <c r="OV27" i="20"/>
  <c r="OW27" i="20"/>
  <c r="OX27" i="20"/>
  <c r="OY27" i="20"/>
  <c r="OZ27" i="20"/>
  <c r="PA27" i="20"/>
  <c r="PB27" i="20"/>
  <c r="PC27" i="20"/>
  <c r="PD27" i="20"/>
  <c r="PE27" i="20"/>
  <c r="PF27" i="20"/>
  <c r="PG27" i="20"/>
  <c r="PH27" i="20"/>
  <c r="PI27" i="20"/>
  <c r="PJ27" i="20"/>
  <c r="PK27" i="20"/>
  <c r="PL27" i="20"/>
  <c r="PM27" i="20"/>
  <c r="PN27" i="20"/>
  <c r="PO27" i="20"/>
  <c r="PP27" i="20"/>
  <c r="PQ27" i="20"/>
  <c r="PR27" i="20"/>
  <c r="PS27" i="20"/>
  <c r="PT27" i="20"/>
  <c r="PU27" i="20"/>
  <c r="PV27" i="20"/>
  <c r="PW27" i="20"/>
  <c r="PX27" i="20"/>
  <c r="PY27" i="20"/>
  <c r="PZ27" i="20"/>
  <c r="QA27" i="20"/>
  <c r="QB27" i="20"/>
  <c r="QC27" i="20"/>
  <c r="QD27" i="20"/>
  <c r="QE27" i="20"/>
  <c r="QF27" i="20"/>
  <c r="QG27" i="20"/>
  <c r="QH27" i="20"/>
  <c r="QI27" i="20"/>
  <c r="QJ27" i="20"/>
  <c r="QK27" i="20"/>
  <c r="QL27" i="20"/>
  <c r="QM27" i="20"/>
  <c r="QN27" i="20"/>
  <c r="QO27" i="20"/>
  <c r="QP27" i="20"/>
  <c r="QQ27" i="20"/>
  <c r="QR27" i="20"/>
  <c r="QS27" i="20"/>
  <c r="QT27" i="20"/>
  <c r="QU27" i="20"/>
  <c r="QV27" i="20"/>
  <c r="QW27" i="20"/>
  <c r="QX27" i="20"/>
  <c r="QY27" i="20"/>
  <c r="QZ27" i="20"/>
  <c r="RA27" i="20"/>
  <c r="RB27" i="20"/>
  <c r="RC27" i="20"/>
  <c r="RD27" i="20"/>
  <c r="RE27" i="20"/>
  <c r="RF27" i="20"/>
  <c r="RG27" i="20"/>
  <c r="RH27" i="20"/>
  <c r="RI27" i="20"/>
  <c r="RJ27" i="20"/>
  <c r="RK27" i="20"/>
  <c r="RL27" i="20"/>
  <c r="RM27" i="20"/>
  <c r="RN27" i="20"/>
  <c r="RO27" i="20"/>
  <c r="RP27" i="20"/>
  <c r="RQ27" i="20"/>
  <c r="RR27" i="20"/>
  <c r="RS27" i="20"/>
  <c r="RT27" i="20"/>
  <c r="RU27" i="20"/>
  <c r="RV27" i="20"/>
  <c r="RW27" i="20"/>
  <c r="RX27" i="20"/>
  <c r="RY27" i="20"/>
  <c r="RZ27" i="20"/>
  <c r="SA27" i="20"/>
  <c r="SB27" i="20"/>
  <c r="SC27" i="20"/>
  <c r="SD27" i="20"/>
  <c r="SE27" i="20"/>
  <c r="SF27" i="20"/>
  <c r="SG27" i="20"/>
  <c r="SH27" i="20"/>
  <c r="SI27" i="20"/>
  <c r="SJ27" i="20"/>
  <c r="SK27" i="20"/>
  <c r="SL27" i="20"/>
  <c r="SM27" i="20"/>
  <c r="SN27" i="20"/>
  <c r="SO27" i="20"/>
  <c r="SP27" i="20"/>
  <c r="SQ27" i="20"/>
  <c r="SR27" i="20"/>
  <c r="SS27" i="20"/>
  <c r="ST27" i="20"/>
  <c r="SU27" i="20"/>
  <c r="SV27" i="20"/>
  <c r="SW27" i="20"/>
  <c r="SX27" i="20"/>
  <c r="SY27" i="20"/>
  <c r="SZ27" i="20"/>
  <c r="TA27" i="20"/>
  <c r="TB27" i="20"/>
  <c r="TC27" i="20"/>
  <c r="TD27" i="20"/>
  <c r="TE27" i="20"/>
  <c r="TF27" i="20"/>
  <c r="TG27" i="20"/>
  <c r="TH27" i="20"/>
  <c r="TI27" i="20"/>
  <c r="TJ27" i="20"/>
  <c r="TK27" i="20"/>
  <c r="TL27" i="20"/>
  <c r="TM27" i="20"/>
  <c r="TN27" i="20"/>
  <c r="TO27" i="20"/>
  <c r="TP27" i="20"/>
  <c r="TQ27" i="20"/>
  <c r="TR27" i="20"/>
  <c r="TS27" i="20"/>
  <c r="TT27" i="20"/>
  <c r="TU27" i="20"/>
  <c r="TV27" i="20"/>
  <c r="TW27" i="20"/>
  <c r="TX27" i="20"/>
  <c r="TY27" i="20"/>
  <c r="TZ27" i="20"/>
  <c r="UA27" i="20"/>
  <c r="UB27" i="20"/>
  <c r="UC27" i="20"/>
  <c r="UD27" i="20"/>
  <c r="UE27" i="20"/>
  <c r="UF27" i="20"/>
  <c r="UG27" i="20"/>
  <c r="UH27" i="20"/>
  <c r="UI27" i="20"/>
  <c r="UJ27" i="20"/>
  <c r="UK27" i="20"/>
  <c r="UL27" i="20"/>
  <c r="UM27" i="20"/>
  <c r="UN27" i="20"/>
  <c r="UO27" i="20"/>
  <c r="UP27" i="20"/>
  <c r="UQ27" i="20"/>
  <c r="UR27" i="20"/>
  <c r="US27" i="20"/>
  <c r="UT27" i="20"/>
  <c r="UU27" i="20"/>
  <c r="UV27" i="20"/>
  <c r="UW27" i="20"/>
  <c r="UX27" i="20"/>
  <c r="UY27" i="20"/>
  <c r="UZ27" i="20"/>
  <c r="VA27" i="20"/>
  <c r="VB27" i="20"/>
  <c r="VC27" i="20"/>
  <c r="VD27" i="20"/>
  <c r="VE27" i="20"/>
  <c r="VF27" i="20"/>
  <c r="VG27" i="20"/>
  <c r="VH27" i="20"/>
  <c r="VI27" i="20"/>
  <c r="VJ27" i="20"/>
  <c r="VK27" i="20"/>
  <c r="VL27" i="20"/>
  <c r="VM27" i="20"/>
  <c r="VN27" i="20"/>
  <c r="VO27" i="20"/>
  <c r="VP27" i="20"/>
  <c r="VQ27" i="20"/>
  <c r="VR27" i="20"/>
  <c r="VS27" i="20"/>
  <c r="VT27" i="20"/>
  <c r="VU27" i="20"/>
  <c r="VV27" i="20"/>
  <c r="VW27" i="20"/>
  <c r="VX27" i="20"/>
  <c r="VY27" i="20"/>
  <c r="VZ27" i="20"/>
  <c r="WA27" i="20"/>
  <c r="WB27" i="20"/>
  <c r="WC27" i="20"/>
  <c r="WD27" i="20"/>
  <c r="WE27" i="20"/>
  <c r="WF27" i="20"/>
  <c r="WG27" i="20"/>
  <c r="WH27" i="20"/>
  <c r="WI27" i="20"/>
  <c r="WJ27" i="20"/>
  <c r="WK27" i="20"/>
  <c r="WL27" i="20"/>
  <c r="WM27" i="20"/>
  <c r="WN27" i="20"/>
  <c r="WO27" i="20"/>
  <c r="WP27" i="20"/>
  <c r="WQ27" i="20"/>
  <c r="WR27" i="20"/>
  <c r="WS27" i="20"/>
  <c r="WT27" i="20"/>
  <c r="WU27" i="20"/>
  <c r="WV27" i="20"/>
  <c r="WW27" i="20"/>
  <c r="WX27" i="20"/>
  <c r="WY27" i="20"/>
  <c r="WZ27" i="20"/>
  <c r="XA27" i="20"/>
  <c r="XB27" i="20"/>
  <c r="XC27" i="20"/>
  <c r="XD27" i="20"/>
  <c r="XE27" i="20"/>
  <c r="XF27" i="20"/>
  <c r="XG27" i="20"/>
  <c r="XH27" i="20"/>
  <c r="XI27" i="20"/>
  <c r="XJ27" i="20"/>
  <c r="XK27" i="20"/>
  <c r="XL27" i="20"/>
  <c r="XM27" i="20"/>
  <c r="XN27" i="20"/>
  <c r="XO27" i="20"/>
  <c r="XP27" i="20"/>
  <c r="XQ27" i="20"/>
  <c r="XR27" i="20"/>
  <c r="XS27" i="20"/>
  <c r="XT27" i="20"/>
  <c r="XU27" i="20"/>
  <c r="XV27" i="20"/>
  <c r="XW27" i="20"/>
  <c r="XX27" i="20"/>
  <c r="XY27" i="20"/>
  <c r="XZ27" i="20"/>
  <c r="YA27" i="20"/>
  <c r="YB27" i="20"/>
  <c r="YC27" i="20"/>
  <c r="YD27" i="20"/>
  <c r="YE27" i="20"/>
  <c r="YF27" i="20"/>
  <c r="YG27" i="20"/>
  <c r="YH27" i="20"/>
  <c r="YI27" i="20"/>
  <c r="YJ27" i="20"/>
  <c r="YK27" i="20"/>
  <c r="YL27" i="20"/>
  <c r="YM27" i="20"/>
  <c r="YN27" i="20"/>
  <c r="YO27" i="20"/>
  <c r="YP27" i="20"/>
  <c r="YQ27" i="20"/>
  <c r="YR27" i="20"/>
  <c r="YS27" i="20"/>
  <c r="YT27" i="20"/>
  <c r="YU27" i="20"/>
  <c r="YV27" i="20"/>
  <c r="YW27" i="20"/>
  <c r="YX27" i="20"/>
  <c r="YY27" i="20"/>
  <c r="YZ27" i="20"/>
  <c r="ZA27" i="20"/>
  <c r="ZB27" i="20"/>
  <c r="ZC27" i="20"/>
  <c r="ZD27" i="20"/>
  <c r="ZE27" i="20"/>
  <c r="ZF27" i="20"/>
  <c r="ZG27" i="20"/>
  <c r="ZH27" i="20"/>
  <c r="ZI27" i="20"/>
  <c r="ZJ27" i="20"/>
  <c r="ZK27" i="20"/>
  <c r="ZL27" i="20"/>
  <c r="ZM27" i="20"/>
  <c r="ZN27" i="20"/>
  <c r="ZO27" i="20"/>
  <c r="ZP27" i="20"/>
  <c r="ZQ27" i="20"/>
  <c r="ZR27" i="20"/>
  <c r="ZS27" i="20"/>
  <c r="ZT27" i="20"/>
  <c r="ZU27" i="20"/>
  <c r="ZV27" i="20"/>
  <c r="ZW27" i="20"/>
  <c r="ZX27" i="20"/>
  <c r="ZY27" i="20"/>
  <c r="ZZ27" i="20"/>
  <c r="AAA27" i="20"/>
  <c r="AAB27" i="20"/>
  <c r="AAC27" i="20"/>
  <c r="C28" i="20"/>
  <c r="D28" i="20"/>
  <c r="E28" i="20"/>
  <c r="F28" i="20"/>
  <c r="G28" i="20"/>
  <c r="H28" i="20"/>
  <c r="I28" i="20"/>
  <c r="J28" i="20"/>
  <c r="K28" i="20"/>
  <c r="L28" i="20"/>
  <c r="M28" i="20"/>
  <c r="N28" i="20"/>
  <c r="O28" i="20"/>
  <c r="P28" i="20"/>
  <c r="Q28" i="20"/>
  <c r="R28" i="20"/>
  <c r="S28" i="20"/>
  <c r="T28" i="20"/>
  <c r="U28" i="20"/>
  <c r="V28" i="20"/>
  <c r="W28" i="20"/>
  <c r="X28" i="20"/>
  <c r="Y28" i="20"/>
  <c r="Z28" i="20"/>
  <c r="AA28" i="20"/>
  <c r="AB28" i="20"/>
  <c r="AC28" i="20"/>
  <c r="AD28" i="20"/>
  <c r="AE28" i="20"/>
  <c r="AF28" i="20"/>
  <c r="AG28" i="20"/>
  <c r="AH28" i="20"/>
  <c r="AI28" i="20"/>
  <c r="AJ28" i="20"/>
  <c r="AK28" i="20"/>
  <c r="AL28" i="20"/>
  <c r="AM28" i="20"/>
  <c r="AN28" i="20"/>
  <c r="AO28" i="20"/>
  <c r="AP28" i="20"/>
  <c r="AQ28" i="20"/>
  <c r="AR28" i="20"/>
  <c r="AS28" i="20"/>
  <c r="AT28" i="20"/>
  <c r="AU28" i="20"/>
  <c r="AV28" i="20"/>
  <c r="AW28" i="20"/>
  <c r="AX28" i="20"/>
  <c r="AY28" i="20"/>
  <c r="AZ28" i="20"/>
  <c r="BA28" i="20"/>
  <c r="BB28" i="20"/>
  <c r="BC28" i="20"/>
  <c r="BD28" i="20"/>
  <c r="BE28" i="20"/>
  <c r="BF28" i="20"/>
  <c r="BG28" i="20"/>
  <c r="BH28" i="20"/>
  <c r="BI28" i="20"/>
  <c r="BJ28" i="20"/>
  <c r="BK28" i="20"/>
  <c r="BL28" i="20"/>
  <c r="BM28" i="20"/>
  <c r="BN28" i="20"/>
  <c r="BO28" i="20"/>
  <c r="BP28" i="20"/>
  <c r="BQ28" i="20"/>
  <c r="BR28" i="20"/>
  <c r="BS28" i="20"/>
  <c r="BT28" i="20"/>
  <c r="BU28" i="20"/>
  <c r="BV28" i="20"/>
  <c r="BW28" i="20"/>
  <c r="BX28" i="20"/>
  <c r="BY28" i="20"/>
  <c r="BZ28" i="20"/>
  <c r="CA28" i="20"/>
  <c r="CB28" i="20"/>
  <c r="CC28" i="20"/>
  <c r="CD28" i="20"/>
  <c r="CE28" i="20"/>
  <c r="CF28" i="20"/>
  <c r="CG28" i="20"/>
  <c r="CH28" i="20"/>
  <c r="CI28" i="20"/>
  <c r="CJ28" i="20"/>
  <c r="CK28" i="20"/>
  <c r="CL28" i="20"/>
  <c r="CM28" i="20"/>
  <c r="CN28" i="20"/>
  <c r="CO28" i="20"/>
  <c r="CP28" i="20"/>
  <c r="CQ28" i="20"/>
  <c r="CR28" i="20"/>
  <c r="CS28" i="20"/>
  <c r="CT28" i="20"/>
  <c r="CU28" i="20"/>
  <c r="CV28" i="20"/>
  <c r="CW28" i="20"/>
  <c r="CX28" i="20"/>
  <c r="CY28" i="20"/>
  <c r="CZ28" i="20"/>
  <c r="DA28" i="20"/>
  <c r="DB28" i="20"/>
  <c r="DC28" i="20"/>
  <c r="DD28" i="20"/>
  <c r="DE28" i="20"/>
  <c r="DF28" i="20"/>
  <c r="DG28" i="20"/>
  <c r="DH28" i="20"/>
  <c r="DI28" i="20"/>
  <c r="DJ28" i="20"/>
  <c r="DK28" i="20"/>
  <c r="DL28" i="20"/>
  <c r="DM28" i="20"/>
  <c r="DN28" i="20"/>
  <c r="DO28" i="20"/>
  <c r="DP28" i="20"/>
  <c r="DQ28" i="20"/>
  <c r="DR28" i="20"/>
  <c r="DS28" i="20"/>
  <c r="DT28" i="20"/>
  <c r="DU28" i="20"/>
  <c r="DV28" i="20"/>
  <c r="DW28" i="20"/>
  <c r="DX28" i="20"/>
  <c r="DY28" i="20"/>
  <c r="DZ28" i="20"/>
  <c r="EA28" i="20"/>
  <c r="EB28" i="20"/>
  <c r="EC28" i="20"/>
  <c r="ED28" i="20"/>
  <c r="EE28" i="20"/>
  <c r="EF28" i="20"/>
  <c r="EG28" i="20"/>
  <c r="EH28" i="20"/>
  <c r="EI28" i="20"/>
  <c r="EJ28" i="20"/>
  <c r="EK28" i="20"/>
  <c r="EL28" i="20"/>
  <c r="EM28" i="20"/>
  <c r="EN28" i="20"/>
  <c r="EO28" i="20"/>
  <c r="EP28" i="20"/>
  <c r="EQ28" i="20"/>
  <c r="ER28" i="20"/>
  <c r="ES28" i="20"/>
  <c r="ET28" i="20"/>
  <c r="EU28" i="20"/>
  <c r="EV28" i="20"/>
  <c r="EW28" i="20"/>
  <c r="EX28" i="20"/>
  <c r="EY28" i="20"/>
  <c r="EZ28" i="20"/>
  <c r="FA28" i="20"/>
  <c r="FB28" i="20"/>
  <c r="FC28" i="20"/>
  <c r="FD28" i="20"/>
  <c r="FE28" i="20"/>
  <c r="FF28" i="20"/>
  <c r="FG28" i="20"/>
  <c r="FH28" i="20"/>
  <c r="FI28" i="20"/>
  <c r="FJ28" i="20"/>
  <c r="FK28" i="20"/>
  <c r="FL28" i="20"/>
  <c r="FM28" i="20"/>
  <c r="FN28" i="20"/>
  <c r="FO28" i="20"/>
  <c r="FP28" i="20"/>
  <c r="FQ28" i="20"/>
  <c r="FR28" i="20"/>
  <c r="FS28" i="20"/>
  <c r="FT28" i="20"/>
  <c r="FU28" i="20"/>
  <c r="FV28" i="20"/>
  <c r="FW28" i="20"/>
  <c r="FX28" i="20"/>
  <c r="FY28" i="20"/>
  <c r="FZ28" i="20"/>
  <c r="GA28" i="20"/>
  <c r="GB28" i="20"/>
  <c r="GC28" i="20"/>
  <c r="GD28" i="20"/>
  <c r="GE28" i="20"/>
  <c r="GF28" i="20"/>
  <c r="GG28" i="20"/>
  <c r="GH28" i="20"/>
  <c r="GI28" i="20"/>
  <c r="GJ28" i="20"/>
  <c r="GK28" i="20"/>
  <c r="GL28" i="20"/>
  <c r="GM28" i="20"/>
  <c r="GN28" i="20"/>
  <c r="GO28" i="20"/>
  <c r="GP28" i="20"/>
  <c r="GQ28" i="20"/>
  <c r="GR28" i="20"/>
  <c r="GS28" i="20"/>
  <c r="GT28" i="20"/>
  <c r="GU28" i="20"/>
  <c r="GV28" i="20"/>
  <c r="GW28" i="20"/>
  <c r="GX28" i="20"/>
  <c r="GY28" i="20"/>
  <c r="GZ28" i="20"/>
  <c r="HA28" i="20"/>
  <c r="HB28" i="20"/>
  <c r="HC28" i="20"/>
  <c r="HD28" i="20"/>
  <c r="HE28" i="20"/>
  <c r="HF28" i="20"/>
  <c r="HG28" i="20"/>
  <c r="HH28" i="20"/>
  <c r="HI28" i="20"/>
  <c r="HJ28" i="20"/>
  <c r="HK28" i="20"/>
  <c r="HL28" i="20"/>
  <c r="HM28" i="20"/>
  <c r="HN28" i="20"/>
  <c r="HO28" i="20"/>
  <c r="HP28" i="20"/>
  <c r="HQ28" i="20"/>
  <c r="HR28" i="20"/>
  <c r="HS28" i="20"/>
  <c r="HT28" i="20"/>
  <c r="HU28" i="20"/>
  <c r="HV28" i="20"/>
  <c r="HW28" i="20"/>
  <c r="HX28" i="20"/>
  <c r="HY28" i="20"/>
  <c r="HZ28" i="20"/>
  <c r="IA28" i="20"/>
  <c r="IB28" i="20"/>
  <c r="IC28" i="20"/>
  <c r="ID28" i="20"/>
  <c r="IE28" i="20"/>
  <c r="IF28" i="20"/>
  <c r="IG28" i="20"/>
  <c r="IH28" i="20"/>
  <c r="II28" i="20"/>
  <c r="IJ28" i="20"/>
  <c r="IK28" i="20"/>
  <c r="IL28" i="20"/>
  <c r="IM28" i="20"/>
  <c r="IN28" i="20"/>
  <c r="IO28" i="20"/>
  <c r="IP28" i="20"/>
  <c r="IQ28" i="20"/>
  <c r="IR28" i="20"/>
  <c r="IS28" i="20"/>
  <c r="IT28" i="20"/>
  <c r="IU28" i="20"/>
  <c r="IV28" i="20"/>
  <c r="IW28" i="20"/>
  <c r="IX28" i="20"/>
  <c r="IY28" i="20"/>
  <c r="IZ28" i="20"/>
  <c r="JA28" i="20"/>
  <c r="JB28" i="20"/>
  <c r="JC28" i="20"/>
  <c r="JD28" i="20"/>
  <c r="JE28" i="20"/>
  <c r="JF28" i="20"/>
  <c r="JG28" i="20"/>
  <c r="JH28" i="20"/>
  <c r="JI28" i="20"/>
  <c r="JJ28" i="20"/>
  <c r="JK28" i="20"/>
  <c r="JL28" i="20"/>
  <c r="JM28" i="20"/>
  <c r="JN28" i="20"/>
  <c r="JO28" i="20"/>
  <c r="JP28" i="20"/>
  <c r="JQ28" i="20"/>
  <c r="JR28" i="20"/>
  <c r="JS28" i="20"/>
  <c r="JT28" i="20"/>
  <c r="JU28" i="20"/>
  <c r="JV28" i="20"/>
  <c r="JW28" i="20"/>
  <c r="JX28" i="20"/>
  <c r="JY28" i="20"/>
  <c r="JZ28" i="20"/>
  <c r="KA28" i="20"/>
  <c r="KB28" i="20"/>
  <c r="KC28" i="20"/>
  <c r="KD28" i="20"/>
  <c r="KE28" i="20"/>
  <c r="KF28" i="20"/>
  <c r="KG28" i="20"/>
  <c r="KH28" i="20"/>
  <c r="KI28" i="20"/>
  <c r="KJ28" i="20"/>
  <c r="KK28" i="20"/>
  <c r="KL28" i="20"/>
  <c r="KM28" i="20"/>
  <c r="KN28" i="20"/>
  <c r="KO28" i="20"/>
  <c r="KP28" i="20"/>
  <c r="KQ28" i="20"/>
  <c r="KR28" i="20"/>
  <c r="KS28" i="20"/>
  <c r="KT28" i="20"/>
  <c r="KU28" i="20"/>
  <c r="KV28" i="20"/>
  <c r="KW28" i="20"/>
  <c r="KX28" i="20"/>
  <c r="KY28" i="20"/>
  <c r="KZ28" i="20"/>
  <c r="LA28" i="20"/>
  <c r="LB28" i="20"/>
  <c r="LC28" i="20"/>
  <c r="LD28" i="20"/>
  <c r="LE28" i="20"/>
  <c r="LF28" i="20"/>
  <c r="LG28" i="20"/>
  <c r="LH28" i="20"/>
  <c r="LI28" i="20"/>
  <c r="LJ28" i="20"/>
  <c r="LK28" i="20"/>
  <c r="LL28" i="20"/>
  <c r="LM28" i="20"/>
  <c r="LN28" i="20"/>
  <c r="LO28" i="20"/>
  <c r="LP28" i="20"/>
  <c r="LQ28" i="20"/>
  <c r="LR28" i="20"/>
  <c r="LS28" i="20"/>
  <c r="LT28" i="20"/>
  <c r="LU28" i="20"/>
  <c r="LV28" i="20"/>
  <c r="LW28" i="20"/>
  <c r="LX28" i="20"/>
  <c r="LY28" i="20"/>
  <c r="LZ28" i="20"/>
  <c r="MA28" i="20"/>
  <c r="MB28" i="20"/>
  <c r="MC28" i="20"/>
  <c r="MD28" i="20"/>
  <c r="ME28" i="20"/>
  <c r="MF28" i="20"/>
  <c r="MG28" i="20"/>
  <c r="MH28" i="20"/>
  <c r="MI28" i="20"/>
  <c r="MJ28" i="20"/>
  <c r="MK28" i="20"/>
  <c r="ML28" i="20"/>
  <c r="MM28" i="20"/>
  <c r="MN28" i="20"/>
  <c r="MO28" i="20"/>
  <c r="MP28" i="20"/>
  <c r="MQ28" i="20"/>
  <c r="MR28" i="20"/>
  <c r="MS28" i="20"/>
  <c r="MT28" i="20"/>
  <c r="MU28" i="20"/>
  <c r="MV28" i="20"/>
  <c r="MW28" i="20"/>
  <c r="MX28" i="20"/>
  <c r="MY28" i="20"/>
  <c r="MZ28" i="20"/>
  <c r="NA28" i="20"/>
  <c r="NB28" i="20"/>
  <c r="NC28" i="20"/>
  <c r="ND28" i="20"/>
  <c r="NE28" i="20"/>
  <c r="NF28" i="20"/>
  <c r="NG28" i="20"/>
  <c r="NH28" i="20"/>
  <c r="NI28" i="20"/>
  <c r="NJ28" i="20"/>
  <c r="NK28" i="20"/>
  <c r="NL28" i="20"/>
  <c r="NM28" i="20"/>
  <c r="NN28" i="20"/>
  <c r="NO28" i="20"/>
  <c r="NP28" i="20"/>
  <c r="NQ28" i="20"/>
  <c r="NR28" i="20"/>
  <c r="NS28" i="20"/>
  <c r="NT28" i="20"/>
  <c r="NU28" i="20"/>
  <c r="NV28" i="20"/>
  <c r="NW28" i="20"/>
  <c r="NX28" i="20"/>
  <c r="NY28" i="20"/>
  <c r="NZ28" i="20"/>
  <c r="OA28" i="20"/>
  <c r="OB28" i="20"/>
  <c r="OC28" i="20"/>
  <c r="OD28" i="20"/>
  <c r="OE28" i="20"/>
  <c r="OF28" i="20"/>
  <c r="OG28" i="20"/>
  <c r="OH28" i="20"/>
  <c r="OI28" i="20"/>
  <c r="OJ28" i="20"/>
  <c r="OK28" i="20"/>
  <c r="OL28" i="20"/>
  <c r="OM28" i="20"/>
  <c r="ON28" i="20"/>
  <c r="OO28" i="20"/>
  <c r="OP28" i="20"/>
  <c r="OQ28" i="20"/>
  <c r="OR28" i="20"/>
  <c r="OS28" i="20"/>
  <c r="OT28" i="20"/>
  <c r="OU28" i="20"/>
  <c r="OV28" i="20"/>
  <c r="OW28" i="20"/>
  <c r="OX28" i="20"/>
  <c r="OY28" i="20"/>
  <c r="OZ28" i="20"/>
  <c r="PA28" i="20"/>
  <c r="PB28" i="20"/>
  <c r="PC28" i="20"/>
  <c r="PD28" i="20"/>
  <c r="PE28" i="20"/>
  <c r="PF28" i="20"/>
  <c r="PG28" i="20"/>
  <c r="PH28" i="20"/>
  <c r="PI28" i="20"/>
  <c r="PJ28" i="20"/>
  <c r="PK28" i="20"/>
  <c r="PL28" i="20"/>
  <c r="PM28" i="20"/>
  <c r="PN28" i="20"/>
  <c r="PO28" i="20"/>
  <c r="PP28" i="20"/>
  <c r="PQ28" i="20"/>
  <c r="PR28" i="20"/>
  <c r="PS28" i="20"/>
  <c r="PT28" i="20"/>
  <c r="PU28" i="20"/>
  <c r="PV28" i="20"/>
  <c r="PW28" i="20"/>
  <c r="PX28" i="20"/>
  <c r="PY28" i="20"/>
  <c r="PZ28" i="20"/>
  <c r="QA28" i="20"/>
  <c r="QB28" i="20"/>
  <c r="QC28" i="20"/>
  <c r="QD28" i="20"/>
  <c r="QE28" i="20"/>
  <c r="QF28" i="20"/>
  <c r="QG28" i="20"/>
  <c r="QH28" i="20"/>
  <c r="QI28" i="20"/>
  <c r="QJ28" i="20"/>
  <c r="QK28" i="20"/>
  <c r="QL28" i="20"/>
  <c r="QM28" i="20"/>
  <c r="QN28" i="20"/>
  <c r="QO28" i="20"/>
  <c r="QP28" i="20"/>
  <c r="QQ28" i="20"/>
  <c r="QR28" i="20"/>
  <c r="QS28" i="20"/>
  <c r="QT28" i="20"/>
  <c r="QU28" i="20"/>
  <c r="QV28" i="20"/>
  <c r="QW28" i="20"/>
  <c r="QX28" i="20"/>
  <c r="QY28" i="20"/>
  <c r="QZ28" i="20"/>
  <c r="RA28" i="20"/>
  <c r="RB28" i="20"/>
  <c r="RC28" i="20"/>
  <c r="RD28" i="20"/>
  <c r="RE28" i="20"/>
  <c r="RF28" i="20"/>
  <c r="RG28" i="20"/>
  <c r="RH28" i="20"/>
  <c r="RI28" i="20"/>
  <c r="RJ28" i="20"/>
  <c r="RK28" i="20"/>
  <c r="RL28" i="20"/>
  <c r="RM28" i="20"/>
  <c r="RN28" i="20"/>
  <c r="RO28" i="20"/>
  <c r="RP28" i="20"/>
  <c r="RQ28" i="20"/>
  <c r="RR28" i="20"/>
  <c r="RS28" i="20"/>
  <c r="RT28" i="20"/>
  <c r="RU28" i="20"/>
  <c r="RV28" i="20"/>
  <c r="RW28" i="20"/>
  <c r="RX28" i="20"/>
  <c r="RY28" i="20"/>
  <c r="RZ28" i="20"/>
  <c r="SA28" i="20"/>
  <c r="SB28" i="20"/>
  <c r="SC28" i="20"/>
  <c r="SD28" i="20"/>
  <c r="SE28" i="20"/>
  <c r="SF28" i="20"/>
  <c r="SG28" i="20"/>
  <c r="SH28" i="20"/>
  <c r="SI28" i="20"/>
  <c r="SJ28" i="20"/>
  <c r="SK28" i="20"/>
  <c r="SL28" i="20"/>
  <c r="SM28" i="20"/>
  <c r="SN28" i="20"/>
  <c r="SO28" i="20"/>
  <c r="SP28" i="20"/>
  <c r="SQ28" i="20"/>
  <c r="SR28" i="20"/>
  <c r="SS28" i="20"/>
  <c r="ST28" i="20"/>
  <c r="SU28" i="20"/>
  <c r="SV28" i="20"/>
  <c r="SW28" i="20"/>
  <c r="SX28" i="20"/>
  <c r="SY28" i="20"/>
  <c r="SZ28" i="20"/>
  <c r="TA28" i="20"/>
  <c r="TB28" i="20"/>
  <c r="TC28" i="20"/>
  <c r="TD28" i="20"/>
  <c r="TE28" i="20"/>
  <c r="TF28" i="20"/>
  <c r="TG28" i="20"/>
  <c r="TH28" i="20"/>
  <c r="TI28" i="20"/>
  <c r="TJ28" i="20"/>
  <c r="TK28" i="20"/>
  <c r="TL28" i="20"/>
  <c r="TM28" i="20"/>
  <c r="TN28" i="20"/>
  <c r="TO28" i="20"/>
  <c r="TP28" i="20"/>
  <c r="TQ28" i="20"/>
  <c r="TR28" i="20"/>
  <c r="TS28" i="20"/>
  <c r="TT28" i="20"/>
  <c r="TU28" i="20"/>
  <c r="TV28" i="20"/>
  <c r="TW28" i="20"/>
  <c r="TX28" i="20"/>
  <c r="TY28" i="20"/>
  <c r="TZ28" i="20"/>
  <c r="UA28" i="20"/>
  <c r="UB28" i="20"/>
  <c r="UC28" i="20"/>
  <c r="UD28" i="20"/>
  <c r="UE28" i="20"/>
  <c r="UF28" i="20"/>
  <c r="UG28" i="20"/>
  <c r="UH28" i="20"/>
  <c r="UI28" i="20"/>
  <c r="UJ28" i="20"/>
  <c r="UK28" i="20"/>
  <c r="UL28" i="20"/>
  <c r="UM28" i="20"/>
  <c r="UN28" i="20"/>
  <c r="UO28" i="20"/>
  <c r="UP28" i="20"/>
  <c r="UQ28" i="20"/>
  <c r="UR28" i="20"/>
  <c r="US28" i="20"/>
  <c r="UT28" i="20"/>
  <c r="UU28" i="20"/>
  <c r="UV28" i="20"/>
  <c r="UW28" i="20"/>
  <c r="UX28" i="20"/>
  <c r="UY28" i="20"/>
  <c r="UZ28" i="20"/>
  <c r="VA28" i="20"/>
  <c r="VB28" i="20"/>
  <c r="VC28" i="20"/>
  <c r="VD28" i="20"/>
  <c r="VE28" i="20"/>
  <c r="VF28" i="20"/>
  <c r="VG28" i="20"/>
  <c r="VH28" i="20"/>
  <c r="VI28" i="20"/>
  <c r="VJ28" i="20"/>
  <c r="VK28" i="20"/>
  <c r="VL28" i="20"/>
  <c r="VM28" i="20"/>
  <c r="VN28" i="20"/>
  <c r="VO28" i="20"/>
  <c r="VP28" i="20"/>
  <c r="VQ28" i="20"/>
  <c r="VR28" i="20"/>
  <c r="VS28" i="20"/>
  <c r="VT28" i="20"/>
  <c r="VU28" i="20"/>
  <c r="VV28" i="20"/>
  <c r="VW28" i="20"/>
  <c r="VX28" i="20"/>
  <c r="VY28" i="20"/>
  <c r="VZ28" i="20"/>
  <c r="WA28" i="20"/>
  <c r="WB28" i="20"/>
  <c r="WC28" i="20"/>
  <c r="WD28" i="20"/>
  <c r="WE28" i="20"/>
  <c r="WF28" i="20"/>
  <c r="WG28" i="20"/>
  <c r="WH28" i="20"/>
  <c r="WI28" i="20"/>
  <c r="WJ28" i="20"/>
  <c r="WK28" i="20"/>
  <c r="WL28" i="20"/>
  <c r="WM28" i="20"/>
  <c r="WN28" i="20"/>
  <c r="WO28" i="20"/>
  <c r="WP28" i="20"/>
  <c r="WQ28" i="20"/>
  <c r="WR28" i="20"/>
  <c r="WS28" i="20"/>
  <c r="WT28" i="20"/>
  <c r="WU28" i="20"/>
  <c r="WV28" i="20"/>
  <c r="WW28" i="20"/>
  <c r="WX28" i="20"/>
  <c r="WY28" i="20"/>
  <c r="WZ28" i="20"/>
  <c r="XA28" i="20"/>
  <c r="XB28" i="20"/>
  <c r="XC28" i="20"/>
  <c r="XD28" i="20"/>
  <c r="XE28" i="20"/>
  <c r="XF28" i="20"/>
  <c r="XG28" i="20"/>
  <c r="XH28" i="20"/>
  <c r="XI28" i="20"/>
  <c r="XJ28" i="20"/>
  <c r="XK28" i="20"/>
  <c r="XL28" i="20"/>
  <c r="XM28" i="20"/>
  <c r="XN28" i="20"/>
  <c r="XO28" i="20"/>
  <c r="XP28" i="20"/>
  <c r="XQ28" i="20"/>
  <c r="XR28" i="20"/>
  <c r="XS28" i="20"/>
  <c r="XT28" i="20"/>
  <c r="XU28" i="20"/>
  <c r="XV28" i="20"/>
  <c r="XW28" i="20"/>
  <c r="XX28" i="20"/>
  <c r="XY28" i="20"/>
  <c r="XZ28" i="20"/>
  <c r="YA28" i="20"/>
  <c r="YB28" i="20"/>
  <c r="YC28" i="20"/>
  <c r="YD28" i="20"/>
  <c r="YE28" i="20"/>
  <c r="YF28" i="20"/>
  <c r="YG28" i="20"/>
  <c r="YH28" i="20"/>
  <c r="YI28" i="20"/>
  <c r="YJ28" i="20"/>
  <c r="YK28" i="20"/>
  <c r="YL28" i="20"/>
  <c r="YM28" i="20"/>
  <c r="YN28" i="20"/>
  <c r="YO28" i="20"/>
  <c r="YP28" i="20"/>
  <c r="YQ28" i="20"/>
  <c r="YR28" i="20"/>
  <c r="YS28" i="20"/>
  <c r="YT28" i="20"/>
  <c r="YU28" i="20"/>
  <c r="YV28" i="20"/>
  <c r="YW28" i="20"/>
  <c r="YX28" i="20"/>
  <c r="YY28" i="20"/>
  <c r="YZ28" i="20"/>
  <c r="ZA28" i="20"/>
  <c r="ZB28" i="20"/>
  <c r="ZC28" i="20"/>
  <c r="ZD28" i="20"/>
  <c r="ZE28" i="20"/>
  <c r="ZF28" i="20"/>
  <c r="ZG28" i="20"/>
  <c r="ZH28" i="20"/>
  <c r="ZI28" i="20"/>
  <c r="ZJ28" i="20"/>
  <c r="ZK28" i="20"/>
  <c r="ZL28" i="20"/>
  <c r="ZM28" i="20"/>
  <c r="ZN28" i="20"/>
  <c r="ZO28" i="20"/>
  <c r="ZP28" i="20"/>
  <c r="ZQ28" i="20"/>
  <c r="ZR28" i="20"/>
  <c r="ZS28" i="20"/>
  <c r="ZT28" i="20"/>
  <c r="ZU28" i="20"/>
  <c r="ZV28" i="20"/>
  <c r="ZW28" i="20"/>
  <c r="ZX28" i="20"/>
  <c r="ZY28" i="20"/>
  <c r="ZZ28" i="20"/>
  <c r="AAA28" i="20"/>
  <c r="AAB28" i="20"/>
  <c r="AAC28" i="20"/>
  <c r="C29" i="20"/>
  <c r="D29" i="20"/>
  <c r="E29" i="20"/>
  <c r="F29" i="20"/>
  <c r="G29" i="20"/>
  <c r="H29" i="20"/>
  <c r="I29" i="20"/>
  <c r="J29" i="20"/>
  <c r="K29" i="20"/>
  <c r="L29" i="20"/>
  <c r="M29" i="20"/>
  <c r="N29" i="20"/>
  <c r="O29" i="20"/>
  <c r="P29" i="20"/>
  <c r="Q29" i="20"/>
  <c r="R29" i="20"/>
  <c r="S29" i="20"/>
  <c r="T29" i="20"/>
  <c r="U29" i="20"/>
  <c r="V29" i="20"/>
  <c r="W29" i="20"/>
  <c r="X29" i="20"/>
  <c r="Y29" i="20"/>
  <c r="Z29" i="20"/>
  <c r="AA29" i="20"/>
  <c r="AB29" i="20"/>
  <c r="AC29" i="20"/>
  <c r="AD29" i="20"/>
  <c r="AE29" i="20"/>
  <c r="AF29" i="20"/>
  <c r="AG29" i="20"/>
  <c r="AH29" i="20"/>
  <c r="AI29" i="20"/>
  <c r="AJ29" i="20"/>
  <c r="AK29" i="20"/>
  <c r="AL29" i="20"/>
  <c r="AM29" i="20"/>
  <c r="AN29" i="20"/>
  <c r="AO29" i="20"/>
  <c r="AP29" i="20"/>
  <c r="AQ29" i="20"/>
  <c r="AR29" i="20"/>
  <c r="AS29" i="20"/>
  <c r="AT29" i="20"/>
  <c r="AU29" i="20"/>
  <c r="AV29" i="20"/>
  <c r="AW29" i="20"/>
  <c r="AX29" i="20"/>
  <c r="AY29" i="20"/>
  <c r="AZ29" i="20"/>
  <c r="BA29" i="20"/>
  <c r="BB29" i="20"/>
  <c r="BC29" i="20"/>
  <c r="BD29" i="20"/>
  <c r="BE29" i="20"/>
  <c r="BF29" i="20"/>
  <c r="BG29" i="20"/>
  <c r="BH29" i="20"/>
  <c r="BI29" i="20"/>
  <c r="BJ29" i="20"/>
  <c r="BK29" i="20"/>
  <c r="BL29" i="20"/>
  <c r="BM29" i="20"/>
  <c r="BN29" i="20"/>
  <c r="BO29" i="20"/>
  <c r="BP29" i="20"/>
  <c r="BQ29" i="20"/>
  <c r="BR29" i="20"/>
  <c r="BS29" i="20"/>
  <c r="BT29" i="20"/>
  <c r="BU29" i="20"/>
  <c r="BV29" i="20"/>
  <c r="BW29" i="20"/>
  <c r="BX29" i="20"/>
  <c r="BY29" i="20"/>
  <c r="BZ29" i="20"/>
  <c r="CA29" i="20"/>
  <c r="CB29" i="20"/>
  <c r="CC29" i="20"/>
  <c r="CD29" i="20"/>
  <c r="CE29" i="20"/>
  <c r="CF29" i="20"/>
  <c r="CG29" i="20"/>
  <c r="CH29" i="20"/>
  <c r="CI29" i="20"/>
  <c r="CJ29" i="20"/>
  <c r="CK29" i="20"/>
  <c r="CL29" i="20"/>
  <c r="CM29" i="20"/>
  <c r="CN29" i="20"/>
  <c r="CO29" i="20"/>
  <c r="CP29" i="20"/>
  <c r="CQ29" i="20"/>
  <c r="CR29" i="20"/>
  <c r="CS29" i="20"/>
  <c r="CT29" i="20"/>
  <c r="CU29" i="20"/>
  <c r="CV29" i="20"/>
  <c r="CW29" i="20"/>
  <c r="CX29" i="20"/>
  <c r="CY29" i="20"/>
  <c r="CZ29" i="20"/>
  <c r="DA29" i="20"/>
  <c r="DB29" i="20"/>
  <c r="DC29" i="20"/>
  <c r="DD29" i="20"/>
  <c r="DE29" i="20"/>
  <c r="DF29" i="20"/>
  <c r="DG29" i="20"/>
  <c r="DH29" i="20"/>
  <c r="DI29" i="20"/>
  <c r="DJ29" i="20"/>
  <c r="DK29" i="20"/>
  <c r="DL29" i="20"/>
  <c r="DM29" i="20"/>
  <c r="DN29" i="20"/>
  <c r="DO29" i="20"/>
  <c r="DP29" i="20"/>
  <c r="DQ29" i="20"/>
  <c r="DR29" i="20"/>
  <c r="DS29" i="20"/>
  <c r="DT29" i="20"/>
  <c r="DU29" i="20"/>
  <c r="DV29" i="20"/>
  <c r="DW29" i="20"/>
  <c r="DX29" i="20"/>
  <c r="DY29" i="20"/>
  <c r="DZ29" i="20"/>
  <c r="EA29" i="20"/>
  <c r="EB29" i="20"/>
  <c r="EC29" i="20"/>
  <c r="ED29" i="20"/>
  <c r="EE29" i="20"/>
  <c r="EF29" i="20"/>
  <c r="EG29" i="20"/>
  <c r="EH29" i="20"/>
  <c r="EI29" i="20"/>
  <c r="EJ29" i="20"/>
  <c r="EK29" i="20"/>
  <c r="EL29" i="20"/>
  <c r="EM29" i="20"/>
  <c r="EN29" i="20"/>
  <c r="EO29" i="20"/>
  <c r="EP29" i="20"/>
  <c r="EQ29" i="20"/>
  <c r="ER29" i="20"/>
  <c r="ES29" i="20"/>
  <c r="ET29" i="20"/>
  <c r="EU29" i="20"/>
  <c r="EV29" i="20"/>
  <c r="EW29" i="20"/>
  <c r="EX29" i="20"/>
  <c r="EY29" i="20"/>
  <c r="EZ29" i="20"/>
  <c r="FA29" i="20"/>
  <c r="FB29" i="20"/>
  <c r="FC29" i="20"/>
  <c r="FD29" i="20"/>
  <c r="FE29" i="20"/>
  <c r="FF29" i="20"/>
  <c r="FG29" i="20"/>
  <c r="FH29" i="20"/>
  <c r="FI29" i="20"/>
  <c r="FJ29" i="20"/>
  <c r="FK29" i="20"/>
  <c r="FL29" i="20"/>
  <c r="FM29" i="20"/>
  <c r="FN29" i="20"/>
  <c r="FO29" i="20"/>
  <c r="FP29" i="20"/>
  <c r="FQ29" i="20"/>
  <c r="FR29" i="20"/>
  <c r="FS29" i="20"/>
  <c r="FT29" i="20"/>
  <c r="FU29" i="20"/>
  <c r="FV29" i="20"/>
  <c r="FW29" i="20"/>
  <c r="FX29" i="20"/>
  <c r="FY29" i="20"/>
  <c r="FZ29" i="20"/>
  <c r="GA29" i="20"/>
  <c r="GB29" i="20"/>
  <c r="GC29" i="20"/>
  <c r="GD29" i="20"/>
  <c r="GE29" i="20"/>
  <c r="GF29" i="20"/>
  <c r="GG29" i="20"/>
  <c r="GH29" i="20"/>
  <c r="GI29" i="20"/>
  <c r="GJ29" i="20"/>
  <c r="GK29" i="20"/>
  <c r="GL29" i="20"/>
  <c r="GM29" i="20"/>
  <c r="GN29" i="20"/>
  <c r="GO29" i="20"/>
  <c r="GP29" i="20"/>
  <c r="GQ29" i="20"/>
  <c r="GR29" i="20"/>
  <c r="GS29" i="20"/>
  <c r="GT29" i="20"/>
  <c r="GU29" i="20"/>
  <c r="GV29" i="20"/>
  <c r="GW29" i="20"/>
  <c r="GX29" i="20"/>
  <c r="GY29" i="20"/>
  <c r="GZ29" i="20"/>
  <c r="HA29" i="20"/>
  <c r="HB29" i="20"/>
  <c r="HC29" i="20"/>
  <c r="HD29" i="20"/>
  <c r="HE29" i="20"/>
  <c r="HF29" i="20"/>
  <c r="HG29" i="20"/>
  <c r="HH29" i="20"/>
  <c r="HI29" i="20"/>
  <c r="HJ29" i="20"/>
  <c r="HK29" i="20"/>
  <c r="HL29" i="20"/>
  <c r="HM29" i="20"/>
  <c r="HN29" i="20"/>
  <c r="HO29" i="20"/>
  <c r="HP29" i="20"/>
  <c r="HQ29" i="20"/>
  <c r="HR29" i="20"/>
  <c r="HS29" i="20"/>
  <c r="HT29" i="20"/>
  <c r="HU29" i="20"/>
  <c r="HV29" i="20"/>
  <c r="HW29" i="20"/>
  <c r="HX29" i="20"/>
  <c r="HY29" i="20"/>
  <c r="HZ29" i="20"/>
  <c r="IA29" i="20"/>
  <c r="IB29" i="20"/>
  <c r="IC29" i="20"/>
  <c r="ID29" i="20"/>
  <c r="IE29" i="20"/>
  <c r="IF29" i="20"/>
  <c r="IG29" i="20"/>
  <c r="IH29" i="20"/>
  <c r="II29" i="20"/>
  <c r="IJ29" i="20"/>
  <c r="IK29" i="20"/>
  <c r="IL29" i="20"/>
  <c r="IM29" i="20"/>
  <c r="IN29" i="20"/>
  <c r="IO29" i="20"/>
  <c r="IP29" i="20"/>
  <c r="IQ29" i="20"/>
  <c r="IR29" i="20"/>
  <c r="IS29" i="20"/>
  <c r="IT29" i="20"/>
  <c r="IU29" i="20"/>
  <c r="IV29" i="20"/>
  <c r="IW29" i="20"/>
  <c r="IX29" i="20"/>
  <c r="IY29" i="20"/>
  <c r="IZ29" i="20"/>
  <c r="JA29" i="20"/>
  <c r="JB29" i="20"/>
  <c r="JC29" i="20"/>
  <c r="JD29" i="20"/>
  <c r="JE29" i="20"/>
  <c r="JF29" i="20"/>
  <c r="JG29" i="20"/>
  <c r="JH29" i="20"/>
  <c r="JI29" i="20"/>
  <c r="JJ29" i="20"/>
  <c r="JK29" i="20"/>
  <c r="JL29" i="20"/>
  <c r="JM29" i="20"/>
  <c r="JN29" i="20"/>
  <c r="JO29" i="20"/>
  <c r="JP29" i="20"/>
  <c r="JQ29" i="20"/>
  <c r="JR29" i="20"/>
  <c r="JS29" i="20"/>
  <c r="JT29" i="20"/>
  <c r="JU29" i="20"/>
  <c r="JV29" i="20"/>
  <c r="JW29" i="20"/>
  <c r="JX29" i="20"/>
  <c r="JY29" i="20"/>
  <c r="JZ29" i="20"/>
  <c r="KA29" i="20"/>
  <c r="KB29" i="20"/>
  <c r="KC29" i="20"/>
  <c r="KD29" i="20"/>
  <c r="KE29" i="20"/>
  <c r="KF29" i="20"/>
  <c r="KG29" i="20"/>
  <c r="KH29" i="20"/>
  <c r="KI29" i="20"/>
  <c r="KJ29" i="20"/>
  <c r="KK29" i="20"/>
  <c r="KL29" i="20"/>
  <c r="KM29" i="20"/>
  <c r="KN29" i="20"/>
  <c r="KO29" i="20"/>
  <c r="KP29" i="20"/>
  <c r="KQ29" i="20"/>
  <c r="KR29" i="20"/>
  <c r="KS29" i="20"/>
  <c r="KT29" i="20"/>
  <c r="KU29" i="20"/>
  <c r="KV29" i="20"/>
  <c r="KW29" i="20"/>
  <c r="KX29" i="20"/>
  <c r="KY29" i="20"/>
  <c r="KZ29" i="20"/>
  <c r="LA29" i="20"/>
  <c r="LB29" i="20"/>
  <c r="LC29" i="20"/>
  <c r="LD29" i="20"/>
  <c r="LE29" i="20"/>
  <c r="LF29" i="20"/>
  <c r="LG29" i="20"/>
  <c r="LH29" i="20"/>
  <c r="LI29" i="20"/>
  <c r="LJ29" i="20"/>
  <c r="LK29" i="20"/>
  <c r="LL29" i="20"/>
  <c r="LM29" i="20"/>
  <c r="LN29" i="20"/>
  <c r="LO29" i="20"/>
  <c r="LP29" i="20"/>
  <c r="LQ29" i="20"/>
  <c r="LR29" i="20"/>
  <c r="LS29" i="20"/>
  <c r="LT29" i="20"/>
  <c r="LU29" i="20"/>
  <c r="LV29" i="20"/>
  <c r="LW29" i="20"/>
  <c r="LX29" i="20"/>
  <c r="LY29" i="20"/>
  <c r="LZ29" i="20"/>
  <c r="MA29" i="20"/>
  <c r="MB29" i="20"/>
  <c r="MC29" i="20"/>
  <c r="MD29" i="20"/>
  <c r="ME29" i="20"/>
  <c r="MF29" i="20"/>
  <c r="MG29" i="20"/>
  <c r="MH29" i="20"/>
  <c r="MI29" i="20"/>
  <c r="MJ29" i="20"/>
  <c r="MK29" i="20"/>
  <c r="ML29" i="20"/>
  <c r="MM29" i="20"/>
  <c r="MN29" i="20"/>
  <c r="MO29" i="20"/>
  <c r="MP29" i="20"/>
  <c r="MQ29" i="20"/>
  <c r="MR29" i="20"/>
  <c r="MS29" i="20"/>
  <c r="MT29" i="20"/>
  <c r="MU29" i="20"/>
  <c r="MV29" i="20"/>
  <c r="MW29" i="20"/>
  <c r="MX29" i="20"/>
  <c r="MY29" i="20"/>
  <c r="MZ29" i="20"/>
  <c r="NA29" i="20"/>
  <c r="NB29" i="20"/>
  <c r="NC29" i="20"/>
  <c r="ND29" i="20"/>
  <c r="NE29" i="20"/>
  <c r="NF29" i="20"/>
  <c r="NG29" i="20"/>
  <c r="NH29" i="20"/>
  <c r="NI29" i="20"/>
  <c r="NJ29" i="20"/>
  <c r="NK29" i="20"/>
  <c r="NL29" i="20"/>
  <c r="NM29" i="20"/>
  <c r="NN29" i="20"/>
  <c r="NO29" i="20"/>
  <c r="NP29" i="20"/>
  <c r="NQ29" i="20"/>
  <c r="NR29" i="20"/>
  <c r="NS29" i="20"/>
  <c r="NT29" i="20"/>
  <c r="NU29" i="20"/>
  <c r="NV29" i="20"/>
  <c r="NW29" i="20"/>
  <c r="NX29" i="20"/>
  <c r="NY29" i="20"/>
  <c r="NZ29" i="20"/>
  <c r="OA29" i="20"/>
  <c r="OB29" i="20"/>
  <c r="OC29" i="20"/>
  <c r="OD29" i="20"/>
  <c r="OE29" i="20"/>
  <c r="OF29" i="20"/>
  <c r="OG29" i="20"/>
  <c r="OH29" i="20"/>
  <c r="OI29" i="20"/>
  <c r="OJ29" i="20"/>
  <c r="OK29" i="20"/>
  <c r="OL29" i="20"/>
  <c r="OM29" i="20"/>
  <c r="ON29" i="20"/>
  <c r="OO29" i="20"/>
  <c r="OP29" i="20"/>
  <c r="OQ29" i="20"/>
  <c r="OR29" i="20"/>
  <c r="OS29" i="20"/>
  <c r="OT29" i="20"/>
  <c r="OU29" i="20"/>
  <c r="OV29" i="20"/>
  <c r="OW29" i="20"/>
  <c r="OX29" i="20"/>
  <c r="OY29" i="20"/>
  <c r="OZ29" i="20"/>
  <c r="PA29" i="20"/>
  <c r="PB29" i="20"/>
  <c r="PC29" i="20"/>
  <c r="PD29" i="20"/>
  <c r="PE29" i="20"/>
  <c r="PF29" i="20"/>
  <c r="PG29" i="20"/>
  <c r="PH29" i="20"/>
  <c r="PI29" i="20"/>
  <c r="PJ29" i="20"/>
  <c r="PK29" i="20"/>
  <c r="PL29" i="20"/>
  <c r="PM29" i="20"/>
  <c r="PN29" i="20"/>
  <c r="PO29" i="20"/>
  <c r="PP29" i="20"/>
  <c r="PQ29" i="20"/>
  <c r="PR29" i="20"/>
  <c r="PS29" i="20"/>
  <c r="PT29" i="20"/>
  <c r="PU29" i="20"/>
  <c r="PV29" i="20"/>
  <c r="PW29" i="20"/>
  <c r="PX29" i="20"/>
  <c r="PY29" i="20"/>
  <c r="PZ29" i="20"/>
  <c r="QA29" i="20"/>
  <c r="QB29" i="20"/>
  <c r="QC29" i="20"/>
  <c r="QD29" i="20"/>
  <c r="QE29" i="20"/>
  <c r="QF29" i="20"/>
  <c r="QG29" i="20"/>
  <c r="QH29" i="20"/>
  <c r="QI29" i="20"/>
  <c r="QJ29" i="20"/>
  <c r="QK29" i="20"/>
  <c r="QL29" i="20"/>
  <c r="QM29" i="20"/>
  <c r="QN29" i="20"/>
  <c r="QO29" i="20"/>
  <c r="QP29" i="20"/>
  <c r="QQ29" i="20"/>
  <c r="QR29" i="20"/>
  <c r="QS29" i="20"/>
  <c r="QT29" i="20"/>
  <c r="QU29" i="20"/>
  <c r="QV29" i="20"/>
  <c r="QW29" i="20"/>
  <c r="QX29" i="20"/>
  <c r="QY29" i="20"/>
  <c r="QZ29" i="20"/>
  <c r="RA29" i="20"/>
  <c r="RB29" i="20"/>
  <c r="RC29" i="20"/>
  <c r="RD29" i="20"/>
  <c r="RE29" i="20"/>
  <c r="RF29" i="20"/>
  <c r="RG29" i="20"/>
  <c r="RH29" i="20"/>
  <c r="RI29" i="20"/>
  <c r="RJ29" i="20"/>
  <c r="RK29" i="20"/>
  <c r="RL29" i="20"/>
  <c r="RM29" i="20"/>
  <c r="RN29" i="20"/>
  <c r="RO29" i="20"/>
  <c r="RP29" i="20"/>
  <c r="RQ29" i="20"/>
  <c r="RR29" i="20"/>
  <c r="RS29" i="20"/>
  <c r="RT29" i="20"/>
  <c r="RU29" i="20"/>
  <c r="RV29" i="20"/>
  <c r="RW29" i="20"/>
  <c r="RX29" i="20"/>
  <c r="RY29" i="20"/>
  <c r="RZ29" i="20"/>
  <c r="SA29" i="20"/>
  <c r="SB29" i="20"/>
  <c r="SC29" i="20"/>
  <c r="SD29" i="20"/>
  <c r="SE29" i="20"/>
  <c r="SF29" i="20"/>
  <c r="SG29" i="20"/>
  <c r="SH29" i="20"/>
  <c r="SI29" i="20"/>
  <c r="SJ29" i="20"/>
  <c r="SK29" i="20"/>
  <c r="SL29" i="20"/>
  <c r="SM29" i="20"/>
  <c r="SN29" i="20"/>
  <c r="SO29" i="20"/>
  <c r="SP29" i="20"/>
  <c r="SQ29" i="20"/>
  <c r="SR29" i="20"/>
  <c r="SS29" i="20"/>
  <c r="ST29" i="20"/>
  <c r="SU29" i="20"/>
  <c r="SV29" i="20"/>
  <c r="SW29" i="20"/>
  <c r="SX29" i="20"/>
  <c r="SY29" i="20"/>
  <c r="SZ29" i="20"/>
  <c r="TA29" i="20"/>
  <c r="TB29" i="20"/>
  <c r="TC29" i="20"/>
  <c r="TD29" i="20"/>
  <c r="TE29" i="20"/>
  <c r="TF29" i="20"/>
  <c r="TG29" i="20"/>
  <c r="TH29" i="20"/>
  <c r="TI29" i="20"/>
  <c r="TJ29" i="20"/>
  <c r="TK29" i="20"/>
  <c r="TL29" i="20"/>
  <c r="TM29" i="20"/>
  <c r="TN29" i="20"/>
  <c r="TO29" i="20"/>
  <c r="TP29" i="20"/>
  <c r="TQ29" i="20"/>
  <c r="TR29" i="20"/>
  <c r="TS29" i="20"/>
  <c r="TT29" i="20"/>
  <c r="TU29" i="20"/>
  <c r="TV29" i="20"/>
  <c r="TW29" i="20"/>
  <c r="TX29" i="20"/>
  <c r="TY29" i="20"/>
  <c r="TZ29" i="20"/>
  <c r="UA29" i="20"/>
  <c r="UB29" i="20"/>
  <c r="UC29" i="20"/>
  <c r="UD29" i="20"/>
  <c r="UE29" i="20"/>
  <c r="UF29" i="20"/>
  <c r="UG29" i="20"/>
  <c r="UH29" i="20"/>
  <c r="UI29" i="20"/>
  <c r="UJ29" i="20"/>
  <c r="UK29" i="20"/>
  <c r="UL29" i="20"/>
  <c r="UM29" i="20"/>
  <c r="UN29" i="20"/>
  <c r="UO29" i="20"/>
  <c r="UP29" i="20"/>
  <c r="UQ29" i="20"/>
  <c r="UR29" i="20"/>
  <c r="US29" i="20"/>
  <c r="UT29" i="20"/>
  <c r="UU29" i="20"/>
  <c r="UV29" i="20"/>
  <c r="UW29" i="20"/>
  <c r="UX29" i="20"/>
  <c r="UY29" i="20"/>
  <c r="UZ29" i="20"/>
  <c r="VA29" i="20"/>
  <c r="VB29" i="20"/>
  <c r="VC29" i="20"/>
  <c r="VD29" i="20"/>
  <c r="VE29" i="20"/>
  <c r="VF29" i="20"/>
  <c r="VG29" i="20"/>
  <c r="VH29" i="20"/>
  <c r="VI29" i="20"/>
  <c r="VJ29" i="20"/>
  <c r="VK29" i="20"/>
  <c r="VL29" i="20"/>
  <c r="VM29" i="20"/>
  <c r="VN29" i="20"/>
  <c r="VO29" i="20"/>
  <c r="VP29" i="20"/>
  <c r="VQ29" i="20"/>
  <c r="VR29" i="20"/>
  <c r="VS29" i="20"/>
  <c r="VT29" i="20"/>
  <c r="VU29" i="20"/>
  <c r="VV29" i="20"/>
  <c r="VW29" i="20"/>
  <c r="VX29" i="20"/>
  <c r="VY29" i="20"/>
  <c r="VZ29" i="20"/>
  <c r="WA29" i="20"/>
  <c r="WB29" i="20"/>
  <c r="WC29" i="20"/>
  <c r="WD29" i="20"/>
  <c r="WE29" i="20"/>
  <c r="WF29" i="20"/>
  <c r="WG29" i="20"/>
  <c r="WH29" i="20"/>
  <c r="WI29" i="20"/>
  <c r="WJ29" i="20"/>
  <c r="WK29" i="20"/>
  <c r="WL29" i="20"/>
  <c r="WM29" i="20"/>
  <c r="WN29" i="20"/>
  <c r="WO29" i="20"/>
  <c r="WP29" i="20"/>
  <c r="WQ29" i="20"/>
  <c r="WR29" i="20"/>
  <c r="WS29" i="20"/>
  <c r="WT29" i="20"/>
  <c r="WU29" i="20"/>
  <c r="WV29" i="20"/>
  <c r="WW29" i="20"/>
  <c r="WX29" i="20"/>
  <c r="WY29" i="20"/>
  <c r="WZ29" i="20"/>
  <c r="XA29" i="20"/>
  <c r="XB29" i="20"/>
  <c r="XC29" i="20"/>
  <c r="XD29" i="20"/>
  <c r="XE29" i="20"/>
  <c r="XF29" i="20"/>
  <c r="XG29" i="20"/>
  <c r="XH29" i="20"/>
  <c r="XI29" i="20"/>
  <c r="XJ29" i="20"/>
  <c r="XK29" i="20"/>
  <c r="XL29" i="20"/>
  <c r="XM29" i="20"/>
  <c r="XN29" i="20"/>
  <c r="XO29" i="20"/>
  <c r="XP29" i="20"/>
  <c r="XQ29" i="20"/>
  <c r="XR29" i="20"/>
  <c r="XS29" i="20"/>
  <c r="XT29" i="20"/>
  <c r="XU29" i="20"/>
  <c r="XV29" i="20"/>
  <c r="XW29" i="20"/>
  <c r="XX29" i="20"/>
  <c r="XY29" i="20"/>
  <c r="XZ29" i="20"/>
  <c r="YA29" i="20"/>
  <c r="YB29" i="20"/>
  <c r="YC29" i="20"/>
  <c r="YD29" i="20"/>
  <c r="YE29" i="20"/>
  <c r="YF29" i="20"/>
  <c r="YG29" i="20"/>
  <c r="YH29" i="20"/>
  <c r="YI29" i="20"/>
  <c r="YJ29" i="20"/>
  <c r="YK29" i="20"/>
  <c r="YL29" i="20"/>
  <c r="YM29" i="20"/>
  <c r="YN29" i="20"/>
  <c r="YO29" i="20"/>
  <c r="YP29" i="20"/>
  <c r="YQ29" i="20"/>
  <c r="YR29" i="20"/>
  <c r="YS29" i="20"/>
  <c r="YT29" i="20"/>
  <c r="YU29" i="20"/>
  <c r="YV29" i="20"/>
  <c r="YW29" i="20"/>
  <c r="YX29" i="20"/>
  <c r="YY29" i="20"/>
  <c r="YZ29" i="20"/>
  <c r="ZA29" i="20"/>
  <c r="ZB29" i="20"/>
  <c r="ZC29" i="20"/>
  <c r="ZD29" i="20"/>
  <c r="ZE29" i="20"/>
  <c r="ZF29" i="20"/>
  <c r="ZG29" i="20"/>
  <c r="ZH29" i="20"/>
  <c r="ZI29" i="20"/>
  <c r="ZJ29" i="20"/>
  <c r="ZK29" i="20"/>
  <c r="ZL29" i="20"/>
  <c r="ZM29" i="20"/>
  <c r="ZN29" i="20"/>
  <c r="ZO29" i="20"/>
  <c r="ZP29" i="20"/>
  <c r="ZQ29" i="20"/>
  <c r="ZR29" i="20"/>
  <c r="ZS29" i="20"/>
  <c r="ZT29" i="20"/>
  <c r="ZU29" i="20"/>
  <c r="ZV29" i="20"/>
  <c r="ZW29" i="20"/>
  <c r="ZX29" i="20"/>
  <c r="ZY29" i="20"/>
  <c r="ZZ29" i="20"/>
  <c r="AAA29" i="20"/>
  <c r="AAB29" i="20"/>
  <c r="AAC29" i="20"/>
  <c r="B14" i="20"/>
  <c r="B15" i="20"/>
  <c r="B16" i="20"/>
  <c r="B17" i="20"/>
  <c r="B18" i="20"/>
  <c r="B19" i="20"/>
  <c r="B20" i="20"/>
  <c r="B21" i="20"/>
  <c r="B22" i="20"/>
  <c r="B23" i="20"/>
  <c r="B24" i="20"/>
  <c r="B25" i="20"/>
  <c r="B26" i="20"/>
  <c r="B27" i="20"/>
  <c r="B28" i="20"/>
  <c r="B29" i="20"/>
  <c r="B4" i="9"/>
  <c r="B5" i="9"/>
  <c r="C5" i="9"/>
  <c r="D5" i="9"/>
  <c r="E5" i="9"/>
  <c r="F5" i="9"/>
  <c r="G5" i="9"/>
  <c r="H5" i="9"/>
  <c r="I5" i="9"/>
  <c r="J5" i="9"/>
  <c r="K5" i="9"/>
  <c r="L5" i="9"/>
  <c r="M5" i="9"/>
  <c r="N5" i="9"/>
  <c r="O5" i="9"/>
  <c r="P5" i="9"/>
  <c r="Q5" i="9"/>
  <c r="R5" i="9"/>
  <c r="S5" i="9"/>
  <c r="T5" i="9"/>
  <c r="U5" i="9"/>
  <c r="V5" i="9"/>
  <c r="W5" i="9"/>
  <c r="X5" i="9"/>
  <c r="Y5" i="9"/>
  <c r="Z5" i="9"/>
  <c r="AA5" i="9"/>
  <c r="AB5" i="9"/>
  <c r="AC5" i="9"/>
  <c r="AD5" i="9"/>
  <c r="AE5" i="9"/>
  <c r="AF5" i="9"/>
  <c r="AG5" i="9"/>
  <c r="AH5" i="9"/>
  <c r="AI5" i="9"/>
  <c r="AJ5" i="9"/>
  <c r="AK5" i="9"/>
  <c r="AL5" i="9"/>
  <c r="AM5" i="9"/>
  <c r="AN5" i="9"/>
  <c r="AO5" i="9"/>
  <c r="AP5" i="9"/>
  <c r="AQ5" i="9"/>
  <c r="AR5" i="9"/>
  <c r="AS5" i="9"/>
  <c r="AT5" i="9"/>
  <c r="AU5" i="9"/>
  <c r="AV5" i="9"/>
  <c r="AW5" i="9"/>
  <c r="AX5" i="9"/>
  <c r="AY5" i="9"/>
  <c r="AZ5" i="9"/>
  <c r="BA5" i="9"/>
  <c r="BB5" i="9"/>
  <c r="BC5" i="9"/>
  <c r="BD5" i="9"/>
  <c r="BE5" i="9"/>
  <c r="BF5" i="9"/>
  <c r="BG5" i="9"/>
  <c r="BH5" i="9"/>
  <c r="BI5" i="9"/>
  <c r="BJ5" i="9"/>
  <c r="BK5" i="9"/>
  <c r="BL5" i="9"/>
  <c r="BM5" i="9"/>
  <c r="BN5" i="9"/>
  <c r="BO5" i="9"/>
  <c r="BP5" i="9"/>
  <c r="BQ5" i="9"/>
  <c r="BR5" i="9"/>
  <c r="BS5" i="9"/>
  <c r="BT5" i="9"/>
  <c r="BU5" i="9"/>
  <c r="BV5" i="9"/>
  <c r="BW5" i="9"/>
  <c r="BX5" i="9"/>
  <c r="BY5" i="9"/>
  <c r="BZ5" i="9"/>
  <c r="CA5" i="9"/>
  <c r="CB5" i="9"/>
  <c r="CC5" i="9"/>
  <c r="CD5" i="9"/>
  <c r="CE5" i="9"/>
  <c r="CF5" i="9"/>
  <c r="CG5" i="9"/>
  <c r="CH5" i="9"/>
  <c r="CI5" i="9"/>
  <c r="CJ5" i="9"/>
  <c r="CK5" i="9"/>
  <c r="CL5" i="9"/>
  <c r="CM5" i="9"/>
  <c r="CN5" i="9"/>
  <c r="CO5" i="9"/>
  <c r="CP5" i="9"/>
  <c r="CQ5" i="9"/>
  <c r="CR5" i="9"/>
  <c r="CS5" i="9"/>
  <c r="CT5" i="9"/>
  <c r="CU5" i="9"/>
  <c r="CV5" i="9"/>
  <c r="CW5" i="9"/>
  <c r="CX5" i="9"/>
  <c r="CY5" i="9"/>
  <c r="CZ5" i="9"/>
  <c r="DA5" i="9"/>
  <c r="DB5" i="9"/>
  <c r="DC5" i="9"/>
  <c r="DD5" i="9"/>
  <c r="DE5" i="9"/>
  <c r="DF5" i="9"/>
  <c r="DG5" i="9"/>
  <c r="DH5" i="9"/>
  <c r="DI5" i="9"/>
  <c r="DJ5" i="9"/>
  <c r="DK5" i="9"/>
  <c r="DL5" i="9"/>
  <c r="DM5" i="9"/>
  <c r="DN5" i="9"/>
  <c r="DO5" i="9"/>
  <c r="DP5" i="9"/>
  <c r="DQ5" i="9"/>
  <c r="DR5" i="9"/>
  <c r="DS5" i="9"/>
  <c r="DT5" i="9"/>
  <c r="DU5" i="9"/>
  <c r="DV5" i="9"/>
  <c r="DW5" i="9"/>
  <c r="DX5" i="9"/>
  <c r="DY5" i="9"/>
  <c r="DZ5" i="9"/>
  <c r="EA5" i="9"/>
  <c r="EB5" i="9"/>
  <c r="EC5" i="9"/>
  <c r="ED5" i="9"/>
  <c r="EE5" i="9"/>
  <c r="EF5" i="9"/>
  <c r="EV5" i="9" s="1"/>
  <c r="FL5" i="9" s="1"/>
  <c r="GB5" i="9" s="1"/>
  <c r="EG5" i="9"/>
  <c r="EH5" i="9"/>
  <c r="EI5" i="9"/>
  <c r="EJ5" i="9"/>
  <c r="EK5" i="9"/>
  <c r="EL5" i="9"/>
  <c r="EM5" i="9"/>
  <c r="EN5" i="9"/>
  <c r="EO5" i="9"/>
  <c r="EP5" i="9"/>
  <c r="EQ5" i="9"/>
  <c r="ER5" i="9"/>
  <c r="ES5" i="9"/>
  <c r="ET5" i="9"/>
  <c r="EU5" i="9"/>
  <c r="EW5" i="9"/>
  <c r="EX5" i="9"/>
  <c r="EY5" i="9"/>
  <c r="EZ5" i="9"/>
  <c r="FA5" i="9"/>
  <c r="FB5" i="9"/>
  <c r="FC5" i="9"/>
  <c r="FD5" i="9"/>
  <c r="FT5" i="9" s="1"/>
  <c r="GJ5" i="9" s="1"/>
  <c r="FE5" i="9"/>
  <c r="FF5" i="9"/>
  <c r="FG5" i="9"/>
  <c r="FH5" i="9"/>
  <c r="FI5" i="9"/>
  <c r="FJ5" i="9"/>
  <c r="FK5" i="9"/>
  <c r="FM5" i="9"/>
  <c r="FN5" i="9"/>
  <c r="FO5" i="9"/>
  <c r="FP5" i="9"/>
  <c r="FQ5" i="9"/>
  <c r="FR5" i="9"/>
  <c r="FS5" i="9"/>
  <c r="FU5" i="9"/>
  <c r="FV5" i="9"/>
  <c r="FW5" i="9"/>
  <c r="FX5" i="9"/>
  <c r="FY5" i="9"/>
  <c r="FZ5" i="9"/>
  <c r="GA5" i="9"/>
  <c r="GC5" i="9"/>
  <c r="GD5" i="9"/>
  <c r="GE5" i="9"/>
  <c r="GF5" i="9"/>
  <c r="GG5" i="9"/>
  <c r="GH5" i="9"/>
  <c r="GI5" i="9"/>
  <c r="GK5" i="9"/>
  <c r="GL5" i="9"/>
  <c r="GM5" i="9"/>
  <c r="GN5" i="9"/>
  <c r="GO5" i="9"/>
  <c r="GP5" i="9"/>
  <c r="GQ5" i="9"/>
  <c r="GR5" i="9"/>
  <c r="GS5" i="9"/>
  <c r="GT5" i="9"/>
  <c r="GU5" i="9"/>
  <c r="GV5" i="9"/>
  <c r="GW5" i="9"/>
  <c r="GX5" i="9"/>
  <c r="GY5" i="9"/>
  <c r="GZ5" i="9"/>
  <c r="HA5" i="9"/>
  <c r="HB5" i="9"/>
  <c r="HC5" i="9"/>
  <c r="HD5" i="9"/>
  <c r="HE5" i="9"/>
  <c r="HF5" i="9"/>
  <c r="HG5" i="9"/>
  <c r="HH5" i="9"/>
  <c r="HI5" i="9"/>
  <c r="HJ5" i="9"/>
  <c r="HK5" i="9"/>
  <c r="HL5" i="9"/>
  <c r="HM5" i="9"/>
  <c r="HN5" i="9"/>
  <c r="HO5" i="9"/>
  <c r="HP5" i="9"/>
  <c r="HQ5" i="9"/>
  <c r="HR5" i="9"/>
  <c r="HS5" i="9"/>
  <c r="HT5" i="9"/>
  <c r="HU5" i="9"/>
  <c r="HV5" i="9"/>
  <c r="HW5" i="9"/>
  <c r="HX5" i="9"/>
  <c r="HY5" i="9"/>
  <c r="HZ5" i="9"/>
  <c r="IA5" i="9"/>
  <c r="IB5" i="9"/>
  <c r="IC5" i="9"/>
  <c r="ID5" i="9"/>
  <c r="IE5" i="9"/>
  <c r="IF5" i="9"/>
  <c r="IG5" i="9"/>
  <c r="IH5" i="9"/>
  <c r="II5" i="9"/>
  <c r="IJ5" i="9"/>
  <c r="IK5" i="9"/>
  <c r="IL5" i="9"/>
  <c r="IM5" i="9"/>
  <c r="IN5" i="9"/>
  <c r="IO5" i="9"/>
  <c r="IP5" i="9"/>
  <c r="IQ5" i="9"/>
  <c r="IR5" i="9"/>
  <c r="IS5" i="9"/>
  <c r="IT5" i="9"/>
  <c r="IU5" i="9"/>
  <c r="IV5" i="9"/>
  <c r="IW5" i="9"/>
  <c r="J6" i="9"/>
  <c r="K6" i="9"/>
  <c r="L6" i="9"/>
  <c r="M6" i="9"/>
  <c r="N6" i="9"/>
  <c r="O6" i="9"/>
  <c r="P6" i="9"/>
  <c r="Q6" i="9"/>
  <c r="Z6" i="9"/>
  <c r="AA6" i="9"/>
  <c r="AB6" i="9"/>
  <c r="AC6" i="9"/>
  <c r="AD6" i="9"/>
  <c r="AE6" i="9"/>
  <c r="AF6" i="9"/>
  <c r="AG6" i="9"/>
  <c r="AP6" i="9"/>
  <c r="AQ6" i="9"/>
  <c r="AR6" i="9"/>
  <c r="AS6" i="9"/>
  <c r="AT6" i="9"/>
  <c r="AU6" i="9"/>
  <c r="AV6" i="9"/>
  <c r="AW6" i="9"/>
  <c r="BF6" i="9"/>
  <c r="BG6" i="9"/>
  <c r="BH6" i="9"/>
  <c r="BI6" i="9"/>
  <c r="BJ6" i="9"/>
  <c r="BK6" i="9"/>
  <c r="BL6" i="9"/>
  <c r="BM6" i="9"/>
  <c r="BN6" i="9"/>
  <c r="BO6" i="9"/>
  <c r="BP6" i="9"/>
  <c r="BQ6" i="9"/>
  <c r="BR6" i="9"/>
  <c r="BS6" i="9"/>
  <c r="BT6" i="9"/>
  <c r="BU6" i="9"/>
  <c r="BV6" i="9"/>
  <c r="BW6" i="9"/>
  <c r="BX6" i="9"/>
  <c r="BY6" i="9"/>
  <c r="BZ6" i="9"/>
  <c r="CA6" i="9"/>
  <c r="CB6" i="9"/>
  <c r="CC6" i="9"/>
  <c r="CD6" i="9"/>
  <c r="CE6" i="9"/>
  <c r="CF6" i="9"/>
  <c r="CG6" i="9"/>
  <c r="CH6" i="9"/>
  <c r="CI6" i="9"/>
  <c r="CJ6" i="9"/>
  <c r="CK6" i="9"/>
  <c r="CL6" i="9"/>
  <c r="CM6" i="9"/>
  <c r="CN6" i="9"/>
  <c r="CO6" i="9"/>
  <c r="CP6" i="9"/>
  <c r="CQ6" i="9"/>
  <c r="CR6" i="9"/>
  <c r="CS6" i="9"/>
  <c r="CT6" i="9"/>
  <c r="CU6" i="9"/>
  <c r="CV6" i="9"/>
  <c r="CW6" i="9"/>
  <c r="CX6" i="9"/>
  <c r="CY6" i="9"/>
  <c r="CZ6" i="9"/>
  <c r="DA6" i="9"/>
  <c r="DB6" i="9"/>
  <c r="DC6" i="9"/>
  <c r="DD6" i="9"/>
  <c r="DE6" i="9"/>
  <c r="DF6" i="9"/>
  <c r="DG6" i="9"/>
  <c r="DH6" i="9"/>
  <c r="DI6" i="9"/>
  <c r="DJ6" i="9"/>
  <c r="DK6" i="9"/>
  <c r="DL6" i="9"/>
  <c r="DM6" i="9"/>
  <c r="DN6" i="9"/>
  <c r="DO6" i="9"/>
  <c r="DP6" i="9"/>
  <c r="DQ6" i="9"/>
  <c r="DR6" i="9"/>
  <c r="DS6" i="9"/>
  <c r="DT6" i="9"/>
  <c r="DU6" i="9"/>
  <c r="DV6" i="9"/>
  <c r="DW6" i="9"/>
  <c r="DX6" i="9"/>
  <c r="DY6" i="9"/>
  <c r="DZ6" i="9"/>
  <c r="EA6" i="9"/>
  <c r="EB6" i="9"/>
  <c r="EC6" i="9"/>
  <c r="ED6" i="9"/>
  <c r="EE6" i="9"/>
  <c r="EF6" i="9"/>
  <c r="EG6" i="9"/>
  <c r="EH6" i="9"/>
  <c r="EI6" i="9"/>
  <c r="EJ6" i="9"/>
  <c r="EK6" i="9"/>
  <c r="EL6" i="9"/>
  <c r="EM6" i="9"/>
  <c r="EN6" i="9"/>
  <c r="EO6" i="9"/>
  <c r="EP6" i="9"/>
  <c r="EQ6" i="9"/>
  <c r="ER6" i="9"/>
  <c r="ES6" i="9"/>
  <c r="ET6" i="9"/>
  <c r="EU6" i="9"/>
  <c r="EV6" i="9"/>
  <c r="EW6" i="9"/>
  <c r="EX6" i="9"/>
  <c r="EY6" i="9"/>
  <c r="EZ6" i="9"/>
  <c r="FA6" i="9"/>
  <c r="FB6" i="9"/>
  <c r="FC6" i="9"/>
  <c r="FD6" i="9"/>
  <c r="FE6" i="9"/>
  <c r="FF6" i="9"/>
  <c r="FG6" i="9"/>
  <c r="FH6" i="9"/>
  <c r="FI6" i="9"/>
  <c r="FJ6" i="9"/>
  <c r="FK6" i="9"/>
  <c r="FL6" i="9"/>
  <c r="FM6" i="9"/>
  <c r="FN6" i="9"/>
  <c r="FO6" i="9"/>
  <c r="FP6" i="9"/>
  <c r="FQ6" i="9"/>
  <c r="FR6" i="9"/>
  <c r="FS6" i="9"/>
  <c r="FT6" i="9"/>
  <c r="FU6" i="9"/>
  <c r="FV6" i="9"/>
  <c r="FW6" i="9"/>
  <c r="FX6" i="9"/>
  <c r="FY6" i="9"/>
  <c r="FZ6" i="9"/>
  <c r="GA6" i="9"/>
  <c r="GB6" i="9"/>
  <c r="GC6" i="9"/>
  <c r="GD6" i="9"/>
  <c r="GE6" i="9"/>
  <c r="GF6" i="9"/>
  <c r="GG6" i="9"/>
  <c r="GH6" i="9"/>
  <c r="GI6" i="9"/>
  <c r="GJ6" i="9"/>
  <c r="GK6" i="9"/>
  <c r="GL6" i="9"/>
  <c r="GM6" i="9"/>
  <c r="GN6" i="9"/>
  <c r="GO6" i="9"/>
  <c r="GP6" i="9"/>
  <c r="GQ6" i="9"/>
  <c r="GR6" i="9"/>
  <c r="GS6" i="9"/>
  <c r="GT6" i="9"/>
  <c r="GU6" i="9"/>
  <c r="GV6" i="9"/>
  <c r="GW6" i="9"/>
  <c r="GX6" i="9"/>
  <c r="GY6" i="9"/>
  <c r="GZ6" i="9"/>
  <c r="HA6" i="9"/>
  <c r="HB6" i="9"/>
  <c r="HC6" i="9"/>
  <c r="HD6" i="9"/>
  <c r="HE6" i="9"/>
  <c r="HF6" i="9"/>
  <c r="HG6" i="9"/>
  <c r="HH6" i="9"/>
  <c r="HI6" i="9"/>
  <c r="HJ6" i="9"/>
  <c r="HK6" i="9"/>
  <c r="HL6" i="9"/>
  <c r="HM6" i="9"/>
  <c r="HN6" i="9"/>
  <c r="HO6" i="9"/>
  <c r="HP6" i="9"/>
  <c r="HQ6" i="9"/>
  <c r="HR6" i="9"/>
  <c r="HS6" i="9"/>
  <c r="HT6" i="9"/>
  <c r="HU6" i="9"/>
  <c r="HV6" i="9"/>
  <c r="HW6" i="9"/>
  <c r="HX6" i="9"/>
  <c r="HY6" i="9"/>
  <c r="HZ6" i="9"/>
  <c r="IA6" i="9"/>
  <c r="IB6" i="9"/>
  <c r="IC6" i="9"/>
  <c r="ID6" i="9"/>
  <c r="IE6" i="9"/>
  <c r="IF6" i="9"/>
  <c r="IV6" i="9" s="1"/>
  <c r="IG6" i="9"/>
  <c r="IH6" i="9"/>
  <c r="II6" i="9"/>
  <c r="IJ6" i="9"/>
  <c r="IK6" i="9"/>
  <c r="IL6" i="9"/>
  <c r="IM6" i="9"/>
  <c r="IN6" i="9"/>
  <c r="IO6" i="9"/>
  <c r="IP6" i="9"/>
  <c r="IQ6" i="9"/>
  <c r="IR6" i="9"/>
  <c r="IS6" i="9"/>
  <c r="IT6" i="9"/>
  <c r="IU6" i="9"/>
  <c r="IW6" i="9"/>
  <c r="J7" i="9"/>
  <c r="K7" i="9"/>
  <c r="L7" i="9"/>
  <c r="M7" i="9"/>
  <c r="N7" i="9"/>
  <c r="O7" i="9"/>
  <c r="P7" i="9"/>
  <c r="Q7" i="9"/>
  <c r="Z7" i="9"/>
  <c r="AA7" i="9"/>
  <c r="AB7" i="9"/>
  <c r="AC7" i="9"/>
  <c r="AD7" i="9"/>
  <c r="AE7" i="9"/>
  <c r="AF7" i="9"/>
  <c r="AG7" i="9"/>
  <c r="AP7" i="9"/>
  <c r="AQ7" i="9"/>
  <c r="AR7" i="9"/>
  <c r="AS7" i="9"/>
  <c r="AT7" i="9"/>
  <c r="AU7" i="9"/>
  <c r="AV7" i="9"/>
  <c r="AW7" i="9"/>
  <c r="BF7" i="9"/>
  <c r="BG7" i="9"/>
  <c r="BH7" i="9"/>
  <c r="BI7" i="9"/>
  <c r="BJ7" i="9"/>
  <c r="BK7" i="9"/>
  <c r="BL7" i="9"/>
  <c r="BM7" i="9"/>
  <c r="BN7" i="9"/>
  <c r="BO7" i="9"/>
  <c r="BP7" i="9"/>
  <c r="BQ7" i="9"/>
  <c r="BR7" i="9"/>
  <c r="BS7" i="9"/>
  <c r="BT7" i="9"/>
  <c r="BU7" i="9"/>
  <c r="BV7" i="9"/>
  <c r="BW7" i="9"/>
  <c r="BX7" i="9"/>
  <c r="BY7" i="9"/>
  <c r="BZ7" i="9"/>
  <c r="CA7" i="9"/>
  <c r="CB7" i="9"/>
  <c r="CC7" i="9"/>
  <c r="CD7" i="9"/>
  <c r="CE7" i="9"/>
  <c r="CF7" i="9"/>
  <c r="CG7" i="9"/>
  <c r="CH7" i="9"/>
  <c r="CI7" i="9"/>
  <c r="CJ7" i="9"/>
  <c r="CK7" i="9"/>
  <c r="CL7" i="9"/>
  <c r="CM7" i="9"/>
  <c r="CN7" i="9"/>
  <c r="CO7" i="9"/>
  <c r="CP7" i="9"/>
  <c r="CQ7" i="9"/>
  <c r="CR7" i="9"/>
  <c r="CS7" i="9"/>
  <c r="CT7" i="9"/>
  <c r="CU7" i="9"/>
  <c r="CV7" i="9"/>
  <c r="CW7" i="9"/>
  <c r="CX7" i="9"/>
  <c r="CY7" i="9"/>
  <c r="CZ7" i="9"/>
  <c r="DA7" i="9"/>
  <c r="DB7" i="9"/>
  <c r="DC7" i="9"/>
  <c r="DD7" i="9"/>
  <c r="DE7" i="9"/>
  <c r="DF7" i="9"/>
  <c r="DG7" i="9"/>
  <c r="DH7" i="9"/>
  <c r="DX7" i="9" s="1"/>
  <c r="DI7" i="9"/>
  <c r="DJ7" i="9"/>
  <c r="DK7" i="9"/>
  <c r="DL7" i="9"/>
  <c r="DM7" i="9"/>
  <c r="DN7" i="9"/>
  <c r="DO7" i="9"/>
  <c r="DP7" i="9"/>
  <c r="DQ7" i="9"/>
  <c r="DR7" i="9"/>
  <c r="DS7" i="9"/>
  <c r="DT7" i="9"/>
  <c r="DU7" i="9"/>
  <c r="DV7" i="9"/>
  <c r="DW7" i="9"/>
  <c r="DY7" i="9"/>
  <c r="DZ7" i="9"/>
  <c r="EA7" i="9"/>
  <c r="EB7" i="9"/>
  <c r="EC7" i="9"/>
  <c r="ED7" i="9"/>
  <c r="EE7" i="9"/>
  <c r="EF7" i="9"/>
  <c r="EG7" i="9"/>
  <c r="EH7" i="9"/>
  <c r="EI7" i="9"/>
  <c r="EJ7" i="9"/>
  <c r="EK7" i="9"/>
  <c r="EL7" i="9"/>
  <c r="EM7" i="9"/>
  <c r="EN7" i="9"/>
  <c r="FD7" i="9" s="1"/>
  <c r="FT7" i="9" s="1"/>
  <c r="GJ7" i="9" s="1"/>
  <c r="EO7" i="9"/>
  <c r="EP7" i="9"/>
  <c r="EQ7" i="9"/>
  <c r="ER7" i="9"/>
  <c r="ES7" i="9"/>
  <c r="ET7" i="9"/>
  <c r="EU7" i="9"/>
  <c r="EV7" i="9"/>
  <c r="EW7" i="9"/>
  <c r="EX7" i="9"/>
  <c r="EY7" i="9"/>
  <c r="EZ7" i="9"/>
  <c r="FA7" i="9"/>
  <c r="FB7" i="9"/>
  <c r="FC7" i="9"/>
  <c r="FE7" i="9"/>
  <c r="FF7" i="9"/>
  <c r="FG7" i="9"/>
  <c r="FH7" i="9"/>
  <c r="FI7" i="9"/>
  <c r="FJ7" i="9"/>
  <c r="FK7" i="9"/>
  <c r="FL7" i="9"/>
  <c r="FM7" i="9"/>
  <c r="FN7" i="9"/>
  <c r="FO7" i="9"/>
  <c r="FP7" i="9"/>
  <c r="FQ7" i="9"/>
  <c r="FR7" i="9"/>
  <c r="FS7" i="9"/>
  <c r="FU7" i="9"/>
  <c r="FV7" i="9"/>
  <c r="FW7" i="9"/>
  <c r="FX7" i="9"/>
  <c r="FY7" i="9"/>
  <c r="FZ7" i="9"/>
  <c r="GA7" i="9"/>
  <c r="GB7" i="9"/>
  <c r="GC7" i="9"/>
  <c r="GD7" i="9"/>
  <c r="GE7" i="9"/>
  <c r="GF7" i="9"/>
  <c r="GG7" i="9"/>
  <c r="GH7" i="9"/>
  <c r="GI7" i="9"/>
  <c r="GK7" i="9"/>
  <c r="GL7" i="9"/>
  <c r="GM7" i="9"/>
  <c r="GN7" i="9"/>
  <c r="GO7" i="9"/>
  <c r="GP7" i="9"/>
  <c r="GQ7" i="9"/>
  <c r="GR7" i="9"/>
  <c r="GS7" i="9"/>
  <c r="GT7" i="9"/>
  <c r="GU7" i="9"/>
  <c r="GV7" i="9"/>
  <c r="GW7" i="9"/>
  <c r="GX7" i="9"/>
  <c r="GY7" i="9"/>
  <c r="GZ7" i="9"/>
  <c r="HP7" i="9" s="1"/>
  <c r="IF7" i="9" s="1"/>
  <c r="IV7" i="9" s="1"/>
  <c r="HA7" i="9"/>
  <c r="HB7" i="9"/>
  <c r="HC7" i="9"/>
  <c r="HD7" i="9"/>
  <c r="HE7" i="9"/>
  <c r="HF7" i="9"/>
  <c r="HG7" i="9"/>
  <c r="HH7" i="9"/>
  <c r="HI7" i="9"/>
  <c r="HJ7" i="9"/>
  <c r="HK7" i="9"/>
  <c r="HL7" i="9"/>
  <c r="HM7" i="9"/>
  <c r="HN7" i="9"/>
  <c r="HO7" i="9"/>
  <c r="HQ7" i="9"/>
  <c r="HR7" i="9"/>
  <c r="HS7" i="9"/>
  <c r="HT7" i="9"/>
  <c r="HU7" i="9"/>
  <c r="HV7" i="9"/>
  <c r="HW7" i="9"/>
  <c r="HX7" i="9"/>
  <c r="IN7" i="9" s="1"/>
  <c r="HY7" i="9"/>
  <c r="HZ7" i="9"/>
  <c r="IA7" i="9"/>
  <c r="IB7" i="9"/>
  <c r="IC7" i="9"/>
  <c r="ID7" i="9"/>
  <c r="IE7" i="9"/>
  <c r="IG7" i="9"/>
  <c r="IH7" i="9"/>
  <c r="II7" i="9"/>
  <c r="IJ7" i="9"/>
  <c r="IK7" i="9"/>
  <c r="IL7" i="9"/>
  <c r="IM7" i="9"/>
  <c r="IO7" i="9"/>
  <c r="IP7" i="9"/>
  <c r="IQ7" i="9"/>
  <c r="IR7" i="9"/>
  <c r="IS7" i="9"/>
  <c r="IT7" i="9"/>
  <c r="IU7" i="9"/>
  <c r="IW7" i="9"/>
  <c r="J8" i="9"/>
  <c r="K8" i="9"/>
  <c r="L8" i="9"/>
  <c r="M8" i="9"/>
  <c r="N8" i="9"/>
  <c r="O8" i="9"/>
  <c r="P8" i="9"/>
  <c r="Q8" i="9"/>
  <c r="Z8" i="9"/>
  <c r="AA8" i="9"/>
  <c r="AB8" i="9"/>
  <c r="AC8" i="9"/>
  <c r="AD8" i="9"/>
  <c r="AE8" i="9"/>
  <c r="AF8" i="9"/>
  <c r="AG8" i="9"/>
  <c r="AP8" i="9"/>
  <c r="AQ8" i="9"/>
  <c r="AR8" i="9"/>
  <c r="AS8" i="9"/>
  <c r="AT8" i="9"/>
  <c r="AU8" i="9"/>
  <c r="AV8" i="9"/>
  <c r="AW8" i="9"/>
  <c r="BF8" i="9"/>
  <c r="BG8" i="9"/>
  <c r="BH8" i="9"/>
  <c r="BI8" i="9"/>
  <c r="BJ8" i="9"/>
  <c r="BK8" i="9"/>
  <c r="BL8" i="9"/>
  <c r="BM8" i="9"/>
  <c r="BN8" i="9"/>
  <c r="BO8" i="9"/>
  <c r="BP8" i="9"/>
  <c r="BQ8" i="9"/>
  <c r="BR8" i="9"/>
  <c r="BS8" i="9"/>
  <c r="BT8" i="9"/>
  <c r="BU8" i="9"/>
  <c r="BV8" i="9"/>
  <c r="BW8" i="9"/>
  <c r="BX8" i="9"/>
  <c r="BY8" i="9"/>
  <c r="BZ8" i="9"/>
  <c r="CA8" i="9"/>
  <c r="CB8" i="9"/>
  <c r="CR8" i="9" s="1"/>
  <c r="DH8" i="9" s="1"/>
  <c r="DX8" i="9" s="1"/>
  <c r="CC8" i="9"/>
  <c r="CD8" i="9"/>
  <c r="CE8" i="9"/>
  <c r="CF8" i="9"/>
  <c r="CG8" i="9"/>
  <c r="CH8" i="9"/>
  <c r="CI8" i="9"/>
  <c r="CJ8" i="9"/>
  <c r="CK8" i="9"/>
  <c r="CL8" i="9"/>
  <c r="CM8" i="9"/>
  <c r="CN8" i="9"/>
  <c r="CO8" i="9"/>
  <c r="CP8" i="9"/>
  <c r="CQ8" i="9"/>
  <c r="CS8" i="9"/>
  <c r="CT8" i="9"/>
  <c r="CU8" i="9"/>
  <c r="CV8" i="9"/>
  <c r="CW8" i="9"/>
  <c r="CX8" i="9"/>
  <c r="CY8" i="9"/>
  <c r="CZ8" i="9"/>
  <c r="DA8" i="9"/>
  <c r="DB8" i="9"/>
  <c r="DC8" i="9"/>
  <c r="DD8" i="9"/>
  <c r="DE8" i="9"/>
  <c r="DF8" i="9"/>
  <c r="DG8" i="9"/>
  <c r="DI8" i="9"/>
  <c r="DJ8" i="9"/>
  <c r="DK8" i="9"/>
  <c r="DL8" i="9"/>
  <c r="DM8" i="9"/>
  <c r="DN8" i="9"/>
  <c r="DO8" i="9"/>
  <c r="DP8" i="9"/>
  <c r="DQ8" i="9"/>
  <c r="DR8" i="9"/>
  <c r="DS8" i="9"/>
  <c r="DT8" i="9"/>
  <c r="DU8" i="9"/>
  <c r="DV8" i="9"/>
  <c r="DW8" i="9"/>
  <c r="DY8" i="9"/>
  <c r="DZ8" i="9"/>
  <c r="EA8" i="9"/>
  <c r="EB8" i="9"/>
  <c r="EC8" i="9"/>
  <c r="ED8" i="9"/>
  <c r="EE8" i="9"/>
  <c r="EF8" i="9"/>
  <c r="EG8" i="9"/>
  <c r="EH8" i="9"/>
  <c r="EI8" i="9"/>
  <c r="EJ8" i="9"/>
  <c r="EK8" i="9"/>
  <c r="EL8" i="9"/>
  <c r="EM8" i="9"/>
  <c r="EN8" i="9"/>
  <c r="EO8" i="9"/>
  <c r="EP8" i="9"/>
  <c r="EQ8" i="9"/>
  <c r="ER8" i="9"/>
  <c r="ES8" i="9"/>
  <c r="ET8" i="9"/>
  <c r="EU8" i="9"/>
  <c r="EV8" i="9"/>
  <c r="EW8" i="9"/>
  <c r="EX8" i="9"/>
  <c r="EY8" i="9"/>
  <c r="EZ8" i="9"/>
  <c r="FA8" i="9"/>
  <c r="FB8" i="9"/>
  <c r="FC8" i="9"/>
  <c r="FD8" i="9"/>
  <c r="FE8" i="9"/>
  <c r="FF8" i="9"/>
  <c r="FG8" i="9"/>
  <c r="FH8" i="9"/>
  <c r="FI8" i="9"/>
  <c r="FJ8" i="9"/>
  <c r="FK8" i="9"/>
  <c r="FL8" i="9"/>
  <c r="FM8" i="9"/>
  <c r="FN8" i="9"/>
  <c r="FO8" i="9"/>
  <c r="FP8" i="9"/>
  <c r="FQ8" i="9"/>
  <c r="FR8" i="9"/>
  <c r="FS8" i="9"/>
  <c r="FT8" i="9"/>
  <c r="FU8" i="9"/>
  <c r="FV8" i="9"/>
  <c r="FW8" i="9"/>
  <c r="FX8" i="9"/>
  <c r="FY8" i="9"/>
  <c r="FZ8" i="9"/>
  <c r="GA8" i="9"/>
  <c r="GB8" i="9"/>
  <c r="GC8" i="9"/>
  <c r="GD8" i="9"/>
  <c r="GE8" i="9"/>
  <c r="GF8" i="9"/>
  <c r="GG8" i="9"/>
  <c r="GH8" i="9"/>
  <c r="GI8" i="9"/>
  <c r="GJ8" i="9"/>
  <c r="GK8" i="9"/>
  <c r="GL8" i="9"/>
  <c r="GM8" i="9"/>
  <c r="GN8" i="9"/>
  <c r="GO8" i="9"/>
  <c r="GP8" i="9"/>
  <c r="GQ8" i="9"/>
  <c r="GR8" i="9"/>
  <c r="HH8" i="9" s="1"/>
  <c r="HX8" i="9" s="1"/>
  <c r="IN8" i="9" s="1"/>
  <c r="GS8" i="9"/>
  <c r="GT8" i="9"/>
  <c r="GU8" i="9"/>
  <c r="GV8" i="9"/>
  <c r="GW8" i="9"/>
  <c r="GX8" i="9"/>
  <c r="GY8" i="9"/>
  <c r="GZ8" i="9"/>
  <c r="HP8" i="9" s="1"/>
  <c r="IF8" i="9" s="1"/>
  <c r="IV8" i="9" s="1"/>
  <c r="HA8" i="9"/>
  <c r="HB8" i="9"/>
  <c r="HC8" i="9"/>
  <c r="HD8" i="9"/>
  <c r="HE8" i="9"/>
  <c r="HF8" i="9"/>
  <c r="HG8" i="9"/>
  <c r="HI8" i="9"/>
  <c r="HJ8" i="9"/>
  <c r="HK8" i="9"/>
  <c r="HL8" i="9"/>
  <c r="HM8" i="9"/>
  <c r="HN8" i="9"/>
  <c r="HO8" i="9"/>
  <c r="HQ8" i="9"/>
  <c r="HR8" i="9"/>
  <c r="HS8" i="9"/>
  <c r="HT8" i="9"/>
  <c r="HU8" i="9"/>
  <c r="HV8" i="9"/>
  <c r="HW8" i="9"/>
  <c r="HY8" i="9"/>
  <c r="HZ8" i="9"/>
  <c r="IA8" i="9"/>
  <c r="IB8" i="9"/>
  <c r="IC8" i="9"/>
  <c r="ID8" i="9"/>
  <c r="IE8" i="9"/>
  <c r="IG8" i="9"/>
  <c r="IH8" i="9"/>
  <c r="II8" i="9"/>
  <c r="IJ8" i="9"/>
  <c r="IK8" i="9"/>
  <c r="IL8" i="9"/>
  <c r="IM8" i="9"/>
  <c r="IO8" i="9"/>
  <c r="IP8" i="9"/>
  <c r="IQ8" i="9"/>
  <c r="IR8" i="9"/>
  <c r="IS8" i="9"/>
  <c r="IT8" i="9"/>
  <c r="IU8" i="9"/>
  <c r="IW8" i="9"/>
  <c r="J9" i="9"/>
  <c r="K9" i="9"/>
  <c r="L9" i="9"/>
  <c r="M9" i="9"/>
  <c r="N9" i="9"/>
  <c r="O9" i="9"/>
  <c r="P9" i="9"/>
  <c r="Q9" i="9"/>
  <c r="Z9" i="9"/>
  <c r="AA9" i="9"/>
  <c r="AB9" i="9"/>
  <c r="AC9" i="9"/>
  <c r="AD9" i="9"/>
  <c r="AE9" i="9"/>
  <c r="AF9" i="9"/>
  <c r="AG9" i="9"/>
  <c r="AP9" i="9"/>
  <c r="AQ9" i="9"/>
  <c r="AR9" i="9"/>
  <c r="AS9" i="9"/>
  <c r="AT9" i="9"/>
  <c r="AU9" i="9"/>
  <c r="AV9" i="9"/>
  <c r="AW9" i="9"/>
  <c r="BF9" i="9"/>
  <c r="BG9" i="9"/>
  <c r="BH9" i="9"/>
  <c r="BI9" i="9"/>
  <c r="BJ9" i="9"/>
  <c r="BK9" i="9"/>
  <c r="BL9" i="9"/>
  <c r="BM9" i="9"/>
  <c r="BN9" i="9"/>
  <c r="BO9" i="9"/>
  <c r="BP9" i="9"/>
  <c r="BQ9" i="9"/>
  <c r="BR9" i="9"/>
  <c r="BS9" i="9"/>
  <c r="BT9" i="9"/>
  <c r="BU9" i="9"/>
  <c r="BV9" i="9"/>
  <c r="BW9" i="9"/>
  <c r="BX9" i="9"/>
  <c r="BY9" i="9"/>
  <c r="BZ9" i="9"/>
  <c r="CA9" i="9"/>
  <c r="CB9" i="9"/>
  <c r="CC9" i="9"/>
  <c r="CD9" i="9"/>
  <c r="CE9" i="9"/>
  <c r="CF9" i="9"/>
  <c r="CG9" i="9"/>
  <c r="CH9" i="9"/>
  <c r="CI9" i="9"/>
  <c r="CJ9" i="9"/>
  <c r="CK9" i="9"/>
  <c r="CL9" i="9"/>
  <c r="CM9" i="9"/>
  <c r="CN9" i="9"/>
  <c r="CO9" i="9"/>
  <c r="CP9" i="9"/>
  <c r="CQ9" i="9"/>
  <c r="CR9" i="9"/>
  <c r="CS9" i="9"/>
  <c r="CT9" i="9"/>
  <c r="CU9" i="9"/>
  <c r="CV9" i="9"/>
  <c r="CW9" i="9"/>
  <c r="CX9" i="9"/>
  <c r="CY9" i="9"/>
  <c r="CZ9" i="9"/>
  <c r="DP9" i="9" s="1"/>
  <c r="DA9" i="9"/>
  <c r="DB9" i="9"/>
  <c r="DC9" i="9"/>
  <c r="DD9" i="9"/>
  <c r="DE9" i="9"/>
  <c r="DF9" i="9"/>
  <c r="DG9" i="9"/>
  <c r="DH9" i="9"/>
  <c r="DX9" i="9" s="1"/>
  <c r="DI9" i="9"/>
  <c r="DJ9" i="9"/>
  <c r="DK9" i="9"/>
  <c r="DL9" i="9"/>
  <c r="DM9" i="9"/>
  <c r="DN9" i="9"/>
  <c r="DO9" i="9"/>
  <c r="DQ9" i="9"/>
  <c r="DR9" i="9"/>
  <c r="DS9" i="9"/>
  <c r="DT9" i="9"/>
  <c r="DU9" i="9"/>
  <c r="DV9" i="9"/>
  <c r="DW9" i="9"/>
  <c r="DY9" i="9"/>
  <c r="DZ9" i="9"/>
  <c r="EA9" i="9"/>
  <c r="EB9" i="9"/>
  <c r="EC9" i="9"/>
  <c r="ED9" i="9"/>
  <c r="EE9" i="9"/>
  <c r="EF9" i="9"/>
  <c r="EG9" i="9"/>
  <c r="EH9" i="9"/>
  <c r="EI9" i="9"/>
  <c r="EJ9" i="9"/>
  <c r="EK9" i="9"/>
  <c r="EL9" i="9"/>
  <c r="EM9" i="9"/>
  <c r="EN9" i="9"/>
  <c r="FD9" i="9" s="1"/>
  <c r="FT9" i="9" s="1"/>
  <c r="GJ9" i="9" s="1"/>
  <c r="EO9" i="9"/>
  <c r="EP9" i="9"/>
  <c r="EQ9" i="9"/>
  <c r="ER9" i="9"/>
  <c r="ES9" i="9"/>
  <c r="ET9" i="9"/>
  <c r="EU9" i="9"/>
  <c r="EV9" i="9"/>
  <c r="EW9" i="9"/>
  <c r="EX9" i="9"/>
  <c r="EY9" i="9"/>
  <c r="EZ9" i="9"/>
  <c r="FA9" i="9"/>
  <c r="FB9" i="9"/>
  <c r="FC9" i="9"/>
  <c r="FE9" i="9"/>
  <c r="FF9" i="9"/>
  <c r="FG9" i="9"/>
  <c r="FH9" i="9"/>
  <c r="FI9" i="9"/>
  <c r="FJ9" i="9"/>
  <c r="FK9" i="9"/>
  <c r="FL9" i="9"/>
  <c r="FM9" i="9"/>
  <c r="FN9" i="9"/>
  <c r="FO9" i="9"/>
  <c r="FP9" i="9"/>
  <c r="FQ9" i="9"/>
  <c r="FR9" i="9"/>
  <c r="FS9" i="9"/>
  <c r="FU9" i="9"/>
  <c r="FV9" i="9"/>
  <c r="FW9" i="9"/>
  <c r="FX9" i="9"/>
  <c r="FY9" i="9"/>
  <c r="FZ9" i="9"/>
  <c r="GA9" i="9"/>
  <c r="GB9" i="9"/>
  <c r="GC9" i="9"/>
  <c r="GD9" i="9"/>
  <c r="GE9" i="9"/>
  <c r="GF9" i="9"/>
  <c r="GG9" i="9"/>
  <c r="GH9" i="9"/>
  <c r="GI9" i="9"/>
  <c r="GK9" i="9"/>
  <c r="GL9" i="9"/>
  <c r="GM9" i="9"/>
  <c r="GN9" i="9"/>
  <c r="GO9" i="9"/>
  <c r="GP9" i="9"/>
  <c r="GQ9" i="9"/>
  <c r="GR9" i="9"/>
  <c r="GS9" i="9"/>
  <c r="GT9" i="9"/>
  <c r="GU9" i="9"/>
  <c r="GV9" i="9"/>
  <c r="GW9" i="9"/>
  <c r="GX9" i="9"/>
  <c r="GY9" i="9"/>
  <c r="GZ9" i="9"/>
  <c r="HA9" i="9"/>
  <c r="HB9" i="9"/>
  <c r="HC9" i="9"/>
  <c r="HD9" i="9"/>
  <c r="HE9" i="9"/>
  <c r="HF9" i="9"/>
  <c r="HG9" i="9"/>
  <c r="HH9" i="9"/>
  <c r="HI9" i="9"/>
  <c r="HJ9" i="9"/>
  <c r="HK9" i="9"/>
  <c r="HL9" i="9"/>
  <c r="HM9" i="9"/>
  <c r="HN9" i="9"/>
  <c r="HO9" i="9"/>
  <c r="HP9" i="9"/>
  <c r="HQ9" i="9"/>
  <c r="HR9" i="9"/>
  <c r="HS9" i="9"/>
  <c r="HT9" i="9"/>
  <c r="HU9" i="9"/>
  <c r="HV9" i="9"/>
  <c r="HW9" i="9"/>
  <c r="HX9" i="9"/>
  <c r="IN9" i="9" s="1"/>
  <c r="HY9" i="9"/>
  <c r="HZ9" i="9"/>
  <c r="IA9" i="9"/>
  <c r="IB9" i="9"/>
  <c r="IC9" i="9"/>
  <c r="ID9" i="9"/>
  <c r="IE9" i="9"/>
  <c r="IF9" i="9"/>
  <c r="IG9" i="9"/>
  <c r="IH9" i="9"/>
  <c r="II9" i="9"/>
  <c r="IJ9" i="9"/>
  <c r="IK9" i="9"/>
  <c r="IL9" i="9"/>
  <c r="IM9" i="9"/>
  <c r="IO9" i="9"/>
  <c r="IP9" i="9"/>
  <c r="IQ9" i="9"/>
  <c r="IR9" i="9"/>
  <c r="IS9" i="9"/>
  <c r="IT9" i="9"/>
  <c r="IU9" i="9"/>
  <c r="IV9" i="9"/>
  <c r="IW9" i="9"/>
  <c r="BN10" i="9"/>
  <c r="BO10" i="9"/>
  <c r="BP10" i="9"/>
  <c r="BQ10" i="9"/>
  <c r="BR10" i="9"/>
  <c r="BS10" i="9"/>
  <c r="BT10" i="9"/>
  <c r="CJ10" i="9" s="1"/>
  <c r="CZ10" i="9" s="1"/>
  <c r="DP10" i="9" s="1"/>
  <c r="BU10" i="9"/>
  <c r="CD10" i="9"/>
  <c r="CE10" i="9"/>
  <c r="CF10" i="9"/>
  <c r="CG10" i="9"/>
  <c r="CH10" i="9"/>
  <c r="CI10" i="9"/>
  <c r="CK10" i="9"/>
  <c r="CT10" i="9"/>
  <c r="CU10" i="9"/>
  <c r="CV10" i="9"/>
  <c r="CW10" i="9"/>
  <c r="CX10" i="9"/>
  <c r="CY10" i="9"/>
  <c r="DA10" i="9"/>
  <c r="DJ10" i="9"/>
  <c r="DK10" i="9"/>
  <c r="DL10" i="9"/>
  <c r="DM10" i="9"/>
  <c r="DN10" i="9"/>
  <c r="DO10" i="9"/>
  <c r="DQ10" i="9"/>
  <c r="DZ10" i="9"/>
  <c r="EA10" i="9"/>
  <c r="EB10" i="9"/>
  <c r="EC10" i="9"/>
  <c r="ED10" i="9"/>
  <c r="EE10" i="9"/>
  <c r="EF10" i="9"/>
  <c r="EV10" i="9" s="1"/>
  <c r="FL10" i="9" s="1"/>
  <c r="GB10" i="9" s="1"/>
  <c r="EG10" i="9"/>
  <c r="EP10" i="9"/>
  <c r="EQ10" i="9"/>
  <c r="ER10" i="9"/>
  <c r="ES10" i="9"/>
  <c r="ET10" i="9"/>
  <c r="EU10" i="9"/>
  <c r="EW10" i="9"/>
  <c r="FF10" i="9"/>
  <c r="FG10" i="9"/>
  <c r="FH10" i="9"/>
  <c r="FI10" i="9"/>
  <c r="FJ10" i="9"/>
  <c r="FK10" i="9"/>
  <c r="FM10" i="9"/>
  <c r="FV10" i="9"/>
  <c r="FW10" i="9"/>
  <c r="FX10" i="9"/>
  <c r="FY10" i="9"/>
  <c r="FZ10" i="9"/>
  <c r="GA10" i="9"/>
  <c r="GC10" i="9"/>
  <c r="GL10" i="9"/>
  <c r="GM10" i="9"/>
  <c r="GN10" i="9"/>
  <c r="GO10" i="9"/>
  <c r="GP10" i="9"/>
  <c r="GQ10" i="9"/>
  <c r="GR10" i="9"/>
  <c r="GS10" i="9"/>
  <c r="HB10" i="9"/>
  <c r="HC10" i="9"/>
  <c r="HD10" i="9"/>
  <c r="HE10" i="9"/>
  <c r="HF10" i="9"/>
  <c r="HG10" i="9"/>
  <c r="HH10" i="9"/>
  <c r="HX10" i="9" s="1"/>
  <c r="IN10" i="9" s="1"/>
  <c r="HI10" i="9"/>
  <c r="HR10" i="9"/>
  <c r="HS10" i="9"/>
  <c r="HT10" i="9"/>
  <c r="HU10" i="9"/>
  <c r="HV10" i="9"/>
  <c r="HW10" i="9"/>
  <c r="HY10" i="9"/>
  <c r="IH10" i="9"/>
  <c r="II10" i="9"/>
  <c r="IJ10" i="9"/>
  <c r="IK10" i="9"/>
  <c r="IL10" i="9"/>
  <c r="IM10" i="9"/>
  <c r="IO10" i="9"/>
  <c r="BN11" i="9"/>
  <c r="BO11" i="9"/>
  <c r="BP11" i="9"/>
  <c r="BQ11" i="9"/>
  <c r="BR11" i="9"/>
  <c r="BS11" i="9"/>
  <c r="BT11" i="9"/>
  <c r="CJ11" i="9" s="1"/>
  <c r="CZ11" i="9" s="1"/>
  <c r="DP11" i="9" s="1"/>
  <c r="BU11" i="9"/>
  <c r="CD11" i="9"/>
  <c r="CE11" i="9"/>
  <c r="CF11" i="9"/>
  <c r="CG11" i="9"/>
  <c r="CH11" i="9"/>
  <c r="CI11" i="9"/>
  <c r="CK11" i="9"/>
  <c r="CT11" i="9"/>
  <c r="CU11" i="9"/>
  <c r="CV11" i="9"/>
  <c r="CW11" i="9"/>
  <c r="CX11" i="9"/>
  <c r="CY11" i="9"/>
  <c r="DA11" i="9"/>
  <c r="DJ11" i="9"/>
  <c r="DK11" i="9"/>
  <c r="DL11" i="9"/>
  <c r="DM11" i="9"/>
  <c r="DN11" i="9"/>
  <c r="DO11" i="9"/>
  <c r="DQ11" i="9"/>
  <c r="DZ11" i="9"/>
  <c r="EA11" i="9"/>
  <c r="EB11" i="9"/>
  <c r="EC11" i="9"/>
  <c r="ED11" i="9"/>
  <c r="EE11" i="9"/>
  <c r="EF11" i="9"/>
  <c r="EG11" i="9"/>
  <c r="EP11" i="9"/>
  <c r="EQ11" i="9"/>
  <c r="ER11" i="9"/>
  <c r="ES11" i="9"/>
  <c r="ET11" i="9"/>
  <c r="EU11" i="9"/>
  <c r="EV11" i="9"/>
  <c r="FL11" i="9" s="1"/>
  <c r="GB11" i="9" s="1"/>
  <c r="EW11" i="9"/>
  <c r="FF11" i="9"/>
  <c r="FG11" i="9"/>
  <c r="FH11" i="9"/>
  <c r="FI11" i="9"/>
  <c r="FJ11" i="9"/>
  <c r="FK11" i="9"/>
  <c r="FM11" i="9"/>
  <c r="FV11" i="9"/>
  <c r="FW11" i="9"/>
  <c r="FX11" i="9"/>
  <c r="FY11" i="9"/>
  <c r="FZ11" i="9"/>
  <c r="GA11" i="9"/>
  <c r="GC11" i="9"/>
  <c r="GL11" i="9"/>
  <c r="GM11" i="9"/>
  <c r="GN11" i="9"/>
  <c r="GO11" i="9"/>
  <c r="GP11" i="9"/>
  <c r="GQ11" i="9"/>
  <c r="GR11" i="9"/>
  <c r="HH11" i="9" s="1"/>
  <c r="HX11" i="9" s="1"/>
  <c r="IN11" i="9" s="1"/>
  <c r="GS11" i="9"/>
  <c r="HB11" i="9"/>
  <c r="HC11" i="9"/>
  <c r="HD11" i="9"/>
  <c r="HE11" i="9"/>
  <c r="HF11" i="9"/>
  <c r="HG11" i="9"/>
  <c r="HI11" i="9"/>
  <c r="HR11" i="9"/>
  <c r="HS11" i="9"/>
  <c r="HT11" i="9"/>
  <c r="HU11" i="9"/>
  <c r="HV11" i="9"/>
  <c r="HW11" i="9"/>
  <c r="HY11" i="9"/>
  <c r="IH11" i="9"/>
  <c r="II11" i="9"/>
  <c r="IJ11" i="9"/>
  <c r="IK11" i="9"/>
  <c r="IL11" i="9"/>
  <c r="IM11" i="9"/>
  <c r="IO11" i="9"/>
  <c r="BN12" i="9"/>
  <c r="BO12" i="9"/>
  <c r="BP12" i="9"/>
  <c r="BQ12" i="9"/>
  <c r="BR12" i="9"/>
  <c r="BS12" i="9"/>
  <c r="BT12" i="9"/>
  <c r="BU12" i="9"/>
  <c r="CD12" i="9"/>
  <c r="CE12" i="9"/>
  <c r="CF12" i="9"/>
  <c r="CG12" i="9"/>
  <c r="CH12" i="9"/>
  <c r="CI12" i="9"/>
  <c r="CJ12" i="9"/>
  <c r="CZ12" i="9" s="1"/>
  <c r="DP12" i="9" s="1"/>
  <c r="CK12" i="9"/>
  <c r="CT12" i="9"/>
  <c r="CU12" i="9"/>
  <c r="CV12" i="9"/>
  <c r="CW12" i="9"/>
  <c r="CX12" i="9"/>
  <c r="CY12" i="9"/>
  <c r="DA12" i="9"/>
  <c r="DJ12" i="9"/>
  <c r="DK12" i="9"/>
  <c r="DL12" i="9"/>
  <c r="DM12" i="9"/>
  <c r="DN12" i="9"/>
  <c r="DO12" i="9"/>
  <c r="DQ12" i="9"/>
  <c r="DZ12" i="9"/>
  <c r="EA12" i="9"/>
  <c r="EB12" i="9"/>
  <c r="EC12" i="9"/>
  <c r="ED12" i="9"/>
  <c r="EE12" i="9"/>
  <c r="EF12" i="9"/>
  <c r="EV12" i="9" s="1"/>
  <c r="FL12" i="9" s="1"/>
  <c r="GB12" i="9" s="1"/>
  <c r="EG12" i="9"/>
  <c r="EP12" i="9"/>
  <c r="EQ12" i="9"/>
  <c r="ER12" i="9"/>
  <c r="ES12" i="9"/>
  <c r="ET12" i="9"/>
  <c r="EU12" i="9"/>
  <c r="EW12" i="9"/>
  <c r="FF12" i="9"/>
  <c r="FG12" i="9"/>
  <c r="FH12" i="9"/>
  <c r="FI12" i="9"/>
  <c r="FJ12" i="9"/>
  <c r="FK12" i="9"/>
  <c r="FM12" i="9"/>
  <c r="FV12" i="9"/>
  <c r="FW12" i="9"/>
  <c r="FX12" i="9"/>
  <c r="FY12" i="9"/>
  <c r="FZ12" i="9"/>
  <c r="GA12" i="9"/>
  <c r="GC12" i="9"/>
  <c r="GL12" i="9"/>
  <c r="GM12" i="9"/>
  <c r="GN12" i="9"/>
  <c r="GO12" i="9"/>
  <c r="GP12" i="9"/>
  <c r="GQ12" i="9"/>
  <c r="GR12" i="9"/>
  <c r="HH12" i="9" s="1"/>
  <c r="HX12" i="9" s="1"/>
  <c r="IN12" i="9" s="1"/>
  <c r="GS12" i="9"/>
  <c r="HB12" i="9"/>
  <c r="HC12" i="9"/>
  <c r="HD12" i="9"/>
  <c r="HE12" i="9"/>
  <c r="HF12" i="9"/>
  <c r="HG12" i="9"/>
  <c r="HI12" i="9"/>
  <c r="HR12" i="9"/>
  <c r="HS12" i="9"/>
  <c r="HT12" i="9"/>
  <c r="HU12" i="9"/>
  <c r="HV12" i="9"/>
  <c r="HW12" i="9"/>
  <c r="HY12" i="9"/>
  <c r="IH12" i="9"/>
  <c r="II12" i="9"/>
  <c r="IJ12" i="9"/>
  <c r="IK12" i="9"/>
  <c r="IL12" i="9"/>
  <c r="IM12" i="9"/>
  <c r="IO12" i="9"/>
  <c r="BN13" i="9"/>
  <c r="BO13" i="9"/>
  <c r="BP13" i="9"/>
  <c r="BQ13" i="9"/>
  <c r="BR13" i="9"/>
  <c r="CH13" i="9" s="1"/>
  <c r="CX13" i="9" s="1"/>
  <c r="DN13" i="9" s="1"/>
  <c r="BS13" i="9"/>
  <c r="BT13" i="9"/>
  <c r="CJ13" i="9" s="1"/>
  <c r="CZ13" i="9" s="1"/>
  <c r="DP13" i="9" s="1"/>
  <c r="BU13" i="9"/>
  <c r="CD13" i="9"/>
  <c r="CE13" i="9"/>
  <c r="CF13" i="9"/>
  <c r="CG13" i="9"/>
  <c r="CI13" i="9"/>
  <c r="CK13" i="9"/>
  <c r="CT13" i="9"/>
  <c r="CU13" i="9"/>
  <c r="CV13" i="9"/>
  <c r="CW13" i="9"/>
  <c r="CY13" i="9"/>
  <c r="DA13" i="9"/>
  <c r="DJ13" i="9"/>
  <c r="DK13" i="9"/>
  <c r="DL13" i="9"/>
  <c r="DM13" i="9"/>
  <c r="DO13" i="9"/>
  <c r="DQ13" i="9"/>
  <c r="DZ13" i="9"/>
  <c r="EA13" i="9"/>
  <c r="EB13" i="9"/>
  <c r="EC13" i="9"/>
  <c r="ED13" i="9"/>
  <c r="EE13" i="9"/>
  <c r="EF13" i="9"/>
  <c r="EV13" i="9" s="1"/>
  <c r="FL13" i="9" s="1"/>
  <c r="GB13" i="9" s="1"/>
  <c r="EG13" i="9"/>
  <c r="EP13" i="9"/>
  <c r="EQ13" i="9"/>
  <c r="ER13" i="9"/>
  <c r="ES13" i="9"/>
  <c r="ET13" i="9"/>
  <c r="EU13" i="9"/>
  <c r="EW13" i="9"/>
  <c r="FF13" i="9"/>
  <c r="FG13" i="9"/>
  <c r="FH13" i="9"/>
  <c r="FI13" i="9"/>
  <c r="FJ13" i="9"/>
  <c r="FZ13" i="9" s="1"/>
  <c r="FK13" i="9"/>
  <c r="FM13" i="9"/>
  <c r="FV13" i="9"/>
  <c r="FW13" i="9"/>
  <c r="FX13" i="9"/>
  <c r="FY13" i="9"/>
  <c r="GA13" i="9"/>
  <c r="GC13" i="9"/>
  <c r="GL13" i="9"/>
  <c r="GM13" i="9"/>
  <c r="GN13" i="9"/>
  <c r="GO13" i="9"/>
  <c r="GP13" i="9"/>
  <c r="GQ13" i="9"/>
  <c r="GR13" i="9"/>
  <c r="GS13" i="9"/>
  <c r="HB13" i="9"/>
  <c r="HC13" i="9"/>
  <c r="HD13" i="9"/>
  <c r="HE13" i="9"/>
  <c r="HF13" i="9"/>
  <c r="HV13" i="9" s="1"/>
  <c r="IL13" i="9" s="1"/>
  <c r="HG13" i="9"/>
  <c r="HH13" i="9"/>
  <c r="HI13" i="9"/>
  <c r="HR13" i="9"/>
  <c r="HS13" i="9"/>
  <c r="HT13" i="9"/>
  <c r="HU13" i="9"/>
  <c r="HW13" i="9"/>
  <c r="HX13" i="9"/>
  <c r="IN13" i="9" s="1"/>
  <c r="HY13" i="9"/>
  <c r="IH13" i="9"/>
  <c r="II13" i="9"/>
  <c r="IJ13" i="9"/>
  <c r="IK13" i="9"/>
  <c r="IM13" i="9"/>
  <c r="IO13" i="9"/>
  <c r="J38" i="5"/>
  <c r="J35" i="5"/>
  <c r="I38" i="5"/>
  <c r="I12" i="5" s="1"/>
  <c r="I35" i="5"/>
  <c r="H38" i="5"/>
  <c r="H35" i="5"/>
  <c r="G38" i="5"/>
  <c r="G35" i="5"/>
  <c r="F38" i="5"/>
  <c r="F35" i="5"/>
  <c r="E38" i="5"/>
  <c r="E35" i="5"/>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2" i="19"/>
  <c r="MZ12" i="5"/>
  <c r="MZ13" i="20" s="1"/>
  <c r="AOB13" i="20" s="1"/>
  <c r="BPD13" i="20" s="1"/>
  <c r="CQF13" i="20" s="1"/>
  <c r="MY12" i="5"/>
  <c r="MY13" i="20" s="1"/>
  <c r="AOA13" i="20" s="1"/>
  <c r="BPC13" i="20" s="1"/>
  <c r="CQE13" i="20" s="1"/>
  <c r="MR12" i="5"/>
  <c r="MR13" i="20" s="1"/>
  <c r="ANT13" i="20" s="1"/>
  <c r="BOV13" i="20" s="1"/>
  <c r="CPX13" i="20" s="1"/>
  <c r="MQ12" i="5"/>
  <c r="MQ13" i="20" s="1"/>
  <c r="ANS13" i="20" s="1"/>
  <c r="BOU13" i="20" s="1"/>
  <c r="CPW13" i="20" s="1"/>
  <c r="MP12" i="5"/>
  <c r="MP13" i="20" s="1"/>
  <c r="ANR13" i="20" s="1"/>
  <c r="BOT13" i="20" s="1"/>
  <c r="CPV13" i="20" s="1"/>
  <c r="MZ11" i="5"/>
  <c r="MZ12" i="20" s="1"/>
  <c r="AOB12" i="20" s="1"/>
  <c r="BPD12" i="20" s="1"/>
  <c r="CQF12" i="20" s="1"/>
  <c r="MY11" i="5"/>
  <c r="MY12" i="20" s="1"/>
  <c r="AOA12" i="20" s="1"/>
  <c r="BPC12" i="20" s="1"/>
  <c r="CQE12" i="20" s="1"/>
  <c r="MX11" i="5"/>
  <c r="MX12" i="20" s="1"/>
  <c r="ANZ12" i="20" s="1"/>
  <c r="BPB12" i="20" s="1"/>
  <c r="CQD12" i="20" s="1"/>
  <c r="MW11" i="5"/>
  <c r="MW12" i="20" s="1"/>
  <c r="ANY12" i="20" s="1"/>
  <c r="BPA12" i="20" s="1"/>
  <c r="CQC12" i="20" s="1"/>
  <c r="MV11" i="5"/>
  <c r="MV12" i="20" s="1"/>
  <c r="ANX12" i="20" s="1"/>
  <c r="BOZ12" i="20" s="1"/>
  <c r="CQB12" i="20" s="1"/>
  <c r="MU11" i="5"/>
  <c r="MU12" i="20" s="1"/>
  <c r="ANW12" i="20" s="1"/>
  <c r="BOY12" i="20" s="1"/>
  <c r="CQA12" i="20" s="1"/>
  <c r="MT11" i="5"/>
  <c r="MT12" i="20" s="1"/>
  <c r="ANV12" i="20" s="1"/>
  <c r="BOX12" i="20" s="1"/>
  <c r="CPZ12" i="20" s="1"/>
  <c r="MS11" i="5"/>
  <c r="MS12" i="20" s="1"/>
  <c r="ANU12" i="20" s="1"/>
  <c r="BOW12" i="20" s="1"/>
  <c r="CPY12" i="20" s="1"/>
  <c r="MR11" i="5"/>
  <c r="MR12" i="20" s="1"/>
  <c r="ANT12" i="20" s="1"/>
  <c r="BOV12" i="20" s="1"/>
  <c r="CPX12" i="20" s="1"/>
  <c r="MQ11" i="5"/>
  <c r="MQ12" i="20" s="1"/>
  <c r="ANS12" i="20" s="1"/>
  <c r="BOU12" i="20" s="1"/>
  <c r="CPW12" i="20" s="1"/>
  <c r="MP11" i="5"/>
  <c r="MP12" i="20" s="1"/>
  <c r="ANR12" i="20" s="1"/>
  <c r="BOT12" i="20" s="1"/>
  <c r="CPV12" i="20" s="1"/>
  <c r="MZ10" i="5"/>
  <c r="MZ11" i="20" s="1"/>
  <c r="AOB11" i="20" s="1"/>
  <c r="BPD11" i="20" s="1"/>
  <c r="CQF11" i="20" s="1"/>
  <c r="MY10" i="5"/>
  <c r="MY11" i="20" s="1"/>
  <c r="AOA11" i="20" s="1"/>
  <c r="BPC11" i="20" s="1"/>
  <c r="CQE11" i="20" s="1"/>
  <c r="MX10" i="5"/>
  <c r="MX11" i="20" s="1"/>
  <c r="ANZ11" i="20" s="1"/>
  <c r="BPB11" i="20" s="1"/>
  <c r="CQD11" i="20" s="1"/>
  <c r="MW10" i="5"/>
  <c r="MW11" i="20" s="1"/>
  <c r="ANY11" i="20" s="1"/>
  <c r="BPA11" i="20" s="1"/>
  <c r="CQC11" i="20" s="1"/>
  <c r="MV10" i="5"/>
  <c r="MV11" i="20" s="1"/>
  <c r="ANX11" i="20" s="1"/>
  <c r="BOZ11" i="20" s="1"/>
  <c r="CQB11" i="20" s="1"/>
  <c r="MU10" i="5"/>
  <c r="MU11" i="20" s="1"/>
  <c r="ANW11" i="20" s="1"/>
  <c r="BOY11" i="20" s="1"/>
  <c r="CQA11" i="20" s="1"/>
  <c r="MT10" i="5"/>
  <c r="MT11" i="20" s="1"/>
  <c r="ANV11" i="20" s="1"/>
  <c r="BOX11" i="20" s="1"/>
  <c r="CPZ11" i="20" s="1"/>
  <c r="MS10" i="5"/>
  <c r="MS11" i="20" s="1"/>
  <c r="ANU11" i="20" s="1"/>
  <c r="BOW11" i="20" s="1"/>
  <c r="CPY11" i="20" s="1"/>
  <c r="MR10" i="5"/>
  <c r="MR11" i="20" s="1"/>
  <c r="ANT11" i="20" s="1"/>
  <c r="BOV11" i="20" s="1"/>
  <c r="CPX11" i="20" s="1"/>
  <c r="MQ10" i="5"/>
  <c r="MQ11" i="20" s="1"/>
  <c r="ANS11" i="20" s="1"/>
  <c r="BOU11" i="20" s="1"/>
  <c r="CPW11" i="20" s="1"/>
  <c r="MP10" i="5"/>
  <c r="MP11" i="20" s="1"/>
  <c r="ANR11" i="20" s="1"/>
  <c r="BOT11" i="20" s="1"/>
  <c r="CPV11" i="20" s="1"/>
  <c r="MZ9" i="5"/>
  <c r="MZ10" i="20" s="1"/>
  <c r="AOB10" i="20" s="1"/>
  <c r="BPD10" i="20" s="1"/>
  <c r="CQF10" i="20" s="1"/>
  <c r="MY9" i="5"/>
  <c r="MY10" i="20" s="1"/>
  <c r="AOA10" i="20" s="1"/>
  <c r="BPC10" i="20" s="1"/>
  <c r="CQE10" i="20" s="1"/>
  <c r="MR9" i="5"/>
  <c r="MR10" i="20" s="1"/>
  <c r="ANT10" i="20" s="1"/>
  <c r="BOV10" i="20" s="1"/>
  <c r="CPX10" i="20" s="1"/>
  <c r="MQ9" i="5"/>
  <c r="MQ10" i="20" s="1"/>
  <c r="ANS10" i="20" s="1"/>
  <c r="BOU10" i="20" s="1"/>
  <c r="CPW10" i="20" s="1"/>
  <c r="MP9" i="5"/>
  <c r="MP10" i="20" s="1"/>
  <c r="ANR10" i="20" s="1"/>
  <c r="BOT10" i="20" s="1"/>
  <c r="CPV10" i="20" s="1"/>
  <c r="MZ8" i="5"/>
  <c r="MZ9" i="20" s="1"/>
  <c r="AOB9" i="20" s="1"/>
  <c r="BPD9" i="20" s="1"/>
  <c r="CQF9" i="20" s="1"/>
  <c r="MY8" i="5"/>
  <c r="MY9" i="20" s="1"/>
  <c r="AOA9" i="20" s="1"/>
  <c r="BPC9" i="20" s="1"/>
  <c r="CQE9" i="20" s="1"/>
  <c r="MX8" i="5"/>
  <c r="MX9" i="20" s="1"/>
  <c r="ANZ9" i="20" s="1"/>
  <c r="BPB9" i="20" s="1"/>
  <c r="CQD9" i="20" s="1"/>
  <c r="MW8" i="5"/>
  <c r="MW9" i="20" s="1"/>
  <c r="ANY9" i="20" s="1"/>
  <c r="BPA9" i="20" s="1"/>
  <c r="CQC9" i="20" s="1"/>
  <c r="MV8" i="5"/>
  <c r="MV9" i="20" s="1"/>
  <c r="ANX9" i="20" s="1"/>
  <c r="BOZ9" i="20" s="1"/>
  <c r="CQB9" i="20" s="1"/>
  <c r="MU8" i="5"/>
  <c r="MU9" i="20" s="1"/>
  <c r="ANW9" i="20" s="1"/>
  <c r="BOY9" i="20" s="1"/>
  <c r="CQA9" i="20" s="1"/>
  <c r="MT8" i="5"/>
  <c r="MT9" i="20" s="1"/>
  <c r="ANV9" i="20" s="1"/>
  <c r="BOX9" i="20" s="1"/>
  <c r="CPZ9" i="20" s="1"/>
  <c r="MS8" i="5"/>
  <c r="MS9" i="20" s="1"/>
  <c r="ANU9" i="20" s="1"/>
  <c r="BOW9" i="20" s="1"/>
  <c r="CPY9" i="20" s="1"/>
  <c r="MR8" i="5"/>
  <c r="MR9" i="20" s="1"/>
  <c r="ANT9" i="20" s="1"/>
  <c r="BOV9" i="20" s="1"/>
  <c r="CPX9" i="20" s="1"/>
  <c r="MQ8" i="5"/>
  <c r="MQ9" i="20" s="1"/>
  <c r="ANS9" i="20" s="1"/>
  <c r="BOU9" i="20" s="1"/>
  <c r="CPW9" i="20" s="1"/>
  <c r="MP8" i="5"/>
  <c r="MP9" i="20" s="1"/>
  <c r="ANR9" i="20" s="1"/>
  <c r="BOT9" i="20" s="1"/>
  <c r="CPV9" i="20" s="1"/>
  <c r="MZ7" i="5"/>
  <c r="MZ8" i="20" s="1"/>
  <c r="AOB8" i="20" s="1"/>
  <c r="BPD8" i="20" s="1"/>
  <c r="CQF8" i="20" s="1"/>
  <c r="MY7" i="5"/>
  <c r="MY8" i="20" s="1"/>
  <c r="AOA8" i="20" s="1"/>
  <c r="BPC8" i="20" s="1"/>
  <c r="CQE8" i="20" s="1"/>
  <c r="MX7" i="5"/>
  <c r="MX8" i="20" s="1"/>
  <c r="ANZ8" i="20" s="1"/>
  <c r="BPB8" i="20" s="1"/>
  <c r="CQD8" i="20" s="1"/>
  <c r="MW7" i="5"/>
  <c r="MW8" i="20" s="1"/>
  <c r="ANY8" i="20" s="1"/>
  <c r="BPA8" i="20" s="1"/>
  <c r="CQC8" i="20" s="1"/>
  <c r="MV7" i="5"/>
  <c r="MV8" i="20" s="1"/>
  <c r="ANX8" i="20" s="1"/>
  <c r="BOZ8" i="20" s="1"/>
  <c r="CQB8" i="20" s="1"/>
  <c r="MU7" i="5"/>
  <c r="MU8" i="20" s="1"/>
  <c r="ANW8" i="20" s="1"/>
  <c r="BOY8" i="20" s="1"/>
  <c r="CQA8" i="20" s="1"/>
  <c r="MT7" i="5"/>
  <c r="MT8" i="20" s="1"/>
  <c r="ANV8" i="20" s="1"/>
  <c r="BOX8" i="20" s="1"/>
  <c r="CPZ8" i="20" s="1"/>
  <c r="MS7" i="5"/>
  <c r="MS8" i="20" s="1"/>
  <c r="ANU8" i="20" s="1"/>
  <c r="BOW8" i="20" s="1"/>
  <c r="CPY8" i="20" s="1"/>
  <c r="MR7" i="5"/>
  <c r="MR8" i="20" s="1"/>
  <c r="ANT8" i="20" s="1"/>
  <c r="BOV8" i="20" s="1"/>
  <c r="CPX8" i="20" s="1"/>
  <c r="MQ7" i="5"/>
  <c r="MQ8" i="20" s="1"/>
  <c r="ANS8" i="20" s="1"/>
  <c r="BOU8" i="20" s="1"/>
  <c r="CPW8" i="20" s="1"/>
  <c r="MP7" i="5"/>
  <c r="MP8" i="20" s="1"/>
  <c r="ANR8" i="20" s="1"/>
  <c r="BOT8" i="20" s="1"/>
  <c r="CPV8" i="20" s="1"/>
  <c r="MZ6" i="5"/>
  <c r="MZ7" i="20" s="1"/>
  <c r="AOB7" i="20" s="1"/>
  <c r="BPD7" i="20" s="1"/>
  <c r="CQF7" i="20" s="1"/>
  <c r="MY6" i="5"/>
  <c r="MY7" i="20" s="1"/>
  <c r="AOA7" i="20" s="1"/>
  <c r="BPC7" i="20" s="1"/>
  <c r="CQE7" i="20" s="1"/>
  <c r="MX6" i="5"/>
  <c r="MX7" i="20" s="1"/>
  <c r="ANZ7" i="20" s="1"/>
  <c r="BPB7" i="20" s="1"/>
  <c r="CQD7" i="20" s="1"/>
  <c r="MW6" i="5"/>
  <c r="MW7" i="20" s="1"/>
  <c r="ANY7" i="20" s="1"/>
  <c r="BPA7" i="20" s="1"/>
  <c r="CQC7" i="20" s="1"/>
  <c r="MV6" i="5"/>
  <c r="MV7" i="20" s="1"/>
  <c r="ANX7" i="20" s="1"/>
  <c r="BOZ7" i="20" s="1"/>
  <c r="CQB7" i="20" s="1"/>
  <c r="MU6" i="5"/>
  <c r="MU7" i="20" s="1"/>
  <c r="ANW7" i="20" s="1"/>
  <c r="BOY7" i="20" s="1"/>
  <c r="CQA7" i="20" s="1"/>
  <c r="MT6" i="5"/>
  <c r="MT7" i="20" s="1"/>
  <c r="ANV7" i="20" s="1"/>
  <c r="BOX7" i="20" s="1"/>
  <c r="CPZ7" i="20" s="1"/>
  <c r="MS6" i="5"/>
  <c r="MS7" i="20" s="1"/>
  <c r="ANU7" i="20" s="1"/>
  <c r="BOW7" i="20" s="1"/>
  <c r="CPY7" i="20" s="1"/>
  <c r="MR6" i="5"/>
  <c r="MR7" i="20" s="1"/>
  <c r="ANT7" i="20" s="1"/>
  <c r="BOV7" i="20" s="1"/>
  <c r="CPX7" i="20" s="1"/>
  <c r="MQ6" i="5"/>
  <c r="MQ7" i="20" s="1"/>
  <c r="ANS7" i="20" s="1"/>
  <c r="BOU7" i="20" s="1"/>
  <c r="CPW7" i="20" s="1"/>
  <c r="MP6" i="5"/>
  <c r="MP7" i="20" s="1"/>
  <c r="ANR7" i="20" s="1"/>
  <c r="BOT7" i="20" s="1"/>
  <c r="CPV7" i="20" s="1"/>
  <c r="MZ5" i="5"/>
  <c r="MZ6" i="20" s="1"/>
  <c r="AOB6" i="20" s="1"/>
  <c r="BPD6" i="20" s="1"/>
  <c r="CQF6" i="20" s="1"/>
  <c r="MY5" i="5"/>
  <c r="MY6" i="20" s="1"/>
  <c r="AOA6" i="20" s="1"/>
  <c r="BPC6" i="20" s="1"/>
  <c r="CQE6" i="20" s="1"/>
  <c r="MX5" i="5"/>
  <c r="MX6" i="20" s="1"/>
  <c r="ANZ6" i="20" s="1"/>
  <c r="BPB6" i="20" s="1"/>
  <c r="CQD6" i="20" s="1"/>
  <c r="MW5" i="5"/>
  <c r="MW6" i="20" s="1"/>
  <c r="ANY6" i="20" s="1"/>
  <c r="BPA6" i="20" s="1"/>
  <c r="CQC6" i="20" s="1"/>
  <c r="MV5" i="5"/>
  <c r="MV6" i="20" s="1"/>
  <c r="ANX6" i="20" s="1"/>
  <c r="BOZ6" i="20" s="1"/>
  <c r="CQB6" i="20" s="1"/>
  <c r="MU5" i="5"/>
  <c r="MU6" i="20" s="1"/>
  <c r="ANW6" i="20" s="1"/>
  <c r="BOY6" i="20" s="1"/>
  <c r="CQA6" i="20" s="1"/>
  <c r="MT5" i="5"/>
  <c r="MT6" i="20" s="1"/>
  <c r="ANV6" i="20" s="1"/>
  <c r="BOX6" i="20" s="1"/>
  <c r="CPZ6" i="20" s="1"/>
  <c r="MS5" i="5"/>
  <c r="MS6" i="20" s="1"/>
  <c r="ANU6" i="20" s="1"/>
  <c r="BOW6" i="20" s="1"/>
  <c r="CPY6" i="20" s="1"/>
  <c r="MR5" i="5"/>
  <c r="MR6" i="20" s="1"/>
  <c r="ANT6" i="20" s="1"/>
  <c r="BOV6" i="20" s="1"/>
  <c r="CPX6" i="20" s="1"/>
  <c r="MQ5" i="5"/>
  <c r="MQ6" i="20" s="1"/>
  <c r="ANS6" i="20" s="1"/>
  <c r="BOU6" i="20" s="1"/>
  <c r="CPW6" i="20" s="1"/>
  <c r="MP5" i="5"/>
  <c r="MP6" i="20" s="1"/>
  <c r="ANR6" i="20" s="1"/>
  <c r="BOT6" i="20" s="1"/>
  <c r="CPV6" i="20" s="1"/>
  <c r="MD12" i="5"/>
  <c r="MD13" i="20" s="1"/>
  <c r="ANF13" i="20" s="1"/>
  <c r="BOH13" i="20" s="1"/>
  <c r="CPJ13" i="20" s="1"/>
  <c r="MC12" i="5"/>
  <c r="MC13" i="20" s="1"/>
  <c r="ANE13" i="20" s="1"/>
  <c r="BOG13" i="20" s="1"/>
  <c r="CPI13" i="20" s="1"/>
  <c r="LV12" i="5"/>
  <c r="LV13" i="20" s="1"/>
  <c r="AMX13" i="20" s="1"/>
  <c r="BNZ13" i="20" s="1"/>
  <c r="CPB13" i="20" s="1"/>
  <c r="LU12" i="5"/>
  <c r="LU13" i="20" s="1"/>
  <c r="AMW13" i="20" s="1"/>
  <c r="BNY13" i="20" s="1"/>
  <c r="CPA13" i="20" s="1"/>
  <c r="LT12" i="5"/>
  <c r="LT13" i="20" s="1"/>
  <c r="AMV13" i="20" s="1"/>
  <c r="BNX13" i="20" s="1"/>
  <c r="COZ13" i="20" s="1"/>
  <c r="MD11" i="5"/>
  <c r="MD12" i="20" s="1"/>
  <c r="ANF12" i="20" s="1"/>
  <c r="BOH12" i="20" s="1"/>
  <c r="CPJ12" i="20" s="1"/>
  <c r="MC11" i="5"/>
  <c r="MC12" i="20" s="1"/>
  <c r="ANE12" i="20" s="1"/>
  <c r="BOG12" i="20" s="1"/>
  <c r="CPI12" i="20" s="1"/>
  <c r="MB11" i="5"/>
  <c r="MB12" i="20" s="1"/>
  <c r="AND12" i="20" s="1"/>
  <c r="BOF12" i="20" s="1"/>
  <c r="CPH12" i="20" s="1"/>
  <c r="MA11" i="5"/>
  <c r="MA12" i="20" s="1"/>
  <c r="ANC12" i="20" s="1"/>
  <c r="BOE12" i="20" s="1"/>
  <c r="CPG12" i="20" s="1"/>
  <c r="LZ11" i="5"/>
  <c r="LZ12" i="20" s="1"/>
  <c r="ANB12" i="20" s="1"/>
  <c r="BOD12" i="20" s="1"/>
  <c r="CPF12" i="20" s="1"/>
  <c r="LY11" i="5"/>
  <c r="LY12" i="20" s="1"/>
  <c r="ANA12" i="20" s="1"/>
  <c r="BOC12" i="20" s="1"/>
  <c r="CPE12" i="20" s="1"/>
  <c r="LX11" i="5"/>
  <c r="LX12" i="20" s="1"/>
  <c r="AMZ12" i="20" s="1"/>
  <c r="BOB12" i="20" s="1"/>
  <c r="CPD12" i="20" s="1"/>
  <c r="LW11" i="5"/>
  <c r="LW12" i="20" s="1"/>
  <c r="AMY12" i="20" s="1"/>
  <c r="BOA12" i="20" s="1"/>
  <c r="CPC12" i="20" s="1"/>
  <c r="LV11" i="5"/>
  <c r="LV12" i="20" s="1"/>
  <c r="AMX12" i="20" s="1"/>
  <c r="BNZ12" i="20" s="1"/>
  <c r="CPB12" i="20" s="1"/>
  <c r="LU11" i="5"/>
  <c r="LU12" i="20" s="1"/>
  <c r="AMW12" i="20" s="1"/>
  <c r="BNY12" i="20" s="1"/>
  <c r="CPA12" i="20" s="1"/>
  <c r="LT11" i="5"/>
  <c r="LT12" i="20" s="1"/>
  <c r="AMV12" i="20" s="1"/>
  <c r="BNX12" i="20" s="1"/>
  <c r="COZ12" i="20" s="1"/>
  <c r="MD10" i="5"/>
  <c r="MD11" i="20" s="1"/>
  <c r="ANF11" i="20" s="1"/>
  <c r="BOH11" i="20" s="1"/>
  <c r="CPJ11" i="20" s="1"/>
  <c r="MC10" i="5"/>
  <c r="MC11" i="20" s="1"/>
  <c r="ANE11" i="20" s="1"/>
  <c r="BOG11" i="20" s="1"/>
  <c r="CPI11" i="20" s="1"/>
  <c r="MB10" i="5"/>
  <c r="MB11" i="20" s="1"/>
  <c r="AND11" i="20" s="1"/>
  <c r="BOF11" i="20" s="1"/>
  <c r="CPH11" i="20" s="1"/>
  <c r="MA10" i="5"/>
  <c r="MA11" i="20" s="1"/>
  <c r="ANC11" i="20" s="1"/>
  <c r="BOE11" i="20" s="1"/>
  <c r="CPG11" i="20" s="1"/>
  <c r="LZ10" i="5"/>
  <c r="LZ11" i="20" s="1"/>
  <c r="ANB11" i="20" s="1"/>
  <c r="BOD11" i="20" s="1"/>
  <c r="CPF11" i="20" s="1"/>
  <c r="LY10" i="5"/>
  <c r="LY11" i="20" s="1"/>
  <c r="ANA11" i="20" s="1"/>
  <c r="BOC11" i="20" s="1"/>
  <c r="CPE11" i="20" s="1"/>
  <c r="LX10" i="5"/>
  <c r="LX11" i="20" s="1"/>
  <c r="AMZ11" i="20" s="1"/>
  <c r="BOB11" i="20" s="1"/>
  <c r="CPD11" i="20" s="1"/>
  <c r="LW10" i="5"/>
  <c r="LW11" i="20" s="1"/>
  <c r="AMY11" i="20" s="1"/>
  <c r="BOA11" i="20" s="1"/>
  <c r="CPC11" i="20" s="1"/>
  <c r="LV10" i="5"/>
  <c r="LV11" i="20" s="1"/>
  <c r="AMX11" i="20" s="1"/>
  <c r="BNZ11" i="20" s="1"/>
  <c r="CPB11" i="20" s="1"/>
  <c r="LU10" i="5"/>
  <c r="LU11" i="20" s="1"/>
  <c r="AMW11" i="20" s="1"/>
  <c r="BNY11" i="20" s="1"/>
  <c r="CPA11" i="20" s="1"/>
  <c r="LT10" i="5"/>
  <c r="LT11" i="20" s="1"/>
  <c r="AMV11" i="20" s="1"/>
  <c r="BNX11" i="20" s="1"/>
  <c r="COZ11" i="20" s="1"/>
  <c r="MD9" i="5"/>
  <c r="MD10" i="20" s="1"/>
  <c r="ANF10" i="20" s="1"/>
  <c r="BOH10" i="20" s="1"/>
  <c r="CPJ10" i="20" s="1"/>
  <c r="MC9" i="5"/>
  <c r="MC10" i="20" s="1"/>
  <c r="ANE10" i="20" s="1"/>
  <c r="BOG10" i="20" s="1"/>
  <c r="CPI10" i="20" s="1"/>
  <c r="LV9" i="5"/>
  <c r="LV10" i="20" s="1"/>
  <c r="AMX10" i="20" s="1"/>
  <c r="BNZ10" i="20" s="1"/>
  <c r="CPB10" i="20" s="1"/>
  <c r="LU9" i="5"/>
  <c r="LU10" i="20" s="1"/>
  <c r="AMW10" i="20" s="1"/>
  <c r="BNY10" i="20" s="1"/>
  <c r="CPA10" i="20" s="1"/>
  <c r="LT9" i="5"/>
  <c r="LT10" i="20" s="1"/>
  <c r="AMV10" i="20" s="1"/>
  <c r="BNX10" i="20" s="1"/>
  <c r="COZ10" i="20" s="1"/>
  <c r="MD8" i="5"/>
  <c r="MD9" i="20" s="1"/>
  <c r="ANF9" i="20" s="1"/>
  <c r="BOH9" i="20" s="1"/>
  <c r="CPJ9" i="20" s="1"/>
  <c r="MC8" i="5"/>
  <c r="MC9" i="20" s="1"/>
  <c r="ANE9" i="20" s="1"/>
  <c r="BOG9" i="20" s="1"/>
  <c r="CPI9" i="20" s="1"/>
  <c r="MB8" i="5"/>
  <c r="MB9" i="20" s="1"/>
  <c r="AND9" i="20" s="1"/>
  <c r="BOF9" i="20" s="1"/>
  <c r="CPH9" i="20" s="1"/>
  <c r="MA8" i="5"/>
  <c r="MA9" i="20" s="1"/>
  <c r="ANC9" i="20" s="1"/>
  <c r="BOE9" i="20" s="1"/>
  <c r="CPG9" i="20" s="1"/>
  <c r="LZ8" i="5"/>
  <c r="LZ9" i="20" s="1"/>
  <c r="ANB9" i="20" s="1"/>
  <c r="BOD9" i="20" s="1"/>
  <c r="CPF9" i="20" s="1"/>
  <c r="LY8" i="5"/>
  <c r="LY9" i="20" s="1"/>
  <c r="ANA9" i="20" s="1"/>
  <c r="BOC9" i="20" s="1"/>
  <c r="CPE9" i="20" s="1"/>
  <c r="LX8" i="5"/>
  <c r="LX9" i="20" s="1"/>
  <c r="AMZ9" i="20" s="1"/>
  <c r="BOB9" i="20" s="1"/>
  <c r="CPD9" i="20" s="1"/>
  <c r="LW8" i="5"/>
  <c r="LW9" i="20" s="1"/>
  <c r="AMY9" i="20" s="1"/>
  <c r="BOA9" i="20" s="1"/>
  <c r="CPC9" i="20" s="1"/>
  <c r="LV8" i="5"/>
  <c r="LV9" i="20" s="1"/>
  <c r="AMX9" i="20" s="1"/>
  <c r="BNZ9" i="20" s="1"/>
  <c r="CPB9" i="20" s="1"/>
  <c r="LU8" i="5"/>
  <c r="LU9" i="20" s="1"/>
  <c r="AMW9" i="20" s="1"/>
  <c r="BNY9" i="20" s="1"/>
  <c r="CPA9" i="20" s="1"/>
  <c r="LT8" i="5"/>
  <c r="LT9" i="20" s="1"/>
  <c r="AMV9" i="20" s="1"/>
  <c r="BNX9" i="20" s="1"/>
  <c r="COZ9" i="20" s="1"/>
  <c r="MD7" i="5"/>
  <c r="MD8" i="20" s="1"/>
  <c r="ANF8" i="20" s="1"/>
  <c r="BOH8" i="20" s="1"/>
  <c r="CPJ8" i="20" s="1"/>
  <c r="MC7" i="5"/>
  <c r="MC8" i="20" s="1"/>
  <c r="ANE8" i="20" s="1"/>
  <c r="BOG8" i="20" s="1"/>
  <c r="CPI8" i="20" s="1"/>
  <c r="MB7" i="5"/>
  <c r="MB8" i="20" s="1"/>
  <c r="AND8" i="20" s="1"/>
  <c r="BOF8" i="20" s="1"/>
  <c r="CPH8" i="20" s="1"/>
  <c r="MA7" i="5"/>
  <c r="MA8" i="20" s="1"/>
  <c r="ANC8" i="20" s="1"/>
  <c r="BOE8" i="20" s="1"/>
  <c r="CPG8" i="20" s="1"/>
  <c r="LZ7" i="5"/>
  <c r="LZ8" i="20" s="1"/>
  <c r="ANB8" i="20" s="1"/>
  <c r="BOD8" i="20" s="1"/>
  <c r="CPF8" i="20" s="1"/>
  <c r="LY7" i="5"/>
  <c r="LY8" i="20" s="1"/>
  <c r="ANA8" i="20" s="1"/>
  <c r="BOC8" i="20" s="1"/>
  <c r="CPE8" i="20" s="1"/>
  <c r="LX7" i="5"/>
  <c r="LX8" i="20" s="1"/>
  <c r="AMZ8" i="20" s="1"/>
  <c r="BOB8" i="20" s="1"/>
  <c r="CPD8" i="20" s="1"/>
  <c r="LW7" i="5"/>
  <c r="LW8" i="20" s="1"/>
  <c r="AMY8" i="20" s="1"/>
  <c r="BOA8" i="20" s="1"/>
  <c r="CPC8" i="20" s="1"/>
  <c r="LV7" i="5"/>
  <c r="LV8" i="20" s="1"/>
  <c r="AMX8" i="20" s="1"/>
  <c r="BNZ8" i="20" s="1"/>
  <c r="CPB8" i="20" s="1"/>
  <c r="LU7" i="5"/>
  <c r="LU8" i="20" s="1"/>
  <c r="AMW8" i="20" s="1"/>
  <c r="BNY8" i="20" s="1"/>
  <c r="CPA8" i="20" s="1"/>
  <c r="LT7" i="5"/>
  <c r="LT8" i="20" s="1"/>
  <c r="AMV8" i="20" s="1"/>
  <c r="BNX8" i="20" s="1"/>
  <c r="COZ8" i="20" s="1"/>
  <c r="MD6" i="5"/>
  <c r="MD7" i="20" s="1"/>
  <c r="ANF7" i="20" s="1"/>
  <c r="BOH7" i="20" s="1"/>
  <c r="CPJ7" i="20" s="1"/>
  <c r="MC6" i="5"/>
  <c r="MC7" i="20" s="1"/>
  <c r="ANE7" i="20" s="1"/>
  <c r="BOG7" i="20" s="1"/>
  <c r="CPI7" i="20" s="1"/>
  <c r="MB6" i="5"/>
  <c r="MB7" i="20" s="1"/>
  <c r="AND7" i="20" s="1"/>
  <c r="BOF7" i="20" s="1"/>
  <c r="CPH7" i="20" s="1"/>
  <c r="MA6" i="5"/>
  <c r="MA7" i="20" s="1"/>
  <c r="ANC7" i="20" s="1"/>
  <c r="BOE7" i="20" s="1"/>
  <c r="CPG7" i="20" s="1"/>
  <c r="LZ6" i="5"/>
  <c r="LZ7" i="20" s="1"/>
  <c r="ANB7" i="20" s="1"/>
  <c r="BOD7" i="20" s="1"/>
  <c r="CPF7" i="20" s="1"/>
  <c r="LY6" i="5"/>
  <c r="LY7" i="20" s="1"/>
  <c r="ANA7" i="20" s="1"/>
  <c r="BOC7" i="20" s="1"/>
  <c r="CPE7" i="20" s="1"/>
  <c r="LX6" i="5"/>
  <c r="LX7" i="20" s="1"/>
  <c r="AMZ7" i="20" s="1"/>
  <c r="BOB7" i="20" s="1"/>
  <c r="CPD7" i="20" s="1"/>
  <c r="LW6" i="5"/>
  <c r="LW7" i="20" s="1"/>
  <c r="AMY7" i="20" s="1"/>
  <c r="BOA7" i="20" s="1"/>
  <c r="CPC7" i="20" s="1"/>
  <c r="LV6" i="5"/>
  <c r="LV7" i="20" s="1"/>
  <c r="AMX7" i="20" s="1"/>
  <c r="BNZ7" i="20" s="1"/>
  <c r="CPB7" i="20" s="1"/>
  <c r="LU6" i="5"/>
  <c r="LU7" i="20" s="1"/>
  <c r="AMW7" i="20" s="1"/>
  <c r="BNY7" i="20" s="1"/>
  <c r="CPA7" i="20" s="1"/>
  <c r="LT6" i="5"/>
  <c r="LT7" i="20" s="1"/>
  <c r="AMV7" i="20" s="1"/>
  <c r="BNX7" i="20" s="1"/>
  <c r="COZ7" i="20" s="1"/>
  <c r="MD5" i="5"/>
  <c r="MD6" i="20" s="1"/>
  <c r="ANF6" i="20" s="1"/>
  <c r="BOH6" i="20" s="1"/>
  <c r="CPJ6" i="20" s="1"/>
  <c r="MC5" i="5"/>
  <c r="MC6" i="20" s="1"/>
  <c r="ANE6" i="20" s="1"/>
  <c r="BOG6" i="20" s="1"/>
  <c r="CPI6" i="20" s="1"/>
  <c r="MB5" i="5"/>
  <c r="MB6" i="20" s="1"/>
  <c r="AND6" i="20" s="1"/>
  <c r="BOF6" i="20" s="1"/>
  <c r="CPH6" i="20" s="1"/>
  <c r="MA5" i="5"/>
  <c r="MA6" i="20" s="1"/>
  <c r="ANC6" i="20" s="1"/>
  <c r="BOE6" i="20" s="1"/>
  <c r="CPG6" i="20" s="1"/>
  <c r="LZ5" i="5"/>
  <c r="LZ6" i="20" s="1"/>
  <c r="ANB6" i="20" s="1"/>
  <c r="BOD6" i="20" s="1"/>
  <c r="CPF6" i="20" s="1"/>
  <c r="LY5" i="5"/>
  <c r="LY6" i="20" s="1"/>
  <c r="ANA6" i="20" s="1"/>
  <c r="BOC6" i="20" s="1"/>
  <c r="CPE6" i="20" s="1"/>
  <c r="LX5" i="5"/>
  <c r="LX6" i="20" s="1"/>
  <c r="AMZ6" i="20" s="1"/>
  <c r="BOB6" i="20" s="1"/>
  <c r="CPD6" i="20" s="1"/>
  <c r="LW5" i="5"/>
  <c r="LW6" i="20" s="1"/>
  <c r="AMY6" i="20" s="1"/>
  <c r="BOA6" i="20" s="1"/>
  <c r="CPC6" i="20" s="1"/>
  <c r="LV5" i="5"/>
  <c r="LV6" i="20" s="1"/>
  <c r="AMX6" i="20" s="1"/>
  <c r="BNZ6" i="20" s="1"/>
  <c r="CPB6" i="20" s="1"/>
  <c r="LU5" i="5"/>
  <c r="LU6" i="20" s="1"/>
  <c r="AMW6" i="20" s="1"/>
  <c r="BNY6" i="20" s="1"/>
  <c r="CPA6" i="20" s="1"/>
  <c r="LT5" i="5"/>
  <c r="LT6" i="20" s="1"/>
  <c r="AMV6" i="20" s="1"/>
  <c r="BNX6" i="20" s="1"/>
  <c r="COZ6" i="20" s="1"/>
  <c r="LH12" i="5"/>
  <c r="LH13" i="20" s="1"/>
  <c r="AMJ13" i="20" s="1"/>
  <c r="BNL13" i="20" s="1"/>
  <c r="CON13" i="20" s="1"/>
  <c r="LG12" i="5"/>
  <c r="LG13" i="20" s="1"/>
  <c r="AMI13" i="20" s="1"/>
  <c r="BNK13" i="20" s="1"/>
  <c r="COM13" i="20" s="1"/>
  <c r="KZ12" i="5"/>
  <c r="KZ13" i="20" s="1"/>
  <c r="AMB13" i="20" s="1"/>
  <c r="BND13" i="20" s="1"/>
  <c r="COF13" i="20" s="1"/>
  <c r="KY12" i="5"/>
  <c r="KY13" i="20" s="1"/>
  <c r="AMA13" i="20" s="1"/>
  <c r="BNC13" i="20" s="1"/>
  <c r="COE13" i="20" s="1"/>
  <c r="KX12" i="5"/>
  <c r="KX13" i="20" s="1"/>
  <c r="ALZ13" i="20" s="1"/>
  <c r="BNB13" i="20" s="1"/>
  <c r="COD13" i="20" s="1"/>
  <c r="LH11" i="5"/>
  <c r="LH12" i="20" s="1"/>
  <c r="AMJ12" i="20" s="1"/>
  <c r="BNL12" i="20" s="1"/>
  <c r="CON12" i="20" s="1"/>
  <c r="LG11" i="5"/>
  <c r="LG12" i="20" s="1"/>
  <c r="AMI12" i="20" s="1"/>
  <c r="BNK12" i="20" s="1"/>
  <c r="COM12" i="20" s="1"/>
  <c r="LF11" i="5"/>
  <c r="LF12" i="20" s="1"/>
  <c r="AMH12" i="20" s="1"/>
  <c r="BNJ12" i="20" s="1"/>
  <c r="COL12" i="20" s="1"/>
  <c r="LE11" i="5"/>
  <c r="LE12" i="20" s="1"/>
  <c r="AMG12" i="20" s="1"/>
  <c r="BNI12" i="20" s="1"/>
  <c r="COK12" i="20" s="1"/>
  <c r="LD11" i="5"/>
  <c r="LD12" i="20" s="1"/>
  <c r="AMF12" i="20" s="1"/>
  <c r="BNH12" i="20" s="1"/>
  <c r="COJ12" i="20" s="1"/>
  <c r="LC11" i="5"/>
  <c r="LC12" i="20" s="1"/>
  <c r="AME12" i="20" s="1"/>
  <c r="BNG12" i="20" s="1"/>
  <c r="COI12" i="20" s="1"/>
  <c r="LB11" i="5"/>
  <c r="LB12" i="20" s="1"/>
  <c r="AMD12" i="20" s="1"/>
  <c r="BNF12" i="20" s="1"/>
  <c r="COH12" i="20" s="1"/>
  <c r="LA11" i="5"/>
  <c r="LA12" i="20" s="1"/>
  <c r="AMC12" i="20" s="1"/>
  <c r="BNE12" i="20" s="1"/>
  <c r="COG12" i="20" s="1"/>
  <c r="KZ11" i="5"/>
  <c r="KZ12" i="20" s="1"/>
  <c r="AMB12" i="20" s="1"/>
  <c r="BND12" i="20" s="1"/>
  <c r="COF12" i="20" s="1"/>
  <c r="KY11" i="5"/>
  <c r="KY12" i="20" s="1"/>
  <c r="AMA12" i="20" s="1"/>
  <c r="BNC12" i="20" s="1"/>
  <c r="COE12" i="20" s="1"/>
  <c r="KX11" i="5"/>
  <c r="KX12" i="20" s="1"/>
  <c r="ALZ12" i="20" s="1"/>
  <c r="BNB12" i="20" s="1"/>
  <c r="COD12" i="20" s="1"/>
  <c r="LH10" i="5"/>
  <c r="LH11" i="20" s="1"/>
  <c r="AMJ11" i="20" s="1"/>
  <c r="BNL11" i="20" s="1"/>
  <c r="CON11" i="20" s="1"/>
  <c r="LG10" i="5"/>
  <c r="LG11" i="20" s="1"/>
  <c r="AMI11" i="20" s="1"/>
  <c r="BNK11" i="20" s="1"/>
  <c r="COM11" i="20" s="1"/>
  <c r="LF10" i="5"/>
  <c r="LF11" i="20" s="1"/>
  <c r="AMH11" i="20" s="1"/>
  <c r="BNJ11" i="20" s="1"/>
  <c r="COL11" i="20" s="1"/>
  <c r="LE10" i="5"/>
  <c r="LE11" i="20" s="1"/>
  <c r="AMG11" i="20" s="1"/>
  <c r="BNI11" i="20" s="1"/>
  <c r="COK11" i="20" s="1"/>
  <c r="LD10" i="5"/>
  <c r="LD11" i="20" s="1"/>
  <c r="AMF11" i="20" s="1"/>
  <c r="BNH11" i="20" s="1"/>
  <c r="COJ11" i="20" s="1"/>
  <c r="LC10" i="5"/>
  <c r="LC11" i="20" s="1"/>
  <c r="AME11" i="20" s="1"/>
  <c r="BNG11" i="20" s="1"/>
  <c r="COI11" i="20" s="1"/>
  <c r="LB10" i="5"/>
  <c r="LB11" i="20" s="1"/>
  <c r="AMD11" i="20" s="1"/>
  <c r="BNF11" i="20" s="1"/>
  <c r="COH11" i="20" s="1"/>
  <c r="LA10" i="5"/>
  <c r="LA11" i="20" s="1"/>
  <c r="AMC11" i="20" s="1"/>
  <c r="BNE11" i="20" s="1"/>
  <c r="COG11" i="20" s="1"/>
  <c r="KZ10" i="5"/>
  <c r="KZ11" i="20" s="1"/>
  <c r="AMB11" i="20" s="1"/>
  <c r="BND11" i="20" s="1"/>
  <c r="COF11" i="20" s="1"/>
  <c r="KY10" i="5"/>
  <c r="KY11" i="20" s="1"/>
  <c r="AMA11" i="20" s="1"/>
  <c r="BNC11" i="20" s="1"/>
  <c r="COE11" i="20" s="1"/>
  <c r="KX10" i="5"/>
  <c r="KX11" i="20" s="1"/>
  <c r="ALZ11" i="20" s="1"/>
  <c r="BNB11" i="20" s="1"/>
  <c r="COD11" i="20" s="1"/>
  <c r="LH9" i="5"/>
  <c r="LH10" i="20" s="1"/>
  <c r="AMJ10" i="20" s="1"/>
  <c r="BNL10" i="20" s="1"/>
  <c r="CON10" i="20" s="1"/>
  <c r="LG9" i="5"/>
  <c r="LG10" i="20" s="1"/>
  <c r="AMI10" i="20" s="1"/>
  <c r="BNK10" i="20" s="1"/>
  <c r="COM10" i="20" s="1"/>
  <c r="KZ9" i="5"/>
  <c r="KZ10" i="20" s="1"/>
  <c r="AMB10" i="20" s="1"/>
  <c r="BND10" i="20" s="1"/>
  <c r="COF10" i="20" s="1"/>
  <c r="KY9" i="5"/>
  <c r="KY10" i="20" s="1"/>
  <c r="AMA10" i="20" s="1"/>
  <c r="BNC10" i="20" s="1"/>
  <c r="COE10" i="20" s="1"/>
  <c r="KX9" i="5"/>
  <c r="KX10" i="20" s="1"/>
  <c r="ALZ10" i="20" s="1"/>
  <c r="BNB10" i="20" s="1"/>
  <c r="COD10" i="20" s="1"/>
  <c r="LH8" i="5"/>
  <c r="LH9" i="20" s="1"/>
  <c r="AMJ9" i="20" s="1"/>
  <c r="BNL9" i="20" s="1"/>
  <c r="CON9" i="20" s="1"/>
  <c r="LG8" i="5"/>
  <c r="LG9" i="20" s="1"/>
  <c r="AMI9" i="20" s="1"/>
  <c r="BNK9" i="20" s="1"/>
  <c r="COM9" i="20" s="1"/>
  <c r="LF8" i="5"/>
  <c r="LF9" i="20" s="1"/>
  <c r="AMH9" i="20" s="1"/>
  <c r="BNJ9" i="20" s="1"/>
  <c r="COL9" i="20" s="1"/>
  <c r="LE8" i="5"/>
  <c r="LE9" i="20" s="1"/>
  <c r="AMG9" i="20" s="1"/>
  <c r="BNI9" i="20" s="1"/>
  <c r="COK9" i="20" s="1"/>
  <c r="LD8" i="5"/>
  <c r="LD9" i="20" s="1"/>
  <c r="AMF9" i="20" s="1"/>
  <c r="BNH9" i="20" s="1"/>
  <c r="COJ9" i="20" s="1"/>
  <c r="LC8" i="5"/>
  <c r="LC9" i="20" s="1"/>
  <c r="AME9" i="20" s="1"/>
  <c r="BNG9" i="20" s="1"/>
  <c r="COI9" i="20" s="1"/>
  <c r="LB8" i="5"/>
  <c r="LB9" i="20" s="1"/>
  <c r="AMD9" i="20" s="1"/>
  <c r="BNF9" i="20" s="1"/>
  <c r="COH9" i="20" s="1"/>
  <c r="LA8" i="5"/>
  <c r="LA9" i="20" s="1"/>
  <c r="AMC9" i="20" s="1"/>
  <c r="BNE9" i="20" s="1"/>
  <c r="COG9" i="20" s="1"/>
  <c r="KZ8" i="5"/>
  <c r="KZ9" i="20" s="1"/>
  <c r="AMB9" i="20" s="1"/>
  <c r="BND9" i="20" s="1"/>
  <c r="COF9" i="20" s="1"/>
  <c r="KY8" i="5"/>
  <c r="KY9" i="20" s="1"/>
  <c r="AMA9" i="20" s="1"/>
  <c r="BNC9" i="20" s="1"/>
  <c r="COE9" i="20" s="1"/>
  <c r="KX8" i="5"/>
  <c r="KX9" i="20" s="1"/>
  <c r="ALZ9" i="20" s="1"/>
  <c r="BNB9" i="20" s="1"/>
  <c r="COD9" i="20" s="1"/>
  <c r="LH7" i="5"/>
  <c r="LH8" i="20" s="1"/>
  <c r="AMJ8" i="20" s="1"/>
  <c r="BNL8" i="20" s="1"/>
  <c r="CON8" i="20" s="1"/>
  <c r="LG7" i="5"/>
  <c r="LG8" i="20" s="1"/>
  <c r="AMI8" i="20" s="1"/>
  <c r="BNK8" i="20" s="1"/>
  <c r="COM8" i="20" s="1"/>
  <c r="LF7" i="5"/>
  <c r="LF8" i="20" s="1"/>
  <c r="AMH8" i="20" s="1"/>
  <c r="BNJ8" i="20" s="1"/>
  <c r="COL8" i="20" s="1"/>
  <c r="LE7" i="5"/>
  <c r="LE8" i="20" s="1"/>
  <c r="AMG8" i="20" s="1"/>
  <c r="BNI8" i="20" s="1"/>
  <c r="COK8" i="20" s="1"/>
  <c r="LD7" i="5"/>
  <c r="LD8" i="20" s="1"/>
  <c r="AMF8" i="20" s="1"/>
  <c r="BNH8" i="20" s="1"/>
  <c r="COJ8" i="20" s="1"/>
  <c r="LC7" i="5"/>
  <c r="LC8" i="20" s="1"/>
  <c r="AME8" i="20" s="1"/>
  <c r="BNG8" i="20" s="1"/>
  <c r="COI8" i="20" s="1"/>
  <c r="LB7" i="5"/>
  <c r="LB8" i="20" s="1"/>
  <c r="AMD8" i="20" s="1"/>
  <c r="BNF8" i="20" s="1"/>
  <c r="COH8" i="20" s="1"/>
  <c r="LA7" i="5"/>
  <c r="LA8" i="20" s="1"/>
  <c r="AMC8" i="20" s="1"/>
  <c r="BNE8" i="20" s="1"/>
  <c r="COG8" i="20" s="1"/>
  <c r="KZ7" i="5"/>
  <c r="KZ8" i="20" s="1"/>
  <c r="AMB8" i="20" s="1"/>
  <c r="BND8" i="20" s="1"/>
  <c r="COF8" i="20" s="1"/>
  <c r="KY7" i="5"/>
  <c r="KY8" i="20" s="1"/>
  <c r="AMA8" i="20" s="1"/>
  <c r="BNC8" i="20" s="1"/>
  <c r="COE8" i="20" s="1"/>
  <c r="KX7" i="5"/>
  <c r="KX8" i="20" s="1"/>
  <c r="ALZ8" i="20" s="1"/>
  <c r="BNB8" i="20" s="1"/>
  <c r="COD8" i="20" s="1"/>
  <c r="LH6" i="5"/>
  <c r="LH7" i="20" s="1"/>
  <c r="AMJ7" i="20" s="1"/>
  <c r="BNL7" i="20" s="1"/>
  <c r="CON7" i="20" s="1"/>
  <c r="LG6" i="5"/>
  <c r="LG7" i="20" s="1"/>
  <c r="AMI7" i="20" s="1"/>
  <c r="BNK7" i="20" s="1"/>
  <c r="COM7" i="20" s="1"/>
  <c r="LF6" i="5"/>
  <c r="LF7" i="20" s="1"/>
  <c r="AMH7" i="20" s="1"/>
  <c r="BNJ7" i="20" s="1"/>
  <c r="COL7" i="20" s="1"/>
  <c r="LE6" i="5"/>
  <c r="LE7" i="20" s="1"/>
  <c r="AMG7" i="20" s="1"/>
  <c r="BNI7" i="20" s="1"/>
  <c r="COK7" i="20" s="1"/>
  <c r="LD6" i="5"/>
  <c r="LD7" i="20" s="1"/>
  <c r="AMF7" i="20" s="1"/>
  <c r="BNH7" i="20" s="1"/>
  <c r="COJ7" i="20" s="1"/>
  <c r="LC6" i="5"/>
  <c r="LC7" i="20" s="1"/>
  <c r="AME7" i="20" s="1"/>
  <c r="BNG7" i="20" s="1"/>
  <c r="COI7" i="20" s="1"/>
  <c r="LB6" i="5"/>
  <c r="LB7" i="20" s="1"/>
  <c r="AMD7" i="20" s="1"/>
  <c r="BNF7" i="20" s="1"/>
  <c r="COH7" i="20" s="1"/>
  <c r="LA6" i="5"/>
  <c r="LA7" i="20" s="1"/>
  <c r="AMC7" i="20" s="1"/>
  <c r="BNE7" i="20" s="1"/>
  <c r="COG7" i="20" s="1"/>
  <c r="KZ6" i="5"/>
  <c r="KZ7" i="20" s="1"/>
  <c r="AMB7" i="20" s="1"/>
  <c r="BND7" i="20" s="1"/>
  <c r="COF7" i="20" s="1"/>
  <c r="KY6" i="5"/>
  <c r="KY7" i="20" s="1"/>
  <c r="AMA7" i="20" s="1"/>
  <c r="BNC7" i="20" s="1"/>
  <c r="COE7" i="20" s="1"/>
  <c r="KX6" i="5"/>
  <c r="KX7" i="20" s="1"/>
  <c r="ALZ7" i="20" s="1"/>
  <c r="BNB7" i="20" s="1"/>
  <c r="COD7" i="20" s="1"/>
  <c r="LH5" i="5"/>
  <c r="LH6" i="20" s="1"/>
  <c r="AMJ6" i="20" s="1"/>
  <c r="BNL6" i="20" s="1"/>
  <c r="CON6" i="20" s="1"/>
  <c r="LG5" i="5"/>
  <c r="LG6" i="20" s="1"/>
  <c r="AMI6" i="20" s="1"/>
  <c r="BNK6" i="20" s="1"/>
  <c r="COM6" i="20" s="1"/>
  <c r="LF5" i="5"/>
  <c r="LF6" i="20" s="1"/>
  <c r="AMH6" i="20" s="1"/>
  <c r="BNJ6" i="20" s="1"/>
  <c r="COL6" i="20" s="1"/>
  <c r="LE5" i="5"/>
  <c r="LE6" i="20" s="1"/>
  <c r="AMG6" i="20" s="1"/>
  <c r="BNI6" i="20" s="1"/>
  <c r="COK6" i="20" s="1"/>
  <c r="LD5" i="5"/>
  <c r="LD6" i="20" s="1"/>
  <c r="AMF6" i="20" s="1"/>
  <c r="BNH6" i="20" s="1"/>
  <c r="COJ6" i="20" s="1"/>
  <c r="LC5" i="5"/>
  <c r="LC6" i="20" s="1"/>
  <c r="AME6" i="20" s="1"/>
  <c r="BNG6" i="20" s="1"/>
  <c r="COI6" i="20" s="1"/>
  <c r="LB5" i="5"/>
  <c r="LB6" i="20" s="1"/>
  <c r="AMD6" i="20" s="1"/>
  <c r="BNF6" i="20" s="1"/>
  <c r="COH6" i="20" s="1"/>
  <c r="LA5" i="5"/>
  <c r="LA6" i="20" s="1"/>
  <c r="AMC6" i="20" s="1"/>
  <c r="BNE6" i="20" s="1"/>
  <c r="COG6" i="20" s="1"/>
  <c r="KZ5" i="5"/>
  <c r="KZ6" i="20" s="1"/>
  <c r="AMB6" i="20" s="1"/>
  <c r="BND6" i="20" s="1"/>
  <c r="COF6" i="20" s="1"/>
  <c r="KY5" i="5"/>
  <c r="KY6" i="20" s="1"/>
  <c r="AMA6" i="20" s="1"/>
  <c r="BNC6" i="20" s="1"/>
  <c r="COE6" i="20" s="1"/>
  <c r="KX5" i="5"/>
  <c r="KX6" i="20" s="1"/>
  <c r="ALZ6" i="20" s="1"/>
  <c r="BNB6" i="20" s="1"/>
  <c r="COD6" i="20" s="1"/>
  <c r="KL12" i="5"/>
  <c r="KL13" i="20" s="1"/>
  <c r="ALN13" i="20" s="1"/>
  <c r="BMP13" i="20" s="1"/>
  <c r="CNR13" i="20" s="1"/>
  <c r="KK12" i="5"/>
  <c r="KK13" i="20" s="1"/>
  <c r="ALM13" i="20" s="1"/>
  <c r="BMO13" i="20" s="1"/>
  <c r="CNQ13" i="20" s="1"/>
  <c r="KD12" i="5"/>
  <c r="KD13" i="20" s="1"/>
  <c r="ALF13" i="20" s="1"/>
  <c r="BMH13" i="20" s="1"/>
  <c r="CNJ13" i="20" s="1"/>
  <c r="KC12" i="5"/>
  <c r="KC13" i="20" s="1"/>
  <c r="ALE13" i="20" s="1"/>
  <c r="BMG13" i="20" s="1"/>
  <c r="CNI13" i="20" s="1"/>
  <c r="KB12" i="5"/>
  <c r="KB13" i="20" s="1"/>
  <c r="ALD13" i="20" s="1"/>
  <c r="BMF13" i="20" s="1"/>
  <c r="CNH13" i="20" s="1"/>
  <c r="KL11" i="5"/>
  <c r="KL12" i="20" s="1"/>
  <c r="ALN12" i="20" s="1"/>
  <c r="BMP12" i="20" s="1"/>
  <c r="CNR12" i="20" s="1"/>
  <c r="KK11" i="5"/>
  <c r="KK12" i="20" s="1"/>
  <c r="ALM12" i="20" s="1"/>
  <c r="BMO12" i="20" s="1"/>
  <c r="CNQ12" i="20" s="1"/>
  <c r="KJ11" i="5"/>
  <c r="KJ12" i="20" s="1"/>
  <c r="ALL12" i="20" s="1"/>
  <c r="BMN12" i="20" s="1"/>
  <c r="CNP12" i="20" s="1"/>
  <c r="KI11" i="5"/>
  <c r="KI12" i="20" s="1"/>
  <c r="ALK12" i="20" s="1"/>
  <c r="BMM12" i="20" s="1"/>
  <c r="CNO12" i="20" s="1"/>
  <c r="KH11" i="5"/>
  <c r="KH12" i="20" s="1"/>
  <c r="ALJ12" i="20" s="1"/>
  <c r="BML12" i="20" s="1"/>
  <c r="CNN12" i="20" s="1"/>
  <c r="KG11" i="5"/>
  <c r="KG12" i="20" s="1"/>
  <c r="ALI12" i="20" s="1"/>
  <c r="BMK12" i="20" s="1"/>
  <c r="CNM12" i="20" s="1"/>
  <c r="KF11" i="5"/>
  <c r="KF12" i="20" s="1"/>
  <c r="ALH12" i="20" s="1"/>
  <c r="BMJ12" i="20" s="1"/>
  <c r="CNL12" i="20" s="1"/>
  <c r="KE11" i="5"/>
  <c r="KE12" i="20" s="1"/>
  <c r="ALG12" i="20" s="1"/>
  <c r="BMI12" i="20" s="1"/>
  <c r="CNK12" i="20" s="1"/>
  <c r="KD11" i="5"/>
  <c r="KD12" i="20" s="1"/>
  <c r="ALF12" i="20" s="1"/>
  <c r="BMH12" i="20" s="1"/>
  <c r="CNJ12" i="20" s="1"/>
  <c r="KC11" i="5"/>
  <c r="KC12" i="20" s="1"/>
  <c r="ALE12" i="20" s="1"/>
  <c r="BMG12" i="20" s="1"/>
  <c r="CNI12" i="20" s="1"/>
  <c r="KB11" i="5"/>
  <c r="KB12" i="20" s="1"/>
  <c r="ALD12" i="20" s="1"/>
  <c r="BMF12" i="20" s="1"/>
  <c r="CNH12" i="20" s="1"/>
  <c r="KL10" i="5"/>
  <c r="KL11" i="20" s="1"/>
  <c r="ALN11" i="20" s="1"/>
  <c r="BMP11" i="20" s="1"/>
  <c r="CNR11" i="20" s="1"/>
  <c r="KK10" i="5"/>
  <c r="KK11" i="20" s="1"/>
  <c r="ALM11" i="20" s="1"/>
  <c r="BMO11" i="20" s="1"/>
  <c r="CNQ11" i="20" s="1"/>
  <c r="KJ10" i="5"/>
  <c r="KJ11" i="20" s="1"/>
  <c r="ALL11" i="20" s="1"/>
  <c r="BMN11" i="20" s="1"/>
  <c r="CNP11" i="20" s="1"/>
  <c r="KI10" i="5"/>
  <c r="KI11" i="20" s="1"/>
  <c r="ALK11" i="20" s="1"/>
  <c r="BMM11" i="20" s="1"/>
  <c r="CNO11" i="20" s="1"/>
  <c r="KH10" i="5"/>
  <c r="KH11" i="20" s="1"/>
  <c r="ALJ11" i="20" s="1"/>
  <c r="BML11" i="20" s="1"/>
  <c r="CNN11" i="20" s="1"/>
  <c r="KG10" i="5"/>
  <c r="KG11" i="20" s="1"/>
  <c r="ALI11" i="20" s="1"/>
  <c r="BMK11" i="20" s="1"/>
  <c r="CNM11" i="20" s="1"/>
  <c r="KF10" i="5"/>
  <c r="KF11" i="20" s="1"/>
  <c r="ALH11" i="20" s="1"/>
  <c r="BMJ11" i="20" s="1"/>
  <c r="CNL11" i="20" s="1"/>
  <c r="KE10" i="5"/>
  <c r="KE11" i="20" s="1"/>
  <c r="ALG11" i="20" s="1"/>
  <c r="BMI11" i="20" s="1"/>
  <c r="CNK11" i="20" s="1"/>
  <c r="KD10" i="5"/>
  <c r="KD11" i="20" s="1"/>
  <c r="ALF11" i="20" s="1"/>
  <c r="BMH11" i="20" s="1"/>
  <c r="CNJ11" i="20" s="1"/>
  <c r="KC10" i="5"/>
  <c r="KC11" i="20" s="1"/>
  <c r="ALE11" i="20" s="1"/>
  <c r="BMG11" i="20" s="1"/>
  <c r="CNI11" i="20" s="1"/>
  <c r="KB10" i="5"/>
  <c r="KB11" i="20" s="1"/>
  <c r="ALD11" i="20" s="1"/>
  <c r="BMF11" i="20" s="1"/>
  <c r="CNH11" i="20" s="1"/>
  <c r="KL9" i="5"/>
  <c r="KL10" i="20" s="1"/>
  <c r="ALN10" i="20" s="1"/>
  <c r="BMP10" i="20" s="1"/>
  <c r="CNR10" i="20" s="1"/>
  <c r="KK9" i="5"/>
  <c r="KK10" i="20" s="1"/>
  <c r="ALM10" i="20" s="1"/>
  <c r="BMO10" i="20" s="1"/>
  <c r="CNQ10" i="20" s="1"/>
  <c r="KD9" i="5"/>
  <c r="KD10" i="20" s="1"/>
  <c r="ALF10" i="20" s="1"/>
  <c r="BMH10" i="20" s="1"/>
  <c r="CNJ10" i="20" s="1"/>
  <c r="KC9" i="5"/>
  <c r="KC10" i="20" s="1"/>
  <c r="ALE10" i="20" s="1"/>
  <c r="BMG10" i="20" s="1"/>
  <c r="CNI10" i="20" s="1"/>
  <c r="KB9" i="5"/>
  <c r="KB10" i="20" s="1"/>
  <c r="ALD10" i="20" s="1"/>
  <c r="BMF10" i="20" s="1"/>
  <c r="CNH10" i="20" s="1"/>
  <c r="KL8" i="5"/>
  <c r="KL9" i="20" s="1"/>
  <c r="ALN9" i="20" s="1"/>
  <c r="BMP9" i="20" s="1"/>
  <c r="CNR9" i="20" s="1"/>
  <c r="KK8" i="5"/>
  <c r="KK9" i="20" s="1"/>
  <c r="ALM9" i="20" s="1"/>
  <c r="BMO9" i="20" s="1"/>
  <c r="CNQ9" i="20" s="1"/>
  <c r="KJ8" i="5"/>
  <c r="KJ9" i="20" s="1"/>
  <c r="ALL9" i="20" s="1"/>
  <c r="BMN9" i="20" s="1"/>
  <c r="CNP9" i="20" s="1"/>
  <c r="KI8" i="5"/>
  <c r="KI9" i="20" s="1"/>
  <c r="ALK9" i="20" s="1"/>
  <c r="BMM9" i="20" s="1"/>
  <c r="CNO9" i="20" s="1"/>
  <c r="KH8" i="5"/>
  <c r="KH9" i="20" s="1"/>
  <c r="ALJ9" i="20" s="1"/>
  <c r="BML9" i="20" s="1"/>
  <c r="CNN9" i="20" s="1"/>
  <c r="KG8" i="5"/>
  <c r="KG9" i="20" s="1"/>
  <c r="ALI9" i="20" s="1"/>
  <c r="BMK9" i="20" s="1"/>
  <c r="CNM9" i="20" s="1"/>
  <c r="KF8" i="5"/>
  <c r="KF9" i="20" s="1"/>
  <c r="ALH9" i="20" s="1"/>
  <c r="BMJ9" i="20" s="1"/>
  <c r="CNL9" i="20" s="1"/>
  <c r="KE8" i="5"/>
  <c r="KE9" i="20" s="1"/>
  <c r="ALG9" i="20" s="1"/>
  <c r="BMI9" i="20" s="1"/>
  <c r="CNK9" i="20" s="1"/>
  <c r="KD8" i="5"/>
  <c r="KD9" i="20" s="1"/>
  <c r="ALF9" i="20" s="1"/>
  <c r="BMH9" i="20" s="1"/>
  <c r="CNJ9" i="20" s="1"/>
  <c r="KC8" i="5"/>
  <c r="KC9" i="20" s="1"/>
  <c r="ALE9" i="20" s="1"/>
  <c r="BMG9" i="20" s="1"/>
  <c r="CNI9" i="20" s="1"/>
  <c r="KB8" i="5"/>
  <c r="KB9" i="20" s="1"/>
  <c r="ALD9" i="20" s="1"/>
  <c r="BMF9" i="20" s="1"/>
  <c r="CNH9" i="20" s="1"/>
  <c r="KL7" i="5"/>
  <c r="KL8" i="20" s="1"/>
  <c r="ALN8" i="20" s="1"/>
  <c r="BMP8" i="20" s="1"/>
  <c r="CNR8" i="20" s="1"/>
  <c r="KK7" i="5"/>
  <c r="KK8" i="20" s="1"/>
  <c r="ALM8" i="20" s="1"/>
  <c r="BMO8" i="20" s="1"/>
  <c r="CNQ8" i="20" s="1"/>
  <c r="KJ7" i="5"/>
  <c r="KJ8" i="20" s="1"/>
  <c r="ALL8" i="20" s="1"/>
  <c r="BMN8" i="20" s="1"/>
  <c r="CNP8" i="20" s="1"/>
  <c r="KI7" i="5"/>
  <c r="KI8" i="20" s="1"/>
  <c r="ALK8" i="20" s="1"/>
  <c r="BMM8" i="20" s="1"/>
  <c r="CNO8" i="20" s="1"/>
  <c r="KH7" i="5"/>
  <c r="KH8" i="20" s="1"/>
  <c r="ALJ8" i="20" s="1"/>
  <c r="BML8" i="20" s="1"/>
  <c r="CNN8" i="20" s="1"/>
  <c r="KG7" i="5"/>
  <c r="KG8" i="20" s="1"/>
  <c r="ALI8" i="20" s="1"/>
  <c r="BMK8" i="20" s="1"/>
  <c r="CNM8" i="20" s="1"/>
  <c r="KF7" i="5"/>
  <c r="KF8" i="20" s="1"/>
  <c r="ALH8" i="20" s="1"/>
  <c r="BMJ8" i="20" s="1"/>
  <c r="CNL8" i="20" s="1"/>
  <c r="KE7" i="5"/>
  <c r="KE8" i="20" s="1"/>
  <c r="ALG8" i="20" s="1"/>
  <c r="BMI8" i="20" s="1"/>
  <c r="CNK8" i="20" s="1"/>
  <c r="KD7" i="5"/>
  <c r="KD8" i="20" s="1"/>
  <c r="ALF8" i="20" s="1"/>
  <c r="BMH8" i="20" s="1"/>
  <c r="CNJ8" i="20" s="1"/>
  <c r="KC7" i="5"/>
  <c r="KC8" i="20" s="1"/>
  <c r="ALE8" i="20" s="1"/>
  <c r="BMG8" i="20" s="1"/>
  <c r="CNI8" i="20" s="1"/>
  <c r="KB7" i="5"/>
  <c r="KB8" i="20" s="1"/>
  <c r="ALD8" i="20" s="1"/>
  <c r="BMF8" i="20" s="1"/>
  <c r="CNH8" i="20" s="1"/>
  <c r="KL6" i="5"/>
  <c r="KL7" i="20" s="1"/>
  <c r="ALN7" i="20" s="1"/>
  <c r="BMP7" i="20" s="1"/>
  <c r="CNR7" i="20" s="1"/>
  <c r="KK6" i="5"/>
  <c r="KK7" i="20" s="1"/>
  <c r="ALM7" i="20" s="1"/>
  <c r="BMO7" i="20" s="1"/>
  <c r="CNQ7" i="20" s="1"/>
  <c r="KJ6" i="5"/>
  <c r="KJ7" i="20" s="1"/>
  <c r="ALL7" i="20" s="1"/>
  <c r="BMN7" i="20" s="1"/>
  <c r="CNP7" i="20" s="1"/>
  <c r="KI6" i="5"/>
  <c r="KI7" i="20" s="1"/>
  <c r="ALK7" i="20" s="1"/>
  <c r="BMM7" i="20" s="1"/>
  <c r="CNO7" i="20" s="1"/>
  <c r="KH6" i="5"/>
  <c r="KH7" i="20" s="1"/>
  <c r="ALJ7" i="20" s="1"/>
  <c r="BML7" i="20" s="1"/>
  <c r="CNN7" i="20" s="1"/>
  <c r="KG6" i="5"/>
  <c r="KG7" i="20" s="1"/>
  <c r="ALI7" i="20" s="1"/>
  <c r="BMK7" i="20" s="1"/>
  <c r="CNM7" i="20" s="1"/>
  <c r="KF6" i="5"/>
  <c r="KF7" i="20" s="1"/>
  <c r="ALH7" i="20" s="1"/>
  <c r="BMJ7" i="20" s="1"/>
  <c r="CNL7" i="20" s="1"/>
  <c r="KE6" i="5"/>
  <c r="KE7" i="20" s="1"/>
  <c r="ALG7" i="20" s="1"/>
  <c r="BMI7" i="20" s="1"/>
  <c r="CNK7" i="20" s="1"/>
  <c r="KD6" i="5"/>
  <c r="KD7" i="20" s="1"/>
  <c r="ALF7" i="20" s="1"/>
  <c r="BMH7" i="20" s="1"/>
  <c r="CNJ7" i="20" s="1"/>
  <c r="KC6" i="5"/>
  <c r="KC7" i="20" s="1"/>
  <c r="ALE7" i="20" s="1"/>
  <c r="BMG7" i="20" s="1"/>
  <c r="CNI7" i="20" s="1"/>
  <c r="KB6" i="5"/>
  <c r="KB7" i="20" s="1"/>
  <c r="ALD7" i="20" s="1"/>
  <c r="BMF7" i="20" s="1"/>
  <c r="CNH7" i="20" s="1"/>
  <c r="KL5" i="5"/>
  <c r="KL6" i="20" s="1"/>
  <c r="ALN6" i="20" s="1"/>
  <c r="BMP6" i="20" s="1"/>
  <c r="CNR6" i="20" s="1"/>
  <c r="KK5" i="5"/>
  <c r="KK6" i="20" s="1"/>
  <c r="ALM6" i="20" s="1"/>
  <c r="BMO6" i="20" s="1"/>
  <c r="CNQ6" i="20" s="1"/>
  <c r="KJ5" i="5"/>
  <c r="KJ6" i="20" s="1"/>
  <c r="ALL6" i="20" s="1"/>
  <c r="BMN6" i="20" s="1"/>
  <c r="CNP6" i="20" s="1"/>
  <c r="KI5" i="5"/>
  <c r="KI6" i="20" s="1"/>
  <c r="ALK6" i="20" s="1"/>
  <c r="BMM6" i="20" s="1"/>
  <c r="CNO6" i="20" s="1"/>
  <c r="KH5" i="5"/>
  <c r="KH6" i="20" s="1"/>
  <c r="ALJ6" i="20" s="1"/>
  <c r="BML6" i="20" s="1"/>
  <c r="CNN6" i="20" s="1"/>
  <c r="KG5" i="5"/>
  <c r="KG6" i="20" s="1"/>
  <c r="ALI6" i="20" s="1"/>
  <c r="BMK6" i="20" s="1"/>
  <c r="CNM6" i="20" s="1"/>
  <c r="KF5" i="5"/>
  <c r="KF6" i="20" s="1"/>
  <c r="ALH6" i="20" s="1"/>
  <c r="BMJ6" i="20" s="1"/>
  <c r="CNL6" i="20" s="1"/>
  <c r="KE5" i="5"/>
  <c r="KE6" i="20" s="1"/>
  <c r="ALG6" i="20" s="1"/>
  <c r="BMI6" i="20" s="1"/>
  <c r="CNK6" i="20" s="1"/>
  <c r="KD5" i="5"/>
  <c r="KD6" i="20" s="1"/>
  <c r="ALF6" i="20" s="1"/>
  <c r="BMH6" i="20" s="1"/>
  <c r="CNJ6" i="20" s="1"/>
  <c r="KC5" i="5"/>
  <c r="KC6" i="20" s="1"/>
  <c r="ALE6" i="20" s="1"/>
  <c r="BMG6" i="20" s="1"/>
  <c r="CNI6" i="20" s="1"/>
  <c r="KB5" i="5"/>
  <c r="KB6" i="20" s="1"/>
  <c r="ALD6" i="20" s="1"/>
  <c r="BMF6" i="20" s="1"/>
  <c r="CNH6" i="20" s="1"/>
  <c r="JP12" i="5"/>
  <c r="JP13" i="20" s="1"/>
  <c r="AKR13" i="20" s="1"/>
  <c r="BLT13" i="20" s="1"/>
  <c r="CMV13" i="20" s="1"/>
  <c r="JO12" i="5"/>
  <c r="JO13" i="20" s="1"/>
  <c r="AKQ13" i="20" s="1"/>
  <c r="BLS13" i="20" s="1"/>
  <c r="CMU13" i="20" s="1"/>
  <c r="JH12" i="5"/>
  <c r="JH13" i="20" s="1"/>
  <c r="AKJ13" i="20" s="1"/>
  <c r="BLL13" i="20" s="1"/>
  <c r="CMN13" i="20" s="1"/>
  <c r="JG12" i="5"/>
  <c r="JG13" i="20" s="1"/>
  <c r="AKI13" i="20" s="1"/>
  <c r="BLK13" i="20" s="1"/>
  <c r="CMM13" i="20" s="1"/>
  <c r="JF12" i="5"/>
  <c r="JF13" i="20" s="1"/>
  <c r="AKH13" i="20" s="1"/>
  <c r="BLJ13" i="20" s="1"/>
  <c r="CML13" i="20" s="1"/>
  <c r="JP11" i="5"/>
  <c r="JP12" i="20" s="1"/>
  <c r="AKR12" i="20" s="1"/>
  <c r="BLT12" i="20" s="1"/>
  <c r="CMV12" i="20" s="1"/>
  <c r="JO11" i="5"/>
  <c r="JO12" i="20" s="1"/>
  <c r="AKQ12" i="20" s="1"/>
  <c r="BLS12" i="20" s="1"/>
  <c r="CMU12" i="20" s="1"/>
  <c r="JN11" i="5"/>
  <c r="JN12" i="20" s="1"/>
  <c r="AKP12" i="20" s="1"/>
  <c r="BLR12" i="20" s="1"/>
  <c r="CMT12" i="20" s="1"/>
  <c r="JM11" i="5"/>
  <c r="JM12" i="20" s="1"/>
  <c r="AKO12" i="20" s="1"/>
  <c r="BLQ12" i="20" s="1"/>
  <c r="CMS12" i="20" s="1"/>
  <c r="JL11" i="5"/>
  <c r="JL12" i="20" s="1"/>
  <c r="AKN12" i="20" s="1"/>
  <c r="BLP12" i="20" s="1"/>
  <c r="CMR12" i="20" s="1"/>
  <c r="JK11" i="5"/>
  <c r="JK12" i="20" s="1"/>
  <c r="AKM12" i="20" s="1"/>
  <c r="BLO12" i="20" s="1"/>
  <c r="CMQ12" i="20" s="1"/>
  <c r="JJ11" i="5"/>
  <c r="JJ12" i="20" s="1"/>
  <c r="AKL12" i="20" s="1"/>
  <c r="BLN12" i="20" s="1"/>
  <c r="CMP12" i="20" s="1"/>
  <c r="JI11" i="5"/>
  <c r="JI12" i="20" s="1"/>
  <c r="AKK12" i="20" s="1"/>
  <c r="BLM12" i="20" s="1"/>
  <c r="CMO12" i="20" s="1"/>
  <c r="JH11" i="5"/>
  <c r="JH12" i="20" s="1"/>
  <c r="AKJ12" i="20" s="1"/>
  <c r="BLL12" i="20" s="1"/>
  <c r="CMN12" i="20" s="1"/>
  <c r="JG11" i="5"/>
  <c r="JG12" i="20" s="1"/>
  <c r="AKI12" i="20" s="1"/>
  <c r="BLK12" i="20" s="1"/>
  <c r="CMM12" i="20" s="1"/>
  <c r="JF11" i="5"/>
  <c r="JF12" i="20" s="1"/>
  <c r="AKH12" i="20" s="1"/>
  <c r="BLJ12" i="20" s="1"/>
  <c r="CML12" i="20" s="1"/>
  <c r="JP10" i="5"/>
  <c r="JP11" i="20" s="1"/>
  <c r="AKR11" i="20" s="1"/>
  <c r="BLT11" i="20" s="1"/>
  <c r="CMV11" i="20" s="1"/>
  <c r="JO10" i="5"/>
  <c r="JO11" i="20" s="1"/>
  <c r="AKQ11" i="20" s="1"/>
  <c r="BLS11" i="20" s="1"/>
  <c r="CMU11" i="20" s="1"/>
  <c r="JN10" i="5"/>
  <c r="JN11" i="20" s="1"/>
  <c r="AKP11" i="20" s="1"/>
  <c r="BLR11" i="20" s="1"/>
  <c r="CMT11" i="20" s="1"/>
  <c r="JM10" i="5"/>
  <c r="JM11" i="20" s="1"/>
  <c r="AKO11" i="20" s="1"/>
  <c r="BLQ11" i="20" s="1"/>
  <c r="CMS11" i="20" s="1"/>
  <c r="JL10" i="5"/>
  <c r="JL11" i="20" s="1"/>
  <c r="AKN11" i="20" s="1"/>
  <c r="BLP11" i="20" s="1"/>
  <c r="CMR11" i="20" s="1"/>
  <c r="JK10" i="5"/>
  <c r="JK11" i="20" s="1"/>
  <c r="AKM11" i="20" s="1"/>
  <c r="BLO11" i="20" s="1"/>
  <c r="CMQ11" i="20" s="1"/>
  <c r="JJ10" i="5"/>
  <c r="JJ11" i="20" s="1"/>
  <c r="AKL11" i="20" s="1"/>
  <c r="BLN11" i="20" s="1"/>
  <c r="CMP11" i="20" s="1"/>
  <c r="JI10" i="5"/>
  <c r="JI11" i="20" s="1"/>
  <c r="AKK11" i="20" s="1"/>
  <c r="BLM11" i="20" s="1"/>
  <c r="CMO11" i="20" s="1"/>
  <c r="JH10" i="5"/>
  <c r="JH11" i="20" s="1"/>
  <c r="AKJ11" i="20" s="1"/>
  <c r="BLL11" i="20" s="1"/>
  <c r="CMN11" i="20" s="1"/>
  <c r="JG10" i="5"/>
  <c r="JG11" i="20" s="1"/>
  <c r="AKI11" i="20" s="1"/>
  <c r="BLK11" i="20" s="1"/>
  <c r="CMM11" i="20" s="1"/>
  <c r="JF10" i="5"/>
  <c r="JF11" i="20" s="1"/>
  <c r="AKH11" i="20" s="1"/>
  <c r="BLJ11" i="20" s="1"/>
  <c r="CML11" i="20" s="1"/>
  <c r="JP9" i="5"/>
  <c r="JP10" i="20" s="1"/>
  <c r="AKR10" i="20" s="1"/>
  <c r="BLT10" i="20" s="1"/>
  <c r="CMV10" i="20" s="1"/>
  <c r="JO9" i="5"/>
  <c r="JO10" i="20" s="1"/>
  <c r="AKQ10" i="20" s="1"/>
  <c r="BLS10" i="20" s="1"/>
  <c r="CMU10" i="20" s="1"/>
  <c r="JH9" i="5"/>
  <c r="JH10" i="20" s="1"/>
  <c r="AKJ10" i="20" s="1"/>
  <c r="BLL10" i="20" s="1"/>
  <c r="CMN10" i="20" s="1"/>
  <c r="JG9" i="5"/>
  <c r="JG10" i="20" s="1"/>
  <c r="AKI10" i="20" s="1"/>
  <c r="BLK10" i="20" s="1"/>
  <c r="CMM10" i="20" s="1"/>
  <c r="JF9" i="5"/>
  <c r="JF10" i="20" s="1"/>
  <c r="AKH10" i="20" s="1"/>
  <c r="BLJ10" i="20" s="1"/>
  <c r="CML10" i="20" s="1"/>
  <c r="JP8" i="5"/>
  <c r="JP9" i="20" s="1"/>
  <c r="AKR9" i="20" s="1"/>
  <c r="BLT9" i="20" s="1"/>
  <c r="CMV9" i="20" s="1"/>
  <c r="JO8" i="5"/>
  <c r="JO9" i="20" s="1"/>
  <c r="AKQ9" i="20" s="1"/>
  <c r="BLS9" i="20" s="1"/>
  <c r="CMU9" i="20" s="1"/>
  <c r="JN8" i="5"/>
  <c r="JN9" i="20" s="1"/>
  <c r="AKP9" i="20" s="1"/>
  <c r="BLR9" i="20" s="1"/>
  <c r="CMT9" i="20" s="1"/>
  <c r="JM8" i="5"/>
  <c r="JM9" i="20" s="1"/>
  <c r="AKO9" i="20" s="1"/>
  <c r="BLQ9" i="20" s="1"/>
  <c r="CMS9" i="20" s="1"/>
  <c r="JL8" i="5"/>
  <c r="JL9" i="20" s="1"/>
  <c r="AKN9" i="20" s="1"/>
  <c r="BLP9" i="20" s="1"/>
  <c r="CMR9" i="20" s="1"/>
  <c r="JK8" i="5"/>
  <c r="JK9" i="20" s="1"/>
  <c r="AKM9" i="20" s="1"/>
  <c r="BLO9" i="20" s="1"/>
  <c r="CMQ9" i="20" s="1"/>
  <c r="JJ8" i="5"/>
  <c r="JJ9" i="20" s="1"/>
  <c r="AKL9" i="20" s="1"/>
  <c r="BLN9" i="20" s="1"/>
  <c r="CMP9" i="20" s="1"/>
  <c r="JI8" i="5"/>
  <c r="JI9" i="20" s="1"/>
  <c r="AKK9" i="20" s="1"/>
  <c r="BLM9" i="20" s="1"/>
  <c r="CMO9" i="20" s="1"/>
  <c r="JH8" i="5"/>
  <c r="JH9" i="20" s="1"/>
  <c r="AKJ9" i="20" s="1"/>
  <c r="BLL9" i="20" s="1"/>
  <c r="CMN9" i="20" s="1"/>
  <c r="JG8" i="5"/>
  <c r="JG9" i="20" s="1"/>
  <c r="AKI9" i="20" s="1"/>
  <c r="BLK9" i="20" s="1"/>
  <c r="CMM9" i="20" s="1"/>
  <c r="JF8" i="5"/>
  <c r="JF9" i="20" s="1"/>
  <c r="AKH9" i="20" s="1"/>
  <c r="BLJ9" i="20" s="1"/>
  <c r="CML9" i="20" s="1"/>
  <c r="JP7" i="5"/>
  <c r="JP8" i="20" s="1"/>
  <c r="AKR8" i="20" s="1"/>
  <c r="BLT8" i="20" s="1"/>
  <c r="CMV8" i="20" s="1"/>
  <c r="JO7" i="5"/>
  <c r="JO8" i="20" s="1"/>
  <c r="AKQ8" i="20" s="1"/>
  <c r="BLS8" i="20" s="1"/>
  <c r="CMU8" i="20" s="1"/>
  <c r="JN7" i="5"/>
  <c r="JN8" i="20" s="1"/>
  <c r="AKP8" i="20" s="1"/>
  <c r="BLR8" i="20" s="1"/>
  <c r="CMT8" i="20" s="1"/>
  <c r="JM7" i="5"/>
  <c r="JM8" i="20" s="1"/>
  <c r="AKO8" i="20" s="1"/>
  <c r="BLQ8" i="20" s="1"/>
  <c r="CMS8" i="20" s="1"/>
  <c r="JL7" i="5"/>
  <c r="JL8" i="20" s="1"/>
  <c r="AKN8" i="20" s="1"/>
  <c r="BLP8" i="20" s="1"/>
  <c r="CMR8" i="20" s="1"/>
  <c r="JK7" i="5"/>
  <c r="JK8" i="20" s="1"/>
  <c r="AKM8" i="20" s="1"/>
  <c r="BLO8" i="20" s="1"/>
  <c r="CMQ8" i="20" s="1"/>
  <c r="JJ7" i="5"/>
  <c r="JJ8" i="20" s="1"/>
  <c r="AKL8" i="20" s="1"/>
  <c r="BLN8" i="20" s="1"/>
  <c r="CMP8" i="20" s="1"/>
  <c r="JI7" i="5"/>
  <c r="JI8" i="20" s="1"/>
  <c r="AKK8" i="20" s="1"/>
  <c r="BLM8" i="20" s="1"/>
  <c r="CMO8" i="20" s="1"/>
  <c r="JH7" i="5"/>
  <c r="JH8" i="20" s="1"/>
  <c r="AKJ8" i="20" s="1"/>
  <c r="BLL8" i="20" s="1"/>
  <c r="CMN8" i="20" s="1"/>
  <c r="JG7" i="5"/>
  <c r="JG8" i="20" s="1"/>
  <c r="AKI8" i="20" s="1"/>
  <c r="BLK8" i="20" s="1"/>
  <c r="CMM8" i="20" s="1"/>
  <c r="JF7" i="5"/>
  <c r="JF8" i="20" s="1"/>
  <c r="AKH8" i="20" s="1"/>
  <c r="BLJ8" i="20" s="1"/>
  <c r="CML8" i="20" s="1"/>
  <c r="JP6" i="5"/>
  <c r="JP7" i="20" s="1"/>
  <c r="AKR7" i="20" s="1"/>
  <c r="BLT7" i="20" s="1"/>
  <c r="CMV7" i="20" s="1"/>
  <c r="JO6" i="5"/>
  <c r="JO7" i="20" s="1"/>
  <c r="AKQ7" i="20" s="1"/>
  <c r="BLS7" i="20" s="1"/>
  <c r="CMU7" i="20" s="1"/>
  <c r="JN6" i="5"/>
  <c r="JN7" i="20" s="1"/>
  <c r="AKP7" i="20" s="1"/>
  <c r="BLR7" i="20" s="1"/>
  <c r="CMT7" i="20" s="1"/>
  <c r="JM6" i="5"/>
  <c r="JM7" i="20" s="1"/>
  <c r="AKO7" i="20" s="1"/>
  <c r="BLQ7" i="20" s="1"/>
  <c r="CMS7" i="20" s="1"/>
  <c r="JL6" i="5"/>
  <c r="JL7" i="20" s="1"/>
  <c r="AKN7" i="20" s="1"/>
  <c r="BLP7" i="20" s="1"/>
  <c r="CMR7" i="20" s="1"/>
  <c r="JK6" i="5"/>
  <c r="JK7" i="20" s="1"/>
  <c r="AKM7" i="20" s="1"/>
  <c r="BLO7" i="20" s="1"/>
  <c r="CMQ7" i="20" s="1"/>
  <c r="JJ6" i="5"/>
  <c r="JJ7" i="20" s="1"/>
  <c r="AKL7" i="20" s="1"/>
  <c r="BLN7" i="20" s="1"/>
  <c r="CMP7" i="20" s="1"/>
  <c r="JI6" i="5"/>
  <c r="JI7" i="20" s="1"/>
  <c r="AKK7" i="20" s="1"/>
  <c r="BLM7" i="20" s="1"/>
  <c r="CMO7" i="20" s="1"/>
  <c r="JH6" i="5"/>
  <c r="JH7" i="20" s="1"/>
  <c r="AKJ7" i="20" s="1"/>
  <c r="BLL7" i="20" s="1"/>
  <c r="CMN7" i="20" s="1"/>
  <c r="JG6" i="5"/>
  <c r="JG7" i="20" s="1"/>
  <c r="AKI7" i="20" s="1"/>
  <c r="BLK7" i="20" s="1"/>
  <c r="CMM7" i="20" s="1"/>
  <c r="JF6" i="5"/>
  <c r="JF7" i="20" s="1"/>
  <c r="AKH7" i="20" s="1"/>
  <c r="BLJ7" i="20" s="1"/>
  <c r="CML7" i="20" s="1"/>
  <c r="JP5" i="5"/>
  <c r="JP6" i="20" s="1"/>
  <c r="AKR6" i="20" s="1"/>
  <c r="BLT6" i="20" s="1"/>
  <c r="CMV6" i="20" s="1"/>
  <c r="JO5" i="5"/>
  <c r="JO6" i="20" s="1"/>
  <c r="AKQ6" i="20" s="1"/>
  <c r="BLS6" i="20" s="1"/>
  <c r="CMU6" i="20" s="1"/>
  <c r="JN5" i="5"/>
  <c r="JN6" i="20" s="1"/>
  <c r="AKP6" i="20" s="1"/>
  <c r="BLR6" i="20" s="1"/>
  <c r="CMT6" i="20" s="1"/>
  <c r="JM5" i="5"/>
  <c r="JM6" i="20" s="1"/>
  <c r="AKO6" i="20" s="1"/>
  <c r="BLQ6" i="20" s="1"/>
  <c r="CMS6" i="20" s="1"/>
  <c r="JL5" i="5"/>
  <c r="JL6" i="20" s="1"/>
  <c r="AKN6" i="20" s="1"/>
  <c r="BLP6" i="20" s="1"/>
  <c r="CMR6" i="20" s="1"/>
  <c r="JK5" i="5"/>
  <c r="JK6" i="20" s="1"/>
  <c r="AKM6" i="20" s="1"/>
  <c r="BLO6" i="20" s="1"/>
  <c r="CMQ6" i="20" s="1"/>
  <c r="JJ5" i="5"/>
  <c r="JJ6" i="20" s="1"/>
  <c r="AKL6" i="20" s="1"/>
  <c r="BLN6" i="20" s="1"/>
  <c r="CMP6" i="20" s="1"/>
  <c r="JI5" i="5"/>
  <c r="JI6" i="20" s="1"/>
  <c r="AKK6" i="20" s="1"/>
  <c r="BLM6" i="20" s="1"/>
  <c r="CMO6" i="20" s="1"/>
  <c r="JH5" i="5"/>
  <c r="JH6" i="20" s="1"/>
  <c r="AKJ6" i="20" s="1"/>
  <c r="BLL6" i="20" s="1"/>
  <c r="CMN6" i="20" s="1"/>
  <c r="JG5" i="5"/>
  <c r="JG6" i="20" s="1"/>
  <c r="AKI6" i="20" s="1"/>
  <c r="BLK6" i="20" s="1"/>
  <c r="CMM6" i="20" s="1"/>
  <c r="JF5" i="5"/>
  <c r="JF6" i="20" s="1"/>
  <c r="AKH6" i="20" s="1"/>
  <c r="BLJ6" i="20" s="1"/>
  <c r="CML6" i="20" s="1"/>
  <c r="IT12" i="5"/>
  <c r="IT13" i="20" s="1"/>
  <c r="AJV13" i="20" s="1"/>
  <c r="BKX13" i="20" s="1"/>
  <c r="CLZ13" i="20" s="1"/>
  <c r="IS12" i="5"/>
  <c r="IS13" i="20" s="1"/>
  <c r="AJU13" i="20" s="1"/>
  <c r="BKW13" i="20" s="1"/>
  <c r="CLY13" i="20" s="1"/>
  <c r="IL12" i="5"/>
  <c r="IL13" i="20" s="1"/>
  <c r="AJN13" i="20" s="1"/>
  <c r="BKP13" i="20" s="1"/>
  <c r="CLR13" i="20" s="1"/>
  <c r="IK12" i="5"/>
  <c r="IK13" i="20" s="1"/>
  <c r="AJM13" i="20" s="1"/>
  <c r="BKO13" i="20" s="1"/>
  <c r="CLQ13" i="20" s="1"/>
  <c r="IJ12" i="5"/>
  <c r="IJ13" i="20" s="1"/>
  <c r="AJL13" i="20" s="1"/>
  <c r="BKN13" i="20" s="1"/>
  <c r="CLP13" i="20" s="1"/>
  <c r="IT11" i="5"/>
  <c r="IT12" i="20" s="1"/>
  <c r="AJV12" i="20" s="1"/>
  <c r="BKX12" i="20" s="1"/>
  <c r="CLZ12" i="20" s="1"/>
  <c r="IS11" i="5"/>
  <c r="IS12" i="20" s="1"/>
  <c r="AJU12" i="20" s="1"/>
  <c r="BKW12" i="20" s="1"/>
  <c r="CLY12" i="20" s="1"/>
  <c r="IR11" i="5"/>
  <c r="IR12" i="20" s="1"/>
  <c r="AJT12" i="20" s="1"/>
  <c r="BKV12" i="20" s="1"/>
  <c r="CLX12" i="20" s="1"/>
  <c r="IQ11" i="5"/>
  <c r="IQ12" i="20" s="1"/>
  <c r="AJS12" i="20" s="1"/>
  <c r="BKU12" i="20" s="1"/>
  <c r="CLW12" i="20" s="1"/>
  <c r="IP11" i="5"/>
  <c r="IP12" i="20" s="1"/>
  <c r="AJR12" i="20" s="1"/>
  <c r="BKT12" i="20" s="1"/>
  <c r="CLV12" i="20" s="1"/>
  <c r="IO11" i="5"/>
  <c r="IO12" i="20" s="1"/>
  <c r="AJQ12" i="20" s="1"/>
  <c r="BKS12" i="20" s="1"/>
  <c r="CLU12" i="20" s="1"/>
  <c r="IN11" i="5"/>
  <c r="IN12" i="20" s="1"/>
  <c r="AJP12" i="20" s="1"/>
  <c r="BKR12" i="20" s="1"/>
  <c r="CLT12" i="20" s="1"/>
  <c r="IM11" i="5"/>
  <c r="IM12" i="20" s="1"/>
  <c r="AJO12" i="20" s="1"/>
  <c r="BKQ12" i="20" s="1"/>
  <c r="CLS12" i="20" s="1"/>
  <c r="IL11" i="5"/>
  <c r="IL12" i="20" s="1"/>
  <c r="AJN12" i="20" s="1"/>
  <c r="BKP12" i="20" s="1"/>
  <c r="CLR12" i="20" s="1"/>
  <c r="IK11" i="5"/>
  <c r="IK12" i="20" s="1"/>
  <c r="AJM12" i="20" s="1"/>
  <c r="BKO12" i="20" s="1"/>
  <c r="CLQ12" i="20" s="1"/>
  <c r="IJ11" i="5"/>
  <c r="IJ12" i="20" s="1"/>
  <c r="AJL12" i="20" s="1"/>
  <c r="BKN12" i="20" s="1"/>
  <c r="CLP12" i="20" s="1"/>
  <c r="IT10" i="5"/>
  <c r="IT11" i="20" s="1"/>
  <c r="AJV11" i="20" s="1"/>
  <c r="BKX11" i="20" s="1"/>
  <c r="CLZ11" i="20" s="1"/>
  <c r="IS10" i="5"/>
  <c r="IS11" i="20" s="1"/>
  <c r="AJU11" i="20" s="1"/>
  <c r="BKW11" i="20" s="1"/>
  <c r="CLY11" i="20" s="1"/>
  <c r="IR10" i="5"/>
  <c r="IR11" i="20" s="1"/>
  <c r="AJT11" i="20" s="1"/>
  <c r="BKV11" i="20" s="1"/>
  <c r="CLX11" i="20" s="1"/>
  <c r="IQ10" i="5"/>
  <c r="IQ11" i="20" s="1"/>
  <c r="AJS11" i="20" s="1"/>
  <c r="BKU11" i="20" s="1"/>
  <c r="CLW11" i="20" s="1"/>
  <c r="IP10" i="5"/>
  <c r="IP11" i="20" s="1"/>
  <c r="AJR11" i="20" s="1"/>
  <c r="BKT11" i="20" s="1"/>
  <c r="CLV11" i="20" s="1"/>
  <c r="IO10" i="5"/>
  <c r="IO11" i="20" s="1"/>
  <c r="AJQ11" i="20" s="1"/>
  <c r="BKS11" i="20" s="1"/>
  <c r="CLU11" i="20" s="1"/>
  <c r="IN10" i="5"/>
  <c r="IN11" i="20" s="1"/>
  <c r="AJP11" i="20" s="1"/>
  <c r="BKR11" i="20" s="1"/>
  <c r="CLT11" i="20" s="1"/>
  <c r="IM10" i="5"/>
  <c r="IM11" i="20" s="1"/>
  <c r="AJO11" i="20" s="1"/>
  <c r="BKQ11" i="20" s="1"/>
  <c r="CLS11" i="20" s="1"/>
  <c r="IL10" i="5"/>
  <c r="IL11" i="20" s="1"/>
  <c r="AJN11" i="20" s="1"/>
  <c r="BKP11" i="20" s="1"/>
  <c r="CLR11" i="20" s="1"/>
  <c r="IK10" i="5"/>
  <c r="IK11" i="20" s="1"/>
  <c r="AJM11" i="20" s="1"/>
  <c r="BKO11" i="20" s="1"/>
  <c r="CLQ11" i="20" s="1"/>
  <c r="IJ10" i="5"/>
  <c r="IJ11" i="20" s="1"/>
  <c r="AJL11" i="20" s="1"/>
  <c r="BKN11" i="20" s="1"/>
  <c r="CLP11" i="20" s="1"/>
  <c r="IT9" i="5"/>
  <c r="IT10" i="20" s="1"/>
  <c r="AJV10" i="20" s="1"/>
  <c r="BKX10" i="20" s="1"/>
  <c r="CLZ10" i="20" s="1"/>
  <c r="IS9" i="5"/>
  <c r="IS10" i="20" s="1"/>
  <c r="AJU10" i="20" s="1"/>
  <c r="BKW10" i="20" s="1"/>
  <c r="CLY10" i="20" s="1"/>
  <c r="IL9" i="5"/>
  <c r="IL10" i="20" s="1"/>
  <c r="AJN10" i="20" s="1"/>
  <c r="BKP10" i="20" s="1"/>
  <c r="CLR10" i="20" s="1"/>
  <c r="IK9" i="5"/>
  <c r="IK10" i="20" s="1"/>
  <c r="AJM10" i="20" s="1"/>
  <c r="BKO10" i="20" s="1"/>
  <c r="CLQ10" i="20" s="1"/>
  <c r="IJ9" i="5"/>
  <c r="IJ10" i="20" s="1"/>
  <c r="AJL10" i="20" s="1"/>
  <c r="BKN10" i="20" s="1"/>
  <c r="CLP10" i="20" s="1"/>
  <c r="IT8" i="5"/>
  <c r="IT9" i="20" s="1"/>
  <c r="AJV9" i="20" s="1"/>
  <c r="BKX9" i="20" s="1"/>
  <c r="CLZ9" i="20" s="1"/>
  <c r="IS8" i="5"/>
  <c r="IS9" i="20" s="1"/>
  <c r="AJU9" i="20" s="1"/>
  <c r="BKW9" i="20" s="1"/>
  <c r="CLY9" i="20" s="1"/>
  <c r="IR8" i="5"/>
  <c r="IR9" i="20" s="1"/>
  <c r="AJT9" i="20" s="1"/>
  <c r="BKV9" i="20" s="1"/>
  <c r="CLX9" i="20" s="1"/>
  <c r="IQ8" i="5"/>
  <c r="IQ9" i="20" s="1"/>
  <c r="AJS9" i="20" s="1"/>
  <c r="BKU9" i="20" s="1"/>
  <c r="CLW9" i="20" s="1"/>
  <c r="IP8" i="5"/>
  <c r="IP9" i="20" s="1"/>
  <c r="AJR9" i="20" s="1"/>
  <c r="BKT9" i="20" s="1"/>
  <c r="CLV9" i="20" s="1"/>
  <c r="IO8" i="5"/>
  <c r="IO9" i="20" s="1"/>
  <c r="AJQ9" i="20" s="1"/>
  <c r="BKS9" i="20" s="1"/>
  <c r="CLU9" i="20" s="1"/>
  <c r="IN8" i="5"/>
  <c r="IN9" i="20" s="1"/>
  <c r="AJP9" i="20" s="1"/>
  <c r="BKR9" i="20" s="1"/>
  <c r="CLT9" i="20" s="1"/>
  <c r="IM8" i="5"/>
  <c r="IM9" i="20" s="1"/>
  <c r="AJO9" i="20" s="1"/>
  <c r="BKQ9" i="20" s="1"/>
  <c r="CLS9" i="20" s="1"/>
  <c r="IL8" i="5"/>
  <c r="IL9" i="20" s="1"/>
  <c r="AJN9" i="20" s="1"/>
  <c r="BKP9" i="20" s="1"/>
  <c r="CLR9" i="20" s="1"/>
  <c r="IK8" i="5"/>
  <c r="IK9" i="20" s="1"/>
  <c r="AJM9" i="20" s="1"/>
  <c r="BKO9" i="20" s="1"/>
  <c r="CLQ9" i="20" s="1"/>
  <c r="IJ8" i="5"/>
  <c r="IJ9" i="20" s="1"/>
  <c r="AJL9" i="20" s="1"/>
  <c r="BKN9" i="20" s="1"/>
  <c r="CLP9" i="20" s="1"/>
  <c r="IT7" i="5"/>
  <c r="IT8" i="20" s="1"/>
  <c r="AJV8" i="20" s="1"/>
  <c r="BKX8" i="20" s="1"/>
  <c r="CLZ8" i="20" s="1"/>
  <c r="IS7" i="5"/>
  <c r="IS8" i="20" s="1"/>
  <c r="AJU8" i="20" s="1"/>
  <c r="BKW8" i="20" s="1"/>
  <c r="CLY8" i="20" s="1"/>
  <c r="IR7" i="5"/>
  <c r="IR8" i="20" s="1"/>
  <c r="AJT8" i="20" s="1"/>
  <c r="BKV8" i="20" s="1"/>
  <c r="CLX8" i="20" s="1"/>
  <c r="IQ7" i="5"/>
  <c r="IQ8" i="20" s="1"/>
  <c r="AJS8" i="20" s="1"/>
  <c r="BKU8" i="20" s="1"/>
  <c r="CLW8" i="20" s="1"/>
  <c r="IP7" i="5"/>
  <c r="IP8" i="20" s="1"/>
  <c r="AJR8" i="20" s="1"/>
  <c r="BKT8" i="20" s="1"/>
  <c r="CLV8" i="20" s="1"/>
  <c r="IO7" i="5"/>
  <c r="IO8" i="20" s="1"/>
  <c r="AJQ8" i="20" s="1"/>
  <c r="BKS8" i="20" s="1"/>
  <c r="CLU8" i="20" s="1"/>
  <c r="IN7" i="5"/>
  <c r="IN8" i="20" s="1"/>
  <c r="AJP8" i="20" s="1"/>
  <c r="BKR8" i="20" s="1"/>
  <c r="CLT8" i="20" s="1"/>
  <c r="IM7" i="5"/>
  <c r="IM8" i="20" s="1"/>
  <c r="AJO8" i="20" s="1"/>
  <c r="BKQ8" i="20" s="1"/>
  <c r="CLS8" i="20" s="1"/>
  <c r="IL7" i="5"/>
  <c r="IL8" i="20" s="1"/>
  <c r="AJN8" i="20" s="1"/>
  <c r="BKP8" i="20" s="1"/>
  <c r="CLR8" i="20" s="1"/>
  <c r="IK7" i="5"/>
  <c r="IK8" i="20" s="1"/>
  <c r="AJM8" i="20" s="1"/>
  <c r="BKO8" i="20" s="1"/>
  <c r="CLQ8" i="20" s="1"/>
  <c r="IJ7" i="5"/>
  <c r="IJ8" i="20" s="1"/>
  <c r="AJL8" i="20" s="1"/>
  <c r="BKN8" i="20" s="1"/>
  <c r="CLP8" i="20" s="1"/>
  <c r="IT6" i="5"/>
  <c r="IT7" i="20" s="1"/>
  <c r="AJV7" i="20" s="1"/>
  <c r="BKX7" i="20" s="1"/>
  <c r="CLZ7" i="20" s="1"/>
  <c r="IS6" i="5"/>
  <c r="IS7" i="20" s="1"/>
  <c r="AJU7" i="20" s="1"/>
  <c r="BKW7" i="20" s="1"/>
  <c r="CLY7" i="20" s="1"/>
  <c r="IR6" i="5"/>
  <c r="IR7" i="20" s="1"/>
  <c r="AJT7" i="20" s="1"/>
  <c r="BKV7" i="20" s="1"/>
  <c r="CLX7" i="20" s="1"/>
  <c r="IQ6" i="5"/>
  <c r="IQ7" i="20" s="1"/>
  <c r="AJS7" i="20" s="1"/>
  <c r="BKU7" i="20" s="1"/>
  <c r="CLW7" i="20" s="1"/>
  <c r="IP6" i="5"/>
  <c r="IP7" i="20" s="1"/>
  <c r="AJR7" i="20" s="1"/>
  <c r="BKT7" i="20" s="1"/>
  <c r="CLV7" i="20" s="1"/>
  <c r="IO6" i="5"/>
  <c r="IO7" i="20" s="1"/>
  <c r="AJQ7" i="20" s="1"/>
  <c r="BKS7" i="20" s="1"/>
  <c r="CLU7" i="20" s="1"/>
  <c r="IN6" i="5"/>
  <c r="IN7" i="20" s="1"/>
  <c r="AJP7" i="20" s="1"/>
  <c r="BKR7" i="20" s="1"/>
  <c r="CLT7" i="20" s="1"/>
  <c r="IM6" i="5"/>
  <c r="IM7" i="20" s="1"/>
  <c r="AJO7" i="20" s="1"/>
  <c r="BKQ7" i="20" s="1"/>
  <c r="CLS7" i="20" s="1"/>
  <c r="IL6" i="5"/>
  <c r="IL7" i="20" s="1"/>
  <c r="AJN7" i="20" s="1"/>
  <c r="BKP7" i="20" s="1"/>
  <c r="CLR7" i="20" s="1"/>
  <c r="IK6" i="5"/>
  <c r="IK7" i="20" s="1"/>
  <c r="AJM7" i="20" s="1"/>
  <c r="BKO7" i="20" s="1"/>
  <c r="CLQ7" i="20" s="1"/>
  <c r="IJ6" i="5"/>
  <c r="IJ7" i="20" s="1"/>
  <c r="AJL7" i="20" s="1"/>
  <c r="BKN7" i="20" s="1"/>
  <c r="CLP7" i="20" s="1"/>
  <c r="IT5" i="5"/>
  <c r="IT6" i="20" s="1"/>
  <c r="AJV6" i="20" s="1"/>
  <c r="BKX6" i="20" s="1"/>
  <c r="CLZ6" i="20" s="1"/>
  <c r="IS5" i="5"/>
  <c r="IS6" i="20" s="1"/>
  <c r="AJU6" i="20" s="1"/>
  <c r="BKW6" i="20" s="1"/>
  <c r="CLY6" i="20" s="1"/>
  <c r="IR5" i="5"/>
  <c r="IR6" i="20" s="1"/>
  <c r="AJT6" i="20" s="1"/>
  <c r="BKV6" i="20" s="1"/>
  <c r="CLX6" i="20" s="1"/>
  <c r="IQ5" i="5"/>
  <c r="IQ6" i="20" s="1"/>
  <c r="AJS6" i="20" s="1"/>
  <c r="BKU6" i="20" s="1"/>
  <c r="CLW6" i="20" s="1"/>
  <c r="IP5" i="5"/>
  <c r="IP6" i="20" s="1"/>
  <c r="AJR6" i="20" s="1"/>
  <c r="BKT6" i="20" s="1"/>
  <c r="CLV6" i="20" s="1"/>
  <c r="IO5" i="5"/>
  <c r="IO6" i="20" s="1"/>
  <c r="AJQ6" i="20" s="1"/>
  <c r="BKS6" i="20" s="1"/>
  <c r="CLU6" i="20" s="1"/>
  <c r="IN5" i="5"/>
  <c r="IN6" i="20" s="1"/>
  <c r="AJP6" i="20" s="1"/>
  <c r="BKR6" i="20" s="1"/>
  <c r="CLT6" i="20" s="1"/>
  <c r="IM5" i="5"/>
  <c r="IM6" i="20" s="1"/>
  <c r="AJO6" i="20" s="1"/>
  <c r="BKQ6" i="20" s="1"/>
  <c r="CLS6" i="20" s="1"/>
  <c r="IL5" i="5"/>
  <c r="IL6" i="20" s="1"/>
  <c r="AJN6" i="20" s="1"/>
  <c r="BKP6" i="20" s="1"/>
  <c r="CLR6" i="20" s="1"/>
  <c r="IK5" i="5"/>
  <c r="IK6" i="20" s="1"/>
  <c r="AJM6" i="20" s="1"/>
  <c r="BKO6" i="20" s="1"/>
  <c r="CLQ6" i="20" s="1"/>
  <c r="IJ5" i="5"/>
  <c r="IJ6" i="20" s="1"/>
  <c r="AJL6" i="20" s="1"/>
  <c r="BKN6" i="20" s="1"/>
  <c r="CLP6" i="20" s="1"/>
  <c r="HX12" i="5"/>
  <c r="HX13" i="20" s="1"/>
  <c r="AIZ13" i="20" s="1"/>
  <c r="BKB13" i="20" s="1"/>
  <c r="CLD13" i="20" s="1"/>
  <c r="HW12" i="5"/>
  <c r="HW13" i="20" s="1"/>
  <c r="AIY13" i="20" s="1"/>
  <c r="BKA13" i="20" s="1"/>
  <c r="CLC13" i="20" s="1"/>
  <c r="HP12" i="5"/>
  <c r="HP13" i="20" s="1"/>
  <c r="AIR13" i="20" s="1"/>
  <c r="BJT13" i="20" s="1"/>
  <c r="CKV13" i="20" s="1"/>
  <c r="HO12" i="5"/>
  <c r="HO13" i="20" s="1"/>
  <c r="AIQ13" i="20" s="1"/>
  <c r="BJS13" i="20" s="1"/>
  <c r="CKU13" i="20" s="1"/>
  <c r="HN12" i="5"/>
  <c r="HN13" i="20" s="1"/>
  <c r="AIP13" i="20" s="1"/>
  <c r="BJR13" i="20" s="1"/>
  <c r="CKT13" i="20" s="1"/>
  <c r="HX11" i="5"/>
  <c r="HX12" i="20" s="1"/>
  <c r="AIZ12" i="20" s="1"/>
  <c r="BKB12" i="20" s="1"/>
  <c r="CLD12" i="20" s="1"/>
  <c r="HW11" i="5"/>
  <c r="HW12" i="20" s="1"/>
  <c r="AIY12" i="20" s="1"/>
  <c r="BKA12" i="20" s="1"/>
  <c r="CLC12" i="20" s="1"/>
  <c r="HV11" i="5"/>
  <c r="HV12" i="20" s="1"/>
  <c r="AIX12" i="20" s="1"/>
  <c r="BJZ12" i="20" s="1"/>
  <c r="CLB12" i="20" s="1"/>
  <c r="HU11" i="5"/>
  <c r="HU12" i="20" s="1"/>
  <c r="AIW12" i="20" s="1"/>
  <c r="BJY12" i="20" s="1"/>
  <c r="CLA12" i="20" s="1"/>
  <c r="HT11" i="5"/>
  <c r="HT12" i="20" s="1"/>
  <c r="AIV12" i="20" s="1"/>
  <c r="BJX12" i="20" s="1"/>
  <c r="CKZ12" i="20" s="1"/>
  <c r="HS11" i="5"/>
  <c r="HS12" i="20" s="1"/>
  <c r="AIU12" i="20" s="1"/>
  <c r="BJW12" i="20" s="1"/>
  <c r="CKY12" i="20" s="1"/>
  <c r="HR11" i="5"/>
  <c r="HR12" i="20" s="1"/>
  <c r="AIT12" i="20" s="1"/>
  <c r="BJV12" i="20" s="1"/>
  <c r="CKX12" i="20" s="1"/>
  <c r="HQ11" i="5"/>
  <c r="HQ12" i="20" s="1"/>
  <c r="AIS12" i="20" s="1"/>
  <c r="BJU12" i="20" s="1"/>
  <c r="CKW12" i="20" s="1"/>
  <c r="HP11" i="5"/>
  <c r="HP12" i="20" s="1"/>
  <c r="AIR12" i="20" s="1"/>
  <c r="BJT12" i="20" s="1"/>
  <c r="CKV12" i="20" s="1"/>
  <c r="HO11" i="5"/>
  <c r="HO12" i="20" s="1"/>
  <c r="AIQ12" i="20" s="1"/>
  <c r="BJS12" i="20" s="1"/>
  <c r="CKU12" i="20" s="1"/>
  <c r="HN11" i="5"/>
  <c r="HN12" i="20" s="1"/>
  <c r="AIP12" i="20" s="1"/>
  <c r="BJR12" i="20" s="1"/>
  <c r="CKT12" i="20" s="1"/>
  <c r="HX10" i="5"/>
  <c r="HX11" i="20" s="1"/>
  <c r="AIZ11" i="20" s="1"/>
  <c r="BKB11" i="20" s="1"/>
  <c r="CLD11" i="20" s="1"/>
  <c r="HW10" i="5"/>
  <c r="HW11" i="20" s="1"/>
  <c r="AIY11" i="20" s="1"/>
  <c r="BKA11" i="20" s="1"/>
  <c r="CLC11" i="20" s="1"/>
  <c r="HV10" i="5"/>
  <c r="HV11" i="20" s="1"/>
  <c r="AIX11" i="20" s="1"/>
  <c r="BJZ11" i="20" s="1"/>
  <c r="CLB11" i="20" s="1"/>
  <c r="HU10" i="5"/>
  <c r="HU11" i="20" s="1"/>
  <c r="AIW11" i="20" s="1"/>
  <c r="BJY11" i="20" s="1"/>
  <c r="CLA11" i="20" s="1"/>
  <c r="HT10" i="5"/>
  <c r="HT11" i="20" s="1"/>
  <c r="AIV11" i="20" s="1"/>
  <c r="BJX11" i="20" s="1"/>
  <c r="CKZ11" i="20" s="1"/>
  <c r="HS10" i="5"/>
  <c r="HS11" i="20" s="1"/>
  <c r="AIU11" i="20" s="1"/>
  <c r="BJW11" i="20" s="1"/>
  <c r="CKY11" i="20" s="1"/>
  <c r="HR10" i="5"/>
  <c r="HR11" i="20" s="1"/>
  <c r="AIT11" i="20" s="1"/>
  <c r="BJV11" i="20" s="1"/>
  <c r="CKX11" i="20" s="1"/>
  <c r="HQ10" i="5"/>
  <c r="HQ11" i="20" s="1"/>
  <c r="AIS11" i="20" s="1"/>
  <c r="BJU11" i="20" s="1"/>
  <c r="CKW11" i="20" s="1"/>
  <c r="HP10" i="5"/>
  <c r="HP11" i="20" s="1"/>
  <c r="AIR11" i="20" s="1"/>
  <c r="BJT11" i="20" s="1"/>
  <c r="CKV11" i="20" s="1"/>
  <c r="HO10" i="5"/>
  <c r="HO11" i="20" s="1"/>
  <c r="AIQ11" i="20" s="1"/>
  <c r="BJS11" i="20" s="1"/>
  <c r="CKU11" i="20" s="1"/>
  <c r="HN10" i="5"/>
  <c r="HN11" i="20" s="1"/>
  <c r="AIP11" i="20" s="1"/>
  <c r="BJR11" i="20" s="1"/>
  <c r="CKT11" i="20" s="1"/>
  <c r="HX9" i="5"/>
  <c r="HX10" i="20" s="1"/>
  <c r="AIZ10" i="20" s="1"/>
  <c r="BKB10" i="20" s="1"/>
  <c r="CLD10" i="20" s="1"/>
  <c r="HW9" i="5"/>
  <c r="HW10" i="20" s="1"/>
  <c r="AIY10" i="20" s="1"/>
  <c r="BKA10" i="20" s="1"/>
  <c r="CLC10" i="20" s="1"/>
  <c r="HP9" i="5"/>
  <c r="HP10" i="20" s="1"/>
  <c r="AIR10" i="20" s="1"/>
  <c r="BJT10" i="20" s="1"/>
  <c r="CKV10" i="20" s="1"/>
  <c r="HO9" i="5"/>
  <c r="HO10" i="20" s="1"/>
  <c r="AIQ10" i="20" s="1"/>
  <c r="BJS10" i="20" s="1"/>
  <c r="CKU10" i="20" s="1"/>
  <c r="HN9" i="5"/>
  <c r="HN10" i="20" s="1"/>
  <c r="AIP10" i="20" s="1"/>
  <c r="BJR10" i="20" s="1"/>
  <c r="CKT10" i="20" s="1"/>
  <c r="HX8" i="5"/>
  <c r="HX9" i="20" s="1"/>
  <c r="AIZ9" i="20" s="1"/>
  <c r="BKB9" i="20" s="1"/>
  <c r="CLD9" i="20" s="1"/>
  <c r="HW8" i="5"/>
  <c r="HW9" i="20" s="1"/>
  <c r="AIY9" i="20" s="1"/>
  <c r="BKA9" i="20" s="1"/>
  <c r="CLC9" i="20" s="1"/>
  <c r="HV8" i="5"/>
  <c r="HV9" i="20" s="1"/>
  <c r="AIX9" i="20" s="1"/>
  <c r="BJZ9" i="20" s="1"/>
  <c r="CLB9" i="20" s="1"/>
  <c r="HU8" i="5"/>
  <c r="HU9" i="20" s="1"/>
  <c r="AIW9" i="20" s="1"/>
  <c r="BJY9" i="20" s="1"/>
  <c r="CLA9" i="20" s="1"/>
  <c r="HT8" i="5"/>
  <c r="HT9" i="20" s="1"/>
  <c r="AIV9" i="20" s="1"/>
  <c r="BJX9" i="20" s="1"/>
  <c r="CKZ9" i="20" s="1"/>
  <c r="HS8" i="5"/>
  <c r="HS9" i="20" s="1"/>
  <c r="AIU9" i="20" s="1"/>
  <c r="BJW9" i="20" s="1"/>
  <c r="CKY9" i="20" s="1"/>
  <c r="HR8" i="5"/>
  <c r="HR9" i="20" s="1"/>
  <c r="AIT9" i="20" s="1"/>
  <c r="BJV9" i="20" s="1"/>
  <c r="CKX9" i="20" s="1"/>
  <c r="HQ8" i="5"/>
  <c r="HQ9" i="20" s="1"/>
  <c r="AIS9" i="20" s="1"/>
  <c r="BJU9" i="20" s="1"/>
  <c r="CKW9" i="20" s="1"/>
  <c r="HP8" i="5"/>
  <c r="HP9" i="20" s="1"/>
  <c r="AIR9" i="20" s="1"/>
  <c r="BJT9" i="20" s="1"/>
  <c r="CKV9" i="20" s="1"/>
  <c r="HO8" i="5"/>
  <c r="HO9" i="20" s="1"/>
  <c r="AIQ9" i="20" s="1"/>
  <c r="BJS9" i="20" s="1"/>
  <c r="CKU9" i="20" s="1"/>
  <c r="HN8" i="5"/>
  <c r="HN9" i="20" s="1"/>
  <c r="AIP9" i="20" s="1"/>
  <c r="BJR9" i="20" s="1"/>
  <c r="CKT9" i="20" s="1"/>
  <c r="HX7" i="5"/>
  <c r="HX8" i="20" s="1"/>
  <c r="AIZ8" i="20" s="1"/>
  <c r="BKB8" i="20" s="1"/>
  <c r="CLD8" i="20" s="1"/>
  <c r="HW7" i="5"/>
  <c r="HW8" i="20" s="1"/>
  <c r="AIY8" i="20" s="1"/>
  <c r="BKA8" i="20" s="1"/>
  <c r="CLC8" i="20" s="1"/>
  <c r="HV7" i="5"/>
  <c r="HV8" i="20" s="1"/>
  <c r="AIX8" i="20" s="1"/>
  <c r="BJZ8" i="20" s="1"/>
  <c r="CLB8" i="20" s="1"/>
  <c r="HU7" i="5"/>
  <c r="HU8" i="20" s="1"/>
  <c r="AIW8" i="20" s="1"/>
  <c r="BJY8" i="20" s="1"/>
  <c r="CLA8" i="20" s="1"/>
  <c r="HT7" i="5"/>
  <c r="HT8" i="20" s="1"/>
  <c r="AIV8" i="20" s="1"/>
  <c r="BJX8" i="20" s="1"/>
  <c r="CKZ8" i="20" s="1"/>
  <c r="HS7" i="5"/>
  <c r="HS8" i="20" s="1"/>
  <c r="AIU8" i="20" s="1"/>
  <c r="BJW8" i="20" s="1"/>
  <c r="CKY8" i="20" s="1"/>
  <c r="HR7" i="5"/>
  <c r="HR8" i="20" s="1"/>
  <c r="AIT8" i="20" s="1"/>
  <c r="BJV8" i="20" s="1"/>
  <c r="CKX8" i="20" s="1"/>
  <c r="HQ7" i="5"/>
  <c r="HQ8" i="20" s="1"/>
  <c r="AIS8" i="20" s="1"/>
  <c r="BJU8" i="20" s="1"/>
  <c r="CKW8" i="20" s="1"/>
  <c r="HP7" i="5"/>
  <c r="HP8" i="20" s="1"/>
  <c r="AIR8" i="20" s="1"/>
  <c r="BJT8" i="20" s="1"/>
  <c r="CKV8" i="20" s="1"/>
  <c r="HO7" i="5"/>
  <c r="HO8" i="20" s="1"/>
  <c r="AIQ8" i="20" s="1"/>
  <c r="BJS8" i="20" s="1"/>
  <c r="CKU8" i="20" s="1"/>
  <c r="HN7" i="5"/>
  <c r="HN8" i="20" s="1"/>
  <c r="AIP8" i="20" s="1"/>
  <c r="BJR8" i="20" s="1"/>
  <c r="CKT8" i="20" s="1"/>
  <c r="HX6" i="5"/>
  <c r="HX7" i="20" s="1"/>
  <c r="AIZ7" i="20" s="1"/>
  <c r="BKB7" i="20" s="1"/>
  <c r="CLD7" i="20" s="1"/>
  <c r="HW6" i="5"/>
  <c r="HW7" i="20" s="1"/>
  <c r="AIY7" i="20" s="1"/>
  <c r="BKA7" i="20" s="1"/>
  <c r="CLC7" i="20" s="1"/>
  <c r="HV6" i="5"/>
  <c r="HV7" i="20" s="1"/>
  <c r="AIX7" i="20" s="1"/>
  <c r="BJZ7" i="20" s="1"/>
  <c r="CLB7" i="20" s="1"/>
  <c r="HU6" i="5"/>
  <c r="HU7" i="20" s="1"/>
  <c r="AIW7" i="20" s="1"/>
  <c r="BJY7" i="20" s="1"/>
  <c r="CLA7" i="20" s="1"/>
  <c r="HT6" i="5"/>
  <c r="HT7" i="20" s="1"/>
  <c r="AIV7" i="20" s="1"/>
  <c r="BJX7" i="20" s="1"/>
  <c r="CKZ7" i="20" s="1"/>
  <c r="HS6" i="5"/>
  <c r="HS7" i="20" s="1"/>
  <c r="AIU7" i="20" s="1"/>
  <c r="BJW7" i="20" s="1"/>
  <c r="CKY7" i="20" s="1"/>
  <c r="HR6" i="5"/>
  <c r="HR7" i="20" s="1"/>
  <c r="AIT7" i="20" s="1"/>
  <c r="BJV7" i="20" s="1"/>
  <c r="CKX7" i="20" s="1"/>
  <c r="HQ6" i="5"/>
  <c r="HQ7" i="20" s="1"/>
  <c r="AIS7" i="20" s="1"/>
  <c r="BJU7" i="20" s="1"/>
  <c r="CKW7" i="20" s="1"/>
  <c r="HP6" i="5"/>
  <c r="HP7" i="20" s="1"/>
  <c r="AIR7" i="20" s="1"/>
  <c r="BJT7" i="20" s="1"/>
  <c r="CKV7" i="20" s="1"/>
  <c r="HO6" i="5"/>
  <c r="HO7" i="20" s="1"/>
  <c r="AIQ7" i="20" s="1"/>
  <c r="BJS7" i="20" s="1"/>
  <c r="CKU7" i="20" s="1"/>
  <c r="HN6" i="5"/>
  <c r="HN7" i="20" s="1"/>
  <c r="AIP7" i="20" s="1"/>
  <c r="BJR7" i="20" s="1"/>
  <c r="CKT7" i="20" s="1"/>
  <c r="HX5" i="5"/>
  <c r="HX6" i="20" s="1"/>
  <c r="AIZ6" i="20" s="1"/>
  <c r="BKB6" i="20" s="1"/>
  <c r="CLD6" i="20" s="1"/>
  <c r="HW5" i="5"/>
  <c r="HW6" i="20" s="1"/>
  <c r="AIY6" i="20" s="1"/>
  <c r="BKA6" i="20" s="1"/>
  <c r="CLC6" i="20" s="1"/>
  <c r="HV5" i="5"/>
  <c r="HV6" i="20" s="1"/>
  <c r="AIX6" i="20" s="1"/>
  <c r="BJZ6" i="20" s="1"/>
  <c r="CLB6" i="20" s="1"/>
  <c r="HU5" i="5"/>
  <c r="HU6" i="20" s="1"/>
  <c r="AIW6" i="20" s="1"/>
  <c r="BJY6" i="20" s="1"/>
  <c r="CLA6" i="20" s="1"/>
  <c r="HT5" i="5"/>
  <c r="HT6" i="20" s="1"/>
  <c r="AIV6" i="20" s="1"/>
  <c r="BJX6" i="20" s="1"/>
  <c r="CKZ6" i="20" s="1"/>
  <c r="HS5" i="5"/>
  <c r="HS6" i="20" s="1"/>
  <c r="AIU6" i="20" s="1"/>
  <c r="BJW6" i="20" s="1"/>
  <c r="CKY6" i="20" s="1"/>
  <c r="HR5" i="5"/>
  <c r="HR6" i="20" s="1"/>
  <c r="AIT6" i="20" s="1"/>
  <c r="BJV6" i="20" s="1"/>
  <c r="CKX6" i="20" s="1"/>
  <c r="HQ5" i="5"/>
  <c r="HQ6" i="20" s="1"/>
  <c r="AIS6" i="20" s="1"/>
  <c r="BJU6" i="20" s="1"/>
  <c r="CKW6" i="20" s="1"/>
  <c r="HP5" i="5"/>
  <c r="HP6" i="20" s="1"/>
  <c r="AIR6" i="20" s="1"/>
  <c r="BJT6" i="20" s="1"/>
  <c r="CKV6" i="20" s="1"/>
  <c r="HO5" i="5"/>
  <c r="HO6" i="20" s="1"/>
  <c r="AIQ6" i="20" s="1"/>
  <c r="BJS6" i="20" s="1"/>
  <c r="CKU6" i="20" s="1"/>
  <c r="HN5" i="5"/>
  <c r="HN6" i="20" s="1"/>
  <c r="AIP6" i="20" s="1"/>
  <c r="BJR6" i="20" s="1"/>
  <c r="CKT6" i="20" s="1"/>
  <c r="HB12" i="5"/>
  <c r="HB13" i="20" s="1"/>
  <c r="AID13" i="20" s="1"/>
  <c r="BJF13" i="20" s="1"/>
  <c r="CKH13" i="20" s="1"/>
  <c r="HA12" i="5"/>
  <c r="HA13" i="20" s="1"/>
  <c r="AIC13" i="20" s="1"/>
  <c r="BJE13" i="20" s="1"/>
  <c r="CKG13" i="20" s="1"/>
  <c r="GT12" i="5"/>
  <c r="GT13" i="20" s="1"/>
  <c r="AHV13" i="20" s="1"/>
  <c r="BIX13" i="20" s="1"/>
  <c r="CJZ13" i="20" s="1"/>
  <c r="GS12" i="5"/>
  <c r="GS13" i="20" s="1"/>
  <c r="AHU13" i="20" s="1"/>
  <c r="BIW13" i="20" s="1"/>
  <c r="CJY13" i="20" s="1"/>
  <c r="GR12" i="5"/>
  <c r="GR13" i="20" s="1"/>
  <c r="AHT13" i="20" s="1"/>
  <c r="BIV13" i="20" s="1"/>
  <c r="CJX13" i="20" s="1"/>
  <c r="HB11" i="5"/>
  <c r="HB12" i="20" s="1"/>
  <c r="AID12" i="20" s="1"/>
  <c r="BJF12" i="20" s="1"/>
  <c r="CKH12" i="20" s="1"/>
  <c r="HA11" i="5"/>
  <c r="HA12" i="20" s="1"/>
  <c r="AIC12" i="20" s="1"/>
  <c r="BJE12" i="20" s="1"/>
  <c r="CKG12" i="20" s="1"/>
  <c r="GZ11" i="5"/>
  <c r="GZ12" i="20" s="1"/>
  <c r="AIB12" i="20" s="1"/>
  <c r="BJD12" i="20" s="1"/>
  <c r="CKF12" i="20" s="1"/>
  <c r="GY11" i="5"/>
  <c r="GY12" i="20" s="1"/>
  <c r="AIA12" i="20" s="1"/>
  <c r="BJC12" i="20" s="1"/>
  <c r="CKE12" i="20" s="1"/>
  <c r="GX11" i="5"/>
  <c r="GX12" i="20" s="1"/>
  <c r="AHZ12" i="20" s="1"/>
  <c r="BJB12" i="20" s="1"/>
  <c r="CKD12" i="20" s="1"/>
  <c r="GW11" i="5"/>
  <c r="GW12" i="20" s="1"/>
  <c r="AHY12" i="20" s="1"/>
  <c r="BJA12" i="20" s="1"/>
  <c r="CKC12" i="20" s="1"/>
  <c r="GV11" i="5"/>
  <c r="GV12" i="20" s="1"/>
  <c r="AHX12" i="20" s="1"/>
  <c r="BIZ12" i="20" s="1"/>
  <c r="CKB12" i="20" s="1"/>
  <c r="GU11" i="5"/>
  <c r="GU12" i="20" s="1"/>
  <c r="AHW12" i="20" s="1"/>
  <c r="BIY12" i="20" s="1"/>
  <c r="CKA12" i="20" s="1"/>
  <c r="GT11" i="5"/>
  <c r="GT12" i="20" s="1"/>
  <c r="AHV12" i="20" s="1"/>
  <c r="BIX12" i="20" s="1"/>
  <c r="CJZ12" i="20" s="1"/>
  <c r="GS11" i="5"/>
  <c r="GS12" i="20" s="1"/>
  <c r="AHU12" i="20" s="1"/>
  <c r="BIW12" i="20" s="1"/>
  <c r="CJY12" i="20" s="1"/>
  <c r="GR11" i="5"/>
  <c r="GR12" i="20" s="1"/>
  <c r="AHT12" i="20" s="1"/>
  <c r="BIV12" i="20" s="1"/>
  <c r="CJX12" i="20" s="1"/>
  <c r="HB10" i="5"/>
  <c r="HB11" i="20" s="1"/>
  <c r="AID11" i="20" s="1"/>
  <c r="BJF11" i="20" s="1"/>
  <c r="CKH11" i="20" s="1"/>
  <c r="HA10" i="5"/>
  <c r="HA11" i="20" s="1"/>
  <c r="AIC11" i="20" s="1"/>
  <c r="BJE11" i="20" s="1"/>
  <c r="CKG11" i="20" s="1"/>
  <c r="GZ10" i="5"/>
  <c r="GZ11" i="20" s="1"/>
  <c r="AIB11" i="20" s="1"/>
  <c r="BJD11" i="20" s="1"/>
  <c r="CKF11" i="20" s="1"/>
  <c r="GY10" i="5"/>
  <c r="GY11" i="20" s="1"/>
  <c r="AIA11" i="20" s="1"/>
  <c r="BJC11" i="20" s="1"/>
  <c r="CKE11" i="20" s="1"/>
  <c r="GX10" i="5"/>
  <c r="GX11" i="20" s="1"/>
  <c r="AHZ11" i="20" s="1"/>
  <c r="BJB11" i="20" s="1"/>
  <c r="CKD11" i="20" s="1"/>
  <c r="GW10" i="5"/>
  <c r="GW11" i="20" s="1"/>
  <c r="AHY11" i="20" s="1"/>
  <c r="BJA11" i="20" s="1"/>
  <c r="CKC11" i="20" s="1"/>
  <c r="GV10" i="5"/>
  <c r="GV11" i="20" s="1"/>
  <c r="AHX11" i="20" s="1"/>
  <c r="BIZ11" i="20" s="1"/>
  <c r="CKB11" i="20" s="1"/>
  <c r="GU10" i="5"/>
  <c r="GU11" i="20" s="1"/>
  <c r="AHW11" i="20" s="1"/>
  <c r="BIY11" i="20" s="1"/>
  <c r="CKA11" i="20" s="1"/>
  <c r="GT10" i="5"/>
  <c r="GT11" i="20" s="1"/>
  <c r="AHV11" i="20" s="1"/>
  <c r="BIX11" i="20" s="1"/>
  <c r="CJZ11" i="20" s="1"/>
  <c r="GS10" i="5"/>
  <c r="GS11" i="20" s="1"/>
  <c r="AHU11" i="20" s="1"/>
  <c r="BIW11" i="20" s="1"/>
  <c r="CJY11" i="20" s="1"/>
  <c r="GR10" i="5"/>
  <c r="GR11" i="20" s="1"/>
  <c r="AHT11" i="20" s="1"/>
  <c r="BIV11" i="20" s="1"/>
  <c r="CJX11" i="20" s="1"/>
  <c r="HB9" i="5"/>
  <c r="HB10" i="20" s="1"/>
  <c r="AID10" i="20" s="1"/>
  <c r="BJF10" i="20" s="1"/>
  <c r="CKH10" i="20" s="1"/>
  <c r="HA9" i="5"/>
  <c r="HA10" i="20" s="1"/>
  <c r="AIC10" i="20" s="1"/>
  <c r="BJE10" i="20" s="1"/>
  <c r="CKG10" i="20" s="1"/>
  <c r="GT9" i="5"/>
  <c r="GT10" i="20" s="1"/>
  <c r="AHV10" i="20" s="1"/>
  <c r="BIX10" i="20" s="1"/>
  <c r="CJZ10" i="20" s="1"/>
  <c r="GS9" i="5"/>
  <c r="GS10" i="20" s="1"/>
  <c r="AHU10" i="20" s="1"/>
  <c r="BIW10" i="20" s="1"/>
  <c r="CJY10" i="20" s="1"/>
  <c r="GR9" i="5"/>
  <c r="GR10" i="20" s="1"/>
  <c r="AHT10" i="20" s="1"/>
  <c r="BIV10" i="20" s="1"/>
  <c r="CJX10" i="20" s="1"/>
  <c r="HB8" i="5"/>
  <c r="HB9" i="20" s="1"/>
  <c r="AID9" i="20" s="1"/>
  <c r="BJF9" i="20" s="1"/>
  <c r="CKH9" i="20" s="1"/>
  <c r="HA8" i="5"/>
  <c r="HA9" i="20" s="1"/>
  <c r="AIC9" i="20" s="1"/>
  <c r="BJE9" i="20" s="1"/>
  <c r="CKG9" i="20" s="1"/>
  <c r="GZ8" i="5"/>
  <c r="GZ9" i="20" s="1"/>
  <c r="AIB9" i="20" s="1"/>
  <c r="BJD9" i="20" s="1"/>
  <c r="CKF9" i="20" s="1"/>
  <c r="GY8" i="5"/>
  <c r="GY9" i="20" s="1"/>
  <c r="AIA9" i="20" s="1"/>
  <c r="BJC9" i="20" s="1"/>
  <c r="CKE9" i="20" s="1"/>
  <c r="GX8" i="5"/>
  <c r="GX9" i="20" s="1"/>
  <c r="AHZ9" i="20" s="1"/>
  <c r="BJB9" i="20" s="1"/>
  <c r="CKD9" i="20" s="1"/>
  <c r="GW8" i="5"/>
  <c r="GW9" i="20" s="1"/>
  <c r="AHY9" i="20" s="1"/>
  <c r="BJA9" i="20" s="1"/>
  <c r="CKC9" i="20" s="1"/>
  <c r="GV8" i="5"/>
  <c r="GV9" i="20" s="1"/>
  <c r="AHX9" i="20" s="1"/>
  <c r="BIZ9" i="20" s="1"/>
  <c r="CKB9" i="20" s="1"/>
  <c r="GU8" i="5"/>
  <c r="GU9" i="20" s="1"/>
  <c r="AHW9" i="20" s="1"/>
  <c r="BIY9" i="20" s="1"/>
  <c r="CKA9" i="20" s="1"/>
  <c r="GT8" i="5"/>
  <c r="GT9" i="20" s="1"/>
  <c r="AHV9" i="20" s="1"/>
  <c r="BIX9" i="20" s="1"/>
  <c r="CJZ9" i="20" s="1"/>
  <c r="GS8" i="5"/>
  <c r="GS9" i="20" s="1"/>
  <c r="AHU9" i="20" s="1"/>
  <c r="BIW9" i="20" s="1"/>
  <c r="CJY9" i="20" s="1"/>
  <c r="GR8" i="5"/>
  <c r="GR9" i="20" s="1"/>
  <c r="AHT9" i="20" s="1"/>
  <c r="BIV9" i="20" s="1"/>
  <c r="CJX9" i="20" s="1"/>
  <c r="HB7" i="5"/>
  <c r="HB8" i="20" s="1"/>
  <c r="AID8" i="20" s="1"/>
  <c r="BJF8" i="20" s="1"/>
  <c r="CKH8" i="20" s="1"/>
  <c r="HA7" i="5"/>
  <c r="HA8" i="20" s="1"/>
  <c r="AIC8" i="20" s="1"/>
  <c r="BJE8" i="20" s="1"/>
  <c r="CKG8" i="20" s="1"/>
  <c r="GZ7" i="5"/>
  <c r="GZ8" i="20" s="1"/>
  <c r="AIB8" i="20" s="1"/>
  <c r="BJD8" i="20" s="1"/>
  <c r="CKF8" i="20" s="1"/>
  <c r="GY7" i="5"/>
  <c r="GY8" i="20" s="1"/>
  <c r="AIA8" i="20" s="1"/>
  <c r="BJC8" i="20" s="1"/>
  <c r="CKE8" i="20" s="1"/>
  <c r="GX7" i="5"/>
  <c r="GX8" i="20" s="1"/>
  <c r="AHZ8" i="20" s="1"/>
  <c r="BJB8" i="20" s="1"/>
  <c r="CKD8" i="20" s="1"/>
  <c r="GW7" i="5"/>
  <c r="GW8" i="20" s="1"/>
  <c r="AHY8" i="20" s="1"/>
  <c r="BJA8" i="20" s="1"/>
  <c r="CKC8" i="20" s="1"/>
  <c r="GV7" i="5"/>
  <c r="GV8" i="20" s="1"/>
  <c r="AHX8" i="20" s="1"/>
  <c r="BIZ8" i="20" s="1"/>
  <c r="CKB8" i="20" s="1"/>
  <c r="GU7" i="5"/>
  <c r="GU8" i="20" s="1"/>
  <c r="AHW8" i="20" s="1"/>
  <c r="BIY8" i="20" s="1"/>
  <c r="CKA8" i="20" s="1"/>
  <c r="GT7" i="5"/>
  <c r="GT8" i="20" s="1"/>
  <c r="AHV8" i="20" s="1"/>
  <c r="BIX8" i="20" s="1"/>
  <c r="CJZ8" i="20" s="1"/>
  <c r="GS7" i="5"/>
  <c r="GS8" i="20" s="1"/>
  <c r="AHU8" i="20" s="1"/>
  <c r="BIW8" i="20" s="1"/>
  <c r="CJY8" i="20" s="1"/>
  <c r="GR7" i="5"/>
  <c r="GR8" i="20" s="1"/>
  <c r="AHT8" i="20" s="1"/>
  <c r="BIV8" i="20" s="1"/>
  <c r="CJX8" i="20" s="1"/>
  <c r="HB6" i="5"/>
  <c r="HB7" i="20" s="1"/>
  <c r="AID7" i="20" s="1"/>
  <c r="BJF7" i="20" s="1"/>
  <c r="CKH7" i="20" s="1"/>
  <c r="HA6" i="5"/>
  <c r="HA7" i="20" s="1"/>
  <c r="AIC7" i="20" s="1"/>
  <c r="BJE7" i="20" s="1"/>
  <c r="CKG7" i="20" s="1"/>
  <c r="GZ6" i="5"/>
  <c r="GZ7" i="20" s="1"/>
  <c r="AIB7" i="20" s="1"/>
  <c r="BJD7" i="20" s="1"/>
  <c r="CKF7" i="20" s="1"/>
  <c r="GY6" i="5"/>
  <c r="GY7" i="20" s="1"/>
  <c r="AIA7" i="20" s="1"/>
  <c r="BJC7" i="20" s="1"/>
  <c r="CKE7" i="20" s="1"/>
  <c r="GX6" i="5"/>
  <c r="GX7" i="20" s="1"/>
  <c r="AHZ7" i="20" s="1"/>
  <c r="BJB7" i="20" s="1"/>
  <c r="CKD7" i="20" s="1"/>
  <c r="GW6" i="5"/>
  <c r="GW7" i="20" s="1"/>
  <c r="AHY7" i="20" s="1"/>
  <c r="BJA7" i="20" s="1"/>
  <c r="CKC7" i="20" s="1"/>
  <c r="GV6" i="5"/>
  <c r="GV7" i="20" s="1"/>
  <c r="AHX7" i="20" s="1"/>
  <c r="BIZ7" i="20" s="1"/>
  <c r="CKB7" i="20" s="1"/>
  <c r="GU6" i="5"/>
  <c r="GU7" i="20" s="1"/>
  <c r="AHW7" i="20" s="1"/>
  <c r="BIY7" i="20" s="1"/>
  <c r="CKA7" i="20" s="1"/>
  <c r="GT6" i="5"/>
  <c r="GT7" i="20" s="1"/>
  <c r="AHV7" i="20" s="1"/>
  <c r="BIX7" i="20" s="1"/>
  <c r="CJZ7" i="20" s="1"/>
  <c r="GS6" i="5"/>
  <c r="GS7" i="20" s="1"/>
  <c r="AHU7" i="20" s="1"/>
  <c r="BIW7" i="20" s="1"/>
  <c r="CJY7" i="20" s="1"/>
  <c r="GR6" i="5"/>
  <c r="GR7" i="20" s="1"/>
  <c r="AHT7" i="20" s="1"/>
  <c r="BIV7" i="20" s="1"/>
  <c r="CJX7" i="20" s="1"/>
  <c r="HB5" i="5"/>
  <c r="HB6" i="20" s="1"/>
  <c r="AID6" i="20" s="1"/>
  <c r="BJF6" i="20" s="1"/>
  <c r="CKH6" i="20" s="1"/>
  <c r="HA5" i="5"/>
  <c r="HA6" i="20" s="1"/>
  <c r="AIC6" i="20" s="1"/>
  <c r="BJE6" i="20" s="1"/>
  <c r="CKG6" i="20" s="1"/>
  <c r="GZ5" i="5"/>
  <c r="GZ6" i="20" s="1"/>
  <c r="AIB6" i="20" s="1"/>
  <c r="BJD6" i="20" s="1"/>
  <c r="CKF6" i="20" s="1"/>
  <c r="GY5" i="5"/>
  <c r="GY6" i="20" s="1"/>
  <c r="AIA6" i="20" s="1"/>
  <c r="BJC6" i="20" s="1"/>
  <c r="CKE6" i="20" s="1"/>
  <c r="GX5" i="5"/>
  <c r="GX6" i="20" s="1"/>
  <c r="AHZ6" i="20" s="1"/>
  <c r="BJB6" i="20" s="1"/>
  <c r="CKD6" i="20" s="1"/>
  <c r="GW5" i="5"/>
  <c r="GW6" i="20" s="1"/>
  <c r="AHY6" i="20" s="1"/>
  <c r="BJA6" i="20" s="1"/>
  <c r="CKC6" i="20" s="1"/>
  <c r="GV5" i="5"/>
  <c r="GV6" i="20" s="1"/>
  <c r="AHX6" i="20" s="1"/>
  <c r="BIZ6" i="20" s="1"/>
  <c r="CKB6" i="20" s="1"/>
  <c r="GU5" i="5"/>
  <c r="GU6" i="20" s="1"/>
  <c r="AHW6" i="20" s="1"/>
  <c r="BIY6" i="20" s="1"/>
  <c r="CKA6" i="20" s="1"/>
  <c r="GT5" i="5"/>
  <c r="GT6" i="20" s="1"/>
  <c r="AHV6" i="20" s="1"/>
  <c r="BIX6" i="20" s="1"/>
  <c r="CJZ6" i="20" s="1"/>
  <c r="GS5" i="5"/>
  <c r="GS6" i="20" s="1"/>
  <c r="AHU6" i="20" s="1"/>
  <c r="BIW6" i="20" s="1"/>
  <c r="CJY6" i="20" s="1"/>
  <c r="GR5" i="5"/>
  <c r="GR6" i="20" s="1"/>
  <c r="AHT6" i="20" s="1"/>
  <c r="BIV6" i="20" s="1"/>
  <c r="CJX6" i="20" s="1"/>
  <c r="GF12" i="5"/>
  <c r="GF13" i="20" s="1"/>
  <c r="AHH13" i="20" s="1"/>
  <c r="BIJ13" i="20" s="1"/>
  <c r="CJL13" i="20" s="1"/>
  <c r="GE12" i="5"/>
  <c r="GE13" i="20" s="1"/>
  <c r="AHG13" i="20" s="1"/>
  <c r="BII13" i="20" s="1"/>
  <c r="CJK13" i="20" s="1"/>
  <c r="FX12" i="5"/>
  <c r="FX13" i="20" s="1"/>
  <c r="AGZ13" i="20" s="1"/>
  <c r="BIB13" i="20" s="1"/>
  <c r="CJD13" i="20" s="1"/>
  <c r="FW12" i="5"/>
  <c r="FW13" i="20" s="1"/>
  <c r="AGY13" i="20" s="1"/>
  <c r="BIA13" i="20" s="1"/>
  <c r="CJC13" i="20" s="1"/>
  <c r="FV12" i="5"/>
  <c r="FV13" i="20" s="1"/>
  <c r="AGX13" i="20" s="1"/>
  <c r="BHZ13" i="20" s="1"/>
  <c r="CJB13" i="20" s="1"/>
  <c r="GF11" i="5"/>
  <c r="GF12" i="20" s="1"/>
  <c r="AHH12" i="20" s="1"/>
  <c r="BIJ12" i="20" s="1"/>
  <c r="CJL12" i="20" s="1"/>
  <c r="GE11" i="5"/>
  <c r="GE12" i="20" s="1"/>
  <c r="AHG12" i="20" s="1"/>
  <c r="BII12" i="20" s="1"/>
  <c r="CJK12" i="20" s="1"/>
  <c r="GD11" i="5"/>
  <c r="GD12" i="20" s="1"/>
  <c r="AHF12" i="20" s="1"/>
  <c r="BIH12" i="20" s="1"/>
  <c r="CJJ12" i="20" s="1"/>
  <c r="GC11" i="5"/>
  <c r="GC12" i="20" s="1"/>
  <c r="AHE12" i="20" s="1"/>
  <c r="BIG12" i="20" s="1"/>
  <c r="CJI12" i="20" s="1"/>
  <c r="GB11" i="5"/>
  <c r="GB12" i="20" s="1"/>
  <c r="AHD12" i="20" s="1"/>
  <c r="BIF12" i="20" s="1"/>
  <c r="CJH12" i="20" s="1"/>
  <c r="GA11" i="5"/>
  <c r="GA12" i="20" s="1"/>
  <c r="AHC12" i="20" s="1"/>
  <c r="BIE12" i="20" s="1"/>
  <c r="CJG12" i="20" s="1"/>
  <c r="FZ11" i="5"/>
  <c r="FZ12" i="20" s="1"/>
  <c r="AHB12" i="20" s="1"/>
  <c r="BID12" i="20" s="1"/>
  <c r="CJF12" i="20" s="1"/>
  <c r="FY11" i="5"/>
  <c r="FY12" i="20" s="1"/>
  <c r="AHA12" i="20" s="1"/>
  <c r="BIC12" i="20" s="1"/>
  <c r="CJE12" i="20" s="1"/>
  <c r="FX11" i="5"/>
  <c r="FX12" i="20" s="1"/>
  <c r="AGZ12" i="20" s="1"/>
  <c r="BIB12" i="20" s="1"/>
  <c r="CJD12" i="20" s="1"/>
  <c r="FW11" i="5"/>
  <c r="FW12" i="20" s="1"/>
  <c r="AGY12" i="20" s="1"/>
  <c r="BIA12" i="20" s="1"/>
  <c r="CJC12" i="20" s="1"/>
  <c r="FV11" i="5"/>
  <c r="FV12" i="20" s="1"/>
  <c r="AGX12" i="20" s="1"/>
  <c r="BHZ12" i="20" s="1"/>
  <c r="CJB12" i="20" s="1"/>
  <c r="GF10" i="5"/>
  <c r="GF11" i="20" s="1"/>
  <c r="AHH11" i="20" s="1"/>
  <c r="BIJ11" i="20" s="1"/>
  <c r="CJL11" i="20" s="1"/>
  <c r="GE10" i="5"/>
  <c r="GE11" i="20" s="1"/>
  <c r="AHG11" i="20" s="1"/>
  <c r="BII11" i="20" s="1"/>
  <c r="CJK11" i="20" s="1"/>
  <c r="GD10" i="5"/>
  <c r="GD11" i="20" s="1"/>
  <c r="AHF11" i="20" s="1"/>
  <c r="BIH11" i="20" s="1"/>
  <c r="CJJ11" i="20" s="1"/>
  <c r="GC10" i="5"/>
  <c r="GC11" i="20" s="1"/>
  <c r="AHE11" i="20" s="1"/>
  <c r="BIG11" i="20" s="1"/>
  <c r="CJI11" i="20" s="1"/>
  <c r="GB10" i="5"/>
  <c r="GB11" i="20" s="1"/>
  <c r="AHD11" i="20" s="1"/>
  <c r="BIF11" i="20" s="1"/>
  <c r="CJH11" i="20" s="1"/>
  <c r="GA10" i="5"/>
  <c r="GA11" i="20" s="1"/>
  <c r="AHC11" i="20" s="1"/>
  <c r="BIE11" i="20" s="1"/>
  <c r="CJG11" i="20" s="1"/>
  <c r="FZ10" i="5"/>
  <c r="FZ11" i="20" s="1"/>
  <c r="AHB11" i="20" s="1"/>
  <c r="BID11" i="20" s="1"/>
  <c r="CJF11" i="20" s="1"/>
  <c r="FY10" i="5"/>
  <c r="FY11" i="20" s="1"/>
  <c r="AHA11" i="20" s="1"/>
  <c r="BIC11" i="20" s="1"/>
  <c r="CJE11" i="20" s="1"/>
  <c r="FX10" i="5"/>
  <c r="FX11" i="20" s="1"/>
  <c r="AGZ11" i="20" s="1"/>
  <c r="BIB11" i="20" s="1"/>
  <c r="CJD11" i="20" s="1"/>
  <c r="FW10" i="5"/>
  <c r="FW11" i="20" s="1"/>
  <c r="AGY11" i="20" s="1"/>
  <c r="BIA11" i="20" s="1"/>
  <c r="CJC11" i="20" s="1"/>
  <c r="FV10" i="5"/>
  <c r="FV11" i="20" s="1"/>
  <c r="AGX11" i="20" s="1"/>
  <c r="BHZ11" i="20" s="1"/>
  <c r="CJB11" i="20" s="1"/>
  <c r="GF9" i="5"/>
  <c r="GF10" i="20" s="1"/>
  <c r="AHH10" i="20" s="1"/>
  <c r="BIJ10" i="20" s="1"/>
  <c r="CJL10" i="20" s="1"/>
  <c r="GE9" i="5"/>
  <c r="GE10" i="20" s="1"/>
  <c r="AHG10" i="20" s="1"/>
  <c r="BII10" i="20" s="1"/>
  <c r="CJK10" i="20" s="1"/>
  <c r="FX9" i="5"/>
  <c r="FX10" i="20" s="1"/>
  <c r="AGZ10" i="20" s="1"/>
  <c r="BIB10" i="20" s="1"/>
  <c r="CJD10" i="20" s="1"/>
  <c r="FW9" i="5"/>
  <c r="FW10" i="20" s="1"/>
  <c r="AGY10" i="20" s="1"/>
  <c r="BIA10" i="20" s="1"/>
  <c r="CJC10" i="20" s="1"/>
  <c r="FV9" i="5"/>
  <c r="FV10" i="20" s="1"/>
  <c r="AGX10" i="20" s="1"/>
  <c r="BHZ10" i="20" s="1"/>
  <c r="CJB10" i="20" s="1"/>
  <c r="GF8" i="5"/>
  <c r="GF9" i="20" s="1"/>
  <c r="AHH9" i="20" s="1"/>
  <c r="BIJ9" i="20" s="1"/>
  <c r="CJL9" i="20" s="1"/>
  <c r="GE8" i="5"/>
  <c r="GE9" i="20" s="1"/>
  <c r="AHG9" i="20" s="1"/>
  <c r="BII9" i="20" s="1"/>
  <c r="CJK9" i="20" s="1"/>
  <c r="GD8" i="5"/>
  <c r="GD9" i="20" s="1"/>
  <c r="AHF9" i="20" s="1"/>
  <c r="BIH9" i="20" s="1"/>
  <c r="CJJ9" i="20" s="1"/>
  <c r="GC8" i="5"/>
  <c r="GC9" i="20" s="1"/>
  <c r="AHE9" i="20" s="1"/>
  <c r="BIG9" i="20" s="1"/>
  <c r="CJI9" i="20" s="1"/>
  <c r="GB8" i="5"/>
  <c r="GB9" i="20" s="1"/>
  <c r="AHD9" i="20" s="1"/>
  <c r="BIF9" i="20" s="1"/>
  <c r="CJH9" i="20" s="1"/>
  <c r="GA8" i="5"/>
  <c r="GA9" i="20" s="1"/>
  <c r="AHC9" i="20" s="1"/>
  <c r="BIE9" i="20" s="1"/>
  <c r="CJG9" i="20" s="1"/>
  <c r="FZ8" i="5"/>
  <c r="FZ9" i="20" s="1"/>
  <c r="AHB9" i="20" s="1"/>
  <c r="BID9" i="20" s="1"/>
  <c r="CJF9" i="20" s="1"/>
  <c r="FY8" i="5"/>
  <c r="FY9" i="20" s="1"/>
  <c r="AHA9" i="20" s="1"/>
  <c r="BIC9" i="20" s="1"/>
  <c r="CJE9" i="20" s="1"/>
  <c r="FX8" i="5"/>
  <c r="FX9" i="20" s="1"/>
  <c r="AGZ9" i="20" s="1"/>
  <c r="BIB9" i="20" s="1"/>
  <c r="CJD9" i="20" s="1"/>
  <c r="FW8" i="5"/>
  <c r="FW9" i="20" s="1"/>
  <c r="AGY9" i="20" s="1"/>
  <c r="BIA9" i="20" s="1"/>
  <c r="CJC9" i="20" s="1"/>
  <c r="FV8" i="5"/>
  <c r="FV9" i="20" s="1"/>
  <c r="AGX9" i="20" s="1"/>
  <c r="BHZ9" i="20" s="1"/>
  <c r="CJB9" i="20" s="1"/>
  <c r="GF7" i="5"/>
  <c r="GF8" i="20" s="1"/>
  <c r="AHH8" i="20" s="1"/>
  <c r="BIJ8" i="20" s="1"/>
  <c r="CJL8" i="20" s="1"/>
  <c r="GE7" i="5"/>
  <c r="GE8" i="20" s="1"/>
  <c r="AHG8" i="20" s="1"/>
  <c r="BII8" i="20" s="1"/>
  <c r="CJK8" i="20" s="1"/>
  <c r="GD7" i="5"/>
  <c r="GD8" i="20" s="1"/>
  <c r="AHF8" i="20" s="1"/>
  <c r="BIH8" i="20" s="1"/>
  <c r="CJJ8" i="20" s="1"/>
  <c r="GC7" i="5"/>
  <c r="GC8" i="20" s="1"/>
  <c r="AHE8" i="20" s="1"/>
  <c r="BIG8" i="20" s="1"/>
  <c r="CJI8" i="20" s="1"/>
  <c r="GB7" i="5"/>
  <c r="GB8" i="20" s="1"/>
  <c r="AHD8" i="20" s="1"/>
  <c r="BIF8" i="20" s="1"/>
  <c r="CJH8" i="20" s="1"/>
  <c r="GA7" i="5"/>
  <c r="GA8" i="20" s="1"/>
  <c r="AHC8" i="20" s="1"/>
  <c r="BIE8" i="20" s="1"/>
  <c r="CJG8" i="20" s="1"/>
  <c r="FZ7" i="5"/>
  <c r="FZ8" i="20" s="1"/>
  <c r="AHB8" i="20" s="1"/>
  <c r="BID8" i="20" s="1"/>
  <c r="CJF8" i="20" s="1"/>
  <c r="FY7" i="5"/>
  <c r="FY8" i="20" s="1"/>
  <c r="AHA8" i="20" s="1"/>
  <c r="BIC8" i="20" s="1"/>
  <c r="CJE8" i="20" s="1"/>
  <c r="FX7" i="5"/>
  <c r="FX8" i="20" s="1"/>
  <c r="AGZ8" i="20" s="1"/>
  <c r="BIB8" i="20" s="1"/>
  <c r="CJD8" i="20" s="1"/>
  <c r="FW7" i="5"/>
  <c r="FW8" i="20" s="1"/>
  <c r="AGY8" i="20" s="1"/>
  <c r="BIA8" i="20" s="1"/>
  <c r="CJC8" i="20" s="1"/>
  <c r="FV7" i="5"/>
  <c r="FV8" i="20" s="1"/>
  <c r="AGX8" i="20" s="1"/>
  <c r="BHZ8" i="20" s="1"/>
  <c r="CJB8" i="20" s="1"/>
  <c r="GF6" i="5"/>
  <c r="GF7" i="20" s="1"/>
  <c r="AHH7" i="20" s="1"/>
  <c r="BIJ7" i="20" s="1"/>
  <c r="CJL7" i="20" s="1"/>
  <c r="GE6" i="5"/>
  <c r="GE7" i="20" s="1"/>
  <c r="AHG7" i="20" s="1"/>
  <c r="BII7" i="20" s="1"/>
  <c r="CJK7" i="20" s="1"/>
  <c r="GD6" i="5"/>
  <c r="GD7" i="20" s="1"/>
  <c r="AHF7" i="20" s="1"/>
  <c r="BIH7" i="20" s="1"/>
  <c r="CJJ7" i="20" s="1"/>
  <c r="GC6" i="5"/>
  <c r="GC7" i="20" s="1"/>
  <c r="AHE7" i="20" s="1"/>
  <c r="BIG7" i="20" s="1"/>
  <c r="CJI7" i="20" s="1"/>
  <c r="GB6" i="5"/>
  <c r="GB7" i="20" s="1"/>
  <c r="AHD7" i="20" s="1"/>
  <c r="BIF7" i="20" s="1"/>
  <c r="CJH7" i="20" s="1"/>
  <c r="GA6" i="5"/>
  <c r="GA7" i="20" s="1"/>
  <c r="AHC7" i="20" s="1"/>
  <c r="BIE7" i="20" s="1"/>
  <c r="CJG7" i="20" s="1"/>
  <c r="FZ6" i="5"/>
  <c r="FZ7" i="20" s="1"/>
  <c r="AHB7" i="20" s="1"/>
  <c r="BID7" i="20" s="1"/>
  <c r="CJF7" i="20" s="1"/>
  <c r="FY6" i="5"/>
  <c r="FY7" i="20" s="1"/>
  <c r="AHA7" i="20" s="1"/>
  <c r="BIC7" i="20" s="1"/>
  <c r="CJE7" i="20" s="1"/>
  <c r="FX6" i="5"/>
  <c r="FX7" i="20" s="1"/>
  <c r="AGZ7" i="20" s="1"/>
  <c r="BIB7" i="20" s="1"/>
  <c r="CJD7" i="20" s="1"/>
  <c r="FW6" i="5"/>
  <c r="FW7" i="20" s="1"/>
  <c r="AGY7" i="20" s="1"/>
  <c r="BIA7" i="20" s="1"/>
  <c r="CJC7" i="20" s="1"/>
  <c r="FV6" i="5"/>
  <c r="FV7" i="20" s="1"/>
  <c r="AGX7" i="20" s="1"/>
  <c r="BHZ7" i="20" s="1"/>
  <c r="CJB7" i="20" s="1"/>
  <c r="GF5" i="5"/>
  <c r="GF6" i="20" s="1"/>
  <c r="AHH6" i="20" s="1"/>
  <c r="BIJ6" i="20" s="1"/>
  <c r="CJL6" i="20" s="1"/>
  <c r="GE5" i="5"/>
  <c r="GE6" i="20" s="1"/>
  <c r="AHG6" i="20" s="1"/>
  <c r="BII6" i="20" s="1"/>
  <c r="CJK6" i="20" s="1"/>
  <c r="GD5" i="5"/>
  <c r="GD6" i="20" s="1"/>
  <c r="AHF6" i="20" s="1"/>
  <c r="BIH6" i="20" s="1"/>
  <c r="CJJ6" i="20" s="1"/>
  <c r="GC5" i="5"/>
  <c r="GC6" i="20" s="1"/>
  <c r="AHE6" i="20" s="1"/>
  <c r="BIG6" i="20" s="1"/>
  <c r="CJI6" i="20" s="1"/>
  <c r="GB5" i="5"/>
  <c r="GB6" i="20" s="1"/>
  <c r="AHD6" i="20" s="1"/>
  <c r="BIF6" i="20" s="1"/>
  <c r="CJH6" i="20" s="1"/>
  <c r="GA5" i="5"/>
  <c r="GA6" i="20" s="1"/>
  <c r="AHC6" i="20" s="1"/>
  <c r="BIE6" i="20" s="1"/>
  <c r="CJG6" i="20" s="1"/>
  <c r="FZ5" i="5"/>
  <c r="FZ6" i="20" s="1"/>
  <c r="AHB6" i="20" s="1"/>
  <c r="BID6" i="20" s="1"/>
  <c r="CJF6" i="20" s="1"/>
  <c r="FY5" i="5"/>
  <c r="FY6" i="20" s="1"/>
  <c r="AHA6" i="20" s="1"/>
  <c r="BIC6" i="20" s="1"/>
  <c r="CJE6" i="20" s="1"/>
  <c r="FX5" i="5"/>
  <c r="FX6" i="20" s="1"/>
  <c r="AGZ6" i="20" s="1"/>
  <c r="BIB6" i="20" s="1"/>
  <c r="CJD6" i="20" s="1"/>
  <c r="FW5" i="5"/>
  <c r="FW6" i="20" s="1"/>
  <c r="AGY6" i="20" s="1"/>
  <c r="BIA6" i="20" s="1"/>
  <c r="CJC6" i="20" s="1"/>
  <c r="FV5" i="5"/>
  <c r="FV6" i="20" s="1"/>
  <c r="AGX6" i="20" s="1"/>
  <c r="BHZ6" i="20" s="1"/>
  <c r="CJB6" i="20" s="1"/>
  <c r="FJ12" i="5"/>
  <c r="FJ13" i="20" s="1"/>
  <c r="AGL13" i="20" s="1"/>
  <c r="BHN13" i="20" s="1"/>
  <c r="CIP13" i="20" s="1"/>
  <c r="FI12" i="5"/>
  <c r="FI13" i="20" s="1"/>
  <c r="AGK13" i="20" s="1"/>
  <c r="BHM13" i="20" s="1"/>
  <c r="CIO13" i="20" s="1"/>
  <c r="FB12" i="5"/>
  <c r="FB13" i="20" s="1"/>
  <c r="AGD13" i="20" s="1"/>
  <c r="BHF13" i="20" s="1"/>
  <c r="CIH13" i="20" s="1"/>
  <c r="FA12" i="5"/>
  <c r="FA13" i="20" s="1"/>
  <c r="AGC13" i="20" s="1"/>
  <c r="BHE13" i="20" s="1"/>
  <c r="CIG13" i="20" s="1"/>
  <c r="EZ12" i="5"/>
  <c r="EZ13" i="20" s="1"/>
  <c r="AGB13" i="20" s="1"/>
  <c r="BHD13" i="20" s="1"/>
  <c r="CIF13" i="20" s="1"/>
  <c r="FJ11" i="5"/>
  <c r="FJ12" i="20" s="1"/>
  <c r="AGL12" i="20" s="1"/>
  <c r="BHN12" i="20" s="1"/>
  <c r="CIP12" i="20" s="1"/>
  <c r="FI11" i="5"/>
  <c r="FI12" i="20" s="1"/>
  <c r="AGK12" i="20" s="1"/>
  <c r="BHM12" i="20" s="1"/>
  <c r="CIO12" i="20" s="1"/>
  <c r="FH11" i="5"/>
  <c r="FH12" i="20" s="1"/>
  <c r="AGJ12" i="20" s="1"/>
  <c r="BHL12" i="20" s="1"/>
  <c r="CIN12" i="20" s="1"/>
  <c r="FG11" i="5"/>
  <c r="FG12" i="20" s="1"/>
  <c r="AGI12" i="20" s="1"/>
  <c r="BHK12" i="20" s="1"/>
  <c r="CIM12" i="20" s="1"/>
  <c r="FF11" i="5"/>
  <c r="FF12" i="20" s="1"/>
  <c r="AGH12" i="20" s="1"/>
  <c r="BHJ12" i="20" s="1"/>
  <c r="CIL12" i="20" s="1"/>
  <c r="FE11" i="5"/>
  <c r="FE12" i="20" s="1"/>
  <c r="AGG12" i="20" s="1"/>
  <c r="BHI12" i="20" s="1"/>
  <c r="CIK12" i="20" s="1"/>
  <c r="FD11" i="5"/>
  <c r="FD12" i="20" s="1"/>
  <c r="AGF12" i="20" s="1"/>
  <c r="BHH12" i="20" s="1"/>
  <c r="CIJ12" i="20" s="1"/>
  <c r="FC11" i="5"/>
  <c r="FC12" i="20" s="1"/>
  <c r="AGE12" i="20" s="1"/>
  <c r="BHG12" i="20" s="1"/>
  <c r="CII12" i="20" s="1"/>
  <c r="FB11" i="5"/>
  <c r="FB12" i="20" s="1"/>
  <c r="AGD12" i="20" s="1"/>
  <c r="BHF12" i="20" s="1"/>
  <c r="CIH12" i="20" s="1"/>
  <c r="FA11" i="5"/>
  <c r="FA12" i="20" s="1"/>
  <c r="AGC12" i="20" s="1"/>
  <c r="BHE12" i="20" s="1"/>
  <c r="CIG12" i="20" s="1"/>
  <c r="EZ11" i="5"/>
  <c r="EZ12" i="20" s="1"/>
  <c r="AGB12" i="20" s="1"/>
  <c r="BHD12" i="20" s="1"/>
  <c r="CIF12" i="20" s="1"/>
  <c r="FJ10" i="5"/>
  <c r="FJ11" i="20" s="1"/>
  <c r="AGL11" i="20" s="1"/>
  <c r="BHN11" i="20" s="1"/>
  <c r="CIP11" i="20" s="1"/>
  <c r="FI10" i="5"/>
  <c r="FI11" i="20" s="1"/>
  <c r="AGK11" i="20" s="1"/>
  <c r="BHM11" i="20" s="1"/>
  <c r="CIO11" i="20" s="1"/>
  <c r="FH10" i="5"/>
  <c r="FH11" i="20" s="1"/>
  <c r="AGJ11" i="20" s="1"/>
  <c r="BHL11" i="20" s="1"/>
  <c r="CIN11" i="20" s="1"/>
  <c r="FG10" i="5"/>
  <c r="FG11" i="20" s="1"/>
  <c r="AGI11" i="20" s="1"/>
  <c r="BHK11" i="20" s="1"/>
  <c r="CIM11" i="20" s="1"/>
  <c r="FF10" i="5"/>
  <c r="FF11" i="20" s="1"/>
  <c r="AGH11" i="20" s="1"/>
  <c r="BHJ11" i="20" s="1"/>
  <c r="CIL11" i="20" s="1"/>
  <c r="FE10" i="5"/>
  <c r="FE11" i="20" s="1"/>
  <c r="AGG11" i="20" s="1"/>
  <c r="BHI11" i="20" s="1"/>
  <c r="CIK11" i="20" s="1"/>
  <c r="FD10" i="5"/>
  <c r="FD11" i="20" s="1"/>
  <c r="AGF11" i="20" s="1"/>
  <c r="BHH11" i="20" s="1"/>
  <c r="CIJ11" i="20" s="1"/>
  <c r="FC10" i="5"/>
  <c r="FC11" i="20" s="1"/>
  <c r="AGE11" i="20" s="1"/>
  <c r="BHG11" i="20" s="1"/>
  <c r="CII11" i="20" s="1"/>
  <c r="FB10" i="5"/>
  <c r="FB11" i="20" s="1"/>
  <c r="AGD11" i="20" s="1"/>
  <c r="BHF11" i="20" s="1"/>
  <c r="CIH11" i="20" s="1"/>
  <c r="FA10" i="5"/>
  <c r="FA11" i="20" s="1"/>
  <c r="AGC11" i="20" s="1"/>
  <c r="BHE11" i="20" s="1"/>
  <c r="CIG11" i="20" s="1"/>
  <c r="EZ10" i="5"/>
  <c r="EZ11" i="20" s="1"/>
  <c r="AGB11" i="20" s="1"/>
  <c r="BHD11" i="20" s="1"/>
  <c r="CIF11" i="20" s="1"/>
  <c r="FJ9" i="5"/>
  <c r="FJ10" i="20" s="1"/>
  <c r="AGL10" i="20" s="1"/>
  <c r="BHN10" i="20" s="1"/>
  <c r="CIP10" i="20" s="1"/>
  <c r="FI9" i="5"/>
  <c r="FI10" i="20" s="1"/>
  <c r="AGK10" i="20" s="1"/>
  <c r="BHM10" i="20" s="1"/>
  <c r="CIO10" i="20" s="1"/>
  <c r="FB9" i="5"/>
  <c r="FB10" i="20" s="1"/>
  <c r="AGD10" i="20" s="1"/>
  <c r="BHF10" i="20" s="1"/>
  <c r="CIH10" i="20" s="1"/>
  <c r="FA9" i="5"/>
  <c r="FA10" i="20" s="1"/>
  <c r="AGC10" i="20" s="1"/>
  <c r="BHE10" i="20" s="1"/>
  <c r="CIG10" i="20" s="1"/>
  <c r="EZ9" i="5"/>
  <c r="EZ10" i="20" s="1"/>
  <c r="AGB10" i="20" s="1"/>
  <c r="BHD10" i="20" s="1"/>
  <c r="CIF10" i="20" s="1"/>
  <c r="FJ8" i="5"/>
  <c r="FJ9" i="20" s="1"/>
  <c r="AGL9" i="20" s="1"/>
  <c r="BHN9" i="20" s="1"/>
  <c r="CIP9" i="20" s="1"/>
  <c r="FI8" i="5"/>
  <c r="FI9" i="20" s="1"/>
  <c r="AGK9" i="20" s="1"/>
  <c r="BHM9" i="20" s="1"/>
  <c r="CIO9" i="20" s="1"/>
  <c r="FH8" i="5"/>
  <c r="FH9" i="20" s="1"/>
  <c r="AGJ9" i="20" s="1"/>
  <c r="BHL9" i="20" s="1"/>
  <c r="CIN9" i="20" s="1"/>
  <c r="FG8" i="5"/>
  <c r="FG9" i="20" s="1"/>
  <c r="AGI9" i="20" s="1"/>
  <c r="BHK9" i="20" s="1"/>
  <c r="CIM9" i="20" s="1"/>
  <c r="FF8" i="5"/>
  <c r="FF9" i="20" s="1"/>
  <c r="AGH9" i="20" s="1"/>
  <c r="BHJ9" i="20" s="1"/>
  <c r="CIL9" i="20" s="1"/>
  <c r="FE8" i="5"/>
  <c r="FE9" i="20" s="1"/>
  <c r="AGG9" i="20" s="1"/>
  <c r="BHI9" i="20" s="1"/>
  <c r="CIK9" i="20" s="1"/>
  <c r="FD8" i="5"/>
  <c r="FD9" i="20" s="1"/>
  <c r="AGF9" i="20" s="1"/>
  <c r="BHH9" i="20" s="1"/>
  <c r="CIJ9" i="20" s="1"/>
  <c r="FC8" i="5"/>
  <c r="FC9" i="20" s="1"/>
  <c r="AGE9" i="20" s="1"/>
  <c r="BHG9" i="20" s="1"/>
  <c r="CII9" i="20" s="1"/>
  <c r="FB8" i="5"/>
  <c r="FB9" i="20" s="1"/>
  <c r="AGD9" i="20" s="1"/>
  <c r="BHF9" i="20" s="1"/>
  <c r="CIH9" i="20" s="1"/>
  <c r="FA8" i="5"/>
  <c r="FA9" i="20" s="1"/>
  <c r="AGC9" i="20" s="1"/>
  <c r="BHE9" i="20" s="1"/>
  <c r="CIG9" i="20" s="1"/>
  <c r="EZ8" i="5"/>
  <c r="EZ9" i="20" s="1"/>
  <c r="AGB9" i="20" s="1"/>
  <c r="BHD9" i="20" s="1"/>
  <c r="CIF9" i="20" s="1"/>
  <c r="FJ7" i="5"/>
  <c r="FJ8" i="20" s="1"/>
  <c r="AGL8" i="20" s="1"/>
  <c r="BHN8" i="20" s="1"/>
  <c r="CIP8" i="20" s="1"/>
  <c r="FI7" i="5"/>
  <c r="FI8" i="20" s="1"/>
  <c r="AGK8" i="20" s="1"/>
  <c r="BHM8" i="20" s="1"/>
  <c r="CIO8" i="20" s="1"/>
  <c r="FH7" i="5"/>
  <c r="FH8" i="20" s="1"/>
  <c r="AGJ8" i="20" s="1"/>
  <c r="BHL8" i="20" s="1"/>
  <c r="CIN8" i="20" s="1"/>
  <c r="FG7" i="5"/>
  <c r="FG8" i="20" s="1"/>
  <c r="AGI8" i="20" s="1"/>
  <c r="BHK8" i="20" s="1"/>
  <c r="CIM8" i="20" s="1"/>
  <c r="FF7" i="5"/>
  <c r="FF8" i="20" s="1"/>
  <c r="AGH8" i="20" s="1"/>
  <c r="BHJ8" i="20" s="1"/>
  <c r="CIL8" i="20" s="1"/>
  <c r="FE7" i="5"/>
  <c r="FE8" i="20" s="1"/>
  <c r="AGG8" i="20" s="1"/>
  <c r="BHI8" i="20" s="1"/>
  <c r="CIK8" i="20" s="1"/>
  <c r="FD7" i="5"/>
  <c r="FD8" i="20" s="1"/>
  <c r="AGF8" i="20" s="1"/>
  <c r="BHH8" i="20" s="1"/>
  <c r="CIJ8" i="20" s="1"/>
  <c r="FC7" i="5"/>
  <c r="FC8" i="20" s="1"/>
  <c r="AGE8" i="20" s="1"/>
  <c r="BHG8" i="20" s="1"/>
  <c r="CII8" i="20" s="1"/>
  <c r="FB7" i="5"/>
  <c r="FB8" i="20" s="1"/>
  <c r="AGD8" i="20" s="1"/>
  <c r="BHF8" i="20" s="1"/>
  <c r="CIH8" i="20" s="1"/>
  <c r="FA7" i="5"/>
  <c r="FA8" i="20" s="1"/>
  <c r="AGC8" i="20" s="1"/>
  <c r="BHE8" i="20" s="1"/>
  <c r="CIG8" i="20" s="1"/>
  <c r="EZ7" i="5"/>
  <c r="EZ8" i="20" s="1"/>
  <c r="AGB8" i="20" s="1"/>
  <c r="BHD8" i="20" s="1"/>
  <c r="CIF8" i="20" s="1"/>
  <c r="FJ6" i="5"/>
  <c r="FJ7" i="20" s="1"/>
  <c r="AGL7" i="20" s="1"/>
  <c r="BHN7" i="20" s="1"/>
  <c r="CIP7" i="20" s="1"/>
  <c r="FI6" i="5"/>
  <c r="FI7" i="20" s="1"/>
  <c r="AGK7" i="20" s="1"/>
  <c r="BHM7" i="20" s="1"/>
  <c r="CIO7" i="20" s="1"/>
  <c r="FH6" i="5"/>
  <c r="FH7" i="20" s="1"/>
  <c r="AGJ7" i="20" s="1"/>
  <c r="BHL7" i="20" s="1"/>
  <c r="CIN7" i="20" s="1"/>
  <c r="FG6" i="5"/>
  <c r="FG7" i="20" s="1"/>
  <c r="AGI7" i="20" s="1"/>
  <c r="BHK7" i="20" s="1"/>
  <c r="CIM7" i="20" s="1"/>
  <c r="FF6" i="5"/>
  <c r="FF7" i="20" s="1"/>
  <c r="AGH7" i="20" s="1"/>
  <c r="BHJ7" i="20" s="1"/>
  <c r="CIL7" i="20" s="1"/>
  <c r="FE6" i="5"/>
  <c r="FE7" i="20" s="1"/>
  <c r="AGG7" i="20" s="1"/>
  <c r="BHI7" i="20" s="1"/>
  <c r="CIK7" i="20" s="1"/>
  <c r="FD6" i="5"/>
  <c r="FD7" i="20" s="1"/>
  <c r="AGF7" i="20" s="1"/>
  <c r="BHH7" i="20" s="1"/>
  <c r="CIJ7" i="20" s="1"/>
  <c r="FC6" i="5"/>
  <c r="FC7" i="20" s="1"/>
  <c r="AGE7" i="20" s="1"/>
  <c r="BHG7" i="20" s="1"/>
  <c r="CII7" i="20" s="1"/>
  <c r="FB6" i="5"/>
  <c r="FB7" i="20" s="1"/>
  <c r="AGD7" i="20" s="1"/>
  <c r="BHF7" i="20" s="1"/>
  <c r="CIH7" i="20" s="1"/>
  <c r="FA6" i="5"/>
  <c r="FA7" i="20" s="1"/>
  <c r="AGC7" i="20" s="1"/>
  <c r="BHE7" i="20" s="1"/>
  <c r="CIG7" i="20" s="1"/>
  <c r="EZ6" i="5"/>
  <c r="EZ7" i="20" s="1"/>
  <c r="AGB7" i="20" s="1"/>
  <c r="BHD7" i="20" s="1"/>
  <c r="CIF7" i="20" s="1"/>
  <c r="FJ5" i="5"/>
  <c r="FJ6" i="20" s="1"/>
  <c r="AGL6" i="20" s="1"/>
  <c r="BHN6" i="20" s="1"/>
  <c r="CIP6" i="20" s="1"/>
  <c r="FI5" i="5"/>
  <c r="FI6" i="20" s="1"/>
  <c r="AGK6" i="20" s="1"/>
  <c r="BHM6" i="20" s="1"/>
  <c r="CIO6" i="20" s="1"/>
  <c r="FH5" i="5"/>
  <c r="FH6" i="20" s="1"/>
  <c r="AGJ6" i="20" s="1"/>
  <c r="BHL6" i="20" s="1"/>
  <c r="CIN6" i="20" s="1"/>
  <c r="FG5" i="5"/>
  <c r="FG6" i="20" s="1"/>
  <c r="AGI6" i="20" s="1"/>
  <c r="BHK6" i="20" s="1"/>
  <c r="CIM6" i="20" s="1"/>
  <c r="FF5" i="5"/>
  <c r="FF6" i="20" s="1"/>
  <c r="AGH6" i="20" s="1"/>
  <c r="BHJ6" i="20" s="1"/>
  <c r="CIL6" i="20" s="1"/>
  <c r="FE5" i="5"/>
  <c r="FE6" i="20" s="1"/>
  <c r="AGG6" i="20" s="1"/>
  <c r="BHI6" i="20" s="1"/>
  <c r="CIK6" i="20" s="1"/>
  <c r="FD5" i="5"/>
  <c r="FD6" i="20" s="1"/>
  <c r="AGF6" i="20" s="1"/>
  <c r="BHH6" i="20" s="1"/>
  <c r="CIJ6" i="20" s="1"/>
  <c r="FC5" i="5"/>
  <c r="FC6" i="20" s="1"/>
  <c r="AGE6" i="20" s="1"/>
  <c r="BHG6" i="20" s="1"/>
  <c r="CII6" i="20" s="1"/>
  <c r="FB5" i="5"/>
  <c r="FB6" i="20" s="1"/>
  <c r="AGD6" i="20" s="1"/>
  <c r="BHF6" i="20" s="1"/>
  <c r="CIH6" i="20" s="1"/>
  <c r="FA5" i="5"/>
  <c r="FA6" i="20" s="1"/>
  <c r="AGC6" i="20" s="1"/>
  <c r="BHE6" i="20" s="1"/>
  <c r="CIG6" i="20" s="1"/>
  <c r="EZ5" i="5"/>
  <c r="EZ6" i="20" s="1"/>
  <c r="AGB6" i="20" s="1"/>
  <c r="BHD6" i="20" s="1"/>
  <c r="CIF6" i="20" s="1"/>
  <c r="EN12" i="5"/>
  <c r="EN13" i="20" s="1"/>
  <c r="AFP13" i="20" s="1"/>
  <c r="BGR13" i="20" s="1"/>
  <c r="CHT13" i="20" s="1"/>
  <c r="EM12" i="5"/>
  <c r="EM13" i="20" s="1"/>
  <c r="AFO13" i="20" s="1"/>
  <c r="BGQ13" i="20" s="1"/>
  <c r="CHS13" i="20" s="1"/>
  <c r="EF12" i="5"/>
  <c r="EF13" i="20" s="1"/>
  <c r="AFH13" i="20" s="1"/>
  <c r="BGJ13" i="20" s="1"/>
  <c r="CHL13" i="20" s="1"/>
  <c r="EE12" i="5"/>
  <c r="EE13" i="20" s="1"/>
  <c r="AFG13" i="20" s="1"/>
  <c r="BGI13" i="20" s="1"/>
  <c r="CHK13" i="20" s="1"/>
  <c r="ED12" i="5"/>
  <c r="ED13" i="20" s="1"/>
  <c r="AFF13" i="20" s="1"/>
  <c r="BGH13" i="20" s="1"/>
  <c r="CHJ13" i="20" s="1"/>
  <c r="EN11" i="5"/>
  <c r="EN12" i="20" s="1"/>
  <c r="AFP12" i="20" s="1"/>
  <c r="BGR12" i="20" s="1"/>
  <c r="CHT12" i="20" s="1"/>
  <c r="EM11" i="5"/>
  <c r="EM12" i="20" s="1"/>
  <c r="AFO12" i="20" s="1"/>
  <c r="BGQ12" i="20" s="1"/>
  <c r="CHS12" i="20" s="1"/>
  <c r="EL11" i="5"/>
  <c r="EL12" i="20" s="1"/>
  <c r="AFN12" i="20" s="1"/>
  <c r="BGP12" i="20" s="1"/>
  <c r="CHR12" i="20" s="1"/>
  <c r="EK11" i="5"/>
  <c r="EK12" i="20" s="1"/>
  <c r="AFM12" i="20" s="1"/>
  <c r="BGO12" i="20" s="1"/>
  <c r="CHQ12" i="20" s="1"/>
  <c r="EJ11" i="5"/>
  <c r="EJ12" i="20" s="1"/>
  <c r="AFL12" i="20" s="1"/>
  <c r="BGN12" i="20" s="1"/>
  <c r="CHP12" i="20" s="1"/>
  <c r="EI11" i="5"/>
  <c r="EI12" i="20" s="1"/>
  <c r="AFK12" i="20" s="1"/>
  <c r="BGM12" i="20" s="1"/>
  <c r="CHO12" i="20" s="1"/>
  <c r="EH11" i="5"/>
  <c r="EH12" i="20" s="1"/>
  <c r="AFJ12" i="20" s="1"/>
  <c r="BGL12" i="20" s="1"/>
  <c r="CHN12" i="20" s="1"/>
  <c r="EG11" i="5"/>
  <c r="EG12" i="20" s="1"/>
  <c r="AFI12" i="20" s="1"/>
  <c r="BGK12" i="20" s="1"/>
  <c r="CHM12" i="20" s="1"/>
  <c r="EF11" i="5"/>
  <c r="EF12" i="20" s="1"/>
  <c r="AFH12" i="20" s="1"/>
  <c r="BGJ12" i="20" s="1"/>
  <c r="CHL12" i="20" s="1"/>
  <c r="EE11" i="5"/>
  <c r="EE12" i="20" s="1"/>
  <c r="AFG12" i="20" s="1"/>
  <c r="BGI12" i="20" s="1"/>
  <c r="CHK12" i="20" s="1"/>
  <c r="ED11" i="5"/>
  <c r="ED12" i="20" s="1"/>
  <c r="AFF12" i="20" s="1"/>
  <c r="BGH12" i="20" s="1"/>
  <c r="CHJ12" i="20" s="1"/>
  <c r="EN10" i="5"/>
  <c r="EN11" i="20" s="1"/>
  <c r="AFP11" i="20" s="1"/>
  <c r="BGR11" i="20" s="1"/>
  <c r="CHT11" i="20" s="1"/>
  <c r="EM10" i="5"/>
  <c r="EM11" i="20" s="1"/>
  <c r="AFO11" i="20" s="1"/>
  <c r="BGQ11" i="20" s="1"/>
  <c r="CHS11" i="20" s="1"/>
  <c r="EL10" i="5"/>
  <c r="EL11" i="20" s="1"/>
  <c r="AFN11" i="20" s="1"/>
  <c r="BGP11" i="20" s="1"/>
  <c r="CHR11" i="20" s="1"/>
  <c r="EK10" i="5"/>
  <c r="EK11" i="20" s="1"/>
  <c r="AFM11" i="20" s="1"/>
  <c r="BGO11" i="20" s="1"/>
  <c r="CHQ11" i="20" s="1"/>
  <c r="EJ10" i="5"/>
  <c r="EJ11" i="20" s="1"/>
  <c r="AFL11" i="20" s="1"/>
  <c r="BGN11" i="20" s="1"/>
  <c r="CHP11" i="20" s="1"/>
  <c r="EI10" i="5"/>
  <c r="EI11" i="20" s="1"/>
  <c r="AFK11" i="20" s="1"/>
  <c r="BGM11" i="20" s="1"/>
  <c r="CHO11" i="20" s="1"/>
  <c r="EH10" i="5"/>
  <c r="EH11" i="20" s="1"/>
  <c r="AFJ11" i="20" s="1"/>
  <c r="BGL11" i="20" s="1"/>
  <c r="CHN11" i="20" s="1"/>
  <c r="EG10" i="5"/>
  <c r="EG11" i="20" s="1"/>
  <c r="AFI11" i="20" s="1"/>
  <c r="BGK11" i="20" s="1"/>
  <c r="CHM11" i="20" s="1"/>
  <c r="EF10" i="5"/>
  <c r="EF11" i="20" s="1"/>
  <c r="AFH11" i="20" s="1"/>
  <c r="BGJ11" i="20" s="1"/>
  <c r="CHL11" i="20" s="1"/>
  <c r="EE10" i="5"/>
  <c r="EE11" i="20" s="1"/>
  <c r="AFG11" i="20" s="1"/>
  <c r="BGI11" i="20" s="1"/>
  <c r="CHK11" i="20" s="1"/>
  <c r="ED10" i="5"/>
  <c r="ED11" i="20" s="1"/>
  <c r="AFF11" i="20" s="1"/>
  <c r="BGH11" i="20" s="1"/>
  <c r="CHJ11" i="20" s="1"/>
  <c r="EN9" i="5"/>
  <c r="EN10" i="20" s="1"/>
  <c r="AFP10" i="20" s="1"/>
  <c r="BGR10" i="20" s="1"/>
  <c r="CHT10" i="20" s="1"/>
  <c r="EM9" i="5"/>
  <c r="EM10" i="20" s="1"/>
  <c r="AFO10" i="20" s="1"/>
  <c r="BGQ10" i="20" s="1"/>
  <c r="CHS10" i="20" s="1"/>
  <c r="EF9" i="5"/>
  <c r="EF10" i="20" s="1"/>
  <c r="AFH10" i="20" s="1"/>
  <c r="BGJ10" i="20" s="1"/>
  <c r="CHL10" i="20" s="1"/>
  <c r="EE9" i="5"/>
  <c r="EE10" i="20" s="1"/>
  <c r="AFG10" i="20" s="1"/>
  <c r="BGI10" i="20" s="1"/>
  <c r="CHK10" i="20" s="1"/>
  <c r="ED9" i="5"/>
  <c r="ED10" i="20" s="1"/>
  <c r="AFF10" i="20" s="1"/>
  <c r="BGH10" i="20" s="1"/>
  <c r="CHJ10" i="20" s="1"/>
  <c r="EN8" i="5"/>
  <c r="EN9" i="20" s="1"/>
  <c r="AFP9" i="20" s="1"/>
  <c r="BGR9" i="20" s="1"/>
  <c r="CHT9" i="20" s="1"/>
  <c r="EM8" i="5"/>
  <c r="EM9" i="20" s="1"/>
  <c r="AFO9" i="20" s="1"/>
  <c r="BGQ9" i="20" s="1"/>
  <c r="CHS9" i="20" s="1"/>
  <c r="EL8" i="5"/>
  <c r="EL9" i="20" s="1"/>
  <c r="AFN9" i="20" s="1"/>
  <c r="BGP9" i="20" s="1"/>
  <c r="CHR9" i="20" s="1"/>
  <c r="EK8" i="5"/>
  <c r="EK9" i="20" s="1"/>
  <c r="AFM9" i="20" s="1"/>
  <c r="BGO9" i="20" s="1"/>
  <c r="CHQ9" i="20" s="1"/>
  <c r="EJ8" i="5"/>
  <c r="EJ9" i="20" s="1"/>
  <c r="AFL9" i="20" s="1"/>
  <c r="BGN9" i="20" s="1"/>
  <c r="CHP9" i="20" s="1"/>
  <c r="EI8" i="5"/>
  <c r="EI9" i="20" s="1"/>
  <c r="AFK9" i="20" s="1"/>
  <c r="BGM9" i="20" s="1"/>
  <c r="CHO9" i="20" s="1"/>
  <c r="EH8" i="5"/>
  <c r="EH9" i="20" s="1"/>
  <c r="AFJ9" i="20" s="1"/>
  <c r="BGL9" i="20" s="1"/>
  <c r="CHN9" i="20" s="1"/>
  <c r="EG8" i="5"/>
  <c r="EG9" i="20" s="1"/>
  <c r="AFI9" i="20" s="1"/>
  <c r="BGK9" i="20" s="1"/>
  <c r="CHM9" i="20" s="1"/>
  <c r="EF8" i="5"/>
  <c r="EF9" i="20" s="1"/>
  <c r="AFH9" i="20" s="1"/>
  <c r="BGJ9" i="20" s="1"/>
  <c r="CHL9" i="20" s="1"/>
  <c r="EE8" i="5"/>
  <c r="EE9" i="20" s="1"/>
  <c r="AFG9" i="20" s="1"/>
  <c r="BGI9" i="20" s="1"/>
  <c r="CHK9" i="20" s="1"/>
  <c r="ED8" i="5"/>
  <c r="ED9" i="20" s="1"/>
  <c r="AFF9" i="20" s="1"/>
  <c r="BGH9" i="20" s="1"/>
  <c r="CHJ9" i="20" s="1"/>
  <c r="EN7" i="5"/>
  <c r="EN8" i="20" s="1"/>
  <c r="AFP8" i="20" s="1"/>
  <c r="BGR8" i="20" s="1"/>
  <c r="CHT8" i="20" s="1"/>
  <c r="EM7" i="5"/>
  <c r="EM8" i="20" s="1"/>
  <c r="AFO8" i="20" s="1"/>
  <c r="BGQ8" i="20" s="1"/>
  <c r="CHS8" i="20" s="1"/>
  <c r="EL7" i="5"/>
  <c r="EL8" i="20" s="1"/>
  <c r="AFN8" i="20" s="1"/>
  <c r="BGP8" i="20" s="1"/>
  <c r="CHR8" i="20" s="1"/>
  <c r="EK7" i="5"/>
  <c r="EK8" i="20" s="1"/>
  <c r="AFM8" i="20" s="1"/>
  <c r="BGO8" i="20" s="1"/>
  <c r="CHQ8" i="20" s="1"/>
  <c r="EJ7" i="5"/>
  <c r="EJ8" i="20" s="1"/>
  <c r="AFL8" i="20" s="1"/>
  <c r="BGN8" i="20" s="1"/>
  <c r="CHP8" i="20" s="1"/>
  <c r="EI7" i="5"/>
  <c r="EI8" i="20" s="1"/>
  <c r="AFK8" i="20" s="1"/>
  <c r="BGM8" i="20" s="1"/>
  <c r="CHO8" i="20" s="1"/>
  <c r="EH7" i="5"/>
  <c r="EH8" i="20" s="1"/>
  <c r="AFJ8" i="20" s="1"/>
  <c r="BGL8" i="20" s="1"/>
  <c r="CHN8" i="20" s="1"/>
  <c r="EG7" i="5"/>
  <c r="EG8" i="20" s="1"/>
  <c r="AFI8" i="20" s="1"/>
  <c r="BGK8" i="20" s="1"/>
  <c r="CHM8" i="20" s="1"/>
  <c r="EF7" i="5"/>
  <c r="EF8" i="20" s="1"/>
  <c r="AFH8" i="20" s="1"/>
  <c r="BGJ8" i="20" s="1"/>
  <c r="CHL8" i="20" s="1"/>
  <c r="EE7" i="5"/>
  <c r="EE8" i="20" s="1"/>
  <c r="AFG8" i="20" s="1"/>
  <c r="BGI8" i="20" s="1"/>
  <c r="CHK8" i="20" s="1"/>
  <c r="ED7" i="5"/>
  <c r="ED8" i="20" s="1"/>
  <c r="AFF8" i="20" s="1"/>
  <c r="BGH8" i="20" s="1"/>
  <c r="CHJ8" i="20" s="1"/>
  <c r="EN6" i="5"/>
  <c r="EN7" i="20" s="1"/>
  <c r="AFP7" i="20" s="1"/>
  <c r="BGR7" i="20" s="1"/>
  <c r="CHT7" i="20" s="1"/>
  <c r="EM6" i="5"/>
  <c r="EM7" i="20" s="1"/>
  <c r="AFO7" i="20" s="1"/>
  <c r="BGQ7" i="20" s="1"/>
  <c r="CHS7" i="20" s="1"/>
  <c r="EL6" i="5"/>
  <c r="EL7" i="20" s="1"/>
  <c r="AFN7" i="20" s="1"/>
  <c r="BGP7" i="20" s="1"/>
  <c r="CHR7" i="20" s="1"/>
  <c r="EK6" i="5"/>
  <c r="EK7" i="20" s="1"/>
  <c r="AFM7" i="20" s="1"/>
  <c r="BGO7" i="20" s="1"/>
  <c r="CHQ7" i="20" s="1"/>
  <c r="EJ6" i="5"/>
  <c r="EJ7" i="20" s="1"/>
  <c r="AFL7" i="20" s="1"/>
  <c r="BGN7" i="20" s="1"/>
  <c r="CHP7" i="20" s="1"/>
  <c r="EI6" i="5"/>
  <c r="EI7" i="20" s="1"/>
  <c r="AFK7" i="20" s="1"/>
  <c r="BGM7" i="20" s="1"/>
  <c r="CHO7" i="20" s="1"/>
  <c r="EH6" i="5"/>
  <c r="EH7" i="20" s="1"/>
  <c r="AFJ7" i="20" s="1"/>
  <c r="BGL7" i="20" s="1"/>
  <c r="CHN7" i="20" s="1"/>
  <c r="EG6" i="5"/>
  <c r="EG7" i="20" s="1"/>
  <c r="AFI7" i="20" s="1"/>
  <c r="BGK7" i="20" s="1"/>
  <c r="CHM7" i="20" s="1"/>
  <c r="EF6" i="5"/>
  <c r="EF7" i="20" s="1"/>
  <c r="AFH7" i="20" s="1"/>
  <c r="BGJ7" i="20" s="1"/>
  <c r="CHL7" i="20" s="1"/>
  <c r="EE6" i="5"/>
  <c r="EE7" i="20" s="1"/>
  <c r="AFG7" i="20" s="1"/>
  <c r="BGI7" i="20" s="1"/>
  <c r="CHK7" i="20" s="1"/>
  <c r="ED6" i="5"/>
  <c r="ED7" i="20" s="1"/>
  <c r="AFF7" i="20" s="1"/>
  <c r="BGH7" i="20" s="1"/>
  <c r="CHJ7" i="20" s="1"/>
  <c r="EN5" i="5"/>
  <c r="EN6" i="20" s="1"/>
  <c r="AFP6" i="20" s="1"/>
  <c r="BGR6" i="20" s="1"/>
  <c r="CHT6" i="20" s="1"/>
  <c r="EM5" i="5"/>
  <c r="EM6" i="20" s="1"/>
  <c r="AFO6" i="20" s="1"/>
  <c r="BGQ6" i="20" s="1"/>
  <c r="CHS6" i="20" s="1"/>
  <c r="EL5" i="5"/>
  <c r="EL6" i="20" s="1"/>
  <c r="AFN6" i="20" s="1"/>
  <c r="BGP6" i="20" s="1"/>
  <c r="CHR6" i="20" s="1"/>
  <c r="EK5" i="5"/>
  <c r="EK6" i="20" s="1"/>
  <c r="AFM6" i="20" s="1"/>
  <c r="BGO6" i="20" s="1"/>
  <c r="CHQ6" i="20" s="1"/>
  <c r="EJ5" i="5"/>
  <c r="EJ6" i="20" s="1"/>
  <c r="AFL6" i="20" s="1"/>
  <c r="BGN6" i="20" s="1"/>
  <c r="CHP6" i="20" s="1"/>
  <c r="EI5" i="5"/>
  <c r="EI6" i="20" s="1"/>
  <c r="AFK6" i="20" s="1"/>
  <c r="BGM6" i="20" s="1"/>
  <c r="CHO6" i="20" s="1"/>
  <c r="EH5" i="5"/>
  <c r="EH6" i="20" s="1"/>
  <c r="AFJ6" i="20" s="1"/>
  <c r="BGL6" i="20" s="1"/>
  <c r="CHN6" i="20" s="1"/>
  <c r="EG5" i="5"/>
  <c r="EG6" i="20" s="1"/>
  <c r="AFI6" i="20" s="1"/>
  <c r="BGK6" i="20" s="1"/>
  <c r="CHM6" i="20" s="1"/>
  <c r="EF5" i="5"/>
  <c r="EF6" i="20" s="1"/>
  <c r="AFH6" i="20" s="1"/>
  <c r="BGJ6" i="20" s="1"/>
  <c r="CHL6" i="20" s="1"/>
  <c r="EE5" i="5"/>
  <c r="EE6" i="20" s="1"/>
  <c r="AFG6" i="20" s="1"/>
  <c r="BGI6" i="20" s="1"/>
  <c r="CHK6" i="20" s="1"/>
  <c r="ED5" i="5"/>
  <c r="ED6" i="20" s="1"/>
  <c r="AFF6" i="20" s="1"/>
  <c r="BGH6" i="20" s="1"/>
  <c r="CHJ6" i="20" s="1"/>
  <c r="DR12" i="5"/>
  <c r="DR13" i="20" s="1"/>
  <c r="AET13" i="20" s="1"/>
  <c r="BFV13" i="20" s="1"/>
  <c r="CGX13" i="20" s="1"/>
  <c r="DQ12" i="5"/>
  <c r="DQ13" i="20" s="1"/>
  <c r="AES13" i="20" s="1"/>
  <c r="BFU13" i="20" s="1"/>
  <c r="CGW13" i="20" s="1"/>
  <c r="DJ12" i="5"/>
  <c r="DJ13" i="20" s="1"/>
  <c r="AEL13" i="20" s="1"/>
  <c r="BFN13" i="20" s="1"/>
  <c r="CGP13" i="20" s="1"/>
  <c r="DI12" i="5"/>
  <c r="DI13" i="20" s="1"/>
  <c r="AEK13" i="20" s="1"/>
  <c r="BFM13" i="20" s="1"/>
  <c r="CGO13" i="20" s="1"/>
  <c r="DH12" i="5"/>
  <c r="DH13" i="20" s="1"/>
  <c r="AEJ13" i="20" s="1"/>
  <c r="BFL13" i="20" s="1"/>
  <c r="CGN13" i="20" s="1"/>
  <c r="DR11" i="5"/>
  <c r="DR12" i="20" s="1"/>
  <c r="AET12" i="20" s="1"/>
  <c r="BFV12" i="20" s="1"/>
  <c r="CGX12" i="20" s="1"/>
  <c r="DQ11" i="5"/>
  <c r="DQ12" i="20" s="1"/>
  <c r="AES12" i="20" s="1"/>
  <c r="BFU12" i="20" s="1"/>
  <c r="CGW12" i="20" s="1"/>
  <c r="DP11" i="5"/>
  <c r="DP12" i="20" s="1"/>
  <c r="AER12" i="20" s="1"/>
  <c r="BFT12" i="20" s="1"/>
  <c r="CGV12" i="20" s="1"/>
  <c r="DO11" i="5"/>
  <c r="DO12" i="20" s="1"/>
  <c r="AEQ12" i="20" s="1"/>
  <c r="BFS12" i="20" s="1"/>
  <c r="CGU12" i="20" s="1"/>
  <c r="DN11" i="5"/>
  <c r="DN12" i="20" s="1"/>
  <c r="AEP12" i="20" s="1"/>
  <c r="BFR12" i="20" s="1"/>
  <c r="CGT12" i="20" s="1"/>
  <c r="DM11" i="5"/>
  <c r="DM12" i="20" s="1"/>
  <c r="AEO12" i="20" s="1"/>
  <c r="BFQ12" i="20" s="1"/>
  <c r="CGS12" i="20" s="1"/>
  <c r="DL11" i="5"/>
  <c r="DL12" i="20" s="1"/>
  <c r="AEN12" i="20" s="1"/>
  <c r="BFP12" i="20" s="1"/>
  <c r="CGR12" i="20" s="1"/>
  <c r="DK11" i="5"/>
  <c r="DK12" i="20" s="1"/>
  <c r="AEM12" i="20" s="1"/>
  <c r="BFO12" i="20" s="1"/>
  <c r="CGQ12" i="20" s="1"/>
  <c r="DJ11" i="5"/>
  <c r="DJ12" i="20" s="1"/>
  <c r="AEL12" i="20" s="1"/>
  <c r="BFN12" i="20" s="1"/>
  <c r="CGP12" i="20" s="1"/>
  <c r="DI11" i="5"/>
  <c r="DI12" i="20" s="1"/>
  <c r="AEK12" i="20" s="1"/>
  <c r="BFM12" i="20" s="1"/>
  <c r="CGO12" i="20" s="1"/>
  <c r="DH11" i="5"/>
  <c r="DH12" i="20" s="1"/>
  <c r="AEJ12" i="20" s="1"/>
  <c r="BFL12" i="20" s="1"/>
  <c r="CGN12" i="20" s="1"/>
  <c r="DR10" i="5"/>
  <c r="DR11" i="20" s="1"/>
  <c r="AET11" i="20" s="1"/>
  <c r="BFV11" i="20" s="1"/>
  <c r="CGX11" i="20" s="1"/>
  <c r="DQ10" i="5"/>
  <c r="DQ11" i="20" s="1"/>
  <c r="AES11" i="20" s="1"/>
  <c r="BFU11" i="20" s="1"/>
  <c r="CGW11" i="20" s="1"/>
  <c r="DP10" i="5"/>
  <c r="DP11" i="20" s="1"/>
  <c r="AER11" i="20" s="1"/>
  <c r="BFT11" i="20" s="1"/>
  <c r="CGV11" i="20" s="1"/>
  <c r="DO10" i="5"/>
  <c r="DO11" i="20" s="1"/>
  <c r="AEQ11" i="20" s="1"/>
  <c r="BFS11" i="20" s="1"/>
  <c r="CGU11" i="20" s="1"/>
  <c r="DN10" i="5"/>
  <c r="DN11" i="20" s="1"/>
  <c r="AEP11" i="20" s="1"/>
  <c r="BFR11" i="20" s="1"/>
  <c r="CGT11" i="20" s="1"/>
  <c r="DM10" i="5"/>
  <c r="DM11" i="20" s="1"/>
  <c r="AEO11" i="20" s="1"/>
  <c r="BFQ11" i="20" s="1"/>
  <c r="CGS11" i="20" s="1"/>
  <c r="DL10" i="5"/>
  <c r="DL11" i="20" s="1"/>
  <c r="AEN11" i="20" s="1"/>
  <c r="BFP11" i="20" s="1"/>
  <c r="CGR11" i="20" s="1"/>
  <c r="DK10" i="5"/>
  <c r="DK11" i="20" s="1"/>
  <c r="AEM11" i="20" s="1"/>
  <c r="BFO11" i="20" s="1"/>
  <c r="CGQ11" i="20" s="1"/>
  <c r="DJ10" i="5"/>
  <c r="DJ11" i="20" s="1"/>
  <c r="AEL11" i="20" s="1"/>
  <c r="BFN11" i="20" s="1"/>
  <c r="CGP11" i="20" s="1"/>
  <c r="DI10" i="5"/>
  <c r="DI11" i="20" s="1"/>
  <c r="AEK11" i="20" s="1"/>
  <c r="BFM11" i="20" s="1"/>
  <c r="CGO11" i="20" s="1"/>
  <c r="DH10" i="5"/>
  <c r="DH11" i="20" s="1"/>
  <c r="AEJ11" i="20" s="1"/>
  <c r="BFL11" i="20" s="1"/>
  <c r="CGN11" i="20" s="1"/>
  <c r="DR9" i="5"/>
  <c r="DR10" i="20" s="1"/>
  <c r="AET10" i="20" s="1"/>
  <c r="BFV10" i="20" s="1"/>
  <c r="CGX10" i="20" s="1"/>
  <c r="DQ9" i="5"/>
  <c r="DQ10" i="20" s="1"/>
  <c r="AES10" i="20" s="1"/>
  <c r="BFU10" i="20" s="1"/>
  <c r="CGW10" i="20" s="1"/>
  <c r="DJ9" i="5"/>
  <c r="DJ10" i="20" s="1"/>
  <c r="AEL10" i="20" s="1"/>
  <c r="BFN10" i="20" s="1"/>
  <c r="CGP10" i="20" s="1"/>
  <c r="DI9" i="5"/>
  <c r="DI10" i="20" s="1"/>
  <c r="AEK10" i="20" s="1"/>
  <c r="BFM10" i="20" s="1"/>
  <c r="CGO10" i="20" s="1"/>
  <c r="DH9" i="5"/>
  <c r="DH10" i="20" s="1"/>
  <c r="AEJ10" i="20" s="1"/>
  <c r="BFL10" i="20" s="1"/>
  <c r="CGN10" i="20" s="1"/>
  <c r="DR8" i="5"/>
  <c r="DR9" i="20" s="1"/>
  <c r="AET9" i="20" s="1"/>
  <c r="BFV9" i="20" s="1"/>
  <c r="CGX9" i="20" s="1"/>
  <c r="DQ8" i="5"/>
  <c r="DQ9" i="20" s="1"/>
  <c r="AES9" i="20" s="1"/>
  <c r="BFU9" i="20" s="1"/>
  <c r="CGW9" i="20" s="1"/>
  <c r="DP8" i="5"/>
  <c r="DP9" i="20" s="1"/>
  <c r="AER9" i="20" s="1"/>
  <c r="BFT9" i="20" s="1"/>
  <c r="CGV9" i="20" s="1"/>
  <c r="DO8" i="5"/>
  <c r="DO9" i="20" s="1"/>
  <c r="AEQ9" i="20" s="1"/>
  <c r="BFS9" i="20" s="1"/>
  <c r="CGU9" i="20" s="1"/>
  <c r="DN8" i="5"/>
  <c r="DN9" i="20" s="1"/>
  <c r="AEP9" i="20" s="1"/>
  <c r="BFR9" i="20" s="1"/>
  <c r="CGT9" i="20" s="1"/>
  <c r="DM8" i="5"/>
  <c r="DM9" i="20" s="1"/>
  <c r="AEO9" i="20" s="1"/>
  <c r="BFQ9" i="20" s="1"/>
  <c r="CGS9" i="20" s="1"/>
  <c r="DL8" i="5"/>
  <c r="DL9" i="20" s="1"/>
  <c r="AEN9" i="20" s="1"/>
  <c r="BFP9" i="20" s="1"/>
  <c r="CGR9" i="20" s="1"/>
  <c r="DK8" i="5"/>
  <c r="DK9" i="20" s="1"/>
  <c r="AEM9" i="20" s="1"/>
  <c r="BFO9" i="20" s="1"/>
  <c r="CGQ9" i="20" s="1"/>
  <c r="DJ8" i="5"/>
  <c r="DJ9" i="20" s="1"/>
  <c r="AEL9" i="20" s="1"/>
  <c r="BFN9" i="20" s="1"/>
  <c r="CGP9" i="20" s="1"/>
  <c r="DI8" i="5"/>
  <c r="DI9" i="20" s="1"/>
  <c r="AEK9" i="20" s="1"/>
  <c r="BFM9" i="20" s="1"/>
  <c r="CGO9" i="20" s="1"/>
  <c r="DH8" i="5"/>
  <c r="DH9" i="20" s="1"/>
  <c r="AEJ9" i="20" s="1"/>
  <c r="BFL9" i="20" s="1"/>
  <c r="CGN9" i="20" s="1"/>
  <c r="DR7" i="5"/>
  <c r="DR8" i="20" s="1"/>
  <c r="AET8" i="20" s="1"/>
  <c r="BFV8" i="20" s="1"/>
  <c r="CGX8" i="20" s="1"/>
  <c r="DQ7" i="5"/>
  <c r="DQ8" i="20" s="1"/>
  <c r="AES8" i="20" s="1"/>
  <c r="BFU8" i="20" s="1"/>
  <c r="CGW8" i="20" s="1"/>
  <c r="DP7" i="5"/>
  <c r="DP8" i="20" s="1"/>
  <c r="AER8" i="20" s="1"/>
  <c r="BFT8" i="20" s="1"/>
  <c r="CGV8" i="20" s="1"/>
  <c r="DO7" i="5"/>
  <c r="DO8" i="20" s="1"/>
  <c r="AEQ8" i="20" s="1"/>
  <c r="BFS8" i="20" s="1"/>
  <c r="CGU8" i="20" s="1"/>
  <c r="DN7" i="5"/>
  <c r="DN8" i="20" s="1"/>
  <c r="AEP8" i="20" s="1"/>
  <c r="BFR8" i="20" s="1"/>
  <c r="CGT8" i="20" s="1"/>
  <c r="DM7" i="5"/>
  <c r="DM8" i="20" s="1"/>
  <c r="AEO8" i="20" s="1"/>
  <c r="BFQ8" i="20" s="1"/>
  <c r="CGS8" i="20" s="1"/>
  <c r="DL7" i="5"/>
  <c r="DL8" i="20" s="1"/>
  <c r="AEN8" i="20" s="1"/>
  <c r="BFP8" i="20" s="1"/>
  <c r="CGR8" i="20" s="1"/>
  <c r="DK7" i="5"/>
  <c r="DK8" i="20" s="1"/>
  <c r="AEM8" i="20" s="1"/>
  <c r="BFO8" i="20" s="1"/>
  <c r="CGQ8" i="20" s="1"/>
  <c r="DJ7" i="5"/>
  <c r="DJ8" i="20" s="1"/>
  <c r="AEL8" i="20" s="1"/>
  <c r="BFN8" i="20" s="1"/>
  <c r="CGP8" i="20" s="1"/>
  <c r="DI7" i="5"/>
  <c r="DI8" i="20" s="1"/>
  <c r="AEK8" i="20" s="1"/>
  <c r="BFM8" i="20" s="1"/>
  <c r="CGO8" i="20" s="1"/>
  <c r="DH7" i="5"/>
  <c r="DH8" i="20" s="1"/>
  <c r="AEJ8" i="20" s="1"/>
  <c r="BFL8" i="20" s="1"/>
  <c r="CGN8" i="20" s="1"/>
  <c r="DR6" i="5"/>
  <c r="DR7" i="20" s="1"/>
  <c r="AET7" i="20" s="1"/>
  <c r="BFV7" i="20" s="1"/>
  <c r="CGX7" i="20" s="1"/>
  <c r="DQ6" i="5"/>
  <c r="DQ7" i="20" s="1"/>
  <c r="AES7" i="20" s="1"/>
  <c r="BFU7" i="20" s="1"/>
  <c r="CGW7" i="20" s="1"/>
  <c r="DP6" i="5"/>
  <c r="DP7" i="20" s="1"/>
  <c r="AER7" i="20" s="1"/>
  <c r="BFT7" i="20" s="1"/>
  <c r="CGV7" i="20" s="1"/>
  <c r="DO6" i="5"/>
  <c r="DO7" i="20" s="1"/>
  <c r="AEQ7" i="20" s="1"/>
  <c r="BFS7" i="20" s="1"/>
  <c r="CGU7" i="20" s="1"/>
  <c r="DN6" i="5"/>
  <c r="DN7" i="20" s="1"/>
  <c r="AEP7" i="20" s="1"/>
  <c r="BFR7" i="20" s="1"/>
  <c r="CGT7" i="20" s="1"/>
  <c r="DM6" i="5"/>
  <c r="DM7" i="20" s="1"/>
  <c r="AEO7" i="20" s="1"/>
  <c r="BFQ7" i="20" s="1"/>
  <c r="CGS7" i="20" s="1"/>
  <c r="DL6" i="5"/>
  <c r="DL7" i="20" s="1"/>
  <c r="AEN7" i="20" s="1"/>
  <c r="BFP7" i="20" s="1"/>
  <c r="CGR7" i="20" s="1"/>
  <c r="DK6" i="5"/>
  <c r="DK7" i="20" s="1"/>
  <c r="AEM7" i="20" s="1"/>
  <c r="BFO7" i="20" s="1"/>
  <c r="CGQ7" i="20" s="1"/>
  <c r="DJ6" i="5"/>
  <c r="DJ7" i="20" s="1"/>
  <c r="AEL7" i="20" s="1"/>
  <c r="BFN7" i="20" s="1"/>
  <c r="CGP7" i="20" s="1"/>
  <c r="DI6" i="5"/>
  <c r="DI7" i="20" s="1"/>
  <c r="AEK7" i="20" s="1"/>
  <c r="BFM7" i="20" s="1"/>
  <c r="CGO7" i="20" s="1"/>
  <c r="DH6" i="5"/>
  <c r="DH7" i="20" s="1"/>
  <c r="AEJ7" i="20" s="1"/>
  <c r="BFL7" i="20" s="1"/>
  <c r="CGN7" i="20" s="1"/>
  <c r="DR5" i="5"/>
  <c r="DR6" i="20" s="1"/>
  <c r="AET6" i="20" s="1"/>
  <c r="BFV6" i="20" s="1"/>
  <c r="CGX6" i="20" s="1"/>
  <c r="DQ5" i="5"/>
  <c r="DQ6" i="20" s="1"/>
  <c r="AES6" i="20" s="1"/>
  <c r="BFU6" i="20" s="1"/>
  <c r="CGW6" i="20" s="1"/>
  <c r="DP5" i="5"/>
  <c r="DP6" i="20" s="1"/>
  <c r="AER6" i="20" s="1"/>
  <c r="BFT6" i="20" s="1"/>
  <c r="CGV6" i="20" s="1"/>
  <c r="DO5" i="5"/>
  <c r="DO6" i="20" s="1"/>
  <c r="AEQ6" i="20" s="1"/>
  <c r="BFS6" i="20" s="1"/>
  <c r="CGU6" i="20" s="1"/>
  <c r="DN5" i="5"/>
  <c r="DN6" i="20" s="1"/>
  <c r="AEP6" i="20" s="1"/>
  <c r="BFR6" i="20" s="1"/>
  <c r="CGT6" i="20" s="1"/>
  <c r="DM5" i="5"/>
  <c r="DM6" i="20" s="1"/>
  <c r="AEO6" i="20" s="1"/>
  <c r="BFQ6" i="20" s="1"/>
  <c r="CGS6" i="20" s="1"/>
  <c r="DL5" i="5"/>
  <c r="DL6" i="20" s="1"/>
  <c r="AEN6" i="20" s="1"/>
  <c r="BFP6" i="20" s="1"/>
  <c r="CGR6" i="20" s="1"/>
  <c r="DK5" i="5"/>
  <c r="DK6" i="20" s="1"/>
  <c r="AEM6" i="20" s="1"/>
  <c r="BFO6" i="20" s="1"/>
  <c r="CGQ6" i="20" s="1"/>
  <c r="DJ5" i="5"/>
  <c r="DJ6" i="20" s="1"/>
  <c r="AEL6" i="20" s="1"/>
  <c r="BFN6" i="20" s="1"/>
  <c r="CGP6" i="20" s="1"/>
  <c r="DI5" i="5"/>
  <c r="DI6" i="20" s="1"/>
  <c r="AEK6" i="20" s="1"/>
  <c r="BFM6" i="20" s="1"/>
  <c r="CGO6" i="20" s="1"/>
  <c r="DH5" i="5"/>
  <c r="DH6" i="20" s="1"/>
  <c r="AEJ6" i="20" s="1"/>
  <c r="BFL6" i="20" s="1"/>
  <c r="CGN6" i="20" s="1"/>
  <c r="CV12" i="5"/>
  <c r="CV13" i="20" s="1"/>
  <c r="ADX13" i="20" s="1"/>
  <c r="BEZ13" i="20" s="1"/>
  <c r="CGB13" i="20" s="1"/>
  <c r="CU12" i="5"/>
  <c r="CU13" i="20" s="1"/>
  <c r="ADW13" i="20" s="1"/>
  <c r="BEY13" i="20" s="1"/>
  <c r="CGA13" i="20" s="1"/>
  <c r="CN12" i="5"/>
  <c r="CN13" i="20" s="1"/>
  <c r="ADP13" i="20" s="1"/>
  <c r="BER13" i="20" s="1"/>
  <c r="CFT13" i="20" s="1"/>
  <c r="CM12" i="5"/>
  <c r="CM13" i="20" s="1"/>
  <c r="ADO13" i="20" s="1"/>
  <c r="BEQ13" i="20" s="1"/>
  <c r="CFS13" i="20" s="1"/>
  <c r="CL12" i="5"/>
  <c r="CL13" i="20" s="1"/>
  <c r="ADN13" i="20" s="1"/>
  <c r="BEP13" i="20" s="1"/>
  <c r="CFR13" i="20" s="1"/>
  <c r="CV11" i="5"/>
  <c r="CV12" i="20" s="1"/>
  <c r="ADX12" i="20" s="1"/>
  <c r="BEZ12" i="20" s="1"/>
  <c r="CGB12" i="20" s="1"/>
  <c r="CU11" i="5"/>
  <c r="CU12" i="20" s="1"/>
  <c r="ADW12" i="20" s="1"/>
  <c r="BEY12" i="20" s="1"/>
  <c r="CGA12" i="20" s="1"/>
  <c r="CT11" i="5"/>
  <c r="CT12" i="20" s="1"/>
  <c r="ADV12" i="20" s="1"/>
  <c r="BEX12" i="20" s="1"/>
  <c r="CFZ12" i="20" s="1"/>
  <c r="CS11" i="5"/>
  <c r="CS12" i="20" s="1"/>
  <c r="ADU12" i="20" s="1"/>
  <c r="BEW12" i="20" s="1"/>
  <c r="CFY12" i="20" s="1"/>
  <c r="CR11" i="5"/>
  <c r="CR12" i="20" s="1"/>
  <c r="ADT12" i="20" s="1"/>
  <c r="BEV12" i="20" s="1"/>
  <c r="CFX12" i="20" s="1"/>
  <c r="CQ11" i="5"/>
  <c r="CQ12" i="20" s="1"/>
  <c r="ADS12" i="20" s="1"/>
  <c r="BEU12" i="20" s="1"/>
  <c r="CFW12" i="20" s="1"/>
  <c r="CP11" i="5"/>
  <c r="CP12" i="20" s="1"/>
  <c r="ADR12" i="20" s="1"/>
  <c r="BET12" i="20" s="1"/>
  <c r="CFV12" i="20" s="1"/>
  <c r="CO11" i="5"/>
  <c r="CO12" i="20" s="1"/>
  <c r="ADQ12" i="20" s="1"/>
  <c r="BES12" i="20" s="1"/>
  <c r="CFU12" i="20" s="1"/>
  <c r="CN11" i="5"/>
  <c r="CN12" i="20" s="1"/>
  <c r="ADP12" i="20" s="1"/>
  <c r="BER12" i="20" s="1"/>
  <c r="CFT12" i="20" s="1"/>
  <c r="CM11" i="5"/>
  <c r="CM12" i="20" s="1"/>
  <c r="ADO12" i="20" s="1"/>
  <c r="BEQ12" i="20" s="1"/>
  <c r="CFS12" i="20" s="1"/>
  <c r="CL11" i="5"/>
  <c r="CL12" i="20" s="1"/>
  <c r="ADN12" i="20" s="1"/>
  <c r="BEP12" i="20" s="1"/>
  <c r="CFR12" i="20" s="1"/>
  <c r="CV10" i="5"/>
  <c r="CV11" i="20" s="1"/>
  <c r="ADX11" i="20" s="1"/>
  <c r="BEZ11" i="20" s="1"/>
  <c r="CGB11" i="20" s="1"/>
  <c r="CU10" i="5"/>
  <c r="CU11" i="20" s="1"/>
  <c r="ADW11" i="20" s="1"/>
  <c r="BEY11" i="20" s="1"/>
  <c r="CGA11" i="20" s="1"/>
  <c r="CT10" i="5"/>
  <c r="CT11" i="20" s="1"/>
  <c r="ADV11" i="20" s="1"/>
  <c r="BEX11" i="20" s="1"/>
  <c r="CFZ11" i="20" s="1"/>
  <c r="CS10" i="5"/>
  <c r="CS11" i="20" s="1"/>
  <c r="ADU11" i="20" s="1"/>
  <c r="BEW11" i="20" s="1"/>
  <c r="CFY11" i="20" s="1"/>
  <c r="CR10" i="5"/>
  <c r="CR11" i="20" s="1"/>
  <c r="ADT11" i="20" s="1"/>
  <c r="BEV11" i="20" s="1"/>
  <c r="CFX11" i="20" s="1"/>
  <c r="CQ10" i="5"/>
  <c r="CQ11" i="20" s="1"/>
  <c r="ADS11" i="20" s="1"/>
  <c r="BEU11" i="20" s="1"/>
  <c r="CFW11" i="20" s="1"/>
  <c r="CP10" i="5"/>
  <c r="CP11" i="20" s="1"/>
  <c r="ADR11" i="20" s="1"/>
  <c r="BET11" i="20" s="1"/>
  <c r="CFV11" i="20" s="1"/>
  <c r="CO10" i="5"/>
  <c r="CO11" i="20" s="1"/>
  <c r="ADQ11" i="20" s="1"/>
  <c r="BES11" i="20" s="1"/>
  <c r="CFU11" i="20" s="1"/>
  <c r="CN10" i="5"/>
  <c r="CN11" i="20" s="1"/>
  <c r="ADP11" i="20" s="1"/>
  <c r="BER11" i="20" s="1"/>
  <c r="CFT11" i="20" s="1"/>
  <c r="CM10" i="5"/>
  <c r="CM11" i="20" s="1"/>
  <c r="ADO11" i="20" s="1"/>
  <c r="BEQ11" i="20" s="1"/>
  <c r="CFS11" i="20" s="1"/>
  <c r="CL10" i="5"/>
  <c r="CL11" i="20" s="1"/>
  <c r="ADN11" i="20" s="1"/>
  <c r="BEP11" i="20" s="1"/>
  <c r="CFR11" i="20" s="1"/>
  <c r="CV9" i="5"/>
  <c r="CV10" i="20" s="1"/>
  <c r="ADX10" i="20" s="1"/>
  <c r="BEZ10" i="20" s="1"/>
  <c r="CGB10" i="20" s="1"/>
  <c r="CU9" i="5"/>
  <c r="CU10" i="20" s="1"/>
  <c r="ADW10" i="20" s="1"/>
  <c r="BEY10" i="20" s="1"/>
  <c r="CGA10" i="20" s="1"/>
  <c r="CN9" i="5"/>
  <c r="CN10" i="20" s="1"/>
  <c r="ADP10" i="20" s="1"/>
  <c r="BER10" i="20" s="1"/>
  <c r="CFT10" i="20" s="1"/>
  <c r="CM9" i="5"/>
  <c r="CM10" i="20" s="1"/>
  <c r="ADO10" i="20" s="1"/>
  <c r="BEQ10" i="20" s="1"/>
  <c r="CFS10" i="20" s="1"/>
  <c r="CL9" i="5"/>
  <c r="CL10" i="20" s="1"/>
  <c r="ADN10" i="20" s="1"/>
  <c r="BEP10" i="20" s="1"/>
  <c r="CFR10" i="20" s="1"/>
  <c r="CV8" i="5"/>
  <c r="CV9" i="20" s="1"/>
  <c r="ADX9" i="20" s="1"/>
  <c r="BEZ9" i="20" s="1"/>
  <c r="CGB9" i="20" s="1"/>
  <c r="CU8" i="5"/>
  <c r="CU9" i="20" s="1"/>
  <c r="ADW9" i="20" s="1"/>
  <c r="BEY9" i="20" s="1"/>
  <c r="CGA9" i="20" s="1"/>
  <c r="CT8" i="5"/>
  <c r="CT9" i="20" s="1"/>
  <c r="ADV9" i="20" s="1"/>
  <c r="BEX9" i="20" s="1"/>
  <c r="CFZ9" i="20" s="1"/>
  <c r="CS8" i="5"/>
  <c r="CS9" i="20" s="1"/>
  <c r="ADU9" i="20" s="1"/>
  <c r="BEW9" i="20" s="1"/>
  <c r="CFY9" i="20" s="1"/>
  <c r="CR8" i="5"/>
  <c r="CR9" i="20" s="1"/>
  <c r="ADT9" i="20" s="1"/>
  <c r="BEV9" i="20" s="1"/>
  <c r="CFX9" i="20" s="1"/>
  <c r="CQ8" i="5"/>
  <c r="CQ9" i="20" s="1"/>
  <c r="ADS9" i="20" s="1"/>
  <c r="BEU9" i="20" s="1"/>
  <c r="CFW9" i="20" s="1"/>
  <c r="CP8" i="5"/>
  <c r="CP9" i="20" s="1"/>
  <c r="ADR9" i="20" s="1"/>
  <c r="BET9" i="20" s="1"/>
  <c r="CFV9" i="20" s="1"/>
  <c r="CO8" i="5"/>
  <c r="CO9" i="20" s="1"/>
  <c r="ADQ9" i="20" s="1"/>
  <c r="BES9" i="20" s="1"/>
  <c r="CFU9" i="20" s="1"/>
  <c r="CN8" i="5"/>
  <c r="CN9" i="20" s="1"/>
  <c r="ADP9" i="20" s="1"/>
  <c r="BER9" i="20" s="1"/>
  <c r="CFT9" i="20" s="1"/>
  <c r="CM8" i="5"/>
  <c r="CM9" i="20" s="1"/>
  <c r="ADO9" i="20" s="1"/>
  <c r="BEQ9" i="20" s="1"/>
  <c r="CFS9" i="20" s="1"/>
  <c r="CL8" i="5"/>
  <c r="CL9" i="20" s="1"/>
  <c r="ADN9" i="20" s="1"/>
  <c r="BEP9" i="20" s="1"/>
  <c r="CFR9" i="20" s="1"/>
  <c r="CV7" i="5"/>
  <c r="CV8" i="20" s="1"/>
  <c r="ADX8" i="20" s="1"/>
  <c r="BEZ8" i="20" s="1"/>
  <c r="CGB8" i="20" s="1"/>
  <c r="CU7" i="5"/>
  <c r="CU8" i="20" s="1"/>
  <c r="ADW8" i="20" s="1"/>
  <c r="BEY8" i="20" s="1"/>
  <c r="CGA8" i="20" s="1"/>
  <c r="CT7" i="5"/>
  <c r="CT8" i="20" s="1"/>
  <c r="ADV8" i="20" s="1"/>
  <c r="BEX8" i="20" s="1"/>
  <c r="CFZ8" i="20" s="1"/>
  <c r="CS7" i="5"/>
  <c r="CS8" i="20" s="1"/>
  <c r="ADU8" i="20" s="1"/>
  <c r="BEW8" i="20" s="1"/>
  <c r="CFY8" i="20" s="1"/>
  <c r="CR7" i="5"/>
  <c r="CR8" i="20" s="1"/>
  <c r="ADT8" i="20" s="1"/>
  <c r="BEV8" i="20" s="1"/>
  <c r="CFX8" i="20" s="1"/>
  <c r="CQ7" i="5"/>
  <c r="CQ8" i="20" s="1"/>
  <c r="ADS8" i="20" s="1"/>
  <c r="BEU8" i="20" s="1"/>
  <c r="CFW8" i="20" s="1"/>
  <c r="CP7" i="5"/>
  <c r="CP8" i="20" s="1"/>
  <c r="ADR8" i="20" s="1"/>
  <c r="BET8" i="20" s="1"/>
  <c r="CFV8" i="20" s="1"/>
  <c r="CO7" i="5"/>
  <c r="CO8" i="20" s="1"/>
  <c r="ADQ8" i="20" s="1"/>
  <c r="BES8" i="20" s="1"/>
  <c r="CFU8" i="20" s="1"/>
  <c r="CN7" i="5"/>
  <c r="CN8" i="20" s="1"/>
  <c r="ADP8" i="20" s="1"/>
  <c r="BER8" i="20" s="1"/>
  <c r="CFT8" i="20" s="1"/>
  <c r="CM7" i="5"/>
  <c r="CM8" i="20" s="1"/>
  <c r="ADO8" i="20" s="1"/>
  <c r="BEQ8" i="20" s="1"/>
  <c r="CFS8" i="20" s="1"/>
  <c r="CL7" i="5"/>
  <c r="CL8" i="20" s="1"/>
  <c r="ADN8" i="20" s="1"/>
  <c r="BEP8" i="20" s="1"/>
  <c r="CFR8" i="20" s="1"/>
  <c r="CV6" i="5"/>
  <c r="CV7" i="20" s="1"/>
  <c r="ADX7" i="20" s="1"/>
  <c r="BEZ7" i="20" s="1"/>
  <c r="CGB7" i="20" s="1"/>
  <c r="CU6" i="5"/>
  <c r="CU7" i="20" s="1"/>
  <c r="ADW7" i="20" s="1"/>
  <c r="BEY7" i="20" s="1"/>
  <c r="CGA7" i="20" s="1"/>
  <c r="CT6" i="5"/>
  <c r="CT7" i="20" s="1"/>
  <c r="ADV7" i="20" s="1"/>
  <c r="BEX7" i="20" s="1"/>
  <c r="CFZ7" i="20" s="1"/>
  <c r="CS6" i="5"/>
  <c r="CS7" i="20" s="1"/>
  <c r="ADU7" i="20" s="1"/>
  <c r="BEW7" i="20" s="1"/>
  <c r="CFY7" i="20" s="1"/>
  <c r="CR6" i="5"/>
  <c r="CR7" i="20" s="1"/>
  <c r="ADT7" i="20" s="1"/>
  <c r="BEV7" i="20" s="1"/>
  <c r="CFX7" i="20" s="1"/>
  <c r="CQ6" i="5"/>
  <c r="CQ7" i="20" s="1"/>
  <c r="ADS7" i="20" s="1"/>
  <c r="BEU7" i="20" s="1"/>
  <c r="CFW7" i="20" s="1"/>
  <c r="CP6" i="5"/>
  <c r="CP7" i="20" s="1"/>
  <c r="ADR7" i="20" s="1"/>
  <c r="BET7" i="20" s="1"/>
  <c r="CFV7" i="20" s="1"/>
  <c r="CO6" i="5"/>
  <c r="CO7" i="20" s="1"/>
  <c r="ADQ7" i="20" s="1"/>
  <c r="BES7" i="20" s="1"/>
  <c r="CFU7" i="20" s="1"/>
  <c r="CN6" i="5"/>
  <c r="CN7" i="20" s="1"/>
  <c r="ADP7" i="20" s="1"/>
  <c r="BER7" i="20" s="1"/>
  <c r="CFT7" i="20" s="1"/>
  <c r="CM6" i="5"/>
  <c r="CM7" i="20" s="1"/>
  <c r="ADO7" i="20" s="1"/>
  <c r="BEQ7" i="20" s="1"/>
  <c r="CFS7" i="20" s="1"/>
  <c r="CL6" i="5"/>
  <c r="CL7" i="20" s="1"/>
  <c r="ADN7" i="20" s="1"/>
  <c r="BEP7" i="20" s="1"/>
  <c r="CFR7" i="20" s="1"/>
  <c r="CV5" i="5"/>
  <c r="CV6" i="20" s="1"/>
  <c r="ADX6" i="20" s="1"/>
  <c r="BEZ6" i="20" s="1"/>
  <c r="CGB6" i="20" s="1"/>
  <c r="CU5" i="5"/>
  <c r="CU6" i="20" s="1"/>
  <c r="ADW6" i="20" s="1"/>
  <c r="BEY6" i="20" s="1"/>
  <c r="CGA6" i="20" s="1"/>
  <c r="CT5" i="5"/>
  <c r="CT6" i="20" s="1"/>
  <c r="ADV6" i="20" s="1"/>
  <c r="BEX6" i="20" s="1"/>
  <c r="CFZ6" i="20" s="1"/>
  <c r="CS5" i="5"/>
  <c r="CS6" i="20" s="1"/>
  <c r="ADU6" i="20" s="1"/>
  <c r="BEW6" i="20" s="1"/>
  <c r="CFY6" i="20" s="1"/>
  <c r="CR5" i="5"/>
  <c r="CR6" i="20" s="1"/>
  <c r="ADT6" i="20" s="1"/>
  <c r="BEV6" i="20" s="1"/>
  <c r="CFX6" i="20" s="1"/>
  <c r="CQ5" i="5"/>
  <c r="CQ6" i="20" s="1"/>
  <c r="ADS6" i="20" s="1"/>
  <c r="BEU6" i="20" s="1"/>
  <c r="CFW6" i="20" s="1"/>
  <c r="CP5" i="5"/>
  <c r="CP6" i="20" s="1"/>
  <c r="ADR6" i="20" s="1"/>
  <c r="BET6" i="20" s="1"/>
  <c r="CFV6" i="20" s="1"/>
  <c r="CO5" i="5"/>
  <c r="CO6" i="20" s="1"/>
  <c r="ADQ6" i="20" s="1"/>
  <c r="BES6" i="20" s="1"/>
  <c r="CFU6" i="20" s="1"/>
  <c r="CN5" i="5"/>
  <c r="CN6" i="20" s="1"/>
  <c r="ADP6" i="20" s="1"/>
  <c r="BER6" i="20" s="1"/>
  <c r="CFT6" i="20" s="1"/>
  <c r="CM5" i="5"/>
  <c r="CM6" i="20" s="1"/>
  <c r="ADO6" i="20" s="1"/>
  <c r="BEQ6" i="20" s="1"/>
  <c r="CFS6" i="20" s="1"/>
  <c r="CL5" i="5"/>
  <c r="CL6" i="20" s="1"/>
  <c r="ADN6" i="20" s="1"/>
  <c r="BEP6" i="20" s="1"/>
  <c r="CFR6" i="20" s="1"/>
  <c r="BZ12" i="5"/>
  <c r="BZ13" i="20" s="1"/>
  <c r="ADB13" i="20" s="1"/>
  <c r="BED13" i="20" s="1"/>
  <c r="CFF13" i="20" s="1"/>
  <c r="BY12" i="5"/>
  <c r="BY13" i="20" s="1"/>
  <c r="ADA13" i="20" s="1"/>
  <c r="BEC13" i="20" s="1"/>
  <c r="CFE13" i="20" s="1"/>
  <c r="BR12" i="5"/>
  <c r="BR13" i="20" s="1"/>
  <c r="ACT13" i="20" s="1"/>
  <c r="BDV13" i="20" s="1"/>
  <c r="CEX13" i="20" s="1"/>
  <c r="BQ12" i="5"/>
  <c r="BQ13" i="20" s="1"/>
  <c r="ACS13" i="20" s="1"/>
  <c r="BDU13" i="20" s="1"/>
  <c r="CEW13" i="20" s="1"/>
  <c r="BP12" i="5"/>
  <c r="BP13" i="20" s="1"/>
  <c r="ACR13" i="20" s="1"/>
  <c r="BDT13" i="20" s="1"/>
  <c r="CEV13" i="20" s="1"/>
  <c r="BZ11" i="5"/>
  <c r="BZ12" i="20" s="1"/>
  <c r="ADB12" i="20" s="1"/>
  <c r="BED12" i="20" s="1"/>
  <c r="CFF12" i="20" s="1"/>
  <c r="BY11" i="5"/>
  <c r="BY12" i="20" s="1"/>
  <c r="ADA12" i="20" s="1"/>
  <c r="BEC12" i="20" s="1"/>
  <c r="CFE12" i="20" s="1"/>
  <c r="BX11" i="5"/>
  <c r="BX12" i="20" s="1"/>
  <c r="ACZ12" i="20" s="1"/>
  <c r="BEB12" i="20" s="1"/>
  <c r="CFD12" i="20" s="1"/>
  <c r="BW11" i="5"/>
  <c r="BW12" i="20" s="1"/>
  <c r="ACY12" i="20" s="1"/>
  <c r="BEA12" i="20" s="1"/>
  <c r="CFC12" i="20" s="1"/>
  <c r="BV11" i="5"/>
  <c r="BV12" i="20" s="1"/>
  <c r="ACX12" i="20" s="1"/>
  <c r="BDZ12" i="20" s="1"/>
  <c r="CFB12" i="20" s="1"/>
  <c r="BU11" i="5"/>
  <c r="BU12" i="20" s="1"/>
  <c r="ACW12" i="20" s="1"/>
  <c r="BDY12" i="20" s="1"/>
  <c r="CFA12" i="20" s="1"/>
  <c r="BT11" i="5"/>
  <c r="BT12" i="20" s="1"/>
  <c r="ACV12" i="20" s="1"/>
  <c r="BDX12" i="20" s="1"/>
  <c r="CEZ12" i="20" s="1"/>
  <c r="BS11" i="5"/>
  <c r="BS12" i="20" s="1"/>
  <c r="ACU12" i="20" s="1"/>
  <c r="BDW12" i="20" s="1"/>
  <c r="CEY12" i="20" s="1"/>
  <c r="BR11" i="5"/>
  <c r="BR12" i="20" s="1"/>
  <c r="ACT12" i="20" s="1"/>
  <c r="BDV12" i="20" s="1"/>
  <c r="CEX12" i="20" s="1"/>
  <c r="BQ11" i="5"/>
  <c r="BQ12" i="20" s="1"/>
  <c r="ACS12" i="20" s="1"/>
  <c r="BDU12" i="20" s="1"/>
  <c r="CEW12" i="20" s="1"/>
  <c r="BP11" i="5"/>
  <c r="BP12" i="20" s="1"/>
  <c r="ACR12" i="20" s="1"/>
  <c r="BDT12" i="20" s="1"/>
  <c r="CEV12" i="20" s="1"/>
  <c r="BZ10" i="5"/>
  <c r="BZ11" i="20" s="1"/>
  <c r="ADB11" i="20" s="1"/>
  <c r="BED11" i="20" s="1"/>
  <c r="CFF11" i="20" s="1"/>
  <c r="BY10" i="5"/>
  <c r="BY11" i="20" s="1"/>
  <c r="ADA11" i="20" s="1"/>
  <c r="BEC11" i="20" s="1"/>
  <c r="CFE11" i="20" s="1"/>
  <c r="BX10" i="5"/>
  <c r="BX11" i="20" s="1"/>
  <c r="ACZ11" i="20" s="1"/>
  <c r="BEB11" i="20" s="1"/>
  <c r="CFD11" i="20" s="1"/>
  <c r="BW10" i="5"/>
  <c r="BW11" i="20" s="1"/>
  <c r="ACY11" i="20" s="1"/>
  <c r="BEA11" i="20" s="1"/>
  <c r="CFC11" i="20" s="1"/>
  <c r="BV10" i="5"/>
  <c r="BV11" i="20" s="1"/>
  <c r="ACX11" i="20" s="1"/>
  <c r="BDZ11" i="20" s="1"/>
  <c r="CFB11" i="20" s="1"/>
  <c r="BU10" i="5"/>
  <c r="BU11" i="20" s="1"/>
  <c r="ACW11" i="20" s="1"/>
  <c r="BDY11" i="20" s="1"/>
  <c r="CFA11" i="20" s="1"/>
  <c r="BT10" i="5"/>
  <c r="BT11" i="20" s="1"/>
  <c r="ACV11" i="20" s="1"/>
  <c r="BDX11" i="20" s="1"/>
  <c r="CEZ11" i="20" s="1"/>
  <c r="BS10" i="5"/>
  <c r="BS11" i="20" s="1"/>
  <c r="ACU11" i="20" s="1"/>
  <c r="BDW11" i="20" s="1"/>
  <c r="CEY11" i="20" s="1"/>
  <c r="BR10" i="5"/>
  <c r="BR11" i="20" s="1"/>
  <c r="ACT11" i="20" s="1"/>
  <c r="BDV11" i="20" s="1"/>
  <c r="CEX11" i="20" s="1"/>
  <c r="BQ10" i="5"/>
  <c r="BQ11" i="20" s="1"/>
  <c r="ACS11" i="20" s="1"/>
  <c r="BDU11" i="20" s="1"/>
  <c r="CEW11" i="20" s="1"/>
  <c r="BP10" i="5"/>
  <c r="BP11" i="20" s="1"/>
  <c r="ACR11" i="20" s="1"/>
  <c r="BDT11" i="20" s="1"/>
  <c r="CEV11" i="20" s="1"/>
  <c r="BZ9" i="5"/>
  <c r="BZ10" i="20" s="1"/>
  <c r="ADB10" i="20" s="1"/>
  <c r="BED10" i="20" s="1"/>
  <c r="CFF10" i="20" s="1"/>
  <c r="BY9" i="5"/>
  <c r="BY10" i="20" s="1"/>
  <c r="ADA10" i="20" s="1"/>
  <c r="BEC10" i="20" s="1"/>
  <c r="CFE10" i="20" s="1"/>
  <c r="BR9" i="5"/>
  <c r="BR10" i="20" s="1"/>
  <c r="ACT10" i="20" s="1"/>
  <c r="BDV10" i="20" s="1"/>
  <c r="CEX10" i="20" s="1"/>
  <c r="BQ9" i="5"/>
  <c r="BQ10" i="20" s="1"/>
  <c r="ACS10" i="20" s="1"/>
  <c r="BDU10" i="20" s="1"/>
  <c r="CEW10" i="20" s="1"/>
  <c r="BP9" i="5"/>
  <c r="BP10" i="20" s="1"/>
  <c r="ACR10" i="20" s="1"/>
  <c r="BDT10" i="20" s="1"/>
  <c r="CEV10" i="20" s="1"/>
  <c r="BZ8" i="5"/>
  <c r="BZ9" i="20" s="1"/>
  <c r="ADB9" i="20" s="1"/>
  <c r="BED9" i="20" s="1"/>
  <c r="CFF9" i="20" s="1"/>
  <c r="BY8" i="5"/>
  <c r="BY9" i="20" s="1"/>
  <c r="ADA9" i="20" s="1"/>
  <c r="BEC9" i="20" s="1"/>
  <c r="CFE9" i="20" s="1"/>
  <c r="BX8" i="5"/>
  <c r="BX9" i="20" s="1"/>
  <c r="ACZ9" i="20" s="1"/>
  <c r="BEB9" i="20" s="1"/>
  <c r="CFD9" i="20" s="1"/>
  <c r="BW8" i="5"/>
  <c r="BW9" i="20" s="1"/>
  <c r="ACY9" i="20" s="1"/>
  <c r="BEA9" i="20" s="1"/>
  <c r="CFC9" i="20" s="1"/>
  <c r="BV8" i="5"/>
  <c r="BV9" i="20" s="1"/>
  <c r="ACX9" i="20" s="1"/>
  <c r="BDZ9" i="20" s="1"/>
  <c r="CFB9" i="20" s="1"/>
  <c r="BU8" i="5"/>
  <c r="BU9" i="20" s="1"/>
  <c r="ACW9" i="20" s="1"/>
  <c r="BDY9" i="20" s="1"/>
  <c r="CFA9" i="20" s="1"/>
  <c r="BT8" i="5"/>
  <c r="BT9" i="20" s="1"/>
  <c r="ACV9" i="20" s="1"/>
  <c r="BDX9" i="20" s="1"/>
  <c r="CEZ9" i="20" s="1"/>
  <c r="BS8" i="5"/>
  <c r="BS9" i="20" s="1"/>
  <c r="ACU9" i="20" s="1"/>
  <c r="BDW9" i="20" s="1"/>
  <c r="CEY9" i="20" s="1"/>
  <c r="BR8" i="5"/>
  <c r="BR9" i="20" s="1"/>
  <c r="ACT9" i="20" s="1"/>
  <c r="BDV9" i="20" s="1"/>
  <c r="CEX9" i="20" s="1"/>
  <c r="BQ8" i="5"/>
  <c r="BQ9" i="20" s="1"/>
  <c r="ACS9" i="20" s="1"/>
  <c r="BDU9" i="20" s="1"/>
  <c r="CEW9" i="20" s="1"/>
  <c r="BP8" i="5"/>
  <c r="BP9" i="20" s="1"/>
  <c r="ACR9" i="20" s="1"/>
  <c r="BDT9" i="20" s="1"/>
  <c r="CEV9" i="20" s="1"/>
  <c r="BZ7" i="5"/>
  <c r="BZ8" i="20" s="1"/>
  <c r="ADB8" i="20" s="1"/>
  <c r="BED8" i="20" s="1"/>
  <c r="CFF8" i="20" s="1"/>
  <c r="BY7" i="5"/>
  <c r="BY8" i="20" s="1"/>
  <c r="ADA8" i="20" s="1"/>
  <c r="BEC8" i="20" s="1"/>
  <c r="CFE8" i="20" s="1"/>
  <c r="BX7" i="5"/>
  <c r="BX8" i="20" s="1"/>
  <c r="ACZ8" i="20" s="1"/>
  <c r="BEB8" i="20" s="1"/>
  <c r="CFD8" i="20" s="1"/>
  <c r="BW7" i="5"/>
  <c r="BW8" i="20" s="1"/>
  <c r="ACY8" i="20" s="1"/>
  <c r="BEA8" i="20" s="1"/>
  <c r="CFC8" i="20" s="1"/>
  <c r="BV7" i="5"/>
  <c r="BV8" i="20" s="1"/>
  <c r="ACX8" i="20" s="1"/>
  <c r="BDZ8" i="20" s="1"/>
  <c r="CFB8" i="20" s="1"/>
  <c r="BU7" i="5"/>
  <c r="BU8" i="20" s="1"/>
  <c r="ACW8" i="20" s="1"/>
  <c r="BDY8" i="20" s="1"/>
  <c r="CFA8" i="20" s="1"/>
  <c r="BT7" i="5"/>
  <c r="BT8" i="20" s="1"/>
  <c r="ACV8" i="20" s="1"/>
  <c r="BDX8" i="20" s="1"/>
  <c r="CEZ8" i="20" s="1"/>
  <c r="BS7" i="5"/>
  <c r="BS8" i="20" s="1"/>
  <c r="ACU8" i="20" s="1"/>
  <c r="BDW8" i="20" s="1"/>
  <c r="CEY8" i="20" s="1"/>
  <c r="BR7" i="5"/>
  <c r="BR8" i="20" s="1"/>
  <c r="ACT8" i="20" s="1"/>
  <c r="BDV8" i="20" s="1"/>
  <c r="CEX8" i="20" s="1"/>
  <c r="BQ7" i="5"/>
  <c r="BQ8" i="20" s="1"/>
  <c r="ACS8" i="20" s="1"/>
  <c r="BDU8" i="20" s="1"/>
  <c r="CEW8" i="20" s="1"/>
  <c r="BP7" i="5"/>
  <c r="BP8" i="20" s="1"/>
  <c r="ACR8" i="20" s="1"/>
  <c r="BDT8" i="20" s="1"/>
  <c r="CEV8" i="20" s="1"/>
  <c r="BZ6" i="5"/>
  <c r="BZ7" i="20" s="1"/>
  <c r="ADB7" i="20" s="1"/>
  <c r="BED7" i="20" s="1"/>
  <c r="CFF7" i="20" s="1"/>
  <c r="BY6" i="5"/>
  <c r="BY7" i="20" s="1"/>
  <c r="ADA7" i="20" s="1"/>
  <c r="BEC7" i="20" s="1"/>
  <c r="CFE7" i="20" s="1"/>
  <c r="BX6" i="5"/>
  <c r="BX7" i="20" s="1"/>
  <c r="ACZ7" i="20" s="1"/>
  <c r="BEB7" i="20" s="1"/>
  <c r="CFD7" i="20" s="1"/>
  <c r="BW6" i="5"/>
  <c r="BW7" i="20" s="1"/>
  <c r="ACY7" i="20" s="1"/>
  <c r="BEA7" i="20" s="1"/>
  <c r="CFC7" i="20" s="1"/>
  <c r="BV6" i="5"/>
  <c r="BV7" i="20" s="1"/>
  <c r="ACX7" i="20" s="1"/>
  <c r="BDZ7" i="20" s="1"/>
  <c r="CFB7" i="20" s="1"/>
  <c r="BU6" i="5"/>
  <c r="BU7" i="20" s="1"/>
  <c r="ACW7" i="20" s="1"/>
  <c r="BDY7" i="20" s="1"/>
  <c r="CFA7" i="20" s="1"/>
  <c r="BT6" i="5"/>
  <c r="BT7" i="20" s="1"/>
  <c r="ACV7" i="20" s="1"/>
  <c r="BDX7" i="20" s="1"/>
  <c r="CEZ7" i="20" s="1"/>
  <c r="BS6" i="5"/>
  <c r="BS7" i="20" s="1"/>
  <c r="ACU7" i="20" s="1"/>
  <c r="BDW7" i="20" s="1"/>
  <c r="CEY7" i="20" s="1"/>
  <c r="BR6" i="5"/>
  <c r="BR7" i="20" s="1"/>
  <c r="ACT7" i="20" s="1"/>
  <c r="BDV7" i="20" s="1"/>
  <c r="CEX7" i="20" s="1"/>
  <c r="BQ6" i="5"/>
  <c r="BQ7" i="20" s="1"/>
  <c r="ACS7" i="20" s="1"/>
  <c r="BDU7" i="20" s="1"/>
  <c r="CEW7" i="20" s="1"/>
  <c r="BP6" i="5"/>
  <c r="BP7" i="20" s="1"/>
  <c r="ACR7" i="20" s="1"/>
  <c r="BDT7" i="20" s="1"/>
  <c r="CEV7" i="20" s="1"/>
  <c r="BZ5" i="5"/>
  <c r="BZ6" i="20" s="1"/>
  <c r="ADB6" i="20" s="1"/>
  <c r="BED6" i="20" s="1"/>
  <c r="CFF6" i="20" s="1"/>
  <c r="BY5" i="5"/>
  <c r="BY6" i="20" s="1"/>
  <c r="ADA6" i="20" s="1"/>
  <c r="BEC6" i="20" s="1"/>
  <c r="CFE6" i="20" s="1"/>
  <c r="BX5" i="5"/>
  <c r="BX6" i="20" s="1"/>
  <c r="ACZ6" i="20" s="1"/>
  <c r="BEB6" i="20" s="1"/>
  <c r="CFD6" i="20" s="1"/>
  <c r="BW5" i="5"/>
  <c r="BW6" i="20" s="1"/>
  <c r="ACY6" i="20" s="1"/>
  <c r="BEA6" i="20" s="1"/>
  <c r="CFC6" i="20" s="1"/>
  <c r="BV5" i="5"/>
  <c r="BV6" i="20" s="1"/>
  <c r="ACX6" i="20" s="1"/>
  <c r="BDZ6" i="20" s="1"/>
  <c r="CFB6" i="20" s="1"/>
  <c r="BU5" i="5"/>
  <c r="BU6" i="20" s="1"/>
  <c r="ACW6" i="20" s="1"/>
  <c r="BDY6" i="20" s="1"/>
  <c r="CFA6" i="20" s="1"/>
  <c r="BT5" i="5"/>
  <c r="BT6" i="20" s="1"/>
  <c r="ACV6" i="20" s="1"/>
  <c r="BDX6" i="20" s="1"/>
  <c r="CEZ6" i="20" s="1"/>
  <c r="BS5" i="5"/>
  <c r="BS6" i="20" s="1"/>
  <c r="ACU6" i="20" s="1"/>
  <c r="BDW6" i="20" s="1"/>
  <c r="CEY6" i="20" s="1"/>
  <c r="BR5" i="5"/>
  <c r="BR6" i="20" s="1"/>
  <c r="ACT6" i="20" s="1"/>
  <c r="BDV6" i="20" s="1"/>
  <c r="CEX6" i="20" s="1"/>
  <c r="BQ5" i="5"/>
  <c r="BQ6" i="20" s="1"/>
  <c r="ACS6" i="20" s="1"/>
  <c r="BDU6" i="20" s="1"/>
  <c r="CEW6" i="20" s="1"/>
  <c r="BP5" i="5"/>
  <c r="BP6" i="20" s="1"/>
  <c r="ACR6" i="20" s="1"/>
  <c r="BDT6" i="20" s="1"/>
  <c r="CEV6" i="20" s="1"/>
  <c r="BD12" i="5"/>
  <c r="BD13" i="20" s="1"/>
  <c r="ACF13" i="20" s="1"/>
  <c r="BDH13" i="20" s="1"/>
  <c r="CEJ13" i="20" s="1"/>
  <c r="BC12" i="5"/>
  <c r="BC13" i="20" s="1"/>
  <c r="ACE13" i="20" s="1"/>
  <c r="BDG13" i="20" s="1"/>
  <c r="CEI13" i="20" s="1"/>
  <c r="AV12" i="5"/>
  <c r="AV13" i="20" s="1"/>
  <c r="ABX13" i="20" s="1"/>
  <c r="BCZ13" i="20" s="1"/>
  <c r="CEB13" i="20" s="1"/>
  <c r="AU12" i="5"/>
  <c r="AU13" i="20" s="1"/>
  <c r="ABW13" i="20" s="1"/>
  <c r="BCY13" i="20" s="1"/>
  <c r="CEA13" i="20" s="1"/>
  <c r="AT12" i="5"/>
  <c r="AT13" i="20" s="1"/>
  <c r="ABV13" i="20" s="1"/>
  <c r="BCX13" i="20" s="1"/>
  <c r="CDZ13" i="20" s="1"/>
  <c r="BD11" i="5"/>
  <c r="BD12" i="20" s="1"/>
  <c r="ACF12" i="20" s="1"/>
  <c r="BDH12" i="20" s="1"/>
  <c r="CEJ12" i="20" s="1"/>
  <c r="BC11" i="5"/>
  <c r="BC12" i="20" s="1"/>
  <c r="ACE12" i="20" s="1"/>
  <c r="BDG12" i="20" s="1"/>
  <c r="CEI12" i="20" s="1"/>
  <c r="BB11" i="5"/>
  <c r="BB12" i="20" s="1"/>
  <c r="ACD12" i="20" s="1"/>
  <c r="BDF12" i="20" s="1"/>
  <c r="CEH12" i="20" s="1"/>
  <c r="BA11" i="5"/>
  <c r="BA12" i="20" s="1"/>
  <c r="ACC12" i="20" s="1"/>
  <c r="BDE12" i="20" s="1"/>
  <c r="CEG12" i="20" s="1"/>
  <c r="AZ11" i="5"/>
  <c r="AZ12" i="20" s="1"/>
  <c r="ACB12" i="20" s="1"/>
  <c r="BDD12" i="20" s="1"/>
  <c r="CEF12" i="20" s="1"/>
  <c r="AY11" i="5"/>
  <c r="AY12" i="20" s="1"/>
  <c r="ACA12" i="20" s="1"/>
  <c r="BDC12" i="20" s="1"/>
  <c r="CEE12" i="20" s="1"/>
  <c r="AX11" i="5"/>
  <c r="AX12" i="20" s="1"/>
  <c r="ABZ12" i="20" s="1"/>
  <c r="BDB12" i="20" s="1"/>
  <c r="CED12" i="20" s="1"/>
  <c r="AW11" i="5"/>
  <c r="AW12" i="20" s="1"/>
  <c r="ABY12" i="20" s="1"/>
  <c r="BDA12" i="20" s="1"/>
  <c r="CEC12" i="20" s="1"/>
  <c r="AV11" i="5"/>
  <c r="AV12" i="20" s="1"/>
  <c r="ABX12" i="20" s="1"/>
  <c r="BCZ12" i="20" s="1"/>
  <c r="CEB12" i="20" s="1"/>
  <c r="AU11" i="5"/>
  <c r="AU12" i="20" s="1"/>
  <c r="ABW12" i="20" s="1"/>
  <c r="BCY12" i="20" s="1"/>
  <c r="CEA12" i="20" s="1"/>
  <c r="AT11" i="5"/>
  <c r="AT12" i="20" s="1"/>
  <c r="ABV12" i="20" s="1"/>
  <c r="BCX12" i="20" s="1"/>
  <c r="CDZ12" i="20" s="1"/>
  <c r="BD10" i="5"/>
  <c r="BD11" i="20" s="1"/>
  <c r="ACF11" i="20" s="1"/>
  <c r="BDH11" i="20" s="1"/>
  <c r="CEJ11" i="20" s="1"/>
  <c r="BC10" i="5"/>
  <c r="BC11" i="20" s="1"/>
  <c r="ACE11" i="20" s="1"/>
  <c r="BDG11" i="20" s="1"/>
  <c r="CEI11" i="20" s="1"/>
  <c r="BB10" i="5"/>
  <c r="BB11" i="20" s="1"/>
  <c r="ACD11" i="20" s="1"/>
  <c r="BDF11" i="20" s="1"/>
  <c r="CEH11" i="20" s="1"/>
  <c r="BA10" i="5"/>
  <c r="BA11" i="20" s="1"/>
  <c r="ACC11" i="20" s="1"/>
  <c r="BDE11" i="20" s="1"/>
  <c r="CEG11" i="20" s="1"/>
  <c r="AZ10" i="5"/>
  <c r="AZ11" i="20" s="1"/>
  <c r="ACB11" i="20" s="1"/>
  <c r="BDD11" i="20" s="1"/>
  <c r="CEF11" i="20" s="1"/>
  <c r="AY10" i="5"/>
  <c r="AY11" i="20" s="1"/>
  <c r="ACA11" i="20" s="1"/>
  <c r="BDC11" i="20" s="1"/>
  <c r="CEE11" i="20" s="1"/>
  <c r="AX10" i="5"/>
  <c r="AX11" i="20" s="1"/>
  <c r="ABZ11" i="20" s="1"/>
  <c r="BDB11" i="20" s="1"/>
  <c r="CED11" i="20" s="1"/>
  <c r="AW10" i="5"/>
  <c r="AW11" i="20" s="1"/>
  <c r="ABY11" i="20" s="1"/>
  <c r="BDA11" i="20" s="1"/>
  <c r="CEC11" i="20" s="1"/>
  <c r="AV10" i="5"/>
  <c r="AV11" i="20" s="1"/>
  <c r="ABX11" i="20" s="1"/>
  <c r="BCZ11" i="20" s="1"/>
  <c r="CEB11" i="20" s="1"/>
  <c r="AU10" i="5"/>
  <c r="AU11" i="20" s="1"/>
  <c r="ABW11" i="20" s="1"/>
  <c r="BCY11" i="20" s="1"/>
  <c r="CEA11" i="20" s="1"/>
  <c r="AT10" i="5"/>
  <c r="AT11" i="20" s="1"/>
  <c r="ABV11" i="20" s="1"/>
  <c r="BCX11" i="20" s="1"/>
  <c r="CDZ11" i="20" s="1"/>
  <c r="BD9" i="5"/>
  <c r="BD10" i="20" s="1"/>
  <c r="ACF10" i="20" s="1"/>
  <c r="BDH10" i="20" s="1"/>
  <c r="CEJ10" i="20" s="1"/>
  <c r="BC9" i="5"/>
  <c r="BC10" i="20" s="1"/>
  <c r="ACE10" i="20" s="1"/>
  <c r="BDG10" i="20" s="1"/>
  <c r="CEI10" i="20" s="1"/>
  <c r="AV9" i="5"/>
  <c r="AV10" i="20" s="1"/>
  <c r="ABX10" i="20" s="1"/>
  <c r="BCZ10" i="20" s="1"/>
  <c r="CEB10" i="20" s="1"/>
  <c r="AU9" i="5"/>
  <c r="AU10" i="20" s="1"/>
  <c r="ABW10" i="20" s="1"/>
  <c r="BCY10" i="20" s="1"/>
  <c r="CEA10" i="20" s="1"/>
  <c r="AT9" i="5"/>
  <c r="AT10" i="20" s="1"/>
  <c r="ABV10" i="20" s="1"/>
  <c r="BCX10" i="20" s="1"/>
  <c r="CDZ10" i="20" s="1"/>
  <c r="BD8" i="5"/>
  <c r="BD9" i="20" s="1"/>
  <c r="ACF9" i="20" s="1"/>
  <c r="BDH9" i="20" s="1"/>
  <c r="CEJ9" i="20" s="1"/>
  <c r="BC8" i="5"/>
  <c r="BC9" i="20" s="1"/>
  <c r="ACE9" i="20" s="1"/>
  <c r="BDG9" i="20" s="1"/>
  <c r="CEI9" i="20" s="1"/>
  <c r="BB8" i="5"/>
  <c r="BB9" i="20" s="1"/>
  <c r="ACD9" i="20" s="1"/>
  <c r="BDF9" i="20" s="1"/>
  <c r="CEH9" i="20" s="1"/>
  <c r="BA8" i="5"/>
  <c r="BA9" i="20" s="1"/>
  <c r="ACC9" i="20" s="1"/>
  <c r="BDE9" i="20" s="1"/>
  <c r="CEG9" i="20" s="1"/>
  <c r="AZ8" i="5"/>
  <c r="AZ9" i="20" s="1"/>
  <c r="ACB9" i="20" s="1"/>
  <c r="BDD9" i="20" s="1"/>
  <c r="CEF9" i="20" s="1"/>
  <c r="AY8" i="5"/>
  <c r="AY9" i="20" s="1"/>
  <c r="ACA9" i="20" s="1"/>
  <c r="BDC9" i="20" s="1"/>
  <c r="CEE9" i="20" s="1"/>
  <c r="AX8" i="5"/>
  <c r="AX9" i="20" s="1"/>
  <c r="ABZ9" i="20" s="1"/>
  <c r="BDB9" i="20" s="1"/>
  <c r="CED9" i="20" s="1"/>
  <c r="AW8" i="5"/>
  <c r="AW9" i="20" s="1"/>
  <c r="ABY9" i="20" s="1"/>
  <c r="BDA9" i="20" s="1"/>
  <c r="CEC9" i="20" s="1"/>
  <c r="AV8" i="5"/>
  <c r="AV9" i="20" s="1"/>
  <c r="ABX9" i="20" s="1"/>
  <c r="BCZ9" i="20" s="1"/>
  <c r="CEB9" i="20" s="1"/>
  <c r="AU8" i="5"/>
  <c r="AU9" i="20" s="1"/>
  <c r="ABW9" i="20" s="1"/>
  <c r="BCY9" i="20" s="1"/>
  <c r="CEA9" i="20" s="1"/>
  <c r="AT8" i="5"/>
  <c r="AT9" i="20" s="1"/>
  <c r="ABV9" i="20" s="1"/>
  <c r="BCX9" i="20" s="1"/>
  <c r="CDZ9" i="20" s="1"/>
  <c r="BD7" i="5"/>
  <c r="BD8" i="20" s="1"/>
  <c r="ACF8" i="20" s="1"/>
  <c r="BDH8" i="20" s="1"/>
  <c r="CEJ8" i="20" s="1"/>
  <c r="BC7" i="5"/>
  <c r="BC8" i="20" s="1"/>
  <c r="ACE8" i="20" s="1"/>
  <c r="BDG8" i="20" s="1"/>
  <c r="CEI8" i="20" s="1"/>
  <c r="BB7" i="5"/>
  <c r="BB8" i="20" s="1"/>
  <c r="ACD8" i="20" s="1"/>
  <c r="BDF8" i="20" s="1"/>
  <c r="CEH8" i="20" s="1"/>
  <c r="BA7" i="5"/>
  <c r="BA8" i="20" s="1"/>
  <c r="ACC8" i="20" s="1"/>
  <c r="BDE8" i="20" s="1"/>
  <c r="CEG8" i="20" s="1"/>
  <c r="AZ7" i="5"/>
  <c r="AZ8" i="20" s="1"/>
  <c r="ACB8" i="20" s="1"/>
  <c r="BDD8" i="20" s="1"/>
  <c r="CEF8" i="20" s="1"/>
  <c r="AY7" i="5"/>
  <c r="AY8" i="20" s="1"/>
  <c r="ACA8" i="20" s="1"/>
  <c r="BDC8" i="20" s="1"/>
  <c r="CEE8" i="20" s="1"/>
  <c r="AX7" i="5"/>
  <c r="AX8" i="20" s="1"/>
  <c r="ABZ8" i="20" s="1"/>
  <c r="BDB8" i="20" s="1"/>
  <c r="CED8" i="20" s="1"/>
  <c r="AW7" i="5"/>
  <c r="AW8" i="20" s="1"/>
  <c r="ABY8" i="20" s="1"/>
  <c r="BDA8" i="20" s="1"/>
  <c r="CEC8" i="20" s="1"/>
  <c r="AV7" i="5"/>
  <c r="AV8" i="20" s="1"/>
  <c r="ABX8" i="20" s="1"/>
  <c r="BCZ8" i="20" s="1"/>
  <c r="CEB8" i="20" s="1"/>
  <c r="AU7" i="5"/>
  <c r="AU8" i="20" s="1"/>
  <c r="ABW8" i="20" s="1"/>
  <c r="BCY8" i="20" s="1"/>
  <c r="CEA8" i="20" s="1"/>
  <c r="AT7" i="5"/>
  <c r="AT8" i="20" s="1"/>
  <c r="ABV8" i="20" s="1"/>
  <c r="BCX8" i="20" s="1"/>
  <c r="CDZ8" i="20" s="1"/>
  <c r="BD6" i="5"/>
  <c r="BD7" i="20" s="1"/>
  <c r="ACF7" i="20" s="1"/>
  <c r="BDH7" i="20" s="1"/>
  <c r="CEJ7" i="20" s="1"/>
  <c r="BC6" i="5"/>
  <c r="BC7" i="20" s="1"/>
  <c r="ACE7" i="20" s="1"/>
  <c r="BDG7" i="20" s="1"/>
  <c r="CEI7" i="20" s="1"/>
  <c r="BB6" i="5"/>
  <c r="BB7" i="20" s="1"/>
  <c r="ACD7" i="20" s="1"/>
  <c r="BDF7" i="20" s="1"/>
  <c r="CEH7" i="20" s="1"/>
  <c r="BA6" i="5"/>
  <c r="BA7" i="20" s="1"/>
  <c r="ACC7" i="20" s="1"/>
  <c r="BDE7" i="20" s="1"/>
  <c r="CEG7" i="20" s="1"/>
  <c r="AZ6" i="5"/>
  <c r="AZ7" i="20" s="1"/>
  <c r="ACB7" i="20" s="1"/>
  <c r="BDD7" i="20" s="1"/>
  <c r="CEF7" i="20" s="1"/>
  <c r="AY6" i="5"/>
  <c r="AY7" i="20" s="1"/>
  <c r="ACA7" i="20" s="1"/>
  <c r="BDC7" i="20" s="1"/>
  <c r="CEE7" i="20" s="1"/>
  <c r="AX6" i="5"/>
  <c r="AX7" i="20" s="1"/>
  <c r="ABZ7" i="20" s="1"/>
  <c r="BDB7" i="20" s="1"/>
  <c r="CED7" i="20" s="1"/>
  <c r="AW6" i="5"/>
  <c r="AW7" i="20" s="1"/>
  <c r="ABY7" i="20" s="1"/>
  <c r="BDA7" i="20" s="1"/>
  <c r="CEC7" i="20" s="1"/>
  <c r="AV6" i="5"/>
  <c r="AV7" i="20" s="1"/>
  <c r="ABX7" i="20" s="1"/>
  <c r="BCZ7" i="20" s="1"/>
  <c r="CEB7" i="20" s="1"/>
  <c r="AU6" i="5"/>
  <c r="AU7" i="20" s="1"/>
  <c r="ABW7" i="20" s="1"/>
  <c r="BCY7" i="20" s="1"/>
  <c r="CEA7" i="20" s="1"/>
  <c r="AT6" i="5"/>
  <c r="AT7" i="20" s="1"/>
  <c r="ABV7" i="20" s="1"/>
  <c r="BCX7" i="20" s="1"/>
  <c r="CDZ7" i="20" s="1"/>
  <c r="BD5" i="5"/>
  <c r="BD6" i="20" s="1"/>
  <c r="ACF6" i="20" s="1"/>
  <c r="BDH6" i="20" s="1"/>
  <c r="CEJ6" i="20" s="1"/>
  <c r="BC5" i="5"/>
  <c r="BC6" i="20" s="1"/>
  <c r="ACE6" i="20" s="1"/>
  <c r="BDG6" i="20" s="1"/>
  <c r="CEI6" i="20" s="1"/>
  <c r="BB5" i="5"/>
  <c r="BB6" i="20" s="1"/>
  <c r="ACD6" i="20" s="1"/>
  <c r="BDF6" i="20" s="1"/>
  <c r="CEH6" i="20" s="1"/>
  <c r="BA5" i="5"/>
  <c r="BA6" i="20" s="1"/>
  <c r="ACC6" i="20" s="1"/>
  <c r="BDE6" i="20" s="1"/>
  <c r="CEG6" i="20" s="1"/>
  <c r="AZ5" i="5"/>
  <c r="AZ6" i="20" s="1"/>
  <c r="ACB6" i="20" s="1"/>
  <c r="BDD6" i="20" s="1"/>
  <c r="CEF6" i="20" s="1"/>
  <c r="AY5" i="5"/>
  <c r="AY6" i="20" s="1"/>
  <c r="ACA6" i="20" s="1"/>
  <c r="BDC6" i="20" s="1"/>
  <c r="CEE6" i="20" s="1"/>
  <c r="AX5" i="5"/>
  <c r="AX6" i="20" s="1"/>
  <c r="ABZ6" i="20" s="1"/>
  <c r="BDB6" i="20" s="1"/>
  <c r="CED6" i="20" s="1"/>
  <c r="AW5" i="5"/>
  <c r="AW6" i="20" s="1"/>
  <c r="ABY6" i="20" s="1"/>
  <c r="BDA6" i="20" s="1"/>
  <c r="CEC6" i="20" s="1"/>
  <c r="AV5" i="5"/>
  <c r="AV6" i="20" s="1"/>
  <c r="ABX6" i="20" s="1"/>
  <c r="BCZ6" i="20" s="1"/>
  <c r="CEB6" i="20" s="1"/>
  <c r="AU5" i="5"/>
  <c r="AU6" i="20" s="1"/>
  <c r="ABW6" i="20" s="1"/>
  <c r="BCY6" i="20" s="1"/>
  <c r="CEA6" i="20" s="1"/>
  <c r="AT5" i="5"/>
  <c r="AT6" i="20" s="1"/>
  <c r="ABV6" i="20" s="1"/>
  <c r="BCX6" i="20" s="1"/>
  <c r="CDZ6" i="20" s="1"/>
  <c r="X1" i="5"/>
  <c r="AE35" i="5" s="1"/>
  <c r="AT1" i="5" l="1"/>
  <c r="AF38" i="5"/>
  <c r="AF12" i="5" s="1"/>
  <c r="AF13" i="20" s="1"/>
  <c r="ABH13" i="20" s="1"/>
  <c r="BCJ13" i="20" s="1"/>
  <c r="CDL13" i="20" s="1"/>
  <c r="AD35" i="5"/>
  <c r="AD9" i="5" s="1"/>
  <c r="AD10" i="20" s="1"/>
  <c r="ABF10" i="20" s="1"/>
  <c r="BCH10" i="20" s="1"/>
  <c r="CDJ10" i="20" s="1"/>
  <c r="AE38" i="5"/>
  <c r="AE12" i="5" s="1"/>
  <c r="AE13" i="20" s="1"/>
  <c r="ABG13" i="20" s="1"/>
  <c r="BCI13" i="20" s="1"/>
  <c r="CDK13" i="20" s="1"/>
  <c r="AC35" i="5"/>
  <c r="AC9" i="5" s="1"/>
  <c r="AC10" i="20" s="1"/>
  <c r="ABE10" i="20" s="1"/>
  <c r="BCG10" i="20" s="1"/>
  <c r="CDI10" i="20" s="1"/>
  <c r="AD38" i="5"/>
  <c r="AD12" i="5" s="1"/>
  <c r="AD13" i="20" s="1"/>
  <c r="ABF13" i="20" s="1"/>
  <c r="BCH13" i="20" s="1"/>
  <c r="CDJ13" i="20" s="1"/>
  <c r="AB35" i="5"/>
  <c r="AB9" i="5" s="1"/>
  <c r="AB10" i="20" s="1"/>
  <c r="ABD10" i="20" s="1"/>
  <c r="BCF10" i="20" s="1"/>
  <c r="CDH10" i="20" s="1"/>
  <c r="AC38" i="5"/>
  <c r="AC12" i="5" s="1"/>
  <c r="AC13" i="20" s="1"/>
  <c r="ABE13" i="20" s="1"/>
  <c r="BCG13" i="20" s="1"/>
  <c r="CDI13" i="20" s="1"/>
  <c r="AA35" i="5"/>
  <c r="AA9" i="5" s="1"/>
  <c r="AA10" i="20" s="1"/>
  <c r="ABC10" i="20" s="1"/>
  <c r="BCE10" i="20" s="1"/>
  <c r="CDG10" i="20" s="1"/>
  <c r="AB38" i="5"/>
  <c r="AB12" i="5" s="1"/>
  <c r="AB13" i="20" s="1"/>
  <c r="ABD13" i="20" s="1"/>
  <c r="BCF13" i="20" s="1"/>
  <c r="CDH13" i="20" s="1"/>
  <c r="AA38" i="5"/>
  <c r="AA12" i="5" s="1"/>
  <c r="AA13" i="20" s="1"/>
  <c r="ABC13" i="20" s="1"/>
  <c r="BCE13" i="20" s="1"/>
  <c r="CDG13" i="20" s="1"/>
  <c r="AF35" i="5"/>
  <c r="AF9" i="5" s="1"/>
  <c r="AF10" i="20" s="1"/>
  <c r="ABH10" i="20" s="1"/>
  <c r="BCJ10" i="20" s="1"/>
  <c r="CDL10" i="20" s="1"/>
  <c r="L41" i="5"/>
  <c r="AH12" i="5"/>
  <c r="AH13" i="20" s="1"/>
  <c r="ABJ13" i="20" s="1"/>
  <c r="BCL13" i="20" s="1"/>
  <c r="CDN13" i="20" s="1"/>
  <c r="AG12" i="5"/>
  <c r="AG13" i="20" s="1"/>
  <c r="ABI13" i="20" s="1"/>
  <c r="BCK13" i="20" s="1"/>
  <c r="CDM13" i="20" s="1"/>
  <c r="Z12" i="5"/>
  <c r="Z13" i="20" s="1"/>
  <c r="ABB13" i="20" s="1"/>
  <c r="BCD13" i="20" s="1"/>
  <c r="CDF13" i="20" s="1"/>
  <c r="Y12" i="5"/>
  <c r="Y13" i="20" s="1"/>
  <c r="ABA13" i="20" s="1"/>
  <c r="BCC13" i="20" s="1"/>
  <c r="CDE13" i="20" s="1"/>
  <c r="X12" i="5"/>
  <c r="X13" i="20" s="1"/>
  <c r="AAZ13" i="20" s="1"/>
  <c r="BCB13" i="20" s="1"/>
  <c r="CDD13" i="20" s="1"/>
  <c r="AH11" i="5"/>
  <c r="AH12" i="20" s="1"/>
  <c r="ABJ12" i="20" s="1"/>
  <c r="BCL12" i="20" s="1"/>
  <c r="CDN12" i="20" s="1"/>
  <c r="AG11" i="5"/>
  <c r="AG12" i="20" s="1"/>
  <c r="ABI12" i="20" s="1"/>
  <c r="BCK12" i="20" s="1"/>
  <c r="CDM12" i="20" s="1"/>
  <c r="AF11" i="5"/>
  <c r="AF12" i="20" s="1"/>
  <c r="ABH12" i="20" s="1"/>
  <c r="BCJ12" i="20" s="1"/>
  <c r="CDL12" i="20" s="1"/>
  <c r="AE11" i="5"/>
  <c r="AE12" i="20" s="1"/>
  <c r="ABG12" i="20" s="1"/>
  <c r="BCI12" i="20" s="1"/>
  <c r="CDK12" i="20" s="1"/>
  <c r="AD11" i="5"/>
  <c r="AD12" i="20" s="1"/>
  <c r="ABF12" i="20" s="1"/>
  <c r="BCH12" i="20" s="1"/>
  <c r="CDJ12" i="20" s="1"/>
  <c r="AC11" i="5"/>
  <c r="AC12" i="20" s="1"/>
  <c r="ABE12" i="20" s="1"/>
  <c r="BCG12" i="20" s="1"/>
  <c r="CDI12" i="20" s="1"/>
  <c r="AB11" i="5"/>
  <c r="AB12" i="20" s="1"/>
  <c r="ABD12" i="20" s="1"/>
  <c r="BCF12" i="20" s="1"/>
  <c r="CDH12" i="20" s="1"/>
  <c r="AA11" i="5"/>
  <c r="AA12" i="20" s="1"/>
  <c r="ABC12" i="20" s="1"/>
  <c r="BCE12" i="20" s="1"/>
  <c r="CDG12" i="20" s="1"/>
  <c r="Z11" i="5"/>
  <c r="Z12" i="20" s="1"/>
  <c r="ABB12" i="20" s="1"/>
  <c r="BCD12" i="20" s="1"/>
  <c r="CDF12" i="20" s="1"/>
  <c r="Y11" i="5"/>
  <c r="Y12" i="20" s="1"/>
  <c r="ABA12" i="20" s="1"/>
  <c r="BCC12" i="20" s="1"/>
  <c r="CDE12" i="20" s="1"/>
  <c r="X11" i="5"/>
  <c r="X12" i="20" s="1"/>
  <c r="AAZ12" i="20" s="1"/>
  <c r="BCB12" i="20" s="1"/>
  <c r="CDD12" i="20" s="1"/>
  <c r="AH10" i="5"/>
  <c r="AH11" i="20" s="1"/>
  <c r="ABJ11" i="20" s="1"/>
  <c r="BCL11" i="20" s="1"/>
  <c r="CDN11" i="20" s="1"/>
  <c r="AG10" i="5"/>
  <c r="AG11" i="20" s="1"/>
  <c r="ABI11" i="20" s="1"/>
  <c r="BCK11" i="20" s="1"/>
  <c r="CDM11" i="20" s="1"/>
  <c r="AF10" i="5"/>
  <c r="AF11" i="20" s="1"/>
  <c r="ABH11" i="20" s="1"/>
  <c r="BCJ11" i="20" s="1"/>
  <c r="CDL11" i="20" s="1"/>
  <c r="AE10" i="5"/>
  <c r="AE11" i="20" s="1"/>
  <c r="ABG11" i="20" s="1"/>
  <c r="BCI11" i="20" s="1"/>
  <c r="CDK11" i="20" s="1"/>
  <c r="AD10" i="5"/>
  <c r="AD11" i="20" s="1"/>
  <c r="ABF11" i="20" s="1"/>
  <c r="BCH11" i="20" s="1"/>
  <c r="CDJ11" i="20" s="1"/>
  <c r="AC10" i="5"/>
  <c r="AC11" i="20" s="1"/>
  <c r="ABE11" i="20" s="1"/>
  <c r="BCG11" i="20" s="1"/>
  <c r="CDI11" i="20" s="1"/>
  <c r="AB10" i="5"/>
  <c r="AB11" i="20" s="1"/>
  <c r="ABD11" i="20" s="1"/>
  <c r="BCF11" i="20" s="1"/>
  <c r="CDH11" i="20" s="1"/>
  <c r="AA10" i="5"/>
  <c r="AA11" i="20" s="1"/>
  <c r="ABC11" i="20" s="1"/>
  <c r="BCE11" i="20" s="1"/>
  <c r="CDG11" i="20" s="1"/>
  <c r="Z10" i="5"/>
  <c r="Z11" i="20" s="1"/>
  <c r="ABB11" i="20" s="1"/>
  <c r="BCD11" i="20" s="1"/>
  <c r="CDF11" i="20" s="1"/>
  <c r="Y10" i="5"/>
  <c r="Y11" i="20" s="1"/>
  <c r="ABA11" i="20" s="1"/>
  <c r="BCC11" i="20" s="1"/>
  <c r="CDE11" i="20" s="1"/>
  <c r="X10" i="5"/>
  <c r="X11" i="20" s="1"/>
  <c r="AAZ11" i="20" s="1"/>
  <c r="BCB11" i="20" s="1"/>
  <c r="CDD11" i="20" s="1"/>
  <c r="AH9" i="5"/>
  <c r="AH10" i="20" s="1"/>
  <c r="ABJ10" i="20" s="1"/>
  <c r="BCL10" i="20" s="1"/>
  <c r="CDN10" i="20" s="1"/>
  <c r="AG9" i="5"/>
  <c r="AG10" i="20" s="1"/>
  <c r="ABI10" i="20" s="1"/>
  <c r="BCK10" i="20" s="1"/>
  <c r="CDM10" i="20" s="1"/>
  <c r="AE9" i="5"/>
  <c r="AE10" i="20" s="1"/>
  <c r="ABG10" i="20" s="1"/>
  <c r="BCI10" i="20" s="1"/>
  <c r="CDK10" i="20" s="1"/>
  <c r="Z9" i="5"/>
  <c r="Z10" i="20" s="1"/>
  <c r="ABB10" i="20" s="1"/>
  <c r="BCD10" i="20" s="1"/>
  <c r="CDF10" i="20" s="1"/>
  <c r="Y9" i="5"/>
  <c r="Y10" i="20" s="1"/>
  <c r="ABA10" i="20" s="1"/>
  <c r="BCC10" i="20" s="1"/>
  <c r="CDE10" i="20" s="1"/>
  <c r="X9" i="5"/>
  <c r="X10" i="20" s="1"/>
  <c r="AAZ10" i="20" s="1"/>
  <c r="BCB10" i="20" s="1"/>
  <c r="CDD10" i="20" s="1"/>
  <c r="AH8" i="5"/>
  <c r="AH9" i="20" s="1"/>
  <c r="ABJ9" i="20" s="1"/>
  <c r="BCL9" i="20" s="1"/>
  <c r="CDN9" i="20" s="1"/>
  <c r="AG8" i="5"/>
  <c r="AG9" i="20" s="1"/>
  <c r="ABI9" i="20" s="1"/>
  <c r="BCK9" i="20" s="1"/>
  <c r="CDM9" i="20" s="1"/>
  <c r="AF8" i="5"/>
  <c r="AF9" i="20" s="1"/>
  <c r="ABH9" i="20" s="1"/>
  <c r="BCJ9" i="20" s="1"/>
  <c r="CDL9" i="20" s="1"/>
  <c r="AE8" i="5"/>
  <c r="AE9" i="20" s="1"/>
  <c r="ABG9" i="20" s="1"/>
  <c r="BCI9" i="20" s="1"/>
  <c r="CDK9" i="20" s="1"/>
  <c r="AD8" i="5"/>
  <c r="AD9" i="20" s="1"/>
  <c r="ABF9" i="20" s="1"/>
  <c r="BCH9" i="20" s="1"/>
  <c r="CDJ9" i="20" s="1"/>
  <c r="AC8" i="5"/>
  <c r="AC9" i="20" s="1"/>
  <c r="ABE9" i="20" s="1"/>
  <c r="BCG9" i="20" s="1"/>
  <c r="CDI9" i="20" s="1"/>
  <c r="AB8" i="5"/>
  <c r="AB9" i="20" s="1"/>
  <c r="ABD9" i="20" s="1"/>
  <c r="BCF9" i="20" s="1"/>
  <c r="CDH9" i="20" s="1"/>
  <c r="AA8" i="5"/>
  <c r="AA9" i="20" s="1"/>
  <c r="ABC9" i="20" s="1"/>
  <c r="BCE9" i="20" s="1"/>
  <c r="CDG9" i="20" s="1"/>
  <c r="Z8" i="5"/>
  <c r="Z9" i="20" s="1"/>
  <c r="ABB9" i="20" s="1"/>
  <c r="BCD9" i="20" s="1"/>
  <c r="CDF9" i="20" s="1"/>
  <c r="Y8" i="5"/>
  <c r="Y9" i="20" s="1"/>
  <c r="ABA9" i="20" s="1"/>
  <c r="BCC9" i="20" s="1"/>
  <c r="CDE9" i="20" s="1"/>
  <c r="X8" i="5"/>
  <c r="X9" i="20" s="1"/>
  <c r="AAZ9" i="20" s="1"/>
  <c r="BCB9" i="20" s="1"/>
  <c r="CDD9" i="20" s="1"/>
  <c r="AH7" i="5"/>
  <c r="AH8" i="20" s="1"/>
  <c r="ABJ8" i="20" s="1"/>
  <c r="BCL8" i="20" s="1"/>
  <c r="CDN8" i="20" s="1"/>
  <c r="AG7" i="5"/>
  <c r="AG8" i="20" s="1"/>
  <c r="ABI8" i="20" s="1"/>
  <c r="BCK8" i="20" s="1"/>
  <c r="CDM8" i="20" s="1"/>
  <c r="AF7" i="5"/>
  <c r="AF8" i="20" s="1"/>
  <c r="ABH8" i="20" s="1"/>
  <c r="BCJ8" i="20" s="1"/>
  <c r="CDL8" i="20" s="1"/>
  <c r="AE7" i="5"/>
  <c r="AE8" i="20" s="1"/>
  <c r="ABG8" i="20" s="1"/>
  <c r="BCI8" i="20" s="1"/>
  <c r="CDK8" i="20" s="1"/>
  <c r="AD7" i="5"/>
  <c r="AD8" i="20" s="1"/>
  <c r="ABF8" i="20" s="1"/>
  <c r="BCH8" i="20" s="1"/>
  <c r="CDJ8" i="20" s="1"/>
  <c r="AC7" i="5"/>
  <c r="AC8" i="20" s="1"/>
  <c r="ABE8" i="20" s="1"/>
  <c r="BCG8" i="20" s="1"/>
  <c r="CDI8" i="20" s="1"/>
  <c r="AB7" i="5"/>
  <c r="AB8" i="20" s="1"/>
  <c r="ABD8" i="20" s="1"/>
  <c r="BCF8" i="20" s="1"/>
  <c r="CDH8" i="20" s="1"/>
  <c r="AA7" i="5"/>
  <c r="AA8" i="20" s="1"/>
  <c r="ABC8" i="20" s="1"/>
  <c r="BCE8" i="20" s="1"/>
  <c r="CDG8" i="20" s="1"/>
  <c r="Z7" i="5"/>
  <c r="Z8" i="20" s="1"/>
  <c r="ABB8" i="20" s="1"/>
  <c r="BCD8" i="20" s="1"/>
  <c r="CDF8" i="20" s="1"/>
  <c r="Y7" i="5"/>
  <c r="Y8" i="20" s="1"/>
  <c r="ABA8" i="20" s="1"/>
  <c r="BCC8" i="20" s="1"/>
  <c r="CDE8" i="20" s="1"/>
  <c r="X7" i="5"/>
  <c r="X8" i="20" s="1"/>
  <c r="AAZ8" i="20" s="1"/>
  <c r="BCB8" i="20" s="1"/>
  <c r="CDD8" i="20" s="1"/>
  <c r="AH6" i="5"/>
  <c r="AH7" i="20" s="1"/>
  <c r="ABJ7" i="20" s="1"/>
  <c r="BCL7" i="20" s="1"/>
  <c r="CDN7" i="20" s="1"/>
  <c r="AG6" i="5"/>
  <c r="AG7" i="20" s="1"/>
  <c r="ABI7" i="20" s="1"/>
  <c r="BCK7" i="20" s="1"/>
  <c r="CDM7" i="20" s="1"/>
  <c r="AF6" i="5"/>
  <c r="AF7" i="20" s="1"/>
  <c r="ABH7" i="20" s="1"/>
  <c r="BCJ7" i="20" s="1"/>
  <c r="CDL7" i="20" s="1"/>
  <c r="AE6" i="5"/>
  <c r="AE7" i="20" s="1"/>
  <c r="ABG7" i="20" s="1"/>
  <c r="BCI7" i="20" s="1"/>
  <c r="CDK7" i="20" s="1"/>
  <c r="AD6" i="5"/>
  <c r="AD7" i="20" s="1"/>
  <c r="ABF7" i="20" s="1"/>
  <c r="BCH7" i="20" s="1"/>
  <c r="CDJ7" i="20" s="1"/>
  <c r="AC6" i="5"/>
  <c r="AC7" i="20" s="1"/>
  <c r="ABE7" i="20" s="1"/>
  <c r="BCG7" i="20" s="1"/>
  <c r="CDI7" i="20" s="1"/>
  <c r="AB6" i="5"/>
  <c r="AB7" i="20" s="1"/>
  <c r="ABD7" i="20" s="1"/>
  <c r="BCF7" i="20" s="1"/>
  <c r="CDH7" i="20" s="1"/>
  <c r="AA6" i="5"/>
  <c r="AA7" i="20" s="1"/>
  <c r="ABC7" i="20" s="1"/>
  <c r="BCE7" i="20" s="1"/>
  <c r="CDG7" i="20" s="1"/>
  <c r="Z6" i="5"/>
  <c r="Z7" i="20" s="1"/>
  <c r="ABB7" i="20" s="1"/>
  <c r="BCD7" i="20" s="1"/>
  <c r="CDF7" i="20" s="1"/>
  <c r="Y6" i="5"/>
  <c r="Y7" i="20" s="1"/>
  <c r="ABA7" i="20" s="1"/>
  <c r="BCC7" i="20" s="1"/>
  <c r="CDE7" i="20" s="1"/>
  <c r="X6" i="5"/>
  <c r="X7" i="20" s="1"/>
  <c r="AAZ7" i="20" s="1"/>
  <c r="BCB7" i="20" s="1"/>
  <c r="CDD7" i="20" s="1"/>
  <c r="AH5" i="5"/>
  <c r="AH6" i="20" s="1"/>
  <c r="ABJ6" i="20" s="1"/>
  <c r="BCL6" i="20" s="1"/>
  <c r="CDN6" i="20" s="1"/>
  <c r="AG5" i="5"/>
  <c r="AG6" i="20" s="1"/>
  <c r="ABI6" i="20" s="1"/>
  <c r="BCK6" i="20" s="1"/>
  <c r="CDM6" i="20" s="1"/>
  <c r="AF5" i="5"/>
  <c r="AF6" i="20" s="1"/>
  <c r="ABH6" i="20" s="1"/>
  <c r="BCJ6" i="20" s="1"/>
  <c r="CDL6" i="20" s="1"/>
  <c r="AE5" i="5"/>
  <c r="AE6" i="20" s="1"/>
  <c r="ABG6" i="20" s="1"/>
  <c r="BCI6" i="20" s="1"/>
  <c r="CDK6" i="20" s="1"/>
  <c r="AD5" i="5"/>
  <c r="AD6" i="20" s="1"/>
  <c r="ABF6" i="20" s="1"/>
  <c r="BCH6" i="20" s="1"/>
  <c r="CDJ6" i="20" s="1"/>
  <c r="AC5" i="5"/>
  <c r="AC6" i="20" s="1"/>
  <c r="ABE6" i="20" s="1"/>
  <c r="BCG6" i="20" s="1"/>
  <c r="CDI6" i="20" s="1"/>
  <c r="AB5" i="5"/>
  <c r="AB6" i="20" s="1"/>
  <c r="ABD6" i="20" s="1"/>
  <c r="BCF6" i="20" s="1"/>
  <c r="CDH6" i="20" s="1"/>
  <c r="AA5" i="5"/>
  <c r="AA6" i="20" s="1"/>
  <c r="ABC6" i="20" s="1"/>
  <c r="BCE6" i="20" s="1"/>
  <c r="CDG6" i="20" s="1"/>
  <c r="Z5" i="5"/>
  <c r="Z6" i="20" s="1"/>
  <c r="ABB6" i="20" s="1"/>
  <c r="BCD6" i="20" s="1"/>
  <c r="CDF6" i="20" s="1"/>
  <c r="Y5" i="5"/>
  <c r="Y6" i="20" s="1"/>
  <c r="ABA6" i="20" s="1"/>
  <c r="BCC6" i="20" s="1"/>
  <c r="CDE6" i="20" s="1"/>
  <c r="X5" i="5"/>
  <c r="X6" i="20" s="1"/>
  <c r="AAZ6" i="20" s="1"/>
  <c r="BCB6" i="20" s="1"/>
  <c r="CDD6" i="20" s="1"/>
  <c r="B6" i="5"/>
  <c r="C6" i="5"/>
  <c r="D6" i="5"/>
  <c r="E6" i="5"/>
  <c r="E7" i="20" s="1"/>
  <c r="AAG7" i="20" s="1"/>
  <c r="BBI7" i="20" s="1"/>
  <c r="CCK7" i="20" s="1"/>
  <c r="F6" i="5"/>
  <c r="G6" i="5"/>
  <c r="G7" i="20" s="1"/>
  <c r="AAI7" i="20" s="1"/>
  <c r="BBK7" i="20" s="1"/>
  <c r="CCM7" i="20" s="1"/>
  <c r="H6" i="5"/>
  <c r="I6" i="5"/>
  <c r="I7" i="20" s="1"/>
  <c r="AAK7" i="20" s="1"/>
  <c r="BBM7" i="20" s="1"/>
  <c r="CCO7" i="20" s="1"/>
  <c r="J6" i="5"/>
  <c r="K6" i="5"/>
  <c r="L6" i="5"/>
  <c r="B7" i="5"/>
  <c r="C7" i="5"/>
  <c r="D7" i="5"/>
  <c r="E7" i="5"/>
  <c r="E8" i="20" s="1"/>
  <c r="AAG8" i="20" s="1"/>
  <c r="BBI8" i="20" s="1"/>
  <c r="CCK8" i="20" s="1"/>
  <c r="F7" i="5"/>
  <c r="G7" i="5"/>
  <c r="G8" i="20" s="1"/>
  <c r="AAI8" i="20" s="1"/>
  <c r="BBK8" i="20" s="1"/>
  <c r="CCM8" i="20" s="1"/>
  <c r="H7" i="5"/>
  <c r="I7" i="5"/>
  <c r="I8" i="20" s="1"/>
  <c r="AAK8" i="20" s="1"/>
  <c r="BBM8" i="20" s="1"/>
  <c r="CCO8" i="20" s="1"/>
  <c r="J7" i="5"/>
  <c r="K7" i="5"/>
  <c r="L7" i="5"/>
  <c r="B8" i="5"/>
  <c r="C8" i="5"/>
  <c r="D8" i="5"/>
  <c r="E8" i="5"/>
  <c r="E9" i="20" s="1"/>
  <c r="AAG9" i="20" s="1"/>
  <c r="BBI9" i="20" s="1"/>
  <c r="CCK9" i="20" s="1"/>
  <c r="F8" i="5"/>
  <c r="G8" i="5"/>
  <c r="G9" i="20" s="1"/>
  <c r="AAI9" i="20" s="1"/>
  <c r="BBK9" i="20" s="1"/>
  <c r="CCM9" i="20" s="1"/>
  <c r="H8" i="5"/>
  <c r="I8" i="5"/>
  <c r="I9" i="20" s="1"/>
  <c r="AAK9" i="20" s="1"/>
  <c r="BBM9" i="20" s="1"/>
  <c r="CCO9" i="20" s="1"/>
  <c r="J8" i="5"/>
  <c r="K8" i="5"/>
  <c r="L8" i="5"/>
  <c r="B9" i="5"/>
  <c r="C9" i="5"/>
  <c r="D9" i="5"/>
  <c r="E9" i="5"/>
  <c r="E10" i="20" s="1"/>
  <c r="AAG10" i="20" s="1"/>
  <c r="BBI10" i="20" s="1"/>
  <c r="CCK10" i="20" s="1"/>
  <c r="F9" i="5"/>
  <c r="G9" i="5"/>
  <c r="G10" i="20" s="1"/>
  <c r="AAI10" i="20" s="1"/>
  <c r="BBK10" i="20" s="1"/>
  <c r="CCM10" i="20" s="1"/>
  <c r="H9" i="5"/>
  <c r="I9" i="5"/>
  <c r="I10" i="20" s="1"/>
  <c r="AAK10" i="20" s="1"/>
  <c r="BBM10" i="20" s="1"/>
  <c r="CCO10" i="20" s="1"/>
  <c r="J9" i="5"/>
  <c r="K9" i="5"/>
  <c r="L9" i="5"/>
  <c r="B10" i="5"/>
  <c r="C10" i="5"/>
  <c r="D10" i="5"/>
  <c r="E10" i="5"/>
  <c r="E11" i="20" s="1"/>
  <c r="AAG11" i="20" s="1"/>
  <c r="BBI11" i="20" s="1"/>
  <c r="CCK11" i="20" s="1"/>
  <c r="F10" i="5"/>
  <c r="G10" i="5"/>
  <c r="G11" i="20" s="1"/>
  <c r="AAI11" i="20" s="1"/>
  <c r="BBK11" i="20" s="1"/>
  <c r="CCM11" i="20" s="1"/>
  <c r="H10" i="5"/>
  <c r="I10" i="5"/>
  <c r="I11" i="20" s="1"/>
  <c r="AAK11" i="20" s="1"/>
  <c r="BBM11" i="20" s="1"/>
  <c r="CCO11" i="20" s="1"/>
  <c r="J10" i="5"/>
  <c r="K10" i="5"/>
  <c r="L10" i="5"/>
  <c r="B11" i="5"/>
  <c r="C11" i="5"/>
  <c r="D11" i="5"/>
  <c r="E11" i="5"/>
  <c r="E12" i="20" s="1"/>
  <c r="AAG12" i="20" s="1"/>
  <c r="BBI12" i="20" s="1"/>
  <c r="CCK12" i="20" s="1"/>
  <c r="F11" i="5"/>
  <c r="G11" i="5"/>
  <c r="G12" i="20" s="1"/>
  <c r="AAI12" i="20" s="1"/>
  <c r="BBK12" i="20" s="1"/>
  <c r="CCM12" i="20" s="1"/>
  <c r="H11" i="5"/>
  <c r="I11" i="5"/>
  <c r="I12" i="20" s="1"/>
  <c r="AAK12" i="20" s="1"/>
  <c r="BBM12" i="20" s="1"/>
  <c r="CCO12" i="20" s="1"/>
  <c r="J11" i="5"/>
  <c r="K11" i="5"/>
  <c r="L11" i="5"/>
  <c r="B12" i="5"/>
  <c r="C12" i="5"/>
  <c r="D12" i="5"/>
  <c r="E12" i="5"/>
  <c r="E13" i="20" s="1"/>
  <c r="AAG13" i="20" s="1"/>
  <c r="BBI13" i="20" s="1"/>
  <c r="CCK13" i="20" s="1"/>
  <c r="F12" i="5"/>
  <c r="G12" i="5"/>
  <c r="G13" i="20" s="1"/>
  <c r="AAI13" i="20" s="1"/>
  <c r="BBK13" i="20" s="1"/>
  <c r="CCM13" i="20" s="1"/>
  <c r="H12" i="5"/>
  <c r="I13" i="20"/>
  <c r="AAK13" i="20" s="1"/>
  <c r="BBM13" i="20" s="1"/>
  <c r="CCO13" i="20" s="1"/>
  <c r="J12" i="5"/>
  <c r="K12" i="5"/>
  <c r="L12" i="5"/>
  <c r="L5" i="5"/>
  <c r="K5" i="5"/>
  <c r="J5" i="5"/>
  <c r="I5" i="5"/>
  <c r="I6" i="20" s="1"/>
  <c r="AAK6" i="20" s="1"/>
  <c r="BBM6" i="20" s="1"/>
  <c r="CCO6" i="20" s="1"/>
  <c r="H5" i="5"/>
  <c r="G5" i="5"/>
  <c r="G6" i="20" s="1"/>
  <c r="AAI6" i="20" s="1"/>
  <c r="BBK6" i="20" s="1"/>
  <c r="CCM6" i="20" s="1"/>
  <c r="F5" i="5"/>
  <c r="E5" i="5"/>
  <c r="E6" i="20" s="1"/>
  <c r="AAG6" i="20" s="1"/>
  <c r="BBI6" i="20" s="1"/>
  <c r="CCK6" i="20" s="1"/>
  <c r="D5" i="5"/>
  <c r="C5" i="5"/>
  <c r="B5" i="5"/>
  <c r="BE13" i="9" l="1"/>
  <c r="L13" i="20"/>
  <c r="AAN13" i="20" s="1"/>
  <c r="BBP13" i="20" s="1"/>
  <c r="CCR13" i="20" s="1"/>
  <c r="I13" i="9"/>
  <c r="Y13" i="9"/>
  <c r="AO13" i="9"/>
  <c r="L7" i="20"/>
  <c r="AAN7" i="20" s="1"/>
  <c r="BBP7" i="20" s="1"/>
  <c r="CCR7" i="20" s="1"/>
  <c r="I7" i="9"/>
  <c r="Y7" i="9"/>
  <c r="AO7" i="9"/>
  <c r="BE7" i="9"/>
  <c r="L12" i="20"/>
  <c r="AAN12" i="20" s="1"/>
  <c r="BBP12" i="20" s="1"/>
  <c r="CCR12" i="20" s="1"/>
  <c r="I12" i="9"/>
  <c r="Y12" i="9"/>
  <c r="AO12" i="9"/>
  <c r="BE12" i="9"/>
  <c r="L9" i="20"/>
  <c r="AAN9" i="20" s="1"/>
  <c r="BBP9" i="20" s="1"/>
  <c r="CCR9" i="20" s="1"/>
  <c r="I9" i="9"/>
  <c r="Y9" i="9"/>
  <c r="AO9" i="9"/>
  <c r="BE9" i="9"/>
  <c r="L11" i="20"/>
  <c r="AAN11" i="20" s="1"/>
  <c r="BBP11" i="20" s="1"/>
  <c r="CCR11" i="20" s="1"/>
  <c r="BE11" i="9"/>
  <c r="I11" i="9"/>
  <c r="Y11" i="9"/>
  <c r="AO11" i="9"/>
  <c r="I8" i="9"/>
  <c r="Y8" i="9"/>
  <c r="AO8" i="9"/>
  <c r="L8" i="20"/>
  <c r="AAN8" i="20" s="1"/>
  <c r="BBP8" i="20" s="1"/>
  <c r="CCR8" i="20" s="1"/>
  <c r="BE8" i="9"/>
  <c r="I10" i="9"/>
  <c r="Y10" i="9"/>
  <c r="AO10" i="9"/>
  <c r="BE10" i="9"/>
  <c r="L10" i="20"/>
  <c r="AAN10" i="20" s="1"/>
  <c r="BBP10" i="20" s="1"/>
  <c r="CCR10" i="20" s="1"/>
  <c r="AO6" i="9"/>
  <c r="BE6" i="9"/>
  <c r="I6" i="9"/>
  <c r="L6" i="20"/>
  <c r="AAN6" i="20" s="1"/>
  <c r="BBP6" i="20" s="1"/>
  <c r="CCR6" i="20" s="1"/>
  <c r="Y6" i="9"/>
  <c r="K13" i="20"/>
  <c r="AAM13" i="20" s="1"/>
  <c r="BBO13" i="20" s="1"/>
  <c r="CCQ13" i="20" s="1"/>
  <c r="H13" i="9"/>
  <c r="X13" i="9"/>
  <c r="AN13" i="9"/>
  <c r="BD13" i="9"/>
  <c r="AN12" i="9"/>
  <c r="BD12" i="9"/>
  <c r="K12" i="20"/>
  <c r="AAM12" i="20" s="1"/>
  <c r="BBO12" i="20" s="1"/>
  <c r="CCQ12" i="20" s="1"/>
  <c r="H12" i="9"/>
  <c r="X12" i="9"/>
  <c r="AN11" i="9"/>
  <c r="BD11" i="9"/>
  <c r="H11" i="9"/>
  <c r="K11" i="20"/>
  <c r="AAM11" i="20" s="1"/>
  <c r="BBO11" i="20" s="1"/>
  <c r="CCQ11" i="20" s="1"/>
  <c r="X11" i="9"/>
  <c r="K10" i="20"/>
  <c r="AAM10" i="20" s="1"/>
  <c r="BBO10" i="20" s="1"/>
  <c r="CCQ10" i="20" s="1"/>
  <c r="AN10" i="9"/>
  <c r="X10" i="9"/>
  <c r="BD10" i="9"/>
  <c r="H10" i="9"/>
  <c r="AN9" i="9"/>
  <c r="K9" i="20"/>
  <c r="AAM9" i="20" s="1"/>
  <c r="BBO9" i="20" s="1"/>
  <c r="CCQ9" i="20" s="1"/>
  <c r="BD9" i="9"/>
  <c r="H9" i="9"/>
  <c r="X9" i="9"/>
  <c r="AN8" i="9"/>
  <c r="BD8" i="9"/>
  <c r="X8" i="9"/>
  <c r="H8" i="9"/>
  <c r="K8" i="20"/>
  <c r="AAM8" i="20" s="1"/>
  <c r="BBO8" i="20" s="1"/>
  <c r="CCQ8" i="20" s="1"/>
  <c r="AN7" i="9"/>
  <c r="X7" i="9"/>
  <c r="BD7" i="9"/>
  <c r="K7" i="20"/>
  <c r="AAM7" i="20" s="1"/>
  <c r="BBO7" i="20" s="1"/>
  <c r="CCQ7" i="20" s="1"/>
  <c r="H7" i="9"/>
  <c r="X6" i="9"/>
  <c r="AN6" i="9"/>
  <c r="BD6" i="9"/>
  <c r="K6" i="20"/>
  <c r="AAM6" i="20" s="1"/>
  <c r="BBO6" i="20" s="1"/>
  <c r="CCQ6" i="20" s="1"/>
  <c r="H6" i="9"/>
  <c r="AM6" i="9"/>
  <c r="G6" i="9"/>
  <c r="BC6" i="9"/>
  <c r="J6" i="20"/>
  <c r="AAL6" i="20" s="1"/>
  <c r="BBN6" i="20" s="1"/>
  <c r="CCP6" i="20" s="1"/>
  <c r="W6" i="9"/>
  <c r="BC12" i="9"/>
  <c r="J12" i="20"/>
  <c r="AAL12" i="20" s="1"/>
  <c r="BBN12" i="20" s="1"/>
  <c r="CCP12" i="20" s="1"/>
  <c r="W12" i="9"/>
  <c r="AM12" i="9"/>
  <c r="G12" i="9"/>
  <c r="W9" i="9"/>
  <c r="AM9" i="9"/>
  <c r="J9" i="20"/>
  <c r="AAL9" i="20" s="1"/>
  <c r="BBN9" i="20" s="1"/>
  <c r="CCP9" i="20" s="1"/>
  <c r="G9" i="9"/>
  <c r="BC9" i="9"/>
  <c r="AM11" i="9"/>
  <c r="G11" i="9"/>
  <c r="BC11" i="9"/>
  <c r="J11" i="20"/>
  <c r="AAL11" i="20" s="1"/>
  <c r="BBN11" i="20" s="1"/>
  <c r="CCP11" i="20" s="1"/>
  <c r="W11" i="9"/>
  <c r="J7" i="20"/>
  <c r="AAL7" i="20" s="1"/>
  <c r="BBN7" i="20" s="1"/>
  <c r="CCP7" i="20" s="1"/>
  <c r="W7" i="9"/>
  <c r="AM7" i="9"/>
  <c r="G7" i="9"/>
  <c r="BC7" i="9"/>
  <c r="AM8" i="9"/>
  <c r="G8" i="9"/>
  <c r="J8" i="20"/>
  <c r="AAL8" i="20" s="1"/>
  <c r="BBN8" i="20" s="1"/>
  <c r="CCP8" i="20" s="1"/>
  <c r="BC8" i="9"/>
  <c r="W8" i="9"/>
  <c r="H11" i="20"/>
  <c r="AAJ11" i="20" s="1"/>
  <c r="BBL11" i="20" s="1"/>
  <c r="CCN11" i="20" s="1"/>
  <c r="F11" i="9"/>
  <c r="AL11" i="9"/>
  <c r="V11" i="9"/>
  <c r="BB11" i="9"/>
  <c r="H8" i="20"/>
  <c r="AAJ8" i="20" s="1"/>
  <c r="BBL8" i="20" s="1"/>
  <c r="CCN8" i="20" s="1"/>
  <c r="F8" i="9"/>
  <c r="AL8" i="9"/>
  <c r="V8" i="9"/>
  <c r="BB8" i="9"/>
  <c r="H7" i="20"/>
  <c r="AAJ7" i="20" s="1"/>
  <c r="BBL7" i="20" s="1"/>
  <c r="CCN7" i="20" s="1"/>
  <c r="F7" i="9"/>
  <c r="AL7" i="9"/>
  <c r="V7" i="9"/>
  <c r="BB7" i="9"/>
  <c r="H12" i="20"/>
  <c r="AAJ12" i="20" s="1"/>
  <c r="BBL12" i="20" s="1"/>
  <c r="CCN12" i="20" s="1"/>
  <c r="F12" i="9"/>
  <c r="AL12" i="9"/>
  <c r="V12" i="9"/>
  <c r="BB12" i="9"/>
  <c r="H6" i="20"/>
  <c r="AAJ6" i="20" s="1"/>
  <c r="BBL6" i="20" s="1"/>
  <c r="CCN6" i="20" s="1"/>
  <c r="F6" i="9"/>
  <c r="AL6" i="9"/>
  <c r="V6" i="9"/>
  <c r="BB6" i="9"/>
  <c r="H9" i="20"/>
  <c r="AAJ9" i="20" s="1"/>
  <c r="BBL9" i="20" s="1"/>
  <c r="CCN9" i="20" s="1"/>
  <c r="V9" i="9"/>
  <c r="BB9" i="9"/>
  <c r="F9" i="9"/>
  <c r="AL9" i="9"/>
  <c r="F9" i="20"/>
  <c r="AAH9" i="20" s="1"/>
  <c r="BBJ9" i="20" s="1"/>
  <c r="CCL9" i="20" s="1"/>
  <c r="BA9" i="9"/>
  <c r="E9" i="9"/>
  <c r="AK9" i="9"/>
  <c r="U9" i="9"/>
  <c r="AK6" i="9"/>
  <c r="F6" i="20"/>
  <c r="AAH6" i="20" s="1"/>
  <c r="BBJ6" i="20" s="1"/>
  <c r="CCL6" i="20" s="1"/>
  <c r="U6" i="9"/>
  <c r="BA6" i="9"/>
  <c r="E6" i="9"/>
  <c r="AK11" i="9"/>
  <c r="U11" i="9"/>
  <c r="F11" i="20"/>
  <c r="AAH11" i="20" s="1"/>
  <c r="BBJ11" i="20" s="1"/>
  <c r="CCL11" i="20" s="1"/>
  <c r="BA11" i="9"/>
  <c r="E11" i="9"/>
  <c r="AK8" i="9"/>
  <c r="F8" i="20"/>
  <c r="AAH8" i="20" s="1"/>
  <c r="BBJ8" i="20" s="1"/>
  <c r="CCL8" i="20" s="1"/>
  <c r="U8" i="9"/>
  <c r="BA8" i="9"/>
  <c r="E8" i="9"/>
  <c r="F7" i="20"/>
  <c r="AAH7" i="20" s="1"/>
  <c r="BBJ7" i="20" s="1"/>
  <c r="CCL7" i="20" s="1"/>
  <c r="BA7" i="9"/>
  <c r="E7" i="9"/>
  <c r="AK7" i="9"/>
  <c r="U7" i="9"/>
  <c r="F12" i="20"/>
  <c r="AAH12" i="20" s="1"/>
  <c r="BBJ12" i="20" s="1"/>
  <c r="CCL12" i="20" s="1"/>
  <c r="BA12" i="9"/>
  <c r="E12" i="9"/>
  <c r="U12" i="9"/>
  <c r="AK12" i="9"/>
  <c r="D12" i="20"/>
  <c r="AAF12" i="20" s="1"/>
  <c r="BBH12" i="20" s="1"/>
  <c r="CCJ12" i="20" s="1"/>
  <c r="D12" i="9"/>
  <c r="T12" i="9"/>
  <c r="AJ12" i="9"/>
  <c r="AZ12" i="9"/>
  <c r="AX10" i="9"/>
  <c r="B10" i="9"/>
  <c r="AH10" i="9"/>
  <c r="B10" i="20"/>
  <c r="AAD10" i="20" s="1"/>
  <c r="BBF10" i="20" s="1"/>
  <c r="CCH10" i="20" s="1"/>
  <c r="R10" i="9"/>
  <c r="C7" i="20"/>
  <c r="AAE7" i="20" s="1"/>
  <c r="BBG7" i="20" s="1"/>
  <c r="CCI7" i="20" s="1"/>
  <c r="C7" i="9"/>
  <c r="S7" i="9"/>
  <c r="AI7" i="9"/>
  <c r="AY7" i="9"/>
  <c r="B11" i="20"/>
  <c r="AAD11" i="20" s="1"/>
  <c r="BBF11" i="20" s="1"/>
  <c r="CCH11" i="20" s="1"/>
  <c r="B11" i="9"/>
  <c r="R11" i="9"/>
  <c r="AH11" i="9"/>
  <c r="AX11" i="9"/>
  <c r="C8" i="20"/>
  <c r="AAE8" i="20" s="1"/>
  <c r="BBG8" i="20" s="1"/>
  <c r="CCI8" i="20" s="1"/>
  <c r="C8" i="9"/>
  <c r="S8" i="9"/>
  <c r="AI8" i="9"/>
  <c r="AY8" i="9"/>
  <c r="D10" i="20"/>
  <c r="AAF10" i="20" s="1"/>
  <c r="BBH10" i="20" s="1"/>
  <c r="CCJ10" i="20" s="1"/>
  <c r="T10" i="9"/>
  <c r="AZ10" i="9"/>
  <c r="D10" i="9"/>
  <c r="AJ10" i="9"/>
  <c r="B8" i="9"/>
  <c r="R8" i="9"/>
  <c r="AH8" i="9"/>
  <c r="AX8" i="9"/>
  <c r="B8" i="20"/>
  <c r="AAD8" i="20" s="1"/>
  <c r="BBF8" i="20" s="1"/>
  <c r="CCH8" i="20" s="1"/>
  <c r="B13" i="20"/>
  <c r="AAD13" i="20" s="1"/>
  <c r="BBF13" i="20" s="1"/>
  <c r="CCH13" i="20" s="1"/>
  <c r="AH13" i="9"/>
  <c r="R13" i="9"/>
  <c r="AX13" i="9"/>
  <c r="B13" i="9"/>
  <c r="C10" i="20"/>
  <c r="AAE10" i="20" s="1"/>
  <c r="BBG10" i="20" s="1"/>
  <c r="CCI10" i="20" s="1"/>
  <c r="S10" i="9"/>
  <c r="AY10" i="9"/>
  <c r="C10" i="9"/>
  <c r="AI10" i="9"/>
  <c r="D7" i="20"/>
  <c r="AAF7" i="20" s="1"/>
  <c r="BBH7" i="20" s="1"/>
  <c r="CCJ7" i="20" s="1"/>
  <c r="D7" i="9"/>
  <c r="T7" i="9"/>
  <c r="AJ7" i="9"/>
  <c r="AZ7" i="9"/>
  <c r="C12" i="20"/>
  <c r="AAE12" i="20" s="1"/>
  <c r="BBG12" i="20" s="1"/>
  <c r="CCI12" i="20" s="1"/>
  <c r="C12" i="9"/>
  <c r="S12" i="9"/>
  <c r="AI12" i="9"/>
  <c r="AY12" i="9"/>
  <c r="D9" i="20"/>
  <c r="AAF9" i="20" s="1"/>
  <c r="BBH9" i="20" s="1"/>
  <c r="CCJ9" i="20" s="1"/>
  <c r="D9" i="9"/>
  <c r="T9" i="9"/>
  <c r="AJ9" i="9"/>
  <c r="AZ9" i="9"/>
  <c r="B7" i="9"/>
  <c r="R7" i="9"/>
  <c r="AH7" i="9"/>
  <c r="AX7" i="9"/>
  <c r="B7" i="20"/>
  <c r="AAD7" i="20" s="1"/>
  <c r="BBF7" i="20" s="1"/>
  <c r="CCH7" i="20" s="1"/>
  <c r="B12" i="9"/>
  <c r="R12" i="9"/>
  <c r="AH12" i="9"/>
  <c r="AX12" i="9"/>
  <c r="B12" i="20"/>
  <c r="AAD12" i="20" s="1"/>
  <c r="BBF12" i="20" s="1"/>
  <c r="CCH12" i="20" s="1"/>
  <c r="C9" i="20"/>
  <c r="AAE9" i="20" s="1"/>
  <c r="BBG9" i="20" s="1"/>
  <c r="CCI9" i="20" s="1"/>
  <c r="C9" i="9"/>
  <c r="S9" i="9"/>
  <c r="AI9" i="9"/>
  <c r="AY9" i="9"/>
  <c r="D13" i="9"/>
  <c r="D13" i="20"/>
  <c r="AAF13" i="20" s="1"/>
  <c r="BBH13" i="20" s="1"/>
  <c r="CCJ13" i="20" s="1"/>
  <c r="AJ13" i="9"/>
  <c r="T13" i="9"/>
  <c r="AZ13" i="9"/>
  <c r="C13" i="20"/>
  <c r="AAE13" i="20" s="1"/>
  <c r="BBG13" i="20" s="1"/>
  <c r="CCI13" i="20" s="1"/>
  <c r="AI13" i="9"/>
  <c r="S13" i="9"/>
  <c r="AY13" i="9"/>
  <c r="C13" i="9"/>
  <c r="D11" i="20"/>
  <c r="AAF11" i="20" s="1"/>
  <c r="BBH11" i="20" s="1"/>
  <c r="CCJ11" i="20" s="1"/>
  <c r="D11" i="9"/>
  <c r="T11" i="9"/>
  <c r="AJ11" i="9"/>
  <c r="AZ11" i="9"/>
  <c r="B9" i="9"/>
  <c r="R9" i="9"/>
  <c r="AH9" i="9"/>
  <c r="AX9" i="9"/>
  <c r="B9" i="20"/>
  <c r="AAD9" i="20" s="1"/>
  <c r="BBF9" i="20" s="1"/>
  <c r="CCH9" i="20" s="1"/>
  <c r="C11" i="20"/>
  <c r="AAE11" i="20" s="1"/>
  <c r="BBG11" i="20" s="1"/>
  <c r="CCI11" i="20" s="1"/>
  <c r="C11" i="9"/>
  <c r="S11" i="9"/>
  <c r="AI11" i="9"/>
  <c r="AY11" i="9"/>
  <c r="D8" i="20"/>
  <c r="AAF8" i="20" s="1"/>
  <c r="BBH8" i="20" s="1"/>
  <c r="CCJ8" i="20" s="1"/>
  <c r="D8" i="9"/>
  <c r="T8" i="9"/>
  <c r="AJ8" i="9"/>
  <c r="AZ8" i="9"/>
  <c r="AI6" i="9"/>
  <c r="AY6" i="9"/>
  <c r="C6" i="20"/>
  <c r="AAE6" i="20" s="1"/>
  <c r="BBG6" i="20" s="1"/>
  <c r="CCI6" i="20" s="1"/>
  <c r="S6" i="9"/>
  <c r="C6" i="9"/>
  <c r="AJ6" i="9"/>
  <c r="AZ6" i="9"/>
  <c r="D6" i="20"/>
  <c r="AAF6" i="20" s="1"/>
  <c r="BBH6" i="20" s="1"/>
  <c r="CCJ6" i="20" s="1"/>
  <c r="T6" i="9"/>
  <c r="D6" i="9"/>
  <c r="B6" i="9"/>
  <c r="AH6" i="9"/>
  <c r="AX6" i="9"/>
  <c r="R6" i="9"/>
  <c r="B6" i="20"/>
  <c r="AAD6" i="20" s="1"/>
  <c r="BBF6" i="20" s="1"/>
  <c r="CCH6" i="20" s="1"/>
  <c r="G10" i="9"/>
  <c r="W10" i="9"/>
  <c r="AM10" i="9"/>
  <c r="BC10" i="9"/>
  <c r="J10" i="20"/>
  <c r="AAL10" i="20" s="1"/>
  <c r="BBN10" i="20" s="1"/>
  <c r="CCP10" i="20" s="1"/>
  <c r="J13" i="20"/>
  <c r="AAL13" i="20" s="1"/>
  <c r="BBN13" i="20" s="1"/>
  <c r="CCP13" i="20" s="1"/>
  <c r="G13" i="9"/>
  <c r="W13" i="9"/>
  <c r="AM13" i="9"/>
  <c r="BC13" i="9"/>
  <c r="F13" i="9"/>
  <c r="V13" i="9"/>
  <c r="AL13" i="9"/>
  <c r="BB13" i="9"/>
  <c r="H13" i="20"/>
  <c r="AAJ13" i="20" s="1"/>
  <c r="BBL13" i="20" s="1"/>
  <c r="CCN13" i="20" s="1"/>
  <c r="H10" i="20"/>
  <c r="AAJ10" i="20" s="1"/>
  <c r="BBL10" i="20" s="1"/>
  <c r="CCN10" i="20" s="1"/>
  <c r="F10" i="9"/>
  <c r="V10" i="9"/>
  <c r="AL10" i="9"/>
  <c r="BB10" i="9"/>
  <c r="E13" i="9"/>
  <c r="U13" i="9"/>
  <c r="AK13" i="9"/>
  <c r="BA13" i="9"/>
  <c r="F13" i="20"/>
  <c r="AAH13" i="20" s="1"/>
  <c r="BBJ13" i="20" s="1"/>
  <c r="CCL13" i="20" s="1"/>
  <c r="E10" i="9"/>
  <c r="U10" i="9"/>
  <c r="AK10" i="9"/>
  <c r="BA10" i="9"/>
  <c r="F10" i="20"/>
  <c r="AAH10" i="20" s="1"/>
  <c r="BBJ10" i="20" s="1"/>
  <c r="CCL10" i="20" s="1"/>
  <c r="BP1" i="5"/>
  <c r="AX38" i="5"/>
  <c r="AX12" i="5" s="1"/>
  <c r="AX13" i="20" s="1"/>
  <c r="ABZ13" i="20" s="1"/>
  <c r="BDB13" i="20" s="1"/>
  <c r="CED13" i="20" s="1"/>
  <c r="AW38" i="5"/>
  <c r="AW12" i="5" s="1"/>
  <c r="AW13" i="20" s="1"/>
  <c r="ABY13" i="20" s="1"/>
  <c r="BDA13" i="20" s="1"/>
  <c r="CEC13" i="20" s="1"/>
  <c r="BB35" i="5"/>
  <c r="BB9" i="5" s="1"/>
  <c r="BB10" i="20" s="1"/>
  <c r="ACD10" i="20" s="1"/>
  <c r="BDF10" i="20" s="1"/>
  <c r="CEH10" i="20" s="1"/>
  <c r="BA35" i="5"/>
  <c r="BA9" i="5" s="1"/>
  <c r="BA10" i="20" s="1"/>
  <c r="ACC10" i="20" s="1"/>
  <c r="BDE10" i="20" s="1"/>
  <c r="CEG10" i="20" s="1"/>
  <c r="BB38" i="5"/>
  <c r="BB12" i="5" s="1"/>
  <c r="BB13" i="20" s="1"/>
  <c r="ACD13" i="20" s="1"/>
  <c r="BDF13" i="20" s="1"/>
  <c r="CEH13" i="20" s="1"/>
  <c r="AZ35" i="5"/>
  <c r="AZ9" i="5" s="1"/>
  <c r="AZ10" i="20" s="1"/>
  <c r="ACB10" i="20" s="1"/>
  <c r="BDD10" i="20" s="1"/>
  <c r="CEF10" i="20" s="1"/>
  <c r="BA38" i="5"/>
  <c r="BA12" i="5" s="1"/>
  <c r="BA13" i="20" s="1"/>
  <c r="ACC13" i="20" s="1"/>
  <c r="BDE13" i="20" s="1"/>
  <c r="CEG13" i="20" s="1"/>
  <c r="AY35" i="5"/>
  <c r="AY9" i="5" s="1"/>
  <c r="AY10" i="20" s="1"/>
  <c r="ACA10" i="20" s="1"/>
  <c r="BDC10" i="20" s="1"/>
  <c r="CEE10" i="20" s="1"/>
  <c r="AZ38" i="5"/>
  <c r="AZ12" i="5" s="1"/>
  <c r="AZ13" i="20" s="1"/>
  <c r="ACB13" i="20" s="1"/>
  <c r="BDD13" i="20" s="1"/>
  <c r="CEF13" i="20" s="1"/>
  <c r="AX35" i="5"/>
  <c r="AX9" i="5" s="1"/>
  <c r="AX10" i="20" s="1"/>
  <c r="ABZ10" i="20" s="1"/>
  <c r="BDB10" i="20" s="1"/>
  <c r="CED10" i="20" s="1"/>
  <c r="AY38" i="5"/>
  <c r="AY12" i="5" s="1"/>
  <c r="AY13" i="20" s="1"/>
  <c r="ACA13" i="20" s="1"/>
  <c r="BDC13" i="20" s="1"/>
  <c r="CEE13" i="20" s="1"/>
  <c r="AW35" i="5"/>
  <c r="AW9" i="5" s="1"/>
  <c r="AW10" i="20" s="1"/>
  <c r="ABY10" i="20" s="1"/>
  <c r="BDA10" i="20" s="1"/>
  <c r="CEC10" i="20" s="1"/>
  <c r="L64" i="1"/>
  <c r="M64" i="1"/>
  <c r="L65" i="1"/>
  <c r="M65" i="1"/>
  <c r="L66" i="1"/>
  <c r="M66" i="1"/>
  <c r="L67" i="1"/>
  <c r="M67" i="1"/>
  <c r="L68" i="1"/>
  <c r="M68" i="1"/>
  <c r="L63" i="1"/>
  <c r="M63" i="1"/>
  <c r="AA62" i="2"/>
  <c r="AD62" i="2"/>
  <c r="AE62" i="2"/>
  <c r="AF62" i="2"/>
  <c r="AG62" i="2"/>
  <c r="AH62" i="2"/>
  <c r="AI62" i="2"/>
  <c r="AA63" i="2"/>
  <c r="AD63" i="2"/>
  <c r="AE63" i="2"/>
  <c r="AF63" i="2"/>
  <c r="AG63" i="2"/>
  <c r="AH63" i="2"/>
  <c r="AI63" i="2"/>
  <c r="AA64" i="2"/>
  <c r="AC64" i="2"/>
  <c r="AD64" i="2"/>
  <c r="AE64" i="2"/>
  <c r="AF64" i="2"/>
  <c r="AG64" i="2"/>
  <c r="AH64" i="2"/>
  <c r="AI64" i="2"/>
  <c r="AA65" i="2"/>
  <c r="AC65" i="2"/>
  <c r="AD65" i="2"/>
  <c r="AE65" i="2"/>
  <c r="AF65" i="2"/>
  <c r="AG65" i="2"/>
  <c r="AH65" i="2"/>
  <c r="AI65" i="2"/>
  <c r="AA66" i="2"/>
  <c r="AC66" i="2"/>
  <c r="AD66" i="2"/>
  <c r="AE66" i="2"/>
  <c r="AF66" i="2"/>
  <c r="AG66" i="2"/>
  <c r="AH66" i="2"/>
  <c r="AI66" i="2"/>
  <c r="AA67" i="2"/>
  <c r="AC67" i="2"/>
  <c r="AD67" i="2"/>
  <c r="AE67" i="2"/>
  <c r="AF67" i="2"/>
  <c r="AG67" i="2"/>
  <c r="AH67" i="2"/>
  <c r="AI67" i="2"/>
  <c r="AA59" i="2"/>
  <c r="AC59" i="2"/>
  <c r="AD59" i="2"/>
  <c r="AE59" i="2"/>
  <c r="AF59" i="2"/>
  <c r="AG59" i="2"/>
  <c r="AH59" i="2"/>
  <c r="AI59" i="2"/>
  <c r="AA60" i="2"/>
  <c r="AC60" i="2"/>
  <c r="AD60" i="2"/>
  <c r="AE60" i="2"/>
  <c r="AF60" i="2"/>
  <c r="AG60" i="2"/>
  <c r="AH60" i="2"/>
  <c r="AI60" i="2"/>
  <c r="AA61" i="2"/>
  <c r="AC61" i="2"/>
  <c r="AD61" i="2"/>
  <c r="AE61" i="2"/>
  <c r="AF61" i="2"/>
  <c r="AG61" i="2"/>
  <c r="AH61" i="2"/>
  <c r="AI61" i="2"/>
  <c r="AC62" i="2"/>
  <c r="AC63" i="2"/>
  <c r="H5" i="16"/>
  <c r="O22" i="17"/>
  <c r="O20" i="17"/>
  <c r="N20" i="17"/>
  <c r="O19" i="17"/>
  <c r="N19" i="17"/>
  <c r="N18" i="17"/>
  <c r="O17" i="17"/>
  <c r="Q16" i="17"/>
  <c r="P16" i="17"/>
  <c r="K16" i="17"/>
  <c r="CL1" i="5" l="1"/>
  <c r="BX38" i="5"/>
  <c r="BX12" i="5" s="1"/>
  <c r="BX13" i="20" s="1"/>
  <c r="ACZ13" i="20" s="1"/>
  <c r="BEB13" i="20" s="1"/>
  <c r="CFD13" i="20" s="1"/>
  <c r="BV35" i="5"/>
  <c r="BV9" i="5" s="1"/>
  <c r="BV10" i="20" s="1"/>
  <c r="ACX10" i="20" s="1"/>
  <c r="BDZ10" i="20" s="1"/>
  <c r="CFB10" i="20" s="1"/>
  <c r="BW38" i="5"/>
  <c r="BW12" i="5" s="1"/>
  <c r="BW13" i="20" s="1"/>
  <c r="ACY13" i="20" s="1"/>
  <c r="BEA13" i="20" s="1"/>
  <c r="CFC13" i="20" s="1"/>
  <c r="BU35" i="5"/>
  <c r="BU9" i="5" s="1"/>
  <c r="BU10" i="20" s="1"/>
  <c r="ACW10" i="20" s="1"/>
  <c r="BDY10" i="20" s="1"/>
  <c r="CFA10" i="20" s="1"/>
  <c r="BV38" i="5"/>
  <c r="BV12" i="5" s="1"/>
  <c r="BV13" i="20" s="1"/>
  <c r="ACX13" i="20" s="1"/>
  <c r="BDZ13" i="20" s="1"/>
  <c r="CFB13" i="20" s="1"/>
  <c r="BT35" i="5"/>
  <c r="BT9" i="5" s="1"/>
  <c r="BT10" i="20" s="1"/>
  <c r="ACV10" i="20" s="1"/>
  <c r="BDX10" i="20" s="1"/>
  <c r="CEZ10" i="20" s="1"/>
  <c r="BU38" i="5"/>
  <c r="BU12" i="5" s="1"/>
  <c r="BU13" i="20" s="1"/>
  <c r="ACW13" i="20" s="1"/>
  <c r="BDY13" i="20" s="1"/>
  <c r="CFA13" i="20" s="1"/>
  <c r="BS35" i="5"/>
  <c r="BS9" i="5" s="1"/>
  <c r="BS10" i="20" s="1"/>
  <c r="ACU10" i="20" s="1"/>
  <c r="BDW10" i="20" s="1"/>
  <c r="CEY10" i="20" s="1"/>
  <c r="BT38" i="5"/>
  <c r="BT12" i="5" s="1"/>
  <c r="BT13" i="20" s="1"/>
  <c r="ACV13" i="20" s="1"/>
  <c r="BDX13" i="20" s="1"/>
  <c r="CEZ13" i="20" s="1"/>
  <c r="BS38" i="5"/>
  <c r="BS12" i="5" s="1"/>
  <c r="BS13" i="20" s="1"/>
  <c r="ACU13" i="20" s="1"/>
  <c r="BDW13" i="20" s="1"/>
  <c r="CEY13" i="20" s="1"/>
  <c r="BX35" i="5"/>
  <c r="BX9" i="5" s="1"/>
  <c r="BX10" i="20" s="1"/>
  <c r="ACZ10" i="20" s="1"/>
  <c r="BEB10" i="20" s="1"/>
  <c r="CFD10" i="20" s="1"/>
  <c r="BW35" i="5"/>
  <c r="BW9" i="5" s="1"/>
  <c r="BW10" i="20" s="1"/>
  <c r="ACY10" i="20" s="1"/>
  <c r="BEA10" i="20" s="1"/>
  <c r="CFC10" i="20" s="1"/>
  <c r="DH1" i="5" l="1"/>
  <c r="CP38" i="5"/>
  <c r="CP12" i="5" s="1"/>
  <c r="CP13" i="20" s="1"/>
  <c r="ADR13" i="20" s="1"/>
  <c r="BET13" i="20" s="1"/>
  <c r="CFV13" i="20" s="1"/>
  <c r="CO38" i="5"/>
  <c r="CO12" i="5" s="1"/>
  <c r="CO13" i="20" s="1"/>
  <c r="ADQ13" i="20" s="1"/>
  <c r="BES13" i="20" s="1"/>
  <c r="CFU13" i="20" s="1"/>
  <c r="CT35" i="5"/>
  <c r="CT9" i="5" s="1"/>
  <c r="CT10" i="20" s="1"/>
  <c r="ADV10" i="20" s="1"/>
  <c r="BEX10" i="20" s="1"/>
  <c r="CFZ10" i="20" s="1"/>
  <c r="CS35" i="5"/>
  <c r="CS9" i="5" s="1"/>
  <c r="CS10" i="20" s="1"/>
  <c r="ADU10" i="20" s="1"/>
  <c r="BEW10" i="20" s="1"/>
  <c r="CFY10" i="20" s="1"/>
  <c r="CT38" i="5"/>
  <c r="CT12" i="5" s="1"/>
  <c r="CT13" i="20" s="1"/>
  <c r="ADV13" i="20" s="1"/>
  <c r="BEX13" i="20" s="1"/>
  <c r="CFZ13" i="20" s="1"/>
  <c r="CR35" i="5"/>
  <c r="CR9" i="5" s="1"/>
  <c r="CR10" i="20" s="1"/>
  <c r="ADT10" i="20" s="1"/>
  <c r="BEV10" i="20" s="1"/>
  <c r="CFX10" i="20" s="1"/>
  <c r="CS38" i="5"/>
  <c r="CS12" i="5" s="1"/>
  <c r="CS13" i="20" s="1"/>
  <c r="ADU13" i="20" s="1"/>
  <c r="BEW13" i="20" s="1"/>
  <c r="CFY13" i="20" s="1"/>
  <c r="CQ35" i="5"/>
  <c r="CQ9" i="5" s="1"/>
  <c r="CQ10" i="20" s="1"/>
  <c r="ADS10" i="20" s="1"/>
  <c r="BEU10" i="20" s="1"/>
  <c r="CFW10" i="20" s="1"/>
  <c r="CR38" i="5"/>
  <c r="CR12" i="5" s="1"/>
  <c r="CR13" i="20" s="1"/>
  <c r="ADT13" i="20" s="1"/>
  <c r="BEV13" i="20" s="1"/>
  <c r="CFX13" i="20" s="1"/>
  <c r="CP35" i="5"/>
  <c r="CP9" i="5" s="1"/>
  <c r="CP10" i="20" s="1"/>
  <c r="ADR10" i="20" s="1"/>
  <c r="BET10" i="20" s="1"/>
  <c r="CFV10" i="20" s="1"/>
  <c r="CO35" i="5"/>
  <c r="CO9" i="5" s="1"/>
  <c r="CO10" i="20" s="1"/>
  <c r="ADQ10" i="20" s="1"/>
  <c r="BES10" i="20" s="1"/>
  <c r="CFU10" i="20" s="1"/>
  <c r="CQ38" i="5"/>
  <c r="CQ12" i="5" s="1"/>
  <c r="CQ13" i="20" s="1"/>
  <c r="ADS13" i="20" s="1"/>
  <c r="BEU13" i="20" s="1"/>
  <c r="CFW13" i="20" s="1"/>
  <c r="ED1" i="5" l="1"/>
  <c r="DP38" i="5"/>
  <c r="DP12" i="5" s="1"/>
  <c r="DP13" i="20" s="1"/>
  <c r="AER13" i="20" s="1"/>
  <c r="BFT13" i="20" s="1"/>
  <c r="CGV13" i="20" s="1"/>
  <c r="DN35" i="5"/>
  <c r="DN9" i="5" s="1"/>
  <c r="DN10" i="20" s="1"/>
  <c r="AEP10" i="20" s="1"/>
  <c r="BFR10" i="20" s="1"/>
  <c r="CGT10" i="20" s="1"/>
  <c r="DO38" i="5"/>
  <c r="DO12" i="5" s="1"/>
  <c r="DO13" i="20" s="1"/>
  <c r="AEQ13" i="20" s="1"/>
  <c r="BFS13" i="20" s="1"/>
  <c r="CGU13" i="20" s="1"/>
  <c r="DM35" i="5"/>
  <c r="DM9" i="5" s="1"/>
  <c r="DM10" i="20" s="1"/>
  <c r="AEO10" i="20" s="1"/>
  <c r="BFQ10" i="20" s="1"/>
  <c r="CGS10" i="20" s="1"/>
  <c r="DN38" i="5"/>
  <c r="DN12" i="5" s="1"/>
  <c r="DN13" i="20" s="1"/>
  <c r="AEP13" i="20" s="1"/>
  <c r="BFR13" i="20" s="1"/>
  <c r="CGT13" i="20" s="1"/>
  <c r="DL35" i="5"/>
  <c r="DL9" i="5" s="1"/>
  <c r="DL10" i="20" s="1"/>
  <c r="AEN10" i="20" s="1"/>
  <c r="BFP10" i="20" s="1"/>
  <c r="CGR10" i="20" s="1"/>
  <c r="DM38" i="5"/>
  <c r="DM12" i="5" s="1"/>
  <c r="DM13" i="20" s="1"/>
  <c r="AEO13" i="20" s="1"/>
  <c r="BFQ13" i="20" s="1"/>
  <c r="CGS13" i="20" s="1"/>
  <c r="DK35" i="5"/>
  <c r="DK9" i="5" s="1"/>
  <c r="DK10" i="20" s="1"/>
  <c r="AEM10" i="20" s="1"/>
  <c r="BFO10" i="20" s="1"/>
  <c r="CGQ10" i="20" s="1"/>
  <c r="DL38" i="5"/>
  <c r="DL12" i="5" s="1"/>
  <c r="DL13" i="20" s="1"/>
  <c r="AEN13" i="20" s="1"/>
  <c r="BFP13" i="20" s="1"/>
  <c r="CGR13" i="20" s="1"/>
  <c r="DK38" i="5"/>
  <c r="DK12" i="5" s="1"/>
  <c r="DK13" i="20" s="1"/>
  <c r="AEM13" i="20" s="1"/>
  <c r="BFO13" i="20" s="1"/>
  <c r="CGQ13" i="20" s="1"/>
  <c r="DP35" i="5"/>
  <c r="DP9" i="5" s="1"/>
  <c r="DP10" i="20" s="1"/>
  <c r="AER10" i="20" s="1"/>
  <c r="BFT10" i="20" s="1"/>
  <c r="CGV10" i="20" s="1"/>
  <c r="DO35" i="5"/>
  <c r="DO9" i="5" s="1"/>
  <c r="DO10" i="20" s="1"/>
  <c r="AEQ10" i="20" s="1"/>
  <c r="BFS10" i="20" s="1"/>
  <c r="CGU10" i="20" s="1"/>
  <c r="T27" i="1"/>
  <c r="T26" i="1"/>
  <c r="T19" i="1"/>
  <c r="T23" i="1"/>
  <c r="T17" i="1"/>
  <c r="T16" i="1"/>
  <c r="T15" i="1"/>
  <c r="T6" i="1"/>
  <c r="T5" i="1"/>
  <c r="AH3" i="2"/>
  <c r="AG4" i="2"/>
  <c r="AH5" i="2"/>
  <c r="AI6" i="2"/>
  <c r="AH7" i="2"/>
  <c r="AI8" i="2"/>
  <c r="AH9" i="2"/>
  <c r="AI10" i="2"/>
  <c r="AH10" i="2"/>
  <c r="AH11" i="2"/>
  <c r="AI12" i="2"/>
  <c r="AH13" i="2"/>
  <c r="AI13" i="2"/>
  <c r="AI14" i="2"/>
  <c r="AH15" i="2"/>
  <c r="AG15" i="2"/>
  <c r="AI16" i="2"/>
  <c r="AH17" i="2"/>
  <c r="AG18" i="2"/>
  <c r="AH19" i="2"/>
  <c r="AI19" i="2"/>
  <c r="AI20" i="2"/>
  <c r="AH21" i="2"/>
  <c r="AG21" i="2"/>
  <c r="AI22" i="2"/>
  <c r="AH23" i="2"/>
  <c r="AI24" i="2"/>
  <c r="AH25" i="2"/>
  <c r="AG25" i="2"/>
  <c r="AI26" i="2"/>
  <c r="AH27" i="2"/>
  <c r="AI28" i="2"/>
  <c r="AH29" i="2"/>
  <c r="AI30" i="2"/>
  <c r="AH31" i="2"/>
  <c r="AG32" i="2"/>
  <c r="AH33" i="2"/>
  <c r="AI33" i="2"/>
  <c r="AG34" i="2"/>
  <c r="AH35" i="2"/>
  <c r="AI35" i="2"/>
  <c r="AG36" i="2"/>
  <c r="AH36" i="2"/>
  <c r="AH37" i="2"/>
  <c r="AI38" i="2"/>
  <c r="AH39" i="2"/>
  <c r="AI40" i="2"/>
  <c r="AH41" i="2"/>
  <c r="AI42" i="2"/>
  <c r="AH42" i="2"/>
  <c r="AF43" i="2"/>
  <c r="AI44" i="2"/>
  <c r="AH45" i="2"/>
  <c r="AG46" i="2"/>
  <c r="AH46" i="2"/>
  <c r="AH47" i="2"/>
  <c r="AG47" i="2"/>
  <c r="AI47" i="2"/>
  <c r="AG48" i="2"/>
  <c r="AI49" i="2"/>
  <c r="AI50" i="2"/>
  <c r="AI52" i="2"/>
  <c r="AH52" i="2"/>
  <c r="AH53" i="2"/>
  <c r="AI54" i="2"/>
  <c r="AF55" i="2"/>
  <c r="AI55" i="2"/>
  <c r="AI56" i="2"/>
  <c r="AG58" i="2"/>
  <c r="AH58" i="2"/>
  <c r="AI3" i="2"/>
  <c r="AH4" i="2"/>
  <c r="AI5" i="2"/>
  <c r="AI9" i="2"/>
  <c r="AG11" i="2"/>
  <c r="AI11" i="2"/>
  <c r="AH14" i="2"/>
  <c r="AI15" i="2"/>
  <c r="AI17" i="2"/>
  <c r="AI21" i="2"/>
  <c r="AG23" i="2"/>
  <c r="AH24" i="2"/>
  <c r="AI25" i="2"/>
  <c r="AI27" i="2"/>
  <c r="AG29" i="2"/>
  <c r="AI29" i="2"/>
  <c r="AH34" i="2"/>
  <c r="AG35" i="2"/>
  <c r="AG37" i="2"/>
  <c r="AI37" i="2"/>
  <c r="AH38" i="2"/>
  <c r="AI39" i="2"/>
  <c r="AH40" i="2"/>
  <c r="AI41" i="2"/>
  <c r="AG43" i="2"/>
  <c r="AI43" i="2"/>
  <c r="AI45" i="2"/>
  <c r="AF47" i="2"/>
  <c r="AG49" i="2"/>
  <c r="AH49" i="2"/>
  <c r="AH51" i="2"/>
  <c r="AI51" i="2"/>
  <c r="AG53" i="2"/>
  <c r="AI53" i="2"/>
  <c r="AH55" i="2"/>
  <c r="AH56" i="2"/>
  <c r="AI57" i="2"/>
  <c r="AH18" i="2"/>
  <c r="AH22" i="2"/>
  <c r="AH32" i="2"/>
  <c r="AH48" i="2"/>
  <c r="AH54" i="2"/>
  <c r="AF6" i="2"/>
  <c r="AG7" i="2"/>
  <c r="AF9" i="2"/>
  <c r="AG10" i="2"/>
  <c r="AF14" i="2"/>
  <c r="AG14" i="2"/>
  <c r="AF15" i="2"/>
  <c r="AF19" i="2"/>
  <c r="AG19" i="2"/>
  <c r="AF23" i="2"/>
  <c r="AG24" i="2"/>
  <c r="AG26" i="2"/>
  <c r="AF27" i="2"/>
  <c r="AG27" i="2"/>
  <c r="AG31" i="2"/>
  <c r="AF33" i="2"/>
  <c r="AF38" i="2"/>
  <c r="AG38" i="2"/>
  <c r="AF39" i="2"/>
  <c r="AG39" i="2"/>
  <c r="AF45" i="2"/>
  <c r="AF49" i="2"/>
  <c r="AF51" i="2"/>
  <c r="AG51" i="2"/>
  <c r="AG54" i="2"/>
  <c r="AC19" i="2"/>
  <c r="AC23" i="2"/>
  <c r="AC31" i="2"/>
  <c r="AC32" i="2"/>
  <c r="AC39" i="2"/>
  <c r="AC43" i="2"/>
  <c r="AC46" i="2"/>
  <c r="AC47" i="2"/>
  <c r="AC57" i="2"/>
  <c r="AC3" i="2"/>
  <c r="AC8" i="2"/>
  <c r="AC10" i="2"/>
  <c r="AC11" i="2"/>
  <c r="AC14" i="2"/>
  <c r="AC15" i="2"/>
  <c r="AC24" i="2"/>
  <c r="AC26" i="2"/>
  <c r="AC27" i="2"/>
  <c r="AC29" i="2"/>
  <c r="AC34" i="2"/>
  <c r="AC35" i="2"/>
  <c r="AC49" i="2"/>
  <c r="AC50" i="2"/>
  <c r="AC51" i="2"/>
  <c r="AC17" i="2"/>
  <c r="AC18" i="2"/>
  <c r="AC33" i="2"/>
  <c r="AC42" i="2"/>
  <c r="AC55" i="2"/>
  <c r="AC56" i="2"/>
  <c r="AC58" i="2"/>
  <c r="AC21" i="2"/>
  <c r="AC45" i="2"/>
  <c r="AC48" i="2"/>
  <c r="AC9" i="2"/>
  <c r="AC38" i="2"/>
  <c r="AC54"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3" i="2"/>
  <c r="AC4" i="2"/>
  <c r="AD4" i="2"/>
  <c r="AE4" i="2"/>
  <c r="AF4" i="2"/>
  <c r="AC5" i="2"/>
  <c r="AD5" i="2"/>
  <c r="AE5" i="2"/>
  <c r="AF5" i="2"/>
  <c r="AG5" i="2"/>
  <c r="AC6" i="2"/>
  <c r="AD6" i="2"/>
  <c r="AE6" i="2"/>
  <c r="AH6" i="2"/>
  <c r="AC7" i="2"/>
  <c r="AD7" i="2"/>
  <c r="AE7" i="2"/>
  <c r="AF7" i="2"/>
  <c r="AI7" i="2"/>
  <c r="AD8" i="2"/>
  <c r="AE8" i="2"/>
  <c r="AF8" i="2"/>
  <c r="AH8" i="2"/>
  <c r="AD9" i="2"/>
  <c r="AE9" i="2"/>
  <c r="AG9" i="2"/>
  <c r="AD10" i="2"/>
  <c r="AE10" i="2"/>
  <c r="AF10" i="2"/>
  <c r="AD11" i="2"/>
  <c r="AE11" i="2"/>
  <c r="AF11" i="2"/>
  <c r="AC12" i="2"/>
  <c r="AD12" i="2"/>
  <c r="AE12" i="2"/>
  <c r="AF12" i="2"/>
  <c r="AH12" i="2"/>
  <c r="AC13" i="2"/>
  <c r="AD13" i="2"/>
  <c r="AE13" i="2"/>
  <c r="AF13" i="2"/>
  <c r="AG13" i="2"/>
  <c r="AD14" i="2"/>
  <c r="AE14" i="2"/>
  <c r="AD15" i="2"/>
  <c r="AE15" i="2"/>
  <c r="AC16" i="2"/>
  <c r="AD16" i="2"/>
  <c r="AE16" i="2"/>
  <c r="AF16" i="2"/>
  <c r="AH16" i="2"/>
  <c r="AD17" i="2"/>
  <c r="AE17" i="2"/>
  <c r="AF17" i="2"/>
  <c r="AG17" i="2"/>
  <c r="AD18" i="2"/>
  <c r="AE18" i="2"/>
  <c r="AF18" i="2"/>
  <c r="AD19" i="2"/>
  <c r="AE19" i="2"/>
  <c r="AC20" i="2"/>
  <c r="AD20" i="2"/>
  <c r="AE20" i="2"/>
  <c r="AF20" i="2"/>
  <c r="AH20" i="2"/>
  <c r="AD21" i="2"/>
  <c r="AE21" i="2"/>
  <c r="AF21" i="2"/>
  <c r="AC22" i="2"/>
  <c r="AD22" i="2"/>
  <c r="AE22" i="2"/>
  <c r="AF22" i="2"/>
  <c r="AG22" i="2"/>
  <c r="AD23" i="2"/>
  <c r="AE23" i="2"/>
  <c r="AI23" i="2"/>
  <c r="AD24" i="2"/>
  <c r="AE24" i="2"/>
  <c r="AF24" i="2"/>
  <c r="AC25" i="2"/>
  <c r="AD25" i="2"/>
  <c r="AE25" i="2"/>
  <c r="AF25" i="2"/>
  <c r="AD26" i="2"/>
  <c r="AE26" i="2"/>
  <c r="AF26" i="2"/>
  <c r="AH26" i="2"/>
  <c r="AD27" i="2"/>
  <c r="AE27" i="2"/>
  <c r="AC28" i="2"/>
  <c r="AD28" i="2"/>
  <c r="AE28" i="2"/>
  <c r="AF28" i="2"/>
  <c r="AG28" i="2"/>
  <c r="AH28" i="2"/>
  <c r="AD29" i="2"/>
  <c r="AE29" i="2"/>
  <c r="AF29" i="2"/>
  <c r="AC30" i="2"/>
  <c r="AD30" i="2"/>
  <c r="AE30" i="2"/>
  <c r="AF30" i="2"/>
  <c r="AH30" i="2"/>
  <c r="AD31" i="2"/>
  <c r="AE31" i="2"/>
  <c r="AF31" i="2"/>
  <c r="AI31" i="2"/>
  <c r="AD32" i="2"/>
  <c r="AE32" i="2"/>
  <c r="AF32" i="2"/>
  <c r="AD33" i="2"/>
  <c r="AE33" i="2"/>
  <c r="AG33" i="2"/>
  <c r="AD34" i="2"/>
  <c r="AE34" i="2"/>
  <c r="AF34" i="2"/>
  <c r="AD35" i="2"/>
  <c r="AE35" i="2"/>
  <c r="AF35" i="2"/>
  <c r="AC36" i="2"/>
  <c r="AD36" i="2"/>
  <c r="AE36" i="2"/>
  <c r="AF36" i="2"/>
  <c r="AC37" i="2"/>
  <c r="AD37" i="2"/>
  <c r="AE37" i="2"/>
  <c r="AF37" i="2"/>
  <c r="AD38" i="2"/>
  <c r="AE38" i="2"/>
  <c r="AD39" i="2"/>
  <c r="AE39" i="2"/>
  <c r="AC40" i="2"/>
  <c r="AD40" i="2"/>
  <c r="AE40" i="2"/>
  <c r="AF40" i="2"/>
  <c r="AG40" i="2"/>
  <c r="AC41" i="2"/>
  <c r="AD41" i="2"/>
  <c r="AE41" i="2"/>
  <c r="AF41" i="2"/>
  <c r="AG41" i="2"/>
  <c r="AD42" i="2"/>
  <c r="AE42" i="2"/>
  <c r="AF42" i="2"/>
  <c r="AD43" i="2"/>
  <c r="AE43" i="2"/>
  <c r="AC44" i="2"/>
  <c r="AD44" i="2"/>
  <c r="AE44" i="2"/>
  <c r="AF44" i="2"/>
  <c r="AH44" i="2"/>
  <c r="AD45" i="2"/>
  <c r="AE45" i="2"/>
  <c r="AG45" i="2"/>
  <c r="AD46" i="2"/>
  <c r="AE46" i="2"/>
  <c r="AF46" i="2"/>
  <c r="AD47" i="2"/>
  <c r="AE47" i="2"/>
  <c r="AD48" i="2"/>
  <c r="AE48" i="2"/>
  <c r="AF48" i="2"/>
  <c r="AD49" i="2"/>
  <c r="AE49" i="2"/>
  <c r="AD50" i="2"/>
  <c r="AE50" i="2"/>
  <c r="AF50" i="2"/>
  <c r="AG50" i="2"/>
  <c r="AH50" i="2"/>
  <c r="AD51" i="2"/>
  <c r="AE51" i="2"/>
  <c r="AC52" i="2"/>
  <c r="AD52" i="2"/>
  <c r="AE52" i="2"/>
  <c r="AF52" i="2"/>
  <c r="AG52" i="2"/>
  <c r="AC53" i="2"/>
  <c r="AD53" i="2"/>
  <c r="AE53" i="2"/>
  <c r="AF53" i="2"/>
  <c r="AD54" i="2"/>
  <c r="AE54" i="2"/>
  <c r="AF54" i="2"/>
  <c r="AD55" i="2"/>
  <c r="AE55" i="2"/>
  <c r="AG55" i="2"/>
  <c r="AD56" i="2"/>
  <c r="AE56" i="2"/>
  <c r="AF56" i="2"/>
  <c r="AG56" i="2"/>
  <c r="AD57" i="2"/>
  <c r="AE57" i="2"/>
  <c r="AF57" i="2"/>
  <c r="AG57" i="2"/>
  <c r="AH57" i="2"/>
  <c r="AD58" i="2"/>
  <c r="AE58" i="2"/>
  <c r="AF58" i="2"/>
  <c r="AD3" i="2"/>
  <c r="AE3" i="2"/>
  <c r="AG3" i="2"/>
  <c r="L62" i="1"/>
  <c r="P62" i="1" s="1" a="1"/>
  <c r="P62" i="1" s="1"/>
  <c r="M62" i="1"/>
  <c r="Q62" i="1" s="1" a="1"/>
  <c r="Q62" i="1" s="1"/>
  <c r="H24" i="17"/>
  <c r="C24" i="17"/>
  <c r="B24" i="17"/>
  <c r="F21" i="17"/>
  <c r="E21" i="17"/>
  <c r="D21" i="17"/>
  <c r="F20" i="17"/>
  <c r="E20" i="17"/>
  <c r="D20" i="17"/>
  <c r="F19" i="17"/>
  <c r="E19" i="17"/>
  <c r="D19" i="17"/>
  <c r="D18" i="17"/>
  <c r="E17" i="17"/>
  <c r="G16" i="17"/>
  <c r="G24" i="17" s="1"/>
  <c r="F16" i="17"/>
  <c r="E16" i="17"/>
  <c r="A16" i="17"/>
  <c r="A24" i="17" s="1"/>
  <c r="N2" i="11"/>
  <c r="N3" i="11"/>
  <c r="N4" i="11"/>
  <c r="N5" i="11"/>
  <c r="N6" i="11"/>
  <c r="N7" i="11"/>
  <c r="N8" i="11"/>
  <c r="N9" i="11"/>
  <c r="B1" i="9"/>
  <c r="K61" i="1"/>
  <c r="L61" i="1"/>
  <c r="P61" i="1" s="1" a="1"/>
  <c r="P61" i="1" s="1"/>
  <c r="M61" i="1"/>
  <c r="Q61" i="1" s="1" a="1"/>
  <c r="Q61" i="1" s="1"/>
  <c r="K56" i="1"/>
  <c r="L56" i="1"/>
  <c r="M56" i="1"/>
  <c r="Q56" i="1" s="1" a="1"/>
  <c r="Q56" i="1" s="1"/>
  <c r="K57" i="1"/>
  <c r="L57" i="1"/>
  <c r="M57" i="1"/>
  <c r="Q57" i="1" s="1" a="1"/>
  <c r="Q57" i="1" s="1"/>
  <c r="K58" i="1"/>
  <c r="L58" i="1"/>
  <c r="P58" i="1" s="1" a="1"/>
  <c r="P58" i="1" s="1"/>
  <c r="M58" i="1"/>
  <c r="Q58" i="1" s="1" a="1"/>
  <c r="Q58" i="1" s="1"/>
  <c r="K59" i="1"/>
  <c r="L59" i="1"/>
  <c r="M59" i="1"/>
  <c r="Q59" i="1" s="1" a="1"/>
  <c r="Q59" i="1" s="1"/>
  <c r="K60" i="1"/>
  <c r="L60" i="1"/>
  <c r="M60" i="1"/>
  <c r="Q60" i="1" s="1" a="1"/>
  <c r="Q60" i="1" s="1"/>
  <c r="L55" i="1"/>
  <c r="M55" i="1"/>
  <c r="Q55" i="1" s="1" a="1"/>
  <c r="Q55" i="1" s="1"/>
  <c r="K55" i="1"/>
  <c r="L53" i="1"/>
  <c r="P53" i="1" s="1" a="1"/>
  <c r="P53" i="1" s="1"/>
  <c r="M53" i="1"/>
  <c r="Q53" i="1" s="1" a="1"/>
  <c r="Q53" i="1" s="1"/>
  <c r="L54" i="1"/>
  <c r="M54" i="1"/>
  <c r="Q54" i="1" s="1" a="1"/>
  <c r="Q54" i="1" s="1"/>
  <c r="K54" i="1"/>
  <c r="K53" i="1"/>
  <c r="L52" i="1"/>
  <c r="P52" i="1" s="1" a="1"/>
  <c r="P52" i="1" s="1"/>
  <c r="M52" i="1"/>
  <c r="Q52" i="1" s="1" a="1"/>
  <c r="Q52" i="1" s="1"/>
  <c r="K52" i="1"/>
  <c r="L51" i="1"/>
  <c r="P51" i="1" s="1" a="1"/>
  <c r="P51" i="1" s="1"/>
  <c r="M51" i="1"/>
  <c r="Q51" i="1" s="1" a="1"/>
  <c r="Q51" i="1" s="1"/>
  <c r="K51" i="1"/>
  <c r="L50" i="1"/>
  <c r="M50" i="1"/>
  <c r="Q50" i="1" s="1" a="1"/>
  <c r="Q50" i="1" s="1"/>
  <c r="K50" i="1"/>
  <c r="L6" i="17"/>
  <c r="K6" i="17"/>
  <c r="J6" i="17"/>
  <c r="L5" i="17"/>
  <c r="K5" i="17"/>
  <c r="J5" i="17"/>
  <c r="L4" i="17"/>
  <c r="K4" i="17"/>
  <c r="J4" i="17"/>
  <c r="C53" i="15"/>
  <c r="D53" i="15"/>
  <c r="B53" i="15"/>
  <c r="A13" i="3" a="1"/>
  <c r="A13" i="3" s="1"/>
  <c r="N2" i="16" s="1"/>
  <c r="L48" i="1"/>
  <c r="P48" i="1" s="1" a="1"/>
  <c r="P48" i="1" s="1"/>
  <c r="M48" i="1"/>
  <c r="Q48" i="1" s="1" a="1"/>
  <c r="Q48" i="1" s="1"/>
  <c r="L49" i="1"/>
  <c r="M49" i="1"/>
  <c r="Q49" i="1" s="1" a="1"/>
  <c r="Q49" i="1" s="1"/>
  <c r="M8" i="1"/>
  <c r="Q8" i="1" s="1" a="1"/>
  <c r="Q8" i="1" s="1"/>
  <c r="L8" i="1"/>
  <c r="K8" i="1"/>
  <c r="EZ1" i="5" l="1"/>
  <c r="EH38" i="5"/>
  <c r="EH12" i="5" s="1"/>
  <c r="EH13" i="20" s="1"/>
  <c r="AFJ13" i="20" s="1"/>
  <c r="BGL13" i="20" s="1"/>
  <c r="CHN13" i="20" s="1"/>
  <c r="EG38" i="5"/>
  <c r="EG12" i="5" s="1"/>
  <c r="EG13" i="20" s="1"/>
  <c r="AFI13" i="20" s="1"/>
  <c r="BGK13" i="20" s="1"/>
  <c r="CHM13" i="20" s="1"/>
  <c r="EL35" i="5"/>
  <c r="EL9" i="5" s="1"/>
  <c r="EL10" i="20" s="1"/>
  <c r="AFN10" i="20" s="1"/>
  <c r="BGP10" i="20" s="1"/>
  <c r="CHR10" i="20" s="1"/>
  <c r="EK35" i="5"/>
  <c r="EK9" i="5" s="1"/>
  <c r="EK10" i="20" s="1"/>
  <c r="AFM10" i="20" s="1"/>
  <c r="BGO10" i="20" s="1"/>
  <c r="CHQ10" i="20" s="1"/>
  <c r="EL38" i="5"/>
  <c r="EL12" i="5" s="1"/>
  <c r="EL13" i="20" s="1"/>
  <c r="AFN13" i="20" s="1"/>
  <c r="BGP13" i="20" s="1"/>
  <c r="CHR13" i="20" s="1"/>
  <c r="EJ35" i="5"/>
  <c r="EJ9" i="5" s="1"/>
  <c r="EJ10" i="20" s="1"/>
  <c r="AFL10" i="20" s="1"/>
  <c r="BGN10" i="20" s="1"/>
  <c r="CHP10" i="20" s="1"/>
  <c r="EK38" i="5"/>
  <c r="EK12" i="5" s="1"/>
  <c r="EK13" i="20" s="1"/>
  <c r="AFM13" i="20" s="1"/>
  <c r="BGO13" i="20" s="1"/>
  <c r="CHQ13" i="20" s="1"/>
  <c r="EI35" i="5"/>
  <c r="EI9" i="5" s="1"/>
  <c r="EI10" i="20" s="1"/>
  <c r="AFK10" i="20" s="1"/>
  <c r="BGM10" i="20" s="1"/>
  <c r="CHO10" i="20" s="1"/>
  <c r="EJ38" i="5"/>
  <c r="EJ12" i="5" s="1"/>
  <c r="EJ13" i="20" s="1"/>
  <c r="AFL13" i="20" s="1"/>
  <c r="BGN13" i="20" s="1"/>
  <c r="CHP13" i="20" s="1"/>
  <c r="EH35" i="5"/>
  <c r="EH9" i="5" s="1"/>
  <c r="EH10" i="20" s="1"/>
  <c r="AFJ10" i="20" s="1"/>
  <c r="BGL10" i="20" s="1"/>
  <c r="CHN10" i="20" s="1"/>
  <c r="EI38" i="5"/>
  <c r="EI12" i="5" s="1"/>
  <c r="EI13" i="20" s="1"/>
  <c r="AFK13" i="20" s="1"/>
  <c r="BGM13" i="20" s="1"/>
  <c r="CHO13" i="20" s="1"/>
  <c r="EG35" i="5"/>
  <c r="EG9" i="5" s="1"/>
  <c r="EG10" i="20" s="1"/>
  <c r="AFI10" i="20" s="1"/>
  <c r="BGK10" i="20" s="1"/>
  <c r="CHM10" i="20" s="1"/>
  <c r="C10" i="16"/>
  <c r="AH43" i="2"/>
  <c r="AG20" i="2"/>
  <c r="AG16" i="2"/>
  <c r="AG44" i="2"/>
  <c r="AG6" i="2"/>
  <c r="AG42" i="2"/>
  <c r="AG12" i="2"/>
  <c r="AG8" i="2"/>
  <c r="AG30" i="2"/>
  <c r="AI58" i="2"/>
  <c r="AI48" i="2"/>
  <c r="AI46" i="2"/>
  <c r="AI36" i="2"/>
  <c r="AI34" i="2"/>
  <c r="AI32" i="2"/>
  <c r="AI18" i="2"/>
  <c r="AI4" i="2"/>
  <c r="AF3" i="2"/>
  <c r="D24" i="17"/>
  <c r="E24" i="17"/>
  <c r="F24" i="17"/>
  <c r="R59" i="1"/>
  <c r="G13" i="3" a="1"/>
  <c r="G13" i="3" s="1"/>
  <c r="N8" i="16" s="1"/>
  <c r="R49" i="1"/>
  <c r="R55" i="1"/>
  <c r="R62" i="1"/>
  <c r="H62" i="1" s="1"/>
  <c r="R54" i="1"/>
  <c r="R57" i="1"/>
  <c r="R56" i="1"/>
  <c r="R50" i="1"/>
  <c r="R8" i="1"/>
  <c r="R60" i="1"/>
  <c r="P57" i="1" a="1"/>
  <c r="P57" i="1" s="1"/>
  <c r="P54" i="1" a="1"/>
  <c r="P54" i="1" s="1"/>
  <c r="P60" i="1" a="1"/>
  <c r="P60" i="1" s="1"/>
  <c r="R61" i="1"/>
  <c r="H61" i="1" s="1"/>
  <c r="R53" i="1"/>
  <c r="H53" i="1" s="1"/>
  <c r="P50" i="1" a="1"/>
  <c r="P50" i="1" s="1"/>
  <c r="R52" i="1"/>
  <c r="H52" i="1" s="1"/>
  <c r="P59" i="1" a="1"/>
  <c r="P59" i="1" s="1"/>
  <c r="P56" i="1" a="1"/>
  <c r="P56" i="1" s="1"/>
  <c r="P8" i="1" a="1"/>
  <c r="P8" i="1" s="1"/>
  <c r="R51" i="1"/>
  <c r="H51" i="1" s="1"/>
  <c r="P49" i="1" a="1"/>
  <c r="P49" i="1" s="1"/>
  <c r="R58" i="1"/>
  <c r="H58" i="1" s="1"/>
  <c r="P55" i="1" a="1"/>
  <c r="P55" i="1" s="1"/>
  <c r="R48" i="1"/>
  <c r="H48" i="1" s="1"/>
  <c r="C13" i="3" a="1"/>
  <c r="C13" i="3" s="1"/>
  <c r="N4" i="16" s="1"/>
  <c r="H13" i="3" a="1"/>
  <c r="H13" i="3" s="1"/>
  <c r="N9" i="16" s="1"/>
  <c r="D13" i="3" a="1"/>
  <c r="D13" i="3" s="1"/>
  <c r="N5" i="16" s="1"/>
  <c r="B13" i="3" a="1"/>
  <c r="B13" i="3" s="1"/>
  <c r="N3" i="16" s="1"/>
  <c r="F13" i="3" a="1"/>
  <c r="F13" i="3" s="1"/>
  <c r="N7" i="16" s="1"/>
  <c r="E13" i="3" a="1"/>
  <c r="E13" i="3" s="1"/>
  <c r="N6" i="16" s="1"/>
  <c r="D10" i="16"/>
  <c r="F10" i="16"/>
  <c r="H10" i="16"/>
  <c r="J10" i="16"/>
  <c r="K10" i="16"/>
  <c r="L10" i="16"/>
  <c r="B10" i="16"/>
  <c r="H50" i="1" l="1"/>
  <c r="FV1" i="5"/>
  <c r="FH38" i="5"/>
  <c r="FH12" i="5" s="1"/>
  <c r="FH13" i="20" s="1"/>
  <c r="AGJ13" i="20" s="1"/>
  <c r="BHL13" i="20" s="1"/>
  <c r="CIN13" i="20" s="1"/>
  <c r="FF35" i="5"/>
  <c r="FF9" i="5" s="1"/>
  <c r="FF10" i="20" s="1"/>
  <c r="AGH10" i="20" s="1"/>
  <c r="BHJ10" i="20" s="1"/>
  <c r="CIL10" i="20" s="1"/>
  <c r="FG38" i="5"/>
  <c r="FG12" i="5" s="1"/>
  <c r="FG13" i="20" s="1"/>
  <c r="AGI13" i="20" s="1"/>
  <c r="BHK13" i="20" s="1"/>
  <c r="CIM13" i="20" s="1"/>
  <c r="FE35" i="5"/>
  <c r="FE9" i="5" s="1"/>
  <c r="FE10" i="20" s="1"/>
  <c r="AGG10" i="20" s="1"/>
  <c r="BHI10" i="20" s="1"/>
  <c r="CIK10" i="20" s="1"/>
  <c r="FF38" i="5"/>
  <c r="FF12" i="5" s="1"/>
  <c r="FF13" i="20" s="1"/>
  <c r="AGH13" i="20" s="1"/>
  <c r="BHJ13" i="20" s="1"/>
  <c r="CIL13" i="20" s="1"/>
  <c r="FD35" i="5"/>
  <c r="FD9" i="5" s="1"/>
  <c r="FD10" i="20" s="1"/>
  <c r="AGF10" i="20" s="1"/>
  <c r="BHH10" i="20" s="1"/>
  <c r="CIJ10" i="20" s="1"/>
  <c r="FE38" i="5"/>
  <c r="FE12" i="5" s="1"/>
  <c r="FE13" i="20" s="1"/>
  <c r="AGG13" i="20" s="1"/>
  <c r="BHI13" i="20" s="1"/>
  <c r="CIK13" i="20" s="1"/>
  <c r="FC35" i="5"/>
  <c r="FC9" i="5" s="1"/>
  <c r="FC10" i="20" s="1"/>
  <c r="AGE10" i="20" s="1"/>
  <c r="BHG10" i="20" s="1"/>
  <c r="CII10" i="20" s="1"/>
  <c r="FD38" i="5"/>
  <c r="FD12" i="5" s="1"/>
  <c r="FD13" i="20" s="1"/>
  <c r="AGF13" i="20" s="1"/>
  <c r="BHH13" i="20" s="1"/>
  <c r="CIJ13" i="20" s="1"/>
  <c r="FC38" i="5"/>
  <c r="FC12" i="5" s="1"/>
  <c r="FC13" i="20" s="1"/>
  <c r="AGE13" i="20" s="1"/>
  <c r="BHG13" i="20" s="1"/>
  <c r="CII13" i="20" s="1"/>
  <c r="FH35" i="5"/>
  <c r="FH9" i="5" s="1"/>
  <c r="FH10" i="20" s="1"/>
  <c r="AGJ10" i="20" s="1"/>
  <c r="BHL10" i="20" s="1"/>
  <c r="CIN10" i="20" s="1"/>
  <c r="FG35" i="5"/>
  <c r="FG9" i="5" s="1"/>
  <c r="FG10" i="20" s="1"/>
  <c r="AGI10" i="20" s="1"/>
  <c r="BHK10" i="20" s="1"/>
  <c r="CIM10" i="20" s="1"/>
  <c r="H59" i="1"/>
  <c r="H49" i="1"/>
  <c r="H55" i="1"/>
  <c r="H54" i="1"/>
  <c r="H56" i="1"/>
  <c r="H57" i="1"/>
  <c r="H8" i="1"/>
  <c r="H60" i="1"/>
  <c r="K49" i="1"/>
  <c r="K48" i="1"/>
  <c r="B3" i="14"/>
  <c r="B4" i="14"/>
  <c r="B5" i="14"/>
  <c r="B2" i="14"/>
  <c r="AH2" i="9"/>
  <c r="AX2" i="9"/>
  <c r="BN2" i="9" s="1"/>
  <c r="R2" i="9"/>
  <c r="B2" i="9"/>
  <c r="GR1" i="5" l="1"/>
  <c r="FZ38" i="5"/>
  <c r="FZ12" i="5" s="1"/>
  <c r="FZ13" i="20" s="1"/>
  <c r="AHB13" i="20" s="1"/>
  <c r="BID13" i="20" s="1"/>
  <c r="CJF13" i="20" s="1"/>
  <c r="FY38" i="5"/>
  <c r="FY12" i="5" s="1"/>
  <c r="FY13" i="20" s="1"/>
  <c r="AHA13" i="20" s="1"/>
  <c r="BIC13" i="20" s="1"/>
  <c r="CJE13" i="20" s="1"/>
  <c r="GD35" i="5"/>
  <c r="GD9" i="5" s="1"/>
  <c r="GD10" i="20" s="1"/>
  <c r="AHF10" i="20" s="1"/>
  <c r="BIH10" i="20" s="1"/>
  <c r="CJJ10" i="20" s="1"/>
  <c r="GC35" i="5"/>
  <c r="GC9" i="5" s="1"/>
  <c r="GC10" i="20" s="1"/>
  <c r="AHE10" i="20" s="1"/>
  <c r="BIG10" i="20" s="1"/>
  <c r="CJI10" i="20" s="1"/>
  <c r="GD38" i="5"/>
  <c r="GD12" i="5" s="1"/>
  <c r="GD13" i="20" s="1"/>
  <c r="AHF13" i="20" s="1"/>
  <c r="BIH13" i="20" s="1"/>
  <c r="CJJ13" i="20" s="1"/>
  <c r="GB35" i="5"/>
  <c r="GB9" i="5" s="1"/>
  <c r="GB10" i="20" s="1"/>
  <c r="AHD10" i="20" s="1"/>
  <c r="BIF10" i="20" s="1"/>
  <c r="CJH10" i="20" s="1"/>
  <c r="GC38" i="5"/>
  <c r="GC12" i="5" s="1"/>
  <c r="GC13" i="20" s="1"/>
  <c r="AHE13" i="20" s="1"/>
  <c r="BIG13" i="20" s="1"/>
  <c r="CJI13" i="20" s="1"/>
  <c r="GA35" i="5"/>
  <c r="GA9" i="5" s="1"/>
  <c r="GA10" i="20" s="1"/>
  <c r="AHC10" i="20" s="1"/>
  <c r="BIE10" i="20" s="1"/>
  <c r="CJG10" i="20" s="1"/>
  <c r="GB38" i="5"/>
  <c r="GB12" i="5" s="1"/>
  <c r="GB13" i="20" s="1"/>
  <c r="AHD13" i="20" s="1"/>
  <c r="BIF13" i="20" s="1"/>
  <c r="CJH13" i="20" s="1"/>
  <c r="FZ35" i="5"/>
  <c r="FZ9" i="5" s="1"/>
  <c r="FZ10" i="20" s="1"/>
  <c r="AHB10" i="20" s="1"/>
  <c r="BID10" i="20" s="1"/>
  <c r="CJF10" i="20" s="1"/>
  <c r="GA38" i="5"/>
  <c r="GA12" i="5" s="1"/>
  <c r="GA13" i="20" s="1"/>
  <c r="AHC13" i="20" s="1"/>
  <c r="BIE13" i="20" s="1"/>
  <c r="CJG13" i="20" s="1"/>
  <c r="FY35" i="5"/>
  <c r="FY9" i="5" s="1"/>
  <c r="FY10" i="20" s="1"/>
  <c r="AHA10" i="20" s="1"/>
  <c r="BIC10" i="20" s="1"/>
  <c r="CJE10" i="20" s="1"/>
  <c r="CD2" i="9"/>
  <c r="CT2" i="9" s="1"/>
  <c r="DJ2" i="9" s="1"/>
  <c r="DZ2" i="9" s="1"/>
  <c r="EP2" i="9" s="1"/>
  <c r="FF2" i="9" s="1"/>
  <c r="FV2" i="9" s="1"/>
  <c r="GL2" i="9" s="1"/>
  <c r="HB2" i="9" s="1"/>
  <c r="HR2" i="9" s="1"/>
  <c r="IH2" i="9" s="1"/>
  <c r="C33" i="9"/>
  <c r="B5" i="13"/>
  <c r="L4" i="13"/>
  <c r="K4" i="13"/>
  <c r="D4" i="13"/>
  <c r="C4" i="13"/>
  <c r="B4" i="13"/>
  <c r="K3" i="1"/>
  <c r="K4" i="1"/>
  <c r="K5" i="1"/>
  <c r="K6" i="1"/>
  <c r="K7"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7" i="1"/>
  <c r="K2" i="1"/>
  <c r="M24" i="1"/>
  <c r="Q24" i="1" s="1" a="1"/>
  <c r="Q24" i="1" s="1"/>
  <c r="M25" i="1"/>
  <c r="Q25" i="1" s="1" a="1"/>
  <c r="Q25" i="1" s="1"/>
  <c r="M26" i="1"/>
  <c r="Q26" i="1" s="1" a="1"/>
  <c r="Q26" i="1" s="1"/>
  <c r="M27" i="1"/>
  <c r="Q27" i="1" s="1" a="1"/>
  <c r="Q27" i="1" s="1"/>
  <c r="M28" i="1"/>
  <c r="Q28" i="1" s="1" a="1"/>
  <c r="Q28" i="1" s="1"/>
  <c r="M29" i="1"/>
  <c r="Q29" i="1" s="1" a="1"/>
  <c r="Q29" i="1" s="1"/>
  <c r="M30" i="1"/>
  <c r="Q30" i="1" s="1" a="1"/>
  <c r="Q30" i="1" s="1"/>
  <c r="M31" i="1"/>
  <c r="Q31" i="1" s="1" a="1"/>
  <c r="Q31" i="1" s="1"/>
  <c r="M32" i="1"/>
  <c r="Q32" i="1" s="1" a="1"/>
  <c r="Q32" i="1" s="1"/>
  <c r="M33" i="1"/>
  <c r="Q33" i="1" s="1" a="1"/>
  <c r="Q33" i="1" s="1"/>
  <c r="M34" i="1"/>
  <c r="Q34" i="1" s="1" a="1"/>
  <c r="Q34" i="1" s="1"/>
  <c r="M35" i="1"/>
  <c r="Q35" i="1" s="1" a="1"/>
  <c r="Q35" i="1" s="1"/>
  <c r="M36" i="1"/>
  <c r="Q36" i="1" s="1" a="1"/>
  <c r="Q36" i="1" s="1"/>
  <c r="M37" i="1"/>
  <c r="Q37" i="1" s="1" a="1"/>
  <c r="Q37" i="1" s="1"/>
  <c r="M38" i="1"/>
  <c r="Q38" i="1" s="1" a="1"/>
  <c r="Q38" i="1" s="1"/>
  <c r="M39" i="1"/>
  <c r="Q39" i="1" s="1" a="1"/>
  <c r="Q39" i="1" s="1"/>
  <c r="M40" i="1"/>
  <c r="Q40" i="1" s="1" a="1"/>
  <c r="Q40" i="1" s="1"/>
  <c r="M41" i="1"/>
  <c r="Q41" i="1" s="1" a="1"/>
  <c r="Q41" i="1" s="1"/>
  <c r="M42" i="1"/>
  <c r="Q42" i="1" s="1" a="1"/>
  <c r="Q42" i="1" s="1"/>
  <c r="M43" i="1"/>
  <c r="Q43" i="1" s="1" a="1"/>
  <c r="Q43" i="1" s="1"/>
  <c r="M44" i="1"/>
  <c r="Q44" i="1" s="1" a="1"/>
  <c r="Q44" i="1" s="1"/>
  <c r="M45" i="1"/>
  <c r="Q45" i="1" s="1" a="1"/>
  <c r="Q45" i="1" s="1"/>
  <c r="M46" i="1"/>
  <c r="Q46" i="1" s="1" a="1"/>
  <c r="Q46" i="1" s="1"/>
  <c r="M47" i="1"/>
  <c r="Q47" i="1" s="1" a="1"/>
  <c r="Q47" i="1" s="1"/>
  <c r="M3" i="1"/>
  <c r="Q3" i="1" s="1" a="1"/>
  <c r="Q3" i="1" s="1"/>
  <c r="M4" i="1"/>
  <c r="Q4" i="1" s="1" a="1"/>
  <c r="Q4" i="1" s="1"/>
  <c r="M5" i="1"/>
  <c r="Q5" i="1" s="1" a="1"/>
  <c r="Q5" i="1" s="1"/>
  <c r="M6" i="1"/>
  <c r="Q6" i="1" s="1" a="1"/>
  <c r="Q6" i="1" s="1"/>
  <c r="M7" i="1"/>
  <c r="Q7" i="1" s="1" a="1"/>
  <c r="Q7" i="1" s="1"/>
  <c r="M9" i="1"/>
  <c r="Q9" i="1" s="1" a="1"/>
  <c r="Q9" i="1" s="1"/>
  <c r="M10" i="1"/>
  <c r="Q10" i="1" s="1" a="1"/>
  <c r="Q10" i="1" s="1"/>
  <c r="M11" i="1"/>
  <c r="Q11" i="1" s="1" a="1"/>
  <c r="Q11" i="1" s="1"/>
  <c r="M12" i="1"/>
  <c r="Q12" i="1" s="1" a="1"/>
  <c r="Q12" i="1" s="1"/>
  <c r="M13" i="1"/>
  <c r="Q13" i="1" s="1" a="1"/>
  <c r="Q13" i="1" s="1"/>
  <c r="M14" i="1"/>
  <c r="Q14" i="1" s="1" a="1"/>
  <c r="Q14" i="1" s="1"/>
  <c r="M15" i="1"/>
  <c r="Q15" i="1" s="1" a="1"/>
  <c r="Q15" i="1" s="1"/>
  <c r="M16" i="1"/>
  <c r="Q16" i="1" s="1" a="1"/>
  <c r="Q16" i="1" s="1"/>
  <c r="M17" i="1"/>
  <c r="Q17" i="1" s="1" a="1"/>
  <c r="Q17" i="1" s="1"/>
  <c r="M18" i="1"/>
  <c r="Q18" i="1" s="1" a="1"/>
  <c r="Q18" i="1" s="1"/>
  <c r="M19" i="1"/>
  <c r="Q19" i="1" s="1" a="1"/>
  <c r="Q19" i="1" s="1"/>
  <c r="M20" i="1"/>
  <c r="Q20" i="1" s="1" a="1"/>
  <c r="Q20" i="1" s="1"/>
  <c r="M21" i="1"/>
  <c r="Q21" i="1" s="1" a="1"/>
  <c r="Q21" i="1" s="1"/>
  <c r="M22" i="1"/>
  <c r="Q22" i="1" s="1" a="1"/>
  <c r="Q22" i="1" s="1"/>
  <c r="M23" i="1"/>
  <c r="Q23" i="1" s="1" a="1"/>
  <c r="Q23" i="1" s="1"/>
  <c r="M2" i="1"/>
  <c r="Q2" i="1" s="1" a="1"/>
  <c r="Q2" i="1" s="1"/>
  <c r="L24" i="1"/>
  <c r="L25" i="1"/>
  <c r="L26" i="1"/>
  <c r="L27" i="1"/>
  <c r="L28" i="1"/>
  <c r="L29" i="1"/>
  <c r="L30" i="1"/>
  <c r="L31" i="1"/>
  <c r="L32" i="1"/>
  <c r="L33" i="1"/>
  <c r="L34" i="1"/>
  <c r="L35" i="1"/>
  <c r="L36" i="1"/>
  <c r="L37" i="1"/>
  <c r="L38" i="1"/>
  <c r="L39" i="1"/>
  <c r="L40" i="1"/>
  <c r="L41" i="1"/>
  <c r="L42" i="1"/>
  <c r="L43" i="1"/>
  <c r="L44" i="1"/>
  <c r="L45" i="1"/>
  <c r="L46" i="1"/>
  <c r="L47" i="1"/>
  <c r="L3" i="1"/>
  <c r="L4" i="1"/>
  <c r="L5" i="1"/>
  <c r="L6" i="1"/>
  <c r="L7" i="1"/>
  <c r="L9" i="1"/>
  <c r="L10" i="1"/>
  <c r="L11" i="1"/>
  <c r="L12" i="1"/>
  <c r="L13" i="1"/>
  <c r="L14" i="1"/>
  <c r="L15" i="1"/>
  <c r="L16" i="1"/>
  <c r="L17" i="1"/>
  <c r="L18" i="1"/>
  <c r="L19" i="1"/>
  <c r="L20" i="1"/>
  <c r="L21" i="1"/>
  <c r="L22" i="1"/>
  <c r="L23" i="1"/>
  <c r="L2" i="1"/>
  <c r="HN1" i="5" l="1"/>
  <c r="GZ38" i="5"/>
  <c r="GZ12" i="5" s="1"/>
  <c r="GZ13" i="20" s="1"/>
  <c r="AIB13" i="20" s="1"/>
  <c r="BJD13" i="20" s="1"/>
  <c r="CKF13" i="20" s="1"/>
  <c r="GX35" i="5"/>
  <c r="GX9" i="5" s="1"/>
  <c r="GX10" i="20" s="1"/>
  <c r="AHZ10" i="20" s="1"/>
  <c r="BJB10" i="20" s="1"/>
  <c r="CKD10" i="20" s="1"/>
  <c r="GY38" i="5"/>
  <c r="GY12" i="5" s="1"/>
  <c r="GY13" i="20" s="1"/>
  <c r="AIA13" i="20" s="1"/>
  <c r="BJC13" i="20" s="1"/>
  <c r="CKE13" i="20" s="1"/>
  <c r="GW35" i="5"/>
  <c r="GW9" i="5" s="1"/>
  <c r="GW10" i="20" s="1"/>
  <c r="AHY10" i="20" s="1"/>
  <c r="BJA10" i="20" s="1"/>
  <c r="CKC10" i="20" s="1"/>
  <c r="GX38" i="5"/>
  <c r="GX12" i="5" s="1"/>
  <c r="GX13" i="20" s="1"/>
  <c r="AHZ13" i="20" s="1"/>
  <c r="BJB13" i="20" s="1"/>
  <c r="CKD13" i="20" s="1"/>
  <c r="GV35" i="5"/>
  <c r="GV9" i="5" s="1"/>
  <c r="GV10" i="20" s="1"/>
  <c r="AHX10" i="20" s="1"/>
  <c r="BIZ10" i="20" s="1"/>
  <c r="CKB10" i="20" s="1"/>
  <c r="GW38" i="5"/>
  <c r="GW12" i="5" s="1"/>
  <c r="GW13" i="20" s="1"/>
  <c r="AHY13" i="20" s="1"/>
  <c r="BJA13" i="20" s="1"/>
  <c r="CKC13" i="20" s="1"/>
  <c r="GU35" i="5"/>
  <c r="GU9" i="5" s="1"/>
  <c r="GU10" i="20" s="1"/>
  <c r="AHW10" i="20" s="1"/>
  <c r="BIY10" i="20" s="1"/>
  <c r="CKA10" i="20" s="1"/>
  <c r="GV38" i="5"/>
  <c r="GV12" i="5" s="1"/>
  <c r="GV13" i="20" s="1"/>
  <c r="AHX13" i="20" s="1"/>
  <c r="BIZ13" i="20" s="1"/>
  <c r="CKB13" i="20" s="1"/>
  <c r="GU38" i="5"/>
  <c r="GU12" i="5" s="1"/>
  <c r="GU13" i="20" s="1"/>
  <c r="AHW13" i="20" s="1"/>
  <c r="BIY13" i="20" s="1"/>
  <c r="CKA13" i="20" s="1"/>
  <c r="GZ35" i="5"/>
  <c r="GZ9" i="5" s="1"/>
  <c r="GZ10" i="20" s="1"/>
  <c r="AIB10" i="20" s="1"/>
  <c r="BJD10" i="20" s="1"/>
  <c r="CKF10" i="20" s="1"/>
  <c r="GY35" i="5"/>
  <c r="GY9" i="5" s="1"/>
  <c r="GY10" i="20" s="1"/>
  <c r="AIA10" i="20" s="1"/>
  <c r="BJC10" i="20" s="1"/>
  <c r="CKE10" i="20" s="1"/>
  <c r="O5" i="16" a="1"/>
  <c r="O5" i="16" s="1"/>
  <c r="O3" i="16" a="1"/>
  <c r="O3" i="16" s="1"/>
  <c r="O2" i="16" a="1"/>
  <c r="O2" i="16" s="1"/>
  <c r="O9" i="16" a="1"/>
  <c r="O9" i="16" s="1"/>
  <c r="O8" i="16" a="1"/>
  <c r="O8" i="16" s="1"/>
  <c r="O7" i="16" a="1"/>
  <c r="O7" i="16" s="1"/>
  <c r="O6" i="16" a="1"/>
  <c r="O6" i="16" s="1"/>
  <c r="O4" i="16" a="1"/>
  <c r="O4" i="16" s="1"/>
  <c r="O10" i="16" a="1"/>
  <c r="O10" i="16" s="1"/>
  <c r="P20" i="1" a="1"/>
  <c r="P20" i="1" s="1"/>
  <c r="R20" i="1"/>
  <c r="R40" i="1"/>
  <c r="P40" i="1" a="1"/>
  <c r="P40" i="1" s="1"/>
  <c r="P19" i="1" a="1"/>
  <c r="P19" i="1" s="1"/>
  <c r="R19" i="1"/>
  <c r="R11" i="1"/>
  <c r="P11" i="1" a="1"/>
  <c r="P11" i="1" s="1"/>
  <c r="R47" i="1"/>
  <c r="P47" i="1" a="1"/>
  <c r="P47" i="1" s="1"/>
  <c r="R39" i="1"/>
  <c r="P39" i="1" a="1"/>
  <c r="P39" i="1" s="1"/>
  <c r="R31" i="1"/>
  <c r="P31" i="1" a="1"/>
  <c r="P31" i="1" s="1"/>
  <c r="P30" i="1" a="1"/>
  <c r="P30" i="1" s="1"/>
  <c r="R30" i="1"/>
  <c r="P45" i="1" a="1"/>
  <c r="P45" i="1" s="1"/>
  <c r="R45" i="1"/>
  <c r="R28" i="1"/>
  <c r="P28" i="1" a="1"/>
  <c r="P28" i="1" s="1"/>
  <c r="P46" i="1" a="1"/>
  <c r="P46" i="1" s="1"/>
  <c r="R46" i="1"/>
  <c r="P29" i="1" a="1"/>
  <c r="P29" i="1" s="1"/>
  <c r="R29" i="1"/>
  <c r="P16" i="1" a="1"/>
  <c r="P16" i="1" s="1"/>
  <c r="R16" i="1"/>
  <c r="R23" i="1"/>
  <c r="P23" i="1" a="1"/>
  <c r="P23" i="1" s="1"/>
  <c r="R15" i="1"/>
  <c r="P15" i="1" a="1"/>
  <c r="P15" i="1" s="1"/>
  <c r="R6" i="1"/>
  <c r="P6" i="1" a="1"/>
  <c r="P6" i="1" s="1"/>
  <c r="R43" i="1"/>
  <c r="P43" i="1" a="1"/>
  <c r="P43" i="1" s="1"/>
  <c r="P35" i="1" a="1"/>
  <c r="P35" i="1" s="1"/>
  <c r="R35" i="1"/>
  <c r="R27" i="1"/>
  <c r="P27" i="1" a="1"/>
  <c r="P27" i="1" s="1"/>
  <c r="R7" i="1"/>
  <c r="P7" i="1" a="1"/>
  <c r="P7" i="1" s="1"/>
  <c r="P36" i="1" a="1"/>
  <c r="P36" i="1" s="1"/>
  <c r="R36" i="1"/>
  <c r="R22" i="1"/>
  <c r="P22" i="1" a="1"/>
  <c r="P22" i="1" s="1"/>
  <c r="P14" i="1" a="1"/>
  <c r="P14" i="1" s="1"/>
  <c r="R14" i="1"/>
  <c r="P5" i="1" a="1"/>
  <c r="P5" i="1" s="1"/>
  <c r="R5" i="1"/>
  <c r="P42" i="1" a="1"/>
  <c r="P42" i="1" s="1"/>
  <c r="R42" i="1"/>
  <c r="R34" i="1"/>
  <c r="P34" i="1" a="1"/>
  <c r="P34" i="1" s="1"/>
  <c r="P26" i="1" a="1"/>
  <c r="P26" i="1" s="1"/>
  <c r="R26" i="1"/>
  <c r="R18" i="1"/>
  <c r="P18" i="1" a="1"/>
  <c r="P18" i="1" s="1"/>
  <c r="R17" i="1"/>
  <c r="P17" i="1" a="1"/>
  <c r="P17" i="1" s="1"/>
  <c r="R9" i="1"/>
  <c r="P9" i="1" a="1"/>
  <c r="P9" i="1" s="1"/>
  <c r="P37" i="1" a="1"/>
  <c r="P37" i="1" s="1"/>
  <c r="R37" i="1"/>
  <c r="P2" i="1" a="1"/>
  <c r="P2" i="1" s="1"/>
  <c r="R2" i="1"/>
  <c r="R44" i="1"/>
  <c r="P44" i="1" a="1"/>
  <c r="P44" i="1" s="1"/>
  <c r="P21" i="1" a="1"/>
  <c r="P21" i="1" s="1"/>
  <c r="R21" i="1"/>
  <c r="P13" i="1" a="1"/>
  <c r="P13" i="1" s="1"/>
  <c r="R13" i="1"/>
  <c r="P4" i="1" a="1"/>
  <c r="P4" i="1" s="1"/>
  <c r="R4" i="1"/>
  <c r="R41" i="1"/>
  <c r="P41" i="1" a="1"/>
  <c r="P41" i="1" s="1"/>
  <c r="R33" i="1"/>
  <c r="P33" i="1" a="1"/>
  <c r="P33" i="1" s="1"/>
  <c r="R25" i="1"/>
  <c r="P25" i="1" a="1"/>
  <c r="P25" i="1" s="1"/>
  <c r="P10" i="1" a="1"/>
  <c r="P10" i="1" s="1"/>
  <c r="R10" i="1"/>
  <c r="R38" i="1"/>
  <c r="P38" i="1" a="1"/>
  <c r="P38" i="1" s="1"/>
  <c r="R12" i="1"/>
  <c r="P12" i="1" a="1"/>
  <c r="P12" i="1" s="1"/>
  <c r="P3" i="1" a="1"/>
  <c r="P3" i="1" s="1"/>
  <c r="R3" i="1"/>
  <c r="P32" i="1" a="1"/>
  <c r="P32" i="1" s="1"/>
  <c r="R32" i="1"/>
  <c r="R24" i="1"/>
  <c r="P24" i="1" a="1"/>
  <c r="P24" i="1" s="1"/>
  <c r="R1" i="9"/>
  <c r="AH1" i="9" s="1"/>
  <c r="AX1" i="9" s="1"/>
  <c r="BN1" i="9" s="1"/>
  <c r="CD1" i="9" s="1"/>
  <c r="CT1" i="9" s="1"/>
  <c r="DJ1" i="9" s="1"/>
  <c r="DZ1" i="9" s="1"/>
  <c r="EP1" i="9" s="1"/>
  <c r="FF1" i="9" s="1"/>
  <c r="FV1" i="9" s="1"/>
  <c r="GL1" i="9" s="1"/>
  <c r="HB1" i="9" s="1"/>
  <c r="HR1" i="9" s="1"/>
  <c r="IH1" i="9" s="1"/>
  <c r="IJ1" i="5" l="1"/>
  <c r="HR38" i="5"/>
  <c r="HR12" i="5" s="1"/>
  <c r="HR13" i="20" s="1"/>
  <c r="AIT13" i="20" s="1"/>
  <c r="BJV13" i="20" s="1"/>
  <c r="CKX13" i="20" s="1"/>
  <c r="HQ38" i="5"/>
  <c r="HQ12" i="5" s="1"/>
  <c r="HQ13" i="20" s="1"/>
  <c r="AIS13" i="20" s="1"/>
  <c r="BJU13" i="20" s="1"/>
  <c r="CKW13" i="20" s="1"/>
  <c r="HV35" i="5"/>
  <c r="HV9" i="5" s="1"/>
  <c r="HV10" i="20" s="1"/>
  <c r="AIX10" i="20" s="1"/>
  <c r="BJZ10" i="20" s="1"/>
  <c r="CLB10" i="20" s="1"/>
  <c r="HU35" i="5"/>
  <c r="HU9" i="5" s="1"/>
  <c r="HU10" i="20" s="1"/>
  <c r="AIW10" i="20" s="1"/>
  <c r="BJY10" i="20" s="1"/>
  <c r="CLA10" i="20" s="1"/>
  <c r="HV38" i="5"/>
  <c r="HV12" i="5" s="1"/>
  <c r="HV13" i="20" s="1"/>
  <c r="AIX13" i="20" s="1"/>
  <c r="BJZ13" i="20" s="1"/>
  <c r="CLB13" i="20" s="1"/>
  <c r="HT35" i="5"/>
  <c r="HT9" i="5" s="1"/>
  <c r="HT10" i="20" s="1"/>
  <c r="AIV10" i="20" s="1"/>
  <c r="BJX10" i="20" s="1"/>
  <c r="CKZ10" i="20" s="1"/>
  <c r="HU38" i="5"/>
  <c r="HU12" i="5" s="1"/>
  <c r="HU13" i="20" s="1"/>
  <c r="AIW13" i="20" s="1"/>
  <c r="BJY13" i="20" s="1"/>
  <c r="CLA13" i="20" s="1"/>
  <c r="HS35" i="5"/>
  <c r="HS9" i="5" s="1"/>
  <c r="HS10" i="20" s="1"/>
  <c r="AIU10" i="20" s="1"/>
  <c r="BJW10" i="20" s="1"/>
  <c r="CKY10" i="20" s="1"/>
  <c r="HT38" i="5"/>
  <c r="HT12" i="5" s="1"/>
  <c r="HT13" i="20" s="1"/>
  <c r="AIV13" i="20" s="1"/>
  <c r="BJX13" i="20" s="1"/>
  <c r="CKZ13" i="20" s="1"/>
  <c r="HR35" i="5"/>
  <c r="HR9" i="5" s="1"/>
  <c r="HR10" i="20" s="1"/>
  <c r="AIT10" i="20" s="1"/>
  <c r="BJV10" i="20" s="1"/>
  <c r="CKX10" i="20" s="1"/>
  <c r="HS38" i="5"/>
  <c r="HS12" i="5" s="1"/>
  <c r="HS13" i="20" s="1"/>
  <c r="AIU13" i="20" s="1"/>
  <c r="BJW13" i="20" s="1"/>
  <c r="CKY13" i="20" s="1"/>
  <c r="HQ35" i="5"/>
  <c r="HQ9" i="5" s="1"/>
  <c r="HQ10" i="20" s="1"/>
  <c r="AIS10" i="20" s="1"/>
  <c r="BJU10" i="20" s="1"/>
  <c r="CKW10" i="20" s="1"/>
  <c r="H18" i="1"/>
  <c r="H12" i="1"/>
  <c r="H33" i="1"/>
  <c r="H9" i="1"/>
  <c r="H34" i="1"/>
  <c r="H22" i="1"/>
  <c r="H23" i="1"/>
  <c r="H7" i="1"/>
  <c r="H28" i="1"/>
  <c r="H39" i="1"/>
  <c r="H6" i="1"/>
  <c r="H40" i="1"/>
  <c r="H11" i="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JF1" i="5" l="1"/>
  <c r="IR38" i="5"/>
  <c r="IR12" i="5" s="1"/>
  <c r="IR13" i="20" s="1"/>
  <c r="AJT13" i="20" s="1"/>
  <c r="BKV13" i="20" s="1"/>
  <c r="CLX13" i="20" s="1"/>
  <c r="IP35" i="5"/>
  <c r="IP9" i="5" s="1"/>
  <c r="IP10" i="20" s="1"/>
  <c r="AJR10" i="20" s="1"/>
  <c r="BKT10" i="20" s="1"/>
  <c r="CLV10" i="20" s="1"/>
  <c r="IQ38" i="5"/>
  <c r="IQ12" i="5" s="1"/>
  <c r="IQ13" i="20" s="1"/>
  <c r="AJS13" i="20" s="1"/>
  <c r="BKU13" i="20" s="1"/>
  <c r="CLW13" i="20" s="1"/>
  <c r="IO35" i="5"/>
  <c r="IO9" i="5" s="1"/>
  <c r="IO10" i="20" s="1"/>
  <c r="AJQ10" i="20" s="1"/>
  <c r="BKS10" i="20" s="1"/>
  <c r="CLU10" i="20" s="1"/>
  <c r="IP38" i="5"/>
  <c r="IP12" i="5" s="1"/>
  <c r="IP13" i="20" s="1"/>
  <c r="AJR13" i="20" s="1"/>
  <c r="BKT13" i="20" s="1"/>
  <c r="CLV13" i="20" s="1"/>
  <c r="IN35" i="5"/>
  <c r="IN9" i="5" s="1"/>
  <c r="IN10" i="20" s="1"/>
  <c r="AJP10" i="20" s="1"/>
  <c r="BKR10" i="20" s="1"/>
  <c r="CLT10" i="20" s="1"/>
  <c r="IO38" i="5"/>
  <c r="IO12" i="5" s="1"/>
  <c r="IO13" i="20" s="1"/>
  <c r="AJQ13" i="20" s="1"/>
  <c r="BKS13" i="20" s="1"/>
  <c r="CLU13" i="20" s="1"/>
  <c r="IM35" i="5"/>
  <c r="IM9" i="5" s="1"/>
  <c r="IM10" i="20" s="1"/>
  <c r="AJO10" i="20" s="1"/>
  <c r="BKQ10" i="20" s="1"/>
  <c r="CLS10" i="20" s="1"/>
  <c r="IN38" i="5"/>
  <c r="IN12" i="5" s="1"/>
  <c r="IN13" i="20" s="1"/>
  <c r="AJP13" i="20" s="1"/>
  <c r="BKR13" i="20" s="1"/>
  <c r="CLT13" i="20" s="1"/>
  <c r="IM38" i="5"/>
  <c r="IM12" i="5" s="1"/>
  <c r="IM13" i="20" s="1"/>
  <c r="AJO13" i="20" s="1"/>
  <c r="BKQ13" i="20" s="1"/>
  <c r="CLS13" i="20" s="1"/>
  <c r="IR35" i="5"/>
  <c r="IR9" i="5" s="1"/>
  <c r="IR10" i="20" s="1"/>
  <c r="AJT10" i="20" s="1"/>
  <c r="BKV10" i="20" s="1"/>
  <c r="CLX10" i="20" s="1"/>
  <c r="IQ35" i="5"/>
  <c r="IQ9" i="5" s="1"/>
  <c r="IQ10" i="20" s="1"/>
  <c r="AJS10" i="20" s="1"/>
  <c r="BKU10" i="20" s="1"/>
  <c r="CLW10" i="20" s="1"/>
  <c r="KB1" i="5" l="1"/>
  <c r="JJ38" i="5"/>
  <c r="JJ12" i="5" s="1"/>
  <c r="JJ13" i="20" s="1"/>
  <c r="AKL13" i="20" s="1"/>
  <c r="BLN13" i="20" s="1"/>
  <c r="CMP13" i="20" s="1"/>
  <c r="JI38" i="5"/>
  <c r="JI12" i="5" s="1"/>
  <c r="JI13" i="20" s="1"/>
  <c r="AKK13" i="20" s="1"/>
  <c r="BLM13" i="20" s="1"/>
  <c r="CMO13" i="20" s="1"/>
  <c r="JN35" i="5"/>
  <c r="JN9" i="5" s="1"/>
  <c r="JN10" i="20" s="1"/>
  <c r="AKP10" i="20" s="1"/>
  <c r="BLR10" i="20" s="1"/>
  <c r="CMT10" i="20" s="1"/>
  <c r="JM35" i="5"/>
  <c r="JM9" i="5" s="1"/>
  <c r="JM10" i="20" s="1"/>
  <c r="AKO10" i="20" s="1"/>
  <c r="BLQ10" i="20" s="1"/>
  <c r="CMS10" i="20" s="1"/>
  <c r="JN38" i="5"/>
  <c r="JN12" i="5" s="1"/>
  <c r="JN13" i="20" s="1"/>
  <c r="AKP13" i="20" s="1"/>
  <c r="BLR13" i="20" s="1"/>
  <c r="CMT13" i="20" s="1"/>
  <c r="JL35" i="5"/>
  <c r="JL9" i="5" s="1"/>
  <c r="JL10" i="20" s="1"/>
  <c r="AKN10" i="20" s="1"/>
  <c r="BLP10" i="20" s="1"/>
  <c r="CMR10" i="20" s="1"/>
  <c r="JM38" i="5"/>
  <c r="JM12" i="5" s="1"/>
  <c r="JM13" i="20" s="1"/>
  <c r="AKO13" i="20" s="1"/>
  <c r="BLQ13" i="20" s="1"/>
  <c r="CMS13" i="20" s="1"/>
  <c r="JK35" i="5"/>
  <c r="JK9" i="5" s="1"/>
  <c r="JK10" i="20" s="1"/>
  <c r="AKM10" i="20" s="1"/>
  <c r="BLO10" i="20" s="1"/>
  <c r="CMQ10" i="20" s="1"/>
  <c r="JL38" i="5"/>
  <c r="JL12" i="5" s="1"/>
  <c r="JL13" i="20" s="1"/>
  <c r="AKN13" i="20" s="1"/>
  <c r="BLP13" i="20" s="1"/>
  <c r="CMR13" i="20" s="1"/>
  <c r="JJ35" i="5"/>
  <c r="JJ9" i="5" s="1"/>
  <c r="JJ10" i="20" s="1"/>
  <c r="AKL10" i="20" s="1"/>
  <c r="BLN10" i="20" s="1"/>
  <c r="CMP10" i="20" s="1"/>
  <c r="JI35" i="5"/>
  <c r="JI9" i="5" s="1"/>
  <c r="JI10" i="20" s="1"/>
  <c r="AKK10" i="20" s="1"/>
  <c r="BLM10" i="20" s="1"/>
  <c r="CMO10" i="20" s="1"/>
  <c r="JK38" i="5"/>
  <c r="JK12" i="5" s="1"/>
  <c r="JK13" i="20" s="1"/>
  <c r="AKM13" i="20" s="1"/>
  <c r="BLO13" i="20" s="1"/>
  <c r="CMQ13" i="20" s="1"/>
  <c r="KX1" i="5" l="1"/>
  <c r="KJ38" i="5"/>
  <c r="KJ12" i="5" s="1"/>
  <c r="KJ13" i="20" s="1"/>
  <c r="ALL13" i="20" s="1"/>
  <c r="BMN13" i="20" s="1"/>
  <c r="CNP13" i="20" s="1"/>
  <c r="KH35" i="5"/>
  <c r="KH9" i="5" s="1"/>
  <c r="KH10" i="20" s="1"/>
  <c r="ALJ10" i="20" s="1"/>
  <c r="BML10" i="20" s="1"/>
  <c r="CNN10" i="20" s="1"/>
  <c r="KI38" i="5"/>
  <c r="KI12" i="5" s="1"/>
  <c r="KI13" i="20" s="1"/>
  <c r="ALK13" i="20" s="1"/>
  <c r="BMM13" i="20" s="1"/>
  <c r="CNO13" i="20" s="1"/>
  <c r="KG35" i="5"/>
  <c r="KG9" i="5" s="1"/>
  <c r="KG10" i="20" s="1"/>
  <c r="ALI10" i="20" s="1"/>
  <c r="BMK10" i="20" s="1"/>
  <c r="CNM10" i="20" s="1"/>
  <c r="KH38" i="5"/>
  <c r="KH12" i="5" s="1"/>
  <c r="KH13" i="20" s="1"/>
  <c r="ALJ13" i="20" s="1"/>
  <c r="BML13" i="20" s="1"/>
  <c r="CNN13" i="20" s="1"/>
  <c r="KF35" i="5"/>
  <c r="KF9" i="5" s="1"/>
  <c r="KF10" i="20" s="1"/>
  <c r="ALH10" i="20" s="1"/>
  <c r="BMJ10" i="20" s="1"/>
  <c r="CNL10" i="20" s="1"/>
  <c r="KG38" i="5"/>
  <c r="KG12" i="5" s="1"/>
  <c r="KG13" i="20" s="1"/>
  <c r="ALI13" i="20" s="1"/>
  <c r="BMK13" i="20" s="1"/>
  <c r="CNM13" i="20" s="1"/>
  <c r="KE35" i="5"/>
  <c r="KE9" i="5" s="1"/>
  <c r="KE10" i="20" s="1"/>
  <c r="ALG10" i="20" s="1"/>
  <c r="BMI10" i="20" s="1"/>
  <c r="CNK10" i="20" s="1"/>
  <c r="KF38" i="5"/>
  <c r="KF12" i="5" s="1"/>
  <c r="KF13" i="20" s="1"/>
  <c r="ALH13" i="20" s="1"/>
  <c r="BMJ13" i="20" s="1"/>
  <c r="CNL13" i="20" s="1"/>
  <c r="KE38" i="5"/>
  <c r="KE12" i="5" s="1"/>
  <c r="KE13" i="20" s="1"/>
  <c r="ALG13" i="20" s="1"/>
  <c r="BMI13" i="20" s="1"/>
  <c r="CNK13" i="20" s="1"/>
  <c r="KJ35" i="5"/>
  <c r="KJ9" i="5" s="1"/>
  <c r="KJ10" i="20" s="1"/>
  <c r="ALL10" i="20" s="1"/>
  <c r="BMN10" i="20" s="1"/>
  <c r="CNP10" i="20" s="1"/>
  <c r="KI35" i="5"/>
  <c r="KI9" i="5" s="1"/>
  <c r="KI10" i="20" s="1"/>
  <c r="ALK10" i="20" s="1"/>
  <c r="BMM10" i="20" s="1"/>
  <c r="CNO10" i="20" s="1"/>
  <c r="LT1" i="5" l="1"/>
  <c r="LB38" i="5"/>
  <c r="LB12" i="5" s="1"/>
  <c r="LB13" i="20" s="1"/>
  <c r="AMD13" i="20" s="1"/>
  <c r="BNF13" i="20" s="1"/>
  <c r="COH13" i="20" s="1"/>
  <c r="LA38" i="5"/>
  <c r="LA12" i="5" s="1"/>
  <c r="LA13" i="20" s="1"/>
  <c r="AMC13" i="20" s="1"/>
  <c r="BNE13" i="20" s="1"/>
  <c r="COG13" i="20" s="1"/>
  <c r="LF35" i="5"/>
  <c r="LF9" i="5" s="1"/>
  <c r="LF10" i="20" s="1"/>
  <c r="AMH10" i="20" s="1"/>
  <c r="BNJ10" i="20" s="1"/>
  <c r="COL10" i="20" s="1"/>
  <c r="LE35" i="5"/>
  <c r="LE9" i="5" s="1"/>
  <c r="LE10" i="20" s="1"/>
  <c r="AMG10" i="20" s="1"/>
  <c r="BNI10" i="20" s="1"/>
  <c r="COK10" i="20" s="1"/>
  <c r="LF38" i="5"/>
  <c r="LF12" i="5" s="1"/>
  <c r="LF13" i="20" s="1"/>
  <c r="AMH13" i="20" s="1"/>
  <c r="BNJ13" i="20" s="1"/>
  <c r="COL13" i="20" s="1"/>
  <c r="LD35" i="5"/>
  <c r="LD9" i="5" s="1"/>
  <c r="LD10" i="20" s="1"/>
  <c r="AMF10" i="20" s="1"/>
  <c r="BNH10" i="20" s="1"/>
  <c r="COJ10" i="20" s="1"/>
  <c r="LE38" i="5"/>
  <c r="LE12" i="5" s="1"/>
  <c r="LE13" i="20" s="1"/>
  <c r="AMG13" i="20" s="1"/>
  <c r="BNI13" i="20" s="1"/>
  <c r="COK13" i="20" s="1"/>
  <c r="LC35" i="5"/>
  <c r="LC9" i="5" s="1"/>
  <c r="LC10" i="20" s="1"/>
  <c r="AME10" i="20" s="1"/>
  <c r="BNG10" i="20" s="1"/>
  <c r="COI10" i="20" s="1"/>
  <c r="LD38" i="5"/>
  <c r="LD12" i="5" s="1"/>
  <c r="LD13" i="20" s="1"/>
  <c r="AMF13" i="20" s="1"/>
  <c r="BNH13" i="20" s="1"/>
  <c r="COJ13" i="20" s="1"/>
  <c r="LB35" i="5"/>
  <c r="LB9" i="5" s="1"/>
  <c r="LB10" i="20" s="1"/>
  <c r="AMD10" i="20" s="1"/>
  <c r="BNF10" i="20" s="1"/>
  <c r="COH10" i="20" s="1"/>
  <c r="LC38" i="5"/>
  <c r="LC12" i="5" s="1"/>
  <c r="LC13" i="20" s="1"/>
  <c r="AME13" i="20" s="1"/>
  <c r="BNG13" i="20" s="1"/>
  <c r="COI13" i="20" s="1"/>
  <c r="LA35" i="5"/>
  <c r="LA9" i="5" s="1"/>
  <c r="LA10" i="20" s="1"/>
  <c r="AMC10" i="20" s="1"/>
  <c r="BNE10" i="20" s="1"/>
  <c r="COG10" i="20" s="1"/>
  <c r="MP1" i="5" l="1"/>
  <c r="MB38" i="5"/>
  <c r="MB12" i="5" s="1"/>
  <c r="MB13" i="20" s="1"/>
  <c r="AND13" i="20" s="1"/>
  <c r="BOF13" i="20" s="1"/>
  <c r="CPH13" i="20" s="1"/>
  <c r="LZ35" i="5"/>
  <c r="LZ9" i="5" s="1"/>
  <c r="LZ10" i="20" s="1"/>
  <c r="ANB10" i="20" s="1"/>
  <c r="BOD10" i="20" s="1"/>
  <c r="CPF10" i="20" s="1"/>
  <c r="MA38" i="5"/>
  <c r="MA12" i="5" s="1"/>
  <c r="MA13" i="20" s="1"/>
  <c r="ANC13" i="20" s="1"/>
  <c r="BOE13" i="20" s="1"/>
  <c r="CPG13" i="20" s="1"/>
  <c r="LY35" i="5"/>
  <c r="LY9" i="5" s="1"/>
  <c r="LY10" i="20" s="1"/>
  <c r="ANA10" i="20" s="1"/>
  <c r="BOC10" i="20" s="1"/>
  <c r="CPE10" i="20" s="1"/>
  <c r="LZ38" i="5"/>
  <c r="LZ12" i="5" s="1"/>
  <c r="LZ13" i="20" s="1"/>
  <c r="ANB13" i="20" s="1"/>
  <c r="BOD13" i="20" s="1"/>
  <c r="CPF13" i="20" s="1"/>
  <c r="LX35" i="5"/>
  <c r="LX9" i="5" s="1"/>
  <c r="LX10" i="20" s="1"/>
  <c r="AMZ10" i="20" s="1"/>
  <c r="BOB10" i="20" s="1"/>
  <c r="CPD10" i="20" s="1"/>
  <c r="LY38" i="5"/>
  <c r="LY12" i="5" s="1"/>
  <c r="LY13" i="20" s="1"/>
  <c r="ANA13" i="20" s="1"/>
  <c r="BOC13" i="20" s="1"/>
  <c r="CPE13" i="20" s="1"/>
  <c r="LW35" i="5"/>
  <c r="LW9" i="5" s="1"/>
  <c r="LW10" i="20" s="1"/>
  <c r="AMY10" i="20" s="1"/>
  <c r="BOA10" i="20" s="1"/>
  <c r="CPC10" i="20" s="1"/>
  <c r="LX38" i="5"/>
  <c r="LX12" i="5" s="1"/>
  <c r="LX13" i="20" s="1"/>
  <c r="AMZ13" i="20" s="1"/>
  <c r="BOB13" i="20" s="1"/>
  <c r="CPD13" i="20" s="1"/>
  <c r="LW38" i="5"/>
  <c r="LW12" i="5" s="1"/>
  <c r="LW13" i="20" s="1"/>
  <c r="AMY13" i="20" s="1"/>
  <c r="BOA13" i="20" s="1"/>
  <c r="CPC13" i="20" s="1"/>
  <c r="MB35" i="5"/>
  <c r="MB9" i="5" s="1"/>
  <c r="MB10" i="20" s="1"/>
  <c r="AND10" i="20" s="1"/>
  <c r="BOF10" i="20" s="1"/>
  <c r="CPH10" i="20" s="1"/>
  <c r="MA35" i="5"/>
  <c r="MA9" i="5" s="1"/>
  <c r="MA10" i="20" s="1"/>
  <c r="ANC10" i="20" s="1"/>
  <c r="BOE10" i="20" s="1"/>
  <c r="CPG10" i="20" s="1"/>
  <c r="NL1" i="5" l="1"/>
  <c r="MT38" i="5"/>
  <c r="MT12" i="5" s="1"/>
  <c r="MT13" i="20" s="1"/>
  <c r="ANV13" i="20" s="1"/>
  <c r="BOX13" i="20" s="1"/>
  <c r="CPZ13" i="20" s="1"/>
  <c r="MS38" i="5"/>
  <c r="MS12" i="5" s="1"/>
  <c r="MS13" i="20" s="1"/>
  <c r="ANU13" i="20" s="1"/>
  <c r="BOW13" i="20" s="1"/>
  <c r="CPY13" i="20" s="1"/>
  <c r="MX35" i="5"/>
  <c r="MX9" i="5" s="1"/>
  <c r="MX10" i="20" s="1"/>
  <c r="ANZ10" i="20" s="1"/>
  <c r="BPB10" i="20" s="1"/>
  <c r="CQD10" i="20" s="1"/>
  <c r="MW35" i="5"/>
  <c r="MW9" i="5" s="1"/>
  <c r="MW10" i="20" s="1"/>
  <c r="ANY10" i="20" s="1"/>
  <c r="BPA10" i="20" s="1"/>
  <c r="CQC10" i="20" s="1"/>
  <c r="MX38" i="5"/>
  <c r="MX12" i="5" s="1"/>
  <c r="MX13" i="20" s="1"/>
  <c r="ANZ13" i="20" s="1"/>
  <c r="BPB13" i="20" s="1"/>
  <c r="CQD13" i="20" s="1"/>
  <c r="MV35" i="5"/>
  <c r="MV9" i="5" s="1"/>
  <c r="MV10" i="20" s="1"/>
  <c r="ANX10" i="20" s="1"/>
  <c r="BOZ10" i="20" s="1"/>
  <c r="CQB10" i="20" s="1"/>
  <c r="MW38" i="5"/>
  <c r="MW12" i="5" s="1"/>
  <c r="MW13" i="20" s="1"/>
  <c r="ANY13" i="20" s="1"/>
  <c r="BPA13" i="20" s="1"/>
  <c r="CQC13" i="20" s="1"/>
  <c r="MU35" i="5"/>
  <c r="MU9" i="5" s="1"/>
  <c r="MU10" i="20" s="1"/>
  <c r="ANW10" i="20" s="1"/>
  <c r="BOY10" i="20" s="1"/>
  <c r="CQA10" i="20" s="1"/>
  <c r="MV38" i="5"/>
  <c r="MV12" i="5" s="1"/>
  <c r="MV13" i="20" s="1"/>
  <c r="ANX13" i="20" s="1"/>
  <c r="BOZ13" i="20" s="1"/>
  <c r="CQB13" i="20" s="1"/>
  <c r="MT35" i="5"/>
  <c r="MT9" i="5" s="1"/>
  <c r="MT10" i="20" s="1"/>
  <c r="ANV10" i="20" s="1"/>
  <c r="BOX10" i="20" s="1"/>
  <c r="CPZ10" i="20" s="1"/>
  <c r="MS35" i="5"/>
  <c r="MS9" i="5" s="1"/>
  <c r="MS10" i="20" s="1"/>
  <c r="ANU10" i="20" s="1"/>
  <c r="BOW10" i="20" s="1"/>
  <c r="CPY10" i="20" s="1"/>
  <c r="MU38" i="5"/>
  <c r="MU12" i="5" s="1"/>
  <c r="MU13" i="20" s="1"/>
  <c r="ANW13" i="20" s="1"/>
  <c r="BOY13" i="20" s="1"/>
  <c r="CQA13" i="20" s="1"/>
  <c r="OH1" i="5" l="1"/>
  <c r="NT38" i="5"/>
  <c r="NT12" i="5" s="1"/>
  <c r="NT13" i="20" s="1"/>
  <c r="AOV13" i="20" s="1"/>
  <c r="BPX13" i="20" s="1"/>
  <c r="CQZ13" i="20" s="1"/>
  <c r="NR35" i="5"/>
  <c r="NR9" i="5" s="1"/>
  <c r="NR10" i="20" s="1"/>
  <c r="AOT10" i="20" s="1"/>
  <c r="BPV10" i="20" s="1"/>
  <c r="CQX10" i="20" s="1"/>
  <c r="NS38" i="5"/>
  <c r="NS12" i="5" s="1"/>
  <c r="NS13" i="20" s="1"/>
  <c r="AOU13" i="20" s="1"/>
  <c r="BPW13" i="20" s="1"/>
  <c r="CQY13" i="20" s="1"/>
  <c r="NQ35" i="5"/>
  <c r="NQ9" i="5" s="1"/>
  <c r="NQ10" i="20" s="1"/>
  <c r="AOS10" i="20" s="1"/>
  <c r="BPU10" i="20" s="1"/>
  <c r="CQW10" i="20" s="1"/>
  <c r="NR38" i="5"/>
  <c r="NR12" i="5" s="1"/>
  <c r="NR13" i="20" s="1"/>
  <c r="AOT13" i="20" s="1"/>
  <c r="BPV13" i="20" s="1"/>
  <c r="CQX13" i="20" s="1"/>
  <c r="NP35" i="5"/>
  <c r="NP9" i="5" s="1"/>
  <c r="NP10" i="20" s="1"/>
  <c r="AOR10" i="20" s="1"/>
  <c r="BPT10" i="20" s="1"/>
  <c r="CQV10" i="20" s="1"/>
  <c r="NQ38" i="5"/>
  <c r="NQ12" i="5" s="1"/>
  <c r="NQ13" i="20" s="1"/>
  <c r="AOS13" i="20" s="1"/>
  <c r="BPU13" i="20" s="1"/>
  <c r="CQW13" i="20" s="1"/>
  <c r="NO35" i="5"/>
  <c r="NO9" i="5" s="1"/>
  <c r="NO10" i="20" s="1"/>
  <c r="AOQ10" i="20" s="1"/>
  <c r="BPS10" i="20" s="1"/>
  <c r="CQU10" i="20" s="1"/>
  <c r="NP38" i="5"/>
  <c r="NP12" i="5" s="1"/>
  <c r="NP13" i="20" s="1"/>
  <c r="AOR13" i="20" s="1"/>
  <c r="BPT13" i="20" s="1"/>
  <c r="CQV13" i="20" s="1"/>
  <c r="NO38" i="5"/>
  <c r="NO12" i="5" s="1"/>
  <c r="NO13" i="20" s="1"/>
  <c r="AOQ13" i="20" s="1"/>
  <c r="BPS13" i="20" s="1"/>
  <c r="CQU13" i="20" s="1"/>
  <c r="NT35" i="5"/>
  <c r="NT9" i="5" s="1"/>
  <c r="NT10" i="20" s="1"/>
  <c r="AOV10" i="20" s="1"/>
  <c r="BPX10" i="20" s="1"/>
  <c r="CQZ10" i="20" s="1"/>
  <c r="NS35" i="5"/>
  <c r="NS9" i="5" s="1"/>
  <c r="NS10" i="20" s="1"/>
  <c r="AOU10" i="20" s="1"/>
  <c r="BPW10" i="20" s="1"/>
  <c r="CQY10" i="20" s="1"/>
  <c r="PD1" i="5" l="1"/>
  <c r="OL38" i="5"/>
  <c r="OL12" i="5" s="1"/>
  <c r="OL13" i="20" s="1"/>
  <c r="APN13" i="20" s="1"/>
  <c r="BQP13" i="20" s="1"/>
  <c r="CRR13" i="20" s="1"/>
  <c r="OK38" i="5"/>
  <c r="OK12" i="5" s="1"/>
  <c r="OK13" i="20" s="1"/>
  <c r="APM13" i="20" s="1"/>
  <c r="BQO13" i="20" s="1"/>
  <c r="CRQ13" i="20" s="1"/>
  <c r="OP35" i="5"/>
  <c r="OP9" i="5" s="1"/>
  <c r="OP10" i="20" s="1"/>
  <c r="APR10" i="20" s="1"/>
  <c r="BQT10" i="20" s="1"/>
  <c r="CRV10" i="20" s="1"/>
  <c r="OO35" i="5"/>
  <c r="OO9" i="5" s="1"/>
  <c r="OO10" i="20" s="1"/>
  <c r="APQ10" i="20" s="1"/>
  <c r="BQS10" i="20" s="1"/>
  <c r="CRU10" i="20" s="1"/>
  <c r="OP38" i="5"/>
  <c r="OP12" i="5" s="1"/>
  <c r="OP13" i="20" s="1"/>
  <c r="APR13" i="20" s="1"/>
  <c r="BQT13" i="20" s="1"/>
  <c r="CRV13" i="20" s="1"/>
  <c r="ON35" i="5"/>
  <c r="ON9" i="5" s="1"/>
  <c r="ON10" i="20" s="1"/>
  <c r="APP10" i="20" s="1"/>
  <c r="BQR10" i="20" s="1"/>
  <c r="CRT10" i="20" s="1"/>
  <c r="OO38" i="5"/>
  <c r="OO12" i="5" s="1"/>
  <c r="OO13" i="20" s="1"/>
  <c r="APQ13" i="20" s="1"/>
  <c r="BQS13" i="20" s="1"/>
  <c r="CRU13" i="20" s="1"/>
  <c r="OM35" i="5"/>
  <c r="OM9" i="5" s="1"/>
  <c r="OM10" i="20" s="1"/>
  <c r="APO10" i="20" s="1"/>
  <c r="BQQ10" i="20" s="1"/>
  <c r="CRS10" i="20" s="1"/>
  <c r="ON38" i="5"/>
  <c r="ON12" i="5" s="1"/>
  <c r="ON13" i="20" s="1"/>
  <c r="APP13" i="20" s="1"/>
  <c r="BQR13" i="20" s="1"/>
  <c r="CRT13" i="20" s="1"/>
  <c r="OL35" i="5"/>
  <c r="OL9" i="5" s="1"/>
  <c r="OL10" i="20" s="1"/>
  <c r="APN10" i="20" s="1"/>
  <c r="BQP10" i="20" s="1"/>
  <c r="CRR10" i="20" s="1"/>
  <c r="OM38" i="5"/>
  <c r="OM12" i="5" s="1"/>
  <c r="OM13" i="20" s="1"/>
  <c r="APO13" i="20" s="1"/>
  <c r="BQQ13" i="20" s="1"/>
  <c r="CRS13" i="20" s="1"/>
  <c r="OK35" i="5"/>
  <c r="OK9" i="5" s="1"/>
  <c r="OK10" i="20" s="1"/>
  <c r="APM10" i="20" s="1"/>
  <c r="BQO10" i="20" s="1"/>
  <c r="CRQ10" i="20" s="1"/>
  <c r="PZ1" i="5" l="1"/>
  <c r="PL38" i="5"/>
  <c r="PL12" i="5" s="1"/>
  <c r="PL13" i="20" s="1"/>
  <c r="AQN13" i="20" s="1"/>
  <c r="BRP13" i="20" s="1"/>
  <c r="CSR13" i="20" s="1"/>
  <c r="PJ35" i="5"/>
  <c r="PJ9" i="5" s="1"/>
  <c r="PJ10" i="20" s="1"/>
  <c r="AQL10" i="20" s="1"/>
  <c r="BRN10" i="20" s="1"/>
  <c r="CSP10" i="20" s="1"/>
  <c r="PK38" i="5"/>
  <c r="PK12" i="5" s="1"/>
  <c r="PK13" i="20" s="1"/>
  <c r="AQM13" i="20" s="1"/>
  <c r="BRO13" i="20" s="1"/>
  <c r="CSQ13" i="20" s="1"/>
  <c r="PI35" i="5"/>
  <c r="PI9" i="5" s="1"/>
  <c r="PI10" i="20" s="1"/>
  <c r="AQK10" i="20" s="1"/>
  <c r="BRM10" i="20" s="1"/>
  <c r="CSO10" i="20" s="1"/>
  <c r="PJ38" i="5"/>
  <c r="PJ12" i="5" s="1"/>
  <c r="PJ13" i="20" s="1"/>
  <c r="AQL13" i="20" s="1"/>
  <c r="BRN13" i="20" s="1"/>
  <c r="CSP13" i="20" s="1"/>
  <c r="PH35" i="5"/>
  <c r="PH9" i="5" s="1"/>
  <c r="PH10" i="20" s="1"/>
  <c r="AQJ10" i="20" s="1"/>
  <c r="BRL10" i="20" s="1"/>
  <c r="CSN10" i="20" s="1"/>
  <c r="PI38" i="5"/>
  <c r="PI12" i="5" s="1"/>
  <c r="PI13" i="20" s="1"/>
  <c r="AQK13" i="20" s="1"/>
  <c r="BRM13" i="20" s="1"/>
  <c r="CSO13" i="20" s="1"/>
  <c r="PG35" i="5"/>
  <c r="PG9" i="5" s="1"/>
  <c r="PG10" i="20" s="1"/>
  <c r="AQI10" i="20" s="1"/>
  <c r="BRK10" i="20" s="1"/>
  <c r="CSM10" i="20" s="1"/>
  <c r="PH38" i="5"/>
  <c r="PH12" i="5" s="1"/>
  <c r="PH13" i="20" s="1"/>
  <c r="AQJ13" i="20" s="1"/>
  <c r="BRL13" i="20" s="1"/>
  <c r="CSN13" i="20" s="1"/>
  <c r="PG38" i="5"/>
  <c r="PG12" i="5" s="1"/>
  <c r="PG13" i="20" s="1"/>
  <c r="AQI13" i="20" s="1"/>
  <c r="BRK13" i="20" s="1"/>
  <c r="CSM13" i="20" s="1"/>
  <c r="PL35" i="5"/>
  <c r="PL9" i="5" s="1"/>
  <c r="PL10" i="20" s="1"/>
  <c r="AQN10" i="20" s="1"/>
  <c r="BRP10" i="20" s="1"/>
  <c r="CSR10" i="20" s="1"/>
  <c r="PK35" i="5"/>
  <c r="PK9" i="5" s="1"/>
  <c r="PK10" i="20" s="1"/>
  <c r="AQM10" i="20" s="1"/>
  <c r="BRO10" i="20" s="1"/>
  <c r="CSQ10" i="20" s="1"/>
  <c r="QV1" i="5" l="1"/>
  <c r="QD38" i="5"/>
  <c r="QD12" i="5" s="1"/>
  <c r="QD13" i="20" s="1"/>
  <c r="ARF13" i="20" s="1"/>
  <c r="BSH13" i="20" s="1"/>
  <c r="CTJ13" i="20" s="1"/>
  <c r="QC38" i="5"/>
  <c r="QC12" i="5" s="1"/>
  <c r="QC13" i="20" s="1"/>
  <c r="ARE13" i="20" s="1"/>
  <c r="BSG13" i="20" s="1"/>
  <c r="CTI13" i="20" s="1"/>
  <c r="QH35" i="5"/>
  <c r="QH9" i="5" s="1"/>
  <c r="QH10" i="20" s="1"/>
  <c r="ARJ10" i="20" s="1"/>
  <c r="BSL10" i="20" s="1"/>
  <c r="CTN10" i="20" s="1"/>
  <c r="QG35" i="5"/>
  <c r="QG9" i="5" s="1"/>
  <c r="QG10" i="20" s="1"/>
  <c r="ARI10" i="20" s="1"/>
  <c r="BSK10" i="20" s="1"/>
  <c r="CTM10" i="20" s="1"/>
  <c r="QH38" i="5"/>
  <c r="QH12" i="5" s="1"/>
  <c r="QH13" i="20" s="1"/>
  <c r="ARJ13" i="20" s="1"/>
  <c r="BSL13" i="20" s="1"/>
  <c r="CTN13" i="20" s="1"/>
  <c r="QF35" i="5"/>
  <c r="QF9" i="5" s="1"/>
  <c r="QF10" i="20" s="1"/>
  <c r="ARH10" i="20" s="1"/>
  <c r="BSJ10" i="20" s="1"/>
  <c r="CTL10" i="20" s="1"/>
  <c r="QG38" i="5"/>
  <c r="QG12" i="5" s="1"/>
  <c r="QG13" i="20" s="1"/>
  <c r="ARI13" i="20" s="1"/>
  <c r="BSK13" i="20" s="1"/>
  <c r="CTM13" i="20" s="1"/>
  <c r="QE35" i="5"/>
  <c r="QE9" i="5" s="1"/>
  <c r="QE10" i="20" s="1"/>
  <c r="ARG10" i="20" s="1"/>
  <c r="BSI10" i="20" s="1"/>
  <c r="CTK10" i="20" s="1"/>
  <c r="QF38" i="5"/>
  <c r="QF12" i="5" s="1"/>
  <c r="QF13" i="20" s="1"/>
  <c r="ARH13" i="20" s="1"/>
  <c r="BSJ13" i="20" s="1"/>
  <c r="CTL13" i="20" s="1"/>
  <c r="QD35" i="5"/>
  <c r="QD9" i="5" s="1"/>
  <c r="QD10" i="20" s="1"/>
  <c r="ARF10" i="20" s="1"/>
  <c r="BSH10" i="20" s="1"/>
  <c r="CTJ10" i="20" s="1"/>
  <c r="QC35" i="5"/>
  <c r="QC9" i="5" s="1"/>
  <c r="QC10" i="20" s="1"/>
  <c r="ARE10" i="20" s="1"/>
  <c r="BSG10" i="20" s="1"/>
  <c r="CTI10" i="20" s="1"/>
  <c r="QE38" i="5"/>
  <c r="QE12" i="5" s="1"/>
  <c r="QE13" i="20" s="1"/>
  <c r="ARG13" i="20" s="1"/>
  <c r="BSI13" i="20" s="1"/>
  <c r="CTK13" i="20" s="1"/>
  <c r="RR1" i="5" l="1"/>
  <c r="RD38" i="5"/>
  <c r="RD12" i="5" s="1"/>
  <c r="RD13" i="20" s="1"/>
  <c r="ASF13" i="20" s="1"/>
  <c r="BTH13" i="20" s="1"/>
  <c r="CUJ13" i="20" s="1"/>
  <c r="RB35" i="5"/>
  <c r="RB9" i="5" s="1"/>
  <c r="RB10" i="20" s="1"/>
  <c r="ASD10" i="20" s="1"/>
  <c r="BTF10" i="20" s="1"/>
  <c r="CUH10" i="20" s="1"/>
  <c r="RC38" i="5"/>
  <c r="RC12" i="5" s="1"/>
  <c r="RC13" i="20" s="1"/>
  <c r="ASE13" i="20" s="1"/>
  <c r="BTG13" i="20" s="1"/>
  <c r="CUI13" i="20" s="1"/>
  <c r="RA35" i="5"/>
  <c r="RA9" i="5" s="1"/>
  <c r="RA10" i="20" s="1"/>
  <c r="ASC10" i="20" s="1"/>
  <c r="BTE10" i="20" s="1"/>
  <c r="CUG10" i="20" s="1"/>
  <c r="RB38" i="5"/>
  <c r="RB12" i="5" s="1"/>
  <c r="RB13" i="20" s="1"/>
  <c r="ASD13" i="20" s="1"/>
  <c r="BTF13" i="20" s="1"/>
  <c r="CUH13" i="20" s="1"/>
  <c r="QZ35" i="5"/>
  <c r="QZ9" i="5" s="1"/>
  <c r="QZ10" i="20" s="1"/>
  <c r="ASB10" i="20" s="1"/>
  <c r="BTD10" i="20" s="1"/>
  <c r="CUF10" i="20" s="1"/>
  <c r="RA38" i="5"/>
  <c r="RA12" i="5" s="1"/>
  <c r="RA13" i="20" s="1"/>
  <c r="ASC13" i="20" s="1"/>
  <c r="BTE13" i="20" s="1"/>
  <c r="CUG13" i="20" s="1"/>
  <c r="QY35" i="5"/>
  <c r="QY9" i="5" s="1"/>
  <c r="QY10" i="20" s="1"/>
  <c r="ASA10" i="20" s="1"/>
  <c r="BTC10" i="20" s="1"/>
  <c r="CUE10" i="20" s="1"/>
  <c r="QZ38" i="5"/>
  <c r="QZ12" i="5" s="1"/>
  <c r="QZ13" i="20" s="1"/>
  <c r="ASB13" i="20" s="1"/>
  <c r="BTD13" i="20" s="1"/>
  <c r="CUF13" i="20" s="1"/>
  <c r="QY38" i="5"/>
  <c r="QY12" i="5" s="1"/>
  <c r="QY13" i="20" s="1"/>
  <c r="ASA13" i="20" s="1"/>
  <c r="BTC13" i="20" s="1"/>
  <c r="CUE13" i="20" s="1"/>
  <c r="RD35" i="5"/>
  <c r="RD9" i="5" s="1"/>
  <c r="RD10" i="20" s="1"/>
  <c r="ASF10" i="20" s="1"/>
  <c r="BTH10" i="20" s="1"/>
  <c r="CUJ10" i="20" s="1"/>
  <c r="RC35" i="5"/>
  <c r="RC9" i="5" s="1"/>
  <c r="RC10" i="20" s="1"/>
  <c r="ASE10" i="20" s="1"/>
  <c r="BTG10" i="20" s="1"/>
  <c r="CUI10" i="20" s="1"/>
  <c r="SN1" i="5" l="1"/>
  <c r="RV38" i="5"/>
  <c r="RV12" i="5" s="1"/>
  <c r="RV13" i="20" s="1"/>
  <c r="ASX13" i="20" s="1"/>
  <c r="BTZ13" i="20" s="1"/>
  <c r="CVB13" i="20" s="1"/>
  <c r="RU38" i="5"/>
  <c r="RU12" i="5" s="1"/>
  <c r="RU13" i="20" s="1"/>
  <c r="ASW13" i="20" s="1"/>
  <c r="BTY13" i="20" s="1"/>
  <c r="CVA13" i="20" s="1"/>
  <c r="RZ35" i="5"/>
  <c r="RZ9" i="5" s="1"/>
  <c r="RZ10" i="20" s="1"/>
  <c r="ATB10" i="20" s="1"/>
  <c r="BUD10" i="20" s="1"/>
  <c r="CVF10" i="20" s="1"/>
  <c r="RY35" i="5"/>
  <c r="RY9" i="5" s="1"/>
  <c r="RY10" i="20" s="1"/>
  <c r="ATA10" i="20" s="1"/>
  <c r="BUC10" i="20" s="1"/>
  <c r="CVE10" i="20" s="1"/>
  <c r="RZ38" i="5"/>
  <c r="RZ12" i="5" s="1"/>
  <c r="RZ13" i="20" s="1"/>
  <c r="ATB13" i="20" s="1"/>
  <c r="BUD13" i="20" s="1"/>
  <c r="CVF13" i="20" s="1"/>
  <c r="RX35" i="5"/>
  <c r="RX9" i="5" s="1"/>
  <c r="RX10" i="20" s="1"/>
  <c r="ASZ10" i="20" s="1"/>
  <c r="BUB10" i="20" s="1"/>
  <c r="CVD10" i="20" s="1"/>
  <c r="RY38" i="5"/>
  <c r="RY12" i="5" s="1"/>
  <c r="RY13" i="20" s="1"/>
  <c r="ATA13" i="20" s="1"/>
  <c r="BUC13" i="20" s="1"/>
  <c r="CVE13" i="20" s="1"/>
  <c r="RW35" i="5"/>
  <c r="RW9" i="5" s="1"/>
  <c r="RW10" i="20" s="1"/>
  <c r="ASY10" i="20" s="1"/>
  <c r="BUA10" i="20" s="1"/>
  <c r="CVC10" i="20" s="1"/>
  <c r="RX38" i="5"/>
  <c r="RX12" i="5" s="1"/>
  <c r="RX13" i="20" s="1"/>
  <c r="ASZ13" i="20" s="1"/>
  <c r="BUB13" i="20" s="1"/>
  <c r="CVD13" i="20" s="1"/>
  <c r="RV35" i="5"/>
  <c r="RV9" i="5" s="1"/>
  <c r="RV10" i="20" s="1"/>
  <c r="ASX10" i="20" s="1"/>
  <c r="BTZ10" i="20" s="1"/>
  <c r="CVB10" i="20" s="1"/>
  <c r="RW38" i="5"/>
  <c r="RW12" i="5" s="1"/>
  <c r="RW13" i="20" s="1"/>
  <c r="ASY13" i="20" s="1"/>
  <c r="BUA13" i="20" s="1"/>
  <c r="CVC13" i="20" s="1"/>
  <c r="RU35" i="5"/>
  <c r="RU9" i="5" s="1"/>
  <c r="RU10" i="20" s="1"/>
  <c r="ASW10" i="20" s="1"/>
  <c r="BTY10" i="20" s="1"/>
  <c r="CVA10" i="20" s="1"/>
  <c r="TJ1" i="5" l="1"/>
  <c r="SV38" i="5"/>
  <c r="SV12" i="5" s="1"/>
  <c r="SV13" i="20" s="1"/>
  <c r="ATX13" i="20" s="1"/>
  <c r="BUZ13" i="20" s="1"/>
  <c r="CWB13" i="20" s="1"/>
  <c r="ST35" i="5"/>
  <c r="ST9" i="5" s="1"/>
  <c r="ST10" i="20" s="1"/>
  <c r="ATV10" i="20" s="1"/>
  <c r="BUX10" i="20" s="1"/>
  <c r="CVZ10" i="20" s="1"/>
  <c r="SU38" i="5"/>
  <c r="SU12" i="5" s="1"/>
  <c r="SU13" i="20" s="1"/>
  <c r="ATW13" i="20" s="1"/>
  <c r="BUY13" i="20" s="1"/>
  <c r="CWA13" i="20" s="1"/>
  <c r="SS35" i="5"/>
  <c r="SS9" i="5" s="1"/>
  <c r="SS10" i="20" s="1"/>
  <c r="ATU10" i="20" s="1"/>
  <c r="BUW10" i="20" s="1"/>
  <c r="CVY10" i="20" s="1"/>
  <c r="ST38" i="5"/>
  <c r="ST12" i="5" s="1"/>
  <c r="ST13" i="20" s="1"/>
  <c r="ATV13" i="20" s="1"/>
  <c r="BUX13" i="20" s="1"/>
  <c r="CVZ13" i="20" s="1"/>
  <c r="SR35" i="5"/>
  <c r="SR9" i="5" s="1"/>
  <c r="SR10" i="20" s="1"/>
  <c r="ATT10" i="20" s="1"/>
  <c r="BUV10" i="20" s="1"/>
  <c r="CVX10" i="20" s="1"/>
  <c r="SS38" i="5"/>
  <c r="SS12" i="5" s="1"/>
  <c r="SS13" i="20" s="1"/>
  <c r="ATU13" i="20" s="1"/>
  <c r="BUW13" i="20" s="1"/>
  <c r="CVY13" i="20" s="1"/>
  <c r="SQ35" i="5"/>
  <c r="SQ9" i="5" s="1"/>
  <c r="SQ10" i="20" s="1"/>
  <c r="ATS10" i="20" s="1"/>
  <c r="BUU10" i="20" s="1"/>
  <c r="CVW10" i="20" s="1"/>
  <c r="SR38" i="5"/>
  <c r="SR12" i="5" s="1"/>
  <c r="SR13" i="20" s="1"/>
  <c r="ATT13" i="20" s="1"/>
  <c r="BUV13" i="20" s="1"/>
  <c r="CVX13" i="20" s="1"/>
  <c r="SQ38" i="5"/>
  <c r="SQ12" i="5" s="1"/>
  <c r="SQ13" i="20" s="1"/>
  <c r="ATS13" i="20" s="1"/>
  <c r="BUU13" i="20" s="1"/>
  <c r="CVW13" i="20" s="1"/>
  <c r="SV35" i="5"/>
  <c r="SV9" i="5" s="1"/>
  <c r="SV10" i="20" s="1"/>
  <c r="ATX10" i="20" s="1"/>
  <c r="BUZ10" i="20" s="1"/>
  <c r="CWB10" i="20" s="1"/>
  <c r="SU35" i="5"/>
  <c r="SU9" i="5" s="1"/>
  <c r="SU10" i="20" s="1"/>
  <c r="ATW10" i="20" s="1"/>
  <c r="BUY10" i="20" s="1"/>
  <c r="CWA10" i="20" s="1"/>
  <c r="UF1" i="5" l="1"/>
  <c r="TN38" i="5"/>
  <c r="TN12" i="5" s="1"/>
  <c r="TN13" i="20" s="1"/>
  <c r="AUP13" i="20" s="1"/>
  <c r="BVR13" i="20" s="1"/>
  <c r="CWT13" i="20" s="1"/>
  <c r="TM38" i="5"/>
  <c r="TM12" i="5" s="1"/>
  <c r="TM13" i="20" s="1"/>
  <c r="AUO13" i="20" s="1"/>
  <c r="BVQ13" i="20" s="1"/>
  <c r="CWS13" i="20" s="1"/>
  <c r="TR35" i="5"/>
  <c r="TR9" i="5" s="1"/>
  <c r="TR10" i="20" s="1"/>
  <c r="AUT10" i="20" s="1"/>
  <c r="BVV10" i="20" s="1"/>
  <c r="CWX10" i="20" s="1"/>
  <c r="TQ35" i="5"/>
  <c r="TQ9" i="5" s="1"/>
  <c r="TQ10" i="20" s="1"/>
  <c r="AUS10" i="20" s="1"/>
  <c r="BVU10" i="20" s="1"/>
  <c r="CWW10" i="20" s="1"/>
  <c r="TR38" i="5"/>
  <c r="TR12" i="5" s="1"/>
  <c r="TR13" i="20" s="1"/>
  <c r="AUT13" i="20" s="1"/>
  <c r="BVV13" i="20" s="1"/>
  <c r="CWX13" i="20" s="1"/>
  <c r="TP35" i="5"/>
  <c r="TP9" i="5" s="1"/>
  <c r="TP10" i="20" s="1"/>
  <c r="AUR10" i="20" s="1"/>
  <c r="BVT10" i="20" s="1"/>
  <c r="CWV10" i="20" s="1"/>
  <c r="TQ38" i="5"/>
  <c r="TQ12" i="5" s="1"/>
  <c r="TQ13" i="20" s="1"/>
  <c r="AUS13" i="20" s="1"/>
  <c r="BVU13" i="20" s="1"/>
  <c r="CWW13" i="20" s="1"/>
  <c r="TO35" i="5"/>
  <c r="TO9" i="5" s="1"/>
  <c r="TO10" i="20" s="1"/>
  <c r="AUQ10" i="20" s="1"/>
  <c r="BVS10" i="20" s="1"/>
  <c r="CWU10" i="20" s="1"/>
  <c r="TP38" i="5"/>
  <c r="TP12" i="5" s="1"/>
  <c r="TP13" i="20" s="1"/>
  <c r="AUR13" i="20" s="1"/>
  <c r="BVT13" i="20" s="1"/>
  <c r="CWV13" i="20" s="1"/>
  <c r="TN35" i="5"/>
  <c r="TN9" i="5" s="1"/>
  <c r="TN10" i="20" s="1"/>
  <c r="AUP10" i="20" s="1"/>
  <c r="BVR10" i="20" s="1"/>
  <c r="CWT10" i="20" s="1"/>
  <c r="TO38" i="5"/>
  <c r="TO12" i="5" s="1"/>
  <c r="TO13" i="20" s="1"/>
  <c r="AUQ13" i="20" s="1"/>
  <c r="BVS13" i="20" s="1"/>
  <c r="CWU13" i="20" s="1"/>
  <c r="TM35" i="5"/>
  <c r="TM9" i="5" s="1"/>
  <c r="TM10" i="20" s="1"/>
  <c r="AUO10" i="20" s="1"/>
  <c r="BVQ10" i="20" s="1"/>
  <c r="CWS10" i="20" s="1"/>
  <c r="VB1" i="5" l="1"/>
  <c r="UN38" i="5"/>
  <c r="UN12" i="5" s="1"/>
  <c r="UN13" i="20" s="1"/>
  <c r="AVP13" i="20" s="1"/>
  <c r="BWR13" i="20" s="1"/>
  <c r="CXT13" i="20" s="1"/>
  <c r="UL35" i="5"/>
  <c r="UL9" i="5" s="1"/>
  <c r="UL10" i="20" s="1"/>
  <c r="AVN10" i="20" s="1"/>
  <c r="BWP10" i="20" s="1"/>
  <c r="CXR10" i="20" s="1"/>
  <c r="UM38" i="5"/>
  <c r="UM12" i="5" s="1"/>
  <c r="UM13" i="20" s="1"/>
  <c r="AVO13" i="20" s="1"/>
  <c r="BWQ13" i="20" s="1"/>
  <c r="CXS13" i="20" s="1"/>
  <c r="UK35" i="5"/>
  <c r="UK9" i="5" s="1"/>
  <c r="UK10" i="20" s="1"/>
  <c r="AVM10" i="20" s="1"/>
  <c r="BWO10" i="20" s="1"/>
  <c r="CXQ10" i="20" s="1"/>
  <c r="UL38" i="5"/>
  <c r="UL12" i="5" s="1"/>
  <c r="UL13" i="20" s="1"/>
  <c r="AVN13" i="20" s="1"/>
  <c r="BWP13" i="20" s="1"/>
  <c r="CXR13" i="20" s="1"/>
  <c r="UJ35" i="5"/>
  <c r="UJ9" i="5" s="1"/>
  <c r="UJ10" i="20" s="1"/>
  <c r="AVL10" i="20" s="1"/>
  <c r="BWN10" i="20" s="1"/>
  <c r="CXP10" i="20" s="1"/>
  <c r="UK38" i="5"/>
  <c r="UK12" i="5" s="1"/>
  <c r="UK13" i="20" s="1"/>
  <c r="AVM13" i="20" s="1"/>
  <c r="BWO13" i="20" s="1"/>
  <c r="CXQ13" i="20" s="1"/>
  <c r="UI35" i="5"/>
  <c r="UI9" i="5" s="1"/>
  <c r="UI10" i="20" s="1"/>
  <c r="AVK10" i="20" s="1"/>
  <c r="BWM10" i="20" s="1"/>
  <c r="CXO10" i="20" s="1"/>
  <c r="UJ38" i="5"/>
  <c r="UJ12" i="5" s="1"/>
  <c r="UJ13" i="20" s="1"/>
  <c r="AVL13" i="20" s="1"/>
  <c r="BWN13" i="20" s="1"/>
  <c r="CXP13" i="20" s="1"/>
  <c r="UI38" i="5"/>
  <c r="UI12" i="5" s="1"/>
  <c r="UI13" i="20" s="1"/>
  <c r="AVK13" i="20" s="1"/>
  <c r="BWM13" i="20" s="1"/>
  <c r="CXO13" i="20" s="1"/>
  <c r="UN35" i="5"/>
  <c r="UN9" i="5" s="1"/>
  <c r="UN10" i="20" s="1"/>
  <c r="AVP10" i="20" s="1"/>
  <c r="BWR10" i="20" s="1"/>
  <c r="CXT10" i="20" s="1"/>
  <c r="UM35" i="5"/>
  <c r="UM9" i="5" s="1"/>
  <c r="UM10" i="20" s="1"/>
  <c r="AVO10" i="20" s="1"/>
  <c r="BWQ10" i="20" s="1"/>
  <c r="CXS10" i="20" s="1"/>
  <c r="VX1" i="5" l="1"/>
  <c r="VF38" i="5"/>
  <c r="VF12" i="5" s="1"/>
  <c r="VF13" i="20" s="1"/>
  <c r="AWH13" i="20" s="1"/>
  <c r="BXJ13" i="20" s="1"/>
  <c r="CYL13" i="20" s="1"/>
  <c r="VE38" i="5"/>
  <c r="VE12" i="5" s="1"/>
  <c r="VE13" i="20" s="1"/>
  <c r="AWG13" i="20" s="1"/>
  <c r="BXI13" i="20" s="1"/>
  <c r="CYK13" i="20" s="1"/>
  <c r="VJ35" i="5"/>
  <c r="VJ9" i="5" s="1"/>
  <c r="VJ10" i="20" s="1"/>
  <c r="AWL10" i="20" s="1"/>
  <c r="BXN10" i="20" s="1"/>
  <c r="CYP10" i="20" s="1"/>
  <c r="VI35" i="5"/>
  <c r="VI9" i="5" s="1"/>
  <c r="VI10" i="20" s="1"/>
  <c r="AWK10" i="20" s="1"/>
  <c r="BXM10" i="20" s="1"/>
  <c r="CYO10" i="20" s="1"/>
  <c r="VJ38" i="5"/>
  <c r="VJ12" i="5" s="1"/>
  <c r="VJ13" i="20" s="1"/>
  <c r="AWL13" i="20" s="1"/>
  <c r="BXN13" i="20" s="1"/>
  <c r="CYP13" i="20" s="1"/>
  <c r="VH35" i="5"/>
  <c r="VH9" i="5" s="1"/>
  <c r="VH10" i="20" s="1"/>
  <c r="AWJ10" i="20" s="1"/>
  <c r="BXL10" i="20" s="1"/>
  <c r="CYN10" i="20" s="1"/>
  <c r="VI38" i="5"/>
  <c r="VI12" i="5" s="1"/>
  <c r="VI13" i="20" s="1"/>
  <c r="AWK13" i="20" s="1"/>
  <c r="BXM13" i="20" s="1"/>
  <c r="CYO13" i="20" s="1"/>
  <c r="VG35" i="5"/>
  <c r="VG9" i="5" s="1"/>
  <c r="VG10" i="20" s="1"/>
  <c r="AWI10" i="20" s="1"/>
  <c r="BXK10" i="20" s="1"/>
  <c r="CYM10" i="20" s="1"/>
  <c r="VH38" i="5"/>
  <c r="VH12" i="5" s="1"/>
  <c r="VH13" i="20" s="1"/>
  <c r="AWJ13" i="20" s="1"/>
  <c r="BXL13" i="20" s="1"/>
  <c r="CYN13" i="20" s="1"/>
  <c r="VF35" i="5"/>
  <c r="VF9" i="5" s="1"/>
  <c r="VF10" i="20" s="1"/>
  <c r="AWH10" i="20" s="1"/>
  <c r="BXJ10" i="20" s="1"/>
  <c r="CYL10" i="20" s="1"/>
  <c r="VG38" i="5"/>
  <c r="VG12" i="5" s="1"/>
  <c r="VG13" i="20" s="1"/>
  <c r="AWI13" i="20" s="1"/>
  <c r="BXK13" i="20" s="1"/>
  <c r="CYM13" i="20" s="1"/>
  <c r="VE35" i="5"/>
  <c r="VE9" i="5" s="1"/>
  <c r="VE10" i="20" s="1"/>
  <c r="AWG10" i="20" s="1"/>
  <c r="BXI10" i="20" s="1"/>
  <c r="CYK10" i="20" s="1"/>
  <c r="WT1" i="5" l="1"/>
  <c r="WF38" i="5"/>
  <c r="WF12" i="5" s="1"/>
  <c r="WF13" i="20" s="1"/>
  <c r="AXH13" i="20" s="1"/>
  <c r="BYJ13" i="20" s="1"/>
  <c r="CZL13" i="20" s="1"/>
  <c r="WD35" i="5"/>
  <c r="WD9" i="5" s="1"/>
  <c r="WD10" i="20" s="1"/>
  <c r="AXF10" i="20" s="1"/>
  <c r="BYH10" i="20" s="1"/>
  <c r="CZJ10" i="20" s="1"/>
  <c r="WE38" i="5"/>
  <c r="WE12" i="5" s="1"/>
  <c r="WE13" i="20" s="1"/>
  <c r="AXG13" i="20" s="1"/>
  <c r="BYI13" i="20" s="1"/>
  <c r="CZK13" i="20" s="1"/>
  <c r="WC35" i="5"/>
  <c r="WC9" i="5" s="1"/>
  <c r="WC10" i="20" s="1"/>
  <c r="AXE10" i="20" s="1"/>
  <c r="BYG10" i="20" s="1"/>
  <c r="CZI10" i="20" s="1"/>
  <c r="WD38" i="5"/>
  <c r="WD12" i="5" s="1"/>
  <c r="WD13" i="20" s="1"/>
  <c r="AXF13" i="20" s="1"/>
  <c r="BYH13" i="20" s="1"/>
  <c r="CZJ13" i="20" s="1"/>
  <c r="WB35" i="5"/>
  <c r="WB9" i="5" s="1"/>
  <c r="WB10" i="20" s="1"/>
  <c r="AXD10" i="20" s="1"/>
  <c r="BYF10" i="20" s="1"/>
  <c r="CZH10" i="20" s="1"/>
  <c r="WC38" i="5"/>
  <c r="WC12" i="5" s="1"/>
  <c r="WC13" i="20" s="1"/>
  <c r="AXE13" i="20" s="1"/>
  <c r="BYG13" i="20" s="1"/>
  <c r="CZI13" i="20" s="1"/>
  <c r="WA35" i="5"/>
  <c r="WA9" i="5" s="1"/>
  <c r="WA10" i="20" s="1"/>
  <c r="AXC10" i="20" s="1"/>
  <c r="BYE10" i="20" s="1"/>
  <c r="CZG10" i="20" s="1"/>
  <c r="WB38" i="5"/>
  <c r="WB12" i="5" s="1"/>
  <c r="WB13" i="20" s="1"/>
  <c r="AXD13" i="20" s="1"/>
  <c r="BYF13" i="20" s="1"/>
  <c r="CZH13" i="20" s="1"/>
  <c r="WA38" i="5"/>
  <c r="WA12" i="5" s="1"/>
  <c r="WA13" i="20" s="1"/>
  <c r="AXC13" i="20" s="1"/>
  <c r="BYE13" i="20" s="1"/>
  <c r="CZG13" i="20" s="1"/>
  <c r="WF35" i="5"/>
  <c r="WF9" i="5" s="1"/>
  <c r="WF10" i="20" s="1"/>
  <c r="AXH10" i="20" s="1"/>
  <c r="BYJ10" i="20" s="1"/>
  <c r="CZL10" i="20" s="1"/>
  <c r="WE35" i="5"/>
  <c r="WE9" i="5" s="1"/>
  <c r="WE10" i="20" s="1"/>
  <c r="AXG10" i="20" s="1"/>
  <c r="BYI10" i="20" s="1"/>
  <c r="CZK10" i="20" s="1"/>
  <c r="XP1" i="5" l="1"/>
  <c r="WX38" i="5"/>
  <c r="WX12" i="5" s="1"/>
  <c r="WX13" i="20" s="1"/>
  <c r="AXZ13" i="20" s="1"/>
  <c r="BZB13" i="20" s="1"/>
  <c r="DAD13" i="20" s="1"/>
  <c r="WW38" i="5"/>
  <c r="WW12" i="5" s="1"/>
  <c r="WW13" i="20" s="1"/>
  <c r="AXY13" i="20" s="1"/>
  <c r="BZA13" i="20" s="1"/>
  <c r="DAC13" i="20" s="1"/>
  <c r="XB35" i="5"/>
  <c r="XB9" i="5" s="1"/>
  <c r="XB10" i="20" s="1"/>
  <c r="AYD10" i="20" s="1"/>
  <c r="BZF10" i="20" s="1"/>
  <c r="DAH10" i="20" s="1"/>
  <c r="XA35" i="5"/>
  <c r="XA9" i="5" s="1"/>
  <c r="XA10" i="20" s="1"/>
  <c r="AYC10" i="20" s="1"/>
  <c r="BZE10" i="20" s="1"/>
  <c r="DAG10" i="20" s="1"/>
  <c r="XB38" i="5"/>
  <c r="XB12" i="5" s="1"/>
  <c r="XB13" i="20" s="1"/>
  <c r="AYD13" i="20" s="1"/>
  <c r="BZF13" i="20" s="1"/>
  <c r="DAH13" i="20" s="1"/>
  <c r="WZ35" i="5"/>
  <c r="WZ9" i="5" s="1"/>
  <c r="WZ10" i="20" s="1"/>
  <c r="AYB10" i="20" s="1"/>
  <c r="BZD10" i="20" s="1"/>
  <c r="DAF10" i="20" s="1"/>
  <c r="XA38" i="5"/>
  <c r="XA12" i="5" s="1"/>
  <c r="XA13" i="20" s="1"/>
  <c r="AYC13" i="20" s="1"/>
  <c r="BZE13" i="20" s="1"/>
  <c r="DAG13" i="20" s="1"/>
  <c r="WY35" i="5"/>
  <c r="WY9" i="5" s="1"/>
  <c r="WY10" i="20" s="1"/>
  <c r="AYA10" i="20" s="1"/>
  <c r="BZC10" i="20" s="1"/>
  <c r="DAE10" i="20" s="1"/>
  <c r="WZ38" i="5"/>
  <c r="WZ12" i="5" s="1"/>
  <c r="WZ13" i="20" s="1"/>
  <c r="AYB13" i="20" s="1"/>
  <c r="BZD13" i="20" s="1"/>
  <c r="DAF13" i="20" s="1"/>
  <c r="WX35" i="5"/>
  <c r="WX9" i="5" s="1"/>
  <c r="WX10" i="20" s="1"/>
  <c r="AXZ10" i="20" s="1"/>
  <c r="BZB10" i="20" s="1"/>
  <c r="DAD10" i="20" s="1"/>
  <c r="WY38" i="5"/>
  <c r="WY12" i="5" s="1"/>
  <c r="WY13" i="20" s="1"/>
  <c r="AYA13" i="20" s="1"/>
  <c r="BZC13" i="20" s="1"/>
  <c r="DAE13" i="20" s="1"/>
  <c r="WW35" i="5"/>
  <c r="WW9" i="5" s="1"/>
  <c r="WW10" i="20" s="1"/>
  <c r="AXY10" i="20" s="1"/>
  <c r="BZA10" i="20" s="1"/>
  <c r="DAC10" i="20" s="1"/>
  <c r="YL1" i="5" l="1"/>
  <c r="XX38" i="5"/>
  <c r="XX12" i="5" s="1"/>
  <c r="XX13" i="20" s="1"/>
  <c r="AYZ13" i="20" s="1"/>
  <c r="CAB13" i="20" s="1"/>
  <c r="DBD13" i="20" s="1"/>
  <c r="XV35" i="5"/>
  <c r="XV9" i="5" s="1"/>
  <c r="XV10" i="20" s="1"/>
  <c r="AYX10" i="20" s="1"/>
  <c r="BZZ10" i="20" s="1"/>
  <c r="DBB10" i="20" s="1"/>
  <c r="XW38" i="5"/>
  <c r="XW12" i="5" s="1"/>
  <c r="XW13" i="20" s="1"/>
  <c r="AYY13" i="20" s="1"/>
  <c r="CAA13" i="20" s="1"/>
  <c r="DBC13" i="20" s="1"/>
  <c r="XU35" i="5"/>
  <c r="XU9" i="5" s="1"/>
  <c r="XU10" i="20" s="1"/>
  <c r="AYW10" i="20" s="1"/>
  <c r="BZY10" i="20" s="1"/>
  <c r="DBA10" i="20" s="1"/>
  <c r="XV38" i="5"/>
  <c r="XV12" i="5" s="1"/>
  <c r="XV13" i="20" s="1"/>
  <c r="AYX13" i="20" s="1"/>
  <c r="BZZ13" i="20" s="1"/>
  <c r="DBB13" i="20" s="1"/>
  <c r="XT35" i="5"/>
  <c r="XT9" i="5" s="1"/>
  <c r="XT10" i="20" s="1"/>
  <c r="AYV10" i="20" s="1"/>
  <c r="BZX10" i="20" s="1"/>
  <c r="DAZ10" i="20" s="1"/>
  <c r="XU38" i="5"/>
  <c r="XU12" i="5" s="1"/>
  <c r="XU13" i="20" s="1"/>
  <c r="AYW13" i="20" s="1"/>
  <c r="BZY13" i="20" s="1"/>
  <c r="DBA13" i="20" s="1"/>
  <c r="XS35" i="5"/>
  <c r="XS9" i="5" s="1"/>
  <c r="XS10" i="20" s="1"/>
  <c r="AYU10" i="20" s="1"/>
  <c r="BZW10" i="20" s="1"/>
  <c r="DAY10" i="20" s="1"/>
  <c r="XT38" i="5"/>
  <c r="XT12" i="5" s="1"/>
  <c r="XT13" i="20" s="1"/>
  <c r="AYV13" i="20" s="1"/>
  <c r="BZX13" i="20" s="1"/>
  <c r="DAZ13" i="20" s="1"/>
  <c r="XS38" i="5"/>
  <c r="XS12" i="5" s="1"/>
  <c r="XS13" i="20" s="1"/>
  <c r="AYU13" i="20" s="1"/>
  <c r="BZW13" i="20" s="1"/>
  <c r="DAY13" i="20" s="1"/>
  <c r="XX35" i="5"/>
  <c r="XX9" i="5" s="1"/>
  <c r="XX10" i="20" s="1"/>
  <c r="AYZ10" i="20" s="1"/>
  <c r="CAB10" i="20" s="1"/>
  <c r="DBD10" i="20" s="1"/>
  <c r="XW35" i="5"/>
  <c r="XW9" i="5" s="1"/>
  <c r="XW10" i="20" s="1"/>
  <c r="AYY10" i="20" s="1"/>
  <c r="CAA10" i="20" s="1"/>
  <c r="DBC10" i="20" s="1"/>
  <c r="ZH1" i="5" l="1"/>
  <c r="YP38" i="5"/>
  <c r="YP12" i="5" s="1"/>
  <c r="YP13" i="20" s="1"/>
  <c r="AZR13" i="20" s="1"/>
  <c r="CAT13" i="20" s="1"/>
  <c r="DBV13" i="20" s="1"/>
  <c r="YO38" i="5"/>
  <c r="YO12" i="5" s="1"/>
  <c r="YO13" i="20" s="1"/>
  <c r="AZQ13" i="20" s="1"/>
  <c r="CAS13" i="20" s="1"/>
  <c r="DBU13" i="20" s="1"/>
  <c r="YT35" i="5"/>
  <c r="YT9" i="5" s="1"/>
  <c r="YT10" i="20" s="1"/>
  <c r="AZV10" i="20" s="1"/>
  <c r="CAX10" i="20" s="1"/>
  <c r="DBZ10" i="20" s="1"/>
  <c r="YS35" i="5"/>
  <c r="YS9" i="5" s="1"/>
  <c r="YS10" i="20" s="1"/>
  <c r="AZU10" i="20" s="1"/>
  <c r="CAW10" i="20" s="1"/>
  <c r="DBY10" i="20" s="1"/>
  <c r="YT38" i="5"/>
  <c r="YT12" i="5" s="1"/>
  <c r="YT13" i="20" s="1"/>
  <c r="AZV13" i="20" s="1"/>
  <c r="CAX13" i="20" s="1"/>
  <c r="DBZ13" i="20" s="1"/>
  <c r="YR35" i="5"/>
  <c r="YR9" i="5" s="1"/>
  <c r="YR10" i="20" s="1"/>
  <c r="AZT10" i="20" s="1"/>
  <c r="CAV10" i="20" s="1"/>
  <c r="DBX10" i="20" s="1"/>
  <c r="YS38" i="5"/>
  <c r="YS12" i="5" s="1"/>
  <c r="YS13" i="20" s="1"/>
  <c r="AZU13" i="20" s="1"/>
  <c r="CAW13" i="20" s="1"/>
  <c r="DBY13" i="20" s="1"/>
  <c r="YQ35" i="5"/>
  <c r="YQ9" i="5" s="1"/>
  <c r="YQ10" i="20" s="1"/>
  <c r="AZS10" i="20" s="1"/>
  <c r="CAU10" i="20" s="1"/>
  <c r="DBW10" i="20" s="1"/>
  <c r="YR38" i="5"/>
  <c r="YR12" i="5" s="1"/>
  <c r="YR13" i="20" s="1"/>
  <c r="AZT13" i="20" s="1"/>
  <c r="CAV13" i="20" s="1"/>
  <c r="DBX13" i="20" s="1"/>
  <c r="YP35" i="5"/>
  <c r="YP9" i="5" s="1"/>
  <c r="YP10" i="20" s="1"/>
  <c r="AZR10" i="20" s="1"/>
  <c r="CAT10" i="20" s="1"/>
  <c r="DBV10" i="20" s="1"/>
  <c r="YQ38" i="5"/>
  <c r="YQ12" i="5" s="1"/>
  <c r="YQ13" i="20" s="1"/>
  <c r="AZS13" i="20" s="1"/>
  <c r="CAU13" i="20" s="1"/>
  <c r="DBW13" i="20" s="1"/>
  <c r="YO35" i="5"/>
  <c r="YO9" i="5" s="1"/>
  <c r="YO10" i="20" s="1"/>
  <c r="AZQ10" i="20" s="1"/>
  <c r="CAS10" i="20" s="1"/>
  <c r="DBU10" i="20" s="1"/>
  <c r="ZP38" i="5" l="1"/>
  <c r="ZP12" i="5" s="1"/>
  <c r="ZP13" i="20" s="1"/>
  <c r="BAR13" i="20" s="1"/>
  <c r="CBT13" i="20" s="1"/>
  <c r="DCV13" i="20" s="1"/>
  <c r="ZN35" i="5"/>
  <c r="ZN9" i="5" s="1"/>
  <c r="ZN10" i="20" s="1"/>
  <c r="BAP10" i="20" s="1"/>
  <c r="CBR10" i="20" s="1"/>
  <c r="DCT10" i="20" s="1"/>
  <c r="ZO38" i="5"/>
  <c r="ZO12" i="5" s="1"/>
  <c r="ZO13" i="20" s="1"/>
  <c r="BAQ13" i="20" s="1"/>
  <c r="CBS13" i="20" s="1"/>
  <c r="DCU13" i="20" s="1"/>
  <c r="ZM35" i="5"/>
  <c r="ZM9" i="5" s="1"/>
  <c r="ZM10" i="20" s="1"/>
  <c r="BAO10" i="20" s="1"/>
  <c r="CBQ10" i="20" s="1"/>
  <c r="DCS10" i="20" s="1"/>
  <c r="ZN38" i="5"/>
  <c r="ZN12" i="5" s="1"/>
  <c r="ZN13" i="20" s="1"/>
  <c r="BAP13" i="20" s="1"/>
  <c r="CBR13" i="20" s="1"/>
  <c r="DCT13" i="20" s="1"/>
  <c r="ZL35" i="5"/>
  <c r="ZL9" i="5" s="1"/>
  <c r="ZL10" i="20" s="1"/>
  <c r="BAN10" i="20" s="1"/>
  <c r="CBP10" i="20" s="1"/>
  <c r="DCR10" i="20" s="1"/>
  <c r="ZM38" i="5"/>
  <c r="ZM12" i="5" s="1"/>
  <c r="ZM13" i="20" s="1"/>
  <c r="BAO13" i="20" s="1"/>
  <c r="CBQ13" i="20" s="1"/>
  <c r="DCS13" i="20" s="1"/>
  <c r="ZK35" i="5"/>
  <c r="ZK9" i="5" s="1"/>
  <c r="ZK10" i="20" s="1"/>
  <c r="BAM10" i="20" s="1"/>
  <c r="CBO10" i="20" s="1"/>
  <c r="DCQ10" i="20" s="1"/>
  <c r="ZL38" i="5"/>
  <c r="ZL12" i="5" s="1"/>
  <c r="ZL13" i="20" s="1"/>
  <c r="BAN13" i="20" s="1"/>
  <c r="CBP13" i="20" s="1"/>
  <c r="DCR13" i="20" s="1"/>
  <c r="ZK38" i="5"/>
  <c r="ZK12" i="5" s="1"/>
  <c r="ZK13" i="20" s="1"/>
  <c r="BAM13" i="20" s="1"/>
  <c r="CBO13" i="20" s="1"/>
  <c r="DCQ13" i="20" s="1"/>
  <c r="ZP35" i="5"/>
  <c r="ZP9" i="5" s="1"/>
  <c r="ZP10" i="20" s="1"/>
  <c r="BAR10" i="20" s="1"/>
  <c r="CBT10" i="20" s="1"/>
  <c r="DCV10" i="20" s="1"/>
  <c r="ZO35" i="5"/>
  <c r="ZO9" i="5" s="1"/>
  <c r="ZO10" i="20" s="1"/>
  <c r="BAQ10" i="20" s="1"/>
  <c r="CBS10" i="20" s="1"/>
  <c r="DCU10"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<sst xmlns="http://schemas.openxmlformats.org/spreadsheetml/2006/main" count="4701" uniqueCount="355">
  <si>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</si>
  <si>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</si>
  <si>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</si>
  <si>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</si>
  <si>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</si>
  <si>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</si>
  <si>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</si>
  <si>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</si>
  <si>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</si>
  <si>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</si>
  <si>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</si>
  <si>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</si>
  <si>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</si>
  <si>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</si>
  <si>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</si>
  <si>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</si>
  <si>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</si>
  <si>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</si>
  <si>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</si>
  <si>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</si>
  <si>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</si>
  <si>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</si>
  <si>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</si>
  <si>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</si>
  <si>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</si>
  <si>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</si>
  <si>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</si>
  <si>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</si>
  <si>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</si>
  <si>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</si>
  <si>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</si>
  <si>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</si>
  <si>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</si>
  <si>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</si>
  <si>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</si>
  <si>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</si>
  <si>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</si>
  <si>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</si>
  <si>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</si>
  <si>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</si>
  <si>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</si>
  <si>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</si>
  <si>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</si>
  <si>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</si>
  <si>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</si>
  <si>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</si>
  <si>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</si>
  <si>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</si>
  <si>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</si>
  <si>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</si>
  <si>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</si>
  <si>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</si>
  <si>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</si>
  <si>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</si>
  <si>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</si>
  <si>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</si>
  <si>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</si>
  <si>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</si>
  <si>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</si>
  <si>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</si>
  <si>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</si>
  <si>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</si>
  <si>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</si>
  <si>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</si>
  <si>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</si>
  <si>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</si>
  <si>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</si>
  <si>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</si>
  <si>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</si>
  <si>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</si>
  <si>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</si>
  <si>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</si>
  <si>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</si>
  <si>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</si>
  <si>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</si>
  <si>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</si>
  <si>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</si>
  <si>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</si>
  <si>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</si>
  <si>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</si>
  <si>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</si>
  <si>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</si>
  <si>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</si>
  <si>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</si>
  <si>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</si>
  <si>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</si>
  <si>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</si>
  <si>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</si>
  <si>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</si>
  <si>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</si>
  <si>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</si>
  <si>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</si>
  <si>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</si>
  <si>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</si>
  <si>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</si>
  <si>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</si>
  <si>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</si>
  <si>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</si>
  <si>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</si>
  <si>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</si>
  <si>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</si>
  <si>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</si>
  <si>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</si>
  <si>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</si>
  <si>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</si>
  <si>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</si>
  <si>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</si>
  <si>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</si>
  <si>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</si>
  <si>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</si>
  <si>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</si>
  <si>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</si>
  <si>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</si>
  <si>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</si>
  <si>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</si>
  <si>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</si>
  <si>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</si>
  <si>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</si>
  <si>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</si>
  <si>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</si>
  <si>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</si>
  <si>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</si>
  <si>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</si>
  <si>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</si>
  <si>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</si>
  <si>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</si>
  <si>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</si>
  <si>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</si>
  <si>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</si>
  <si>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</si>
  <si>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</si>
  <si>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</si>
  <si>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</si>
  <si>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</si>
  <si>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</si>
  <si>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</si>
  <si>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</si>
  <si>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</si>
  <si>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</si>
  <si>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</si>
  <si>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</si>
  <si>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</si>
  <si>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</si>
  <si>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</si>
  <si>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</si>
  <si>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</si>
  <si>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</si>
  <si>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</si>
  <si>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</si>
  <si>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</si>
  <si>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</si>
  <si>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</si>
  <si>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</si>
  <si>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</si>
  <si>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</si>
  <si>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</si>
  <si>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</si>
  <si>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</si>
  <si>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</si>
  <si>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</si>
  <si>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</si>
  <si>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</si>
  <si>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</si>
  <si>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</si>
  <si>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</si>
  <si>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</si>
  <si>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</si>
  <si>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</si>
  <si>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</si>
  <si>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</si>
  <si>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</si>
  <si>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</si>
  <si>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</si>
  <si>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</si>
  <si>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</si>
  <si>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</si>
  <si>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</si>
  <si>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</si>
  <si>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</si>
  <si>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</si>
  <si>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</si>
  <si>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</si>
  <si>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</si>
  <si>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</si>
  <si>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</si>
  <si>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</si>
  <si>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</si>
  <si>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</si>
  <si>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</si>
  <si>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</si>
  <si>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</si>
  <si>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</si>
  <si>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</si>
  <si>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</si>
  <si>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</si>
  <si>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</si>
  <si>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</si>
  <si>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</si>
  <si>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</si>
  <si>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</si>
  <si>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</si>
  <si>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</si>
  <si>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</si>
  <si>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</si>
  <si>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</si>
  <si>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</si>
  <si>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</si>
  <si>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</si>
  <si>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</si>
  <si>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</si>
  <si>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</si>
  <si>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</si>
  <si>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</si>
  <si>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</si>
  <si>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</si>
  <si>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</si>
  <si>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</si>
  <si>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</si>
  <si>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</si>
  <si>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</si>
  <si>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</si>
  <si>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</si>
  <si>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</si>
  <si>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</si>
  <si>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</si>
  <si>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</si>
  <si>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</si>
  <si>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</si>
  <si>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</si>
  <si>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</si>
  <si>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</si>
  <si>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</si>
  <si>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</si>
  <si>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</si>
  <si>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</si>
  <si>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</si>
  <si>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</si>
  <si>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</si>
  <si>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</si>
  <si>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</si>
  <si>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</si>
  <si>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</si>
  <si>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</si>
  <si>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</si>
  <si>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</si>
  <si>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</si>
  <si>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</si>
  <si>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</si>
  <si>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</si>
  <si>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</si>
  <si>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</si>
  <si>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</si>
  <si>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</si>
  <si>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</si>
  <si>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</si>
  <si>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</si>
  <si>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</si>
  <si>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</si>
  <si>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</si>
  <si>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</si>
  <si>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</si>
  <si>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</si>
  <si>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</si>
  <si>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</si>
  <si>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</si>
  <si>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</si>
  <si>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</si>
  <si>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</si>
  <si>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</si>
  <si>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</si>
  <si>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</si>
  <si>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</si>
  <si>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</si>
  <si>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</si>
  <si>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</si>
  <si>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</si>
  <si>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</si>
  <si>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</si>
  <si>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</si>
  <si>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</si>
  <si>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</si>
  <si>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</si>
  <si>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</si>
  <si>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</si>
  <si>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</si>
  <si>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</si>
  <si>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</si>
  <si>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</si>
  <si>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</si>
  <si>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</si>
  <si>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</si>
  <si>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</si>
  <si>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</si>
  <si>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</si>
  <si>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</si>
  <si>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</si>
  <si>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</si>
  <si>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</si>
  <si>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</si>
  <si>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</si>
  <si>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</si>
  <si>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</si>
  <si>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</si>
  <si>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</si>
  <si>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</si>
  <si>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</si>
  <si>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</si>
  <si>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</si>
  <si>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</si>
  <si>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</si>
  <si>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</si>
  <si>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</si>
  <si>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</si>
  <si>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</si>
  <si>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</si>
  <si>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</si>
  <si>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</si>
  <si>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</si>
  <si>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</si>
  <si>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</si>
  <si>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</si>
  <si>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</si>
  <si>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</si>
  <si>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</si>
  <si>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</si>
  <si>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</si>
  <si>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</si>
  <si>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</si>
  <si>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</si>
  <si>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</si>
  <si>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</si>
  <si>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</si>
  <si>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</si>
  <si>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</si>
  <si>
    <t>Length</t>
  </si>
  <si>
    <t>GUDRUN EN SLEIPNER R GEEN PRODUCTIE</t>
  </si>
  <si>
    <t>Emden Industry</t>
  </si>
  <si>
    <t>Dornum Consumers</t>
  </si>
  <si>
    <t>Emden Consumers</t>
  </si>
  <si>
    <t>Dornum Industry</t>
  </si>
  <si>
    <t>Zeebrugge Consumers</t>
  </si>
  <si>
    <t>Zeebrugge Industry</t>
  </si>
  <si>
    <t>Dummy pipe 15</t>
  </si>
  <si>
    <t>Dummy pipe 16</t>
  </si>
  <si>
    <t>Dummy pipe 17</t>
  </si>
  <si>
    <t>Dummy pipe 18</t>
  </si>
  <si>
    <t>Dummy pipe 19</t>
  </si>
  <si>
    <t>Dummy pipe 20</t>
  </si>
  <si>
    <t>Deviation</t>
  </si>
  <si>
    <t>Emden/Dornum Consumers</t>
  </si>
  <si>
    <t>Branch</t>
  </si>
  <si>
    <t>Capacity Original</t>
  </si>
  <si>
    <t>Extra note</t>
  </si>
  <si>
    <t>Storage</t>
  </si>
  <si>
    <t>Dummy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</si>
</sst>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
      <patternFill patternType="solid">
        <fgColor rgb="FFFFC7CE"/>
        <bgColor rgb="FF000000"/>
      </patternFill>
    </fill>
    <fill>
      <patternFill patternType="solid">
        <fgColor rgb="FFC6EFCE"/>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9" fillId="4" borderId="0" applyNumberFormat="0" applyBorder="0" applyAlignment="0" applyProtection="0"/>
    <xf numFmtId="0" fontId="17" fillId="0" borderId="0" applyNumberFormat="0" applyFill="0" applyBorder="0" applyAlignment="0" applyProtection="0"/>
  </cellStyleXfs>
  <cellXfs count="87">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2" fontId="3" fillId="3" borderId="1" xfId="2" applyNumberFormat="1" applyBorder="1"/>
    <xf numFmtId="0" fontId="7" fillId="0" borderId="0" xfId="0" applyFont="1"/>
    <xf numFmtId="0" fontId="8"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2" fillId="0" borderId="1" xfId="0" applyFont="1" applyBorder="1"/>
    <xf numFmtId="0" fontId="13" fillId="0" borderId="1" xfId="0" applyFont="1" applyBorder="1" applyAlignment="1">
      <alignment horizontal="center" wrapText="1"/>
    </xf>
    <xf numFmtId="0" fontId="10" fillId="0" borderId="1" xfId="0" applyFont="1" applyBorder="1"/>
    <xf numFmtId="0" fontId="11" fillId="0" borderId="1" xfId="0" applyFont="1" applyBorder="1"/>
    <xf numFmtId="0" fontId="0" fillId="6" borderId="1" xfId="0" applyFill="1" applyBorder="1"/>
    <xf numFmtId="2" fontId="10" fillId="0" borderId="1" xfId="0" applyNumberFormat="1" applyFont="1" applyBorder="1" applyAlignment="1">
      <alignment horizontal="right"/>
    </xf>
    <xf numFmtId="2" fontId="11"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4" fillId="4" borderId="0" xfId="3" applyFont="1" applyBorder="1"/>
    <xf numFmtId="0" fontId="13" fillId="0" borderId="1" xfId="0" applyFont="1" applyBorder="1" applyAlignment="1">
      <alignment horizontal="left" wrapText="1"/>
    </xf>
    <xf numFmtId="0" fontId="0" fillId="0" borderId="8" xfId="0" applyBorder="1"/>
    <xf numFmtId="0" fontId="10" fillId="0" borderId="8" xfId="0" applyFont="1" applyBorder="1"/>
    <xf numFmtId="0" fontId="11" fillId="0" borderId="8" xfId="0" applyFont="1" applyBorder="1"/>
    <xf numFmtId="0" fontId="0" fillId="6" borderId="8" xfId="0" applyFill="1" applyBorder="1"/>
    <xf numFmtId="0" fontId="16" fillId="7" borderId="9" xfId="0" applyFont="1" applyFill="1" applyBorder="1"/>
    <xf numFmtId="2" fontId="0" fillId="0" borderId="0" xfId="0" applyNumberFormat="1"/>
    <xf numFmtId="0" fontId="16" fillId="7" borderId="0" xfId="0" applyFont="1" applyFill="1"/>
    <xf numFmtId="0" fontId="8" fillId="0" borderId="1" xfId="0" applyFont="1" applyBorder="1"/>
    <xf numFmtId="0" fontId="17" fillId="0" borderId="0" xfId="4"/>
    <xf numFmtId="0" fontId="15"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0" fillId="5" borderId="1" xfId="0" applyFont="1" applyFill="1" applyBorder="1"/>
    <xf numFmtId="0" fontId="0" fillId="5" borderId="0" xfId="0" applyFill="1" applyAlignment="1">
      <alignment horizontal="left"/>
    </xf>
    <xf numFmtId="0" fontId="11" fillId="0" borderId="11" xfId="0" applyFont="1" applyBorder="1"/>
    <xf numFmtId="0" fontId="11" fillId="0" borderId="12" xfId="0" applyFont="1" applyBorder="1"/>
    <xf numFmtId="0" fontId="4" fillId="0" borderId="11" xfId="0" applyFont="1" applyBorder="1"/>
    <xf numFmtId="0" fontId="18" fillId="0" borderId="0" xfId="0" applyFont="1"/>
    <xf numFmtId="0" fontId="0" fillId="5" borderId="1" xfId="0" applyFill="1" applyBorder="1"/>
    <xf numFmtId="0" fontId="5" fillId="12" borderId="13" xfId="0" applyFont="1" applyFill="1" applyBorder="1"/>
    <xf numFmtId="0" fontId="5" fillId="12" borderId="14" xfId="0" applyFont="1" applyFill="1" applyBorder="1"/>
    <xf numFmtId="0" fontId="3" fillId="12" borderId="13" xfId="0" applyFont="1" applyFill="1" applyBorder="1"/>
    <xf numFmtId="0" fontId="3" fillId="12" borderId="14" xfId="0" applyFont="1" applyFill="1" applyBorder="1"/>
    <xf numFmtId="0" fontId="6" fillId="13" borderId="14" xfId="0" applyFont="1" applyFill="1" applyBorder="1"/>
    <xf numFmtId="0" fontId="2" fillId="13" borderId="14" xfId="0" applyFont="1" applyFill="1" applyBorder="1"/>
    <xf numFmtId="0" fontId="3" fillId="12" borderId="1" xfId="0" applyFont="1" applyFill="1" applyBorder="1"/>
    <xf numFmtId="0" fontId="3" fillId="5" borderId="1" xfId="2" applyFill="1" applyBorder="1"/>
    <xf numFmtId="0" fontId="5" fillId="3" borderId="5" xfId="2" applyFont="1" applyBorder="1" applyAlignment="1">
      <alignment horizontal="center"/>
    </xf>
    <xf numFmtId="0" fontId="6" fillId="2" borderId="5" xfId="1" applyFont="1" applyBorder="1" applyAlignment="1">
      <alignment horizontal="center"/>
    </xf>
    <xf numFmtId="0" fontId="5" fillId="3" borderId="1" xfId="2" applyFont="1" applyBorder="1" applyAlignment="1">
      <alignment horizontal="center"/>
    </xf>
    <xf numFmtId="0" fontId="6" fillId="2" borderId="15" xfId="1" applyFont="1" applyBorder="1" applyAlignment="1">
      <alignment horizontal="center"/>
    </xf>
    <xf numFmtId="0" fontId="0" fillId="0" borderId="11"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5" fillId="12" borderId="2" xfId="0" applyFont="1" applyFill="1" applyBorder="1" applyAlignment="1">
      <alignment horizontal="center"/>
    </xf>
    <xf numFmtId="0" fontId="5" fillId="12" borderId="3" xfId="0" applyFont="1" applyFill="1" applyBorder="1" applyAlignment="1">
      <alignment horizontal="center"/>
    </xf>
    <xf numFmtId="0" fontId="5" fillId="12" borderId="4" xfId="0" applyFont="1" applyFill="1" applyBorder="1" applyAlignment="1">
      <alignment horizontal="center"/>
    </xf>
    <xf numFmtId="0" fontId="6" fillId="13" borderId="2" xfId="0" applyFont="1" applyFill="1" applyBorder="1" applyAlignment="1">
      <alignment horizontal="center"/>
    </xf>
    <xf numFmtId="0" fontId="6" fillId="13" borderId="3" xfId="0" applyFont="1" applyFill="1" applyBorder="1" applyAlignment="1">
      <alignment horizontal="center"/>
    </xf>
    <xf numFmtId="0" fontId="6" fillId="13" borderId="4" xfId="0" applyFont="1" applyFill="1" applyBorder="1" applyAlignment="1">
      <alignment horizontal="center"/>
    </xf>
    <xf numFmtId="0" fontId="6" fillId="2" borderId="1" xfId="1" applyFont="1" applyBorder="1" applyAlignment="1">
      <alignment horizontal="center"/>
    </xf>
    <xf numFmtId="0" fontId="6" fillId="13" borderId="7" xfId="0" applyFont="1" applyFill="1" applyBorder="1" applyAlignment="1">
      <alignment horizontal="center"/>
    </xf>
    <xf numFmtId="0" fontId="6" fillId="13" borderId="6" xfId="0" applyFont="1" applyFill="1" applyBorder="1" applyAlignment="1">
      <alignment horizontal="center"/>
    </xf>
    <xf numFmtId="0" fontId="5" fillId="12" borderId="7" xfId="0" applyFont="1" applyFill="1" applyBorder="1" applyAlignment="1">
      <alignment horizontal="center"/>
    </xf>
    <xf numFmtId="0" fontId="5" fillId="12" borderId="6" xfId="0" applyFont="1" applyFill="1" applyBorder="1" applyAlignment="1">
      <alignment horizontal="center"/>
    </xf>
    <xf numFmtId="0" fontId="8" fillId="0" borderId="7" xfId="0" applyFont="1" applyBorder="1" applyAlignment="1">
      <alignment horizontal="center"/>
    </xf>
    <xf numFmtId="0" fontId="8" fillId="0" borderId="3" xfId="0" applyFont="1" applyBorder="1" applyAlignment="1">
      <alignment horizontal="center"/>
    </xf>
    <xf numFmtId="0" fontId="8" fillId="0" borderId="6" xfId="0" applyFont="1" applyBorder="1" applyAlignment="1">
      <alignment horizontal="center"/>
    </xf>
    <xf numFmtId="0" fontId="8" fillId="0" borderId="2" xfId="0" applyFont="1" applyBorder="1" applyAlignment="1">
      <alignment horizontal="center"/>
    </xf>
    <xf numFmtId="0" fontId="0" fillId="0" borderId="1" xfId="0" applyBorder="1" applyAlignment="1">
      <alignment horizontal="center"/>
    </xf>
  </cellXfs>
  <cellStyles count="5">
    <cellStyle name="Bad" xfId="2" builtinId="27"/>
    <cellStyle name="Good" xfId="1" builtinId="26"/>
    <cellStyle name="Hyperlink" xfId="4"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7"/>
  <sheetViews>
    <sheetView zoomScale="108" zoomScaleNormal="108" workbookViewId="0">
      <selection activeCell="H72" sqref="H72"/>
    </sheetView>
  </sheetViews>
  <sheetFormatPr baseColWidth="10" defaultRowHeight="16" x14ac:dyDescent="0.2"/>
  <cols>
    <col min="1" max="1" width="3.1640625" bestFit="1" customWidth="1"/>
    <col min="2" max="2" width="30" bestFit="1" customWidth="1"/>
    <col min="3" max="3" width="7.6640625" bestFit="1" customWidth="1"/>
    <col min="4" max="4" width="12.5" style="12" bestFit="1" customWidth="1"/>
    <col min="5" max="5" width="12.1640625" style="12" bestFit="1" customWidth="1"/>
    <col min="6" max="6" width="12.1640625" style="12" customWidth="1"/>
    <col min="7" max="7" width="5.1640625" bestFit="1" customWidth="1"/>
    <col min="8" max="8" width="17.83203125" bestFit="1" customWidth="1"/>
    <col min="9" max="9" width="16.6640625" bestFit="1" customWidth="1"/>
    <col min="10" max="10" width="21.8320312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H1" s="62" t="s">
        <v>128</v>
      </c>
      <c r="I1" s="62"/>
      <c r="J1" s="62"/>
      <c r="K1" s="62"/>
      <c r="L1" s="62"/>
      <c r="M1" s="62"/>
      <c r="N1" s="62"/>
      <c r="O1" s="62"/>
      <c r="P1" s="62"/>
      <c r="Q1" s="62"/>
      <c r="R1" s="62"/>
      <c r="S1" s="62"/>
      <c r="T1" s="62"/>
      <c r="U1" s="62"/>
      <c r="V1" s="63" t="s">
        <v>207</v>
      </c>
      <c r="W1" s="63"/>
      <c r="X1" s="63"/>
      <c r="Y1" s="63"/>
      <c r="Z1" s="63"/>
      <c r="AA1" s="63"/>
      <c r="AB1" s="63"/>
      <c r="AC1" s="63"/>
      <c r="AD1" s="63"/>
      <c r="AE1" s="63"/>
      <c r="AF1" s="63"/>
      <c r="AG1" s="63"/>
      <c r="AH1" s="63"/>
      <c r="AI1" s="63"/>
    </row>
    <row r="2" spans="1:35" x14ac:dyDescent="0.2">
      <c r="A2" s="4" t="s">
        <v>0</v>
      </c>
      <c r="B2" s="4" t="s">
        <v>1</v>
      </c>
      <c r="C2" s="4" t="s">
        <v>4</v>
      </c>
      <c r="D2" s="13" t="s">
        <v>58</v>
      </c>
      <c r="E2" s="13" t="s">
        <v>59</v>
      </c>
      <c r="F2" s="13" t="s">
        <v>352</v>
      </c>
      <c r="G2" s="4" t="s">
        <v>120</v>
      </c>
      <c r="H2" s="5" t="s">
        <v>61</v>
      </c>
      <c r="I2" s="5" t="s">
        <v>62</v>
      </c>
      <c r="J2" s="5" t="s">
        <v>29</v>
      </c>
      <c r="K2" s="5" t="s">
        <v>30</v>
      </c>
      <c r="L2" s="5" t="s">
        <v>31</v>
      </c>
      <c r="M2" s="5" t="s">
        <v>32</v>
      </c>
      <c r="N2" s="5" t="s">
        <v>33</v>
      </c>
      <c r="O2" s="5" t="s">
        <v>34</v>
      </c>
      <c r="P2" s="5" t="s">
        <v>35</v>
      </c>
      <c r="Q2" s="5" t="s">
        <v>36</v>
      </c>
      <c r="R2" s="5" t="s">
        <v>37</v>
      </c>
      <c r="S2" s="5" t="s">
        <v>38</v>
      </c>
      <c r="T2" s="5" t="s">
        <v>39</v>
      </c>
      <c r="U2" s="5" t="s">
        <v>40</v>
      </c>
      <c r="V2" s="6" t="s">
        <v>63</v>
      </c>
      <c r="W2" s="6" t="s">
        <v>64</v>
      </c>
      <c r="X2" s="6" t="s">
        <v>41</v>
      </c>
      <c r="Y2" s="6" t="s">
        <v>42</v>
      </c>
      <c r="Z2" s="6" t="s">
        <v>43</v>
      </c>
      <c r="AA2" s="6" t="s">
        <v>44</v>
      </c>
      <c r="AB2" s="6" t="s">
        <v>45</v>
      </c>
      <c r="AC2" s="6" t="s">
        <v>46</v>
      </c>
      <c r="AD2" s="6" t="s">
        <v>47</v>
      </c>
      <c r="AE2" s="6" t="s">
        <v>48</v>
      </c>
      <c r="AF2" s="6" t="s">
        <v>49</v>
      </c>
      <c r="AG2" s="6" t="s">
        <v>50</v>
      </c>
      <c r="AH2" s="6" t="s">
        <v>51</v>
      </c>
      <c r="AI2" s="6" t="s">
        <v>52</v>
      </c>
    </row>
    <row r="3" spans="1:35" x14ac:dyDescent="0.2">
      <c r="A3" s="1">
        <v>1</v>
      </c>
      <c r="B3" s="1" t="s">
        <v>66</v>
      </c>
      <c r="C3" s="1"/>
      <c r="D3" s="14">
        <v>7.1072270000000231</v>
      </c>
      <c r="E3" s="14">
        <v>67.055610000000058</v>
      </c>
      <c r="F3" s="14"/>
      <c r="G3" s="1"/>
      <c r="H3" s="2">
        <v>5</v>
      </c>
      <c r="I3" s="2">
        <v>5</v>
      </c>
      <c r="J3" s="2">
        <f>SUMIFS(ProductionCapacities!$F$2:$F$51,ProductionCapacities!$E$2:$E$51,Nodes!B3)/8*1000000*0.01/1000</f>
        <v>30.443818493150683</v>
      </c>
      <c r="K3" s="9">
        <v>500</v>
      </c>
      <c r="L3" s="9">
        <v>500</v>
      </c>
      <c r="M3" s="2">
        <v>9</v>
      </c>
      <c r="N3" s="2">
        <f>IF(F3="Storage",1000,0)</f>
        <v>0</v>
      </c>
      <c r="O3" s="2">
        <f>IF(F3="Storage",0.299,0.3)</f>
        <v>0.3</v>
      </c>
      <c r="P3" s="2">
        <f>IF(F3="Dummy",0,1)</f>
        <v>1</v>
      </c>
      <c r="Q3" s="2">
        <f>IF(F3="Dummy",0,1)</f>
        <v>1</v>
      </c>
      <c r="R3" s="2">
        <f>P3*1.04</f>
        <v>1.04</v>
      </c>
      <c r="S3" s="2">
        <f>Q3*1.04</f>
        <v>1.04</v>
      </c>
      <c r="T3" s="2">
        <f>P3*1.08</f>
        <v>1.08</v>
      </c>
      <c r="U3" s="2">
        <f>Q3*1.08</f>
        <v>1.08</v>
      </c>
      <c r="V3" s="3">
        <v>5</v>
      </c>
      <c r="W3" s="3">
        <v>5</v>
      </c>
      <c r="X3" s="3">
        <v>100</v>
      </c>
      <c r="Y3" s="3">
        <v>0</v>
      </c>
      <c r="Z3" s="3">
        <v>0</v>
      </c>
      <c r="AA3" s="3">
        <f>M3</f>
        <v>9</v>
      </c>
      <c r="AB3" s="3">
        <v>0</v>
      </c>
      <c r="AC3" s="3">
        <f>O3</f>
        <v>0.3</v>
      </c>
      <c r="AD3" s="3">
        <f t="shared" ref="AD3:AI3" si="0">P3</f>
        <v>1</v>
      </c>
      <c r="AE3" s="3">
        <f t="shared" si="0"/>
        <v>1</v>
      </c>
      <c r="AF3" s="3">
        <f t="shared" si="0"/>
        <v>1.04</v>
      </c>
      <c r="AG3" s="3">
        <f t="shared" si="0"/>
        <v>1.04</v>
      </c>
      <c r="AH3" s="3">
        <f t="shared" si="0"/>
        <v>1.08</v>
      </c>
      <c r="AI3" s="3">
        <f t="shared" si="0"/>
        <v>1.08</v>
      </c>
    </row>
    <row r="4" spans="1:35" x14ac:dyDescent="0.2">
      <c r="A4" s="1">
        <v>2</v>
      </c>
      <c r="B4" s="1" t="s">
        <v>198</v>
      </c>
      <c r="C4" s="1"/>
      <c r="D4" s="14">
        <v>4.6885411271899056</v>
      </c>
      <c r="E4" s="14">
        <v>62.302728638549418</v>
      </c>
      <c r="F4" s="14"/>
      <c r="G4" s="1"/>
      <c r="H4" s="2">
        <v>5</v>
      </c>
      <c r="I4" s="2">
        <v>5</v>
      </c>
      <c r="J4" s="2">
        <f>SUMIFS(ProductionCapacities!$F$2:$F$51,ProductionCapacities!$E$2:$E$51,Nodes!B4)/8*1000000*0.01/1000</f>
        <v>0</v>
      </c>
      <c r="K4" s="9">
        <v>500</v>
      </c>
      <c r="L4" s="9">
        <v>500</v>
      </c>
      <c r="M4" s="2">
        <v>9</v>
      </c>
      <c r="N4" s="2">
        <f t="shared" ref="N4:N67" si="1">IF(F4="Storage",1000,0)</f>
        <v>0</v>
      </c>
      <c r="O4" s="2">
        <f t="shared" ref="O4:O67" si="2">IF(F4="Storage",0.299,0.3)</f>
        <v>0.3</v>
      </c>
      <c r="P4" s="2">
        <f t="shared" ref="P4:P67" si="3">IF(F4="Dummy",0,1)</f>
        <v>1</v>
      </c>
      <c r="Q4" s="2">
        <f t="shared" ref="Q4:Q67" si="4">IF(F4="Dummy",0,1)</f>
        <v>1</v>
      </c>
      <c r="R4" s="2">
        <f t="shared" ref="R4:R67" si="5">P4*1.04</f>
        <v>1.04</v>
      </c>
      <c r="S4" s="2">
        <f t="shared" ref="S4:S67" si="6">Q4*1.04</f>
        <v>1.04</v>
      </c>
      <c r="T4" s="2">
        <f t="shared" ref="T4:T67" si="7">P4*1.08</f>
        <v>1.08</v>
      </c>
      <c r="U4" s="2">
        <f t="shared" ref="U4:U67" si="8">Q4*1.08</f>
        <v>1.08</v>
      </c>
      <c r="V4" s="3">
        <v>5</v>
      </c>
      <c r="W4" s="3">
        <v>5</v>
      </c>
      <c r="X4" s="3">
        <v>100</v>
      </c>
      <c r="Y4" s="3">
        <v>0</v>
      </c>
      <c r="Z4" s="3">
        <v>0</v>
      </c>
      <c r="AA4" s="3">
        <f t="shared" ref="AA4:AA58" si="9">M4</f>
        <v>9</v>
      </c>
      <c r="AB4" s="3">
        <v>0</v>
      </c>
      <c r="AC4" s="3">
        <f t="shared" ref="AC4:AC58" si="10">O4</f>
        <v>0.3</v>
      </c>
      <c r="AD4" s="3">
        <f t="shared" ref="AD4:AD58" si="11">P4</f>
        <v>1</v>
      </c>
      <c r="AE4" s="3">
        <f t="shared" ref="AE4:AE58" si="12">Q4</f>
        <v>1</v>
      </c>
      <c r="AF4" s="3">
        <f t="shared" ref="AF4:AF58" si="13">R4</f>
        <v>1.04</v>
      </c>
      <c r="AG4" s="3">
        <f t="shared" ref="AG4:AG58" si="14">S4</f>
        <v>1.04</v>
      </c>
      <c r="AH4" s="3">
        <f t="shared" ref="AH4:AH58" si="15">T4</f>
        <v>1.08</v>
      </c>
      <c r="AI4" s="3">
        <f t="shared" ref="AI4:AI58" si="16">U4</f>
        <v>1.08</v>
      </c>
    </row>
    <row r="5" spans="1:35" x14ac:dyDescent="0.2">
      <c r="A5" s="1">
        <v>3</v>
      </c>
      <c r="B5" s="1" t="s">
        <v>197</v>
      </c>
      <c r="C5" s="1"/>
      <c r="D5" s="14">
        <v>6.8036598360000653</v>
      </c>
      <c r="E5" s="14">
        <v>65.094471500000054</v>
      </c>
      <c r="F5" s="14"/>
      <c r="G5" s="1" t="s">
        <v>312</v>
      </c>
      <c r="H5" s="2">
        <v>5</v>
      </c>
      <c r="I5" s="2">
        <v>5</v>
      </c>
      <c r="J5" s="2">
        <f>SUMIFS(ProductionCapacities!$F$2:$F$51,ProductionCapacities!$E$2:$E$51,Nodes!B5)/8*1000000*0.01/1000</f>
        <v>12.571315068493149</v>
      </c>
      <c r="K5" s="9">
        <v>500</v>
      </c>
      <c r="L5" s="9">
        <v>500</v>
      </c>
      <c r="M5" s="2">
        <v>9</v>
      </c>
      <c r="N5" s="2">
        <f t="shared" si="1"/>
        <v>0</v>
      </c>
      <c r="O5" s="2">
        <f t="shared" si="2"/>
        <v>0.3</v>
      </c>
      <c r="P5" s="2">
        <f t="shared" si="3"/>
        <v>1</v>
      </c>
      <c r="Q5" s="2">
        <f t="shared" si="4"/>
        <v>1</v>
      </c>
      <c r="R5" s="2">
        <f t="shared" si="5"/>
        <v>1.04</v>
      </c>
      <c r="S5" s="2">
        <f t="shared" si="6"/>
        <v>1.04</v>
      </c>
      <c r="T5" s="2">
        <f t="shared" si="7"/>
        <v>1.08</v>
      </c>
      <c r="U5" s="2">
        <f t="shared" si="8"/>
        <v>1.08</v>
      </c>
      <c r="V5" s="3">
        <v>5</v>
      </c>
      <c r="W5" s="3">
        <v>5</v>
      </c>
      <c r="X5" s="3">
        <v>100</v>
      </c>
      <c r="Y5" s="3">
        <v>0</v>
      </c>
      <c r="Z5" s="3">
        <v>0</v>
      </c>
      <c r="AA5" s="3">
        <f t="shared" si="9"/>
        <v>9</v>
      </c>
      <c r="AB5" s="3">
        <v>0</v>
      </c>
      <c r="AC5" s="3">
        <f t="shared" si="10"/>
        <v>0.3</v>
      </c>
      <c r="AD5" s="3">
        <f t="shared" si="11"/>
        <v>1</v>
      </c>
      <c r="AE5" s="3">
        <f t="shared" si="12"/>
        <v>1</v>
      </c>
      <c r="AF5" s="3">
        <f t="shared" si="13"/>
        <v>1.04</v>
      </c>
      <c r="AG5" s="3">
        <f t="shared" si="14"/>
        <v>1.04</v>
      </c>
      <c r="AH5" s="3">
        <f t="shared" si="15"/>
        <v>1.08</v>
      </c>
      <c r="AI5" s="3">
        <f t="shared" si="16"/>
        <v>1.08</v>
      </c>
    </row>
    <row r="6" spans="1:35" x14ac:dyDescent="0.2">
      <c r="A6" s="1">
        <v>4</v>
      </c>
      <c r="B6" s="1" t="s">
        <v>105</v>
      </c>
      <c r="C6" s="1"/>
      <c r="D6" s="20">
        <v>4.5569471181611378</v>
      </c>
      <c r="E6" s="20">
        <v>55.458982371638299</v>
      </c>
      <c r="F6" s="20"/>
      <c r="G6" s="1"/>
      <c r="H6" s="2">
        <v>5</v>
      </c>
      <c r="I6" s="2">
        <v>5</v>
      </c>
      <c r="J6" s="2">
        <f>SUMIFS(ProductionCapacities!$F$2:$F$51,ProductionCapacities!$E$2:$E$51,Nodes!B6)/8*1000000*0.01/1000</f>
        <v>0</v>
      </c>
      <c r="K6" s="9">
        <v>500</v>
      </c>
      <c r="L6" s="9">
        <v>500</v>
      </c>
      <c r="M6" s="2">
        <v>9</v>
      </c>
      <c r="N6" s="2">
        <f t="shared" si="1"/>
        <v>0</v>
      </c>
      <c r="O6" s="2">
        <f t="shared" si="2"/>
        <v>0.3</v>
      </c>
      <c r="P6" s="2">
        <f t="shared" si="3"/>
        <v>1</v>
      </c>
      <c r="Q6" s="2">
        <f t="shared" si="4"/>
        <v>1</v>
      </c>
      <c r="R6" s="2">
        <f t="shared" si="5"/>
        <v>1.04</v>
      </c>
      <c r="S6" s="2">
        <f t="shared" si="6"/>
        <v>1.04</v>
      </c>
      <c r="T6" s="2">
        <f t="shared" si="7"/>
        <v>1.08</v>
      </c>
      <c r="U6" s="2">
        <f t="shared" si="8"/>
        <v>1.08</v>
      </c>
      <c r="V6" s="3">
        <v>5</v>
      </c>
      <c r="W6" s="3">
        <v>5</v>
      </c>
      <c r="X6" s="3">
        <v>100</v>
      </c>
      <c r="Y6" s="3">
        <v>0</v>
      </c>
      <c r="Z6" s="3">
        <v>0</v>
      </c>
      <c r="AA6" s="3">
        <f t="shared" si="9"/>
        <v>9</v>
      </c>
      <c r="AB6" s="3">
        <v>0</v>
      </c>
      <c r="AC6" s="3">
        <f t="shared" si="10"/>
        <v>0.3</v>
      </c>
      <c r="AD6" s="3">
        <f t="shared" si="11"/>
        <v>1</v>
      </c>
      <c r="AE6" s="3">
        <f t="shared" si="12"/>
        <v>1</v>
      </c>
      <c r="AF6" s="3">
        <f t="shared" si="13"/>
        <v>1.04</v>
      </c>
      <c r="AG6" s="3">
        <f t="shared" si="14"/>
        <v>1.04</v>
      </c>
      <c r="AH6" s="3">
        <f t="shared" si="15"/>
        <v>1.08</v>
      </c>
      <c r="AI6" s="3">
        <f t="shared" si="16"/>
        <v>1.08</v>
      </c>
    </row>
    <row r="7" spans="1:35" x14ac:dyDescent="0.2">
      <c r="A7" s="1">
        <v>5</v>
      </c>
      <c r="B7" s="1" t="s">
        <v>104</v>
      </c>
      <c r="C7" s="1"/>
      <c r="D7" s="20">
        <v>6.5038</v>
      </c>
      <c r="E7" s="20">
        <v>55.71</v>
      </c>
      <c r="F7" s="20"/>
      <c r="G7" s="1"/>
      <c r="H7" s="2">
        <v>5</v>
      </c>
      <c r="I7" s="2">
        <v>5</v>
      </c>
      <c r="J7" s="2">
        <f>SUMIFS(ProductionCapacities!$F$2:$F$51,ProductionCapacities!$E$2:$E$51,Nodes!B7)/8*1000000*0.01/1000</f>
        <v>0</v>
      </c>
      <c r="K7" s="9">
        <v>500</v>
      </c>
      <c r="L7" s="9">
        <v>500</v>
      </c>
      <c r="M7" s="2">
        <v>9</v>
      </c>
      <c r="N7" s="2">
        <f t="shared" si="1"/>
        <v>0</v>
      </c>
      <c r="O7" s="2">
        <f t="shared" si="2"/>
        <v>0.3</v>
      </c>
      <c r="P7" s="2">
        <f t="shared" si="3"/>
        <v>1</v>
      </c>
      <c r="Q7" s="2">
        <f t="shared" si="4"/>
        <v>1</v>
      </c>
      <c r="R7" s="2">
        <f t="shared" si="5"/>
        <v>1.04</v>
      </c>
      <c r="S7" s="2">
        <f t="shared" si="6"/>
        <v>1.04</v>
      </c>
      <c r="T7" s="2">
        <f t="shared" si="7"/>
        <v>1.08</v>
      </c>
      <c r="U7" s="2">
        <f t="shared" si="8"/>
        <v>1.08</v>
      </c>
      <c r="V7" s="3">
        <v>5</v>
      </c>
      <c r="W7" s="3">
        <v>5</v>
      </c>
      <c r="X7" s="3">
        <v>100</v>
      </c>
      <c r="Y7" s="3">
        <v>0</v>
      </c>
      <c r="Z7" s="3">
        <v>0</v>
      </c>
      <c r="AA7" s="3">
        <f t="shared" si="9"/>
        <v>9</v>
      </c>
      <c r="AB7" s="3">
        <v>0</v>
      </c>
      <c r="AC7" s="3">
        <f t="shared" si="10"/>
        <v>0.3</v>
      </c>
      <c r="AD7" s="3">
        <f t="shared" si="11"/>
        <v>1</v>
      </c>
      <c r="AE7" s="3">
        <f t="shared" si="12"/>
        <v>1</v>
      </c>
      <c r="AF7" s="3">
        <f t="shared" si="13"/>
        <v>1.04</v>
      </c>
      <c r="AG7" s="3">
        <f t="shared" si="14"/>
        <v>1.04</v>
      </c>
      <c r="AH7" s="3">
        <f t="shared" si="15"/>
        <v>1.08</v>
      </c>
      <c r="AI7" s="3">
        <f t="shared" si="16"/>
        <v>1.08</v>
      </c>
    </row>
    <row r="8" spans="1:35" x14ac:dyDescent="0.2">
      <c r="A8" s="1">
        <v>6</v>
      </c>
      <c r="B8" s="1" t="s">
        <v>81</v>
      </c>
      <c r="C8" s="1"/>
      <c r="D8" s="14">
        <v>2.8980550000000558</v>
      </c>
      <c r="E8" s="14">
        <v>60.560633000000053</v>
      </c>
      <c r="F8" s="14"/>
      <c r="G8" s="1" t="s">
        <v>312</v>
      </c>
      <c r="H8" s="2">
        <v>5</v>
      </c>
      <c r="I8" s="2">
        <v>5</v>
      </c>
      <c r="J8" s="2">
        <f>SUMIFS(ProductionCapacities!$F$2:$F$51,ProductionCapacities!$E$2:$E$51,Nodes!B8)/8*1000000*0.01/1000</f>
        <v>0.16460616438356165</v>
      </c>
      <c r="K8" s="9">
        <v>500</v>
      </c>
      <c r="L8" s="9">
        <v>500</v>
      </c>
      <c r="M8" s="2">
        <v>9</v>
      </c>
      <c r="N8" s="2">
        <f t="shared" si="1"/>
        <v>0</v>
      </c>
      <c r="O8" s="2">
        <f t="shared" si="2"/>
        <v>0.3</v>
      </c>
      <c r="P8" s="2">
        <f t="shared" si="3"/>
        <v>1</v>
      </c>
      <c r="Q8" s="2">
        <f t="shared" si="4"/>
        <v>1</v>
      </c>
      <c r="R8" s="2">
        <f t="shared" si="5"/>
        <v>1.04</v>
      </c>
      <c r="S8" s="2">
        <f t="shared" si="6"/>
        <v>1.04</v>
      </c>
      <c r="T8" s="2">
        <f t="shared" si="7"/>
        <v>1.08</v>
      </c>
      <c r="U8" s="2">
        <f t="shared" si="8"/>
        <v>1.08</v>
      </c>
      <c r="V8" s="3">
        <v>5</v>
      </c>
      <c r="W8" s="3">
        <v>5</v>
      </c>
      <c r="X8" s="3">
        <v>100</v>
      </c>
      <c r="Y8" s="3">
        <v>0</v>
      </c>
      <c r="Z8" s="3">
        <v>0</v>
      </c>
      <c r="AA8" s="3">
        <f t="shared" si="9"/>
        <v>9</v>
      </c>
      <c r="AB8" s="3">
        <v>0</v>
      </c>
      <c r="AC8" s="3">
        <f t="shared" si="10"/>
        <v>0.3</v>
      </c>
      <c r="AD8" s="3">
        <f t="shared" si="11"/>
        <v>1</v>
      </c>
      <c r="AE8" s="3">
        <f t="shared" si="12"/>
        <v>1</v>
      </c>
      <c r="AF8" s="3">
        <f t="shared" si="13"/>
        <v>1.04</v>
      </c>
      <c r="AG8" s="3">
        <f t="shared" si="14"/>
        <v>1.04</v>
      </c>
      <c r="AH8" s="3">
        <f t="shared" si="15"/>
        <v>1.08</v>
      </c>
      <c r="AI8" s="3">
        <f t="shared" si="16"/>
        <v>1.08</v>
      </c>
    </row>
    <row r="9" spans="1:35" x14ac:dyDescent="0.2">
      <c r="A9" s="1">
        <v>7</v>
      </c>
      <c r="B9" s="1" t="s">
        <v>84</v>
      </c>
      <c r="C9" s="1"/>
      <c r="D9" s="14">
        <v>3.037825494927695</v>
      </c>
      <c r="E9" s="14">
        <v>60.543328997897447</v>
      </c>
      <c r="F9" s="14"/>
      <c r="G9" s="1" t="s">
        <v>312</v>
      </c>
      <c r="H9" s="2">
        <v>5</v>
      </c>
      <c r="I9" s="2">
        <v>5</v>
      </c>
      <c r="J9" s="2">
        <f>SUMIFS(ProductionCapacities!$F$2:$F$51,ProductionCapacities!$E$2:$E$51,Nodes!B9)/8*1000000*0.01/1000</f>
        <v>0</v>
      </c>
      <c r="K9" s="9">
        <v>500</v>
      </c>
      <c r="L9" s="9">
        <v>500</v>
      </c>
      <c r="M9" s="2">
        <v>9</v>
      </c>
      <c r="N9" s="2">
        <f t="shared" si="1"/>
        <v>0</v>
      </c>
      <c r="O9" s="2">
        <f t="shared" si="2"/>
        <v>0.3</v>
      </c>
      <c r="P9" s="2">
        <f t="shared" si="3"/>
        <v>1</v>
      </c>
      <c r="Q9" s="2">
        <f t="shared" si="4"/>
        <v>1</v>
      </c>
      <c r="R9" s="2">
        <f t="shared" si="5"/>
        <v>1.04</v>
      </c>
      <c r="S9" s="2">
        <f t="shared" si="6"/>
        <v>1.04</v>
      </c>
      <c r="T9" s="2">
        <f t="shared" si="7"/>
        <v>1.08</v>
      </c>
      <c r="U9" s="2">
        <f t="shared" si="8"/>
        <v>1.08</v>
      </c>
      <c r="V9" s="3">
        <v>5</v>
      </c>
      <c r="W9" s="3">
        <v>5</v>
      </c>
      <c r="X9" s="3">
        <v>100</v>
      </c>
      <c r="Y9" s="3">
        <v>0</v>
      </c>
      <c r="Z9" s="3">
        <v>0</v>
      </c>
      <c r="AA9" s="3">
        <f t="shared" si="9"/>
        <v>9</v>
      </c>
      <c r="AB9" s="3">
        <v>0</v>
      </c>
      <c r="AC9" s="3">
        <f t="shared" si="10"/>
        <v>0.3</v>
      </c>
      <c r="AD9" s="3">
        <f t="shared" si="11"/>
        <v>1</v>
      </c>
      <c r="AE9" s="3">
        <f t="shared" si="12"/>
        <v>1</v>
      </c>
      <c r="AF9" s="3">
        <f t="shared" si="13"/>
        <v>1.04</v>
      </c>
      <c r="AG9" s="3">
        <f t="shared" si="14"/>
        <v>1.04</v>
      </c>
      <c r="AH9" s="3">
        <f t="shared" si="15"/>
        <v>1.08</v>
      </c>
      <c r="AI9" s="3">
        <f t="shared" si="16"/>
        <v>1.08</v>
      </c>
    </row>
    <row r="10" spans="1:35" x14ac:dyDescent="0.2">
      <c r="A10" s="1">
        <v>8</v>
      </c>
      <c r="B10" s="1" t="s">
        <v>100</v>
      </c>
      <c r="C10" s="1"/>
      <c r="D10" s="20">
        <v>1.803328</v>
      </c>
      <c r="E10" s="20">
        <v>57.758068999999999</v>
      </c>
      <c r="F10" s="20"/>
      <c r="G10" s="1"/>
      <c r="H10" s="2">
        <v>5</v>
      </c>
      <c r="I10" s="2">
        <v>5</v>
      </c>
      <c r="J10" s="61">
        <f>48/8*1000000*0.01/1000</f>
        <v>60</v>
      </c>
      <c r="K10" s="9">
        <v>500</v>
      </c>
      <c r="L10" s="9">
        <v>500</v>
      </c>
      <c r="M10" s="2">
        <v>9</v>
      </c>
      <c r="N10" s="2">
        <f t="shared" si="1"/>
        <v>0</v>
      </c>
      <c r="O10" s="2">
        <f t="shared" si="2"/>
        <v>0.3</v>
      </c>
      <c r="P10" s="2">
        <f t="shared" si="3"/>
        <v>1</v>
      </c>
      <c r="Q10" s="2">
        <f t="shared" si="4"/>
        <v>1</v>
      </c>
      <c r="R10" s="2">
        <f t="shared" si="5"/>
        <v>1.04</v>
      </c>
      <c r="S10" s="2">
        <f t="shared" si="6"/>
        <v>1.04</v>
      </c>
      <c r="T10" s="2">
        <f t="shared" si="7"/>
        <v>1.08</v>
      </c>
      <c r="U10" s="2">
        <f t="shared" si="8"/>
        <v>1.08</v>
      </c>
      <c r="V10" s="3">
        <v>5</v>
      </c>
      <c r="W10" s="3">
        <v>5</v>
      </c>
      <c r="X10" s="3">
        <v>100</v>
      </c>
      <c r="Y10" s="3">
        <v>0</v>
      </c>
      <c r="Z10" s="3">
        <v>0</v>
      </c>
      <c r="AA10" s="3">
        <f t="shared" si="9"/>
        <v>9</v>
      </c>
      <c r="AB10" s="3">
        <v>0</v>
      </c>
      <c r="AC10" s="3">
        <f t="shared" si="10"/>
        <v>0.3</v>
      </c>
      <c r="AD10" s="3">
        <f t="shared" si="11"/>
        <v>1</v>
      </c>
      <c r="AE10" s="3">
        <f t="shared" si="12"/>
        <v>1</v>
      </c>
      <c r="AF10" s="3">
        <f t="shared" si="13"/>
        <v>1.04</v>
      </c>
      <c r="AG10" s="3">
        <f t="shared" si="14"/>
        <v>1.04</v>
      </c>
      <c r="AH10" s="3">
        <f t="shared" si="15"/>
        <v>1.08</v>
      </c>
      <c r="AI10" s="3">
        <f t="shared" si="16"/>
        <v>1.08</v>
      </c>
    </row>
    <row r="11" spans="1:35" x14ac:dyDescent="0.2">
      <c r="A11" s="1">
        <v>9</v>
      </c>
      <c r="B11" s="1" t="s">
        <v>115</v>
      </c>
      <c r="C11" s="1"/>
      <c r="D11" s="20">
        <v>8.4072999999999993</v>
      </c>
      <c r="E11" s="20">
        <v>55.744999999999997</v>
      </c>
      <c r="F11" s="20"/>
      <c r="G11" s="1"/>
      <c r="H11" s="2">
        <v>5</v>
      </c>
      <c r="I11" s="2">
        <v>5</v>
      </c>
      <c r="J11" s="2">
        <f>SUMIFS(ProductionCapacities!$F$2:$F$51,ProductionCapacities!$E$2:$E$51,Nodes!B11)/8*1000000*0.01/1000</f>
        <v>0</v>
      </c>
      <c r="K11" s="9">
        <v>500</v>
      </c>
      <c r="L11" s="9">
        <v>500</v>
      </c>
      <c r="M11" s="2">
        <v>9</v>
      </c>
      <c r="N11" s="2">
        <f t="shared" si="1"/>
        <v>0</v>
      </c>
      <c r="O11" s="2">
        <f t="shared" si="2"/>
        <v>0.3</v>
      </c>
      <c r="P11" s="2">
        <f t="shared" si="3"/>
        <v>1</v>
      </c>
      <c r="Q11" s="2">
        <f t="shared" si="4"/>
        <v>1</v>
      </c>
      <c r="R11" s="2">
        <f t="shared" si="5"/>
        <v>1.04</v>
      </c>
      <c r="S11" s="2">
        <f t="shared" si="6"/>
        <v>1.04</v>
      </c>
      <c r="T11" s="2">
        <f t="shared" si="7"/>
        <v>1.08</v>
      </c>
      <c r="U11" s="2">
        <f t="shared" si="8"/>
        <v>1.08</v>
      </c>
      <c r="V11" s="3">
        <v>5</v>
      </c>
      <c r="W11" s="3">
        <v>5</v>
      </c>
      <c r="X11" s="3">
        <v>100</v>
      </c>
      <c r="Y11" s="3">
        <v>0</v>
      </c>
      <c r="Z11" s="3">
        <v>0</v>
      </c>
      <c r="AA11" s="3">
        <f t="shared" si="9"/>
        <v>9</v>
      </c>
      <c r="AB11" s="3">
        <v>0</v>
      </c>
      <c r="AC11" s="3">
        <f t="shared" si="10"/>
        <v>0.3</v>
      </c>
      <c r="AD11" s="3">
        <f t="shared" si="11"/>
        <v>1</v>
      </c>
      <c r="AE11" s="3">
        <f t="shared" si="12"/>
        <v>1</v>
      </c>
      <c r="AF11" s="3">
        <f t="shared" si="13"/>
        <v>1.04</v>
      </c>
      <c r="AG11" s="3">
        <f t="shared" si="14"/>
        <v>1.04</v>
      </c>
      <c r="AH11" s="3">
        <f t="shared" si="15"/>
        <v>1.08</v>
      </c>
      <c r="AI11" s="3">
        <f t="shared" si="16"/>
        <v>1.08</v>
      </c>
    </row>
    <row r="12" spans="1:35" x14ac:dyDescent="0.2">
      <c r="A12" s="1">
        <v>10</v>
      </c>
      <c r="B12" s="1" t="s">
        <v>116</v>
      </c>
      <c r="C12" s="1"/>
      <c r="D12" s="20">
        <v>9.3108000000000004</v>
      </c>
      <c r="E12" s="20">
        <v>55.616999999999997</v>
      </c>
      <c r="F12" s="20"/>
      <c r="G12" s="1"/>
      <c r="H12" s="2">
        <v>5</v>
      </c>
      <c r="I12" s="2">
        <v>5</v>
      </c>
      <c r="J12" s="2">
        <f>SUMIFS(ProductionCapacities!$F$2:$F$51,ProductionCapacities!$E$2:$E$51,Nodes!B12)/8*1000000*0.01/1000</f>
        <v>0</v>
      </c>
      <c r="K12" s="9">
        <v>500</v>
      </c>
      <c r="L12" s="9">
        <v>500</v>
      </c>
      <c r="M12" s="2">
        <v>9</v>
      </c>
      <c r="N12" s="2">
        <f t="shared" si="1"/>
        <v>0</v>
      </c>
      <c r="O12" s="2">
        <f t="shared" si="2"/>
        <v>0.3</v>
      </c>
      <c r="P12" s="2">
        <f t="shared" si="3"/>
        <v>1</v>
      </c>
      <c r="Q12" s="2">
        <f t="shared" si="4"/>
        <v>1</v>
      </c>
      <c r="R12" s="2">
        <f t="shared" si="5"/>
        <v>1.04</v>
      </c>
      <c r="S12" s="2">
        <f t="shared" si="6"/>
        <v>1.04</v>
      </c>
      <c r="T12" s="2">
        <f t="shared" si="7"/>
        <v>1.08</v>
      </c>
      <c r="U12" s="2">
        <f t="shared" si="8"/>
        <v>1.08</v>
      </c>
      <c r="V12" s="3">
        <v>5</v>
      </c>
      <c r="W12" s="3">
        <v>5</v>
      </c>
      <c r="X12" s="3">
        <v>100</v>
      </c>
      <c r="Y12" s="3">
        <v>0</v>
      </c>
      <c r="Z12" s="3">
        <v>0</v>
      </c>
      <c r="AA12" s="3">
        <f t="shared" si="9"/>
        <v>9</v>
      </c>
      <c r="AB12" s="3">
        <v>0</v>
      </c>
      <c r="AC12" s="3">
        <f t="shared" si="10"/>
        <v>0.3</v>
      </c>
      <c r="AD12" s="3">
        <f t="shared" si="11"/>
        <v>1</v>
      </c>
      <c r="AE12" s="3">
        <f t="shared" si="12"/>
        <v>1</v>
      </c>
      <c r="AF12" s="3">
        <f t="shared" si="13"/>
        <v>1.04</v>
      </c>
      <c r="AG12" s="3">
        <f t="shared" si="14"/>
        <v>1.04</v>
      </c>
      <c r="AH12" s="3">
        <f t="shared" si="15"/>
        <v>1.08</v>
      </c>
      <c r="AI12" s="3">
        <f t="shared" si="16"/>
        <v>1.08</v>
      </c>
    </row>
    <row r="13" spans="1:35" x14ac:dyDescent="0.2">
      <c r="A13" s="1">
        <v>11</v>
      </c>
      <c r="B13" s="1" t="s">
        <v>117</v>
      </c>
      <c r="C13" s="1"/>
      <c r="D13" s="20">
        <v>10.7951</v>
      </c>
      <c r="E13" s="20">
        <v>55.286999999999999</v>
      </c>
      <c r="F13" s="20"/>
      <c r="G13" s="1"/>
      <c r="H13" s="2">
        <v>5</v>
      </c>
      <c r="I13" s="2">
        <v>5</v>
      </c>
      <c r="J13" s="2">
        <f>SUMIFS(ProductionCapacities!$F$2:$F$51,ProductionCapacities!$E$2:$E$51,Nodes!B13)/8*1000000*0.01/1000</f>
        <v>0</v>
      </c>
      <c r="K13" s="9">
        <v>500</v>
      </c>
      <c r="L13" s="9">
        <v>500</v>
      </c>
      <c r="M13" s="2">
        <v>9</v>
      </c>
      <c r="N13" s="2">
        <f t="shared" si="1"/>
        <v>0</v>
      </c>
      <c r="O13" s="2">
        <f t="shared" si="2"/>
        <v>0.3</v>
      </c>
      <c r="P13" s="2">
        <f t="shared" si="3"/>
        <v>1</v>
      </c>
      <c r="Q13" s="2">
        <f t="shared" si="4"/>
        <v>1</v>
      </c>
      <c r="R13" s="2">
        <f t="shared" si="5"/>
        <v>1.04</v>
      </c>
      <c r="S13" s="2">
        <f t="shared" si="6"/>
        <v>1.04</v>
      </c>
      <c r="T13" s="2">
        <f t="shared" si="7"/>
        <v>1.08</v>
      </c>
      <c r="U13" s="2">
        <f t="shared" si="8"/>
        <v>1.08</v>
      </c>
      <c r="V13" s="3">
        <v>5</v>
      </c>
      <c r="W13" s="3">
        <v>5</v>
      </c>
      <c r="X13" s="3">
        <v>100</v>
      </c>
      <c r="Y13" s="3">
        <v>0</v>
      </c>
      <c r="Z13" s="3">
        <v>0</v>
      </c>
      <c r="AA13" s="3">
        <f t="shared" si="9"/>
        <v>9</v>
      </c>
      <c r="AB13" s="3">
        <v>0</v>
      </c>
      <c r="AC13" s="3">
        <f t="shared" si="10"/>
        <v>0.3</v>
      </c>
      <c r="AD13" s="3">
        <f t="shared" si="11"/>
        <v>1</v>
      </c>
      <c r="AE13" s="3">
        <f t="shared" si="12"/>
        <v>1</v>
      </c>
      <c r="AF13" s="3">
        <f t="shared" si="13"/>
        <v>1.04</v>
      </c>
      <c r="AG13" s="3">
        <f t="shared" si="14"/>
        <v>1.04</v>
      </c>
      <c r="AH13" s="3">
        <f t="shared" si="15"/>
        <v>1.08</v>
      </c>
      <c r="AI13" s="3">
        <f t="shared" si="16"/>
        <v>1.08</v>
      </c>
    </row>
    <row r="14" spans="1:35" x14ac:dyDescent="0.2">
      <c r="A14" s="1">
        <v>12</v>
      </c>
      <c r="B14" s="1" t="s">
        <v>118</v>
      </c>
      <c r="C14" s="1"/>
      <c r="D14" s="20">
        <v>11.2102</v>
      </c>
      <c r="E14" s="20">
        <v>55.389000000000003</v>
      </c>
      <c r="F14" s="20"/>
      <c r="G14" s="1"/>
      <c r="H14" s="2">
        <v>5</v>
      </c>
      <c r="I14" s="2">
        <v>5</v>
      </c>
      <c r="J14" s="2">
        <f>SUMIFS(ProductionCapacities!$F$2:$F$51,ProductionCapacities!$E$2:$E$51,Nodes!B14)/8*1000000*0.01/1000</f>
        <v>0</v>
      </c>
      <c r="K14" s="9">
        <v>500</v>
      </c>
      <c r="L14" s="9">
        <v>500</v>
      </c>
      <c r="M14" s="2">
        <v>9</v>
      </c>
      <c r="N14" s="2">
        <f t="shared" si="1"/>
        <v>0</v>
      </c>
      <c r="O14" s="2">
        <f t="shared" si="2"/>
        <v>0.3</v>
      </c>
      <c r="P14" s="2">
        <f t="shared" si="3"/>
        <v>1</v>
      </c>
      <c r="Q14" s="2">
        <f t="shared" si="4"/>
        <v>1</v>
      </c>
      <c r="R14" s="2">
        <f t="shared" si="5"/>
        <v>1.04</v>
      </c>
      <c r="S14" s="2">
        <f t="shared" si="6"/>
        <v>1.04</v>
      </c>
      <c r="T14" s="2">
        <f t="shared" si="7"/>
        <v>1.08</v>
      </c>
      <c r="U14" s="2">
        <f t="shared" si="8"/>
        <v>1.08</v>
      </c>
      <c r="V14" s="3">
        <v>5</v>
      </c>
      <c r="W14" s="3">
        <v>5</v>
      </c>
      <c r="X14" s="3">
        <v>100</v>
      </c>
      <c r="Y14" s="3">
        <v>0</v>
      </c>
      <c r="Z14" s="3">
        <v>0</v>
      </c>
      <c r="AA14" s="3">
        <f t="shared" si="9"/>
        <v>9</v>
      </c>
      <c r="AB14" s="3">
        <v>0</v>
      </c>
      <c r="AC14" s="3">
        <f t="shared" si="10"/>
        <v>0.3</v>
      </c>
      <c r="AD14" s="3">
        <f t="shared" si="11"/>
        <v>1</v>
      </c>
      <c r="AE14" s="3">
        <f t="shared" si="12"/>
        <v>1</v>
      </c>
      <c r="AF14" s="3">
        <f t="shared" si="13"/>
        <v>1.04</v>
      </c>
      <c r="AG14" s="3">
        <f t="shared" si="14"/>
        <v>1.04</v>
      </c>
      <c r="AH14" s="3">
        <f t="shared" si="15"/>
        <v>1.08</v>
      </c>
      <c r="AI14" s="3">
        <f t="shared" si="16"/>
        <v>1.08</v>
      </c>
    </row>
    <row r="15" spans="1:35" x14ac:dyDescent="0.2">
      <c r="A15" s="1">
        <v>13</v>
      </c>
      <c r="B15" s="1" t="s">
        <v>72</v>
      </c>
      <c r="C15" s="1"/>
      <c r="D15" s="14">
        <v>6.4412580000000617</v>
      </c>
      <c r="E15" s="14">
        <v>64.233255000000042</v>
      </c>
      <c r="F15" s="14"/>
      <c r="G15" s="1" t="s">
        <v>312</v>
      </c>
      <c r="H15" s="2">
        <v>5</v>
      </c>
      <c r="I15" s="2">
        <v>5</v>
      </c>
      <c r="J15" s="2">
        <f>SUMIFS(ProductionCapacities!$F$2:$F$51,ProductionCapacities!$E$2:$E$51,Nodes!B15)/8*1000000*0.01/1000</f>
        <v>0</v>
      </c>
      <c r="K15" s="9">
        <v>500</v>
      </c>
      <c r="L15" s="9">
        <v>500</v>
      </c>
      <c r="M15" s="2">
        <v>9</v>
      </c>
      <c r="N15" s="2">
        <f t="shared" si="1"/>
        <v>0</v>
      </c>
      <c r="O15" s="2">
        <f t="shared" si="2"/>
        <v>0.3</v>
      </c>
      <c r="P15" s="2">
        <f t="shared" si="3"/>
        <v>1</v>
      </c>
      <c r="Q15" s="2">
        <f t="shared" si="4"/>
        <v>1</v>
      </c>
      <c r="R15" s="2">
        <f t="shared" si="5"/>
        <v>1.04</v>
      </c>
      <c r="S15" s="2">
        <f t="shared" si="6"/>
        <v>1.04</v>
      </c>
      <c r="T15" s="2">
        <f t="shared" si="7"/>
        <v>1.08</v>
      </c>
      <c r="U15" s="2">
        <f t="shared" si="8"/>
        <v>1.08</v>
      </c>
      <c r="V15" s="3">
        <v>5</v>
      </c>
      <c r="W15" s="3">
        <v>5</v>
      </c>
      <c r="X15" s="3">
        <v>100</v>
      </c>
      <c r="Y15" s="3">
        <v>0</v>
      </c>
      <c r="Z15" s="3">
        <v>0</v>
      </c>
      <c r="AA15" s="3">
        <f t="shared" si="9"/>
        <v>9</v>
      </c>
      <c r="AB15" s="3">
        <v>0</v>
      </c>
      <c r="AC15" s="3">
        <f t="shared" si="10"/>
        <v>0.3</v>
      </c>
      <c r="AD15" s="3">
        <f t="shared" si="11"/>
        <v>1</v>
      </c>
      <c r="AE15" s="3">
        <f t="shared" si="12"/>
        <v>1</v>
      </c>
      <c r="AF15" s="3">
        <f t="shared" si="13"/>
        <v>1.04</v>
      </c>
      <c r="AG15" s="3">
        <f t="shared" si="14"/>
        <v>1.04</v>
      </c>
      <c r="AH15" s="3">
        <f t="shared" si="15"/>
        <v>1.08</v>
      </c>
      <c r="AI15" s="3">
        <f t="shared" si="16"/>
        <v>1.08</v>
      </c>
    </row>
    <row r="16" spans="1:35" x14ac:dyDescent="0.2">
      <c r="A16" s="1">
        <v>14</v>
      </c>
      <c r="B16" s="1" t="s">
        <v>71</v>
      </c>
      <c r="C16" s="1"/>
      <c r="D16" s="14">
        <v>7.7910261052919596</v>
      </c>
      <c r="E16" s="14">
        <v>64.350567591210293</v>
      </c>
      <c r="F16" s="14"/>
      <c r="G16" s="1"/>
      <c r="H16" s="2">
        <v>5</v>
      </c>
      <c r="I16" s="2">
        <v>5</v>
      </c>
      <c r="J16" s="2">
        <f>SUMIFS(ProductionCapacities!$F$2:$F$51,ProductionCapacities!$E$2:$E$51,Nodes!B16)/8*1000000*0.01/1000</f>
        <v>0</v>
      </c>
      <c r="K16" s="9">
        <v>500</v>
      </c>
      <c r="L16" s="9">
        <v>500</v>
      </c>
      <c r="M16" s="2">
        <v>9</v>
      </c>
      <c r="N16" s="2">
        <f t="shared" si="1"/>
        <v>0</v>
      </c>
      <c r="O16" s="2">
        <f t="shared" si="2"/>
        <v>0.3</v>
      </c>
      <c r="P16" s="2">
        <f t="shared" si="3"/>
        <v>1</v>
      </c>
      <c r="Q16" s="2">
        <f t="shared" si="4"/>
        <v>1</v>
      </c>
      <c r="R16" s="2">
        <f t="shared" si="5"/>
        <v>1.04</v>
      </c>
      <c r="S16" s="2">
        <f t="shared" si="6"/>
        <v>1.04</v>
      </c>
      <c r="T16" s="2">
        <f t="shared" si="7"/>
        <v>1.08</v>
      </c>
      <c r="U16" s="2">
        <f t="shared" si="8"/>
        <v>1.08</v>
      </c>
      <c r="V16" s="3">
        <v>5</v>
      </c>
      <c r="W16" s="3">
        <v>5</v>
      </c>
      <c r="X16" s="3">
        <v>100</v>
      </c>
      <c r="Y16" s="3">
        <v>0</v>
      </c>
      <c r="Z16" s="3">
        <v>0</v>
      </c>
      <c r="AA16" s="3">
        <f t="shared" si="9"/>
        <v>9</v>
      </c>
      <c r="AB16" s="3">
        <v>0</v>
      </c>
      <c r="AC16" s="3">
        <f t="shared" si="10"/>
        <v>0.3</v>
      </c>
      <c r="AD16" s="3">
        <f t="shared" si="11"/>
        <v>1</v>
      </c>
      <c r="AE16" s="3">
        <f t="shared" si="12"/>
        <v>1</v>
      </c>
      <c r="AF16" s="3">
        <f t="shared" si="13"/>
        <v>1.04</v>
      </c>
      <c r="AG16" s="3">
        <f t="shared" si="14"/>
        <v>1.04</v>
      </c>
      <c r="AH16" s="3">
        <f t="shared" si="15"/>
        <v>1.08</v>
      </c>
      <c r="AI16" s="3">
        <f t="shared" si="16"/>
        <v>1.08</v>
      </c>
    </row>
    <row r="17" spans="1:35" x14ac:dyDescent="0.2">
      <c r="A17" s="1">
        <v>15</v>
      </c>
      <c r="B17" s="1" t="s">
        <v>98</v>
      </c>
      <c r="C17" s="1"/>
      <c r="D17" s="20">
        <v>2.4644041660536331</v>
      </c>
      <c r="E17" s="20">
        <v>58.188149017412513</v>
      </c>
      <c r="F17" s="20"/>
      <c r="G17" s="1"/>
      <c r="H17" s="2">
        <v>5</v>
      </c>
      <c r="I17" s="2">
        <v>5</v>
      </c>
      <c r="J17" s="2">
        <f>SUMIFS(ProductionCapacities!$F$2:$F$51,ProductionCapacities!$E$2:$E$51,Nodes!B17)/8*1000000*0.01/1000</f>
        <v>0</v>
      </c>
      <c r="K17" s="9">
        <v>500</v>
      </c>
      <c r="L17" s="9">
        <v>500</v>
      </c>
      <c r="M17" s="2">
        <v>9</v>
      </c>
      <c r="N17" s="2">
        <f t="shared" si="1"/>
        <v>0</v>
      </c>
      <c r="O17" s="2">
        <f t="shared" si="2"/>
        <v>0.3</v>
      </c>
      <c r="P17" s="2">
        <f t="shared" si="3"/>
        <v>1</v>
      </c>
      <c r="Q17" s="2">
        <f t="shared" si="4"/>
        <v>1</v>
      </c>
      <c r="R17" s="2">
        <f t="shared" si="5"/>
        <v>1.04</v>
      </c>
      <c r="S17" s="2">
        <f t="shared" si="6"/>
        <v>1.04</v>
      </c>
      <c r="T17" s="2">
        <f t="shared" si="7"/>
        <v>1.08</v>
      </c>
      <c r="U17" s="2">
        <f t="shared" si="8"/>
        <v>1.08</v>
      </c>
      <c r="V17" s="3">
        <v>5</v>
      </c>
      <c r="W17" s="3">
        <v>5</v>
      </c>
      <c r="X17" s="3">
        <v>100</v>
      </c>
      <c r="Y17" s="3">
        <v>0</v>
      </c>
      <c r="Z17" s="3">
        <v>0</v>
      </c>
      <c r="AA17" s="3">
        <f t="shared" si="9"/>
        <v>9</v>
      </c>
      <c r="AB17" s="3">
        <v>0</v>
      </c>
      <c r="AC17" s="3">
        <f t="shared" si="10"/>
        <v>0.3</v>
      </c>
      <c r="AD17" s="3">
        <f t="shared" si="11"/>
        <v>1</v>
      </c>
      <c r="AE17" s="3">
        <f t="shared" si="12"/>
        <v>1</v>
      </c>
      <c r="AF17" s="3">
        <f t="shared" si="13"/>
        <v>1.04</v>
      </c>
      <c r="AG17" s="3">
        <f t="shared" si="14"/>
        <v>1.04</v>
      </c>
      <c r="AH17" s="3">
        <f t="shared" si="15"/>
        <v>1.08</v>
      </c>
      <c r="AI17" s="3">
        <f t="shared" si="16"/>
        <v>1.08</v>
      </c>
    </row>
    <row r="18" spans="1:35" x14ac:dyDescent="0.2">
      <c r="A18" s="1">
        <v>16</v>
      </c>
      <c r="B18" s="1" t="s">
        <v>99</v>
      </c>
      <c r="C18" s="1"/>
      <c r="D18" s="20">
        <v>2.4737329746028802</v>
      </c>
      <c r="E18" s="20">
        <v>58.184409229014761</v>
      </c>
      <c r="F18" s="20"/>
      <c r="G18" s="1"/>
      <c r="H18" s="2">
        <v>5</v>
      </c>
      <c r="I18" s="2">
        <v>5</v>
      </c>
      <c r="J18" s="2">
        <f>SUMIFS(ProductionCapacities!$F$2:$F$51,ProductionCapacities!$E$2:$E$51,Nodes!B18)/8*1000000*0.01/1000</f>
        <v>0</v>
      </c>
      <c r="K18" s="9">
        <v>500</v>
      </c>
      <c r="L18" s="9">
        <v>500</v>
      </c>
      <c r="M18" s="2">
        <v>9</v>
      </c>
      <c r="N18" s="2">
        <f t="shared" si="1"/>
        <v>0</v>
      </c>
      <c r="O18" s="2">
        <f t="shared" si="2"/>
        <v>0.3</v>
      </c>
      <c r="P18" s="2">
        <f t="shared" si="3"/>
        <v>1</v>
      </c>
      <c r="Q18" s="2">
        <f t="shared" si="4"/>
        <v>1</v>
      </c>
      <c r="R18" s="2">
        <f t="shared" si="5"/>
        <v>1.04</v>
      </c>
      <c r="S18" s="2">
        <f t="shared" si="6"/>
        <v>1.04</v>
      </c>
      <c r="T18" s="2">
        <f t="shared" si="7"/>
        <v>1.08</v>
      </c>
      <c r="U18" s="2">
        <f t="shared" si="8"/>
        <v>1.08</v>
      </c>
      <c r="V18" s="3">
        <v>5</v>
      </c>
      <c r="W18" s="3">
        <v>5</v>
      </c>
      <c r="X18" s="3">
        <v>100</v>
      </c>
      <c r="Y18" s="3">
        <v>0</v>
      </c>
      <c r="Z18" s="3">
        <v>0</v>
      </c>
      <c r="AA18" s="3">
        <f t="shared" si="9"/>
        <v>9</v>
      </c>
      <c r="AB18" s="3">
        <v>0</v>
      </c>
      <c r="AC18" s="3">
        <f t="shared" si="10"/>
        <v>0.3</v>
      </c>
      <c r="AD18" s="3">
        <f t="shared" si="11"/>
        <v>1</v>
      </c>
      <c r="AE18" s="3">
        <f t="shared" si="12"/>
        <v>1</v>
      </c>
      <c r="AF18" s="3">
        <f t="shared" si="13"/>
        <v>1.04</v>
      </c>
      <c r="AG18" s="3">
        <f t="shared" si="14"/>
        <v>1.04</v>
      </c>
      <c r="AH18" s="3">
        <f t="shared" si="15"/>
        <v>1.08</v>
      </c>
      <c r="AI18" s="3">
        <f t="shared" si="16"/>
        <v>1.08</v>
      </c>
    </row>
    <row r="19" spans="1:35" x14ac:dyDescent="0.2">
      <c r="A19" s="1">
        <v>17</v>
      </c>
      <c r="B19" s="1" t="s">
        <v>114</v>
      </c>
      <c r="C19" s="1" t="s">
        <v>324</v>
      </c>
      <c r="D19" s="20">
        <v>2.252709000000038</v>
      </c>
      <c r="E19" s="20">
        <v>51.046406000000047</v>
      </c>
      <c r="F19" s="20" t="s">
        <v>353</v>
      </c>
      <c r="G19" s="1"/>
      <c r="H19" s="2">
        <v>5</v>
      </c>
      <c r="I19" s="2">
        <v>5</v>
      </c>
      <c r="J19" s="2">
        <f>SUMIFS(ProductionCapacities!$F$2:$F$51,ProductionCapacities!$E$2:$E$51,Nodes!B19)/8*1000000*0.01/1000</f>
        <v>0</v>
      </c>
      <c r="K19" s="9">
        <v>500</v>
      </c>
      <c r="L19" s="9">
        <v>500</v>
      </c>
      <c r="M19" s="2">
        <v>9</v>
      </c>
      <c r="N19" s="2">
        <f t="shared" si="1"/>
        <v>1000</v>
      </c>
      <c r="O19" s="2">
        <f t="shared" si="2"/>
        <v>0.29899999999999999</v>
      </c>
      <c r="P19" s="2">
        <f t="shared" si="3"/>
        <v>1</v>
      </c>
      <c r="Q19" s="2">
        <f t="shared" si="4"/>
        <v>1</v>
      </c>
      <c r="R19" s="2">
        <f t="shared" si="5"/>
        <v>1.04</v>
      </c>
      <c r="S19" s="2">
        <f t="shared" si="6"/>
        <v>1.04</v>
      </c>
      <c r="T19" s="2">
        <f t="shared" si="7"/>
        <v>1.08</v>
      </c>
      <c r="U19" s="2">
        <f t="shared" si="8"/>
        <v>1.08</v>
      </c>
      <c r="V19" s="3">
        <v>5</v>
      </c>
      <c r="W19" s="3">
        <v>5</v>
      </c>
      <c r="X19" s="3">
        <v>100</v>
      </c>
      <c r="Y19" s="3">
        <v>0</v>
      </c>
      <c r="Z19" s="3">
        <v>0</v>
      </c>
      <c r="AA19" s="3">
        <f t="shared" si="9"/>
        <v>9</v>
      </c>
      <c r="AB19" s="3">
        <v>0</v>
      </c>
      <c r="AC19" s="3">
        <f t="shared" si="10"/>
        <v>0.29899999999999999</v>
      </c>
      <c r="AD19" s="3">
        <f t="shared" si="11"/>
        <v>1</v>
      </c>
      <c r="AE19" s="3">
        <f t="shared" si="12"/>
        <v>1</v>
      </c>
      <c r="AF19" s="3">
        <f t="shared" si="13"/>
        <v>1.04</v>
      </c>
      <c r="AG19" s="3">
        <f t="shared" si="14"/>
        <v>1.04</v>
      </c>
      <c r="AH19" s="3">
        <f t="shared" si="15"/>
        <v>1.08</v>
      </c>
      <c r="AI19" s="3">
        <f t="shared" si="16"/>
        <v>1.08</v>
      </c>
    </row>
    <row r="20" spans="1:35" x14ac:dyDescent="0.2">
      <c r="A20" s="1">
        <v>18</v>
      </c>
      <c r="B20" s="1" t="s">
        <v>111</v>
      </c>
      <c r="C20" s="1" t="s">
        <v>324</v>
      </c>
      <c r="D20" s="20">
        <v>0.1160310000000209</v>
      </c>
      <c r="E20" s="20">
        <v>53.659231000000027</v>
      </c>
      <c r="F20" s="20" t="s">
        <v>353</v>
      </c>
      <c r="G20" s="1"/>
      <c r="H20" s="2">
        <v>5</v>
      </c>
      <c r="I20" s="2">
        <v>5</v>
      </c>
      <c r="J20" s="2">
        <f>SUMIFS(ProductionCapacities!$F$2:$F$51,ProductionCapacities!$E$2:$E$51,Nodes!B20)/8*1000000*0.01/1000</f>
        <v>0</v>
      </c>
      <c r="K20" s="9">
        <v>500</v>
      </c>
      <c r="L20" s="9">
        <v>500</v>
      </c>
      <c r="M20" s="2">
        <v>9</v>
      </c>
      <c r="N20" s="2">
        <f t="shared" si="1"/>
        <v>1000</v>
      </c>
      <c r="O20" s="2">
        <f t="shared" si="2"/>
        <v>0.29899999999999999</v>
      </c>
      <c r="P20" s="2">
        <f t="shared" si="3"/>
        <v>1</v>
      </c>
      <c r="Q20" s="2">
        <f t="shared" si="4"/>
        <v>1</v>
      </c>
      <c r="R20" s="2">
        <f t="shared" si="5"/>
        <v>1.04</v>
      </c>
      <c r="S20" s="2">
        <f t="shared" si="6"/>
        <v>1.04</v>
      </c>
      <c r="T20" s="2">
        <f t="shared" si="7"/>
        <v>1.08</v>
      </c>
      <c r="U20" s="2">
        <f t="shared" si="8"/>
        <v>1.08</v>
      </c>
      <c r="V20" s="3">
        <v>5</v>
      </c>
      <c r="W20" s="3">
        <v>5</v>
      </c>
      <c r="X20" s="3">
        <v>100</v>
      </c>
      <c r="Y20" s="3">
        <v>0</v>
      </c>
      <c r="Z20" s="3">
        <v>0</v>
      </c>
      <c r="AA20" s="3">
        <f t="shared" si="9"/>
        <v>9</v>
      </c>
      <c r="AB20" s="3">
        <v>0</v>
      </c>
      <c r="AC20" s="3">
        <f t="shared" si="10"/>
        <v>0.29899999999999999</v>
      </c>
      <c r="AD20" s="3">
        <f t="shared" si="11"/>
        <v>1</v>
      </c>
      <c r="AE20" s="3">
        <f t="shared" si="12"/>
        <v>1</v>
      </c>
      <c r="AF20" s="3">
        <f t="shared" si="13"/>
        <v>1.04</v>
      </c>
      <c r="AG20" s="3">
        <f t="shared" si="14"/>
        <v>1.04</v>
      </c>
      <c r="AH20" s="3">
        <f t="shared" si="15"/>
        <v>1.08</v>
      </c>
      <c r="AI20" s="3">
        <f t="shared" si="16"/>
        <v>1.08</v>
      </c>
    </row>
    <row r="21" spans="1:35" x14ac:dyDescent="0.2">
      <c r="A21" s="1">
        <v>19</v>
      </c>
      <c r="B21" s="1" t="s">
        <v>90</v>
      </c>
      <c r="C21" s="1"/>
      <c r="D21" s="14">
        <v>1.3911370790000319</v>
      </c>
      <c r="E21" s="14">
        <v>59.47797846900005</v>
      </c>
      <c r="F21" s="14"/>
      <c r="G21" s="1" t="s">
        <v>312</v>
      </c>
      <c r="H21" s="2">
        <v>5</v>
      </c>
      <c r="I21" s="2">
        <v>5</v>
      </c>
      <c r="J21" s="2">
        <f>SUMIFS(ProductionCapacities!$F$2:$F$51,ProductionCapacities!$E$2:$E$51,Nodes!B21)/8*1000000*0.01/1000</f>
        <v>7.1669589041095882</v>
      </c>
      <c r="K21" s="9">
        <v>500</v>
      </c>
      <c r="L21" s="9">
        <v>500</v>
      </c>
      <c r="M21" s="2">
        <v>9</v>
      </c>
      <c r="N21" s="2">
        <f t="shared" si="1"/>
        <v>0</v>
      </c>
      <c r="O21" s="2">
        <f t="shared" si="2"/>
        <v>0.3</v>
      </c>
      <c r="P21" s="2">
        <f t="shared" si="3"/>
        <v>1</v>
      </c>
      <c r="Q21" s="2">
        <f t="shared" si="4"/>
        <v>1</v>
      </c>
      <c r="R21" s="2">
        <f t="shared" si="5"/>
        <v>1.04</v>
      </c>
      <c r="S21" s="2">
        <f t="shared" si="6"/>
        <v>1.04</v>
      </c>
      <c r="T21" s="2">
        <f t="shared" si="7"/>
        <v>1.08</v>
      </c>
      <c r="U21" s="2">
        <f t="shared" si="8"/>
        <v>1.08</v>
      </c>
      <c r="V21" s="3">
        <v>5</v>
      </c>
      <c r="W21" s="3">
        <v>5</v>
      </c>
      <c r="X21" s="3">
        <v>100</v>
      </c>
      <c r="Y21" s="3">
        <v>0</v>
      </c>
      <c r="Z21" s="3">
        <v>0</v>
      </c>
      <c r="AA21" s="3">
        <f t="shared" si="9"/>
        <v>9</v>
      </c>
      <c r="AB21" s="3">
        <v>0</v>
      </c>
      <c r="AC21" s="3">
        <f t="shared" si="10"/>
        <v>0.3</v>
      </c>
      <c r="AD21" s="3">
        <f t="shared" si="11"/>
        <v>1</v>
      </c>
      <c r="AE21" s="3">
        <f t="shared" si="12"/>
        <v>1</v>
      </c>
      <c r="AF21" s="3">
        <f t="shared" si="13"/>
        <v>1.04</v>
      </c>
      <c r="AG21" s="3">
        <f t="shared" si="14"/>
        <v>1.04</v>
      </c>
      <c r="AH21" s="3">
        <f t="shared" si="15"/>
        <v>1.08</v>
      </c>
      <c r="AI21" s="3">
        <f t="shared" si="16"/>
        <v>1.08</v>
      </c>
    </row>
    <row r="22" spans="1:35" x14ac:dyDescent="0.2">
      <c r="A22" s="1">
        <v>20</v>
      </c>
      <c r="B22" s="1" t="s">
        <v>102</v>
      </c>
      <c r="C22" s="1"/>
      <c r="D22" s="36">
        <v>3.23</v>
      </c>
      <c r="E22" s="36">
        <v>56.55</v>
      </c>
      <c r="F22" s="36"/>
      <c r="G22" s="1"/>
      <c r="H22" s="2">
        <v>5</v>
      </c>
      <c r="I22" s="2">
        <v>5</v>
      </c>
      <c r="J22" s="2">
        <f>SUMIFS(ProductionCapacities!$F$2:$F$51,ProductionCapacities!$E$2:$E$51,Nodes!B22)/8*1000000*0.01/1000</f>
        <v>4.0659794520547949</v>
      </c>
      <c r="K22" s="9">
        <v>500</v>
      </c>
      <c r="L22" s="9">
        <v>500</v>
      </c>
      <c r="M22" s="2">
        <v>9</v>
      </c>
      <c r="N22" s="2">
        <f t="shared" si="1"/>
        <v>0</v>
      </c>
      <c r="O22" s="2">
        <f t="shared" si="2"/>
        <v>0.3</v>
      </c>
      <c r="P22" s="2">
        <f t="shared" si="3"/>
        <v>1</v>
      </c>
      <c r="Q22" s="2">
        <f t="shared" si="4"/>
        <v>1</v>
      </c>
      <c r="R22" s="2">
        <f t="shared" si="5"/>
        <v>1.04</v>
      </c>
      <c r="S22" s="2">
        <f t="shared" si="6"/>
        <v>1.04</v>
      </c>
      <c r="T22" s="2">
        <f t="shared" si="7"/>
        <v>1.08</v>
      </c>
      <c r="U22" s="2">
        <f t="shared" si="8"/>
        <v>1.08</v>
      </c>
      <c r="V22" s="3">
        <v>5</v>
      </c>
      <c r="W22" s="3">
        <v>5</v>
      </c>
      <c r="X22" s="3">
        <v>100</v>
      </c>
      <c r="Y22" s="3">
        <v>0</v>
      </c>
      <c r="Z22" s="3">
        <v>0</v>
      </c>
      <c r="AA22" s="3">
        <f t="shared" si="9"/>
        <v>9</v>
      </c>
      <c r="AB22" s="3">
        <v>0</v>
      </c>
      <c r="AC22" s="3">
        <f t="shared" si="10"/>
        <v>0.3</v>
      </c>
      <c r="AD22" s="3">
        <f t="shared" si="11"/>
        <v>1</v>
      </c>
      <c r="AE22" s="3">
        <f t="shared" si="12"/>
        <v>1</v>
      </c>
      <c r="AF22" s="3">
        <f t="shared" si="13"/>
        <v>1.04</v>
      </c>
      <c r="AG22" s="3">
        <f t="shared" si="14"/>
        <v>1.04</v>
      </c>
      <c r="AH22" s="3">
        <f t="shared" si="15"/>
        <v>1.08</v>
      </c>
      <c r="AI22" s="3">
        <f t="shared" si="16"/>
        <v>1.08</v>
      </c>
    </row>
    <row r="23" spans="1:35" x14ac:dyDescent="0.2">
      <c r="A23" s="1">
        <v>21</v>
      </c>
      <c r="B23" s="1" t="s">
        <v>323</v>
      </c>
      <c r="C23" s="1"/>
      <c r="D23" s="20">
        <v>7.3264200000000406</v>
      </c>
      <c r="E23" s="20">
        <v>53.679700000000082</v>
      </c>
      <c r="F23" s="20" t="s">
        <v>353</v>
      </c>
      <c r="G23" s="1"/>
      <c r="H23" s="2">
        <v>5</v>
      </c>
      <c r="I23" s="2">
        <v>5</v>
      </c>
      <c r="J23" s="2">
        <f>SUMIFS(ProductionCapacities!$F$2:$F$51,ProductionCapacities!$E$2:$E$51,Nodes!B23)/8*1000000*0.01/1000</f>
        <v>0</v>
      </c>
      <c r="K23" s="9">
        <v>500</v>
      </c>
      <c r="L23" s="9">
        <v>500</v>
      </c>
      <c r="M23" s="2">
        <v>9</v>
      </c>
      <c r="N23" s="2">
        <f t="shared" si="1"/>
        <v>1000</v>
      </c>
      <c r="O23" s="2">
        <f t="shared" si="2"/>
        <v>0.29899999999999999</v>
      </c>
      <c r="P23" s="2">
        <f t="shared" si="3"/>
        <v>1</v>
      </c>
      <c r="Q23" s="2">
        <f t="shared" si="4"/>
        <v>1</v>
      </c>
      <c r="R23" s="2">
        <f t="shared" si="5"/>
        <v>1.04</v>
      </c>
      <c r="S23" s="2">
        <f t="shared" si="6"/>
        <v>1.04</v>
      </c>
      <c r="T23" s="2">
        <f t="shared" si="7"/>
        <v>1.08</v>
      </c>
      <c r="U23" s="2">
        <f t="shared" si="8"/>
        <v>1.08</v>
      </c>
      <c r="V23" s="3">
        <v>5</v>
      </c>
      <c r="W23" s="3">
        <v>5</v>
      </c>
      <c r="X23" s="3">
        <v>100</v>
      </c>
      <c r="Y23" s="3">
        <v>0</v>
      </c>
      <c r="Z23" s="3">
        <v>0</v>
      </c>
      <c r="AA23" s="3">
        <f t="shared" si="9"/>
        <v>9</v>
      </c>
      <c r="AB23" s="3">
        <v>0</v>
      </c>
      <c r="AC23" s="3">
        <f t="shared" si="10"/>
        <v>0.29899999999999999</v>
      </c>
      <c r="AD23" s="3">
        <f t="shared" si="11"/>
        <v>1</v>
      </c>
      <c r="AE23" s="3">
        <f t="shared" si="12"/>
        <v>1</v>
      </c>
      <c r="AF23" s="3">
        <f t="shared" si="13"/>
        <v>1.04</v>
      </c>
      <c r="AG23" s="3">
        <f t="shared" si="14"/>
        <v>1.04</v>
      </c>
      <c r="AH23" s="3">
        <f t="shared" si="15"/>
        <v>1.08</v>
      </c>
      <c r="AI23" s="3">
        <f t="shared" si="16"/>
        <v>1.08</v>
      </c>
    </row>
    <row r="24" spans="1:35" x14ac:dyDescent="0.2">
      <c r="A24" s="1">
        <v>22</v>
      </c>
      <c r="B24" s="1" t="s">
        <v>112</v>
      </c>
      <c r="C24" s="1"/>
      <c r="D24" s="14">
        <v>7.1892900000000282</v>
      </c>
      <c r="E24" s="14">
        <v>53.346200000000067</v>
      </c>
      <c r="F24" s="14" t="s">
        <v>353</v>
      </c>
      <c r="G24" s="1"/>
      <c r="H24" s="2">
        <v>5</v>
      </c>
      <c r="I24" s="2">
        <v>5</v>
      </c>
      <c r="J24" s="2">
        <f>SUMIFS(ProductionCapacities!$F$2:$F$51,ProductionCapacities!$E$2:$E$51,Nodes!B24)/8*1000000*0.01/1000</f>
        <v>0</v>
      </c>
      <c r="K24" s="9">
        <v>500</v>
      </c>
      <c r="L24" s="9">
        <v>500</v>
      </c>
      <c r="M24" s="2">
        <v>9</v>
      </c>
      <c r="N24" s="2">
        <f t="shared" si="1"/>
        <v>1000</v>
      </c>
      <c r="O24" s="2">
        <f t="shared" si="2"/>
        <v>0.29899999999999999</v>
      </c>
      <c r="P24" s="2">
        <f t="shared" si="3"/>
        <v>1</v>
      </c>
      <c r="Q24" s="2">
        <f t="shared" si="4"/>
        <v>1</v>
      </c>
      <c r="R24" s="2">
        <f t="shared" si="5"/>
        <v>1.04</v>
      </c>
      <c r="S24" s="2">
        <f t="shared" si="6"/>
        <v>1.04</v>
      </c>
      <c r="T24" s="2">
        <f t="shared" si="7"/>
        <v>1.08</v>
      </c>
      <c r="U24" s="2">
        <f t="shared" si="8"/>
        <v>1.08</v>
      </c>
      <c r="V24" s="3">
        <v>5</v>
      </c>
      <c r="W24" s="3">
        <v>5</v>
      </c>
      <c r="X24" s="3">
        <v>100</v>
      </c>
      <c r="Y24" s="3">
        <v>0</v>
      </c>
      <c r="Z24" s="3">
        <v>0</v>
      </c>
      <c r="AA24" s="3">
        <f t="shared" si="9"/>
        <v>9</v>
      </c>
      <c r="AB24" s="3">
        <v>0</v>
      </c>
      <c r="AC24" s="3">
        <f t="shared" si="10"/>
        <v>0.29899999999999999</v>
      </c>
      <c r="AD24" s="3">
        <f t="shared" si="11"/>
        <v>1</v>
      </c>
      <c r="AE24" s="3">
        <f t="shared" si="12"/>
        <v>1</v>
      </c>
      <c r="AF24" s="3">
        <f t="shared" si="13"/>
        <v>1.04</v>
      </c>
      <c r="AG24" s="3">
        <f t="shared" si="14"/>
        <v>1.04</v>
      </c>
      <c r="AH24" s="3">
        <f t="shared" si="15"/>
        <v>1.08</v>
      </c>
      <c r="AI24" s="3">
        <f t="shared" si="16"/>
        <v>1.08</v>
      </c>
    </row>
    <row r="25" spans="1:35" x14ac:dyDescent="0.2">
      <c r="A25" s="1">
        <v>23</v>
      </c>
      <c r="B25" s="1" t="s">
        <v>110</v>
      </c>
      <c r="C25" s="1"/>
      <c r="D25" s="21">
        <v>4.2226220000000581</v>
      </c>
      <c r="E25" s="21">
        <v>55.706969000000072</v>
      </c>
      <c r="F25" s="21"/>
      <c r="G25" s="1"/>
      <c r="H25" s="2">
        <v>5</v>
      </c>
      <c r="I25" s="2">
        <v>5</v>
      </c>
      <c r="J25" s="2">
        <f>SUMIFS(ProductionCapacities!$F$2:$F$51,ProductionCapacities!$E$2:$E$51,Nodes!B25)/8*1000000*0.01/1000</f>
        <v>0</v>
      </c>
      <c r="K25" s="9">
        <v>500</v>
      </c>
      <c r="L25" s="9">
        <v>500</v>
      </c>
      <c r="M25" s="2">
        <v>9</v>
      </c>
      <c r="N25" s="2">
        <f t="shared" si="1"/>
        <v>0</v>
      </c>
      <c r="O25" s="2">
        <f t="shared" si="2"/>
        <v>0.3</v>
      </c>
      <c r="P25" s="2">
        <f t="shared" si="3"/>
        <v>1</v>
      </c>
      <c r="Q25" s="2">
        <f t="shared" si="4"/>
        <v>1</v>
      </c>
      <c r="R25" s="2">
        <f t="shared" si="5"/>
        <v>1.04</v>
      </c>
      <c r="S25" s="2">
        <f t="shared" si="6"/>
        <v>1.04</v>
      </c>
      <c r="T25" s="2">
        <f t="shared" si="7"/>
        <v>1.08</v>
      </c>
      <c r="U25" s="2">
        <f t="shared" si="8"/>
        <v>1.08</v>
      </c>
      <c r="V25" s="3">
        <v>5</v>
      </c>
      <c r="W25" s="3">
        <v>5</v>
      </c>
      <c r="X25" s="3">
        <v>100</v>
      </c>
      <c r="Y25" s="3">
        <v>0</v>
      </c>
      <c r="Z25" s="3">
        <v>0</v>
      </c>
      <c r="AA25" s="3">
        <f t="shared" si="9"/>
        <v>9</v>
      </c>
      <c r="AB25" s="3">
        <v>0</v>
      </c>
      <c r="AC25" s="3">
        <f t="shared" si="10"/>
        <v>0.3</v>
      </c>
      <c r="AD25" s="3">
        <f t="shared" si="11"/>
        <v>1</v>
      </c>
      <c r="AE25" s="3">
        <f t="shared" si="12"/>
        <v>1</v>
      </c>
      <c r="AF25" s="3">
        <f t="shared" si="13"/>
        <v>1.04</v>
      </c>
      <c r="AG25" s="3">
        <f t="shared" si="14"/>
        <v>1.04</v>
      </c>
      <c r="AH25" s="3">
        <f t="shared" si="15"/>
        <v>1.08</v>
      </c>
      <c r="AI25" s="3">
        <f t="shared" si="16"/>
        <v>1.08</v>
      </c>
    </row>
    <row r="26" spans="1:35" x14ac:dyDescent="0.2">
      <c r="A26" s="1">
        <v>24</v>
      </c>
      <c r="B26" s="1" t="s">
        <v>80</v>
      </c>
      <c r="C26" s="1"/>
      <c r="D26" s="14">
        <v>1.700189114000068</v>
      </c>
      <c r="E26" s="14">
        <v>61.022018433000028</v>
      </c>
      <c r="F26" s="14"/>
      <c r="G26" s="1"/>
      <c r="H26" s="2">
        <v>5</v>
      </c>
      <c r="I26" s="2">
        <v>5</v>
      </c>
      <c r="J26" s="2">
        <f>SUMIFS(ProductionCapacities!$F$2:$F$51,ProductionCapacities!$E$2:$E$51,Nodes!B26)/8*1000000*0.01/1000</f>
        <v>0</v>
      </c>
      <c r="K26" s="9">
        <v>500</v>
      </c>
      <c r="L26" s="9">
        <v>500</v>
      </c>
      <c r="M26" s="2">
        <v>9</v>
      </c>
      <c r="N26" s="2">
        <f t="shared" si="1"/>
        <v>0</v>
      </c>
      <c r="O26" s="2">
        <f t="shared" si="2"/>
        <v>0.3</v>
      </c>
      <c r="P26" s="2">
        <f t="shared" si="3"/>
        <v>1</v>
      </c>
      <c r="Q26" s="2">
        <f t="shared" si="4"/>
        <v>1</v>
      </c>
      <c r="R26" s="2">
        <f t="shared" si="5"/>
        <v>1.04</v>
      </c>
      <c r="S26" s="2">
        <f t="shared" si="6"/>
        <v>1.04</v>
      </c>
      <c r="T26" s="2">
        <f t="shared" si="7"/>
        <v>1.08</v>
      </c>
      <c r="U26" s="2">
        <f t="shared" si="8"/>
        <v>1.08</v>
      </c>
      <c r="V26" s="3">
        <v>5</v>
      </c>
      <c r="W26" s="3">
        <v>5</v>
      </c>
      <c r="X26" s="3">
        <v>100</v>
      </c>
      <c r="Y26" s="3">
        <v>0</v>
      </c>
      <c r="Z26" s="3">
        <v>0</v>
      </c>
      <c r="AA26" s="3">
        <f t="shared" si="9"/>
        <v>9</v>
      </c>
      <c r="AB26" s="3">
        <v>0</v>
      </c>
      <c r="AC26" s="3">
        <f t="shared" si="10"/>
        <v>0.3</v>
      </c>
      <c r="AD26" s="3">
        <f t="shared" si="11"/>
        <v>1</v>
      </c>
      <c r="AE26" s="3">
        <f t="shared" si="12"/>
        <v>1</v>
      </c>
      <c r="AF26" s="3">
        <f t="shared" si="13"/>
        <v>1.04</v>
      </c>
      <c r="AG26" s="3">
        <f t="shared" si="14"/>
        <v>1.04</v>
      </c>
      <c r="AH26" s="3">
        <f t="shared" si="15"/>
        <v>1.08</v>
      </c>
      <c r="AI26" s="3">
        <f t="shared" si="16"/>
        <v>1.08</v>
      </c>
    </row>
    <row r="27" spans="1:35" x14ac:dyDescent="0.2">
      <c r="A27" s="1">
        <v>25</v>
      </c>
      <c r="B27" s="1" t="s">
        <v>85</v>
      </c>
      <c r="C27" s="1"/>
      <c r="D27" s="14">
        <v>2.011387666028313</v>
      </c>
      <c r="E27" s="14">
        <v>60.502035307044537</v>
      </c>
      <c r="F27" s="14"/>
      <c r="G27" s="1" t="s">
        <v>312</v>
      </c>
      <c r="H27" s="2">
        <v>5</v>
      </c>
      <c r="I27" s="2">
        <v>5</v>
      </c>
      <c r="J27" s="2">
        <f>SUMIFS(ProductionCapacities!$F$2:$F$51,ProductionCapacities!$E$2:$E$51,Nodes!B27)/8*1000000*0.01/1000</f>
        <v>0</v>
      </c>
      <c r="K27" s="9">
        <v>500</v>
      </c>
      <c r="L27" s="9">
        <v>500</v>
      </c>
      <c r="M27" s="2">
        <v>9</v>
      </c>
      <c r="N27" s="2">
        <f t="shared" si="1"/>
        <v>0</v>
      </c>
      <c r="O27" s="2">
        <f t="shared" si="2"/>
        <v>0.3</v>
      </c>
      <c r="P27" s="2">
        <f t="shared" si="3"/>
        <v>1</v>
      </c>
      <c r="Q27" s="2">
        <f t="shared" si="4"/>
        <v>1</v>
      </c>
      <c r="R27" s="2">
        <f t="shared" si="5"/>
        <v>1.04</v>
      </c>
      <c r="S27" s="2">
        <f t="shared" si="6"/>
        <v>1.04</v>
      </c>
      <c r="T27" s="2">
        <f t="shared" si="7"/>
        <v>1.08</v>
      </c>
      <c r="U27" s="2">
        <f t="shared" si="8"/>
        <v>1.08</v>
      </c>
      <c r="V27" s="3">
        <v>5</v>
      </c>
      <c r="W27" s="3">
        <v>5</v>
      </c>
      <c r="X27" s="3">
        <v>100</v>
      </c>
      <c r="Y27" s="3">
        <v>0</v>
      </c>
      <c r="Z27" s="3">
        <v>0</v>
      </c>
      <c r="AA27" s="3">
        <f t="shared" si="9"/>
        <v>9</v>
      </c>
      <c r="AB27" s="3">
        <v>0</v>
      </c>
      <c r="AC27" s="3">
        <f t="shared" si="10"/>
        <v>0.3</v>
      </c>
      <c r="AD27" s="3">
        <f t="shared" si="11"/>
        <v>1</v>
      </c>
      <c r="AE27" s="3">
        <f t="shared" si="12"/>
        <v>1</v>
      </c>
      <c r="AF27" s="3">
        <f t="shared" si="13"/>
        <v>1.04</v>
      </c>
      <c r="AG27" s="3">
        <f t="shared" si="14"/>
        <v>1.04</v>
      </c>
      <c r="AH27" s="3">
        <f t="shared" si="15"/>
        <v>1.08</v>
      </c>
      <c r="AI27" s="3">
        <f t="shared" si="16"/>
        <v>1.08</v>
      </c>
    </row>
    <row r="28" spans="1:35" x14ac:dyDescent="0.2">
      <c r="A28" s="1">
        <v>26</v>
      </c>
      <c r="B28" s="1" t="s">
        <v>180</v>
      </c>
      <c r="C28" s="1"/>
      <c r="D28" s="14">
        <v>1.6999852660000561</v>
      </c>
      <c r="E28" s="14">
        <v>61.020797730000027</v>
      </c>
      <c r="F28" s="14"/>
      <c r="G28" s="1" t="s">
        <v>312</v>
      </c>
      <c r="H28" s="2">
        <v>5</v>
      </c>
      <c r="I28" s="2">
        <v>5</v>
      </c>
      <c r="J28" s="2">
        <f>SUMIFS(ProductionCapacities!$F$2:$F$51,ProductionCapacities!$E$2:$E$51,Nodes!B28)/8*1000000*0.01/1000</f>
        <v>13.934691780821916</v>
      </c>
      <c r="K28" s="9">
        <v>500</v>
      </c>
      <c r="L28" s="9">
        <v>500</v>
      </c>
      <c r="M28" s="2">
        <v>9</v>
      </c>
      <c r="N28" s="2">
        <f t="shared" si="1"/>
        <v>0</v>
      </c>
      <c r="O28" s="2">
        <f t="shared" si="2"/>
        <v>0.3</v>
      </c>
      <c r="P28" s="2">
        <f t="shared" si="3"/>
        <v>1</v>
      </c>
      <c r="Q28" s="2">
        <f t="shared" si="4"/>
        <v>1</v>
      </c>
      <c r="R28" s="2">
        <f t="shared" si="5"/>
        <v>1.04</v>
      </c>
      <c r="S28" s="2">
        <f t="shared" si="6"/>
        <v>1.04</v>
      </c>
      <c r="T28" s="2">
        <f t="shared" si="7"/>
        <v>1.08</v>
      </c>
      <c r="U28" s="2">
        <f t="shared" si="8"/>
        <v>1.08</v>
      </c>
      <c r="V28" s="3">
        <v>5</v>
      </c>
      <c r="W28" s="3">
        <v>5</v>
      </c>
      <c r="X28" s="3">
        <v>100</v>
      </c>
      <c r="Y28" s="3">
        <v>0</v>
      </c>
      <c r="Z28" s="3">
        <v>0</v>
      </c>
      <c r="AA28" s="3">
        <f t="shared" si="9"/>
        <v>9</v>
      </c>
      <c r="AB28" s="3">
        <v>0</v>
      </c>
      <c r="AC28" s="3">
        <f t="shared" si="10"/>
        <v>0.3</v>
      </c>
      <c r="AD28" s="3">
        <f t="shared" si="11"/>
        <v>1</v>
      </c>
      <c r="AE28" s="3">
        <f t="shared" si="12"/>
        <v>1</v>
      </c>
      <c r="AF28" s="3">
        <f t="shared" si="13"/>
        <v>1.04</v>
      </c>
      <c r="AG28" s="3">
        <f t="shared" si="14"/>
        <v>1.04</v>
      </c>
      <c r="AH28" s="3">
        <f t="shared" si="15"/>
        <v>1.08</v>
      </c>
      <c r="AI28" s="3">
        <f t="shared" si="16"/>
        <v>1.08</v>
      </c>
    </row>
    <row r="29" spans="1:35" x14ac:dyDescent="0.2">
      <c r="A29" s="1">
        <v>27</v>
      </c>
      <c r="B29" s="1" t="s">
        <v>181</v>
      </c>
      <c r="C29" s="1"/>
      <c r="D29" s="14">
        <v>3.9049897926673558</v>
      </c>
      <c r="E29" s="14">
        <v>61.330193776287437</v>
      </c>
      <c r="F29" s="14"/>
      <c r="G29" s="1" t="s">
        <v>312</v>
      </c>
      <c r="H29" s="2">
        <v>5</v>
      </c>
      <c r="I29" s="2">
        <v>5</v>
      </c>
      <c r="J29" s="2">
        <f>SUMIFS(ProductionCapacities!$F$2:$F$51,ProductionCapacities!$E$2:$E$51,Nodes!B29)/8*1000000*0.01/1000</f>
        <v>0</v>
      </c>
      <c r="K29" s="9">
        <v>500</v>
      </c>
      <c r="L29" s="9">
        <v>500</v>
      </c>
      <c r="M29" s="2">
        <v>9</v>
      </c>
      <c r="N29" s="2">
        <f t="shared" si="1"/>
        <v>0</v>
      </c>
      <c r="O29" s="2">
        <f t="shared" si="2"/>
        <v>0.3</v>
      </c>
      <c r="P29" s="2">
        <f t="shared" si="3"/>
        <v>1</v>
      </c>
      <c r="Q29" s="2">
        <f t="shared" si="4"/>
        <v>1</v>
      </c>
      <c r="R29" s="2">
        <f t="shared" si="5"/>
        <v>1.04</v>
      </c>
      <c r="S29" s="2">
        <f t="shared" si="6"/>
        <v>1.04</v>
      </c>
      <c r="T29" s="2">
        <f t="shared" si="7"/>
        <v>1.08</v>
      </c>
      <c r="U29" s="2">
        <f t="shared" si="8"/>
        <v>1.08</v>
      </c>
      <c r="V29" s="3">
        <v>5</v>
      </c>
      <c r="W29" s="3">
        <v>5</v>
      </c>
      <c r="X29" s="3">
        <v>100</v>
      </c>
      <c r="Y29" s="3">
        <v>0</v>
      </c>
      <c r="Z29" s="3">
        <v>0</v>
      </c>
      <c r="AA29" s="3">
        <f t="shared" si="9"/>
        <v>9</v>
      </c>
      <c r="AB29" s="3">
        <v>0</v>
      </c>
      <c r="AC29" s="3">
        <f t="shared" si="10"/>
        <v>0.3</v>
      </c>
      <c r="AD29" s="3">
        <f t="shared" si="11"/>
        <v>1</v>
      </c>
      <c r="AE29" s="3">
        <f t="shared" si="12"/>
        <v>1</v>
      </c>
      <c r="AF29" s="3">
        <f t="shared" si="13"/>
        <v>1.04</v>
      </c>
      <c r="AG29" s="3">
        <f t="shared" si="14"/>
        <v>1.04</v>
      </c>
      <c r="AH29" s="3">
        <f t="shared" si="15"/>
        <v>1.08</v>
      </c>
      <c r="AI29" s="3">
        <f t="shared" si="16"/>
        <v>1.08</v>
      </c>
    </row>
    <row r="30" spans="1:35" x14ac:dyDescent="0.2">
      <c r="A30" s="1">
        <v>28</v>
      </c>
      <c r="B30" s="1" t="s">
        <v>92</v>
      </c>
      <c r="C30" s="1"/>
      <c r="D30" s="14">
        <v>2.487335300560932</v>
      </c>
      <c r="E30" s="14">
        <v>59.169726343631233</v>
      </c>
      <c r="F30" s="14"/>
      <c r="G30" s="1"/>
      <c r="H30" s="2">
        <v>5</v>
      </c>
      <c r="I30" s="2">
        <v>5</v>
      </c>
      <c r="J30" s="2">
        <f>SUMIFS(ProductionCapacities!$F$2:$F$51,ProductionCapacities!$E$2:$E$51,Nodes!B30)/8*1000000*0.01/1000</f>
        <v>0</v>
      </c>
      <c r="K30" s="9">
        <v>500</v>
      </c>
      <c r="L30" s="9">
        <v>500</v>
      </c>
      <c r="M30" s="2">
        <v>9</v>
      </c>
      <c r="N30" s="2">
        <f t="shared" si="1"/>
        <v>0</v>
      </c>
      <c r="O30" s="2">
        <f t="shared" si="2"/>
        <v>0.3</v>
      </c>
      <c r="P30" s="2">
        <f t="shared" si="3"/>
        <v>1</v>
      </c>
      <c r="Q30" s="2">
        <f t="shared" si="4"/>
        <v>1</v>
      </c>
      <c r="R30" s="2">
        <f t="shared" si="5"/>
        <v>1.04</v>
      </c>
      <c r="S30" s="2">
        <f t="shared" si="6"/>
        <v>1.04</v>
      </c>
      <c r="T30" s="2">
        <f t="shared" si="7"/>
        <v>1.08</v>
      </c>
      <c r="U30" s="2">
        <f t="shared" si="8"/>
        <v>1.08</v>
      </c>
      <c r="V30" s="3">
        <v>5</v>
      </c>
      <c r="W30" s="3">
        <v>5</v>
      </c>
      <c r="X30" s="3">
        <v>100</v>
      </c>
      <c r="Y30" s="3">
        <v>0</v>
      </c>
      <c r="Z30" s="3">
        <v>0</v>
      </c>
      <c r="AA30" s="3">
        <f t="shared" si="9"/>
        <v>9</v>
      </c>
      <c r="AB30" s="3">
        <v>0</v>
      </c>
      <c r="AC30" s="3">
        <f t="shared" si="10"/>
        <v>0.3</v>
      </c>
      <c r="AD30" s="3">
        <f t="shared" si="11"/>
        <v>1</v>
      </c>
      <c r="AE30" s="3">
        <f t="shared" si="12"/>
        <v>1</v>
      </c>
      <c r="AF30" s="3">
        <f t="shared" si="13"/>
        <v>1.04</v>
      </c>
      <c r="AG30" s="3">
        <f t="shared" si="14"/>
        <v>1.04</v>
      </c>
      <c r="AH30" s="3">
        <f t="shared" si="15"/>
        <v>1.08</v>
      </c>
      <c r="AI30" s="3">
        <f t="shared" si="16"/>
        <v>1.08</v>
      </c>
    </row>
    <row r="31" spans="1:35" x14ac:dyDescent="0.2">
      <c r="A31" s="1">
        <v>29</v>
      </c>
      <c r="B31" s="1" t="s">
        <v>93</v>
      </c>
      <c r="C31" s="1"/>
      <c r="D31" s="14">
        <v>1.750470074427396</v>
      </c>
      <c r="E31" s="14">
        <v>58.84241056287069</v>
      </c>
      <c r="F31" s="14"/>
      <c r="G31" s="1"/>
      <c r="H31" s="2">
        <v>5</v>
      </c>
      <c r="I31" s="2">
        <v>5</v>
      </c>
      <c r="J31" s="2">
        <f>SUMIFS(ProductionCapacities!$F$2:$F$51,ProductionCapacities!$E$2:$E$51,Nodes!B31)/8*1000000*0.01/1000</f>
        <v>0</v>
      </c>
      <c r="K31" s="9">
        <v>500</v>
      </c>
      <c r="L31" s="9">
        <v>500</v>
      </c>
      <c r="M31" s="2">
        <v>9</v>
      </c>
      <c r="N31" s="2">
        <f t="shared" si="1"/>
        <v>0</v>
      </c>
      <c r="O31" s="2">
        <f t="shared" si="2"/>
        <v>0.3</v>
      </c>
      <c r="P31" s="2">
        <f t="shared" si="3"/>
        <v>1</v>
      </c>
      <c r="Q31" s="2">
        <f t="shared" si="4"/>
        <v>1</v>
      </c>
      <c r="R31" s="2">
        <f t="shared" si="5"/>
        <v>1.04</v>
      </c>
      <c r="S31" s="2">
        <f t="shared" si="6"/>
        <v>1.04</v>
      </c>
      <c r="T31" s="2">
        <f t="shared" si="7"/>
        <v>1.08</v>
      </c>
      <c r="U31" s="2">
        <f t="shared" si="8"/>
        <v>1.08</v>
      </c>
      <c r="V31" s="3">
        <v>5</v>
      </c>
      <c r="W31" s="3">
        <v>5</v>
      </c>
      <c r="X31" s="3">
        <v>100</v>
      </c>
      <c r="Y31" s="3">
        <v>0</v>
      </c>
      <c r="Z31" s="3">
        <v>0</v>
      </c>
      <c r="AA31" s="3">
        <f t="shared" si="9"/>
        <v>9</v>
      </c>
      <c r="AB31" s="3">
        <v>0</v>
      </c>
      <c r="AC31" s="3">
        <f t="shared" si="10"/>
        <v>0.3</v>
      </c>
      <c r="AD31" s="3">
        <f t="shared" si="11"/>
        <v>1</v>
      </c>
      <c r="AE31" s="3">
        <f t="shared" si="12"/>
        <v>1</v>
      </c>
      <c r="AF31" s="3">
        <f t="shared" si="13"/>
        <v>1.04</v>
      </c>
      <c r="AG31" s="3">
        <f t="shared" si="14"/>
        <v>1.04</v>
      </c>
      <c r="AH31" s="3">
        <f t="shared" si="15"/>
        <v>1.08</v>
      </c>
      <c r="AI31" s="3">
        <f t="shared" si="16"/>
        <v>1.08</v>
      </c>
    </row>
    <row r="32" spans="1:35" x14ac:dyDescent="0.2">
      <c r="A32" s="1">
        <v>30</v>
      </c>
      <c r="B32" s="1" t="s">
        <v>108</v>
      </c>
      <c r="C32" s="1"/>
      <c r="D32" s="20">
        <v>6.0406335538870612</v>
      </c>
      <c r="E32" s="20">
        <v>54.505801334185612</v>
      </c>
      <c r="F32" s="20"/>
      <c r="G32" s="1"/>
      <c r="H32" s="2">
        <v>5</v>
      </c>
      <c r="I32" s="2">
        <v>5</v>
      </c>
      <c r="J32" s="2">
        <f>SUMIFS(ProductionCapacities!$F$2:$F$51,ProductionCapacities!$E$2:$E$51,Nodes!B32)/8*1000000*0.01/1000</f>
        <v>0</v>
      </c>
      <c r="K32" s="9">
        <v>500</v>
      </c>
      <c r="L32" s="9">
        <v>500</v>
      </c>
      <c r="M32" s="2">
        <v>9</v>
      </c>
      <c r="N32" s="2">
        <f t="shared" si="1"/>
        <v>0</v>
      </c>
      <c r="O32" s="2">
        <f t="shared" si="2"/>
        <v>0.3</v>
      </c>
      <c r="P32" s="2">
        <f t="shared" si="3"/>
        <v>1</v>
      </c>
      <c r="Q32" s="2">
        <f t="shared" si="4"/>
        <v>1</v>
      </c>
      <c r="R32" s="2">
        <f t="shared" si="5"/>
        <v>1.04</v>
      </c>
      <c r="S32" s="2">
        <f t="shared" si="6"/>
        <v>1.04</v>
      </c>
      <c r="T32" s="2">
        <f t="shared" si="7"/>
        <v>1.08</v>
      </c>
      <c r="U32" s="2">
        <f t="shared" si="8"/>
        <v>1.08</v>
      </c>
      <c r="V32" s="3">
        <v>5</v>
      </c>
      <c r="W32" s="3">
        <v>5</v>
      </c>
      <c r="X32" s="3">
        <v>100</v>
      </c>
      <c r="Y32" s="3">
        <v>0</v>
      </c>
      <c r="Z32" s="3">
        <v>0</v>
      </c>
      <c r="AA32" s="3">
        <f t="shared" si="9"/>
        <v>9</v>
      </c>
      <c r="AB32" s="3">
        <v>0</v>
      </c>
      <c r="AC32" s="3">
        <f t="shared" si="10"/>
        <v>0.3</v>
      </c>
      <c r="AD32" s="3">
        <f t="shared" si="11"/>
        <v>1</v>
      </c>
      <c r="AE32" s="3">
        <f t="shared" si="12"/>
        <v>1</v>
      </c>
      <c r="AF32" s="3">
        <f t="shared" si="13"/>
        <v>1.04</v>
      </c>
      <c r="AG32" s="3">
        <f t="shared" si="14"/>
        <v>1.04</v>
      </c>
      <c r="AH32" s="3">
        <f t="shared" si="15"/>
        <v>1.08</v>
      </c>
      <c r="AI32" s="3">
        <f t="shared" si="16"/>
        <v>1.08</v>
      </c>
    </row>
    <row r="33" spans="1:35" x14ac:dyDescent="0.2">
      <c r="A33" s="1">
        <v>31</v>
      </c>
      <c r="B33" s="1" t="s">
        <v>69</v>
      </c>
      <c r="C33" s="1"/>
      <c r="D33" s="14">
        <v>7.3202454238671333</v>
      </c>
      <c r="E33" s="14">
        <v>65.321499578632455</v>
      </c>
      <c r="F33" s="14"/>
      <c r="G33" s="1" t="s">
        <v>312</v>
      </c>
      <c r="H33" s="2">
        <v>5</v>
      </c>
      <c r="I33" s="2">
        <v>5</v>
      </c>
      <c r="J33" s="2">
        <f>SUMIFS(ProductionCapacities!$F$2:$F$51,ProductionCapacities!$E$2:$E$51,Nodes!B33)/8*1000000*0.01/1000</f>
        <v>6.5435924657534255</v>
      </c>
      <c r="K33" s="9">
        <v>500</v>
      </c>
      <c r="L33" s="9">
        <v>500</v>
      </c>
      <c r="M33" s="2">
        <v>9</v>
      </c>
      <c r="N33" s="2">
        <f t="shared" si="1"/>
        <v>0</v>
      </c>
      <c r="O33" s="2">
        <f t="shared" si="2"/>
        <v>0.3</v>
      </c>
      <c r="P33" s="2">
        <f t="shared" si="3"/>
        <v>1</v>
      </c>
      <c r="Q33" s="2">
        <f t="shared" si="4"/>
        <v>1</v>
      </c>
      <c r="R33" s="2">
        <f t="shared" si="5"/>
        <v>1.04</v>
      </c>
      <c r="S33" s="2">
        <f t="shared" si="6"/>
        <v>1.04</v>
      </c>
      <c r="T33" s="2">
        <f t="shared" si="7"/>
        <v>1.08</v>
      </c>
      <c r="U33" s="2">
        <f t="shared" si="8"/>
        <v>1.08</v>
      </c>
      <c r="V33" s="3">
        <v>5</v>
      </c>
      <c r="W33" s="3">
        <v>5</v>
      </c>
      <c r="X33" s="3">
        <v>100</v>
      </c>
      <c r="Y33" s="3">
        <v>0</v>
      </c>
      <c r="Z33" s="3">
        <v>0</v>
      </c>
      <c r="AA33" s="3">
        <f t="shared" si="9"/>
        <v>9</v>
      </c>
      <c r="AB33" s="3">
        <v>0</v>
      </c>
      <c r="AC33" s="3">
        <f t="shared" si="10"/>
        <v>0.3</v>
      </c>
      <c r="AD33" s="3">
        <f t="shared" si="11"/>
        <v>1</v>
      </c>
      <c r="AE33" s="3">
        <f t="shared" si="12"/>
        <v>1</v>
      </c>
      <c r="AF33" s="3">
        <f t="shared" si="13"/>
        <v>1.04</v>
      </c>
      <c r="AG33" s="3">
        <f t="shared" si="14"/>
        <v>1.04</v>
      </c>
      <c r="AH33" s="3">
        <f t="shared" si="15"/>
        <v>1.08</v>
      </c>
      <c r="AI33" s="3">
        <f t="shared" si="16"/>
        <v>1.08</v>
      </c>
    </row>
    <row r="34" spans="1:35" x14ac:dyDescent="0.2">
      <c r="A34" s="1">
        <v>32</v>
      </c>
      <c r="B34" s="1" t="s">
        <v>89</v>
      </c>
      <c r="C34" s="1"/>
      <c r="D34" s="14">
        <v>2.2345225779689399</v>
      </c>
      <c r="E34" s="14">
        <v>59.570737872744949</v>
      </c>
      <c r="F34" s="14"/>
      <c r="G34" s="1"/>
      <c r="H34" s="2">
        <v>5</v>
      </c>
      <c r="I34" s="2">
        <v>5</v>
      </c>
      <c r="J34" s="2">
        <f>SUMIFS(ProductionCapacities!$F$2:$F$51,ProductionCapacities!$E$2:$E$51,Nodes!B34)/8*1000000*0.01/1000</f>
        <v>0</v>
      </c>
      <c r="K34" s="9">
        <v>500</v>
      </c>
      <c r="L34" s="9">
        <v>500</v>
      </c>
      <c r="M34" s="2">
        <v>9</v>
      </c>
      <c r="N34" s="2">
        <f t="shared" si="1"/>
        <v>0</v>
      </c>
      <c r="O34" s="2">
        <f t="shared" si="2"/>
        <v>0.3</v>
      </c>
      <c r="P34" s="2">
        <f t="shared" si="3"/>
        <v>1</v>
      </c>
      <c r="Q34" s="2">
        <f t="shared" si="4"/>
        <v>1</v>
      </c>
      <c r="R34" s="2">
        <f t="shared" si="5"/>
        <v>1.04</v>
      </c>
      <c r="S34" s="2">
        <f t="shared" si="6"/>
        <v>1.04</v>
      </c>
      <c r="T34" s="2">
        <f t="shared" si="7"/>
        <v>1.08</v>
      </c>
      <c r="U34" s="2">
        <f t="shared" si="8"/>
        <v>1.08</v>
      </c>
      <c r="V34" s="3">
        <v>5</v>
      </c>
      <c r="W34" s="3">
        <v>5</v>
      </c>
      <c r="X34" s="3">
        <v>100</v>
      </c>
      <c r="Y34" s="3">
        <v>0</v>
      </c>
      <c r="Z34" s="3">
        <v>0</v>
      </c>
      <c r="AA34" s="3">
        <f t="shared" si="9"/>
        <v>9</v>
      </c>
      <c r="AB34" s="3">
        <v>0</v>
      </c>
      <c r="AC34" s="3">
        <f t="shared" si="10"/>
        <v>0.3</v>
      </c>
      <c r="AD34" s="3">
        <f t="shared" si="11"/>
        <v>1</v>
      </c>
      <c r="AE34" s="3">
        <f t="shared" si="12"/>
        <v>1</v>
      </c>
      <c r="AF34" s="3">
        <f t="shared" si="13"/>
        <v>1.04</v>
      </c>
      <c r="AG34" s="3">
        <f t="shared" si="14"/>
        <v>1.04</v>
      </c>
      <c r="AH34" s="3">
        <f t="shared" si="15"/>
        <v>1.08</v>
      </c>
      <c r="AI34" s="3">
        <f t="shared" si="16"/>
        <v>1.08</v>
      </c>
    </row>
    <row r="35" spans="1:35" x14ac:dyDescent="0.2">
      <c r="A35" s="1">
        <v>33</v>
      </c>
      <c r="B35" s="1" t="s">
        <v>88</v>
      </c>
      <c r="C35" s="1"/>
      <c r="D35" s="14">
        <v>2.2352254874930928</v>
      </c>
      <c r="E35" s="14">
        <v>59.571075351213203</v>
      </c>
      <c r="F35" s="14"/>
      <c r="G35" s="1"/>
      <c r="H35" s="2">
        <v>5</v>
      </c>
      <c r="I35" s="2">
        <v>5</v>
      </c>
      <c r="J35" s="2">
        <f>SUMIFS(ProductionCapacities!$F$2:$F$51,ProductionCapacities!$E$2:$E$51,Nodes!B35)/8*1000000*0.01/1000</f>
        <v>0</v>
      </c>
      <c r="K35" s="9">
        <v>500</v>
      </c>
      <c r="L35" s="9">
        <v>500</v>
      </c>
      <c r="M35" s="2">
        <v>9</v>
      </c>
      <c r="N35" s="2">
        <f t="shared" si="1"/>
        <v>0</v>
      </c>
      <c r="O35" s="2">
        <f t="shared" si="2"/>
        <v>0.3</v>
      </c>
      <c r="P35" s="2">
        <f t="shared" si="3"/>
        <v>1</v>
      </c>
      <c r="Q35" s="2">
        <f t="shared" si="4"/>
        <v>1</v>
      </c>
      <c r="R35" s="2">
        <f t="shared" si="5"/>
        <v>1.04</v>
      </c>
      <c r="S35" s="2">
        <f t="shared" si="6"/>
        <v>1.04</v>
      </c>
      <c r="T35" s="2">
        <f t="shared" si="7"/>
        <v>1.08</v>
      </c>
      <c r="U35" s="2">
        <f t="shared" si="8"/>
        <v>1.08</v>
      </c>
      <c r="V35" s="3">
        <v>5</v>
      </c>
      <c r="W35" s="3">
        <v>5</v>
      </c>
      <c r="X35" s="3">
        <v>100</v>
      </c>
      <c r="Y35" s="3">
        <v>0</v>
      </c>
      <c r="Z35" s="3">
        <v>0</v>
      </c>
      <c r="AA35" s="3">
        <f t="shared" si="9"/>
        <v>9</v>
      </c>
      <c r="AB35" s="3">
        <v>0</v>
      </c>
      <c r="AC35" s="3">
        <f t="shared" si="10"/>
        <v>0.3</v>
      </c>
      <c r="AD35" s="3">
        <f t="shared" si="11"/>
        <v>1</v>
      </c>
      <c r="AE35" s="3">
        <f t="shared" si="12"/>
        <v>1</v>
      </c>
      <c r="AF35" s="3">
        <f t="shared" si="13"/>
        <v>1.04</v>
      </c>
      <c r="AG35" s="3">
        <f t="shared" si="14"/>
        <v>1.04</v>
      </c>
      <c r="AH35" s="3">
        <f t="shared" si="15"/>
        <v>1.08</v>
      </c>
      <c r="AI35" s="3">
        <f t="shared" si="16"/>
        <v>1.08</v>
      </c>
    </row>
    <row r="36" spans="1:35" x14ac:dyDescent="0.2">
      <c r="A36" s="1">
        <v>34</v>
      </c>
      <c r="B36" s="1" t="s">
        <v>91</v>
      </c>
      <c r="C36" s="1"/>
      <c r="D36" s="14">
        <v>5.0541760000000409</v>
      </c>
      <c r="E36" s="14">
        <v>59.326808000000028</v>
      </c>
      <c r="F36" s="14"/>
      <c r="G36" s="1" t="s">
        <v>312</v>
      </c>
      <c r="H36" s="2">
        <v>5</v>
      </c>
      <c r="I36" s="2">
        <v>5</v>
      </c>
      <c r="J36" s="2">
        <f>SUMIFS(ProductionCapacities!$F$2:$F$51,ProductionCapacities!$E$2:$E$51,Nodes!B36)/8*1000000*0.01/1000</f>
        <v>3.5652431506849318</v>
      </c>
      <c r="K36" s="9">
        <v>500</v>
      </c>
      <c r="L36" s="9">
        <v>500</v>
      </c>
      <c r="M36" s="2">
        <v>9</v>
      </c>
      <c r="N36" s="2">
        <f t="shared" si="1"/>
        <v>0</v>
      </c>
      <c r="O36" s="2">
        <f t="shared" si="2"/>
        <v>0.3</v>
      </c>
      <c r="P36" s="2">
        <f t="shared" si="3"/>
        <v>1</v>
      </c>
      <c r="Q36" s="2">
        <f t="shared" si="4"/>
        <v>1</v>
      </c>
      <c r="R36" s="2">
        <f t="shared" si="5"/>
        <v>1.04</v>
      </c>
      <c r="S36" s="2">
        <f t="shared" si="6"/>
        <v>1.04</v>
      </c>
      <c r="T36" s="2">
        <f t="shared" si="7"/>
        <v>1.08</v>
      </c>
      <c r="U36" s="2">
        <f t="shared" si="8"/>
        <v>1.08</v>
      </c>
      <c r="V36" s="3">
        <v>5</v>
      </c>
      <c r="W36" s="3">
        <v>5</v>
      </c>
      <c r="X36" s="3">
        <v>100</v>
      </c>
      <c r="Y36" s="3">
        <v>0</v>
      </c>
      <c r="Z36" s="3">
        <v>0</v>
      </c>
      <c r="AA36" s="3">
        <f t="shared" si="9"/>
        <v>9</v>
      </c>
      <c r="AB36" s="3">
        <v>0</v>
      </c>
      <c r="AC36" s="3">
        <f t="shared" si="10"/>
        <v>0.3</v>
      </c>
      <c r="AD36" s="3">
        <f t="shared" si="11"/>
        <v>1</v>
      </c>
      <c r="AE36" s="3">
        <f t="shared" si="12"/>
        <v>1</v>
      </c>
      <c r="AF36" s="3">
        <f t="shared" si="13"/>
        <v>1.04</v>
      </c>
      <c r="AG36" s="3">
        <f t="shared" si="14"/>
        <v>1.04</v>
      </c>
      <c r="AH36" s="3">
        <f t="shared" si="15"/>
        <v>1.08</v>
      </c>
      <c r="AI36" s="3">
        <f t="shared" si="16"/>
        <v>1.08</v>
      </c>
    </row>
    <row r="37" spans="1:35" x14ac:dyDescent="0.2">
      <c r="A37" s="1">
        <v>35</v>
      </c>
      <c r="B37" s="1" t="s">
        <v>94</v>
      </c>
      <c r="C37" s="1"/>
      <c r="D37" s="14">
        <v>2.5577715130093028</v>
      </c>
      <c r="E37" s="14">
        <v>58.841931072335058</v>
      </c>
      <c r="F37" s="14"/>
      <c r="G37" s="1" t="s">
        <v>312</v>
      </c>
      <c r="H37" s="2">
        <v>5</v>
      </c>
      <c r="I37" s="2">
        <v>5</v>
      </c>
      <c r="J37" s="2">
        <f>SUMIFS(ProductionCapacities!$F$2:$F$51,ProductionCapacities!$E$2:$E$51,Nodes!B37)/8*1000000*0.01/1000</f>
        <v>0</v>
      </c>
      <c r="K37" s="9">
        <v>500</v>
      </c>
      <c r="L37" s="9">
        <v>500</v>
      </c>
      <c r="M37" s="2">
        <v>9</v>
      </c>
      <c r="N37" s="2">
        <f t="shared" si="1"/>
        <v>0</v>
      </c>
      <c r="O37" s="2">
        <f t="shared" si="2"/>
        <v>0.3</v>
      </c>
      <c r="P37" s="2">
        <f t="shared" si="3"/>
        <v>1</v>
      </c>
      <c r="Q37" s="2">
        <f t="shared" si="4"/>
        <v>1</v>
      </c>
      <c r="R37" s="2">
        <f t="shared" si="5"/>
        <v>1.04</v>
      </c>
      <c r="S37" s="2">
        <f t="shared" si="6"/>
        <v>1.04</v>
      </c>
      <c r="T37" s="2">
        <f t="shared" si="7"/>
        <v>1.08</v>
      </c>
      <c r="U37" s="2">
        <f t="shared" si="8"/>
        <v>1.08</v>
      </c>
      <c r="V37" s="3">
        <v>5</v>
      </c>
      <c r="W37" s="3">
        <v>5</v>
      </c>
      <c r="X37" s="3">
        <v>100</v>
      </c>
      <c r="Y37" s="3">
        <v>0</v>
      </c>
      <c r="Z37" s="3">
        <v>0</v>
      </c>
      <c r="AA37" s="3">
        <f t="shared" si="9"/>
        <v>9</v>
      </c>
      <c r="AB37" s="3">
        <v>0</v>
      </c>
      <c r="AC37" s="3">
        <f t="shared" si="10"/>
        <v>0.3</v>
      </c>
      <c r="AD37" s="3">
        <f t="shared" si="11"/>
        <v>1</v>
      </c>
      <c r="AE37" s="3">
        <f t="shared" si="12"/>
        <v>1</v>
      </c>
      <c r="AF37" s="3">
        <f t="shared" si="13"/>
        <v>1.04</v>
      </c>
      <c r="AG37" s="3">
        <f t="shared" si="14"/>
        <v>1.04</v>
      </c>
      <c r="AH37" s="3">
        <f t="shared" si="15"/>
        <v>1.08</v>
      </c>
      <c r="AI37" s="3">
        <f t="shared" si="16"/>
        <v>1.08</v>
      </c>
    </row>
    <row r="38" spans="1:35" x14ac:dyDescent="0.2">
      <c r="A38" s="1">
        <v>36</v>
      </c>
      <c r="B38" s="1" t="s">
        <v>199</v>
      </c>
      <c r="C38" s="1"/>
      <c r="D38" s="14">
        <v>5.5129213334435638</v>
      </c>
      <c r="E38" s="14">
        <v>59.272115627836378</v>
      </c>
      <c r="F38" s="14"/>
      <c r="G38" s="1"/>
      <c r="H38" s="2">
        <v>5</v>
      </c>
      <c r="I38" s="2">
        <v>5</v>
      </c>
      <c r="J38" s="2">
        <f>SUMIFS(ProductionCapacities!$F$2:$F$51,ProductionCapacities!$E$2:$E$51,Nodes!B38)/8*1000000*0.01/1000</f>
        <v>0</v>
      </c>
      <c r="K38" s="9">
        <v>500</v>
      </c>
      <c r="L38" s="9">
        <v>500</v>
      </c>
      <c r="M38" s="2">
        <v>9</v>
      </c>
      <c r="N38" s="2">
        <f t="shared" si="1"/>
        <v>0</v>
      </c>
      <c r="O38" s="2">
        <f t="shared" si="2"/>
        <v>0.3</v>
      </c>
      <c r="P38" s="2">
        <f t="shared" si="3"/>
        <v>1</v>
      </c>
      <c r="Q38" s="2">
        <f t="shared" si="4"/>
        <v>1</v>
      </c>
      <c r="R38" s="2">
        <f t="shared" si="5"/>
        <v>1.04</v>
      </c>
      <c r="S38" s="2">
        <f t="shared" si="6"/>
        <v>1.04</v>
      </c>
      <c r="T38" s="2">
        <f t="shared" si="7"/>
        <v>1.08</v>
      </c>
      <c r="U38" s="2">
        <f t="shared" si="8"/>
        <v>1.08</v>
      </c>
      <c r="V38" s="3">
        <v>5</v>
      </c>
      <c r="W38" s="3">
        <v>5</v>
      </c>
      <c r="X38" s="3">
        <v>100</v>
      </c>
      <c r="Y38" s="3">
        <v>0</v>
      </c>
      <c r="Z38" s="3">
        <v>0</v>
      </c>
      <c r="AA38" s="3">
        <f t="shared" si="9"/>
        <v>9</v>
      </c>
      <c r="AB38" s="3">
        <v>0</v>
      </c>
      <c r="AC38" s="3">
        <f t="shared" si="10"/>
        <v>0.3</v>
      </c>
      <c r="AD38" s="3">
        <f t="shared" si="11"/>
        <v>1</v>
      </c>
      <c r="AE38" s="3">
        <f t="shared" si="12"/>
        <v>1</v>
      </c>
      <c r="AF38" s="3">
        <f t="shared" si="13"/>
        <v>1.04</v>
      </c>
      <c r="AG38" s="3">
        <f t="shared" si="14"/>
        <v>1.04</v>
      </c>
      <c r="AH38" s="3">
        <f t="shared" si="15"/>
        <v>1.08</v>
      </c>
      <c r="AI38" s="3">
        <f t="shared" si="16"/>
        <v>1.08</v>
      </c>
    </row>
    <row r="39" spans="1:35" x14ac:dyDescent="0.2">
      <c r="A39" s="1">
        <v>37</v>
      </c>
      <c r="B39" s="1" t="s">
        <v>83</v>
      </c>
      <c r="C39" s="1"/>
      <c r="D39" s="14">
        <v>4.8385970033810022</v>
      </c>
      <c r="E39" s="14">
        <v>60.545348486364603</v>
      </c>
      <c r="F39" s="14"/>
      <c r="G39" s="1"/>
      <c r="H39" s="2">
        <v>5</v>
      </c>
      <c r="I39" s="2">
        <v>5</v>
      </c>
      <c r="J39" s="2">
        <f>SUMIFS(ProductionCapacities!$F$2:$F$51,ProductionCapacities!$E$2:$E$51,Nodes!B39)/8*1000000*0.01/1000</f>
        <v>0</v>
      </c>
      <c r="K39" s="9">
        <v>500</v>
      </c>
      <c r="L39" s="9">
        <v>500</v>
      </c>
      <c r="M39" s="2">
        <v>9</v>
      </c>
      <c r="N39" s="2">
        <f t="shared" si="1"/>
        <v>0</v>
      </c>
      <c r="O39" s="2">
        <f t="shared" si="2"/>
        <v>0.3</v>
      </c>
      <c r="P39" s="2">
        <f t="shared" si="3"/>
        <v>1</v>
      </c>
      <c r="Q39" s="2">
        <f t="shared" si="4"/>
        <v>1</v>
      </c>
      <c r="R39" s="2">
        <f t="shared" si="5"/>
        <v>1.04</v>
      </c>
      <c r="S39" s="2">
        <f t="shared" si="6"/>
        <v>1.04</v>
      </c>
      <c r="T39" s="2">
        <f t="shared" si="7"/>
        <v>1.08</v>
      </c>
      <c r="U39" s="2">
        <f t="shared" si="8"/>
        <v>1.08</v>
      </c>
      <c r="V39" s="3">
        <v>5</v>
      </c>
      <c r="W39" s="3">
        <v>5</v>
      </c>
      <c r="X39" s="3">
        <v>100</v>
      </c>
      <c r="Y39" s="3">
        <v>0</v>
      </c>
      <c r="Z39" s="3">
        <v>0</v>
      </c>
      <c r="AA39" s="3">
        <f t="shared" si="9"/>
        <v>9</v>
      </c>
      <c r="AB39" s="3">
        <v>0</v>
      </c>
      <c r="AC39" s="3">
        <f t="shared" si="10"/>
        <v>0.3</v>
      </c>
      <c r="AD39" s="3">
        <f t="shared" si="11"/>
        <v>1</v>
      </c>
      <c r="AE39" s="3">
        <f t="shared" si="12"/>
        <v>1</v>
      </c>
      <c r="AF39" s="3">
        <f t="shared" si="13"/>
        <v>1.04</v>
      </c>
      <c r="AG39" s="3">
        <f t="shared" si="14"/>
        <v>1.04</v>
      </c>
      <c r="AH39" s="3">
        <f t="shared" si="15"/>
        <v>1.08</v>
      </c>
      <c r="AI39" s="3">
        <f t="shared" si="16"/>
        <v>1.08</v>
      </c>
    </row>
    <row r="40" spans="1:35" x14ac:dyDescent="0.2">
      <c r="A40" s="1">
        <v>38</v>
      </c>
      <c r="B40" s="1" t="s">
        <v>178</v>
      </c>
      <c r="C40" s="1"/>
      <c r="D40" s="14">
        <v>2.5070780834093052</v>
      </c>
      <c r="E40" s="14">
        <v>61.077581935633752</v>
      </c>
      <c r="F40" s="14"/>
      <c r="G40" s="1"/>
      <c r="H40" s="2">
        <v>5</v>
      </c>
      <c r="I40" s="2">
        <v>5</v>
      </c>
      <c r="J40" s="2">
        <f>SUMIFS(ProductionCapacities!$F$2:$F$51,ProductionCapacities!$E$2:$E$51,Nodes!B40)/8*1000000*0.01/1000</f>
        <v>31.193178082191785</v>
      </c>
      <c r="K40" s="9">
        <v>500</v>
      </c>
      <c r="L40" s="9">
        <v>500</v>
      </c>
      <c r="M40" s="2">
        <v>9</v>
      </c>
      <c r="N40" s="2">
        <f t="shared" si="1"/>
        <v>0</v>
      </c>
      <c r="O40" s="2">
        <f t="shared" si="2"/>
        <v>0.3</v>
      </c>
      <c r="P40" s="2">
        <f t="shared" si="3"/>
        <v>1</v>
      </c>
      <c r="Q40" s="2">
        <f t="shared" si="4"/>
        <v>1</v>
      </c>
      <c r="R40" s="2">
        <f t="shared" si="5"/>
        <v>1.04</v>
      </c>
      <c r="S40" s="2">
        <f t="shared" si="6"/>
        <v>1.04</v>
      </c>
      <c r="T40" s="2">
        <f t="shared" si="7"/>
        <v>1.08</v>
      </c>
      <c r="U40" s="2">
        <f t="shared" si="8"/>
        <v>1.08</v>
      </c>
      <c r="V40" s="3">
        <v>5</v>
      </c>
      <c r="W40" s="3">
        <v>5</v>
      </c>
      <c r="X40" s="3">
        <v>100</v>
      </c>
      <c r="Y40" s="3">
        <v>0</v>
      </c>
      <c r="Z40" s="3">
        <v>0</v>
      </c>
      <c r="AA40" s="3">
        <f t="shared" si="9"/>
        <v>9</v>
      </c>
      <c r="AB40" s="3">
        <v>0</v>
      </c>
      <c r="AC40" s="3">
        <f t="shared" si="10"/>
        <v>0.3</v>
      </c>
      <c r="AD40" s="3">
        <f t="shared" si="11"/>
        <v>1</v>
      </c>
      <c r="AE40" s="3">
        <f t="shared" si="12"/>
        <v>1</v>
      </c>
      <c r="AF40" s="3">
        <f t="shared" si="13"/>
        <v>1.04</v>
      </c>
      <c r="AG40" s="3">
        <f t="shared" si="14"/>
        <v>1.04</v>
      </c>
      <c r="AH40" s="3">
        <f t="shared" si="15"/>
        <v>1.08</v>
      </c>
      <c r="AI40" s="3">
        <f t="shared" si="16"/>
        <v>1.08</v>
      </c>
    </row>
    <row r="41" spans="1:35" x14ac:dyDescent="0.2">
      <c r="A41" s="1">
        <v>39</v>
      </c>
      <c r="B41" s="1" t="s">
        <v>87</v>
      </c>
      <c r="C41" s="1"/>
      <c r="D41" s="14">
        <v>2.0175154810000322</v>
      </c>
      <c r="E41" s="14">
        <v>59.894961973000079</v>
      </c>
      <c r="F41" s="14"/>
      <c r="G41" s="1" t="s">
        <v>312</v>
      </c>
      <c r="H41" s="2">
        <v>5</v>
      </c>
      <c r="I41" s="2">
        <v>5</v>
      </c>
      <c r="J41" s="2">
        <f>SUMIFS(ProductionCapacities!$F$2:$F$51,ProductionCapacities!$E$2:$E$51,Nodes!B41)/8*1000000*0.01/1000</f>
        <v>9.0004280821917799</v>
      </c>
      <c r="K41" s="9">
        <v>500</v>
      </c>
      <c r="L41" s="9">
        <v>500</v>
      </c>
      <c r="M41" s="2">
        <v>9</v>
      </c>
      <c r="N41" s="2">
        <f t="shared" si="1"/>
        <v>0</v>
      </c>
      <c r="O41" s="2">
        <f t="shared" si="2"/>
        <v>0.3</v>
      </c>
      <c r="P41" s="2">
        <f t="shared" si="3"/>
        <v>1</v>
      </c>
      <c r="Q41" s="2">
        <f t="shared" si="4"/>
        <v>1</v>
      </c>
      <c r="R41" s="2">
        <f t="shared" si="5"/>
        <v>1.04</v>
      </c>
      <c r="S41" s="2">
        <f t="shared" si="6"/>
        <v>1.04</v>
      </c>
      <c r="T41" s="2">
        <f t="shared" si="7"/>
        <v>1.08</v>
      </c>
      <c r="U41" s="2">
        <f t="shared" si="8"/>
        <v>1.08</v>
      </c>
      <c r="V41" s="3">
        <v>5</v>
      </c>
      <c r="W41" s="3">
        <v>5</v>
      </c>
      <c r="X41" s="3">
        <v>100</v>
      </c>
      <c r="Y41" s="3">
        <v>0</v>
      </c>
      <c r="Z41" s="3">
        <v>0</v>
      </c>
      <c r="AA41" s="3">
        <f t="shared" si="9"/>
        <v>9</v>
      </c>
      <c r="AB41" s="3">
        <v>0</v>
      </c>
      <c r="AC41" s="3">
        <f t="shared" si="10"/>
        <v>0.3</v>
      </c>
      <c r="AD41" s="3">
        <f t="shared" si="11"/>
        <v>1</v>
      </c>
      <c r="AE41" s="3">
        <f t="shared" si="12"/>
        <v>1</v>
      </c>
      <c r="AF41" s="3">
        <f t="shared" si="13"/>
        <v>1.04</v>
      </c>
      <c r="AG41" s="3">
        <f t="shared" si="14"/>
        <v>1.04</v>
      </c>
      <c r="AH41" s="3">
        <f t="shared" si="15"/>
        <v>1.08</v>
      </c>
      <c r="AI41" s="3">
        <f t="shared" si="16"/>
        <v>1.08</v>
      </c>
    </row>
    <row r="42" spans="1:35" x14ac:dyDescent="0.2">
      <c r="A42" s="1">
        <v>40</v>
      </c>
      <c r="B42" s="1" t="s">
        <v>79</v>
      </c>
      <c r="C42" s="1"/>
      <c r="D42" s="14">
        <v>1.7050129999999999</v>
      </c>
      <c r="E42" s="14">
        <v>61.034477000000003</v>
      </c>
      <c r="F42" s="14"/>
      <c r="G42" s="1"/>
      <c r="H42" s="2">
        <v>5</v>
      </c>
      <c r="I42" s="2">
        <v>5</v>
      </c>
      <c r="J42" s="2">
        <f>SUMIFS(ProductionCapacities!$F$2:$F$51,ProductionCapacities!$E$2:$E$51,Nodes!B42)/8*1000000*0.01/1000</f>
        <v>0</v>
      </c>
      <c r="K42" s="9">
        <v>500</v>
      </c>
      <c r="L42" s="9">
        <v>500</v>
      </c>
      <c r="M42" s="2">
        <v>9</v>
      </c>
      <c r="N42" s="2">
        <f t="shared" si="1"/>
        <v>0</v>
      </c>
      <c r="O42" s="2">
        <f t="shared" si="2"/>
        <v>0.3</v>
      </c>
      <c r="P42" s="2">
        <f t="shared" si="3"/>
        <v>1</v>
      </c>
      <c r="Q42" s="2">
        <f t="shared" si="4"/>
        <v>1</v>
      </c>
      <c r="R42" s="2">
        <f t="shared" si="5"/>
        <v>1.04</v>
      </c>
      <c r="S42" s="2">
        <f t="shared" si="6"/>
        <v>1.04</v>
      </c>
      <c r="T42" s="2">
        <f t="shared" si="7"/>
        <v>1.08</v>
      </c>
      <c r="U42" s="2">
        <f t="shared" si="8"/>
        <v>1.08</v>
      </c>
      <c r="V42" s="3">
        <v>5</v>
      </c>
      <c r="W42" s="3">
        <v>5</v>
      </c>
      <c r="X42" s="3">
        <v>100</v>
      </c>
      <c r="Y42" s="3">
        <v>0</v>
      </c>
      <c r="Z42" s="3">
        <v>0</v>
      </c>
      <c r="AA42" s="3">
        <f t="shared" si="9"/>
        <v>9</v>
      </c>
      <c r="AB42" s="3">
        <v>0</v>
      </c>
      <c r="AC42" s="3">
        <f t="shared" si="10"/>
        <v>0.3</v>
      </c>
      <c r="AD42" s="3">
        <f t="shared" si="11"/>
        <v>1</v>
      </c>
      <c r="AE42" s="3">
        <f t="shared" si="12"/>
        <v>1</v>
      </c>
      <c r="AF42" s="3">
        <f t="shared" si="13"/>
        <v>1.04</v>
      </c>
      <c r="AG42" s="3">
        <f t="shared" si="14"/>
        <v>1.04</v>
      </c>
      <c r="AH42" s="3">
        <f t="shared" si="15"/>
        <v>1.08</v>
      </c>
      <c r="AI42" s="3">
        <f t="shared" si="16"/>
        <v>1.08</v>
      </c>
    </row>
    <row r="43" spans="1:35" x14ac:dyDescent="0.2">
      <c r="A43" s="1">
        <v>41</v>
      </c>
      <c r="B43" s="1" t="s">
        <v>67</v>
      </c>
      <c r="C43" s="1"/>
      <c r="D43" s="14">
        <v>8.0785441179034034</v>
      </c>
      <c r="E43" s="14">
        <v>66.029330899408933</v>
      </c>
      <c r="F43" s="14"/>
      <c r="G43" s="1" t="s">
        <v>312</v>
      </c>
      <c r="H43" s="2">
        <v>5</v>
      </c>
      <c r="I43" s="2">
        <v>5</v>
      </c>
      <c r="J43" s="2">
        <f>SUMIFS(ProductionCapacities!$F$2:$F$51,ProductionCapacities!$E$2:$E$51,Nodes!B43)/8*1000000*0.01/1000</f>
        <v>1.950188356164384</v>
      </c>
      <c r="K43" s="9">
        <v>500</v>
      </c>
      <c r="L43" s="9">
        <v>500</v>
      </c>
      <c r="M43" s="2">
        <v>9</v>
      </c>
      <c r="N43" s="2">
        <f t="shared" si="1"/>
        <v>0</v>
      </c>
      <c r="O43" s="2">
        <f t="shared" si="2"/>
        <v>0.3</v>
      </c>
      <c r="P43" s="2">
        <f t="shared" si="3"/>
        <v>1</v>
      </c>
      <c r="Q43" s="2">
        <f t="shared" si="4"/>
        <v>1</v>
      </c>
      <c r="R43" s="2">
        <f t="shared" si="5"/>
        <v>1.04</v>
      </c>
      <c r="S43" s="2">
        <f t="shared" si="6"/>
        <v>1.04</v>
      </c>
      <c r="T43" s="2">
        <f t="shared" si="7"/>
        <v>1.08</v>
      </c>
      <c r="U43" s="2">
        <f t="shared" si="8"/>
        <v>1.08</v>
      </c>
      <c r="V43" s="3">
        <v>5</v>
      </c>
      <c r="W43" s="3">
        <v>5</v>
      </c>
      <c r="X43" s="3">
        <v>100</v>
      </c>
      <c r="Y43" s="3">
        <v>0</v>
      </c>
      <c r="Z43" s="3">
        <v>0</v>
      </c>
      <c r="AA43" s="3">
        <f t="shared" si="9"/>
        <v>9</v>
      </c>
      <c r="AB43" s="3">
        <v>0</v>
      </c>
      <c r="AC43" s="3">
        <f t="shared" si="10"/>
        <v>0.3</v>
      </c>
      <c r="AD43" s="3">
        <f t="shared" si="11"/>
        <v>1</v>
      </c>
      <c r="AE43" s="3">
        <f t="shared" si="12"/>
        <v>1</v>
      </c>
      <c r="AF43" s="3">
        <f t="shared" si="13"/>
        <v>1.04</v>
      </c>
      <c r="AG43" s="3">
        <f t="shared" si="14"/>
        <v>1.04</v>
      </c>
      <c r="AH43" s="3">
        <f t="shared" si="15"/>
        <v>1.08</v>
      </c>
      <c r="AI43" s="3">
        <f t="shared" si="16"/>
        <v>1.08</v>
      </c>
    </row>
    <row r="44" spans="1:35" x14ac:dyDescent="0.2">
      <c r="A44" s="1">
        <v>42</v>
      </c>
      <c r="B44" s="1" t="s">
        <v>70</v>
      </c>
      <c r="C44" s="1"/>
      <c r="D44" s="14">
        <v>6.8014610000000744</v>
      </c>
      <c r="E44" s="14">
        <v>65.084516000000065</v>
      </c>
      <c r="F44" s="14"/>
      <c r="G44" s="1" t="s">
        <v>312</v>
      </c>
      <c r="H44" s="2">
        <v>5</v>
      </c>
      <c r="I44" s="2">
        <v>5</v>
      </c>
      <c r="J44" s="2">
        <f>SUMIFS(ProductionCapacities!$F$2:$F$51,ProductionCapacities!$E$2:$E$51,Nodes!B44)/8*1000000*0.01/1000</f>
        <v>0</v>
      </c>
      <c r="K44" s="9">
        <v>500</v>
      </c>
      <c r="L44" s="9">
        <v>500</v>
      </c>
      <c r="M44" s="2">
        <v>9</v>
      </c>
      <c r="N44" s="2">
        <f t="shared" si="1"/>
        <v>0</v>
      </c>
      <c r="O44" s="2">
        <f t="shared" si="2"/>
        <v>0.3</v>
      </c>
      <c r="P44" s="2">
        <f t="shared" si="3"/>
        <v>1</v>
      </c>
      <c r="Q44" s="2">
        <f t="shared" si="4"/>
        <v>1</v>
      </c>
      <c r="R44" s="2">
        <f t="shared" si="5"/>
        <v>1.04</v>
      </c>
      <c r="S44" s="2">
        <f t="shared" si="6"/>
        <v>1.04</v>
      </c>
      <c r="T44" s="2">
        <f t="shared" si="7"/>
        <v>1.08</v>
      </c>
      <c r="U44" s="2">
        <f t="shared" si="8"/>
        <v>1.08</v>
      </c>
      <c r="V44" s="3">
        <v>5</v>
      </c>
      <c r="W44" s="3">
        <v>5</v>
      </c>
      <c r="X44" s="3">
        <v>100</v>
      </c>
      <c r="Y44" s="3">
        <v>0</v>
      </c>
      <c r="Z44" s="3">
        <v>0</v>
      </c>
      <c r="AA44" s="3">
        <f t="shared" si="9"/>
        <v>9</v>
      </c>
      <c r="AB44" s="3">
        <v>0</v>
      </c>
      <c r="AC44" s="3">
        <f t="shared" si="10"/>
        <v>0.3</v>
      </c>
      <c r="AD44" s="3">
        <f t="shared" si="11"/>
        <v>1</v>
      </c>
      <c r="AE44" s="3">
        <f t="shared" si="12"/>
        <v>1</v>
      </c>
      <c r="AF44" s="3">
        <f t="shared" si="13"/>
        <v>1.04</v>
      </c>
      <c r="AG44" s="3">
        <f t="shared" si="14"/>
        <v>1.04</v>
      </c>
      <c r="AH44" s="3">
        <f t="shared" si="15"/>
        <v>1.08</v>
      </c>
      <c r="AI44" s="3">
        <f t="shared" si="16"/>
        <v>1.08</v>
      </c>
    </row>
    <row r="45" spans="1:35" x14ac:dyDescent="0.2">
      <c r="A45" s="1">
        <v>43</v>
      </c>
      <c r="B45" s="1" t="s">
        <v>103</v>
      </c>
      <c r="C45" s="1"/>
      <c r="D45" s="20">
        <v>3.330503000000022</v>
      </c>
      <c r="E45" s="20">
        <v>56.490369000000037</v>
      </c>
      <c r="F45" s="20"/>
      <c r="G45" s="1"/>
      <c r="H45" s="2">
        <v>5</v>
      </c>
      <c r="I45" s="2">
        <v>5</v>
      </c>
      <c r="J45" s="2">
        <f>SUMIFS(ProductionCapacities!$F$2:$F$51,ProductionCapacities!$E$2:$E$51,Nodes!B45)/8*1000000*0.01/1000</f>
        <v>0</v>
      </c>
      <c r="K45" s="9">
        <v>500</v>
      </c>
      <c r="L45" s="9">
        <v>500</v>
      </c>
      <c r="M45" s="2">
        <v>9</v>
      </c>
      <c r="N45" s="2">
        <f t="shared" si="1"/>
        <v>0</v>
      </c>
      <c r="O45" s="2">
        <f t="shared" si="2"/>
        <v>0.3</v>
      </c>
      <c r="P45" s="2">
        <f t="shared" si="3"/>
        <v>1</v>
      </c>
      <c r="Q45" s="2">
        <f t="shared" si="4"/>
        <v>1</v>
      </c>
      <c r="R45" s="2">
        <f t="shared" si="5"/>
        <v>1.04</v>
      </c>
      <c r="S45" s="2">
        <f t="shared" si="6"/>
        <v>1.04</v>
      </c>
      <c r="T45" s="2">
        <f t="shared" si="7"/>
        <v>1.08</v>
      </c>
      <c r="U45" s="2">
        <f t="shared" si="8"/>
        <v>1.08</v>
      </c>
      <c r="V45" s="3">
        <v>5</v>
      </c>
      <c r="W45" s="3">
        <v>5</v>
      </c>
      <c r="X45" s="3">
        <v>100</v>
      </c>
      <c r="Y45" s="3">
        <v>0</v>
      </c>
      <c r="Z45" s="3">
        <v>0</v>
      </c>
      <c r="AA45" s="3">
        <f t="shared" si="9"/>
        <v>9</v>
      </c>
      <c r="AB45" s="3">
        <v>0</v>
      </c>
      <c r="AC45" s="3">
        <f t="shared" si="10"/>
        <v>0.3</v>
      </c>
      <c r="AD45" s="3">
        <f t="shared" si="11"/>
        <v>1</v>
      </c>
      <c r="AE45" s="3">
        <f t="shared" si="12"/>
        <v>1</v>
      </c>
      <c r="AF45" s="3">
        <f t="shared" si="13"/>
        <v>1.04</v>
      </c>
      <c r="AG45" s="3">
        <f t="shared" si="14"/>
        <v>1.04</v>
      </c>
      <c r="AH45" s="3">
        <f t="shared" si="15"/>
        <v>1.08</v>
      </c>
      <c r="AI45" s="3">
        <f t="shared" si="16"/>
        <v>1.08</v>
      </c>
    </row>
    <row r="46" spans="1:35" x14ac:dyDescent="0.2">
      <c r="A46" s="1">
        <v>44</v>
      </c>
      <c r="B46" s="1" t="s">
        <v>76</v>
      </c>
      <c r="C46" s="1"/>
      <c r="D46" s="46">
        <v>6.9457712170000718</v>
      </c>
      <c r="E46" s="46">
        <v>62.851558685000043</v>
      </c>
      <c r="F46" s="46"/>
      <c r="G46" s="1"/>
      <c r="H46" s="2">
        <v>5</v>
      </c>
      <c r="I46" s="2">
        <v>5</v>
      </c>
      <c r="J46" s="2">
        <f>SUMIFS(ProductionCapacities!$F$2:$F$51,ProductionCapacities!$E$2:$E$51,Nodes!B46)/8*1000000*0.01/1000</f>
        <v>0</v>
      </c>
      <c r="K46" s="9">
        <v>500</v>
      </c>
      <c r="L46" s="9">
        <v>500</v>
      </c>
      <c r="M46" s="2">
        <v>9</v>
      </c>
      <c r="N46" s="2">
        <f t="shared" si="1"/>
        <v>0</v>
      </c>
      <c r="O46" s="2">
        <f t="shared" si="2"/>
        <v>0.3</v>
      </c>
      <c r="P46" s="2">
        <f t="shared" si="3"/>
        <v>1</v>
      </c>
      <c r="Q46" s="2">
        <f t="shared" si="4"/>
        <v>1</v>
      </c>
      <c r="R46" s="2">
        <f t="shared" si="5"/>
        <v>1.04</v>
      </c>
      <c r="S46" s="2">
        <f t="shared" si="6"/>
        <v>1.04</v>
      </c>
      <c r="T46" s="2">
        <f t="shared" si="7"/>
        <v>1.08</v>
      </c>
      <c r="U46" s="2">
        <f t="shared" si="8"/>
        <v>1.08</v>
      </c>
      <c r="V46" s="3">
        <v>5</v>
      </c>
      <c r="W46" s="3">
        <v>5</v>
      </c>
      <c r="X46" s="3">
        <v>100</v>
      </c>
      <c r="Y46" s="3">
        <v>0</v>
      </c>
      <c r="Z46" s="3">
        <v>0</v>
      </c>
      <c r="AA46" s="3">
        <f t="shared" si="9"/>
        <v>9</v>
      </c>
      <c r="AB46" s="3">
        <v>0</v>
      </c>
      <c r="AC46" s="3">
        <f t="shared" si="10"/>
        <v>0.3</v>
      </c>
      <c r="AD46" s="3">
        <f t="shared" si="11"/>
        <v>1</v>
      </c>
      <c r="AE46" s="3">
        <f t="shared" si="12"/>
        <v>1</v>
      </c>
      <c r="AF46" s="3">
        <f t="shared" si="13"/>
        <v>1.04</v>
      </c>
      <c r="AG46" s="3">
        <f t="shared" si="14"/>
        <v>1.04</v>
      </c>
      <c r="AH46" s="3">
        <f t="shared" si="15"/>
        <v>1.08</v>
      </c>
      <c r="AI46" s="3">
        <f t="shared" si="16"/>
        <v>1.08</v>
      </c>
    </row>
    <row r="47" spans="1:35" x14ac:dyDescent="0.2">
      <c r="A47" s="1">
        <v>45</v>
      </c>
      <c r="B47" s="1" t="s">
        <v>73</v>
      </c>
      <c r="C47" s="1"/>
      <c r="D47" s="14">
        <v>5.3867635720000644</v>
      </c>
      <c r="E47" s="14">
        <v>63.528081670000063</v>
      </c>
      <c r="F47" s="14"/>
      <c r="G47" s="1"/>
      <c r="H47" s="2">
        <v>5</v>
      </c>
      <c r="I47" s="2">
        <v>5</v>
      </c>
      <c r="J47" s="2">
        <f>SUMIFS(ProductionCapacities!$F$2:$F$51,ProductionCapacities!$E$2:$E$51,Nodes!B47)/8*1000000*0.01/1000</f>
        <v>32.738393835616442</v>
      </c>
      <c r="K47" s="9">
        <v>500</v>
      </c>
      <c r="L47" s="9">
        <v>500</v>
      </c>
      <c r="M47" s="2">
        <v>9</v>
      </c>
      <c r="N47" s="2">
        <f t="shared" si="1"/>
        <v>0</v>
      </c>
      <c r="O47" s="2">
        <f t="shared" si="2"/>
        <v>0.3</v>
      </c>
      <c r="P47" s="2">
        <f t="shared" si="3"/>
        <v>1</v>
      </c>
      <c r="Q47" s="2">
        <f t="shared" si="4"/>
        <v>1</v>
      </c>
      <c r="R47" s="2">
        <f t="shared" si="5"/>
        <v>1.04</v>
      </c>
      <c r="S47" s="2">
        <f t="shared" si="6"/>
        <v>1.04</v>
      </c>
      <c r="T47" s="2">
        <f t="shared" si="7"/>
        <v>1.08</v>
      </c>
      <c r="U47" s="2">
        <f t="shared" si="8"/>
        <v>1.08</v>
      </c>
      <c r="V47" s="3">
        <v>5</v>
      </c>
      <c r="W47" s="3">
        <v>5</v>
      </c>
      <c r="X47" s="3">
        <v>100</v>
      </c>
      <c r="Y47" s="3">
        <v>0</v>
      </c>
      <c r="Z47" s="3">
        <v>0</v>
      </c>
      <c r="AA47" s="3">
        <f t="shared" si="9"/>
        <v>9</v>
      </c>
      <c r="AB47" s="3">
        <v>0</v>
      </c>
      <c r="AC47" s="3">
        <f t="shared" si="10"/>
        <v>0.3</v>
      </c>
      <c r="AD47" s="3">
        <f t="shared" si="11"/>
        <v>1</v>
      </c>
      <c r="AE47" s="3">
        <f t="shared" si="12"/>
        <v>1</v>
      </c>
      <c r="AF47" s="3">
        <f t="shared" si="13"/>
        <v>1.04</v>
      </c>
      <c r="AG47" s="3">
        <f t="shared" si="14"/>
        <v>1.04</v>
      </c>
      <c r="AH47" s="3">
        <f t="shared" si="15"/>
        <v>1.08</v>
      </c>
      <c r="AI47" s="3">
        <f t="shared" si="16"/>
        <v>1.08</v>
      </c>
    </row>
    <row r="48" spans="1:35" x14ac:dyDescent="0.2">
      <c r="A48" s="1">
        <v>46</v>
      </c>
      <c r="B48" s="1" t="s">
        <v>86</v>
      </c>
      <c r="C48" s="1"/>
      <c r="D48" s="14">
        <v>2.8240461869792348</v>
      </c>
      <c r="E48" s="14">
        <v>60.486900453608072</v>
      </c>
      <c r="F48" s="14"/>
      <c r="G48" s="1"/>
      <c r="H48" s="2">
        <v>5</v>
      </c>
      <c r="I48" s="2">
        <v>5</v>
      </c>
      <c r="J48" s="2">
        <f>SUMIFS(ProductionCapacities!$F$2:$F$51,ProductionCapacities!$E$2:$E$51,Nodes!B48)/8*1000000*0.01/1000</f>
        <v>44.719952054794511</v>
      </c>
      <c r="K48" s="9">
        <v>500</v>
      </c>
      <c r="L48" s="9">
        <v>500</v>
      </c>
      <c r="M48" s="2">
        <v>9</v>
      </c>
      <c r="N48" s="2">
        <f t="shared" si="1"/>
        <v>0</v>
      </c>
      <c r="O48" s="2">
        <f t="shared" si="2"/>
        <v>0.3</v>
      </c>
      <c r="P48" s="2">
        <f t="shared" si="3"/>
        <v>1</v>
      </c>
      <c r="Q48" s="2">
        <f t="shared" si="4"/>
        <v>1</v>
      </c>
      <c r="R48" s="2">
        <f t="shared" si="5"/>
        <v>1.04</v>
      </c>
      <c r="S48" s="2">
        <f t="shared" si="6"/>
        <v>1.04</v>
      </c>
      <c r="T48" s="2">
        <f t="shared" si="7"/>
        <v>1.08</v>
      </c>
      <c r="U48" s="2">
        <f t="shared" si="8"/>
        <v>1.08</v>
      </c>
      <c r="V48" s="3">
        <v>5</v>
      </c>
      <c r="W48" s="3">
        <v>5</v>
      </c>
      <c r="X48" s="3">
        <v>100</v>
      </c>
      <c r="Y48" s="3">
        <v>0</v>
      </c>
      <c r="Z48" s="3">
        <v>0</v>
      </c>
      <c r="AA48" s="3">
        <f t="shared" si="9"/>
        <v>9</v>
      </c>
      <c r="AB48" s="3">
        <v>0</v>
      </c>
      <c r="AC48" s="3">
        <f t="shared" si="10"/>
        <v>0.3</v>
      </c>
      <c r="AD48" s="3">
        <f t="shared" si="11"/>
        <v>1</v>
      </c>
      <c r="AE48" s="3">
        <f t="shared" si="12"/>
        <v>1</v>
      </c>
      <c r="AF48" s="3">
        <f t="shared" si="13"/>
        <v>1.04</v>
      </c>
      <c r="AG48" s="3">
        <f t="shared" si="14"/>
        <v>1.04</v>
      </c>
      <c r="AH48" s="3">
        <f t="shared" si="15"/>
        <v>1.08</v>
      </c>
      <c r="AI48" s="3">
        <f t="shared" si="16"/>
        <v>1.08</v>
      </c>
    </row>
    <row r="49" spans="1:35" x14ac:dyDescent="0.2">
      <c r="A49" s="1">
        <v>47</v>
      </c>
      <c r="B49" s="1" t="s">
        <v>109</v>
      </c>
      <c r="C49" s="1" t="s">
        <v>324</v>
      </c>
      <c r="D49" s="20">
        <v>15.2599</v>
      </c>
      <c r="E49" s="20">
        <v>53.8</v>
      </c>
      <c r="F49" s="20" t="s">
        <v>353</v>
      </c>
      <c r="G49" s="1"/>
      <c r="H49" s="2">
        <v>5</v>
      </c>
      <c r="I49" s="2">
        <v>5</v>
      </c>
      <c r="J49" s="2">
        <f>SUMIFS(ProductionCapacities!$F$2:$F$51,ProductionCapacities!$E$2:$E$51,Nodes!B49)/8*1000000*0.01/1000</f>
        <v>0</v>
      </c>
      <c r="K49" s="9">
        <v>500</v>
      </c>
      <c r="L49" s="9">
        <v>500</v>
      </c>
      <c r="M49" s="2">
        <v>9</v>
      </c>
      <c r="N49" s="2">
        <f t="shared" si="1"/>
        <v>1000</v>
      </c>
      <c r="O49" s="2">
        <f t="shared" si="2"/>
        <v>0.29899999999999999</v>
      </c>
      <c r="P49" s="2">
        <f t="shared" si="3"/>
        <v>1</v>
      </c>
      <c r="Q49" s="2">
        <f t="shared" si="4"/>
        <v>1</v>
      </c>
      <c r="R49" s="2">
        <f t="shared" si="5"/>
        <v>1.04</v>
      </c>
      <c r="S49" s="2">
        <f t="shared" si="6"/>
        <v>1.04</v>
      </c>
      <c r="T49" s="2">
        <f t="shared" si="7"/>
        <v>1.08</v>
      </c>
      <c r="U49" s="2">
        <f t="shared" si="8"/>
        <v>1.08</v>
      </c>
      <c r="V49" s="3">
        <v>5</v>
      </c>
      <c r="W49" s="3">
        <v>5</v>
      </c>
      <c r="X49" s="3">
        <v>100</v>
      </c>
      <c r="Y49" s="3">
        <v>0</v>
      </c>
      <c r="Z49" s="3">
        <v>0</v>
      </c>
      <c r="AA49" s="3">
        <f t="shared" si="9"/>
        <v>9</v>
      </c>
      <c r="AB49" s="3">
        <v>0</v>
      </c>
      <c r="AC49" s="3">
        <f t="shared" si="10"/>
        <v>0.29899999999999999</v>
      </c>
      <c r="AD49" s="3">
        <f t="shared" si="11"/>
        <v>1</v>
      </c>
      <c r="AE49" s="3">
        <f t="shared" si="12"/>
        <v>1</v>
      </c>
      <c r="AF49" s="3">
        <f t="shared" si="13"/>
        <v>1.04</v>
      </c>
      <c r="AG49" s="3">
        <f t="shared" si="14"/>
        <v>1.04</v>
      </c>
      <c r="AH49" s="3">
        <f t="shared" si="15"/>
        <v>1.08</v>
      </c>
      <c r="AI49" s="3">
        <f t="shared" si="16"/>
        <v>1.08</v>
      </c>
    </row>
    <row r="50" spans="1:35" x14ac:dyDescent="0.2">
      <c r="A50" s="1">
        <v>48</v>
      </c>
      <c r="B50" s="1" t="s">
        <v>95</v>
      </c>
      <c r="C50" s="1"/>
      <c r="D50" s="14">
        <v>2.254149831737414</v>
      </c>
      <c r="E50" s="14">
        <v>58.839405675350093</v>
      </c>
      <c r="F50" s="14"/>
      <c r="G50" s="1" t="s">
        <v>312</v>
      </c>
      <c r="H50" s="2">
        <v>5</v>
      </c>
      <c r="I50" s="2">
        <v>5</v>
      </c>
      <c r="J50" s="2">
        <f>SUMIFS(ProductionCapacities!$F$2:$F$51,ProductionCapacities!$E$2:$E$51,Nodes!B50)/8*1000000*0.01/1000</f>
        <v>0</v>
      </c>
      <c r="K50" s="9">
        <v>500</v>
      </c>
      <c r="L50" s="9">
        <v>500</v>
      </c>
      <c r="M50" s="2">
        <v>9</v>
      </c>
      <c r="N50" s="2">
        <f t="shared" si="1"/>
        <v>0</v>
      </c>
      <c r="O50" s="2">
        <f t="shared" si="2"/>
        <v>0.3</v>
      </c>
      <c r="P50" s="2">
        <f t="shared" si="3"/>
        <v>1</v>
      </c>
      <c r="Q50" s="2">
        <f t="shared" si="4"/>
        <v>1</v>
      </c>
      <c r="R50" s="2">
        <f t="shared" si="5"/>
        <v>1.04</v>
      </c>
      <c r="S50" s="2">
        <f t="shared" si="6"/>
        <v>1.04</v>
      </c>
      <c r="T50" s="2">
        <f t="shared" si="7"/>
        <v>1.08</v>
      </c>
      <c r="U50" s="2">
        <f t="shared" si="8"/>
        <v>1.08</v>
      </c>
      <c r="V50" s="3">
        <v>5</v>
      </c>
      <c r="W50" s="3">
        <v>5</v>
      </c>
      <c r="X50" s="3">
        <v>100</v>
      </c>
      <c r="Y50" s="3">
        <v>0</v>
      </c>
      <c r="Z50" s="3">
        <v>0</v>
      </c>
      <c r="AA50" s="3">
        <f t="shared" si="9"/>
        <v>9</v>
      </c>
      <c r="AB50" s="3">
        <v>0</v>
      </c>
      <c r="AC50" s="3">
        <f t="shared" si="10"/>
        <v>0.3</v>
      </c>
      <c r="AD50" s="3">
        <f t="shared" si="11"/>
        <v>1</v>
      </c>
      <c r="AE50" s="3">
        <f t="shared" si="12"/>
        <v>1</v>
      </c>
      <c r="AF50" s="3">
        <f t="shared" si="13"/>
        <v>1.04</v>
      </c>
      <c r="AG50" s="3">
        <f t="shared" si="14"/>
        <v>1.04</v>
      </c>
      <c r="AH50" s="3">
        <f t="shared" si="15"/>
        <v>1.08</v>
      </c>
      <c r="AI50" s="3">
        <f t="shared" si="16"/>
        <v>1.08</v>
      </c>
    </row>
    <row r="51" spans="1:35" x14ac:dyDescent="0.2">
      <c r="A51" s="1">
        <v>49</v>
      </c>
      <c r="B51" s="1" t="s">
        <v>68</v>
      </c>
      <c r="C51" s="1"/>
      <c r="D51" s="14">
        <v>7.6558328198016818</v>
      </c>
      <c r="E51" s="14">
        <v>65.693743899121472</v>
      </c>
      <c r="F51" s="14"/>
      <c r="G51" s="1" t="s">
        <v>312</v>
      </c>
      <c r="H51" s="2">
        <v>5</v>
      </c>
      <c r="I51" s="2">
        <v>5</v>
      </c>
      <c r="J51" s="2">
        <f>SUMIFS(ProductionCapacities!$F$2:$F$51,ProductionCapacities!$E$2:$E$51,Nodes!B51)/8*1000000*0.01/1000</f>
        <v>21.105434931506849</v>
      </c>
      <c r="K51" s="9">
        <v>500</v>
      </c>
      <c r="L51" s="9">
        <v>500</v>
      </c>
      <c r="M51" s="2">
        <v>9</v>
      </c>
      <c r="N51" s="2">
        <f t="shared" si="1"/>
        <v>0</v>
      </c>
      <c r="O51" s="2">
        <f t="shared" si="2"/>
        <v>0.3</v>
      </c>
      <c r="P51" s="2">
        <f t="shared" si="3"/>
        <v>1</v>
      </c>
      <c r="Q51" s="2">
        <f t="shared" si="4"/>
        <v>1</v>
      </c>
      <c r="R51" s="2">
        <f t="shared" si="5"/>
        <v>1.04</v>
      </c>
      <c r="S51" s="2">
        <f t="shared" si="6"/>
        <v>1.04</v>
      </c>
      <c r="T51" s="2">
        <f t="shared" si="7"/>
        <v>1.08</v>
      </c>
      <c r="U51" s="2">
        <f t="shared" si="8"/>
        <v>1.08</v>
      </c>
      <c r="V51" s="3">
        <v>5</v>
      </c>
      <c r="W51" s="3">
        <v>5</v>
      </c>
      <c r="X51" s="3">
        <v>100</v>
      </c>
      <c r="Y51" s="3">
        <v>0</v>
      </c>
      <c r="Z51" s="3">
        <v>0</v>
      </c>
      <c r="AA51" s="3">
        <f t="shared" si="9"/>
        <v>9</v>
      </c>
      <c r="AB51" s="3">
        <v>0</v>
      </c>
      <c r="AC51" s="3">
        <f t="shared" si="10"/>
        <v>0.3</v>
      </c>
      <c r="AD51" s="3">
        <f t="shared" si="11"/>
        <v>1</v>
      </c>
      <c r="AE51" s="3">
        <f t="shared" si="12"/>
        <v>1</v>
      </c>
      <c r="AF51" s="3">
        <f t="shared" si="13"/>
        <v>1.04</v>
      </c>
      <c r="AG51" s="3">
        <f t="shared" si="14"/>
        <v>1.04</v>
      </c>
      <c r="AH51" s="3">
        <f t="shared" si="15"/>
        <v>1.08</v>
      </c>
      <c r="AI51" s="3">
        <f t="shared" si="16"/>
        <v>1.08</v>
      </c>
    </row>
    <row r="52" spans="1:35" x14ac:dyDescent="0.2">
      <c r="A52" s="1">
        <v>50</v>
      </c>
      <c r="B52" s="1" t="s">
        <v>96</v>
      </c>
      <c r="C52" s="1"/>
      <c r="D52" s="20">
        <v>1.898765933579508</v>
      </c>
      <c r="E52" s="20">
        <v>58.370533807717997</v>
      </c>
      <c r="F52" s="20"/>
      <c r="G52" s="1"/>
      <c r="H52" s="2">
        <v>5</v>
      </c>
      <c r="I52" s="2">
        <v>5</v>
      </c>
      <c r="J52" s="2">
        <f>SUMIFS(ProductionCapacities!$F$2:$F$51,ProductionCapacities!$E$2:$E$51,Nodes!B52)/8*1000000*0.01/1000</f>
        <v>18.616065068493153</v>
      </c>
      <c r="K52" s="9">
        <v>500</v>
      </c>
      <c r="L52" s="9">
        <v>500</v>
      </c>
      <c r="M52" s="2">
        <v>9</v>
      </c>
      <c r="N52" s="2">
        <f t="shared" si="1"/>
        <v>0</v>
      </c>
      <c r="O52" s="2">
        <f t="shared" si="2"/>
        <v>0.3</v>
      </c>
      <c r="P52" s="2">
        <f t="shared" si="3"/>
        <v>1</v>
      </c>
      <c r="Q52" s="2">
        <f t="shared" si="4"/>
        <v>1</v>
      </c>
      <c r="R52" s="2">
        <f t="shared" si="5"/>
        <v>1.04</v>
      </c>
      <c r="S52" s="2">
        <f t="shared" si="6"/>
        <v>1.04</v>
      </c>
      <c r="T52" s="2">
        <f t="shared" si="7"/>
        <v>1.08</v>
      </c>
      <c r="U52" s="2">
        <f t="shared" si="8"/>
        <v>1.08</v>
      </c>
      <c r="V52" s="3">
        <v>5</v>
      </c>
      <c r="W52" s="3">
        <v>5</v>
      </c>
      <c r="X52" s="3">
        <v>100</v>
      </c>
      <c r="Y52" s="3">
        <v>0</v>
      </c>
      <c r="Z52" s="3">
        <v>0</v>
      </c>
      <c r="AA52" s="3">
        <f t="shared" si="9"/>
        <v>9</v>
      </c>
      <c r="AB52" s="3">
        <v>0</v>
      </c>
      <c r="AC52" s="3">
        <f t="shared" si="10"/>
        <v>0.3</v>
      </c>
      <c r="AD52" s="3">
        <f t="shared" si="11"/>
        <v>1</v>
      </c>
      <c r="AE52" s="3">
        <f t="shared" si="12"/>
        <v>1</v>
      </c>
      <c r="AF52" s="3">
        <f t="shared" si="13"/>
        <v>1.04</v>
      </c>
      <c r="AG52" s="3">
        <f t="shared" si="14"/>
        <v>1.04</v>
      </c>
      <c r="AH52" s="3">
        <f t="shared" si="15"/>
        <v>1.08</v>
      </c>
      <c r="AI52" s="3">
        <f t="shared" si="16"/>
        <v>1.08</v>
      </c>
    </row>
    <row r="53" spans="1:35" x14ac:dyDescent="0.2">
      <c r="A53" s="1">
        <v>51</v>
      </c>
      <c r="B53" s="1" t="s">
        <v>97</v>
      </c>
      <c r="C53" s="1"/>
      <c r="D53" s="20">
        <v>1.915866396996226</v>
      </c>
      <c r="E53" s="20">
        <v>58.364944173837479</v>
      </c>
      <c r="F53" s="20"/>
      <c r="G53" s="1"/>
      <c r="H53" s="2">
        <v>5</v>
      </c>
      <c r="I53" s="2">
        <v>5</v>
      </c>
      <c r="J53" s="2">
        <f>SUMIFS(ProductionCapacities!$F$2:$F$51,ProductionCapacities!$E$2:$E$51,Nodes!B53)/8*1000000*0.01/1000</f>
        <v>0</v>
      </c>
      <c r="K53" s="9">
        <v>500</v>
      </c>
      <c r="L53" s="9">
        <v>500</v>
      </c>
      <c r="M53" s="2">
        <v>9</v>
      </c>
      <c r="N53" s="2">
        <f t="shared" si="1"/>
        <v>0</v>
      </c>
      <c r="O53" s="2">
        <f t="shared" si="2"/>
        <v>0.3</v>
      </c>
      <c r="P53" s="2">
        <f t="shared" si="3"/>
        <v>1</v>
      </c>
      <c r="Q53" s="2">
        <f t="shared" si="4"/>
        <v>1</v>
      </c>
      <c r="R53" s="2">
        <f t="shared" si="5"/>
        <v>1.04</v>
      </c>
      <c r="S53" s="2">
        <f t="shared" si="6"/>
        <v>1.04</v>
      </c>
      <c r="T53" s="2">
        <f t="shared" si="7"/>
        <v>1.08</v>
      </c>
      <c r="U53" s="2">
        <f t="shared" si="8"/>
        <v>1.08</v>
      </c>
      <c r="V53" s="3">
        <v>5</v>
      </c>
      <c r="W53" s="3">
        <v>5</v>
      </c>
      <c r="X53" s="3">
        <v>100</v>
      </c>
      <c r="Y53" s="3">
        <v>0</v>
      </c>
      <c r="Z53" s="3">
        <v>0</v>
      </c>
      <c r="AA53" s="3">
        <f t="shared" si="9"/>
        <v>9</v>
      </c>
      <c r="AB53" s="3">
        <v>0</v>
      </c>
      <c r="AC53" s="3">
        <f t="shared" si="10"/>
        <v>0.3</v>
      </c>
      <c r="AD53" s="3">
        <f t="shared" si="11"/>
        <v>1</v>
      </c>
      <c r="AE53" s="3">
        <f t="shared" si="12"/>
        <v>1</v>
      </c>
      <c r="AF53" s="3">
        <f t="shared" si="13"/>
        <v>1.04</v>
      </c>
      <c r="AG53" s="3">
        <f t="shared" si="14"/>
        <v>1.04</v>
      </c>
      <c r="AH53" s="3">
        <f t="shared" si="15"/>
        <v>1.08</v>
      </c>
      <c r="AI53" s="3">
        <f t="shared" si="16"/>
        <v>1.08</v>
      </c>
    </row>
    <row r="54" spans="1:35" x14ac:dyDescent="0.2">
      <c r="A54" s="1">
        <v>52</v>
      </c>
      <c r="B54" s="1" t="s">
        <v>101</v>
      </c>
      <c r="C54" s="1" t="s">
        <v>324</v>
      </c>
      <c r="D54" s="20">
        <v>-1.8256509999999999</v>
      </c>
      <c r="E54" s="20">
        <v>57.579971</v>
      </c>
      <c r="F54" s="20" t="s">
        <v>353</v>
      </c>
      <c r="G54" s="1"/>
      <c r="H54" s="2">
        <v>5</v>
      </c>
      <c r="I54" s="2">
        <v>5</v>
      </c>
      <c r="J54" s="2">
        <f>SUMIFS(ProductionCapacities!$F$2:$F$51,ProductionCapacities!$E$2:$E$51,Nodes!B54)/8*1000000*0.01/1000</f>
        <v>0</v>
      </c>
      <c r="K54" s="9">
        <v>500</v>
      </c>
      <c r="L54" s="9">
        <v>500</v>
      </c>
      <c r="M54" s="2">
        <v>9</v>
      </c>
      <c r="N54" s="2">
        <f t="shared" si="1"/>
        <v>1000</v>
      </c>
      <c r="O54" s="2">
        <f t="shared" si="2"/>
        <v>0.29899999999999999</v>
      </c>
      <c r="P54" s="2">
        <f t="shared" si="3"/>
        <v>1</v>
      </c>
      <c r="Q54" s="2">
        <f t="shared" si="4"/>
        <v>1</v>
      </c>
      <c r="R54" s="2">
        <f t="shared" si="5"/>
        <v>1.04</v>
      </c>
      <c r="S54" s="2">
        <f t="shared" si="6"/>
        <v>1.04</v>
      </c>
      <c r="T54" s="2">
        <f t="shared" si="7"/>
        <v>1.08</v>
      </c>
      <c r="U54" s="2">
        <f t="shared" si="8"/>
        <v>1.08</v>
      </c>
      <c r="V54" s="3">
        <v>5</v>
      </c>
      <c r="W54" s="3">
        <v>5</v>
      </c>
      <c r="X54" s="3">
        <v>100</v>
      </c>
      <c r="Y54" s="3">
        <v>0</v>
      </c>
      <c r="Z54" s="3">
        <v>0</v>
      </c>
      <c r="AA54" s="3">
        <f t="shared" si="9"/>
        <v>9</v>
      </c>
      <c r="AB54" s="3">
        <v>0</v>
      </c>
      <c r="AC54" s="3">
        <f t="shared" si="10"/>
        <v>0.29899999999999999</v>
      </c>
      <c r="AD54" s="3">
        <f t="shared" si="11"/>
        <v>1</v>
      </c>
      <c r="AE54" s="3">
        <f t="shared" si="12"/>
        <v>1</v>
      </c>
      <c r="AF54" s="3">
        <f t="shared" si="13"/>
        <v>1.04</v>
      </c>
      <c r="AG54" s="3">
        <f t="shared" si="14"/>
        <v>1.04</v>
      </c>
      <c r="AH54" s="3">
        <f t="shared" si="15"/>
        <v>1.08</v>
      </c>
      <c r="AI54" s="3">
        <f t="shared" si="16"/>
        <v>1.08</v>
      </c>
    </row>
    <row r="55" spans="1:35" x14ac:dyDescent="0.2">
      <c r="A55" s="1">
        <v>53</v>
      </c>
      <c r="B55" s="1" t="s">
        <v>78</v>
      </c>
      <c r="C55" s="1"/>
      <c r="D55" s="14">
        <v>1.845936000000052</v>
      </c>
      <c r="E55" s="14">
        <v>61.185830000000067</v>
      </c>
      <c r="F55" s="14"/>
      <c r="G55" s="1"/>
      <c r="H55" s="2">
        <v>5</v>
      </c>
      <c r="I55" s="2">
        <v>5</v>
      </c>
      <c r="J55" s="2">
        <f>SUMIFS(ProductionCapacities!$F$2:$F$51,ProductionCapacities!$E$2:$E$51,Nodes!B55)/8*1000000*0.01/1000</f>
        <v>0</v>
      </c>
      <c r="K55" s="9">
        <v>500</v>
      </c>
      <c r="L55" s="9">
        <v>500</v>
      </c>
      <c r="M55" s="2">
        <v>9</v>
      </c>
      <c r="N55" s="2">
        <f t="shared" si="1"/>
        <v>0</v>
      </c>
      <c r="O55" s="2">
        <f t="shared" si="2"/>
        <v>0.3</v>
      </c>
      <c r="P55" s="2">
        <f t="shared" si="3"/>
        <v>1</v>
      </c>
      <c r="Q55" s="2">
        <f t="shared" si="4"/>
        <v>1</v>
      </c>
      <c r="R55" s="2">
        <f t="shared" si="5"/>
        <v>1.04</v>
      </c>
      <c r="S55" s="2">
        <f t="shared" si="6"/>
        <v>1.04</v>
      </c>
      <c r="T55" s="2">
        <f t="shared" si="7"/>
        <v>1.08</v>
      </c>
      <c r="U55" s="2">
        <f t="shared" si="8"/>
        <v>1.08</v>
      </c>
      <c r="V55" s="3">
        <v>5</v>
      </c>
      <c r="W55" s="3">
        <v>5</v>
      </c>
      <c r="X55" s="3">
        <v>100</v>
      </c>
      <c r="Y55" s="3">
        <v>0</v>
      </c>
      <c r="Z55" s="3">
        <v>0</v>
      </c>
      <c r="AA55" s="3">
        <f t="shared" si="9"/>
        <v>9</v>
      </c>
      <c r="AB55" s="3">
        <v>0</v>
      </c>
      <c r="AC55" s="3">
        <f t="shared" si="10"/>
        <v>0.3</v>
      </c>
      <c r="AD55" s="3">
        <f t="shared" si="11"/>
        <v>1</v>
      </c>
      <c r="AE55" s="3">
        <f t="shared" si="12"/>
        <v>1</v>
      </c>
      <c r="AF55" s="3">
        <f t="shared" si="13"/>
        <v>1.04</v>
      </c>
      <c r="AG55" s="3">
        <f t="shared" si="14"/>
        <v>1.04</v>
      </c>
      <c r="AH55" s="3">
        <f t="shared" si="15"/>
        <v>1.08</v>
      </c>
      <c r="AI55" s="3">
        <f t="shared" si="16"/>
        <v>1.08</v>
      </c>
    </row>
    <row r="56" spans="1:35" x14ac:dyDescent="0.2">
      <c r="A56" s="1">
        <v>54</v>
      </c>
      <c r="B56" s="1" t="s">
        <v>77</v>
      </c>
      <c r="C56" s="1"/>
      <c r="D56" s="14">
        <v>1.8315257775840801</v>
      </c>
      <c r="E56" s="14">
        <v>61.20244504760155</v>
      </c>
      <c r="F56" s="14"/>
      <c r="G56" s="1"/>
      <c r="H56" s="2">
        <v>5</v>
      </c>
      <c r="I56" s="2">
        <v>5</v>
      </c>
      <c r="J56" s="2">
        <f>SUMIFS(ProductionCapacities!$F$2:$F$51,ProductionCapacities!$E$2:$E$51,Nodes!B56)/8*1000000*0.01/1000</f>
        <v>21.72044520547945</v>
      </c>
      <c r="K56" s="9">
        <v>500</v>
      </c>
      <c r="L56" s="9">
        <v>500</v>
      </c>
      <c r="M56" s="2">
        <v>9</v>
      </c>
      <c r="N56" s="2">
        <f t="shared" si="1"/>
        <v>0</v>
      </c>
      <c r="O56" s="2">
        <f t="shared" si="2"/>
        <v>0.3</v>
      </c>
      <c r="P56" s="2">
        <f t="shared" si="3"/>
        <v>1</v>
      </c>
      <c r="Q56" s="2">
        <f t="shared" si="4"/>
        <v>1</v>
      </c>
      <c r="R56" s="2">
        <f t="shared" si="5"/>
        <v>1.04</v>
      </c>
      <c r="S56" s="2">
        <f t="shared" si="6"/>
        <v>1.04</v>
      </c>
      <c r="T56" s="2">
        <f t="shared" si="7"/>
        <v>1.08</v>
      </c>
      <c r="U56" s="2">
        <f t="shared" si="8"/>
        <v>1.08</v>
      </c>
      <c r="V56" s="3">
        <v>5</v>
      </c>
      <c r="W56" s="3">
        <v>5</v>
      </c>
      <c r="X56" s="3">
        <v>100</v>
      </c>
      <c r="Y56" s="3">
        <v>0</v>
      </c>
      <c r="Z56" s="3">
        <v>0</v>
      </c>
      <c r="AA56" s="3">
        <f t="shared" si="9"/>
        <v>9</v>
      </c>
      <c r="AB56" s="3">
        <v>0</v>
      </c>
      <c r="AC56" s="3">
        <f t="shared" si="10"/>
        <v>0.3</v>
      </c>
      <c r="AD56" s="3">
        <f t="shared" si="11"/>
        <v>1</v>
      </c>
      <c r="AE56" s="3">
        <f t="shared" si="12"/>
        <v>1</v>
      </c>
      <c r="AF56" s="3">
        <f t="shared" si="13"/>
        <v>1.04</v>
      </c>
      <c r="AG56" s="3">
        <f t="shared" si="14"/>
        <v>1.04</v>
      </c>
      <c r="AH56" s="3">
        <f t="shared" si="15"/>
        <v>1.08</v>
      </c>
      <c r="AI56" s="3">
        <f t="shared" si="16"/>
        <v>1.08</v>
      </c>
    </row>
    <row r="57" spans="1:35" x14ac:dyDescent="0.2">
      <c r="A57" s="1">
        <v>55</v>
      </c>
      <c r="B57" s="1" t="s">
        <v>107</v>
      </c>
      <c r="C57" s="1" t="s">
        <v>324</v>
      </c>
      <c r="D57" s="20">
        <v>-1.104584</v>
      </c>
      <c r="E57" s="20">
        <v>54.624600000000001</v>
      </c>
      <c r="F57" s="20" t="s">
        <v>353</v>
      </c>
      <c r="G57" s="1"/>
      <c r="H57" s="2">
        <v>5</v>
      </c>
      <c r="I57" s="2">
        <v>5</v>
      </c>
      <c r="J57" s="2">
        <f>SUMIFS(ProductionCapacities!$F$2:$F$51,ProductionCapacities!$E$2:$E$51,Nodes!B57)/8*1000000*0.01/1000</f>
        <v>0</v>
      </c>
      <c r="K57" s="9">
        <v>500</v>
      </c>
      <c r="L57" s="9">
        <v>500</v>
      </c>
      <c r="M57" s="2">
        <v>9</v>
      </c>
      <c r="N57" s="2">
        <f t="shared" si="1"/>
        <v>1000</v>
      </c>
      <c r="O57" s="2">
        <f t="shared" si="2"/>
        <v>0.29899999999999999</v>
      </c>
      <c r="P57" s="2">
        <f t="shared" si="3"/>
        <v>1</v>
      </c>
      <c r="Q57" s="2">
        <f t="shared" si="4"/>
        <v>1</v>
      </c>
      <c r="R57" s="2">
        <f t="shared" si="5"/>
        <v>1.04</v>
      </c>
      <c r="S57" s="2">
        <f t="shared" si="6"/>
        <v>1.04</v>
      </c>
      <c r="T57" s="2">
        <f t="shared" si="7"/>
        <v>1.08</v>
      </c>
      <c r="U57" s="2">
        <f t="shared" si="8"/>
        <v>1.08</v>
      </c>
      <c r="V57" s="3">
        <v>5</v>
      </c>
      <c r="W57" s="3">
        <v>5</v>
      </c>
      <c r="X57" s="3">
        <v>100</v>
      </c>
      <c r="Y57" s="3">
        <v>0</v>
      </c>
      <c r="Z57" s="3">
        <v>0</v>
      </c>
      <c r="AA57" s="3">
        <f t="shared" si="9"/>
        <v>9</v>
      </c>
      <c r="AB57" s="3">
        <v>0</v>
      </c>
      <c r="AC57" s="3">
        <f t="shared" si="10"/>
        <v>0.29899999999999999</v>
      </c>
      <c r="AD57" s="3">
        <f t="shared" si="11"/>
        <v>1</v>
      </c>
      <c r="AE57" s="3">
        <f t="shared" si="12"/>
        <v>1</v>
      </c>
      <c r="AF57" s="3">
        <f t="shared" si="13"/>
        <v>1.04</v>
      </c>
      <c r="AG57" s="3">
        <f t="shared" si="14"/>
        <v>1.04</v>
      </c>
      <c r="AH57" s="3">
        <f t="shared" si="15"/>
        <v>1.08</v>
      </c>
      <c r="AI57" s="3">
        <f t="shared" si="16"/>
        <v>1.08</v>
      </c>
    </row>
    <row r="58" spans="1:35" x14ac:dyDescent="0.2">
      <c r="A58" s="1">
        <v>56</v>
      </c>
      <c r="B58" s="1" t="s">
        <v>75</v>
      </c>
      <c r="C58" s="1"/>
      <c r="D58" s="14">
        <v>8.6582155394689266</v>
      </c>
      <c r="E58" s="14">
        <v>63.398890962560763</v>
      </c>
      <c r="F58" s="14"/>
      <c r="G58" s="1" t="s">
        <v>312</v>
      </c>
      <c r="H58" s="2">
        <v>5</v>
      </c>
      <c r="I58" s="2">
        <v>5</v>
      </c>
      <c r="J58" s="2">
        <f>SUMIFS(ProductionCapacities!$F$2:$F$51,ProductionCapacities!$E$2:$E$51,Nodes!B58)/8*1000000*0.01/1000</f>
        <v>0</v>
      </c>
      <c r="K58" s="9">
        <v>500</v>
      </c>
      <c r="L58" s="9">
        <v>500</v>
      </c>
      <c r="M58" s="2">
        <v>9</v>
      </c>
      <c r="N58" s="2">
        <f t="shared" si="1"/>
        <v>0</v>
      </c>
      <c r="O58" s="2">
        <f t="shared" si="2"/>
        <v>0.3</v>
      </c>
      <c r="P58" s="2">
        <f t="shared" si="3"/>
        <v>1</v>
      </c>
      <c r="Q58" s="2">
        <f t="shared" si="4"/>
        <v>1</v>
      </c>
      <c r="R58" s="2">
        <f t="shared" si="5"/>
        <v>1.04</v>
      </c>
      <c r="S58" s="2">
        <f t="shared" si="6"/>
        <v>1.04</v>
      </c>
      <c r="T58" s="2">
        <f t="shared" si="7"/>
        <v>1.08</v>
      </c>
      <c r="U58" s="2">
        <f t="shared" si="8"/>
        <v>1.08</v>
      </c>
      <c r="V58" s="3">
        <v>5</v>
      </c>
      <c r="W58" s="3">
        <v>5</v>
      </c>
      <c r="X58" s="3">
        <v>100</v>
      </c>
      <c r="Y58" s="3">
        <v>0</v>
      </c>
      <c r="Z58" s="3">
        <v>0</v>
      </c>
      <c r="AA58" s="3">
        <f t="shared" si="9"/>
        <v>9</v>
      </c>
      <c r="AB58" s="3">
        <v>0</v>
      </c>
      <c r="AC58" s="3">
        <f t="shared" si="10"/>
        <v>0.3</v>
      </c>
      <c r="AD58" s="3">
        <f t="shared" si="11"/>
        <v>1</v>
      </c>
      <c r="AE58" s="3">
        <f t="shared" si="12"/>
        <v>1</v>
      </c>
      <c r="AF58" s="3">
        <f t="shared" si="13"/>
        <v>1.04</v>
      </c>
      <c r="AG58" s="3">
        <f t="shared" si="14"/>
        <v>1.04</v>
      </c>
      <c r="AH58" s="3">
        <f t="shared" si="15"/>
        <v>1.08</v>
      </c>
      <c r="AI58" s="3">
        <f t="shared" si="16"/>
        <v>1.08</v>
      </c>
    </row>
    <row r="59" spans="1:35" x14ac:dyDescent="0.2">
      <c r="A59" s="1">
        <v>57</v>
      </c>
      <c r="B59" s="1" t="s">
        <v>82</v>
      </c>
      <c r="C59" s="1"/>
      <c r="D59" s="14">
        <v>4.835830000000044</v>
      </c>
      <c r="E59" s="14">
        <v>60.550175000000081</v>
      </c>
      <c r="F59" s="14"/>
      <c r="G59" s="1"/>
      <c r="H59" s="2">
        <v>5</v>
      </c>
      <c r="I59" s="2">
        <v>5</v>
      </c>
      <c r="J59" s="2">
        <f>SUMIFS(ProductionCapacities!$F$2:$F$51,ProductionCapacities!$E$2:$E$51,Nodes!B59)/8*1000000*0.01/1000</f>
        <v>140.6493116438356</v>
      </c>
      <c r="K59" s="9">
        <v>500</v>
      </c>
      <c r="L59" s="9">
        <v>500</v>
      </c>
      <c r="M59" s="2">
        <v>9</v>
      </c>
      <c r="N59" s="2">
        <f t="shared" si="1"/>
        <v>0</v>
      </c>
      <c r="O59" s="2">
        <f t="shared" si="2"/>
        <v>0.3</v>
      </c>
      <c r="P59" s="2">
        <f t="shared" si="3"/>
        <v>1</v>
      </c>
      <c r="Q59" s="2">
        <f t="shared" si="4"/>
        <v>1</v>
      </c>
      <c r="R59" s="2">
        <f t="shared" si="5"/>
        <v>1.04</v>
      </c>
      <c r="S59" s="2">
        <f t="shared" si="6"/>
        <v>1.04</v>
      </c>
      <c r="T59" s="2">
        <f t="shared" si="7"/>
        <v>1.08</v>
      </c>
      <c r="U59" s="2">
        <f t="shared" si="8"/>
        <v>1.08</v>
      </c>
      <c r="V59" s="3">
        <v>5</v>
      </c>
      <c r="W59" s="3">
        <v>5</v>
      </c>
      <c r="X59" s="3">
        <v>100</v>
      </c>
      <c r="Y59" s="3">
        <v>0</v>
      </c>
      <c r="Z59" s="3">
        <v>0</v>
      </c>
      <c r="AA59" s="3">
        <f t="shared" ref="AA59:AA62" si="17">M59</f>
        <v>9</v>
      </c>
      <c r="AB59" s="3">
        <v>1</v>
      </c>
      <c r="AC59" s="3">
        <f t="shared" ref="AC59:AC62" si="18">O59</f>
        <v>0.3</v>
      </c>
      <c r="AD59" s="3">
        <f t="shared" ref="AD59:AD62" si="19">P59</f>
        <v>1</v>
      </c>
      <c r="AE59" s="3">
        <f t="shared" ref="AE59:AE62" si="20">Q59</f>
        <v>1</v>
      </c>
      <c r="AF59" s="3">
        <f t="shared" ref="AF59:AF62" si="21">R59</f>
        <v>1.04</v>
      </c>
      <c r="AG59" s="3">
        <f t="shared" ref="AG59:AG62" si="22">S59</f>
        <v>1.04</v>
      </c>
      <c r="AH59" s="3">
        <f t="shared" ref="AH59:AH62" si="23">T59</f>
        <v>1.08</v>
      </c>
      <c r="AI59" s="3">
        <f t="shared" ref="AI59:AI62" si="24">U59</f>
        <v>1.08</v>
      </c>
    </row>
    <row r="60" spans="1:35" x14ac:dyDescent="0.2">
      <c r="A60" s="1">
        <v>58</v>
      </c>
      <c r="B60" s="1" t="s">
        <v>113</v>
      </c>
      <c r="D60" s="20">
        <v>3.229797000000076</v>
      </c>
      <c r="E60" s="20">
        <v>51.350508000000048</v>
      </c>
      <c r="F60" s="20" t="s">
        <v>353</v>
      </c>
      <c r="G60" s="1"/>
      <c r="H60" s="2">
        <v>5</v>
      </c>
      <c r="I60" s="2">
        <v>5</v>
      </c>
      <c r="J60" s="2">
        <f>SUMIFS(ProductionCapacities!$F$2:$F$51,ProductionCapacities!$E$2:$E$51,Nodes!B60)/8*1000000*0.01/1000</f>
        <v>0</v>
      </c>
      <c r="K60" s="9">
        <v>500</v>
      </c>
      <c r="L60" s="9">
        <v>500</v>
      </c>
      <c r="M60" s="2">
        <v>9</v>
      </c>
      <c r="N60" s="2">
        <f t="shared" si="1"/>
        <v>1000</v>
      </c>
      <c r="O60" s="2">
        <f t="shared" si="2"/>
        <v>0.29899999999999999</v>
      </c>
      <c r="P60" s="2">
        <f t="shared" si="3"/>
        <v>1</v>
      </c>
      <c r="Q60" s="2">
        <f t="shared" si="4"/>
        <v>1</v>
      </c>
      <c r="R60" s="2">
        <f t="shared" si="5"/>
        <v>1.04</v>
      </c>
      <c r="S60" s="2">
        <f t="shared" si="6"/>
        <v>1.04</v>
      </c>
      <c r="T60" s="2">
        <f t="shared" si="7"/>
        <v>1.08</v>
      </c>
      <c r="U60" s="2">
        <f t="shared" si="8"/>
        <v>1.08</v>
      </c>
      <c r="V60" s="3">
        <v>5</v>
      </c>
      <c r="W60" s="3">
        <v>5</v>
      </c>
      <c r="X60" s="3">
        <v>100</v>
      </c>
      <c r="Y60" s="3">
        <v>0</v>
      </c>
      <c r="Z60" s="3">
        <v>0</v>
      </c>
      <c r="AA60" s="3">
        <f t="shared" si="17"/>
        <v>9</v>
      </c>
      <c r="AB60" s="3">
        <v>2</v>
      </c>
      <c r="AC60" s="3">
        <f t="shared" si="18"/>
        <v>0.29899999999999999</v>
      </c>
      <c r="AD60" s="3">
        <f t="shared" si="19"/>
        <v>1</v>
      </c>
      <c r="AE60" s="3">
        <f t="shared" si="20"/>
        <v>1</v>
      </c>
      <c r="AF60" s="3">
        <f t="shared" si="21"/>
        <v>1.04</v>
      </c>
      <c r="AG60" s="3">
        <f t="shared" si="22"/>
        <v>1.04</v>
      </c>
      <c r="AH60" s="3">
        <f t="shared" si="23"/>
        <v>1.08</v>
      </c>
      <c r="AI60" s="3">
        <f t="shared" si="24"/>
        <v>1.08</v>
      </c>
    </row>
    <row r="61" spans="1:35" x14ac:dyDescent="0.2">
      <c r="A61" s="1">
        <v>59</v>
      </c>
      <c r="B61" s="1" t="s">
        <v>106</v>
      </c>
      <c r="C61" s="1"/>
      <c r="D61" s="20">
        <v>3.2998160000000212</v>
      </c>
      <c r="E61" s="20">
        <v>54.789494000000047</v>
      </c>
      <c r="F61" s="20"/>
      <c r="G61" s="1"/>
      <c r="H61" s="2">
        <v>5</v>
      </c>
      <c r="I61" s="2">
        <v>5</v>
      </c>
      <c r="J61" s="2">
        <f>SUMIFS(ProductionCapacities!$F$2:$F$51,ProductionCapacities!$E$2:$E$51,Nodes!B61)/8*1000000*0.01/1000</f>
        <v>0</v>
      </c>
      <c r="K61" s="9">
        <v>500</v>
      </c>
      <c r="L61" s="9">
        <v>500</v>
      </c>
      <c r="M61" s="2">
        <v>9</v>
      </c>
      <c r="N61" s="2">
        <f t="shared" si="1"/>
        <v>0</v>
      </c>
      <c r="O61" s="2">
        <f t="shared" si="2"/>
        <v>0.3</v>
      </c>
      <c r="P61" s="2">
        <f t="shared" si="3"/>
        <v>1</v>
      </c>
      <c r="Q61" s="2">
        <f t="shared" si="4"/>
        <v>1</v>
      </c>
      <c r="R61" s="2">
        <f t="shared" si="5"/>
        <v>1.04</v>
      </c>
      <c r="S61" s="2">
        <f t="shared" si="6"/>
        <v>1.04</v>
      </c>
      <c r="T61" s="2">
        <f t="shared" si="7"/>
        <v>1.08</v>
      </c>
      <c r="U61" s="2">
        <f t="shared" si="8"/>
        <v>1.08</v>
      </c>
      <c r="V61" s="3">
        <v>5</v>
      </c>
      <c r="W61" s="3">
        <v>5</v>
      </c>
      <c r="X61" s="3">
        <v>100</v>
      </c>
      <c r="Y61" s="3">
        <v>0</v>
      </c>
      <c r="Z61" s="3">
        <v>0</v>
      </c>
      <c r="AA61" s="3">
        <f t="shared" si="17"/>
        <v>9</v>
      </c>
      <c r="AB61" s="3">
        <v>3</v>
      </c>
      <c r="AC61" s="3">
        <f t="shared" si="18"/>
        <v>0.3</v>
      </c>
      <c r="AD61" s="3">
        <f t="shared" si="19"/>
        <v>1</v>
      </c>
      <c r="AE61" s="3">
        <f t="shared" si="20"/>
        <v>1</v>
      </c>
      <c r="AF61" s="3">
        <f t="shared" si="21"/>
        <v>1.04</v>
      </c>
      <c r="AG61" s="3">
        <f t="shared" si="22"/>
        <v>1.04</v>
      </c>
      <c r="AH61" s="3">
        <f t="shared" si="23"/>
        <v>1.08</v>
      </c>
      <c r="AI61" s="3">
        <f t="shared" si="24"/>
        <v>1.08</v>
      </c>
    </row>
    <row r="62" spans="1:35" x14ac:dyDescent="0.2">
      <c r="A62" s="1">
        <v>60</v>
      </c>
      <c r="B62" s="1" t="s">
        <v>338</v>
      </c>
      <c r="C62" s="1" t="s">
        <v>324</v>
      </c>
      <c r="D62" s="14">
        <v>7.1892900000000282</v>
      </c>
      <c r="E62" s="14">
        <v>53.346200000000067</v>
      </c>
      <c r="F62" s="46" t="s">
        <v>354</v>
      </c>
      <c r="H62" s="2">
        <v>5</v>
      </c>
      <c r="I62" s="2">
        <v>5</v>
      </c>
      <c r="J62" s="2">
        <f>SUMIFS(ProductionCapacities!$F$2:$F$51,ProductionCapacities!$E$2:$E$51,Nodes!B62)/8*1000000*0.01/1000</f>
        <v>0</v>
      </c>
      <c r="K62" s="9">
        <v>500</v>
      </c>
      <c r="L62" s="9">
        <v>500</v>
      </c>
      <c r="M62" s="2">
        <v>9</v>
      </c>
      <c r="N62" s="2">
        <f t="shared" si="1"/>
        <v>0</v>
      </c>
      <c r="O62" s="2">
        <f t="shared" si="2"/>
        <v>0.3</v>
      </c>
      <c r="P62" s="2">
        <f t="shared" si="3"/>
        <v>0</v>
      </c>
      <c r="Q62" s="2">
        <f t="shared" si="4"/>
        <v>0</v>
      </c>
      <c r="R62" s="2">
        <f t="shared" si="5"/>
        <v>0</v>
      </c>
      <c r="S62" s="2">
        <f t="shared" si="6"/>
        <v>0</v>
      </c>
      <c r="T62" s="2">
        <f t="shared" si="7"/>
        <v>0</v>
      </c>
      <c r="U62" s="2">
        <f t="shared" si="8"/>
        <v>0</v>
      </c>
      <c r="V62" s="3">
        <v>5</v>
      </c>
      <c r="W62" s="3">
        <v>5</v>
      </c>
      <c r="X62" s="3">
        <v>100</v>
      </c>
      <c r="Y62" s="3">
        <v>0</v>
      </c>
      <c r="Z62" s="3">
        <v>0</v>
      </c>
      <c r="AA62" s="3">
        <f t="shared" si="17"/>
        <v>9</v>
      </c>
      <c r="AB62" s="3">
        <v>4</v>
      </c>
      <c r="AC62" s="3">
        <f t="shared" si="18"/>
        <v>0.3</v>
      </c>
      <c r="AD62" s="3">
        <f t="shared" si="19"/>
        <v>0</v>
      </c>
      <c r="AE62" s="3">
        <f t="shared" si="20"/>
        <v>0</v>
      </c>
      <c r="AF62" s="3">
        <f t="shared" si="21"/>
        <v>0</v>
      </c>
      <c r="AG62" s="3">
        <f t="shared" si="22"/>
        <v>0</v>
      </c>
      <c r="AH62" s="3">
        <f t="shared" si="23"/>
        <v>0</v>
      </c>
      <c r="AI62" s="3">
        <f t="shared" si="24"/>
        <v>0</v>
      </c>
    </row>
    <row r="63" spans="1:35" x14ac:dyDescent="0.2">
      <c r="A63" s="1">
        <v>61</v>
      </c>
      <c r="B63" s="1" t="s">
        <v>336</v>
      </c>
      <c r="C63" s="1" t="s">
        <v>324</v>
      </c>
      <c r="D63" s="14">
        <v>7.1892900000000282</v>
      </c>
      <c r="E63" s="14">
        <v>53.346200000000067</v>
      </c>
      <c r="F63" s="46" t="s">
        <v>354</v>
      </c>
      <c r="H63" s="2">
        <v>5</v>
      </c>
      <c r="I63" s="2">
        <v>5</v>
      </c>
      <c r="J63" s="2">
        <f>SUMIFS(ProductionCapacities!$F$2:$F$51,ProductionCapacities!$E$2:$E$51,Nodes!B63)/8*1000000*0.01/1000</f>
        <v>0</v>
      </c>
      <c r="K63" s="9">
        <v>500</v>
      </c>
      <c r="L63" s="9">
        <v>500</v>
      </c>
      <c r="M63" s="2">
        <v>9</v>
      </c>
      <c r="N63" s="2">
        <f t="shared" si="1"/>
        <v>0</v>
      </c>
      <c r="O63" s="2">
        <f t="shared" si="2"/>
        <v>0.3</v>
      </c>
      <c r="P63" s="2">
        <f t="shared" si="3"/>
        <v>0</v>
      </c>
      <c r="Q63" s="2">
        <f t="shared" si="4"/>
        <v>0</v>
      </c>
      <c r="R63" s="2">
        <f t="shared" si="5"/>
        <v>0</v>
      </c>
      <c r="S63" s="2">
        <f t="shared" si="6"/>
        <v>0</v>
      </c>
      <c r="T63" s="2">
        <f t="shared" si="7"/>
        <v>0</v>
      </c>
      <c r="U63" s="2">
        <f t="shared" si="8"/>
        <v>0</v>
      </c>
      <c r="V63" s="3">
        <v>5</v>
      </c>
      <c r="W63" s="3">
        <v>5</v>
      </c>
      <c r="X63" s="3">
        <v>100</v>
      </c>
      <c r="Y63" s="3">
        <v>0</v>
      </c>
      <c r="Z63" s="3">
        <v>0</v>
      </c>
      <c r="AA63" s="3">
        <f t="shared" ref="AA63:AA67" si="25">M63</f>
        <v>9</v>
      </c>
      <c r="AB63" s="3">
        <v>5</v>
      </c>
      <c r="AC63" s="3">
        <f t="shared" ref="AC63:AC67" si="26">O63</f>
        <v>0.3</v>
      </c>
      <c r="AD63" s="3">
        <f t="shared" ref="AD63:AD67" si="27">P63</f>
        <v>0</v>
      </c>
      <c r="AE63" s="3">
        <f t="shared" ref="AE63:AE67" si="28">Q63</f>
        <v>0</v>
      </c>
      <c r="AF63" s="3">
        <f t="shared" ref="AF63:AF67" si="29">R63</f>
        <v>0</v>
      </c>
      <c r="AG63" s="3">
        <f t="shared" ref="AG63:AG67" si="30">S63</f>
        <v>0</v>
      </c>
      <c r="AH63" s="3">
        <f t="shared" ref="AH63:AH67" si="31">T63</f>
        <v>0</v>
      </c>
      <c r="AI63" s="3">
        <f t="shared" ref="AI63:AI67" si="32">U63</f>
        <v>0</v>
      </c>
    </row>
    <row r="64" spans="1:35" x14ac:dyDescent="0.2">
      <c r="A64" s="1">
        <v>62</v>
      </c>
      <c r="B64" s="1" t="s">
        <v>337</v>
      </c>
      <c r="C64" s="1" t="s">
        <v>324</v>
      </c>
      <c r="D64" s="20">
        <v>7.3264200000000406</v>
      </c>
      <c r="E64" s="20">
        <v>53.679700000000082</v>
      </c>
      <c r="F64" s="46" t="s">
        <v>354</v>
      </c>
      <c r="H64" s="2">
        <v>5</v>
      </c>
      <c r="I64" s="2">
        <v>5</v>
      </c>
      <c r="J64" s="2">
        <f>SUMIFS(ProductionCapacities!$F$2:$F$51,ProductionCapacities!$E$2:$E$51,Nodes!B64)/8*1000000*0.01/1000</f>
        <v>0</v>
      </c>
      <c r="K64" s="9">
        <v>500</v>
      </c>
      <c r="L64" s="9">
        <v>500</v>
      </c>
      <c r="M64" s="2">
        <v>9</v>
      </c>
      <c r="N64" s="2">
        <f t="shared" si="1"/>
        <v>0</v>
      </c>
      <c r="O64" s="2">
        <f t="shared" si="2"/>
        <v>0.3</v>
      </c>
      <c r="P64" s="2">
        <f t="shared" si="3"/>
        <v>0</v>
      </c>
      <c r="Q64" s="2">
        <f t="shared" si="4"/>
        <v>0</v>
      </c>
      <c r="R64" s="2">
        <f t="shared" si="5"/>
        <v>0</v>
      </c>
      <c r="S64" s="2">
        <f t="shared" si="6"/>
        <v>0</v>
      </c>
      <c r="T64" s="2">
        <f t="shared" si="7"/>
        <v>0</v>
      </c>
      <c r="U64" s="2">
        <f t="shared" si="8"/>
        <v>0</v>
      </c>
      <c r="V64" s="3">
        <v>5</v>
      </c>
      <c r="W64" s="3">
        <v>5</v>
      </c>
      <c r="X64" s="3">
        <v>100</v>
      </c>
      <c r="Y64" s="3">
        <v>0</v>
      </c>
      <c r="Z64" s="3">
        <v>0</v>
      </c>
      <c r="AA64" s="3">
        <f t="shared" si="25"/>
        <v>9</v>
      </c>
      <c r="AB64" s="3">
        <v>6</v>
      </c>
      <c r="AC64" s="3">
        <f t="shared" si="26"/>
        <v>0.3</v>
      </c>
      <c r="AD64" s="3">
        <f t="shared" si="27"/>
        <v>0</v>
      </c>
      <c r="AE64" s="3">
        <f t="shared" si="28"/>
        <v>0</v>
      </c>
      <c r="AF64" s="3">
        <f t="shared" si="29"/>
        <v>0</v>
      </c>
      <c r="AG64" s="3">
        <f t="shared" si="30"/>
        <v>0</v>
      </c>
      <c r="AH64" s="3">
        <f t="shared" si="31"/>
        <v>0</v>
      </c>
      <c r="AI64" s="3">
        <f t="shared" si="32"/>
        <v>0</v>
      </c>
    </row>
    <row r="65" spans="1:35" x14ac:dyDescent="0.2">
      <c r="A65" s="1">
        <v>63</v>
      </c>
      <c r="B65" s="1" t="s">
        <v>339</v>
      </c>
      <c r="C65" s="1" t="s">
        <v>324</v>
      </c>
      <c r="D65" s="20">
        <v>7.3264200000000406</v>
      </c>
      <c r="E65" s="20">
        <v>53.679700000000082</v>
      </c>
      <c r="F65" s="46" t="s">
        <v>354</v>
      </c>
      <c r="H65" s="2">
        <v>5</v>
      </c>
      <c r="I65" s="2">
        <v>5</v>
      </c>
      <c r="J65" s="2">
        <f>SUMIFS(ProductionCapacities!$F$2:$F$51,ProductionCapacities!$E$2:$E$51,Nodes!B65)/8*1000000*0.01/1000</f>
        <v>0</v>
      </c>
      <c r="K65" s="9">
        <v>500</v>
      </c>
      <c r="L65" s="9">
        <v>500</v>
      </c>
      <c r="M65" s="2">
        <v>9</v>
      </c>
      <c r="N65" s="2">
        <f t="shared" si="1"/>
        <v>0</v>
      </c>
      <c r="O65" s="2">
        <f t="shared" si="2"/>
        <v>0.3</v>
      </c>
      <c r="P65" s="2">
        <f t="shared" si="3"/>
        <v>0</v>
      </c>
      <c r="Q65" s="2">
        <f t="shared" si="4"/>
        <v>0</v>
      </c>
      <c r="R65" s="2">
        <f t="shared" si="5"/>
        <v>0</v>
      </c>
      <c r="S65" s="2">
        <f t="shared" si="6"/>
        <v>0</v>
      </c>
      <c r="T65" s="2">
        <f t="shared" si="7"/>
        <v>0</v>
      </c>
      <c r="U65" s="2">
        <f t="shared" si="8"/>
        <v>0</v>
      </c>
      <c r="V65" s="3">
        <v>5</v>
      </c>
      <c r="W65" s="3">
        <v>5</v>
      </c>
      <c r="X65" s="3">
        <v>100</v>
      </c>
      <c r="Y65" s="3">
        <v>0</v>
      </c>
      <c r="Z65" s="3">
        <v>0</v>
      </c>
      <c r="AA65" s="3">
        <f t="shared" si="25"/>
        <v>9</v>
      </c>
      <c r="AB65" s="3">
        <v>7</v>
      </c>
      <c r="AC65" s="3">
        <f t="shared" si="26"/>
        <v>0.3</v>
      </c>
      <c r="AD65" s="3">
        <f t="shared" si="27"/>
        <v>0</v>
      </c>
      <c r="AE65" s="3">
        <f t="shared" si="28"/>
        <v>0</v>
      </c>
      <c r="AF65" s="3">
        <f t="shared" si="29"/>
        <v>0</v>
      </c>
      <c r="AG65" s="3">
        <f t="shared" si="30"/>
        <v>0</v>
      </c>
      <c r="AH65" s="3">
        <f t="shared" si="31"/>
        <v>0</v>
      </c>
      <c r="AI65" s="3">
        <f t="shared" si="32"/>
        <v>0</v>
      </c>
    </row>
    <row r="66" spans="1:35" x14ac:dyDescent="0.2">
      <c r="A66" s="1">
        <v>64</v>
      </c>
      <c r="B66" s="1" t="s">
        <v>340</v>
      </c>
      <c r="C66" s="1" t="s">
        <v>324</v>
      </c>
      <c r="D66" s="20">
        <v>3.229797000000076</v>
      </c>
      <c r="E66" s="20">
        <v>51.350508000000048</v>
      </c>
      <c r="F66" s="46" t="s">
        <v>354</v>
      </c>
      <c r="H66" s="2">
        <v>5</v>
      </c>
      <c r="I66" s="2">
        <v>5</v>
      </c>
      <c r="J66" s="2">
        <f>SUMIFS(ProductionCapacities!$F$2:$F$51,ProductionCapacities!$E$2:$E$51,Nodes!B66)/8*1000000*0.01/1000</f>
        <v>0</v>
      </c>
      <c r="K66" s="9">
        <v>500</v>
      </c>
      <c r="L66" s="9">
        <v>500</v>
      </c>
      <c r="M66" s="2">
        <v>9</v>
      </c>
      <c r="N66" s="2">
        <f t="shared" si="1"/>
        <v>0</v>
      </c>
      <c r="O66" s="2">
        <f t="shared" si="2"/>
        <v>0.3</v>
      </c>
      <c r="P66" s="2">
        <f t="shared" si="3"/>
        <v>0</v>
      </c>
      <c r="Q66" s="2">
        <f t="shared" si="4"/>
        <v>0</v>
      </c>
      <c r="R66" s="2">
        <f t="shared" si="5"/>
        <v>0</v>
      </c>
      <c r="S66" s="2">
        <f t="shared" si="6"/>
        <v>0</v>
      </c>
      <c r="T66" s="2">
        <f t="shared" si="7"/>
        <v>0</v>
      </c>
      <c r="U66" s="2">
        <f t="shared" si="8"/>
        <v>0</v>
      </c>
      <c r="V66" s="3">
        <v>5</v>
      </c>
      <c r="W66" s="3">
        <v>5</v>
      </c>
      <c r="X66" s="3">
        <v>100</v>
      </c>
      <c r="Y66" s="3">
        <v>0</v>
      </c>
      <c r="Z66" s="3">
        <v>0</v>
      </c>
      <c r="AA66" s="3">
        <f t="shared" si="25"/>
        <v>9</v>
      </c>
      <c r="AB66" s="3">
        <v>8</v>
      </c>
      <c r="AC66" s="3">
        <f t="shared" si="26"/>
        <v>0.3</v>
      </c>
      <c r="AD66" s="3">
        <f t="shared" si="27"/>
        <v>0</v>
      </c>
      <c r="AE66" s="3">
        <f t="shared" si="28"/>
        <v>0</v>
      </c>
      <c r="AF66" s="3">
        <f t="shared" si="29"/>
        <v>0</v>
      </c>
      <c r="AG66" s="3">
        <f t="shared" si="30"/>
        <v>0</v>
      </c>
      <c r="AH66" s="3">
        <f t="shared" si="31"/>
        <v>0</v>
      </c>
      <c r="AI66" s="3">
        <f t="shared" si="32"/>
        <v>0</v>
      </c>
    </row>
    <row r="67" spans="1:35" x14ac:dyDescent="0.2">
      <c r="A67" s="1">
        <v>65</v>
      </c>
      <c r="B67" s="1" t="s">
        <v>341</v>
      </c>
      <c r="C67" s="1" t="s">
        <v>324</v>
      </c>
      <c r="D67" s="20">
        <v>3.229797000000076</v>
      </c>
      <c r="E67" s="20">
        <v>51.350508000000048</v>
      </c>
      <c r="F67" s="46" t="s">
        <v>354</v>
      </c>
      <c r="H67" s="2">
        <v>5</v>
      </c>
      <c r="I67" s="2">
        <v>5</v>
      </c>
      <c r="J67" s="2">
        <f>SUMIFS(ProductionCapacities!$F$2:$F$51,ProductionCapacities!$E$2:$E$51,Nodes!B67)/8*1000000*0.01/1000</f>
        <v>0</v>
      </c>
      <c r="K67" s="9">
        <v>500</v>
      </c>
      <c r="L67" s="9">
        <v>500</v>
      </c>
      <c r="M67" s="2">
        <v>9</v>
      </c>
      <c r="N67" s="2">
        <f t="shared" si="1"/>
        <v>0</v>
      </c>
      <c r="O67" s="2">
        <f t="shared" si="2"/>
        <v>0.3</v>
      </c>
      <c r="P67" s="2">
        <f t="shared" si="3"/>
        <v>0</v>
      </c>
      <c r="Q67" s="2">
        <f t="shared" si="4"/>
        <v>0</v>
      </c>
      <c r="R67" s="2">
        <f t="shared" si="5"/>
        <v>0</v>
      </c>
      <c r="S67" s="2">
        <f t="shared" si="6"/>
        <v>0</v>
      </c>
      <c r="T67" s="2">
        <f t="shared" si="7"/>
        <v>0</v>
      </c>
      <c r="U67" s="2">
        <f t="shared" si="8"/>
        <v>0</v>
      </c>
      <c r="V67" s="3">
        <v>5</v>
      </c>
      <c r="W67" s="3">
        <v>5</v>
      </c>
      <c r="X67" s="3">
        <v>100</v>
      </c>
      <c r="Y67" s="3">
        <v>0</v>
      </c>
      <c r="Z67" s="3">
        <v>0</v>
      </c>
      <c r="AA67" s="3">
        <f t="shared" si="25"/>
        <v>9</v>
      </c>
      <c r="AB67" s="3">
        <v>9</v>
      </c>
      <c r="AC67" s="3">
        <f t="shared" si="26"/>
        <v>0.3</v>
      </c>
      <c r="AD67" s="3">
        <f t="shared" si="27"/>
        <v>0</v>
      </c>
      <c r="AE67" s="3">
        <f t="shared" si="28"/>
        <v>0</v>
      </c>
      <c r="AF67" s="3">
        <f t="shared" si="29"/>
        <v>0</v>
      </c>
      <c r="AG67" s="3">
        <f t="shared" si="30"/>
        <v>0</v>
      </c>
      <c r="AH67" s="3">
        <f t="shared" si="31"/>
        <v>0</v>
      </c>
      <c r="AI67" s="3">
        <f t="shared" si="32"/>
        <v>0</v>
      </c>
    </row>
  </sheetData>
  <autoFilter ref="A2:AI61" xr:uid="{DA3F5746-A1B1-6F4F-9762-CACD4A91B5F2}">
    <sortState xmlns:xlrd2="http://schemas.microsoft.com/office/spreadsheetml/2017/richdata2" ref="A3:AI61">
      <sortCondition ref="B2:B61"/>
    </sortState>
  </autoFilter>
  <mergeCells count="2">
    <mergeCell ref="H1:U1"/>
    <mergeCell ref="V1:AI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W28"/>
  <sheetViews>
    <sheetView zoomScale="160" zoomScaleNormal="160" workbookViewId="0">
      <selection activeCell="I9" sqref="I9"/>
    </sheetView>
  </sheetViews>
  <sheetFormatPr baseColWidth="10" defaultRowHeight="16" x14ac:dyDescent="0.2"/>
  <cols>
    <col min="1" max="1" width="12.6640625" bestFit="1" customWidth="1"/>
    <col min="6" max="6" width="16.5" bestFit="1" customWidth="1"/>
    <col min="7" max="7" width="15" bestFit="1" customWidth="1"/>
    <col min="8" max="8" width="17.5" bestFit="1" customWidth="1"/>
    <col min="9" max="9" width="17.1640625" bestFit="1" customWidth="1"/>
    <col min="10" max="10" width="19.5" bestFit="1" customWidth="1"/>
    <col min="11" max="11" width="12.1640625" bestFit="1" customWidth="1"/>
  </cols>
  <sheetData>
    <row r="1" spans="1:23" x14ac:dyDescent="0.2">
      <c r="A1" s="4" t="s">
        <v>24</v>
      </c>
      <c r="B1" s="66">
        <v>1</v>
      </c>
      <c r="C1" s="67"/>
      <c r="D1" s="67"/>
      <c r="E1" s="67"/>
      <c r="F1" s="67"/>
      <c r="G1" s="67"/>
      <c r="H1" s="67"/>
      <c r="I1" s="67"/>
      <c r="J1" s="67"/>
      <c r="K1" s="67"/>
      <c r="L1" s="67"/>
      <c r="M1" s="67"/>
      <c r="N1" s="67"/>
      <c r="O1" s="67"/>
      <c r="P1" s="67"/>
      <c r="Q1" s="67"/>
      <c r="R1" s="67"/>
      <c r="S1" s="67"/>
      <c r="T1" s="67"/>
      <c r="U1" s="67"/>
      <c r="V1" s="67"/>
      <c r="W1" s="67"/>
    </row>
    <row r="2" spans="1:23" x14ac:dyDescent="0.2">
      <c r="A2" s="4" t="s">
        <v>18</v>
      </c>
      <c r="B2" s="66">
        <v>1</v>
      </c>
      <c r="C2" s="67"/>
      <c r="D2" s="67"/>
      <c r="E2" s="67"/>
      <c r="F2" s="67"/>
      <c r="G2" s="67"/>
      <c r="H2" s="67"/>
      <c r="I2" s="67"/>
      <c r="J2" s="67"/>
      <c r="K2" s="67"/>
      <c r="L2" s="67"/>
      <c r="M2" s="67"/>
      <c r="N2" s="67"/>
      <c r="O2" s="67"/>
      <c r="P2" s="67"/>
      <c r="Q2" s="67"/>
      <c r="R2" s="67"/>
      <c r="S2" s="67"/>
      <c r="T2" s="67"/>
      <c r="U2" s="67"/>
      <c r="V2" s="67"/>
      <c r="W2" s="67"/>
    </row>
    <row r="3" spans="1:23" x14ac:dyDescent="0.2">
      <c r="A3" s="4"/>
      <c r="B3" s="64" t="s">
        <v>19</v>
      </c>
      <c r="C3" s="64"/>
      <c r="D3" s="64"/>
      <c r="E3" s="64"/>
      <c r="F3" s="64"/>
      <c r="G3" s="64"/>
      <c r="H3" s="64"/>
      <c r="I3" s="64"/>
      <c r="J3" s="64"/>
      <c r="K3" s="64"/>
      <c r="L3" s="64"/>
      <c r="M3" s="65" t="s">
        <v>20</v>
      </c>
      <c r="N3" s="63"/>
      <c r="O3" s="63"/>
      <c r="P3" s="63"/>
      <c r="Q3" s="63"/>
      <c r="R3" s="63"/>
      <c r="S3" s="63"/>
      <c r="T3" s="63"/>
      <c r="U3" s="63"/>
      <c r="V3" s="63"/>
      <c r="W3" s="63"/>
    </row>
    <row r="4" spans="1:23" x14ac:dyDescent="0.2">
      <c r="A4" s="4" t="s">
        <v>17</v>
      </c>
      <c r="B4" s="5" t="str">
        <f>'Demand Stage 2'!B4</f>
        <v>ST.FERGUS</v>
      </c>
      <c r="C4" s="5" t="str">
        <f>'Demand Stage 2'!C4</f>
        <v>EASINGTON</v>
      </c>
      <c r="D4" s="5" t="str">
        <f>'Demand Stage 2'!D4</f>
        <v>TEESSIDE</v>
      </c>
      <c r="E4" s="5" t="s">
        <v>336</v>
      </c>
      <c r="F4" s="5" t="s">
        <v>338</v>
      </c>
      <c r="G4" s="5" t="s">
        <v>339</v>
      </c>
      <c r="H4" s="5" t="s">
        <v>337</v>
      </c>
      <c r="I4" s="5" t="s">
        <v>341</v>
      </c>
      <c r="J4" s="5" t="s">
        <v>340</v>
      </c>
      <c r="K4" s="5" t="str">
        <f>'Demand Stage 2'!K4</f>
        <v>DUNKERQUE</v>
      </c>
      <c r="L4" s="5" t="str">
        <f>'Demand Stage 2'!L4</f>
        <v>POLAND</v>
      </c>
      <c r="M4" s="6" t="str">
        <f>'Demand Stage 2'!M4</f>
        <v>ST.FERGUS</v>
      </c>
      <c r="N4" s="6" t="str">
        <f>'Demand Stage 2'!N4</f>
        <v>EASINGTON</v>
      </c>
      <c r="O4" s="6" t="str">
        <f>'Demand Stage 2'!O4</f>
        <v>TEESSIDE</v>
      </c>
      <c r="P4" s="6" t="s">
        <v>336</v>
      </c>
      <c r="Q4" s="6" t="s">
        <v>338</v>
      </c>
      <c r="R4" s="6" t="s">
        <v>339</v>
      </c>
      <c r="S4" s="6" t="s">
        <v>337</v>
      </c>
      <c r="T4" s="6" t="s">
        <v>341</v>
      </c>
      <c r="U4" s="6" t="s">
        <v>340</v>
      </c>
      <c r="V4" s="6" t="str">
        <f>'Demand Stage 2'!V4</f>
        <v>DUNKERQUE</v>
      </c>
      <c r="W4" s="6" t="str">
        <f>'Demand Stage 2'!W4</f>
        <v>POLAND</v>
      </c>
    </row>
    <row r="5" spans="1:23" x14ac:dyDescent="0.2">
      <c r="A5" s="1">
        <v>0</v>
      </c>
      <c r="B5" s="2">
        <f>'Demand Stage 2'!B43</f>
        <v>12.5</v>
      </c>
      <c r="C5" s="2">
        <f>'Demand Stage 2'!C43</f>
        <v>12.5</v>
      </c>
      <c r="D5" s="2">
        <f>'Demand Stage 2'!D43</f>
        <v>12.5</v>
      </c>
      <c r="E5" s="2">
        <f>'Demand Stage 2'!E43</f>
        <v>25</v>
      </c>
      <c r="F5" s="2">
        <f>'Demand Stage 2'!F43</f>
        <v>25</v>
      </c>
      <c r="G5" s="2">
        <f>'Demand Stage 2'!G43</f>
        <v>25</v>
      </c>
      <c r="H5" s="2">
        <f>'Demand Stage 2'!H43</f>
        <v>25</v>
      </c>
      <c r="I5" s="2">
        <f>'Demand Stage 2'!I43</f>
        <v>25</v>
      </c>
      <c r="J5" s="2">
        <f>'Demand Stage 2'!J43</f>
        <v>25</v>
      </c>
      <c r="K5" s="2">
        <f>'Demand Stage 2'!K43</f>
        <v>50</v>
      </c>
      <c r="L5" s="2">
        <f>'Demand Stage 2'!L43</f>
        <v>25</v>
      </c>
      <c r="M5" s="3">
        <v>0</v>
      </c>
      <c r="N5" s="3">
        <v>0</v>
      </c>
      <c r="O5" s="3">
        <v>0</v>
      </c>
      <c r="P5" s="3">
        <v>0</v>
      </c>
      <c r="Q5" s="3">
        <v>0</v>
      </c>
      <c r="R5" s="3">
        <v>0</v>
      </c>
      <c r="S5" s="3">
        <v>0</v>
      </c>
      <c r="T5" s="3">
        <v>0</v>
      </c>
      <c r="U5" s="3">
        <v>0</v>
      </c>
      <c r="V5" s="3">
        <v>0</v>
      </c>
      <c r="W5" s="3">
        <v>0</v>
      </c>
    </row>
    <row r="6" spans="1:23" x14ac:dyDescent="0.2">
      <c r="A6" s="1">
        <v>1</v>
      </c>
      <c r="B6" s="2">
        <f>'Demand Stage 2'!B44</f>
        <v>12.5</v>
      </c>
      <c r="C6" s="2">
        <f>'Demand Stage 2'!C44</f>
        <v>12.5</v>
      </c>
      <c r="D6" s="2">
        <f>'Demand Stage 2'!D44</f>
        <v>12.5</v>
      </c>
      <c r="E6" s="2">
        <f>'Demand Stage 2'!E44</f>
        <v>25</v>
      </c>
      <c r="F6" s="2">
        <f>'Demand Stage 2'!F44</f>
        <v>25</v>
      </c>
      <c r="G6" s="2">
        <f>'Demand Stage 2'!G44</f>
        <v>25</v>
      </c>
      <c r="H6" s="2">
        <f>'Demand Stage 2'!H44</f>
        <v>25</v>
      </c>
      <c r="I6" s="2">
        <f>'Demand Stage 2'!I44</f>
        <v>25</v>
      </c>
      <c r="J6" s="2">
        <f>'Demand Stage 2'!J44</f>
        <v>25</v>
      </c>
      <c r="K6" s="2">
        <f>'Demand Stage 2'!K44</f>
        <v>50</v>
      </c>
      <c r="L6" s="2">
        <f>'Demand Stage 2'!L44</f>
        <v>25</v>
      </c>
      <c r="M6" s="3">
        <v>0</v>
      </c>
      <c r="N6" s="3">
        <v>0</v>
      </c>
      <c r="O6" s="3">
        <v>0</v>
      </c>
      <c r="P6" s="3">
        <v>0</v>
      </c>
      <c r="Q6" s="3">
        <v>0</v>
      </c>
      <c r="R6" s="3">
        <v>0</v>
      </c>
      <c r="S6" s="3">
        <v>0</v>
      </c>
      <c r="T6" s="3">
        <v>0</v>
      </c>
      <c r="U6" s="3">
        <v>0</v>
      </c>
      <c r="V6" s="3">
        <v>0</v>
      </c>
      <c r="W6" s="3">
        <v>0</v>
      </c>
    </row>
    <row r="7" spans="1:23" x14ac:dyDescent="0.2">
      <c r="A7" s="1">
        <v>2</v>
      </c>
      <c r="B7" s="2">
        <f>'Demand Stage 2'!B45</f>
        <v>12.5</v>
      </c>
      <c r="C7" s="2">
        <f>'Demand Stage 2'!C45</f>
        <v>12.5</v>
      </c>
      <c r="D7" s="2">
        <f>'Demand Stage 2'!D45</f>
        <v>12.5</v>
      </c>
      <c r="E7" s="2">
        <f>'Demand Stage 2'!E45</f>
        <v>25</v>
      </c>
      <c r="F7" s="2">
        <f>'Demand Stage 2'!F45</f>
        <v>25</v>
      </c>
      <c r="G7" s="2">
        <f>'Demand Stage 2'!G45</f>
        <v>25</v>
      </c>
      <c r="H7" s="2">
        <f>'Demand Stage 2'!H45</f>
        <v>25</v>
      </c>
      <c r="I7" s="2">
        <f>'Demand Stage 2'!I45</f>
        <v>25</v>
      </c>
      <c r="J7" s="2">
        <f>'Demand Stage 2'!J45</f>
        <v>25</v>
      </c>
      <c r="K7" s="2">
        <f>'Demand Stage 2'!K45</f>
        <v>50</v>
      </c>
      <c r="L7" s="2">
        <f>'Demand Stage 2'!L45</f>
        <v>25</v>
      </c>
      <c r="M7" s="3">
        <v>0</v>
      </c>
      <c r="N7" s="3">
        <v>0</v>
      </c>
      <c r="O7" s="3">
        <v>0</v>
      </c>
      <c r="P7" s="3">
        <v>0</v>
      </c>
      <c r="Q7" s="3">
        <v>0</v>
      </c>
      <c r="R7" s="3">
        <v>0</v>
      </c>
      <c r="S7" s="3">
        <v>0</v>
      </c>
      <c r="T7" s="3">
        <v>0</v>
      </c>
      <c r="U7" s="3">
        <v>0</v>
      </c>
      <c r="V7" s="3">
        <v>0</v>
      </c>
      <c r="W7" s="3">
        <v>0</v>
      </c>
    </row>
    <row r="8" spans="1:23" x14ac:dyDescent="0.2">
      <c r="A8" s="1">
        <v>3</v>
      </c>
      <c r="B8" s="2">
        <f>'Demand Stage 2'!B46</f>
        <v>12.5</v>
      </c>
      <c r="C8" s="2">
        <f>'Demand Stage 2'!C46</f>
        <v>12.5</v>
      </c>
      <c r="D8" s="2">
        <f>'Demand Stage 2'!D46</f>
        <v>12.5</v>
      </c>
      <c r="E8" s="2">
        <f>'Demand Stage 2'!E46</f>
        <v>25</v>
      </c>
      <c r="F8" s="2">
        <f>'Demand Stage 2'!F46</f>
        <v>25</v>
      </c>
      <c r="G8" s="2">
        <f>'Demand Stage 2'!G46</f>
        <v>25</v>
      </c>
      <c r="H8" s="2">
        <f>'Demand Stage 2'!H46</f>
        <v>25</v>
      </c>
      <c r="I8" s="2">
        <f>'Demand Stage 2'!I46</f>
        <v>25</v>
      </c>
      <c r="J8" s="2">
        <f>'Demand Stage 2'!J46</f>
        <v>25</v>
      </c>
      <c r="K8" s="2">
        <f>'Demand Stage 2'!K46</f>
        <v>50</v>
      </c>
      <c r="L8" s="2">
        <f>'Demand Stage 2'!L46</f>
        <v>25</v>
      </c>
      <c r="M8" s="3">
        <v>0</v>
      </c>
      <c r="N8" s="3">
        <v>0</v>
      </c>
      <c r="O8" s="3">
        <v>0</v>
      </c>
      <c r="P8" s="3">
        <v>0</v>
      </c>
      <c r="Q8" s="3">
        <v>0</v>
      </c>
      <c r="R8" s="3">
        <v>0</v>
      </c>
      <c r="S8" s="3">
        <v>0</v>
      </c>
      <c r="T8" s="3">
        <v>0</v>
      </c>
      <c r="U8" s="3">
        <v>0</v>
      </c>
      <c r="V8" s="3">
        <v>0</v>
      </c>
      <c r="W8" s="3">
        <v>0</v>
      </c>
    </row>
    <row r="9" spans="1:23" x14ac:dyDescent="0.2">
      <c r="A9" s="1">
        <v>4</v>
      </c>
      <c r="B9" s="2">
        <f>'Demand Stage 2'!B47</f>
        <v>12.5</v>
      </c>
      <c r="C9" s="2">
        <f>'Demand Stage 2'!C47</f>
        <v>12.5</v>
      </c>
      <c r="D9" s="2">
        <f>'Demand Stage 2'!D47</f>
        <v>12.5</v>
      </c>
      <c r="E9" s="2">
        <f>'Demand Stage 2'!E47</f>
        <v>28.125</v>
      </c>
      <c r="F9" s="2">
        <f>'Demand Stage 2'!F47</f>
        <v>28.125</v>
      </c>
      <c r="G9" s="2">
        <f>'Demand Stage 2'!G47</f>
        <v>28.125</v>
      </c>
      <c r="H9" s="2">
        <f>'Demand Stage 2'!H47</f>
        <v>28.125</v>
      </c>
      <c r="I9" s="2">
        <f>'Demand Stage 2'!I47</f>
        <v>25</v>
      </c>
      <c r="J9" s="2">
        <f>'Demand Stage 2'!J47</f>
        <v>25</v>
      </c>
      <c r="K9" s="2">
        <f>'Demand Stage 2'!K47</f>
        <v>56.25</v>
      </c>
      <c r="L9" s="2">
        <f>'Demand Stage 2'!L47</f>
        <v>25</v>
      </c>
      <c r="M9" s="3">
        <v>0</v>
      </c>
      <c r="N9" s="3">
        <v>0</v>
      </c>
      <c r="O9" s="3">
        <v>0</v>
      </c>
      <c r="P9" s="3">
        <v>0</v>
      </c>
      <c r="Q9" s="3">
        <v>0</v>
      </c>
      <c r="R9" s="3">
        <v>0</v>
      </c>
      <c r="S9" s="3">
        <v>0</v>
      </c>
      <c r="T9" s="3">
        <v>0</v>
      </c>
      <c r="U9" s="3">
        <v>0</v>
      </c>
      <c r="V9" s="3">
        <v>0</v>
      </c>
      <c r="W9" s="3">
        <v>0</v>
      </c>
    </row>
    <row r="10" spans="1:23" x14ac:dyDescent="0.2">
      <c r="A10" s="1">
        <v>5</v>
      </c>
      <c r="B10" s="2">
        <f>'Demand Stage 2'!B48</f>
        <v>12.5</v>
      </c>
      <c r="C10" s="2">
        <f>'Demand Stage 2'!C48</f>
        <v>12.5</v>
      </c>
      <c r="D10" s="2">
        <f>'Demand Stage 2'!D48</f>
        <v>12.5</v>
      </c>
      <c r="E10" s="2">
        <f>'Demand Stage 2'!E48</f>
        <v>25</v>
      </c>
      <c r="F10" s="2">
        <f>'Demand Stage 2'!F48</f>
        <v>25</v>
      </c>
      <c r="G10" s="2">
        <f>'Demand Stage 2'!G48</f>
        <v>25</v>
      </c>
      <c r="H10" s="2">
        <f>'Demand Stage 2'!H48</f>
        <v>25</v>
      </c>
      <c r="I10" s="2">
        <f>'Demand Stage 2'!I48</f>
        <v>25</v>
      </c>
      <c r="J10" s="2">
        <f>'Demand Stage 2'!J48</f>
        <v>25</v>
      </c>
      <c r="K10" s="2">
        <f>'Demand Stage 2'!K48</f>
        <v>43.75</v>
      </c>
      <c r="L10" s="2">
        <f>'Demand Stage 2'!L48</f>
        <v>25</v>
      </c>
      <c r="M10" s="3">
        <v>0</v>
      </c>
      <c r="N10" s="3">
        <v>0</v>
      </c>
      <c r="O10" s="3">
        <v>0</v>
      </c>
      <c r="P10" s="3">
        <v>0</v>
      </c>
      <c r="Q10" s="3">
        <v>0</v>
      </c>
      <c r="R10" s="3">
        <v>0</v>
      </c>
      <c r="S10" s="3">
        <v>0</v>
      </c>
      <c r="T10" s="3">
        <v>0</v>
      </c>
      <c r="U10" s="3">
        <v>0</v>
      </c>
      <c r="V10" s="3">
        <v>0</v>
      </c>
      <c r="W10" s="3">
        <v>0</v>
      </c>
    </row>
    <row r="11" spans="1:23" x14ac:dyDescent="0.2">
      <c r="A11" s="1">
        <v>6</v>
      </c>
      <c r="B11" s="2">
        <f>'Demand Stage 2'!B49</f>
        <v>12.5</v>
      </c>
      <c r="C11" s="2">
        <f>'Demand Stage 2'!C49</f>
        <v>12.5</v>
      </c>
      <c r="D11" s="2">
        <f>'Demand Stage 2'!D49</f>
        <v>12.5</v>
      </c>
      <c r="E11" s="2">
        <f>'Demand Stage 2'!E49</f>
        <v>25</v>
      </c>
      <c r="F11" s="2">
        <f>'Demand Stage 2'!F49</f>
        <v>25</v>
      </c>
      <c r="G11" s="2">
        <f>'Demand Stage 2'!G49</f>
        <v>25</v>
      </c>
      <c r="H11" s="2">
        <f>'Demand Stage 2'!H49</f>
        <v>25</v>
      </c>
      <c r="I11" s="2">
        <f>'Demand Stage 2'!I49</f>
        <v>25</v>
      </c>
      <c r="J11" s="2">
        <f>'Demand Stage 2'!J49</f>
        <v>25</v>
      </c>
      <c r="K11" s="2">
        <f>'Demand Stage 2'!K49</f>
        <v>43.75</v>
      </c>
      <c r="L11" s="2">
        <f>'Demand Stage 2'!L49</f>
        <v>25</v>
      </c>
      <c r="M11" s="3">
        <v>0</v>
      </c>
      <c r="N11" s="3">
        <v>0</v>
      </c>
      <c r="O11" s="3">
        <v>0</v>
      </c>
      <c r="P11" s="3">
        <v>0</v>
      </c>
      <c r="Q11" s="3">
        <v>0</v>
      </c>
      <c r="R11" s="3">
        <v>0</v>
      </c>
      <c r="S11" s="3">
        <v>0</v>
      </c>
      <c r="T11" s="3">
        <v>0</v>
      </c>
      <c r="U11" s="3">
        <v>0</v>
      </c>
      <c r="V11" s="3">
        <v>0</v>
      </c>
      <c r="W11" s="3">
        <v>0</v>
      </c>
    </row>
    <row r="12" spans="1:23" x14ac:dyDescent="0.2">
      <c r="A12" s="1">
        <v>7</v>
      </c>
      <c r="B12" s="2">
        <f>'Demand Stage 2'!B50</f>
        <v>12.5</v>
      </c>
      <c r="C12" s="2">
        <f>'Demand Stage 2'!C50</f>
        <v>12.5</v>
      </c>
      <c r="D12" s="2">
        <f>'Demand Stage 2'!D50</f>
        <v>12.5</v>
      </c>
      <c r="E12" s="2">
        <f>'Demand Stage 2'!E50</f>
        <v>28.125</v>
      </c>
      <c r="F12" s="2">
        <f>'Demand Stage 2'!F50</f>
        <v>28.125</v>
      </c>
      <c r="G12" s="2">
        <f>'Demand Stage 2'!G50</f>
        <v>28.125</v>
      </c>
      <c r="H12" s="2">
        <f>'Demand Stage 2'!H50</f>
        <v>28.125</v>
      </c>
      <c r="I12" s="2">
        <f>'Demand Stage 2'!I50</f>
        <v>25</v>
      </c>
      <c r="J12" s="2">
        <f>'Demand Stage 2'!J50</f>
        <v>25</v>
      </c>
      <c r="K12" s="2">
        <f>'Demand Stage 2'!K50</f>
        <v>50</v>
      </c>
      <c r="L12" s="2">
        <f>'Demand Stage 2'!L50</f>
        <v>25</v>
      </c>
      <c r="M12" s="3">
        <v>0</v>
      </c>
      <c r="N12" s="3">
        <v>0</v>
      </c>
      <c r="O12" s="3">
        <v>0</v>
      </c>
      <c r="P12" s="3">
        <v>0</v>
      </c>
      <c r="Q12" s="3">
        <v>0</v>
      </c>
      <c r="R12" s="3">
        <v>0</v>
      </c>
      <c r="S12" s="3">
        <v>0</v>
      </c>
      <c r="T12" s="3">
        <v>0</v>
      </c>
      <c r="U12" s="3">
        <v>0</v>
      </c>
      <c r="V12" s="3">
        <v>0</v>
      </c>
      <c r="W12" s="3">
        <v>0</v>
      </c>
    </row>
    <row r="13" spans="1:23" x14ac:dyDescent="0.2">
      <c r="A13" s="1">
        <v>8</v>
      </c>
      <c r="B13" s="2"/>
      <c r="C13" s="2"/>
      <c r="D13" s="2"/>
      <c r="E13" s="2"/>
      <c r="F13" s="2"/>
      <c r="G13" s="2"/>
      <c r="H13" s="2"/>
      <c r="I13" s="2"/>
      <c r="J13" s="2"/>
      <c r="K13" s="2"/>
      <c r="L13" s="2"/>
      <c r="M13" s="3"/>
      <c r="N13" s="3"/>
      <c r="O13" s="3"/>
      <c r="P13" s="3"/>
      <c r="Q13" s="3"/>
      <c r="R13" s="3"/>
      <c r="S13" s="3"/>
      <c r="T13" s="3">
        <v>0</v>
      </c>
      <c r="U13" s="3">
        <v>0</v>
      </c>
      <c r="V13" s="3">
        <v>0</v>
      </c>
      <c r="W13" s="3">
        <v>0</v>
      </c>
    </row>
    <row r="14" spans="1:23" x14ac:dyDescent="0.2">
      <c r="A14" s="1">
        <v>9</v>
      </c>
      <c r="B14" s="2"/>
      <c r="C14" s="2"/>
      <c r="D14" s="2"/>
      <c r="E14" s="2"/>
      <c r="F14" s="2"/>
      <c r="G14" s="2"/>
      <c r="H14" s="2"/>
      <c r="I14" s="2"/>
      <c r="J14" s="2"/>
      <c r="K14" s="2"/>
      <c r="L14" s="2"/>
      <c r="M14" s="3"/>
      <c r="N14" s="3"/>
      <c r="O14" s="3"/>
      <c r="P14" s="3"/>
      <c r="Q14" s="3"/>
      <c r="R14" s="3"/>
      <c r="S14" s="3"/>
      <c r="T14" s="3">
        <v>0</v>
      </c>
      <c r="U14" s="3">
        <v>0</v>
      </c>
      <c r="V14" s="3">
        <v>0</v>
      </c>
      <c r="W14" s="3">
        <v>0</v>
      </c>
    </row>
    <row r="15" spans="1:23" x14ac:dyDescent="0.2">
      <c r="A15" s="1">
        <v>10</v>
      </c>
      <c r="B15" s="2"/>
      <c r="C15" s="2"/>
      <c r="D15" s="2"/>
      <c r="E15" s="2"/>
      <c r="F15" s="2"/>
      <c r="G15" s="2"/>
      <c r="H15" s="2"/>
      <c r="I15" s="2"/>
      <c r="J15" s="2"/>
      <c r="K15" s="2"/>
      <c r="L15" s="2"/>
      <c r="M15" s="3"/>
      <c r="N15" s="3"/>
      <c r="O15" s="3"/>
      <c r="P15" s="3"/>
      <c r="Q15" s="3"/>
      <c r="R15" s="3"/>
      <c r="S15" s="3"/>
      <c r="T15" s="3">
        <v>0</v>
      </c>
      <c r="U15" s="3">
        <v>0</v>
      </c>
      <c r="V15" s="3">
        <v>0</v>
      </c>
      <c r="W15" s="3">
        <v>0</v>
      </c>
    </row>
    <row r="16" spans="1:23" x14ac:dyDescent="0.2">
      <c r="A16" s="1">
        <v>11</v>
      </c>
      <c r="B16" s="2"/>
      <c r="C16" s="2"/>
      <c r="D16" s="2"/>
      <c r="E16" s="2"/>
      <c r="F16" s="2"/>
      <c r="G16" s="2"/>
      <c r="H16" s="2"/>
      <c r="I16" s="2"/>
      <c r="J16" s="2"/>
      <c r="K16" s="2"/>
      <c r="L16" s="2"/>
      <c r="M16" s="3"/>
      <c r="N16" s="3"/>
      <c r="O16" s="3"/>
      <c r="P16" s="3"/>
      <c r="Q16" s="3"/>
      <c r="R16" s="3"/>
      <c r="S16" s="3"/>
      <c r="T16" s="3">
        <v>0</v>
      </c>
      <c r="U16" s="3">
        <v>0</v>
      </c>
      <c r="V16" s="3">
        <v>0</v>
      </c>
      <c r="W16" s="3">
        <v>0</v>
      </c>
    </row>
    <row r="17" spans="1:23" x14ac:dyDescent="0.2">
      <c r="A17" s="1">
        <v>12</v>
      </c>
      <c r="B17" s="2"/>
      <c r="C17" s="2"/>
      <c r="D17" s="2"/>
      <c r="E17" s="2"/>
      <c r="F17" s="2"/>
      <c r="G17" s="2"/>
      <c r="H17" s="2"/>
      <c r="I17" s="2"/>
      <c r="J17" s="2"/>
      <c r="K17" s="2"/>
      <c r="L17" s="2"/>
      <c r="M17" s="3"/>
      <c r="N17" s="3"/>
      <c r="O17" s="3"/>
      <c r="P17" s="3"/>
      <c r="Q17" s="3"/>
      <c r="R17" s="3"/>
      <c r="S17" s="3"/>
      <c r="T17" s="3">
        <v>0</v>
      </c>
      <c r="U17" s="3">
        <v>0</v>
      </c>
      <c r="V17" s="3">
        <v>0</v>
      </c>
      <c r="W17" s="3">
        <v>0</v>
      </c>
    </row>
    <row r="18" spans="1:23" x14ac:dyDescent="0.2">
      <c r="A18" s="1">
        <v>13</v>
      </c>
      <c r="B18" s="2"/>
      <c r="C18" s="2"/>
      <c r="D18" s="2"/>
      <c r="E18" s="2"/>
      <c r="F18" s="2"/>
      <c r="G18" s="2"/>
      <c r="H18" s="2"/>
      <c r="I18" s="2"/>
      <c r="J18" s="2"/>
      <c r="K18" s="2"/>
      <c r="L18" s="2"/>
      <c r="M18" s="3"/>
      <c r="N18" s="3"/>
      <c r="O18" s="3"/>
      <c r="P18" s="3"/>
      <c r="Q18" s="3"/>
      <c r="R18" s="3"/>
      <c r="S18" s="3"/>
      <c r="T18" s="3">
        <v>0</v>
      </c>
      <c r="U18" s="3">
        <v>0</v>
      </c>
      <c r="V18" s="3">
        <v>0</v>
      </c>
      <c r="W18" s="3">
        <v>0</v>
      </c>
    </row>
    <row r="19" spans="1:23" x14ac:dyDescent="0.2">
      <c r="A19" s="1">
        <v>14</v>
      </c>
      <c r="B19" s="2"/>
      <c r="C19" s="2"/>
      <c r="D19" s="2"/>
      <c r="E19" s="2"/>
      <c r="F19" s="2"/>
      <c r="G19" s="2"/>
      <c r="H19" s="2"/>
      <c r="I19" s="2"/>
      <c r="J19" s="2"/>
      <c r="K19" s="2"/>
      <c r="L19" s="2"/>
      <c r="M19" s="3"/>
      <c r="N19" s="3"/>
      <c r="O19" s="3"/>
      <c r="P19" s="3"/>
      <c r="Q19" s="3"/>
      <c r="R19" s="3"/>
      <c r="S19" s="3"/>
      <c r="T19" s="3">
        <v>0</v>
      </c>
      <c r="U19" s="3">
        <v>0</v>
      </c>
      <c r="V19" s="3">
        <v>0</v>
      </c>
      <c r="W19" s="3">
        <v>0</v>
      </c>
    </row>
    <row r="20" spans="1:23" x14ac:dyDescent="0.2">
      <c r="A20" s="1">
        <v>15</v>
      </c>
      <c r="B20" s="2"/>
      <c r="C20" s="2"/>
      <c r="D20" s="2"/>
      <c r="E20" s="2"/>
      <c r="F20" s="2"/>
      <c r="G20" s="2"/>
      <c r="H20" s="2"/>
      <c r="I20" s="2"/>
      <c r="J20" s="2"/>
      <c r="K20" s="2"/>
      <c r="L20" s="2"/>
      <c r="M20" s="3"/>
      <c r="N20" s="3"/>
      <c r="O20" s="3"/>
      <c r="P20" s="3"/>
      <c r="Q20" s="3"/>
      <c r="R20" s="3"/>
      <c r="S20" s="3"/>
      <c r="T20" s="3">
        <v>0</v>
      </c>
      <c r="U20" s="3">
        <v>0</v>
      </c>
      <c r="V20" s="3">
        <v>0</v>
      </c>
      <c r="W20" s="3">
        <v>0</v>
      </c>
    </row>
    <row r="21" spans="1:23" x14ac:dyDescent="0.2">
      <c r="A21" s="1">
        <v>16</v>
      </c>
      <c r="B21" s="2"/>
      <c r="C21" s="2"/>
      <c r="D21" s="2"/>
      <c r="E21" s="2"/>
      <c r="F21" s="2"/>
      <c r="G21" s="2"/>
      <c r="H21" s="2"/>
      <c r="I21" s="2"/>
      <c r="J21" s="2"/>
      <c r="K21" s="2"/>
      <c r="L21" s="2"/>
      <c r="M21" s="3"/>
      <c r="N21" s="3"/>
      <c r="O21" s="3"/>
      <c r="P21" s="3"/>
      <c r="Q21" s="3"/>
      <c r="R21" s="3"/>
      <c r="S21" s="3"/>
      <c r="T21" s="3">
        <v>0</v>
      </c>
      <c r="U21" s="3">
        <v>0</v>
      </c>
      <c r="V21" s="3">
        <v>0</v>
      </c>
      <c r="W21" s="3">
        <v>0</v>
      </c>
    </row>
    <row r="22" spans="1:23" x14ac:dyDescent="0.2">
      <c r="A22" s="1">
        <v>17</v>
      </c>
      <c r="B22" s="2"/>
      <c r="C22" s="2"/>
      <c r="D22" s="2"/>
      <c r="E22" s="2"/>
      <c r="F22" s="2"/>
      <c r="G22" s="2"/>
      <c r="H22" s="2"/>
      <c r="I22" s="2"/>
      <c r="J22" s="2"/>
      <c r="K22" s="2"/>
      <c r="L22" s="2"/>
      <c r="M22" s="3"/>
      <c r="N22" s="3"/>
      <c r="O22" s="3"/>
      <c r="P22" s="3"/>
      <c r="Q22" s="3"/>
      <c r="R22" s="3"/>
      <c r="S22" s="3"/>
      <c r="T22" s="3">
        <v>0</v>
      </c>
      <c r="U22" s="3">
        <v>0</v>
      </c>
      <c r="V22" s="3">
        <v>0</v>
      </c>
      <c r="W22" s="3">
        <v>0</v>
      </c>
    </row>
    <row r="23" spans="1:23" x14ac:dyDescent="0.2">
      <c r="A23" s="1">
        <v>18</v>
      </c>
      <c r="B23" s="2"/>
      <c r="C23" s="2"/>
      <c r="D23" s="2"/>
      <c r="E23" s="2"/>
      <c r="F23" s="2"/>
      <c r="G23" s="2"/>
      <c r="H23" s="2"/>
      <c r="I23" s="2"/>
      <c r="J23" s="2"/>
      <c r="K23" s="2"/>
      <c r="L23" s="2"/>
      <c r="M23" s="3"/>
      <c r="N23" s="3"/>
      <c r="O23" s="3"/>
      <c r="P23" s="3"/>
      <c r="Q23" s="3"/>
      <c r="R23" s="3"/>
      <c r="S23" s="3"/>
      <c r="T23" s="3">
        <v>0</v>
      </c>
      <c r="U23" s="3">
        <v>0</v>
      </c>
      <c r="V23" s="3">
        <v>0</v>
      </c>
      <c r="W23" s="3">
        <v>0</v>
      </c>
    </row>
    <row r="24" spans="1:23" x14ac:dyDescent="0.2">
      <c r="A24" s="1">
        <v>19</v>
      </c>
      <c r="B24" s="2"/>
      <c r="C24" s="2"/>
      <c r="D24" s="2"/>
      <c r="E24" s="2"/>
      <c r="F24" s="2"/>
      <c r="G24" s="2"/>
      <c r="H24" s="2"/>
      <c r="I24" s="2"/>
      <c r="J24" s="2"/>
      <c r="K24" s="2"/>
      <c r="L24" s="2"/>
      <c r="M24" s="3"/>
      <c r="N24" s="3"/>
      <c r="O24" s="3"/>
      <c r="P24" s="3"/>
      <c r="Q24" s="3"/>
      <c r="R24" s="3"/>
      <c r="S24" s="3"/>
      <c r="T24" s="3">
        <v>0</v>
      </c>
      <c r="U24" s="3">
        <v>0</v>
      </c>
      <c r="V24" s="3">
        <v>0</v>
      </c>
      <c r="W24" s="3">
        <v>0</v>
      </c>
    </row>
    <row r="25" spans="1:23" x14ac:dyDescent="0.2">
      <c r="A25" s="1">
        <v>20</v>
      </c>
      <c r="B25" s="2"/>
      <c r="C25" s="2"/>
      <c r="D25" s="2"/>
      <c r="E25" s="2"/>
      <c r="F25" s="2"/>
      <c r="G25" s="2"/>
      <c r="H25" s="2"/>
      <c r="I25" s="2"/>
      <c r="J25" s="2"/>
      <c r="K25" s="2"/>
      <c r="L25" s="2"/>
      <c r="M25" s="3"/>
      <c r="N25" s="3"/>
      <c r="O25" s="3"/>
      <c r="P25" s="3"/>
      <c r="Q25" s="3"/>
      <c r="R25" s="3"/>
      <c r="S25" s="3"/>
      <c r="T25" s="3">
        <v>0</v>
      </c>
      <c r="U25" s="3">
        <v>0</v>
      </c>
      <c r="V25" s="3">
        <v>0</v>
      </c>
      <c r="W25" s="3">
        <v>0</v>
      </c>
    </row>
    <row r="26" spans="1:23" x14ac:dyDescent="0.2">
      <c r="A26" s="1">
        <v>21</v>
      </c>
      <c r="B26" s="2"/>
      <c r="C26" s="2"/>
      <c r="D26" s="2"/>
      <c r="E26" s="2"/>
      <c r="F26" s="2"/>
      <c r="G26" s="2"/>
      <c r="H26" s="2"/>
      <c r="I26" s="2"/>
      <c r="J26" s="2"/>
      <c r="K26" s="2"/>
      <c r="L26" s="2"/>
      <c r="M26" s="3"/>
      <c r="N26" s="3"/>
      <c r="O26" s="3"/>
      <c r="P26" s="3"/>
      <c r="Q26" s="3"/>
      <c r="R26" s="3"/>
      <c r="S26" s="3"/>
      <c r="T26" s="3">
        <v>0</v>
      </c>
      <c r="U26" s="3">
        <v>0</v>
      </c>
      <c r="V26" s="3">
        <v>0</v>
      </c>
      <c r="W26" s="3">
        <v>0</v>
      </c>
    </row>
    <row r="27" spans="1:23" x14ac:dyDescent="0.2">
      <c r="A27" s="1">
        <v>22</v>
      </c>
      <c r="B27" s="2"/>
      <c r="C27" s="2"/>
      <c r="D27" s="2"/>
      <c r="E27" s="2"/>
      <c r="F27" s="2"/>
      <c r="G27" s="2"/>
      <c r="H27" s="2"/>
      <c r="I27" s="2"/>
      <c r="J27" s="2"/>
      <c r="K27" s="2"/>
      <c r="L27" s="2"/>
      <c r="M27" s="3"/>
      <c r="N27" s="3"/>
      <c r="O27" s="3"/>
      <c r="P27" s="3"/>
      <c r="Q27" s="3"/>
      <c r="R27" s="3"/>
      <c r="S27" s="3"/>
      <c r="T27" s="3">
        <v>0</v>
      </c>
      <c r="U27" s="3">
        <v>0</v>
      </c>
      <c r="V27" s="3">
        <v>0</v>
      </c>
      <c r="W27" s="3">
        <v>0</v>
      </c>
    </row>
    <row r="28" spans="1:23" x14ac:dyDescent="0.2">
      <c r="A28" s="1">
        <v>23</v>
      </c>
      <c r="B28" s="2"/>
      <c r="C28" s="2"/>
      <c r="D28" s="2"/>
      <c r="E28" s="2"/>
      <c r="F28" s="2"/>
      <c r="G28" s="2"/>
      <c r="H28" s="2"/>
      <c r="I28" s="2"/>
      <c r="J28" s="2"/>
      <c r="K28" s="2"/>
      <c r="L28" s="2"/>
      <c r="M28" s="3"/>
      <c r="N28" s="3"/>
      <c r="O28" s="3"/>
      <c r="P28" s="3"/>
      <c r="Q28" s="3"/>
      <c r="R28" s="3"/>
      <c r="S28" s="3"/>
      <c r="T28" s="3">
        <v>0</v>
      </c>
      <c r="U28" s="3">
        <v>0</v>
      </c>
      <c r="V28" s="3">
        <v>0</v>
      </c>
      <c r="W28" s="3">
        <v>0</v>
      </c>
    </row>
  </sheetData>
  <mergeCells count="4">
    <mergeCell ref="B3:L3"/>
    <mergeCell ref="M3:W3"/>
    <mergeCell ref="B1:W1"/>
    <mergeCell ref="B2:W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AAC66"/>
  <sheetViews>
    <sheetView topLeftCell="A11" zoomScale="125" zoomScaleNormal="200" workbookViewId="0">
      <selection activeCell="C65" sqref="C65"/>
    </sheetView>
  </sheetViews>
  <sheetFormatPr baseColWidth="10" defaultRowHeight="16" x14ac:dyDescent="0.2"/>
  <cols>
    <col min="1" max="1" width="15.33203125" bestFit="1" customWidth="1"/>
    <col min="2" max="2" width="26.1640625" bestFit="1" customWidth="1"/>
    <col min="3" max="3" width="11.1640625" bestFit="1" customWidth="1"/>
    <col min="4" max="4" width="9" bestFit="1" customWidth="1"/>
    <col min="5" max="5" width="14" bestFit="1" customWidth="1"/>
    <col min="6" max="6" width="16.5" bestFit="1" customWidth="1"/>
    <col min="7" max="7" width="15" bestFit="1" customWidth="1"/>
    <col min="8" max="8" width="17.5" bestFit="1" customWidth="1"/>
    <col min="9" max="9" width="17.1640625" bestFit="1" customWidth="1"/>
    <col min="10" max="10" width="19.5" bestFit="1" customWidth="1"/>
    <col min="11" max="11" width="12.1640625" bestFit="1" customWidth="1"/>
    <col min="12" max="12" width="8.1640625" bestFit="1" customWidth="1"/>
    <col min="13" max="13" width="10.5" bestFit="1" customWidth="1"/>
    <col min="14" max="14" width="11.1640625" bestFit="1" customWidth="1"/>
    <col min="15" max="15" width="9" bestFit="1" customWidth="1"/>
    <col min="16" max="16" width="14" bestFit="1" customWidth="1"/>
    <col min="17" max="17" width="16.5" bestFit="1" customWidth="1"/>
    <col min="18" max="18" width="15" bestFit="1" customWidth="1"/>
    <col min="19" max="19" width="17.5" bestFit="1" customWidth="1"/>
    <col min="20" max="20" width="17.1640625" bestFit="1" customWidth="1"/>
    <col min="21" max="21" width="19.5" bestFit="1" customWidth="1"/>
    <col min="22" max="22" width="12.1640625" bestFit="1" customWidth="1"/>
    <col min="23" max="23" width="8.1640625" bestFit="1" customWidth="1"/>
  </cols>
  <sheetData>
    <row r="1" spans="1:705" x14ac:dyDescent="0.2">
      <c r="A1" s="4" t="s">
        <v>24</v>
      </c>
      <c r="B1" s="68">
        <f>1+Parameters!$B$7</f>
        <v>9</v>
      </c>
      <c r="C1" s="69"/>
      <c r="D1" s="69"/>
      <c r="E1" s="69"/>
      <c r="F1" s="69"/>
      <c r="G1" s="69"/>
      <c r="H1" s="69"/>
      <c r="I1" s="69"/>
      <c r="J1" s="69"/>
      <c r="K1" s="69"/>
      <c r="L1" s="69"/>
      <c r="M1" s="69"/>
      <c r="N1" s="69"/>
      <c r="O1" s="69"/>
      <c r="P1" s="69"/>
      <c r="Q1" s="69"/>
      <c r="R1" s="69"/>
      <c r="S1" s="69"/>
      <c r="T1" s="69"/>
      <c r="U1" s="69"/>
      <c r="V1" s="69"/>
      <c r="W1" s="70"/>
      <c r="X1" s="68">
        <f>B1+Parameters!$B$7</f>
        <v>17</v>
      </c>
      <c r="Y1" s="69"/>
      <c r="Z1" s="69"/>
      <c r="AA1" s="69"/>
      <c r="AB1" s="69"/>
      <c r="AC1" s="69"/>
      <c r="AD1" s="69"/>
      <c r="AE1" s="69"/>
      <c r="AF1" s="69"/>
      <c r="AG1" s="69"/>
      <c r="AH1" s="69"/>
      <c r="AI1" s="69"/>
      <c r="AJ1" s="69"/>
      <c r="AK1" s="69"/>
      <c r="AL1" s="69"/>
      <c r="AM1" s="69"/>
      <c r="AN1" s="69"/>
      <c r="AO1" s="69"/>
      <c r="AP1" s="69"/>
      <c r="AQ1" s="69"/>
      <c r="AR1" s="69"/>
      <c r="AS1" s="70"/>
      <c r="AT1" s="68">
        <f>X1+Parameters!$B$7</f>
        <v>25</v>
      </c>
      <c r="AU1" s="69"/>
      <c r="AV1" s="69"/>
      <c r="AW1" s="69"/>
      <c r="AX1" s="69"/>
      <c r="AY1" s="69"/>
      <c r="AZ1" s="69"/>
      <c r="BA1" s="69"/>
      <c r="BB1" s="69"/>
      <c r="BC1" s="69"/>
      <c r="BD1" s="69"/>
      <c r="BE1" s="69"/>
      <c r="BF1" s="69"/>
      <c r="BG1" s="69"/>
      <c r="BH1" s="69"/>
      <c r="BI1" s="69"/>
      <c r="BJ1" s="69"/>
      <c r="BK1" s="69"/>
      <c r="BL1" s="69"/>
      <c r="BM1" s="69"/>
      <c r="BN1" s="69"/>
      <c r="BO1" s="70"/>
      <c r="BP1" s="68">
        <f>AT1+Parameters!$B$7</f>
        <v>33</v>
      </c>
      <c r="BQ1" s="69"/>
      <c r="BR1" s="69"/>
      <c r="BS1" s="69"/>
      <c r="BT1" s="69"/>
      <c r="BU1" s="69"/>
      <c r="BV1" s="69"/>
      <c r="BW1" s="69"/>
      <c r="BX1" s="69"/>
      <c r="BY1" s="69"/>
      <c r="BZ1" s="69"/>
      <c r="CA1" s="69"/>
      <c r="CB1" s="69"/>
      <c r="CC1" s="69"/>
      <c r="CD1" s="69"/>
      <c r="CE1" s="69"/>
      <c r="CF1" s="69"/>
      <c r="CG1" s="69"/>
      <c r="CH1" s="69"/>
      <c r="CI1" s="69"/>
      <c r="CJ1" s="69"/>
      <c r="CK1" s="70"/>
      <c r="CL1" s="68">
        <f>BP1+Parameters!$B$7</f>
        <v>41</v>
      </c>
      <c r="CM1" s="69"/>
      <c r="CN1" s="69"/>
      <c r="CO1" s="69"/>
      <c r="CP1" s="69"/>
      <c r="CQ1" s="69"/>
      <c r="CR1" s="69"/>
      <c r="CS1" s="69"/>
      <c r="CT1" s="69"/>
      <c r="CU1" s="69"/>
      <c r="CV1" s="69"/>
      <c r="CW1" s="69"/>
      <c r="CX1" s="69"/>
      <c r="CY1" s="69"/>
      <c r="CZ1" s="69"/>
      <c r="DA1" s="69"/>
      <c r="DB1" s="69"/>
      <c r="DC1" s="69"/>
      <c r="DD1" s="69"/>
      <c r="DE1" s="69"/>
      <c r="DF1" s="69"/>
      <c r="DG1" s="70"/>
      <c r="DH1" s="68">
        <f>CL1+Parameters!$B$7</f>
        <v>49</v>
      </c>
      <c r="DI1" s="69"/>
      <c r="DJ1" s="69"/>
      <c r="DK1" s="69"/>
      <c r="DL1" s="69"/>
      <c r="DM1" s="69"/>
      <c r="DN1" s="69"/>
      <c r="DO1" s="69"/>
      <c r="DP1" s="69"/>
      <c r="DQ1" s="69"/>
      <c r="DR1" s="69"/>
      <c r="DS1" s="69"/>
      <c r="DT1" s="69"/>
      <c r="DU1" s="69"/>
      <c r="DV1" s="69"/>
      <c r="DW1" s="69"/>
      <c r="DX1" s="69"/>
      <c r="DY1" s="69"/>
      <c r="DZ1" s="69"/>
      <c r="EA1" s="69"/>
      <c r="EB1" s="69"/>
      <c r="EC1" s="70"/>
      <c r="ED1" s="68">
        <f>DH1+Parameters!$B$7</f>
        <v>57</v>
      </c>
      <c r="EE1" s="69"/>
      <c r="EF1" s="69"/>
      <c r="EG1" s="69"/>
      <c r="EH1" s="69"/>
      <c r="EI1" s="69"/>
      <c r="EJ1" s="69"/>
      <c r="EK1" s="69"/>
      <c r="EL1" s="69"/>
      <c r="EM1" s="69"/>
      <c r="EN1" s="69"/>
      <c r="EO1" s="69"/>
      <c r="EP1" s="69"/>
      <c r="EQ1" s="69"/>
      <c r="ER1" s="69"/>
      <c r="ES1" s="69"/>
      <c r="ET1" s="69"/>
      <c r="EU1" s="69"/>
      <c r="EV1" s="69"/>
      <c r="EW1" s="69"/>
      <c r="EX1" s="69"/>
      <c r="EY1" s="70"/>
      <c r="EZ1" s="68">
        <f>ED1+Parameters!$B$7</f>
        <v>65</v>
      </c>
      <c r="FA1" s="69"/>
      <c r="FB1" s="69"/>
      <c r="FC1" s="69"/>
      <c r="FD1" s="69"/>
      <c r="FE1" s="69"/>
      <c r="FF1" s="69"/>
      <c r="FG1" s="69"/>
      <c r="FH1" s="69"/>
      <c r="FI1" s="69"/>
      <c r="FJ1" s="69"/>
      <c r="FK1" s="69"/>
      <c r="FL1" s="69"/>
      <c r="FM1" s="69"/>
      <c r="FN1" s="69"/>
      <c r="FO1" s="69"/>
      <c r="FP1" s="69"/>
      <c r="FQ1" s="69"/>
      <c r="FR1" s="69"/>
      <c r="FS1" s="69"/>
      <c r="FT1" s="69"/>
      <c r="FU1" s="70"/>
      <c r="FV1" s="68">
        <f>EZ1+Parameters!$B$7</f>
        <v>73</v>
      </c>
      <c r="FW1" s="69"/>
      <c r="FX1" s="69"/>
      <c r="FY1" s="69"/>
      <c r="FZ1" s="69"/>
      <c r="GA1" s="69"/>
      <c r="GB1" s="69"/>
      <c r="GC1" s="69"/>
      <c r="GD1" s="69"/>
      <c r="GE1" s="69"/>
      <c r="GF1" s="69"/>
      <c r="GG1" s="69"/>
      <c r="GH1" s="69"/>
      <c r="GI1" s="69"/>
      <c r="GJ1" s="69"/>
      <c r="GK1" s="69"/>
      <c r="GL1" s="69"/>
      <c r="GM1" s="69"/>
      <c r="GN1" s="69"/>
      <c r="GO1" s="69"/>
      <c r="GP1" s="69"/>
      <c r="GQ1" s="70"/>
      <c r="GR1" s="68">
        <f>FV1+Parameters!$B$7</f>
        <v>81</v>
      </c>
      <c r="GS1" s="69"/>
      <c r="GT1" s="69"/>
      <c r="GU1" s="69"/>
      <c r="GV1" s="69"/>
      <c r="GW1" s="69"/>
      <c r="GX1" s="69"/>
      <c r="GY1" s="69"/>
      <c r="GZ1" s="69"/>
      <c r="HA1" s="69"/>
      <c r="HB1" s="69"/>
      <c r="HC1" s="69"/>
      <c r="HD1" s="69"/>
      <c r="HE1" s="69"/>
      <c r="HF1" s="69"/>
      <c r="HG1" s="69"/>
      <c r="HH1" s="69"/>
      <c r="HI1" s="69"/>
      <c r="HJ1" s="69"/>
      <c r="HK1" s="69"/>
      <c r="HL1" s="69"/>
      <c r="HM1" s="70"/>
      <c r="HN1" s="68">
        <f>GR1+Parameters!$B$7</f>
        <v>89</v>
      </c>
      <c r="HO1" s="69"/>
      <c r="HP1" s="69"/>
      <c r="HQ1" s="69"/>
      <c r="HR1" s="69"/>
      <c r="HS1" s="69"/>
      <c r="HT1" s="69"/>
      <c r="HU1" s="69"/>
      <c r="HV1" s="69"/>
      <c r="HW1" s="69"/>
      <c r="HX1" s="69"/>
      <c r="HY1" s="69"/>
      <c r="HZ1" s="69"/>
      <c r="IA1" s="69"/>
      <c r="IB1" s="69"/>
      <c r="IC1" s="69"/>
      <c r="ID1" s="69"/>
      <c r="IE1" s="69"/>
      <c r="IF1" s="69"/>
      <c r="IG1" s="69"/>
      <c r="IH1" s="69"/>
      <c r="II1" s="70"/>
      <c r="IJ1" s="68">
        <f>HN1+Parameters!$B$7</f>
        <v>97</v>
      </c>
      <c r="IK1" s="69"/>
      <c r="IL1" s="69"/>
      <c r="IM1" s="69"/>
      <c r="IN1" s="69"/>
      <c r="IO1" s="69"/>
      <c r="IP1" s="69"/>
      <c r="IQ1" s="69"/>
      <c r="IR1" s="69"/>
      <c r="IS1" s="69"/>
      <c r="IT1" s="69"/>
      <c r="IU1" s="69"/>
      <c r="IV1" s="69"/>
      <c r="IW1" s="69"/>
      <c r="IX1" s="69"/>
      <c r="IY1" s="69"/>
      <c r="IZ1" s="69"/>
      <c r="JA1" s="69"/>
      <c r="JB1" s="69"/>
      <c r="JC1" s="69"/>
      <c r="JD1" s="69"/>
      <c r="JE1" s="70"/>
      <c r="JF1" s="68">
        <f>IJ1+Parameters!$B$7</f>
        <v>105</v>
      </c>
      <c r="JG1" s="69"/>
      <c r="JH1" s="69"/>
      <c r="JI1" s="69"/>
      <c r="JJ1" s="69"/>
      <c r="JK1" s="69"/>
      <c r="JL1" s="69"/>
      <c r="JM1" s="69"/>
      <c r="JN1" s="69"/>
      <c r="JO1" s="69"/>
      <c r="JP1" s="69"/>
      <c r="JQ1" s="69"/>
      <c r="JR1" s="69"/>
      <c r="JS1" s="69"/>
      <c r="JT1" s="69"/>
      <c r="JU1" s="69"/>
      <c r="JV1" s="69"/>
      <c r="JW1" s="69"/>
      <c r="JX1" s="69"/>
      <c r="JY1" s="69"/>
      <c r="JZ1" s="69"/>
      <c r="KA1" s="70"/>
      <c r="KB1" s="68">
        <f>JF1+Parameters!$B$7</f>
        <v>113</v>
      </c>
      <c r="KC1" s="69"/>
      <c r="KD1" s="69"/>
      <c r="KE1" s="69"/>
      <c r="KF1" s="69"/>
      <c r="KG1" s="69"/>
      <c r="KH1" s="69"/>
      <c r="KI1" s="69"/>
      <c r="KJ1" s="69"/>
      <c r="KK1" s="69"/>
      <c r="KL1" s="69"/>
      <c r="KM1" s="69"/>
      <c r="KN1" s="69"/>
      <c r="KO1" s="69"/>
      <c r="KP1" s="69"/>
      <c r="KQ1" s="69"/>
      <c r="KR1" s="69"/>
      <c r="KS1" s="69"/>
      <c r="KT1" s="69"/>
      <c r="KU1" s="69"/>
      <c r="KV1" s="69"/>
      <c r="KW1" s="70"/>
      <c r="KX1" s="68">
        <f>KB1+Parameters!$B$7</f>
        <v>121</v>
      </c>
      <c r="KY1" s="69"/>
      <c r="KZ1" s="69"/>
      <c r="LA1" s="69"/>
      <c r="LB1" s="69"/>
      <c r="LC1" s="69"/>
      <c r="LD1" s="69"/>
      <c r="LE1" s="69"/>
      <c r="LF1" s="69"/>
      <c r="LG1" s="69"/>
      <c r="LH1" s="69"/>
      <c r="LI1" s="69"/>
      <c r="LJ1" s="69"/>
      <c r="LK1" s="69"/>
      <c r="LL1" s="69"/>
      <c r="LM1" s="69"/>
      <c r="LN1" s="69"/>
      <c r="LO1" s="69"/>
      <c r="LP1" s="69"/>
      <c r="LQ1" s="69"/>
      <c r="LR1" s="69"/>
      <c r="LS1" s="70"/>
      <c r="LT1" s="68">
        <f>KX1+Parameters!$B$7</f>
        <v>129</v>
      </c>
      <c r="LU1" s="69"/>
      <c r="LV1" s="69"/>
      <c r="LW1" s="69"/>
      <c r="LX1" s="69"/>
      <c r="LY1" s="69"/>
      <c r="LZ1" s="69"/>
      <c r="MA1" s="69"/>
      <c r="MB1" s="69"/>
      <c r="MC1" s="69"/>
      <c r="MD1" s="69"/>
      <c r="ME1" s="69"/>
      <c r="MF1" s="69"/>
      <c r="MG1" s="69"/>
      <c r="MH1" s="69"/>
      <c r="MI1" s="69"/>
      <c r="MJ1" s="69"/>
      <c r="MK1" s="69"/>
      <c r="ML1" s="69"/>
      <c r="MM1" s="69"/>
      <c r="MN1" s="69"/>
      <c r="MO1" s="70"/>
      <c r="MP1" s="68">
        <f>LT1+Parameters!$B$7</f>
        <v>137</v>
      </c>
      <c r="MQ1" s="69"/>
      <c r="MR1" s="69"/>
      <c r="MS1" s="69"/>
      <c r="MT1" s="69"/>
      <c r="MU1" s="69"/>
      <c r="MV1" s="69"/>
      <c r="MW1" s="69"/>
      <c r="MX1" s="69"/>
      <c r="MY1" s="69"/>
      <c r="MZ1" s="69"/>
      <c r="NA1" s="69"/>
      <c r="NB1" s="69"/>
      <c r="NC1" s="69"/>
      <c r="ND1" s="69"/>
      <c r="NE1" s="69"/>
      <c r="NF1" s="69"/>
      <c r="NG1" s="69"/>
      <c r="NH1" s="69"/>
      <c r="NI1" s="69"/>
      <c r="NJ1" s="69"/>
      <c r="NK1" s="70"/>
      <c r="NL1" s="68">
        <f>MP1+Parameters!$B$7</f>
        <v>145</v>
      </c>
      <c r="NM1" s="69"/>
      <c r="NN1" s="69"/>
      <c r="NO1" s="69"/>
      <c r="NP1" s="69"/>
      <c r="NQ1" s="69"/>
      <c r="NR1" s="69"/>
      <c r="NS1" s="69"/>
      <c r="NT1" s="69"/>
      <c r="NU1" s="69"/>
      <c r="NV1" s="69"/>
      <c r="NW1" s="69"/>
      <c r="NX1" s="69"/>
      <c r="NY1" s="69"/>
      <c r="NZ1" s="69"/>
      <c r="OA1" s="69"/>
      <c r="OB1" s="69"/>
      <c r="OC1" s="69"/>
      <c r="OD1" s="69"/>
      <c r="OE1" s="69"/>
      <c r="OF1" s="69"/>
      <c r="OG1" s="70"/>
      <c r="OH1" s="68">
        <f>NL1+Parameters!$B$7</f>
        <v>153</v>
      </c>
      <c r="OI1" s="69"/>
      <c r="OJ1" s="69"/>
      <c r="OK1" s="69"/>
      <c r="OL1" s="69"/>
      <c r="OM1" s="69"/>
      <c r="ON1" s="69"/>
      <c r="OO1" s="69"/>
      <c r="OP1" s="69"/>
      <c r="OQ1" s="69"/>
      <c r="OR1" s="69"/>
      <c r="OS1" s="69"/>
      <c r="OT1" s="69"/>
      <c r="OU1" s="69"/>
      <c r="OV1" s="69"/>
      <c r="OW1" s="69"/>
      <c r="OX1" s="69"/>
      <c r="OY1" s="69"/>
      <c r="OZ1" s="69"/>
      <c r="PA1" s="69"/>
      <c r="PB1" s="69"/>
      <c r="PC1" s="70"/>
      <c r="PD1" s="68">
        <f>OH1+Parameters!$B$7</f>
        <v>161</v>
      </c>
      <c r="PE1" s="69"/>
      <c r="PF1" s="69"/>
      <c r="PG1" s="69"/>
      <c r="PH1" s="69"/>
      <c r="PI1" s="69"/>
      <c r="PJ1" s="69"/>
      <c r="PK1" s="69"/>
      <c r="PL1" s="69"/>
      <c r="PM1" s="69"/>
      <c r="PN1" s="69"/>
      <c r="PO1" s="69"/>
      <c r="PP1" s="69"/>
      <c r="PQ1" s="69"/>
      <c r="PR1" s="69"/>
      <c r="PS1" s="69"/>
      <c r="PT1" s="69"/>
      <c r="PU1" s="69"/>
      <c r="PV1" s="69"/>
      <c r="PW1" s="69"/>
      <c r="PX1" s="69"/>
      <c r="PY1" s="70"/>
      <c r="PZ1" s="68">
        <f>PD1+Parameters!$B$7</f>
        <v>169</v>
      </c>
      <c r="QA1" s="69"/>
      <c r="QB1" s="69"/>
      <c r="QC1" s="69"/>
      <c r="QD1" s="69"/>
      <c r="QE1" s="69"/>
      <c r="QF1" s="69"/>
      <c r="QG1" s="69"/>
      <c r="QH1" s="69"/>
      <c r="QI1" s="69"/>
      <c r="QJ1" s="69"/>
      <c r="QK1" s="69"/>
      <c r="QL1" s="69"/>
      <c r="QM1" s="69"/>
      <c r="QN1" s="69"/>
      <c r="QO1" s="69"/>
      <c r="QP1" s="69"/>
      <c r="QQ1" s="69"/>
      <c r="QR1" s="69"/>
      <c r="QS1" s="69"/>
      <c r="QT1" s="69"/>
      <c r="QU1" s="70"/>
      <c r="QV1" s="68">
        <f>PZ1+Parameters!$B$7</f>
        <v>177</v>
      </c>
      <c r="QW1" s="69"/>
      <c r="QX1" s="69"/>
      <c r="QY1" s="69"/>
      <c r="QZ1" s="69"/>
      <c r="RA1" s="69"/>
      <c r="RB1" s="69"/>
      <c r="RC1" s="69"/>
      <c r="RD1" s="69"/>
      <c r="RE1" s="69"/>
      <c r="RF1" s="69"/>
      <c r="RG1" s="69"/>
      <c r="RH1" s="69"/>
      <c r="RI1" s="69"/>
      <c r="RJ1" s="69"/>
      <c r="RK1" s="69"/>
      <c r="RL1" s="69"/>
      <c r="RM1" s="69"/>
      <c r="RN1" s="69"/>
      <c r="RO1" s="69"/>
      <c r="RP1" s="69"/>
      <c r="RQ1" s="70"/>
      <c r="RR1" s="68">
        <f>QV1+Parameters!$B$7</f>
        <v>185</v>
      </c>
      <c r="RS1" s="69"/>
      <c r="RT1" s="69"/>
      <c r="RU1" s="69"/>
      <c r="RV1" s="69"/>
      <c r="RW1" s="69"/>
      <c r="RX1" s="69"/>
      <c r="RY1" s="69"/>
      <c r="RZ1" s="69"/>
      <c r="SA1" s="69"/>
      <c r="SB1" s="69"/>
      <c r="SC1" s="69"/>
      <c r="SD1" s="69"/>
      <c r="SE1" s="69"/>
      <c r="SF1" s="69"/>
      <c r="SG1" s="69"/>
      <c r="SH1" s="69"/>
      <c r="SI1" s="69"/>
      <c r="SJ1" s="69"/>
      <c r="SK1" s="69"/>
      <c r="SL1" s="69"/>
      <c r="SM1" s="70"/>
      <c r="SN1" s="68">
        <f>RR1+Parameters!$B$7</f>
        <v>193</v>
      </c>
      <c r="SO1" s="69"/>
      <c r="SP1" s="69"/>
      <c r="SQ1" s="69"/>
      <c r="SR1" s="69"/>
      <c r="SS1" s="69"/>
      <c r="ST1" s="69"/>
      <c r="SU1" s="69"/>
      <c r="SV1" s="69"/>
      <c r="SW1" s="69"/>
      <c r="SX1" s="69"/>
      <c r="SY1" s="69"/>
      <c r="SZ1" s="69"/>
      <c r="TA1" s="69"/>
      <c r="TB1" s="69"/>
      <c r="TC1" s="69"/>
      <c r="TD1" s="69"/>
      <c r="TE1" s="69"/>
      <c r="TF1" s="69"/>
      <c r="TG1" s="69"/>
      <c r="TH1" s="69"/>
      <c r="TI1" s="70"/>
      <c r="TJ1" s="68">
        <f>SN1+Parameters!$B$7</f>
        <v>201</v>
      </c>
      <c r="TK1" s="69"/>
      <c r="TL1" s="69"/>
      <c r="TM1" s="69"/>
      <c r="TN1" s="69"/>
      <c r="TO1" s="69"/>
      <c r="TP1" s="69"/>
      <c r="TQ1" s="69"/>
      <c r="TR1" s="69"/>
      <c r="TS1" s="69"/>
      <c r="TT1" s="69"/>
      <c r="TU1" s="69"/>
      <c r="TV1" s="69"/>
      <c r="TW1" s="69"/>
      <c r="TX1" s="69"/>
      <c r="TY1" s="69"/>
      <c r="TZ1" s="69"/>
      <c r="UA1" s="69"/>
      <c r="UB1" s="69"/>
      <c r="UC1" s="69"/>
      <c r="UD1" s="69"/>
      <c r="UE1" s="70"/>
      <c r="UF1" s="68">
        <f>TJ1+Parameters!$B$7</f>
        <v>209</v>
      </c>
      <c r="UG1" s="69"/>
      <c r="UH1" s="69"/>
      <c r="UI1" s="69"/>
      <c r="UJ1" s="69"/>
      <c r="UK1" s="69"/>
      <c r="UL1" s="69"/>
      <c r="UM1" s="69"/>
      <c r="UN1" s="69"/>
      <c r="UO1" s="69"/>
      <c r="UP1" s="69"/>
      <c r="UQ1" s="69"/>
      <c r="UR1" s="69"/>
      <c r="US1" s="69"/>
      <c r="UT1" s="69"/>
      <c r="UU1" s="69"/>
      <c r="UV1" s="69"/>
      <c r="UW1" s="69"/>
      <c r="UX1" s="69"/>
      <c r="UY1" s="69"/>
      <c r="UZ1" s="69"/>
      <c r="VA1" s="70"/>
      <c r="VB1" s="68">
        <f>UF1+Parameters!$B$7</f>
        <v>217</v>
      </c>
      <c r="VC1" s="69"/>
      <c r="VD1" s="69"/>
      <c r="VE1" s="69"/>
      <c r="VF1" s="69"/>
      <c r="VG1" s="69"/>
      <c r="VH1" s="69"/>
      <c r="VI1" s="69"/>
      <c r="VJ1" s="69"/>
      <c r="VK1" s="69"/>
      <c r="VL1" s="69"/>
      <c r="VM1" s="69"/>
      <c r="VN1" s="69"/>
      <c r="VO1" s="69"/>
      <c r="VP1" s="69"/>
      <c r="VQ1" s="69"/>
      <c r="VR1" s="69"/>
      <c r="VS1" s="69"/>
      <c r="VT1" s="69"/>
      <c r="VU1" s="69"/>
      <c r="VV1" s="69"/>
      <c r="VW1" s="70"/>
      <c r="VX1" s="68">
        <f>VB1+Parameters!$B$7</f>
        <v>225</v>
      </c>
      <c r="VY1" s="69"/>
      <c r="VZ1" s="69"/>
      <c r="WA1" s="69"/>
      <c r="WB1" s="69"/>
      <c r="WC1" s="69"/>
      <c r="WD1" s="69"/>
      <c r="WE1" s="69"/>
      <c r="WF1" s="69"/>
      <c r="WG1" s="69"/>
      <c r="WH1" s="69"/>
      <c r="WI1" s="69"/>
      <c r="WJ1" s="69"/>
      <c r="WK1" s="69"/>
      <c r="WL1" s="69"/>
      <c r="WM1" s="69"/>
      <c r="WN1" s="69"/>
      <c r="WO1" s="69"/>
      <c r="WP1" s="69"/>
      <c r="WQ1" s="69"/>
      <c r="WR1" s="69"/>
      <c r="WS1" s="70"/>
      <c r="WT1" s="68">
        <f>VX1+Parameters!$B$7</f>
        <v>233</v>
      </c>
      <c r="WU1" s="69"/>
      <c r="WV1" s="69"/>
      <c r="WW1" s="69"/>
      <c r="WX1" s="69"/>
      <c r="WY1" s="69"/>
      <c r="WZ1" s="69"/>
      <c r="XA1" s="69"/>
      <c r="XB1" s="69"/>
      <c r="XC1" s="69"/>
      <c r="XD1" s="69"/>
      <c r="XE1" s="69"/>
      <c r="XF1" s="69"/>
      <c r="XG1" s="69"/>
      <c r="XH1" s="69"/>
      <c r="XI1" s="69"/>
      <c r="XJ1" s="69"/>
      <c r="XK1" s="69"/>
      <c r="XL1" s="69"/>
      <c r="XM1" s="69"/>
      <c r="XN1" s="69"/>
      <c r="XO1" s="70"/>
      <c r="XP1" s="68">
        <f>WT1+Parameters!$B$7</f>
        <v>241</v>
      </c>
      <c r="XQ1" s="69"/>
      <c r="XR1" s="69"/>
      <c r="XS1" s="69"/>
      <c r="XT1" s="69"/>
      <c r="XU1" s="69"/>
      <c r="XV1" s="69"/>
      <c r="XW1" s="69"/>
      <c r="XX1" s="69"/>
      <c r="XY1" s="69"/>
      <c r="XZ1" s="69"/>
      <c r="YA1" s="69"/>
      <c r="YB1" s="69"/>
      <c r="YC1" s="69"/>
      <c r="YD1" s="69"/>
      <c r="YE1" s="69"/>
      <c r="YF1" s="69"/>
      <c r="YG1" s="69"/>
      <c r="YH1" s="69"/>
      <c r="YI1" s="69"/>
      <c r="YJ1" s="69"/>
      <c r="YK1" s="70"/>
      <c r="YL1" s="68">
        <f>XP1+Parameters!$B$7</f>
        <v>249</v>
      </c>
      <c r="YM1" s="69"/>
      <c r="YN1" s="69"/>
      <c r="YO1" s="69"/>
      <c r="YP1" s="69"/>
      <c r="YQ1" s="69"/>
      <c r="YR1" s="69"/>
      <c r="YS1" s="69"/>
      <c r="YT1" s="69"/>
      <c r="YU1" s="69"/>
      <c r="YV1" s="69"/>
      <c r="YW1" s="69"/>
      <c r="YX1" s="69"/>
      <c r="YY1" s="69"/>
      <c r="YZ1" s="69"/>
      <c r="ZA1" s="69"/>
      <c r="ZB1" s="69"/>
      <c r="ZC1" s="69"/>
      <c r="ZD1" s="69"/>
      <c r="ZE1" s="69"/>
      <c r="ZF1" s="69"/>
      <c r="ZG1" s="70"/>
      <c r="ZH1" s="68">
        <f>YL1+Parameters!$B$7</f>
        <v>257</v>
      </c>
      <c r="ZI1" s="69"/>
      <c r="ZJ1" s="69"/>
      <c r="ZK1" s="69"/>
      <c r="ZL1" s="69"/>
      <c r="ZM1" s="69"/>
      <c r="ZN1" s="69"/>
      <c r="ZO1" s="69"/>
      <c r="ZP1" s="69"/>
      <c r="ZQ1" s="69"/>
      <c r="ZR1" s="69"/>
      <c r="ZS1" s="69"/>
      <c r="ZT1" s="69"/>
      <c r="ZU1" s="69"/>
      <c r="ZV1" s="69"/>
      <c r="ZW1" s="69"/>
      <c r="ZX1" s="69"/>
      <c r="ZY1" s="69"/>
      <c r="ZZ1" s="69"/>
      <c r="AAA1" s="69"/>
      <c r="AAB1" s="69"/>
      <c r="AAC1" s="70"/>
    </row>
    <row r="2" spans="1:705" x14ac:dyDescent="0.2">
      <c r="A2" s="4" t="s">
        <v>18</v>
      </c>
      <c r="B2" s="68">
        <f>VLOOKUP(B1,OverwiewSecondStage!$B$1:$H$33,7,FALSE)</f>
        <v>0</v>
      </c>
      <c r="C2" s="69"/>
      <c r="D2" s="69"/>
      <c r="E2" s="69"/>
      <c r="F2" s="69"/>
      <c r="G2" s="69"/>
      <c r="H2" s="69"/>
      <c r="I2" s="69"/>
      <c r="J2" s="69"/>
      <c r="K2" s="69"/>
      <c r="L2" s="69"/>
      <c r="M2" s="69"/>
      <c r="N2" s="69"/>
      <c r="O2" s="69"/>
      <c r="P2" s="69"/>
      <c r="Q2" s="69"/>
      <c r="R2" s="69"/>
      <c r="S2" s="69"/>
      <c r="T2" s="69"/>
      <c r="U2" s="69"/>
      <c r="V2" s="69"/>
      <c r="W2" s="70"/>
      <c r="X2" s="68">
        <f>VLOOKUP(X1,OverwiewSecondStage!$B$1:$H$33,7,FALSE)</f>
        <v>4.1666666666666664E-2</v>
      </c>
      <c r="Y2" s="69"/>
      <c r="Z2" s="69"/>
      <c r="AA2" s="69"/>
      <c r="AB2" s="69"/>
      <c r="AC2" s="69"/>
      <c r="AD2" s="69"/>
      <c r="AE2" s="69"/>
      <c r="AF2" s="69"/>
      <c r="AG2" s="69"/>
      <c r="AH2" s="69"/>
      <c r="AI2" s="69"/>
      <c r="AJ2" s="69"/>
      <c r="AK2" s="69"/>
      <c r="AL2" s="69"/>
      <c r="AM2" s="69"/>
      <c r="AN2" s="69"/>
      <c r="AO2" s="69"/>
      <c r="AP2" s="69"/>
      <c r="AQ2" s="69"/>
      <c r="AR2" s="69"/>
      <c r="AS2" s="70"/>
      <c r="AT2" s="68">
        <f>VLOOKUP(AT1,OverwiewSecondStage!$B$1:$H$33,7,FALSE)</f>
        <v>0</v>
      </c>
      <c r="AU2" s="69"/>
      <c r="AV2" s="69"/>
      <c r="AW2" s="69"/>
      <c r="AX2" s="69"/>
      <c r="AY2" s="69"/>
      <c r="AZ2" s="69"/>
      <c r="BA2" s="69"/>
      <c r="BB2" s="69"/>
      <c r="BC2" s="69"/>
      <c r="BD2" s="69"/>
      <c r="BE2" s="69"/>
      <c r="BF2" s="69"/>
      <c r="BG2" s="69"/>
      <c r="BH2" s="69"/>
      <c r="BI2" s="69"/>
      <c r="BJ2" s="69"/>
      <c r="BK2" s="69"/>
      <c r="BL2" s="69"/>
      <c r="BM2" s="69"/>
      <c r="BN2" s="69"/>
      <c r="BO2" s="70"/>
      <c r="BP2" s="68">
        <f>VLOOKUP(BP1,OverwiewSecondStage!$B$1:$H$33,7,FALSE)</f>
        <v>4.1666666666666664E-2</v>
      </c>
      <c r="BQ2" s="69"/>
      <c r="BR2" s="69"/>
      <c r="BS2" s="69"/>
      <c r="BT2" s="69"/>
      <c r="BU2" s="69"/>
      <c r="BV2" s="69"/>
      <c r="BW2" s="69"/>
      <c r="BX2" s="69"/>
      <c r="BY2" s="69"/>
      <c r="BZ2" s="69"/>
      <c r="CA2" s="69"/>
      <c r="CB2" s="69"/>
      <c r="CC2" s="69"/>
      <c r="CD2" s="69"/>
      <c r="CE2" s="69"/>
      <c r="CF2" s="69"/>
      <c r="CG2" s="69"/>
      <c r="CH2" s="69"/>
      <c r="CI2" s="69"/>
      <c r="CJ2" s="69"/>
      <c r="CK2" s="70"/>
      <c r="CL2" s="68">
        <f>VLOOKUP(CL1,OverwiewSecondStage!$B$1:$H$33,7,FALSE)</f>
        <v>0</v>
      </c>
      <c r="CM2" s="69"/>
      <c r="CN2" s="69"/>
      <c r="CO2" s="69"/>
      <c r="CP2" s="69"/>
      <c r="CQ2" s="69"/>
      <c r="CR2" s="69"/>
      <c r="CS2" s="69"/>
      <c r="CT2" s="69"/>
      <c r="CU2" s="69"/>
      <c r="CV2" s="69"/>
      <c r="CW2" s="69"/>
      <c r="CX2" s="69"/>
      <c r="CY2" s="69"/>
      <c r="CZ2" s="69"/>
      <c r="DA2" s="69"/>
      <c r="DB2" s="69"/>
      <c r="DC2" s="69"/>
      <c r="DD2" s="69"/>
      <c r="DE2" s="69"/>
      <c r="DF2" s="69"/>
      <c r="DG2" s="70"/>
      <c r="DH2" s="68">
        <f>VLOOKUP(DH1,OverwiewSecondStage!$B$1:$H$33,7,FALSE)</f>
        <v>4.1666666666666664E-2</v>
      </c>
      <c r="DI2" s="69"/>
      <c r="DJ2" s="69"/>
      <c r="DK2" s="69"/>
      <c r="DL2" s="69"/>
      <c r="DM2" s="69"/>
      <c r="DN2" s="69"/>
      <c r="DO2" s="69"/>
      <c r="DP2" s="69"/>
      <c r="DQ2" s="69"/>
      <c r="DR2" s="69"/>
      <c r="DS2" s="69"/>
      <c r="DT2" s="69"/>
      <c r="DU2" s="69"/>
      <c r="DV2" s="69"/>
      <c r="DW2" s="69"/>
      <c r="DX2" s="69"/>
      <c r="DY2" s="69"/>
      <c r="DZ2" s="69"/>
      <c r="EA2" s="69"/>
      <c r="EB2" s="69"/>
      <c r="EC2" s="70"/>
      <c r="ED2" s="68">
        <f>VLOOKUP(ED1,OverwiewSecondStage!$B$1:$H$33,7,FALSE)</f>
        <v>0</v>
      </c>
      <c r="EE2" s="69"/>
      <c r="EF2" s="69"/>
      <c r="EG2" s="69"/>
      <c r="EH2" s="69"/>
      <c r="EI2" s="69"/>
      <c r="EJ2" s="69"/>
      <c r="EK2" s="69"/>
      <c r="EL2" s="69"/>
      <c r="EM2" s="69"/>
      <c r="EN2" s="69"/>
      <c r="EO2" s="69"/>
      <c r="EP2" s="69"/>
      <c r="EQ2" s="69"/>
      <c r="ER2" s="69"/>
      <c r="ES2" s="69"/>
      <c r="ET2" s="69"/>
      <c r="EU2" s="69"/>
      <c r="EV2" s="69"/>
      <c r="EW2" s="69"/>
      <c r="EX2" s="69"/>
      <c r="EY2" s="70"/>
      <c r="EZ2" s="68">
        <f>VLOOKUP(EZ1,OverwiewSecondStage!$B$1:$H$33,7,FALSE)</f>
        <v>4.1666666666666664E-2</v>
      </c>
      <c r="FA2" s="69"/>
      <c r="FB2" s="69"/>
      <c r="FC2" s="69"/>
      <c r="FD2" s="69"/>
      <c r="FE2" s="69"/>
      <c r="FF2" s="69"/>
      <c r="FG2" s="69"/>
      <c r="FH2" s="69"/>
      <c r="FI2" s="69"/>
      <c r="FJ2" s="69"/>
      <c r="FK2" s="69"/>
      <c r="FL2" s="69"/>
      <c r="FM2" s="69"/>
      <c r="FN2" s="69"/>
      <c r="FO2" s="69"/>
      <c r="FP2" s="69"/>
      <c r="FQ2" s="69"/>
      <c r="FR2" s="69"/>
      <c r="FS2" s="69"/>
      <c r="FT2" s="69"/>
      <c r="FU2" s="70"/>
      <c r="FV2" s="68">
        <f>VLOOKUP(FV1,OverwiewSecondStage!$B$1:$H$33,7,FALSE)</f>
        <v>0</v>
      </c>
      <c r="FW2" s="69"/>
      <c r="FX2" s="69"/>
      <c r="FY2" s="69"/>
      <c r="FZ2" s="69"/>
      <c r="GA2" s="69"/>
      <c r="GB2" s="69"/>
      <c r="GC2" s="69"/>
      <c r="GD2" s="69"/>
      <c r="GE2" s="69"/>
      <c r="GF2" s="69"/>
      <c r="GG2" s="69"/>
      <c r="GH2" s="69"/>
      <c r="GI2" s="69"/>
      <c r="GJ2" s="69"/>
      <c r="GK2" s="69"/>
      <c r="GL2" s="69"/>
      <c r="GM2" s="69"/>
      <c r="GN2" s="69"/>
      <c r="GO2" s="69"/>
      <c r="GP2" s="69"/>
      <c r="GQ2" s="70"/>
      <c r="GR2" s="68">
        <f>VLOOKUP(GR1,OverwiewSecondStage!$B$1:$H$33,7,FALSE)</f>
        <v>4.1666666666666664E-2</v>
      </c>
      <c r="GS2" s="69"/>
      <c r="GT2" s="69"/>
      <c r="GU2" s="69"/>
      <c r="GV2" s="69"/>
      <c r="GW2" s="69"/>
      <c r="GX2" s="69"/>
      <c r="GY2" s="69"/>
      <c r="GZ2" s="69"/>
      <c r="HA2" s="69"/>
      <c r="HB2" s="69"/>
      <c r="HC2" s="69"/>
      <c r="HD2" s="69"/>
      <c r="HE2" s="69"/>
      <c r="HF2" s="69"/>
      <c r="HG2" s="69"/>
      <c r="HH2" s="69"/>
      <c r="HI2" s="69"/>
      <c r="HJ2" s="69"/>
      <c r="HK2" s="69"/>
      <c r="HL2" s="69"/>
      <c r="HM2" s="70"/>
      <c r="HN2" s="68">
        <f>VLOOKUP(HN1,OverwiewSecondStage!$B$1:$H$33,7,FALSE)</f>
        <v>0</v>
      </c>
      <c r="HO2" s="69"/>
      <c r="HP2" s="69"/>
      <c r="HQ2" s="69"/>
      <c r="HR2" s="69"/>
      <c r="HS2" s="69"/>
      <c r="HT2" s="69"/>
      <c r="HU2" s="69"/>
      <c r="HV2" s="69"/>
      <c r="HW2" s="69"/>
      <c r="HX2" s="69"/>
      <c r="HY2" s="69"/>
      <c r="HZ2" s="69"/>
      <c r="IA2" s="69"/>
      <c r="IB2" s="69"/>
      <c r="IC2" s="69"/>
      <c r="ID2" s="69"/>
      <c r="IE2" s="69"/>
      <c r="IF2" s="69"/>
      <c r="IG2" s="69"/>
      <c r="IH2" s="69"/>
      <c r="II2" s="70"/>
      <c r="IJ2" s="68">
        <f>VLOOKUP(IJ1,OverwiewSecondStage!$B$1:$H$33,7,FALSE)</f>
        <v>4.1666666666666664E-2</v>
      </c>
      <c r="IK2" s="69"/>
      <c r="IL2" s="69"/>
      <c r="IM2" s="69"/>
      <c r="IN2" s="69"/>
      <c r="IO2" s="69"/>
      <c r="IP2" s="69"/>
      <c r="IQ2" s="69"/>
      <c r="IR2" s="69"/>
      <c r="IS2" s="69"/>
      <c r="IT2" s="69"/>
      <c r="IU2" s="69"/>
      <c r="IV2" s="69"/>
      <c r="IW2" s="69"/>
      <c r="IX2" s="69"/>
      <c r="IY2" s="69"/>
      <c r="IZ2" s="69"/>
      <c r="JA2" s="69"/>
      <c r="JB2" s="69"/>
      <c r="JC2" s="69"/>
      <c r="JD2" s="69"/>
      <c r="JE2" s="70"/>
      <c r="JF2" s="68">
        <f>VLOOKUP(JF1,OverwiewSecondStage!$B$1:$H$33,7,FALSE)</f>
        <v>0</v>
      </c>
      <c r="JG2" s="69"/>
      <c r="JH2" s="69"/>
      <c r="JI2" s="69"/>
      <c r="JJ2" s="69"/>
      <c r="JK2" s="69"/>
      <c r="JL2" s="69"/>
      <c r="JM2" s="69"/>
      <c r="JN2" s="69"/>
      <c r="JO2" s="69"/>
      <c r="JP2" s="69"/>
      <c r="JQ2" s="69"/>
      <c r="JR2" s="69"/>
      <c r="JS2" s="69"/>
      <c r="JT2" s="69"/>
      <c r="JU2" s="69"/>
      <c r="JV2" s="69"/>
      <c r="JW2" s="69"/>
      <c r="JX2" s="69"/>
      <c r="JY2" s="69"/>
      <c r="JZ2" s="69"/>
      <c r="KA2" s="70"/>
      <c r="KB2" s="68">
        <f>VLOOKUP(KB1,OverwiewSecondStage!$B$1:$H$33,7,FALSE)</f>
        <v>4.1666666666666664E-2</v>
      </c>
      <c r="KC2" s="69"/>
      <c r="KD2" s="69"/>
      <c r="KE2" s="69"/>
      <c r="KF2" s="69"/>
      <c r="KG2" s="69"/>
      <c r="KH2" s="69"/>
      <c r="KI2" s="69"/>
      <c r="KJ2" s="69"/>
      <c r="KK2" s="69"/>
      <c r="KL2" s="69"/>
      <c r="KM2" s="69"/>
      <c r="KN2" s="69"/>
      <c r="KO2" s="69"/>
      <c r="KP2" s="69"/>
      <c r="KQ2" s="69"/>
      <c r="KR2" s="69"/>
      <c r="KS2" s="69"/>
      <c r="KT2" s="69"/>
      <c r="KU2" s="69"/>
      <c r="KV2" s="69"/>
      <c r="KW2" s="70"/>
      <c r="KX2" s="68">
        <f>VLOOKUP(KX1,OverwiewSecondStage!$B$1:$H$33,7,FALSE)</f>
        <v>0</v>
      </c>
      <c r="KY2" s="69"/>
      <c r="KZ2" s="69"/>
      <c r="LA2" s="69"/>
      <c r="LB2" s="69"/>
      <c r="LC2" s="69"/>
      <c r="LD2" s="69"/>
      <c r="LE2" s="69"/>
      <c r="LF2" s="69"/>
      <c r="LG2" s="69"/>
      <c r="LH2" s="69"/>
      <c r="LI2" s="69"/>
      <c r="LJ2" s="69"/>
      <c r="LK2" s="69"/>
      <c r="LL2" s="69"/>
      <c r="LM2" s="69"/>
      <c r="LN2" s="69"/>
      <c r="LO2" s="69"/>
      <c r="LP2" s="69"/>
      <c r="LQ2" s="69"/>
      <c r="LR2" s="69"/>
      <c r="LS2" s="70"/>
      <c r="LT2" s="68">
        <f>VLOOKUP(LT1,OverwiewSecondStage!$B$1:$H$33,7,FALSE)</f>
        <v>4.1666666666666664E-2</v>
      </c>
      <c r="LU2" s="69"/>
      <c r="LV2" s="69"/>
      <c r="LW2" s="69"/>
      <c r="LX2" s="69"/>
      <c r="LY2" s="69"/>
      <c r="LZ2" s="69"/>
      <c r="MA2" s="69"/>
      <c r="MB2" s="69"/>
      <c r="MC2" s="69"/>
      <c r="MD2" s="69"/>
      <c r="ME2" s="69"/>
      <c r="MF2" s="69"/>
      <c r="MG2" s="69"/>
      <c r="MH2" s="69"/>
      <c r="MI2" s="69"/>
      <c r="MJ2" s="69"/>
      <c r="MK2" s="69"/>
      <c r="ML2" s="69"/>
      <c r="MM2" s="69"/>
      <c r="MN2" s="69"/>
      <c r="MO2" s="70"/>
      <c r="MP2" s="68">
        <f>VLOOKUP(MP1,OverwiewSecondStage!$B$1:$H$33,7,FALSE)</f>
        <v>4.1666666666666664E-2</v>
      </c>
      <c r="MQ2" s="69"/>
      <c r="MR2" s="69"/>
      <c r="MS2" s="69"/>
      <c r="MT2" s="69"/>
      <c r="MU2" s="69"/>
      <c r="MV2" s="69"/>
      <c r="MW2" s="69"/>
      <c r="MX2" s="69"/>
      <c r="MY2" s="69"/>
      <c r="MZ2" s="69"/>
      <c r="NA2" s="69"/>
      <c r="NB2" s="69"/>
      <c r="NC2" s="69"/>
      <c r="ND2" s="69"/>
      <c r="NE2" s="69"/>
      <c r="NF2" s="69"/>
      <c r="NG2" s="69"/>
      <c r="NH2" s="69"/>
      <c r="NI2" s="69"/>
      <c r="NJ2" s="69"/>
      <c r="NK2" s="70"/>
      <c r="NL2" s="68">
        <f>VLOOKUP(NL1,OverwiewSecondStage!$B$1:$H$33,7,FALSE)</f>
        <v>4.1666666666666664E-2</v>
      </c>
      <c r="NM2" s="69"/>
      <c r="NN2" s="69"/>
      <c r="NO2" s="69"/>
      <c r="NP2" s="69"/>
      <c r="NQ2" s="69"/>
      <c r="NR2" s="69"/>
      <c r="NS2" s="69"/>
      <c r="NT2" s="69"/>
      <c r="NU2" s="69"/>
      <c r="NV2" s="69"/>
      <c r="NW2" s="69"/>
      <c r="NX2" s="69"/>
      <c r="NY2" s="69"/>
      <c r="NZ2" s="69"/>
      <c r="OA2" s="69"/>
      <c r="OB2" s="69"/>
      <c r="OC2" s="69"/>
      <c r="OD2" s="69"/>
      <c r="OE2" s="69"/>
      <c r="OF2" s="69"/>
      <c r="OG2" s="70"/>
      <c r="OH2" s="68">
        <f>VLOOKUP(OH1,OverwiewSecondStage!$B$1:$H$33,7,FALSE)</f>
        <v>4.1666666666666664E-2</v>
      </c>
      <c r="OI2" s="69"/>
      <c r="OJ2" s="69"/>
      <c r="OK2" s="69"/>
      <c r="OL2" s="69"/>
      <c r="OM2" s="69"/>
      <c r="ON2" s="69"/>
      <c r="OO2" s="69"/>
      <c r="OP2" s="69"/>
      <c r="OQ2" s="69"/>
      <c r="OR2" s="69"/>
      <c r="OS2" s="69"/>
      <c r="OT2" s="69"/>
      <c r="OU2" s="69"/>
      <c r="OV2" s="69"/>
      <c r="OW2" s="69"/>
      <c r="OX2" s="69"/>
      <c r="OY2" s="69"/>
      <c r="OZ2" s="69"/>
      <c r="PA2" s="69"/>
      <c r="PB2" s="69"/>
      <c r="PC2" s="70"/>
      <c r="PD2" s="68">
        <f>VLOOKUP(PD1,OverwiewSecondStage!$B$1:$H$33,7,FALSE)</f>
        <v>4.1666666666666664E-2</v>
      </c>
      <c r="PE2" s="69"/>
      <c r="PF2" s="69"/>
      <c r="PG2" s="69"/>
      <c r="PH2" s="69"/>
      <c r="PI2" s="69"/>
      <c r="PJ2" s="69"/>
      <c r="PK2" s="69"/>
      <c r="PL2" s="69"/>
      <c r="PM2" s="69"/>
      <c r="PN2" s="69"/>
      <c r="PO2" s="69"/>
      <c r="PP2" s="69"/>
      <c r="PQ2" s="69"/>
      <c r="PR2" s="69"/>
      <c r="PS2" s="69"/>
      <c r="PT2" s="69"/>
      <c r="PU2" s="69"/>
      <c r="PV2" s="69"/>
      <c r="PW2" s="69"/>
      <c r="PX2" s="69"/>
      <c r="PY2" s="70"/>
      <c r="PZ2" s="68">
        <f>VLOOKUP(PZ1,OverwiewSecondStage!$B$1:$H$33,7,FALSE)</f>
        <v>4.1666666666666664E-2</v>
      </c>
      <c r="QA2" s="69"/>
      <c r="QB2" s="69"/>
      <c r="QC2" s="69"/>
      <c r="QD2" s="69"/>
      <c r="QE2" s="69"/>
      <c r="QF2" s="69"/>
      <c r="QG2" s="69"/>
      <c r="QH2" s="69"/>
      <c r="QI2" s="69"/>
      <c r="QJ2" s="69"/>
      <c r="QK2" s="69"/>
      <c r="QL2" s="69"/>
      <c r="QM2" s="69"/>
      <c r="QN2" s="69"/>
      <c r="QO2" s="69"/>
      <c r="QP2" s="69"/>
      <c r="QQ2" s="69"/>
      <c r="QR2" s="69"/>
      <c r="QS2" s="69"/>
      <c r="QT2" s="69"/>
      <c r="QU2" s="70"/>
      <c r="QV2" s="68">
        <f>VLOOKUP(QV1,OverwiewSecondStage!$B$1:$H$33,7,FALSE)</f>
        <v>4.1666666666666664E-2</v>
      </c>
      <c r="QW2" s="69"/>
      <c r="QX2" s="69"/>
      <c r="QY2" s="69"/>
      <c r="QZ2" s="69"/>
      <c r="RA2" s="69"/>
      <c r="RB2" s="69"/>
      <c r="RC2" s="69"/>
      <c r="RD2" s="69"/>
      <c r="RE2" s="69"/>
      <c r="RF2" s="69"/>
      <c r="RG2" s="69"/>
      <c r="RH2" s="69"/>
      <c r="RI2" s="69"/>
      <c r="RJ2" s="69"/>
      <c r="RK2" s="69"/>
      <c r="RL2" s="69"/>
      <c r="RM2" s="69"/>
      <c r="RN2" s="69"/>
      <c r="RO2" s="69"/>
      <c r="RP2" s="69"/>
      <c r="RQ2" s="70"/>
      <c r="RR2" s="68">
        <f>VLOOKUP(RR1,OverwiewSecondStage!$B$1:$H$33,7,FALSE)</f>
        <v>4.1666666666666664E-2</v>
      </c>
      <c r="RS2" s="69"/>
      <c r="RT2" s="69"/>
      <c r="RU2" s="69"/>
      <c r="RV2" s="69"/>
      <c r="RW2" s="69"/>
      <c r="RX2" s="69"/>
      <c r="RY2" s="69"/>
      <c r="RZ2" s="69"/>
      <c r="SA2" s="69"/>
      <c r="SB2" s="69"/>
      <c r="SC2" s="69"/>
      <c r="SD2" s="69"/>
      <c r="SE2" s="69"/>
      <c r="SF2" s="69"/>
      <c r="SG2" s="69"/>
      <c r="SH2" s="69"/>
      <c r="SI2" s="69"/>
      <c r="SJ2" s="69"/>
      <c r="SK2" s="69"/>
      <c r="SL2" s="69"/>
      <c r="SM2" s="70"/>
      <c r="SN2" s="68">
        <f>VLOOKUP(SN1,OverwiewSecondStage!$B$1:$H$33,7,FALSE)</f>
        <v>4.1666666666666664E-2</v>
      </c>
      <c r="SO2" s="69"/>
      <c r="SP2" s="69"/>
      <c r="SQ2" s="69"/>
      <c r="SR2" s="69"/>
      <c r="SS2" s="69"/>
      <c r="ST2" s="69"/>
      <c r="SU2" s="69"/>
      <c r="SV2" s="69"/>
      <c r="SW2" s="69"/>
      <c r="SX2" s="69"/>
      <c r="SY2" s="69"/>
      <c r="SZ2" s="69"/>
      <c r="TA2" s="69"/>
      <c r="TB2" s="69"/>
      <c r="TC2" s="69"/>
      <c r="TD2" s="69"/>
      <c r="TE2" s="69"/>
      <c r="TF2" s="69"/>
      <c r="TG2" s="69"/>
      <c r="TH2" s="69"/>
      <c r="TI2" s="70"/>
      <c r="TJ2" s="68">
        <f>VLOOKUP(TJ1,OverwiewSecondStage!$B$1:$H$33,7,FALSE)</f>
        <v>4.1666666666666664E-2</v>
      </c>
      <c r="TK2" s="69"/>
      <c r="TL2" s="69"/>
      <c r="TM2" s="69"/>
      <c r="TN2" s="69"/>
      <c r="TO2" s="69"/>
      <c r="TP2" s="69"/>
      <c r="TQ2" s="69"/>
      <c r="TR2" s="69"/>
      <c r="TS2" s="69"/>
      <c r="TT2" s="69"/>
      <c r="TU2" s="69"/>
      <c r="TV2" s="69"/>
      <c r="TW2" s="69"/>
      <c r="TX2" s="69"/>
      <c r="TY2" s="69"/>
      <c r="TZ2" s="69"/>
      <c r="UA2" s="69"/>
      <c r="UB2" s="69"/>
      <c r="UC2" s="69"/>
      <c r="UD2" s="69"/>
      <c r="UE2" s="70"/>
      <c r="UF2" s="68">
        <f>VLOOKUP(UF1,OverwiewSecondStage!$B$1:$H$33,7,FALSE)</f>
        <v>4.1666666666666664E-2</v>
      </c>
      <c r="UG2" s="69"/>
      <c r="UH2" s="69"/>
      <c r="UI2" s="69"/>
      <c r="UJ2" s="69"/>
      <c r="UK2" s="69"/>
      <c r="UL2" s="69"/>
      <c r="UM2" s="69"/>
      <c r="UN2" s="69"/>
      <c r="UO2" s="69"/>
      <c r="UP2" s="69"/>
      <c r="UQ2" s="69"/>
      <c r="UR2" s="69"/>
      <c r="US2" s="69"/>
      <c r="UT2" s="69"/>
      <c r="UU2" s="69"/>
      <c r="UV2" s="69"/>
      <c r="UW2" s="69"/>
      <c r="UX2" s="69"/>
      <c r="UY2" s="69"/>
      <c r="UZ2" s="69"/>
      <c r="VA2" s="70"/>
      <c r="VB2" s="68">
        <f>VLOOKUP(VB1,OverwiewSecondStage!$B$1:$H$33,7,FALSE)</f>
        <v>4.1666666666666664E-2</v>
      </c>
      <c r="VC2" s="69"/>
      <c r="VD2" s="69"/>
      <c r="VE2" s="69"/>
      <c r="VF2" s="69"/>
      <c r="VG2" s="69"/>
      <c r="VH2" s="69"/>
      <c r="VI2" s="69"/>
      <c r="VJ2" s="69"/>
      <c r="VK2" s="69"/>
      <c r="VL2" s="69"/>
      <c r="VM2" s="69"/>
      <c r="VN2" s="69"/>
      <c r="VO2" s="69"/>
      <c r="VP2" s="69"/>
      <c r="VQ2" s="69"/>
      <c r="VR2" s="69"/>
      <c r="VS2" s="69"/>
      <c r="VT2" s="69"/>
      <c r="VU2" s="69"/>
      <c r="VV2" s="69"/>
      <c r="VW2" s="70"/>
      <c r="VX2" s="68">
        <f>VLOOKUP(VX1,OverwiewSecondStage!$B$1:$H$33,7,FALSE)</f>
        <v>4.1666666666666664E-2</v>
      </c>
      <c r="VY2" s="69"/>
      <c r="VZ2" s="69"/>
      <c r="WA2" s="69"/>
      <c r="WB2" s="69"/>
      <c r="WC2" s="69"/>
      <c r="WD2" s="69"/>
      <c r="WE2" s="69"/>
      <c r="WF2" s="69"/>
      <c r="WG2" s="69"/>
      <c r="WH2" s="69"/>
      <c r="WI2" s="69"/>
      <c r="WJ2" s="69"/>
      <c r="WK2" s="69"/>
      <c r="WL2" s="69"/>
      <c r="WM2" s="69"/>
      <c r="WN2" s="69"/>
      <c r="WO2" s="69"/>
      <c r="WP2" s="69"/>
      <c r="WQ2" s="69"/>
      <c r="WR2" s="69"/>
      <c r="WS2" s="70"/>
      <c r="WT2" s="68">
        <f>VLOOKUP(WT1,OverwiewSecondStage!$B$1:$H$33,7,FALSE)</f>
        <v>4.1666666666666664E-2</v>
      </c>
      <c r="WU2" s="69"/>
      <c r="WV2" s="69"/>
      <c r="WW2" s="69"/>
      <c r="WX2" s="69"/>
      <c r="WY2" s="69"/>
      <c r="WZ2" s="69"/>
      <c r="XA2" s="69"/>
      <c r="XB2" s="69"/>
      <c r="XC2" s="69"/>
      <c r="XD2" s="69"/>
      <c r="XE2" s="69"/>
      <c r="XF2" s="69"/>
      <c r="XG2" s="69"/>
      <c r="XH2" s="69"/>
      <c r="XI2" s="69"/>
      <c r="XJ2" s="69"/>
      <c r="XK2" s="69"/>
      <c r="XL2" s="69"/>
      <c r="XM2" s="69"/>
      <c r="XN2" s="69"/>
      <c r="XO2" s="70"/>
      <c r="XP2" s="68">
        <f>VLOOKUP(XP1,OverwiewSecondStage!$B$1:$H$33,7,FALSE)</f>
        <v>4.1666666666666664E-2</v>
      </c>
      <c r="XQ2" s="69"/>
      <c r="XR2" s="69"/>
      <c r="XS2" s="69"/>
      <c r="XT2" s="69"/>
      <c r="XU2" s="69"/>
      <c r="XV2" s="69"/>
      <c r="XW2" s="69"/>
      <c r="XX2" s="69"/>
      <c r="XY2" s="69"/>
      <c r="XZ2" s="69"/>
      <c r="YA2" s="69"/>
      <c r="YB2" s="69"/>
      <c r="YC2" s="69"/>
      <c r="YD2" s="69"/>
      <c r="YE2" s="69"/>
      <c r="YF2" s="69"/>
      <c r="YG2" s="69"/>
      <c r="YH2" s="69"/>
      <c r="YI2" s="69"/>
      <c r="YJ2" s="69"/>
      <c r="YK2" s="70"/>
      <c r="YL2" s="68">
        <f>VLOOKUP(YL1,OverwiewSecondStage!$B$1:$H$33,7,FALSE)</f>
        <v>4.1666666666666664E-2</v>
      </c>
      <c r="YM2" s="69"/>
      <c r="YN2" s="69"/>
      <c r="YO2" s="69"/>
      <c r="YP2" s="69"/>
      <c r="YQ2" s="69"/>
      <c r="YR2" s="69"/>
      <c r="YS2" s="69"/>
      <c r="YT2" s="69"/>
      <c r="YU2" s="69"/>
      <c r="YV2" s="69"/>
      <c r="YW2" s="69"/>
      <c r="YX2" s="69"/>
      <c r="YY2" s="69"/>
      <c r="YZ2" s="69"/>
      <c r="ZA2" s="69"/>
      <c r="ZB2" s="69"/>
      <c r="ZC2" s="69"/>
      <c r="ZD2" s="69"/>
      <c r="ZE2" s="69"/>
      <c r="ZF2" s="69"/>
      <c r="ZG2" s="70"/>
      <c r="ZH2" s="68">
        <f>VLOOKUP(ZH1,OverwiewSecondStage!$B$1:$H$33,7,FALSE)</f>
        <v>4.1666666666666664E-2</v>
      </c>
      <c r="ZI2" s="69"/>
      <c r="ZJ2" s="69"/>
      <c r="ZK2" s="69"/>
      <c r="ZL2" s="69"/>
      <c r="ZM2" s="69"/>
      <c r="ZN2" s="69"/>
      <c r="ZO2" s="69"/>
      <c r="ZP2" s="69"/>
      <c r="ZQ2" s="69"/>
      <c r="ZR2" s="69"/>
      <c r="ZS2" s="69"/>
      <c r="ZT2" s="69"/>
      <c r="ZU2" s="69"/>
      <c r="ZV2" s="69"/>
      <c r="ZW2" s="69"/>
      <c r="ZX2" s="69"/>
      <c r="ZY2" s="69"/>
      <c r="ZZ2" s="69"/>
      <c r="AAA2" s="69"/>
      <c r="AAB2" s="69"/>
      <c r="AAC2" s="70"/>
    </row>
    <row r="3" spans="1:705" x14ac:dyDescent="0.2">
      <c r="A3" s="4"/>
      <c r="B3" s="64" t="s">
        <v>19</v>
      </c>
      <c r="C3" s="64"/>
      <c r="D3" s="64"/>
      <c r="E3" s="64"/>
      <c r="F3" s="64"/>
      <c r="G3" s="64"/>
      <c r="H3" s="64"/>
      <c r="I3" s="64"/>
      <c r="J3" s="64"/>
      <c r="K3" s="64"/>
      <c r="L3" s="64"/>
      <c r="M3" s="77" t="s">
        <v>20</v>
      </c>
      <c r="N3" s="77"/>
      <c r="O3" s="77"/>
      <c r="P3" s="77"/>
      <c r="Q3" s="77"/>
      <c r="R3" s="77"/>
      <c r="S3" s="77"/>
      <c r="T3" s="77"/>
      <c r="U3" s="77"/>
      <c r="V3" s="77"/>
      <c r="W3" s="77"/>
      <c r="X3" s="64" t="s">
        <v>19</v>
      </c>
      <c r="Y3" s="64"/>
      <c r="Z3" s="64"/>
      <c r="AA3" s="64"/>
      <c r="AB3" s="64"/>
      <c r="AC3" s="64"/>
      <c r="AD3" s="64"/>
      <c r="AE3" s="64"/>
      <c r="AF3" s="64"/>
      <c r="AG3" s="64"/>
      <c r="AH3" s="64"/>
      <c r="AI3" s="77" t="s">
        <v>20</v>
      </c>
      <c r="AJ3" s="77"/>
      <c r="AK3" s="77"/>
      <c r="AL3" s="77"/>
      <c r="AM3" s="77"/>
      <c r="AN3" s="77"/>
      <c r="AO3" s="77"/>
      <c r="AP3" s="77"/>
      <c r="AQ3" s="77"/>
      <c r="AR3" s="77"/>
      <c r="AS3" s="77"/>
      <c r="AT3" s="64" t="s">
        <v>19</v>
      </c>
      <c r="AU3" s="64"/>
      <c r="AV3" s="64"/>
      <c r="AW3" s="64"/>
      <c r="AX3" s="64"/>
      <c r="AY3" s="64"/>
      <c r="AZ3" s="64"/>
      <c r="BA3" s="64"/>
      <c r="BB3" s="64"/>
      <c r="BC3" s="64"/>
      <c r="BD3" s="64"/>
      <c r="BE3" s="77" t="s">
        <v>20</v>
      </c>
      <c r="BF3" s="77"/>
      <c r="BG3" s="77"/>
      <c r="BH3" s="77"/>
      <c r="BI3" s="77"/>
      <c r="BJ3" s="77"/>
      <c r="BK3" s="77"/>
      <c r="BL3" s="77"/>
      <c r="BM3" s="77"/>
      <c r="BN3" s="77"/>
      <c r="BO3" s="77"/>
      <c r="BP3" s="64" t="s">
        <v>19</v>
      </c>
      <c r="BQ3" s="64"/>
      <c r="BR3" s="64"/>
      <c r="BS3" s="64"/>
      <c r="BT3" s="64"/>
      <c r="BU3" s="64"/>
      <c r="BV3" s="64"/>
      <c r="BW3" s="64"/>
      <c r="BX3" s="64"/>
      <c r="BY3" s="64"/>
      <c r="BZ3" s="64"/>
      <c r="CA3" s="77" t="s">
        <v>20</v>
      </c>
      <c r="CB3" s="77"/>
      <c r="CC3" s="77"/>
      <c r="CD3" s="77"/>
      <c r="CE3" s="77"/>
      <c r="CF3" s="77"/>
      <c r="CG3" s="77"/>
      <c r="CH3" s="77"/>
      <c r="CI3" s="77"/>
      <c r="CJ3" s="77"/>
      <c r="CK3" s="77"/>
      <c r="CL3" s="64" t="s">
        <v>19</v>
      </c>
      <c r="CM3" s="64"/>
      <c r="CN3" s="64"/>
      <c r="CO3" s="64"/>
      <c r="CP3" s="64"/>
      <c r="CQ3" s="64"/>
      <c r="CR3" s="64"/>
      <c r="CS3" s="64"/>
      <c r="CT3" s="64"/>
      <c r="CU3" s="64"/>
      <c r="CV3" s="64"/>
      <c r="CW3" s="77" t="s">
        <v>20</v>
      </c>
      <c r="CX3" s="77"/>
      <c r="CY3" s="77"/>
      <c r="CZ3" s="77"/>
      <c r="DA3" s="77"/>
      <c r="DB3" s="77"/>
      <c r="DC3" s="77"/>
      <c r="DD3" s="77"/>
      <c r="DE3" s="77"/>
      <c r="DF3" s="77"/>
      <c r="DG3" s="77"/>
      <c r="DH3" s="64" t="s">
        <v>19</v>
      </c>
      <c r="DI3" s="64"/>
      <c r="DJ3" s="64"/>
      <c r="DK3" s="64"/>
      <c r="DL3" s="64"/>
      <c r="DM3" s="64"/>
      <c r="DN3" s="64"/>
      <c r="DO3" s="64"/>
      <c r="DP3" s="64"/>
      <c r="DQ3" s="64"/>
      <c r="DR3" s="64"/>
      <c r="DS3" s="77" t="s">
        <v>20</v>
      </c>
      <c r="DT3" s="77"/>
      <c r="DU3" s="77"/>
      <c r="DV3" s="77"/>
      <c r="DW3" s="77"/>
      <c r="DX3" s="77"/>
      <c r="DY3" s="77"/>
      <c r="DZ3" s="77"/>
      <c r="EA3" s="77"/>
      <c r="EB3" s="77"/>
      <c r="EC3" s="77"/>
      <c r="ED3" s="64" t="s">
        <v>19</v>
      </c>
      <c r="EE3" s="64"/>
      <c r="EF3" s="64"/>
      <c r="EG3" s="64"/>
      <c r="EH3" s="64"/>
      <c r="EI3" s="64"/>
      <c r="EJ3" s="64"/>
      <c r="EK3" s="64"/>
      <c r="EL3" s="64"/>
      <c r="EM3" s="64"/>
      <c r="EN3" s="64"/>
      <c r="EO3" s="77" t="s">
        <v>20</v>
      </c>
      <c r="EP3" s="77"/>
      <c r="EQ3" s="77"/>
      <c r="ER3" s="77"/>
      <c r="ES3" s="77"/>
      <c r="ET3" s="77"/>
      <c r="EU3" s="77"/>
      <c r="EV3" s="77"/>
      <c r="EW3" s="77"/>
      <c r="EX3" s="77"/>
      <c r="EY3" s="77"/>
      <c r="EZ3" s="64" t="s">
        <v>19</v>
      </c>
      <c r="FA3" s="64"/>
      <c r="FB3" s="64"/>
      <c r="FC3" s="64"/>
      <c r="FD3" s="64"/>
      <c r="FE3" s="64"/>
      <c r="FF3" s="64"/>
      <c r="FG3" s="64"/>
      <c r="FH3" s="64"/>
      <c r="FI3" s="64"/>
      <c r="FJ3" s="64"/>
      <c r="FK3" s="77" t="s">
        <v>20</v>
      </c>
      <c r="FL3" s="77"/>
      <c r="FM3" s="77"/>
      <c r="FN3" s="77"/>
      <c r="FO3" s="77"/>
      <c r="FP3" s="77"/>
      <c r="FQ3" s="77"/>
      <c r="FR3" s="77"/>
      <c r="FS3" s="77"/>
      <c r="FT3" s="77"/>
      <c r="FU3" s="77"/>
      <c r="FV3" s="64" t="s">
        <v>19</v>
      </c>
      <c r="FW3" s="64"/>
      <c r="FX3" s="64"/>
      <c r="FY3" s="64"/>
      <c r="FZ3" s="64"/>
      <c r="GA3" s="64"/>
      <c r="GB3" s="64"/>
      <c r="GC3" s="64"/>
      <c r="GD3" s="64"/>
      <c r="GE3" s="64"/>
      <c r="GF3" s="64"/>
      <c r="GG3" s="77" t="s">
        <v>20</v>
      </c>
      <c r="GH3" s="77"/>
      <c r="GI3" s="77"/>
      <c r="GJ3" s="77"/>
      <c r="GK3" s="77"/>
      <c r="GL3" s="77"/>
      <c r="GM3" s="77"/>
      <c r="GN3" s="77"/>
      <c r="GO3" s="77"/>
      <c r="GP3" s="77"/>
      <c r="GQ3" s="77"/>
      <c r="GR3" s="64" t="s">
        <v>19</v>
      </c>
      <c r="GS3" s="64"/>
      <c r="GT3" s="64"/>
      <c r="GU3" s="64"/>
      <c r="GV3" s="64"/>
      <c r="GW3" s="64"/>
      <c r="GX3" s="64"/>
      <c r="GY3" s="64"/>
      <c r="GZ3" s="64"/>
      <c r="HA3" s="64"/>
      <c r="HB3" s="64"/>
      <c r="HC3" s="77" t="s">
        <v>20</v>
      </c>
      <c r="HD3" s="77"/>
      <c r="HE3" s="77"/>
      <c r="HF3" s="77"/>
      <c r="HG3" s="77"/>
      <c r="HH3" s="77"/>
      <c r="HI3" s="77"/>
      <c r="HJ3" s="77"/>
      <c r="HK3" s="77"/>
      <c r="HL3" s="77"/>
      <c r="HM3" s="77"/>
      <c r="HN3" s="64" t="s">
        <v>19</v>
      </c>
      <c r="HO3" s="64"/>
      <c r="HP3" s="64"/>
      <c r="HQ3" s="64"/>
      <c r="HR3" s="64"/>
      <c r="HS3" s="64"/>
      <c r="HT3" s="64"/>
      <c r="HU3" s="64"/>
      <c r="HV3" s="64"/>
      <c r="HW3" s="64"/>
      <c r="HX3" s="64"/>
      <c r="HY3" s="77" t="s">
        <v>20</v>
      </c>
      <c r="HZ3" s="77"/>
      <c r="IA3" s="77"/>
      <c r="IB3" s="77"/>
      <c r="IC3" s="77"/>
      <c r="ID3" s="77"/>
      <c r="IE3" s="77"/>
      <c r="IF3" s="77"/>
      <c r="IG3" s="77"/>
      <c r="IH3" s="77"/>
      <c r="II3" s="77"/>
      <c r="IJ3" s="64" t="s">
        <v>19</v>
      </c>
      <c r="IK3" s="64"/>
      <c r="IL3" s="64"/>
      <c r="IM3" s="64"/>
      <c r="IN3" s="64"/>
      <c r="IO3" s="64"/>
      <c r="IP3" s="64"/>
      <c r="IQ3" s="64"/>
      <c r="IR3" s="64"/>
      <c r="IS3" s="64"/>
      <c r="IT3" s="64"/>
      <c r="IU3" s="77" t="s">
        <v>20</v>
      </c>
      <c r="IV3" s="77"/>
      <c r="IW3" s="77"/>
      <c r="IX3" s="77"/>
      <c r="IY3" s="77"/>
      <c r="IZ3" s="77"/>
      <c r="JA3" s="77"/>
      <c r="JB3" s="77"/>
      <c r="JC3" s="77"/>
      <c r="JD3" s="77"/>
      <c r="JE3" s="77"/>
      <c r="JF3" s="64" t="s">
        <v>19</v>
      </c>
      <c r="JG3" s="64"/>
      <c r="JH3" s="64"/>
      <c r="JI3" s="64"/>
      <c r="JJ3" s="64"/>
      <c r="JK3" s="64"/>
      <c r="JL3" s="64"/>
      <c r="JM3" s="64"/>
      <c r="JN3" s="64"/>
      <c r="JO3" s="64"/>
      <c r="JP3" s="64"/>
      <c r="JQ3" s="77" t="s">
        <v>20</v>
      </c>
      <c r="JR3" s="77"/>
      <c r="JS3" s="77"/>
      <c r="JT3" s="77"/>
      <c r="JU3" s="77"/>
      <c r="JV3" s="77"/>
      <c r="JW3" s="77"/>
      <c r="JX3" s="77"/>
      <c r="JY3" s="77"/>
      <c r="JZ3" s="77"/>
      <c r="KA3" s="77"/>
      <c r="KB3" s="64" t="s">
        <v>19</v>
      </c>
      <c r="KC3" s="64"/>
      <c r="KD3" s="64"/>
      <c r="KE3" s="64"/>
      <c r="KF3" s="64"/>
      <c r="KG3" s="64"/>
      <c r="KH3" s="64"/>
      <c r="KI3" s="64"/>
      <c r="KJ3" s="64"/>
      <c r="KK3" s="64"/>
      <c r="KL3" s="64"/>
      <c r="KM3" s="77" t="s">
        <v>20</v>
      </c>
      <c r="KN3" s="77"/>
      <c r="KO3" s="77"/>
      <c r="KP3" s="77"/>
      <c r="KQ3" s="77"/>
      <c r="KR3" s="77"/>
      <c r="KS3" s="77"/>
      <c r="KT3" s="77"/>
      <c r="KU3" s="77"/>
      <c r="KV3" s="77"/>
      <c r="KW3" s="77"/>
      <c r="KX3" s="64" t="s">
        <v>19</v>
      </c>
      <c r="KY3" s="64"/>
      <c r="KZ3" s="64"/>
      <c r="LA3" s="64"/>
      <c r="LB3" s="64"/>
      <c r="LC3" s="64"/>
      <c r="LD3" s="64"/>
      <c r="LE3" s="64"/>
      <c r="LF3" s="64"/>
      <c r="LG3" s="64"/>
      <c r="LH3" s="64"/>
      <c r="LI3" s="77" t="s">
        <v>20</v>
      </c>
      <c r="LJ3" s="77"/>
      <c r="LK3" s="77"/>
      <c r="LL3" s="77"/>
      <c r="LM3" s="77"/>
      <c r="LN3" s="77"/>
      <c r="LO3" s="77"/>
      <c r="LP3" s="77"/>
      <c r="LQ3" s="77"/>
      <c r="LR3" s="77"/>
      <c r="LS3" s="77"/>
      <c r="LT3" s="64" t="s">
        <v>19</v>
      </c>
      <c r="LU3" s="64"/>
      <c r="LV3" s="64"/>
      <c r="LW3" s="64"/>
      <c r="LX3" s="64"/>
      <c r="LY3" s="64"/>
      <c r="LZ3" s="64"/>
      <c r="MA3" s="64"/>
      <c r="MB3" s="64"/>
      <c r="MC3" s="64"/>
      <c r="MD3" s="64"/>
      <c r="ME3" s="77" t="s">
        <v>20</v>
      </c>
      <c r="MF3" s="77"/>
      <c r="MG3" s="77"/>
      <c r="MH3" s="77"/>
      <c r="MI3" s="77"/>
      <c r="MJ3" s="77"/>
      <c r="MK3" s="77"/>
      <c r="ML3" s="77"/>
      <c r="MM3" s="77"/>
      <c r="MN3" s="77"/>
      <c r="MO3" s="77"/>
      <c r="MP3" s="64" t="s">
        <v>19</v>
      </c>
      <c r="MQ3" s="64"/>
      <c r="MR3" s="64"/>
      <c r="MS3" s="64"/>
      <c r="MT3" s="64"/>
      <c r="MU3" s="64"/>
      <c r="MV3" s="64"/>
      <c r="MW3" s="64"/>
      <c r="MX3" s="64"/>
      <c r="MY3" s="64"/>
      <c r="MZ3" s="64"/>
      <c r="NA3" s="77" t="s">
        <v>20</v>
      </c>
      <c r="NB3" s="77"/>
      <c r="NC3" s="77"/>
      <c r="ND3" s="77"/>
      <c r="NE3" s="77"/>
      <c r="NF3" s="77"/>
      <c r="NG3" s="77"/>
      <c r="NH3" s="77"/>
      <c r="NI3" s="77"/>
      <c r="NJ3" s="77"/>
      <c r="NK3" s="77"/>
      <c r="NL3" s="71" t="s">
        <v>19</v>
      </c>
      <c r="NM3" s="72"/>
      <c r="NN3" s="72"/>
      <c r="NO3" s="72"/>
      <c r="NP3" s="72"/>
      <c r="NQ3" s="72"/>
      <c r="NR3" s="72"/>
      <c r="NS3" s="72"/>
      <c r="NT3" s="72"/>
      <c r="NU3" s="72"/>
      <c r="NV3" s="73"/>
      <c r="NW3" s="74" t="s">
        <v>20</v>
      </c>
      <c r="NX3" s="75"/>
      <c r="NY3" s="75"/>
      <c r="NZ3" s="75"/>
      <c r="OA3" s="75"/>
      <c r="OB3" s="75"/>
      <c r="OC3" s="75"/>
      <c r="OD3" s="75"/>
      <c r="OE3" s="75"/>
      <c r="OF3" s="75"/>
      <c r="OG3" s="76"/>
      <c r="OH3" s="71" t="s">
        <v>19</v>
      </c>
      <c r="OI3" s="72"/>
      <c r="OJ3" s="72"/>
      <c r="OK3" s="72"/>
      <c r="OL3" s="72"/>
      <c r="OM3" s="72"/>
      <c r="ON3" s="72"/>
      <c r="OO3" s="72"/>
      <c r="OP3" s="72"/>
      <c r="OQ3" s="72"/>
      <c r="OR3" s="73"/>
      <c r="OS3" s="74" t="s">
        <v>20</v>
      </c>
      <c r="OT3" s="75"/>
      <c r="OU3" s="75"/>
      <c r="OV3" s="75"/>
      <c r="OW3" s="75"/>
      <c r="OX3" s="75"/>
      <c r="OY3" s="75"/>
      <c r="OZ3" s="75"/>
      <c r="PA3" s="75"/>
      <c r="PB3" s="75"/>
      <c r="PC3" s="76"/>
      <c r="PD3" s="71" t="s">
        <v>19</v>
      </c>
      <c r="PE3" s="72"/>
      <c r="PF3" s="72"/>
      <c r="PG3" s="72"/>
      <c r="PH3" s="72"/>
      <c r="PI3" s="72"/>
      <c r="PJ3" s="72"/>
      <c r="PK3" s="72"/>
      <c r="PL3" s="72"/>
      <c r="PM3" s="72"/>
      <c r="PN3" s="73"/>
      <c r="PO3" s="74" t="s">
        <v>20</v>
      </c>
      <c r="PP3" s="75"/>
      <c r="PQ3" s="75"/>
      <c r="PR3" s="75"/>
      <c r="PS3" s="75"/>
      <c r="PT3" s="75"/>
      <c r="PU3" s="75"/>
      <c r="PV3" s="75"/>
      <c r="PW3" s="75"/>
      <c r="PX3" s="75"/>
      <c r="PY3" s="76"/>
      <c r="PZ3" s="71" t="s">
        <v>19</v>
      </c>
      <c r="QA3" s="72"/>
      <c r="QB3" s="72"/>
      <c r="QC3" s="72"/>
      <c r="QD3" s="72"/>
      <c r="QE3" s="72"/>
      <c r="QF3" s="72"/>
      <c r="QG3" s="72"/>
      <c r="QH3" s="72"/>
      <c r="QI3" s="72"/>
      <c r="QJ3" s="73"/>
      <c r="QK3" s="74" t="s">
        <v>20</v>
      </c>
      <c r="QL3" s="75"/>
      <c r="QM3" s="75"/>
      <c r="QN3" s="75"/>
      <c r="QO3" s="75"/>
      <c r="QP3" s="75"/>
      <c r="QQ3" s="75"/>
      <c r="QR3" s="75"/>
      <c r="QS3" s="75"/>
      <c r="QT3" s="75"/>
      <c r="QU3" s="76"/>
      <c r="QV3" s="71" t="s">
        <v>19</v>
      </c>
      <c r="QW3" s="72"/>
      <c r="QX3" s="72"/>
      <c r="QY3" s="72"/>
      <c r="QZ3" s="72"/>
      <c r="RA3" s="72"/>
      <c r="RB3" s="72"/>
      <c r="RC3" s="72"/>
      <c r="RD3" s="72"/>
      <c r="RE3" s="72"/>
      <c r="RF3" s="73"/>
      <c r="RG3" s="74" t="s">
        <v>20</v>
      </c>
      <c r="RH3" s="75"/>
      <c r="RI3" s="75"/>
      <c r="RJ3" s="75"/>
      <c r="RK3" s="75"/>
      <c r="RL3" s="75"/>
      <c r="RM3" s="75"/>
      <c r="RN3" s="75"/>
      <c r="RO3" s="75"/>
      <c r="RP3" s="75"/>
      <c r="RQ3" s="76"/>
      <c r="RR3" s="71" t="s">
        <v>19</v>
      </c>
      <c r="RS3" s="72"/>
      <c r="RT3" s="72"/>
      <c r="RU3" s="72"/>
      <c r="RV3" s="72"/>
      <c r="RW3" s="72"/>
      <c r="RX3" s="72"/>
      <c r="RY3" s="72"/>
      <c r="RZ3" s="72"/>
      <c r="SA3" s="72"/>
      <c r="SB3" s="73"/>
      <c r="SC3" s="74" t="s">
        <v>20</v>
      </c>
      <c r="SD3" s="75"/>
      <c r="SE3" s="75"/>
      <c r="SF3" s="75"/>
      <c r="SG3" s="75"/>
      <c r="SH3" s="75"/>
      <c r="SI3" s="75"/>
      <c r="SJ3" s="75"/>
      <c r="SK3" s="75"/>
      <c r="SL3" s="75"/>
      <c r="SM3" s="76"/>
      <c r="SN3" s="71" t="s">
        <v>19</v>
      </c>
      <c r="SO3" s="72"/>
      <c r="SP3" s="72"/>
      <c r="SQ3" s="72"/>
      <c r="SR3" s="72"/>
      <c r="SS3" s="72"/>
      <c r="ST3" s="72"/>
      <c r="SU3" s="72"/>
      <c r="SV3" s="72"/>
      <c r="SW3" s="72"/>
      <c r="SX3" s="73"/>
      <c r="SY3" s="74" t="s">
        <v>20</v>
      </c>
      <c r="SZ3" s="75"/>
      <c r="TA3" s="75"/>
      <c r="TB3" s="75"/>
      <c r="TC3" s="75"/>
      <c r="TD3" s="75"/>
      <c r="TE3" s="75"/>
      <c r="TF3" s="75"/>
      <c r="TG3" s="75"/>
      <c r="TH3" s="75"/>
      <c r="TI3" s="76"/>
      <c r="TJ3" s="71" t="s">
        <v>19</v>
      </c>
      <c r="TK3" s="72"/>
      <c r="TL3" s="72"/>
      <c r="TM3" s="72"/>
      <c r="TN3" s="72"/>
      <c r="TO3" s="72"/>
      <c r="TP3" s="72"/>
      <c r="TQ3" s="72"/>
      <c r="TR3" s="72"/>
      <c r="TS3" s="72"/>
      <c r="TT3" s="73"/>
      <c r="TU3" s="74" t="s">
        <v>20</v>
      </c>
      <c r="TV3" s="75"/>
      <c r="TW3" s="75"/>
      <c r="TX3" s="75"/>
      <c r="TY3" s="75"/>
      <c r="TZ3" s="75"/>
      <c r="UA3" s="75"/>
      <c r="UB3" s="75"/>
      <c r="UC3" s="75"/>
      <c r="UD3" s="75"/>
      <c r="UE3" s="76"/>
      <c r="UF3" s="71" t="s">
        <v>19</v>
      </c>
      <c r="UG3" s="72"/>
      <c r="UH3" s="72"/>
      <c r="UI3" s="72"/>
      <c r="UJ3" s="72"/>
      <c r="UK3" s="72"/>
      <c r="UL3" s="72"/>
      <c r="UM3" s="72"/>
      <c r="UN3" s="72"/>
      <c r="UO3" s="72"/>
      <c r="UP3" s="73"/>
      <c r="UQ3" s="74" t="s">
        <v>20</v>
      </c>
      <c r="UR3" s="75"/>
      <c r="US3" s="75"/>
      <c r="UT3" s="75"/>
      <c r="UU3" s="75"/>
      <c r="UV3" s="75"/>
      <c r="UW3" s="75"/>
      <c r="UX3" s="75"/>
      <c r="UY3" s="75"/>
      <c r="UZ3" s="75"/>
      <c r="VA3" s="76"/>
      <c r="VB3" s="71" t="s">
        <v>19</v>
      </c>
      <c r="VC3" s="72"/>
      <c r="VD3" s="72"/>
      <c r="VE3" s="72"/>
      <c r="VF3" s="72"/>
      <c r="VG3" s="72"/>
      <c r="VH3" s="72"/>
      <c r="VI3" s="72"/>
      <c r="VJ3" s="72"/>
      <c r="VK3" s="72"/>
      <c r="VL3" s="73"/>
      <c r="VM3" s="74" t="s">
        <v>20</v>
      </c>
      <c r="VN3" s="75"/>
      <c r="VO3" s="75"/>
      <c r="VP3" s="75"/>
      <c r="VQ3" s="75"/>
      <c r="VR3" s="75"/>
      <c r="VS3" s="75"/>
      <c r="VT3" s="75"/>
      <c r="VU3" s="75"/>
      <c r="VV3" s="75"/>
      <c r="VW3" s="76"/>
      <c r="VX3" s="71" t="s">
        <v>19</v>
      </c>
      <c r="VY3" s="72"/>
      <c r="VZ3" s="72"/>
      <c r="WA3" s="72"/>
      <c r="WB3" s="72"/>
      <c r="WC3" s="72"/>
      <c r="WD3" s="72"/>
      <c r="WE3" s="72"/>
      <c r="WF3" s="72"/>
      <c r="WG3" s="72"/>
      <c r="WH3" s="73"/>
      <c r="WI3" s="74" t="s">
        <v>20</v>
      </c>
      <c r="WJ3" s="75"/>
      <c r="WK3" s="75"/>
      <c r="WL3" s="75"/>
      <c r="WM3" s="75"/>
      <c r="WN3" s="75"/>
      <c r="WO3" s="75"/>
      <c r="WP3" s="75"/>
      <c r="WQ3" s="75"/>
      <c r="WR3" s="75"/>
      <c r="WS3" s="76"/>
      <c r="WT3" s="71" t="s">
        <v>19</v>
      </c>
      <c r="WU3" s="72"/>
      <c r="WV3" s="72"/>
      <c r="WW3" s="72"/>
      <c r="WX3" s="72"/>
      <c r="WY3" s="72"/>
      <c r="WZ3" s="72"/>
      <c r="XA3" s="72"/>
      <c r="XB3" s="72"/>
      <c r="XC3" s="72"/>
      <c r="XD3" s="73"/>
      <c r="XE3" s="74" t="s">
        <v>20</v>
      </c>
      <c r="XF3" s="75"/>
      <c r="XG3" s="75"/>
      <c r="XH3" s="75"/>
      <c r="XI3" s="75"/>
      <c r="XJ3" s="75"/>
      <c r="XK3" s="75"/>
      <c r="XL3" s="75"/>
      <c r="XM3" s="75"/>
      <c r="XN3" s="75"/>
      <c r="XO3" s="76"/>
      <c r="XP3" s="71" t="s">
        <v>19</v>
      </c>
      <c r="XQ3" s="72"/>
      <c r="XR3" s="72"/>
      <c r="XS3" s="72"/>
      <c r="XT3" s="72"/>
      <c r="XU3" s="72"/>
      <c r="XV3" s="72"/>
      <c r="XW3" s="72"/>
      <c r="XX3" s="72"/>
      <c r="XY3" s="72"/>
      <c r="XZ3" s="73"/>
      <c r="YA3" s="74" t="s">
        <v>20</v>
      </c>
      <c r="YB3" s="75"/>
      <c r="YC3" s="75"/>
      <c r="YD3" s="75"/>
      <c r="YE3" s="75"/>
      <c r="YF3" s="75"/>
      <c r="YG3" s="75"/>
      <c r="YH3" s="75"/>
      <c r="YI3" s="75"/>
      <c r="YJ3" s="75"/>
      <c r="YK3" s="76"/>
      <c r="YL3" s="71" t="s">
        <v>19</v>
      </c>
      <c r="YM3" s="72"/>
      <c r="YN3" s="72"/>
      <c r="YO3" s="72"/>
      <c r="YP3" s="72"/>
      <c r="YQ3" s="72"/>
      <c r="YR3" s="72"/>
      <c r="YS3" s="72"/>
      <c r="YT3" s="72"/>
      <c r="YU3" s="72"/>
      <c r="YV3" s="73"/>
      <c r="YW3" s="74" t="s">
        <v>20</v>
      </c>
      <c r="YX3" s="75"/>
      <c r="YY3" s="75"/>
      <c r="YZ3" s="75"/>
      <c r="ZA3" s="75"/>
      <c r="ZB3" s="75"/>
      <c r="ZC3" s="75"/>
      <c r="ZD3" s="75"/>
      <c r="ZE3" s="75"/>
      <c r="ZF3" s="75"/>
      <c r="ZG3" s="76"/>
      <c r="ZH3" s="71" t="s">
        <v>19</v>
      </c>
      <c r="ZI3" s="72"/>
      <c r="ZJ3" s="72"/>
      <c r="ZK3" s="72"/>
      <c r="ZL3" s="72"/>
      <c r="ZM3" s="72"/>
      <c r="ZN3" s="72"/>
      <c r="ZO3" s="72"/>
      <c r="ZP3" s="72"/>
      <c r="ZQ3" s="72"/>
      <c r="ZR3" s="73"/>
      <c r="ZS3" s="74" t="s">
        <v>20</v>
      </c>
      <c r="ZT3" s="75"/>
      <c r="ZU3" s="75"/>
      <c r="ZV3" s="75"/>
      <c r="ZW3" s="75"/>
      <c r="ZX3" s="75"/>
      <c r="ZY3" s="75"/>
      <c r="ZZ3" s="75"/>
      <c r="AAA3" s="75"/>
      <c r="AAB3" s="75"/>
      <c r="AAC3" s="76"/>
    </row>
    <row r="4" spans="1:705" x14ac:dyDescent="0.2">
      <c r="A4" s="4" t="s">
        <v>17</v>
      </c>
      <c r="B4" s="5" t="s">
        <v>101</v>
      </c>
      <c r="C4" s="5" t="s">
        <v>111</v>
      </c>
      <c r="D4" s="5" t="s">
        <v>107</v>
      </c>
      <c r="E4" s="5" t="s">
        <v>336</v>
      </c>
      <c r="F4" s="5" t="s">
        <v>338</v>
      </c>
      <c r="G4" s="5" t="s">
        <v>339</v>
      </c>
      <c r="H4" s="5" t="s">
        <v>337</v>
      </c>
      <c r="I4" s="5" t="s">
        <v>341</v>
      </c>
      <c r="J4" s="5" t="s">
        <v>340</v>
      </c>
      <c r="K4" s="5" t="s">
        <v>114</v>
      </c>
      <c r="L4" s="5" t="s">
        <v>109</v>
      </c>
      <c r="M4" s="6" t="s">
        <v>101</v>
      </c>
      <c r="N4" s="6" t="s">
        <v>111</v>
      </c>
      <c r="O4" s="6" t="s">
        <v>107</v>
      </c>
      <c r="P4" s="6" t="s">
        <v>336</v>
      </c>
      <c r="Q4" s="6" t="s">
        <v>338</v>
      </c>
      <c r="R4" s="6" t="s">
        <v>339</v>
      </c>
      <c r="S4" s="6" t="s">
        <v>337</v>
      </c>
      <c r="T4" s="6" t="s">
        <v>341</v>
      </c>
      <c r="U4" s="6" t="s">
        <v>340</v>
      </c>
      <c r="V4" s="6" t="s">
        <v>114</v>
      </c>
      <c r="W4" s="6" t="s">
        <v>109</v>
      </c>
      <c r="X4" s="5" t="s">
        <v>101</v>
      </c>
      <c r="Y4" s="5" t="s">
        <v>111</v>
      </c>
      <c r="Z4" s="5" t="s">
        <v>107</v>
      </c>
      <c r="AA4" s="5" t="s">
        <v>336</v>
      </c>
      <c r="AB4" s="5" t="s">
        <v>338</v>
      </c>
      <c r="AC4" s="5" t="s">
        <v>339</v>
      </c>
      <c r="AD4" s="5" t="s">
        <v>337</v>
      </c>
      <c r="AE4" s="5" t="s">
        <v>341</v>
      </c>
      <c r="AF4" s="5" t="s">
        <v>340</v>
      </c>
      <c r="AG4" s="5" t="s">
        <v>114</v>
      </c>
      <c r="AH4" s="5" t="s">
        <v>109</v>
      </c>
      <c r="AI4" s="6" t="s">
        <v>101</v>
      </c>
      <c r="AJ4" s="6" t="s">
        <v>111</v>
      </c>
      <c r="AK4" s="6" t="s">
        <v>107</v>
      </c>
      <c r="AL4" s="6" t="s">
        <v>336</v>
      </c>
      <c r="AM4" s="6" t="s">
        <v>338</v>
      </c>
      <c r="AN4" s="6" t="s">
        <v>339</v>
      </c>
      <c r="AO4" s="6" t="s">
        <v>337</v>
      </c>
      <c r="AP4" s="6" t="s">
        <v>341</v>
      </c>
      <c r="AQ4" s="6" t="s">
        <v>340</v>
      </c>
      <c r="AR4" s="6" t="s">
        <v>114</v>
      </c>
      <c r="AS4" s="6" t="s">
        <v>109</v>
      </c>
      <c r="AT4" s="5" t="s">
        <v>101</v>
      </c>
      <c r="AU4" s="5" t="s">
        <v>111</v>
      </c>
      <c r="AV4" s="5" t="s">
        <v>107</v>
      </c>
      <c r="AW4" s="5" t="s">
        <v>336</v>
      </c>
      <c r="AX4" s="5" t="s">
        <v>338</v>
      </c>
      <c r="AY4" s="5" t="s">
        <v>339</v>
      </c>
      <c r="AZ4" s="5" t="s">
        <v>337</v>
      </c>
      <c r="BA4" s="5" t="s">
        <v>341</v>
      </c>
      <c r="BB4" s="5" t="s">
        <v>340</v>
      </c>
      <c r="BC4" s="5" t="s">
        <v>114</v>
      </c>
      <c r="BD4" s="5" t="s">
        <v>109</v>
      </c>
      <c r="BE4" s="6" t="s">
        <v>101</v>
      </c>
      <c r="BF4" s="6" t="s">
        <v>111</v>
      </c>
      <c r="BG4" s="6" t="s">
        <v>107</v>
      </c>
      <c r="BH4" s="6" t="s">
        <v>336</v>
      </c>
      <c r="BI4" s="6" t="s">
        <v>338</v>
      </c>
      <c r="BJ4" s="6" t="s">
        <v>339</v>
      </c>
      <c r="BK4" s="6" t="s">
        <v>337</v>
      </c>
      <c r="BL4" s="6" t="s">
        <v>341</v>
      </c>
      <c r="BM4" s="6" t="s">
        <v>340</v>
      </c>
      <c r="BN4" s="6" t="s">
        <v>114</v>
      </c>
      <c r="BO4" s="6" t="s">
        <v>109</v>
      </c>
      <c r="BP4" s="5" t="s">
        <v>101</v>
      </c>
      <c r="BQ4" s="5" t="s">
        <v>111</v>
      </c>
      <c r="BR4" s="5" t="s">
        <v>107</v>
      </c>
      <c r="BS4" s="5" t="s">
        <v>336</v>
      </c>
      <c r="BT4" s="5" t="s">
        <v>338</v>
      </c>
      <c r="BU4" s="5" t="s">
        <v>339</v>
      </c>
      <c r="BV4" s="5" t="s">
        <v>337</v>
      </c>
      <c r="BW4" s="5" t="s">
        <v>341</v>
      </c>
      <c r="BX4" s="5" t="s">
        <v>340</v>
      </c>
      <c r="BY4" s="5" t="s">
        <v>114</v>
      </c>
      <c r="BZ4" s="5" t="s">
        <v>109</v>
      </c>
      <c r="CA4" s="6" t="s">
        <v>101</v>
      </c>
      <c r="CB4" s="6" t="s">
        <v>111</v>
      </c>
      <c r="CC4" s="6" t="s">
        <v>107</v>
      </c>
      <c r="CD4" s="6" t="s">
        <v>336</v>
      </c>
      <c r="CE4" s="6" t="s">
        <v>338</v>
      </c>
      <c r="CF4" s="6" t="s">
        <v>339</v>
      </c>
      <c r="CG4" s="6" t="s">
        <v>337</v>
      </c>
      <c r="CH4" s="6" t="s">
        <v>341</v>
      </c>
      <c r="CI4" s="6" t="s">
        <v>340</v>
      </c>
      <c r="CJ4" s="6" t="s">
        <v>114</v>
      </c>
      <c r="CK4" s="6" t="s">
        <v>109</v>
      </c>
      <c r="CL4" s="5" t="s">
        <v>101</v>
      </c>
      <c r="CM4" s="5" t="s">
        <v>111</v>
      </c>
      <c r="CN4" s="5" t="s">
        <v>107</v>
      </c>
      <c r="CO4" s="5" t="s">
        <v>336</v>
      </c>
      <c r="CP4" s="5" t="s">
        <v>338</v>
      </c>
      <c r="CQ4" s="5" t="s">
        <v>339</v>
      </c>
      <c r="CR4" s="5" t="s">
        <v>337</v>
      </c>
      <c r="CS4" s="5" t="s">
        <v>341</v>
      </c>
      <c r="CT4" s="5" t="s">
        <v>340</v>
      </c>
      <c r="CU4" s="5" t="s">
        <v>114</v>
      </c>
      <c r="CV4" s="5" t="s">
        <v>109</v>
      </c>
      <c r="CW4" s="6" t="s">
        <v>101</v>
      </c>
      <c r="CX4" s="6" t="s">
        <v>111</v>
      </c>
      <c r="CY4" s="6" t="s">
        <v>107</v>
      </c>
      <c r="CZ4" s="6" t="s">
        <v>336</v>
      </c>
      <c r="DA4" s="6" t="s">
        <v>338</v>
      </c>
      <c r="DB4" s="6" t="s">
        <v>339</v>
      </c>
      <c r="DC4" s="6" t="s">
        <v>337</v>
      </c>
      <c r="DD4" s="6" t="s">
        <v>341</v>
      </c>
      <c r="DE4" s="6" t="s">
        <v>340</v>
      </c>
      <c r="DF4" s="6" t="s">
        <v>114</v>
      </c>
      <c r="DG4" s="6" t="s">
        <v>109</v>
      </c>
      <c r="DH4" s="5" t="s">
        <v>101</v>
      </c>
      <c r="DI4" s="5" t="s">
        <v>111</v>
      </c>
      <c r="DJ4" s="5" t="s">
        <v>107</v>
      </c>
      <c r="DK4" s="5" t="s">
        <v>336</v>
      </c>
      <c r="DL4" s="5" t="s">
        <v>338</v>
      </c>
      <c r="DM4" s="5" t="s">
        <v>339</v>
      </c>
      <c r="DN4" s="5" t="s">
        <v>337</v>
      </c>
      <c r="DO4" s="5" t="s">
        <v>341</v>
      </c>
      <c r="DP4" s="5" t="s">
        <v>340</v>
      </c>
      <c r="DQ4" s="5" t="s">
        <v>114</v>
      </c>
      <c r="DR4" s="5" t="s">
        <v>109</v>
      </c>
      <c r="DS4" s="6" t="s">
        <v>101</v>
      </c>
      <c r="DT4" s="6" t="s">
        <v>111</v>
      </c>
      <c r="DU4" s="6" t="s">
        <v>107</v>
      </c>
      <c r="DV4" s="6" t="s">
        <v>336</v>
      </c>
      <c r="DW4" s="6" t="s">
        <v>338</v>
      </c>
      <c r="DX4" s="6" t="s">
        <v>339</v>
      </c>
      <c r="DY4" s="6" t="s">
        <v>337</v>
      </c>
      <c r="DZ4" s="6" t="s">
        <v>341</v>
      </c>
      <c r="EA4" s="6" t="s">
        <v>340</v>
      </c>
      <c r="EB4" s="6" t="s">
        <v>114</v>
      </c>
      <c r="EC4" s="6" t="s">
        <v>109</v>
      </c>
      <c r="ED4" s="5" t="s">
        <v>101</v>
      </c>
      <c r="EE4" s="5" t="s">
        <v>111</v>
      </c>
      <c r="EF4" s="5" t="s">
        <v>107</v>
      </c>
      <c r="EG4" s="5" t="s">
        <v>336</v>
      </c>
      <c r="EH4" s="5" t="s">
        <v>338</v>
      </c>
      <c r="EI4" s="5" t="s">
        <v>339</v>
      </c>
      <c r="EJ4" s="5" t="s">
        <v>337</v>
      </c>
      <c r="EK4" s="5" t="s">
        <v>341</v>
      </c>
      <c r="EL4" s="5" t="s">
        <v>340</v>
      </c>
      <c r="EM4" s="5" t="s">
        <v>114</v>
      </c>
      <c r="EN4" s="5" t="s">
        <v>109</v>
      </c>
      <c r="EO4" s="6" t="s">
        <v>101</v>
      </c>
      <c r="EP4" s="6" t="s">
        <v>111</v>
      </c>
      <c r="EQ4" s="6" t="s">
        <v>107</v>
      </c>
      <c r="ER4" s="6" t="s">
        <v>336</v>
      </c>
      <c r="ES4" s="6" t="s">
        <v>338</v>
      </c>
      <c r="ET4" s="6" t="s">
        <v>339</v>
      </c>
      <c r="EU4" s="6" t="s">
        <v>337</v>
      </c>
      <c r="EV4" s="6" t="s">
        <v>341</v>
      </c>
      <c r="EW4" s="6" t="s">
        <v>340</v>
      </c>
      <c r="EX4" s="6" t="s">
        <v>114</v>
      </c>
      <c r="EY4" s="6" t="s">
        <v>109</v>
      </c>
      <c r="EZ4" s="5" t="s">
        <v>101</v>
      </c>
      <c r="FA4" s="5" t="s">
        <v>111</v>
      </c>
      <c r="FB4" s="5" t="s">
        <v>107</v>
      </c>
      <c r="FC4" s="5" t="s">
        <v>336</v>
      </c>
      <c r="FD4" s="5" t="s">
        <v>338</v>
      </c>
      <c r="FE4" s="5" t="s">
        <v>339</v>
      </c>
      <c r="FF4" s="5" t="s">
        <v>337</v>
      </c>
      <c r="FG4" s="5" t="s">
        <v>341</v>
      </c>
      <c r="FH4" s="5" t="s">
        <v>340</v>
      </c>
      <c r="FI4" s="5" t="s">
        <v>114</v>
      </c>
      <c r="FJ4" s="5" t="s">
        <v>109</v>
      </c>
      <c r="FK4" s="6" t="s">
        <v>101</v>
      </c>
      <c r="FL4" s="6" t="s">
        <v>111</v>
      </c>
      <c r="FM4" s="6" t="s">
        <v>107</v>
      </c>
      <c r="FN4" s="6" t="s">
        <v>336</v>
      </c>
      <c r="FO4" s="6" t="s">
        <v>338</v>
      </c>
      <c r="FP4" s="6" t="s">
        <v>339</v>
      </c>
      <c r="FQ4" s="6" t="s">
        <v>337</v>
      </c>
      <c r="FR4" s="6" t="s">
        <v>341</v>
      </c>
      <c r="FS4" s="6" t="s">
        <v>340</v>
      </c>
      <c r="FT4" s="6" t="s">
        <v>114</v>
      </c>
      <c r="FU4" s="6" t="s">
        <v>109</v>
      </c>
      <c r="FV4" s="5" t="s">
        <v>101</v>
      </c>
      <c r="FW4" s="5" t="s">
        <v>111</v>
      </c>
      <c r="FX4" s="5" t="s">
        <v>107</v>
      </c>
      <c r="FY4" s="5" t="s">
        <v>336</v>
      </c>
      <c r="FZ4" s="5" t="s">
        <v>338</v>
      </c>
      <c r="GA4" s="5" t="s">
        <v>339</v>
      </c>
      <c r="GB4" s="5" t="s">
        <v>337</v>
      </c>
      <c r="GC4" s="5" t="s">
        <v>341</v>
      </c>
      <c r="GD4" s="5" t="s">
        <v>340</v>
      </c>
      <c r="GE4" s="5" t="s">
        <v>114</v>
      </c>
      <c r="GF4" s="5" t="s">
        <v>109</v>
      </c>
      <c r="GG4" s="6" t="s">
        <v>101</v>
      </c>
      <c r="GH4" s="6" t="s">
        <v>111</v>
      </c>
      <c r="GI4" s="6" t="s">
        <v>107</v>
      </c>
      <c r="GJ4" s="6" t="s">
        <v>336</v>
      </c>
      <c r="GK4" s="6" t="s">
        <v>338</v>
      </c>
      <c r="GL4" s="6" t="s">
        <v>339</v>
      </c>
      <c r="GM4" s="6" t="s">
        <v>337</v>
      </c>
      <c r="GN4" s="6" t="s">
        <v>341</v>
      </c>
      <c r="GO4" s="6" t="s">
        <v>340</v>
      </c>
      <c r="GP4" s="6" t="s">
        <v>114</v>
      </c>
      <c r="GQ4" s="6" t="s">
        <v>109</v>
      </c>
      <c r="GR4" s="5" t="s">
        <v>101</v>
      </c>
      <c r="GS4" s="5" t="s">
        <v>111</v>
      </c>
      <c r="GT4" s="5" t="s">
        <v>107</v>
      </c>
      <c r="GU4" s="5" t="s">
        <v>336</v>
      </c>
      <c r="GV4" s="5" t="s">
        <v>338</v>
      </c>
      <c r="GW4" s="5" t="s">
        <v>339</v>
      </c>
      <c r="GX4" s="5" t="s">
        <v>337</v>
      </c>
      <c r="GY4" s="5" t="s">
        <v>341</v>
      </c>
      <c r="GZ4" s="5" t="s">
        <v>340</v>
      </c>
      <c r="HA4" s="5" t="s">
        <v>114</v>
      </c>
      <c r="HB4" s="5" t="s">
        <v>109</v>
      </c>
      <c r="HC4" s="6" t="s">
        <v>101</v>
      </c>
      <c r="HD4" s="6" t="s">
        <v>111</v>
      </c>
      <c r="HE4" s="6" t="s">
        <v>107</v>
      </c>
      <c r="HF4" s="6" t="s">
        <v>336</v>
      </c>
      <c r="HG4" s="6" t="s">
        <v>338</v>
      </c>
      <c r="HH4" s="6" t="s">
        <v>339</v>
      </c>
      <c r="HI4" s="6" t="s">
        <v>337</v>
      </c>
      <c r="HJ4" s="6" t="s">
        <v>341</v>
      </c>
      <c r="HK4" s="6" t="s">
        <v>340</v>
      </c>
      <c r="HL4" s="6" t="s">
        <v>114</v>
      </c>
      <c r="HM4" s="6" t="s">
        <v>109</v>
      </c>
      <c r="HN4" s="5" t="s">
        <v>101</v>
      </c>
      <c r="HO4" s="5" t="s">
        <v>111</v>
      </c>
      <c r="HP4" s="5" t="s">
        <v>107</v>
      </c>
      <c r="HQ4" s="5" t="s">
        <v>336</v>
      </c>
      <c r="HR4" s="5" t="s">
        <v>338</v>
      </c>
      <c r="HS4" s="5" t="s">
        <v>339</v>
      </c>
      <c r="HT4" s="5" t="s">
        <v>337</v>
      </c>
      <c r="HU4" s="5" t="s">
        <v>341</v>
      </c>
      <c r="HV4" s="5" t="s">
        <v>340</v>
      </c>
      <c r="HW4" s="5" t="s">
        <v>114</v>
      </c>
      <c r="HX4" s="5" t="s">
        <v>109</v>
      </c>
      <c r="HY4" s="6" t="s">
        <v>101</v>
      </c>
      <c r="HZ4" s="6" t="s">
        <v>111</v>
      </c>
      <c r="IA4" s="6" t="s">
        <v>107</v>
      </c>
      <c r="IB4" s="6" t="s">
        <v>336</v>
      </c>
      <c r="IC4" s="6" t="s">
        <v>338</v>
      </c>
      <c r="ID4" s="6" t="s">
        <v>339</v>
      </c>
      <c r="IE4" s="6" t="s">
        <v>337</v>
      </c>
      <c r="IF4" s="6" t="s">
        <v>341</v>
      </c>
      <c r="IG4" s="6" t="s">
        <v>340</v>
      </c>
      <c r="IH4" s="6" t="s">
        <v>114</v>
      </c>
      <c r="II4" s="6" t="s">
        <v>109</v>
      </c>
      <c r="IJ4" s="5" t="s">
        <v>101</v>
      </c>
      <c r="IK4" s="5" t="s">
        <v>111</v>
      </c>
      <c r="IL4" s="5" t="s">
        <v>107</v>
      </c>
      <c r="IM4" s="5" t="s">
        <v>336</v>
      </c>
      <c r="IN4" s="5" t="s">
        <v>338</v>
      </c>
      <c r="IO4" s="5" t="s">
        <v>339</v>
      </c>
      <c r="IP4" s="5" t="s">
        <v>337</v>
      </c>
      <c r="IQ4" s="5" t="s">
        <v>341</v>
      </c>
      <c r="IR4" s="5" t="s">
        <v>340</v>
      </c>
      <c r="IS4" s="5" t="s">
        <v>114</v>
      </c>
      <c r="IT4" s="5" t="s">
        <v>109</v>
      </c>
      <c r="IU4" s="6" t="s">
        <v>101</v>
      </c>
      <c r="IV4" s="6" t="s">
        <v>111</v>
      </c>
      <c r="IW4" s="6" t="s">
        <v>107</v>
      </c>
      <c r="IX4" s="6" t="s">
        <v>336</v>
      </c>
      <c r="IY4" s="6" t="s">
        <v>338</v>
      </c>
      <c r="IZ4" s="6" t="s">
        <v>339</v>
      </c>
      <c r="JA4" s="6" t="s">
        <v>337</v>
      </c>
      <c r="JB4" s="6" t="s">
        <v>341</v>
      </c>
      <c r="JC4" s="6" t="s">
        <v>340</v>
      </c>
      <c r="JD4" s="6" t="s">
        <v>114</v>
      </c>
      <c r="JE4" s="6" t="s">
        <v>109</v>
      </c>
      <c r="JF4" s="5" t="s">
        <v>101</v>
      </c>
      <c r="JG4" s="5" t="s">
        <v>111</v>
      </c>
      <c r="JH4" s="5" t="s">
        <v>107</v>
      </c>
      <c r="JI4" s="5" t="s">
        <v>336</v>
      </c>
      <c r="JJ4" s="5" t="s">
        <v>338</v>
      </c>
      <c r="JK4" s="5" t="s">
        <v>339</v>
      </c>
      <c r="JL4" s="5" t="s">
        <v>337</v>
      </c>
      <c r="JM4" s="5" t="s">
        <v>341</v>
      </c>
      <c r="JN4" s="5" t="s">
        <v>340</v>
      </c>
      <c r="JO4" s="5" t="s">
        <v>114</v>
      </c>
      <c r="JP4" s="5" t="s">
        <v>109</v>
      </c>
      <c r="JQ4" s="6" t="s">
        <v>101</v>
      </c>
      <c r="JR4" s="6" t="s">
        <v>111</v>
      </c>
      <c r="JS4" s="6" t="s">
        <v>107</v>
      </c>
      <c r="JT4" s="6" t="s">
        <v>336</v>
      </c>
      <c r="JU4" s="6" t="s">
        <v>338</v>
      </c>
      <c r="JV4" s="6" t="s">
        <v>339</v>
      </c>
      <c r="JW4" s="6" t="s">
        <v>337</v>
      </c>
      <c r="JX4" s="6" t="s">
        <v>341</v>
      </c>
      <c r="JY4" s="6" t="s">
        <v>340</v>
      </c>
      <c r="JZ4" s="6" t="s">
        <v>114</v>
      </c>
      <c r="KA4" s="6" t="s">
        <v>109</v>
      </c>
      <c r="KB4" s="5" t="s">
        <v>101</v>
      </c>
      <c r="KC4" s="5" t="s">
        <v>111</v>
      </c>
      <c r="KD4" s="5" t="s">
        <v>107</v>
      </c>
      <c r="KE4" s="5" t="s">
        <v>336</v>
      </c>
      <c r="KF4" s="5" t="s">
        <v>338</v>
      </c>
      <c r="KG4" s="5" t="s">
        <v>339</v>
      </c>
      <c r="KH4" s="5" t="s">
        <v>337</v>
      </c>
      <c r="KI4" s="5" t="s">
        <v>341</v>
      </c>
      <c r="KJ4" s="5" t="s">
        <v>340</v>
      </c>
      <c r="KK4" s="5" t="s">
        <v>114</v>
      </c>
      <c r="KL4" s="5" t="s">
        <v>109</v>
      </c>
      <c r="KM4" s="6" t="s">
        <v>101</v>
      </c>
      <c r="KN4" s="6" t="s">
        <v>111</v>
      </c>
      <c r="KO4" s="6" t="s">
        <v>107</v>
      </c>
      <c r="KP4" s="6" t="s">
        <v>336</v>
      </c>
      <c r="KQ4" s="6" t="s">
        <v>338</v>
      </c>
      <c r="KR4" s="6" t="s">
        <v>339</v>
      </c>
      <c r="KS4" s="6" t="s">
        <v>337</v>
      </c>
      <c r="KT4" s="6" t="s">
        <v>341</v>
      </c>
      <c r="KU4" s="6" t="s">
        <v>340</v>
      </c>
      <c r="KV4" s="6" t="s">
        <v>114</v>
      </c>
      <c r="KW4" s="6" t="s">
        <v>109</v>
      </c>
      <c r="KX4" s="5" t="s">
        <v>101</v>
      </c>
      <c r="KY4" s="5" t="s">
        <v>111</v>
      </c>
      <c r="KZ4" s="5" t="s">
        <v>107</v>
      </c>
      <c r="LA4" s="5" t="s">
        <v>336</v>
      </c>
      <c r="LB4" s="5" t="s">
        <v>338</v>
      </c>
      <c r="LC4" s="5" t="s">
        <v>339</v>
      </c>
      <c r="LD4" s="5" t="s">
        <v>337</v>
      </c>
      <c r="LE4" s="5" t="s">
        <v>341</v>
      </c>
      <c r="LF4" s="5" t="s">
        <v>340</v>
      </c>
      <c r="LG4" s="5" t="s">
        <v>114</v>
      </c>
      <c r="LH4" s="5" t="s">
        <v>109</v>
      </c>
      <c r="LI4" s="6" t="s">
        <v>101</v>
      </c>
      <c r="LJ4" s="6" t="s">
        <v>111</v>
      </c>
      <c r="LK4" s="6" t="s">
        <v>107</v>
      </c>
      <c r="LL4" s="6" t="s">
        <v>336</v>
      </c>
      <c r="LM4" s="6" t="s">
        <v>338</v>
      </c>
      <c r="LN4" s="6" t="s">
        <v>339</v>
      </c>
      <c r="LO4" s="6" t="s">
        <v>337</v>
      </c>
      <c r="LP4" s="6" t="s">
        <v>341</v>
      </c>
      <c r="LQ4" s="6" t="s">
        <v>340</v>
      </c>
      <c r="LR4" s="6" t="s">
        <v>114</v>
      </c>
      <c r="LS4" s="6" t="s">
        <v>109</v>
      </c>
      <c r="LT4" s="5" t="s">
        <v>101</v>
      </c>
      <c r="LU4" s="5" t="s">
        <v>111</v>
      </c>
      <c r="LV4" s="5" t="s">
        <v>107</v>
      </c>
      <c r="LW4" s="5" t="s">
        <v>336</v>
      </c>
      <c r="LX4" s="5" t="s">
        <v>338</v>
      </c>
      <c r="LY4" s="5" t="s">
        <v>339</v>
      </c>
      <c r="LZ4" s="5" t="s">
        <v>337</v>
      </c>
      <c r="MA4" s="5" t="s">
        <v>341</v>
      </c>
      <c r="MB4" s="5" t="s">
        <v>340</v>
      </c>
      <c r="MC4" s="5" t="s">
        <v>114</v>
      </c>
      <c r="MD4" s="5" t="s">
        <v>109</v>
      </c>
      <c r="ME4" s="6" t="s">
        <v>101</v>
      </c>
      <c r="MF4" s="6" t="s">
        <v>111</v>
      </c>
      <c r="MG4" s="6" t="s">
        <v>107</v>
      </c>
      <c r="MH4" s="6" t="s">
        <v>336</v>
      </c>
      <c r="MI4" s="6" t="s">
        <v>338</v>
      </c>
      <c r="MJ4" s="6" t="s">
        <v>339</v>
      </c>
      <c r="MK4" s="6" t="s">
        <v>337</v>
      </c>
      <c r="ML4" s="6" t="s">
        <v>341</v>
      </c>
      <c r="MM4" s="6" t="s">
        <v>340</v>
      </c>
      <c r="MN4" s="6" t="s">
        <v>114</v>
      </c>
      <c r="MO4" s="6" t="s">
        <v>109</v>
      </c>
      <c r="MP4" s="5" t="s">
        <v>101</v>
      </c>
      <c r="MQ4" s="5" t="s">
        <v>111</v>
      </c>
      <c r="MR4" s="5" t="s">
        <v>107</v>
      </c>
      <c r="MS4" s="5" t="s">
        <v>336</v>
      </c>
      <c r="MT4" s="5" t="s">
        <v>338</v>
      </c>
      <c r="MU4" s="5" t="s">
        <v>339</v>
      </c>
      <c r="MV4" s="5" t="s">
        <v>337</v>
      </c>
      <c r="MW4" s="5" t="s">
        <v>341</v>
      </c>
      <c r="MX4" s="5" t="s">
        <v>340</v>
      </c>
      <c r="MY4" s="5" t="s">
        <v>114</v>
      </c>
      <c r="MZ4" s="5" t="s">
        <v>109</v>
      </c>
      <c r="NA4" s="6" t="s">
        <v>101</v>
      </c>
      <c r="NB4" s="6" t="s">
        <v>111</v>
      </c>
      <c r="NC4" s="6" t="s">
        <v>107</v>
      </c>
      <c r="ND4" s="6" t="s">
        <v>336</v>
      </c>
      <c r="NE4" s="6" t="s">
        <v>338</v>
      </c>
      <c r="NF4" s="6" t="s">
        <v>339</v>
      </c>
      <c r="NG4" s="6" t="s">
        <v>337</v>
      </c>
      <c r="NH4" s="6" t="s">
        <v>341</v>
      </c>
      <c r="NI4" s="6" t="s">
        <v>340</v>
      </c>
      <c r="NJ4" s="6" t="s">
        <v>114</v>
      </c>
      <c r="NK4" s="6" t="s">
        <v>109</v>
      </c>
      <c r="NL4" s="54" t="s">
        <v>101</v>
      </c>
      <c r="NM4" s="55" t="s">
        <v>111</v>
      </c>
      <c r="NN4" s="55" t="s">
        <v>107</v>
      </c>
      <c r="NO4" s="55" t="s">
        <v>336</v>
      </c>
      <c r="NP4" s="55" t="s">
        <v>338</v>
      </c>
      <c r="NQ4" s="55" t="s">
        <v>339</v>
      </c>
      <c r="NR4" s="55" t="s">
        <v>337</v>
      </c>
      <c r="NS4" s="55" t="s">
        <v>341</v>
      </c>
      <c r="NT4" s="55" t="s">
        <v>340</v>
      </c>
      <c r="NU4" s="55" t="s">
        <v>114</v>
      </c>
      <c r="NV4" s="55" t="s">
        <v>109</v>
      </c>
      <c r="NW4" s="58" t="s">
        <v>101</v>
      </c>
      <c r="NX4" s="58" t="s">
        <v>111</v>
      </c>
      <c r="NY4" s="58" t="s">
        <v>107</v>
      </c>
      <c r="NZ4" s="58" t="s">
        <v>336</v>
      </c>
      <c r="OA4" s="58" t="s">
        <v>338</v>
      </c>
      <c r="OB4" s="58" t="s">
        <v>339</v>
      </c>
      <c r="OC4" s="58" t="s">
        <v>337</v>
      </c>
      <c r="OD4" s="58" t="s">
        <v>341</v>
      </c>
      <c r="OE4" s="58" t="s">
        <v>340</v>
      </c>
      <c r="OF4" s="58" t="s">
        <v>114</v>
      </c>
      <c r="OG4" s="58" t="s">
        <v>109</v>
      </c>
      <c r="OH4" s="54" t="s">
        <v>101</v>
      </c>
      <c r="OI4" s="55" t="s">
        <v>111</v>
      </c>
      <c r="OJ4" s="55" t="s">
        <v>107</v>
      </c>
      <c r="OK4" s="55" t="s">
        <v>336</v>
      </c>
      <c r="OL4" s="55" t="s">
        <v>338</v>
      </c>
      <c r="OM4" s="55" t="s">
        <v>339</v>
      </c>
      <c r="ON4" s="55" t="s">
        <v>337</v>
      </c>
      <c r="OO4" s="55" t="s">
        <v>341</v>
      </c>
      <c r="OP4" s="55" t="s">
        <v>340</v>
      </c>
      <c r="OQ4" s="55" t="s">
        <v>114</v>
      </c>
      <c r="OR4" s="55" t="s">
        <v>109</v>
      </c>
      <c r="OS4" s="58" t="s">
        <v>101</v>
      </c>
      <c r="OT4" s="58" t="s">
        <v>111</v>
      </c>
      <c r="OU4" s="58" t="s">
        <v>107</v>
      </c>
      <c r="OV4" s="58" t="s">
        <v>336</v>
      </c>
      <c r="OW4" s="58" t="s">
        <v>338</v>
      </c>
      <c r="OX4" s="58" t="s">
        <v>339</v>
      </c>
      <c r="OY4" s="58" t="s">
        <v>337</v>
      </c>
      <c r="OZ4" s="58" t="s">
        <v>341</v>
      </c>
      <c r="PA4" s="58" t="s">
        <v>340</v>
      </c>
      <c r="PB4" s="58" t="s">
        <v>114</v>
      </c>
      <c r="PC4" s="58" t="s">
        <v>109</v>
      </c>
      <c r="PD4" s="54" t="s">
        <v>101</v>
      </c>
      <c r="PE4" s="55" t="s">
        <v>111</v>
      </c>
      <c r="PF4" s="55" t="s">
        <v>107</v>
      </c>
      <c r="PG4" s="55" t="s">
        <v>336</v>
      </c>
      <c r="PH4" s="55" t="s">
        <v>338</v>
      </c>
      <c r="PI4" s="55" t="s">
        <v>339</v>
      </c>
      <c r="PJ4" s="55" t="s">
        <v>337</v>
      </c>
      <c r="PK4" s="55" t="s">
        <v>341</v>
      </c>
      <c r="PL4" s="55" t="s">
        <v>340</v>
      </c>
      <c r="PM4" s="55" t="s">
        <v>114</v>
      </c>
      <c r="PN4" s="55" t="s">
        <v>109</v>
      </c>
      <c r="PO4" s="58" t="s">
        <v>101</v>
      </c>
      <c r="PP4" s="58" t="s">
        <v>111</v>
      </c>
      <c r="PQ4" s="58" t="s">
        <v>107</v>
      </c>
      <c r="PR4" s="58" t="s">
        <v>336</v>
      </c>
      <c r="PS4" s="58" t="s">
        <v>338</v>
      </c>
      <c r="PT4" s="58" t="s">
        <v>339</v>
      </c>
      <c r="PU4" s="58" t="s">
        <v>337</v>
      </c>
      <c r="PV4" s="58" t="s">
        <v>341</v>
      </c>
      <c r="PW4" s="58" t="s">
        <v>340</v>
      </c>
      <c r="PX4" s="58" t="s">
        <v>114</v>
      </c>
      <c r="PY4" s="58" t="s">
        <v>109</v>
      </c>
      <c r="PZ4" s="54" t="s">
        <v>101</v>
      </c>
      <c r="QA4" s="55" t="s">
        <v>111</v>
      </c>
      <c r="QB4" s="55" t="s">
        <v>107</v>
      </c>
      <c r="QC4" s="55" t="s">
        <v>336</v>
      </c>
      <c r="QD4" s="55" t="s">
        <v>338</v>
      </c>
      <c r="QE4" s="55" t="s">
        <v>339</v>
      </c>
      <c r="QF4" s="55" t="s">
        <v>337</v>
      </c>
      <c r="QG4" s="55" t="s">
        <v>341</v>
      </c>
      <c r="QH4" s="55" t="s">
        <v>340</v>
      </c>
      <c r="QI4" s="55" t="s">
        <v>114</v>
      </c>
      <c r="QJ4" s="55" t="s">
        <v>109</v>
      </c>
      <c r="QK4" s="58" t="s">
        <v>101</v>
      </c>
      <c r="QL4" s="58" t="s">
        <v>111</v>
      </c>
      <c r="QM4" s="58" t="s">
        <v>107</v>
      </c>
      <c r="QN4" s="58" t="s">
        <v>336</v>
      </c>
      <c r="QO4" s="58" t="s">
        <v>338</v>
      </c>
      <c r="QP4" s="58" t="s">
        <v>339</v>
      </c>
      <c r="QQ4" s="58" t="s">
        <v>337</v>
      </c>
      <c r="QR4" s="58" t="s">
        <v>341</v>
      </c>
      <c r="QS4" s="58" t="s">
        <v>340</v>
      </c>
      <c r="QT4" s="58" t="s">
        <v>114</v>
      </c>
      <c r="QU4" s="58" t="s">
        <v>109</v>
      </c>
      <c r="QV4" s="54" t="s">
        <v>101</v>
      </c>
      <c r="QW4" s="55" t="s">
        <v>111</v>
      </c>
      <c r="QX4" s="55" t="s">
        <v>107</v>
      </c>
      <c r="QY4" s="55" t="s">
        <v>336</v>
      </c>
      <c r="QZ4" s="55" t="s">
        <v>338</v>
      </c>
      <c r="RA4" s="55" t="s">
        <v>339</v>
      </c>
      <c r="RB4" s="55" t="s">
        <v>337</v>
      </c>
      <c r="RC4" s="55" t="s">
        <v>341</v>
      </c>
      <c r="RD4" s="55" t="s">
        <v>340</v>
      </c>
      <c r="RE4" s="55" t="s">
        <v>114</v>
      </c>
      <c r="RF4" s="55" t="s">
        <v>109</v>
      </c>
      <c r="RG4" s="58" t="s">
        <v>101</v>
      </c>
      <c r="RH4" s="58" t="s">
        <v>111</v>
      </c>
      <c r="RI4" s="58" t="s">
        <v>107</v>
      </c>
      <c r="RJ4" s="58" t="s">
        <v>336</v>
      </c>
      <c r="RK4" s="58" t="s">
        <v>338</v>
      </c>
      <c r="RL4" s="58" t="s">
        <v>339</v>
      </c>
      <c r="RM4" s="58" t="s">
        <v>337</v>
      </c>
      <c r="RN4" s="58" t="s">
        <v>341</v>
      </c>
      <c r="RO4" s="58" t="s">
        <v>340</v>
      </c>
      <c r="RP4" s="58" t="s">
        <v>114</v>
      </c>
      <c r="RQ4" s="58" t="s">
        <v>109</v>
      </c>
      <c r="RR4" s="54" t="s">
        <v>101</v>
      </c>
      <c r="RS4" s="55" t="s">
        <v>111</v>
      </c>
      <c r="RT4" s="55" t="s">
        <v>107</v>
      </c>
      <c r="RU4" s="55" t="s">
        <v>336</v>
      </c>
      <c r="RV4" s="55" t="s">
        <v>338</v>
      </c>
      <c r="RW4" s="55" t="s">
        <v>339</v>
      </c>
      <c r="RX4" s="55" t="s">
        <v>337</v>
      </c>
      <c r="RY4" s="55" t="s">
        <v>341</v>
      </c>
      <c r="RZ4" s="55" t="s">
        <v>340</v>
      </c>
      <c r="SA4" s="55" t="s">
        <v>114</v>
      </c>
      <c r="SB4" s="55" t="s">
        <v>109</v>
      </c>
      <c r="SC4" s="58" t="s">
        <v>101</v>
      </c>
      <c r="SD4" s="58" t="s">
        <v>111</v>
      </c>
      <c r="SE4" s="58" t="s">
        <v>107</v>
      </c>
      <c r="SF4" s="58" t="s">
        <v>336</v>
      </c>
      <c r="SG4" s="58" t="s">
        <v>338</v>
      </c>
      <c r="SH4" s="58" t="s">
        <v>339</v>
      </c>
      <c r="SI4" s="58" t="s">
        <v>337</v>
      </c>
      <c r="SJ4" s="58" t="s">
        <v>341</v>
      </c>
      <c r="SK4" s="58" t="s">
        <v>340</v>
      </c>
      <c r="SL4" s="58" t="s">
        <v>114</v>
      </c>
      <c r="SM4" s="58" t="s">
        <v>109</v>
      </c>
      <c r="SN4" s="54" t="s">
        <v>101</v>
      </c>
      <c r="SO4" s="55" t="s">
        <v>111</v>
      </c>
      <c r="SP4" s="55" t="s">
        <v>107</v>
      </c>
      <c r="SQ4" s="55" t="s">
        <v>336</v>
      </c>
      <c r="SR4" s="55" t="s">
        <v>338</v>
      </c>
      <c r="SS4" s="55" t="s">
        <v>339</v>
      </c>
      <c r="ST4" s="55" t="s">
        <v>337</v>
      </c>
      <c r="SU4" s="55" t="s">
        <v>341</v>
      </c>
      <c r="SV4" s="55" t="s">
        <v>340</v>
      </c>
      <c r="SW4" s="55" t="s">
        <v>114</v>
      </c>
      <c r="SX4" s="55" t="s">
        <v>109</v>
      </c>
      <c r="SY4" s="58" t="s">
        <v>101</v>
      </c>
      <c r="SZ4" s="58" t="s">
        <v>111</v>
      </c>
      <c r="TA4" s="58" t="s">
        <v>107</v>
      </c>
      <c r="TB4" s="58" t="s">
        <v>336</v>
      </c>
      <c r="TC4" s="58" t="s">
        <v>338</v>
      </c>
      <c r="TD4" s="58" t="s">
        <v>339</v>
      </c>
      <c r="TE4" s="58" t="s">
        <v>337</v>
      </c>
      <c r="TF4" s="58" t="s">
        <v>341</v>
      </c>
      <c r="TG4" s="58" t="s">
        <v>340</v>
      </c>
      <c r="TH4" s="58" t="s">
        <v>114</v>
      </c>
      <c r="TI4" s="58" t="s">
        <v>109</v>
      </c>
      <c r="TJ4" s="54" t="s">
        <v>101</v>
      </c>
      <c r="TK4" s="55" t="s">
        <v>111</v>
      </c>
      <c r="TL4" s="55" t="s">
        <v>107</v>
      </c>
      <c r="TM4" s="55" t="s">
        <v>336</v>
      </c>
      <c r="TN4" s="55" t="s">
        <v>338</v>
      </c>
      <c r="TO4" s="55" t="s">
        <v>339</v>
      </c>
      <c r="TP4" s="55" t="s">
        <v>337</v>
      </c>
      <c r="TQ4" s="55" t="s">
        <v>341</v>
      </c>
      <c r="TR4" s="55" t="s">
        <v>340</v>
      </c>
      <c r="TS4" s="55" t="s">
        <v>114</v>
      </c>
      <c r="TT4" s="55" t="s">
        <v>109</v>
      </c>
      <c r="TU4" s="58" t="s">
        <v>101</v>
      </c>
      <c r="TV4" s="58" t="s">
        <v>111</v>
      </c>
      <c r="TW4" s="58" t="s">
        <v>107</v>
      </c>
      <c r="TX4" s="58" t="s">
        <v>336</v>
      </c>
      <c r="TY4" s="58" t="s">
        <v>338</v>
      </c>
      <c r="TZ4" s="58" t="s">
        <v>339</v>
      </c>
      <c r="UA4" s="58" t="s">
        <v>337</v>
      </c>
      <c r="UB4" s="58" t="s">
        <v>341</v>
      </c>
      <c r="UC4" s="58" t="s">
        <v>340</v>
      </c>
      <c r="UD4" s="58" t="s">
        <v>114</v>
      </c>
      <c r="UE4" s="58" t="s">
        <v>109</v>
      </c>
      <c r="UF4" s="54" t="s">
        <v>101</v>
      </c>
      <c r="UG4" s="55" t="s">
        <v>111</v>
      </c>
      <c r="UH4" s="55" t="s">
        <v>107</v>
      </c>
      <c r="UI4" s="55" t="s">
        <v>336</v>
      </c>
      <c r="UJ4" s="55" t="s">
        <v>338</v>
      </c>
      <c r="UK4" s="55" t="s">
        <v>339</v>
      </c>
      <c r="UL4" s="55" t="s">
        <v>337</v>
      </c>
      <c r="UM4" s="55" t="s">
        <v>341</v>
      </c>
      <c r="UN4" s="55" t="s">
        <v>340</v>
      </c>
      <c r="UO4" s="55" t="s">
        <v>114</v>
      </c>
      <c r="UP4" s="55" t="s">
        <v>109</v>
      </c>
      <c r="UQ4" s="58" t="s">
        <v>101</v>
      </c>
      <c r="UR4" s="58" t="s">
        <v>111</v>
      </c>
      <c r="US4" s="58" t="s">
        <v>107</v>
      </c>
      <c r="UT4" s="58" t="s">
        <v>336</v>
      </c>
      <c r="UU4" s="58" t="s">
        <v>338</v>
      </c>
      <c r="UV4" s="58" t="s">
        <v>339</v>
      </c>
      <c r="UW4" s="58" t="s">
        <v>337</v>
      </c>
      <c r="UX4" s="58" t="s">
        <v>341</v>
      </c>
      <c r="UY4" s="58" t="s">
        <v>340</v>
      </c>
      <c r="UZ4" s="58" t="s">
        <v>114</v>
      </c>
      <c r="VA4" s="58" t="s">
        <v>109</v>
      </c>
      <c r="VB4" s="54" t="s">
        <v>101</v>
      </c>
      <c r="VC4" s="55" t="s">
        <v>111</v>
      </c>
      <c r="VD4" s="55" t="s">
        <v>107</v>
      </c>
      <c r="VE4" s="55" t="s">
        <v>336</v>
      </c>
      <c r="VF4" s="55" t="s">
        <v>338</v>
      </c>
      <c r="VG4" s="55" t="s">
        <v>339</v>
      </c>
      <c r="VH4" s="55" t="s">
        <v>337</v>
      </c>
      <c r="VI4" s="55" t="s">
        <v>341</v>
      </c>
      <c r="VJ4" s="55" t="s">
        <v>340</v>
      </c>
      <c r="VK4" s="55" t="s">
        <v>114</v>
      </c>
      <c r="VL4" s="55" t="s">
        <v>109</v>
      </c>
      <c r="VM4" s="58" t="s">
        <v>101</v>
      </c>
      <c r="VN4" s="58" t="s">
        <v>111</v>
      </c>
      <c r="VO4" s="58" t="s">
        <v>107</v>
      </c>
      <c r="VP4" s="58" t="s">
        <v>336</v>
      </c>
      <c r="VQ4" s="58" t="s">
        <v>338</v>
      </c>
      <c r="VR4" s="58" t="s">
        <v>339</v>
      </c>
      <c r="VS4" s="58" t="s">
        <v>337</v>
      </c>
      <c r="VT4" s="58" t="s">
        <v>341</v>
      </c>
      <c r="VU4" s="58" t="s">
        <v>340</v>
      </c>
      <c r="VV4" s="58" t="s">
        <v>114</v>
      </c>
      <c r="VW4" s="58" t="s">
        <v>109</v>
      </c>
      <c r="VX4" s="54" t="s">
        <v>101</v>
      </c>
      <c r="VY4" s="55" t="s">
        <v>111</v>
      </c>
      <c r="VZ4" s="55" t="s">
        <v>107</v>
      </c>
      <c r="WA4" s="55" t="s">
        <v>336</v>
      </c>
      <c r="WB4" s="55" t="s">
        <v>338</v>
      </c>
      <c r="WC4" s="55" t="s">
        <v>339</v>
      </c>
      <c r="WD4" s="55" t="s">
        <v>337</v>
      </c>
      <c r="WE4" s="55" t="s">
        <v>341</v>
      </c>
      <c r="WF4" s="55" t="s">
        <v>340</v>
      </c>
      <c r="WG4" s="55" t="s">
        <v>114</v>
      </c>
      <c r="WH4" s="55" t="s">
        <v>109</v>
      </c>
      <c r="WI4" s="58" t="s">
        <v>101</v>
      </c>
      <c r="WJ4" s="58" t="s">
        <v>111</v>
      </c>
      <c r="WK4" s="58" t="s">
        <v>107</v>
      </c>
      <c r="WL4" s="58" t="s">
        <v>336</v>
      </c>
      <c r="WM4" s="58" t="s">
        <v>338</v>
      </c>
      <c r="WN4" s="58" t="s">
        <v>339</v>
      </c>
      <c r="WO4" s="58" t="s">
        <v>337</v>
      </c>
      <c r="WP4" s="58" t="s">
        <v>341</v>
      </c>
      <c r="WQ4" s="58" t="s">
        <v>340</v>
      </c>
      <c r="WR4" s="58" t="s">
        <v>114</v>
      </c>
      <c r="WS4" s="58" t="s">
        <v>109</v>
      </c>
      <c r="WT4" s="54" t="s">
        <v>101</v>
      </c>
      <c r="WU4" s="55" t="s">
        <v>111</v>
      </c>
      <c r="WV4" s="55" t="s">
        <v>107</v>
      </c>
      <c r="WW4" s="55" t="s">
        <v>336</v>
      </c>
      <c r="WX4" s="55" t="s">
        <v>338</v>
      </c>
      <c r="WY4" s="55" t="s">
        <v>339</v>
      </c>
      <c r="WZ4" s="55" t="s">
        <v>337</v>
      </c>
      <c r="XA4" s="55" t="s">
        <v>341</v>
      </c>
      <c r="XB4" s="55" t="s">
        <v>340</v>
      </c>
      <c r="XC4" s="55" t="s">
        <v>114</v>
      </c>
      <c r="XD4" s="55" t="s">
        <v>109</v>
      </c>
      <c r="XE4" s="58" t="s">
        <v>101</v>
      </c>
      <c r="XF4" s="58" t="s">
        <v>111</v>
      </c>
      <c r="XG4" s="58" t="s">
        <v>107</v>
      </c>
      <c r="XH4" s="58" t="s">
        <v>336</v>
      </c>
      <c r="XI4" s="58" t="s">
        <v>338</v>
      </c>
      <c r="XJ4" s="58" t="s">
        <v>339</v>
      </c>
      <c r="XK4" s="58" t="s">
        <v>337</v>
      </c>
      <c r="XL4" s="58" t="s">
        <v>341</v>
      </c>
      <c r="XM4" s="58" t="s">
        <v>340</v>
      </c>
      <c r="XN4" s="58" t="s">
        <v>114</v>
      </c>
      <c r="XO4" s="58" t="s">
        <v>109</v>
      </c>
      <c r="XP4" s="54" t="s">
        <v>101</v>
      </c>
      <c r="XQ4" s="55" t="s">
        <v>111</v>
      </c>
      <c r="XR4" s="55" t="s">
        <v>107</v>
      </c>
      <c r="XS4" s="55" t="s">
        <v>336</v>
      </c>
      <c r="XT4" s="55" t="s">
        <v>338</v>
      </c>
      <c r="XU4" s="55" t="s">
        <v>339</v>
      </c>
      <c r="XV4" s="55" t="s">
        <v>337</v>
      </c>
      <c r="XW4" s="55" t="s">
        <v>341</v>
      </c>
      <c r="XX4" s="55" t="s">
        <v>340</v>
      </c>
      <c r="XY4" s="55" t="s">
        <v>114</v>
      </c>
      <c r="XZ4" s="55" t="s">
        <v>109</v>
      </c>
      <c r="YA4" s="58" t="s">
        <v>101</v>
      </c>
      <c r="YB4" s="58" t="s">
        <v>111</v>
      </c>
      <c r="YC4" s="58" t="s">
        <v>107</v>
      </c>
      <c r="YD4" s="58" t="s">
        <v>336</v>
      </c>
      <c r="YE4" s="58" t="s">
        <v>338</v>
      </c>
      <c r="YF4" s="58" t="s">
        <v>339</v>
      </c>
      <c r="YG4" s="58" t="s">
        <v>337</v>
      </c>
      <c r="YH4" s="58" t="s">
        <v>341</v>
      </c>
      <c r="YI4" s="58" t="s">
        <v>340</v>
      </c>
      <c r="YJ4" s="58" t="s">
        <v>114</v>
      </c>
      <c r="YK4" s="58" t="s">
        <v>109</v>
      </c>
      <c r="YL4" s="54" t="s">
        <v>101</v>
      </c>
      <c r="YM4" s="55" t="s">
        <v>111</v>
      </c>
      <c r="YN4" s="55" t="s">
        <v>107</v>
      </c>
      <c r="YO4" s="55" t="s">
        <v>336</v>
      </c>
      <c r="YP4" s="55" t="s">
        <v>338</v>
      </c>
      <c r="YQ4" s="55" t="s">
        <v>339</v>
      </c>
      <c r="YR4" s="55" t="s">
        <v>337</v>
      </c>
      <c r="YS4" s="55" t="s">
        <v>341</v>
      </c>
      <c r="YT4" s="55" t="s">
        <v>340</v>
      </c>
      <c r="YU4" s="55" t="s">
        <v>114</v>
      </c>
      <c r="YV4" s="55" t="s">
        <v>109</v>
      </c>
      <c r="YW4" s="58" t="s">
        <v>101</v>
      </c>
      <c r="YX4" s="58" t="s">
        <v>111</v>
      </c>
      <c r="YY4" s="58" t="s">
        <v>107</v>
      </c>
      <c r="YZ4" s="58" t="s">
        <v>336</v>
      </c>
      <c r="ZA4" s="58" t="s">
        <v>338</v>
      </c>
      <c r="ZB4" s="58" t="s">
        <v>339</v>
      </c>
      <c r="ZC4" s="58" t="s">
        <v>337</v>
      </c>
      <c r="ZD4" s="58" t="s">
        <v>341</v>
      </c>
      <c r="ZE4" s="58" t="s">
        <v>340</v>
      </c>
      <c r="ZF4" s="58" t="s">
        <v>114</v>
      </c>
      <c r="ZG4" s="58" t="s">
        <v>109</v>
      </c>
      <c r="ZH4" s="54" t="s">
        <v>101</v>
      </c>
      <c r="ZI4" s="55" t="s">
        <v>111</v>
      </c>
      <c r="ZJ4" s="55" t="s">
        <v>107</v>
      </c>
      <c r="ZK4" s="55" t="s">
        <v>336</v>
      </c>
      <c r="ZL4" s="55" t="s">
        <v>338</v>
      </c>
      <c r="ZM4" s="55" t="s">
        <v>339</v>
      </c>
      <c r="ZN4" s="55" t="s">
        <v>337</v>
      </c>
      <c r="ZO4" s="55" t="s">
        <v>341</v>
      </c>
      <c r="ZP4" s="55" t="s">
        <v>340</v>
      </c>
      <c r="ZQ4" s="55" t="s">
        <v>114</v>
      </c>
      <c r="ZR4" s="55" t="s">
        <v>109</v>
      </c>
      <c r="ZS4" s="58" t="s">
        <v>101</v>
      </c>
      <c r="ZT4" s="58" t="s">
        <v>111</v>
      </c>
      <c r="ZU4" s="58" t="s">
        <v>107</v>
      </c>
      <c r="ZV4" s="58" t="s">
        <v>336</v>
      </c>
      <c r="ZW4" s="58" t="s">
        <v>338</v>
      </c>
      <c r="ZX4" s="58" t="s">
        <v>339</v>
      </c>
      <c r="ZY4" s="58" t="s">
        <v>337</v>
      </c>
      <c r="ZZ4" s="58" t="s">
        <v>341</v>
      </c>
      <c r="AAA4" s="58" t="s">
        <v>340</v>
      </c>
      <c r="AAB4" s="58" t="s">
        <v>114</v>
      </c>
      <c r="AAC4" s="58" t="s">
        <v>109</v>
      </c>
    </row>
    <row r="5" spans="1:705" x14ac:dyDescent="0.2">
      <c r="A5" s="1">
        <v>0</v>
      </c>
      <c r="B5" s="2">
        <f>B31+$B43</f>
        <v>12.5</v>
      </c>
      <c r="C5" s="2">
        <f>C31+$C43</f>
        <v>12.5</v>
      </c>
      <c r="D5" s="2">
        <f>D31+$D43</f>
        <v>12.5</v>
      </c>
      <c r="E5" s="2">
        <f>E31+$E43</f>
        <v>25</v>
      </c>
      <c r="F5" s="2">
        <f>F31+$F43</f>
        <v>25</v>
      </c>
      <c r="G5" s="2">
        <f>G31+$G43</f>
        <v>25</v>
      </c>
      <c r="H5" s="2">
        <f>H31+$H43</f>
        <v>25</v>
      </c>
      <c r="I5" s="2">
        <f>I31+$I43</f>
        <v>25</v>
      </c>
      <c r="J5" s="2">
        <f>J31+$J43</f>
        <v>25</v>
      </c>
      <c r="K5" s="2">
        <f>K31+$K43</f>
        <v>50</v>
      </c>
      <c r="L5" s="2">
        <f>L31+$L43</f>
        <v>25</v>
      </c>
      <c r="M5" s="3">
        <v>0</v>
      </c>
      <c r="N5" s="3">
        <v>0</v>
      </c>
      <c r="O5" s="3">
        <v>0</v>
      </c>
      <c r="P5" s="3">
        <v>0</v>
      </c>
      <c r="Q5" s="3">
        <v>0</v>
      </c>
      <c r="R5" s="3">
        <v>0</v>
      </c>
      <c r="S5" s="3">
        <v>0</v>
      </c>
      <c r="T5" s="3">
        <v>0</v>
      </c>
      <c r="U5" s="3">
        <v>0</v>
      </c>
      <c r="V5" s="3">
        <v>0</v>
      </c>
      <c r="W5" s="3">
        <v>0</v>
      </c>
      <c r="X5" s="2">
        <f>X31+$B43</f>
        <v>12.5</v>
      </c>
      <c r="Y5" s="2">
        <f>Y31+$C43</f>
        <v>12.5</v>
      </c>
      <c r="Z5" s="2">
        <f>Z31+$D43</f>
        <v>12.5</v>
      </c>
      <c r="AA5" s="2">
        <f>AA31+$E43</f>
        <v>25</v>
      </c>
      <c r="AB5" s="2">
        <f>AB31+$F43</f>
        <v>25</v>
      </c>
      <c r="AC5" s="2">
        <f>AC31+$G43</f>
        <v>25</v>
      </c>
      <c r="AD5" s="2">
        <f>AD31+$H43</f>
        <v>25</v>
      </c>
      <c r="AE5" s="2">
        <f>AE31+$I43</f>
        <v>25</v>
      </c>
      <c r="AF5" s="2">
        <f>AF31+$J43</f>
        <v>25</v>
      </c>
      <c r="AG5" s="2">
        <f>AG31+$K43</f>
        <v>50</v>
      </c>
      <c r="AH5" s="2">
        <f>AH31+$L43</f>
        <v>25</v>
      </c>
      <c r="AI5" s="3">
        <v>0</v>
      </c>
      <c r="AJ5" s="3">
        <v>0</v>
      </c>
      <c r="AK5" s="3">
        <v>0</v>
      </c>
      <c r="AL5" s="3">
        <v>0</v>
      </c>
      <c r="AM5" s="3">
        <v>0</v>
      </c>
      <c r="AN5" s="3">
        <v>0</v>
      </c>
      <c r="AO5" s="3">
        <v>0</v>
      </c>
      <c r="AP5" s="3">
        <v>0</v>
      </c>
      <c r="AQ5" s="3">
        <v>0</v>
      </c>
      <c r="AR5" s="3">
        <v>0</v>
      </c>
      <c r="AS5" s="3">
        <v>0</v>
      </c>
      <c r="AT5" s="2">
        <f>AT31+$B43</f>
        <v>12.5</v>
      </c>
      <c r="AU5" s="2">
        <f>AU31+$C43</f>
        <v>12.5</v>
      </c>
      <c r="AV5" s="2">
        <f>AV31+$D43</f>
        <v>12.5</v>
      </c>
      <c r="AW5" s="2">
        <f>AW31+$E43</f>
        <v>25</v>
      </c>
      <c r="AX5" s="2">
        <f>AX31+$F43</f>
        <v>25</v>
      </c>
      <c r="AY5" s="2">
        <f>AY31+$G43</f>
        <v>25</v>
      </c>
      <c r="AZ5" s="2">
        <f>AZ31+$H43</f>
        <v>25</v>
      </c>
      <c r="BA5" s="2">
        <f>BA31+$I43</f>
        <v>25</v>
      </c>
      <c r="BB5" s="2">
        <f>BB31+$J43</f>
        <v>25</v>
      </c>
      <c r="BC5" s="2">
        <f>BC31+$K43</f>
        <v>50</v>
      </c>
      <c r="BD5" s="2">
        <f>BD31+$L43</f>
        <v>25</v>
      </c>
      <c r="BE5" s="3">
        <v>0</v>
      </c>
      <c r="BF5" s="3">
        <v>0</v>
      </c>
      <c r="BG5" s="3">
        <v>0</v>
      </c>
      <c r="BH5" s="3">
        <v>0</v>
      </c>
      <c r="BI5" s="3">
        <v>0</v>
      </c>
      <c r="BJ5" s="3">
        <v>0</v>
      </c>
      <c r="BK5" s="3">
        <v>0</v>
      </c>
      <c r="BL5" s="3">
        <v>0</v>
      </c>
      <c r="BM5" s="3">
        <v>0</v>
      </c>
      <c r="BN5" s="3">
        <v>0</v>
      </c>
      <c r="BO5" s="3">
        <v>0</v>
      </c>
      <c r="BP5" s="2">
        <f>BP31+$B43</f>
        <v>12.5</v>
      </c>
      <c r="BQ5" s="2">
        <f>BQ31+$C43</f>
        <v>12.5</v>
      </c>
      <c r="BR5" s="2">
        <f>BR31+$D43</f>
        <v>12.5</v>
      </c>
      <c r="BS5" s="2">
        <f>BS31+$E43</f>
        <v>25</v>
      </c>
      <c r="BT5" s="2">
        <f>BT31+$F43</f>
        <v>25</v>
      </c>
      <c r="BU5" s="2">
        <f>BU31+$G43</f>
        <v>25</v>
      </c>
      <c r="BV5" s="2">
        <f>BV31+$H43</f>
        <v>25</v>
      </c>
      <c r="BW5" s="2">
        <f>BW31+$I43</f>
        <v>25</v>
      </c>
      <c r="BX5" s="2">
        <f>BX31+$J43</f>
        <v>25</v>
      </c>
      <c r="BY5" s="2">
        <f>BY31+$K43</f>
        <v>50</v>
      </c>
      <c r="BZ5" s="2">
        <f>BZ31+$L43</f>
        <v>25</v>
      </c>
      <c r="CA5" s="3">
        <v>0</v>
      </c>
      <c r="CB5" s="3">
        <v>0</v>
      </c>
      <c r="CC5" s="3">
        <v>0</v>
      </c>
      <c r="CD5" s="3">
        <v>0</v>
      </c>
      <c r="CE5" s="3">
        <v>0</v>
      </c>
      <c r="CF5" s="3">
        <v>0</v>
      </c>
      <c r="CG5" s="3">
        <v>0</v>
      </c>
      <c r="CH5" s="3">
        <v>0</v>
      </c>
      <c r="CI5" s="3">
        <v>0</v>
      </c>
      <c r="CJ5" s="3">
        <v>0</v>
      </c>
      <c r="CK5" s="3">
        <v>0</v>
      </c>
      <c r="CL5" s="2">
        <f>CL31+$B43</f>
        <v>12.5</v>
      </c>
      <c r="CM5" s="2">
        <f>CM31+$C43</f>
        <v>12.5</v>
      </c>
      <c r="CN5" s="2">
        <f>CN31+$D43</f>
        <v>12.5</v>
      </c>
      <c r="CO5" s="2">
        <f>CO31+$E43</f>
        <v>25</v>
      </c>
      <c r="CP5" s="2">
        <f>CP31+$F43</f>
        <v>25</v>
      </c>
      <c r="CQ5" s="2">
        <f>CQ31+$G43</f>
        <v>25</v>
      </c>
      <c r="CR5" s="2">
        <f>CR31+$H43</f>
        <v>25</v>
      </c>
      <c r="CS5" s="2">
        <f>CS31+$I43</f>
        <v>25</v>
      </c>
      <c r="CT5" s="2">
        <f>CT31+$J43</f>
        <v>25</v>
      </c>
      <c r="CU5" s="2">
        <f>CU31+$K43</f>
        <v>50</v>
      </c>
      <c r="CV5" s="2">
        <f>CV31+$L43</f>
        <v>25</v>
      </c>
      <c r="CW5" s="3">
        <v>0</v>
      </c>
      <c r="CX5" s="3">
        <v>0</v>
      </c>
      <c r="CY5" s="3">
        <v>0</v>
      </c>
      <c r="CZ5" s="3">
        <v>0</v>
      </c>
      <c r="DA5" s="3">
        <v>0</v>
      </c>
      <c r="DB5" s="3">
        <v>0</v>
      </c>
      <c r="DC5" s="3">
        <v>0</v>
      </c>
      <c r="DD5" s="3">
        <v>0</v>
      </c>
      <c r="DE5" s="3">
        <v>0</v>
      </c>
      <c r="DF5" s="3">
        <v>0</v>
      </c>
      <c r="DG5" s="3">
        <v>0</v>
      </c>
      <c r="DH5" s="2">
        <f>DH31+$B43</f>
        <v>12.5</v>
      </c>
      <c r="DI5" s="2">
        <f>DI31+$C43</f>
        <v>12.5</v>
      </c>
      <c r="DJ5" s="2">
        <f>DJ31+$D43</f>
        <v>12.5</v>
      </c>
      <c r="DK5" s="2">
        <f>DK31+$E43</f>
        <v>25</v>
      </c>
      <c r="DL5" s="2">
        <f>DL31+$F43</f>
        <v>25</v>
      </c>
      <c r="DM5" s="2">
        <f>DM31+$G43</f>
        <v>25</v>
      </c>
      <c r="DN5" s="2">
        <f>DN31+$H43</f>
        <v>25</v>
      </c>
      <c r="DO5" s="2">
        <f>DO31+$I43</f>
        <v>25</v>
      </c>
      <c r="DP5" s="2">
        <f>DP31+$J43</f>
        <v>25</v>
      </c>
      <c r="DQ5" s="2">
        <f>DQ31+$K43</f>
        <v>50</v>
      </c>
      <c r="DR5" s="2">
        <f>DR31+$L43</f>
        <v>25</v>
      </c>
      <c r="DS5" s="3">
        <v>0</v>
      </c>
      <c r="DT5" s="3">
        <v>0</v>
      </c>
      <c r="DU5" s="3">
        <v>0</v>
      </c>
      <c r="DV5" s="3">
        <v>0</v>
      </c>
      <c r="DW5" s="3">
        <v>0</v>
      </c>
      <c r="DX5" s="3">
        <v>0</v>
      </c>
      <c r="DY5" s="3">
        <v>0</v>
      </c>
      <c r="DZ5" s="3">
        <v>0</v>
      </c>
      <c r="EA5" s="3">
        <v>0</v>
      </c>
      <c r="EB5" s="3">
        <v>0</v>
      </c>
      <c r="EC5" s="3">
        <v>0</v>
      </c>
      <c r="ED5" s="2">
        <f>ED31+$B43</f>
        <v>12.5</v>
      </c>
      <c r="EE5" s="2">
        <f>EE31+$C43</f>
        <v>12.5</v>
      </c>
      <c r="EF5" s="2">
        <f>EF31+$D43</f>
        <v>12.5</v>
      </c>
      <c r="EG5" s="2">
        <f>EG31+$E43</f>
        <v>25</v>
      </c>
      <c r="EH5" s="2">
        <f>EH31+$F43</f>
        <v>25</v>
      </c>
      <c r="EI5" s="2">
        <f>EI31+$G43</f>
        <v>25</v>
      </c>
      <c r="EJ5" s="2">
        <f>EJ31+$H43</f>
        <v>25</v>
      </c>
      <c r="EK5" s="2">
        <f>EK31+$I43</f>
        <v>25</v>
      </c>
      <c r="EL5" s="2">
        <f>EL31+$J43</f>
        <v>25</v>
      </c>
      <c r="EM5" s="2">
        <f>EM31+$K43</f>
        <v>50</v>
      </c>
      <c r="EN5" s="2">
        <f>EN31+$L43</f>
        <v>25</v>
      </c>
      <c r="EO5" s="3">
        <v>0</v>
      </c>
      <c r="EP5" s="3">
        <v>0</v>
      </c>
      <c r="EQ5" s="3">
        <v>0</v>
      </c>
      <c r="ER5" s="3">
        <v>0</v>
      </c>
      <c r="ES5" s="3">
        <v>0</v>
      </c>
      <c r="ET5" s="3">
        <v>0</v>
      </c>
      <c r="EU5" s="3">
        <v>0</v>
      </c>
      <c r="EV5" s="3">
        <v>0</v>
      </c>
      <c r="EW5" s="3">
        <v>0</v>
      </c>
      <c r="EX5" s="3">
        <v>0</v>
      </c>
      <c r="EY5" s="3">
        <v>0</v>
      </c>
      <c r="EZ5" s="2">
        <f>EZ31+$B43</f>
        <v>12.5</v>
      </c>
      <c r="FA5" s="2">
        <f>FA31+$C43</f>
        <v>12.5</v>
      </c>
      <c r="FB5" s="2">
        <f>FB31+$D43</f>
        <v>12.5</v>
      </c>
      <c r="FC5" s="2">
        <f>FC31+$E43</f>
        <v>25</v>
      </c>
      <c r="FD5" s="2">
        <f>FD31+$F43</f>
        <v>25</v>
      </c>
      <c r="FE5" s="2">
        <f>FE31+$G43</f>
        <v>25</v>
      </c>
      <c r="FF5" s="2">
        <f>FF31+$H43</f>
        <v>25</v>
      </c>
      <c r="FG5" s="2">
        <f>FG31+$I43</f>
        <v>25</v>
      </c>
      <c r="FH5" s="2">
        <f>FH31+$J43</f>
        <v>25</v>
      </c>
      <c r="FI5" s="2">
        <f>FI31+$K43</f>
        <v>50</v>
      </c>
      <c r="FJ5" s="2">
        <f>FJ31+$L43</f>
        <v>25</v>
      </c>
      <c r="FK5" s="3">
        <v>0</v>
      </c>
      <c r="FL5" s="3">
        <v>0</v>
      </c>
      <c r="FM5" s="3">
        <v>0</v>
      </c>
      <c r="FN5" s="3">
        <v>0</v>
      </c>
      <c r="FO5" s="3">
        <v>0</v>
      </c>
      <c r="FP5" s="3">
        <v>0</v>
      </c>
      <c r="FQ5" s="3">
        <v>0</v>
      </c>
      <c r="FR5" s="3">
        <v>0</v>
      </c>
      <c r="FS5" s="3">
        <v>0</v>
      </c>
      <c r="FT5" s="3">
        <v>0</v>
      </c>
      <c r="FU5" s="3">
        <v>0</v>
      </c>
      <c r="FV5" s="2">
        <f>FV31+$B43</f>
        <v>12.5</v>
      </c>
      <c r="FW5" s="2">
        <f>FW31+$C43</f>
        <v>12.5</v>
      </c>
      <c r="FX5" s="2">
        <f>FX31+$D43</f>
        <v>12.5</v>
      </c>
      <c r="FY5" s="2">
        <f>FY31+$E43</f>
        <v>25</v>
      </c>
      <c r="FZ5" s="2">
        <f>FZ31+$F43</f>
        <v>25</v>
      </c>
      <c r="GA5" s="2">
        <f>GA31+$G43</f>
        <v>25</v>
      </c>
      <c r="GB5" s="2">
        <f>GB31+$H43</f>
        <v>25</v>
      </c>
      <c r="GC5" s="2">
        <f>GC31+$I43</f>
        <v>25</v>
      </c>
      <c r="GD5" s="2">
        <f>GD31+$J43</f>
        <v>25</v>
      </c>
      <c r="GE5" s="2">
        <f>GE31+$K43</f>
        <v>50</v>
      </c>
      <c r="GF5" s="2">
        <f>GF31+$L43</f>
        <v>25</v>
      </c>
      <c r="GG5" s="3">
        <v>0</v>
      </c>
      <c r="GH5" s="3">
        <v>0</v>
      </c>
      <c r="GI5" s="3">
        <v>0</v>
      </c>
      <c r="GJ5" s="3">
        <v>0</v>
      </c>
      <c r="GK5" s="3">
        <v>0</v>
      </c>
      <c r="GL5" s="3">
        <v>0</v>
      </c>
      <c r="GM5" s="3">
        <v>0</v>
      </c>
      <c r="GN5" s="3">
        <v>0</v>
      </c>
      <c r="GO5" s="3">
        <v>0</v>
      </c>
      <c r="GP5" s="3">
        <v>0</v>
      </c>
      <c r="GQ5" s="3">
        <v>0</v>
      </c>
      <c r="GR5" s="2">
        <f>GR31+$B43</f>
        <v>12.5</v>
      </c>
      <c r="GS5" s="2">
        <f>GS31+$C43</f>
        <v>12.5</v>
      </c>
      <c r="GT5" s="2">
        <f>GT31+$D43</f>
        <v>12.5</v>
      </c>
      <c r="GU5" s="2">
        <f>GU31+$E43</f>
        <v>25</v>
      </c>
      <c r="GV5" s="2">
        <f>GV31+$F43</f>
        <v>25</v>
      </c>
      <c r="GW5" s="2">
        <f>GW31+$G43</f>
        <v>25</v>
      </c>
      <c r="GX5" s="2">
        <f>GX31+$H43</f>
        <v>25</v>
      </c>
      <c r="GY5" s="2">
        <f>GY31+$I43</f>
        <v>25</v>
      </c>
      <c r="GZ5" s="2">
        <f>GZ31+$J43</f>
        <v>25</v>
      </c>
      <c r="HA5" s="2">
        <f>HA31+$K43</f>
        <v>50</v>
      </c>
      <c r="HB5" s="2">
        <f>HB31+$L43</f>
        <v>25</v>
      </c>
      <c r="HC5" s="3">
        <v>0</v>
      </c>
      <c r="HD5" s="3">
        <v>0</v>
      </c>
      <c r="HE5" s="3">
        <v>0</v>
      </c>
      <c r="HF5" s="3">
        <v>0</v>
      </c>
      <c r="HG5" s="3">
        <v>0</v>
      </c>
      <c r="HH5" s="3">
        <v>0</v>
      </c>
      <c r="HI5" s="3">
        <v>0</v>
      </c>
      <c r="HJ5" s="3">
        <v>0</v>
      </c>
      <c r="HK5" s="3">
        <v>0</v>
      </c>
      <c r="HL5" s="3">
        <v>0</v>
      </c>
      <c r="HM5" s="3">
        <v>0</v>
      </c>
      <c r="HN5" s="2">
        <f>HN31+$B43</f>
        <v>12.5</v>
      </c>
      <c r="HO5" s="2">
        <f>HO31+$C43</f>
        <v>12.5</v>
      </c>
      <c r="HP5" s="2">
        <f>HP31+$D43</f>
        <v>12.5</v>
      </c>
      <c r="HQ5" s="2">
        <f>HQ31+$E43</f>
        <v>25</v>
      </c>
      <c r="HR5" s="2">
        <f>HR31+$F43</f>
        <v>25</v>
      </c>
      <c r="HS5" s="2">
        <f>HS31+$G43</f>
        <v>25</v>
      </c>
      <c r="HT5" s="2">
        <f>HT31+$H43</f>
        <v>25</v>
      </c>
      <c r="HU5" s="2">
        <f>HU31+$I43</f>
        <v>25</v>
      </c>
      <c r="HV5" s="2">
        <f>HV31+$J43</f>
        <v>25</v>
      </c>
      <c r="HW5" s="2">
        <f>HW31+$K43</f>
        <v>50</v>
      </c>
      <c r="HX5" s="2">
        <f>HX31+$L43</f>
        <v>25</v>
      </c>
      <c r="HY5" s="3">
        <v>0</v>
      </c>
      <c r="HZ5" s="3">
        <v>0</v>
      </c>
      <c r="IA5" s="3">
        <v>0</v>
      </c>
      <c r="IB5" s="3">
        <v>0</v>
      </c>
      <c r="IC5" s="3">
        <v>0</v>
      </c>
      <c r="ID5" s="3">
        <v>0</v>
      </c>
      <c r="IE5" s="3">
        <v>0</v>
      </c>
      <c r="IF5" s="3">
        <v>0</v>
      </c>
      <c r="IG5" s="3">
        <v>0</v>
      </c>
      <c r="IH5" s="3">
        <v>0</v>
      </c>
      <c r="II5" s="3">
        <v>0</v>
      </c>
      <c r="IJ5" s="2">
        <f>IJ31+$B43</f>
        <v>12.5</v>
      </c>
      <c r="IK5" s="2">
        <f>IK31+$C43</f>
        <v>12.5</v>
      </c>
      <c r="IL5" s="2">
        <f>IL31+$D43</f>
        <v>12.5</v>
      </c>
      <c r="IM5" s="2">
        <f>IM31+$E43</f>
        <v>25</v>
      </c>
      <c r="IN5" s="2">
        <f>IN31+$F43</f>
        <v>25</v>
      </c>
      <c r="IO5" s="2">
        <f>IO31+$G43</f>
        <v>25</v>
      </c>
      <c r="IP5" s="2">
        <f>IP31+$H43</f>
        <v>25</v>
      </c>
      <c r="IQ5" s="2">
        <f>IQ31+$I43</f>
        <v>25</v>
      </c>
      <c r="IR5" s="2">
        <f>IR31+$J43</f>
        <v>25</v>
      </c>
      <c r="IS5" s="2">
        <f>IS31+$K43</f>
        <v>50</v>
      </c>
      <c r="IT5" s="2">
        <f>IT31+$L43</f>
        <v>25</v>
      </c>
      <c r="IU5" s="3">
        <v>0</v>
      </c>
      <c r="IV5" s="3">
        <v>0</v>
      </c>
      <c r="IW5" s="3">
        <v>0</v>
      </c>
      <c r="IX5" s="3">
        <v>0</v>
      </c>
      <c r="IY5" s="3">
        <v>0</v>
      </c>
      <c r="IZ5" s="3">
        <v>0</v>
      </c>
      <c r="JA5" s="3">
        <v>0</v>
      </c>
      <c r="JB5" s="3">
        <v>0</v>
      </c>
      <c r="JC5" s="3">
        <v>0</v>
      </c>
      <c r="JD5" s="3">
        <v>0</v>
      </c>
      <c r="JE5" s="3">
        <v>0</v>
      </c>
      <c r="JF5" s="2">
        <f>JF31+$B43</f>
        <v>12.5</v>
      </c>
      <c r="JG5" s="2">
        <f>JG31+$C43</f>
        <v>12.5</v>
      </c>
      <c r="JH5" s="2">
        <f>JH31+$D43</f>
        <v>12.5</v>
      </c>
      <c r="JI5" s="2">
        <f>JI31+$E43</f>
        <v>25</v>
      </c>
      <c r="JJ5" s="2">
        <f>JJ31+$F43</f>
        <v>25</v>
      </c>
      <c r="JK5" s="2">
        <f>JK31+$G43</f>
        <v>25</v>
      </c>
      <c r="JL5" s="2">
        <f>JL31+$H43</f>
        <v>25</v>
      </c>
      <c r="JM5" s="2">
        <f>JM31+$I43</f>
        <v>25</v>
      </c>
      <c r="JN5" s="2">
        <f>JN31+$J43</f>
        <v>25</v>
      </c>
      <c r="JO5" s="2">
        <f>JO31+$K43</f>
        <v>50</v>
      </c>
      <c r="JP5" s="2">
        <f>JP31+$L43</f>
        <v>25</v>
      </c>
      <c r="JQ5" s="3">
        <v>0</v>
      </c>
      <c r="JR5" s="3">
        <v>0</v>
      </c>
      <c r="JS5" s="3">
        <v>0</v>
      </c>
      <c r="JT5" s="3">
        <v>0</v>
      </c>
      <c r="JU5" s="3">
        <v>0</v>
      </c>
      <c r="JV5" s="3">
        <v>0</v>
      </c>
      <c r="JW5" s="3">
        <v>0</v>
      </c>
      <c r="JX5" s="3">
        <v>0</v>
      </c>
      <c r="JY5" s="3">
        <v>0</v>
      </c>
      <c r="JZ5" s="3">
        <v>0</v>
      </c>
      <c r="KA5" s="3">
        <v>0</v>
      </c>
      <c r="KB5" s="2">
        <f>KB31+$B43</f>
        <v>12.5</v>
      </c>
      <c r="KC5" s="2">
        <f>KC31+$C43</f>
        <v>12.5</v>
      </c>
      <c r="KD5" s="2">
        <f>KD31+$D43</f>
        <v>12.5</v>
      </c>
      <c r="KE5" s="2">
        <f>KE31+$E43</f>
        <v>25</v>
      </c>
      <c r="KF5" s="2">
        <f>KF31+$F43</f>
        <v>25</v>
      </c>
      <c r="KG5" s="2">
        <f>KG31+$G43</f>
        <v>25</v>
      </c>
      <c r="KH5" s="2">
        <f>KH31+$H43</f>
        <v>25</v>
      </c>
      <c r="KI5" s="2">
        <f>KI31+$I43</f>
        <v>25</v>
      </c>
      <c r="KJ5" s="2">
        <f>KJ31+$J43</f>
        <v>25</v>
      </c>
      <c r="KK5" s="2">
        <f>KK31+$K43</f>
        <v>50</v>
      </c>
      <c r="KL5" s="2">
        <f>KL31+$L43</f>
        <v>25</v>
      </c>
      <c r="KM5" s="3">
        <v>0</v>
      </c>
      <c r="KN5" s="3">
        <v>0</v>
      </c>
      <c r="KO5" s="3">
        <v>0</v>
      </c>
      <c r="KP5" s="3">
        <v>0</v>
      </c>
      <c r="KQ5" s="3">
        <v>0</v>
      </c>
      <c r="KR5" s="3">
        <v>0</v>
      </c>
      <c r="KS5" s="3">
        <v>0</v>
      </c>
      <c r="KT5" s="3">
        <v>0</v>
      </c>
      <c r="KU5" s="3">
        <v>0</v>
      </c>
      <c r="KV5" s="3">
        <v>0</v>
      </c>
      <c r="KW5" s="3">
        <v>0</v>
      </c>
      <c r="KX5" s="2">
        <f>KX31+$B43</f>
        <v>12.5</v>
      </c>
      <c r="KY5" s="2">
        <f>KY31+$C43</f>
        <v>12.5</v>
      </c>
      <c r="KZ5" s="2">
        <f>KZ31+$D43</f>
        <v>12.5</v>
      </c>
      <c r="LA5" s="2">
        <f>LA31+$E43</f>
        <v>25</v>
      </c>
      <c r="LB5" s="2">
        <f>LB31+$F43</f>
        <v>25</v>
      </c>
      <c r="LC5" s="2">
        <f>LC31+$G43</f>
        <v>25</v>
      </c>
      <c r="LD5" s="2">
        <f>LD31+$H43</f>
        <v>25</v>
      </c>
      <c r="LE5" s="2">
        <f>LE31+$I43</f>
        <v>25</v>
      </c>
      <c r="LF5" s="2">
        <f>LF31+$J43</f>
        <v>25</v>
      </c>
      <c r="LG5" s="2">
        <f>LG31+$K43</f>
        <v>50</v>
      </c>
      <c r="LH5" s="2">
        <f>LH31+$L43</f>
        <v>25</v>
      </c>
      <c r="LI5" s="3">
        <v>0</v>
      </c>
      <c r="LJ5" s="3">
        <v>0</v>
      </c>
      <c r="LK5" s="3">
        <v>0</v>
      </c>
      <c r="LL5" s="3">
        <v>0</v>
      </c>
      <c r="LM5" s="3">
        <v>0</v>
      </c>
      <c r="LN5" s="3">
        <v>0</v>
      </c>
      <c r="LO5" s="3">
        <v>0</v>
      </c>
      <c r="LP5" s="3">
        <v>0</v>
      </c>
      <c r="LQ5" s="3">
        <v>0</v>
      </c>
      <c r="LR5" s="3">
        <v>0</v>
      </c>
      <c r="LS5" s="3">
        <v>0</v>
      </c>
      <c r="LT5" s="2">
        <f>LT31+$B43</f>
        <v>12.5</v>
      </c>
      <c r="LU5" s="2">
        <f>LU31+$C43</f>
        <v>12.5</v>
      </c>
      <c r="LV5" s="2">
        <f>LV31+$D43</f>
        <v>12.5</v>
      </c>
      <c r="LW5" s="2">
        <f>LW31+$E43</f>
        <v>25</v>
      </c>
      <c r="LX5" s="2">
        <f>LX31+$F43</f>
        <v>25</v>
      </c>
      <c r="LY5" s="2">
        <f>LY31+$G43</f>
        <v>25</v>
      </c>
      <c r="LZ5" s="2">
        <f>LZ31+$H43</f>
        <v>25</v>
      </c>
      <c r="MA5" s="2">
        <f>MA31+$I43</f>
        <v>25</v>
      </c>
      <c r="MB5" s="2">
        <f>MB31+$J43</f>
        <v>25</v>
      </c>
      <c r="MC5" s="2">
        <f>MC31+$K43</f>
        <v>50</v>
      </c>
      <c r="MD5" s="2">
        <f>MD31+$L43</f>
        <v>25</v>
      </c>
      <c r="ME5" s="3">
        <v>0</v>
      </c>
      <c r="MF5" s="3">
        <v>0</v>
      </c>
      <c r="MG5" s="3">
        <v>0</v>
      </c>
      <c r="MH5" s="3">
        <v>0</v>
      </c>
      <c r="MI5" s="3">
        <v>0</v>
      </c>
      <c r="MJ5" s="3">
        <v>0</v>
      </c>
      <c r="MK5" s="3">
        <v>0</v>
      </c>
      <c r="ML5" s="3">
        <v>0</v>
      </c>
      <c r="MM5" s="3">
        <v>0</v>
      </c>
      <c r="MN5" s="3">
        <v>0</v>
      </c>
      <c r="MO5" s="3">
        <v>0</v>
      </c>
      <c r="MP5" s="2">
        <f>MP31+$B43</f>
        <v>12.5</v>
      </c>
      <c r="MQ5" s="2">
        <f>MQ31+$C43</f>
        <v>12.5</v>
      </c>
      <c r="MR5" s="2">
        <f>MR31+$D43</f>
        <v>12.5</v>
      </c>
      <c r="MS5" s="2">
        <f>MS31+$E43</f>
        <v>25</v>
      </c>
      <c r="MT5" s="2">
        <f>MT31+$F43</f>
        <v>25</v>
      </c>
      <c r="MU5" s="2">
        <f>MU31+$G43</f>
        <v>25</v>
      </c>
      <c r="MV5" s="2">
        <f>MV31+$H43</f>
        <v>25</v>
      </c>
      <c r="MW5" s="2">
        <f>MW31+$I43</f>
        <v>25</v>
      </c>
      <c r="MX5" s="2">
        <f>MX31+$J43</f>
        <v>25</v>
      </c>
      <c r="MY5" s="2">
        <f>MY31+$K43</f>
        <v>50</v>
      </c>
      <c r="MZ5" s="2">
        <f>MZ31+$L43</f>
        <v>25</v>
      </c>
      <c r="NA5" s="3">
        <v>0</v>
      </c>
      <c r="NB5" s="3">
        <v>0</v>
      </c>
      <c r="NC5" s="3">
        <v>0</v>
      </c>
      <c r="ND5" s="3">
        <v>0</v>
      </c>
      <c r="NE5" s="3">
        <v>0</v>
      </c>
      <c r="NF5" s="3">
        <v>0</v>
      </c>
      <c r="NG5" s="3">
        <v>0</v>
      </c>
      <c r="NH5" s="3">
        <v>0</v>
      </c>
      <c r="NI5" s="3">
        <v>0</v>
      </c>
      <c r="NJ5" s="3">
        <v>0</v>
      </c>
      <c r="NK5" s="3">
        <v>0</v>
      </c>
      <c r="NL5" s="2">
        <f>NL31+$B43</f>
        <v>12.5</v>
      </c>
      <c r="NM5" s="2">
        <f>NM31+$C43</f>
        <v>12.5</v>
      </c>
      <c r="NN5" s="2">
        <f>NN31+$D43</f>
        <v>12.5</v>
      </c>
      <c r="NO5" s="2">
        <f>NO31+$E43</f>
        <v>25</v>
      </c>
      <c r="NP5" s="2">
        <f>NP31+$F43</f>
        <v>25</v>
      </c>
      <c r="NQ5" s="2">
        <f>NQ31+$G43</f>
        <v>25</v>
      </c>
      <c r="NR5" s="2">
        <f>NR31+$H43</f>
        <v>25</v>
      </c>
      <c r="NS5" s="2">
        <f>NS31+$I43</f>
        <v>25</v>
      </c>
      <c r="NT5" s="2">
        <f>NT31+$J43</f>
        <v>25</v>
      </c>
      <c r="NU5" s="2">
        <f>NU31+$K43</f>
        <v>50</v>
      </c>
      <c r="NV5" s="2">
        <f>NV31+$L43</f>
        <v>25</v>
      </c>
      <c r="NW5" s="59">
        <v>0</v>
      </c>
      <c r="NX5" s="59">
        <v>0</v>
      </c>
      <c r="NY5" s="59">
        <v>0</v>
      </c>
      <c r="NZ5" s="59">
        <v>0</v>
      </c>
      <c r="OA5" s="59">
        <v>0</v>
      </c>
      <c r="OB5" s="59">
        <v>0</v>
      </c>
      <c r="OC5" s="59">
        <v>0</v>
      </c>
      <c r="OD5" s="59">
        <v>0</v>
      </c>
      <c r="OE5" s="59">
        <v>0</v>
      </c>
      <c r="OF5" s="59">
        <v>0</v>
      </c>
      <c r="OG5" s="59">
        <v>0</v>
      </c>
      <c r="OH5" s="2">
        <f>OH31+$B43</f>
        <v>12.5</v>
      </c>
      <c r="OI5" s="2">
        <f>OI31+$C43</f>
        <v>12.5</v>
      </c>
      <c r="OJ5" s="2">
        <f>OJ31+$D43</f>
        <v>12.5</v>
      </c>
      <c r="OK5" s="2">
        <f>OK31+$E43</f>
        <v>25</v>
      </c>
      <c r="OL5" s="2">
        <f>OL31+$F43</f>
        <v>25</v>
      </c>
      <c r="OM5" s="2">
        <f>OM31+$G43</f>
        <v>25</v>
      </c>
      <c r="ON5" s="2">
        <f>ON31+$H43</f>
        <v>25</v>
      </c>
      <c r="OO5" s="2">
        <f>OO31+$I43</f>
        <v>25</v>
      </c>
      <c r="OP5" s="2">
        <f>OP31+$J43</f>
        <v>25</v>
      </c>
      <c r="OQ5" s="2">
        <f>OQ31+$K43</f>
        <v>50</v>
      </c>
      <c r="OR5" s="2">
        <f>OR31+$L43</f>
        <v>25</v>
      </c>
      <c r="OS5" s="59">
        <v>0</v>
      </c>
      <c r="OT5" s="59">
        <v>0</v>
      </c>
      <c r="OU5" s="59">
        <v>0</v>
      </c>
      <c r="OV5" s="59">
        <v>0</v>
      </c>
      <c r="OW5" s="59">
        <v>0</v>
      </c>
      <c r="OX5" s="59">
        <v>0</v>
      </c>
      <c r="OY5" s="59">
        <v>0</v>
      </c>
      <c r="OZ5" s="59">
        <v>0</v>
      </c>
      <c r="PA5" s="59">
        <v>0</v>
      </c>
      <c r="PB5" s="59">
        <v>0</v>
      </c>
      <c r="PC5" s="59">
        <v>0</v>
      </c>
      <c r="PD5" s="2">
        <f>PD31+$B43</f>
        <v>12.5</v>
      </c>
      <c r="PE5" s="2">
        <f>PE31+$C43</f>
        <v>12.5</v>
      </c>
      <c r="PF5" s="2">
        <f>PF31+$D43</f>
        <v>12.5</v>
      </c>
      <c r="PG5" s="2">
        <f>PG31+$E43</f>
        <v>25</v>
      </c>
      <c r="PH5" s="2">
        <f>PH31+$F43</f>
        <v>25</v>
      </c>
      <c r="PI5" s="2">
        <f>PI31+$G43</f>
        <v>25</v>
      </c>
      <c r="PJ5" s="2">
        <f>PJ31+$H43</f>
        <v>25</v>
      </c>
      <c r="PK5" s="2">
        <f>PK31+$I43</f>
        <v>25</v>
      </c>
      <c r="PL5" s="2">
        <f>PL31+$J43</f>
        <v>25</v>
      </c>
      <c r="PM5" s="2">
        <f>PM31+$K43</f>
        <v>50</v>
      </c>
      <c r="PN5" s="2">
        <f>PN31+$L43</f>
        <v>25</v>
      </c>
      <c r="PO5" s="59">
        <v>0</v>
      </c>
      <c r="PP5" s="59">
        <v>0</v>
      </c>
      <c r="PQ5" s="59">
        <v>0</v>
      </c>
      <c r="PR5" s="59">
        <v>0</v>
      </c>
      <c r="PS5" s="59">
        <v>0</v>
      </c>
      <c r="PT5" s="59">
        <v>0</v>
      </c>
      <c r="PU5" s="59">
        <v>0</v>
      </c>
      <c r="PV5" s="59">
        <v>0</v>
      </c>
      <c r="PW5" s="59">
        <v>0</v>
      </c>
      <c r="PX5" s="59">
        <v>0</v>
      </c>
      <c r="PY5" s="59">
        <v>0</v>
      </c>
      <c r="PZ5" s="2">
        <f>PZ31+$B43</f>
        <v>12.5</v>
      </c>
      <c r="QA5" s="2">
        <f>QA31+$C43</f>
        <v>12.5</v>
      </c>
      <c r="QB5" s="2">
        <f>QB31+$D43</f>
        <v>12.5</v>
      </c>
      <c r="QC5" s="2">
        <f>QC31+$E43</f>
        <v>25</v>
      </c>
      <c r="QD5" s="2">
        <f>QD31+$F43</f>
        <v>25</v>
      </c>
      <c r="QE5" s="2">
        <f>QE31+$G43</f>
        <v>25</v>
      </c>
      <c r="QF5" s="2">
        <f>QF31+$H43</f>
        <v>25</v>
      </c>
      <c r="QG5" s="2">
        <f>QG31+$I43</f>
        <v>25</v>
      </c>
      <c r="QH5" s="2">
        <f>QH31+$J43</f>
        <v>25</v>
      </c>
      <c r="QI5" s="2">
        <f>QI31+$K43</f>
        <v>50</v>
      </c>
      <c r="QJ5" s="2">
        <f>QJ31+$L43</f>
        <v>25</v>
      </c>
      <c r="QK5" s="59">
        <v>0</v>
      </c>
      <c r="QL5" s="59">
        <v>0</v>
      </c>
      <c r="QM5" s="59">
        <v>0</v>
      </c>
      <c r="QN5" s="59">
        <v>0</v>
      </c>
      <c r="QO5" s="59">
        <v>0</v>
      </c>
      <c r="QP5" s="59">
        <v>0</v>
      </c>
      <c r="QQ5" s="59">
        <v>0</v>
      </c>
      <c r="QR5" s="59">
        <v>0</v>
      </c>
      <c r="QS5" s="59">
        <v>0</v>
      </c>
      <c r="QT5" s="59">
        <v>0</v>
      </c>
      <c r="QU5" s="59">
        <v>0</v>
      </c>
      <c r="QV5" s="2">
        <f>QV31+$B43</f>
        <v>12.5</v>
      </c>
      <c r="QW5" s="2">
        <f>QW31+$C43</f>
        <v>12.5</v>
      </c>
      <c r="QX5" s="2">
        <f>QX31+$D43</f>
        <v>12.5</v>
      </c>
      <c r="QY5" s="2">
        <f>QY31+$E43</f>
        <v>25</v>
      </c>
      <c r="QZ5" s="2">
        <f>QZ31+$F43</f>
        <v>25</v>
      </c>
      <c r="RA5" s="2">
        <f>RA31+$G43</f>
        <v>25</v>
      </c>
      <c r="RB5" s="2">
        <f>RB31+$H43</f>
        <v>25</v>
      </c>
      <c r="RC5" s="2">
        <f>RC31+$I43</f>
        <v>25</v>
      </c>
      <c r="RD5" s="2">
        <f>RD31+$J43</f>
        <v>25</v>
      </c>
      <c r="RE5" s="2">
        <f>RE31+$K43</f>
        <v>50</v>
      </c>
      <c r="RF5" s="2">
        <f>RF31+$L43</f>
        <v>25</v>
      </c>
      <c r="RG5" s="59">
        <v>0</v>
      </c>
      <c r="RH5" s="59">
        <v>0</v>
      </c>
      <c r="RI5" s="59">
        <v>0</v>
      </c>
      <c r="RJ5" s="59">
        <v>0</v>
      </c>
      <c r="RK5" s="59">
        <v>0</v>
      </c>
      <c r="RL5" s="59">
        <v>0</v>
      </c>
      <c r="RM5" s="59">
        <v>0</v>
      </c>
      <c r="RN5" s="59">
        <v>0</v>
      </c>
      <c r="RO5" s="59">
        <v>0</v>
      </c>
      <c r="RP5" s="59">
        <v>0</v>
      </c>
      <c r="RQ5" s="59">
        <v>0</v>
      </c>
      <c r="RR5" s="2">
        <f>RR31+$B43</f>
        <v>12.5</v>
      </c>
      <c r="RS5" s="2">
        <f>RS31+$C43</f>
        <v>12.5</v>
      </c>
      <c r="RT5" s="2">
        <f>RT31+$D43</f>
        <v>12.5</v>
      </c>
      <c r="RU5" s="2">
        <f>RU31+$E43</f>
        <v>25</v>
      </c>
      <c r="RV5" s="2">
        <f>RV31+$F43</f>
        <v>25</v>
      </c>
      <c r="RW5" s="2">
        <f>RW31+$G43</f>
        <v>25</v>
      </c>
      <c r="RX5" s="2">
        <f>RX31+$H43</f>
        <v>25</v>
      </c>
      <c r="RY5" s="2">
        <f>RY31+$I43</f>
        <v>25</v>
      </c>
      <c r="RZ5" s="2">
        <f>RZ31+$J43</f>
        <v>25</v>
      </c>
      <c r="SA5" s="2">
        <f>SA31+$K43</f>
        <v>50</v>
      </c>
      <c r="SB5" s="2">
        <f>SB31+$L43</f>
        <v>25</v>
      </c>
      <c r="SC5" s="59">
        <v>0</v>
      </c>
      <c r="SD5" s="59">
        <v>0</v>
      </c>
      <c r="SE5" s="59">
        <v>0</v>
      </c>
      <c r="SF5" s="59">
        <v>0</v>
      </c>
      <c r="SG5" s="59">
        <v>0</v>
      </c>
      <c r="SH5" s="59">
        <v>0</v>
      </c>
      <c r="SI5" s="59">
        <v>0</v>
      </c>
      <c r="SJ5" s="59">
        <v>0</v>
      </c>
      <c r="SK5" s="59">
        <v>0</v>
      </c>
      <c r="SL5" s="59">
        <v>0</v>
      </c>
      <c r="SM5" s="59">
        <v>0</v>
      </c>
      <c r="SN5" s="2">
        <f>SN31+$B43</f>
        <v>12.5</v>
      </c>
      <c r="SO5" s="2">
        <f>SO31+$C43</f>
        <v>12.5</v>
      </c>
      <c r="SP5" s="2">
        <f>SP31+$D43</f>
        <v>12.5</v>
      </c>
      <c r="SQ5" s="2">
        <f>SQ31+$E43</f>
        <v>25</v>
      </c>
      <c r="SR5" s="2">
        <f>SR31+$F43</f>
        <v>25</v>
      </c>
      <c r="SS5" s="2">
        <f>SS31+$G43</f>
        <v>25</v>
      </c>
      <c r="ST5" s="2">
        <f>ST31+$H43</f>
        <v>25</v>
      </c>
      <c r="SU5" s="2">
        <f>SU31+$I43</f>
        <v>25</v>
      </c>
      <c r="SV5" s="2">
        <f>SV31+$J43</f>
        <v>25</v>
      </c>
      <c r="SW5" s="2">
        <f>SW31+$K43</f>
        <v>50</v>
      </c>
      <c r="SX5" s="2">
        <f>SX31+$L43</f>
        <v>25</v>
      </c>
      <c r="SY5" s="59">
        <v>0</v>
      </c>
      <c r="SZ5" s="59">
        <v>0</v>
      </c>
      <c r="TA5" s="59">
        <v>0</v>
      </c>
      <c r="TB5" s="59">
        <v>0</v>
      </c>
      <c r="TC5" s="59">
        <v>0</v>
      </c>
      <c r="TD5" s="59">
        <v>0</v>
      </c>
      <c r="TE5" s="59">
        <v>0</v>
      </c>
      <c r="TF5" s="59">
        <v>0</v>
      </c>
      <c r="TG5" s="59">
        <v>0</v>
      </c>
      <c r="TH5" s="59">
        <v>0</v>
      </c>
      <c r="TI5" s="59">
        <v>0</v>
      </c>
      <c r="TJ5" s="2">
        <f>TJ31+$B43</f>
        <v>12.5</v>
      </c>
      <c r="TK5" s="2">
        <f>TK31+$C43</f>
        <v>12.5</v>
      </c>
      <c r="TL5" s="2">
        <f>TL31+$D43</f>
        <v>12.5</v>
      </c>
      <c r="TM5" s="2">
        <f>TM31+$E43</f>
        <v>25</v>
      </c>
      <c r="TN5" s="2">
        <f>TN31+$F43</f>
        <v>25</v>
      </c>
      <c r="TO5" s="2">
        <f>TO31+$G43</f>
        <v>25</v>
      </c>
      <c r="TP5" s="2">
        <f>TP31+$H43</f>
        <v>25</v>
      </c>
      <c r="TQ5" s="2">
        <f>TQ31+$I43</f>
        <v>25</v>
      </c>
      <c r="TR5" s="2">
        <f>TR31+$J43</f>
        <v>25</v>
      </c>
      <c r="TS5" s="2">
        <f>TS31+$K43</f>
        <v>50</v>
      </c>
      <c r="TT5" s="2">
        <f>TT31+$L43</f>
        <v>25</v>
      </c>
      <c r="TU5" s="59">
        <v>0</v>
      </c>
      <c r="TV5" s="59">
        <v>0</v>
      </c>
      <c r="TW5" s="59">
        <v>0</v>
      </c>
      <c r="TX5" s="59">
        <v>0</v>
      </c>
      <c r="TY5" s="59">
        <v>0</v>
      </c>
      <c r="TZ5" s="59">
        <v>0</v>
      </c>
      <c r="UA5" s="59">
        <v>0</v>
      </c>
      <c r="UB5" s="59">
        <v>0</v>
      </c>
      <c r="UC5" s="59">
        <v>0</v>
      </c>
      <c r="UD5" s="59">
        <v>0</v>
      </c>
      <c r="UE5" s="59">
        <v>0</v>
      </c>
      <c r="UF5" s="2">
        <f>UF31+$B43</f>
        <v>12.5</v>
      </c>
      <c r="UG5" s="2">
        <f>UG31+$C43</f>
        <v>12.5</v>
      </c>
      <c r="UH5" s="2">
        <f>UH31+$D43</f>
        <v>12.5</v>
      </c>
      <c r="UI5" s="2">
        <f>UI31+$E43</f>
        <v>25</v>
      </c>
      <c r="UJ5" s="2">
        <f>UJ31+$F43</f>
        <v>25</v>
      </c>
      <c r="UK5" s="2">
        <f>UK31+$G43</f>
        <v>25</v>
      </c>
      <c r="UL5" s="2">
        <f>UL31+$H43</f>
        <v>25</v>
      </c>
      <c r="UM5" s="2">
        <f>UM31+$I43</f>
        <v>25</v>
      </c>
      <c r="UN5" s="2">
        <f>UN31+$J43</f>
        <v>25</v>
      </c>
      <c r="UO5" s="2">
        <f>UO31+$K43</f>
        <v>50</v>
      </c>
      <c r="UP5" s="2">
        <f>UP31+$L43</f>
        <v>25</v>
      </c>
      <c r="UQ5" s="59">
        <v>0</v>
      </c>
      <c r="UR5" s="59">
        <v>0</v>
      </c>
      <c r="US5" s="59">
        <v>0</v>
      </c>
      <c r="UT5" s="59">
        <v>0</v>
      </c>
      <c r="UU5" s="59">
        <v>0</v>
      </c>
      <c r="UV5" s="59">
        <v>0</v>
      </c>
      <c r="UW5" s="59">
        <v>0</v>
      </c>
      <c r="UX5" s="59">
        <v>0</v>
      </c>
      <c r="UY5" s="59">
        <v>0</v>
      </c>
      <c r="UZ5" s="59">
        <v>0</v>
      </c>
      <c r="VA5" s="59">
        <v>0</v>
      </c>
      <c r="VB5" s="2">
        <f>VB31+$B43</f>
        <v>12.5</v>
      </c>
      <c r="VC5" s="2">
        <f>VC31+$C43</f>
        <v>12.5</v>
      </c>
      <c r="VD5" s="2">
        <f>VD31+$D43</f>
        <v>12.5</v>
      </c>
      <c r="VE5" s="2">
        <f>VE31+$E43</f>
        <v>25</v>
      </c>
      <c r="VF5" s="2">
        <f>VF31+$F43</f>
        <v>25</v>
      </c>
      <c r="VG5" s="2">
        <f>VG31+$G43</f>
        <v>25</v>
      </c>
      <c r="VH5" s="2">
        <f>VH31+$H43</f>
        <v>25</v>
      </c>
      <c r="VI5" s="2">
        <f>VI31+$I43</f>
        <v>25</v>
      </c>
      <c r="VJ5" s="2">
        <f>VJ31+$J43</f>
        <v>25</v>
      </c>
      <c r="VK5" s="2">
        <f>VK31+$K43</f>
        <v>50</v>
      </c>
      <c r="VL5" s="2">
        <f>VL31+$L43</f>
        <v>25</v>
      </c>
      <c r="VM5" s="59">
        <v>0</v>
      </c>
      <c r="VN5" s="59">
        <v>0</v>
      </c>
      <c r="VO5" s="59">
        <v>0</v>
      </c>
      <c r="VP5" s="59">
        <v>0</v>
      </c>
      <c r="VQ5" s="59">
        <v>0</v>
      </c>
      <c r="VR5" s="59">
        <v>0</v>
      </c>
      <c r="VS5" s="59">
        <v>0</v>
      </c>
      <c r="VT5" s="59">
        <v>0</v>
      </c>
      <c r="VU5" s="59">
        <v>0</v>
      </c>
      <c r="VV5" s="59">
        <v>0</v>
      </c>
      <c r="VW5" s="59">
        <v>0</v>
      </c>
      <c r="VX5" s="2">
        <f>VX31+$B43</f>
        <v>12.5</v>
      </c>
      <c r="VY5" s="2">
        <f>VY31+$C43</f>
        <v>12.5</v>
      </c>
      <c r="VZ5" s="2">
        <f>VZ31+$D43</f>
        <v>12.5</v>
      </c>
      <c r="WA5" s="2">
        <f>WA31+$E43</f>
        <v>25</v>
      </c>
      <c r="WB5" s="2">
        <f>WB31+$F43</f>
        <v>25</v>
      </c>
      <c r="WC5" s="2">
        <f>WC31+$G43</f>
        <v>25</v>
      </c>
      <c r="WD5" s="2">
        <f>WD31+$H43</f>
        <v>25</v>
      </c>
      <c r="WE5" s="2">
        <f>WE31+$I43</f>
        <v>25</v>
      </c>
      <c r="WF5" s="2">
        <f>WF31+$J43</f>
        <v>25</v>
      </c>
      <c r="WG5" s="2">
        <f>WG31+$K43</f>
        <v>50</v>
      </c>
      <c r="WH5" s="2">
        <f>WH31+$L43</f>
        <v>25</v>
      </c>
      <c r="WI5" s="59">
        <v>0</v>
      </c>
      <c r="WJ5" s="59">
        <v>0</v>
      </c>
      <c r="WK5" s="59">
        <v>0</v>
      </c>
      <c r="WL5" s="59">
        <v>0</v>
      </c>
      <c r="WM5" s="59">
        <v>0</v>
      </c>
      <c r="WN5" s="59">
        <v>0</v>
      </c>
      <c r="WO5" s="59">
        <v>0</v>
      </c>
      <c r="WP5" s="59">
        <v>0</v>
      </c>
      <c r="WQ5" s="59">
        <v>0</v>
      </c>
      <c r="WR5" s="59">
        <v>0</v>
      </c>
      <c r="WS5" s="59">
        <v>0</v>
      </c>
      <c r="WT5" s="2">
        <f>WT31+$B43</f>
        <v>12.5</v>
      </c>
      <c r="WU5" s="2">
        <f>WU31+$C43</f>
        <v>12.5</v>
      </c>
      <c r="WV5" s="2">
        <f>WV31+$D43</f>
        <v>12.5</v>
      </c>
      <c r="WW5" s="2">
        <f>WW31+$E43</f>
        <v>25</v>
      </c>
      <c r="WX5" s="2">
        <f>WX31+$F43</f>
        <v>25</v>
      </c>
      <c r="WY5" s="2">
        <f>WY31+$G43</f>
        <v>25</v>
      </c>
      <c r="WZ5" s="2">
        <f>WZ31+$H43</f>
        <v>25</v>
      </c>
      <c r="XA5" s="2">
        <f>XA31+$I43</f>
        <v>25</v>
      </c>
      <c r="XB5" s="2">
        <f>XB31+$J43</f>
        <v>25</v>
      </c>
      <c r="XC5" s="2">
        <f>XC31+$K43</f>
        <v>50</v>
      </c>
      <c r="XD5" s="2">
        <f>XD31+$L43</f>
        <v>25</v>
      </c>
      <c r="XE5" s="59">
        <v>0</v>
      </c>
      <c r="XF5" s="59">
        <v>0</v>
      </c>
      <c r="XG5" s="59">
        <v>0</v>
      </c>
      <c r="XH5" s="59">
        <v>0</v>
      </c>
      <c r="XI5" s="59">
        <v>0</v>
      </c>
      <c r="XJ5" s="59">
        <v>0</v>
      </c>
      <c r="XK5" s="59">
        <v>0</v>
      </c>
      <c r="XL5" s="59">
        <v>0</v>
      </c>
      <c r="XM5" s="59">
        <v>0</v>
      </c>
      <c r="XN5" s="59">
        <v>0</v>
      </c>
      <c r="XO5" s="59">
        <v>0</v>
      </c>
      <c r="XP5" s="2">
        <f>XP31+$B43</f>
        <v>12.5</v>
      </c>
      <c r="XQ5" s="2">
        <f>XQ31+$C43</f>
        <v>12.5</v>
      </c>
      <c r="XR5" s="2">
        <f>XR31+$D43</f>
        <v>12.5</v>
      </c>
      <c r="XS5" s="2">
        <f>XS31+$E43</f>
        <v>25</v>
      </c>
      <c r="XT5" s="2">
        <f>XT31+$F43</f>
        <v>25</v>
      </c>
      <c r="XU5" s="2">
        <f>XU31+$G43</f>
        <v>25</v>
      </c>
      <c r="XV5" s="2">
        <f>XV31+$H43</f>
        <v>25</v>
      </c>
      <c r="XW5" s="2">
        <f>XW31+$I43</f>
        <v>25</v>
      </c>
      <c r="XX5" s="2">
        <f>XX31+$J43</f>
        <v>25</v>
      </c>
      <c r="XY5" s="2">
        <f>XY31+$K43</f>
        <v>50</v>
      </c>
      <c r="XZ5" s="2">
        <f>XZ31+$L43</f>
        <v>25</v>
      </c>
      <c r="YA5" s="59">
        <v>0</v>
      </c>
      <c r="YB5" s="59">
        <v>0</v>
      </c>
      <c r="YC5" s="59">
        <v>0</v>
      </c>
      <c r="YD5" s="59">
        <v>0</v>
      </c>
      <c r="YE5" s="59">
        <v>0</v>
      </c>
      <c r="YF5" s="59">
        <v>0</v>
      </c>
      <c r="YG5" s="59">
        <v>0</v>
      </c>
      <c r="YH5" s="59">
        <v>0</v>
      </c>
      <c r="YI5" s="59">
        <v>0</v>
      </c>
      <c r="YJ5" s="59">
        <v>0</v>
      </c>
      <c r="YK5" s="59">
        <v>0</v>
      </c>
      <c r="YL5" s="2">
        <f>YL31+$B43</f>
        <v>12.5</v>
      </c>
      <c r="YM5" s="2">
        <f>YM31+$C43</f>
        <v>12.5</v>
      </c>
      <c r="YN5" s="2">
        <f>YN31+$D43</f>
        <v>12.5</v>
      </c>
      <c r="YO5" s="2">
        <f>YO31+$E43</f>
        <v>25</v>
      </c>
      <c r="YP5" s="2">
        <f>YP31+$F43</f>
        <v>25</v>
      </c>
      <c r="YQ5" s="2">
        <f>YQ31+$G43</f>
        <v>25</v>
      </c>
      <c r="YR5" s="2">
        <f>YR31+$H43</f>
        <v>25</v>
      </c>
      <c r="YS5" s="2">
        <f>YS31+$I43</f>
        <v>25</v>
      </c>
      <c r="YT5" s="2">
        <f>YT31+$J43</f>
        <v>25</v>
      </c>
      <c r="YU5" s="2">
        <f>YU31+$K43</f>
        <v>50</v>
      </c>
      <c r="YV5" s="2">
        <f>YV31+$L43</f>
        <v>25</v>
      </c>
      <c r="YW5" s="59">
        <v>0</v>
      </c>
      <c r="YX5" s="59">
        <v>0</v>
      </c>
      <c r="YY5" s="59">
        <v>0</v>
      </c>
      <c r="YZ5" s="59">
        <v>0</v>
      </c>
      <c r="ZA5" s="59">
        <v>0</v>
      </c>
      <c r="ZB5" s="59">
        <v>0</v>
      </c>
      <c r="ZC5" s="59">
        <v>0</v>
      </c>
      <c r="ZD5" s="59">
        <v>0</v>
      </c>
      <c r="ZE5" s="59">
        <v>0</v>
      </c>
      <c r="ZF5" s="59">
        <v>0</v>
      </c>
      <c r="ZG5" s="59">
        <v>0</v>
      </c>
      <c r="ZH5" s="2">
        <f>ZH31+$B43</f>
        <v>12.5</v>
      </c>
      <c r="ZI5" s="2">
        <f>ZI31+$C43</f>
        <v>12.5</v>
      </c>
      <c r="ZJ5" s="2">
        <f>ZJ31+$D43</f>
        <v>12.5</v>
      </c>
      <c r="ZK5" s="2">
        <f>ZK31+$E43</f>
        <v>25</v>
      </c>
      <c r="ZL5" s="2">
        <f>ZL31+$F43</f>
        <v>25</v>
      </c>
      <c r="ZM5" s="2">
        <f>ZM31+$G43</f>
        <v>25</v>
      </c>
      <c r="ZN5" s="2">
        <f>ZN31+$H43</f>
        <v>25</v>
      </c>
      <c r="ZO5" s="2">
        <f>ZO31+$I43</f>
        <v>25</v>
      </c>
      <c r="ZP5" s="2">
        <f>ZP31+$J43</f>
        <v>25</v>
      </c>
      <c r="ZQ5" s="2">
        <f>ZQ31+$K43</f>
        <v>50</v>
      </c>
      <c r="ZR5" s="2">
        <f>ZR31+$L43</f>
        <v>25</v>
      </c>
      <c r="ZS5" s="59">
        <v>0</v>
      </c>
      <c r="ZT5" s="59">
        <v>0</v>
      </c>
      <c r="ZU5" s="59">
        <v>0</v>
      </c>
      <c r="ZV5" s="59">
        <v>0</v>
      </c>
      <c r="ZW5" s="59">
        <v>0</v>
      </c>
      <c r="ZX5" s="59">
        <v>0</v>
      </c>
      <c r="ZY5" s="59">
        <v>0</v>
      </c>
      <c r="ZZ5" s="59">
        <v>0</v>
      </c>
      <c r="AAA5" s="59">
        <v>0</v>
      </c>
      <c r="AAB5" s="59">
        <v>0</v>
      </c>
      <c r="AAC5" s="59">
        <v>0</v>
      </c>
    </row>
    <row r="6" spans="1:705" x14ac:dyDescent="0.2">
      <c r="A6" s="1">
        <v>1</v>
      </c>
      <c r="B6" s="2">
        <f t="shared" ref="B6:B12" si="0">B32+$B44</f>
        <v>12.5</v>
      </c>
      <c r="C6" s="2">
        <f t="shared" ref="C6:C12" si="1">C32+$C44</f>
        <v>12.5</v>
      </c>
      <c r="D6" s="2">
        <f t="shared" ref="D6:D12" si="2">D32+$D44</f>
        <v>12.5</v>
      </c>
      <c r="E6" s="2">
        <f t="shared" ref="E6:E12" si="3">E32+$E44</f>
        <v>25</v>
      </c>
      <c r="F6" s="2">
        <f t="shared" ref="F6:F12" si="4">F32+$F44</f>
        <v>25</v>
      </c>
      <c r="G6" s="2">
        <f t="shared" ref="G6:G12" si="5">G32+$G44</f>
        <v>25</v>
      </c>
      <c r="H6" s="2">
        <f t="shared" ref="H6:H12" si="6">H32+$H44</f>
        <v>25</v>
      </c>
      <c r="I6" s="2">
        <f t="shared" ref="I6:I11" si="7">I32+$I44</f>
        <v>25</v>
      </c>
      <c r="J6" s="2">
        <f t="shared" ref="J6:J12" si="8">J32+$J44</f>
        <v>25</v>
      </c>
      <c r="K6" s="2">
        <f t="shared" ref="K6:K12" si="9">K32+$K44</f>
        <v>50</v>
      </c>
      <c r="L6" s="2">
        <f t="shared" ref="L6:L12" si="10">L32+$L44</f>
        <v>25</v>
      </c>
      <c r="M6" s="3">
        <v>0</v>
      </c>
      <c r="N6" s="3">
        <v>0</v>
      </c>
      <c r="O6" s="3">
        <v>0</v>
      </c>
      <c r="P6" s="3">
        <v>0</v>
      </c>
      <c r="Q6" s="3">
        <v>0</v>
      </c>
      <c r="R6" s="3">
        <v>0</v>
      </c>
      <c r="S6" s="3">
        <v>0</v>
      </c>
      <c r="T6" s="3">
        <v>0</v>
      </c>
      <c r="U6" s="3">
        <v>0</v>
      </c>
      <c r="V6" s="3">
        <v>0</v>
      </c>
      <c r="W6" s="3">
        <v>0</v>
      </c>
      <c r="X6" s="2">
        <f t="shared" ref="X6:X12" si="11">X32+$B44</f>
        <v>12.5</v>
      </c>
      <c r="Y6" s="2">
        <f t="shared" ref="Y6:Y12" si="12">Y32+$C44</f>
        <v>12.5</v>
      </c>
      <c r="Z6" s="2">
        <f t="shared" ref="Z6:Z12" si="13">Z32+$D44</f>
        <v>12.5</v>
      </c>
      <c r="AA6" s="2">
        <f t="shared" ref="AA6:AA12" si="14">AA32+$E44</f>
        <v>25</v>
      </c>
      <c r="AB6" s="2">
        <f t="shared" ref="AB6:AB12" si="15">AB32+$F44</f>
        <v>25</v>
      </c>
      <c r="AC6" s="2">
        <f t="shared" ref="AC6:AC12" si="16">AC32+$G44</f>
        <v>25</v>
      </c>
      <c r="AD6" s="2">
        <f t="shared" ref="AD6:AD12" si="17">AD32+$H44</f>
        <v>25</v>
      </c>
      <c r="AE6" s="2">
        <f t="shared" ref="AE6:AE12" si="18">AE32+$I44</f>
        <v>25</v>
      </c>
      <c r="AF6" s="2">
        <f t="shared" ref="AF6:AF12" si="19">AF32+$J44</f>
        <v>25</v>
      </c>
      <c r="AG6" s="2">
        <f t="shared" ref="AG6:AG12" si="20">AG32+$K44</f>
        <v>50</v>
      </c>
      <c r="AH6" s="2">
        <f t="shared" ref="AH6:AH12" si="21">AH32+$L44</f>
        <v>25</v>
      </c>
      <c r="AI6" s="3">
        <v>0</v>
      </c>
      <c r="AJ6" s="3">
        <v>0</v>
      </c>
      <c r="AK6" s="3">
        <v>0</v>
      </c>
      <c r="AL6" s="3">
        <v>0</v>
      </c>
      <c r="AM6" s="3">
        <v>0</v>
      </c>
      <c r="AN6" s="3">
        <v>0</v>
      </c>
      <c r="AO6" s="3">
        <v>0</v>
      </c>
      <c r="AP6" s="3">
        <v>0</v>
      </c>
      <c r="AQ6" s="3">
        <v>0</v>
      </c>
      <c r="AR6" s="3">
        <v>0</v>
      </c>
      <c r="AS6" s="3">
        <v>0</v>
      </c>
      <c r="AT6" s="2">
        <f t="shared" ref="AT6:AT12" si="22">AT32+$B44</f>
        <v>12.5</v>
      </c>
      <c r="AU6" s="2">
        <f t="shared" ref="AU6:AU12" si="23">AU32+$C44</f>
        <v>12.5</v>
      </c>
      <c r="AV6" s="2">
        <f t="shared" ref="AV6:AV12" si="24">AV32+$D44</f>
        <v>12.5</v>
      </c>
      <c r="AW6" s="2">
        <f t="shared" ref="AW6:AW12" si="25">AW32+$E44</f>
        <v>25</v>
      </c>
      <c r="AX6" s="2">
        <f t="shared" ref="AX6:AX12" si="26">AX32+$F44</f>
        <v>25</v>
      </c>
      <c r="AY6" s="2">
        <f t="shared" ref="AY6:AY12" si="27">AY32+$G44</f>
        <v>25</v>
      </c>
      <c r="AZ6" s="2">
        <f t="shared" ref="AZ6:AZ12" si="28">AZ32+$H44</f>
        <v>25</v>
      </c>
      <c r="BA6" s="2">
        <f t="shared" ref="BA6:BA12" si="29">BA32+$I44</f>
        <v>25</v>
      </c>
      <c r="BB6" s="2">
        <f t="shared" ref="BB6:BB12" si="30">BB32+$J44</f>
        <v>25</v>
      </c>
      <c r="BC6" s="2">
        <f t="shared" ref="BC6:BC12" si="31">BC32+$K44</f>
        <v>50</v>
      </c>
      <c r="BD6" s="2">
        <f t="shared" ref="BD6:BD12" si="32">BD32+$L44</f>
        <v>25</v>
      </c>
      <c r="BE6" s="3">
        <v>0</v>
      </c>
      <c r="BF6" s="3">
        <v>0</v>
      </c>
      <c r="BG6" s="3">
        <v>0</v>
      </c>
      <c r="BH6" s="3">
        <v>0</v>
      </c>
      <c r="BI6" s="3">
        <v>0</v>
      </c>
      <c r="BJ6" s="3">
        <v>0</v>
      </c>
      <c r="BK6" s="3">
        <v>0</v>
      </c>
      <c r="BL6" s="3">
        <v>0</v>
      </c>
      <c r="BM6" s="3">
        <v>0</v>
      </c>
      <c r="BN6" s="3">
        <v>0</v>
      </c>
      <c r="BO6" s="3">
        <v>0</v>
      </c>
      <c r="BP6" s="2">
        <f t="shared" ref="BP6:BP12" si="33">BP32+$B44</f>
        <v>12.5</v>
      </c>
      <c r="BQ6" s="2">
        <f t="shared" ref="BQ6:BQ12" si="34">BQ32+$C44</f>
        <v>12.5</v>
      </c>
      <c r="BR6" s="2">
        <f t="shared" ref="BR6:BR12" si="35">BR32+$D44</f>
        <v>12.5</v>
      </c>
      <c r="BS6" s="2">
        <f t="shared" ref="BS6:BS12" si="36">BS32+$E44</f>
        <v>25</v>
      </c>
      <c r="BT6" s="2">
        <f t="shared" ref="BT6:BT12" si="37">BT32+$F44</f>
        <v>25</v>
      </c>
      <c r="BU6" s="2">
        <f t="shared" ref="BU6:BU12" si="38">BU32+$G44</f>
        <v>25</v>
      </c>
      <c r="BV6" s="2">
        <f t="shared" ref="BV6:BV12" si="39">BV32+$H44</f>
        <v>25</v>
      </c>
      <c r="BW6" s="2">
        <f t="shared" ref="BW6:BW12" si="40">BW32+$I44</f>
        <v>25</v>
      </c>
      <c r="BX6" s="2">
        <f t="shared" ref="BX6:BX12" si="41">BX32+$J44</f>
        <v>25</v>
      </c>
      <c r="BY6" s="2">
        <f t="shared" ref="BY6:BY12" si="42">BY32+$K44</f>
        <v>50</v>
      </c>
      <c r="BZ6" s="2">
        <f t="shared" ref="BZ6:BZ12" si="43">BZ32+$L44</f>
        <v>25</v>
      </c>
      <c r="CA6" s="3">
        <v>0</v>
      </c>
      <c r="CB6" s="3">
        <v>0</v>
      </c>
      <c r="CC6" s="3">
        <v>0</v>
      </c>
      <c r="CD6" s="3">
        <v>0</v>
      </c>
      <c r="CE6" s="3">
        <v>0</v>
      </c>
      <c r="CF6" s="3">
        <v>0</v>
      </c>
      <c r="CG6" s="3">
        <v>0</v>
      </c>
      <c r="CH6" s="3">
        <v>0</v>
      </c>
      <c r="CI6" s="3">
        <v>0</v>
      </c>
      <c r="CJ6" s="3">
        <v>0</v>
      </c>
      <c r="CK6" s="3">
        <v>0</v>
      </c>
      <c r="CL6" s="2">
        <f t="shared" ref="CL6:CL12" si="44">CL32+$B44</f>
        <v>12.5</v>
      </c>
      <c r="CM6" s="2">
        <f t="shared" ref="CM6:CM12" si="45">CM32+$C44</f>
        <v>12.5</v>
      </c>
      <c r="CN6" s="2">
        <f t="shared" ref="CN6:CN12" si="46">CN32+$D44</f>
        <v>12.5</v>
      </c>
      <c r="CO6" s="2">
        <f t="shared" ref="CO6:CO12" si="47">CO32+$E44</f>
        <v>25</v>
      </c>
      <c r="CP6" s="2">
        <f t="shared" ref="CP6:CP12" si="48">CP32+$F44</f>
        <v>25</v>
      </c>
      <c r="CQ6" s="2">
        <f t="shared" ref="CQ6:CQ12" si="49">CQ32+$G44</f>
        <v>25</v>
      </c>
      <c r="CR6" s="2">
        <f t="shared" ref="CR6:CR12" si="50">CR32+$H44</f>
        <v>25</v>
      </c>
      <c r="CS6" s="2">
        <f t="shared" ref="CS6:CS12" si="51">CS32+$I44</f>
        <v>25</v>
      </c>
      <c r="CT6" s="2">
        <f t="shared" ref="CT6:CT12" si="52">CT32+$J44</f>
        <v>25</v>
      </c>
      <c r="CU6" s="2">
        <f t="shared" ref="CU6:CU12" si="53">CU32+$K44</f>
        <v>50</v>
      </c>
      <c r="CV6" s="2">
        <f t="shared" ref="CV6:CV12" si="54">CV32+$L44</f>
        <v>25</v>
      </c>
      <c r="CW6" s="3">
        <v>0</v>
      </c>
      <c r="CX6" s="3">
        <v>0</v>
      </c>
      <c r="CY6" s="3">
        <v>0</v>
      </c>
      <c r="CZ6" s="3">
        <v>0</v>
      </c>
      <c r="DA6" s="3">
        <v>0</v>
      </c>
      <c r="DB6" s="3">
        <v>0</v>
      </c>
      <c r="DC6" s="3">
        <v>0</v>
      </c>
      <c r="DD6" s="3">
        <v>0</v>
      </c>
      <c r="DE6" s="3">
        <v>0</v>
      </c>
      <c r="DF6" s="3">
        <v>0</v>
      </c>
      <c r="DG6" s="3">
        <v>0</v>
      </c>
      <c r="DH6" s="2">
        <f t="shared" ref="DH6:DH12" si="55">DH32+$B44</f>
        <v>12.5</v>
      </c>
      <c r="DI6" s="2">
        <f t="shared" ref="DI6:DI12" si="56">DI32+$C44</f>
        <v>12.5</v>
      </c>
      <c r="DJ6" s="2">
        <f t="shared" ref="DJ6:DJ12" si="57">DJ32+$D44</f>
        <v>12.5</v>
      </c>
      <c r="DK6" s="2">
        <f t="shared" ref="DK6:DK12" si="58">DK32+$E44</f>
        <v>25</v>
      </c>
      <c r="DL6" s="2">
        <f t="shared" ref="DL6:DL12" si="59">DL32+$F44</f>
        <v>25</v>
      </c>
      <c r="DM6" s="2">
        <f t="shared" ref="DM6:DM12" si="60">DM32+$G44</f>
        <v>25</v>
      </c>
      <c r="DN6" s="2">
        <f t="shared" ref="DN6:DN12" si="61">DN32+$H44</f>
        <v>25</v>
      </c>
      <c r="DO6" s="2">
        <f t="shared" ref="DO6:DO12" si="62">DO32+$I44</f>
        <v>25</v>
      </c>
      <c r="DP6" s="2">
        <f t="shared" ref="DP6:DP12" si="63">DP32+$J44</f>
        <v>25</v>
      </c>
      <c r="DQ6" s="2">
        <f t="shared" ref="DQ6:DQ12" si="64">DQ32+$K44</f>
        <v>50</v>
      </c>
      <c r="DR6" s="2">
        <f t="shared" ref="DR6:DR12" si="65">DR32+$L44</f>
        <v>25</v>
      </c>
      <c r="DS6" s="3">
        <v>0</v>
      </c>
      <c r="DT6" s="3">
        <v>0</v>
      </c>
      <c r="DU6" s="3">
        <v>0</v>
      </c>
      <c r="DV6" s="3">
        <v>0</v>
      </c>
      <c r="DW6" s="3">
        <v>0</v>
      </c>
      <c r="DX6" s="3">
        <v>0</v>
      </c>
      <c r="DY6" s="3">
        <v>0</v>
      </c>
      <c r="DZ6" s="3">
        <v>0</v>
      </c>
      <c r="EA6" s="3">
        <v>0</v>
      </c>
      <c r="EB6" s="3">
        <v>0</v>
      </c>
      <c r="EC6" s="3">
        <v>0</v>
      </c>
      <c r="ED6" s="2">
        <f t="shared" ref="ED6:ED12" si="66">ED32+$B44</f>
        <v>12.5</v>
      </c>
      <c r="EE6" s="2">
        <f t="shared" ref="EE6:EE12" si="67">EE32+$C44</f>
        <v>12.5</v>
      </c>
      <c r="EF6" s="2">
        <f t="shared" ref="EF6:EF12" si="68">EF32+$D44</f>
        <v>12.5</v>
      </c>
      <c r="EG6" s="2">
        <f t="shared" ref="EG6:EG12" si="69">EG32+$E44</f>
        <v>25</v>
      </c>
      <c r="EH6" s="2">
        <f t="shared" ref="EH6:EH12" si="70">EH32+$F44</f>
        <v>25</v>
      </c>
      <c r="EI6" s="2">
        <f t="shared" ref="EI6:EI12" si="71">EI32+$G44</f>
        <v>25</v>
      </c>
      <c r="EJ6" s="2">
        <f t="shared" ref="EJ6:EJ12" si="72">EJ32+$H44</f>
        <v>25</v>
      </c>
      <c r="EK6" s="2">
        <f t="shared" ref="EK6:EK12" si="73">EK32+$I44</f>
        <v>25</v>
      </c>
      <c r="EL6" s="2">
        <f t="shared" ref="EL6:EL12" si="74">EL32+$J44</f>
        <v>25</v>
      </c>
      <c r="EM6" s="2">
        <f t="shared" ref="EM6:EM12" si="75">EM32+$K44</f>
        <v>50</v>
      </c>
      <c r="EN6" s="2">
        <f t="shared" ref="EN6:EN12" si="76">EN32+$L44</f>
        <v>25</v>
      </c>
      <c r="EO6" s="3">
        <v>0</v>
      </c>
      <c r="EP6" s="3">
        <v>0</v>
      </c>
      <c r="EQ6" s="3">
        <v>0</v>
      </c>
      <c r="ER6" s="3">
        <v>0</v>
      </c>
      <c r="ES6" s="3">
        <v>0</v>
      </c>
      <c r="ET6" s="3">
        <v>0</v>
      </c>
      <c r="EU6" s="3">
        <v>0</v>
      </c>
      <c r="EV6" s="3">
        <v>0</v>
      </c>
      <c r="EW6" s="3">
        <v>0</v>
      </c>
      <c r="EX6" s="3">
        <v>0</v>
      </c>
      <c r="EY6" s="3">
        <v>0</v>
      </c>
      <c r="EZ6" s="2">
        <f t="shared" ref="EZ6:EZ12" si="77">EZ32+$B44</f>
        <v>12.5</v>
      </c>
      <c r="FA6" s="2">
        <f t="shared" ref="FA6:FA12" si="78">FA32+$C44</f>
        <v>12.5</v>
      </c>
      <c r="FB6" s="2">
        <f t="shared" ref="FB6:FB12" si="79">FB32+$D44</f>
        <v>12.5</v>
      </c>
      <c r="FC6" s="2">
        <f t="shared" ref="FC6:FC12" si="80">FC32+$E44</f>
        <v>25</v>
      </c>
      <c r="FD6" s="2">
        <f t="shared" ref="FD6:FD12" si="81">FD32+$F44</f>
        <v>25</v>
      </c>
      <c r="FE6" s="2">
        <f t="shared" ref="FE6:FE12" si="82">FE32+$G44</f>
        <v>25</v>
      </c>
      <c r="FF6" s="2">
        <f t="shared" ref="FF6:FF12" si="83">FF32+$H44</f>
        <v>25</v>
      </c>
      <c r="FG6" s="2">
        <f t="shared" ref="FG6:FG12" si="84">FG32+$I44</f>
        <v>25</v>
      </c>
      <c r="FH6" s="2">
        <f t="shared" ref="FH6:FH12" si="85">FH32+$J44</f>
        <v>25</v>
      </c>
      <c r="FI6" s="2">
        <f t="shared" ref="FI6:FI12" si="86">FI32+$K44</f>
        <v>50</v>
      </c>
      <c r="FJ6" s="2">
        <f t="shared" ref="FJ6:FJ12" si="87">FJ32+$L44</f>
        <v>25</v>
      </c>
      <c r="FK6" s="3">
        <v>0</v>
      </c>
      <c r="FL6" s="3">
        <v>0</v>
      </c>
      <c r="FM6" s="3">
        <v>0</v>
      </c>
      <c r="FN6" s="3">
        <v>0</v>
      </c>
      <c r="FO6" s="3">
        <v>0</v>
      </c>
      <c r="FP6" s="3">
        <v>0</v>
      </c>
      <c r="FQ6" s="3">
        <v>0</v>
      </c>
      <c r="FR6" s="3">
        <v>0</v>
      </c>
      <c r="FS6" s="3">
        <v>0</v>
      </c>
      <c r="FT6" s="3">
        <v>0</v>
      </c>
      <c r="FU6" s="3">
        <v>0</v>
      </c>
      <c r="FV6" s="2">
        <f t="shared" ref="FV6:FV12" si="88">FV32+$B44</f>
        <v>12.5</v>
      </c>
      <c r="FW6" s="2">
        <f t="shared" ref="FW6:FW12" si="89">FW32+$C44</f>
        <v>12.5</v>
      </c>
      <c r="FX6" s="2">
        <f t="shared" ref="FX6:FX12" si="90">FX32+$D44</f>
        <v>12.5</v>
      </c>
      <c r="FY6" s="2">
        <f t="shared" ref="FY6:FY12" si="91">FY32+$E44</f>
        <v>25</v>
      </c>
      <c r="FZ6" s="2">
        <f t="shared" ref="FZ6:FZ12" si="92">FZ32+$F44</f>
        <v>25</v>
      </c>
      <c r="GA6" s="2">
        <f t="shared" ref="GA6:GA12" si="93">GA32+$G44</f>
        <v>25</v>
      </c>
      <c r="GB6" s="2">
        <f t="shared" ref="GB6:GB12" si="94">GB32+$H44</f>
        <v>25</v>
      </c>
      <c r="GC6" s="2">
        <f t="shared" ref="GC6:GC12" si="95">GC32+$I44</f>
        <v>25</v>
      </c>
      <c r="GD6" s="2">
        <f t="shared" ref="GD6:GD12" si="96">GD32+$J44</f>
        <v>25</v>
      </c>
      <c r="GE6" s="2">
        <f t="shared" ref="GE6:GE12" si="97">GE32+$K44</f>
        <v>50</v>
      </c>
      <c r="GF6" s="2">
        <f t="shared" ref="GF6:GF12" si="98">GF32+$L44</f>
        <v>25</v>
      </c>
      <c r="GG6" s="3">
        <v>0</v>
      </c>
      <c r="GH6" s="3">
        <v>0</v>
      </c>
      <c r="GI6" s="3">
        <v>0</v>
      </c>
      <c r="GJ6" s="3">
        <v>0</v>
      </c>
      <c r="GK6" s="3">
        <v>0</v>
      </c>
      <c r="GL6" s="3">
        <v>0</v>
      </c>
      <c r="GM6" s="3">
        <v>0</v>
      </c>
      <c r="GN6" s="3">
        <v>0</v>
      </c>
      <c r="GO6" s="3">
        <v>0</v>
      </c>
      <c r="GP6" s="3">
        <v>0</v>
      </c>
      <c r="GQ6" s="3">
        <v>0</v>
      </c>
      <c r="GR6" s="2">
        <f t="shared" ref="GR6:GR12" si="99">GR32+$B44</f>
        <v>12.5</v>
      </c>
      <c r="GS6" s="2">
        <f t="shared" ref="GS6:GS12" si="100">GS32+$C44</f>
        <v>12.5</v>
      </c>
      <c r="GT6" s="2">
        <f t="shared" ref="GT6:GT12" si="101">GT32+$D44</f>
        <v>12.5</v>
      </c>
      <c r="GU6" s="2">
        <f t="shared" ref="GU6:GU12" si="102">GU32+$E44</f>
        <v>25</v>
      </c>
      <c r="GV6" s="2">
        <f t="shared" ref="GV6:GV12" si="103">GV32+$F44</f>
        <v>25</v>
      </c>
      <c r="GW6" s="2">
        <f t="shared" ref="GW6:GW12" si="104">GW32+$G44</f>
        <v>25</v>
      </c>
      <c r="GX6" s="2">
        <f t="shared" ref="GX6:GX12" si="105">GX32+$H44</f>
        <v>25</v>
      </c>
      <c r="GY6" s="2">
        <f t="shared" ref="GY6:GY12" si="106">GY32+$I44</f>
        <v>25</v>
      </c>
      <c r="GZ6" s="2">
        <f t="shared" ref="GZ6:GZ12" si="107">GZ32+$J44</f>
        <v>25</v>
      </c>
      <c r="HA6" s="2">
        <f t="shared" ref="HA6:HA12" si="108">HA32+$K44</f>
        <v>50</v>
      </c>
      <c r="HB6" s="2">
        <f t="shared" ref="HB6:HB12" si="109">HB32+$L44</f>
        <v>25</v>
      </c>
      <c r="HC6" s="3">
        <v>0</v>
      </c>
      <c r="HD6" s="3">
        <v>0</v>
      </c>
      <c r="HE6" s="3">
        <v>0</v>
      </c>
      <c r="HF6" s="3">
        <v>0</v>
      </c>
      <c r="HG6" s="3">
        <v>0</v>
      </c>
      <c r="HH6" s="3">
        <v>0</v>
      </c>
      <c r="HI6" s="3">
        <v>0</v>
      </c>
      <c r="HJ6" s="3">
        <v>0</v>
      </c>
      <c r="HK6" s="3">
        <v>0</v>
      </c>
      <c r="HL6" s="3">
        <v>0</v>
      </c>
      <c r="HM6" s="3">
        <v>0</v>
      </c>
      <c r="HN6" s="2">
        <f t="shared" ref="HN6:HN12" si="110">HN32+$B44</f>
        <v>12.5</v>
      </c>
      <c r="HO6" s="2">
        <f t="shared" ref="HO6:HO12" si="111">HO32+$C44</f>
        <v>12.5</v>
      </c>
      <c r="HP6" s="2">
        <f t="shared" ref="HP6:HP12" si="112">HP32+$D44</f>
        <v>12.5</v>
      </c>
      <c r="HQ6" s="2">
        <f t="shared" ref="HQ6:HQ12" si="113">HQ32+$E44</f>
        <v>25</v>
      </c>
      <c r="HR6" s="2">
        <f t="shared" ref="HR6:HR12" si="114">HR32+$F44</f>
        <v>25</v>
      </c>
      <c r="HS6" s="2">
        <f t="shared" ref="HS6:HS12" si="115">HS32+$G44</f>
        <v>25</v>
      </c>
      <c r="HT6" s="2">
        <f t="shared" ref="HT6:HT12" si="116">HT32+$H44</f>
        <v>25</v>
      </c>
      <c r="HU6" s="2">
        <f t="shared" ref="HU6:HU12" si="117">HU32+$I44</f>
        <v>25</v>
      </c>
      <c r="HV6" s="2">
        <f t="shared" ref="HV6:HV12" si="118">HV32+$J44</f>
        <v>25</v>
      </c>
      <c r="HW6" s="2">
        <f t="shared" ref="HW6:HW12" si="119">HW32+$K44</f>
        <v>50</v>
      </c>
      <c r="HX6" s="2">
        <f t="shared" ref="HX6:HX12" si="120">HX32+$L44</f>
        <v>25</v>
      </c>
      <c r="HY6" s="3">
        <v>0</v>
      </c>
      <c r="HZ6" s="3">
        <v>0</v>
      </c>
      <c r="IA6" s="3">
        <v>0</v>
      </c>
      <c r="IB6" s="3">
        <v>0</v>
      </c>
      <c r="IC6" s="3">
        <v>0</v>
      </c>
      <c r="ID6" s="3">
        <v>0</v>
      </c>
      <c r="IE6" s="3">
        <v>0</v>
      </c>
      <c r="IF6" s="3">
        <v>0</v>
      </c>
      <c r="IG6" s="3">
        <v>0</v>
      </c>
      <c r="IH6" s="3">
        <v>0</v>
      </c>
      <c r="II6" s="3">
        <v>0</v>
      </c>
      <c r="IJ6" s="2">
        <f t="shared" ref="IJ6:IJ12" si="121">IJ32+$B44</f>
        <v>12.5</v>
      </c>
      <c r="IK6" s="2">
        <f t="shared" ref="IK6:IK12" si="122">IK32+$C44</f>
        <v>12.5</v>
      </c>
      <c r="IL6" s="2">
        <f t="shared" ref="IL6:IL12" si="123">IL32+$D44</f>
        <v>12.5</v>
      </c>
      <c r="IM6" s="2">
        <f t="shared" ref="IM6:IM12" si="124">IM32+$E44</f>
        <v>25</v>
      </c>
      <c r="IN6" s="2">
        <f t="shared" ref="IN6:IN12" si="125">IN32+$F44</f>
        <v>25</v>
      </c>
      <c r="IO6" s="2">
        <f t="shared" ref="IO6:IO12" si="126">IO32+$G44</f>
        <v>25</v>
      </c>
      <c r="IP6" s="2">
        <f t="shared" ref="IP6:IP12" si="127">IP32+$H44</f>
        <v>25</v>
      </c>
      <c r="IQ6" s="2">
        <f t="shared" ref="IQ6:IQ12" si="128">IQ32+$I44</f>
        <v>25</v>
      </c>
      <c r="IR6" s="2">
        <f t="shared" ref="IR6:IR12" si="129">IR32+$J44</f>
        <v>25</v>
      </c>
      <c r="IS6" s="2">
        <f t="shared" ref="IS6:IS12" si="130">IS32+$K44</f>
        <v>50</v>
      </c>
      <c r="IT6" s="2">
        <f t="shared" ref="IT6:IT12" si="131">IT32+$L44</f>
        <v>25</v>
      </c>
      <c r="IU6" s="3">
        <v>0</v>
      </c>
      <c r="IV6" s="3">
        <v>0</v>
      </c>
      <c r="IW6" s="3">
        <v>0</v>
      </c>
      <c r="IX6" s="3">
        <v>0</v>
      </c>
      <c r="IY6" s="3">
        <v>0</v>
      </c>
      <c r="IZ6" s="3">
        <v>0</v>
      </c>
      <c r="JA6" s="3">
        <v>0</v>
      </c>
      <c r="JB6" s="3">
        <v>0</v>
      </c>
      <c r="JC6" s="3">
        <v>0</v>
      </c>
      <c r="JD6" s="3">
        <v>0</v>
      </c>
      <c r="JE6" s="3">
        <v>0</v>
      </c>
      <c r="JF6" s="2">
        <f t="shared" ref="JF6:JF12" si="132">JF32+$B44</f>
        <v>12.5</v>
      </c>
      <c r="JG6" s="2">
        <f t="shared" ref="JG6:JG12" si="133">JG32+$C44</f>
        <v>12.5</v>
      </c>
      <c r="JH6" s="2">
        <f t="shared" ref="JH6:JH12" si="134">JH32+$D44</f>
        <v>12.5</v>
      </c>
      <c r="JI6" s="2">
        <f t="shared" ref="JI6:JI12" si="135">JI32+$E44</f>
        <v>25</v>
      </c>
      <c r="JJ6" s="2">
        <f t="shared" ref="JJ6:JJ12" si="136">JJ32+$F44</f>
        <v>25</v>
      </c>
      <c r="JK6" s="2">
        <f t="shared" ref="JK6:JK12" si="137">JK32+$G44</f>
        <v>25</v>
      </c>
      <c r="JL6" s="2">
        <f t="shared" ref="JL6:JL12" si="138">JL32+$H44</f>
        <v>25</v>
      </c>
      <c r="JM6" s="2">
        <f t="shared" ref="JM6:JM12" si="139">JM32+$I44</f>
        <v>25</v>
      </c>
      <c r="JN6" s="2">
        <f t="shared" ref="JN6:JN12" si="140">JN32+$J44</f>
        <v>25</v>
      </c>
      <c r="JO6" s="2">
        <f t="shared" ref="JO6:JO12" si="141">JO32+$K44</f>
        <v>50</v>
      </c>
      <c r="JP6" s="2">
        <f t="shared" ref="JP6:JP12" si="142">JP32+$L44</f>
        <v>25</v>
      </c>
      <c r="JQ6" s="3">
        <v>0</v>
      </c>
      <c r="JR6" s="3">
        <v>0</v>
      </c>
      <c r="JS6" s="3">
        <v>0</v>
      </c>
      <c r="JT6" s="3">
        <v>0</v>
      </c>
      <c r="JU6" s="3">
        <v>0</v>
      </c>
      <c r="JV6" s="3">
        <v>0</v>
      </c>
      <c r="JW6" s="3">
        <v>0</v>
      </c>
      <c r="JX6" s="3">
        <v>0</v>
      </c>
      <c r="JY6" s="3">
        <v>0</v>
      </c>
      <c r="JZ6" s="3">
        <v>0</v>
      </c>
      <c r="KA6" s="3">
        <v>0</v>
      </c>
      <c r="KB6" s="2">
        <f t="shared" ref="KB6:KB12" si="143">KB32+$B44</f>
        <v>12.5</v>
      </c>
      <c r="KC6" s="2">
        <f t="shared" ref="KC6:KC12" si="144">KC32+$C44</f>
        <v>12.5</v>
      </c>
      <c r="KD6" s="2">
        <f t="shared" ref="KD6:KD12" si="145">KD32+$D44</f>
        <v>12.5</v>
      </c>
      <c r="KE6" s="2">
        <f t="shared" ref="KE6:KE12" si="146">KE32+$E44</f>
        <v>25</v>
      </c>
      <c r="KF6" s="2">
        <f t="shared" ref="KF6:KF12" si="147">KF32+$F44</f>
        <v>25</v>
      </c>
      <c r="KG6" s="2">
        <f t="shared" ref="KG6:KG12" si="148">KG32+$G44</f>
        <v>25</v>
      </c>
      <c r="KH6" s="2">
        <f t="shared" ref="KH6:KH12" si="149">KH32+$H44</f>
        <v>25</v>
      </c>
      <c r="KI6" s="2">
        <f t="shared" ref="KI6:KI12" si="150">KI32+$I44</f>
        <v>25</v>
      </c>
      <c r="KJ6" s="2">
        <f t="shared" ref="KJ6:KJ12" si="151">KJ32+$J44</f>
        <v>25</v>
      </c>
      <c r="KK6" s="2">
        <f t="shared" ref="KK6:KK12" si="152">KK32+$K44</f>
        <v>50</v>
      </c>
      <c r="KL6" s="2">
        <f t="shared" ref="KL6:KL12" si="153">KL32+$L44</f>
        <v>25</v>
      </c>
      <c r="KM6" s="3">
        <v>0</v>
      </c>
      <c r="KN6" s="3">
        <v>0</v>
      </c>
      <c r="KO6" s="3">
        <v>0</v>
      </c>
      <c r="KP6" s="3">
        <v>0</v>
      </c>
      <c r="KQ6" s="3">
        <v>0</v>
      </c>
      <c r="KR6" s="3">
        <v>0</v>
      </c>
      <c r="KS6" s="3">
        <v>0</v>
      </c>
      <c r="KT6" s="3">
        <v>0</v>
      </c>
      <c r="KU6" s="3">
        <v>0</v>
      </c>
      <c r="KV6" s="3">
        <v>0</v>
      </c>
      <c r="KW6" s="3">
        <v>0</v>
      </c>
      <c r="KX6" s="2">
        <f t="shared" ref="KX6:KX12" si="154">KX32+$B44</f>
        <v>12.5</v>
      </c>
      <c r="KY6" s="2">
        <f t="shared" ref="KY6:KY12" si="155">KY32+$C44</f>
        <v>12.5</v>
      </c>
      <c r="KZ6" s="2">
        <f t="shared" ref="KZ6:KZ12" si="156">KZ32+$D44</f>
        <v>12.5</v>
      </c>
      <c r="LA6" s="2">
        <f t="shared" ref="LA6:LA12" si="157">LA32+$E44</f>
        <v>25</v>
      </c>
      <c r="LB6" s="2">
        <f t="shared" ref="LB6:LB12" si="158">LB32+$F44</f>
        <v>25</v>
      </c>
      <c r="LC6" s="2">
        <f t="shared" ref="LC6:LC12" si="159">LC32+$G44</f>
        <v>25</v>
      </c>
      <c r="LD6" s="2">
        <f t="shared" ref="LD6:LD12" si="160">LD32+$H44</f>
        <v>25</v>
      </c>
      <c r="LE6" s="2">
        <f t="shared" ref="LE6:LE12" si="161">LE32+$I44</f>
        <v>25</v>
      </c>
      <c r="LF6" s="2">
        <f t="shared" ref="LF6:LF12" si="162">LF32+$J44</f>
        <v>25</v>
      </c>
      <c r="LG6" s="2">
        <f t="shared" ref="LG6:LG12" si="163">LG32+$K44</f>
        <v>50</v>
      </c>
      <c r="LH6" s="2">
        <f t="shared" ref="LH6:LH12" si="164">LH32+$L44</f>
        <v>25</v>
      </c>
      <c r="LI6" s="3">
        <v>0</v>
      </c>
      <c r="LJ6" s="3">
        <v>0</v>
      </c>
      <c r="LK6" s="3">
        <v>0</v>
      </c>
      <c r="LL6" s="3">
        <v>0</v>
      </c>
      <c r="LM6" s="3">
        <v>0</v>
      </c>
      <c r="LN6" s="3">
        <v>0</v>
      </c>
      <c r="LO6" s="3">
        <v>0</v>
      </c>
      <c r="LP6" s="3">
        <v>0</v>
      </c>
      <c r="LQ6" s="3">
        <v>0</v>
      </c>
      <c r="LR6" s="3">
        <v>0</v>
      </c>
      <c r="LS6" s="3">
        <v>0</v>
      </c>
      <c r="LT6" s="2">
        <f t="shared" ref="LT6:LT12" si="165">LT32+$B44</f>
        <v>12.5</v>
      </c>
      <c r="LU6" s="2">
        <f t="shared" ref="LU6:LU12" si="166">LU32+$C44</f>
        <v>12.5</v>
      </c>
      <c r="LV6" s="2">
        <f t="shared" ref="LV6:LV12" si="167">LV32+$D44</f>
        <v>12.5</v>
      </c>
      <c r="LW6" s="2">
        <f t="shared" ref="LW6:LW12" si="168">LW32+$E44</f>
        <v>25</v>
      </c>
      <c r="LX6" s="2">
        <f t="shared" ref="LX6:LX12" si="169">LX32+$F44</f>
        <v>25</v>
      </c>
      <c r="LY6" s="2">
        <f t="shared" ref="LY6:LY12" si="170">LY32+$G44</f>
        <v>25</v>
      </c>
      <c r="LZ6" s="2">
        <f t="shared" ref="LZ6:LZ12" si="171">LZ32+$H44</f>
        <v>25</v>
      </c>
      <c r="MA6" s="2">
        <f t="shared" ref="MA6:MA12" si="172">MA32+$I44</f>
        <v>25</v>
      </c>
      <c r="MB6" s="2">
        <f t="shared" ref="MB6:MB12" si="173">MB32+$J44</f>
        <v>25</v>
      </c>
      <c r="MC6" s="2">
        <f t="shared" ref="MC6:MC12" si="174">MC32+$K44</f>
        <v>50</v>
      </c>
      <c r="MD6" s="2">
        <f t="shared" ref="MD6:MD12" si="175">MD32+$L44</f>
        <v>25</v>
      </c>
      <c r="ME6" s="3">
        <v>0</v>
      </c>
      <c r="MF6" s="3">
        <v>0</v>
      </c>
      <c r="MG6" s="3">
        <v>0</v>
      </c>
      <c r="MH6" s="3">
        <v>0</v>
      </c>
      <c r="MI6" s="3">
        <v>0</v>
      </c>
      <c r="MJ6" s="3">
        <v>0</v>
      </c>
      <c r="MK6" s="3">
        <v>0</v>
      </c>
      <c r="ML6" s="3">
        <v>0</v>
      </c>
      <c r="MM6" s="3">
        <v>0</v>
      </c>
      <c r="MN6" s="3">
        <v>0</v>
      </c>
      <c r="MO6" s="3">
        <v>0</v>
      </c>
      <c r="MP6" s="2">
        <f t="shared" ref="MP6:MP12" si="176">MP32+$B44</f>
        <v>12.5</v>
      </c>
      <c r="MQ6" s="2">
        <f t="shared" ref="MQ6:MQ12" si="177">MQ32+$C44</f>
        <v>12.5</v>
      </c>
      <c r="MR6" s="2">
        <f t="shared" ref="MR6:MR12" si="178">MR32+$D44</f>
        <v>12.5</v>
      </c>
      <c r="MS6" s="2">
        <f t="shared" ref="MS6:MS12" si="179">MS32+$E44</f>
        <v>25</v>
      </c>
      <c r="MT6" s="2">
        <f t="shared" ref="MT6:MT12" si="180">MT32+$F44</f>
        <v>25</v>
      </c>
      <c r="MU6" s="2">
        <f t="shared" ref="MU6:MU12" si="181">MU32+$G44</f>
        <v>25</v>
      </c>
      <c r="MV6" s="2">
        <f t="shared" ref="MV6:MV12" si="182">MV32+$H44</f>
        <v>25</v>
      </c>
      <c r="MW6" s="2">
        <f t="shared" ref="MW6:MW12" si="183">MW32+$I44</f>
        <v>25</v>
      </c>
      <c r="MX6" s="2">
        <f t="shared" ref="MX6:MX12" si="184">MX32+$J44</f>
        <v>25</v>
      </c>
      <c r="MY6" s="2">
        <f t="shared" ref="MY6:MY12" si="185">MY32+$K44</f>
        <v>50</v>
      </c>
      <c r="MZ6" s="2">
        <f t="shared" ref="MZ6:MZ12" si="186">MZ32+$L44</f>
        <v>25</v>
      </c>
      <c r="NA6" s="3">
        <v>0</v>
      </c>
      <c r="NB6" s="3">
        <v>0</v>
      </c>
      <c r="NC6" s="3">
        <v>0</v>
      </c>
      <c r="ND6" s="3">
        <v>0</v>
      </c>
      <c r="NE6" s="3">
        <v>0</v>
      </c>
      <c r="NF6" s="3">
        <v>0</v>
      </c>
      <c r="NG6" s="3">
        <v>0</v>
      </c>
      <c r="NH6" s="3">
        <v>0</v>
      </c>
      <c r="NI6" s="3">
        <v>0</v>
      </c>
      <c r="NJ6" s="3">
        <v>0</v>
      </c>
      <c r="NK6" s="3">
        <v>0</v>
      </c>
      <c r="NL6" s="2">
        <f t="shared" ref="NL6:NL12" si="187">NL32+$B44</f>
        <v>12.5</v>
      </c>
      <c r="NM6" s="2">
        <f t="shared" ref="NM6:NM12" si="188">NM32+$C44</f>
        <v>12.5</v>
      </c>
      <c r="NN6" s="2">
        <f t="shared" ref="NN6:NN12" si="189">NN32+$D44</f>
        <v>12.5</v>
      </c>
      <c r="NO6" s="2">
        <f t="shared" ref="NO6:NO12" si="190">NO32+$E44</f>
        <v>25</v>
      </c>
      <c r="NP6" s="2">
        <f t="shared" ref="NP6:NP12" si="191">NP32+$F44</f>
        <v>25</v>
      </c>
      <c r="NQ6" s="2">
        <f t="shared" ref="NQ6:NQ12" si="192">NQ32+$G44</f>
        <v>25</v>
      </c>
      <c r="NR6" s="2">
        <f t="shared" ref="NR6:NR12" si="193">NR32+$H44</f>
        <v>25</v>
      </c>
      <c r="NS6" s="2">
        <f t="shared" ref="NS6:NS12" si="194">NS32+$I44</f>
        <v>25</v>
      </c>
      <c r="NT6" s="2">
        <f t="shared" ref="NT6:NT12" si="195">NT32+$J44</f>
        <v>25</v>
      </c>
      <c r="NU6" s="2">
        <f t="shared" ref="NU6:NU12" si="196">NU32+$K44</f>
        <v>50</v>
      </c>
      <c r="NV6" s="2">
        <f t="shared" ref="NV6:NV12" si="197">NV32+$L44</f>
        <v>25</v>
      </c>
      <c r="NW6" s="59">
        <v>0</v>
      </c>
      <c r="NX6" s="59">
        <v>0</v>
      </c>
      <c r="NY6" s="59">
        <v>0</v>
      </c>
      <c r="NZ6" s="59">
        <v>0</v>
      </c>
      <c r="OA6" s="59">
        <v>0</v>
      </c>
      <c r="OB6" s="59">
        <v>0</v>
      </c>
      <c r="OC6" s="59">
        <v>0</v>
      </c>
      <c r="OD6" s="59">
        <v>0</v>
      </c>
      <c r="OE6" s="59">
        <v>0</v>
      </c>
      <c r="OF6" s="59">
        <v>0</v>
      </c>
      <c r="OG6" s="59">
        <v>0</v>
      </c>
      <c r="OH6" s="2">
        <f t="shared" ref="OH6:OH12" si="198">OH32+$B44</f>
        <v>12.5</v>
      </c>
      <c r="OI6" s="2">
        <f t="shared" ref="OI6:OI12" si="199">OI32+$C44</f>
        <v>12.5</v>
      </c>
      <c r="OJ6" s="2">
        <f t="shared" ref="OJ6:OJ12" si="200">OJ32+$D44</f>
        <v>12.5</v>
      </c>
      <c r="OK6" s="2">
        <f t="shared" ref="OK6:OK12" si="201">OK32+$E44</f>
        <v>25</v>
      </c>
      <c r="OL6" s="2">
        <f t="shared" ref="OL6:OL12" si="202">OL32+$F44</f>
        <v>25</v>
      </c>
      <c r="OM6" s="2">
        <f t="shared" ref="OM6:OM12" si="203">OM32+$G44</f>
        <v>25</v>
      </c>
      <c r="ON6" s="2">
        <f t="shared" ref="ON6:ON12" si="204">ON32+$H44</f>
        <v>25</v>
      </c>
      <c r="OO6" s="2">
        <f t="shared" ref="OO6:OO12" si="205">OO32+$I44</f>
        <v>25</v>
      </c>
      <c r="OP6" s="2">
        <f t="shared" ref="OP6:OP12" si="206">OP32+$J44</f>
        <v>25</v>
      </c>
      <c r="OQ6" s="2">
        <f t="shared" ref="OQ6:OQ12" si="207">OQ32+$K44</f>
        <v>50</v>
      </c>
      <c r="OR6" s="2">
        <f t="shared" ref="OR6:OR12" si="208">OR32+$L44</f>
        <v>25</v>
      </c>
      <c r="OS6" s="59">
        <v>0</v>
      </c>
      <c r="OT6" s="59">
        <v>0</v>
      </c>
      <c r="OU6" s="59">
        <v>0</v>
      </c>
      <c r="OV6" s="59">
        <v>0</v>
      </c>
      <c r="OW6" s="59">
        <v>0</v>
      </c>
      <c r="OX6" s="59">
        <v>0</v>
      </c>
      <c r="OY6" s="59">
        <v>0</v>
      </c>
      <c r="OZ6" s="59">
        <v>0</v>
      </c>
      <c r="PA6" s="59">
        <v>0</v>
      </c>
      <c r="PB6" s="59">
        <v>0</v>
      </c>
      <c r="PC6" s="59">
        <v>0</v>
      </c>
      <c r="PD6" s="2">
        <f t="shared" ref="PD6:PD12" si="209">PD32+$B44</f>
        <v>12.5</v>
      </c>
      <c r="PE6" s="2">
        <f t="shared" ref="PE6:PE12" si="210">PE32+$C44</f>
        <v>12.5</v>
      </c>
      <c r="PF6" s="2">
        <f t="shared" ref="PF6:PF12" si="211">PF32+$D44</f>
        <v>12.5</v>
      </c>
      <c r="PG6" s="2">
        <f t="shared" ref="PG6:PG12" si="212">PG32+$E44</f>
        <v>25</v>
      </c>
      <c r="PH6" s="2">
        <f t="shared" ref="PH6:PH12" si="213">PH32+$F44</f>
        <v>25</v>
      </c>
      <c r="PI6" s="2">
        <f t="shared" ref="PI6:PI12" si="214">PI32+$G44</f>
        <v>25</v>
      </c>
      <c r="PJ6" s="2">
        <f t="shared" ref="PJ6:PJ12" si="215">PJ32+$H44</f>
        <v>25</v>
      </c>
      <c r="PK6" s="2">
        <f t="shared" ref="PK6:PK12" si="216">PK32+$I44</f>
        <v>25</v>
      </c>
      <c r="PL6" s="2">
        <f t="shared" ref="PL6:PL12" si="217">PL32+$J44</f>
        <v>25</v>
      </c>
      <c r="PM6" s="2">
        <f t="shared" ref="PM6:PM12" si="218">PM32+$K44</f>
        <v>50</v>
      </c>
      <c r="PN6" s="2">
        <f t="shared" ref="PN6:PN12" si="219">PN32+$L44</f>
        <v>25</v>
      </c>
      <c r="PO6" s="59">
        <v>0</v>
      </c>
      <c r="PP6" s="59">
        <v>0</v>
      </c>
      <c r="PQ6" s="59">
        <v>0</v>
      </c>
      <c r="PR6" s="59">
        <v>0</v>
      </c>
      <c r="PS6" s="59">
        <v>0</v>
      </c>
      <c r="PT6" s="59">
        <v>0</v>
      </c>
      <c r="PU6" s="59">
        <v>0</v>
      </c>
      <c r="PV6" s="59">
        <v>0</v>
      </c>
      <c r="PW6" s="59">
        <v>0</v>
      </c>
      <c r="PX6" s="59">
        <v>0</v>
      </c>
      <c r="PY6" s="59">
        <v>0</v>
      </c>
      <c r="PZ6" s="2">
        <f t="shared" ref="PZ6:PZ12" si="220">PZ32+$B44</f>
        <v>12.5</v>
      </c>
      <c r="QA6" s="2">
        <f t="shared" ref="QA6:QA12" si="221">QA32+$C44</f>
        <v>12.5</v>
      </c>
      <c r="QB6" s="2">
        <f t="shared" ref="QB6:QB12" si="222">QB32+$D44</f>
        <v>12.5</v>
      </c>
      <c r="QC6" s="2">
        <f t="shared" ref="QC6:QC12" si="223">QC32+$E44</f>
        <v>25</v>
      </c>
      <c r="QD6" s="2">
        <f t="shared" ref="QD6:QD12" si="224">QD32+$F44</f>
        <v>25</v>
      </c>
      <c r="QE6" s="2">
        <f t="shared" ref="QE6:QE12" si="225">QE32+$G44</f>
        <v>25</v>
      </c>
      <c r="QF6" s="2">
        <f t="shared" ref="QF6:QF12" si="226">QF32+$H44</f>
        <v>25</v>
      </c>
      <c r="QG6" s="2">
        <f t="shared" ref="QG6:QG12" si="227">QG32+$I44</f>
        <v>25</v>
      </c>
      <c r="QH6" s="2">
        <f t="shared" ref="QH6:QH12" si="228">QH32+$J44</f>
        <v>25</v>
      </c>
      <c r="QI6" s="2">
        <f t="shared" ref="QI6:QI12" si="229">QI32+$K44</f>
        <v>50</v>
      </c>
      <c r="QJ6" s="2">
        <f t="shared" ref="QJ6:QJ12" si="230">QJ32+$L44</f>
        <v>25</v>
      </c>
      <c r="QK6" s="59">
        <v>0</v>
      </c>
      <c r="QL6" s="59">
        <v>0</v>
      </c>
      <c r="QM6" s="59">
        <v>0</v>
      </c>
      <c r="QN6" s="59">
        <v>0</v>
      </c>
      <c r="QO6" s="59">
        <v>0</v>
      </c>
      <c r="QP6" s="59">
        <v>0</v>
      </c>
      <c r="QQ6" s="59">
        <v>0</v>
      </c>
      <c r="QR6" s="59">
        <v>0</v>
      </c>
      <c r="QS6" s="59">
        <v>0</v>
      </c>
      <c r="QT6" s="59">
        <v>0</v>
      </c>
      <c r="QU6" s="59">
        <v>0</v>
      </c>
      <c r="QV6" s="2">
        <f t="shared" ref="QV6:QV12" si="231">QV32+$B44</f>
        <v>12.5</v>
      </c>
      <c r="QW6" s="2">
        <f t="shared" ref="QW6:QW12" si="232">QW32+$C44</f>
        <v>12.5</v>
      </c>
      <c r="QX6" s="2">
        <f t="shared" ref="QX6:QX12" si="233">QX32+$D44</f>
        <v>12.5</v>
      </c>
      <c r="QY6" s="2">
        <f t="shared" ref="QY6:QY12" si="234">QY32+$E44</f>
        <v>25</v>
      </c>
      <c r="QZ6" s="2">
        <f t="shared" ref="QZ6:QZ12" si="235">QZ32+$F44</f>
        <v>25</v>
      </c>
      <c r="RA6" s="2">
        <f t="shared" ref="RA6:RA12" si="236">RA32+$G44</f>
        <v>25</v>
      </c>
      <c r="RB6" s="2">
        <f t="shared" ref="RB6:RB12" si="237">RB32+$H44</f>
        <v>25</v>
      </c>
      <c r="RC6" s="2">
        <f t="shared" ref="RC6:RC12" si="238">RC32+$I44</f>
        <v>25</v>
      </c>
      <c r="RD6" s="2">
        <f t="shared" ref="RD6:RD12" si="239">RD32+$J44</f>
        <v>25</v>
      </c>
      <c r="RE6" s="2">
        <f t="shared" ref="RE6:RE12" si="240">RE32+$K44</f>
        <v>50</v>
      </c>
      <c r="RF6" s="2">
        <f t="shared" ref="RF6:RF12" si="241">RF32+$L44</f>
        <v>25</v>
      </c>
      <c r="RG6" s="59">
        <v>0</v>
      </c>
      <c r="RH6" s="59">
        <v>0</v>
      </c>
      <c r="RI6" s="59">
        <v>0</v>
      </c>
      <c r="RJ6" s="59">
        <v>0</v>
      </c>
      <c r="RK6" s="59">
        <v>0</v>
      </c>
      <c r="RL6" s="59">
        <v>0</v>
      </c>
      <c r="RM6" s="59">
        <v>0</v>
      </c>
      <c r="RN6" s="59">
        <v>0</v>
      </c>
      <c r="RO6" s="59">
        <v>0</v>
      </c>
      <c r="RP6" s="59">
        <v>0</v>
      </c>
      <c r="RQ6" s="59">
        <v>0</v>
      </c>
      <c r="RR6" s="2">
        <f t="shared" ref="RR6:RR12" si="242">RR32+$B44</f>
        <v>12.5</v>
      </c>
      <c r="RS6" s="2">
        <f t="shared" ref="RS6:RS12" si="243">RS32+$C44</f>
        <v>12.5</v>
      </c>
      <c r="RT6" s="2">
        <f t="shared" ref="RT6:RT12" si="244">RT32+$D44</f>
        <v>12.5</v>
      </c>
      <c r="RU6" s="2">
        <f t="shared" ref="RU6:RU12" si="245">RU32+$E44</f>
        <v>25</v>
      </c>
      <c r="RV6" s="2">
        <f t="shared" ref="RV6:RV12" si="246">RV32+$F44</f>
        <v>25</v>
      </c>
      <c r="RW6" s="2">
        <f t="shared" ref="RW6:RW12" si="247">RW32+$G44</f>
        <v>25</v>
      </c>
      <c r="RX6" s="2">
        <f t="shared" ref="RX6:RX12" si="248">RX32+$H44</f>
        <v>25</v>
      </c>
      <c r="RY6" s="2">
        <f t="shared" ref="RY6:RY12" si="249">RY32+$I44</f>
        <v>25</v>
      </c>
      <c r="RZ6" s="2">
        <f t="shared" ref="RZ6:RZ12" si="250">RZ32+$J44</f>
        <v>25</v>
      </c>
      <c r="SA6" s="2">
        <f t="shared" ref="SA6:SA12" si="251">SA32+$K44</f>
        <v>50</v>
      </c>
      <c r="SB6" s="2">
        <f t="shared" ref="SB6:SB12" si="252">SB32+$L44</f>
        <v>25</v>
      </c>
      <c r="SC6" s="59">
        <v>0</v>
      </c>
      <c r="SD6" s="59">
        <v>0</v>
      </c>
      <c r="SE6" s="59">
        <v>0</v>
      </c>
      <c r="SF6" s="59">
        <v>0</v>
      </c>
      <c r="SG6" s="59">
        <v>0</v>
      </c>
      <c r="SH6" s="59">
        <v>0</v>
      </c>
      <c r="SI6" s="59">
        <v>0</v>
      </c>
      <c r="SJ6" s="59">
        <v>0</v>
      </c>
      <c r="SK6" s="59">
        <v>0</v>
      </c>
      <c r="SL6" s="59">
        <v>0</v>
      </c>
      <c r="SM6" s="59">
        <v>0</v>
      </c>
      <c r="SN6" s="2">
        <f t="shared" ref="SN6:SN12" si="253">SN32+$B44</f>
        <v>12.5</v>
      </c>
      <c r="SO6" s="2">
        <f t="shared" ref="SO6:SO12" si="254">SO32+$C44</f>
        <v>12.5</v>
      </c>
      <c r="SP6" s="2">
        <f t="shared" ref="SP6:SP12" si="255">SP32+$D44</f>
        <v>12.5</v>
      </c>
      <c r="SQ6" s="2">
        <f t="shared" ref="SQ6:SQ12" si="256">SQ32+$E44</f>
        <v>25</v>
      </c>
      <c r="SR6" s="2">
        <f t="shared" ref="SR6:SR12" si="257">SR32+$F44</f>
        <v>25</v>
      </c>
      <c r="SS6" s="2">
        <f t="shared" ref="SS6:SS12" si="258">SS32+$G44</f>
        <v>25</v>
      </c>
      <c r="ST6" s="2">
        <f t="shared" ref="ST6:ST12" si="259">ST32+$H44</f>
        <v>25</v>
      </c>
      <c r="SU6" s="2">
        <f t="shared" ref="SU6:SU12" si="260">SU32+$I44</f>
        <v>25</v>
      </c>
      <c r="SV6" s="2">
        <f t="shared" ref="SV6:SV12" si="261">SV32+$J44</f>
        <v>25</v>
      </c>
      <c r="SW6" s="2">
        <f t="shared" ref="SW6:SW12" si="262">SW32+$K44</f>
        <v>50</v>
      </c>
      <c r="SX6" s="2">
        <f t="shared" ref="SX6:SX12" si="263">SX32+$L44</f>
        <v>25</v>
      </c>
      <c r="SY6" s="59">
        <v>0</v>
      </c>
      <c r="SZ6" s="59">
        <v>0</v>
      </c>
      <c r="TA6" s="59">
        <v>0</v>
      </c>
      <c r="TB6" s="59">
        <v>0</v>
      </c>
      <c r="TC6" s="59">
        <v>0</v>
      </c>
      <c r="TD6" s="59">
        <v>0</v>
      </c>
      <c r="TE6" s="59">
        <v>0</v>
      </c>
      <c r="TF6" s="59">
        <v>0</v>
      </c>
      <c r="TG6" s="59">
        <v>0</v>
      </c>
      <c r="TH6" s="59">
        <v>0</v>
      </c>
      <c r="TI6" s="59">
        <v>0</v>
      </c>
      <c r="TJ6" s="2">
        <f t="shared" ref="TJ6:TJ12" si="264">TJ32+$B44</f>
        <v>12.5</v>
      </c>
      <c r="TK6" s="2">
        <f t="shared" ref="TK6:TK12" si="265">TK32+$C44</f>
        <v>12.5</v>
      </c>
      <c r="TL6" s="2">
        <f t="shared" ref="TL6:TL12" si="266">TL32+$D44</f>
        <v>12.5</v>
      </c>
      <c r="TM6" s="2">
        <f t="shared" ref="TM6:TM12" si="267">TM32+$E44</f>
        <v>25</v>
      </c>
      <c r="TN6" s="2">
        <f t="shared" ref="TN6:TN12" si="268">TN32+$F44</f>
        <v>25</v>
      </c>
      <c r="TO6" s="2">
        <f t="shared" ref="TO6:TO12" si="269">TO32+$G44</f>
        <v>25</v>
      </c>
      <c r="TP6" s="2">
        <f t="shared" ref="TP6:TP12" si="270">TP32+$H44</f>
        <v>25</v>
      </c>
      <c r="TQ6" s="2">
        <f t="shared" ref="TQ6:TQ12" si="271">TQ32+$I44</f>
        <v>25</v>
      </c>
      <c r="TR6" s="2">
        <f t="shared" ref="TR6:TR12" si="272">TR32+$J44</f>
        <v>25</v>
      </c>
      <c r="TS6" s="2">
        <f t="shared" ref="TS6:TS12" si="273">TS32+$K44</f>
        <v>50</v>
      </c>
      <c r="TT6" s="2">
        <f t="shared" ref="TT6:TT12" si="274">TT32+$L44</f>
        <v>25</v>
      </c>
      <c r="TU6" s="59">
        <v>0</v>
      </c>
      <c r="TV6" s="59">
        <v>0</v>
      </c>
      <c r="TW6" s="59">
        <v>0</v>
      </c>
      <c r="TX6" s="59">
        <v>0</v>
      </c>
      <c r="TY6" s="59">
        <v>0</v>
      </c>
      <c r="TZ6" s="59">
        <v>0</v>
      </c>
      <c r="UA6" s="59">
        <v>0</v>
      </c>
      <c r="UB6" s="59">
        <v>0</v>
      </c>
      <c r="UC6" s="59">
        <v>0</v>
      </c>
      <c r="UD6" s="59">
        <v>0</v>
      </c>
      <c r="UE6" s="59">
        <v>0</v>
      </c>
      <c r="UF6" s="2">
        <f t="shared" ref="UF6:UF12" si="275">UF32+$B44</f>
        <v>12.5</v>
      </c>
      <c r="UG6" s="2">
        <f t="shared" ref="UG6:UG12" si="276">UG32+$C44</f>
        <v>12.5</v>
      </c>
      <c r="UH6" s="2">
        <f t="shared" ref="UH6:UH12" si="277">UH32+$D44</f>
        <v>12.5</v>
      </c>
      <c r="UI6" s="2">
        <f t="shared" ref="UI6:UI12" si="278">UI32+$E44</f>
        <v>25</v>
      </c>
      <c r="UJ6" s="2">
        <f t="shared" ref="UJ6:UJ12" si="279">UJ32+$F44</f>
        <v>25</v>
      </c>
      <c r="UK6" s="2">
        <f t="shared" ref="UK6:UK12" si="280">UK32+$G44</f>
        <v>25</v>
      </c>
      <c r="UL6" s="2">
        <f t="shared" ref="UL6:UL12" si="281">UL32+$H44</f>
        <v>25</v>
      </c>
      <c r="UM6" s="2">
        <f t="shared" ref="UM6:UM12" si="282">UM32+$I44</f>
        <v>25</v>
      </c>
      <c r="UN6" s="2">
        <f t="shared" ref="UN6:UN12" si="283">UN32+$J44</f>
        <v>25</v>
      </c>
      <c r="UO6" s="2">
        <f t="shared" ref="UO6:UO12" si="284">UO32+$K44</f>
        <v>50</v>
      </c>
      <c r="UP6" s="2">
        <f t="shared" ref="UP6:UP12" si="285">UP32+$L44</f>
        <v>25</v>
      </c>
      <c r="UQ6" s="59">
        <v>0</v>
      </c>
      <c r="UR6" s="59">
        <v>0</v>
      </c>
      <c r="US6" s="59">
        <v>0</v>
      </c>
      <c r="UT6" s="59">
        <v>0</v>
      </c>
      <c r="UU6" s="59">
        <v>0</v>
      </c>
      <c r="UV6" s="59">
        <v>0</v>
      </c>
      <c r="UW6" s="59">
        <v>0</v>
      </c>
      <c r="UX6" s="59">
        <v>0</v>
      </c>
      <c r="UY6" s="59">
        <v>0</v>
      </c>
      <c r="UZ6" s="59">
        <v>0</v>
      </c>
      <c r="VA6" s="59">
        <v>0</v>
      </c>
      <c r="VB6" s="2">
        <f t="shared" ref="VB6:VB12" si="286">VB32+$B44</f>
        <v>12.5</v>
      </c>
      <c r="VC6" s="2">
        <f t="shared" ref="VC6:VC12" si="287">VC32+$C44</f>
        <v>12.5</v>
      </c>
      <c r="VD6" s="2">
        <f t="shared" ref="VD6:VD12" si="288">VD32+$D44</f>
        <v>12.5</v>
      </c>
      <c r="VE6" s="2">
        <f t="shared" ref="VE6:VE12" si="289">VE32+$E44</f>
        <v>25</v>
      </c>
      <c r="VF6" s="2">
        <f t="shared" ref="VF6:VF12" si="290">VF32+$F44</f>
        <v>25</v>
      </c>
      <c r="VG6" s="2">
        <f t="shared" ref="VG6:VG12" si="291">VG32+$G44</f>
        <v>25</v>
      </c>
      <c r="VH6" s="2">
        <f t="shared" ref="VH6:VH12" si="292">VH32+$H44</f>
        <v>25</v>
      </c>
      <c r="VI6" s="2">
        <f t="shared" ref="VI6:VI12" si="293">VI32+$I44</f>
        <v>25</v>
      </c>
      <c r="VJ6" s="2">
        <f t="shared" ref="VJ6:VJ12" si="294">VJ32+$J44</f>
        <v>25</v>
      </c>
      <c r="VK6" s="2">
        <f t="shared" ref="VK6:VK12" si="295">VK32+$K44</f>
        <v>50</v>
      </c>
      <c r="VL6" s="2">
        <f t="shared" ref="VL6:VL12" si="296">VL32+$L44</f>
        <v>25</v>
      </c>
      <c r="VM6" s="59">
        <v>0</v>
      </c>
      <c r="VN6" s="59">
        <v>0</v>
      </c>
      <c r="VO6" s="59">
        <v>0</v>
      </c>
      <c r="VP6" s="59">
        <v>0</v>
      </c>
      <c r="VQ6" s="59">
        <v>0</v>
      </c>
      <c r="VR6" s="59">
        <v>0</v>
      </c>
      <c r="VS6" s="59">
        <v>0</v>
      </c>
      <c r="VT6" s="59">
        <v>0</v>
      </c>
      <c r="VU6" s="59">
        <v>0</v>
      </c>
      <c r="VV6" s="59">
        <v>0</v>
      </c>
      <c r="VW6" s="59">
        <v>0</v>
      </c>
      <c r="VX6" s="2">
        <f t="shared" ref="VX6:VX12" si="297">VX32+$B44</f>
        <v>12.5</v>
      </c>
      <c r="VY6" s="2">
        <f t="shared" ref="VY6:VY12" si="298">VY32+$C44</f>
        <v>12.5</v>
      </c>
      <c r="VZ6" s="2">
        <f t="shared" ref="VZ6:VZ12" si="299">VZ32+$D44</f>
        <v>12.5</v>
      </c>
      <c r="WA6" s="2">
        <f t="shared" ref="WA6:WA12" si="300">WA32+$E44</f>
        <v>25</v>
      </c>
      <c r="WB6" s="2">
        <f t="shared" ref="WB6:WB12" si="301">WB32+$F44</f>
        <v>25</v>
      </c>
      <c r="WC6" s="2">
        <f t="shared" ref="WC6:WC12" si="302">WC32+$G44</f>
        <v>25</v>
      </c>
      <c r="WD6" s="2">
        <f t="shared" ref="WD6:WD12" si="303">WD32+$H44</f>
        <v>25</v>
      </c>
      <c r="WE6" s="2">
        <f t="shared" ref="WE6:WE12" si="304">WE32+$I44</f>
        <v>25</v>
      </c>
      <c r="WF6" s="2">
        <f t="shared" ref="WF6:WF12" si="305">WF32+$J44</f>
        <v>25</v>
      </c>
      <c r="WG6" s="2">
        <f t="shared" ref="WG6:WG12" si="306">WG32+$K44</f>
        <v>50</v>
      </c>
      <c r="WH6" s="2">
        <f t="shared" ref="WH6:WH12" si="307">WH32+$L44</f>
        <v>25</v>
      </c>
      <c r="WI6" s="59">
        <v>0</v>
      </c>
      <c r="WJ6" s="59">
        <v>0</v>
      </c>
      <c r="WK6" s="59">
        <v>0</v>
      </c>
      <c r="WL6" s="59">
        <v>0</v>
      </c>
      <c r="WM6" s="59">
        <v>0</v>
      </c>
      <c r="WN6" s="59">
        <v>0</v>
      </c>
      <c r="WO6" s="59">
        <v>0</v>
      </c>
      <c r="WP6" s="59">
        <v>0</v>
      </c>
      <c r="WQ6" s="59">
        <v>0</v>
      </c>
      <c r="WR6" s="59">
        <v>0</v>
      </c>
      <c r="WS6" s="59">
        <v>0</v>
      </c>
      <c r="WT6" s="2">
        <f t="shared" ref="WT6:WT12" si="308">WT32+$B44</f>
        <v>12.5</v>
      </c>
      <c r="WU6" s="2">
        <f t="shared" ref="WU6:WU12" si="309">WU32+$C44</f>
        <v>12.5</v>
      </c>
      <c r="WV6" s="2">
        <f t="shared" ref="WV6:WV12" si="310">WV32+$D44</f>
        <v>12.5</v>
      </c>
      <c r="WW6" s="2">
        <f t="shared" ref="WW6:WW12" si="311">WW32+$E44</f>
        <v>25</v>
      </c>
      <c r="WX6" s="2">
        <f t="shared" ref="WX6:WX12" si="312">WX32+$F44</f>
        <v>25</v>
      </c>
      <c r="WY6" s="2">
        <f t="shared" ref="WY6:WY12" si="313">WY32+$G44</f>
        <v>25</v>
      </c>
      <c r="WZ6" s="2">
        <f t="shared" ref="WZ6:WZ12" si="314">WZ32+$H44</f>
        <v>25</v>
      </c>
      <c r="XA6" s="2">
        <f t="shared" ref="XA6:XA12" si="315">XA32+$I44</f>
        <v>25</v>
      </c>
      <c r="XB6" s="2">
        <f t="shared" ref="XB6:XB12" si="316">XB32+$J44</f>
        <v>25</v>
      </c>
      <c r="XC6" s="2">
        <f t="shared" ref="XC6:XC12" si="317">XC32+$K44</f>
        <v>50</v>
      </c>
      <c r="XD6" s="2">
        <f t="shared" ref="XD6:XD12" si="318">XD32+$L44</f>
        <v>25</v>
      </c>
      <c r="XE6" s="59">
        <v>0</v>
      </c>
      <c r="XF6" s="59">
        <v>0</v>
      </c>
      <c r="XG6" s="59">
        <v>0</v>
      </c>
      <c r="XH6" s="59">
        <v>0</v>
      </c>
      <c r="XI6" s="59">
        <v>0</v>
      </c>
      <c r="XJ6" s="59">
        <v>0</v>
      </c>
      <c r="XK6" s="59">
        <v>0</v>
      </c>
      <c r="XL6" s="59">
        <v>0</v>
      </c>
      <c r="XM6" s="59">
        <v>0</v>
      </c>
      <c r="XN6" s="59">
        <v>0</v>
      </c>
      <c r="XO6" s="59">
        <v>0</v>
      </c>
      <c r="XP6" s="2">
        <f t="shared" ref="XP6:XP12" si="319">XP32+$B44</f>
        <v>12.5</v>
      </c>
      <c r="XQ6" s="2">
        <f t="shared" ref="XQ6:XQ12" si="320">XQ32+$C44</f>
        <v>12.5</v>
      </c>
      <c r="XR6" s="2">
        <f t="shared" ref="XR6:XR12" si="321">XR32+$D44</f>
        <v>12.5</v>
      </c>
      <c r="XS6" s="2">
        <f t="shared" ref="XS6:XS12" si="322">XS32+$E44</f>
        <v>25</v>
      </c>
      <c r="XT6" s="2">
        <f t="shared" ref="XT6:XT12" si="323">XT32+$F44</f>
        <v>25</v>
      </c>
      <c r="XU6" s="2">
        <f t="shared" ref="XU6:XU12" si="324">XU32+$G44</f>
        <v>25</v>
      </c>
      <c r="XV6" s="2">
        <f t="shared" ref="XV6:XV12" si="325">XV32+$H44</f>
        <v>25</v>
      </c>
      <c r="XW6" s="2">
        <f t="shared" ref="XW6:XW12" si="326">XW32+$I44</f>
        <v>25</v>
      </c>
      <c r="XX6" s="2">
        <f t="shared" ref="XX6:XX12" si="327">XX32+$J44</f>
        <v>25</v>
      </c>
      <c r="XY6" s="2">
        <f t="shared" ref="XY6:XY12" si="328">XY32+$K44</f>
        <v>50</v>
      </c>
      <c r="XZ6" s="2">
        <f t="shared" ref="XZ6:XZ12" si="329">XZ32+$L44</f>
        <v>25</v>
      </c>
      <c r="YA6" s="59">
        <v>0</v>
      </c>
      <c r="YB6" s="59">
        <v>0</v>
      </c>
      <c r="YC6" s="59">
        <v>0</v>
      </c>
      <c r="YD6" s="59">
        <v>0</v>
      </c>
      <c r="YE6" s="59">
        <v>0</v>
      </c>
      <c r="YF6" s="59">
        <v>0</v>
      </c>
      <c r="YG6" s="59">
        <v>0</v>
      </c>
      <c r="YH6" s="59">
        <v>0</v>
      </c>
      <c r="YI6" s="59">
        <v>0</v>
      </c>
      <c r="YJ6" s="59">
        <v>0</v>
      </c>
      <c r="YK6" s="59">
        <v>0</v>
      </c>
      <c r="YL6" s="2">
        <f t="shared" ref="YL6:YL12" si="330">YL32+$B44</f>
        <v>12.5</v>
      </c>
      <c r="YM6" s="2">
        <f t="shared" ref="YM6:YM12" si="331">YM32+$C44</f>
        <v>12.5</v>
      </c>
      <c r="YN6" s="2">
        <f t="shared" ref="YN6:YN12" si="332">YN32+$D44</f>
        <v>12.5</v>
      </c>
      <c r="YO6" s="2">
        <f t="shared" ref="YO6:YO12" si="333">YO32+$E44</f>
        <v>25</v>
      </c>
      <c r="YP6" s="2">
        <f t="shared" ref="YP6:YP12" si="334">YP32+$F44</f>
        <v>25</v>
      </c>
      <c r="YQ6" s="2">
        <f t="shared" ref="YQ6:YQ12" si="335">YQ32+$G44</f>
        <v>25</v>
      </c>
      <c r="YR6" s="2">
        <f t="shared" ref="YR6:YR12" si="336">YR32+$H44</f>
        <v>25</v>
      </c>
      <c r="YS6" s="2">
        <f t="shared" ref="YS6:YS12" si="337">YS32+$I44</f>
        <v>25</v>
      </c>
      <c r="YT6" s="2">
        <f t="shared" ref="YT6:YT12" si="338">YT32+$J44</f>
        <v>25</v>
      </c>
      <c r="YU6" s="2">
        <f t="shared" ref="YU6:YU12" si="339">YU32+$K44</f>
        <v>50</v>
      </c>
      <c r="YV6" s="2">
        <f t="shared" ref="YV6:YV12" si="340">YV32+$L44</f>
        <v>25</v>
      </c>
      <c r="YW6" s="59">
        <v>0</v>
      </c>
      <c r="YX6" s="59">
        <v>0</v>
      </c>
      <c r="YY6" s="59">
        <v>0</v>
      </c>
      <c r="YZ6" s="59">
        <v>0</v>
      </c>
      <c r="ZA6" s="59">
        <v>0</v>
      </c>
      <c r="ZB6" s="59">
        <v>0</v>
      </c>
      <c r="ZC6" s="59">
        <v>0</v>
      </c>
      <c r="ZD6" s="59">
        <v>0</v>
      </c>
      <c r="ZE6" s="59">
        <v>0</v>
      </c>
      <c r="ZF6" s="59">
        <v>0</v>
      </c>
      <c r="ZG6" s="59">
        <v>0</v>
      </c>
      <c r="ZH6" s="2">
        <f t="shared" ref="ZH6:ZH12" si="341">ZH32+$B44</f>
        <v>12.5</v>
      </c>
      <c r="ZI6" s="2">
        <f t="shared" ref="ZI6:ZI12" si="342">ZI32+$C44</f>
        <v>12.5</v>
      </c>
      <c r="ZJ6" s="2">
        <f t="shared" ref="ZJ6:ZJ12" si="343">ZJ32+$D44</f>
        <v>12.5</v>
      </c>
      <c r="ZK6" s="2">
        <f t="shared" ref="ZK6:ZK12" si="344">ZK32+$E44</f>
        <v>25</v>
      </c>
      <c r="ZL6" s="2">
        <f t="shared" ref="ZL6:ZL12" si="345">ZL32+$F44</f>
        <v>25</v>
      </c>
      <c r="ZM6" s="2">
        <f t="shared" ref="ZM6:ZM12" si="346">ZM32+$G44</f>
        <v>25</v>
      </c>
      <c r="ZN6" s="2">
        <f t="shared" ref="ZN6:ZN12" si="347">ZN32+$H44</f>
        <v>25</v>
      </c>
      <c r="ZO6" s="2">
        <f t="shared" ref="ZO6:ZO12" si="348">ZO32+$I44</f>
        <v>25</v>
      </c>
      <c r="ZP6" s="2">
        <f t="shared" ref="ZP6:ZP12" si="349">ZP32+$J44</f>
        <v>25</v>
      </c>
      <c r="ZQ6" s="2">
        <f t="shared" ref="ZQ6:ZQ12" si="350">ZQ32+$K44</f>
        <v>50</v>
      </c>
      <c r="ZR6" s="2">
        <f t="shared" ref="ZR6:ZR12" si="351">ZR32+$L44</f>
        <v>25</v>
      </c>
      <c r="ZS6" s="59">
        <v>0</v>
      </c>
      <c r="ZT6" s="59">
        <v>0</v>
      </c>
      <c r="ZU6" s="59">
        <v>0</v>
      </c>
      <c r="ZV6" s="59">
        <v>0</v>
      </c>
      <c r="ZW6" s="59">
        <v>0</v>
      </c>
      <c r="ZX6" s="59">
        <v>0</v>
      </c>
      <c r="ZY6" s="59">
        <v>0</v>
      </c>
      <c r="ZZ6" s="59">
        <v>0</v>
      </c>
      <c r="AAA6" s="59">
        <v>0</v>
      </c>
      <c r="AAB6" s="59">
        <v>0</v>
      </c>
      <c r="AAC6" s="59">
        <v>0</v>
      </c>
    </row>
    <row r="7" spans="1:705" x14ac:dyDescent="0.2">
      <c r="A7" s="1">
        <v>2</v>
      </c>
      <c r="B7" s="2">
        <f t="shared" si="0"/>
        <v>12.5</v>
      </c>
      <c r="C7" s="2">
        <f t="shared" si="1"/>
        <v>12.5</v>
      </c>
      <c r="D7" s="2">
        <f t="shared" si="2"/>
        <v>12.5</v>
      </c>
      <c r="E7" s="2">
        <f t="shared" si="3"/>
        <v>25</v>
      </c>
      <c r="F7" s="2">
        <f t="shared" si="4"/>
        <v>25</v>
      </c>
      <c r="G7" s="2">
        <f t="shared" si="5"/>
        <v>25</v>
      </c>
      <c r="H7" s="2">
        <f t="shared" si="6"/>
        <v>25</v>
      </c>
      <c r="I7" s="2">
        <f t="shared" si="7"/>
        <v>25</v>
      </c>
      <c r="J7" s="2">
        <f t="shared" si="8"/>
        <v>25</v>
      </c>
      <c r="K7" s="2">
        <f t="shared" si="9"/>
        <v>50</v>
      </c>
      <c r="L7" s="2">
        <f t="shared" si="10"/>
        <v>25</v>
      </c>
      <c r="M7" s="3">
        <v>0</v>
      </c>
      <c r="N7" s="3">
        <v>0</v>
      </c>
      <c r="O7" s="3">
        <v>0</v>
      </c>
      <c r="P7" s="3">
        <v>0</v>
      </c>
      <c r="Q7" s="3">
        <v>0</v>
      </c>
      <c r="R7" s="3">
        <v>0</v>
      </c>
      <c r="S7" s="3">
        <v>0</v>
      </c>
      <c r="T7" s="3">
        <v>0</v>
      </c>
      <c r="U7" s="3">
        <v>0</v>
      </c>
      <c r="V7" s="3">
        <v>0</v>
      </c>
      <c r="W7" s="3">
        <v>0</v>
      </c>
      <c r="X7" s="2">
        <f t="shared" si="11"/>
        <v>12.5</v>
      </c>
      <c r="Y7" s="2">
        <f t="shared" si="12"/>
        <v>12.5</v>
      </c>
      <c r="Z7" s="2">
        <f t="shared" si="13"/>
        <v>12.5</v>
      </c>
      <c r="AA7" s="2">
        <f t="shared" si="14"/>
        <v>25</v>
      </c>
      <c r="AB7" s="2">
        <f t="shared" si="15"/>
        <v>25</v>
      </c>
      <c r="AC7" s="2">
        <f t="shared" si="16"/>
        <v>25</v>
      </c>
      <c r="AD7" s="2">
        <f t="shared" si="17"/>
        <v>25</v>
      </c>
      <c r="AE7" s="2">
        <f t="shared" si="18"/>
        <v>25</v>
      </c>
      <c r="AF7" s="2">
        <f t="shared" si="19"/>
        <v>25</v>
      </c>
      <c r="AG7" s="2">
        <f t="shared" si="20"/>
        <v>50</v>
      </c>
      <c r="AH7" s="2">
        <f t="shared" si="21"/>
        <v>25</v>
      </c>
      <c r="AI7" s="3">
        <v>0</v>
      </c>
      <c r="AJ7" s="3">
        <v>0</v>
      </c>
      <c r="AK7" s="3">
        <v>0</v>
      </c>
      <c r="AL7" s="3">
        <v>0</v>
      </c>
      <c r="AM7" s="3">
        <v>0</v>
      </c>
      <c r="AN7" s="3">
        <v>0</v>
      </c>
      <c r="AO7" s="3">
        <v>0</v>
      </c>
      <c r="AP7" s="3">
        <v>0</v>
      </c>
      <c r="AQ7" s="3">
        <v>0</v>
      </c>
      <c r="AR7" s="3">
        <v>0</v>
      </c>
      <c r="AS7" s="3">
        <v>0</v>
      </c>
      <c r="AT7" s="2">
        <f t="shared" si="22"/>
        <v>12.5</v>
      </c>
      <c r="AU7" s="2">
        <f t="shared" si="23"/>
        <v>12.5</v>
      </c>
      <c r="AV7" s="2">
        <f t="shared" si="24"/>
        <v>12.5</v>
      </c>
      <c r="AW7" s="2">
        <f t="shared" si="25"/>
        <v>25</v>
      </c>
      <c r="AX7" s="2">
        <f t="shared" si="26"/>
        <v>25</v>
      </c>
      <c r="AY7" s="2">
        <f t="shared" si="27"/>
        <v>25</v>
      </c>
      <c r="AZ7" s="2">
        <f t="shared" si="28"/>
        <v>25</v>
      </c>
      <c r="BA7" s="2">
        <f t="shared" si="29"/>
        <v>25</v>
      </c>
      <c r="BB7" s="2">
        <f t="shared" si="30"/>
        <v>25</v>
      </c>
      <c r="BC7" s="2">
        <f t="shared" si="31"/>
        <v>50</v>
      </c>
      <c r="BD7" s="2">
        <f t="shared" si="32"/>
        <v>25</v>
      </c>
      <c r="BE7" s="3">
        <v>0</v>
      </c>
      <c r="BF7" s="3">
        <v>0</v>
      </c>
      <c r="BG7" s="3">
        <v>0</v>
      </c>
      <c r="BH7" s="3">
        <v>0</v>
      </c>
      <c r="BI7" s="3">
        <v>0</v>
      </c>
      <c r="BJ7" s="3">
        <v>0</v>
      </c>
      <c r="BK7" s="3">
        <v>0</v>
      </c>
      <c r="BL7" s="3">
        <v>0</v>
      </c>
      <c r="BM7" s="3">
        <v>0</v>
      </c>
      <c r="BN7" s="3">
        <v>0</v>
      </c>
      <c r="BO7" s="3">
        <v>0</v>
      </c>
      <c r="BP7" s="2">
        <f t="shared" si="33"/>
        <v>12.5</v>
      </c>
      <c r="BQ7" s="2">
        <f t="shared" si="34"/>
        <v>12.5</v>
      </c>
      <c r="BR7" s="2">
        <f t="shared" si="35"/>
        <v>12.5</v>
      </c>
      <c r="BS7" s="2">
        <f t="shared" si="36"/>
        <v>25</v>
      </c>
      <c r="BT7" s="2">
        <f t="shared" si="37"/>
        <v>25</v>
      </c>
      <c r="BU7" s="2">
        <f t="shared" si="38"/>
        <v>25</v>
      </c>
      <c r="BV7" s="2">
        <f t="shared" si="39"/>
        <v>25</v>
      </c>
      <c r="BW7" s="2">
        <f t="shared" si="40"/>
        <v>25</v>
      </c>
      <c r="BX7" s="2">
        <f t="shared" si="41"/>
        <v>25</v>
      </c>
      <c r="BY7" s="2">
        <f t="shared" si="42"/>
        <v>50</v>
      </c>
      <c r="BZ7" s="2">
        <f t="shared" si="43"/>
        <v>25</v>
      </c>
      <c r="CA7" s="3">
        <v>0</v>
      </c>
      <c r="CB7" s="3">
        <v>0</v>
      </c>
      <c r="CC7" s="3">
        <v>0</v>
      </c>
      <c r="CD7" s="3">
        <v>0</v>
      </c>
      <c r="CE7" s="3">
        <v>0</v>
      </c>
      <c r="CF7" s="3">
        <v>0</v>
      </c>
      <c r="CG7" s="3">
        <v>0</v>
      </c>
      <c r="CH7" s="3">
        <v>0</v>
      </c>
      <c r="CI7" s="3">
        <v>0</v>
      </c>
      <c r="CJ7" s="3">
        <v>0</v>
      </c>
      <c r="CK7" s="3">
        <v>0</v>
      </c>
      <c r="CL7" s="2">
        <f t="shared" si="44"/>
        <v>12.5</v>
      </c>
      <c r="CM7" s="2">
        <f t="shared" si="45"/>
        <v>12.5</v>
      </c>
      <c r="CN7" s="2">
        <f t="shared" si="46"/>
        <v>12.5</v>
      </c>
      <c r="CO7" s="2">
        <f t="shared" si="47"/>
        <v>25</v>
      </c>
      <c r="CP7" s="2">
        <f t="shared" si="48"/>
        <v>25</v>
      </c>
      <c r="CQ7" s="2">
        <f t="shared" si="49"/>
        <v>25</v>
      </c>
      <c r="CR7" s="2">
        <f t="shared" si="50"/>
        <v>25</v>
      </c>
      <c r="CS7" s="2">
        <f t="shared" si="51"/>
        <v>25</v>
      </c>
      <c r="CT7" s="2">
        <f t="shared" si="52"/>
        <v>25</v>
      </c>
      <c r="CU7" s="2">
        <f t="shared" si="53"/>
        <v>50</v>
      </c>
      <c r="CV7" s="2">
        <f t="shared" si="54"/>
        <v>25</v>
      </c>
      <c r="CW7" s="3">
        <v>0</v>
      </c>
      <c r="CX7" s="3">
        <v>0</v>
      </c>
      <c r="CY7" s="3">
        <v>0</v>
      </c>
      <c r="CZ7" s="3">
        <v>0</v>
      </c>
      <c r="DA7" s="3">
        <v>0</v>
      </c>
      <c r="DB7" s="3">
        <v>0</v>
      </c>
      <c r="DC7" s="3">
        <v>0</v>
      </c>
      <c r="DD7" s="3">
        <v>0</v>
      </c>
      <c r="DE7" s="3">
        <v>0</v>
      </c>
      <c r="DF7" s="3">
        <v>0</v>
      </c>
      <c r="DG7" s="3">
        <v>0</v>
      </c>
      <c r="DH7" s="2">
        <f t="shared" si="55"/>
        <v>12.5</v>
      </c>
      <c r="DI7" s="2">
        <f t="shared" si="56"/>
        <v>12.5</v>
      </c>
      <c r="DJ7" s="2">
        <f t="shared" si="57"/>
        <v>12.5</v>
      </c>
      <c r="DK7" s="2">
        <f t="shared" si="58"/>
        <v>25</v>
      </c>
      <c r="DL7" s="2">
        <f t="shared" si="59"/>
        <v>25</v>
      </c>
      <c r="DM7" s="2">
        <f t="shared" si="60"/>
        <v>25</v>
      </c>
      <c r="DN7" s="2">
        <f t="shared" si="61"/>
        <v>25</v>
      </c>
      <c r="DO7" s="2">
        <f t="shared" si="62"/>
        <v>25</v>
      </c>
      <c r="DP7" s="2">
        <f t="shared" si="63"/>
        <v>25</v>
      </c>
      <c r="DQ7" s="2">
        <f t="shared" si="64"/>
        <v>50</v>
      </c>
      <c r="DR7" s="2">
        <f t="shared" si="65"/>
        <v>25</v>
      </c>
      <c r="DS7" s="3">
        <v>0</v>
      </c>
      <c r="DT7" s="3">
        <v>0</v>
      </c>
      <c r="DU7" s="3">
        <v>0</v>
      </c>
      <c r="DV7" s="3">
        <v>0</v>
      </c>
      <c r="DW7" s="3">
        <v>0</v>
      </c>
      <c r="DX7" s="3">
        <v>0</v>
      </c>
      <c r="DY7" s="3">
        <v>0</v>
      </c>
      <c r="DZ7" s="3">
        <v>0</v>
      </c>
      <c r="EA7" s="3">
        <v>0</v>
      </c>
      <c r="EB7" s="3">
        <v>0</v>
      </c>
      <c r="EC7" s="3">
        <v>0</v>
      </c>
      <c r="ED7" s="2">
        <f t="shared" si="66"/>
        <v>12.5</v>
      </c>
      <c r="EE7" s="2">
        <f t="shared" si="67"/>
        <v>12.5</v>
      </c>
      <c r="EF7" s="2">
        <f t="shared" si="68"/>
        <v>12.5</v>
      </c>
      <c r="EG7" s="2">
        <f t="shared" si="69"/>
        <v>25</v>
      </c>
      <c r="EH7" s="2">
        <f t="shared" si="70"/>
        <v>25</v>
      </c>
      <c r="EI7" s="2">
        <f t="shared" si="71"/>
        <v>25</v>
      </c>
      <c r="EJ7" s="2">
        <f t="shared" si="72"/>
        <v>25</v>
      </c>
      <c r="EK7" s="2">
        <f t="shared" si="73"/>
        <v>25</v>
      </c>
      <c r="EL7" s="2">
        <f t="shared" si="74"/>
        <v>25</v>
      </c>
      <c r="EM7" s="2">
        <f t="shared" si="75"/>
        <v>50</v>
      </c>
      <c r="EN7" s="2">
        <f t="shared" si="76"/>
        <v>25</v>
      </c>
      <c r="EO7" s="3">
        <v>0</v>
      </c>
      <c r="EP7" s="3">
        <v>0</v>
      </c>
      <c r="EQ7" s="3">
        <v>0</v>
      </c>
      <c r="ER7" s="3">
        <v>0</v>
      </c>
      <c r="ES7" s="3">
        <v>0</v>
      </c>
      <c r="ET7" s="3">
        <v>0</v>
      </c>
      <c r="EU7" s="3">
        <v>0</v>
      </c>
      <c r="EV7" s="3">
        <v>0</v>
      </c>
      <c r="EW7" s="3">
        <v>0</v>
      </c>
      <c r="EX7" s="3">
        <v>0</v>
      </c>
      <c r="EY7" s="3">
        <v>0</v>
      </c>
      <c r="EZ7" s="2">
        <f t="shared" si="77"/>
        <v>12.5</v>
      </c>
      <c r="FA7" s="2">
        <f t="shared" si="78"/>
        <v>12.5</v>
      </c>
      <c r="FB7" s="2">
        <f t="shared" si="79"/>
        <v>12.5</v>
      </c>
      <c r="FC7" s="2">
        <f t="shared" si="80"/>
        <v>25</v>
      </c>
      <c r="FD7" s="2">
        <f t="shared" si="81"/>
        <v>25</v>
      </c>
      <c r="FE7" s="2">
        <f t="shared" si="82"/>
        <v>25</v>
      </c>
      <c r="FF7" s="2">
        <f t="shared" si="83"/>
        <v>25</v>
      </c>
      <c r="FG7" s="2">
        <f t="shared" si="84"/>
        <v>25</v>
      </c>
      <c r="FH7" s="2">
        <f t="shared" si="85"/>
        <v>25</v>
      </c>
      <c r="FI7" s="2">
        <f t="shared" si="86"/>
        <v>50</v>
      </c>
      <c r="FJ7" s="2">
        <f t="shared" si="87"/>
        <v>25</v>
      </c>
      <c r="FK7" s="3">
        <v>0</v>
      </c>
      <c r="FL7" s="3">
        <v>0</v>
      </c>
      <c r="FM7" s="3">
        <v>0</v>
      </c>
      <c r="FN7" s="3">
        <v>0</v>
      </c>
      <c r="FO7" s="3">
        <v>0</v>
      </c>
      <c r="FP7" s="3">
        <v>0</v>
      </c>
      <c r="FQ7" s="3">
        <v>0</v>
      </c>
      <c r="FR7" s="3">
        <v>0</v>
      </c>
      <c r="FS7" s="3">
        <v>0</v>
      </c>
      <c r="FT7" s="3">
        <v>0</v>
      </c>
      <c r="FU7" s="3">
        <v>0</v>
      </c>
      <c r="FV7" s="2">
        <f t="shared" si="88"/>
        <v>12.5</v>
      </c>
      <c r="FW7" s="2">
        <f t="shared" si="89"/>
        <v>12.5</v>
      </c>
      <c r="FX7" s="2">
        <f t="shared" si="90"/>
        <v>12.5</v>
      </c>
      <c r="FY7" s="2">
        <f t="shared" si="91"/>
        <v>25</v>
      </c>
      <c r="FZ7" s="2">
        <f t="shared" si="92"/>
        <v>25</v>
      </c>
      <c r="GA7" s="2">
        <f t="shared" si="93"/>
        <v>25</v>
      </c>
      <c r="GB7" s="2">
        <f t="shared" si="94"/>
        <v>25</v>
      </c>
      <c r="GC7" s="2">
        <f t="shared" si="95"/>
        <v>25</v>
      </c>
      <c r="GD7" s="2">
        <f t="shared" si="96"/>
        <v>25</v>
      </c>
      <c r="GE7" s="2">
        <f t="shared" si="97"/>
        <v>50</v>
      </c>
      <c r="GF7" s="2">
        <f t="shared" si="98"/>
        <v>25</v>
      </c>
      <c r="GG7" s="3">
        <v>0</v>
      </c>
      <c r="GH7" s="3">
        <v>0</v>
      </c>
      <c r="GI7" s="3">
        <v>0</v>
      </c>
      <c r="GJ7" s="3">
        <v>0</v>
      </c>
      <c r="GK7" s="3">
        <v>0</v>
      </c>
      <c r="GL7" s="3">
        <v>0</v>
      </c>
      <c r="GM7" s="3">
        <v>0</v>
      </c>
      <c r="GN7" s="3">
        <v>0</v>
      </c>
      <c r="GO7" s="3">
        <v>0</v>
      </c>
      <c r="GP7" s="3">
        <v>0</v>
      </c>
      <c r="GQ7" s="3">
        <v>0</v>
      </c>
      <c r="GR7" s="2">
        <f t="shared" si="99"/>
        <v>12.5</v>
      </c>
      <c r="GS7" s="2">
        <f t="shared" si="100"/>
        <v>12.5</v>
      </c>
      <c r="GT7" s="2">
        <f t="shared" si="101"/>
        <v>12.5</v>
      </c>
      <c r="GU7" s="2">
        <f t="shared" si="102"/>
        <v>25</v>
      </c>
      <c r="GV7" s="2">
        <f t="shared" si="103"/>
        <v>25</v>
      </c>
      <c r="GW7" s="2">
        <f t="shared" si="104"/>
        <v>25</v>
      </c>
      <c r="GX7" s="2">
        <f t="shared" si="105"/>
        <v>25</v>
      </c>
      <c r="GY7" s="2">
        <f t="shared" si="106"/>
        <v>25</v>
      </c>
      <c r="GZ7" s="2">
        <f t="shared" si="107"/>
        <v>25</v>
      </c>
      <c r="HA7" s="2">
        <f t="shared" si="108"/>
        <v>50</v>
      </c>
      <c r="HB7" s="2">
        <f t="shared" si="109"/>
        <v>25</v>
      </c>
      <c r="HC7" s="3">
        <v>0</v>
      </c>
      <c r="HD7" s="3">
        <v>0</v>
      </c>
      <c r="HE7" s="3">
        <v>0</v>
      </c>
      <c r="HF7" s="3">
        <v>0</v>
      </c>
      <c r="HG7" s="3">
        <v>0</v>
      </c>
      <c r="HH7" s="3">
        <v>0</v>
      </c>
      <c r="HI7" s="3">
        <v>0</v>
      </c>
      <c r="HJ7" s="3">
        <v>0</v>
      </c>
      <c r="HK7" s="3">
        <v>0</v>
      </c>
      <c r="HL7" s="3">
        <v>0</v>
      </c>
      <c r="HM7" s="3">
        <v>0</v>
      </c>
      <c r="HN7" s="2">
        <f t="shared" si="110"/>
        <v>12.5</v>
      </c>
      <c r="HO7" s="2">
        <f t="shared" si="111"/>
        <v>12.5</v>
      </c>
      <c r="HP7" s="2">
        <f t="shared" si="112"/>
        <v>12.5</v>
      </c>
      <c r="HQ7" s="2">
        <f t="shared" si="113"/>
        <v>25</v>
      </c>
      <c r="HR7" s="2">
        <f t="shared" si="114"/>
        <v>25</v>
      </c>
      <c r="HS7" s="2">
        <f t="shared" si="115"/>
        <v>25</v>
      </c>
      <c r="HT7" s="2">
        <f t="shared" si="116"/>
        <v>25</v>
      </c>
      <c r="HU7" s="2">
        <f t="shared" si="117"/>
        <v>25</v>
      </c>
      <c r="HV7" s="2">
        <f t="shared" si="118"/>
        <v>25</v>
      </c>
      <c r="HW7" s="2">
        <f t="shared" si="119"/>
        <v>50</v>
      </c>
      <c r="HX7" s="2">
        <f t="shared" si="120"/>
        <v>25</v>
      </c>
      <c r="HY7" s="3">
        <v>0</v>
      </c>
      <c r="HZ7" s="3">
        <v>0</v>
      </c>
      <c r="IA7" s="3">
        <v>0</v>
      </c>
      <c r="IB7" s="3">
        <v>0</v>
      </c>
      <c r="IC7" s="3">
        <v>0</v>
      </c>
      <c r="ID7" s="3">
        <v>0</v>
      </c>
      <c r="IE7" s="3">
        <v>0</v>
      </c>
      <c r="IF7" s="3">
        <v>0</v>
      </c>
      <c r="IG7" s="3">
        <v>0</v>
      </c>
      <c r="IH7" s="3">
        <v>0</v>
      </c>
      <c r="II7" s="3">
        <v>0</v>
      </c>
      <c r="IJ7" s="2">
        <f t="shared" si="121"/>
        <v>12.5</v>
      </c>
      <c r="IK7" s="2">
        <f t="shared" si="122"/>
        <v>12.5</v>
      </c>
      <c r="IL7" s="2">
        <f t="shared" si="123"/>
        <v>12.5</v>
      </c>
      <c r="IM7" s="2">
        <f t="shared" si="124"/>
        <v>25</v>
      </c>
      <c r="IN7" s="2">
        <f t="shared" si="125"/>
        <v>25</v>
      </c>
      <c r="IO7" s="2">
        <f t="shared" si="126"/>
        <v>25</v>
      </c>
      <c r="IP7" s="2">
        <f t="shared" si="127"/>
        <v>25</v>
      </c>
      <c r="IQ7" s="2">
        <f t="shared" si="128"/>
        <v>25</v>
      </c>
      <c r="IR7" s="2">
        <f t="shared" si="129"/>
        <v>25</v>
      </c>
      <c r="IS7" s="2">
        <f t="shared" si="130"/>
        <v>50</v>
      </c>
      <c r="IT7" s="2">
        <f t="shared" si="131"/>
        <v>25</v>
      </c>
      <c r="IU7" s="3">
        <v>0</v>
      </c>
      <c r="IV7" s="3">
        <v>0</v>
      </c>
      <c r="IW7" s="3">
        <v>0</v>
      </c>
      <c r="IX7" s="3">
        <v>0</v>
      </c>
      <c r="IY7" s="3">
        <v>0</v>
      </c>
      <c r="IZ7" s="3">
        <v>0</v>
      </c>
      <c r="JA7" s="3">
        <v>0</v>
      </c>
      <c r="JB7" s="3">
        <v>0</v>
      </c>
      <c r="JC7" s="3">
        <v>0</v>
      </c>
      <c r="JD7" s="3">
        <v>0</v>
      </c>
      <c r="JE7" s="3">
        <v>0</v>
      </c>
      <c r="JF7" s="2">
        <f t="shared" si="132"/>
        <v>12.5</v>
      </c>
      <c r="JG7" s="2">
        <f t="shared" si="133"/>
        <v>12.5</v>
      </c>
      <c r="JH7" s="2">
        <f t="shared" si="134"/>
        <v>12.5</v>
      </c>
      <c r="JI7" s="2">
        <f t="shared" si="135"/>
        <v>25</v>
      </c>
      <c r="JJ7" s="2">
        <f t="shared" si="136"/>
        <v>25</v>
      </c>
      <c r="JK7" s="2">
        <f t="shared" si="137"/>
        <v>25</v>
      </c>
      <c r="JL7" s="2">
        <f t="shared" si="138"/>
        <v>25</v>
      </c>
      <c r="JM7" s="2">
        <f t="shared" si="139"/>
        <v>25</v>
      </c>
      <c r="JN7" s="2">
        <f t="shared" si="140"/>
        <v>25</v>
      </c>
      <c r="JO7" s="2">
        <f t="shared" si="141"/>
        <v>50</v>
      </c>
      <c r="JP7" s="2">
        <f t="shared" si="142"/>
        <v>25</v>
      </c>
      <c r="JQ7" s="3">
        <v>0</v>
      </c>
      <c r="JR7" s="3">
        <v>0</v>
      </c>
      <c r="JS7" s="3">
        <v>0</v>
      </c>
      <c r="JT7" s="3">
        <v>0</v>
      </c>
      <c r="JU7" s="3">
        <v>0</v>
      </c>
      <c r="JV7" s="3">
        <v>0</v>
      </c>
      <c r="JW7" s="3">
        <v>0</v>
      </c>
      <c r="JX7" s="3">
        <v>0</v>
      </c>
      <c r="JY7" s="3">
        <v>0</v>
      </c>
      <c r="JZ7" s="3">
        <v>0</v>
      </c>
      <c r="KA7" s="3">
        <v>0</v>
      </c>
      <c r="KB7" s="2">
        <f t="shared" si="143"/>
        <v>12.5</v>
      </c>
      <c r="KC7" s="2">
        <f t="shared" si="144"/>
        <v>12.5</v>
      </c>
      <c r="KD7" s="2">
        <f t="shared" si="145"/>
        <v>12.5</v>
      </c>
      <c r="KE7" s="2">
        <f t="shared" si="146"/>
        <v>25</v>
      </c>
      <c r="KF7" s="2">
        <f t="shared" si="147"/>
        <v>25</v>
      </c>
      <c r="KG7" s="2">
        <f t="shared" si="148"/>
        <v>25</v>
      </c>
      <c r="KH7" s="2">
        <f t="shared" si="149"/>
        <v>25</v>
      </c>
      <c r="KI7" s="2">
        <f t="shared" si="150"/>
        <v>25</v>
      </c>
      <c r="KJ7" s="2">
        <f t="shared" si="151"/>
        <v>25</v>
      </c>
      <c r="KK7" s="2">
        <f t="shared" si="152"/>
        <v>50</v>
      </c>
      <c r="KL7" s="2">
        <f t="shared" si="153"/>
        <v>25</v>
      </c>
      <c r="KM7" s="3">
        <v>0</v>
      </c>
      <c r="KN7" s="3">
        <v>0</v>
      </c>
      <c r="KO7" s="3">
        <v>0</v>
      </c>
      <c r="KP7" s="3">
        <v>0</v>
      </c>
      <c r="KQ7" s="3">
        <v>0</v>
      </c>
      <c r="KR7" s="3">
        <v>0</v>
      </c>
      <c r="KS7" s="3">
        <v>0</v>
      </c>
      <c r="KT7" s="3">
        <v>0</v>
      </c>
      <c r="KU7" s="3">
        <v>0</v>
      </c>
      <c r="KV7" s="3">
        <v>0</v>
      </c>
      <c r="KW7" s="3">
        <v>0</v>
      </c>
      <c r="KX7" s="2">
        <f t="shared" si="154"/>
        <v>12.5</v>
      </c>
      <c r="KY7" s="2">
        <f t="shared" si="155"/>
        <v>12.5</v>
      </c>
      <c r="KZ7" s="2">
        <f t="shared" si="156"/>
        <v>12.5</v>
      </c>
      <c r="LA7" s="2">
        <f t="shared" si="157"/>
        <v>25</v>
      </c>
      <c r="LB7" s="2">
        <f t="shared" si="158"/>
        <v>25</v>
      </c>
      <c r="LC7" s="2">
        <f t="shared" si="159"/>
        <v>25</v>
      </c>
      <c r="LD7" s="2">
        <f t="shared" si="160"/>
        <v>25</v>
      </c>
      <c r="LE7" s="2">
        <f t="shared" si="161"/>
        <v>25</v>
      </c>
      <c r="LF7" s="2">
        <f t="shared" si="162"/>
        <v>25</v>
      </c>
      <c r="LG7" s="2">
        <f t="shared" si="163"/>
        <v>50</v>
      </c>
      <c r="LH7" s="2">
        <f t="shared" si="164"/>
        <v>25</v>
      </c>
      <c r="LI7" s="3">
        <v>0</v>
      </c>
      <c r="LJ7" s="3">
        <v>0</v>
      </c>
      <c r="LK7" s="3">
        <v>0</v>
      </c>
      <c r="LL7" s="3">
        <v>0</v>
      </c>
      <c r="LM7" s="3">
        <v>0</v>
      </c>
      <c r="LN7" s="3">
        <v>0</v>
      </c>
      <c r="LO7" s="3">
        <v>0</v>
      </c>
      <c r="LP7" s="3">
        <v>0</v>
      </c>
      <c r="LQ7" s="3">
        <v>0</v>
      </c>
      <c r="LR7" s="3">
        <v>0</v>
      </c>
      <c r="LS7" s="3">
        <v>0</v>
      </c>
      <c r="LT7" s="2">
        <f t="shared" si="165"/>
        <v>12.5</v>
      </c>
      <c r="LU7" s="2">
        <f t="shared" si="166"/>
        <v>12.5</v>
      </c>
      <c r="LV7" s="2">
        <f t="shared" si="167"/>
        <v>12.5</v>
      </c>
      <c r="LW7" s="2">
        <f t="shared" si="168"/>
        <v>25</v>
      </c>
      <c r="LX7" s="2">
        <f t="shared" si="169"/>
        <v>25</v>
      </c>
      <c r="LY7" s="2">
        <f t="shared" si="170"/>
        <v>25</v>
      </c>
      <c r="LZ7" s="2">
        <f t="shared" si="171"/>
        <v>25</v>
      </c>
      <c r="MA7" s="2">
        <f t="shared" si="172"/>
        <v>25</v>
      </c>
      <c r="MB7" s="2">
        <f t="shared" si="173"/>
        <v>25</v>
      </c>
      <c r="MC7" s="2">
        <f t="shared" si="174"/>
        <v>50</v>
      </c>
      <c r="MD7" s="2">
        <f t="shared" si="175"/>
        <v>25</v>
      </c>
      <c r="ME7" s="3">
        <v>0</v>
      </c>
      <c r="MF7" s="3">
        <v>0</v>
      </c>
      <c r="MG7" s="3">
        <v>0</v>
      </c>
      <c r="MH7" s="3">
        <v>0</v>
      </c>
      <c r="MI7" s="3">
        <v>0</v>
      </c>
      <c r="MJ7" s="3">
        <v>0</v>
      </c>
      <c r="MK7" s="3">
        <v>0</v>
      </c>
      <c r="ML7" s="3">
        <v>0</v>
      </c>
      <c r="MM7" s="3">
        <v>0</v>
      </c>
      <c r="MN7" s="3">
        <v>0</v>
      </c>
      <c r="MO7" s="3">
        <v>0</v>
      </c>
      <c r="MP7" s="2">
        <f t="shared" si="176"/>
        <v>12.5</v>
      </c>
      <c r="MQ7" s="2">
        <f t="shared" si="177"/>
        <v>12.5</v>
      </c>
      <c r="MR7" s="2">
        <f t="shared" si="178"/>
        <v>12.5</v>
      </c>
      <c r="MS7" s="2">
        <f t="shared" si="179"/>
        <v>25</v>
      </c>
      <c r="MT7" s="2">
        <f t="shared" si="180"/>
        <v>25</v>
      </c>
      <c r="MU7" s="2">
        <f t="shared" si="181"/>
        <v>25</v>
      </c>
      <c r="MV7" s="2">
        <f t="shared" si="182"/>
        <v>25</v>
      </c>
      <c r="MW7" s="2">
        <f t="shared" si="183"/>
        <v>25</v>
      </c>
      <c r="MX7" s="2">
        <f t="shared" si="184"/>
        <v>25</v>
      </c>
      <c r="MY7" s="2">
        <f t="shared" si="185"/>
        <v>50</v>
      </c>
      <c r="MZ7" s="2">
        <f t="shared" si="186"/>
        <v>25</v>
      </c>
      <c r="NA7" s="3">
        <v>0</v>
      </c>
      <c r="NB7" s="3">
        <v>0</v>
      </c>
      <c r="NC7" s="3">
        <v>0</v>
      </c>
      <c r="ND7" s="3">
        <v>0</v>
      </c>
      <c r="NE7" s="3">
        <v>0</v>
      </c>
      <c r="NF7" s="3">
        <v>0</v>
      </c>
      <c r="NG7" s="3">
        <v>0</v>
      </c>
      <c r="NH7" s="3">
        <v>0</v>
      </c>
      <c r="NI7" s="3">
        <v>0</v>
      </c>
      <c r="NJ7" s="3">
        <v>0</v>
      </c>
      <c r="NK7" s="3">
        <v>0</v>
      </c>
      <c r="NL7" s="2">
        <f t="shared" si="187"/>
        <v>12.5</v>
      </c>
      <c r="NM7" s="2">
        <f t="shared" si="188"/>
        <v>12.5</v>
      </c>
      <c r="NN7" s="2">
        <f t="shared" si="189"/>
        <v>12.5</v>
      </c>
      <c r="NO7" s="2">
        <f t="shared" si="190"/>
        <v>25</v>
      </c>
      <c r="NP7" s="2">
        <f t="shared" si="191"/>
        <v>25</v>
      </c>
      <c r="NQ7" s="2">
        <f t="shared" si="192"/>
        <v>25</v>
      </c>
      <c r="NR7" s="2">
        <f t="shared" si="193"/>
        <v>25</v>
      </c>
      <c r="NS7" s="2">
        <f t="shared" si="194"/>
        <v>25</v>
      </c>
      <c r="NT7" s="2">
        <f t="shared" si="195"/>
        <v>25</v>
      </c>
      <c r="NU7" s="2">
        <f t="shared" si="196"/>
        <v>50</v>
      </c>
      <c r="NV7" s="2">
        <f t="shared" si="197"/>
        <v>25</v>
      </c>
      <c r="NW7" s="59">
        <v>0</v>
      </c>
      <c r="NX7" s="59">
        <v>0</v>
      </c>
      <c r="NY7" s="59">
        <v>0</v>
      </c>
      <c r="NZ7" s="59">
        <v>0</v>
      </c>
      <c r="OA7" s="59">
        <v>0</v>
      </c>
      <c r="OB7" s="59">
        <v>0</v>
      </c>
      <c r="OC7" s="59">
        <v>0</v>
      </c>
      <c r="OD7" s="59">
        <v>0</v>
      </c>
      <c r="OE7" s="59">
        <v>0</v>
      </c>
      <c r="OF7" s="59">
        <v>0</v>
      </c>
      <c r="OG7" s="59">
        <v>0</v>
      </c>
      <c r="OH7" s="2">
        <f t="shared" si="198"/>
        <v>12.5</v>
      </c>
      <c r="OI7" s="2">
        <f t="shared" si="199"/>
        <v>12.5</v>
      </c>
      <c r="OJ7" s="2">
        <f t="shared" si="200"/>
        <v>12.5</v>
      </c>
      <c r="OK7" s="2">
        <f t="shared" si="201"/>
        <v>25</v>
      </c>
      <c r="OL7" s="2">
        <f t="shared" si="202"/>
        <v>25</v>
      </c>
      <c r="OM7" s="2">
        <f t="shared" si="203"/>
        <v>25</v>
      </c>
      <c r="ON7" s="2">
        <f t="shared" si="204"/>
        <v>25</v>
      </c>
      <c r="OO7" s="2">
        <f t="shared" si="205"/>
        <v>25</v>
      </c>
      <c r="OP7" s="2">
        <f t="shared" si="206"/>
        <v>25</v>
      </c>
      <c r="OQ7" s="2">
        <f t="shared" si="207"/>
        <v>50</v>
      </c>
      <c r="OR7" s="2">
        <f t="shared" si="208"/>
        <v>25</v>
      </c>
      <c r="OS7" s="59">
        <v>0</v>
      </c>
      <c r="OT7" s="59">
        <v>0</v>
      </c>
      <c r="OU7" s="59">
        <v>0</v>
      </c>
      <c r="OV7" s="59">
        <v>0</v>
      </c>
      <c r="OW7" s="59">
        <v>0</v>
      </c>
      <c r="OX7" s="59">
        <v>0</v>
      </c>
      <c r="OY7" s="59">
        <v>0</v>
      </c>
      <c r="OZ7" s="59">
        <v>0</v>
      </c>
      <c r="PA7" s="59">
        <v>0</v>
      </c>
      <c r="PB7" s="59">
        <v>0</v>
      </c>
      <c r="PC7" s="59">
        <v>0</v>
      </c>
      <c r="PD7" s="2">
        <f t="shared" si="209"/>
        <v>12.5</v>
      </c>
      <c r="PE7" s="2">
        <f t="shared" si="210"/>
        <v>12.5</v>
      </c>
      <c r="PF7" s="2">
        <f t="shared" si="211"/>
        <v>12.5</v>
      </c>
      <c r="PG7" s="2">
        <f t="shared" si="212"/>
        <v>25</v>
      </c>
      <c r="PH7" s="2">
        <f t="shared" si="213"/>
        <v>25</v>
      </c>
      <c r="PI7" s="2">
        <f t="shared" si="214"/>
        <v>25</v>
      </c>
      <c r="PJ7" s="2">
        <f t="shared" si="215"/>
        <v>25</v>
      </c>
      <c r="PK7" s="2">
        <f t="shared" si="216"/>
        <v>25</v>
      </c>
      <c r="PL7" s="2">
        <f t="shared" si="217"/>
        <v>25</v>
      </c>
      <c r="PM7" s="2">
        <f t="shared" si="218"/>
        <v>50</v>
      </c>
      <c r="PN7" s="2">
        <f t="shared" si="219"/>
        <v>25</v>
      </c>
      <c r="PO7" s="59">
        <v>0</v>
      </c>
      <c r="PP7" s="59">
        <v>0</v>
      </c>
      <c r="PQ7" s="59">
        <v>0</v>
      </c>
      <c r="PR7" s="59">
        <v>0</v>
      </c>
      <c r="PS7" s="59">
        <v>0</v>
      </c>
      <c r="PT7" s="59">
        <v>0</v>
      </c>
      <c r="PU7" s="59">
        <v>0</v>
      </c>
      <c r="PV7" s="59">
        <v>0</v>
      </c>
      <c r="PW7" s="59">
        <v>0</v>
      </c>
      <c r="PX7" s="59">
        <v>0</v>
      </c>
      <c r="PY7" s="59">
        <v>0</v>
      </c>
      <c r="PZ7" s="2">
        <f t="shared" si="220"/>
        <v>12.5</v>
      </c>
      <c r="QA7" s="2">
        <f t="shared" si="221"/>
        <v>12.5</v>
      </c>
      <c r="QB7" s="2">
        <f t="shared" si="222"/>
        <v>12.5</v>
      </c>
      <c r="QC7" s="2">
        <f t="shared" si="223"/>
        <v>25</v>
      </c>
      <c r="QD7" s="2">
        <f t="shared" si="224"/>
        <v>25</v>
      </c>
      <c r="QE7" s="2">
        <f t="shared" si="225"/>
        <v>25</v>
      </c>
      <c r="QF7" s="2">
        <f t="shared" si="226"/>
        <v>25</v>
      </c>
      <c r="QG7" s="2">
        <f t="shared" si="227"/>
        <v>25</v>
      </c>
      <c r="QH7" s="2">
        <f t="shared" si="228"/>
        <v>25</v>
      </c>
      <c r="QI7" s="2">
        <f t="shared" si="229"/>
        <v>50</v>
      </c>
      <c r="QJ7" s="2">
        <f t="shared" si="230"/>
        <v>25</v>
      </c>
      <c r="QK7" s="59">
        <v>0</v>
      </c>
      <c r="QL7" s="59">
        <v>0</v>
      </c>
      <c r="QM7" s="59">
        <v>0</v>
      </c>
      <c r="QN7" s="59">
        <v>0</v>
      </c>
      <c r="QO7" s="59">
        <v>0</v>
      </c>
      <c r="QP7" s="59">
        <v>0</v>
      </c>
      <c r="QQ7" s="59">
        <v>0</v>
      </c>
      <c r="QR7" s="59">
        <v>0</v>
      </c>
      <c r="QS7" s="59">
        <v>0</v>
      </c>
      <c r="QT7" s="59">
        <v>0</v>
      </c>
      <c r="QU7" s="59">
        <v>0</v>
      </c>
      <c r="QV7" s="2">
        <f t="shared" si="231"/>
        <v>12.5</v>
      </c>
      <c r="QW7" s="2">
        <f t="shared" si="232"/>
        <v>12.5</v>
      </c>
      <c r="QX7" s="2">
        <f t="shared" si="233"/>
        <v>12.5</v>
      </c>
      <c r="QY7" s="2">
        <f t="shared" si="234"/>
        <v>25</v>
      </c>
      <c r="QZ7" s="2">
        <f t="shared" si="235"/>
        <v>25</v>
      </c>
      <c r="RA7" s="2">
        <f t="shared" si="236"/>
        <v>25</v>
      </c>
      <c r="RB7" s="2">
        <f t="shared" si="237"/>
        <v>25</v>
      </c>
      <c r="RC7" s="2">
        <f t="shared" si="238"/>
        <v>25</v>
      </c>
      <c r="RD7" s="2">
        <f t="shared" si="239"/>
        <v>25</v>
      </c>
      <c r="RE7" s="2">
        <f t="shared" si="240"/>
        <v>50</v>
      </c>
      <c r="RF7" s="2">
        <f t="shared" si="241"/>
        <v>25</v>
      </c>
      <c r="RG7" s="59">
        <v>0</v>
      </c>
      <c r="RH7" s="59">
        <v>0</v>
      </c>
      <c r="RI7" s="59">
        <v>0</v>
      </c>
      <c r="RJ7" s="59">
        <v>0</v>
      </c>
      <c r="RK7" s="59">
        <v>0</v>
      </c>
      <c r="RL7" s="59">
        <v>0</v>
      </c>
      <c r="RM7" s="59">
        <v>0</v>
      </c>
      <c r="RN7" s="59">
        <v>0</v>
      </c>
      <c r="RO7" s="59">
        <v>0</v>
      </c>
      <c r="RP7" s="59">
        <v>0</v>
      </c>
      <c r="RQ7" s="59">
        <v>0</v>
      </c>
      <c r="RR7" s="2">
        <f t="shared" si="242"/>
        <v>12.5</v>
      </c>
      <c r="RS7" s="2">
        <f t="shared" si="243"/>
        <v>12.5</v>
      </c>
      <c r="RT7" s="2">
        <f t="shared" si="244"/>
        <v>12.5</v>
      </c>
      <c r="RU7" s="2">
        <f t="shared" si="245"/>
        <v>25</v>
      </c>
      <c r="RV7" s="2">
        <f t="shared" si="246"/>
        <v>25</v>
      </c>
      <c r="RW7" s="2">
        <f t="shared" si="247"/>
        <v>25</v>
      </c>
      <c r="RX7" s="2">
        <f t="shared" si="248"/>
        <v>25</v>
      </c>
      <c r="RY7" s="2">
        <f t="shared" si="249"/>
        <v>25</v>
      </c>
      <c r="RZ7" s="2">
        <f t="shared" si="250"/>
        <v>25</v>
      </c>
      <c r="SA7" s="2">
        <f t="shared" si="251"/>
        <v>50</v>
      </c>
      <c r="SB7" s="2">
        <f t="shared" si="252"/>
        <v>25</v>
      </c>
      <c r="SC7" s="59">
        <v>0</v>
      </c>
      <c r="SD7" s="59">
        <v>0</v>
      </c>
      <c r="SE7" s="59">
        <v>0</v>
      </c>
      <c r="SF7" s="59">
        <v>0</v>
      </c>
      <c r="SG7" s="59">
        <v>0</v>
      </c>
      <c r="SH7" s="59">
        <v>0</v>
      </c>
      <c r="SI7" s="59">
        <v>0</v>
      </c>
      <c r="SJ7" s="59">
        <v>0</v>
      </c>
      <c r="SK7" s="59">
        <v>0</v>
      </c>
      <c r="SL7" s="59">
        <v>0</v>
      </c>
      <c r="SM7" s="59">
        <v>0</v>
      </c>
      <c r="SN7" s="2">
        <f t="shared" si="253"/>
        <v>12.5</v>
      </c>
      <c r="SO7" s="2">
        <f t="shared" si="254"/>
        <v>12.5</v>
      </c>
      <c r="SP7" s="2">
        <f t="shared" si="255"/>
        <v>12.5</v>
      </c>
      <c r="SQ7" s="2">
        <f t="shared" si="256"/>
        <v>25</v>
      </c>
      <c r="SR7" s="2">
        <f t="shared" si="257"/>
        <v>25</v>
      </c>
      <c r="SS7" s="2">
        <f t="shared" si="258"/>
        <v>25</v>
      </c>
      <c r="ST7" s="2">
        <f t="shared" si="259"/>
        <v>25</v>
      </c>
      <c r="SU7" s="2">
        <f t="shared" si="260"/>
        <v>25</v>
      </c>
      <c r="SV7" s="2">
        <f t="shared" si="261"/>
        <v>25</v>
      </c>
      <c r="SW7" s="2">
        <f t="shared" si="262"/>
        <v>50</v>
      </c>
      <c r="SX7" s="2">
        <f t="shared" si="263"/>
        <v>25</v>
      </c>
      <c r="SY7" s="59">
        <v>0</v>
      </c>
      <c r="SZ7" s="59">
        <v>0</v>
      </c>
      <c r="TA7" s="59">
        <v>0</v>
      </c>
      <c r="TB7" s="59">
        <v>0</v>
      </c>
      <c r="TC7" s="59">
        <v>0</v>
      </c>
      <c r="TD7" s="59">
        <v>0</v>
      </c>
      <c r="TE7" s="59">
        <v>0</v>
      </c>
      <c r="TF7" s="59">
        <v>0</v>
      </c>
      <c r="TG7" s="59">
        <v>0</v>
      </c>
      <c r="TH7" s="59">
        <v>0</v>
      </c>
      <c r="TI7" s="59">
        <v>0</v>
      </c>
      <c r="TJ7" s="2">
        <f t="shared" si="264"/>
        <v>12.5</v>
      </c>
      <c r="TK7" s="2">
        <f t="shared" si="265"/>
        <v>12.5</v>
      </c>
      <c r="TL7" s="2">
        <f t="shared" si="266"/>
        <v>12.5</v>
      </c>
      <c r="TM7" s="2">
        <f t="shared" si="267"/>
        <v>25</v>
      </c>
      <c r="TN7" s="2">
        <f t="shared" si="268"/>
        <v>25</v>
      </c>
      <c r="TO7" s="2">
        <f t="shared" si="269"/>
        <v>25</v>
      </c>
      <c r="TP7" s="2">
        <f t="shared" si="270"/>
        <v>25</v>
      </c>
      <c r="TQ7" s="2">
        <f t="shared" si="271"/>
        <v>25</v>
      </c>
      <c r="TR7" s="2">
        <f t="shared" si="272"/>
        <v>25</v>
      </c>
      <c r="TS7" s="2">
        <f t="shared" si="273"/>
        <v>50</v>
      </c>
      <c r="TT7" s="2">
        <f t="shared" si="274"/>
        <v>25</v>
      </c>
      <c r="TU7" s="59">
        <v>0</v>
      </c>
      <c r="TV7" s="59">
        <v>0</v>
      </c>
      <c r="TW7" s="59">
        <v>0</v>
      </c>
      <c r="TX7" s="59">
        <v>0</v>
      </c>
      <c r="TY7" s="59">
        <v>0</v>
      </c>
      <c r="TZ7" s="59">
        <v>0</v>
      </c>
      <c r="UA7" s="59">
        <v>0</v>
      </c>
      <c r="UB7" s="59">
        <v>0</v>
      </c>
      <c r="UC7" s="59">
        <v>0</v>
      </c>
      <c r="UD7" s="59">
        <v>0</v>
      </c>
      <c r="UE7" s="59">
        <v>0</v>
      </c>
      <c r="UF7" s="2">
        <f t="shared" si="275"/>
        <v>12.5</v>
      </c>
      <c r="UG7" s="2">
        <f t="shared" si="276"/>
        <v>12.5</v>
      </c>
      <c r="UH7" s="2">
        <f t="shared" si="277"/>
        <v>12.5</v>
      </c>
      <c r="UI7" s="2">
        <f t="shared" si="278"/>
        <v>25</v>
      </c>
      <c r="UJ7" s="2">
        <f t="shared" si="279"/>
        <v>25</v>
      </c>
      <c r="UK7" s="2">
        <f t="shared" si="280"/>
        <v>25</v>
      </c>
      <c r="UL7" s="2">
        <f t="shared" si="281"/>
        <v>25</v>
      </c>
      <c r="UM7" s="2">
        <f t="shared" si="282"/>
        <v>25</v>
      </c>
      <c r="UN7" s="2">
        <f t="shared" si="283"/>
        <v>25</v>
      </c>
      <c r="UO7" s="2">
        <f t="shared" si="284"/>
        <v>50</v>
      </c>
      <c r="UP7" s="2">
        <f t="shared" si="285"/>
        <v>25</v>
      </c>
      <c r="UQ7" s="59">
        <v>0</v>
      </c>
      <c r="UR7" s="59">
        <v>0</v>
      </c>
      <c r="US7" s="59">
        <v>0</v>
      </c>
      <c r="UT7" s="59">
        <v>0</v>
      </c>
      <c r="UU7" s="59">
        <v>0</v>
      </c>
      <c r="UV7" s="59">
        <v>0</v>
      </c>
      <c r="UW7" s="59">
        <v>0</v>
      </c>
      <c r="UX7" s="59">
        <v>0</v>
      </c>
      <c r="UY7" s="59">
        <v>0</v>
      </c>
      <c r="UZ7" s="59">
        <v>0</v>
      </c>
      <c r="VA7" s="59">
        <v>0</v>
      </c>
      <c r="VB7" s="2">
        <f t="shared" si="286"/>
        <v>12.5</v>
      </c>
      <c r="VC7" s="2">
        <f t="shared" si="287"/>
        <v>12.5</v>
      </c>
      <c r="VD7" s="2">
        <f t="shared" si="288"/>
        <v>12.5</v>
      </c>
      <c r="VE7" s="2">
        <f t="shared" si="289"/>
        <v>25</v>
      </c>
      <c r="VF7" s="2">
        <f t="shared" si="290"/>
        <v>25</v>
      </c>
      <c r="VG7" s="2">
        <f t="shared" si="291"/>
        <v>25</v>
      </c>
      <c r="VH7" s="2">
        <f t="shared" si="292"/>
        <v>25</v>
      </c>
      <c r="VI7" s="2">
        <f t="shared" si="293"/>
        <v>25</v>
      </c>
      <c r="VJ7" s="2">
        <f t="shared" si="294"/>
        <v>25</v>
      </c>
      <c r="VK7" s="2">
        <f t="shared" si="295"/>
        <v>50</v>
      </c>
      <c r="VL7" s="2">
        <f t="shared" si="296"/>
        <v>25</v>
      </c>
      <c r="VM7" s="59">
        <v>0</v>
      </c>
      <c r="VN7" s="59">
        <v>0</v>
      </c>
      <c r="VO7" s="59">
        <v>0</v>
      </c>
      <c r="VP7" s="59">
        <v>0</v>
      </c>
      <c r="VQ7" s="59">
        <v>0</v>
      </c>
      <c r="VR7" s="59">
        <v>0</v>
      </c>
      <c r="VS7" s="59">
        <v>0</v>
      </c>
      <c r="VT7" s="59">
        <v>0</v>
      </c>
      <c r="VU7" s="59">
        <v>0</v>
      </c>
      <c r="VV7" s="59">
        <v>0</v>
      </c>
      <c r="VW7" s="59">
        <v>0</v>
      </c>
      <c r="VX7" s="2">
        <f t="shared" si="297"/>
        <v>12.5</v>
      </c>
      <c r="VY7" s="2">
        <f t="shared" si="298"/>
        <v>12.5</v>
      </c>
      <c r="VZ7" s="2">
        <f t="shared" si="299"/>
        <v>12.5</v>
      </c>
      <c r="WA7" s="2">
        <f t="shared" si="300"/>
        <v>25</v>
      </c>
      <c r="WB7" s="2">
        <f t="shared" si="301"/>
        <v>25</v>
      </c>
      <c r="WC7" s="2">
        <f t="shared" si="302"/>
        <v>25</v>
      </c>
      <c r="WD7" s="2">
        <f t="shared" si="303"/>
        <v>25</v>
      </c>
      <c r="WE7" s="2">
        <f t="shared" si="304"/>
        <v>25</v>
      </c>
      <c r="WF7" s="2">
        <f t="shared" si="305"/>
        <v>25</v>
      </c>
      <c r="WG7" s="2">
        <f t="shared" si="306"/>
        <v>50</v>
      </c>
      <c r="WH7" s="2">
        <f t="shared" si="307"/>
        <v>25</v>
      </c>
      <c r="WI7" s="59">
        <v>0</v>
      </c>
      <c r="WJ7" s="59">
        <v>0</v>
      </c>
      <c r="WK7" s="59">
        <v>0</v>
      </c>
      <c r="WL7" s="59">
        <v>0</v>
      </c>
      <c r="WM7" s="59">
        <v>0</v>
      </c>
      <c r="WN7" s="59">
        <v>0</v>
      </c>
      <c r="WO7" s="59">
        <v>0</v>
      </c>
      <c r="WP7" s="59">
        <v>0</v>
      </c>
      <c r="WQ7" s="59">
        <v>0</v>
      </c>
      <c r="WR7" s="59">
        <v>0</v>
      </c>
      <c r="WS7" s="59">
        <v>0</v>
      </c>
      <c r="WT7" s="2">
        <f t="shared" si="308"/>
        <v>12.5</v>
      </c>
      <c r="WU7" s="2">
        <f t="shared" si="309"/>
        <v>12.5</v>
      </c>
      <c r="WV7" s="2">
        <f t="shared" si="310"/>
        <v>12.5</v>
      </c>
      <c r="WW7" s="2">
        <f t="shared" si="311"/>
        <v>25</v>
      </c>
      <c r="WX7" s="2">
        <f t="shared" si="312"/>
        <v>25</v>
      </c>
      <c r="WY7" s="2">
        <f t="shared" si="313"/>
        <v>25</v>
      </c>
      <c r="WZ7" s="2">
        <f t="shared" si="314"/>
        <v>25</v>
      </c>
      <c r="XA7" s="2">
        <f t="shared" si="315"/>
        <v>25</v>
      </c>
      <c r="XB7" s="2">
        <f t="shared" si="316"/>
        <v>25</v>
      </c>
      <c r="XC7" s="2">
        <f t="shared" si="317"/>
        <v>50</v>
      </c>
      <c r="XD7" s="2">
        <f t="shared" si="318"/>
        <v>25</v>
      </c>
      <c r="XE7" s="59">
        <v>0</v>
      </c>
      <c r="XF7" s="59">
        <v>0</v>
      </c>
      <c r="XG7" s="59">
        <v>0</v>
      </c>
      <c r="XH7" s="59">
        <v>0</v>
      </c>
      <c r="XI7" s="59">
        <v>0</v>
      </c>
      <c r="XJ7" s="59">
        <v>0</v>
      </c>
      <c r="XK7" s="59">
        <v>0</v>
      </c>
      <c r="XL7" s="59">
        <v>0</v>
      </c>
      <c r="XM7" s="59">
        <v>0</v>
      </c>
      <c r="XN7" s="59">
        <v>0</v>
      </c>
      <c r="XO7" s="59">
        <v>0</v>
      </c>
      <c r="XP7" s="2">
        <f t="shared" si="319"/>
        <v>12.5</v>
      </c>
      <c r="XQ7" s="2">
        <f t="shared" si="320"/>
        <v>12.5</v>
      </c>
      <c r="XR7" s="2">
        <f t="shared" si="321"/>
        <v>12.5</v>
      </c>
      <c r="XS7" s="2">
        <f t="shared" si="322"/>
        <v>25</v>
      </c>
      <c r="XT7" s="2">
        <f t="shared" si="323"/>
        <v>25</v>
      </c>
      <c r="XU7" s="2">
        <f t="shared" si="324"/>
        <v>25</v>
      </c>
      <c r="XV7" s="2">
        <f t="shared" si="325"/>
        <v>25</v>
      </c>
      <c r="XW7" s="2">
        <f t="shared" si="326"/>
        <v>25</v>
      </c>
      <c r="XX7" s="2">
        <f t="shared" si="327"/>
        <v>25</v>
      </c>
      <c r="XY7" s="2">
        <f t="shared" si="328"/>
        <v>50</v>
      </c>
      <c r="XZ7" s="2">
        <f t="shared" si="329"/>
        <v>25</v>
      </c>
      <c r="YA7" s="59">
        <v>0</v>
      </c>
      <c r="YB7" s="59">
        <v>0</v>
      </c>
      <c r="YC7" s="59">
        <v>0</v>
      </c>
      <c r="YD7" s="59">
        <v>0</v>
      </c>
      <c r="YE7" s="59">
        <v>0</v>
      </c>
      <c r="YF7" s="59">
        <v>0</v>
      </c>
      <c r="YG7" s="59">
        <v>0</v>
      </c>
      <c r="YH7" s="59">
        <v>0</v>
      </c>
      <c r="YI7" s="59">
        <v>0</v>
      </c>
      <c r="YJ7" s="59">
        <v>0</v>
      </c>
      <c r="YK7" s="59">
        <v>0</v>
      </c>
      <c r="YL7" s="2">
        <f t="shared" si="330"/>
        <v>12.5</v>
      </c>
      <c r="YM7" s="2">
        <f t="shared" si="331"/>
        <v>12.5</v>
      </c>
      <c r="YN7" s="2">
        <f t="shared" si="332"/>
        <v>12.5</v>
      </c>
      <c r="YO7" s="2">
        <f t="shared" si="333"/>
        <v>25</v>
      </c>
      <c r="YP7" s="2">
        <f t="shared" si="334"/>
        <v>25</v>
      </c>
      <c r="YQ7" s="2">
        <f t="shared" si="335"/>
        <v>25</v>
      </c>
      <c r="YR7" s="2">
        <f t="shared" si="336"/>
        <v>25</v>
      </c>
      <c r="YS7" s="2">
        <f t="shared" si="337"/>
        <v>25</v>
      </c>
      <c r="YT7" s="2">
        <f t="shared" si="338"/>
        <v>25</v>
      </c>
      <c r="YU7" s="2">
        <f t="shared" si="339"/>
        <v>50</v>
      </c>
      <c r="YV7" s="2">
        <f t="shared" si="340"/>
        <v>25</v>
      </c>
      <c r="YW7" s="59">
        <v>0</v>
      </c>
      <c r="YX7" s="59">
        <v>0</v>
      </c>
      <c r="YY7" s="59">
        <v>0</v>
      </c>
      <c r="YZ7" s="59">
        <v>0</v>
      </c>
      <c r="ZA7" s="59">
        <v>0</v>
      </c>
      <c r="ZB7" s="59">
        <v>0</v>
      </c>
      <c r="ZC7" s="59">
        <v>0</v>
      </c>
      <c r="ZD7" s="59">
        <v>0</v>
      </c>
      <c r="ZE7" s="59">
        <v>0</v>
      </c>
      <c r="ZF7" s="59">
        <v>0</v>
      </c>
      <c r="ZG7" s="59">
        <v>0</v>
      </c>
      <c r="ZH7" s="2">
        <f t="shared" si="341"/>
        <v>12.5</v>
      </c>
      <c r="ZI7" s="2">
        <f t="shared" si="342"/>
        <v>12.5</v>
      </c>
      <c r="ZJ7" s="2">
        <f t="shared" si="343"/>
        <v>12.5</v>
      </c>
      <c r="ZK7" s="2">
        <f t="shared" si="344"/>
        <v>25</v>
      </c>
      <c r="ZL7" s="2">
        <f t="shared" si="345"/>
        <v>25</v>
      </c>
      <c r="ZM7" s="2">
        <f t="shared" si="346"/>
        <v>25</v>
      </c>
      <c r="ZN7" s="2">
        <f t="shared" si="347"/>
        <v>25</v>
      </c>
      <c r="ZO7" s="2">
        <f t="shared" si="348"/>
        <v>25</v>
      </c>
      <c r="ZP7" s="2">
        <f t="shared" si="349"/>
        <v>25</v>
      </c>
      <c r="ZQ7" s="2">
        <f t="shared" si="350"/>
        <v>50</v>
      </c>
      <c r="ZR7" s="2">
        <f t="shared" si="351"/>
        <v>25</v>
      </c>
      <c r="ZS7" s="59">
        <v>0</v>
      </c>
      <c r="ZT7" s="59">
        <v>0</v>
      </c>
      <c r="ZU7" s="59">
        <v>0</v>
      </c>
      <c r="ZV7" s="59">
        <v>0</v>
      </c>
      <c r="ZW7" s="59">
        <v>0</v>
      </c>
      <c r="ZX7" s="59">
        <v>0</v>
      </c>
      <c r="ZY7" s="59">
        <v>0</v>
      </c>
      <c r="ZZ7" s="59">
        <v>0</v>
      </c>
      <c r="AAA7" s="59">
        <v>0</v>
      </c>
      <c r="AAB7" s="59">
        <v>0</v>
      </c>
      <c r="AAC7" s="59">
        <v>0</v>
      </c>
    </row>
    <row r="8" spans="1:705" x14ac:dyDescent="0.2">
      <c r="A8" s="1">
        <v>3</v>
      </c>
      <c r="B8" s="2">
        <f t="shared" si="0"/>
        <v>12.5</v>
      </c>
      <c r="C8" s="2">
        <f t="shared" si="1"/>
        <v>12.5</v>
      </c>
      <c r="D8" s="2">
        <f t="shared" si="2"/>
        <v>12.5</v>
      </c>
      <c r="E8" s="2">
        <f t="shared" si="3"/>
        <v>25</v>
      </c>
      <c r="F8" s="2">
        <f t="shared" si="4"/>
        <v>25</v>
      </c>
      <c r="G8" s="2">
        <f t="shared" si="5"/>
        <v>25</v>
      </c>
      <c r="H8" s="2">
        <f t="shared" si="6"/>
        <v>25</v>
      </c>
      <c r="I8" s="2">
        <f t="shared" si="7"/>
        <v>25</v>
      </c>
      <c r="J8" s="2">
        <f t="shared" si="8"/>
        <v>25</v>
      </c>
      <c r="K8" s="2">
        <f t="shared" si="9"/>
        <v>50</v>
      </c>
      <c r="L8" s="2">
        <f t="shared" si="10"/>
        <v>25</v>
      </c>
      <c r="M8" s="3">
        <v>0</v>
      </c>
      <c r="N8" s="3">
        <v>0</v>
      </c>
      <c r="O8" s="3">
        <v>0</v>
      </c>
      <c r="P8" s="3">
        <v>0</v>
      </c>
      <c r="Q8" s="3">
        <v>0</v>
      </c>
      <c r="R8" s="3">
        <v>0</v>
      </c>
      <c r="S8" s="3">
        <v>0</v>
      </c>
      <c r="T8" s="3">
        <v>0</v>
      </c>
      <c r="U8" s="3">
        <v>0</v>
      </c>
      <c r="V8" s="3">
        <v>0</v>
      </c>
      <c r="W8" s="3">
        <v>0</v>
      </c>
      <c r="X8" s="2">
        <f t="shared" si="11"/>
        <v>12.5</v>
      </c>
      <c r="Y8" s="2">
        <f t="shared" si="12"/>
        <v>12.5</v>
      </c>
      <c r="Z8" s="2">
        <f t="shared" si="13"/>
        <v>12.5</v>
      </c>
      <c r="AA8" s="2">
        <f t="shared" si="14"/>
        <v>25</v>
      </c>
      <c r="AB8" s="2">
        <f t="shared" si="15"/>
        <v>25</v>
      </c>
      <c r="AC8" s="2">
        <f t="shared" si="16"/>
        <v>25</v>
      </c>
      <c r="AD8" s="2">
        <f t="shared" si="17"/>
        <v>25</v>
      </c>
      <c r="AE8" s="2">
        <f t="shared" si="18"/>
        <v>25</v>
      </c>
      <c r="AF8" s="2">
        <f t="shared" si="19"/>
        <v>25</v>
      </c>
      <c r="AG8" s="2">
        <f t="shared" si="20"/>
        <v>50</v>
      </c>
      <c r="AH8" s="2">
        <f t="shared" si="21"/>
        <v>25</v>
      </c>
      <c r="AI8" s="3">
        <v>0</v>
      </c>
      <c r="AJ8" s="3">
        <v>0</v>
      </c>
      <c r="AK8" s="3">
        <v>0</v>
      </c>
      <c r="AL8" s="3">
        <v>0</v>
      </c>
      <c r="AM8" s="3">
        <v>0</v>
      </c>
      <c r="AN8" s="3">
        <v>0</v>
      </c>
      <c r="AO8" s="3">
        <v>0</v>
      </c>
      <c r="AP8" s="3">
        <v>0</v>
      </c>
      <c r="AQ8" s="3">
        <v>0</v>
      </c>
      <c r="AR8" s="3">
        <v>0</v>
      </c>
      <c r="AS8" s="3">
        <v>0</v>
      </c>
      <c r="AT8" s="2">
        <f t="shared" si="22"/>
        <v>12.5</v>
      </c>
      <c r="AU8" s="2">
        <f t="shared" si="23"/>
        <v>12.5</v>
      </c>
      <c r="AV8" s="2">
        <f t="shared" si="24"/>
        <v>12.5</v>
      </c>
      <c r="AW8" s="2">
        <f t="shared" si="25"/>
        <v>25</v>
      </c>
      <c r="AX8" s="2">
        <f t="shared" si="26"/>
        <v>25</v>
      </c>
      <c r="AY8" s="2">
        <f t="shared" si="27"/>
        <v>25</v>
      </c>
      <c r="AZ8" s="2">
        <f t="shared" si="28"/>
        <v>25</v>
      </c>
      <c r="BA8" s="2">
        <f t="shared" si="29"/>
        <v>25</v>
      </c>
      <c r="BB8" s="2">
        <f t="shared" si="30"/>
        <v>25</v>
      </c>
      <c r="BC8" s="2">
        <f t="shared" si="31"/>
        <v>50</v>
      </c>
      <c r="BD8" s="2">
        <f t="shared" si="32"/>
        <v>25</v>
      </c>
      <c r="BE8" s="3">
        <v>0</v>
      </c>
      <c r="BF8" s="3">
        <v>0</v>
      </c>
      <c r="BG8" s="3">
        <v>0</v>
      </c>
      <c r="BH8" s="3">
        <v>0</v>
      </c>
      <c r="BI8" s="3">
        <v>0</v>
      </c>
      <c r="BJ8" s="3">
        <v>0</v>
      </c>
      <c r="BK8" s="3">
        <v>0</v>
      </c>
      <c r="BL8" s="3">
        <v>0</v>
      </c>
      <c r="BM8" s="3">
        <v>0</v>
      </c>
      <c r="BN8" s="3">
        <v>0</v>
      </c>
      <c r="BO8" s="3">
        <v>0</v>
      </c>
      <c r="BP8" s="2">
        <f t="shared" si="33"/>
        <v>12.5</v>
      </c>
      <c r="BQ8" s="2">
        <f t="shared" si="34"/>
        <v>12.5</v>
      </c>
      <c r="BR8" s="2">
        <f t="shared" si="35"/>
        <v>12.5</v>
      </c>
      <c r="BS8" s="2">
        <f t="shared" si="36"/>
        <v>25</v>
      </c>
      <c r="BT8" s="2">
        <f t="shared" si="37"/>
        <v>25</v>
      </c>
      <c r="BU8" s="2">
        <f t="shared" si="38"/>
        <v>25</v>
      </c>
      <c r="BV8" s="2">
        <f t="shared" si="39"/>
        <v>25</v>
      </c>
      <c r="BW8" s="2">
        <f t="shared" si="40"/>
        <v>25</v>
      </c>
      <c r="BX8" s="2">
        <f t="shared" si="41"/>
        <v>25</v>
      </c>
      <c r="BY8" s="2">
        <f t="shared" si="42"/>
        <v>50</v>
      </c>
      <c r="BZ8" s="2">
        <f t="shared" si="43"/>
        <v>25</v>
      </c>
      <c r="CA8" s="3">
        <v>0</v>
      </c>
      <c r="CB8" s="3">
        <v>0</v>
      </c>
      <c r="CC8" s="3">
        <v>0</v>
      </c>
      <c r="CD8" s="3">
        <v>0</v>
      </c>
      <c r="CE8" s="3">
        <v>0</v>
      </c>
      <c r="CF8" s="3">
        <v>0</v>
      </c>
      <c r="CG8" s="3">
        <v>0</v>
      </c>
      <c r="CH8" s="3">
        <v>0</v>
      </c>
      <c r="CI8" s="3">
        <v>0</v>
      </c>
      <c r="CJ8" s="3">
        <v>0</v>
      </c>
      <c r="CK8" s="3">
        <v>0</v>
      </c>
      <c r="CL8" s="2">
        <f t="shared" si="44"/>
        <v>12.5</v>
      </c>
      <c r="CM8" s="2">
        <f t="shared" si="45"/>
        <v>12.5</v>
      </c>
      <c r="CN8" s="2">
        <f t="shared" si="46"/>
        <v>12.5</v>
      </c>
      <c r="CO8" s="2">
        <f t="shared" si="47"/>
        <v>25</v>
      </c>
      <c r="CP8" s="2">
        <f t="shared" si="48"/>
        <v>25</v>
      </c>
      <c r="CQ8" s="2">
        <f t="shared" si="49"/>
        <v>25</v>
      </c>
      <c r="CR8" s="2">
        <f t="shared" si="50"/>
        <v>25</v>
      </c>
      <c r="CS8" s="2">
        <f t="shared" si="51"/>
        <v>25</v>
      </c>
      <c r="CT8" s="2">
        <f t="shared" si="52"/>
        <v>25</v>
      </c>
      <c r="CU8" s="2">
        <f t="shared" si="53"/>
        <v>50</v>
      </c>
      <c r="CV8" s="2">
        <f t="shared" si="54"/>
        <v>25</v>
      </c>
      <c r="CW8" s="3">
        <v>0</v>
      </c>
      <c r="CX8" s="3">
        <v>0</v>
      </c>
      <c r="CY8" s="3">
        <v>0</v>
      </c>
      <c r="CZ8" s="3">
        <v>0</v>
      </c>
      <c r="DA8" s="3">
        <v>0</v>
      </c>
      <c r="DB8" s="3">
        <v>0</v>
      </c>
      <c r="DC8" s="3">
        <v>0</v>
      </c>
      <c r="DD8" s="3">
        <v>0</v>
      </c>
      <c r="DE8" s="3">
        <v>0</v>
      </c>
      <c r="DF8" s="3">
        <v>0</v>
      </c>
      <c r="DG8" s="3">
        <v>0</v>
      </c>
      <c r="DH8" s="2">
        <f t="shared" si="55"/>
        <v>12.5</v>
      </c>
      <c r="DI8" s="2">
        <f t="shared" si="56"/>
        <v>12.5</v>
      </c>
      <c r="DJ8" s="2">
        <f t="shared" si="57"/>
        <v>12.5</v>
      </c>
      <c r="DK8" s="2">
        <f t="shared" si="58"/>
        <v>25</v>
      </c>
      <c r="DL8" s="2">
        <f t="shared" si="59"/>
        <v>25</v>
      </c>
      <c r="DM8" s="2">
        <f t="shared" si="60"/>
        <v>25</v>
      </c>
      <c r="DN8" s="2">
        <f t="shared" si="61"/>
        <v>25</v>
      </c>
      <c r="DO8" s="2">
        <f t="shared" si="62"/>
        <v>25</v>
      </c>
      <c r="DP8" s="2">
        <f t="shared" si="63"/>
        <v>25</v>
      </c>
      <c r="DQ8" s="2">
        <f t="shared" si="64"/>
        <v>50</v>
      </c>
      <c r="DR8" s="2">
        <f t="shared" si="65"/>
        <v>25</v>
      </c>
      <c r="DS8" s="3">
        <v>0</v>
      </c>
      <c r="DT8" s="3">
        <v>0</v>
      </c>
      <c r="DU8" s="3">
        <v>0</v>
      </c>
      <c r="DV8" s="3">
        <v>0</v>
      </c>
      <c r="DW8" s="3">
        <v>0</v>
      </c>
      <c r="DX8" s="3">
        <v>0</v>
      </c>
      <c r="DY8" s="3">
        <v>0</v>
      </c>
      <c r="DZ8" s="3">
        <v>0</v>
      </c>
      <c r="EA8" s="3">
        <v>0</v>
      </c>
      <c r="EB8" s="3">
        <v>0</v>
      </c>
      <c r="EC8" s="3">
        <v>0</v>
      </c>
      <c r="ED8" s="2">
        <f t="shared" si="66"/>
        <v>12.5</v>
      </c>
      <c r="EE8" s="2">
        <f t="shared" si="67"/>
        <v>12.5</v>
      </c>
      <c r="EF8" s="2">
        <f t="shared" si="68"/>
        <v>12.5</v>
      </c>
      <c r="EG8" s="2">
        <f t="shared" si="69"/>
        <v>25</v>
      </c>
      <c r="EH8" s="2">
        <f t="shared" si="70"/>
        <v>25</v>
      </c>
      <c r="EI8" s="2">
        <f t="shared" si="71"/>
        <v>25</v>
      </c>
      <c r="EJ8" s="2">
        <f t="shared" si="72"/>
        <v>25</v>
      </c>
      <c r="EK8" s="2">
        <f t="shared" si="73"/>
        <v>25</v>
      </c>
      <c r="EL8" s="2">
        <f t="shared" si="74"/>
        <v>25</v>
      </c>
      <c r="EM8" s="2">
        <f t="shared" si="75"/>
        <v>50</v>
      </c>
      <c r="EN8" s="2">
        <f t="shared" si="76"/>
        <v>25</v>
      </c>
      <c r="EO8" s="3">
        <v>0</v>
      </c>
      <c r="EP8" s="3">
        <v>0</v>
      </c>
      <c r="EQ8" s="3">
        <v>0</v>
      </c>
      <c r="ER8" s="3">
        <v>0</v>
      </c>
      <c r="ES8" s="3">
        <v>0</v>
      </c>
      <c r="ET8" s="3">
        <v>0</v>
      </c>
      <c r="EU8" s="3">
        <v>0</v>
      </c>
      <c r="EV8" s="3">
        <v>0</v>
      </c>
      <c r="EW8" s="3">
        <v>0</v>
      </c>
      <c r="EX8" s="3">
        <v>0</v>
      </c>
      <c r="EY8" s="3">
        <v>0</v>
      </c>
      <c r="EZ8" s="2">
        <f t="shared" si="77"/>
        <v>12.5</v>
      </c>
      <c r="FA8" s="2">
        <f t="shared" si="78"/>
        <v>12.5</v>
      </c>
      <c r="FB8" s="2">
        <f t="shared" si="79"/>
        <v>12.5</v>
      </c>
      <c r="FC8" s="2">
        <f t="shared" si="80"/>
        <v>25</v>
      </c>
      <c r="FD8" s="2">
        <f t="shared" si="81"/>
        <v>25</v>
      </c>
      <c r="FE8" s="2">
        <f t="shared" si="82"/>
        <v>25</v>
      </c>
      <c r="FF8" s="2">
        <f t="shared" si="83"/>
        <v>25</v>
      </c>
      <c r="FG8" s="2">
        <f t="shared" si="84"/>
        <v>25</v>
      </c>
      <c r="FH8" s="2">
        <f t="shared" si="85"/>
        <v>25</v>
      </c>
      <c r="FI8" s="2">
        <f t="shared" si="86"/>
        <v>50</v>
      </c>
      <c r="FJ8" s="2">
        <f t="shared" si="87"/>
        <v>25</v>
      </c>
      <c r="FK8" s="3">
        <v>0</v>
      </c>
      <c r="FL8" s="3">
        <v>0</v>
      </c>
      <c r="FM8" s="3">
        <v>0</v>
      </c>
      <c r="FN8" s="3">
        <v>0</v>
      </c>
      <c r="FO8" s="3">
        <v>0</v>
      </c>
      <c r="FP8" s="3">
        <v>0</v>
      </c>
      <c r="FQ8" s="3">
        <v>0</v>
      </c>
      <c r="FR8" s="3">
        <v>0</v>
      </c>
      <c r="FS8" s="3">
        <v>0</v>
      </c>
      <c r="FT8" s="3">
        <v>0</v>
      </c>
      <c r="FU8" s="3">
        <v>0</v>
      </c>
      <c r="FV8" s="2">
        <f t="shared" si="88"/>
        <v>12.5</v>
      </c>
      <c r="FW8" s="2">
        <f t="shared" si="89"/>
        <v>12.5</v>
      </c>
      <c r="FX8" s="2">
        <f t="shared" si="90"/>
        <v>12.5</v>
      </c>
      <c r="FY8" s="2">
        <f t="shared" si="91"/>
        <v>25</v>
      </c>
      <c r="FZ8" s="2">
        <f t="shared" si="92"/>
        <v>25</v>
      </c>
      <c r="GA8" s="2">
        <f t="shared" si="93"/>
        <v>25</v>
      </c>
      <c r="GB8" s="2">
        <f t="shared" si="94"/>
        <v>25</v>
      </c>
      <c r="GC8" s="2">
        <f t="shared" si="95"/>
        <v>25</v>
      </c>
      <c r="GD8" s="2">
        <f t="shared" si="96"/>
        <v>25</v>
      </c>
      <c r="GE8" s="2">
        <f t="shared" si="97"/>
        <v>50</v>
      </c>
      <c r="GF8" s="2">
        <f t="shared" si="98"/>
        <v>25</v>
      </c>
      <c r="GG8" s="3">
        <v>0</v>
      </c>
      <c r="GH8" s="3">
        <v>0</v>
      </c>
      <c r="GI8" s="3">
        <v>0</v>
      </c>
      <c r="GJ8" s="3">
        <v>0</v>
      </c>
      <c r="GK8" s="3">
        <v>0</v>
      </c>
      <c r="GL8" s="3">
        <v>0</v>
      </c>
      <c r="GM8" s="3">
        <v>0</v>
      </c>
      <c r="GN8" s="3">
        <v>0</v>
      </c>
      <c r="GO8" s="3">
        <v>0</v>
      </c>
      <c r="GP8" s="3">
        <v>0</v>
      </c>
      <c r="GQ8" s="3">
        <v>0</v>
      </c>
      <c r="GR8" s="2">
        <f t="shared" si="99"/>
        <v>12.5</v>
      </c>
      <c r="GS8" s="2">
        <f t="shared" si="100"/>
        <v>12.5</v>
      </c>
      <c r="GT8" s="2">
        <f t="shared" si="101"/>
        <v>12.5</v>
      </c>
      <c r="GU8" s="2">
        <f t="shared" si="102"/>
        <v>25</v>
      </c>
      <c r="GV8" s="2">
        <f t="shared" si="103"/>
        <v>25</v>
      </c>
      <c r="GW8" s="2">
        <f t="shared" si="104"/>
        <v>25</v>
      </c>
      <c r="GX8" s="2">
        <f t="shared" si="105"/>
        <v>25</v>
      </c>
      <c r="GY8" s="2">
        <f t="shared" si="106"/>
        <v>25</v>
      </c>
      <c r="GZ8" s="2">
        <f t="shared" si="107"/>
        <v>25</v>
      </c>
      <c r="HA8" s="2">
        <f t="shared" si="108"/>
        <v>50</v>
      </c>
      <c r="HB8" s="2">
        <f t="shared" si="109"/>
        <v>25</v>
      </c>
      <c r="HC8" s="3">
        <v>0</v>
      </c>
      <c r="HD8" s="3">
        <v>0</v>
      </c>
      <c r="HE8" s="3">
        <v>0</v>
      </c>
      <c r="HF8" s="3">
        <v>0</v>
      </c>
      <c r="HG8" s="3">
        <v>0</v>
      </c>
      <c r="HH8" s="3">
        <v>0</v>
      </c>
      <c r="HI8" s="3">
        <v>0</v>
      </c>
      <c r="HJ8" s="3">
        <v>0</v>
      </c>
      <c r="HK8" s="3">
        <v>0</v>
      </c>
      <c r="HL8" s="3">
        <v>0</v>
      </c>
      <c r="HM8" s="3">
        <v>0</v>
      </c>
      <c r="HN8" s="2">
        <f t="shared" si="110"/>
        <v>12.5</v>
      </c>
      <c r="HO8" s="2">
        <f t="shared" si="111"/>
        <v>12.5</v>
      </c>
      <c r="HP8" s="2">
        <f t="shared" si="112"/>
        <v>12.5</v>
      </c>
      <c r="HQ8" s="2">
        <f t="shared" si="113"/>
        <v>25</v>
      </c>
      <c r="HR8" s="2">
        <f t="shared" si="114"/>
        <v>25</v>
      </c>
      <c r="HS8" s="2">
        <f t="shared" si="115"/>
        <v>25</v>
      </c>
      <c r="HT8" s="2">
        <f t="shared" si="116"/>
        <v>25</v>
      </c>
      <c r="HU8" s="2">
        <f t="shared" si="117"/>
        <v>25</v>
      </c>
      <c r="HV8" s="2">
        <f t="shared" si="118"/>
        <v>25</v>
      </c>
      <c r="HW8" s="2">
        <f t="shared" si="119"/>
        <v>50</v>
      </c>
      <c r="HX8" s="2">
        <f t="shared" si="120"/>
        <v>25</v>
      </c>
      <c r="HY8" s="3">
        <v>0</v>
      </c>
      <c r="HZ8" s="3">
        <v>0</v>
      </c>
      <c r="IA8" s="3">
        <v>0</v>
      </c>
      <c r="IB8" s="3">
        <v>0</v>
      </c>
      <c r="IC8" s="3">
        <v>0</v>
      </c>
      <c r="ID8" s="3">
        <v>0</v>
      </c>
      <c r="IE8" s="3">
        <v>0</v>
      </c>
      <c r="IF8" s="3">
        <v>0</v>
      </c>
      <c r="IG8" s="3">
        <v>0</v>
      </c>
      <c r="IH8" s="3">
        <v>0</v>
      </c>
      <c r="II8" s="3">
        <v>0</v>
      </c>
      <c r="IJ8" s="2">
        <f t="shared" si="121"/>
        <v>12.5</v>
      </c>
      <c r="IK8" s="2">
        <f t="shared" si="122"/>
        <v>12.5</v>
      </c>
      <c r="IL8" s="2">
        <f t="shared" si="123"/>
        <v>12.5</v>
      </c>
      <c r="IM8" s="2">
        <f t="shared" si="124"/>
        <v>25</v>
      </c>
      <c r="IN8" s="2">
        <f t="shared" si="125"/>
        <v>25</v>
      </c>
      <c r="IO8" s="2">
        <f t="shared" si="126"/>
        <v>25</v>
      </c>
      <c r="IP8" s="2">
        <f t="shared" si="127"/>
        <v>25</v>
      </c>
      <c r="IQ8" s="2">
        <f t="shared" si="128"/>
        <v>25</v>
      </c>
      <c r="IR8" s="2">
        <f t="shared" si="129"/>
        <v>25</v>
      </c>
      <c r="IS8" s="2">
        <f t="shared" si="130"/>
        <v>50</v>
      </c>
      <c r="IT8" s="2">
        <f t="shared" si="131"/>
        <v>25</v>
      </c>
      <c r="IU8" s="3">
        <v>0</v>
      </c>
      <c r="IV8" s="3">
        <v>0</v>
      </c>
      <c r="IW8" s="3">
        <v>0</v>
      </c>
      <c r="IX8" s="3">
        <v>0</v>
      </c>
      <c r="IY8" s="3">
        <v>0</v>
      </c>
      <c r="IZ8" s="3">
        <v>0</v>
      </c>
      <c r="JA8" s="3">
        <v>0</v>
      </c>
      <c r="JB8" s="3">
        <v>0</v>
      </c>
      <c r="JC8" s="3">
        <v>0</v>
      </c>
      <c r="JD8" s="3">
        <v>0</v>
      </c>
      <c r="JE8" s="3">
        <v>0</v>
      </c>
      <c r="JF8" s="2">
        <f t="shared" si="132"/>
        <v>12.5</v>
      </c>
      <c r="JG8" s="2">
        <f t="shared" si="133"/>
        <v>12.5</v>
      </c>
      <c r="JH8" s="2">
        <f t="shared" si="134"/>
        <v>12.5</v>
      </c>
      <c r="JI8" s="2">
        <f t="shared" si="135"/>
        <v>25</v>
      </c>
      <c r="JJ8" s="2">
        <f t="shared" si="136"/>
        <v>25</v>
      </c>
      <c r="JK8" s="2">
        <f t="shared" si="137"/>
        <v>25</v>
      </c>
      <c r="JL8" s="2">
        <f t="shared" si="138"/>
        <v>25</v>
      </c>
      <c r="JM8" s="2">
        <f t="shared" si="139"/>
        <v>25</v>
      </c>
      <c r="JN8" s="2">
        <f t="shared" si="140"/>
        <v>25</v>
      </c>
      <c r="JO8" s="2">
        <f t="shared" si="141"/>
        <v>50</v>
      </c>
      <c r="JP8" s="2">
        <f t="shared" si="142"/>
        <v>25</v>
      </c>
      <c r="JQ8" s="3">
        <v>0</v>
      </c>
      <c r="JR8" s="3">
        <v>0</v>
      </c>
      <c r="JS8" s="3">
        <v>0</v>
      </c>
      <c r="JT8" s="3">
        <v>0</v>
      </c>
      <c r="JU8" s="3">
        <v>0</v>
      </c>
      <c r="JV8" s="3">
        <v>0</v>
      </c>
      <c r="JW8" s="3">
        <v>0</v>
      </c>
      <c r="JX8" s="3">
        <v>0</v>
      </c>
      <c r="JY8" s="3">
        <v>0</v>
      </c>
      <c r="JZ8" s="3">
        <v>0</v>
      </c>
      <c r="KA8" s="3">
        <v>0</v>
      </c>
      <c r="KB8" s="2">
        <f t="shared" si="143"/>
        <v>12.5</v>
      </c>
      <c r="KC8" s="2">
        <f t="shared" si="144"/>
        <v>12.5</v>
      </c>
      <c r="KD8" s="2">
        <f t="shared" si="145"/>
        <v>12.5</v>
      </c>
      <c r="KE8" s="2">
        <f t="shared" si="146"/>
        <v>25</v>
      </c>
      <c r="KF8" s="2">
        <f t="shared" si="147"/>
        <v>25</v>
      </c>
      <c r="KG8" s="2">
        <f t="shared" si="148"/>
        <v>25</v>
      </c>
      <c r="KH8" s="2">
        <f t="shared" si="149"/>
        <v>25</v>
      </c>
      <c r="KI8" s="2">
        <f t="shared" si="150"/>
        <v>25</v>
      </c>
      <c r="KJ8" s="2">
        <f t="shared" si="151"/>
        <v>25</v>
      </c>
      <c r="KK8" s="2">
        <f t="shared" si="152"/>
        <v>50</v>
      </c>
      <c r="KL8" s="2">
        <f t="shared" si="153"/>
        <v>25</v>
      </c>
      <c r="KM8" s="3">
        <v>0</v>
      </c>
      <c r="KN8" s="3">
        <v>0</v>
      </c>
      <c r="KO8" s="3">
        <v>0</v>
      </c>
      <c r="KP8" s="3">
        <v>0</v>
      </c>
      <c r="KQ8" s="3">
        <v>0</v>
      </c>
      <c r="KR8" s="3">
        <v>0</v>
      </c>
      <c r="KS8" s="3">
        <v>0</v>
      </c>
      <c r="KT8" s="3">
        <v>0</v>
      </c>
      <c r="KU8" s="3">
        <v>0</v>
      </c>
      <c r="KV8" s="3">
        <v>0</v>
      </c>
      <c r="KW8" s="3">
        <v>0</v>
      </c>
      <c r="KX8" s="2">
        <f t="shared" si="154"/>
        <v>12.5</v>
      </c>
      <c r="KY8" s="2">
        <f t="shared" si="155"/>
        <v>12.5</v>
      </c>
      <c r="KZ8" s="2">
        <f t="shared" si="156"/>
        <v>12.5</v>
      </c>
      <c r="LA8" s="2">
        <f t="shared" si="157"/>
        <v>25</v>
      </c>
      <c r="LB8" s="2">
        <f t="shared" si="158"/>
        <v>25</v>
      </c>
      <c r="LC8" s="2">
        <f t="shared" si="159"/>
        <v>25</v>
      </c>
      <c r="LD8" s="2">
        <f t="shared" si="160"/>
        <v>25</v>
      </c>
      <c r="LE8" s="2">
        <f t="shared" si="161"/>
        <v>25</v>
      </c>
      <c r="LF8" s="2">
        <f t="shared" si="162"/>
        <v>25</v>
      </c>
      <c r="LG8" s="2">
        <f t="shared" si="163"/>
        <v>50</v>
      </c>
      <c r="LH8" s="2">
        <f t="shared" si="164"/>
        <v>25</v>
      </c>
      <c r="LI8" s="3">
        <v>0</v>
      </c>
      <c r="LJ8" s="3">
        <v>0</v>
      </c>
      <c r="LK8" s="3">
        <v>0</v>
      </c>
      <c r="LL8" s="3">
        <v>0</v>
      </c>
      <c r="LM8" s="3">
        <v>0</v>
      </c>
      <c r="LN8" s="3">
        <v>0</v>
      </c>
      <c r="LO8" s="3">
        <v>0</v>
      </c>
      <c r="LP8" s="3">
        <v>0</v>
      </c>
      <c r="LQ8" s="3">
        <v>0</v>
      </c>
      <c r="LR8" s="3">
        <v>0</v>
      </c>
      <c r="LS8" s="3">
        <v>0</v>
      </c>
      <c r="LT8" s="2">
        <f t="shared" si="165"/>
        <v>12.5</v>
      </c>
      <c r="LU8" s="2">
        <f t="shared" si="166"/>
        <v>12.5</v>
      </c>
      <c r="LV8" s="2">
        <f t="shared" si="167"/>
        <v>12.5</v>
      </c>
      <c r="LW8" s="2">
        <f t="shared" si="168"/>
        <v>25</v>
      </c>
      <c r="LX8" s="2">
        <f t="shared" si="169"/>
        <v>25</v>
      </c>
      <c r="LY8" s="2">
        <f t="shared" si="170"/>
        <v>25</v>
      </c>
      <c r="LZ8" s="2">
        <f t="shared" si="171"/>
        <v>25</v>
      </c>
      <c r="MA8" s="2">
        <f t="shared" si="172"/>
        <v>25</v>
      </c>
      <c r="MB8" s="2">
        <f t="shared" si="173"/>
        <v>25</v>
      </c>
      <c r="MC8" s="2">
        <f t="shared" si="174"/>
        <v>50</v>
      </c>
      <c r="MD8" s="2">
        <f t="shared" si="175"/>
        <v>25</v>
      </c>
      <c r="ME8" s="3">
        <v>0</v>
      </c>
      <c r="MF8" s="3">
        <v>0</v>
      </c>
      <c r="MG8" s="3">
        <v>0</v>
      </c>
      <c r="MH8" s="3">
        <v>0</v>
      </c>
      <c r="MI8" s="3">
        <v>0</v>
      </c>
      <c r="MJ8" s="3">
        <v>0</v>
      </c>
      <c r="MK8" s="3">
        <v>0</v>
      </c>
      <c r="ML8" s="3">
        <v>0</v>
      </c>
      <c r="MM8" s="3">
        <v>0</v>
      </c>
      <c r="MN8" s="3">
        <v>0</v>
      </c>
      <c r="MO8" s="3">
        <v>0</v>
      </c>
      <c r="MP8" s="2">
        <f t="shared" si="176"/>
        <v>12.5</v>
      </c>
      <c r="MQ8" s="2">
        <f t="shared" si="177"/>
        <v>12.5</v>
      </c>
      <c r="MR8" s="2">
        <f t="shared" si="178"/>
        <v>12.5</v>
      </c>
      <c r="MS8" s="2">
        <f t="shared" si="179"/>
        <v>25</v>
      </c>
      <c r="MT8" s="2">
        <f t="shared" si="180"/>
        <v>25</v>
      </c>
      <c r="MU8" s="2">
        <f t="shared" si="181"/>
        <v>25</v>
      </c>
      <c r="MV8" s="2">
        <f t="shared" si="182"/>
        <v>25</v>
      </c>
      <c r="MW8" s="2">
        <f t="shared" si="183"/>
        <v>25</v>
      </c>
      <c r="MX8" s="2">
        <f t="shared" si="184"/>
        <v>25</v>
      </c>
      <c r="MY8" s="2">
        <f t="shared" si="185"/>
        <v>50</v>
      </c>
      <c r="MZ8" s="2">
        <f t="shared" si="186"/>
        <v>25</v>
      </c>
      <c r="NA8" s="3">
        <v>0</v>
      </c>
      <c r="NB8" s="3">
        <v>0</v>
      </c>
      <c r="NC8" s="3">
        <v>0</v>
      </c>
      <c r="ND8" s="3">
        <v>0</v>
      </c>
      <c r="NE8" s="3">
        <v>0</v>
      </c>
      <c r="NF8" s="3">
        <v>0</v>
      </c>
      <c r="NG8" s="3">
        <v>0</v>
      </c>
      <c r="NH8" s="3">
        <v>0</v>
      </c>
      <c r="NI8" s="3">
        <v>0</v>
      </c>
      <c r="NJ8" s="3">
        <v>0</v>
      </c>
      <c r="NK8" s="3">
        <v>0</v>
      </c>
      <c r="NL8" s="2">
        <f t="shared" si="187"/>
        <v>12.5</v>
      </c>
      <c r="NM8" s="2">
        <f t="shared" si="188"/>
        <v>12.5</v>
      </c>
      <c r="NN8" s="2">
        <f t="shared" si="189"/>
        <v>12.5</v>
      </c>
      <c r="NO8" s="2">
        <f t="shared" si="190"/>
        <v>25</v>
      </c>
      <c r="NP8" s="2">
        <f t="shared" si="191"/>
        <v>25</v>
      </c>
      <c r="NQ8" s="2">
        <f t="shared" si="192"/>
        <v>25</v>
      </c>
      <c r="NR8" s="2">
        <f t="shared" si="193"/>
        <v>25</v>
      </c>
      <c r="NS8" s="2">
        <f t="shared" si="194"/>
        <v>25</v>
      </c>
      <c r="NT8" s="2">
        <f t="shared" si="195"/>
        <v>25</v>
      </c>
      <c r="NU8" s="2">
        <f t="shared" si="196"/>
        <v>50</v>
      </c>
      <c r="NV8" s="2">
        <f t="shared" si="197"/>
        <v>25</v>
      </c>
      <c r="NW8" s="59">
        <v>0</v>
      </c>
      <c r="NX8" s="59">
        <v>0</v>
      </c>
      <c r="NY8" s="59">
        <v>0</v>
      </c>
      <c r="NZ8" s="59">
        <v>0</v>
      </c>
      <c r="OA8" s="59">
        <v>0</v>
      </c>
      <c r="OB8" s="59">
        <v>0</v>
      </c>
      <c r="OC8" s="59">
        <v>0</v>
      </c>
      <c r="OD8" s="59">
        <v>0</v>
      </c>
      <c r="OE8" s="59">
        <v>0</v>
      </c>
      <c r="OF8" s="59">
        <v>0</v>
      </c>
      <c r="OG8" s="59">
        <v>0</v>
      </c>
      <c r="OH8" s="2">
        <f t="shared" si="198"/>
        <v>12.5</v>
      </c>
      <c r="OI8" s="2">
        <f t="shared" si="199"/>
        <v>12.5</v>
      </c>
      <c r="OJ8" s="2">
        <f t="shared" si="200"/>
        <v>12.5</v>
      </c>
      <c r="OK8" s="2">
        <f t="shared" si="201"/>
        <v>25</v>
      </c>
      <c r="OL8" s="2">
        <f t="shared" si="202"/>
        <v>25</v>
      </c>
      <c r="OM8" s="2">
        <f t="shared" si="203"/>
        <v>25</v>
      </c>
      <c r="ON8" s="2">
        <f t="shared" si="204"/>
        <v>25</v>
      </c>
      <c r="OO8" s="2">
        <f t="shared" si="205"/>
        <v>25</v>
      </c>
      <c r="OP8" s="2">
        <f t="shared" si="206"/>
        <v>25</v>
      </c>
      <c r="OQ8" s="2">
        <f t="shared" si="207"/>
        <v>50</v>
      </c>
      <c r="OR8" s="2">
        <f t="shared" si="208"/>
        <v>25</v>
      </c>
      <c r="OS8" s="59">
        <v>0</v>
      </c>
      <c r="OT8" s="59">
        <v>0</v>
      </c>
      <c r="OU8" s="59">
        <v>0</v>
      </c>
      <c r="OV8" s="59">
        <v>0</v>
      </c>
      <c r="OW8" s="59">
        <v>0</v>
      </c>
      <c r="OX8" s="59">
        <v>0</v>
      </c>
      <c r="OY8" s="59">
        <v>0</v>
      </c>
      <c r="OZ8" s="59">
        <v>0</v>
      </c>
      <c r="PA8" s="59">
        <v>0</v>
      </c>
      <c r="PB8" s="59">
        <v>0</v>
      </c>
      <c r="PC8" s="59">
        <v>0</v>
      </c>
      <c r="PD8" s="2">
        <f t="shared" si="209"/>
        <v>12.5</v>
      </c>
      <c r="PE8" s="2">
        <f t="shared" si="210"/>
        <v>12.5</v>
      </c>
      <c r="PF8" s="2">
        <f t="shared" si="211"/>
        <v>12.5</v>
      </c>
      <c r="PG8" s="2">
        <f t="shared" si="212"/>
        <v>25</v>
      </c>
      <c r="PH8" s="2">
        <f t="shared" si="213"/>
        <v>25</v>
      </c>
      <c r="PI8" s="2">
        <f t="shared" si="214"/>
        <v>25</v>
      </c>
      <c r="PJ8" s="2">
        <f t="shared" si="215"/>
        <v>25</v>
      </c>
      <c r="PK8" s="2">
        <f t="shared" si="216"/>
        <v>25</v>
      </c>
      <c r="PL8" s="2">
        <f t="shared" si="217"/>
        <v>25</v>
      </c>
      <c r="PM8" s="2">
        <f t="shared" si="218"/>
        <v>50</v>
      </c>
      <c r="PN8" s="2">
        <f t="shared" si="219"/>
        <v>25</v>
      </c>
      <c r="PO8" s="59">
        <v>0</v>
      </c>
      <c r="PP8" s="59">
        <v>0</v>
      </c>
      <c r="PQ8" s="59">
        <v>0</v>
      </c>
      <c r="PR8" s="59">
        <v>0</v>
      </c>
      <c r="PS8" s="59">
        <v>0</v>
      </c>
      <c r="PT8" s="59">
        <v>0</v>
      </c>
      <c r="PU8" s="59">
        <v>0</v>
      </c>
      <c r="PV8" s="59">
        <v>0</v>
      </c>
      <c r="PW8" s="59">
        <v>0</v>
      </c>
      <c r="PX8" s="59">
        <v>0</v>
      </c>
      <c r="PY8" s="59">
        <v>0</v>
      </c>
      <c r="PZ8" s="2">
        <f t="shared" si="220"/>
        <v>12.5</v>
      </c>
      <c r="QA8" s="2">
        <f t="shared" si="221"/>
        <v>12.5</v>
      </c>
      <c r="QB8" s="2">
        <f t="shared" si="222"/>
        <v>12.5</v>
      </c>
      <c r="QC8" s="2">
        <f t="shared" si="223"/>
        <v>25</v>
      </c>
      <c r="QD8" s="2">
        <f t="shared" si="224"/>
        <v>25</v>
      </c>
      <c r="QE8" s="2">
        <f t="shared" si="225"/>
        <v>25</v>
      </c>
      <c r="QF8" s="2">
        <f t="shared" si="226"/>
        <v>25</v>
      </c>
      <c r="QG8" s="2">
        <f t="shared" si="227"/>
        <v>25</v>
      </c>
      <c r="QH8" s="2">
        <f t="shared" si="228"/>
        <v>25</v>
      </c>
      <c r="QI8" s="2">
        <f t="shared" si="229"/>
        <v>50</v>
      </c>
      <c r="QJ8" s="2">
        <f t="shared" si="230"/>
        <v>25</v>
      </c>
      <c r="QK8" s="59">
        <v>0</v>
      </c>
      <c r="QL8" s="59">
        <v>0</v>
      </c>
      <c r="QM8" s="59">
        <v>0</v>
      </c>
      <c r="QN8" s="59">
        <v>0</v>
      </c>
      <c r="QO8" s="59">
        <v>0</v>
      </c>
      <c r="QP8" s="59">
        <v>0</v>
      </c>
      <c r="QQ8" s="59">
        <v>0</v>
      </c>
      <c r="QR8" s="59">
        <v>0</v>
      </c>
      <c r="QS8" s="59">
        <v>0</v>
      </c>
      <c r="QT8" s="59">
        <v>0</v>
      </c>
      <c r="QU8" s="59">
        <v>0</v>
      </c>
      <c r="QV8" s="2">
        <f t="shared" si="231"/>
        <v>12.5</v>
      </c>
      <c r="QW8" s="2">
        <f t="shared" si="232"/>
        <v>12.5</v>
      </c>
      <c r="QX8" s="2">
        <f t="shared" si="233"/>
        <v>12.5</v>
      </c>
      <c r="QY8" s="2">
        <f t="shared" si="234"/>
        <v>25</v>
      </c>
      <c r="QZ8" s="2">
        <f t="shared" si="235"/>
        <v>25</v>
      </c>
      <c r="RA8" s="2">
        <f t="shared" si="236"/>
        <v>25</v>
      </c>
      <c r="RB8" s="2">
        <f t="shared" si="237"/>
        <v>25</v>
      </c>
      <c r="RC8" s="2">
        <f t="shared" si="238"/>
        <v>25</v>
      </c>
      <c r="RD8" s="2">
        <f t="shared" si="239"/>
        <v>25</v>
      </c>
      <c r="RE8" s="2">
        <f t="shared" si="240"/>
        <v>50</v>
      </c>
      <c r="RF8" s="2">
        <f t="shared" si="241"/>
        <v>25</v>
      </c>
      <c r="RG8" s="59">
        <v>0</v>
      </c>
      <c r="RH8" s="59">
        <v>0</v>
      </c>
      <c r="RI8" s="59">
        <v>0</v>
      </c>
      <c r="RJ8" s="59">
        <v>0</v>
      </c>
      <c r="RK8" s="59">
        <v>0</v>
      </c>
      <c r="RL8" s="59">
        <v>0</v>
      </c>
      <c r="RM8" s="59">
        <v>0</v>
      </c>
      <c r="RN8" s="59">
        <v>0</v>
      </c>
      <c r="RO8" s="59">
        <v>0</v>
      </c>
      <c r="RP8" s="59">
        <v>0</v>
      </c>
      <c r="RQ8" s="59">
        <v>0</v>
      </c>
      <c r="RR8" s="2">
        <f t="shared" si="242"/>
        <v>12.5</v>
      </c>
      <c r="RS8" s="2">
        <f t="shared" si="243"/>
        <v>12.5</v>
      </c>
      <c r="RT8" s="2">
        <f t="shared" si="244"/>
        <v>12.5</v>
      </c>
      <c r="RU8" s="2">
        <f t="shared" si="245"/>
        <v>25</v>
      </c>
      <c r="RV8" s="2">
        <f t="shared" si="246"/>
        <v>25</v>
      </c>
      <c r="RW8" s="2">
        <f t="shared" si="247"/>
        <v>25</v>
      </c>
      <c r="RX8" s="2">
        <f t="shared" si="248"/>
        <v>25</v>
      </c>
      <c r="RY8" s="2">
        <f t="shared" si="249"/>
        <v>25</v>
      </c>
      <c r="RZ8" s="2">
        <f t="shared" si="250"/>
        <v>25</v>
      </c>
      <c r="SA8" s="2">
        <f t="shared" si="251"/>
        <v>50</v>
      </c>
      <c r="SB8" s="2">
        <f t="shared" si="252"/>
        <v>25</v>
      </c>
      <c r="SC8" s="59">
        <v>0</v>
      </c>
      <c r="SD8" s="59">
        <v>0</v>
      </c>
      <c r="SE8" s="59">
        <v>0</v>
      </c>
      <c r="SF8" s="59">
        <v>0</v>
      </c>
      <c r="SG8" s="59">
        <v>0</v>
      </c>
      <c r="SH8" s="59">
        <v>0</v>
      </c>
      <c r="SI8" s="59">
        <v>0</v>
      </c>
      <c r="SJ8" s="59">
        <v>0</v>
      </c>
      <c r="SK8" s="59">
        <v>0</v>
      </c>
      <c r="SL8" s="59">
        <v>0</v>
      </c>
      <c r="SM8" s="59">
        <v>0</v>
      </c>
      <c r="SN8" s="2">
        <f t="shared" si="253"/>
        <v>12.5</v>
      </c>
      <c r="SO8" s="2">
        <f t="shared" si="254"/>
        <v>12.5</v>
      </c>
      <c r="SP8" s="2">
        <f t="shared" si="255"/>
        <v>12.5</v>
      </c>
      <c r="SQ8" s="2">
        <f t="shared" si="256"/>
        <v>25</v>
      </c>
      <c r="SR8" s="2">
        <f t="shared" si="257"/>
        <v>25</v>
      </c>
      <c r="SS8" s="2">
        <f t="shared" si="258"/>
        <v>25</v>
      </c>
      <c r="ST8" s="2">
        <f t="shared" si="259"/>
        <v>25</v>
      </c>
      <c r="SU8" s="2">
        <f t="shared" si="260"/>
        <v>25</v>
      </c>
      <c r="SV8" s="2">
        <f t="shared" si="261"/>
        <v>25</v>
      </c>
      <c r="SW8" s="2">
        <f t="shared" si="262"/>
        <v>50</v>
      </c>
      <c r="SX8" s="2">
        <f t="shared" si="263"/>
        <v>25</v>
      </c>
      <c r="SY8" s="59">
        <v>0</v>
      </c>
      <c r="SZ8" s="59">
        <v>0</v>
      </c>
      <c r="TA8" s="59">
        <v>0</v>
      </c>
      <c r="TB8" s="59">
        <v>0</v>
      </c>
      <c r="TC8" s="59">
        <v>0</v>
      </c>
      <c r="TD8" s="59">
        <v>0</v>
      </c>
      <c r="TE8" s="59">
        <v>0</v>
      </c>
      <c r="TF8" s="59">
        <v>0</v>
      </c>
      <c r="TG8" s="59">
        <v>0</v>
      </c>
      <c r="TH8" s="59">
        <v>0</v>
      </c>
      <c r="TI8" s="59">
        <v>0</v>
      </c>
      <c r="TJ8" s="2">
        <f t="shared" si="264"/>
        <v>12.5</v>
      </c>
      <c r="TK8" s="2">
        <f t="shared" si="265"/>
        <v>12.5</v>
      </c>
      <c r="TL8" s="2">
        <f t="shared" si="266"/>
        <v>12.5</v>
      </c>
      <c r="TM8" s="2">
        <f t="shared" si="267"/>
        <v>25</v>
      </c>
      <c r="TN8" s="2">
        <f t="shared" si="268"/>
        <v>25</v>
      </c>
      <c r="TO8" s="2">
        <f t="shared" si="269"/>
        <v>25</v>
      </c>
      <c r="TP8" s="2">
        <f t="shared" si="270"/>
        <v>25</v>
      </c>
      <c r="TQ8" s="2">
        <f t="shared" si="271"/>
        <v>25</v>
      </c>
      <c r="TR8" s="2">
        <f t="shared" si="272"/>
        <v>25</v>
      </c>
      <c r="TS8" s="2">
        <f t="shared" si="273"/>
        <v>50</v>
      </c>
      <c r="TT8" s="2">
        <f t="shared" si="274"/>
        <v>25</v>
      </c>
      <c r="TU8" s="59">
        <v>0</v>
      </c>
      <c r="TV8" s="59">
        <v>0</v>
      </c>
      <c r="TW8" s="59">
        <v>0</v>
      </c>
      <c r="TX8" s="59">
        <v>0</v>
      </c>
      <c r="TY8" s="59">
        <v>0</v>
      </c>
      <c r="TZ8" s="59">
        <v>0</v>
      </c>
      <c r="UA8" s="59">
        <v>0</v>
      </c>
      <c r="UB8" s="59">
        <v>0</v>
      </c>
      <c r="UC8" s="59">
        <v>0</v>
      </c>
      <c r="UD8" s="59">
        <v>0</v>
      </c>
      <c r="UE8" s="59">
        <v>0</v>
      </c>
      <c r="UF8" s="2">
        <f t="shared" si="275"/>
        <v>12.5</v>
      </c>
      <c r="UG8" s="2">
        <f t="shared" si="276"/>
        <v>12.5</v>
      </c>
      <c r="UH8" s="2">
        <f t="shared" si="277"/>
        <v>12.5</v>
      </c>
      <c r="UI8" s="2">
        <f t="shared" si="278"/>
        <v>25</v>
      </c>
      <c r="UJ8" s="2">
        <f t="shared" si="279"/>
        <v>25</v>
      </c>
      <c r="UK8" s="2">
        <f t="shared" si="280"/>
        <v>25</v>
      </c>
      <c r="UL8" s="2">
        <f t="shared" si="281"/>
        <v>25</v>
      </c>
      <c r="UM8" s="2">
        <f t="shared" si="282"/>
        <v>25</v>
      </c>
      <c r="UN8" s="2">
        <f t="shared" si="283"/>
        <v>25</v>
      </c>
      <c r="UO8" s="2">
        <f t="shared" si="284"/>
        <v>50</v>
      </c>
      <c r="UP8" s="2">
        <f t="shared" si="285"/>
        <v>25</v>
      </c>
      <c r="UQ8" s="59">
        <v>0</v>
      </c>
      <c r="UR8" s="59">
        <v>0</v>
      </c>
      <c r="US8" s="59">
        <v>0</v>
      </c>
      <c r="UT8" s="59">
        <v>0</v>
      </c>
      <c r="UU8" s="59">
        <v>0</v>
      </c>
      <c r="UV8" s="59">
        <v>0</v>
      </c>
      <c r="UW8" s="59">
        <v>0</v>
      </c>
      <c r="UX8" s="59">
        <v>0</v>
      </c>
      <c r="UY8" s="59">
        <v>0</v>
      </c>
      <c r="UZ8" s="59">
        <v>0</v>
      </c>
      <c r="VA8" s="59">
        <v>0</v>
      </c>
      <c r="VB8" s="2">
        <f t="shared" si="286"/>
        <v>12.5</v>
      </c>
      <c r="VC8" s="2">
        <f t="shared" si="287"/>
        <v>12.5</v>
      </c>
      <c r="VD8" s="2">
        <f t="shared" si="288"/>
        <v>12.5</v>
      </c>
      <c r="VE8" s="2">
        <f t="shared" si="289"/>
        <v>25</v>
      </c>
      <c r="VF8" s="2">
        <f t="shared" si="290"/>
        <v>25</v>
      </c>
      <c r="VG8" s="2">
        <f t="shared" si="291"/>
        <v>25</v>
      </c>
      <c r="VH8" s="2">
        <f t="shared" si="292"/>
        <v>25</v>
      </c>
      <c r="VI8" s="2">
        <f t="shared" si="293"/>
        <v>25</v>
      </c>
      <c r="VJ8" s="2">
        <f t="shared" si="294"/>
        <v>25</v>
      </c>
      <c r="VK8" s="2">
        <f t="shared" si="295"/>
        <v>50</v>
      </c>
      <c r="VL8" s="2">
        <f t="shared" si="296"/>
        <v>25</v>
      </c>
      <c r="VM8" s="59">
        <v>0</v>
      </c>
      <c r="VN8" s="59">
        <v>0</v>
      </c>
      <c r="VO8" s="59">
        <v>0</v>
      </c>
      <c r="VP8" s="59">
        <v>0</v>
      </c>
      <c r="VQ8" s="59">
        <v>0</v>
      </c>
      <c r="VR8" s="59">
        <v>0</v>
      </c>
      <c r="VS8" s="59">
        <v>0</v>
      </c>
      <c r="VT8" s="59">
        <v>0</v>
      </c>
      <c r="VU8" s="59">
        <v>0</v>
      </c>
      <c r="VV8" s="59">
        <v>0</v>
      </c>
      <c r="VW8" s="59">
        <v>0</v>
      </c>
      <c r="VX8" s="2">
        <f t="shared" si="297"/>
        <v>12.5</v>
      </c>
      <c r="VY8" s="2">
        <f t="shared" si="298"/>
        <v>12.5</v>
      </c>
      <c r="VZ8" s="2">
        <f t="shared" si="299"/>
        <v>12.5</v>
      </c>
      <c r="WA8" s="2">
        <f t="shared" si="300"/>
        <v>25</v>
      </c>
      <c r="WB8" s="2">
        <f t="shared" si="301"/>
        <v>25</v>
      </c>
      <c r="WC8" s="2">
        <f t="shared" si="302"/>
        <v>25</v>
      </c>
      <c r="WD8" s="2">
        <f t="shared" si="303"/>
        <v>25</v>
      </c>
      <c r="WE8" s="2">
        <f t="shared" si="304"/>
        <v>25</v>
      </c>
      <c r="WF8" s="2">
        <f t="shared" si="305"/>
        <v>25</v>
      </c>
      <c r="WG8" s="2">
        <f t="shared" si="306"/>
        <v>50</v>
      </c>
      <c r="WH8" s="2">
        <f t="shared" si="307"/>
        <v>25</v>
      </c>
      <c r="WI8" s="59">
        <v>0</v>
      </c>
      <c r="WJ8" s="59">
        <v>0</v>
      </c>
      <c r="WK8" s="59">
        <v>0</v>
      </c>
      <c r="WL8" s="59">
        <v>0</v>
      </c>
      <c r="WM8" s="59">
        <v>0</v>
      </c>
      <c r="WN8" s="59">
        <v>0</v>
      </c>
      <c r="WO8" s="59">
        <v>0</v>
      </c>
      <c r="WP8" s="59">
        <v>0</v>
      </c>
      <c r="WQ8" s="59">
        <v>0</v>
      </c>
      <c r="WR8" s="59">
        <v>0</v>
      </c>
      <c r="WS8" s="59">
        <v>0</v>
      </c>
      <c r="WT8" s="2">
        <f t="shared" si="308"/>
        <v>12.5</v>
      </c>
      <c r="WU8" s="2">
        <f t="shared" si="309"/>
        <v>12.5</v>
      </c>
      <c r="WV8" s="2">
        <f t="shared" si="310"/>
        <v>12.5</v>
      </c>
      <c r="WW8" s="2">
        <f t="shared" si="311"/>
        <v>25</v>
      </c>
      <c r="WX8" s="2">
        <f t="shared" si="312"/>
        <v>25</v>
      </c>
      <c r="WY8" s="2">
        <f t="shared" si="313"/>
        <v>25</v>
      </c>
      <c r="WZ8" s="2">
        <f t="shared" si="314"/>
        <v>25</v>
      </c>
      <c r="XA8" s="2">
        <f t="shared" si="315"/>
        <v>25</v>
      </c>
      <c r="XB8" s="2">
        <f t="shared" si="316"/>
        <v>25</v>
      </c>
      <c r="XC8" s="2">
        <f t="shared" si="317"/>
        <v>50</v>
      </c>
      <c r="XD8" s="2">
        <f t="shared" si="318"/>
        <v>25</v>
      </c>
      <c r="XE8" s="59">
        <v>0</v>
      </c>
      <c r="XF8" s="59">
        <v>0</v>
      </c>
      <c r="XG8" s="59">
        <v>0</v>
      </c>
      <c r="XH8" s="59">
        <v>0</v>
      </c>
      <c r="XI8" s="59">
        <v>0</v>
      </c>
      <c r="XJ8" s="59">
        <v>0</v>
      </c>
      <c r="XK8" s="59">
        <v>0</v>
      </c>
      <c r="XL8" s="59">
        <v>0</v>
      </c>
      <c r="XM8" s="59">
        <v>0</v>
      </c>
      <c r="XN8" s="59">
        <v>0</v>
      </c>
      <c r="XO8" s="59">
        <v>0</v>
      </c>
      <c r="XP8" s="2">
        <f t="shared" si="319"/>
        <v>12.5</v>
      </c>
      <c r="XQ8" s="2">
        <f t="shared" si="320"/>
        <v>12.5</v>
      </c>
      <c r="XR8" s="2">
        <f t="shared" si="321"/>
        <v>12.5</v>
      </c>
      <c r="XS8" s="2">
        <f t="shared" si="322"/>
        <v>25</v>
      </c>
      <c r="XT8" s="2">
        <f t="shared" si="323"/>
        <v>25</v>
      </c>
      <c r="XU8" s="2">
        <f t="shared" si="324"/>
        <v>25</v>
      </c>
      <c r="XV8" s="2">
        <f t="shared" si="325"/>
        <v>25</v>
      </c>
      <c r="XW8" s="2">
        <f t="shared" si="326"/>
        <v>25</v>
      </c>
      <c r="XX8" s="2">
        <f t="shared" si="327"/>
        <v>25</v>
      </c>
      <c r="XY8" s="2">
        <f t="shared" si="328"/>
        <v>50</v>
      </c>
      <c r="XZ8" s="2">
        <f t="shared" si="329"/>
        <v>25</v>
      </c>
      <c r="YA8" s="59">
        <v>0</v>
      </c>
      <c r="YB8" s="59">
        <v>0</v>
      </c>
      <c r="YC8" s="59">
        <v>0</v>
      </c>
      <c r="YD8" s="59">
        <v>0</v>
      </c>
      <c r="YE8" s="59">
        <v>0</v>
      </c>
      <c r="YF8" s="59">
        <v>0</v>
      </c>
      <c r="YG8" s="59">
        <v>0</v>
      </c>
      <c r="YH8" s="59">
        <v>0</v>
      </c>
      <c r="YI8" s="59">
        <v>0</v>
      </c>
      <c r="YJ8" s="59">
        <v>0</v>
      </c>
      <c r="YK8" s="59">
        <v>0</v>
      </c>
      <c r="YL8" s="2">
        <f t="shared" si="330"/>
        <v>12.5</v>
      </c>
      <c r="YM8" s="2">
        <f t="shared" si="331"/>
        <v>12.5</v>
      </c>
      <c r="YN8" s="2">
        <f t="shared" si="332"/>
        <v>12.5</v>
      </c>
      <c r="YO8" s="2">
        <f t="shared" si="333"/>
        <v>25</v>
      </c>
      <c r="YP8" s="2">
        <f t="shared" si="334"/>
        <v>25</v>
      </c>
      <c r="YQ8" s="2">
        <f t="shared" si="335"/>
        <v>25</v>
      </c>
      <c r="YR8" s="2">
        <f t="shared" si="336"/>
        <v>25</v>
      </c>
      <c r="YS8" s="2">
        <f t="shared" si="337"/>
        <v>25</v>
      </c>
      <c r="YT8" s="2">
        <f t="shared" si="338"/>
        <v>25</v>
      </c>
      <c r="YU8" s="2">
        <f t="shared" si="339"/>
        <v>50</v>
      </c>
      <c r="YV8" s="2">
        <f t="shared" si="340"/>
        <v>25</v>
      </c>
      <c r="YW8" s="59">
        <v>0</v>
      </c>
      <c r="YX8" s="59">
        <v>0</v>
      </c>
      <c r="YY8" s="59">
        <v>0</v>
      </c>
      <c r="YZ8" s="59">
        <v>0</v>
      </c>
      <c r="ZA8" s="59">
        <v>0</v>
      </c>
      <c r="ZB8" s="59">
        <v>0</v>
      </c>
      <c r="ZC8" s="59">
        <v>0</v>
      </c>
      <c r="ZD8" s="59">
        <v>0</v>
      </c>
      <c r="ZE8" s="59">
        <v>0</v>
      </c>
      <c r="ZF8" s="59">
        <v>0</v>
      </c>
      <c r="ZG8" s="59">
        <v>0</v>
      </c>
      <c r="ZH8" s="2">
        <f t="shared" si="341"/>
        <v>12.5</v>
      </c>
      <c r="ZI8" s="2">
        <f t="shared" si="342"/>
        <v>12.5</v>
      </c>
      <c r="ZJ8" s="2">
        <f t="shared" si="343"/>
        <v>12.5</v>
      </c>
      <c r="ZK8" s="2">
        <f t="shared" si="344"/>
        <v>25</v>
      </c>
      <c r="ZL8" s="2">
        <f t="shared" si="345"/>
        <v>25</v>
      </c>
      <c r="ZM8" s="2">
        <f t="shared" si="346"/>
        <v>25</v>
      </c>
      <c r="ZN8" s="2">
        <f t="shared" si="347"/>
        <v>25</v>
      </c>
      <c r="ZO8" s="2">
        <f t="shared" si="348"/>
        <v>25</v>
      </c>
      <c r="ZP8" s="2">
        <f t="shared" si="349"/>
        <v>25</v>
      </c>
      <c r="ZQ8" s="2">
        <f t="shared" si="350"/>
        <v>50</v>
      </c>
      <c r="ZR8" s="2">
        <f t="shared" si="351"/>
        <v>25</v>
      </c>
      <c r="ZS8" s="59">
        <v>0</v>
      </c>
      <c r="ZT8" s="59">
        <v>0</v>
      </c>
      <c r="ZU8" s="59">
        <v>0</v>
      </c>
      <c r="ZV8" s="59">
        <v>0</v>
      </c>
      <c r="ZW8" s="59">
        <v>0</v>
      </c>
      <c r="ZX8" s="59">
        <v>0</v>
      </c>
      <c r="ZY8" s="59">
        <v>0</v>
      </c>
      <c r="ZZ8" s="59">
        <v>0</v>
      </c>
      <c r="AAA8" s="59">
        <v>0</v>
      </c>
      <c r="AAB8" s="59">
        <v>0</v>
      </c>
      <c r="AAC8" s="59">
        <v>0</v>
      </c>
    </row>
    <row r="9" spans="1:705" x14ac:dyDescent="0.2">
      <c r="A9" s="1">
        <v>4</v>
      </c>
      <c r="B9" s="2">
        <f t="shared" si="0"/>
        <v>12.5</v>
      </c>
      <c r="C9" s="2">
        <f t="shared" si="1"/>
        <v>12.5</v>
      </c>
      <c r="D9" s="2">
        <f t="shared" si="2"/>
        <v>12.5</v>
      </c>
      <c r="E9" s="2">
        <f t="shared" si="3"/>
        <v>33.125</v>
      </c>
      <c r="F9" s="2">
        <f t="shared" si="4"/>
        <v>33.125</v>
      </c>
      <c r="G9" s="2">
        <f t="shared" si="5"/>
        <v>33.125</v>
      </c>
      <c r="H9" s="2">
        <f t="shared" si="6"/>
        <v>33.125</v>
      </c>
      <c r="I9" s="2">
        <f t="shared" si="7"/>
        <v>35</v>
      </c>
      <c r="J9" s="2">
        <f t="shared" si="8"/>
        <v>35</v>
      </c>
      <c r="K9" s="2">
        <f t="shared" si="9"/>
        <v>56.25</v>
      </c>
      <c r="L9" s="2">
        <f t="shared" si="10"/>
        <v>25</v>
      </c>
      <c r="M9" s="3">
        <v>0</v>
      </c>
      <c r="N9" s="3">
        <v>0</v>
      </c>
      <c r="O9" s="3">
        <v>0</v>
      </c>
      <c r="P9" s="3">
        <v>0</v>
      </c>
      <c r="Q9" s="3">
        <v>0</v>
      </c>
      <c r="R9" s="3">
        <v>0</v>
      </c>
      <c r="S9" s="3">
        <v>0</v>
      </c>
      <c r="T9" s="3">
        <v>0</v>
      </c>
      <c r="U9" s="3">
        <v>0</v>
      </c>
      <c r="V9" s="3">
        <v>0</v>
      </c>
      <c r="W9" s="3">
        <v>0</v>
      </c>
      <c r="X9" s="2">
        <f t="shared" si="11"/>
        <v>12.5</v>
      </c>
      <c r="Y9" s="2">
        <f t="shared" si="12"/>
        <v>12.5</v>
      </c>
      <c r="Z9" s="2">
        <f t="shared" si="13"/>
        <v>12.5</v>
      </c>
      <c r="AA9" s="2">
        <f t="shared" si="14"/>
        <v>33.125</v>
      </c>
      <c r="AB9" s="2">
        <f t="shared" si="15"/>
        <v>33.125</v>
      </c>
      <c r="AC9" s="2">
        <f t="shared" si="16"/>
        <v>33.125</v>
      </c>
      <c r="AD9" s="2">
        <f t="shared" si="17"/>
        <v>33.125</v>
      </c>
      <c r="AE9" s="2">
        <f t="shared" si="18"/>
        <v>15</v>
      </c>
      <c r="AF9" s="2">
        <f t="shared" si="19"/>
        <v>35</v>
      </c>
      <c r="AG9" s="2">
        <f t="shared" si="20"/>
        <v>56.25</v>
      </c>
      <c r="AH9" s="2">
        <f t="shared" si="21"/>
        <v>25</v>
      </c>
      <c r="AI9" s="3">
        <v>0</v>
      </c>
      <c r="AJ9" s="3">
        <v>0</v>
      </c>
      <c r="AK9" s="3">
        <v>0</v>
      </c>
      <c r="AL9" s="3">
        <v>0</v>
      </c>
      <c r="AM9" s="3">
        <v>0</v>
      </c>
      <c r="AN9" s="3">
        <v>0</v>
      </c>
      <c r="AO9" s="3">
        <v>0</v>
      </c>
      <c r="AP9" s="3">
        <v>0</v>
      </c>
      <c r="AQ9" s="3">
        <v>0</v>
      </c>
      <c r="AR9" s="3">
        <v>0</v>
      </c>
      <c r="AS9" s="3">
        <v>0</v>
      </c>
      <c r="AT9" s="2">
        <f t="shared" si="22"/>
        <v>12.5</v>
      </c>
      <c r="AU9" s="2">
        <f t="shared" si="23"/>
        <v>12.5</v>
      </c>
      <c r="AV9" s="2">
        <f t="shared" si="24"/>
        <v>12.5</v>
      </c>
      <c r="AW9" s="2">
        <f t="shared" si="25"/>
        <v>33.125</v>
      </c>
      <c r="AX9" s="2">
        <f t="shared" si="26"/>
        <v>23.125</v>
      </c>
      <c r="AY9" s="2">
        <f t="shared" si="27"/>
        <v>33.125</v>
      </c>
      <c r="AZ9" s="2">
        <f t="shared" si="28"/>
        <v>23.125</v>
      </c>
      <c r="BA9" s="2">
        <f t="shared" si="29"/>
        <v>35</v>
      </c>
      <c r="BB9" s="2">
        <f t="shared" si="30"/>
        <v>35</v>
      </c>
      <c r="BC9" s="2">
        <f t="shared" si="31"/>
        <v>56.25</v>
      </c>
      <c r="BD9" s="2">
        <f t="shared" si="32"/>
        <v>25</v>
      </c>
      <c r="BE9" s="3">
        <v>0</v>
      </c>
      <c r="BF9" s="3">
        <v>0</v>
      </c>
      <c r="BG9" s="3">
        <v>0</v>
      </c>
      <c r="BH9" s="3">
        <v>0</v>
      </c>
      <c r="BI9" s="3">
        <v>0</v>
      </c>
      <c r="BJ9" s="3">
        <v>0</v>
      </c>
      <c r="BK9" s="3">
        <v>0</v>
      </c>
      <c r="BL9" s="3">
        <v>0</v>
      </c>
      <c r="BM9" s="3">
        <v>0</v>
      </c>
      <c r="BN9" s="3">
        <v>0</v>
      </c>
      <c r="BO9" s="3">
        <v>0</v>
      </c>
      <c r="BP9" s="2">
        <f t="shared" si="33"/>
        <v>12.5</v>
      </c>
      <c r="BQ9" s="2">
        <f t="shared" si="34"/>
        <v>12.5</v>
      </c>
      <c r="BR9" s="2">
        <f t="shared" si="35"/>
        <v>12.5</v>
      </c>
      <c r="BS9" s="2">
        <f t="shared" si="36"/>
        <v>33.125</v>
      </c>
      <c r="BT9" s="2">
        <f t="shared" si="37"/>
        <v>23.125</v>
      </c>
      <c r="BU9" s="2">
        <f t="shared" si="38"/>
        <v>33.125</v>
      </c>
      <c r="BV9" s="2">
        <f t="shared" si="39"/>
        <v>23.125</v>
      </c>
      <c r="BW9" s="2">
        <f t="shared" si="40"/>
        <v>15</v>
      </c>
      <c r="BX9" s="2">
        <f t="shared" si="41"/>
        <v>35</v>
      </c>
      <c r="BY9" s="2">
        <f t="shared" si="42"/>
        <v>56.25</v>
      </c>
      <c r="BZ9" s="2">
        <f t="shared" si="43"/>
        <v>25</v>
      </c>
      <c r="CA9" s="3">
        <v>0</v>
      </c>
      <c r="CB9" s="3">
        <v>0</v>
      </c>
      <c r="CC9" s="3">
        <v>0</v>
      </c>
      <c r="CD9" s="3">
        <v>0</v>
      </c>
      <c r="CE9" s="3">
        <v>0</v>
      </c>
      <c r="CF9" s="3">
        <v>0</v>
      </c>
      <c r="CG9" s="3">
        <v>0</v>
      </c>
      <c r="CH9" s="3">
        <v>0</v>
      </c>
      <c r="CI9" s="3">
        <v>0</v>
      </c>
      <c r="CJ9" s="3">
        <v>0</v>
      </c>
      <c r="CK9" s="3">
        <v>0</v>
      </c>
      <c r="CL9" s="2">
        <f t="shared" si="44"/>
        <v>12.5</v>
      </c>
      <c r="CM9" s="2">
        <f t="shared" si="45"/>
        <v>12.5</v>
      </c>
      <c r="CN9" s="2">
        <f t="shared" si="46"/>
        <v>12.5</v>
      </c>
      <c r="CO9" s="2">
        <f t="shared" si="47"/>
        <v>23.125</v>
      </c>
      <c r="CP9" s="2">
        <f t="shared" si="48"/>
        <v>33.125</v>
      </c>
      <c r="CQ9" s="2">
        <f t="shared" si="49"/>
        <v>33.125</v>
      </c>
      <c r="CR9" s="2">
        <f t="shared" si="50"/>
        <v>33.125</v>
      </c>
      <c r="CS9" s="2">
        <f t="shared" si="51"/>
        <v>35</v>
      </c>
      <c r="CT9" s="2">
        <f t="shared" si="52"/>
        <v>35</v>
      </c>
      <c r="CU9" s="2">
        <f t="shared" si="53"/>
        <v>56.25</v>
      </c>
      <c r="CV9" s="2">
        <f t="shared" si="54"/>
        <v>25</v>
      </c>
      <c r="CW9" s="3">
        <v>0</v>
      </c>
      <c r="CX9" s="3">
        <v>0</v>
      </c>
      <c r="CY9" s="3">
        <v>0</v>
      </c>
      <c r="CZ9" s="3">
        <v>0</v>
      </c>
      <c r="DA9" s="3">
        <v>0</v>
      </c>
      <c r="DB9" s="3">
        <v>0</v>
      </c>
      <c r="DC9" s="3">
        <v>0</v>
      </c>
      <c r="DD9" s="3">
        <v>0</v>
      </c>
      <c r="DE9" s="3">
        <v>0</v>
      </c>
      <c r="DF9" s="3">
        <v>0</v>
      </c>
      <c r="DG9" s="3">
        <v>0</v>
      </c>
      <c r="DH9" s="2">
        <f t="shared" si="55"/>
        <v>12.5</v>
      </c>
      <c r="DI9" s="2">
        <f t="shared" si="56"/>
        <v>12.5</v>
      </c>
      <c r="DJ9" s="2">
        <f t="shared" si="57"/>
        <v>12.5</v>
      </c>
      <c r="DK9" s="2">
        <f t="shared" si="58"/>
        <v>23.125</v>
      </c>
      <c r="DL9" s="2">
        <f t="shared" si="59"/>
        <v>33.125</v>
      </c>
      <c r="DM9" s="2">
        <f t="shared" si="60"/>
        <v>33.125</v>
      </c>
      <c r="DN9" s="2">
        <f t="shared" si="61"/>
        <v>33.125</v>
      </c>
      <c r="DO9" s="2">
        <f t="shared" si="62"/>
        <v>15</v>
      </c>
      <c r="DP9" s="2">
        <f t="shared" si="63"/>
        <v>35</v>
      </c>
      <c r="DQ9" s="2">
        <f t="shared" si="64"/>
        <v>56.25</v>
      </c>
      <c r="DR9" s="2">
        <f t="shared" si="65"/>
        <v>25</v>
      </c>
      <c r="DS9" s="3">
        <v>0</v>
      </c>
      <c r="DT9" s="3">
        <v>0</v>
      </c>
      <c r="DU9" s="3">
        <v>0</v>
      </c>
      <c r="DV9" s="3">
        <v>0</v>
      </c>
      <c r="DW9" s="3">
        <v>0</v>
      </c>
      <c r="DX9" s="3">
        <v>0</v>
      </c>
      <c r="DY9" s="3">
        <v>0</v>
      </c>
      <c r="DZ9" s="3">
        <v>0</v>
      </c>
      <c r="EA9" s="3">
        <v>0</v>
      </c>
      <c r="EB9" s="3">
        <v>0</v>
      </c>
      <c r="EC9" s="3">
        <v>0</v>
      </c>
      <c r="ED9" s="2">
        <f t="shared" si="66"/>
        <v>12.5</v>
      </c>
      <c r="EE9" s="2">
        <f t="shared" si="67"/>
        <v>12.5</v>
      </c>
      <c r="EF9" s="2">
        <f t="shared" si="68"/>
        <v>12.5</v>
      </c>
      <c r="EG9" s="2">
        <f t="shared" si="69"/>
        <v>23.125</v>
      </c>
      <c r="EH9" s="2">
        <f t="shared" si="70"/>
        <v>23.125</v>
      </c>
      <c r="EI9" s="2">
        <f t="shared" si="71"/>
        <v>33.125</v>
      </c>
      <c r="EJ9" s="2">
        <f t="shared" si="72"/>
        <v>23.125</v>
      </c>
      <c r="EK9" s="2">
        <f t="shared" si="73"/>
        <v>35</v>
      </c>
      <c r="EL9" s="2">
        <f t="shared" si="74"/>
        <v>35</v>
      </c>
      <c r="EM9" s="2">
        <f t="shared" si="75"/>
        <v>56.25</v>
      </c>
      <c r="EN9" s="2">
        <f t="shared" si="76"/>
        <v>25</v>
      </c>
      <c r="EO9" s="3">
        <v>0</v>
      </c>
      <c r="EP9" s="3">
        <v>0</v>
      </c>
      <c r="EQ9" s="3">
        <v>0</v>
      </c>
      <c r="ER9" s="3">
        <v>0</v>
      </c>
      <c r="ES9" s="3">
        <v>0</v>
      </c>
      <c r="ET9" s="3">
        <v>0</v>
      </c>
      <c r="EU9" s="3">
        <v>0</v>
      </c>
      <c r="EV9" s="3">
        <v>0</v>
      </c>
      <c r="EW9" s="3">
        <v>0</v>
      </c>
      <c r="EX9" s="3">
        <v>0</v>
      </c>
      <c r="EY9" s="3">
        <v>0</v>
      </c>
      <c r="EZ9" s="2">
        <f t="shared" si="77"/>
        <v>12.5</v>
      </c>
      <c r="FA9" s="2">
        <f t="shared" si="78"/>
        <v>12.5</v>
      </c>
      <c r="FB9" s="2">
        <f t="shared" si="79"/>
        <v>12.5</v>
      </c>
      <c r="FC9" s="2">
        <f t="shared" si="80"/>
        <v>23.125</v>
      </c>
      <c r="FD9" s="2">
        <f t="shared" si="81"/>
        <v>23.125</v>
      </c>
      <c r="FE9" s="2">
        <f t="shared" si="82"/>
        <v>33.125</v>
      </c>
      <c r="FF9" s="2">
        <f t="shared" si="83"/>
        <v>23.125</v>
      </c>
      <c r="FG9" s="2">
        <f t="shared" si="84"/>
        <v>15</v>
      </c>
      <c r="FH9" s="2">
        <f t="shared" si="85"/>
        <v>35</v>
      </c>
      <c r="FI9" s="2">
        <f t="shared" si="86"/>
        <v>56.25</v>
      </c>
      <c r="FJ9" s="2">
        <f t="shared" si="87"/>
        <v>25</v>
      </c>
      <c r="FK9" s="3">
        <v>0</v>
      </c>
      <c r="FL9" s="3">
        <v>0</v>
      </c>
      <c r="FM9" s="3">
        <v>0</v>
      </c>
      <c r="FN9" s="3">
        <v>0</v>
      </c>
      <c r="FO9" s="3">
        <v>0</v>
      </c>
      <c r="FP9" s="3">
        <v>0</v>
      </c>
      <c r="FQ9" s="3">
        <v>0</v>
      </c>
      <c r="FR9" s="3">
        <v>0</v>
      </c>
      <c r="FS9" s="3">
        <v>0</v>
      </c>
      <c r="FT9" s="3">
        <v>0</v>
      </c>
      <c r="FU9" s="3">
        <v>0</v>
      </c>
      <c r="FV9" s="2">
        <f t="shared" si="88"/>
        <v>12.5</v>
      </c>
      <c r="FW9" s="2">
        <f t="shared" si="89"/>
        <v>12.5</v>
      </c>
      <c r="FX9" s="2">
        <f t="shared" si="90"/>
        <v>12.5</v>
      </c>
      <c r="FY9" s="2">
        <f t="shared" si="91"/>
        <v>33.125</v>
      </c>
      <c r="FZ9" s="2">
        <f t="shared" si="92"/>
        <v>33.125</v>
      </c>
      <c r="GA9" s="2">
        <f t="shared" si="93"/>
        <v>23.125</v>
      </c>
      <c r="GB9" s="2">
        <f t="shared" si="94"/>
        <v>33.125</v>
      </c>
      <c r="GC9" s="2">
        <f t="shared" si="95"/>
        <v>35</v>
      </c>
      <c r="GD9" s="2">
        <f t="shared" si="96"/>
        <v>35</v>
      </c>
      <c r="GE9" s="2">
        <f t="shared" si="97"/>
        <v>56.25</v>
      </c>
      <c r="GF9" s="2">
        <f t="shared" si="98"/>
        <v>25</v>
      </c>
      <c r="GG9" s="3">
        <v>0</v>
      </c>
      <c r="GH9" s="3">
        <v>0</v>
      </c>
      <c r="GI9" s="3">
        <v>0</v>
      </c>
      <c r="GJ9" s="3">
        <v>0</v>
      </c>
      <c r="GK9" s="3">
        <v>0</v>
      </c>
      <c r="GL9" s="3">
        <v>0</v>
      </c>
      <c r="GM9" s="3">
        <v>0</v>
      </c>
      <c r="GN9" s="3">
        <v>0</v>
      </c>
      <c r="GO9" s="3">
        <v>0</v>
      </c>
      <c r="GP9" s="3">
        <v>0</v>
      </c>
      <c r="GQ9" s="3">
        <v>0</v>
      </c>
      <c r="GR9" s="2">
        <f t="shared" si="99"/>
        <v>12.5</v>
      </c>
      <c r="GS9" s="2">
        <f t="shared" si="100"/>
        <v>12.5</v>
      </c>
      <c r="GT9" s="2">
        <f t="shared" si="101"/>
        <v>12.5</v>
      </c>
      <c r="GU9" s="2">
        <f t="shared" si="102"/>
        <v>33.125</v>
      </c>
      <c r="GV9" s="2">
        <f t="shared" si="103"/>
        <v>33.125</v>
      </c>
      <c r="GW9" s="2">
        <f t="shared" si="104"/>
        <v>23.125</v>
      </c>
      <c r="GX9" s="2">
        <f t="shared" si="105"/>
        <v>33.125</v>
      </c>
      <c r="GY9" s="2">
        <f t="shared" si="106"/>
        <v>15</v>
      </c>
      <c r="GZ9" s="2">
        <f t="shared" si="107"/>
        <v>35</v>
      </c>
      <c r="HA9" s="2">
        <f t="shared" si="108"/>
        <v>56.25</v>
      </c>
      <c r="HB9" s="2">
        <f t="shared" si="109"/>
        <v>25</v>
      </c>
      <c r="HC9" s="3">
        <v>0</v>
      </c>
      <c r="HD9" s="3">
        <v>0</v>
      </c>
      <c r="HE9" s="3">
        <v>0</v>
      </c>
      <c r="HF9" s="3">
        <v>0</v>
      </c>
      <c r="HG9" s="3">
        <v>0</v>
      </c>
      <c r="HH9" s="3">
        <v>0</v>
      </c>
      <c r="HI9" s="3">
        <v>0</v>
      </c>
      <c r="HJ9" s="3">
        <v>0</v>
      </c>
      <c r="HK9" s="3">
        <v>0</v>
      </c>
      <c r="HL9" s="3">
        <v>0</v>
      </c>
      <c r="HM9" s="3">
        <v>0</v>
      </c>
      <c r="HN9" s="2">
        <f t="shared" si="110"/>
        <v>12.5</v>
      </c>
      <c r="HO9" s="2">
        <f t="shared" si="111"/>
        <v>12.5</v>
      </c>
      <c r="HP9" s="2">
        <f t="shared" si="112"/>
        <v>12.5</v>
      </c>
      <c r="HQ9" s="2">
        <f t="shared" si="113"/>
        <v>33.125</v>
      </c>
      <c r="HR9" s="2">
        <f t="shared" si="114"/>
        <v>23.125</v>
      </c>
      <c r="HS9" s="2">
        <f t="shared" si="115"/>
        <v>23.125</v>
      </c>
      <c r="HT9" s="2">
        <f t="shared" si="116"/>
        <v>23.125</v>
      </c>
      <c r="HU9" s="2">
        <f t="shared" si="117"/>
        <v>35</v>
      </c>
      <c r="HV9" s="2">
        <f t="shared" si="118"/>
        <v>35</v>
      </c>
      <c r="HW9" s="2">
        <f t="shared" si="119"/>
        <v>56.25</v>
      </c>
      <c r="HX9" s="2">
        <f t="shared" si="120"/>
        <v>25</v>
      </c>
      <c r="HY9" s="3">
        <v>0</v>
      </c>
      <c r="HZ9" s="3">
        <v>0</v>
      </c>
      <c r="IA9" s="3">
        <v>0</v>
      </c>
      <c r="IB9" s="3">
        <v>0</v>
      </c>
      <c r="IC9" s="3">
        <v>0</v>
      </c>
      <c r="ID9" s="3">
        <v>0</v>
      </c>
      <c r="IE9" s="3">
        <v>0</v>
      </c>
      <c r="IF9" s="3">
        <v>0</v>
      </c>
      <c r="IG9" s="3">
        <v>0</v>
      </c>
      <c r="IH9" s="3">
        <v>0</v>
      </c>
      <c r="II9" s="3">
        <v>0</v>
      </c>
      <c r="IJ9" s="2">
        <f t="shared" si="121"/>
        <v>12.5</v>
      </c>
      <c r="IK9" s="2">
        <f t="shared" si="122"/>
        <v>12.5</v>
      </c>
      <c r="IL9" s="2">
        <f t="shared" si="123"/>
        <v>12.5</v>
      </c>
      <c r="IM9" s="2">
        <f t="shared" si="124"/>
        <v>33.125</v>
      </c>
      <c r="IN9" s="2">
        <f t="shared" si="125"/>
        <v>23.125</v>
      </c>
      <c r="IO9" s="2">
        <f t="shared" si="126"/>
        <v>23.125</v>
      </c>
      <c r="IP9" s="2">
        <f t="shared" si="127"/>
        <v>23.125</v>
      </c>
      <c r="IQ9" s="2">
        <f t="shared" si="128"/>
        <v>15</v>
      </c>
      <c r="IR9" s="2">
        <f t="shared" si="129"/>
        <v>35</v>
      </c>
      <c r="IS9" s="2">
        <f t="shared" si="130"/>
        <v>56.25</v>
      </c>
      <c r="IT9" s="2">
        <f t="shared" si="131"/>
        <v>25</v>
      </c>
      <c r="IU9" s="3">
        <v>0</v>
      </c>
      <c r="IV9" s="3">
        <v>0</v>
      </c>
      <c r="IW9" s="3">
        <v>0</v>
      </c>
      <c r="IX9" s="3">
        <v>0</v>
      </c>
      <c r="IY9" s="3">
        <v>0</v>
      </c>
      <c r="IZ9" s="3">
        <v>0</v>
      </c>
      <c r="JA9" s="3">
        <v>0</v>
      </c>
      <c r="JB9" s="3">
        <v>0</v>
      </c>
      <c r="JC9" s="3">
        <v>0</v>
      </c>
      <c r="JD9" s="3">
        <v>0</v>
      </c>
      <c r="JE9" s="3">
        <v>0</v>
      </c>
      <c r="JF9" s="2">
        <f t="shared" si="132"/>
        <v>12.5</v>
      </c>
      <c r="JG9" s="2">
        <f t="shared" si="133"/>
        <v>12.5</v>
      </c>
      <c r="JH9" s="2">
        <f t="shared" si="134"/>
        <v>12.5</v>
      </c>
      <c r="JI9" s="2">
        <f t="shared" si="135"/>
        <v>23.125</v>
      </c>
      <c r="JJ9" s="2">
        <f t="shared" si="136"/>
        <v>33.125</v>
      </c>
      <c r="JK9" s="2">
        <f t="shared" si="137"/>
        <v>23.125</v>
      </c>
      <c r="JL9" s="2">
        <f t="shared" si="138"/>
        <v>33.125</v>
      </c>
      <c r="JM9" s="2">
        <f t="shared" si="139"/>
        <v>35</v>
      </c>
      <c r="JN9" s="2">
        <f t="shared" si="140"/>
        <v>35</v>
      </c>
      <c r="JO9" s="2">
        <f t="shared" si="141"/>
        <v>56.25</v>
      </c>
      <c r="JP9" s="2">
        <f t="shared" si="142"/>
        <v>25</v>
      </c>
      <c r="JQ9" s="3">
        <v>0</v>
      </c>
      <c r="JR9" s="3">
        <v>0</v>
      </c>
      <c r="JS9" s="3">
        <v>0</v>
      </c>
      <c r="JT9" s="3">
        <v>0</v>
      </c>
      <c r="JU9" s="3">
        <v>0</v>
      </c>
      <c r="JV9" s="3">
        <v>0</v>
      </c>
      <c r="JW9" s="3">
        <v>0</v>
      </c>
      <c r="JX9" s="3">
        <v>0</v>
      </c>
      <c r="JY9" s="3">
        <v>0</v>
      </c>
      <c r="JZ9" s="3">
        <v>0</v>
      </c>
      <c r="KA9" s="3">
        <v>0</v>
      </c>
      <c r="KB9" s="2">
        <f t="shared" si="143"/>
        <v>12.5</v>
      </c>
      <c r="KC9" s="2">
        <f t="shared" si="144"/>
        <v>12.5</v>
      </c>
      <c r="KD9" s="2">
        <f t="shared" si="145"/>
        <v>12.5</v>
      </c>
      <c r="KE9" s="2">
        <f t="shared" si="146"/>
        <v>23.125</v>
      </c>
      <c r="KF9" s="2">
        <f t="shared" si="147"/>
        <v>33.125</v>
      </c>
      <c r="KG9" s="2">
        <f t="shared" si="148"/>
        <v>23.125</v>
      </c>
      <c r="KH9" s="2">
        <f t="shared" si="149"/>
        <v>33.125</v>
      </c>
      <c r="KI9" s="2">
        <f t="shared" si="150"/>
        <v>15</v>
      </c>
      <c r="KJ9" s="2">
        <f t="shared" si="151"/>
        <v>35</v>
      </c>
      <c r="KK9" s="2">
        <f t="shared" si="152"/>
        <v>56.25</v>
      </c>
      <c r="KL9" s="2">
        <f t="shared" si="153"/>
        <v>25</v>
      </c>
      <c r="KM9" s="3">
        <v>0</v>
      </c>
      <c r="KN9" s="3">
        <v>0</v>
      </c>
      <c r="KO9" s="3">
        <v>0</v>
      </c>
      <c r="KP9" s="3">
        <v>0</v>
      </c>
      <c r="KQ9" s="3">
        <v>0</v>
      </c>
      <c r="KR9" s="3">
        <v>0</v>
      </c>
      <c r="KS9" s="3">
        <v>0</v>
      </c>
      <c r="KT9" s="3">
        <v>0</v>
      </c>
      <c r="KU9" s="3">
        <v>0</v>
      </c>
      <c r="KV9" s="3">
        <v>0</v>
      </c>
      <c r="KW9" s="3">
        <v>0</v>
      </c>
      <c r="KX9" s="2">
        <f t="shared" si="154"/>
        <v>12.5</v>
      </c>
      <c r="KY9" s="2">
        <f t="shared" si="155"/>
        <v>12.5</v>
      </c>
      <c r="KZ9" s="2">
        <f t="shared" si="156"/>
        <v>12.5</v>
      </c>
      <c r="LA9" s="2">
        <f t="shared" si="157"/>
        <v>23.125</v>
      </c>
      <c r="LB9" s="2">
        <f t="shared" si="158"/>
        <v>23.125</v>
      </c>
      <c r="LC9" s="2">
        <f t="shared" si="159"/>
        <v>23.125</v>
      </c>
      <c r="LD9" s="2">
        <f t="shared" si="160"/>
        <v>23.125</v>
      </c>
      <c r="LE9" s="2">
        <f t="shared" si="161"/>
        <v>35</v>
      </c>
      <c r="LF9" s="2">
        <f t="shared" si="162"/>
        <v>35</v>
      </c>
      <c r="LG9" s="2">
        <f t="shared" si="163"/>
        <v>56.25</v>
      </c>
      <c r="LH9" s="2">
        <f t="shared" si="164"/>
        <v>25</v>
      </c>
      <c r="LI9" s="3">
        <v>0</v>
      </c>
      <c r="LJ9" s="3">
        <v>0</v>
      </c>
      <c r="LK9" s="3">
        <v>0</v>
      </c>
      <c r="LL9" s="3">
        <v>0</v>
      </c>
      <c r="LM9" s="3">
        <v>0</v>
      </c>
      <c r="LN9" s="3">
        <v>0</v>
      </c>
      <c r="LO9" s="3">
        <v>0</v>
      </c>
      <c r="LP9" s="3">
        <v>0</v>
      </c>
      <c r="LQ9" s="3">
        <v>0</v>
      </c>
      <c r="LR9" s="3">
        <v>0</v>
      </c>
      <c r="LS9" s="3">
        <v>0</v>
      </c>
      <c r="LT9" s="2">
        <f t="shared" si="165"/>
        <v>12.5</v>
      </c>
      <c r="LU9" s="2">
        <f t="shared" si="166"/>
        <v>12.5</v>
      </c>
      <c r="LV9" s="2">
        <f t="shared" si="167"/>
        <v>12.5</v>
      </c>
      <c r="LW9" s="2">
        <f t="shared" si="168"/>
        <v>23.125</v>
      </c>
      <c r="LX9" s="2">
        <f t="shared" si="169"/>
        <v>23.125</v>
      </c>
      <c r="LY9" s="2">
        <f t="shared" si="170"/>
        <v>23.125</v>
      </c>
      <c r="LZ9" s="2">
        <f t="shared" si="171"/>
        <v>23.125</v>
      </c>
      <c r="MA9" s="2">
        <f t="shared" si="172"/>
        <v>15</v>
      </c>
      <c r="MB9" s="2">
        <f t="shared" si="173"/>
        <v>35</v>
      </c>
      <c r="MC9" s="2">
        <f t="shared" si="174"/>
        <v>56.25</v>
      </c>
      <c r="MD9" s="2">
        <f t="shared" si="175"/>
        <v>25</v>
      </c>
      <c r="ME9" s="3">
        <v>0</v>
      </c>
      <c r="MF9" s="3">
        <v>0</v>
      </c>
      <c r="MG9" s="3">
        <v>0</v>
      </c>
      <c r="MH9" s="3">
        <v>0</v>
      </c>
      <c r="MI9" s="3">
        <v>0</v>
      </c>
      <c r="MJ9" s="3">
        <v>0</v>
      </c>
      <c r="MK9" s="3">
        <v>0</v>
      </c>
      <c r="ML9" s="3">
        <v>0</v>
      </c>
      <c r="MM9" s="3">
        <v>0</v>
      </c>
      <c r="MN9" s="3">
        <v>0</v>
      </c>
      <c r="MO9" s="3">
        <v>0</v>
      </c>
      <c r="MP9" s="2">
        <f t="shared" si="176"/>
        <v>12.5</v>
      </c>
      <c r="MQ9" s="2">
        <f t="shared" si="177"/>
        <v>12.5</v>
      </c>
      <c r="MR9" s="2">
        <f t="shared" si="178"/>
        <v>12.5</v>
      </c>
      <c r="MS9" s="2">
        <f t="shared" si="179"/>
        <v>33.125</v>
      </c>
      <c r="MT9" s="2">
        <f t="shared" si="180"/>
        <v>33.125</v>
      </c>
      <c r="MU9" s="2">
        <f t="shared" si="181"/>
        <v>33.125</v>
      </c>
      <c r="MV9" s="2">
        <f t="shared" si="182"/>
        <v>33.125</v>
      </c>
      <c r="MW9" s="2">
        <f t="shared" si="183"/>
        <v>35</v>
      </c>
      <c r="MX9" s="2">
        <f t="shared" si="184"/>
        <v>15</v>
      </c>
      <c r="MY9" s="2">
        <f t="shared" si="185"/>
        <v>56.25</v>
      </c>
      <c r="MZ9" s="2">
        <f t="shared" si="186"/>
        <v>25</v>
      </c>
      <c r="NA9" s="3">
        <v>0</v>
      </c>
      <c r="NB9" s="3">
        <v>0</v>
      </c>
      <c r="NC9" s="3">
        <v>0</v>
      </c>
      <c r="ND9" s="3">
        <v>0</v>
      </c>
      <c r="NE9" s="3">
        <v>0</v>
      </c>
      <c r="NF9" s="3">
        <v>0</v>
      </c>
      <c r="NG9" s="3">
        <v>0</v>
      </c>
      <c r="NH9" s="3">
        <v>0</v>
      </c>
      <c r="NI9" s="3">
        <v>0</v>
      </c>
      <c r="NJ9" s="3">
        <v>0</v>
      </c>
      <c r="NK9" s="3">
        <v>0</v>
      </c>
      <c r="NL9" s="2">
        <f t="shared" si="187"/>
        <v>12.5</v>
      </c>
      <c r="NM9" s="2">
        <f t="shared" si="188"/>
        <v>12.5</v>
      </c>
      <c r="NN9" s="2">
        <f t="shared" si="189"/>
        <v>12.5</v>
      </c>
      <c r="NO9" s="2">
        <f t="shared" si="190"/>
        <v>33.125</v>
      </c>
      <c r="NP9" s="2">
        <f t="shared" si="191"/>
        <v>33.125</v>
      </c>
      <c r="NQ9" s="2">
        <f t="shared" si="192"/>
        <v>33.125</v>
      </c>
      <c r="NR9" s="2">
        <f t="shared" si="193"/>
        <v>33.125</v>
      </c>
      <c r="NS9" s="2">
        <f t="shared" si="194"/>
        <v>15</v>
      </c>
      <c r="NT9" s="2">
        <f t="shared" si="195"/>
        <v>15</v>
      </c>
      <c r="NU9" s="2">
        <f t="shared" si="196"/>
        <v>56.25</v>
      </c>
      <c r="NV9" s="2">
        <f t="shared" si="197"/>
        <v>25</v>
      </c>
      <c r="NW9" s="59">
        <v>0</v>
      </c>
      <c r="NX9" s="59">
        <v>0</v>
      </c>
      <c r="NY9" s="59">
        <v>0</v>
      </c>
      <c r="NZ9" s="59">
        <v>0</v>
      </c>
      <c r="OA9" s="59">
        <v>0</v>
      </c>
      <c r="OB9" s="59">
        <v>0</v>
      </c>
      <c r="OC9" s="59">
        <v>0</v>
      </c>
      <c r="OD9" s="59">
        <v>0</v>
      </c>
      <c r="OE9" s="59">
        <v>0</v>
      </c>
      <c r="OF9" s="59">
        <v>0</v>
      </c>
      <c r="OG9" s="59">
        <v>0</v>
      </c>
      <c r="OH9" s="2">
        <f t="shared" si="198"/>
        <v>12.5</v>
      </c>
      <c r="OI9" s="2">
        <f t="shared" si="199"/>
        <v>12.5</v>
      </c>
      <c r="OJ9" s="2">
        <f t="shared" si="200"/>
        <v>12.5</v>
      </c>
      <c r="OK9" s="2">
        <f t="shared" si="201"/>
        <v>33.125</v>
      </c>
      <c r="OL9" s="2">
        <f t="shared" si="202"/>
        <v>23.125</v>
      </c>
      <c r="OM9" s="2">
        <f t="shared" si="203"/>
        <v>33.125</v>
      </c>
      <c r="ON9" s="2">
        <f t="shared" si="204"/>
        <v>23.125</v>
      </c>
      <c r="OO9" s="2">
        <f t="shared" si="205"/>
        <v>35</v>
      </c>
      <c r="OP9" s="2">
        <f t="shared" si="206"/>
        <v>15</v>
      </c>
      <c r="OQ9" s="2">
        <f t="shared" si="207"/>
        <v>56.25</v>
      </c>
      <c r="OR9" s="2">
        <f t="shared" si="208"/>
        <v>25</v>
      </c>
      <c r="OS9" s="59">
        <v>0</v>
      </c>
      <c r="OT9" s="59">
        <v>0</v>
      </c>
      <c r="OU9" s="59">
        <v>0</v>
      </c>
      <c r="OV9" s="59">
        <v>0</v>
      </c>
      <c r="OW9" s="59">
        <v>0</v>
      </c>
      <c r="OX9" s="59">
        <v>0</v>
      </c>
      <c r="OY9" s="59">
        <v>0</v>
      </c>
      <c r="OZ9" s="59">
        <v>0</v>
      </c>
      <c r="PA9" s="59">
        <v>0</v>
      </c>
      <c r="PB9" s="59">
        <v>0</v>
      </c>
      <c r="PC9" s="59">
        <v>0</v>
      </c>
      <c r="PD9" s="2">
        <f t="shared" si="209"/>
        <v>12.5</v>
      </c>
      <c r="PE9" s="2">
        <f t="shared" si="210"/>
        <v>12.5</v>
      </c>
      <c r="PF9" s="2">
        <f t="shared" si="211"/>
        <v>12.5</v>
      </c>
      <c r="PG9" s="2">
        <f t="shared" si="212"/>
        <v>33.125</v>
      </c>
      <c r="PH9" s="2">
        <f t="shared" si="213"/>
        <v>23.125</v>
      </c>
      <c r="PI9" s="2">
        <f t="shared" si="214"/>
        <v>33.125</v>
      </c>
      <c r="PJ9" s="2">
        <f t="shared" si="215"/>
        <v>23.125</v>
      </c>
      <c r="PK9" s="2">
        <f t="shared" si="216"/>
        <v>15</v>
      </c>
      <c r="PL9" s="2">
        <f t="shared" si="217"/>
        <v>15</v>
      </c>
      <c r="PM9" s="2">
        <f t="shared" si="218"/>
        <v>56.25</v>
      </c>
      <c r="PN9" s="2">
        <f t="shared" si="219"/>
        <v>25</v>
      </c>
      <c r="PO9" s="59">
        <v>0</v>
      </c>
      <c r="PP9" s="59">
        <v>0</v>
      </c>
      <c r="PQ9" s="59">
        <v>0</v>
      </c>
      <c r="PR9" s="59">
        <v>0</v>
      </c>
      <c r="PS9" s="59">
        <v>0</v>
      </c>
      <c r="PT9" s="59">
        <v>0</v>
      </c>
      <c r="PU9" s="59">
        <v>0</v>
      </c>
      <c r="PV9" s="59">
        <v>0</v>
      </c>
      <c r="PW9" s="59">
        <v>0</v>
      </c>
      <c r="PX9" s="59">
        <v>0</v>
      </c>
      <c r="PY9" s="59">
        <v>0</v>
      </c>
      <c r="PZ9" s="2">
        <f t="shared" si="220"/>
        <v>12.5</v>
      </c>
      <c r="QA9" s="2">
        <f t="shared" si="221"/>
        <v>12.5</v>
      </c>
      <c r="QB9" s="2">
        <f t="shared" si="222"/>
        <v>12.5</v>
      </c>
      <c r="QC9" s="2">
        <f t="shared" si="223"/>
        <v>23.125</v>
      </c>
      <c r="QD9" s="2">
        <f t="shared" si="224"/>
        <v>33.125</v>
      </c>
      <c r="QE9" s="2">
        <f t="shared" si="225"/>
        <v>33.125</v>
      </c>
      <c r="QF9" s="2">
        <f t="shared" si="226"/>
        <v>33.125</v>
      </c>
      <c r="QG9" s="2">
        <f t="shared" si="227"/>
        <v>35</v>
      </c>
      <c r="QH9" s="2">
        <f t="shared" si="228"/>
        <v>15</v>
      </c>
      <c r="QI9" s="2">
        <f t="shared" si="229"/>
        <v>56.25</v>
      </c>
      <c r="QJ9" s="2">
        <f t="shared" si="230"/>
        <v>25</v>
      </c>
      <c r="QK9" s="59">
        <v>0</v>
      </c>
      <c r="QL9" s="59">
        <v>0</v>
      </c>
      <c r="QM9" s="59">
        <v>0</v>
      </c>
      <c r="QN9" s="59">
        <v>0</v>
      </c>
      <c r="QO9" s="59">
        <v>0</v>
      </c>
      <c r="QP9" s="59">
        <v>0</v>
      </c>
      <c r="QQ9" s="59">
        <v>0</v>
      </c>
      <c r="QR9" s="59">
        <v>0</v>
      </c>
      <c r="QS9" s="59">
        <v>0</v>
      </c>
      <c r="QT9" s="59">
        <v>0</v>
      </c>
      <c r="QU9" s="59">
        <v>0</v>
      </c>
      <c r="QV9" s="2">
        <f t="shared" si="231"/>
        <v>12.5</v>
      </c>
      <c r="QW9" s="2">
        <f t="shared" si="232"/>
        <v>12.5</v>
      </c>
      <c r="QX9" s="2">
        <f t="shared" si="233"/>
        <v>12.5</v>
      </c>
      <c r="QY9" s="2">
        <f t="shared" si="234"/>
        <v>23.125</v>
      </c>
      <c r="QZ9" s="2">
        <f t="shared" si="235"/>
        <v>33.125</v>
      </c>
      <c r="RA9" s="2">
        <f t="shared" si="236"/>
        <v>33.125</v>
      </c>
      <c r="RB9" s="2">
        <f t="shared" si="237"/>
        <v>33.125</v>
      </c>
      <c r="RC9" s="2">
        <f t="shared" si="238"/>
        <v>15</v>
      </c>
      <c r="RD9" s="2">
        <f t="shared" si="239"/>
        <v>15</v>
      </c>
      <c r="RE9" s="2">
        <f t="shared" si="240"/>
        <v>56.25</v>
      </c>
      <c r="RF9" s="2">
        <f t="shared" si="241"/>
        <v>25</v>
      </c>
      <c r="RG9" s="59">
        <v>0</v>
      </c>
      <c r="RH9" s="59">
        <v>0</v>
      </c>
      <c r="RI9" s="59">
        <v>0</v>
      </c>
      <c r="RJ9" s="59">
        <v>0</v>
      </c>
      <c r="RK9" s="59">
        <v>0</v>
      </c>
      <c r="RL9" s="59">
        <v>0</v>
      </c>
      <c r="RM9" s="59">
        <v>0</v>
      </c>
      <c r="RN9" s="59">
        <v>0</v>
      </c>
      <c r="RO9" s="59">
        <v>0</v>
      </c>
      <c r="RP9" s="59">
        <v>0</v>
      </c>
      <c r="RQ9" s="59">
        <v>0</v>
      </c>
      <c r="RR9" s="2">
        <f t="shared" si="242"/>
        <v>12.5</v>
      </c>
      <c r="RS9" s="2">
        <f t="shared" si="243"/>
        <v>12.5</v>
      </c>
      <c r="RT9" s="2">
        <f t="shared" si="244"/>
        <v>12.5</v>
      </c>
      <c r="RU9" s="2">
        <f t="shared" si="245"/>
        <v>23.125</v>
      </c>
      <c r="RV9" s="2">
        <f t="shared" si="246"/>
        <v>23.125</v>
      </c>
      <c r="RW9" s="2">
        <f t="shared" si="247"/>
        <v>33.125</v>
      </c>
      <c r="RX9" s="2">
        <f t="shared" si="248"/>
        <v>23.125</v>
      </c>
      <c r="RY9" s="2">
        <f t="shared" si="249"/>
        <v>35</v>
      </c>
      <c r="RZ9" s="2">
        <f t="shared" si="250"/>
        <v>15</v>
      </c>
      <c r="SA9" s="2">
        <f t="shared" si="251"/>
        <v>56.25</v>
      </c>
      <c r="SB9" s="2">
        <f t="shared" si="252"/>
        <v>25</v>
      </c>
      <c r="SC9" s="59">
        <v>0</v>
      </c>
      <c r="SD9" s="59">
        <v>0</v>
      </c>
      <c r="SE9" s="59">
        <v>0</v>
      </c>
      <c r="SF9" s="59">
        <v>0</v>
      </c>
      <c r="SG9" s="59">
        <v>0</v>
      </c>
      <c r="SH9" s="59">
        <v>0</v>
      </c>
      <c r="SI9" s="59">
        <v>0</v>
      </c>
      <c r="SJ9" s="59">
        <v>0</v>
      </c>
      <c r="SK9" s="59">
        <v>0</v>
      </c>
      <c r="SL9" s="59">
        <v>0</v>
      </c>
      <c r="SM9" s="59">
        <v>0</v>
      </c>
      <c r="SN9" s="2">
        <f t="shared" si="253"/>
        <v>12.5</v>
      </c>
      <c r="SO9" s="2">
        <f t="shared" si="254"/>
        <v>12.5</v>
      </c>
      <c r="SP9" s="2">
        <f t="shared" si="255"/>
        <v>12.5</v>
      </c>
      <c r="SQ9" s="2">
        <f t="shared" si="256"/>
        <v>23.125</v>
      </c>
      <c r="SR9" s="2">
        <f t="shared" si="257"/>
        <v>23.125</v>
      </c>
      <c r="SS9" s="2">
        <f t="shared" si="258"/>
        <v>33.125</v>
      </c>
      <c r="ST9" s="2">
        <f t="shared" si="259"/>
        <v>23.125</v>
      </c>
      <c r="SU9" s="2">
        <f t="shared" si="260"/>
        <v>15</v>
      </c>
      <c r="SV9" s="2">
        <f t="shared" si="261"/>
        <v>15</v>
      </c>
      <c r="SW9" s="2">
        <f t="shared" si="262"/>
        <v>56.25</v>
      </c>
      <c r="SX9" s="2">
        <f t="shared" si="263"/>
        <v>25</v>
      </c>
      <c r="SY9" s="59">
        <v>0</v>
      </c>
      <c r="SZ9" s="59">
        <v>0</v>
      </c>
      <c r="TA9" s="59">
        <v>0</v>
      </c>
      <c r="TB9" s="59">
        <v>0</v>
      </c>
      <c r="TC9" s="59">
        <v>0</v>
      </c>
      <c r="TD9" s="59">
        <v>0</v>
      </c>
      <c r="TE9" s="59">
        <v>0</v>
      </c>
      <c r="TF9" s="59">
        <v>0</v>
      </c>
      <c r="TG9" s="59">
        <v>0</v>
      </c>
      <c r="TH9" s="59">
        <v>0</v>
      </c>
      <c r="TI9" s="59">
        <v>0</v>
      </c>
      <c r="TJ9" s="2">
        <f t="shared" si="264"/>
        <v>12.5</v>
      </c>
      <c r="TK9" s="2">
        <f t="shared" si="265"/>
        <v>12.5</v>
      </c>
      <c r="TL9" s="2">
        <f t="shared" si="266"/>
        <v>12.5</v>
      </c>
      <c r="TM9" s="2">
        <f t="shared" si="267"/>
        <v>33.125</v>
      </c>
      <c r="TN9" s="2">
        <f t="shared" si="268"/>
        <v>33.125</v>
      </c>
      <c r="TO9" s="2">
        <f t="shared" si="269"/>
        <v>23.125</v>
      </c>
      <c r="TP9" s="2">
        <f t="shared" si="270"/>
        <v>33.125</v>
      </c>
      <c r="TQ9" s="2">
        <f t="shared" si="271"/>
        <v>35</v>
      </c>
      <c r="TR9" s="2">
        <f t="shared" si="272"/>
        <v>15</v>
      </c>
      <c r="TS9" s="2">
        <f t="shared" si="273"/>
        <v>56.25</v>
      </c>
      <c r="TT9" s="2">
        <f t="shared" si="274"/>
        <v>25</v>
      </c>
      <c r="TU9" s="59">
        <v>0</v>
      </c>
      <c r="TV9" s="59">
        <v>0</v>
      </c>
      <c r="TW9" s="59">
        <v>0</v>
      </c>
      <c r="TX9" s="59">
        <v>0</v>
      </c>
      <c r="TY9" s="59">
        <v>0</v>
      </c>
      <c r="TZ9" s="59">
        <v>0</v>
      </c>
      <c r="UA9" s="59">
        <v>0</v>
      </c>
      <c r="UB9" s="59">
        <v>0</v>
      </c>
      <c r="UC9" s="59">
        <v>0</v>
      </c>
      <c r="UD9" s="59">
        <v>0</v>
      </c>
      <c r="UE9" s="59">
        <v>0</v>
      </c>
      <c r="UF9" s="2">
        <f t="shared" si="275"/>
        <v>12.5</v>
      </c>
      <c r="UG9" s="2">
        <f t="shared" si="276"/>
        <v>12.5</v>
      </c>
      <c r="UH9" s="2">
        <f t="shared" si="277"/>
        <v>12.5</v>
      </c>
      <c r="UI9" s="2">
        <f t="shared" si="278"/>
        <v>33.125</v>
      </c>
      <c r="UJ9" s="2">
        <f t="shared" si="279"/>
        <v>33.125</v>
      </c>
      <c r="UK9" s="2">
        <f t="shared" si="280"/>
        <v>23.125</v>
      </c>
      <c r="UL9" s="2">
        <f t="shared" si="281"/>
        <v>33.125</v>
      </c>
      <c r="UM9" s="2">
        <f t="shared" si="282"/>
        <v>15</v>
      </c>
      <c r="UN9" s="2">
        <f t="shared" si="283"/>
        <v>15</v>
      </c>
      <c r="UO9" s="2">
        <f t="shared" si="284"/>
        <v>56.25</v>
      </c>
      <c r="UP9" s="2">
        <f t="shared" si="285"/>
        <v>25</v>
      </c>
      <c r="UQ9" s="59">
        <v>0</v>
      </c>
      <c r="UR9" s="59">
        <v>0</v>
      </c>
      <c r="US9" s="59">
        <v>0</v>
      </c>
      <c r="UT9" s="59">
        <v>0</v>
      </c>
      <c r="UU9" s="59">
        <v>0</v>
      </c>
      <c r="UV9" s="59">
        <v>0</v>
      </c>
      <c r="UW9" s="59">
        <v>0</v>
      </c>
      <c r="UX9" s="59">
        <v>0</v>
      </c>
      <c r="UY9" s="59">
        <v>0</v>
      </c>
      <c r="UZ9" s="59">
        <v>0</v>
      </c>
      <c r="VA9" s="59">
        <v>0</v>
      </c>
      <c r="VB9" s="2">
        <f t="shared" si="286"/>
        <v>12.5</v>
      </c>
      <c r="VC9" s="2">
        <f t="shared" si="287"/>
        <v>12.5</v>
      </c>
      <c r="VD9" s="2">
        <f t="shared" si="288"/>
        <v>12.5</v>
      </c>
      <c r="VE9" s="2">
        <f t="shared" si="289"/>
        <v>33.125</v>
      </c>
      <c r="VF9" s="2">
        <f t="shared" si="290"/>
        <v>23.125</v>
      </c>
      <c r="VG9" s="2">
        <f t="shared" si="291"/>
        <v>23.125</v>
      </c>
      <c r="VH9" s="2">
        <f t="shared" si="292"/>
        <v>23.125</v>
      </c>
      <c r="VI9" s="2">
        <f t="shared" si="293"/>
        <v>35</v>
      </c>
      <c r="VJ9" s="2">
        <f t="shared" si="294"/>
        <v>15</v>
      </c>
      <c r="VK9" s="2">
        <f t="shared" si="295"/>
        <v>56.25</v>
      </c>
      <c r="VL9" s="2">
        <f t="shared" si="296"/>
        <v>25</v>
      </c>
      <c r="VM9" s="59">
        <v>0</v>
      </c>
      <c r="VN9" s="59">
        <v>0</v>
      </c>
      <c r="VO9" s="59">
        <v>0</v>
      </c>
      <c r="VP9" s="59">
        <v>0</v>
      </c>
      <c r="VQ9" s="59">
        <v>0</v>
      </c>
      <c r="VR9" s="59">
        <v>0</v>
      </c>
      <c r="VS9" s="59">
        <v>0</v>
      </c>
      <c r="VT9" s="59">
        <v>0</v>
      </c>
      <c r="VU9" s="59">
        <v>0</v>
      </c>
      <c r="VV9" s="59">
        <v>0</v>
      </c>
      <c r="VW9" s="59">
        <v>0</v>
      </c>
      <c r="VX9" s="2">
        <f t="shared" si="297"/>
        <v>12.5</v>
      </c>
      <c r="VY9" s="2">
        <f t="shared" si="298"/>
        <v>12.5</v>
      </c>
      <c r="VZ9" s="2">
        <f t="shared" si="299"/>
        <v>12.5</v>
      </c>
      <c r="WA9" s="2">
        <f t="shared" si="300"/>
        <v>33.125</v>
      </c>
      <c r="WB9" s="2">
        <f t="shared" si="301"/>
        <v>23.125</v>
      </c>
      <c r="WC9" s="2">
        <f t="shared" si="302"/>
        <v>23.125</v>
      </c>
      <c r="WD9" s="2">
        <f t="shared" si="303"/>
        <v>23.125</v>
      </c>
      <c r="WE9" s="2">
        <f t="shared" si="304"/>
        <v>15</v>
      </c>
      <c r="WF9" s="2">
        <f t="shared" si="305"/>
        <v>15</v>
      </c>
      <c r="WG9" s="2">
        <f t="shared" si="306"/>
        <v>56.25</v>
      </c>
      <c r="WH9" s="2">
        <f t="shared" si="307"/>
        <v>25</v>
      </c>
      <c r="WI9" s="59">
        <v>0</v>
      </c>
      <c r="WJ9" s="59">
        <v>0</v>
      </c>
      <c r="WK9" s="59">
        <v>0</v>
      </c>
      <c r="WL9" s="59">
        <v>0</v>
      </c>
      <c r="WM9" s="59">
        <v>0</v>
      </c>
      <c r="WN9" s="59">
        <v>0</v>
      </c>
      <c r="WO9" s="59">
        <v>0</v>
      </c>
      <c r="WP9" s="59">
        <v>0</v>
      </c>
      <c r="WQ9" s="59">
        <v>0</v>
      </c>
      <c r="WR9" s="59">
        <v>0</v>
      </c>
      <c r="WS9" s="59">
        <v>0</v>
      </c>
      <c r="WT9" s="2">
        <f t="shared" si="308"/>
        <v>12.5</v>
      </c>
      <c r="WU9" s="2">
        <f t="shared" si="309"/>
        <v>12.5</v>
      </c>
      <c r="WV9" s="2">
        <f t="shared" si="310"/>
        <v>12.5</v>
      </c>
      <c r="WW9" s="2">
        <f t="shared" si="311"/>
        <v>23.125</v>
      </c>
      <c r="WX9" s="2">
        <f t="shared" si="312"/>
        <v>33.125</v>
      </c>
      <c r="WY9" s="2">
        <f t="shared" si="313"/>
        <v>23.125</v>
      </c>
      <c r="WZ9" s="2">
        <f t="shared" si="314"/>
        <v>33.125</v>
      </c>
      <c r="XA9" s="2">
        <f t="shared" si="315"/>
        <v>35</v>
      </c>
      <c r="XB9" s="2">
        <f t="shared" si="316"/>
        <v>15</v>
      </c>
      <c r="XC9" s="2">
        <f t="shared" si="317"/>
        <v>56.25</v>
      </c>
      <c r="XD9" s="2">
        <f t="shared" si="318"/>
        <v>25</v>
      </c>
      <c r="XE9" s="59">
        <v>0</v>
      </c>
      <c r="XF9" s="59">
        <v>0</v>
      </c>
      <c r="XG9" s="59">
        <v>0</v>
      </c>
      <c r="XH9" s="59">
        <v>0</v>
      </c>
      <c r="XI9" s="59">
        <v>0</v>
      </c>
      <c r="XJ9" s="59">
        <v>0</v>
      </c>
      <c r="XK9" s="59">
        <v>0</v>
      </c>
      <c r="XL9" s="59">
        <v>0</v>
      </c>
      <c r="XM9" s="59">
        <v>0</v>
      </c>
      <c r="XN9" s="59">
        <v>0</v>
      </c>
      <c r="XO9" s="59">
        <v>0</v>
      </c>
      <c r="XP9" s="2">
        <f t="shared" si="319"/>
        <v>12.5</v>
      </c>
      <c r="XQ9" s="2">
        <f t="shared" si="320"/>
        <v>12.5</v>
      </c>
      <c r="XR9" s="2">
        <f t="shared" si="321"/>
        <v>12.5</v>
      </c>
      <c r="XS9" s="2">
        <f t="shared" si="322"/>
        <v>23.125</v>
      </c>
      <c r="XT9" s="2">
        <f t="shared" si="323"/>
        <v>33.125</v>
      </c>
      <c r="XU9" s="2">
        <f t="shared" si="324"/>
        <v>23.125</v>
      </c>
      <c r="XV9" s="2">
        <f t="shared" si="325"/>
        <v>33.125</v>
      </c>
      <c r="XW9" s="2">
        <f t="shared" si="326"/>
        <v>15</v>
      </c>
      <c r="XX9" s="2">
        <f t="shared" si="327"/>
        <v>15</v>
      </c>
      <c r="XY9" s="2">
        <f t="shared" si="328"/>
        <v>56.25</v>
      </c>
      <c r="XZ9" s="2">
        <f t="shared" si="329"/>
        <v>25</v>
      </c>
      <c r="YA9" s="59">
        <v>0</v>
      </c>
      <c r="YB9" s="59">
        <v>0</v>
      </c>
      <c r="YC9" s="59">
        <v>0</v>
      </c>
      <c r="YD9" s="59">
        <v>0</v>
      </c>
      <c r="YE9" s="59">
        <v>0</v>
      </c>
      <c r="YF9" s="59">
        <v>0</v>
      </c>
      <c r="YG9" s="59">
        <v>0</v>
      </c>
      <c r="YH9" s="59">
        <v>0</v>
      </c>
      <c r="YI9" s="59">
        <v>0</v>
      </c>
      <c r="YJ9" s="59">
        <v>0</v>
      </c>
      <c r="YK9" s="59">
        <v>0</v>
      </c>
      <c r="YL9" s="2">
        <f t="shared" si="330"/>
        <v>12.5</v>
      </c>
      <c r="YM9" s="2">
        <f t="shared" si="331"/>
        <v>12.5</v>
      </c>
      <c r="YN9" s="2">
        <f t="shared" si="332"/>
        <v>12.5</v>
      </c>
      <c r="YO9" s="2">
        <f t="shared" si="333"/>
        <v>23.125</v>
      </c>
      <c r="YP9" s="2">
        <f t="shared" si="334"/>
        <v>23.125</v>
      </c>
      <c r="YQ9" s="2">
        <f t="shared" si="335"/>
        <v>23.125</v>
      </c>
      <c r="YR9" s="2">
        <f t="shared" si="336"/>
        <v>23.125</v>
      </c>
      <c r="YS9" s="2">
        <f t="shared" si="337"/>
        <v>35</v>
      </c>
      <c r="YT9" s="2">
        <f t="shared" si="338"/>
        <v>15</v>
      </c>
      <c r="YU9" s="2">
        <f t="shared" si="339"/>
        <v>56.25</v>
      </c>
      <c r="YV9" s="2">
        <f t="shared" si="340"/>
        <v>25</v>
      </c>
      <c r="YW9" s="59">
        <v>0</v>
      </c>
      <c r="YX9" s="59">
        <v>0</v>
      </c>
      <c r="YY9" s="59">
        <v>0</v>
      </c>
      <c r="YZ9" s="59">
        <v>0</v>
      </c>
      <c r="ZA9" s="59">
        <v>0</v>
      </c>
      <c r="ZB9" s="59">
        <v>0</v>
      </c>
      <c r="ZC9" s="59">
        <v>0</v>
      </c>
      <c r="ZD9" s="59">
        <v>0</v>
      </c>
      <c r="ZE9" s="59">
        <v>0</v>
      </c>
      <c r="ZF9" s="59">
        <v>0</v>
      </c>
      <c r="ZG9" s="59">
        <v>0</v>
      </c>
      <c r="ZH9" s="2">
        <f t="shared" si="341"/>
        <v>12.5</v>
      </c>
      <c r="ZI9" s="2">
        <f t="shared" si="342"/>
        <v>12.5</v>
      </c>
      <c r="ZJ9" s="2">
        <f t="shared" si="343"/>
        <v>12.5</v>
      </c>
      <c r="ZK9" s="2">
        <f t="shared" si="344"/>
        <v>23.125</v>
      </c>
      <c r="ZL9" s="2">
        <f t="shared" si="345"/>
        <v>23.125</v>
      </c>
      <c r="ZM9" s="2">
        <f t="shared" si="346"/>
        <v>23.125</v>
      </c>
      <c r="ZN9" s="2">
        <f t="shared" si="347"/>
        <v>23.125</v>
      </c>
      <c r="ZO9" s="2">
        <f t="shared" si="348"/>
        <v>15</v>
      </c>
      <c r="ZP9" s="2">
        <f t="shared" si="349"/>
        <v>15</v>
      </c>
      <c r="ZQ9" s="2">
        <f t="shared" si="350"/>
        <v>56.25</v>
      </c>
      <c r="ZR9" s="2">
        <f t="shared" si="351"/>
        <v>25</v>
      </c>
      <c r="ZS9" s="59">
        <v>0</v>
      </c>
      <c r="ZT9" s="59">
        <v>0</v>
      </c>
      <c r="ZU9" s="59">
        <v>0</v>
      </c>
      <c r="ZV9" s="59">
        <v>0</v>
      </c>
      <c r="ZW9" s="59">
        <v>0</v>
      </c>
      <c r="ZX9" s="59">
        <v>0</v>
      </c>
      <c r="ZY9" s="59">
        <v>0</v>
      </c>
      <c r="ZZ9" s="59">
        <v>0</v>
      </c>
      <c r="AAA9" s="59">
        <v>0</v>
      </c>
      <c r="AAB9" s="59">
        <v>0</v>
      </c>
      <c r="AAC9" s="59">
        <v>0</v>
      </c>
    </row>
    <row r="10" spans="1:705" x14ac:dyDescent="0.2">
      <c r="A10" s="1">
        <v>5</v>
      </c>
      <c r="B10" s="2">
        <f t="shared" si="0"/>
        <v>12.5</v>
      </c>
      <c r="C10" s="2">
        <f t="shared" si="1"/>
        <v>12.5</v>
      </c>
      <c r="D10" s="2">
        <f t="shared" si="2"/>
        <v>12.5</v>
      </c>
      <c r="E10" s="2">
        <f t="shared" si="3"/>
        <v>25</v>
      </c>
      <c r="F10" s="2">
        <f t="shared" si="4"/>
        <v>25</v>
      </c>
      <c r="G10" s="2">
        <f t="shared" si="5"/>
        <v>25</v>
      </c>
      <c r="H10" s="2">
        <f t="shared" si="6"/>
        <v>25</v>
      </c>
      <c r="I10" s="2">
        <f t="shared" si="7"/>
        <v>25</v>
      </c>
      <c r="J10" s="2">
        <f t="shared" si="8"/>
        <v>25</v>
      </c>
      <c r="K10" s="2">
        <f t="shared" si="9"/>
        <v>43.75</v>
      </c>
      <c r="L10" s="2">
        <f t="shared" si="10"/>
        <v>25</v>
      </c>
      <c r="M10" s="3">
        <v>0</v>
      </c>
      <c r="N10" s="3">
        <v>0</v>
      </c>
      <c r="O10" s="3">
        <v>0</v>
      </c>
      <c r="P10" s="3">
        <v>0</v>
      </c>
      <c r="Q10" s="3">
        <v>0</v>
      </c>
      <c r="R10" s="3">
        <v>0</v>
      </c>
      <c r="S10" s="3">
        <v>0</v>
      </c>
      <c r="T10" s="3">
        <v>0</v>
      </c>
      <c r="U10" s="3">
        <v>0</v>
      </c>
      <c r="V10" s="3">
        <v>0</v>
      </c>
      <c r="W10" s="3">
        <v>0</v>
      </c>
      <c r="X10" s="2">
        <f t="shared" si="11"/>
        <v>12.5</v>
      </c>
      <c r="Y10" s="2">
        <f t="shared" si="12"/>
        <v>12.5</v>
      </c>
      <c r="Z10" s="2">
        <f t="shared" si="13"/>
        <v>12.5</v>
      </c>
      <c r="AA10" s="2">
        <f t="shared" si="14"/>
        <v>25</v>
      </c>
      <c r="AB10" s="2">
        <f t="shared" si="15"/>
        <v>25</v>
      </c>
      <c r="AC10" s="2">
        <f t="shared" si="16"/>
        <v>25</v>
      </c>
      <c r="AD10" s="2">
        <f t="shared" si="17"/>
        <v>25</v>
      </c>
      <c r="AE10" s="2">
        <f t="shared" si="18"/>
        <v>25</v>
      </c>
      <c r="AF10" s="2">
        <f t="shared" si="19"/>
        <v>25</v>
      </c>
      <c r="AG10" s="2">
        <f t="shared" si="20"/>
        <v>43.75</v>
      </c>
      <c r="AH10" s="2">
        <f t="shared" si="21"/>
        <v>25</v>
      </c>
      <c r="AI10" s="3">
        <v>0</v>
      </c>
      <c r="AJ10" s="3">
        <v>0</v>
      </c>
      <c r="AK10" s="3">
        <v>0</v>
      </c>
      <c r="AL10" s="3">
        <v>0</v>
      </c>
      <c r="AM10" s="3">
        <v>0</v>
      </c>
      <c r="AN10" s="3">
        <v>0</v>
      </c>
      <c r="AO10" s="3">
        <v>0</v>
      </c>
      <c r="AP10" s="3">
        <v>0</v>
      </c>
      <c r="AQ10" s="3">
        <v>0</v>
      </c>
      <c r="AR10" s="3">
        <v>0</v>
      </c>
      <c r="AS10" s="3">
        <v>0</v>
      </c>
      <c r="AT10" s="2">
        <f t="shared" si="22"/>
        <v>12.5</v>
      </c>
      <c r="AU10" s="2">
        <f t="shared" si="23"/>
        <v>12.5</v>
      </c>
      <c r="AV10" s="2">
        <f t="shared" si="24"/>
        <v>12.5</v>
      </c>
      <c r="AW10" s="2">
        <f t="shared" si="25"/>
        <v>25</v>
      </c>
      <c r="AX10" s="2">
        <f t="shared" si="26"/>
        <v>25</v>
      </c>
      <c r="AY10" s="2">
        <f t="shared" si="27"/>
        <v>25</v>
      </c>
      <c r="AZ10" s="2">
        <f t="shared" si="28"/>
        <v>25</v>
      </c>
      <c r="BA10" s="2">
        <f t="shared" si="29"/>
        <v>25</v>
      </c>
      <c r="BB10" s="2">
        <f t="shared" si="30"/>
        <v>25</v>
      </c>
      <c r="BC10" s="2">
        <f t="shared" si="31"/>
        <v>43.75</v>
      </c>
      <c r="BD10" s="2">
        <f t="shared" si="32"/>
        <v>25</v>
      </c>
      <c r="BE10" s="3">
        <v>0</v>
      </c>
      <c r="BF10" s="3">
        <v>0</v>
      </c>
      <c r="BG10" s="3">
        <v>0</v>
      </c>
      <c r="BH10" s="3">
        <v>0</v>
      </c>
      <c r="BI10" s="3">
        <v>0</v>
      </c>
      <c r="BJ10" s="3">
        <v>0</v>
      </c>
      <c r="BK10" s="3">
        <v>0</v>
      </c>
      <c r="BL10" s="3">
        <v>0</v>
      </c>
      <c r="BM10" s="3">
        <v>0</v>
      </c>
      <c r="BN10" s="3">
        <v>0</v>
      </c>
      <c r="BO10" s="3">
        <v>0</v>
      </c>
      <c r="BP10" s="2">
        <f t="shared" si="33"/>
        <v>12.5</v>
      </c>
      <c r="BQ10" s="2">
        <f t="shared" si="34"/>
        <v>12.5</v>
      </c>
      <c r="BR10" s="2">
        <f t="shared" si="35"/>
        <v>12.5</v>
      </c>
      <c r="BS10" s="2">
        <f t="shared" si="36"/>
        <v>25</v>
      </c>
      <c r="BT10" s="2">
        <f t="shared" si="37"/>
        <v>25</v>
      </c>
      <c r="BU10" s="2">
        <f t="shared" si="38"/>
        <v>25</v>
      </c>
      <c r="BV10" s="2">
        <f t="shared" si="39"/>
        <v>25</v>
      </c>
      <c r="BW10" s="2">
        <f t="shared" si="40"/>
        <v>25</v>
      </c>
      <c r="BX10" s="2">
        <f t="shared" si="41"/>
        <v>25</v>
      </c>
      <c r="BY10" s="2">
        <f t="shared" si="42"/>
        <v>43.75</v>
      </c>
      <c r="BZ10" s="2">
        <f t="shared" si="43"/>
        <v>25</v>
      </c>
      <c r="CA10" s="3">
        <v>0</v>
      </c>
      <c r="CB10" s="3">
        <v>0</v>
      </c>
      <c r="CC10" s="3">
        <v>0</v>
      </c>
      <c r="CD10" s="3">
        <v>0</v>
      </c>
      <c r="CE10" s="3">
        <v>0</v>
      </c>
      <c r="CF10" s="3">
        <v>0</v>
      </c>
      <c r="CG10" s="3">
        <v>0</v>
      </c>
      <c r="CH10" s="3">
        <v>0</v>
      </c>
      <c r="CI10" s="3">
        <v>0</v>
      </c>
      <c r="CJ10" s="3">
        <v>0</v>
      </c>
      <c r="CK10" s="3">
        <v>0</v>
      </c>
      <c r="CL10" s="2">
        <f t="shared" si="44"/>
        <v>12.5</v>
      </c>
      <c r="CM10" s="2">
        <f t="shared" si="45"/>
        <v>12.5</v>
      </c>
      <c r="CN10" s="2">
        <f t="shared" si="46"/>
        <v>12.5</v>
      </c>
      <c r="CO10" s="2">
        <f t="shared" si="47"/>
        <v>25</v>
      </c>
      <c r="CP10" s="2">
        <f t="shared" si="48"/>
        <v>25</v>
      </c>
      <c r="CQ10" s="2">
        <f t="shared" si="49"/>
        <v>25</v>
      </c>
      <c r="CR10" s="2">
        <f t="shared" si="50"/>
        <v>25</v>
      </c>
      <c r="CS10" s="2">
        <f t="shared" si="51"/>
        <v>25</v>
      </c>
      <c r="CT10" s="2">
        <f t="shared" si="52"/>
        <v>25</v>
      </c>
      <c r="CU10" s="2">
        <f t="shared" si="53"/>
        <v>43.75</v>
      </c>
      <c r="CV10" s="2">
        <f t="shared" si="54"/>
        <v>25</v>
      </c>
      <c r="CW10" s="3">
        <v>0</v>
      </c>
      <c r="CX10" s="3">
        <v>0</v>
      </c>
      <c r="CY10" s="3">
        <v>0</v>
      </c>
      <c r="CZ10" s="3">
        <v>0</v>
      </c>
      <c r="DA10" s="3">
        <v>0</v>
      </c>
      <c r="DB10" s="3">
        <v>0</v>
      </c>
      <c r="DC10" s="3">
        <v>0</v>
      </c>
      <c r="DD10" s="3">
        <v>0</v>
      </c>
      <c r="DE10" s="3">
        <v>0</v>
      </c>
      <c r="DF10" s="3">
        <v>0</v>
      </c>
      <c r="DG10" s="3">
        <v>0</v>
      </c>
      <c r="DH10" s="2">
        <f t="shared" si="55"/>
        <v>12.5</v>
      </c>
      <c r="DI10" s="2">
        <f t="shared" si="56"/>
        <v>12.5</v>
      </c>
      <c r="DJ10" s="2">
        <f t="shared" si="57"/>
        <v>12.5</v>
      </c>
      <c r="DK10" s="2">
        <f t="shared" si="58"/>
        <v>25</v>
      </c>
      <c r="DL10" s="2">
        <f t="shared" si="59"/>
        <v>25</v>
      </c>
      <c r="DM10" s="2">
        <f t="shared" si="60"/>
        <v>25</v>
      </c>
      <c r="DN10" s="2">
        <f t="shared" si="61"/>
        <v>25</v>
      </c>
      <c r="DO10" s="2">
        <f t="shared" si="62"/>
        <v>25</v>
      </c>
      <c r="DP10" s="2">
        <f t="shared" si="63"/>
        <v>25</v>
      </c>
      <c r="DQ10" s="2">
        <f t="shared" si="64"/>
        <v>43.75</v>
      </c>
      <c r="DR10" s="2">
        <f t="shared" si="65"/>
        <v>25</v>
      </c>
      <c r="DS10" s="3">
        <v>0</v>
      </c>
      <c r="DT10" s="3">
        <v>0</v>
      </c>
      <c r="DU10" s="3">
        <v>0</v>
      </c>
      <c r="DV10" s="3">
        <v>0</v>
      </c>
      <c r="DW10" s="3">
        <v>0</v>
      </c>
      <c r="DX10" s="3">
        <v>0</v>
      </c>
      <c r="DY10" s="3">
        <v>0</v>
      </c>
      <c r="DZ10" s="3">
        <v>0</v>
      </c>
      <c r="EA10" s="3">
        <v>0</v>
      </c>
      <c r="EB10" s="3">
        <v>0</v>
      </c>
      <c r="EC10" s="3">
        <v>0</v>
      </c>
      <c r="ED10" s="2">
        <f t="shared" si="66"/>
        <v>12.5</v>
      </c>
      <c r="EE10" s="2">
        <f t="shared" si="67"/>
        <v>12.5</v>
      </c>
      <c r="EF10" s="2">
        <f t="shared" si="68"/>
        <v>12.5</v>
      </c>
      <c r="EG10" s="2">
        <f t="shared" si="69"/>
        <v>25</v>
      </c>
      <c r="EH10" s="2">
        <f t="shared" si="70"/>
        <v>25</v>
      </c>
      <c r="EI10" s="2">
        <f t="shared" si="71"/>
        <v>25</v>
      </c>
      <c r="EJ10" s="2">
        <f t="shared" si="72"/>
        <v>25</v>
      </c>
      <c r="EK10" s="2">
        <f t="shared" si="73"/>
        <v>25</v>
      </c>
      <c r="EL10" s="2">
        <f t="shared" si="74"/>
        <v>25</v>
      </c>
      <c r="EM10" s="2">
        <f t="shared" si="75"/>
        <v>43.75</v>
      </c>
      <c r="EN10" s="2">
        <f t="shared" si="76"/>
        <v>25</v>
      </c>
      <c r="EO10" s="3">
        <v>0</v>
      </c>
      <c r="EP10" s="3">
        <v>0</v>
      </c>
      <c r="EQ10" s="3">
        <v>0</v>
      </c>
      <c r="ER10" s="3">
        <v>0</v>
      </c>
      <c r="ES10" s="3">
        <v>0</v>
      </c>
      <c r="ET10" s="3">
        <v>0</v>
      </c>
      <c r="EU10" s="3">
        <v>0</v>
      </c>
      <c r="EV10" s="3">
        <v>0</v>
      </c>
      <c r="EW10" s="3">
        <v>0</v>
      </c>
      <c r="EX10" s="3">
        <v>0</v>
      </c>
      <c r="EY10" s="3">
        <v>0</v>
      </c>
      <c r="EZ10" s="2">
        <f t="shared" si="77"/>
        <v>12.5</v>
      </c>
      <c r="FA10" s="2">
        <f t="shared" si="78"/>
        <v>12.5</v>
      </c>
      <c r="FB10" s="2">
        <f t="shared" si="79"/>
        <v>12.5</v>
      </c>
      <c r="FC10" s="2">
        <f t="shared" si="80"/>
        <v>25</v>
      </c>
      <c r="FD10" s="2">
        <f t="shared" si="81"/>
        <v>25</v>
      </c>
      <c r="FE10" s="2">
        <f t="shared" si="82"/>
        <v>25</v>
      </c>
      <c r="FF10" s="2">
        <f t="shared" si="83"/>
        <v>25</v>
      </c>
      <c r="FG10" s="2">
        <f t="shared" si="84"/>
        <v>25</v>
      </c>
      <c r="FH10" s="2">
        <f t="shared" si="85"/>
        <v>25</v>
      </c>
      <c r="FI10" s="2">
        <f t="shared" si="86"/>
        <v>43.75</v>
      </c>
      <c r="FJ10" s="2">
        <f t="shared" si="87"/>
        <v>25</v>
      </c>
      <c r="FK10" s="3">
        <v>0</v>
      </c>
      <c r="FL10" s="3">
        <v>0</v>
      </c>
      <c r="FM10" s="3">
        <v>0</v>
      </c>
      <c r="FN10" s="3">
        <v>0</v>
      </c>
      <c r="FO10" s="3">
        <v>0</v>
      </c>
      <c r="FP10" s="3">
        <v>0</v>
      </c>
      <c r="FQ10" s="3">
        <v>0</v>
      </c>
      <c r="FR10" s="3">
        <v>0</v>
      </c>
      <c r="FS10" s="3">
        <v>0</v>
      </c>
      <c r="FT10" s="3">
        <v>0</v>
      </c>
      <c r="FU10" s="3">
        <v>0</v>
      </c>
      <c r="FV10" s="2">
        <f t="shared" si="88"/>
        <v>12.5</v>
      </c>
      <c r="FW10" s="2">
        <f t="shared" si="89"/>
        <v>12.5</v>
      </c>
      <c r="FX10" s="2">
        <f t="shared" si="90"/>
        <v>12.5</v>
      </c>
      <c r="FY10" s="2">
        <f t="shared" si="91"/>
        <v>25</v>
      </c>
      <c r="FZ10" s="2">
        <f t="shared" si="92"/>
        <v>25</v>
      </c>
      <c r="GA10" s="2">
        <f t="shared" si="93"/>
        <v>25</v>
      </c>
      <c r="GB10" s="2">
        <f t="shared" si="94"/>
        <v>25</v>
      </c>
      <c r="GC10" s="2">
        <f t="shared" si="95"/>
        <v>25</v>
      </c>
      <c r="GD10" s="2">
        <f t="shared" si="96"/>
        <v>25</v>
      </c>
      <c r="GE10" s="2">
        <f t="shared" si="97"/>
        <v>43.75</v>
      </c>
      <c r="GF10" s="2">
        <f t="shared" si="98"/>
        <v>25</v>
      </c>
      <c r="GG10" s="3">
        <v>0</v>
      </c>
      <c r="GH10" s="3">
        <v>0</v>
      </c>
      <c r="GI10" s="3">
        <v>0</v>
      </c>
      <c r="GJ10" s="3">
        <v>0</v>
      </c>
      <c r="GK10" s="3">
        <v>0</v>
      </c>
      <c r="GL10" s="3">
        <v>0</v>
      </c>
      <c r="GM10" s="3">
        <v>0</v>
      </c>
      <c r="GN10" s="3">
        <v>0</v>
      </c>
      <c r="GO10" s="3">
        <v>0</v>
      </c>
      <c r="GP10" s="3">
        <v>0</v>
      </c>
      <c r="GQ10" s="3">
        <v>0</v>
      </c>
      <c r="GR10" s="2">
        <f t="shared" si="99"/>
        <v>12.5</v>
      </c>
      <c r="GS10" s="2">
        <f t="shared" si="100"/>
        <v>12.5</v>
      </c>
      <c r="GT10" s="2">
        <f t="shared" si="101"/>
        <v>12.5</v>
      </c>
      <c r="GU10" s="2">
        <f t="shared" si="102"/>
        <v>25</v>
      </c>
      <c r="GV10" s="2">
        <f t="shared" si="103"/>
        <v>25</v>
      </c>
      <c r="GW10" s="2">
        <f t="shared" si="104"/>
        <v>25</v>
      </c>
      <c r="GX10" s="2">
        <f t="shared" si="105"/>
        <v>25</v>
      </c>
      <c r="GY10" s="2">
        <f t="shared" si="106"/>
        <v>25</v>
      </c>
      <c r="GZ10" s="2">
        <f t="shared" si="107"/>
        <v>25</v>
      </c>
      <c r="HA10" s="2">
        <f t="shared" si="108"/>
        <v>43.75</v>
      </c>
      <c r="HB10" s="2">
        <f t="shared" si="109"/>
        <v>25</v>
      </c>
      <c r="HC10" s="3">
        <v>0</v>
      </c>
      <c r="HD10" s="3">
        <v>0</v>
      </c>
      <c r="HE10" s="3">
        <v>0</v>
      </c>
      <c r="HF10" s="3">
        <v>0</v>
      </c>
      <c r="HG10" s="3">
        <v>0</v>
      </c>
      <c r="HH10" s="3">
        <v>0</v>
      </c>
      <c r="HI10" s="3">
        <v>0</v>
      </c>
      <c r="HJ10" s="3">
        <v>0</v>
      </c>
      <c r="HK10" s="3">
        <v>0</v>
      </c>
      <c r="HL10" s="3">
        <v>0</v>
      </c>
      <c r="HM10" s="3">
        <v>0</v>
      </c>
      <c r="HN10" s="2">
        <f t="shared" si="110"/>
        <v>12.5</v>
      </c>
      <c r="HO10" s="2">
        <f t="shared" si="111"/>
        <v>12.5</v>
      </c>
      <c r="HP10" s="2">
        <f t="shared" si="112"/>
        <v>12.5</v>
      </c>
      <c r="HQ10" s="2">
        <f t="shared" si="113"/>
        <v>25</v>
      </c>
      <c r="HR10" s="2">
        <f t="shared" si="114"/>
        <v>25</v>
      </c>
      <c r="HS10" s="2">
        <f t="shared" si="115"/>
        <v>25</v>
      </c>
      <c r="HT10" s="2">
        <f t="shared" si="116"/>
        <v>25</v>
      </c>
      <c r="HU10" s="2">
        <f t="shared" si="117"/>
        <v>25</v>
      </c>
      <c r="HV10" s="2">
        <f t="shared" si="118"/>
        <v>25</v>
      </c>
      <c r="HW10" s="2">
        <f t="shared" si="119"/>
        <v>43.75</v>
      </c>
      <c r="HX10" s="2">
        <f t="shared" si="120"/>
        <v>25</v>
      </c>
      <c r="HY10" s="3">
        <v>0</v>
      </c>
      <c r="HZ10" s="3">
        <v>0</v>
      </c>
      <c r="IA10" s="3">
        <v>0</v>
      </c>
      <c r="IB10" s="3">
        <v>0</v>
      </c>
      <c r="IC10" s="3">
        <v>0</v>
      </c>
      <c r="ID10" s="3">
        <v>0</v>
      </c>
      <c r="IE10" s="3">
        <v>0</v>
      </c>
      <c r="IF10" s="3">
        <v>0</v>
      </c>
      <c r="IG10" s="3">
        <v>0</v>
      </c>
      <c r="IH10" s="3">
        <v>0</v>
      </c>
      <c r="II10" s="3">
        <v>0</v>
      </c>
      <c r="IJ10" s="2">
        <f t="shared" si="121"/>
        <v>12.5</v>
      </c>
      <c r="IK10" s="2">
        <f t="shared" si="122"/>
        <v>12.5</v>
      </c>
      <c r="IL10" s="2">
        <f t="shared" si="123"/>
        <v>12.5</v>
      </c>
      <c r="IM10" s="2">
        <f t="shared" si="124"/>
        <v>25</v>
      </c>
      <c r="IN10" s="2">
        <f t="shared" si="125"/>
        <v>25</v>
      </c>
      <c r="IO10" s="2">
        <f t="shared" si="126"/>
        <v>25</v>
      </c>
      <c r="IP10" s="2">
        <f t="shared" si="127"/>
        <v>25</v>
      </c>
      <c r="IQ10" s="2">
        <f t="shared" si="128"/>
        <v>25</v>
      </c>
      <c r="IR10" s="2">
        <f t="shared" si="129"/>
        <v>25</v>
      </c>
      <c r="IS10" s="2">
        <f t="shared" si="130"/>
        <v>43.75</v>
      </c>
      <c r="IT10" s="2">
        <f t="shared" si="131"/>
        <v>25</v>
      </c>
      <c r="IU10" s="3">
        <v>0</v>
      </c>
      <c r="IV10" s="3">
        <v>0</v>
      </c>
      <c r="IW10" s="3">
        <v>0</v>
      </c>
      <c r="IX10" s="3">
        <v>0</v>
      </c>
      <c r="IY10" s="3">
        <v>0</v>
      </c>
      <c r="IZ10" s="3">
        <v>0</v>
      </c>
      <c r="JA10" s="3">
        <v>0</v>
      </c>
      <c r="JB10" s="3">
        <v>0</v>
      </c>
      <c r="JC10" s="3">
        <v>0</v>
      </c>
      <c r="JD10" s="3">
        <v>0</v>
      </c>
      <c r="JE10" s="3">
        <v>0</v>
      </c>
      <c r="JF10" s="2">
        <f t="shared" si="132"/>
        <v>12.5</v>
      </c>
      <c r="JG10" s="2">
        <f t="shared" si="133"/>
        <v>12.5</v>
      </c>
      <c r="JH10" s="2">
        <f t="shared" si="134"/>
        <v>12.5</v>
      </c>
      <c r="JI10" s="2">
        <f t="shared" si="135"/>
        <v>25</v>
      </c>
      <c r="JJ10" s="2">
        <f t="shared" si="136"/>
        <v>25</v>
      </c>
      <c r="JK10" s="2">
        <f t="shared" si="137"/>
        <v>25</v>
      </c>
      <c r="JL10" s="2">
        <f t="shared" si="138"/>
        <v>25</v>
      </c>
      <c r="JM10" s="2">
        <f t="shared" si="139"/>
        <v>25</v>
      </c>
      <c r="JN10" s="2">
        <f t="shared" si="140"/>
        <v>25</v>
      </c>
      <c r="JO10" s="2">
        <f t="shared" si="141"/>
        <v>43.75</v>
      </c>
      <c r="JP10" s="2">
        <f t="shared" si="142"/>
        <v>25</v>
      </c>
      <c r="JQ10" s="3">
        <v>0</v>
      </c>
      <c r="JR10" s="3">
        <v>0</v>
      </c>
      <c r="JS10" s="3">
        <v>0</v>
      </c>
      <c r="JT10" s="3">
        <v>0</v>
      </c>
      <c r="JU10" s="3">
        <v>0</v>
      </c>
      <c r="JV10" s="3">
        <v>0</v>
      </c>
      <c r="JW10" s="3">
        <v>0</v>
      </c>
      <c r="JX10" s="3">
        <v>0</v>
      </c>
      <c r="JY10" s="3">
        <v>0</v>
      </c>
      <c r="JZ10" s="3">
        <v>0</v>
      </c>
      <c r="KA10" s="3">
        <v>0</v>
      </c>
      <c r="KB10" s="2">
        <f t="shared" si="143"/>
        <v>12.5</v>
      </c>
      <c r="KC10" s="2">
        <f t="shared" si="144"/>
        <v>12.5</v>
      </c>
      <c r="KD10" s="2">
        <f t="shared" si="145"/>
        <v>12.5</v>
      </c>
      <c r="KE10" s="2">
        <f t="shared" si="146"/>
        <v>25</v>
      </c>
      <c r="KF10" s="2">
        <f t="shared" si="147"/>
        <v>25</v>
      </c>
      <c r="KG10" s="2">
        <f t="shared" si="148"/>
        <v>25</v>
      </c>
      <c r="KH10" s="2">
        <f t="shared" si="149"/>
        <v>25</v>
      </c>
      <c r="KI10" s="2">
        <f t="shared" si="150"/>
        <v>25</v>
      </c>
      <c r="KJ10" s="2">
        <f t="shared" si="151"/>
        <v>25</v>
      </c>
      <c r="KK10" s="2">
        <f t="shared" si="152"/>
        <v>43.75</v>
      </c>
      <c r="KL10" s="2">
        <f t="shared" si="153"/>
        <v>25</v>
      </c>
      <c r="KM10" s="3">
        <v>0</v>
      </c>
      <c r="KN10" s="3">
        <v>0</v>
      </c>
      <c r="KO10" s="3">
        <v>0</v>
      </c>
      <c r="KP10" s="3">
        <v>0</v>
      </c>
      <c r="KQ10" s="3">
        <v>0</v>
      </c>
      <c r="KR10" s="3">
        <v>0</v>
      </c>
      <c r="KS10" s="3">
        <v>0</v>
      </c>
      <c r="KT10" s="3">
        <v>0</v>
      </c>
      <c r="KU10" s="3">
        <v>0</v>
      </c>
      <c r="KV10" s="3">
        <v>0</v>
      </c>
      <c r="KW10" s="3">
        <v>0</v>
      </c>
      <c r="KX10" s="2">
        <f t="shared" si="154"/>
        <v>12.5</v>
      </c>
      <c r="KY10" s="2">
        <f t="shared" si="155"/>
        <v>12.5</v>
      </c>
      <c r="KZ10" s="2">
        <f t="shared" si="156"/>
        <v>12.5</v>
      </c>
      <c r="LA10" s="2">
        <f t="shared" si="157"/>
        <v>25</v>
      </c>
      <c r="LB10" s="2">
        <f t="shared" si="158"/>
        <v>25</v>
      </c>
      <c r="LC10" s="2">
        <f t="shared" si="159"/>
        <v>25</v>
      </c>
      <c r="LD10" s="2">
        <f t="shared" si="160"/>
        <v>25</v>
      </c>
      <c r="LE10" s="2">
        <f t="shared" si="161"/>
        <v>25</v>
      </c>
      <c r="LF10" s="2">
        <f t="shared" si="162"/>
        <v>25</v>
      </c>
      <c r="LG10" s="2">
        <f t="shared" si="163"/>
        <v>43.75</v>
      </c>
      <c r="LH10" s="2">
        <f t="shared" si="164"/>
        <v>25</v>
      </c>
      <c r="LI10" s="3">
        <v>0</v>
      </c>
      <c r="LJ10" s="3">
        <v>0</v>
      </c>
      <c r="LK10" s="3">
        <v>0</v>
      </c>
      <c r="LL10" s="3">
        <v>0</v>
      </c>
      <c r="LM10" s="3">
        <v>0</v>
      </c>
      <c r="LN10" s="3">
        <v>0</v>
      </c>
      <c r="LO10" s="3">
        <v>0</v>
      </c>
      <c r="LP10" s="3">
        <v>0</v>
      </c>
      <c r="LQ10" s="3">
        <v>0</v>
      </c>
      <c r="LR10" s="3">
        <v>0</v>
      </c>
      <c r="LS10" s="3">
        <v>0</v>
      </c>
      <c r="LT10" s="2">
        <f t="shared" si="165"/>
        <v>12.5</v>
      </c>
      <c r="LU10" s="2">
        <f t="shared" si="166"/>
        <v>12.5</v>
      </c>
      <c r="LV10" s="2">
        <f t="shared" si="167"/>
        <v>12.5</v>
      </c>
      <c r="LW10" s="2">
        <f t="shared" si="168"/>
        <v>25</v>
      </c>
      <c r="LX10" s="2">
        <f t="shared" si="169"/>
        <v>25</v>
      </c>
      <c r="LY10" s="2">
        <f t="shared" si="170"/>
        <v>25</v>
      </c>
      <c r="LZ10" s="2">
        <f t="shared" si="171"/>
        <v>25</v>
      </c>
      <c r="MA10" s="2">
        <f t="shared" si="172"/>
        <v>25</v>
      </c>
      <c r="MB10" s="2">
        <f t="shared" si="173"/>
        <v>25</v>
      </c>
      <c r="MC10" s="2">
        <f t="shared" si="174"/>
        <v>43.75</v>
      </c>
      <c r="MD10" s="2">
        <f t="shared" si="175"/>
        <v>25</v>
      </c>
      <c r="ME10" s="3">
        <v>0</v>
      </c>
      <c r="MF10" s="3">
        <v>0</v>
      </c>
      <c r="MG10" s="3">
        <v>0</v>
      </c>
      <c r="MH10" s="3">
        <v>0</v>
      </c>
      <c r="MI10" s="3">
        <v>0</v>
      </c>
      <c r="MJ10" s="3">
        <v>0</v>
      </c>
      <c r="MK10" s="3">
        <v>0</v>
      </c>
      <c r="ML10" s="3">
        <v>0</v>
      </c>
      <c r="MM10" s="3">
        <v>0</v>
      </c>
      <c r="MN10" s="3">
        <v>0</v>
      </c>
      <c r="MO10" s="3">
        <v>0</v>
      </c>
      <c r="MP10" s="2">
        <f t="shared" si="176"/>
        <v>12.5</v>
      </c>
      <c r="MQ10" s="2">
        <f t="shared" si="177"/>
        <v>12.5</v>
      </c>
      <c r="MR10" s="2">
        <f t="shared" si="178"/>
        <v>12.5</v>
      </c>
      <c r="MS10" s="2">
        <f t="shared" si="179"/>
        <v>25</v>
      </c>
      <c r="MT10" s="2">
        <f t="shared" si="180"/>
        <v>25</v>
      </c>
      <c r="MU10" s="2">
        <f t="shared" si="181"/>
        <v>25</v>
      </c>
      <c r="MV10" s="2">
        <f t="shared" si="182"/>
        <v>25</v>
      </c>
      <c r="MW10" s="2">
        <f t="shared" si="183"/>
        <v>25</v>
      </c>
      <c r="MX10" s="2">
        <f t="shared" si="184"/>
        <v>25</v>
      </c>
      <c r="MY10" s="2">
        <f t="shared" si="185"/>
        <v>43.75</v>
      </c>
      <c r="MZ10" s="2">
        <f t="shared" si="186"/>
        <v>25</v>
      </c>
      <c r="NA10" s="3">
        <v>0</v>
      </c>
      <c r="NB10" s="3">
        <v>0</v>
      </c>
      <c r="NC10" s="3">
        <v>0</v>
      </c>
      <c r="ND10" s="3">
        <v>0</v>
      </c>
      <c r="NE10" s="3">
        <v>0</v>
      </c>
      <c r="NF10" s="3">
        <v>0</v>
      </c>
      <c r="NG10" s="3">
        <v>0</v>
      </c>
      <c r="NH10" s="3">
        <v>0</v>
      </c>
      <c r="NI10" s="3">
        <v>0</v>
      </c>
      <c r="NJ10" s="3">
        <v>0</v>
      </c>
      <c r="NK10" s="3">
        <v>0</v>
      </c>
      <c r="NL10" s="2">
        <f t="shared" si="187"/>
        <v>12.5</v>
      </c>
      <c r="NM10" s="2">
        <f t="shared" si="188"/>
        <v>12.5</v>
      </c>
      <c r="NN10" s="2">
        <f t="shared" si="189"/>
        <v>12.5</v>
      </c>
      <c r="NO10" s="2">
        <f t="shared" si="190"/>
        <v>25</v>
      </c>
      <c r="NP10" s="2">
        <f t="shared" si="191"/>
        <v>25</v>
      </c>
      <c r="NQ10" s="2">
        <f t="shared" si="192"/>
        <v>25</v>
      </c>
      <c r="NR10" s="2">
        <f t="shared" si="193"/>
        <v>25</v>
      </c>
      <c r="NS10" s="2">
        <f t="shared" si="194"/>
        <v>25</v>
      </c>
      <c r="NT10" s="2">
        <f t="shared" si="195"/>
        <v>25</v>
      </c>
      <c r="NU10" s="2">
        <f t="shared" si="196"/>
        <v>43.75</v>
      </c>
      <c r="NV10" s="2">
        <f t="shared" si="197"/>
        <v>25</v>
      </c>
      <c r="NW10" s="59">
        <v>0</v>
      </c>
      <c r="NX10" s="59">
        <v>0</v>
      </c>
      <c r="NY10" s="59">
        <v>0</v>
      </c>
      <c r="NZ10" s="59">
        <v>0</v>
      </c>
      <c r="OA10" s="59">
        <v>0</v>
      </c>
      <c r="OB10" s="59">
        <v>0</v>
      </c>
      <c r="OC10" s="59">
        <v>0</v>
      </c>
      <c r="OD10" s="59">
        <v>0</v>
      </c>
      <c r="OE10" s="59">
        <v>0</v>
      </c>
      <c r="OF10" s="59">
        <v>0</v>
      </c>
      <c r="OG10" s="59">
        <v>0</v>
      </c>
      <c r="OH10" s="2">
        <f t="shared" si="198"/>
        <v>12.5</v>
      </c>
      <c r="OI10" s="2">
        <f t="shared" si="199"/>
        <v>12.5</v>
      </c>
      <c r="OJ10" s="2">
        <f t="shared" si="200"/>
        <v>12.5</v>
      </c>
      <c r="OK10" s="2">
        <f t="shared" si="201"/>
        <v>25</v>
      </c>
      <c r="OL10" s="2">
        <f t="shared" si="202"/>
        <v>25</v>
      </c>
      <c r="OM10" s="2">
        <f t="shared" si="203"/>
        <v>25</v>
      </c>
      <c r="ON10" s="2">
        <f t="shared" si="204"/>
        <v>25</v>
      </c>
      <c r="OO10" s="2">
        <f t="shared" si="205"/>
        <v>25</v>
      </c>
      <c r="OP10" s="2">
        <f t="shared" si="206"/>
        <v>25</v>
      </c>
      <c r="OQ10" s="2">
        <f t="shared" si="207"/>
        <v>43.75</v>
      </c>
      <c r="OR10" s="2">
        <f t="shared" si="208"/>
        <v>25</v>
      </c>
      <c r="OS10" s="59">
        <v>0</v>
      </c>
      <c r="OT10" s="59">
        <v>0</v>
      </c>
      <c r="OU10" s="59">
        <v>0</v>
      </c>
      <c r="OV10" s="59">
        <v>0</v>
      </c>
      <c r="OW10" s="59">
        <v>0</v>
      </c>
      <c r="OX10" s="59">
        <v>0</v>
      </c>
      <c r="OY10" s="59">
        <v>0</v>
      </c>
      <c r="OZ10" s="59">
        <v>0</v>
      </c>
      <c r="PA10" s="59">
        <v>0</v>
      </c>
      <c r="PB10" s="59">
        <v>0</v>
      </c>
      <c r="PC10" s="59">
        <v>0</v>
      </c>
      <c r="PD10" s="2">
        <f t="shared" si="209"/>
        <v>12.5</v>
      </c>
      <c r="PE10" s="2">
        <f t="shared" si="210"/>
        <v>12.5</v>
      </c>
      <c r="PF10" s="2">
        <f t="shared" si="211"/>
        <v>12.5</v>
      </c>
      <c r="PG10" s="2">
        <f t="shared" si="212"/>
        <v>25</v>
      </c>
      <c r="PH10" s="2">
        <f t="shared" si="213"/>
        <v>25</v>
      </c>
      <c r="PI10" s="2">
        <f t="shared" si="214"/>
        <v>25</v>
      </c>
      <c r="PJ10" s="2">
        <f t="shared" si="215"/>
        <v>25</v>
      </c>
      <c r="PK10" s="2">
        <f t="shared" si="216"/>
        <v>25</v>
      </c>
      <c r="PL10" s="2">
        <f t="shared" si="217"/>
        <v>25</v>
      </c>
      <c r="PM10" s="2">
        <f t="shared" si="218"/>
        <v>43.75</v>
      </c>
      <c r="PN10" s="2">
        <f t="shared" si="219"/>
        <v>25</v>
      </c>
      <c r="PO10" s="59">
        <v>0</v>
      </c>
      <c r="PP10" s="59">
        <v>0</v>
      </c>
      <c r="PQ10" s="59">
        <v>0</v>
      </c>
      <c r="PR10" s="59">
        <v>0</v>
      </c>
      <c r="PS10" s="59">
        <v>0</v>
      </c>
      <c r="PT10" s="59">
        <v>0</v>
      </c>
      <c r="PU10" s="59">
        <v>0</v>
      </c>
      <c r="PV10" s="59">
        <v>0</v>
      </c>
      <c r="PW10" s="59">
        <v>0</v>
      </c>
      <c r="PX10" s="59">
        <v>0</v>
      </c>
      <c r="PY10" s="59">
        <v>0</v>
      </c>
      <c r="PZ10" s="2">
        <f t="shared" si="220"/>
        <v>12.5</v>
      </c>
      <c r="QA10" s="2">
        <f t="shared" si="221"/>
        <v>12.5</v>
      </c>
      <c r="QB10" s="2">
        <f t="shared" si="222"/>
        <v>12.5</v>
      </c>
      <c r="QC10" s="2">
        <f t="shared" si="223"/>
        <v>25</v>
      </c>
      <c r="QD10" s="2">
        <f t="shared" si="224"/>
        <v>25</v>
      </c>
      <c r="QE10" s="2">
        <f t="shared" si="225"/>
        <v>25</v>
      </c>
      <c r="QF10" s="2">
        <f t="shared" si="226"/>
        <v>25</v>
      </c>
      <c r="QG10" s="2">
        <f t="shared" si="227"/>
        <v>25</v>
      </c>
      <c r="QH10" s="2">
        <f t="shared" si="228"/>
        <v>25</v>
      </c>
      <c r="QI10" s="2">
        <f t="shared" si="229"/>
        <v>43.75</v>
      </c>
      <c r="QJ10" s="2">
        <f t="shared" si="230"/>
        <v>25</v>
      </c>
      <c r="QK10" s="59">
        <v>0</v>
      </c>
      <c r="QL10" s="59">
        <v>0</v>
      </c>
      <c r="QM10" s="59">
        <v>0</v>
      </c>
      <c r="QN10" s="59">
        <v>0</v>
      </c>
      <c r="QO10" s="59">
        <v>0</v>
      </c>
      <c r="QP10" s="59">
        <v>0</v>
      </c>
      <c r="QQ10" s="59">
        <v>0</v>
      </c>
      <c r="QR10" s="59">
        <v>0</v>
      </c>
      <c r="QS10" s="59">
        <v>0</v>
      </c>
      <c r="QT10" s="59">
        <v>0</v>
      </c>
      <c r="QU10" s="59">
        <v>0</v>
      </c>
      <c r="QV10" s="2">
        <f t="shared" si="231"/>
        <v>12.5</v>
      </c>
      <c r="QW10" s="2">
        <f t="shared" si="232"/>
        <v>12.5</v>
      </c>
      <c r="QX10" s="2">
        <f t="shared" si="233"/>
        <v>12.5</v>
      </c>
      <c r="QY10" s="2">
        <f t="shared" si="234"/>
        <v>25</v>
      </c>
      <c r="QZ10" s="2">
        <f t="shared" si="235"/>
        <v>25</v>
      </c>
      <c r="RA10" s="2">
        <f t="shared" si="236"/>
        <v>25</v>
      </c>
      <c r="RB10" s="2">
        <f t="shared" si="237"/>
        <v>25</v>
      </c>
      <c r="RC10" s="2">
        <f t="shared" si="238"/>
        <v>25</v>
      </c>
      <c r="RD10" s="2">
        <f t="shared" si="239"/>
        <v>25</v>
      </c>
      <c r="RE10" s="2">
        <f t="shared" si="240"/>
        <v>43.75</v>
      </c>
      <c r="RF10" s="2">
        <f t="shared" si="241"/>
        <v>25</v>
      </c>
      <c r="RG10" s="59">
        <v>0</v>
      </c>
      <c r="RH10" s="59">
        <v>0</v>
      </c>
      <c r="RI10" s="59">
        <v>0</v>
      </c>
      <c r="RJ10" s="59">
        <v>0</v>
      </c>
      <c r="RK10" s="59">
        <v>0</v>
      </c>
      <c r="RL10" s="59">
        <v>0</v>
      </c>
      <c r="RM10" s="59">
        <v>0</v>
      </c>
      <c r="RN10" s="59">
        <v>0</v>
      </c>
      <c r="RO10" s="59">
        <v>0</v>
      </c>
      <c r="RP10" s="59">
        <v>0</v>
      </c>
      <c r="RQ10" s="59">
        <v>0</v>
      </c>
      <c r="RR10" s="2">
        <f t="shared" si="242"/>
        <v>12.5</v>
      </c>
      <c r="RS10" s="2">
        <f t="shared" si="243"/>
        <v>12.5</v>
      </c>
      <c r="RT10" s="2">
        <f t="shared" si="244"/>
        <v>12.5</v>
      </c>
      <c r="RU10" s="2">
        <f t="shared" si="245"/>
        <v>25</v>
      </c>
      <c r="RV10" s="2">
        <f t="shared" si="246"/>
        <v>25</v>
      </c>
      <c r="RW10" s="2">
        <f t="shared" si="247"/>
        <v>25</v>
      </c>
      <c r="RX10" s="2">
        <f t="shared" si="248"/>
        <v>25</v>
      </c>
      <c r="RY10" s="2">
        <f t="shared" si="249"/>
        <v>25</v>
      </c>
      <c r="RZ10" s="2">
        <f t="shared" si="250"/>
        <v>25</v>
      </c>
      <c r="SA10" s="2">
        <f t="shared" si="251"/>
        <v>43.75</v>
      </c>
      <c r="SB10" s="2">
        <f t="shared" si="252"/>
        <v>25</v>
      </c>
      <c r="SC10" s="59">
        <v>0</v>
      </c>
      <c r="SD10" s="59">
        <v>0</v>
      </c>
      <c r="SE10" s="59">
        <v>0</v>
      </c>
      <c r="SF10" s="59">
        <v>0</v>
      </c>
      <c r="SG10" s="59">
        <v>0</v>
      </c>
      <c r="SH10" s="59">
        <v>0</v>
      </c>
      <c r="SI10" s="59">
        <v>0</v>
      </c>
      <c r="SJ10" s="59">
        <v>0</v>
      </c>
      <c r="SK10" s="59">
        <v>0</v>
      </c>
      <c r="SL10" s="59">
        <v>0</v>
      </c>
      <c r="SM10" s="59">
        <v>0</v>
      </c>
      <c r="SN10" s="2">
        <f t="shared" si="253"/>
        <v>12.5</v>
      </c>
      <c r="SO10" s="2">
        <f t="shared" si="254"/>
        <v>12.5</v>
      </c>
      <c r="SP10" s="2">
        <f t="shared" si="255"/>
        <v>12.5</v>
      </c>
      <c r="SQ10" s="2">
        <f t="shared" si="256"/>
        <v>25</v>
      </c>
      <c r="SR10" s="2">
        <f t="shared" si="257"/>
        <v>25</v>
      </c>
      <c r="SS10" s="2">
        <f t="shared" si="258"/>
        <v>25</v>
      </c>
      <c r="ST10" s="2">
        <f t="shared" si="259"/>
        <v>25</v>
      </c>
      <c r="SU10" s="2">
        <f t="shared" si="260"/>
        <v>25</v>
      </c>
      <c r="SV10" s="2">
        <f t="shared" si="261"/>
        <v>25</v>
      </c>
      <c r="SW10" s="2">
        <f t="shared" si="262"/>
        <v>43.75</v>
      </c>
      <c r="SX10" s="2">
        <f t="shared" si="263"/>
        <v>25</v>
      </c>
      <c r="SY10" s="59">
        <v>0</v>
      </c>
      <c r="SZ10" s="59">
        <v>0</v>
      </c>
      <c r="TA10" s="59">
        <v>0</v>
      </c>
      <c r="TB10" s="59">
        <v>0</v>
      </c>
      <c r="TC10" s="59">
        <v>0</v>
      </c>
      <c r="TD10" s="59">
        <v>0</v>
      </c>
      <c r="TE10" s="59">
        <v>0</v>
      </c>
      <c r="TF10" s="59">
        <v>0</v>
      </c>
      <c r="TG10" s="59">
        <v>0</v>
      </c>
      <c r="TH10" s="59">
        <v>0</v>
      </c>
      <c r="TI10" s="59">
        <v>0</v>
      </c>
      <c r="TJ10" s="2">
        <f t="shared" si="264"/>
        <v>12.5</v>
      </c>
      <c r="TK10" s="2">
        <f t="shared" si="265"/>
        <v>12.5</v>
      </c>
      <c r="TL10" s="2">
        <f t="shared" si="266"/>
        <v>12.5</v>
      </c>
      <c r="TM10" s="2">
        <f t="shared" si="267"/>
        <v>25</v>
      </c>
      <c r="TN10" s="2">
        <f t="shared" si="268"/>
        <v>25</v>
      </c>
      <c r="TO10" s="2">
        <f t="shared" si="269"/>
        <v>25</v>
      </c>
      <c r="TP10" s="2">
        <f t="shared" si="270"/>
        <v>25</v>
      </c>
      <c r="TQ10" s="2">
        <f t="shared" si="271"/>
        <v>25</v>
      </c>
      <c r="TR10" s="2">
        <f t="shared" si="272"/>
        <v>25</v>
      </c>
      <c r="TS10" s="2">
        <f t="shared" si="273"/>
        <v>43.75</v>
      </c>
      <c r="TT10" s="2">
        <f t="shared" si="274"/>
        <v>25</v>
      </c>
      <c r="TU10" s="59">
        <v>0</v>
      </c>
      <c r="TV10" s="59">
        <v>0</v>
      </c>
      <c r="TW10" s="59">
        <v>0</v>
      </c>
      <c r="TX10" s="59">
        <v>0</v>
      </c>
      <c r="TY10" s="59">
        <v>0</v>
      </c>
      <c r="TZ10" s="59">
        <v>0</v>
      </c>
      <c r="UA10" s="59">
        <v>0</v>
      </c>
      <c r="UB10" s="59">
        <v>0</v>
      </c>
      <c r="UC10" s="59">
        <v>0</v>
      </c>
      <c r="UD10" s="59">
        <v>0</v>
      </c>
      <c r="UE10" s="59">
        <v>0</v>
      </c>
      <c r="UF10" s="2">
        <f t="shared" si="275"/>
        <v>12.5</v>
      </c>
      <c r="UG10" s="2">
        <f t="shared" si="276"/>
        <v>12.5</v>
      </c>
      <c r="UH10" s="2">
        <f t="shared" si="277"/>
        <v>12.5</v>
      </c>
      <c r="UI10" s="2">
        <f t="shared" si="278"/>
        <v>25</v>
      </c>
      <c r="UJ10" s="2">
        <f t="shared" si="279"/>
        <v>25</v>
      </c>
      <c r="UK10" s="2">
        <f t="shared" si="280"/>
        <v>25</v>
      </c>
      <c r="UL10" s="2">
        <f t="shared" si="281"/>
        <v>25</v>
      </c>
      <c r="UM10" s="2">
        <f t="shared" si="282"/>
        <v>25</v>
      </c>
      <c r="UN10" s="2">
        <f t="shared" si="283"/>
        <v>25</v>
      </c>
      <c r="UO10" s="2">
        <f t="shared" si="284"/>
        <v>43.75</v>
      </c>
      <c r="UP10" s="2">
        <f t="shared" si="285"/>
        <v>25</v>
      </c>
      <c r="UQ10" s="59">
        <v>0</v>
      </c>
      <c r="UR10" s="59">
        <v>0</v>
      </c>
      <c r="US10" s="59">
        <v>0</v>
      </c>
      <c r="UT10" s="59">
        <v>0</v>
      </c>
      <c r="UU10" s="59">
        <v>0</v>
      </c>
      <c r="UV10" s="59">
        <v>0</v>
      </c>
      <c r="UW10" s="59">
        <v>0</v>
      </c>
      <c r="UX10" s="59">
        <v>0</v>
      </c>
      <c r="UY10" s="59">
        <v>0</v>
      </c>
      <c r="UZ10" s="59">
        <v>0</v>
      </c>
      <c r="VA10" s="59">
        <v>0</v>
      </c>
      <c r="VB10" s="2">
        <f t="shared" si="286"/>
        <v>12.5</v>
      </c>
      <c r="VC10" s="2">
        <f t="shared" si="287"/>
        <v>12.5</v>
      </c>
      <c r="VD10" s="2">
        <f t="shared" si="288"/>
        <v>12.5</v>
      </c>
      <c r="VE10" s="2">
        <f t="shared" si="289"/>
        <v>25</v>
      </c>
      <c r="VF10" s="2">
        <f t="shared" si="290"/>
        <v>25</v>
      </c>
      <c r="VG10" s="2">
        <f t="shared" si="291"/>
        <v>25</v>
      </c>
      <c r="VH10" s="2">
        <f t="shared" si="292"/>
        <v>25</v>
      </c>
      <c r="VI10" s="2">
        <f t="shared" si="293"/>
        <v>25</v>
      </c>
      <c r="VJ10" s="2">
        <f t="shared" si="294"/>
        <v>25</v>
      </c>
      <c r="VK10" s="2">
        <f t="shared" si="295"/>
        <v>43.75</v>
      </c>
      <c r="VL10" s="2">
        <f t="shared" si="296"/>
        <v>25</v>
      </c>
      <c r="VM10" s="59">
        <v>0</v>
      </c>
      <c r="VN10" s="59">
        <v>0</v>
      </c>
      <c r="VO10" s="59">
        <v>0</v>
      </c>
      <c r="VP10" s="59">
        <v>0</v>
      </c>
      <c r="VQ10" s="59">
        <v>0</v>
      </c>
      <c r="VR10" s="59">
        <v>0</v>
      </c>
      <c r="VS10" s="59">
        <v>0</v>
      </c>
      <c r="VT10" s="59">
        <v>0</v>
      </c>
      <c r="VU10" s="59">
        <v>0</v>
      </c>
      <c r="VV10" s="59">
        <v>0</v>
      </c>
      <c r="VW10" s="59">
        <v>0</v>
      </c>
      <c r="VX10" s="2">
        <f t="shared" si="297"/>
        <v>12.5</v>
      </c>
      <c r="VY10" s="2">
        <f t="shared" si="298"/>
        <v>12.5</v>
      </c>
      <c r="VZ10" s="2">
        <f t="shared" si="299"/>
        <v>12.5</v>
      </c>
      <c r="WA10" s="2">
        <f t="shared" si="300"/>
        <v>25</v>
      </c>
      <c r="WB10" s="2">
        <f t="shared" si="301"/>
        <v>25</v>
      </c>
      <c r="WC10" s="2">
        <f t="shared" si="302"/>
        <v>25</v>
      </c>
      <c r="WD10" s="2">
        <f t="shared" si="303"/>
        <v>25</v>
      </c>
      <c r="WE10" s="2">
        <f t="shared" si="304"/>
        <v>25</v>
      </c>
      <c r="WF10" s="2">
        <f t="shared" si="305"/>
        <v>25</v>
      </c>
      <c r="WG10" s="2">
        <f t="shared" si="306"/>
        <v>43.75</v>
      </c>
      <c r="WH10" s="2">
        <f t="shared" si="307"/>
        <v>25</v>
      </c>
      <c r="WI10" s="59">
        <v>0</v>
      </c>
      <c r="WJ10" s="59">
        <v>0</v>
      </c>
      <c r="WK10" s="59">
        <v>0</v>
      </c>
      <c r="WL10" s="59">
        <v>0</v>
      </c>
      <c r="WM10" s="59">
        <v>0</v>
      </c>
      <c r="WN10" s="59">
        <v>0</v>
      </c>
      <c r="WO10" s="59">
        <v>0</v>
      </c>
      <c r="WP10" s="59">
        <v>0</v>
      </c>
      <c r="WQ10" s="59">
        <v>0</v>
      </c>
      <c r="WR10" s="59">
        <v>0</v>
      </c>
      <c r="WS10" s="59">
        <v>0</v>
      </c>
      <c r="WT10" s="2">
        <f t="shared" si="308"/>
        <v>12.5</v>
      </c>
      <c r="WU10" s="2">
        <f t="shared" si="309"/>
        <v>12.5</v>
      </c>
      <c r="WV10" s="2">
        <f t="shared" si="310"/>
        <v>12.5</v>
      </c>
      <c r="WW10" s="2">
        <f t="shared" si="311"/>
        <v>25</v>
      </c>
      <c r="WX10" s="2">
        <f t="shared" si="312"/>
        <v>25</v>
      </c>
      <c r="WY10" s="2">
        <f t="shared" si="313"/>
        <v>25</v>
      </c>
      <c r="WZ10" s="2">
        <f t="shared" si="314"/>
        <v>25</v>
      </c>
      <c r="XA10" s="2">
        <f t="shared" si="315"/>
        <v>25</v>
      </c>
      <c r="XB10" s="2">
        <f t="shared" si="316"/>
        <v>25</v>
      </c>
      <c r="XC10" s="2">
        <f t="shared" si="317"/>
        <v>43.75</v>
      </c>
      <c r="XD10" s="2">
        <f t="shared" si="318"/>
        <v>25</v>
      </c>
      <c r="XE10" s="59">
        <v>0</v>
      </c>
      <c r="XF10" s="59">
        <v>0</v>
      </c>
      <c r="XG10" s="59">
        <v>0</v>
      </c>
      <c r="XH10" s="59">
        <v>0</v>
      </c>
      <c r="XI10" s="59">
        <v>0</v>
      </c>
      <c r="XJ10" s="59">
        <v>0</v>
      </c>
      <c r="XK10" s="59">
        <v>0</v>
      </c>
      <c r="XL10" s="59">
        <v>0</v>
      </c>
      <c r="XM10" s="59">
        <v>0</v>
      </c>
      <c r="XN10" s="59">
        <v>0</v>
      </c>
      <c r="XO10" s="59">
        <v>0</v>
      </c>
      <c r="XP10" s="2">
        <f t="shared" si="319"/>
        <v>12.5</v>
      </c>
      <c r="XQ10" s="2">
        <f t="shared" si="320"/>
        <v>12.5</v>
      </c>
      <c r="XR10" s="2">
        <f t="shared" si="321"/>
        <v>12.5</v>
      </c>
      <c r="XS10" s="2">
        <f t="shared" si="322"/>
        <v>25</v>
      </c>
      <c r="XT10" s="2">
        <f t="shared" si="323"/>
        <v>25</v>
      </c>
      <c r="XU10" s="2">
        <f t="shared" si="324"/>
        <v>25</v>
      </c>
      <c r="XV10" s="2">
        <f t="shared" si="325"/>
        <v>25</v>
      </c>
      <c r="XW10" s="2">
        <f t="shared" si="326"/>
        <v>25</v>
      </c>
      <c r="XX10" s="2">
        <f t="shared" si="327"/>
        <v>25</v>
      </c>
      <c r="XY10" s="2">
        <f t="shared" si="328"/>
        <v>43.75</v>
      </c>
      <c r="XZ10" s="2">
        <f t="shared" si="329"/>
        <v>25</v>
      </c>
      <c r="YA10" s="59">
        <v>0</v>
      </c>
      <c r="YB10" s="59">
        <v>0</v>
      </c>
      <c r="YC10" s="59">
        <v>0</v>
      </c>
      <c r="YD10" s="59">
        <v>0</v>
      </c>
      <c r="YE10" s="59">
        <v>0</v>
      </c>
      <c r="YF10" s="59">
        <v>0</v>
      </c>
      <c r="YG10" s="59">
        <v>0</v>
      </c>
      <c r="YH10" s="59">
        <v>0</v>
      </c>
      <c r="YI10" s="59">
        <v>0</v>
      </c>
      <c r="YJ10" s="59">
        <v>0</v>
      </c>
      <c r="YK10" s="59">
        <v>0</v>
      </c>
      <c r="YL10" s="2">
        <f t="shared" si="330"/>
        <v>12.5</v>
      </c>
      <c r="YM10" s="2">
        <f t="shared" si="331"/>
        <v>12.5</v>
      </c>
      <c r="YN10" s="2">
        <f t="shared" si="332"/>
        <v>12.5</v>
      </c>
      <c r="YO10" s="2">
        <f t="shared" si="333"/>
        <v>25</v>
      </c>
      <c r="YP10" s="2">
        <f t="shared" si="334"/>
        <v>25</v>
      </c>
      <c r="YQ10" s="2">
        <f t="shared" si="335"/>
        <v>25</v>
      </c>
      <c r="YR10" s="2">
        <f t="shared" si="336"/>
        <v>25</v>
      </c>
      <c r="YS10" s="2">
        <f t="shared" si="337"/>
        <v>25</v>
      </c>
      <c r="YT10" s="2">
        <f t="shared" si="338"/>
        <v>25</v>
      </c>
      <c r="YU10" s="2">
        <f t="shared" si="339"/>
        <v>43.75</v>
      </c>
      <c r="YV10" s="2">
        <f t="shared" si="340"/>
        <v>25</v>
      </c>
      <c r="YW10" s="59">
        <v>0</v>
      </c>
      <c r="YX10" s="59">
        <v>0</v>
      </c>
      <c r="YY10" s="59">
        <v>0</v>
      </c>
      <c r="YZ10" s="59">
        <v>0</v>
      </c>
      <c r="ZA10" s="59">
        <v>0</v>
      </c>
      <c r="ZB10" s="59">
        <v>0</v>
      </c>
      <c r="ZC10" s="59">
        <v>0</v>
      </c>
      <c r="ZD10" s="59">
        <v>0</v>
      </c>
      <c r="ZE10" s="59">
        <v>0</v>
      </c>
      <c r="ZF10" s="59">
        <v>0</v>
      </c>
      <c r="ZG10" s="59">
        <v>0</v>
      </c>
      <c r="ZH10" s="2">
        <f t="shared" si="341"/>
        <v>12.5</v>
      </c>
      <c r="ZI10" s="2">
        <f t="shared" si="342"/>
        <v>12.5</v>
      </c>
      <c r="ZJ10" s="2">
        <f t="shared" si="343"/>
        <v>12.5</v>
      </c>
      <c r="ZK10" s="2">
        <f t="shared" si="344"/>
        <v>25</v>
      </c>
      <c r="ZL10" s="2">
        <f t="shared" si="345"/>
        <v>25</v>
      </c>
      <c r="ZM10" s="2">
        <f t="shared" si="346"/>
        <v>25</v>
      </c>
      <c r="ZN10" s="2">
        <f t="shared" si="347"/>
        <v>25</v>
      </c>
      <c r="ZO10" s="2">
        <f t="shared" si="348"/>
        <v>25</v>
      </c>
      <c r="ZP10" s="2">
        <f t="shared" si="349"/>
        <v>25</v>
      </c>
      <c r="ZQ10" s="2">
        <f t="shared" si="350"/>
        <v>43.75</v>
      </c>
      <c r="ZR10" s="2">
        <f t="shared" si="351"/>
        <v>25</v>
      </c>
      <c r="ZS10" s="59">
        <v>0</v>
      </c>
      <c r="ZT10" s="59">
        <v>0</v>
      </c>
      <c r="ZU10" s="59">
        <v>0</v>
      </c>
      <c r="ZV10" s="59">
        <v>0</v>
      </c>
      <c r="ZW10" s="59">
        <v>0</v>
      </c>
      <c r="ZX10" s="59">
        <v>0</v>
      </c>
      <c r="ZY10" s="59">
        <v>0</v>
      </c>
      <c r="ZZ10" s="59">
        <v>0</v>
      </c>
      <c r="AAA10" s="59">
        <v>0</v>
      </c>
      <c r="AAB10" s="59">
        <v>0</v>
      </c>
      <c r="AAC10" s="59">
        <v>0</v>
      </c>
    </row>
    <row r="11" spans="1:705" x14ac:dyDescent="0.2">
      <c r="A11" s="1">
        <v>6</v>
      </c>
      <c r="B11" s="2">
        <f t="shared" si="0"/>
        <v>12.5</v>
      </c>
      <c r="C11" s="2">
        <f t="shared" si="1"/>
        <v>12.5</v>
      </c>
      <c r="D11" s="2">
        <f t="shared" si="2"/>
        <v>12.5</v>
      </c>
      <c r="E11" s="2">
        <f t="shared" si="3"/>
        <v>25</v>
      </c>
      <c r="F11" s="2">
        <f t="shared" si="4"/>
        <v>25</v>
      </c>
      <c r="G11" s="2">
        <f t="shared" si="5"/>
        <v>25</v>
      </c>
      <c r="H11" s="2">
        <f t="shared" si="6"/>
        <v>25</v>
      </c>
      <c r="I11" s="2">
        <f t="shared" si="7"/>
        <v>25</v>
      </c>
      <c r="J11" s="2">
        <f t="shared" si="8"/>
        <v>25</v>
      </c>
      <c r="K11" s="2">
        <f t="shared" si="9"/>
        <v>43.75</v>
      </c>
      <c r="L11" s="2">
        <f t="shared" si="10"/>
        <v>25</v>
      </c>
      <c r="M11" s="3">
        <v>0</v>
      </c>
      <c r="N11" s="3">
        <v>0</v>
      </c>
      <c r="O11" s="3">
        <v>0</v>
      </c>
      <c r="P11" s="3">
        <v>0</v>
      </c>
      <c r="Q11" s="3">
        <v>0</v>
      </c>
      <c r="R11" s="3">
        <v>0</v>
      </c>
      <c r="S11" s="3">
        <v>0</v>
      </c>
      <c r="T11" s="3">
        <v>0</v>
      </c>
      <c r="U11" s="3">
        <v>0</v>
      </c>
      <c r="V11" s="3">
        <v>0</v>
      </c>
      <c r="W11" s="3">
        <v>0</v>
      </c>
      <c r="X11" s="2">
        <f t="shared" si="11"/>
        <v>12.5</v>
      </c>
      <c r="Y11" s="2">
        <f t="shared" si="12"/>
        <v>12.5</v>
      </c>
      <c r="Z11" s="2">
        <f t="shared" si="13"/>
        <v>12.5</v>
      </c>
      <c r="AA11" s="2">
        <f t="shared" si="14"/>
        <v>25</v>
      </c>
      <c r="AB11" s="2">
        <f t="shared" si="15"/>
        <v>25</v>
      </c>
      <c r="AC11" s="2">
        <f t="shared" si="16"/>
        <v>25</v>
      </c>
      <c r="AD11" s="2">
        <f t="shared" si="17"/>
        <v>25</v>
      </c>
      <c r="AE11" s="2">
        <f t="shared" si="18"/>
        <v>25</v>
      </c>
      <c r="AF11" s="2">
        <f t="shared" si="19"/>
        <v>25</v>
      </c>
      <c r="AG11" s="2">
        <f t="shared" si="20"/>
        <v>43.75</v>
      </c>
      <c r="AH11" s="2">
        <f t="shared" si="21"/>
        <v>25</v>
      </c>
      <c r="AI11" s="3">
        <v>0</v>
      </c>
      <c r="AJ11" s="3">
        <v>0</v>
      </c>
      <c r="AK11" s="3">
        <v>0</v>
      </c>
      <c r="AL11" s="3">
        <v>0</v>
      </c>
      <c r="AM11" s="3">
        <v>0</v>
      </c>
      <c r="AN11" s="3">
        <v>0</v>
      </c>
      <c r="AO11" s="3">
        <v>0</v>
      </c>
      <c r="AP11" s="3">
        <v>0</v>
      </c>
      <c r="AQ11" s="3">
        <v>0</v>
      </c>
      <c r="AR11" s="3">
        <v>0</v>
      </c>
      <c r="AS11" s="3">
        <v>0</v>
      </c>
      <c r="AT11" s="2">
        <f t="shared" si="22"/>
        <v>12.5</v>
      </c>
      <c r="AU11" s="2">
        <f t="shared" si="23"/>
        <v>12.5</v>
      </c>
      <c r="AV11" s="2">
        <f t="shared" si="24"/>
        <v>12.5</v>
      </c>
      <c r="AW11" s="2">
        <f t="shared" si="25"/>
        <v>25</v>
      </c>
      <c r="AX11" s="2">
        <f t="shared" si="26"/>
        <v>25</v>
      </c>
      <c r="AY11" s="2">
        <f t="shared" si="27"/>
        <v>25</v>
      </c>
      <c r="AZ11" s="2">
        <f t="shared" si="28"/>
        <v>25</v>
      </c>
      <c r="BA11" s="2">
        <f t="shared" si="29"/>
        <v>25</v>
      </c>
      <c r="BB11" s="2">
        <f t="shared" si="30"/>
        <v>25</v>
      </c>
      <c r="BC11" s="2">
        <f t="shared" si="31"/>
        <v>43.75</v>
      </c>
      <c r="BD11" s="2">
        <f t="shared" si="32"/>
        <v>25</v>
      </c>
      <c r="BE11" s="3">
        <v>0</v>
      </c>
      <c r="BF11" s="3">
        <v>0</v>
      </c>
      <c r="BG11" s="3">
        <v>0</v>
      </c>
      <c r="BH11" s="3">
        <v>0</v>
      </c>
      <c r="BI11" s="3">
        <v>0</v>
      </c>
      <c r="BJ11" s="3">
        <v>0</v>
      </c>
      <c r="BK11" s="3">
        <v>0</v>
      </c>
      <c r="BL11" s="3">
        <v>0</v>
      </c>
      <c r="BM11" s="3">
        <v>0</v>
      </c>
      <c r="BN11" s="3">
        <v>0</v>
      </c>
      <c r="BO11" s="3">
        <v>0</v>
      </c>
      <c r="BP11" s="2">
        <f t="shared" si="33"/>
        <v>12.5</v>
      </c>
      <c r="BQ11" s="2">
        <f t="shared" si="34"/>
        <v>12.5</v>
      </c>
      <c r="BR11" s="2">
        <f t="shared" si="35"/>
        <v>12.5</v>
      </c>
      <c r="BS11" s="2">
        <f t="shared" si="36"/>
        <v>25</v>
      </c>
      <c r="BT11" s="2">
        <f t="shared" si="37"/>
        <v>25</v>
      </c>
      <c r="BU11" s="2">
        <f t="shared" si="38"/>
        <v>25</v>
      </c>
      <c r="BV11" s="2">
        <f t="shared" si="39"/>
        <v>25</v>
      </c>
      <c r="BW11" s="2">
        <f t="shared" si="40"/>
        <v>25</v>
      </c>
      <c r="BX11" s="2">
        <f t="shared" si="41"/>
        <v>25</v>
      </c>
      <c r="BY11" s="2">
        <f t="shared" si="42"/>
        <v>43.75</v>
      </c>
      <c r="BZ11" s="2">
        <f t="shared" si="43"/>
        <v>25</v>
      </c>
      <c r="CA11" s="3">
        <v>0</v>
      </c>
      <c r="CB11" s="3">
        <v>0</v>
      </c>
      <c r="CC11" s="3">
        <v>0</v>
      </c>
      <c r="CD11" s="3">
        <v>0</v>
      </c>
      <c r="CE11" s="3">
        <v>0</v>
      </c>
      <c r="CF11" s="3">
        <v>0</v>
      </c>
      <c r="CG11" s="3">
        <v>0</v>
      </c>
      <c r="CH11" s="3">
        <v>0</v>
      </c>
      <c r="CI11" s="3">
        <v>0</v>
      </c>
      <c r="CJ11" s="3">
        <v>0</v>
      </c>
      <c r="CK11" s="3">
        <v>0</v>
      </c>
      <c r="CL11" s="2">
        <f t="shared" si="44"/>
        <v>12.5</v>
      </c>
      <c r="CM11" s="2">
        <f t="shared" si="45"/>
        <v>12.5</v>
      </c>
      <c r="CN11" s="2">
        <f t="shared" si="46"/>
        <v>12.5</v>
      </c>
      <c r="CO11" s="2">
        <f t="shared" si="47"/>
        <v>25</v>
      </c>
      <c r="CP11" s="2">
        <f t="shared" si="48"/>
        <v>25</v>
      </c>
      <c r="CQ11" s="2">
        <f t="shared" si="49"/>
        <v>25</v>
      </c>
      <c r="CR11" s="2">
        <f t="shared" si="50"/>
        <v>25</v>
      </c>
      <c r="CS11" s="2">
        <f t="shared" si="51"/>
        <v>25</v>
      </c>
      <c r="CT11" s="2">
        <f t="shared" si="52"/>
        <v>25</v>
      </c>
      <c r="CU11" s="2">
        <f t="shared" si="53"/>
        <v>43.75</v>
      </c>
      <c r="CV11" s="2">
        <f t="shared" si="54"/>
        <v>25</v>
      </c>
      <c r="CW11" s="3">
        <v>0</v>
      </c>
      <c r="CX11" s="3">
        <v>0</v>
      </c>
      <c r="CY11" s="3">
        <v>0</v>
      </c>
      <c r="CZ11" s="3">
        <v>0</v>
      </c>
      <c r="DA11" s="3">
        <v>0</v>
      </c>
      <c r="DB11" s="3">
        <v>0</v>
      </c>
      <c r="DC11" s="3">
        <v>0</v>
      </c>
      <c r="DD11" s="3">
        <v>0</v>
      </c>
      <c r="DE11" s="3">
        <v>0</v>
      </c>
      <c r="DF11" s="3">
        <v>0</v>
      </c>
      <c r="DG11" s="3">
        <v>0</v>
      </c>
      <c r="DH11" s="2">
        <f t="shared" si="55"/>
        <v>12.5</v>
      </c>
      <c r="DI11" s="2">
        <f t="shared" si="56"/>
        <v>12.5</v>
      </c>
      <c r="DJ11" s="2">
        <f t="shared" si="57"/>
        <v>12.5</v>
      </c>
      <c r="DK11" s="2">
        <f t="shared" si="58"/>
        <v>25</v>
      </c>
      <c r="DL11" s="2">
        <f t="shared" si="59"/>
        <v>25</v>
      </c>
      <c r="DM11" s="2">
        <f t="shared" si="60"/>
        <v>25</v>
      </c>
      <c r="DN11" s="2">
        <f t="shared" si="61"/>
        <v>25</v>
      </c>
      <c r="DO11" s="2">
        <f t="shared" si="62"/>
        <v>25</v>
      </c>
      <c r="DP11" s="2">
        <f t="shared" si="63"/>
        <v>25</v>
      </c>
      <c r="DQ11" s="2">
        <f t="shared" si="64"/>
        <v>43.75</v>
      </c>
      <c r="DR11" s="2">
        <f t="shared" si="65"/>
        <v>25</v>
      </c>
      <c r="DS11" s="3">
        <v>0</v>
      </c>
      <c r="DT11" s="3">
        <v>0</v>
      </c>
      <c r="DU11" s="3">
        <v>0</v>
      </c>
      <c r="DV11" s="3">
        <v>0</v>
      </c>
      <c r="DW11" s="3">
        <v>0</v>
      </c>
      <c r="DX11" s="3">
        <v>0</v>
      </c>
      <c r="DY11" s="3">
        <v>0</v>
      </c>
      <c r="DZ11" s="3">
        <v>0</v>
      </c>
      <c r="EA11" s="3">
        <v>0</v>
      </c>
      <c r="EB11" s="3">
        <v>0</v>
      </c>
      <c r="EC11" s="3">
        <v>0</v>
      </c>
      <c r="ED11" s="2">
        <f t="shared" si="66"/>
        <v>12.5</v>
      </c>
      <c r="EE11" s="2">
        <f t="shared" si="67"/>
        <v>12.5</v>
      </c>
      <c r="EF11" s="2">
        <f t="shared" si="68"/>
        <v>12.5</v>
      </c>
      <c r="EG11" s="2">
        <f t="shared" si="69"/>
        <v>25</v>
      </c>
      <c r="EH11" s="2">
        <f t="shared" si="70"/>
        <v>25</v>
      </c>
      <c r="EI11" s="2">
        <f t="shared" si="71"/>
        <v>25</v>
      </c>
      <c r="EJ11" s="2">
        <f t="shared" si="72"/>
        <v>25</v>
      </c>
      <c r="EK11" s="2">
        <f t="shared" si="73"/>
        <v>25</v>
      </c>
      <c r="EL11" s="2">
        <f t="shared" si="74"/>
        <v>25</v>
      </c>
      <c r="EM11" s="2">
        <f t="shared" si="75"/>
        <v>43.75</v>
      </c>
      <c r="EN11" s="2">
        <f t="shared" si="76"/>
        <v>25</v>
      </c>
      <c r="EO11" s="3">
        <v>0</v>
      </c>
      <c r="EP11" s="3">
        <v>0</v>
      </c>
      <c r="EQ11" s="3">
        <v>0</v>
      </c>
      <c r="ER11" s="3">
        <v>0</v>
      </c>
      <c r="ES11" s="3">
        <v>0</v>
      </c>
      <c r="ET11" s="3">
        <v>0</v>
      </c>
      <c r="EU11" s="3">
        <v>0</v>
      </c>
      <c r="EV11" s="3">
        <v>0</v>
      </c>
      <c r="EW11" s="3">
        <v>0</v>
      </c>
      <c r="EX11" s="3">
        <v>0</v>
      </c>
      <c r="EY11" s="3">
        <v>0</v>
      </c>
      <c r="EZ11" s="2">
        <f t="shared" si="77"/>
        <v>12.5</v>
      </c>
      <c r="FA11" s="2">
        <f t="shared" si="78"/>
        <v>12.5</v>
      </c>
      <c r="FB11" s="2">
        <f t="shared" si="79"/>
        <v>12.5</v>
      </c>
      <c r="FC11" s="2">
        <f t="shared" si="80"/>
        <v>25</v>
      </c>
      <c r="FD11" s="2">
        <f t="shared" si="81"/>
        <v>25</v>
      </c>
      <c r="FE11" s="2">
        <f t="shared" si="82"/>
        <v>25</v>
      </c>
      <c r="FF11" s="2">
        <f t="shared" si="83"/>
        <v>25</v>
      </c>
      <c r="FG11" s="2">
        <f t="shared" si="84"/>
        <v>25</v>
      </c>
      <c r="FH11" s="2">
        <f t="shared" si="85"/>
        <v>25</v>
      </c>
      <c r="FI11" s="2">
        <f t="shared" si="86"/>
        <v>43.75</v>
      </c>
      <c r="FJ11" s="2">
        <f t="shared" si="87"/>
        <v>25</v>
      </c>
      <c r="FK11" s="3">
        <v>0</v>
      </c>
      <c r="FL11" s="3">
        <v>0</v>
      </c>
      <c r="FM11" s="3">
        <v>0</v>
      </c>
      <c r="FN11" s="3">
        <v>0</v>
      </c>
      <c r="FO11" s="3">
        <v>0</v>
      </c>
      <c r="FP11" s="3">
        <v>0</v>
      </c>
      <c r="FQ11" s="3">
        <v>0</v>
      </c>
      <c r="FR11" s="3">
        <v>0</v>
      </c>
      <c r="FS11" s="3">
        <v>0</v>
      </c>
      <c r="FT11" s="3">
        <v>0</v>
      </c>
      <c r="FU11" s="3">
        <v>0</v>
      </c>
      <c r="FV11" s="2">
        <f t="shared" si="88"/>
        <v>12.5</v>
      </c>
      <c r="FW11" s="2">
        <f t="shared" si="89"/>
        <v>12.5</v>
      </c>
      <c r="FX11" s="2">
        <f t="shared" si="90"/>
        <v>12.5</v>
      </c>
      <c r="FY11" s="2">
        <f t="shared" si="91"/>
        <v>25</v>
      </c>
      <c r="FZ11" s="2">
        <f t="shared" si="92"/>
        <v>25</v>
      </c>
      <c r="GA11" s="2">
        <f t="shared" si="93"/>
        <v>25</v>
      </c>
      <c r="GB11" s="2">
        <f t="shared" si="94"/>
        <v>25</v>
      </c>
      <c r="GC11" s="2">
        <f t="shared" si="95"/>
        <v>25</v>
      </c>
      <c r="GD11" s="2">
        <f t="shared" si="96"/>
        <v>25</v>
      </c>
      <c r="GE11" s="2">
        <f t="shared" si="97"/>
        <v>43.75</v>
      </c>
      <c r="GF11" s="2">
        <f t="shared" si="98"/>
        <v>25</v>
      </c>
      <c r="GG11" s="3">
        <v>0</v>
      </c>
      <c r="GH11" s="3">
        <v>0</v>
      </c>
      <c r="GI11" s="3">
        <v>0</v>
      </c>
      <c r="GJ11" s="3">
        <v>0</v>
      </c>
      <c r="GK11" s="3">
        <v>0</v>
      </c>
      <c r="GL11" s="3">
        <v>0</v>
      </c>
      <c r="GM11" s="3">
        <v>0</v>
      </c>
      <c r="GN11" s="3">
        <v>0</v>
      </c>
      <c r="GO11" s="3">
        <v>0</v>
      </c>
      <c r="GP11" s="3">
        <v>0</v>
      </c>
      <c r="GQ11" s="3">
        <v>0</v>
      </c>
      <c r="GR11" s="2">
        <f t="shared" si="99"/>
        <v>12.5</v>
      </c>
      <c r="GS11" s="2">
        <f t="shared" si="100"/>
        <v>12.5</v>
      </c>
      <c r="GT11" s="2">
        <f t="shared" si="101"/>
        <v>12.5</v>
      </c>
      <c r="GU11" s="2">
        <f t="shared" si="102"/>
        <v>25</v>
      </c>
      <c r="GV11" s="2">
        <f t="shared" si="103"/>
        <v>25</v>
      </c>
      <c r="GW11" s="2">
        <f t="shared" si="104"/>
        <v>25</v>
      </c>
      <c r="GX11" s="2">
        <f t="shared" si="105"/>
        <v>25</v>
      </c>
      <c r="GY11" s="2">
        <f t="shared" si="106"/>
        <v>25</v>
      </c>
      <c r="GZ11" s="2">
        <f t="shared" si="107"/>
        <v>25</v>
      </c>
      <c r="HA11" s="2">
        <f t="shared" si="108"/>
        <v>43.75</v>
      </c>
      <c r="HB11" s="2">
        <f t="shared" si="109"/>
        <v>25</v>
      </c>
      <c r="HC11" s="3">
        <v>0</v>
      </c>
      <c r="HD11" s="3">
        <v>0</v>
      </c>
      <c r="HE11" s="3">
        <v>0</v>
      </c>
      <c r="HF11" s="3">
        <v>0</v>
      </c>
      <c r="HG11" s="3">
        <v>0</v>
      </c>
      <c r="HH11" s="3">
        <v>0</v>
      </c>
      <c r="HI11" s="3">
        <v>0</v>
      </c>
      <c r="HJ11" s="3">
        <v>0</v>
      </c>
      <c r="HK11" s="3">
        <v>0</v>
      </c>
      <c r="HL11" s="3">
        <v>0</v>
      </c>
      <c r="HM11" s="3">
        <v>0</v>
      </c>
      <c r="HN11" s="2">
        <f t="shared" si="110"/>
        <v>12.5</v>
      </c>
      <c r="HO11" s="2">
        <f t="shared" si="111"/>
        <v>12.5</v>
      </c>
      <c r="HP11" s="2">
        <f t="shared" si="112"/>
        <v>12.5</v>
      </c>
      <c r="HQ11" s="2">
        <f t="shared" si="113"/>
        <v>25</v>
      </c>
      <c r="HR11" s="2">
        <f t="shared" si="114"/>
        <v>25</v>
      </c>
      <c r="HS11" s="2">
        <f t="shared" si="115"/>
        <v>25</v>
      </c>
      <c r="HT11" s="2">
        <f t="shared" si="116"/>
        <v>25</v>
      </c>
      <c r="HU11" s="2">
        <f t="shared" si="117"/>
        <v>25</v>
      </c>
      <c r="HV11" s="2">
        <f t="shared" si="118"/>
        <v>25</v>
      </c>
      <c r="HW11" s="2">
        <f t="shared" si="119"/>
        <v>43.75</v>
      </c>
      <c r="HX11" s="2">
        <f t="shared" si="120"/>
        <v>25</v>
      </c>
      <c r="HY11" s="3">
        <v>0</v>
      </c>
      <c r="HZ11" s="3">
        <v>0</v>
      </c>
      <c r="IA11" s="3">
        <v>0</v>
      </c>
      <c r="IB11" s="3">
        <v>0</v>
      </c>
      <c r="IC11" s="3">
        <v>0</v>
      </c>
      <c r="ID11" s="3">
        <v>0</v>
      </c>
      <c r="IE11" s="3">
        <v>0</v>
      </c>
      <c r="IF11" s="3">
        <v>0</v>
      </c>
      <c r="IG11" s="3">
        <v>0</v>
      </c>
      <c r="IH11" s="3">
        <v>0</v>
      </c>
      <c r="II11" s="3">
        <v>0</v>
      </c>
      <c r="IJ11" s="2">
        <f t="shared" si="121"/>
        <v>12.5</v>
      </c>
      <c r="IK11" s="2">
        <f t="shared" si="122"/>
        <v>12.5</v>
      </c>
      <c r="IL11" s="2">
        <f t="shared" si="123"/>
        <v>12.5</v>
      </c>
      <c r="IM11" s="2">
        <f t="shared" si="124"/>
        <v>25</v>
      </c>
      <c r="IN11" s="2">
        <f t="shared" si="125"/>
        <v>25</v>
      </c>
      <c r="IO11" s="2">
        <f t="shared" si="126"/>
        <v>25</v>
      </c>
      <c r="IP11" s="2">
        <f t="shared" si="127"/>
        <v>25</v>
      </c>
      <c r="IQ11" s="2">
        <f t="shared" si="128"/>
        <v>25</v>
      </c>
      <c r="IR11" s="2">
        <f t="shared" si="129"/>
        <v>25</v>
      </c>
      <c r="IS11" s="2">
        <f t="shared" si="130"/>
        <v>43.75</v>
      </c>
      <c r="IT11" s="2">
        <f t="shared" si="131"/>
        <v>25</v>
      </c>
      <c r="IU11" s="3">
        <v>0</v>
      </c>
      <c r="IV11" s="3">
        <v>0</v>
      </c>
      <c r="IW11" s="3">
        <v>0</v>
      </c>
      <c r="IX11" s="3">
        <v>0</v>
      </c>
      <c r="IY11" s="3">
        <v>0</v>
      </c>
      <c r="IZ11" s="3">
        <v>0</v>
      </c>
      <c r="JA11" s="3">
        <v>0</v>
      </c>
      <c r="JB11" s="3">
        <v>0</v>
      </c>
      <c r="JC11" s="3">
        <v>0</v>
      </c>
      <c r="JD11" s="3">
        <v>0</v>
      </c>
      <c r="JE11" s="3">
        <v>0</v>
      </c>
      <c r="JF11" s="2">
        <f t="shared" si="132"/>
        <v>12.5</v>
      </c>
      <c r="JG11" s="2">
        <f t="shared" si="133"/>
        <v>12.5</v>
      </c>
      <c r="JH11" s="2">
        <f t="shared" si="134"/>
        <v>12.5</v>
      </c>
      <c r="JI11" s="2">
        <f t="shared" si="135"/>
        <v>25</v>
      </c>
      <c r="JJ11" s="2">
        <f t="shared" si="136"/>
        <v>25</v>
      </c>
      <c r="JK11" s="2">
        <f t="shared" si="137"/>
        <v>25</v>
      </c>
      <c r="JL11" s="2">
        <f t="shared" si="138"/>
        <v>25</v>
      </c>
      <c r="JM11" s="2">
        <f t="shared" si="139"/>
        <v>25</v>
      </c>
      <c r="JN11" s="2">
        <f t="shared" si="140"/>
        <v>25</v>
      </c>
      <c r="JO11" s="2">
        <f t="shared" si="141"/>
        <v>43.75</v>
      </c>
      <c r="JP11" s="2">
        <f t="shared" si="142"/>
        <v>25</v>
      </c>
      <c r="JQ11" s="3">
        <v>0</v>
      </c>
      <c r="JR11" s="3">
        <v>0</v>
      </c>
      <c r="JS11" s="3">
        <v>0</v>
      </c>
      <c r="JT11" s="3">
        <v>0</v>
      </c>
      <c r="JU11" s="3">
        <v>0</v>
      </c>
      <c r="JV11" s="3">
        <v>0</v>
      </c>
      <c r="JW11" s="3">
        <v>0</v>
      </c>
      <c r="JX11" s="3">
        <v>0</v>
      </c>
      <c r="JY11" s="3">
        <v>0</v>
      </c>
      <c r="JZ11" s="3">
        <v>0</v>
      </c>
      <c r="KA11" s="3">
        <v>0</v>
      </c>
      <c r="KB11" s="2">
        <f t="shared" si="143"/>
        <v>12.5</v>
      </c>
      <c r="KC11" s="2">
        <f t="shared" si="144"/>
        <v>12.5</v>
      </c>
      <c r="KD11" s="2">
        <f t="shared" si="145"/>
        <v>12.5</v>
      </c>
      <c r="KE11" s="2">
        <f t="shared" si="146"/>
        <v>25</v>
      </c>
      <c r="KF11" s="2">
        <f t="shared" si="147"/>
        <v>25</v>
      </c>
      <c r="KG11" s="2">
        <f t="shared" si="148"/>
        <v>25</v>
      </c>
      <c r="KH11" s="2">
        <f t="shared" si="149"/>
        <v>25</v>
      </c>
      <c r="KI11" s="2">
        <f t="shared" si="150"/>
        <v>25</v>
      </c>
      <c r="KJ11" s="2">
        <f t="shared" si="151"/>
        <v>25</v>
      </c>
      <c r="KK11" s="2">
        <f t="shared" si="152"/>
        <v>43.75</v>
      </c>
      <c r="KL11" s="2">
        <f t="shared" si="153"/>
        <v>25</v>
      </c>
      <c r="KM11" s="3">
        <v>0</v>
      </c>
      <c r="KN11" s="3">
        <v>0</v>
      </c>
      <c r="KO11" s="3">
        <v>0</v>
      </c>
      <c r="KP11" s="3">
        <v>0</v>
      </c>
      <c r="KQ11" s="3">
        <v>0</v>
      </c>
      <c r="KR11" s="3">
        <v>0</v>
      </c>
      <c r="KS11" s="3">
        <v>0</v>
      </c>
      <c r="KT11" s="3">
        <v>0</v>
      </c>
      <c r="KU11" s="3">
        <v>0</v>
      </c>
      <c r="KV11" s="3">
        <v>0</v>
      </c>
      <c r="KW11" s="3">
        <v>0</v>
      </c>
      <c r="KX11" s="2">
        <f t="shared" si="154"/>
        <v>12.5</v>
      </c>
      <c r="KY11" s="2">
        <f t="shared" si="155"/>
        <v>12.5</v>
      </c>
      <c r="KZ11" s="2">
        <f t="shared" si="156"/>
        <v>12.5</v>
      </c>
      <c r="LA11" s="2">
        <f t="shared" si="157"/>
        <v>25</v>
      </c>
      <c r="LB11" s="2">
        <f t="shared" si="158"/>
        <v>25</v>
      </c>
      <c r="LC11" s="2">
        <f t="shared" si="159"/>
        <v>25</v>
      </c>
      <c r="LD11" s="2">
        <f t="shared" si="160"/>
        <v>25</v>
      </c>
      <c r="LE11" s="2">
        <f t="shared" si="161"/>
        <v>25</v>
      </c>
      <c r="LF11" s="2">
        <f t="shared" si="162"/>
        <v>25</v>
      </c>
      <c r="LG11" s="2">
        <f t="shared" si="163"/>
        <v>43.75</v>
      </c>
      <c r="LH11" s="2">
        <f t="shared" si="164"/>
        <v>25</v>
      </c>
      <c r="LI11" s="3">
        <v>0</v>
      </c>
      <c r="LJ11" s="3">
        <v>0</v>
      </c>
      <c r="LK11" s="3">
        <v>0</v>
      </c>
      <c r="LL11" s="3">
        <v>0</v>
      </c>
      <c r="LM11" s="3">
        <v>0</v>
      </c>
      <c r="LN11" s="3">
        <v>0</v>
      </c>
      <c r="LO11" s="3">
        <v>0</v>
      </c>
      <c r="LP11" s="3">
        <v>0</v>
      </c>
      <c r="LQ11" s="3">
        <v>0</v>
      </c>
      <c r="LR11" s="3">
        <v>0</v>
      </c>
      <c r="LS11" s="3">
        <v>0</v>
      </c>
      <c r="LT11" s="2">
        <f t="shared" si="165"/>
        <v>12.5</v>
      </c>
      <c r="LU11" s="2">
        <f t="shared" si="166"/>
        <v>12.5</v>
      </c>
      <c r="LV11" s="2">
        <f t="shared" si="167"/>
        <v>12.5</v>
      </c>
      <c r="LW11" s="2">
        <f t="shared" si="168"/>
        <v>25</v>
      </c>
      <c r="LX11" s="2">
        <f t="shared" si="169"/>
        <v>25</v>
      </c>
      <c r="LY11" s="2">
        <f t="shared" si="170"/>
        <v>25</v>
      </c>
      <c r="LZ11" s="2">
        <f t="shared" si="171"/>
        <v>25</v>
      </c>
      <c r="MA11" s="2">
        <f t="shared" si="172"/>
        <v>25</v>
      </c>
      <c r="MB11" s="2">
        <f t="shared" si="173"/>
        <v>25</v>
      </c>
      <c r="MC11" s="2">
        <f t="shared" si="174"/>
        <v>43.75</v>
      </c>
      <c r="MD11" s="2">
        <f t="shared" si="175"/>
        <v>25</v>
      </c>
      <c r="ME11" s="3">
        <v>0</v>
      </c>
      <c r="MF11" s="3">
        <v>0</v>
      </c>
      <c r="MG11" s="3">
        <v>0</v>
      </c>
      <c r="MH11" s="3">
        <v>0</v>
      </c>
      <c r="MI11" s="3">
        <v>0</v>
      </c>
      <c r="MJ11" s="3">
        <v>0</v>
      </c>
      <c r="MK11" s="3">
        <v>0</v>
      </c>
      <c r="ML11" s="3">
        <v>0</v>
      </c>
      <c r="MM11" s="3">
        <v>0</v>
      </c>
      <c r="MN11" s="3">
        <v>0</v>
      </c>
      <c r="MO11" s="3">
        <v>0</v>
      </c>
      <c r="MP11" s="2">
        <f t="shared" si="176"/>
        <v>12.5</v>
      </c>
      <c r="MQ11" s="2">
        <f t="shared" si="177"/>
        <v>12.5</v>
      </c>
      <c r="MR11" s="2">
        <f t="shared" si="178"/>
        <v>12.5</v>
      </c>
      <c r="MS11" s="2">
        <f t="shared" si="179"/>
        <v>25</v>
      </c>
      <c r="MT11" s="2">
        <f t="shared" si="180"/>
        <v>25</v>
      </c>
      <c r="MU11" s="2">
        <f t="shared" si="181"/>
        <v>25</v>
      </c>
      <c r="MV11" s="2">
        <f t="shared" si="182"/>
        <v>25</v>
      </c>
      <c r="MW11" s="2">
        <f t="shared" si="183"/>
        <v>25</v>
      </c>
      <c r="MX11" s="2">
        <f t="shared" si="184"/>
        <v>25</v>
      </c>
      <c r="MY11" s="2">
        <f t="shared" si="185"/>
        <v>43.75</v>
      </c>
      <c r="MZ11" s="2">
        <f t="shared" si="186"/>
        <v>25</v>
      </c>
      <c r="NA11" s="3">
        <v>0</v>
      </c>
      <c r="NB11" s="3">
        <v>0</v>
      </c>
      <c r="NC11" s="3">
        <v>0</v>
      </c>
      <c r="ND11" s="3">
        <v>0</v>
      </c>
      <c r="NE11" s="3">
        <v>0</v>
      </c>
      <c r="NF11" s="3">
        <v>0</v>
      </c>
      <c r="NG11" s="3">
        <v>0</v>
      </c>
      <c r="NH11" s="3">
        <v>0</v>
      </c>
      <c r="NI11" s="3">
        <v>0</v>
      </c>
      <c r="NJ11" s="3">
        <v>0</v>
      </c>
      <c r="NK11" s="3">
        <v>0</v>
      </c>
      <c r="NL11" s="2">
        <f t="shared" si="187"/>
        <v>12.5</v>
      </c>
      <c r="NM11" s="2">
        <f t="shared" si="188"/>
        <v>12.5</v>
      </c>
      <c r="NN11" s="2">
        <f t="shared" si="189"/>
        <v>12.5</v>
      </c>
      <c r="NO11" s="2">
        <f t="shared" si="190"/>
        <v>25</v>
      </c>
      <c r="NP11" s="2">
        <f t="shared" si="191"/>
        <v>25</v>
      </c>
      <c r="NQ11" s="2">
        <f t="shared" si="192"/>
        <v>25</v>
      </c>
      <c r="NR11" s="2">
        <f t="shared" si="193"/>
        <v>25</v>
      </c>
      <c r="NS11" s="2">
        <f t="shared" si="194"/>
        <v>25</v>
      </c>
      <c r="NT11" s="2">
        <f t="shared" si="195"/>
        <v>25</v>
      </c>
      <c r="NU11" s="2">
        <f t="shared" si="196"/>
        <v>43.75</v>
      </c>
      <c r="NV11" s="2">
        <f t="shared" si="197"/>
        <v>25</v>
      </c>
      <c r="NW11" s="59">
        <v>0</v>
      </c>
      <c r="NX11" s="59">
        <v>0</v>
      </c>
      <c r="NY11" s="59">
        <v>0</v>
      </c>
      <c r="NZ11" s="59">
        <v>0</v>
      </c>
      <c r="OA11" s="59">
        <v>0</v>
      </c>
      <c r="OB11" s="59">
        <v>0</v>
      </c>
      <c r="OC11" s="59">
        <v>0</v>
      </c>
      <c r="OD11" s="59">
        <v>0</v>
      </c>
      <c r="OE11" s="59">
        <v>0</v>
      </c>
      <c r="OF11" s="59">
        <v>0</v>
      </c>
      <c r="OG11" s="59">
        <v>0</v>
      </c>
      <c r="OH11" s="2">
        <f t="shared" si="198"/>
        <v>12.5</v>
      </c>
      <c r="OI11" s="2">
        <f t="shared" si="199"/>
        <v>12.5</v>
      </c>
      <c r="OJ11" s="2">
        <f t="shared" si="200"/>
        <v>12.5</v>
      </c>
      <c r="OK11" s="2">
        <f t="shared" si="201"/>
        <v>25</v>
      </c>
      <c r="OL11" s="2">
        <f t="shared" si="202"/>
        <v>25</v>
      </c>
      <c r="OM11" s="2">
        <f t="shared" si="203"/>
        <v>25</v>
      </c>
      <c r="ON11" s="2">
        <f t="shared" si="204"/>
        <v>25</v>
      </c>
      <c r="OO11" s="2">
        <f t="shared" si="205"/>
        <v>25</v>
      </c>
      <c r="OP11" s="2">
        <f t="shared" si="206"/>
        <v>25</v>
      </c>
      <c r="OQ11" s="2">
        <f t="shared" si="207"/>
        <v>43.75</v>
      </c>
      <c r="OR11" s="2">
        <f t="shared" si="208"/>
        <v>25</v>
      </c>
      <c r="OS11" s="59">
        <v>0</v>
      </c>
      <c r="OT11" s="59">
        <v>0</v>
      </c>
      <c r="OU11" s="59">
        <v>0</v>
      </c>
      <c r="OV11" s="59">
        <v>0</v>
      </c>
      <c r="OW11" s="59">
        <v>0</v>
      </c>
      <c r="OX11" s="59">
        <v>0</v>
      </c>
      <c r="OY11" s="59">
        <v>0</v>
      </c>
      <c r="OZ11" s="59">
        <v>0</v>
      </c>
      <c r="PA11" s="59">
        <v>0</v>
      </c>
      <c r="PB11" s="59">
        <v>0</v>
      </c>
      <c r="PC11" s="59">
        <v>0</v>
      </c>
      <c r="PD11" s="2">
        <f t="shared" si="209"/>
        <v>12.5</v>
      </c>
      <c r="PE11" s="2">
        <f t="shared" si="210"/>
        <v>12.5</v>
      </c>
      <c r="PF11" s="2">
        <f t="shared" si="211"/>
        <v>12.5</v>
      </c>
      <c r="PG11" s="2">
        <f t="shared" si="212"/>
        <v>25</v>
      </c>
      <c r="PH11" s="2">
        <f t="shared" si="213"/>
        <v>25</v>
      </c>
      <c r="PI11" s="2">
        <f t="shared" si="214"/>
        <v>25</v>
      </c>
      <c r="PJ11" s="2">
        <f t="shared" si="215"/>
        <v>25</v>
      </c>
      <c r="PK11" s="2">
        <f t="shared" si="216"/>
        <v>25</v>
      </c>
      <c r="PL11" s="2">
        <f t="shared" si="217"/>
        <v>25</v>
      </c>
      <c r="PM11" s="2">
        <f t="shared" si="218"/>
        <v>43.75</v>
      </c>
      <c r="PN11" s="2">
        <f t="shared" si="219"/>
        <v>25</v>
      </c>
      <c r="PO11" s="59">
        <v>0</v>
      </c>
      <c r="PP11" s="59">
        <v>0</v>
      </c>
      <c r="PQ11" s="59">
        <v>0</v>
      </c>
      <c r="PR11" s="59">
        <v>0</v>
      </c>
      <c r="PS11" s="59">
        <v>0</v>
      </c>
      <c r="PT11" s="59">
        <v>0</v>
      </c>
      <c r="PU11" s="59">
        <v>0</v>
      </c>
      <c r="PV11" s="59">
        <v>0</v>
      </c>
      <c r="PW11" s="59">
        <v>0</v>
      </c>
      <c r="PX11" s="59">
        <v>0</v>
      </c>
      <c r="PY11" s="59">
        <v>0</v>
      </c>
      <c r="PZ11" s="2">
        <f t="shared" si="220"/>
        <v>12.5</v>
      </c>
      <c r="QA11" s="2">
        <f t="shared" si="221"/>
        <v>12.5</v>
      </c>
      <c r="QB11" s="2">
        <f t="shared" si="222"/>
        <v>12.5</v>
      </c>
      <c r="QC11" s="2">
        <f t="shared" si="223"/>
        <v>25</v>
      </c>
      <c r="QD11" s="2">
        <f t="shared" si="224"/>
        <v>25</v>
      </c>
      <c r="QE11" s="2">
        <f t="shared" si="225"/>
        <v>25</v>
      </c>
      <c r="QF11" s="2">
        <f t="shared" si="226"/>
        <v>25</v>
      </c>
      <c r="QG11" s="2">
        <f t="shared" si="227"/>
        <v>25</v>
      </c>
      <c r="QH11" s="2">
        <f t="shared" si="228"/>
        <v>25</v>
      </c>
      <c r="QI11" s="2">
        <f t="shared" si="229"/>
        <v>43.75</v>
      </c>
      <c r="QJ11" s="2">
        <f t="shared" si="230"/>
        <v>25</v>
      </c>
      <c r="QK11" s="59">
        <v>0</v>
      </c>
      <c r="QL11" s="59">
        <v>0</v>
      </c>
      <c r="QM11" s="59">
        <v>0</v>
      </c>
      <c r="QN11" s="59">
        <v>0</v>
      </c>
      <c r="QO11" s="59">
        <v>0</v>
      </c>
      <c r="QP11" s="59">
        <v>0</v>
      </c>
      <c r="QQ11" s="59">
        <v>0</v>
      </c>
      <c r="QR11" s="59">
        <v>0</v>
      </c>
      <c r="QS11" s="59">
        <v>0</v>
      </c>
      <c r="QT11" s="59">
        <v>0</v>
      </c>
      <c r="QU11" s="59">
        <v>0</v>
      </c>
      <c r="QV11" s="2">
        <f t="shared" si="231"/>
        <v>12.5</v>
      </c>
      <c r="QW11" s="2">
        <f t="shared" si="232"/>
        <v>12.5</v>
      </c>
      <c r="QX11" s="2">
        <f t="shared" si="233"/>
        <v>12.5</v>
      </c>
      <c r="QY11" s="2">
        <f t="shared" si="234"/>
        <v>25</v>
      </c>
      <c r="QZ11" s="2">
        <f t="shared" si="235"/>
        <v>25</v>
      </c>
      <c r="RA11" s="2">
        <f t="shared" si="236"/>
        <v>25</v>
      </c>
      <c r="RB11" s="2">
        <f t="shared" si="237"/>
        <v>25</v>
      </c>
      <c r="RC11" s="2">
        <f t="shared" si="238"/>
        <v>25</v>
      </c>
      <c r="RD11" s="2">
        <f t="shared" si="239"/>
        <v>25</v>
      </c>
      <c r="RE11" s="2">
        <f t="shared" si="240"/>
        <v>43.75</v>
      </c>
      <c r="RF11" s="2">
        <f t="shared" si="241"/>
        <v>25</v>
      </c>
      <c r="RG11" s="59">
        <v>0</v>
      </c>
      <c r="RH11" s="59">
        <v>0</v>
      </c>
      <c r="RI11" s="59">
        <v>0</v>
      </c>
      <c r="RJ11" s="59">
        <v>0</v>
      </c>
      <c r="RK11" s="59">
        <v>0</v>
      </c>
      <c r="RL11" s="59">
        <v>0</v>
      </c>
      <c r="RM11" s="59">
        <v>0</v>
      </c>
      <c r="RN11" s="59">
        <v>0</v>
      </c>
      <c r="RO11" s="59">
        <v>0</v>
      </c>
      <c r="RP11" s="59">
        <v>0</v>
      </c>
      <c r="RQ11" s="59">
        <v>0</v>
      </c>
      <c r="RR11" s="2">
        <f t="shared" si="242"/>
        <v>12.5</v>
      </c>
      <c r="RS11" s="2">
        <f t="shared" si="243"/>
        <v>12.5</v>
      </c>
      <c r="RT11" s="2">
        <f t="shared" si="244"/>
        <v>12.5</v>
      </c>
      <c r="RU11" s="2">
        <f t="shared" si="245"/>
        <v>25</v>
      </c>
      <c r="RV11" s="2">
        <f t="shared" si="246"/>
        <v>25</v>
      </c>
      <c r="RW11" s="2">
        <f t="shared" si="247"/>
        <v>25</v>
      </c>
      <c r="RX11" s="2">
        <f t="shared" si="248"/>
        <v>25</v>
      </c>
      <c r="RY11" s="2">
        <f t="shared" si="249"/>
        <v>25</v>
      </c>
      <c r="RZ11" s="2">
        <f t="shared" si="250"/>
        <v>25</v>
      </c>
      <c r="SA11" s="2">
        <f t="shared" si="251"/>
        <v>43.75</v>
      </c>
      <c r="SB11" s="2">
        <f t="shared" si="252"/>
        <v>25</v>
      </c>
      <c r="SC11" s="59">
        <v>0</v>
      </c>
      <c r="SD11" s="59">
        <v>0</v>
      </c>
      <c r="SE11" s="59">
        <v>0</v>
      </c>
      <c r="SF11" s="59">
        <v>0</v>
      </c>
      <c r="SG11" s="59">
        <v>0</v>
      </c>
      <c r="SH11" s="59">
        <v>0</v>
      </c>
      <c r="SI11" s="59">
        <v>0</v>
      </c>
      <c r="SJ11" s="59">
        <v>0</v>
      </c>
      <c r="SK11" s="59">
        <v>0</v>
      </c>
      <c r="SL11" s="59">
        <v>0</v>
      </c>
      <c r="SM11" s="59">
        <v>0</v>
      </c>
      <c r="SN11" s="2">
        <f t="shared" si="253"/>
        <v>12.5</v>
      </c>
      <c r="SO11" s="2">
        <f t="shared" si="254"/>
        <v>12.5</v>
      </c>
      <c r="SP11" s="2">
        <f t="shared" si="255"/>
        <v>12.5</v>
      </c>
      <c r="SQ11" s="2">
        <f t="shared" si="256"/>
        <v>25</v>
      </c>
      <c r="SR11" s="2">
        <f t="shared" si="257"/>
        <v>25</v>
      </c>
      <c r="SS11" s="2">
        <f t="shared" si="258"/>
        <v>25</v>
      </c>
      <c r="ST11" s="2">
        <f t="shared" si="259"/>
        <v>25</v>
      </c>
      <c r="SU11" s="2">
        <f t="shared" si="260"/>
        <v>25</v>
      </c>
      <c r="SV11" s="2">
        <f t="shared" si="261"/>
        <v>25</v>
      </c>
      <c r="SW11" s="2">
        <f t="shared" si="262"/>
        <v>43.75</v>
      </c>
      <c r="SX11" s="2">
        <f t="shared" si="263"/>
        <v>25</v>
      </c>
      <c r="SY11" s="59">
        <v>0</v>
      </c>
      <c r="SZ11" s="59">
        <v>0</v>
      </c>
      <c r="TA11" s="59">
        <v>0</v>
      </c>
      <c r="TB11" s="59">
        <v>0</v>
      </c>
      <c r="TC11" s="59">
        <v>0</v>
      </c>
      <c r="TD11" s="59">
        <v>0</v>
      </c>
      <c r="TE11" s="59">
        <v>0</v>
      </c>
      <c r="TF11" s="59">
        <v>0</v>
      </c>
      <c r="TG11" s="59">
        <v>0</v>
      </c>
      <c r="TH11" s="59">
        <v>0</v>
      </c>
      <c r="TI11" s="59">
        <v>0</v>
      </c>
      <c r="TJ11" s="2">
        <f t="shared" si="264"/>
        <v>12.5</v>
      </c>
      <c r="TK11" s="2">
        <f t="shared" si="265"/>
        <v>12.5</v>
      </c>
      <c r="TL11" s="2">
        <f t="shared" si="266"/>
        <v>12.5</v>
      </c>
      <c r="TM11" s="2">
        <f t="shared" si="267"/>
        <v>25</v>
      </c>
      <c r="TN11" s="2">
        <f t="shared" si="268"/>
        <v>25</v>
      </c>
      <c r="TO11" s="2">
        <f t="shared" si="269"/>
        <v>25</v>
      </c>
      <c r="TP11" s="2">
        <f t="shared" si="270"/>
        <v>25</v>
      </c>
      <c r="TQ11" s="2">
        <f t="shared" si="271"/>
        <v>25</v>
      </c>
      <c r="TR11" s="2">
        <f t="shared" si="272"/>
        <v>25</v>
      </c>
      <c r="TS11" s="2">
        <f t="shared" si="273"/>
        <v>43.75</v>
      </c>
      <c r="TT11" s="2">
        <f t="shared" si="274"/>
        <v>25</v>
      </c>
      <c r="TU11" s="59">
        <v>0</v>
      </c>
      <c r="TV11" s="59">
        <v>0</v>
      </c>
      <c r="TW11" s="59">
        <v>0</v>
      </c>
      <c r="TX11" s="59">
        <v>0</v>
      </c>
      <c r="TY11" s="59">
        <v>0</v>
      </c>
      <c r="TZ11" s="59">
        <v>0</v>
      </c>
      <c r="UA11" s="59">
        <v>0</v>
      </c>
      <c r="UB11" s="59">
        <v>0</v>
      </c>
      <c r="UC11" s="59">
        <v>0</v>
      </c>
      <c r="UD11" s="59">
        <v>0</v>
      </c>
      <c r="UE11" s="59">
        <v>0</v>
      </c>
      <c r="UF11" s="2">
        <f t="shared" si="275"/>
        <v>12.5</v>
      </c>
      <c r="UG11" s="2">
        <f t="shared" si="276"/>
        <v>12.5</v>
      </c>
      <c r="UH11" s="2">
        <f t="shared" si="277"/>
        <v>12.5</v>
      </c>
      <c r="UI11" s="2">
        <f t="shared" si="278"/>
        <v>25</v>
      </c>
      <c r="UJ11" s="2">
        <f t="shared" si="279"/>
        <v>25</v>
      </c>
      <c r="UK11" s="2">
        <f t="shared" si="280"/>
        <v>25</v>
      </c>
      <c r="UL11" s="2">
        <f t="shared" si="281"/>
        <v>25</v>
      </c>
      <c r="UM11" s="2">
        <f t="shared" si="282"/>
        <v>25</v>
      </c>
      <c r="UN11" s="2">
        <f t="shared" si="283"/>
        <v>25</v>
      </c>
      <c r="UO11" s="2">
        <f t="shared" si="284"/>
        <v>43.75</v>
      </c>
      <c r="UP11" s="2">
        <f t="shared" si="285"/>
        <v>25</v>
      </c>
      <c r="UQ11" s="59">
        <v>0</v>
      </c>
      <c r="UR11" s="59">
        <v>0</v>
      </c>
      <c r="US11" s="59">
        <v>0</v>
      </c>
      <c r="UT11" s="59">
        <v>0</v>
      </c>
      <c r="UU11" s="59">
        <v>0</v>
      </c>
      <c r="UV11" s="59">
        <v>0</v>
      </c>
      <c r="UW11" s="59">
        <v>0</v>
      </c>
      <c r="UX11" s="59">
        <v>0</v>
      </c>
      <c r="UY11" s="59">
        <v>0</v>
      </c>
      <c r="UZ11" s="59">
        <v>0</v>
      </c>
      <c r="VA11" s="59">
        <v>0</v>
      </c>
      <c r="VB11" s="2">
        <f t="shared" si="286"/>
        <v>12.5</v>
      </c>
      <c r="VC11" s="2">
        <f t="shared" si="287"/>
        <v>12.5</v>
      </c>
      <c r="VD11" s="2">
        <f t="shared" si="288"/>
        <v>12.5</v>
      </c>
      <c r="VE11" s="2">
        <f t="shared" si="289"/>
        <v>25</v>
      </c>
      <c r="VF11" s="2">
        <f t="shared" si="290"/>
        <v>25</v>
      </c>
      <c r="VG11" s="2">
        <f t="shared" si="291"/>
        <v>25</v>
      </c>
      <c r="VH11" s="2">
        <f t="shared" si="292"/>
        <v>25</v>
      </c>
      <c r="VI11" s="2">
        <f t="shared" si="293"/>
        <v>25</v>
      </c>
      <c r="VJ11" s="2">
        <f t="shared" si="294"/>
        <v>25</v>
      </c>
      <c r="VK11" s="2">
        <f t="shared" si="295"/>
        <v>43.75</v>
      </c>
      <c r="VL11" s="2">
        <f t="shared" si="296"/>
        <v>25</v>
      </c>
      <c r="VM11" s="59">
        <v>0</v>
      </c>
      <c r="VN11" s="59">
        <v>0</v>
      </c>
      <c r="VO11" s="59">
        <v>0</v>
      </c>
      <c r="VP11" s="59">
        <v>0</v>
      </c>
      <c r="VQ11" s="59">
        <v>0</v>
      </c>
      <c r="VR11" s="59">
        <v>0</v>
      </c>
      <c r="VS11" s="59">
        <v>0</v>
      </c>
      <c r="VT11" s="59">
        <v>0</v>
      </c>
      <c r="VU11" s="59">
        <v>0</v>
      </c>
      <c r="VV11" s="59">
        <v>0</v>
      </c>
      <c r="VW11" s="59">
        <v>0</v>
      </c>
      <c r="VX11" s="2">
        <f t="shared" si="297"/>
        <v>12.5</v>
      </c>
      <c r="VY11" s="2">
        <f t="shared" si="298"/>
        <v>12.5</v>
      </c>
      <c r="VZ11" s="2">
        <f t="shared" si="299"/>
        <v>12.5</v>
      </c>
      <c r="WA11" s="2">
        <f t="shared" si="300"/>
        <v>25</v>
      </c>
      <c r="WB11" s="2">
        <f t="shared" si="301"/>
        <v>25</v>
      </c>
      <c r="WC11" s="2">
        <f t="shared" si="302"/>
        <v>25</v>
      </c>
      <c r="WD11" s="2">
        <f t="shared" si="303"/>
        <v>25</v>
      </c>
      <c r="WE11" s="2">
        <f t="shared" si="304"/>
        <v>25</v>
      </c>
      <c r="WF11" s="2">
        <f t="shared" si="305"/>
        <v>25</v>
      </c>
      <c r="WG11" s="2">
        <f t="shared" si="306"/>
        <v>43.75</v>
      </c>
      <c r="WH11" s="2">
        <f t="shared" si="307"/>
        <v>25</v>
      </c>
      <c r="WI11" s="59">
        <v>0</v>
      </c>
      <c r="WJ11" s="59">
        <v>0</v>
      </c>
      <c r="WK11" s="59">
        <v>0</v>
      </c>
      <c r="WL11" s="59">
        <v>0</v>
      </c>
      <c r="WM11" s="59">
        <v>0</v>
      </c>
      <c r="WN11" s="59">
        <v>0</v>
      </c>
      <c r="WO11" s="59">
        <v>0</v>
      </c>
      <c r="WP11" s="59">
        <v>0</v>
      </c>
      <c r="WQ11" s="59">
        <v>0</v>
      </c>
      <c r="WR11" s="59">
        <v>0</v>
      </c>
      <c r="WS11" s="59">
        <v>0</v>
      </c>
      <c r="WT11" s="2">
        <f t="shared" si="308"/>
        <v>12.5</v>
      </c>
      <c r="WU11" s="2">
        <f t="shared" si="309"/>
        <v>12.5</v>
      </c>
      <c r="WV11" s="2">
        <f t="shared" si="310"/>
        <v>12.5</v>
      </c>
      <c r="WW11" s="2">
        <f t="shared" si="311"/>
        <v>25</v>
      </c>
      <c r="WX11" s="2">
        <f t="shared" si="312"/>
        <v>25</v>
      </c>
      <c r="WY11" s="2">
        <f t="shared" si="313"/>
        <v>25</v>
      </c>
      <c r="WZ11" s="2">
        <f t="shared" si="314"/>
        <v>25</v>
      </c>
      <c r="XA11" s="2">
        <f t="shared" si="315"/>
        <v>25</v>
      </c>
      <c r="XB11" s="2">
        <f t="shared" si="316"/>
        <v>25</v>
      </c>
      <c r="XC11" s="2">
        <f t="shared" si="317"/>
        <v>43.75</v>
      </c>
      <c r="XD11" s="2">
        <f t="shared" si="318"/>
        <v>25</v>
      </c>
      <c r="XE11" s="59">
        <v>0</v>
      </c>
      <c r="XF11" s="59">
        <v>0</v>
      </c>
      <c r="XG11" s="59">
        <v>0</v>
      </c>
      <c r="XH11" s="59">
        <v>0</v>
      </c>
      <c r="XI11" s="59">
        <v>0</v>
      </c>
      <c r="XJ11" s="59">
        <v>0</v>
      </c>
      <c r="XK11" s="59">
        <v>0</v>
      </c>
      <c r="XL11" s="59">
        <v>0</v>
      </c>
      <c r="XM11" s="59">
        <v>0</v>
      </c>
      <c r="XN11" s="59">
        <v>0</v>
      </c>
      <c r="XO11" s="59">
        <v>0</v>
      </c>
      <c r="XP11" s="2">
        <f t="shared" si="319"/>
        <v>12.5</v>
      </c>
      <c r="XQ11" s="2">
        <f t="shared" si="320"/>
        <v>12.5</v>
      </c>
      <c r="XR11" s="2">
        <f t="shared" si="321"/>
        <v>12.5</v>
      </c>
      <c r="XS11" s="2">
        <f t="shared" si="322"/>
        <v>25</v>
      </c>
      <c r="XT11" s="2">
        <f t="shared" si="323"/>
        <v>25</v>
      </c>
      <c r="XU11" s="2">
        <f t="shared" si="324"/>
        <v>25</v>
      </c>
      <c r="XV11" s="2">
        <f t="shared" si="325"/>
        <v>25</v>
      </c>
      <c r="XW11" s="2">
        <f t="shared" si="326"/>
        <v>25</v>
      </c>
      <c r="XX11" s="2">
        <f t="shared" si="327"/>
        <v>25</v>
      </c>
      <c r="XY11" s="2">
        <f t="shared" si="328"/>
        <v>43.75</v>
      </c>
      <c r="XZ11" s="2">
        <f t="shared" si="329"/>
        <v>25</v>
      </c>
      <c r="YA11" s="59">
        <v>0</v>
      </c>
      <c r="YB11" s="59">
        <v>0</v>
      </c>
      <c r="YC11" s="59">
        <v>0</v>
      </c>
      <c r="YD11" s="59">
        <v>0</v>
      </c>
      <c r="YE11" s="59">
        <v>0</v>
      </c>
      <c r="YF11" s="59">
        <v>0</v>
      </c>
      <c r="YG11" s="59">
        <v>0</v>
      </c>
      <c r="YH11" s="59">
        <v>0</v>
      </c>
      <c r="YI11" s="59">
        <v>0</v>
      </c>
      <c r="YJ11" s="59">
        <v>0</v>
      </c>
      <c r="YK11" s="59">
        <v>0</v>
      </c>
      <c r="YL11" s="2">
        <f t="shared" si="330"/>
        <v>12.5</v>
      </c>
      <c r="YM11" s="2">
        <f t="shared" si="331"/>
        <v>12.5</v>
      </c>
      <c r="YN11" s="2">
        <f t="shared" si="332"/>
        <v>12.5</v>
      </c>
      <c r="YO11" s="2">
        <f t="shared" si="333"/>
        <v>25</v>
      </c>
      <c r="YP11" s="2">
        <f t="shared" si="334"/>
        <v>25</v>
      </c>
      <c r="YQ11" s="2">
        <f t="shared" si="335"/>
        <v>25</v>
      </c>
      <c r="YR11" s="2">
        <f t="shared" si="336"/>
        <v>25</v>
      </c>
      <c r="YS11" s="2">
        <f t="shared" si="337"/>
        <v>25</v>
      </c>
      <c r="YT11" s="2">
        <f t="shared" si="338"/>
        <v>25</v>
      </c>
      <c r="YU11" s="2">
        <f t="shared" si="339"/>
        <v>43.75</v>
      </c>
      <c r="YV11" s="2">
        <f t="shared" si="340"/>
        <v>25</v>
      </c>
      <c r="YW11" s="59">
        <v>0</v>
      </c>
      <c r="YX11" s="59">
        <v>0</v>
      </c>
      <c r="YY11" s="59">
        <v>0</v>
      </c>
      <c r="YZ11" s="59">
        <v>0</v>
      </c>
      <c r="ZA11" s="59">
        <v>0</v>
      </c>
      <c r="ZB11" s="59">
        <v>0</v>
      </c>
      <c r="ZC11" s="59">
        <v>0</v>
      </c>
      <c r="ZD11" s="59">
        <v>0</v>
      </c>
      <c r="ZE11" s="59">
        <v>0</v>
      </c>
      <c r="ZF11" s="59">
        <v>0</v>
      </c>
      <c r="ZG11" s="59">
        <v>0</v>
      </c>
      <c r="ZH11" s="2">
        <f t="shared" si="341"/>
        <v>12.5</v>
      </c>
      <c r="ZI11" s="2">
        <f t="shared" si="342"/>
        <v>12.5</v>
      </c>
      <c r="ZJ11" s="2">
        <f t="shared" si="343"/>
        <v>12.5</v>
      </c>
      <c r="ZK11" s="2">
        <f t="shared" si="344"/>
        <v>25</v>
      </c>
      <c r="ZL11" s="2">
        <f t="shared" si="345"/>
        <v>25</v>
      </c>
      <c r="ZM11" s="2">
        <f t="shared" si="346"/>
        <v>25</v>
      </c>
      <c r="ZN11" s="2">
        <f t="shared" si="347"/>
        <v>25</v>
      </c>
      <c r="ZO11" s="2">
        <f t="shared" si="348"/>
        <v>25</v>
      </c>
      <c r="ZP11" s="2">
        <f t="shared" si="349"/>
        <v>25</v>
      </c>
      <c r="ZQ11" s="2">
        <f t="shared" si="350"/>
        <v>43.75</v>
      </c>
      <c r="ZR11" s="2">
        <f t="shared" si="351"/>
        <v>25</v>
      </c>
      <c r="ZS11" s="59">
        <v>0</v>
      </c>
      <c r="ZT11" s="59">
        <v>0</v>
      </c>
      <c r="ZU11" s="59">
        <v>0</v>
      </c>
      <c r="ZV11" s="59">
        <v>0</v>
      </c>
      <c r="ZW11" s="59">
        <v>0</v>
      </c>
      <c r="ZX11" s="59">
        <v>0</v>
      </c>
      <c r="ZY11" s="59">
        <v>0</v>
      </c>
      <c r="ZZ11" s="59">
        <v>0</v>
      </c>
      <c r="AAA11" s="59">
        <v>0</v>
      </c>
      <c r="AAB11" s="59">
        <v>0</v>
      </c>
      <c r="AAC11" s="59">
        <v>0</v>
      </c>
    </row>
    <row r="12" spans="1:705" x14ac:dyDescent="0.2">
      <c r="A12" s="1">
        <v>7</v>
      </c>
      <c r="B12" s="2">
        <f t="shared" si="0"/>
        <v>12.5</v>
      </c>
      <c r="C12" s="2">
        <f t="shared" si="1"/>
        <v>12.5</v>
      </c>
      <c r="D12" s="2">
        <f t="shared" si="2"/>
        <v>12.5</v>
      </c>
      <c r="E12" s="2">
        <f t="shared" si="3"/>
        <v>33.125</v>
      </c>
      <c r="F12" s="2">
        <f t="shared" si="4"/>
        <v>33.125</v>
      </c>
      <c r="G12" s="2">
        <f t="shared" si="5"/>
        <v>33.125</v>
      </c>
      <c r="H12" s="2">
        <f t="shared" si="6"/>
        <v>33.125</v>
      </c>
      <c r="I12" s="2">
        <f>I38+$I50</f>
        <v>35</v>
      </c>
      <c r="J12" s="2">
        <f t="shared" si="8"/>
        <v>35</v>
      </c>
      <c r="K12" s="2">
        <f t="shared" si="9"/>
        <v>50</v>
      </c>
      <c r="L12" s="2">
        <f t="shared" si="10"/>
        <v>25</v>
      </c>
      <c r="M12" s="3">
        <v>0</v>
      </c>
      <c r="N12" s="3">
        <v>0</v>
      </c>
      <c r="O12" s="3">
        <v>0</v>
      </c>
      <c r="P12" s="3">
        <v>0</v>
      </c>
      <c r="Q12" s="3">
        <v>0</v>
      </c>
      <c r="R12" s="3">
        <v>0</v>
      </c>
      <c r="S12" s="3">
        <v>0</v>
      </c>
      <c r="T12" s="3">
        <v>0</v>
      </c>
      <c r="U12" s="3">
        <v>0</v>
      </c>
      <c r="V12" s="3">
        <v>0</v>
      </c>
      <c r="W12" s="3">
        <v>0</v>
      </c>
      <c r="X12" s="2">
        <f t="shared" si="11"/>
        <v>12.5</v>
      </c>
      <c r="Y12" s="2">
        <f t="shared" si="12"/>
        <v>12.5</v>
      </c>
      <c r="Z12" s="2">
        <f t="shared" si="13"/>
        <v>12.5</v>
      </c>
      <c r="AA12" s="2">
        <f t="shared" si="14"/>
        <v>33.125</v>
      </c>
      <c r="AB12" s="2">
        <f t="shared" si="15"/>
        <v>33.125</v>
      </c>
      <c r="AC12" s="2">
        <f t="shared" si="16"/>
        <v>33.125</v>
      </c>
      <c r="AD12" s="2">
        <f t="shared" si="17"/>
        <v>33.125</v>
      </c>
      <c r="AE12" s="2">
        <f t="shared" si="18"/>
        <v>15</v>
      </c>
      <c r="AF12" s="2">
        <f t="shared" si="19"/>
        <v>35</v>
      </c>
      <c r="AG12" s="2">
        <f t="shared" si="20"/>
        <v>50</v>
      </c>
      <c r="AH12" s="2">
        <f t="shared" si="21"/>
        <v>25</v>
      </c>
      <c r="AI12" s="3">
        <v>0</v>
      </c>
      <c r="AJ12" s="3">
        <v>0</v>
      </c>
      <c r="AK12" s="3">
        <v>0</v>
      </c>
      <c r="AL12" s="3">
        <v>0</v>
      </c>
      <c r="AM12" s="3">
        <v>0</v>
      </c>
      <c r="AN12" s="3">
        <v>0</v>
      </c>
      <c r="AO12" s="3">
        <v>0</v>
      </c>
      <c r="AP12" s="3">
        <v>0</v>
      </c>
      <c r="AQ12" s="3">
        <v>0</v>
      </c>
      <c r="AR12" s="3">
        <v>0</v>
      </c>
      <c r="AS12" s="3">
        <v>0</v>
      </c>
      <c r="AT12" s="2">
        <f t="shared" si="22"/>
        <v>12.5</v>
      </c>
      <c r="AU12" s="2">
        <f t="shared" si="23"/>
        <v>12.5</v>
      </c>
      <c r="AV12" s="2">
        <f t="shared" si="24"/>
        <v>12.5</v>
      </c>
      <c r="AW12" s="2">
        <f t="shared" si="25"/>
        <v>33.125</v>
      </c>
      <c r="AX12" s="2">
        <f t="shared" si="26"/>
        <v>23.125</v>
      </c>
      <c r="AY12" s="2">
        <f t="shared" si="27"/>
        <v>33.125</v>
      </c>
      <c r="AZ12" s="2">
        <f t="shared" si="28"/>
        <v>23.125</v>
      </c>
      <c r="BA12" s="2">
        <f t="shared" si="29"/>
        <v>35</v>
      </c>
      <c r="BB12" s="2">
        <f t="shared" si="30"/>
        <v>35</v>
      </c>
      <c r="BC12" s="2">
        <f t="shared" si="31"/>
        <v>50</v>
      </c>
      <c r="BD12" s="2">
        <f t="shared" si="32"/>
        <v>25</v>
      </c>
      <c r="BE12" s="3">
        <v>0</v>
      </c>
      <c r="BF12" s="3">
        <v>0</v>
      </c>
      <c r="BG12" s="3">
        <v>0</v>
      </c>
      <c r="BH12" s="3">
        <v>0</v>
      </c>
      <c r="BI12" s="3">
        <v>0</v>
      </c>
      <c r="BJ12" s="3">
        <v>0</v>
      </c>
      <c r="BK12" s="3">
        <v>0</v>
      </c>
      <c r="BL12" s="3">
        <v>0</v>
      </c>
      <c r="BM12" s="3">
        <v>0</v>
      </c>
      <c r="BN12" s="3">
        <v>0</v>
      </c>
      <c r="BO12" s="3">
        <v>0</v>
      </c>
      <c r="BP12" s="2">
        <f t="shared" si="33"/>
        <v>12.5</v>
      </c>
      <c r="BQ12" s="2">
        <f t="shared" si="34"/>
        <v>12.5</v>
      </c>
      <c r="BR12" s="2">
        <f t="shared" si="35"/>
        <v>12.5</v>
      </c>
      <c r="BS12" s="2">
        <f t="shared" si="36"/>
        <v>33.125</v>
      </c>
      <c r="BT12" s="2">
        <f t="shared" si="37"/>
        <v>23.125</v>
      </c>
      <c r="BU12" s="2">
        <f t="shared" si="38"/>
        <v>33.125</v>
      </c>
      <c r="BV12" s="2">
        <f t="shared" si="39"/>
        <v>23.125</v>
      </c>
      <c r="BW12" s="2">
        <f t="shared" si="40"/>
        <v>15</v>
      </c>
      <c r="BX12" s="2">
        <f t="shared" si="41"/>
        <v>35</v>
      </c>
      <c r="BY12" s="2">
        <f t="shared" si="42"/>
        <v>50</v>
      </c>
      <c r="BZ12" s="2">
        <f t="shared" si="43"/>
        <v>25</v>
      </c>
      <c r="CA12" s="3">
        <v>0</v>
      </c>
      <c r="CB12" s="3">
        <v>0</v>
      </c>
      <c r="CC12" s="3">
        <v>0</v>
      </c>
      <c r="CD12" s="3">
        <v>0</v>
      </c>
      <c r="CE12" s="3">
        <v>0</v>
      </c>
      <c r="CF12" s="3">
        <v>0</v>
      </c>
      <c r="CG12" s="3">
        <v>0</v>
      </c>
      <c r="CH12" s="3">
        <v>0</v>
      </c>
      <c r="CI12" s="3">
        <v>0</v>
      </c>
      <c r="CJ12" s="3">
        <v>0</v>
      </c>
      <c r="CK12" s="3">
        <v>0</v>
      </c>
      <c r="CL12" s="2">
        <f t="shared" si="44"/>
        <v>12.5</v>
      </c>
      <c r="CM12" s="2">
        <f t="shared" si="45"/>
        <v>12.5</v>
      </c>
      <c r="CN12" s="2">
        <f t="shared" si="46"/>
        <v>12.5</v>
      </c>
      <c r="CO12" s="2">
        <f t="shared" si="47"/>
        <v>23.125</v>
      </c>
      <c r="CP12" s="2">
        <f t="shared" si="48"/>
        <v>33.125</v>
      </c>
      <c r="CQ12" s="2">
        <f t="shared" si="49"/>
        <v>33.125</v>
      </c>
      <c r="CR12" s="2">
        <f t="shared" si="50"/>
        <v>33.125</v>
      </c>
      <c r="CS12" s="2">
        <f t="shared" si="51"/>
        <v>35</v>
      </c>
      <c r="CT12" s="2">
        <f t="shared" si="52"/>
        <v>35</v>
      </c>
      <c r="CU12" s="2">
        <f t="shared" si="53"/>
        <v>50</v>
      </c>
      <c r="CV12" s="2">
        <f t="shared" si="54"/>
        <v>25</v>
      </c>
      <c r="CW12" s="3">
        <v>0</v>
      </c>
      <c r="CX12" s="3">
        <v>0</v>
      </c>
      <c r="CY12" s="3">
        <v>0</v>
      </c>
      <c r="CZ12" s="3">
        <v>0</v>
      </c>
      <c r="DA12" s="3">
        <v>0</v>
      </c>
      <c r="DB12" s="3">
        <v>0</v>
      </c>
      <c r="DC12" s="3">
        <v>0</v>
      </c>
      <c r="DD12" s="3">
        <v>0</v>
      </c>
      <c r="DE12" s="3">
        <v>0</v>
      </c>
      <c r="DF12" s="3">
        <v>0</v>
      </c>
      <c r="DG12" s="3">
        <v>0</v>
      </c>
      <c r="DH12" s="2">
        <f t="shared" si="55"/>
        <v>12.5</v>
      </c>
      <c r="DI12" s="2">
        <f t="shared" si="56"/>
        <v>12.5</v>
      </c>
      <c r="DJ12" s="2">
        <f t="shared" si="57"/>
        <v>12.5</v>
      </c>
      <c r="DK12" s="2">
        <f t="shared" si="58"/>
        <v>23.125</v>
      </c>
      <c r="DL12" s="2">
        <f t="shared" si="59"/>
        <v>33.125</v>
      </c>
      <c r="DM12" s="2">
        <f t="shared" si="60"/>
        <v>33.125</v>
      </c>
      <c r="DN12" s="2">
        <f t="shared" si="61"/>
        <v>33.125</v>
      </c>
      <c r="DO12" s="2">
        <f t="shared" si="62"/>
        <v>15</v>
      </c>
      <c r="DP12" s="2">
        <f t="shared" si="63"/>
        <v>35</v>
      </c>
      <c r="DQ12" s="2">
        <f t="shared" si="64"/>
        <v>50</v>
      </c>
      <c r="DR12" s="2">
        <f t="shared" si="65"/>
        <v>25</v>
      </c>
      <c r="DS12" s="3">
        <v>0</v>
      </c>
      <c r="DT12" s="3">
        <v>0</v>
      </c>
      <c r="DU12" s="3">
        <v>0</v>
      </c>
      <c r="DV12" s="3">
        <v>0</v>
      </c>
      <c r="DW12" s="3">
        <v>0</v>
      </c>
      <c r="DX12" s="3">
        <v>0</v>
      </c>
      <c r="DY12" s="3">
        <v>0</v>
      </c>
      <c r="DZ12" s="3">
        <v>0</v>
      </c>
      <c r="EA12" s="3">
        <v>0</v>
      </c>
      <c r="EB12" s="3">
        <v>0</v>
      </c>
      <c r="EC12" s="3">
        <v>0</v>
      </c>
      <c r="ED12" s="2">
        <f t="shared" si="66"/>
        <v>12.5</v>
      </c>
      <c r="EE12" s="2">
        <f t="shared" si="67"/>
        <v>12.5</v>
      </c>
      <c r="EF12" s="2">
        <f t="shared" si="68"/>
        <v>12.5</v>
      </c>
      <c r="EG12" s="2">
        <f t="shared" si="69"/>
        <v>23.125</v>
      </c>
      <c r="EH12" s="2">
        <f t="shared" si="70"/>
        <v>23.125</v>
      </c>
      <c r="EI12" s="2">
        <f t="shared" si="71"/>
        <v>33.125</v>
      </c>
      <c r="EJ12" s="2">
        <f t="shared" si="72"/>
        <v>23.125</v>
      </c>
      <c r="EK12" s="2">
        <f t="shared" si="73"/>
        <v>35</v>
      </c>
      <c r="EL12" s="2">
        <f t="shared" si="74"/>
        <v>35</v>
      </c>
      <c r="EM12" s="2">
        <f t="shared" si="75"/>
        <v>50</v>
      </c>
      <c r="EN12" s="2">
        <f t="shared" si="76"/>
        <v>25</v>
      </c>
      <c r="EO12" s="3">
        <v>0</v>
      </c>
      <c r="EP12" s="3">
        <v>0</v>
      </c>
      <c r="EQ12" s="3">
        <v>0</v>
      </c>
      <c r="ER12" s="3">
        <v>0</v>
      </c>
      <c r="ES12" s="3">
        <v>0</v>
      </c>
      <c r="ET12" s="3">
        <v>0</v>
      </c>
      <c r="EU12" s="3">
        <v>0</v>
      </c>
      <c r="EV12" s="3">
        <v>0</v>
      </c>
      <c r="EW12" s="3">
        <v>0</v>
      </c>
      <c r="EX12" s="3">
        <v>0</v>
      </c>
      <c r="EY12" s="3">
        <v>0</v>
      </c>
      <c r="EZ12" s="2">
        <f t="shared" si="77"/>
        <v>12.5</v>
      </c>
      <c r="FA12" s="2">
        <f t="shared" si="78"/>
        <v>12.5</v>
      </c>
      <c r="FB12" s="2">
        <f t="shared" si="79"/>
        <v>12.5</v>
      </c>
      <c r="FC12" s="2">
        <f t="shared" si="80"/>
        <v>23.125</v>
      </c>
      <c r="FD12" s="2">
        <f t="shared" si="81"/>
        <v>23.125</v>
      </c>
      <c r="FE12" s="2">
        <f t="shared" si="82"/>
        <v>33.125</v>
      </c>
      <c r="FF12" s="2">
        <f t="shared" si="83"/>
        <v>23.125</v>
      </c>
      <c r="FG12" s="2">
        <f t="shared" si="84"/>
        <v>15</v>
      </c>
      <c r="FH12" s="2">
        <f t="shared" si="85"/>
        <v>35</v>
      </c>
      <c r="FI12" s="2">
        <f t="shared" si="86"/>
        <v>50</v>
      </c>
      <c r="FJ12" s="2">
        <f t="shared" si="87"/>
        <v>25</v>
      </c>
      <c r="FK12" s="3">
        <v>0</v>
      </c>
      <c r="FL12" s="3">
        <v>0</v>
      </c>
      <c r="FM12" s="3">
        <v>0</v>
      </c>
      <c r="FN12" s="3">
        <v>0</v>
      </c>
      <c r="FO12" s="3">
        <v>0</v>
      </c>
      <c r="FP12" s="3">
        <v>0</v>
      </c>
      <c r="FQ12" s="3">
        <v>0</v>
      </c>
      <c r="FR12" s="3">
        <v>0</v>
      </c>
      <c r="FS12" s="3">
        <v>0</v>
      </c>
      <c r="FT12" s="3">
        <v>0</v>
      </c>
      <c r="FU12" s="3">
        <v>0</v>
      </c>
      <c r="FV12" s="2">
        <f t="shared" si="88"/>
        <v>12.5</v>
      </c>
      <c r="FW12" s="2">
        <f t="shared" si="89"/>
        <v>12.5</v>
      </c>
      <c r="FX12" s="2">
        <f t="shared" si="90"/>
        <v>12.5</v>
      </c>
      <c r="FY12" s="2">
        <f t="shared" si="91"/>
        <v>33.125</v>
      </c>
      <c r="FZ12" s="2">
        <f t="shared" si="92"/>
        <v>33.125</v>
      </c>
      <c r="GA12" s="2">
        <f t="shared" si="93"/>
        <v>23.125</v>
      </c>
      <c r="GB12" s="2">
        <f t="shared" si="94"/>
        <v>33.125</v>
      </c>
      <c r="GC12" s="2">
        <f t="shared" si="95"/>
        <v>35</v>
      </c>
      <c r="GD12" s="2">
        <f t="shared" si="96"/>
        <v>35</v>
      </c>
      <c r="GE12" s="2">
        <f t="shared" si="97"/>
        <v>50</v>
      </c>
      <c r="GF12" s="2">
        <f t="shared" si="98"/>
        <v>25</v>
      </c>
      <c r="GG12" s="3">
        <v>0</v>
      </c>
      <c r="GH12" s="3">
        <v>0</v>
      </c>
      <c r="GI12" s="3">
        <v>0</v>
      </c>
      <c r="GJ12" s="3">
        <v>0</v>
      </c>
      <c r="GK12" s="3">
        <v>0</v>
      </c>
      <c r="GL12" s="3">
        <v>0</v>
      </c>
      <c r="GM12" s="3">
        <v>0</v>
      </c>
      <c r="GN12" s="3">
        <v>0</v>
      </c>
      <c r="GO12" s="3">
        <v>0</v>
      </c>
      <c r="GP12" s="3">
        <v>0</v>
      </c>
      <c r="GQ12" s="3">
        <v>0</v>
      </c>
      <c r="GR12" s="2">
        <f t="shared" si="99"/>
        <v>12.5</v>
      </c>
      <c r="GS12" s="2">
        <f t="shared" si="100"/>
        <v>12.5</v>
      </c>
      <c r="GT12" s="2">
        <f t="shared" si="101"/>
        <v>12.5</v>
      </c>
      <c r="GU12" s="2">
        <f t="shared" si="102"/>
        <v>33.125</v>
      </c>
      <c r="GV12" s="2">
        <f t="shared" si="103"/>
        <v>33.125</v>
      </c>
      <c r="GW12" s="2">
        <f t="shared" si="104"/>
        <v>23.125</v>
      </c>
      <c r="GX12" s="2">
        <f t="shared" si="105"/>
        <v>33.125</v>
      </c>
      <c r="GY12" s="2">
        <f t="shared" si="106"/>
        <v>15</v>
      </c>
      <c r="GZ12" s="2">
        <f t="shared" si="107"/>
        <v>35</v>
      </c>
      <c r="HA12" s="2">
        <f t="shared" si="108"/>
        <v>50</v>
      </c>
      <c r="HB12" s="2">
        <f t="shared" si="109"/>
        <v>25</v>
      </c>
      <c r="HC12" s="3">
        <v>0</v>
      </c>
      <c r="HD12" s="3">
        <v>0</v>
      </c>
      <c r="HE12" s="3">
        <v>0</v>
      </c>
      <c r="HF12" s="3">
        <v>0</v>
      </c>
      <c r="HG12" s="3">
        <v>0</v>
      </c>
      <c r="HH12" s="3">
        <v>0</v>
      </c>
      <c r="HI12" s="3">
        <v>0</v>
      </c>
      <c r="HJ12" s="3">
        <v>0</v>
      </c>
      <c r="HK12" s="3">
        <v>0</v>
      </c>
      <c r="HL12" s="3">
        <v>0</v>
      </c>
      <c r="HM12" s="3">
        <v>0</v>
      </c>
      <c r="HN12" s="2">
        <f t="shared" si="110"/>
        <v>12.5</v>
      </c>
      <c r="HO12" s="2">
        <f t="shared" si="111"/>
        <v>12.5</v>
      </c>
      <c r="HP12" s="2">
        <f t="shared" si="112"/>
        <v>12.5</v>
      </c>
      <c r="HQ12" s="2">
        <f t="shared" si="113"/>
        <v>33.125</v>
      </c>
      <c r="HR12" s="2">
        <f t="shared" si="114"/>
        <v>23.125</v>
      </c>
      <c r="HS12" s="2">
        <f t="shared" si="115"/>
        <v>23.125</v>
      </c>
      <c r="HT12" s="2">
        <f t="shared" si="116"/>
        <v>23.125</v>
      </c>
      <c r="HU12" s="2">
        <f t="shared" si="117"/>
        <v>35</v>
      </c>
      <c r="HV12" s="2">
        <f t="shared" si="118"/>
        <v>35</v>
      </c>
      <c r="HW12" s="2">
        <f t="shared" si="119"/>
        <v>50</v>
      </c>
      <c r="HX12" s="2">
        <f t="shared" si="120"/>
        <v>25</v>
      </c>
      <c r="HY12" s="3">
        <v>0</v>
      </c>
      <c r="HZ12" s="3">
        <v>0</v>
      </c>
      <c r="IA12" s="3">
        <v>0</v>
      </c>
      <c r="IB12" s="3">
        <v>0</v>
      </c>
      <c r="IC12" s="3">
        <v>0</v>
      </c>
      <c r="ID12" s="3">
        <v>0</v>
      </c>
      <c r="IE12" s="3">
        <v>0</v>
      </c>
      <c r="IF12" s="3">
        <v>0</v>
      </c>
      <c r="IG12" s="3">
        <v>0</v>
      </c>
      <c r="IH12" s="3">
        <v>0</v>
      </c>
      <c r="II12" s="3">
        <v>0</v>
      </c>
      <c r="IJ12" s="2">
        <f t="shared" si="121"/>
        <v>12.5</v>
      </c>
      <c r="IK12" s="2">
        <f t="shared" si="122"/>
        <v>12.5</v>
      </c>
      <c r="IL12" s="2">
        <f t="shared" si="123"/>
        <v>12.5</v>
      </c>
      <c r="IM12" s="2">
        <f t="shared" si="124"/>
        <v>33.125</v>
      </c>
      <c r="IN12" s="2">
        <f t="shared" si="125"/>
        <v>23.125</v>
      </c>
      <c r="IO12" s="2">
        <f t="shared" si="126"/>
        <v>23.125</v>
      </c>
      <c r="IP12" s="2">
        <f t="shared" si="127"/>
        <v>23.125</v>
      </c>
      <c r="IQ12" s="2">
        <f t="shared" si="128"/>
        <v>15</v>
      </c>
      <c r="IR12" s="2">
        <f t="shared" si="129"/>
        <v>35</v>
      </c>
      <c r="IS12" s="2">
        <f t="shared" si="130"/>
        <v>50</v>
      </c>
      <c r="IT12" s="2">
        <f t="shared" si="131"/>
        <v>25</v>
      </c>
      <c r="IU12" s="3">
        <v>0</v>
      </c>
      <c r="IV12" s="3">
        <v>0</v>
      </c>
      <c r="IW12" s="3">
        <v>0</v>
      </c>
      <c r="IX12" s="3">
        <v>0</v>
      </c>
      <c r="IY12" s="3">
        <v>0</v>
      </c>
      <c r="IZ12" s="3">
        <v>0</v>
      </c>
      <c r="JA12" s="3">
        <v>0</v>
      </c>
      <c r="JB12" s="3">
        <v>0</v>
      </c>
      <c r="JC12" s="3">
        <v>0</v>
      </c>
      <c r="JD12" s="3">
        <v>0</v>
      </c>
      <c r="JE12" s="3">
        <v>0</v>
      </c>
      <c r="JF12" s="2">
        <f t="shared" si="132"/>
        <v>12.5</v>
      </c>
      <c r="JG12" s="2">
        <f t="shared" si="133"/>
        <v>12.5</v>
      </c>
      <c r="JH12" s="2">
        <f t="shared" si="134"/>
        <v>12.5</v>
      </c>
      <c r="JI12" s="2">
        <f t="shared" si="135"/>
        <v>23.125</v>
      </c>
      <c r="JJ12" s="2">
        <f t="shared" si="136"/>
        <v>33.125</v>
      </c>
      <c r="JK12" s="2">
        <f t="shared" si="137"/>
        <v>23.125</v>
      </c>
      <c r="JL12" s="2">
        <f t="shared" si="138"/>
        <v>33.125</v>
      </c>
      <c r="JM12" s="2">
        <f t="shared" si="139"/>
        <v>35</v>
      </c>
      <c r="JN12" s="2">
        <f t="shared" si="140"/>
        <v>35</v>
      </c>
      <c r="JO12" s="2">
        <f t="shared" si="141"/>
        <v>50</v>
      </c>
      <c r="JP12" s="2">
        <f t="shared" si="142"/>
        <v>25</v>
      </c>
      <c r="JQ12" s="3">
        <v>0</v>
      </c>
      <c r="JR12" s="3">
        <v>0</v>
      </c>
      <c r="JS12" s="3">
        <v>0</v>
      </c>
      <c r="JT12" s="3">
        <v>0</v>
      </c>
      <c r="JU12" s="3">
        <v>0</v>
      </c>
      <c r="JV12" s="3">
        <v>0</v>
      </c>
      <c r="JW12" s="3">
        <v>0</v>
      </c>
      <c r="JX12" s="3">
        <v>0</v>
      </c>
      <c r="JY12" s="3">
        <v>0</v>
      </c>
      <c r="JZ12" s="3">
        <v>0</v>
      </c>
      <c r="KA12" s="3">
        <v>0</v>
      </c>
      <c r="KB12" s="2">
        <f t="shared" si="143"/>
        <v>12.5</v>
      </c>
      <c r="KC12" s="2">
        <f t="shared" si="144"/>
        <v>12.5</v>
      </c>
      <c r="KD12" s="2">
        <f t="shared" si="145"/>
        <v>12.5</v>
      </c>
      <c r="KE12" s="2">
        <f t="shared" si="146"/>
        <v>23.125</v>
      </c>
      <c r="KF12" s="2">
        <f t="shared" si="147"/>
        <v>33.125</v>
      </c>
      <c r="KG12" s="2">
        <f t="shared" si="148"/>
        <v>23.125</v>
      </c>
      <c r="KH12" s="2">
        <f t="shared" si="149"/>
        <v>33.125</v>
      </c>
      <c r="KI12" s="2">
        <f t="shared" si="150"/>
        <v>15</v>
      </c>
      <c r="KJ12" s="2">
        <f t="shared" si="151"/>
        <v>35</v>
      </c>
      <c r="KK12" s="2">
        <f t="shared" si="152"/>
        <v>50</v>
      </c>
      <c r="KL12" s="2">
        <f t="shared" si="153"/>
        <v>25</v>
      </c>
      <c r="KM12" s="3">
        <v>0</v>
      </c>
      <c r="KN12" s="3">
        <v>0</v>
      </c>
      <c r="KO12" s="3">
        <v>0</v>
      </c>
      <c r="KP12" s="3">
        <v>0</v>
      </c>
      <c r="KQ12" s="3">
        <v>0</v>
      </c>
      <c r="KR12" s="3">
        <v>0</v>
      </c>
      <c r="KS12" s="3">
        <v>0</v>
      </c>
      <c r="KT12" s="3">
        <v>0</v>
      </c>
      <c r="KU12" s="3">
        <v>0</v>
      </c>
      <c r="KV12" s="3">
        <v>0</v>
      </c>
      <c r="KW12" s="3">
        <v>0</v>
      </c>
      <c r="KX12" s="2">
        <f t="shared" si="154"/>
        <v>12.5</v>
      </c>
      <c r="KY12" s="2">
        <f t="shared" si="155"/>
        <v>12.5</v>
      </c>
      <c r="KZ12" s="2">
        <f t="shared" si="156"/>
        <v>12.5</v>
      </c>
      <c r="LA12" s="2">
        <f t="shared" si="157"/>
        <v>23.125</v>
      </c>
      <c r="LB12" s="2">
        <f t="shared" si="158"/>
        <v>23.125</v>
      </c>
      <c r="LC12" s="2">
        <f t="shared" si="159"/>
        <v>23.125</v>
      </c>
      <c r="LD12" s="2">
        <f t="shared" si="160"/>
        <v>23.125</v>
      </c>
      <c r="LE12" s="2">
        <f t="shared" si="161"/>
        <v>35</v>
      </c>
      <c r="LF12" s="2">
        <f t="shared" si="162"/>
        <v>35</v>
      </c>
      <c r="LG12" s="2">
        <f t="shared" si="163"/>
        <v>50</v>
      </c>
      <c r="LH12" s="2">
        <f t="shared" si="164"/>
        <v>25</v>
      </c>
      <c r="LI12" s="3">
        <v>0</v>
      </c>
      <c r="LJ12" s="3">
        <v>0</v>
      </c>
      <c r="LK12" s="3">
        <v>0</v>
      </c>
      <c r="LL12" s="3">
        <v>0</v>
      </c>
      <c r="LM12" s="3">
        <v>0</v>
      </c>
      <c r="LN12" s="3">
        <v>0</v>
      </c>
      <c r="LO12" s="3">
        <v>0</v>
      </c>
      <c r="LP12" s="3">
        <v>0</v>
      </c>
      <c r="LQ12" s="3">
        <v>0</v>
      </c>
      <c r="LR12" s="3">
        <v>0</v>
      </c>
      <c r="LS12" s="3">
        <v>0</v>
      </c>
      <c r="LT12" s="2">
        <f t="shared" si="165"/>
        <v>12.5</v>
      </c>
      <c r="LU12" s="2">
        <f t="shared" si="166"/>
        <v>12.5</v>
      </c>
      <c r="LV12" s="2">
        <f t="shared" si="167"/>
        <v>12.5</v>
      </c>
      <c r="LW12" s="2">
        <f t="shared" si="168"/>
        <v>23.125</v>
      </c>
      <c r="LX12" s="2">
        <f t="shared" si="169"/>
        <v>23.125</v>
      </c>
      <c r="LY12" s="2">
        <f t="shared" si="170"/>
        <v>23.125</v>
      </c>
      <c r="LZ12" s="2">
        <f t="shared" si="171"/>
        <v>23.125</v>
      </c>
      <c r="MA12" s="2">
        <f t="shared" si="172"/>
        <v>15</v>
      </c>
      <c r="MB12" s="2">
        <f t="shared" si="173"/>
        <v>35</v>
      </c>
      <c r="MC12" s="2">
        <f t="shared" si="174"/>
        <v>50</v>
      </c>
      <c r="MD12" s="2">
        <f t="shared" si="175"/>
        <v>25</v>
      </c>
      <c r="ME12" s="3">
        <v>0</v>
      </c>
      <c r="MF12" s="3">
        <v>0</v>
      </c>
      <c r="MG12" s="3">
        <v>0</v>
      </c>
      <c r="MH12" s="3">
        <v>0</v>
      </c>
      <c r="MI12" s="3">
        <v>0</v>
      </c>
      <c r="MJ12" s="3">
        <v>0</v>
      </c>
      <c r="MK12" s="3">
        <v>0</v>
      </c>
      <c r="ML12" s="3">
        <v>0</v>
      </c>
      <c r="MM12" s="3">
        <v>0</v>
      </c>
      <c r="MN12" s="3">
        <v>0</v>
      </c>
      <c r="MO12" s="3">
        <v>0</v>
      </c>
      <c r="MP12" s="2">
        <f t="shared" si="176"/>
        <v>12.5</v>
      </c>
      <c r="MQ12" s="2">
        <f t="shared" si="177"/>
        <v>12.5</v>
      </c>
      <c r="MR12" s="2">
        <f t="shared" si="178"/>
        <v>12.5</v>
      </c>
      <c r="MS12" s="2">
        <f t="shared" si="179"/>
        <v>33.125</v>
      </c>
      <c r="MT12" s="2">
        <f t="shared" si="180"/>
        <v>33.125</v>
      </c>
      <c r="MU12" s="2">
        <f t="shared" si="181"/>
        <v>33.125</v>
      </c>
      <c r="MV12" s="2">
        <f t="shared" si="182"/>
        <v>33.125</v>
      </c>
      <c r="MW12" s="2">
        <f t="shared" si="183"/>
        <v>35</v>
      </c>
      <c r="MX12" s="2">
        <f t="shared" si="184"/>
        <v>15</v>
      </c>
      <c r="MY12" s="2">
        <f t="shared" si="185"/>
        <v>50</v>
      </c>
      <c r="MZ12" s="2">
        <f t="shared" si="186"/>
        <v>25</v>
      </c>
      <c r="NA12" s="3">
        <v>0</v>
      </c>
      <c r="NB12" s="3">
        <v>0</v>
      </c>
      <c r="NC12" s="3">
        <v>0</v>
      </c>
      <c r="ND12" s="3">
        <v>0</v>
      </c>
      <c r="NE12" s="3">
        <v>0</v>
      </c>
      <c r="NF12" s="3">
        <v>0</v>
      </c>
      <c r="NG12" s="3">
        <v>0</v>
      </c>
      <c r="NH12" s="3">
        <v>0</v>
      </c>
      <c r="NI12" s="3">
        <v>0</v>
      </c>
      <c r="NJ12" s="3">
        <v>0</v>
      </c>
      <c r="NK12" s="3">
        <v>0</v>
      </c>
      <c r="NL12" s="2">
        <f t="shared" si="187"/>
        <v>12.5</v>
      </c>
      <c r="NM12" s="2">
        <f t="shared" si="188"/>
        <v>12.5</v>
      </c>
      <c r="NN12" s="2">
        <f t="shared" si="189"/>
        <v>12.5</v>
      </c>
      <c r="NO12" s="2">
        <f t="shared" si="190"/>
        <v>33.125</v>
      </c>
      <c r="NP12" s="2">
        <f t="shared" si="191"/>
        <v>33.125</v>
      </c>
      <c r="NQ12" s="2">
        <f t="shared" si="192"/>
        <v>33.125</v>
      </c>
      <c r="NR12" s="2">
        <f t="shared" si="193"/>
        <v>33.125</v>
      </c>
      <c r="NS12" s="2">
        <f t="shared" si="194"/>
        <v>15</v>
      </c>
      <c r="NT12" s="2">
        <f t="shared" si="195"/>
        <v>15</v>
      </c>
      <c r="NU12" s="2">
        <f t="shared" si="196"/>
        <v>50</v>
      </c>
      <c r="NV12" s="2">
        <f t="shared" si="197"/>
        <v>25</v>
      </c>
      <c r="NW12" s="59">
        <v>0</v>
      </c>
      <c r="NX12" s="59">
        <v>0</v>
      </c>
      <c r="NY12" s="59">
        <v>0</v>
      </c>
      <c r="NZ12" s="59">
        <v>0</v>
      </c>
      <c r="OA12" s="59">
        <v>0</v>
      </c>
      <c r="OB12" s="59">
        <v>0</v>
      </c>
      <c r="OC12" s="59">
        <v>0</v>
      </c>
      <c r="OD12" s="59">
        <v>0</v>
      </c>
      <c r="OE12" s="59">
        <v>0</v>
      </c>
      <c r="OF12" s="59">
        <v>0</v>
      </c>
      <c r="OG12" s="59">
        <v>0</v>
      </c>
      <c r="OH12" s="2">
        <f t="shared" si="198"/>
        <v>12.5</v>
      </c>
      <c r="OI12" s="2">
        <f t="shared" si="199"/>
        <v>12.5</v>
      </c>
      <c r="OJ12" s="2">
        <f t="shared" si="200"/>
        <v>12.5</v>
      </c>
      <c r="OK12" s="2">
        <f t="shared" si="201"/>
        <v>33.125</v>
      </c>
      <c r="OL12" s="2">
        <f t="shared" si="202"/>
        <v>23.125</v>
      </c>
      <c r="OM12" s="2">
        <f t="shared" si="203"/>
        <v>33.125</v>
      </c>
      <c r="ON12" s="2">
        <f t="shared" si="204"/>
        <v>23.125</v>
      </c>
      <c r="OO12" s="2">
        <f t="shared" si="205"/>
        <v>35</v>
      </c>
      <c r="OP12" s="2">
        <f t="shared" si="206"/>
        <v>15</v>
      </c>
      <c r="OQ12" s="2">
        <f t="shared" si="207"/>
        <v>50</v>
      </c>
      <c r="OR12" s="2">
        <f t="shared" si="208"/>
        <v>25</v>
      </c>
      <c r="OS12" s="59">
        <v>0</v>
      </c>
      <c r="OT12" s="59">
        <v>0</v>
      </c>
      <c r="OU12" s="59">
        <v>0</v>
      </c>
      <c r="OV12" s="59">
        <v>0</v>
      </c>
      <c r="OW12" s="59">
        <v>0</v>
      </c>
      <c r="OX12" s="59">
        <v>0</v>
      </c>
      <c r="OY12" s="59">
        <v>0</v>
      </c>
      <c r="OZ12" s="59">
        <v>0</v>
      </c>
      <c r="PA12" s="59">
        <v>0</v>
      </c>
      <c r="PB12" s="59">
        <v>0</v>
      </c>
      <c r="PC12" s="59">
        <v>0</v>
      </c>
      <c r="PD12" s="2">
        <f t="shared" si="209"/>
        <v>12.5</v>
      </c>
      <c r="PE12" s="2">
        <f t="shared" si="210"/>
        <v>12.5</v>
      </c>
      <c r="PF12" s="2">
        <f t="shared" si="211"/>
        <v>12.5</v>
      </c>
      <c r="PG12" s="2">
        <f t="shared" si="212"/>
        <v>33.125</v>
      </c>
      <c r="PH12" s="2">
        <f t="shared" si="213"/>
        <v>23.125</v>
      </c>
      <c r="PI12" s="2">
        <f t="shared" si="214"/>
        <v>33.125</v>
      </c>
      <c r="PJ12" s="2">
        <f t="shared" si="215"/>
        <v>23.125</v>
      </c>
      <c r="PK12" s="2">
        <f t="shared" si="216"/>
        <v>15</v>
      </c>
      <c r="PL12" s="2">
        <f t="shared" si="217"/>
        <v>15</v>
      </c>
      <c r="PM12" s="2">
        <f t="shared" si="218"/>
        <v>50</v>
      </c>
      <c r="PN12" s="2">
        <f t="shared" si="219"/>
        <v>25</v>
      </c>
      <c r="PO12" s="59">
        <v>0</v>
      </c>
      <c r="PP12" s="59">
        <v>0</v>
      </c>
      <c r="PQ12" s="59">
        <v>0</v>
      </c>
      <c r="PR12" s="59">
        <v>0</v>
      </c>
      <c r="PS12" s="59">
        <v>0</v>
      </c>
      <c r="PT12" s="59">
        <v>0</v>
      </c>
      <c r="PU12" s="59">
        <v>0</v>
      </c>
      <c r="PV12" s="59">
        <v>0</v>
      </c>
      <c r="PW12" s="59">
        <v>0</v>
      </c>
      <c r="PX12" s="59">
        <v>0</v>
      </c>
      <c r="PY12" s="59">
        <v>0</v>
      </c>
      <c r="PZ12" s="2">
        <f t="shared" si="220"/>
        <v>12.5</v>
      </c>
      <c r="QA12" s="2">
        <f t="shared" si="221"/>
        <v>12.5</v>
      </c>
      <c r="QB12" s="2">
        <f t="shared" si="222"/>
        <v>12.5</v>
      </c>
      <c r="QC12" s="2">
        <f t="shared" si="223"/>
        <v>23.125</v>
      </c>
      <c r="QD12" s="2">
        <f t="shared" si="224"/>
        <v>33.125</v>
      </c>
      <c r="QE12" s="2">
        <f t="shared" si="225"/>
        <v>33.125</v>
      </c>
      <c r="QF12" s="2">
        <f t="shared" si="226"/>
        <v>33.125</v>
      </c>
      <c r="QG12" s="2">
        <f t="shared" si="227"/>
        <v>35</v>
      </c>
      <c r="QH12" s="2">
        <f t="shared" si="228"/>
        <v>15</v>
      </c>
      <c r="QI12" s="2">
        <f t="shared" si="229"/>
        <v>50</v>
      </c>
      <c r="QJ12" s="2">
        <f t="shared" si="230"/>
        <v>25</v>
      </c>
      <c r="QK12" s="59">
        <v>0</v>
      </c>
      <c r="QL12" s="59">
        <v>0</v>
      </c>
      <c r="QM12" s="59">
        <v>0</v>
      </c>
      <c r="QN12" s="59">
        <v>0</v>
      </c>
      <c r="QO12" s="59">
        <v>0</v>
      </c>
      <c r="QP12" s="59">
        <v>0</v>
      </c>
      <c r="QQ12" s="59">
        <v>0</v>
      </c>
      <c r="QR12" s="59">
        <v>0</v>
      </c>
      <c r="QS12" s="59">
        <v>0</v>
      </c>
      <c r="QT12" s="59">
        <v>0</v>
      </c>
      <c r="QU12" s="59">
        <v>0</v>
      </c>
      <c r="QV12" s="2">
        <f t="shared" si="231"/>
        <v>12.5</v>
      </c>
      <c r="QW12" s="2">
        <f t="shared" si="232"/>
        <v>12.5</v>
      </c>
      <c r="QX12" s="2">
        <f t="shared" si="233"/>
        <v>12.5</v>
      </c>
      <c r="QY12" s="2">
        <f t="shared" si="234"/>
        <v>23.125</v>
      </c>
      <c r="QZ12" s="2">
        <f t="shared" si="235"/>
        <v>33.125</v>
      </c>
      <c r="RA12" s="2">
        <f t="shared" si="236"/>
        <v>33.125</v>
      </c>
      <c r="RB12" s="2">
        <f t="shared" si="237"/>
        <v>33.125</v>
      </c>
      <c r="RC12" s="2">
        <f t="shared" si="238"/>
        <v>15</v>
      </c>
      <c r="RD12" s="2">
        <f t="shared" si="239"/>
        <v>15</v>
      </c>
      <c r="RE12" s="2">
        <f t="shared" si="240"/>
        <v>50</v>
      </c>
      <c r="RF12" s="2">
        <f t="shared" si="241"/>
        <v>25</v>
      </c>
      <c r="RG12" s="59">
        <v>0</v>
      </c>
      <c r="RH12" s="59">
        <v>0</v>
      </c>
      <c r="RI12" s="59">
        <v>0</v>
      </c>
      <c r="RJ12" s="59">
        <v>0</v>
      </c>
      <c r="RK12" s="59">
        <v>0</v>
      </c>
      <c r="RL12" s="59">
        <v>0</v>
      </c>
      <c r="RM12" s="59">
        <v>0</v>
      </c>
      <c r="RN12" s="59">
        <v>0</v>
      </c>
      <c r="RO12" s="59">
        <v>0</v>
      </c>
      <c r="RP12" s="59">
        <v>0</v>
      </c>
      <c r="RQ12" s="59">
        <v>0</v>
      </c>
      <c r="RR12" s="2">
        <f t="shared" si="242"/>
        <v>12.5</v>
      </c>
      <c r="RS12" s="2">
        <f t="shared" si="243"/>
        <v>12.5</v>
      </c>
      <c r="RT12" s="2">
        <f t="shared" si="244"/>
        <v>12.5</v>
      </c>
      <c r="RU12" s="2">
        <f t="shared" si="245"/>
        <v>23.125</v>
      </c>
      <c r="RV12" s="2">
        <f t="shared" si="246"/>
        <v>23.125</v>
      </c>
      <c r="RW12" s="2">
        <f t="shared" si="247"/>
        <v>33.125</v>
      </c>
      <c r="RX12" s="2">
        <f t="shared" si="248"/>
        <v>23.125</v>
      </c>
      <c r="RY12" s="2">
        <f t="shared" si="249"/>
        <v>35</v>
      </c>
      <c r="RZ12" s="2">
        <f t="shared" si="250"/>
        <v>15</v>
      </c>
      <c r="SA12" s="2">
        <f t="shared" si="251"/>
        <v>50</v>
      </c>
      <c r="SB12" s="2">
        <f t="shared" si="252"/>
        <v>25</v>
      </c>
      <c r="SC12" s="59">
        <v>0</v>
      </c>
      <c r="SD12" s="59">
        <v>0</v>
      </c>
      <c r="SE12" s="59">
        <v>0</v>
      </c>
      <c r="SF12" s="59">
        <v>0</v>
      </c>
      <c r="SG12" s="59">
        <v>0</v>
      </c>
      <c r="SH12" s="59">
        <v>0</v>
      </c>
      <c r="SI12" s="59">
        <v>0</v>
      </c>
      <c r="SJ12" s="59">
        <v>0</v>
      </c>
      <c r="SK12" s="59">
        <v>0</v>
      </c>
      <c r="SL12" s="59">
        <v>0</v>
      </c>
      <c r="SM12" s="59">
        <v>0</v>
      </c>
      <c r="SN12" s="2">
        <f t="shared" si="253"/>
        <v>12.5</v>
      </c>
      <c r="SO12" s="2">
        <f t="shared" si="254"/>
        <v>12.5</v>
      </c>
      <c r="SP12" s="2">
        <f t="shared" si="255"/>
        <v>12.5</v>
      </c>
      <c r="SQ12" s="2">
        <f t="shared" si="256"/>
        <v>23.125</v>
      </c>
      <c r="SR12" s="2">
        <f t="shared" si="257"/>
        <v>23.125</v>
      </c>
      <c r="SS12" s="2">
        <f t="shared" si="258"/>
        <v>33.125</v>
      </c>
      <c r="ST12" s="2">
        <f t="shared" si="259"/>
        <v>23.125</v>
      </c>
      <c r="SU12" s="2">
        <f t="shared" si="260"/>
        <v>15</v>
      </c>
      <c r="SV12" s="2">
        <f t="shared" si="261"/>
        <v>15</v>
      </c>
      <c r="SW12" s="2">
        <f t="shared" si="262"/>
        <v>50</v>
      </c>
      <c r="SX12" s="2">
        <f t="shared" si="263"/>
        <v>25</v>
      </c>
      <c r="SY12" s="59">
        <v>0</v>
      </c>
      <c r="SZ12" s="59">
        <v>0</v>
      </c>
      <c r="TA12" s="59">
        <v>0</v>
      </c>
      <c r="TB12" s="59">
        <v>0</v>
      </c>
      <c r="TC12" s="59">
        <v>0</v>
      </c>
      <c r="TD12" s="59">
        <v>0</v>
      </c>
      <c r="TE12" s="59">
        <v>0</v>
      </c>
      <c r="TF12" s="59">
        <v>0</v>
      </c>
      <c r="TG12" s="59">
        <v>0</v>
      </c>
      <c r="TH12" s="59">
        <v>0</v>
      </c>
      <c r="TI12" s="59">
        <v>0</v>
      </c>
      <c r="TJ12" s="2">
        <f t="shared" si="264"/>
        <v>12.5</v>
      </c>
      <c r="TK12" s="2">
        <f t="shared" si="265"/>
        <v>12.5</v>
      </c>
      <c r="TL12" s="2">
        <f t="shared" si="266"/>
        <v>12.5</v>
      </c>
      <c r="TM12" s="2">
        <f t="shared" si="267"/>
        <v>33.125</v>
      </c>
      <c r="TN12" s="2">
        <f t="shared" si="268"/>
        <v>33.125</v>
      </c>
      <c r="TO12" s="2">
        <f t="shared" si="269"/>
        <v>23.125</v>
      </c>
      <c r="TP12" s="2">
        <f t="shared" si="270"/>
        <v>33.125</v>
      </c>
      <c r="TQ12" s="2">
        <f t="shared" si="271"/>
        <v>35</v>
      </c>
      <c r="TR12" s="2">
        <f t="shared" si="272"/>
        <v>15</v>
      </c>
      <c r="TS12" s="2">
        <f t="shared" si="273"/>
        <v>50</v>
      </c>
      <c r="TT12" s="2">
        <f t="shared" si="274"/>
        <v>25</v>
      </c>
      <c r="TU12" s="59">
        <v>0</v>
      </c>
      <c r="TV12" s="59">
        <v>0</v>
      </c>
      <c r="TW12" s="59">
        <v>0</v>
      </c>
      <c r="TX12" s="59">
        <v>0</v>
      </c>
      <c r="TY12" s="59">
        <v>0</v>
      </c>
      <c r="TZ12" s="59">
        <v>0</v>
      </c>
      <c r="UA12" s="59">
        <v>0</v>
      </c>
      <c r="UB12" s="59">
        <v>0</v>
      </c>
      <c r="UC12" s="59">
        <v>0</v>
      </c>
      <c r="UD12" s="59">
        <v>0</v>
      </c>
      <c r="UE12" s="59">
        <v>0</v>
      </c>
      <c r="UF12" s="2">
        <f t="shared" si="275"/>
        <v>12.5</v>
      </c>
      <c r="UG12" s="2">
        <f t="shared" si="276"/>
        <v>12.5</v>
      </c>
      <c r="UH12" s="2">
        <f t="shared" si="277"/>
        <v>12.5</v>
      </c>
      <c r="UI12" s="2">
        <f t="shared" si="278"/>
        <v>33.125</v>
      </c>
      <c r="UJ12" s="2">
        <f t="shared" si="279"/>
        <v>33.125</v>
      </c>
      <c r="UK12" s="2">
        <f t="shared" si="280"/>
        <v>23.125</v>
      </c>
      <c r="UL12" s="2">
        <f t="shared" si="281"/>
        <v>33.125</v>
      </c>
      <c r="UM12" s="2">
        <f t="shared" si="282"/>
        <v>15</v>
      </c>
      <c r="UN12" s="2">
        <f t="shared" si="283"/>
        <v>15</v>
      </c>
      <c r="UO12" s="2">
        <f t="shared" si="284"/>
        <v>50</v>
      </c>
      <c r="UP12" s="2">
        <f t="shared" si="285"/>
        <v>25</v>
      </c>
      <c r="UQ12" s="59">
        <v>0</v>
      </c>
      <c r="UR12" s="59">
        <v>0</v>
      </c>
      <c r="US12" s="59">
        <v>0</v>
      </c>
      <c r="UT12" s="59">
        <v>0</v>
      </c>
      <c r="UU12" s="59">
        <v>0</v>
      </c>
      <c r="UV12" s="59">
        <v>0</v>
      </c>
      <c r="UW12" s="59">
        <v>0</v>
      </c>
      <c r="UX12" s="59">
        <v>0</v>
      </c>
      <c r="UY12" s="59">
        <v>0</v>
      </c>
      <c r="UZ12" s="59">
        <v>0</v>
      </c>
      <c r="VA12" s="59">
        <v>0</v>
      </c>
      <c r="VB12" s="2">
        <f t="shared" si="286"/>
        <v>12.5</v>
      </c>
      <c r="VC12" s="2">
        <f t="shared" si="287"/>
        <v>12.5</v>
      </c>
      <c r="VD12" s="2">
        <f t="shared" si="288"/>
        <v>12.5</v>
      </c>
      <c r="VE12" s="2">
        <f t="shared" si="289"/>
        <v>33.125</v>
      </c>
      <c r="VF12" s="2">
        <f t="shared" si="290"/>
        <v>23.125</v>
      </c>
      <c r="VG12" s="2">
        <f t="shared" si="291"/>
        <v>23.125</v>
      </c>
      <c r="VH12" s="2">
        <f t="shared" si="292"/>
        <v>23.125</v>
      </c>
      <c r="VI12" s="2">
        <f t="shared" si="293"/>
        <v>35</v>
      </c>
      <c r="VJ12" s="2">
        <f t="shared" si="294"/>
        <v>15</v>
      </c>
      <c r="VK12" s="2">
        <f t="shared" si="295"/>
        <v>50</v>
      </c>
      <c r="VL12" s="2">
        <f t="shared" si="296"/>
        <v>25</v>
      </c>
      <c r="VM12" s="59">
        <v>0</v>
      </c>
      <c r="VN12" s="59">
        <v>0</v>
      </c>
      <c r="VO12" s="59">
        <v>0</v>
      </c>
      <c r="VP12" s="59">
        <v>0</v>
      </c>
      <c r="VQ12" s="59">
        <v>0</v>
      </c>
      <c r="VR12" s="59">
        <v>0</v>
      </c>
      <c r="VS12" s="59">
        <v>0</v>
      </c>
      <c r="VT12" s="59">
        <v>0</v>
      </c>
      <c r="VU12" s="59">
        <v>0</v>
      </c>
      <c r="VV12" s="59">
        <v>0</v>
      </c>
      <c r="VW12" s="59">
        <v>0</v>
      </c>
      <c r="VX12" s="2">
        <f t="shared" si="297"/>
        <v>12.5</v>
      </c>
      <c r="VY12" s="2">
        <f t="shared" si="298"/>
        <v>12.5</v>
      </c>
      <c r="VZ12" s="2">
        <f t="shared" si="299"/>
        <v>12.5</v>
      </c>
      <c r="WA12" s="2">
        <f t="shared" si="300"/>
        <v>33.125</v>
      </c>
      <c r="WB12" s="2">
        <f t="shared" si="301"/>
        <v>23.125</v>
      </c>
      <c r="WC12" s="2">
        <f t="shared" si="302"/>
        <v>23.125</v>
      </c>
      <c r="WD12" s="2">
        <f t="shared" si="303"/>
        <v>23.125</v>
      </c>
      <c r="WE12" s="2">
        <f t="shared" si="304"/>
        <v>15</v>
      </c>
      <c r="WF12" s="2">
        <f t="shared" si="305"/>
        <v>15</v>
      </c>
      <c r="WG12" s="2">
        <f t="shared" si="306"/>
        <v>50</v>
      </c>
      <c r="WH12" s="2">
        <f t="shared" si="307"/>
        <v>25</v>
      </c>
      <c r="WI12" s="59">
        <v>0</v>
      </c>
      <c r="WJ12" s="59">
        <v>0</v>
      </c>
      <c r="WK12" s="59">
        <v>0</v>
      </c>
      <c r="WL12" s="59">
        <v>0</v>
      </c>
      <c r="WM12" s="59">
        <v>0</v>
      </c>
      <c r="WN12" s="59">
        <v>0</v>
      </c>
      <c r="WO12" s="59">
        <v>0</v>
      </c>
      <c r="WP12" s="59">
        <v>0</v>
      </c>
      <c r="WQ12" s="59">
        <v>0</v>
      </c>
      <c r="WR12" s="59">
        <v>0</v>
      </c>
      <c r="WS12" s="59">
        <v>0</v>
      </c>
      <c r="WT12" s="2">
        <f t="shared" si="308"/>
        <v>12.5</v>
      </c>
      <c r="WU12" s="2">
        <f t="shared" si="309"/>
        <v>12.5</v>
      </c>
      <c r="WV12" s="2">
        <f t="shared" si="310"/>
        <v>12.5</v>
      </c>
      <c r="WW12" s="2">
        <f t="shared" si="311"/>
        <v>23.125</v>
      </c>
      <c r="WX12" s="2">
        <f t="shared" si="312"/>
        <v>33.125</v>
      </c>
      <c r="WY12" s="2">
        <f t="shared" si="313"/>
        <v>23.125</v>
      </c>
      <c r="WZ12" s="2">
        <f t="shared" si="314"/>
        <v>33.125</v>
      </c>
      <c r="XA12" s="2">
        <f t="shared" si="315"/>
        <v>35</v>
      </c>
      <c r="XB12" s="2">
        <f t="shared" si="316"/>
        <v>15</v>
      </c>
      <c r="XC12" s="2">
        <f t="shared" si="317"/>
        <v>50</v>
      </c>
      <c r="XD12" s="2">
        <f t="shared" si="318"/>
        <v>25</v>
      </c>
      <c r="XE12" s="59">
        <v>0</v>
      </c>
      <c r="XF12" s="59">
        <v>0</v>
      </c>
      <c r="XG12" s="59">
        <v>0</v>
      </c>
      <c r="XH12" s="59">
        <v>0</v>
      </c>
      <c r="XI12" s="59">
        <v>0</v>
      </c>
      <c r="XJ12" s="59">
        <v>0</v>
      </c>
      <c r="XK12" s="59">
        <v>0</v>
      </c>
      <c r="XL12" s="59">
        <v>0</v>
      </c>
      <c r="XM12" s="59">
        <v>0</v>
      </c>
      <c r="XN12" s="59">
        <v>0</v>
      </c>
      <c r="XO12" s="59">
        <v>0</v>
      </c>
      <c r="XP12" s="2">
        <f t="shared" si="319"/>
        <v>12.5</v>
      </c>
      <c r="XQ12" s="2">
        <f t="shared" si="320"/>
        <v>12.5</v>
      </c>
      <c r="XR12" s="2">
        <f t="shared" si="321"/>
        <v>12.5</v>
      </c>
      <c r="XS12" s="2">
        <f t="shared" si="322"/>
        <v>23.125</v>
      </c>
      <c r="XT12" s="2">
        <f t="shared" si="323"/>
        <v>33.125</v>
      </c>
      <c r="XU12" s="2">
        <f t="shared" si="324"/>
        <v>23.125</v>
      </c>
      <c r="XV12" s="2">
        <f t="shared" si="325"/>
        <v>33.125</v>
      </c>
      <c r="XW12" s="2">
        <f t="shared" si="326"/>
        <v>15</v>
      </c>
      <c r="XX12" s="2">
        <f t="shared" si="327"/>
        <v>15</v>
      </c>
      <c r="XY12" s="2">
        <f t="shared" si="328"/>
        <v>50</v>
      </c>
      <c r="XZ12" s="2">
        <f t="shared" si="329"/>
        <v>25</v>
      </c>
      <c r="YA12" s="59">
        <v>0</v>
      </c>
      <c r="YB12" s="59">
        <v>0</v>
      </c>
      <c r="YC12" s="59">
        <v>0</v>
      </c>
      <c r="YD12" s="59">
        <v>0</v>
      </c>
      <c r="YE12" s="59">
        <v>0</v>
      </c>
      <c r="YF12" s="59">
        <v>0</v>
      </c>
      <c r="YG12" s="59">
        <v>0</v>
      </c>
      <c r="YH12" s="59">
        <v>0</v>
      </c>
      <c r="YI12" s="59">
        <v>0</v>
      </c>
      <c r="YJ12" s="59">
        <v>0</v>
      </c>
      <c r="YK12" s="59">
        <v>0</v>
      </c>
      <c r="YL12" s="2">
        <f t="shared" si="330"/>
        <v>12.5</v>
      </c>
      <c r="YM12" s="2">
        <f t="shared" si="331"/>
        <v>12.5</v>
      </c>
      <c r="YN12" s="2">
        <f t="shared" si="332"/>
        <v>12.5</v>
      </c>
      <c r="YO12" s="2">
        <f t="shared" si="333"/>
        <v>23.125</v>
      </c>
      <c r="YP12" s="2">
        <f t="shared" si="334"/>
        <v>23.125</v>
      </c>
      <c r="YQ12" s="2">
        <f t="shared" si="335"/>
        <v>23.125</v>
      </c>
      <c r="YR12" s="2">
        <f t="shared" si="336"/>
        <v>23.125</v>
      </c>
      <c r="YS12" s="2">
        <f t="shared" si="337"/>
        <v>35</v>
      </c>
      <c r="YT12" s="2">
        <f t="shared" si="338"/>
        <v>15</v>
      </c>
      <c r="YU12" s="2">
        <f t="shared" si="339"/>
        <v>50</v>
      </c>
      <c r="YV12" s="2">
        <f t="shared" si="340"/>
        <v>25</v>
      </c>
      <c r="YW12" s="59">
        <v>0</v>
      </c>
      <c r="YX12" s="59">
        <v>0</v>
      </c>
      <c r="YY12" s="59">
        <v>0</v>
      </c>
      <c r="YZ12" s="59">
        <v>0</v>
      </c>
      <c r="ZA12" s="59">
        <v>0</v>
      </c>
      <c r="ZB12" s="59">
        <v>0</v>
      </c>
      <c r="ZC12" s="59">
        <v>0</v>
      </c>
      <c r="ZD12" s="59">
        <v>0</v>
      </c>
      <c r="ZE12" s="59">
        <v>0</v>
      </c>
      <c r="ZF12" s="59">
        <v>0</v>
      </c>
      <c r="ZG12" s="59">
        <v>0</v>
      </c>
      <c r="ZH12" s="2">
        <f t="shared" si="341"/>
        <v>12.5</v>
      </c>
      <c r="ZI12" s="2">
        <f t="shared" si="342"/>
        <v>12.5</v>
      </c>
      <c r="ZJ12" s="2">
        <f t="shared" si="343"/>
        <v>12.5</v>
      </c>
      <c r="ZK12" s="2">
        <f t="shared" si="344"/>
        <v>23.125</v>
      </c>
      <c r="ZL12" s="2">
        <f t="shared" si="345"/>
        <v>23.125</v>
      </c>
      <c r="ZM12" s="2">
        <f t="shared" si="346"/>
        <v>23.125</v>
      </c>
      <c r="ZN12" s="2">
        <f t="shared" si="347"/>
        <v>23.125</v>
      </c>
      <c r="ZO12" s="2">
        <f t="shared" si="348"/>
        <v>15</v>
      </c>
      <c r="ZP12" s="2">
        <f t="shared" si="349"/>
        <v>15</v>
      </c>
      <c r="ZQ12" s="2">
        <f t="shared" si="350"/>
        <v>50</v>
      </c>
      <c r="ZR12" s="2">
        <f t="shared" si="351"/>
        <v>25</v>
      </c>
      <c r="ZS12" s="59">
        <v>0</v>
      </c>
      <c r="ZT12" s="59">
        <v>0</v>
      </c>
      <c r="ZU12" s="59">
        <v>0</v>
      </c>
      <c r="ZV12" s="59">
        <v>0</v>
      </c>
      <c r="ZW12" s="59">
        <v>0</v>
      </c>
      <c r="ZX12" s="59">
        <v>0</v>
      </c>
      <c r="ZY12" s="59">
        <v>0</v>
      </c>
      <c r="ZZ12" s="59">
        <v>0</v>
      </c>
      <c r="AAA12" s="59">
        <v>0</v>
      </c>
      <c r="AAB12" s="59">
        <v>0</v>
      </c>
      <c r="AAC12" s="59">
        <v>0</v>
      </c>
    </row>
    <row r="13" spans="1:705" x14ac:dyDescent="0.2">
      <c r="A13" s="1">
        <v>8</v>
      </c>
      <c r="B13" s="2"/>
      <c r="C13" s="2"/>
      <c r="D13" s="2"/>
      <c r="E13" s="2"/>
      <c r="F13" s="2"/>
      <c r="G13" s="2"/>
      <c r="H13" s="2"/>
      <c r="I13" s="2"/>
      <c r="J13" s="2"/>
      <c r="K13" s="2"/>
      <c r="L13" s="2"/>
      <c r="M13" s="3"/>
      <c r="N13" s="3"/>
      <c r="O13" s="3"/>
      <c r="P13" s="3"/>
      <c r="Q13" s="3"/>
      <c r="R13" s="3"/>
      <c r="S13" s="3"/>
      <c r="T13" s="3"/>
      <c r="U13" s="3"/>
      <c r="V13" s="3"/>
      <c r="W13" s="3"/>
      <c r="X13" s="2"/>
      <c r="Y13" s="2"/>
      <c r="Z13" s="2"/>
      <c r="AA13" s="2"/>
      <c r="AB13" s="2"/>
      <c r="AC13" s="2"/>
      <c r="AD13" s="2"/>
      <c r="AE13" s="2"/>
      <c r="AF13" s="2"/>
      <c r="AG13" s="2"/>
      <c r="AH13" s="2"/>
      <c r="AI13" s="3"/>
      <c r="AJ13" s="3"/>
      <c r="AK13" s="3"/>
      <c r="AL13" s="3"/>
      <c r="AM13" s="3"/>
      <c r="AN13" s="3"/>
      <c r="AO13" s="3"/>
      <c r="AP13" s="3"/>
      <c r="AQ13" s="3"/>
      <c r="AR13" s="3"/>
      <c r="AS13" s="3"/>
      <c r="AT13" s="2"/>
      <c r="AU13" s="2"/>
      <c r="AV13" s="2"/>
      <c r="AW13" s="2"/>
      <c r="AX13" s="2"/>
      <c r="AY13" s="2"/>
      <c r="AZ13" s="2"/>
      <c r="BA13" s="2"/>
      <c r="BB13" s="2"/>
      <c r="BC13" s="2"/>
      <c r="BD13" s="2"/>
      <c r="BE13" s="3"/>
      <c r="BF13" s="3"/>
      <c r="BG13" s="3"/>
      <c r="BH13" s="3"/>
      <c r="BI13" s="3"/>
      <c r="BJ13" s="3"/>
      <c r="BK13" s="3"/>
      <c r="BL13" s="3"/>
      <c r="BM13" s="3"/>
      <c r="BN13" s="3"/>
      <c r="BO13" s="3"/>
      <c r="BP13" s="2"/>
      <c r="BQ13" s="2"/>
      <c r="BR13" s="2"/>
      <c r="BS13" s="2"/>
      <c r="BT13" s="2"/>
      <c r="BU13" s="2"/>
      <c r="BV13" s="2"/>
      <c r="BW13" s="2"/>
      <c r="BX13" s="2"/>
      <c r="BY13" s="2"/>
      <c r="BZ13" s="2"/>
      <c r="CA13" s="3"/>
      <c r="CB13" s="3"/>
      <c r="CC13" s="3"/>
      <c r="CD13" s="3"/>
      <c r="CE13" s="3"/>
      <c r="CF13" s="3"/>
      <c r="CG13" s="3"/>
      <c r="CH13" s="3"/>
      <c r="CI13" s="3"/>
      <c r="CJ13" s="3"/>
      <c r="CK13" s="3"/>
      <c r="CL13" s="2"/>
      <c r="CM13" s="2"/>
      <c r="CN13" s="2"/>
      <c r="CO13" s="2"/>
      <c r="CP13" s="2"/>
      <c r="CQ13" s="2"/>
      <c r="CR13" s="2"/>
      <c r="CS13" s="2"/>
      <c r="CT13" s="2"/>
      <c r="CU13" s="2"/>
      <c r="CV13" s="2"/>
      <c r="CW13" s="3"/>
      <c r="CX13" s="3"/>
      <c r="CY13" s="3"/>
      <c r="CZ13" s="3"/>
      <c r="DA13" s="3"/>
      <c r="DB13" s="3"/>
      <c r="DC13" s="3"/>
      <c r="DD13" s="3"/>
      <c r="DE13" s="3"/>
      <c r="DF13" s="3"/>
      <c r="DG13" s="3"/>
      <c r="DH13" s="2"/>
      <c r="DI13" s="2"/>
      <c r="DJ13" s="2"/>
      <c r="DK13" s="2"/>
      <c r="DL13" s="2"/>
      <c r="DM13" s="2"/>
      <c r="DN13" s="2"/>
      <c r="DO13" s="2"/>
      <c r="DP13" s="2"/>
      <c r="DQ13" s="2"/>
      <c r="DR13" s="2"/>
      <c r="DS13" s="3"/>
      <c r="DT13" s="3"/>
      <c r="DU13" s="3"/>
      <c r="DV13" s="3"/>
      <c r="DW13" s="3"/>
      <c r="DX13" s="3"/>
      <c r="DY13" s="3"/>
      <c r="DZ13" s="3"/>
      <c r="EA13" s="3"/>
      <c r="EB13" s="3"/>
      <c r="EC13" s="3"/>
      <c r="ED13" s="2"/>
      <c r="EE13" s="2"/>
      <c r="EF13" s="2"/>
      <c r="EG13" s="2"/>
      <c r="EH13" s="2"/>
      <c r="EI13" s="2"/>
      <c r="EJ13" s="2"/>
      <c r="EK13" s="2"/>
      <c r="EL13" s="2"/>
      <c r="EM13" s="2"/>
      <c r="EN13" s="2"/>
      <c r="EO13" s="3"/>
      <c r="EP13" s="3"/>
      <c r="EQ13" s="3"/>
      <c r="ER13" s="3"/>
      <c r="ES13" s="3"/>
      <c r="ET13" s="3"/>
      <c r="EU13" s="3"/>
      <c r="EV13" s="3"/>
      <c r="EW13" s="3"/>
      <c r="EX13" s="3"/>
      <c r="EY13" s="3"/>
      <c r="EZ13" s="2"/>
      <c r="FA13" s="2"/>
      <c r="FB13" s="2"/>
      <c r="FC13" s="2"/>
      <c r="FD13" s="2"/>
      <c r="FE13" s="2"/>
      <c r="FF13" s="2"/>
      <c r="FG13" s="2"/>
      <c r="FH13" s="2"/>
      <c r="FI13" s="2"/>
      <c r="FJ13" s="2"/>
      <c r="FK13" s="3"/>
      <c r="FL13" s="3"/>
      <c r="FM13" s="3"/>
      <c r="FN13" s="3"/>
      <c r="FO13" s="3"/>
      <c r="FP13" s="3"/>
      <c r="FQ13" s="3"/>
      <c r="FR13" s="3"/>
      <c r="FS13" s="3"/>
      <c r="FT13" s="3"/>
      <c r="FU13" s="3"/>
      <c r="FV13" s="2"/>
      <c r="FW13" s="2"/>
      <c r="FX13" s="2"/>
      <c r="FY13" s="2"/>
      <c r="FZ13" s="2"/>
      <c r="GA13" s="2"/>
      <c r="GB13" s="2"/>
      <c r="GC13" s="2"/>
      <c r="GD13" s="2"/>
      <c r="GE13" s="2"/>
      <c r="GF13" s="2"/>
      <c r="GG13" s="3"/>
      <c r="GH13" s="3"/>
      <c r="GI13" s="3"/>
      <c r="GJ13" s="3"/>
      <c r="GK13" s="3"/>
      <c r="GL13" s="3"/>
      <c r="GM13" s="3"/>
      <c r="GN13" s="3"/>
      <c r="GO13" s="3"/>
      <c r="GP13" s="3"/>
      <c r="GQ13" s="3"/>
      <c r="GR13" s="2"/>
      <c r="GS13" s="2"/>
      <c r="GT13" s="2"/>
      <c r="GU13" s="2"/>
      <c r="GV13" s="2"/>
      <c r="GW13" s="2"/>
      <c r="GX13" s="2"/>
      <c r="GY13" s="2"/>
      <c r="GZ13" s="2"/>
      <c r="HA13" s="2"/>
      <c r="HB13" s="2"/>
      <c r="HC13" s="3"/>
      <c r="HD13" s="3"/>
      <c r="HE13" s="3"/>
      <c r="HF13" s="3"/>
      <c r="HG13" s="3"/>
      <c r="HH13" s="3"/>
      <c r="HI13" s="3"/>
      <c r="HJ13" s="3"/>
      <c r="HK13" s="3"/>
      <c r="HL13" s="3"/>
      <c r="HM13" s="3"/>
      <c r="HN13" s="2"/>
      <c r="HO13" s="2"/>
      <c r="HP13" s="2"/>
      <c r="HQ13" s="2"/>
      <c r="HR13" s="2"/>
      <c r="HS13" s="2"/>
      <c r="HT13" s="2"/>
      <c r="HU13" s="2"/>
      <c r="HV13" s="2"/>
      <c r="HW13" s="2"/>
      <c r="HX13" s="2"/>
      <c r="HY13" s="3"/>
      <c r="HZ13" s="3"/>
      <c r="IA13" s="3"/>
      <c r="IB13" s="3"/>
      <c r="IC13" s="3"/>
      <c r="ID13" s="3"/>
      <c r="IE13" s="3"/>
      <c r="IF13" s="3"/>
      <c r="IG13" s="3"/>
      <c r="IH13" s="3"/>
      <c r="II13" s="3"/>
      <c r="IJ13" s="2"/>
      <c r="IK13" s="2"/>
      <c r="IL13" s="2"/>
      <c r="IM13" s="2"/>
      <c r="IN13" s="2"/>
      <c r="IO13" s="2"/>
      <c r="IP13" s="2"/>
      <c r="IQ13" s="2"/>
      <c r="IR13" s="2"/>
      <c r="IS13" s="2"/>
      <c r="IT13" s="2"/>
      <c r="IU13" s="3"/>
      <c r="IV13" s="3"/>
      <c r="IW13" s="3"/>
      <c r="IX13" s="3"/>
      <c r="IY13" s="3"/>
      <c r="IZ13" s="3"/>
      <c r="JA13" s="3"/>
      <c r="JB13" s="3"/>
      <c r="JC13" s="3"/>
      <c r="JD13" s="3"/>
      <c r="JE13" s="3"/>
      <c r="JF13" s="2"/>
      <c r="JG13" s="2"/>
      <c r="JH13" s="2"/>
      <c r="JI13" s="2"/>
      <c r="JJ13" s="2"/>
      <c r="JK13" s="2"/>
      <c r="JL13" s="2"/>
      <c r="JM13" s="2"/>
      <c r="JN13" s="2"/>
      <c r="JO13" s="2"/>
      <c r="JP13" s="2"/>
      <c r="JQ13" s="3"/>
      <c r="JR13" s="3"/>
      <c r="JS13" s="3"/>
      <c r="JT13" s="3"/>
      <c r="JU13" s="3"/>
      <c r="JV13" s="3"/>
      <c r="JW13" s="3"/>
      <c r="JX13" s="3"/>
      <c r="JY13" s="3"/>
      <c r="JZ13" s="3"/>
      <c r="KA13" s="3"/>
      <c r="KB13" s="2"/>
      <c r="KC13" s="2"/>
      <c r="KD13" s="2"/>
      <c r="KE13" s="2"/>
      <c r="KF13" s="2"/>
      <c r="KG13" s="2"/>
      <c r="KH13" s="2"/>
      <c r="KI13" s="2"/>
      <c r="KJ13" s="2"/>
      <c r="KK13" s="2"/>
      <c r="KL13" s="2"/>
      <c r="KM13" s="3"/>
      <c r="KN13" s="3"/>
      <c r="KO13" s="3"/>
      <c r="KP13" s="3"/>
      <c r="KQ13" s="3"/>
      <c r="KR13" s="3"/>
      <c r="KS13" s="3"/>
      <c r="KT13" s="3"/>
      <c r="KU13" s="3"/>
      <c r="KV13" s="3"/>
      <c r="KW13" s="3"/>
      <c r="KX13" s="2"/>
      <c r="KY13" s="2"/>
      <c r="KZ13" s="2"/>
      <c r="LA13" s="2"/>
      <c r="LB13" s="2"/>
      <c r="LC13" s="2"/>
      <c r="LD13" s="2"/>
      <c r="LE13" s="2"/>
      <c r="LF13" s="2"/>
      <c r="LG13" s="2"/>
      <c r="LH13" s="2"/>
      <c r="LI13" s="3"/>
      <c r="LJ13" s="3"/>
      <c r="LK13" s="3"/>
      <c r="LL13" s="3"/>
      <c r="LM13" s="3"/>
      <c r="LN13" s="3"/>
      <c r="LO13" s="3"/>
      <c r="LP13" s="3"/>
      <c r="LQ13" s="3"/>
      <c r="LR13" s="3"/>
      <c r="LS13" s="3"/>
      <c r="LT13" s="2"/>
      <c r="LU13" s="2"/>
      <c r="LV13" s="2"/>
      <c r="LW13" s="2"/>
      <c r="LX13" s="2"/>
      <c r="LY13" s="2"/>
      <c r="LZ13" s="2"/>
      <c r="MA13" s="2"/>
      <c r="MB13" s="2"/>
      <c r="MC13" s="2"/>
      <c r="MD13" s="2"/>
      <c r="ME13" s="3"/>
      <c r="MF13" s="3"/>
      <c r="MG13" s="3"/>
      <c r="MH13" s="3"/>
      <c r="MI13" s="3"/>
      <c r="MJ13" s="3"/>
      <c r="MK13" s="3"/>
      <c r="ML13" s="3"/>
      <c r="MM13" s="3"/>
      <c r="MN13" s="3"/>
      <c r="MO13" s="3"/>
      <c r="MP13" s="2"/>
      <c r="MQ13" s="2"/>
      <c r="MR13" s="2"/>
      <c r="MS13" s="2"/>
      <c r="MT13" s="2"/>
      <c r="MU13" s="2"/>
      <c r="MV13" s="2"/>
      <c r="MW13" s="2"/>
      <c r="MX13" s="2"/>
      <c r="MY13" s="2"/>
      <c r="MZ13" s="2"/>
      <c r="NA13" s="3"/>
      <c r="NB13" s="3"/>
      <c r="NC13" s="3"/>
      <c r="ND13" s="3"/>
      <c r="NE13" s="3"/>
      <c r="NF13" s="3"/>
      <c r="NG13" s="3"/>
      <c r="NH13" s="3"/>
      <c r="NI13" s="3"/>
      <c r="NJ13" s="3"/>
      <c r="NK13" s="3"/>
      <c r="NL13" s="56"/>
      <c r="NM13" s="57"/>
      <c r="NN13" s="57"/>
      <c r="NO13" s="57"/>
      <c r="NP13" s="57"/>
      <c r="NQ13" s="57"/>
      <c r="NR13" s="57"/>
      <c r="NS13" s="57"/>
      <c r="NT13" s="57"/>
      <c r="NU13" s="57"/>
      <c r="NV13" s="57"/>
      <c r="NW13" s="59"/>
      <c r="NX13" s="59"/>
      <c r="NY13" s="59"/>
      <c r="NZ13" s="59"/>
      <c r="OA13" s="59"/>
      <c r="OB13" s="59"/>
      <c r="OC13" s="59"/>
      <c r="OD13" s="59"/>
      <c r="OE13" s="59"/>
      <c r="OF13" s="59"/>
      <c r="OG13" s="59"/>
      <c r="OH13" s="56"/>
      <c r="OI13" s="57"/>
      <c r="OJ13" s="57"/>
      <c r="OK13" s="57"/>
      <c r="OL13" s="57"/>
      <c r="OM13" s="57"/>
      <c r="ON13" s="57"/>
      <c r="OO13" s="57"/>
      <c r="OP13" s="57"/>
      <c r="OQ13" s="57"/>
      <c r="OR13" s="57"/>
      <c r="OS13" s="59"/>
      <c r="OT13" s="59"/>
      <c r="OU13" s="59"/>
      <c r="OV13" s="59"/>
      <c r="OW13" s="59"/>
      <c r="OX13" s="59"/>
      <c r="OY13" s="59"/>
      <c r="OZ13" s="59"/>
      <c r="PA13" s="59"/>
      <c r="PB13" s="59"/>
      <c r="PC13" s="59"/>
      <c r="PD13" s="56"/>
      <c r="PE13" s="57"/>
      <c r="PF13" s="57"/>
      <c r="PG13" s="57"/>
      <c r="PH13" s="57"/>
      <c r="PI13" s="57"/>
      <c r="PJ13" s="57"/>
      <c r="PK13" s="57"/>
      <c r="PL13" s="57"/>
      <c r="PM13" s="57"/>
      <c r="PN13" s="57"/>
      <c r="PO13" s="59"/>
      <c r="PP13" s="59"/>
      <c r="PQ13" s="59"/>
      <c r="PR13" s="59"/>
      <c r="PS13" s="59"/>
      <c r="PT13" s="59"/>
      <c r="PU13" s="59"/>
      <c r="PV13" s="59"/>
      <c r="PW13" s="59"/>
      <c r="PX13" s="59"/>
      <c r="PY13" s="59"/>
      <c r="PZ13" s="56"/>
      <c r="QA13" s="57"/>
      <c r="QB13" s="57"/>
      <c r="QC13" s="57"/>
      <c r="QD13" s="57"/>
      <c r="QE13" s="57"/>
      <c r="QF13" s="57"/>
      <c r="QG13" s="57"/>
      <c r="QH13" s="57"/>
      <c r="QI13" s="57"/>
      <c r="QJ13" s="57"/>
      <c r="QK13" s="59"/>
      <c r="QL13" s="59"/>
      <c r="QM13" s="59"/>
      <c r="QN13" s="59"/>
      <c r="QO13" s="59"/>
      <c r="QP13" s="59"/>
      <c r="QQ13" s="59"/>
      <c r="QR13" s="59"/>
      <c r="QS13" s="59"/>
      <c r="QT13" s="59"/>
      <c r="QU13" s="59"/>
      <c r="QV13" s="56"/>
      <c r="QW13" s="57"/>
      <c r="QX13" s="57"/>
      <c r="QY13" s="57"/>
      <c r="QZ13" s="57"/>
      <c r="RA13" s="57"/>
      <c r="RB13" s="57"/>
      <c r="RC13" s="57"/>
      <c r="RD13" s="57"/>
      <c r="RE13" s="57"/>
      <c r="RF13" s="57"/>
      <c r="RG13" s="59"/>
      <c r="RH13" s="59"/>
      <c r="RI13" s="59"/>
      <c r="RJ13" s="59"/>
      <c r="RK13" s="59"/>
      <c r="RL13" s="59"/>
      <c r="RM13" s="59"/>
      <c r="RN13" s="59"/>
      <c r="RO13" s="59"/>
      <c r="RP13" s="59"/>
      <c r="RQ13" s="59"/>
      <c r="RR13" s="56"/>
      <c r="RS13" s="57"/>
      <c r="RT13" s="57"/>
      <c r="RU13" s="57"/>
      <c r="RV13" s="57"/>
      <c r="RW13" s="57"/>
      <c r="RX13" s="57"/>
      <c r="RY13" s="57"/>
      <c r="RZ13" s="57"/>
      <c r="SA13" s="57"/>
      <c r="SB13" s="57"/>
      <c r="SC13" s="59"/>
      <c r="SD13" s="59"/>
      <c r="SE13" s="59"/>
      <c r="SF13" s="59"/>
      <c r="SG13" s="59"/>
      <c r="SH13" s="59"/>
      <c r="SI13" s="59"/>
      <c r="SJ13" s="59"/>
      <c r="SK13" s="59"/>
      <c r="SL13" s="59"/>
      <c r="SM13" s="59"/>
      <c r="SN13" s="56"/>
      <c r="SO13" s="57"/>
      <c r="SP13" s="57"/>
      <c r="SQ13" s="57"/>
      <c r="SR13" s="57"/>
      <c r="SS13" s="57"/>
      <c r="ST13" s="57"/>
      <c r="SU13" s="57"/>
      <c r="SV13" s="57"/>
      <c r="SW13" s="57"/>
      <c r="SX13" s="57"/>
      <c r="SY13" s="59"/>
      <c r="SZ13" s="59"/>
      <c r="TA13" s="59"/>
      <c r="TB13" s="59"/>
      <c r="TC13" s="59"/>
      <c r="TD13" s="59"/>
      <c r="TE13" s="59"/>
      <c r="TF13" s="59"/>
      <c r="TG13" s="59"/>
      <c r="TH13" s="59"/>
      <c r="TI13" s="59"/>
      <c r="TJ13" s="56"/>
      <c r="TK13" s="57"/>
      <c r="TL13" s="57"/>
      <c r="TM13" s="57"/>
      <c r="TN13" s="57"/>
      <c r="TO13" s="57"/>
      <c r="TP13" s="57"/>
      <c r="TQ13" s="57"/>
      <c r="TR13" s="57"/>
      <c r="TS13" s="57"/>
      <c r="TT13" s="57"/>
      <c r="TU13" s="59"/>
      <c r="TV13" s="59"/>
      <c r="TW13" s="59"/>
      <c r="TX13" s="59"/>
      <c r="TY13" s="59"/>
      <c r="TZ13" s="59"/>
      <c r="UA13" s="59"/>
      <c r="UB13" s="59"/>
      <c r="UC13" s="59"/>
      <c r="UD13" s="59"/>
      <c r="UE13" s="59"/>
      <c r="UF13" s="56"/>
      <c r="UG13" s="57"/>
      <c r="UH13" s="57"/>
      <c r="UI13" s="57"/>
      <c r="UJ13" s="57"/>
      <c r="UK13" s="57"/>
      <c r="UL13" s="57"/>
      <c r="UM13" s="57"/>
      <c r="UN13" s="57"/>
      <c r="UO13" s="57"/>
      <c r="UP13" s="57"/>
      <c r="UQ13" s="59"/>
      <c r="UR13" s="59"/>
      <c r="US13" s="59"/>
      <c r="UT13" s="59"/>
      <c r="UU13" s="59"/>
      <c r="UV13" s="59"/>
      <c r="UW13" s="59"/>
      <c r="UX13" s="59"/>
      <c r="UY13" s="59"/>
      <c r="UZ13" s="59"/>
      <c r="VA13" s="59"/>
      <c r="VB13" s="56"/>
      <c r="VC13" s="57"/>
      <c r="VD13" s="57"/>
      <c r="VE13" s="57"/>
      <c r="VF13" s="57"/>
      <c r="VG13" s="57"/>
      <c r="VH13" s="57"/>
      <c r="VI13" s="57"/>
      <c r="VJ13" s="57"/>
      <c r="VK13" s="57"/>
      <c r="VL13" s="57"/>
      <c r="VM13" s="59"/>
      <c r="VN13" s="59"/>
      <c r="VO13" s="59"/>
      <c r="VP13" s="59"/>
      <c r="VQ13" s="59"/>
      <c r="VR13" s="59"/>
      <c r="VS13" s="59"/>
      <c r="VT13" s="59"/>
      <c r="VU13" s="59"/>
      <c r="VV13" s="59"/>
      <c r="VW13" s="59"/>
      <c r="VX13" s="56"/>
      <c r="VY13" s="57"/>
      <c r="VZ13" s="57"/>
      <c r="WA13" s="57"/>
      <c r="WB13" s="57"/>
      <c r="WC13" s="57"/>
      <c r="WD13" s="57"/>
      <c r="WE13" s="57"/>
      <c r="WF13" s="57"/>
      <c r="WG13" s="57"/>
      <c r="WH13" s="57"/>
      <c r="WI13" s="59"/>
      <c r="WJ13" s="59"/>
      <c r="WK13" s="59"/>
      <c r="WL13" s="59"/>
      <c r="WM13" s="59"/>
      <c r="WN13" s="59"/>
      <c r="WO13" s="59"/>
      <c r="WP13" s="59"/>
      <c r="WQ13" s="59"/>
      <c r="WR13" s="59"/>
      <c r="WS13" s="59"/>
      <c r="WT13" s="56"/>
      <c r="WU13" s="57"/>
      <c r="WV13" s="57"/>
      <c r="WW13" s="57"/>
      <c r="WX13" s="57"/>
      <c r="WY13" s="57"/>
      <c r="WZ13" s="57"/>
      <c r="XA13" s="57"/>
      <c r="XB13" s="57"/>
      <c r="XC13" s="57"/>
      <c r="XD13" s="57"/>
      <c r="XE13" s="59"/>
      <c r="XF13" s="59"/>
      <c r="XG13" s="59"/>
      <c r="XH13" s="59"/>
      <c r="XI13" s="59"/>
      <c r="XJ13" s="59"/>
      <c r="XK13" s="59"/>
      <c r="XL13" s="59"/>
      <c r="XM13" s="59"/>
      <c r="XN13" s="59"/>
      <c r="XO13" s="59"/>
      <c r="XP13" s="56"/>
      <c r="XQ13" s="57"/>
      <c r="XR13" s="57"/>
      <c r="XS13" s="57"/>
      <c r="XT13" s="57"/>
      <c r="XU13" s="57"/>
      <c r="XV13" s="57"/>
      <c r="XW13" s="57"/>
      <c r="XX13" s="57"/>
      <c r="XY13" s="57"/>
      <c r="XZ13" s="57"/>
      <c r="YA13" s="59"/>
      <c r="YB13" s="59"/>
      <c r="YC13" s="59"/>
      <c r="YD13" s="59"/>
      <c r="YE13" s="59"/>
      <c r="YF13" s="59"/>
      <c r="YG13" s="59"/>
      <c r="YH13" s="59"/>
      <c r="YI13" s="59"/>
      <c r="YJ13" s="59"/>
      <c r="YK13" s="59"/>
      <c r="YL13" s="56"/>
      <c r="YM13" s="57"/>
      <c r="YN13" s="57"/>
      <c r="YO13" s="57"/>
      <c r="YP13" s="57"/>
      <c r="YQ13" s="57"/>
      <c r="YR13" s="57"/>
      <c r="YS13" s="57"/>
      <c r="YT13" s="57"/>
      <c r="YU13" s="57"/>
      <c r="YV13" s="57"/>
      <c r="YW13" s="59"/>
      <c r="YX13" s="59"/>
      <c r="YY13" s="59"/>
      <c r="YZ13" s="59"/>
      <c r="ZA13" s="59"/>
      <c r="ZB13" s="59"/>
      <c r="ZC13" s="59"/>
      <c r="ZD13" s="59"/>
      <c r="ZE13" s="59"/>
      <c r="ZF13" s="59"/>
      <c r="ZG13" s="59"/>
      <c r="ZH13" s="56"/>
      <c r="ZI13" s="57"/>
      <c r="ZJ13" s="57"/>
      <c r="ZK13" s="57"/>
      <c r="ZL13" s="57"/>
      <c r="ZM13" s="57"/>
      <c r="ZN13" s="57"/>
      <c r="ZO13" s="57"/>
      <c r="ZP13" s="57"/>
      <c r="ZQ13" s="57"/>
      <c r="ZR13" s="57"/>
      <c r="ZS13" s="59"/>
      <c r="ZT13" s="59"/>
      <c r="ZU13" s="59"/>
      <c r="ZV13" s="59"/>
      <c r="ZW13" s="59"/>
      <c r="ZX13" s="59"/>
      <c r="ZY13" s="59"/>
      <c r="ZZ13" s="59"/>
      <c r="AAA13" s="59"/>
      <c r="AAB13" s="59"/>
      <c r="AAC13" s="59"/>
    </row>
    <row r="14" spans="1:705" x14ac:dyDescent="0.2">
      <c r="A14" s="1">
        <v>9</v>
      </c>
      <c r="B14" s="2"/>
      <c r="C14" s="2"/>
      <c r="D14" s="2"/>
      <c r="E14" s="2"/>
      <c r="F14" s="2"/>
      <c r="G14" s="2"/>
      <c r="H14" s="2"/>
      <c r="I14" s="2"/>
      <c r="J14" s="2"/>
      <c r="K14" s="2"/>
      <c r="L14" s="2"/>
      <c r="M14" s="3"/>
      <c r="N14" s="3"/>
      <c r="O14" s="3"/>
      <c r="P14" s="3"/>
      <c r="Q14" s="3"/>
      <c r="R14" s="3"/>
      <c r="S14" s="3"/>
      <c r="T14" s="3"/>
      <c r="U14" s="3"/>
      <c r="V14" s="3"/>
      <c r="W14" s="3"/>
      <c r="X14" s="2"/>
      <c r="Y14" s="2"/>
      <c r="Z14" s="2"/>
      <c r="AA14" s="2"/>
      <c r="AB14" s="2"/>
      <c r="AC14" s="2"/>
      <c r="AD14" s="2"/>
      <c r="AE14" s="2"/>
      <c r="AF14" s="2"/>
      <c r="AG14" s="2"/>
      <c r="AH14" s="2"/>
      <c r="AI14" s="3"/>
      <c r="AJ14" s="3"/>
      <c r="AK14" s="3"/>
      <c r="AL14" s="3"/>
      <c r="AM14" s="3"/>
      <c r="AN14" s="3"/>
      <c r="AO14" s="3"/>
      <c r="AP14" s="3"/>
      <c r="AQ14" s="3"/>
      <c r="AR14" s="3"/>
      <c r="AS14" s="3"/>
      <c r="AT14" s="2"/>
      <c r="AU14" s="2"/>
      <c r="AV14" s="2"/>
      <c r="AW14" s="2"/>
      <c r="AX14" s="2"/>
      <c r="AY14" s="2"/>
      <c r="AZ14" s="2"/>
      <c r="BA14" s="2"/>
      <c r="BB14" s="2"/>
      <c r="BC14" s="2"/>
      <c r="BD14" s="2"/>
      <c r="BE14" s="3"/>
      <c r="BF14" s="3"/>
      <c r="BG14" s="3"/>
      <c r="BH14" s="3"/>
      <c r="BI14" s="3"/>
      <c r="BJ14" s="3"/>
      <c r="BK14" s="3"/>
      <c r="BL14" s="3"/>
      <c r="BM14" s="3"/>
      <c r="BN14" s="3"/>
      <c r="BO14" s="3"/>
      <c r="BP14" s="2"/>
      <c r="BQ14" s="2"/>
      <c r="BR14" s="2"/>
      <c r="BS14" s="2"/>
      <c r="BT14" s="2"/>
      <c r="BU14" s="2"/>
      <c r="BV14" s="2"/>
      <c r="BW14" s="2"/>
      <c r="BX14" s="2"/>
      <c r="BY14" s="2"/>
      <c r="BZ14" s="2"/>
      <c r="CA14" s="3"/>
      <c r="CB14" s="3"/>
      <c r="CC14" s="3"/>
      <c r="CD14" s="3"/>
      <c r="CE14" s="3"/>
      <c r="CF14" s="3"/>
      <c r="CG14" s="3"/>
      <c r="CH14" s="3"/>
      <c r="CI14" s="3"/>
      <c r="CJ14" s="3"/>
      <c r="CK14" s="3"/>
      <c r="CL14" s="2"/>
      <c r="CM14" s="2"/>
      <c r="CN14" s="2"/>
      <c r="CO14" s="2"/>
      <c r="CP14" s="2"/>
      <c r="CQ14" s="2"/>
      <c r="CR14" s="2"/>
      <c r="CS14" s="2"/>
      <c r="CT14" s="2"/>
      <c r="CU14" s="2"/>
      <c r="CV14" s="2"/>
      <c r="CW14" s="3"/>
      <c r="CX14" s="3"/>
      <c r="CY14" s="3"/>
      <c r="CZ14" s="3"/>
      <c r="DA14" s="3"/>
      <c r="DB14" s="3"/>
      <c r="DC14" s="3"/>
      <c r="DD14" s="3"/>
      <c r="DE14" s="3"/>
      <c r="DF14" s="3"/>
      <c r="DG14" s="3"/>
      <c r="DH14" s="2"/>
      <c r="DI14" s="2"/>
      <c r="DJ14" s="2"/>
      <c r="DK14" s="2"/>
      <c r="DL14" s="2"/>
      <c r="DM14" s="2"/>
      <c r="DN14" s="2"/>
      <c r="DO14" s="2"/>
      <c r="DP14" s="2"/>
      <c r="DQ14" s="2"/>
      <c r="DR14" s="2"/>
      <c r="DS14" s="3"/>
      <c r="DT14" s="3"/>
      <c r="DU14" s="3"/>
      <c r="DV14" s="3"/>
      <c r="DW14" s="3"/>
      <c r="DX14" s="3"/>
      <c r="DY14" s="3"/>
      <c r="DZ14" s="3"/>
      <c r="EA14" s="3"/>
      <c r="EB14" s="3"/>
      <c r="EC14" s="3"/>
      <c r="ED14" s="2"/>
      <c r="EE14" s="2"/>
      <c r="EF14" s="2"/>
      <c r="EG14" s="2"/>
      <c r="EH14" s="2"/>
      <c r="EI14" s="2"/>
      <c r="EJ14" s="2"/>
      <c r="EK14" s="2"/>
      <c r="EL14" s="2"/>
      <c r="EM14" s="2"/>
      <c r="EN14" s="2"/>
      <c r="EO14" s="3"/>
      <c r="EP14" s="3"/>
      <c r="EQ14" s="3"/>
      <c r="ER14" s="3"/>
      <c r="ES14" s="3"/>
      <c r="ET14" s="3"/>
      <c r="EU14" s="3"/>
      <c r="EV14" s="3"/>
      <c r="EW14" s="3"/>
      <c r="EX14" s="3"/>
      <c r="EY14" s="3"/>
      <c r="EZ14" s="2"/>
      <c r="FA14" s="2"/>
      <c r="FB14" s="2"/>
      <c r="FC14" s="2"/>
      <c r="FD14" s="2"/>
      <c r="FE14" s="2"/>
      <c r="FF14" s="2"/>
      <c r="FG14" s="2"/>
      <c r="FH14" s="2"/>
      <c r="FI14" s="2"/>
      <c r="FJ14" s="2"/>
      <c r="FK14" s="3"/>
      <c r="FL14" s="3"/>
      <c r="FM14" s="3"/>
      <c r="FN14" s="3"/>
      <c r="FO14" s="3"/>
      <c r="FP14" s="3"/>
      <c r="FQ14" s="3"/>
      <c r="FR14" s="3"/>
      <c r="FS14" s="3"/>
      <c r="FT14" s="3"/>
      <c r="FU14" s="3"/>
      <c r="FV14" s="2"/>
      <c r="FW14" s="2"/>
      <c r="FX14" s="2"/>
      <c r="FY14" s="2"/>
      <c r="FZ14" s="2"/>
      <c r="GA14" s="2"/>
      <c r="GB14" s="2"/>
      <c r="GC14" s="2"/>
      <c r="GD14" s="2"/>
      <c r="GE14" s="2"/>
      <c r="GF14" s="2"/>
      <c r="GG14" s="3"/>
      <c r="GH14" s="3"/>
      <c r="GI14" s="3"/>
      <c r="GJ14" s="3"/>
      <c r="GK14" s="3"/>
      <c r="GL14" s="3"/>
      <c r="GM14" s="3"/>
      <c r="GN14" s="3"/>
      <c r="GO14" s="3"/>
      <c r="GP14" s="3"/>
      <c r="GQ14" s="3"/>
      <c r="GR14" s="2"/>
      <c r="GS14" s="2"/>
      <c r="GT14" s="2"/>
      <c r="GU14" s="2"/>
      <c r="GV14" s="2"/>
      <c r="GW14" s="2"/>
      <c r="GX14" s="2"/>
      <c r="GY14" s="2"/>
      <c r="GZ14" s="2"/>
      <c r="HA14" s="2"/>
      <c r="HB14" s="2"/>
      <c r="HC14" s="3"/>
      <c r="HD14" s="3"/>
      <c r="HE14" s="3"/>
      <c r="HF14" s="3"/>
      <c r="HG14" s="3"/>
      <c r="HH14" s="3"/>
      <c r="HI14" s="3"/>
      <c r="HJ14" s="3"/>
      <c r="HK14" s="3"/>
      <c r="HL14" s="3"/>
      <c r="HM14" s="3"/>
      <c r="HN14" s="2"/>
      <c r="HO14" s="2"/>
      <c r="HP14" s="2"/>
      <c r="HQ14" s="2"/>
      <c r="HR14" s="2"/>
      <c r="HS14" s="2"/>
      <c r="HT14" s="2"/>
      <c r="HU14" s="2"/>
      <c r="HV14" s="2"/>
      <c r="HW14" s="2"/>
      <c r="HX14" s="2"/>
      <c r="HY14" s="3"/>
      <c r="HZ14" s="3"/>
      <c r="IA14" s="3"/>
      <c r="IB14" s="3"/>
      <c r="IC14" s="3"/>
      <c r="ID14" s="3"/>
      <c r="IE14" s="3"/>
      <c r="IF14" s="3"/>
      <c r="IG14" s="3"/>
      <c r="IH14" s="3"/>
      <c r="II14" s="3"/>
      <c r="IJ14" s="2"/>
      <c r="IK14" s="2"/>
      <c r="IL14" s="2"/>
      <c r="IM14" s="2"/>
      <c r="IN14" s="2"/>
      <c r="IO14" s="2"/>
      <c r="IP14" s="2"/>
      <c r="IQ14" s="2"/>
      <c r="IR14" s="2"/>
      <c r="IS14" s="2"/>
      <c r="IT14" s="2"/>
      <c r="IU14" s="3"/>
      <c r="IV14" s="3"/>
      <c r="IW14" s="3"/>
      <c r="IX14" s="3"/>
      <c r="IY14" s="3"/>
      <c r="IZ14" s="3"/>
      <c r="JA14" s="3"/>
      <c r="JB14" s="3"/>
      <c r="JC14" s="3"/>
      <c r="JD14" s="3"/>
      <c r="JE14" s="3"/>
      <c r="JF14" s="2"/>
      <c r="JG14" s="2"/>
      <c r="JH14" s="2"/>
      <c r="JI14" s="2"/>
      <c r="JJ14" s="2"/>
      <c r="JK14" s="2"/>
      <c r="JL14" s="2"/>
      <c r="JM14" s="2"/>
      <c r="JN14" s="2"/>
      <c r="JO14" s="2"/>
      <c r="JP14" s="2"/>
      <c r="JQ14" s="3"/>
      <c r="JR14" s="3"/>
      <c r="JS14" s="3"/>
      <c r="JT14" s="3"/>
      <c r="JU14" s="3"/>
      <c r="JV14" s="3"/>
      <c r="JW14" s="3"/>
      <c r="JX14" s="3"/>
      <c r="JY14" s="3"/>
      <c r="JZ14" s="3"/>
      <c r="KA14" s="3"/>
      <c r="KB14" s="2"/>
      <c r="KC14" s="2"/>
      <c r="KD14" s="2"/>
      <c r="KE14" s="2"/>
      <c r="KF14" s="2"/>
      <c r="KG14" s="2"/>
      <c r="KH14" s="2"/>
      <c r="KI14" s="2"/>
      <c r="KJ14" s="2"/>
      <c r="KK14" s="2"/>
      <c r="KL14" s="2"/>
      <c r="KM14" s="3"/>
      <c r="KN14" s="3"/>
      <c r="KO14" s="3"/>
      <c r="KP14" s="3"/>
      <c r="KQ14" s="3"/>
      <c r="KR14" s="3"/>
      <c r="KS14" s="3"/>
      <c r="KT14" s="3"/>
      <c r="KU14" s="3"/>
      <c r="KV14" s="3"/>
      <c r="KW14" s="3"/>
      <c r="KX14" s="2"/>
      <c r="KY14" s="2"/>
      <c r="KZ14" s="2"/>
      <c r="LA14" s="2"/>
      <c r="LB14" s="2"/>
      <c r="LC14" s="2"/>
      <c r="LD14" s="2"/>
      <c r="LE14" s="2"/>
      <c r="LF14" s="2"/>
      <c r="LG14" s="2"/>
      <c r="LH14" s="2"/>
      <c r="LI14" s="3"/>
      <c r="LJ14" s="3"/>
      <c r="LK14" s="3"/>
      <c r="LL14" s="3"/>
      <c r="LM14" s="3"/>
      <c r="LN14" s="3"/>
      <c r="LO14" s="3"/>
      <c r="LP14" s="3"/>
      <c r="LQ14" s="3"/>
      <c r="LR14" s="3"/>
      <c r="LS14" s="3"/>
      <c r="LT14" s="2"/>
      <c r="LU14" s="2"/>
      <c r="LV14" s="2"/>
      <c r="LW14" s="2"/>
      <c r="LX14" s="2"/>
      <c r="LY14" s="2"/>
      <c r="LZ14" s="2"/>
      <c r="MA14" s="2"/>
      <c r="MB14" s="2"/>
      <c r="MC14" s="2"/>
      <c r="MD14" s="2"/>
      <c r="ME14" s="3"/>
      <c r="MF14" s="3"/>
      <c r="MG14" s="3"/>
      <c r="MH14" s="3"/>
      <c r="MI14" s="3"/>
      <c r="MJ14" s="3"/>
      <c r="MK14" s="3"/>
      <c r="ML14" s="3"/>
      <c r="MM14" s="3"/>
      <c r="MN14" s="3"/>
      <c r="MO14" s="3"/>
      <c r="MP14" s="2"/>
      <c r="MQ14" s="2"/>
      <c r="MR14" s="2"/>
      <c r="MS14" s="2"/>
      <c r="MT14" s="2"/>
      <c r="MU14" s="2"/>
      <c r="MV14" s="2"/>
      <c r="MW14" s="2"/>
      <c r="MX14" s="2"/>
      <c r="MY14" s="2"/>
      <c r="MZ14" s="2"/>
      <c r="NA14" s="3"/>
      <c r="NB14" s="3"/>
      <c r="NC14" s="3"/>
      <c r="ND14" s="3"/>
      <c r="NE14" s="3"/>
      <c r="NF14" s="3"/>
      <c r="NG14" s="3"/>
      <c r="NH14" s="3"/>
      <c r="NI14" s="3"/>
      <c r="NJ14" s="3"/>
      <c r="NK14" s="3"/>
      <c r="NL14" s="56"/>
      <c r="NM14" s="57"/>
      <c r="NN14" s="57"/>
      <c r="NO14" s="57"/>
      <c r="NP14" s="57"/>
      <c r="NQ14" s="57"/>
      <c r="NR14" s="57"/>
      <c r="NS14" s="57"/>
      <c r="NT14" s="57"/>
      <c r="NU14" s="57"/>
      <c r="NV14" s="57"/>
      <c r="NW14" s="59"/>
      <c r="NX14" s="59"/>
      <c r="NY14" s="59"/>
      <c r="NZ14" s="59"/>
      <c r="OA14" s="59"/>
      <c r="OB14" s="59"/>
      <c r="OC14" s="59"/>
      <c r="OD14" s="59"/>
      <c r="OE14" s="59"/>
      <c r="OF14" s="59"/>
      <c r="OG14" s="59"/>
      <c r="OH14" s="56"/>
      <c r="OI14" s="57"/>
      <c r="OJ14" s="57"/>
      <c r="OK14" s="57"/>
      <c r="OL14" s="57"/>
      <c r="OM14" s="57"/>
      <c r="ON14" s="57"/>
      <c r="OO14" s="57"/>
      <c r="OP14" s="57"/>
      <c r="OQ14" s="57"/>
      <c r="OR14" s="57"/>
      <c r="OS14" s="59"/>
      <c r="OT14" s="59"/>
      <c r="OU14" s="59"/>
      <c r="OV14" s="59"/>
      <c r="OW14" s="59"/>
      <c r="OX14" s="59"/>
      <c r="OY14" s="59"/>
      <c r="OZ14" s="59"/>
      <c r="PA14" s="59"/>
      <c r="PB14" s="59"/>
      <c r="PC14" s="59"/>
      <c r="PD14" s="56"/>
      <c r="PE14" s="57"/>
      <c r="PF14" s="57"/>
      <c r="PG14" s="57"/>
      <c r="PH14" s="57"/>
      <c r="PI14" s="57"/>
      <c r="PJ14" s="57"/>
      <c r="PK14" s="57"/>
      <c r="PL14" s="57"/>
      <c r="PM14" s="57"/>
      <c r="PN14" s="57"/>
      <c r="PO14" s="59"/>
      <c r="PP14" s="59"/>
      <c r="PQ14" s="59"/>
      <c r="PR14" s="59"/>
      <c r="PS14" s="59"/>
      <c r="PT14" s="59"/>
      <c r="PU14" s="59"/>
      <c r="PV14" s="59"/>
      <c r="PW14" s="59"/>
      <c r="PX14" s="59"/>
      <c r="PY14" s="59"/>
      <c r="PZ14" s="56"/>
      <c r="QA14" s="57"/>
      <c r="QB14" s="57"/>
      <c r="QC14" s="57"/>
      <c r="QD14" s="57"/>
      <c r="QE14" s="57"/>
      <c r="QF14" s="57"/>
      <c r="QG14" s="57"/>
      <c r="QH14" s="57"/>
      <c r="QI14" s="57"/>
      <c r="QJ14" s="57"/>
      <c r="QK14" s="59"/>
      <c r="QL14" s="59"/>
      <c r="QM14" s="59"/>
      <c r="QN14" s="59"/>
      <c r="QO14" s="59"/>
      <c r="QP14" s="59"/>
      <c r="QQ14" s="59"/>
      <c r="QR14" s="59"/>
      <c r="QS14" s="59"/>
      <c r="QT14" s="59"/>
      <c r="QU14" s="59"/>
      <c r="QV14" s="56"/>
      <c r="QW14" s="57"/>
      <c r="QX14" s="57"/>
      <c r="QY14" s="57"/>
      <c r="QZ14" s="57"/>
      <c r="RA14" s="57"/>
      <c r="RB14" s="57"/>
      <c r="RC14" s="57"/>
      <c r="RD14" s="57"/>
      <c r="RE14" s="57"/>
      <c r="RF14" s="57"/>
      <c r="RG14" s="59"/>
      <c r="RH14" s="59"/>
      <c r="RI14" s="59"/>
      <c r="RJ14" s="59"/>
      <c r="RK14" s="59"/>
      <c r="RL14" s="59"/>
      <c r="RM14" s="59"/>
      <c r="RN14" s="59"/>
      <c r="RO14" s="59"/>
      <c r="RP14" s="59"/>
      <c r="RQ14" s="59"/>
      <c r="RR14" s="56"/>
      <c r="RS14" s="57"/>
      <c r="RT14" s="57"/>
      <c r="RU14" s="57"/>
      <c r="RV14" s="57"/>
      <c r="RW14" s="57"/>
      <c r="RX14" s="57"/>
      <c r="RY14" s="57"/>
      <c r="RZ14" s="57"/>
      <c r="SA14" s="57"/>
      <c r="SB14" s="57"/>
      <c r="SC14" s="59"/>
      <c r="SD14" s="59"/>
      <c r="SE14" s="59"/>
      <c r="SF14" s="59"/>
      <c r="SG14" s="59"/>
      <c r="SH14" s="59"/>
      <c r="SI14" s="59"/>
      <c r="SJ14" s="59"/>
      <c r="SK14" s="59"/>
      <c r="SL14" s="59"/>
      <c r="SM14" s="59"/>
      <c r="SN14" s="56"/>
      <c r="SO14" s="57"/>
      <c r="SP14" s="57"/>
      <c r="SQ14" s="57"/>
      <c r="SR14" s="57"/>
      <c r="SS14" s="57"/>
      <c r="ST14" s="57"/>
      <c r="SU14" s="57"/>
      <c r="SV14" s="57"/>
      <c r="SW14" s="57"/>
      <c r="SX14" s="57"/>
      <c r="SY14" s="59"/>
      <c r="SZ14" s="59"/>
      <c r="TA14" s="59"/>
      <c r="TB14" s="59"/>
      <c r="TC14" s="59"/>
      <c r="TD14" s="59"/>
      <c r="TE14" s="59"/>
      <c r="TF14" s="59"/>
      <c r="TG14" s="59"/>
      <c r="TH14" s="59"/>
      <c r="TI14" s="59"/>
      <c r="TJ14" s="56"/>
      <c r="TK14" s="57"/>
      <c r="TL14" s="57"/>
      <c r="TM14" s="57"/>
      <c r="TN14" s="57"/>
      <c r="TO14" s="57"/>
      <c r="TP14" s="57"/>
      <c r="TQ14" s="57"/>
      <c r="TR14" s="57"/>
      <c r="TS14" s="57"/>
      <c r="TT14" s="57"/>
      <c r="TU14" s="59"/>
      <c r="TV14" s="59"/>
      <c r="TW14" s="59"/>
      <c r="TX14" s="59"/>
      <c r="TY14" s="59"/>
      <c r="TZ14" s="59"/>
      <c r="UA14" s="59"/>
      <c r="UB14" s="59"/>
      <c r="UC14" s="59"/>
      <c r="UD14" s="59"/>
      <c r="UE14" s="59"/>
      <c r="UF14" s="56"/>
      <c r="UG14" s="57"/>
      <c r="UH14" s="57"/>
      <c r="UI14" s="57"/>
      <c r="UJ14" s="57"/>
      <c r="UK14" s="57"/>
      <c r="UL14" s="57"/>
      <c r="UM14" s="57"/>
      <c r="UN14" s="57"/>
      <c r="UO14" s="57"/>
      <c r="UP14" s="57"/>
      <c r="UQ14" s="59"/>
      <c r="UR14" s="59"/>
      <c r="US14" s="59"/>
      <c r="UT14" s="59"/>
      <c r="UU14" s="59"/>
      <c r="UV14" s="59"/>
      <c r="UW14" s="59"/>
      <c r="UX14" s="59"/>
      <c r="UY14" s="59"/>
      <c r="UZ14" s="59"/>
      <c r="VA14" s="59"/>
      <c r="VB14" s="56"/>
      <c r="VC14" s="57"/>
      <c r="VD14" s="57"/>
      <c r="VE14" s="57"/>
      <c r="VF14" s="57"/>
      <c r="VG14" s="57"/>
      <c r="VH14" s="57"/>
      <c r="VI14" s="57"/>
      <c r="VJ14" s="57"/>
      <c r="VK14" s="57"/>
      <c r="VL14" s="57"/>
      <c r="VM14" s="59"/>
      <c r="VN14" s="59"/>
      <c r="VO14" s="59"/>
      <c r="VP14" s="59"/>
      <c r="VQ14" s="59"/>
      <c r="VR14" s="59"/>
      <c r="VS14" s="59"/>
      <c r="VT14" s="59"/>
      <c r="VU14" s="59"/>
      <c r="VV14" s="59"/>
      <c r="VW14" s="59"/>
      <c r="VX14" s="56"/>
      <c r="VY14" s="57"/>
      <c r="VZ14" s="57"/>
      <c r="WA14" s="57"/>
      <c r="WB14" s="57"/>
      <c r="WC14" s="57"/>
      <c r="WD14" s="57"/>
      <c r="WE14" s="57"/>
      <c r="WF14" s="57"/>
      <c r="WG14" s="57"/>
      <c r="WH14" s="57"/>
      <c r="WI14" s="59"/>
      <c r="WJ14" s="59"/>
      <c r="WK14" s="59"/>
      <c r="WL14" s="59"/>
      <c r="WM14" s="59"/>
      <c r="WN14" s="59"/>
      <c r="WO14" s="59"/>
      <c r="WP14" s="59"/>
      <c r="WQ14" s="59"/>
      <c r="WR14" s="59"/>
      <c r="WS14" s="59"/>
      <c r="WT14" s="56"/>
      <c r="WU14" s="57"/>
      <c r="WV14" s="57"/>
      <c r="WW14" s="57"/>
      <c r="WX14" s="57"/>
      <c r="WY14" s="57"/>
      <c r="WZ14" s="57"/>
      <c r="XA14" s="57"/>
      <c r="XB14" s="57"/>
      <c r="XC14" s="57"/>
      <c r="XD14" s="57"/>
      <c r="XE14" s="59"/>
      <c r="XF14" s="59"/>
      <c r="XG14" s="59"/>
      <c r="XH14" s="59"/>
      <c r="XI14" s="59"/>
      <c r="XJ14" s="59"/>
      <c r="XK14" s="59"/>
      <c r="XL14" s="59"/>
      <c r="XM14" s="59"/>
      <c r="XN14" s="59"/>
      <c r="XO14" s="59"/>
      <c r="XP14" s="56"/>
      <c r="XQ14" s="57"/>
      <c r="XR14" s="57"/>
      <c r="XS14" s="57"/>
      <c r="XT14" s="57"/>
      <c r="XU14" s="57"/>
      <c r="XV14" s="57"/>
      <c r="XW14" s="57"/>
      <c r="XX14" s="57"/>
      <c r="XY14" s="57"/>
      <c r="XZ14" s="57"/>
      <c r="YA14" s="59"/>
      <c r="YB14" s="59"/>
      <c r="YC14" s="59"/>
      <c r="YD14" s="59"/>
      <c r="YE14" s="59"/>
      <c r="YF14" s="59"/>
      <c r="YG14" s="59"/>
      <c r="YH14" s="59"/>
      <c r="YI14" s="59"/>
      <c r="YJ14" s="59"/>
      <c r="YK14" s="59"/>
      <c r="YL14" s="56"/>
      <c r="YM14" s="57"/>
      <c r="YN14" s="57"/>
      <c r="YO14" s="57"/>
      <c r="YP14" s="57"/>
      <c r="YQ14" s="57"/>
      <c r="YR14" s="57"/>
      <c r="YS14" s="57"/>
      <c r="YT14" s="57"/>
      <c r="YU14" s="57"/>
      <c r="YV14" s="57"/>
      <c r="YW14" s="59"/>
      <c r="YX14" s="59"/>
      <c r="YY14" s="59"/>
      <c r="YZ14" s="59"/>
      <c r="ZA14" s="59"/>
      <c r="ZB14" s="59"/>
      <c r="ZC14" s="59"/>
      <c r="ZD14" s="59"/>
      <c r="ZE14" s="59"/>
      <c r="ZF14" s="59"/>
      <c r="ZG14" s="59"/>
      <c r="ZH14" s="56"/>
      <c r="ZI14" s="57"/>
      <c r="ZJ14" s="57"/>
      <c r="ZK14" s="57"/>
      <c r="ZL14" s="57"/>
      <c r="ZM14" s="57"/>
      <c r="ZN14" s="57"/>
      <c r="ZO14" s="57"/>
      <c r="ZP14" s="57"/>
      <c r="ZQ14" s="57"/>
      <c r="ZR14" s="57"/>
      <c r="ZS14" s="59"/>
      <c r="ZT14" s="59"/>
      <c r="ZU14" s="59"/>
      <c r="ZV14" s="59"/>
      <c r="ZW14" s="59"/>
      <c r="ZX14" s="59"/>
      <c r="ZY14" s="59"/>
      <c r="ZZ14" s="59"/>
      <c r="AAA14" s="59"/>
      <c r="AAB14" s="59"/>
      <c r="AAC14" s="59"/>
    </row>
    <row r="15" spans="1:705" x14ac:dyDescent="0.2">
      <c r="A15" s="1">
        <v>10</v>
      </c>
      <c r="B15" s="2"/>
      <c r="C15" s="2"/>
      <c r="D15" s="2"/>
      <c r="E15" s="2"/>
      <c r="F15" s="2"/>
      <c r="G15" s="2"/>
      <c r="H15" s="2"/>
      <c r="I15" s="2"/>
      <c r="J15" s="2"/>
      <c r="K15" s="2"/>
      <c r="L15" s="2"/>
      <c r="M15" s="3"/>
      <c r="N15" s="3"/>
      <c r="O15" s="3"/>
      <c r="P15" s="3"/>
      <c r="Q15" s="3"/>
      <c r="R15" s="3"/>
      <c r="S15" s="3"/>
      <c r="T15" s="3"/>
      <c r="U15" s="3"/>
      <c r="V15" s="3"/>
      <c r="W15" s="3"/>
      <c r="X15" s="2"/>
      <c r="Y15" s="2"/>
      <c r="Z15" s="2"/>
      <c r="AA15" s="2"/>
      <c r="AB15" s="2"/>
      <c r="AC15" s="2"/>
      <c r="AD15" s="2"/>
      <c r="AE15" s="2"/>
      <c r="AF15" s="2"/>
      <c r="AG15" s="2"/>
      <c r="AH15" s="2"/>
      <c r="AI15" s="3"/>
      <c r="AJ15" s="3"/>
      <c r="AK15" s="3"/>
      <c r="AL15" s="3"/>
      <c r="AM15" s="3"/>
      <c r="AN15" s="3"/>
      <c r="AO15" s="3"/>
      <c r="AP15" s="3"/>
      <c r="AQ15" s="3"/>
      <c r="AR15" s="3"/>
      <c r="AS15" s="3"/>
      <c r="AT15" s="2"/>
      <c r="AU15" s="2"/>
      <c r="AV15" s="2"/>
      <c r="AW15" s="2"/>
      <c r="AX15" s="2"/>
      <c r="AY15" s="2"/>
      <c r="AZ15" s="2"/>
      <c r="BA15" s="2"/>
      <c r="BB15" s="2"/>
      <c r="BC15" s="2"/>
      <c r="BD15" s="2"/>
      <c r="BE15" s="3"/>
      <c r="BF15" s="3"/>
      <c r="BG15" s="3"/>
      <c r="BH15" s="3"/>
      <c r="BI15" s="3"/>
      <c r="BJ15" s="3"/>
      <c r="BK15" s="3"/>
      <c r="BL15" s="3"/>
      <c r="BM15" s="3"/>
      <c r="BN15" s="3"/>
      <c r="BO15" s="3"/>
      <c r="BP15" s="2"/>
      <c r="BQ15" s="2"/>
      <c r="BR15" s="2"/>
      <c r="BS15" s="2"/>
      <c r="BT15" s="2"/>
      <c r="BU15" s="2"/>
      <c r="BV15" s="2"/>
      <c r="BW15" s="2"/>
      <c r="BX15" s="2"/>
      <c r="BY15" s="2"/>
      <c r="BZ15" s="2"/>
      <c r="CA15" s="3"/>
      <c r="CB15" s="3"/>
      <c r="CC15" s="3"/>
      <c r="CD15" s="3"/>
      <c r="CE15" s="3"/>
      <c r="CF15" s="3"/>
      <c r="CG15" s="3"/>
      <c r="CH15" s="3"/>
      <c r="CI15" s="3"/>
      <c r="CJ15" s="3"/>
      <c r="CK15" s="3"/>
      <c r="CL15" s="2"/>
      <c r="CM15" s="2"/>
      <c r="CN15" s="2"/>
      <c r="CO15" s="2"/>
      <c r="CP15" s="2"/>
      <c r="CQ15" s="2"/>
      <c r="CR15" s="2"/>
      <c r="CS15" s="2"/>
      <c r="CT15" s="2"/>
      <c r="CU15" s="2"/>
      <c r="CV15" s="2"/>
      <c r="CW15" s="3"/>
      <c r="CX15" s="3"/>
      <c r="CY15" s="3"/>
      <c r="CZ15" s="3"/>
      <c r="DA15" s="3"/>
      <c r="DB15" s="3"/>
      <c r="DC15" s="3"/>
      <c r="DD15" s="3"/>
      <c r="DE15" s="3"/>
      <c r="DF15" s="3"/>
      <c r="DG15" s="3"/>
      <c r="DH15" s="2"/>
      <c r="DI15" s="2"/>
      <c r="DJ15" s="2"/>
      <c r="DK15" s="2"/>
      <c r="DL15" s="2"/>
      <c r="DM15" s="2"/>
      <c r="DN15" s="2"/>
      <c r="DO15" s="2"/>
      <c r="DP15" s="2"/>
      <c r="DQ15" s="2"/>
      <c r="DR15" s="2"/>
      <c r="DS15" s="3"/>
      <c r="DT15" s="3"/>
      <c r="DU15" s="3"/>
      <c r="DV15" s="3"/>
      <c r="DW15" s="3"/>
      <c r="DX15" s="3"/>
      <c r="DY15" s="3"/>
      <c r="DZ15" s="3"/>
      <c r="EA15" s="3"/>
      <c r="EB15" s="3"/>
      <c r="EC15" s="3"/>
      <c r="ED15" s="2"/>
      <c r="EE15" s="2"/>
      <c r="EF15" s="2"/>
      <c r="EG15" s="2"/>
      <c r="EH15" s="2"/>
      <c r="EI15" s="2"/>
      <c r="EJ15" s="2"/>
      <c r="EK15" s="2"/>
      <c r="EL15" s="2"/>
      <c r="EM15" s="2"/>
      <c r="EN15" s="2"/>
      <c r="EO15" s="3"/>
      <c r="EP15" s="3"/>
      <c r="EQ15" s="3"/>
      <c r="ER15" s="3"/>
      <c r="ES15" s="3"/>
      <c r="ET15" s="3"/>
      <c r="EU15" s="3"/>
      <c r="EV15" s="3"/>
      <c r="EW15" s="3"/>
      <c r="EX15" s="3"/>
      <c r="EY15" s="3"/>
      <c r="EZ15" s="2"/>
      <c r="FA15" s="2"/>
      <c r="FB15" s="2"/>
      <c r="FC15" s="2"/>
      <c r="FD15" s="2"/>
      <c r="FE15" s="2"/>
      <c r="FF15" s="2"/>
      <c r="FG15" s="2"/>
      <c r="FH15" s="2"/>
      <c r="FI15" s="2"/>
      <c r="FJ15" s="2"/>
      <c r="FK15" s="3"/>
      <c r="FL15" s="3"/>
      <c r="FM15" s="3"/>
      <c r="FN15" s="3"/>
      <c r="FO15" s="3"/>
      <c r="FP15" s="3"/>
      <c r="FQ15" s="3"/>
      <c r="FR15" s="3"/>
      <c r="FS15" s="3"/>
      <c r="FT15" s="3"/>
      <c r="FU15" s="3"/>
      <c r="FV15" s="2"/>
      <c r="FW15" s="2"/>
      <c r="FX15" s="2"/>
      <c r="FY15" s="2"/>
      <c r="FZ15" s="2"/>
      <c r="GA15" s="2"/>
      <c r="GB15" s="2"/>
      <c r="GC15" s="2"/>
      <c r="GD15" s="2"/>
      <c r="GE15" s="2"/>
      <c r="GF15" s="2"/>
      <c r="GG15" s="3"/>
      <c r="GH15" s="3"/>
      <c r="GI15" s="3"/>
      <c r="GJ15" s="3"/>
      <c r="GK15" s="3"/>
      <c r="GL15" s="3"/>
      <c r="GM15" s="3"/>
      <c r="GN15" s="3"/>
      <c r="GO15" s="3"/>
      <c r="GP15" s="3"/>
      <c r="GQ15" s="3"/>
      <c r="GR15" s="2"/>
      <c r="GS15" s="2"/>
      <c r="GT15" s="2"/>
      <c r="GU15" s="2"/>
      <c r="GV15" s="2"/>
      <c r="GW15" s="2"/>
      <c r="GX15" s="2"/>
      <c r="GY15" s="2"/>
      <c r="GZ15" s="2"/>
      <c r="HA15" s="2"/>
      <c r="HB15" s="2"/>
      <c r="HC15" s="3"/>
      <c r="HD15" s="3"/>
      <c r="HE15" s="3"/>
      <c r="HF15" s="3"/>
      <c r="HG15" s="3"/>
      <c r="HH15" s="3"/>
      <c r="HI15" s="3"/>
      <c r="HJ15" s="3"/>
      <c r="HK15" s="3"/>
      <c r="HL15" s="3"/>
      <c r="HM15" s="3"/>
      <c r="HN15" s="2"/>
      <c r="HO15" s="2"/>
      <c r="HP15" s="2"/>
      <c r="HQ15" s="2"/>
      <c r="HR15" s="2"/>
      <c r="HS15" s="2"/>
      <c r="HT15" s="2"/>
      <c r="HU15" s="2"/>
      <c r="HV15" s="2"/>
      <c r="HW15" s="2"/>
      <c r="HX15" s="2"/>
      <c r="HY15" s="3"/>
      <c r="HZ15" s="3"/>
      <c r="IA15" s="3"/>
      <c r="IB15" s="3"/>
      <c r="IC15" s="3"/>
      <c r="ID15" s="3"/>
      <c r="IE15" s="3"/>
      <c r="IF15" s="3"/>
      <c r="IG15" s="3"/>
      <c r="IH15" s="3"/>
      <c r="II15" s="3"/>
      <c r="IJ15" s="2"/>
      <c r="IK15" s="2"/>
      <c r="IL15" s="2"/>
      <c r="IM15" s="2"/>
      <c r="IN15" s="2"/>
      <c r="IO15" s="2"/>
      <c r="IP15" s="2"/>
      <c r="IQ15" s="2"/>
      <c r="IR15" s="2"/>
      <c r="IS15" s="2"/>
      <c r="IT15" s="2"/>
      <c r="IU15" s="3"/>
      <c r="IV15" s="3"/>
      <c r="IW15" s="3"/>
      <c r="IX15" s="3"/>
      <c r="IY15" s="3"/>
      <c r="IZ15" s="3"/>
      <c r="JA15" s="3"/>
      <c r="JB15" s="3"/>
      <c r="JC15" s="3"/>
      <c r="JD15" s="3"/>
      <c r="JE15" s="3"/>
      <c r="JF15" s="2"/>
      <c r="JG15" s="2"/>
      <c r="JH15" s="2"/>
      <c r="JI15" s="2"/>
      <c r="JJ15" s="2"/>
      <c r="JK15" s="2"/>
      <c r="JL15" s="2"/>
      <c r="JM15" s="2"/>
      <c r="JN15" s="2"/>
      <c r="JO15" s="2"/>
      <c r="JP15" s="2"/>
      <c r="JQ15" s="3"/>
      <c r="JR15" s="3"/>
      <c r="JS15" s="3"/>
      <c r="JT15" s="3"/>
      <c r="JU15" s="3"/>
      <c r="JV15" s="3"/>
      <c r="JW15" s="3"/>
      <c r="JX15" s="3"/>
      <c r="JY15" s="3"/>
      <c r="JZ15" s="3"/>
      <c r="KA15" s="3"/>
      <c r="KB15" s="2"/>
      <c r="KC15" s="2"/>
      <c r="KD15" s="2"/>
      <c r="KE15" s="2"/>
      <c r="KF15" s="2"/>
      <c r="KG15" s="2"/>
      <c r="KH15" s="2"/>
      <c r="KI15" s="2"/>
      <c r="KJ15" s="2"/>
      <c r="KK15" s="2"/>
      <c r="KL15" s="2"/>
      <c r="KM15" s="3"/>
      <c r="KN15" s="3"/>
      <c r="KO15" s="3"/>
      <c r="KP15" s="3"/>
      <c r="KQ15" s="3"/>
      <c r="KR15" s="3"/>
      <c r="KS15" s="3"/>
      <c r="KT15" s="3"/>
      <c r="KU15" s="3"/>
      <c r="KV15" s="3"/>
      <c r="KW15" s="3"/>
      <c r="KX15" s="2"/>
      <c r="KY15" s="2"/>
      <c r="KZ15" s="2"/>
      <c r="LA15" s="2"/>
      <c r="LB15" s="2"/>
      <c r="LC15" s="2"/>
      <c r="LD15" s="2"/>
      <c r="LE15" s="2"/>
      <c r="LF15" s="2"/>
      <c r="LG15" s="2"/>
      <c r="LH15" s="2"/>
      <c r="LI15" s="3"/>
      <c r="LJ15" s="3"/>
      <c r="LK15" s="3"/>
      <c r="LL15" s="3"/>
      <c r="LM15" s="3"/>
      <c r="LN15" s="3"/>
      <c r="LO15" s="3"/>
      <c r="LP15" s="3"/>
      <c r="LQ15" s="3"/>
      <c r="LR15" s="3"/>
      <c r="LS15" s="3"/>
      <c r="LT15" s="2"/>
      <c r="LU15" s="2"/>
      <c r="LV15" s="2"/>
      <c r="LW15" s="2"/>
      <c r="LX15" s="2"/>
      <c r="LY15" s="2"/>
      <c r="LZ15" s="2"/>
      <c r="MA15" s="2"/>
      <c r="MB15" s="2"/>
      <c r="MC15" s="2"/>
      <c r="MD15" s="2"/>
      <c r="ME15" s="3"/>
      <c r="MF15" s="3"/>
      <c r="MG15" s="3"/>
      <c r="MH15" s="3"/>
      <c r="MI15" s="3"/>
      <c r="MJ15" s="3"/>
      <c r="MK15" s="3"/>
      <c r="ML15" s="3"/>
      <c r="MM15" s="3"/>
      <c r="MN15" s="3"/>
      <c r="MO15" s="3"/>
      <c r="MP15" s="2"/>
      <c r="MQ15" s="2"/>
      <c r="MR15" s="2"/>
      <c r="MS15" s="2"/>
      <c r="MT15" s="2"/>
      <c r="MU15" s="2"/>
      <c r="MV15" s="2"/>
      <c r="MW15" s="2"/>
      <c r="MX15" s="2"/>
      <c r="MY15" s="2"/>
      <c r="MZ15" s="2"/>
      <c r="NA15" s="3"/>
      <c r="NB15" s="3"/>
      <c r="NC15" s="3"/>
      <c r="ND15" s="3"/>
      <c r="NE15" s="3"/>
      <c r="NF15" s="3"/>
      <c r="NG15" s="3"/>
      <c r="NH15" s="3"/>
      <c r="NI15" s="3"/>
      <c r="NJ15" s="3"/>
      <c r="NK15" s="3"/>
      <c r="NL15" s="56"/>
      <c r="NM15" s="57"/>
      <c r="NN15" s="57"/>
      <c r="NO15" s="57"/>
      <c r="NP15" s="57"/>
      <c r="NQ15" s="57"/>
      <c r="NR15" s="57"/>
      <c r="NS15" s="57"/>
      <c r="NT15" s="57"/>
      <c r="NU15" s="57"/>
      <c r="NV15" s="57"/>
      <c r="NW15" s="59"/>
      <c r="NX15" s="59"/>
      <c r="NY15" s="59"/>
      <c r="NZ15" s="59"/>
      <c r="OA15" s="59"/>
      <c r="OB15" s="59"/>
      <c r="OC15" s="59"/>
      <c r="OD15" s="59"/>
      <c r="OE15" s="59"/>
      <c r="OF15" s="59"/>
      <c r="OG15" s="59"/>
      <c r="OH15" s="56"/>
      <c r="OI15" s="57"/>
      <c r="OJ15" s="57"/>
      <c r="OK15" s="57"/>
      <c r="OL15" s="57"/>
      <c r="OM15" s="57"/>
      <c r="ON15" s="57"/>
      <c r="OO15" s="57"/>
      <c r="OP15" s="57"/>
      <c r="OQ15" s="57"/>
      <c r="OR15" s="57"/>
      <c r="OS15" s="59"/>
      <c r="OT15" s="59"/>
      <c r="OU15" s="59"/>
      <c r="OV15" s="59"/>
      <c r="OW15" s="59"/>
      <c r="OX15" s="59"/>
      <c r="OY15" s="59"/>
      <c r="OZ15" s="59"/>
      <c r="PA15" s="59"/>
      <c r="PB15" s="59"/>
      <c r="PC15" s="59"/>
      <c r="PD15" s="56"/>
      <c r="PE15" s="57"/>
      <c r="PF15" s="57"/>
      <c r="PG15" s="57"/>
      <c r="PH15" s="57"/>
      <c r="PI15" s="57"/>
      <c r="PJ15" s="57"/>
      <c r="PK15" s="57"/>
      <c r="PL15" s="57"/>
      <c r="PM15" s="57"/>
      <c r="PN15" s="57"/>
      <c r="PO15" s="59"/>
      <c r="PP15" s="59"/>
      <c r="PQ15" s="59"/>
      <c r="PR15" s="59"/>
      <c r="PS15" s="59"/>
      <c r="PT15" s="59"/>
      <c r="PU15" s="59"/>
      <c r="PV15" s="59"/>
      <c r="PW15" s="59"/>
      <c r="PX15" s="59"/>
      <c r="PY15" s="59"/>
      <c r="PZ15" s="56"/>
      <c r="QA15" s="57"/>
      <c r="QB15" s="57"/>
      <c r="QC15" s="57"/>
      <c r="QD15" s="57"/>
      <c r="QE15" s="57"/>
      <c r="QF15" s="57"/>
      <c r="QG15" s="57"/>
      <c r="QH15" s="57"/>
      <c r="QI15" s="57"/>
      <c r="QJ15" s="57"/>
      <c r="QK15" s="59"/>
      <c r="QL15" s="59"/>
      <c r="QM15" s="59"/>
      <c r="QN15" s="59"/>
      <c r="QO15" s="59"/>
      <c r="QP15" s="59"/>
      <c r="QQ15" s="59"/>
      <c r="QR15" s="59"/>
      <c r="QS15" s="59"/>
      <c r="QT15" s="59"/>
      <c r="QU15" s="59"/>
      <c r="QV15" s="56"/>
      <c r="QW15" s="57"/>
      <c r="QX15" s="57"/>
      <c r="QY15" s="57"/>
      <c r="QZ15" s="57"/>
      <c r="RA15" s="57"/>
      <c r="RB15" s="57"/>
      <c r="RC15" s="57"/>
      <c r="RD15" s="57"/>
      <c r="RE15" s="57"/>
      <c r="RF15" s="57"/>
      <c r="RG15" s="59"/>
      <c r="RH15" s="59"/>
      <c r="RI15" s="59"/>
      <c r="RJ15" s="59"/>
      <c r="RK15" s="59"/>
      <c r="RL15" s="59"/>
      <c r="RM15" s="59"/>
      <c r="RN15" s="59"/>
      <c r="RO15" s="59"/>
      <c r="RP15" s="59"/>
      <c r="RQ15" s="59"/>
      <c r="RR15" s="56"/>
      <c r="RS15" s="57"/>
      <c r="RT15" s="57"/>
      <c r="RU15" s="57"/>
      <c r="RV15" s="57"/>
      <c r="RW15" s="57"/>
      <c r="RX15" s="57"/>
      <c r="RY15" s="57"/>
      <c r="RZ15" s="57"/>
      <c r="SA15" s="57"/>
      <c r="SB15" s="57"/>
      <c r="SC15" s="59"/>
      <c r="SD15" s="59"/>
      <c r="SE15" s="59"/>
      <c r="SF15" s="59"/>
      <c r="SG15" s="59"/>
      <c r="SH15" s="59"/>
      <c r="SI15" s="59"/>
      <c r="SJ15" s="59"/>
      <c r="SK15" s="59"/>
      <c r="SL15" s="59"/>
      <c r="SM15" s="59"/>
      <c r="SN15" s="56"/>
      <c r="SO15" s="57"/>
      <c r="SP15" s="57"/>
      <c r="SQ15" s="57"/>
      <c r="SR15" s="57"/>
      <c r="SS15" s="57"/>
      <c r="ST15" s="57"/>
      <c r="SU15" s="57"/>
      <c r="SV15" s="57"/>
      <c r="SW15" s="57"/>
      <c r="SX15" s="57"/>
      <c r="SY15" s="59"/>
      <c r="SZ15" s="59"/>
      <c r="TA15" s="59"/>
      <c r="TB15" s="59"/>
      <c r="TC15" s="59"/>
      <c r="TD15" s="59"/>
      <c r="TE15" s="59"/>
      <c r="TF15" s="59"/>
      <c r="TG15" s="59"/>
      <c r="TH15" s="59"/>
      <c r="TI15" s="59"/>
      <c r="TJ15" s="56"/>
      <c r="TK15" s="57"/>
      <c r="TL15" s="57"/>
      <c r="TM15" s="57"/>
      <c r="TN15" s="57"/>
      <c r="TO15" s="57"/>
      <c r="TP15" s="57"/>
      <c r="TQ15" s="57"/>
      <c r="TR15" s="57"/>
      <c r="TS15" s="57"/>
      <c r="TT15" s="57"/>
      <c r="TU15" s="59"/>
      <c r="TV15" s="59"/>
      <c r="TW15" s="59"/>
      <c r="TX15" s="59"/>
      <c r="TY15" s="59"/>
      <c r="TZ15" s="59"/>
      <c r="UA15" s="59"/>
      <c r="UB15" s="59"/>
      <c r="UC15" s="59"/>
      <c r="UD15" s="59"/>
      <c r="UE15" s="59"/>
      <c r="UF15" s="56"/>
      <c r="UG15" s="57"/>
      <c r="UH15" s="57"/>
      <c r="UI15" s="57"/>
      <c r="UJ15" s="57"/>
      <c r="UK15" s="57"/>
      <c r="UL15" s="57"/>
      <c r="UM15" s="57"/>
      <c r="UN15" s="57"/>
      <c r="UO15" s="57"/>
      <c r="UP15" s="57"/>
      <c r="UQ15" s="59"/>
      <c r="UR15" s="59"/>
      <c r="US15" s="59"/>
      <c r="UT15" s="59"/>
      <c r="UU15" s="59"/>
      <c r="UV15" s="59"/>
      <c r="UW15" s="59"/>
      <c r="UX15" s="59"/>
      <c r="UY15" s="59"/>
      <c r="UZ15" s="59"/>
      <c r="VA15" s="59"/>
      <c r="VB15" s="56"/>
      <c r="VC15" s="57"/>
      <c r="VD15" s="57"/>
      <c r="VE15" s="57"/>
      <c r="VF15" s="57"/>
      <c r="VG15" s="57"/>
      <c r="VH15" s="57"/>
      <c r="VI15" s="57"/>
      <c r="VJ15" s="57"/>
      <c r="VK15" s="57"/>
      <c r="VL15" s="57"/>
      <c r="VM15" s="59"/>
      <c r="VN15" s="59"/>
      <c r="VO15" s="59"/>
      <c r="VP15" s="59"/>
      <c r="VQ15" s="59"/>
      <c r="VR15" s="59"/>
      <c r="VS15" s="59"/>
      <c r="VT15" s="59"/>
      <c r="VU15" s="59"/>
      <c r="VV15" s="59"/>
      <c r="VW15" s="59"/>
      <c r="VX15" s="56"/>
      <c r="VY15" s="57"/>
      <c r="VZ15" s="57"/>
      <c r="WA15" s="57"/>
      <c r="WB15" s="57"/>
      <c r="WC15" s="57"/>
      <c r="WD15" s="57"/>
      <c r="WE15" s="57"/>
      <c r="WF15" s="57"/>
      <c r="WG15" s="57"/>
      <c r="WH15" s="57"/>
      <c r="WI15" s="59"/>
      <c r="WJ15" s="59"/>
      <c r="WK15" s="59"/>
      <c r="WL15" s="59"/>
      <c r="WM15" s="59"/>
      <c r="WN15" s="59"/>
      <c r="WO15" s="59"/>
      <c r="WP15" s="59"/>
      <c r="WQ15" s="59"/>
      <c r="WR15" s="59"/>
      <c r="WS15" s="59"/>
      <c r="WT15" s="56"/>
      <c r="WU15" s="57"/>
      <c r="WV15" s="57"/>
      <c r="WW15" s="57"/>
      <c r="WX15" s="57"/>
      <c r="WY15" s="57"/>
      <c r="WZ15" s="57"/>
      <c r="XA15" s="57"/>
      <c r="XB15" s="57"/>
      <c r="XC15" s="57"/>
      <c r="XD15" s="57"/>
      <c r="XE15" s="59"/>
      <c r="XF15" s="59"/>
      <c r="XG15" s="59"/>
      <c r="XH15" s="59"/>
      <c r="XI15" s="59"/>
      <c r="XJ15" s="59"/>
      <c r="XK15" s="59"/>
      <c r="XL15" s="59"/>
      <c r="XM15" s="59"/>
      <c r="XN15" s="59"/>
      <c r="XO15" s="59"/>
      <c r="XP15" s="56"/>
      <c r="XQ15" s="57"/>
      <c r="XR15" s="57"/>
      <c r="XS15" s="57"/>
      <c r="XT15" s="57"/>
      <c r="XU15" s="57"/>
      <c r="XV15" s="57"/>
      <c r="XW15" s="57"/>
      <c r="XX15" s="57"/>
      <c r="XY15" s="57"/>
      <c r="XZ15" s="57"/>
      <c r="YA15" s="59"/>
      <c r="YB15" s="59"/>
      <c r="YC15" s="59"/>
      <c r="YD15" s="59"/>
      <c r="YE15" s="59"/>
      <c r="YF15" s="59"/>
      <c r="YG15" s="59"/>
      <c r="YH15" s="59"/>
      <c r="YI15" s="59"/>
      <c r="YJ15" s="59"/>
      <c r="YK15" s="59"/>
      <c r="YL15" s="56"/>
      <c r="YM15" s="57"/>
      <c r="YN15" s="57"/>
      <c r="YO15" s="57"/>
      <c r="YP15" s="57"/>
      <c r="YQ15" s="57"/>
      <c r="YR15" s="57"/>
      <c r="YS15" s="57"/>
      <c r="YT15" s="57"/>
      <c r="YU15" s="57"/>
      <c r="YV15" s="57"/>
      <c r="YW15" s="59"/>
      <c r="YX15" s="59"/>
      <c r="YY15" s="59"/>
      <c r="YZ15" s="59"/>
      <c r="ZA15" s="59"/>
      <c r="ZB15" s="59"/>
      <c r="ZC15" s="59"/>
      <c r="ZD15" s="59"/>
      <c r="ZE15" s="59"/>
      <c r="ZF15" s="59"/>
      <c r="ZG15" s="59"/>
      <c r="ZH15" s="56"/>
      <c r="ZI15" s="57"/>
      <c r="ZJ15" s="57"/>
      <c r="ZK15" s="57"/>
      <c r="ZL15" s="57"/>
      <c r="ZM15" s="57"/>
      <c r="ZN15" s="57"/>
      <c r="ZO15" s="57"/>
      <c r="ZP15" s="57"/>
      <c r="ZQ15" s="57"/>
      <c r="ZR15" s="57"/>
      <c r="ZS15" s="59"/>
      <c r="ZT15" s="59"/>
      <c r="ZU15" s="59"/>
      <c r="ZV15" s="59"/>
      <c r="ZW15" s="59"/>
      <c r="ZX15" s="59"/>
      <c r="ZY15" s="59"/>
      <c r="ZZ15" s="59"/>
      <c r="AAA15" s="59"/>
      <c r="AAB15" s="59"/>
      <c r="AAC15" s="59"/>
    </row>
    <row r="16" spans="1:705" x14ac:dyDescent="0.2">
      <c r="A16" s="1">
        <v>11</v>
      </c>
      <c r="B16" s="2"/>
      <c r="C16" s="2"/>
      <c r="D16" s="2"/>
      <c r="E16" s="2"/>
      <c r="F16" s="2"/>
      <c r="G16" s="2"/>
      <c r="H16" s="2"/>
      <c r="I16" s="2"/>
      <c r="J16" s="2"/>
      <c r="K16" s="2"/>
      <c r="L16" s="2"/>
      <c r="M16" s="3"/>
      <c r="N16" s="3"/>
      <c r="O16" s="3"/>
      <c r="P16" s="3"/>
      <c r="Q16" s="3"/>
      <c r="R16" s="3"/>
      <c r="S16" s="3"/>
      <c r="T16" s="3"/>
      <c r="U16" s="3"/>
      <c r="V16" s="3"/>
      <c r="W16" s="3"/>
      <c r="X16" s="2"/>
      <c r="Y16" s="2"/>
      <c r="Z16" s="2"/>
      <c r="AA16" s="2"/>
      <c r="AB16" s="2"/>
      <c r="AC16" s="2"/>
      <c r="AD16" s="2"/>
      <c r="AE16" s="2"/>
      <c r="AF16" s="2"/>
      <c r="AG16" s="2"/>
      <c r="AH16" s="2"/>
      <c r="AI16" s="3"/>
      <c r="AJ16" s="3"/>
      <c r="AK16" s="3"/>
      <c r="AL16" s="3"/>
      <c r="AM16" s="3"/>
      <c r="AN16" s="3"/>
      <c r="AO16" s="3"/>
      <c r="AP16" s="3"/>
      <c r="AQ16" s="3"/>
      <c r="AR16" s="3"/>
      <c r="AS16" s="3"/>
      <c r="AT16" s="2"/>
      <c r="AU16" s="2"/>
      <c r="AV16" s="2"/>
      <c r="AW16" s="2"/>
      <c r="AX16" s="2"/>
      <c r="AY16" s="2"/>
      <c r="AZ16" s="2"/>
      <c r="BA16" s="2"/>
      <c r="BB16" s="2"/>
      <c r="BC16" s="2"/>
      <c r="BD16" s="2"/>
      <c r="BE16" s="3"/>
      <c r="BF16" s="3"/>
      <c r="BG16" s="3"/>
      <c r="BH16" s="3"/>
      <c r="BI16" s="3"/>
      <c r="BJ16" s="3"/>
      <c r="BK16" s="3"/>
      <c r="BL16" s="3"/>
      <c r="BM16" s="3"/>
      <c r="BN16" s="3"/>
      <c r="BO16" s="3"/>
      <c r="BP16" s="2"/>
      <c r="BQ16" s="2"/>
      <c r="BR16" s="2"/>
      <c r="BS16" s="2"/>
      <c r="BT16" s="2"/>
      <c r="BU16" s="2"/>
      <c r="BV16" s="2"/>
      <c r="BW16" s="2"/>
      <c r="BX16" s="2"/>
      <c r="BY16" s="2"/>
      <c r="BZ16" s="2"/>
      <c r="CA16" s="3"/>
      <c r="CB16" s="3"/>
      <c r="CC16" s="3"/>
      <c r="CD16" s="3"/>
      <c r="CE16" s="3"/>
      <c r="CF16" s="3"/>
      <c r="CG16" s="3"/>
      <c r="CH16" s="3"/>
      <c r="CI16" s="3"/>
      <c r="CJ16" s="3"/>
      <c r="CK16" s="3"/>
      <c r="CL16" s="2"/>
      <c r="CM16" s="2"/>
      <c r="CN16" s="2"/>
      <c r="CO16" s="2"/>
      <c r="CP16" s="2"/>
      <c r="CQ16" s="2"/>
      <c r="CR16" s="2"/>
      <c r="CS16" s="2"/>
      <c r="CT16" s="2"/>
      <c r="CU16" s="2"/>
      <c r="CV16" s="2"/>
      <c r="CW16" s="3"/>
      <c r="CX16" s="3"/>
      <c r="CY16" s="3"/>
      <c r="CZ16" s="3"/>
      <c r="DA16" s="3"/>
      <c r="DB16" s="3"/>
      <c r="DC16" s="3"/>
      <c r="DD16" s="3"/>
      <c r="DE16" s="3"/>
      <c r="DF16" s="3"/>
      <c r="DG16" s="3"/>
      <c r="DH16" s="2"/>
      <c r="DI16" s="2"/>
      <c r="DJ16" s="2"/>
      <c r="DK16" s="2"/>
      <c r="DL16" s="2"/>
      <c r="DM16" s="2"/>
      <c r="DN16" s="2"/>
      <c r="DO16" s="2"/>
      <c r="DP16" s="2"/>
      <c r="DQ16" s="2"/>
      <c r="DR16" s="2"/>
      <c r="DS16" s="3"/>
      <c r="DT16" s="3"/>
      <c r="DU16" s="3"/>
      <c r="DV16" s="3"/>
      <c r="DW16" s="3"/>
      <c r="DX16" s="3"/>
      <c r="DY16" s="3"/>
      <c r="DZ16" s="3"/>
      <c r="EA16" s="3"/>
      <c r="EB16" s="3"/>
      <c r="EC16" s="3"/>
      <c r="ED16" s="2"/>
      <c r="EE16" s="2"/>
      <c r="EF16" s="2"/>
      <c r="EG16" s="2"/>
      <c r="EH16" s="2"/>
      <c r="EI16" s="2"/>
      <c r="EJ16" s="2"/>
      <c r="EK16" s="2"/>
      <c r="EL16" s="2"/>
      <c r="EM16" s="2"/>
      <c r="EN16" s="2"/>
      <c r="EO16" s="3"/>
      <c r="EP16" s="3"/>
      <c r="EQ16" s="3"/>
      <c r="ER16" s="3"/>
      <c r="ES16" s="3"/>
      <c r="ET16" s="3"/>
      <c r="EU16" s="3"/>
      <c r="EV16" s="3"/>
      <c r="EW16" s="3"/>
      <c r="EX16" s="3"/>
      <c r="EY16" s="3"/>
      <c r="EZ16" s="2"/>
      <c r="FA16" s="2"/>
      <c r="FB16" s="2"/>
      <c r="FC16" s="2"/>
      <c r="FD16" s="2"/>
      <c r="FE16" s="2"/>
      <c r="FF16" s="2"/>
      <c r="FG16" s="2"/>
      <c r="FH16" s="2"/>
      <c r="FI16" s="2"/>
      <c r="FJ16" s="2"/>
      <c r="FK16" s="3"/>
      <c r="FL16" s="3"/>
      <c r="FM16" s="3"/>
      <c r="FN16" s="3"/>
      <c r="FO16" s="3"/>
      <c r="FP16" s="3"/>
      <c r="FQ16" s="3"/>
      <c r="FR16" s="3"/>
      <c r="FS16" s="3"/>
      <c r="FT16" s="3"/>
      <c r="FU16" s="3"/>
      <c r="FV16" s="2"/>
      <c r="FW16" s="2"/>
      <c r="FX16" s="2"/>
      <c r="FY16" s="2"/>
      <c r="FZ16" s="2"/>
      <c r="GA16" s="2"/>
      <c r="GB16" s="2"/>
      <c r="GC16" s="2"/>
      <c r="GD16" s="2"/>
      <c r="GE16" s="2"/>
      <c r="GF16" s="2"/>
      <c r="GG16" s="3"/>
      <c r="GH16" s="3"/>
      <c r="GI16" s="3"/>
      <c r="GJ16" s="3"/>
      <c r="GK16" s="3"/>
      <c r="GL16" s="3"/>
      <c r="GM16" s="3"/>
      <c r="GN16" s="3"/>
      <c r="GO16" s="3"/>
      <c r="GP16" s="3"/>
      <c r="GQ16" s="3"/>
      <c r="GR16" s="2"/>
      <c r="GS16" s="2"/>
      <c r="GT16" s="2"/>
      <c r="GU16" s="2"/>
      <c r="GV16" s="2"/>
      <c r="GW16" s="2"/>
      <c r="GX16" s="2"/>
      <c r="GY16" s="2"/>
      <c r="GZ16" s="2"/>
      <c r="HA16" s="2"/>
      <c r="HB16" s="2"/>
      <c r="HC16" s="3"/>
      <c r="HD16" s="3"/>
      <c r="HE16" s="3"/>
      <c r="HF16" s="3"/>
      <c r="HG16" s="3"/>
      <c r="HH16" s="3"/>
      <c r="HI16" s="3"/>
      <c r="HJ16" s="3"/>
      <c r="HK16" s="3"/>
      <c r="HL16" s="3"/>
      <c r="HM16" s="3"/>
      <c r="HN16" s="2"/>
      <c r="HO16" s="2"/>
      <c r="HP16" s="2"/>
      <c r="HQ16" s="2"/>
      <c r="HR16" s="2"/>
      <c r="HS16" s="2"/>
      <c r="HT16" s="2"/>
      <c r="HU16" s="2"/>
      <c r="HV16" s="2"/>
      <c r="HW16" s="2"/>
      <c r="HX16" s="2"/>
      <c r="HY16" s="3"/>
      <c r="HZ16" s="3"/>
      <c r="IA16" s="3"/>
      <c r="IB16" s="3"/>
      <c r="IC16" s="3"/>
      <c r="ID16" s="3"/>
      <c r="IE16" s="3"/>
      <c r="IF16" s="3"/>
      <c r="IG16" s="3"/>
      <c r="IH16" s="3"/>
      <c r="II16" s="3"/>
      <c r="IJ16" s="2"/>
      <c r="IK16" s="2"/>
      <c r="IL16" s="2"/>
      <c r="IM16" s="2"/>
      <c r="IN16" s="2"/>
      <c r="IO16" s="2"/>
      <c r="IP16" s="2"/>
      <c r="IQ16" s="2"/>
      <c r="IR16" s="2"/>
      <c r="IS16" s="2"/>
      <c r="IT16" s="2"/>
      <c r="IU16" s="3"/>
      <c r="IV16" s="3"/>
      <c r="IW16" s="3"/>
      <c r="IX16" s="3"/>
      <c r="IY16" s="3"/>
      <c r="IZ16" s="3"/>
      <c r="JA16" s="3"/>
      <c r="JB16" s="3"/>
      <c r="JC16" s="3"/>
      <c r="JD16" s="3"/>
      <c r="JE16" s="3"/>
      <c r="JF16" s="2"/>
      <c r="JG16" s="2"/>
      <c r="JH16" s="2"/>
      <c r="JI16" s="2"/>
      <c r="JJ16" s="2"/>
      <c r="JK16" s="2"/>
      <c r="JL16" s="2"/>
      <c r="JM16" s="2"/>
      <c r="JN16" s="2"/>
      <c r="JO16" s="2"/>
      <c r="JP16" s="2"/>
      <c r="JQ16" s="3"/>
      <c r="JR16" s="3"/>
      <c r="JS16" s="3"/>
      <c r="JT16" s="3"/>
      <c r="JU16" s="3"/>
      <c r="JV16" s="3"/>
      <c r="JW16" s="3"/>
      <c r="JX16" s="3"/>
      <c r="JY16" s="3"/>
      <c r="JZ16" s="3"/>
      <c r="KA16" s="3"/>
      <c r="KB16" s="2"/>
      <c r="KC16" s="2"/>
      <c r="KD16" s="2"/>
      <c r="KE16" s="2"/>
      <c r="KF16" s="2"/>
      <c r="KG16" s="2"/>
      <c r="KH16" s="2"/>
      <c r="KI16" s="2"/>
      <c r="KJ16" s="2"/>
      <c r="KK16" s="2"/>
      <c r="KL16" s="2"/>
      <c r="KM16" s="3"/>
      <c r="KN16" s="3"/>
      <c r="KO16" s="3"/>
      <c r="KP16" s="3"/>
      <c r="KQ16" s="3"/>
      <c r="KR16" s="3"/>
      <c r="KS16" s="3"/>
      <c r="KT16" s="3"/>
      <c r="KU16" s="3"/>
      <c r="KV16" s="3"/>
      <c r="KW16" s="3"/>
      <c r="KX16" s="2"/>
      <c r="KY16" s="2"/>
      <c r="KZ16" s="2"/>
      <c r="LA16" s="2"/>
      <c r="LB16" s="2"/>
      <c r="LC16" s="2"/>
      <c r="LD16" s="2"/>
      <c r="LE16" s="2"/>
      <c r="LF16" s="2"/>
      <c r="LG16" s="2"/>
      <c r="LH16" s="2"/>
      <c r="LI16" s="3"/>
      <c r="LJ16" s="3"/>
      <c r="LK16" s="3"/>
      <c r="LL16" s="3"/>
      <c r="LM16" s="3"/>
      <c r="LN16" s="3"/>
      <c r="LO16" s="3"/>
      <c r="LP16" s="3"/>
      <c r="LQ16" s="3"/>
      <c r="LR16" s="3"/>
      <c r="LS16" s="3"/>
      <c r="LT16" s="2"/>
      <c r="LU16" s="2"/>
      <c r="LV16" s="2"/>
      <c r="LW16" s="2"/>
      <c r="LX16" s="2"/>
      <c r="LY16" s="2"/>
      <c r="LZ16" s="2"/>
      <c r="MA16" s="2"/>
      <c r="MB16" s="2"/>
      <c r="MC16" s="2"/>
      <c r="MD16" s="2"/>
      <c r="ME16" s="3"/>
      <c r="MF16" s="3"/>
      <c r="MG16" s="3"/>
      <c r="MH16" s="3"/>
      <c r="MI16" s="3"/>
      <c r="MJ16" s="3"/>
      <c r="MK16" s="3"/>
      <c r="ML16" s="3"/>
      <c r="MM16" s="3"/>
      <c r="MN16" s="3"/>
      <c r="MO16" s="3"/>
      <c r="MP16" s="2"/>
      <c r="MQ16" s="2"/>
      <c r="MR16" s="2"/>
      <c r="MS16" s="2"/>
      <c r="MT16" s="2"/>
      <c r="MU16" s="2"/>
      <c r="MV16" s="2"/>
      <c r="MW16" s="2"/>
      <c r="MX16" s="2"/>
      <c r="MY16" s="2"/>
      <c r="MZ16" s="2"/>
      <c r="NA16" s="3"/>
      <c r="NB16" s="3"/>
      <c r="NC16" s="3"/>
      <c r="ND16" s="3"/>
      <c r="NE16" s="3"/>
      <c r="NF16" s="3"/>
      <c r="NG16" s="3"/>
      <c r="NH16" s="3"/>
      <c r="NI16" s="3"/>
      <c r="NJ16" s="3"/>
      <c r="NK16" s="3"/>
      <c r="NL16" s="56"/>
      <c r="NM16" s="57"/>
      <c r="NN16" s="57"/>
      <c r="NO16" s="57"/>
      <c r="NP16" s="57"/>
      <c r="NQ16" s="57"/>
      <c r="NR16" s="57"/>
      <c r="NS16" s="57"/>
      <c r="NT16" s="57"/>
      <c r="NU16" s="57"/>
      <c r="NV16" s="57"/>
      <c r="NW16" s="59"/>
      <c r="NX16" s="59"/>
      <c r="NY16" s="59"/>
      <c r="NZ16" s="59"/>
      <c r="OA16" s="59"/>
      <c r="OB16" s="59"/>
      <c r="OC16" s="59"/>
      <c r="OD16" s="59"/>
      <c r="OE16" s="59"/>
      <c r="OF16" s="59"/>
      <c r="OG16" s="59"/>
      <c r="OH16" s="56"/>
      <c r="OI16" s="57"/>
      <c r="OJ16" s="57"/>
      <c r="OK16" s="57"/>
      <c r="OL16" s="57"/>
      <c r="OM16" s="57"/>
      <c r="ON16" s="57"/>
      <c r="OO16" s="57"/>
      <c r="OP16" s="57"/>
      <c r="OQ16" s="57"/>
      <c r="OR16" s="57"/>
      <c r="OS16" s="59"/>
      <c r="OT16" s="59"/>
      <c r="OU16" s="59"/>
      <c r="OV16" s="59"/>
      <c r="OW16" s="59"/>
      <c r="OX16" s="59"/>
      <c r="OY16" s="59"/>
      <c r="OZ16" s="59"/>
      <c r="PA16" s="59"/>
      <c r="PB16" s="59"/>
      <c r="PC16" s="59"/>
      <c r="PD16" s="56"/>
      <c r="PE16" s="57"/>
      <c r="PF16" s="57"/>
      <c r="PG16" s="57"/>
      <c r="PH16" s="57"/>
      <c r="PI16" s="57"/>
      <c r="PJ16" s="57"/>
      <c r="PK16" s="57"/>
      <c r="PL16" s="57"/>
      <c r="PM16" s="57"/>
      <c r="PN16" s="57"/>
      <c r="PO16" s="59"/>
      <c r="PP16" s="59"/>
      <c r="PQ16" s="59"/>
      <c r="PR16" s="59"/>
      <c r="PS16" s="59"/>
      <c r="PT16" s="59"/>
      <c r="PU16" s="59"/>
      <c r="PV16" s="59"/>
      <c r="PW16" s="59"/>
      <c r="PX16" s="59"/>
      <c r="PY16" s="59"/>
      <c r="PZ16" s="56"/>
      <c r="QA16" s="57"/>
      <c r="QB16" s="57"/>
      <c r="QC16" s="57"/>
      <c r="QD16" s="57"/>
      <c r="QE16" s="57"/>
      <c r="QF16" s="57"/>
      <c r="QG16" s="57"/>
      <c r="QH16" s="57"/>
      <c r="QI16" s="57"/>
      <c r="QJ16" s="57"/>
      <c r="QK16" s="59"/>
      <c r="QL16" s="59"/>
      <c r="QM16" s="59"/>
      <c r="QN16" s="59"/>
      <c r="QO16" s="59"/>
      <c r="QP16" s="59"/>
      <c r="QQ16" s="59"/>
      <c r="QR16" s="59"/>
      <c r="QS16" s="59"/>
      <c r="QT16" s="59"/>
      <c r="QU16" s="59"/>
      <c r="QV16" s="56"/>
      <c r="QW16" s="57"/>
      <c r="QX16" s="57"/>
      <c r="QY16" s="57"/>
      <c r="QZ16" s="57"/>
      <c r="RA16" s="57"/>
      <c r="RB16" s="57"/>
      <c r="RC16" s="57"/>
      <c r="RD16" s="57"/>
      <c r="RE16" s="57"/>
      <c r="RF16" s="57"/>
      <c r="RG16" s="59"/>
      <c r="RH16" s="59"/>
      <c r="RI16" s="59"/>
      <c r="RJ16" s="59"/>
      <c r="RK16" s="59"/>
      <c r="RL16" s="59"/>
      <c r="RM16" s="59"/>
      <c r="RN16" s="59"/>
      <c r="RO16" s="59"/>
      <c r="RP16" s="59"/>
      <c r="RQ16" s="59"/>
      <c r="RR16" s="56"/>
      <c r="RS16" s="57"/>
      <c r="RT16" s="57"/>
      <c r="RU16" s="57"/>
      <c r="RV16" s="57"/>
      <c r="RW16" s="57"/>
      <c r="RX16" s="57"/>
      <c r="RY16" s="57"/>
      <c r="RZ16" s="57"/>
      <c r="SA16" s="57"/>
      <c r="SB16" s="57"/>
      <c r="SC16" s="59"/>
      <c r="SD16" s="59"/>
      <c r="SE16" s="59"/>
      <c r="SF16" s="59"/>
      <c r="SG16" s="59"/>
      <c r="SH16" s="59"/>
      <c r="SI16" s="59"/>
      <c r="SJ16" s="59"/>
      <c r="SK16" s="59"/>
      <c r="SL16" s="59"/>
      <c r="SM16" s="59"/>
      <c r="SN16" s="56"/>
      <c r="SO16" s="57"/>
      <c r="SP16" s="57"/>
      <c r="SQ16" s="57"/>
      <c r="SR16" s="57"/>
      <c r="SS16" s="57"/>
      <c r="ST16" s="57"/>
      <c r="SU16" s="57"/>
      <c r="SV16" s="57"/>
      <c r="SW16" s="57"/>
      <c r="SX16" s="57"/>
      <c r="SY16" s="59"/>
      <c r="SZ16" s="59"/>
      <c r="TA16" s="59"/>
      <c r="TB16" s="59"/>
      <c r="TC16" s="59"/>
      <c r="TD16" s="59"/>
      <c r="TE16" s="59"/>
      <c r="TF16" s="59"/>
      <c r="TG16" s="59"/>
      <c r="TH16" s="59"/>
      <c r="TI16" s="59"/>
      <c r="TJ16" s="56"/>
      <c r="TK16" s="57"/>
      <c r="TL16" s="57"/>
      <c r="TM16" s="57"/>
      <c r="TN16" s="57"/>
      <c r="TO16" s="57"/>
      <c r="TP16" s="57"/>
      <c r="TQ16" s="57"/>
      <c r="TR16" s="57"/>
      <c r="TS16" s="57"/>
      <c r="TT16" s="57"/>
      <c r="TU16" s="59"/>
      <c r="TV16" s="59"/>
      <c r="TW16" s="59"/>
      <c r="TX16" s="59"/>
      <c r="TY16" s="59"/>
      <c r="TZ16" s="59"/>
      <c r="UA16" s="59"/>
      <c r="UB16" s="59"/>
      <c r="UC16" s="59"/>
      <c r="UD16" s="59"/>
      <c r="UE16" s="59"/>
      <c r="UF16" s="56"/>
      <c r="UG16" s="57"/>
      <c r="UH16" s="57"/>
      <c r="UI16" s="57"/>
      <c r="UJ16" s="57"/>
      <c r="UK16" s="57"/>
      <c r="UL16" s="57"/>
      <c r="UM16" s="57"/>
      <c r="UN16" s="57"/>
      <c r="UO16" s="57"/>
      <c r="UP16" s="57"/>
      <c r="UQ16" s="59"/>
      <c r="UR16" s="59"/>
      <c r="US16" s="59"/>
      <c r="UT16" s="59"/>
      <c r="UU16" s="59"/>
      <c r="UV16" s="59"/>
      <c r="UW16" s="59"/>
      <c r="UX16" s="59"/>
      <c r="UY16" s="59"/>
      <c r="UZ16" s="59"/>
      <c r="VA16" s="59"/>
      <c r="VB16" s="56"/>
      <c r="VC16" s="57"/>
      <c r="VD16" s="57"/>
      <c r="VE16" s="57"/>
      <c r="VF16" s="57"/>
      <c r="VG16" s="57"/>
      <c r="VH16" s="57"/>
      <c r="VI16" s="57"/>
      <c r="VJ16" s="57"/>
      <c r="VK16" s="57"/>
      <c r="VL16" s="57"/>
      <c r="VM16" s="59"/>
      <c r="VN16" s="59"/>
      <c r="VO16" s="59"/>
      <c r="VP16" s="59"/>
      <c r="VQ16" s="59"/>
      <c r="VR16" s="59"/>
      <c r="VS16" s="59"/>
      <c r="VT16" s="59"/>
      <c r="VU16" s="59"/>
      <c r="VV16" s="59"/>
      <c r="VW16" s="59"/>
      <c r="VX16" s="56"/>
      <c r="VY16" s="57"/>
      <c r="VZ16" s="57"/>
      <c r="WA16" s="57"/>
      <c r="WB16" s="57"/>
      <c r="WC16" s="57"/>
      <c r="WD16" s="57"/>
      <c r="WE16" s="57"/>
      <c r="WF16" s="57"/>
      <c r="WG16" s="57"/>
      <c r="WH16" s="57"/>
      <c r="WI16" s="59"/>
      <c r="WJ16" s="59"/>
      <c r="WK16" s="59"/>
      <c r="WL16" s="59"/>
      <c r="WM16" s="59"/>
      <c r="WN16" s="59"/>
      <c r="WO16" s="59"/>
      <c r="WP16" s="59"/>
      <c r="WQ16" s="59"/>
      <c r="WR16" s="59"/>
      <c r="WS16" s="59"/>
      <c r="WT16" s="56"/>
      <c r="WU16" s="57"/>
      <c r="WV16" s="57"/>
      <c r="WW16" s="57"/>
      <c r="WX16" s="57"/>
      <c r="WY16" s="57"/>
      <c r="WZ16" s="57"/>
      <c r="XA16" s="57"/>
      <c r="XB16" s="57"/>
      <c r="XC16" s="57"/>
      <c r="XD16" s="57"/>
      <c r="XE16" s="59"/>
      <c r="XF16" s="59"/>
      <c r="XG16" s="59"/>
      <c r="XH16" s="59"/>
      <c r="XI16" s="59"/>
      <c r="XJ16" s="59"/>
      <c r="XK16" s="59"/>
      <c r="XL16" s="59"/>
      <c r="XM16" s="59"/>
      <c r="XN16" s="59"/>
      <c r="XO16" s="59"/>
      <c r="XP16" s="56"/>
      <c r="XQ16" s="57"/>
      <c r="XR16" s="57"/>
      <c r="XS16" s="57"/>
      <c r="XT16" s="57"/>
      <c r="XU16" s="57"/>
      <c r="XV16" s="57"/>
      <c r="XW16" s="57"/>
      <c r="XX16" s="57"/>
      <c r="XY16" s="57"/>
      <c r="XZ16" s="57"/>
      <c r="YA16" s="59"/>
      <c r="YB16" s="59"/>
      <c r="YC16" s="59"/>
      <c r="YD16" s="59"/>
      <c r="YE16" s="59"/>
      <c r="YF16" s="59"/>
      <c r="YG16" s="59"/>
      <c r="YH16" s="59"/>
      <c r="YI16" s="59"/>
      <c r="YJ16" s="59"/>
      <c r="YK16" s="59"/>
      <c r="YL16" s="56"/>
      <c r="YM16" s="57"/>
      <c r="YN16" s="57"/>
      <c r="YO16" s="57"/>
      <c r="YP16" s="57"/>
      <c r="YQ16" s="57"/>
      <c r="YR16" s="57"/>
      <c r="YS16" s="57"/>
      <c r="YT16" s="57"/>
      <c r="YU16" s="57"/>
      <c r="YV16" s="57"/>
      <c r="YW16" s="59"/>
      <c r="YX16" s="59"/>
      <c r="YY16" s="59"/>
      <c r="YZ16" s="59"/>
      <c r="ZA16" s="59"/>
      <c r="ZB16" s="59"/>
      <c r="ZC16" s="59"/>
      <c r="ZD16" s="59"/>
      <c r="ZE16" s="59"/>
      <c r="ZF16" s="59"/>
      <c r="ZG16" s="59"/>
      <c r="ZH16" s="56"/>
      <c r="ZI16" s="57"/>
      <c r="ZJ16" s="57"/>
      <c r="ZK16" s="57"/>
      <c r="ZL16" s="57"/>
      <c r="ZM16" s="57"/>
      <c r="ZN16" s="57"/>
      <c r="ZO16" s="57"/>
      <c r="ZP16" s="57"/>
      <c r="ZQ16" s="57"/>
      <c r="ZR16" s="57"/>
      <c r="ZS16" s="59"/>
      <c r="ZT16" s="59"/>
      <c r="ZU16" s="59"/>
      <c r="ZV16" s="59"/>
      <c r="ZW16" s="59"/>
      <c r="ZX16" s="59"/>
      <c r="ZY16" s="59"/>
      <c r="ZZ16" s="59"/>
      <c r="AAA16" s="59"/>
      <c r="AAB16" s="59"/>
      <c r="AAC16" s="59"/>
    </row>
    <row r="17" spans="1:705" x14ac:dyDescent="0.2">
      <c r="A17" s="1">
        <v>12</v>
      </c>
      <c r="B17" s="2"/>
      <c r="C17" s="2"/>
      <c r="D17" s="2"/>
      <c r="E17" s="2"/>
      <c r="F17" s="2"/>
      <c r="G17" s="2"/>
      <c r="H17" s="2"/>
      <c r="I17" s="2"/>
      <c r="J17" s="2"/>
      <c r="K17" s="2"/>
      <c r="L17" s="2"/>
      <c r="M17" s="3"/>
      <c r="N17" s="3"/>
      <c r="O17" s="3"/>
      <c r="P17" s="3"/>
      <c r="Q17" s="3"/>
      <c r="R17" s="3"/>
      <c r="S17" s="3"/>
      <c r="T17" s="3"/>
      <c r="U17" s="3"/>
      <c r="V17" s="3"/>
      <c r="W17" s="3"/>
      <c r="X17" s="2"/>
      <c r="Y17" s="2"/>
      <c r="Z17" s="2"/>
      <c r="AA17" s="2"/>
      <c r="AB17" s="2"/>
      <c r="AC17" s="2"/>
      <c r="AD17" s="2"/>
      <c r="AE17" s="2"/>
      <c r="AF17" s="2"/>
      <c r="AG17" s="2"/>
      <c r="AH17" s="2"/>
      <c r="AI17" s="3"/>
      <c r="AJ17" s="3"/>
      <c r="AK17" s="3"/>
      <c r="AL17" s="3"/>
      <c r="AM17" s="3"/>
      <c r="AN17" s="3"/>
      <c r="AO17" s="3"/>
      <c r="AP17" s="3"/>
      <c r="AQ17" s="3"/>
      <c r="AR17" s="3"/>
      <c r="AS17" s="3"/>
      <c r="AT17" s="2"/>
      <c r="AU17" s="2"/>
      <c r="AV17" s="2"/>
      <c r="AW17" s="2"/>
      <c r="AX17" s="2"/>
      <c r="AY17" s="2"/>
      <c r="AZ17" s="2"/>
      <c r="BA17" s="2"/>
      <c r="BB17" s="2"/>
      <c r="BC17" s="2"/>
      <c r="BD17" s="2"/>
      <c r="BE17" s="3"/>
      <c r="BF17" s="3"/>
      <c r="BG17" s="3"/>
      <c r="BH17" s="3"/>
      <c r="BI17" s="3"/>
      <c r="BJ17" s="3"/>
      <c r="BK17" s="3"/>
      <c r="BL17" s="3"/>
      <c r="BM17" s="3"/>
      <c r="BN17" s="3"/>
      <c r="BO17" s="3"/>
      <c r="BP17" s="2"/>
      <c r="BQ17" s="2"/>
      <c r="BR17" s="2"/>
      <c r="BS17" s="2"/>
      <c r="BT17" s="2"/>
      <c r="BU17" s="2"/>
      <c r="BV17" s="2"/>
      <c r="BW17" s="2"/>
      <c r="BX17" s="2"/>
      <c r="BY17" s="2"/>
      <c r="BZ17" s="2"/>
      <c r="CA17" s="3"/>
      <c r="CB17" s="3"/>
      <c r="CC17" s="3"/>
      <c r="CD17" s="3"/>
      <c r="CE17" s="3"/>
      <c r="CF17" s="3"/>
      <c r="CG17" s="3"/>
      <c r="CH17" s="3"/>
      <c r="CI17" s="3"/>
      <c r="CJ17" s="3"/>
      <c r="CK17" s="3"/>
      <c r="CL17" s="2"/>
      <c r="CM17" s="2"/>
      <c r="CN17" s="2"/>
      <c r="CO17" s="2"/>
      <c r="CP17" s="2"/>
      <c r="CQ17" s="2"/>
      <c r="CR17" s="2"/>
      <c r="CS17" s="2"/>
      <c r="CT17" s="2"/>
      <c r="CU17" s="2"/>
      <c r="CV17" s="2"/>
      <c r="CW17" s="3"/>
      <c r="CX17" s="3"/>
      <c r="CY17" s="3"/>
      <c r="CZ17" s="3"/>
      <c r="DA17" s="3"/>
      <c r="DB17" s="3"/>
      <c r="DC17" s="3"/>
      <c r="DD17" s="3"/>
      <c r="DE17" s="3"/>
      <c r="DF17" s="3"/>
      <c r="DG17" s="3"/>
      <c r="DH17" s="2"/>
      <c r="DI17" s="2"/>
      <c r="DJ17" s="2"/>
      <c r="DK17" s="2"/>
      <c r="DL17" s="2"/>
      <c r="DM17" s="2"/>
      <c r="DN17" s="2"/>
      <c r="DO17" s="2"/>
      <c r="DP17" s="2"/>
      <c r="DQ17" s="2"/>
      <c r="DR17" s="2"/>
      <c r="DS17" s="3"/>
      <c r="DT17" s="3"/>
      <c r="DU17" s="3"/>
      <c r="DV17" s="3"/>
      <c r="DW17" s="3"/>
      <c r="DX17" s="3"/>
      <c r="DY17" s="3"/>
      <c r="DZ17" s="3"/>
      <c r="EA17" s="3"/>
      <c r="EB17" s="3"/>
      <c r="EC17" s="3"/>
      <c r="ED17" s="2"/>
      <c r="EE17" s="2"/>
      <c r="EF17" s="2"/>
      <c r="EG17" s="2"/>
      <c r="EH17" s="2"/>
      <c r="EI17" s="2"/>
      <c r="EJ17" s="2"/>
      <c r="EK17" s="2"/>
      <c r="EL17" s="2"/>
      <c r="EM17" s="2"/>
      <c r="EN17" s="2"/>
      <c r="EO17" s="3"/>
      <c r="EP17" s="3"/>
      <c r="EQ17" s="3"/>
      <c r="ER17" s="3"/>
      <c r="ES17" s="3"/>
      <c r="ET17" s="3"/>
      <c r="EU17" s="3"/>
      <c r="EV17" s="3"/>
      <c r="EW17" s="3"/>
      <c r="EX17" s="3"/>
      <c r="EY17" s="3"/>
      <c r="EZ17" s="2"/>
      <c r="FA17" s="2"/>
      <c r="FB17" s="2"/>
      <c r="FC17" s="2"/>
      <c r="FD17" s="2"/>
      <c r="FE17" s="2"/>
      <c r="FF17" s="2"/>
      <c r="FG17" s="2"/>
      <c r="FH17" s="2"/>
      <c r="FI17" s="2"/>
      <c r="FJ17" s="2"/>
      <c r="FK17" s="3"/>
      <c r="FL17" s="3"/>
      <c r="FM17" s="3"/>
      <c r="FN17" s="3"/>
      <c r="FO17" s="3"/>
      <c r="FP17" s="3"/>
      <c r="FQ17" s="3"/>
      <c r="FR17" s="3"/>
      <c r="FS17" s="3"/>
      <c r="FT17" s="3"/>
      <c r="FU17" s="3"/>
      <c r="FV17" s="2"/>
      <c r="FW17" s="2"/>
      <c r="FX17" s="2"/>
      <c r="FY17" s="2"/>
      <c r="FZ17" s="2"/>
      <c r="GA17" s="2"/>
      <c r="GB17" s="2"/>
      <c r="GC17" s="2"/>
      <c r="GD17" s="2"/>
      <c r="GE17" s="2"/>
      <c r="GF17" s="2"/>
      <c r="GG17" s="3"/>
      <c r="GH17" s="3"/>
      <c r="GI17" s="3"/>
      <c r="GJ17" s="3"/>
      <c r="GK17" s="3"/>
      <c r="GL17" s="3"/>
      <c r="GM17" s="3"/>
      <c r="GN17" s="3"/>
      <c r="GO17" s="3"/>
      <c r="GP17" s="3"/>
      <c r="GQ17" s="3"/>
      <c r="GR17" s="2"/>
      <c r="GS17" s="2"/>
      <c r="GT17" s="2"/>
      <c r="GU17" s="2"/>
      <c r="GV17" s="2"/>
      <c r="GW17" s="2"/>
      <c r="GX17" s="2"/>
      <c r="GY17" s="2"/>
      <c r="GZ17" s="2"/>
      <c r="HA17" s="2"/>
      <c r="HB17" s="2"/>
      <c r="HC17" s="3"/>
      <c r="HD17" s="3"/>
      <c r="HE17" s="3"/>
      <c r="HF17" s="3"/>
      <c r="HG17" s="3"/>
      <c r="HH17" s="3"/>
      <c r="HI17" s="3"/>
      <c r="HJ17" s="3"/>
      <c r="HK17" s="3"/>
      <c r="HL17" s="3"/>
      <c r="HM17" s="3"/>
      <c r="HN17" s="2"/>
      <c r="HO17" s="2"/>
      <c r="HP17" s="2"/>
      <c r="HQ17" s="2"/>
      <c r="HR17" s="2"/>
      <c r="HS17" s="2"/>
      <c r="HT17" s="2"/>
      <c r="HU17" s="2"/>
      <c r="HV17" s="2"/>
      <c r="HW17" s="2"/>
      <c r="HX17" s="2"/>
      <c r="HY17" s="3"/>
      <c r="HZ17" s="3"/>
      <c r="IA17" s="3"/>
      <c r="IB17" s="3"/>
      <c r="IC17" s="3"/>
      <c r="ID17" s="3"/>
      <c r="IE17" s="3"/>
      <c r="IF17" s="3"/>
      <c r="IG17" s="3"/>
      <c r="IH17" s="3"/>
      <c r="II17" s="3"/>
      <c r="IJ17" s="2"/>
      <c r="IK17" s="2"/>
      <c r="IL17" s="2"/>
      <c r="IM17" s="2"/>
      <c r="IN17" s="2"/>
      <c r="IO17" s="2"/>
      <c r="IP17" s="2"/>
      <c r="IQ17" s="2"/>
      <c r="IR17" s="2"/>
      <c r="IS17" s="2"/>
      <c r="IT17" s="2"/>
      <c r="IU17" s="3"/>
      <c r="IV17" s="3"/>
      <c r="IW17" s="3"/>
      <c r="IX17" s="3"/>
      <c r="IY17" s="3"/>
      <c r="IZ17" s="3"/>
      <c r="JA17" s="3"/>
      <c r="JB17" s="3"/>
      <c r="JC17" s="3"/>
      <c r="JD17" s="3"/>
      <c r="JE17" s="3"/>
      <c r="JF17" s="2"/>
      <c r="JG17" s="2"/>
      <c r="JH17" s="2"/>
      <c r="JI17" s="2"/>
      <c r="JJ17" s="2"/>
      <c r="JK17" s="2"/>
      <c r="JL17" s="2"/>
      <c r="JM17" s="2"/>
      <c r="JN17" s="2"/>
      <c r="JO17" s="2"/>
      <c r="JP17" s="2"/>
      <c r="JQ17" s="3"/>
      <c r="JR17" s="3"/>
      <c r="JS17" s="3"/>
      <c r="JT17" s="3"/>
      <c r="JU17" s="3"/>
      <c r="JV17" s="3"/>
      <c r="JW17" s="3"/>
      <c r="JX17" s="3"/>
      <c r="JY17" s="3"/>
      <c r="JZ17" s="3"/>
      <c r="KA17" s="3"/>
      <c r="KB17" s="2"/>
      <c r="KC17" s="2"/>
      <c r="KD17" s="2"/>
      <c r="KE17" s="2"/>
      <c r="KF17" s="2"/>
      <c r="KG17" s="2"/>
      <c r="KH17" s="2"/>
      <c r="KI17" s="2"/>
      <c r="KJ17" s="2"/>
      <c r="KK17" s="2"/>
      <c r="KL17" s="2"/>
      <c r="KM17" s="3"/>
      <c r="KN17" s="3"/>
      <c r="KO17" s="3"/>
      <c r="KP17" s="3"/>
      <c r="KQ17" s="3"/>
      <c r="KR17" s="3"/>
      <c r="KS17" s="3"/>
      <c r="KT17" s="3"/>
      <c r="KU17" s="3"/>
      <c r="KV17" s="3"/>
      <c r="KW17" s="3"/>
      <c r="KX17" s="2"/>
      <c r="KY17" s="2"/>
      <c r="KZ17" s="2"/>
      <c r="LA17" s="2"/>
      <c r="LB17" s="2"/>
      <c r="LC17" s="2"/>
      <c r="LD17" s="2"/>
      <c r="LE17" s="2"/>
      <c r="LF17" s="2"/>
      <c r="LG17" s="2"/>
      <c r="LH17" s="2"/>
      <c r="LI17" s="3"/>
      <c r="LJ17" s="3"/>
      <c r="LK17" s="3"/>
      <c r="LL17" s="3"/>
      <c r="LM17" s="3"/>
      <c r="LN17" s="3"/>
      <c r="LO17" s="3"/>
      <c r="LP17" s="3"/>
      <c r="LQ17" s="3"/>
      <c r="LR17" s="3"/>
      <c r="LS17" s="3"/>
      <c r="LT17" s="2"/>
      <c r="LU17" s="2"/>
      <c r="LV17" s="2"/>
      <c r="LW17" s="2"/>
      <c r="LX17" s="2"/>
      <c r="LY17" s="2"/>
      <c r="LZ17" s="2"/>
      <c r="MA17" s="2"/>
      <c r="MB17" s="2"/>
      <c r="MC17" s="2"/>
      <c r="MD17" s="2"/>
      <c r="ME17" s="3"/>
      <c r="MF17" s="3"/>
      <c r="MG17" s="3"/>
      <c r="MH17" s="3"/>
      <c r="MI17" s="3"/>
      <c r="MJ17" s="3"/>
      <c r="MK17" s="3"/>
      <c r="ML17" s="3"/>
      <c r="MM17" s="3"/>
      <c r="MN17" s="3"/>
      <c r="MO17" s="3"/>
      <c r="MP17" s="2"/>
      <c r="MQ17" s="2"/>
      <c r="MR17" s="2"/>
      <c r="MS17" s="2"/>
      <c r="MT17" s="2"/>
      <c r="MU17" s="2"/>
      <c r="MV17" s="2"/>
      <c r="MW17" s="2"/>
      <c r="MX17" s="2"/>
      <c r="MY17" s="2"/>
      <c r="MZ17" s="2"/>
      <c r="NA17" s="3"/>
      <c r="NB17" s="3"/>
      <c r="NC17" s="3"/>
      <c r="ND17" s="3"/>
      <c r="NE17" s="3"/>
      <c r="NF17" s="3"/>
      <c r="NG17" s="3"/>
      <c r="NH17" s="3"/>
      <c r="NI17" s="3"/>
      <c r="NJ17" s="3"/>
      <c r="NK17" s="3"/>
      <c r="NL17" s="56"/>
      <c r="NM17" s="57"/>
      <c r="NN17" s="57"/>
      <c r="NO17" s="57"/>
      <c r="NP17" s="57"/>
      <c r="NQ17" s="57"/>
      <c r="NR17" s="57"/>
      <c r="NS17" s="57"/>
      <c r="NT17" s="57"/>
      <c r="NU17" s="57"/>
      <c r="NV17" s="57"/>
      <c r="NW17" s="59"/>
      <c r="NX17" s="59"/>
      <c r="NY17" s="59"/>
      <c r="NZ17" s="59"/>
      <c r="OA17" s="59"/>
      <c r="OB17" s="59"/>
      <c r="OC17" s="59"/>
      <c r="OD17" s="59"/>
      <c r="OE17" s="59"/>
      <c r="OF17" s="59"/>
      <c r="OG17" s="59"/>
      <c r="OH17" s="56"/>
      <c r="OI17" s="57"/>
      <c r="OJ17" s="57"/>
      <c r="OK17" s="57"/>
      <c r="OL17" s="57"/>
      <c r="OM17" s="57"/>
      <c r="ON17" s="57"/>
      <c r="OO17" s="57"/>
      <c r="OP17" s="57"/>
      <c r="OQ17" s="57"/>
      <c r="OR17" s="57"/>
      <c r="OS17" s="59"/>
      <c r="OT17" s="59"/>
      <c r="OU17" s="59"/>
      <c r="OV17" s="59"/>
      <c r="OW17" s="59"/>
      <c r="OX17" s="59"/>
      <c r="OY17" s="59"/>
      <c r="OZ17" s="59"/>
      <c r="PA17" s="59"/>
      <c r="PB17" s="59"/>
      <c r="PC17" s="59"/>
      <c r="PD17" s="56"/>
      <c r="PE17" s="57"/>
      <c r="PF17" s="57"/>
      <c r="PG17" s="57"/>
      <c r="PH17" s="57"/>
      <c r="PI17" s="57"/>
      <c r="PJ17" s="57"/>
      <c r="PK17" s="57"/>
      <c r="PL17" s="57"/>
      <c r="PM17" s="57"/>
      <c r="PN17" s="57"/>
      <c r="PO17" s="59"/>
      <c r="PP17" s="59"/>
      <c r="PQ17" s="59"/>
      <c r="PR17" s="59"/>
      <c r="PS17" s="59"/>
      <c r="PT17" s="59"/>
      <c r="PU17" s="59"/>
      <c r="PV17" s="59"/>
      <c r="PW17" s="59"/>
      <c r="PX17" s="59"/>
      <c r="PY17" s="59"/>
      <c r="PZ17" s="56"/>
      <c r="QA17" s="57"/>
      <c r="QB17" s="57"/>
      <c r="QC17" s="57"/>
      <c r="QD17" s="57"/>
      <c r="QE17" s="57"/>
      <c r="QF17" s="57"/>
      <c r="QG17" s="57"/>
      <c r="QH17" s="57"/>
      <c r="QI17" s="57"/>
      <c r="QJ17" s="57"/>
      <c r="QK17" s="59"/>
      <c r="QL17" s="59"/>
      <c r="QM17" s="59"/>
      <c r="QN17" s="59"/>
      <c r="QO17" s="59"/>
      <c r="QP17" s="59"/>
      <c r="QQ17" s="59"/>
      <c r="QR17" s="59"/>
      <c r="QS17" s="59"/>
      <c r="QT17" s="59"/>
      <c r="QU17" s="59"/>
      <c r="QV17" s="56"/>
      <c r="QW17" s="57"/>
      <c r="QX17" s="57"/>
      <c r="QY17" s="57"/>
      <c r="QZ17" s="57"/>
      <c r="RA17" s="57"/>
      <c r="RB17" s="57"/>
      <c r="RC17" s="57"/>
      <c r="RD17" s="57"/>
      <c r="RE17" s="57"/>
      <c r="RF17" s="57"/>
      <c r="RG17" s="59"/>
      <c r="RH17" s="59"/>
      <c r="RI17" s="59"/>
      <c r="RJ17" s="59"/>
      <c r="RK17" s="59"/>
      <c r="RL17" s="59"/>
      <c r="RM17" s="59"/>
      <c r="RN17" s="59"/>
      <c r="RO17" s="59"/>
      <c r="RP17" s="59"/>
      <c r="RQ17" s="59"/>
      <c r="RR17" s="56"/>
      <c r="RS17" s="57"/>
      <c r="RT17" s="57"/>
      <c r="RU17" s="57"/>
      <c r="RV17" s="57"/>
      <c r="RW17" s="57"/>
      <c r="RX17" s="57"/>
      <c r="RY17" s="57"/>
      <c r="RZ17" s="57"/>
      <c r="SA17" s="57"/>
      <c r="SB17" s="57"/>
      <c r="SC17" s="59"/>
      <c r="SD17" s="59"/>
      <c r="SE17" s="59"/>
      <c r="SF17" s="59"/>
      <c r="SG17" s="59"/>
      <c r="SH17" s="59"/>
      <c r="SI17" s="59"/>
      <c r="SJ17" s="59"/>
      <c r="SK17" s="59"/>
      <c r="SL17" s="59"/>
      <c r="SM17" s="59"/>
      <c r="SN17" s="56"/>
      <c r="SO17" s="57"/>
      <c r="SP17" s="57"/>
      <c r="SQ17" s="57"/>
      <c r="SR17" s="57"/>
      <c r="SS17" s="57"/>
      <c r="ST17" s="57"/>
      <c r="SU17" s="57"/>
      <c r="SV17" s="57"/>
      <c r="SW17" s="57"/>
      <c r="SX17" s="57"/>
      <c r="SY17" s="59"/>
      <c r="SZ17" s="59"/>
      <c r="TA17" s="59"/>
      <c r="TB17" s="59"/>
      <c r="TC17" s="59"/>
      <c r="TD17" s="59"/>
      <c r="TE17" s="59"/>
      <c r="TF17" s="59"/>
      <c r="TG17" s="59"/>
      <c r="TH17" s="59"/>
      <c r="TI17" s="59"/>
      <c r="TJ17" s="56"/>
      <c r="TK17" s="57"/>
      <c r="TL17" s="57"/>
      <c r="TM17" s="57"/>
      <c r="TN17" s="57"/>
      <c r="TO17" s="57"/>
      <c r="TP17" s="57"/>
      <c r="TQ17" s="57"/>
      <c r="TR17" s="57"/>
      <c r="TS17" s="57"/>
      <c r="TT17" s="57"/>
      <c r="TU17" s="59"/>
      <c r="TV17" s="59"/>
      <c r="TW17" s="59"/>
      <c r="TX17" s="59"/>
      <c r="TY17" s="59"/>
      <c r="TZ17" s="59"/>
      <c r="UA17" s="59"/>
      <c r="UB17" s="59"/>
      <c r="UC17" s="59"/>
      <c r="UD17" s="59"/>
      <c r="UE17" s="59"/>
      <c r="UF17" s="56"/>
      <c r="UG17" s="57"/>
      <c r="UH17" s="57"/>
      <c r="UI17" s="57"/>
      <c r="UJ17" s="57"/>
      <c r="UK17" s="57"/>
      <c r="UL17" s="57"/>
      <c r="UM17" s="57"/>
      <c r="UN17" s="57"/>
      <c r="UO17" s="57"/>
      <c r="UP17" s="57"/>
      <c r="UQ17" s="59"/>
      <c r="UR17" s="59"/>
      <c r="US17" s="59"/>
      <c r="UT17" s="59"/>
      <c r="UU17" s="59"/>
      <c r="UV17" s="59"/>
      <c r="UW17" s="59"/>
      <c r="UX17" s="59"/>
      <c r="UY17" s="59"/>
      <c r="UZ17" s="59"/>
      <c r="VA17" s="59"/>
      <c r="VB17" s="56"/>
      <c r="VC17" s="57"/>
      <c r="VD17" s="57"/>
      <c r="VE17" s="57"/>
      <c r="VF17" s="57"/>
      <c r="VG17" s="57"/>
      <c r="VH17" s="57"/>
      <c r="VI17" s="57"/>
      <c r="VJ17" s="57"/>
      <c r="VK17" s="57"/>
      <c r="VL17" s="57"/>
      <c r="VM17" s="59"/>
      <c r="VN17" s="59"/>
      <c r="VO17" s="59"/>
      <c r="VP17" s="59"/>
      <c r="VQ17" s="59"/>
      <c r="VR17" s="59"/>
      <c r="VS17" s="59"/>
      <c r="VT17" s="59"/>
      <c r="VU17" s="59"/>
      <c r="VV17" s="59"/>
      <c r="VW17" s="59"/>
      <c r="VX17" s="56"/>
      <c r="VY17" s="57"/>
      <c r="VZ17" s="57"/>
      <c r="WA17" s="57"/>
      <c r="WB17" s="57"/>
      <c r="WC17" s="57"/>
      <c r="WD17" s="57"/>
      <c r="WE17" s="57"/>
      <c r="WF17" s="57"/>
      <c r="WG17" s="57"/>
      <c r="WH17" s="57"/>
      <c r="WI17" s="59"/>
      <c r="WJ17" s="59"/>
      <c r="WK17" s="59"/>
      <c r="WL17" s="59"/>
      <c r="WM17" s="59"/>
      <c r="WN17" s="59"/>
      <c r="WO17" s="59"/>
      <c r="WP17" s="59"/>
      <c r="WQ17" s="59"/>
      <c r="WR17" s="59"/>
      <c r="WS17" s="59"/>
      <c r="WT17" s="56"/>
      <c r="WU17" s="57"/>
      <c r="WV17" s="57"/>
      <c r="WW17" s="57"/>
      <c r="WX17" s="57"/>
      <c r="WY17" s="57"/>
      <c r="WZ17" s="57"/>
      <c r="XA17" s="57"/>
      <c r="XB17" s="57"/>
      <c r="XC17" s="57"/>
      <c r="XD17" s="57"/>
      <c r="XE17" s="59"/>
      <c r="XF17" s="59"/>
      <c r="XG17" s="59"/>
      <c r="XH17" s="59"/>
      <c r="XI17" s="59"/>
      <c r="XJ17" s="59"/>
      <c r="XK17" s="59"/>
      <c r="XL17" s="59"/>
      <c r="XM17" s="59"/>
      <c r="XN17" s="59"/>
      <c r="XO17" s="59"/>
      <c r="XP17" s="56"/>
      <c r="XQ17" s="57"/>
      <c r="XR17" s="57"/>
      <c r="XS17" s="57"/>
      <c r="XT17" s="57"/>
      <c r="XU17" s="57"/>
      <c r="XV17" s="57"/>
      <c r="XW17" s="57"/>
      <c r="XX17" s="57"/>
      <c r="XY17" s="57"/>
      <c r="XZ17" s="57"/>
      <c r="YA17" s="59"/>
      <c r="YB17" s="59"/>
      <c r="YC17" s="59"/>
      <c r="YD17" s="59"/>
      <c r="YE17" s="59"/>
      <c r="YF17" s="59"/>
      <c r="YG17" s="59"/>
      <c r="YH17" s="59"/>
      <c r="YI17" s="59"/>
      <c r="YJ17" s="59"/>
      <c r="YK17" s="59"/>
      <c r="YL17" s="56"/>
      <c r="YM17" s="57"/>
      <c r="YN17" s="57"/>
      <c r="YO17" s="57"/>
      <c r="YP17" s="57"/>
      <c r="YQ17" s="57"/>
      <c r="YR17" s="57"/>
      <c r="YS17" s="57"/>
      <c r="YT17" s="57"/>
      <c r="YU17" s="57"/>
      <c r="YV17" s="57"/>
      <c r="YW17" s="59"/>
      <c r="YX17" s="59"/>
      <c r="YY17" s="59"/>
      <c r="YZ17" s="59"/>
      <c r="ZA17" s="59"/>
      <c r="ZB17" s="59"/>
      <c r="ZC17" s="59"/>
      <c r="ZD17" s="59"/>
      <c r="ZE17" s="59"/>
      <c r="ZF17" s="59"/>
      <c r="ZG17" s="59"/>
      <c r="ZH17" s="56"/>
      <c r="ZI17" s="57"/>
      <c r="ZJ17" s="57"/>
      <c r="ZK17" s="57"/>
      <c r="ZL17" s="57"/>
      <c r="ZM17" s="57"/>
      <c r="ZN17" s="57"/>
      <c r="ZO17" s="57"/>
      <c r="ZP17" s="57"/>
      <c r="ZQ17" s="57"/>
      <c r="ZR17" s="57"/>
      <c r="ZS17" s="59"/>
      <c r="ZT17" s="59"/>
      <c r="ZU17" s="59"/>
      <c r="ZV17" s="59"/>
      <c r="ZW17" s="59"/>
      <c r="ZX17" s="59"/>
      <c r="ZY17" s="59"/>
      <c r="ZZ17" s="59"/>
      <c r="AAA17" s="59"/>
      <c r="AAB17" s="59"/>
      <c r="AAC17" s="59"/>
    </row>
    <row r="18" spans="1:705" x14ac:dyDescent="0.2">
      <c r="A18" s="1">
        <v>13</v>
      </c>
      <c r="B18" s="2"/>
      <c r="C18" s="2"/>
      <c r="D18" s="2"/>
      <c r="E18" s="2"/>
      <c r="F18" s="2"/>
      <c r="G18" s="2"/>
      <c r="H18" s="2"/>
      <c r="I18" s="2"/>
      <c r="J18" s="2"/>
      <c r="K18" s="2"/>
      <c r="L18" s="2"/>
      <c r="M18" s="3"/>
      <c r="N18" s="3"/>
      <c r="O18" s="3"/>
      <c r="P18" s="3"/>
      <c r="Q18" s="3"/>
      <c r="R18" s="3"/>
      <c r="S18" s="3"/>
      <c r="T18" s="3"/>
      <c r="U18" s="3"/>
      <c r="V18" s="3"/>
      <c r="W18" s="3"/>
      <c r="X18" s="2"/>
      <c r="Y18" s="2"/>
      <c r="Z18" s="2"/>
      <c r="AA18" s="2"/>
      <c r="AB18" s="2"/>
      <c r="AC18" s="2"/>
      <c r="AD18" s="2"/>
      <c r="AE18" s="2"/>
      <c r="AF18" s="2"/>
      <c r="AG18" s="2"/>
      <c r="AH18" s="2"/>
      <c r="AI18" s="3"/>
      <c r="AJ18" s="3"/>
      <c r="AK18" s="3"/>
      <c r="AL18" s="3"/>
      <c r="AM18" s="3"/>
      <c r="AN18" s="3"/>
      <c r="AO18" s="3"/>
      <c r="AP18" s="3"/>
      <c r="AQ18" s="3"/>
      <c r="AR18" s="3"/>
      <c r="AS18" s="3"/>
      <c r="AT18" s="2"/>
      <c r="AU18" s="2"/>
      <c r="AV18" s="2"/>
      <c r="AW18" s="2"/>
      <c r="AX18" s="2"/>
      <c r="AY18" s="2"/>
      <c r="AZ18" s="2"/>
      <c r="BA18" s="2"/>
      <c r="BB18" s="2"/>
      <c r="BC18" s="2"/>
      <c r="BD18" s="2"/>
      <c r="BE18" s="3"/>
      <c r="BF18" s="3"/>
      <c r="BG18" s="3"/>
      <c r="BH18" s="3"/>
      <c r="BI18" s="3"/>
      <c r="BJ18" s="3"/>
      <c r="BK18" s="3"/>
      <c r="BL18" s="3"/>
      <c r="BM18" s="3"/>
      <c r="BN18" s="3"/>
      <c r="BO18" s="3"/>
      <c r="BP18" s="2"/>
      <c r="BQ18" s="2"/>
      <c r="BR18" s="2"/>
      <c r="BS18" s="2"/>
      <c r="BT18" s="2"/>
      <c r="BU18" s="2"/>
      <c r="BV18" s="2"/>
      <c r="BW18" s="2"/>
      <c r="BX18" s="2"/>
      <c r="BY18" s="2"/>
      <c r="BZ18" s="2"/>
      <c r="CA18" s="3"/>
      <c r="CB18" s="3"/>
      <c r="CC18" s="3"/>
      <c r="CD18" s="3"/>
      <c r="CE18" s="3"/>
      <c r="CF18" s="3"/>
      <c r="CG18" s="3"/>
      <c r="CH18" s="3"/>
      <c r="CI18" s="3"/>
      <c r="CJ18" s="3"/>
      <c r="CK18" s="3"/>
      <c r="CL18" s="2"/>
      <c r="CM18" s="2"/>
      <c r="CN18" s="2"/>
      <c r="CO18" s="2"/>
      <c r="CP18" s="2"/>
      <c r="CQ18" s="2"/>
      <c r="CR18" s="2"/>
      <c r="CS18" s="2"/>
      <c r="CT18" s="2"/>
      <c r="CU18" s="2"/>
      <c r="CV18" s="2"/>
      <c r="CW18" s="3"/>
      <c r="CX18" s="3"/>
      <c r="CY18" s="3"/>
      <c r="CZ18" s="3"/>
      <c r="DA18" s="3"/>
      <c r="DB18" s="3"/>
      <c r="DC18" s="3"/>
      <c r="DD18" s="3"/>
      <c r="DE18" s="3"/>
      <c r="DF18" s="3"/>
      <c r="DG18" s="3"/>
      <c r="DH18" s="2"/>
      <c r="DI18" s="2"/>
      <c r="DJ18" s="2"/>
      <c r="DK18" s="2"/>
      <c r="DL18" s="2"/>
      <c r="DM18" s="2"/>
      <c r="DN18" s="2"/>
      <c r="DO18" s="2"/>
      <c r="DP18" s="2"/>
      <c r="DQ18" s="2"/>
      <c r="DR18" s="2"/>
      <c r="DS18" s="3"/>
      <c r="DT18" s="3"/>
      <c r="DU18" s="3"/>
      <c r="DV18" s="3"/>
      <c r="DW18" s="3"/>
      <c r="DX18" s="3"/>
      <c r="DY18" s="3"/>
      <c r="DZ18" s="3"/>
      <c r="EA18" s="3"/>
      <c r="EB18" s="3"/>
      <c r="EC18" s="3"/>
      <c r="ED18" s="2"/>
      <c r="EE18" s="2"/>
      <c r="EF18" s="2"/>
      <c r="EG18" s="2"/>
      <c r="EH18" s="2"/>
      <c r="EI18" s="2"/>
      <c r="EJ18" s="2"/>
      <c r="EK18" s="2"/>
      <c r="EL18" s="2"/>
      <c r="EM18" s="2"/>
      <c r="EN18" s="2"/>
      <c r="EO18" s="3"/>
      <c r="EP18" s="3"/>
      <c r="EQ18" s="3"/>
      <c r="ER18" s="3"/>
      <c r="ES18" s="3"/>
      <c r="ET18" s="3"/>
      <c r="EU18" s="3"/>
      <c r="EV18" s="3"/>
      <c r="EW18" s="3"/>
      <c r="EX18" s="3"/>
      <c r="EY18" s="3"/>
      <c r="EZ18" s="2"/>
      <c r="FA18" s="2"/>
      <c r="FB18" s="2"/>
      <c r="FC18" s="2"/>
      <c r="FD18" s="2"/>
      <c r="FE18" s="2"/>
      <c r="FF18" s="2"/>
      <c r="FG18" s="2"/>
      <c r="FH18" s="2"/>
      <c r="FI18" s="2"/>
      <c r="FJ18" s="2"/>
      <c r="FK18" s="3"/>
      <c r="FL18" s="3"/>
      <c r="FM18" s="3"/>
      <c r="FN18" s="3"/>
      <c r="FO18" s="3"/>
      <c r="FP18" s="3"/>
      <c r="FQ18" s="3"/>
      <c r="FR18" s="3"/>
      <c r="FS18" s="3"/>
      <c r="FT18" s="3"/>
      <c r="FU18" s="3"/>
      <c r="FV18" s="2"/>
      <c r="FW18" s="2"/>
      <c r="FX18" s="2"/>
      <c r="FY18" s="2"/>
      <c r="FZ18" s="2"/>
      <c r="GA18" s="2"/>
      <c r="GB18" s="2"/>
      <c r="GC18" s="2"/>
      <c r="GD18" s="2"/>
      <c r="GE18" s="2"/>
      <c r="GF18" s="2"/>
      <c r="GG18" s="3"/>
      <c r="GH18" s="3"/>
      <c r="GI18" s="3"/>
      <c r="GJ18" s="3"/>
      <c r="GK18" s="3"/>
      <c r="GL18" s="3"/>
      <c r="GM18" s="3"/>
      <c r="GN18" s="3"/>
      <c r="GO18" s="3"/>
      <c r="GP18" s="3"/>
      <c r="GQ18" s="3"/>
      <c r="GR18" s="2"/>
      <c r="GS18" s="2"/>
      <c r="GT18" s="2"/>
      <c r="GU18" s="2"/>
      <c r="GV18" s="2"/>
      <c r="GW18" s="2"/>
      <c r="GX18" s="2"/>
      <c r="GY18" s="2"/>
      <c r="GZ18" s="2"/>
      <c r="HA18" s="2"/>
      <c r="HB18" s="2"/>
      <c r="HC18" s="3"/>
      <c r="HD18" s="3"/>
      <c r="HE18" s="3"/>
      <c r="HF18" s="3"/>
      <c r="HG18" s="3"/>
      <c r="HH18" s="3"/>
      <c r="HI18" s="3"/>
      <c r="HJ18" s="3"/>
      <c r="HK18" s="3"/>
      <c r="HL18" s="3"/>
      <c r="HM18" s="3"/>
      <c r="HN18" s="2"/>
      <c r="HO18" s="2"/>
      <c r="HP18" s="2"/>
      <c r="HQ18" s="2"/>
      <c r="HR18" s="2"/>
      <c r="HS18" s="2"/>
      <c r="HT18" s="2"/>
      <c r="HU18" s="2"/>
      <c r="HV18" s="2"/>
      <c r="HW18" s="2"/>
      <c r="HX18" s="2"/>
      <c r="HY18" s="3"/>
      <c r="HZ18" s="3"/>
      <c r="IA18" s="3"/>
      <c r="IB18" s="3"/>
      <c r="IC18" s="3"/>
      <c r="ID18" s="3"/>
      <c r="IE18" s="3"/>
      <c r="IF18" s="3"/>
      <c r="IG18" s="3"/>
      <c r="IH18" s="3"/>
      <c r="II18" s="3"/>
      <c r="IJ18" s="2"/>
      <c r="IK18" s="2"/>
      <c r="IL18" s="2"/>
      <c r="IM18" s="2"/>
      <c r="IN18" s="2"/>
      <c r="IO18" s="2"/>
      <c r="IP18" s="2"/>
      <c r="IQ18" s="2"/>
      <c r="IR18" s="2"/>
      <c r="IS18" s="2"/>
      <c r="IT18" s="2"/>
      <c r="IU18" s="3"/>
      <c r="IV18" s="3"/>
      <c r="IW18" s="3"/>
      <c r="IX18" s="3"/>
      <c r="IY18" s="3"/>
      <c r="IZ18" s="3"/>
      <c r="JA18" s="3"/>
      <c r="JB18" s="3"/>
      <c r="JC18" s="3"/>
      <c r="JD18" s="3"/>
      <c r="JE18" s="3"/>
      <c r="JF18" s="2"/>
      <c r="JG18" s="2"/>
      <c r="JH18" s="2"/>
      <c r="JI18" s="2"/>
      <c r="JJ18" s="2"/>
      <c r="JK18" s="2"/>
      <c r="JL18" s="2"/>
      <c r="JM18" s="2"/>
      <c r="JN18" s="2"/>
      <c r="JO18" s="2"/>
      <c r="JP18" s="2"/>
      <c r="JQ18" s="3"/>
      <c r="JR18" s="3"/>
      <c r="JS18" s="3"/>
      <c r="JT18" s="3"/>
      <c r="JU18" s="3"/>
      <c r="JV18" s="3"/>
      <c r="JW18" s="3"/>
      <c r="JX18" s="3"/>
      <c r="JY18" s="3"/>
      <c r="JZ18" s="3"/>
      <c r="KA18" s="3"/>
      <c r="KB18" s="2"/>
      <c r="KC18" s="2"/>
      <c r="KD18" s="2"/>
      <c r="KE18" s="2"/>
      <c r="KF18" s="2"/>
      <c r="KG18" s="2"/>
      <c r="KH18" s="2"/>
      <c r="KI18" s="2"/>
      <c r="KJ18" s="2"/>
      <c r="KK18" s="2"/>
      <c r="KL18" s="2"/>
      <c r="KM18" s="3"/>
      <c r="KN18" s="3"/>
      <c r="KO18" s="3"/>
      <c r="KP18" s="3"/>
      <c r="KQ18" s="3"/>
      <c r="KR18" s="3"/>
      <c r="KS18" s="3"/>
      <c r="KT18" s="3"/>
      <c r="KU18" s="3"/>
      <c r="KV18" s="3"/>
      <c r="KW18" s="3"/>
      <c r="KX18" s="2"/>
      <c r="KY18" s="2"/>
      <c r="KZ18" s="2"/>
      <c r="LA18" s="2"/>
      <c r="LB18" s="2"/>
      <c r="LC18" s="2"/>
      <c r="LD18" s="2"/>
      <c r="LE18" s="2"/>
      <c r="LF18" s="2"/>
      <c r="LG18" s="2"/>
      <c r="LH18" s="2"/>
      <c r="LI18" s="3"/>
      <c r="LJ18" s="3"/>
      <c r="LK18" s="3"/>
      <c r="LL18" s="3"/>
      <c r="LM18" s="3"/>
      <c r="LN18" s="3"/>
      <c r="LO18" s="3"/>
      <c r="LP18" s="3"/>
      <c r="LQ18" s="3"/>
      <c r="LR18" s="3"/>
      <c r="LS18" s="3"/>
      <c r="LT18" s="2"/>
      <c r="LU18" s="2"/>
      <c r="LV18" s="2"/>
      <c r="LW18" s="2"/>
      <c r="LX18" s="2"/>
      <c r="LY18" s="2"/>
      <c r="LZ18" s="2"/>
      <c r="MA18" s="2"/>
      <c r="MB18" s="2"/>
      <c r="MC18" s="2"/>
      <c r="MD18" s="2"/>
      <c r="ME18" s="3"/>
      <c r="MF18" s="3"/>
      <c r="MG18" s="3"/>
      <c r="MH18" s="3"/>
      <c r="MI18" s="3"/>
      <c r="MJ18" s="3"/>
      <c r="MK18" s="3"/>
      <c r="ML18" s="3"/>
      <c r="MM18" s="3"/>
      <c r="MN18" s="3"/>
      <c r="MO18" s="3"/>
      <c r="MP18" s="2"/>
      <c r="MQ18" s="2"/>
      <c r="MR18" s="2"/>
      <c r="MS18" s="2"/>
      <c r="MT18" s="2"/>
      <c r="MU18" s="2"/>
      <c r="MV18" s="2"/>
      <c r="MW18" s="2"/>
      <c r="MX18" s="2"/>
      <c r="MY18" s="2"/>
      <c r="MZ18" s="2"/>
      <c r="NA18" s="3"/>
      <c r="NB18" s="3"/>
      <c r="NC18" s="3"/>
      <c r="ND18" s="3"/>
      <c r="NE18" s="3"/>
      <c r="NF18" s="3"/>
      <c r="NG18" s="3"/>
      <c r="NH18" s="3"/>
      <c r="NI18" s="3"/>
      <c r="NJ18" s="3"/>
      <c r="NK18" s="3"/>
      <c r="NL18" s="56"/>
      <c r="NM18" s="57"/>
      <c r="NN18" s="57"/>
      <c r="NO18" s="57"/>
      <c r="NP18" s="57"/>
      <c r="NQ18" s="57"/>
      <c r="NR18" s="57"/>
      <c r="NS18" s="57"/>
      <c r="NT18" s="57"/>
      <c r="NU18" s="57"/>
      <c r="NV18" s="57"/>
      <c r="NW18" s="59"/>
      <c r="NX18" s="59"/>
      <c r="NY18" s="59"/>
      <c r="NZ18" s="59"/>
      <c r="OA18" s="59"/>
      <c r="OB18" s="59"/>
      <c r="OC18" s="59"/>
      <c r="OD18" s="59"/>
      <c r="OE18" s="59"/>
      <c r="OF18" s="59"/>
      <c r="OG18" s="59"/>
      <c r="OH18" s="56"/>
      <c r="OI18" s="57"/>
      <c r="OJ18" s="57"/>
      <c r="OK18" s="57"/>
      <c r="OL18" s="57"/>
      <c r="OM18" s="57"/>
      <c r="ON18" s="57"/>
      <c r="OO18" s="57"/>
      <c r="OP18" s="57"/>
      <c r="OQ18" s="57"/>
      <c r="OR18" s="57"/>
      <c r="OS18" s="59"/>
      <c r="OT18" s="59"/>
      <c r="OU18" s="59"/>
      <c r="OV18" s="59"/>
      <c r="OW18" s="59"/>
      <c r="OX18" s="59"/>
      <c r="OY18" s="59"/>
      <c r="OZ18" s="59"/>
      <c r="PA18" s="59"/>
      <c r="PB18" s="59"/>
      <c r="PC18" s="59"/>
      <c r="PD18" s="56"/>
      <c r="PE18" s="57"/>
      <c r="PF18" s="57"/>
      <c r="PG18" s="57"/>
      <c r="PH18" s="57"/>
      <c r="PI18" s="57"/>
      <c r="PJ18" s="57"/>
      <c r="PK18" s="57"/>
      <c r="PL18" s="57"/>
      <c r="PM18" s="57"/>
      <c r="PN18" s="57"/>
      <c r="PO18" s="59"/>
      <c r="PP18" s="59"/>
      <c r="PQ18" s="59"/>
      <c r="PR18" s="59"/>
      <c r="PS18" s="59"/>
      <c r="PT18" s="59"/>
      <c r="PU18" s="59"/>
      <c r="PV18" s="59"/>
      <c r="PW18" s="59"/>
      <c r="PX18" s="59"/>
      <c r="PY18" s="59"/>
      <c r="PZ18" s="56"/>
      <c r="QA18" s="57"/>
      <c r="QB18" s="57"/>
      <c r="QC18" s="57"/>
      <c r="QD18" s="57"/>
      <c r="QE18" s="57"/>
      <c r="QF18" s="57"/>
      <c r="QG18" s="57"/>
      <c r="QH18" s="57"/>
      <c r="QI18" s="57"/>
      <c r="QJ18" s="57"/>
      <c r="QK18" s="59"/>
      <c r="QL18" s="59"/>
      <c r="QM18" s="59"/>
      <c r="QN18" s="59"/>
      <c r="QO18" s="59"/>
      <c r="QP18" s="59"/>
      <c r="QQ18" s="59"/>
      <c r="QR18" s="59"/>
      <c r="QS18" s="59"/>
      <c r="QT18" s="59"/>
      <c r="QU18" s="59"/>
      <c r="QV18" s="56"/>
      <c r="QW18" s="57"/>
      <c r="QX18" s="57"/>
      <c r="QY18" s="57"/>
      <c r="QZ18" s="57"/>
      <c r="RA18" s="57"/>
      <c r="RB18" s="57"/>
      <c r="RC18" s="57"/>
      <c r="RD18" s="57"/>
      <c r="RE18" s="57"/>
      <c r="RF18" s="57"/>
      <c r="RG18" s="59"/>
      <c r="RH18" s="59"/>
      <c r="RI18" s="59"/>
      <c r="RJ18" s="59"/>
      <c r="RK18" s="59"/>
      <c r="RL18" s="59"/>
      <c r="RM18" s="59"/>
      <c r="RN18" s="59"/>
      <c r="RO18" s="59"/>
      <c r="RP18" s="59"/>
      <c r="RQ18" s="59"/>
      <c r="RR18" s="56"/>
      <c r="RS18" s="57"/>
      <c r="RT18" s="57"/>
      <c r="RU18" s="57"/>
      <c r="RV18" s="57"/>
      <c r="RW18" s="57"/>
      <c r="RX18" s="57"/>
      <c r="RY18" s="57"/>
      <c r="RZ18" s="57"/>
      <c r="SA18" s="57"/>
      <c r="SB18" s="57"/>
      <c r="SC18" s="59"/>
      <c r="SD18" s="59"/>
      <c r="SE18" s="59"/>
      <c r="SF18" s="59"/>
      <c r="SG18" s="59"/>
      <c r="SH18" s="59"/>
      <c r="SI18" s="59"/>
      <c r="SJ18" s="59"/>
      <c r="SK18" s="59"/>
      <c r="SL18" s="59"/>
      <c r="SM18" s="59"/>
      <c r="SN18" s="56"/>
      <c r="SO18" s="57"/>
      <c r="SP18" s="57"/>
      <c r="SQ18" s="57"/>
      <c r="SR18" s="57"/>
      <c r="SS18" s="57"/>
      <c r="ST18" s="57"/>
      <c r="SU18" s="57"/>
      <c r="SV18" s="57"/>
      <c r="SW18" s="57"/>
      <c r="SX18" s="57"/>
      <c r="SY18" s="59"/>
      <c r="SZ18" s="59"/>
      <c r="TA18" s="59"/>
      <c r="TB18" s="59"/>
      <c r="TC18" s="59"/>
      <c r="TD18" s="59"/>
      <c r="TE18" s="59"/>
      <c r="TF18" s="59"/>
      <c r="TG18" s="59"/>
      <c r="TH18" s="59"/>
      <c r="TI18" s="59"/>
      <c r="TJ18" s="56"/>
      <c r="TK18" s="57"/>
      <c r="TL18" s="57"/>
      <c r="TM18" s="57"/>
      <c r="TN18" s="57"/>
      <c r="TO18" s="57"/>
      <c r="TP18" s="57"/>
      <c r="TQ18" s="57"/>
      <c r="TR18" s="57"/>
      <c r="TS18" s="57"/>
      <c r="TT18" s="57"/>
      <c r="TU18" s="59"/>
      <c r="TV18" s="59"/>
      <c r="TW18" s="59"/>
      <c r="TX18" s="59"/>
      <c r="TY18" s="59"/>
      <c r="TZ18" s="59"/>
      <c r="UA18" s="59"/>
      <c r="UB18" s="59"/>
      <c r="UC18" s="59"/>
      <c r="UD18" s="59"/>
      <c r="UE18" s="59"/>
      <c r="UF18" s="56"/>
      <c r="UG18" s="57"/>
      <c r="UH18" s="57"/>
      <c r="UI18" s="57"/>
      <c r="UJ18" s="57"/>
      <c r="UK18" s="57"/>
      <c r="UL18" s="57"/>
      <c r="UM18" s="57"/>
      <c r="UN18" s="57"/>
      <c r="UO18" s="57"/>
      <c r="UP18" s="57"/>
      <c r="UQ18" s="59"/>
      <c r="UR18" s="59"/>
      <c r="US18" s="59"/>
      <c r="UT18" s="59"/>
      <c r="UU18" s="59"/>
      <c r="UV18" s="59"/>
      <c r="UW18" s="59"/>
      <c r="UX18" s="59"/>
      <c r="UY18" s="59"/>
      <c r="UZ18" s="59"/>
      <c r="VA18" s="59"/>
      <c r="VB18" s="56"/>
      <c r="VC18" s="57"/>
      <c r="VD18" s="57"/>
      <c r="VE18" s="57"/>
      <c r="VF18" s="57"/>
      <c r="VG18" s="57"/>
      <c r="VH18" s="57"/>
      <c r="VI18" s="57"/>
      <c r="VJ18" s="57"/>
      <c r="VK18" s="57"/>
      <c r="VL18" s="57"/>
      <c r="VM18" s="59"/>
      <c r="VN18" s="59"/>
      <c r="VO18" s="59"/>
      <c r="VP18" s="59"/>
      <c r="VQ18" s="59"/>
      <c r="VR18" s="59"/>
      <c r="VS18" s="59"/>
      <c r="VT18" s="59"/>
      <c r="VU18" s="59"/>
      <c r="VV18" s="59"/>
      <c r="VW18" s="59"/>
      <c r="VX18" s="56"/>
      <c r="VY18" s="57"/>
      <c r="VZ18" s="57"/>
      <c r="WA18" s="57"/>
      <c r="WB18" s="57"/>
      <c r="WC18" s="57"/>
      <c r="WD18" s="57"/>
      <c r="WE18" s="57"/>
      <c r="WF18" s="57"/>
      <c r="WG18" s="57"/>
      <c r="WH18" s="57"/>
      <c r="WI18" s="59"/>
      <c r="WJ18" s="59"/>
      <c r="WK18" s="59"/>
      <c r="WL18" s="59"/>
      <c r="WM18" s="59"/>
      <c r="WN18" s="59"/>
      <c r="WO18" s="59"/>
      <c r="WP18" s="59"/>
      <c r="WQ18" s="59"/>
      <c r="WR18" s="59"/>
      <c r="WS18" s="59"/>
      <c r="WT18" s="56"/>
      <c r="WU18" s="57"/>
      <c r="WV18" s="57"/>
      <c r="WW18" s="57"/>
      <c r="WX18" s="57"/>
      <c r="WY18" s="57"/>
      <c r="WZ18" s="57"/>
      <c r="XA18" s="57"/>
      <c r="XB18" s="57"/>
      <c r="XC18" s="57"/>
      <c r="XD18" s="57"/>
      <c r="XE18" s="59"/>
      <c r="XF18" s="59"/>
      <c r="XG18" s="59"/>
      <c r="XH18" s="59"/>
      <c r="XI18" s="59"/>
      <c r="XJ18" s="59"/>
      <c r="XK18" s="59"/>
      <c r="XL18" s="59"/>
      <c r="XM18" s="59"/>
      <c r="XN18" s="59"/>
      <c r="XO18" s="59"/>
      <c r="XP18" s="56"/>
      <c r="XQ18" s="57"/>
      <c r="XR18" s="57"/>
      <c r="XS18" s="57"/>
      <c r="XT18" s="57"/>
      <c r="XU18" s="57"/>
      <c r="XV18" s="57"/>
      <c r="XW18" s="57"/>
      <c r="XX18" s="57"/>
      <c r="XY18" s="57"/>
      <c r="XZ18" s="57"/>
      <c r="YA18" s="59"/>
      <c r="YB18" s="59"/>
      <c r="YC18" s="59"/>
      <c r="YD18" s="59"/>
      <c r="YE18" s="59"/>
      <c r="YF18" s="59"/>
      <c r="YG18" s="59"/>
      <c r="YH18" s="59"/>
      <c r="YI18" s="59"/>
      <c r="YJ18" s="59"/>
      <c r="YK18" s="59"/>
      <c r="YL18" s="56"/>
      <c r="YM18" s="57"/>
      <c r="YN18" s="57"/>
      <c r="YO18" s="57"/>
      <c r="YP18" s="57"/>
      <c r="YQ18" s="57"/>
      <c r="YR18" s="57"/>
      <c r="YS18" s="57"/>
      <c r="YT18" s="57"/>
      <c r="YU18" s="57"/>
      <c r="YV18" s="57"/>
      <c r="YW18" s="59"/>
      <c r="YX18" s="59"/>
      <c r="YY18" s="59"/>
      <c r="YZ18" s="59"/>
      <c r="ZA18" s="59"/>
      <c r="ZB18" s="59"/>
      <c r="ZC18" s="59"/>
      <c r="ZD18" s="59"/>
      <c r="ZE18" s="59"/>
      <c r="ZF18" s="59"/>
      <c r="ZG18" s="59"/>
      <c r="ZH18" s="56"/>
      <c r="ZI18" s="57"/>
      <c r="ZJ18" s="57"/>
      <c r="ZK18" s="57"/>
      <c r="ZL18" s="57"/>
      <c r="ZM18" s="57"/>
      <c r="ZN18" s="57"/>
      <c r="ZO18" s="57"/>
      <c r="ZP18" s="57"/>
      <c r="ZQ18" s="57"/>
      <c r="ZR18" s="57"/>
      <c r="ZS18" s="59"/>
      <c r="ZT18" s="59"/>
      <c r="ZU18" s="59"/>
      <c r="ZV18" s="59"/>
      <c r="ZW18" s="59"/>
      <c r="ZX18" s="59"/>
      <c r="ZY18" s="59"/>
      <c r="ZZ18" s="59"/>
      <c r="AAA18" s="59"/>
      <c r="AAB18" s="59"/>
      <c r="AAC18" s="59"/>
    </row>
    <row r="19" spans="1:705" x14ac:dyDescent="0.2">
      <c r="A19" s="1">
        <v>14</v>
      </c>
      <c r="B19" s="2"/>
      <c r="C19" s="2"/>
      <c r="D19" s="2"/>
      <c r="E19" s="2"/>
      <c r="F19" s="2"/>
      <c r="G19" s="2"/>
      <c r="H19" s="2"/>
      <c r="I19" s="2"/>
      <c r="J19" s="2"/>
      <c r="K19" s="2"/>
      <c r="L19" s="2"/>
      <c r="M19" s="3"/>
      <c r="N19" s="3"/>
      <c r="O19" s="3"/>
      <c r="P19" s="3"/>
      <c r="Q19" s="3"/>
      <c r="R19" s="3"/>
      <c r="S19" s="3"/>
      <c r="T19" s="3"/>
      <c r="U19" s="3"/>
      <c r="V19" s="3"/>
      <c r="W19" s="3"/>
      <c r="X19" s="2"/>
      <c r="Y19" s="2"/>
      <c r="Z19" s="2"/>
      <c r="AA19" s="2"/>
      <c r="AB19" s="2"/>
      <c r="AC19" s="2"/>
      <c r="AD19" s="2"/>
      <c r="AE19" s="2"/>
      <c r="AF19" s="2"/>
      <c r="AG19" s="2"/>
      <c r="AH19" s="2"/>
      <c r="AI19" s="3"/>
      <c r="AJ19" s="3"/>
      <c r="AK19" s="3"/>
      <c r="AL19" s="3"/>
      <c r="AM19" s="3"/>
      <c r="AN19" s="3"/>
      <c r="AO19" s="3"/>
      <c r="AP19" s="3"/>
      <c r="AQ19" s="3"/>
      <c r="AR19" s="3"/>
      <c r="AS19" s="3"/>
      <c r="AT19" s="2"/>
      <c r="AU19" s="2"/>
      <c r="AV19" s="2"/>
      <c r="AW19" s="2"/>
      <c r="AX19" s="2"/>
      <c r="AY19" s="2"/>
      <c r="AZ19" s="2"/>
      <c r="BA19" s="2"/>
      <c r="BB19" s="2"/>
      <c r="BC19" s="2"/>
      <c r="BD19" s="2"/>
      <c r="BE19" s="3"/>
      <c r="BF19" s="3"/>
      <c r="BG19" s="3"/>
      <c r="BH19" s="3"/>
      <c r="BI19" s="3"/>
      <c r="BJ19" s="3"/>
      <c r="BK19" s="3"/>
      <c r="BL19" s="3"/>
      <c r="BM19" s="3"/>
      <c r="BN19" s="3"/>
      <c r="BO19" s="3"/>
      <c r="BP19" s="2"/>
      <c r="BQ19" s="2"/>
      <c r="BR19" s="2"/>
      <c r="BS19" s="2"/>
      <c r="BT19" s="2"/>
      <c r="BU19" s="2"/>
      <c r="BV19" s="2"/>
      <c r="BW19" s="2"/>
      <c r="BX19" s="2"/>
      <c r="BY19" s="2"/>
      <c r="BZ19" s="2"/>
      <c r="CA19" s="3"/>
      <c r="CB19" s="3"/>
      <c r="CC19" s="3"/>
      <c r="CD19" s="3"/>
      <c r="CE19" s="3"/>
      <c r="CF19" s="3"/>
      <c r="CG19" s="3"/>
      <c r="CH19" s="3"/>
      <c r="CI19" s="3"/>
      <c r="CJ19" s="3"/>
      <c r="CK19" s="3"/>
      <c r="CL19" s="2"/>
      <c r="CM19" s="2"/>
      <c r="CN19" s="2"/>
      <c r="CO19" s="2"/>
      <c r="CP19" s="2"/>
      <c r="CQ19" s="2"/>
      <c r="CR19" s="2"/>
      <c r="CS19" s="2"/>
      <c r="CT19" s="2"/>
      <c r="CU19" s="2"/>
      <c r="CV19" s="2"/>
      <c r="CW19" s="3"/>
      <c r="CX19" s="3"/>
      <c r="CY19" s="3"/>
      <c r="CZ19" s="3"/>
      <c r="DA19" s="3"/>
      <c r="DB19" s="3"/>
      <c r="DC19" s="3"/>
      <c r="DD19" s="3"/>
      <c r="DE19" s="3"/>
      <c r="DF19" s="3"/>
      <c r="DG19" s="3"/>
      <c r="DH19" s="2"/>
      <c r="DI19" s="2"/>
      <c r="DJ19" s="2"/>
      <c r="DK19" s="2"/>
      <c r="DL19" s="2"/>
      <c r="DM19" s="2"/>
      <c r="DN19" s="2"/>
      <c r="DO19" s="2"/>
      <c r="DP19" s="2"/>
      <c r="DQ19" s="2"/>
      <c r="DR19" s="2"/>
      <c r="DS19" s="3"/>
      <c r="DT19" s="3"/>
      <c r="DU19" s="3"/>
      <c r="DV19" s="3"/>
      <c r="DW19" s="3"/>
      <c r="DX19" s="3"/>
      <c r="DY19" s="3"/>
      <c r="DZ19" s="3"/>
      <c r="EA19" s="3"/>
      <c r="EB19" s="3"/>
      <c r="EC19" s="3"/>
      <c r="ED19" s="2"/>
      <c r="EE19" s="2"/>
      <c r="EF19" s="2"/>
      <c r="EG19" s="2"/>
      <c r="EH19" s="2"/>
      <c r="EI19" s="2"/>
      <c r="EJ19" s="2"/>
      <c r="EK19" s="2"/>
      <c r="EL19" s="2"/>
      <c r="EM19" s="2"/>
      <c r="EN19" s="2"/>
      <c r="EO19" s="3"/>
      <c r="EP19" s="3"/>
      <c r="EQ19" s="3"/>
      <c r="ER19" s="3"/>
      <c r="ES19" s="3"/>
      <c r="ET19" s="3"/>
      <c r="EU19" s="3"/>
      <c r="EV19" s="3"/>
      <c r="EW19" s="3"/>
      <c r="EX19" s="3"/>
      <c r="EY19" s="3"/>
      <c r="EZ19" s="2"/>
      <c r="FA19" s="2"/>
      <c r="FB19" s="2"/>
      <c r="FC19" s="2"/>
      <c r="FD19" s="2"/>
      <c r="FE19" s="2"/>
      <c r="FF19" s="2"/>
      <c r="FG19" s="2"/>
      <c r="FH19" s="2"/>
      <c r="FI19" s="2"/>
      <c r="FJ19" s="2"/>
      <c r="FK19" s="3"/>
      <c r="FL19" s="3"/>
      <c r="FM19" s="3"/>
      <c r="FN19" s="3"/>
      <c r="FO19" s="3"/>
      <c r="FP19" s="3"/>
      <c r="FQ19" s="3"/>
      <c r="FR19" s="3"/>
      <c r="FS19" s="3"/>
      <c r="FT19" s="3"/>
      <c r="FU19" s="3"/>
      <c r="FV19" s="2"/>
      <c r="FW19" s="2"/>
      <c r="FX19" s="2"/>
      <c r="FY19" s="2"/>
      <c r="FZ19" s="2"/>
      <c r="GA19" s="2"/>
      <c r="GB19" s="2"/>
      <c r="GC19" s="2"/>
      <c r="GD19" s="2"/>
      <c r="GE19" s="2"/>
      <c r="GF19" s="2"/>
      <c r="GG19" s="3"/>
      <c r="GH19" s="3"/>
      <c r="GI19" s="3"/>
      <c r="GJ19" s="3"/>
      <c r="GK19" s="3"/>
      <c r="GL19" s="3"/>
      <c r="GM19" s="3"/>
      <c r="GN19" s="3"/>
      <c r="GO19" s="3"/>
      <c r="GP19" s="3"/>
      <c r="GQ19" s="3"/>
      <c r="GR19" s="2"/>
      <c r="GS19" s="2"/>
      <c r="GT19" s="2"/>
      <c r="GU19" s="2"/>
      <c r="GV19" s="2"/>
      <c r="GW19" s="2"/>
      <c r="GX19" s="2"/>
      <c r="GY19" s="2"/>
      <c r="GZ19" s="2"/>
      <c r="HA19" s="2"/>
      <c r="HB19" s="2"/>
      <c r="HC19" s="3"/>
      <c r="HD19" s="3"/>
      <c r="HE19" s="3"/>
      <c r="HF19" s="3"/>
      <c r="HG19" s="3"/>
      <c r="HH19" s="3"/>
      <c r="HI19" s="3"/>
      <c r="HJ19" s="3"/>
      <c r="HK19" s="3"/>
      <c r="HL19" s="3"/>
      <c r="HM19" s="3"/>
      <c r="HN19" s="2"/>
      <c r="HO19" s="2"/>
      <c r="HP19" s="2"/>
      <c r="HQ19" s="2"/>
      <c r="HR19" s="2"/>
      <c r="HS19" s="2"/>
      <c r="HT19" s="2"/>
      <c r="HU19" s="2"/>
      <c r="HV19" s="2"/>
      <c r="HW19" s="2"/>
      <c r="HX19" s="2"/>
      <c r="HY19" s="3"/>
      <c r="HZ19" s="3"/>
      <c r="IA19" s="3"/>
      <c r="IB19" s="3"/>
      <c r="IC19" s="3"/>
      <c r="ID19" s="3"/>
      <c r="IE19" s="3"/>
      <c r="IF19" s="3"/>
      <c r="IG19" s="3"/>
      <c r="IH19" s="3"/>
      <c r="II19" s="3"/>
      <c r="IJ19" s="2"/>
      <c r="IK19" s="2"/>
      <c r="IL19" s="2"/>
      <c r="IM19" s="2"/>
      <c r="IN19" s="2"/>
      <c r="IO19" s="2"/>
      <c r="IP19" s="2"/>
      <c r="IQ19" s="2"/>
      <c r="IR19" s="2"/>
      <c r="IS19" s="2"/>
      <c r="IT19" s="2"/>
      <c r="IU19" s="3"/>
      <c r="IV19" s="3"/>
      <c r="IW19" s="3"/>
      <c r="IX19" s="3"/>
      <c r="IY19" s="3"/>
      <c r="IZ19" s="3"/>
      <c r="JA19" s="3"/>
      <c r="JB19" s="3"/>
      <c r="JC19" s="3"/>
      <c r="JD19" s="3"/>
      <c r="JE19" s="3"/>
      <c r="JF19" s="2"/>
      <c r="JG19" s="2"/>
      <c r="JH19" s="2"/>
      <c r="JI19" s="2"/>
      <c r="JJ19" s="2"/>
      <c r="JK19" s="2"/>
      <c r="JL19" s="2"/>
      <c r="JM19" s="2"/>
      <c r="JN19" s="2"/>
      <c r="JO19" s="2"/>
      <c r="JP19" s="2"/>
      <c r="JQ19" s="3"/>
      <c r="JR19" s="3"/>
      <c r="JS19" s="3"/>
      <c r="JT19" s="3"/>
      <c r="JU19" s="3"/>
      <c r="JV19" s="3"/>
      <c r="JW19" s="3"/>
      <c r="JX19" s="3"/>
      <c r="JY19" s="3"/>
      <c r="JZ19" s="3"/>
      <c r="KA19" s="3"/>
      <c r="KB19" s="2"/>
      <c r="KC19" s="2"/>
      <c r="KD19" s="2"/>
      <c r="KE19" s="2"/>
      <c r="KF19" s="2"/>
      <c r="KG19" s="2"/>
      <c r="KH19" s="2"/>
      <c r="KI19" s="2"/>
      <c r="KJ19" s="2"/>
      <c r="KK19" s="2"/>
      <c r="KL19" s="2"/>
      <c r="KM19" s="3"/>
      <c r="KN19" s="3"/>
      <c r="KO19" s="3"/>
      <c r="KP19" s="3"/>
      <c r="KQ19" s="3"/>
      <c r="KR19" s="3"/>
      <c r="KS19" s="3"/>
      <c r="KT19" s="3"/>
      <c r="KU19" s="3"/>
      <c r="KV19" s="3"/>
      <c r="KW19" s="3"/>
      <c r="KX19" s="2"/>
      <c r="KY19" s="2"/>
      <c r="KZ19" s="2"/>
      <c r="LA19" s="2"/>
      <c r="LB19" s="2"/>
      <c r="LC19" s="2"/>
      <c r="LD19" s="2"/>
      <c r="LE19" s="2"/>
      <c r="LF19" s="2"/>
      <c r="LG19" s="2"/>
      <c r="LH19" s="2"/>
      <c r="LI19" s="3"/>
      <c r="LJ19" s="3"/>
      <c r="LK19" s="3"/>
      <c r="LL19" s="3"/>
      <c r="LM19" s="3"/>
      <c r="LN19" s="3"/>
      <c r="LO19" s="3"/>
      <c r="LP19" s="3"/>
      <c r="LQ19" s="3"/>
      <c r="LR19" s="3"/>
      <c r="LS19" s="3"/>
      <c r="LT19" s="2"/>
      <c r="LU19" s="2"/>
      <c r="LV19" s="2"/>
      <c r="LW19" s="2"/>
      <c r="LX19" s="2"/>
      <c r="LY19" s="2"/>
      <c r="LZ19" s="2"/>
      <c r="MA19" s="2"/>
      <c r="MB19" s="2"/>
      <c r="MC19" s="2"/>
      <c r="MD19" s="2"/>
      <c r="ME19" s="3"/>
      <c r="MF19" s="3"/>
      <c r="MG19" s="3"/>
      <c r="MH19" s="3"/>
      <c r="MI19" s="3"/>
      <c r="MJ19" s="3"/>
      <c r="MK19" s="3"/>
      <c r="ML19" s="3"/>
      <c r="MM19" s="3"/>
      <c r="MN19" s="3"/>
      <c r="MO19" s="3"/>
      <c r="MP19" s="2"/>
      <c r="MQ19" s="2"/>
      <c r="MR19" s="2"/>
      <c r="MS19" s="2"/>
      <c r="MT19" s="2"/>
      <c r="MU19" s="2"/>
      <c r="MV19" s="2"/>
      <c r="MW19" s="2"/>
      <c r="MX19" s="2"/>
      <c r="MY19" s="2"/>
      <c r="MZ19" s="2"/>
      <c r="NA19" s="3"/>
      <c r="NB19" s="3"/>
      <c r="NC19" s="3"/>
      <c r="ND19" s="3"/>
      <c r="NE19" s="3"/>
      <c r="NF19" s="3"/>
      <c r="NG19" s="3"/>
      <c r="NH19" s="3"/>
      <c r="NI19" s="3"/>
      <c r="NJ19" s="3"/>
      <c r="NK19" s="3"/>
      <c r="NL19" s="56"/>
      <c r="NM19" s="57"/>
      <c r="NN19" s="57"/>
      <c r="NO19" s="57"/>
      <c r="NP19" s="57"/>
      <c r="NQ19" s="57"/>
      <c r="NR19" s="57"/>
      <c r="NS19" s="57"/>
      <c r="NT19" s="57"/>
      <c r="NU19" s="57"/>
      <c r="NV19" s="57"/>
      <c r="NW19" s="59"/>
      <c r="NX19" s="59"/>
      <c r="NY19" s="59"/>
      <c r="NZ19" s="59"/>
      <c r="OA19" s="59"/>
      <c r="OB19" s="59"/>
      <c r="OC19" s="59"/>
      <c r="OD19" s="59"/>
      <c r="OE19" s="59"/>
      <c r="OF19" s="59"/>
      <c r="OG19" s="59"/>
      <c r="OH19" s="56"/>
      <c r="OI19" s="57"/>
      <c r="OJ19" s="57"/>
      <c r="OK19" s="57"/>
      <c r="OL19" s="57"/>
      <c r="OM19" s="57"/>
      <c r="ON19" s="57"/>
      <c r="OO19" s="57"/>
      <c r="OP19" s="57"/>
      <c r="OQ19" s="57"/>
      <c r="OR19" s="57"/>
      <c r="OS19" s="59"/>
      <c r="OT19" s="59"/>
      <c r="OU19" s="59"/>
      <c r="OV19" s="59"/>
      <c r="OW19" s="59"/>
      <c r="OX19" s="59"/>
      <c r="OY19" s="59"/>
      <c r="OZ19" s="59"/>
      <c r="PA19" s="59"/>
      <c r="PB19" s="59"/>
      <c r="PC19" s="59"/>
      <c r="PD19" s="56"/>
      <c r="PE19" s="57"/>
      <c r="PF19" s="57"/>
      <c r="PG19" s="57"/>
      <c r="PH19" s="57"/>
      <c r="PI19" s="57"/>
      <c r="PJ19" s="57"/>
      <c r="PK19" s="57"/>
      <c r="PL19" s="57"/>
      <c r="PM19" s="57"/>
      <c r="PN19" s="57"/>
      <c r="PO19" s="59"/>
      <c r="PP19" s="59"/>
      <c r="PQ19" s="59"/>
      <c r="PR19" s="59"/>
      <c r="PS19" s="59"/>
      <c r="PT19" s="59"/>
      <c r="PU19" s="59"/>
      <c r="PV19" s="59"/>
      <c r="PW19" s="59"/>
      <c r="PX19" s="59"/>
      <c r="PY19" s="59"/>
      <c r="PZ19" s="56"/>
      <c r="QA19" s="57"/>
      <c r="QB19" s="57"/>
      <c r="QC19" s="57"/>
      <c r="QD19" s="57"/>
      <c r="QE19" s="57"/>
      <c r="QF19" s="57"/>
      <c r="QG19" s="57"/>
      <c r="QH19" s="57"/>
      <c r="QI19" s="57"/>
      <c r="QJ19" s="57"/>
      <c r="QK19" s="59"/>
      <c r="QL19" s="59"/>
      <c r="QM19" s="59"/>
      <c r="QN19" s="59"/>
      <c r="QO19" s="59"/>
      <c r="QP19" s="59"/>
      <c r="QQ19" s="59"/>
      <c r="QR19" s="59"/>
      <c r="QS19" s="59"/>
      <c r="QT19" s="59"/>
      <c r="QU19" s="59"/>
      <c r="QV19" s="56"/>
      <c r="QW19" s="57"/>
      <c r="QX19" s="57"/>
      <c r="QY19" s="57"/>
      <c r="QZ19" s="57"/>
      <c r="RA19" s="57"/>
      <c r="RB19" s="57"/>
      <c r="RC19" s="57"/>
      <c r="RD19" s="57"/>
      <c r="RE19" s="57"/>
      <c r="RF19" s="57"/>
      <c r="RG19" s="59"/>
      <c r="RH19" s="59"/>
      <c r="RI19" s="59"/>
      <c r="RJ19" s="59"/>
      <c r="RK19" s="59"/>
      <c r="RL19" s="59"/>
      <c r="RM19" s="59"/>
      <c r="RN19" s="59"/>
      <c r="RO19" s="59"/>
      <c r="RP19" s="59"/>
      <c r="RQ19" s="59"/>
      <c r="RR19" s="56"/>
      <c r="RS19" s="57"/>
      <c r="RT19" s="57"/>
      <c r="RU19" s="57"/>
      <c r="RV19" s="57"/>
      <c r="RW19" s="57"/>
      <c r="RX19" s="57"/>
      <c r="RY19" s="57"/>
      <c r="RZ19" s="57"/>
      <c r="SA19" s="57"/>
      <c r="SB19" s="57"/>
      <c r="SC19" s="59"/>
      <c r="SD19" s="59"/>
      <c r="SE19" s="59"/>
      <c r="SF19" s="59"/>
      <c r="SG19" s="59"/>
      <c r="SH19" s="59"/>
      <c r="SI19" s="59"/>
      <c r="SJ19" s="59"/>
      <c r="SK19" s="59"/>
      <c r="SL19" s="59"/>
      <c r="SM19" s="59"/>
      <c r="SN19" s="56"/>
      <c r="SO19" s="57"/>
      <c r="SP19" s="57"/>
      <c r="SQ19" s="57"/>
      <c r="SR19" s="57"/>
      <c r="SS19" s="57"/>
      <c r="ST19" s="57"/>
      <c r="SU19" s="57"/>
      <c r="SV19" s="57"/>
      <c r="SW19" s="57"/>
      <c r="SX19" s="57"/>
      <c r="SY19" s="59"/>
      <c r="SZ19" s="59"/>
      <c r="TA19" s="59"/>
      <c r="TB19" s="59"/>
      <c r="TC19" s="59"/>
      <c r="TD19" s="59"/>
      <c r="TE19" s="59"/>
      <c r="TF19" s="59"/>
      <c r="TG19" s="59"/>
      <c r="TH19" s="59"/>
      <c r="TI19" s="59"/>
      <c r="TJ19" s="56"/>
      <c r="TK19" s="57"/>
      <c r="TL19" s="57"/>
      <c r="TM19" s="57"/>
      <c r="TN19" s="57"/>
      <c r="TO19" s="57"/>
      <c r="TP19" s="57"/>
      <c r="TQ19" s="57"/>
      <c r="TR19" s="57"/>
      <c r="TS19" s="57"/>
      <c r="TT19" s="57"/>
      <c r="TU19" s="59"/>
      <c r="TV19" s="59"/>
      <c r="TW19" s="59"/>
      <c r="TX19" s="59"/>
      <c r="TY19" s="59"/>
      <c r="TZ19" s="59"/>
      <c r="UA19" s="59"/>
      <c r="UB19" s="59"/>
      <c r="UC19" s="59"/>
      <c r="UD19" s="59"/>
      <c r="UE19" s="59"/>
      <c r="UF19" s="56"/>
      <c r="UG19" s="57"/>
      <c r="UH19" s="57"/>
      <c r="UI19" s="57"/>
      <c r="UJ19" s="57"/>
      <c r="UK19" s="57"/>
      <c r="UL19" s="57"/>
      <c r="UM19" s="57"/>
      <c r="UN19" s="57"/>
      <c r="UO19" s="57"/>
      <c r="UP19" s="57"/>
      <c r="UQ19" s="59"/>
      <c r="UR19" s="59"/>
      <c r="US19" s="59"/>
      <c r="UT19" s="59"/>
      <c r="UU19" s="59"/>
      <c r="UV19" s="59"/>
      <c r="UW19" s="59"/>
      <c r="UX19" s="59"/>
      <c r="UY19" s="59"/>
      <c r="UZ19" s="59"/>
      <c r="VA19" s="59"/>
      <c r="VB19" s="56"/>
      <c r="VC19" s="57"/>
      <c r="VD19" s="57"/>
      <c r="VE19" s="57"/>
      <c r="VF19" s="57"/>
      <c r="VG19" s="57"/>
      <c r="VH19" s="57"/>
      <c r="VI19" s="57"/>
      <c r="VJ19" s="57"/>
      <c r="VK19" s="57"/>
      <c r="VL19" s="57"/>
      <c r="VM19" s="59"/>
      <c r="VN19" s="59"/>
      <c r="VO19" s="59"/>
      <c r="VP19" s="59"/>
      <c r="VQ19" s="59"/>
      <c r="VR19" s="59"/>
      <c r="VS19" s="59"/>
      <c r="VT19" s="59"/>
      <c r="VU19" s="59"/>
      <c r="VV19" s="59"/>
      <c r="VW19" s="59"/>
      <c r="VX19" s="56"/>
      <c r="VY19" s="57"/>
      <c r="VZ19" s="57"/>
      <c r="WA19" s="57"/>
      <c r="WB19" s="57"/>
      <c r="WC19" s="57"/>
      <c r="WD19" s="57"/>
      <c r="WE19" s="57"/>
      <c r="WF19" s="57"/>
      <c r="WG19" s="57"/>
      <c r="WH19" s="57"/>
      <c r="WI19" s="59"/>
      <c r="WJ19" s="59"/>
      <c r="WK19" s="59"/>
      <c r="WL19" s="59"/>
      <c r="WM19" s="59"/>
      <c r="WN19" s="59"/>
      <c r="WO19" s="59"/>
      <c r="WP19" s="59"/>
      <c r="WQ19" s="59"/>
      <c r="WR19" s="59"/>
      <c r="WS19" s="59"/>
      <c r="WT19" s="56"/>
      <c r="WU19" s="57"/>
      <c r="WV19" s="57"/>
      <c r="WW19" s="57"/>
      <c r="WX19" s="57"/>
      <c r="WY19" s="57"/>
      <c r="WZ19" s="57"/>
      <c r="XA19" s="57"/>
      <c r="XB19" s="57"/>
      <c r="XC19" s="57"/>
      <c r="XD19" s="57"/>
      <c r="XE19" s="59"/>
      <c r="XF19" s="59"/>
      <c r="XG19" s="59"/>
      <c r="XH19" s="59"/>
      <c r="XI19" s="59"/>
      <c r="XJ19" s="59"/>
      <c r="XK19" s="59"/>
      <c r="XL19" s="59"/>
      <c r="XM19" s="59"/>
      <c r="XN19" s="59"/>
      <c r="XO19" s="59"/>
      <c r="XP19" s="56"/>
      <c r="XQ19" s="57"/>
      <c r="XR19" s="57"/>
      <c r="XS19" s="57"/>
      <c r="XT19" s="57"/>
      <c r="XU19" s="57"/>
      <c r="XV19" s="57"/>
      <c r="XW19" s="57"/>
      <c r="XX19" s="57"/>
      <c r="XY19" s="57"/>
      <c r="XZ19" s="57"/>
      <c r="YA19" s="59"/>
      <c r="YB19" s="59"/>
      <c r="YC19" s="59"/>
      <c r="YD19" s="59"/>
      <c r="YE19" s="59"/>
      <c r="YF19" s="59"/>
      <c r="YG19" s="59"/>
      <c r="YH19" s="59"/>
      <c r="YI19" s="59"/>
      <c r="YJ19" s="59"/>
      <c r="YK19" s="59"/>
      <c r="YL19" s="56"/>
      <c r="YM19" s="57"/>
      <c r="YN19" s="57"/>
      <c r="YO19" s="57"/>
      <c r="YP19" s="57"/>
      <c r="YQ19" s="57"/>
      <c r="YR19" s="57"/>
      <c r="YS19" s="57"/>
      <c r="YT19" s="57"/>
      <c r="YU19" s="57"/>
      <c r="YV19" s="57"/>
      <c r="YW19" s="59"/>
      <c r="YX19" s="59"/>
      <c r="YY19" s="59"/>
      <c r="YZ19" s="59"/>
      <c r="ZA19" s="59"/>
      <c r="ZB19" s="59"/>
      <c r="ZC19" s="59"/>
      <c r="ZD19" s="59"/>
      <c r="ZE19" s="59"/>
      <c r="ZF19" s="59"/>
      <c r="ZG19" s="59"/>
      <c r="ZH19" s="56"/>
      <c r="ZI19" s="57"/>
      <c r="ZJ19" s="57"/>
      <c r="ZK19" s="57"/>
      <c r="ZL19" s="57"/>
      <c r="ZM19" s="57"/>
      <c r="ZN19" s="57"/>
      <c r="ZO19" s="57"/>
      <c r="ZP19" s="57"/>
      <c r="ZQ19" s="57"/>
      <c r="ZR19" s="57"/>
      <c r="ZS19" s="59"/>
      <c r="ZT19" s="59"/>
      <c r="ZU19" s="59"/>
      <c r="ZV19" s="59"/>
      <c r="ZW19" s="59"/>
      <c r="ZX19" s="59"/>
      <c r="ZY19" s="59"/>
      <c r="ZZ19" s="59"/>
      <c r="AAA19" s="59"/>
      <c r="AAB19" s="59"/>
      <c r="AAC19" s="59"/>
    </row>
    <row r="20" spans="1:705" x14ac:dyDescent="0.2">
      <c r="A20" s="1">
        <v>15</v>
      </c>
      <c r="B20" s="2"/>
      <c r="C20" s="2"/>
      <c r="D20" s="2"/>
      <c r="E20" s="2"/>
      <c r="F20" s="2"/>
      <c r="G20" s="2"/>
      <c r="H20" s="2"/>
      <c r="I20" s="2"/>
      <c r="J20" s="2"/>
      <c r="K20" s="2"/>
      <c r="L20" s="2"/>
      <c r="M20" s="3"/>
      <c r="N20" s="3"/>
      <c r="O20" s="3"/>
      <c r="P20" s="3"/>
      <c r="Q20" s="3"/>
      <c r="R20" s="3"/>
      <c r="S20" s="3"/>
      <c r="T20" s="3"/>
      <c r="U20" s="3"/>
      <c r="V20" s="3"/>
      <c r="W20" s="3"/>
      <c r="X20" s="2"/>
      <c r="Y20" s="2"/>
      <c r="Z20" s="2"/>
      <c r="AA20" s="2"/>
      <c r="AB20" s="2"/>
      <c r="AC20" s="2"/>
      <c r="AD20" s="2"/>
      <c r="AE20" s="2"/>
      <c r="AF20" s="2"/>
      <c r="AG20" s="2"/>
      <c r="AH20" s="2"/>
      <c r="AI20" s="3"/>
      <c r="AJ20" s="3"/>
      <c r="AK20" s="3"/>
      <c r="AL20" s="3"/>
      <c r="AM20" s="3"/>
      <c r="AN20" s="3"/>
      <c r="AO20" s="3"/>
      <c r="AP20" s="3"/>
      <c r="AQ20" s="3"/>
      <c r="AR20" s="3"/>
      <c r="AS20" s="3"/>
      <c r="AT20" s="2"/>
      <c r="AU20" s="2"/>
      <c r="AV20" s="2"/>
      <c r="AW20" s="2"/>
      <c r="AX20" s="2"/>
      <c r="AY20" s="2"/>
      <c r="AZ20" s="2"/>
      <c r="BA20" s="2"/>
      <c r="BB20" s="2"/>
      <c r="BC20" s="2"/>
      <c r="BD20" s="2"/>
      <c r="BE20" s="3"/>
      <c r="BF20" s="3"/>
      <c r="BG20" s="3"/>
      <c r="BH20" s="3"/>
      <c r="BI20" s="3"/>
      <c r="BJ20" s="3"/>
      <c r="BK20" s="3"/>
      <c r="BL20" s="3"/>
      <c r="BM20" s="3"/>
      <c r="BN20" s="3"/>
      <c r="BO20" s="3"/>
      <c r="BP20" s="2"/>
      <c r="BQ20" s="2"/>
      <c r="BR20" s="2"/>
      <c r="BS20" s="2"/>
      <c r="BT20" s="2"/>
      <c r="BU20" s="2"/>
      <c r="BV20" s="2"/>
      <c r="BW20" s="2"/>
      <c r="BX20" s="2"/>
      <c r="BY20" s="2"/>
      <c r="BZ20" s="2"/>
      <c r="CA20" s="3"/>
      <c r="CB20" s="3"/>
      <c r="CC20" s="3"/>
      <c r="CD20" s="3"/>
      <c r="CE20" s="3"/>
      <c r="CF20" s="3"/>
      <c r="CG20" s="3"/>
      <c r="CH20" s="3"/>
      <c r="CI20" s="3"/>
      <c r="CJ20" s="3"/>
      <c r="CK20" s="3"/>
      <c r="CL20" s="2"/>
      <c r="CM20" s="2"/>
      <c r="CN20" s="2"/>
      <c r="CO20" s="2"/>
      <c r="CP20" s="2"/>
      <c r="CQ20" s="2"/>
      <c r="CR20" s="2"/>
      <c r="CS20" s="2"/>
      <c r="CT20" s="2"/>
      <c r="CU20" s="2"/>
      <c r="CV20" s="2"/>
      <c r="CW20" s="3"/>
      <c r="CX20" s="3"/>
      <c r="CY20" s="3"/>
      <c r="CZ20" s="3"/>
      <c r="DA20" s="3"/>
      <c r="DB20" s="3"/>
      <c r="DC20" s="3"/>
      <c r="DD20" s="3"/>
      <c r="DE20" s="3"/>
      <c r="DF20" s="3"/>
      <c r="DG20" s="3"/>
      <c r="DH20" s="2"/>
      <c r="DI20" s="2"/>
      <c r="DJ20" s="2"/>
      <c r="DK20" s="2"/>
      <c r="DL20" s="2"/>
      <c r="DM20" s="2"/>
      <c r="DN20" s="2"/>
      <c r="DO20" s="2"/>
      <c r="DP20" s="2"/>
      <c r="DQ20" s="2"/>
      <c r="DR20" s="2"/>
      <c r="DS20" s="3"/>
      <c r="DT20" s="3"/>
      <c r="DU20" s="3"/>
      <c r="DV20" s="3"/>
      <c r="DW20" s="3"/>
      <c r="DX20" s="3"/>
      <c r="DY20" s="3"/>
      <c r="DZ20" s="3"/>
      <c r="EA20" s="3"/>
      <c r="EB20" s="3"/>
      <c r="EC20" s="3"/>
      <c r="ED20" s="2"/>
      <c r="EE20" s="2"/>
      <c r="EF20" s="2"/>
      <c r="EG20" s="2"/>
      <c r="EH20" s="2"/>
      <c r="EI20" s="2"/>
      <c r="EJ20" s="2"/>
      <c r="EK20" s="2"/>
      <c r="EL20" s="2"/>
      <c r="EM20" s="2"/>
      <c r="EN20" s="2"/>
      <c r="EO20" s="3"/>
      <c r="EP20" s="3"/>
      <c r="EQ20" s="3"/>
      <c r="ER20" s="3"/>
      <c r="ES20" s="3"/>
      <c r="ET20" s="3"/>
      <c r="EU20" s="3"/>
      <c r="EV20" s="3"/>
      <c r="EW20" s="3"/>
      <c r="EX20" s="3"/>
      <c r="EY20" s="3"/>
      <c r="EZ20" s="2"/>
      <c r="FA20" s="2"/>
      <c r="FB20" s="2"/>
      <c r="FC20" s="2"/>
      <c r="FD20" s="2"/>
      <c r="FE20" s="2"/>
      <c r="FF20" s="2"/>
      <c r="FG20" s="2"/>
      <c r="FH20" s="2"/>
      <c r="FI20" s="2"/>
      <c r="FJ20" s="2"/>
      <c r="FK20" s="3"/>
      <c r="FL20" s="3"/>
      <c r="FM20" s="3"/>
      <c r="FN20" s="3"/>
      <c r="FO20" s="3"/>
      <c r="FP20" s="3"/>
      <c r="FQ20" s="3"/>
      <c r="FR20" s="3"/>
      <c r="FS20" s="3"/>
      <c r="FT20" s="3"/>
      <c r="FU20" s="3"/>
      <c r="FV20" s="2"/>
      <c r="FW20" s="2"/>
      <c r="FX20" s="2"/>
      <c r="FY20" s="2"/>
      <c r="FZ20" s="2"/>
      <c r="GA20" s="2"/>
      <c r="GB20" s="2"/>
      <c r="GC20" s="2"/>
      <c r="GD20" s="2"/>
      <c r="GE20" s="2"/>
      <c r="GF20" s="2"/>
      <c r="GG20" s="3"/>
      <c r="GH20" s="3"/>
      <c r="GI20" s="3"/>
      <c r="GJ20" s="3"/>
      <c r="GK20" s="3"/>
      <c r="GL20" s="3"/>
      <c r="GM20" s="3"/>
      <c r="GN20" s="3"/>
      <c r="GO20" s="3"/>
      <c r="GP20" s="3"/>
      <c r="GQ20" s="3"/>
      <c r="GR20" s="2"/>
      <c r="GS20" s="2"/>
      <c r="GT20" s="2"/>
      <c r="GU20" s="2"/>
      <c r="GV20" s="2"/>
      <c r="GW20" s="2"/>
      <c r="GX20" s="2"/>
      <c r="GY20" s="2"/>
      <c r="GZ20" s="2"/>
      <c r="HA20" s="2"/>
      <c r="HB20" s="2"/>
      <c r="HC20" s="3"/>
      <c r="HD20" s="3"/>
      <c r="HE20" s="3"/>
      <c r="HF20" s="3"/>
      <c r="HG20" s="3"/>
      <c r="HH20" s="3"/>
      <c r="HI20" s="3"/>
      <c r="HJ20" s="3"/>
      <c r="HK20" s="3"/>
      <c r="HL20" s="3"/>
      <c r="HM20" s="3"/>
      <c r="HN20" s="2"/>
      <c r="HO20" s="2"/>
      <c r="HP20" s="2"/>
      <c r="HQ20" s="2"/>
      <c r="HR20" s="2"/>
      <c r="HS20" s="2"/>
      <c r="HT20" s="2"/>
      <c r="HU20" s="2"/>
      <c r="HV20" s="2"/>
      <c r="HW20" s="2"/>
      <c r="HX20" s="2"/>
      <c r="HY20" s="3"/>
      <c r="HZ20" s="3"/>
      <c r="IA20" s="3"/>
      <c r="IB20" s="3"/>
      <c r="IC20" s="3"/>
      <c r="ID20" s="3"/>
      <c r="IE20" s="3"/>
      <c r="IF20" s="3"/>
      <c r="IG20" s="3"/>
      <c r="IH20" s="3"/>
      <c r="II20" s="3"/>
      <c r="IJ20" s="2"/>
      <c r="IK20" s="2"/>
      <c r="IL20" s="2"/>
      <c r="IM20" s="2"/>
      <c r="IN20" s="2"/>
      <c r="IO20" s="2"/>
      <c r="IP20" s="2"/>
      <c r="IQ20" s="2"/>
      <c r="IR20" s="2"/>
      <c r="IS20" s="2"/>
      <c r="IT20" s="2"/>
      <c r="IU20" s="3"/>
      <c r="IV20" s="3"/>
      <c r="IW20" s="3"/>
      <c r="IX20" s="3"/>
      <c r="IY20" s="3"/>
      <c r="IZ20" s="3"/>
      <c r="JA20" s="3"/>
      <c r="JB20" s="3"/>
      <c r="JC20" s="3"/>
      <c r="JD20" s="3"/>
      <c r="JE20" s="3"/>
      <c r="JF20" s="2"/>
      <c r="JG20" s="2"/>
      <c r="JH20" s="2"/>
      <c r="JI20" s="2"/>
      <c r="JJ20" s="2"/>
      <c r="JK20" s="2"/>
      <c r="JL20" s="2"/>
      <c r="JM20" s="2"/>
      <c r="JN20" s="2"/>
      <c r="JO20" s="2"/>
      <c r="JP20" s="2"/>
      <c r="JQ20" s="3"/>
      <c r="JR20" s="3"/>
      <c r="JS20" s="3"/>
      <c r="JT20" s="3"/>
      <c r="JU20" s="3"/>
      <c r="JV20" s="3"/>
      <c r="JW20" s="3"/>
      <c r="JX20" s="3"/>
      <c r="JY20" s="3"/>
      <c r="JZ20" s="3"/>
      <c r="KA20" s="3"/>
      <c r="KB20" s="2"/>
      <c r="KC20" s="2"/>
      <c r="KD20" s="2"/>
      <c r="KE20" s="2"/>
      <c r="KF20" s="2"/>
      <c r="KG20" s="2"/>
      <c r="KH20" s="2"/>
      <c r="KI20" s="2"/>
      <c r="KJ20" s="2"/>
      <c r="KK20" s="2"/>
      <c r="KL20" s="2"/>
      <c r="KM20" s="3"/>
      <c r="KN20" s="3"/>
      <c r="KO20" s="3"/>
      <c r="KP20" s="3"/>
      <c r="KQ20" s="3"/>
      <c r="KR20" s="3"/>
      <c r="KS20" s="3"/>
      <c r="KT20" s="3"/>
      <c r="KU20" s="3"/>
      <c r="KV20" s="3"/>
      <c r="KW20" s="3"/>
      <c r="KX20" s="2"/>
      <c r="KY20" s="2"/>
      <c r="KZ20" s="2"/>
      <c r="LA20" s="2"/>
      <c r="LB20" s="2"/>
      <c r="LC20" s="2"/>
      <c r="LD20" s="2"/>
      <c r="LE20" s="2"/>
      <c r="LF20" s="2"/>
      <c r="LG20" s="2"/>
      <c r="LH20" s="2"/>
      <c r="LI20" s="3"/>
      <c r="LJ20" s="3"/>
      <c r="LK20" s="3"/>
      <c r="LL20" s="3"/>
      <c r="LM20" s="3"/>
      <c r="LN20" s="3"/>
      <c r="LO20" s="3"/>
      <c r="LP20" s="3"/>
      <c r="LQ20" s="3"/>
      <c r="LR20" s="3"/>
      <c r="LS20" s="3"/>
      <c r="LT20" s="2"/>
      <c r="LU20" s="2"/>
      <c r="LV20" s="2"/>
      <c r="LW20" s="2"/>
      <c r="LX20" s="2"/>
      <c r="LY20" s="2"/>
      <c r="LZ20" s="2"/>
      <c r="MA20" s="2"/>
      <c r="MB20" s="2"/>
      <c r="MC20" s="2"/>
      <c r="MD20" s="2"/>
      <c r="ME20" s="3"/>
      <c r="MF20" s="3"/>
      <c r="MG20" s="3"/>
      <c r="MH20" s="3"/>
      <c r="MI20" s="3"/>
      <c r="MJ20" s="3"/>
      <c r="MK20" s="3"/>
      <c r="ML20" s="3"/>
      <c r="MM20" s="3"/>
      <c r="MN20" s="3"/>
      <c r="MO20" s="3"/>
      <c r="MP20" s="2"/>
      <c r="MQ20" s="2"/>
      <c r="MR20" s="2"/>
      <c r="MS20" s="2"/>
      <c r="MT20" s="2"/>
      <c r="MU20" s="2"/>
      <c r="MV20" s="2"/>
      <c r="MW20" s="2"/>
      <c r="MX20" s="2"/>
      <c r="MY20" s="2"/>
      <c r="MZ20" s="2"/>
      <c r="NA20" s="3"/>
      <c r="NB20" s="3"/>
      <c r="NC20" s="3"/>
      <c r="ND20" s="3"/>
      <c r="NE20" s="3"/>
      <c r="NF20" s="3"/>
      <c r="NG20" s="3"/>
      <c r="NH20" s="3"/>
      <c r="NI20" s="3"/>
      <c r="NJ20" s="3"/>
      <c r="NK20" s="3"/>
      <c r="NL20" s="56"/>
      <c r="NM20" s="57"/>
      <c r="NN20" s="57"/>
      <c r="NO20" s="57"/>
      <c r="NP20" s="57"/>
      <c r="NQ20" s="57"/>
      <c r="NR20" s="57"/>
      <c r="NS20" s="57"/>
      <c r="NT20" s="57"/>
      <c r="NU20" s="57"/>
      <c r="NV20" s="57"/>
      <c r="NW20" s="59"/>
      <c r="NX20" s="59"/>
      <c r="NY20" s="59"/>
      <c r="NZ20" s="59"/>
      <c r="OA20" s="59"/>
      <c r="OB20" s="59"/>
      <c r="OC20" s="59"/>
      <c r="OD20" s="59"/>
      <c r="OE20" s="59"/>
      <c r="OF20" s="59"/>
      <c r="OG20" s="59"/>
      <c r="OH20" s="56"/>
      <c r="OI20" s="57"/>
      <c r="OJ20" s="57"/>
      <c r="OK20" s="57"/>
      <c r="OL20" s="57"/>
      <c r="OM20" s="57"/>
      <c r="ON20" s="57"/>
      <c r="OO20" s="57"/>
      <c r="OP20" s="57"/>
      <c r="OQ20" s="57"/>
      <c r="OR20" s="57"/>
      <c r="OS20" s="59"/>
      <c r="OT20" s="59"/>
      <c r="OU20" s="59"/>
      <c r="OV20" s="59"/>
      <c r="OW20" s="59"/>
      <c r="OX20" s="59"/>
      <c r="OY20" s="59"/>
      <c r="OZ20" s="59"/>
      <c r="PA20" s="59"/>
      <c r="PB20" s="59"/>
      <c r="PC20" s="59"/>
      <c r="PD20" s="56"/>
      <c r="PE20" s="57"/>
      <c r="PF20" s="57"/>
      <c r="PG20" s="57"/>
      <c r="PH20" s="57"/>
      <c r="PI20" s="57"/>
      <c r="PJ20" s="57"/>
      <c r="PK20" s="57"/>
      <c r="PL20" s="57"/>
      <c r="PM20" s="57"/>
      <c r="PN20" s="57"/>
      <c r="PO20" s="59"/>
      <c r="PP20" s="59"/>
      <c r="PQ20" s="59"/>
      <c r="PR20" s="59"/>
      <c r="PS20" s="59"/>
      <c r="PT20" s="59"/>
      <c r="PU20" s="59"/>
      <c r="PV20" s="59"/>
      <c r="PW20" s="59"/>
      <c r="PX20" s="59"/>
      <c r="PY20" s="59"/>
      <c r="PZ20" s="56"/>
      <c r="QA20" s="57"/>
      <c r="QB20" s="57"/>
      <c r="QC20" s="57"/>
      <c r="QD20" s="57"/>
      <c r="QE20" s="57"/>
      <c r="QF20" s="57"/>
      <c r="QG20" s="57"/>
      <c r="QH20" s="57"/>
      <c r="QI20" s="57"/>
      <c r="QJ20" s="57"/>
      <c r="QK20" s="59"/>
      <c r="QL20" s="59"/>
      <c r="QM20" s="59"/>
      <c r="QN20" s="59"/>
      <c r="QO20" s="59"/>
      <c r="QP20" s="59"/>
      <c r="QQ20" s="59"/>
      <c r="QR20" s="59"/>
      <c r="QS20" s="59"/>
      <c r="QT20" s="59"/>
      <c r="QU20" s="59"/>
      <c r="QV20" s="56"/>
      <c r="QW20" s="57"/>
      <c r="QX20" s="57"/>
      <c r="QY20" s="57"/>
      <c r="QZ20" s="57"/>
      <c r="RA20" s="57"/>
      <c r="RB20" s="57"/>
      <c r="RC20" s="57"/>
      <c r="RD20" s="57"/>
      <c r="RE20" s="57"/>
      <c r="RF20" s="57"/>
      <c r="RG20" s="59"/>
      <c r="RH20" s="59"/>
      <c r="RI20" s="59"/>
      <c r="RJ20" s="59"/>
      <c r="RK20" s="59"/>
      <c r="RL20" s="59"/>
      <c r="RM20" s="59"/>
      <c r="RN20" s="59"/>
      <c r="RO20" s="59"/>
      <c r="RP20" s="59"/>
      <c r="RQ20" s="59"/>
      <c r="RR20" s="56"/>
      <c r="RS20" s="57"/>
      <c r="RT20" s="57"/>
      <c r="RU20" s="57"/>
      <c r="RV20" s="57"/>
      <c r="RW20" s="57"/>
      <c r="RX20" s="57"/>
      <c r="RY20" s="57"/>
      <c r="RZ20" s="57"/>
      <c r="SA20" s="57"/>
      <c r="SB20" s="57"/>
      <c r="SC20" s="59"/>
      <c r="SD20" s="59"/>
      <c r="SE20" s="59"/>
      <c r="SF20" s="59"/>
      <c r="SG20" s="59"/>
      <c r="SH20" s="59"/>
      <c r="SI20" s="59"/>
      <c r="SJ20" s="59"/>
      <c r="SK20" s="59"/>
      <c r="SL20" s="59"/>
      <c r="SM20" s="59"/>
      <c r="SN20" s="56"/>
      <c r="SO20" s="57"/>
      <c r="SP20" s="57"/>
      <c r="SQ20" s="57"/>
      <c r="SR20" s="57"/>
      <c r="SS20" s="57"/>
      <c r="ST20" s="57"/>
      <c r="SU20" s="57"/>
      <c r="SV20" s="57"/>
      <c r="SW20" s="57"/>
      <c r="SX20" s="57"/>
      <c r="SY20" s="59"/>
      <c r="SZ20" s="59"/>
      <c r="TA20" s="59"/>
      <c r="TB20" s="59"/>
      <c r="TC20" s="59"/>
      <c r="TD20" s="59"/>
      <c r="TE20" s="59"/>
      <c r="TF20" s="59"/>
      <c r="TG20" s="59"/>
      <c r="TH20" s="59"/>
      <c r="TI20" s="59"/>
      <c r="TJ20" s="56"/>
      <c r="TK20" s="57"/>
      <c r="TL20" s="57"/>
      <c r="TM20" s="57"/>
      <c r="TN20" s="57"/>
      <c r="TO20" s="57"/>
      <c r="TP20" s="57"/>
      <c r="TQ20" s="57"/>
      <c r="TR20" s="57"/>
      <c r="TS20" s="57"/>
      <c r="TT20" s="57"/>
      <c r="TU20" s="59"/>
      <c r="TV20" s="59"/>
      <c r="TW20" s="59"/>
      <c r="TX20" s="59"/>
      <c r="TY20" s="59"/>
      <c r="TZ20" s="59"/>
      <c r="UA20" s="59"/>
      <c r="UB20" s="59"/>
      <c r="UC20" s="59"/>
      <c r="UD20" s="59"/>
      <c r="UE20" s="59"/>
      <c r="UF20" s="56"/>
      <c r="UG20" s="57"/>
      <c r="UH20" s="57"/>
      <c r="UI20" s="57"/>
      <c r="UJ20" s="57"/>
      <c r="UK20" s="57"/>
      <c r="UL20" s="57"/>
      <c r="UM20" s="57"/>
      <c r="UN20" s="57"/>
      <c r="UO20" s="57"/>
      <c r="UP20" s="57"/>
      <c r="UQ20" s="59"/>
      <c r="UR20" s="59"/>
      <c r="US20" s="59"/>
      <c r="UT20" s="59"/>
      <c r="UU20" s="59"/>
      <c r="UV20" s="59"/>
      <c r="UW20" s="59"/>
      <c r="UX20" s="59"/>
      <c r="UY20" s="59"/>
      <c r="UZ20" s="59"/>
      <c r="VA20" s="59"/>
      <c r="VB20" s="56"/>
      <c r="VC20" s="57"/>
      <c r="VD20" s="57"/>
      <c r="VE20" s="57"/>
      <c r="VF20" s="57"/>
      <c r="VG20" s="57"/>
      <c r="VH20" s="57"/>
      <c r="VI20" s="57"/>
      <c r="VJ20" s="57"/>
      <c r="VK20" s="57"/>
      <c r="VL20" s="57"/>
      <c r="VM20" s="59"/>
      <c r="VN20" s="59"/>
      <c r="VO20" s="59"/>
      <c r="VP20" s="59"/>
      <c r="VQ20" s="59"/>
      <c r="VR20" s="59"/>
      <c r="VS20" s="59"/>
      <c r="VT20" s="59"/>
      <c r="VU20" s="59"/>
      <c r="VV20" s="59"/>
      <c r="VW20" s="59"/>
      <c r="VX20" s="56"/>
      <c r="VY20" s="57"/>
      <c r="VZ20" s="57"/>
      <c r="WA20" s="57"/>
      <c r="WB20" s="57"/>
      <c r="WC20" s="57"/>
      <c r="WD20" s="57"/>
      <c r="WE20" s="57"/>
      <c r="WF20" s="57"/>
      <c r="WG20" s="57"/>
      <c r="WH20" s="57"/>
      <c r="WI20" s="59"/>
      <c r="WJ20" s="59"/>
      <c r="WK20" s="59"/>
      <c r="WL20" s="59"/>
      <c r="WM20" s="59"/>
      <c r="WN20" s="59"/>
      <c r="WO20" s="59"/>
      <c r="WP20" s="59"/>
      <c r="WQ20" s="59"/>
      <c r="WR20" s="59"/>
      <c r="WS20" s="59"/>
      <c r="WT20" s="56"/>
      <c r="WU20" s="57"/>
      <c r="WV20" s="57"/>
      <c r="WW20" s="57"/>
      <c r="WX20" s="57"/>
      <c r="WY20" s="57"/>
      <c r="WZ20" s="57"/>
      <c r="XA20" s="57"/>
      <c r="XB20" s="57"/>
      <c r="XC20" s="57"/>
      <c r="XD20" s="57"/>
      <c r="XE20" s="59"/>
      <c r="XF20" s="59"/>
      <c r="XG20" s="59"/>
      <c r="XH20" s="59"/>
      <c r="XI20" s="59"/>
      <c r="XJ20" s="59"/>
      <c r="XK20" s="59"/>
      <c r="XL20" s="59"/>
      <c r="XM20" s="59"/>
      <c r="XN20" s="59"/>
      <c r="XO20" s="59"/>
      <c r="XP20" s="56"/>
      <c r="XQ20" s="57"/>
      <c r="XR20" s="57"/>
      <c r="XS20" s="57"/>
      <c r="XT20" s="57"/>
      <c r="XU20" s="57"/>
      <c r="XV20" s="57"/>
      <c r="XW20" s="57"/>
      <c r="XX20" s="57"/>
      <c r="XY20" s="57"/>
      <c r="XZ20" s="57"/>
      <c r="YA20" s="59"/>
      <c r="YB20" s="59"/>
      <c r="YC20" s="59"/>
      <c r="YD20" s="59"/>
      <c r="YE20" s="59"/>
      <c r="YF20" s="59"/>
      <c r="YG20" s="59"/>
      <c r="YH20" s="59"/>
      <c r="YI20" s="59"/>
      <c r="YJ20" s="59"/>
      <c r="YK20" s="59"/>
      <c r="YL20" s="56"/>
      <c r="YM20" s="57"/>
      <c r="YN20" s="57"/>
      <c r="YO20" s="57"/>
      <c r="YP20" s="57"/>
      <c r="YQ20" s="57"/>
      <c r="YR20" s="57"/>
      <c r="YS20" s="57"/>
      <c r="YT20" s="57"/>
      <c r="YU20" s="57"/>
      <c r="YV20" s="57"/>
      <c r="YW20" s="59"/>
      <c r="YX20" s="59"/>
      <c r="YY20" s="59"/>
      <c r="YZ20" s="59"/>
      <c r="ZA20" s="59"/>
      <c r="ZB20" s="59"/>
      <c r="ZC20" s="59"/>
      <c r="ZD20" s="59"/>
      <c r="ZE20" s="59"/>
      <c r="ZF20" s="59"/>
      <c r="ZG20" s="59"/>
      <c r="ZH20" s="56"/>
      <c r="ZI20" s="57"/>
      <c r="ZJ20" s="57"/>
      <c r="ZK20" s="57"/>
      <c r="ZL20" s="57"/>
      <c r="ZM20" s="57"/>
      <c r="ZN20" s="57"/>
      <c r="ZO20" s="57"/>
      <c r="ZP20" s="57"/>
      <c r="ZQ20" s="57"/>
      <c r="ZR20" s="57"/>
      <c r="ZS20" s="59"/>
      <c r="ZT20" s="59"/>
      <c r="ZU20" s="59"/>
      <c r="ZV20" s="59"/>
      <c r="ZW20" s="59"/>
      <c r="ZX20" s="59"/>
      <c r="ZY20" s="59"/>
      <c r="ZZ20" s="59"/>
      <c r="AAA20" s="59"/>
      <c r="AAB20" s="59"/>
      <c r="AAC20" s="59"/>
    </row>
    <row r="21" spans="1:705" x14ac:dyDescent="0.2">
      <c r="A21" s="1">
        <v>16</v>
      </c>
      <c r="B21" s="2"/>
      <c r="C21" s="2"/>
      <c r="D21" s="2"/>
      <c r="E21" s="2"/>
      <c r="F21" s="2"/>
      <c r="G21" s="2"/>
      <c r="H21" s="2"/>
      <c r="I21" s="2"/>
      <c r="J21" s="2"/>
      <c r="K21" s="2"/>
      <c r="L21" s="2"/>
      <c r="M21" s="3"/>
      <c r="N21" s="3"/>
      <c r="O21" s="3"/>
      <c r="P21" s="3"/>
      <c r="Q21" s="3"/>
      <c r="R21" s="3"/>
      <c r="S21" s="3"/>
      <c r="T21" s="3"/>
      <c r="U21" s="3"/>
      <c r="V21" s="3"/>
      <c r="W21" s="3"/>
      <c r="X21" s="2"/>
      <c r="Y21" s="2"/>
      <c r="Z21" s="2"/>
      <c r="AA21" s="2"/>
      <c r="AB21" s="2"/>
      <c r="AC21" s="2"/>
      <c r="AD21" s="2"/>
      <c r="AE21" s="2"/>
      <c r="AF21" s="2"/>
      <c r="AG21" s="2"/>
      <c r="AH21" s="2"/>
      <c r="AI21" s="3"/>
      <c r="AJ21" s="3"/>
      <c r="AK21" s="3"/>
      <c r="AL21" s="3"/>
      <c r="AM21" s="3"/>
      <c r="AN21" s="3"/>
      <c r="AO21" s="3"/>
      <c r="AP21" s="3"/>
      <c r="AQ21" s="3"/>
      <c r="AR21" s="3"/>
      <c r="AS21" s="3"/>
      <c r="AT21" s="2"/>
      <c r="AU21" s="2"/>
      <c r="AV21" s="2"/>
      <c r="AW21" s="2"/>
      <c r="AX21" s="2"/>
      <c r="AY21" s="2"/>
      <c r="AZ21" s="2"/>
      <c r="BA21" s="2"/>
      <c r="BB21" s="2"/>
      <c r="BC21" s="2"/>
      <c r="BD21" s="2"/>
      <c r="BE21" s="3"/>
      <c r="BF21" s="3"/>
      <c r="BG21" s="3"/>
      <c r="BH21" s="3"/>
      <c r="BI21" s="3"/>
      <c r="BJ21" s="3"/>
      <c r="BK21" s="3"/>
      <c r="BL21" s="3"/>
      <c r="BM21" s="3"/>
      <c r="BN21" s="3"/>
      <c r="BO21" s="3"/>
      <c r="BP21" s="2"/>
      <c r="BQ21" s="2"/>
      <c r="BR21" s="2"/>
      <c r="BS21" s="2"/>
      <c r="BT21" s="2"/>
      <c r="BU21" s="2"/>
      <c r="BV21" s="2"/>
      <c r="BW21" s="2"/>
      <c r="BX21" s="2"/>
      <c r="BY21" s="2"/>
      <c r="BZ21" s="2"/>
      <c r="CA21" s="3"/>
      <c r="CB21" s="3"/>
      <c r="CC21" s="3"/>
      <c r="CD21" s="3"/>
      <c r="CE21" s="3"/>
      <c r="CF21" s="3"/>
      <c r="CG21" s="3"/>
      <c r="CH21" s="3"/>
      <c r="CI21" s="3"/>
      <c r="CJ21" s="3"/>
      <c r="CK21" s="3"/>
      <c r="CL21" s="2"/>
      <c r="CM21" s="2"/>
      <c r="CN21" s="2"/>
      <c r="CO21" s="2"/>
      <c r="CP21" s="2"/>
      <c r="CQ21" s="2"/>
      <c r="CR21" s="2"/>
      <c r="CS21" s="2"/>
      <c r="CT21" s="2"/>
      <c r="CU21" s="2"/>
      <c r="CV21" s="2"/>
      <c r="CW21" s="3"/>
      <c r="CX21" s="3"/>
      <c r="CY21" s="3"/>
      <c r="CZ21" s="3"/>
      <c r="DA21" s="3"/>
      <c r="DB21" s="3"/>
      <c r="DC21" s="3"/>
      <c r="DD21" s="3"/>
      <c r="DE21" s="3"/>
      <c r="DF21" s="3"/>
      <c r="DG21" s="3"/>
      <c r="DH21" s="2"/>
      <c r="DI21" s="2"/>
      <c r="DJ21" s="2"/>
      <c r="DK21" s="2"/>
      <c r="DL21" s="2"/>
      <c r="DM21" s="2"/>
      <c r="DN21" s="2"/>
      <c r="DO21" s="2"/>
      <c r="DP21" s="2"/>
      <c r="DQ21" s="2"/>
      <c r="DR21" s="2"/>
      <c r="DS21" s="3"/>
      <c r="DT21" s="3"/>
      <c r="DU21" s="3"/>
      <c r="DV21" s="3"/>
      <c r="DW21" s="3"/>
      <c r="DX21" s="3"/>
      <c r="DY21" s="3"/>
      <c r="DZ21" s="3"/>
      <c r="EA21" s="3"/>
      <c r="EB21" s="3"/>
      <c r="EC21" s="3"/>
      <c r="ED21" s="2"/>
      <c r="EE21" s="2"/>
      <c r="EF21" s="2"/>
      <c r="EG21" s="2"/>
      <c r="EH21" s="2"/>
      <c r="EI21" s="2"/>
      <c r="EJ21" s="2"/>
      <c r="EK21" s="2"/>
      <c r="EL21" s="2"/>
      <c r="EM21" s="2"/>
      <c r="EN21" s="2"/>
      <c r="EO21" s="3"/>
      <c r="EP21" s="3"/>
      <c r="EQ21" s="3"/>
      <c r="ER21" s="3"/>
      <c r="ES21" s="3"/>
      <c r="ET21" s="3"/>
      <c r="EU21" s="3"/>
      <c r="EV21" s="3"/>
      <c r="EW21" s="3"/>
      <c r="EX21" s="3"/>
      <c r="EY21" s="3"/>
      <c r="EZ21" s="2"/>
      <c r="FA21" s="2"/>
      <c r="FB21" s="2"/>
      <c r="FC21" s="2"/>
      <c r="FD21" s="2"/>
      <c r="FE21" s="2"/>
      <c r="FF21" s="2"/>
      <c r="FG21" s="2"/>
      <c r="FH21" s="2"/>
      <c r="FI21" s="2"/>
      <c r="FJ21" s="2"/>
      <c r="FK21" s="3"/>
      <c r="FL21" s="3"/>
      <c r="FM21" s="3"/>
      <c r="FN21" s="3"/>
      <c r="FO21" s="3"/>
      <c r="FP21" s="3"/>
      <c r="FQ21" s="3"/>
      <c r="FR21" s="3"/>
      <c r="FS21" s="3"/>
      <c r="FT21" s="3"/>
      <c r="FU21" s="3"/>
      <c r="FV21" s="2"/>
      <c r="FW21" s="2"/>
      <c r="FX21" s="2"/>
      <c r="FY21" s="2"/>
      <c r="FZ21" s="2"/>
      <c r="GA21" s="2"/>
      <c r="GB21" s="2"/>
      <c r="GC21" s="2"/>
      <c r="GD21" s="2"/>
      <c r="GE21" s="2"/>
      <c r="GF21" s="2"/>
      <c r="GG21" s="3"/>
      <c r="GH21" s="3"/>
      <c r="GI21" s="3"/>
      <c r="GJ21" s="3"/>
      <c r="GK21" s="3"/>
      <c r="GL21" s="3"/>
      <c r="GM21" s="3"/>
      <c r="GN21" s="3"/>
      <c r="GO21" s="3"/>
      <c r="GP21" s="3"/>
      <c r="GQ21" s="3"/>
      <c r="GR21" s="2"/>
      <c r="GS21" s="2"/>
      <c r="GT21" s="2"/>
      <c r="GU21" s="2"/>
      <c r="GV21" s="2"/>
      <c r="GW21" s="2"/>
      <c r="GX21" s="2"/>
      <c r="GY21" s="2"/>
      <c r="GZ21" s="2"/>
      <c r="HA21" s="2"/>
      <c r="HB21" s="2"/>
      <c r="HC21" s="3"/>
      <c r="HD21" s="3"/>
      <c r="HE21" s="3"/>
      <c r="HF21" s="3"/>
      <c r="HG21" s="3"/>
      <c r="HH21" s="3"/>
      <c r="HI21" s="3"/>
      <c r="HJ21" s="3"/>
      <c r="HK21" s="3"/>
      <c r="HL21" s="3"/>
      <c r="HM21" s="3"/>
      <c r="HN21" s="2"/>
      <c r="HO21" s="2"/>
      <c r="HP21" s="2"/>
      <c r="HQ21" s="2"/>
      <c r="HR21" s="2"/>
      <c r="HS21" s="2"/>
      <c r="HT21" s="2"/>
      <c r="HU21" s="2"/>
      <c r="HV21" s="2"/>
      <c r="HW21" s="2"/>
      <c r="HX21" s="2"/>
      <c r="HY21" s="3"/>
      <c r="HZ21" s="3"/>
      <c r="IA21" s="3"/>
      <c r="IB21" s="3"/>
      <c r="IC21" s="3"/>
      <c r="ID21" s="3"/>
      <c r="IE21" s="3"/>
      <c r="IF21" s="3"/>
      <c r="IG21" s="3"/>
      <c r="IH21" s="3"/>
      <c r="II21" s="3"/>
      <c r="IJ21" s="2"/>
      <c r="IK21" s="2"/>
      <c r="IL21" s="2"/>
      <c r="IM21" s="2"/>
      <c r="IN21" s="2"/>
      <c r="IO21" s="2"/>
      <c r="IP21" s="2"/>
      <c r="IQ21" s="2"/>
      <c r="IR21" s="2"/>
      <c r="IS21" s="2"/>
      <c r="IT21" s="2"/>
      <c r="IU21" s="3"/>
      <c r="IV21" s="3"/>
      <c r="IW21" s="3"/>
      <c r="IX21" s="3"/>
      <c r="IY21" s="3"/>
      <c r="IZ21" s="3"/>
      <c r="JA21" s="3"/>
      <c r="JB21" s="3"/>
      <c r="JC21" s="3"/>
      <c r="JD21" s="3"/>
      <c r="JE21" s="3"/>
      <c r="JF21" s="2"/>
      <c r="JG21" s="2"/>
      <c r="JH21" s="2"/>
      <c r="JI21" s="2"/>
      <c r="JJ21" s="2"/>
      <c r="JK21" s="2"/>
      <c r="JL21" s="2"/>
      <c r="JM21" s="2"/>
      <c r="JN21" s="2"/>
      <c r="JO21" s="2"/>
      <c r="JP21" s="2"/>
      <c r="JQ21" s="3"/>
      <c r="JR21" s="3"/>
      <c r="JS21" s="3"/>
      <c r="JT21" s="3"/>
      <c r="JU21" s="3"/>
      <c r="JV21" s="3"/>
      <c r="JW21" s="3"/>
      <c r="JX21" s="3"/>
      <c r="JY21" s="3"/>
      <c r="JZ21" s="3"/>
      <c r="KA21" s="3"/>
      <c r="KB21" s="2"/>
      <c r="KC21" s="2"/>
      <c r="KD21" s="2"/>
      <c r="KE21" s="2"/>
      <c r="KF21" s="2"/>
      <c r="KG21" s="2"/>
      <c r="KH21" s="2"/>
      <c r="KI21" s="2"/>
      <c r="KJ21" s="2"/>
      <c r="KK21" s="2"/>
      <c r="KL21" s="2"/>
      <c r="KM21" s="3"/>
      <c r="KN21" s="3"/>
      <c r="KO21" s="3"/>
      <c r="KP21" s="3"/>
      <c r="KQ21" s="3"/>
      <c r="KR21" s="3"/>
      <c r="KS21" s="3"/>
      <c r="KT21" s="3"/>
      <c r="KU21" s="3"/>
      <c r="KV21" s="3"/>
      <c r="KW21" s="3"/>
      <c r="KX21" s="2"/>
      <c r="KY21" s="2"/>
      <c r="KZ21" s="2"/>
      <c r="LA21" s="2"/>
      <c r="LB21" s="2"/>
      <c r="LC21" s="2"/>
      <c r="LD21" s="2"/>
      <c r="LE21" s="2"/>
      <c r="LF21" s="2"/>
      <c r="LG21" s="2"/>
      <c r="LH21" s="2"/>
      <c r="LI21" s="3"/>
      <c r="LJ21" s="3"/>
      <c r="LK21" s="3"/>
      <c r="LL21" s="3"/>
      <c r="LM21" s="3"/>
      <c r="LN21" s="3"/>
      <c r="LO21" s="3"/>
      <c r="LP21" s="3"/>
      <c r="LQ21" s="3"/>
      <c r="LR21" s="3"/>
      <c r="LS21" s="3"/>
      <c r="LT21" s="2"/>
      <c r="LU21" s="2"/>
      <c r="LV21" s="2"/>
      <c r="LW21" s="2"/>
      <c r="LX21" s="2"/>
      <c r="LY21" s="2"/>
      <c r="LZ21" s="2"/>
      <c r="MA21" s="2"/>
      <c r="MB21" s="2"/>
      <c r="MC21" s="2"/>
      <c r="MD21" s="2"/>
      <c r="ME21" s="3"/>
      <c r="MF21" s="3"/>
      <c r="MG21" s="3"/>
      <c r="MH21" s="3"/>
      <c r="MI21" s="3"/>
      <c r="MJ21" s="3"/>
      <c r="MK21" s="3"/>
      <c r="ML21" s="3"/>
      <c r="MM21" s="3"/>
      <c r="MN21" s="3"/>
      <c r="MO21" s="3"/>
      <c r="MP21" s="2"/>
      <c r="MQ21" s="2"/>
      <c r="MR21" s="2"/>
      <c r="MS21" s="2"/>
      <c r="MT21" s="2"/>
      <c r="MU21" s="2"/>
      <c r="MV21" s="2"/>
      <c r="MW21" s="2"/>
      <c r="MX21" s="2"/>
      <c r="MY21" s="2"/>
      <c r="MZ21" s="2"/>
      <c r="NA21" s="3"/>
      <c r="NB21" s="3"/>
      <c r="NC21" s="3"/>
      <c r="ND21" s="3"/>
      <c r="NE21" s="3"/>
      <c r="NF21" s="3"/>
      <c r="NG21" s="3"/>
      <c r="NH21" s="3"/>
      <c r="NI21" s="3"/>
      <c r="NJ21" s="3"/>
      <c r="NK21" s="3"/>
      <c r="NL21" s="56"/>
      <c r="NM21" s="57"/>
      <c r="NN21" s="57"/>
      <c r="NO21" s="57"/>
      <c r="NP21" s="57"/>
      <c r="NQ21" s="57"/>
      <c r="NR21" s="57"/>
      <c r="NS21" s="57"/>
      <c r="NT21" s="57"/>
      <c r="NU21" s="57"/>
      <c r="NV21" s="57"/>
      <c r="NW21" s="59"/>
      <c r="NX21" s="59"/>
      <c r="NY21" s="59"/>
      <c r="NZ21" s="59"/>
      <c r="OA21" s="59"/>
      <c r="OB21" s="59"/>
      <c r="OC21" s="59"/>
      <c r="OD21" s="59"/>
      <c r="OE21" s="59"/>
      <c r="OF21" s="59"/>
      <c r="OG21" s="59"/>
      <c r="OH21" s="56"/>
      <c r="OI21" s="57"/>
      <c r="OJ21" s="57"/>
      <c r="OK21" s="57"/>
      <c r="OL21" s="57"/>
      <c r="OM21" s="57"/>
      <c r="ON21" s="57"/>
      <c r="OO21" s="57"/>
      <c r="OP21" s="57"/>
      <c r="OQ21" s="57"/>
      <c r="OR21" s="57"/>
      <c r="OS21" s="59"/>
      <c r="OT21" s="59"/>
      <c r="OU21" s="59"/>
      <c r="OV21" s="59"/>
      <c r="OW21" s="59"/>
      <c r="OX21" s="59"/>
      <c r="OY21" s="59"/>
      <c r="OZ21" s="59"/>
      <c r="PA21" s="59"/>
      <c r="PB21" s="59"/>
      <c r="PC21" s="59"/>
      <c r="PD21" s="56"/>
      <c r="PE21" s="57"/>
      <c r="PF21" s="57"/>
      <c r="PG21" s="57"/>
      <c r="PH21" s="57"/>
      <c r="PI21" s="57"/>
      <c r="PJ21" s="57"/>
      <c r="PK21" s="57"/>
      <c r="PL21" s="57"/>
      <c r="PM21" s="57"/>
      <c r="PN21" s="57"/>
      <c r="PO21" s="59"/>
      <c r="PP21" s="59"/>
      <c r="PQ21" s="59"/>
      <c r="PR21" s="59"/>
      <c r="PS21" s="59"/>
      <c r="PT21" s="59"/>
      <c r="PU21" s="59"/>
      <c r="PV21" s="59"/>
      <c r="PW21" s="59"/>
      <c r="PX21" s="59"/>
      <c r="PY21" s="59"/>
      <c r="PZ21" s="56"/>
      <c r="QA21" s="57"/>
      <c r="QB21" s="57"/>
      <c r="QC21" s="57"/>
      <c r="QD21" s="57"/>
      <c r="QE21" s="57"/>
      <c r="QF21" s="57"/>
      <c r="QG21" s="57"/>
      <c r="QH21" s="57"/>
      <c r="QI21" s="57"/>
      <c r="QJ21" s="57"/>
      <c r="QK21" s="59"/>
      <c r="QL21" s="59"/>
      <c r="QM21" s="59"/>
      <c r="QN21" s="59"/>
      <c r="QO21" s="59"/>
      <c r="QP21" s="59"/>
      <c r="QQ21" s="59"/>
      <c r="QR21" s="59"/>
      <c r="QS21" s="59"/>
      <c r="QT21" s="59"/>
      <c r="QU21" s="59"/>
      <c r="QV21" s="56"/>
      <c r="QW21" s="57"/>
      <c r="QX21" s="57"/>
      <c r="QY21" s="57"/>
      <c r="QZ21" s="57"/>
      <c r="RA21" s="57"/>
      <c r="RB21" s="57"/>
      <c r="RC21" s="57"/>
      <c r="RD21" s="57"/>
      <c r="RE21" s="57"/>
      <c r="RF21" s="57"/>
      <c r="RG21" s="59"/>
      <c r="RH21" s="59"/>
      <c r="RI21" s="59"/>
      <c r="RJ21" s="59"/>
      <c r="RK21" s="59"/>
      <c r="RL21" s="59"/>
      <c r="RM21" s="59"/>
      <c r="RN21" s="59"/>
      <c r="RO21" s="59"/>
      <c r="RP21" s="59"/>
      <c r="RQ21" s="59"/>
      <c r="RR21" s="56"/>
      <c r="RS21" s="57"/>
      <c r="RT21" s="57"/>
      <c r="RU21" s="57"/>
      <c r="RV21" s="57"/>
      <c r="RW21" s="57"/>
      <c r="RX21" s="57"/>
      <c r="RY21" s="57"/>
      <c r="RZ21" s="57"/>
      <c r="SA21" s="57"/>
      <c r="SB21" s="57"/>
      <c r="SC21" s="59"/>
      <c r="SD21" s="59"/>
      <c r="SE21" s="59"/>
      <c r="SF21" s="59"/>
      <c r="SG21" s="59"/>
      <c r="SH21" s="59"/>
      <c r="SI21" s="59"/>
      <c r="SJ21" s="59"/>
      <c r="SK21" s="59"/>
      <c r="SL21" s="59"/>
      <c r="SM21" s="59"/>
      <c r="SN21" s="56"/>
      <c r="SO21" s="57"/>
      <c r="SP21" s="57"/>
      <c r="SQ21" s="57"/>
      <c r="SR21" s="57"/>
      <c r="SS21" s="57"/>
      <c r="ST21" s="57"/>
      <c r="SU21" s="57"/>
      <c r="SV21" s="57"/>
      <c r="SW21" s="57"/>
      <c r="SX21" s="57"/>
      <c r="SY21" s="59"/>
      <c r="SZ21" s="59"/>
      <c r="TA21" s="59"/>
      <c r="TB21" s="59"/>
      <c r="TC21" s="59"/>
      <c r="TD21" s="59"/>
      <c r="TE21" s="59"/>
      <c r="TF21" s="59"/>
      <c r="TG21" s="59"/>
      <c r="TH21" s="59"/>
      <c r="TI21" s="59"/>
      <c r="TJ21" s="56"/>
      <c r="TK21" s="57"/>
      <c r="TL21" s="57"/>
      <c r="TM21" s="57"/>
      <c r="TN21" s="57"/>
      <c r="TO21" s="57"/>
      <c r="TP21" s="57"/>
      <c r="TQ21" s="57"/>
      <c r="TR21" s="57"/>
      <c r="TS21" s="57"/>
      <c r="TT21" s="57"/>
      <c r="TU21" s="59"/>
      <c r="TV21" s="59"/>
      <c r="TW21" s="59"/>
      <c r="TX21" s="59"/>
      <c r="TY21" s="59"/>
      <c r="TZ21" s="59"/>
      <c r="UA21" s="59"/>
      <c r="UB21" s="59"/>
      <c r="UC21" s="59"/>
      <c r="UD21" s="59"/>
      <c r="UE21" s="59"/>
      <c r="UF21" s="56"/>
      <c r="UG21" s="57"/>
      <c r="UH21" s="57"/>
      <c r="UI21" s="57"/>
      <c r="UJ21" s="57"/>
      <c r="UK21" s="57"/>
      <c r="UL21" s="57"/>
      <c r="UM21" s="57"/>
      <c r="UN21" s="57"/>
      <c r="UO21" s="57"/>
      <c r="UP21" s="57"/>
      <c r="UQ21" s="59"/>
      <c r="UR21" s="59"/>
      <c r="US21" s="59"/>
      <c r="UT21" s="59"/>
      <c r="UU21" s="59"/>
      <c r="UV21" s="59"/>
      <c r="UW21" s="59"/>
      <c r="UX21" s="59"/>
      <c r="UY21" s="59"/>
      <c r="UZ21" s="59"/>
      <c r="VA21" s="59"/>
      <c r="VB21" s="56"/>
      <c r="VC21" s="57"/>
      <c r="VD21" s="57"/>
      <c r="VE21" s="57"/>
      <c r="VF21" s="57"/>
      <c r="VG21" s="57"/>
      <c r="VH21" s="57"/>
      <c r="VI21" s="57"/>
      <c r="VJ21" s="57"/>
      <c r="VK21" s="57"/>
      <c r="VL21" s="57"/>
      <c r="VM21" s="59"/>
      <c r="VN21" s="59"/>
      <c r="VO21" s="59"/>
      <c r="VP21" s="59"/>
      <c r="VQ21" s="59"/>
      <c r="VR21" s="59"/>
      <c r="VS21" s="59"/>
      <c r="VT21" s="59"/>
      <c r="VU21" s="59"/>
      <c r="VV21" s="59"/>
      <c r="VW21" s="59"/>
      <c r="VX21" s="56"/>
      <c r="VY21" s="57"/>
      <c r="VZ21" s="57"/>
      <c r="WA21" s="57"/>
      <c r="WB21" s="57"/>
      <c r="WC21" s="57"/>
      <c r="WD21" s="57"/>
      <c r="WE21" s="57"/>
      <c r="WF21" s="57"/>
      <c r="WG21" s="57"/>
      <c r="WH21" s="57"/>
      <c r="WI21" s="59"/>
      <c r="WJ21" s="59"/>
      <c r="WK21" s="59"/>
      <c r="WL21" s="59"/>
      <c r="WM21" s="59"/>
      <c r="WN21" s="59"/>
      <c r="WO21" s="59"/>
      <c r="WP21" s="59"/>
      <c r="WQ21" s="59"/>
      <c r="WR21" s="59"/>
      <c r="WS21" s="59"/>
      <c r="WT21" s="56"/>
      <c r="WU21" s="57"/>
      <c r="WV21" s="57"/>
      <c r="WW21" s="57"/>
      <c r="WX21" s="57"/>
      <c r="WY21" s="57"/>
      <c r="WZ21" s="57"/>
      <c r="XA21" s="57"/>
      <c r="XB21" s="57"/>
      <c r="XC21" s="57"/>
      <c r="XD21" s="57"/>
      <c r="XE21" s="59"/>
      <c r="XF21" s="59"/>
      <c r="XG21" s="59"/>
      <c r="XH21" s="59"/>
      <c r="XI21" s="59"/>
      <c r="XJ21" s="59"/>
      <c r="XK21" s="59"/>
      <c r="XL21" s="59"/>
      <c r="XM21" s="59"/>
      <c r="XN21" s="59"/>
      <c r="XO21" s="59"/>
      <c r="XP21" s="56"/>
      <c r="XQ21" s="57"/>
      <c r="XR21" s="57"/>
      <c r="XS21" s="57"/>
      <c r="XT21" s="57"/>
      <c r="XU21" s="57"/>
      <c r="XV21" s="57"/>
      <c r="XW21" s="57"/>
      <c r="XX21" s="57"/>
      <c r="XY21" s="57"/>
      <c r="XZ21" s="57"/>
      <c r="YA21" s="59"/>
      <c r="YB21" s="59"/>
      <c r="YC21" s="59"/>
      <c r="YD21" s="59"/>
      <c r="YE21" s="59"/>
      <c r="YF21" s="59"/>
      <c r="YG21" s="59"/>
      <c r="YH21" s="59"/>
      <c r="YI21" s="59"/>
      <c r="YJ21" s="59"/>
      <c r="YK21" s="59"/>
      <c r="YL21" s="56"/>
      <c r="YM21" s="57"/>
      <c r="YN21" s="57"/>
      <c r="YO21" s="57"/>
      <c r="YP21" s="57"/>
      <c r="YQ21" s="57"/>
      <c r="YR21" s="57"/>
      <c r="YS21" s="57"/>
      <c r="YT21" s="57"/>
      <c r="YU21" s="57"/>
      <c r="YV21" s="57"/>
      <c r="YW21" s="59"/>
      <c r="YX21" s="59"/>
      <c r="YY21" s="59"/>
      <c r="YZ21" s="59"/>
      <c r="ZA21" s="59"/>
      <c r="ZB21" s="59"/>
      <c r="ZC21" s="59"/>
      <c r="ZD21" s="59"/>
      <c r="ZE21" s="59"/>
      <c r="ZF21" s="59"/>
      <c r="ZG21" s="59"/>
      <c r="ZH21" s="56"/>
      <c r="ZI21" s="57"/>
      <c r="ZJ21" s="57"/>
      <c r="ZK21" s="57"/>
      <c r="ZL21" s="57"/>
      <c r="ZM21" s="57"/>
      <c r="ZN21" s="57"/>
      <c r="ZO21" s="57"/>
      <c r="ZP21" s="57"/>
      <c r="ZQ21" s="57"/>
      <c r="ZR21" s="57"/>
      <c r="ZS21" s="59"/>
      <c r="ZT21" s="59"/>
      <c r="ZU21" s="59"/>
      <c r="ZV21" s="59"/>
      <c r="ZW21" s="59"/>
      <c r="ZX21" s="59"/>
      <c r="ZY21" s="59"/>
      <c r="ZZ21" s="59"/>
      <c r="AAA21" s="59"/>
      <c r="AAB21" s="59"/>
      <c r="AAC21" s="59"/>
    </row>
    <row r="22" spans="1:705" x14ac:dyDescent="0.2">
      <c r="A22" s="1">
        <v>17</v>
      </c>
      <c r="B22" s="2"/>
      <c r="C22" s="2"/>
      <c r="D22" s="2"/>
      <c r="E22" s="2"/>
      <c r="F22" s="2"/>
      <c r="G22" s="2"/>
      <c r="H22" s="2"/>
      <c r="I22" s="2"/>
      <c r="J22" s="2"/>
      <c r="K22" s="2"/>
      <c r="L22" s="2"/>
      <c r="M22" s="3"/>
      <c r="N22" s="3"/>
      <c r="O22" s="3"/>
      <c r="P22" s="3"/>
      <c r="Q22" s="3"/>
      <c r="R22" s="3"/>
      <c r="S22" s="3"/>
      <c r="T22" s="3"/>
      <c r="U22" s="3"/>
      <c r="V22" s="3"/>
      <c r="W22" s="3"/>
      <c r="X22" s="2"/>
      <c r="Y22" s="2"/>
      <c r="Z22" s="2"/>
      <c r="AA22" s="2"/>
      <c r="AB22" s="2"/>
      <c r="AC22" s="2"/>
      <c r="AD22" s="2"/>
      <c r="AE22" s="2"/>
      <c r="AF22" s="2"/>
      <c r="AG22" s="2"/>
      <c r="AH22" s="2"/>
      <c r="AI22" s="3"/>
      <c r="AJ22" s="3"/>
      <c r="AK22" s="3"/>
      <c r="AL22" s="3"/>
      <c r="AM22" s="3"/>
      <c r="AN22" s="3"/>
      <c r="AO22" s="3"/>
      <c r="AP22" s="3"/>
      <c r="AQ22" s="3"/>
      <c r="AR22" s="3"/>
      <c r="AS22" s="3"/>
      <c r="AT22" s="2"/>
      <c r="AU22" s="2"/>
      <c r="AV22" s="2"/>
      <c r="AW22" s="2"/>
      <c r="AX22" s="2"/>
      <c r="AY22" s="2"/>
      <c r="AZ22" s="2"/>
      <c r="BA22" s="2"/>
      <c r="BB22" s="2"/>
      <c r="BC22" s="2"/>
      <c r="BD22" s="2"/>
      <c r="BE22" s="3"/>
      <c r="BF22" s="3"/>
      <c r="BG22" s="3"/>
      <c r="BH22" s="3"/>
      <c r="BI22" s="3"/>
      <c r="BJ22" s="3"/>
      <c r="BK22" s="3"/>
      <c r="BL22" s="3"/>
      <c r="BM22" s="3"/>
      <c r="BN22" s="3"/>
      <c r="BO22" s="3"/>
      <c r="BP22" s="2"/>
      <c r="BQ22" s="2"/>
      <c r="BR22" s="2"/>
      <c r="BS22" s="2"/>
      <c r="BT22" s="2"/>
      <c r="BU22" s="2"/>
      <c r="BV22" s="2"/>
      <c r="BW22" s="2"/>
      <c r="BX22" s="2"/>
      <c r="BY22" s="2"/>
      <c r="BZ22" s="2"/>
      <c r="CA22" s="3"/>
      <c r="CB22" s="3"/>
      <c r="CC22" s="3"/>
      <c r="CD22" s="3"/>
      <c r="CE22" s="3"/>
      <c r="CF22" s="3"/>
      <c r="CG22" s="3"/>
      <c r="CH22" s="3"/>
      <c r="CI22" s="3"/>
      <c r="CJ22" s="3"/>
      <c r="CK22" s="3"/>
      <c r="CL22" s="2"/>
      <c r="CM22" s="2"/>
      <c r="CN22" s="2"/>
      <c r="CO22" s="2"/>
      <c r="CP22" s="2"/>
      <c r="CQ22" s="2"/>
      <c r="CR22" s="2"/>
      <c r="CS22" s="2"/>
      <c r="CT22" s="2"/>
      <c r="CU22" s="2"/>
      <c r="CV22" s="2"/>
      <c r="CW22" s="3"/>
      <c r="CX22" s="3"/>
      <c r="CY22" s="3"/>
      <c r="CZ22" s="3"/>
      <c r="DA22" s="3"/>
      <c r="DB22" s="3"/>
      <c r="DC22" s="3"/>
      <c r="DD22" s="3"/>
      <c r="DE22" s="3"/>
      <c r="DF22" s="3"/>
      <c r="DG22" s="3"/>
      <c r="DH22" s="2"/>
      <c r="DI22" s="2"/>
      <c r="DJ22" s="2"/>
      <c r="DK22" s="2"/>
      <c r="DL22" s="2"/>
      <c r="DM22" s="2"/>
      <c r="DN22" s="2"/>
      <c r="DO22" s="2"/>
      <c r="DP22" s="2"/>
      <c r="DQ22" s="2"/>
      <c r="DR22" s="2"/>
      <c r="DS22" s="3"/>
      <c r="DT22" s="3"/>
      <c r="DU22" s="3"/>
      <c r="DV22" s="3"/>
      <c r="DW22" s="3"/>
      <c r="DX22" s="3"/>
      <c r="DY22" s="3"/>
      <c r="DZ22" s="3"/>
      <c r="EA22" s="3"/>
      <c r="EB22" s="3"/>
      <c r="EC22" s="3"/>
      <c r="ED22" s="2"/>
      <c r="EE22" s="2"/>
      <c r="EF22" s="2"/>
      <c r="EG22" s="2"/>
      <c r="EH22" s="2"/>
      <c r="EI22" s="2"/>
      <c r="EJ22" s="2"/>
      <c r="EK22" s="2"/>
      <c r="EL22" s="2"/>
      <c r="EM22" s="2"/>
      <c r="EN22" s="2"/>
      <c r="EO22" s="3"/>
      <c r="EP22" s="3"/>
      <c r="EQ22" s="3"/>
      <c r="ER22" s="3"/>
      <c r="ES22" s="3"/>
      <c r="ET22" s="3"/>
      <c r="EU22" s="3"/>
      <c r="EV22" s="3"/>
      <c r="EW22" s="3"/>
      <c r="EX22" s="3"/>
      <c r="EY22" s="3"/>
      <c r="EZ22" s="2"/>
      <c r="FA22" s="2"/>
      <c r="FB22" s="2"/>
      <c r="FC22" s="2"/>
      <c r="FD22" s="2"/>
      <c r="FE22" s="2"/>
      <c r="FF22" s="2"/>
      <c r="FG22" s="2"/>
      <c r="FH22" s="2"/>
      <c r="FI22" s="2"/>
      <c r="FJ22" s="2"/>
      <c r="FK22" s="3"/>
      <c r="FL22" s="3"/>
      <c r="FM22" s="3"/>
      <c r="FN22" s="3"/>
      <c r="FO22" s="3"/>
      <c r="FP22" s="3"/>
      <c r="FQ22" s="3"/>
      <c r="FR22" s="3"/>
      <c r="FS22" s="3"/>
      <c r="FT22" s="3"/>
      <c r="FU22" s="3"/>
      <c r="FV22" s="2"/>
      <c r="FW22" s="2"/>
      <c r="FX22" s="2"/>
      <c r="FY22" s="2"/>
      <c r="FZ22" s="2"/>
      <c r="GA22" s="2"/>
      <c r="GB22" s="2"/>
      <c r="GC22" s="2"/>
      <c r="GD22" s="2"/>
      <c r="GE22" s="2"/>
      <c r="GF22" s="2"/>
      <c r="GG22" s="3"/>
      <c r="GH22" s="3"/>
      <c r="GI22" s="3"/>
      <c r="GJ22" s="3"/>
      <c r="GK22" s="3"/>
      <c r="GL22" s="3"/>
      <c r="GM22" s="3"/>
      <c r="GN22" s="3"/>
      <c r="GO22" s="3"/>
      <c r="GP22" s="3"/>
      <c r="GQ22" s="3"/>
      <c r="GR22" s="2"/>
      <c r="GS22" s="2"/>
      <c r="GT22" s="2"/>
      <c r="GU22" s="2"/>
      <c r="GV22" s="2"/>
      <c r="GW22" s="2"/>
      <c r="GX22" s="2"/>
      <c r="GY22" s="2"/>
      <c r="GZ22" s="2"/>
      <c r="HA22" s="2"/>
      <c r="HB22" s="2"/>
      <c r="HC22" s="3"/>
      <c r="HD22" s="3"/>
      <c r="HE22" s="3"/>
      <c r="HF22" s="3"/>
      <c r="HG22" s="3"/>
      <c r="HH22" s="3"/>
      <c r="HI22" s="3"/>
      <c r="HJ22" s="3"/>
      <c r="HK22" s="3"/>
      <c r="HL22" s="3"/>
      <c r="HM22" s="3"/>
      <c r="HN22" s="2"/>
      <c r="HO22" s="2"/>
      <c r="HP22" s="2"/>
      <c r="HQ22" s="2"/>
      <c r="HR22" s="2"/>
      <c r="HS22" s="2"/>
      <c r="HT22" s="2"/>
      <c r="HU22" s="2"/>
      <c r="HV22" s="2"/>
      <c r="HW22" s="2"/>
      <c r="HX22" s="2"/>
      <c r="HY22" s="3"/>
      <c r="HZ22" s="3"/>
      <c r="IA22" s="3"/>
      <c r="IB22" s="3"/>
      <c r="IC22" s="3"/>
      <c r="ID22" s="3"/>
      <c r="IE22" s="3"/>
      <c r="IF22" s="3"/>
      <c r="IG22" s="3"/>
      <c r="IH22" s="3"/>
      <c r="II22" s="3"/>
      <c r="IJ22" s="2"/>
      <c r="IK22" s="2"/>
      <c r="IL22" s="2"/>
      <c r="IM22" s="2"/>
      <c r="IN22" s="2"/>
      <c r="IO22" s="2"/>
      <c r="IP22" s="2"/>
      <c r="IQ22" s="2"/>
      <c r="IR22" s="2"/>
      <c r="IS22" s="2"/>
      <c r="IT22" s="2"/>
      <c r="IU22" s="3"/>
      <c r="IV22" s="3"/>
      <c r="IW22" s="3"/>
      <c r="IX22" s="3"/>
      <c r="IY22" s="3"/>
      <c r="IZ22" s="3"/>
      <c r="JA22" s="3"/>
      <c r="JB22" s="3"/>
      <c r="JC22" s="3"/>
      <c r="JD22" s="3"/>
      <c r="JE22" s="3"/>
      <c r="JF22" s="2"/>
      <c r="JG22" s="2"/>
      <c r="JH22" s="2"/>
      <c r="JI22" s="2"/>
      <c r="JJ22" s="2"/>
      <c r="JK22" s="2"/>
      <c r="JL22" s="2"/>
      <c r="JM22" s="2"/>
      <c r="JN22" s="2"/>
      <c r="JO22" s="2"/>
      <c r="JP22" s="2"/>
      <c r="JQ22" s="3"/>
      <c r="JR22" s="3"/>
      <c r="JS22" s="3"/>
      <c r="JT22" s="3"/>
      <c r="JU22" s="3"/>
      <c r="JV22" s="3"/>
      <c r="JW22" s="3"/>
      <c r="JX22" s="3"/>
      <c r="JY22" s="3"/>
      <c r="JZ22" s="3"/>
      <c r="KA22" s="3"/>
      <c r="KB22" s="2"/>
      <c r="KC22" s="2"/>
      <c r="KD22" s="2"/>
      <c r="KE22" s="2"/>
      <c r="KF22" s="2"/>
      <c r="KG22" s="2"/>
      <c r="KH22" s="2"/>
      <c r="KI22" s="2"/>
      <c r="KJ22" s="2"/>
      <c r="KK22" s="2"/>
      <c r="KL22" s="2"/>
      <c r="KM22" s="3"/>
      <c r="KN22" s="3"/>
      <c r="KO22" s="3"/>
      <c r="KP22" s="3"/>
      <c r="KQ22" s="3"/>
      <c r="KR22" s="3"/>
      <c r="KS22" s="3"/>
      <c r="KT22" s="3"/>
      <c r="KU22" s="3"/>
      <c r="KV22" s="3"/>
      <c r="KW22" s="3"/>
      <c r="KX22" s="2"/>
      <c r="KY22" s="2"/>
      <c r="KZ22" s="2"/>
      <c r="LA22" s="2"/>
      <c r="LB22" s="2"/>
      <c r="LC22" s="2"/>
      <c r="LD22" s="2"/>
      <c r="LE22" s="2"/>
      <c r="LF22" s="2"/>
      <c r="LG22" s="2"/>
      <c r="LH22" s="2"/>
      <c r="LI22" s="3"/>
      <c r="LJ22" s="3"/>
      <c r="LK22" s="3"/>
      <c r="LL22" s="3"/>
      <c r="LM22" s="3"/>
      <c r="LN22" s="3"/>
      <c r="LO22" s="3"/>
      <c r="LP22" s="3"/>
      <c r="LQ22" s="3"/>
      <c r="LR22" s="3"/>
      <c r="LS22" s="3"/>
      <c r="LT22" s="2"/>
      <c r="LU22" s="2"/>
      <c r="LV22" s="2"/>
      <c r="LW22" s="2"/>
      <c r="LX22" s="2"/>
      <c r="LY22" s="2"/>
      <c r="LZ22" s="2"/>
      <c r="MA22" s="2"/>
      <c r="MB22" s="2"/>
      <c r="MC22" s="2"/>
      <c r="MD22" s="2"/>
      <c r="ME22" s="3"/>
      <c r="MF22" s="3"/>
      <c r="MG22" s="3"/>
      <c r="MH22" s="3"/>
      <c r="MI22" s="3"/>
      <c r="MJ22" s="3"/>
      <c r="MK22" s="3"/>
      <c r="ML22" s="3"/>
      <c r="MM22" s="3"/>
      <c r="MN22" s="3"/>
      <c r="MO22" s="3"/>
      <c r="MP22" s="2"/>
      <c r="MQ22" s="2"/>
      <c r="MR22" s="2"/>
      <c r="MS22" s="2"/>
      <c r="MT22" s="2"/>
      <c r="MU22" s="2"/>
      <c r="MV22" s="2"/>
      <c r="MW22" s="2"/>
      <c r="MX22" s="2"/>
      <c r="MY22" s="2"/>
      <c r="MZ22" s="2"/>
      <c r="NA22" s="3"/>
      <c r="NB22" s="3"/>
      <c r="NC22" s="3"/>
      <c r="ND22" s="3"/>
      <c r="NE22" s="3"/>
      <c r="NF22" s="3"/>
      <c r="NG22" s="3"/>
      <c r="NH22" s="3"/>
      <c r="NI22" s="3"/>
      <c r="NJ22" s="3"/>
      <c r="NK22" s="3"/>
      <c r="NL22" s="56"/>
      <c r="NM22" s="57"/>
      <c r="NN22" s="57"/>
      <c r="NO22" s="57"/>
      <c r="NP22" s="57"/>
      <c r="NQ22" s="57"/>
      <c r="NR22" s="57"/>
      <c r="NS22" s="57"/>
      <c r="NT22" s="57"/>
      <c r="NU22" s="57"/>
      <c r="NV22" s="57"/>
      <c r="NW22" s="59"/>
      <c r="NX22" s="59"/>
      <c r="NY22" s="59"/>
      <c r="NZ22" s="59"/>
      <c r="OA22" s="59"/>
      <c r="OB22" s="59"/>
      <c r="OC22" s="59"/>
      <c r="OD22" s="59"/>
      <c r="OE22" s="59"/>
      <c r="OF22" s="59"/>
      <c r="OG22" s="59"/>
      <c r="OH22" s="56"/>
      <c r="OI22" s="57"/>
      <c r="OJ22" s="57"/>
      <c r="OK22" s="57"/>
      <c r="OL22" s="57"/>
      <c r="OM22" s="57"/>
      <c r="ON22" s="57"/>
      <c r="OO22" s="57"/>
      <c r="OP22" s="57"/>
      <c r="OQ22" s="57"/>
      <c r="OR22" s="57"/>
      <c r="OS22" s="59"/>
      <c r="OT22" s="59"/>
      <c r="OU22" s="59"/>
      <c r="OV22" s="59"/>
      <c r="OW22" s="59"/>
      <c r="OX22" s="59"/>
      <c r="OY22" s="59"/>
      <c r="OZ22" s="59"/>
      <c r="PA22" s="59"/>
      <c r="PB22" s="59"/>
      <c r="PC22" s="59"/>
      <c r="PD22" s="56"/>
      <c r="PE22" s="57"/>
      <c r="PF22" s="57"/>
      <c r="PG22" s="57"/>
      <c r="PH22" s="57"/>
      <c r="PI22" s="57"/>
      <c r="PJ22" s="57"/>
      <c r="PK22" s="57"/>
      <c r="PL22" s="57"/>
      <c r="PM22" s="57"/>
      <c r="PN22" s="57"/>
      <c r="PO22" s="59"/>
      <c r="PP22" s="59"/>
      <c r="PQ22" s="59"/>
      <c r="PR22" s="59"/>
      <c r="PS22" s="59"/>
      <c r="PT22" s="59"/>
      <c r="PU22" s="59"/>
      <c r="PV22" s="59"/>
      <c r="PW22" s="59"/>
      <c r="PX22" s="59"/>
      <c r="PY22" s="59"/>
      <c r="PZ22" s="56"/>
      <c r="QA22" s="57"/>
      <c r="QB22" s="57"/>
      <c r="QC22" s="57"/>
      <c r="QD22" s="57"/>
      <c r="QE22" s="57"/>
      <c r="QF22" s="57"/>
      <c r="QG22" s="57"/>
      <c r="QH22" s="57"/>
      <c r="QI22" s="57"/>
      <c r="QJ22" s="57"/>
      <c r="QK22" s="59"/>
      <c r="QL22" s="59"/>
      <c r="QM22" s="59"/>
      <c r="QN22" s="59"/>
      <c r="QO22" s="59"/>
      <c r="QP22" s="59"/>
      <c r="QQ22" s="59"/>
      <c r="QR22" s="59"/>
      <c r="QS22" s="59"/>
      <c r="QT22" s="59"/>
      <c r="QU22" s="59"/>
      <c r="QV22" s="56"/>
      <c r="QW22" s="57"/>
      <c r="QX22" s="57"/>
      <c r="QY22" s="57"/>
      <c r="QZ22" s="57"/>
      <c r="RA22" s="57"/>
      <c r="RB22" s="57"/>
      <c r="RC22" s="57"/>
      <c r="RD22" s="57"/>
      <c r="RE22" s="57"/>
      <c r="RF22" s="57"/>
      <c r="RG22" s="59"/>
      <c r="RH22" s="59"/>
      <c r="RI22" s="59"/>
      <c r="RJ22" s="59"/>
      <c r="RK22" s="59"/>
      <c r="RL22" s="59"/>
      <c r="RM22" s="59"/>
      <c r="RN22" s="59"/>
      <c r="RO22" s="59"/>
      <c r="RP22" s="59"/>
      <c r="RQ22" s="59"/>
      <c r="RR22" s="56"/>
      <c r="RS22" s="57"/>
      <c r="RT22" s="57"/>
      <c r="RU22" s="57"/>
      <c r="RV22" s="57"/>
      <c r="RW22" s="57"/>
      <c r="RX22" s="57"/>
      <c r="RY22" s="57"/>
      <c r="RZ22" s="57"/>
      <c r="SA22" s="57"/>
      <c r="SB22" s="57"/>
      <c r="SC22" s="59"/>
      <c r="SD22" s="59"/>
      <c r="SE22" s="59"/>
      <c r="SF22" s="59"/>
      <c r="SG22" s="59"/>
      <c r="SH22" s="59"/>
      <c r="SI22" s="59"/>
      <c r="SJ22" s="59"/>
      <c r="SK22" s="59"/>
      <c r="SL22" s="59"/>
      <c r="SM22" s="59"/>
      <c r="SN22" s="56"/>
      <c r="SO22" s="57"/>
      <c r="SP22" s="57"/>
      <c r="SQ22" s="57"/>
      <c r="SR22" s="57"/>
      <c r="SS22" s="57"/>
      <c r="ST22" s="57"/>
      <c r="SU22" s="57"/>
      <c r="SV22" s="57"/>
      <c r="SW22" s="57"/>
      <c r="SX22" s="57"/>
      <c r="SY22" s="59"/>
      <c r="SZ22" s="59"/>
      <c r="TA22" s="59"/>
      <c r="TB22" s="59"/>
      <c r="TC22" s="59"/>
      <c r="TD22" s="59"/>
      <c r="TE22" s="59"/>
      <c r="TF22" s="59"/>
      <c r="TG22" s="59"/>
      <c r="TH22" s="59"/>
      <c r="TI22" s="59"/>
      <c r="TJ22" s="56"/>
      <c r="TK22" s="57"/>
      <c r="TL22" s="57"/>
      <c r="TM22" s="57"/>
      <c r="TN22" s="57"/>
      <c r="TO22" s="57"/>
      <c r="TP22" s="57"/>
      <c r="TQ22" s="57"/>
      <c r="TR22" s="57"/>
      <c r="TS22" s="57"/>
      <c r="TT22" s="57"/>
      <c r="TU22" s="59"/>
      <c r="TV22" s="59"/>
      <c r="TW22" s="59"/>
      <c r="TX22" s="59"/>
      <c r="TY22" s="59"/>
      <c r="TZ22" s="59"/>
      <c r="UA22" s="59"/>
      <c r="UB22" s="59"/>
      <c r="UC22" s="59"/>
      <c r="UD22" s="59"/>
      <c r="UE22" s="59"/>
      <c r="UF22" s="56"/>
      <c r="UG22" s="57"/>
      <c r="UH22" s="57"/>
      <c r="UI22" s="57"/>
      <c r="UJ22" s="57"/>
      <c r="UK22" s="57"/>
      <c r="UL22" s="57"/>
      <c r="UM22" s="57"/>
      <c r="UN22" s="57"/>
      <c r="UO22" s="57"/>
      <c r="UP22" s="57"/>
      <c r="UQ22" s="59"/>
      <c r="UR22" s="59"/>
      <c r="US22" s="59"/>
      <c r="UT22" s="59"/>
      <c r="UU22" s="59"/>
      <c r="UV22" s="59"/>
      <c r="UW22" s="59"/>
      <c r="UX22" s="59"/>
      <c r="UY22" s="59"/>
      <c r="UZ22" s="59"/>
      <c r="VA22" s="59"/>
      <c r="VB22" s="56"/>
      <c r="VC22" s="57"/>
      <c r="VD22" s="57"/>
      <c r="VE22" s="57"/>
      <c r="VF22" s="57"/>
      <c r="VG22" s="57"/>
      <c r="VH22" s="57"/>
      <c r="VI22" s="57"/>
      <c r="VJ22" s="57"/>
      <c r="VK22" s="57"/>
      <c r="VL22" s="57"/>
      <c r="VM22" s="59"/>
      <c r="VN22" s="59"/>
      <c r="VO22" s="59"/>
      <c r="VP22" s="59"/>
      <c r="VQ22" s="59"/>
      <c r="VR22" s="59"/>
      <c r="VS22" s="59"/>
      <c r="VT22" s="59"/>
      <c r="VU22" s="59"/>
      <c r="VV22" s="59"/>
      <c r="VW22" s="59"/>
      <c r="VX22" s="56"/>
      <c r="VY22" s="57"/>
      <c r="VZ22" s="57"/>
      <c r="WA22" s="57"/>
      <c r="WB22" s="57"/>
      <c r="WC22" s="57"/>
      <c r="WD22" s="57"/>
      <c r="WE22" s="57"/>
      <c r="WF22" s="57"/>
      <c r="WG22" s="57"/>
      <c r="WH22" s="57"/>
      <c r="WI22" s="59"/>
      <c r="WJ22" s="59"/>
      <c r="WK22" s="59"/>
      <c r="WL22" s="59"/>
      <c r="WM22" s="59"/>
      <c r="WN22" s="59"/>
      <c r="WO22" s="59"/>
      <c r="WP22" s="59"/>
      <c r="WQ22" s="59"/>
      <c r="WR22" s="59"/>
      <c r="WS22" s="59"/>
      <c r="WT22" s="56"/>
      <c r="WU22" s="57"/>
      <c r="WV22" s="57"/>
      <c r="WW22" s="57"/>
      <c r="WX22" s="57"/>
      <c r="WY22" s="57"/>
      <c r="WZ22" s="57"/>
      <c r="XA22" s="57"/>
      <c r="XB22" s="57"/>
      <c r="XC22" s="57"/>
      <c r="XD22" s="57"/>
      <c r="XE22" s="59"/>
      <c r="XF22" s="59"/>
      <c r="XG22" s="59"/>
      <c r="XH22" s="59"/>
      <c r="XI22" s="59"/>
      <c r="XJ22" s="59"/>
      <c r="XK22" s="59"/>
      <c r="XL22" s="59"/>
      <c r="XM22" s="59"/>
      <c r="XN22" s="59"/>
      <c r="XO22" s="59"/>
      <c r="XP22" s="56"/>
      <c r="XQ22" s="57"/>
      <c r="XR22" s="57"/>
      <c r="XS22" s="57"/>
      <c r="XT22" s="57"/>
      <c r="XU22" s="57"/>
      <c r="XV22" s="57"/>
      <c r="XW22" s="57"/>
      <c r="XX22" s="57"/>
      <c r="XY22" s="57"/>
      <c r="XZ22" s="57"/>
      <c r="YA22" s="59"/>
      <c r="YB22" s="59"/>
      <c r="YC22" s="59"/>
      <c r="YD22" s="59"/>
      <c r="YE22" s="59"/>
      <c r="YF22" s="59"/>
      <c r="YG22" s="59"/>
      <c r="YH22" s="59"/>
      <c r="YI22" s="59"/>
      <c r="YJ22" s="59"/>
      <c r="YK22" s="59"/>
      <c r="YL22" s="56"/>
      <c r="YM22" s="57"/>
      <c r="YN22" s="57"/>
      <c r="YO22" s="57"/>
      <c r="YP22" s="57"/>
      <c r="YQ22" s="57"/>
      <c r="YR22" s="57"/>
      <c r="YS22" s="57"/>
      <c r="YT22" s="57"/>
      <c r="YU22" s="57"/>
      <c r="YV22" s="57"/>
      <c r="YW22" s="59"/>
      <c r="YX22" s="59"/>
      <c r="YY22" s="59"/>
      <c r="YZ22" s="59"/>
      <c r="ZA22" s="59"/>
      <c r="ZB22" s="59"/>
      <c r="ZC22" s="59"/>
      <c r="ZD22" s="59"/>
      <c r="ZE22" s="59"/>
      <c r="ZF22" s="59"/>
      <c r="ZG22" s="59"/>
      <c r="ZH22" s="56"/>
      <c r="ZI22" s="57"/>
      <c r="ZJ22" s="57"/>
      <c r="ZK22" s="57"/>
      <c r="ZL22" s="57"/>
      <c r="ZM22" s="57"/>
      <c r="ZN22" s="57"/>
      <c r="ZO22" s="57"/>
      <c r="ZP22" s="57"/>
      <c r="ZQ22" s="57"/>
      <c r="ZR22" s="57"/>
      <c r="ZS22" s="59"/>
      <c r="ZT22" s="59"/>
      <c r="ZU22" s="59"/>
      <c r="ZV22" s="59"/>
      <c r="ZW22" s="59"/>
      <c r="ZX22" s="59"/>
      <c r="ZY22" s="59"/>
      <c r="ZZ22" s="59"/>
      <c r="AAA22" s="59"/>
      <c r="AAB22" s="59"/>
      <c r="AAC22" s="59"/>
    </row>
    <row r="23" spans="1:705" x14ac:dyDescent="0.2">
      <c r="A23" s="1">
        <v>18</v>
      </c>
      <c r="B23" s="2"/>
      <c r="C23" s="2"/>
      <c r="D23" s="2"/>
      <c r="E23" s="2"/>
      <c r="F23" s="2"/>
      <c r="G23" s="2"/>
      <c r="H23" s="2"/>
      <c r="I23" s="2"/>
      <c r="J23" s="2"/>
      <c r="K23" s="2"/>
      <c r="L23" s="2"/>
      <c r="M23" s="3"/>
      <c r="N23" s="3"/>
      <c r="O23" s="3"/>
      <c r="P23" s="3"/>
      <c r="Q23" s="3"/>
      <c r="R23" s="3"/>
      <c r="S23" s="3"/>
      <c r="T23" s="3"/>
      <c r="U23" s="3"/>
      <c r="V23" s="3"/>
      <c r="W23" s="3"/>
      <c r="X23" s="2"/>
      <c r="Y23" s="2"/>
      <c r="Z23" s="2"/>
      <c r="AA23" s="2"/>
      <c r="AB23" s="2"/>
      <c r="AC23" s="2"/>
      <c r="AD23" s="2"/>
      <c r="AE23" s="2"/>
      <c r="AF23" s="2"/>
      <c r="AG23" s="2"/>
      <c r="AH23" s="2"/>
      <c r="AI23" s="3"/>
      <c r="AJ23" s="3"/>
      <c r="AK23" s="3"/>
      <c r="AL23" s="3"/>
      <c r="AM23" s="3"/>
      <c r="AN23" s="3"/>
      <c r="AO23" s="3"/>
      <c r="AP23" s="3"/>
      <c r="AQ23" s="3"/>
      <c r="AR23" s="3"/>
      <c r="AS23" s="3"/>
      <c r="AT23" s="2"/>
      <c r="AU23" s="2"/>
      <c r="AV23" s="2"/>
      <c r="AW23" s="2"/>
      <c r="AX23" s="2"/>
      <c r="AY23" s="2"/>
      <c r="AZ23" s="2"/>
      <c r="BA23" s="2"/>
      <c r="BB23" s="2"/>
      <c r="BC23" s="2"/>
      <c r="BD23" s="2"/>
      <c r="BE23" s="3"/>
      <c r="BF23" s="3"/>
      <c r="BG23" s="3"/>
      <c r="BH23" s="3"/>
      <c r="BI23" s="3"/>
      <c r="BJ23" s="3"/>
      <c r="BK23" s="3"/>
      <c r="BL23" s="3"/>
      <c r="BM23" s="3"/>
      <c r="BN23" s="3"/>
      <c r="BO23" s="3"/>
      <c r="BP23" s="2"/>
      <c r="BQ23" s="2"/>
      <c r="BR23" s="2"/>
      <c r="BS23" s="2"/>
      <c r="BT23" s="2"/>
      <c r="BU23" s="2"/>
      <c r="BV23" s="2"/>
      <c r="BW23" s="2"/>
      <c r="BX23" s="2"/>
      <c r="BY23" s="2"/>
      <c r="BZ23" s="2"/>
      <c r="CA23" s="3"/>
      <c r="CB23" s="3"/>
      <c r="CC23" s="3"/>
      <c r="CD23" s="3"/>
      <c r="CE23" s="3"/>
      <c r="CF23" s="3"/>
      <c r="CG23" s="3"/>
      <c r="CH23" s="3"/>
      <c r="CI23" s="3"/>
      <c r="CJ23" s="3"/>
      <c r="CK23" s="3"/>
      <c r="CL23" s="2"/>
      <c r="CM23" s="2"/>
      <c r="CN23" s="2"/>
      <c r="CO23" s="2"/>
      <c r="CP23" s="2"/>
      <c r="CQ23" s="2"/>
      <c r="CR23" s="2"/>
      <c r="CS23" s="2"/>
      <c r="CT23" s="2"/>
      <c r="CU23" s="2"/>
      <c r="CV23" s="2"/>
      <c r="CW23" s="3"/>
      <c r="CX23" s="3"/>
      <c r="CY23" s="3"/>
      <c r="CZ23" s="3"/>
      <c r="DA23" s="3"/>
      <c r="DB23" s="3"/>
      <c r="DC23" s="3"/>
      <c r="DD23" s="3"/>
      <c r="DE23" s="3"/>
      <c r="DF23" s="3"/>
      <c r="DG23" s="3"/>
      <c r="DH23" s="2"/>
      <c r="DI23" s="2"/>
      <c r="DJ23" s="2"/>
      <c r="DK23" s="2"/>
      <c r="DL23" s="2"/>
      <c r="DM23" s="2"/>
      <c r="DN23" s="2"/>
      <c r="DO23" s="2"/>
      <c r="DP23" s="2"/>
      <c r="DQ23" s="2"/>
      <c r="DR23" s="2"/>
      <c r="DS23" s="3"/>
      <c r="DT23" s="3"/>
      <c r="DU23" s="3"/>
      <c r="DV23" s="3"/>
      <c r="DW23" s="3"/>
      <c r="DX23" s="3"/>
      <c r="DY23" s="3"/>
      <c r="DZ23" s="3"/>
      <c r="EA23" s="3"/>
      <c r="EB23" s="3"/>
      <c r="EC23" s="3"/>
      <c r="ED23" s="2"/>
      <c r="EE23" s="2"/>
      <c r="EF23" s="2"/>
      <c r="EG23" s="2"/>
      <c r="EH23" s="2"/>
      <c r="EI23" s="2"/>
      <c r="EJ23" s="2"/>
      <c r="EK23" s="2"/>
      <c r="EL23" s="2"/>
      <c r="EM23" s="2"/>
      <c r="EN23" s="2"/>
      <c r="EO23" s="3"/>
      <c r="EP23" s="3"/>
      <c r="EQ23" s="3"/>
      <c r="ER23" s="3"/>
      <c r="ES23" s="3"/>
      <c r="ET23" s="3"/>
      <c r="EU23" s="3"/>
      <c r="EV23" s="3"/>
      <c r="EW23" s="3"/>
      <c r="EX23" s="3"/>
      <c r="EY23" s="3"/>
      <c r="EZ23" s="2"/>
      <c r="FA23" s="2"/>
      <c r="FB23" s="2"/>
      <c r="FC23" s="2"/>
      <c r="FD23" s="2"/>
      <c r="FE23" s="2"/>
      <c r="FF23" s="2"/>
      <c r="FG23" s="2"/>
      <c r="FH23" s="2"/>
      <c r="FI23" s="2"/>
      <c r="FJ23" s="2"/>
      <c r="FK23" s="3"/>
      <c r="FL23" s="3"/>
      <c r="FM23" s="3"/>
      <c r="FN23" s="3"/>
      <c r="FO23" s="3"/>
      <c r="FP23" s="3"/>
      <c r="FQ23" s="3"/>
      <c r="FR23" s="3"/>
      <c r="FS23" s="3"/>
      <c r="FT23" s="3"/>
      <c r="FU23" s="3"/>
      <c r="FV23" s="2"/>
      <c r="FW23" s="2"/>
      <c r="FX23" s="2"/>
      <c r="FY23" s="2"/>
      <c r="FZ23" s="2"/>
      <c r="GA23" s="2"/>
      <c r="GB23" s="2"/>
      <c r="GC23" s="2"/>
      <c r="GD23" s="2"/>
      <c r="GE23" s="2"/>
      <c r="GF23" s="2"/>
      <c r="GG23" s="3"/>
      <c r="GH23" s="3"/>
      <c r="GI23" s="3"/>
      <c r="GJ23" s="3"/>
      <c r="GK23" s="3"/>
      <c r="GL23" s="3"/>
      <c r="GM23" s="3"/>
      <c r="GN23" s="3"/>
      <c r="GO23" s="3"/>
      <c r="GP23" s="3"/>
      <c r="GQ23" s="3"/>
      <c r="GR23" s="2"/>
      <c r="GS23" s="2"/>
      <c r="GT23" s="2"/>
      <c r="GU23" s="2"/>
      <c r="GV23" s="2"/>
      <c r="GW23" s="2"/>
      <c r="GX23" s="2"/>
      <c r="GY23" s="2"/>
      <c r="GZ23" s="2"/>
      <c r="HA23" s="2"/>
      <c r="HB23" s="2"/>
      <c r="HC23" s="3"/>
      <c r="HD23" s="3"/>
      <c r="HE23" s="3"/>
      <c r="HF23" s="3"/>
      <c r="HG23" s="3"/>
      <c r="HH23" s="3"/>
      <c r="HI23" s="3"/>
      <c r="HJ23" s="3"/>
      <c r="HK23" s="3"/>
      <c r="HL23" s="3"/>
      <c r="HM23" s="3"/>
      <c r="HN23" s="2"/>
      <c r="HO23" s="2"/>
      <c r="HP23" s="2"/>
      <c r="HQ23" s="2"/>
      <c r="HR23" s="2"/>
      <c r="HS23" s="2"/>
      <c r="HT23" s="2"/>
      <c r="HU23" s="2"/>
      <c r="HV23" s="2"/>
      <c r="HW23" s="2"/>
      <c r="HX23" s="2"/>
      <c r="HY23" s="3"/>
      <c r="HZ23" s="3"/>
      <c r="IA23" s="3"/>
      <c r="IB23" s="3"/>
      <c r="IC23" s="3"/>
      <c r="ID23" s="3"/>
      <c r="IE23" s="3"/>
      <c r="IF23" s="3"/>
      <c r="IG23" s="3"/>
      <c r="IH23" s="3"/>
      <c r="II23" s="3"/>
      <c r="IJ23" s="2"/>
      <c r="IK23" s="2"/>
      <c r="IL23" s="2"/>
      <c r="IM23" s="2"/>
      <c r="IN23" s="2"/>
      <c r="IO23" s="2"/>
      <c r="IP23" s="2"/>
      <c r="IQ23" s="2"/>
      <c r="IR23" s="2"/>
      <c r="IS23" s="2"/>
      <c r="IT23" s="2"/>
      <c r="IU23" s="3"/>
      <c r="IV23" s="3"/>
      <c r="IW23" s="3"/>
      <c r="IX23" s="3"/>
      <c r="IY23" s="3"/>
      <c r="IZ23" s="3"/>
      <c r="JA23" s="3"/>
      <c r="JB23" s="3"/>
      <c r="JC23" s="3"/>
      <c r="JD23" s="3"/>
      <c r="JE23" s="3"/>
      <c r="JF23" s="2"/>
      <c r="JG23" s="2"/>
      <c r="JH23" s="2"/>
      <c r="JI23" s="2"/>
      <c r="JJ23" s="2"/>
      <c r="JK23" s="2"/>
      <c r="JL23" s="2"/>
      <c r="JM23" s="2"/>
      <c r="JN23" s="2"/>
      <c r="JO23" s="2"/>
      <c r="JP23" s="2"/>
      <c r="JQ23" s="3"/>
      <c r="JR23" s="3"/>
      <c r="JS23" s="3"/>
      <c r="JT23" s="3"/>
      <c r="JU23" s="3"/>
      <c r="JV23" s="3"/>
      <c r="JW23" s="3"/>
      <c r="JX23" s="3"/>
      <c r="JY23" s="3"/>
      <c r="JZ23" s="3"/>
      <c r="KA23" s="3"/>
      <c r="KB23" s="2"/>
      <c r="KC23" s="2"/>
      <c r="KD23" s="2"/>
      <c r="KE23" s="2"/>
      <c r="KF23" s="2"/>
      <c r="KG23" s="2"/>
      <c r="KH23" s="2"/>
      <c r="KI23" s="2"/>
      <c r="KJ23" s="2"/>
      <c r="KK23" s="2"/>
      <c r="KL23" s="2"/>
      <c r="KM23" s="3"/>
      <c r="KN23" s="3"/>
      <c r="KO23" s="3"/>
      <c r="KP23" s="3"/>
      <c r="KQ23" s="3"/>
      <c r="KR23" s="3"/>
      <c r="KS23" s="3"/>
      <c r="KT23" s="3"/>
      <c r="KU23" s="3"/>
      <c r="KV23" s="3"/>
      <c r="KW23" s="3"/>
      <c r="KX23" s="2"/>
      <c r="KY23" s="2"/>
      <c r="KZ23" s="2"/>
      <c r="LA23" s="2"/>
      <c r="LB23" s="2"/>
      <c r="LC23" s="2"/>
      <c r="LD23" s="2"/>
      <c r="LE23" s="2"/>
      <c r="LF23" s="2"/>
      <c r="LG23" s="2"/>
      <c r="LH23" s="2"/>
      <c r="LI23" s="3"/>
      <c r="LJ23" s="3"/>
      <c r="LK23" s="3"/>
      <c r="LL23" s="3"/>
      <c r="LM23" s="3"/>
      <c r="LN23" s="3"/>
      <c r="LO23" s="3"/>
      <c r="LP23" s="3"/>
      <c r="LQ23" s="3"/>
      <c r="LR23" s="3"/>
      <c r="LS23" s="3"/>
      <c r="LT23" s="2"/>
      <c r="LU23" s="2"/>
      <c r="LV23" s="2"/>
      <c r="LW23" s="2"/>
      <c r="LX23" s="2"/>
      <c r="LY23" s="2"/>
      <c r="LZ23" s="2"/>
      <c r="MA23" s="2"/>
      <c r="MB23" s="2"/>
      <c r="MC23" s="2"/>
      <c r="MD23" s="2"/>
      <c r="ME23" s="3"/>
      <c r="MF23" s="3"/>
      <c r="MG23" s="3"/>
      <c r="MH23" s="3"/>
      <c r="MI23" s="3"/>
      <c r="MJ23" s="3"/>
      <c r="MK23" s="3"/>
      <c r="ML23" s="3"/>
      <c r="MM23" s="3"/>
      <c r="MN23" s="3"/>
      <c r="MO23" s="3"/>
      <c r="MP23" s="2"/>
      <c r="MQ23" s="2"/>
      <c r="MR23" s="2"/>
      <c r="MS23" s="2"/>
      <c r="MT23" s="2"/>
      <c r="MU23" s="2"/>
      <c r="MV23" s="2"/>
      <c r="MW23" s="2"/>
      <c r="MX23" s="2"/>
      <c r="MY23" s="2"/>
      <c r="MZ23" s="2"/>
      <c r="NA23" s="3"/>
      <c r="NB23" s="3"/>
      <c r="NC23" s="3"/>
      <c r="ND23" s="3"/>
      <c r="NE23" s="3"/>
      <c r="NF23" s="3"/>
      <c r="NG23" s="3"/>
      <c r="NH23" s="3"/>
      <c r="NI23" s="3"/>
      <c r="NJ23" s="3"/>
      <c r="NK23" s="3"/>
      <c r="NL23" s="56"/>
      <c r="NM23" s="57"/>
      <c r="NN23" s="57"/>
      <c r="NO23" s="57"/>
      <c r="NP23" s="57"/>
      <c r="NQ23" s="57"/>
      <c r="NR23" s="57"/>
      <c r="NS23" s="57"/>
      <c r="NT23" s="57"/>
      <c r="NU23" s="57"/>
      <c r="NV23" s="57"/>
      <c r="NW23" s="59"/>
      <c r="NX23" s="59"/>
      <c r="NY23" s="59"/>
      <c r="NZ23" s="59"/>
      <c r="OA23" s="59"/>
      <c r="OB23" s="59"/>
      <c r="OC23" s="59"/>
      <c r="OD23" s="59"/>
      <c r="OE23" s="59"/>
      <c r="OF23" s="59"/>
      <c r="OG23" s="59"/>
      <c r="OH23" s="56"/>
      <c r="OI23" s="57"/>
      <c r="OJ23" s="57"/>
      <c r="OK23" s="57"/>
      <c r="OL23" s="57"/>
      <c r="OM23" s="57"/>
      <c r="ON23" s="57"/>
      <c r="OO23" s="57"/>
      <c r="OP23" s="57"/>
      <c r="OQ23" s="57"/>
      <c r="OR23" s="57"/>
      <c r="OS23" s="59"/>
      <c r="OT23" s="59"/>
      <c r="OU23" s="59"/>
      <c r="OV23" s="59"/>
      <c r="OW23" s="59"/>
      <c r="OX23" s="59"/>
      <c r="OY23" s="59"/>
      <c r="OZ23" s="59"/>
      <c r="PA23" s="59"/>
      <c r="PB23" s="59"/>
      <c r="PC23" s="59"/>
      <c r="PD23" s="56"/>
      <c r="PE23" s="57"/>
      <c r="PF23" s="57"/>
      <c r="PG23" s="57"/>
      <c r="PH23" s="57"/>
      <c r="PI23" s="57"/>
      <c r="PJ23" s="57"/>
      <c r="PK23" s="57"/>
      <c r="PL23" s="57"/>
      <c r="PM23" s="57"/>
      <c r="PN23" s="57"/>
      <c r="PO23" s="59"/>
      <c r="PP23" s="59"/>
      <c r="PQ23" s="59"/>
      <c r="PR23" s="59"/>
      <c r="PS23" s="59"/>
      <c r="PT23" s="59"/>
      <c r="PU23" s="59"/>
      <c r="PV23" s="59"/>
      <c r="PW23" s="59"/>
      <c r="PX23" s="59"/>
      <c r="PY23" s="59"/>
      <c r="PZ23" s="56"/>
      <c r="QA23" s="57"/>
      <c r="QB23" s="57"/>
      <c r="QC23" s="57"/>
      <c r="QD23" s="57"/>
      <c r="QE23" s="57"/>
      <c r="QF23" s="57"/>
      <c r="QG23" s="57"/>
      <c r="QH23" s="57"/>
      <c r="QI23" s="57"/>
      <c r="QJ23" s="57"/>
      <c r="QK23" s="59"/>
      <c r="QL23" s="59"/>
      <c r="QM23" s="59"/>
      <c r="QN23" s="59"/>
      <c r="QO23" s="59"/>
      <c r="QP23" s="59"/>
      <c r="QQ23" s="59"/>
      <c r="QR23" s="59"/>
      <c r="QS23" s="59"/>
      <c r="QT23" s="59"/>
      <c r="QU23" s="59"/>
      <c r="QV23" s="56"/>
      <c r="QW23" s="57"/>
      <c r="QX23" s="57"/>
      <c r="QY23" s="57"/>
      <c r="QZ23" s="57"/>
      <c r="RA23" s="57"/>
      <c r="RB23" s="57"/>
      <c r="RC23" s="57"/>
      <c r="RD23" s="57"/>
      <c r="RE23" s="57"/>
      <c r="RF23" s="57"/>
      <c r="RG23" s="59"/>
      <c r="RH23" s="59"/>
      <c r="RI23" s="59"/>
      <c r="RJ23" s="59"/>
      <c r="RK23" s="59"/>
      <c r="RL23" s="59"/>
      <c r="RM23" s="59"/>
      <c r="RN23" s="59"/>
      <c r="RO23" s="59"/>
      <c r="RP23" s="59"/>
      <c r="RQ23" s="59"/>
      <c r="RR23" s="56"/>
      <c r="RS23" s="57"/>
      <c r="RT23" s="57"/>
      <c r="RU23" s="57"/>
      <c r="RV23" s="57"/>
      <c r="RW23" s="57"/>
      <c r="RX23" s="57"/>
      <c r="RY23" s="57"/>
      <c r="RZ23" s="57"/>
      <c r="SA23" s="57"/>
      <c r="SB23" s="57"/>
      <c r="SC23" s="59"/>
      <c r="SD23" s="59"/>
      <c r="SE23" s="59"/>
      <c r="SF23" s="59"/>
      <c r="SG23" s="59"/>
      <c r="SH23" s="59"/>
      <c r="SI23" s="59"/>
      <c r="SJ23" s="59"/>
      <c r="SK23" s="59"/>
      <c r="SL23" s="59"/>
      <c r="SM23" s="59"/>
      <c r="SN23" s="56"/>
      <c r="SO23" s="57"/>
      <c r="SP23" s="57"/>
      <c r="SQ23" s="57"/>
      <c r="SR23" s="57"/>
      <c r="SS23" s="57"/>
      <c r="ST23" s="57"/>
      <c r="SU23" s="57"/>
      <c r="SV23" s="57"/>
      <c r="SW23" s="57"/>
      <c r="SX23" s="57"/>
      <c r="SY23" s="59"/>
      <c r="SZ23" s="59"/>
      <c r="TA23" s="59"/>
      <c r="TB23" s="59"/>
      <c r="TC23" s="59"/>
      <c r="TD23" s="59"/>
      <c r="TE23" s="59"/>
      <c r="TF23" s="59"/>
      <c r="TG23" s="59"/>
      <c r="TH23" s="59"/>
      <c r="TI23" s="59"/>
      <c r="TJ23" s="56"/>
      <c r="TK23" s="57"/>
      <c r="TL23" s="57"/>
      <c r="TM23" s="57"/>
      <c r="TN23" s="57"/>
      <c r="TO23" s="57"/>
      <c r="TP23" s="57"/>
      <c r="TQ23" s="57"/>
      <c r="TR23" s="57"/>
      <c r="TS23" s="57"/>
      <c r="TT23" s="57"/>
      <c r="TU23" s="59"/>
      <c r="TV23" s="59"/>
      <c r="TW23" s="59"/>
      <c r="TX23" s="59"/>
      <c r="TY23" s="59"/>
      <c r="TZ23" s="59"/>
      <c r="UA23" s="59"/>
      <c r="UB23" s="59"/>
      <c r="UC23" s="59"/>
      <c r="UD23" s="59"/>
      <c r="UE23" s="59"/>
      <c r="UF23" s="56"/>
      <c r="UG23" s="57"/>
      <c r="UH23" s="57"/>
      <c r="UI23" s="57"/>
      <c r="UJ23" s="57"/>
      <c r="UK23" s="57"/>
      <c r="UL23" s="57"/>
      <c r="UM23" s="57"/>
      <c r="UN23" s="57"/>
      <c r="UO23" s="57"/>
      <c r="UP23" s="57"/>
      <c r="UQ23" s="59"/>
      <c r="UR23" s="59"/>
      <c r="US23" s="59"/>
      <c r="UT23" s="59"/>
      <c r="UU23" s="59"/>
      <c r="UV23" s="59"/>
      <c r="UW23" s="59"/>
      <c r="UX23" s="59"/>
      <c r="UY23" s="59"/>
      <c r="UZ23" s="59"/>
      <c r="VA23" s="59"/>
      <c r="VB23" s="56"/>
      <c r="VC23" s="57"/>
      <c r="VD23" s="57"/>
      <c r="VE23" s="57"/>
      <c r="VF23" s="57"/>
      <c r="VG23" s="57"/>
      <c r="VH23" s="57"/>
      <c r="VI23" s="57"/>
      <c r="VJ23" s="57"/>
      <c r="VK23" s="57"/>
      <c r="VL23" s="57"/>
      <c r="VM23" s="59"/>
      <c r="VN23" s="59"/>
      <c r="VO23" s="59"/>
      <c r="VP23" s="59"/>
      <c r="VQ23" s="59"/>
      <c r="VR23" s="59"/>
      <c r="VS23" s="59"/>
      <c r="VT23" s="59"/>
      <c r="VU23" s="59"/>
      <c r="VV23" s="59"/>
      <c r="VW23" s="59"/>
      <c r="VX23" s="56"/>
      <c r="VY23" s="57"/>
      <c r="VZ23" s="57"/>
      <c r="WA23" s="57"/>
      <c r="WB23" s="57"/>
      <c r="WC23" s="57"/>
      <c r="WD23" s="57"/>
      <c r="WE23" s="57"/>
      <c r="WF23" s="57"/>
      <c r="WG23" s="57"/>
      <c r="WH23" s="57"/>
      <c r="WI23" s="59"/>
      <c r="WJ23" s="59"/>
      <c r="WK23" s="59"/>
      <c r="WL23" s="59"/>
      <c r="WM23" s="59"/>
      <c r="WN23" s="59"/>
      <c r="WO23" s="59"/>
      <c r="WP23" s="59"/>
      <c r="WQ23" s="59"/>
      <c r="WR23" s="59"/>
      <c r="WS23" s="59"/>
      <c r="WT23" s="56"/>
      <c r="WU23" s="57"/>
      <c r="WV23" s="57"/>
      <c r="WW23" s="57"/>
      <c r="WX23" s="57"/>
      <c r="WY23" s="57"/>
      <c r="WZ23" s="57"/>
      <c r="XA23" s="57"/>
      <c r="XB23" s="57"/>
      <c r="XC23" s="57"/>
      <c r="XD23" s="57"/>
      <c r="XE23" s="59"/>
      <c r="XF23" s="59"/>
      <c r="XG23" s="59"/>
      <c r="XH23" s="59"/>
      <c r="XI23" s="59"/>
      <c r="XJ23" s="59"/>
      <c r="XK23" s="59"/>
      <c r="XL23" s="59"/>
      <c r="XM23" s="59"/>
      <c r="XN23" s="59"/>
      <c r="XO23" s="59"/>
      <c r="XP23" s="56"/>
      <c r="XQ23" s="57"/>
      <c r="XR23" s="57"/>
      <c r="XS23" s="57"/>
      <c r="XT23" s="57"/>
      <c r="XU23" s="57"/>
      <c r="XV23" s="57"/>
      <c r="XW23" s="57"/>
      <c r="XX23" s="57"/>
      <c r="XY23" s="57"/>
      <c r="XZ23" s="57"/>
      <c r="YA23" s="59"/>
      <c r="YB23" s="59"/>
      <c r="YC23" s="59"/>
      <c r="YD23" s="59"/>
      <c r="YE23" s="59"/>
      <c r="YF23" s="59"/>
      <c r="YG23" s="59"/>
      <c r="YH23" s="59"/>
      <c r="YI23" s="59"/>
      <c r="YJ23" s="59"/>
      <c r="YK23" s="59"/>
      <c r="YL23" s="56"/>
      <c r="YM23" s="57"/>
      <c r="YN23" s="57"/>
      <c r="YO23" s="57"/>
      <c r="YP23" s="57"/>
      <c r="YQ23" s="57"/>
      <c r="YR23" s="57"/>
      <c r="YS23" s="57"/>
      <c r="YT23" s="57"/>
      <c r="YU23" s="57"/>
      <c r="YV23" s="57"/>
      <c r="YW23" s="59"/>
      <c r="YX23" s="59"/>
      <c r="YY23" s="59"/>
      <c r="YZ23" s="59"/>
      <c r="ZA23" s="59"/>
      <c r="ZB23" s="59"/>
      <c r="ZC23" s="59"/>
      <c r="ZD23" s="59"/>
      <c r="ZE23" s="59"/>
      <c r="ZF23" s="59"/>
      <c r="ZG23" s="59"/>
      <c r="ZH23" s="56"/>
      <c r="ZI23" s="57"/>
      <c r="ZJ23" s="57"/>
      <c r="ZK23" s="57"/>
      <c r="ZL23" s="57"/>
      <c r="ZM23" s="57"/>
      <c r="ZN23" s="57"/>
      <c r="ZO23" s="57"/>
      <c r="ZP23" s="57"/>
      <c r="ZQ23" s="57"/>
      <c r="ZR23" s="57"/>
      <c r="ZS23" s="59"/>
      <c r="ZT23" s="59"/>
      <c r="ZU23" s="59"/>
      <c r="ZV23" s="59"/>
      <c r="ZW23" s="59"/>
      <c r="ZX23" s="59"/>
      <c r="ZY23" s="59"/>
      <c r="ZZ23" s="59"/>
      <c r="AAA23" s="59"/>
      <c r="AAB23" s="59"/>
      <c r="AAC23" s="59"/>
    </row>
    <row r="24" spans="1:705" x14ac:dyDescent="0.2">
      <c r="A24" s="1">
        <v>19</v>
      </c>
      <c r="B24" s="2"/>
      <c r="C24" s="2"/>
      <c r="D24" s="2"/>
      <c r="E24" s="2"/>
      <c r="F24" s="2"/>
      <c r="G24" s="2"/>
      <c r="H24" s="2"/>
      <c r="I24" s="2"/>
      <c r="J24" s="2"/>
      <c r="K24" s="2"/>
      <c r="L24" s="2"/>
      <c r="M24" s="3"/>
      <c r="N24" s="3"/>
      <c r="O24" s="3"/>
      <c r="P24" s="3"/>
      <c r="Q24" s="3"/>
      <c r="R24" s="3"/>
      <c r="S24" s="3"/>
      <c r="T24" s="3"/>
      <c r="U24" s="3"/>
      <c r="V24" s="3"/>
      <c r="W24" s="3"/>
      <c r="X24" s="2"/>
      <c r="Y24" s="2"/>
      <c r="Z24" s="2"/>
      <c r="AA24" s="2"/>
      <c r="AB24" s="2"/>
      <c r="AC24" s="2"/>
      <c r="AD24" s="2"/>
      <c r="AE24" s="2"/>
      <c r="AF24" s="2"/>
      <c r="AG24" s="2"/>
      <c r="AH24" s="2"/>
      <c r="AI24" s="3"/>
      <c r="AJ24" s="3"/>
      <c r="AK24" s="3"/>
      <c r="AL24" s="3"/>
      <c r="AM24" s="3"/>
      <c r="AN24" s="3"/>
      <c r="AO24" s="3"/>
      <c r="AP24" s="3"/>
      <c r="AQ24" s="3"/>
      <c r="AR24" s="3"/>
      <c r="AS24" s="3"/>
      <c r="AT24" s="2"/>
      <c r="AU24" s="2"/>
      <c r="AV24" s="2"/>
      <c r="AW24" s="2"/>
      <c r="AX24" s="2"/>
      <c r="AY24" s="2"/>
      <c r="AZ24" s="2"/>
      <c r="BA24" s="2"/>
      <c r="BB24" s="2"/>
      <c r="BC24" s="2"/>
      <c r="BD24" s="2"/>
      <c r="BE24" s="3"/>
      <c r="BF24" s="3"/>
      <c r="BG24" s="3"/>
      <c r="BH24" s="3"/>
      <c r="BI24" s="3"/>
      <c r="BJ24" s="3"/>
      <c r="BK24" s="3"/>
      <c r="BL24" s="3"/>
      <c r="BM24" s="3"/>
      <c r="BN24" s="3"/>
      <c r="BO24" s="3"/>
      <c r="BP24" s="2"/>
      <c r="BQ24" s="2"/>
      <c r="BR24" s="2"/>
      <c r="BS24" s="2"/>
      <c r="BT24" s="2"/>
      <c r="BU24" s="2"/>
      <c r="BV24" s="2"/>
      <c r="BW24" s="2"/>
      <c r="BX24" s="2"/>
      <c r="BY24" s="2"/>
      <c r="BZ24" s="2"/>
      <c r="CA24" s="3"/>
      <c r="CB24" s="3"/>
      <c r="CC24" s="3"/>
      <c r="CD24" s="3"/>
      <c r="CE24" s="3"/>
      <c r="CF24" s="3"/>
      <c r="CG24" s="3"/>
      <c r="CH24" s="3"/>
      <c r="CI24" s="3"/>
      <c r="CJ24" s="3"/>
      <c r="CK24" s="3"/>
      <c r="CL24" s="2"/>
      <c r="CM24" s="2"/>
      <c r="CN24" s="2"/>
      <c r="CO24" s="2"/>
      <c r="CP24" s="2"/>
      <c r="CQ24" s="2"/>
      <c r="CR24" s="2"/>
      <c r="CS24" s="2"/>
      <c r="CT24" s="2"/>
      <c r="CU24" s="2"/>
      <c r="CV24" s="2"/>
      <c r="CW24" s="3"/>
      <c r="CX24" s="3"/>
      <c r="CY24" s="3"/>
      <c r="CZ24" s="3"/>
      <c r="DA24" s="3"/>
      <c r="DB24" s="3"/>
      <c r="DC24" s="3"/>
      <c r="DD24" s="3"/>
      <c r="DE24" s="3"/>
      <c r="DF24" s="3"/>
      <c r="DG24" s="3"/>
      <c r="DH24" s="2"/>
      <c r="DI24" s="2"/>
      <c r="DJ24" s="2"/>
      <c r="DK24" s="2"/>
      <c r="DL24" s="2"/>
      <c r="DM24" s="2"/>
      <c r="DN24" s="2"/>
      <c r="DO24" s="2"/>
      <c r="DP24" s="2"/>
      <c r="DQ24" s="2"/>
      <c r="DR24" s="2"/>
      <c r="DS24" s="3"/>
      <c r="DT24" s="3"/>
      <c r="DU24" s="3"/>
      <c r="DV24" s="3"/>
      <c r="DW24" s="3"/>
      <c r="DX24" s="3"/>
      <c r="DY24" s="3"/>
      <c r="DZ24" s="3"/>
      <c r="EA24" s="3"/>
      <c r="EB24" s="3"/>
      <c r="EC24" s="3"/>
      <c r="ED24" s="2"/>
      <c r="EE24" s="2"/>
      <c r="EF24" s="2"/>
      <c r="EG24" s="2"/>
      <c r="EH24" s="2"/>
      <c r="EI24" s="2"/>
      <c r="EJ24" s="2"/>
      <c r="EK24" s="2"/>
      <c r="EL24" s="2"/>
      <c r="EM24" s="2"/>
      <c r="EN24" s="2"/>
      <c r="EO24" s="3"/>
      <c r="EP24" s="3"/>
      <c r="EQ24" s="3"/>
      <c r="ER24" s="3"/>
      <c r="ES24" s="3"/>
      <c r="ET24" s="3"/>
      <c r="EU24" s="3"/>
      <c r="EV24" s="3"/>
      <c r="EW24" s="3"/>
      <c r="EX24" s="3"/>
      <c r="EY24" s="3"/>
      <c r="EZ24" s="2"/>
      <c r="FA24" s="2"/>
      <c r="FB24" s="2"/>
      <c r="FC24" s="2"/>
      <c r="FD24" s="2"/>
      <c r="FE24" s="2"/>
      <c r="FF24" s="2"/>
      <c r="FG24" s="2"/>
      <c r="FH24" s="2"/>
      <c r="FI24" s="2"/>
      <c r="FJ24" s="2"/>
      <c r="FK24" s="3"/>
      <c r="FL24" s="3"/>
      <c r="FM24" s="3"/>
      <c r="FN24" s="3"/>
      <c r="FO24" s="3"/>
      <c r="FP24" s="3"/>
      <c r="FQ24" s="3"/>
      <c r="FR24" s="3"/>
      <c r="FS24" s="3"/>
      <c r="FT24" s="3"/>
      <c r="FU24" s="3"/>
      <c r="FV24" s="2"/>
      <c r="FW24" s="2"/>
      <c r="FX24" s="2"/>
      <c r="FY24" s="2"/>
      <c r="FZ24" s="2"/>
      <c r="GA24" s="2"/>
      <c r="GB24" s="2"/>
      <c r="GC24" s="2"/>
      <c r="GD24" s="2"/>
      <c r="GE24" s="2"/>
      <c r="GF24" s="2"/>
      <c r="GG24" s="3"/>
      <c r="GH24" s="3"/>
      <c r="GI24" s="3"/>
      <c r="GJ24" s="3"/>
      <c r="GK24" s="3"/>
      <c r="GL24" s="3"/>
      <c r="GM24" s="3"/>
      <c r="GN24" s="3"/>
      <c r="GO24" s="3"/>
      <c r="GP24" s="3"/>
      <c r="GQ24" s="3"/>
      <c r="GR24" s="2"/>
      <c r="GS24" s="2"/>
      <c r="GT24" s="2"/>
      <c r="GU24" s="2"/>
      <c r="GV24" s="2"/>
      <c r="GW24" s="2"/>
      <c r="GX24" s="2"/>
      <c r="GY24" s="2"/>
      <c r="GZ24" s="2"/>
      <c r="HA24" s="2"/>
      <c r="HB24" s="2"/>
      <c r="HC24" s="3"/>
      <c r="HD24" s="3"/>
      <c r="HE24" s="3"/>
      <c r="HF24" s="3"/>
      <c r="HG24" s="3"/>
      <c r="HH24" s="3"/>
      <c r="HI24" s="3"/>
      <c r="HJ24" s="3"/>
      <c r="HK24" s="3"/>
      <c r="HL24" s="3"/>
      <c r="HM24" s="3"/>
      <c r="HN24" s="2"/>
      <c r="HO24" s="2"/>
      <c r="HP24" s="2"/>
      <c r="HQ24" s="2"/>
      <c r="HR24" s="2"/>
      <c r="HS24" s="2"/>
      <c r="HT24" s="2"/>
      <c r="HU24" s="2"/>
      <c r="HV24" s="2"/>
      <c r="HW24" s="2"/>
      <c r="HX24" s="2"/>
      <c r="HY24" s="3"/>
      <c r="HZ24" s="3"/>
      <c r="IA24" s="3"/>
      <c r="IB24" s="3"/>
      <c r="IC24" s="3"/>
      <c r="ID24" s="3"/>
      <c r="IE24" s="3"/>
      <c r="IF24" s="3"/>
      <c r="IG24" s="3"/>
      <c r="IH24" s="3"/>
      <c r="II24" s="3"/>
      <c r="IJ24" s="2"/>
      <c r="IK24" s="2"/>
      <c r="IL24" s="2"/>
      <c r="IM24" s="2"/>
      <c r="IN24" s="2"/>
      <c r="IO24" s="2"/>
      <c r="IP24" s="2"/>
      <c r="IQ24" s="2"/>
      <c r="IR24" s="2"/>
      <c r="IS24" s="2"/>
      <c r="IT24" s="2"/>
      <c r="IU24" s="3"/>
      <c r="IV24" s="3"/>
      <c r="IW24" s="3"/>
      <c r="IX24" s="3"/>
      <c r="IY24" s="3"/>
      <c r="IZ24" s="3"/>
      <c r="JA24" s="3"/>
      <c r="JB24" s="3"/>
      <c r="JC24" s="3"/>
      <c r="JD24" s="3"/>
      <c r="JE24" s="3"/>
      <c r="JF24" s="2"/>
      <c r="JG24" s="2"/>
      <c r="JH24" s="2"/>
      <c r="JI24" s="2"/>
      <c r="JJ24" s="2"/>
      <c r="JK24" s="2"/>
      <c r="JL24" s="2"/>
      <c r="JM24" s="2"/>
      <c r="JN24" s="2"/>
      <c r="JO24" s="2"/>
      <c r="JP24" s="2"/>
      <c r="JQ24" s="3"/>
      <c r="JR24" s="3"/>
      <c r="JS24" s="3"/>
      <c r="JT24" s="3"/>
      <c r="JU24" s="3"/>
      <c r="JV24" s="3"/>
      <c r="JW24" s="3"/>
      <c r="JX24" s="3"/>
      <c r="JY24" s="3"/>
      <c r="JZ24" s="3"/>
      <c r="KA24" s="3"/>
      <c r="KB24" s="2"/>
      <c r="KC24" s="2"/>
      <c r="KD24" s="2"/>
      <c r="KE24" s="2"/>
      <c r="KF24" s="2"/>
      <c r="KG24" s="2"/>
      <c r="KH24" s="2"/>
      <c r="KI24" s="2"/>
      <c r="KJ24" s="2"/>
      <c r="KK24" s="2"/>
      <c r="KL24" s="2"/>
      <c r="KM24" s="3"/>
      <c r="KN24" s="3"/>
      <c r="KO24" s="3"/>
      <c r="KP24" s="3"/>
      <c r="KQ24" s="3"/>
      <c r="KR24" s="3"/>
      <c r="KS24" s="3"/>
      <c r="KT24" s="3"/>
      <c r="KU24" s="3"/>
      <c r="KV24" s="3"/>
      <c r="KW24" s="3"/>
      <c r="KX24" s="2"/>
      <c r="KY24" s="2"/>
      <c r="KZ24" s="2"/>
      <c r="LA24" s="2"/>
      <c r="LB24" s="2"/>
      <c r="LC24" s="2"/>
      <c r="LD24" s="2"/>
      <c r="LE24" s="2"/>
      <c r="LF24" s="2"/>
      <c r="LG24" s="2"/>
      <c r="LH24" s="2"/>
      <c r="LI24" s="3"/>
      <c r="LJ24" s="3"/>
      <c r="LK24" s="3"/>
      <c r="LL24" s="3"/>
      <c r="LM24" s="3"/>
      <c r="LN24" s="3"/>
      <c r="LO24" s="3"/>
      <c r="LP24" s="3"/>
      <c r="LQ24" s="3"/>
      <c r="LR24" s="3"/>
      <c r="LS24" s="3"/>
      <c r="LT24" s="2"/>
      <c r="LU24" s="2"/>
      <c r="LV24" s="2"/>
      <c r="LW24" s="2"/>
      <c r="LX24" s="2"/>
      <c r="LY24" s="2"/>
      <c r="LZ24" s="2"/>
      <c r="MA24" s="2"/>
      <c r="MB24" s="2"/>
      <c r="MC24" s="2"/>
      <c r="MD24" s="2"/>
      <c r="ME24" s="3"/>
      <c r="MF24" s="3"/>
      <c r="MG24" s="3"/>
      <c r="MH24" s="3"/>
      <c r="MI24" s="3"/>
      <c r="MJ24" s="3"/>
      <c r="MK24" s="3"/>
      <c r="ML24" s="3"/>
      <c r="MM24" s="3"/>
      <c r="MN24" s="3"/>
      <c r="MO24" s="3"/>
      <c r="MP24" s="2"/>
      <c r="MQ24" s="2"/>
      <c r="MR24" s="2"/>
      <c r="MS24" s="2"/>
      <c r="MT24" s="2"/>
      <c r="MU24" s="2"/>
      <c r="MV24" s="2"/>
      <c r="MW24" s="2"/>
      <c r="MX24" s="2"/>
      <c r="MY24" s="2"/>
      <c r="MZ24" s="2"/>
      <c r="NA24" s="3"/>
      <c r="NB24" s="3"/>
      <c r="NC24" s="3"/>
      <c r="ND24" s="3"/>
      <c r="NE24" s="3"/>
      <c r="NF24" s="3"/>
      <c r="NG24" s="3"/>
      <c r="NH24" s="3"/>
      <c r="NI24" s="3"/>
      <c r="NJ24" s="3"/>
      <c r="NK24" s="3"/>
      <c r="NL24" s="56"/>
      <c r="NM24" s="57"/>
      <c r="NN24" s="57"/>
      <c r="NO24" s="57"/>
      <c r="NP24" s="57"/>
      <c r="NQ24" s="57"/>
      <c r="NR24" s="57"/>
      <c r="NS24" s="57"/>
      <c r="NT24" s="57"/>
      <c r="NU24" s="57"/>
      <c r="NV24" s="57"/>
      <c r="NW24" s="59"/>
      <c r="NX24" s="59"/>
      <c r="NY24" s="59"/>
      <c r="NZ24" s="59"/>
      <c r="OA24" s="59"/>
      <c r="OB24" s="59"/>
      <c r="OC24" s="59"/>
      <c r="OD24" s="59"/>
      <c r="OE24" s="59"/>
      <c r="OF24" s="59"/>
      <c r="OG24" s="59"/>
      <c r="OH24" s="56"/>
      <c r="OI24" s="57"/>
      <c r="OJ24" s="57"/>
      <c r="OK24" s="57"/>
      <c r="OL24" s="57"/>
      <c r="OM24" s="57"/>
      <c r="ON24" s="57"/>
      <c r="OO24" s="57"/>
      <c r="OP24" s="57"/>
      <c r="OQ24" s="57"/>
      <c r="OR24" s="57"/>
      <c r="OS24" s="59"/>
      <c r="OT24" s="59"/>
      <c r="OU24" s="59"/>
      <c r="OV24" s="59"/>
      <c r="OW24" s="59"/>
      <c r="OX24" s="59"/>
      <c r="OY24" s="59"/>
      <c r="OZ24" s="59"/>
      <c r="PA24" s="59"/>
      <c r="PB24" s="59"/>
      <c r="PC24" s="59"/>
      <c r="PD24" s="56"/>
      <c r="PE24" s="57"/>
      <c r="PF24" s="57"/>
      <c r="PG24" s="57"/>
      <c r="PH24" s="57"/>
      <c r="PI24" s="57"/>
      <c r="PJ24" s="57"/>
      <c r="PK24" s="57"/>
      <c r="PL24" s="57"/>
      <c r="PM24" s="57"/>
      <c r="PN24" s="57"/>
      <c r="PO24" s="59"/>
      <c r="PP24" s="59"/>
      <c r="PQ24" s="59"/>
      <c r="PR24" s="59"/>
      <c r="PS24" s="59"/>
      <c r="PT24" s="59"/>
      <c r="PU24" s="59"/>
      <c r="PV24" s="59"/>
      <c r="PW24" s="59"/>
      <c r="PX24" s="59"/>
      <c r="PY24" s="59"/>
      <c r="PZ24" s="56"/>
      <c r="QA24" s="57"/>
      <c r="QB24" s="57"/>
      <c r="QC24" s="57"/>
      <c r="QD24" s="57"/>
      <c r="QE24" s="57"/>
      <c r="QF24" s="57"/>
      <c r="QG24" s="57"/>
      <c r="QH24" s="57"/>
      <c r="QI24" s="57"/>
      <c r="QJ24" s="57"/>
      <c r="QK24" s="59"/>
      <c r="QL24" s="59"/>
      <c r="QM24" s="59"/>
      <c r="QN24" s="59"/>
      <c r="QO24" s="59"/>
      <c r="QP24" s="59"/>
      <c r="QQ24" s="59"/>
      <c r="QR24" s="59"/>
      <c r="QS24" s="59"/>
      <c r="QT24" s="59"/>
      <c r="QU24" s="59"/>
      <c r="QV24" s="56"/>
      <c r="QW24" s="57"/>
      <c r="QX24" s="57"/>
      <c r="QY24" s="57"/>
      <c r="QZ24" s="57"/>
      <c r="RA24" s="57"/>
      <c r="RB24" s="57"/>
      <c r="RC24" s="57"/>
      <c r="RD24" s="57"/>
      <c r="RE24" s="57"/>
      <c r="RF24" s="57"/>
      <c r="RG24" s="59"/>
      <c r="RH24" s="59"/>
      <c r="RI24" s="59"/>
      <c r="RJ24" s="59"/>
      <c r="RK24" s="59"/>
      <c r="RL24" s="59"/>
      <c r="RM24" s="59"/>
      <c r="RN24" s="59"/>
      <c r="RO24" s="59"/>
      <c r="RP24" s="59"/>
      <c r="RQ24" s="59"/>
      <c r="RR24" s="56"/>
      <c r="RS24" s="57"/>
      <c r="RT24" s="57"/>
      <c r="RU24" s="57"/>
      <c r="RV24" s="57"/>
      <c r="RW24" s="57"/>
      <c r="RX24" s="57"/>
      <c r="RY24" s="57"/>
      <c r="RZ24" s="57"/>
      <c r="SA24" s="57"/>
      <c r="SB24" s="57"/>
      <c r="SC24" s="59"/>
      <c r="SD24" s="59"/>
      <c r="SE24" s="59"/>
      <c r="SF24" s="59"/>
      <c r="SG24" s="59"/>
      <c r="SH24" s="59"/>
      <c r="SI24" s="59"/>
      <c r="SJ24" s="59"/>
      <c r="SK24" s="59"/>
      <c r="SL24" s="59"/>
      <c r="SM24" s="59"/>
      <c r="SN24" s="56"/>
      <c r="SO24" s="57"/>
      <c r="SP24" s="57"/>
      <c r="SQ24" s="57"/>
      <c r="SR24" s="57"/>
      <c r="SS24" s="57"/>
      <c r="ST24" s="57"/>
      <c r="SU24" s="57"/>
      <c r="SV24" s="57"/>
      <c r="SW24" s="57"/>
      <c r="SX24" s="57"/>
      <c r="SY24" s="59"/>
      <c r="SZ24" s="59"/>
      <c r="TA24" s="59"/>
      <c r="TB24" s="59"/>
      <c r="TC24" s="59"/>
      <c r="TD24" s="59"/>
      <c r="TE24" s="59"/>
      <c r="TF24" s="59"/>
      <c r="TG24" s="59"/>
      <c r="TH24" s="59"/>
      <c r="TI24" s="59"/>
      <c r="TJ24" s="56"/>
      <c r="TK24" s="57"/>
      <c r="TL24" s="57"/>
      <c r="TM24" s="57"/>
      <c r="TN24" s="57"/>
      <c r="TO24" s="57"/>
      <c r="TP24" s="57"/>
      <c r="TQ24" s="57"/>
      <c r="TR24" s="57"/>
      <c r="TS24" s="57"/>
      <c r="TT24" s="57"/>
      <c r="TU24" s="59"/>
      <c r="TV24" s="59"/>
      <c r="TW24" s="59"/>
      <c r="TX24" s="59"/>
      <c r="TY24" s="59"/>
      <c r="TZ24" s="59"/>
      <c r="UA24" s="59"/>
      <c r="UB24" s="59"/>
      <c r="UC24" s="59"/>
      <c r="UD24" s="59"/>
      <c r="UE24" s="59"/>
      <c r="UF24" s="56"/>
      <c r="UG24" s="57"/>
      <c r="UH24" s="57"/>
      <c r="UI24" s="57"/>
      <c r="UJ24" s="57"/>
      <c r="UK24" s="57"/>
      <c r="UL24" s="57"/>
      <c r="UM24" s="57"/>
      <c r="UN24" s="57"/>
      <c r="UO24" s="57"/>
      <c r="UP24" s="57"/>
      <c r="UQ24" s="59"/>
      <c r="UR24" s="59"/>
      <c r="US24" s="59"/>
      <c r="UT24" s="59"/>
      <c r="UU24" s="59"/>
      <c r="UV24" s="59"/>
      <c r="UW24" s="59"/>
      <c r="UX24" s="59"/>
      <c r="UY24" s="59"/>
      <c r="UZ24" s="59"/>
      <c r="VA24" s="59"/>
      <c r="VB24" s="56"/>
      <c r="VC24" s="57"/>
      <c r="VD24" s="57"/>
      <c r="VE24" s="57"/>
      <c r="VF24" s="57"/>
      <c r="VG24" s="57"/>
      <c r="VH24" s="57"/>
      <c r="VI24" s="57"/>
      <c r="VJ24" s="57"/>
      <c r="VK24" s="57"/>
      <c r="VL24" s="57"/>
      <c r="VM24" s="59"/>
      <c r="VN24" s="59"/>
      <c r="VO24" s="59"/>
      <c r="VP24" s="59"/>
      <c r="VQ24" s="59"/>
      <c r="VR24" s="59"/>
      <c r="VS24" s="59"/>
      <c r="VT24" s="59"/>
      <c r="VU24" s="59"/>
      <c r="VV24" s="59"/>
      <c r="VW24" s="59"/>
      <c r="VX24" s="56"/>
      <c r="VY24" s="57"/>
      <c r="VZ24" s="57"/>
      <c r="WA24" s="57"/>
      <c r="WB24" s="57"/>
      <c r="WC24" s="57"/>
      <c r="WD24" s="57"/>
      <c r="WE24" s="57"/>
      <c r="WF24" s="57"/>
      <c r="WG24" s="57"/>
      <c r="WH24" s="57"/>
      <c r="WI24" s="59"/>
      <c r="WJ24" s="59"/>
      <c r="WK24" s="59"/>
      <c r="WL24" s="59"/>
      <c r="WM24" s="59"/>
      <c r="WN24" s="59"/>
      <c r="WO24" s="59"/>
      <c r="WP24" s="59"/>
      <c r="WQ24" s="59"/>
      <c r="WR24" s="59"/>
      <c r="WS24" s="59"/>
      <c r="WT24" s="56"/>
      <c r="WU24" s="57"/>
      <c r="WV24" s="57"/>
      <c r="WW24" s="57"/>
      <c r="WX24" s="57"/>
      <c r="WY24" s="57"/>
      <c r="WZ24" s="57"/>
      <c r="XA24" s="57"/>
      <c r="XB24" s="57"/>
      <c r="XC24" s="57"/>
      <c r="XD24" s="57"/>
      <c r="XE24" s="59"/>
      <c r="XF24" s="59"/>
      <c r="XG24" s="59"/>
      <c r="XH24" s="59"/>
      <c r="XI24" s="59"/>
      <c r="XJ24" s="59"/>
      <c r="XK24" s="59"/>
      <c r="XL24" s="59"/>
      <c r="XM24" s="59"/>
      <c r="XN24" s="59"/>
      <c r="XO24" s="59"/>
      <c r="XP24" s="56"/>
      <c r="XQ24" s="57"/>
      <c r="XR24" s="57"/>
      <c r="XS24" s="57"/>
      <c r="XT24" s="57"/>
      <c r="XU24" s="57"/>
      <c r="XV24" s="57"/>
      <c r="XW24" s="57"/>
      <c r="XX24" s="57"/>
      <c r="XY24" s="57"/>
      <c r="XZ24" s="57"/>
      <c r="YA24" s="59"/>
      <c r="YB24" s="59"/>
      <c r="YC24" s="59"/>
      <c r="YD24" s="59"/>
      <c r="YE24" s="59"/>
      <c r="YF24" s="59"/>
      <c r="YG24" s="59"/>
      <c r="YH24" s="59"/>
      <c r="YI24" s="59"/>
      <c r="YJ24" s="59"/>
      <c r="YK24" s="59"/>
      <c r="YL24" s="56"/>
      <c r="YM24" s="57"/>
      <c r="YN24" s="57"/>
      <c r="YO24" s="57"/>
      <c r="YP24" s="57"/>
      <c r="YQ24" s="57"/>
      <c r="YR24" s="57"/>
      <c r="YS24" s="57"/>
      <c r="YT24" s="57"/>
      <c r="YU24" s="57"/>
      <c r="YV24" s="57"/>
      <c r="YW24" s="59"/>
      <c r="YX24" s="59"/>
      <c r="YY24" s="59"/>
      <c r="YZ24" s="59"/>
      <c r="ZA24" s="59"/>
      <c r="ZB24" s="59"/>
      <c r="ZC24" s="59"/>
      <c r="ZD24" s="59"/>
      <c r="ZE24" s="59"/>
      <c r="ZF24" s="59"/>
      <c r="ZG24" s="59"/>
      <c r="ZH24" s="56"/>
      <c r="ZI24" s="57"/>
      <c r="ZJ24" s="57"/>
      <c r="ZK24" s="57"/>
      <c r="ZL24" s="57"/>
      <c r="ZM24" s="57"/>
      <c r="ZN24" s="57"/>
      <c r="ZO24" s="57"/>
      <c r="ZP24" s="57"/>
      <c r="ZQ24" s="57"/>
      <c r="ZR24" s="57"/>
      <c r="ZS24" s="59"/>
      <c r="ZT24" s="59"/>
      <c r="ZU24" s="59"/>
      <c r="ZV24" s="59"/>
      <c r="ZW24" s="59"/>
      <c r="ZX24" s="59"/>
      <c r="ZY24" s="59"/>
      <c r="ZZ24" s="59"/>
      <c r="AAA24" s="59"/>
      <c r="AAB24" s="59"/>
      <c r="AAC24" s="59"/>
    </row>
    <row r="25" spans="1:705" x14ac:dyDescent="0.2">
      <c r="A25" s="1">
        <v>20</v>
      </c>
      <c r="B25" s="2"/>
      <c r="C25" s="2"/>
      <c r="D25" s="2"/>
      <c r="E25" s="2"/>
      <c r="F25" s="2"/>
      <c r="G25" s="2"/>
      <c r="H25" s="2"/>
      <c r="I25" s="2"/>
      <c r="J25" s="2"/>
      <c r="K25" s="2"/>
      <c r="L25" s="2"/>
      <c r="M25" s="3"/>
      <c r="N25" s="3"/>
      <c r="O25" s="3"/>
      <c r="P25" s="3"/>
      <c r="Q25" s="3"/>
      <c r="R25" s="3"/>
      <c r="S25" s="3"/>
      <c r="T25" s="3"/>
      <c r="U25" s="3"/>
      <c r="V25" s="3"/>
      <c r="W25" s="3"/>
      <c r="X25" s="2"/>
      <c r="Y25" s="2"/>
      <c r="Z25" s="2"/>
      <c r="AA25" s="2"/>
      <c r="AB25" s="2"/>
      <c r="AC25" s="2"/>
      <c r="AD25" s="2"/>
      <c r="AE25" s="2"/>
      <c r="AF25" s="2"/>
      <c r="AG25" s="2"/>
      <c r="AH25" s="2"/>
      <c r="AI25" s="3"/>
      <c r="AJ25" s="3"/>
      <c r="AK25" s="3"/>
      <c r="AL25" s="3"/>
      <c r="AM25" s="3"/>
      <c r="AN25" s="3"/>
      <c r="AO25" s="3"/>
      <c r="AP25" s="3"/>
      <c r="AQ25" s="3"/>
      <c r="AR25" s="3"/>
      <c r="AS25" s="3"/>
      <c r="AT25" s="2"/>
      <c r="AU25" s="2"/>
      <c r="AV25" s="2"/>
      <c r="AW25" s="2"/>
      <c r="AX25" s="2"/>
      <c r="AY25" s="2"/>
      <c r="AZ25" s="2"/>
      <c r="BA25" s="2"/>
      <c r="BB25" s="2"/>
      <c r="BC25" s="2"/>
      <c r="BD25" s="2"/>
      <c r="BE25" s="3"/>
      <c r="BF25" s="3"/>
      <c r="BG25" s="3"/>
      <c r="BH25" s="3"/>
      <c r="BI25" s="3"/>
      <c r="BJ25" s="3"/>
      <c r="BK25" s="3"/>
      <c r="BL25" s="3"/>
      <c r="BM25" s="3"/>
      <c r="BN25" s="3"/>
      <c r="BO25" s="3"/>
      <c r="BP25" s="2"/>
      <c r="BQ25" s="2"/>
      <c r="BR25" s="2"/>
      <c r="BS25" s="2"/>
      <c r="BT25" s="2"/>
      <c r="BU25" s="2"/>
      <c r="BV25" s="2"/>
      <c r="BW25" s="2"/>
      <c r="BX25" s="2"/>
      <c r="BY25" s="2"/>
      <c r="BZ25" s="2"/>
      <c r="CA25" s="3"/>
      <c r="CB25" s="3"/>
      <c r="CC25" s="3"/>
      <c r="CD25" s="3"/>
      <c r="CE25" s="3"/>
      <c r="CF25" s="3"/>
      <c r="CG25" s="3"/>
      <c r="CH25" s="3"/>
      <c r="CI25" s="3"/>
      <c r="CJ25" s="3"/>
      <c r="CK25" s="3"/>
      <c r="CL25" s="2"/>
      <c r="CM25" s="2"/>
      <c r="CN25" s="2"/>
      <c r="CO25" s="2"/>
      <c r="CP25" s="2"/>
      <c r="CQ25" s="2"/>
      <c r="CR25" s="2"/>
      <c r="CS25" s="2"/>
      <c r="CT25" s="2"/>
      <c r="CU25" s="2"/>
      <c r="CV25" s="2"/>
      <c r="CW25" s="3"/>
      <c r="CX25" s="3"/>
      <c r="CY25" s="3"/>
      <c r="CZ25" s="3"/>
      <c r="DA25" s="3"/>
      <c r="DB25" s="3"/>
      <c r="DC25" s="3"/>
      <c r="DD25" s="3"/>
      <c r="DE25" s="3"/>
      <c r="DF25" s="3"/>
      <c r="DG25" s="3"/>
      <c r="DH25" s="2"/>
      <c r="DI25" s="2"/>
      <c r="DJ25" s="2"/>
      <c r="DK25" s="2"/>
      <c r="DL25" s="2"/>
      <c r="DM25" s="2"/>
      <c r="DN25" s="2"/>
      <c r="DO25" s="2"/>
      <c r="DP25" s="2"/>
      <c r="DQ25" s="2"/>
      <c r="DR25" s="2"/>
      <c r="DS25" s="3"/>
      <c r="DT25" s="3"/>
      <c r="DU25" s="3"/>
      <c r="DV25" s="3"/>
      <c r="DW25" s="3"/>
      <c r="DX25" s="3"/>
      <c r="DY25" s="3"/>
      <c r="DZ25" s="3"/>
      <c r="EA25" s="3"/>
      <c r="EB25" s="3"/>
      <c r="EC25" s="3"/>
      <c r="ED25" s="2"/>
      <c r="EE25" s="2"/>
      <c r="EF25" s="2"/>
      <c r="EG25" s="2"/>
      <c r="EH25" s="2"/>
      <c r="EI25" s="2"/>
      <c r="EJ25" s="2"/>
      <c r="EK25" s="2"/>
      <c r="EL25" s="2"/>
      <c r="EM25" s="2"/>
      <c r="EN25" s="2"/>
      <c r="EO25" s="3"/>
      <c r="EP25" s="3"/>
      <c r="EQ25" s="3"/>
      <c r="ER25" s="3"/>
      <c r="ES25" s="3"/>
      <c r="ET25" s="3"/>
      <c r="EU25" s="3"/>
      <c r="EV25" s="3"/>
      <c r="EW25" s="3"/>
      <c r="EX25" s="3"/>
      <c r="EY25" s="3"/>
      <c r="EZ25" s="2"/>
      <c r="FA25" s="2"/>
      <c r="FB25" s="2"/>
      <c r="FC25" s="2"/>
      <c r="FD25" s="2"/>
      <c r="FE25" s="2"/>
      <c r="FF25" s="2"/>
      <c r="FG25" s="2"/>
      <c r="FH25" s="2"/>
      <c r="FI25" s="2"/>
      <c r="FJ25" s="2"/>
      <c r="FK25" s="3"/>
      <c r="FL25" s="3"/>
      <c r="FM25" s="3"/>
      <c r="FN25" s="3"/>
      <c r="FO25" s="3"/>
      <c r="FP25" s="3"/>
      <c r="FQ25" s="3"/>
      <c r="FR25" s="3"/>
      <c r="FS25" s="3"/>
      <c r="FT25" s="3"/>
      <c r="FU25" s="3"/>
      <c r="FV25" s="2"/>
      <c r="FW25" s="2"/>
      <c r="FX25" s="2"/>
      <c r="FY25" s="2"/>
      <c r="FZ25" s="2"/>
      <c r="GA25" s="2"/>
      <c r="GB25" s="2"/>
      <c r="GC25" s="2"/>
      <c r="GD25" s="2"/>
      <c r="GE25" s="2"/>
      <c r="GF25" s="2"/>
      <c r="GG25" s="3"/>
      <c r="GH25" s="3"/>
      <c r="GI25" s="3"/>
      <c r="GJ25" s="3"/>
      <c r="GK25" s="3"/>
      <c r="GL25" s="3"/>
      <c r="GM25" s="3"/>
      <c r="GN25" s="3"/>
      <c r="GO25" s="3"/>
      <c r="GP25" s="3"/>
      <c r="GQ25" s="3"/>
      <c r="GR25" s="2"/>
      <c r="GS25" s="2"/>
      <c r="GT25" s="2"/>
      <c r="GU25" s="2"/>
      <c r="GV25" s="2"/>
      <c r="GW25" s="2"/>
      <c r="GX25" s="2"/>
      <c r="GY25" s="2"/>
      <c r="GZ25" s="2"/>
      <c r="HA25" s="2"/>
      <c r="HB25" s="2"/>
      <c r="HC25" s="3"/>
      <c r="HD25" s="3"/>
      <c r="HE25" s="3"/>
      <c r="HF25" s="3"/>
      <c r="HG25" s="3"/>
      <c r="HH25" s="3"/>
      <c r="HI25" s="3"/>
      <c r="HJ25" s="3"/>
      <c r="HK25" s="3"/>
      <c r="HL25" s="3"/>
      <c r="HM25" s="3"/>
      <c r="HN25" s="2"/>
      <c r="HO25" s="2"/>
      <c r="HP25" s="2"/>
      <c r="HQ25" s="2"/>
      <c r="HR25" s="2"/>
      <c r="HS25" s="2"/>
      <c r="HT25" s="2"/>
      <c r="HU25" s="2"/>
      <c r="HV25" s="2"/>
      <c r="HW25" s="2"/>
      <c r="HX25" s="2"/>
      <c r="HY25" s="3"/>
      <c r="HZ25" s="3"/>
      <c r="IA25" s="3"/>
      <c r="IB25" s="3"/>
      <c r="IC25" s="3"/>
      <c r="ID25" s="3"/>
      <c r="IE25" s="3"/>
      <c r="IF25" s="3"/>
      <c r="IG25" s="3"/>
      <c r="IH25" s="3"/>
      <c r="II25" s="3"/>
      <c r="IJ25" s="2"/>
      <c r="IK25" s="2"/>
      <c r="IL25" s="2"/>
      <c r="IM25" s="2"/>
      <c r="IN25" s="2"/>
      <c r="IO25" s="2"/>
      <c r="IP25" s="2"/>
      <c r="IQ25" s="2"/>
      <c r="IR25" s="2"/>
      <c r="IS25" s="2"/>
      <c r="IT25" s="2"/>
      <c r="IU25" s="3"/>
      <c r="IV25" s="3"/>
      <c r="IW25" s="3"/>
      <c r="IX25" s="3"/>
      <c r="IY25" s="3"/>
      <c r="IZ25" s="3"/>
      <c r="JA25" s="3"/>
      <c r="JB25" s="3"/>
      <c r="JC25" s="3"/>
      <c r="JD25" s="3"/>
      <c r="JE25" s="3"/>
      <c r="JF25" s="2"/>
      <c r="JG25" s="2"/>
      <c r="JH25" s="2"/>
      <c r="JI25" s="2"/>
      <c r="JJ25" s="2"/>
      <c r="JK25" s="2"/>
      <c r="JL25" s="2"/>
      <c r="JM25" s="2"/>
      <c r="JN25" s="2"/>
      <c r="JO25" s="2"/>
      <c r="JP25" s="2"/>
      <c r="JQ25" s="3"/>
      <c r="JR25" s="3"/>
      <c r="JS25" s="3"/>
      <c r="JT25" s="3"/>
      <c r="JU25" s="3"/>
      <c r="JV25" s="3"/>
      <c r="JW25" s="3"/>
      <c r="JX25" s="3"/>
      <c r="JY25" s="3"/>
      <c r="JZ25" s="3"/>
      <c r="KA25" s="3"/>
      <c r="KB25" s="2"/>
      <c r="KC25" s="2"/>
      <c r="KD25" s="2"/>
      <c r="KE25" s="2"/>
      <c r="KF25" s="2"/>
      <c r="KG25" s="2"/>
      <c r="KH25" s="2"/>
      <c r="KI25" s="2"/>
      <c r="KJ25" s="2"/>
      <c r="KK25" s="2"/>
      <c r="KL25" s="2"/>
      <c r="KM25" s="3"/>
      <c r="KN25" s="3"/>
      <c r="KO25" s="3"/>
      <c r="KP25" s="3"/>
      <c r="KQ25" s="3"/>
      <c r="KR25" s="3"/>
      <c r="KS25" s="3"/>
      <c r="KT25" s="3"/>
      <c r="KU25" s="3"/>
      <c r="KV25" s="3"/>
      <c r="KW25" s="3"/>
      <c r="KX25" s="2"/>
      <c r="KY25" s="2"/>
      <c r="KZ25" s="2"/>
      <c r="LA25" s="2"/>
      <c r="LB25" s="2"/>
      <c r="LC25" s="2"/>
      <c r="LD25" s="2"/>
      <c r="LE25" s="2"/>
      <c r="LF25" s="2"/>
      <c r="LG25" s="2"/>
      <c r="LH25" s="2"/>
      <c r="LI25" s="3"/>
      <c r="LJ25" s="3"/>
      <c r="LK25" s="3"/>
      <c r="LL25" s="3"/>
      <c r="LM25" s="3"/>
      <c r="LN25" s="3"/>
      <c r="LO25" s="3"/>
      <c r="LP25" s="3"/>
      <c r="LQ25" s="3"/>
      <c r="LR25" s="3"/>
      <c r="LS25" s="3"/>
      <c r="LT25" s="2"/>
      <c r="LU25" s="2"/>
      <c r="LV25" s="2"/>
      <c r="LW25" s="2"/>
      <c r="LX25" s="2"/>
      <c r="LY25" s="2"/>
      <c r="LZ25" s="2"/>
      <c r="MA25" s="2"/>
      <c r="MB25" s="2"/>
      <c r="MC25" s="2"/>
      <c r="MD25" s="2"/>
      <c r="ME25" s="3"/>
      <c r="MF25" s="3"/>
      <c r="MG25" s="3"/>
      <c r="MH25" s="3"/>
      <c r="MI25" s="3"/>
      <c r="MJ25" s="3"/>
      <c r="MK25" s="3"/>
      <c r="ML25" s="3"/>
      <c r="MM25" s="3"/>
      <c r="MN25" s="3"/>
      <c r="MO25" s="3"/>
      <c r="MP25" s="2"/>
      <c r="MQ25" s="2"/>
      <c r="MR25" s="2"/>
      <c r="MS25" s="2"/>
      <c r="MT25" s="2"/>
      <c r="MU25" s="2"/>
      <c r="MV25" s="2"/>
      <c r="MW25" s="2"/>
      <c r="MX25" s="2"/>
      <c r="MY25" s="2"/>
      <c r="MZ25" s="2"/>
      <c r="NA25" s="3"/>
      <c r="NB25" s="3"/>
      <c r="NC25" s="3"/>
      <c r="ND25" s="3"/>
      <c r="NE25" s="3"/>
      <c r="NF25" s="3"/>
      <c r="NG25" s="3"/>
      <c r="NH25" s="3"/>
      <c r="NI25" s="3"/>
      <c r="NJ25" s="3"/>
      <c r="NK25" s="3"/>
      <c r="NL25" s="56"/>
      <c r="NM25" s="57"/>
      <c r="NN25" s="57"/>
      <c r="NO25" s="57"/>
      <c r="NP25" s="57"/>
      <c r="NQ25" s="57"/>
      <c r="NR25" s="57"/>
      <c r="NS25" s="57"/>
      <c r="NT25" s="57"/>
      <c r="NU25" s="57"/>
      <c r="NV25" s="57"/>
      <c r="NW25" s="59"/>
      <c r="NX25" s="59"/>
      <c r="NY25" s="59"/>
      <c r="NZ25" s="59"/>
      <c r="OA25" s="59"/>
      <c r="OB25" s="59"/>
      <c r="OC25" s="59"/>
      <c r="OD25" s="59"/>
      <c r="OE25" s="59"/>
      <c r="OF25" s="59"/>
      <c r="OG25" s="59"/>
      <c r="OH25" s="56"/>
      <c r="OI25" s="57"/>
      <c r="OJ25" s="57"/>
      <c r="OK25" s="57"/>
      <c r="OL25" s="57"/>
      <c r="OM25" s="57"/>
      <c r="ON25" s="57"/>
      <c r="OO25" s="57"/>
      <c r="OP25" s="57"/>
      <c r="OQ25" s="57"/>
      <c r="OR25" s="57"/>
      <c r="OS25" s="59"/>
      <c r="OT25" s="59"/>
      <c r="OU25" s="59"/>
      <c r="OV25" s="59"/>
      <c r="OW25" s="59"/>
      <c r="OX25" s="59"/>
      <c r="OY25" s="59"/>
      <c r="OZ25" s="59"/>
      <c r="PA25" s="59"/>
      <c r="PB25" s="59"/>
      <c r="PC25" s="59"/>
      <c r="PD25" s="56"/>
      <c r="PE25" s="57"/>
      <c r="PF25" s="57"/>
      <c r="PG25" s="57"/>
      <c r="PH25" s="57"/>
      <c r="PI25" s="57"/>
      <c r="PJ25" s="57"/>
      <c r="PK25" s="57"/>
      <c r="PL25" s="57"/>
      <c r="PM25" s="57"/>
      <c r="PN25" s="57"/>
      <c r="PO25" s="59"/>
      <c r="PP25" s="59"/>
      <c r="PQ25" s="59"/>
      <c r="PR25" s="59"/>
      <c r="PS25" s="59"/>
      <c r="PT25" s="59"/>
      <c r="PU25" s="59"/>
      <c r="PV25" s="59"/>
      <c r="PW25" s="59"/>
      <c r="PX25" s="59"/>
      <c r="PY25" s="59"/>
      <c r="PZ25" s="56"/>
      <c r="QA25" s="57"/>
      <c r="QB25" s="57"/>
      <c r="QC25" s="57"/>
      <c r="QD25" s="57"/>
      <c r="QE25" s="57"/>
      <c r="QF25" s="57"/>
      <c r="QG25" s="57"/>
      <c r="QH25" s="57"/>
      <c r="QI25" s="57"/>
      <c r="QJ25" s="57"/>
      <c r="QK25" s="59"/>
      <c r="QL25" s="59"/>
      <c r="QM25" s="59"/>
      <c r="QN25" s="59"/>
      <c r="QO25" s="59"/>
      <c r="QP25" s="59"/>
      <c r="QQ25" s="59"/>
      <c r="QR25" s="59"/>
      <c r="QS25" s="59"/>
      <c r="QT25" s="59"/>
      <c r="QU25" s="59"/>
      <c r="QV25" s="56"/>
      <c r="QW25" s="57"/>
      <c r="QX25" s="57"/>
      <c r="QY25" s="57"/>
      <c r="QZ25" s="57"/>
      <c r="RA25" s="57"/>
      <c r="RB25" s="57"/>
      <c r="RC25" s="57"/>
      <c r="RD25" s="57"/>
      <c r="RE25" s="57"/>
      <c r="RF25" s="57"/>
      <c r="RG25" s="59"/>
      <c r="RH25" s="59"/>
      <c r="RI25" s="59"/>
      <c r="RJ25" s="59"/>
      <c r="RK25" s="59"/>
      <c r="RL25" s="59"/>
      <c r="RM25" s="59"/>
      <c r="RN25" s="59"/>
      <c r="RO25" s="59"/>
      <c r="RP25" s="59"/>
      <c r="RQ25" s="59"/>
      <c r="RR25" s="56"/>
      <c r="RS25" s="57"/>
      <c r="RT25" s="57"/>
      <c r="RU25" s="57"/>
      <c r="RV25" s="57"/>
      <c r="RW25" s="57"/>
      <c r="RX25" s="57"/>
      <c r="RY25" s="57"/>
      <c r="RZ25" s="57"/>
      <c r="SA25" s="57"/>
      <c r="SB25" s="57"/>
      <c r="SC25" s="59"/>
      <c r="SD25" s="59"/>
      <c r="SE25" s="59"/>
      <c r="SF25" s="59"/>
      <c r="SG25" s="59"/>
      <c r="SH25" s="59"/>
      <c r="SI25" s="59"/>
      <c r="SJ25" s="59"/>
      <c r="SK25" s="59"/>
      <c r="SL25" s="59"/>
      <c r="SM25" s="59"/>
      <c r="SN25" s="56"/>
      <c r="SO25" s="57"/>
      <c r="SP25" s="57"/>
      <c r="SQ25" s="57"/>
      <c r="SR25" s="57"/>
      <c r="SS25" s="57"/>
      <c r="ST25" s="57"/>
      <c r="SU25" s="57"/>
      <c r="SV25" s="57"/>
      <c r="SW25" s="57"/>
      <c r="SX25" s="57"/>
      <c r="SY25" s="59"/>
      <c r="SZ25" s="59"/>
      <c r="TA25" s="59"/>
      <c r="TB25" s="59"/>
      <c r="TC25" s="59"/>
      <c r="TD25" s="59"/>
      <c r="TE25" s="59"/>
      <c r="TF25" s="59"/>
      <c r="TG25" s="59"/>
      <c r="TH25" s="59"/>
      <c r="TI25" s="59"/>
      <c r="TJ25" s="56"/>
      <c r="TK25" s="57"/>
      <c r="TL25" s="57"/>
      <c r="TM25" s="57"/>
      <c r="TN25" s="57"/>
      <c r="TO25" s="57"/>
      <c r="TP25" s="57"/>
      <c r="TQ25" s="57"/>
      <c r="TR25" s="57"/>
      <c r="TS25" s="57"/>
      <c r="TT25" s="57"/>
      <c r="TU25" s="59"/>
      <c r="TV25" s="59"/>
      <c r="TW25" s="59"/>
      <c r="TX25" s="59"/>
      <c r="TY25" s="59"/>
      <c r="TZ25" s="59"/>
      <c r="UA25" s="59"/>
      <c r="UB25" s="59"/>
      <c r="UC25" s="59"/>
      <c r="UD25" s="59"/>
      <c r="UE25" s="59"/>
      <c r="UF25" s="56"/>
      <c r="UG25" s="57"/>
      <c r="UH25" s="57"/>
      <c r="UI25" s="57"/>
      <c r="UJ25" s="57"/>
      <c r="UK25" s="57"/>
      <c r="UL25" s="57"/>
      <c r="UM25" s="57"/>
      <c r="UN25" s="57"/>
      <c r="UO25" s="57"/>
      <c r="UP25" s="57"/>
      <c r="UQ25" s="59"/>
      <c r="UR25" s="59"/>
      <c r="US25" s="59"/>
      <c r="UT25" s="59"/>
      <c r="UU25" s="59"/>
      <c r="UV25" s="59"/>
      <c r="UW25" s="59"/>
      <c r="UX25" s="59"/>
      <c r="UY25" s="59"/>
      <c r="UZ25" s="59"/>
      <c r="VA25" s="59"/>
      <c r="VB25" s="56"/>
      <c r="VC25" s="57"/>
      <c r="VD25" s="57"/>
      <c r="VE25" s="57"/>
      <c r="VF25" s="57"/>
      <c r="VG25" s="57"/>
      <c r="VH25" s="57"/>
      <c r="VI25" s="57"/>
      <c r="VJ25" s="57"/>
      <c r="VK25" s="57"/>
      <c r="VL25" s="57"/>
      <c r="VM25" s="59"/>
      <c r="VN25" s="59"/>
      <c r="VO25" s="59"/>
      <c r="VP25" s="59"/>
      <c r="VQ25" s="59"/>
      <c r="VR25" s="59"/>
      <c r="VS25" s="59"/>
      <c r="VT25" s="59"/>
      <c r="VU25" s="59"/>
      <c r="VV25" s="59"/>
      <c r="VW25" s="59"/>
      <c r="VX25" s="56"/>
      <c r="VY25" s="57"/>
      <c r="VZ25" s="57"/>
      <c r="WA25" s="57"/>
      <c r="WB25" s="57"/>
      <c r="WC25" s="57"/>
      <c r="WD25" s="57"/>
      <c r="WE25" s="57"/>
      <c r="WF25" s="57"/>
      <c r="WG25" s="57"/>
      <c r="WH25" s="57"/>
      <c r="WI25" s="59"/>
      <c r="WJ25" s="59"/>
      <c r="WK25" s="59"/>
      <c r="WL25" s="59"/>
      <c r="WM25" s="59"/>
      <c r="WN25" s="59"/>
      <c r="WO25" s="59"/>
      <c r="WP25" s="59"/>
      <c r="WQ25" s="59"/>
      <c r="WR25" s="59"/>
      <c r="WS25" s="59"/>
      <c r="WT25" s="56"/>
      <c r="WU25" s="57"/>
      <c r="WV25" s="57"/>
      <c r="WW25" s="57"/>
      <c r="WX25" s="57"/>
      <c r="WY25" s="57"/>
      <c r="WZ25" s="57"/>
      <c r="XA25" s="57"/>
      <c r="XB25" s="57"/>
      <c r="XC25" s="57"/>
      <c r="XD25" s="57"/>
      <c r="XE25" s="59"/>
      <c r="XF25" s="59"/>
      <c r="XG25" s="59"/>
      <c r="XH25" s="59"/>
      <c r="XI25" s="59"/>
      <c r="XJ25" s="59"/>
      <c r="XK25" s="59"/>
      <c r="XL25" s="59"/>
      <c r="XM25" s="59"/>
      <c r="XN25" s="59"/>
      <c r="XO25" s="59"/>
      <c r="XP25" s="56"/>
      <c r="XQ25" s="57"/>
      <c r="XR25" s="57"/>
      <c r="XS25" s="57"/>
      <c r="XT25" s="57"/>
      <c r="XU25" s="57"/>
      <c r="XV25" s="57"/>
      <c r="XW25" s="57"/>
      <c r="XX25" s="57"/>
      <c r="XY25" s="57"/>
      <c r="XZ25" s="57"/>
      <c r="YA25" s="59"/>
      <c r="YB25" s="59"/>
      <c r="YC25" s="59"/>
      <c r="YD25" s="59"/>
      <c r="YE25" s="59"/>
      <c r="YF25" s="59"/>
      <c r="YG25" s="59"/>
      <c r="YH25" s="59"/>
      <c r="YI25" s="59"/>
      <c r="YJ25" s="59"/>
      <c r="YK25" s="59"/>
      <c r="YL25" s="56"/>
      <c r="YM25" s="57"/>
      <c r="YN25" s="57"/>
      <c r="YO25" s="57"/>
      <c r="YP25" s="57"/>
      <c r="YQ25" s="57"/>
      <c r="YR25" s="57"/>
      <c r="YS25" s="57"/>
      <c r="YT25" s="57"/>
      <c r="YU25" s="57"/>
      <c r="YV25" s="57"/>
      <c r="YW25" s="59"/>
      <c r="YX25" s="59"/>
      <c r="YY25" s="59"/>
      <c r="YZ25" s="59"/>
      <c r="ZA25" s="59"/>
      <c r="ZB25" s="59"/>
      <c r="ZC25" s="59"/>
      <c r="ZD25" s="59"/>
      <c r="ZE25" s="59"/>
      <c r="ZF25" s="59"/>
      <c r="ZG25" s="59"/>
      <c r="ZH25" s="56"/>
      <c r="ZI25" s="57"/>
      <c r="ZJ25" s="57"/>
      <c r="ZK25" s="57"/>
      <c r="ZL25" s="57"/>
      <c r="ZM25" s="57"/>
      <c r="ZN25" s="57"/>
      <c r="ZO25" s="57"/>
      <c r="ZP25" s="57"/>
      <c r="ZQ25" s="57"/>
      <c r="ZR25" s="57"/>
      <c r="ZS25" s="59"/>
      <c r="ZT25" s="59"/>
      <c r="ZU25" s="59"/>
      <c r="ZV25" s="59"/>
      <c r="ZW25" s="59"/>
      <c r="ZX25" s="59"/>
      <c r="ZY25" s="59"/>
      <c r="ZZ25" s="59"/>
      <c r="AAA25" s="59"/>
      <c r="AAB25" s="59"/>
      <c r="AAC25" s="59"/>
    </row>
    <row r="26" spans="1:705" x14ac:dyDescent="0.2">
      <c r="A26" s="1">
        <v>21</v>
      </c>
      <c r="B26" s="2"/>
      <c r="C26" s="2"/>
      <c r="D26" s="2"/>
      <c r="E26" s="2"/>
      <c r="F26" s="2"/>
      <c r="G26" s="2"/>
      <c r="H26" s="2"/>
      <c r="I26" s="2"/>
      <c r="J26" s="2"/>
      <c r="K26" s="2"/>
      <c r="L26" s="2"/>
      <c r="M26" s="3"/>
      <c r="N26" s="3"/>
      <c r="O26" s="3"/>
      <c r="P26" s="3"/>
      <c r="Q26" s="3"/>
      <c r="R26" s="3"/>
      <c r="S26" s="3"/>
      <c r="T26" s="3"/>
      <c r="U26" s="3"/>
      <c r="V26" s="3"/>
      <c r="W26" s="3"/>
      <c r="X26" s="2"/>
      <c r="Y26" s="2"/>
      <c r="Z26" s="2"/>
      <c r="AA26" s="2"/>
      <c r="AB26" s="2"/>
      <c r="AC26" s="2"/>
      <c r="AD26" s="2"/>
      <c r="AE26" s="2"/>
      <c r="AF26" s="2"/>
      <c r="AG26" s="2"/>
      <c r="AH26" s="2"/>
      <c r="AI26" s="3"/>
      <c r="AJ26" s="3"/>
      <c r="AK26" s="3"/>
      <c r="AL26" s="3"/>
      <c r="AM26" s="3"/>
      <c r="AN26" s="3"/>
      <c r="AO26" s="3"/>
      <c r="AP26" s="3"/>
      <c r="AQ26" s="3"/>
      <c r="AR26" s="3"/>
      <c r="AS26" s="3"/>
      <c r="AT26" s="2"/>
      <c r="AU26" s="2"/>
      <c r="AV26" s="2"/>
      <c r="AW26" s="2"/>
      <c r="AX26" s="2"/>
      <c r="AY26" s="2"/>
      <c r="AZ26" s="2"/>
      <c r="BA26" s="2"/>
      <c r="BB26" s="2"/>
      <c r="BC26" s="2"/>
      <c r="BD26" s="2"/>
      <c r="BE26" s="3"/>
      <c r="BF26" s="3"/>
      <c r="BG26" s="3"/>
      <c r="BH26" s="3"/>
      <c r="BI26" s="3"/>
      <c r="BJ26" s="3"/>
      <c r="BK26" s="3"/>
      <c r="BL26" s="3"/>
      <c r="BM26" s="3"/>
      <c r="BN26" s="3"/>
      <c r="BO26" s="3"/>
      <c r="BP26" s="2"/>
      <c r="BQ26" s="2"/>
      <c r="BR26" s="2"/>
      <c r="BS26" s="2"/>
      <c r="BT26" s="2"/>
      <c r="BU26" s="2"/>
      <c r="BV26" s="2"/>
      <c r="BW26" s="2"/>
      <c r="BX26" s="2"/>
      <c r="BY26" s="2"/>
      <c r="BZ26" s="2"/>
      <c r="CA26" s="3"/>
      <c r="CB26" s="3"/>
      <c r="CC26" s="3"/>
      <c r="CD26" s="3"/>
      <c r="CE26" s="3"/>
      <c r="CF26" s="3"/>
      <c r="CG26" s="3"/>
      <c r="CH26" s="3"/>
      <c r="CI26" s="3"/>
      <c r="CJ26" s="3"/>
      <c r="CK26" s="3"/>
      <c r="CL26" s="2"/>
      <c r="CM26" s="2"/>
      <c r="CN26" s="2"/>
      <c r="CO26" s="2"/>
      <c r="CP26" s="2"/>
      <c r="CQ26" s="2"/>
      <c r="CR26" s="2"/>
      <c r="CS26" s="2"/>
      <c r="CT26" s="2"/>
      <c r="CU26" s="2"/>
      <c r="CV26" s="2"/>
      <c r="CW26" s="3"/>
      <c r="CX26" s="3"/>
      <c r="CY26" s="3"/>
      <c r="CZ26" s="3"/>
      <c r="DA26" s="3"/>
      <c r="DB26" s="3"/>
      <c r="DC26" s="3"/>
      <c r="DD26" s="3"/>
      <c r="DE26" s="3"/>
      <c r="DF26" s="3"/>
      <c r="DG26" s="3"/>
      <c r="DH26" s="2"/>
      <c r="DI26" s="2"/>
      <c r="DJ26" s="2"/>
      <c r="DK26" s="2"/>
      <c r="DL26" s="2"/>
      <c r="DM26" s="2"/>
      <c r="DN26" s="2"/>
      <c r="DO26" s="2"/>
      <c r="DP26" s="2"/>
      <c r="DQ26" s="2"/>
      <c r="DR26" s="2"/>
      <c r="DS26" s="3"/>
      <c r="DT26" s="3"/>
      <c r="DU26" s="3"/>
      <c r="DV26" s="3"/>
      <c r="DW26" s="3"/>
      <c r="DX26" s="3"/>
      <c r="DY26" s="3"/>
      <c r="DZ26" s="3"/>
      <c r="EA26" s="3"/>
      <c r="EB26" s="3"/>
      <c r="EC26" s="3"/>
      <c r="ED26" s="2"/>
      <c r="EE26" s="2"/>
      <c r="EF26" s="2"/>
      <c r="EG26" s="2"/>
      <c r="EH26" s="2"/>
      <c r="EI26" s="2"/>
      <c r="EJ26" s="2"/>
      <c r="EK26" s="2"/>
      <c r="EL26" s="2"/>
      <c r="EM26" s="2"/>
      <c r="EN26" s="2"/>
      <c r="EO26" s="3"/>
      <c r="EP26" s="3"/>
      <c r="EQ26" s="3"/>
      <c r="ER26" s="3"/>
      <c r="ES26" s="3"/>
      <c r="ET26" s="3"/>
      <c r="EU26" s="3"/>
      <c r="EV26" s="3"/>
      <c r="EW26" s="3"/>
      <c r="EX26" s="3"/>
      <c r="EY26" s="3"/>
      <c r="EZ26" s="2"/>
      <c r="FA26" s="2"/>
      <c r="FB26" s="2"/>
      <c r="FC26" s="2"/>
      <c r="FD26" s="2"/>
      <c r="FE26" s="2"/>
      <c r="FF26" s="2"/>
      <c r="FG26" s="2"/>
      <c r="FH26" s="2"/>
      <c r="FI26" s="2"/>
      <c r="FJ26" s="2"/>
      <c r="FK26" s="3"/>
      <c r="FL26" s="3"/>
      <c r="FM26" s="3"/>
      <c r="FN26" s="3"/>
      <c r="FO26" s="3"/>
      <c r="FP26" s="3"/>
      <c r="FQ26" s="3"/>
      <c r="FR26" s="3"/>
      <c r="FS26" s="3"/>
      <c r="FT26" s="3"/>
      <c r="FU26" s="3"/>
      <c r="FV26" s="2"/>
      <c r="FW26" s="2"/>
      <c r="FX26" s="2"/>
      <c r="FY26" s="2"/>
      <c r="FZ26" s="2"/>
      <c r="GA26" s="2"/>
      <c r="GB26" s="2"/>
      <c r="GC26" s="2"/>
      <c r="GD26" s="2"/>
      <c r="GE26" s="2"/>
      <c r="GF26" s="2"/>
      <c r="GG26" s="3"/>
      <c r="GH26" s="3"/>
      <c r="GI26" s="3"/>
      <c r="GJ26" s="3"/>
      <c r="GK26" s="3"/>
      <c r="GL26" s="3"/>
      <c r="GM26" s="3"/>
      <c r="GN26" s="3"/>
      <c r="GO26" s="3"/>
      <c r="GP26" s="3"/>
      <c r="GQ26" s="3"/>
      <c r="GR26" s="2"/>
      <c r="GS26" s="2"/>
      <c r="GT26" s="2"/>
      <c r="GU26" s="2"/>
      <c r="GV26" s="2"/>
      <c r="GW26" s="2"/>
      <c r="GX26" s="2"/>
      <c r="GY26" s="2"/>
      <c r="GZ26" s="2"/>
      <c r="HA26" s="2"/>
      <c r="HB26" s="2"/>
      <c r="HC26" s="3"/>
      <c r="HD26" s="3"/>
      <c r="HE26" s="3"/>
      <c r="HF26" s="3"/>
      <c r="HG26" s="3"/>
      <c r="HH26" s="3"/>
      <c r="HI26" s="3"/>
      <c r="HJ26" s="3"/>
      <c r="HK26" s="3"/>
      <c r="HL26" s="3"/>
      <c r="HM26" s="3"/>
      <c r="HN26" s="2"/>
      <c r="HO26" s="2"/>
      <c r="HP26" s="2"/>
      <c r="HQ26" s="2"/>
      <c r="HR26" s="2"/>
      <c r="HS26" s="2"/>
      <c r="HT26" s="2"/>
      <c r="HU26" s="2"/>
      <c r="HV26" s="2"/>
      <c r="HW26" s="2"/>
      <c r="HX26" s="2"/>
      <c r="HY26" s="3"/>
      <c r="HZ26" s="3"/>
      <c r="IA26" s="3"/>
      <c r="IB26" s="3"/>
      <c r="IC26" s="3"/>
      <c r="ID26" s="3"/>
      <c r="IE26" s="3"/>
      <c r="IF26" s="3"/>
      <c r="IG26" s="3"/>
      <c r="IH26" s="3"/>
      <c r="II26" s="3"/>
      <c r="IJ26" s="2"/>
      <c r="IK26" s="2"/>
      <c r="IL26" s="2"/>
      <c r="IM26" s="2"/>
      <c r="IN26" s="2"/>
      <c r="IO26" s="2"/>
      <c r="IP26" s="2"/>
      <c r="IQ26" s="2"/>
      <c r="IR26" s="2"/>
      <c r="IS26" s="2"/>
      <c r="IT26" s="2"/>
      <c r="IU26" s="3"/>
      <c r="IV26" s="3"/>
      <c r="IW26" s="3"/>
      <c r="IX26" s="3"/>
      <c r="IY26" s="3"/>
      <c r="IZ26" s="3"/>
      <c r="JA26" s="3"/>
      <c r="JB26" s="3"/>
      <c r="JC26" s="3"/>
      <c r="JD26" s="3"/>
      <c r="JE26" s="3"/>
      <c r="JF26" s="2"/>
      <c r="JG26" s="2"/>
      <c r="JH26" s="2"/>
      <c r="JI26" s="2"/>
      <c r="JJ26" s="2"/>
      <c r="JK26" s="2"/>
      <c r="JL26" s="2"/>
      <c r="JM26" s="2"/>
      <c r="JN26" s="2"/>
      <c r="JO26" s="2"/>
      <c r="JP26" s="2"/>
      <c r="JQ26" s="3"/>
      <c r="JR26" s="3"/>
      <c r="JS26" s="3"/>
      <c r="JT26" s="3"/>
      <c r="JU26" s="3"/>
      <c r="JV26" s="3"/>
      <c r="JW26" s="3"/>
      <c r="JX26" s="3"/>
      <c r="JY26" s="3"/>
      <c r="JZ26" s="3"/>
      <c r="KA26" s="3"/>
      <c r="KB26" s="2"/>
      <c r="KC26" s="2"/>
      <c r="KD26" s="2"/>
      <c r="KE26" s="2"/>
      <c r="KF26" s="2"/>
      <c r="KG26" s="2"/>
      <c r="KH26" s="2"/>
      <c r="KI26" s="2"/>
      <c r="KJ26" s="2"/>
      <c r="KK26" s="2"/>
      <c r="KL26" s="2"/>
      <c r="KM26" s="3"/>
      <c r="KN26" s="3"/>
      <c r="KO26" s="3"/>
      <c r="KP26" s="3"/>
      <c r="KQ26" s="3"/>
      <c r="KR26" s="3"/>
      <c r="KS26" s="3"/>
      <c r="KT26" s="3"/>
      <c r="KU26" s="3"/>
      <c r="KV26" s="3"/>
      <c r="KW26" s="3"/>
      <c r="KX26" s="2"/>
      <c r="KY26" s="2"/>
      <c r="KZ26" s="2"/>
      <c r="LA26" s="2"/>
      <c r="LB26" s="2"/>
      <c r="LC26" s="2"/>
      <c r="LD26" s="2"/>
      <c r="LE26" s="2"/>
      <c r="LF26" s="2"/>
      <c r="LG26" s="2"/>
      <c r="LH26" s="2"/>
      <c r="LI26" s="3"/>
      <c r="LJ26" s="3"/>
      <c r="LK26" s="3"/>
      <c r="LL26" s="3"/>
      <c r="LM26" s="3"/>
      <c r="LN26" s="3"/>
      <c r="LO26" s="3"/>
      <c r="LP26" s="3"/>
      <c r="LQ26" s="3"/>
      <c r="LR26" s="3"/>
      <c r="LS26" s="3"/>
      <c r="LT26" s="2"/>
      <c r="LU26" s="2"/>
      <c r="LV26" s="2"/>
      <c r="LW26" s="2"/>
      <c r="LX26" s="2"/>
      <c r="LY26" s="2"/>
      <c r="LZ26" s="2"/>
      <c r="MA26" s="2"/>
      <c r="MB26" s="2"/>
      <c r="MC26" s="2"/>
      <c r="MD26" s="2"/>
      <c r="ME26" s="3"/>
      <c r="MF26" s="3"/>
      <c r="MG26" s="3"/>
      <c r="MH26" s="3"/>
      <c r="MI26" s="3"/>
      <c r="MJ26" s="3"/>
      <c r="MK26" s="3"/>
      <c r="ML26" s="3"/>
      <c r="MM26" s="3"/>
      <c r="MN26" s="3"/>
      <c r="MO26" s="3"/>
      <c r="MP26" s="2"/>
      <c r="MQ26" s="2"/>
      <c r="MR26" s="2"/>
      <c r="MS26" s="2"/>
      <c r="MT26" s="2"/>
      <c r="MU26" s="2"/>
      <c r="MV26" s="2"/>
      <c r="MW26" s="2"/>
      <c r="MX26" s="2"/>
      <c r="MY26" s="2"/>
      <c r="MZ26" s="2"/>
      <c r="NA26" s="3"/>
      <c r="NB26" s="3"/>
      <c r="NC26" s="3"/>
      <c r="ND26" s="3"/>
      <c r="NE26" s="3"/>
      <c r="NF26" s="3"/>
      <c r="NG26" s="3"/>
      <c r="NH26" s="3"/>
      <c r="NI26" s="3"/>
      <c r="NJ26" s="3"/>
      <c r="NK26" s="3"/>
      <c r="NL26" s="56"/>
      <c r="NM26" s="57"/>
      <c r="NN26" s="57"/>
      <c r="NO26" s="57"/>
      <c r="NP26" s="57"/>
      <c r="NQ26" s="57"/>
      <c r="NR26" s="57"/>
      <c r="NS26" s="57"/>
      <c r="NT26" s="57"/>
      <c r="NU26" s="57"/>
      <c r="NV26" s="57"/>
      <c r="NW26" s="59"/>
      <c r="NX26" s="59"/>
      <c r="NY26" s="59"/>
      <c r="NZ26" s="59"/>
      <c r="OA26" s="59"/>
      <c r="OB26" s="59"/>
      <c r="OC26" s="59"/>
      <c r="OD26" s="59"/>
      <c r="OE26" s="59"/>
      <c r="OF26" s="59"/>
      <c r="OG26" s="59"/>
      <c r="OH26" s="56"/>
      <c r="OI26" s="57"/>
      <c r="OJ26" s="57"/>
      <c r="OK26" s="57"/>
      <c r="OL26" s="57"/>
      <c r="OM26" s="57"/>
      <c r="ON26" s="57"/>
      <c r="OO26" s="57"/>
      <c r="OP26" s="57"/>
      <c r="OQ26" s="57"/>
      <c r="OR26" s="57"/>
      <c r="OS26" s="59"/>
      <c r="OT26" s="59"/>
      <c r="OU26" s="59"/>
      <c r="OV26" s="59"/>
      <c r="OW26" s="59"/>
      <c r="OX26" s="59"/>
      <c r="OY26" s="59"/>
      <c r="OZ26" s="59"/>
      <c r="PA26" s="59"/>
      <c r="PB26" s="59"/>
      <c r="PC26" s="59"/>
      <c r="PD26" s="56"/>
      <c r="PE26" s="57"/>
      <c r="PF26" s="57"/>
      <c r="PG26" s="57"/>
      <c r="PH26" s="57"/>
      <c r="PI26" s="57"/>
      <c r="PJ26" s="57"/>
      <c r="PK26" s="57"/>
      <c r="PL26" s="57"/>
      <c r="PM26" s="57"/>
      <c r="PN26" s="57"/>
      <c r="PO26" s="59"/>
      <c r="PP26" s="59"/>
      <c r="PQ26" s="59"/>
      <c r="PR26" s="59"/>
      <c r="PS26" s="59"/>
      <c r="PT26" s="59"/>
      <c r="PU26" s="59"/>
      <c r="PV26" s="59"/>
      <c r="PW26" s="59"/>
      <c r="PX26" s="59"/>
      <c r="PY26" s="59"/>
      <c r="PZ26" s="56"/>
      <c r="QA26" s="57"/>
      <c r="QB26" s="57"/>
      <c r="QC26" s="57"/>
      <c r="QD26" s="57"/>
      <c r="QE26" s="57"/>
      <c r="QF26" s="57"/>
      <c r="QG26" s="57"/>
      <c r="QH26" s="57"/>
      <c r="QI26" s="57"/>
      <c r="QJ26" s="57"/>
      <c r="QK26" s="59"/>
      <c r="QL26" s="59"/>
      <c r="QM26" s="59"/>
      <c r="QN26" s="59"/>
      <c r="QO26" s="59"/>
      <c r="QP26" s="59"/>
      <c r="QQ26" s="59"/>
      <c r="QR26" s="59"/>
      <c r="QS26" s="59"/>
      <c r="QT26" s="59"/>
      <c r="QU26" s="59"/>
      <c r="QV26" s="56"/>
      <c r="QW26" s="57"/>
      <c r="QX26" s="57"/>
      <c r="QY26" s="57"/>
      <c r="QZ26" s="57"/>
      <c r="RA26" s="57"/>
      <c r="RB26" s="57"/>
      <c r="RC26" s="57"/>
      <c r="RD26" s="57"/>
      <c r="RE26" s="57"/>
      <c r="RF26" s="57"/>
      <c r="RG26" s="59"/>
      <c r="RH26" s="59"/>
      <c r="RI26" s="59"/>
      <c r="RJ26" s="59"/>
      <c r="RK26" s="59"/>
      <c r="RL26" s="59"/>
      <c r="RM26" s="59"/>
      <c r="RN26" s="59"/>
      <c r="RO26" s="59"/>
      <c r="RP26" s="59"/>
      <c r="RQ26" s="59"/>
      <c r="RR26" s="56"/>
      <c r="RS26" s="57"/>
      <c r="RT26" s="57"/>
      <c r="RU26" s="57"/>
      <c r="RV26" s="57"/>
      <c r="RW26" s="57"/>
      <c r="RX26" s="57"/>
      <c r="RY26" s="57"/>
      <c r="RZ26" s="57"/>
      <c r="SA26" s="57"/>
      <c r="SB26" s="57"/>
      <c r="SC26" s="59"/>
      <c r="SD26" s="59"/>
      <c r="SE26" s="59"/>
      <c r="SF26" s="59"/>
      <c r="SG26" s="59"/>
      <c r="SH26" s="59"/>
      <c r="SI26" s="59"/>
      <c r="SJ26" s="59"/>
      <c r="SK26" s="59"/>
      <c r="SL26" s="59"/>
      <c r="SM26" s="59"/>
      <c r="SN26" s="56"/>
      <c r="SO26" s="57"/>
      <c r="SP26" s="57"/>
      <c r="SQ26" s="57"/>
      <c r="SR26" s="57"/>
      <c r="SS26" s="57"/>
      <c r="ST26" s="57"/>
      <c r="SU26" s="57"/>
      <c r="SV26" s="57"/>
      <c r="SW26" s="57"/>
      <c r="SX26" s="57"/>
      <c r="SY26" s="59"/>
      <c r="SZ26" s="59"/>
      <c r="TA26" s="59"/>
      <c r="TB26" s="59"/>
      <c r="TC26" s="59"/>
      <c r="TD26" s="59"/>
      <c r="TE26" s="59"/>
      <c r="TF26" s="59"/>
      <c r="TG26" s="59"/>
      <c r="TH26" s="59"/>
      <c r="TI26" s="59"/>
      <c r="TJ26" s="56"/>
      <c r="TK26" s="57"/>
      <c r="TL26" s="57"/>
      <c r="TM26" s="57"/>
      <c r="TN26" s="57"/>
      <c r="TO26" s="57"/>
      <c r="TP26" s="57"/>
      <c r="TQ26" s="57"/>
      <c r="TR26" s="57"/>
      <c r="TS26" s="57"/>
      <c r="TT26" s="57"/>
      <c r="TU26" s="59"/>
      <c r="TV26" s="59"/>
      <c r="TW26" s="59"/>
      <c r="TX26" s="59"/>
      <c r="TY26" s="59"/>
      <c r="TZ26" s="59"/>
      <c r="UA26" s="59"/>
      <c r="UB26" s="59"/>
      <c r="UC26" s="59"/>
      <c r="UD26" s="59"/>
      <c r="UE26" s="59"/>
      <c r="UF26" s="56"/>
      <c r="UG26" s="57"/>
      <c r="UH26" s="57"/>
      <c r="UI26" s="57"/>
      <c r="UJ26" s="57"/>
      <c r="UK26" s="57"/>
      <c r="UL26" s="57"/>
      <c r="UM26" s="57"/>
      <c r="UN26" s="57"/>
      <c r="UO26" s="57"/>
      <c r="UP26" s="57"/>
      <c r="UQ26" s="59"/>
      <c r="UR26" s="59"/>
      <c r="US26" s="59"/>
      <c r="UT26" s="59"/>
      <c r="UU26" s="59"/>
      <c r="UV26" s="59"/>
      <c r="UW26" s="59"/>
      <c r="UX26" s="59"/>
      <c r="UY26" s="59"/>
      <c r="UZ26" s="59"/>
      <c r="VA26" s="59"/>
      <c r="VB26" s="56"/>
      <c r="VC26" s="57"/>
      <c r="VD26" s="57"/>
      <c r="VE26" s="57"/>
      <c r="VF26" s="57"/>
      <c r="VG26" s="57"/>
      <c r="VH26" s="57"/>
      <c r="VI26" s="57"/>
      <c r="VJ26" s="57"/>
      <c r="VK26" s="57"/>
      <c r="VL26" s="57"/>
      <c r="VM26" s="59"/>
      <c r="VN26" s="59"/>
      <c r="VO26" s="59"/>
      <c r="VP26" s="59"/>
      <c r="VQ26" s="59"/>
      <c r="VR26" s="59"/>
      <c r="VS26" s="59"/>
      <c r="VT26" s="59"/>
      <c r="VU26" s="59"/>
      <c r="VV26" s="59"/>
      <c r="VW26" s="59"/>
      <c r="VX26" s="56"/>
      <c r="VY26" s="57"/>
      <c r="VZ26" s="57"/>
      <c r="WA26" s="57"/>
      <c r="WB26" s="57"/>
      <c r="WC26" s="57"/>
      <c r="WD26" s="57"/>
      <c r="WE26" s="57"/>
      <c r="WF26" s="57"/>
      <c r="WG26" s="57"/>
      <c r="WH26" s="57"/>
      <c r="WI26" s="59"/>
      <c r="WJ26" s="59"/>
      <c r="WK26" s="59"/>
      <c r="WL26" s="59"/>
      <c r="WM26" s="59"/>
      <c r="WN26" s="59"/>
      <c r="WO26" s="59"/>
      <c r="WP26" s="59"/>
      <c r="WQ26" s="59"/>
      <c r="WR26" s="59"/>
      <c r="WS26" s="59"/>
      <c r="WT26" s="56"/>
      <c r="WU26" s="57"/>
      <c r="WV26" s="57"/>
      <c r="WW26" s="57"/>
      <c r="WX26" s="57"/>
      <c r="WY26" s="57"/>
      <c r="WZ26" s="57"/>
      <c r="XA26" s="57"/>
      <c r="XB26" s="57"/>
      <c r="XC26" s="57"/>
      <c r="XD26" s="57"/>
      <c r="XE26" s="59"/>
      <c r="XF26" s="59"/>
      <c r="XG26" s="59"/>
      <c r="XH26" s="59"/>
      <c r="XI26" s="59"/>
      <c r="XJ26" s="59"/>
      <c r="XK26" s="59"/>
      <c r="XL26" s="59"/>
      <c r="XM26" s="59"/>
      <c r="XN26" s="59"/>
      <c r="XO26" s="59"/>
      <c r="XP26" s="56"/>
      <c r="XQ26" s="57"/>
      <c r="XR26" s="57"/>
      <c r="XS26" s="57"/>
      <c r="XT26" s="57"/>
      <c r="XU26" s="57"/>
      <c r="XV26" s="57"/>
      <c r="XW26" s="57"/>
      <c r="XX26" s="57"/>
      <c r="XY26" s="57"/>
      <c r="XZ26" s="57"/>
      <c r="YA26" s="59"/>
      <c r="YB26" s="59"/>
      <c r="YC26" s="59"/>
      <c r="YD26" s="59"/>
      <c r="YE26" s="59"/>
      <c r="YF26" s="59"/>
      <c r="YG26" s="59"/>
      <c r="YH26" s="59"/>
      <c r="YI26" s="59"/>
      <c r="YJ26" s="59"/>
      <c r="YK26" s="59"/>
      <c r="YL26" s="56"/>
      <c r="YM26" s="57"/>
      <c r="YN26" s="57"/>
      <c r="YO26" s="57"/>
      <c r="YP26" s="57"/>
      <c r="YQ26" s="57"/>
      <c r="YR26" s="57"/>
      <c r="YS26" s="57"/>
      <c r="YT26" s="57"/>
      <c r="YU26" s="57"/>
      <c r="YV26" s="57"/>
      <c r="YW26" s="59"/>
      <c r="YX26" s="59"/>
      <c r="YY26" s="59"/>
      <c r="YZ26" s="59"/>
      <c r="ZA26" s="59"/>
      <c r="ZB26" s="59"/>
      <c r="ZC26" s="59"/>
      <c r="ZD26" s="59"/>
      <c r="ZE26" s="59"/>
      <c r="ZF26" s="59"/>
      <c r="ZG26" s="59"/>
      <c r="ZH26" s="56"/>
      <c r="ZI26" s="57"/>
      <c r="ZJ26" s="57"/>
      <c r="ZK26" s="57"/>
      <c r="ZL26" s="57"/>
      <c r="ZM26" s="57"/>
      <c r="ZN26" s="57"/>
      <c r="ZO26" s="57"/>
      <c r="ZP26" s="57"/>
      <c r="ZQ26" s="57"/>
      <c r="ZR26" s="57"/>
      <c r="ZS26" s="59"/>
      <c r="ZT26" s="59"/>
      <c r="ZU26" s="59"/>
      <c r="ZV26" s="59"/>
      <c r="ZW26" s="59"/>
      <c r="ZX26" s="59"/>
      <c r="ZY26" s="59"/>
      <c r="ZZ26" s="59"/>
      <c r="AAA26" s="59"/>
      <c r="AAB26" s="59"/>
      <c r="AAC26" s="59"/>
    </row>
    <row r="27" spans="1:705" x14ac:dyDescent="0.2">
      <c r="A27" s="1">
        <v>22</v>
      </c>
      <c r="B27" s="2"/>
      <c r="C27" s="2"/>
      <c r="D27" s="2"/>
      <c r="E27" s="2"/>
      <c r="F27" s="2"/>
      <c r="G27" s="2"/>
      <c r="H27" s="2"/>
      <c r="I27" s="2"/>
      <c r="J27" s="2"/>
      <c r="K27" s="2"/>
      <c r="L27" s="2"/>
      <c r="M27" s="3"/>
      <c r="N27" s="3"/>
      <c r="O27" s="3"/>
      <c r="P27" s="3"/>
      <c r="Q27" s="3"/>
      <c r="R27" s="3"/>
      <c r="S27" s="3"/>
      <c r="T27" s="3"/>
      <c r="U27" s="3"/>
      <c r="V27" s="3"/>
      <c r="W27" s="3"/>
      <c r="X27" s="2"/>
      <c r="Y27" s="2"/>
      <c r="Z27" s="2"/>
      <c r="AA27" s="2"/>
      <c r="AB27" s="2"/>
      <c r="AC27" s="2"/>
      <c r="AD27" s="2"/>
      <c r="AE27" s="2"/>
      <c r="AF27" s="2"/>
      <c r="AG27" s="2"/>
      <c r="AH27" s="2"/>
      <c r="AI27" s="3"/>
      <c r="AJ27" s="3"/>
      <c r="AK27" s="3"/>
      <c r="AL27" s="3"/>
      <c r="AM27" s="3"/>
      <c r="AN27" s="3"/>
      <c r="AO27" s="3"/>
      <c r="AP27" s="3"/>
      <c r="AQ27" s="3"/>
      <c r="AR27" s="3"/>
      <c r="AS27" s="3"/>
      <c r="AT27" s="2"/>
      <c r="AU27" s="2"/>
      <c r="AV27" s="2"/>
      <c r="AW27" s="2"/>
      <c r="AX27" s="2"/>
      <c r="AY27" s="2"/>
      <c r="AZ27" s="2"/>
      <c r="BA27" s="2"/>
      <c r="BB27" s="2"/>
      <c r="BC27" s="2"/>
      <c r="BD27" s="2"/>
      <c r="BE27" s="3"/>
      <c r="BF27" s="3"/>
      <c r="BG27" s="3"/>
      <c r="BH27" s="3"/>
      <c r="BI27" s="3"/>
      <c r="BJ27" s="3"/>
      <c r="BK27" s="3"/>
      <c r="BL27" s="3"/>
      <c r="BM27" s="3"/>
      <c r="BN27" s="3"/>
      <c r="BO27" s="3"/>
      <c r="BP27" s="2"/>
      <c r="BQ27" s="2"/>
      <c r="BR27" s="2"/>
      <c r="BS27" s="2"/>
      <c r="BT27" s="2"/>
      <c r="BU27" s="2"/>
      <c r="BV27" s="2"/>
      <c r="BW27" s="2"/>
      <c r="BX27" s="2"/>
      <c r="BY27" s="2"/>
      <c r="BZ27" s="2"/>
      <c r="CA27" s="3"/>
      <c r="CB27" s="3"/>
      <c r="CC27" s="3"/>
      <c r="CD27" s="3"/>
      <c r="CE27" s="3"/>
      <c r="CF27" s="3"/>
      <c r="CG27" s="3"/>
      <c r="CH27" s="3"/>
      <c r="CI27" s="3"/>
      <c r="CJ27" s="3"/>
      <c r="CK27" s="3"/>
      <c r="CL27" s="2"/>
      <c r="CM27" s="2"/>
      <c r="CN27" s="2"/>
      <c r="CO27" s="2"/>
      <c r="CP27" s="2"/>
      <c r="CQ27" s="2"/>
      <c r="CR27" s="2"/>
      <c r="CS27" s="2"/>
      <c r="CT27" s="2"/>
      <c r="CU27" s="2"/>
      <c r="CV27" s="2"/>
      <c r="CW27" s="3"/>
      <c r="CX27" s="3"/>
      <c r="CY27" s="3"/>
      <c r="CZ27" s="3"/>
      <c r="DA27" s="3"/>
      <c r="DB27" s="3"/>
      <c r="DC27" s="3"/>
      <c r="DD27" s="3"/>
      <c r="DE27" s="3"/>
      <c r="DF27" s="3"/>
      <c r="DG27" s="3"/>
      <c r="DH27" s="2"/>
      <c r="DI27" s="2"/>
      <c r="DJ27" s="2"/>
      <c r="DK27" s="2"/>
      <c r="DL27" s="2"/>
      <c r="DM27" s="2"/>
      <c r="DN27" s="2"/>
      <c r="DO27" s="2"/>
      <c r="DP27" s="2"/>
      <c r="DQ27" s="2"/>
      <c r="DR27" s="2"/>
      <c r="DS27" s="3"/>
      <c r="DT27" s="3"/>
      <c r="DU27" s="3"/>
      <c r="DV27" s="3"/>
      <c r="DW27" s="3"/>
      <c r="DX27" s="3"/>
      <c r="DY27" s="3"/>
      <c r="DZ27" s="3"/>
      <c r="EA27" s="3"/>
      <c r="EB27" s="3"/>
      <c r="EC27" s="3"/>
      <c r="ED27" s="2"/>
      <c r="EE27" s="2"/>
      <c r="EF27" s="2"/>
      <c r="EG27" s="2"/>
      <c r="EH27" s="2"/>
      <c r="EI27" s="2"/>
      <c r="EJ27" s="2"/>
      <c r="EK27" s="2"/>
      <c r="EL27" s="2"/>
      <c r="EM27" s="2"/>
      <c r="EN27" s="2"/>
      <c r="EO27" s="3"/>
      <c r="EP27" s="3"/>
      <c r="EQ27" s="3"/>
      <c r="ER27" s="3"/>
      <c r="ES27" s="3"/>
      <c r="ET27" s="3"/>
      <c r="EU27" s="3"/>
      <c r="EV27" s="3"/>
      <c r="EW27" s="3"/>
      <c r="EX27" s="3"/>
      <c r="EY27" s="3"/>
      <c r="EZ27" s="2"/>
      <c r="FA27" s="2"/>
      <c r="FB27" s="2"/>
      <c r="FC27" s="2"/>
      <c r="FD27" s="2"/>
      <c r="FE27" s="2"/>
      <c r="FF27" s="2"/>
      <c r="FG27" s="2"/>
      <c r="FH27" s="2"/>
      <c r="FI27" s="2"/>
      <c r="FJ27" s="2"/>
      <c r="FK27" s="3"/>
      <c r="FL27" s="3"/>
      <c r="FM27" s="3"/>
      <c r="FN27" s="3"/>
      <c r="FO27" s="3"/>
      <c r="FP27" s="3"/>
      <c r="FQ27" s="3"/>
      <c r="FR27" s="3"/>
      <c r="FS27" s="3"/>
      <c r="FT27" s="3"/>
      <c r="FU27" s="3"/>
      <c r="FV27" s="2"/>
      <c r="FW27" s="2"/>
      <c r="FX27" s="2"/>
      <c r="FY27" s="2"/>
      <c r="FZ27" s="2"/>
      <c r="GA27" s="2"/>
      <c r="GB27" s="2"/>
      <c r="GC27" s="2"/>
      <c r="GD27" s="2"/>
      <c r="GE27" s="2"/>
      <c r="GF27" s="2"/>
      <c r="GG27" s="3"/>
      <c r="GH27" s="3"/>
      <c r="GI27" s="3"/>
      <c r="GJ27" s="3"/>
      <c r="GK27" s="3"/>
      <c r="GL27" s="3"/>
      <c r="GM27" s="3"/>
      <c r="GN27" s="3"/>
      <c r="GO27" s="3"/>
      <c r="GP27" s="3"/>
      <c r="GQ27" s="3"/>
      <c r="GR27" s="2"/>
      <c r="GS27" s="2"/>
      <c r="GT27" s="2"/>
      <c r="GU27" s="2"/>
      <c r="GV27" s="2"/>
      <c r="GW27" s="2"/>
      <c r="GX27" s="2"/>
      <c r="GY27" s="2"/>
      <c r="GZ27" s="2"/>
      <c r="HA27" s="2"/>
      <c r="HB27" s="2"/>
      <c r="HC27" s="3"/>
      <c r="HD27" s="3"/>
      <c r="HE27" s="3"/>
      <c r="HF27" s="3"/>
      <c r="HG27" s="3"/>
      <c r="HH27" s="3"/>
      <c r="HI27" s="3"/>
      <c r="HJ27" s="3"/>
      <c r="HK27" s="3"/>
      <c r="HL27" s="3"/>
      <c r="HM27" s="3"/>
      <c r="HN27" s="2"/>
      <c r="HO27" s="2"/>
      <c r="HP27" s="2"/>
      <c r="HQ27" s="2"/>
      <c r="HR27" s="2"/>
      <c r="HS27" s="2"/>
      <c r="HT27" s="2"/>
      <c r="HU27" s="2"/>
      <c r="HV27" s="2"/>
      <c r="HW27" s="2"/>
      <c r="HX27" s="2"/>
      <c r="HY27" s="3"/>
      <c r="HZ27" s="3"/>
      <c r="IA27" s="3"/>
      <c r="IB27" s="3"/>
      <c r="IC27" s="3"/>
      <c r="ID27" s="3"/>
      <c r="IE27" s="3"/>
      <c r="IF27" s="3"/>
      <c r="IG27" s="3"/>
      <c r="IH27" s="3"/>
      <c r="II27" s="3"/>
      <c r="IJ27" s="2"/>
      <c r="IK27" s="2"/>
      <c r="IL27" s="2"/>
      <c r="IM27" s="2"/>
      <c r="IN27" s="2"/>
      <c r="IO27" s="2"/>
      <c r="IP27" s="2"/>
      <c r="IQ27" s="2"/>
      <c r="IR27" s="2"/>
      <c r="IS27" s="2"/>
      <c r="IT27" s="2"/>
      <c r="IU27" s="3"/>
      <c r="IV27" s="3"/>
      <c r="IW27" s="3"/>
      <c r="IX27" s="3"/>
      <c r="IY27" s="3"/>
      <c r="IZ27" s="3"/>
      <c r="JA27" s="3"/>
      <c r="JB27" s="3"/>
      <c r="JC27" s="3"/>
      <c r="JD27" s="3"/>
      <c r="JE27" s="3"/>
      <c r="JF27" s="2"/>
      <c r="JG27" s="2"/>
      <c r="JH27" s="2"/>
      <c r="JI27" s="2"/>
      <c r="JJ27" s="2"/>
      <c r="JK27" s="2"/>
      <c r="JL27" s="2"/>
      <c r="JM27" s="2"/>
      <c r="JN27" s="2"/>
      <c r="JO27" s="2"/>
      <c r="JP27" s="2"/>
      <c r="JQ27" s="3"/>
      <c r="JR27" s="3"/>
      <c r="JS27" s="3"/>
      <c r="JT27" s="3"/>
      <c r="JU27" s="3"/>
      <c r="JV27" s="3"/>
      <c r="JW27" s="3"/>
      <c r="JX27" s="3"/>
      <c r="JY27" s="3"/>
      <c r="JZ27" s="3"/>
      <c r="KA27" s="3"/>
      <c r="KB27" s="2"/>
      <c r="KC27" s="2"/>
      <c r="KD27" s="2"/>
      <c r="KE27" s="2"/>
      <c r="KF27" s="2"/>
      <c r="KG27" s="2"/>
      <c r="KH27" s="2"/>
      <c r="KI27" s="2"/>
      <c r="KJ27" s="2"/>
      <c r="KK27" s="2"/>
      <c r="KL27" s="2"/>
      <c r="KM27" s="3"/>
      <c r="KN27" s="3"/>
      <c r="KO27" s="3"/>
      <c r="KP27" s="3"/>
      <c r="KQ27" s="3"/>
      <c r="KR27" s="3"/>
      <c r="KS27" s="3"/>
      <c r="KT27" s="3"/>
      <c r="KU27" s="3"/>
      <c r="KV27" s="3"/>
      <c r="KW27" s="3"/>
      <c r="KX27" s="2"/>
      <c r="KY27" s="2"/>
      <c r="KZ27" s="2"/>
      <c r="LA27" s="2"/>
      <c r="LB27" s="2"/>
      <c r="LC27" s="2"/>
      <c r="LD27" s="2"/>
      <c r="LE27" s="2"/>
      <c r="LF27" s="2"/>
      <c r="LG27" s="2"/>
      <c r="LH27" s="2"/>
      <c r="LI27" s="3"/>
      <c r="LJ27" s="3"/>
      <c r="LK27" s="3"/>
      <c r="LL27" s="3"/>
      <c r="LM27" s="3"/>
      <c r="LN27" s="3"/>
      <c r="LO27" s="3"/>
      <c r="LP27" s="3"/>
      <c r="LQ27" s="3"/>
      <c r="LR27" s="3"/>
      <c r="LS27" s="3"/>
      <c r="LT27" s="2"/>
      <c r="LU27" s="2"/>
      <c r="LV27" s="2"/>
      <c r="LW27" s="2"/>
      <c r="LX27" s="2"/>
      <c r="LY27" s="2"/>
      <c r="LZ27" s="2"/>
      <c r="MA27" s="2"/>
      <c r="MB27" s="2"/>
      <c r="MC27" s="2"/>
      <c r="MD27" s="2"/>
      <c r="ME27" s="3"/>
      <c r="MF27" s="3"/>
      <c r="MG27" s="3"/>
      <c r="MH27" s="3"/>
      <c r="MI27" s="3"/>
      <c r="MJ27" s="3"/>
      <c r="MK27" s="3"/>
      <c r="ML27" s="3"/>
      <c r="MM27" s="3"/>
      <c r="MN27" s="3"/>
      <c r="MO27" s="3"/>
      <c r="MP27" s="2"/>
      <c r="MQ27" s="2"/>
      <c r="MR27" s="2"/>
      <c r="MS27" s="2"/>
      <c r="MT27" s="2"/>
      <c r="MU27" s="2"/>
      <c r="MV27" s="2"/>
      <c r="MW27" s="2"/>
      <c r="MX27" s="2"/>
      <c r="MY27" s="2"/>
      <c r="MZ27" s="2"/>
      <c r="NA27" s="3"/>
      <c r="NB27" s="3"/>
      <c r="NC27" s="3"/>
      <c r="ND27" s="3"/>
      <c r="NE27" s="3"/>
      <c r="NF27" s="3"/>
      <c r="NG27" s="3"/>
      <c r="NH27" s="3"/>
      <c r="NI27" s="3"/>
      <c r="NJ27" s="3"/>
      <c r="NK27" s="3"/>
      <c r="NL27" s="56"/>
      <c r="NM27" s="57"/>
      <c r="NN27" s="57"/>
      <c r="NO27" s="57"/>
      <c r="NP27" s="57"/>
      <c r="NQ27" s="57"/>
      <c r="NR27" s="57"/>
      <c r="NS27" s="57"/>
      <c r="NT27" s="57"/>
      <c r="NU27" s="57"/>
      <c r="NV27" s="57"/>
      <c r="NW27" s="59"/>
      <c r="NX27" s="59"/>
      <c r="NY27" s="59"/>
      <c r="NZ27" s="59"/>
      <c r="OA27" s="59"/>
      <c r="OB27" s="59"/>
      <c r="OC27" s="59"/>
      <c r="OD27" s="59"/>
      <c r="OE27" s="59"/>
      <c r="OF27" s="59"/>
      <c r="OG27" s="59"/>
      <c r="OH27" s="56"/>
      <c r="OI27" s="57"/>
      <c r="OJ27" s="57"/>
      <c r="OK27" s="57"/>
      <c r="OL27" s="57"/>
      <c r="OM27" s="57"/>
      <c r="ON27" s="57"/>
      <c r="OO27" s="57"/>
      <c r="OP27" s="57"/>
      <c r="OQ27" s="57"/>
      <c r="OR27" s="57"/>
      <c r="OS27" s="59"/>
      <c r="OT27" s="59"/>
      <c r="OU27" s="59"/>
      <c r="OV27" s="59"/>
      <c r="OW27" s="59"/>
      <c r="OX27" s="59"/>
      <c r="OY27" s="59"/>
      <c r="OZ27" s="59"/>
      <c r="PA27" s="59"/>
      <c r="PB27" s="59"/>
      <c r="PC27" s="59"/>
      <c r="PD27" s="56"/>
      <c r="PE27" s="57"/>
      <c r="PF27" s="57"/>
      <c r="PG27" s="57"/>
      <c r="PH27" s="57"/>
      <c r="PI27" s="57"/>
      <c r="PJ27" s="57"/>
      <c r="PK27" s="57"/>
      <c r="PL27" s="57"/>
      <c r="PM27" s="57"/>
      <c r="PN27" s="57"/>
      <c r="PO27" s="59"/>
      <c r="PP27" s="59"/>
      <c r="PQ27" s="59"/>
      <c r="PR27" s="59"/>
      <c r="PS27" s="59"/>
      <c r="PT27" s="59"/>
      <c r="PU27" s="59"/>
      <c r="PV27" s="59"/>
      <c r="PW27" s="59"/>
      <c r="PX27" s="59"/>
      <c r="PY27" s="59"/>
      <c r="PZ27" s="56"/>
      <c r="QA27" s="57"/>
      <c r="QB27" s="57"/>
      <c r="QC27" s="57"/>
      <c r="QD27" s="57"/>
      <c r="QE27" s="57"/>
      <c r="QF27" s="57"/>
      <c r="QG27" s="57"/>
      <c r="QH27" s="57"/>
      <c r="QI27" s="57"/>
      <c r="QJ27" s="57"/>
      <c r="QK27" s="59"/>
      <c r="QL27" s="59"/>
      <c r="QM27" s="59"/>
      <c r="QN27" s="59"/>
      <c r="QO27" s="59"/>
      <c r="QP27" s="59"/>
      <c r="QQ27" s="59"/>
      <c r="QR27" s="59"/>
      <c r="QS27" s="59"/>
      <c r="QT27" s="59"/>
      <c r="QU27" s="59"/>
      <c r="QV27" s="56"/>
      <c r="QW27" s="57"/>
      <c r="QX27" s="57"/>
      <c r="QY27" s="57"/>
      <c r="QZ27" s="57"/>
      <c r="RA27" s="57"/>
      <c r="RB27" s="57"/>
      <c r="RC27" s="57"/>
      <c r="RD27" s="57"/>
      <c r="RE27" s="57"/>
      <c r="RF27" s="57"/>
      <c r="RG27" s="59"/>
      <c r="RH27" s="59"/>
      <c r="RI27" s="59"/>
      <c r="RJ27" s="59"/>
      <c r="RK27" s="59"/>
      <c r="RL27" s="59"/>
      <c r="RM27" s="59"/>
      <c r="RN27" s="59"/>
      <c r="RO27" s="59"/>
      <c r="RP27" s="59"/>
      <c r="RQ27" s="59"/>
      <c r="RR27" s="56"/>
      <c r="RS27" s="57"/>
      <c r="RT27" s="57"/>
      <c r="RU27" s="57"/>
      <c r="RV27" s="57"/>
      <c r="RW27" s="57"/>
      <c r="RX27" s="57"/>
      <c r="RY27" s="57"/>
      <c r="RZ27" s="57"/>
      <c r="SA27" s="57"/>
      <c r="SB27" s="57"/>
      <c r="SC27" s="59"/>
      <c r="SD27" s="59"/>
      <c r="SE27" s="59"/>
      <c r="SF27" s="59"/>
      <c r="SG27" s="59"/>
      <c r="SH27" s="59"/>
      <c r="SI27" s="59"/>
      <c r="SJ27" s="59"/>
      <c r="SK27" s="59"/>
      <c r="SL27" s="59"/>
      <c r="SM27" s="59"/>
      <c r="SN27" s="56"/>
      <c r="SO27" s="57"/>
      <c r="SP27" s="57"/>
      <c r="SQ27" s="57"/>
      <c r="SR27" s="57"/>
      <c r="SS27" s="57"/>
      <c r="ST27" s="57"/>
      <c r="SU27" s="57"/>
      <c r="SV27" s="57"/>
      <c r="SW27" s="57"/>
      <c r="SX27" s="57"/>
      <c r="SY27" s="59"/>
      <c r="SZ27" s="59"/>
      <c r="TA27" s="59"/>
      <c r="TB27" s="59"/>
      <c r="TC27" s="59"/>
      <c r="TD27" s="59"/>
      <c r="TE27" s="59"/>
      <c r="TF27" s="59"/>
      <c r="TG27" s="59"/>
      <c r="TH27" s="59"/>
      <c r="TI27" s="59"/>
      <c r="TJ27" s="56"/>
      <c r="TK27" s="57"/>
      <c r="TL27" s="57"/>
      <c r="TM27" s="57"/>
      <c r="TN27" s="57"/>
      <c r="TO27" s="57"/>
      <c r="TP27" s="57"/>
      <c r="TQ27" s="57"/>
      <c r="TR27" s="57"/>
      <c r="TS27" s="57"/>
      <c r="TT27" s="57"/>
      <c r="TU27" s="59"/>
      <c r="TV27" s="59"/>
      <c r="TW27" s="59"/>
      <c r="TX27" s="59"/>
      <c r="TY27" s="59"/>
      <c r="TZ27" s="59"/>
      <c r="UA27" s="59"/>
      <c r="UB27" s="59"/>
      <c r="UC27" s="59"/>
      <c r="UD27" s="59"/>
      <c r="UE27" s="59"/>
      <c r="UF27" s="56"/>
      <c r="UG27" s="57"/>
      <c r="UH27" s="57"/>
      <c r="UI27" s="57"/>
      <c r="UJ27" s="57"/>
      <c r="UK27" s="57"/>
      <c r="UL27" s="57"/>
      <c r="UM27" s="57"/>
      <c r="UN27" s="57"/>
      <c r="UO27" s="57"/>
      <c r="UP27" s="57"/>
      <c r="UQ27" s="59"/>
      <c r="UR27" s="59"/>
      <c r="US27" s="59"/>
      <c r="UT27" s="59"/>
      <c r="UU27" s="59"/>
      <c r="UV27" s="59"/>
      <c r="UW27" s="59"/>
      <c r="UX27" s="59"/>
      <c r="UY27" s="59"/>
      <c r="UZ27" s="59"/>
      <c r="VA27" s="59"/>
      <c r="VB27" s="56"/>
      <c r="VC27" s="57"/>
      <c r="VD27" s="57"/>
      <c r="VE27" s="57"/>
      <c r="VF27" s="57"/>
      <c r="VG27" s="57"/>
      <c r="VH27" s="57"/>
      <c r="VI27" s="57"/>
      <c r="VJ27" s="57"/>
      <c r="VK27" s="57"/>
      <c r="VL27" s="57"/>
      <c r="VM27" s="59"/>
      <c r="VN27" s="59"/>
      <c r="VO27" s="59"/>
      <c r="VP27" s="59"/>
      <c r="VQ27" s="59"/>
      <c r="VR27" s="59"/>
      <c r="VS27" s="59"/>
      <c r="VT27" s="59"/>
      <c r="VU27" s="59"/>
      <c r="VV27" s="59"/>
      <c r="VW27" s="59"/>
      <c r="VX27" s="56"/>
      <c r="VY27" s="57"/>
      <c r="VZ27" s="57"/>
      <c r="WA27" s="57"/>
      <c r="WB27" s="57"/>
      <c r="WC27" s="57"/>
      <c r="WD27" s="57"/>
      <c r="WE27" s="57"/>
      <c r="WF27" s="57"/>
      <c r="WG27" s="57"/>
      <c r="WH27" s="57"/>
      <c r="WI27" s="59"/>
      <c r="WJ27" s="59"/>
      <c r="WK27" s="59"/>
      <c r="WL27" s="59"/>
      <c r="WM27" s="59"/>
      <c r="WN27" s="59"/>
      <c r="WO27" s="59"/>
      <c r="WP27" s="59"/>
      <c r="WQ27" s="59"/>
      <c r="WR27" s="59"/>
      <c r="WS27" s="59"/>
      <c r="WT27" s="56"/>
      <c r="WU27" s="57"/>
      <c r="WV27" s="57"/>
      <c r="WW27" s="57"/>
      <c r="WX27" s="57"/>
      <c r="WY27" s="57"/>
      <c r="WZ27" s="57"/>
      <c r="XA27" s="57"/>
      <c r="XB27" s="57"/>
      <c r="XC27" s="57"/>
      <c r="XD27" s="57"/>
      <c r="XE27" s="59"/>
      <c r="XF27" s="59"/>
      <c r="XG27" s="59"/>
      <c r="XH27" s="59"/>
      <c r="XI27" s="59"/>
      <c r="XJ27" s="59"/>
      <c r="XK27" s="59"/>
      <c r="XL27" s="59"/>
      <c r="XM27" s="59"/>
      <c r="XN27" s="59"/>
      <c r="XO27" s="59"/>
      <c r="XP27" s="56"/>
      <c r="XQ27" s="57"/>
      <c r="XR27" s="57"/>
      <c r="XS27" s="57"/>
      <c r="XT27" s="57"/>
      <c r="XU27" s="57"/>
      <c r="XV27" s="57"/>
      <c r="XW27" s="57"/>
      <c r="XX27" s="57"/>
      <c r="XY27" s="57"/>
      <c r="XZ27" s="57"/>
      <c r="YA27" s="59"/>
      <c r="YB27" s="59"/>
      <c r="YC27" s="59"/>
      <c r="YD27" s="59"/>
      <c r="YE27" s="59"/>
      <c r="YF27" s="59"/>
      <c r="YG27" s="59"/>
      <c r="YH27" s="59"/>
      <c r="YI27" s="59"/>
      <c r="YJ27" s="59"/>
      <c r="YK27" s="59"/>
      <c r="YL27" s="56"/>
      <c r="YM27" s="57"/>
      <c r="YN27" s="57"/>
      <c r="YO27" s="57"/>
      <c r="YP27" s="57"/>
      <c r="YQ27" s="57"/>
      <c r="YR27" s="57"/>
      <c r="YS27" s="57"/>
      <c r="YT27" s="57"/>
      <c r="YU27" s="57"/>
      <c r="YV27" s="57"/>
      <c r="YW27" s="59"/>
      <c r="YX27" s="59"/>
      <c r="YY27" s="59"/>
      <c r="YZ27" s="59"/>
      <c r="ZA27" s="59"/>
      <c r="ZB27" s="59"/>
      <c r="ZC27" s="59"/>
      <c r="ZD27" s="59"/>
      <c r="ZE27" s="59"/>
      <c r="ZF27" s="59"/>
      <c r="ZG27" s="59"/>
      <c r="ZH27" s="56"/>
      <c r="ZI27" s="57"/>
      <c r="ZJ27" s="57"/>
      <c r="ZK27" s="57"/>
      <c r="ZL27" s="57"/>
      <c r="ZM27" s="57"/>
      <c r="ZN27" s="57"/>
      <c r="ZO27" s="57"/>
      <c r="ZP27" s="57"/>
      <c r="ZQ27" s="57"/>
      <c r="ZR27" s="57"/>
      <c r="ZS27" s="59"/>
      <c r="ZT27" s="59"/>
      <c r="ZU27" s="59"/>
      <c r="ZV27" s="59"/>
      <c r="ZW27" s="59"/>
      <c r="ZX27" s="59"/>
      <c r="ZY27" s="59"/>
      <c r="ZZ27" s="59"/>
      <c r="AAA27" s="59"/>
      <c r="AAB27" s="59"/>
      <c r="AAC27" s="59"/>
    </row>
    <row r="28" spans="1:705" x14ac:dyDescent="0.2">
      <c r="A28" s="1">
        <v>23</v>
      </c>
      <c r="B28" s="2"/>
      <c r="C28" s="2"/>
      <c r="D28" s="2"/>
      <c r="E28" s="2"/>
      <c r="F28" s="2"/>
      <c r="G28" s="2"/>
      <c r="H28" s="2"/>
      <c r="I28" s="2"/>
      <c r="J28" s="2"/>
      <c r="K28" s="2"/>
      <c r="L28" s="2"/>
      <c r="M28" s="3"/>
      <c r="N28" s="3"/>
      <c r="O28" s="3"/>
      <c r="P28" s="3"/>
      <c r="Q28" s="3"/>
      <c r="R28" s="3"/>
      <c r="S28" s="3"/>
      <c r="T28" s="3"/>
      <c r="U28" s="3"/>
      <c r="V28" s="3"/>
      <c r="W28" s="3"/>
      <c r="X28" s="2"/>
      <c r="Y28" s="2"/>
      <c r="Z28" s="2"/>
      <c r="AA28" s="2"/>
      <c r="AB28" s="2"/>
      <c r="AC28" s="2"/>
      <c r="AD28" s="2"/>
      <c r="AE28" s="2"/>
      <c r="AF28" s="2"/>
      <c r="AG28" s="2"/>
      <c r="AH28" s="2"/>
      <c r="AI28" s="3"/>
      <c r="AJ28" s="3"/>
      <c r="AK28" s="3"/>
      <c r="AL28" s="3"/>
      <c r="AM28" s="3"/>
      <c r="AN28" s="3"/>
      <c r="AO28" s="3"/>
      <c r="AP28" s="3"/>
      <c r="AQ28" s="3"/>
      <c r="AR28" s="3"/>
      <c r="AS28" s="3"/>
      <c r="AT28" s="2"/>
      <c r="AU28" s="2"/>
      <c r="AV28" s="2"/>
      <c r="AW28" s="2"/>
      <c r="AX28" s="2"/>
      <c r="AY28" s="2"/>
      <c r="AZ28" s="2"/>
      <c r="BA28" s="2"/>
      <c r="BB28" s="2"/>
      <c r="BC28" s="2"/>
      <c r="BD28" s="2"/>
      <c r="BE28" s="3"/>
      <c r="BF28" s="3"/>
      <c r="BG28" s="3"/>
      <c r="BH28" s="3"/>
      <c r="BI28" s="3"/>
      <c r="BJ28" s="3"/>
      <c r="BK28" s="3"/>
      <c r="BL28" s="3"/>
      <c r="BM28" s="3"/>
      <c r="BN28" s="3"/>
      <c r="BO28" s="3"/>
      <c r="BP28" s="2"/>
      <c r="BQ28" s="2"/>
      <c r="BR28" s="2"/>
      <c r="BS28" s="2"/>
      <c r="BT28" s="2"/>
      <c r="BU28" s="2"/>
      <c r="BV28" s="2"/>
      <c r="BW28" s="2"/>
      <c r="BX28" s="2"/>
      <c r="BY28" s="2"/>
      <c r="BZ28" s="2"/>
      <c r="CA28" s="3"/>
      <c r="CB28" s="3"/>
      <c r="CC28" s="3"/>
      <c r="CD28" s="3"/>
      <c r="CE28" s="3"/>
      <c r="CF28" s="3"/>
      <c r="CG28" s="3"/>
      <c r="CH28" s="3"/>
      <c r="CI28" s="3"/>
      <c r="CJ28" s="3"/>
      <c r="CK28" s="3"/>
      <c r="CL28" s="2"/>
      <c r="CM28" s="2"/>
      <c r="CN28" s="2"/>
      <c r="CO28" s="2"/>
      <c r="CP28" s="2"/>
      <c r="CQ28" s="2"/>
      <c r="CR28" s="2"/>
      <c r="CS28" s="2"/>
      <c r="CT28" s="2"/>
      <c r="CU28" s="2"/>
      <c r="CV28" s="2"/>
      <c r="CW28" s="3"/>
      <c r="CX28" s="3"/>
      <c r="CY28" s="3"/>
      <c r="CZ28" s="3"/>
      <c r="DA28" s="3"/>
      <c r="DB28" s="3"/>
      <c r="DC28" s="3"/>
      <c r="DD28" s="3"/>
      <c r="DE28" s="3"/>
      <c r="DF28" s="3"/>
      <c r="DG28" s="3"/>
      <c r="DH28" s="2"/>
      <c r="DI28" s="2"/>
      <c r="DJ28" s="2"/>
      <c r="DK28" s="2"/>
      <c r="DL28" s="2"/>
      <c r="DM28" s="2"/>
      <c r="DN28" s="2"/>
      <c r="DO28" s="2"/>
      <c r="DP28" s="2"/>
      <c r="DQ28" s="2"/>
      <c r="DR28" s="2"/>
      <c r="DS28" s="3"/>
      <c r="DT28" s="3"/>
      <c r="DU28" s="3"/>
      <c r="DV28" s="3"/>
      <c r="DW28" s="3"/>
      <c r="DX28" s="3"/>
      <c r="DY28" s="3"/>
      <c r="DZ28" s="3"/>
      <c r="EA28" s="3"/>
      <c r="EB28" s="3"/>
      <c r="EC28" s="3"/>
      <c r="ED28" s="2"/>
      <c r="EE28" s="2"/>
      <c r="EF28" s="2"/>
      <c r="EG28" s="2"/>
      <c r="EH28" s="2"/>
      <c r="EI28" s="2"/>
      <c r="EJ28" s="2"/>
      <c r="EK28" s="2"/>
      <c r="EL28" s="2"/>
      <c r="EM28" s="2"/>
      <c r="EN28" s="2"/>
      <c r="EO28" s="3"/>
      <c r="EP28" s="3"/>
      <c r="EQ28" s="3"/>
      <c r="ER28" s="3"/>
      <c r="ES28" s="3"/>
      <c r="ET28" s="3"/>
      <c r="EU28" s="3"/>
      <c r="EV28" s="3"/>
      <c r="EW28" s="3"/>
      <c r="EX28" s="3"/>
      <c r="EY28" s="3"/>
      <c r="EZ28" s="2"/>
      <c r="FA28" s="2"/>
      <c r="FB28" s="2"/>
      <c r="FC28" s="2"/>
      <c r="FD28" s="2"/>
      <c r="FE28" s="2"/>
      <c r="FF28" s="2"/>
      <c r="FG28" s="2"/>
      <c r="FH28" s="2"/>
      <c r="FI28" s="2"/>
      <c r="FJ28" s="2"/>
      <c r="FK28" s="3"/>
      <c r="FL28" s="3"/>
      <c r="FM28" s="3"/>
      <c r="FN28" s="3"/>
      <c r="FO28" s="3"/>
      <c r="FP28" s="3"/>
      <c r="FQ28" s="3"/>
      <c r="FR28" s="3"/>
      <c r="FS28" s="3"/>
      <c r="FT28" s="3"/>
      <c r="FU28" s="3"/>
      <c r="FV28" s="2"/>
      <c r="FW28" s="2"/>
      <c r="FX28" s="2"/>
      <c r="FY28" s="2"/>
      <c r="FZ28" s="2"/>
      <c r="GA28" s="2"/>
      <c r="GB28" s="2"/>
      <c r="GC28" s="2"/>
      <c r="GD28" s="2"/>
      <c r="GE28" s="2"/>
      <c r="GF28" s="2"/>
      <c r="GG28" s="3"/>
      <c r="GH28" s="3"/>
      <c r="GI28" s="3"/>
      <c r="GJ28" s="3"/>
      <c r="GK28" s="3"/>
      <c r="GL28" s="3"/>
      <c r="GM28" s="3"/>
      <c r="GN28" s="3"/>
      <c r="GO28" s="3"/>
      <c r="GP28" s="3"/>
      <c r="GQ28" s="3"/>
      <c r="GR28" s="2"/>
      <c r="GS28" s="2"/>
      <c r="GT28" s="2"/>
      <c r="GU28" s="2"/>
      <c r="GV28" s="2"/>
      <c r="GW28" s="2"/>
      <c r="GX28" s="2"/>
      <c r="GY28" s="2"/>
      <c r="GZ28" s="2"/>
      <c r="HA28" s="2"/>
      <c r="HB28" s="2"/>
      <c r="HC28" s="3"/>
      <c r="HD28" s="3"/>
      <c r="HE28" s="3"/>
      <c r="HF28" s="3"/>
      <c r="HG28" s="3"/>
      <c r="HH28" s="3"/>
      <c r="HI28" s="3"/>
      <c r="HJ28" s="3"/>
      <c r="HK28" s="3"/>
      <c r="HL28" s="3"/>
      <c r="HM28" s="3"/>
      <c r="HN28" s="2"/>
      <c r="HO28" s="2"/>
      <c r="HP28" s="2"/>
      <c r="HQ28" s="2"/>
      <c r="HR28" s="2"/>
      <c r="HS28" s="2"/>
      <c r="HT28" s="2"/>
      <c r="HU28" s="2"/>
      <c r="HV28" s="2"/>
      <c r="HW28" s="2"/>
      <c r="HX28" s="2"/>
      <c r="HY28" s="3"/>
      <c r="HZ28" s="3"/>
      <c r="IA28" s="3"/>
      <c r="IB28" s="3"/>
      <c r="IC28" s="3"/>
      <c r="ID28" s="3"/>
      <c r="IE28" s="3"/>
      <c r="IF28" s="3"/>
      <c r="IG28" s="3"/>
      <c r="IH28" s="3"/>
      <c r="II28" s="3"/>
      <c r="IJ28" s="2"/>
      <c r="IK28" s="2"/>
      <c r="IL28" s="2"/>
      <c r="IM28" s="2"/>
      <c r="IN28" s="2"/>
      <c r="IO28" s="2"/>
      <c r="IP28" s="2"/>
      <c r="IQ28" s="2"/>
      <c r="IR28" s="2"/>
      <c r="IS28" s="2"/>
      <c r="IT28" s="2"/>
      <c r="IU28" s="3"/>
      <c r="IV28" s="3"/>
      <c r="IW28" s="3"/>
      <c r="IX28" s="3"/>
      <c r="IY28" s="3"/>
      <c r="IZ28" s="3"/>
      <c r="JA28" s="3"/>
      <c r="JB28" s="3"/>
      <c r="JC28" s="3"/>
      <c r="JD28" s="3"/>
      <c r="JE28" s="3"/>
      <c r="JF28" s="2"/>
      <c r="JG28" s="2"/>
      <c r="JH28" s="2"/>
      <c r="JI28" s="2"/>
      <c r="JJ28" s="2"/>
      <c r="JK28" s="2"/>
      <c r="JL28" s="2"/>
      <c r="JM28" s="2"/>
      <c r="JN28" s="2"/>
      <c r="JO28" s="2"/>
      <c r="JP28" s="2"/>
      <c r="JQ28" s="3"/>
      <c r="JR28" s="3"/>
      <c r="JS28" s="3"/>
      <c r="JT28" s="3"/>
      <c r="JU28" s="3"/>
      <c r="JV28" s="3"/>
      <c r="JW28" s="3"/>
      <c r="JX28" s="3"/>
      <c r="JY28" s="3"/>
      <c r="JZ28" s="3"/>
      <c r="KA28" s="3"/>
      <c r="KB28" s="2"/>
      <c r="KC28" s="2"/>
      <c r="KD28" s="2"/>
      <c r="KE28" s="2"/>
      <c r="KF28" s="2"/>
      <c r="KG28" s="2"/>
      <c r="KH28" s="2"/>
      <c r="KI28" s="2"/>
      <c r="KJ28" s="2"/>
      <c r="KK28" s="2"/>
      <c r="KL28" s="2"/>
      <c r="KM28" s="3"/>
      <c r="KN28" s="3"/>
      <c r="KO28" s="3"/>
      <c r="KP28" s="3"/>
      <c r="KQ28" s="3"/>
      <c r="KR28" s="3"/>
      <c r="KS28" s="3"/>
      <c r="KT28" s="3"/>
      <c r="KU28" s="3"/>
      <c r="KV28" s="3"/>
      <c r="KW28" s="3"/>
      <c r="KX28" s="2"/>
      <c r="KY28" s="2"/>
      <c r="KZ28" s="2"/>
      <c r="LA28" s="2"/>
      <c r="LB28" s="2"/>
      <c r="LC28" s="2"/>
      <c r="LD28" s="2"/>
      <c r="LE28" s="2"/>
      <c r="LF28" s="2"/>
      <c r="LG28" s="2"/>
      <c r="LH28" s="2"/>
      <c r="LI28" s="3"/>
      <c r="LJ28" s="3"/>
      <c r="LK28" s="3"/>
      <c r="LL28" s="3"/>
      <c r="LM28" s="3"/>
      <c r="LN28" s="3"/>
      <c r="LO28" s="3"/>
      <c r="LP28" s="3"/>
      <c r="LQ28" s="3"/>
      <c r="LR28" s="3"/>
      <c r="LS28" s="3"/>
      <c r="LT28" s="2"/>
      <c r="LU28" s="2"/>
      <c r="LV28" s="2"/>
      <c r="LW28" s="2"/>
      <c r="LX28" s="2"/>
      <c r="LY28" s="2"/>
      <c r="LZ28" s="2"/>
      <c r="MA28" s="2"/>
      <c r="MB28" s="2"/>
      <c r="MC28" s="2"/>
      <c r="MD28" s="2"/>
      <c r="ME28" s="3"/>
      <c r="MF28" s="3"/>
      <c r="MG28" s="3"/>
      <c r="MH28" s="3"/>
      <c r="MI28" s="3"/>
      <c r="MJ28" s="3"/>
      <c r="MK28" s="3"/>
      <c r="ML28" s="3"/>
      <c r="MM28" s="3"/>
      <c r="MN28" s="3"/>
      <c r="MO28" s="3"/>
      <c r="MP28" s="2"/>
      <c r="MQ28" s="2"/>
      <c r="MR28" s="2"/>
      <c r="MS28" s="2"/>
      <c r="MT28" s="2"/>
      <c r="MU28" s="2"/>
      <c r="MV28" s="2"/>
      <c r="MW28" s="2"/>
      <c r="MX28" s="2"/>
      <c r="MY28" s="2"/>
      <c r="MZ28" s="2"/>
      <c r="NA28" s="3"/>
      <c r="NB28" s="3"/>
      <c r="NC28" s="3"/>
      <c r="ND28" s="3"/>
      <c r="NE28" s="3"/>
      <c r="NF28" s="3"/>
      <c r="NG28" s="3"/>
      <c r="NH28" s="3"/>
      <c r="NI28" s="3"/>
      <c r="NJ28" s="3"/>
      <c r="NK28" s="3"/>
      <c r="NL28" s="56"/>
      <c r="NM28" s="57"/>
      <c r="NN28" s="57"/>
      <c r="NO28" s="57"/>
      <c r="NP28" s="57"/>
      <c r="NQ28" s="57"/>
      <c r="NR28" s="57"/>
      <c r="NS28" s="57"/>
      <c r="NT28" s="57"/>
      <c r="NU28" s="57"/>
      <c r="NV28" s="57"/>
      <c r="NW28" s="59"/>
      <c r="NX28" s="59"/>
      <c r="NY28" s="59"/>
      <c r="NZ28" s="59"/>
      <c r="OA28" s="59"/>
      <c r="OB28" s="59"/>
      <c r="OC28" s="59"/>
      <c r="OD28" s="59"/>
      <c r="OE28" s="59"/>
      <c r="OF28" s="59"/>
      <c r="OG28" s="59"/>
      <c r="OH28" s="56"/>
      <c r="OI28" s="57"/>
      <c r="OJ28" s="57"/>
      <c r="OK28" s="57"/>
      <c r="OL28" s="57"/>
      <c r="OM28" s="57"/>
      <c r="ON28" s="57"/>
      <c r="OO28" s="57"/>
      <c r="OP28" s="57"/>
      <c r="OQ28" s="57"/>
      <c r="OR28" s="57"/>
      <c r="OS28" s="59"/>
      <c r="OT28" s="59"/>
      <c r="OU28" s="59"/>
      <c r="OV28" s="59"/>
      <c r="OW28" s="59"/>
      <c r="OX28" s="59"/>
      <c r="OY28" s="59"/>
      <c r="OZ28" s="59"/>
      <c r="PA28" s="59"/>
      <c r="PB28" s="59"/>
      <c r="PC28" s="59"/>
      <c r="PD28" s="56"/>
      <c r="PE28" s="57"/>
      <c r="PF28" s="57"/>
      <c r="PG28" s="57"/>
      <c r="PH28" s="57"/>
      <c r="PI28" s="57"/>
      <c r="PJ28" s="57"/>
      <c r="PK28" s="57"/>
      <c r="PL28" s="57"/>
      <c r="PM28" s="57"/>
      <c r="PN28" s="57"/>
      <c r="PO28" s="59"/>
      <c r="PP28" s="59"/>
      <c r="PQ28" s="59"/>
      <c r="PR28" s="59"/>
      <c r="PS28" s="59"/>
      <c r="PT28" s="59"/>
      <c r="PU28" s="59"/>
      <c r="PV28" s="59"/>
      <c r="PW28" s="59"/>
      <c r="PX28" s="59"/>
      <c r="PY28" s="59"/>
      <c r="PZ28" s="56"/>
      <c r="QA28" s="57"/>
      <c r="QB28" s="57"/>
      <c r="QC28" s="57"/>
      <c r="QD28" s="57"/>
      <c r="QE28" s="57"/>
      <c r="QF28" s="57"/>
      <c r="QG28" s="57"/>
      <c r="QH28" s="57"/>
      <c r="QI28" s="57"/>
      <c r="QJ28" s="57"/>
      <c r="QK28" s="59"/>
      <c r="QL28" s="59"/>
      <c r="QM28" s="59"/>
      <c r="QN28" s="59"/>
      <c r="QO28" s="59"/>
      <c r="QP28" s="59"/>
      <c r="QQ28" s="59"/>
      <c r="QR28" s="59"/>
      <c r="QS28" s="59"/>
      <c r="QT28" s="59"/>
      <c r="QU28" s="59"/>
      <c r="QV28" s="56"/>
      <c r="QW28" s="57"/>
      <c r="QX28" s="57"/>
      <c r="QY28" s="57"/>
      <c r="QZ28" s="57"/>
      <c r="RA28" s="57"/>
      <c r="RB28" s="57"/>
      <c r="RC28" s="57"/>
      <c r="RD28" s="57"/>
      <c r="RE28" s="57"/>
      <c r="RF28" s="57"/>
      <c r="RG28" s="59"/>
      <c r="RH28" s="59"/>
      <c r="RI28" s="59"/>
      <c r="RJ28" s="59"/>
      <c r="RK28" s="59"/>
      <c r="RL28" s="59"/>
      <c r="RM28" s="59"/>
      <c r="RN28" s="59"/>
      <c r="RO28" s="59"/>
      <c r="RP28" s="59"/>
      <c r="RQ28" s="59"/>
      <c r="RR28" s="56"/>
      <c r="RS28" s="57"/>
      <c r="RT28" s="57"/>
      <c r="RU28" s="57"/>
      <c r="RV28" s="57"/>
      <c r="RW28" s="57"/>
      <c r="RX28" s="57"/>
      <c r="RY28" s="57"/>
      <c r="RZ28" s="57"/>
      <c r="SA28" s="57"/>
      <c r="SB28" s="57"/>
      <c r="SC28" s="59"/>
      <c r="SD28" s="59"/>
      <c r="SE28" s="59"/>
      <c r="SF28" s="59"/>
      <c r="SG28" s="59"/>
      <c r="SH28" s="59"/>
      <c r="SI28" s="59"/>
      <c r="SJ28" s="59"/>
      <c r="SK28" s="59"/>
      <c r="SL28" s="59"/>
      <c r="SM28" s="59"/>
      <c r="SN28" s="56"/>
      <c r="SO28" s="57"/>
      <c r="SP28" s="57"/>
      <c r="SQ28" s="57"/>
      <c r="SR28" s="57"/>
      <c r="SS28" s="57"/>
      <c r="ST28" s="57"/>
      <c r="SU28" s="57"/>
      <c r="SV28" s="57"/>
      <c r="SW28" s="57"/>
      <c r="SX28" s="57"/>
      <c r="SY28" s="59"/>
      <c r="SZ28" s="59"/>
      <c r="TA28" s="59"/>
      <c r="TB28" s="59"/>
      <c r="TC28" s="59"/>
      <c r="TD28" s="59"/>
      <c r="TE28" s="59"/>
      <c r="TF28" s="59"/>
      <c r="TG28" s="59"/>
      <c r="TH28" s="59"/>
      <c r="TI28" s="59"/>
      <c r="TJ28" s="56"/>
      <c r="TK28" s="57"/>
      <c r="TL28" s="57"/>
      <c r="TM28" s="57"/>
      <c r="TN28" s="57"/>
      <c r="TO28" s="57"/>
      <c r="TP28" s="57"/>
      <c r="TQ28" s="57"/>
      <c r="TR28" s="57"/>
      <c r="TS28" s="57"/>
      <c r="TT28" s="57"/>
      <c r="TU28" s="59"/>
      <c r="TV28" s="59"/>
      <c r="TW28" s="59"/>
      <c r="TX28" s="59"/>
      <c r="TY28" s="59"/>
      <c r="TZ28" s="59"/>
      <c r="UA28" s="59"/>
      <c r="UB28" s="59"/>
      <c r="UC28" s="59"/>
      <c r="UD28" s="59"/>
      <c r="UE28" s="59"/>
      <c r="UF28" s="56"/>
      <c r="UG28" s="57"/>
      <c r="UH28" s="57"/>
      <c r="UI28" s="57"/>
      <c r="UJ28" s="57"/>
      <c r="UK28" s="57"/>
      <c r="UL28" s="57"/>
      <c r="UM28" s="57"/>
      <c r="UN28" s="57"/>
      <c r="UO28" s="57"/>
      <c r="UP28" s="57"/>
      <c r="UQ28" s="59"/>
      <c r="UR28" s="59"/>
      <c r="US28" s="59"/>
      <c r="UT28" s="59"/>
      <c r="UU28" s="59"/>
      <c r="UV28" s="59"/>
      <c r="UW28" s="59"/>
      <c r="UX28" s="59"/>
      <c r="UY28" s="59"/>
      <c r="UZ28" s="59"/>
      <c r="VA28" s="59"/>
      <c r="VB28" s="56"/>
      <c r="VC28" s="57"/>
      <c r="VD28" s="57"/>
      <c r="VE28" s="57"/>
      <c r="VF28" s="57"/>
      <c r="VG28" s="57"/>
      <c r="VH28" s="57"/>
      <c r="VI28" s="57"/>
      <c r="VJ28" s="57"/>
      <c r="VK28" s="57"/>
      <c r="VL28" s="57"/>
      <c r="VM28" s="59"/>
      <c r="VN28" s="59"/>
      <c r="VO28" s="59"/>
      <c r="VP28" s="59"/>
      <c r="VQ28" s="59"/>
      <c r="VR28" s="59"/>
      <c r="VS28" s="59"/>
      <c r="VT28" s="59"/>
      <c r="VU28" s="59"/>
      <c r="VV28" s="59"/>
      <c r="VW28" s="59"/>
      <c r="VX28" s="56"/>
      <c r="VY28" s="57"/>
      <c r="VZ28" s="57"/>
      <c r="WA28" s="57"/>
      <c r="WB28" s="57"/>
      <c r="WC28" s="57"/>
      <c r="WD28" s="57"/>
      <c r="WE28" s="57"/>
      <c r="WF28" s="57"/>
      <c r="WG28" s="57"/>
      <c r="WH28" s="57"/>
      <c r="WI28" s="59"/>
      <c r="WJ28" s="59"/>
      <c r="WK28" s="59"/>
      <c r="WL28" s="59"/>
      <c r="WM28" s="59"/>
      <c r="WN28" s="59"/>
      <c r="WO28" s="59"/>
      <c r="WP28" s="59"/>
      <c r="WQ28" s="59"/>
      <c r="WR28" s="59"/>
      <c r="WS28" s="59"/>
      <c r="WT28" s="56"/>
      <c r="WU28" s="57"/>
      <c r="WV28" s="57"/>
      <c r="WW28" s="57"/>
      <c r="WX28" s="57"/>
      <c r="WY28" s="57"/>
      <c r="WZ28" s="57"/>
      <c r="XA28" s="57"/>
      <c r="XB28" s="57"/>
      <c r="XC28" s="57"/>
      <c r="XD28" s="57"/>
      <c r="XE28" s="59"/>
      <c r="XF28" s="59"/>
      <c r="XG28" s="59"/>
      <c r="XH28" s="59"/>
      <c r="XI28" s="59"/>
      <c r="XJ28" s="59"/>
      <c r="XK28" s="59"/>
      <c r="XL28" s="59"/>
      <c r="XM28" s="59"/>
      <c r="XN28" s="59"/>
      <c r="XO28" s="59"/>
      <c r="XP28" s="56"/>
      <c r="XQ28" s="57"/>
      <c r="XR28" s="57"/>
      <c r="XS28" s="57"/>
      <c r="XT28" s="57"/>
      <c r="XU28" s="57"/>
      <c r="XV28" s="57"/>
      <c r="XW28" s="57"/>
      <c r="XX28" s="57"/>
      <c r="XY28" s="57"/>
      <c r="XZ28" s="57"/>
      <c r="YA28" s="59"/>
      <c r="YB28" s="59"/>
      <c r="YC28" s="59"/>
      <c r="YD28" s="59"/>
      <c r="YE28" s="59"/>
      <c r="YF28" s="59"/>
      <c r="YG28" s="59"/>
      <c r="YH28" s="59"/>
      <c r="YI28" s="59"/>
      <c r="YJ28" s="59"/>
      <c r="YK28" s="59"/>
      <c r="YL28" s="56"/>
      <c r="YM28" s="57"/>
      <c r="YN28" s="57"/>
      <c r="YO28" s="57"/>
      <c r="YP28" s="57"/>
      <c r="YQ28" s="57"/>
      <c r="YR28" s="57"/>
      <c r="YS28" s="57"/>
      <c r="YT28" s="57"/>
      <c r="YU28" s="57"/>
      <c r="YV28" s="57"/>
      <c r="YW28" s="59"/>
      <c r="YX28" s="59"/>
      <c r="YY28" s="59"/>
      <c r="YZ28" s="59"/>
      <c r="ZA28" s="59"/>
      <c r="ZB28" s="59"/>
      <c r="ZC28" s="59"/>
      <c r="ZD28" s="59"/>
      <c r="ZE28" s="59"/>
      <c r="ZF28" s="59"/>
      <c r="ZG28" s="59"/>
      <c r="ZH28" s="56"/>
      <c r="ZI28" s="57"/>
      <c r="ZJ28" s="57"/>
      <c r="ZK28" s="57"/>
      <c r="ZL28" s="57"/>
      <c r="ZM28" s="57"/>
      <c r="ZN28" s="57"/>
      <c r="ZO28" s="57"/>
      <c r="ZP28" s="57"/>
      <c r="ZQ28" s="57"/>
      <c r="ZR28" s="57"/>
      <c r="ZS28" s="59"/>
      <c r="ZT28" s="59"/>
      <c r="ZU28" s="59"/>
      <c r="ZV28" s="59"/>
      <c r="ZW28" s="59"/>
      <c r="ZX28" s="59"/>
      <c r="ZY28" s="59"/>
      <c r="ZZ28" s="59"/>
      <c r="AAA28" s="59"/>
      <c r="AAB28" s="59"/>
      <c r="AAC28" s="59"/>
    </row>
    <row r="29" spans="1:705" x14ac:dyDescent="0.2">
      <c r="NL29" s="11"/>
      <c r="NM29" s="11"/>
      <c r="NN29" s="11"/>
      <c r="NO29" s="11"/>
      <c r="NP29" s="11"/>
      <c r="NQ29" s="11"/>
      <c r="NR29" s="11"/>
      <c r="NS29" s="11"/>
      <c r="NT29" s="11"/>
      <c r="NU29" s="11"/>
      <c r="NV29" s="11"/>
      <c r="NW29" s="11"/>
      <c r="NX29" s="11"/>
      <c r="NY29" s="11"/>
      <c r="NZ29" s="11"/>
      <c r="OA29" s="11"/>
      <c r="OB29" s="11"/>
      <c r="OC29" s="11"/>
      <c r="OD29" s="11"/>
      <c r="OE29" s="11"/>
      <c r="OF29" s="11"/>
      <c r="OG29" s="11"/>
      <c r="OH29" s="11"/>
      <c r="OI29" s="11"/>
      <c r="OJ29" s="11"/>
      <c r="OK29" s="11"/>
      <c r="OL29" s="11"/>
      <c r="OM29" s="11"/>
      <c r="ON29" s="11"/>
      <c r="OO29" s="11"/>
      <c r="OP29" s="11"/>
      <c r="OQ29" s="11"/>
      <c r="OR29" s="11"/>
      <c r="OS29" s="11"/>
      <c r="OT29" s="11"/>
      <c r="OU29" s="11"/>
      <c r="OV29" s="11"/>
      <c r="OW29" s="11"/>
      <c r="OX29" s="11"/>
      <c r="OY29" s="11"/>
      <c r="OZ29" s="11"/>
      <c r="PA29" s="11"/>
      <c r="PB29" s="11"/>
      <c r="PC29" s="11"/>
      <c r="PD29" s="11"/>
      <c r="PE29" s="11"/>
      <c r="PF29" s="11"/>
      <c r="PG29" s="11"/>
      <c r="PH29" s="11"/>
      <c r="PI29" s="11"/>
      <c r="PJ29" s="11"/>
      <c r="PK29" s="11"/>
      <c r="PL29" s="11"/>
      <c r="PM29" s="11"/>
      <c r="PN29" s="11"/>
      <c r="PO29" s="11"/>
      <c r="PP29" s="11"/>
      <c r="PQ29" s="11"/>
      <c r="PR29" s="11"/>
      <c r="PS29" s="11"/>
      <c r="PT29" s="11"/>
      <c r="PU29" s="11"/>
      <c r="PV29" s="11"/>
      <c r="PW29" s="11"/>
      <c r="PX29" s="11"/>
      <c r="PY29" s="11"/>
      <c r="PZ29" s="11"/>
      <c r="QA29" s="11"/>
      <c r="QB29" s="11"/>
      <c r="QC29" s="11"/>
      <c r="QD29" s="11"/>
      <c r="QE29" s="11"/>
      <c r="QF29" s="11"/>
      <c r="QG29" s="11"/>
      <c r="QH29" s="11"/>
      <c r="QI29" s="11"/>
      <c r="QJ29" s="11"/>
      <c r="QK29" s="11"/>
      <c r="QL29" s="11"/>
      <c r="QM29" s="11"/>
      <c r="QN29" s="11"/>
      <c r="QO29" s="11"/>
      <c r="QP29" s="11"/>
      <c r="QQ29" s="11"/>
      <c r="QR29" s="11"/>
      <c r="QS29" s="11"/>
      <c r="QT29" s="11"/>
      <c r="QU29" s="11"/>
      <c r="QV29" s="11"/>
      <c r="QW29" s="11"/>
      <c r="QX29" s="11"/>
      <c r="QY29" s="11"/>
      <c r="QZ29" s="11"/>
      <c r="RA29" s="11"/>
      <c r="RB29" s="11"/>
      <c r="RC29" s="11"/>
      <c r="RD29" s="11"/>
      <c r="RE29" s="11"/>
      <c r="RF29" s="11"/>
      <c r="RG29" s="11"/>
      <c r="RH29" s="11"/>
      <c r="RI29" s="11"/>
      <c r="RJ29" s="11"/>
      <c r="RK29" s="11"/>
      <c r="RL29" s="11"/>
      <c r="RM29" s="11"/>
      <c r="RN29" s="11"/>
      <c r="RO29" s="11"/>
      <c r="RP29" s="11"/>
      <c r="RQ29" s="11"/>
      <c r="RR29" s="11"/>
      <c r="RS29" s="11"/>
      <c r="RT29" s="11"/>
      <c r="RU29" s="11"/>
      <c r="RV29" s="11"/>
      <c r="RW29" s="11"/>
      <c r="RX29" s="11"/>
      <c r="RY29" s="11"/>
      <c r="RZ29" s="11"/>
      <c r="SA29" s="11"/>
      <c r="SB29" s="11"/>
      <c r="SC29" s="11"/>
      <c r="SD29" s="11"/>
      <c r="SE29" s="11"/>
      <c r="SF29" s="11"/>
      <c r="SG29" s="11"/>
      <c r="SH29" s="11"/>
      <c r="SI29" s="11"/>
      <c r="SJ29" s="11"/>
      <c r="SK29" s="11"/>
      <c r="SL29" s="11"/>
      <c r="SM29" s="11"/>
      <c r="SN29" s="11"/>
      <c r="SO29" s="11"/>
      <c r="SP29" s="11"/>
      <c r="SQ29" s="11"/>
      <c r="SR29" s="11"/>
      <c r="SS29" s="11"/>
      <c r="ST29" s="11"/>
      <c r="SU29" s="11"/>
      <c r="SV29" s="11"/>
      <c r="SW29" s="11"/>
      <c r="SX29" s="11"/>
      <c r="SY29" s="11"/>
      <c r="SZ29" s="11"/>
      <c r="TA29" s="11"/>
      <c r="TB29" s="11"/>
      <c r="TC29" s="11"/>
      <c r="TD29" s="11"/>
      <c r="TE29" s="11"/>
      <c r="TF29" s="11"/>
      <c r="TG29" s="11"/>
      <c r="TH29" s="11"/>
      <c r="TI29" s="11"/>
      <c r="TJ29" s="11"/>
      <c r="TK29" s="11"/>
      <c r="TL29" s="11"/>
      <c r="TM29" s="11"/>
      <c r="TN29" s="11"/>
      <c r="TO29" s="11"/>
      <c r="TP29" s="11"/>
      <c r="TQ29" s="11"/>
      <c r="TR29" s="11"/>
      <c r="TS29" s="11"/>
      <c r="TT29" s="11"/>
      <c r="TU29" s="11"/>
      <c r="TV29" s="11"/>
      <c r="TW29" s="11"/>
      <c r="TX29" s="11"/>
      <c r="TY29" s="11"/>
      <c r="TZ29" s="11"/>
      <c r="UA29" s="11"/>
      <c r="UB29" s="11"/>
      <c r="UC29" s="11"/>
      <c r="UD29" s="11"/>
      <c r="UE29" s="11"/>
      <c r="UF29" s="11"/>
      <c r="UG29" s="11"/>
      <c r="UH29" s="11"/>
      <c r="UI29" s="11"/>
      <c r="UJ29" s="11"/>
      <c r="UK29" s="11"/>
      <c r="UL29" s="11"/>
      <c r="UM29" s="11"/>
      <c r="UN29" s="11"/>
      <c r="UO29" s="11"/>
      <c r="UP29" s="11"/>
      <c r="UQ29" s="11"/>
      <c r="UR29" s="11"/>
      <c r="US29" s="11"/>
      <c r="UT29" s="11"/>
      <c r="UU29" s="11"/>
      <c r="UV29" s="11"/>
      <c r="UW29" s="11"/>
      <c r="UX29" s="11"/>
      <c r="UY29" s="11"/>
      <c r="UZ29" s="11"/>
      <c r="VA29" s="11"/>
      <c r="VB29" s="11"/>
      <c r="VC29" s="11"/>
      <c r="VD29" s="11"/>
      <c r="VE29" s="11"/>
      <c r="VF29" s="11"/>
      <c r="VG29" s="11"/>
      <c r="VH29" s="11"/>
      <c r="VI29" s="11"/>
      <c r="VJ29" s="11"/>
      <c r="VK29" s="11"/>
      <c r="VL29" s="11"/>
      <c r="VM29" s="11"/>
      <c r="VN29" s="11"/>
      <c r="VO29" s="11"/>
      <c r="VP29" s="11"/>
      <c r="VQ29" s="11"/>
      <c r="VR29" s="11"/>
      <c r="VS29" s="11"/>
      <c r="VT29" s="11"/>
      <c r="VU29" s="11"/>
      <c r="VV29" s="11"/>
      <c r="VW29" s="11"/>
      <c r="VX29" s="11"/>
      <c r="VY29" s="11"/>
      <c r="VZ29" s="11"/>
      <c r="WA29" s="11"/>
      <c r="WB29" s="11"/>
      <c r="WC29" s="11"/>
      <c r="WD29" s="11"/>
      <c r="WE29" s="11"/>
      <c r="WF29" s="11"/>
      <c r="WG29" s="11"/>
      <c r="WH29" s="11"/>
      <c r="WI29" s="11"/>
      <c r="WJ29" s="11"/>
      <c r="WK29" s="11"/>
      <c r="WL29" s="11"/>
      <c r="WM29" s="11"/>
      <c r="WN29" s="11"/>
      <c r="WO29" s="11"/>
      <c r="WP29" s="11"/>
      <c r="WQ29" s="11"/>
      <c r="WR29" s="11"/>
      <c r="WS29" s="11"/>
      <c r="WT29" s="11"/>
      <c r="WU29" s="11"/>
      <c r="WV29" s="11"/>
      <c r="WW29" s="11"/>
      <c r="WX29" s="11"/>
      <c r="WY29" s="11"/>
      <c r="WZ29" s="11"/>
      <c r="XA29" s="11"/>
      <c r="XB29" s="11"/>
      <c r="XC29" s="11"/>
      <c r="XD29" s="11"/>
      <c r="XE29" s="11"/>
      <c r="XF29" s="11"/>
      <c r="XG29" s="11"/>
      <c r="XH29" s="11"/>
      <c r="XI29" s="11"/>
      <c r="XJ29" s="11"/>
      <c r="XK29" s="11"/>
      <c r="XL29" s="11"/>
      <c r="XM29" s="11"/>
      <c r="XN29" s="11"/>
      <c r="XO29" s="11"/>
      <c r="XP29" s="11"/>
      <c r="XQ29" s="11"/>
      <c r="XR29" s="11"/>
      <c r="XS29" s="11"/>
      <c r="XT29" s="11"/>
      <c r="XU29" s="11"/>
      <c r="XV29" s="11"/>
      <c r="XW29" s="11"/>
      <c r="XX29" s="11"/>
      <c r="XY29" s="11"/>
      <c r="XZ29" s="11"/>
      <c r="YA29" s="11"/>
      <c r="YB29" s="11"/>
      <c r="YC29" s="11"/>
      <c r="YD29" s="11"/>
      <c r="YE29" s="11"/>
      <c r="YF29" s="11"/>
      <c r="YG29" s="11"/>
      <c r="YH29" s="11"/>
      <c r="YI29" s="11"/>
      <c r="YJ29" s="11"/>
      <c r="YK29" s="11"/>
      <c r="YL29" s="11"/>
      <c r="YM29" s="11"/>
      <c r="YN29" s="11"/>
      <c r="YO29" s="11"/>
      <c r="YP29" s="11"/>
      <c r="YQ29" s="11"/>
      <c r="YR29" s="11"/>
      <c r="YS29" s="11"/>
      <c r="YT29" s="11"/>
      <c r="YU29" s="11"/>
      <c r="YV29" s="11"/>
      <c r="YW29" s="11"/>
      <c r="YX29" s="11"/>
      <c r="YY29" s="11"/>
      <c r="YZ29" s="11"/>
      <c r="ZA29" s="11"/>
      <c r="ZB29" s="11"/>
      <c r="ZC29" s="11"/>
      <c r="ZD29" s="11"/>
      <c r="ZE29" s="11"/>
      <c r="ZF29" s="11"/>
      <c r="ZG29" s="11"/>
      <c r="ZH29" s="11"/>
      <c r="ZI29" s="11"/>
      <c r="ZJ29" s="11"/>
      <c r="ZK29" s="11"/>
      <c r="ZL29" s="11"/>
      <c r="ZM29" s="11"/>
      <c r="ZN29" s="11"/>
      <c r="ZO29" s="11"/>
      <c r="ZP29" s="11"/>
      <c r="ZQ29" s="11"/>
      <c r="ZR29" s="11"/>
      <c r="ZS29" s="11"/>
      <c r="ZT29" s="11"/>
      <c r="ZU29" s="11"/>
      <c r="ZV29" s="11"/>
      <c r="ZW29" s="11"/>
      <c r="ZX29" s="11"/>
      <c r="ZY29" s="11"/>
      <c r="ZZ29" s="11"/>
      <c r="AAA29" s="11"/>
      <c r="AAB29" s="11"/>
      <c r="AAC29" s="11"/>
    </row>
    <row r="30" spans="1:705" x14ac:dyDescent="0.2">
      <c r="B30" s="8" t="s">
        <v>200</v>
      </c>
      <c r="M30" s="8"/>
      <c r="X30" s="8" t="s">
        <v>200</v>
      </c>
      <c r="AI30" s="8"/>
      <c r="AT30" s="8" t="s">
        <v>200</v>
      </c>
      <c r="BE30" s="8"/>
      <c r="BP30" s="8" t="s">
        <v>200</v>
      </c>
      <c r="CA30" s="8"/>
      <c r="CL30" s="8" t="s">
        <v>200</v>
      </c>
      <c r="CW30" s="8"/>
      <c r="DH30" s="8" t="s">
        <v>200</v>
      </c>
      <c r="DS30" s="8"/>
      <c r="ED30" s="8" t="s">
        <v>200</v>
      </c>
      <c r="EO30" s="8"/>
      <c r="EZ30" s="8" t="s">
        <v>200</v>
      </c>
      <c r="FK30" s="8"/>
      <c r="FV30" s="8" t="s">
        <v>200</v>
      </c>
      <c r="GG30" s="8"/>
      <c r="GR30" s="8" t="s">
        <v>200</v>
      </c>
      <c r="HC30" s="8"/>
      <c r="HN30" s="8" t="s">
        <v>200</v>
      </c>
      <c r="HY30" s="8"/>
      <c r="IJ30" s="8" t="s">
        <v>200</v>
      </c>
      <c r="IU30" s="8"/>
      <c r="JF30" s="8" t="s">
        <v>200</v>
      </c>
      <c r="JQ30" s="8"/>
      <c r="KB30" s="8" t="s">
        <v>200</v>
      </c>
      <c r="KM30" s="8"/>
      <c r="KX30" s="8" t="s">
        <v>200</v>
      </c>
      <c r="LI30" s="8"/>
      <c r="LT30" s="8" t="s">
        <v>200</v>
      </c>
      <c r="ME30" s="8"/>
      <c r="MP30" s="8" t="s">
        <v>200</v>
      </c>
      <c r="NA30" s="8"/>
      <c r="NL30" s="10" t="s">
        <v>200</v>
      </c>
      <c r="NM30" s="11"/>
      <c r="NN30" s="11"/>
      <c r="NO30" s="11"/>
      <c r="NP30" s="11"/>
      <c r="NQ30" s="11"/>
      <c r="NR30" s="11"/>
      <c r="NS30" s="11"/>
      <c r="NT30" s="11"/>
      <c r="NU30" s="11"/>
      <c r="NV30" s="11"/>
      <c r="NW30" s="10"/>
      <c r="NX30" s="11"/>
      <c r="NY30" s="11"/>
      <c r="NZ30" s="11"/>
      <c r="OA30" s="11"/>
      <c r="OB30" s="11"/>
      <c r="OC30" s="11"/>
      <c r="OD30" s="11"/>
      <c r="OE30" s="11"/>
      <c r="OF30" s="11"/>
      <c r="OG30" s="11"/>
      <c r="OH30" s="10" t="s">
        <v>200</v>
      </c>
      <c r="OI30" s="11"/>
      <c r="OJ30" s="11"/>
      <c r="OK30" s="11"/>
      <c r="OL30" s="11"/>
      <c r="OM30" s="11"/>
      <c r="ON30" s="11"/>
      <c r="OO30" s="11"/>
      <c r="OP30" s="11"/>
      <c r="OQ30" s="11"/>
      <c r="OR30" s="11"/>
      <c r="OS30" s="10"/>
      <c r="OT30" s="11"/>
      <c r="OU30" s="11"/>
      <c r="OV30" s="11"/>
      <c r="OW30" s="11"/>
      <c r="OX30" s="11"/>
      <c r="OY30" s="11"/>
      <c r="OZ30" s="11"/>
      <c r="PA30" s="11"/>
      <c r="PB30" s="11"/>
      <c r="PC30" s="11"/>
      <c r="PD30" s="10" t="s">
        <v>200</v>
      </c>
      <c r="PE30" s="11"/>
      <c r="PF30" s="11"/>
      <c r="PG30" s="11"/>
      <c r="PH30" s="11"/>
      <c r="PI30" s="11"/>
      <c r="PJ30" s="11"/>
      <c r="PK30" s="11"/>
      <c r="PL30" s="11"/>
      <c r="PM30" s="11"/>
      <c r="PN30" s="11"/>
      <c r="PO30" s="10"/>
      <c r="PP30" s="11"/>
      <c r="PQ30" s="11"/>
      <c r="PR30" s="11"/>
      <c r="PS30" s="11"/>
      <c r="PT30" s="11"/>
      <c r="PU30" s="11"/>
      <c r="PV30" s="11"/>
      <c r="PW30" s="11"/>
      <c r="PX30" s="11"/>
      <c r="PY30" s="11"/>
      <c r="PZ30" s="10" t="s">
        <v>200</v>
      </c>
      <c r="QA30" s="11"/>
      <c r="QB30" s="11"/>
      <c r="QC30" s="11"/>
      <c r="QD30" s="11"/>
      <c r="QE30" s="11"/>
      <c r="QF30" s="11"/>
      <c r="QG30" s="11"/>
      <c r="QH30" s="11"/>
      <c r="QI30" s="11"/>
      <c r="QJ30" s="11"/>
      <c r="QK30" s="10"/>
      <c r="QL30" s="11"/>
      <c r="QM30" s="11"/>
      <c r="QN30" s="11"/>
      <c r="QO30" s="11"/>
      <c r="QP30" s="11"/>
      <c r="QQ30" s="11"/>
      <c r="QR30" s="11"/>
      <c r="QS30" s="11"/>
      <c r="QT30" s="11"/>
      <c r="QU30" s="11"/>
      <c r="QV30" s="10" t="s">
        <v>200</v>
      </c>
      <c r="QW30" s="11"/>
      <c r="QX30" s="11"/>
      <c r="QY30" s="11"/>
      <c r="QZ30" s="11"/>
      <c r="RA30" s="11"/>
      <c r="RB30" s="11"/>
      <c r="RC30" s="11"/>
      <c r="RD30" s="11"/>
      <c r="RE30" s="11"/>
      <c r="RF30" s="11"/>
      <c r="RG30" s="10"/>
      <c r="RH30" s="11"/>
      <c r="RI30" s="11"/>
      <c r="RJ30" s="11"/>
      <c r="RK30" s="11"/>
      <c r="RL30" s="11"/>
      <c r="RM30" s="11"/>
      <c r="RN30" s="11"/>
      <c r="RO30" s="11"/>
      <c r="RP30" s="11"/>
      <c r="RQ30" s="11"/>
      <c r="RR30" s="10" t="s">
        <v>200</v>
      </c>
      <c r="RS30" s="11"/>
      <c r="RT30" s="11"/>
      <c r="RU30" s="11"/>
      <c r="RV30" s="11"/>
      <c r="RW30" s="11"/>
      <c r="RX30" s="11"/>
      <c r="RY30" s="11"/>
      <c r="RZ30" s="11"/>
      <c r="SA30" s="11"/>
      <c r="SB30" s="11"/>
      <c r="SC30" s="10"/>
      <c r="SD30" s="11"/>
      <c r="SE30" s="11"/>
      <c r="SF30" s="11"/>
      <c r="SG30" s="11"/>
      <c r="SH30" s="11"/>
      <c r="SI30" s="11"/>
      <c r="SJ30" s="11"/>
      <c r="SK30" s="11"/>
      <c r="SL30" s="11"/>
      <c r="SM30" s="11"/>
      <c r="SN30" s="10" t="s">
        <v>200</v>
      </c>
      <c r="SO30" s="11"/>
      <c r="SP30" s="11"/>
      <c r="SQ30" s="11"/>
      <c r="SR30" s="11"/>
      <c r="SS30" s="11"/>
      <c r="ST30" s="11"/>
      <c r="SU30" s="11"/>
      <c r="SV30" s="11"/>
      <c r="SW30" s="11"/>
      <c r="SX30" s="11"/>
      <c r="SY30" s="10"/>
      <c r="SZ30" s="11"/>
      <c r="TA30" s="11"/>
      <c r="TB30" s="11"/>
      <c r="TC30" s="11"/>
      <c r="TD30" s="11"/>
      <c r="TE30" s="11"/>
      <c r="TF30" s="11"/>
      <c r="TG30" s="11"/>
      <c r="TH30" s="11"/>
      <c r="TI30" s="11"/>
      <c r="TJ30" s="10" t="s">
        <v>200</v>
      </c>
      <c r="TK30" s="11"/>
      <c r="TL30" s="11"/>
      <c r="TM30" s="11"/>
      <c r="TN30" s="11"/>
      <c r="TO30" s="11"/>
      <c r="TP30" s="11"/>
      <c r="TQ30" s="11"/>
      <c r="TR30" s="11"/>
      <c r="TS30" s="11"/>
      <c r="TT30" s="11"/>
      <c r="TU30" s="10"/>
      <c r="TV30" s="11"/>
      <c r="TW30" s="11"/>
      <c r="TX30" s="11"/>
      <c r="TY30" s="11"/>
      <c r="TZ30" s="11"/>
      <c r="UA30" s="11"/>
      <c r="UB30" s="11"/>
      <c r="UC30" s="11"/>
      <c r="UD30" s="11"/>
      <c r="UE30" s="11"/>
      <c r="UF30" s="10" t="s">
        <v>200</v>
      </c>
      <c r="UG30" s="11"/>
      <c r="UH30" s="11"/>
      <c r="UI30" s="11"/>
      <c r="UJ30" s="11"/>
      <c r="UK30" s="11"/>
      <c r="UL30" s="11"/>
      <c r="UM30" s="11"/>
      <c r="UN30" s="11"/>
      <c r="UO30" s="11"/>
      <c r="UP30" s="11"/>
      <c r="UQ30" s="10"/>
      <c r="UR30" s="11"/>
      <c r="US30" s="11"/>
      <c r="UT30" s="11"/>
      <c r="UU30" s="11"/>
      <c r="UV30" s="11"/>
      <c r="UW30" s="11"/>
      <c r="UX30" s="11"/>
      <c r="UY30" s="11"/>
      <c r="UZ30" s="11"/>
      <c r="VA30" s="11"/>
      <c r="VB30" s="10" t="s">
        <v>200</v>
      </c>
      <c r="VC30" s="11"/>
      <c r="VD30" s="11"/>
      <c r="VE30" s="11"/>
      <c r="VF30" s="11"/>
      <c r="VG30" s="11"/>
      <c r="VH30" s="11"/>
      <c r="VI30" s="11"/>
      <c r="VJ30" s="11"/>
      <c r="VK30" s="11"/>
      <c r="VL30" s="11"/>
      <c r="VM30" s="10"/>
      <c r="VN30" s="11"/>
      <c r="VO30" s="11"/>
      <c r="VP30" s="11"/>
      <c r="VQ30" s="11"/>
      <c r="VR30" s="11"/>
      <c r="VS30" s="11"/>
      <c r="VT30" s="11"/>
      <c r="VU30" s="11"/>
      <c r="VV30" s="11"/>
      <c r="VW30" s="11"/>
      <c r="VX30" s="10" t="s">
        <v>200</v>
      </c>
      <c r="VY30" s="11"/>
      <c r="VZ30" s="11"/>
      <c r="WA30" s="11"/>
      <c r="WB30" s="11"/>
      <c r="WC30" s="11"/>
      <c r="WD30" s="11"/>
      <c r="WE30" s="11"/>
      <c r="WF30" s="11"/>
      <c r="WG30" s="11"/>
      <c r="WH30" s="11"/>
      <c r="WI30" s="10"/>
      <c r="WJ30" s="11"/>
      <c r="WK30" s="11"/>
      <c r="WL30" s="11"/>
      <c r="WM30" s="11"/>
      <c r="WN30" s="11"/>
      <c r="WO30" s="11"/>
      <c r="WP30" s="11"/>
      <c r="WQ30" s="11"/>
      <c r="WR30" s="11"/>
      <c r="WS30" s="11"/>
      <c r="WT30" s="10" t="s">
        <v>200</v>
      </c>
      <c r="WU30" s="11"/>
      <c r="WV30" s="11"/>
      <c r="WW30" s="11"/>
      <c r="WX30" s="11"/>
      <c r="WY30" s="11"/>
      <c r="WZ30" s="11"/>
      <c r="XA30" s="11"/>
      <c r="XB30" s="11"/>
      <c r="XC30" s="11"/>
      <c r="XD30" s="11"/>
      <c r="XE30" s="10"/>
      <c r="XF30" s="11"/>
      <c r="XG30" s="11"/>
      <c r="XH30" s="11"/>
      <c r="XI30" s="11"/>
      <c r="XJ30" s="11"/>
      <c r="XK30" s="11"/>
      <c r="XL30" s="11"/>
      <c r="XM30" s="11"/>
      <c r="XN30" s="11"/>
      <c r="XO30" s="11"/>
      <c r="XP30" s="10" t="s">
        <v>200</v>
      </c>
      <c r="XQ30" s="11"/>
      <c r="XR30" s="11"/>
      <c r="XS30" s="11"/>
      <c r="XT30" s="11"/>
      <c r="XU30" s="11"/>
      <c r="XV30" s="11"/>
      <c r="XW30" s="11"/>
      <c r="XX30" s="11"/>
      <c r="XY30" s="11"/>
      <c r="XZ30" s="11"/>
      <c r="YA30" s="10"/>
      <c r="YB30" s="11"/>
      <c r="YC30" s="11"/>
      <c r="YD30" s="11"/>
      <c r="YE30" s="11"/>
      <c r="YF30" s="11"/>
      <c r="YG30" s="11"/>
      <c r="YH30" s="11"/>
      <c r="YI30" s="11"/>
      <c r="YJ30" s="11"/>
      <c r="YK30" s="11"/>
      <c r="YL30" s="10" t="s">
        <v>200</v>
      </c>
      <c r="YM30" s="11"/>
      <c r="YN30" s="11"/>
      <c r="YO30" s="11"/>
      <c r="YP30" s="11"/>
      <c r="YQ30" s="11"/>
      <c r="YR30" s="11"/>
      <c r="YS30" s="11"/>
      <c r="YT30" s="11"/>
      <c r="YU30" s="11"/>
      <c r="YV30" s="11"/>
      <c r="YW30" s="10"/>
      <c r="YX30" s="11"/>
      <c r="YY30" s="11"/>
      <c r="YZ30" s="11"/>
      <c r="ZA30" s="11"/>
      <c r="ZB30" s="11"/>
      <c r="ZC30" s="11"/>
      <c r="ZD30" s="11"/>
      <c r="ZE30" s="11"/>
      <c r="ZF30" s="11"/>
      <c r="ZG30" s="11"/>
      <c r="ZH30" s="10" t="s">
        <v>200</v>
      </c>
      <c r="ZI30" s="11"/>
      <c r="ZJ30" s="11"/>
      <c r="ZK30" s="11"/>
      <c r="ZL30" s="11"/>
      <c r="ZM30" s="11"/>
      <c r="ZN30" s="11"/>
      <c r="ZO30" s="11"/>
      <c r="ZP30" s="11"/>
      <c r="ZQ30" s="11"/>
      <c r="ZR30" s="11"/>
      <c r="ZS30" s="10"/>
      <c r="ZT30" s="11"/>
      <c r="ZU30" s="11"/>
      <c r="ZV30" s="11"/>
      <c r="ZW30" s="11"/>
      <c r="ZX30" s="11"/>
      <c r="ZY30" s="11"/>
      <c r="ZZ30" s="11"/>
      <c r="AAA30" s="11"/>
      <c r="AAB30" s="11"/>
      <c r="AAC30" s="11"/>
    </row>
    <row r="31" spans="1:705" x14ac:dyDescent="0.2">
      <c r="A31">
        <v>0</v>
      </c>
      <c r="B31">
        <v>0</v>
      </c>
      <c r="C31">
        <v>0</v>
      </c>
      <c r="D31">
        <v>0</v>
      </c>
      <c r="E31">
        <v>0</v>
      </c>
      <c r="F31">
        <v>0</v>
      </c>
      <c r="G31">
        <v>0</v>
      </c>
      <c r="H31">
        <v>0</v>
      </c>
      <c r="I31">
        <v>0</v>
      </c>
      <c r="J31">
        <v>0</v>
      </c>
      <c r="K31">
        <v>0</v>
      </c>
      <c r="L31">
        <v>0</v>
      </c>
      <c r="X31">
        <v>0</v>
      </c>
      <c r="Y31">
        <v>0</v>
      </c>
      <c r="Z31">
        <v>0</v>
      </c>
      <c r="AA31">
        <v>0</v>
      </c>
      <c r="AB31">
        <v>0</v>
      </c>
      <c r="AC31">
        <v>0</v>
      </c>
      <c r="AD31">
        <v>0</v>
      </c>
      <c r="AE31">
        <v>0</v>
      </c>
      <c r="AF31">
        <v>0</v>
      </c>
      <c r="AG31">
        <v>0</v>
      </c>
      <c r="AH31">
        <v>0</v>
      </c>
      <c r="AT31">
        <v>0</v>
      </c>
      <c r="AU31">
        <v>0</v>
      </c>
      <c r="AV31">
        <v>0</v>
      </c>
      <c r="AW31">
        <v>0</v>
      </c>
      <c r="AX31">
        <v>0</v>
      </c>
      <c r="AY31">
        <v>0</v>
      </c>
      <c r="AZ31">
        <v>0</v>
      </c>
      <c r="BA31">
        <v>0</v>
      </c>
      <c r="BB31">
        <v>0</v>
      </c>
      <c r="BC31">
        <v>0</v>
      </c>
      <c r="BD31">
        <v>0</v>
      </c>
      <c r="BP31">
        <v>0</v>
      </c>
      <c r="BQ31">
        <v>0</v>
      </c>
      <c r="BR31">
        <v>0</v>
      </c>
      <c r="BS31">
        <v>0</v>
      </c>
      <c r="BT31">
        <v>0</v>
      </c>
      <c r="BU31">
        <v>0</v>
      </c>
      <c r="BV31">
        <v>0</v>
      </c>
      <c r="BW31">
        <v>0</v>
      </c>
      <c r="BX31">
        <v>0</v>
      </c>
      <c r="BY31">
        <v>0</v>
      </c>
      <c r="BZ31">
        <v>0</v>
      </c>
      <c r="CL31">
        <v>0</v>
      </c>
      <c r="CM31">
        <v>0</v>
      </c>
      <c r="CN31">
        <v>0</v>
      </c>
      <c r="CO31">
        <v>0</v>
      </c>
      <c r="CP31">
        <v>0</v>
      </c>
      <c r="CQ31">
        <v>0</v>
      </c>
      <c r="CR31">
        <v>0</v>
      </c>
      <c r="CS31">
        <v>0</v>
      </c>
      <c r="CT31">
        <v>0</v>
      </c>
      <c r="CU31">
        <v>0</v>
      </c>
      <c r="CV31">
        <v>0</v>
      </c>
      <c r="DH31">
        <v>0</v>
      </c>
      <c r="DI31">
        <v>0</v>
      </c>
      <c r="DJ31">
        <v>0</v>
      </c>
      <c r="DK31">
        <v>0</v>
      </c>
      <c r="DL31">
        <v>0</v>
      </c>
      <c r="DM31">
        <v>0</v>
      </c>
      <c r="DN31">
        <v>0</v>
      </c>
      <c r="DO31">
        <v>0</v>
      </c>
      <c r="DP31">
        <v>0</v>
      </c>
      <c r="DQ31">
        <v>0</v>
      </c>
      <c r="DR31">
        <v>0</v>
      </c>
      <c r="ED31">
        <v>0</v>
      </c>
      <c r="EE31">
        <v>0</v>
      </c>
      <c r="EF31">
        <v>0</v>
      </c>
      <c r="EG31">
        <v>0</v>
      </c>
      <c r="EH31">
        <v>0</v>
      </c>
      <c r="EI31">
        <v>0</v>
      </c>
      <c r="EJ31">
        <v>0</v>
      </c>
      <c r="EK31">
        <v>0</v>
      </c>
      <c r="EL31">
        <v>0</v>
      </c>
      <c r="EM31">
        <v>0</v>
      </c>
      <c r="EN31">
        <v>0</v>
      </c>
      <c r="EZ31">
        <v>0</v>
      </c>
      <c r="FA31">
        <v>0</v>
      </c>
      <c r="FB31">
        <v>0</v>
      </c>
      <c r="FC31">
        <v>0</v>
      </c>
      <c r="FD31">
        <v>0</v>
      </c>
      <c r="FE31">
        <v>0</v>
      </c>
      <c r="FF31">
        <v>0</v>
      </c>
      <c r="FG31">
        <v>0</v>
      </c>
      <c r="FH31">
        <v>0</v>
      </c>
      <c r="FI31">
        <v>0</v>
      </c>
      <c r="FJ31">
        <v>0</v>
      </c>
      <c r="FV31">
        <v>0</v>
      </c>
      <c r="FW31">
        <v>0</v>
      </c>
      <c r="FX31">
        <v>0</v>
      </c>
      <c r="FY31">
        <v>0</v>
      </c>
      <c r="FZ31">
        <v>0</v>
      </c>
      <c r="GA31">
        <v>0</v>
      </c>
      <c r="GB31">
        <v>0</v>
      </c>
      <c r="GC31">
        <v>0</v>
      </c>
      <c r="GD31">
        <v>0</v>
      </c>
      <c r="GE31">
        <v>0</v>
      </c>
      <c r="GF31">
        <v>0</v>
      </c>
      <c r="GR31">
        <v>0</v>
      </c>
      <c r="GS31">
        <v>0</v>
      </c>
      <c r="GT31">
        <v>0</v>
      </c>
      <c r="GU31">
        <v>0</v>
      </c>
      <c r="GV31">
        <v>0</v>
      </c>
      <c r="GW31">
        <v>0</v>
      </c>
      <c r="GX31">
        <v>0</v>
      </c>
      <c r="GY31">
        <v>0</v>
      </c>
      <c r="GZ31">
        <v>0</v>
      </c>
      <c r="HA31">
        <v>0</v>
      </c>
      <c r="HB31">
        <v>0</v>
      </c>
      <c r="HN31">
        <v>0</v>
      </c>
      <c r="HO31">
        <v>0</v>
      </c>
      <c r="HP31">
        <v>0</v>
      </c>
      <c r="HQ31">
        <v>0</v>
      </c>
      <c r="HR31">
        <v>0</v>
      </c>
      <c r="HS31">
        <v>0</v>
      </c>
      <c r="HT31">
        <v>0</v>
      </c>
      <c r="HU31">
        <v>0</v>
      </c>
      <c r="HV31">
        <v>0</v>
      </c>
      <c r="HW31">
        <v>0</v>
      </c>
      <c r="HX31">
        <v>0</v>
      </c>
      <c r="IJ31">
        <v>0</v>
      </c>
      <c r="IK31">
        <v>0</v>
      </c>
      <c r="IL31">
        <v>0</v>
      </c>
      <c r="IM31">
        <v>0</v>
      </c>
      <c r="IN31">
        <v>0</v>
      </c>
      <c r="IO31">
        <v>0</v>
      </c>
      <c r="IP31">
        <v>0</v>
      </c>
      <c r="IQ31">
        <v>0</v>
      </c>
      <c r="IR31">
        <v>0</v>
      </c>
      <c r="IS31">
        <v>0</v>
      </c>
      <c r="IT31">
        <v>0</v>
      </c>
      <c r="JF31">
        <v>0</v>
      </c>
      <c r="JG31">
        <v>0</v>
      </c>
      <c r="JH31">
        <v>0</v>
      </c>
      <c r="JI31">
        <v>0</v>
      </c>
      <c r="JJ31">
        <v>0</v>
      </c>
      <c r="JK31">
        <v>0</v>
      </c>
      <c r="JL31">
        <v>0</v>
      </c>
      <c r="JM31">
        <v>0</v>
      </c>
      <c r="JN31">
        <v>0</v>
      </c>
      <c r="JO31">
        <v>0</v>
      </c>
      <c r="JP31">
        <v>0</v>
      </c>
      <c r="KB31">
        <v>0</v>
      </c>
      <c r="KC31">
        <v>0</v>
      </c>
      <c r="KD31">
        <v>0</v>
      </c>
      <c r="KE31">
        <v>0</v>
      </c>
      <c r="KF31">
        <v>0</v>
      </c>
      <c r="KG31">
        <v>0</v>
      </c>
      <c r="KH31">
        <v>0</v>
      </c>
      <c r="KI31">
        <v>0</v>
      </c>
      <c r="KJ31">
        <v>0</v>
      </c>
      <c r="KK31">
        <v>0</v>
      </c>
      <c r="KL31">
        <v>0</v>
      </c>
      <c r="KX31">
        <v>0</v>
      </c>
      <c r="KY31">
        <v>0</v>
      </c>
      <c r="KZ31">
        <v>0</v>
      </c>
      <c r="LA31">
        <v>0</v>
      </c>
      <c r="LB31">
        <v>0</v>
      </c>
      <c r="LC31">
        <v>0</v>
      </c>
      <c r="LD31">
        <v>0</v>
      </c>
      <c r="LE31">
        <v>0</v>
      </c>
      <c r="LF31">
        <v>0</v>
      </c>
      <c r="LG31">
        <v>0</v>
      </c>
      <c r="LH31">
        <v>0</v>
      </c>
      <c r="LT31">
        <v>0</v>
      </c>
      <c r="LU31">
        <v>0</v>
      </c>
      <c r="LV31">
        <v>0</v>
      </c>
      <c r="LW31">
        <v>0</v>
      </c>
      <c r="LX31">
        <v>0</v>
      </c>
      <c r="LY31">
        <v>0</v>
      </c>
      <c r="LZ31">
        <v>0</v>
      </c>
      <c r="MA31">
        <v>0</v>
      </c>
      <c r="MB31">
        <v>0</v>
      </c>
      <c r="MC31">
        <v>0</v>
      </c>
      <c r="MD31">
        <v>0</v>
      </c>
      <c r="MP31">
        <v>0</v>
      </c>
      <c r="MQ31">
        <v>0</v>
      </c>
      <c r="MR31">
        <v>0</v>
      </c>
      <c r="MS31">
        <v>0</v>
      </c>
      <c r="MT31">
        <v>0</v>
      </c>
      <c r="MU31">
        <v>0</v>
      </c>
      <c r="MV31">
        <v>0</v>
      </c>
      <c r="MW31">
        <v>0</v>
      </c>
      <c r="MX31">
        <v>0</v>
      </c>
      <c r="MY31">
        <v>0</v>
      </c>
      <c r="MZ31">
        <v>0</v>
      </c>
      <c r="NL31">
        <v>0</v>
      </c>
      <c r="NM31">
        <v>0</v>
      </c>
      <c r="NN31">
        <v>0</v>
      </c>
      <c r="NO31">
        <v>0</v>
      </c>
      <c r="NP31">
        <v>0</v>
      </c>
      <c r="NQ31">
        <v>0</v>
      </c>
      <c r="NR31">
        <v>0</v>
      </c>
      <c r="NS31">
        <v>0</v>
      </c>
      <c r="NT31">
        <v>0</v>
      </c>
      <c r="NU31">
        <v>0</v>
      </c>
      <c r="NV31">
        <v>0</v>
      </c>
      <c r="NW31" s="11"/>
      <c r="NX31" s="11"/>
      <c r="NY31" s="11"/>
      <c r="NZ31" s="11"/>
      <c r="OA31" s="11"/>
      <c r="OB31" s="11"/>
      <c r="OC31" s="11"/>
      <c r="OD31" s="11"/>
      <c r="OE31" s="11"/>
      <c r="OF31" s="11"/>
      <c r="OG31" s="11"/>
      <c r="OH31">
        <v>0</v>
      </c>
      <c r="OI31">
        <v>0</v>
      </c>
      <c r="OJ31">
        <v>0</v>
      </c>
      <c r="OK31">
        <v>0</v>
      </c>
      <c r="OL31">
        <v>0</v>
      </c>
      <c r="OM31">
        <v>0</v>
      </c>
      <c r="ON31">
        <v>0</v>
      </c>
      <c r="OO31">
        <v>0</v>
      </c>
      <c r="OP31">
        <v>0</v>
      </c>
      <c r="OQ31">
        <v>0</v>
      </c>
      <c r="OR31">
        <v>0</v>
      </c>
      <c r="OS31" s="11"/>
      <c r="OT31" s="11"/>
      <c r="OU31" s="11"/>
      <c r="OV31" s="11"/>
      <c r="OW31" s="11"/>
      <c r="OX31" s="11"/>
      <c r="OY31" s="11"/>
      <c r="OZ31" s="11"/>
      <c r="PA31" s="11"/>
      <c r="PB31" s="11"/>
      <c r="PC31" s="11"/>
      <c r="PD31">
        <v>0</v>
      </c>
      <c r="PE31">
        <v>0</v>
      </c>
      <c r="PF31">
        <v>0</v>
      </c>
      <c r="PG31">
        <v>0</v>
      </c>
      <c r="PH31">
        <v>0</v>
      </c>
      <c r="PI31">
        <v>0</v>
      </c>
      <c r="PJ31">
        <v>0</v>
      </c>
      <c r="PK31">
        <v>0</v>
      </c>
      <c r="PL31">
        <v>0</v>
      </c>
      <c r="PM31">
        <v>0</v>
      </c>
      <c r="PN31">
        <v>0</v>
      </c>
      <c r="PO31" s="11"/>
      <c r="PP31" s="11"/>
      <c r="PQ31" s="11"/>
      <c r="PR31" s="11"/>
      <c r="PS31" s="11"/>
      <c r="PT31" s="11"/>
      <c r="PU31" s="11"/>
      <c r="PV31" s="11"/>
      <c r="PW31" s="11"/>
      <c r="PX31" s="11"/>
      <c r="PY31" s="11"/>
      <c r="PZ31">
        <v>0</v>
      </c>
      <c r="QA31">
        <v>0</v>
      </c>
      <c r="QB31">
        <v>0</v>
      </c>
      <c r="QC31">
        <v>0</v>
      </c>
      <c r="QD31">
        <v>0</v>
      </c>
      <c r="QE31">
        <v>0</v>
      </c>
      <c r="QF31">
        <v>0</v>
      </c>
      <c r="QG31">
        <v>0</v>
      </c>
      <c r="QH31">
        <v>0</v>
      </c>
      <c r="QI31">
        <v>0</v>
      </c>
      <c r="QJ31">
        <v>0</v>
      </c>
      <c r="QK31" s="11"/>
      <c r="QL31" s="11"/>
      <c r="QM31" s="11"/>
      <c r="QN31" s="11"/>
      <c r="QO31" s="11"/>
      <c r="QP31" s="11"/>
      <c r="QQ31" s="11"/>
      <c r="QR31" s="11"/>
      <c r="QS31" s="11"/>
      <c r="QT31" s="11"/>
      <c r="QU31" s="11"/>
      <c r="QV31">
        <v>0</v>
      </c>
      <c r="QW31">
        <v>0</v>
      </c>
      <c r="QX31">
        <v>0</v>
      </c>
      <c r="QY31">
        <v>0</v>
      </c>
      <c r="QZ31">
        <v>0</v>
      </c>
      <c r="RA31">
        <v>0</v>
      </c>
      <c r="RB31">
        <v>0</v>
      </c>
      <c r="RC31">
        <v>0</v>
      </c>
      <c r="RD31">
        <v>0</v>
      </c>
      <c r="RE31">
        <v>0</v>
      </c>
      <c r="RF31">
        <v>0</v>
      </c>
      <c r="RG31" s="11"/>
      <c r="RH31" s="11"/>
      <c r="RI31" s="11"/>
      <c r="RJ31" s="11"/>
      <c r="RK31" s="11"/>
      <c r="RL31" s="11"/>
      <c r="RM31" s="11"/>
      <c r="RN31" s="11"/>
      <c r="RO31" s="11"/>
      <c r="RP31" s="11"/>
      <c r="RQ31" s="11"/>
      <c r="RR31">
        <v>0</v>
      </c>
      <c r="RS31">
        <v>0</v>
      </c>
      <c r="RT31">
        <v>0</v>
      </c>
      <c r="RU31">
        <v>0</v>
      </c>
      <c r="RV31">
        <v>0</v>
      </c>
      <c r="RW31">
        <v>0</v>
      </c>
      <c r="RX31">
        <v>0</v>
      </c>
      <c r="RY31">
        <v>0</v>
      </c>
      <c r="RZ31">
        <v>0</v>
      </c>
      <c r="SA31">
        <v>0</v>
      </c>
      <c r="SB31">
        <v>0</v>
      </c>
      <c r="SC31" s="11"/>
      <c r="SD31" s="11"/>
      <c r="SE31" s="11"/>
      <c r="SF31" s="11"/>
      <c r="SG31" s="11"/>
      <c r="SH31" s="11"/>
      <c r="SI31" s="11"/>
      <c r="SJ31" s="11"/>
      <c r="SK31" s="11"/>
      <c r="SL31" s="11"/>
      <c r="SM31" s="11"/>
      <c r="SN31">
        <v>0</v>
      </c>
      <c r="SO31">
        <v>0</v>
      </c>
      <c r="SP31">
        <v>0</v>
      </c>
      <c r="SQ31">
        <v>0</v>
      </c>
      <c r="SR31">
        <v>0</v>
      </c>
      <c r="SS31">
        <v>0</v>
      </c>
      <c r="ST31">
        <v>0</v>
      </c>
      <c r="SU31">
        <v>0</v>
      </c>
      <c r="SV31">
        <v>0</v>
      </c>
      <c r="SW31">
        <v>0</v>
      </c>
      <c r="SX31">
        <v>0</v>
      </c>
      <c r="SY31" s="11"/>
      <c r="SZ31" s="11"/>
      <c r="TA31" s="11"/>
      <c r="TB31" s="11"/>
      <c r="TC31" s="11"/>
      <c r="TD31" s="11"/>
      <c r="TE31" s="11"/>
      <c r="TF31" s="11"/>
      <c r="TG31" s="11"/>
      <c r="TH31" s="11"/>
      <c r="TI31" s="11"/>
      <c r="TJ31">
        <v>0</v>
      </c>
      <c r="TK31">
        <v>0</v>
      </c>
      <c r="TL31">
        <v>0</v>
      </c>
      <c r="TM31">
        <v>0</v>
      </c>
      <c r="TN31">
        <v>0</v>
      </c>
      <c r="TO31">
        <v>0</v>
      </c>
      <c r="TP31">
        <v>0</v>
      </c>
      <c r="TQ31">
        <v>0</v>
      </c>
      <c r="TR31">
        <v>0</v>
      </c>
      <c r="TS31">
        <v>0</v>
      </c>
      <c r="TT31">
        <v>0</v>
      </c>
      <c r="TU31" s="11"/>
      <c r="TV31" s="11"/>
      <c r="TW31" s="11"/>
      <c r="TX31" s="11"/>
      <c r="TY31" s="11"/>
      <c r="TZ31" s="11"/>
      <c r="UA31" s="11"/>
      <c r="UB31" s="11"/>
      <c r="UC31" s="11"/>
      <c r="UD31" s="11"/>
      <c r="UE31" s="11"/>
      <c r="UF31">
        <v>0</v>
      </c>
      <c r="UG31">
        <v>0</v>
      </c>
      <c r="UH31">
        <v>0</v>
      </c>
      <c r="UI31">
        <v>0</v>
      </c>
      <c r="UJ31">
        <v>0</v>
      </c>
      <c r="UK31">
        <v>0</v>
      </c>
      <c r="UL31">
        <v>0</v>
      </c>
      <c r="UM31">
        <v>0</v>
      </c>
      <c r="UN31">
        <v>0</v>
      </c>
      <c r="UO31">
        <v>0</v>
      </c>
      <c r="UP31">
        <v>0</v>
      </c>
      <c r="UQ31" s="11"/>
      <c r="UR31" s="11"/>
      <c r="US31" s="11"/>
      <c r="UT31" s="11"/>
      <c r="UU31" s="11"/>
      <c r="UV31" s="11"/>
      <c r="UW31" s="11"/>
      <c r="UX31" s="11"/>
      <c r="UY31" s="11"/>
      <c r="UZ31" s="11"/>
      <c r="VA31" s="11"/>
      <c r="VB31">
        <v>0</v>
      </c>
      <c r="VC31">
        <v>0</v>
      </c>
      <c r="VD31">
        <v>0</v>
      </c>
      <c r="VE31">
        <v>0</v>
      </c>
      <c r="VF31">
        <v>0</v>
      </c>
      <c r="VG31">
        <v>0</v>
      </c>
      <c r="VH31">
        <v>0</v>
      </c>
      <c r="VI31">
        <v>0</v>
      </c>
      <c r="VJ31">
        <v>0</v>
      </c>
      <c r="VK31">
        <v>0</v>
      </c>
      <c r="VL31">
        <v>0</v>
      </c>
      <c r="VM31" s="11"/>
      <c r="VN31" s="11"/>
      <c r="VO31" s="11"/>
      <c r="VP31" s="11"/>
      <c r="VQ31" s="11"/>
      <c r="VR31" s="11"/>
      <c r="VS31" s="11"/>
      <c r="VT31" s="11"/>
      <c r="VU31" s="11"/>
      <c r="VV31" s="11"/>
      <c r="VW31" s="11"/>
      <c r="VX31">
        <v>0</v>
      </c>
      <c r="VY31">
        <v>0</v>
      </c>
      <c r="VZ31">
        <v>0</v>
      </c>
      <c r="WA31">
        <v>0</v>
      </c>
      <c r="WB31">
        <v>0</v>
      </c>
      <c r="WC31">
        <v>0</v>
      </c>
      <c r="WD31">
        <v>0</v>
      </c>
      <c r="WE31">
        <v>0</v>
      </c>
      <c r="WF31">
        <v>0</v>
      </c>
      <c r="WG31">
        <v>0</v>
      </c>
      <c r="WH31">
        <v>0</v>
      </c>
      <c r="WI31" s="11"/>
      <c r="WJ31" s="11"/>
      <c r="WK31" s="11"/>
      <c r="WL31" s="11"/>
      <c r="WM31" s="11"/>
      <c r="WN31" s="11"/>
      <c r="WO31" s="11"/>
      <c r="WP31" s="11"/>
      <c r="WQ31" s="11"/>
      <c r="WR31" s="11"/>
      <c r="WS31" s="11"/>
      <c r="WT31">
        <v>0</v>
      </c>
      <c r="WU31">
        <v>0</v>
      </c>
      <c r="WV31">
        <v>0</v>
      </c>
      <c r="WW31">
        <v>0</v>
      </c>
      <c r="WX31">
        <v>0</v>
      </c>
      <c r="WY31">
        <v>0</v>
      </c>
      <c r="WZ31">
        <v>0</v>
      </c>
      <c r="XA31">
        <v>0</v>
      </c>
      <c r="XB31">
        <v>0</v>
      </c>
      <c r="XC31">
        <v>0</v>
      </c>
      <c r="XD31">
        <v>0</v>
      </c>
      <c r="XE31" s="11"/>
      <c r="XF31" s="11"/>
      <c r="XG31" s="11"/>
      <c r="XH31" s="11"/>
      <c r="XI31" s="11"/>
      <c r="XJ31" s="11"/>
      <c r="XK31" s="11"/>
      <c r="XL31" s="11"/>
      <c r="XM31" s="11"/>
      <c r="XN31" s="11"/>
      <c r="XO31" s="11"/>
      <c r="XP31">
        <v>0</v>
      </c>
      <c r="XQ31">
        <v>0</v>
      </c>
      <c r="XR31">
        <v>0</v>
      </c>
      <c r="XS31">
        <v>0</v>
      </c>
      <c r="XT31">
        <v>0</v>
      </c>
      <c r="XU31">
        <v>0</v>
      </c>
      <c r="XV31">
        <v>0</v>
      </c>
      <c r="XW31">
        <v>0</v>
      </c>
      <c r="XX31">
        <v>0</v>
      </c>
      <c r="XY31">
        <v>0</v>
      </c>
      <c r="XZ31">
        <v>0</v>
      </c>
      <c r="YA31" s="11"/>
      <c r="YB31" s="11"/>
      <c r="YC31" s="11"/>
      <c r="YD31" s="11"/>
      <c r="YE31" s="11"/>
      <c r="YF31" s="11"/>
      <c r="YG31" s="11"/>
      <c r="YH31" s="11"/>
      <c r="YI31" s="11"/>
      <c r="YJ31" s="11"/>
      <c r="YK31" s="11"/>
      <c r="YL31">
        <v>0</v>
      </c>
      <c r="YM31">
        <v>0</v>
      </c>
      <c r="YN31">
        <v>0</v>
      </c>
      <c r="YO31">
        <v>0</v>
      </c>
      <c r="YP31">
        <v>0</v>
      </c>
      <c r="YQ31">
        <v>0</v>
      </c>
      <c r="YR31">
        <v>0</v>
      </c>
      <c r="YS31">
        <v>0</v>
      </c>
      <c r="YT31">
        <v>0</v>
      </c>
      <c r="YU31">
        <v>0</v>
      </c>
      <c r="YV31">
        <v>0</v>
      </c>
      <c r="YW31" s="11"/>
      <c r="YX31" s="11"/>
      <c r="YY31" s="11"/>
      <c r="YZ31" s="11"/>
      <c r="ZA31" s="11"/>
      <c r="ZB31" s="11"/>
      <c r="ZC31" s="11"/>
      <c r="ZD31" s="11"/>
      <c r="ZE31" s="11"/>
      <c r="ZF31" s="11"/>
      <c r="ZG31" s="11"/>
      <c r="ZH31">
        <v>0</v>
      </c>
      <c r="ZI31">
        <v>0</v>
      </c>
      <c r="ZJ31">
        <v>0</v>
      </c>
      <c r="ZK31">
        <v>0</v>
      </c>
      <c r="ZL31">
        <v>0</v>
      </c>
      <c r="ZM31">
        <v>0</v>
      </c>
      <c r="ZN31">
        <v>0</v>
      </c>
      <c r="ZO31">
        <v>0</v>
      </c>
      <c r="ZP31">
        <v>0</v>
      </c>
      <c r="ZQ31">
        <v>0</v>
      </c>
      <c r="ZR31">
        <v>0</v>
      </c>
      <c r="ZS31" s="11"/>
      <c r="ZT31" s="11"/>
      <c r="ZU31" s="11"/>
      <c r="ZV31" s="11"/>
      <c r="ZW31" s="11"/>
      <c r="ZX31" s="11"/>
      <c r="ZY31" s="11"/>
      <c r="ZZ31" s="11"/>
      <c r="AAA31" s="11"/>
      <c r="AAB31" s="11"/>
      <c r="AAC31" s="11"/>
    </row>
    <row r="32" spans="1:705" x14ac:dyDescent="0.2">
      <c r="A32">
        <v>1</v>
      </c>
      <c r="B32">
        <v>0</v>
      </c>
      <c r="C32">
        <v>0</v>
      </c>
      <c r="D32">
        <v>0</v>
      </c>
      <c r="E32">
        <v>0</v>
      </c>
      <c r="F32">
        <v>0</v>
      </c>
      <c r="G32">
        <v>0</v>
      </c>
      <c r="H32">
        <v>0</v>
      </c>
      <c r="I32">
        <v>0</v>
      </c>
      <c r="J32">
        <v>0</v>
      </c>
      <c r="K32">
        <v>0</v>
      </c>
      <c r="L32">
        <v>0</v>
      </c>
      <c r="X32">
        <v>0</v>
      </c>
      <c r="Y32">
        <v>0</v>
      </c>
      <c r="Z32">
        <v>0</v>
      </c>
      <c r="AA32">
        <v>0</v>
      </c>
      <c r="AB32">
        <v>0</v>
      </c>
      <c r="AC32">
        <v>0</v>
      </c>
      <c r="AD32">
        <v>0</v>
      </c>
      <c r="AE32">
        <v>0</v>
      </c>
      <c r="AF32">
        <v>0</v>
      </c>
      <c r="AG32">
        <v>0</v>
      </c>
      <c r="AH32">
        <v>0</v>
      </c>
      <c r="AT32">
        <v>0</v>
      </c>
      <c r="AU32">
        <v>0</v>
      </c>
      <c r="AV32">
        <v>0</v>
      </c>
      <c r="AW32">
        <v>0</v>
      </c>
      <c r="AX32">
        <v>0</v>
      </c>
      <c r="AY32">
        <v>0</v>
      </c>
      <c r="AZ32">
        <v>0</v>
      </c>
      <c r="BA32">
        <v>0</v>
      </c>
      <c r="BB32">
        <v>0</v>
      </c>
      <c r="BC32">
        <v>0</v>
      </c>
      <c r="BD32">
        <v>0</v>
      </c>
      <c r="BP32">
        <v>0</v>
      </c>
      <c r="BQ32">
        <v>0</v>
      </c>
      <c r="BR32">
        <v>0</v>
      </c>
      <c r="BS32">
        <v>0</v>
      </c>
      <c r="BT32">
        <v>0</v>
      </c>
      <c r="BU32">
        <v>0</v>
      </c>
      <c r="BV32">
        <v>0</v>
      </c>
      <c r="BW32">
        <v>0</v>
      </c>
      <c r="BX32">
        <v>0</v>
      </c>
      <c r="BY32">
        <v>0</v>
      </c>
      <c r="BZ32">
        <v>0</v>
      </c>
      <c r="CL32">
        <v>0</v>
      </c>
      <c r="CM32">
        <v>0</v>
      </c>
      <c r="CN32">
        <v>0</v>
      </c>
      <c r="CO32">
        <v>0</v>
      </c>
      <c r="CP32">
        <v>0</v>
      </c>
      <c r="CQ32">
        <v>0</v>
      </c>
      <c r="CR32">
        <v>0</v>
      </c>
      <c r="CS32">
        <v>0</v>
      </c>
      <c r="CT32">
        <v>0</v>
      </c>
      <c r="CU32">
        <v>0</v>
      </c>
      <c r="CV32">
        <v>0</v>
      </c>
      <c r="DH32">
        <v>0</v>
      </c>
      <c r="DI32">
        <v>0</v>
      </c>
      <c r="DJ32">
        <v>0</v>
      </c>
      <c r="DK32">
        <v>0</v>
      </c>
      <c r="DL32">
        <v>0</v>
      </c>
      <c r="DM32">
        <v>0</v>
      </c>
      <c r="DN32">
        <v>0</v>
      </c>
      <c r="DO32">
        <v>0</v>
      </c>
      <c r="DP32">
        <v>0</v>
      </c>
      <c r="DQ32">
        <v>0</v>
      </c>
      <c r="DR32">
        <v>0</v>
      </c>
      <c r="ED32">
        <v>0</v>
      </c>
      <c r="EE32">
        <v>0</v>
      </c>
      <c r="EF32">
        <v>0</v>
      </c>
      <c r="EG32">
        <v>0</v>
      </c>
      <c r="EH32">
        <v>0</v>
      </c>
      <c r="EI32">
        <v>0</v>
      </c>
      <c r="EJ32">
        <v>0</v>
      </c>
      <c r="EK32">
        <v>0</v>
      </c>
      <c r="EL32">
        <v>0</v>
      </c>
      <c r="EM32">
        <v>0</v>
      </c>
      <c r="EN32">
        <v>0</v>
      </c>
      <c r="EZ32">
        <v>0</v>
      </c>
      <c r="FA32">
        <v>0</v>
      </c>
      <c r="FB32">
        <v>0</v>
      </c>
      <c r="FC32">
        <v>0</v>
      </c>
      <c r="FD32">
        <v>0</v>
      </c>
      <c r="FE32">
        <v>0</v>
      </c>
      <c r="FF32">
        <v>0</v>
      </c>
      <c r="FG32">
        <v>0</v>
      </c>
      <c r="FH32">
        <v>0</v>
      </c>
      <c r="FI32">
        <v>0</v>
      </c>
      <c r="FJ32">
        <v>0</v>
      </c>
      <c r="FV32">
        <v>0</v>
      </c>
      <c r="FW32">
        <v>0</v>
      </c>
      <c r="FX32">
        <v>0</v>
      </c>
      <c r="FY32">
        <v>0</v>
      </c>
      <c r="FZ32">
        <v>0</v>
      </c>
      <c r="GA32">
        <v>0</v>
      </c>
      <c r="GB32">
        <v>0</v>
      </c>
      <c r="GC32">
        <v>0</v>
      </c>
      <c r="GD32">
        <v>0</v>
      </c>
      <c r="GE32">
        <v>0</v>
      </c>
      <c r="GF32">
        <v>0</v>
      </c>
      <c r="GR32">
        <v>0</v>
      </c>
      <c r="GS32">
        <v>0</v>
      </c>
      <c r="GT32">
        <v>0</v>
      </c>
      <c r="GU32">
        <v>0</v>
      </c>
      <c r="GV32">
        <v>0</v>
      </c>
      <c r="GW32">
        <v>0</v>
      </c>
      <c r="GX32">
        <v>0</v>
      </c>
      <c r="GY32">
        <v>0</v>
      </c>
      <c r="GZ32">
        <v>0</v>
      </c>
      <c r="HA32">
        <v>0</v>
      </c>
      <c r="HB32">
        <v>0</v>
      </c>
      <c r="HN32">
        <v>0</v>
      </c>
      <c r="HO32">
        <v>0</v>
      </c>
      <c r="HP32">
        <v>0</v>
      </c>
      <c r="HQ32">
        <v>0</v>
      </c>
      <c r="HR32">
        <v>0</v>
      </c>
      <c r="HS32">
        <v>0</v>
      </c>
      <c r="HT32">
        <v>0</v>
      </c>
      <c r="HU32">
        <v>0</v>
      </c>
      <c r="HV32">
        <v>0</v>
      </c>
      <c r="HW32">
        <v>0</v>
      </c>
      <c r="HX32">
        <v>0</v>
      </c>
      <c r="IJ32">
        <v>0</v>
      </c>
      <c r="IK32">
        <v>0</v>
      </c>
      <c r="IL32">
        <v>0</v>
      </c>
      <c r="IM32">
        <v>0</v>
      </c>
      <c r="IN32">
        <v>0</v>
      </c>
      <c r="IO32">
        <v>0</v>
      </c>
      <c r="IP32">
        <v>0</v>
      </c>
      <c r="IQ32">
        <v>0</v>
      </c>
      <c r="IR32">
        <v>0</v>
      </c>
      <c r="IS32">
        <v>0</v>
      </c>
      <c r="IT32">
        <v>0</v>
      </c>
      <c r="JF32">
        <v>0</v>
      </c>
      <c r="JG32">
        <v>0</v>
      </c>
      <c r="JH32">
        <v>0</v>
      </c>
      <c r="JI32">
        <v>0</v>
      </c>
      <c r="JJ32">
        <v>0</v>
      </c>
      <c r="JK32">
        <v>0</v>
      </c>
      <c r="JL32">
        <v>0</v>
      </c>
      <c r="JM32">
        <v>0</v>
      </c>
      <c r="JN32">
        <v>0</v>
      </c>
      <c r="JO32">
        <v>0</v>
      </c>
      <c r="JP32">
        <v>0</v>
      </c>
      <c r="KB32">
        <v>0</v>
      </c>
      <c r="KC32">
        <v>0</v>
      </c>
      <c r="KD32">
        <v>0</v>
      </c>
      <c r="KE32">
        <v>0</v>
      </c>
      <c r="KF32">
        <v>0</v>
      </c>
      <c r="KG32">
        <v>0</v>
      </c>
      <c r="KH32">
        <v>0</v>
      </c>
      <c r="KI32">
        <v>0</v>
      </c>
      <c r="KJ32">
        <v>0</v>
      </c>
      <c r="KK32">
        <v>0</v>
      </c>
      <c r="KL32">
        <v>0</v>
      </c>
      <c r="KX32">
        <v>0</v>
      </c>
      <c r="KY32">
        <v>0</v>
      </c>
      <c r="KZ32">
        <v>0</v>
      </c>
      <c r="LA32">
        <v>0</v>
      </c>
      <c r="LB32">
        <v>0</v>
      </c>
      <c r="LC32">
        <v>0</v>
      </c>
      <c r="LD32">
        <v>0</v>
      </c>
      <c r="LE32">
        <v>0</v>
      </c>
      <c r="LF32">
        <v>0</v>
      </c>
      <c r="LG32">
        <v>0</v>
      </c>
      <c r="LH32">
        <v>0</v>
      </c>
      <c r="LT32">
        <v>0</v>
      </c>
      <c r="LU32">
        <v>0</v>
      </c>
      <c r="LV32">
        <v>0</v>
      </c>
      <c r="LW32">
        <v>0</v>
      </c>
      <c r="LX32">
        <v>0</v>
      </c>
      <c r="LY32">
        <v>0</v>
      </c>
      <c r="LZ32">
        <v>0</v>
      </c>
      <c r="MA32">
        <v>0</v>
      </c>
      <c r="MB32">
        <v>0</v>
      </c>
      <c r="MC32">
        <v>0</v>
      </c>
      <c r="MD32">
        <v>0</v>
      </c>
      <c r="MP32">
        <v>0</v>
      </c>
      <c r="MQ32">
        <v>0</v>
      </c>
      <c r="MR32">
        <v>0</v>
      </c>
      <c r="MS32">
        <v>0</v>
      </c>
      <c r="MT32">
        <v>0</v>
      </c>
      <c r="MU32">
        <v>0</v>
      </c>
      <c r="MV32">
        <v>0</v>
      </c>
      <c r="MW32">
        <v>0</v>
      </c>
      <c r="MX32">
        <v>0</v>
      </c>
      <c r="MY32">
        <v>0</v>
      </c>
      <c r="MZ32">
        <v>0</v>
      </c>
      <c r="NL32">
        <v>0</v>
      </c>
      <c r="NM32">
        <v>0</v>
      </c>
      <c r="NN32">
        <v>0</v>
      </c>
      <c r="NO32">
        <v>0</v>
      </c>
      <c r="NP32">
        <v>0</v>
      </c>
      <c r="NQ32">
        <v>0</v>
      </c>
      <c r="NR32">
        <v>0</v>
      </c>
      <c r="NS32">
        <v>0</v>
      </c>
      <c r="NT32">
        <v>0</v>
      </c>
      <c r="NU32">
        <v>0</v>
      </c>
      <c r="NV32">
        <v>0</v>
      </c>
      <c r="NW32" s="11"/>
      <c r="NX32" s="11"/>
      <c r="NY32" s="11"/>
      <c r="NZ32" s="11"/>
      <c r="OA32" s="11"/>
      <c r="OB32" s="11"/>
      <c r="OC32" s="11"/>
      <c r="OD32" s="11"/>
      <c r="OE32" s="11"/>
      <c r="OF32" s="11"/>
      <c r="OG32" s="11"/>
      <c r="OH32">
        <v>0</v>
      </c>
      <c r="OI32">
        <v>0</v>
      </c>
      <c r="OJ32">
        <v>0</v>
      </c>
      <c r="OK32">
        <v>0</v>
      </c>
      <c r="OL32">
        <v>0</v>
      </c>
      <c r="OM32">
        <v>0</v>
      </c>
      <c r="ON32">
        <v>0</v>
      </c>
      <c r="OO32">
        <v>0</v>
      </c>
      <c r="OP32">
        <v>0</v>
      </c>
      <c r="OQ32">
        <v>0</v>
      </c>
      <c r="OR32">
        <v>0</v>
      </c>
      <c r="OS32" s="11"/>
      <c r="OT32" s="11"/>
      <c r="OU32" s="11"/>
      <c r="OV32" s="11"/>
      <c r="OW32" s="11"/>
      <c r="OX32" s="11"/>
      <c r="OY32" s="11"/>
      <c r="OZ32" s="11"/>
      <c r="PA32" s="11"/>
      <c r="PB32" s="11"/>
      <c r="PC32" s="11"/>
      <c r="PD32">
        <v>0</v>
      </c>
      <c r="PE32">
        <v>0</v>
      </c>
      <c r="PF32">
        <v>0</v>
      </c>
      <c r="PG32">
        <v>0</v>
      </c>
      <c r="PH32">
        <v>0</v>
      </c>
      <c r="PI32">
        <v>0</v>
      </c>
      <c r="PJ32">
        <v>0</v>
      </c>
      <c r="PK32">
        <v>0</v>
      </c>
      <c r="PL32">
        <v>0</v>
      </c>
      <c r="PM32">
        <v>0</v>
      </c>
      <c r="PN32">
        <v>0</v>
      </c>
      <c r="PO32" s="11"/>
      <c r="PP32" s="11"/>
      <c r="PQ32" s="11"/>
      <c r="PR32" s="11"/>
      <c r="PS32" s="11"/>
      <c r="PT32" s="11"/>
      <c r="PU32" s="11"/>
      <c r="PV32" s="11"/>
      <c r="PW32" s="11"/>
      <c r="PX32" s="11"/>
      <c r="PY32" s="11"/>
      <c r="PZ32">
        <v>0</v>
      </c>
      <c r="QA32">
        <v>0</v>
      </c>
      <c r="QB32">
        <v>0</v>
      </c>
      <c r="QC32">
        <v>0</v>
      </c>
      <c r="QD32">
        <v>0</v>
      </c>
      <c r="QE32">
        <v>0</v>
      </c>
      <c r="QF32">
        <v>0</v>
      </c>
      <c r="QG32">
        <v>0</v>
      </c>
      <c r="QH32">
        <v>0</v>
      </c>
      <c r="QI32">
        <v>0</v>
      </c>
      <c r="QJ32">
        <v>0</v>
      </c>
      <c r="QK32" s="11"/>
      <c r="QL32" s="11"/>
      <c r="QM32" s="11"/>
      <c r="QN32" s="11"/>
      <c r="QO32" s="11"/>
      <c r="QP32" s="11"/>
      <c r="QQ32" s="11"/>
      <c r="QR32" s="11"/>
      <c r="QS32" s="11"/>
      <c r="QT32" s="11"/>
      <c r="QU32" s="11"/>
      <c r="QV32">
        <v>0</v>
      </c>
      <c r="QW32">
        <v>0</v>
      </c>
      <c r="QX32">
        <v>0</v>
      </c>
      <c r="QY32">
        <v>0</v>
      </c>
      <c r="QZ32">
        <v>0</v>
      </c>
      <c r="RA32">
        <v>0</v>
      </c>
      <c r="RB32">
        <v>0</v>
      </c>
      <c r="RC32">
        <v>0</v>
      </c>
      <c r="RD32">
        <v>0</v>
      </c>
      <c r="RE32">
        <v>0</v>
      </c>
      <c r="RF32">
        <v>0</v>
      </c>
      <c r="RG32" s="11"/>
      <c r="RH32" s="11"/>
      <c r="RI32" s="11"/>
      <c r="RJ32" s="11"/>
      <c r="RK32" s="11"/>
      <c r="RL32" s="11"/>
      <c r="RM32" s="11"/>
      <c r="RN32" s="11"/>
      <c r="RO32" s="11"/>
      <c r="RP32" s="11"/>
      <c r="RQ32" s="11"/>
      <c r="RR32">
        <v>0</v>
      </c>
      <c r="RS32">
        <v>0</v>
      </c>
      <c r="RT32">
        <v>0</v>
      </c>
      <c r="RU32">
        <v>0</v>
      </c>
      <c r="RV32">
        <v>0</v>
      </c>
      <c r="RW32">
        <v>0</v>
      </c>
      <c r="RX32">
        <v>0</v>
      </c>
      <c r="RY32">
        <v>0</v>
      </c>
      <c r="RZ32">
        <v>0</v>
      </c>
      <c r="SA32">
        <v>0</v>
      </c>
      <c r="SB32">
        <v>0</v>
      </c>
      <c r="SC32" s="11"/>
      <c r="SD32" s="11"/>
      <c r="SE32" s="11"/>
      <c r="SF32" s="11"/>
      <c r="SG32" s="11"/>
      <c r="SH32" s="11"/>
      <c r="SI32" s="11"/>
      <c r="SJ32" s="11"/>
      <c r="SK32" s="11"/>
      <c r="SL32" s="11"/>
      <c r="SM32" s="11"/>
      <c r="SN32">
        <v>0</v>
      </c>
      <c r="SO32">
        <v>0</v>
      </c>
      <c r="SP32">
        <v>0</v>
      </c>
      <c r="SQ32">
        <v>0</v>
      </c>
      <c r="SR32">
        <v>0</v>
      </c>
      <c r="SS32">
        <v>0</v>
      </c>
      <c r="ST32">
        <v>0</v>
      </c>
      <c r="SU32">
        <v>0</v>
      </c>
      <c r="SV32">
        <v>0</v>
      </c>
      <c r="SW32">
        <v>0</v>
      </c>
      <c r="SX32">
        <v>0</v>
      </c>
      <c r="SY32" s="11"/>
      <c r="SZ32" s="11"/>
      <c r="TA32" s="11"/>
      <c r="TB32" s="11"/>
      <c r="TC32" s="11"/>
      <c r="TD32" s="11"/>
      <c r="TE32" s="11"/>
      <c r="TF32" s="11"/>
      <c r="TG32" s="11"/>
      <c r="TH32" s="11"/>
      <c r="TI32" s="11"/>
      <c r="TJ32">
        <v>0</v>
      </c>
      <c r="TK32">
        <v>0</v>
      </c>
      <c r="TL32">
        <v>0</v>
      </c>
      <c r="TM32">
        <v>0</v>
      </c>
      <c r="TN32">
        <v>0</v>
      </c>
      <c r="TO32">
        <v>0</v>
      </c>
      <c r="TP32">
        <v>0</v>
      </c>
      <c r="TQ32">
        <v>0</v>
      </c>
      <c r="TR32">
        <v>0</v>
      </c>
      <c r="TS32">
        <v>0</v>
      </c>
      <c r="TT32">
        <v>0</v>
      </c>
      <c r="TU32" s="11"/>
      <c r="TV32" s="11"/>
      <c r="TW32" s="11"/>
      <c r="TX32" s="11"/>
      <c r="TY32" s="11"/>
      <c r="TZ32" s="11"/>
      <c r="UA32" s="11"/>
      <c r="UB32" s="11"/>
      <c r="UC32" s="11"/>
      <c r="UD32" s="11"/>
      <c r="UE32" s="11"/>
      <c r="UF32">
        <v>0</v>
      </c>
      <c r="UG32">
        <v>0</v>
      </c>
      <c r="UH32">
        <v>0</v>
      </c>
      <c r="UI32">
        <v>0</v>
      </c>
      <c r="UJ32">
        <v>0</v>
      </c>
      <c r="UK32">
        <v>0</v>
      </c>
      <c r="UL32">
        <v>0</v>
      </c>
      <c r="UM32">
        <v>0</v>
      </c>
      <c r="UN32">
        <v>0</v>
      </c>
      <c r="UO32">
        <v>0</v>
      </c>
      <c r="UP32">
        <v>0</v>
      </c>
      <c r="UQ32" s="11"/>
      <c r="UR32" s="11"/>
      <c r="US32" s="11"/>
      <c r="UT32" s="11"/>
      <c r="UU32" s="11"/>
      <c r="UV32" s="11"/>
      <c r="UW32" s="11"/>
      <c r="UX32" s="11"/>
      <c r="UY32" s="11"/>
      <c r="UZ32" s="11"/>
      <c r="VA32" s="11"/>
      <c r="VB32">
        <v>0</v>
      </c>
      <c r="VC32">
        <v>0</v>
      </c>
      <c r="VD32">
        <v>0</v>
      </c>
      <c r="VE32">
        <v>0</v>
      </c>
      <c r="VF32">
        <v>0</v>
      </c>
      <c r="VG32">
        <v>0</v>
      </c>
      <c r="VH32">
        <v>0</v>
      </c>
      <c r="VI32">
        <v>0</v>
      </c>
      <c r="VJ32">
        <v>0</v>
      </c>
      <c r="VK32">
        <v>0</v>
      </c>
      <c r="VL32">
        <v>0</v>
      </c>
      <c r="VM32" s="11"/>
      <c r="VN32" s="11"/>
      <c r="VO32" s="11"/>
      <c r="VP32" s="11"/>
      <c r="VQ32" s="11"/>
      <c r="VR32" s="11"/>
      <c r="VS32" s="11"/>
      <c r="VT32" s="11"/>
      <c r="VU32" s="11"/>
      <c r="VV32" s="11"/>
      <c r="VW32" s="11"/>
      <c r="VX32">
        <v>0</v>
      </c>
      <c r="VY32">
        <v>0</v>
      </c>
      <c r="VZ32">
        <v>0</v>
      </c>
      <c r="WA32">
        <v>0</v>
      </c>
      <c r="WB32">
        <v>0</v>
      </c>
      <c r="WC32">
        <v>0</v>
      </c>
      <c r="WD32">
        <v>0</v>
      </c>
      <c r="WE32">
        <v>0</v>
      </c>
      <c r="WF32">
        <v>0</v>
      </c>
      <c r="WG32">
        <v>0</v>
      </c>
      <c r="WH32">
        <v>0</v>
      </c>
      <c r="WI32" s="11"/>
      <c r="WJ32" s="11"/>
      <c r="WK32" s="11"/>
      <c r="WL32" s="11"/>
      <c r="WM32" s="11"/>
      <c r="WN32" s="11"/>
      <c r="WO32" s="11"/>
      <c r="WP32" s="11"/>
      <c r="WQ32" s="11"/>
      <c r="WR32" s="11"/>
      <c r="WS32" s="11"/>
      <c r="WT32">
        <v>0</v>
      </c>
      <c r="WU32">
        <v>0</v>
      </c>
      <c r="WV32">
        <v>0</v>
      </c>
      <c r="WW32">
        <v>0</v>
      </c>
      <c r="WX32">
        <v>0</v>
      </c>
      <c r="WY32">
        <v>0</v>
      </c>
      <c r="WZ32">
        <v>0</v>
      </c>
      <c r="XA32">
        <v>0</v>
      </c>
      <c r="XB32">
        <v>0</v>
      </c>
      <c r="XC32">
        <v>0</v>
      </c>
      <c r="XD32">
        <v>0</v>
      </c>
      <c r="XE32" s="11"/>
      <c r="XF32" s="11"/>
      <c r="XG32" s="11"/>
      <c r="XH32" s="11"/>
      <c r="XI32" s="11"/>
      <c r="XJ32" s="11"/>
      <c r="XK32" s="11"/>
      <c r="XL32" s="11"/>
      <c r="XM32" s="11"/>
      <c r="XN32" s="11"/>
      <c r="XO32" s="11"/>
      <c r="XP32">
        <v>0</v>
      </c>
      <c r="XQ32">
        <v>0</v>
      </c>
      <c r="XR32">
        <v>0</v>
      </c>
      <c r="XS32">
        <v>0</v>
      </c>
      <c r="XT32">
        <v>0</v>
      </c>
      <c r="XU32">
        <v>0</v>
      </c>
      <c r="XV32">
        <v>0</v>
      </c>
      <c r="XW32">
        <v>0</v>
      </c>
      <c r="XX32">
        <v>0</v>
      </c>
      <c r="XY32">
        <v>0</v>
      </c>
      <c r="XZ32">
        <v>0</v>
      </c>
      <c r="YA32" s="11"/>
      <c r="YB32" s="11"/>
      <c r="YC32" s="11"/>
      <c r="YD32" s="11"/>
      <c r="YE32" s="11"/>
      <c r="YF32" s="11"/>
      <c r="YG32" s="11"/>
      <c r="YH32" s="11"/>
      <c r="YI32" s="11"/>
      <c r="YJ32" s="11"/>
      <c r="YK32" s="11"/>
      <c r="YL32">
        <v>0</v>
      </c>
      <c r="YM32">
        <v>0</v>
      </c>
      <c r="YN32">
        <v>0</v>
      </c>
      <c r="YO32">
        <v>0</v>
      </c>
      <c r="YP32">
        <v>0</v>
      </c>
      <c r="YQ32">
        <v>0</v>
      </c>
      <c r="YR32">
        <v>0</v>
      </c>
      <c r="YS32">
        <v>0</v>
      </c>
      <c r="YT32">
        <v>0</v>
      </c>
      <c r="YU32">
        <v>0</v>
      </c>
      <c r="YV32">
        <v>0</v>
      </c>
      <c r="YW32" s="11"/>
      <c r="YX32" s="11"/>
      <c r="YY32" s="11"/>
      <c r="YZ32" s="11"/>
      <c r="ZA32" s="11"/>
      <c r="ZB32" s="11"/>
      <c r="ZC32" s="11"/>
      <c r="ZD32" s="11"/>
      <c r="ZE32" s="11"/>
      <c r="ZF32" s="11"/>
      <c r="ZG32" s="11"/>
      <c r="ZH32">
        <v>0</v>
      </c>
      <c r="ZI32">
        <v>0</v>
      </c>
      <c r="ZJ32">
        <v>0</v>
      </c>
      <c r="ZK32">
        <v>0</v>
      </c>
      <c r="ZL32">
        <v>0</v>
      </c>
      <c r="ZM32">
        <v>0</v>
      </c>
      <c r="ZN32">
        <v>0</v>
      </c>
      <c r="ZO32">
        <v>0</v>
      </c>
      <c r="ZP32">
        <v>0</v>
      </c>
      <c r="ZQ32">
        <v>0</v>
      </c>
      <c r="ZR32">
        <v>0</v>
      </c>
      <c r="ZS32" s="11"/>
      <c r="ZT32" s="11"/>
      <c r="ZU32" s="11"/>
      <c r="ZV32" s="11"/>
      <c r="ZW32" s="11"/>
      <c r="ZX32" s="11"/>
      <c r="ZY32" s="11"/>
      <c r="ZZ32" s="11"/>
      <c r="AAA32" s="11"/>
      <c r="AAB32" s="11"/>
      <c r="AAC32" s="11"/>
    </row>
    <row r="33" spans="1:705" x14ac:dyDescent="0.2">
      <c r="A33">
        <v>2</v>
      </c>
      <c r="B33">
        <v>0</v>
      </c>
      <c r="C33">
        <v>0</v>
      </c>
      <c r="D33">
        <v>0</v>
      </c>
      <c r="E33">
        <v>0</v>
      </c>
      <c r="F33">
        <v>0</v>
      </c>
      <c r="G33">
        <v>0</v>
      </c>
      <c r="H33">
        <v>0</v>
      </c>
      <c r="I33">
        <v>0</v>
      </c>
      <c r="J33">
        <v>0</v>
      </c>
      <c r="K33">
        <v>0</v>
      </c>
      <c r="L33">
        <v>0</v>
      </c>
      <c r="X33">
        <v>0</v>
      </c>
      <c r="Y33">
        <v>0</v>
      </c>
      <c r="Z33">
        <v>0</v>
      </c>
      <c r="AA33">
        <v>0</v>
      </c>
      <c r="AB33">
        <v>0</v>
      </c>
      <c r="AC33">
        <v>0</v>
      </c>
      <c r="AD33">
        <v>0</v>
      </c>
      <c r="AE33">
        <v>0</v>
      </c>
      <c r="AF33">
        <v>0</v>
      </c>
      <c r="AG33">
        <v>0</v>
      </c>
      <c r="AH33">
        <v>0</v>
      </c>
      <c r="AT33">
        <v>0</v>
      </c>
      <c r="AU33">
        <v>0</v>
      </c>
      <c r="AV33">
        <v>0</v>
      </c>
      <c r="AW33">
        <v>0</v>
      </c>
      <c r="AX33">
        <v>0</v>
      </c>
      <c r="AY33">
        <v>0</v>
      </c>
      <c r="AZ33">
        <v>0</v>
      </c>
      <c r="BA33">
        <v>0</v>
      </c>
      <c r="BB33">
        <v>0</v>
      </c>
      <c r="BC33">
        <v>0</v>
      </c>
      <c r="BD33">
        <v>0</v>
      </c>
      <c r="BP33">
        <v>0</v>
      </c>
      <c r="BQ33">
        <v>0</v>
      </c>
      <c r="BR33">
        <v>0</v>
      </c>
      <c r="BS33">
        <v>0</v>
      </c>
      <c r="BT33">
        <v>0</v>
      </c>
      <c r="BU33">
        <v>0</v>
      </c>
      <c r="BV33">
        <v>0</v>
      </c>
      <c r="BW33">
        <v>0</v>
      </c>
      <c r="BX33">
        <v>0</v>
      </c>
      <c r="BY33">
        <v>0</v>
      </c>
      <c r="BZ33">
        <v>0</v>
      </c>
      <c r="CL33">
        <v>0</v>
      </c>
      <c r="CM33">
        <v>0</v>
      </c>
      <c r="CN33">
        <v>0</v>
      </c>
      <c r="CO33">
        <v>0</v>
      </c>
      <c r="CP33">
        <v>0</v>
      </c>
      <c r="CQ33">
        <v>0</v>
      </c>
      <c r="CR33">
        <v>0</v>
      </c>
      <c r="CS33">
        <v>0</v>
      </c>
      <c r="CT33">
        <v>0</v>
      </c>
      <c r="CU33">
        <v>0</v>
      </c>
      <c r="CV33">
        <v>0</v>
      </c>
      <c r="DH33">
        <v>0</v>
      </c>
      <c r="DI33">
        <v>0</v>
      </c>
      <c r="DJ33">
        <v>0</v>
      </c>
      <c r="DK33">
        <v>0</v>
      </c>
      <c r="DL33">
        <v>0</v>
      </c>
      <c r="DM33">
        <v>0</v>
      </c>
      <c r="DN33">
        <v>0</v>
      </c>
      <c r="DO33">
        <v>0</v>
      </c>
      <c r="DP33">
        <v>0</v>
      </c>
      <c r="DQ33">
        <v>0</v>
      </c>
      <c r="DR33">
        <v>0</v>
      </c>
      <c r="ED33">
        <v>0</v>
      </c>
      <c r="EE33">
        <v>0</v>
      </c>
      <c r="EF33">
        <v>0</v>
      </c>
      <c r="EG33">
        <v>0</v>
      </c>
      <c r="EH33">
        <v>0</v>
      </c>
      <c r="EI33">
        <v>0</v>
      </c>
      <c r="EJ33">
        <v>0</v>
      </c>
      <c r="EK33">
        <v>0</v>
      </c>
      <c r="EL33">
        <v>0</v>
      </c>
      <c r="EM33">
        <v>0</v>
      </c>
      <c r="EN33">
        <v>0</v>
      </c>
      <c r="EZ33">
        <v>0</v>
      </c>
      <c r="FA33">
        <v>0</v>
      </c>
      <c r="FB33">
        <v>0</v>
      </c>
      <c r="FC33">
        <v>0</v>
      </c>
      <c r="FD33">
        <v>0</v>
      </c>
      <c r="FE33">
        <v>0</v>
      </c>
      <c r="FF33">
        <v>0</v>
      </c>
      <c r="FG33">
        <v>0</v>
      </c>
      <c r="FH33">
        <v>0</v>
      </c>
      <c r="FI33">
        <v>0</v>
      </c>
      <c r="FJ33">
        <v>0</v>
      </c>
      <c r="FV33">
        <v>0</v>
      </c>
      <c r="FW33">
        <v>0</v>
      </c>
      <c r="FX33">
        <v>0</v>
      </c>
      <c r="FY33">
        <v>0</v>
      </c>
      <c r="FZ33">
        <v>0</v>
      </c>
      <c r="GA33">
        <v>0</v>
      </c>
      <c r="GB33">
        <v>0</v>
      </c>
      <c r="GC33">
        <v>0</v>
      </c>
      <c r="GD33">
        <v>0</v>
      </c>
      <c r="GE33">
        <v>0</v>
      </c>
      <c r="GF33">
        <v>0</v>
      </c>
      <c r="GR33">
        <v>0</v>
      </c>
      <c r="GS33">
        <v>0</v>
      </c>
      <c r="GT33">
        <v>0</v>
      </c>
      <c r="GU33">
        <v>0</v>
      </c>
      <c r="GV33">
        <v>0</v>
      </c>
      <c r="GW33">
        <v>0</v>
      </c>
      <c r="GX33">
        <v>0</v>
      </c>
      <c r="GY33">
        <v>0</v>
      </c>
      <c r="GZ33">
        <v>0</v>
      </c>
      <c r="HA33">
        <v>0</v>
      </c>
      <c r="HB33">
        <v>0</v>
      </c>
      <c r="HN33">
        <v>0</v>
      </c>
      <c r="HO33">
        <v>0</v>
      </c>
      <c r="HP33">
        <v>0</v>
      </c>
      <c r="HQ33">
        <v>0</v>
      </c>
      <c r="HR33">
        <v>0</v>
      </c>
      <c r="HS33">
        <v>0</v>
      </c>
      <c r="HT33">
        <v>0</v>
      </c>
      <c r="HU33">
        <v>0</v>
      </c>
      <c r="HV33">
        <v>0</v>
      </c>
      <c r="HW33">
        <v>0</v>
      </c>
      <c r="HX33">
        <v>0</v>
      </c>
      <c r="IJ33">
        <v>0</v>
      </c>
      <c r="IK33">
        <v>0</v>
      </c>
      <c r="IL33">
        <v>0</v>
      </c>
      <c r="IM33">
        <v>0</v>
      </c>
      <c r="IN33">
        <v>0</v>
      </c>
      <c r="IO33">
        <v>0</v>
      </c>
      <c r="IP33">
        <v>0</v>
      </c>
      <c r="IQ33">
        <v>0</v>
      </c>
      <c r="IR33">
        <v>0</v>
      </c>
      <c r="IS33">
        <v>0</v>
      </c>
      <c r="IT33">
        <v>0</v>
      </c>
      <c r="JF33">
        <v>0</v>
      </c>
      <c r="JG33">
        <v>0</v>
      </c>
      <c r="JH33">
        <v>0</v>
      </c>
      <c r="JI33">
        <v>0</v>
      </c>
      <c r="JJ33">
        <v>0</v>
      </c>
      <c r="JK33">
        <v>0</v>
      </c>
      <c r="JL33">
        <v>0</v>
      </c>
      <c r="JM33">
        <v>0</v>
      </c>
      <c r="JN33">
        <v>0</v>
      </c>
      <c r="JO33">
        <v>0</v>
      </c>
      <c r="JP33">
        <v>0</v>
      </c>
      <c r="KB33">
        <v>0</v>
      </c>
      <c r="KC33">
        <v>0</v>
      </c>
      <c r="KD33">
        <v>0</v>
      </c>
      <c r="KE33">
        <v>0</v>
      </c>
      <c r="KF33">
        <v>0</v>
      </c>
      <c r="KG33">
        <v>0</v>
      </c>
      <c r="KH33">
        <v>0</v>
      </c>
      <c r="KI33">
        <v>0</v>
      </c>
      <c r="KJ33">
        <v>0</v>
      </c>
      <c r="KK33">
        <v>0</v>
      </c>
      <c r="KL33">
        <v>0</v>
      </c>
      <c r="KX33">
        <v>0</v>
      </c>
      <c r="KY33">
        <v>0</v>
      </c>
      <c r="KZ33">
        <v>0</v>
      </c>
      <c r="LA33">
        <v>0</v>
      </c>
      <c r="LB33">
        <v>0</v>
      </c>
      <c r="LC33">
        <v>0</v>
      </c>
      <c r="LD33">
        <v>0</v>
      </c>
      <c r="LE33">
        <v>0</v>
      </c>
      <c r="LF33">
        <v>0</v>
      </c>
      <c r="LG33">
        <v>0</v>
      </c>
      <c r="LH33">
        <v>0</v>
      </c>
      <c r="LT33">
        <v>0</v>
      </c>
      <c r="LU33">
        <v>0</v>
      </c>
      <c r="LV33">
        <v>0</v>
      </c>
      <c r="LW33">
        <v>0</v>
      </c>
      <c r="LX33">
        <v>0</v>
      </c>
      <c r="LY33">
        <v>0</v>
      </c>
      <c r="LZ33">
        <v>0</v>
      </c>
      <c r="MA33">
        <v>0</v>
      </c>
      <c r="MB33">
        <v>0</v>
      </c>
      <c r="MC33">
        <v>0</v>
      </c>
      <c r="MD33">
        <v>0</v>
      </c>
      <c r="MP33">
        <v>0</v>
      </c>
      <c r="MQ33">
        <v>0</v>
      </c>
      <c r="MR33">
        <v>0</v>
      </c>
      <c r="MS33">
        <v>0</v>
      </c>
      <c r="MT33">
        <v>0</v>
      </c>
      <c r="MU33">
        <v>0</v>
      </c>
      <c r="MV33">
        <v>0</v>
      </c>
      <c r="MW33">
        <v>0</v>
      </c>
      <c r="MX33">
        <v>0</v>
      </c>
      <c r="MY33">
        <v>0</v>
      </c>
      <c r="MZ33">
        <v>0</v>
      </c>
      <c r="NL33">
        <v>0</v>
      </c>
      <c r="NM33">
        <v>0</v>
      </c>
      <c r="NN33">
        <v>0</v>
      </c>
      <c r="NO33">
        <v>0</v>
      </c>
      <c r="NP33">
        <v>0</v>
      </c>
      <c r="NQ33">
        <v>0</v>
      </c>
      <c r="NR33">
        <v>0</v>
      </c>
      <c r="NS33">
        <v>0</v>
      </c>
      <c r="NT33">
        <v>0</v>
      </c>
      <c r="NU33">
        <v>0</v>
      </c>
      <c r="NV33">
        <v>0</v>
      </c>
      <c r="NW33" s="11"/>
      <c r="NX33" s="11"/>
      <c r="NY33" s="11"/>
      <c r="NZ33" s="11"/>
      <c r="OA33" s="11"/>
      <c r="OB33" s="11"/>
      <c r="OC33" s="11"/>
      <c r="OD33" s="11"/>
      <c r="OE33" s="11"/>
      <c r="OF33" s="11"/>
      <c r="OG33" s="11"/>
      <c r="OH33">
        <v>0</v>
      </c>
      <c r="OI33">
        <v>0</v>
      </c>
      <c r="OJ33">
        <v>0</v>
      </c>
      <c r="OK33">
        <v>0</v>
      </c>
      <c r="OL33">
        <v>0</v>
      </c>
      <c r="OM33">
        <v>0</v>
      </c>
      <c r="ON33">
        <v>0</v>
      </c>
      <c r="OO33">
        <v>0</v>
      </c>
      <c r="OP33">
        <v>0</v>
      </c>
      <c r="OQ33">
        <v>0</v>
      </c>
      <c r="OR33">
        <v>0</v>
      </c>
      <c r="OS33" s="11"/>
      <c r="OT33" s="11"/>
      <c r="OU33" s="11"/>
      <c r="OV33" s="11"/>
      <c r="OW33" s="11"/>
      <c r="OX33" s="11"/>
      <c r="OY33" s="11"/>
      <c r="OZ33" s="11"/>
      <c r="PA33" s="11"/>
      <c r="PB33" s="11"/>
      <c r="PC33" s="11"/>
      <c r="PD33">
        <v>0</v>
      </c>
      <c r="PE33">
        <v>0</v>
      </c>
      <c r="PF33">
        <v>0</v>
      </c>
      <c r="PG33">
        <v>0</v>
      </c>
      <c r="PH33">
        <v>0</v>
      </c>
      <c r="PI33">
        <v>0</v>
      </c>
      <c r="PJ33">
        <v>0</v>
      </c>
      <c r="PK33">
        <v>0</v>
      </c>
      <c r="PL33">
        <v>0</v>
      </c>
      <c r="PM33">
        <v>0</v>
      </c>
      <c r="PN33">
        <v>0</v>
      </c>
      <c r="PO33" s="11"/>
      <c r="PP33" s="11"/>
      <c r="PQ33" s="11"/>
      <c r="PR33" s="11"/>
      <c r="PS33" s="11"/>
      <c r="PT33" s="11"/>
      <c r="PU33" s="11"/>
      <c r="PV33" s="11"/>
      <c r="PW33" s="11"/>
      <c r="PX33" s="11"/>
      <c r="PY33" s="11"/>
      <c r="PZ33">
        <v>0</v>
      </c>
      <c r="QA33">
        <v>0</v>
      </c>
      <c r="QB33">
        <v>0</v>
      </c>
      <c r="QC33">
        <v>0</v>
      </c>
      <c r="QD33">
        <v>0</v>
      </c>
      <c r="QE33">
        <v>0</v>
      </c>
      <c r="QF33">
        <v>0</v>
      </c>
      <c r="QG33">
        <v>0</v>
      </c>
      <c r="QH33">
        <v>0</v>
      </c>
      <c r="QI33">
        <v>0</v>
      </c>
      <c r="QJ33">
        <v>0</v>
      </c>
      <c r="QK33" s="11"/>
      <c r="QL33" s="11"/>
      <c r="QM33" s="11"/>
      <c r="QN33" s="11"/>
      <c r="QO33" s="11"/>
      <c r="QP33" s="11"/>
      <c r="QQ33" s="11"/>
      <c r="QR33" s="11"/>
      <c r="QS33" s="11"/>
      <c r="QT33" s="11"/>
      <c r="QU33" s="11"/>
      <c r="QV33">
        <v>0</v>
      </c>
      <c r="QW33">
        <v>0</v>
      </c>
      <c r="QX33">
        <v>0</v>
      </c>
      <c r="QY33">
        <v>0</v>
      </c>
      <c r="QZ33">
        <v>0</v>
      </c>
      <c r="RA33">
        <v>0</v>
      </c>
      <c r="RB33">
        <v>0</v>
      </c>
      <c r="RC33">
        <v>0</v>
      </c>
      <c r="RD33">
        <v>0</v>
      </c>
      <c r="RE33">
        <v>0</v>
      </c>
      <c r="RF33">
        <v>0</v>
      </c>
      <c r="RG33" s="11"/>
      <c r="RH33" s="11"/>
      <c r="RI33" s="11"/>
      <c r="RJ33" s="11"/>
      <c r="RK33" s="11"/>
      <c r="RL33" s="11"/>
      <c r="RM33" s="11"/>
      <c r="RN33" s="11"/>
      <c r="RO33" s="11"/>
      <c r="RP33" s="11"/>
      <c r="RQ33" s="11"/>
      <c r="RR33">
        <v>0</v>
      </c>
      <c r="RS33">
        <v>0</v>
      </c>
      <c r="RT33">
        <v>0</v>
      </c>
      <c r="RU33">
        <v>0</v>
      </c>
      <c r="RV33">
        <v>0</v>
      </c>
      <c r="RW33">
        <v>0</v>
      </c>
      <c r="RX33">
        <v>0</v>
      </c>
      <c r="RY33">
        <v>0</v>
      </c>
      <c r="RZ33">
        <v>0</v>
      </c>
      <c r="SA33">
        <v>0</v>
      </c>
      <c r="SB33">
        <v>0</v>
      </c>
      <c r="SC33" s="11"/>
      <c r="SD33" s="11"/>
      <c r="SE33" s="11"/>
      <c r="SF33" s="11"/>
      <c r="SG33" s="11"/>
      <c r="SH33" s="11"/>
      <c r="SI33" s="11"/>
      <c r="SJ33" s="11"/>
      <c r="SK33" s="11"/>
      <c r="SL33" s="11"/>
      <c r="SM33" s="11"/>
      <c r="SN33">
        <v>0</v>
      </c>
      <c r="SO33">
        <v>0</v>
      </c>
      <c r="SP33">
        <v>0</v>
      </c>
      <c r="SQ33">
        <v>0</v>
      </c>
      <c r="SR33">
        <v>0</v>
      </c>
      <c r="SS33">
        <v>0</v>
      </c>
      <c r="ST33">
        <v>0</v>
      </c>
      <c r="SU33">
        <v>0</v>
      </c>
      <c r="SV33">
        <v>0</v>
      </c>
      <c r="SW33">
        <v>0</v>
      </c>
      <c r="SX33">
        <v>0</v>
      </c>
      <c r="SY33" s="11"/>
      <c r="SZ33" s="11"/>
      <c r="TA33" s="11"/>
      <c r="TB33" s="11"/>
      <c r="TC33" s="11"/>
      <c r="TD33" s="11"/>
      <c r="TE33" s="11"/>
      <c r="TF33" s="11"/>
      <c r="TG33" s="11"/>
      <c r="TH33" s="11"/>
      <c r="TI33" s="11"/>
      <c r="TJ33">
        <v>0</v>
      </c>
      <c r="TK33">
        <v>0</v>
      </c>
      <c r="TL33">
        <v>0</v>
      </c>
      <c r="TM33">
        <v>0</v>
      </c>
      <c r="TN33">
        <v>0</v>
      </c>
      <c r="TO33">
        <v>0</v>
      </c>
      <c r="TP33">
        <v>0</v>
      </c>
      <c r="TQ33">
        <v>0</v>
      </c>
      <c r="TR33">
        <v>0</v>
      </c>
      <c r="TS33">
        <v>0</v>
      </c>
      <c r="TT33">
        <v>0</v>
      </c>
      <c r="TU33" s="11"/>
      <c r="TV33" s="11"/>
      <c r="TW33" s="11"/>
      <c r="TX33" s="11"/>
      <c r="TY33" s="11"/>
      <c r="TZ33" s="11"/>
      <c r="UA33" s="11"/>
      <c r="UB33" s="11"/>
      <c r="UC33" s="11"/>
      <c r="UD33" s="11"/>
      <c r="UE33" s="11"/>
      <c r="UF33">
        <v>0</v>
      </c>
      <c r="UG33">
        <v>0</v>
      </c>
      <c r="UH33">
        <v>0</v>
      </c>
      <c r="UI33">
        <v>0</v>
      </c>
      <c r="UJ33">
        <v>0</v>
      </c>
      <c r="UK33">
        <v>0</v>
      </c>
      <c r="UL33">
        <v>0</v>
      </c>
      <c r="UM33">
        <v>0</v>
      </c>
      <c r="UN33">
        <v>0</v>
      </c>
      <c r="UO33">
        <v>0</v>
      </c>
      <c r="UP33">
        <v>0</v>
      </c>
      <c r="UQ33" s="11"/>
      <c r="UR33" s="11"/>
      <c r="US33" s="11"/>
      <c r="UT33" s="11"/>
      <c r="UU33" s="11"/>
      <c r="UV33" s="11"/>
      <c r="UW33" s="11"/>
      <c r="UX33" s="11"/>
      <c r="UY33" s="11"/>
      <c r="UZ33" s="11"/>
      <c r="VA33" s="11"/>
      <c r="VB33">
        <v>0</v>
      </c>
      <c r="VC33">
        <v>0</v>
      </c>
      <c r="VD33">
        <v>0</v>
      </c>
      <c r="VE33">
        <v>0</v>
      </c>
      <c r="VF33">
        <v>0</v>
      </c>
      <c r="VG33">
        <v>0</v>
      </c>
      <c r="VH33">
        <v>0</v>
      </c>
      <c r="VI33">
        <v>0</v>
      </c>
      <c r="VJ33">
        <v>0</v>
      </c>
      <c r="VK33">
        <v>0</v>
      </c>
      <c r="VL33">
        <v>0</v>
      </c>
      <c r="VM33" s="11"/>
      <c r="VN33" s="11"/>
      <c r="VO33" s="11"/>
      <c r="VP33" s="11"/>
      <c r="VQ33" s="11"/>
      <c r="VR33" s="11"/>
      <c r="VS33" s="11"/>
      <c r="VT33" s="11"/>
      <c r="VU33" s="11"/>
      <c r="VV33" s="11"/>
      <c r="VW33" s="11"/>
      <c r="VX33">
        <v>0</v>
      </c>
      <c r="VY33">
        <v>0</v>
      </c>
      <c r="VZ33">
        <v>0</v>
      </c>
      <c r="WA33">
        <v>0</v>
      </c>
      <c r="WB33">
        <v>0</v>
      </c>
      <c r="WC33">
        <v>0</v>
      </c>
      <c r="WD33">
        <v>0</v>
      </c>
      <c r="WE33">
        <v>0</v>
      </c>
      <c r="WF33">
        <v>0</v>
      </c>
      <c r="WG33">
        <v>0</v>
      </c>
      <c r="WH33">
        <v>0</v>
      </c>
      <c r="WI33" s="11"/>
      <c r="WJ33" s="11"/>
      <c r="WK33" s="11"/>
      <c r="WL33" s="11"/>
      <c r="WM33" s="11"/>
      <c r="WN33" s="11"/>
      <c r="WO33" s="11"/>
      <c r="WP33" s="11"/>
      <c r="WQ33" s="11"/>
      <c r="WR33" s="11"/>
      <c r="WS33" s="11"/>
      <c r="WT33">
        <v>0</v>
      </c>
      <c r="WU33">
        <v>0</v>
      </c>
      <c r="WV33">
        <v>0</v>
      </c>
      <c r="WW33">
        <v>0</v>
      </c>
      <c r="WX33">
        <v>0</v>
      </c>
      <c r="WY33">
        <v>0</v>
      </c>
      <c r="WZ33">
        <v>0</v>
      </c>
      <c r="XA33">
        <v>0</v>
      </c>
      <c r="XB33">
        <v>0</v>
      </c>
      <c r="XC33">
        <v>0</v>
      </c>
      <c r="XD33">
        <v>0</v>
      </c>
      <c r="XE33" s="11"/>
      <c r="XF33" s="11"/>
      <c r="XG33" s="11"/>
      <c r="XH33" s="11"/>
      <c r="XI33" s="11"/>
      <c r="XJ33" s="11"/>
      <c r="XK33" s="11"/>
      <c r="XL33" s="11"/>
      <c r="XM33" s="11"/>
      <c r="XN33" s="11"/>
      <c r="XO33" s="11"/>
      <c r="XP33">
        <v>0</v>
      </c>
      <c r="XQ33">
        <v>0</v>
      </c>
      <c r="XR33">
        <v>0</v>
      </c>
      <c r="XS33">
        <v>0</v>
      </c>
      <c r="XT33">
        <v>0</v>
      </c>
      <c r="XU33">
        <v>0</v>
      </c>
      <c r="XV33">
        <v>0</v>
      </c>
      <c r="XW33">
        <v>0</v>
      </c>
      <c r="XX33">
        <v>0</v>
      </c>
      <c r="XY33">
        <v>0</v>
      </c>
      <c r="XZ33">
        <v>0</v>
      </c>
      <c r="YA33" s="11"/>
      <c r="YB33" s="11"/>
      <c r="YC33" s="11"/>
      <c r="YD33" s="11"/>
      <c r="YE33" s="11"/>
      <c r="YF33" s="11"/>
      <c r="YG33" s="11"/>
      <c r="YH33" s="11"/>
      <c r="YI33" s="11"/>
      <c r="YJ33" s="11"/>
      <c r="YK33" s="11"/>
      <c r="YL33">
        <v>0</v>
      </c>
      <c r="YM33">
        <v>0</v>
      </c>
      <c r="YN33">
        <v>0</v>
      </c>
      <c r="YO33">
        <v>0</v>
      </c>
      <c r="YP33">
        <v>0</v>
      </c>
      <c r="YQ33">
        <v>0</v>
      </c>
      <c r="YR33">
        <v>0</v>
      </c>
      <c r="YS33">
        <v>0</v>
      </c>
      <c r="YT33">
        <v>0</v>
      </c>
      <c r="YU33">
        <v>0</v>
      </c>
      <c r="YV33">
        <v>0</v>
      </c>
      <c r="YW33" s="11"/>
      <c r="YX33" s="11"/>
      <c r="YY33" s="11"/>
      <c r="YZ33" s="11"/>
      <c r="ZA33" s="11"/>
      <c r="ZB33" s="11"/>
      <c r="ZC33" s="11"/>
      <c r="ZD33" s="11"/>
      <c r="ZE33" s="11"/>
      <c r="ZF33" s="11"/>
      <c r="ZG33" s="11"/>
      <c r="ZH33">
        <v>0</v>
      </c>
      <c r="ZI33">
        <v>0</v>
      </c>
      <c r="ZJ33">
        <v>0</v>
      </c>
      <c r="ZK33">
        <v>0</v>
      </c>
      <c r="ZL33">
        <v>0</v>
      </c>
      <c r="ZM33">
        <v>0</v>
      </c>
      <c r="ZN33">
        <v>0</v>
      </c>
      <c r="ZO33">
        <v>0</v>
      </c>
      <c r="ZP33">
        <v>0</v>
      </c>
      <c r="ZQ33">
        <v>0</v>
      </c>
      <c r="ZR33">
        <v>0</v>
      </c>
      <c r="ZS33" s="11"/>
      <c r="ZT33" s="11"/>
      <c r="ZU33" s="11"/>
      <c r="ZV33" s="11"/>
      <c r="ZW33" s="11"/>
      <c r="ZX33" s="11"/>
      <c r="ZY33" s="11"/>
      <c r="ZZ33" s="11"/>
      <c r="AAA33" s="11"/>
      <c r="AAB33" s="11"/>
      <c r="AAC33" s="11"/>
    </row>
    <row r="34" spans="1:705" x14ac:dyDescent="0.2">
      <c r="A34">
        <v>3</v>
      </c>
      <c r="B34">
        <v>0</v>
      </c>
      <c r="C34">
        <v>0</v>
      </c>
      <c r="D34">
        <v>0</v>
      </c>
      <c r="E34">
        <v>0</v>
      </c>
      <c r="F34">
        <v>0</v>
      </c>
      <c r="G34">
        <v>0</v>
      </c>
      <c r="H34">
        <v>0</v>
      </c>
      <c r="I34">
        <v>0</v>
      </c>
      <c r="J34">
        <v>0</v>
      </c>
      <c r="K34">
        <v>0</v>
      </c>
      <c r="L34">
        <v>0</v>
      </c>
      <c r="X34">
        <v>0</v>
      </c>
      <c r="Y34">
        <v>0</v>
      </c>
      <c r="Z34">
        <v>0</v>
      </c>
      <c r="AA34">
        <v>0</v>
      </c>
      <c r="AB34">
        <v>0</v>
      </c>
      <c r="AC34">
        <v>0</v>
      </c>
      <c r="AD34">
        <v>0</v>
      </c>
      <c r="AE34">
        <v>0</v>
      </c>
      <c r="AF34">
        <v>0</v>
      </c>
      <c r="AG34">
        <v>0</v>
      </c>
      <c r="AH34">
        <v>0</v>
      </c>
      <c r="AT34">
        <v>0</v>
      </c>
      <c r="AU34">
        <v>0</v>
      </c>
      <c r="AV34">
        <v>0</v>
      </c>
      <c r="AW34">
        <v>0</v>
      </c>
      <c r="AX34">
        <v>0</v>
      </c>
      <c r="AY34">
        <v>0</v>
      </c>
      <c r="AZ34">
        <v>0</v>
      </c>
      <c r="BA34">
        <v>0</v>
      </c>
      <c r="BB34">
        <v>0</v>
      </c>
      <c r="BC34">
        <v>0</v>
      </c>
      <c r="BD34">
        <v>0</v>
      </c>
      <c r="BP34">
        <v>0</v>
      </c>
      <c r="BQ34">
        <v>0</v>
      </c>
      <c r="BR34">
        <v>0</v>
      </c>
      <c r="BS34">
        <v>0</v>
      </c>
      <c r="BT34">
        <v>0</v>
      </c>
      <c r="BU34">
        <v>0</v>
      </c>
      <c r="BV34">
        <v>0</v>
      </c>
      <c r="BW34">
        <v>0</v>
      </c>
      <c r="BX34">
        <v>0</v>
      </c>
      <c r="BY34">
        <v>0</v>
      </c>
      <c r="BZ34">
        <v>0</v>
      </c>
      <c r="CL34">
        <v>0</v>
      </c>
      <c r="CM34">
        <v>0</v>
      </c>
      <c r="CN34">
        <v>0</v>
      </c>
      <c r="CO34">
        <v>0</v>
      </c>
      <c r="CP34">
        <v>0</v>
      </c>
      <c r="CQ34">
        <v>0</v>
      </c>
      <c r="CR34">
        <v>0</v>
      </c>
      <c r="CS34">
        <v>0</v>
      </c>
      <c r="CT34">
        <v>0</v>
      </c>
      <c r="CU34">
        <v>0</v>
      </c>
      <c r="CV34">
        <v>0</v>
      </c>
      <c r="DH34">
        <v>0</v>
      </c>
      <c r="DI34">
        <v>0</v>
      </c>
      <c r="DJ34">
        <v>0</v>
      </c>
      <c r="DK34">
        <v>0</v>
      </c>
      <c r="DL34">
        <v>0</v>
      </c>
      <c r="DM34">
        <v>0</v>
      </c>
      <c r="DN34">
        <v>0</v>
      </c>
      <c r="DO34">
        <v>0</v>
      </c>
      <c r="DP34">
        <v>0</v>
      </c>
      <c r="DQ34">
        <v>0</v>
      </c>
      <c r="DR34">
        <v>0</v>
      </c>
      <c r="ED34">
        <v>0</v>
      </c>
      <c r="EE34">
        <v>0</v>
      </c>
      <c r="EF34">
        <v>0</v>
      </c>
      <c r="EG34">
        <v>0</v>
      </c>
      <c r="EH34">
        <v>0</v>
      </c>
      <c r="EI34">
        <v>0</v>
      </c>
      <c r="EJ34">
        <v>0</v>
      </c>
      <c r="EK34">
        <v>0</v>
      </c>
      <c r="EL34">
        <v>0</v>
      </c>
      <c r="EM34">
        <v>0</v>
      </c>
      <c r="EN34">
        <v>0</v>
      </c>
      <c r="EZ34">
        <v>0</v>
      </c>
      <c r="FA34">
        <v>0</v>
      </c>
      <c r="FB34">
        <v>0</v>
      </c>
      <c r="FC34">
        <v>0</v>
      </c>
      <c r="FD34">
        <v>0</v>
      </c>
      <c r="FE34">
        <v>0</v>
      </c>
      <c r="FF34">
        <v>0</v>
      </c>
      <c r="FG34">
        <v>0</v>
      </c>
      <c r="FH34">
        <v>0</v>
      </c>
      <c r="FI34">
        <v>0</v>
      </c>
      <c r="FJ34">
        <v>0</v>
      </c>
      <c r="FV34">
        <v>0</v>
      </c>
      <c r="FW34">
        <v>0</v>
      </c>
      <c r="FX34">
        <v>0</v>
      </c>
      <c r="FY34">
        <v>0</v>
      </c>
      <c r="FZ34">
        <v>0</v>
      </c>
      <c r="GA34">
        <v>0</v>
      </c>
      <c r="GB34">
        <v>0</v>
      </c>
      <c r="GC34">
        <v>0</v>
      </c>
      <c r="GD34">
        <v>0</v>
      </c>
      <c r="GE34">
        <v>0</v>
      </c>
      <c r="GF34">
        <v>0</v>
      </c>
      <c r="GR34">
        <v>0</v>
      </c>
      <c r="GS34">
        <v>0</v>
      </c>
      <c r="GT34">
        <v>0</v>
      </c>
      <c r="GU34">
        <v>0</v>
      </c>
      <c r="GV34">
        <v>0</v>
      </c>
      <c r="GW34">
        <v>0</v>
      </c>
      <c r="GX34">
        <v>0</v>
      </c>
      <c r="GY34">
        <v>0</v>
      </c>
      <c r="GZ34">
        <v>0</v>
      </c>
      <c r="HA34">
        <v>0</v>
      </c>
      <c r="HB34">
        <v>0</v>
      </c>
      <c r="HN34">
        <v>0</v>
      </c>
      <c r="HO34">
        <v>0</v>
      </c>
      <c r="HP34">
        <v>0</v>
      </c>
      <c r="HQ34">
        <v>0</v>
      </c>
      <c r="HR34">
        <v>0</v>
      </c>
      <c r="HS34">
        <v>0</v>
      </c>
      <c r="HT34">
        <v>0</v>
      </c>
      <c r="HU34">
        <v>0</v>
      </c>
      <c r="HV34">
        <v>0</v>
      </c>
      <c r="HW34">
        <v>0</v>
      </c>
      <c r="HX34">
        <v>0</v>
      </c>
      <c r="IJ34">
        <v>0</v>
      </c>
      <c r="IK34">
        <v>0</v>
      </c>
      <c r="IL34">
        <v>0</v>
      </c>
      <c r="IM34">
        <v>0</v>
      </c>
      <c r="IN34">
        <v>0</v>
      </c>
      <c r="IO34">
        <v>0</v>
      </c>
      <c r="IP34">
        <v>0</v>
      </c>
      <c r="IQ34">
        <v>0</v>
      </c>
      <c r="IR34">
        <v>0</v>
      </c>
      <c r="IS34">
        <v>0</v>
      </c>
      <c r="IT34">
        <v>0</v>
      </c>
      <c r="JF34">
        <v>0</v>
      </c>
      <c r="JG34">
        <v>0</v>
      </c>
      <c r="JH34">
        <v>0</v>
      </c>
      <c r="JI34">
        <v>0</v>
      </c>
      <c r="JJ34">
        <v>0</v>
      </c>
      <c r="JK34">
        <v>0</v>
      </c>
      <c r="JL34">
        <v>0</v>
      </c>
      <c r="JM34">
        <v>0</v>
      </c>
      <c r="JN34">
        <v>0</v>
      </c>
      <c r="JO34">
        <v>0</v>
      </c>
      <c r="JP34">
        <v>0</v>
      </c>
      <c r="KB34">
        <v>0</v>
      </c>
      <c r="KC34">
        <v>0</v>
      </c>
      <c r="KD34">
        <v>0</v>
      </c>
      <c r="KE34">
        <v>0</v>
      </c>
      <c r="KF34">
        <v>0</v>
      </c>
      <c r="KG34">
        <v>0</v>
      </c>
      <c r="KH34">
        <v>0</v>
      </c>
      <c r="KI34">
        <v>0</v>
      </c>
      <c r="KJ34">
        <v>0</v>
      </c>
      <c r="KK34">
        <v>0</v>
      </c>
      <c r="KL34">
        <v>0</v>
      </c>
      <c r="KX34">
        <v>0</v>
      </c>
      <c r="KY34">
        <v>0</v>
      </c>
      <c r="KZ34">
        <v>0</v>
      </c>
      <c r="LA34">
        <v>0</v>
      </c>
      <c r="LB34">
        <v>0</v>
      </c>
      <c r="LC34">
        <v>0</v>
      </c>
      <c r="LD34">
        <v>0</v>
      </c>
      <c r="LE34">
        <v>0</v>
      </c>
      <c r="LF34">
        <v>0</v>
      </c>
      <c r="LG34">
        <v>0</v>
      </c>
      <c r="LH34">
        <v>0</v>
      </c>
      <c r="LT34">
        <v>0</v>
      </c>
      <c r="LU34">
        <v>0</v>
      </c>
      <c r="LV34">
        <v>0</v>
      </c>
      <c r="LW34">
        <v>0</v>
      </c>
      <c r="LX34">
        <v>0</v>
      </c>
      <c r="LY34">
        <v>0</v>
      </c>
      <c r="LZ34">
        <v>0</v>
      </c>
      <c r="MA34">
        <v>0</v>
      </c>
      <c r="MB34">
        <v>0</v>
      </c>
      <c r="MC34">
        <v>0</v>
      </c>
      <c r="MD34">
        <v>0</v>
      </c>
      <c r="MP34">
        <v>0</v>
      </c>
      <c r="MQ34">
        <v>0</v>
      </c>
      <c r="MR34">
        <v>0</v>
      </c>
      <c r="MS34">
        <v>0</v>
      </c>
      <c r="MT34">
        <v>0</v>
      </c>
      <c r="MU34">
        <v>0</v>
      </c>
      <c r="MV34">
        <v>0</v>
      </c>
      <c r="MW34">
        <v>0</v>
      </c>
      <c r="MX34">
        <v>0</v>
      </c>
      <c r="MY34">
        <v>0</v>
      </c>
      <c r="MZ34">
        <v>0</v>
      </c>
      <c r="NL34">
        <v>0</v>
      </c>
      <c r="NM34">
        <v>0</v>
      </c>
      <c r="NN34">
        <v>0</v>
      </c>
      <c r="NO34">
        <v>0</v>
      </c>
      <c r="NP34">
        <v>0</v>
      </c>
      <c r="NQ34">
        <v>0</v>
      </c>
      <c r="NR34">
        <v>0</v>
      </c>
      <c r="NS34">
        <v>0</v>
      </c>
      <c r="NT34">
        <v>0</v>
      </c>
      <c r="NU34">
        <v>0</v>
      </c>
      <c r="NV34">
        <v>0</v>
      </c>
      <c r="NW34" s="11"/>
      <c r="NX34" s="11"/>
      <c r="NY34" s="11"/>
      <c r="NZ34" s="11"/>
      <c r="OA34" s="11"/>
      <c r="OB34" s="11"/>
      <c r="OC34" s="11"/>
      <c r="OD34" s="11"/>
      <c r="OE34" s="11"/>
      <c r="OF34" s="11"/>
      <c r="OG34" s="11"/>
      <c r="OH34">
        <v>0</v>
      </c>
      <c r="OI34">
        <v>0</v>
      </c>
      <c r="OJ34">
        <v>0</v>
      </c>
      <c r="OK34">
        <v>0</v>
      </c>
      <c r="OL34">
        <v>0</v>
      </c>
      <c r="OM34">
        <v>0</v>
      </c>
      <c r="ON34">
        <v>0</v>
      </c>
      <c r="OO34">
        <v>0</v>
      </c>
      <c r="OP34">
        <v>0</v>
      </c>
      <c r="OQ34">
        <v>0</v>
      </c>
      <c r="OR34">
        <v>0</v>
      </c>
      <c r="OS34" s="11"/>
      <c r="OT34" s="11"/>
      <c r="OU34" s="11"/>
      <c r="OV34" s="11"/>
      <c r="OW34" s="11"/>
      <c r="OX34" s="11"/>
      <c r="OY34" s="11"/>
      <c r="OZ34" s="11"/>
      <c r="PA34" s="11"/>
      <c r="PB34" s="11"/>
      <c r="PC34" s="11"/>
      <c r="PD34">
        <v>0</v>
      </c>
      <c r="PE34">
        <v>0</v>
      </c>
      <c r="PF34">
        <v>0</v>
      </c>
      <c r="PG34">
        <v>0</v>
      </c>
      <c r="PH34">
        <v>0</v>
      </c>
      <c r="PI34">
        <v>0</v>
      </c>
      <c r="PJ34">
        <v>0</v>
      </c>
      <c r="PK34">
        <v>0</v>
      </c>
      <c r="PL34">
        <v>0</v>
      </c>
      <c r="PM34">
        <v>0</v>
      </c>
      <c r="PN34">
        <v>0</v>
      </c>
      <c r="PO34" s="11"/>
      <c r="PP34" s="11"/>
      <c r="PQ34" s="11"/>
      <c r="PR34" s="11"/>
      <c r="PS34" s="11"/>
      <c r="PT34" s="11"/>
      <c r="PU34" s="11"/>
      <c r="PV34" s="11"/>
      <c r="PW34" s="11"/>
      <c r="PX34" s="11"/>
      <c r="PY34" s="11"/>
      <c r="PZ34">
        <v>0</v>
      </c>
      <c r="QA34">
        <v>0</v>
      </c>
      <c r="QB34">
        <v>0</v>
      </c>
      <c r="QC34">
        <v>0</v>
      </c>
      <c r="QD34">
        <v>0</v>
      </c>
      <c r="QE34">
        <v>0</v>
      </c>
      <c r="QF34">
        <v>0</v>
      </c>
      <c r="QG34">
        <v>0</v>
      </c>
      <c r="QH34">
        <v>0</v>
      </c>
      <c r="QI34">
        <v>0</v>
      </c>
      <c r="QJ34">
        <v>0</v>
      </c>
      <c r="QK34" s="11"/>
      <c r="QL34" s="11"/>
      <c r="QM34" s="11"/>
      <c r="QN34" s="11"/>
      <c r="QO34" s="11"/>
      <c r="QP34" s="11"/>
      <c r="QQ34" s="11"/>
      <c r="QR34" s="11"/>
      <c r="QS34" s="11"/>
      <c r="QT34" s="11"/>
      <c r="QU34" s="11"/>
      <c r="QV34">
        <v>0</v>
      </c>
      <c r="QW34">
        <v>0</v>
      </c>
      <c r="QX34">
        <v>0</v>
      </c>
      <c r="QY34">
        <v>0</v>
      </c>
      <c r="QZ34">
        <v>0</v>
      </c>
      <c r="RA34">
        <v>0</v>
      </c>
      <c r="RB34">
        <v>0</v>
      </c>
      <c r="RC34">
        <v>0</v>
      </c>
      <c r="RD34">
        <v>0</v>
      </c>
      <c r="RE34">
        <v>0</v>
      </c>
      <c r="RF34">
        <v>0</v>
      </c>
      <c r="RG34" s="11"/>
      <c r="RH34" s="11"/>
      <c r="RI34" s="11"/>
      <c r="RJ34" s="11"/>
      <c r="RK34" s="11"/>
      <c r="RL34" s="11"/>
      <c r="RM34" s="11"/>
      <c r="RN34" s="11"/>
      <c r="RO34" s="11"/>
      <c r="RP34" s="11"/>
      <c r="RQ34" s="11"/>
      <c r="RR34">
        <v>0</v>
      </c>
      <c r="RS34">
        <v>0</v>
      </c>
      <c r="RT34">
        <v>0</v>
      </c>
      <c r="RU34">
        <v>0</v>
      </c>
      <c r="RV34">
        <v>0</v>
      </c>
      <c r="RW34">
        <v>0</v>
      </c>
      <c r="RX34">
        <v>0</v>
      </c>
      <c r="RY34">
        <v>0</v>
      </c>
      <c r="RZ34">
        <v>0</v>
      </c>
      <c r="SA34">
        <v>0</v>
      </c>
      <c r="SB34">
        <v>0</v>
      </c>
      <c r="SC34" s="11"/>
      <c r="SD34" s="11"/>
      <c r="SE34" s="11"/>
      <c r="SF34" s="11"/>
      <c r="SG34" s="11"/>
      <c r="SH34" s="11"/>
      <c r="SI34" s="11"/>
      <c r="SJ34" s="11"/>
      <c r="SK34" s="11"/>
      <c r="SL34" s="11"/>
      <c r="SM34" s="11"/>
      <c r="SN34">
        <v>0</v>
      </c>
      <c r="SO34">
        <v>0</v>
      </c>
      <c r="SP34">
        <v>0</v>
      </c>
      <c r="SQ34">
        <v>0</v>
      </c>
      <c r="SR34">
        <v>0</v>
      </c>
      <c r="SS34">
        <v>0</v>
      </c>
      <c r="ST34">
        <v>0</v>
      </c>
      <c r="SU34">
        <v>0</v>
      </c>
      <c r="SV34">
        <v>0</v>
      </c>
      <c r="SW34">
        <v>0</v>
      </c>
      <c r="SX34">
        <v>0</v>
      </c>
      <c r="SY34" s="11"/>
      <c r="SZ34" s="11"/>
      <c r="TA34" s="11"/>
      <c r="TB34" s="11"/>
      <c r="TC34" s="11"/>
      <c r="TD34" s="11"/>
      <c r="TE34" s="11"/>
      <c r="TF34" s="11"/>
      <c r="TG34" s="11"/>
      <c r="TH34" s="11"/>
      <c r="TI34" s="11"/>
      <c r="TJ34">
        <v>0</v>
      </c>
      <c r="TK34">
        <v>0</v>
      </c>
      <c r="TL34">
        <v>0</v>
      </c>
      <c r="TM34">
        <v>0</v>
      </c>
      <c r="TN34">
        <v>0</v>
      </c>
      <c r="TO34">
        <v>0</v>
      </c>
      <c r="TP34">
        <v>0</v>
      </c>
      <c r="TQ34">
        <v>0</v>
      </c>
      <c r="TR34">
        <v>0</v>
      </c>
      <c r="TS34">
        <v>0</v>
      </c>
      <c r="TT34">
        <v>0</v>
      </c>
      <c r="TU34" s="11"/>
      <c r="TV34" s="11"/>
      <c r="TW34" s="11"/>
      <c r="TX34" s="11"/>
      <c r="TY34" s="11"/>
      <c r="TZ34" s="11"/>
      <c r="UA34" s="11"/>
      <c r="UB34" s="11"/>
      <c r="UC34" s="11"/>
      <c r="UD34" s="11"/>
      <c r="UE34" s="11"/>
      <c r="UF34">
        <v>0</v>
      </c>
      <c r="UG34">
        <v>0</v>
      </c>
      <c r="UH34">
        <v>0</v>
      </c>
      <c r="UI34">
        <v>0</v>
      </c>
      <c r="UJ34">
        <v>0</v>
      </c>
      <c r="UK34">
        <v>0</v>
      </c>
      <c r="UL34">
        <v>0</v>
      </c>
      <c r="UM34">
        <v>0</v>
      </c>
      <c r="UN34">
        <v>0</v>
      </c>
      <c r="UO34">
        <v>0</v>
      </c>
      <c r="UP34">
        <v>0</v>
      </c>
      <c r="UQ34" s="11"/>
      <c r="UR34" s="11"/>
      <c r="US34" s="11"/>
      <c r="UT34" s="11"/>
      <c r="UU34" s="11"/>
      <c r="UV34" s="11"/>
      <c r="UW34" s="11"/>
      <c r="UX34" s="11"/>
      <c r="UY34" s="11"/>
      <c r="UZ34" s="11"/>
      <c r="VA34" s="11"/>
      <c r="VB34">
        <v>0</v>
      </c>
      <c r="VC34">
        <v>0</v>
      </c>
      <c r="VD34">
        <v>0</v>
      </c>
      <c r="VE34">
        <v>0</v>
      </c>
      <c r="VF34">
        <v>0</v>
      </c>
      <c r="VG34">
        <v>0</v>
      </c>
      <c r="VH34">
        <v>0</v>
      </c>
      <c r="VI34">
        <v>0</v>
      </c>
      <c r="VJ34">
        <v>0</v>
      </c>
      <c r="VK34">
        <v>0</v>
      </c>
      <c r="VL34">
        <v>0</v>
      </c>
      <c r="VM34" s="11"/>
      <c r="VN34" s="11"/>
      <c r="VO34" s="11"/>
      <c r="VP34" s="11"/>
      <c r="VQ34" s="11"/>
      <c r="VR34" s="11"/>
      <c r="VS34" s="11"/>
      <c r="VT34" s="11"/>
      <c r="VU34" s="11"/>
      <c r="VV34" s="11"/>
      <c r="VW34" s="11"/>
      <c r="VX34">
        <v>0</v>
      </c>
      <c r="VY34">
        <v>0</v>
      </c>
      <c r="VZ34">
        <v>0</v>
      </c>
      <c r="WA34">
        <v>0</v>
      </c>
      <c r="WB34">
        <v>0</v>
      </c>
      <c r="WC34">
        <v>0</v>
      </c>
      <c r="WD34">
        <v>0</v>
      </c>
      <c r="WE34">
        <v>0</v>
      </c>
      <c r="WF34">
        <v>0</v>
      </c>
      <c r="WG34">
        <v>0</v>
      </c>
      <c r="WH34">
        <v>0</v>
      </c>
      <c r="WI34" s="11"/>
      <c r="WJ34" s="11"/>
      <c r="WK34" s="11"/>
      <c r="WL34" s="11"/>
      <c r="WM34" s="11"/>
      <c r="WN34" s="11"/>
      <c r="WO34" s="11"/>
      <c r="WP34" s="11"/>
      <c r="WQ34" s="11"/>
      <c r="WR34" s="11"/>
      <c r="WS34" s="11"/>
      <c r="WT34">
        <v>0</v>
      </c>
      <c r="WU34">
        <v>0</v>
      </c>
      <c r="WV34">
        <v>0</v>
      </c>
      <c r="WW34">
        <v>0</v>
      </c>
      <c r="WX34">
        <v>0</v>
      </c>
      <c r="WY34">
        <v>0</v>
      </c>
      <c r="WZ34">
        <v>0</v>
      </c>
      <c r="XA34">
        <v>0</v>
      </c>
      <c r="XB34">
        <v>0</v>
      </c>
      <c r="XC34">
        <v>0</v>
      </c>
      <c r="XD34">
        <v>0</v>
      </c>
      <c r="XE34" s="11"/>
      <c r="XF34" s="11"/>
      <c r="XG34" s="11"/>
      <c r="XH34" s="11"/>
      <c r="XI34" s="11"/>
      <c r="XJ34" s="11"/>
      <c r="XK34" s="11"/>
      <c r="XL34" s="11"/>
      <c r="XM34" s="11"/>
      <c r="XN34" s="11"/>
      <c r="XO34" s="11"/>
      <c r="XP34">
        <v>0</v>
      </c>
      <c r="XQ34">
        <v>0</v>
      </c>
      <c r="XR34">
        <v>0</v>
      </c>
      <c r="XS34">
        <v>0</v>
      </c>
      <c r="XT34">
        <v>0</v>
      </c>
      <c r="XU34">
        <v>0</v>
      </c>
      <c r="XV34">
        <v>0</v>
      </c>
      <c r="XW34">
        <v>0</v>
      </c>
      <c r="XX34">
        <v>0</v>
      </c>
      <c r="XY34">
        <v>0</v>
      </c>
      <c r="XZ34">
        <v>0</v>
      </c>
      <c r="YA34" s="11"/>
      <c r="YB34" s="11"/>
      <c r="YC34" s="11"/>
      <c r="YD34" s="11"/>
      <c r="YE34" s="11"/>
      <c r="YF34" s="11"/>
      <c r="YG34" s="11"/>
      <c r="YH34" s="11"/>
      <c r="YI34" s="11"/>
      <c r="YJ34" s="11"/>
      <c r="YK34" s="11"/>
      <c r="YL34">
        <v>0</v>
      </c>
      <c r="YM34">
        <v>0</v>
      </c>
      <c r="YN34">
        <v>0</v>
      </c>
      <c r="YO34">
        <v>0</v>
      </c>
      <c r="YP34">
        <v>0</v>
      </c>
      <c r="YQ34">
        <v>0</v>
      </c>
      <c r="YR34">
        <v>0</v>
      </c>
      <c r="YS34">
        <v>0</v>
      </c>
      <c r="YT34">
        <v>0</v>
      </c>
      <c r="YU34">
        <v>0</v>
      </c>
      <c r="YV34">
        <v>0</v>
      </c>
      <c r="YW34" s="11"/>
      <c r="YX34" s="11"/>
      <c r="YY34" s="11"/>
      <c r="YZ34" s="11"/>
      <c r="ZA34" s="11"/>
      <c r="ZB34" s="11"/>
      <c r="ZC34" s="11"/>
      <c r="ZD34" s="11"/>
      <c r="ZE34" s="11"/>
      <c r="ZF34" s="11"/>
      <c r="ZG34" s="11"/>
      <c r="ZH34">
        <v>0</v>
      </c>
      <c r="ZI34">
        <v>0</v>
      </c>
      <c r="ZJ34">
        <v>0</v>
      </c>
      <c r="ZK34">
        <v>0</v>
      </c>
      <c r="ZL34">
        <v>0</v>
      </c>
      <c r="ZM34">
        <v>0</v>
      </c>
      <c r="ZN34">
        <v>0</v>
      </c>
      <c r="ZO34">
        <v>0</v>
      </c>
      <c r="ZP34">
        <v>0</v>
      </c>
      <c r="ZQ34">
        <v>0</v>
      </c>
      <c r="ZR34">
        <v>0</v>
      </c>
      <c r="ZS34" s="11"/>
      <c r="ZT34" s="11"/>
      <c r="ZU34" s="11"/>
      <c r="ZV34" s="11"/>
      <c r="ZW34" s="11"/>
      <c r="ZX34" s="11"/>
      <c r="ZY34" s="11"/>
      <c r="ZZ34" s="11"/>
      <c r="AAA34" s="11"/>
      <c r="AAB34" s="11"/>
      <c r="AAC34" s="11"/>
    </row>
    <row r="35" spans="1:705" x14ac:dyDescent="0.2">
      <c r="A35">
        <v>4</v>
      </c>
      <c r="B35">
        <v>0</v>
      </c>
      <c r="C35">
        <v>0</v>
      </c>
      <c r="D35">
        <v>0</v>
      </c>
      <c r="E35">
        <f>$C$63*LOOKUP(B$1,OverwiewSecondStage!$B:$B,OverwiewSecondStage!$F:$F)</f>
        <v>5</v>
      </c>
      <c r="F35">
        <f>$C$62*LOOKUP(B$1,OverwiewSecondStage!$B:$B,OverwiewSecondStage!$E:$E)</f>
        <v>5</v>
      </c>
      <c r="G35">
        <f>$C$64*LOOKUP(B$1,OverwiewSecondStage!$B:$B,OverwiewSecondStage!$G:$G)</f>
        <v>5</v>
      </c>
      <c r="H35">
        <f>$C$62*LOOKUP(B$1,OverwiewSecondStage!$B:$B,OverwiewSecondStage!$E:$E)</f>
        <v>5</v>
      </c>
      <c r="I35">
        <f>$C$66*LOOKUP(B$1,OverwiewSecondStage!$B:$B,OverwiewSecondStage!$D:$D)</f>
        <v>10</v>
      </c>
      <c r="J35">
        <f>$C$65*LOOKUP(B$1,OverwiewSecondStage!$B:$B,OverwiewSecondStage!$C:$C)</f>
        <v>10</v>
      </c>
      <c r="K35">
        <v>0</v>
      </c>
      <c r="L35">
        <v>0</v>
      </c>
      <c r="X35">
        <v>0</v>
      </c>
      <c r="Y35">
        <v>0</v>
      </c>
      <c r="Z35">
        <v>0</v>
      </c>
      <c r="AA35">
        <f>$C$63*LOOKUP(X$1,OverwiewSecondStage!$B:$B,OverwiewSecondStage!$F:$F)</f>
        <v>5</v>
      </c>
      <c r="AB35">
        <f>$C$62*LOOKUP(X$1,OverwiewSecondStage!$B:$B,OverwiewSecondStage!$E:$E)</f>
        <v>5</v>
      </c>
      <c r="AC35">
        <f>$C$64*LOOKUP(X$1,OverwiewSecondStage!$B:$B,OverwiewSecondStage!$G:$G)</f>
        <v>5</v>
      </c>
      <c r="AD35">
        <f>$C$62*LOOKUP(X$1,OverwiewSecondStage!$B:$B,OverwiewSecondStage!$E:$E)</f>
        <v>5</v>
      </c>
      <c r="AE35">
        <f>$C$66*LOOKUP(X$1,OverwiewSecondStage!$B:$B,OverwiewSecondStage!$D:$D)</f>
        <v>-10</v>
      </c>
      <c r="AF35">
        <f>$C$65*LOOKUP(X$1,OverwiewSecondStage!$B:$B,OverwiewSecondStage!$C:$C)</f>
        <v>10</v>
      </c>
      <c r="AG35">
        <v>0</v>
      </c>
      <c r="AH35">
        <v>0</v>
      </c>
      <c r="AT35">
        <v>0</v>
      </c>
      <c r="AU35">
        <v>0</v>
      </c>
      <c r="AV35">
        <v>0</v>
      </c>
      <c r="AW35">
        <f>$C$63*LOOKUP(AT$1,OverwiewSecondStage!$B:$B,OverwiewSecondStage!$F:$F)</f>
        <v>5</v>
      </c>
      <c r="AX35">
        <f>$C$62*LOOKUP(AT$1,OverwiewSecondStage!$B:$B,OverwiewSecondStage!$E:$E)</f>
        <v>-5</v>
      </c>
      <c r="AY35">
        <f>$C$64*LOOKUP(AT$1,OverwiewSecondStage!$B:$B,OverwiewSecondStage!$G:$G)</f>
        <v>5</v>
      </c>
      <c r="AZ35">
        <f>$C$62*LOOKUP(AT$1,OverwiewSecondStage!$B:$B,OverwiewSecondStage!$E:$E)</f>
        <v>-5</v>
      </c>
      <c r="BA35">
        <f>$C$66*LOOKUP(AT$1,OverwiewSecondStage!$B:$B,OverwiewSecondStage!$D:$D)</f>
        <v>10</v>
      </c>
      <c r="BB35">
        <f>$C$65*LOOKUP(AT$1,OverwiewSecondStage!$B:$B,OverwiewSecondStage!$C:$C)</f>
        <v>10</v>
      </c>
      <c r="BC35">
        <v>0</v>
      </c>
      <c r="BD35">
        <v>0</v>
      </c>
      <c r="BP35">
        <v>0</v>
      </c>
      <c r="BQ35">
        <v>0</v>
      </c>
      <c r="BR35">
        <v>0</v>
      </c>
      <c r="BS35">
        <f>$C$63*LOOKUP(BP$1,OverwiewSecondStage!$B:$B,OverwiewSecondStage!$F:$F)</f>
        <v>5</v>
      </c>
      <c r="BT35">
        <f>$C$62*LOOKUP(BP$1,OverwiewSecondStage!$B:$B,OverwiewSecondStage!$E:$E)</f>
        <v>-5</v>
      </c>
      <c r="BU35">
        <f>$C$64*LOOKUP(BP$1,OverwiewSecondStage!$B:$B,OverwiewSecondStage!$G:$G)</f>
        <v>5</v>
      </c>
      <c r="BV35">
        <f>$C$62*LOOKUP(BP$1,OverwiewSecondStage!$B:$B,OverwiewSecondStage!$E:$E)</f>
        <v>-5</v>
      </c>
      <c r="BW35">
        <f>$C$66*LOOKUP(BP$1,OverwiewSecondStage!$B:$B,OverwiewSecondStage!$D:$D)</f>
        <v>-10</v>
      </c>
      <c r="BX35">
        <f>$C$65*LOOKUP(BP$1,OverwiewSecondStage!$B:$B,OverwiewSecondStage!$C:$C)</f>
        <v>10</v>
      </c>
      <c r="BY35">
        <v>0</v>
      </c>
      <c r="BZ35">
        <v>0</v>
      </c>
      <c r="CL35">
        <v>0</v>
      </c>
      <c r="CM35">
        <v>0</v>
      </c>
      <c r="CN35">
        <v>0</v>
      </c>
      <c r="CO35">
        <f>$C$63*LOOKUP(CL$1,OverwiewSecondStage!$B:$B,OverwiewSecondStage!$F:$F)</f>
        <v>-5</v>
      </c>
      <c r="CP35">
        <f>$C$62*LOOKUP(CL$1,OverwiewSecondStage!$B:$B,OverwiewSecondStage!$E:$E)</f>
        <v>5</v>
      </c>
      <c r="CQ35">
        <f>$C$64*LOOKUP(CL$1,OverwiewSecondStage!$B:$B,OverwiewSecondStage!$G:$G)</f>
        <v>5</v>
      </c>
      <c r="CR35">
        <f>$C$62*LOOKUP(CL$1,OverwiewSecondStage!$B:$B,OverwiewSecondStage!$E:$E)</f>
        <v>5</v>
      </c>
      <c r="CS35">
        <f>$C$66*LOOKUP(CL$1,OverwiewSecondStage!$B:$B,OverwiewSecondStage!$D:$D)</f>
        <v>10</v>
      </c>
      <c r="CT35">
        <f>$C$65*LOOKUP(CL$1,OverwiewSecondStage!$B:$B,OverwiewSecondStage!$C:$C)</f>
        <v>10</v>
      </c>
      <c r="CU35">
        <v>0</v>
      </c>
      <c r="CV35">
        <v>0</v>
      </c>
      <c r="DH35">
        <v>0</v>
      </c>
      <c r="DI35">
        <v>0</v>
      </c>
      <c r="DJ35">
        <v>0</v>
      </c>
      <c r="DK35">
        <f>$C$63*LOOKUP(DH$1,OverwiewSecondStage!$B:$B,OverwiewSecondStage!$F:$F)</f>
        <v>-5</v>
      </c>
      <c r="DL35">
        <f>$C$62*LOOKUP(DH$1,OverwiewSecondStage!$B:$B,OverwiewSecondStage!$E:$E)</f>
        <v>5</v>
      </c>
      <c r="DM35">
        <f>$C$64*LOOKUP(DH$1,OverwiewSecondStage!$B:$B,OverwiewSecondStage!$G:$G)</f>
        <v>5</v>
      </c>
      <c r="DN35">
        <f>$C$62*LOOKUP(DH$1,OverwiewSecondStage!$B:$B,OverwiewSecondStage!$E:$E)</f>
        <v>5</v>
      </c>
      <c r="DO35">
        <f>$C$66*LOOKUP(DH$1,OverwiewSecondStage!$B:$B,OverwiewSecondStage!$D:$D)</f>
        <v>-10</v>
      </c>
      <c r="DP35">
        <f>$C$65*LOOKUP(DH$1,OverwiewSecondStage!$B:$B,OverwiewSecondStage!$C:$C)</f>
        <v>10</v>
      </c>
      <c r="DQ35">
        <v>0</v>
      </c>
      <c r="DR35">
        <v>0</v>
      </c>
      <c r="ED35">
        <v>0</v>
      </c>
      <c r="EE35">
        <v>0</v>
      </c>
      <c r="EF35">
        <v>0</v>
      </c>
      <c r="EG35">
        <f>$C$63*LOOKUP(ED$1,OverwiewSecondStage!$B:$B,OverwiewSecondStage!$F:$F)</f>
        <v>-5</v>
      </c>
      <c r="EH35">
        <f>$C$62*LOOKUP(ED$1,OverwiewSecondStage!$B:$B,OverwiewSecondStage!$E:$E)</f>
        <v>-5</v>
      </c>
      <c r="EI35">
        <f>$C$64*LOOKUP(ED$1,OverwiewSecondStage!$B:$B,OverwiewSecondStage!$G:$G)</f>
        <v>5</v>
      </c>
      <c r="EJ35">
        <f>$C$62*LOOKUP(ED$1,OverwiewSecondStage!$B:$B,OverwiewSecondStage!$E:$E)</f>
        <v>-5</v>
      </c>
      <c r="EK35">
        <f>$C$66*LOOKUP(ED$1,OverwiewSecondStage!$B:$B,OverwiewSecondStage!$D:$D)</f>
        <v>10</v>
      </c>
      <c r="EL35">
        <f>$C$65*LOOKUP(ED$1,OverwiewSecondStage!$B:$B,OverwiewSecondStage!$C:$C)</f>
        <v>10</v>
      </c>
      <c r="EM35">
        <v>0</v>
      </c>
      <c r="EN35">
        <v>0</v>
      </c>
      <c r="EZ35">
        <v>0</v>
      </c>
      <c r="FA35">
        <v>0</v>
      </c>
      <c r="FB35">
        <v>0</v>
      </c>
      <c r="FC35">
        <f>$C$63*LOOKUP(EZ$1,OverwiewSecondStage!$B:$B,OverwiewSecondStage!$F:$F)</f>
        <v>-5</v>
      </c>
      <c r="FD35">
        <f>$C$62*LOOKUP(EZ$1,OverwiewSecondStage!$B:$B,OverwiewSecondStage!$E:$E)</f>
        <v>-5</v>
      </c>
      <c r="FE35">
        <f>$C$64*LOOKUP(EZ$1,OverwiewSecondStage!$B:$B,OverwiewSecondStage!$G:$G)</f>
        <v>5</v>
      </c>
      <c r="FF35">
        <f>$C$62*LOOKUP(EZ$1,OverwiewSecondStage!$B:$B,OverwiewSecondStage!$E:$E)</f>
        <v>-5</v>
      </c>
      <c r="FG35">
        <f>$C$66*LOOKUP(EZ$1,OverwiewSecondStage!$B:$B,OverwiewSecondStage!$D:$D)</f>
        <v>-10</v>
      </c>
      <c r="FH35">
        <f>$C$65*LOOKUP(EZ$1,OverwiewSecondStage!$B:$B,OverwiewSecondStage!$C:$C)</f>
        <v>10</v>
      </c>
      <c r="FI35">
        <v>0</v>
      </c>
      <c r="FJ35">
        <v>0</v>
      </c>
      <c r="FV35">
        <v>0</v>
      </c>
      <c r="FW35">
        <v>0</v>
      </c>
      <c r="FX35">
        <v>0</v>
      </c>
      <c r="FY35">
        <f>$C$63*LOOKUP(FV$1,OverwiewSecondStage!$B:$B,OverwiewSecondStage!$F:$F)</f>
        <v>5</v>
      </c>
      <c r="FZ35">
        <f>$C$62*LOOKUP(FV$1,OverwiewSecondStage!$B:$B,OverwiewSecondStage!$E:$E)</f>
        <v>5</v>
      </c>
      <c r="GA35">
        <f>$C$64*LOOKUP(FV$1,OverwiewSecondStage!$B:$B,OverwiewSecondStage!$G:$G)</f>
        <v>-5</v>
      </c>
      <c r="GB35">
        <f>$C$62*LOOKUP(FV$1,OverwiewSecondStage!$B:$B,OverwiewSecondStage!$E:$E)</f>
        <v>5</v>
      </c>
      <c r="GC35">
        <f>$C$66*LOOKUP(FV$1,OverwiewSecondStage!$B:$B,OverwiewSecondStage!$D:$D)</f>
        <v>10</v>
      </c>
      <c r="GD35">
        <f>$C$65*LOOKUP(FV$1,OverwiewSecondStage!$B:$B,OverwiewSecondStage!$C:$C)</f>
        <v>10</v>
      </c>
      <c r="GE35">
        <v>0</v>
      </c>
      <c r="GF35">
        <v>0</v>
      </c>
      <c r="GR35">
        <v>0</v>
      </c>
      <c r="GS35">
        <v>0</v>
      </c>
      <c r="GT35">
        <v>0</v>
      </c>
      <c r="GU35">
        <f>$C$63*LOOKUP(GR$1,OverwiewSecondStage!$B:$B,OverwiewSecondStage!$F:$F)</f>
        <v>5</v>
      </c>
      <c r="GV35">
        <f>$C$62*LOOKUP(GR$1,OverwiewSecondStage!$B:$B,OverwiewSecondStage!$E:$E)</f>
        <v>5</v>
      </c>
      <c r="GW35">
        <f>$C$64*LOOKUP(GR$1,OverwiewSecondStage!$B:$B,OverwiewSecondStage!$G:$G)</f>
        <v>-5</v>
      </c>
      <c r="GX35">
        <f>$C$62*LOOKUP(GR$1,OverwiewSecondStage!$B:$B,OverwiewSecondStage!$E:$E)</f>
        <v>5</v>
      </c>
      <c r="GY35">
        <f>$C$66*LOOKUP(GR$1,OverwiewSecondStage!$B:$B,OverwiewSecondStage!$D:$D)</f>
        <v>-10</v>
      </c>
      <c r="GZ35">
        <f>$C$65*LOOKUP(GR$1,OverwiewSecondStage!$B:$B,OverwiewSecondStage!$C:$C)</f>
        <v>10</v>
      </c>
      <c r="HA35">
        <v>0</v>
      </c>
      <c r="HB35">
        <v>0</v>
      </c>
      <c r="HN35">
        <v>0</v>
      </c>
      <c r="HO35">
        <v>0</v>
      </c>
      <c r="HP35">
        <v>0</v>
      </c>
      <c r="HQ35">
        <f>$C$63*LOOKUP(HN$1,OverwiewSecondStage!$B:$B,OverwiewSecondStage!$F:$F)</f>
        <v>5</v>
      </c>
      <c r="HR35">
        <f>$C$62*LOOKUP(HN$1,OverwiewSecondStage!$B:$B,OverwiewSecondStage!$E:$E)</f>
        <v>-5</v>
      </c>
      <c r="HS35">
        <f>$C$64*LOOKUP(HN$1,OverwiewSecondStage!$B:$B,OverwiewSecondStage!$G:$G)</f>
        <v>-5</v>
      </c>
      <c r="HT35">
        <f>$C$62*LOOKUP(HN$1,OverwiewSecondStage!$B:$B,OverwiewSecondStage!$E:$E)</f>
        <v>-5</v>
      </c>
      <c r="HU35">
        <f>$C$66*LOOKUP(HN$1,OverwiewSecondStage!$B:$B,OverwiewSecondStage!$D:$D)</f>
        <v>10</v>
      </c>
      <c r="HV35">
        <f>$C$65*LOOKUP(HN$1,OverwiewSecondStage!$B:$B,OverwiewSecondStage!$C:$C)</f>
        <v>10</v>
      </c>
      <c r="HW35">
        <v>0</v>
      </c>
      <c r="HX35">
        <v>0</v>
      </c>
      <c r="IJ35">
        <v>0</v>
      </c>
      <c r="IK35">
        <v>0</v>
      </c>
      <c r="IL35">
        <v>0</v>
      </c>
      <c r="IM35">
        <f>$C$63*LOOKUP(IJ$1,OverwiewSecondStage!$B:$B,OverwiewSecondStage!$F:$F)</f>
        <v>5</v>
      </c>
      <c r="IN35">
        <f>$C$62*LOOKUP(IJ$1,OverwiewSecondStage!$B:$B,OverwiewSecondStage!$E:$E)</f>
        <v>-5</v>
      </c>
      <c r="IO35">
        <f>$C$64*LOOKUP(IJ$1,OverwiewSecondStage!$B:$B,OverwiewSecondStage!$G:$G)</f>
        <v>-5</v>
      </c>
      <c r="IP35">
        <f>$C$62*LOOKUP(IJ$1,OverwiewSecondStage!$B:$B,OverwiewSecondStage!$E:$E)</f>
        <v>-5</v>
      </c>
      <c r="IQ35">
        <f>$C$66*LOOKUP(IJ$1,OverwiewSecondStage!$B:$B,OverwiewSecondStage!$D:$D)</f>
        <v>-10</v>
      </c>
      <c r="IR35">
        <f>$C$65*LOOKUP(IJ$1,OverwiewSecondStage!$B:$B,OverwiewSecondStage!$C:$C)</f>
        <v>10</v>
      </c>
      <c r="IS35">
        <v>0</v>
      </c>
      <c r="IT35">
        <v>0</v>
      </c>
      <c r="JF35">
        <v>0</v>
      </c>
      <c r="JG35">
        <v>0</v>
      </c>
      <c r="JH35">
        <v>0</v>
      </c>
      <c r="JI35">
        <f>$C$63*LOOKUP(JF$1,OverwiewSecondStage!$B:$B,OverwiewSecondStage!$F:$F)</f>
        <v>-5</v>
      </c>
      <c r="JJ35">
        <f>$C$62*LOOKUP(JF$1,OverwiewSecondStage!$B:$B,OverwiewSecondStage!$E:$E)</f>
        <v>5</v>
      </c>
      <c r="JK35">
        <f>$C$64*LOOKUP(JF$1,OverwiewSecondStage!$B:$B,OverwiewSecondStage!$G:$G)</f>
        <v>-5</v>
      </c>
      <c r="JL35">
        <f>$C$62*LOOKUP(JF$1,OverwiewSecondStage!$B:$B,OverwiewSecondStage!$E:$E)</f>
        <v>5</v>
      </c>
      <c r="JM35">
        <f>$C$66*LOOKUP(JF$1,OverwiewSecondStage!$B:$B,OverwiewSecondStage!$D:$D)</f>
        <v>10</v>
      </c>
      <c r="JN35">
        <f>$C$65*LOOKUP(JF$1,OverwiewSecondStage!$B:$B,OverwiewSecondStage!$C:$C)</f>
        <v>10</v>
      </c>
      <c r="JO35">
        <v>0</v>
      </c>
      <c r="JP35">
        <v>0</v>
      </c>
      <c r="KB35">
        <v>0</v>
      </c>
      <c r="KC35">
        <v>0</v>
      </c>
      <c r="KD35">
        <v>0</v>
      </c>
      <c r="KE35">
        <f>$C$63*LOOKUP(KB$1,OverwiewSecondStage!$B:$B,OverwiewSecondStage!$F:$F)</f>
        <v>-5</v>
      </c>
      <c r="KF35">
        <f>$C$62*LOOKUP(KB$1,OverwiewSecondStage!$B:$B,OverwiewSecondStage!$E:$E)</f>
        <v>5</v>
      </c>
      <c r="KG35">
        <f>$C$64*LOOKUP(KB$1,OverwiewSecondStage!$B:$B,OverwiewSecondStage!$G:$G)</f>
        <v>-5</v>
      </c>
      <c r="KH35">
        <f>$C$62*LOOKUP(KB$1,OverwiewSecondStage!$B:$B,OverwiewSecondStage!$E:$E)</f>
        <v>5</v>
      </c>
      <c r="KI35">
        <f>$C$66*LOOKUP(KB$1,OverwiewSecondStage!$B:$B,OverwiewSecondStage!$D:$D)</f>
        <v>-10</v>
      </c>
      <c r="KJ35">
        <f>$C$65*LOOKUP(KB$1,OverwiewSecondStage!$B:$B,OverwiewSecondStage!$C:$C)</f>
        <v>10</v>
      </c>
      <c r="KK35">
        <v>0</v>
      </c>
      <c r="KL35">
        <v>0</v>
      </c>
      <c r="KX35">
        <v>0</v>
      </c>
      <c r="KY35">
        <v>0</v>
      </c>
      <c r="KZ35">
        <v>0</v>
      </c>
      <c r="LA35">
        <f>$C$63*LOOKUP(KX$1,OverwiewSecondStage!$B:$B,OverwiewSecondStage!$F:$F)</f>
        <v>-5</v>
      </c>
      <c r="LB35">
        <f>$C$62*LOOKUP(KX$1,OverwiewSecondStage!$B:$B,OverwiewSecondStage!$E:$E)</f>
        <v>-5</v>
      </c>
      <c r="LC35">
        <f>$C$64*LOOKUP(KX$1,OverwiewSecondStage!$B:$B,OverwiewSecondStage!$G:$G)</f>
        <v>-5</v>
      </c>
      <c r="LD35">
        <f>$C$62*LOOKUP(KX$1,OverwiewSecondStage!$B:$B,OverwiewSecondStage!$E:$E)</f>
        <v>-5</v>
      </c>
      <c r="LE35">
        <f>$C$66*LOOKUP(KX$1,OverwiewSecondStage!$B:$B,OverwiewSecondStage!$D:$D)</f>
        <v>10</v>
      </c>
      <c r="LF35">
        <f>$C$65*LOOKUP(KX$1,OverwiewSecondStage!$B:$B,OverwiewSecondStage!$C:$C)</f>
        <v>10</v>
      </c>
      <c r="LG35">
        <v>0</v>
      </c>
      <c r="LH35">
        <v>0</v>
      </c>
      <c r="LT35">
        <v>0</v>
      </c>
      <c r="LU35">
        <v>0</v>
      </c>
      <c r="LV35">
        <v>0</v>
      </c>
      <c r="LW35">
        <f>$C$63*LOOKUP(LT$1,OverwiewSecondStage!$B:$B,OverwiewSecondStage!$F:$F)</f>
        <v>-5</v>
      </c>
      <c r="LX35">
        <f>$C$62*LOOKUP(LT$1,OverwiewSecondStage!$B:$B,OverwiewSecondStage!$E:$E)</f>
        <v>-5</v>
      </c>
      <c r="LY35">
        <f>$C$64*LOOKUP(LT$1,OverwiewSecondStage!$B:$B,OverwiewSecondStage!$G:$G)</f>
        <v>-5</v>
      </c>
      <c r="LZ35">
        <f>$C$62*LOOKUP(LT$1,OverwiewSecondStage!$B:$B,OverwiewSecondStage!$E:$E)</f>
        <v>-5</v>
      </c>
      <c r="MA35">
        <f>$C$66*LOOKUP(LT$1,OverwiewSecondStage!$B:$B,OverwiewSecondStage!$D:$D)</f>
        <v>-10</v>
      </c>
      <c r="MB35">
        <f>$C$65*LOOKUP(LT$1,OverwiewSecondStage!$B:$B,OverwiewSecondStage!$C:$C)</f>
        <v>10</v>
      </c>
      <c r="MC35">
        <v>0</v>
      </c>
      <c r="MD35">
        <v>0</v>
      </c>
      <c r="MP35">
        <v>0</v>
      </c>
      <c r="MQ35">
        <v>0</v>
      </c>
      <c r="MR35">
        <v>0</v>
      </c>
      <c r="MS35">
        <f>$C$63*LOOKUP(MP$1,OverwiewSecondStage!$B:$B,OverwiewSecondStage!$F:$F)</f>
        <v>5</v>
      </c>
      <c r="MT35">
        <f>$C$62*LOOKUP(MP$1,OverwiewSecondStage!$B:$B,OverwiewSecondStage!$E:$E)</f>
        <v>5</v>
      </c>
      <c r="MU35">
        <f>$C$64*LOOKUP(MP$1,OverwiewSecondStage!$B:$B,OverwiewSecondStage!$G:$G)</f>
        <v>5</v>
      </c>
      <c r="MV35">
        <f>$C$62*LOOKUP(MP$1,OverwiewSecondStage!$B:$B,OverwiewSecondStage!$E:$E)</f>
        <v>5</v>
      </c>
      <c r="MW35">
        <f>$C$66*LOOKUP(MP$1,OverwiewSecondStage!$B:$B,OverwiewSecondStage!$D:$D)</f>
        <v>10</v>
      </c>
      <c r="MX35">
        <f>$C$65*LOOKUP(MP$1,OverwiewSecondStage!$B:$B,OverwiewSecondStage!$C:$C)</f>
        <v>-10</v>
      </c>
      <c r="MY35">
        <v>0</v>
      </c>
      <c r="MZ35">
        <v>0</v>
      </c>
      <c r="NL35">
        <v>0</v>
      </c>
      <c r="NM35">
        <v>0</v>
      </c>
      <c r="NN35">
        <v>0</v>
      </c>
      <c r="NO35">
        <f>$C$63*LOOKUP(NL$1,OverwiewSecondStage!$B:$B,OverwiewSecondStage!$F:$F)</f>
        <v>5</v>
      </c>
      <c r="NP35">
        <f>$C$62*LOOKUP(NL$1,OverwiewSecondStage!$B:$B,OverwiewSecondStage!$E:$E)</f>
        <v>5</v>
      </c>
      <c r="NQ35">
        <f>$C$64*LOOKUP(NL$1,OverwiewSecondStage!$B:$B,OverwiewSecondStage!$G:$G)</f>
        <v>5</v>
      </c>
      <c r="NR35">
        <f>$C$62*LOOKUP(NL$1,OverwiewSecondStage!$B:$B,OverwiewSecondStage!$E:$E)</f>
        <v>5</v>
      </c>
      <c r="NS35">
        <f>$C$66*LOOKUP(NL$1,OverwiewSecondStage!$B:$B,OverwiewSecondStage!$D:$D)</f>
        <v>-10</v>
      </c>
      <c r="NT35">
        <f>$C$65*LOOKUP(NL$1,OverwiewSecondStage!$B:$B,OverwiewSecondStage!$C:$C)</f>
        <v>-10</v>
      </c>
      <c r="NU35">
        <v>0</v>
      </c>
      <c r="NV35">
        <v>0</v>
      </c>
      <c r="NW35" s="11"/>
      <c r="NX35" s="11"/>
      <c r="NY35" s="11"/>
      <c r="NZ35" s="11"/>
      <c r="OA35" s="11"/>
      <c r="OB35" s="11"/>
      <c r="OC35" s="11"/>
      <c r="OD35" s="11"/>
      <c r="OE35" s="11"/>
      <c r="OF35" s="11"/>
      <c r="OG35" s="11"/>
      <c r="OH35">
        <v>0</v>
      </c>
      <c r="OI35">
        <v>0</v>
      </c>
      <c r="OJ35">
        <v>0</v>
      </c>
      <c r="OK35">
        <f>$C$63*LOOKUP(OH$1,OverwiewSecondStage!$B:$B,OverwiewSecondStage!$F:$F)</f>
        <v>5</v>
      </c>
      <c r="OL35">
        <f>$C$62*LOOKUP(OH$1,OverwiewSecondStage!$B:$B,OverwiewSecondStage!$E:$E)</f>
        <v>-5</v>
      </c>
      <c r="OM35">
        <f>$C$64*LOOKUP(OH$1,OverwiewSecondStage!$B:$B,OverwiewSecondStage!$G:$G)</f>
        <v>5</v>
      </c>
      <c r="ON35">
        <f>$C$62*LOOKUP(OH$1,OverwiewSecondStage!$B:$B,OverwiewSecondStage!$E:$E)</f>
        <v>-5</v>
      </c>
      <c r="OO35">
        <f>$C$66*LOOKUP(OH$1,OverwiewSecondStage!$B:$B,OverwiewSecondStage!$D:$D)</f>
        <v>10</v>
      </c>
      <c r="OP35">
        <f>$C$65*LOOKUP(OH$1,OverwiewSecondStage!$B:$B,OverwiewSecondStage!$C:$C)</f>
        <v>-10</v>
      </c>
      <c r="OQ35">
        <v>0</v>
      </c>
      <c r="OR35">
        <v>0</v>
      </c>
      <c r="OS35" s="11"/>
      <c r="OT35" s="11"/>
      <c r="OU35" s="11"/>
      <c r="OV35" s="11"/>
      <c r="OW35" s="11"/>
      <c r="OX35" s="11"/>
      <c r="OY35" s="11"/>
      <c r="OZ35" s="11"/>
      <c r="PA35" s="11"/>
      <c r="PB35" s="11"/>
      <c r="PC35" s="11"/>
      <c r="PD35">
        <v>0</v>
      </c>
      <c r="PE35">
        <v>0</v>
      </c>
      <c r="PF35">
        <v>0</v>
      </c>
      <c r="PG35">
        <f>$C$63*LOOKUP(PD$1,OverwiewSecondStage!$B:$B,OverwiewSecondStage!$F:$F)</f>
        <v>5</v>
      </c>
      <c r="PH35">
        <f>$C$62*LOOKUP(PD$1,OverwiewSecondStage!$B:$B,OverwiewSecondStage!$E:$E)</f>
        <v>-5</v>
      </c>
      <c r="PI35">
        <f>$C$64*LOOKUP(PD$1,OverwiewSecondStage!$B:$B,OverwiewSecondStage!$G:$G)</f>
        <v>5</v>
      </c>
      <c r="PJ35">
        <f>$C$62*LOOKUP(PD$1,OverwiewSecondStage!$B:$B,OverwiewSecondStage!$E:$E)</f>
        <v>-5</v>
      </c>
      <c r="PK35">
        <f>$C$66*LOOKUP(PD$1,OverwiewSecondStage!$B:$B,OverwiewSecondStage!$D:$D)</f>
        <v>-10</v>
      </c>
      <c r="PL35">
        <f>$C$65*LOOKUP(PD$1,OverwiewSecondStage!$B:$B,OverwiewSecondStage!$C:$C)</f>
        <v>-10</v>
      </c>
      <c r="PM35">
        <v>0</v>
      </c>
      <c r="PN35">
        <v>0</v>
      </c>
      <c r="PO35" s="11"/>
      <c r="PP35" s="11"/>
      <c r="PQ35" s="11"/>
      <c r="PR35" s="11"/>
      <c r="PS35" s="11"/>
      <c r="PT35" s="11"/>
      <c r="PU35" s="11"/>
      <c r="PV35" s="11"/>
      <c r="PW35" s="11"/>
      <c r="PX35" s="11"/>
      <c r="PY35" s="11"/>
      <c r="PZ35">
        <v>0</v>
      </c>
      <c r="QA35">
        <v>0</v>
      </c>
      <c r="QB35">
        <v>0</v>
      </c>
      <c r="QC35">
        <f>$C$63*LOOKUP(PZ$1,OverwiewSecondStage!$B:$B,OverwiewSecondStage!$F:$F)</f>
        <v>-5</v>
      </c>
      <c r="QD35">
        <f>$C$62*LOOKUP(PZ$1,OverwiewSecondStage!$B:$B,OverwiewSecondStage!$E:$E)</f>
        <v>5</v>
      </c>
      <c r="QE35">
        <f>$C$64*LOOKUP(PZ$1,OverwiewSecondStage!$B:$B,OverwiewSecondStage!$G:$G)</f>
        <v>5</v>
      </c>
      <c r="QF35">
        <f>$C$62*LOOKUP(PZ$1,OverwiewSecondStage!$B:$B,OverwiewSecondStage!$E:$E)</f>
        <v>5</v>
      </c>
      <c r="QG35">
        <f>$C$66*LOOKUP(PZ$1,OverwiewSecondStage!$B:$B,OverwiewSecondStage!$D:$D)</f>
        <v>10</v>
      </c>
      <c r="QH35">
        <f>$C$65*LOOKUP(PZ$1,OverwiewSecondStage!$B:$B,OverwiewSecondStage!$C:$C)</f>
        <v>-10</v>
      </c>
      <c r="QI35">
        <v>0</v>
      </c>
      <c r="QJ35">
        <v>0</v>
      </c>
      <c r="QK35" s="11"/>
      <c r="QL35" s="11"/>
      <c r="QM35" s="11"/>
      <c r="QN35" s="11"/>
      <c r="QO35" s="11"/>
      <c r="QP35" s="11"/>
      <c r="QQ35" s="11"/>
      <c r="QR35" s="11"/>
      <c r="QS35" s="11"/>
      <c r="QT35" s="11"/>
      <c r="QU35" s="11"/>
      <c r="QV35">
        <v>0</v>
      </c>
      <c r="QW35">
        <v>0</v>
      </c>
      <c r="QX35">
        <v>0</v>
      </c>
      <c r="QY35">
        <f>$C$63*LOOKUP(QV$1,OverwiewSecondStage!$B:$B,OverwiewSecondStage!$F:$F)</f>
        <v>-5</v>
      </c>
      <c r="QZ35">
        <f>$C$62*LOOKUP(QV$1,OverwiewSecondStage!$B:$B,OverwiewSecondStage!$E:$E)</f>
        <v>5</v>
      </c>
      <c r="RA35">
        <f>$C$64*LOOKUP(QV$1,OverwiewSecondStage!$B:$B,OverwiewSecondStage!$G:$G)</f>
        <v>5</v>
      </c>
      <c r="RB35">
        <f>$C$62*LOOKUP(QV$1,OverwiewSecondStage!$B:$B,OverwiewSecondStage!$E:$E)</f>
        <v>5</v>
      </c>
      <c r="RC35">
        <f>$C$66*LOOKUP(QV$1,OverwiewSecondStage!$B:$B,OverwiewSecondStage!$D:$D)</f>
        <v>-10</v>
      </c>
      <c r="RD35">
        <f>$C$65*LOOKUP(QV$1,OverwiewSecondStage!$B:$B,OverwiewSecondStage!$C:$C)</f>
        <v>-10</v>
      </c>
      <c r="RE35">
        <v>0</v>
      </c>
      <c r="RF35">
        <v>0</v>
      </c>
      <c r="RG35" s="11"/>
      <c r="RH35" s="11"/>
      <c r="RI35" s="11"/>
      <c r="RJ35" s="11"/>
      <c r="RK35" s="11"/>
      <c r="RL35" s="11"/>
      <c r="RM35" s="11"/>
      <c r="RN35" s="11"/>
      <c r="RO35" s="11"/>
      <c r="RP35" s="11"/>
      <c r="RQ35" s="11"/>
      <c r="RR35">
        <v>0</v>
      </c>
      <c r="RS35">
        <v>0</v>
      </c>
      <c r="RT35">
        <v>0</v>
      </c>
      <c r="RU35">
        <f>$C$63*LOOKUP(RR$1,OverwiewSecondStage!$B:$B,OverwiewSecondStage!$F:$F)</f>
        <v>-5</v>
      </c>
      <c r="RV35">
        <f>$C$62*LOOKUP(RR$1,OverwiewSecondStage!$B:$B,OverwiewSecondStage!$E:$E)</f>
        <v>-5</v>
      </c>
      <c r="RW35">
        <f>$C$64*LOOKUP(RR$1,OverwiewSecondStage!$B:$B,OverwiewSecondStage!$G:$G)</f>
        <v>5</v>
      </c>
      <c r="RX35">
        <f>$C$62*LOOKUP(RR$1,OverwiewSecondStage!$B:$B,OverwiewSecondStage!$E:$E)</f>
        <v>-5</v>
      </c>
      <c r="RY35">
        <f>$C$66*LOOKUP(RR$1,OverwiewSecondStage!$B:$B,OverwiewSecondStage!$D:$D)</f>
        <v>10</v>
      </c>
      <c r="RZ35">
        <f>$C$65*LOOKUP(RR$1,OverwiewSecondStage!$B:$B,OverwiewSecondStage!$C:$C)</f>
        <v>-10</v>
      </c>
      <c r="SA35">
        <v>0</v>
      </c>
      <c r="SB35">
        <v>0</v>
      </c>
      <c r="SC35" s="11"/>
      <c r="SD35" s="11"/>
      <c r="SE35" s="11"/>
      <c r="SF35" s="11"/>
      <c r="SG35" s="11"/>
      <c r="SH35" s="11"/>
      <c r="SI35" s="11"/>
      <c r="SJ35" s="11"/>
      <c r="SK35" s="11"/>
      <c r="SL35" s="11"/>
      <c r="SM35" s="11"/>
      <c r="SN35">
        <v>0</v>
      </c>
      <c r="SO35">
        <v>0</v>
      </c>
      <c r="SP35">
        <v>0</v>
      </c>
      <c r="SQ35">
        <f>$C$63*LOOKUP(SN$1,OverwiewSecondStage!$B:$B,OverwiewSecondStage!$F:$F)</f>
        <v>-5</v>
      </c>
      <c r="SR35">
        <f>$C$62*LOOKUP(SN$1,OverwiewSecondStage!$B:$B,OverwiewSecondStage!$E:$E)</f>
        <v>-5</v>
      </c>
      <c r="SS35">
        <f>$C$64*LOOKUP(SN$1,OverwiewSecondStage!$B:$B,OverwiewSecondStage!$G:$G)</f>
        <v>5</v>
      </c>
      <c r="ST35">
        <f>$C$62*LOOKUP(SN$1,OverwiewSecondStage!$B:$B,OverwiewSecondStage!$E:$E)</f>
        <v>-5</v>
      </c>
      <c r="SU35">
        <f>$C$66*LOOKUP(SN$1,OverwiewSecondStage!$B:$B,OverwiewSecondStage!$D:$D)</f>
        <v>-10</v>
      </c>
      <c r="SV35">
        <f>$C$65*LOOKUP(SN$1,OverwiewSecondStage!$B:$B,OverwiewSecondStage!$C:$C)</f>
        <v>-10</v>
      </c>
      <c r="SW35">
        <v>0</v>
      </c>
      <c r="SX35">
        <v>0</v>
      </c>
      <c r="SY35" s="11"/>
      <c r="SZ35" s="11"/>
      <c r="TA35" s="11"/>
      <c r="TB35" s="11"/>
      <c r="TC35" s="11"/>
      <c r="TD35" s="11"/>
      <c r="TE35" s="11"/>
      <c r="TF35" s="11"/>
      <c r="TG35" s="11"/>
      <c r="TH35" s="11"/>
      <c r="TI35" s="11"/>
      <c r="TJ35">
        <v>0</v>
      </c>
      <c r="TK35">
        <v>0</v>
      </c>
      <c r="TL35">
        <v>0</v>
      </c>
      <c r="TM35">
        <f>$C$63*LOOKUP(TJ$1,OverwiewSecondStage!$B:$B,OverwiewSecondStage!$F:$F)</f>
        <v>5</v>
      </c>
      <c r="TN35">
        <f>$C$62*LOOKUP(TJ$1,OverwiewSecondStage!$B:$B,OverwiewSecondStage!$E:$E)</f>
        <v>5</v>
      </c>
      <c r="TO35">
        <f>$C$64*LOOKUP(TJ$1,OverwiewSecondStage!$B:$B,OverwiewSecondStage!$G:$G)</f>
        <v>-5</v>
      </c>
      <c r="TP35">
        <f>$C$62*LOOKUP(TJ$1,OverwiewSecondStage!$B:$B,OverwiewSecondStage!$E:$E)</f>
        <v>5</v>
      </c>
      <c r="TQ35">
        <f>$C$66*LOOKUP(TJ$1,OverwiewSecondStage!$B:$B,OverwiewSecondStage!$D:$D)</f>
        <v>10</v>
      </c>
      <c r="TR35">
        <f>$C$65*LOOKUP(TJ$1,OverwiewSecondStage!$B:$B,OverwiewSecondStage!$C:$C)</f>
        <v>-10</v>
      </c>
      <c r="TS35">
        <v>0</v>
      </c>
      <c r="TT35">
        <v>0</v>
      </c>
      <c r="TU35" s="11"/>
      <c r="TV35" s="11"/>
      <c r="TW35" s="11"/>
      <c r="TX35" s="11"/>
      <c r="TY35" s="11"/>
      <c r="TZ35" s="11"/>
      <c r="UA35" s="11"/>
      <c r="UB35" s="11"/>
      <c r="UC35" s="11"/>
      <c r="UD35" s="11"/>
      <c r="UE35" s="11"/>
      <c r="UF35">
        <v>0</v>
      </c>
      <c r="UG35">
        <v>0</v>
      </c>
      <c r="UH35">
        <v>0</v>
      </c>
      <c r="UI35">
        <f>$C$63*LOOKUP(UF$1,OverwiewSecondStage!$B:$B,OverwiewSecondStage!$F:$F)</f>
        <v>5</v>
      </c>
      <c r="UJ35">
        <f>$C$62*LOOKUP(UF$1,OverwiewSecondStage!$B:$B,OverwiewSecondStage!$E:$E)</f>
        <v>5</v>
      </c>
      <c r="UK35">
        <f>$C$64*LOOKUP(UF$1,OverwiewSecondStage!$B:$B,OverwiewSecondStage!$G:$G)</f>
        <v>-5</v>
      </c>
      <c r="UL35">
        <f>$C$62*LOOKUP(UF$1,OverwiewSecondStage!$B:$B,OverwiewSecondStage!$E:$E)</f>
        <v>5</v>
      </c>
      <c r="UM35">
        <f>$C$66*LOOKUP(UF$1,OverwiewSecondStage!$B:$B,OverwiewSecondStage!$D:$D)</f>
        <v>-10</v>
      </c>
      <c r="UN35">
        <f>$C$65*LOOKUP(UF$1,OverwiewSecondStage!$B:$B,OverwiewSecondStage!$C:$C)</f>
        <v>-10</v>
      </c>
      <c r="UO35">
        <v>0</v>
      </c>
      <c r="UP35">
        <v>0</v>
      </c>
      <c r="UQ35" s="11"/>
      <c r="UR35" s="11"/>
      <c r="US35" s="11"/>
      <c r="UT35" s="11"/>
      <c r="UU35" s="11"/>
      <c r="UV35" s="11"/>
      <c r="UW35" s="11"/>
      <c r="UX35" s="11"/>
      <c r="UY35" s="11"/>
      <c r="UZ35" s="11"/>
      <c r="VA35" s="11"/>
      <c r="VB35">
        <v>0</v>
      </c>
      <c r="VC35">
        <v>0</v>
      </c>
      <c r="VD35">
        <v>0</v>
      </c>
      <c r="VE35">
        <f>$C$63*LOOKUP(VB$1,OverwiewSecondStage!$B:$B,OverwiewSecondStage!$F:$F)</f>
        <v>5</v>
      </c>
      <c r="VF35">
        <f>$C$62*LOOKUP(VB$1,OverwiewSecondStage!$B:$B,OverwiewSecondStage!$E:$E)</f>
        <v>-5</v>
      </c>
      <c r="VG35">
        <f>$C$64*LOOKUP(VB$1,OverwiewSecondStage!$B:$B,OverwiewSecondStage!$G:$G)</f>
        <v>-5</v>
      </c>
      <c r="VH35">
        <f>$C$62*LOOKUP(VB$1,OverwiewSecondStage!$B:$B,OverwiewSecondStage!$E:$E)</f>
        <v>-5</v>
      </c>
      <c r="VI35">
        <f>$C$66*LOOKUP(VB$1,OverwiewSecondStage!$B:$B,OverwiewSecondStage!$D:$D)</f>
        <v>10</v>
      </c>
      <c r="VJ35">
        <f>$C$65*LOOKUP(VB$1,OverwiewSecondStage!$B:$B,OverwiewSecondStage!$C:$C)</f>
        <v>-10</v>
      </c>
      <c r="VK35">
        <v>0</v>
      </c>
      <c r="VL35">
        <v>0</v>
      </c>
      <c r="VM35" s="11"/>
      <c r="VN35" s="11"/>
      <c r="VO35" s="11"/>
      <c r="VP35" s="11"/>
      <c r="VQ35" s="11"/>
      <c r="VR35" s="11"/>
      <c r="VS35" s="11"/>
      <c r="VT35" s="11"/>
      <c r="VU35" s="11"/>
      <c r="VV35" s="11"/>
      <c r="VW35" s="11"/>
      <c r="VX35">
        <v>0</v>
      </c>
      <c r="VY35">
        <v>0</v>
      </c>
      <c r="VZ35">
        <v>0</v>
      </c>
      <c r="WA35">
        <f>$C$63*LOOKUP(VX$1,OverwiewSecondStage!$B:$B,OverwiewSecondStage!$F:$F)</f>
        <v>5</v>
      </c>
      <c r="WB35">
        <f>$C$62*LOOKUP(VX$1,OverwiewSecondStage!$B:$B,OverwiewSecondStage!$E:$E)</f>
        <v>-5</v>
      </c>
      <c r="WC35">
        <f>$C$64*LOOKUP(VX$1,OverwiewSecondStage!$B:$B,OverwiewSecondStage!$G:$G)</f>
        <v>-5</v>
      </c>
      <c r="WD35">
        <f>$C$62*LOOKUP(VX$1,OverwiewSecondStage!$B:$B,OverwiewSecondStage!$E:$E)</f>
        <v>-5</v>
      </c>
      <c r="WE35">
        <f>$C$66*LOOKUP(VX$1,OverwiewSecondStage!$B:$B,OverwiewSecondStage!$D:$D)</f>
        <v>-10</v>
      </c>
      <c r="WF35">
        <f>$C$65*LOOKUP(VX$1,OverwiewSecondStage!$B:$B,OverwiewSecondStage!$C:$C)</f>
        <v>-10</v>
      </c>
      <c r="WG35">
        <v>0</v>
      </c>
      <c r="WH35">
        <v>0</v>
      </c>
      <c r="WI35" s="11"/>
      <c r="WJ35" s="11"/>
      <c r="WK35" s="11"/>
      <c r="WL35" s="11"/>
      <c r="WM35" s="11"/>
      <c r="WN35" s="11"/>
      <c r="WO35" s="11"/>
      <c r="WP35" s="11"/>
      <c r="WQ35" s="11"/>
      <c r="WR35" s="11"/>
      <c r="WS35" s="11"/>
      <c r="WT35">
        <v>0</v>
      </c>
      <c r="WU35">
        <v>0</v>
      </c>
      <c r="WV35">
        <v>0</v>
      </c>
      <c r="WW35">
        <f>$C$63*LOOKUP(WT$1,OverwiewSecondStage!$B:$B,OverwiewSecondStage!$F:$F)</f>
        <v>-5</v>
      </c>
      <c r="WX35">
        <f>$C$62*LOOKUP(WT$1,OverwiewSecondStage!$B:$B,OverwiewSecondStage!$E:$E)</f>
        <v>5</v>
      </c>
      <c r="WY35">
        <f>$C$64*LOOKUP(WT$1,OverwiewSecondStage!$B:$B,OverwiewSecondStage!$G:$G)</f>
        <v>-5</v>
      </c>
      <c r="WZ35">
        <f>$C$62*LOOKUP(WT$1,OverwiewSecondStage!$B:$B,OverwiewSecondStage!$E:$E)</f>
        <v>5</v>
      </c>
      <c r="XA35">
        <f>$C$66*LOOKUP(WT$1,OverwiewSecondStage!$B:$B,OverwiewSecondStage!$D:$D)</f>
        <v>10</v>
      </c>
      <c r="XB35">
        <f>$C$65*LOOKUP(WT$1,OverwiewSecondStage!$B:$B,OverwiewSecondStage!$C:$C)</f>
        <v>-10</v>
      </c>
      <c r="XC35">
        <v>0</v>
      </c>
      <c r="XD35">
        <v>0</v>
      </c>
      <c r="XE35" s="11"/>
      <c r="XF35" s="11"/>
      <c r="XG35" s="11"/>
      <c r="XH35" s="11"/>
      <c r="XI35" s="11"/>
      <c r="XJ35" s="11"/>
      <c r="XK35" s="11"/>
      <c r="XL35" s="11"/>
      <c r="XM35" s="11"/>
      <c r="XN35" s="11"/>
      <c r="XO35" s="11"/>
      <c r="XP35">
        <v>0</v>
      </c>
      <c r="XQ35">
        <v>0</v>
      </c>
      <c r="XR35">
        <v>0</v>
      </c>
      <c r="XS35">
        <f>$C$63*LOOKUP(XP$1,OverwiewSecondStage!$B:$B,OverwiewSecondStage!$F:$F)</f>
        <v>-5</v>
      </c>
      <c r="XT35">
        <f>$C$62*LOOKUP(XP$1,OverwiewSecondStage!$B:$B,OverwiewSecondStage!$E:$E)</f>
        <v>5</v>
      </c>
      <c r="XU35">
        <f>$C$64*LOOKUP(XP$1,OverwiewSecondStage!$B:$B,OverwiewSecondStage!$G:$G)</f>
        <v>-5</v>
      </c>
      <c r="XV35">
        <f>$C$62*LOOKUP(XP$1,OverwiewSecondStage!$B:$B,OverwiewSecondStage!$E:$E)</f>
        <v>5</v>
      </c>
      <c r="XW35">
        <f>$C$66*LOOKUP(XP$1,OverwiewSecondStage!$B:$B,OverwiewSecondStage!$D:$D)</f>
        <v>-10</v>
      </c>
      <c r="XX35">
        <f>$C$65*LOOKUP(XP$1,OverwiewSecondStage!$B:$B,OverwiewSecondStage!$C:$C)</f>
        <v>-10</v>
      </c>
      <c r="XY35">
        <v>0</v>
      </c>
      <c r="XZ35">
        <v>0</v>
      </c>
      <c r="YA35" s="11"/>
      <c r="YB35" s="11"/>
      <c r="YC35" s="11"/>
      <c r="YD35" s="11"/>
      <c r="YE35" s="11"/>
      <c r="YF35" s="11"/>
      <c r="YG35" s="11"/>
      <c r="YH35" s="11"/>
      <c r="YI35" s="11"/>
      <c r="YJ35" s="11"/>
      <c r="YK35" s="11"/>
      <c r="YL35">
        <v>0</v>
      </c>
      <c r="YM35">
        <v>0</v>
      </c>
      <c r="YN35">
        <v>0</v>
      </c>
      <c r="YO35">
        <f>$C$63*LOOKUP(YL$1,OverwiewSecondStage!$B:$B,OverwiewSecondStage!$F:$F)</f>
        <v>-5</v>
      </c>
      <c r="YP35">
        <f>$C$62*LOOKUP(YL$1,OverwiewSecondStage!$B:$B,OverwiewSecondStage!$E:$E)</f>
        <v>-5</v>
      </c>
      <c r="YQ35">
        <f>$C$64*LOOKUP(YL$1,OverwiewSecondStage!$B:$B,OverwiewSecondStage!$G:$G)</f>
        <v>-5</v>
      </c>
      <c r="YR35">
        <f>$C$62*LOOKUP(YL$1,OverwiewSecondStage!$B:$B,OverwiewSecondStage!$E:$E)</f>
        <v>-5</v>
      </c>
      <c r="YS35">
        <f>$C$66*LOOKUP(YL$1,OverwiewSecondStage!$B:$B,OverwiewSecondStage!$D:$D)</f>
        <v>10</v>
      </c>
      <c r="YT35">
        <f>$C$65*LOOKUP(YL$1,OverwiewSecondStage!$B:$B,OverwiewSecondStage!$C:$C)</f>
        <v>-10</v>
      </c>
      <c r="YU35">
        <v>0</v>
      </c>
      <c r="YV35">
        <v>0</v>
      </c>
      <c r="YW35" s="11"/>
      <c r="YX35" s="11"/>
      <c r="YY35" s="11"/>
      <c r="YZ35" s="11"/>
      <c r="ZA35" s="11"/>
      <c r="ZB35" s="11"/>
      <c r="ZC35" s="11"/>
      <c r="ZD35" s="11"/>
      <c r="ZE35" s="11"/>
      <c r="ZF35" s="11"/>
      <c r="ZG35" s="11"/>
      <c r="ZH35">
        <v>0</v>
      </c>
      <c r="ZI35">
        <v>0</v>
      </c>
      <c r="ZJ35">
        <v>0</v>
      </c>
      <c r="ZK35">
        <f>$C$63*LOOKUP(ZH$1,OverwiewSecondStage!$B:$B,OverwiewSecondStage!$F:$F)</f>
        <v>-5</v>
      </c>
      <c r="ZL35">
        <f>$C$62*LOOKUP(ZH$1,OverwiewSecondStage!$B:$B,OverwiewSecondStage!$E:$E)</f>
        <v>-5</v>
      </c>
      <c r="ZM35">
        <f>$C$64*LOOKUP(ZH$1,OverwiewSecondStage!$B:$B,OverwiewSecondStage!$G:$G)</f>
        <v>-5</v>
      </c>
      <c r="ZN35">
        <f>$C$62*LOOKUP(ZH$1,OverwiewSecondStage!$B:$B,OverwiewSecondStage!$E:$E)</f>
        <v>-5</v>
      </c>
      <c r="ZO35">
        <f>$C$66*LOOKUP(ZH$1,OverwiewSecondStage!$B:$B,OverwiewSecondStage!$D:$D)</f>
        <v>-10</v>
      </c>
      <c r="ZP35">
        <f>$C$65*LOOKUP(ZH$1,OverwiewSecondStage!$B:$B,OverwiewSecondStage!$C:$C)</f>
        <v>-10</v>
      </c>
      <c r="ZQ35">
        <v>0</v>
      </c>
      <c r="ZR35">
        <v>0</v>
      </c>
      <c r="ZS35" s="11"/>
      <c r="ZT35" s="11"/>
      <c r="ZU35" s="11"/>
      <c r="ZV35" s="11"/>
      <c r="ZW35" s="11"/>
      <c r="ZX35" s="11"/>
      <c r="ZY35" s="11"/>
      <c r="ZZ35" s="11"/>
      <c r="AAA35" s="11"/>
      <c r="AAB35" s="11"/>
      <c r="AAC35" s="11"/>
    </row>
    <row r="36" spans="1:705" x14ac:dyDescent="0.2">
      <c r="A36">
        <v>5</v>
      </c>
      <c r="B36">
        <v>0</v>
      </c>
      <c r="C36">
        <v>0</v>
      </c>
      <c r="D36">
        <v>0</v>
      </c>
      <c r="E36">
        <v>0</v>
      </c>
      <c r="F36">
        <v>0</v>
      </c>
      <c r="G36">
        <v>0</v>
      </c>
      <c r="H36">
        <v>0</v>
      </c>
      <c r="I36">
        <v>0</v>
      </c>
      <c r="J36">
        <v>0</v>
      </c>
      <c r="K36">
        <v>0</v>
      </c>
      <c r="L36">
        <v>0</v>
      </c>
      <c r="X36">
        <v>0</v>
      </c>
      <c r="Y36">
        <v>0</v>
      </c>
      <c r="Z36">
        <v>0</v>
      </c>
      <c r="AA36">
        <v>0</v>
      </c>
      <c r="AB36">
        <v>0</v>
      </c>
      <c r="AC36">
        <v>0</v>
      </c>
      <c r="AD36">
        <v>0</v>
      </c>
      <c r="AE36">
        <v>0</v>
      </c>
      <c r="AF36">
        <v>0</v>
      </c>
      <c r="AG36">
        <v>0</v>
      </c>
      <c r="AH36">
        <v>0</v>
      </c>
      <c r="AT36">
        <v>0</v>
      </c>
      <c r="AU36">
        <v>0</v>
      </c>
      <c r="AV36">
        <v>0</v>
      </c>
      <c r="AW36">
        <v>0</v>
      </c>
      <c r="AX36">
        <v>0</v>
      </c>
      <c r="AY36">
        <v>0</v>
      </c>
      <c r="AZ36">
        <v>0</v>
      </c>
      <c r="BA36">
        <v>0</v>
      </c>
      <c r="BB36">
        <v>0</v>
      </c>
      <c r="BC36">
        <v>0</v>
      </c>
      <c r="BD36">
        <v>0</v>
      </c>
      <c r="BP36">
        <v>0</v>
      </c>
      <c r="BQ36">
        <v>0</v>
      </c>
      <c r="BR36">
        <v>0</v>
      </c>
      <c r="BS36">
        <v>0</v>
      </c>
      <c r="BT36">
        <v>0</v>
      </c>
      <c r="BU36">
        <v>0</v>
      </c>
      <c r="BV36">
        <v>0</v>
      </c>
      <c r="BW36">
        <v>0</v>
      </c>
      <c r="BX36">
        <v>0</v>
      </c>
      <c r="BY36">
        <v>0</v>
      </c>
      <c r="BZ36">
        <v>0</v>
      </c>
      <c r="CL36">
        <v>0</v>
      </c>
      <c r="CM36">
        <v>0</v>
      </c>
      <c r="CN36">
        <v>0</v>
      </c>
      <c r="CO36">
        <v>0</v>
      </c>
      <c r="CP36">
        <v>0</v>
      </c>
      <c r="CQ36">
        <v>0</v>
      </c>
      <c r="CR36">
        <v>0</v>
      </c>
      <c r="CS36">
        <v>0</v>
      </c>
      <c r="CT36">
        <v>0</v>
      </c>
      <c r="CU36">
        <v>0</v>
      </c>
      <c r="CV36">
        <v>0</v>
      </c>
      <c r="DH36">
        <v>0</v>
      </c>
      <c r="DI36">
        <v>0</v>
      </c>
      <c r="DJ36">
        <v>0</v>
      </c>
      <c r="DK36">
        <v>0</v>
      </c>
      <c r="DL36">
        <v>0</v>
      </c>
      <c r="DM36">
        <v>0</v>
      </c>
      <c r="DN36">
        <v>0</v>
      </c>
      <c r="DO36">
        <v>0</v>
      </c>
      <c r="DP36">
        <v>0</v>
      </c>
      <c r="DQ36">
        <v>0</v>
      </c>
      <c r="DR36">
        <v>0</v>
      </c>
      <c r="ED36">
        <v>0</v>
      </c>
      <c r="EE36">
        <v>0</v>
      </c>
      <c r="EF36">
        <v>0</v>
      </c>
      <c r="EG36">
        <v>0</v>
      </c>
      <c r="EH36">
        <v>0</v>
      </c>
      <c r="EI36">
        <v>0</v>
      </c>
      <c r="EJ36">
        <v>0</v>
      </c>
      <c r="EK36">
        <v>0</v>
      </c>
      <c r="EL36">
        <v>0</v>
      </c>
      <c r="EM36">
        <v>0</v>
      </c>
      <c r="EN36">
        <v>0</v>
      </c>
      <c r="EZ36">
        <v>0</v>
      </c>
      <c r="FA36">
        <v>0</v>
      </c>
      <c r="FB36">
        <v>0</v>
      </c>
      <c r="FC36">
        <v>0</v>
      </c>
      <c r="FD36">
        <v>0</v>
      </c>
      <c r="FE36">
        <v>0</v>
      </c>
      <c r="FF36">
        <v>0</v>
      </c>
      <c r="FG36">
        <v>0</v>
      </c>
      <c r="FH36">
        <v>0</v>
      </c>
      <c r="FI36">
        <v>0</v>
      </c>
      <c r="FJ36">
        <v>0</v>
      </c>
      <c r="FV36">
        <v>0</v>
      </c>
      <c r="FW36">
        <v>0</v>
      </c>
      <c r="FX36">
        <v>0</v>
      </c>
      <c r="FY36">
        <v>0</v>
      </c>
      <c r="FZ36">
        <v>0</v>
      </c>
      <c r="GA36">
        <v>0</v>
      </c>
      <c r="GB36">
        <v>0</v>
      </c>
      <c r="GC36">
        <v>0</v>
      </c>
      <c r="GD36">
        <v>0</v>
      </c>
      <c r="GE36">
        <v>0</v>
      </c>
      <c r="GF36">
        <v>0</v>
      </c>
      <c r="GR36">
        <v>0</v>
      </c>
      <c r="GS36">
        <v>0</v>
      </c>
      <c r="GT36">
        <v>0</v>
      </c>
      <c r="GU36">
        <v>0</v>
      </c>
      <c r="GV36">
        <v>0</v>
      </c>
      <c r="GW36">
        <v>0</v>
      </c>
      <c r="GX36">
        <v>0</v>
      </c>
      <c r="GY36">
        <v>0</v>
      </c>
      <c r="GZ36">
        <v>0</v>
      </c>
      <c r="HA36">
        <v>0</v>
      </c>
      <c r="HB36">
        <v>0</v>
      </c>
      <c r="HN36">
        <v>0</v>
      </c>
      <c r="HO36">
        <v>0</v>
      </c>
      <c r="HP36">
        <v>0</v>
      </c>
      <c r="HQ36">
        <v>0</v>
      </c>
      <c r="HR36">
        <v>0</v>
      </c>
      <c r="HS36">
        <v>0</v>
      </c>
      <c r="HT36">
        <v>0</v>
      </c>
      <c r="HU36">
        <v>0</v>
      </c>
      <c r="HV36">
        <v>0</v>
      </c>
      <c r="HW36">
        <v>0</v>
      </c>
      <c r="HX36">
        <v>0</v>
      </c>
      <c r="IJ36">
        <v>0</v>
      </c>
      <c r="IK36">
        <v>0</v>
      </c>
      <c r="IL36">
        <v>0</v>
      </c>
      <c r="IM36">
        <v>0</v>
      </c>
      <c r="IN36">
        <v>0</v>
      </c>
      <c r="IO36">
        <v>0</v>
      </c>
      <c r="IP36">
        <v>0</v>
      </c>
      <c r="IQ36">
        <v>0</v>
      </c>
      <c r="IR36">
        <v>0</v>
      </c>
      <c r="IS36">
        <v>0</v>
      </c>
      <c r="IT36">
        <v>0</v>
      </c>
      <c r="JF36">
        <v>0</v>
      </c>
      <c r="JG36">
        <v>0</v>
      </c>
      <c r="JH36">
        <v>0</v>
      </c>
      <c r="JI36">
        <v>0</v>
      </c>
      <c r="JJ36">
        <v>0</v>
      </c>
      <c r="JK36">
        <v>0</v>
      </c>
      <c r="JL36">
        <v>0</v>
      </c>
      <c r="JM36">
        <v>0</v>
      </c>
      <c r="JN36">
        <v>0</v>
      </c>
      <c r="JO36">
        <v>0</v>
      </c>
      <c r="JP36">
        <v>0</v>
      </c>
      <c r="KB36">
        <v>0</v>
      </c>
      <c r="KC36">
        <v>0</v>
      </c>
      <c r="KD36">
        <v>0</v>
      </c>
      <c r="KE36">
        <v>0</v>
      </c>
      <c r="KF36">
        <v>0</v>
      </c>
      <c r="KG36">
        <v>0</v>
      </c>
      <c r="KH36">
        <v>0</v>
      </c>
      <c r="KI36">
        <v>0</v>
      </c>
      <c r="KJ36">
        <v>0</v>
      </c>
      <c r="KK36">
        <v>0</v>
      </c>
      <c r="KL36">
        <v>0</v>
      </c>
      <c r="KX36">
        <v>0</v>
      </c>
      <c r="KY36">
        <v>0</v>
      </c>
      <c r="KZ36">
        <v>0</v>
      </c>
      <c r="LA36">
        <v>0</v>
      </c>
      <c r="LB36">
        <v>0</v>
      </c>
      <c r="LC36">
        <v>0</v>
      </c>
      <c r="LD36">
        <v>0</v>
      </c>
      <c r="LE36">
        <v>0</v>
      </c>
      <c r="LF36">
        <v>0</v>
      </c>
      <c r="LG36">
        <v>0</v>
      </c>
      <c r="LH36">
        <v>0</v>
      </c>
      <c r="LT36">
        <v>0</v>
      </c>
      <c r="LU36">
        <v>0</v>
      </c>
      <c r="LV36">
        <v>0</v>
      </c>
      <c r="LW36">
        <v>0</v>
      </c>
      <c r="LX36">
        <v>0</v>
      </c>
      <c r="LY36">
        <v>0</v>
      </c>
      <c r="LZ36">
        <v>0</v>
      </c>
      <c r="MA36">
        <v>0</v>
      </c>
      <c r="MB36">
        <v>0</v>
      </c>
      <c r="MC36">
        <v>0</v>
      </c>
      <c r="MD36">
        <v>0</v>
      </c>
      <c r="MP36">
        <v>0</v>
      </c>
      <c r="MQ36">
        <v>0</v>
      </c>
      <c r="MR36">
        <v>0</v>
      </c>
      <c r="MS36">
        <v>0</v>
      </c>
      <c r="MT36">
        <v>0</v>
      </c>
      <c r="MU36">
        <v>0</v>
      </c>
      <c r="MV36">
        <v>0</v>
      </c>
      <c r="MW36">
        <v>0</v>
      </c>
      <c r="MX36">
        <v>0</v>
      </c>
      <c r="MY36">
        <v>0</v>
      </c>
      <c r="MZ36">
        <v>0</v>
      </c>
      <c r="NL36">
        <v>0</v>
      </c>
      <c r="NM36">
        <v>0</v>
      </c>
      <c r="NN36">
        <v>0</v>
      </c>
      <c r="NO36">
        <v>0</v>
      </c>
      <c r="NP36">
        <v>0</v>
      </c>
      <c r="NQ36">
        <v>0</v>
      </c>
      <c r="NR36">
        <v>0</v>
      </c>
      <c r="NS36">
        <v>0</v>
      </c>
      <c r="NT36">
        <v>0</v>
      </c>
      <c r="NU36">
        <v>0</v>
      </c>
      <c r="NV36">
        <v>0</v>
      </c>
      <c r="NW36" s="11"/>
      <c r="NX36" s="11"/>
      <c r="NY36" s="11"/>
      <c r="NZ36" s="11"/>
      <c r="OA36" s="11"/>
      <c r="OB36" s="11"/>
      <c r="OC36" s="11"/>
      <c r="OD36" s="11"/>
      <c r="OE36" s="11"/>
      <c r="OF36" s="11"/>
      <c r="OG36" s="11"/>
      <c r="OH36">
        <v>0</v>
      </c>
      <c r="OI36">
        <v>0</v>
      </c>
      <c r="OJ36">
        <v>0</v>
      </c>
      <c r="OK36">
        <v>0</v>
      </c>
      <c r="OL36">
        <v>0</v>
      </c>
      <c r="OM36">
        <v>0</v>
      </c>
      <c r="ON36">
        <v>0</v>
      </c>
      <c r="OO36">
        <v>0</v>
      </c>
      <c r="OP36">
        <v>0</v>
      </c>
      <c r="OQ36">
        <v>0</v>
      </c>
      <c r="OR36">
        <v>0</v>
      </c>
      <c r="OS36" s="11"/>
      <c r="OT36" s="11"/>
      <c r="OU36" s="11"/>
      <c r="OV36" s="11"/>
      <c r="OW36" s="11"/>
      <c r="OX36" s="11"/>
      <c r="OY36" s="11"/>
      <c r="OZ36" s="11"/>
      <c r="PA36" s="11"/>
      <c r="PB36" s="11"/>
      <c r="PC36" s="11"/>
      <c r="PD36">
        <v>0</v>
      </c>
      <c r="PE36">
        <v>0</v>
      </c>
      <c r="PF36">
        <v>0</v>
      </c>
      <c r="PG36">
        <v>0</v>
      </c>
      <c r="PH36">
        <v>0</v>
      </c>
      <c r="PI36">
        <v>0</v>
      </c>
      <c r="PJ36">
        <v>0</v>
      </c>
      <c r="PK36">
        <v>0</v>
      </c>
      <c r="PL36">
        <v>0</v>
      </c>
      <c r="PM36">
        <v>0</v>
      </c>
      <c r="PN36">
        <v>0</v>
      </c>
      <c r="PO36" s="11"/>
      <c r="PP36" s="11"/>
      <c r="PQ36" s="11"/>
      <c r="PR36" s="11"/>
      <c r="PS36" s="11"/>
      <c r="PT36" s="11"/>
      <c r="PU36" s="11"/>
      <c r="PV36" s="11"/>
      <c r="PW36" s="11"/>
      <c r="PX36" s="11"/>
      <c r="PY36" s="11"/>
      <c r="PZ36">
        <v>0</v>
      </c>
      <c r="QA36">
        <v>0</v>
      </c>
      <c r="QB36">
        <v>0</v>
      </c>
      <c r="QC36">
        <v>0</v>
      </c>
      <c r="QD36">
        <v>0</v>
      </c>
      <c r="QE36">
        <v>0</v>
      </c>
      <c r="QF36">
        <v>0</v>
      </c>
      <c r="QG36">
        <v>0</v>
      </c>
      <c r="QH36">
        <v>0</v>
      </c>
      <c r="QI36">
        <v>0</v>
      </c>
      <c r="QJ36">
        <v>0</v>
      </c>
      <c r="QK36" s="11"/>
      <c r="QL36" s="11"/>
      <c r="QM36" s="11"/>
      <c r="QN36" s="11"/>
      <c r="QO36" s="11"/>
      <c r="QP36" s="11"/>
      <c r="QQ36" s="11"/>
      <c r="QR36" s="11"/>
      <c r="QS36" s="11"/>
      <c r="QT36" s="11"/>
      <c r="QU36" s="11"/>
      <c r="QV36">
        <v>0</v>
      </c>
      <c r="QW36">
        <v>0</v>
      </c>
      <c r="QX36">
        <v>0</v>
      </c>
      <c r="QY36">
        <v>0</v>
      </c>
      <c r="QZ36">
        <v>0</v>
      </c>
      <c r="RA36">
        <v>0</v>
      </c>
      <c r="RB36">
        <v>0</v>
      </c>
      <c r="RC36">
        <v>0</v>
      </c>
      <c r="RD36">
        <v>0</v>
      </c>
      <c r="RE36">
        <v>0</v>
      </c>
      <c r="RF36">
        <v>0</v>
      </c>
      <c r="RG36" s="11"/>
      <c r="RH36" s="11"/>
      <c r="RI36" s="11"/>
      <c r="RJ36" s="11"/>
      <c r="RK36" s="11"/>
      <c r="RL36" s="11"/>
      <c r="RM36" s="11"/>
      <c r="RN36" s="11"/>
      <c r="RO36" s="11"/>
      <c r="RP36" s="11"/>
      <c r="RQ36" s="11"/>
      <c r="RR36">
        <v>0</v>
      </c>
      <c r="RS36">
        <v>0</v>
      </c>
      <c r="RT36">
        <v>0</v>
      </c>
      <c r="RU36">
        <v>0</v>
      </c>
      <c r="RV36">
        <v>0</v>
      </c>
      <c r="RW36">
        <v>0</v>
      </c>
      <c r="RX36">
        <v>0</v>
      </c>
      <c r="RY36">
        <v>0</v>
      </c>
      <c r="RZ36">
        <v>0</v>
      </c>
      <c r="SA36">
        <v>0</v>
      </c>
      <c r="SB36">
        <v>0</v>
      </c>
      <c r="SC36" s="11"/>
      <c r="SD36" s="11"/>
      <c r="SE36" s="11"/>
      <c r="SF36" s="11"/>
      <c r="SG36" s="11"/>
      <c r="SH36" s="11"/>
      <c r="SI36" s="11"/>
      <c r="SJ36" s="11"/>
      <c r="SK36" s="11"/>
      <c r="SL36" s="11"/>
      <c r="SM36" s="11"/>
      <c r="SN36">
        <v>0</v>
      </c>
      <c r="SO36">
        <v>0</v>
      </c>
      <c r="SP36">
        <v>0</v>
      </c>
      <c r="SQ36">
        <v>0</v>
      </c>
      <c r="SR36">
        <v>0</v>
      </c>
      <c r="SS36">
        <v>0</v>
      </c>
      <c r="ST36">
        <v>0</v>
      </c>
      <c r="SU36">
        <v>0</v>
      </c>
      <c r="SV36">
        <v>0</v>
      </c>
      <c r="SW36">
        <v>0</v>
      </c>
      <c r="SX36">
        <v>0</v>
      </c>
      <c r="SY36" s="11"/>
      <c r="SZ36" s="11"/>
      <c r="TA36" s="11"/>
      <c r="TB36" s="11"/>
      <c r="TC36" s="11"/>
      <c r="TD36" s="11"/>
      <c r="TE36" s="11"/>
      <c r="TF36" s="11"/>
      <c r="TG36" s="11"/>
      <c r="TH36" s="11"/>
      <c r="TI36" s="11"/>
      <c r="TJ36">
        <v>0</v>
      </c>
      <c r="TK36">
        <v>0</v>
      </c>
      <c r="TL36">
        <v>0</v>
      </c>
      <c r="TM36">
        <v>0</v>
      </c>
      <c r="TN36">
        <v>0</v>
      </c>
      <c r="TO36">
        <v>0</v>
      </c>
      <c r="TP36">
        <v>0</v>
      </c>
      <c r="TQ36">
        <v>0</v>
      </c>
      <c r="TR36">
        <v>0</v>
      </c>
      <c r="TS36">
        <v>0</v>
      </c>
      <c r="TT36">
        <v>0</v>
      </c>
      <c r="TU36" s="11"/>
      <c r="TV36" s="11"/>
      <c r="TW36" s="11"/>
      <c r="TX36" s="11"/>
      <c r="TY36" s="11"/>
      <c r="TZ36" s="11"/>
      <c r="UA36" s="11"/>
      <c r="UB36" s="11"/>
      <c r="UC36" s="11"/>
      <c r="UD36" s="11"/>
      <c r="UE36" s="11"/>
      <c r="UF36">
        <v>0</v>
      </c>
      <c r="UG36">
        <v>0</v>
      </c>
      <c r="UH36">
        <v>0</v>
      </c>
      <c r="UI36">
        <v>0</v>
      </c>
      <c r="UJ36">
        <v>0</v>
      </c>
      <c r="UK36">
        <v>0</v>
      </c>
      <c r="UL36">
        <v>0</v>
      </c>
      <c r="UM36">
        <v>0</v>
      </c>
      <c r="UN36">
        <v>0</v>
      </c>
      <c r="UO36">
        <v>0</v>
      </c>
      <c r="UP36">
        <v>0</v>
      </c>
      <c r="UQ36" s="11"/>
      <c r="UR36" s="11"/>
      <c r="US36" s="11"/>
      <c r="UT36" s="11"/>
      <c r="UU36" s="11"/>
      <c r="UV36" s="11"/>
      <c r="UW36" s="11"/>
      <c r="UX36" s="11"/>
      <c r="UY36" s="11"/>
      <c r="UZ36" s="11"/>
      <c r="VA36" s="11"/>
      <c r="VB36">
        <v>0</v>
      </c>
      <c r="VC36">
        <v>0</v>
      </c>
      <c r="VD36">
        <v>0</v>
      </c>
      <c r="VE36">
        <v>0</v>
      </c>
      <c r="VF36">
        <v>0</v>
      </c>
      <c r="VG36">
        <v>0</v>
      </c>
      <c r="VH36">
        <v>0</v>
      </c>
      <c r="VI36">
        <v>0</v>
      </c>
      <c r="VJ36">
        <v>0</v>
      </c>
      <c r="VK36">
        <v>0</v>
      </c>
      <c r="VL36">
        <v>0</v>
      </c>
      <c r="VM36" s="11"/>
      <c r="VN36" s="11"/>
      <c r="VO36" s="11"/>
      <c r="VP36" s="11"/>
      <c r="VQ36" s="11"/>
      <c r="VR36" s="11"/>
      <c r="VS36" s="11"/>
      <c r="VT36" s="11"/>
      <c r="VU36" s="11"/>
      <c r="VV36" s="11"/>
      <c r="VW36" s="11"/>
      <c r="VX36">
        <v>0</v>
      </c>
      <c r="VY36">
        <v>0</v>
      </c>
      <c r="VZ36">
        <v>0</v>
      </c>
      <c r="WA36">
        <v>0</v>
      </c>
      <c r="WB36">
        <v>0</v>
      </c>
      <c r="WC36">
        <v>0</v>
      </c>
      <c r="WD36">
        <v>0</v>
      </c>
      <c r="WE36">
        <v>0</v>
      </c>
      <c r="WF36">
        <v>0</v>
      </c>
      <c r="WG36">
        <v>0</v>
      </c>
      <c r="WH36">
        <v>0</v>
      </c>
      <c r="WI36" s="11"/>
      <c r="WJ36" s="11"/>
      <c r="WK36" s="11"/>
      <c r="WL36" s="11"/>
      <c r="WM36" s="11"/>
      <c r="WN36" s="11"/>
      <c r="WO36" s="11"/>
      <c r="WP36" s="11"/>
      <c r="WQ36" s="11"/>
      <c r="WR36" s="11"/>
      <c r="WS36" s="11"/>
      <c r="WT36">
        <v>0</v>
      </c>
      <c r="WU36">
        <v>0</v>
      </c>
      <c r="WV36">
        <v>0</v>
      </c>
      <c r="WW36">
        <v>0</v>
      </c>
      <c r="WX36">
        <v>0</v>
      </c>
      <c r="WY36">
        <v>0</v>
      </c>
      <c r="WZ36">
        <v>0</v>
      </c>
      <c r="XA36">
        <v>0</v>
      </c>
      <c r="XB36">
        <v>0</v>
      </c>
      <c r="XC36">
        <v>0</v>
      </c>
      <c r="XD36">
        <v>0</v>
      </c>
      <c r="XE36" s="11"/>
      <c r="XF36" s="11"/>
      <c r="XG36" s="11"/>
      <c r="XH36" s="11"/>
      <c r="XI36" s="11"/>
      <c r="XJ36" s="11"/>
      <c r="XK36" s="11"/>
      <c r="XL36" s="11"/>
      <c r="XM36" s="11"/>
      <c r="XN36" s="11"/>
      <c r="XO36" s="11"/>
      <c r="XP36">
        <v>0</v>
      </c>
      <c r="XQ36">
        <v>0</v>
      </c>
      <c r="XR36">
        <v>0</v>
      </c>
      <c r="XS36">
        <v>0</v>
      </c>
      <c r="XT36">
        <v>0</v>
      </c>
      <c r="XU36">
        <v>0</v>
      </c>
      <c r="XV36">
        <v>0</v>
      </c>
      <c r="XW36">
        <v>0</v>
      </c>
      <c r="XX36">
        <v>0</v>
      </c>
      <c r="XY36">
        <v>0</v>
      </c>
      <c r="XZ36">
        <v>0</v>
      </c>
      <c r="YA36" s="11"/>
      <c r="YB36" s="11"/>
      <c r="YC36" s="11"/>
      <c r="YD36" s="11"/>
      <c r="YE36" s="11"/>
      <c r="YF36" s="11"/>
      <c r="YG36" s="11"/>
      <c r="YH36" s="11"/>
      <c r="YI36" s="11"/>
      <c r="YJ36" s="11"/>
      <c r="YK36" s="11"/>
      <c r="YL36">
        <v>0</v>
      </c>
      <c r="YM36">
        <v>0</v>
      </c>
      <c r="YN36">
        <v>0</v>
      </c>
      <c r="YO36">
        <v>0</v>
      </c>
      <c r="YP36">
        <v>0</v>
      </c>
      <c r="YQ36">
        <v>0</v>
      </c>
      <c r="YR36">
        <v>0</v>
      </c>
      <c r="YS36">
        <v>0</v>
      </c>
      <c r="YT36">
        <v>0</v>
      </c>
      <c r="YU36">
        <v>0</v>
      </c>
      <c r="YV36">
        <v>0</v>
      </c>
      <c r="YW36" s="11"/>
      <c r="YX36" s="11"/>
      <c r="YY36" s="11"/>
      <c r="YZ36" s="11"/>
      <c r="ZA36" s="11"/>
      <c r="ZB36" s="11"/>
      <c r="ZC36" s="11"/>
      <c r="ZD36" s="11"/>
      <c r="ZE36" s="11"/>
      <c r="ZF36" s="11"/>
      <c r="ZG36" s="11"/>
      <c r="ZH36">
        <v>0</v>
      </c>
      <c r="ZI36">
        <v>0</v>
      </c>
      <c r="ZJ36">
        <v>0</v>
      </c>
      <c r="ZK36">
        <v>0</v>
      </c>
      <c r="ZL36">
        <v>0</v>
      </c>
      <c r="ZM36">
        <v>0</v>
      </c>
      <c r="ZN36">
        <v>0</v>
      </c>
      <c r="ZO36">
        <v>0</v>
      </c>
      <c r="ZP36">
        <v>0</v>
      </c>
      <c r="ZQ36">
        <v>0</v>
      </c>
      <c r="ZR36">
        <v>0</v>
      </c>
      <c r="ZS36" s="11"/>
      <c r="ZT36" s="11"/>
      <c r="ZU36" s="11"/>
      <c r="ZV36" s="11"/>
      <c r="ZW36" s="11"/>
      <c r="ZX36" s="11"/>
      <c r="ZY36" s="11"/>
      <c r="ZZ36" s="11"/>
      <c r="AAA36" s="11"/>
      <c r="AAB36" s="11"/>
      <c r="AAC36" s="11"/>
    </row>
    <row r="37" spans="1:705" x14ac:dyDescent="0.2">
      <c r="A37">
        <v>6</v>
      </c>
      <c r="B37">
        <v>0</v>
      </c>
      <c r="C37">
        <v>0</v>
      </c>
      <c r="D37">
        <v>0</v>
      </c>
      <c r="E37">
        <v>0</v>
      </c>
      <c r="F37">
        <v>0</v>
      </c>
      <c r="G37">
        <v>0</v>
      </c>
      <c r="H37">
        <v>0</v>
      </c>
      <c r="I37">
        <v>0</v>
      </c>
      <c r="J37">
        <v>0</v>
      </c>
      <c r="K37">
        <v>0</v>
      </c>
      <c r="L37">
        <v>0</v>
      </c>
      <c r="X37">
        <v>0</v>
      </c>
      <c r="Y37">
        <v>0</v>
      </c>
      <c r="Z37">
        <v>0</v>
      </c>
      <c r="AA37">
        <v>0</v>
      </c>
      <c r="AB37">
        <v>0</v>
      </c>
      <c r="AC37">
        <v>0</v>
      </c>
      <c r="AD37">
        <v>0</v>
      </c>
      <c r="AE37">
        <v>0</v>
      </c>
      <c r="AF37">
        <v>0</v>
      </c>
      <c r="AG37">
        <v>0</v>
      </c>
      <c r="AH37">
        <v>0</v>
      </c>
      <c r="AT37">
        <v>0</v>
      </c>
      <c r="AU37">
        <v>0</v>
      </c>
      <c r="AV37">
        <v>0</v>
      </c>
      <c r="AW37">
        <v>0</v>
      </c>
      <c r="AX37">
        <v>0</v>
      </c>
      <c r="AY37">
        <v>0</v>
      </c>
      <c r="AZ37">
        <v>0</v>
      </c>
      <c r="BA37">
        <v>0</v>
      </c>
      <c r="BB37">
        <v>0</v>
      </c>
      <c r="BC37">
        <v>0</v>
      </c>
      <c r="BD37">
        <v>0</v>
      </c>
      <c r="BP37">
        <v>0</v>
      </c>
      <c r="BQ37">
        <v>0</v>
      </c>
      <c r="BR37">
        <v>0</v>
      </c>
      <c r="BS37">
        <v>0</v>
      </c>
      <c r="BT37">
        <v>0</v>
      </c>
      <c r="BU37">
        <v>0</v>
      </c>
      <c r="BV37">
        <v>0</v>
      </c>
      <c r="BW37">
        <v>0</v>
      </c>
      <c r="BX37">
        <v>0</v>
      </c>
      <c r="BY37">
        <v>0</v>
      </c>
      <c r="BZ37">
        <v>0</v>
      </c>
      <c r="CL37">
        <v>0</v>
      </c>
      <c r="CM37">
        <v>0</v>
      </c>
      <c r="CN37">
        <v>0</v>
      </c>
      <c r="CO37">
        <v>0</v>
      </c>
      <c r="CP37">
        <v>0</v>
      </c>
      <c r="CQ37">
        <v>0</v>
      </c>
      <c r="CR37">
        <v>0</v>
      </c>
      <c r="CS37">
        <v>0</v>
      </c>
      <c r="CT37">
        <v>0</v>
      </c>
      <c r="CU37">
        <v>0</v>
      </c>
      <c r="CV37">
        <v>0</v>
      </c>
      <c r="DH37">
        <v>0</v>
      </c>
      <c r="DI37">
        <v>0</v>
      </c>
      <c r="DJ37">
        <v>0</v>
      </c>
      <c r="DK37">
        <v>0</v>
      </c>
      <c r="DL37">
        <v>0</v>
      </c>
      <c r="DM37">
        <v>0</v>
      </c>
      <c r="DN37">
        <v>0</v>
      </c>
      <c r="DO37">
        <v>0</v>
      </c>
      <c r="DP37">
        <v>0</v>
      </c>
      <c r="DQ37">
        <v>0</v>
      </c>
      <c r="DR37">
        <v>0</v>
      </c>
      <c r="ED37">
        <v>0</v>
      </c>
      <c r="EE37">
        <v>0</v>
      </c>
      <c r="EF37">
        <v>0</v>
      </c>
      <c r="EG37">
        <v>0</v>
      </c>
      <c r="EH37">
        <v>0</v>
      </c>
      <c r="EI37">
        <v>0</v>
      </c>
      <c r="EJ37">
        <v>0</v>
      </c>
      <c r="EK37">
        <v>0</v>
      </c>
      <c r="EL37">
        <v>0</v>
      </c>
      <c r="EM37">
        <v>0</v>
      </c>
      <c r="EN37">
        <v>0</v>
      </c>
      <c r="EZ37">
        <v>0</v>
      </c>
      <c r="FA37">
        <v>0</v>
      </c>
      <c r="FB37">
        <v>0</v>
      </c>
      <c r="FC37">
        <v>0</v>
      </c>
      <c r="FD37">
        <v>0</v>
      </c>
      <c r="FE37">
        <v>0</v>
      </c>
      <c r="FF37">
        <v>0</v>
      </c>
      <c r="FG37">
        <v>0</v>
      </c>
      <c r="FH37">
        <v>0</v>
      </c>
      <c r="FI37">
        <v>0</v>
      </c>
      <c r="FJ37">
        <v>0</v>
      </c>
      <c r="FV37">
        <v>0</v>
      </c>
      <c r="FW37">
        <v>0</v>
      </c>
      <c r="FX37">
        <v>0</v>
      </c>
      <c r="FY37">
        <v>0</v>
      </c>
      <c r="FZ37">
        <v>0</v>
      </c>
      <c r="GA37">
        <v>0</v>
      </c>
      <c r="GB37">
        <v>0</v>
      </c>
      <c r="GC37">
        <v>0</v>
      </c>
      <c r="GD37">
        <v>0</v>
      </c>
      <c r="GE37">
        <v>0</v>
      </c>
      <c r="GF37">
        <v>0</v>
      </c>
      <c r="GR37">
        <v>0</v>
      </c>
      <c r="GS37">
        <v>0</v>
      </c>
      <c r="GT37">
        <v>0</v>
      </c>
      <c r="GU37">
        <v>0</v>
      </c>
      <c r="GV37">
        <v>0</v>
      </c>
      <c r="GW37">
        <v>0</v>
      </c>
      <c r="GX37">
        <v>0</v>
      </c>
      <c r="GY37">
        <v>0</v>
      </c>
      <c r="GZ37">
        <v>0</v>
      </c>
      <c r="HA37">
        <v>0</v>
      </c>
      <c r="HB37">
        <v>0</v>
      </c>
      <c r="HN37">
        <v>0</v>
      </c>
      <c r="HO37">
        <v>0</v>
      </c>
      <c r="HP37">
        <v>0</v>
      </c>
      <c r="HQ37">
        <v>0</v>
      </c>
      <c r="HR37">
        <v>0</v>
      </c>
      <c r="HS37">
        <v>0</v>
      </c>
      <c r="HT37">
        <v>0</v>
      </c>
      <c r="HU37">
        <v>0</v>
      </c>
      <c r="HV37">
        <v>0</v>
      </c>
      <c r="HW37">
        <v>0</v>
      </c>
      <c r="HX37">
        <v>0</v>
      </c>
      <c r="IJ37">
        <v>0</v>
      </c>
      <c r="IK37">
        <v>0</v>
      </c>
      <c r="IL37">
        <v>0</v>
      </c>
      <c r="IM37">
        <v>0</v>
      </c>
      <c r="IN37">
        <v>0</v>
      </c>
      <c r="IO37">
        <v>0</v>
      </c>
      <c r="IP37">
        <v>0</v>
      </c>
      <c r="IQ37">
        <v>0</v>
      </c>
      <c r="IR37">
        <v>0</v>
      </c>
      <c r="IS37">
        <v>0</v>
      </c>
      <c r="IT37">
        <v>0</v>
      </c>
      <c r="JF37">
        <v>0</v>
      </c>
      <c r="JG37">
        <v>0</v>
      </c>
      <c r="JH37">
        <v>0</v>
      </c>
      <c r="JI37">
        <v>0</v>
      </c>
      <c r="JJ37">
        <v>0</v>
      </c>
      <c r="JK37">
        <v>0</v>
      </c>
      <c r="JL37">
        <v>0</v>
      </c>
      <c r="JM37">
        <v>0</v>
      </c>
      <c r="JN37">
        <v>0</v>
      </c>
      <c r="JO37">
        <v>0</v>
      </c>
      <c r="JP37">
        <v>0</v>
      </c>
      <c r="KB37">
        <v>0</v>
      </c>
      <c r="KC37">
        <v>0</v>
      </c>
      <c r="KD37">
        <v>0</v>
      </c>
      <c r="KE37">
        <v>0</v>
      </c>
      <c r="KF37">
        <v>0</v>
      </c>
      <c r="KG37">
        <v>0</v>
      </c>
      <c r="KH37">
        <v>0</v>
      </c>
      <c r="KI37">
        <v>0</v>
      </c>
      <c r="KJ37">
        <v>0</v>
      </c>
      <c r="KK37">
        <v>0</v>
      </c>
      <c r="KL37">
        <v>0</v>
      </c>
      <c r="KX37">
        <v>0</v>
      </c>
      <c r="KY37">
        <v>0</v>
      </c>
      <c r="KZ37">
        <v>0</v>
      </c>
      <c r="LA37">
        <v>0</v>
      </c>
      <c r="LB37">
        <v>0</v>
      </c>
      <c r="LC37">
        <v>0</v>
      </c>
      <c r="LD37">
        <v>0</v>
      </c>
      <c r="LE37">
        <v>0</v>
      </c>
      <c r="LF37">
        <v>0</v>
      </c>
      <c r="LG37">
        <v>0</v>
      </c>
      <c r="LH37">
        <v>0</v>
      </c>
      <c r="LT37">
        <v>0</v>
      </c>
      <c r="LU37">
        <v>0</v>
      </c>
      <c r="LV37">
        <v>0</v>
      </c>
      <c r="LW37">
        <v>0</v>
      </c>
      <c r="LX37">
        <v>0</v>
      </c>
      <c r="LY37">
        <v>0</v>
      </c>
      <c r="LZ37">
        <v>0</v>
      </c>
      <c r="MA37">
        <v>0</v>
      </c>
      <c r="MB37">
        <v>0</v>
      </c>
      <c r="MC37">
        <v>0</v>
      </c>
      <c r="MD37">
        <v>0</v>
      </c>
      <c r="MP37">
        <v>0</v>
      </c>
      <c r="MQ37">
        <v>0</v>
      </c>
      <c r="MR37">
        <v>0</v>
      </c>
      <c r="MS37">
        <v>0</v>
      </c>
      <c r="MT37">
        <v>0</v>
      </c>
      <c r="MU37">
        <v>0</v>
      </c>
      <c r="MV37">
        <v>0</v>
      </c>
      <c r="MW37">
        <v>0</v>
      </c>
      <c r="MX37">
        <v>0</v>
      </c>
      <c r="MY37">
        <v>0</v>
      </c>
      <c r="MZ37">
        <v>0</v>
      </c>
      <c r="NL37">
        <v>0</v>
      </c>
      <c r="NM37">
        <v>0</v>
      </c>
      <c r="NN37">
        <v>0</v>
      </c>
      <c r="NO37">
        <v>0</v>
      </c>
      <c r="NP37">
        <v>0</v>
      </c>
      <c r="NQ37">
        <v>0</v>
      </c>
      <c r="NR37">
        <v>0</v>
      </c>
      <c r="NS37">
        <v>0</v>
      </c>
      <c r="NT37">
        <v>0</v>
      </c>
      <c r="NU37">
        <v>0</v>
      </c>
      <c r="NV37">
        <v>0</v>
      </c>
      <c r="NW37" s="11"/>
      <c r="NX37" s="11"/>
      <c r="NY37" s="11"/>
      <c r="NZ37" s="11"/>
      <c r="OA37" s="11"/>
      <c r="OB37" s="11"/>
      <c r="OC37" s="11"/>
      <c r="OD37" s="11"/>
      <c r="OE37" s="11"/>
      <c r="OF37" s="11"/>
      <c r="OG37" s="11"/>
      <c r="OH37">
        <v>0</v>
      </c>
      <c r="OI37">
        <v>0</v>
      </c>
      <c r="OJ37">
        <v>0</v>
      </c>
      <c r="OK37">
        <v>0</v>
      </c>
      <c r="OL37">
        <v>0</v>
      </c>
      <c r="OM37">
        <v>0</v>
      </c>
      <c r="ON37">
        <v>0</v>
      </c>
      <c r="OO37">
        <v>0</v>
      </c>
      <c r="OP37">
        <v>0</v>
      </c>
      <c r="OQ37">
        <v>0</v>
      </c>
      <c r="OR37">
        <v>0</v>
      </c>
      <c r="OS37" s="11"/>
      <c r="OT37" s="11"/>
      <c r="OU37" s="11"/>
      <c r="OV37" s="11"/>
      <c r="OW37" s="11"/>
      <c r="OX37" s="11"/>
      <c r="OY37" s="11"/>
      <c r="OZ37" s="11"/>
      <c r="PA37" s="11"/>
      <c r="PB37" s="11"/>
      <c r="PC37" s="11"/>
      <c r="PD37">
        <v>0</v>
      </c>
      <c r="PE37">
        <v>0</v>
      </c>
      <c r="PF37">
        <v>0</v>
      </c>
      <c r="PG37">
        <v>0</v>
      </c>
      <c r="PH37">
        <v>0</v>
      </c>
      <c r="PI37">
        <v>0</v>
      </c>
      <c r="PJ37">
        <v>0</v>
      </c>
      <c r="PK37">
        <v>0</v>
      </c>
      <c r="PL37">
        <v>0</v>
      </c>
      <c r="PM37">
        <v>0</v>
      </c>
      <c r="PN37">
        <v>0</v>
      </c>
      <c r="PO37" s="11"/>
      <c r="PP37" s="11"/>
      <c r="PQ37" s="11"/>
      <c r="PR37" s="11"/>
      <c r="PS37" s="11"/>
      <c r="PT37" s="11"/>
      <c r="PU37" s="11"/>
      <c r="PV37" s="11"/>
      <c r="PW37" s="11"/>
      <c r="PX37" s="11"/>
      <c r="PY37" s="11"/>
      <c r="PZ37">
        <v>0</v>
      </c>
      <c r="QA37">
        <v>0</v>
      </c>
      <c r="QB37">
        <v>0</v>
      </c>
      <c r="QC37">
        <v>0</v>
      </c>
      <c r="QD37">
        <v>0</v>
      </c>
      <c r="QE37">
        <v>0</v>
      </c>
      <c r="QF37">
        <v>0</v>
      </c>
      <c r="QG37">
        <v>0</v>
      </c>
      <c r="QH37">
        <v>0</v>
      </c>
      <c r="QI37">
        <v>0</v>
      </c>
      <c r="QJ37">
        <v>0</v>
      </c>
      <c r="QK37" s="11"/>
      <c r="QL37" s="11"/>
      <c r="QM37" s="11"/>
      <c r="QN37" s="11"/>
      <c r="QO37" s="11"/>
      <c r="QP37" s="11"/>
      <c r="QQ37" s="11"/>
      <c r="QR37" s="11"/>
      <c r="QS37" s="11"/>
      <c r="QT37" s="11"/>
      <c r="QU37" s="11"/>
      <c r="QV37">
        <v>0</v>
      </c>
      <c r="QW37">
        <v>0</v>
      </c>
      <c r="QX37">
        <v>0</v>
      </c>
      <c r="QY37">
        <v>0</v>
      </c>
      <c r="QZ37">
        <v>0</v>
      </c>
      <c r="RA37">
        <v>0</v>
      </c>
      <c r="RB37">
        <v>0</v>
      </c>
      <c r="RC37">
        <v>0</v>
      </c>
      <c r="RD37">
        <v>0</v>
      </c>
      <c r="RE37">
        <v>0</v>
      </c>
      <c r="RF37">
        <v>0</v>
      </c>
      <c r="RG37" s="11"/>
      <c r="RH37" s="11"/>
      <c r="RI37" s="11"/>
      <c r="RJ37" s="11"/>
      <c r="RK37" s="11"/>
      <c r="RL37" s="11"/>
      <c r="RM37" s="11"/>
      <c r="RN37" s="11"/>
      <c r="RO37" s="11"/>
      <c r="RP37" s="11"/>
      <c r="RQ37" s="11"/>
      <c r="RR37">
        <v>0</v>
      </c>
      <c r="RS37">
        <v>0</v>
      </c>
      <c r="RT37">
        <v>0</v>
      </c>
      <c r="RU37">
        <v>0</v>
      </c>
      <c r="RV37">
        <v>0</v>
      </c>
      <c r="RW37">
        <v>0</v>
      </c>
      <c r="RX37">
        <v>0</v>
      </c>
      <c r="RY37">
        <v>0</v>
      </c>
      <c r="RZ37">
        <v>0</v>
      </c>
      <c r="SA37">
        <v>0</v>
      </c>
      <c r="SB37">
        <v>0</v>
      </c>
      <c r="SC37" s="11"/>
      <c r="SD37" s="11"/>
      <c r="SE37" s="11"/>
      <c r="SF37" s="11"/>
      <c r="SG37" s="11"/>
      <c r="SH37" s="11"/>
      <c r="SI37" s="11"/>
      <c r="SJ37" s="11"/>
      <c r="SK37" s="11"/>
      <c r="SL37" s="11"/>
      <c r="SM37" s="11"/>
      <c r="SN37">
        <v>0</v>
      </c>
      <c r="SO37">
        <v>0</v>
      </c>
      <c r="SP37">
        <v>0</v>
      </c>
      <c r="SQ37">
        <v>0</v>
      </c>
      <c r="SR37">
        <v>0</v>
      </c>
      <c r="SS37">
        <v>0</v>
      </c>
      <c r="ST37">
        <v>0</v>
      </c>
      <c r="SU37">
        <v>0</v>
      </c>
      <c r="SV37">
        <v>0</v>
      </c>
      <c r="SW37">
        <v>0</v>
      </c>
      <c r="SX37">
        <v>0</v>
      </c>
      <c r="SY37" s="11"/>
      <c r="SZ37" s="11"/>
      <c r="TA37" s="11"/>
      <c r="TB37" s="11"/>
      <c r="TC37" s="11"/>
      <c r="TD37" s="11"/>
      <c r="TE37" s="11"/>
      <c r="TF37" s="11"/>
      <c r="TG37" s="11"/>
      <c r="TH37" s="11"/>
      <c r="TI37" s="11"/>
      <c r="TJ37">
        <v>0</v>
      </c>
      <c r="TK37">
        <v>0</v>
      </c>
      <c r="TL37">
        <v>0</v>
      </c>
      <c r="TM37">
        <v>0</v>
      </c>
      <c r="TN37">
        <v>0</v>
      </c>
      <c r="TO37">
        <v>0</v>
      </c>
      <c r="TP37">
        <v>0</v>
      </c>
      <c r="TQ37">
        <v>0</v>
      </c>
      <c r="TR37">
        <v>0</v>
      </c>
      <c r="TS37">
        <v>0</v>
      </c>
      <c r="TT37">
        <v>0</v>
      </c>
      <c r="TU37" s="11"/>
      <c r="TV37" s="11"/>
      <c r="TW37" s="11"/>
      <c r="TX37" s="11"/>
      <c r="TY37" s="11"/>
      <c r="TZ37" s="11"/>
      <c r="UA37" s="11"/>
      <c r="UB37" s="11"/>
      <c r="UC37" s="11"/>
      <c r="UD37" s="11"/>
      <c r="UE37" s="11"/>
      <c r="UF37">
        <v>0</v>
      </c>
      <c r="UG37">
        <v>0</v>
      </c>
      <c r="UH37">
        <v>0</v>
      </c>
      <c r="UI37">
        <v>0</v>
      </c>
      <c r="UJ37">
        <v>0</v>
      </c>
      <c r="UK37">
        <v>0</v>
      </c>
      <c r="UL37">
        <v>0</v>
      </c>
      <c r="UM37">
        <v>0</v>
      </c>
      <c r="UN37">
        <v>0</v>
      </c>
      <c r="UO37">
        <v>0</v>
      </c>
      <c r="UP37">
        <v>0</v>
      </c>
      <c r="UQ37" s="11"/>
      <c r="UR37" s="11"/>
      <c r="US37" s="11"/>
      <c r="UT37" s="11"/>
      <c r="UU37" s="11"/>
      <c r="UV37" s="11"/>
      <c r="UW37" s="11"/>
      <c r="UX37" s="11"/>
      <c r="UY37" s="11"/>
      <c r="UZ37" s="11"/>
      <c r="VA37" s="11"/>
      <c r="VB37">
        <v>0</v>
      </c>
      <c r="VC37">
        <v>0</v>
      </c>
      <c r="VD37">
        <v>0</v>
      </c>
      <c r="VE37">
        <v>0</v>
      </c>
      <c r="VF37">
        <v>0</v>
      </c>
      <c r="VG37">
        <v>0</v>
      </c>
      <c r="VH37">
        <v>0</v>
      </c>
      <c r="VI37">
        <v>0</v>
      </c>
      <c r="VJ37">
        <v>0</v>
      </c>
      <c r="VK37">
        <v>0</v>
      </c>
      <c r="VL37">
        <v>0</v>
      </c>
      <c r="VM37" s="11"/>
      <c r="VN37" s="11"/>
      <c r="VO37" s="11"/>
      <c r="VP37" s="11"/>
      <c r="VQ37" s="11"/>
      <c r="VR37" s="11"/>
      <c r="VS37" s="11"/>
      <c r="VT37" s="11"/>
      <c r="VU37" s="11"/>
      <c r="VV37" s="11"/>
      <c r="VW37" s="11"/>
      <c r="VX37">
        <v>0</v>
      </c>
      <c r="VY37">
        <v>0</v>
      </c>
      <c r="VZ37">
        <v>0</v>
      </c>
      <c r="WA37">
        <v>0</v>
      </c>
      <c r="WB37">
        <v>0</v>
      </c>
      <c r="WC37">
        <v>0</v>
      </c>
      <c r="WD37">
        <v>0</v>
      </c>
      <c r="WE37">
        <v>0</v>
      </c>
      <c r="WF37">
        <v>0</v>
      </c>
      <c r="WG37">
        <v>0</v>
      </c>
      <c r="WH37">
        <v>0</v>
      </c>
      <c r="WI37" s="11"/>
      <c r="WJ37" s="11"/>
      <c r="WK37" s="11"/>
      <c r="WL37" s="11"/>
      <c r="WM37" s="11"/>
      <c r="WN37" s="11"/>
      <c r="WO37" s="11"/>
      <c r="WP37" s="11"/>
      <c r="WQ37" s="11"/>
      <c r="WR37" s="11"/>
      <c r="WS37" s="11"/>
      <c r="WT37">
        <v>0</v>
      </c>
      <c r="WU37">
        <v>0</v>
      </c>
      <c r="WV37">
        <v>0</v>
      </c>
      <c r="WW37">
        <v>0</v>
      </c>
      <c r="WX37">
        <v>0</v>
      </c>
      <c r="WY37">
        <v>0</v>
      </c>
      <c r="WZ37">
        <v>0</v>
      </c>
      <c r="XA37">
        <v>0</v>
      </c>
      <c r="XB37">
        <v>0</v>
      </c>
      <c r="XC37">
        <v>0</v>
      </c>
      <c r="XD37">
        <v>0</v>
      </c>
      <c r="XE37" s="11"/>
      <c r="XF37" s="11"/>
      <c r="XG37" s="11"/>
      <c r="XH37" s="11"/>
      <c r="XI37" s="11"/>
      <c r="XJ37" s="11"/>
      <c r="XK37" s="11"/>
      <c r="XL37" s="11"/>
      <c r="XM37" s="11"/>
      <c r="XN37" s="11"/>
      <c r="XO37" s="11"/>
      <c r="XP37">
        <v>0</v>
      </c>
      <c r="XQ37">
        <v>0</v>
      </c>
      <c r="XR37">
        <v>0</v>
      </c>
      <c r="XS37">
        <v>0</v>
      </c>
      <c r="XT37">
        <v>0</v>
      </c>
      <c r="XU37">
        <v>0</v>
      </c>
      <c r="XV37">
        <v>0</v>
      </c>
      <c r="XW37">
        <v>0</v>
      </c>
      <c r="XX37">
        <v>0</v>
      </c>
      <c r="XY37">
        <v>0</v>
      </c>
      <c r="XZ37">
        <v>0</v>
      </c>
      <c r="YA37" s="11"/>
      <c r="YB37" s="11"/>
      <c r="YC37" s="11"/>
      <c r="YD37" s="11"/>
      <c r="YE37" s="11"/>
      <c r="YF37" s="11"/>
      <c r="YG37" s="11"/>
      <c r="YH37" s="11"/>
      <c r="YI37" s="11"/>
      <c r="YJ37" s="11"/>
      <c r="YK37" s="11"/>
      <c r="YL37">
        <v>0</v>
      </c>
      <c r="YM37">
        <v>0</v>
      </c>
      <c r="YN37">
        <v>0</v>
      </c>
      <c r="YO37">
        <v>0</v>
      </c>
      <c r="YP37">
        <v>0</v>
      </c>
      <c r="YQ37">
        <v>0</v>
      </c>
      <c r="YR37">
        <v>0</v>
      </c>
      <c r="YS37">
        <v>0</v>
      </c>
      <c r="YT37">
        <v>0</v>
      </c>
      <c r="YU37">
        <v>0</v>
      </c>
      <c r="YV37">
        <v>0</v>
      </c>
      <c r="YW37" s="11"/>
      <c r="YX37" s="11"/>
      <c r="YY37" s="11"/>
      <c r="YZ37" s="11"/>
      <c r="ZA37" s="11"/>
      <c r="ZB37" s="11"/>
      <c r="ZC37" s="11"/>
      <c r="ZD37" s="11"/>
      <c r="ZE37" s="11"/>
      <c r="ZF37" s="11"/>
      <c r="ZG37" s="11"/>
      <c r="ZH37">
        <v>0</v>
      </c>
      <c r="ZI37">
        <v>0</v>
      </c>
      <c r="ZJ37">
        <v>0</v>
      </c>
      <c r="ZK37">
        <v>0</v>
      </c>
      <c r="ZL37">
        <v>0</v>
      </c>
      <c r="ZM37">
        <v>0</v>
      </c>
      <c r="ZN37">
        <v>0</v>
      </c>
      <c r="ZO37">
        <v>0</v>
      </c>
      <c r="ZP37">
        <v>0</v>
      </c>
      <c r="ZQ37">
        <v>0</v>
      </c>
      <c r="ZR37">
        <v>0</v>
      </c>
      <c r="ZS37" s="11"/>
      <c r="ZT37" s="11"/>
      <c r="ZU37" s="11"/>
      <c r="ZV37" s="11"/>
      <c r="ZW37" s="11"/>
      <c r="ZX37" s="11"/>
      <c r="ZY37" s="11"/>
      <c r="ZZ37" s="11"/>
      <c r="AAA37" s="11"/>
      <c r="AAB37" s="11"/>
      <c r="AAC37" s="11"/>
    </row>
    <row r="38" spans="1:705" x14ac:dyDescent="0.2">
      <c r="A38">
        <v>7</v>
      </c>
      <c r="B38">
        <v>0</v>
      </c>
      <c r="C38">
        <v>0</v>
      </c>
      <c r="D38">
        <v>0</v>
      </c>
      <c r="E38">
        <f>$C$63*LOOKUP(B$1,OverwiewSecondStage!$B:$B,OverwiewSecondStage!$F:$F)</f>
        <v>5</v>
      </c>
      <c r="F38">
        <f>$C$62*LOOKUP(B$1,OverwiewSecondStage!$B:$B,OverwiewSecondStage!$E:$E)</f>
        <v>5</v>
      </c>
      <c r="G38" s="12">
        <f>$C$64*LOOKUP(B$1,OverwiewSecondStage!$B:$B,OverwiewSecondStage!$G:$G)</f>
        <v>5</v>
      </c>
      <c r="H38">
        <f>$C$62*LOOKUP(B$1,OverwiewSecondStage!$B:$B,OverwiewSecondStage!$E:$E)</f>
        <v>5</v>
      </c>
      <c r="I38">
        <f>$C$66*LOOKUP(B$1,OverwiewSecondStage!$B:$B,OverwiewSecondStage!$D:$D)</f>
        <v>10</v>
      </c>
      <c r="J38">
        <f>$C$65*LOOKUP(B$1,OverwiewSecondStage!$B:$B,OverwiewSecondStage!$C:$C)</f>
        <v>10</v>
      </c>
      <c r="K38">
        <v>0</v>
      </c>
      <c r="L38">
        <v>0</v>
      </c>
      <c r="X38">
        <v>0</v>
      </c>
      <c r="Y38">
        <v>0</v>
      </c>
      <c r="Z38">
        <v>0</v>
      </c>
      <c r="AA38">
        <f>$C$63*LOOKUP(X$1,OverwiewSecondStage!$B:$B,OverwiewSecondStage!$F:$F)</f>
        <v>5</v>
      </c>
      <c r="AB38">
        <f>$C$62*LOOKUP(X$1,OverwiewSecondStage!$B:$B,OverwiewSecondStage!$E:$E)</f>
        <v>5</v>
      </c>
      <c r="AC38" s="12">
        <f>$C$64*LOOKUP(X$1,OverwiewSecondStage!$B:$B,OverwiewSecondStage!$G:$G)</f>
        <v>5</v>
      </c>
      <c r="AD38">
        <f>$C$62*LOOKUP(X$1,OverwiewSecondStage!$B:$B,OverwiewSecondStage!$E:$E)</f>
        <v>5</v>
      </c>
      <c r="AE38">
        <f>$C$66*LOOKUP(X$1,OverwiewSecondStage!$B:$B,OverwiewSecondStage!$D:$D)</f>
        <v>-10</v>
      </c>
      <c r="AF38">
        <f>$C$65*LOOKUP(X$1,OverwiewSecondStage!$B:$B,OverwiewSecondStage!$C:$C)</f>
        <v>10</v>
      </c>
      <c r="AG38">
        <v>0</v>
      </c>
      <c r="AH38">
        <v>0</v>
      </c>
      <c r="AT38">
        <v>0</v>
      </c>
      <c r="AU38">
        <v>0</v>
      </c>
      <c r="AV38">
        <v>0</v>
      </c>
      <c r="AW38">
        <f>$C$63*LOOKUP(AT$1,OverwiewSecondStage!$B:$B,OverwiewSecondStage!$F:$F)</f>
        <v>5</v>
      </c>
      <c r="AX38">
        <f>$C$62*LOOKUP(AT$1,OverwiewSecondStage!$B:$B,OverwiewSecondStage!$E:$E)</f>
        <v>-5</v>
      </c>
      <c r="AY38" s="12">
        <f>$C$64*LOOKUP(AT$1,OverwiewSecondStage!$B:$B,OverwiewSecondStage!$G:$G)</f>
        <v>5</v>
      </c>
      <c r="AZ38">
        <f>$C$62*LOOKUP(AT$1,OverwiewSecondStage!$B:$B,OverwiewSecondStage!$E:$E)</f>
        <v>-5</v>
      </c>
      <c r="BA38">
        <f>$C$66*LOOKUP(AT$1,OverwiewSecondStage!$B:$B,OverwiewSecondStage!$D:$D)</f>
        <v>10</v>
      </c>
      <c r="BB38">
        <f>$C$65*LOOKUP(AT$1,OverwiewSecondStage!$B:$B,OverwiewSecondStage!$C:$C)</f>
        <v>10</v>
      </c>
      <c r="BC38">
        <v>0</v>
      </c>
      <c r="BD38">
        <v>0</v>
      </c>
      <c r="BP38">
        <v>0</v>
      </c>
      <c r="BQ38">
        <v>0</v>
      </c>
      <c r="BR38">
        <v>0</v>
      </c>
      <c r="BS38">
        <f>$C$63*LOOKUP(BP$1,OverwiewSecondStage!$B:$B,OverwiewSecondStage!$F:$F)</f>
        <v>5</v>
      </c>
      <c r="BT38">
        <f>$C$62*LOOKUP(BP$1,OverwiewSecondStage!$B:$B,OverwiewSecondStage!$E:$E)</f>
        <v>-5</v>
      </c>
      <c r="BU38" s="12">
        <f>$C$64*LOOKUP(BP$1,OverwiewSecondStage!$B:$B,OverwiewSecondStage!$G:$G)</f>
        <v>5</v>
      </c>
      <c r="BV38">
        <f>$C$62*LOOKUP(BP$1,OverwiewSecondStage!$B:$B,OverwiewSecondStage!$E:$E)</f>
        <v>-5</v>
      </c>
      <c r="BW38">
        <f>$C$66*LOOKUP(BP$1,OverwiewSecondStage!$B:$B,OverwiewSecondStage!$D:$D)</f>
        <v>-10</v>
      </c>
      <c r="BX38">
        <f>$C$65*LOOKUP(BP$1,OverwiewSecondStage!$B:$B,OverwiewSecondStage!$C:$C)</f>
        <v>10</v>
      </c>
      <c r="BY38">
        <v>0</v>
      </c>
      <c r="BZ38">
        <v>0</v>
      </c>
      <c r="CL38">
        <v>0</v>
      </c>
      <c r="CM38">
        <v>0</v>
      </c>
      <c r="CN38">
        <v>0</v>
      </c>
      <c r="CO38">
        <f>$C$63*LOOKUP(CL$1,OverwiewSecondStage!$B:$B,OverwiewSecondStage!$F:$F)</f>
        <v>-5</v>
      </c>
      <c r="CP38">
        <f>$C$62*LOOKUP(CL$1,OverwiewSecondStage!$B:$B,OverwiewSecondStage!$E:$E)</f>
        <v>5</v>
      </c>
      <c r="CQ38" s="12">
        <f>$C$64*LOOKUP(CL$1,OverwiewSecondStage!$B:$B,OverwiewSecondStage!$G:$G)</f>
        <v>5</v>
      </c>
      <c r="CR38">
        <f>$C$62*LOOKUP(CL$1,OverwiewSecondStage!$B:$B,OverwiewSecondStage!$E:$E)</f>
        <v>5</v>
      </c>
      <c r="CS38">
        <f>$C$66*LOOKUP(CL$1,OverwiewSecondStage!$B:$B,OverwiewSecondStage!$D:$D)</f>
        <v>10</v>
      </c>
      <c r="CT38">
        <f>$C$65*LOOKUP(CL$1,OverwiewSecondStage!$B:$B,OverwiewSecondStage!$C:$C)</f>
        <v>10</v>
      </c>
      <c r="CU38">
        <v>0</v>
      </c>
      <c r="CV38">
        <v>0</v>
      </c>
      <c r="DH38">
        <v>0</v>
      </c>
      <c r="DI38">
        <v>0</v>
      </c>
      <c r="DJ38">
        <v>0</v>
      </c>
      <c r="DK38">
        <f>$C$63*LOOKUP(DH$1,OverwiewSecondStage!$B:$B,OverwiewSecondStage!$F:$F)</f>
        <v>-5</v>
      </c>
      <c r="DL38">
        <f>$C$62*LOOKUP(DH$1,OverwiewSecondStage!$B:$B,OverwiewSecondStage!$E:$E)</f>
        <v>5</v>
      </c>
      <c r="DM38" s="12">
        <f>$C$64*LOOKUP(DH$1,OverwiewSecondStage!$B:$B,OverwiewSecondStage!$G:$G)</f>
        <v>5</v>
      </c>
      <c r="DN38">
        <f>$C$62*LOOKUP(DH$1,OverwiewSecondStage!$B:$B,OverwiewSecondStage!$E:$E)</f>
        <v>5</v>
      </c>
      <c r="DO38">
        <f>$C$66*LOOKUP(DH$1,OverwiewSecondStage!$B:$B,OverwiewSecondStage!$D:$D)</f>
        <v>-10</v>
      </c>
      <c r="DP38">
        <f>$C$65*LOOKUP(DH$1,OverwiewSecondStage!$B:$B,OverwiewSecondStage!$C:$C)</f>
        <v>10</v>
      </c>
      <c r="DQ38">
        <v>0</v>
      </c>
      <c r="DR38">
        <v>0</v>
      </c>
      <c r="ED38">
        <v>0</v>
      </c>
      <c r="EE38">
        <v>0</v>
      </c>
      <c r="EF38">
        <v>0</v>
      </c>
      <c r="EG38">
        <f>$C$63*LOOKUP(ED$1,OverwiewSecondStage!$B:$B,OverwiewSecondStage!$F:$F)</f>
        <v>-5</v>
      </c>
      <c r="EH38">
        <f>$C$62*LOOKUP(ED$1,OverwiewSecondStage!$B:$B,OverwiewSecondStage!$E:$E)</f>
        <v>-5</v>
      </c>
      <c r="EI38" s="12">
        <f>$C$64*LOOKUP(ED$1,OverwiewSecondStage!$B:$B,OverwiewSecondStage!$G:$G)</f>
        <v>5</v>
      </c>
      <c r="EJ38">
        <f>$C$62*LOOKUP(ED$1,OverwiewSecondStage!$B:$B,OverwiewSecondStage!$E:$E)</f>
        <v>-5</v>
      </c>
      <c r="EK38">
        <f>$C$66*LOOKUP(ED$1,OverwiewSecondStage!$B:$B,OverwiewSecondStage!$D:$D)</f>
        <v>10</v>
      </c>
      <c r="EL38">
        <f>$C$65*LOOKUP(ED$1,OverwiewSecondStage!$B:$B,OverwiewSecondStage!$C:$C)</f>
        <v>10</v>
      </c>
      <c r="EM38">
        <v>0</v>
      </c>
      <c r="EN38">
        <v>0</v>
      </c>
      <c r="EZ38">
        <v>0</v>
      </c>
      <c r="FA38">
        <v>0</v>
      </c>
      <c r="FB38">
        <v>0</v>
      </c>
      <c r="FC38">
        <f>$C$63*LOOKUP(EZ$1,OverwiewSecondStage!$B:$B,OverwiewSecondStage!$F:$F)</f>
        <v>-5</v>
      </c>
      <c r="FD38">
        <f>$C$62*LOOKUP(EZ$1,OverwiewSecondStage!$B:$B,OverwiewSecondStage!$E:$E)</f>
        <v>-5</v>
      </c>
      <c r="FE38" s="12">
        <f>$C$64*LOOKUP(EZ$1,OverwiewSecondStage!$B:$B,OverwiewSecondStage!$G:$G)</f>
        <v>5</v>
      </c>
      <c r="FF38">
        <f>$C$62*LOOKUP(EZ$1,OverwiewSecondStage!$B:$B,OverwiewSecondStage!$E:$E)</f>
        <v>-5</v>
      </c>
      <c r="FG38">
        <f>$C$66*LOOKUP(EZ$1,OverwiewSecondStage!$B:$B,OverwiewSecondStage!$D:$D)</f>
        <v>-10</v>
      </c>
      <c r="FH38">
        <f>$C$65*LOOKUP(EZ$1,OverwiewSecondStage!$B:$B,OverwiewSecondStage!$C:$C)</f>
        <v>10</v>
      </c>
      <c r="FI38">
        <v>0</v>
      </c>
      <c r="FJ38">
        <v>0</v>
      </c>
      <c r="FV38">
        <v>0</v>
      </c>
      <c r="FW38">
        <v>0</v>
      </c>
      <c r="FX38">
        <v>0</v>
      </c>
      <c r="FY38">
        <f>$C$63*LOOKUP(FV$1,OverwiewSecondStage!$B:$B,OverwiewSecondStage!$F:$F)</f>
        <v>5</v>
      </c>
      <c r="FZ38">
        <f>$C$62*LOOKUP(FV$1,OverwiewSecondStage!$B:$B,OverwiewSecondStage!$E:$E)</f>
        <v>5</v>
      </c>
      <c r="GA38" s="12">
        <f>$C$64*LOOKUP(FV$1,OverwiewSecondStage!$B:$B,OverwiewSecondStage!$G:$G)</f>
        <v>-5</v>
      </c>
      <c r="GB38">
        <f>$C$62*LOOKUP(FV$1,OverwiewSecondStage!$B:$B,OverwiewSecondStage!$E:$E)</f>
        <v>5</v>
      </c>
      <c r="GC38">
        <f>$C$66*LOOKUP(FV$1,OverwiewSecondStage!$B:$B,OverwiewSecondStage!$D:$D)</f>
        <v>10</v>
      </c>
      <c r="GD38">
        <f>$C$65*LOOKUP(FV$1,OverwiewSecondStage!$B:$B,OverwiewSecondStage!$C:$C)</f>
        <v>10</v>
      </c>
      <c r="GE38">
        <v>0</v>
      </c>
      <c r="GF38">
        <v>0</v>
      </c>
      <c r="GR38">
        <v>0</v>
      </c>
      <c r="GS38">
        <v>0</v>
      </c>
      <c r="GT38">
        <v>0</v>
      </c>
      <c r="GU38">
        <f>$C$63*LOOKUP(GR$1,OverwiewSecondStage!$B:$B,OverwiewSecondStage!$F:$F)</f>
        <v>5</v>
      </c>
      <c r="GV38">
        <f>$C$62*LOOKUP(GR$1,OverwiewSecondStage!$B:$B,OverwiewSecondStage!$E:$E)</f>
        <v>5</v>
      </c>
      <c r="GW38" s="12">
        <f>$C$64*LOOKUP(GR$1,OverwiewSecondStage!$B:$B,OverwiewSecondStage!$G:$G)</f>
        <v>-5</v>
      </c>
      <c r="GX38">
        <f>$C$62*LOOKUP(GR$1,OverwiewSecondStage!$B:$B,OverwiewSecondStage!$E:$E)</f>
        <v>5</v>
      </c>
      <c r="GY38">
        <f>$C$66*LOOKUP(GR$1,OverwiewSecondStage!$B:$B,OverwiewSecondStage!$D:$D)</f>
        <v>-10</v>
      </c>
      <c r="GZ38">
        <f>$C$65*LOOKUP(GR$1,OverwiewSecondStage!$B:$B,OverwiewSecondStage!$C:$C)</f>
        <v>10</v>
      </c>
      <c r="HA38">
        <v>0</v>
      </c>
      <c r="HB38">
        <v>0</v>
      </c>
      <c r="HN38">
        <v>0</v>
      </c>
      <c r="HO38">
        <v>0</v>
      </c>
      <c r="HP38">
        <v>0</v>
      </c>
      <c r="HQ38">
        <f>$C$63*LOOKUP(HN$1,OverwiewSecondStage!$B:$B,OverwiewSecondStage!$F:$F)</f>
        <v>5</v>
      </c>
      <c r="HR38">
        <f>$C$62*LOOKUP(HN$1,OverwiewSecondStage!$B:$B,OverwiewSecondStage!$E:$E)</f>
        <v>-5</v>
      </c>
      <c r="HS38" s="12">
        <f>$C$64*LOOKUP(HN$1,OverwiewSecondStage!$B:$B,OverwiewSecondStage!$G:$G)</f>
        <v>-5</v>
      </c>
      <c r="HT38">
        <f>$C$62*LOOKUP(HN$1,OverwiewSecondStage!$B:$B,OverwiewSecondStage!$E:$E)</f>
        <v>-5</v>
      </c>
      <c r="HU38">
        <f>$C$66*LOOKUP(HN$1,OverwiewSecondStage!$B:$B,OverwiewSecondStage!$D:$D)</f>
        <v>10</v>
      </c>
      <c r="HV38">
        <f>$C$65*LOOKUP(HN$1,OverwiewSecondStage!$B:$B,OverwiewSecondStage!$C:$C)</f>
        <v>10</v>
      </c>
      <c r="HW38">
        <v>0</v>
      </c>
      <c r="HX38">
        <v>0</v>
      </c>
      <c r="IJ38">
        <v>0</v>
      </c>
      <c r="IK38">
        <v>0</v>
      </c>
      <c r="IL38">
        <v>0</v>
      </c>
      <c r="IM38">
        <f>$C$63*LOOKUP(IJ$1,OverwiewSecondStage!$B:$B,OverwiewSecondStage!$F:$F)</f>
        <v>5</v>
      </c>
      <c r="IN38">
        <f>$C$62*LOOKUP(IJ$1,OverwiewSecondStage!$B:$B,OverwiewSecondStage!$E:$E)</f>
        <v>-5</v>
      </c>
      <c r="IO38" s="12">
        <f>$C$64*LOOKUP(IJ$1,OverwiewSecondStage!$B:$B,OverwiewSecondStage!$G:$G)</f>
        <v>-5</v>
      </c>
      <c r="IP38">
        <f>$C$62*LOOKUP(IJ$1,OverwiewSecondStage!$B:$B,OverwiewSecondStage!$E:$E)</f>
        <v>-5</v>
      </c>
      <c r="IQ38">
        <f>$C$66*LOOKUP(IJ$1,OverwiewSecondStage!$B:$B,OverwiewSecondStage!$D:$D)</f>
        <v>-10</v>
      </c>
      <c r="IR38">
        <f>$C$65*LOOKUP(IJ$1,OverwiewSecondStage!$B:$B,OverwiewSecondStage!$C:$C)</f>
        <v>10</v>
      </c>
      <c r="IS38">
        <v>0</v>
      </c>
      <c r="IT38">
        <v>0</v>
      </c>
      <c r="JF38">
        <v>0</v>
      </c>
      <c r="JG38">
        <v>0</v>
      </c>
      <c r="JH38">
        <v>0</v>
      </c>
      <c r="JI38">
        <f>$C$63*LOOKUP(JF$1,OverwiewSecondStage!$B:$B,OverwiewSecondStage!$F:$F)</f>
        <v>-5</v>
      </c>
      <c r="JJ38">
        <f>$C$62*LOOKUP(JF$1,OverwiewSecondStage!$B:$B,OverwiewSecondStage!$E:$E)</f>
        <v>5</v>
      </c>
      <c r="JK38" s="12">
        <f>$C$64*LOOKUP(JF$1,OverwiewSecondStage!$B:$B,OverwiewSecondStage!$G:$G)</f>
        <v>-5</v>
      </c>
      <c r="JL38">
        <f>$C$62*LOOKUP(JF$1,OverwiewSecondStage!$B:$B,OverwiewSecondStage!$E:$E)</f>
        <v>5</v>
      </c>
      <c r="JM38">
        <f>$C$66*LOOKUP(JF$1,OverwiewSecondStage!$B:$B,OverwiewSecondStage!$D:$D)</f>
        <v>10</v>
      </c>
      <c r="JN38">
        <f>$C$65*LOOKUP(JF$1,OverwiewSecondStage!$B:$B,OverwiewSecondStage!$C:$C)</f>
        <v>10</v>
      </c>
      <c r="JO38">
        <v>0</v>
      </c>
      <c r="JP38">
        <v>0</v>
      </c>
      <c r="KB38">
        <v>0</v>
      </c>
      <c r="KC38">
        <v>0</v>
      </c>
      <c r="KD38">
        <v>0</v>
      </c>
      <c r="KE38">
        <f>$C$63*LOOKUP(KB$1,OverwiewSecondStage!$B:$B,OverwiewSecondStage!$F:$F)</f>
        <v>-5</v>
      </c>
      <c r="KF38">
        <f>$C$62*LOOKUP(KB$1,OverwiewSecondStage!$B:$B,OverwiewSecondStage!$E:$E)</f>
        <v>5</v>
      </c>
      <c r="KG38" s="12">
        <f>$C$64*LOOKUP(KB$1,OverwiewSecondStage!$B:$B,OverwiewSecondStage!$G:$G)</f>
        <v>-5</v>
      </c>
      <c r="KH38">
        <f>$C$62*LOOKUP(KB$1,OverwiewSecondStage!$B:$B,OverwiewSecondStage!$E:$E)</f>
        <v>5</v>
      </c>
      <c r="KI38">
        <f>$C$66*LOOKUP(KB$1,OverwiewSecondStage!$B:$B,OverwiewSecondStage!$D:$D)</f>
        <v>-10</v>
      </c>
      <c r="KJ38">
        <f>$C$65*LOOKUP(KB$1,OverwiewSecondStage!$B:$B,OverwiewSecondStage!$C:$C)</f>
        <v>10</v>
      </c>
      <c r="KK38">
        <v>0</v>
      </c>
      <c r="KL38">
        <v>0</v>
      </c>
      <c r="KX38">
        <v>0</v>
      </c>
      <c r="KY38">
        <v>0</v>
      </c>
      <c r="KZ38">
        <v>0</v>
      </c>
      <c r="LA38">
        <f>$C$63*LOOKUP(KX$1,OverwiewSecondStage!$B:$B,OverwiewSecondStage!$F:$F)</f>
        <v>-5</v>
      </c>
      <c r="LB38">
        <f>$C$62*LOOKUP(KX$1,OverwiewSecondStage!$B:$B,OverwiewSecondStage!$E:$E)</f>
        <v>-5</v>
      </c>
      <c r="LC38" s="12">
        <f>$C$64*LOOKUP(KX$1,OverwiewSecondStage!$B:$B,OverwiewSecondStage!$G:$G)</f>
        <v>-5</v>
      </c>
      <c r="LD38">
        <f>$C$62*LOOKUP(KX$1,OverwiewSecondStage!$B:$B,OverwiewSecondStage!$E:$E)</f>
        <v>-5</v>
      </c>
      <c r="LE38">
        <f>$C$66*LOOKUP(KX$1,OverwiewSecondStage!$B:$B,OverwiewSecondStage!$D:$D)</f>
        <v>10</v>
      </c>
      <c r="LF38">
        <f>$C$65*LOOKUP(KX$1,OverwiewSecondStage!$B:$B,OverwiewSecondStage!$C:$C)</f>
        <v>10</v>
      </c>
      <c r="LG38">
        <v>0</v>
      </c>
      <c r="LH38">
        <v>0</v>
      </c>
      <c r="LT38">
        <v>0</v>
      </c>
      <c r="LU38">
        <v>0</v>
      </c>
      <c r="LV38">
        <v>0</v>
      </c>
      <c r="LW38">
        <f>$C$63*LOOKUP(LT$1,OverwiewSecondStage!$B:$B,OverwiewSecondStage!$F:$F)</f>
        <v>-5</v>
      </c>
      <c r="LX38">
        <f>$C$62*LOOKUP(LT$1,OverwiewSecondStage!$B:$B,OverwiewSecondStage!$E:$E)</f>
        <v>-5</v>
      </c>
      <c r="LY38" s="12">
        <f>$C$64*LOOKUP(LT$1,OverwiewSecondStage!$B:$B,OverwiewSecondStage!$G:$G)</f>
        <v>-5</v>
      </c>
      <c r="LZ38">
        <f>$C$62*LOOKUP(LT$1,OverwiewSecondStage!$B:$B,OverwiewSecondStage!$E:$E)</f>
        <v>-5</v>
      </c>
      <c r="MA38">
        <f>$C$66*LOOKUP(LT$1,OverwiewSecondStage!$B:$B,OverwiewSecondStage!$D:$D)</f>
        <v>-10</v>
      </c>
      <c r="MB38">
        <f>$C$65*LOOKUP(LT$1,OverwiewSecondStage!$B:$B,OverwiewSecondStage!$C:$C)</f>
        <v>10</v>
      </c>
      <c r="MC38">
        <v>0</v>
      </c>
      <c r="MD38">
        <v>0</v>
      </c>
      <c r="MP38">
        <v>0</v>
      </c>
      <c r="MQ38">
        <v>0</v>
      </c>
      <c r="MR38">
        <v>0</v>
      </c>
      <c r="MS38">
        <f>$C$63*LOOKUP(MP$1,OverwiewSecondStage!$B:$B,OverwiewSecondStage!$F:$F)</f>
        <v>5</v>
      </c>
      <c r="MT38">
        <f>$C$62*LOOKUP(MP$1,OverwiewSecondStage!$B:$B,OverwiewSecondStage!$E:$E)</f>
        <v>5</v>
      </c>
      <c r="MU38" s="12">
        <f>$C$64*LOOKUP(MP$1,OverwiewSecondStage!$B:$B,OverwiewSecondStage!$G:$G)</f>
        <v>5</v>
      </c>
      <c r="MV38">
        <f>$C$62*LOOKUP(MP$1,OverwiewSecondStage!$B:$B,OverwiewSecondStage!$E:$E)</f>
        <v>5</v>
      </c>
      <c r="MW38">
        <f>$C$66*LOOKUP(MP$1,OverwiewSecondStage!$B:$B,OverwiewSecondStage!$D:$D)</f>
        <v>10</v>
      </c>
      <c r="MX38">
        <f>$C$65*LOOKUP(MP$1,OverwiewSecondStage!$B:$B,OverwiewSecondStage!$C:$C)</f>
        <v>-10</v>
      </c>
      <c r="MY38">
        <v>0</v>
      </c>
      <c r="MZ38">
        <v>0</v>
      </c>
      <c r="NL38">
        <v>0</v>
      </c>
      <c r="NM38">
        <v>0</v>
      </c>
      <c r="NN38">
        <v>0</v>
      </c>
      <c r="NO38">
        <f>$C$63*LOOKUP(NL$1,OverwiewSecondStage!$B:$B,OverwiewSecondStage!$F:$F)</f>
        <v>5</v>
      </c>
      <c r="NP38">
        <f>$C$62*LOOKUP(NL$1,OverwiewSecondStage!$B:$B,OverwiewSecondStage!$E:$E)</f>
        <v>5</v>
      </c>
      <c r="NQ38" s="12">
        <f>$C$64*LOOKUP(NL$1,OverwiewSecondStage!$B:$B,OverwiewSecondStage!$G:$G)</f>
        <v>5</v>
      </c>
      <c r="NR38">
        <f>$C$62*LOOKUP(NL$1,OverwiewSecondStage!$B:$B,OverwiewSecondStage!$E:$E)</f>
        <v>5</v>
      </c>
      <c r="NS38">
        <f>$C$66*LOOKUP(NL$1,OverwiewSecondStage!$B:$B,OverwiewSecondStage!$D:$D)</f>
        <v>-10</v>
      </c>
      <c r="NT38">
        <f>$C$65*LOOKUP(NL$1,OverwiewSecondStage!$B:$B,OverwiewSecondStage!$C:$C)</f>
        <v>-10</v>
      </c>
      <c r="NU38">
        <v>0</v>
      </c>
      <c r="NV38">
        <v>0</v>
      </c>
      <c r="NW38" s="11"/>
      <c r="NX38" s="11"/>
      <c r="NY38" s="11"/>
      <c r="NZ38" s="11"/>
      <c r="OA38" s="11"/>
      <c r="OB38" s="11"/>
      <c r="OC38" s="11"/>
      <c r="OD38" s="11"/>
      <c r="OE38" s="11"/>
      <c r="OF38" s="11"/>
      <c r="OG38" s="11"/>
      <c r="OH38">
        <v>0</v>
      </c>
      <c r="OI38">
        <v>0</v>
      </c>
      <c r="OJ38">
        <v>0</v>
      </c>
      <c r="OK38">
        <f>$C$63*LOOKUP(OH$1,OverwiewSecondStage!$B:$B,OverwiewSecondStage!$F:$F)</f>
        <v>5</v>
      </c>
      <c r="OL38">
        <f>$C$62*LOOKUP(OH$1,OverwiewSecondStage!$B:$B,OverwiewSecondStage!$E:$E)</f>
        <v>-5</v>
      </c>
      <c r="OM38" s="12">
        <f>$C$64*LOOKUP(OH$1,OverwiewSecondStage!$B:$B,OverwiewSecondStage!$G:$G)</f>
        <v>5</v>
      </c>
      <c r="ON38">
        <f>$C$62*LOOKUP(OH$1,OverwiewSecondStage!$B:$B,OverwiewSecondStage!$E:$E)</f>
        <v>-5</v>
      </c>
      <c r="OO38">
        <f>$C$66*LOOKUP(OH$1,OverwiewSecondStage!$B:$B,OverwiewSecondStage!$D:$D)</f>
        <v>10</v>
      </c>
      <c r="OP38">
        <f>$C$65*LOOKUP(OH$1,OverwiewSecondStage!$B:$B,OverwiewSecondStage!$C:$C)</f>
        <v>-10</v>
      </c>
      <c r="OQ38">
        <v>0</v>
      </c>
      <c r="OR38">
        <v>0</v>
      </c>
      <c r="OS38" s="11"/>
      <c r="OT38" s="11"/>
      <c r="OU38" s="11"/>
      <c r="OV38" s="11"/>
      <c r="OW38" s="11"/>
      <c r="OX38" s="11"/>
      <c r="OY38" s="11"/>
      <c r="OZ38" s="11"/>
      <c r="PA38" s="11"/>
      <c r="PB38" s="11"/>
      <c r="PC38" s="11"/>
      <c r="PD38">
        <v>0</v>
      </c>
      <c r="PE38">
        <v>0</v>
      </c>
      <c r="PF38">
        <v>0</v>
      </c>
      <c r="PG38">
        <f>$C$63*LOOKUP(PD$1,OverwiewSecondStage!$B:$B,OverwiewSecondStage!$F:$F)</f>
        <v>5</v>
      </c>
      <c r="PH38">
        <f>$C$62*LOOKUP(PD$1,OverwiewSecondStage!$B:$B,OverwiewSecondStage!$E:$E)</f>
        <v>-5</v>
      </c>
      <c r="PI38" s="12">
        <f>$C$64*LOOKUP(PD$1,OverwiewSecondStage!$B:$B,OverwiewSecondStage!$G:$G)</f>
        <v>5</v>
      </c>
      <c r="PJ38">
        <f>$C$62*LOOKUP(PD$1,OverwiewSecondStage!$B:$B,OverwiewSecondStage!$E:$E)</f>
        <v>-5</v>
      </c>
      <c r="PK38">
        <f>$C$66*LOOKUP(PD$1,OverwiewSecondStage!$B:$B,OverwiewSecondStage!$D:$D)</f>
        <v>-10</v>
      </c>
      <c r="PL38">
        <f>$C$65*LOOKUP(PD$1,OverwiewSecondStage!$B:$B,OverwiewSecondStage!$C:$C)</f>
        <v>-10</v>
      </c>
      <c r="PM38">
        <v>0</v>
      </c>
      <c r="PN38">
        <v>0</v>
      </c>
      <c r="PO38" s="11"/>
      <c r="PP38" s="11"/>
      <c r="PQ38" s="11"/>
      <c r="PR38" s="11"/>
      <c r="PS38" s="11"/>
      <c r="PT38" s="11"/>
      <c r="PU38" s="11"/>
      <c r="PV38" s="11"/>
      <c r="PW38" s="11"/>
      <c r="PX38" s="11"/>
      <c r="PY38" s="11"/>
      <c r="PZ38">
        <v>0</v>
      </c>
      <c r="QA38">
        <v>0</v>
      </c>
      <c r="QB38">
        <v>0</v>
      </c>
      <c r="QC38">
        <f>$C$63*LOOKUP(PZ$1,OverwiewSecondStage!$B:$B,OverwiewSecondStage!$F:$F)</f>
        <v>-5</v>
      </c>
      <c r="QD38">
        <f>$C$62*LOOKUP(PZ$1,OverwiewSecondStage!$B:$B,OverwiewSecondStage!$E:$E)</f>
        <v>5</v>
      </c>
      <c r="QE38" s="12">
        <f>$C$64*LOOKUP(PZ$1,OverwiewSecondStage!$B:$B,OverwiewSecondStage!$G:$G)</f>
        <v>5</v>
      </c>
      <c r="QF38">
        <f>$C$62*LOOKUP(PZ$1,OverwiewSecondStage!$B:$B,OverwiewSecondStage!$E:$E)</f>
        <v>5</v>
      </c>
      <c r="QG38">
        <f>$C$66*LOOKUP(PZ$1,OverwiewSecondStage!$B:$B,OverwiewSecondStage!$D:$D)</f>
        <v>10</v>
      </c>
      <c r="QH38">
        <f>$C$65*LOOKUP(PZ$1,OverwiewSecondStage!$B:$B,OverwiewSecondStage!$C:$C)</f>
        <v>-10</v>
      </c>
      <c r="QI38">
        <v>0</v>
      </c>
      <c r="QJ38">
        <v>0</v>
      </c>
      <c r="QK38" s="11"/>
      <c r="QL38" s="11"/>
      <c r="QM38" s="11"/>
      <c r="QN38" s="11"/>
      <c r="QO38" s="11"/>
      <c r="QP38" s="11"/>
      <c r="QQ38" s="11"/>
      <c r="QR38" s="11"/>
      <c r="QS38" s="11"/>
      <c r="QT38" s="11"/>
      <c r="QU38" s="11"/>
      <c r="QV38">
        <v>0</v>
      </c>
      <c r="QW38">
        <v>0</v>
      </c>
      <c r="QX38">
        <v>0</v>
      </c>
      <c r="QY38">
        <f>$C$63*LOOKUP(QV$1,OverwiewSecondStage!$B:$B,OverwiewSecondStage!$F:$F)</f>
        <v>-5</v>
      </c>
      <c r="QZ38">
        <f>$C$62*LOOKUP(QV$1,OverwiewSecondStage!$B:$B,OverwiewSecondStage!$E:$E)</f>
        <v>5</v>
      </c>
      <c r="RA38" s="12">
        <f>$C$64*LOOKUP(QV$1,OverwiewSecondStage!$B:$B,OverwiewSecondStage!$G:$G)</f>
        <v>5</v>
      </c>
      <c r="RB38">
        <f>$C$62*LOOKUP(QV$1,OverwiewSecondStage!$B:$B,OverwiewSecondStage!$E:$E)</f>
        <v>5</v>
      </c>
      <c r="RC38">
        <f>$C$66*LOOKUP(QV$1,OverwiewSecondStage!$B:$B,OverwiewSecondStage!$D:$D)</f>
        <v>-10</v>
      </c>
      <c r="RD38">
        <f>$C$65*LOOKUP(QV$1,OverwiewSecondStage!$B:$B,OverwiewSecondStage!$C:$C)</f>
        <v>-10</v>
      </c>
      <c r="RE38">
        <v>0</v>
      </c>
      <c r="RF38">
        <v>0</v>
      </c>
      <c r="RG38" s="11"/>
      <c r="RH38" s="11"/>
      <c r="RI38" s="11"/>
      <c r="RJ38" s="11"/>
      <c r="RK38" s="11"/>
      <c r="RL38" s="11"/>
      <c r="RM38" s="11"/>
      <c r="RN38" s="11"/>
      <c r="RO38" s="11"/>
      <c r="RP38" s="11"/>
      <c r="RQ38" s="11"/>
      <c r="RR38">
        <v>0</v>
      </c>
      <c r="RS38">
        <v>0</v>
      </c>
      <c r="RT38">
        <v>0</v>
      </c>
      <c r="RU38">
        <f>$C$63*LOOKUP(RR$1,OverwiewSecondStage!$B:$B,OverwiewSecondStage!$F:$F)</f>
        <v>-5</v>
      </c>
      <c r="RV38">
        <f>$C$62*LOOKUP(RR$1,OverwiewSecondStage!$B:$B,OverwiewSecondStage!$E:$E)</f>
        <v>-5</v>
      </c>
      <c r="RW38" s="12">
        <f>$C$64*LOOKUP(RR$1,OverwiewSecondStage!$B:$B,OverwiewSecondStage!$G:$G)</f>
        <v>5</v>
      </c>
      <c r="RX38">
        <f>$C$62*LOOKUP(RR$1,OverwiewSecondStage!$B:$B,OverwiewSecondStage!$E:$E)</f>
        <v>-5</v>
      </c>
      <c r="RY38">
        <f>$C$66*LOOKUP(RR$1,OverwiewSecondStage!$B:$B,OverwiewSecondStage!$D:$D)</f>
        <v>10</v>
      </c>
      <c r="RZ38">
        <f>$C$65*LOOKUP(RR$1,OverwiewSecondStage!$B:$B,OverwiewSecondStage!$C:$C)</f>
        <v>-10</v>
      </c>
      <c r="SA38">
        <v>0</v>
      </c>
      <c r="SB38">
        <v>0</v>
      </c>
      <c r="SC38" s="11"/>
      <c r="SD38" s="11"/>
      <c r="SE38" s="11"/>
      <c r="SF38" s="11"/>
      <c r="SG38" s="11"/>
      <c r="SH38" s="11"/>
      <c r="SI38" s="11"/>
      <c r="SJ38" s="11"/>
      <c r="SK38" s="11"/>
      <c r="SL38" s="11"/>
      <c r="SM38" s="11"/>
      <c r="SN38">
        <v>0</v>
      </c>
      <c r="SO38">
        <v>0</v>
      </c>
      <c r="SP38">
        <v>0</v>
      </c>
      <c r="SQ38">
        <f>$C$63*LOOKUP(SN$1,OverwiewSecondStage!$B:$B,OverwiewSecondStage!$F:$F)</f>
        <v>-5</v>
      </c>
      <c r="SR38">
        <f>$C$62*LOOKUP(SN$1,OverwiewSecondStage!$B:$B,OverwiewSecondStage!$E:$E)</f>
        <v>-5</v>
      </c>
      <c r="SS38" s="12">
        <f>$C$64*LOOKUP(SN$1,OverwiewSecondStage!$B:$B,OverwiewSecondStage!$G:$G)</f>
        <v>5</v>
      </c>
      <c r="ST38">
        <f>$C$62*LOOKUP(SN$1,OverwiewSecondStage!$B:$B,OverwiewSecondStage!$E:$E)</f>
        <v>-5</v>
      </c>
      <c r="SU38">
        <f>$C$66*LOOKUP(SN$1,OverwiewSecondStage!$B:$B,OverwiewSecondStage!$D:$D)</f>
        <v>-10</v>
      </c>
      <c r="SV38">
        <f>$C$65*LOOKUP(SN$1,OverwiewSecondStage!$B:$B,OverwiewSecondStage!$C:$C)</f>
        <v>-10</v>
      </c>
      <c r="SW38">
        <v>0</v>
      </c>
      <c r="SX38">
        <v>0</v>
      </c>
      <c r="SY38" s="11"/>
      <c r="SZ38" s="11"/>
      <c r="TA38" s="11"/>
      <c r="TB38" s="11"/>
      <c r="TC38" s="11"/>
      <c r="TD38" s="11"/>
      <c r="TE38" s="11"/>
      <c r="TF38" s="11"/>
      <c r="TG38" s="11"/>
      <c r="TH38" s="11"/>
      <c r="TI38" s="11"/>
      <c r="TJ38">
        <v>0</v>
      </c>
      <c r="TK38">
        <v>0</v>
      </c>
      <c r="TL38">
        <v>0</v>
      </c>
      <c r="TM38">
        <f>$C$63*LOOKUP(TJ$1,OverwiewSecondStage!$B:$B,OverwiewSecondStage!$F:$F)</f>
        <v>5</v>
      </c>
      <c r="TN38">
        <f>$C$62*LOOKUP(TJ$1,OverwiewSecondStage!$B:$B,OverwiewSecondStage!$E:$E)</f>
        <v>5</v>
      </c>
      <c r="TO38" s="12">
        <f>$C$64*LOOKUP(TJ$1,OverwiewSecondStage!$B:$B,OverwiewSecondStage!$G:$G)</f>
        <v>-5</v>
      </c>
      <c r="TP38">
        <f>$C$62*LOOKUP(TJ$1,OverwiewSecondStage!$B:$B,OverwiewSecondStage!$E:$E)</f>
        <v>5</v>
      </c>
      <c r="TQ38">
        <f>$C$66*LOOKUP(TJ$1,OverwiewSecondStage!$B:$B,OverwiewSecondStage!$D:$D)</f>
        <v>10</v>
      </c>
      <c r="TR38">
        <f>$C$65*LOOKUP(TJ$1,OverwiewSecondStage!$B:$B,OverwiewSecondStage!$C:$C)</f>
        <v>-10</v>
      </c>
      <c r="TS38">
        <v>0</v>
      </c>
      <c r="TT38">
        <v>0</v>
      </c>
      <c r="TU38" s="11"/>
      <c r="TV38" s="11"/>
      <c r="TW38" s="11"/>
      <c r="TX38" s="11"/>
      <c r="TY38" s="11"/>
      <c r="TZ38" s="11"/>
      <c r="UA38" s="11"/>
      <c r="UB38" s="11"/>
      <c r="UC38" s="11"/>
      <c r="UD38" s="11"/>
      <c r="UE38" s="11"/>
      <c r="UF38">
        <v>0</v>
      </c>
      <c r="UG38">
        <v>0</v>
      </c>
      <c r="UH38">
        <v>0</v>
      </c>
      <c r="UI38">
        <f>$C$63*LOOKUP(UF$1,OverwiewSecondStage!$B:$B,OverwiewSecondStage!$F:$F)</f>
        <v>5</v>
      </c>
      <c r="UJ38">
        <f>$C$62*LOOKUP(UF$1,OverwiewSecondStage!$B:$B,OverwiewSecondStage!$E:$E)</f>
        <v>5</v>
      </c>
      <c r="UK38" s="12">
        <f>$C$64*LOOKUP(UF$1,OverwiewSecondStage!$B:$B,OverwiewSecondStage!$G:$G)</f>
        <v>-5</v>
      </c>
      <c r="UL38">
        <f>$C$62*LOOKUP(UF$1,OverwiewSecondStage!$B:$B,OverwiewSecondStage!$E:$E)</f>
        <v>5</v>
      </c>
      <c r="UM38">
        <f>$C$66*LOOKUP(UF$1,OverwiewSecondStage!$B:$B,OverwiewSecondStage!$D:$D)</f>
        <v>-10</v>
      </c>
      <c r="UN38">
        <f>$C$65*LOOKUP(UF$1,OverwiewSecondStage!$B:$B,OverwiewSecondStage!$C:$C)</f>
        <v>-10</v>
      </c>
      <c r="UO38">
        <v>0</v>
      </c>
      <c r="UP38">
        <v>0</v>
      </c>
      <c r="UQ38" s="11"/>
      <c r="UR38" s="11"/>
      <c r="US38" s="11"/>
      <c r="UT38" s="11"/>
      <c r="UU38" s="11"/>
      <c r="UV38" s="11"/>
      <c r="UW38" s="11"/>
      <c r="UX38" s="11"/>
      <c r="UY38" s="11"/>
      <c r="UZ38" s="11"/>
      <c r="VA38" s="11"/>
      <c r="VB38">
        <v>0</v>
      </c>
      <c r="VC38">
        <v>0</v>
      </c>
      <c r="VD38">
        <v>0</v>
      </c>
      <c r="VE38">
        <f>$C$63*LOOKUP(VB$1,OverwiewSecondStage!$B:$B,OverwiewSecondStage!$F:$F)</f>
        <v>5</v>
      </c>
      <c r="VF38">
        <f>$C$62*LOOKUP(VB$1,OverwiewSecondStage!$B:$B,OverwiewSecondStage!$E:$E)</f>
        <v>-5</v>
      </c>
      <c r="VG38" s="12">
        <f>$C$64*LOOKUP(VB$1,OverwiewSecondStage!$B:$B,OverwiewSecondStage!$G:$G)</f>
        <v>-5</v>
      </c>
      <c r="VH38">
        <f>$C$62*LOOKUP(VB$1,OverwiewSecondStage!$B:$B,OverwiewSecondStage!$E:$E)</f>
        <v>-5</v>
      </c>
      <c r="VI38">
        <f>$C$66*LOOKUP(VB$1,OverwiewSecondStage!$B:$B,OverwiewSecondStage!$D:$D)</f>
        <v>10</v>
      </c>
      <c r="VJ38">
        <f>$C$65*LOOKUP(VB$1,OverwiewSecondStage!$B:$B,OverwiewSecondStage!$C:$C)</f>
        <v>-10</v>
      </c>
      <c r="VK38">
        <v>0</v>
      </c>
      <c r="VL38">
        <v>0</v>
      </c>
      <c r="VM38" s="11"/>
      <c r="VN38" s="11"/>
      <c r="VO38" s="11"/>
      <c r="VP38" s="11"/>
      <c r="VQ38" s="11"/>
      <c r="VR38" s="11"/>
      <c r="VS38" s="11"/>
      <c r="VT38" s="11"/>
      <c r="VU38" s="11"/>
      <c r="VV38" s="11"/>
      <c r="VW38" s="11"/>
      <c r="VX38">
        <v>0</v>
      </c>
      <c r="VY38">
        <v>0</v>
      </c>
      <c r="VZ38">
        <v>0</v>
      </c>
      <c r="WA38">
        <f>$C$63*LOOKUP(VX$1,OverwiewSecondStage!$B:$B,OverwiewSecondStage!$F:$F)</f>
        <v>5</v>
      </c>
      <c r="WB38">
        <f>$C$62*LOOKUP(VX$1,OverwiewSecondStage!$B:$B,OverwiewSecondStage!$E:$E)</f>
        <v>-5</v>
      </c>
      <c r="WC38" s="12">
        <f>$C$64*LOOKUP(VX$1,OverwiewSecondStage!$B:$B,OverwiewSecondStage!$G:$G)</f>
        <v>-5</v>
      </c>
      <c r="WD38">
        <f>$C$62*LOOKUP(VX$1,OverwiewSecondStage!$B:$B,OverwiewSecondStage!$E:$E)</f>
        <v>-5</v>
      </c>
      <c r="WE38">
        <f>$C$66*LOOKUP(VX$1,OverwiewSecondStage!$B:$B,OverwiewSecondStage!$D:$D)</f>
        <v>-10</v>
      </c>
      <c r="WF38">
        <f>$C$65*LOOKUP(VX$1,OverwiewSecondStage!$B:$B,OverwiewSecondStage!$C:$C)</f>
        <v>-10</v>
      </c>
      <c r="WG38">
        <v>0</v>
      </c>
      <c r="WH38">
        <v>0</v>
      </c>
      <c r="WI38" s="11"/>
      <c r="WJ38" s="11"/>
      <c r="WK38" s="11"/>
      <c r="WL38" s="11"/>
      <c r="WM38" s="11"/>
      <c r="WN38" s="11"/>
      <c r="WO38" s="11"/>
      <c r="WP38" s="11"/>
      <c r="WQ38" s="11"/>
      <c r="WR38" s="11"/>
      <c r="WS38" s="11"/>
      <c r="WT38">
        <v>0</v>
      </c>
      <c r="WU38">
        <v>0</v>
      </c>
      <c r="WV38">
        <v>0</v>
      </c>
      <c r="WW38">
        <f>$C$63*LOOKUP(WT$1,OverwiewSecondStage!$B:$B,OverwiewSecondStage!$F:$F)</f>
        <v>-5</v>
      </c>
      <c r="WX38">
        <f>$C$62*LOOKUP(WT$1,OverwiewSecondStage!$B:$B,OverwiewSecondStage!$E:$E)</f>
        <v>5</v>
      </c>
      <c r="WY38" s="12">
        <f>$C$64*LOOKUP(WT$1,OverwiewSecondStage!$B:$B,OverwiewSecondStage!$G:$G)</f>
        <v>-5</v>
      </c>
      <c r="WZ38">
        <f>$C$62*LOOKUP(WT$1,OverwiewSecondStage!$B:$B,OverwiewSecondStage!$E:$E)</f>
        <v>5</v>
      </c>
      <c r="XA38">
        <f>$C$66*LOOKUP(WT$1,OverwiewSecondStage!$B:$B,OverwiewSecondStage!$D:$D)</f>
        <v>10</v>
      </c>
      <c r="XB38">
        <f>$C$65*LOOKUP(WT$1,OverwiewSecondStage!$B:$B,OverwiewSecondStage!$C:$C)</f>
        <v>-10</v>
      </c>
      <c r="XC38">
        <v>0</v>
      </c>
      <c r="XD38">
        <v>0</v>
      </c>
      <c r="XE38" s="11"/>
      <c r="XF38" s="11"/>
      <c r="XG38" s="11"/>
      <c r="XH38" s="11"/>
      <c r="XI38" s="11"/>
      <c r="XJ38" s="11"/>
      <c r="XK38" s="11"/>
      <c r="XL38" s="11"/>
      <c r="XM38" s="11"/>
      <c r="XN38" s="11"/>
      <c r="XO38" s="11"/>
      <c r="XP38">
        <v>0</v>
      </c>
      <c r="XQ38">
        <v>0</v>
      </c>
      <c r="XR38">
        <v>0</v>
      </c>
      <c r="XS38">
        <f>$C$63*LOOKUP(XP$1,OverwiewSecondStage!$B:$B,OverwiewSecondStage!$F:$F)</f>
        <v>-5</v>
      </c>
      <c r="XT38">
        <f>$C$62*LOOKUP(XP$1,OverwiewSecondStage!$B:$B,OverwiewSecondStage!$E:$E)</f>
        <v>5</v>
      </c>
      <c r="XU38" s="12">
        <f>$C$64*LOOKUP(XP$1,OverwiewSecondStage!$B:$B,OverwiewSecondStage!$G:$G)</f>
        <v>-5</v>
      </c>
      <c r="XV38">
        <f>$C$62*LOOKUP(XP$1,OverwiewSecondStage!$B:$B,OverwiewSecondStage!$E:$E)</f>
        <v>5</v>
      </c>
      <c r="XW38">
        <f>$C$66*LOOKUP(XP$1,OverwiewSecondStage!$B:$B,OverwiewSecondStage!$D:$D)</f>
        <v>-10</v>
      </c>
      <c r="XX38">
        <f>$C$65*LOOKUP(XP$1,OverwiewSecondStage!$B:$B,OverwiewSecondStage!$C:$C)</f>
        <v>-10</v>
      </c>
      <c r="XY38">
        <v>0</v>
      </c>
      <c r="XZ38">
        <v>0</v>
      </c>
      <c r="YA38" s="11"/>
      <c r="YB38" s="11"/>
      <c r="YC38" s="11"/>
      <c r="YD38" s="11"/>
      <c r="YE38" s="11"/>
      <c r="YF38" s="11"/>
      <c r="YG38" s="11"/>
      <c r="YH38" s="11"/>
      <c r="YI38" s="11"/>
      <c r="YJ38" s="11"/>
      <c r="YK38" s="11"/>
      <c r="YL38">
        <v>0</v>
      </c>
      <c r="YM38">
        <v>0</v>
      </c>
      <c r="YN38">
        <v>0</v>
      </c>
      <c r="YO38">
        <f>$C$63*LOOKUP(YL$1,OverwiewSecondStage!$B:$B,OverwiewSecondStage!$F:$F)</f>
        <v>-5</v>
      </c>
      <c r="YP38">
        <f>$C$62*LOOKUP(YL$1,OverwiewSecondStage!$B:$B,OverwiewSecondStage!$E:$E)</f>
        <v>-5</v>
      </c>
      <c r="YQ38" s="12">
        <f>$C$64*LOOKUP(YL$1,OverwiewSecondStage!$B:$B,OverwiewSecondStage!$G:$G)</f>
        <v>-5</v>
      </c>
      <c r="YR38">
        <f>$C$62*LOOKUP(YL$1,OverwiewSecondStage!$B:$B,OverwiewSecondStage!$E:$E)</f>
        <v>-5</v>
      </c>
      <c r="YS38">
        <f>$C$66*LOOKUP(YL$1,OverwiewSecondStage!$B:$B,OverwiewSecondStage!$D:$D)</f>
        <v>10</v>
      </c>
      <c r="YT38">
        <f>$C$65*LOOKUP(YL$1,OverwiewSecondStage!$B:$B,OverwiewSecondStage!$C:$C)</f>
        <v>-10</v>
      </c>
      <c r="YU38">
        <v>0</v>
      </c>
      <c r="YV38">
        <v>0</v>
      </c>
      <c r="YW38" s="11"/>
      <c r="YX38" s="11"/>
      <c r="YY38" s="11"/>
      <c r="YZ38" s="11"/>
      <c r="ZA38" s="11"/>
      <c r="ZB38" s="11"/>
      <c r="ZC38" s="11"/>
      <c r="ZD38" s="11"/>
      <c r="ZE38" s="11"/>
      <c r="ZF38" s="11"/>
      <c r="ZG38" s="11"/>
      <c r="ZH38">
        <v>0</v>
      </c>
      <c r="ZI38">
        <v>0</v>
      </c>
      <c r="ZJ38">
        <v>0</v>
      </c>
      <c r="ZK38">
        <f>$C$63*LOOKUP(ZH$1,OverwiewSecondStage!$B:$B,OverwiewSecondStage!$F:$F)</f>
        <v>-5</v>
      </c>
      <c r="ZL38">
        <f>$C$62*LOOKUP(ZH$1,OverwiewSecondStage!$B:$B,OverwiewSecondStage!$E:$E)</f>
        <v>-5</v>
      </c>
      <c r="ZM38" s="12">
        <f>$C$64*LOOKUP(ZH$1,OverwiewSecondStage!$B:$B,OverwiewSecondStage!$G:$G)</f>
        <v>-5</v>
      </c>
      <c r="ZN38">
        <f>$C$62*LOOKUP(ZH$1,OverwiewSecondStage!$B:$B,OverwiewSecondStage!$E:$E)</f>
        <v>-5</v>
      </c>
      <c r="ZO38">
        <f>$C$66*LOOKUP(ZH$1,OverwiewSecondStage!$B:$B,OverwiewSecondStage!$D:$D)</f>
        <v>-10</v>
      </c>
      <c r="ZP38">
        <f>$C$65*LOOKUP(ZH$1,OverwiewSecondStage!$B:$B,OverwiewSecondStage!$C:$C)</f>
        <v>-10</v>
      </c>
      <c r="ZQ38">
        <v>0</v>
      </c>
      <c r="ZR38">
        <v>0</v>
      </c>
      <c r="ZS38" s="11"/>
      <c r="ZT38" s="11"/>
      <c r="ZU38" s="11"/>
      <c r="ZV38" s="11"/>
      <c r="ZW38" s="11"/>
      <c r="ZX38" s="11"/>
      <c r="ZY38" s="11"/>
      <c r="ZZ38" s="11"/>
      <c r="AAA38" s="11"/>
      <c r="AAB38" s="11"/>
      <c r="AAC38" s="11"/>
    </row>
    <row r="41" spans="1:705" x14ac:dyDescent="0.2">
      <c r="K41" s="8" t="s">
        <v>208</v>
      </c>
      <c r="L41">
        <f>SUM(2:2)</f>
        <v>0.99999999999999956</v>
      </c>
    </row>
    <row r="42" spans="1:705" x14ac:dyDescent="0.2">
      <c r="B42" s="8" t="s">
        <v>65</v>
      </c>
    </row>
    <row r="43" spans="1:705" x14ac:dyDescent="0.2">
      <c r="B43" s="2">
        <f>100000/8/1000</f>
        <v>12.5</v>
      </c>
      <c r="C43" s="2">
        <f t="shared" ref="C43:D50" si="352">100000/8/1000</f>
        <v>12.5</v>
      </c>
      <c r="D43" s="2">
        <f t="shared" si="352"/>
        <v>12.5</v>
      </c>
      <c r="E43" s="2">
        <f>200000/8/1000</f>
        <v>25</v>
      </c>
      <c r="F43" s="2">
        <f t="shared" ref="F43:J50" si="353">200000/8/1000</f>
        <v>25</v>
      </c>
      <c r="G43" s="2">
        <f t="shared" si="353"/>
        <v>25</v>
      </c>
      <c r="H43" s="2">
        <f t="shared" si="353"/>
        <v>25</v>
      </c>
      <c r="I43" s="2">
        <f>200000/8/1000</f>
        <v>25</v>
      </c>
      <c r="J43" s="2">
        <f>200000/8/1000</f>
        <v>25</v>
      </c>
      <c r="K43" s="2">
        <f>400000/8/1000</f>
        <v>50</v>
      </c>
      <c r="L43" s="2">
        <f>200000/8/1000</f>
        <v>25</v>
      </c>
    </row>
    <row r="44" spans="1:705" x14ac:dyDescent="0.2">
      <c r="B44" s="2">
        <f t="shared" ref="B44:B50" si="354">100000/8/1000</f>
        <v>12.5</v>
      </c>
      <c r="C44" s="2">
        <f t="shared" si="352"/>
        <v>12.5</v>
      </c>
      <c r="D44" s="2">
        <f t="shared" si="352"/>
        <v>12.5</v>
      </c>
      <c r="E44" s="2">
        <f t="shared" ref="E44:E46" si="355">200000/8/1000</f>
        <v>25</v>
      </c>
      <c r="F44" s="2">
        <f t="shared" si="353"/>
        <v>25</v>
      </c>
      <c r="G44" s="2">
        <f t="shared" si="353"/>
        <v>25</v>
      </c>
      <c r="H44" s="2">
        <f t="shared" si="353"/>
        <v>25</v>
      </c>
      <c r="I44" s="2">
        <f t="shared" si="353"/>
        <v>25</v>
      </c>
      <c r="J44" s="2">
        <f t="shared" si="353"/>
        <v>25</v>
      </c>
      <c r="K44" s="2">
        <f t="shared" ref="K44:K46" si="356">400000/8/1000</f>
        <v>50</v>
      </c>
      <c r="L44" s="2">
        <f t="shared" ref="L44:L50" si="357">200000/8/1000</f>
        <v>25</v>
      </c>
    </row>
    <row r="45" spans="1:705" x14ac:dyDescent="0.2">
      <c r="B45" s="2">
        <f t="shared" si="354"/>
        <v>12.5</v>
      </c>
      <c r="C45" s="2">
        <f t="shared" si="352"/>
        <v>12.5</v>
      </c>
      <c r="D45" s="2">
        <f t="shared" si="352"/>
        <v>12.5</v>
      </c>
      <c r="E45" s="2">
        <f t="shared" si="355"/>
        <v>25</v>
      </c>
      <c r="F45" s="2">
        <f t="shared" si="353"/>
        <v>25</v>
      </c>
      <c r="G45" s="2">
        <f t="shared" si="353"/>
        <v>25</v>
      </c>
      <c r="H45" s="2">
        <f t="shared" si="353"/>
        <v>25</v>
      </c>
      <c r="I45" s="2">
        <f t="shared" si="353"/>
        <v>25</v>
      </c>
      <c r="J45" s="2">
        <f t="shared" si="353"/>
        <v>25</v>
      </c>
      <c r="K45" s="2">
        <f t="shared" si="356"/>
        <v>50</v>
      </c>
      <c r="L45" s="2">
        <f t="shared" si="357"/>
        <v>25</v>
      </c>
    </row>
    <row r="46" spans="1:705" x14ac:dyDescent="0.2">
      <c r="B46" s="2">
        <f t="shared" si="354"/>
        <v>12.5</v>
      </c>
      <c r="C46" s="2">
        <f t="shared" si="352"/>
        <v>12.5</v>
      </c>
      <c r="D46" s="2">
        <f t="shared" si="352"/>
        <v>12.5</v>
      </c>
      <c r="E46" s="2">
        <f t="shared" si="355"/>
        <v>25</v>
      </c>
      <c r="F46" s="2">
        <f t="shared" si="353"/>
        <v>25</v>
      </c>
      <c r="G46" s="2">
        <f t="shared" si="353"/>
        <v>25</v>
      </c>
      <c r="H46" s="2">
        <f t="shared" si="353"/>
        <v>25</v>
      </c>
      <c r="I46" s="2">
        <f t="shared" si="353"/>
        <v>25</v>
      </c>
      <c r="J46" s="2">
        <f t="shared" si="353"/>
        <v>25</v>
      </c>
      <c r="K46" s="2">
        <f t="shared" si="356"/>
        <v>50</v>
      </c>
      <c r="L46" s="2">
        <f t="shared" si="357"/>
        <v>25</v>
      </c>
      <c r="P46">
        <f>1000000*0.01</f>
        <v>10000</v>
      </c>
    </row>
    <row r="47" spans="1:705" x14ac:dyDescent="0.2">
      <c r="B47" s="2">
        <f t="shared" si="354"/>
        <v>12.5</v>
      </c>
      <c r="C47" s="2">
        <f t="shared" si="352"/>
        <v>12.5</v>
      </c>
      <c r="D47" s="2">
        <f t="shared" si="352"/>
        <v>12.5</v>
      </c>
      <c r="E47" s="2">
        <f>225000/8/1000</f>
        <v>28.125</v>
      </c>
      <c r="F47" s="2">
        <f t="shared" ref="F47:H47" si="358">225000/8/1000</f>
        <v>28.125</v>
      </c>
      <c r="G47" s="2">
        <f t="shared" si="358"/>
        <v>28.125</v>
      </c>
      <c r="H47" s="2">
        <f t="shared" si="358"/>
        <v>28.125</v>
      </c>
      <c r="I47" s="2">
        <f t="shared" si="353"/>
        <v>25</v>
      </c>
      <c r="J47" s="2">
        <f t="shared" si="353"/>
        <v>25</v>
      </c>
      <c r="K47" s="2">
        <f>450000/8/1000</f>
        <v>56.25</v>
      </c>
      <c r="L47" s="2">
        <f t="shared" si="357"/>
        <v>25</v>
      </c>
    </row>
    <row r="48" spans="1:705" x14ac:dyDescent="0.2">
      <c r="B48" s="2">
        <f t="shared" si="354"/>
        <v>12.5</v>
      </c>
      <c r="C48" s="2">
        <f t="shared" si="352"/>
        <v>12.5</v>
      </c>
      <c r="D48" s="2">
        <f t="shared" si="352"/>
        <v>12.5</v>
      </c>
      <c r="E48" s="2">
        <f>200000/8/1000</f>
        <v>25</v>
      </c>
      <c r="F48" s="2">
        <f t="shared" ref="F48:H49" si="359">200000/8/1000</f>
        <v>25</v>
      </c>
      <c r="G48" s="2">
        <f t="shared" si="359"/>
        <v>25</v>
      </c>
      <c r="H48" s="2">
        <f t="shared" si="359"/>
        <v>25</v>
      </c>
      <c r="I48" s="2">
        <f t="shared" si="353"/>
        <v>25</v>
      </c>
      <c r="J48" s="2">
        <f t="shared" si="353"/>
        <v>25</v>
      </c>
      <c r="K48" s="2">
        <f>350000/8/1000</f>
        <v>43.75</v>
      </c>
      <c r="L48" s="2">
        <f t="shared" si="357"/>
        <v>25</v>
      </c>
    </row>
    <row r="49" spans="2:12" x14ac:dyDescent="0.2">
      <c r="B49" s="2">
        <f t="shared" si="354"/>
        <v>12.5</v>
      </c>
      <c r="C49" s="2">
        <f t="shared" si="352"/>
        <v>12.5</v>
      </c>
      <c r="D49" s="2">
        <f t="shared" si="352"/>
        <v>12.5</v>
      </c>
      <c r="E49" s="2">
        <f>200000/8/1000</f>
        <v>25</v>
      </c>
      <c r="F49" s="2">
        <f t="shared" si="359"/>
        <v>25</v>
      </c>
      <c r="G49" s="2">
        <f t="shared" si="359"/>
        <v>25</v>
      </c>
      <c r="H49" s="2">
        <f t="shared" si="359"/>
        <v>25</v>
      </c>
      <c r="I49" s="2">
        <f t="shared" si="353"/>
        <v>25</v>
      </c>
      <c r="J49" s="2">
        <f t="shared" si="353"/>
        <v>25</v>
      </c>
      <c r="K49" s="2">
        <f>350000/8/1000</f>
        <v>43.75</v>
      </c>
      <c r="L49" s="2">
        <f t="shared" si="357"/>
        <v>25</v>
      </c>
    </row>
    <row r="50" spans="2:12" x14ac:dyDescent="0.2">
      <c r="B50" s="2">
        <f t="shared" si="354"/>
        <v>12.5</v>
      </c>
      <c r="C50" s="2">
        <f t="shared" si="352"/>
        <v>12.5</v>
      </c>
      <c r="D50" s="2">
        <f t="shared" si="352"/>
        <v>12.5</v>
      </c>
      <c r="E50" s="2">
        <f>225000/8/1000</f>
        <v>28.125</v>
      </c>
      <c r="F50" s="2">
        <f t="shared" ref="F50:H50" si="360">225000/8/1000</f>
        <v>28.125</v>
      </c>
      <c r="G50" s="2">
        <f t="shared" si="360"/>
        <v>28.125</v>
      </c>
      <c r="H50" s="2">
        <f t="shared" si="360"/>
        <v>28.125</v>
      </c>
      <c r="I50" s="2">
        <f t="shared" si="353"/>
        <v>25</v>
      </c>
      <c r="J50" s="2">
        <f t="shared" si="353"/>
        <v>25</v>
      </c>
      <c r="K50" s="60">
        <f>400000/8/1000</f>
        <v>50</v>
      </c>
      <c r="L50" s="2">
        <f t="shared" si="357"/>
        <v>25</v>
      </c>
    </row>
    <row r="51" spans="2:12" x14ac:dyDescent="0.2">
      <c r="J51" s="22"/>
      <c r="K51" s="22"/>
    </row>
    <row r="53" spans="2:12" x14ac:dyDescent="0.2">
      <c r="B53" s="8" t="s">
        <v>201</v>
      </c>
    </row>
    <row r="54" spans="2:12" x14ac:dyDescent="0.2">
      <c r="B54" t="s">
        <v>192</v>
      </c>
      <c r="C54" t="s">
        <v>193</v>
      </c>
      <c r="D54" t="s">
        <v>194</v>
      </c>
      <c r="F54" t="s">
        <v>195</v>
      </c>
      <c r="H54" t="s">
        <v>196</v>
      </c>
    </row>
    <row r="55" spans="2:12" x14ac:dyDescent="0.2">
      <c r="B55" s="23">
        <v>30</v>
      </c>
      <c r="C55" s="23">
        <v>80</v>
      </c>
      <c r="D55" s="23">
        <v>40</v>
      </c>
      <c r="E55" s="23"/>
      <c r="F55" s="23">
        <v>40</v>
      </c>
      <c r="G55" s="23"/>
    </row>
    <row r="56" spans="2:12" x14ac:dyDescent="0.2">
      <c r="B56" s="23">
        <v>30</v>
      </c>
      <c r="C56" s="23">
        <v>90</v>
      </c>
      <c r="D56" s="23">
        <v>40</v>
      </c>
      <c r="E56" s="23"/>
      <c r="F56" s="23">
        <v>45</v>
      </c>
      <c r="G56" s="23"/>
    </row>
    <row r="57" spans="2:12" x14ac:dyDescent="0.2">
      <c r="B57" s="23">
        <v>30</v>
      </c>
      <c r="C57" s="23">
        <v>80</v>
      </c>
      <c r="D57" s="23">
        <v>40</v>
      </c>
      <c r="E57" s="23"/>
      <c r="F57" s="23">
        <v>35</v>
      </c>
      <c r="G57" s="23"/>
    </row>
    <row r="58" spans="2:12" x14ac:dyDescent="0.2">
      <c r="B58" s="23">
        <v>30</v>
      </c>
      <c r="C58" s="23">
        <v>90</v>
      </c>
      <c r="D58" s="23">
        <v>40</v>
      </c>
      <c r="E58" s="23"/>
      <c r="F58" s="23">
        <v>40</v>
      </c>
      <c r="G58" s="23"/>
    </row>
    <row r="61" spans="2:12" x14ac:dyDescent="0.2">
      <c r="B61" s="8" t="s">
        <v>348</v>
      </c>
    </row>
    <row r="62" spans="2:12" x14ac:dyDescent="0.2">
      <c r="B62" t="s">
        <v>349</v>
      </c>
      <c r="C62">
        <v>5</v>
      </c>
    </row>
    <row r="63" spans="2:12" x14ac:dyDescent="0.2">
      <c r="B63" t="s">
        <v>336</v>
      </c>
      <c r="C63">
        <v>5</v>
      </c>
    </row>
    <row r="64" spans="2:12" x14ac:dyDescent="0.2">
      <c r="B64" t="s">
        <v>339</v>
      </c>
      <c r="C64">
        <v>5</v>
      </c>
    </row>
    <row r="65" spans="2:3" x14ac:dyDescent="0.2">
      <c r="B65" t="s">
        <v>340</v>
      </c>
      <c r="C65">
        <v>10</v>
      </c>
    </row>
    <row r="66" spans="2:3" x14ac:dyDescent="0.2">
      <c r="B66" t="s">
        <v>341</v>
      </c>
      <c r="C66">
        <v>10</v>
      </c>
    </row>
  </sheetData>
  <mergeCells count="128">
    <mergeCell ref="BP3:BZ3"/>
    <mergeCell ref="CA3:CK3"/>
    <mergeCell ref="CL1:DG1"/>
    <mergeCell ref="CL2:DG2"/>
    <mergeCell ref="CL3:CV3"/>
    <mergeCell ref="CW3:DG3"/>
    <mergeCell ref="M3:W3"/>
    <mergeCell ref="X3:AH3"/>
    <mergeCell ref="B1:W1"/>
    <mergeCell ref="B2:W2"/>
    <mergeCell ref="X1:AS1"/>
    <mergeCell ref="X2:AS2"/>
    <mergeCell ref="AI3:AS3"/>
    <mergeCell ref="B3:L3"/>
    <mergeCell ref="AT1:BO1"/>
    <mergeCell ref="AT2:BO2"/>
    <mergeCell ref="AT3:BD3"/>
    <mergeCell ref="BE3:BO3"/>
    <mergeCell ref="BP1:CK1"/>
    <mergeCell ref="BP2:CK2"/>
    <mergeCell ref="EZ1:FU1"/>
    <mergeCell ref="EZ2:FU2"/>
    <mergeCell ref="EZ3:FJ3"/>
    <mergeCell ref="FK3:FU3"/>
    <mergeCell ref="FV1:GQ1"/>
    <mergeCell ref="FV2:GQ2"/>
    <mergeCell ref="FV3:GF3"/>
    <mergeCell ref="GG3:GQ3"/>
    <mergeCell ref="DH1:EC1"/>
    <mergeCell ref="DH2:EC2"/>
    <mergeCell ref="DH3:DR3"/>
    <mergeCell ref="DS3:EC3"/>
    <mergeCell ref="ED1:EY1"/>
    <mergeCell ref="ED2:EY2"/>
    <mergeCell ref="ED3:EN3"/>
    <mergeCell ref="EO3:EY3"/>
    <mergeCell ref="IJ1:JE1"/>
    <mergeCell ref="IJ2:JE2"/>
    <mergeCell ref="IJ3:IT3"/>
    <mergeCell ref="IU3:JE3"/>
    <mergeCell ref="JF1:KA1"/>
    <mergeCell ref="JF2:KA2"/>
    <mergeCell ref="JF3:JP3"/>
    <mergeCell ref="JQ3:KA3"/>
    <mergeCell ref="GR1:HM1"/>
    <mergeCell ref="GR2:HM2"/>
    <mergeCell ref="GR3:HB3"/>
    <mergeCell ref="HC3:HM3"/>
    <mergeCell ref="HN1:II1"/>
    <mergeCell ref="HN2:II2"/>
    <mergeCell ref="HN3:HX3"/>
    <mergeCell ref="HY3:II3"/>
    <mergeCell ref="LT1:MO1"/>
    <mergeCell ref="LT2:MO2"/>
    <mergeCell ref="LT3:MD3"/>
    <mergeCell ref="ME3:MO3"/>
    <mergeCell ref="MP1:NK1"/>
    <mergeCell ref="MP2:NK2"/>
    <mergeCell ref="MP3:MZ3"/>
    <mergeCell ref="NA3:NK3"/>
    <mergeCell ref="KB1:KW1"/>
    <mergeCell ref="KB2:KW2"/>
    <mergeCell ref="KB3:KL3"/>
    <mergeCell ref="KM3:KW3"/>
    <mergeCell ref="KX1:LS1"/>
    <mergeCell ref="KX2:LS2"/>
    <mergeCell ref="KX3:LH3"/>
    <mergeCell ref="LI3:LS3"/>
    <mergeCell ref="PD1:PY1"/>
    <mergeCell ref="PD2:PY2"/>
    <mergeCell ref="PD3:PN3"/>
    <mergeCell ref="PO3:PY3"/>
    <mergeCell ref="PZ1:QU1"/>
    <mergeCell ref="PZ2:QU2"/>
    <mergeCell ref="PZ3:QJ3"/>
    <mergeCell ref="QK3:QU3"/>
    <mergeCell ref="NL1:OG1"/>
    <mergeCell ref="NL2:OG2"/>
    <mergeCell ref="NL3:NV3"/>
    <mergeCell ref="NW3:OG3"/>
    <mergeCell ref="OH1:PC1"/>
    <mergeCell ref="OH2:PC2"/>
    <mergeCell ref="OH3:OR3"/>
    <mergeCell ref="OS3:PC3"/>
    <mergeCell ref="SN1:TI1"/>
    <mergeCell ref="SN2:TI2"/>
    <mergeCell ref="SN3:SX3"/>
    <mergeCell ref="SY3:TI3"/>
    <mergeCell ref="TJ1:UE1"/>
    <mergeCell ref="TJ2:UE2"/>
    <mergeCell ref="TJ3:TT3"/>
    <mergeCell ref="TU3:UE3"/>
    <mergeCell ref="QV1:RQ1"/>
    <mergeCell ref="QV2:RQ2"/>
    <mergeCell ref="QV3:RF3"/>
    <mergeCell ref="RG3:RQ3"/>
    <mergeCell ref="RR1:SM1"/>
    <mergeCell ref="RR2:SM2"/>
    <mergeCell ref="RR3:SB3"/>
    <mergeCell ref="SC3:SM3"/>
    <mergeCell ref="VX1:WS1"/>
    <mergeCell ref="VX2:WS2"/>
    <mergeCell ref="VX3:WH3"/>
    <mergeCell ref="WI3:WS3"/>
    <mergeCell ref="WT1:XO1"/>
    <mergeCell ref="WT2:XO2"/>
    <mergeCell ref="WT3:XD3"/>
    <mergeCell ref="XE3:XO3"/>
    <mergeCell ref="UF1:VA1"/>
    <mergeCell ref="UF2:VA2"/>
    <mergeCell ref="UF3:UP3"/>
    <mergeCell ref="UQ3:VA3"/>
    <mergeCell ref="VB1:VW1"/>
    <mergeCell ref="VB2:VW2"/>
    <mergeCell ref="VB3:VL3"/>
    <mergeCell ref="VM3:VW3"/>
    <mergeCell ref="ZH1:AAC1"/>
    <mergeCell ref="ZH2:AAC2"/>
    <mergeCell ref="ZH3:ZR3"/>
    <mergeCell ref="ZS3:AAC3"/>
    <mergeCell ref="XP1:YK1"/>
    <mergeCell ref="XP2:YK2"/>
    <mergeCell ref="XP3:XZ3"/>
    <mergeCell ref="YA3:YK3"/>
    <mergeCell ref="YL1:ZG1"/>
    <mergeCell ref="YL2:ZG2"/>
    <mergeCell ref="YL3:YV3"/>
    <mergeCell ref="YW3:Z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3B90-FAAF-DE46-8AB1-E6B2539D31AD}">
  <dimension ref="A1:DEE29"/>
  <sheetViews>
    <sheetView topLeftCell="DBU1" workbookViewId="0">
      <selection activeCell="B2" sqref="B2:DDI2"/>
    </sheetView>
  </sheetViews>
  <sheetFormatPr baseColWidth="10" defaultRowHeight="16" x14ac:dyDescent="0.2"/>
  <cols>
    <col min="1" max="1" width="19" bestFit="1" customWidth="1"/>
  </cols>
  <sheetData>
    <row r="1" spans="1:2839" x14ac:dyDescent="0.2">
      <c r="A1" s="4" t="s">
        <v>24</v>
      </c>
      <c r="B1" s="66">
        <f>(1+Parameters!B8)*Parameters!B7+1</f>
        <v>265</v>
      </c>
      <c r="C1" s="67"/>
      <c r="D1" s="67"/>
      <c r="E1" s="67"/>
      <c r="F1" s="67"/>
      <c r="G1" s="67"/>
      <c r="H1" s="67"/>
      <c r="I1" s="67"/>
      <c r="J1" s="67"/>
      <c r="K1" s="67"/>
      <c r="L1" s="67"/>
      <c r="M1" s="67"/>
      <c r="N1" s="67"/>
      <c r="O1" s="67"/>
      <c r="P1" s="67"/>
      <c r="Q1" s="67"/>
      <c r="R1" s="67"/>
      <c r="S1" s="67"/>
      <c r="T1" s="67"/>
      <c r="U1" s="67"/>
      <c r="V1" s="67"/>
      <c r="W1" s="67"/>
      <c r="X1" s="67">
        <f>B1+Parameters!$B$7</f>
        <v>273</v>
      </c>
      <c r="Y1" s="67"/>
      <c r="Z1" s="67"/>
      <c r="AA1" s="67"/>
      <c r="AB1" s="67"/>
      <c r="AC1" s="67"/>
      <c r="AD1" s="67"/>
      <c r="AE1" s="67"/>
      <c r="AF1" s="67"/>
      <c r="AG1" s="67"/>
      <c r="AH1" s="67"/>
      <c r="AI1" s="67"/>
      <c r="AJ1" s="67"/>
      <c r="AK1" s="67"/>
      <c r="AL1" s="67"/>
      <c r="AM1" s="67"/>
      <c r="AN1" s="67"/>
      <c r="AO1" s="67"/>
      <c r="AP1" s="67"/>
      <c r="AQ1" s="67"/>
      <c r="AR1" s="67"/>
      <c r="AS1" s="67"/>
      <c r="AT1" s="67">
        <f>X1+Parameters!$B$7</f>
        <v>281</v>
      </c>
      <c r="AU1" s="67"/>
      <c r="AV1" s="67"/>
      <c r="AW1" s="67"/>
      <c r="AX1" s="67"/>
      <c r="AY1" s="67"/>
      <c r="AZ1" s="67"/>
      <c r="BA1" s="67"/>
      <c r="BB1" s="67"/>
      <c r="BC1" s="67"/>
      <c r="BD1" s="67"/>
      <c r="BE1" s="67"/>
      <c r="BF1" s="67"/>
      <c r="BG1" s="67"/>
      <c r="BH1" s="67"/>
      <c r="BI1" s="67"/>
      <c r="BJ1" s="67"/>
      <c r="BK1" s="67"/>
      <c r="BL1" s="67"/>
      <c r="BM1" s="67"/>
      <c r="BN1" s="67"/>
      <c r="BO1" s="67"/>
      <c r="BP1" s="67">
        <f>AT1+Parameters!$B$7</f>
        <v>289</v>
      </c>
      <c r="BQ1" s="67"/>
      <c r="BR1" s="67"/>
      <c r="BS1" s="67"/>
      <c r="BT1" s="67"/>
      <c r="BU1" s="67"/>
      <c r="BV1" s="67"/>
      <c r="BW1" s="67"/>
      <c r="BX1" s="67"/>
      <c r="BY1" s="67"/>
      <c r="BZ1" s="67"/>
      <c r="CA1" s="67"/>
      <c r="CB1" s="67"/>
      <c r="CC1" s="67"/>
      <c r="CD1" s="67"/>
      <c r="CE1" s="67"/>
      <c r="CF1" s="67"/>
      <c r="CG1" s="67"/>
      <c r="CH1" s="67"/>
      <c r="CI1" s="67"/>
      <c r="CJ1" s="67"/>
      <c r="CK1" s="67"/>
      <c r="CL1" s="67">
        <f>BP1+Parameters!$B$7</f>
        <v>297</v>
      </c>
      <c r="CM1" s="67"/>
      <c r="CN1" s="67"/>
      <c r="CO1" s="67"/>
      <c r="CP1" s="67"/>
      <c r="CQ1" s="67"/>
      <c r="CR1" s="67"/>
      <c r="CS1" s="67"/>
      <c r="CT1" s="67"/>
      <c r="CU1" s="67"/>
      <c r="CV1" s="67"/>
      <c r="CW1" s="67"/>
      <c r="CX1" s="67"/>
      <c r="CY1" s="67"/>
      <c r="CZ1" s="67"/>
      <c r="DA1" s="67"/>
      <c r="DB1" s="67"/>
      <c r="DC1" s="67"/>
      <c r="DD1" s="67"/>
      <c r="DE1" s="67"/>
      <c r="DF1" s="67"/>
      <c r="DG1" s="67"/>
      <c r="DH1" s="67">
        <f>CL1+Parameters!$B$7</f>
        <v>305</v>
      </c>
      <c r="DI1" s="67"/>
      <c r="DJ1" s="67"/>
      <c r="DK1" s="67"/>
      <c r="DL1" s="67"/>
      <c r="DM1" s="67"/>
      <c r="DN1" s="67"/>
      <c r="DO1" s="67"/>
      <c r="DP1" s="67"/>
      <c r="DQ1" s="67"/>
      <c r="DR1" s="67"/>
      <c r="DS1" s="67"/>
      <c r="DT1" s="67"/>
      <c r="DU1" s="67"/>
      <c r="DV1" s="67"/>
      <c r="DW1" s="67"/>
      <c r="DX1" s="67"/>
      <c r="DY1" s="67"/>
      <c r="DZ1" s="67"/>
      <c r="EA1" s="67"/>
      <c r="EB1" s="67"/>
      <c r="EC1" s="67"/>
      <c r="ED1" s="67">
        <f>DH1+Parameters!$B$7</f>
        <v>313</v>
      </c>
      <c r="EE1" s="67"/>
      <c r="EF1" s="67"/>
      <c r="EG1" s="67"/>
      <c r="EH1" s="67"/>
      <c r="EI1" s="67"/>
      <c r="EJ1" s="67"/>
      <c r="EK1" s="67"/>
      <c r="EL1" s="67"/>
      <c r="EM1" s="67"/>
      <c r="EN1" s="67"/>
      <c r="EO1" s="67"/>
      <c r="EP1" s="67"/>
      <c r="EQ1" s="67"/>
      <c r="ER1" s="67"/>
      <c r="ES1" s="67"/>
      <c r="ET1" s="67"/>
      <c r="EU1" s="67"/>
      <c r="EV1" s="67"/>
      <c r="EW1" s="67"/>
      <c r="EX1" s="67"/>
      <c r="EY1" s="67"/>
      <c r="EZ1" s="67">
        <f>ED1+Parameters!$B$7</f>
        <v>321</v>
      </c>
      <c r="FA1" s="67"/>
      <c r="FB1" s="67"/>
      <c r="FC1" s="67"/>
      <c r="FD1" s="67"/>
      <c r="FE1" s="67"/>
      <c r="FF1" s="67"/>
      <c r="FG1" s="67"/>
      <c r="FH1" s="67"/>
      <c r="FI1" s="67"/>
      <c r="FJ1" s="67"/>
      <c r="FK1" s="67"/>
      <c r="FL1" s="67"/>
      <c r="FM1" s="67"/>
      <c r="FN1" s="67"/>
      <c r="FO1" s="67"/>
      <c r="FP1" s="67"/>
      <c r="FQ1" s="67"/>
      <c r="FR1" s="67"/>
      <c r="FS1" s="67"/>
      <c r="FT1" s="67"/>
      <c r="FU1" s="67"/>
      <c r="FV1" s="67">
        <f>EZ1+Parameters!$B$7</f>
        <v>329</v>
      </c>
      <c r="FW1" s="67"/>
      <c r="FX1" s="67"/>
      <c r="FY1" s="67"/>
      <c r="FZ1" s="67"/>
      <c r="GA1" s="67"/>
      <c r="GB1" s="67"/>
      <c r="GC1" s="67"/>
      <c r="GD1" s="67"/>
      <c r="GE1" s="67"/>
      <c r="GF1" s="67"/>
      <c r="GG1" s="67"/>
      <c r="GH1" s="67"/>
      <c r="GI1" s="67"/>
      <c r="GJ1" s="67"/>
      <c r="GK1" s="67"/>
      <c r="GL1" s="67"/>
      <c r="GM1" s="67"/>
      <c r="GN1" s="67"/>
      <c r="GO1" s="67"/>
      <c r="GP1" s="67"/>
      <c r="GQ1" s="67"/>
      <c r="GR1" s="67">
        <f>FV1+Parameters!$B$7</f>
        <v>337</v>
      </c>
      <c r="GS1" s="67"/>
      <c r="GT1" s="67"/>
      <c r="GU1" s="67"/>
      <c r="GV1" s="67"/>
      <c r="GW1" s="67"/>
      <c r="GX1" s="67"/>
      <c r="GY1" s="67"/>
      <c r="GZ1" s="67"/>
      <c r="HA1" s="67"/>
      <c r="HB1" s="67"/>
      <c r="HC1" s="67"/>
      <c r="HD1" s="67"/>
      <c r="HE1" s="67"/>
      <c r="HF1" s="67"/>
      <c r="HG1" s="67"/>
      <c r="HH1" s="67"/>
      <c r="HI1" s="67"/>
      <c r="HJ1" s="67"/>
      <c r="HK1" s="67"/>
      <c r="HL1" s="67"/>
      <c r="HM1" s="67"/>
      <c r="HN1" s="67">
        <f>GR1+Parameters!$B$7</f>
        <v>345</v>
      </c>
      <c r="HO1" s="67"/>
      <c r="HP1" s="67"/>
      <c r="HQ1" s="67"/>
      <c r="HR1" s="67"/>
      <c r="HS1" s="67"/>
      <c r="HT1" s="67"/>
      <c r="HU1" s="67"/>
      <c r="HV1" s="67"/>
      <c r="HW1" s="67"/>
      <c r="HX1" s="67"/>
      <c r="HY1" s="67"/>
      <c r="HZ1" s="67"/>
      <c r="IA1" s="67"/>
      <c r="IB1" s="67"/>
      <c r="IC1" s="67"/>
      <c r="ID1" s="67"/>
      <c r="IE1" s="67"/>
      <c r="IF1" s="67"/>
      <c r="IG1" s="67"/>
      <c r="IH1" s="67"/>
      <c r="II1" s="67"/>
      <c r="IJ1" s="67">
        <f>HN1+Parameters!$B$7</f>
        <v>353</v>
      </c>
      <c r="IK1" s="67"/>
      <c r="IL1" s="67"/>
      <c r="IM1" s="67"/>
      <c r="IN1" s="67"/>
      <c r="IO1" s="67"/>
      <c r="IP1" s="67"/>
      <c r="IQ1" s="67"/>
      <c r="IR1" s="67"/>
      <c r="IS1" s="67"/>
      <c r="IT1" s="67"/>
      <c r="IU1" s="67"/>
      <c r="IV1" s="67"/>
      <c r="IW1" s="67"/>
      <c r="IX1" s="67"/>
      <c r="IY1" s="67"/>
      <c r="IZ1" s="67"/>
      <c r="JA1" s="67"/>
      <c r="JB1" s="67"/>
      <c r="JC1" s="67"/>
      <c r="JD1" s="67"/>
      <c r="JE1" s="67"/>
      <c r="JF1" s="67">
        <f>IJ1+Parameters!$B$7</f>
        <v>361</v>
      </c>
      <c r="JG1" s="67"/>
      <c r="JH1" s="67"/>
      <c r="JI1" s="67"/>
      <c r="JJ1" s="67"/>
      <c r="JK1" s="67"/>
      <c r="JL1" s="67"/>
      <c r="JM1" s="67"/>
      <c r="JN1" s="67"/>
      <c r="JO1" s="67"/>
      <c r="JP1" s="67"/>
      <c r="JQ1" s="67"/>
      <c r="JR1" s="67"/>
      <c r="JS1" s="67"/>
      <c r="JT1" s="67"/>
      <c r="JU1" s="67"/>
      <c r="JV1" s="67"/>
      <c r="JW1" s="67"/>
      <c r="JX1" s="67"/>
      <c r="JY1" s="67"/>
      <c r="JZ1" s="67"/>
      <c r="KA1" s="67"/>
      <c r="KB1" s="67">
        <f>JF1+Parameters!$B$7</f>
        <v>369</v>
      </c>
      <c r="KC1" s="67"/>
      <c r="KD1" s="67"/>
      <c r="KE1" s="67"/>
      <c r="KF1" s="67"/>
      <c r="KG1" s="67"/>
      <c r="KH1" s="67"/>
      <c r="KI1" s="67"/>
      <c r="KJ1" s="67"/>
      <c r="KK1" s="67"/>
      <c r="KL1" s="67"/>
      <c r="KM1" s="67"/>
      <c r="KN1" s="67"/>
      <c r="KO1" s="67"/>
      <c r="KP1" s="67"/>
      <c r="KQ1" s="67"/>
      <c r="KR1" s="67"/>
      <c r="KS1" s="67"/>
      <c r="KT1" s="67"/>
      <c r="KU1" s="67"/>
      <c r="KV1" s="67"/>
      <c r="KW1" s="67"/>
      <c r="KX1" s="67">
        <f>KB1+Parameters!$B$7</f>
        <v>377</v>
      </c>
      <c r="KY1" s="67"/>
      <c r="KZ1" s="67"/>
      <c r="LA1" s="67"/>
      <c r="LB1" s="67"/>
      <c r="LC1" s="67"/>
      <c r="LD1" s="67"/>
      <c r="LE1" s="67"/>
      <c r="LF1" s="67"/>
      <c r="LG1" s="67"/>
      <c r="LH1" s="67"/>
      <c r="LI1" s="67"/>
      <c r="LJ1" s="67"/>
      <c r="LK1" s="67"/>
      <c r="LL1" s="67"/>
      <c r="LM1" s="67"/>
      <c r="LN1" s="67"/>
      <c r="LO1" s="67"/>
      <c r="LP1" s="67"/>
      <c r="LQ1" s="67"/>
      <c r="LR1" s="67"/>
      <c r="LS1" s="67"/>
      <c r="LT1" s="67">
        <f>KX1+Parameters!$B$7</f>
        <v>385</v>
      </c>
      <c r="LU1" s="67"/>
      <c r="LV1" s="67"/>
      <c r="LW1" s="67"/>
      <c r="LX1" s="67"/>
      <c r="LY1" s="67"/>
      <c r="LZ1" s="67"/>
      <c r="MA1" s="67"/>
      <c r="MB1" s="67"/>
      <c r="MC1" s="67"/>
      <c r="MD1" s="67"/>
      <c r="ME1" s="67"/>
      <c r="MF1" s="67"/>
      <c r="MG1" s="67"/>
      <c r="MH1" s="67"/>
      <c r="MI1" s="67"/>
      <c r="MJ1" s="67"/>
      <c r="MK1" s="67"/>
      <c r="ML1" s="67"/>
      <c r="MM1" s="67"/>
      <c r="MN1" s="67"/>
      <c r="MO1" s="67"/>
      <c r="MP1" s="67">
        <f>LT1+Parameters!$B$7</f>
        <v>393</v>
      </c>
      <c r="MQ1" s="67"/>
      <c r="MR1" s="67"/>
      <c r="MS1" s="67"/>
      <c r="MT1" s="67"/>
      <c r="MU1" s="67"/>
      <c r="MV1" s="67"/>
      <c r="MW1" s="67"/>
      <c r="MX1" s="67"/>
      <c r="MY1" s="67"/>
      <c r="MZ1" s="67"/>
      <c r="NA1" s="67"/>
      <c r="NB1" s="67"/>
      <c r="NC1" s="67"/>
      <c r="ND1" s="67"/>
      <c r="NE1" s="67"/>
      <c r="NF1" s="67"/>
      <c r="NG1" s="67"/>
      <c r="NH1" s="67"/>
      <c r="NI1" s="67"/>
      <c r="NJ1" s="67"/>
      <c r="NK1" s="67"/>
      <c r="NL1" s="67">
        <f>MP1+Parameters!$B$7</f>
        <v>401</v>
      </c>
      <c r="NM1" s="67"/>
      <c r="NN1" s="67"/>
      <c r="NO1" s="67"/>
      <c r="NP1" s="67"/>
      <c r="NQ1" s="67"/>
      <c r="NR1" s="67"/>
      <c r="NS1" s="67"/>
      <c r="NT1" s="67"/>
      <c r="NU1" s="67"/>
      <c r="NV1" s="67"/>
      <c r="NW1" s="67"/>
      <c r="NX1" s="67"/>
      <c r="NY1" s="67"/>
      <c r="NZ1" s="67"/>
      <c r="OA1" s="67"/>
      <c r="OB1" s="67"/>
      <c r="OC1" s="67"/>
      <c r="OD1" s="67"/>
      <c r="OE1" s="67"/>
      <c r="OF1" s="67"/>
      <c r="OG1" s="67"/>
      <c r="OH1" s="67">
        <f>NL1+Parameters!$B$7</f>
        <v>409</v>
      </c>
      <c r="OI1" s="67"/>
      <c r="OJ1" s="67"/>
      <c r="OK1" s="67"/>
      <c r="OL1" s="67"/>
      <c r="OM1" s="67"/>
      <c r="ON1" s="67"/>
      <c r="OO1" s="67"/>
      <c r="OP1" s="67"/>
      <c r="OQ1" s="67"/>
      <c r="OR1" s="67"/>
      <c r="OS1" s="67"/>
      <c r="OT1" s="67"/>
      <c r="OU1" s="67"/>
      <c r="OV1" s="67"/>
      <c r="OW1" s="67"/>
      <c r="OX1" s="67"/>
      <c r="OY1" s="67"/>
      <c r="OZ1" s="67"/>
      <c r="PA1" s="67"/>
      <c r="PB1" s="67"/>
      <c r="PC1" s="67"/>
      <c r="PD1" s="67">
        <f>OH1+Parameters!$B$7</f>
        <v>417</v>
      </c>
      <c r="PE1" s="67"/>
      <c r="PF1" s="67"/>
      <c r="PG1" s="67"/>
      <c r="PH1" s="67"/>
      <c r="PI1" s="67"/>
      <c r="PJ1" s="67"/>
      <c r="PK1" s="67"/>
      <c r="PL1" s="67"/>
      <c r="PM1" s="67"/>
      <c r="PN1" s="67"/>
      <c r="PO1" s="67"/>
      <c r="PP1" s="67"/>
      <c r="PQ1" s="67"/>
      <c r="PR1" s="67"/>
      <c r="PS1" s="67"/>
      <c r="PT1" s="67"/>
      <c r="PU1" s="67"/>
      <c r="PV1" s="67"/>
      <c r="PW1" s="67"/>
      <c r="PX1" s="67"/>
      <c r="PY1" s="67"/>
      <c r="PZ1" s="67">
        <f>PD1+Parameters!$B$7</f>
        <v>425</v>
      </c>
      <c r="QA1" s="67"/>
      <c r="QB1" s="67"/>
      <c r="QC1" s="67"/>
      <c r="QD1" s="67"/>
      <c r="QE1" s="67"/>
      <c r="QF1" s="67"/>
      <c r="QG1" s="67"/>
      <c r="QH1" s="67"/>
      <c r="QI1" s="67"/>
      <c r="QJ1" s="67"/>
      <c r="QK1" s="67"/>
      <c r="QL1" s="67"/>
      <c r="QM1" s="67"/>
      <c r="QN1" s="67"/>
      <c r="QO1" s="67"/>
      <c r="QP1" s="67"/>
      <c r="QQ1" s="67"/>
      <c r="QR1" s="67"/>
      <c r="QS1" s="67"/>
      <c r="QT1" s="67"/>
      <c r="QU1" s="67"/>
      <c r="QV1" s="67">
        <f>PZ1+Parameters!$B$7</f>
        <v>433</v>
      </c>
      <c r="QW1" s="67"/>
      <c r="QX1" s="67"/>
      <c r="QY1" s="67"/>
      <c r="QZ1" s="67"/>
      <c r="RA1" s="67"/>
      <c r="RB1" s="67"/>
      <c r="RC1" s="67"/>
      <c r="RD1" s="67"/>
      <c r="RE1" s="67"/>
      <c r="RF1" s="67"/>
      <c r="RG1" s="67"/>
      <c r="RH1" s="67"/>
      <c r="RI1" s="67"/>
      <c r="RJ1" s="67"/>
      <c r="RK1" s="67"/>
      <c r="RL1" s="67"/>
      <c r="RM1" s="67"/>
      <c r="RN1" s="67"/>
      <c r="RO1" s="67"/>
      <c r="RP1" s="67"/>
      <c r="RQ1" s="67"/>
      <c r="RR1" s="67">
        <f>QV1+Parameters!$B$7</f>
        <v>441</v>
      </c>
      <c r="RS1" s="67"/>
      <c r="RT1" s="67"/>
      <c r="RU1" s="67"/>
      <c r="RV1" s="67"/>
      <c r="RW1" s="67"/>
      <c r="RX1" s="67"/>
      <c r="RY1" s="67"/>
      <c r="RZ1" s="67"/>
      <c r="SA1" s="67"/>
      <c r="SB1" s="67"/>
      <c r="SC1" s="67"/>
      <c r="SD1" s="67"/>
      <c r="SE1" s="67"/>
      <c r="SF1" s="67"/>
      <c r="SG1" s="67"/>
      <c r="SH1" s="67"/>
      <c r="SI1" s="67"/>
      <c r="SJ1" s="67"/>
      <c r="SK1" s="67"/>
      <c r="SL1" s="67"/>
      <c r="SM1" s="67"/>
      <c r="SN1" s="67">
        <f>RR1+Parameters!$B$7</f>
        <v>449</v>
      </c>
      <c r="SO1" s="67"/>
      <c r="SP1" s="67"/>
      <c r="SQ1" s="67"/>
      <c r="SR1" s="67"/>
      <c r="SS1" s="67"/>
      <c r="ST1" s="67"/>
      <c r="SU1" s="67"/>
      <c r="SV1" s="67"/>
      <c r="SW1" s="67"/>
      <c r="SX1" s="67"/>
      <c r="SY1" s="67"/>
      <c r="SZ1" s="67"/>
      <c r="TA1" s="67"/>
      <c r="TB1" s="67"/>
      <c r="TC1" s="67"/>
      <c r="TD1" s="67"/>
      <c r="TE1" s="67"/>
      <c r="TF1" s="67"/>
      <c r="TG1" s="67"/>
      <c r="TH1" s="67"/>
      <c r="TI1" s="67"/>
      <c r="TJ1" s="67">
        <f>SN1+Parameters!$B$7</f>
        <v>457</v>
      </c>
      <c r="TK1" s="67"/>
      <c r="TL1" s="67"/>
      <c r="TM1" s="67"/>
      <c r="TN1" s="67"/>
      <c r="TO1" s="67"/>
      <c r="TP1" s="67"/>
      <c r="TQ1" s="67"/>
      <c r="TR1" s="67"/>
      <c r="TS1" s="67"/>
      <c r="TT1" s="67"/>
      <c r="TU1" s="67"/>
      <c r="TV1" s="67"/>
      <c r="TW1" s="67"/>
      <c r="TX1" s="67"/>
      <c r="TY1" s="67"/>
      <c r="TZ1" s="67"/>
      <c r="UA1" s="67"/>
      <c r="UB1" s="67"/>
      <c r="UC1" s="67"/>
      <c r="UD1" s="67"/>
      <c r="UE1" s="67"/>
      <c r="UF1" s="67">
        <f>TJ1+Parameters!$B$7</f>
        <v>465</v>
      </c>
      <c r="UG1" s="67"/>
      <c r="UH1" s="67"/>
      <c r="UI1" s="67"/>
      <c r="UJ1" s="67"/>
      <c r="UK1" s="67"/>
      <c r="UL1" s="67"/>
      <c r="UM1" s="67"/>
      <c r="UN1" s="67"/>
      <c r="UO1" s="67"/>
      <c r="UP1" s="67"/>
      <c r="UQ1" s="67"/>
      <c r="UR1" s="67"/>
      <c r="US1" s="67"/>
      <c r="UT1" s="67"/>
      <c r="UU1" s="67"/>
      <c r="UV1" s="67"/>
      <c r="UW1" s="67"/>
      <c r="UX1" s="67"/>
      <c r="UY1" s="67"/>
      <c r="UZ1" s="67"/>
      <c r="VA1" s="67"/>
      <c r="VB1" s="67">
        <f>UF1+Parameters!$B$7</f>
        <v>473</v>
      </c>
      <c r="VC1" s="67"/>
      <c r="VD1" s="67"/>
      <c r="VE1" s="67"/>
      <c r="VF1" s="67"/>
      <c r="VG1" s="67"/>
      <c r="VH1" s="67"/>
      <c r="VI1" s="67"/>
      <c r="VJ1" s="67"/>
      <c r="VK1" s="67"/>
      <c r="VL1" s="67"/>
      <c r="VM1" s="67"/>
      <c r="VN1" s="67"/>
      <c r="VO1" s="67"/>
      <c r="VP1" s="67"/>
      <c r="VQ1" s="67"/>
      <c r="VR1" s="67"/>
      <c r="VS1" s="67"/>
      <c r="VT1" s="67"/>
      <c r="VU1" s="67"/>
      <c r="VV1" s="67"/>
      <c r="VW1" s="67"/>
      <c r="VX1" s="67">
        <f>VB1+Parameters!$B$7</f>
        <v>481</v>
      </c>
      <c r="VY1" s="67"/>
      <c r="VZ1" s="67"/>
      <c r="WA1" s="67"/>
      <c r="WB1" s="67"/>
      <c r="WC1" s="67"/>
      <c r="WD1" s="67"/>
      <c r="WE1" s="67"/>
      <c r="WF1" s="67"/>
      <c r="WG1" s="67"/>
      <c r="WH1" s="67"/>
      <c r="WI1" s="67"/>
      <c r="WJ1" s="67"/>
      <c r="WK1" s="67"/>
      <c r="WL1" s="67"/>
      <c r="WM1" s="67"/>
      <c r="WN1" s="67"/>
      <c r="WO1" s="67"/>
      <c r="WP1" s="67"/>
      <c r="WQ1" s="67"/>
      <c r="WR1" s="67"/>
      <c r="WS1" s="67"/>
      <c r="WT1" s="67">
        <f>VX1+Parameters!$B$7</f>
        <v>489</v>
      </c>
      <c r="WU1" s="67"/>
      <c r="WV1" s="67"/>
      <c r="WW1" s="67"/>
      <c r="WX1" s="67"/>
      <c r="WY1" s="67"/>
      <c r="WZ1" s="67"/>
      <c r="XA1" s="67"/>
      <c r="XB1" s="67"/>
      <c r="XC1" s="67"/>
      <c r="XD1" s="67"/>
      <c r="XE1" s="67"/>
      <c r="XF1" s="67"/>
      <c r="XG1" s="67"/>
      <c r="XH1" s="67"/>
      <c r="XI1" s="67"/>
      <c r="XJ1" s="67"/>
      <c r="XK1" s="67"/>
      <c r="XL1" s="67"/>
      <c r="XM1" s="67"/>
      <c r="XN1" s="67"/>
      <c r="XO1" s="67"/>
      <c r="XP1" s="67">
        <f>WT1+Parameters!$B$7</f>
        <v>497</v>
      </c>
      <c r="XQ1" s="67"/>
      <c r="XR1" s="67"/>
      <c r="XS1" s="67"/>
      <c r="XT1" s="67"/>
      <c r="XU1" s="67"/>
      <c r="XV1" s="67"/>
      <c r="XW1" s="67"/>
      <c r="XX1" s="67"/>
      <c r="XY1" s="67"/>
      <c r="XZ1" s="67"/>
      <c r="YA1" s="67"/>
      <c r="YB1" s="67"/>
      <c r="YC1" s="67"/>
      <c r="YD1" s="67"/>
      <c r="YE1" s="67"/>
      <c r="YF1" s="67"/>
      <c r="YG1" s="67"/>
      <c r="YH1" s="67"/>
      <c r="YI1" s="67"/>
      <c r="YJ1" s="67"/>
      <c r="YK1" s="67"/>
      <c r="YL1" s="67">
        <f>XP1+Parameters!$B$7</f>
        <v>505</v>
      </c>
      <c r="YM1" s="67"/>
      <c r="YN1" s="67"/>
      <c r="YO1" s="67"/>
      <c r="YP1" s="67"/>
      <c r="YQ1" s="67"/>
      <c r="YR1" s="67"/>
      <c r="YS1" s="67"/>
      <c r="YT1" s="67"/>
      <c r="YU1" s="67"/>
      <c r="YV1" s="67"/>
      <c r="YW1" s="67"/>
      <c r="YX1" s="67"/>
      <c r="YY1" s="67"/>
      <c r="YZ1" s="67"/>
      <c r="ZA1" s="67"/>
      <c r="ZB1" s="67"/>
      <c r="ZC1" s="67"/>
      <c r="ZD1" s="67"/>
      <c r="ZE1" s="67"/>
      <c r="ZF1" s="67"/>
      <c r="ZG1" s="67"/>
      <c r="ZH1" s="67">
        <f>YL1+Parameters!$B$7</f>
        <v>513</v>
      </c>
      <c r="ZI1" s="67"/>
      <c r="ZJ1" s="67"/>
      <c r="ZK1" s="67"/>
      <c r="ZL1" s="67"/>
      <c r="ZM1" s="67"/>
      <c r="ZN1" s="67"/>
      <c r="ZO1" s="67"/>
      <c r="ZP1" s="67"/>
      <c r="ZQ1" s="67"/>
      <c r="ZR1" s="67"/>
      <c r="ZS1" s="67"/>
      <c r="ZT1" s="67"/>
      <c r="ZU1" s="67"/>
      <c r="ZV1" s="67"/>
      <c r="ZW1" s="67"/>
      <c r="ZX1" s="67"/>
      <c r="ZY1" s="67"/>
      <c r="ZZ1" s="67"/>
      <c r="AAA1" s="67"/>
      <c r="AAB1" s="67"/>
      <c r="AAC1" s="67"/>
      <c r="AAD1" s="67">
        <f>ZH1+Parameters!$B$7</f>
        <v>521</v>
      </c>
      <c r="AAE1" s="67"/>
      <c r="AAF1" s="67"/>
      <c r="AAG1" s="67"/>
      <c r="AAH1" s="67"/>
      <c r="AAI1" s="67"/>
      <c r="AAJ1" s="67"/>
      <c r="AAK1" s="67"/>
      <c r="AAL1" s="67"/>
      <c r="AAM1" s="67"/>
      <c r="AAN1" s="67"/>
      <c r="AAO1" s="67"/>
      <c r="AAP1" s="67"/>
      <c r="AAQ1" s="67"/>
      <c r="AAR1" s="67"/>
      <c r="AAS1" s="67"/>
      <c r="AAT1" s="67"/>
      <c r="AAU1" s="67"/>
      <c r="AAV1" s="67"/>
      <c r="AAW1" s="67"/>
      <c r="AAX1" s="67"/>
      <c r="AAY1" s="67"/>
      <c r="AAZ1" s="67">
        <f>AAD1+Parameters!$B$7</f>
        <v>529</v>
      </c>
      <c r="ABA1" s="67"/>
      <c r="ABB1" s="67"/>
      <c r="ABC1" s="67"/>
      <c r="ABD1" s="67"/>
      <c r="ABE1" s="67"/>
      <c r="ABF1" s="67"/>
      <c r="ABG1" s="67"/>
      <c r="ABH1" s="67"/>
      <c r="ABI1" s="67"/>
      <c r="ABJ1" s="67"/>
      <c r="ABK1" s="67"/>
      <c r="ABL1" s="67"/>
      <c r="ABM1" s="67"/>
      <c r="ABN1" s="67"/>
      <c r="ABO1" s="67"/>
      <c r="ABP1" s="67"/>
      <c r="ABQ1" s="67"/>
      <c r="ABR1" s="67"/>
      <c r="ABS1" s="67"/>
      <c r="ABT1" s="67"/>
      <c r="ABU1" s="67"/>
      <c r="ABV1" s="67">
        <f>AAZ1+Parameters!$B$7</f>
        <v>537</v>
      </c>
      <c r="ABW1" s="67"/>
      <c r="ABX1" s="67"/>
      <c r="ABY1" s="67"/>
      <c r="ABZ1" s="67"/>
      <c r="ACA1" s="67"/>
      <c r="ACB1" s="67"/>
      <c r="ACC1" s="67"/>
      <c r="ACD1" s="67"/>
      <c r="ACE1" s="67"/>
      <c r="ACF1" s="67"/>
      <c r="ACG1" s="67"/>
      <c r="ACH1" s="67"/>
      <c r="ACI1" s="67"/>
      <c r="ACJ1" s="67"/>
      <c r="ACK1" s="67"/>
      <c r="ACL1" s="67"/>
      <c r="ACM1" s="67"/>
      <c r="ACN1" s="67"/>
      <c r="ACO1" s="67"/>
      <c r="ACP1" s="67"/>
      <c r="ACQ1" s="67"/>
      <c r="ACR1" s="67">
        <f>ABV1+Parameters!$B$7</f>
        <v>545</v>
      </c>
      <c r="ACS1" s="67"/>
      <c r="ACT1" s="67"/>
      <c r="ACU1" s="67"/>
      <c r="ACV1" s="67"/>
      <c r="ACW1" s="67"/>
      <c r="ACX1" s="67"/>
      <c r="ACY1" s="67"/>
      <c r="ACZ1" s="67"/>
      <c r="ADA1" s="67"/>
      <c r="ADB1" s="67"/>
      <c r="ADC1" s="67"/>
      <c r="ADD1" s="67"/>
      <c r="ADE1" s="67"/>
      <c r="ADF1" s="67"/>
      <c r="ADG1" s="67"/>
      <c r="ADH1" s="67"/>
      <c r="ADI1" s="67"/>
      <c r="ADJ1" s="67"/>
      <c r="ADK1" s="67"/>
      <c r="ADL1" s="67"/>
      <c r="ADM1" s="67"/>
      <c r="ADN1" s="67">
        <f>ACR1+Parameters!$B$7</f>
        <v>553</v>
      </c>
      <c r="ADO1" s="67"/>
      <c r="ADP1" s="67"/>
      <c r="ADQ1" s="67"/>
      <c r="ADR1" s="67"/>
      <c r="ADS1" s="67"/>
      <c r="ADT1" s="67"/>
      <c r="ADU1" s="67"/>
      <c r="ADV1" s="67"/>
      <c r="ADW1" s="67"/>
      <c r="ADX1" s="67"/>
      <c r="ADY1" s="67"/>
      <c r="ADZ1" s="67"/>
      <c r="AEA1" s="67"/>
      <c r="AEB1" s="67"/>
      <c r="AEC1" s="67"/>
      <c r="AED1" s="67"/>
      <c r="AEE1" s="67"/>
      <c r="AEF1" s="67"/>
      <c r="AEG1" s="67"/>
      <c r="AEH1" s="67"/>
      <c r="AEI1" s="67"/>
      <c r="AEJ1" s="67">
        <f>ADN1+Parameters!$B$7</f>
        <v>561</v>
      </c>
      <c r="AEK1" s="67"/>
      <c r="AEL1" s="67"/>
      <c r="AEM1" s="67"/>
      <c r="AEN1" s="67"/>
      <c r="AEO1" s="67"/>
      <c r="AEP1" s="67"/>
      <c r="AEQ1" s="67"/>
      <c r="AER1" s="67"/>
      <c r="AES1" s="67"/>
      <c r="AET1" s="67"/>
      <c r="AEU1" s="67"/>
      <c r="AEV1" s="67"/>
      <c r="AEW1" s="67"/>
      <c r="AEX1" s="67"/>
      <c r="AEY1" s="67"/>
      <c r="AEZ1" s="67"/>
      <c r="AFA1" s="67"/>
      <c r="AFB1" s="67"/>
      <c r="AFC1" s="67"/>
      <c r="AFD1" s="67"/>
      <c r="AFE1" s="67"/>
      <c r="AFF1" s="67">
        <f>AEJ1+Parameters!$B$7</f>
        <v>569</v>
      </c>
      <c r="AFG1" s="67"/>
      <c r="AFH1" s="67"/>
      <c r="AFI1" s="67"/>
      <c r="AFJ1" s="67"/>
      <c r="AFK1" s="67"/>
      <c r="AFL1" s="67"/>
      <c r="AFM1" s="67"/>
      <c r="AFN1" s="67"/>
      <c r="AFO1" s="67"/>
      <c r="AFP1" s="67"/>
      <c r="AFQ1" s="67"/>
      <c r="AFR1" s="67"/>
      <c r="AFS1" s="67"/>
      <c r="AFT1" s="67"/>
      <c r="AFU1" s="67"/>
      <c r="AFV1" s="67"/>
      <c r="AFW1" s="67"/>
      <c r="AFX1" s="67"/>
      <c r="AFY1" s="67"/>
      <c r="AFZ1" s="67"/>
      <c r="AGA1" s="67"/>
      <c r="AGB1" s="67">
        <f>AFF1+Parameters!$B$7</f>
        <v>577</v>
      </c>
      <c r="AGC1" s="67"/>
      <c r="AGD1" s="67"/>
      <c r="AGE1" s="67"/>
      <c r="AGF1" s="67"/>
      <c r="AGG1" s="67"/>
      <c r="AGH1" s="67"/>
      <c r="AGI1" s="67"/>
      <c r="AGJ1" s="67"/>
      <c r="AGK1" s="67"/>
      <c r="AGL1" s="67"/>
      <c r="AGM1" s="67"/>
      <c r="AGN1" s="67"/>
      <c r="AGO1" s="67"/>
      <c r="AGP1" s="67"/>
      <c r="AGQ1" s="67"/>
      <c r="AGR1" s="67"/>
      <c r="AGS1" s="67"/>
      <c r="AGT1" s="67"/>
      <c r="AGU1" s="67"/>
      <c r="AGV1" s="67"/>
      <c r="AGW1" s="67"/>
      <c r="AGX1" s="67">
        <f>AGB1+Parameters!$B$7</f>
        <v>585</v>
      </c>
      <c r="AGY1" s="67"/>
      <c r="AGZ1" s="67"/>
      <c r="AHA1" s="67"/>
      <c r="AHB1" s="67"/>
      <c r="AHC1" s="67"/>
      <c r="AHD1" s="67"/>
      <c r="AHE1" s="67"/>
      <c r="AHF1" s="67"/>
      <c r="AHG1" s="67"/>
      <c r="AHH1" s="67"/>
      <c r="AHI1" s="67"/>
      <c r="AHJ1" s="67"/>
      <c r="AHK1" s="67"/>
      <c r="AHL1" s="67"/>
      <c r="AHM1" s="67"/>
      <c r="AHN1" s="67"/>
      <c r="AHO1" s="67"/>
      <c r="AHP1" s="67"/>
      <c r="AHQ1" s="67"/>
      <c r="AHR1" s="67"/>
      <c r="AHS1" s="67"/>
      <c r="AHT1" s="67">
        <f>AGX1+Parameters!$B$7</f>
        <v>593</v>
      </c>
      <c r="AHU1" s="67"/>
      <c r="AHV1" s="67"/>
      <c r="AHW1" s="67"/>
      <c r="AHX1" s="67"/>
      <c r="AHY1" s="67"/>
      <c r="AHZ1" s="67"/>
      <c r="AIA1" s="67"/>
      <c r="AIB1" s="67"/>
      <c r="AIC1" s="67"/>
      <c r="AID1" s="67"/>
      <c r="AIE1" s="67"/>
      <c r="AIF1" s="67"/>
      <c r="AIG1" s="67"/>
      <c r="AIH1" s="67"/>
      <c r="AII1" s="67"/>
      <c r="AIJ1" s="67"/>
      <c r="AIK1" s="67"/>
      <c r="AIL1" s="67"/>
      <c r="AIM1" s="67"/>
      <c r="AIN1" s="67"/>
      <c r="AIO1" s="67"/>
      <c r="AIP1" s="67">
        <f>AHT1+Parameters!$B$7</f>
        <v>601</v>
      </c>
      <c r="AIQ1" s="67"/>
      <c r="AIR1" s="67"/>
      <c r="AIS1" s="67"/>
      <c r="AIT1" s="67"/>
      <c r="AIU1" s="67"/>
      <c r="AIV1" s="67"/>
      <c r="AIW1" s="67"/>
      <c r="AIX1" s="67"/>
      <c r="AIY1" s="67"/>
      <c r="AIZ1" s="67"/>
      <c r="AJA1" s="67"/>
      <c r="AJB1" s="67"/>
      <c r="AJC1" s="67"/>
      <c r="AJD1" s="67"/>
      <c r="AJE1" s="67"/>
      <c r="AJF1" s="67"/>
      <c r="AJG1" s="67"/>
      <c r="AJH1" s="67"/>
      <c r="AJI1" s="67"/>
      <c r="AJJ1" s="67"/>
      <c r="AJK1" s="67"/>
      <c r="AJL1" s="67">
        <f>AIP1+Parameters!$B$7</f>
        <v>609</v>
      </c>
      <c r="AJM1" s="67"/>
      <c r="AJN1" s="67"/>
      <c r="AJO1" s="67"/>
      <c r="AJP1" s="67"/>
      <c r="AJQ1" s="67"/>
      <c r="AJR1" s="67"/>
      <c r="AJS1" s="67"/>
      <c r="AJT1" s="67"/>
      <c r="AJU1" s="67"/>
      <c r="AJV1" s="67"/>
      <c r="AJW1" s="67"/>
      <c r="AJX1" s="67"/>
      <c r="AJY1" s="67"/>
      <c r="AJZ1" s="67"/>
      <c r="AKA1" s="67"/>
      <c r="AKB1" s="67"/>
      <c r="AKC1" s="67"/>
      <c r="AKD1" s="67"/>
      <c r="AKE1" s="67"/>
      <c r="AKF1" s="67"/>
      <c r="AKG1" s="67"/>
      <c r="AKH1" s="67">
        <f>AJL1+Parameters!$B$7</f>
        <v>617</v>
      </c>
      <c r="AKI1" s="67"/>
      <c r="AKJ1" s="67"/>
      <c r="AKK1" s="67"/>
      <c r="AKL1" s="67"/>
      <c r="AKM1" s="67"/>
      <c r="AKN1" s="67"/>
      <c r="AKO1" s="67"/>
      <c r="AKP1" s="67"/>
      <c r="AKQ1" s="67"/>
      <c r="AKR1" s="67"/>
      <c r="AKS1" s="67"/>
      <c r="AKT1" s="67"/>
      <c r="AKU1" s="67"/>
      <c r="AKV1" s="67"/>
      <c r="AKW1" s="67"/>
      <c r="AKX1" s="67"/>
      <c r="AKY1" s="67"/>
      <c r="AKZ1" s="67"/>
      <c r="ALA1" s="67"/>
      <c r="ALB1" s="67"/>
      <c r="ALC1" s="67"/>
      <c r="ALD1" s="67">
        <f>AKH1+Parameters!$B$7</f>
        <v>625</v>
      </c>
      <c r="ALE1" s="67"/>
      <c r="ALF1" s="67"/>
      <c r="ALG1" s="67"/>
      <c r="ALH1" s="67"/>
      <c r="ALI1" s="67"/>
      <c r="ALJ1" s="67"/>
      <c r="ALK1" s="67"/>
      <c r="ALL1" s="67"/>
      <c r="ALM1" s="67"/>
      <c r="ALN1" s="67"/>
      <c r="ALO1" s="67"/>
      <c r="ALP1" s="67"/>
      <c r="ALQ1" s="67"/>
      <c r="ALR1" s="67"/>
      <c r="ALS1" s="67"/>
      <c r="ALT1" s="67"/>
      <c r="ALU1" s="67"/>
      <c r="ALV1" s="67"/>
      <c r="ALW1" s="67"/>
      <c r="ALX1" s="67"/>
      <c r="ALY1" s="67"/>
      <c r="ALZ1" s="67">
        <f>ALD1+Parameters!$B$7</f>
        <v>633</v>
      </c>
      <c r="AMA1" s="67"/>
      <c r="AMB1" s="67"/>
      <c r="AMC1" s="67"/>
      <c r="AMD1" s="67"/>
      <c r="AME1" s="67"/>
      <c r="AMF1" s="67"/>
      <c r="AMG1" s="67"/>
      <c r="AMH1" s="67"/>
      <c r="AMI1" s="67"/>
      <c r="AMJ1" s="67"/>
      <c r="AMK1" s="67"/>
      <c r="AML1" s="67"/>
      <c r="AMM1" s="67"/>
      <c r="AMN1" s="67"/>
      <c r="AMO1" s="67"/>
      <c r="AMP1" s="67"/>
      <c r="AMQ1" s="67"/>
      <c r="AMR1" s="67"/>
      <c r="AMS1" s="67"/>
      <c r="AMT1" s="67"/>
      <c r="AMU1" s="67"/>
      <c r="AMV1" s="67">
        <f>ALZ1+Parameters!$B$7</f>
        <v>641</v>
      </c>
      <c r="AMW1" s="67"/>
      <c r="AMX1" s="67"/>
      <c r="AMY1" s="67"/>
      <c r="AMZ1" s="67"/>
      <c r="ANA1" s="67"/>
      <c r="ANB1" s="67"/>
      <c r="ANC1" s="67"/>
      <c r="AND1" s="67"/>
      <c r="ANE1" s="67"/>
      <c r="ANF1" s="67"/>
      <c r="ANG1" s="67"/>
      <c r="ANH1" s="67"/>
      <c r="ANI1" s="67"/>
      <c r="ANJ1" s="67"/>
      <c r="ANK1" s="67"/>
      <c r="ANL1" s="67"/>
      <c r="ANM1" s="67"/>
      <c r="ANN1" s="67"/>
      <c r="ANO1" s="67"/>
      <c r="ANP1" s="67"/>
      <c r="ANQ1" s="67"/>
      <c r="ANR1" s="67">
        <f>AMV1+Parameters!$B$7</f>
        <v>649</v>
      </c>
      <c r="ANS1" s="67"/>
      <c r="ANT1" s="67"/>
      <c r="ANU1" s="67"/>
      <c r="ANV1" s="67"/>
      <c r="ANW1" s="67"/>
      <c r="ANX1" s="67"/>
      <c r="ANY1" s="67"/>
      <c r="ANZ1" s="67"/>
      <c r="AOA1" s="67"/>
      <c r="AOB1" s="67"/>
      <c r="AOC1" s="67"/>
      <c r="AOD1" s="67"/>
      <c r="AOE1" s="67"/>
      <c r="AOF1" s="67"/>
      <c r="AOG1" s="67"/>
      <c r="AOH1" s="67"/>
      <c r="AOI1" s="67"/>
      <c r="AOJ1" s="67"/>
      <c r="AOK1" s="67"/>
      <c r="AOL1" s="67"/>
      <c r="AOM1" s="67"/>
      <c r="AON1" s="67">
        <f>ANR1+Parameters!$B$7</f>
        <v>657</v>
      </c>
      <c r="AOO1" s="67"/>
      <c r="AOP1" s="67"/>
      <c r="AOQ1" s="67"/>
      <c r="AOR1" s="67"/>
      <c r="AOS1" s="67"/>
      <c r="AOT1" s="67"/>
      <c r="AOU1" s="67"/>
      <c r="AOV1" s="67"/>
      <c r="AOW1" s="67"/>
      <c r="AOX1" s="67"/>
      <c r="AOY1" s="67"/>
      <c r="AOZ1" s="67"/>
      <c r="APA1" s="67"/>
      <c r="APB1" s="67"/>
      <c r="APC1" s="67"/>
      <c r="APD1" s="67"/>
      <c r="APE1" s="67"/>
      <c r="APF1" s="67"/>
      <c r="APG1" s="67"/>
      <c r="APH1" s="67"/>
      <c r="API1" s="67"/>
      <c r="APJ1" s="67">
        <f>AON1+Parameters!$B$7</f>
        <v>665</v>
      </c>
      <c r="APK1" s="67"/>
      <c r="APL1" s="67"/>
      <c r="APM1" s="67"/>
      <c r="APN1" s="67"/>
      <c r="APO1" s="67"/>
      <c r="APP1" s="67"/>
      <c r="APQ1" s="67"/>
      <c r="APR1" s="67"/>
      <c r="APS1" s="67"/>
      <c r="APT1" s="67"/>
      <c r="APU1" s="67"/>
      <c r="APV1" s="67"/>
      <c r="APW1" s="67"/>
      <c r="APX1" s="67"/>
      <c r="APY1" s="67"/>
      <c r="APZ1" s="67"/>
      <c r="AQA1" s="67"/>
      <c r="AQB1" s="67"/>
      <c r="AQC1" s="67"/>
      <c r="AQD1" s="67"/>
      <c r="AQE1" s="67"/>
      <c r="AQF1" s="67">
        <f>APJ1+Parameters!$B$7</f>
        <v>673</v>
      </c>
      <c r="AQG1" s="67"/>
      <c r="AQH1" s="67"/>
      <c r="AQI1" s="67"/>
      <c r="AQJ1" s="67"/>
      <c r="AQK1" s="67"/>
      <c r="AQL1" s="67"/>
      <c r="AQM1" s="67"/>
      <c r="AQN1" s="67"/>
      <c r="AQO1" s="67"/>
      <c r="AQP1" s="67"/>
      <c r="AQQ1" s="67"/>
      <c r="AQR1" s="67"/>
      <c r="AQS1" s="67"/>
      <c r="AQT1" s="67"/>
      <c r="AQU1" s="67"/>
      <c r="AQV1" s="67"/>
      <c r="AQW1" s="67"/>
      <c r="AQX1" s="67"/>
      <c r="AQY1" s="67"/>
      <c r="AQZ1" s="67"/>
      <c r="ARA1" s="67"/>
      <c r="ARB1" s="67">
        <f>AQF1+Parameters!$B$7</f>
        <v>681</v>
      </c>
      <c r="ARC1" s="67"/>
      <c r="ARD1" s="67"/>
      <c r="ARE1" s="67"/>
      <c r="ARF1" s="67"/>
      <c r="ARG1" s="67"/>
      <c r="ARH1" s="67"/>
      <c r="ARI1" s="67"/>
      <c r="ARJ1" s="67"/>
      <c r="ARK1" s="67"/>
      <c r="ARL1" s="67"/>
      <c r="ARM1" s="67"/>
      <c r="ARN1" s="67"/>
      <c r="ARO1" s="67"/>
      <c r="ARP1" s="67"/>
      <c r="ARQ1" s="67"/>
      <c r="ARR1" s="67"/>
      <c r="ARS1" s="67"/>
      <c r="ART1" s="67"/>
      <c r="ARU1" s="67"/>
      <c r="ARV1" s="67"/>
      <c r="ARW1" s="67"/>
      <c r="ARX1" s="67">
        <f>ARB1+Parameters!$B$7</f>
        <v>689</v>
      </c>
      <c r="ARY1" s="67"/>
      <c r="ARZ1" s="67"/>
      <c r="ASA1" s="67"/>
      <c r="ASB1" s="67"/>
      <c r="ASC1" s="67"/>
      <c r="ASD1" s="67"/>
      <c r="ASE1" s="67"/>
      <c r="ASF1" s="67"/>
      <c r="ASG1" s="67"/>
      <c r="ASH1" s="67"/>
      <c r="ASI1" s="67"/>
      <c r="ASJ1" s="67"/>
      <c r="ASK1" s="67"/>
      <c r="ASL1" s="67"/>
      <c r="ASM1" s="67"/>
      <c r="ASN1" s="67"/>
      <c r="ASO1" s="67"/>
      <c r="ASP1" s="67"/>
      <c r="ASQ1" s="67"/>
      <c r="ASR1" s="67"/>
      <c r="ASS1" s="67"/>
      <c r="AST1" s="67">
        <f>ARX1+Parameters!$B$7</f>
        <v>697</v>
      </c>
      <c r="ASU1" s="67"/>
      <c r="ASV1" s="67"/>
      <c r="ASW1" s="67"/>
      <c r="ASX1" s="67"/>
      <c r="ASY1" s="67"/>
      <c r="ASZ1" s="67"/>
      <c r="ATA1" s="67"/>
      <c r="ATB1" s="67"/>
      <c r="ATC1" s="67"/>
      <c r="ATD1" s="67"/>
      <c r="ATE1" s="67"/>
      <c r="ATF1" s="67"/>
      <c r="ATG1" s="67"/>
      <c r="ATH1" s="67"/>
      <c r="ATI1" s="67"/>
      <c r="ATJ1" s="67"/>
      <c r="ATK1" s="67"/>
      <c r="ATL1" s="67"/>
      <c r="ATM1" s="67"/>
      <c r="ATN1" s="67"/>
      <c r="ATO1" s="67"/>
      <c r="ATP1" s="67">
        <f>AST1+Parameters!$B$7</f>
        <v>705</v>
      </c>
      <c r="ATQ1" s="67"/>
      <c r="ATR1" s="67"/>
      <c r="ATS1" s="67"/>
      <c r="ATT1" s="67"/>
      <c r="ATU1" s="67"/>
      <c r="ATV1" s="67"/>
      <c r="ATW1" s="67"/>
      <c r="ATX1" s="67"/>
      <c r="ATY1" s="67"/>
      <c r="ATZ1" s="67"/>
      <c r="AUA1" s="67"/>
      <c r="AUB1" s="67"/>
      <c r="AUC1" s="67"/>
      <c r="AUD1" s="67"/>
      <c r="AUE1" s="67"/>
      <c r="AUF1" s="67"/>
      <c r="AUG1" s="67"/>
      <c r="AUH1" s="67"/>
      <c r="AUI1" s="67"/>
      <c r="AUJ1" s="67"/>
      <c r="AUK1" s="67"/>
      <c r="AUL1" s="67">
        <f>ATP1+Parameters!$B$7</f>
        <v>713</v>
      </c>
      <c r="AUM1" s="67"/>
      <c r="AUN1" s="67"/>
      <c r="AUO1" s="67"/>
      <c r="AUP1" s="67"/>
      <c r="AUQ1" s="67"/>
      <c r="AUR1" s="67"/>
      <c r="AUS1" s="67"/>
      <c r="AUT1" s="67"/>
      <c r="AUU1" s="67"/>
      <c r="AUV1" s="67"/>
      <c r="AUW1" s="67"/>
      <c r="AUX1" s="67"/>
      <c r="AUY1" s="67"/>
      <c r="AUZ1" s="67"/>
      <c r="AVA1" s="67"/>
      <c r="AVB1" s="67"/>
      <c r="AVC1" s="67"/>
      <c r="AVD1" s="67"/>
      <c r="AVE1" s="67"/>
      <c r="AVF1" s="67"/>
      <c r="AVG1" s="67"/>
      <c r="AVH1" s="67">
        <f>AUL1+Parameters!$B$7</f>
        <v>721</v>
      </c>
      <c r="AVI1" s="67"/>
      <c r="AVJ1" s="67"/>
      <c r="AVK1" s="67"/>
      <c r="AVL1" s="67"/>
      <c r="AVM1" s="67"/>
      <c r="AVN1" s="67"/>
      <c r="AVO1" s="67"/>
      <c r="AVP1" s="67"/>
      <c r="AVQ1" s="67"/>
      <c r="AVR1" s="67"/>
      <c r="AVS1" s="67"/>
      <c r="AVT1" s="67"/>
      <c r="AVU1" s="67"/>
      <c r="AVV1" s="67"/>
      <c r="AVW1" s="67"/>
      <c r="AVX1" s="67"/>
      <c r="AVY1" s="67"/>
      <c r="AVZ1" s="67"/>
      <c r="AWA1" s="67"/>
      <c r="AWB1" s="67"/>
      <c r="AWC1" s="67"/>
      <c r="AWD1" s="67">
        <f>AVH1+Parameters!$B$7</f>
        <v>729</v>
      </c>
      <c r="AWE1" s="67"/>
      <c r="AWF1" s="67"/>
      <c r="AWG1" s="67"/>
      <c r="AWH1" s="67"/>
      <c r="AWI1" s="67"/>
      <c r="AWJ1" s="67"/>
      <c r="AWK1" s="67"/>
      <c r="AWL1" s="67"/>
      <c r="AWM1" s="67"/>
      <c r="AWN1" s="67"/>
      <c r="AWO1" s="67"/>
      <c r="AWP1" s="67"/>
      <c r="AWQ1" s="67"/>
      <c r="AWR1" s="67"/>
      <c r="AWS1" s="67"/>
      <c r="AWT1" s="67"/>
      <c r="AWU1" s="67"/>
      <c r="AWV1" s="67"/>
      <c r="AWW1" s="67"/>
      <c r="AWX1" s="67"/>
      <c r="AWY1" s="67"/>
      <c r="AWZ1" s="67">
        <f>AWD1+Parameters!$B$7</f>
        <v>737</v>
      </c>
      <c r="AXA1" s="67"/>
      <c r="AXB1" s="67"/>
      <c r="AXC1" s="67"/>
      <c r="AXD1" s="67"/>
      <c r="AXE1" s="67"/>
      <c r="AXF1" s="67"/>
      <c r="AXG1" s="67"/>
      <c r="AXH1" s="67"/>
      <c r="AXI1" s="67"/>
      <c r="AXJ1" s="67"/>
      <c r="AXK1" s="67"/>
      <c r="AXL1" s="67"/>
      <c r="AXM1" s="67"/>
      <c r="AXN1" s="67"/>
      <c r="AXO1" s="67"/>
      <c r="AXP1" s="67"/>
      <c r="AXQ1" s="67"/>
      <c r="AXR1" s="67"/>
      <c r="AXS1" s="67"/>
      <c r="AXT1" s="67"/>
      <c r="AXU1" s="67"/>
      <c r="AXV1" s="67">
        <f>AWZ1+Parameters!$B$7</f>
        <v>745</v>
      </c>
      <c r="AXW1" s="67"/>
      <c r="AXX1" s="67"/>
      <c r="AXY1" s="67"/>
      <c r="AXZ1" s="67"/>
      <c r="AYA1" s="67"/>
      <c r="AYB1" s="67"/>
      <c r="AYC1" s="67"/>
      <c r="AYD1" s="67"/>
      <c r="AYE1" s="67"/>
      <c r="AYF1" s="67"/>
      <c r="AYG1" s="67"/>
      <c r="AYH1" s="67"/>
      <c r="AYI1" s="67"/>
      <c r="AYJ1" s="67"/>
      <c r="AYK1" s="67"/>
      <c r="AYL1" s="67"/>
      <c r="AYM1" s="67"/>
      <c r="AYN1" s="67"/>
      <c r="AYO1" s="67"/>
      <c r="AYP1" s="67"/>
      <c r="AYQ1" s="67"/>
      <c r="AYR1" s="67">
        <f>AXV1+Parameters!$B$7</f>
        <v>753</v>
      </c>
      <c r="AYS1" s="67"/>
      <c r="AYT1" s="67"/>
      <c r="AYU1" s="67"/>
      <c r="AYV1" s="67"/>
      <c r="AYW1" s="67"/>
      <c r="AYX1" s="67"/>
      <c r="AYY1" s="67"/>
      <c r="AYZ1" s="67"/>
      <c r="AZA1" s="67"/>
      <c r="AZB1" s="67"/>
      <c r="AZC1" s="67"/>
      <c r="AZD1" s="67"/>
      <c r="AZE1" s="67"/>
      <c r="AZF1" s="67"/>
      <c r="AZG1" s="67"/>
      <c r="AZH1" s="67"/>
      <c r="AZI1" s="67"/>
      <c r="AZJ1" s="67"/>
      <c r="AZK1" s="67"/>
      <c r="AZL1" s="67"/>
      <c r="AZM1" s="67"/>
      <c r="AZN1" s="67">
        <f>AYR1+Parameters!$B$7</f>
        <v>761</v>
      </c>
      <c r="AZO1" s="67"/>
      <c r="AZP1" s="67"/>
      <c r="AZQ1" s="67"/>
      <c r="AZR1" s="67"/>
      <c r="AZS1" s="67"/>
      <c r="AZT1" s="67"/>
      <c r="AZU1" s="67"/>
      <c r="AZV1" s="67"/>
      <c r="AZW1" s="67"/>
      <c r="AZX1" s="67"/>
      <c r="AZY1" s="67"/>
      <c r="AZZ1" s="67"/>
      <c r="BAA1" s="67"/>
      <c r="BAB1" s="67"/>
      <c r="BAC1" s="67"/>
      <c r="BAD1" s="67"/>
      <c r="BAE1" s="67"/>
      <c r="BAF1" s="67"/>
      <c r="BAG1" s="67"/>
      <c r="BAH1" s="67"/>
      <c r="BAI1" s="67"/>
      <c r="BAJ1" s="67">
        <f>AZN1+Parameters!$B$7</f>
        <v>769</v>
      </c>
      <c r="BAK1" s="67"/>
      <c r="BAL1" s="67"/>
      <c r="BAM1" s="67"/>
      <c r="BAN1" s="67"/>
      <c r="BAO1" s="67"/>
      <c r="BAP1" s="67"/>
      <c r="BAQ1" s="67"/>
      <c r="BAR1" s="67"/>
      <c r="BAS1" s="67"/>
      <c r="BAT1" s="67"/>
      <c r="BAU1" s="67"/>
      <c r="BAV1" s="67"/>
      <c r="BAW1" s="67"/>
      <c r="BAX1" s="67"/>
      <c r="BAY1" s="67"/>
      <c r="BAZ1" s="67"/>
      <c r="BBA1" s="67"/>
      <c r="BBB1" s="67"/>
      <c r="BBC1" s="67"/>
      <c r="BBD1" s="67"/>
      <c r="BBE1" s="67"/>
      <c r="BBF1" s="67">
        <f>BAJ1+Parameters!$B$7</f>
        <v>777</v>
      </c>
      <c r="BBG1" s="67"/>
      <c r="BBH1" s="67"/>
      <c r="BBI1" s="67"/>
      <c r="BBJ1" s="67"/>
      <c r="BBK1" s="67"/>
      <c r="BBL1" s="67"/>
      <c r="BBM1" s="67"/>
      <c r="BBN1" s="67"/>
      <c r="BBO1" s="67"/>
      <c r="BBP1" s="67"/>
      <c r="BBQ1" s="67"/>
      <c r="BBR1" s="67"/>
      <c r="BBS1" s="67"/>
      <c r="BBT1" s="67"/>
      <c r="BBU1" s="67"/>
      <c r="BBV1" s="67"/>
      <c r="BBW1" s="67"/>
      <c r="BBX1" s="67"/>
      <c r="BBY1" s="67"/>
      <c r="BBZ1" s="67"/>
      <c r="BCA1" s="67"/>
      <c r="BCB1" s="67">
        <f>BBF1+Parameters!$B$7</f>
        <v>785</v>
      </c>
      <c r="BCC1" s="67"/>
      <c r="BCD1" s="67"/>
      <c r="BCE1" s="67"/>
      <c r="BCF1" s="67"/>
      <c r="BCG1" s="67"/>
      <c r="BCH1" s="67"/>
      <c r="BCI1" s="67"/>
      <c r="BCJ1" s="67"/>
      <c r="BCK1" s="67"/>
      <c r="BCL1" s="67"/>
      <c r="BCM1" s="67"/>
      <c r="BCN1" s="67"/>
      <c r="BCO1" s="67"/>
      <c r="BCP1" s="67"/>
      <c r="BCQ1" s="67"/>
      <c r="BCR1" s="67"/>
      <c r="BCS1" s="67"/>
      <c r="BCT1" s="67"/>
      <c r="BCU1" s="67"/>
      <c r="BCV1" s="67"/>
      <c r="BCW1" s="67"/>
      <c r="BCX1" s="67">
        <f>BCB1+Parameters!$B$7</f>
        <v>793</v>
      </c>
      <c r="BCY1" s="67"/>
      <c r="BCZ1" s="67"/>
      <c r="BDA1" s="67"/>
      <c r="BDB1" s="67"/>
      <c r="BDC1" s="67"/>
      <c r="BDD1" s="67"/>
      <c r="BDE1" s="67"/>
      <c r="BDF1" s="67"/>
      <c r="BDG1" s="67"/>
      <c r="BDH1" s="67"/>
      <c r="BDI1" s="67"/>
      <c r="BDJ1" s="67"/>
      <c r="BDK1" s="67"/>
      <c r="BDL1" s="67"/>
      <c r="BDM1" s="67"/>
      <c r="BDN1" s="67"/>
      <c r="BDO1" s="67"/>
      <c r="BDP1" s="67"/>
      <c r="BDQ1" s="67"/>
      <c r="BDR1" s="67"/>
      <c r="BDS1" s="67"/>
      <c r="BDT1" s="67">
        <f>BCX1+Parameters!$B$7</f>
        <v>801</v>
      </c>
      <c r="BDU1" s="67"/>
      <c r="BDV1" s="67"/>
      <c r="BDW1" s="67"/>
      <c r="BDX1" s="67"/>
      <c r="BDY1" s="67"/>
      <c r="BDZ1" s="67"/>
      <c r="BEA1" s="67"/>
      <c r="BEB1" s="67"/>
      <c r="BEC1" s="67"/>
      <c r="BED1" s="67"/>
      <c r="BEE1" s="67"/>
      <c r="BEF1" s="67"/>
      <c r="BEG1" s="67"/>
      <c r="BEH1" s="67"/>
      <c r="BEI1" s="67"/>
      <c r="BEJ1" s="67"/>
      <c r="BEK1" s="67"/>
      <c r="BEL1" s="67"/>
      <c r="BEM1" s="67"/>
      <c r="BEN1" s="67"/>
      <c r="BEO1" s="67"/>
      <c r="BEP1" s="67">
        <f>BDT1+Parameters!$B$7</f>
        <v>809</v>
      </c>
      <c r="BEQ1" s="67"/>
      <c r="BER1" s="67"/>
      <c r="BES1" s="67"/>
      <c r="BET1" s="67"/>
      <c r="BEU1" s="67"/>
      <c r="BEV1" s="67"/>
      <c r="BEW1" s="67"/>
      <c r="BEX1" s="67"/>
      <c r="BEY1" s="67"/>
      <c r="BEZ1" s="67"/>
      <c r="BFA1" s="67"/>
      <c r="BFB1" s="67"/>
      <c r="BFC1" s="67"/>
      <c r="BFD1" s="67"/>
      <c r="BFE1" s="67"/>
      <c r="BFF1" s="67"/>
      <c r="BFG1" s="67"/>
      <c r="BFH1" s="67"/>
      <c r="BFI1" s="67"/>
      <c r="BFJ1" s="67"/>
      <c r="BFK1" s="67"/>
      <c r="BFL1" s="67">
        <f>BEP1+Parameters!$B$7</f>
        <v>817</v>
      </c>
      <c r="BFM1" s="67"/>
      <c r="BFN1" s="67"/>
      <c r="BFO1" s="67"/>
      <c r="BFP1" s="67"/>
      <c r="BFQ1" s="67"/>
      <c r="BFR1" s="67"/>
      <c r="BFS1" s="67"/>
      <c r="BFT1" s="67"/>
      <c r="BFU1" s="67"/>
      <c r="BFV1" s="67"/>
      <c r="BFW1" s="67"/>
      <c r="BFX1" s="67"/>
      <c r="BFY1" s="67"/>
      <c r="BFZ1" s="67"/>
      <c r="BGA1" s="67"/>
      <c r="BGB1" s="67"/>
      <c r="BGC1" s="67"/>
      <c r="BGD1" s="67"/>
      <c r="BGE1" s="67"/>
      <c r="BGF1" s="67"/>
      <c r="BGG1" s="67"/>
      <c r="BGH1" s="67">
        <f>BFL1+Parameters!$B$7</f>
        <v>825</v>
      </c>
      <c r="BGI1" s="67"/>
      <c r="BGJ1" s="67"/>
      <c r="BGK1" s="67"/>
      <c r="BGL1" s="67"/>
      <c r="BGM1" s="67"/>
      <c r="BGN1" s="67"/>
      <c r="BGO1" s="67"/>
      <c r="BGP1" s="67"/>
      <c r="BGQ1" s="67"/>
      <c r="BGR1" s="67"/>
      <c r="BGS1" s="67"/>
      <c r="BGT1" s="67"/>
      <c r="BGU1" s="67"/>
      <c r="BGV1" s="67"/>
      <c r="BGW1" s="67"/>
      <c r="BGX1" s="67"/>
      <c r="BGY1" s="67"/>
      <c r="BGZ1" s="67"/>
      <c r="BHA1" s="67"/>
      <c r="BHB1" s="67"/>
      <c r="BHC1" s="67"/>
      <c r="BHD1" s="67">
        <f>BGH1+Parameters!$B$7</f>
        <v>833</v>
      </c>
      <c r="BHE1" s="67"/>
      <c r="BHF1" s="67"/>
      <c r="BHG1" s="67"/>
      <c r="BHH1" s="67"/>
      <c r="BHI1" s="67"/>
      <c r="BHJ1" s="67"/>
      <c r="BHK1" s="67"/>
      <c r="BHL1" s="67"/>
      <c r="BHM1" s="67"/>
      <c r="BHN1" s="67"/>
      <c r="BHO1" s="67"/>
      <c r="BHP1" s="67"/>
      <c r="BHQ1" s="67"/>
      <c r="BHR1" s="67"/>
      <c r="BHS1" s="67"/>
      <c r="BHT1" s="67"/>
      <c r="BHU1" s="67"/>
      <c r="BHV1" s="67"/>
      <c r="BHW1" s="67"/>
      <c r="BHX1" s="67"/>
      <c r="BHY1" s="67"/>
      <c r="BHZ1" s="67">
        <f>BHD1+Parameters!$B$7</f>
        <v>841</v>
      </c>
      <c r="BIA1" s="67"/>
      <c r="BIB1" s="67"/>
      <c r="BIC1" s="67"/>
      <c r="BID1" s="67"/>
      <c r="BIE1" s="67"/>
      <c r="BIF1" s="67"/>
      <c r="BIG1" s="67"/>
      <c r="BIH1" s="67"/>
      <c r="BII1" s="67"/>
      <c r="BIJ1" s="67"/>
      <c r="BIK1" s="67"/>
      <c r="BIL1" s="67"/>
      <c r="BIM1" s="67"/>
      <c r="BIN1" s="67"/>
      <c r="BIO1" s="67"/>
      <c r="BIP1" s="67"/>
      <c r="BIQ1" s="67"/>
      <c r="BIR1" s="67"/>
      <c r="BIS1" s="67"/>
      <c r="BIT1" s="67"/>
      <c r="BIU1" s="67"/>
      <c r="BIV1" s="67">
        <f>BHZ1+Parameters!$B$7</f>
        <v>849</v>
      </c>
      <c r="BIW1" s="67"/>
      <c r="BIX1" s="67"/>
      <c r="BIY1" s="67"/>
      <c r="BIZ1" s="67"/>
      <c r="BJA1" s="67"/>
      <c r="BJB1" s="67"/>
      <c r="BJC1" s="67"/>
      <c r="BJD1" s="67"/>
      <c r="BJE1" s="67"/>
      <c r="BJF1" s="67"/>
      <c r="BJG1" s="67"/>
      <c r="BJH1" s="67"/>
      <c r="BJI1" s="67"/>
      <c r="BJJ1" s="67"/>
      <c r="BJK1" s="67"/>
      <c r="BJL1" s="67"/>
      <c r="BJM1" s="67"/>
      <c r="BJN1" s="67"/>
      <c r="BJO1" s="67"/>
      <c r="BJP1" s="67"/>
      <c r="BJQ1" s="67"/>
      <c r="BJR1" s="67">
        <f>BIV1+Parameters!$B$7</f>
        <v>857</v>
      </c>
      <c r="BJS1" s="67"/>
      <c r="BJT1" s="67"/>
      <c r="BJU1" s="67"/>
      <c r="BJV1" s="67"/>
      <c r="BJW1" s="67"/>
      <c r="BJX1" s="67"/>
      <c r="BJY1" s="67"/>
      <c r="BJZ1" s="67"/>
      <c r="BKA1" s="67"/>
      <c r="BKB1" s="67"/>
      <c r="BKC1" s="67"/>
      <c r="BKD1" s="67"/>
      <c r="BKE1" s="67"/>
      <c r="BKF1" s="67"/>
      <c r="BKG1" s="67"/>
      <c r="BKH1" s="67"/>
      <c r="BKI1" s="67"/>
      <c r="BKJ1" s="67"/>
      <c r="BKK1" s="67"/>
      <c r="BKL1" s="67"/>
      <c r="BKM1" s="67"/>
      <c r="BKN1" s="67">
        <f>BJR1+Parameters!$B$7</f>
        <v>865</v>
      </c>
      <c r="BKO1" s="67"/>
      <c r="BKP1" s="67"/>
      <c r="BKQ1" s="67"/>
      <c r="BKR1" s="67"/>
      <c r="BKS1" s="67"/>
      <c r="BKT1" s="67"/>
      <c r="BKU1" s="67"/>
      <c r="BKV1" s="67"/>
      <c r="BKW1" s="67"/>
      <c r="BKX1" s="67"/>
      <c r="BKY1" s="67"/>
      <c r="BKZ1" s="67"/>
      <c r="BLA1" s="67"/>
      <c r="BLB1" s="67"/>
      <c r="BLC1" s="67"/>
      <c r="BLD1" s="67"/>
      <c r="BLE1" s="67"/>
      <c r="BLF1" s="67"/>
      <c r="BLG1" s="67"/>
      <c r="BLH1" s="67"/>
      <c r="BLI1" s="67"/>
      <c r="BLJ1" s="67">
        <f>BKN1+Parameters!$B$7</f>
        <v>873</v>
      </c>
      <c r="BLK1" s="67"/>
      <c r="BLL1" s="67"/>
      <c r="BLM1" s="67"/>
      <c r="BLN1" s="67"/>
      <c r="BLO1" s="67"/>
      <c r="BLP1" s="67"/>
      <c r="BLQ1" s="67"/>
      <c r="BLR1" s="67"/>
      <c r="BLS1" s="67"/>
      <c r="BLT1" s="67"/>
      <c r="BLU1" s="67"/>
      <c r="BLV1" s="67"/>
      <c r="BLW1" s="67"/>
      <c r="BLX1" s="67"/>
      <c r="BLY1" s="67"/>
      <c r="BLZ1" s="67"/>
      <c r="BMA1" s="67"/>
      <c r="BMB1" s="67"/>
      <c r="BMC1" s="67"/>
      <c r="BMD1" s="67"/>
      <c r="BME1" s="67"/>
      <c r="BMF1" s="67">
        <f>BLJ1+Parameters!$B$7</f>
        <v>881</v>
      </c>
      <c r="BMG1" s="67"/>
      <c r="BMH1" s="67"/>
      <c r="BMI1" s="67"/>
      <c r="BMJ1" s="67"/>
      <c r="BMK1" s="67"/>
      <c r="BML1" s="67"/>
      <c r="BMM1" s="67"/>
      <c r="BMN1" s="67"/>
      <c r="BMO1" s="67"/>
      <c r="BMP1" s="67"/>
      <c r="BMQ1" s="67"/>
      <c r="BMR1" s="67"/>
      <c r="BMS1" s="67"/>
      <c r="BMT1" s="67"/>
      <c r="BMU1" s="67"/>
      <c r="BMV1" s="67"/>
      <c r="BMW1" s="67"/>
      <c r="BMX1" s="67"/>
      <c r="BMY1" s="67"/>
      <c r="BMZ1" s="67"/>
      <c r="BNA1" s="67"/>
      <c r="BNB1" s="67">
        <f>BMF1+Parameters!$B$7</f>
        <v>889</v>
      </c>
      <c r="BNC1" s="67"/>
      <c r="BND1" s="67"/>
      <c r="BNE1" s="67"/>
      <c r="BNF1" s="67"/>
      <c r="BNG1" s="67"/>
      <c r="BNH1" s="67"/>
      <c r="BNI1" s="67"/>
      <c r="BNJ1" s="67"/>
      <c r="BNK1" s="67"/>
      <c r="BNL1" s="67"/>
      <c r="BNM1" s="67"/>
      <c r="BNN1" s="67"/>
      <c r="BNO1" s="67"/>
      <c r="BNP1" s="67"/>
      <c r="BNQ1" s="67"/>
      <c r="BNR1" s="67"/>
      <c r="BNS1" s="67"/>
      <c r="BNT1" s="67"/>
      <c r="BNU1" s="67"/>
      <c r="BNV1" s="67"/>
      <c r="BNW1" s="67"/>
      <c r="BNX1" s="67">
        <f>BNB1+Parameters!$B$7</f>
        <v>897</v>
      </c>
      <c r="BNY1" s="67"/>
      <c r="BNZ1" s="67"/>
      <c r="BOA1" s="67"/>
      <c r="BOB1" s="67"/>
      <c r="BOC1" s="67"/>
      <c r="BOD1" s="67"/>
      <c r="BOE1" s="67"/>
      <c r="BOF1" s="67"/>
      <c r="BOG1" s="67"/>
      <c r="BOH1" s="67"/>
      <c r="BOI1" s="67"/>
      <c r="BOJ1" s="67"/>
      <c r="BOK1" s="67"/>
      <c r="BOL1" s="67"/>
      <c r="BOM1" s="67"/>
      <c r="BON1" s="67"/>
      <c r="BOO1" s="67"/>
      <c r="BOP1" s="67"/>
      <c r="BOQ1" s="67"/>
      <c r="BOR1" s="67"/>
      <c r="BOS1" s="67"/>
      <c r="BOT1" s="67">
        <f>BNX1+Parameters!$B$7</f>
        <v>905</v>
      </c>
      <c r="BOU1" s="67"/>
      <c r="BOV1" s="67"/>
      <c r="BOW1" s="67"/>
      <c r="BOX1" s="67"/>
      <c r="BOY1" s="67"/>
      <c r="BOZ1" s="67"/>
      <c r="BPA1" s="67"/>
      <c r="BPB1" s="67"/>
      <c r="BPC1" s="67"/>
      <c r="BPD1" s="67"/>
      <c r="BPE1" s="67"/>
      <c r="BPF1" s="67"/>
      <c r="BPG1" s="67"/>
      <c r="BPH1" s="67"/>
      <c r="BPI1" s="67"/>
      <c r="BPJ1" s="67"/>
      <c r="BPK1" s="67"/>
      <c r="BPL1" s="67"/>
      <c r="BPM1" s="67"/>
      <c r="BPN1" s="67"/>
      <c r="BPO1" s="67"/>
      <c r="BPP1" s="67">
        <f>BOT1+Parameters!$B$7</f>
        <v>913</v>
      </c>
      <c r="BPQ1" s="67"/>
      <c r="BPR1" s="67"/>
      <c r="BPS1" s="67"/>
      <c r="BPT1" s="67"/>
      <c r="BPU1" s="67"/>
      <c r="BPV1" s="67"/>
      <c r="BPW1" s="67"/>
      <c r="BPX1" s="67"/>
      <c r="BPY1" s="67"/>
      <c r="BPZ1" s="67"/>
      <c r="BQA1" s="67"/>
      <c r="BQB1" s="67"/>
      <c r="BQC1" s="67"/>
      <c r="BQD1" s="67"/>
      <c r="BQE1" s="67"/>
      <c r="BQF1" s="67"/>
      <c r="BQG1" s="67"/>
      <c r="BQH1" s="67"/>
      <c r="BQI1" s="67"/>
      <c r="BQJ1" s="67"/>
      <c r="BQK1" s="67"/>
      <c r="BQL1" s="67">
        <f>BPP1+Parameters!$B$7</f>
        <v>921</v>
      </c>
      <c r="BQM1" s="67"/>
      <c r="BQN1" s="67"/>
      <c r="BQO1" s="67"/>
      <c r="BQP1" s="67"/>
      <c r="BQQ1" s="67"/>
      <c r="BQR1" s="67"/>
      <c r="BQS1" s="67"/>
      <c r="BQT1" s="67"/>
      <c r="BQU1" s="67"/>
      <c r="BQV1" s="67"/>
      <c r="BQW1" s="67"/>
      <c r="BQX1" s="67"/>
      <c r="BQY1" s="67"/>
      <c r="BQZ1" s="67"/>
      <c r="BRA1" s="67"/>
      <c r="BRB1" s="67"/>
      <c r="BRC1" s="67"/>
      <c r="BRD1" s="67"/>
      <c r="BRE1" s="67"/>
      <c r="BRF1" s="67"/>
      <c r="BRG1" s="67"/>
      <c r="BRH1" s="67">
        <f>BQL1+Parameters!$B$7</f>
        <v>929</v>
      </c>
      <c r="BRI1" s="67"/>
      <c r="BRJ1" s="67"/>
      <c r="BRK1" s="67"/>
      <c r="BRL1" s="67"/>
      <c r="BRM1" s="67"/>
      <c r="BRN1" s="67"/>
      <c r="BRO1" s="67"/>
      <c r="BRP1" s="67"/>
      <c r="BRQ1" s="67"/>
      <c r="BRR1" s="67"/>
      <c r="BRS1" s="67"/>
      <c r="BRT1" s="67"/>
      <c r="BRU1" s="67"/>
      <c r="BRV1" s="67"/>
      <c r="BRW1" s="67"/>
      <c r="BRX1" s="67"/>
      <c r="BRY1" s="67"/>
      <c r="BRZ1" s="67"/>
      <c r="BSA1" s="67"/>
      <c r="BSB1" s="67"/>
      <c r="BSC1" s="67"/>
      <c r="BSD1" s="67">
        <f>BRH1+Parameters!$B$7</f>
        <v>937</v>
      </c>
      <c r="BSE1" s="67"/>
      <c r="BSF1" s="67"/>
      <c r="BSG1" s="67"/>
      <c r="BSH1" s="67"/>
      <c r="BSI1" s="67"/>
      <c r="BSJ1" s="67"/>
      <c r="BSK1" s="67"/>
      <c r="BSL1" s="67"/>
      <c r="BSM1" s="67"/>
      <c r="BSN1" s="67"/>
      <c r="BSO1" s="67"/>
      <c r="BSP1" s="67"/>
      <c r="BSQ1" s="67"/>
      <c r="BSR1" s="67"/>
      <c r="BSS1" s="67"/>
      <c r="BST1" s="67"/>
      <c r="BSU1" s="67"/>
      <c r="BSV1" s="67"/>
      <c r="BSW1" s="67"/>
      <c r="BSX1" s="67"/>
      <c r="BSY1" s="67"/>
      <c r="BSZ1" s="67">
        <f>BSD1+Parameters!$B$7</f>
        <v>945</v>
      </c>
      <c r="BTA1" s="67"/>
      <c r="BTB1" s="67"/>
      <c r="BTC1" s="67"/>
      <c r="BTD1" s="67"/>
      <c r="BTE1" s="67"/>
      <c r="BTF1" s="67"/>
      <c r="BTG1" s="67"/>
      <c r="BTH1" s="67"/>
      <c r="BTI1" s="67"/>
      <c r="BTJ1" s="67"/>
      <c r="BTK1" s="67"/>
      <c r="BTL1" s="67"/>
      <c r="BTM1" s="67"/>
      <c r="BTN1" s="67"/>
      <c r="BTO1" s="67"/>
      <c r="BTP1" s="67"/>
      <c r="BTQ1" s="67"/>
      <c r="BTR1" s="67"/>
      <c r="BTS1" s="67"/>
      <c r="BTT1" s="67"/>
      <c r="BTU1" s="67"/>
      <c r="BTV1" s="67">
        <f>BSZ1+Parameters!$B$7</f>
        <v>953</v>
      </c>
      <c r="BTW1" s="67"/>
      <c r="BTX1" s="67"/>
      <c r="BTY1" s="67"/>
      <c r="BTZ1" s="67"/>
      <c r="BUA1" s="67"/>
      <c r="BUB1" s="67"/>
      <c r="BUC1" s="67"/>
      <c r="BUD1" s="67"/>
      <c r="BUE1" s="67"/>
      <c r="BUF1" s="67"/>
      <c r="BUG1" s="67"/>
      <c r="BUH1" s="67"/>
      <c r="BUI1" s="67"/>
      <c r="BUJ1" s="67"/>
      <c r="BUK1" s="67"/>
      <c r="BUL1" s="67"/>
      <c r="BUM1" s="67"/>
      <c r="BUN1" s="67"/>
      <c r="BUO1" s="67"/>
      <c r="BUP1" s="67"/>
      <c r="BUQ1" s="67"/>
      <c r="BUR1" s="67">
        <f>BTV1+Parameters!$B$7</f>
        <v>961</v>
      </c>
      <c r="BUS1" s="67"/>
      <c r="BUT1" s="67"/>
      <c r="BUU1" s="67"/>
      <c r="BUV1" s="67"/>
      <c r="BUW1" s="67"/>
      <c r="BUX1" s="67"/>
      <c r="BUY1" s="67"/>
      <c r="BUZ1" s="67"/>
      <c r="BVA1" s="67"/>
      <c r="BVB1" s="67"/>
      <c r="BVC1" s="67"/>
      <c r="BVD1" s="67"/>
      <c r="BVE1" s="67"/>
      <c r="BVF1" s="67"/>
      <c r="BVG1" s="67"/>
      <c r="BVH1" s="67"/>
      <c r="BVI1" s="67"/>
      <c r="BVJ1" s="67"/>
      <c r="BVK1" s="67"/>
      <c r="BVL1" s="67"/>
      <c r="BVM1" s="67"/>
      <c r="BVN1" s="67">
        <f>BUR1+Parameters!$B$7</f>
        <v>969</v>
      </c>
      <c r="BVO1" s="67"/>
      <c r="BVP1" s="67"/>
      <c r="BVQ1" s="67"/>
      <c r="BVR1" s="67"/>
      <c r="BVS1" s="67"/>
      <c r="BVT1" s="67"/>
      <c r="BVU1" s="67"/>
      <c r="BVV1" s="67"/>
      <c r="BVW1" s="67"/>
      <c r="BVX1" s="67"/>
      <c r="BVY1" s="67"/>
      <c r="BVZ1" s="67"/>
      <c r="BWA1" s="67"/>
      <c r="BWB1" s="67"/>
      <c r="BWC1" s="67"/>
      <c r="BWD1" s="67"/>
      <c r="BWE1" s="67"/>
      <c r="BWF1" s="67"/>
      <c r="BWG1" s="67"/>
      <c r="BWH1" s="67"/>
      <c r="BWI1" s="67"/>
      <c r="BWJ1" s="67">
        <f>BVN1+Parameters!$B$7</f>
        <v>977</v>
      </c>
      <c r="BWK1" s="67"/>
      <c r="BWL1" s="67"/>
      <c r="BWM1" s="67"/>
      <c r="BWN1" s="67"/>
      <c r="BWO1" s="67"/>
      <c r="BWP1" s="67"/>
      <c r="BWQ1" s="67"/>
      <c r="BWR1" s="67"/>
      <c r="BWS1" s="67"/>
      <c r="BWT1" s="67"/>
      <c r="BWU1" s="67"/>
      <c r="BWV1" s="67"/>
      <c r="BWW1" s="67"/>
      <c r="BWX1" s="67"/>
      <c r="BWY1" s="67"/>
      <c r="BWZ1" s="67"/>
      <c r="BXA1" s="67"/>
      <c r="BXB1" s="67"/>
      <c r="BXC1" s="67"/>
      <c r="BXD1" s="67"/>
      <c r="BXE1" s="67"/>
      <c r="BXF1" s="67">
        <f>BWJ1+Parameters!$B$7</f>
        <v>985</v>
      </c>
      <c r="BXG1" s="67"/>
      <c r="BXH1" s="67"/>
      <c r="BXI1" s="67"/>
      <c r="BXJ1" s="67"/>
      <c r="BXK1" s="67"/>
      <c r="BXL1" s="67"/>
      <c r="BXM1" s="67"/>
      <c r="BXN1" s="67"/>
      <c r="BXO1" s="67"/>
      <c r="BXP1" s="67"/>
      <c r="BXQ1" s="67"/>
      <c r="BXR1" s="67"/>
      <c r="BXS1" s="67"/>
      <c r="BXT1" s="67"/>
      <c r="BXU1" s="67"/>
      <c r="BXV1" s="67"/>
      <c r="BXW1" s="67"/>
      <c r="BXX1" s="67"/>
      <c r="BXY1" s="67"/>
      <c r="BXZ1" s="67"/>
      <c r="BYA1" s="67"/>
      <c r="BYB1" s="67">
        <f>BXF1+Parameters!$B$7</f>
        <v>993</v>
      </c>
      <c r="BYC1" s="67"/>
      <c r="BYD1" s="67"/>
      <c r="BYE1" s="67"/>
      <c r="BYF1" s="67"/>
      <c r="BYG1" s="67"/>
      <c r="BYH1" s="67"/>
      <c r="BYI1" s="67"/>
      <c r="BYJ1" s="67"/>
      <c r="BYK1" s="67"/>
      <c r="BYL1" s="67"/>
      <c r="BYM1" s="67"/>
      <c r="BYN1" s="67"/>
      <c r="BYO1" s="67"/>
      <c r="BYP1" s="67"/>
      <c r="BYQ1" s="67"/>
      <c r="BYR1" s="67"/>
      <c r="BYS1" s="67"/>
      <c r="BYT1" s="67"/>
      <c r="BYU1" s="67"/>
      <c r="BYV1" s="67"/>
      <c r="BYW1" s="67"/>
      <c r="BYX1" s="67">
        <f>BYB1+Parameters!$B$7</f>
        <v>1001</v>
      </c>
      <c r="BYY1" s="67"/>
      <c r="BYZ1" s="67"/>
      <c r="BZA1" s="67"/>
      <c r="BZB1" s="67"/>
      <c r="BZC1" s="67"/>
      <c r="BZD1" s="67"/>
      <c r="BZE1" s="67"/>
      <c r="BZF1" s="67"/>
      <c r="BZG1" s="67"/>
      <c r="BZH1" s="67"/>
      <c r="BZI1" s="67"/>
      <c r="BZJ1" s="67"/>
      <c r="BZK1" s="67"/>
      <c r="BZL1" s="67"/>
      <c r="BZM1" s="67"/>
      <c r="BZN1" s="67"/>
      <c r="BZO1" s="67"/>
      <c r="BZP1" s="67"/>
      <c r="BZQ1" s="67"/>
      <c r="BZR1" s="67"/>
      <c r="BZS1" s="67"/>
      <c r="BZT1" s="67">
        <f>BYX1+Parameters!$B$7</f>
        <v>1009</v>
      </c>
      <c r="BZU1" s="67"/>
      <c r="BZV1" s="67"/>
      <c r="BZW1" s="67"/>
      <c r="BZX1" s="67"/>
      <c r="BZY1" s="67"/>
      <c r="BZZ1" s="67"/>
      <c r="CAA1" s="67"/>
      <c r="CAB1" s="67"/>
      <c r="CAC1" s="67"/>
      <c r="CAD1" s="67"/>
      <c r="CAE1" s="67"/>
      <c r="CAF1" s="67"/>
      <c r="CAG1" s="67"/>
      <c r="CAH1" s="67"/>
      <c r="CAI1" s="67"/>
      <c r="CAJ1" s="67"/>
      <c r="CAK1" s="67"/>
      <c r="CAL1" s="67"/>
      <c r="CAM1" s="67"/>
      <c r="CAN1" s="67"/>
      <c r="CAO1" s="67"/>
      <c r="CAP1" s="67">
        <f>BZT1+Parameters!$B$7</f>
        <v>1017</v>
      </c>
      <c r="CAQ1" s="67"/>
      <c r="CAR1" s="67"/>
      <c r="CAS1" s="67"/>
      <c r="CAT1" s="67"/>
      <c r="CAU1" s="67"/>
      <c r="CAV1" s="67"/>
      <c r="CAW1" s="67"/>
      <c r="CAX1" s="67"/>
      <c r="CAY1" s="67"/>
      <c r="CAZ1" s="67"/>
      <c r="CBA1" s="67"/>
      <c r="CBB1" s="67"/>
      <c r="CBC1" s="67"/>
      <c r="CBD1" s="67"/>
      <c r="CBE1" s="67"/>
      <c r="CBF1" s="67"/>
      <c r="CBG1" s="67"/>
      <c r="CBH1" s="67"/>
      <c r="CBI1" s="67"/>
      <c r="CBJ1" s="67"/>
      <c r="CBK1" s="67"/>
      <c r="CBL1" s="67">
        <f>CAP1+Parameters!$B$7</f>
        <v>1025</v>
      </c>
      <c r="CBM1" s="67"/>
      <c r="CBN1" s="67"/>
      <c r="CBO1" s="67"/>
      <c r="CBP1" s="67"/>
      <c r="CBQ1" s="67"/>
      <c r="CBR1" s="67"/>
      <c r="CBS1" s="67"/>
      <c r="CBT1" s="67"/>
      <c r="CBU1" s="67"/>
      <c r="CBV1" s="67"/>
      <c r="CBW1" s="67"/>
      <c r="CBX1" s="67"/>
      <c r="CBY1" s="67"/>
      <c r="CBZ1" s="67"/>
      <c r="CCA1" s="67"/>
      <c r="CCB1" s="67"/>
      <c r="CCC1" s="67"/>
      <c r="CCD1" s="67"/>
      <c r="CCE1" s="67"/>
      <c r="CCF1" s="67"/>
      <c r="CCG1" s="67"/>
      <c r="CCH1" s="67">
        <f>CBL1+Parameters!$B$7</f>
        <v>1033</v>
      </c>
      <c r="CCI1" s="67"/>
      <c r="CCJ1" s="67"/>
      <c r="CCK1" s="67"/>
      <c r="CCL1" s="67"/>
      <c r="CCM1" s="67"/>
      <c r="CCN1" s="67"/>
      <c r="CCO1" s="67"/>
      <c r="CCP1" s="67"/>
      <c r="CCQ1" s="67"/>
      <c r="CCR1" s="67"/>
      <c r="CCS1" s="67"/>
      <c r="CCT1" s="67"/>
      <c r="CCU1" s="67"/>
      <c r="CCV1" s="67"/>
      <c r="CCW1" s="67"/>
      <c r="CCX1" s="67"/>
      <c r="CCY1" s="67"/>
      <c r="CCZ1" s="67"/>
      <c r="CDA1" s="67"/>
      <c r="CDB1" s="67"/>
      <c r="CDC1" s="67"/>
      <c r="CDD1" s="67">
        <f>CCH1+Parameters!$B$7</f>
        <v>1041</v>
      </c>
      <c r="CDE1" s="67"/>
      <c r="CDF1" s="67"/>
      <c r="CDG1" s="67"/>
      <c r="CDH1" s="67"/>
      <c r="CDI1" s="67"/>
      <c r="CDJ1" s="67"/>
      <c r="CDK1" s="67"/>
      <c r="CDL1" s="67"/>
      <c r="CDM1" s="67"/>
      <c r="CDN1" s="67"/>
      <c r="CDO1" s="67"/>
      <c r="CDP1" s="67"/>
      <c r="CDQ1" s="67"/>
      <c r="CDR1" s="67"/>
      <c r="CDS1" s="67"/>
      <c r="CDT1" s="67"/>
      <c r="CDU1" s="67"/>
      <c r="CDV1" s="67"/>
      <c r="CDW1" s="67"/>
      <c r="CDX1" s="67"/>
      <c r="CDY1" s="67"/>
      <c r="CDZ1" s="67">
        <f>CDD1+Parameters!$B$7</f>
        <v>1049</v>
      </c>
      <c r="CEA1" s="67"/>
      <c r="CEB1" s="67"/>
      <c r="CEC1" s="67"/>
      <c r="CED1" s="67"/>
      <c r="CEE1" s="67"/>
      <c r="CEF1" s="67"/>
      <c r="CEG1" s="67"/>
      <c r="CEH1" s="67"/>
      <c r="CEI1" s="67"/>
      <c r="CEJ1" s="67"/>
      <c r="CEK1" s="67"/>
      <c r="CEL1" s="67"/>
      <c r="CEM1" s="67"/>
      <c r="CEN1" s="67"/>
      <c r="CEO1" s="67"/>
      <c r="CEP1" s="67"/>
      <c r="CEQ1" s="67"/>
      <c r="CER1" s="67"/>
      <c r="CES1" s="67"/>
      <c r="CET1" s="67"/>
      <c r="CEU1" s="67"/>
      <c r="CEV1" s="67">
        <f>CDZ1+Parameters!$B$7</f>
        <v>1057</v>
      </c>
      <c r="CEW1" s="67"/>
      <c r="CEX1" s="67"/>
      <c r="CEY1" s="67"/>
      <c r="CEZ1" s="67"/>
      <c r="CFA1" s="67"/>
      <c r="CFB1" s="67"/>
      <c r="CFC1" s="67"/>
      <c r="CFD1" s="67"/>
      <c r="CFE1" s="67"/>
      <c r="CFF1" s="67"/>
      <c r="CFG1" s="67"/>
      <c r="CFH1" s="67"/>
      <c r="CFI1" s="67"/>
      <c r="CFJ1" s="67"/>
      <c r="CFK1" s="67"/>
      <c r="CFL1" s="67"/>
      <c r="CFM1" s="67"/>
      <c r="CFN1" s="67"/>
      <c r="CFO1" s="67"/>
      <c r="CFP1" s="67"/>
      <c r="CFQ1" s="67"/>
      <c r="CFR1" s="67">
        <f>CEV1+Parameters!$B$7</f>
        <v>1065</v>
      </c>
      <c r="CFS1" s="67"/>
      <c r="CFT1" s="67"/>
      <c r="CFU1" s="67"/>
      <c r="CFV1" s="67"/>
      <c r="CFW1" s="67"/>
      <c r="CFX1" s="67"/>
      <c r="CFY1" s="67"/>
      <c r="CFZ1" s="67"/>
      <c r="CGA1" s="67"/>
      <c r="CGB1" s="67"/>
      <c r="CGC1" s="67"/>
      <c r="CGD1" s="67"/>
      <c r="CGE1" s="67"/>
      <c r="CGF1" s="67"/>
      <c r="CGG1" s="67"/>
      <c r="CGH1" s="67"/>
      <c r="CGI1" s="67"/>
      <c r="CGJ1" s="67"/>
      <c r="CGK1" s="67"/>
      <c r="CGL1" s="67"/>
      <c r="CGM1" s="67"/>
      <c r="CGN1" s="67">
        <f>CFR1+Parameters!$B$7</f>
        <v>1073</v>
      </c>
      <c r="CGO1" s="67"/>
      <c r="CGP1" s="67"/>
      <c r="CGQ1" s="67"/>
      <c r="CGR1" s="67"/>
      <c r="CGS1" s="67"/>
      <c r="CGT1" s="67"/>
      <c r="CGU1" s="67"/>
      <c r="CGV1" s="67"/>
      <c r="CGW1" s="67"/>
      <c r="CGX1" s="67"/>
      <c r="CGY1" s="67"/>
      <c r="CGZ1" s="67"/>
      <c r="CHA1" s="67"/>
      <c r="CHB1" s="67"/>
      <c r="CHC1" s="67"/>
      <c r="CHD1" s="67"/>
      <c r="CHE1" s="67"/>
      <c r="CHF1" s="67"/>
      <c r="CHG1" s="67"/>
      <c r="CHH1" s="67"/>
      <c r="CHI1" s="67"/>
      <c r="CHJ1" s="67">
        <f>CGN1+Parameters!$B$7</f>
        <v>1081</v>
      </c>
      <c r="CHK1" s="67"/>
      <c r="CHL1" s="67"/>
      <c r="CHM1" s="67"/>
      <c r="CHN1" s="67"/>
      <c r="CHO1" s="67"/>
      <c r="CHP1" s="67"/>
      <c r="CHQ1" s="67"/>
      <c r="CHR1" s="67"/>
      <c r="CHS1" s="67"/>
      <c r="CHT1" s="67"/>
      <c r="CHU1" s="67"/>
      <c r="CHV1" s="67"/>
      <c r="CHW1" s="67"/>
      <c r="CHX1" s="67"/>
      <c r="CHY1" s="67"/>
      <c r="CHZ1" s="67"/>
      <c r="CIA1" s="67"/>
      <c r="CIB1" s="67"/>
      <c r="CIC1" s="67"/>
      <c r="CID1" s="67"/>
      <c r="CIE1" s="67"/>
      <c r="CIF1" s="67">
        <f>CHJ1+Parameters!$B$7</f>
        <v>1089</v>
      </c>
      <c r="CIG1" s="67"/>
      <c r="CIH1" s="67"/>
      <c r="CII1" s="67"/>
      <c r="CIJ1" s="67"/>
      <c r="CIK1" s="67"/>
      <c r="CIL1" s="67"/>
      <c r="CIM1" s="67"/>
      <c r="CIN1" s="67"/>
      <c r="CIO1" s="67"/>
      <c r="CIP1" s="67"/>
      <c r="CIQ1" s="67"/>
      <c r="CIR1" s="67"/>
      <c r="CIS1" s="67"/>
      <c r="CIT1" s="67"/>
      <c r="CIU1" s="67"/>
      <c r="CIV1" s="67"/>
      <c r="CIW1" s="67"/>
      <c r="CIX1" s="67"/>
      <c r="CIY1" s="67"/>
      <c r="CIZ1" s="67"/>
      <c r="CJA1" s="67"/>
      <c r="CJB1" s="67">
        <f>CIF1+Parameters!$B$7</f>
        <v>1097</v>
      </c>
      <c r="CJC1" s="67"/>
      <c r="CJD1" s="67"/>
      <c r="CJE1" s="67"/>
      <c r="CJF1" s="67"/>
      <c r="CJG1" s="67"/>
      <c r="CJH1" s="67"/>
      <c r="CJI1" s="67"/>
      <c r="CJJ1" s="67"/>
      <c r="CJK1" s="67"/>
      <c r="CJL1" s="67"/>
      <c r="CJM1" s="67"/>
      <c r="CJN1" s="67"/>
      <c r="CJO1" s="67"/>
      <c r="CJP1" s="67"/>
      <c r="CJQ1" s="67"/>
      <c r="CJR1" s="67"/>
      <c r="CJS1" s="67"/>
      <c r="CJT1" s="67"/>
      <c r="CJU1" s="67"/>
      <c r="CJV1" s="67"/>
      <c r="CJW1" s="67"/>
      <c r="CJX1" s="67">
        <f>CJB1+Parameters!$B$7</f>
        <v>1105</v>
      </c>
      <c r="CJY1" s="67"/>
      <c r="CJZ1" s="67"/>
      <c r="CKA1" s="67"/>
      <c r="CKB1" s="67"/>
      <c r="CKC1" s="67"/>
      <c r="CKD1" s="67"/>
      <c r="CKE1" s="67"/>
      <c r="CKF1" s="67"/>
      <c r="CKG1" s="67"/>
      <c r="CKH1" s="67"/>
      <c r="CKI1" s="67"/>
      <c r="CKJ1" s="67"/>
      <c r="CKK1" s="67"/>
      <c r="CKL1" s="67"/>
      <c r="CKM1" s="67"/>
      <c r="CKN1" s="67"/>
      <c r="CKO1" s="67"/>
      <c r="CKP1" s="67"/>
      <c r="CKQ1" s="67"/>
      <c r="CKR1" s="67"/>
      <c r="CKS1" s="67"/>
      <c r="CKT1" s="67">
        <f>CJX1+Parameters!$B$7</f>
        <v>1113</v>
      </c>
      <c r="CKU1" s="67"/>
      <c r="CKV1" s="67"/>
      <c r="CKW1" s="67"/>
      <c r="CKX1" s="67"/>
      <c r="CKY1" s="67"/>
      <c r="CKZ1" s="67"/>
      <c r="CLA1" s="67"/>
      <c r="CLB1" s="67"/>
      <c r="CLC1" s="67"/>
      <c r="CLD1" s="67"/>
      <c r="CLE1" s="67"/>
      <c r="CLF1" s="67"/>
      <c r="CLG1" s="67"/>
      <c r="CLH1" s="67"/>
      <c r="CLI1" s="67"/>
      <c r="CLJ1" s="67"/>
      <c r="CLK1" s="67"/>
      <c r="CLL1" s="67"/>
      <c r="CLM1" s="67"/>
      <c r="CLN1" s="67"/>
      <c r="CLO1" s="67"/>
      <c r="CLP1" s="67">
        <f>CKT1+Parameters!$B$7</f>
        <v>1121</v>
      </c>
      <c r="CLQ1" s="67"/>
      <c r="CLR1" s="67"/>
      <c r="CLS1" s="67"/>
      <c r="CLT1" s="67"/>
      <c r="CLU1" s="67"/>
      <c r="CLV1" s="67"/>
      <c r="CLW1" s="67"/>
      <c r="CLX1" s="67"/>
      <c r="CLY1" s="67"/>
      <c r="CLZ1" s="67"/>
      <c r="CMA1" s="67"/>
      <c r="CMB1" s="67"/>
      <c r="CMC1" s="67"/>
      <c r="CMD1" s="67"/>
      <c r="CME1" s="67"/>
      <c r="CMF1" s="67"/>
      <c r="CMG1" s="67"/>
      <c r="CMH1" s="67"/>
      <c r="CMI1" s="67"/>
      <c r="CMJ1" s="67"/>
      <c r="CMK1" s="67"/>
      <c r="CML1" s="67">
        <f>CLP1+Parameters!$B$7</f>
        <v>1129</v>
      </c>
      <c r="CMM1" s="67"/>
      <c r="CMN1" s="67"/>
      <c r="CMO1" s="67"/>
      <c r="CMP1" s="67"/>
      <c r="CMQ1" s="67"/>
      <c r="CMR1" s="67"/>
      <c r="CMS1" s="67"/>
      <c r="CMT1" s="67"/>
      <c r="CMU1" s="67"/>
      <c r="CMV1" s="67"/>
      <c r="CMW1" s="67"/>
      <c r="CMX1" s="67"/>
      <c r="CMY1" s="67"/>
      <c r="CMZ1" s="67"/>
      <c r="CNA1" s="67"/>
      <c r="CNB1" s="67"/>
      <c r="CNC1" s="67"/>
      <c r="CND1" s="67"/>
      <c r="CNE1" s="67"/>
      <c r="CNF1" s="67"/>
      <c r="CNG1" s="67"/>
      <c r="CNH1" s="67">
        <f>CML1+Parameters!$B$7</f>
        <v>1137</v>
      </c>
      <c r="CNI1" s="67"/>
      <c r="CNJ1" s="67"/>
      <c r="CNK1" s="67"/>
      <c r="CNL1" s="67"/>
      <c r="CNM1" s="67"/>
      <c r="CNN1" s="67"/>
      <c r="CNO1" s="67"/>
      <c r="CNP1" s="67"/>
      <c r="CNQ1" s="67"/>
      <c r="CNR1" s="67"/>
      <c r="CNS1" s="67"/>
      <c r="CNT1" s="67"/>
      <c r="CNU1" s="67"/>
      <c r="CNV1" s="67"/>
      <c r="CNW1" s="67"/>
      <c r="CNX1" s="67"/>
      <c r="CNY1" s="67"/>
      <c r="CNZ1" s="67"/>
      <c r="COA1" s="67"/>
      <c r="COB1" s="67"/>
      <c r="COC1" s="67"/>
      <c r="COD1" s="67">
        <f>CNH1+Parameters!$B$7</f>
        <v>1145</v>
      </c>
      <c r="COE1" s="67"/>
      <c r="COF1" s="67"/>
      <c r="COG1" s="67"/>
      <c r="COH1" s="67"/>
      <c r="COI1" s="67"/>
      <c r="COJ1" s="67"/>
      <c r="COK1" s="67"/>
      <c r="COL1" s="67"/>
      <c r="COM1" s="67"/>
      <c r="CON1" s="67"/>
      <c r="COO1" s="67"/>
      <c r="COP1" s="67"/>
      <c r="COQ1" s="67"/>
      <c r="COR1" s="67"/>
      <c r="COS1" s="67"/>
      <c r="COT1" s="67"/>
      <c r="COU1" s="67"/>
      <c r="COV1" s="67"/>
      <c r="COW1" s="67"/>
      <c r="COX1" s="67"/>
      <c r="COY1" s="67"/>
      <c r="COZ1" s="67">
        <f>COD1+Parameters!$B$7</f>
        <v>1153</v>
      </c>
      <c r="CPA1" s="67"/>
      <c r="CPB1" s="67"/>
      <c r="CPC1" s="67"/>
      <c r="CPD1" s="67"/>
      <c r="CPE1" s="67"/>
      <c r="CPF1" s="67"/>
      <c r="CPG1" s="67"/>
      <c r="CPH1" s="67"/>
      <c r="CPI1" s="67"/>
      <c r="CPJ1" s="67"/>
      <c r="CPK1" s="67"/>
      <c r="CPL1" s="67"/>
      <c r="CPM1" s="67"/>
      <c r="CPN1" s="67"/>
      <c r="CPO1" s="67"/>
      <c r="CPP1" s="67"/>
      <c r="CPQ1" s="67"/>
      <c r="CPR1" s="67"/>
      <c r="CPS1" s="67"/>
      <c r="CPT1" s="67"/>
      <c r="CPU1" s="67"/>
      <c r="CPV1" s="67">
        <f>COZ1+Parameters!$B$7</f>
        <v>1161</v>
      </c>
      <c r="CPW1" s="67"/>
      <c r="CPX1" s="67"/>
      <c r="CPY1" s="67"/>
      <c r="CPZ1" s="67"/>
      <c r="CQA1" s="67"/>
      <c r="CQB1" s="67"/>
      <c r="CQC1" s="67"/>
      <c r="CQD1" s="67"/>
      <c r="CQE1" s="67"/>
      <c r="CQF1" s="67"/>
      <c r="CQG1" s="67"/>
      <c r="CQH1" s="67"/>
      <c r="CQI1" s="67"/>
      <c r="CQJ1" s="67"/>
      <c r="CQK1" s="67"/>
      <c r="CQL1" s="67"/>
      <c r="CQM1" s="67"/>
      <c r="CQN1" s="67"/>
      <c r="CQO1" s="67"/>
      <c r="CQP1" s="67"/>
      <c r="CQQ1" s="67"/>
      <c r="CQR1" s="67">
        <f>CPV1+Parameters!$B$7</f>
        <v>1169</v>
      </c>
      <c r="CQS1" s="67"/>
      <c r="CQT1" s="67"/>
      <c r="CQU1" s="67"/>
      <c r="CQV1" s="67"/>
      <c r="CQW1" s="67"/>
      <c r="CQX1" s="67"/>
      <c r="CQY1" s="67"/>
      <c r="CQZ1" s="67"/>
      <c r="CRA1" s="67"/>
      <c r="CRB1" s="67"/>
      <c r="CRC1" s="67"/>
      <c r="CRD1" s="67"/>
      <c r="CRE1" s="67"/>
      <c r="CRF1" s="67"/>
      <c r="CRG1" s="67"/>
      <c r="CRH1" s="67"/>
      <c r="CRI1" s="67"/>
      <c r="CRJ1" s="67"/>
      <c r="CRK1" s="67"/>
      <c r="CRL1" s="67"/>
      <c r="CRM1" s="67"/>
      <c r="CRN1" s="67">
        <f>CQR1+Parameters!$B$7</f>
        <v>1177</v>
      </c>
      <c r="CRO1" s="67"/>
      <c r="CRP1" s="67"/>
      <c r="CRQ1" s="67"/>
      <c r="CRR1" s="67"/>
      <c r="CRS1" s="67"/>
      <c r="CRT1" s="67"/>
      <c r="CRU1" s="67"/>
      <c r="CRV1" s="67"/>
      <c r="CRW1" s="67"/>
      <c r="CRX1" s="67"/>
      <c r="CRY1" s="67"/>
      <c r="CRZ1" s="67"/>
      <c r="CSA1" s="67"/>
      <c r="CSB1" s="67"/>
      <c r="CSC1" s="67"/>
      <c r="CSD1" s="67"/>
      <c r="CSE1" s="67"/>
      <c r="CSF1" s="67"/>
      <c r="CSG1" s="67"/>
      <c r="CSH1" s="67"/>
      <c r="CSI1" s="67"/>
      <c r="CSJ1" s="67">
        <f>CRN1+Parameters!$B$7</f>
        <v>1185</v>
      </c>
      <c r="CSK1" s="67"/>
      <c r="CSL1" s="67"/>
      <c r="CSM1" s="67"/>
      <c r="CSN1" s="67"/>
      <c r="CSO1" s="67"/>
      <c r="CSP1" s="67"/>
      <c r="CSQ1" s="67"/>
      <c r="CSR1" s="67"/>
      <c r="CSS1" s="67"/>
      <c r="CST1" s="67"/>
      <c r="CSU1" s="67"/>
      <c r="CSV1" s="67"/>
      <c r="CSW1" s="67"/>
      <c r="CSX1" s="67"/>
      <c r="CSY1" s="67"/>
      <c r="CSZ1" s="67"/>
      <c r="CTA1" s="67"/>
      <c r="CTB1" s="67"/>
      <c r="CTC1" s="67"/>
      <c r="CTD1" s="67"/>
      <c r="CTE1" s="67"/>
      <c r="CTF1" s="67">
        <f>CSJ1+Parameters!$B$7</f>
        <v>1193</v>
      </c>
      <c r="CTG1" s="67"/>
      <c r="CTH1" s="67"/>
      <c r="CTI1" s="67"/>
      <c r="CTJ1" s="67"/>
      <c r="CTK1" s="67"/>
      <c r="CTL1" s="67"/>
      <c r="CTM1" s="67"/>
      <c r="CTN1" s="67"/>
      <c r="CTO1" s="67"/>
      <c r="CTP1" s="67"/>
      <c r="CTQ1" s="67"/>
      <c r="CTR1" s="67"/>
      <c r="CTS1" s="67"/>
      <c r="CTT1" s="67"/>
      <c r="CTU1" s="67"/>
      <c r="CTV1" s="67"/>
      <c r="CTW1" s="67"/>
      <c r="CTX1" s="67"/>
      <c r="CTY1" s="67"/>
      <c r="CTZ1" s="67"/>
      <c r="CUA1" s="67"/>
      <c r="CUB1" s="67">
        <f>CTF1+Parameters!$B$7</f>
        <v>1201</v>
      </c>
      <c r="CUC1" s="67"/>
      <c r="CUD1" s="67"/>
      <c r="CUE1" s="67"/>
      <c r="CUF1" s="67"/>
      <c r="CUG1" s="67"/>
      <c r="CUH1" s="67"/>
      <c r="CUI1" s="67"/>
      <c r="CUJ1" s="67"/>
      <c r="CUK1" s="67"/>
      <c r="CUL1" s="67"/>
      <c r="CUM1" s="67"/>
      <c r="CUN1" s="67"/>
      <c r="CUO1" s="67"/>
      <c r="CUP1" s="67"/>
      <c r="CUQ1" s="67"/>
      <c r="CUR1" s="67"/>
      <c r="CUS1" s="67"/>
      <c r="CUT1" s="67"/>
      <c r="CUU1" s="67"/>
      <c r="CUV1" s="67"/>
      <c r="CUW1" s="67"/>
      <c r="CUX1" s="67">
        <f>CUB1+Parameters!$B$7</f>
        <v>1209</v>
      </c>
      <c r="CUY1" s="67"/>
      <c r="CUZ1" s="67"/>
      <c r="CVA1" s="67"/>
      <c r="CVB1" s="67"/>
      <c r="CVC1" s="67"/>
      <c r="CVD1" s="67"/>
      <c r="CVE1" s="67"/>
      <c r="CVF1" s="67"/>
      <c r="CVG1" s="67"/>
      <c r="CVH1" s="67"/>
      <c r="CVI1" s="67"/>
      <c r="CVJ1" s="67"/>
      <c r="CVK1" s="67"/>
      <c r="CVL1" s="67"/>
      <c r="CVM1" s="67"/>
      <c r="CVN1" s="67"/>
      <c r="CVO1" s="67"/>
      <c r="CVP1" s="67"/>
      <c r="CVQ1" s="67"/>
      <c r="CVR1" s="67"/>
      <c r="CVS1" s="67"/>
      <c r="CVT1" s="67">
        <f>CUX1+Parameters!$B$7</f>
        <v>1217</v>
      </c>
      <c r="CVU1" s="67"/>
      <c r="CVV1" s="67"/>
      <c r="CVW1" s="67"/>
      <c r="CVX1" s="67"/>
      <c r="CVY1" s="67"/>
      <c r="CVZ1" s="67"/>
      <c r="CWA1" s="67"/>
      <c r="CWB1" s="67"/>
      <c r="CWC1" s="67"/>
      <c r="CWD1" s="67"/>
      <c r="CWE1" s="67"/>
      <c r="CWF1" s="67"/>
      <c r="CWG1" s="67"/>
      <c r="CWH1" s="67"/>
      <c r="CWI1" s="67"/>
      <c r="CWJ1" s="67"/>
      <c r="CWK1" s="67"/>
      <c r="CWL1" s="67"/>
      <c r="CWM1" s="67"/>
      <c r="CWN1" s="67"/>
      <c r="CWO1" s="67"/>
      <c r="CWP1" s="67">
        <f>CVT1+Parameters!$B$7</f>
        <v>1225</v>
      </c>
      <c r="CWQ1" s="67"/>
      <c r="CWR1" s="67"/>
      <c r="CWS1" s="67"/>
      <c r="CWT1" s="67"/>
      <c r="CWU1" s="67"/>
      <c r="CWV1" s="67"/>
      <c r="CWW1" s="67"/>
      <c r="CWX1" s="67"/>
      <c r="CWY1" s="67"/>
      <c r="CWZ1" s="67"/>
      <c r="CXA1" s="67"/>
      <c r="CXB1" s="67"/>
      <c r="CXC1" s="67"/>
      <c r="CXD1" s="67"/>
      <c r="CXE1" s="67"/>
      <c r="CXF1" s="67"/>
      <c r="CXG1" s="67"/>
      <c r="CXH1" s="67"/>
      <c r="CXI1" s="67"/>
      <c r="CXJ1" s="67"/>
      <c r="CXK1" s="67"/>
      <c r="CXL1" s="67">
        <f>CWP1+Parameters!$B$7</f>
        <v>1233</v>
      </c>
      <c r="CXM1" s="67"/>
      <c r="CXN1" s="67"/>
      <c r="CXO1" s="67"/>
      <c r="CXP1" s="67"/>
      <c r="CXQ1" s="67"/>
      <c r="CXR1" s="67"/>
      <c r="CXS1" s="67"/>
      <c r="CXT1" s="67"/>
      <c r="CXU1" s="67"/>
      <c r="CXV1" s="67"/>
      <c r="CXW1" s="67"/>
      <c r="CXX1" s="67"/>
      <c r="CXY1" s="67"/>
      <c r="CXZ1" s="67"/>
      <c r="CYA1" s="67"/>
      <c r="CYB1" s="67"/>
      <c r="CYC1" s="67"/>
      <c r="CYD1" s="67"/>
      <c r="CYE1" s="67"/>
      <c r="CYF1" s="67"/>
      <c r="CYG1" s="67"/>
      <c r="CYH1" s="67">
        <f>CXL1+Parameters!$B$7</f>
        <v>1241</v>
      </c>
      <c r="CYI1" s="67"/>
      <c r="CYJ1" s="67"/>
      <c r="CYK1" s="67"/>
      <c r="CYL1" s="67"/>
      <c r="CYM1" s="67"/>
      <c r="CYN1" s="67"/>
      <c r="CYO1" s="67"/>
      <c r="CYP1" s="67"/>
      <c r="CYQ1" s="67"/>
      <c r="CYR1" s="67"/>
      <c r="CYS1" s="67"/>
      <c r="CYT1" s="67"/>
      <c r="CYU1" s="67"/>
      <c r="CYV1" s="67"/>
      <c r="CYW1" s="67"/>
      <c r="CYX1" s="67"/>
      <c r="CYY1" s="67"/>
      <c r="CYZ1" s="67"/>
      <c r="CZA1" s="67"/>
      <c r="CZB1" s="67"/>
      <c r="CZC1" s="67"/>
      <c r="CZD1" s="67">
        <f>CYH1+Parameters!$B$7</f>
        <v>1249</v>
      </c>
      <c r="CZE1" s="67"/>
      <c r="CZF1" s="67"/>
      <c r="CZG1" s="67"/>
      <c r="CZH1" s="67"/>
      <c r="CZI1" s="67"/>
      <c r="CZJ1" s="67"/>
      <c r="CZK1" s="67"/>
      <c r="CZL1" s="67"/>
      <c r="CZM1" s="67"/>
      <c r="CZN1" s="67"/>
      <c r="CZO1" s="67"/>
      <c r="CZP1" s="67"/>
      <c r="CZQ1" s="67"/>
      <c r="CZR1" s="67"/>
      <c r="CZS1" s="67"/>
      <c r="CZT1" s="67"/>
      <c r="CZU1" s="67"/>
      <c r="CZV1" s="67"/>
      <c r="CZW1" s="67"/>
      <c r="CZX1" s="67"/>
      <c r="CZY1" s="67"/>
      <c r="CZZ1" s="67">
        <f>CZD1+Parameters!$B$7</f>
        <v>1257</v>
      </c>
      <c r="DAA1" s="67"/>
      <c r="DAB1" s="67"/>
      <c r="DAC1" s="67"/>
      <c r="DAD1" s="67"/>
      <c r="DAE1" s="67"/>
      <c r="DAF1" s="67"/>
      <c r="DAG1" s="67"/>
      <c r="DAH1" s="67"/>
      <c r="DAI1" s="67"/>
      <c r="DAJ1" s="67"/>
      <c r="DAK1" s="67"/>
      <c r="DAL1" s="67"/>
      <c r="DAM1" s="67"/>
      <c r="DAN1" s="67"/>
      <c r="DAO1" s="67"/>
      <c r="DAP1" s="67"/>
      <c r="DAQ1" s="67"/>
      <c r="DAR1" s="67"/>
      <c r="DAS1" s="67"/>
      <c r="DAT1" s="67"/>
      <c r="DAU1" s="67"/>
      <c r="DAV1" s="67">
        <f>CZZ1+Parameters!$B$7</f>
        <v>1265</v>
      </c>
      <c r="DAW1" s="67"/>
      <c r="DAX1" s="67"/>
      <c r="DAY1" s="67"/>
      <c r="DAZ1" s="67"/>
      <c r="DBA1" s="67"/>
      <c r="DBB1" s="67"/>
      <c r="DBC1" s="67"/>
      <c r="DBD1" s="67"/>
      <c r="DBE1" s="67"/>
      <c r="DBF1" s="67"/>
      <c r="DBG1" s="67"/>
      <c r="DBH1" s="67"/>
      <c r="DBI1" s="67"/>
      <c r="DBJ1" s="67"/>
      <c r="DBK1" s="67"/>
      <c r="DBL1" s="67"/>
      <c r="DBM1" s="67"/>
      <c r="DBN1" s="67"/>
      <c r="DBO1" s="67"/>
      <c r="DBP1" s="67"/>
      <c r="DBQ1" s="67"/>
      <c r="DBR1" s="67">
        <f>DAV1+Parameters!$B$7</f>
        <v>1273</v>
      </c>
      <c r="DBS1" s="67"/>
      <c r="DBT1" s="67"/>
      <c r="DBU1" s="67"/>
      <c r="DBV1" s="67"/>
      <c r="DBW1" s="67"/>
      <c r="DBX1" s="67"/>
      <c r="DBY1" s="67"/>
      <c r="DBZ1" s="67"/>
      <c r="DCA1" s="67"/>
      <c r="DCB1" s="67"/>
      <c r="DCC1" s="67"/>
      <c r="DCD1" s="67"/>
      <c r="DCE1" s="67"/>
      <c r="DCF1" s="67"/>
      <c r="DCG1" s="67"/>
      <c r="DCH1" s="67"/>
      <c r="DCI1" s="67"/>
      <c r="DCJ1" s="67"/>
      <c r="DCK1" s="67"/>
      <c r="DCL1" s="67"/>
      <c r="DCM1" s="67"/>
      <c r="DCN1" s="67">
        <f>DBR1+Parameters!$B$7</f>
        <v>1281</v>
      </c>
      <c r="DCO1" s="67"/>
      <c r="DCP1" s="67"/>
      <c r="DCQ1" s="67"/>
      <c r="DCR1" s="67"/>
      <c r="DCS1" s="67"/>
      <c r="DCT1" s="67"/>
      <c r="DCU1" s="67"/>
      <c r="DCV1" s="67"/>
      <c r="DCW1" s="67"/>
      <c r="DCX1" s="67"/>
      <c r="DCY1" s="67"/>
      <c r="DCZ1" s="67"/>
      <c r="DDA1" s="67"/>
      <c r="DDB1" s="67"/>
      <c r="DDC1" s="67"/>
      <c r="DDD1" s="67"/>
      <c r="DDE1" s="67"/>
      <c r="DDF1" s="67"/>
      <c r="DDG1" s="67"/>
      <c r="DDH1" s="67"/>
      <c r="DDI1" s="67"/>
      <c r="DDJ1" s="67">
        <f>DCN1+Parameters!$B$7</f>
        <v>1289</v>
      </c>
      <c r="DDK1" s="67"/>
      <c r="DDL1" s="67"/>
      <c r="DDM1" s="67"/>
      <c r="DDN1" s="67"/>
      <c r="DDO1" s="67"/>
      <c r="DDP1" s="67"/>
      <c r="DDQ1" s="67"/>
      <c r="DDR1" s="67"/>
      <c r="DDS1" s="67"/>
      <c r="DDT1" s="67"/>
      <c r="DDU1" s="67"/>
      <c r="DDV1" s="67"/>
      <c r="DDW1" s="67"/>
      <c r="DDX1" s="67"/>
      <c r="DDY1" s="67"/>
      <c r="DDZ1" s="67"/>
      <c r="DEA1" s="67"/>
      <c r="DEB1" s="67"/>
      <c r="DEC1" s="67"/>
      <c r="DED1" s="67"/>
      <c r="DEE1" s="67"/>
    </row>
    <row r="2" spans="1:2839" x14ac:dyDescent="0.2">
      <c r="A2" s="4" t="s">
        <v>18</v>
      </c>
      <c r="B2" s="66">
        <f>VLOOKUP(B3,OverwiewSecondStage!$B$1:$H$33,7,FALSE)/4</f>
        <v>0</v>
      </c>
      <c r="C2" s="67"/>
      <c r="D2" s="67"/>
      <c r="E2" s="67"/>
      <c r="F2" s="67"/>
      <c r="G2" s="67"/>
      <c r="H2" s="67"/>
      <c r="I2" s="67"/>
      <c r="J2" s="67"/>
      <c r="K2" s="67"/>
      <c r="L2" s="67"/>
      <c r="M2" s="67"/>
      <c r="N2" s="67"/>
      <c r="O2" s="67"/>
      <c r="P2" s="67"/>
      <c r="Q2" s="67"/>
      <c r="R2" s="67"/>
      <c r="S2" s="67"/>
      <c r="T2" s="67"/>
      <c r="U2" s="67"/>
      <c r="V2" s="67"/>
      <c r="W2" s="67"/>
      <c r="X2" s="66">
        <f>VLOOKUP(X3,OverwiewSecondStage!$B$1:$H$33,7,FALSE)/4</f>
        <v>1.0416666666666666E-2</v>
      </c>
      <c r="Y2" s="67"/>
      <c r="Z2" s="67"/>
      <c r="AA2" s="67"/>
      <c r="AB2" s="67"/>
      <c r="AC2" s="67"/>
      <c r="AD2" s="67"/>
      <c r="AE2" s="67"/>
      <c r="AF2" s="67"/>
      <c r="AG2" s="67"/>
      <c r="AH2" s="67"/>
      <c r="AI2" s="67"/>
      <c r="AJ2" s="67"/>
      <c r="AK2" s="67"/>
      <c r="AL2" s="67"/>
      <c r="AM2" s="67"/>
      <c r="AN2" s="67"/>
      <c r="AO2" s="67"/>
      <c r="AP2" s="67"/>
      <c r="AQ2" s="67"/>
      <c r="AR2" s="67"/>
      <c r="AS2" s="67"/>
      <c r="AT2" s="66">
        <f>VLOOKUP(AT3,OverwiewSecondStage!$B$1:$H$33,7,FALSE)/4</f>
        <v>0</v>
      </c>
      <c r="AU2" s="67"/>
      <c r="AV2" s="67"/>
      <c r="AW2" s="67"/>
      <c r="AX2" s="67"/>
      <c r="AY2" s="67"/>
      <c r="AZ2" s="67"/>
      <c r="BA2" s="67"/>
      <c r="BB2" s="67"/>
      <c r="BC2" s="67"/>
      <c r="BD2" s="67"/>
      <c r="BE2" s="67"/>
      <c r="BF2" s="67"/>
      <c r="BG2" s="67"/>
      <c r="BH2" s="67"/>
      <c r="BI2" s="67"/>
      <c r="BJ2" s="67"/>
      <c r="BK2" s="67"/>
      <c r="BL2" s="67"/>
      <c r="BM2" s="67"/>
      <c r="BN2" s="67"/>
      <c r="BO2" s="67"/>
      <c r="BP2" s="66">
        <f>VLOOKUP(BP3,OverwiewSecondStage!$B$1:$H$33,7,FALSE)/4</f>
        <v>1.0416666666666666E-2</v>
      </c>
      <c r="BQ2" s="67"/>
      <c r="BR2" s="67"/>
      <c r="BS2" s="67"/>
      <c r="BT2" s="67"/>
      <c r="BU2" s="67"/>
      <c r="BV2" s="67"/>
      <c r="BW2" s="67"/>
      <c r="BX2" s="67"/>
      <c r="BY2" s="67"/>
      <c r="BZ2" s="67"/>
      <c r="CA2" s="67"/>
      <c r="CB2" s="67"/>
      <c r="CC2" s="67"/>
      <c r="CD2" s="67"/>
      <c r="CE2" s="67"/>
      <c r="CF2" s="67"/>
      <c r="CG2" s="67"/>
      <c r="CH2" s="67"/>
      <c r="CI2" s="67"/>
      <c r="CJ2" s="67"/>
      <c r="CK2" s="67"/>
      <c r="CL2" s="66">
        <f>VLOOKUP(CL3,OverwiewSecondStage!$B$1:$H$33,7,FALSE)/4</f>
        <v>0</v>
      </c>
      <c r="CM2" s="67"/>
      <c r="CN2" s="67"/>
      <c r="CO2" s="67"/>
      <c r="CP2" s="67"/>
      <c r="CQ2" s="67"/>
      <c r="CR2" s="67"/>
      <c r="CS2" s="67"/>
      <c r="CT2" s="67"/>
      <c r="CU2" s="67"/>
      <c r="CV2" s="67"/>
      <c r="CW2" s="67"/>
      <c r="CX2" s="67"/>
      <c r="CY2" s="67"/>
      <c r="CZ2" s="67"/>
      <c r="DA2" s="67"/>
      <c r="DB2" s="67"/>
      <c r="DC2" s="67"/>
      <c r="DD2" s="67"/>
      <c r="DE2" s="67"/>
      <c r="DF2" s="67"/>
      <c r="DG2" s="67"/>
      <c r="DH2" s="66">
        <f>VLOOKUP(DH3,OverwiewSecondStage!$B$1:$H$33,7,FALSE)/4</f>
        <v>1.0416666666666666E-2</v>
      </c>
      <c r="DI2" s="67"/>
      <c r="DJ2" s="67"/>
      <c r="DK2" s="67"/>
      <c r="DL2" s="67"/>
      <c r="DM2" s="67"/>
      <c r="DN2" s="67"/>
      <c r="DO2" s="67"/>
      <c r="DP2" s="67"/>
      <c r="DQ2" s="67"/>
      <c r="DR2" s="67"/>
      <c r="DS2" s="67"/>
      <c r="DT2" s="67"/>
      <c r="DU2" s="67"/>
      <c r="DV2" s="67"/>
      <c r="DW2" s="67"/>
      <c r="DX2" s="67"/>
      <c r="DY2" s="67"/>
      <c r="DZ2" s="67"/>
      <c r="EA2" s="67"/>
      <c r="EB2" s="67"/>
      <c r="EC2" s="67"/>
      <c r="ED2" s="66">
        <f>VLOOKUP(ED3,OverwiewSecondStage!$B$1:$H$33,7,FALSE)/4</f>
        <v>0</v>
      </c>
      <c r="EE2" s="67"/>
      <c r="EF2" s="67"/>
      <c r="EG2" s="67"/>
      <c r="EH2" s="67"/>
      <c r="EI2" s="67"/>
      <c r="EJ2" s="67"/>
      <c r="EK2" s="67"/>
      <c r="EL2" s="67"/>
      <c r="EM2" s="67"/>
      <c r="EN2" s="67"/>
      <c r="EO2" s="67"/>
      <c r="EP2" s="67"/>
      <c r="EQ2" s="67"/>
      <c r="ER2" s="67"/>
      <c r="ES2" s="67"/>
      <c r="ET2" s="67"/>
      <c r="EU2" s="67"/>
      <c r="EV2" s="67"/>
      <c r="EW2" s="67"/>
      <c r="EX2" s="67"/>
      <c r="EY2" s="67"/>
      <c r="EZ2" s="66">
        <f>VLOOKUP(EZ3,OverwiewSecondStage!$B$1:$H$33,7,FALSE)/4</f>
        <v>1.0416666666666666E-2</v>
      </c>
      <c r="FA2" s="67"/>
      <c r="FB2" s="67"/>
      <c r="FC2" s="67"/>
      <c r="FD2" s="67"/>
      <c r="FE2" s="67"/>
      <c r="FF2" s="67"/>
      <c r="FG2" s="67"/>
      <c r="FH2" s="67"/>
      <c r="FI2" s="67"/>
      <c r="FJ2" s="67"/>
      <c r="FK2" s="67"/>
      <c r="FL2" s="67"/>
      <c r="FM2" s="67"/>
      <c r="FN2" s="67"/>
      <c r="FO2" s="67"/>
      <c r="FP2" s="67"/>
      <c r="FQ2" s="67"/>
      <c r="FR2" s="67"/>
      <c r="FS2" s="67"/>
      <c r="FT2" s="67"/>
      <c r="FU2" s="67"/>
      <c r="FV2" s="66">
        <f>VLOOKUP(FV3,OverwiewSecondStage!$B$1:$H$33,7,FALSE)/4</f>
        <v>0</v>
      </c>
      <c r="FW2" s="67"/>
      <c r="FX2" s="67"/>
      <c r="FY2" s="67"/>
      <c r="FZ2" s="67"/>
      <c r="GA2" s="67"/>
      <c r="GB2" s="67"/>
      <c r="GC2" s="67"/>
      <c r="GD2" s="67"/>
      <c r="GE2" s="67"/>
      <c r="GF2" s="67"/>
      <c r="GG2" s="67"/>
      <c r="GH2" s="67"/>
      <c r="GI2" s="67"/>
      <c r="GJ2" s="67"/>
      <c r="GK2" s="67"/>
      <c r="GL2" s="67"/>
      <c r="GM2" s="67"/>
      <c r="GN2" s="67"/>
      <c r="GO2" s="67"/>
      <c r="GP2" s="67"/>
      <c r="GQ2" s="67"/>
      <c r="GR2" s="66">
        <f>VLOOKUP(GR3,OverwiewSecondStage!$B$1:$H$33,7,FALSE)/4</f>
        <v>1.0416666666666666E-2</v>
      </c>
      <c r="GS2" s="67"/>
      <c r="GT2" s="67"/>
      <c r="GU2" s="67"/>
      <c r="GV2" s="67"/>
      <c r="GW2" s="67"/>
      <c r="GX2" s="67"/>
      <c r="GY2" s="67"/>
      <c r="GZ2" s="67"/>
      <c r="HA2" s="67"/>
      <c r="HB2" s="67"/>
      <c r="HC2" s="67"/>
      <c r="HD2" s="67"/>
      <c r="HE2" s="67"/>
      <c r="HF2" s="67"/>
      <c r="HG2" s="67"/>
      <c r="HH2" s="67"/>
      <c r="HI2" s="67"/>
      <c r="HJ2" s="67"/>
      <c r="HK2" s="67"/>
      <c r="HL2" s="67"/>
      <c r="HM2" s="67"/>
      <c r="HN2" s="66">
        <f>VLOOKUP(HN3,OverwiewSecondStage!$B$1:$H$33,7,FALSE)/4</f>
        <v>0</v>
      </c>
      <c r="HO2" s="67"/>
      <c r="HP2" s="67"/>
      <c r="HQ2" s="67"/>
      <c r="HR2" s="67"/>
      <c r="HS2" s="67"/>
      <c r="HT2" s="67"/>
      <c r="HU2" s="67"/>
      <c r="HV2" s="67"/>
      <c r="HW2" s="67"/>
      <c r="HX2" s="67"/>
      <c r="HY2" s="67"/>
      <c r="HZ2" s="67"/>
      <c r="IA2" s="67"/>
      <c r="IB2" s="67"/>
      <c r="IC2" s="67"/>
      <c r="ID2" s="67"/>
      <c r="IE2" s="67"/>
      <c r="IF2" s="67"/>
      <c r="IG2" s="67"/>
      <c r="IH2" s="67"/>
      <c r="II2" s="67"/>
      <c r="IJ2" s="66">
        <f>VLOOKUP(IJ3,OverwiewSecondStage!$B$1:$H$33,7,FALSE)/4</f>
        <v>1.0416666666666666E-2</v>
      </c>
      <c r="IK2" s="67"/>
      <c r="IL2" s="67"/>
      <c r="IM2" s="67"/>
      <c r="IN2" s="67"/>
      <c r="IO2" s="67"/>
      <c r="IP2" s="67"/>
      <c r="IQ2" s="67"/>
      <c r="IR2" s="67"/>
      <c r="IS2" s="67"/>
      <c r="IT2" s="67"/>
      <c r="IU2" s="67"/>
      <c r="IV2" s="67"/>
      <c r="IW2" s="67"/>
      <c r="IX2" s="67"/>
      <c r="IY2" s="67"/>
      <c r="IZ2" s="67"/>
      <c r="JA2" s="67"/>
      <c r="JB2" s="67"/>
      <c r="JC2" s="67"/>
      <c r="JD2" s="67"/>
      <c r="JE2" s="67"/>
      <c r="JF2" s="66">
        <f>VLOOKUP(JF3,OverwiewSecondStage!$B$1:$H$33,7,FALSE)/4</f>
        <v>0</v>
      </c>
      <c r="JG2" s="67"/>
      <c r="JH2" s="67"/>
      <c r="JI2" s="67"/>
      <c r="JJ2" s="67"/>
      <c r="JK2" s="67"/>
      <c r="JL2" s="67"/>
      <c r="JM2" s="67"/>
      <c r="JN2" s="67"/>
      <c r="JO2" s="67"/>
      <c r="JP2" s="67"/>
      <c r="JQ2" s="67"/>
      <c r="JR2" s="67"/>
      <c r="JS2" s="67"/>
      <c r="JT2" s="67"/>
      <c r="JU2" s="67"/>
      <c r="JV2" s="67"/>
      <c r="JW2" s="67"/>
      <c r="JX2" s="67"/>
      <c r="JY2" s="67"/>
      <c r="JZ2" s="67"/>
      <c r="KA2" s="67"/>
      <c r="KB2" s="66">
        <f>VLOOKUP(KB3,OverwiewSecondStage!$B$1:$H$33,7,FALSE)/4</f>
        <v>1.0416666666666666E-2</v>
      </c>
      <c r="KC2" s="67"/>
      <c r="KD2" s="67"/>
      <c r="KE2" s="67"/>
      <c r="KF2" s="67"/>
      <c r="KG2" s="67"/>
      <c r="KH2" s="67"/>
      <c r="KI2" s="67"/>
      <c r="KJ2" s="67"/>
      <c r="KK2" s="67"/>
      <c r="KL2" s="67"/>
      <c r="KM2" s="67"/>
      <c r="KN2" s="67"/>
      <c r="KO2" s="67"/>
      <c r="KP2" s="67"/>
      <c r="KQ2" s="67"/>
      <c r="KR2" s="67"/>
      <c r="KS2" s="67"/>
      <c r="KT2" s="67"/>
      <c r="KU2" s="67"/>
      <c r="KV2" s="67"/>
      <c r="KW2" s="67"/>
      <c r="KX2" s="66">
        <f>VLOOKUP(KX3,OverwiewSecondStage!$B$1:$H$33,7,FALSE)/4</f>
        <v>0</v>
      </c>
      <c r="KY2" s="67"/>
      <c r="KZ2" s="67"/>
      <c r="LA2" s="67"/>
      <c r="LB2" s="67"/>
      <c r="LC2" s="67"/>
      <c r="LD2" s="67"/>
      <c r="LE2" s="67"/>
      <c r="LF2" s="67"/>
      <c r="LG2" s="67"/>
      <c r="LH2" s="67"/>
      <c r="LI2" s="67"/>
      <c r="LJ2" s="67"/>
      <c r="LK2" s="67"/>
      <c r="LL2" s="67"/>
      <c r="LM2" s="67"/>
      <c r="LN2" s="67"/>
      <c r="LO2" s="67"/>
      <c r="LP2" s="67"/>
      <c r="LQ2" s="67"/>
      <c r="LR2" s="67"/>
      <c r="LS2" s="67"/>
      <c r="LT2" s="66">
        <f>VLOOKUP(LT3,OverwiewSecondStage!$B$1:$H$33,7,FALSE)/4</f>
        <v>1.0416666666666666E-2</v>
      </c>
      <c r="LU2" s="67"/>
      <c r="LV2" s="67"/>
      <c r="LW2" s="67"/>
      <c r="LX2" s="67"/>
      <c r="LY2" s="67"/>
      <c r="LZ2" s="67"/>
      <c r="MA2" s="67"/>
      <c r="MB2" s="67"/>
      <c r="MC2" s="67"/>
      <c r="MD2" s="67"/>
      <c r="ME2" s="67"/>
      <c r="MF2" s="67"/>
      <c r="MG2" s="67"/>
      <c r="MH2" s="67"/>
      <c r="MI2" s="67"/>
      <c r="MJ2" s="67"/>
      <c r="MK2" s="67"/>
      <c r="ML2" s="67"/>
      <c r="MM2" s="67"/>
      <c r="MN2" s="67"/>
      <c r="MO2" s="67"/>
      <c r="MP2" s="66">
        <f>VLOOKUP(MP3,OverwiewSecondStage!$B$1:$H$33,7,FALSE)/4</f>
        <v>1.0416666666666666E-2</v>
      </c>
      <c r="MQ2" s="67"/>
      <c r="MR2" s="67"/>
      <c r="MS2" s="67"/>
      <c r="MT2" s="67"/>
      <c r="MU2" s="67"/>
      <c r="MV2" s="67"/>
      <c r="MW2" s="67"/>
      <c r="MX2" s="67"/>
      <c r="MY2" s="67"/>
      <c r="MZ2" s="67"/>
      <c r="NA2" s="67"/>
      <c r="NB2" s="67"/>
      <c r="NC2" s="67"/>
      <c r="ND2" s="67"/>
      <c r="NE2" s="67"/>
      <c r="NF2" s="67"/>
      <c r="NG2" s="67"/>
      <c r="NH2" s="67"/>
      <c r="NI2" s="67"/>
      <c r="NJ2" s="67"/>
      <c r="NK2" s="67"/>
      <c r="NL2" s="66">
        <f>VLOOKUP(NL3,OverwiewSecondStage!$B$1:$H$33,7,FALSE)/4</f>
        <v>1.0416666666666666E-2</v>
      </c>
      <c r="NM2" s="67"/>
      <c r="NN2" s="67"/>
      <c r="NO2" s="67"/>
      <c r="NP2" s="67"/>
      <c r="NQ2" s="67"/>
      <c r="NR2" s="67"/>
      <c r="NS2" s="67"/>
      <c r="NT2" s="67"/>
      <c r="NU2" s="67"/>
      <c r="NV2" s="67"/>
      <c r="NW2" s="67"/>
      <c r="NX2" s="67"/>
      <c r="NY2" s="67"/>
      <c r="NZ2" s="67"/>
      <c r="OA2" s="67"/>
      <c r="OB2" s="67"/>
      <c r="OC2" s="67"/>
      <c r="OD2" s="67"/>
      <c r="OE2" s="67"/>
      <c r="OF2" s="67"/>
      <c r="OG2" s="67"/>
      <c r="OH2" s="66">
        <f>VLOOKUP(OH3,OverwiewSecondStage!$B$1:$H$33,7,FALSE)/4</f>
        <v>1.0416666666666666E-2</v>
      </c>
      <c r="OI2" s="67"/>
      <c r="OJ2" s="67"/>
      <c r="OK2" s="67"/>
      <c r="OL2" s="67"/>
      <c r="OM2" s="67"/>
      <c r="ON2" s="67"/>
      <c r="OO2" s="67"/>
      <c r="OP2" s="67"/>
      <c r="OQ2" s="67"/>
      <c r="OR2" s="67"/>
      <c r="OS2" s="67"/>
      <c r="OT2" s="67"/>
      <c r="OU2" s="67"/>
      <c r="OV2" s="67"/>
      <c r="OW2" s="67"/>
      <c r="OX2" s="67"/>
      <c r="OY2" s="67"/>
      <c r="OZ2" s="67"/>
      <c r="PA2" s="67"/>
      <c r="PB2" s="67"/>
      <c r="PC2" s="67"/>
      <c r="PD2" s="66">
        <f>VLOOKUP(PD3,OverwiewSecondStage!$B$1:$H$33,7,FALSE)/4</f>
        <v>1.0416666666666666E-2</v>
      </c>
      <c r="PE2" s="67"/>
      <c r="PF2" s="67"/>
      <c r="PG2" s="67"/>
      <c r="PH2" s="67"/>
      <c r="PI2" s="67"/>
      <c r="PJ2" s="67"/>
      <c r="PK2" s="67"/>
      <c r="PL2" s="67"/>
      <c r="PM2" s="67"/>
      <c r="PN2" s="67"/>
      <c r="PO2" s="67"/>
      <c r="PP2" s="67"/>
      <c r="PQ2" s="67"/>
      <c r="PR2" s="67"/>
      <c r="PS2" s="67"/>
      <c r="PT2" s="67"/>
      <c r="PU2" s="67"/>
      <c r="PV2" s="67"/>
      <c r="PW2" s="67"/>
      <c r="PX2" s="67"/>
      <c r="PY2" s="67"/>
      <c r="PZ2" s="66">
        <f>VLOOKUP(PZ3,OverwiewSecondStage!$B$1:$H$33,7,FALSE)/4</f>
        <v>1.0416666666666666E-2</v>
      </c>
      <c r="QA2" s="67"/>
      <c r="QB2" s="67"/>
      <c r="QC2" s="67"/>
      <c r="QD2" s="67"/>
      <c r="QE2" s="67"/>
      <c r="QF2" s="67"/>
      <c r="QG2" s="67"/>
      <c r="QH2" s="67"/>
      <c r="QI2" s="67"/>
      <c r="QJ2" s="67"/>
      <c r="QK2" s="67"/>
      <c r="QL2" s="67"/>
      <c r="QM2" s="67"/>
      <c r="QN2" s="67"/>
      <c r="QO2" s="67"/>
      <c r="QP2" s="67"/>
      <c r="QQ2" s="67"/>
      <c r="QR2" s="67"/>
      <c r="QS2" s="67"/>
      <c r="QT2" s="67"/>
      <c r="QU2" s="67"/>
      <c r="QV2" s="66">
        <f>VLOOKUP(QV3,OverwiewSecondStage!$B$1:$H$33,7,FALSE)/4</f>
        <v>1.0416666666666666E-2</v>
      </c>
      <c r="QW2" s="67"/>
      <c r="QX2" s="67"/>
      <c r="QY2" s="67"/>
      <c r="QZ2" s="67"/>
      <c r="RA2" s="67"/>
      <c r="RB2" s="67"/>
      <c r="RC2" s="67"/>
      <c r="RD2" s="67"/>
      <c r="RE2" s="67"/>
      <c r="RF2" s="67"/>
      <c r="RG2" s="67"/>
      <c r="RH2" s="67"/>
      <c r="RI2" s="67"/>
      <c r="RJ2" s="67"/>
      <c r="RK2" s="67"/>
      <c r="RL2" s="67"/>
      <c r="RM2" s="67"/>
      <c r="RN2" s="67"/>
      <c r="RO2" s="67"/>
      <c r="RP2" s="67"/>
      <c r="RQ2" s="67"/>
      <c r="RR2" s="66">
        <f>VLOOKUP(RR3,OverwiewSecondStage!$B$1:$H$33,7,FALSE)/4</f>
        <v>1.0416666666666666E-2</v>
      </c>
      <c r="RS2" s="67"/>
      <c r="RT2" s="67"/>
      <c r="RU2" s="67"/>
      <c r="RV2" s="67"/>
      <c r="RW2" s="67"/>
      <c r="RX2" s="67"/>
      <c r="RY2" s="67"/>
      <c r="RZ2" s="67"/>
      <c r="SA2" s="67"/>
      <c r="SB2" s="67"/>
      <c r="SC2" s="67"/>
      <c r="SD2" s="67"/>
      <c r="SE2" s="67"/>
      <c r="SF2" s="67"/>
      <c r="SG2" s="67"/>
      <c r="SH2" s="67"/>
      <c r="SI2" s="67"/>
      <c r="SJ2" s="67"/>
      <c r="SK2" s="67"/>
      <c r="SL2" s="67"/>
      <c r="SM2" s="67"/>
      <c r="SN2" s="66">
        <f>VLOOKUP(SN3,OverwiewSecondStage!$B$1:$H$33,7,FALSE)/4</f>
        <v>1.0416666666666666E-2</v>
      </c>
      <c r="SO2" s="67"/>
      <c r="SP2" s="67"/>
      <c r="SQ2" s="67"/>
      <c r="SR2" s="67"/>
      <c r="SS2" s="67"/>
      <c r="ST2" s="67"/>
      <c r="SU2" s="67"/>
      <c r="SV2" s="67"/>
      <c r="SW2" s="67"/>
      <c r="SX2" s="67"/>
      <c r="SY2" s="67"/>
      <c r="SZ2" s="67"/>
      <c r="TA2" s="67"/>
      <c r="TB2" s="67"/>
      <c r="TC2" s="67"/>
      <c r="TD2" s="67"/>
      <c r="TE2" s="67"/>
      <c r="TF2" s="67"/>
      <c r="TG2" s="67"/>
      <c r="TH2" s="67"/>
      <c r="TI2" s="67"/>
      <c r="TJ2" s="66">
        <f>VLOOKUP(TJ3,OverwiewSecondStage!$B$1:$H$33,7,FALSE)/4</f>
        <v>1.0416666666666666E-2</v>
      </c>
      <c r="TK2" s="67"/>
      <c r="TL2" s="67"/>
      <c r="TM2" s="67"/>
      <c r="TN2" s="67"/>
      <c r="TO2" s="67"/>
      <c r="TP2" s="67"/>
      <c r="TQ2" s="67"/>
      <c r="TR2" s="67"/>
      <c r="TS2" s="67"/>
      <c r="TT2" s="67"/>
      <c r="TU2" s="67"/>
      <c r="TV2" s="67"/>
      <c r="TW2" s="67"/>
      <c r="TX2" s="67"/>
      <c r="TY2" s="67"/>
      <c r="TZ2" s="67"/>
      <c r="UA2" s="67"/>
      <c r="UB2" s="67"/>
      <c r="UC2" s="67"/>
      <c r="UD2" s="67"/>
      <c r="UE2" s="67"/>
      <c r="UF2" s="66">
        <f>VLOOKUP(UF3,OverwiewSecondStage!$B$1:$H$33,7,FALSE)/4</f>
        <v>1.0416666666666666E-2</v>
      </c>
      <c r="UG2" s="67"/>
      <c r="UH2" s="67"/>
      <c r="UI2" s="67"/>
      <c r="UJ2" s="67"/>
      <c r="UK2" s="67"/>
      <c r="UL2" s="67"/>
      <c r="UM2" s="67"/>
      <c r="UN2" s="67"/>
      <c r="UO2" s="67"/>
      <c r="UP2" s="67"/>
      <c r="UQ2" s="67"/>
      <c r="UR2" s="67"/>
      <c r="US2" s="67"/>
      <c r="UT2" s="67"/>
      <c r="UU2" s="67"/>
      <c r="UV2" s="67"/>
      <c r="UW2" s="67"/>
      <c r="UX2" s="67"/>
      <c r="UY2" s="67"/>
      <c r="UZ2" s="67"/>
      <c r="VA2" s="67"/>
      <c r="VB2" s="66">
        <f>VLOOKUP(VB3,OverwiewSecondStage!$B$1:$H$33,7,FALSE)/4</f>
        <v>1.0416666666666666E-2</v>
      </c>
      <c r="VC2" s="67"/>
      <c r="VD2" s="67"/>
      <c r="VE2" s="67"/>
      <c r="VF2" s="67"/>
      <c r="VG2" s="67"/>
      <c r="VH2" s="67"/>
      <c r="VI2" s="67"/>
      <c r="VJ2" s="67"/>
      <c r="VK2" s="67"/>
      <c r="VL2" s="67"/>
      <c r="VM2" s="67"/>
      <c r="VN2" s="67"/>
      <c r="VO2" s="67"/>
      <c r="VP2" s="67"/>
      <c r="VQ2" s="67"/>
      <c r="VR2" s="67"/>
      <c r="VS2" s="67"/>
      <c r="VT2" s="67"/>
      <c r="VU2" s="67"/>
      <c r="VV2" s="67"/>
      <c r="VW2" s="67"/>
      <c r="VX2" s="66">
        <f>VLOOKUP(VX3,OverwiewSecondStage!$B$1:$H$33,7,FALSE)/4</f>
        <v>1.0416666666666666E-2</v>
      </c>
      <c r="VY2" s="67"/>
      <c r="VZ2" s="67"/>
      <c r="WA2" s="67"/>
      <c r="WB2" s="67"/>
      <c r="WC2" s="67"/>
      <c r="WD2" s="67"/>
      <c r="WE2" s="67"/>
      <c r="WF2" s="67"/>
      <c r="WG2" s="67"/>
      <c r="WH2" s="67"/>
      <c r="WI2" s="67"/>
      <c r="WJ2" s="67"/>
      <c r="WK2" s="67"/>
      <c r="WL2" s="67"/>
      <c r="WM2" s="67"/>
      <c r="WN2" s="67"/>
      <c r="WO2" s="67"/>
      <c r="WP2" s="67"/>
      <c r="WQ2" s="67"/>
      <c r="WR2" s="67"/>
      <c r="WS2" s="67"/>
      <c r="WT2" s="66">
        <f>VLOOKUP(WT3,OverwiewSecondStage!$B$1:$H$33,7,FALSE)/4</f>
        <v>1.0416666666666666E-2</v>
      </c>
      <c r="WU2" s="67"/>
      <c r="WV2" s="67"/>
      <c r="WW2" s="67"/>
      <c r="WX2" s="67"/>
      <c r="WY2" s="67"/>
      <c r="WZ2" s="67"/>
      <c r="XA2" s="67"/>
      <c r="XB2" s="67"/>
      <c r="XC2" s="67"/>
      <c r="XD2" s="67"/>
      <c r="XE2" s="67"/>
      <c r="XF2" s="67"/>
      <c r="XG2" s="67"/>
      <c r="XH2" s="67"/>
      <c r="XI2" s="67"/>
      <c r="XJ2" s="67"/>
      <c r="XK2" s="67"/>
      <c r="XL2" s="67"/>
      <c r="XM2" s="67"/>
      <c r="XN2" s="67"/>
      <c r="XO2" s="67"/>
      <c r="XP2" s="66">
        <f>VLOOKUP(XP3,OverwiewSecondStage!$B$1:$H$33,7,FALSE)/4</f>
        <v>1.0416666666666666E-2</v>
      </c>
      <c r="XQ2" s="67"/>
      <c r="XR2" s="67"/>
      <c r="XS2" s="67"/>
      <c r="XT2" s="67"/>
      <c r="XU2" s="67"/>
      <c r="XV2" s="67"/>
      <c r="XW2" s="67"/>
      <c r="XX2" s="67"/>
      <c r="XY2" s="67"/>
      <c r="XZ2" s="67"/>
      <c r="YA2" s="67"/>
      <c r="YB2" s="67"/>
      <c r="YC2" s="67"/>
      <c r="YD2" s="67"/>
      <c r="YE2" s="67"/>
      <c r="YF2" s="67"/>
      <c r="YG2" s="67"/>
      <c r="YH2" s="67"/>
      <c r="YI2" s="67"/>
      <c r="YJ2" s="67"/>
      <c r="YK2" s="67"/>
      <c r="YL2" s="66">
        <f>VLOOKUP(YL3,OverwiewSecondStage!$B$1:$H$33,7,FALSE)/4</f>
        <v>1.0416666666666666E-2</v>
      </c>
      <c r="YM2" s="67"/>
      <c r="YN2" s="67"/>
      <c r="YO2" s="67"/>
      <c r="YP2" s="67"/>
      <c r="YQ2" s="67"/>
      <c r="YR2" s="67"/>
      <c r="YS2" s="67"/>
      <c r="YT2" s="67"/>
      <c r="YU2" s="67"/>
      <c r="YV2" s="67"/>
      <c r="YW2" s="67"/>
      <c r="YX2" s="67"/>
      <c r="YY2" s="67"/>
      <c r="YZ2" s="67"/>
      <c r="ZA2" s="67"/>
      <c r="ZB2" s="67"/>
      <c r="ZC2" s="67"/>
      <c r="ZD2" s="67"/>
      <c r="ZE2" s="67"/>
      <c r="ZF2" s="67"/>
      <c r="ZG2" s="67"/>
      <c r="ZH2" s="66">
        <f>VLOOKUP(ZH3,OverwiewSecondStage!$B$1:$H$33,7,FALSE)/4</f>
        <v>1.0416666666666666E-2</v>
      </c>
      <c r="ZI2" s="67"/>
      <c r="ZJ2" s="67"/>
      <c r="ZK2" s="67"/>
      <c r="ZL2" s="67"/>
      <c r="ZM2" s="67"/>
      <c r="ZN2" s="67"/>
      <c r="ZO2" s="67"/>
      <c r="ZP2" s="67"/>
      <c r="ZQ2" s="67"/>
      <c r="ZR2" s="67"/>
      <c r="ZS2" s="67"/>
      <c r="ZT2" s="67"/>
      <c r="ZU2" s="67"/>
      <c r="ZV2" s="67"/>
      <c r="ZW2" s="67"/>
      <c r="ZX2" s="67"/>
      <c r="ZY2" s="67"/>
      <c r="ZZ2" s="67"/>
      <c r="AAA2" s="67"/>
      <c r="AAB2" s="67"/>
      <c r="AAC2" s="67"/>
      <c r="AAD2" s="66">
        <f>VLOOKUP(AAD3,OverwiewSecondStage!$B$1:$H$33,7,FALSE)/4</f>
        <v>0</v>
      </c>
      <c r="AAE2" s="67"/>
      <c r="AAF2" s="67"/>
      <c r="AAG2" s="67"/>
      <c r="AAH2" s="67"/>
      <c r="AAI2" s="67"/>
      <c r="AAJ2" s="67"/>
      <c r="AAK2" s="67"/>
      <c r="AAL2" s="67"/>
      <c r="AAM2" s="67"/>
      <c r="AAN2" s="67"/>
      <c r="AAO2" s="67"/>
      <c r="AAP2" s="67"/>
      <c r="AAQ2" s="67"/>
      <c r="AAR2" s="67"/>
      <c r="AAS2" s="67"/>
      <c r="AAT2" s="67"/>
      <c r="AAU2" s="67"/>
      <c r="AAV2" s="67"/>
      <c r="AAW2" s="67"/>
      <c r="AAX2" s="67"/>
      <c r="AAY2" s="67"/>
      <c r="AAZ2" s="66">
        <f>VLOOKUP(AAZ3,OverwiewSecondStage!$B$1:$H$33,7,FALSE)/4</f>
        <v>1.0416666666666666E-2</v>
      </c>
      <c r="ABA2" s="67"/>
      <c r="ABB2" s="67"/>
      <c r="ABC2" s="67"/>
      <c r="ABD2" s="67"/>
      <c r="ABE2" s="67"/>
      <c r="ABF2" s="67"/>
      <c r="ABG2" s="67"/>
      <c r="ABH2" s="67"/>
      <c r="ABI2" s="67"/>
      <c r="ABJ2" s="67"/>
      <c r="ABK2" s="67"/>
      <c r="ABL2" s="67"/>
      <c r="ABM2" s="67"/>
      <c r="ABN2" s="67"/>
      <c r="ABO2" s="67"/>
      <c r="ABP2" s="67"/>
      <c r="ABQ2" s="67"/>
      <c r="ABR2" s="67"/>
      <c r="ABS2" s="67"/>
      <c r="ABT2" s="67"/>
      <c r="ABU2" s="67"/>
      <c r="ABV2" s="66">
        <f>VLOOKUP(ABV3,OverwiewSecondStage!$B$1:$H$33,7,FALSE)/4</f>
        <v>0</v>
      </c>
      <c r="ABW2" s="67"/>
      <c r="ABX2" s="67"/>
      <c r="ABY2" s="67"/>
      <c r="ABZ2" s="67"/>
      <c r="ACA2" s="67"/>
      <c r="ACB2" s="67"/>
      <c r="ACC2" s="67"/>
      <c r="ACD2" s="67"/>
      <c r="ACE2" s="67"/>
      <c r="ACF2" s="67"/>
      <c r="ACG2" s="67"/>
      <c r="ACH2" s="67"/>
      <c r="ACI2" s="67"/>
      <c r="ACJ2" s="67"/>
      <c r="ACK2" s="67"/>
      <c r="ACL2" s="67"/>
      <c r="ACM2" s="67"/>
      <c r="ACN2" s="67"/>
      <c r="ACO2" s="67"/>
      <c r="ACP2" s="67"/>
      <c r="ACQ2" s="67"/>
      <c r="ACR2" s="66">
        <f>VLOOKUP(ACR3,OverwiewSecondStage!$B$1:$H$33,7,FALSE)/4</f>
        <v>1.0416666666666666E-2</v>
      </c>
      <c r="ACS2" s="67"/>
      <c r="ACT2" s="67"/>
      <c r="ACU2" s="67"/>
      <c r="ACV2" s="67"/>
      <c r="ACW2" s="67"/>
      <c r="ACX2" s="67"/>
      <c r="ACY2" s="67"/>
      <c r="ACZ2" s="67"/>
      <c r="ADA2" s="67"/>
      <c r="ADB2" s="67"/>
      <c r="ADC2" s="67"/>
      <c r="ADD2" s="67"/>
      <c r="ADE2" s="67"/>
      <c r="ADF2" s="67"/>
      <c r="ADG2" s="67"/>
      <c r="ADH2" s="67"/>
      <c r="ADI2" s="67"/>
      <c r="ADJ2" s="67"/>
      <c r="ADK2" s="67"/>
      <c r="ADL2" s="67"/>
      <c r="ADM2" s="67"/>
      <c r="ADN2" s="66">
        <f>VLOOKUP(ADN3,OverwiewSecondStage!$B$1:$H$33,7,FALSE)/4</f>
        <v>0</v>
      </c>
      <c r="ADO2" s="67"/>
      <c r="ADP2" s="67"/>
      <c r="ADQ2" s="67"/>
      <c r="ADR2" s="67"/>
      <c r="ADS2" s="67"/>
      <c r="ADT2" s="67"/>
      <c r="ADU2" s="67"/>
      <c r="ADV2" s="67"/>
      <c r="ADW2" s="67"/>
      <c r="ADX2" s="67"/>
      <c r="ADY2" s="67"/>
      <c r="ADZ2" s="67"/>
      <c r="AEA2" s="67"/>
      <c r="AEB2" s="67"/>
      <c r="AEC2" s="67"/>
      <c r="AED2" s="67"/>
      <c r="AEE2" s="67"/>
      <c r="AEF2" s="67"/>
      <c r="AEG2" s="67"/>
      <c r="AEH2" s="67"/>
      <c r="AEI2" s="67"/>
      <c r="AEJ2" s="66">
        <f>VLOOKUP(AEJ3,OverwiewSecondStage!$B$1:$H$33,7,FALSE)/4</f>
        <v>1.0416666666666666E-2</v>
      </c>
      <c r="AEK2" s="67"/>
      <c r="AEL2" s="67"/>
      <c r="AEM2" s="67"/>
      <c r="AEN2" s="67"/>
      <c r="AEO2" s="67"/>
      <c r="AEP2" s="67"/>
      <c r="AEQ2" s="67"/>
      <c r="AER2" s="67"/>
      <c r="AES2" s="67"/>
      <c r="AET2" s="67"/>
      <c r="AEU2" s="67"/>
      <c r="AEV2" s="67"/>
      <c r="AEW2" s="67"/>
      <c r="AEX2" s="67"/>
      <c r="AEY2" s="67"/>
      <c r="AEZ2" s="67"/>
      <c r="AFA2" s="67"/>
      <c r="AFB2" s="67"/>
      <c r="AFC2" s="67"/>
      <c r="AFD2" s="67"/>
      <c r="AFE2" s="67"/>
      <c r="AFF2" s="66">
        <f>VLOOKUP(AFF3,OverwiewSecondStage!$B$1:$H$33,7,FALSE)/4</f>
        <v>0</v>
      </c>
      <c r="AFG2" s="67"/>
      <c r="AFH2" s="67"/>
      <c r="AFI2" s="67"/>
      <c r="AFJ2" s="67"/>
      <c r="AFK2" s="67"/>
      <c r="AFL2" s="67"/>
      <c r="AFM2" s="67"/>
      <c r="AFN2" s="67"/>
      <c r="AFO2" s="67"/>
      <c r="AFP2" s="67"/>
      <c r="AFQ2" s="67"/>
      <c r="AFR2" s="67"/>
      <c r="AFS2" s="67"/>
      <c r="AFT2" s="67"/>
      <c r="AFU2" s="67"/>
      <c r="AFV2" s="67"/>
      <c r="AFW2" s="67"/>
      <c r="AFX2" s="67"/>
      <c r="AFY2" s="67"/>
      <c r="AFZ2" s="67"/>
      <c r="AGA2" s="67"/>
      <c r="AGB2" s="66">
        <f>VLOOKUP(AGB3,OverwiewSecondStage!$B$1:$H$33,7,FALSE)/4</f>
        <v>1.0416666666666666E-2</v>
      </c>
      <c r="AGC2" s="67"/>
      <c r="AGD2" s="67"/>
      <c r="AGE2" s="67"/>
      <c r="AGF2" s="67"/>
      <c r="AGG2" s="67"/>
      <c r="AGH2" s="67"/>
      <c r="AGI2" s="67"/>
      <c r="AGJ2" s="67"/>
      <c r="AGK2" s="67"/>
      <c r="AGL2" s="67"/>
      <c r="AGM2" s="67"/>
      <c r="AGN2" s="67"/>
      <c r="AGO2" s="67"/>
      <c r="AGP2" s="67"/>
      <c r="AGQ2" s="67"/>
      <c r="AGR2" s="67"/>
      <c r="AGS2" s="67"/>
      <c r="AGT2" s="67"/>
      <c r="AGU2" s="67"/>
      <c r="AGV2" s="67"/>
      <c r="AGW2" s="67"/>
      <c r="AGX2" s="66">
        <f>VLOOKUP(AGX3,OverwiewSecondStage!$B$1:$H$33,7,FALSE)/4</f>
        <v>0</v>
      </c>
      <c r="AGY2" s="67"/>
      <c r="AGZ2" s="67"/>
      <c r="AHA2" s="67"/>
      <c r="AHB2" s="67"/>
      <c r="AHC2" s="67"/>
      <c r="AHD2" s="67"/>
      <c r="AHE2" s="67"/>
      <c r="AHF2" s="67"/>
      <c r="AHG2" s="67"/>
      <c r="AHH2" s="67"/>
      <c r="AHI2" s="67"/>
      <c r="AHJ2" s="67"/>
      <c r="AHK2" s="67"/>
      <c r="AHL2" s="67"/>
      <c r="AHM2" s="67"/>
      <c r="AHN2" s="67"/>
      <c r="AHO2" s="67"/>
      <c r="AHP2" s="67"/>
      <c r="AHQ2" s="67"/>
      <c r="AHR2" s="67"/>
      <c r="AHS2" s="67"/>
      <c r="AHT2" s="66">
        <f>VLOOKUP(AHT3,OverwiewSecondStage!$B$1:$H$33,7,FALSE)/4</f>
        <v>1.0416666666666666E-2</v>
      </c>
      <c r="AHU2" s="67"/>
      <c r="AHV2" s="67"/>
      <c r="AHW2" s="67"/>
      <c r="AHX2" s="67"/>
      <c r="AHY2" s="67"/>
      <c r="AHZ2" s="67"/>
      <c r="AIA2" s="67"/>
      <c r="AIB2" s="67"/>
      <c r="AIC2" s="67"/>
      <c r="AID2" s="67"/>
      <c r="AIE2" s="67"/>
      <c r="AIF2" s="67"/>
      <c r="AIG2" s="67"/>
      <c r="AIH2" s="67"/>
      <c r="AII2" s="67"/>
      <c r="AIJ2" s="67"/>
      <c r="AIK2" s="67"/>
      <c r="AIL2" s="67"/>
      <c r="AIM2" s="67"/>
      <c r="AIN2" s="67"/>
      <c r="AIO2" s="67"/>
      <c r="AIP2" s="66">
        <f>VLOOKUP(AIP3,OverwiewSecondStage!$B$1:$H$33,7,FALSE)/4</f>
        <v>0</v>
      </c>
      <c r="AIQ2" s="67"/>
      <c r="AIR2" s="67"/>
      <c r="AIS2" s="67"/>
      <c r="AIT2" s="67"/>
      <c r="AIU2" s="67"/>
      <c r="AIV2" s="67"/>
      <c r="AIW2" s="67"/>
      <c r="AIX2" s="67"/>
      <c r="AIY2" s="67"/>
      <c r="AIZ2" s="67"/>
      <c r="AJA2" s="67"/>
      <c r="AJB2" s="67"/>
      <c r="AJC2" s="67"/>
      <c r="AJD2" s="67"/>
      <c r="AJE2" s="67"/>
      <c r="AJF2" s="67"/>
      <c r="AJG2" s="67"/>
      <c r="AJH2" s="67"/>
      <c r="AJI2" s="67"/>
      <c r="AJJ2" s="67"/>
      <c r="AJK2" s="67"/>
      <c r="AJL2" s="66">
        <f>VLOOKUP(AJL3,OverwiewSecondStage!$B$1:$H$33,7,FALSE)/4</f>
        <v>1.0416666666666666E-2</v>
      </c>
      <c r="AJM2" s="67"/>
      <c r="AJN2" s="67"/>
      <c r="AJO2" s="67"/>
      <c r="AJP2" s="67"/>
      <c r="AJQ2" s="67"/>
      <c r="AJR2" s="67"/>
      <c r="AJS2" s="67"/>
      <c r="AJT2" s="67"/>
      <c r="AJU2" s="67"/>
      <c r="AJV2" s="67"/>
      <c r="AJW2" s="67"/>
      <c r="AJX2" s="67"/>
      <c r="AJY2" s="67"/>
      <c r="AJZ2" s="67"/>
      <c r="AKA2" s="67"/>
      <c r="AKB2" s="67"/>
      <c r="AKC2" s="67"/>
      <c r="AKD2" s="67"/>
      <c r="AKE2" s="67"/>
      <c r="AKF2" s="67"/>
      <c r="AKG2" s="67"/>
      <c r="AKH2" s="66">
        <f>VLOOKUP(AKH3,OverwiewSecondStage!$B$1:$H$33,7,FALSE)/4</f>
        <v>0</v>
      </c>
      <c r="AKI2" s="67"/>
      <c r="AKJ2" s="67"/>
      <c r="AKK2" s="67"/>
      <c r="AKL2" s="67"/>
      <c r="AKM2" s="67"/>
      <c r="AKN2" s="67"/>
      <c r="AKO2" s="67"/>
      <c r="AKP2" s="67"/>
      <c r="AKQ2" s="67"/>
      <c r="AKR2" s="67"/>
      <c r="AKS2" s="67"/>
      <c r="AKT2" s="67"/>
      <c r="AKU2" s="67"/>
      <c r="AKV2" s="67"/>
      <c r="AKW2" s="67"/>
      <c r="AKX2" s="67"/>
      <c r="AKY2" s="67"/>
      <c r="AKZ2" s="67"/>
      <c r="ALA2" s="67"/>
      <c r="ALB2" s="67"/>
      <c r="ALC2" s="67"/>
      <c r="ALD2" s="66">
        <f>VLOOKUP(ALD3,OverwiewSecondStage!$B$1:$H$33,7,FALSE)/4</f>
        <v>1.0416666666666666E-2</v>
      </c>
      <c r="ALE2" s="67"/>
      <c r="ALF2" s="67"/>
      <c r="ALG2" s="67"/>
      <c r="ALH2" s="67"/>
      <c r="ALI2" s="67"/>
      <c r="ALJ2" s="67"/>
      <c r="ALK2" s="67"/>
      <c r="ALL2" s="67"/>
      <c r="ALM2" s="67"/>
      <c r="ALN2" s="67"/>
      <c r="ALO2" s="67"/>
      <c r="ALP2" s="67"/>
      <c r="ALQ2" s="67"/>
      <c r="ALR2" s="67"/>
      <c r="ALS2" s="67"/>
      <c r="ALT2" s="67"/>
      <c r="ALU2" s="67"/>
      <c r="ALV2" s="67"/>
      <c r="ALW2" s="67"/>
      <c r="ALX2" s="67"/>
      <c r="ALY2" s="67"/>
      <c r="ALZ2" s="66">
        <f>VLOOKUP(ALZ3,OverwiewSecondStage!$B$1:$H$33,7,FALSE)/4</f>
        <v>0</v>
      </c>
      <c r="AMA2" s="67"/>
      <c r="AMB2" s="67"/>
      <c r="AMC2" s="67"/>
      <c r="AMD2" s="67"/>
      <c r="AME2" s="67"/>
      <c r="AMF2" s="67"/>
      <c r="AMG2" s="67"/>
      <c r="AMH2" s="67"/>
      <c r="AMI2" s="67"/>
      <c r="AMJ2" s="67"/>
      <c r="AMK2" s="67"/>
      <c r="AML2" s="67"/>
      <c r="AMM2" s="67"/>
      <c r="AMN2" s="67"/>
      <c r="AMO2" s="67"/>
      <c r="AMP2" s="67"/>
      <c r="AMQ2" s="67"/>
      <c r="AMR2" s="67"/>
      <c r="AMS2" s="67"/>
      <c r="AMT2" s="67"/>
      <c r="AMU2" s="67"/>
      <c r="AMV2" s="66">
        <f>VLOOKUP(AMV3,OverwiewSecondStage!$B$1:$H$33,7,FALSE)/4</f>
        <v>1.0416666666666666E-2</v>
      </c>
      <c r="AMW2" s="67"/>
      <c r="AMX2" s="67"/>
      <c r="AMY2" s="67"/>
      <c r="AMZ2" s="67"/>
      <c r="ANA2" s="67"/>
      <c r="ANB2" s="67"/>
      <c r="ANC2" s="67"/>
      <c r="AND2" s="67"/>
      <c r="ANE2" s="67"/>
      <c r="ANF2" s="67"/>
      <c r="ANG2" s="67"/>
      <c r="ANH2" s="67"/>
      <c r="ANI2" s="67"/>
      <c r="ANJ2" s="67"/>
      <c r="ANK2" s="67"/>
      <c r="ANL2" s="67"/>
      <c r="ANM2" s="67"/>
      <c r="ANN2" s="67"/>
      <c r="ANO2" s="67"/>
      <c r="ANP2" s="67"/>
      <c r="ANQ2" s="67"/>
      <c r="ANR2" s="66">
        <f>VLOOKUP(ANR3,OverwiewSecondStage!$B$1:$H$33,7,FALSE)/4</f>
        <v>1.0416666666666666E-2</v>
      </c>
      <c r="ANS2" s="67"/>
      <c r="ANT2" s="67"/>
      <c r="ANU2" s="67"/>
      <c r="ANV2" s="67"/>
      <c r="ANW2" s="67"/>
      <c r="ANX2" s="67"/>
      <c r="ANY2" s="67"/>
      <c r="ANZ2" s="67"/>
      <c r="AOA2" s="67"/>
      <c r="AOB2" s="67"/>
      <c r="AOC2" s="67"/>
      <c r="AOD2" s="67"/>
      <c r="AOE2" s="67"/>
      <c r="AOF2" s="67"/>
      <c r="AOG2" s="67"/>
      <c r="AOH2" s="67"/>
      <c r="AOI2" s="67"/>
      <c r="AOJ2" s="67"/>
      <c r="AOK2" s="67"/>
      <c r="AOL2" s="67"/>
      <c r="AOM2" s="67"/>
      <c r="AON2" s="66">
        <f>VLOOKUP(AON3,OverwiewSecondStage!$B$1:$H$33,7,FALSE)/4</f>
        <v>1.0416666666666666E-2</v>
      </c>
      <c r="AOO2" s="67"/>
      <c r="AOP2" s="67"/>
      <c r="AOQ2" s="67"/>
      <c r="AOR2" s="67"/>
      <c r="AOS2" s="67"/>
      <c r="AOT2" s="67"/>
      <c r="AOU2" s="67"/>
      <c r="AOV2" s="67"/>
      <c r="AOW2" s="67"/>
      <c r="AOX2" s="67"/>
      <c r="AOY2" s="67"/>
      <c r="AOZ2" s="67"/>
      <c r="APA2" s="67"/>
      <c r="APB2" s="67"/>
      <c r="APC2" s="67"/>
      <c r="APD2" s="67"/>
      <c r="APE2" s="67"/>
      <c r="APF2" s="67"/>
      <c r="APG2" s="67"/>
      <c r="APH2" s="67"/>
      <c r="API2" s="67"/>
      <c r="APJ2" s="66">
        <f>VLOOKUP(APJ3,OverwiewSecondStage!$B$1:$H$33,7,FALSE)/4</f>
        <v>1.0416666666666666E-2</v>
      </c>
      <c r="APK2" s="67"/>
      <c r="APL2" s="67"/>
      <c r="APM2" s="67"/>
      <c r="APN2" s="67"/>
      <c r="APO2" s="67"/>
      <c r="APP2" s="67"/>
      <c r="APQ2" s="67"/>
      <c r="APR2" s="67"/>
      <c r="APS2" s="67"/>
      <c r="APT2" s="67"/>
      <c r="APU2" s="67"/>
      <c r="APV2" s="67"/>
      <c r="APW2" s="67"/>
      <c r="APX2" s="67"/>
      <c r="APY2" s="67"/>
      <c r="APZ2" s="67"/>
      <c r="AQA2" s="67"/>
      <c r="AQB2" s="67"/>
      <c r="AQC2" s="67"/>
      <c r="AQD2" s="67"/>
      <c r="AQE2" s="67"/>
      <c r="AQF2" s="66">
        <f>VLOOKUP(AQF3,OverwiewSecondStage!$B$1:$H$33,7,FALSE)/4</f>
        <v>1.0416666666666666E-2</v>
      </c>
      <c r="AQG2" s="67"/>
      <c r="AQH2" s="67"/>
      <c r="AQI2" s="67"/>
      <c r="AQJ2" s="67"/>
      <c r="AQK2" s="67"/>
      <c r="AQL2" s="67"/>
      <c r="AQM2" s="67"/>
      <c r="AQN2" s="67"/>
      <c r="AQO2" s="67"/>
      <c r="AQP2" s="67"/>
      <c r="AQQ2" s="67"/>
      <c r="AQR2" s="67"/>
      <c r="AQS2" s="67"/>
      <c r="AQT2" s="67"/>
      <c r="AQU2" s="67"/>
      <c r="AQV2" s="67"/>
      <c r="AQW2" s="67"/>
      <c r="AQX2" s="67"/>
      <c r="AQY2" s="67"/>
      <c r="AQZ2" s="67"/>
      <c r="ARA2" s="67"/>
      <c r="ARB2" s="66">
        <f>VLOOKUP(ARB3,OverwiewSecondStage!$B$1:$H$33,7,FALSE)/4</f>
        <v>1.0416666666666666E-2</v>
      </c>
      <c r="ARC2" s="67"/>
      <c r="ARD2" s="67"/>
      <c r="ARE2" s="67"/>
      <c r="ARF2" s="67"/>
      <c r="ARG2" s="67"/>
      <c r="ARH2" s="67"/>
      <c r="ARI2" s="67"/>
      <c r="ARJ2" s="67"/>
      <c r="ARK2" s="67"/>
      <c r="ARL2" s="67"/>
      <c r="ARM2" s="67"/>
      <c r="ARN2" s="67"/>
      <c r="ARO2" s="67"/>
      <c r="ARP2" s="67"/>
      <c r="ARQ2" s="67"/>
      <c r="ARR2" s="67"/>
      <c r="ARS2" s="67"/>
      <c r="ART2" s="67"/>
      <c r="ARU2" s="67"/>
      <c r="ARV2" s="67"/>
      <c r="ARW2" s="67"/>
      <c r="ARX2" s="66">
        <f>VLOOKUP(ARX3,OverwiewSecondStage!$B$1:$H$33,7,FALSE)/4</f>
        <v>1.0416666666666666E-2</v>
      </c>
      <c r="ARY2" s="67"/>
      <c r="ARZ2" s="67"/>
      <c r="ASA2" s="67"/>
      <c r="ASB2" s="67"/>
      <c r="ASC2" s="67"/>
      <c r="ASD2" s="67"/>
      <c r="ASE2" s="67"/>
      <c r="ASF2" s="67"/>
      <c r="ASG2" s="67"/>
      <c r="ASH2" s="67"/>
      <c r="ASI2" s="67"/>
      <c r="ASJ2" s="67"/>
      <c r="ASK2" s="67"/>
      <c r="ASL2" s="67"/>
      <c r="ASM2" s="67"/>
      <c r="ASN2" s="67"/>
      <c r="ASO2" s="67"/>
      <c r="ASP2" s="67"/>
      <c r="ASQ2" s="67"/>
      <c r="ASR2" s="67"/>
      <c r="ASS2" s="67"/>
      <c r="AST2" s="66">
        <f>VLOOKUP(AST3,OverwiewSecondStage!$B$1:$H$33,7,FALSE)/4</f>
        <v>1.0416666666666666E-2</v>
      </c>
      <c r="ASU2" s="67"/>
      <c r="ASV2" s="67"/>
      <c r="ASW2" s="67"/>
      <c r="ASX2" s="67"/>
      <c r="ASY2" s="67"/>
      <c r="ASZ2" s="67"/>
      <c r="ATA2" s="67"/>
      <c r="ATB2" s="67"/>
      <c r="ATC2" s="67"/>
      <c r="ATD2" s="67"/>
      <c r="ATE2" s="67"/>
      <c r="ATF2" s="67"/>
      <c r="ATG2" s="67"/>
      <c r="ATH2" s="67"/>
      <c r="ATI2" s="67"/>
      <c r="ATJ2" s="67"/>
      <c r="ATK2" s="67"/>
      <c r="ATL2" s="67"/>
      <c r="ATM2" s="67"/>
      <c r="ATN2" s="67"/>
      <c r="ATO2" s="67"/>
      <c r="ATP2" s="66">
        <f>VLOOKUP(ATP3,OverwiewSecondStage!$B$1:$H$33,7,FALSE)/4</f>
        <v>1.0416666666666666E-2</v>
      </c>
      <c r="ATQ2" s="67"/>
      <c r="ATR2" s="67"/>
      <c r="ATS2" s="67"/>
      <c r="ATT2" s="67"/>
      <c r="ATU2" s="67"/>
      <c r="ATV2" s="67"/>
      <c r="ATW2" s="67"/>
      <c r="ATX2" s="67"/>
      <c r="ATY2" s="67"/>
      <c r="ATZ2" s="67"/>
      <c r="AUA2" s="67"/>
      <c r="AUB2" s="67"/>
      <c r="AUC2" s="67"/>
      <c r="AUD2" s="67"/>
      <c r="AUE2" s="67"/>
      <c r="AUF2" s="67"/>
      <c r="AUG2" s="67"/>
      <c r="AUH2" s="67"/>
      <c r="AUI2" s="67"/>
      <c r="AUJ2" s="67"/>
      <c r="AUK2" s="67"/>
      <c r="AUL2" s="66">
        <f>VLOOKUP(AUL3,OverwiewSecondStage!$B$1:$H$33,7,FALSE)/4</f>
        <v>1.0416666666666666E-2</v>
      </c>
      <c r="AUM2" s="67"/>
      <c r="AUN2" s="67"/>
      <c r="AUO2" s="67"/>
      <c r="AUP2" s="67"/>
      <c r="AUQ2" s="67"/>
      <c r="AUR2" s="67"/>
      <c r="AUS2" s="67"/>
      <c r="AUT2" s="67"/>
      <c r="AUU2" s="67"/>
      <c r="AUV2" s="67"/>
      <c r="AUW2" s="67"/>
      <c r="AUX2" s="67"/>
      <c r="AUY2" s="67"/>
      <c r="AUZ2" s="67"/>
      <c r="AVA2" s="67"/>
      <c r="AVB2" s="67"/>
      <c r="AVC2" s="67"/>
      <c r="AVD2" s="67"/>
      <c r="AVE2" s="67"/>
      <c r="AVF2" s="67"/>
      <c r="AVG2" s="67"/>
      <c r="AVH2" s="66">
        <f>VLOOKUP(AVH3,OverwiewSecondStage!$B$1:$H$33,7,FALSE)/4</f>
        <v>1.0416666666666666E-2</v>
      </c>
      <c r="AVI2" s="67"/>
      <c r="AVJ2" s="67"/>
      <c r="AVK2" s="67"/>
      <c r="AVL2" s="67"/>
      <c r="AVM2" s="67"/>
      <c r="AVN2" s="67"/>
      <c r="AVO2" s="67"/>
      <c r="AVP2" s="67"/>
      <c r="AVQ2" s="67"/>
      <c r="AVR2" s="67"/>
      <c r="AVS2" s="67"/>
      <c r="AVT2" s="67"/>
      <c r="AVU2" s="67"/>
      <c r="AVV2" s="67"/>
      <c r="AVW2" s="67"/>
      <c r="AVX2" s="67"/>
      <c r="AVY2" s="67"/>
      <c r="AVZ2" s="67"/>
      <c r="AWA2" s="67"/>
      <c r="AWB2" s="67"/>
      <c r="AWC2" s="67"/>
      <c r="AWD2" s="66">
        <f>VLOOKUP(AWD3,OverwiewSecondStage!$B$1:$H$33,7,FALSE)/4</f>
        <v>1.0416666666666666E-2</v>
      </c>
      <c r="AWE2" s="67"/>
      <c r="AWF2" s="67"/>
      <c r="AWG2" s="67"/>
      <c r="AWH2" s="67"/>
      <c r="AWI2" s="67"/>
      <c r="AWJ2" s="67"/>
      <c r="AWK2" s="67"/>
      <c r="AWL2" s="67"/>
      <c r="AWM2" s="67"/>
      <c r="AWN2" s="67"/>
      <c r="AWO2" s="67"/>
      <c r="AWP2" s="67"/>
      <c r="AWQ2" s="67"/>
      <c r="AWR2" s="67"/>
      <c r="AWS2" s="67"/>
      <c r="AWT2" s="67"/>
      <c r="AWU2" s="67"/>
      <c r="AWV2" s="67"/>
      <c r="AWW2" s="67"/>
      <c r="AWX2" s="67"/>
      <c r="AWY2" s="67"/>
      <c r="AWZ2" s="66">
        <f>VLOOKUP(AWZ3,OverwiewSecondStage!$B$1:$H$33,7,FALSE)/4</f>
        <v>1.0416666666666666E-2</v>
      </c>
      <c r="AXA2" s="67"/>
      <c r="AXB2" s="67"/>
      <c r="AXC2" s="67"/>
      <c r="AXD2" s="67"/>
      <c r="AXE2" s="67"/>
      <c r="AXF2" s="67"/>
      <c r="AXG2" s="67"/>
      <c r="AXH2" s="67"/>
      <c r="AXI2" s="67"/>
      <c r="AXJ2" s="67"/>
      <c r="AXK2" s="67"/>
      <c r="AXL2" s="67"/>
      <c r="AXM2" s="67"/>
      <c r="AXN2" s="67"/>
      <c r="AXO2" s="67"/>
      <c r="AXP2" s="67"/>
      <c r="AXQ2" s="67"/>
      <c r="AXR2" s="67"/>
      <c r="AXS2" s="67"/>
      <c r="AXT2" s="67"/>
      <c r="AXU2" s="67"/>
      <c r="AXV2" s="66">
        <f>VLOOKUP(AXV3,OverwiewSecondStage!$B$1:$H$33,7,FALSE)/4</f>
        <v>1.0416666666666666E-2</v>
      </c>
      <c r="AXW2" s="67"/>
      <c r="AXX2" s="67"/>
      <c r="AXY2" s="67"/>
      <c r="AXZ2" s="67"/>
      <c r="AYA2" s="67"/>
      <c r="AYB2" s="67"/>
      <c r="AYC2" s="67"/>
      <c r="AYD2" s="67"/>
      <c r="AYE2" s="67"/>
      <c r="AYF2" s="67"/>
      <c r="AYG2" s="67"/>
      <c r="AYH2" s="67"/>
      <c r="AYI2" s="67"/>
      <c r="AYJ2" s="67"/>
      <c r="AYK2" s="67"/>
      <c r="AYL2" s="67"/>
      <c r="AYM2" s="67"/>
      <c r="AYN2" s="67"/>
      <c r="AYO2" s="67"/>
      <c r="AYP2" s="67"/>
      <c r="AYQ2" s="67"/>
      <c r="AYR2" s="66">
        <f>VLOOKUP(AYR3,OverwiewSecondStage!$B$1:$H$33,7,FALSE)/4</f>
        <v>1.0416666666666666E-2</v>
      </c>
      <c r="AYS2" s="67"/>
      <c r="AYT2" s="67"/>
      <c r="AYU2" s="67"/>
      <c r="AYV2" s="67"/>
      <c r="AYW2" s="67"/>
      <c r="AYX2" s="67"/>
      <c r="AYY2" s="67"/>
      <c r="AYZ2" s="67"/>
      <c r="AZA2" s="67"/>
      <c r="AZB2" s="67"/>
      <c r="AZC2" s="67"/>
      <c r="AZD2" s="67"/>
      <c r="AZE2" s="67"/>
      <c r="AZF2" s="67"/>
      <c r="AZG2" s="67"/>
      <c r="AZH2" s="67"/>
      <c r="AZI2" s="67"/>
      <c r="AZJ2" s="67"/>
      <c r="AZK2" s="67"/>
      <c r="AZL2" s="67"/>
      <c r="AZM2" s="67"/>
      <c r="AZN2" s="66">
        <f>VLOOKUP(AZN3,OverwiewSecondStage!$B$1:$H$33,7,FALSE)/4</f>
        <v>1.0416666666666666E-2</v>
      </c>
      <c r="AZO2" s="67"/>
      <c r="AZP2" s="67"/>
      <c r="AZQ2" s="67"/>
      <c r="AZR2" s="67"/>
      <c r="AZS2" s="67"/>
      <c r="AZT2" s="67"/>
      <c r="AZU2" s="67"/>
      <c r="AZV2" s="67"/>
      <c r="AZW2" s="67"/>
      <c r="AZX2" s="67"/>
      <c r="AZY2" s="67"/>
      <c r="AZZ2" s="67"/>
      <c r="BAA2" s="67"/>
      <c r="BAB2" s="67"/>
      <c r="BAC2" s="67"/>
      <c r="BAD2" s="67"/>
      <c r="BAE2" s="67"/>
      <c r="BAF2" s="67"/>
      <c r="BAG2" s="67"/>
      <c r="BAH2" s="67"/>
      <c r="BAI2" s="67"/>
      <c r="BAJ2" s="66">
        <f>VLOOKUP(BAJ3,OverwiewSecondStage!$B$1:$H$33,7,FALSE)/4</f>
        <v>1.0416666666666666E-2</v>
      </c>
      <c r="BAK2" s="67"/>
      <c r="BAL2" s="67"/>
      <c r="BAM2" s="67"/>
      <c r="BAN2" s="67"/>
      <c r="BAO2" s="67"/>
      <c r="BAP2" s="67"/>
      <c r="BAQ2" s="67"/>
      <c r="BAR2" s="67"/>
      <c r="BAS2" s="67"/>
      <c r="BAT2" s="67"/>
      <c r="BAU2" s="67"/>
      <c r="BAV2" s="67"/>
      <c r="BAW2" s="67"/>
      <c r="BAX2" s="67"/>
      <c r="BAY2" s="67"/>
      <c r="BAZ2" s="67"/>
      <c r="BBA2" s="67"/>
      <c r="BBB2" s="67"/>
      <c r="BBC2" s="67"/>
      <c r="BBD2" s="67"/>
      <c r="BBE2" s="67"/>
      <c r="BBF2" s="66">
        <f>VLOOKUP(BBF3,OverwiewSecondStage!$B$1:$H$33,7,FALSE)/4</f>
        <v>0</v>
      </c>
      <c r="BBG2" s="67"/>
      <c r="BBH2" s="67"/>
      <c r="BBI2" s="67"/>
      <c r="BBJ2" s="67"/>
      <c r="BBK2" s="67"/>
      <c r="BBL2" s="67"/>
      <c r="BBM2" s="67"/>
      <c r="BBN2" s="67"/>
      <c r="BBO2" s="67"/>
      <c r="BBP2" s="67"/>
      <c r="BBQ2" s="67"/>
      <c r="BBR2" s="67"/>
      <c r="BBS2" s="67"/>
      <c r="BBT2" s="67"/>
      <c r="BBU2" s="67"/>
      <c r="BBV2" s="67"/>
      <c r="BBW2" s="67"/>
      <c r="BBX2" s="67"/>
      <c r="BBY2" s="67"/>
      <c r="BBZ2" s="67"/>
      <c r="BCA2" s="67"/>
      <c r="BCB2" s="66">
        <f>VLOOKUP(BCB3,OverwiewSecondStage!$B$1:$H$33,7,FALSE)/4</f>
        <v>1.0416666666666666E-2</v>
      </c>
      <c r="BCC2" s="67"/>
      <c r="BCD2" s="67"/>
      <c r="BCE2" s="67"/>
      <c r="BCF2" s="67"/>
      <c r="BCG2" s="67"/>
      <c r="BCH2" s="67"/>
      <c r="BCI2" s="67"/>
      <c r="BCJ2" s="67"/>
      <c r="BCK2" s="67"/>
      <c r="BCL2" s="67"/>
      <c r="BCM2" s="67"/>
      <c r="BCN2" s="67"/>
      <c r="BCO2" s="67"/>
      <c r="BCP2" s="67"/>
      <c r="BCQ2" s="67"/>
      <c r="BCR2" s="67"/>
      <c r="BCS2" s="67"/>
      <c r="BCT2" s="67"/>
      <c r="BCU2" s="67"/>
      <c r="BCV2" s="67"/>
      <c r="BCW2" s="67"/>
      <c r="BCX2" s="66">
        <f>VLOOKUP(BCX3,OverwiewSecondStage!$B$1:$H$33,7,FALSE)/4</f>
        <v>0</v>
      </c>
      <c r="BCY2" s="67"/>
      <c r="BCZ2" s="67"/>
      <c r="BDA2" s="67"/>
      <c r="BDB2" s="67"/>
      <c r="BDC2" s="67"/>
      <c r="BDD2" s="67"/>
      <c r="BDE2" s="67"/>
      <c r="BDF2" s="67"/>
      <c r="BDG2" s="67"/>
      <c r="BDH2" s="67"/>
      <c r="BDI2" s="67"/>
      <c r="BDJ2" s="67"/>
      <c r="BDK2" s="67"/>
      <c r="BDL2" s="67"/>
      <c r="BDM2" s="67"/>
      <c r="BDN2" s="67"/>
      <c r="BDO2" s="67"/>
      <c r="BDP2" s="67"/>
      <c r="BDQ2" s="67"/>
      <c r="BDR2" s="67"/>
      <c r="BDS2" s="67"/>
      <c r="BDT2" s="66">
        <f>VLOOKUP(BDT3,OverwiewSecondStage!$B$1:$H$33,7,FALSE)/4</f>
        <v>1.0416666666666666E-2</v>
      </c>
      <c r="BDU2" s="67"/>
      <c r="BDV2" s="67"/>
      <c r="BDW2" s="67"/>
      <c r="BDX2" s="67"/>
      <c r="BDY2" s="67"/>
      <c r="BDZ2" s="67"/>
      <c r="BEA2" s="67"/>
      <c r="BEB2" s="67"/>
      <c r="BEC2" s="67"/>
      <c r="BED2" s="67"/>
      <c r="BEE2" s="67"/>
      <c r="BEF2" s="67"/>
      <c r="BEG2" s="67"/>
      <c r="BEH2" s="67"/>
      <c r="BEI2" s="67"/>
      <c r="BEJ2" s="67"/>
      <c r="BEK2" s="67"/>
      <c r="BEL2" s="67"/>
      <c r="BEM2" s="67"/>
      <c r="BEN2" s="67"/>
      <c r="BEO2" s="67"/>
      <c r="BEP2" s="66">
        <f>VLOOKUP(BEP3,OverwiewSecondStage!$B$1:$H$33,7,FALSE)/4</f>
        <v>0</v>
      </c>
      <c r="BEQ2" s="67"/>
      <c r="BER2" s="67"/>
      <c r="BES2" s="67"/>
      <c r="BET2" s="67"/>
      <c r="BEU2" s="67"/>
      <c r="BEV2" s="67"/>
      <c r="BEW2" s="67"/>
      <c r="BEX2" s="67"/>
      <c r="BEY2" s="67"/>
      <c r="BEZ2" s="67"/>
      <c r="BFA2" s="67"/>
      <c r="BFB2" s="67"/>
      <c r="BFC2" s="67"/>
      <c r="BFD2" s="67"/>
      <c r="BFE2" s="67"/>
      <c r="BFF2" s="67"/>
      <c r="BFG2" s="67"/>
      <c r="BFH2" s="67"/>
      <c r="BFI2" s="67"/>
      <c r="BFJ2" s="67"/>
      <c r="BFK2" s="67"/>
      <c r="BFL2" s="66">
        <f>VLOOKUP(BFL3,OverwiewSecondStage!$B$1:$H$33,7,FALSE)/4</f>
        <v>1.0416666666666666E-2</v>
      </c>
      <c r="BFM2" s="67"/>
      <c r="BFN2" s="67"/>
      <c r="BFO2" s="67"/>
      <c r="BFP2" s="67"/>
      <c r="BFQ2" s="67"/>
      <c r="BFR2" s="67"/>
      <c r="BFS2" s="67"/>
      <c r="BFT2" s="67"/>
      <c r="BFU2" s="67"/>
      <c r="BFV2" s="67"/>
      <c r="BFW2" s="67"/>
      <c r="BFX2" s="67"/>
      <c r="BFY2" s="67"/>
      <c r="BFZ2" s="67"/>
      <c r="BGA2" s="67"/>
      <c r="BGB2" s="67"/>
      <c r="BGC2" s="67"/>
      <c r="BGD2" s="67"/>
      <c r="BGE2" s="67"/>
      <c r="BGF2" s="67"/>
      <c r="BGG2" s="67"/>
      <c r="BGH2" s="66">
        <f>VLOOKUP(BGH3,OverwiewSecondStage!$B$1:$H$33,7,FALSE)/4</f>
        <v>0</v>
      </c>
      <c r="BGI2" s="67"/>
      <c r="BGJ2" s="67"/>
      <c r="BGK2" s="67"/>
      <c r="BGL2" s="67"/>
      <c r="BGM2" s="67"/>
      <c r="BGN2" s="67"/>
      <c r="BGO2" s="67"/>
      <c r="BGP2" s="67"/>
      <c r="BGQ2" s="67"/>
      <c r="BGR2" s="67"/>
      <c r="BGS2" s="67"/>
      <c r="BGT2" s="67"/>
      <c r="BGU2" s="67"/>
      <c r="BGV2" s="67"/>
      <c r="BGW2" s="67"/>
      <c r="BGX2" s="67"/>
      <c r="BGY2" s="67"/>
      <c r="BGZ2" s="67"/>
      <c r="BHA2" s="67"/>
      <c r="BHB2" s="67"/>
      <c r="BHC2" s="67"/>
      <c r="BHD2" s="66">
        <f>VLOOKUP(BHD3,OverwiewSecondStage!$B$1:$H$33,7,FALSE)/4</f>
        <v>1.0416666666666666E-2</v>
      </c>
      <c r="BHE2" s="67"/>
      <c r="BHF2" s="67"/>
      <c r="BHG2" s="67"/>
      <c r="BHH2" s="67"/>
      <c r="BHI2" s="67"/>
      <c r="BHJ2" s="67"/>
      <c r="BHK2" s="67"/>
      <c r="BHL2" s="67"/>
      <c r="BHM2" s="67"/>
      <c r="BHN2" s="67"/>
      <c r="BHO2" s="67"/>
      <c r="BHP2" s="67"/>
      <c r="BHQ2" s="67"/>
      <c r="BHR2" s="67"/>
      <c r="BHS2" s="67"/>
      <c r="BHT2" s="67"/>
      <c r="BHU2" s="67"/>
      <c r="BHV2" s="67"/>
      <c r="BHW2" s="67"/>
      <c r="BHX2" s="67"/>
      <c r="BHY2" s="67"/>
      <c r="BHZ2" s="66">
        <f>VLOOKUP(BHZ3,OverwiewSecondStage!$B$1:$H$33,7,FALSE)/4</f>
        <v>0</v>
      </c>
      <c r="BIA2" s="67"/>
      <c r="BIB2" s="67"/>
      <c r="BIC2" s="67"/>
      <c r="BID2" s="67"/>
      <c r="BIE2" s="67"/>
      <c r="BIF2" s="67"/>
      <c r="BIG2" s="67"/>
      <c r="BIH2" s="67"/>
      <c r="BII2" s="67"/>
      <c r="BIJ2" s="67"/>
      <c r="BIK2" s="67"/>
      <c r="BIL2" s="67"/>
      <c r="BIM2" s="67"/>
      <c r="BIN2" s="67"/>
      <c r="BIO2" s="67"/>
      <c r="BIP2" s="67"/>
      <c r="BIQ2" s="67"/>
      <c r="BIR2" s="67"/>
      <c r="BIS2" s="67"/>
      <c r="BIT2" s="67"/>
      <c r="BIU2" s="67"/>
      <c r="BIV2" s="66">
        <f>VLOOKUP(BIV3,OverwiewSecondStage!$B$1:$H$33,7,FALSE)/4</f>
        <v>1.0416666666666666E-2</v>
      </c>
      <c r="BIW2" s="67"/>
      <c r="BIX2" s="67"/>
      <c r="BIY2" s="67"/>
      <c r="BIZ2" s="67"/>
      <c r="BJA2" s="67"/>
      <c r="BJB2" s="67"/>
      <c r="BJC2" s="67"/>
      <c r="BJD2" s="67"/>
      <c r="BJE2" s="67"/>
      <c r="BJF2" s="67"/>
      <c r="BJG2" s="67"/>
      <c r="BJH2" s="67"/>
      <c r="BJI2" s="67"/>
      <c r="BJJ2" s="67"/>
      <c r="BJK2" s="67"/>
      <c r="BJL2" s="67"/>
      <c r="BJM2" s="67"/>
      <c r="BJN2" s="67"/>
      <c r="BJO2" s="67"/>
      <c r="BJP2" s="67"/>
      <c r="BJQ2" s="67"/>
      <c r="BJR2" s="66">
        <f>VLOOKUP(BJR3,OverwiewSecondStage!$B$1:$H$33,7,FALSE)/4</f>
        <v>0</v>
      </c>
      <c r="BJS2" s="67"/>
      <c r="BJT2" s="67"/>
      <c r="BJU2" s="67"/>
      <c r="BJV2" s="67"/>
      <c r="BJW2" s="67"/>
      <c r="BJX2" s="67"/>
      <c r="BJY2" s="67"/>
      <c r="BJZ2" s="67"/>
      <c r="BKA2" s="67"/>
      <c r="BKB2" s="67"/>
      <c r="BKC2" s="67"/>
      <c r="BKD2" s="67"/>
      <c r="BKE2" s="67"/>
      <c r="BKF2" s="67"/>
      <c r="BKG2" s="67"/>
      <c r="BKH2" s="67"/>
      <c r="BKI2" s="67"/>
      <c r="BKJ2" s="67"/>
      <c r="BKK2" s="67"/>
      <c r="BKL2" s="67"/>
      <c r="BKM2" s="67"/>
      <c r="BKN2" s="66">
        <f>VLOOKUP(BKN3,OverwiewSecondStage!$B$1:$H$33,7,FALSE)/4</f>
        <v>1.0416666666666666E-2</v>
      </c>
      <c r="BKO2" s="67"/>
      <c r="BKP2" s="67"/>
      <c r="BKQ2" s="67"/>
      <c r="BKR2" s="67"/>
      <c r="BKS2" s="67"/>
      <c r="BKT2" s="67"/>
      <c r="BKU2" s="67"/>
      <c r="BKV2" s="67"/>
      <c r="BKW2" s="67"/>
      <c r="BKX2" s="67"/>
      <c r="BKY2" s="67"/>
      <c r="BKZ2" s="67"/>
      <c r="BLA2" s="67"/>
      <c r="BLB2" s="67"/>
      <c r="BLC2" s="67"/>
      <c r="BLD2" s="67"/>
      <c r="BLE2" s="67"/>
      <c r="BLF2" s="67"/>
      <c r="BLG2" s="67"/>
      <c r="BLH2" s="67"/>
      <c r="BLI2" s="67"/>
      <c r="BLJ2" s="66">
        <f>VLOOKUP(BLJ3,OverwiewSecondStage!$B$1:$H$33,7,FALSE)/4</f>
        <v>0</v>
      </c>
      <c r="BLK2" s="67"/>
      <c r="BLL2" s="67"/>
      <c r="BLM2" s="67"/>
      <c r="BLN2" s="67"/>
      <c r="BLO2" s="67"/>
      <c r="BLP2" s="67"/>
      <c r="BLQ2" s="67"/>
      <c r="BLR2" s="67"/>
      <c r="BLS2" s="67"/>
      <c r="BLT2" s="67"/>
      <c r="BLU2" s="67"/>
      <c r="BLV2" s="67"/>
      <c r="BLW2" s="67"/>
      <c r="BLX2" s="67"/>
      <c r="BLY2" s="67"/>
      <c r="BLZ2" s="67"/>
      <c r="BMA2" s="67"/>
      <c r="BMB2" s="67"/>
      <c r="BMC2" s="67"/>
      <c r="BMD2" s="67"/>
      <c r="BME2" s="67"/>
      <c r="BMF2" s="66">
        <f>VLOOKUP(BMF3,OverwiewSecondStage!$B$1:$H$33,7,FALSE)/4</f>
        <v>1.0416666666666666E-2</v>
      </c>
      <c r="BMG2" s="67"/>
      <c r="BMH2" s="67"/>
      <c r="BMI2" s="67"/>
      <c r="BMJ2" s="67"/>
      <c r="BMK2" s="67"/>
      <c r="BML2" s="67"/>
      <c r="BMM2" s="67"/>
      <c r="BMN2" s="67"/>
      <c r="BMO2" s="67"/>
      <c r="BMP2" s="67"/>
      <c r="BMQ2" s="67"/>
      <c r="BMR2" s="67"/>
      <c r="BMS2" s="67"/>
      <c r="BMT2" s="67"/>
      <c r="BMU2" s="67"/>
      <c r="BMV2" s="67"/>
      <c r="BMW2" s="67"/>
      <c r="BMX2" s="67"/>
      <c r="BMY2" s="67"/>
      <c r="BMZ2" s="67"/>
      <c r="BNA2" s="67"/>
      <c r="BNB2" s="66">
        <f>VLOOKUP(BNB3,OverwiewSecondStage!$B$1:$H$33,7,FALSE)/4</f>
        <v>0</v>
      </c>
      <c r="BNC2" s="67"/>
      <c r="BND2" s="67"/>
      <c r="BNE2" s="67"/>
      <c r="BNF2" s="67"/>
      <c r="BNG2" s="67"/>
      <c r="BNH2" s="67"/>
      <c r="BNI2" s="67"/>
      <c r="BNJ2" s="67"/>
      <c r="BNK2" s="67"/>
      <c r="BNL2" s="67"/>
      <c r="BNM2" s="67"/>
      <c r="BNN2" s="67"/>
      <c r="BNO2" s="67"/>
      <c r="BNP2" s="67"/>
      <c r="BNQ2" s="67"/>
      <c r="BNR2" s="67"/>
      <c r="BNS2" s="67"/>
      <c r="BNT2" s="67"/>
      <c r="BNU2" s="67"/>
      <c r="BNV2" s="67"/>
      <c r="BNW2" s="67"/>
      <c r="BNX2" s="66">
        <f>VLOOKUP(BNX3,OverwiewSecondStage!$B$1:$H$33,7,FALSE)/4</f>
        <v>1.0416666666666666E-2</v>
      </c>
      <c r="BNY2" s="67"/>
      <c r="BNZ2" s="67"/>
      <c r="BOA2" s="67"/>
      <c r="BOB2" s="67"/>
      <c r="BOC2" s="67"/>
      <c r="BOD2" s="67"/>
      <c r="BOE2" s="67"/>
      <c r="BOF2" s="67"/>
      <c r="BOG2" s="67"/>
      <c r="BOH2" s="67"/>
      <c r="BOI2" s="67"/>
      <c r="BOJ2" s="67"/>
      <c r="BOK2" s="67"/>
      <c r="BOL2" s="67"/>
      <c r="BOM2" s="67"/>
      <c r="BON2" s="67"/>
      <c r="BOO2" s="67"/>
      <c r="BOP2" s="67"/>
      <c r="BOQ2" s="67"/>
      <c r="BOR2" s="67"/>
      <c r="BOS2" s="67"/>
      <c r="BOT2" s="66">
        <f>VLOOKUP(BOT3,OverwiewSecondStage!$B$1:$H$33,7,FALSE)/4</f>
        <v>1.0416666666666666E-2</v>
      </c>
      <c r="BOU2" s="67"/>
      <c r="BOV2" s="67"/>
      <c r="BOW2" s="67"/>
      <c r="BOX2" s="67"/>
      <c r="BOY2" s="67"/>
      <c r="BOZ2" s="67"/>
      <c r="BPA2" s="67"/>
      <c r="BPB2" s="67"/>
      <c r="BPC2" s="67"/>
      <c r="BPD2" s="67"/>
      <c r="BPE2" s="67"/>
      <c r="BPF2" s="67"/>
      <c r="BPG2" s="67"/>
      <c r="BPH2" s="67"/>
      <c r="BPI2" s="67"/>
      <c r="BPJ2" s="67"/>
      <c r="BPK2" s="67"/>
      <c r="BPL2" s="67"/>
      <c r="BPM2" s="67"/>
      <c r="BPN2" s="67"/>
      <c r="BPO2" s="67"/>
      <c r="BPP2" s="66">
        <f>VLOOKUP(BPP3,OverwiewSecondStage!$B$1:$H$33,7,FALSE)/4</f>
        <v>1.0416666666666666E-2</v>
      </c>
      <c r="BPQ2" s="67"/>
      <c r="BPR2" s="67"/>
      <c r="BPS2" s="67"/>
      <c r="BPT2" s="67"/>
      <c r="BPU2" s="67"/>
      <c r="BPV2" s="67"/>
      <c r="BPW2" s="67"/>
      <c r="BPX2" s="67"/>
      <c r="BPY2" s="67"/>
      <c r="BPZ2" s="67"/>
      <c r="BQA2" s="67"/>
      <c r="BQB2" s="67"/>
      <c r="BQC2" s="67"/>
      <c r="BQD2" s="67"/>
      <c r="BQE2" s="67"/>
      <c r="BQF2" s="67"/>
      <c r="BQG2" s="67"/>
      <c r="BQH2" s="67"/>
      <c r="BQI2" s="67"/>
      <c r="BQJ2" s="67"/>
      <c r="BQK2" s="67"/>
      <c r="BQL2" s="66">
        <f>VLOOKUP(BQL3,OverwiewSecondStage!$B$1:$H$33,7,FALSE)/4</f>
        <v>1.0416666666666666E-2</v>
      </c>
      <c r="BQM2" s="67"/>
      <c r="BQN2" s="67"/>
      <c r="BQO2" s="67"/>
      <c r="BQP2" s="67"/>
      <c r="BQQ2" s="67"/>
      <c r="BQR2" s="67"/>
      <c r="BQS2" s="67"/>
      <c r="BQT2" s="67"/>
      <c r="BQU2" s="67"/>
      <c r="BQV2" s="67"/>
      <c r="BQW2" s="67"/>
      <c r="BQX2" s="67"/>
      <c r="BQY2" s="67"/>
      <c r="BQZ2" s="67"/>
      <c r="BRA2" s="67"/>
      <c r="BRB2" s="67"/>
      <c r="BRC2" s="67"/>
      <c r="BRD2" s="67"/>
      <c r="BRE2" s="67"/>
      <c r="BRF2" s="67"/>
      <c r="BRG2" s="67"/>
      <c r="BRH2" s="66">
        <f>VLOOKUP(BRH3,OverwiewSecondStage!$B$1:$H$33,7,FALSE)/4</f>
        <v>1.0416666666666666E-2</v>
      </c>
      <c r="BRI2" s="67"/>
      <c r="BRJ2" s="67"/>
      <c r="BRK2" s="67"/>
      <c r="BRL2" s="67"/>
      <c r="BRM2" s="67"/>
      <c r="BRN2" s="67"/>
      <c r="BRO2" s="67"/>
      <c r="BRP2" s="67"/>
      <c r="BRQ2" s="67"/>
      <c r="BRR2" s="67"/>
      <c r="BRS2" s="67"/>
      <c r="BRT2" s="67"/>
      <c r="BRU2" s="67"/>
      <c r="BRV2" s="67"/>
      <c r="BRW2" s="67"/>
      <c r="BRX2" s="67"/>
      <c r="BRY2" s="67"/>
      <c r="BRZ2" s="67"/>
      <c r="BSA2" s="67"/>
      <c r="BSB2" s="67"/>
      <c r="BSC2" s="67"/>
      <c r="BSD2" s="66">
        <f>VLOOKUP(BSD3,OverwiewSecondStage!$B$1:$H$33,7,FALSE)/4</f>
        <v>1.0416666666666666E-2</v>
      </c>
      <c r="BSE2" s="67"/>
      <c r="BSF2" s="67"/>
      <c r="BSG2" s="67"/>
      <c r="BSH2" s="67"/>
      <c r="BSI2" s="67"/>
      <c r="BSJ2" s="67"/>
      <c r="BSK2" s="67"/>
      <c r="BSL2" s="67"/>
      <c r="BSM2" s="67"/>
      <c r="BSN2" s="67"/>
      <c r="BSO2" s="67"/>
      <c r="BSP2" s="67"/>
      <c r="BSQ2" s="67"/>
      <c r="BSR2" s="67"/>
      <c r="BSS2" s="67"/>
      <c r="BST2" s="67"/>
      <c r="BSU2" s="67"/>
      <c r="BSV2" s="67"/>
      <c r="BSW2" s="67"/>
      <c r="BSX2" s="67"/>
      <c r="BSY2" s="67"/>
      <c r="BSZ2" s="66">
        <f>VLOOKUP(BSZ3,OverwiewSecondStage!$B$1:$H$33,7,FALSE)/4</f>
        <v>1.0416666666666666E-2</v>
      </c>
      <c r="BTA2" s="67"/>
      <c r="BTB2" s="67"/>
      <c r="BTC2" s="67"/>
      <c r="BTD2" s="67"/>
      <c r="BTE2" s="67"/>
      <c r="BTF2" s="67"/>
      <c r="BTG2" s="67"/>
      <c r="BTH2" s="67"/>
      <c r="BTI2" s="67"/>
      <c r="BTJ2" s="67"/>
      <c r="BTK2" s="67"/>
      <c r="BTL2" s="67"/>
      <c r="BTM2" s="67"/>
      <c r="BTN2" s="67"/>
      <c r="BTO2" s="67"/>
      <c r="BTP2" s="67"/>
      <c r="BTQ2" s="67"/>
      <c r="BTR2" s="67"/>
      <c r="BTS2" s="67"/>
      <c r="BTT2" s="67"/>
      <c r="BTU2" s="67"/>
      <c r="BTV2" s="66">
        <f>VLOOKUP(BTV3,OverwiewSecondStage!$B$1:$H$33,7,FALSE)/4</f>
        <v>1.0416666666666666E-2</v>
      </c>
      <c r="BTW2" s="67"/>
      <c r="BTX2" s="67"/>
      <c r="BTY2" s="67"/>
      <c r="BTZ2" s="67"/>
      <c r="BUA2" s="67"/>
      <c r="BUB2" s="67"/>
      <c r="BUC2" s="67"/>
      <c r="BUD2" s="67"/>
      <c r="BUE2" s="67"/>
      <c r="BUF2" s="67"/>
      <c r="BUG2" s="67"/>
      <c r="BUH2" s="67"/>
      <c r="BUI2" s="67"/>
      <c r="BUJ2" s="67"/>
      <c r="BUK2" s="67"/>
      <c r="BUL2" s="67"/>
      <c r="BUM2" s="67"/>
      <c r="BUN2" s="67"/>
      <c r="BUO2" s="67"/>
      <c r="BUP2" s="67"/>
      <c r="BUQ2" s="67"/>
      <c r="BUR2" s="66">
        <f>VLOOKUP(BUR3,OverwiewSecondStage!$B$1:$H$33,7,FALSE)/4</f>
        <v>1.0416666666666666E-2</v>
      </c>
      <c r="BUS2" s="67"/>
      <c r="BUT2" s="67"/>
      <c r="BUU2" s="67"/>
      <c r="BUV2" s="67"/>
      <c r="BUW2" s="67"/>
      <c r="BUX2" s="67"/>
      <c r="BUY2" s="67"/>
      <c r="BUZ2" s="67"/>
      <c r="BVA2" s="67"/>
      <c r="BVB2" s="67"/>
      <c r="BVC2" s="67"/>
      <c r="BVD2" s="67"/>
      <c r="BVE2" s="67"/>
      <c r="BVF2" s="67"/>
      <c r="BVG2" s="67"/>
      <c r="BVH2" s="67"/>
      <c r="BVI2" s="67"/>
      <c r="BVJ2" s="67"/>
      <c r="BVK2" s="67"/>
      <c r="BVL2" s="67"/>
      <c r="BVM2" s="67"/>
      <c r="BVN2" s="66">
        <f>VLOOKUP(BVN3,OverwiewSecondStage!$B$1:$H$33,7,FALSE)/4</f>
        <v>1.0416666666666666E-2</v>
      </c>
      <c r="BVO2" s="67"/>
      <c r="BVP2" s="67"/>
      <c r="BVQ2" s="67"/>
      <c r="BVR2" s="67"/>
      <c r="BVS2" s="67"/>
      <c r="BVT2" s="67"/>
      <c r="BVU2" s="67"/>
      <c r="BVV2" s="67"/>
      <c r="BVW2" s="67"/>
      <c r="BVX2" s="67"/>
      <c r="BVY2" s="67"/>
      <c r="BVZ2" s="67"/>
      <c r="BWA2" s="67"/>
      <c r="BWB2" s="67"/>
      <c r="BWC2" s="67"/>
      <c r="BWD2" s="67"/>
      <c r="BWE2" s="67"/>
      <c r="BWF2" s="67"/>
      <c r="BWG2" s="67"/>
      <c r="BWH2" s="67"/>
      <c r="BWI2" s="67"/>
      <c r="BWJ2" s="66">
        <f>VLOOKUP(BWJ3,OverwiewSecondStage!$B$1:$H$33,7,FALSE)/4</f>
        <v>1.0416666666666666E-2</v>
      </c>
      <c r="BWK2" s="67"/>
      <c r="BWL2" s="67"/>
      <c r="BWM2" s="67"/>
      <c r="BWN2" s="67"/>
      <c r="BWO2" s="67"/>
      <c r="BWP2" s="67"/>
      <c r="BWQ2" s="67"/>
      <c r="BWR2" s="67"/>
      <c r="BWS2" s="67"/>
      <c r="BWT2" s="67"/>
      <c r="BWU2" s="67"/>
      <c r="BWV2" s="67"/>
      <c r="BWW2" s="67"/>
      <c r="BWX2" s="67"/>
      <c r="BWY2" s="67"/>
      <c r="BWZ2" s="67"/>
      <c r="BXA2" s="67"/>
      <c r="BXB2" s="67"/>
      <c r="BXC2" s="67"/>
      <c r="BXD2" s="67"/>
      <c r="BXE2" s="67"/>
      <c r="BXF2" s="66">
        <f>VLOOKUP(BXF3,OverwiewSecondStage!$B$1:$H$33,7,FALSE)/4</f>
        <v>1.0416666666666666E-2</v>
      </c>
      <c r="BXG2" s="67"/>
      <c r="BXH2" s="67"/>
      <c r="BXI2" s="67"/>
      <c r="BXJ2" s="67"/>
      <c r="BXK2" s="67"/>
      <c r="BXL2" s="67"/>
      <c r="BXM2" s="67"/>
      <c r="BXN2" s="67"/>
      <c r="BXO2" s="67"/>
      <c r="BXP2" s="67"/>
      <c r="BXQ2" s="67"/>
      <c r="BXR2" s="67"/>
      <c r="BXS2" s="67"/>
      <c r="BXT2" s="67"/>
      <c r="BXU2" s="67"/>
      <c r="BXV2" s="67"/>
      <c r="BXW2" s="67"/>
      <c r="BXX2" s="67"/>
      <c r="BXY2" s="67"/>
      <c r="BXZ2" s="67"/>
      <c r="BYA2" s="67"/>
      <c r="BYB2" s="66">
        <f>VLOOKUP(BYB3,OverwiewSecondStage!$B$1:$H$33,7,FALSE)/4</f>
        <v>1.0416666666666666E-2</v>
      </c>
      <c r="BYC2" s="67"/>
      <c r="BYD2" s="67"/>
      <c r="BYE2" s="67"/>
      <c r="BYF2" s="67"/>
      <c r="BYG2" s="67"/>
      <c r="BYH2" s="67"/>
      <c r="BYI2" s="67"/>
      <c r="BYJ2" s="67"/>
      <c r="BYK2" s="67"/>
      <c r="BYL2" s="67"/>
      <c r="BYM2" s="67"/>
      <c r="BYN2" s="67"/>
      <c r="BYO2" s="67"/>
      <c r="BYP2" s="67"/>
      <c r="BYQ2" s="67"/>
      <c r="BYR2" s="67"/>
      <c r="BYS2" s="67"/>
      <c r="BYT2" s="67"/>
      <c r="BYU2" s="67"/>
      <c r="BYV2" s="67"/>
      <c r="BYW2" s="67"/>
      <c r="BYX2" s="66">
        <f>VLOOKUP(BYX3,OverwiewSecondStage!$B$1:$H$33,7,FALSE)/4</f>
        <v>1.0416666666666666E-2</v>
      </c>
      <c r="BYY2" s="67"/>
      <c r="BYZ2" s="67"/>
      <c r="BZA2" s="67"/>
      <c r="BZB2" s="67"/>
      <c r="BZC2" s="67"/>
      <c r="BZD2" s="67"/>
      <c r="BZE2" s="67"/>
      <c r="BZF2" s="67"/>
      <c r="BZG2" s="67"/>
      <c r="BZH2" s="67"/>
      <c r="BZI2" s="67"/>
      <c r="BZJ2" s="67"/>
      <c r="BZK2" s="67"/>
      <c r="BZL2" s="67"/>
      <c r="BZM2" s="67"/>
      <c r="BZN2" s="67"/>
      <c r="BZO2" s="67"/>
      <c r="BZP2" s="67"/>
      <c r="BZQ2" s="67"/>
      <c r="BZR2" s="67"/>
      <c r="BZS2" s="67"/>
      <c r="BZT2" s="66">
        <f>VLOOKUP(BZT3,OverwiewSecondStage!$B$1:$H$33,7,FALSE)/4</f>
        <v>1.0416666666666666E-2</v>
      </c>
      <c r="BZU2" s="67"/>
      <c r="BZV2" s="67"/>
      <c r="BZW2" s="67"/>
      <c r="BZX2" s="67"/>
      <c r="BZY2" s="67"/>
      <c r="BZZ2" s="67"/>
      <c r="CAA2" s="67"/>
      <c r="CAB2" s="67"/>
      <c r="CAC2" s="67"/>
      <c r="CAD2" s="67"/>
      <c r="CAE2" s="67"/>
      <c r="CAF2" s="67"/>
      <c r="CAG2" s="67"/>
      <c r="CAH2" s="67"/>
      <c r="CAI2" s="67"/>
      <c r="CAJ2" s="67"/>
      <c r="CAK2" s="67"/>
      <c r="CAL2" s="67"/>
      <c r="CAM2" s="67"/>
      <c r="CAN2" s="67"/>
      <c r="CAO2" s="67"/>
      <c r="CAP2" s="66">
        <f>VLOOKUP(CAP3,OverwiewSecondStage!$B$1:$H$33,7,FALSE)/4</f>
        <v>1.0416666666666666E-2</v>
      </c>
      <c r="CAQ2" s="67"/>
      <c r="CAR2" s="67"/>
      <c r="CAS2" s="67"/>
      <c r="CAT2" s="67"/>
      <c r="CAU2" s="67"/>
      <c r="CAV2" s="67"/>
      <c r="CAW2" s="67"/>
      <c r="CAX2" s="67"/>
      <c r="CAY2" s="67"/>
      <c r="CAZ2" s="67"/>
      <c r="CBA2" s="67"/>
      <c r="CBB2" s="67"/>
      <c r="CBC2" s="67"/>
      <c r="CBD2" s="67"/>
      <c r="CBE2" s="67"/>
      <c r="CBF2" s="67"/>
      <c r="CBG2" s="67"/>
      <c r="CBH2" s="67"/>
      <c r="CBI2" s="67"/>
      <c r="CBJ2" s="67"/>
      <c r="CBK2" s="67"/>
      <c r="CBL2" s="66">
        <f>VLOOKUP(CBL3,OverwiewSecondStage!$B$1:$H$33,7,FALSE)/4</f>
        <v>1.0416666666666666E-2</v>
      </c>
      <c r="CBM2" s="67"/>
      <c r="CBN2" s="67"/>
      <c r="CBO2" s="67"/>
      <c r="CBP2" s="67"/>
      <c r="CBQ2" s="67"/>
      <c r="CBR2" s="67"/>
      <c r="CBS2" s="67"/>
      <c r="CBT2" s="67"/>
      <c r="CBU2" s="67"/>
      <c r="CBV2" s="67"/>
      <c r="CBW2" s="67"/>
      <c r="CBX2" s="67"/>
      <c r="CBY2" s="67"/>
      <c r="CBZ2" s="67"/>
      <c r="CCA2" s="67"/>
      <c r="CCB2" s="67"/>
      <c r="CCC2" s="67"/>
      <c r="CCD2" s="67"/>
      <c r="CCE2" s="67"/>
      <c r="CCF2" s="67"/>
      <c r="CCG2" s="67"/>
      <c r="CCH2" s="66">
        <f>VLOOKUP(CCH3,OverwiewSecondStage!$B$1:$H$33,7,FALSE)/4</f>
        <v>0</v>
      </c>
      <c r="CCI2" s="67"/>
      <c r="CCJ2" s="67"/>
      <c r="CCK2" s="67"/>
      <c r="CCL2" s="67"/>
      <c r="CCM2" s="67"/>
      <c r="CCN2" s="67"/>
      <c r="CCO2" s="67"/>
      <c r="CCP2" s="67"/>
      <c r="CCQ2" s="67"/>
      <c r="CCR2" s="67"/>
      <c r="CCS2" s="67"/>
      <c r="CCT2" s="67"/>
      <c r="CCU2" s="67"/>
      <c r="CCV2" s="67"/>
      <c r="CCW2" s="67"/>
      <c r="CCX2" s="67"/>
      <c r="CCY2" s="67"/>
      <c r="CCZ2" s="67"/>
      <c r="CDA2" s="67"/>
      <c r="CDB2" s="67"/>
      <c r="CDC2" s="67"/>
      <c r="CDD2" s="66">
        <f>VLOOKUP(CDD3,OverwiewSecondStage!$B$1:$H$33,7,FALSE)/4</f>
        <v>1.0416666666666666E-2</v>
      </c>
      <c r="CDE2" s="67"/>
      <c r="CDF2" s="67"/>
      <c r="CDG2" s="67"/>
      <c r="CDH2" s="67"/>
      <c r="CDI2" s="67"/>
      <c r="CDJ2" s="67"/>
      <c r="CDK2" s="67"/>
      <c r="CDL2" s="67"/>
      <c r="CDM2" s="67"/>
      <c r="CDN2" s="67"/>
      <c r="CDO2" s="67"/>
      <c r="CDP2" s="67"/>
      <c r="CDQ2" s="67"/>
      <c r="CDR2" s="67"/>
      <c r="CDS2" s="67"/>
      <c r="CDT2" s="67"/>
      <c r="CDU2" s="67"/>
      <c r="CDV2" s="67"/>
      <c r="CDW2" s="67"/>
      <c r="CDX2" s="67"/>
      <c r="CDY2" s="67"/>
      <c r="CDZ2" s="66">
        <f>VLOOKUP(CDZ3,OverwiewSecondStage!$B$1:$H$33,7,FALSE)/4</f>
        <v>0</v>
      </c>
      <c r="CEA2" s="67"/>
      <c r="CEB2" s="67"/>
      <c r="CEC2" s="67"/>
      <c r="CED2" s="67"/>
      <c r="CEE2" s="67"/>
      <c r="CEF2" s="67"/>
      <c r="CEG2" s="67"/>
      <c r="CEH2" s="67"/>
      <c r="CEI2" s="67"/>
      <c r="CEJ2" s="67"/>
      <c r="CEK2" s="67"/>
      <c r="CEL2" s="67"/>
      <c r="CEM2" s="67"/>
      <c r="CEN2" s="67"/>
      <c r="CEO2" s="67"/>
      <c r="CEP2" s="67"/>
      <c r="CEQ2" s="67"/>
      <c r="CER2" s="67"/>
      <c r="CES2" s="67"/>
      <c r="CET2" s="67"/>
      <c r="CEU2" s="67"/>
      <c r="CEV2" s="66">
        <f>VLOOKUP(CEV3,OverwiewSecondStage!$B$1:$H$33,7,FALSE)/4</f>
        <v>1.0416666666666666E-2</v>
      </c>
      <c r="CEW2" s="67"/>
      <c r="CEX2" s="67"/>
      <c r="CEY2" s="67"/>
      <c r="CEZ2" s="67"/>
      <c r="CFA2" s="67"/>
      <c r="CFB2" s="67"/>
      <c r="CFC2" s="67"/>
      <c r="CFD2" s="67"/>
      <c r="CFE2" s="67"/>
      <c r="CFF2" s="67"/>
      <c r="CFG2" s="67"/>
      <c r="CFH2" s="67"/>
      <c r="CFI2" s="67"/>
      <c r="CFJ2" s="67"/>
      <c r="CFK2" s="67"/>
      <c r="CFL2" s="67"/>
      <c r="CFM2" s="67"/>
      <c r="CFN2" s="67"/>
      <c r="CFO2" s="67"/>
      <c r="CFP2" s="67"/>
      <c r="CFQ2" s="67"/>
      <c r="CFR2" s="66">
        <f>VLOOKUP(CFR3,OverwiewSecondStage!$B$1:$H$33,7,FALSE)/4</f>
        <v>0</v>
      </c>
      <c r="CFS2" s="67"/>
      <c r="CFT2" s="67"/>
      <c r="CFU2" s="67"/>
      <c r="CFV2" s="67"/>
      <c r="CFW2" s="67"/>
      <c r="CFX2" s="67"/>
      <c r="CFY2" s="67"/>
      <c r="CFZ2" s="67"/>
      <c r="CGA2" s="67"/>
      <c r="CGB2" s="67"/>
      <c r="CGC2" s="67"/>
      <c r="CGD2" s="67"/>
      <c r="CGE2" s="67"/>
      <c r="CGF2" s="67"/>
      <c r="CGG2" s="67"/>
      <c r="CGH2" s="67"/>
      <c r="CGI2" s="67"/>
      <c r="CGJ2" s="67"/>
      <c r="CGK2" s="67"/>
      <c r="CGL2" s="67"/>
      <c r="CGM2" s="67"/>
      <c r="CGN2" s="66">
        <f>VLOOKUP(CGN3,OverwiewSecondStage!$B$1:$H$33,7,FALSE)/4</f>
        <v>1.0416666666666666E-2</v>
      </c>
      <c r="CGO2" s="67"/>
      <c r="CGP2" s="67"/>
      <c r="CGQ2" s="67"/>
      <c r="CGR2" s="67"/>
      <c r="CGS2" s="67"/>
      <c r="CGT2" s="67"/>
      <c r="CGU2" s="67"/>
      <c r="CGV2" s="67"/>
      <c r="CGW2" s="67"/>
      <c r="CGX2" s="67"/>
      <c r="CGY2" s="67"/>
      <c r="CGZ2" s="67"/>
      <c r="CHA2" s="67"/>
      <c r="CHB2" s="67"/>
      <c r="CHC2" s="67"/>
      <c r="CHD2" s="67"/>
      <c r="CHE2" s="67"/>
      <c r="CHF2" s="67"/>
      <c r="CHG2" s="67"/>
      <c r="CHH2" s="67"/>
      <c r="CHI2" s="67"/>
      <c r="CHJ2" s="66">
        <f>VLOOKUP(CHJ3,OverwiewSecondStage!$B$1:$H$33,7,FALSE)/4</f>
        <v>0</v>
      </c>
      <c r="CHK2" s="67"/>
      <c r="CHL2" s="67"/>
      <c r="CHM2" s="67"/>
      <c r="CHN2" s="67"/>
      <c r="CHO2" s="67"/>
      <c r="CHP2" s="67"/>
      <c r="CHQ2" s="67"/>
      <c r="CHR2" s="67"/>
      <c r="CHS2" s="67"/>
      <c r="CHT2" s="67"/>
      <c r="CHU2" s="67"/>
      <c r="CHV2" s="67"/>
      <c r="CHW2" s="67"/>
      <c r="CHX2" s="67"/>
      <c r="CHY2" s="67"/>
      <c r="CHZ2" s="67"/>
      <c r="CIA2" s="67"/>
      <c r="CIB2" s="67"/>
      <c r="CIC2" s="67"/>
      <c r="CID2" s="67"/>
      <c r="CIE2" s="67"/>
      <c r="CIF2" s="66">
        <f>VLOOKUP(CIF3,OverwiewSecondStage!$B$1:$H$33,7,FALSE)/4</f>
        <v>1.0416666666666666E-2</v>
      </c>
      <c r="CIG2" s="67"/>
      <c r="CIH2" s="67"/>
      <c r="CII2" s="67"/>
      <c r="CIJ2" s="67"/>
      <c r="CIK2" s="67"/>
      <c r="CIL2" s="67"/>
      <c r="CIM2" s="67"/>
      <c r="CIN2" s="67"/>
      <c r="CIO2" s="67"/>
      <c r="CIP2" s="67"/>
      <c r="CIQ2" s="67"/>
      <c r="CIR2" s="67"/>
      <c r="CIS2" s="67"/>
      <c r="CIT2" s="67"/>
      <c r="CIU2" s="67"/>
      <c r="CIV2" s="67"/>
      <c r="CIW2" s="67"/>
      <c r="CIX2" s="67"/>
      <c r="CIY2" s="67"/>
      <c r="CIZ2" s="67"/>
      <c r="CJA2" s="67"/>
      <c r="CJB2" s="66">
        <f>VLOOKUP(CJB3,OverwiewSecondStage!$B$1:$H$33,7,FALSE)/4</f>
        <v>0</v>
      </c>
      <c r="CJC2" s="67"/>
      <c r="CJD2" s="67"/>
      <c r="CJE2" s="67"/>
      <c r="CJF2" s="67"/>
      <c r="CJG2" s="67"/>
      <c r="CJH2" s="67"/>
      <c r="CJI2" s="67"/>
      <c r="CJJ2" s="67"/>
      <c r="CJK2" s="67"/>
      <c r="CJL2" s="67"/>
      <c r="CJM2" s="67"/>
      <c r="CJN2" s="67"/>
      <c r="CJO2" s="67"/>
      <c r="CJP2" s="67"/>
      <c r="CJQ2" s="67"/>
      <c r="CJR2" s="67"/>
      <c r="CJS2" s="67"/>
      <c r="CJT2" s="67"/>
      <c r="CJU2" s="67"/>
      <c r="CJV2" s="67"/>
      <c r="CJW2" s="67"/>
      <c r="CJX2" s="66">
        <f>VLOOKUP(CJX3,OverwiewSecondStage!$B$1:$H$33,7,FALSE)/4</f>
        <v>1.0416666666666666E-2</v>
      </c>
      <c r="CJY2" s="67"/>
      <c r="CJZ2" s="67"/>
      <c r="CKA2" s="67"/>
      <c r="CKB2" s="67"/>
      <c r="CKC2" s="67"/>
      <c r="CKD2" s="67"/>
      <c r="CKE2" s="67"/>
      <c r="CKF2" s="67"/>
      <c r="CKG2" s="67"/>
      <c r="CKH2" s="67"/>
      <c r="CKI2" s="67"/>
      <c r="CKJ2" s="67"/>
      <c r="CKK2" s="67"/>
      <c r="CKL2" s="67"/>
      <c r="CKM2" s="67"/>
      <c r="CKN2" s="67"/>
      <c r="CKO2" s="67"/>
      <c r="CKP2" s="67"/>
      <c r="CKQ2" s="67"/>
      <c r="CKR2" s="67"/>
      <c r="CKS2" s="67"/>
      <c r="CKT2" s="66">
        <f>VLOOKUP(CKT3,OverwiewSecondStage!$B$1:$H$33,7,FALSE)/4</f>
        <v>0</v>
      </c>
      <c r="CKU2" s="67"/>
      <c r="CKV2" s="67"/>
      <c r="CKW2" s="67"/>
      <c r="CKX2" s="67"/>
      <c r="CKY2" s="67"/>
      <c r="CKZ2" s="67"/>
      <c r="CLA2" s="67"/>
      <c r="CLB2" s="67"/>
      <c r="CLC2" s="67"/>
      <c r="CLD2" s="67"/>
      <c r="CLE2" s="67"/>
      <c r="CLF2" s="67"/>
      <c r="CLG2" s="67"/>
      <c r="CLH2" s="67"/>
      <c r="CLI2" s="67"/>
      <c r="CLJ2" s="67"/>
      <c r="CLK2" s="67"/>
      <c r="CLL2" s="67"/>
      <c r="CLM2" s="67"/>
      <c r="CLN2" s="67"/>
      <c r="CLO2" s="67"/>
      <c r="CLP2" s="66">
        <f>VLOOKUP(CLP3,OverwiewSecondStage!$B$1:$H$33,7,FALSE)/4</f>
        <v>1.0416666666666666E-2</v>
      </c>
      <c r="CLQ2" s="67"/>
      <c r="CLR2" s="67"/>
      <c r="CLS2" s="67"/>
      <c r="CLT2" s="67"/>
      <c r="CLU2" s="67"/>
      <c r="CLV2" s="67"/>
      <c r="CLW2" s="67"/>
      <c r="CLX2" s="67"/>
      <c r="CLY2" s="67"/>
      <c r="CLZ2" s="67"/>
      <c r="CMA2" s="67"/>
      <c r="CMB2" s="67"/>
      <c r="CMC2" s="67"/>
      <c r="CMD2" s="67"/>
      <c r="CME2" s="67"/>
      <c r="CMF2" s="67"/>
      <c r="CMG2" s="67"/>
      <c r="CMH2" s="67"/>
      <c r="CMI2" s="67"/>
      <c r="CMJ2" s="67"/>
      <c r="CMK2" s="67"/>
      <c r="CML2" s="66">
        <f>VLOOKUP(CML3,OverwiewSecondStage!$B$1:$H$33,7,FALSE)/4</f>
        <v>0</v>
      </c>
      <c r="CMM2" s="67"/>
      <c r="CMN2" s="67"/>
      <c r="CMO2" s="67"/>
      <c r="CMP2" s="67"/>
      <c r="CMQ2" s="67"/>
      <c r="CMR2" s="67"/>
      <c r="CMS2" s="67"/>
      <c r="CMT2" s="67"/>
      <c r="CMU2" s="67"/>
      <c r="CMV2" s="67"/>
      <c r="CMW2" s="67"/>
      <c r="CMX2" s="67"/>
      <c r="CMY2" s="67"/>
      <c r="CMZ2" s="67"/>
      <c r="CNA2" s="67"/>
      <c r="CNB2" s="67"/>
      <c r="CNC2" s="67"/>
      <c r="CND2" s="67"/>
      <c r="CNE2" s="67"/>
      <c r="CNF2" s="67"/>
      <c r="CNG2" s="67"/>
      <c r="CNH2" s="66">
        <f>VLOOKUP(CNH3,OverwiewSecondStage!$B$1:$H$33,7,FALSE)/4</f>
        <v>1.0416666666666666E-2</v>
      </c>
      <c r="CNI2" s="67"/>
      <c r="CNJ2" s="67"/>
      <c r="CNK2" s="67"/>
      <c r="CNL2" s="67"/>
      <c r="CNM2" s="67"/>
      <c r="CNN2" s="67"/>
      <c r="CNO2" s="67"/>
      <c r="CNP2" s="67"/>
      <c r="CNQ2" s="67"/>
      <c r="CNR2" s="67"/>
      <c r="CNS2" s="67"/>
      <c r="CNT2" s="67"/>
      <c r="CNU2" s="67"/>
      <c r="CNV2" s="67"/>
      <c r="CNW2" s="67"/>
      <c r="CNX2" s="67"/>
      <c r="CNY2" s="67"/>
      <c r="CNZ2" s="67"/>
      <c r="COA2" s="67"/>
      <c r="COB2" s="67"/>
      <c r="COC2" s="67"/>
      <c r="COD2" s="66">
        <f>VLOOKUP(COD3,OverwiewSecondStage!$B$1:$H$33,7,FALSE)/4</f>
        <v>0</v>
      </c>
      <c r="COE2" s="67"/>
      <c r="COF2" s="67"/>
      <c r="COG2" s="67"/>
      <c r="COH2" s="67"/>
      <c r="COI2" s="67"/>
      <c r="COJ2" s="67"/>
      <c r="COK2" s="67"/>
      <c r="COL2" s="67"/>
      <c r="COM2" s="67"/>
      <c r="CON2" s="67"/>
      <c r="COO2" s="67"/>
      <c r="COP2" s="67"/>
      <c r="COQ2" s="67"/>
      <c r="COR2" s="67"/>
      <c r="COS2" s="67"/>
      <c r="COT2" s="67"/>
      <c r="COU2" s="67"/>
      <c r="COV2" s="67"/>
      <c r="COW2" s="67"/>
      <c r="COX2" s="67"/>
      <c r="COY2" s="67"/>
      <c r="COZ2" s="66">
        <f>VLOOKUP(COZ3,OverwiewSecondStage!$B$1:$H$33,7,FALSE)/4</f>
        <v>1.0416666666666666E-2</v>
      </c>
      <c r="CPA2" s="67"/>
      <c r="CPB2" s="67"/>
      <c r="CPC2" s="67"/>
      <c r="CPD2" s="67"/>
      <c r="CPE2" s="67"/>
      <c r="CPF2" s="67"/>
      <c r="CPG2" s="67"/>
      <c r="CPH2" s="67"/>
      <c r="CPI2" s="67"/>
      <c r="CPJ2" s="67"/>
      <c r="CPK2" s="67"/>
      <c r="CPL2" s="67"/>
      <c r="CPM2" s="67"/>
      <c r="CPN2" s="67"/>
      <c r="CPO2" s="67"/>
      <c r="CPP2" s="67"/>
      <c r="CPQ2" s="67"/>
      <c r="CPR2" s="67"/>
      <c r="CPS2" s="67"/>
      <c r="CPT2" s="67"/>
      <c r="CPU2" s="67"/>
      <c r="CPV2" s="66">
        <f>VLOOKUP(CPV3,OverwiewSecondStage!$B$1:$H$33,7,FALSE)/4</f>
        <v>1.0416666666666666E-2</v>
      </c>
      <c r="CPW2" s="67"/>
      <c r="CPX2" s="67"/>
      <c r="CPY2" s="67"/>
      <c r="CPZ2" s="67"/>
      <c r="CQA2" s="67"/>
      <c r="CQB2" s="67"/>
      <c r="CQC2" s="67"/>
      <c r="CQD2" s="67"/>
      <c r="CQE2" s="67"/>
      <c r="CQF2" s="67"/>
      <c r="CQG2" s="67"/>
      <c r="CQH2" s="67"/>
      <c r="CQI2" s="67"/>
      <c r="CQJ2" s="67"/>
      <c r="CQK2" s="67"/>
      <c r="CQL2" s="67"/>
      <c r="CQM2" s="67"/>
      <c r="CQN2" s="67"/>
      <c r="CQO2" s="67"/>
      <c r="CQP2" s="67"/>
      <c r="CQQ2" s="67"/>
      <c r="CQR2" s="66">
        <f>VLOOKUP(CQR3,OverwiewSecondStage!$B$1:$H$33,7,FALSE)/4</f>
        <v>1.0416666666666666E-2</v>
      </c>
      <c r="CQS2" s="67"/>
      <c r="CQT2" s="67"/>
      <c r="CQU2" s="67"/>
      <c r="CQV2" s="67"/>
      <c r="CQW2" s="67"/>
      <c r="CQX2" s="67"/>
      <c r="CQY2" s="67"/>
      <c r="CQZ2" s="67"/>
      <c r="CRA2" s="67"/>
      <c r="CRB2" s="67"/>
      <c r="CRC2" s="67"/>
      <c r="CRD2" s="67"/>
      <c r="CRE2" s="67"/>
      <c r="CRF2" s="67"/>
      <c r="CRG2" s="67"/>
      <c r="CRH2" s="67"/>
      <c r="CRI2" s="67"/>
      <c r="CRJ2" s="67"/>
      <c r="CRK2" s="67"/>
      <c r="CRL2" s="67"/>
      <c r="CRM2" s="67"/>
      <c r="CRN2" s="66">
        <f>VLOOKUP(CRN3,OverwiewSecondStage!$B$1:$H$33,7,FALSE)/4</f>
        <v>1.0416666666666666E-2</v>
      </c>
      <c r="CRO2" s="67"/>
      <c r="CRP2" s="67"/>
      <c r="CRQ2" s="67"/>
      <c r="CRR2" s="67"/>
      <c r="CRS2" s="67"/>
      <c r="CRT2" s="67"/>
      <c r="CRU2" s="67"/>
      <c r="CRV2" s="67"/>
      <c r="CRW2" s="67"/>
      <c r="CRX2" s="67"/>
      <c r="CRY2" s="67"/>
      <c r="CRZ2" s="67"/>
      <c r="CSA2" s="67"/>
      <c r="CSB2" s="67"/>
      <c r="CSC2" s="67"/>
      <c r="CSD2" s="67"/>
      <c r="CSE2" s="67"/>
      <c r="CSF2" s="67"/>
      <c r="CSG2" s="67"/>
      <c r="CSH2" s="67"/>
      <c r="CSI2" s="67"/>
      <c r="CSJ2" s="66">
        <f>VLOOKUP(CSJ3,OverwiewSecondStage!$B$1:$H$33,7,FALSE)/4</f>
        <v>1.0416666666666666E-2</v>
      </c>
      <c r="CSK2" s="67"/>
      <c r="CSL2" s="67"/>
      <c r="CSM2" s="67"/>
      <c r="CSN2" s="67"/>
      <c r="CSO2" s="67"/>
      <c r="CSP2" s="67"/>
      <c r="CSQ2" s="67"/>
      <c r="CSR2" s="67"/>
      <c r="CSS2" s="67"/>
      <c r="CST2" s="67"/>
      <c r="CSU2" s="67"/>
      <c r="CSV2" s="67"/>
      <c r="CSW2" s="67"/>
      <c r="CSX2" s="67"/>
      <c r="CSY2" s="67"/>
      <c r="CSZ2" s="67"/>
      <c r="CTA2" s="67"/>
      <c r="CTB2" s="67"/>
      <c r="CTC2" s="67"/>
      <c r="CTD2" s="67"/>
      <c r="CTE2" s="67"/>
      <c r="CTF2" s="66">
        <f>VLOOKUP(CTF3,OverwiewSecondStage!$B$1:$H$33,7,FALSE)/4</f>
        <v>1.0416666666666666E-2</v>
      </c>
      <c r="CTG2" s="67"/>
      <c r="CTH2" s="67"/>
      <c r="CTI2" s="67"/>
      <c r="CTJ2" s="67"/>
      <c r="CTK2" s="67"/>
      <c r="CTL2" s="67"/>
      <c r="CTM2" s="67"/>
      <c r="CTN2" s="67"/>
      <c r="CTO2" s="67"/>
      <c r="CTP2" s="67"/>
      <c r="CTQ2" s="67"/>
      <c r="CTR2" s="67"/>
      <c r="CTS2" s="67"/>
      <c r="CTT2" s="67"/>
      <c r="CTU2" s="67"/>
      <c r="CTV2" s="67"/>
      <c r="CTW2" s="67"/>
      <c r="CTX2" s="67"/>
      <c r="CTY2" s="67"/>
      <c r="CTZ2" s="67"/>
      <c r="CUA2" s="67"/>
      <c r="CUB2" s="66">
        <f>VLOOKUP(CUB3,OverwiewSecondStage!$B$1:$H$33,7,FALSE)/4</f>
        <v>1.0416666666666666E-2</v>
      </c>
      <c r="CUC2" s="67"/>
      <c r="CUD2" s="67"/>
      <c r="CUE2" s="67"/>
      <c r="CUF2" s="67"/>
      <c r="CUG2" s="67"/>
      <c r="CUH2" s="67"/>
      <c r="CUI2" s="67"/>
      <c r="CUJ2" s="67"/>
      <c r="CUK2" s="67"/>
      <c r="CUL2" s="67"/>
      <c r="CUM2" s="67"/>
      <c r="CUN2" s="67"/>
      <c r="CUO2" s="67"/>
      <c r="CUP2" s="67"/>
      <c r="CUQ2" s="67"/>
      <c r="CUR2" s="67"/>
      <c r="CUS2" s="67"/>
      <c r="CUT2" s="67"/>
      <c r="CUU2" s="67"/>
      <c r="CUV2" s="67"/>
      <c r="CUW2" s="67"/>
      <c r="CUX2" s="66">
        <f>VLOOKUP(CUX3,OverwiewSecondStage!$B$1:$H$33,7,FALSE)/4</f>
        <v>1.0416666666666666E-2</v>
      </c>
      <c r="CUY2" s="67"/>
      <c r="CUZ2" s="67"/>
      <c r="CVA2" s="67"/>
      <c r="CVB2" s="67"/>
      <c r="CVC2" s="67"/>
      <c r="CVD2" s="67"/>
      <c r="CVE2" s="67"/>
      <c r="CVF2" s="67"/>
      <c r="CVG2" s="67"/>
      <c r="CVH2" s="67"/>
      <c r="CVI2" s="67"/>
      <c r="CVJ2" s="67"/>
      <c r="CVK2" s="67"/>
      <c r="CVL2" s="67"/>
      <c r="CVM2" s="67"/>
      <c r="CVN2" s="67"/>
      <c r="CVO2" s="67"/>
      <c r="CVP2" s="67"/>
      <c r="CVQ2" s="67"/>
      <c r="CVR2" s="67"/>
      <c r="CVS2" s="67"/>
      <c r="CVT2" s="66">
        <f>VLOOKUP(CVT3,OverwiewSecondStage!$B$1:$H$33,7,FALSE)/4</f>
        <v>1.0416666666666666E-2</v>
      </c>
      <c r="CVU2" s="67"/>
      <c r="CVV2" s="67"/>
      <c r="CVW2" s="67"/>
      <c r="CVX2" s="67"/>
      <c r="CVY2" s="67"/>
      <c r="CVZ2" s="67"/>
      <c r="CWA2" s="67"/>
      <c r="CWB2" s="67"/>
      <c r="CWC2" s="67"/>
      <c r="CWD2" s="67"/>
      <c r="CWE2" s="67"/>
      <c r="CWF2" s="67"/>
      <c r="CWG2" s="67"/>
      <c r="CWH2" s="67"/>
      <c r="CWI2" s="67"/>
      <c r="CWJ2" s="67"/>
      <c r="CWK2" s="67"/>
      <c r="CWL2" s="67"/>
      <c r="CWM2" s="67"/>
      <c r="CWN2" s="67"/>
      <c r="CWO2" s="67"/>
      <c r="CWP2" s="66">
        <f>VLOOKUP(CWP3,OverwiewSecondStage!$B$1:$H$33,7,FALSE)/4</f>
        <v>1.0416666666666666E-2</v>
      </c>
      <c r="CWQ2" s="67"/>
      <c r="CWR2" s="67"/>
      <c r="CWS2" s="67"/>
      <c r="CWT2" s="67"/>
      <c r="CWU2" s="67"/>
      <c r="CWV2" s="67"/>
      <c r="CWW2" s="67"/>
      <c r="CWX2" s="67"/>
      <c r="CWY2" s="67"/>
      <c r="CWZ2" s="67"/>
      <c r="CXA2" s="67"/>
      <c r="CXB2" s="67"/>
      <c r="CXC2" s="67"/>
      <c r="CXD2" s="67"/>
      <c r="CXE2" s="67"/>
      <c r="CXF2" s="67"/>
      <c r="CXG2" s="67"/>
      <c r="CXH2" s="67"/>
      <c r="CXI2" s="67"/>
      <c r="CXJ2" s="67"/>
      <c r="CXK2" s="67"/>
      <c r="CXL2" s="66">
        <f>VLOOKUP(CXL3,OverwiewSecondStage!$B$1:$H$33,7,FALSE)/4</f>
        <v>1.0416666666666666E-2</v>
      </c>
      <c r="CXM2" s="67"/>
      <c r="CXN2" s="67"/>
      <c r="CXO2" s="67"/>
      <c r="CXP2" s="67"/>
      <c r="CXQ2" s="67"/>
      <c r="CXR2" s="67"/>
      <c r="CXS2" s="67"/>
      <c r="CXT2" s="67"/>
      <c r="CXU2" s="67"/>
      <c r="CXV2" s="67"/>
      <c r="CXW2" s="67"/>
      <c r="CXX2" s="67"/>
      <c r="CXY2" s="67"/>
      <c r="CXZ2" s="67"/>
      <c r="CYA2" s="67"/>
      <c r="CYB2" s="67"/>
      <c r="CYC2" s="67"/>
      <c r="CYD2" s="67"/>
      <c r="CYE2" s="67"/>
      <c r="CYF2" s="67"/>
      <c r="CYG2" s="67"/>
      <c r="CYH2" s="66">
        <f>VLOOKUP(CYH3,OverwiewSecondStage!$B$1:$H$33,7,FALSE)/4</f>
        <v>1.0416666666666666E-2</v>
      </c>
      <c r="CYI2" s="67"/>
      <c r="CYJ2" s="67"/>
      <c r="CYK2" s="67"/>
      <c r="CYL2" s="67"/>
      <c r="CYM2" s="67"/>
      <c r="CYN2" s="67"/>
      <c r="CYO2" s="67"/>
      <c r="CYP2" s="67"/>
      <c r="CYQ2" s="67"/>
      <c r="CYR2" s="67"/>
      <c r="CYS2" s="67"/>
      <c r="CYT2" s="67"/>
      <c r="CYU2" s="67"/>
      <c r="CYV2" s="67"/>
      <c r="CYW2" s="67"/>
      <c r="CYX2" s="67"/>
      <c r="CYY2" s="67"/>
      <c r="CYZ2" s="67"/>
      <c r="CZA2" s="67"/>
      <c r="CZB2" s="67"/>
      <c r="CZC2" s="67"/>
      <c r="CZD2" s="66">
        <f>VLOOKUP(CZD3,OverwiewSecondStage!$B$1:$H$33,7,FALSE)/4</f>
        <v>1.0416666666666666E-2</v>
      </c>
      <c r="CZE2" s="67"/>
      <c r="CZF2" s="67"/>
      <c r="CZG2" s="67"/>
      <c r="CZH2" s="67"/>
      <c r="CZI2" s="67"/>
      <c r="CZJ2" s="67"/>
      <c r="CZK2" s="67"/>
      <c r="CZL2" s="67"/>
      <c r="CZM2" s="67"/>
      <c r="CZN2" s="67"/>
      <c r="CZO2" s="67"/>
      <c r="CZP2" s="67"/>
      <c r="CZQ2" s="67"/>
      <c r="CZR2" s="67"/>
      <c r="CZS2" s="67"/>
      <c r="CZT2" s="67"/>
      <c r="CZU2" s="67"/>
      <c r="CZV2" s="67"/>
      <c r="CZW2" s="67"/>
      <c r="CZX2" s="67"/>
      <c r="CZY2" s="67"/>
      <c r="CZZ2" s="66">
        <f>VLOOKUP(CZZ3,OverwiewSecondStage!$B$1:$H$33,7,FALSE)/4</f>
        <v>1.0416666666666666E-2</v>
      </c>
      <c r="DAA2" s="67"/>
      <c r="DAB2" s="67"/>
      <c r="DAC2" s="67"/>
      <c r="DAD2" s="67"/>
      <c r="DAE2" s="67"/>
      <c r="DAF2" s="67"/>
      <c r="DAG2" s="67"/>
      <c r="DAH2" s="67"/>
      <c r="DAI2" s="67"/>
      <c r="DAJ2" s="67"/>
      <c r="DAK2" s="67"/>
      <c r="DAL2" s="67"/>
      <c r="DAM2" s="67"/>
      <c r="DAN2" s="67"/>
      <c r="DAO2" s="67"/>
      <c r="DAP2" s="67"/>
      <c r="DAQ2" s="67"/>
      <c r="DAR2" s="67"/>
      <c r="DAS2" s="67"/>
      <c r="DAT2" s="67"/>
      <c r="DAU2" s="67"/>
      <c r="DAV2" s="66">
        <f>VLOOKUP(DAV3,OverwiewSecondStage!$B$1:$H$33,7,FALSE)/4</f>
        <v>1.0416666666666666E-2</v>
      </c>
      <c r="DAW2" s="67"/>
      <c r="DAX2" s="67"/>
      <c r="DAY2" s="67"/>
      <c r="DAZ2" s="67"/>
      <c r="DBA2" s="67"/>
      <c r="DBB2" s="67"/>
      <c r="DBC2" s="67"/>
      <c r="DBD2" s="67"/>
      <c r="DBE2" s="67"/>
      <c r="DBF2" s="67"/>
      <c r="DBG2" s="67"/>
      <c r="DBH2" s="67"/>
      <c r="DBI2" s="67"/>
      <c r="DBJ2" s="67"/>
      <c r="DBK2" s="67"/>
      <c r="DBL2" s="67"/>
      <c r="DBM2" s="67"/>
      <c r="DBN2" s="67"/>
      <c r="DBO2" s="67"/>
      <c r="DBP2" s="67"/>
      <c r="DBQ2" s="67"/>
      <c r="DBR2" s="66">
        <f>VLOOKUP(DBR3,OverwiewSecondStage!$B$1:$H$33,7,FALSE)/4</f>
        <v>1.0416666666666666E-2</v>
      </c>
      <c r="DBS2" s="67"/>
      <c r="DBT2" s="67"/>
      <c r="DBU2" s="67"/>
      <c r="DBV2" s="67"/>
      <c r="DBW2" s="67"/>
      <c r="DBX2" s="67"/>
      <c r="DBY2" s="67"/>
      <c r="DBZ2" s="67"/>
      <c r="DCA2" s="67"/>
      <c r="DCB2" s="67"/>
      <c r="DCC2" s="67"/>
      <c r="DCD2" s="67"/>
      <c r="DCE2" s="67"/>
      <c r="DCF2" s="67"/>
      <c r="DCG2" s="67"/>
      <c r="DCH2" s="67"/>
      <c r="DCI2" s="67"/>
      <c r="DCJ2" s="67"/>
      <c r="DCK2" s="67"/>
      <c r="DCL2" s="67"/>
      <c r="DCM2" s="67"/>
      <c r="DCN2" s="66">
        <f>VLOOKUP(DCN3,OverwiewSecondStage!$B$1:$H$33,7,FALSE)/4</f>
        <v>1.0416666666666666E-2</v>
      </c>
      <c r="DCO2" s="67"/>
      <c r="DCP2" s="67"/>
      <c r="DCQ2" s="67"/>
      <c r="DCR2" s="67"/>
      <c r="DCS2" s="67"/>
      <c r="DCT2" s="67"/>
      <c r="DCU2" s="67"/>
      <c r="DCV2" s="67"/>
      <c r="DCW2" s="67"/>
      <c r="DCX2" s="67"/>
      <c r="DCY2" s="67"/>
      <c r="DCZ2" s="67"/>
      <c r="DDA2" s="67"/>
      <c r="DDB2" s="67"/>
      <c r="DDC2" s="67"/>
      <c r="DDD2" s="67"/>
      <c r="DDE2" s="67"/>
      <c r="DDF2" s="67"/>
      <c r="DDG2" s="67"/>
      <c r="DDH2" s="67"/>
      <c r="DDI2" s="67"/>
    </row>
    <row r="3" spans="1:2839" x14ac:dyDescent="0.2">
      <c r="A3" s="4" t="s">
        <v>25</v>
      </c>
      <c r="B3" s="68">
        <f>1+Parameters!$B$7</f>
        <v>9</v>
      </c>
      <c r="C3" s="69"/>
      <c r="D3" s="69"/>
      <c r="E3" s="69"/>
      <c r="F3" s="69"/>
      <c r="G3" s="69"/>
      <c r="H3" s="69"/>
      <c r="I3" s="69"/>
      <c r="J3" s="69"/>
      <c r="K3" s="69"/>
      <c r="L3" s="69"/>
      <c r="M3" s="69"/>
      <c r="N3" s="69"/>
      <c r="O3" s="69"/>
      <c r="P3" s="69"/>
      <c r="Q3" s="69"/>
      <c r="R3" s="69"/>
      <c r="S3" s="69"/>
      <c r="T3" s="69"/>
      <c r="U3" s="69"/>
      <c r="V3" s="69"/>
      <c r="W3" s="70"/>
      <c r="X3" s="68">
        <f>B3+Parameters!$B$7</f>
        <v>17</v>
      </c>
      <c r="Y3" s="69"/>
      <c r="Z3" s="69"/>
      <c r="AA3" s="69"/>
      <c r="AB3" s="69"/>
      <c r="AC3" s="69"/>
      <c r="AD3" s="69"/>
      <c r="AE3" s="69"/>
      <c r="AF3" s="69"/>
      <c r="AG3" s="69"/>
      <c r="AH3" s="69"/>
      <c r="AI3" s="69"/>
      <c r="AJ3" s="69"/>
      <c r="AK3" s="69"/>
      <c r="AL3" s="69"/>
      <c r="AM3" s="69"/>
      <c r="AN3" s="69"/>
      <c r="AO3" s="69"/>
      <c r="AP3" s="69"/>
      <c r="AQ3" s="69"/>
      <c r="AR3" s="69"/>
      <c r="AS3" s="70"/>
      <c r="AT3" s="68">
        <f>X3+Parameters!$B$7</f>
        <v>25</v>
      </c>
      <c r="AU3" s="69"/>
      <c r="AV3" s="69"/>
      <c r="AW3" s="69"/>
      <c r="AX3" s="69"/>
      <c r="AY3" s="69"/>
      <c r="AZ3" s="69"/>
      <c r="BA3" s="69"/>
      <c r="BB3" s="69"/>
      <c r="BC3" s="69"/>
      <c r="BD3" s="69"/>
      <c r="BE3" s="69"/>
      <c r="BF3" s="69"/>
      <c r="BG3" s="69"/>
      <c r="BH3" s="69"/>
      <c r="BI3" s="69"/>
      <c r="BJ3" s="69"/>
      <c r="BK3" s="69"/>
      <c r="BL3" s="69"/>
      <c r="BM3" s="69"/>
      <c r="BN3" s="69"/>
      <c r="BO3" s="70"/>
      <c r="BP3" s="68">
        <f>AT3+Parameters!$B$7</f>
        <v>33</v>
      </c>
      <c r="BQ3" s="69"/>
      <c r="BR3" s="69"/>
      <c r="BS3" s="69"/>
      <c r="BT3" s="69"/>
      <c r="BU3" s="69"/>
      <c r="BV3" s="69"/>
      <c r="BW3" s="69"/>
      <c r="BX3" s="69"/>
      <c r="BY3" s="69"/>
      <c r="BZ3" s="69"/>
      <c r="CA3" s="69"/>
      <c r="CB3" s="69"/>
      <c r="CC3" s="69"/>
      <c r="CD3" s="69"/>
      <c r="CE3" s="69"/>
      <c r="CF3" s="69"/>
      <c r="CG3" s="69"/>
      <c r="CH3" s="69"/>
      <c r="CI3" s="69"/>
      <c r="CJ3" s="69"/>
      <c r="CK3" s="70"/>
      <c r="CL3" s="68">
        <f>BP3+Parameters!$B$7</f>
        <v>41</v>
      </c>
      <c r="CM3" s="69"/>
      <c r="CN3" s="69"/>
      <c r="CO3" s="69"/>
      <c r="CP3" s="69"/>
      <c r="CQ3" s="69"/>
      <c r="CR3" s="69"/>
      <c r="CS3" s="69"/>
      <c r="CT3" s="69"/>
      <c r="CU3" s="69"/>
      <c r="CV3" s="69"/>
      <c r="CW3" s="69"/>
      <c r="CX3" s="69"/>
      <c r="CY3" s="69"/>
      <c r="CZ3" s="69"/>
      <c r="DA3" s="69"/>
      <c r="DB3" s="69"/>
      <c r="DC3" s="69"/>
      <c r="DD3" s="69"/>
      <c r="DE3" s="69"/>
      <c r="DF3" s="69"/>
      <c r="DG3" s="70"/>
      <c r="DH3" s="68">
        <f>CL3+Parameters!$B$7</f>
        <v>49</v>
      </c>
      <c r="DI3" s="69"/>
      <c r="DJ3" s="69"/>
      <c r="DK3" s="69"/>
      <c r="DL3" s="69"/>
      <c r="DM3" s="69"/>
      <c r="DN3" s="69"/>
      <c r="DO3" s="69"/>
      <c r="DP3" s="69"/>
      <c r="DQ3" s="69"/>
      <c r="DR3" s="69"/>
      <c r="DS3" s="69"/>
      <c r="DT3" s="69"/>
      <c r="DU3" s="69"/>
      <c r="DV3" s="69"/>
      <c r="DW3" s="69"/>
      <c r="DX3" s="69"/>
      <c r="DY3" s="69"/>
      <c r="DZ3" s="69"/>
      <c r="EA3" s="69"/>
      <c r="EB3" s="69"/>
      <c r="EC3" s="70"/>
      <c r="ED3" s="68">
        <f>DH3+Parameters!$B$7</f>
        <v>57</v>
      </c>
      <c r="EE3" s="69"/>
      <c r="EF3" s="69"/>
      <c r="EG3" s="69"/>
      <c r="EH3" s="69"/>
      <c r="EI3" s="69"/>
      <c r="EJ3" s="69"/>
      <c r="EK3" s="69"/>
      <c r="EL3" s="69"/>
      <c r="EM3" s="69"/>
      <c r="EN3" s="69"/>
      <c r="EO3" s="69"/>
      <c r="EP3" s="69"/>
      <c r="EQ3" s="69"/>
      <c r="ER3" s="69"/>
      <c r="ES3" s="69"/>
      <c r="ET3" s="69"/>
      <c r="EU3" s="69"/>
      <c r="EV3" s="69"/>
      <c r="EW3" s="69"/>
      <c r="EX3" s="69"/>
      <c r="EY3" s="70"/>
      <c r="EZ3" s="68">
        <f>ED3+Parameters!$B$7</f>
        <v>65</v>
      </c>
      <c r="FA3" s="69"/>
      <c r="FB3" s="69"/>
      <c r="FC3" s="69"/>
      <c r="FD3" s="69"/>
      <c r="FE3" s="69"/>
      <c r="FF3" s="69"/>
      <c r="FG3" s="69"/>
      <c r="FH3" s="69"/>
      <c r="FI3" s="69"/>
      <c r="FJ3" s="69"/>
      <c r="FK3" s="69"/>
      <c r="FL3" s="69"/>
      <c r="FM3" s="69"/>
      <c r="FN3" s="69"/>
      <c r="FO3" s="69"/>
      <c r="FP3" s="69"/>
      <c r="FQ3" s="69"/>
      <c r="FR3" s="69"/>
      <c r="FS3" s="69"/>
      <c r="FT3" s="69"/>
      <c r="FU3" s="70"/>
      <c r="FV3" s="68">
        <f>EZ3+Parameters!$B$7</f>
        <v>73</v>
      </c>
      <c r="FW3" s="69"/>
      <c r="FX3" s="69"/>
      <c r="FY3" s="69"/>
      <c r="FZ3" s="69"/>
      <c r="GA3" s="69"/>
      <c r="GB3" s="69"/>
      <c r="GC3" s="69"/>
      <c r="GD3" s="69"/>
      <c r="GE3" s="69"/>
      <c r="GF3" s="69"/>
      <c r="GG3" s="69"/>
      <c r="GH3" s="69"/>
      <c r="GI3" s="69"/>
      <c r="GJ3" s="69"/>
      <c r="GK3" s="69"/>
      <c r="GL3" s="69"/>
      <c r="GM3" s="69"/>
      <c r="GN3" s="69"/>
      <c r="GO3" s="69"/>
      <c r="GP3" s="69"/>
      <c r="GQ3" s="70"/>
      <c r="GR3" s="68">
        <f>FV3+Parameters!$B$7</f>
        <v>81</v>
      </c>
      <c r="GS3" s="69"/>
      <c r="GT3" s="69"/>
      <c r="GU3" s="69"/>
      <c r="GV3" s="69"/>
      <c r="GW3" s="69"/>
      <c r="GX3" s="69"/>
      <c r="GY3" s="69"/>
      <c r="GZ3" s="69"/>
      <c r="HA3" s="69"/>
      <c r="HB3" s="69"/>
      <c r="HC3" s="69"/>
      <c r="HD3" s="69"/>
      <c r="HE3" s="69"/>
      <c r="HF3" s="69"/>
      <c r="HG3" s="69"/>
      <c r="HH3" s="69"/>
      <c r="HI3" s="69"/>
      <c r="HJ3" s="69"/>
      <c r="HK3" s="69"/>
      <c r="HL3" s="69"/>
      <c r="HM3" s="70"/>
      <c r="HN3" s="68">
        <f>GR3+Parameters!$B$7</f>
        <v>89</v>
      </c>
      <c r="HO3" s="69"/>
      <c r="HP3" s="69"/>
      <c r="HQ3" s="69"/>
      <c r="HR3" s="69"/>
      <c r="HS3" s="69"/>
      <c r="HT3" s="69"/>
      <c r="HU3" s="69"/>
      <c r="HV3" s="69"/>
      <c r="HW3" s="69"/>
      <c r="HX3" s="69"/>
      <c r="HY3" s="69"/>
      <c r="HZ3" s="69"/>
      <c r="IA3" s="69"/>
      <c r="IB3" s="69"/>
      <c r="IC3" s="69"/>
      <c r="ID3" s="69"/>
      <c r="IE3" s="69"/>
      <c r="IF3" s="69"/>
      <c r="IG3" s="69"/>
      <c r="IH3" s="69"/>
      <c r="II3" s="70"/>
      <c r="IJ3" s="68">
        <f>HN3+Parameters!$B$7</f>
        <v>97</v>
      </c>
      <c r="IK3" s="69"/>
      <c r="IL3" s="69"/>
      <c r="IM3" s="69"/>
      <c r="IN3" s="69"/>
      <c r="IO3" s="69"/>
      <c r="IP3" s="69"/>
      <c r="IQ3" s="69"/>
      <c r="IR3" s="69"/>
      <c r="IS3" s="69"/>
      <c r="IT3" s="69"/>
      <c r="IU3" s="69"/>
      <c r="IV3" s="69"/>
      <c r="IW3" s="69"/>
      <c r="IX3" s="69"/>
      <c r="IY3" s="69"/>
      <c r="IZ3" s="69"/>
      <c r="JA3" s="69"/>
      <c r="JB3" s="69"/>
      <c r="JC3" s="69"/>
      <c r="JD3" s="69"/>
      <c r="JE3" s="70"/>
      <c r="JF3" s="68">
        <f>IJ3+Parameters!$B$7</f>
        <v>105</v>
      </c>
      <c r="JG3" s="69"/>
      <c r="JH3" s="69"/>
      <c r="JI3" s="69"/>
      <c r="JJ3" s="69"/>
      <c r="JK3" s="69"/>
      <c r="JL3" s="69"/>
      <c r="JM3" s="69"/>
      <c r="JN3" s="69"/>
      <c r="JO3" s="69"/>
      <c r="JP3" s="69"/>
      <c r="JQ3" s="69"/>
      <c r="JR3" s="69"/>
      <c r="JS3" s="69"/>
      <c r="JT3" s="69"/>
      <c r="JU3" s="69"/>
      <c r="JV3" s="69"/>
      <c r="JW3" s="69"/>
      <c r="JX3" s="69"/>
      <c r="JY3" s="69"/>
      <c r="JZ3" s="69"/>
      <c r="KA3" s="70"/>
      <c r="KB3" s="68">
        <f>JF3+Parameters!$B$7</f>
        <v>113</v>
      </c>
      <c r="KC3" s="69"/>
      <c r="KD3" s="69"/>
      <c r="KE3" s="69"/>
      <c r="KF3" s="69"/>
      <c r="KG3" s="69"/>
      <c r="KH3" s="69"/>
      <c r="KI3" s="69"/>
      <c r="KJ3" s="69"/>
      <c r="KK3" s="69"/>
      <c r="KL3" s="69"/>
      <c r="KM3" s="69"/>
      <c r="KN3" s="69"/>
      <c r="KO3" s="69"/>
      <c r="KP3" s="69"/>
      <c r="KQ3" s="69"/>
      <c r="KR3" s="69"/>
      <c r="KS3" s="69"/>
      <c r="KT3" s="69"/>
      <c r="KU3" s="69"/>
      <c r="KV3" s="69"/>
      <c r="KW3" s="70"/>
      <c r="KX3" s="68">
        <f>KB3+Parameters!$B$7</f>
        <v>121</v>
      </c>
      <c r="KY3" s="69"/>
      <c r="KZ3" s="69"/>
      <c r="LA3" s="69"/>
      <c r="LB3" s="69"/>
      <c r="LC3" s="69"/>
      <c r="LD3" s="69"/>
      <c r="LE3" s="69"/>
      <c r="LF3" s="69"/>
      <c r="LG3" s="69"/>
      <c r="LH3" s="69"/>
      <c r="LI3" s="69"/>
      <c r="LJ3" s="69"/>
      <c r="LK3" s="69"/>
      <c r="LL3" s="69"/>
      <c r="LM3" s="69"/>
      <c r="LN3" s="69"/>
      <c r="LO3" s="69"/>
      <c r="LP3" s="69"/>
      <c r="LQ3" s="69"/>
      <c r="LR3" s="69"/>
      <c r="LS3" s="70"/>
      <c r="LT3" s="68">
        <f>KX3+Parameters!$B$7</f>
        <v>129</v>
      </c>
      <c r="LU3" s="69"/>
      <c r="LV3" s="69"/>
      <c r="LW3" s="69"/>
      <c r="LX3" s="69"/>
      <c r="LY3" s="69"/>
      <c r="LZ3" s="69"/>
      <c r="MA3" s="69"/>
      <c r="MB3" s="69"/>
      <c r="MC3" s="69"/>
      <c r="MD3" s="69"/>
      <c r="ME3" s="69"/>
      <c r="MF3" s="69"/>
      <c r="MG3" s="69"/>
      <c r="MH3" s="69"/>
      <c r="MI3" s="69"/>
      <c r="MJ3" s="69"/>
      <c r="MK3" s="69"/>
      <c r="ML3" s="69"/>
      <c r="MM3" s="69"/>
      <c r="MN3" s="69"/>
      <c r="MO3" s="70"/>
      <c r="MP3" s="68">
        <f>LT3+Parameters!$B$7</f>
        <v>137</v>
      </c>
      <c r="MQ3" s="69"/>
      <c r="MR3" s="69"/>
      <c r="MS3" s="69"/>
      <c r="MT3" s="69"/>
      <c r="MU3" s="69"/>
      <c r="MV3" s="69"/>
      <c r="MW3" s="69"/>
      <c r="MX3" s="69"/>
      <c r="MY3" s="69"/>
      <c r="MZ3" s="69"/>
      <c r="NA3" s="69"/>
      <c r="NB3" s="69"/>
      <c r="NC3" s="69"/>
      <c r="ND3" s="69"/>
      <c r="NE3" s="69"/>
      <c r="NF3" s="69"/>
      <c r="NG3" s="69"/>
      <c r="NH3" s="69"/>
      <c r="NI3" s="69"/>
      <c r="NJ3" s="69"/>
      <c r="NK3" s="70"/>
      <c r="NL3" s="68">
        <f>MP3+Parameters!$B$7</f>
        <v>145</v>
      </c>
      <c r="NM3" s="69"/>
      <c r="NN3" s="69"/>
      <c r="NO3" s="69"/>
      <c r="NP3" s="69"/>
      <c r="NQ3" s="69"/>
      <c r="NR3" s="69"/>
      <c r="NS3" s="69"/>
      <c r="NT3" s="69"/>
      <c r="NU3" s="69"/>
      <c r="NV3" s="69"/>
      <c r="NW3" s="69"/>
      <c r="NX3" s="69"/>
      <c r="NY3" s="69"/>
      <c r="NZ3" s="69"/>
      <c r="OA3" s="69"/>
      <c r="OB3" s="69"/>
      <c r="OC3" s="69"/>
      <c r="OD3" s="69"/>
      <c r="OE3" s="69"/>
      <c r="OF3" s="69"/>
      <c r="OG3" s="70"/>
      <c r="OH3" s="68">
        <f>NL3+Parameters!$B$7</f>
        <v>153</v>
      </c>
      <c r="OI3" s="69"/>
      <c r="OJ3" s="69"/>
      <c r="OK3" s="69"/>
      <c r="OL3" s="69"/>
      <c r="OM3" s="69"/>
      <c r="ON3" s="69"/>
      <c r="OO3" s="69"/>
      <c r="OP3" s="69"/>
      <c r="OQ3" s="69"/>
      <c r="OR3" s="69"/>
      <c r="OS3" s="69"/>
      <c r="OT3" s="69"/>
      <c r="OU3" s="69"/>
      <c r="OV3" s="69"/>
      <c r="OW3" s="69"/>
      <c r="OX3" s="69"/>
      <c r="OY3" s="69"/>
      <c r="OZ3" s="69"/>
      <c r="PA3" s="69"/>
      <c r="PB3" s="69"/>
      <c r="PC3" s="70"/>
      <c r="PD3" s="68">
        <f>OH3+Parameters!$B$7</f>
        <v>161</v>
      </c>
      <c r="PE3" s="69"/>
      <c r="PF3" s="69"/>
      <c r="PG3" s="69"/>
      <c r="PH3" s="69"/>
      <c r="PI3" s="69"/>
      <c r="PJ3" s="69"/>
      <c r="PK3" s="69"/>
      <c r="PL3" s="69"/>
      <c r="PM3" s="69"/>
      <c r="PN3" s="69"/>
      <c r="PO3" s="69"/>
      <c r="PP3" s="69"/>
      <c r="PQ3" s="69"/>
      <c r="PR3" s="69"/>
      <c r="PS3" s="69"/>
      <c r="PT3" s="69"/>
      <c r="PU3" s="69"/>
      <c r="PV3" s="69"/>
      <c r="PW3" s="69"/>
      <c r="PX3" s="69"/>
      <c r="PY3" s="70"/>
      <c r="PZ3" s="68">
        <f>PD3+Parameters!$B$7</f>
        <v>169</v>
      </c>
      <c r="QA3" s="69"/>
      <c r="QB3" s="69"/>
      <c r="QC3" s="69"/>
      <c r="QD3" s="69"/>
      <c r="QE3" s="69"/>
      <c r="QF3" s="69"/>
      <c r="QG3" s="69"/>
      <c r="QH3" s="69"/>
      <c r="QI3" s="69"/>
      <c r="QJ3" s="69"/>
      <c r="QK3" s="69"/>
      <c r="QL3" s="69"/>
      <c r="QM3" s="69"/>
      <c r="QN3" s="69"/>
      <c r="QO3" s="69"/>
      <c r="QP3" s="69"/>
      <c r="QQ3" s="69"/>
      <c r="QR3" s="69"/>
      <c r="QS3" s="69"/>
      <c r="QT3" s="69"/>
      <c r="QU3" s="70"/>
      <c r="QV3" s="68">
        <f>PZ3+Parameters!$B$7</f>
        <v>177</v>
      </c>
      <c r="QW3" s="69"/>
      <c r="QX3" s="69"/>
      <c r="QY3" s="69"/>
      <c r="QZ3" s="69"/>
      <c r="RA3" s="69"/>
      <c r="RB3" s="69"/>
      <c r="RC3" s="69"/>
      <c r="RD3" s="69"/>
      <c r="RE3" s="69"/>
      <c r="RF3" s="69"/>
      <c r="RG3" s="69"/>
      <c r="RH3" s="69"/>
      <c r="RI3" s="69"/>
      <c r="RJ3" s="69"/>
      <c r="RK3" s="69"/>
      <c r="RL3" s="69"/>
      <c r="RM3" s="69"/>
      <c r="RN3" s="69"/>
      <c r="RO3" s="69"/>
      <c r="RP3" s="69"/>
      <c r="RQ3" s="70"/>
      <c r="RR3" s="68">
        <f>QV3+Parameters!$B$7</f>
        <v>185</v>
      </c>
      <c r="RS3" s="69"/>
      <c r="RT3" s="69"/>
      <c r="RU3" s="69"/>
      <c r="RV3" s="69"/>
      <c r="RW3" s="69"/>
      <c r="RX3" s="69"/>
      <c r="RY3" s="69"/>
      <c r="RZ3" s="69"/>
      <c r="SA3" s="69"/>
      <c r="SB3" s="69"/>
      <c r="SC3" s="69"/>
      <c r="SD3" s="69"/>
      <c r="SE3" s="69"/>
      <c r="SF3" s="69"/>
      <c r="SG3" s="69"/>
      <c r="SH3" s="69"/>
      <c r="SI3" s="69"/>
      <c r="SJ3" s="69"/>
      <c r="SK3" s="69"/>
      <c r="SL3" s="69"/>
      <c r="SM3" s="70"/>
      <c r="SN3" s="68">
        <f>RR3+Parameters!$B$7</f>
        <v>193</v>
      </c>
      <c r="SO3" s="69"/>
      <c r="SP3" s="69"/>
      <c r="SQ3" s="69"/>
      <c r="SR3" s="69"/>
      <c r="SS3" s="69"/>
      <c r="ST3" s="69"/>
      <c r="SU3" s="69"/>
      <c r="SV3" s="69"/>
      <c r="SW3" s="69"/>
      <c r="SX3" s="69"/>
      <c r="SY3" s="69"/>
      <c r="SZ3" s="69"/>
      <c r="TA3" s="69"/>
      <c r="TB3" s="69"/>
      <c r="TC3" s="69"/>
      <c r="TD3" s="69"/>
      <c r="TE3" s="69"/>
      <c r="TF3" s="69"/>
      <c r="TG3" s="69"/>
      <c r="TH3" s="69"/>
      <c r="TI3" s="70"/>
      <c r="TJ3" s="68">
        <f>SN3+Parameters!$B$7</f>
        <v>201</v>
      </c>
      <c r="TK3" s="69"/>
      <c r="TL3" s="69"/>
      <c r="TM3" s="69"/>
      <c r="TN3" s="69"/>
      <c r="TO3" s="69"/>
      <c r="TP3" s="69"/>
      <c r="TQ3" s="69"/>
      <c r="TR3" s="69"/>
      <c r="TS3" s="69"/>
      <c r="TT3" s="69"/>
      <c r="TU3" s="69"/>
      <c r="TV3" s="69"/>
      <c r="TW3" s="69"/>
      <c r="TX3" s="69"/>
      <c r="TY3" s="69"/>
      <c r="TZ3" s="69"/>
      <c r="UA3" s="69"/>
      <c r="UB3" s="69"/>
      <c r="UC3" s="69"/>
      <c r="UD3" s="69"/>
      <c r="UE3" s="70"/>
      <c r="UF3" s="68">
        <f>TJ3+Parameters!$B$7</f>
        <v>209</v>
      </c>
      <c r="UG3" s="69"/>
      <c r="UH3" s="69"/>
      <c r="UI3" s="69"/>
      <c r="UJ3" s="69"/>
      <c r="UK3" s="69"/>
      <c r="UL3" s="69"/>
      <c r="UM3" s="69"/>
      <c r="UN3" s="69"/>
      <c r="UO3" s="69"/>
      <c r="UP3" s="69"/>
      <c r="UQ3" s="69"/>
      <c r="UR3" s="69"/>
      <c r="US3" s="69"/>
      <c r="UT3" s="69"/>
      <c r="UU3" s="69"/>
      <c r="UV3" s="69"/>
      <c r="UW3" s="69"/>
      <c r="UX3" s="69"/>
      <c r="UY3" s="69"/>
      <c r="UZ3" s="69"/>
      <c r="VA3" s="70"/>
      <c r="VB3" s="68">
        <f>UF3+Parameters!$B$7</f>
        <v>217</v>
      </c>
      <c r="VC3" s="69"/>
      <c r="VD3" s="69"/>
      <c r="VE3" s="69"/>
      <c r="VF3" s="69"/>
      <c r="VG3" s="69"/>
      <c r="VH3" s="69"/>
      <c r="VI3" s="69"/>
      <c r="VJ3" s="69"/>
      <c r="VK3" s="69"/>
      <c r="VL3" s="69"/>
      <c r="VM3" s="69"/>
      <c r="VN3" s="69"/>
      <c r="VO3" s="69"/>
      <c r="VP3" s="69"/>
      <c r="VQ3" s="69"/>
      <c r="VR3" s="69"/>
      <c r="VS3" s="69"/>
      <c r="VT3" s="69"/>
      <c r="VU3" s="69"/>
      <c r="VV3" s="69"/>
      <c r="VW3" s="70"/>
      <c r="VX3" s="68">
        <f>VB3+Parameters!$B$7</f>
        <v>225</v>
      </c>
      <c r="VY3" s="69"/>
      <c r="VZ3" s="69"/>
      <c r="WA3" s="69"/>
      <c r="WB3" s="69"/>
      <c r="WC3" s="69"/>
      <c r="WD3" s="69"/>
      <c r="WE3" s="69"/>
      <c r="WF3" s="69"/>
      <c r="WG3" s="69"/>
      <c r="WH3" s="69"/>
      <c r="WI3" s="69"/>
      <c r="WJ3" s="69"/>
      <c r="WK3" s="69"/>
      <c r="WL3" s="69"/>
      <c r="WM3" s="69"/>
      <c r="WN3" s="69"/>
      <c r="WO3" s="69"/>
      <c r="WP3" s="69"/>
      <c r="WQ3" s="69"/>
      <c r="WR3" s="69"/>
      <c r="WS3" s="70"/>
      <c r="WT3" s="68">
        <f>VX3+Parameters!$B$7</f>
        <v>233</v>
      </c>
      <c r="WU3" s="69"/>
      <c r="WV3" s="69"/>
      <c r="WW3" s="69"/>
      <c r="WX3" s="69"/>
      <c r="WY3" s="69"/>
      <c r="WZ3" s="69"/>
      <c r="XA3" s="69"/>
      <c r="XB3" s="69"/>
      <c r="XC3" s="69"/>
      <c r="XD3" s="69"/>
      <c r="XE3" s="69"/>
      <c r="XF3" s="69"/>
      <c r="XG3" s="69"/>
      <c r="XH3" s="69"/>
      <c r="XI3" s="69"/>
      <c r="XJ3" s="69"/>
      <c r="XK3" s="69"/>
      <c r="XL3" s="69"/>
      <c r="XM3" s="69"/>
      <c r="XN3" s="69"/>
      <c r="XO3" s="70"/>
      <c r="XP3" s="68">
        <f>WT3+Parameters!$B$7</f>
        <v>241</v>
      </c>
      <c r="XQ3" s="69"/>
      <c r="XR3" s="69"/>
      <c r="XS3" s="69"/>
      <c r="XT3" s="69"/>
      <c r="XU3" s="69"/>
      <c r="XV3" s="69"/>
      <c r="XW3" s="69"/>
      <c r="XX3" s="69"/>
      <c r="XY3" s="69"/>
      <c r="XZ3" s="69"/>
      <c r="YA3" s="69"/>
      <c r="YB3" s="69"/>
      <c r="YC3" s="69"/>
      <c r="YD3" s="69"/>
      <c r="YE3" s="69"/>
      <c r="YF3" s="69"/>
      <c r="YG3" s="69"/>
      <c r="YH3" s="69"/>
      <c r="YI3" s="69"/>
      <c r="YJ3" s="69"/>
      <c r="YK3" s="70"/>
      <c r="YL3" s="68">
        <f>XP3+Parameters!$B$7</f>
        <v>249</v>
      </c>
      <c r="YM3" s="69"/>
      <c r="YN3" s="69"/>
      <c r="YO3" s="69"/>
      <c r="YP3" s="69"/>
      <c r="YQ3" s="69"/>
      <c r="YR3" s="69"/>
      <c r="YS3" s="69"/>
      <c r="YT3" s="69"/>
      <c r="YU3" s="69"/>
      <c r="YV3" s="69"/>
      <c r="YW3" s="69"/>
      <c r="YX3" s="69"/>
      <c r="YY3" s="69"/>
      <c r="YZ3" s="69"/>
      <c r="ZA3" s="69"/>
      <c r="ZB3" s="69"/>
      <c r="ZC3" s="69"/>
      <c r="ZD3" s="69"/>
      <c r="ZE3" s="69"/>
      <c r="ZF3" s="69"/>
      <c r="ZG3" s="70"/>
      <c r="ZH3" s="68">
        <f>YL3+Parameters!$B$7</f>
        <v>257</v>
      </c>
      <c r="ZI3" s="69"/>
      <c r="ZJ3" s="69"/>
      <c r="ZK3" s="69"/>
      <c r="ZL3" s="69"/>
      <c r="ZM3" s="69"/>
      <c r="ZN3" s="69"/>
      <c r="ZO3" s="69"/>
      <c r="ZP3" s="69"/>
      <c r="ZQ3" s="69"/>
      <c r="ZR3" s="69"/>
      <c r="ZS3" s="69"/>
      <c r="ZT3" s="69"/>
      <c r="ZU3" s="69"/>
      <c r="ZV3" s="69"/>
      <c r="ZW3" s="69"/>
      <c r="ZX3" s="69"/>
      <c r="ZY3" s="69"/>
      <c r="ZZ3" s="69"/>
      <c r="AAA3" s="69"/>
      <c r="AAB3" s="69"/>
      <c r="AAC3" s="70"/>
      <c r="AAD3" s="68">
        <f>1+Parameters!$B$7</f>
        <v>9</v>
      </c>
      <c r="AAE3" s="69"/>
      <c r="AAF3" s="69"/>
      <c r="AAG3" s="69"/>
      <c r="AAH3" s="69"/>
      <c r="AAI3" s="69"/>
      <c r="AAJ3" s="69"/>
      <c r="AAK3" s="69"/>
      <c r="AAL3" s="69"/>
      <c r="AAM3" s="69"/>
      <c r="AAN3" s="69"/>
      <c r="AAO3" s="69"/>
      <c r="AAP3" s="69"/>
      <c r="AAQ3" s="69"/>
      <c r="AAR3" s="69"/>
      <c r="AAS3" s="69"/>
      <c r="AAT3" s="69"/>
      <c r="AAU3" s="69"/>
      <c r="AAV3" s="69"/>
      <c r="AAW3" s="69"/>
      <c r="AAX3" s="69"/>
      <c r="AAY3" s="70"/>
      <c r="AAZ3" s="68">
        <f>AAD3+Parameters!$B$7</f>
        <v>17</v>
      </c>
      <c r="ABA3" s="69"/>
      <c r="ABB3" s="69"/>
      <c r="ABC3" s="69"/>
      <c r="ABD3" s="69"/>
      <c r="ABE3" s="69"/>
      <c r="ABF3" s="69"/>
      <c r="ABG3" s="69"/>
      <c r="ABH3" s="69"/>
      <c r="ABI3" s="69"/>
      <c r="ABJ3" s="69"/>
      <c r="ABK3" s="69"/>
      <c r="ABL3" s="69"/>
      <c r="ABM3" s="69"/>
      <c r="ABN3" s="69"/>
      <c r="ABO3" s="69"/>
      <c r="ABP3" s="69"/>
      <c r="ABQ3" s="69"/>
      <c r="ABR3" s="69"/>
      <c r="ABS3" s="69"/>
      <c r="ABT3" s="69"/>
      <c r="ABU3" s="70"/>
      <c r="ABV3" s="68">
        <f>AAZ3+Parameters!$B$7</f>
        <v>25</v>
      </c>
      <c r="ABW3" s="69"/>
      <c r="ABX3" s="69"/>
      <c r="ABY3" s="69"/>
      <c r="ABZ3" s="69"/>
      <c r="ACA3" s="69"/>
      <c r="ACB3" s="69"/>
      <c r="ACC3" s="69"/>
      <c r="ACD3" s="69"/>
      <c r="ACE3" s="69"/>
      <c r="ACF3" s="69"/>
      <c r="ACG3" s="69"/>
      <c r="ACH3" s="69"/>
      <c r="ACI3" s="69"/>
      <c r="ACJ3" s="69"/>
      <c r="ACK3" s="69"/>
      <c r="ACL3" s="69"/>
      <c r="ACM3" s="69"/>
      <c r="ACN3" s="69"/>
      <c r="ACO3" s="69"/>
      <c r="ACP3" s="69"/>
      <c r="ACQ3" s="70"/>
      <c r="ACR3" s="68">
        <f>ABV3+Parameters!$B$7</f>
        <v>33</v>
      </c>
      <c r="ACS3" s="69"/>
      <c r="ACT3" s="69"/>
      <c r="ACU3" s="69"/>
      <c r="ACV3" s="69"/>
      <c r="ACW3" s="69"/>
      <c r="ACX3" s="69"/>
      <c r="ACY3" s="69"/>
      <c r="ACZ3" s="69"/>
      <c r="ADA3" s="69"/>
      <c r="ADB3" s="69"/>
      <c r="ADC3" s="69"/>
      <c r="ADD3" s="69"/>
      <c r="ADE3" s="69"/>
      <c r="ADF3" s="69"/>
      <c r="ADG3" s="69"/>
      <c r="ADH3" s="69"/>
      <c r="ADI3" s="69"/>
      <c r="ADJ3" s="69"/>
      <c r="ADK3" s="69"/>
      <c r="ADL3" s="69"/>
      <c r="ADM3" s="70"/>
      <c r="ADN3" s="68">
        <f>ACR3+Parameters!$B$7</f>
        <v>41</v>
      </c>
      <c r="ADO3" s="69"/>
      <c r="ADP3" s="69"/>
      <c r="ADQ3" s="69"/>
      <c r="ADR3" s="69"/>
      <c r="ADS3" s="69"/>
      <c r="ADT3" s="69"/>
      <c r="ADU3" s="69"/>
      <c r="ADV3" s="69"/>
      <c r="ADW3" s="69"/>
      <c r="ADX3" s="69"/>
      <c r="ADY3" s="69"/>
      <c r="ADZ3" s="69"/>
      <c r="AEA3" s="69"/>
      <c r="AEB3" s="69"/>
      <c r="AEC3" s="69"/>
      <c r="AED3" s="69"/>
      <c r="AEE3" s="69"/>
      <c r="AEF3" s="69"/>
      <c r="AEG3" s="69"/>
      <c r="AEH3" s="69"/>
      <c r="AEI3" s="70"/>
      <c r="AEJ3" s="68">
        <f>ADN3+Parameters!$B$7</f>
        <v>49</v>
      </c>
      <c r="AEK3" s="69"/>
      <c r="AEL3" s="69"/>
      <c r="AEM3" s="69"/>
      <c r="AEN3" s="69"/>
      <c r="AEO3" s="69"/>
      <c r="AEP3" s="69"/>
      <c r="AEQ3" s="69"/>
      <c r="AER3" s="69"/>
      <c r="AES3" s="69"/>
      <c r="AET3" s="69"/>
      <c r="AEU3" s="69"/>
      <c r="AEV3" s="69"/>
      <c r="AEW3" s="69"/>
      <c r="AEX3" s="69"/>
      <c r="AEY3" s="69"/>
      <c r="AEZ3" s="69"/>
      <c r="AFA3" s="69"/>
      <c r="AFB3" s="69"/>
      <c r="AFC3" s="69"/>
      <c r="AFD3" s="69"/>
      <c r="AFE3" s="70"/>
      <c r="AFF3" s="68">
        <f>AEJ3+Parameters!$B$7</f>
        <v>57</v>
      </c>
      <c r="AFG3" s="69"/>
      <c r="AFH3" s="69"/>
      <c r="AFI3" s="69"/>
      <c r="AFJ3" s="69"/>
      <c r="AFK3" s="69"/>
      <c r="AFL3" s="69"/>
      <c r="AFM3" s="69"/>
      <c r="AFN3" s="69"/>
      <c r="AFO3" s="69"/>
      <c r="AFP3" s="69"/>
      <c r="AFQ3" s="69"/>
      <c r="AFR3" s="69"/>
      <c r="AFS3" s="69"/>
      <c r="AFT3" s="69"/>
      <c r="AFU3" s="69"/>
      <c r="AFV3" s="69"/>
      <c r="AFW3" s="69"/>
      <c r="AFX3" s="69"/>
      <c r="AFY3" s="69"/>
      <c r="AFZ3" s="69"/>
      <c r="AGA3" s="70"/>
      <c r="AGB3" s="68">
        <f>AFF3+Parameters!$B$7</f>
        <v>65</v>
      </c>
      <c r="AGC3" s="69"/>
      <c r="AGD3" s="69"/>
      <c r="AGE3" s="69"/>
      <c r="AGF3" s="69"/>
      <c r="AGG3" s="69"/>
      <c r="AGH3" s="69"/>
      <c r="AGI3" s="69"/>
      <c r="AGJ3" s="69"/>
      <c r="AGK3" s="69"/>
      <c r="AGL3" s="69"/>
      <c r="AGM3" s="69"/>
      <c r="AGN3" s="69"/>
      <c r="AGO3" s="69"/>
      <c r="AGP3" s="69"/>
      <c r="AGQ3" s="69"/>
      <c r="AGR3" s="69"/>
      <c r="AGS3" s="69"/>
      <c r="AGT3" s="69"/>
      <c r="AGU3" s="69"/>
      <c r="AGV3" s="69"/>
      <c r="AGW3" s="70"/>
      <c r="AGX3" s="68">
        <f>AGB3+Parameters!$B$7</f>
        <v>73</v>
      </c>
      <c r="AGY3" s="69"/>
      <c r="AGZ3" s="69"/>
      <c r="AHA3" s="69"/>
      <c r="AHB3" s="69"/>
      <c r="AHC3" s="69"/>
      <c r="AHD3" s="69"/>
      <c r="AHE3" s="69"/>
      <c r="AHF3" s="69"/>
      <c r="AHG3" s="69"/>
      <c r="AHH3" s="69"/>
      <c r="AHI3" s="69"/>
      <c r="AHJ3" s="69"/>
      <c r="AHK3" s="69"/>
      <c r="AHL3" s="69"/>
      <c r="AHM3" s="69"/>
      <c r="AHN3" s="69"/>
      <c r="AHO3" s="69"/>
      <c r="AHP3" s="69"/>
      <c r="AHQ3" s="69"/>
      <c r="AHR3" s="69"/>
      <c r="AHS3" s="70"/>
      <c r="AHT3" s="68">
        <f>AGX3+Parameters!$B$7</f>
        <v>81</v>
      </c>
      <c r="AHU3" s="69"/>
      <c r="AHV3" s="69"/>
      <c r="AHW3" s="69"/>
      <c r="AHX3" s="69"/>
      <c r="AHY3" s="69"/>
      <c r="AHZ3" s="69"/>
      <c r="AIA3" s="69"/>
      <c r="AIB3" s="69"/>
      <c r="AIC3" s="69"/>
      <c r="AID3" s="69"/>
      <c r="AIE3" s="69"/>
      <c r="AIF3" s="69"/>
      <c r="AIG3" s="69"/>
      <c r="AIH3" s="69"/>
      <c r="AII3" s="69"/>
      <c r="AIJ3" s="69"/>
      <c r="AIK3" s="69"/>
      <c r="AIL3" s="69"/>
      <c r="AIM3" s="69"/>
      <c r="AIN3" s="69"/>
      <c r="AIO3" s="70"/>
      <c r="AIP3" s="68">
        <f>AHT3+Parameters!$B$7</f>
        <v>89</v>
      </c>
      <c r="AIQ3" s="69"/>
      <c r="AIR3" s="69"/>
      <c r="AIS3" s="69"/>
      <c r="AIT3" s="69"/>
      <c r="AIU3" s="69"/>
      <c r="AIV3" s="69"/>
      <c r="AIW3" s="69"/>
      <c r="AIX3" s="69"/>
      <c r="AIY3" s="69"/>
      <c r="AIZ3" s="69"/>
      <c r="AJA3" s="69"/>
      <c r="AJB3" s="69"/>
      <c r="AJC3" s="69"/>
      <c r="AJD3" s="69"/>
      <c r="AJE3" s="69"/>
      <c r="AJF3" s="69"/>
      <c r="AJG3" s="69"/>
      <c r="AJH3" s="69"/>
      <c r="AJI3" s="69"/>
      <c r="AJJ3" s="69"/>
      <c r="AJK3" s="70"/>
      <c r="AJL3" s="68">
        <f>AIP3+Parameters!$B$7</f>
        <v>97</v>
      </c>
      <c r="AJM3" s="69"/>
      <c r="AJN3" s="69"/>
      <c r="AJO3" s="69"/>
      <c r="AJP3" s="69"/>
      <c r="AJQ3" s="69"/>
      <c r="AJR3" s="69"/>
      <c r="AJS3" s="69"/>
      <c r="AJT3" s="69"/>
      <c r="AJU3" s="69"/>
      <c r="AJV3" s="69"/>
      <c r="AJW3" s="69"/>
      <c r="AJX3" s="69"/>
      <c r="AJY3" s="69"/>
      <c r="AJZ3" s="69"/>
      <c r="AKA3" s="69"/>
      <c r="AKB3" s="69"/>
      <c r="AKC3" s="69"/>
      <c r="AKD3" s="69"/>
      <c r="AKE3" s="69"/>
      <c r="AKF3" s="69"/>
      <c r="AKG3" s="70"/>
      <c r="AKH3" s="68">
        <f>AJL3+Parameters!$B$7</f>
        <v>105</v>
      </c>
      <c r="AKI3" s="69"/>
      <c r="AKJ3" s="69"/>
      <c r="AKK3" s="69"/>
      <c r="AKL3" s="69"/>
      <c r="AKM3" s="69"/>
      <c r="AKN3" s="69"/>
      <c r="AKO3" s="69"/>
      <c r="AKP3" s="69"/>
      <c r="AKQ3" s="69"/>
      <c r="AKR3" s="69"/>
      <c r="AKS3" s="69"/>
      <c r="AKT3" s="69"/>
      <c r="AKU3" s="69"/>
      <c r="AKV3" s="69"/>
      <c r="AKW3" s="69"/>
      <c r="AKX3" s="69"/>
      <c r="AKY3" s="69"/>
      <c r="AKZ3" s="69"/>
      <c r="ALA3" s="69"/>
      <c r="ALB3" s="69"/>
      <c r="ALC3" s="70"/>
      <c r="ALD3" s="68">
        <f>AKH3+Parameters!$B$7</f>
        <v>113</v>
      </c>
      <c r="ALE3" s="69"/>
      <c r="ALF3" s="69"/>
      <c r="ALG3" s="69"/>
      <c r="ALH3" s="69"/>
      <c r="ALI3" s="69"/>
      <c r="ALJ3" s="69"/>
      <c r="ALK3" s="69"/>
      <c r="ALL3" s="69"/>
      <c r="ALM3" s="69"/>
      <c r="ALN3" s="69"/>
      <c r="ALO3" s="69"/>
      <c r="ALP3" s="69"/>
      <c r="ALQ3" s="69"/>
      <c r="ALR3" s="69"/>
      <c r="ALS3" s="69"/>
      <c r="ALT3" s="69"/>
      <c r="ALU3" s="69"/>
      <c r="ALV3" s="69"/>
      <c r="ALW3" s="69"/>
      <c r="ALX3" s="69"/>
      <c r="ALY3" s="70"/>
      <c r="ALZ3" s="68">
        <f>ALD3+Parameters!$B$7</f>
        <v>121</v>
      </c>
      <c r="AMA3" s="69"/>
      <c r="AMB3" s="69"/>
      <c r="AMC3" s="69"/>
      <c r="AMD3" s="69"/>
      <c r="AME3" s="69"/>
      <c r="AMF3" s="69"/>
      <c r="AMG3" s="69"/>
      <c r="AMH3" s="69"/>
      <c r="AMI3" s="69"/>
      <c r="AMJ3" s="69"/>
      <c r="AMK3" s="69"/>
      <c r="AML3" s="69"/>
      <c r="AMM3" s="69"/>
      <c r="AMN3" s="69"/>
      <c r="AMO3" s="69"/>
      <c r="AMP3" s="69"/>
      <c r="AMQ3" s="69"/>
      <c r="AMR3" s="69"/>
      <c r="AMS3" s="69"/>
      <c r="AMT3" s="69"/>
      <c r="AMU3" s="70"/>
      <c r="AMV3" s="68">
        <f>ALZ3+Parameters!$B$7</f>
        <v>129</v>
      </c>
      <c r="AMW3" s="69"/>
      <c r="AMX3" s="69"/>
      <c r="AMY3" s="69"/>
      <c r="AMZ3" s="69"/>
      <c r="ANA3" s="69"/>
      <c r="ANB3" s="69"/>
      <c r="ANC3" s="69"/>
      <c r="AND3" s="69"/>
      <c r="ANE3" s="69"/>
      <c r="ANF3" s="69"/>
      <c r="ANG3" s="69"/>
      <c r="ANH3" s="69"/>
      <c r="ANI3" s="69"/>
      <c r="ANJ3" s="69"/>
      <c r="ANK3" s="69"/>
      <c r="ANL3" s="69"/>
      <c r="ANM3" s="69"/>
      <c r="ANN3" s="69"/>
      <c r="ANO3" s="69"/>
      <c r="ANP3" s="69"/>
      <c r="ANQ3" s="70"/>
      <c r="ANR3" s="68">
        <f>AMV3+Parameters!$B$7</f>
        <v>137</v>
      </c>
      <c r="ANS3" s="69"/>
      <c r="ANT3" s="69"/>
      <c r="ANU3" s="69"/>
      <c r="ANV3" s="69"/>
      <c r="ANW3" s="69"/>
      <c r="ANX3" s="69"/>
      <c r="ANY3" s="69"/>
      <c r="ANZ3" s="69"/>
      <c r="AOA3" s="69"/>
      <c r="AOB3" s="69"/>
      <c r="AOC3" s="69"/>
      <c r="AOD3" s="69"/>
      <c r="AOE3" s="69"/>
      <c r="AOF3" s="69"/>
      <c r="AOG3" s="69"/>
      <c r="AOH3" s="69"/>
      <c r="AOI3" s="69"/>
      <c r="AOJ3" s="69"/>
      <c r="AOK3" s="69"/>
      <c r="AOL3" s="69"/>
      <c r="AOM3" s="70"/>
      <c r="AON3" s="68">
        <f>ANR3+Parameters!$B$7</f>
        <v>145</v>
      </c>
      <c r="AOO3" s="69"/>
      <c r="AOP3" s="69"/>
      <c r="AOQ3" s="69"/>
      <c r="AOR3" s="69"/>
      <c r="AOS3" s="69"/>
      <c r="AOT3" s="69"/>
      <c r="AOU3" s="69"/>
      <c r="AOV3" s="69"/>
      <c r="AOW3" s="69"/>
      <c r="AOX3" s="69"/>
      <c r="AOY3" s="69"/>
      <c r="AOZ3" s="69"/>
      <c r="APA3" s="69"/>
      <c r="APB3" s="69"/>
      <c r="APC3" s="69"/>
      <c r="APD3" s="69"/>
      <c r="APE3" s="69"/>
      <c r="APF3" s="69"/>
      <c r="APG3" s="69"/>
      <c r="APH3" s="69"/>
      <c r="API3" s="70"/>
      <c r="APJ3" s="68">
        <f>AON3+Parameters!$B$7</f>
        <v>153</v>
      </c>
      <c r="APK3" s="69"/>
      <c r="APL3" s="69"/>
      <c r="APM3" s="69"/>
      <c r="APN3" s="69"/>
      <c r="APO3" s="69"/>
      <c r="APP3" s="69"/>
      <c r="APQ3" s="69"/>
      <c r="APR3" s="69"/>
      <c r="APS3" s="69"/>
      <c r="APT3" s="69"/>
      <c r="APU3" s="69"/>
      <c r="APV3" s="69"/>
      <c r="APW3" s="69"/>
      <c r="APX3" s="69"/>
      <c r="APY3" s="69"/>
      <c r="APZ3" s="69"/>
      <c r="AQA3" s="69"/>
      <c r="AQB3" s="69"/>
      <c r="AQC3" s="69"/>
      <c r="AQD3" s="69"/>
      <c r="AQE3" s="70"/>
      <c r="AQF3" s="68">
        <f>APJ3+Parameters!$B$7</f>
        <v>161</v>
      </c>
      <c r="AQG3" s="69"/>
      <c r="AQH3" s="69"/>
      <c r="AQI3" s="69"/>
      <c r="AQJ3" s="69"/>
      <c r="AQK3" s="69"/>
      <c r="AQL3" s="69"/>
      <c r="AQM3" s="69"/>
      <c r="AQN3" s="69"/>
      <c r="AQO3" s="69"/>
      <c r="AQP3" s="69"/>
      <c r="AQQ3" s="69"/>
      <c r="AQR3" s="69"/>
      <c r="AQS3" s="69"/>
      <c r="AQT3" s="69"/>
      <c r="AQU3" s="69"/>
      <c r="AQV3" s="69"/>
      <c r="AQW3" s="69"/>
      <c r="AQX3" s="69"/>
      <c r="AQY3" s="69"/>
      <c r="AQZ3" s="69"/>
      <c r="ARA3" s="70"/>
      <c r="ARB3" s="68">
        <f>AQF3+Parameters!$B$7</f>
        <v>169</v>
      </c>
      <c r="ARC3" s="69"/>
      <c r="ARD3" s="69"/>
      <c r="ARE3" s="69"/>
      <c r="ARF3" s="69"/>
      <c r="ARG3" s="69"/>
      <c r="ARH3" s="69"/>
      <c r="ARI3" s="69"/>
      <c r="ARJ3" s="69"/>
      <c r="ARK3" s="69"/>
      <c r="ARL3" s="69"/>
      <c r="ARM3" s="69"/>
      <c r="ARN3" s="69"/>
      <c r="ARO3" s="69"/>
      <c r="ARP3" s="69"/>
      <c r="ARQ3" s="69"/>
      <c r="ARR3" s="69"/>
      <c r="ARS3" s="69"/>
      <c r="ART3" s="69"/>
      <c r="ARU3" s="69"/>
      <c r="ARV3" s="69"/>
      <c r="ARW3" s="70"/>
      <c r="ARX3" s="68">
        <f>ARB3+Parameters!$B$7</f>
        <v>177</v>
      </c>
      <c r="ARY3" s="69"/>
      <c r="ARZ3" s="69"/>
      <c r="ASA3" s="69"/>
      <c r="ASB3" s="69"/>
      <c r="ASC3" s="69"/>
      <c r="ASD3" s="69"/>
      <c r="ASE3" s="69"/>
      <c r="ASF3" s="69"/>
      <c r="ASG3" s="69"/>
      <c r="ASH3" s="69"/>
      <c r="ASI3" s="69"/>
      <c r="ASJ3" s="69"/>
      <c r="ASK3" s="69"/>
      <c r="ASL3" s="69"/>
      <c r="ASM3" s="69"/>
      <c r="ASN3" s="69"/>
      <c r="ASO3" s="69"/>
      <c r="ASP3" s="69"/>
      <c r="ASQ3" s="69"/>
      <c r="ASR3" s="69"/>
      <c r="ASS3" s="70"/>
      <c r="AST3" s="68">
        <f>ARX3+Parameters!$B$7</f>
        <v>185</v>
      </c>
      <c r="ASU3" s="69"/>
      <c r="ASV3" s="69"/>
      <c r="ASW3" s="69"/>
      <c r="ASX3" s="69"/>
      <c r="ASY3" s="69"/>
      <c r="ASZ3" s="69"/>
      <c r="ATA3" s="69"/>
      <c r="ATB3" s="69"/>
      <c r="ATC3" s="69"/>
      <c r="ATD3" s="69"/>
      <c r="ATE3" s="69"/>
      <c r="ATF3" s="69"/>
      <c r="ATG3" s="69"/>
      <c r="ATH3" s="69"/>
      <c r="ATI3" s="69"/>
      <c r="ATJ3" s="69"/>
      <c r="ATK3" s="69"/>
      <c r="ATL3" s="69"/>
      <c r="ATM3" s="69"/>
      <c r="ATN3" s="69"/>
      <c r="ATO3" s="70"/>
      <c r="ATP3" s="68">
        <f>AST3+Parameters!$B$7</f>
        <v>193</v>
      </c>
      <c r="ATQ3" s="69"/>
      <c r="ATR3" s="69"/>
      <c r="ATS3" s="69"/>
      <c r="ATT3" s="69"/>
      <c r="ATU3" s="69"/>
      <c r="ATV3" s="69"/>
      <c r="ATW3" s="69"/>
      <c r="ATX3" s="69"/>
      <c r="ATY3" s="69"/>
      <c r="ATZ3" s="69"/>
      <c r="AUA3" s="69"/>
      <c r="AUB3" s="69"/>
      <c r="AUC3" s="69"/>
      <c r="AUD3" s="69"/>
      <c r="AUE3" s="69"/>
      <c r="AUF3" s="69"/>
      <c r="AUG3" s="69"/>
      <c r="AUH3" s="69"/>
      <c r="AUI3" s="69"/>
      <c r="AUJ3" s="69"/>
      <c r="AUK3" s="70"/>
      <c r="AUL3" s="68">
        <f>ATP3+Parameters!$B$7</f>
        <v>201</v>
      </c>
      <c r="AUM3" s="69"/>
      <c r="AUN3" s="69"/>
      <c r="AUO3" s="69"/>
      <c r="AUP3" s="69"/>
      <c r="AUQ3" s="69"/>
      <c r="AUR3" s="69"/>
      <c r="AUS3" s="69"/>
      <c r="AUT3" s="69"/>
      <c r="AUU3" s="69"/>
      <c r="AUV3" s="69"/>
      <c r="AUW3" s="69"/>
      <c r="AUX3" s="69"/>
      <c r="AUY3" s="69"/>
      <c r="AUZ3" s="69"/>
      <c r="AVA3" s="69"/>
      <c r="AVB3" s="69"/>
      <c r="AVC3" s="69"/>
      <c r="AVD3" s="69"/>
      <c r="AVE3" s="69"/>
      <c r="AVF3" s="69"/>
      <c r="AVG3" s="70"/>
      <c r="AVH3" s="68">
        <f>AUL3+Parameters!$B$7</f>
        <v>209</v>
      </c>
      <c r="AVI3" s="69"/>
      <c r="AVJ3" s="69"/>
      <c r="AVK3" s="69"/>
      <c r="AVL3" s="69"/>
      <c r="AVM3" s="69"/>
      <c r="AVN3" s="69"/>
      <c r="AVO3" s="69"/>
      <c r="AVP3" s="69"/>
      <c r="AVQ3" s="69"/>
      <c r="AVR3" s="69"/>
      <c r="AVS3" s="69"/>
      <c r="AVT3" s="69"/>
      <c r="AVU3" s="69"/>
      <c r="AVV3" s="69"/>
      <c r="AVW3" s="69"/>
      <c r="AVX3" s="69"/>
      <c r="AVY3" s="69"/>
      <c r="AVZ3" s="69"/>
      <c r="AWA3" s="69"/>
      <c r="AWB3" s="69"/>
      <c r="AWC3" s="70"/>
      <c r="AWD3" s="68">
        <f>AVH3+Parameters!$B$7</f>
        <v>217</v>
      </c>
      <c r="AWE3" s="69"/>
      <c r="AWF3" s="69"/>
      <c r="AWG3" s="69"/>
      <c r="AWH3" s="69"/>
      <c r="AWI3" s="69"/>
      <c r="AWJ3" s="69"/>
      <c r="AWK3" s="69"/>
      <c r="AWL3" s="69"/>
      <c r="AWM3" s="69"/>
      <c r="AWN3" s="69"/>
      <c r="AWO3" s="69"/>
      <c r="AWP3" s="69"/>
      <c r="AWQ3" s="69"/>
      <c r="AWR3" s="69"/>
      <c r="AWS3" s="69"/>
      <c r="AWT3" s="69"/>
      <c r="AWU3" s="69"/>
      <c r="AWV3" s="69"/>
      <c r="AWW3" s="69"/>
      <c r="AWX3" s="69"/>
      <c r="AWY3" s="70"/>
      <c r="AWZ3" s="68">
        <f>AWD3+Parameters!$B$7</f>
        <v>225</v>
      </c>
      <c r="AXA3" s="69"/>
      <c r="AXB3" s="69"/>
      <c r="AXC3" s="69"/>
      <c r="AXD3" s="69"/>
      <c r="AXE3" s="69"/>
      <c r="AXF3" s="69"/>
      <c r="AXG3" s="69"/>
      <c r="AXH3" s="69"/>
      <c r="AXI3" s="69"/>
      <c r="AXJ3" s="69"/>
      <c r="AXK3" s="69"/>
      <c r="AXL3" s="69"/>
      <c r="AXM3" s="69"/>
      <c r="AXN3" s="69"/>
      <c r="AXO3" s="69"/>
      <c r="AXP3" s="69"/>
      <c r="AXQ3" s="69"/>
      <c r="AXR3" s="69"/>
      <c r="AXS3" s="69"/>
      <c r="AXT3" s="69"/>
      <c r="AXU3" s="70"/>
      <c r="AXV3" s="68">
        <f>AWZ3+Parameters!$B$7</f>
        <v>233</v>
      </c>
      <c r="AXW3" s="69"/>
      <c r="AXX3" s="69"/>
      <c r="AXY3" s="69"/>
      <c r="AXZ3" s="69"/>
      <c r="AYA3" s="69"/>
      <c r="AYB3" s="69"/>
      <c r="AYC3" s="69"/>
      <c r="AYD3" s="69"/>
      <c r="AYE3" s="69"/>
      <c r="AYF3" s="69"/>
      <c r="AYG3" s="69"/>
      <c r="AYH3" s="69"/>
      <c r="AYI3" s="69"/>
      <c r="AYJ3" s="69"/>
      <c r="AYK3" s="69"/>
      <c r="AYL3" s="69"/>
      <c r="AYM3" s="69"/>
      <c r="AYN3" s="69"/>
      <c r="AYO3" s="69"/>
      <c r="AYP3" s="69"/>
      <c r="AYQ3" s="70"/>
      <c r="AYR3" s="68">
        <f>AXV3+Parameters!$B$7</f>
        <v>241</v>
      </c>
      <c r="AYS3" s="69"/>
      <c r="AYT3" s="69"/>
      <c r="AYU3" s="69"/>
      <c r="AYV3" s="69"/>
      <c r="AYW3" s="69"/>
      <c r="AYX3" s="69"/>
      <c r="AYY3" s="69"/>
      <c r="AYZ3" s="69"/>
      <c r="AZA3" s="69"/>
      <c r="AZB3" s="69"/>
      <c r="AZC3" s="69"/>
      <c r="AZD3" s="69"/>
      <c r="AZE3" s="69"/>
      <c r="AZF3" s="69"/>
      <c r="AZG3" s="69"/>
      <c r="AZH3" s="69"/>
      <c r="AZI3" s="69"/>
      <c r="AZJ3" s="69"/>
      <c r="AZK3" s="69"/>
      <c r="AZL3" s="69"/>
      <c r="AZM3" s="70"/>
      <c r="AZN3" s="68">
        <f>AYR3+Parameters!$B$7</f>
        <v>249</v>
      </c>
      <c r="AZO3" s="69"/>
      <c r="AZP3" s="69"/>
      <c r="AZQ3" s="69"/>
      <c r="AZR3" s="69"/>
      <c r="AZS3" s="69"/>
      <c r="AZT3" s="69"/>
      <c r="AZU3" s="69"/>
      <c r="AZV3" s="69"/>
      <c r="AZW3" s="69"/>
      <c r="AZX3" s="69"/>
      <c r="AZY3" s="69"/>
      <c r="AZZ3" s="69"/>
      <c r="BAA3" s="69"/>
      <c r="BAB3" s="69"/>
      <c r="BAC3" s="69"/>
      <c r="BAD3" s="69"/>
      <c r="BAE3" s="69"/>
      <c r="BAF3" s="69"/>
      <c r="BAG3" s="69"/>
      <c r="BAH3" s="69"/>
      <c r="BAI3" s="70"/>
      <c r="BAJ3" s="68">
        <f>AZN3+Parameters!$B$7</f>
        <v>257</v>
      </c>
      <c r="BAK3" s="69"/>
      <c r="BAL3" s="69"/>
      <c r="BAM3" s="69"/>
      <c r="BAN3" s="69"/>
      <c r="BAO3" s="69"/>
      <c r="BAP3" s="69"/>
      <c r="BAQ3" s="69"/>
      <c r="BAR3" s="69"/>
      <c r="BAS3" s="69"/>
      <c r="BAT3" s="69"/>
      <c r="BAU3" s="69"/>
      <c r="BAV3" s="69"/>
      <c r="BAW3" s="69"/>
      <c r="BAX3" s="69"/>
      <c r="BAY3" s="69"/>
      <c r="BAZ3" s="69"/>
      <c r="BBA3" s="69"/>
      <c r="BBB3" s="69"/>
      <c r="BBC3" s="69"/>
      <c r="BBD3" s="69"/>
      <c r="BBE3" s="70"/>
      <c r="BBF3" s="85">
        <v>9</v>
      </c>
      <c r="BBG3" s="83"/>
      <c r="BBH3" s="83"/>
      <c r="BBI3" s="83"/>
      <c r="BBJ3" s="83"/>
      <c r="BBK3" s="83"/>
      <c r="BBL3" s="83"/>
      <c r="BBM3" s="83"/>
      <c r="BBN3" s="83"/>
      <c r="BBO3" s="83"/>
      <c r="BBP3" s="83"/>
      <c r="BBQ3" s="83"/>
      <c r="BBR3" s="83"/>
      <c r="BBS3" s="83"/>
      <c r="BBT3" s="83"/>
      <c r="BBU3" s="83"/>
      <c r="BBV3" s="83"/>
      <c r="BBW3" s="83"/>
      <c r="BBX3" s="83"/>
      <c r="BBY3" s="83"/>
      <c r="BBZ3" s="83"/>
      <c r="BCA3" s="84"/>
      <c r="BCB3" s="82">
        <v>17</v>
      </c>
      <c r="BCC3" s="83"/>
      <c r="BCD3" s="83"/>
      <c r="BCE3" s="83"/>
      <c r="BCF3" s="83"/>
      <c r="BCG3" s="83"/>
      <c r="BCH3" s="83"/>
      <c r="BCI3" s="83"/>
      <c r="BCJ3" s="83"/>
      <c r="BCK3" s="83"/>
      <c r="BCL3" s="83"/>
      <c r="BCM3" s="83"/>
      <c r="BCN3" s="83"/>
      <c r="BCO3" s="83"/>
      <c r="BCP3" s="83"/>
      <c r="BCQ3" s="83"/>
      <c r="BCR3" s="83"/>
      <c r="BCS3" s="83"/>
      <c r="BCT3" s="83"/>
      <c r="BCU3" s="83"/>
      <c r="BCV3" s="83"/>
      <c r="BCW3" s="84"/>
      <c r="BCX3" s="82">
        <v>25</v>
      </c>
      <c r="BCY3" s="83"/>
      <c r="BCZ3" s="83"/>
      <c r="BDA3" s="83"/>
      <c r="BDB3" s="83"/>
      <c r="BDC3" s="83"/>
      <c r="BDD3" s="83"/>
      <c r="BDE3" s="83"/>
      <c r="BDF3" s="83"/>
      <c r="BDG3" s="83"/>
      <c r="BDH3" s="83"/>
      <c r="BDI3" s="83"/>
      <c r="BDJ3" s="83"/>
      <c r="BDK3" s="83"/>
      <c r="BDL3" s="83"/>
      <c r="BDM3" s="83"/>
      <c r="BDN3" s="83"/>
      <c r="BDO3" s="83"/>
      <c r="BDP3" s="83"/>
      <c r="BDQ3" s="83"/>
      <c r="BDR3" s="83"/>
      <c r="BDS3" s="84"/>
      <c r="BDT3" s="82">
        <v>33</v>
      </c>
      <c r="BDU3" s="83"/>
      <c r="BDV3" s="83"/>
      <c r="BDW3" s="83"/>
      <c r="BDX3" s="83"/>
      <c r="BDY3" s="83"/>
      <c r="BDZ3" s="83"/>
      <c r="BEA3" s="83"/>
      <c r="BEB3" s="83"/>
      <c r="BEC3" s="83"/>
      <c r="BED3" s="83"/>
      <c r="BEE3" s="83"/>
      <c r="BEF3" s="83"/>
      <c r="BEG3" s="83"/>
      <c r="BEH3" s="83"/>
      <c r="BEI3" s="83"/>
      <c r="BEJ3" s="83"/>
      <c r="BEK3" s="83"/>
      <c r="BEL3" s="83"/>
      <c r="BEM3" s="83"/>
      <c r="BEN3" s="83"/>
      <c r="BEO3" s="84"/>
      <c r="BEP3" s="82">
        <v>41</v>
      </c>
      <c r="BEQ3" s="83"/>
      <c r="BER3" s="83"/>
      <c r="BES3" s="83"/>
      <c r="BET3" s="83"/>
      <c r="BEU3" s="83"/>
      <c r="BEV3" s="83"/>
      <c r="BEW3" s="83"/>
      <c r="BEX3" s="83"/>
      <c r="BEY3" s="83"/>
      <c r="BEZ3" s="83"/>
      <c r="BFA3" s="83"/>
      <c r="BFB3" s="83"/>
      <c r="BFC3" s="83"/>
      <c r="BFD3" s="83"/>
      <c r="BFE3" s="83"/>
      <c r="BFF3" s="83"/>
      <c r="BFG3" s="83"/>
      <c r="BFH3" s="83"/>
      <c r="BFI3" s="83"/>
      <c r="BFJ3" s="83"/>
      <c r="BFK3" s="84"/>
      <c r="BFL3" s="82">
        <v>49</v>
      </c>
      <c r="BFM3" s="83"/>
      <c r="BFN3" s="83"/>
      <c r="BFO3" s="83"/>
      <c r="BFP3" s="83"/>
      <c r="BFQ3" s="83"/>
      <c r="BFR3" s="83"/>
      <c r="BFS3" s="83"/>
      <c r="BFT3" s="83"/>
      <c r="BFU3" s="83"/>
      <c r="BFV3" s="83"/>
      <c r="BFW3" s="83"/>
      <c r="BFX3" s="83"/>
      <c r="BFY3" s="83"/>
      <c r="BFZ3" s="83"/>
      <c r="BGA3" s="83"/>
      <c r="BGB3" s="83"/>
      <c r="BGC3" s="83"/>
      <c r="BGD3" s="83"/>
      <c r="BGE3" s="83"/>
      <c r="BGF3" s="83"/>
      <c r="BGG3" s="84"/>
      <c r="BGH3" s="82">
        <v>57</v>
      </c>
      <c r="BGI3" s="83"/>
      <c r="BGJ3" s="83"/>
      <c r="BGK3" s="83"/>
      <c r="BGL3" s="83"/>
      <c r="BGM3" s="83"/>
      <c r="BGN3" s="83"/>
      <c r="BGO3" s="83"/>
      <c r="BGP3" s="83"/>
      <c r="BGQ3" s="83"/>
      <c r="BGR3" s="83"/>
      <c r="BGS3" s="83"/>
      <c r="BGT3" s="83"/>
      <c r="BGU3" s="83"/>
      <c r="BGV3" s="83"/>
      <c r="BGW3" s="83"/>
      <c r="BGX3" s="83"/>
      <c r="BGY3" s="83"/>
      <c r="BGZ3" s="83"/>
      <c r="BHA3" s="83"/>
      <c r="BHB3" s="83"/>
      <c r="BHC3" s="84"/>
      <c r="BHD3" s="82">
        <v>65</v>
      </c>
      <c r="BHE3" s="83"/>
      <c r="BHF3" s="83"/>
      <c r="BHG3" s="83"/>
      <c r="BHH3" s="83"/>
      <c r="BHI3" s="83"/>
      <c r="BHJ3" s="83"/>
      <c r="BHK3" s="83"/>
      <c r="BHL3" s="83"/>
      <c r="BHM3" s="83"/>
      <c r="BHN3" s="83"/>
      <c r="BHO3" s="83"/>
      <c r="BHP3" s="83"/>
      <c r="BHQ3" s="83"/>
      <c r="BHR3" s="83"/>
      <c r="BHS3" s="83"/>
      <c r="BHT3" s="83"/>
      <c r="BHU3" s="83"/>
      <c r="BHV3" s="83"/>
      <c r="BHW3" s="83"/>
      <c r="BHX3" s="83"/>
      <c r="BHY3" s="84"/>
      <c r="BHZ3" s="82">
        <v>73</v>
      </c>
      <c r="BIA3" s="83"/>
      <c r="BIB3" s="83"/>
      <c r="BIC3" s="83"/>
      <c r="BID3" s="83"/>
      <c r="BIE3" s="83"/>
      <c r="BIF3" s="83"/>
      <c r="BIG3" s="83"/>
      <c r="BIH3" s="83"/>
      <c r="BII3" s="83"/>
      <c r="BIJ3" s="83"/>
      <c r="BIK3" s="83"/>
      <c r="BIL3" s="83"/>
      <c r="BIM3" s="83"/>
      <c r="BIN3" s="83"/>
      <c r="BIO3" s="83"/>
      <c r="BIP3" s="83"/>
      <c r="BIQ3" s="83"/>
      <c r="BIR3" s="83"/>
      <c r="BIS3" s="83"/>
      <c r="BIT3" s="83"/>
      <c r="BIU3" s="84"/>
      <c r="BIV3" s="82">
        <v>81</v>
      </c>
      <c r="BIW3" s="83"/>
      <c r="BIX3" s="83"/>
      <c r="BIY3" s="83"/>
      <c r="BIZ3" s="83"/>
      <c r="BJA3" s="83"/>
      <c r="BJB3" s="83"/>
      <c r="BJC3" s="83"/>
      <c r="BJD3" s="83"/>
      <c r="BJE3" s="83"/>
      <c r="BJF3" s="83"/>
      <c r="BJG3" s="83"/>
      <c r="BJH3" s="83"/>
      <c r="BJI3" s="83"/>
      <c r="BJJ3" s="83"/>
      <c r="BJK3" s="83"/>
      <c r="BJL3" s="83"/>
      <c r="BJM3" s="83"/>
      <c r="BJN3" s="83"/>
      <c r="BJO3" s="83"/>
      <c r="BJP3" s="83"/>
      <c r="BJQ3" s="84"/>
      <c r="BJR3" s="82">
        <v>89</v>
      </c>
      <c r="BJS3" s="83"/>
      <c r="BJT3" s="83"/>
      <c r="BJU3" s="83"/>
      <c r="BJV3" s="83"/>
      <c r="BJW3" s="83"/>
      <c r="BJX3" s="83"/>
      <c r="BJY3" s="83"/>
      <c r="BJZ3" s="83"/>
      <c r="BKA3" s="83"/>
      <c r="BKB3" s="83"/>
      <c r="BKC3" s="83"/>
      <c r="BKD3" s="83"/>
      <c r="BKE3" s="83"/>
      <c r="BKF3" s="83"/>
      <c r="BKG3" s="83"/>
      <c r="BKH3" s="83"/>
      <c r="BKI3" s="83"/>
      <c r="BKJ3" s="83"/>
      <c r="BKK3" s="83"/>
      <c r="BKL3" s="83"/>
      <c r="BKM3" s="84"/>
      <c r="BKN3" s="82">
        <v>97</v>
      </c>
      <c r="BKO3" s="83"/>
      <c r="BKP3" s="83"/>
      <c r="BKQ3" s="83"/>
      <c r="BKR3" s="83"/>
      <c r="BKS3" s="83"/>
      <c r="BKT3" s="83"/>
      <c r="BKU3" s="83"/>
      <c r="BKV3" s="83"/>
      <c r="BKW3" s="83"/>
      <c r="BKX3" s="83"/>
      <c r="BKY3" s="83"/>
      <c r="BKZ3" s="83"/>
      <c r="BLA3" s="83"/>
      <c r="BLB3" s="83"/>
      <c r="BLC3" s="83"/>
      <c r="BLD3" s="83"/>
      <c r="BLE3" s="83"/>
      <c r="BLF3" s="83"/>
      <c r="BLG3" s="83"/>
      <c r="BLH3" s="83"/>
      <c r="BLI3" s="84"/>
      <c r="BLJ3" s="82">
        <v>105</v>
      </c>
      <c r="BLK3" s="83"/>
      <c r="BLL3" s="83"/>
      <c r="BLM3" s="83"/>
      <c r="BLN3" s="83"/>
      <c r="BLO3" s="83"/>
      <c r="BLP3" s="83"/>
      <c r="BLQ3" s="83"/>
      <c r="BLR3" s="83"/>
      <c r="BLS3" s="83"/>
      <c r="BLT3" s="83"/>
      <c r="BLU3" s="83"/>
      <c r="BLV3" s="83"/>
      <c r="BLW3" s="83"/>
      <c r="BLX3" s="83"/>
      <c r="BLY3" s="83"/>
      <c r="BLZ3" s="83"/>
      <c r="BMA3" s="83"/>
      <c r="BMB3" s="83"/>
      <c r="BMC3" s="83"/>
      <c r="BMD3" s="83"/>
      <c r="BME3" s="84"/>
      <c r="BMF3" s="82">
        <v>113</v>
      </c>
      <c r="BMG3" s="83"/>
      <c r="BMH3" s="83"/>
      <c r="BMI3" s="83"/>
      <c r="BMJ3" s="83"/>
      <c r="BMK3" s="83"/>
      <c r="BML3" s="83"/>
      <c r="BMM3" s="83"/>
      <c r="BMN3" s="83"/>
      <c r="BMO3" s="83"/>
      <c r="BMP3" s="83"/>
      <c r="BMQ3" s="83"/>
      <c r="BMR3" s="83"/>
      <c r="BMS3" s="83"/>
      <c r="BMT3" s="83"/>
      <c r="BMU3" s="83"/>
      <c r="BMV3" s="83"/>
      <c r="BMW3" s="83"/>
      <c r="BMX3" s="83"/>
      <c r="BMY3" s="83"/>
      <c r="BMZ3" s="83"/>
      <c r="BNA3" s="84"/>
      <c r="BNB3" s="82">
        <v>121</v>
      </c>
      <c r="BNC3" s="83"/>
      <c r="BND3" s="83"/>
      <c r="BNE3" s="83"/>
      <c r="BNF3" s="83"/>
      <c r="BNG3" s="83"/>
      <c r="BNH3" s="83"/>
      <c r="BNI3" s="83"/>
      <c r="BNJ3" s="83"/>
      <c r="BNK3" s="83"/>
      <c r="BNL3" s="83"/>
      <c r="BNM3" s="83"/>
      <c r="BNN3" s="83"/>
      <c r="BNO3" s="83"/>
      <c r="BNP3" s="83"/>
      <c r="BNQ3" s="83"/>
      <c r="BNR3" s="83"/>
      <c r="BNS3" s="83"/>
      <c r="BNT3" s="83"/>
      <c r="BNU3" s="83"/>
      <c r="BNV3" s="83"/>
      <c r="BNW3" s="84"/>
      <c r="BNX3" s="82">
        <v>129</v>
      </c>
      <c r="BNY3" s="83"/>
      <c r="BNZ3" s="83"/>
      <c r="BOA3" s="83"/>
      <c r="BOB3" s="83"/>
      <c r="BOC3" s="83"/>
      <c r="BOD3" s="83"/>
      <c r="BOE3" s="83"/>
      <c r="BOF3" s="83"/>
      <c r="BOG3" s="83"/>
      <c r="BOH3" s="83"/>
      <c r="BOI3" s="83"/>
      <c r="BOJ3" s="83"/>
      <c r="BOK3" s="83"/>
      <c r="BOL3" s="83"/>
      <c r="BOM3" s="83"/>
      <c r="BON3" s="83"/>
      <c r="BOO3" s="83"/>
      <c r="BOP3" s="83"/>
      <c r="BOQ3" s="83"/>
      <c r="BOR3" s="83"/>
      <c r="BOS3" s="84"/>
      <c r="BOT3" s="82">
        <v>137</v>
      </c>
      <c r="BOU3" s="83"/>
      <c r="BOV3" s="83"/>
      <c r="BOW3" s="83"/>
      <c r="BOX3" s="83"/>
      <c r="BOY3" s="83"/>
      <c r="BOZ3" s="83"/>
      <c r="BPA3" s="83"/>
      <c r="BPB3" s="83"/>
      <c r="BPC3" s="83"/>
      <c r="BPD3" s="83"/>
      <c r="BPE3" s="83"/>
      <c r="BPF3" s="83"/>
      <c r="BPG3" s="83"/>
      <c r="BPH3" s="83"/>
      <c r="BPI3" s="83"/>
      <c r="BPJ3" s="83"/>
      <c r="BPK3" s="83"/>
      <c r="BPL3" s="83"/>
      <c r="BPM3" s="83"/>
      <c r="BPN3" s="83"/>
      <c r="BPO3" s="84"/>
      <c r="BPP3" s="82">
        <v>145</v>
      </c>
      <c r="BPQ3" s="83"/>
      <c r="BPR3" s="83"/>
      <c r="BPS3" s="83"/>
      <c r="BPT3" s="83"/>
      <c r="BPU3" s="83"/>
      <c r="BPV3" s="83"/>
      <c r="BPW3" s="83"/>
      <c r="BPX3" s="83"/>
      <c r="BPY3" s="83"/>
      <c r="BPZ3" s="83"/>
      <c r="BQA3" s="83"/>
      <c r="BQB3" s="83"/>
      <c r="BQC3" s="83"/>
      <c r="BQD3" s="83"/>
      <c r="BQE3" s="83"/>
      <c r="BQF3" s="83"/>
      <c r="BQG3" s="83"/>
      <c r="BQH3" s="83"/>
      <c r="BQI3" s="83"/>
      <c r="BQJ3" s="83"/>
      <c r="BQK3" s="84"/>
      <c r="BQL3" s="82">
        <v>153</v>
      </c>
      <c r="BQM3" s="83"/>
      <c r="BQN3" s="83"/>
      <c r="BQO3" s="83"/>
      <c r="BQP3" s="83"/>
      <c r="BQQ3" s="83"/>
      <c r="BQR3" s="83"/>
      <c r="BQS3" s="83"/>
      <c r="BQT3" s="83"/>
      <c r="BQU3" s="83"/>
      <c r="BQV3" s="83"/>
      <c r="BQW3" s="83"/>
      <c r="BQX3" s="83"/>
      <c r="BQY3" s="83"/>
      <c r="BQZ3" s="83"/>
      <c r="BRA3" s="83"/>
      <c r="BRB3" s="83"/>
      <c r="BRC3" s="83"/>
      <c r="BRD3" s="83"/>
      <c r="BRE3" s="83"/>
      <c r="BRF3" s="83"/>
      <c r="BRG3" s="84"/>
      <c r="BRH3" s="82">
        <v>161</v>
      </c>
      <c r="BRI3" s="83"/>
      <c r="BRJ3" s="83"/>
      <c r="BRK3" s="83"/>
      <c r="BRL3" s="83"/>
      <c r="BRM3" s="83"/>
      <c r="BRN3" s="83"/>
      <c r="BRO3" s="83"/>
      <c r="BRP3" s="83"/>
      <c r="BRQ3" s="83"/>
      <c r="BRR3" s="83"/>
      <c r="BRS3" s="83"/>
      <c r="BRT3" s="83"/>
      <c r="BRU3" s="83"/>
      <c r="BRV3" s="83"/>
      <c r="BRW3" s="83"/>
      <c r="BRX3" s="83"/>
      <c r="BRY3" s="83"/>
      <c r="BRZ3" s="83"/>
      <c r="BSA3" s="83"/>
      <c r="BSB3" s="83"/>
      <c r="BSC3" s="84"/>
      <c r="BSD3" s="82">
        <v>169</v>
      </c>
      <c r="BSE3" s="83"/>
      <c r="BSF3" s="83"/>
      <c r="BSG3" s="83"/>
      <c r="BSH3" s="83"/>
      <c r="BSI3" s="83"/>
      <c r="BSJ3" s="83"/>
      <c r="BSK3" s="83"/>
      <c r="BSL3" s="83"/>
      <c r="BSM3" s="83"/>
      <c r="BSN3" s="83"/>
      <c r="BSO3" s="83"/>
      <c r="BSP3" s="83"/>
      <c r="BSQ3" s="83"/>
      <c r="BSR3" s="83"/>
      <c r="BSS3" s="83"/>
      <c r="BST3" s="83"/>
      <c r="BSU3" s="83"/>
      <c r="BSV3" s="83"/>
      <c r="BSW3" s="83"/>
      <c r="BSX3" s="83"/>
      <c r="BSY3" s="84"/>
      <c r="BSZ3" s="82">
        <v>177</v>
      </c>
      <c r="BTA3" s="83"/>
      <c r="BTB3" s="83"/>
      <c r="BTC3" s="83"/>
      <c r="BTD3" s="83"/>
      <c r="BTE3" s="83"/>
      <c r="BTF3" s="83"/>
      <c r="BTG3" s="83"/>
      <c r="BTH3" s="83"/>
      <c r="BTI3" s="83"/>
      <c r="BTJ3" s="83"/>
      <c r="BTK3" s="83"/>
      <c r="BTL3" s="83"/>
      <c r="BTM3" s="83"/>
      <c r="BTN3" s="83"/>
      <c r="BTO3" s="83"/>
      <c r="BTP3" s="83"/>
      <c r="BTQ3" s="83"/>
      <c r="BTR3" s="83"/>
      <c r="BTS3" s="83"/>
      <c r="BTT3" s="83"/>
      <c r="BTU3" s="84"/>
      <c r="BTV3" s="82">
        <v>185</v>
      </c>
      <c r="BTW3" s="83"/>
      <c r="BTX3" s="83"/>
      <c r="BTY3" s="83"/>
      <c r="BTZ3" s="83"/>
      <c r="BUA3" s="83"/>
      <c r="BUB3" s="83"/>
      <c r="BUC3" s="83"/>
      <c r="BUD3" s="83"/>
      <c r="BUE3" s="83"/>
      <c r="BUF3" s="83"/>
      <c r="BUG3" s="83"/>
      <c r="BUH3" s="83"/>
      <c r="BUI3" s="83"/>
      <c r="BUJ3" s="83"/>
      <c r="BUK3" s="83"/>
      <c r="BUL3" s="83"/>
      <c r="BUM3" s="83"/>
      <c r="BUN3" s="83"/>
      <c r="BUO3" s="83"/>
      <c r="BUP3" s="83"/>
      <c r="BUQ3" s="84"/>
      <c r="BUR3" s="82">
        <v>193</v>
      </c>
      <c r="BUS3" s="83"/>
      <c r="BUT3" s="83"/>
      <c r="BUU3" s="83"/>
      <c r="BUV3" s="83"/>
      <c r="BUW3" s="83"/>
      <c r="BUX3" s="83"/>
      <c r="BUY3" s="83"/>
      <c r="BUZ3" s="83"/>
      <c r="BVA3" s="83"/>
      <c r="BVB3" s="83"/>
      <c r="BVC3" s="83"/>
      <c r="BVD3" s="83"/>
      <c r="BVE3" s="83"/>
      <c r="BVF3" s="83"/>
      <c r="BVG3" s="83"/>
      <c r="BVH3" s="83"/>
      <c r="BVI3" s="83"/>
      <c r="BVJ3" s="83"/>
      <c r="BVK3" s="83"/>
      <c r="BVL3" s="83"/>
      <c r="BVM3" s="84"/>
      <c r="BVN3" s="82">
        <v>201</v>
      </c>
      <c r="BVO3" s="83"/>
      <c r="BVP3" s="83"/>
      <c r="BVQ3" s="83"/>
      <c r="BVR3" s="83"/>
      <c r="BVS3" s="83"/>
      <c r="BVT3" s="83"/>
      <c r="BVU3" s="83"/>
      <c r="BVV3" s="83"/>
      <c r="BVW3" s="83"/>
      <c r="BVX3" s="83"/>
      <c r="BVY3" s="83"/>
      <c r="BVZ3" s="83"/>
      <c r="BWA3" s="83"/>
      <c r="BWB3" s="83"/>
      <c r="BWC3" s="83"/>
      <c r="BWD3" s="83"/>
      <c r="BWE3" s="83"/>
      <c r="BWF3" s="83"/>
      <c r="BWG3" s="83"/>
      <c r="BWH3" s="83"/>
      <c r="BWI3" s="84"/>
      <c r="BWJ3" s="82">
        <v>209</v>
      </c>
      <c r="BWK3" s="83"/>
      <c r="BWL3" s="83"/>
      <c r="BWM3" s="83"/>
      <c r="BWN3" s="83"/>
      <c r="BWO3" s="83"/>
      <c r="BWP3" s="83"/>
      <c r="BWQ3" s="83"/>
      <c r="BWR3" s="83"/>
      <c r="BWS3" s="83"/>
      <c r="BWT3" s="83"/>
      <c r="BWU3" s="83"/>
      <c r="BWV3" s="83"/>
      <c r="BWW3" s="83"/>
      <c r="BWX3" s="83"/>
      <c r="BWY3" s="83"/>
      <c r="BWZ3" s="83"/>
      <c r="BXA3" s="83"/>
      <c r="BXB3" s="83"/>
      <c r="BXC3" s="83"/>
      <c r="BXD3" s="83"/>
      <c r="BXE3" s="84"/>
      <c r="BXF3" s="82">
        <v>217</v>
      </c>
      <c r="BXG3" s="83"/>
      <c r="BXH3" s="83"/>
      <c r="BXI3" s="83"/>
      <c r="BXJ3" s="83"/>
      <c r="BXK3" s="83"/>
      <c r="BXL3" s="83"/>
      <c r="BXM3" s="83"/>
      <c r="BXN3" s="83"/>
      <c r="BXO3" s="83"/>
      <c r="BXP3" s="83"/>
      <c r="BXQ3" s="83"/>
      <c r="BXR3" s="83"/>
      <c r="BXS3" s="83"/>
      <c r="BXT3" s="83"/>
      <c r="BXU3" s="83"/>
      <c r="BXV3" s="83"/>
      <c r="BXW3" s="83"/>
      <c r="BXX3" s="83"/>
      <c r="BXY3" s="83"/>
      <c r="BXZ3" s="83"/>
      <c r="BYA3" s="84"/>
      <c r="BYB3" s="82">
        <v>225</v>
      </c>
      <c r="BYC3" s="83"/>
      <c r="BYD3" s="83"/>
      <c r="BYE3" s="83"/>
      <c r="BYF3" s="83"/>
      <c r="BYG3" s="83"/>
      <c r="BYH3" s="83"/>
      <c r="BYI3" s="83"/>
      <c r="BYJ3" s="83"/>
      <c r="BYK3" s="83"/>
      <c r="BYL3" s="83"/>
      <c r="BYM3" s="83"/>
      <c r="BYN3" s="83"/>
      <c r="BYO3" s="83"/>
      <c r="BYP3" s="83"/>
      <c r="BYQ3" s="83"/>
      <c r="BYR3" s="83"/>
      <c r="BYS3" s="83"/>
      <c r="BYT3" s="83"/>
      <c r="BYU3" s="83"/>
      <c r="BYV3" s="83"/>
      <c r="BYW3" s="84"/>
      <c r="BYX3" s="82">
        <v>233</v>
      </c>
      <c r="BYY3" s="83"/>
      <c r="BYZ3" s="83"/>
      <c r="BZA3" s="83"/>
      <c r="BZB3" s="83"/>
      <c r="BZC3" s="83"/>
      <c r="BZD3" s="83"/>
      <c r="BZE3" s="83"/>
      <c r="BZF3" s="83"/>
      <c r="BZG3" s="83"/>
      <c r="BZH3" s="83"/>
      <c r="BZI3" s="83"/>
      <c r="BZJ3" s="83"/>
      <c r="BZK3" s="83"/>
      <c r="BZL3" s="83"/>
      <c r="BZM3" s="83"/>
      <c r="BZN3" s="83"/>
      <c r="BZO3" s="83"/>
      <c r="BZP3" s="83"/>
      <c r="BZQ3" s="83"/>
      <c r="BZR3" s="83"/>
      <c r="BZS3" s="84"/>
      <c r="BZT3" s="82">
        <v>241</v>
      </c>
      <c r="BZU3" s="83"/>
      <c r="BZV3" s="83"/>
      <c r="BZW3" s="83"/>
      <c r="BZX3" s="83"/>
      <c r="BZY3" s="83"/>
      <c r="BZZ3" s="83"/>
      <c r="CAA3" s="83"/>
      <c r="CAB3" s="83"/>
      <c r="CAC3" s="83"/>
      <c r="CAD3" s="83"/>
      <c r="CAE3" s="83"/>
      <c r="CAF3" s="83"/>
      <c r="CAG3" s="83"/>
      <c r="CAH3" s="83"/>
      <c r="CAI3" s="83"/>
      <c r="CAJ3" s="83"/>
      <c r="CAK3" s="83"/>
      <c r="CAL3" s="83"/>
      <c r="CAM3" s="83"/>
      <c r="CAN3" s="83"/>
      <c r="CAO3" s="84"/>
      <c r="CAP3" s="82">
        <v>249</v>
      </c>
      <c r="CAQ3" s="83"/>
      <c r="CAR3" s="83"/>
      <c r="CAS3" s="83"/>
      <c r="CAT3" s="83"/>
      <c r="CAU3" s="83"/>
      <c r="CAV3" s="83"/>
      <c r="CAW3" s="83"/>
      <c r="CAX3" s="83"/>
      <c r="CAY3" s="83"/>
      <c r="CAZ3" s="83"/>
      <c r="CBA3" s="83"/>
      <c r="CBB3" s="83"/>
      <c r="CBC3" s="83"/>
      <c r="CBD3" s="83"/>
      <c r="CBE3" s="83"/>
      <c r="CBF3" s="83"/>
      <c r="CBG3" s="83"/>
      <c r="CBH3" s="83"/>
      <c r="CBI3" s="83"/>
      <c r="CBJ3" s="83"/>
      <c r="CBK3" s="84"/>
      <c r="CBL3" s="82">
        <v>257</v>
      </c>
      <c r="CBM3" s="83"/>
      <c r="CBN3" s="83"/>
      <c r="CBO3" s="83"/>
      <c r="CBP3" s="83"/>
      <c r="CBQ3" s="83"/>
      <c r="CBR3" s="83"/>
      <c r="CBS3" s="83"/>
      <c r="CBT3" s="83"/>
      <c r="CBU3" s="83"/>
      <c r="CBV3" s="83"/>
      <c r="CBW3" s="83"/>
      <c r="CBX3" s="83"/>
      <c r="CBY3" s="83"/>
      <c r="CBZ3" s="83"/>
      <c r="CCA3" s="83"/>
      <c r="CCB3" s="83"/>
      <c r="CCC3" s="83"/>
      <c r="CCD3" s="83"/>
      <c r="CCE3" s="83"/>
      <c r="CCF3" s="83"/>
      <c r="CCG3" s="84"/>
      <c r="CCH3" s="82">
        <v>9</v>
      </c>
      <c r="CCI3" s="83"/>
      <c r="CCJ3" s="83"/>
      <c r="CCK3" s="83"/>
      <c r="CCL3" s="83"/>
      <c r="CCM3" s="83"/>
      <c r="CCN3" s="83"/>
      <c r="CCO3" s="83"/>
      <c r="CCP3" s="83"/>
      <c r="CCQ3" s="83"/>
      <c r="CCR3" s="83"/>
      <c r="CCS3" s="83"/>
      <c r="CCT3" s="83"/>
      <c r="CCU3" s="83"/>
      <c r="CCV3" s="83"/>
      <c r="CCW3" s="83"/>
      <c r="CCX3" s="83"/>
      <c r="CCY3" s="83"/>
      <c r="CCZ3" s="83"/>
      <c r="CDA3" s="83"/>
      <c r="CDB3" s="83"/>
      <c r="CDC3" s="84"/>
      <c r="CDD3" s="82">
        <v>17</v>
      </c>
      <c r="CDE3" s="83"/>
      <c r="CDF3" s="83"/>
      <c r="CDG3" s="83"/>
      <c r="CDH3" s="83"/>
      <c r="CDI3" s="83"/>
      <c r="CDJ3" s="83"/>
      <c r="CDK3" s="83"/>
      <c r="CDL3" s="83"/>
      <c r="CDM3" s="83"/>
      <c r="CDN3" s="83"/>
      <c r="CDO3" s="83"/>
      <c r="CDP3" s="83"/>
      <c r="CDQ3" s="83"/>
      <c r="CDR3" s="83"/>
      <c r="CDS3" s="83"/>
      <c r="CDT3" s="83"/>
      <c r="CDU3" s="83"/>
      <c r="CDV3" s="83"/>
      <c r="CDW3" s="83"/>
      <c r="CDX3" s="83"/>
      <c r="CDY3" s="84"/>
      <c r="CDZ3" s="82">
        <v>25</v>
      </c>
      <c r="CEA3" s="83"/>
      <c r="CEB3" s="83"/>
      <c r="CEC3" s="83"/>
      <c r="CED3" s="83"/>
      <c r="CEE3" s="83"/>
      <c r="CEF3" s="83"/>
      <c r="CEG3" s="83"/>
      <c r="CEH3" s="83"/>
      <c r="CEI3" s="83"/>
      <c r="CEJ3" s="83"/>
      <c r="CEK3" s="83"/>
      <c r="CEL3" s="83"/>
      <c r="CEM3" s="83"/>
      <c r="CEN3" s="83"/>
      <c r="CEO3" s="83"/>
      <c r="CEP3" s="83"/>
      <c r="CEQ3" s="83"/>
      <c r="CER3" s="83"/>
      <c r="CES3" s="83"/>
      <c r="CET3" s="83"/>
      <c r="CEU3" s="84"/>
      <c r="CEV3" s="82">
        <v>33</v>
      </c>
      <c r="CEW3" s="83"/>
      <c r="CEX3" s="83"/>
      <c r="CEY3" s="83"/>
      <c r="CEZ3" s="83"/>
      <c r="CFA3" s="83"/>
      <c r="CFB3" s="83"/>
      <c r="CFC3" s="83"/>
      <c r="CFD3" s="83"/>
      <c r="CFE3" s="83"/>
      <c r="CFF3" s="83"/>
      <c r="CFG3" s="83"/>
      <c r="CFH3" s="83"/>
      <c r="CFI3" s="83"/>
      <c r="CFJ3" s="83"/>
      <c r="CFK3" s="83"/>
      <c r="CFL3" s="83"/>
      <c r="CFM3" s="83"/>
      <c r="CFN3" s="83"/>
      <c r="CFO3" s="83"/>
      <c r="CFP3" s="83"/>
      <c r="CFQ3" s="84"/>
      <c r="CFR3" s="82">
        <v>41</v>
      </c>
      <c r="CFS3" s="83"/>
      <c r="CFT3" s="83"/>
      <c r="CFU3" s="83"/>
      <c r="CFV3" s="83"/>
      <c r="CFW3" s="83"/>
      <c r="CFX3" s="83"/>
      <c r="CFY3" s="83"/>
      <c r="CFZ3" s="83"/>
      <c r="CGA3" s="83"/>
      <c r="CGB3" s="83"/>
      <c r="CGC3" s="83"/>
      <c r="CGD3" s="83"/>
      <c r="CGE3" s="83"/>
      <c r="CGF3" s="83"/>
      <c r="CGG3" s="83"/>
      <c r="CGH3" s="83"/>
      <c r="CGI3" s="83"/>
      <c r="CGJ3" s="83"/>
      <c r="CGK3" s="83"/>
      <c r="CGL3" s="83"/>
      <c r="CGM3" s="84"/>
      <c r="CGN3" s="82">
        <v>49</v>
      </c>
      <c r="CGO3" s="83"/>
      <c r="CGP3" s="83"/>
      <c r="CGQ3" s="83"/>
      <c r="CGR3" s="83"/>
      <c r="CGS3" s="83"/>
      <c r="CGT3" s="83"/>
      <c r="CGU3" s="83"/>
      <c r="CGV3" s="83"/>
      <c r="CGW3" s="83"/>
      <c r="CGX3" s="83"/>
      <c r="CGY3" s="83"/>
      <c r="CGZ3" s="83"/>
      <c r="CHA3" s="83"/>
      <c r="CHB3" s="83"/>
      <c r="CHC3" s="83"/>
      <c r="CHD3" s="83"/>
      <c r="CHE3" s="83"/>
      <c r="CHF3" s="83"/>
      <c r="CHG3" s="83"/>
      <c r="CHH3" s="83"/>
      <c r="CHI3" s="84"/>
      <c r="CHJ3" s="82">
        <v>57</v>
      </c>
      <c r="CHK3" s="83"/>
      <c r="CHL3" s="83"/>
      <c r="CHM3" s="83"/>
      <c r="CHN3" s="83"/>
      <c r="CHO3" s="83"/>
      <c r="CHP3" s="83"/>
      <c r="CHQ3" s="83"/>
      <c r="CHR3" s="83"/>
      <c r="CHS3" s="83"/>
      <c r="CHT3" s="83"/>
      <c r="CHU3" s="83"/>
      <c r="CHV3" s="83"/>
      <c r="CHW3" s="83"/>
      <c r="CHX3" s="83"/>
      <c r="CHY3" s="83"/>
      <c r="CHZ3" s="83"/>
      <c r="CIA3" s="83"/>
      <c r="CIB3" s="83"/>
      <c r="CIC3" s="83"/>
      <c r="CID3" s="83"/>
      <c r="CIE3" s="84"/>
      <c r="CIF3" s="82">
        <v>65</v>
      </c>
      <c r="CIG3" s="83"/>
      <c r="CIH3" s="83"/>
      <c r="CII3" s="83"/>
      <c r="CIJ3" s="83"/>
      <c r="CIK3" s="83"/>
      <c r="CIL3" s="83"/>
      <c r="CIM3" s="83"/>
      <c r="CIN3" s="83"/>
      <c r="CIO3" s="83"/>
      <c r="CIP3" s="83"/>
      <c r="CIQ3" s="83"/>
      <c r="CIR3" s="83"/>
      <c r="CIS3" s="83"/>
      <c r="CIT3" s="83"/>
      <c r="CIU3" s="83"/>
      <c r="CIV3" s="83"/>
      <c r="CIW3" s="83"/>
      <c r="CIX3" s="83"/>
      <c r="CIY3" s="83"/>
      <c r="CIZ3" s="83"/>
      <c r="CJA3" s="84"/>
      <c r="CJB3" s="82">
        <v>73</v>
      </c>
      <c r="CJC3" s="83"/>
      <c r="CJD3" s="83"/>
      <c r="CJE3" s="83"/>
      <c r="CJF3" s="83"/>
      <c r="CJG3" s="83"/>
      <c r="CJH3" s="83"/>
      <c r="CJI3" s="83"/>
      <c r="CJJ3" s="83"/>
      <c r="CJK3" s="83"/>
      <c r="CJL3" s="83"/>
      <c r="CJM3" s="83"/>
      <c r="CJN3" s="83"/>
      <c r="CJO3" s="83"/>
      <c r="CJP3" s="83"/>
      <c r="CJQ3" s="83"/>
      <c r="CJR3" s="83"/>
      <c r="CJS3" s="83"/>
      <c r="CJT3" s="83"/>
      <c r="CJU3" s="83"/>
      <c r="CJV3" s="83"/>
      <c r="CJW3" s="84"/>
      <c r="CJX3" s="82">
        <v>81</v>
      </c>
      <c r="CJY3" s="83"/>
      <c r="CJZ3" s="83"/>
      <c r="CKA3" s="83"/>
      <c r="CKB3" s="83"/>
      <c r="CKC3" s="83"/>
      <c r="CKD3" s="83"/>
      <c r="CKE3" s="83"/>
      <c r="CKF3" s="83"/>
      <c r="CKG3" s="83"/>
      <c r="CKH3" s="83"/>
      <c r="CKI3" s="83"/>
      <c r="CKJ3" s="83"/>
      <c r="CKK3" s="83"/>
      <c r="CKL3" s="83"/>
      <c r="CKM3" s="83"/>
      <c r="CKN3" s="83"/>
      <c r="CKO3" s="83"/>
      <c r="CKP3" s="83"/>
      <c r="CKQ3" s="83"/>
      <c r="CKR3" s="83"/>
      <c r="CKS3" s="84"/>
      <c r="CKT3" s="82">
        <v>89</v>
      </c>
      <c r="CKU3" s="83"/>
      <c r="CKV3" s="83"/>
      <c r="CKW3" s="83"/>
      <c r="CKX3" s="83"/>
      <c r="CKY3" s="83"/>
      <c r="CKZ3" s="83"/>
      <c r="CLA3" s="83"/>
      <c r="CLB3" s="83"/>
      <c r="CLC3" s="83"/>
      <c r="CLD3" s="83"/>
      <c r="CLE3" s="83"/>
      <c r="CLF3" s="83"/>
      <c r="CLG3" s="83"/>
      <c r="CLH3" s="83"/>
      <c r="CLI3" s="83"/>
      <c r="CLJ3" s="83"/>
      <c r="CLK3" s="83"/>
      <c r="CLL3" s="83"/>
      <c r="CLM3" s="83"/>
      <c r="CLN3" s="83"/>
      <c r="CLO3" s="84"/>
      <c r="CLP3" s="82">
        <v>97</v>
      </c>
      <c r="CLQ3" s="83"/>
      <c r="CLR3" s="83"/>
      <c r="CLS3" s="83"/>
      <c r="CLT3" s="83"/>
      <c r="CLU3" s="83"/>
      <c r="CLV3" s="83"/>
      <c r="CLW3" s="83"/>
      <c r="CLX3" s="83"/>
      <c r="CLY3" s="83"/>
      <c r="CLZ3" s="83"/>
      <c r="CMA3" s="83"/>
      <c r="CMB3" s="83"/>
      <c r="CMC3" s="83"/>
      <c r="CMD3" s="83"/>
      <c r="CME3" s="83"/>
      <c r="CMF3" s="83"/>
      <c r="CMG3" s="83"/>
      <c r="CMH3" s="83"/>
      <c r="CMI3" s="83"/>
      <c r="CMJ3" s="83"/>
      <c r="CMK3" s="84"/>
      <c r="CML3" s="82">
        <v>105</v>
      </c>
      <c r="CMM3" s="83"/>
      <c r="CMN3" s="83"/>
      <c r="CMO3" s="83"/>
      <c r="CMP3" s="83"/>
      <c r="CMQ3" s="83"/>
      <c r="CMR3" s="83"/>
      <c r="CMS3" s="83"/>
      <c r="CMT3" s="83"/>
      <c r="CMU3" s="83"/>
      <c r="CMV3" s="83"/>
      <c r="CMW3" s="83"/>
      <c r="CMX3" s="83"/>
      <c r="CMY3" s="83"/>
      <c r="CMZ3" s="83"/>
      <c r="CNA3" s="83"/>
      <c r="CNB3" s="83"/>
      <c r="CNC3" s="83"/>
      <c r="CND3" s="83"/>
      <c r="CNE3" s="83"/>
      <c r="CNF3" s="83"/>
      <c r="CNG3" s="84"/>
      <c r="CNH3" s="82">
        <v>113</v>
      </c>
      <c r="CNI3" s="83"/>
      <c r="CNJ3" s="83"/>
      <c r="CNK3" s="83"/>
      <c r="CNL3" s="83"/>
      <c r="CNM3" s="83"/>
      <c r="CNN3" s="83"/>
      <c r="CNO3" s="83"/>
      <c r="CNP3" s="83"/>
      <c r="CNQ3" s="83"/>
      <c r="CNR3" s="83"/>
      <c r="CNS3" s="83"/>
      <c r="CNT3" s="83"/>
      <c r="CNU3" s="83"/>
      <c r="CNV3" s="83"/>
      <c r="CNW3" s="83"/>
      <c r="CNX3" s="83"/>
      <c r="CNY3" s="83"/>
      <c r="CNZ3" s="83"/>
      <c r="COA3" s="83"/>
      <c r="COB3" s="83"/>
      <c r="COC3" s="84"/>
      <c r="COD3" s="82">
        <v>121</v>
      </c>
      <c r="COE3" s="83"/>
      <c r="COF3" s="83"/>
      <c r="COG3" s="83"/>
      <c r="COH3" s="83"/>
      <c r="COI3" s="83"/>
      <c r="COJ3" s="83"/>
      <c r="COK3" s="83"/>
      <c r="COL3" s="83"/>
      <c r="COM3" s="83"/>
      <c r="CON3" s="83"/>
      <c r="COO3" s="83"/>
      <c r="COP3" s="83"/>
      <c r="COQ3" s="83"/>
      <c r="COR3" s="83"/>
      <c r="COS3" s="83"/>
      <c r="COT3" s="83"/>
      <c r="COU3" s="83"/>
      <c r="COV3" s="83"/>
      <c r="COW3" s="83"/>
      <c r="COX3" s="83"/>
      <c r="COY3" s="84"/>
      <c r="COZ3" s="82">
        <v>129</v>
      </c>
      <c r="CPA3" s="83"/>
      <c r="CPB3" s="83"/>
      <c r="CPC3" s="83"/>
      <c r="CPD3" s="83"/>
      <c r="CPE3" s="83"/>
      <c r="CPF3" s="83"/>
      <c r="CPG3" s="83"/>
      <c r="CPH3" s="83"/>
      <c r="CPI3" s="83"/>
      <c r="CPJ3" s="83"/>
      <c r="CPK3" s="83"/>
      <c r="CPL3" s="83"/>
      <c r="CPM3" s="83"/>
      <c r="CPN3" s="83"/>
      <c r="CPO3" s="83"/>
      <c r="CPP3" s="83"/>
      <c r="CPQ3" s="83"/>
      <c r="CPR3" s="83"/>
      <c r="CPS3" s="83"/>
      <c r="CPT3" s="83"/>
      <c r="CPU3" s="84"/>
      <c r="CPV3" s="82">
        <v>137</v>
      </c>
      <c r="CPW3" s="83"/>
      <c r="CPX3" s="83"/>
      <c r="CPY3" s="83"/>
      <c r="CPZ3" s="83"/>
      <c r="CQA3" s="83"/>
      <c r="CQB3" s="83"/>
      <c r="CQC3" s="83"/>
      <c r="CQD3" s="83"/>
      <c r="CQE3" s="83"/>
      <c r="CQF3" s="83"/>
      <c r="CQG3" s="83"/>
      <c r="CQH3" s="83"/>
      <c r="CQI3" s="83"/>
      <c r="CQJ3" s="83"/>
      <c r="CQK3" s="83"/>
      <c r="CQL3" s="83"/>
      <c r="CQM3" s="83"/>
      <c r="CQN3" s="83"/>
      <c r="CQO3" s="83"/>
      <c r="CQP3" s="83"/>
      <c r="CQQ3" s="84"/>
      <c r="CQR3" s="82">
        <v>145</v>
      </c>
      <c r="CQS3" s="83"/>
      <c r="CQT3" s="83"/>
      <c r="CQU3" s="83"/>
      <c r="CQV3" s="83"/>
      <c r="CQW3" s="83"/>
      <c r="CQX3" s="83"/>
      <c r="CQY3" s="83"/>
      <c r="CQZ3" s="83"/>
      <c r="CRA3" s="83"/>
      <c r="CRB3" s="83"/>
      <c r="CRC3" s="83"/>
      <c r="CRD3" s="83"/>
      <c r="CRE3" s="83"/>
      <c r="CRF3" s="83"/>
      <c r="CRG3" s="83"/>
      <c r="CRH3" s="83"/>
      <c r="CRI3" s="83"/>
      <c r="CRJ3" s="83"/>
      <c r="CRK3" s="83"/>
      <c r="CRL3" s="83"/>
      <c r="CRM3" s="84"/>
      <c r="CRN3" s="82">
        <v>153</v>
      </c>
      <c r="CRO3" s="83"/>
      <c r="CRP3" s="83"/>
      <c r="CRQ3" s="83"/>
      <c r="CRR3" s="83"/>
      <c r="CRS3" s="83"/>
      <c r="CRT3" s="83"/>
      <c r="CRU3" s="83"/>
      <c r="CRV3" s="83"/>
      <c r="CRW3" s="83"/>
      <c r="CRX3" s="83"/>
      <c r="CRY3" s="83"/>
      <c r="CRZ3" s="83"/>
      <c r="CSA3" s="83"/>
      <c r="CSB3" s="83"/>
      <c r="CSC3" s="83"/>
      <c r="CSD3" s="83"/>
      <c r="CSE3" s="83"/>
      <c r="CSF3" s="83"/>
      <c r="CSG3" s="83"/>
      <c r="CSH3" s="83"/>
      <c r="CSI3" s="84"/>
      <c r="CSJ3" s="82">
        <v>161</v>
      </c>
      <c r="CSK3" s="83"/>
      <c r="CSL3" s="83"/>
      <c r="CSM3" s="83"/>
      <c r="CSN3" s="83"/>
      <c r="CSO3" s="83"/>
      <c r="CSP3" s="83"/>
      <c r="CSQ3" s="83"/>
      <c r="CSR3" s="83"/>
      <c r="CSS3" s="83"/>
      <c r="CST3" s="83"/>
      <c r="CSU3" s="83"/>
      <c r="CSV3" s="83"/>
      <c r="CSW3" s="83"/>
      <c r="CSX3" s="83"/>
      <c r="CSY3" s="83"/>
      <c r="CSZ3" s="83"/>
      <c r="CTA3" s="83"/>
      <c r="CTB3" s="83"/>
      <c r="CTC3" s="83"/>
      <c r="CTD3" s="83"/>
      <c r="CTE3" s="84"/>
      <c r="CTF3" s="82">
        <v>169</v>
      </c>
      <c r="CTG3" s="83"/>
      <c r="CTH3" s="83"/>
      <c r="CTI3" s="83"/>
      <c r="CTJ3" s="83"/>
      <c r="CTK3" s="83"/>
      <c r="CTL3" s="83"/>
      <c r="CTM3" s="83"/>
      <c r="CTN3" s="83"/>
      <c r="CTO3" s="83"/>
      <c r="CTP3" s="83"/>
      <c r="CTQ3" s="83"/>
      <c r="CTR3" s="83"/>
      <c r="CTS3" s="83"/>
      <c r="CTT3" s="83"/>
      <c r="CTU3" s="83"/>
      <c r="CTV3" s="83"/>
      <c r="CTW3" s="83"/>
      <c r="CTX3" s="83"/>
      <c r="CTY3" s="83"/>
      <c r="CTZ3" s="83"/>
      <c r="CUA3" s="84"/>
      <c r="CUB3" s="82">
        <v>177</v>
      </c>
      <c r="CUC3" s="83"/>
      <c r="CUD3" s="83"/>
      <c r="CUE3" s="83"/>
      <c r="CUF3" s="83"/>
      <c r="CUG3" s="83"/>
      <c r="CUH3" s="83"/>
      <c r="CUI3" s="83"/>
      <c r="CUJ3" s="83"/>
      <c r="CUK3" s="83"/>
      <c r="CUL3" s="83"/>
      <c r="CUM3" s="83"/>
      <c r="CUN3" s="83"/>
      <c r="CUO3" s="83"/>
      <c r="CUP3" s="83"/>
      <c r="CUQ3" s="83"/>
      <c r="CUR3" s="83"/>
      <c r="CUS3" s="83"/>
      <c r="CUT3" s="83"/>
      <c r="CUU3" s="83"/>
      <c r="CUV3" s="83"/>
      <c r="CUW3" s="84"/>
      <c r="CUX3" s="82">
        <v>185</v>
      </c>
      <c r="CUY3" s="83"/>
      <c r="CUZ3" s="83"/>
      <c r="CVA3" s="83"/>
      <c r="CVB3" s="83"/>
      <c r="CVC3" s="83"/>
      <c r="CVD3" s="83"/>
      <c r="CVE3" s="83"/>
      <c r="CVF3" s="83"/>
      <c r="CVG3" s="83"/>
      <c r="CVH3" s="83"/>
      <c r="CVI3" s="83"/>
      <c r="CVJ3" s="83"/>
      <c r="CVK3" s="83"/>
      <c r="CVL3" s="83"/>
      <c r="CVM3" s="83"/>
      <c r="CVN3" s="83"/>
      <c r="CVO3" s="83"/>
      <c r="CVP3" s="83"/>
      <c r="CVQ3" s="83"/>
      <c r="CVR3" s="83"/>
      <c r="CVS3" s="84"/>
      <c r="CVT3" s="82">
        <v>193</v>
      </c>
      <c r="CVU3" s="83"/>
      <c r="CVV3" s="83"/>
      <c r="CVW3" s="83"/>
      <c r="CVX3" s="83"/>
      <c r="CVY3" s="83"/>
      <c r="CVZ3" s="83"/>
      <c r="CWA3" s="83"/>
      <c r="CWB3" s="83"/>
      <c r="CWC3" s="83"/>
      <c r="CWD3" s="83"/>
      <c r="CWE3" s="83"/>
      <c r="CWF3" s="83"/>
      <c r="CWG3" s="83"/>
      <c r="CWH3" s="83"/>
      <c r="CWI3" s="83"/>
      <c r="CWJ3" s="83"/>
      <c r="CWK3" s="83"/>
      <c r="CWL3" s="83"/>
      <c r="CWM3" s="83"/>
      <c r="CWN3" s="83"/>
      <c r="CWO3" s="84"/>
      <c r="CWP3" s="82">
        <v>201</v>
      </c>
      <c r="CWQ3" s="83"/>
      <c r="CWR3" s="83"/>
      <c r="CWS3" s="83"/>
      <c r="CWT3" s="83"/>
      <c r="CWU3" s="83"/>
      <c r="CWV3" s="83"/>
      <c r="CWW3" s="83"/>
      <c r="CWX3" s="83"/>
      <c r="CWY3" s="83"/>
      <c r="CWZ3" s="83"/>
      <c r="CXA3" s="83"/>
      <c r="CXB3" s="83"/>
      <c r="CXC3" s="83"/>
      <c r="CXD3" s="83"/>
      <c r="CXE3" s="83"/>
      <c r="CXF3" s="83"/>
      <c r="CXG3" s="83"/>
      <c r="CXH3" s="83"/>
      <c r="CXI3" s="83"/>
      <c r="CXJ3" s="83"/>
      <c r="CXK3" s="84"/>
      <c r="CXL3" s="82">
        <v>209</v>
      </c>
      <c r="CXM3" s="83"/>
      <c r="CXN3" s="83"/>
      <c r="CXO3" s="83"/>
      <c r="CXP3" s="83"/>
      <c r="CXQ3" s="83"/>
      <c r="CXR3" s="83"/>
      <c r="CXS3" s="83"/>
      <c r="CXT3" s="83"/>
      <c r="CXU3" s="83"/>
      <c r="CXV3" s="83"/>
      <c r="CXW3" s="83"/>
      <c r="CXX3" s="83"/>
      <c r="CXY3" s="83"/>
      <c r="CXZ3" s="83"/>
      <c r="CYA3" s="83"/>
      <c r="CYB3" s="83"/>
      <c r="CYC3" s="83"/>
      <c r="CYD3" s="83"/>
      <c r="CYE3" s="83"/>
      <c r="CYF3" s="83"/>
      <c r="CYG3" s="84"/>
      <c r="CYH3" s="82">
        <v>217</v>
      </c>
      <c r="CYI3" s="83"/>
      <c r="CYJ3" s="83"/>
      <c r="CYK3" s="83"/>
      <c r="CYL3" s="83"/>
      <c r="CYM3" s="83"/>
      <c r="CYN3" s="83"/>
      <c r="CYO3" s="83"/>
      <c r="CYP3" s="83"/>
      <c r="CYQ3" s="83"/>
      <c r="CYR3" s="83"/>
      <c r="CYS3" s="83"/>
      <c r="CYT3" s="83"/>
      <c r="CYU3" s="83"/>
      <c r="CYV3" s="83"/>
      <c r="CYW3" s="83"/>
      <c r="CYX3" s="83"/>
      <c r="CYY3" s="83"/>
      <c r="CYZ3" s="83"/>
      <c r="CZA3" s="83"/>
      <c r="CZB3" s="83"/>
      <c r="CZC3" s="84"/>
      <c r="CZD3" s="82">
        <v>225</v>
      </c>
      <c r="CZE3" s="83"/>
      <c r="CZF3" s="83"/>
      <c r="CZG3" s="83"/>
      <c r="CZH3" s="83"/>
      <c r="CZI3" s="83"/>
      <c r="CZJ3" s="83"/>
      <c r="CZK3" s="83"/>
      <c r="CZL3" s="83"/>
      <c r="CZM3" s="83"/>
      <c r="CZN3" s="83"/>
      <c r="CZO3" s="83"/>
      <c r="CZP3" s="83"/>
      <c r="CZQ3" s="83"/>
      <c r="CZR3" s="83"/>
      <c r="CZS3" s="83"/>
      <c r="CZT3" s="83"/>
      <c r="CZU3" s="83"/>
      <c r="CZV3" s="83"/>
      <c r="CZW3" s="83"/>
      <c r="CZX3" s="83"/>
      <c r="CZY3" s="84"/>
      <c r="CZZ3" s="82">
        <v>233</v>
      </c>
      <c r="DAA3" s="83"/>
      <c r="DAB3" s="83"/>
      <c r="DAC3" s="83"/>
      <c r="DAD3" s="83"/>
      <c r="DAE3" s="83"/>
      <c r="DAF3" s="83"/>
      <c r="DAG3" s="83"/>
      <c r="DAH3" s="83"/>
      <c r="DAI3" s="83"/>
      <c r="DAJ3" s="83"/>
      <c r="DAK3" s="83"/>
      <c r="DAL3" s="83"/>
      <c r="DAM3" s="83"/>
      <c r="DAN3" s="83"/>
      <c r="DAO3" s="83"/>
      <c r="DAP3" s="83"/>
      <c r="DAQ3" s="83"/>
      <c r="DAR3" s="83"/>
      <c r="DAS3" s="83"/>
      <c r="DAT3" s="83"/>
      <c r="DAU3" s="84"/>
      <c r="DAV3" s="82">
        <v>241</v>
      </c>
      <c r="DAW3" s="83"/>
      <c r="DAX3" s="83"/>
      <c r="DAY3" s="83"/>
      <c r="DAZ3" s="83"/>
      <c r="DBA3" s="83"/>
      <c r="DBB3" s="83"/>
      <c r="DBC3" s="83"/>
      <c r="DBD3" s="83"/>
      <c r="DBE3" s="83"/>
      <c r="DBF3" s="83"/>
      <c r="DBG3" s="83"/>
      <c r="DBH3" s="83"/>
      <c r="DBI3" s="83"/>
      <c r="DBJ3" s="83"/>
      <c r="DBK3" s="83"/>
      <c r="DBL3" s="83"/>
      <c r="DBM3" s="83"/>
      <c r="DBN3" s="83"/>
      <c r="DBO3" s="83"/>
      <c r="DBP3" s="83"/>
      <c r="DBQ3" s="84"/>
      <c r="DBR3" s="82">
        <v>249</v>
      </c>
      <c r="DBS3" s="83"/>
      <c r="DBT3" s="83"/>
      <c r="DBU3" s="83"/>
      <c r="DBV3" s="83"/>
      <c r="DBW3" s="83"/>
      <c r="DBX3" s="83"/>
      <c r="DBY3" s="83"/>
      <c r="DBZ3" s="83"/>
      <c r="DCA3" s="83"/>
      <c r="DCB3" s="83"/>
      <c r="DCC3" s="83"/>
      <c r="DCD3" s="83"/>
      <c r="DCE3" s="83"/>
      <c r="DCF3" s="83"/>
      <c r="DCG3" s="83"/>
      <c r="DCH3" s="83"/>
      <c r="DCI3" s="83"/>
      <c r="DCJ3" s="83"/>
      <c r="DCK3" s="83"/>
      <c r="DCL3" s="83"/>
      <c r="DCM3" s="84"/>
      <c r="DCN3" s="82">
        <v>257</v>
      </c>
      <c r="DCO3" s="83"/>
      <c r="DCP3" s="83"/>
      <c r="DCQ3" s="83"/>
      <c r="DCR3" s="83"/>
      <c r="DCS3" s="83"/>
      <c r="DCT3" s="83"/>
      <c r="DCU3" s="83"/>
      <c r="DCV3" s="83"/>
      <c r="DCW3" s="83"/>
      <c r="DCX3" s="83"/>
      <c r="DCY3" s="83"/>
      <c r="DCZ3" s="83"/>
      <c r="DDA3" s="83"/>
      <c r="DDB3" s="83"/>
      <c r="DDC3" s="83"/>
      <c r="DDD3" s="83"/>
      <c r="DDE3" s="83"/>
      <c r="DDF3" s="83"/>
      <c r="DDG3" s="83"/>
      <c r="DDH3" s="83"/>
      <c r="DDI3" s="84"/>
    </row>
    <row r="4" spans="1:2839" x14ac:dyDescent="0.2">
      <c r="A4" s="4"/>
      <c r="B4" s="64" t="s">
        <v>19</v>
      </c>
      <c r="C4" s="64"/>
      <c r="D4" s="64"/>
      <c r="E4" s="64"/>
      <c r="F4" s="64"/>
      <c r="G4" s="64"/>
      <c r="H4" s="64"/>
      <c r="I4" s="64"/>
      <c r="J4" s="64"/>
      <c r="K4" s="64"/>
      <c r="L4" s="64"/>
      <c r="M4" s="77" t="s">
        <v>20</v>
      </c>
      <c r="N4" s="77"/>
      <c r="O4" s="77"/>
      <c r="P4" s="77"/>
      <c r="Q4" s="77"/>
      <c r="R4" s="77"/>
      <c r="S4" s="77"/>
      <c r="T4" s="77"/>
      <c r="U4" s="77"/>
      <c r="V4" s="77"/>
      <c r="W4" s="77"/>
      <c r="X4" s="64" t="s">
        <v>19</v>
      </c>
      <c r="Y4" s="64"/>
      <c r="Z4" s="64"/>
      <c r="AA4" s="64"/>
      <c r="AB4" s="64"/>
      <c r="AC4" s="64"/>
      <c r="AD4" s="64"/>
      <c r="AE4" s="64"/>
      <c r="AF4" s="64"/>
      <c r="AG4" s="64"/>
      <c r="AH4" s="64"/>
      <c r="AI4" s="77" t="s">
        <v>20</v>
      </c>
      <c r="AJ4" s="77"/>
      <c r="AK4" s="77"/>
      <c r="AL4" s="77"/>
      <c r="AM4" s="77"/>
      <c r="AN4" s="77"/>
      <c r="AO4" s="77"/>
      <c r="AP4" s="77"/>
      <c r="AQ4" s="77"/>
      <c r="AR4" s="77"/>
      <c r="AS4" s="77"/>
      <c r="AT4" s="64" t="s">
        <v>19</v>
      </c>
      <c r="AU4" s="64"/>
      <c r="AV4" s="64"/>
      <c r="AW4" s="64"/>
      <c r="AX4" s="64"/>
      <c r="AY4" s="64"/>
      <c r="AZ4" s="64"/>
      <c r="BA4" s="64"/>
      <c r="BB4" s="64"/>
      <c r="BC4" s="64"/>
      <c r="BD4" s="64"/>
      <c r="BE4" s="77" t="s">
        <v>20</v>
      </c>
      <c r="BF4" s="77"/>
      <c r="BG4" s="77"/>
      <c r="BH4" s="77"/>
      <c r="BI4" s="77"/>
      <c r="BJ4" s="77"/>
      <c r="BK4" s="77"/>
      <c r="BL4" s="77"/>
      <c r="BM4" s="77"/>
      <c r="BN4" s="77"/>
      <c r="BO4" s="77"/>
      <c r="BP4" s="64" t="s">
        <v>19</v>
      </c>
      <c r="BQ4" s="64"/>
      <c r="BR4" s="64"/>
      <c r="BS4" s="64"/>
      <c r="BT4" s="64"/>
      <c r="BU4" s="64"/>
      <c r="BV4" s="64"/>
      <c r="BW4" s="64"/>
      <c r="BX4" s="64"/>
      <c r="BY4" s="64"/>
      <c r="BZ4" s="64"/>
      <c r="CA4" s="77" t="s">
        <v>20</v>
      </c>
      <c r="CB4" s="77"/>
      <c r="CC4" s="77"/>
      <c r="CD4" s="77"/>
      <c r="CE4" s="77"/>
      <c r="CF4" s="77"/>
      <c r="CG4" s="77"/>
      <c r="CH4" s="77"/>
      <c r="CI4" s="77"/>
      <c r="CJ4" s="77"/>
      <c r="CK4" s="77"/>
      <c r="CL4" s="64" t="s">
        <v>19</v>
      </c>
      <c r="CM4" s="64"/>
      <c r="CN4" s="64"/>
      <c r="CO4" s="64"/>
      <c r="CP4" s="64"/>
      <c r="CQ4" s="64"/>
      <c r="CR4" s="64"/>
      <c r="CS4" s="64"/>
      <c r="CT4" s="64"/>
      <c r="CU4" s="64"/>
      <c r="CV4" s="64"/>
      <c r="CW4" s="77" t="s">
        <v>20</v>
      </c>
      <c r="CX4" s="77"/>
      <c r="CY4" s="77"/>
      <c r="CZ4" s="77"/>
      <c r="DA4" s="77"/>
      <c r="DB4" s="77"/>
      <c r="DC4" s="77"/>
      <c r="DD4" s="77"/>
      <c r="DE4" s="77"/>
      <c r="DF4" s="77"/>
      <c r="DG4" s="77"/>
      <c r="DH4" s="64" t="s">
        <v>19</v>
      </c>
      <c r="DI4" s="64"/>
      <c r="DJ4" s="64"/>
      <c r="DK4" s="64"/>
      <c r="DL4" s="64"/>
      <c r="DM4" s="64"/>
      <c r="DN4" s="64"/>
      <c r="DO4" s="64"/>
      <c r="DP4" s="64"/>
      <c r="DQ4" s="64"/>
      <c r="DR4" s="64"/>
      <c r="DS4" s="77" t="s">
        <v>20</v>
      </c>
      <c r="DT4" s="77"/>
      <c r="DU4" s="77"/>
      <c r="DV4" s="77"/>
      <c r="DW4" s="77"/>
      <c r="DX4" s="77"/>
      <c r="DY4" s="77"/>
      <c r="DZ4" s="77"/>
      <c r="EA4" s="77"/>
      <c r="EB4" s="77"/>
      <c r="EC4" s="77"/>
      <c r="ED4" s="64" t="s">
        <v>19</v>
      </c>
      <c r="EE4" s="64"/>
      <c r="EF4" s="64"/>
      <c r="EG4" s="64"/>
      <c r="EH4" s="64"/>
      <c r="EI4" s="64"/>
      <c r="EJ4" s="64"/>
      <c r="EK4" s="64"/>
      <c r="EL4" s="64"/>
      <c r="EM4" s="64"/>
      <c r="EN4" s="64"/>
      <c r="EO4" s="77" t="s">
        <v>20</v>
      </c>
      <c r="EP4" s="77"/>
      <c r="EQ4" s="77"/>
      <c r="ER4" s="77"/>
      <c r="ES4" s="77"/>
      <c r="ET4" s="77"/>
      <c r="EU4" s="77"/>
      <c r="EV4" s="77"/>
      <c r="EW4" s="77"/>
      <c r="EX4" s="77"/>
      <c r="EY4" s="77"/>
      <c r="EZ4" s="64" t="s">
        <v>19</v>
      </c>
      <c r="FA4" s="64"/>
      <c r="FB4" s="64"/>
      <c r="FC4" s="64"/>
      <c r="FD4" s="64"/>
      <c r="FE4" s="64"/>
      <c r="FF4" s="64"/>
      <c r="FG4" s="64"/>
      <c r="FH4" s="64"/>
      <c r="FI4" s="64"/>
      <c r="FJ4" s="64"/>
      <c r="FK4" s="77" t="s">
        <v>20</v>
      </c>
      <c r="FL4" s="77"/>
      <c r="FM4" s="77"/>
      <c r="FN4" s="77"/>
      <c r="FO4" s="77"/>
      <c r="FP4" s="77"/>
      <c r="FQ4" s="77"/>
      <c r="FR4" s="77"/>
      <c r="FS4" s="77"/>
      <c r="FT4" s="77"/>
      <c r="FU4" s="77"/>
      <c r="FV4" s="64" t="s">
        <v>19</v>
      </c>
      <c r="FW4" s="64"/>
      <c r="FX4" s="64"/>
      <c r="FY4" s="64"/>
      <c r="FZ4" s="64"/>
      <c r="GA4" s="64"/>
      <c r="GB4" s="64"/>
      <c r="GC4" s="64"/>
      <c r="GD4" s="64"/>
      <c r="GE4" s="64"/>
      <c r="GF4" s="64"/>
      <c r="GG4" s="77" t="s">
        <v>20</v>
      </c>
      <c r="GH4" s="77"/>
      <c r="GI4" s="77"/>
      <c r="GJ4" s="77"/>
      <c r="GK4" s="77"/>
      <c r="GL4" s="77"/>
      <c r="GM4" s="77"/>
      <c r="GN4" s="77"/>
      <c r="GO4" s="77"/>
      <c r="GP4" s="77"/>
      <c r="GQ4" s="77"/>
      <c r="GR4" s="64" t="s">
        <v>19</v>
      </c>
      <c r="GS4" s="64"/>
      <c r="GT4" s="64"/>
      <c r="GU4" s="64"/>
      <c r="GV4" s="64"/>
      <c r="GW4" s="64"/>
      <c r="GX4" s="64"/>
      <c r="GY4" s="64"/>
      <c r="GZ4" s="64"/>
      <c r="HA4" s="64"/>
      <c r="HB4" s="64"/>
      <c r="HC4" s="77" t="s">
        <v>20</v>
      </c>
      <c r="HD4" s="77"/>
      <c r="HE4" s="77"/>
      <c r="HF4" s="77"/>
      <c r="HG4" s="77"/>
      <c r="HH4" s="77"/>
      <c r="HI4" s="77"/>
      <c r="HJ4" s="77"/>
      <c r="HK4" s="77"/>
      <c r="HL4" s="77"/>
      <c r="HM4" s="77"/>
      <c r="HN4" s="64" t="s">
        <v>19</v>
      </c>
      <c r="HO4" s="64"/>
      <c r="HP4" s="64"/>
      <c r="HQ4" s="64"/>
      <c r="HR4" s="64"/>
      <c r="HS4" s="64"/>
      <c r="HT4" s="64"/>
      <c r="HU4" s="64"/>
      <c r="HV4" s="64"/>
      <c r="HW4" s="64"/>
      <c r="HX4" s="64"/>
      <c r="HY4" s="77" t="s">
        <v>20</v>
      </c>
      <c r="HZ4" s="77"/>
      <c r="IA4" s="77"/>
      <c r="IB4" s="77"/>
      <c r="IC4" s="77"/>
      <c r="ID4" s="77"/>
      <c r="IE4" s="77"/>
      <c r="IF4" s="77"/>
      <c r="IG4" s="77"/>
      <c r="IH4" s="77"/>
      <c r="II4" s="77"/>
      <c r="IJ4" s="64" t="s">
        <v>19</v>
      </c>
      <c r="IK4" s="64"/>
      <c r="IL4" s="64"/>
      <c r="IM4" s="64"/>
      <c r="IN4" s="64"/>
      <c r="IO4" s="64"/>
      <c r="IP4" s="64"/>
      <c r="IQ4" s="64"/>
      <c r="IR4" s="64"/>
      <c r="IS4" s="64"/>
      <c r="IT4" s="64"/>
      <c r="IU4" s="77" t="s">
        <v>20</v>
      </c>
      <c r="IV4" s="77"/>
      <c r="IW4" s="77"/>
      <c r="IX4" s="77"/>
      <c r="IY4" s="77"/>
      <c r="IZ4" s="77"/>
      <c r="JA4" s="77"/>
      <c r="JB4" s="77"/>
      <c r="JC4" s="77"/>
      <c r="JD4" s="77"/>
      <c r="JE4" s="77"/>
      <c r="JF4" s="64" t="s">
        <v>19</v>
      </c>
      <c r="JG4" s="64"/>
      <c r="JH4" s="64"/>
      <c r="JI4" s="64"/>
      <c r="JJ4" s="64"/>
      <c r="JK4" s="64"/>
      <c r="JL4" s="64"/>
      <c r="JM4" s="64"/>
      <c r="JN4" s="64"/>
      <c r="JO4" s="64"/>
      <c r="JP4" s="64"/>
      <c r="JQ4" s="77" t="s">
        <v>20</v>
      </c>
      <c r="JR4" s="77"/>
      <c r="JS4" s="77"/>
      <c r="JT4" s="77"/>
      <c r="JU4" s="77"/>
      <c r="JV4" s="77"/>
      <c r="JW4" s="77"/>
      <c r="JX4" s="77"/>
      <c r="JY4" s="77"/>
      <c r="JZ4" s="77"/>
      <c r="KA4" s="77"/>
      <c r="KB4" s="64" t="s">
        <v>19</v>
      </c>
      <c r="KC4" s="64"/>
      <c r="KD4" s="64"/>
      <c r="KE4" s="64"/>
      <c r="KF4" s="64"/>
      <c r="KG4" s="64"/>
      <c r="KH4" s="64"/>
      <c r="KI4" s="64"/>
      <c r="KJ4" s="64"/>
      <c r="KK4" s="64"/>
      <c r="KL4" s="64"/>
      <c r="KM4" s="77" t="s">
        <v>20</v>
      </c>
      <c r="KN4" s="77"/>
      <c r="KO4" s="77"/>
      <c r="KP4" s="77"/>
      <c r="KQ4" s="77"/>
      <c r="KR4" s="77"/>
      <c r="KS4" s="77"/>
      <c r="KT4" s="77"/>
      <c r="KU4" s="77"/>
      <c r="KV4" s="77"/>
      <c r="KW4" s="77"/>
      <c r="KX4" s="64" t="s">
        <v>19</v>
      </c>
      <c r="KY4" s="64"/>
      <c r="KZ4" s="64"/>
      <c r="LA4" s="64"/>
      <c r="LB4" s="64"/>
      <c r="LC4" s="64"/>
      <c r="LD4" s="64"/>
      <c r="LE4" s="64"/>
      <c r="LF4" s="64"/>
      <c r="LG4" s="64"/>
      <c r="LH4" s="64"/>
      <c r="LI4" s="77" t="s">
        <v>20</v>
      </c>
      <c r="LJ4" s="77"/>
      <c r="LK4" s="77"/>
      <c r="LL4" s="77"/>
      <c r="LM4" s="77"/>
      <c r="LN4" s="77"/>
      <c r="LO4" s="77"/>
      <c r="LP4" s="77"/>
      <c r="LQ4" s="77"/>
      <c r="LR4" s="77"/>
      <c r="LS4" s="77"/>
      <c r="LT4" s="64" t="s">
        <v>19</v>
      </c>
      <c r="LU4" s="64"/>
      <c r="LV4" s="64"/>
      <c r="LW4" s="64"/>
      <c r="LX4" s="64"/>
      <c r="LY4" s="64"/>
      <c r="LZ4" s="64"/>
      <c r="MA4" s="64"/>
      <c r="MB4" s="64"/>
      <c r="MC4" s="64"/>
      <c r="MD4" s="64"/>
      <c r="ME4" s="77" t="s">
        <v>20</v>
      </c>
      <c r="MF4" s="77"/>
      <c r="MG4" s="77"/>
      <c r="MH4" s="77"/>
      <c r="MI4" s="77"/>
      <c r="MJ4" s="77"/>
      <c r="MK4" s="77"/>
      <c r="ML4" s="77"/>
      <c r="MM4" s="77"/>
      <c r="MN4" s="77"/>
      <c r="MO4" s="77"/>
      <c r="MP4" s="64" t="s">
        <v>19</v>
      </c>
      <c r="MQ4" s="64"/>
      <c r="MR4" s="64"/>
      <c r="MS4" s="64"/>
      <c r="MT4" s="64"/>
      <c r="MU4" s="64"/>
      <c r="MV4" s="64"/>
      <c r="MW4" s="64"/>
      <c r="MX4" s="64"/>
      <c r="MY4" s="64"/>
      <c r="MZ4" s="64"/>
      <c r="NA4" s="77" t="s">
        <v>20</v>
      </c>
      <c r="NB4" s="77"/>
      <c r="NC4" s="77"/>
      <c r="ND4" s="77"/>
      <c r="NE4" s="77"/>
      <c r="NF4" s="77"/>
      <c r="NG4" s="77"/>
      <c r="NH4" s="77"/>
      <c r="NI4" s="77"/>
      <c r="NJ4" s="77"/>
      <c r="NK4" s="77"/>
      <c r="NL4" s="71" t="s">
        <v>19</v>
      </c>
      <c r="NM4" s="72"/>
      <c r="NN4" s="72"/>
      <c r="NO4" s="72"/>
      <c r="NP4" s="72"/>
      <c r="NQ4" s="72"/>
      <c r="NR4" s="72"/>
      <c r="NS4" s="72"/>
      <c r="NT4" s="72"/>
      <c r="NU4" s="72"/>
      <c r="NV4" s="73"/>
      <c r="NW4" s="74" t="s">
        <v>20</v>
      </c>
      <c r="NX4" s="75"/>
      <c r="NY4" s="75"/>
      <c r="NZ4" s="75"/>
      <c r="OA4" s="75"/>
      <c r="OB4" s="75"/>
      <c r="OC4" s="75"/>
      <c r="OD4" s="75"/>
      <c r="OE4" s="75"/>
      <c r="OF4" s="75"/>
      <c r="OG4" s="76"/>
      <c r="OH4" s="71" t="s">
        <v>19</v>
      </c>
      <c r="OI4" s="72"/>
      <c r="OJ4" s="72"/>
      <c r="OK4" s="72"/>
      <c r="OL4" s="72"/>
      <c r="OM4" s="72"/>
      <c r="ON4" s="72"/>
      <c r="OO4" s="72"/>
      <c r="OP4" s="72"/>
      <c r="OQ4" s="72"/>
      <c r="OR4" s="73"/>
      <c r="OS4" s="74" t="s">
        <v>20</v>
      </c>
      <c r="OT4" s="75"/>
      <c r="OU4" s="75"/>
      <c r="OV4" s="75"/>
      <c r="OW4" s="75"/>
      <c r="OX4" s="75"/>
      <c r="OY4" s="75"/>
      <c r="OZ4" s="75"/>
      <c r="PA4" s="75"/>
      <c r="PB4" s="75"/>
      <c r="PC4" s="76"/>
      <c r="PD4" s="71" t="s">
        <v>19</v>
      </c>
      <c r="PE4" s="72"/>
      <c r="PF4" s="72"/>
      <c r="PG4" s="72"/>
      <c r="PH4" s="72"/>
      <c r="PI4" s="72"/>
      <c r="PJ4" s="72"/>
      <c r="PK4" s="72"/>
      <c r="PL4" s="72"/>
      <c r="PM4" s="72"/>
      <c r="PN4" s="73"/>
      <c r="PO4" s="74" t="s">
        <v>20</v>
      </c>
      <c r="PP4" s="75"/>
      <c r="PQ4" s="75"/>
      <c r="PR4" s="75"/>
      <c r="PS4" s="75"/>
      <c r="PT4" s="75"/>
      <c r="PU4" s="75"/>
      <c r="PV4" s="75"/>
      <c r="PW4" s="75"/>
      <c r="PX4" s="75"/>
      <c r="PY4" s="76"/>
      <c r="PZ4" s="71" t="s">
        <v>19</v>
      </c>
      <c r="QA4" s="72"/>
      <c r="QB4" s="72"/>
      <c r="QC4" s="72"/>
      <c r="QD4" s="72"/>
      <c r="QE4" s="72"/>
      <c r="QF4" s="72"/>
      <c r="QG4" s="72"/>
      <c r="QH4" s="72"/>
      <c r="QI4" s="72"/>
      <c r="QJ4" s="73"/>
      <c r="QK4" s="74" t="s">
        <v>20</v>
      </c>
      <c r="QL4" s="75"/>
      <c r="QM4" s="75"/>
      <c r="QN4" s="75"/>
      <c r="QO4" s="75"/>
      <c r="QP4" s="75"/>
      <c r="QQ4" s="75"/>
      <c r="QR4" s="75"/>
      <c r="QS4" s="75"/>
      <c r="QT4" s="75"/>
      <c r="QU4" s="76"/>
      <c r="QV4" s="71" t="s">
        <v>19</v>
      </c>
      <c r="QW4" s="72"/>
      <c r="QX4" s="72"/>
      <c r="QY4" s="72"/>
      <c r="QZ4" s="72"/>
      <c r="RA4" s="72"/>
      <c r="RB4" s="72"/>
      <c r="RC4" s="72"/>
      <c r="RD4" s="72"/>
      <c r="RE4" s="72"/>
      <c r="RF4" s="73"/>
      <c r="RG4" s="74" t="s">
        <v>20</v>
      </c>
      <c r="RH4" s="75"/>
      <c r="RI4" s="75"/>
      <c r="RJ4" s="75"/>
      <c r="RK4" s="75"/>
      <c r="RL4" s="75"/>
      <c r="RM4" s="75"/>
      <c r="RN4" s="75"/>
      <c r="RO4" s="75"/>
      <c r="RP4" s="75"/>
      <c r="RQ4" s="76"/>
      <c r="RR4" s="71" t="s">
        <v>19</v>
      </c>
      <c r="RS4" s="72"/>
      <c r="RT4" s="72"/>
      <c r="RU4" s="72"/>
      <c r="RV4" s="72"/>
      <c r="RW4" s="72"/>
      <c r="RX4" s="72"/>
      <c r="RY4" s="72"/>
      <c r="RZ4" s="72"/>
      <c r="SA4" s="72"/>
      <c r="SB4" s="73"/>
      <c r="SC4" s="74" t="s">
        <v>20</v>
      </c>
      <c r="SD4" s="75"/>
      <c r="SE4" s="75"/>
      <c r="SF4" s="75"/>
      <c r="SG4" s="75"/>
      <c r="SH4" s="75"/>
      <c r="SI4" s="75"/>
      <c r="SJ4" s="75"/>
      <c r="SK4" s="75"/>
      <c r="SL4" s="75"/>
      <c r="SM4" s="76"/>
      <c r="SN4" s="71" t="s">
        <v>19</v>
      </c>
      <c r="SO4" s="72"/>
      <c r="SP4" s="72"/>
      <c r="SQ4" s="72"/>
      <c r="SR4" s="72"/>
      <c r="SS4" s="72"/>
      <c r="ST4" s="72"/>
      <c r="SU4" s="72"/>
      <c r="SV4" s="72"/>
      <c r="SW4" s="72"/>
      <c r="SX4" s="73"/>
      <c r="SY4" s="74" t="s">
        <v>20</v>
      </c>
      <c r="SZ4" s="75"/>
      <c r="TA4" s="75"/>
      <c r="TB4" s="75"/>
      <c r="TC4" s="75"/>
      <c r="TD4" s="75"/>
      <c r="TE4" s="75"/>
      <c r="TF4" s="75"/>
      <c r="TG4" s="75"/>
      <c r="TH4" s="75"/>
      <c r="TI4" s="76"/>
      <c r="TJ4" s="71" t="s">
        <v>19</v>
      </c>
      <c r="TK4" s="72"/>
      <c r="TL4" s="72"/>
      <c r="TM4" s="72"/>
      <c r="TN4" s="72"/>
      <c r="TO4" s="72"/>
      <c r="TP4" s="72"/>
      <c r="TQ4" s="72"/>
      <c r="TR4" s="72"/>
      <c r="TS4" s="72"/>
      <c r="TT4" s="73"/>
      <c r="TU4" s="74" t="s">
        <v>20</v>
      </c>
      <c r="TV4" s="75"/>
      <c r="TW4" s="75"/>
      <c r="TX4" s="75"/>
      <c r="TY4" s="75"/>
      <c r="TZ4" s="75"/>
      <c r="UA4" s="75"/>
      <c r="UB4" s="75"/>
      <c r="UC4" s="75"/>
      <c r="UD4" s="75"/>
      <c r="UE4" s="76"/>
      <c r="UF4" s="71" t="s">
        <v>19</v>
      </c>
      <c r="UG4" s="72"/>
      <c r="UH4" s="72"/>
      <c r="UI4" s="72"/>
      <c r="UJ4" s="72"/>
      <c r="UK4" s="72"/>
      <c r="UL4" s="72"/>
      <c r="UM4" s="72"/>
      <c r="UN4" s="72"/>
      <c r="UO4" s="72"/>
      <c r="UP4" s="73"/>
      <c r="UQ4" s="74" t="s">
        <v>20</v>
      </c>
      <c r="UR4" s="75"/>
      <c r="US4" s="75"/>
      <c r="UT4" s="75"/>
      <c r="UU4" s="75"/>
      <c r="UV4" s="75"/>
      <c r="UW4" s="75"/>
      <c r="UX4" s="75"/>
      <c r="UY4" s="75"/>
      <c r="UZ4" s="75"/>
      <c r="VA4" s="76"/>
      <c r="VB4" s="71" t="s">
        <v>19</v>
      </c>
      <c r="VC4" s="72"/>
      <c r="VD4" s="72"/>
      <c r="VE4" s="72"/>
      <c r="VF4" s="72"/>
      <c r="VG4" s="72"/>
      <c r="VH4" s="72"/>
      <c r="VI4" s="72"/>
      <c r="VJ4" s="72"/>
      <c r="VK4" s="72"/>
      <c r="VL4" s="73"/>
      <c r="VM4" s="74" t="s">
        <v>20</v>
      </c>
      <c r="VN4" s="75"/>
      <c r="VO4" s="75"/>
      <c r="VP4" s="75"/>
      <c r="VQ4" s="75"/>
      <c r="VR4" s="75"/>
      <c r="VS4" s="75"/>
      <c r="VT4" s="75"/>
      <c r="VU4" s="75"/>
      <c r="VV4" s="75"/>
      <c r="VW4" s="76"/>
      <c r="VX4" s="71" t="s">
        <v>19</v>
      </c>
      <c r="VY4" s="72"/>
      <c r="VZ4" s="72"/>
      <c r="WA4" s="72"/>
      <c r="WB4" s="72"/>
      <c r="WC4" s="72"/>
      <c r="WD4" s="72"/>
      <c r="WE4" s="72"/>
      <c r="WF4" s="72"/>
      <c r="WG4" s="72"/>
      <c r="WH4" s="73"/>
      <c r="WI4" s="74" t="s">
        <v>20</v>
      </c>
      <c r="WJ4" s="75"/>
      <c r="WK4" s="75"/>
      <c r="WL4" s="75"/>
      <c r="WM4" s="75"/>
      <c r="WN4" s="75"/>
      <c r="WO4" s="75"/>
      <c r="WP4" s="75"/>
      <c r="WQ4" s="75"/>
      <c r="WR4" s="75"/>
      <c r="WS4" s="76"/>
      <c r="WT4" s="71" t="s">
        <v>19</v>
      </c>
      <c r="WU4" s="72"/>
      <c r="WV4" s="72"/>
      <c r="WW4" s="72"/>
      <c r="WX4" s="72"/>
      <c r="WY4" s="72"/>
      <c r="WZ4" s="72"/>
      <c r="XA4" s="72"/>
      <c r="XB4" s="72"/>
      <c r="XC4" s="72"/>
      <c r="XD4" s="73"/>
      <c r="XE4" s="74" t="s">
        <v>20</v>
      </c>
      <c r="XF4" s="75"/>
      <c r="XG4" s="75"/>
      <c r="XH4" s="75"/>
      <c r="XI4" s="75"/>
      <c r="XJ4" s="75"/>
      <c r="XK4" s="75"/>
      <c r="XL4" s="75"/>
      <c r="XM4" s="75"/>
      <c r="XN4" s="75"/>
      <c r="XO4" s="76"/>
      <c r="XP4" s="71" t="s">
        <v>19</v>
      </c>
      <c r="XQ4" s="72"/>
      <c r="XR4" s="72"/>
      <c r="XS4" s="72"/>
      <c r="XT4" s="72"/>
      <c r="XU4" s="72"/>
      <c r="XV4" s="72"/>
      <c r="XW4" s="72"/>
      <c r="XX4" s="72"/>
      <c r="XY4" s="72"/>
      <c r="XZ4" s="73"/>
      <c r="YA4" s="74" t="s">
        <v>20</v>
      </c>
      <c r="YB4" s="75"/>
      <c r="YC4" s="75"/>
      <c r="YD4" s="75"/>
      <c r="YE4" s="75"/>
      <c r="YF4" s="75"/>
      <c r="YG4" s="75"/>
      <c r="YH4" s="75"/>
      <c r="YI4" s="75"/>
      <c r="YJ4" s="75"/>
      <c r="YK4" s="76"/>
      <c r="YL4" s="71" t="s">
        <v>19</v>
      </c>
      <c r="YM4" s="72"/>
      <c r="YN4" s="72"/>
      <c r="YO4" s="72"/>
      <c r="YP4" s="72"/>
      <c r="YQ4" s="72"/>
      <c r="YR4" s="72"/>
      <c r="YS4" s="72"/>
      <c r="YT4" s="72"/>
      <c r="YU4" s="72"/>
      <c r="YV4" s="73"/>
      <c r="YW4" s="74" t="s">
        <v>20</v>
      </c>
      <c r="YX4" s="75"/>
      <c r="YY4" s="75"/>
      <c r="YZ4" s="75"/>
      <c r="ZA4" s="75"/>
      <c r="ZB4" s="75"/>
      <c r="ZC4" s="75"/>
      <c r="ZD4" s="75"/>
      <c r="ZE4" s="75"/>
      <c r="ZF4" s="75"/>
      <c r="ZG4" s="76"/>
      <c r="ZH4" s="71" t="s">
        <v>19</v>
      </c>
      <c r="ZI4" s="72"/>
      <c r="ZJ4" s="72"/>
      <c r="ZK4" s="72"/>
      <c r="ZL4" s="72"/>
      <c r="ZM4" s="72"/>
      <c r="ZN4" s="72"/>
      <c r="ZO4" s="72"/>
      <c r="ZP4" s="72"/>
      <c r="ZQ4" s="72"/>
      <c r="ZR4" s="73"/>
      <c r="ZS4" s="74" t="s">
        <v>20</v>
      </c>
      <c r="ZT4" s="75"/>
      <c r="ZU4" s="75"/>
      <c r="ZV4" s="75"/>
      <c r="ZW4" s="75"/>
      <c r="ZX4" s="75"/>
      <c r="ZY4" s="75"/>
      <c r="ZZ4" s="75"/>
      <c r="AAA4" s="75"/>
      <c r="AAB4" s="75"/>
      <c r="AAC4" s="76"/>
      <c r="AAD4" s="64" t="s">
        <v>19</v>
      </c>
      <c r="AAE4" s="64"/>
      <c r="AAF4" s="64"/>
      <c r="AAG4" s="64"/>
      <c r="AAH4" s="64"/>
      <c r="AAI4" s="64"/>
      <c r="AAJ4" s="64"/>
      <c r="AAK4" s="64"/>
      <c r="AAL4" s="64"/>
      <c r="AAM4" s="64"/>
      <c r="AAN4" s="64"/>
      <c r="AAO4" s="77" t="s">
        <v>20</v>
      </c>
      <c r="AAP4" s="77"/>
      <c r="AAQ4" s="77"/>
      <c r="AAR4" s="77"/>
      <c r="AAS4" s="77"/>
      <c r="AAT4" s="77"/>
      <c r="AAU4" s="77"/>
      <c r="AAV4" s="77"/>
      <c r="AAW4" s="77"/>
      <c r="AAX4" s="77"/>
      <c r="AAY4" s="77"/>
      <c r="AAZ4" s="64" t="s">
        <v>19</v>
      </c>
      <c r="ABA4" s="64"/>
      <c r="ABB4" s="64"/>
      <c r="ABC4" s="64"/>
      <c r="ABD4" s="64"/>
      <c r="ABE4" s="64"/>
      <c r="ABF4" s="64"/>
      <c r="ABG4" s="64"/>
      <c r="ABH4" s="64"/>
      <c r="ABI4" s="64"/>
      <c r="ABJ4" s="64"/>
      <c r="ABK4" s="77" t="s">
        <v>20</v>
      </c>
      <c r="ABL4" s="77"/>
      <c r="ABM4" s="77"/>
      <c r="ABN4" s="77"/>
      <c r="ABO4" s="77"/>
      <c r="ABP4" s="77"/>
      <c r="ABQ4" s="77"/>
      <c r="ABR4" s="77"/>
      <c r="ABS4" s="77"/>
      <c r="ABT4" s="77"/>
      <c r="ABU4" s="77"/>
      <c r="ABV4" s="64" t="s">
        <v>19</v>
      </c>
      <c r="ABW4" s="64"/>
      <c r="ABX4" s="64"/>
      <c r="ABY4" s="64"/>
      <c r="ABZ4" s="64"/>
      <c r="ACA4" s="64"/>
      <c r="ACB4" s="64"/>
      <c r="ACC4" s="64"/>
      <c r="ACD4" s="64"/>
      <c r="ACE4" s="64"/>
      <c r="ACF4" s="64"/>
      <c r="ACG4" s="77" t="s">
        <v>20</v>
      </c>
      <c r="ACH4" s="77"/>
      <c r="ACI4" s="77"/>
      <c r="ACJ4" s="77"/>
      <c r="ACK4" s="77"/>
      <c r="ACL4" s="77"/>
      <c r="ACM4" s="77"/>
      <c r="ACN4" s="77"/>
      <c r="ACO4" s="77"/>
      <c r="ACP4" s="77"/>
      <c r="ACQ4" s="77"/>
      <c r="ACR4" s="64" t="s">
        <v>19</v>
      </c>
      <c r="ACS4" s="64"/>
      <c r="ACT4" s="64"/>
      <c r="ACU4" s="64"/>
      <c r="ACV4" s="64"/>
      <c r="ACW4" s="64"/>
      <c r="ACX4" s="64"/>
      <c r="ACY4" s="64"/>
      <c r="ACZ4" s="64"/>
      <c r="ADA4" s="64"/>
      <c r="ADB4" s="64"/>
      <c r="ADC4" s="77" t="s">
        <v>20</v>
      </c>
      <c r="ADD4" s="77"/>
      <c r="ADE4" s="77"/>
      <c r="ADF4" s="77"/>
      <c r="ADG4" s="77"/>
      <c r="ADH4" s="77"/>
      <c r="ADI4" s="77"/>
      <c r="ADJ4" s="77"/>
      <c r="ADK4" s="77"/>
      <c r="ADL4" s="77"/>
      <c r="ADM4" s="77"/>
      <c r="ADN4" s="64" t="s">
        <v>19</v>
      </c>
      <c r="ADO4" s="64"/>
      <c r="ADP4" s="64"/>
      <c r="ADQ4" s="64"/>
      <c r="ADR4" s="64"/>
      <c r="ADS4" s="64"/>
      <c r="ADT4" s="64"/>
      <c r="ADU4" s="64"/>
      <c r="ADV4" s="64"/>
      <c r="ADW4" s="64"/>
      <c r="ADX4" s="64"/>
      <c r="ADY4" s="77" t="s">
        <v>20</v>
      </c>
      <c r="ADZ4" s="77"/>
      <c r="AEA4" s="77"/>
      <c r="AEB4" s="77"/>
      <c r="AEC4" s="77"/>
      <c r="AED4" s="77"/>
      <c r="AEE4" s="77"/>
      <c r="AEF4" s="77"/>
      <c r="AEG4" s="77"/>
      <c r="AEH4" s="77"/>
      <c r="AEI4" s="77"/>
      <c r="AEJ4" s="64" t="s">
        <v>19</v>
      </c>
      <c r="AEK4" s="64"/>
      <c r="AEL4" s="64"/>
      <c r="AEM4" s="64"/>
      <c r="AEN4" s="64"/>
      <c r="AEO4" s="64"/>
      <c r="AEP4" s="64"/>
      <c r="AEQ4" s="64"/>
      <c r="AER4" s="64"/>
      <c r="AES4" s="64"/>
      <c r="AET4" s="64"/>
      <c r="AEU4" s="77" t="s">
        <v>20</v>
      </c>
      <c r="AEV4" s="77"/>
      <c r="AEW4" s="77"/>
      <c r="AEX4" s="77"/>
      <c r="AEY4" s="77"/>
      <c r="AEZ4" s="77"/>
      <c r="AFA4" s="77"/>
      <c r="AFB4" s="77"/>
      <c r="AFC4" s="77"/>
      <c r="AFD4" s="77"/>
      <c r="AFE4" s="77"/>
      <c r="AFF4" s="64" t="s">
        <v>19</v>
      </c>
      <c r="AFG4" s="64"/>
      <c r="AFH4" s="64"/>
      <c r="AFI4" s="64"/>
      <c r="AFJ4" s="64"/>
      <c r="AFK4" s="64"/>
      <c r="AFL4" s="64"/>
      <c r="AFM4" s="64"/>
      <c r="AFN4" s="64"/>
      <c r="AFO4" s="64"/>
      <c r="AFP4" s="64"/>
      <c r="AFQ4" s="77" t="s">
        <v>20</v>
      </c>
      <c r="AFR4" s="77"/>
      <c r="AFS4" s="77"/>
      <c r="AFT4" s="77"/>
      <c r="AFU4" s="77"/>
      <c r="AFV4" s="77"/>
      <c r="AFW4" s="77"/>
      <c r="AFX4" s="77"/>
      <c r="AFY4" s="77"/>
      <c r="AFZ4" s="77"/>
      <c r="AGA4" s="77"/>
      <c r="AGB4" s="64" t="s">
        <v>19</v>
      </c>
      <c r="AGC4" s="64"/>
      <c r="AGD4" s="64"/>
      <c r="AGE4" s="64"/>
      <c r="AGF4" s="64"/>
      <c r="AGG4" s="64"/>
      <c r="AGH4" s="64"/>
      <c r="AGI4" s="64"/>
      <c r="AGJ4" s="64"/>
      <c r="AGK4" s="64"/>
      <c r="AGL4" s="64"/>
      <c r="AGM4" s="77" t="s">
        <v>20</v>
      </c>
      <c r="AGN4" s="77"/>
      <c r="AGO4" s="77"/>
      <c r="AGP4" s="77"/>
      <c r="AGQ4" s="77"/>
      <c r="AGR4" s="77"/>
      <c r="AGS4" s="77"/>
      <c r="AGT4" s="77"/>
      <c r="AGU4" s="77"/>
      <c r="AGV4" s="77"/>
      <c r="AGW4" s="77"/>
      <c r="AGX4" s="64" t="s">
        <v>19</v>
      </c>
      <c r="AGY4" s="64"/>
      <c r="AGZ4" s="64"/>
      <c r="AHA4" s="64"/>
      <c r="AHB4" s="64"/>
      <c r="AHC4" s="64"/>
      <c r="AHD4" s="64"/>
      <c r="AHE4" s="64"/>
      <c r="AHF4" s="64"/>
      <c r="AHG4" s="64"/>
      <c r="AHH4" s="64"/>
      <c r="AHI4" s="77" t="s">
        <v>20</v>
      </c>
      <c r="AHJ4" s="77"/>
      <c r="AHK4" s="77"/>
      <c r="AHL4" s="77"/>
      <c r="AHM4" s="77"/>
      <c r="AHN4" s="77"/>
      <c r="AHO4" s="77"/>
      <c r="AHP4" s="77"/>
      <c r="AHQ4" s="77"/>
      <c r="AHR4" s="77"/>
      <c r="AHS4" s="77"/>
      <c r="AHT4" s="64" t="s">
        <v>19</v>
      </c>
      <c r="AHU4" s="64"/>
      <c r="AHV4" s="64"/>
      <c r="AHW4" s="64"/>
      <c r="AHX4" s="64"/>
      <c r="AHY4" s="64"/>
      <c r="AHZ4" s="64"/>
      <c r="AIA4" s="64"/>
      <c r="AIB4" s="64"/>
      <c r="AIC4" s="64"/>
      <c r="AID4" s="64"/>
      <c r="AIE4" s="77" t="s">
        <v>20</v>
      </c>
      <c r="AIF4" s="77"/>
      <c r="AIG4" s="77"/>
      <c r="AIH4" s="77"/>
      <c r="AII4" s="77"/>
      <c r="AIJ4" s="77"/>
      <c r="AIK4" s="77"/>
      <c r="AIL4" s="77"/>
      <c r="AIM4" s="77"/>
      <c r="AIN4" s="77"/>
      <c r="AIO4" s="77"/>
      <c r="AIP4" s="64" t="s">
        <v>19</v>
      </c>
      <c r="AIQ4" s="64"/>
      <c r="AIR4" s="64"/>
      <c r="AIS4" s="64"/>
      <c r="AIT4" s="64"/>
      <c r="AIU4" s="64"/>
      <c r="AIV4" s="64"/>
      <c r="AIW4" s="64"/>
      <c r="AIX4" s="64"/>
      <c r="AIY4" s="64"/>
      <c r="AIZ4" s="64"/>
      <c r="AJA4" s="77" t="s">
        <v>20</v>
      </c>
      <c r="AJB4" s="77"/>
      <c r="AJC4" s="77"/>
      <c r="AJD4" s="77"/>
      <c r="AJE4" s="77"/>
      <c r="AJF4" s="77"/>
      <c r="AJG4" s="77"/>
      <c r="AJH4" s="77"/>
      <c r="AJI4" s="77"/>
      <c r="AJJ4" s="77"/>
      <c r="AJK4" s="77"/>
      <c r="AJL4" s="64" t="s">
        <v>19</v>
      </c>
      <c r="AJM4" s="64"/>
      <c r="AJN4" s="64"/>
      <c r="AJO4" s="64"/>
      <c r="AJP4" s="64"/>
      <c r="AJQ4" s="64"/>
      <c r="AJR4" s="64"/>
      <c r="AJS4" s="64"/>
      <c r="AJT4" s="64"/>
      <c r="AJU4" s="64"/>
      <c r="AJV4" s="64"/>
      <c r="AJW4" s="77" t="s">
        <v>20</v>
      </c>
      <c r="AJX4" s="77"/>
      <c r="AJY4" s="77"/>
      <c r="AJZ4" s="77"/>
      <c r="AKA4" s="77"/>
      <c r="AKB4" s="77"/>
      <c r="AKC4" s="77"/>
      <c r="AKD4" s="77"/>
      <c r="AKE4" s="77"/>
      <c r="AKF4" s="77"/>
      <c r="AKG4" s="77"/>
      <c r="AKH4" s="64" t="s">
        <v>19</v>
      </c>
      <c r="AKI4" s="64"/>
      <c r="AKJ4" s="64"/>
      <c r="AKK4" s="64"/>
      <c r="AKL4" s="64"/>
      <c r="AKM4" s="64"/>
      <c r="AKN4" s="64"/>
      <c r="AKO4" s="64"/>
      <c r="AKP4" s="64"/>
      <c r="AKQ4" s="64"/>
      <c r="AKR4" s="64"/>
      <c r="AKS4" s="77" t="s">
        <v>20</v>
      </c>
      <c r="AKT4" s="77"/>
      <c r="AKU4" s="77"/>
      <c r="AKV4" s="77"/>
      <c r="AKW4" s="77"/>
      <c r="AKX4" s="77"/>
      <c r="AKY4" s="77"/>
      <c r="AKZ4" s="77"/>
      <c r="ALA4" s="77"/>
      <c r="ALB4" s="77"/>
      <c r="ALC4" s="77"/>
      <c r="ALD4" s="64" t="s">
        <v>19</v>
      </c>
      <c r="ALE4" s="64"/>
      <c r="ALF4" s="64"/>
      <c r="ALG4" s="64"/>
      <c r="ALH4" s="64"/>
      <c r="ALI4" s="64"/>
      <c r="ALJ4" s="64"/>
      <c r="ALK4" s="64"/>
      <c r="ALL4" s="64"/>
      <c r="ALM4" s="64"/>
      <c r="ALN4" s="64"/>
      <c r="ALO4" s="77" t="s">
        <v>20</v>
      </c>
      <c r="ALP4" s="77"/>
      <c r="ALQ4" s="77"/>
      <c r="ALR4" s="77"/>
      <c r="ALS4" s="77"/>
      <c r="ALT4" s="77"/>
      <c r="ALU4" s="77"/>
      <c r="ALV4" s="77"/>
      <c r="ALW4" s="77"/>
      <c r="ALX4" s="77"/>
      <c r="ALY4" s="77"/>
      <c r="ALZ4" s="64" t="s">
        <v>19</v>
      </c>
      <c r="AMA4" s="64"/>
      <c r="AMB4" s="64"/>
      <c r="AMC4" s="64"/>
      <c r="AMD4" s="64"/>
      <c r="AME4" s="64"/>
      <c r="AMF4" s="64"/>
      <c r="AMG4" s="64"/>
      <c r="AMH4" s="64"/>
      <c r="AMI4" s="64"/>
      <c r="AMJ4" s="64"/>
      <c r="AMK4" s="77" t="s">
        <v>20</v>
      </c>
      <c r="AML4" s="77"/>
      <c r="AMM4" s="77"/>
      <c r="AMN4" s="77"/>
      <c r="AMO4" s="77"/>
      <c r="AMP4" s="77"/>
      <c r="AMQ4" s="77"/>
      <c r="AMR4" s="77"/>
      <c r="AMS4" s="77"/>
      <c r="AMT4" s="77"/>
      <c r="AMU4" s="77"/>
      <c r="AMV4" s="64" t="s">
        <v>19</v>
      </c>
      <c r="AMW4" s="64"/>
      <c r="AMX4" s="64"/>
      <c r="AMY4" s="64"/>
      <c r="AMZ4" s="64"/>
      <c r="ANA4" s="64"/>
      <c r="ANB4" s="64"/>
      <c r="ANC4" s="64"/>
      <c r="AND4" s="64"/>
      <c r="ANE4" s="64"/>
      <c r="ANF4" s="64"/>
      <c r="ANG4" s="77" t="s">
        <v>20</v>
      </c>
      <c r="ANH4" s="77"/>
      <c r="ANI4" s="77"/>
      <c r="ANJ4" s="77"/>
      <c r="ANK4" s="77"/>
      <c r="ANL4" s="77"/>
      <c r="ANM4" s="77"/>
      <c r="ANN4" s="77"/>
      <c r="ANO4" s="77"/>
      <c r="ANP4" s="77"/>
      <c r="ANQ4" s="77"/>
      <c r="ANR4" s="64" t="s">
        <v>19</v>
      </c>
      <c r="ANS4" s="64"/>
      <c r="ANT4" s="64"/>
      <c r="ANU4" s="64"/>
      <c r="ANV4" s="64"/>
      <c r="ANW4" s="64"/>
      <c r="ANX4" s="64"/>
      <c r="ANY4" s="64"/>
      <c r="ANZ4" s="64"/>
      <c r="AOA4" s="64"/>
      <c r="AOB4" s="64"/>
      <c r="AOC4" s="77" t="s">
        <v>20</v>
      </c>
      <c r="AOD4" s="77"/>
      <c r="AOE4" s="77"/>
      <c r="AOF4" s="77"/>
      <c r="AOG4" s="77"/>
      <c r="AOH4" s="77"/>
      <c r="AOI4" s="77"/>
      <c r="AOJ4" s="77"/>
      <c r="AOK4" s="77"/>
      <c r="AOL4" s="77"/>
      <c r="AOM4" s="77"/>
      <c r="AON4" s="71" t="s">
        <v>19</v>
      </c>
      <c r="AOO4" s="72"/>
      <c r="AOP4" s="72"/>
      <c r="AOQ4" s="72"/>
      <c r="AOR4" s="72"/>
      <c r="AOS4" s="72"/>
      <c r="AOT4" s="72"/>
      <c r="AOU4" s="72"/>
      <c r="AOV4" s="72"/>
      <c r="AOW4" s="72"/>
      <c r="AOX4" s="73"/>
      <c r="AOY4" s="74" t="s">
        <v>20</v>
      </c>
      <c r="AOZ4" s="75"/>
      <c r="APA4" s="75"/>
      <c r="APB4" s="75"/>
      <c r="APC4" s="75"/>
      <c r="APD4" s="75"/>
      <c r="APE4" s="75"/>
      <c r="APF4" s="75"/>
      <c r="APG4" s="75"/>
      <c r="APH4" s="75"/>
      <c r="API4" s="76"/>
      <c r="APJ4" s="71" t="s">
        <v>19</v>
      </c>
      <c r="APK4" s="72"/>
      <c r="APL4" s="72"/>
      <c r="APM4" s="72"/>
      <c r="APN4" s="72"/>
      <c r="APO4" s="72"/>
      <c r="APP4" s="72"/>
      <c r="APQ4" s="72"/>
      <c r="APR4" s="72"/>
      <c r="APS4" s="72"/>
      <c r="APT4" s="73"/>
      <c r="APU4" s="74" t="s">
        <v>20</v>
      </c>
      <c r="APV4" s="75"/>
      <c r="APW4" s="75"/>
      <c r="APX4" s="75"/>
      <c r="APY4" s="75"/>
      <c r="APZ4" s="75"/>
      <c r="AQA4" s="75"/>
      <c r="AQB4" s="75"/>
      <c r="AQC4" s="75"/>
      <c r="AQD4" s="75"/>
      <c r="AQE4" s="76"/>
      <c r="AQF4" s="71" t="s">
        <v>19</v>
      </c>
      <c r="AQG4" s="72"/>
      <c r="AQH4" s="72"/>
      <c r="AQI4" s="72"/>
      <c r="AQJ4" s="72"/>
      <c r="AQK4" s="72"/>
      <c r="AQL4" s="72"/>
      <c r="AQM4" s="72"/>
      <c r="AQN4" s="72"/>
      <c r="AQO4" s="72"/>
      <c r="AQP4" s="73"/>
      <c r="AQQ4" s="74" t="s">
        <v>20</v>
      </c>
      <c r="AQR4" s="75"/>
      <c r="AQS4" s="75"/>
      <c r="AQT4" s="75"/>
      <c r="AQU4" s="75"/>
      <c r="AQV4" s="75"/>
      <c r="AQW4" s="75"/>
      <c r="AQX4" s="75"/>
      <c r="AQY4" s="75"/>
      <c r="AQZ4" s="75"/>
      <c r="ARA4" s="76"/>
      <c r="ARB4" s="71" t="s">
        <v>19</v>
      </c>
      <c r="ARC4" s="72"/>
      <c r="ARD4" s="72"/>
      <c r="ARE4" s="72"/>
      <c r="ARF4" s="72"/>
      <c r="ARG4" s="72"/>
      <c r="ARH4" s="72"/>
      <c r="ARI4" s="72"/>
      <c r="ARJ4" s="72"/>
      <c r="ARK4" s="72"/>
      <c r="ARL4" s="73"/>
      <c r="ARM4" s="74" t="s">
        <v>20</v>
      </c>
      <c r="ARN4" s="75"/>
      <c r="ARO4" s="75"/>
      <c r="ARP4" s="75"/>
      <c r="ARQ4" s="75"/>
      <c r="ARR4" s="75"/>
      <c r="ARS4" s="75"/>
      <c r="ART4" s="75"/>
      <c r="ARU4" s="75"/>
      <c r="ARV4" s="75"/>
      <c r="ARW4" s="76"/>
      <c r="ARX4" s="71" t="s">
        <v>19</v>
      </c>
      <c r="ARY4" s="72"/>
      <c r="ARZ4" s="72"/>
      <c r="ASA4" s="72"/>
      <c r="ASB4" s="72"/>
      <c r="ASC4" s="72"/>
      <c r="ASD4" s="72"/>
      <c r="ASE4" s="72"/>
      <c r="ASF4" s="72"/>
      <c r="ASG4" s="72"/>
      <c r="ASH4" s="73"/>
      <c r="ASI4" s="74" t="s">
        <v>20</v>
      </c>
      <c r="ASJ4" s="75"/>
      <c r="ASK4" s="75"/>
      <c r="ASL4" s="75"/>
      <c r="ASM4" s="75"/>
      <c r="ASN4" s="75"/>
      <c r="ASO4" s="75"/>
      <c r="ASP4" s="75"/>
      <c r="ASQ4" s="75"/>
      <c r="ASR4" s="75"/>
      <c r="ASS4" s="76"/>
      <c r="AST4" s="71" t="s">
        <v>19</v>
      </c>
      <c r="ASU4" s="72"/>
      <c r="ASV4" s="72"/>
      <c r="ASW4" s="72"/>
      <c r="ASX4" s="72"/>
      <c r="ASY4" s="72"/>
      <c r="ASZ4" s="72"/>
      <c r="ATA4" s="72"/>
      <c r="ATB4" s="72"/>
      <c r="ATC4" s="72"/>
      <c r="ATD4" s="73"/>
      <c r="ATE4" s="74" t="s">
        <v>20</v>
      </c>
      <c r="ATF4" s="75"/>
      <c r="ATG4" s="75"/>
      <c r="ATH4" s="75"/>
      <c r="ATI4" s="75"/>
      <c r="ATJ4" s="75"/>
      <c r="ATK4" s="75"/>
      <c r="ATL4" s="75"/>
      <c r="ATM4" s="75"/>
      <c r="ATN4" s="75"/>
      <c r="ATO4" s="76"/>
      <c r="ATP4" s="71" t="s">
        <v>19</v>
      </c>
      <c r="ATQ4" s="72"/>
      <c r="ATR4" s="72"/>
      <c r="ATS4" s="72"/>
      <c r="ATT4" s="72"/>
      <c r="ATU4" s="72"/>
      <c r="ATV4" s="72"/>
      <c r="ATW4" s="72"/>
      <c r="ATX4" s="72"/>
      <c r="ATY4" s="72"/>
      <c r="ATZ4" s="73"/>
      <c r="AUA4" s="74" t="s">
        <v>20</v>
      </c>
      <c r="AUB4" s="75"/>
      <c r="AUC4" s="75"/>
      <c r="AUD4" s="75"/>
      <c r="AUE4" s="75"/>
      <c r="AUF4" s="75"/>
      <c r="AUG4" s="75"/>
      <c r="AUH4" s="75"/>
      <c r="AUI4" s="75"/>
      <c r="AUJ4" s="75"/>
      <c r="AUK4" s="76"/>
      <c r="AUL4" s="71" t="s">
        <v>19</v>
      </c>
      <c r="AUM4" s="72"/>
      <c r="AUN4" s="72"/>
      <c r="AUO4" s="72"/>
      <c r="AUP4" s="72"/>
      <c r="AUQ4" s="72"/>
      <c r="AUR4" s="72"/>
      <c r="AUS4" s="72"/>
      <c r="AUT4" s="72"/>
      <c r="AUU4" s="72"/>
      <c r="AUV4" s="73"/>
      <c r="AUW4" s="74" t="s">
        <v>20</v>
      </c>
      <c r="AUX4" s="75"/>
      <c r="AUY4" s="75"/>
      <c r="AUZ4" s="75"/>
      <c r="AVA4" s="75"/>
      <c r="AVB4" s="75"/>
      <c r="AVC4" s="75"/>
      <c r="AVD4" s="75"/>
      <c r="AVE4" s="75"/>
      <c r="AVF4" s="75"/>
      <c r="AVG4" s="76"/>
      <c r="AVH4" s="71" t="s">
        <v>19</v>
      </c>
      <c r="AVI4" s="72"/>
      <c r="AVJ4" s="72"/>
      <c r="AVK4" s="72"/>
      <c r="AVL4" s="72"/>
      <c r="AVM4" s="72"/>
      <c r="AVN4" s="72"/>
      <c r="AVO4" s="72"/>
      <c r="AVP4" s="72"/>
      <c r="AVQ4" s="72"/>
      <c r="AVR4" s="73"/>
      <c r="AVS4" s="74" t="s">
        <v>20</v>
      </c>
      <c r="AVT4" s="75"/>
      <c r="AVU4" s="75"/>
      <c r="AVV4" s="75"/>
      <c r="AVW4" s="75"/>
      <c r="AVX4" s="75"/>
      <c r="AVY4" s="75"/>
      <c r="AVZ4" s="75"/>
      <c r="AWA4" s="75"/>
      <c r="AWB4" s="75"/>
      <c r="AWC4" s="76"/>
      <c r="AWD4" s="71" t="s">
        <v>19</v>
      </c>
      <c r="AWE4" s="72"/>
      <c r="AWF4" s="72"/>
      <c r="AWG4" s="72"/>
      <c r="AWH4" s="72"/>
      <c r="AWI4" s="72"/>
      <c r="AWJ4" s="72"/>
      <c r="AWK4" s="72"/>
      <c r="AWL4" s="72"/>
      <c r="AWM4" s="72"/>
      <c r="AWN4" s="73"/>
      <c r="AWO4" s="74" t="s">
        <v>20</v>
      </c>
      <c r="AWP4" s="75"/>
      <c r="AWQ4" s="75"/>
      <c r="AWR4" s="75"/>
      <c r="AWS4" s="75"/>
      <c r="AWT4" s="75"/>
      <c r="AWU4" s="75"/>
      <c r="AWV4" s="75"/>
      <c r="AWW4" s="75"/>
      <c r="AWX4" s="75"/>
      <c r="AWY4" s="76"/>
      <c r="AWZ4" s="71" t="s">
        <v>19</v>
      </c>
      <c r="AXA4" s="72"/>
      <c r="AXB4" s="72"/>
      <c r="AXC4" s="72"/>
      <c r="AXD4" s="72"/>
      <c r="AXE4" s="72"/>
      <c r="AXF4" s="72"/>
      <c r="AXG4" s="72"/>
      <c r="AXH4" s="72"/>
      <c r="AXI4" s="72"/>
      <c r="AXJ4" s="73"/>
      <c r="AXK4" s="74" t="s">
        <v>20</v>
      </c>
      <c r="AXL4" s="75"/>
      <c r="AXM4" s="75"/>
      <c r="AXN4" s="75"/>
      <c r="AXO4" s="75"/>
      <c r="AXP4" s="75"/>
      <c r="AXQ4" s="75"/>
      <c r="AXR4" s="75"/>
      <c r="AXS4" s="75"/>
      <c r="AXT4" s="75"/>
      <c r="AXU4" s="76"/>
      <c r="AXV4" s="71" t="s">
        <v>19</v>
      </c>
      <c r="AXW4" s="72"/>
      <c r="AXX4" s="72"/>
      <c r="AXY4" s="72"/>
      <c r="AXZ4" s="72"/>
      <c r="AYA4" s="72"/>
      <c r="AYB4" s="72"/>
      <c r="AYC4" s="72"/>
      <c r="AYD4" s="72"/>
      <c r="AYE4" s="72"/>
      <c r="AYF4" s="73"/>
      <c r="AYG4" s="74" t="s">
        <v>20</v>
      </c>
      <c r="AYH4" s="75"/>
      <c r="AYI4" s="75"/>
      <c r="AYJ4" s="75"/>
      <c r="AYK4" s="75"/>
      <c r="AYL4" s="75"/>
      <c r="AYM4" s="75"/>
      <c r="AYN4" s="75"/>
      <c r="AYO4" s="75"/>
      <c r="AYP4" s="75"/>
      <c r="AYQ4" s="76"/>
      <c r="AYR4" s="71" t="s">
        <v>19</v>
      </c>
      <c r="AYS4" s="72"/>
      <c r="AYT4" s="72"/>
      <c r="AYU4" s="72"/>
      <c r="AYV4" s="72"/>
      <c r="AYW4" s="72"/>
      <c r="AYX4" s="72"/>
      <c r="AYY4" s="72"/>
      <c r="AYZ4" s="72"/>
      <c r="AZA4" s="72"/>
      <c r="AZB4" s="73"/>
      <c r="AZC4" s="74" t="s">
        <v>20</v>
      </c>
      <c r="AZD4" s="75"/>
      <c r="AZE4" s="75"/>
      <c r="AZF4" s="75"/>
      <c r="AZG4" s="75"/>
      <c r="AZH4" s="75"/>
      <c r="AZI4" s="75"/>
      <c r="AZJ4" s="75"/>
      <c r="AZK4" s="75"/>
      <c r="AZL4" s="75"/>
      <c r="AZM4" s="76"/>
      <c r="AZN4" s="71" t="s">
        <v>19</v>
      </c>
      <c r="AZO4" s="72"/>
      <c r="AZP4" s="72"/>
      <c r="AZQ4" s="72"/>
      <c r="AZR4" s="72"/>
      <c r="AZS4" s="72"/>
      <c r="AZT4" s="72"/>
      <c r="AZU4" s="72"/>
      <c r="AZV4" s="72"/>
      <c r="AZW4" s="72"/>
      <c r="AZX4" s="73"/>
      <c r="AZY4" s="74" t="s">
        <v>20</v>
      </c>
      <c r="AZZ4" s="75"/>
      <c r="BAA4" s="75"/>
      <c r="BAB4" s="75"/>
      <c r="BAC4" s="75"/>
      <c r="BAD4" s="75"/>
      <c r="BAE4" s="75"/>
      <c r="BAF4" s="75"/>
      <c r="BAG4" s="75"/>
      <c r="BAH4" s="75"/>
      <c r="BAI4" s="76"/>
      <c r="BAJ4" s="71" t="s">
        <v>19</v>
      </c>
      <c r="BAK4" s="72"/>
      <c r="BAL4" s="72"/>
      <c r="BAM4" s="72"/>
      <c r="BAN4" s="72"/>
      <c r="BAO4" s="72"/>
      <c r="BAP4" s="72"/>
      <c r="BAQ4" s="72"/>
      <c r="BAR4" s="72"/>
      <c r="BAS4" s="72"/>
      <c r="BAT4" s="73"/>
      <c r="BAU4" s="74" t="s">
        <v>20</v>
      </c>
      <c r="BAV4" s="75"/>
      <c r="BAW4" s="75"/>
      <c r="BAX4" s="75"/>
      <c r="BAY4" s="75"/>
      <c r="BAZ4" s="75"/>
      <c r="BBA4" s="75"/>
      <c r="BBB4" s="75"/>
      <c r="BBC4" s="75"/>
      <c r="BBD4" s="75"/>
      <c r="BBE4" s="76"/>
      <c r="BBF4" s="71" t="s">
        <v>19</v>
      </c>
      <c r="BBG4" s="72"/>
      <c r="BBH4" s="72"/>
      <c r="BBI4" s="72"/>
      <c r="BBJ4" s="72"/>
      <c r="BBK4" s="72"/>
      <c r="BBL4" s="72"/>
      <c r="BBM4" s="72"/>
      <c r="BBN4" s="72"/>
      <c r="BBO4" s="72"/>
      <c r="BBP4" s="73"/>
      <c r="BBQ4" s="74" t="s">
        <v>20</v>
      </c>
      <c r="BBR4" s="75"/>
      <c r="BBS4" s="75"/>
      <c r="BBT4" s="75"/>
      <c r="BBU4" s="75"/>
      <c r="BBV4" s="75"/>
      <c r="BBW4" s="75"/>
      <c r="BBX4" s="75"/>
      <c r="BBY4" s="75"/>
      <c r="BBZ4" s="75"/>
      <c r="BCA4" s="76"/>
      <c r="BCB4" s="71" t="s">
        <v>19</v>
      </c>
      <c r="BCC4" s="72"/>
      <c r="BCD4" s="72"/>
      <c r="BCE4" s="72"/>
      <c r="BCF4" s="72"/>
      <c r="BCG4" s="72"/>
      <c r="BCH4" s="72"/>
      <c r="BCI4" s="72"/>
      <c r="BCJ4" s="72"/>
      <c r="BCK4" s="72"/>
      <c r="BCL4" s="73"/>
      <c r="BCM4" s="74" t="s">
        <v>20</v>
      </c>
      <c r="BCN4" s="75"/>
      <c r="BCO4" s="75"/>
      <c r="BCP4" s="75"/>
      <c r="BCQ4" s="75"/>
      <c r="BCR4" s="75"/>
      <c r="BCS4" s="75"/>
      <c r="BCT4" s="75"/>
      <c r="BCU4" s="75"/>
      <c r="BCV4" s="75"/>
      <c r="BCW4" s="76"/>
      <c r="BCX4" s="71" t="s">
        <v>19</v>
      </c>
      <c r="BCY4" s="72"/>
      <c r="BCZ4" s="72"/>
      <c r="BDA4" s="72"/>
      <c r="BDB4" s="72"/>
      <c r="BDC4" s="72"/>
      <c r="BDD4" s="72"/>
      <c r="BDE4" s="72"/>
      <c r="BDF4" s="72"/>
      <c r="BDG4" s="72"/>
      <c r="BDH4" s="73"/>
      <c r="BDI4" s="74" t="s">
        <v>20</v>
      </c>
      <c r="BDJ4" s="75"/>
      <c r="BDK4" s="75"/>
      <c r="BDL4" s="75"/>
      <c r="BDM4" s="75"/>
      <c r="BDN4" s="75"/>
      <c r="BDO4" s="75"/>
      <c r="BDP4" s="75"/>
      <c r="BDQ4" s="75"/>
      <c r="BDR4" s="75"/>
      <c r="BDS4" s="76"/>
      <c r="BDT4" s="71" t="s">
        <v>19</v>
      </c>
      <c r="BDU4" s="72"/>
      <c r="BDV4" s="72"/>
      <c r="BDW4" s="72"/>
      <c r="BDX4" s="72"/>
      <c r="BDY4" s="72"/>
      <c r="BDZ4" s="72"/>
      <c r="BEA4" s="72"/>
      <c r="BEB4" s="72"/>
      <c r="BEC4" s="72"/>
      <c r="BED4" s="73"/>
      <c r="BEE4" s="74" t="s">
        <v>20</v>
      </c>
      <c r="BEF4" s="75"/>
      <c r="BEG4" s="75"/>
      <c r="BEH4" s="75"/>
      <c r="BEI4" s="75"/>
      <c r="BEJ4" s="75"/>
      <c r="BEK4" s="75"/>
      <c r="BEL4" s="75"/>
      <c r="BEM4" s="75"/>
      <c r="BEN4" s="75"/>
      <c r="BEO4" s="76"/>
      <c r="BEP4" s="71" t="s">
        <v>19</v>
      </c>
      <c r="BEQ4" s="72"/>
      <c r="BER4" s="72"/>
      <c r="BES4" s="72"/>
      <c r="BET4" s="72"/>
      <c r="BEU4" s="72"/>
      <c r="BEV4" s="72"/>
      <c r="BEW4" s="72"/>
      <c r="BEX4" s="72"/>
      <c r="BEY4" s="72"/>
      <c r="BEZ4" s="73"/>
      <c r="BFA4" s="74" t="s">
        <v>20</v>
      </c>
      <c r="BFB4" s="75"/>
      <c r="BFC4" s="75"/>
      <c r="BFD4" s="75"/>
      <c r="BFE4" s="75"/>
      <c r="BFF4" s="75"/>
      <c r="BFG4" s="75"/>
      <c r="BFH4" s="75"/>
      <c r="BFI4" s="75"/>
      <c r="BFJ4" s="75"/>
      <c r="BFK4" s="76"/>
      <c r="BFL4" s="71" t="s">
        <v>19</v>
      </c>
      <c r="BFM4" s="72"/>
      <c r="BFN4" s="72"/>
      <c r="BFO4" s="72"/>
      <c r="BFP4" s="72"/>
      <c r="BFQ4" s="72"/>
      <c r="BFR4" s="72"/>
      <c r="BFS4" s="72"/>
      <c r="BFT4" s="72"/>
      <c r="BFU4" s="72"/>
      <c r="BFV4" s="73"/>
      <c r="BFW4" s="74" t="s">
        <v>20</v>
      </c>
      <c r="BFX4" s="75"/>
      <c r="BFY4" s="75"/>
      <c r="BFZ4" s="75"/>
      <c r="BGA4" s="75"/>
      <c r="BGB4" s="75"/>
      <c r="BGC4" s="75"/>
      <c r="BGD4" s="75"/>
      <c r="BGE4" s="75"/>
      <c r="BGF4" s="75"/>
      <c r="BGG4" s="76"/>
      <c r="BGH4" s="71" t="s">
        <v>19</v>
      </c>
      <c r="BGI4" s="72"/>
      <c r="BGJ4" s="72"/>
      <c r="BGK4" s="72"/>
      <c r="BGL4" s="72"/>
      <c r="BGM4" s="72"/>
      <c r="BGN4" s="72"/>
      <c r="BGO4" s="72"/>
      <c r="BGP4" s="72"/>
      <c r="BGQ4" s="72"/>
      <c r="BGR4" s="73"/>
      <c r="BGS4" s="74" t="s">
        <v>20</v>
      </c>
      <c r="BGT4" s="75"/>
      <c r="BGU4" s="75"/>
      <c r="BGV4" s="75"/>
      <c r="BGW4" s="75"/>
      <c r="BGX4" s="75"/>
      <c r="BGY4" s="75"/>
      <c r="BGZ4" s="75"/>
      <c r="BHA4" s="75"/>
      <c r="BHB4" s="75"/>
      <c r="BHC4" s="76"/>
      <c r="BHD4" s="71" t="s">
        <v>19</v>
      </c>
      <c r="BHE4" s="72"/>
      <c r="BHF4" s="72"/>
      <c r="BHG4" s="72"/>
      <c r="BHH4" s="72"/>
      <c r="BHI4" s="72"/>
      <c r="BHJ4" s="72"/>
      <c r="BHK4" s="72"/>
      <c r="BHL4" s="72"/>
      <c r="BHM4" s="72"/>
      <c r="BHN4" s="73"/>
      <c r="BHO4" s="74" t="s">
        <v>20</v>
      </c>
      <c r="BHP4" s="75"/>
      <c r="BHQ4" s="75"/>
      <c r="BHR4" s="75"/>
      <c r="BHS4" s="75"/>
      <c r="BHT4" s="75"/>
      <c r="BHU4" s="75"/>
      <c r="BHV4" s="75"/>
      <c r="BHW4" s="75"/>
      <c r="BHX4" s="75"/>
      <c r="BHY4" s="76"/>
      <c r="BHZ4" s="71" t="s">
        <v>19</v>
      </c>
      <c r="BIA4" s="72"/>
      <c r="BIB4" s="72"/>
      <c r="BIC4" s="72"/>
      <c r="BID4" s="72"/>
      <c r="BIE4" s="72"/>
      <c r="BIF4" s="72"/>
      <c r="BIG4" s="72"/>
      <c r="BIH4" s="72"/>
      <c r="BII4" s="72"/>
      <c r="BIJ4" s="73"/>
      <c r="BIK4" s="74" t="s">
        <v>20</v>
      </c>
      <c r="BIL4" s="75"/>
      <c r="BIM4" s="75"/>
      <c r="BIN4" s="75"/>
      <c r="BIO4" s="75"/>
      <c r="BIP4" s="75"/>
      <c r="BIQ4" s="75"/>
      <c r="BIR4" s="75"/>
      <c r="BIS4" s="75"/>
      <c r="BIT4" s="75"/>
      <c r="BIU4" s="76"/>
      <c r="BIV4" s="71" t="s">
        <v>19</v>
      </c>
      <c r="BIW4" s="72"/>
      <c r="BIX4" s="72"/>
      <c r="BIY4" s="72"/>
      <c r="BIZ4" s="72"/>
      <c r="BJA4" s="72"/>
      <c r="BJB4" s="72"/>
      <c r="BJC4" s="72"/>
      <c r="BJD4" s="72"/>
      <c r="BJE4" s="72"/>
      <c r="BJF4" s="73"/>
      <c r="BJG4" s="74" t="s">
        <v>20</v>
      </c>
      <c r="BJH4" s="75"/>
      <c r="BJI4" s="75"/>
      <c r="BJJ4" s="75"/>
      <c r="BJK4" s="75"/>
      <c r="BJL4" s="75"/>
      <c r="BJM4" s="75"/>
      <c r="BJN4" s="75"/>
      <c r="BJO4" s="75"/>
      <c r="BJP4" s="75"/>
      <c r="BJQ4" s="76"/>
      <c r="BJR4" s="71" t="s">
        <v>19</v>
      </c>
      <c r="BJS4" s="72"/>
      <c r="BJT4" s="72"/>
      <c r="BJU4" s="72"/>
      <c r="BJV4" s="72"/>
      <c r="BJW4" s="72"/>
      <c r="BJX4" s="72"/>
      <c r="BJY4" s="72"/>
      <c r="BJZ4" s="72"/>
      <c r="BKA4" s="72"/>
      <c r="BKB4" s="73"/>
      <c r="BKC4" s="74" t="s">
        <v>20</v>
      </c>
      <c r="BKD4" s="75"/>
      <c r="BKE4" s="75"/>
      <c r="BKF4" s="75"/>
      <c r="BKG4" s="75"/>
      <c r="BKH4" s="75"/>
      <c r="BKI4" s="75"/>
      <c r="BKJ4" s="75"/>
      <c r="BKK4" s="75"/>
      <c r="BKL4" s="75"/>
      <c r="BKM4" s="76"/>
      <c r="BKN4" s="71" t="s">
        <v>19</v>
      </c>
      <c r="BKO4" s="72"/>
      <c r="BKP4" s="72"/>
      <c r="BKQ4" s="72"/>
      <c r="BKR4" s="72"/>
      <c r="BKS4" s="72"/>
      <c r="BKT4" s="72"/>
      <c r="BKU4" s="72"/>
      <c r="BKV4" s="72"/>
      <c r="BKW4" s="72"/>
      <c r="BKX4" s="73"/>
      <c r="BKY4" s="74" t="s">
        <v>20</v>
      </c>
      <c r="BKZ4" s="75"/>
      <c r="BLA4" s="75"/>
      <c r="BLB4" s="75"/>
      <c r="BLC4" s="75"/>
      <c r="BLD4" s="75"/>
      <c r="BLE4" s="75"/>
      <c r="BLF4" s="75"/>
      <c r="BLG4" s="75"/>
      <c r="BLH4" s="75"/>
      <c r="BLI4" s="76"/>
      <c r="BLJ4" s="71" t="s">
        <v>19</v>
      </c>
      <c r="BLK4" s="72"/>
      <c r="BLL4" s="72"/>
      <c r="BLM4" s="72"/>
      <c r="BLN4" s="72"/>
      <c r="BLO4" s="72"/>
      <c r="BLP4" s="72"/>
      <c r="BLQ4" s="72"/>
      <c r="BLR4" s="72"/>
      <c r="BLS4" s="72"/>
      <c r="BLT4" s="73"/>
      <c r="BLU4" s="74" t="s">
        <v>20</v>
      </c>
      <c r="BLV4" s="75"/>
      <c r="BLW4" s="75"/>
      <c r="BLX4" s="75"/>
      <c r="BLY4" s="75"/>
      <c r="BLZ4" s="75"/>
      <c r="BMA4" s="75"/>
      <c r="BMB4" s="75"/>
      <c r="BMC4" s="75"/>
      <c r="BMD4" s="75"/>
      <c r="BME4" s="76"/>
      <c r="BMF4" s="71" t="s">
        <v>19</v>
      </c>
      <c r="BMG4" s="72"/>
      <c r="BMH4" s="72"/>
      <c r="BMI4" s="72"/>
      <c r="BMJ4" s="72"/>
      <c r="BMK4" s="72"/>
      <c r="BML4" s="72"/>
      <c r="BMM4" s="72"/>
      <c r="BMN4" s="72"/>
      <c r="BMO4" s="72"/>
      <c r="BMP4" s="73"/>
      <c r="BMQ4" s="74" t="s">
        <v>20</v>
      </c>
      <c r="BMR4" s="75"/>
      <c r="BMS4" s="75"/>
      <c r="BMT4" s="75"/>
      <c r="BMU4" s="75"/>
      <c r="BMV4" s="75"/>
      <c r="BMW4" s="75"/>
      <c r="BMX4" s="75"/>
      <c r="BMY4" s="75"/>
      <c r="BMZ4" s="75"/>
      <c r="BNA4" s="76"/>
      <c r="BNB4" s="71" t="s">
        <v>19</v>
      </c>
      <c r="BNC4" s="72"/>
      <c r="BND4" s="72"/>
      <c r="BNE4" s="72"/>
      <c r="BNF4" s="72"/>
      <c r="BNG4" s="72"/>
      <c r="BNH4" s="72"/>
      <c r="BNI4" s="72"/>
      <c r="BNJ4" s="72"/>
      <c r="BNK4" s="72"/>
      <c r="BNL4" s="73"/>
      <c r="BNM4" s="74" t="s">
        <v>20</v>
      </c>
      <c r="BNN4" s="75"/>
      <c r="BNO4" s="75"/>
      <c r="BNP4" s="75"/>
      <c r="BNQ4" s="75"/>
      <c r="BNR4" s="75"/>
      <c r="BNS4" s="75"/>
      <c r="BNT4" s="75"/>
      <c r="BNU4" s="75"/>
      <c r="BNV4" s="75"/>
      <c r="BNW4" s="76"/>
      <c r="BNX4" s="71" t="s">
        <v>19</v>
      </c>
      <c r="BNY4" s="72"/>
      <c r="BNZ4" s="72"/>
      <c r="BOA4" s="72"/>
      <c r="BOB4" s="72"/>
      <c r="BOC4" s="72"/>
      <c r="BOD4" s="72"/>
      <c r="BOE4" s="72"/>
      <c r="BOF4" s="72"/>
      <c r="BOG4" s="72"/>
      <c r="BOH4" s="73"/>
      <c r="BOI4" s="74" t="s">
        <v>20</v>
      </c>
      <c r="BOJ4" s="75"/>
      <c r="BOK4" s="75"/>
      <c r="BOL4" s="75"/>
      <c r="BOM4" s="75"/>
      <c r="BON4" s="75"/>
      <c r="BOO4" s="75"/>
      <c r="BOP4" s="75"/>
      <c r="BOQ4" s="75"/>
      <c r="BOR4" s="75"/>
      <c r="BOS4" s="76"/>
      <c r="BOT4" s="71" t="s">
        <v>19</v>
      </c>
      <c r="BOU4" s="72"/>
      <c r="BOV4" s="72"/>
      <c r="BOW4" s="72"/>
      <c r="BOX4" s="72"/>
      <c r="BOY4" s="72"/>
      <c r="BOZ4" s="72"/>
      <c r="BPA4" s="72"/>
      <c r="BPB4" s="72"/>
      <c r="BPC4" s="72"/>
      <c r="BPD4" s="73"/>
      <c r="BPE4" s="74" t="s">
        <v>20</v>
      </c>
      <c r="BPF4" s="75"/>
      <c r="BPG4" s="75"/>
      <c r="BPH4" s="75"/>
      <c r="BPI4" s="75"/>
      <c r="BPJ4" s="75"/>
      <c r="BPK4" s="75"/>
      <c r="BPL4" s="75"/>
      <c r="BPM4" s="75"/>
      <c r="BPN4" s="75"/>
      <c r="BPO4" s="76"/>
      <c r="BPP4" s="71" t="s">
        <v>19</v>
      </c>
      <c r="BPQ4" s="72"/>
      <c r="BPR4" s="72"/>
      <c r="BPS4" s="72"/>
      <c r="BPT4" s="72"/>
      <c r="BPU4" s="72"/>
      <c r="BPV4" s="72"/>
      <c r="BPW4" s="72"/>
      <c r="BPX4" s="72"/>
      <c r="BPY4" s="72"/>
      <c r="BPZ4" s="81"/>
      <c r="BQA4" s="78" t="s">
        <v>20</v>
      </c>
      <c r="BQB4" s="75"/>
      <c r="BQC4" s="75"/>
      <c r="BQD4" s="75"/>
      <c r="BQE4" s="75"/>
      <c r="BQF4" s="75"/>
      <c r="BQG4" s="75"/>
      <c r="BQH4" s="75"/>
      <c r="BQI4" s="75"/>
      <c r="BQJ4" s="75"/>
      <c r="BQK4" s="79"/>
      <c r="BQL4" s="80" t="s">
        <v>19</v>
      </c>
      <c r="BQM4" s="72"/>
      <c r="BQN4" s="72"/>
      <c r="BQO4" s="72"/>
      <c r="BQP4" s="72"/>
      <c r="BQQ4" s="72"/>
      <c r="BQR4" s="72"/>
      <c r="BQS4" s="72"/>
      <c r="BQT4" s="72"/>
      <c r="BQU4" s="72"/>
      <c r="BQV4" s="81"/>
      <c r="BQW4" s="78" t="s">
        <v>20</v>
      </c>
      <c r="BQX4" s="75"/>
      <c r="BQY4" s="75"/>
      <c r="BQZ4" s="75"/>
      <c r="BRA4" s="75"/>
      <c r="BRB4" s="75"/>
      <c r="BRC4" s="75"/>
      <c r="BRD4" s="75"/>
      <c r="BRE4" s="75"/>
      <c r="BRF4" s="75"/>
      <c r="BRG4" s="79"/>
      <c r="BRH4" s="80" t="s">
        <v>19</v>
      </c>
      <c r="BRI4" s="72"/>
      <c r="BRJ4" s="72"/>
      <c r="BRK4" s="72"/>
      <c r="BRL4" s="72"/>
      <c r="BRM4" s="72"/>
      <c r="BRN4" s="72"/>
      <c r="BRO4" s="72"/>
      <c r="BRP4" s="72"/>
      <c r="BRQ4" s="72"/>
      <c r="BRR4" s="81"/>
      <c r="BRS4" s="78" t="s">
        <v>20</v>
      </c>
      <c r="BRT4" s="75"/>
      <c r="BRU4" s="75"/>
      <c r="BRV4" s="75"/>
      <c r="BRW4" s="75"/>
      <c r="BRX4" s="75"/>
      <c r="BRY4" s="75"/>
      <c r="BRZ4" s="75"/>
      <c r="BSA4" s="75"/>
      <c r="BSB4" s="75"/>
      <c r="BSC4" s="79"/>
      <c r="BSD4" s="80" t="s">
        <v>19</v>
      </c>
      <c r="BSE4" s="72"/>
      <c r="BSF4" s="72"/>
      <c r="BSG4" s="72"/>
      <c r="BSH4" s="72"/>
      <c r="BSI4" s="72"/>
      <c r="BSJ4" s="72"/>
      <c r="BSK4" s="72"/>
      <c r="BSL4" s="72"/>
      <c r="BSM4" s="72"/>
      <c r="BSN4" s="81"/>
      <c r="BSO4" s="78" t="s">
        <v>20</v>
      </c>
      <c r="BSP4" s="75"/>
      <c r="BSQ4" s="75"/>
      <c r="BSR4" s="75"/>
      <c r="BSS4" s="75"/>
      <c r="BST4" s="75"/>
      <c r="BSU4" s="75"/>
      <c r="BSV4" s="75"/>
      <c r="BSW4" s="75"/>
      <c r="BSX4" s="75"/>
      <c r="BSY4" s="79"/>
      <c r="BSZ4" s="80" t="s">
        <v>19</v>
      </c>
      <c r="BTA4" s="72"/>
      <c r="BTB4" s="72"/>
      <c r="BTC4" s="72"/>
      <c r="BTD4" s="72"/>
      <c r="BTE4" s="72"/>
      <c r="BTF4" s="72"/>
      <c r="BTG4" s="72"/>
      <c r="BTH4" s="72"/>
      <c r="BTI4" s="72"/>
      <c r="BTJ4" s="81"/>
      <c r="BTK4" s="78" t="s">
        <v>20</v>
      </c>
      <c r="BTL4" s="75"/>
      <c r="BTM4" s="75"/>
      <c r="BTN4" s="75"/>
      <c r="BTO4" s="75"/>
      <c r="BTP4" s="75"/>
      <c r="BTQ4" s="75"/>
      <c r="BTR4" s="75"/>
      <c r="BTS4" s="75"/>
      <c r="BTT4" s="75"/>
      <c r="BTU4" s="79"/>
      <c r="BTV4" s="80" t="s">
        <v>19</v>
      </c>
      <c r="BTW4" s="72"/>
      <c r="BTX4" s="72"/>
      <c r="BTY4" s="72"/>
      <c r="BTZ4" s="72"/>
      <c r="BUA4" s="72"/>
      <c r="BUB4" s="72"/>
      <c r="BUC4" s="72"/>
      <c r="BUD4" s="72"/>
      <c r="BUE4" s="72"/>
      <c r="BUF4" s="81"/>
      <c r="BUG4" s="78" t="s">
        <v>20</v>
      </c>
      <c r="BUH4" s="75"/>
      <c r="BUI4" s="75"/>
      <c r="BUJ4" s="75"/>
      <c r="BUK4" s="75"/>
      <c r="BUL4" s="75"/>
      <c r="BUM4" s="75"/>
      <c r="BUN4" s="75"/>
      <c r="BUO4" s="75"/>
      <c r="BUP4" s="75"/>
      <c r="BUQ4" s="79"/>
      <c r="BUR4" s="80" t="s">
        <v>19</v>
      </c>
      <c r="BUS4" s="72"/>
      <c r="BUT4" s="72"/>
      <c r="BUU4" s="72"/>
      <c r="BUV4" s="72"/>
      <c r="BUW4" s="72"/>
      <c r="BUX4" s="72"/>
      <c r="BUY4" s="72"/>
      <c r="BUZ4" s="72"/>
      <c r="BVA4" s="72"/>
      <c r="BVB4" s="81"/>
      <c r="BVC4" s="78" t="s">
        <v>20</v>
      </c>
      <c r="BVD4" s="75"/>
      <c r="BVE4" s="75"/>
      <c r="BVF4" s="75"/>
      <c r="BVG4" s="75"/>
      <c r="BVH4" s="75"/>
      <c r="BVI4" s="75"/>
      <c r="BVJ4" s="75"/>
      <c r="BVK4" s="75"/>
      <c r="BVL4" s="75"/>
      <c r="BVM4" s="79"/>
      <c r="BVN4" s="80" t="s">
        <v>19</v>
      </c>
      <c r="BVO4" s="72"/>
      <c r="BVP4" s="72"/>
      <c r="BVQ4" s="72"/>
      <c r="BVR4" s="72"/>
      <c r="BVS4" s="72"/>
      <c r="BVT4" s="72"/>
      <c r="BVU4" s="72"/>
      <c r="BVV4" s="72"/>
      <c r="BVW4" s="72"/>
      <c r="BVX4" s="81"/>
      <c r="BVY4" s="78" t="s">
        <v>20</v>
      </c>
      <c r="BVZ4" s="75"/>
      <c r="BWA4" s="75"/>
      <c r="BWB4" s="75"/>
      <c r="BWC4" s="75"/>
      <c r="BWD4" s="75"/>
      <c r="BWE4" s="75"/>
      <c r="BWF4" s="75"/>
      <c r="BWG4" s="75"/>
      <c r="BWH4" s="75"/>
      <c r="BWI4" s="79"/>
      <c r="BWJ4" s="80" t="s">
        <v>19</v>
      </c>
      <c r="BWK4" s="72"/>
      <c r="BWL4" s="72"/>
      <c r="BWM4" s="72"/>
      <c r="BWN4" s="72"/>
      <c r="BWO4" s="72"/>
      <c r="BWP4" s="72"/>
      <c r="BWQ4" s="72"/>
      <c r="BWR4" s="72"/>
      <c r="BWS4" s="72"/>
      <c r="BWT4" s="81"/>
      <c r="BWU4" s="78" t="s">
        <v>20</v>
      </c>
      <c r="BWV4" s="75"/>
      <c r="BWW4" s="75"/>
      <c r="BWX4" s="75"/>
      <c r="BWY4" s="75"/>
      <c r="BWZ4" s="75"/>
      <c r="BXA4" s="75"/>
      <c r="BXB4" s="75"/>
      <c r="BXC4" s="75"/>
      <c r="BXD4" s="75"/>
      <c r="BXE4" s="79"/>
      <c r="BXF4" s="80" t="s">
        <v>19</v>
      </c>
      <c r="BXG4" s="72"/>
      <c r="BXH4" s="72"/>
      <c r="BXI4" s="72"/>
      <c r="BXJ4" s="72"/>
      <c r="BXK4" s="72"/>
      <c r="BXL4" s="72"/>
      <c r="BXM4" s="72"/>
      <c r="BXN4" s="72"/>
      <c r="BXO4" s="72"/>
      <c r="BXP4" s="81"/>
      <c r="BXQ4" s="78" t="s">
        <v>20</v>
      </c>
      <c r="BXR4" s="75"/>
      <c r="BXS4" s="75"/>
      <c r="BXT4" s="75"/>
      <c r="BXU4" s="75"/>
      <c r="BXV4" s="75"/>
      <c r="BXW4" s="75"/>
      <c r="BXX4" s="75"/>
      <c r="BXY4" s="75"/>
      <c r="BXZ4" s="75"/>
      <c r="BYA4" s="79"/>
      <c r="BYB4" s="80" t="s">
        <v>19</v>
      </c>
      <c r="BYC4" s="72"/>
      <c r="BYD4" s="72"/>
      <c r="BYE4" s="72"/>
      <c r="BYF4" s="72"/>
      <c r="BYG4" s="72"/>
      <c r="BYH4" s="72"/>
      <c r="BYI4" s="72"/>
      <c r="BYJ4" s="72"/>
      <c r="BYK4" s="72"/>
      <c r="BYL4" s="81"/>
      <c r="BYM4" s="78" t="s">
        <v>20</v>
      </c>
      <c r="BYN4" s="75"/>
      <c r="BYO4" s="75"/>
      <c r="BYP4" s="75"/>
      <c r="BYQ4" s="75"/>
      <c r="BYR4" s="75"/>
      <c r="BYS4" s="75"/>
      <c r="BYT4" s="75"/>
      <c r="BYU4" s="75"/>
      <c r="BYV4" s="75"/>
      <c r="BYW4" s="79"/>
      <c r="BYX4" s="80" t="s">
        <v>19</v>
      </c>
      <c r="BYY4" s="72"/>
      <c r="BYZ4" s="72"/>
      <c r="BZA4" s="72"/>
      <c r="BZB4" s="72"/>
      <c r="BZC4" s="72"/>
      <c r="BZD4" s="72"/>
      <c r="BZE4" s="72"/>
      <c r="BZF4" s="72"/>
      <c r="BZG4" s="72"/>
      <c r="BZH4" s="81"/>
      <c r="BZI4" s="78" t="s">
        <v>20</v>
      </c>
      <c r="BZJ4" s="75"/>
      <c r="BZK4" s="75"/>
      <c r="BZL4" s="75"/>
      <c r="BZM4" s="75"/>
      <c r="BZN4" s="75"/>
      <c r="BZO4" s="75"/>
      <c r="BZP4" s="75"/>
      <c r="BZQ4" s="75"/>
      <c r="BZR4" s="75"/>
      <c r="BZS4" s="79"/>
      <c r="BZT4" s="80" t="s">
        <v>19</v>
      </c>
      <c r="BZU4" s="72"/>
      <c r="BZV4" s="72"/>
      <c r="BZW4" s="72"/>
      <c r="BZX4" s="72"/>
      <c r="BZY4" s="72"/>
      <c r="BZZ4" s="72"/>
      <c r="CAA4" s="72"/>
      <c r="CAB4" s="72"/>
      <c r="CAC4" s="72"/>
      <c r="CAD4" s="81"/>
      <c r="CAE4" s="78" t="s">
        <v>20</v>
      </c>
      <c r="CAF4" s="75"/>
      <c r="CAG4" s="75"/>
      <c r="CAH4" s="75"/>
      <c r="CAI4" s="75"/>
      <c r="CAJ4" s="75"/>
      <c r="CAK4" s="75"/>
      <c r="CAL4" s="75"/>
      <c r="CAM4" s="75"/>
      <c r="CAN4" s="75"/>
      <c r="CAO4" s="79"/>
      <c r="CAP4" s="80" t="s">
        <v>19</v>
      </c>
      <c r="CAQ4" s="72"/>
      <c r="CAR4" s="72"/>
      <c r="CAS4" s="72"/>
      <c r="CAT4" s="72"/>
      <c r="CAU4" s="72"/>
      <c r="CAV4" s="72"/>
      <c r="CAW4" s="72"/>
      <c r="CAX4" s="72"/>
      <c r="CAY4" s="72"/>
      <c r="CAZ4" s="81"/>
      <c r="CBA4" s="78" t="s">
        <v>20</v>
      </c>
      <c r="CBB4" s="75"/>
      <c r="CBC4" s="75"/>
      <c r="CBD4" s="75"/>
      <c r="CBE4" s="75"/>
      <c r="CBF4" s="75"/>
      <c r="CBG4" s="75"/>
      <c r="CBH4" s="75"/>
      <c r="CBI4" s="75"/>
      <c r="CBJ4" s="75"/>
      <c r="CBK4" s="79"/>
      <c r="CBL4" s="80" t="s">
        <v>19</v>
      </c>
      <c r="CBM4" s="72"/>
      <c r="CBN4" s="72"/>
      <c r="CBO4" s="72"/>
      <c r="CBP4" s="72"/>
      <c r="CBQ4" s="72"/>
      <c r="CBR4" s="72"/>
      <c r="CBS4" s="72"/>
      <c r="CBT4" s="72"/>
      <c r="CBU4" s="72"/>
      <c r="CBV4" s="81"/>
      <c r="CBW4" s="78" t="s">
        <v>20</v>
      </c>
      <c r="CBX4" s="75"/>
      <c r="CBY4" s="75"/>
      <c r="CBZ4" s="75"/>
      <c r="CCA4" s="75"/>
      <c r="CCB4" s="75"/>
      <c r="CCC4" s="75"/>
      <c r="CCD4" s="75"/>
      <c r="CCE4" s="75"/>
      <c r="CCF4" s="75"/>
      <c r="CCG4" s="79"/>
      <c r="CCH4" s="80" t="s">
        <v>19</v>
      </c>
      <c r="CCI4" s="72"/>
      <c r="CCJ4" s="72"/>
      <c r="CCK4" s="72"/>
      <c r="CCL4" s="72"/>
      <c r="CCM4" s="72"/>
      <c r="CCN4" s="72"/>
      <c r="CCO4" s="72"/>
      <c r="CCP4" s="72"/>
      <c r="CCQ4" s="72"/>
      <c r="CCR4" s="73"/>
      <c r="CCS4" s="74" t="s">
        <v>20</v>
      </c>
      <c r="CCT4" s="75"/>
      <c r="CCU4" s="75"/>
      <c r="CCV4" s="75"/>
      <c r="CCW4" s="75"/>
      <c r="CCX4" s="75"/>
      <c r="CCY4" s="75"/>
      <c r="CCZ4" s="75"/>
      <c r="CDA4" s="75"/>
      <c r="CDB4" s="75"/>
      <c r="CDC4" s="76"/>
      <c r="CDD4" s="71" t="s">
        <v>19</v>
      </c>
      <c r="CDE4" s="72"/>
      <c r="CDF4" s="72"/>
      <c r="CDG4" s="72"/>
      <c r="CDH4" s="72"/>
      <c r="CDI4" s="72"/>
      <c r="CDJ4" s="72"/>
      <c r="CDK4" s="72"/>
      <c r="CDL4" s="72"/>
      <c r="CDM4" s="72"/>
      <c r="CDN4" s="73"/>
      <c r="CDO4" s="74" t="s">
        <v>20</v>
      </c>
      <c r="CDP4" s="75"/>
      <c r="CDQ4" s="75"/>
      <c r="CDR4" s="75"/>
      <c r="CDS4" s="75"/>
      <c r="CDT4" s="75"/>
      <c r="CDU4" s="75"/>
      <c r="CDV4" s="75"/>
      <c r="CDW4" s="75"/>
      <c r="CDX4" s="75"/>
      <c r="CDY4" s="76"/>
      <c r="CDZ4" s="71" t="s">
        <v>19</v>
      </c>
      <c r="CEA4" s="72"/>
      <c r="CEB4" s="72"/>
      <c r="CEC4" s="72"/>
      <c r="CED4" s="72"/>
      <c r="CEE4" s="72"/>
      <c r="CEF4" s="72"/>
      <c r="CEG4" s="72"/>
      <c r="CEH4" s="72"/>
      <c r="CEI4" s="72"/>
      <c r="CEJ4" s="73"/>
      <c r="CEK4" s="74" t="s">
        <v>20</v>
      </c>
      <c r="CEL4" s="75"/>
      <c r="CEM4" s="75"/>
      <c r="CEN4" s="75"/>
      <c r="CEO4" s="75"/>
      <c r="CEP4" s="75"/>
      <c r="CEQ4" s="75"/>
      <c r="CER4" s="75"/>
      <c r="CES4" s="75"/>
      <c r="CET4" s="75"/>
      <c r="CEU4" s="76"/>
      <c r="CEV4" s="71" t="s">
        <v>19</v>
      </c>
      <c r="CEW4" s="72"/>
      <c r="CEX4" s="72"/>
      <c r="CEY4" s="72"/>
      <c r="CEZ4" s="72"/>
      <c r="CFA4" s="72"/>
      <c r="CFB4" s="72"/>
      <c r="CFC4" s="72"/>
      <c r="CFD4" s="72"/>
      <c r="CFE4" s="72"/>
      <c r="CFF4" s="73"/>
      <c r="CFG4" s="74" t="s">
        <v>20</v>
      </c>
      <c r="CFH4" s="75"/>
      <c r="CFI4" s="75"/>
      <c r="CFJ4" s="75"/>
      <c r="CFK4" s="75"/>
      <c r="CFL4" s="75"/>
      <c r="CFM4" s="75"/>
      <c r="CFN4" s="75"/>
      <c r="CFO4" s="75"/>
      <c r="CFP4" s="75"/>
      <c r="CFQ4" s="76"/>
      <c r="CFR4" s="71" t="s">
        <v>19</v>
      </c>
      <c r="CFS4" s="72"/>
      <c r="CFT4" s="72"/>
      <c r="CFU4" s="72"/>
      <c r="CFV4" s="72"/>
      <c r="CFW4" s="72"/>
      <c r="CFX4" s="72"/>
      <c r="CFY4" s="72"/>
      <c r="CFZ4" s="72"/>
      <c r="CGA4" s="72"/>
      <c r="CGB4" s="73"/>
      <c r="CGC4" s="74" t="s">
        <v>20</v>
      </c>
      <c r="CGD4" s="75"/>
      <c r="CGE4" s="75"/>
      <c r="CGF4" s="75"/>
      <c r="CGG4" s="75"/>
      <c r="CGH4" s="75"/>
      <c r="CGI4" s="75"/>
      <c r="CGJ4" s="75"/>
      <c r="CGK4" s="75"/>
      <c r="CGL4" s="75"/>
      <c r="CGM4" s="76"/>
      <c r="CGN4" s="71" t="s">
        <v>19</v>
      </c>
      <c r="CGO4" s="72"/>
      <c r="CGP4" s="72"/>
      <c r="CGQ4" s="72"/>
      <c r="CGR4" s="72"/>
      <c r="CGS4" s="72"/>
      <c r="CGT4" s="72"/>
      <c r="CGU4" s="72"/>
      <c r="CGV4" s="72"/>
      <c r="CGW4" s="72"/>
      <c r="CGX4" s="73"/>
      <c r="CGY4" s="74" t="s">
        <v>20</v>
      </c>
      <c r="CGZ4" s="75"/>
      <c r="CHA4" s="75"/>
      <c r="CHB4" s="75"/>
      <c r="CHC4" s="75"/>
      <c r="CHD4" s="75"/>
      <c r="CHE4" s="75"/>
      <c r="CHF4" s="75"/>
      <c r="CHG4" s="75"/>
      <c r="CHH4" s="75"/>
      <c r="CHI4" s="76"/>
      <c r="CHJ4" s="71" t="s">
        <v>19</v>
      </c>
      <c r="CHK4" s="72"/>
      <c r="CHL4" s="72"/>
      <c r="CHM4" s="72"/>
      <c r="CHN4" s="72"/>
      <c r="CHO4" s="72"/>
      <c r="CHP4" s="72"/>
      <c r="CHQ4" s="72"/>
      <c r="CHR4" s="72"/>
      <c r="CHS4" s="72"/>
      <c r="CHT4" s="73"/>
      <c r="CHU4" s="74" t="s">
        <v>20</v>
      </c>
      <c r="CHV4" s="75"/>
      <c r="CHW4" s="75"/>
      <c r="CHX4" s="75"/>
      <c r="CHY4" s="75"/>
      <c r="CHZ4" s="75"/>
      <c r="CIA4" s="75"/>
      <c r="CIB4" s="75"/>
      <c r="CIC4" s="75"/>
      <c r="CID4" s="75"/>
      <c r="CIE4" s="76"/>
      <c r="CIF4" s="71" t="s">
        <v>19</v>
      </c>
      <c r="CIG4" s="72"/>
      <c r="CIH4" s="72"/>
      <c r="CII4" s="72"/>
      <c r="CIJ4" s="72"/>
      <c r="CIK4" s="72"/>
      <c r="CIL4" s="72"/>
      <c r="CIM4" s="72"/>
      <c r="CIN4" s="72"/>
      <c r="CIO4" s="72"/>
      <c r="CIP4" s="73"/>
      <c r="CIQ4" s="74" t="s">
        <v>20</v>
      </c>
      <c r="CIR4" s="75"/>
      <c r="CIS4" s="75"/>
      <c r="CIT4" s="75"/>
      <c r="CIU4" s="75"/>
      <c r="CIV4" s="75"/>
      <c r="CIW4" s="75"/>
      <c r="CIX4" s="75"/>
      <c r="CIY4" s="75"/>
      <c r="CIZ4" s="75"/>
      <c r="CJA4" s="76"/>
      <c r="CJB4" s="71" t="s">
        <v>19</v>
      </c>
      <c r="CJC4" s="72"/>
      <c r="CJD4" s="72"/>
      <c r="CJE4" s="72"/>
      <c r="CJF4" s="72"/>
      <c r="CJG4" s="72"/>
      <c r="CJH4" s="72"/>
      <c r="CJI4" s="72"/>
      <c r="CJJ4" s="72"/>
      <c r="CJK4" s="72"/>
      <c r="CJL4" s="73"/>
      <c r="CJM4" s="74" t="s">
        <v>20</v>
      </c>
      <c r="CJN4" s="75"/>
      <c r="CJO4" s="75"/>
      <c r="CJP4" s="75"/>
      <c r="CJQ4" s="75"/>
      <c r="CJR4" s="75"/>
      <c r="CJS4" s="75"/>
      <c r="CJT4" s="75"/>
      <c r="CJU4" s="75"/>
      <c r="CJV4" s="75"/>
      <c r="CJW4" s="76"/>
      <c r="CJX4" s="71" t="s">
        <v>19</v>
      </c>
      <c r="CJY4" s="72"/>
      <c r="CJZ4" s="72"/>
      <c r="CKA4" s="72"/>
      <c r="CKB4" s="72"/>
      <c r="CKC4" s="72"/>
      <c r="CKD4" s="72"/>
      <c r="CKE4" s="72"/>
      <c r="CKF4" s="72"/>
      <c r="CKG4" s="72"/>
      <c r="CKH4" s="73"/>
      <c r="CKI4" s="74" t="s">
        <v>20</v>
      </c>
      <c r="CKJ4" s="75"/>
      <c r="CKK4" s="75"/>
      <c r="CKL4" s="75"/>
      <c r="CKM4" s="75"/>
      <c r="CKN4" s="75"/>
      <c r="CKO4" s="75"/>
      <c r="CKP4" s="75"/>
      <c r="CKQ4" s="75"/>
      <c r="CKR4" s="75"/>
      <c r="CKS4" s="76"/>
      <c r="CKT4" s="71" t="s">
        <v>19</v>
      </c>
      <c r="CKU4" s="72"/>
      <c r="CKV4" s="72"/>
      <c r="CKW4" s="72"/>
      <c r="CKX4" s="72"/>
      <c r="CKY4" s="72"/>
      <c r="CKZ4" s="72"/>
      <c r="CLA4" s="72"/>
      <c r="CLB4" s="72"/>
      <c r="CLC4" s="72"/>
      <c r="CLD4" s="73"/>
      <c r="CLE4" s="74" t="s">
        <v>20</v>
      </c>
      <c r="CLF4" s="75"/>
      <c r="CLG4" s="75"/>
      <c r="CLH4" s="75"/>
      <c r="CLI4" s="75"/>
      <c r="CLJ4" s="75"/>
      <c r="CLK4" s="75"/>
      <c r="CLL4" s="75"/>
      <c r="CLM4" s="75"/>
      <c r="CLN4" s="75"/>
      <c r="CLO4" s="76"/>
      <c r="CLP4" s="71" t="s">
        <v>19</v>
      </c>
      <c r="CLQ4" s="72"/>
      <c r="CLR4" s="72"/>
      <c r="CLS4" s="72"/>
      <c r="CLT4" s="72"/>
      <c r="CLU4" s="72"/>
      <c r="CLV4" s="72"/>
      <c r="CLW4" s="72"/>
      <c r="CLX4" s="72"/>
      <c r="CLY4" s="72"/>
      <c r="CLZ4" s="73"/>
      <c r="CMA4" s="74" t="s">
        <v>20</v>
      </c>
      <c r="CMB4" s="75"/>
      <c r="CMC4" s="75"/>
      <c r="CMD4" s="75"/>
      <c r="CME4" s="75"/>
      <c r="CMF4" s="75"/>
      <c r="CMG4" s="75"/>
      <c r="CMH4" s="75"/>
      <c r="CMI4" s="75"/>
      <c r="CMJ4" s="75"/>
      <c r="CMK4" s="76"/>
      <c r="CML4" s="71" t="s">
        <v>19</v>
      </c>
      <c r="CMM4" s="72"/>
      <c r="CMN4" s="72"/>
      <c r="CMO4" s="72"/>
      <c r="CMP4" s="72"/>
      <c r="CMQ4" s="72"/>
      <c r="CMR4" s="72"/>
      <c r="CMS4" s="72"/>
      <c r="CMT4" s="72"/>
      <c r="CMU4" s="72"/>
      <c r="CMV4" s="73"/>
      <c r="CMW4" s="74" t="s">
        <v>20</v>
      </c>
      <c r="CMX4" s="75"/>
      <c r="CMY4" s="75"/>
      <c r="CMZ4" s="75"/>
      <c r="CNA4" s="75"/>
      <c r="CNB4" s="75"/>
      <c r="CNC4" s="75"/>
      <c r="CND4" s="75"/>
      <c r="CNE4" s="75"/>
      <c r="CNF4" s="75"/>
      <c r="CNG4" s="76"/>
      <c r="CNH4" s="71" t="s">
        <v>19</v>
      </c>
      <c r="CNI4" s="72"/>
      <c r="CNJ4" s="72"/>
      <c r="CNK4" s="72"/>
      <c r="CNL4" s="72"/>
      <c r="CNM4" s="72"/>
      <c r="CNN4" s="72"/>
      <c r="CNO4" s="72"/>
      <c r="CNP4" s="72"/>
      <c r="CNQ4" s="72"/>
      <c r="CNR4" s="73"/>
      <c r="CNS4" s="74" t="s">
        <v>20</v>
      </c>
      <c r="CNT4" s="75"/>
      <c r="CNU4" s="75"/>
      <c r="CNV4" s="75"/>
      <c r="CNW4" s="75"/>
      <c r="CNX4" s="75"/>
      <c r="CNY4" s="75"/>
      <c r="CNZ4" s="75"/>
      <c r="COA4" s="75"/>
      <c r="COB4" s="75"/>
      <c r="COC4" s="76"/>
      <c r="COD4" s="71" t="s">
        <v>19</v>
      </c>
      <c r="COE4" s="72"/>
      <c r="COF4" s="72"/>
      <c r="COG4" s="72"/>
      <c r="COH4" s="72"/>
      <c r="COI4" s="72"/>
      <c r="COJ4" s="72"/>
      <c r="COK4" s="72"/>
      <c r="COL4" s="72"/>
      <c r="COM4" s="72"/>
      <c r="CON4" s="73"/>
      <c r="COO4" s="74" t="s">
        <v>20</v>
      </c>
      <c r="COP4" s="75"/>
      <c r="COQ4" s="75"/>
      <c r="COR4" s="75"/>
      <c r="COS4" s="75"/>
      <c r="COT4" s="75"/>
      <c r="COU4" s="75"/>
      <c r="COV4" s="75"/>
      <c r="COW4" s="75"/>
      <c r="COX4" s="75"/>
      <c r="COY4" s="76"/>
      <c r="COZ4" s="71" t="s">
        <v>19</v>
      </c>
      <c r="CPA4" s="72"/>
      <c r="CPB4" s="72"/>
      <c r="CPC4" s="72"/>
      <c r="CPD4" s="72"/>
      <c r="CPE4" s="72"/>
      <c r="CPF4" s="72"/>
      <c r="CPG4" s="72"/>
      <c r="CPH4" s="72"/>
      <c r="CPI4" s="72"/>
      <c r="CPJ4" s="73"/>
      <c r="CPK4" s="74" t="s">
        <v>20</v>
      </c>
      <c r="CPL4" s="75"/>
      <c r="CPM4" s="75"/>
      <c r="CPN4" s="75"/>
      <c r="CPO4" s="75"/>
      <c r="CPP4" s="75"/>
      <c r="CPQ4" s="75"/>
      <c r="CPR4" s="75"/>
      <c r="CPS4" s="75"/>
      <c r="CPT4" s="75"/>
      <c r="CPU4" s="76"/>
      <c r="CPV4" s="71" t="s">
        <v>19</v>
      </c>
      <c r="CPW4" s="72"/>
      <c r="CPX4" s="72"/>
      <c r="CPY4" s="72"/>
      <c r="CPZ4" s="72"/>
      <c r="CQA4" s="72"/>
      <c r="CQB4" s="72"/>
      <c r="CQC4" s="72"/>
      <c r="CQD4" s="72"/>
      <c r="CQE4" s="72"/>
      <c r="CQF4" s="73"/>
      <c r="CQG4" s="74" t="s">
        <v>20</v>
      </c>
      <c r="CQH4" s="75"/>
      <c r="CQI4" s="75"/>
      <c r="CQJ4" s="75"/>
      <c r="CQK4" s="75"/>
      <c r="CQL4" s="75"/>
      <c r="CQM4" s="75"/>
      <c r="CQN4" s="75"/>
      <c r="CQO4" s="75"/>
      <c r="CQP4" s="75"/>
      <c r="CQQ4" s="76"/>
      <c r="CQR4" s="71" t="s">
        <v>19</v>
      </c>
      <c r="CQS4" s="72"/>
      <c r="CQT4" s="72"/>
      <c r="CQU4" s="72"/>
      <c r="CQV4" s="72"/>
      <c r="CQW4" s="72"/>
      <c r="CQX4" s="72"/>
      <c r="CQY4" s="72"/>
      <c r="CQZ4" s="72"/>
      <c r="CRA4" s="72"/>
      <c r="CRB4" s="81"/>
      <c r="CRC4" s="78" t="s">
        <v>20</v>
      </c>
      <c r="CRD4" s="75"/>
      <c r="CRE4" s="75"/>
      <c r="CRF4" s="75"/>
      <c r="CRG4" s="75"/>
      <c r="CRH4" s="75"/>
      <c r="CRI4" s="75"/>
      <c r="CRJ4" s="75"/>
      <c r="CRK4" s="75"/>
      <c r="CRL4" s="75"/>
      <c r="CRM4" s="79"/>
      <c r="CRN4" s="80" t="s">
        <v>19</v>
      </c>
      <c r="CRO4" s="72"/>
      <c r="CRP4" s="72"/>
      <c r="CRQ4" s="72"/>
      <c r="CRR4" s="72"/>
      <c r="CRS4" s="72"/>
      <c r="CRT4" s="72"/>
      <c r="CRU4" s="72"/>
      <c r="CRV4" s="72"/>
      <c r="CRW4" s="72"/>
      <c r="CRX4" s="81"/>
      <c r="CRY4" s="78" t="s">
        <v>20</v>
      </c>
      <c r="CRZ4" s="75"/>
      <c r="CSA4" s="75"/>
      <c r="CSB4" s="75"/>
      <c r="CSC4" s="75"/>
      <c r="CSD4" s="75"/>
      <c r="CSE4" s="75"/>
      <c r="CSF4" s="75"/>
      <c r="CSG4" s="75"/>
      <c r="CSH4" s="75"/>
      <c r="CSI4" s="79"/>
      <c r="CSJ4" s="80" t="s">
        <v>19</v>
      </c>
      <c r="CSK4" s="72"/>
      <c r="CSL4" s="72"/>
      <c r="CSM4" s="72"/>
      <c r="CSN4" s="72"/>
      <c r="CSO4" s="72"/>
      <c r="CSP4" s="72"/>
      <c r="CSQ4" s="72"/>
      <c r="CSR4" s="72"/>
      <c r="CSS4" s="72"/>
      <c r="CST4" s="81"/>
      <c r="CSU4" s="78" t="s">
        <v>20</v>
      </c>
      <c r="CSV4" s="75"/>
      <c r="CSW4" s="75"/>
      <c r="CSX4" s="75"/>
      <c r="CSY4" s="75"/>
      <c r="CSZ4" s="75"/>
      <c r="CTA4" s="75"/>
      <c r="CTB4" s="75"/>
      <c r="CTC4" s="75"/>
      <c r="CTD4" s="75"/>
      <c r="CTE4" s="79"/>
      <c r="CTF4" s="80" t="s">
        <v>19</v>
      </c>
      <c r="CTG4" s="72"/>
      <c r="CTH4" s="72"/>
      <c r="CTI4" s="72"/>
      <c r="CTJ4" s="72"/>
      <c r="CTK4" s="72"/>
      <c r="CTL4" s="72"/>
      <c r="CTM4" s="72"/>
      <c r="CTN4" s="72"/>
      <c r="CTO4" s="72"/>
      <c r="CTP4" s="81"/>
      <c r="CTQ4" s="78" t="s">
        <v>20</v>
      </c>
      <c r="CTR4" s="75"/>
      <c r="CTS4" s="75"/>
      <c r="CTT4" s="75"/>
      <c r="CTU4" s="75"/>
      <c r="CTV4" s="75"/>
      <c r="CTW4" s="75"/>
      <c r="CTX4" s="75"/>
      <c r="CTY4" s="75"/>
      <c r="CTZ4" s="75"/>
      <c r="CUA4" s="79"/>
      <c r="CUB4" s="80" t="s">
        <v>19</v>
      </c>
      <c r="CUC4" s="72"/>
      <c r="CUD4" s="72"/>
      <c r="CUE4" s="72"/>
      <c r="CUF4" s="72"/>
      <c r="CUG4" s="72"/>
      <c r="CUH4" s="72"/>
      <c r="CUI4" s="72"/>
      <c r="CUJ4" s="72"/>
      <c r="CUK4" s="72"/>
      <c r="CUL4" s="81"/>
      <c r="CUM4" s="78" t="s">
        <v>20</v>
      </c>
      <c r="CUN4" s="75"/>
      <c r="CUO4" s="75"/>
      <c r="CUP4" s="75"/>
      <c r="CUQ4" s="75"/>
      <c r="CUR4" s="75"/>
      <c r="CUS4" s="75"/>
      <c r="CUT4" s="75"/>
      <c r="CUU4" s="75"/>
      <c r="CUV4" s="75"/>
      <c r="CUW4" s="79"/>
      <c r="CUX4" s="80" t="s">
        <v>19</v>
      </c>
      <c r="CUY4" s="72"/>
      <c r="CUZ4" s="72"/>
      <c r="CVA4" s="72"/>
      <c r="CVB4" s="72"/>
      <c r="CVC4" s="72"/>
      <c r="CVD4" s="72"/>
      <c r="CVE4" s="72"/>
      <c r="CVF4" s="72"/>
      <c r="CVG4" s="72"/>
      <c r="CVH4" s="81"/>
      <c r="CVI4" s="78" t="s">
        <v>20</v>
      </c>
      <c r="CVJ4" s="75"/>
      <c r="CVK4" s="75"/>
      <c r="CVL4" s="75"/>
      <c r="CVM4" s="75"/>
      <c r="CVN4" s="75"/>
      <c r="CVO4" s="75"/>
      <c r="CVP4" s="75"/>
      <c r="CVQ4" s="75"/>
      <c r="CVR4" s="75"/>
      <c r="CVS4" s="79"/>
      <c r="CVT4" s="80" t="s">
        <v>19</v>
      </c>
      <c r="CVU4" s="72"/>
      <c r="CVV4" s="72"/>
      <c r="CVW4" s="72"/>
      <c r="CVX4" s="72"/>
      <c r="CVY4" s="72"/>
      <c r="CVZ4" s="72"/>
      <c r="CWA4" s="72"/>
      <c r="CWB4" s="72"/>
      <c r="CWC4" s="72"/>
      <c r="CWD4" s="81"/>
      <c r="CWE4" s="78" t="s">
        <v>20</v>
      </c>
      <c r="CWF4" s="75"/>
      <c r="CWG4" s="75"/>
      <c r="CWH4" s="75"/>
      <c r="CWI4" s="75"/>
      <c r="CWJ4" s="75"/>
      <c r="CWK4" s="75"/>
      <c r="CWL4" s="75"/>
      <c r="CWM4" s="75"/>
      <c r="CWN4" s="75"/>
      <c r="CWO4" s="79"/>
      <c r="CWP4" s="80" t="s">
        <v>19</v>
      </c>
      <c r="CWQ4" s="72"/>
      <c r="CWR4" s="72"/>
      <c r="CWS4" s="72"/>
      <c r="CWT4" s="72"/>
      <c r="CWU4" s="72"/>
      <c r="CWV4" s="72"/>
      <c r="CWW4" s="72"/>
      <c r="CWX4" s="72"/>
      <c r="CWY4" s="72"/>
      <c r="CWZ4" s="81"/>
      <c r="CXA4" s="78" t="s">
        <v>20</v>
      </c>
      <c r="CXB4" s="75"/>
      <c r="CXC4" s="75"/>
      <c r="CXD4" s="75"/>
      <c r="CXE4" s="75"/>
      <c r="CXF4" s="75"/>
      <c r="CXG4" s="75"/>
      <c r="CXH4" s="75"/>
      <c r="CXI4" s="75"/>
      <c r="CXJ4" s="75"/>
      <c r="CXK4" s="79"/>
      <c r="CXL4" s="80" t="s">
        <v>19</v>
      </c>
      <c r="CXM4" s="72"/>
      <c r="CXN4" s="72"/>
      <c r="CXO4" s="72"/>
      <c r="CXP4" s="72"/>
      <c r="CXQ4" s="72"/>
      <c r="CXR4" s="72"/>
      <c r="CXS4" s="72"/>
      <c r="CXT4" s="72"/>
      <c r="CXU4" s="72"/>
      <c r="CXV4" s="81"/>
      <c r="CXW4" s="78" t="s">
        <v>20</v>
      </c>
      <c r="CXX4" s="75"/>
      <c r="CXY4" s="75"/>
      <c r="CXZ4" s="75"/>
      <c r="CYA4" s="75"/>
      <c r="CYB4" s="75"/>
      <c r="CYC4" s="75"/>
      <c r="CYD4" s="75"/>
      <c r="CYE4" s="75"/>
      <c r="CYF4" s="75"/>
      <c r="CYG4" s="79"/>
      <c r="CYH4" s="80" t="s">
        <v>19</v>
      </c>
      <c r="CYI4" s="72"/>
      <c r="CYJ4" s="72"/>
      <c r="CYK4" s="72"/>
      <c r="CYL4" s="72"/>
      <c r="CYM4" s="72"/>
      <c r="CYN4" s="72"/>
      <c r="CYO4" s="72"/>
      <c r="CYP4" s="72"/>
      <c r="CYQ4" s="72"/>
      <c r="CYR4" s="81"/>
      <c r="CYS4" s="78" t="s">
        <v>20</v>
      </c>
      <c r="CYT4" s="75"/>
      <c r="CYU4" s="75"/>
      <c r="CYV4" s="75"/>
      <c r="CYW4" s="75"/>
      <c r="CYX4" s="75"/>
      <c r="CYY4" s="75"/>
      <c r="CYZ4" s="75"/>
      <c r="CZA4" s="75"/>
      <c r="CZB4" s="75"/>
      <c r="CZC4" s="79"/>
      <c r="CZD4" s="80" t="s">
        <v>19</v>
      </c>
      <c r="CZE4" s="72"/>
      <c r="CZF4" s="72"/>
      <c r="CZG4" s="72"/>
      <c r="CZH4" s="72"/>
      <c r="CZI4" s="72"/>
      <c r="CZJ4" s="72"/>
      <c r="CZK4" s="72"/>
      <c r="CZL4" s="72"/>
      <c r="CZM4" s="72"/>
      <c r="CZN4" s="81"/>
      <c r="CZO4" s="78" t="s">
        <v>20</v>
      </c>
      <c r="CZP4" s="75"/>
      <c r="CZQ4" s="75"/>
      <c r="CZR4" s="75"/>
      <c r="CZS4" s="75"/>
      <c r="CZT4" s="75"/>
      <c r="CZU4" s="75"/>
      <c r="CZV4" s="75"/>
      <c r="CZW4" s="75"/>
      <c r="CZX4" s="75"/>
      <c r="CZY4" s="79"/>
      <c r="CZZ4" s="80" t="s">
        <v>19</v>
      </c>
      <c r="DAA4" s="72"/>
      <c r="DAB4" s="72"/>
      <c r="DAC4" s="72"/>
      <c r="DAD4" s="72"/>
      <c r="DAE4" s="72"/>
      <c r="DAF4" s="72"/>
      <c r="DAG4" s="72"/>
      <c r="DAH4" s="72"/>
      <c r="DAI4" s="72"/>
      <c r="DAJ4" s="81"/>
      <c r="DAK4" s="78" t="s">
        <v>20</v>
      </c>
      <c r="DAL4" s="75"/>
      <c r="DAM4" s="75"/>
      <c r="DAN4" s="75"/>
      <c r="DAO4" s="75"/>
      <c r="DAP4" s="75"/>
      <c r="DAQ4" s="75"/>
      <c r="DAR4" s="75"/>
      <c r="DAS4" s="75"/>
      <c r="DAT4" s="75"/>
      <c r="DAU4" s="79"/>
      <c r="DAV4" s="80" t="s">
        <v>19</v>
      </c>
      <c r="DAW4" s="72"/>
      <c r="DAX4" s="72"/>
      <c r="DAY4" s="72"/>
      <c r="DAZ4" s="72"/>
      <c r="DBA4" s="72"/>
      <c r="DBB4" s="72"/>
      <c r="DBC4" s="72"/>
      <c r="DBD4" s="72"/>
      <c r="DBE4" s="72"/>
      <c r="DBF4" s="81"/>
      <c r="DBG4" s="78" t="s">
        <v>20</v>
      </c>
      <c r="DBH4" s="75"/>
      <c r="DBI4" s="75"/>
      <c r="DBJ4" s="75"/>
      <c r="DBK4" s="75"/>
      <c r="DBL4" s="75"/>
      <c r="DBM4" s="75"/>
      <c r="DBN4" s="75"/>
      <c r="DBO4" s="75"/>
      <c r="DBP4" s="75"/>
      <c r="DBQ4" s="79"/>
      <c r="DBR4" s="80" t="s">
        <v>19</v>
      </c>
      <c r="DBS4" s="72"/>
      <c r="DBT4" s="72"/>
      <c r="DBU4" s="72"/>
      <c r="DBV4" s="72"/>
      <c r="DBW4" s="72"/>
      <c r="DBX4" s="72"/>
      <c r="DBY4" s="72"/>
      <c r="DBZ4" s="72"/>
      <c r="DCA4" s="72"/>
      <c r="DCB4" s="81"/>
      <c r="DCC4" s="78" t="s">
        <v>20</v>
      </c>
      <c r="DCD4" s="75"/>
      <c r="DCE4" s="75"/>
      <c r="DCF4" s="75"/>
      <c r="DCG4" s="75"/>
      <c r="DCH4" s="75"/>
      <c r="DCI4" s="75"/>
      <c r="DCJ4" s="75"/>
      <c r="DCK4" s="75"/>
      <c r="DCL4" s="75"/>
      <c r="DCM4" s="79"/>
      <c r="DCN4" s="80" t="s">
        <v>19</v>
      </c>
      <c r="DCO4" s="72"/>
      <c r="DCP4" s="72"/>
      <c r="DCQ4" s="72"/>
      <c r="DCR4" s="72"/>
      <c r="DCS4" s="72"/>
      <c r="DCT4" s="72"/>
      <c r="DCU4" s="72"/>
      <c r="DCV4" s="72"/>
      <c r="DCW4" s="72"/>
      <c r="DCX4" s="81"/>
      <c r="DCY4" s="78" t="s">
        <v>20</v>
      </c>
      <c r="DCZ4" s="75"/>
      <c r="DDA4" s="75"/>
      <c r="DDB4" s="75"/>
      <c r="DDC4" s="75"/>
      <c r="DDD4" s="75"/>
      <c r="DDE4" s="75"/>
      <c r="DDF4" s="75"/>
      <c r="DDG4" s="75"/>
      <c r="DDH4" s="75"/>
      <c r="DDI4" s="79"/>
    </row>
    <row r="5" spans="1:2839" x14ac:dyDescent="0.2">
      <c r="A5" s="4" t="s">
        <v>17</v>
      </c>
      <c r="B5" s="5" t="s">
        <v>101</v>
      </c>
      <c r="C5" s="5" t="s">
        <v>111</v>
      </c>
      <c r="D5" s="5" t="s">
        <v>107</v>
      </c>
      <c r="E5" s="5" t="s">
        <v>336</v>
      </c>
      <c r="F5" s="5" t="s">
        <v>338</v>
      </c>
      <c r="G5" s="5" t="s">
        <v>339</v>
      </c>
      <c r="H5" s="5" t="s">
        <v>337</v>
      </c>
      <c r="I5" s="5" t="s">
        <v>341</v>
      </c>
      <c r="J5" s="5" t="s">
        <v>340</v>
      </c>
      <c r="K5" s="5" t="s">
        <v>114</v>
      </c>
      <c r="L5" s="5" t="s">
        <v>109</v>
      </c>
      <c r="M5" s="6" t="s">
        <v>101</v>
      </c>
      <c r="N5" s="6" t="s">
        <v>111</v>
      </c>
      <c r="O5" s="6" t="s">
        <v>107</v>
      </c>
      <c r="P5" s="6" t="s">
        <v>336</v>
      </c>
      <c r="Q5" s="6" t="s">
        <v>338</v>
      </c>
      <c r="R5" s="6" t="s">
        <v>339</v>
      </c>
      <c r="S5" s="6" t="s">
        <v>337</v>
      </c>
      <c r="T5" s="6" t="s">
        <v>341</v>
      </c>
      <c r="U5" s="6" t="s">
        <v>340</v>
      </c>
      <c r="V5" s="6" t="s">
        <v>114</v>
      </c>
      <c r="W5" s="6" t="s">
        <v>109</v>
      </c>
      <c r="X5" s="5" t="s">
        <v>101</v>
      </c>
      <c r="Y5" s="5" t="s">
        <v>111</v>
      </c>
      <c r="Z5" s="5" t="s">
        <v>107</v>
      </c>
      <c r="AA5" s="5" t="s">
        <v>336</v>
      </c>
      <c r="AB5" s="5" t="s">
        <v>338</v>
      </c>
      <c r="AC5" s="5" t="s">
        <v>339</v>
      </c>
      <c r="AD5" s="5" t="s">
        <v>337</v>
      </c>
      <c r="AE5" s="5" t="s">
        <v>341</v>
      </c>
      <c r="AF5" s="5" t="s">
        <v>340</v>
      </c>
      <c r="AG5" s="5" t="s">
        <v>114</v>
      </c>
      <c r="AH5" s="5" t="s">
        <v>109</v>
      </c>
      <c r="AI5" s="6" t="s">
        <v>101</v>
      </c>
      <c r="AJ5" s="6" t="s">
        <v>111</v>
      </c>
      <c r="AK5" s="6" t="s">
        <v>107</v>
      </c>
      <c r="AL5" s="6" t="s">
        <v>336</v>
      </c>
      <c r="AM5" s="6" t="s">
        <v>338</v>
      </c>
      <c r="AN5" s="6" t="s">
        <v>339</v>
      </c>
      <c r="AO5" s="6" t="s">
        <v>337</v>
      </c>
      <c r="AP5" s="6" t="s">
        <v>341</v>
      </c>
      <c r="AQ5" s="6" t="s">
        <v>340</v>
      </c>
      <c r="AR5" s="6" t="s">
        <v>114</v>
      </c>
      <c r="AS5" s="6" t="s">
        <v>109</v>
      </c>
      <c r="AT5" s="5" t="s">
        <v>101</v>
      </c>
      <c r="AU5" s="5" t="s">
        <v>111</v>
      </c>
      <c r="AV5" s="5" t="s">
        <v>107</v>
      </c>
      <c r="AW5" s="5" t="s">
        <v>336</v>
      </c>
      <c r="AX5" s="5" t="s">
        <v>338</v>
      </c>
      <c r="AY5" s="5" t="s">
        <v>339</v>
      </c>
      <c r="AZ5" s="5" t="s">
        <v>337</v>
      </c>
      <c r="BA5" s="5" t="s">
        <v>341</v>
      </c>
      <c r="BB5" s="5" t="s">
        <v>340</v>
      </c>
      <c r="BC5" s="5" t="s">
        <v>114</v>
      </c>
      <c r="BD5" s="5" t="s">
        <v>109</v>
      </c>
      <c r="BE5" s="6" t="s">
        <v>101</v>
      </c>
      <c r="BF5" s="6" t="s">
        <v>111</v>
      </c>
      <c r="BG5" s="6" t="s">
        <v>107</v>
      </c>
      <c r="BH5" s="6" t="s">
        <v>336</v>
      </c>
      <c r="BI5" s="6" t="s">
        <v>338</v>
      </c>
      <c r="BJ5" s="6" t="s">
        <v>339</v>
      </c>
      <c r="BK5" s="6" t="s">
        <v>337</v>
      </c>
      <c r="BL5" s="6" t="s">
        <v>341</v>
      </c>
      <c r="BM5" s="6" t="s">
        <v>340</v>
      </c>
      <c r="BN5" s="6" t="s">
        <v>114</v>
      </c>
      <c r="BO5" s="6" t="s">
        <v>109</v>
      </c>
      <c r="BP5" s="5" t="s">
        <v>101</v>
      </c>
      <c r="BQ5" s="5" t="s">
        <v>111</v>
      </c>
      <c r="BR5" s="5" t="s">
        <v>107</v>
      </c>
      <c r="BS5" s="5" t="s">
        <v>336</v>
      </c>
      <c r="BT5" s="5" t="s">
        <v>338</v>
      </c>
      <c r="BU5" s="5" t="s">
        <v>339</v>
      </c>
      <c r="BV5" s="5" t="s">
        <v>337</v>
      </c>
      <c r="BW5" s="5" t="s">
        <v>341</v>
      </c>
      <c r="BX5" s="5" t="s">
        <v>340</v>
      </c>
      <c r="BY5" s="5" t="s">
        <v>114</v>
      </c>
      <c r="BZ5" s="5" t="s">
        <v>109</v>
      </c>
      <c r="CA5" s="6" t="s">
        <v>101</v>
      </c>
      <c r="CB5" s="6" t="s">
        <v>111</v>
      </c>
      <c r="CC5" s="6" t="s">
        <v>107</v>
      </c>
      <c r="CD5" s="6" t="s">
        <v>336</v>
      </c>
      <c r="CE5" s="6" t="s">
        <v>338</v>
      </c>
      <c r="CF5" s="6" t="s">
        <v>339</v>
      </c>
      <c r="CG5" s="6" t="s">
        <v>337</v>
      </c>
      <c r="CH5" s="6" t="s">
        <v>341</v>
      </c>
      <c r="CI5" s="6" t="s">
        <v>340</v>
      </c>
      <c r="CJ5" s="6" t="s">
        <v>114</v>
      </c>
      <c r="CK5" s="6" t="s">
        <v>109</v>
      </c>
      <c r="CL5" s="5" t="s">
        <v>101</v>
      </c>
      <c r="CM5" s="5" t="s">
        <v>111</v>
      </c>
      <c r="CN5" s="5" t="s">
        <v>107</v>
      </c>
      <c r="CO5" s="5" t="s">
        <v>336</v>
      </c>
      <c r="CP5" s="5" t="s">
        <v>338</v>
      </c>
      <c r="CQ5" s="5" t="s">
        <v>339</v>
      </c>
      <c r="CR5" s="5" t="s">
        <v>337</v>
      </c>
      <c r="CS5" s="5" t="s">
        <v>341</v>
      </c>
      <c r="CT5" s="5" t="s">
        <v>340</v>
      </c>
      <c r="CU5" s="5" t="s">
        <v>114</v>
      </c>
      <c r="CV5" s="5" t="s">
        <v>109</v>
      </c>
      <c r="CW5" s="6" t="s">
        <v>101</v>
      </c>
      <c r="CX5" s="6" t="s">
        <v>111</v>
      </c>
      <c r="CY5" s="6" t="s">
        <v>107</v>
      </c>
      <c r="CZ5" s="6" t="s">
        <v>336</v>
      </c>
      <c r="DA5" s="6" t="s">
        <v>338</v>
      </c>
      <c r="DB5" s="6" t="s">
        <v>339</v>
      </c>
      <c r="DC5" s="6" t="s">
        <v>337</v>
      </c>
      <c r="DD5" s="6" t="s">
        <v>341</v>
      </c>
      <c r="DE5" s="6" t="s">
        <v>340</v>
      </c>
      <c r="DF5" s="6" t="s">
        <v>114</v>
      </c>
      <c r="DG5" s="6" t="s">
        <v>109</v>
      </c>
      <c r="DH5" s="5" t="s">
        <v>101</v>
      </c>
      <c r="DI5" s="5" t="s">
        <v>111</v>
      </c>
      <c r="DJ5" s="5" t="s">
        <v>107</v>
      </c>
      <c r="DK5" s="5" t="s">
        <v>336</v>
      </c>
      <c r="DL5" s="5" t="s">
        <v>338</v>
      </c>
      <c r="DM5" s="5" t="s">
        <v>339</v>
      </c>
      <c r="DN5" s="5" t="s">
        <v>337</v>
      </c>
      <c r="DO5" s="5" t="s">
        <v>341</v>
      </c>
      <c r="DP5" s="5" t="s">
        <v>340</v>
      </c>
      <c r="DQ5" s="5" t="s">
        <v>114</v>
      </c>
      <c r="DR5" s="5" t="s">
        <v>109</v>
      </c>
      <c r="DS5" s="6" t="s">
        <v>101</v>
      </c>
      <c r="DT5" s="6" t="s">
        <v>111</v>
      </c>
      <c r="DU5" s="6" t="s">
        <v>107</v>
      </c>
      <c r="DV5" s="6" t="s">
        <v>336</v>
      </c>
      <c r="DW5" s="6" t="s">
        <v>338</v>
      </c>
      <c r="DX5" s="6" t="s">
        <v>339</v>
      </c>
      <c r="DY5" s="6" t="s">
        <v>337</v>
      </c>
      <c r="DZ5" s="6" t="s">
        <v>341</v>
      </c>
      <c r="EA5" s="6" t="s">
        <v>340</v>
      </c>
      <c r="EB5" s="6" t="s">
        <v>114</v>
      </c>
      <c r="EC5" s="6" t="s">
        <v>109</v>
      </c>
      <c r="ED5" s="5" t="s">
        <v>101</v>
      </c>
      <c r="EE5" s="5" t="s">
        <v>111</v>
      </c>
      <c r="EF5" s="5" t="s">
        <v>107</v>
      </c>
      <c r="EG5" s="5" t="s">
        <v>336</v>
      </c>
      <c r="EH5" s="5" t="s">
        <v>338</v>
      </c>
      <c r="EI5" s="5" t="s">
        <v>339</v>
      </c>
      <c r="EJ5" s="5" t="s">
        <v>337</v>
      </c>
      <c r="EK5" s="5" t="s">
        <v>341</v>
      </c>
      <c r="EL5" s="5" t="s">
        <v>340</v>
      </c>
      <c r="EM5" s="5" t="s">
        <v>114</v>
      </c>
      <c r="EN5" s="5" t="s">
        <v>109</v>
      </c>
      <c r="EO5" s="6" t="s">
        <v>101</v>
      </c>
      <c r="EP5" s="6" t="s">
        <v>111</v>
      </c>
      <c r="EQ5" s="6" t="s">
        <v>107</v>
      </c>
      <c r="ER5" s="6" t="s">
        <v>336</v>
      </c>
      <c r="ES5" s="6" t="s">
        <v>338</v>
      </c>
      <c r="ET5" s="6" t="s">
        <v>339</v>
      </c>
      <c r="EU5" s="6" t="s">
        <v>337</v>
      </c>
      <c r="EV5" s="6" t="s">
        <v>341</v>
      </c>
      <c r="EW5" s="6" t="s">
        <v>340</v>
      </c>
      <c r="EX5" s="6" t="s">
        <v>114</v>
      </c>
      <c r="EY5" s="6" t="s">
        <v>109</v>
      </c>
      <c r="EZ5" s="5" t="s">
        <v>101</v>
      </c>
      <c r="FA5" s="5" t="s">
        <v>111</v>
      </c>
      <c r="FB5" s="5" t="s">
        <v>107</v>
      </c>
      <c r="FC5" s="5" t="s">
        <v>336</v>
      </c>
      <c r="FD5" s="5" t="s">
        <v>338</v>
      </c>
      <c r="FE5" s="5" t="s">
        <v>339</v>
      </c>
      <c r="FF5" s="5" t="s">
        <v>337</v>
      </c>
      <c r="FG5" s="5" t="s">
        <v>341</v>
      </c>
      <c r="FH5" s="5" t="s">
        <v>340</v>
      </c>
      <c r="FI5" s="5" t="s">
        <v>114</v>
      </c>
      <c r="FJ5" s="5" t="s">
        <v>109</v>
      </c>
      <c r="FK5" s="6" t="s">
        <v>101</v>
      </c>
      <c r="FL5" s="6" t="s">
        <v>111</v>
      </c>
      <c r="FM5" s="6" t="s">
        <v>107</v>
      </c>
      <c r="FN5" s="6" t="s">
        <v>336</v>
      </c>
      <c r="FO5" s="6" t="s">
        <v>338</v>
      </c>
      <c r="FP5" s="6" t="s">
        <v>339</v>
      </c>
      <c r="FQ5" s="6" t="s">
        <v>337</v>
      </c>
      <c r="FR5" s="6" t="s">
        <v>341</v>
      </c>
      <c r="FS5" s="6" t="s">
        <v>340</v>
      </c>
      <c r="FT5" s="6" t="s">
        <v>114</v>
      </c>
      <c r="FU5" s="6" t="s">
        <v>109</v>
      </c>
      <c r="FV5" s="5" t="s">
        <v>101</v>
      </c>
      <c r="FW5" s="5" t="s">
        <v>111</v>
      </c>
      <c r="FX5" s="5" t="s">
        <v>107</v>
      </c>
      <c r="FY5" s="5" t="s">
        <v>336</v>
      </c>
      <c r="FZ5" s="5" t="s">
        <v>338</v>
      </c>
      <c r="GA5" s="5" t="s">
        <v>339</v>
      </c>
      <c r="GB5" s="5" t="s">
        <v>337</v>
      </c>
      <c r="GC5" s="5" t="s">
        <v>341</v>
      </c>
      <c r="GD5" s="5" t="s">
        <v>340</v>
      </c>
      <c r="GE5" s="5" t="s">
        <v>114</v>
      </c>
      <c r="GF5" s="5" t="s">
        <v>109</v>
      </c>
      <c r="GG5" s="6" t="s">
        <v>101</v>
      </c>
      <c r="GH5" s="6" t="s">
        <v>111</v>
      </c>
      <c r="GI5" s="6" t="s">
        <v>107</v>
      </c>
      <c r="GJ5" s="6" t="s">
        <v>336</v>
      </c>
      <c r="GK5" s="6" t="s">
        <v>338</v>
      </c>
      <c r="GL5" s="6" t="s">
        <v>339</v>
      </c>
      <c r="GM5" s="6" t="s">
        <v>337</v>
      </c>
      <c r="GN5" s="6" t="s">
        <v>341</v>
      </c>
      <c r="GO5" s="6" t="s">
        <v>340</v>
      </c>
      <c r="GP5" s="6" t="s">
        <v>114</v>
      </c>
      <c r="GQ5" s="6" t="s">
        <v>109</v>
      </c>
      <c r="GR5" s="5" t="s">
        <v>101</v>
      </c>
      <c r="GS5" s="5" t="s">
        <v>111</v>
      </c>
      <c r="GT5" s="5" t="s">
        <v>107</v>
      </c>
      <c r="GU5" s="5" t="s">
        <v>336</v>
      </c>
      <c r="GV5" s="5" t="s">
        <v>338</v>
      </c>
      <c r="GW5" s="5" t="s">
        <v>339</v>
      </c>
      <c r="GX5" s="5" t="s">
        <v>337</v>
      </c>
      <c r="GY5" s="5" t="s">
        <v>341</v>
      </c>
      <c r="GZ5" s="5" t="s">
        <v>340</v>
      </c>
      <c r="HA5" s="5" t="s">
        <v>114</v>
      </c>
      <c r="HB5" s="5" t="s">
        <v>109</v>
      </c>
      <c r="HC5" s="6" t="s">
        <v>101</v>
      </c>
      <c r="HD5" s="6" t="s">
        <v>111</v>
      </c>
      <c r="HE5" s="6" t="s">
        <v>107</v>
      </c>
      <c r="HF5" s="6" t="s">
        <v>336</v>
      </c>
      <c r="HG5" s="6" t="s">
        <v>338</v>
      </c>
      <c r="HH5" s="6" t="s">
        <v>339</v>
      </c>
      <c r="HI5" s="6" t="s">
        <v>337</v>
      </c>
      <c r="HJ5" s="6" t="s">
        <v>341</v>
      </c>
      <c r="HK5" s="6" t="s">
        <v>340</v>
      </c>
      <c r="HL5" s="6" t="s">
        <v>114</v>
      </c>
      <c r="HM5" s="6" t="s">
        <v>109</v>
      </c>
      <c r="HN5" s="5" t="s">
        <v>101</v>
      </c>
      <c r="HO5" s="5" t="s">
        <v>111</v>
      </c>
      <c r="HP5" s="5" t="s">
        <v>107</v>
      </c>
      <c r="HQ5" s="5" t="s">
        <v>336</v>
      </c>
      <c r="HR5" s="5" t="s">
        <v>338</v>
      </c>
      <c r="HS5" s="5" t="s">
        <v>339</v>
      </c>
      <c r="HT5" s="5" t="s">
        <v>337</v>
      </c>
      <c r="HU5" s="5" t="s">
        <v>341</v>
      </c>
      <c r="HV5" s="5" t="s">
        <v>340</v>
      </c>
      <c r="HW5" s="5" t="s">
        <v>114</v>
      </c>
      <c r="HX5" s="5" t="s">
        <v>109</v>
      </c>
      <c r="HY5" s="6" t="s">
        <v>101</v>
      </c>
      <c r="HZ5" s="6" t="s">
        <v>111</v>
      </c>
      <c r="IA5" s="6" t="s">
        <v>107</v>
      </c>
      <c r="IB5" s="6" t="s">
        <v>336</v>
      </c>
      <c r="IC5" s="6" t="s">
        <v>338</v>
      </c>
      <c r="ID5" s="6" t="s">
        <v>339</v>
      </c>
      <c r="IE5" s="6" t="s">
        <v>337</v>
      </c>
      <c r="IF5" s="6" t="s">
        <v>341</v>
      </c>
      <c r="IG5" s="6" t="s">
        <v>340</v>
      </c>
      <c r="IH5" s="6" t="s">
        <v>114</v>
      </c>
      <c r="II5" s="6" t="s">
        <v>109</v>
      </c>
      <c r="IJ5" s="5" t="s">
        <v>101</v>
      </c>
      <c r="IK5" s="5" t="s">
        <v>111</v>
      </c>
      <c r="IL5" s="5" t="s">
        <v>107</v>
      </c>
      <c r="IM5" s="5" t="s">
        <v>336</v>
      </c>
      <c r="IN5" s="5" t="s">
        <v>338</v>
      </c>
      <c r="IO5" s="5" t="s">
        <v>339</v>
      </c>
      <c r="IP5" s="5" t="s">
        <v>337</v>
      </c>
      <c r="IQ5" s="5" t="s">
        <v>341</v>
      </c>
      <c r="IR5" s="5" t="s">
        <v>340</v>
      </c>
      <c r="IS5" s="5" t="s">
        <v>114</v>
      </c>
      <c r="IT5" s="5" t="s">
        <v>109</v>
      </c>
      <c r="IU5" s="6" t="s">
        <v>101</v>
      </c>
      <c r="IV5" s="6" t="s">
        <v>111</v>
      </c>
      <c r="IW5" s="6" t="s">
        <v>107</v>
      </c>
      <c r="IX5" s="6" t="s">
        <v>336</v>
      </c>
      <c r="IY5" s="6" t="s">
        <v>338</v>
      </c>
      <c r="IZ5" s="6" t="s">
        <v>339</v>
      </c>
      <c r="JA5" s="6" t="s">
        <v>337</v>
      </c>
      <c r="JB5" s="6" t="s">
        <v>341</v>
      </c>
      <c r="JC5" s="6" t="s">
        <v>340</v>
      </c>
      <c r="JD5" s="6" t="s">
        <v>114</v>
      </c>
      <c r="JE5" s="6" t="s">
        <v>109</v>
      </c>
      <c r="JF5" s="5" t="s">
        <v>101</v>
      </c>
      <c r="JG5" s="5" t="s">
        <v>111</v>
      </c>
      <c r="JH5" s="5" t="s">
        <v>107</v>
      </c>
      <c r="JI5" s="5" t="s">
        <v>336</v>
      </c>
      <c r="JJ5" s="5" t="s">
        <v>338</v>
      </c>
      <c r="JK5" s="5" t="s">
        <v>339</v>
      </c>
      <c r="JL5" s="5" t="s">
        <v>337</v>
      </c>
      <c r="JM5" s="5" t="s">
        <v>341</v>
      </c>
      <c r="JN5" s="5" t="s">
        <v>340</v>
      </c>
      <c r="JO5" s="5" t="s">
        <v>114</v>
      </c>
      <c r="JP5" s="5" t="s">
        <v>109</v>
      </c>
      <c r="JQ5" s="6" t="s">
        <v>101</v>
      </c>
      <c r="JR5" s="6" t="s">
        <v>111</v>
      </c>
      <c r="JS5" s="6" t="s">
        <v>107</v>
      </c>
      <c r="JT5" s="6" t="s">
        <v>336</v>
      </c>
      <c r="JU5" s="6" t="s">
        <v>338</v>
      </c>
      <c r="JV5" s="6" t="s">
        <v>339</v>
      </c>
      <c r="JW5" s="6" t="s">
        <v>337</v>
      </c>
      <c r="JX5" s="6" t="s">
        <v>341</v>
      </c>
      <c r="JY5" s="6" t="s">
        <v>340</v>
      </c>
      <c r="JZ5" s="6" t="s">
        <v>114</v>
      </c>
      <c r="KA5" s="6" t="s">
        <v>109</v>
      </c>
      <c r="KB5" s="5" t="s">
        <v>101</v>
      </c>
      <c r="KC5" s="5" t="s">
        <v>111</v>
      </c>
      <c r="KD5" s="5" t="s">
        <v>107</v>
      </c>
      <c r="KE5" s="5" t="s">
        <v>336</v>
      </c>
      <c r="KF5" s="5" t="s">
        <v>338</v>
      </c>
      <c r="KG5" s="5" t="s">
        <v>339</v>
      </c>
      <c r="KH5" s="5" t="s">
        <v>337</v>
      </c>
      <c r="KI5" s="5" t="s">
        <v>341</v>
      </c>
      <c r="KJ5" s="5" t="s">
        <v>340</v>
      </c>
      <c r="KK5" s="5" t="s">
        <v>114</v>
      </c>
      <c r="KL5" s="5" t="s">
        <v>109</v>
      </c>
      <c r="KM5" s="6" t="s">
        <v>101</v>
      </c>
      <c r="KN5" s="6" t="s">
        <v>111</v>
      </c>
      <c r="KO5" s="6" t="s">
        <v>107</v>
      </c>
      <c r="KP5" s="6" t="s">
        <v>336</v>
      </c>
      <c r="KQ5" s="6" t="s">
        <v>338</v>
      </c>
      <c r="KR5" s="6" t="s">
        <v>339</v>
      </c>
      <c r="KS5" s="6" t="s">
        <v>337</v>
      </c>
      <c r="KT5" s="6" t="s">
        <v>341</v>
      </c>
      <c r="KU5" s="6" t="s">
        <v>340</v>
      </c>
      <c r="KV5" s="6" t="s">
        <v>114</v>
      </c>
      <c r="KW5" s="6" t="s">
        <v>109</v>
      </c>
      <c r="KX5" s="5" t="s">
        <v>101</v>
      </c>
      <c r="KY5" s="5" t="s">
        <v>111</v>
      </c>
      <c r="KZ5" s="5" t="s">
        <v>107</v>
      </c>
      <c r="LA5" s="5" t="s">
        <v>336</v>
      </c>
      <c r="LB5" s="5" t="s">
        <v>338</v>
      </c>
      <c r="LC5" s="5" t="s">
        <v>339</v>
      </c>
      <c r="LD5" s="5" t="s">
        <v>337</v>
      </c>
      <c r="LE5" s="5" t="s">
        <v>341</v>
      </c>
      <c r="LF5" s="5" t="s">
        <v>340</v>
      </c>
      <c r="LG5" s="5" t="s">
        <v>114</v>
      </c>
      <c r="LH5" s="5" t="s">
        <v>109</v>
      </c>
      <c r="LI5" s="6" t="s">
        <v>101</v>
      </c>
      <c r="LJ5" s="6" t="s">
        <v>111</v>
      </c>
      <c r="LK5" s="6" t="s">
        <v>107</v>
      </c>
      <c r="LL5" s="6" t="s">
        <v>336</v>
      </c>
      <c r="LM5" s="6" t="s">
        <v>338</v>
      </c>
      <c r="LN5" s="6" t="s">
        <v>339</v>
      </c>
      <c r="LO5" s="6" t="s">
        <v>337</v>
      </c>
      <c r="LP5" s="6" t="s">
        <v>341</v>
      </c>
      <c r="LQ5" s="6" t="s">
        <v>340</v>
      </c>
      <c r="LR5" s="6" t="s">
        <v>114</v>
      </c>
      <c r="LS5" s="6" t="s">
        <v>109</v>
      </c>
      <c r="LT5" s="5" t="s">
        <v>101</v>
      </c>
      <c r="LU5" s="5" t="s">
        <v>111</v>
      </c>
      <c r="LV5" s="5" t="s">
        <v>107</v>
      </c>
      <c r="LW5" s="5" t="s">
        <v>336</v>
      </c>
      <c r="LX5" s="5" t="s">
        <v>338</v>
      </c>
      <c r="LY5" s="5" t="s">
        <v>339</v>
      </c>
      <c r="LZ5" s="5" t="s">
        <v>337</v>
      </c>
      <c r="MA5" s="5" t="s">
        <v>341</v>
      </c>
      <c r="MB5" s="5" t="s">
        <v>340</v>
      </c>
      <c r="MC5" s="5" t="s">
        <v>114</v>
      </c>
      <c r="MD5" s="5" t="s">
        <v>109</v>
      </c>
      <c r="ME5" s="6" t="s">
        <v>101</v>
      </c>
      <c r="MF5" s="6" t="s">
        <v>111</v>
      </c>
      <c r="MG5" s="6" t="s">
        <v>107</v>
      </c>
      <c r="MH5" s="6" t="s">
        <v>336</v>
      </c>
      <c r="MI5" s="6" t="s">
        <v>338</v>
      </c>
      <c r="MJ5" s="6" t="s">
        <v>339</v>
      </c>
      <c r="MK5" s="6" t="s">
        <v>337</v>
      </c>
      <c r="ML5" s="6" t="s">
        <v>341</v>
      </c>
      <c r="MM5" s="6" t="s">
        <v>340</v>
      </c>
      <c r="MN5" s="6" t="s">
        <v>114</v>
      </c>
      <c r="MO5" s="6" t="s">
        <v>109</v>
      </c>
      <c r="MP5" s="5" t="s">
        <v>101</v>
      </c>
      <c r="MQ5" s="5" t="s">
        <v>111</v>
      </c>
      <c r="MR5" s="5" t="s">
        <v>107</v>
      </c>
      <c r="MS5" s="5" t="s">
        <v>336</v>
      </c>
      <c r="MT5" s="5" t="s">
        <v>338</v>
      </c>
      <c r="MU5" s="5" t="s">
        <v>339</v>
      </c>
      <c r="MV5" s="5" t="s">
        <v>337</v>
      </c>
      <c r="MW5" s="5" t="s">
        <v>341</v>
      </c>
      <c r="MX5" s="5" t="s">
        <v>340</v>
      </c>
      <c r="MY5" s="5" t="s">
        <v>114</v>
      </c>
      <c r="MZ5" s="5" t="s">
        <v>109</v>
      </c>
      <c r="NA5" s="6" t="s">
        <v>101</v>
      </c>
      <c r="NB5" s="6" t="s">
        <v>111</v>
      </c>
      <c r="NC5" s="6" t="s">
        <v>107</v>
      </c>
      <c r="ND5" s="6" t="s">
        <v>336</v>
      </c>
      <c r="NE5" s="6" t="s">
        <v>338</v>
      </c>
      <c r="NF5" s="6" t="s">
        <v>339</v>
      </c>
      <c r="NG5" s="6" t="s">
        <v>337</v>
      </c>
      <c r="NH5" s="6" t="s">
        <v>341</v>
      </c>
      <c r="NI5" s="6" t="s">
        <v>340</v>
      </c>
      <c r="NJ5" s="6" t="s">
        <v>114</v>
      </c>
      <c r="NK5" s="6" t="s">
        <v>109</v>
      </c>
      <c r="NL5" s="54" t="s">
        <v>101</v>
      </c>
      <c r="NM5" s="55" t="s">
        <v>111</v>
      </c>
      <c r="NN5" s="55" t="s">
        <v>107</v>
      </c>
      <c r="NO5" s="55" t="s">
        <v>336</v>
      </c>
      <c r="NP5" s="55" t="s">
        <v>338</v>
      </c>
      <c r="NQ5" s="55" t="s">
        <v>339</v>
      </c>
      <c r="NR5" s="55" t="s">
        <v>337</v>
      </c>
      <c r="NS5" s="55" t="s">
        <v>341</v>
      </c>
      <c r="NT5" s="55" t="s">
        <v>340</v>
      </c>
      <c r="NU5" s="55" t="s">
        <v>114</v>
      </c>
      <c r="NV5" s="55" t="s">
        <v>109</v>
      </c>
      <c r="NW5" s="58" t="s">
        <v>101</v>
      </c>
      <c r="NX5" s="58" t="s">
        <v>111</v>
      </c>
      <c r="NY5" s="58" t="s">
        <v>107</v>
      </c>
      <c r="NZ5" s="58" t="s">
        <v>336</v>
      </c>
      <c r="OA5" s="58" t="s">
        <v>338</v>
      </c>
      <c r="OB5" s="58" t="s">
        <v>339</v>
      </c>
      <c r="OC5" s="58" t="s">
        <v>337</v>
      </c>
      <c r="OD5" s="58" t="s">
        <v>341</v>
      </c>
      <c r="OE5" s="58" t="s">
        <v>340</v>
      </c>
      <c r="OF5" s="58" t="s">
        <v>114</v>
      </c>
      <c r="OG5" s="58" t="s">
        <v>109</v>
      </c>
      <c r="OH5" s="54" t="s">
        <v>101</v>
      </c>
      <c r="OI5" s="55" t="s">
        <v>111</v>
      </c>
      <c r="OJ5" s="55" t="s">
        <v>107</v>
      </c>
      <c r="OK5" s="55" t="s">
        <v>336</v>
      </c>
      <c r="OL5" s="55" t="s">
        <v>338</v>
      </c>
      <c r="OM5" s="55" t="s">
        <v>339</v>
      </c>
      <c r="ON5" s="55" t="s">
        <v>337</v>
      </c>
      <c r="OO5" s="55" t="s">
        <v>341</v>
      </c>
      <c r="OP5" s="55" t="s">
        <v>340</v>
      </c>
      <c r="OQ5" s="55" t="s">
        <v>114</v>
      </c>
      <c r="OR5" s="55" t="s">
        <v>109</v>
      </c>
      <c r="OS5" s="58" t="s">
        <v>101</v>
      </c>
      <c r="OT5" s="58" t="s">
        <v>111</v>
      </c>
      <c r="OU5" s="58" t="s">
        <v>107</v>
      </c>
      <c r="OV5" s="58" t="s">
        <v>336</v>
      </c>
      <c r="OW5" s="58" t="s">
        <v>338</v>
      </c>
      <c r="OX5" s="58" t="s">
        <v>339</v>
      </c>
      <c r="OY5" s="58" t="s">
        <v>337</v>
      </c>
      <c r="OZ5" s="58" t="s">
        <v>341</v>
      </c>
      <c r="PA5" s="58" t="s">
        <v>340</v>
      </c>
      <c r="PB5" s="58" t="s">
        <v>114</v>
      </c>
      <c r="PC5" s="58" t="s">
        <v>109</v>
      </c>
      <c r="PD5" s="54" t="s">
        <v>101</v>
      </c>
      <c r="PE5" s="55" t="s">
        <v>111</v>
      </c>
      <c r="PF5" s="55" t="s">
        <v>107</v>
      </c>
      <c r="PG5" s="55" t="s">
        <v>336</v>
      </c>
      <c r="PH5" s="55" t="s">
        <v>338</v>
      </c>
      <c r="PI5" s="55" t="s">
        <v>339</v>
      </c>
      <c r="PJ5" s="55" t="s">
        <v>337</v>
      </c>
      <c r="PK5" s="55" t="s">
        <v>341</v>
      </c>
      <c r="PL5" s="55" t="s">
        <v>340</v>
      </c>
      <c r="PM5" s="55" t="s">
        <v>114</v>
      </c>
      <c r="PN5" s="55" t="s">
        <v>109</v>
      </c>
      <c r="PO5" s="58" t="s">
        <v>101</v>
      </c>
      <c r="PP5" s="58" t="s">
        <v>111</v>
      </c>
      <c r="PQ5" s="58" t="s">
        <v>107</v>
      </c>
      <c r="PR5" s="58" t="s">
        <v>336</v>
      </c>
      <c r="PS5" s="58" t="s">
        <v>338</v>
      </c>
      <c r="PT5" s="58" t="s">
        <v>339</v>
      </c>
      <c r="PU5" s="58" t="s">
        <v>337</v>
      </c>
      <c r="PV5" s="58" t="s">
        <v>341</v>
      </c>
      <c r="PW5" s="58" t="s">
        <v>340</v>
      </c>
      <c r="PX5" s="58" t="s">
        <v>114</v>
      </c>
      <c r="PY5" s="58" t="s">
        <v>109</v>
      </c>
      <c r="PZ5" s="54" t="s">
        <v>101</v>
      </c>
      <c r="QA5" s="55" t="s">
        <v>111</v>
      </c>
      <c r="QB5" s="55" t="s">
        <v>107</v>
      </c>
      <c r="QC5" s="55" t="s">
        <v>336</v>
      </c>
      <c r="QD5" s="55" t="s">
        <v>338</v>
      </c>
      <c r="QE5" s="55" t="s">
        <v>339</v>
      </c>
      <c r="QF5" s="55" t="s">
        <v>337</v>
      </c>
      <c r="QG5" s="55" t="s">
        <v>341</v>
      </c>
      <c r="QH5" s="55" t="s">
        <v>340</v>
      </c>
      <c r="QI5" s="55" t="s">
        <v>114</v>
      </c>
      <c r="QJ5" s="55" t="s">
        <v>109</v>
      </c>
      <c r="QK5" s="58" t="s">
        <v>101</v>
      </c>
      <c r="QL5" s="58" t="s">
        <v>111</v>
      </c>
      <c r="QM5" s="58" t="s">
        <v>107</v>
      </c>
      <c r="QN5" s="58" t="s">
        <v>336</v>
      </c>
      <c r="QO5" s="58" t="s">
        <v>338</v>
      </c>
      <c r="QP5" s="58" t="s">
        <v>339</v>
      </c>
      <c r="QQ5" s="58" t="s">
        <v>337</v>
      </c>
      <c r="QR5" s="58" t="s">
        <v>341</v>
      </c>
      <c r="QS5" s="58" t="s">
        <v>340</v>
      </c>
      <c r="QT5" s="58" t="s">
        <v>114</v>
      </c>
      <c r="QU5" s="58" t="s">
        <v>109</v>
      </c>
      <c r="QV5" s="54" t="s">
        <v>101</v>
      </c>
      <c r="QW5" s="55" t="s">
        <v>111</v>
      </c>
      <c r="QX5" s="55" t="s">
        <v>107</v>
      </c>
      <c r="QY5" s="55" t="s">
        <v>336</v>
      </c>
      <c r="QZ5" s="55" t="s">
        <v>338</v>
      </c>
      <c r="RA5" s="55" t="s">
        <v>339</v>
      </c>
      <c r="RB5" s="55" t="s">
        <v>337</v>
      </c>
      <c r="RC5" s="55" t="s">
        <v>341</v>
      </c>
      <c r="RD5" s="55" t="s">
        <v>340</v>
      </c>
      <c r="RE5" s="55" t="s">
        <v>114</v>
      </c>
      <c r="RF5" s="55" t="s">
        <v>109</v>
      </c>
      <c r="RG5" s="58" t="s">
        <v>101</v>
      </c>
      <c r="RH5" s="58" t="s">
        <v>111</v>
      </c>
      <c r="RI5" s="58" t="s">
        <v>107</v>
      </c>
      <c r="RJ5" s="58" t="s">
        <v>336</v>
      </c>
      <c r="RK5" s="58" t="s">
        <v>338</v>
      </c>
      <c r="RL5" s="58" t="s">
        <v>339</v>
      </c>
      <c r="RM5" s="58" t="s">
        <v>337</v>
      </c>
      <c r="RN5" s="58" t="s">
        <v>341</v>
      </c>
      <c r="RO5" s="58" t="s">
        <v>340</v>
      </c>
      <c r="RP5" s="58" t="s">
        <v>114</v>
      </c>
      <c r="RQ5" s="58" t="s">
        <v>109</v>
      </c>
      <c r="RR5" s="54" t="s">
        <v>101</v>
      </c>
      <c r="RS5" s="55" t="s">
        <v>111</v>
      </c>
      <c r="RT5" s="55" t="s">
        <v>107</v>
      </c>
      <c r="RU5" s="55" t="s">
        <v>336</v>
      </c>
      <c r="RV5" s="55" t="s">
        <v>338</v>
      </c>
      <c r="RW5" s="55" t="s">
        <v>339</v>
      </c>
      <c r="RX5" s="55" t="s">
        <v>337</v>
      </c>
      <c r="RY5" s="55" t="s">
        <v>341</v>
      </c>
      <c r="RZ5" s="55" t="s">
        <v>340</v>
      </c>
      <c r="SA5" s="55" t="s">
        <v>114</v>
      </c>
      <c r="SB5" s="55" t="s">
        <v>109</v>
      </c>
      <c r="SC5" s="58" t="s">
        <v>101</v>
      </c>
      <c r="SD5" s="58" t="s">
        <v>111</v>
      </c>
      <c r="SE5" s="58" t="s">
        <v>107</v>
      </c>
      <c r="SF5" s="58" t="s">
        <v>336</v>
      </c>
      <c r="SG5" s="58" t="s">
        <v>338</v>
      </c>
      <c r="SH5" s="58" t="s">
        <v>339</v>
      </c>
      <c r="SI5" s="58" t="s">
        <v>337</v>
      </c>
      <c r="SJ5" s="58" t="s">
        <v>341</v>
      </c>
      <c r="SK5" s="58" t="s">
        <v>340</v>
      </c>
      <c r="SL5" s="58" t="s">
        <v>114</v>
      </c>
      <c r="SM5" s="58" t="s">
        <v>109</v>
      </c>
      <c r="SN5" s="54" t="s">
        <v>101</v>
      </c>
      <c r="SO5" s="55" t="s">
        <v>111</v>
      </c>
      <c r="SP5" s="55" t="s">
        <v>107</v>
      </c>
      <c r="SQ5" s="55" t="s">
        <v>336</v>
      </c>
      <c r="SR5" s="55" t="s">
        <v>338</v>
      </c>
      <c r="SS5" s="55" t="s">
        <v>339</v>
      </c>
      <c r="ST5" s="55" t="s">
        <v>337</v>
      </c>
      <c r="SU5" s="55" t="s">
        <v>341</v>
      </c>
      <c r="SV5" s="55" t="s">
        <v>340</v>
      </c>
      <c r="SW5" s="55" t="s">
        <v>114</v>
      </c>
      <c r="SX5" s="55" t="s">
        <v>109</v>
      </c>
      <c r="SY5" s="58" t="s">
        <v>101</v>
      </c>
      <c r="SZ5" s="58" t="s">
        <v>111</v>
      </c>
      <c r="TA5" s="58" t="s">
        <v>107</v>
      </c>
      <c r="TB5" s="58" t="s">
        <v>336</v>
      </c>
      <c r="TC5" s="58" t="s">
        <v>338</v>
      </c>
      <c r="TD5" s="58" t="s">
        <v>339</v>
      </c>
      <c r="TE5" s="58" t="s">
        <v>337</v>
      </c>
      <c r="TF5" s="58" t="s">
        <v>341</v>
      </c>
      <c r="TG5" s="58" t="s">
        <v>340</v>
      </c>
      <c r="TH5" s="58" t="s">
        <v>114</v>
      </c>
      <c r="TI5" s="58" t="s">
        <v>109</v>
      </c>
      <c r="TJ5" s="54" t="s">
        <v>101</v>
      </c>
      <c r="TK5" s="55" t="s">
        <v>111</v>
      </c>
      <c r="TL5" s="55" t="s">
        <v>107</v>
      </c>
      <c r="TM5" s="55" t="s">
        <v>336</v>
      </c>
      <c r="TN5" s="55" t="s">
        <v>338</v>
      </c>
      <c r="TO5" s="55" t="s">
        <v>339</v>
      </c>
      <c r="TP5" s="55" t="s">
        <v>337</v>
      </c>
      <c r="TQ5" s="55" t="s">
        <v>341</v>
      </c>
      <c r="TR5" s="55" t="s">
        <v>340</v>
      </c>
      <c r="TS5" s="55" t="s">
        <v>114</v>
      </c>
      <c r="TT5" s="55" t="s">
        <v>109</v>
      </c>
      <c r="TU5" s="58" t="s">
        <v>101</v>
      </c>
      <c r="TV5" s="58" t="s">
        <v>111</v>
      </c>
      <c r="TW5" s="58" t="s">
        <v>107</v>
      </c>
      <c r="TX5" s="58" t="s">
        <v>336</v>
      </c>
      <c r="TY5" s="58" t="s">
        <v>338</v>
      </c>
      <c r="TZ5" s="58" t="s">
        <v>339</v>
      </c>
      <c r="UA5" s="58" t="s">
        <v>337</v>
      </c>
      <c r="UB5" s="58" t="s">
        <v>341</v>
      </c>
      <c r="UC5" s="58" t="s">
        <v>340</v>
      </c>
      <c r="UD5" s="58" t="s">
        <v>114</v>
      </c>
      <c r="UE5" s="58" t="s">
        <v>109</v>
      </c>
      <c r="UF5" s="54" t="s">
        <v>101</v>
      </c>
      <c r="UG5" s="55" t="s">
        <v>111</v>
      </c>
      <c r="UH5" s="55" t="s">
        <v>107</v>
      </c>
      <c r="UI5" s="55" t="s">
        <v>336</v>
      </c>
      <c r="UJ5" s="55" t="s">
        <v>338</v>
      </c>
      <c r="UK5" s="55" t="s">
        <v>339</v>
      </c>
      <c r="UL5" s="55" t="s">
        <v>337</v>
      </c>
      <c r="UM5" s="55" t="s">
        <v>341</v>
      </c>
      <c r="UN5" s="55" t="s">
        <v>340</v>
      </c>
      <c r="UO5" s="55" t="s">
        <v>114</v>
      </c>
      <c r="UP5" s="55" t="s">
        <v>109</v>
      </c>
      <c r="UQ5" s="58" t="s">
        <v>101</v>
      </c>
      <c r="UR5" s="58" t="s">
        <v>111</v>
      </c>
      <c r="US5" s="58" t="s">
        <v>107</v>
      </c>
      <c r="UT5" s="58" t="s">
        <v>336</v>
      </c>
      <c r="UU5" s="58" t="s">
        <v>338</v>
      </c>
      <c r="UV5" s="58" t="s">
        <v>339</v>
      </c>
      <c r="UW5" s="58" t="s">
        <v>337</v>
      </c>
      <c r="UX5" s="58" t="s">
        <v>341</v>
      </c>
      <c r="UY5" s="58" t="s">
        <v>340</v>
      </c>
      <c r="UZ5" s="58" t="s">
        <v>114</v>
      </c>
      <c r="VA5" s="58" t="s">
        <v>109</v>
      </c>
      <c r="VB5" s="54" t="s">
        <v>101</v>
      </c>
      <c r="VC5" s="55" t="s">
        <v>111</v>
      </c>
      <c r="VD5" s="55" t="s">
        <v>107</v>
      </c>
      <c r="VE5" s="55" t="s">
        <v>336</v>
      </c>
      <c r="VF5" s="55" t="s">
        <v>338</v>
      </c>
      <c r="VG5" s="55" t="s">
        <v>339</v>
      </c>
      <c r="VH5" s="55" t="s">
        <v>337</v>
      </c>
      <c r="VI5" s="55" t="s">
        <v>341</v>
      </c>
      <c r="VJ5" s="55" t="s">
        <v>340</v>
      </c>
      <c r="VK5" s="55" t="s">
        <v>114</v>
      </c>
      <c r="VL5" s="55" t="s">
        <v>109</v>
      </c>
      <c r="VM5" s="58" t="s">
        <v>101</v>
      </c>
      <c r="VN5" s="58" t="s">
        <v>111</v>
      </c>
      <c r="VO5" s="58" t="s">
        <v>107</v>
      </c>
      <c r="VP5" s="58" t="s">
        <v>336</v>
      </c>
      <c r="VQ5" s="58" t="s">
        <v>338</v>
      </c>
      <c r="VR5" s="58" t="s">
        <v>339</v>
      </c>
      <c r="VS5" s="58" t="s">
        <v>337</v>
      </c>
      <c r="VT5" s="58" t="s">
        <v>341</v>
      </c>
      <c r="VU5" s="58" t="s">
        <v>340</v>
      </c>
      <c r="VV5" s="58" t="s">
        <v>114</v>
      </c>
      <c r="VW5" s="58" t="s">
        <v>109</v>
      </c>
      <c r="VX5" s="54" t="s">
        <v>101</v>
      </c>
      <c r="VY5" s="55" t="s">
        <v>111</v>
      </c>
      <c r="VZ5" s="55" t="s">
        <v>107</v>
      </c>
      <c r="WA5" s="55" t="s">
        <v>336</v>
      </c>
      <c r="WB5" s="55" t="s">
        <v>338</v>
      </c>
      <c r="WC5" s="55" t="s">
        <v>339</v>
      </c>
      <c r="WD5" s="55" t="s">
        <v>337</v>
      </c>
      <c r="WE5" s="55" t="s">
        <v>341</v>
      </c>
      <c r="WF5" s="55" t="s">
        <v>340</v>
      </c>
      <c r="WG5" s="55" t="s">
        <v>114</v>
      </c>
      <c r="WH5" s="55" t="s">
        <v>109</v>
      </c>
      <c r="WI5" s="58" t="s">
        <v>101</v>
      </c>
      <c r="WJ5" s="58" t="s">
        <v>111</v>
      </c>
      <c r="WK5" s="58" t="s">
        <v>107</v>
      </c>
      <c r="WL5" s="58" t="s">
        <v>336</v>
      </c>
      <c r="WM5" s="58" t="s">
        <v>338</v>
      </c>
      <c r="WN5" s="58" t="s">
        <v>339</v>
      </c>
      <c r="WO5" s="58" t="s">
        <v>337</v>
      </c>
      <c r="WP5" s="58" t="s">
        <v>341</v>
      </c>
      <c r="WQ5" s="58" t="s">
        <v>340</v>
      </c>
      <c r="WR5" s="58" t="s">
        <v>114</v>
      </c>
      <c r="WS5" s="58" t="s">
        <v>109</v>
      </c>
      <c r="WT5" s="54" t="s">
        <v>101</v>
      </c>
      <c r="WU5" s="55" t="s">
        <v>111</v>
      </c>
      <c r="WV5" s="55" t="s">
        <v>107</v>
      </c>
      <c r="WW5" s="55" t="s">
        <v>336</v>
      </c>
      <c r="WX5" s="55" t="s">
        <v>338</v>
      </c>
      <c r="WY5" s="55" t="s">
        <v>339</v>
      </c>
      <c r="WZ5" s="55" t="s">
        <v>337</v>
      </c>
      <c r="XA5" s="55" t="s">
        <v>341</v>
      </c>
      <c r="XB5" s="55" t="s">
        <v>340</v>
      </c>
      <c r="XC5" s="55" t="s">
        <v>114</v>
      </c>
      <c r="XD5" s="55" t="s">
        <v>109</v>
      </c>
      <c r="XE5" s="58" t="s">
        <v>101</v>
      </c>
      <c r="XF5" s="58" t="s">
        <v>111</v>
      </c>
      <c r="XG5" s="58" t="s">
        <v>107</v>
      </c>
      <c r="XH5" s="58" t="s">
        <v>336</v>
      </c>
      <c r="XI5" s="58" t="s">
        <v>338</v>
      </c>
      <c r="XJ5" s="58" t="s">
        <v>339</v>
      </c>
      <c r="XK5" s="58" t="s">
        <v>337</v>
      </c>
      <c r="XL5" s="58" t="s">
        <v>341</v>
      </c>
      <c r="XM5" s="58" t="s">
        <v>340</v>
      </c>
      <c r="XN5" s="58" t="s">
        <v>114</v>
      </c>
      <c r="XO5" s="58" t="s">
        <v>109</v>
      </c>
      <c r="XP5" s="54" t="s">
        <v>101</v>
      </c>
      <c r="XQ5" s="55" t="s">
        <v>111</v>
      </c>
      <c r="XR5" s="55" t="s">
        <v>107</v>
      </c>
      <c r="XS5" s="55" t="s">
        <v>336</v>
      </c>
      <c r="XT5" s="55" t="s">
        <v>338</v>
      </c>
      <c r="XU5" s="55" t="s">
        <v>339</v>
      </c>
      <c r="XV5" s="55" t="s">
        <v>337</v>
      </c>
      <c r="XW5" s="55" t="s">
        <v>341</v>
      </c>
      <c r="XX5" s="55" t="s">
        <v>340</v>
      </c>
      <c r="XY5" s="55" t="s">
        <v>114</v>
      </c>
      <c r="XZ5" s="55" t="s">
        <v>109</v>
      </c>
      <c r="YA5" s="58" t="s">
        <v>101</v>
      </c>
      <c r="YB5" s="58" t="s">
        <v>111</v>
      </c>
      <c r="YC5" s="58" t="s">
        <v>107</v>
      </c>
      <c r="YD5" s="58" t="s">
        <v>336</v>
      </c>
      <c r="YE5" s="58" t="s">
        <v>338</v>
      </c>
      <c r="YF5" s="58" t="s">
        <v>339</v>
      </c>
      <c r="YG5" s="58" t="s">
        <v>337</v>
      </c>
      <c r="YH5" s="58" t="s">
        <v>341</v>
      </c>
      <c r="YI5" s="58" t="s">
        <v>340</v>
      </c>
      <c r="YJ5" s="58" t="s">
        <v>114</v>
      </c>
      <c r="YK5" s="58" t="s">
        <v>109</v>
      </c>
      <c r="YL5" s="54" t="s">
        <v>101</v>
      </c>
      <c r="YM5" s="55" t="s">
        <v>111</v>
      </c>
      <c r="YN5" s="55" t="s">
        <v>107</v>
      </c>
      <c r="YO5" s="55" t="s">
        <v>336</v>
      </c>
      <c r="YP5" s="55" t="s">
        <v>338</v>
      </c>
      <c r="YQ5" s="55" t="s">
        <v>339</v>
      </c>
      <c r="YR5" s="55" t="s">
        <v>337</v>
      </c>
      <c r="YS5" s="55" t="s">
        <v>341</v>
      </c>
      <c r="YT5" s="55" t="s">
        <v>340</v>
      </c>
      <c r="YU5" s="55" t="s">
        <v>114</v>
      </c>
      <c r="YV5" s="55" t="s">
        <v>109</v>
      </c>
      <c r="YW5" s="58" t="s">
        <v>101</v>
      </c>
      <c r="YX5" s="58" t="s">
        <v>111</v>
      </c>
      <c r="YY5" s="58" t="s">
        <v>107</v>
      </c>
      <c r="YZ5" s="58" t="s">
        <v>336</v>
      </c>
      <c r="ZA5" s="58" t="s">
        <v>338</v>
      </c>
      <c r="ZB5" s="58" t="s">
        <v>339</v>
      </c>
      <c r="ZC5" s="58" t="s">
        <v>337</v>
      </c>
      <c r="ZD5" s="58" t="s">
        <v>341</v>
      </c>
      <c r="ZE5" s="58" t="s">
        <v>340</v>
      </c>
      <c r="ZF5" s="58" t="s">
        <v>114</v>
      </c>
      <c r="ZG5" s="58" t="s">
        <v>109</v>
      </c>
      <c r="ZH5" s="54" t="s">
        <v>101</v>
      </c>
      <c r="ZI5" s="55" t="s">
        <v>111</v>
      </c>
      <c r="ZJ5" s="55" t="s">
        <v>107</v>
      </c>
      <c r="ZK5" s="55" t="s">
        <v>336</v>
      </c>
      <c r="ZL5" s="55" t="s">
        <v>338</v>
      </c>
      <c r="ZM5" s="55" t="s">
        <v>339</v>
      </c>
      <c r="ZN5" s="55" t="s">
        <v>337</v>
      </c>
      <c r="ZO5" s="55" t="s">
        <v>341</v>
      </c>
      <c r="ZP5" s="55" t="s">
        <v>340</v>
      </c>
      <c r="ZQ5" s="55" t="s">
        <v>114</v>
      </c>
      <c r="ZR5" s="55" t="s">
        <v>109</v>
      </c>
      <c r="ZS5" s="58" t="s">
        <v>101</v>
      </c>
      <c r="ZT5" s="58" t="s">
        <v>111</v>
      </c>
      <c r="ZU5" s="58" t="s">
        <v>107</v>
      </c>
      <c r="ZV5" s="58" t="s">
        <v>336</v>
      </c>
      <c r="ZW5" s="58" t="s">
        <v>338</v>
      </c>
      <c r="ZX5" s="58" t="s">
        <v>339</v>
      </c>
      <c r="ZY5" s="58" t="s">
        <v>337</v>
      </c>
      <c r="ZZ5" s="58" t="s">
        <v>341</v>
      </c>
      <c r="AAA5" s="58" t="s">
        <v>340</v>
      </c>
      <c r="AAB5" s="58" t="s">
        <v>114</v>
      </c>
      <c r="AAC5" s="58" t="s">
        <v>109</v>
      </c>
      <c r="AAD5" s="5" t="s">
        <v>101</v>
      </c>
      <c r="AAE5" s="5" t="s">
        <v>111</v>
      </c>
      <c r="AAF5" s="5" t="s">
        <v>107</v>
      </c>
      <c r="AAG5" s="5" t="s">
        <v>336</v>
      </c>
      <c r="AAH5" s="5" t="s">
        <v>338</v>
      </c>
      <c r="AAI5" s="5" t="s">
        <v>339</v>
      </c>
      <c r="AAJ5" s="5" t="s">
        <v>337</v>
      </c>
      <c r="AAK5" s="5" t="s">
        <v>341</v>
      </c>
      <c r="AAL5" s="5" t="s">
        <v>340</v>
      </c>
      <c r="AAM5" s="5" t="s">
        <v>114</v>
      </c>
      <c r="AAN5" s="5" t="s">
        <v>109</v>
      </c>
      <c r="AAO5" s="6" t="s">
        <v>101</v>
      </c>
      <c r="AAP5" s="6" t="s">
        <v>111</v>
      </c>
      <c r="AAQ5" s="6" t="s">
        <v>107</v>
      </c>
      <c r="AAR5" s="6" t="s">
        <v>336</v>
      </c>
      <c r="AAS5" s="6" t="s">
        <v>338</v>
      </c>
      <c r="AAT5" s="6" t="s">
        <v>339</v>
      </c>
      <c r="AAU5" s="6" t="s">
        <v>337</v>
      </c>
      <c r="AAV5" s="6" t="s">
        <v>341</v>
      </c>
      <c r="AAW5" s="6" t="s">
        <v>340</v>
      </c>
      <c r="AAX5" s="6" t="s">
        <v>114</v>
      </c>
      <c r="AAY5" s="6" t="s">
        <v>109</v>
      </c>
      <c r="AAZ5" s="5" t="s">
        <v>101</v>
      </c>
      <c r="ABA5" s="5" t="s">
        <v>111</v>
      </c>
      <c r="ABB5" s="5" t="s">
        <v>107</v>
      </c>
      <c r="ABC5" s="5" t="s">
        <v>336</v>
      </c>
      <c r="ABD5" s="5" t="s">
        <v>338</v>
      </c>
      <c r="ABE5" s="5" t="s">
        <v>339</v>
      </c>
      <c r="ABF5" s="5" t="s">
        <v>337</v>
      </c>
      <c r="ABG5" s="5" t="s">
        <v>341</v>
      </c>
      <c r="ABH5" s="5" t="s">
        <v>340</v>
      </c>
      <c r="ABI5" s="5" t="s">
        <v>114</v>
      </c>
      <c r="ABJ5" s="5" t="s">
        <v>109</v>
      </c>
      <c r="ABK5" s="6" t="s">
        <v>101</v>
      </c>
      <c r="ABL5" s="6" t="s">
        <v>111</v>
      </c>
      <c r="ABM5" s="6" t="s">
        <v>107</v>
      </c>
      <c r="ABN5" s="6" t="s">
        <v>336</v>
      </c>
      <c r="ABO5" s="6" t="s">
        <v>338</v>
      </c>
      <c r="ABP5" s="6" t="s">
        <v>339</v>
      </c>
      <c r="ABQ5" s="6" t="s">
        <v>337</v>
      </c>
      <c r="ABR5" s="6" t="s">
        <v>341</v>
      </c>
      <c r="ABS5" s="6" t="s">
        <v>340</v>
      </c>
      <c r="ABT5" s="6" t="s">
        <v>114</v>
      </c>
      <c r="ABU5" s="6" t="s">
        <v>109</v>
      </c>
      <c r="ABV5" s="5" t="s">
        <v>101</v>
      </c>
      <c r="ABW5" s="5" t="s">
        <v>111</v>
      </c>
      <c r="ABX5" s="5" t="s">
        <v>107</v>
      </c>
      <c r="ABY5" s="5" t="s">
        <v>336</v>
      </c>
      <c r="ABZ5" s="5" t="s">
        <v>338</v>
      </c>
      <c r="ACA5" s="5" t="s">
        <v>339</v>
      </c>
      <c r="ACB5" s="5" t="s">
        <v>337</v>
      </c>
      <c r="ACC5" s="5" t="s">
        <v>341</v>
      </c>
      <c r="ACD5" s="5" t="s">
        <v>340</v>
      </c>
      <c r="ACE5" s="5" t="s">
        <v>114</v>
      </c>
      <c r="ACF5" s="5" t="s">
        <v>109</v>
      </c>
      <c r="ACG5" s="6" t="s">
        <v>101</v>
      </c>
      <c r="ACH5" s="6" t="s">
        <v>111</v>
      </c>
      <c r="ACI5" s="6" t="s">
        <v>107</v>
      </c>
      <c r="ACJ5" s="6" t="s">
        <v>336</v>
      </c>
      <c r="ACK5" s="6" t="s">
        <v>338</v>
      </c>
      <c r="ACL5" s="6" t="s">
        <v>339</v>
      </c>
      <c r="ACM5" s="6" t="s">
        <v>337</v>
      </c>
      <c r="ACN5" s="6" t="s">
        <v>341</v>
      </c>
      <c r="ACO5" s="6" t="s">
        <v>340</v>
      </c>
      <c r="ACP5" s="6" t="s">
        <v>114</v>
      </c>
      <c r="ACQ5" s="6" t="s">
        <v>109</v>
      </c>
      <c r="ACR5" s="5" t="s">
        <v>101</v>
      </c>
      <c r="ACS5" s="5" t="s">
        <v>111</v>
      </c>
      <c r="ACT5" s="5" t="s">
        <v>107</v>
      </c>
      <c r="ACU5" s="5" t="s">
        <v>336</v>
      </c>
      <c r="ACV5" s="5" t="s">
        <v>338</v>
      </c>
      <c r="ACW5" s="5" t="s">
        <v>339</v>
      </c>
      <c r="ACX5" s="5" t="s">
        <v>337</v>
      </c>
      <c r="ACY5" s="5" t="s">
        <v>341</v>
      </c>
      <c r="ACZ5" s="5" t="s">
        <v>340</v>
      </c>
      <c r="ADA5" s="5" t="s">
        <v>114</v>
      </c>
      <c r="ADB5" s="5" t="s">
        <v>109</v>
      </c>
      <c r="ADC5" s="6" t="s">
        <v>101</v>
      </c>
      <c r="ADD5" s="6" t="s">
        <v>111</v>
      </c>
      <c r="ADE5" s="6" t="s">
        <v>107</v>
      </c>
      <c r="ADF5" s="6" t="s">
        <v>336</v>
      </c>
      <c r="ADG5" s="6" t="s">
        <v>338</v>
      </c>
      <c r="ADH5" s="6" t="s">
        <v>339</v>
      </c>
      <c r="ADI5" s="6" t="s">
        <v>337</v>
      </c>
      <c r="ADJ5" s="6" t="s">
        <v>341</v>
      </c>
      <c r="ADK5" s="6" t="s">
        <v>340</v>
      </c>
      <c r="ADL5" s="6" t="s">
        <v>114</v>
      </c>
      <c r="ADM5" s="6" t="s">
        <v>109</v>
      </c>
      <c r="ADN5" s="5" t="s">
        <v>101</v>
      </c>
      <c r="ADO5" s="5" t="s">
        <v>111</v>
      </c>
      <c r="ADP5" s="5" t="s">
        <v>107</v>
      </c>
      <c r="ADQ5" s="5" t="s">
        <v>336</v>
      </c>
      <c r="ADR5" s="5" t="s">
        <v>338</v>
      </c>
      <c r="ADS5" s="5" t="s">
        <v>339</v>
      </c>
      <c r="ADT5" s="5" t="s">
        <v>337</v>
      </c>
      <c r="ADU5" s="5" t="s">
        <v>341</v>
      </c>
      <c r="ADV5" s="5" t="s">
        <v>340</v>
      </c>
      <c r="ADW5" s="5" t="s">
        <v>114</v>
      </c>
      <c r="ADX5" s="5" t="s">
        <v>109</v>
      </c>
      <c r="ADY5" s="6" t="s">
        <v>101</v>
      </c>
      <c r="ADZ5" s="6" t="s">
        <v>111</v>
      </c>
      <c r="AEA5" s="6" t="s">
        <v>107</v>
      </c>
      <c r="AEB5" s="6" t="s">
        <v>336</v>
      </c>
      <c r="AEC5" s="6" t="s">
        <v>338</v>
      </c>
      <c r="AED5" s="6" t="s">
        <v>339</v>
      </c>
      <c r="AEE5" s="6" t="s">
        <v>337</v>
      </c>
      <c r="AEF5" s="6" t="s">
        <v>341</v>
      </c>
      <c r="AEG5" s="6" t="s">
        <v>340</v>
      </c>
      <c r="AEH5" s="6" t="s">
        <v>114</v>
      </c>
      <c r="AEI5" s="6" t="s">
        <v>109</v>
      </c>
      <c r="AEJ5" s="5" t="s">
        <v>101</v>
      </c>
      <c r="AEK5" s="5" t="s">
        <v>111</v>
      </c>
      <c r="AEL5" s="5" t="s">
        <v>107</v>
      </c>
      <c r="AEM5" s="5" t="s">
        <v>336</v>
      </c>
      <c r="AEN5" s="5" t="s">
        <v>338</v>
      </c>
      <c r="AEO5" s="5" t="s">
        <v>339</v>
      </c>
      <c r="AEP5" s="5" t="s">
        <v>337</v>
      </c>
      <c r="AEQ5" s="5" t="s">
        <v>341</v>
      </c>
      <c r="AER5" s="5" t="s">
        <v>340</v>
      </c>
      <c r="AES5" s="5" t="s">
        <v>114</v>
      </c>
      <c r="AET5" s="5" t="s">
        <v>109</v>
      </c>
      <c r="AEU5" s="6" t="s">
        <v>101</v>
      </c>
      <c r="AEV5" s="6" t="s">
        <v>111</v>
      </c>
      <c r="AEW5" s="6" t="s">
        <v>107</v>
      </c>
      <c r="AEX5" s="6" t="s">
        <v>336</v>
      </c>
      <c r="AEY5" s="6" t="s">
        <v>338</v>
      </c>
      <c r="AEZ5" s="6" t="s">
        <v>339</v>
      </c>
      <c r="AFA5" s="6" t="s">
        <v>337</v>
      </c>
      <c r="AFB5" s="6" t="s">
        <v>341</v>
      </c>
      <c r="AFC5" s="6" t="s">
        <v>340</v>
      </c>
      <c r="AFD5" s="6" t="s">
        <v>114</v>
      </c>
      <c r="AFE5" s="6" t="s">
        <v>109</v>
      </c>
      <c r="AFF5" s="5" t="s">
        <v>101</v>
      </c>
      <c r="AFG5" s="5" t="s">
        <v>111</v>
      </c>
      <c r="AFH5" s="5" t="s">
        <v>107</v>
      </c>
      <c r="AFI5" s="5" t="s">
        <v>336</v>
      </c>
      <c r="AFJ5" s="5" t="s">
        <v>338</v>
      </c>
      <c r="AFK5" s="5" t="s">
        <v>339</v>
      </c>
      <c r="AFL5" s="5" t="s">
        <v>337</v>
      </c>
      <c r="AFM5" s="5" t="s">
        <v>341</v>
      </c>
      <c r="AFN5" s="5" t="s">
        <v>340</v>
      </c>
      <c r="AFO5" s="5" t="s">
        <v>114</v>
      </c>
      <c r="AFP5" s="5" t="s">
        <v>109</v>
      </c>
      <c r="AFQ5" s="6" t="s">
        <v>101</v>
      </c>
      <c r="AFR5" s="6" t="s">
        <v>111</v>
      </c>
      <c r="AFS5" s="6" t="s">
        <v>107</v>
      </c>
      <c r="AFT5" s="6" t="s">
        <v>336</v>
      </c>
      <c r="AFU5" s="6" t="s">
        <v>338</v>
      </c>
      <c r="AFV5" s="6" t="s">
        <v>339</v>
      </c>
      <c r="AFW5" s="6" t="s">
        <v>337</v>
      </c>
      <c r="AFX5" s="6" t="s">
        <v>341</v>
      </c>
      <c r="AFY5" s="6" t="s">
        <v>340</v>
      </c>
      <c r="AFZ5" s="6" t="s">
        <v>114</v>
      </c>
      <c r="AGA5" s="6" t="s">
        <v>109</v>
      </c>
      <c r="AGB5" s="5" t="s">
        <v>101</v>
      </c>
      <c r="AGC5" s="5" t="s">
        <v>111</v>
      </c>
      <c r="AGD5" s="5" t="s">
        <v>107</v>
      </c>
      <c r="AGE5" s="5" t="s">
        <v>336</v>
      </c>
      <c r="AGF5" s="5" t="s">
        <v>338</v>
      </c>
      <c r="AGG5" s="5" t="s">
        <v>339</v>
      </c>
      <c r="AGH5" s="5" t="s">
        <v>337</v>
      </c>
      <c r="AGI5" s="5" t="s">
        <v>341</v>
      </c>
      <c r="AGJ5" s="5" t="s">
        <v>340</v>
      </c>
      <c r="AGK5" s="5" t="s">
        <v>114</v>
      </c>
      <c r="AGL5" s="5" t="s">
        <v>109</v>
      </c>
      <c r="AGM5" s="6" t="s">
        <v>101</v>
      </c>
      <c r="AGN5" s="6" t="s">
        <v>111</v>
      </c>
      <c r="AGO5" s="6" t="s">
        <v>107</v>
      </c>
      <c r="AGP5" s="6" t="s">
        <v>336</v>
      </c>
      <c r="AGQ5" s="6" t="s">
        <v>338</v>
      </c>
      <c r="AGR5" s="6" t="s">
        <v>339</v>
      </c>
      <c r="AGS5" s="6" t="s">
        <v>337</v>
      </c>
      <c r="AGT5" s="6" t="s">
        <v>341</v>
      </c>
      <c r="AGU5" s="6" t="s">
        <v>340</v>
      </c>
      <c r="AGV5" s="6" t="s">
        <v>114</v>
      </c>
      <c r="AGW5" s="6" t="s">
        <v>109</v>
      </c>
      <c r="AGX5" s="5" t="s">
        <v>101</v>
      </c>
      <c r="AGY5" s="5" t="s">
        <v>111</v>
      </c>
      <c r="AGZ5" s="5" t="s">
        <v>107</v>
      </c>
      <c r="AHA5" s="5" t="s">
        <v>336</v>
      </c>
      <c r="AHB5" s="5" t="s">
        <v>338</v>
      </c>
      <c r="AHC5" s="5" t="s">
        <v>339</v>
      </c>
      <c r="AHD5" s="5" t="s">
        <v>337</v>
      </c>
      <c r="AHE5" s="5" t="s">
        <v>341</v>
      </c>
      <c r="AHF5" s="5" t="s">
        <v>340</v>
      </c>
      <c r="AHG5" s="5" t="s">
        <v>114</v>
      </c>
      <c r="AHH5" s="5" t="s">
        <v>109</v>
      </c>
      <c r="AHI5" s="6" t="s">
        <v>101</v>
      </c>
      <c r="AHJ5" s="6" t="s">
        <v>111</v>
      </c>
      <c r="AHK5" s="6" t="s">
        <v>107</v>
      </c>
      <c r="AHL5" s="6" t="s">
        <v>336</v>
      </c>
      <c r="AHM5" s="6" t="s">
        <v>338</v>
      </c>
      <c r="AHN5" s="6" t="s">
        <v>339</v>
      </c>
      <c r="AHO5" s="6" t="s">
        <v>337</v>
      </c>
      <c r="AHP5" s="6" t="s">
        <v>341</v>
      </c>
      <c r="AHQ5" s="6" t="s">
        <v>340</v>
      </c>
      <c r="AHR5" s="6" t="s">
        <v>114</v>
      </c>
      <c r="AHS5" s="6" t="s">
        <v>109</v>
      </c>
      <c r="AHT5" s="5" t="s">
        <v>101</v>
      </c>
      <c r="AHU5" s="5" t="s">
        <v>111</v>
      </c>
      <c r="AHV5" s="5" t="s">
        <v>107</v>
      </c>
      <c r="AHW5" s="5" t="s">
        <v>336</v>
      </c>
      <c r="AHX5" s="5" t="s">
        <v>338</v>
      </c>
      <c r="AHY5" s="5" t="s">
        <v>339</v>
      </c>
      <c r="AHZ5" s="5" t="s">
        <v>337</v>
      </c>
      <c r="AIA5" s="5" t="s">
        <v>341</v>
      </c>
      <c r="AIB5" s="5" t="s">
        <v>340</v>
      </c>
      <c r="AIC5" s="5" t="s">
        <v>114</v>
      </c>
      <c r="AID5" s="5" t="s">
        <v>109</v>
      </c>
      <c r="AIE5" s="6" t="s">
        <v>101</v>
      </c>
      <c r="AIF5" s="6" t="s">
        <v>111</v>
      </c>
      <c r="AIG5" s="6" t="s">
        <v>107</v>
      </c>
      <c r="AIH5" s="6" t="s">
        <v>336</v>
      </c>
      <c r="AII5" s="6" t="s">
        <v>338</v>
      </c>
      <c r="AIJ5" s="6" t="s">
        <v>339</v>
      </c>
      <c r="AIK5" s="6" t="s">
        <v>337</v>
      </c>
      <c r="AIL5" s="6" t="s">
        <v>341</v>
      </c>
      <c r="AIM5" s="6" t="s">
        <v>340</v>
      </c>
      <c r="AIN5" s="6" t="s">
        <v>114</v>
      </c>
      <c r="AIO5" s="6" t="s">
        <v>109</v>
      </c>
      <c r="AIP5" s="5" t="s">
        <v>101</v>
      </c>
      <c r="AIQ5" s="5" t="s">
        <v>111</v>
      </c>
      <c r="AIR5" s="5" t="s">
        <v>107</v>
      </c>
      <c r="AIS5" s="5" t="s">
        <v>336</v>
      </c>
      <c r="AIT5" s="5" t="s">
        <v>338</v>
      </c>
      <c r="AIU5" s="5" t="s">
        <v>339</v>
      </c>
      <c r="AIV5" s="5" t="s">
        <v>337</v>
      </c>
      <c r="AIW5" s="5" t="s">
        <v>341</v>
      </c>
      <c r="AIX5" s="5" t="s">
        <v>340</v>
      </c>
      <c r="AIY5" s="5" t="s">
        <v>114</v>
      </c>
      <c r="AIZ5" s="5" t="s">
        <v>109</v>
      </c>
      <c r="AJA5" s="6" t="s">
        <v>101</v>
      </c>
      <c r="AJB5" s="6" t="s">
        <v>111</v>
      </c>
      <c r="AJC5" s="6" t="s">
        <v>107</v>
      </c>
      <c r="AJD5" s="6" t="s">
        <v>336</v>
      </c>
      <c r="AJE5" s="6" t="s">
        <v>338</v>
      </c>
      <c r="AJF5" s="6" t="s">
        <v>339</v>
      </c>
      <c r="AJG5" s="6" t="s">
        <v>337</v>
      </c>
      <c r="AJH5" s="6" t="s">
        <v>341</v>
      </c>
      <c r="AJI5" s="6" t="s">
        <v>340</v>
      </c>
      <c r="AJJ5" s="6" t="s">
        <v>114</v>
      </c>
      <c r="AJK5" s="6" t="s">
        <v>109</v>
      </c>
      <c r="AJL5" s="5" t="s">
        <v>101</v>
      </c>
      <c r="AJM5" s="5" t="s">
        <v>111</v>
      </c>
      <c r="AJN5" s="5" t="s">
        <v>107</v>
      </c>
      <c r="AJO5" s="5" t="s">
        <v>336</v>
      </c>
      <c r="AJP5" s="5" t="s">
        <v>338</v>
      </c>
      <c r="AJQ5" s="5" t="s">
        <v>339</v>
      </c>
      <c r="AJR5" s="5" t="s">
        <v>337</v>
      </c>
      <c r="AJS5" s="5" t="s">
        <v>341</v>
      </c>
      <c r="AJT5" s="5" t="s">
        <v>340</v>
      </c>
      <c r="AJU5" s="5" t="s">
        <v>114</v>
      </c>
      <c r="AJV5" s="5" t="s">
        <v>109</v>
      </c>
      <c r="AJW5" s="6" t="s">
        <v>101</v>
      </c>
      <c r="AJX5" s="6" t="s">
        <v>111</v>
      </c>
      <c r="AJY5" s="6" t="s">
        <v>107</v>
      </c>
      <c r="AJZ5" s="6" t="s">
        <v>336</v>
      </c>
      <c r="AKA5" s="6" t="s">
        <v>338</v>
      </c>
      <c r="AKB5" s="6" t="s">
        <v>339</v>
      </c>
      <c r="AKC5" s="6" t="s">
        <v>337</v>
      </c>
      <c r="AKD5" s="6" t="s">
        <v>341</v>
      </c>
      <c r="AKE5" s="6" t="s">
        <v>340</v>
      </c>
      <c r="AKF5" s="6" t="s">
        <v>114</v>
      </c>
      <c r="AKG5" s="6" t="s">
        <v>109</v>
      </c>
      <c r="AKH5" s="5" t="s">
        <v>101</v>
      </c>
      <c r="AKI5" s="5" t="s">
        <v>111</v>
      </c>
      <c r="AKJ5" s="5" t="s">
        <v>107</v>
      </c>
      <c r="AKK5" s="5" t="s">
        <v>336</v>
      </c>
      <c r="AKL5" s="5" t="s">
        <v>338</v>
      </c>
      <c r="AKM5" s="5" t="s">
        <v>339</v>
      </c>
      <c r="AKN5" s="5" t="s">
        <v>337</v>
      </c>
      <c r="AKO5" s="5" t="s">
        <v>341</v>
      </c>
      <c r="AKP5" s="5" t="s">
        <v>340</v>
      </c>
      <c r="AKQ5" s="5" t="s">
        <v>114</v>
      </c>
      <c r="AKR5" s="5" t="s">
        <v>109</v>
      </c>
      <c r="AKS5" s="6" t="s">
        <v>101</v>
      </c>
      <c r="AKT5" s="6" t="s">
        <v>111</v>
      </c>
      <c r="AKU5" s="6" t="s">
        <v>107</v>
      </c>
      <c r="AKV5" s="6" t="s">
        <v>336</v>
      </c>
      <c r="AKW5" s="6" t="s">
        <v>338</v>
      </c>
      <c r="AKX5" s="6" t="s">
        <v>339</v>
      </c>
      <c r="AKY5" s="6" t="s">
        <v>337</v>
      </c>
      <c r="AKZ5" s="6" t="s">
        <v>341</v>
      </c>
      <c r="ALA5" s="6" t="s">
        <v>340</v>
      </c>
      <c r="ALB5" s="6" t="s">
        <v>114</v>
      </c>
      <c r="ALC5" s="6" t="s">
        <v>109</v>
      </c>
      <c r="ALD5" s="5" t="s">
        <v>101</v>
      </c>
      <c r="ALE5" s="5" t="s">
        <v>111</v>
      </c>
      <c r="ALF5" s="5" t="s">
        <v>107</v>
      </c>
      <c r="ALG5" s="5" t="s">
        <v>336</v>
      </c>
      <c r="ALH5" s="5" t="s">
        <v>338</v>
      </c>
      <c r="ALI5" s="5" t="s">
        <v>339</v>
      </c>
      <c r="ALJ5" s="5" t="s">
        <v>337</v>
      </c>
      <c r="ALK5" s="5" t="s">
        <v>341</v>
      </c>
      <c r="ALL5" s="5" t="s">
        <v>340</v>
      </c>
      <c r="ALM5" s="5" t="s">
        <v>114</v>
      </c>
      <c r="ALN5" s="5" t="s">
        <v>109</v>
      </c>
      <c r="ALO5" s="6" t="s">
        <v>101</v>
      </c>
      <c r="ALP5" s="6" t="s">
        <v>111</v>
      </c>
      <c r="ALQ5" s="6" t="s">
        <v>107</v>
      </c>
      <c r="ALR5" s="6" t="s">
        <v>336</v>
      </c>
      <c r="ALS5" s="6" t="s">
        <v>338</v>
      </c>
      <c r="ALT5" s="6" t="s">
        <v>339</v>
      </c>
      <c r="ALU5" s="6" t="s">
        <v>337</v>
      </c>
      <c r="ALV5" s="6" t="s">
        <v>341</v>
      </c>
      <c r="ALW5" s="6" t="s">
        <v>340</v>
      </c>
      <c r="ALX5" s="6" t="s">
        <v>114</v>
      </c>
      <c r="ALY5" s="6" t="s">
        <v>109</v>
      </c>
      <c r="ALZ5" s="5" t="s">
        <v>101</v>
      </c>
      <c r="AMA5" s="5" t="s">
        <v>111</v>
      </c>
      <c r="AMB5" s="5" t="s">
        <v>107</v>
      </c>
      <c r="AMC5" s="5" t="s">
        <v>336</v>
      </c>
      <c r="AMD5" s="5" t="s">
        <v>338</v>
      </c>
      <c r="AME5" s="5" t="s">
        <v>339</v>
      </c>
      <c r="AMF5" s="5" t="s">
        <v>337</v>
      </c>
      <c r="AMG5" s="5" t="s">
        <v>341</v>
      </c>
      <c r="AMH5" s="5" t="s">
        <v>340</v>
      </c>
      <c r="AMI5" s="5" t="s">
        <v>114</v>
      </c>
      <c r="AMJ5" s="5" t="s">
        <v>109</v>
      </c>
      <c r="AMK5" s="6" t="s">
        <v>101</v>
      </c>
      <c r="AML5" s="6" t="s">
        <v>111</v>
      </c>
      <c r="AMM5" s="6" t="s">
        <v>107</v>
      </c>
      <c r="AMN5" s="6" t="s">
        <v>336</v>
      </c>
      <c r="AMO5" s="6" t="s">
        <v>338</v>
      </c>
      <c r="AMP5" s="6" t="s">
        <v>339</v>
      </c>
      <c r="AMQ5" s="6" t="s">
        <v>337</v>
      </c>
      <c r="AMR5" s="6" t="s">
        <v>341</v>
      </c>
      <c r="AMS5" s="6" t="s">
        <v>340</v>
      </c>
      <c r="AMT5" s="6" t="s">
        <v>114</v>
      </c>
      <c r="AMU5" s="6" t="s">
        <v>109</v>
      </c>
      <c r="AMV5" s="5" t="s">
        <v>101</v>
      </c>
      <c r="AMW5" s="5" t="s">
        <v>111</v>
      </c>
      <c r="AMX5" s="5" t="s">
        <v>107</v>
      </c>
      <c r="AMY5" s="5" t="s">
        <v>336</v>
      </c>
      <c r="AMZ5" s="5" t="s">
        <v>338</v>
      </c>
      <c r="ANA5" s="5" t="s">
        <v>339</v>
      </c>
      <c r="ANB5" s="5" t="s">
        <v>337</v>
      </c>
      <c r="ANC5" s="5" t="s">
        <v>341</v>
      </c>
      <c r="AND5" s="5" t="s">
        <v>340</v>
      </c>
      <c r="ANE5" s="5" t="s">
        <v>114</v>
      </c>
      <c r="ANF5" s="5" t="s">
        <v>109</v>
      </c>
      <c r="ANG5" s="6" t="s">
        <v>101</v>
      </c>
      <c r="ANH5" s="6" t="s">
        <v>111</v>
      </c>
      <c r="ANI5" s="6" t="s">
        <v>107</v>
      </c>
      <c r="ANJ5" s="6" t="s">
        <v>336</v>
      </c>
      <c r="ANK5" s="6" t="s">
        <v>338</v>
      </c>
      <c r="ANL5" s="6" t="s">
        <v>339</v>
      </c>
      <c r="ANM5" s="6" t="s">
        <v>337</v>
      </c>
      <c r="ANN5" s="6" t="s">
        <v>341</v>
      </c>
      <c r="ANO5" s="6" t="s">
        <v>340</v>
      </c>
      <c r="ANP5" s="6" t="s">
        <v>114</v>
      </c>
      <c r="ANQ5" s="6" t="s">
        <v>109</v>
      </c>
      <c r="ANR5" s="5" t="s">
        <v>101</v>
      </c>
      <c r="ANS5" s="5" t="s">
        <v>111</v>
      </c>
      <c r="ANT5" s="5" t="s">
        <v>107</v>
      </c>
      <c r="ANU5" s="5" t="s">
        <v>336</v>
      </c>
      <c r="ANV5" s="5" t="s">
        <v>338</v>
      </c>
      <c r="ANW5" s="5" t="s">
        <v>339</v>
      </c>
      <c r="ANX5" s="5" t="s">
        <v>337</v>
      </c>
      <c r="ANY5" s="5" t="s">
        <v>341</v>
      </c>
      <c r="ANZ5" s="5" t="s">
        <v>340</v>
      </c>
      <c r="AOA5" s="5" t="s">
        <v>114</v>
      </c>
      <c r="AOB5" s="5" t="s">
        <v>109</v>
      </c>
      <c r="AOC5" s="6" t="s">
        <v>101</v>
      </c>
      <c r="AOD5" s="6" t="s">
        <v>111</v>
      </c>
      <c r="AOE5" s="6" t="s">
        <v>107</v>
      </c>
      <c r="AOF5" s="6" t="s">
        <v>336</v>
      </c>
      <c r="AOG5" s="6" t="s">
        <v>338</v>
      </c>
      <c r="AOH5" s="6" t="s">
        <v>339</v>
      </c>
      <c r="AOI5" s="6" t="s">
        <v>337</v>
      </c>
      <c r="AOJ5" s="6" t="s">
        <v>341</v>
      </c>
      <c r="AOK5" s="6" t="s">
        <v>340</v>
      </c>
      <c r="AOL5" s="6" t="s">
        <v>114</v>
      </c>
      <c r="AOM5" s="6" t="s">
        <v>109</v>
      </c>
      <c r="AON5" s="54" t="s">
        <v>101</v>
      </c>
      <c r="AOO5" s="55" t="s">
        <v>111</v>
      </c>
      <c r="AOP5" s="55" t="s">
        <v>107</v>
      </c>
      <c r="AOQ5" s="55" t="s">
        <v>336</v>
      </c>
      <c r="AOR5" s="55" t="s">
        <v>338</v>
      </c>
      <c r="AOS5" s="55" t="s">
        <v>339</v>
      </c>
      <c r="AOT5" s="55" t="s">
        <v>337</v>
      </c>
      <c r="AOU5" s="55" t="s">
        <v>341</v>
      </c>
      <c r="AOV5" s="55" t="s">
        <v>340</v>
      </c>
      <c r="AOW5" s="55" t="s">
        <v>114</v>
      </c>
      <c r="AOX5" s="55" t="s">
        <v>109</v>
      </c>
      <c r="AOY5" s="58" t="s">
        <v>101</v>
      </c>
      <c r="AOZ5" s="58" t="s">
        <v>111</v>
      </c>
      <c r="APA5" s="58" t="s">
        <v>107</v>
      </c>
      <c r="APB5" s="58" t="s">
        <v>336</v>
      </c>
      <c r="APC5" s="58" t="s">
        <v>338</v>
      </c>
      <c r="APD5" s="58" t="s">
        <v>339</v>
      </c>
      <c r="APE5" s="58" t="s">
        <v>337</v>
      </c>
      <c r="APF5" s="58" t="s">
        <v>341</v>
      </c>
      <c r="APG5" s="58" t="s">
        <v>340</v>
      </c>
      <c r="APH5" s="58" t="s">
        <v>114</v>
      </c>
      <c r="API5" s="58" t="s">
        <v>109</v>
      </c>
      <c r="APJ5" s="54" t="s">
        <v>101</v>
      </c>
      <c r="APK5" s="55" t="s">
        <v>111</v>
      </c>
      <c r="APL5" s="55" t="s">
        <v>107</v>
      </c>
      <c r="APM5" s="55" t="s">
        <v>336</v>
      </c>
      <c r="APN5" s="55" t="s">
        <v>338</v>
      </c>
      <c r="APO5" s="55" t="s">
        <v>339</v>
      </c>
      <c r="APP5" s="55" t="s">
        <v>337</v>
      </c>
      <c r="APQ5" s="55" t="s">
        <v>341</v>
      </c>
      <c r="APR5" s="55" t="s">
        <v>340</v>
      </c>
      <c r="APS5" s="55" t="s">
        <v>114</v>
      </c>
      <c r="APT5" s="55" t="s">
        <v>109</v>
      </c>
      <c r="APU5" s="58" t="s">
        <v>101</v>
      </c>
      <c r="APV5" s="58" t="s">
        <v>111</v>
      </c>
      <c r="APW5" s="58" t="s">
        <v>107</v>
      </c>
      <c r="APX5" s="58" t="s">
        <v>336</v>
      </c>
      <c r="APY5" s="58" t="s">
        <v>338</v>
      </c>
      <c r="APZ5" s="58" t="s">
        <v>339</v>
      </c>
      <c r="AQA5" s="58" t="s">
        <v>337</v>
      </c>
      <c r="AQB5" s="58" t="s">
        <v>341</v>
      </c>
      <c r="AQC5" s="58" t="s">
        <v>340</v>
      </c>
      <c r="AQD5" s="58" t="s">
        <v>114</v>
      </c>
      <c r="AQE5" s="58" t="s">
        <v>109</v>
      </c>
      <c r="AQF5" s="54" t="s">
        <v>101</v>
      </c>
      <c r="AQG5" s="55" t="s">
        <v>111</v>
      </c>
      <c r="AQH5" s="55" t="s">
        <v>107</v>
      </c>
      <c r="AQI5" s="55" t="s">
        <v>336</v>
      </c>
      <c r="AQJ5" s="55" t="s">
        <v>338</v>
      </c>
      <c r="AQK5" s="55" t="s">
        <v>339</v>
      </c>
      <c r="AQL5" s="55" t="s">
        <v>337</v>
      </c>
      <c r="AQM5" s="55" t="s">
        <v>341</v>
      </c>
      <c r="AQN5" s="55" t="s">
        <v>340</v>
      </c>
      <c r="AQO5" s="55" t="s">
        <v>114</v>
      </c>
      <c r="AQP5" s="55" t="s">
        <v>109</v>
      </c>
      <c r="AQQ5" s="58" t="s">
        <v>101</v>
      </c>
      <c r="AQR5" s="58" t="s">
        <v>111</v>
      </c>
      <c r="AQS5" s="58" t="s">
        <v>107</v>
      </c>
      <c r="AQT5" s="58" t="s">
        <v>336</v>
      </c>
      <c r="AQU5" s="58" t="s">
        <v>338</v>
      </c>
      <c r="AQV5" s="58" t="s">
        <v>339</v>
      </c>
      <c r="AQW5" s="58" t="s">
        <v>337</v>
      </c>
      <c r="AQX5" s="58" t="s">
        <v>341</v>
      </c>
      <c r="AQY5" s="58" t="s">
        <v>340</v>
      </c>
      <c r="AQZ5" s="58" t="s">
        <v>114</v>
      </c>
      <c r="ARA5" s="58" t="s">
        <v>109</v>
      </c>
      <c r="ARB5" s="54" t="s">
        <v>101</v>
      </c>
      <c r="ARC5" s="55" t="s">
        <v>111</v>
      </c>
      <c r="ARD5" s="55" t="s">
        <v>107</v>
      </c>
      <c r="ARE5" s="55" t="s">
        <v>336</v>
      </c>
      <c r="ARF5" s="55" t="s">
        <v>338</v>
      </c>
      <c r="ARG5" s="55" t="s">
        <v>339</v>
      </c>
      <c r="ARH5" s="55" t="s">
        <v>337</v>
      </c>
      <c r="ARI5" s="55" t="s">
        <v>341</v>
      </c>
      <c r="ARJ5" s="55" t="s">
        <v>340</v>
      </c>
      <c r="ARK5" s="55" t="s">
        <v>114</v>
      </c>
      <c r="ARL5" s="55" t="s">
        <v>109</v>
      </c>
      <c r="ARM5" s="58" t="s">
        <v>101</v>
      </c>
      <c r="ARN5" s="58" t="s">
        <v>111</v>
      </c>
      <c r="ARO5" s="58" t="s">
        <v>107</v>
      </c>
      <c r="ARP5" s="58" t="s">
        <v>336</v>
      </c>
      <c r="ARQ5" s="58" t="s">
        <v>338</v>
      </c>
      <c r="ARR5" s="58" t="s">
        <v>339</v>
      </c>
      <c r="ARS5" s="58" t="s">
        <v>337</v>
      </c>
      <c r="ART5" s="58" t="s">
        <v>341</v>
      </c>
      <c r="ARU5" s="58" t="s">
        <v>340</v>
      </c>
      <c r="ARV5" s="58" t="s">
        <v>114</v>
      </c>
      <c r="ARW5" s="58" t="s">
        <v>109</v>
      </c>
      <c r="ARX5" s="54" t="s">
        <v>101</v>
      </c>
      <c r="ARY5" s="55" t="s">
        <v>111</v>
      </c>
      <c r="ARZ5" s="55" t="s">
        <v>107</v>
      </c>
      <c r="ASA5" s="55" t="s">
        <v>336</v>
      </c>
      <c r="ASB5" s="55" t="s">
        <v>338</v>
      </c>
      <c r="ASC5" s="55" t="s">
        <v>339</v>
      </c>
      <c r="ASD5" s="55" t="s">
        <v>337</v>
      </c>
      <c r="ASE5" s="55" t="s">
        <v>341</v>
      </c>
      <c r="ASF5" s="55" t="s">
        <v>340</v>
      </c>
      <c r="ASG5" s="55" t="s">
        <v>114</v>
      </c>
      <c r="ASH5" s="55" t="s">
        <v>109</v>
      </c>
      <c r="ASI5" s="58" t="s">
        <v>101</v>
      </c>
      <c r="ASJ5" s="58" t="s">
        <v>111</v>
      </c>
      <c r="ASK5" s="58" t="s">
        <v>107</v>
      </c>
      <c r="ASL5" s="58" t="s">
        <v>336</v>
      </c>
      <c r="ASM5" s="58" t="s">
        <v>338</v>
      </c>
      <c r="ASN5" s="58" t="s">
        <v>339</v>
      </c>
      <c r="ASO5" s="58" t="s">
        <v>337</v>
      </c>
      <c r="ASP5" s="58" t="s">
        <v>341</v>
      </c>
      <c r="ASQ5" s="58" t="s">
        <v>340</v>
      </c>
      <c r="ASR5" s="58" t="s">
        <v>114</v>
      </c>
      <c r="ASS5" s="58" t="s">
        <v>109</v>
      </c>
      <c r="AST5" s="54" t="s">
        <v>101</v>
      </c>
      <c r="ASU5" s="55" t="s">
        <v>111</v>
      </c>
      <c r="ASV5" s="55" t="s">
        <v>107</v>
      </c>
      <c r="ASW5" s="55" t="s">
        <v>336</v>
      </c>
      <c r="ASX5" s="55" t="s">
        <v>338</v>
      </c>
      <c r="ASY5" s="55" t="s">
        <v>339</v>
      </c>
      <c r="ASZ5" s="55" t="s">
        <v>337</v>
      </c>
      <c r="ATA5" s="55" t="s">
        <v>341</v>
      </c>
      <c r="ATB5" s="55" t="s">
        <v>340</v>
      </c>
      <c r="ATC5" s="55" t="s">
        <v>114</v>
      </c>
      <c r="ATD5" s="55" t="s">
        <v>109</v>
      </c>
      <c r="ATE5" s="58" t="s">
        <v>101</v>
      </c>
      <c r="ATF5" s="58" t="s">
        <v>111</v>
      </c>
      <c r="ATG5" s="58" t="s">
        <v>107</v>
      </c>
      <c r="ATH5" s="58" t="s">
        <v>336</v>
      </c>
      <c r="ATI5" s="58" t="s">
        <v>338</v>
      </c>
      <c r="ATJ5" s="58" t="s">
        <v>339</v>
      </c>
      <c r="ATK5" s="58" t="s">
        <v>337</v>
      </c>
      <c r="ATL5" s="58" t="s">
        <v>341</v>
      </c>
      <c r="ATM5" s="58" t="s">
        <v>340</v>
      </c>
      <c r="ATN5" s="58" t="s">
        <v>114</v>
      </c>
      <c r="ATO5" s="58" t="s">
        <v>109</v>
      </c>
      <c r="ATP5" s="54" t="s">
        <v>101</v>
      </c>
      <c r="ATQ5" s="55" t="s">
        <v>111</v>
      </c>
      <c r="ATR5" s="55" t="s">
        <v>107</v>
      </c>
      <c r="ATS5" s="55" t="s">
        <v>336</v>
      </c>
      <c r="ATT5" s="55" t="s">
        <v>338</v>
      </c>
      <c r="ATU5" s="55" t="s">
        <v>339</v>
      </c>
      <c r="ATV5" s="55" t="s">
        <v>337</v>
      </c>
      <c r="ATW5" s="55" t="s">
        <v>341</v>
      </c>
      <c r="ATX5" s="55" t="s">
        <v>340</v>
      </c>
      <c r="ATY5" s="55" t="s">
        <v>114</v>
      </c>
      <c r="ATZ5" s="55" t="s">
        <v>109</v>
      </c>
      <c r="AUA5" s="58" t="s">
        <v>101</v>
      </c>
      <c r="AUB5" s="58" t="s">
        <v>111</v>
      </c>
      <c r="AUC5" s="58" t="s">
        <v>107</v>
      </c>
      <c r="AUD5" s="58" t="s">
        <v>336</v>
      </c>
      <c r="AUE5" s="58" t="s">
        <v>338</v>
      </c>
      <c r="AUF5" s="58" t="s">
        <v>339</v>
      </c>
      <c r="AUG5" s="58" t="s">
        <v>337</v>
      </c>
      <c r="AUH5" s="58" t="s">
        <v>341</v>
      </c>
      <c r="AUI5" s="58" t="s">
        <v>340</v>
      </c>
      <c r="AUJ5" s="58" t="s">
        <v>114</v>
      </c>
      <c r="AUK5" s="58" t="s">
        <v>109</v>
      </c>
      <c r="AUL5" s="54" t="s">
        <v>101</v>
      </c>
      <c r="AUM5" s="55" t="s">
        <v>111</v>
      </c>
      <c r="AUN5" s="55" t="s">
        <v>107</v>
      </c>
      <c r="AUO5" s="55" t="s">
        <v>336</v>
      </c>
      <c r="AUP5" s="55" t="s">
        <v>338</v>
      </c>
      <c r="AUQ5" s="55" t="s">
        <v>339</v>
      </c>
      <c r="AUR5" s="55" t="s">
        <v>337</v>
      </c>
      <c r="AUS5" s="55" t="s">
        <v>341</v>
      </c>
      <c r="AUT5" s="55" t="s">
        <v>340</v>
      </c>
      <c r="AUU5" s="55" t="s">
        <v>114</v>
      </c>
      <c r="AUV5" s="55" t="s">
        <v>109</v>
      </c>
      <c r="AUW5" s="58" t="s">
        <v>101</v>
      </c>
      <c r="AUX5" s="58" t="s">
        <v>111</v>
      </c>
      <c r="AUY5" s="58" t="s">
        <v>107</v>
      </c>
      <c r="AUZ5" s="58" t="s">
        <v>336</v>
      </c>
      <c r="AVA5" s="58" t="s">
        <v>338</v>
      </c>
      <c r="AVB5" s="58" t="s">
        <v>339</v>
      </c>
      <c r="AVC5" s="58" t="s">
        <v>337</v>
      </c>
      <c r="AVD5" s="58" t="s">
        <v>341</v>
      </c>
      <c r="AVE5" s="58" t="s">
        <v>340</v>
      </c>
      <c r="AVF5" s="58" t="s">
        <v>114</v>
      </c>
      <c r="AVG5" s="58" t="s">
        <v>109</v>
      </c>
      <c r="AVH5" s="54" t="s">
        <v>101</v>
      </c>
      <c r="AVI5" s="55" t="s">
        <v>111</v>
      </c>
      <c r="AVJ5" s="55" t="s">
        <v>107</v>
      </c>
      <c r="AVK5" s="55" t="s">
        <v>336</v>
      </c>
      <c r="AVL5" s="55" t="s">
        <v>338</v>
      </c>
      <c r="AVM5" s="55" t="s">
        <v>339</v>
      </c>
      <c r="AVN5" s="55" t="s">
        <v>337</v>
      </c>
      <c r="AVO5" s="55" t="s">
        <v>341</v>
      </c>
      <c r="AVP5" s="55" t="s">
        <v>340</v>
      </c>
      <c r="AVQ5" s="55" t="s">
        <v>114</v>
      </c>
      <c r="AVR5" s="55" t="s">
        <v>109</v>
      </c>
      <c r="AVS5" s="58" t="s">
        <v>101</v>
      </c>
      <c r="AVT5" s="58" t="s">
        <v>111</v>
      </c>
      <c r="AVU5" s="58" t="s">
        <v>107</v>
      </c>
      <c r="AVV5" s="58" t="s">
        <v>336</v>
      </c>
      <c r="AVW5" s="58" t="s">
        <v>338</v>
      </c>
      <c r="AVX5" s="58" t="s">
        <v>339</v>
      </c>
      <c r="AVY5" s="58" t="s">
        <v>337</v>
      </c>
      <c r="AVZ5" s="58" t="s">
        <v>341</v>
      </c>
      <c r="AWA5" s="58" t="s">
        <v>340</v>
      </c>
      <c r="AWB5" s="58" t="s">
        <v>114</v>
      </c>
      <c r="AWC5" s="58" t="s">
        <v>109</v>
      </c>
      <c r="AWD5" s="54" t="s">
        <v>101</v>
      </c>
      <c r="AWE5" s="55" t="s">
        <v>111</v>
      </c>
      <c r="AWF5" s="55" t="s">
        <v>107</v>
      </c>
      <c r="AWG5" s="55" t="s">
        <v>336</v>
      </c>
      <c r="AWH5" s="55" t="s">
        <v>338</v>
      </c>
      <c r="AWI5" s="55" t="s">
        <v>339</v>
      </c>
      <c r="AWJ5" s="55" t="s">
        <v>337</v>
      </c>
      <c r="AWK5" s="55" t="s">
        <v>341</v>
      </c>
      <c r="AWL5" s="55" t="s">
        <v>340</v>
      </c>
      <c r="AWM5" s="55" t="s">
        <v>114</v>
      </c>
      <c r="AWN5" s="55" t="s">
        <v>109</v>
      </c>
      <c r="AWO5" s="58" t="s">
        <v>101</v>
      </c>
      <c r="AWP5" s="58" t="s">
        <v>111</v>
      </c>
      <c r="AWQ5" s="58" t="s">
        <v>107</v>
      </c>
      <c r="AWR5" s="58" t="s">
        <v>336</v>
      </c>
      <c r="AWS5" s="58" t="s">
        <v>338</v>
      </c>
      <c r="AWT5" s="58" t="s">
        <v>339</v>
      </c>
      <c r="AWU5" s="58" t="s">
        <v>337</v>
      </c>
      <c r="AWV5" s="58" t="s">
        <v>341</v>
      </c>
      <c r="AWW5" s="58" t="s">
        <v>340</v>
      </c>
      <c r="AWX5" s="58" t="s">
        <v>114</v>
      </c>
      <c r="AWY5" s="58" t="s">
        <v>109</v>
      </c>
      <c r="AWZ5" s="54" t="s">
        <v>101</v>
      </c>
      <c r="AXA5" s="55" t="s">
        <v>111</v>
      </c>
      <c r="AXB5" s="55" t="s">
        <v>107</v>
      </c>
      <c r="AXC5" s="55" t="s">
        <v>336</v>
      </c>
      <c r="AXD5" s="55" t="s">
        <v>338</v>
      </c>
      <c r="AXE5" s="55" t="s">
        <v>339</v>
      </c>
      <c r="AXF5" s="55" t="s">
        <v>337</v>
      </c>
      <c r="AXG5" s="55" t="s">
        <v>341</v>
      </c>
      <c r="AXH5" s="55" t="s">
        <v>340</v>
      </c>
      <c r="AXI5" s="55" t="s">
        <v>114</v>
      </c>
      <c r="AXJ5" s="55" t="s">
        <v>109</v>
      </c>
      <c r="AXK5" s="58" t="s">
        <v>101</v>
      </c>
      <c r="AXL5" s="58" t="s">
        <v>111</v>
      </c>
      <c r="AXM5" s="58" t="s">
        <v>107</v>
      </c>
      <c r="AXN5" s="58" t="s">
        <v>336</v>
      </c>
      <c r="AXO5" s="58" t="s">
        <v>338</v>
      </c>
      <c r="AXP5" s="58" t="s">
        <v>339</v>
      </c>
      <c r="AXQ5" s="58" t="s">
        <v>337</v>
      </c>
      <c r="AXR5" s="58" t="s">
        <v>341</v>
      </c>
      <c r="AXS5" s="58" t="s">
        <v>340</v>
      </c>
      <c r="AXT5" s="58" t="s">
        <v>114</v>
      </c>
      <c r="AXU5" s="58" t="s">
        <v>109</v>
      </c>
      <c r="AXV5" s="54" t="s">
        <v>101</v>
      </c>
      <c r="AXW5" s="55" t="s">
        <v>111</v>
      </c>
      <c r="AXX5" s="55" t="s">
        <v>107</v>
      </c>
      <c r="AXY5" s="55" t="s">
        <v>336</v>
      </c>
      <c r="AXZ5" s="55" t="s">
        <v>338</v>
      </c>
      <c r="AYA5" s="55" t="s">
        <v>339</v>
      </c>
      <c r="AYB5" s="55" t="s">
        <v>337</v>
      </c>
      <c r="AYC5" s="55" t="s">
        <v>341</v>
      </c>
      <c r="AYD5" s="55" t="s">
        <v>340</v>
      </c>
      <c r="AYE5" s="55" t="s">
        <v>114</v>
      </c>
      <c r="AYF5" s="55" t="s">
        <v>109</v>
      </c>
      <c r="AYG5" s="58" t="s">
        <v>101</v>
      </c>
      <c r="AYH5" s="58" t="s">
        <v>111</v>
      </c>
      <c r="AYI5" s="58" t="s">
        <v>107</v>
      </c>
      <c r="AYJ5" s="58" t="s">
        <v>336</v>
      </c>
      <c r="AYK5" s="58" t="s">
        <v>338</v>
      </c>
      <c r="AYL5" s="58" t="s">
        <v>339</v>
      </c>
      <c r="AYM5" s="58" t="s">
        <v>337</v>
      </c>
      <c r="AYN5" s="58" t="s">
        <v>341</v>
      </c>
      <c r="AYO5" s="58" t="s">
        <v>340</v>
      </c>
      <c r="AYP5" s="58" t="s">
        <v>114</v>
      </c>
      <c r="AYQ5" s="58" t="s">
        <v>109</v>
      </c>
      <c r="AYR5" s="54" t="s">
        <v>101</v>
      </c>
      <c r="AYS5" s="55" t="s">
        <v>111</v>
      </c>
      <c r="AYT5" s="55" t="s">
        <v>107</v>
      </c>
      <c r="AYU5" s="55" t="s">
        <v>336</v>
      </c>
      <c r="AYV5" s="55" t="s">
        <v>338</v>
      </c>
      <c r="AYW5" s="55" t="s">
        <v>339</v>
      </c>
      <c r="AYX5" s="55" t="s">
        <v>337</v>
      </c>
      <c r="AYY5" s="55" t="s">
        <v>341</v>
      </c>
      <c r="AYZ5" s="55" t="s">
        <v>340</v>
      </c>
      <c r="AZA5" s="55" t="s">
        <v>114</v>
      </c>
      <c r="AZB5" s="55" t="s">
        <v>109</v>
      </c>
      <c r="AZC5" s="58" t="s">
        <v>101</v>
      </c>
      <c r="AZD5" s="58" t="s">
        <v>111</v>
      </c>
      <c r="AZE5" s="58" t="s">
        <v>107</v>
      </c>
      <c r="AZF5" s="58" t="s">
        <v>336</v>
      </c>
      <c r="AZG5" s="58" t="s">
        <v>338</v>
      </c>
      <c r="AZH5" s="58" t="s">
        <v>339</v>
      </c>
      <c r="AZI5" s="58" t="s">
        <v>337</v>
      </c>
      <c r="AZJ5" s="58" t="s">
        <v>341</v>
      </c>
      <c r="AZK5" s="58" t="s">
        <v>340</v>
      </c>
      <c r="AZL5" s="58" t="s">
        <v>114</v>
      </c>
      <c r="AZM5" s="58" t="s">
        <v>109</v>
      </c>
      <c r="AZN5" s="54" t="s">
        <v>101</v>
      </c>
      <c r="AZO5" s="55" t="s">
        <v>111</v>
      </c>
      <c r="AZP5" s="55" t="s">
        <v>107</v>
      </c>
      <c r="AZQ5" s="55" t="s">
        <v>336</v>
      </c>
      <c r="AZR5" s="55" t="s">
        <v>338</v>
      </c>
      <c r="AZS5" s="55" t="s">
        <v>339</v>
      </c>
      <c r="AZT5" s="55" t="s">
        <v>337</v>
      </c>
      <c r="AZU5" s="55" t="s">
        <v>341</v>
      </c>
      <c r="AZV5" s="55" t="s">
        <v>340</v>
      </c>
      <c r="AZW5" s="55" t="s">
        <v>114</v>
      </c>
      <c r="AZX5" s="55" t="s">
        <v>109</v>
      </c>
      <c r="AZY5" s="58" t="s">
        <v>101</v>
      </c>
      <c r="AZZ5" s="58" t="s">
        <v>111</v>
      </c>
      <c r="BAA5" s="58" t="s">
        <v>107</v>
      </c>
      <c r="BAB5" s="58" t="s">
        <v>336</v>
      </c>
      <c r="BAC5" s="58" t="s">
        <v>338</v>
      </c>
      <c r="BAD5" s="58" t="s">
        <v>339</v>
      </c>
      <c r="BAE5" s="58" t="s">
        <v>337</v>
      </c>
      <c r="BAF5" s="58" t="s">
        <v>341</v>
      </c>
      <c r="BAG5" s="58" t="s">
        <v>340</v>
      </c>
      <c r="BAH5" s="58" t="s">
        <v>114</v>
      </c>
      <c r="BAI5" s="58" t="s">
        <v>109</v>
      </c>
      <c r="BAJ5" s="54" t="s">
        <v>101</v>
      </c>
      <c r="BAK5" s="55" t="s">
        <v>111</v>
      </c>
      <c r="BAL5" s="55" t="s">
        <v>107</v>
      </c>
      <c r="BAM5" s="55" t="s">
        <v>336</v>
      </c>
      <c r="BAN5" s="55" t="s">
        <v>338</v>
      </c>
      <c r="BAO5" s="55" t="s">
        <v>339</v>
      </c>
      <c r="BAP5" s="55" t="s">
        <v>337</v>
      </c>
      <c r="BAQ5" s="55" t="s">
        <v>341</v>
      </c>
      <c r="BAR5" s="55" t="s">
        <v>340</v>
      </c>
      <c r="BAS5" s="55" t="s">
        <v>114</v>
      </c>
      <c r="BAT5" s="55" t="s">
        <v>109</v>
      </c>
      <c r="BAU5" s="58" t="s">
        <v>101</v>
      </c>
      <c r="BAV5" s="58" t="s">
        <v>111</v>
      </c>
      <c r="BAW5" s="58" t="s">
        <v>107</v>
      </c>
      <c r="BAX5" s="58" t="s">
        <v>336</v>
      </c>
      <c r="BAY5" s="58" t="s">
        <v>338</v>
      </c>
      <c r="BAZ5" s="58" t="s">
        <v>339</v>
      </c>
      <c r="BBA5" s="58" t="s">
        <v>337</v>
      </c>
      <c r="BBB5" s="58" t="s">
        <v>341</v>
      </c>
      <c r="BBC5" s="58" t="s">
        <v>340</v>
      </c>
      <c r="BBD5" s="58" t="s">
        <v>114</v>
      </c>
      <c r="BBE5" s="58" t="s">
        <v>109</v>
      </c>
      <c r="BBF5" s="54" t="s">
        <v>101</v>
      </c>
      <c r="BBG5" s="55" t="s">
        <v>111</v>
      </c>
      <c r="BBH5" s="55" t="s">
        <v>107</v>
      </c>
      <c r="BBI5" s="55" t="s">
        <v>336</v>
      </c>
      <c r="BBJ5" s="55" t="s">
        <v>338</v>
      </c>
      <c r="BBK5" s="55" t="s">
        <v>339</v>
      </c>
      <c r="BBL5" s="55" t="s">
        <v>337</v>
      </c>
      <c r="BBM5" s="55" t="s">
        <v>341</v>
      </c>
      <c r="BBN5" s="55" t="s">
        <v>340</v>
      </c>
      <c r="BBO5" s="55" t="s">
        <v>114</v>
      </c>
      <c r="BBP5" s="55" t="s">
        <v>109</v>
      </c>
      <c r="BBQ5" s="58" t="s">
        <v>101</v>
      </c>
      <c r="BBR5" s="58" t="s">
        <v>111</v>
      </c>
      <c r="BBS5" s="58" t="s">
        <v>107</v>
      </c>
      <c r="BBT5" s="58" t="s">
        <v>336</v>
      </c>
      <c r="BBU5" s="58" t="s">
        <v>338</v>
      </c>
      <c r="BBV5" s="58" t="s">
        <v>339</v>
      </c>
      <c r="BBW5" s="58" t="s">
        <v>337</v>
      </c>
      <c r="BBX5" s="58" t="s">
        <v>341</v>
      </c>
      <c r="BBY5" s="58" t="s">
        <v>340</v>
      </c>
      <c r="BBZ5" s="58" t="s">
        <v>114</v>
      </c>
      <c r="BCA5" s="58" t="s">
        <v>109</v>
      </c>
      <c r="BCB5" s="55" t="s">
        <v>101</v>
      </c>
      <c r="BCC5" s="55" t="s">
        <v>111</v>
      </c>
      <c r="BCD5" s="55" t="s">
        <v>107</v>
      </c>
      <c r="BCE5" s="55" t="s">
        <v>336</v>
      </c>
      <c r="BCF5" s="55" t="s">
        <v>338</v>
      </c>
      <c r="BCG5" s="55" t="s">
        <v>339</v>
      </c>
      <c r="BCH5" s="55" t="s">
        <v>337</v>
      </c>
      <c r="BCI5" s="55" t="s">
        <v>341</v>
      </c>
      <c r="BCJ5" s="55" t="s">
        <v>340</v>
      </c>
      <c r="BCK5" s="55" t="s">
        <v>114</v>
      </c>
      <c r="BCL5" s="55" t="s">
        <v>109</v>
      </c>
      <c r="BCM5" s="58" t="s">
        <v>101</v>
      </c>
      <c r="BCN5" s="58" t="s">
        <v>111</v>
      </c>
      <c r="BCO5" s="58" t="s">
        <v>107</v>
      </c>
      <c r="BCP5" s="58" t="s">
        <v>336</v>
      </c>
      <c r="BCQ5" s="58" t="s">
        <v>338</v>
      </c>
      <c r="BCR5" s="58" t="s">
        <v>339</v>
      </c>
      <c r="BCS5" s="58" t="s">
        <v>337</v>
      </c>
      <c r="BCT5" s="58" t="s">
        <v>341</v>
      </c>
      <c r="BCU5" s="58" t="s">
        <v>340</v>
      </c>
      <c r="BCV5" s="58" t="s">
        <v>114</v>
      </c>
      <c r="BCW5" s="58" t="s">
        <v>109</v>
      </c>
      <c r="BCX5" s="55" t="s">
        <v>101</v>
      </c>
      <c r="BCY5" s="55" t="s">
        <v>111</v>
      </c>
      <c r="BCZ5" s="55" t="s">
        <v>107</v>
      </c>
      <c r="BDA5" s="55" t="s">
        <v>336</v>
      </c>
      <c r="BDB5" s="55" t="s">
        <v>338</v>
      </c>
      <c r="BDC5" s="55" t="s">
        <v>339</v>
      </c>
      <c r="BDD5" s="55" t="s">
        <v>337</v>
      </c>
      <c r="BDE5" s="55" t="s">
        <v>341</v>
      </c>
      <c r="BDF5" s="55" t="s">
        <v>340</v>
      </c>
      <c r="BDG5" s="55" t="s">
        <v>114</v>
      </c>
      <c r="BDH5" s="55" t="s">
        <v>109</v>
      </c>
      <c r="BDI5" s="58" t="s">
        <v>101</v>
      </c>
      <c r="BDJ5" s="58" t="s">
        <v>111</v>
      </c>
      <c r="BDK5" s="58" t="s">
        <v>107</v>
      </c>
      <c r="BDL5" s="58" t="s">
        <v>336</v>
      </c>
      <c r="BDM5" s="58" t="s">
        <v>338</v>
      </c>
      <c r="BDN5" s="58" t="s">
        <v>339</v>
      </c>
      <c r="BDO5" s="58" t="s">
        <v>337</v>
      </c>
      <c r="BDP5" s="58" t="s">
        <v>341</v>
      </c>
      <c r="BDQ5" s="58" t="s">
        <v>340</v>
      </c>
      <c r="BDR5" s="58" t="s">
        <v>114</v>
      </c>
      <c r="BDS5" s="58" t="s">
        <v>109</v>
      </c>
      <c r="BDT5" s="55" t="s">
        <v>101</v>
      </c>
      <c r="BDU5" s="55" t="s">
        <v>111</v>
      </c>
      <c r="BDV5" s="55" t="s">
        <v>107</v>
      </c>
      <c r="BDW5" s="55" t="s">
        <v>336</v>
      </c>
      <c r="BDX5" s="55" t="s">
        <v>338</v>
      </c>
      <c r="BDY5" s="55" t="s">
        <v>339</v>
      </c>
      <c r="BDZ5" s="55" t="s">
        <v>337</v>
      </c>
      <c r="BEA5" s="55" t="s">
        <v>341</v>
      </c>
      <c r="BEB5" s="55" t="s">
        <v>340</v>
      </c>
      <c r="BEC5" s="55" t="s">
        <v>114</v>
      </c>
      <c r="BED5" s="55" t="s">
        <v>109</v>
      </c>
      <c r="BEE5" s="58" t="s">
        <v>101</v>
      </c>
      <c r="BEF5" s="58" t="s">
        <v>111</v>
      </c>
      <c r="BEG5" s="58" t="s">
        <v>107</v>
      </c>
      <c r="BEH5" s="58" t="s">
        <v>336</v>
      </c>
      <c r="BEI5" s="58" t="s">
        <v>338</v>
      </c>
      <c r="BEJ5" s="58" t="s">
        <v>339</v>
      </c>
      <c r="BEK5" s="58" t="s">
        <v>337</v>
      </c>
      <c r="BEL5" s="58" t="s">
        <v>341</v>
      </c>
      <c r="BEM5" s="58" t="s">
        <v>340</v>
      </c>
      <c r="BEN5" s="58" t="s">
        <v>114</v>
      </c>
      <c r="BEO5" s="58" t="s">
        <v>109</v>
      </c>
      <c r="BEP5" s="55" t="s">
        <v>101</v>
      </c>
      <c r="BEQ5" s="55" t="s">
        <v>111</v>
      </c>
      <c r="BER5" s="55" t="s">
        <v>107</v>
      </c>
      <c r="BES5" s="55" t="s">
        <v>336</v>
      </c>
      <c r="BET5" s="55" t="s">
        <v>338</v>
      </c>
      <c r="BEU5" s="55" t="s">
        <v>339</v>
      </c>
      <c r="BEV5" s="55" t="s">
        <v>337</v>
      </c>
      <c r="BEW5" s="55" t="s">
        <v>341</v>
      </c>
      <c r="BEX5" s="55" t="s">
        <v>340</v>
      </c>
      <c r="BEY5" s="55" t="s">
        <v>114</v>
      </c>
      <c r="BEZ5" s="55" t="s">
        <v>109</v>
      </c>
      <c r="BFA5" s="58" t="s">
        <v>101</v>
      </c>
      <c r="BFB5" s="58" t="s">
        <v>111</v>
      </c>
      <c r="BFC5" s="58" t="s">
        <v>107</v>
      </c>
      <c r="BFD5" s="58" t="s">
        <v>336</v>
      </c>
      <c r="BFE5" s="58" t="s">
        <v>338</v>
      </c>
      <c r="BFF5" s="58" t="s">
        <v>339</v>
      </c>
      <c r="BFG5" s="58" t="s">
        <v>337</v>
      </c>
      <c r="BFH5" s="58" t="s">
        <v>341</v>
      </c>
      <c r="BFI5" s="58" t="s">
        <v>340</v>
      </c>
      <c r="BFJ5" s="58" t="s">
        <v>114</v>
      </c>
      <c r="BFK5" s="58" t="s">
        <v>109</v>
      </c>
      <c r="BFL5" s="55" t="s">
        <v>101</v>
      </c>
      <c r="BFM5" s="55" t="s">
        <v>111</v>
      </c>
      <c r="BFN5" s="55" t="s">
        <v>107</v>
      </c>
      <c r="BFO5" s="55" t="s">
        <v>336</v>
      </c>
      <c r="BFP5" s="55" t="s">
        <v>338</v>
      </c>
      <c r="BFQ5" s="55" t="s">
        <v>339</v>
      </c>
      <c r="BFR5" s="55" t="s">
        <v>337</v>
      </c>
      <c r="BFS5" s="55" t="s">
        <v>341</v>
      </c>
      <c r="BFT5" s="55" t="s">
        <v>340</v>
      </c>
      <c r="BFU5" s="55" t="s">
        <v>114</v>
      </c>
      <c r="BFV5" s="55" t="s">
        <v>109</v>
      </c>
      <c r="BFW5" s="58" t="s">
        <v>101</v>
      </c>
      <c r="BFX5" s="58" t="s">
        <v>111</v>
      </c>
      <c r="BFY5" s="58" t="s">
        <v>107</v>
      </c>
      <c r="BFZ5" s="58" t="s">
        <v>336</v>
      </c>
      <c r="BGA5" s="58" t="s">
        <v>338</v>
      </c>
      <c r="BGB5" s="58" t="s">
        <v>339</v>
      </c>
      <c r="BGC5" s="58" t="s">
        <v>337</v>
      </c>
      <c r="BGD5" s="58" t="s">
        <v>341</v>
      </c>
      <c r="BGE5" s="58" t="s">
        <v>340</v>
      </c>
      <c r="BGF5" s="58" t="s">
        <v>114</v>
      </c>
      <c r="BGG5" s="58" t="s">
        <v>109</v>
      </c>
      <c r="BGH5" s="55" t="s">
        <v>101</v>
      </c>
      <c r="BGI5" s="55" t="s">
        <v>111</v>
      </c>
      <c r="BGJ5" s="55" t="s">
        <v>107</v>
      </c>
      <c r="BGK5" s="55" t="s">
        <v>336</v>
      </c>
      <c r="BGL5" s="55" t="s">
        <v>338</v>
      </c>
      <c r="BGM5" s="55" t="s">
        <v>339</v>
      </c>
      <c r="BGN5" s="55" t="s">
        <v>337</v>
      </c>
      <c r="BGO5" s="55" t="s">
        <v>341</v>
      </c>
      <c r="BGP5" s="55" t="s">
        <v>340</v>
      </c>
      <c r="BGQ5" s="55" t="s">
        <v>114</v>
      </c>
      <c r="BGR5" s="55" t="s">
        <v>109</v>
      </c>
      <c r="BGS5" s="58" t="s">
        <v>101</v>
      </c>
      <c r="BGT5" s="58" t="s">
        <v>111</v>
      </c>
      <c r="BGU5" s="58" t="s">
        <v>107</v>
      </c>
      <c r="BGV5" s="58" t="s">
        <v>336</v>
      </c>
      <c r="BGW5" s="58" t="s">
        <v>338</v>
      </c>
      <c r="BGX5" s="58" t="s">
        <v>339</v>
      </c>
      <c r="BGY5" s="58" t="s">
        <v>337</v>
      </c>
      <c r="BGZ5" s="58" t="s">
        <v>341</v>
      </c>
      <c r="BHA5" s="58" t="s">
        <v>340</v>
      </c>
      <c r="BHB5" s="58" t="s">
        <v>114</v>
      </c>
      <c r="BHC5" s="58" t="s">
        <v>109</v>
      </c>
      <c r="BHD5" s="55" t="s">
        <v>101</v>
      </c>
      <c r="BHE5" s="55" t="s">
        <v>111</v>
      </c>
      <c r="BHF5" s="55" t="s">
        <v>107</v>
      </c>
      <c r="BHG5" s="55" t="s">
        <v>336</v>
      </c>
      <c r="BHH5" s="55" t="s">
        <v>338</v>
      </c>
      <c r="BHI5" s="55" t="s">
        <v>339</v>
      </c>
      <c r="BHJ5" s="55" t="s">
        <v>337</v>
      </c>
      <c r="BHK5" s="55" t="s">
        <v>341</v>
      </c>
      <c r="BHL5" s="55" t="s">
        <v>340</v>
      </c>
      <c r="BHM5" s="55" t="s">
        <v>114</v>
      </c>
      <c r="BHN5" s="55" t="s">
        <v>109</v>
      </c>
      <c r="BHO5" s="58" t="s">
        <v>101</v>
      </c>
      <c r="BHP5" s="58" t="s">
        <v>111</v>
      </c>
      <c r="BHQ5" s="58" t="s">
        <v>107</v>
      </c>
      <c r="BHR5" s="58" t="s">
        <v>336</v>
      </c>
      <c r="BHS5" s="58" t="s">
        <v>338</v>
      </c>
      <c r="BHT5" s="58" t="s">
        <v>339</v>
      </c>
      <c r="BHU5" s="58" t="s">
        <v>337</v>
      </c>
      <c r="BHV5" s="58" t="s">
        <v>341</v>
      </c>
      <c r="BHW5" s="58" t="s">
        <v>340</v>
      </c>
      <c r="BHX5" s="58" t="s">
        <v>114</v>
      </c>
      <c r="BHY5" s="58" t="s">
        <v>109</v>
      </c>
      <c r="BHZ5" s="55" t="s">
        <v>101</v>
      </c>
      <c r="BIA5" s="55" t="s">
        <v>111</v>
      </c>
      <c r="BIB5" s="55" t="s">
        <v>107</v>
      </c>
      <c r="BIC5" s="55" t="s">
        <v>336</v>
      </c>
      <c r="BID5" s="55" t="s">
        <v>338</v>
      </c>
      <c r="BIE5" s="55" t="s">
        <v>339</v>
      </c>
      <c r="BIF5" s="55" t="s">
        <v>337</v>
      </c>
      <c r="BIG5" s="55" t="s">
        <v>341</v>
      </c>
      <c r="BIH5" s="55" t="s">
        <v>340</v>
      </c>
      <c r="BII5" s="55" t="s">
        <v>114</v>
      </c>
      <c r="BIJ5" s="55" t="s">
        <v>109</v>
      </c>
      <c r="BIK5" s="58" t="s">
        <v>101</v>
      </c>
      <c r="BIL5" s="58" t="s">
        <v>111</v>
      </c>
      <c r="BIM5" s="58" t="s">
        <v>107</v>
      </c>
      <c r="BIN5" s="58" t="s">
        <v>336</v>
      </c>
      <c r="BIO5" s="58" t="s">
        <v>338</v>
      </c>
      <c r="BIP5" s="58" t="s">
        <v>339</v>
      </c>
      <c r="BIQ5" s="58" t="s">
        <v>337</v>
      </c>
      <c r="BIR5" s="58" t="s">
        <v>341</v>
      </c>
      <c r="BIS5" s="58" t="s">
        <v>340</v>
      </c>
      <c r="BIT5" s="58" t="s">
        <v>114</v>
      </c>
      <c r="BIU5" s="58" t="s">
        <v>109</v>
      </c>
      <c r="BIV5" s="55" t="s">
        <v>101</v>
      </c>
      <c r="BIW5" s="55" t="s">
        <v>111</v>
      </c>
      <c r="BIX5" s="55" t="s">
        <v>107</v>
      </c>
      <c r="BIY5" s="55" t="s">
        <v>336</v>
      </c>
      <c r="BIZ5" s="55" t="s">
        <v>338</v>
      </c>
      <c r="BJA5" s="55" t="s">
        <v>339</v>
      </c>
      <c r="BJB5" s="55" t="s">
        <v>337</v>
      </c>
      <c r="BJC5" s="55" t="s">
        <v>341</v>
      </c>
      <c r="BJD5" s="55" t="s">
        <v>340</v>
      </c>
      <c r="BJE5" s="55" t="s">
        <v>114</v>
      </c>
      <c r="BJF5" s="55" t="s">
        <v>109</v>
      </c>
      <c r="BJG5" s="58" t="s">
        <v>101</v>
      </c>
      <c r="BJH5" s="58" t="s">
        <v>111</v>
      </c>
      <c r="BJI5" s="58" t="s">
        <v>107</v>
      </c>
      <c r="BJJ5" s="58" t="s">
        <v>336</v>
      </c>
      <c r="BJK5" s="58" t="s">
        <v>338</v>
      </c>
      <c r="BJL5" s="58" t="s">
        <v>339</v>
      </c>
      <c r="BJM5" s="58" t="s">
        <v>337</v>
      </c>
      <c r="BJN5" s="58" t="s">
        <v>341</v>
      </c>
      <c r="BJO5" s="58" t="s">
        <v>340</v>
      </c>
      <c r="BJP5" s="58" t="s">
        <v>114</v>
      </c>
      <c r="BJQ5" s="58" t="s">
        <v>109</v>
      </c>
      <c r="BJR5" s="55" t="s">
        <v>101</v>
      </c>
      <c r="BJS5" s="55" t="s">
        <v>111</v>
      </c>
      <c r="BJT5" s="55" t="s">
        <v>107</v>
      </c>
      <c r="BJU5" s="55" t="s">
        <v>336</v>
      </c>
      <c r="BJV5" s="55" t="s">
        <v>338</v>
      </c>
      <c r="BJW5" s="55" t="s">
        <v>339</v>
      </c>
      <c r="BJX5" s="55" t="s">
        <v>337</v>
      </c>
      <c r="BJY5" s="55" t="s">
        <v>341</v>
      </c>
      <c r="BJZ5" s="55" t="s">
        <v>340</v>
      </c>
      <c r="BKA5" s="55" t="s">
        <v>114</v>
      </c>
      <c r="BKB5" s="55" t="s">
        <v>109</v>
      </c>
      <c r="BKC5" s="58" t="s">
        <v>101</v>
      </c>
      <c r="BKD5" s="58" t="s">
        <v>111</v>
      </c>
      <c r="BKE5" s="58" t="s">
        <v>107</v>
      </c>
      <c r="BKF5" s="58" t="s">
        <v>336</v>
      </c>
      <c r="BKG5" s="58" t="s">
        <v>338</v>
      </c>
      <c r="BKH5" s="58" t="s">
        <v>339</v>
      </c>
      <c r="BKI5" s="58" t="s">
        <v>337</v>
      </c>
      <c r="BKJ5" s="58" t="s">
        <v>341</v>
      </c>
      <c r="BKK5" s="58" t="s">
        <v>340</v>
      </c>
      <c r="BKL5" s="58" t="s">
        <v>114</v>
      </c>
      <c r="BKM5" s="58" t="s">
        <v>109</v>
      </c>
      <c r="BKN5" s="55" t="s">
        <v>101</v>
      </c>
      <c r="BKO5" s="55" t="s">
        <v>111</v>
      </c>
      <c r="BKP5" s="55" t="s">
        <v>107</v>
      </c>
      <c r="BKQ5" s="55" t="s">
        <v>336</v>
      </c>
      <c r="BKR5" s="55" t="s">
        <v>338</v>
      </c>
      <c r="BKS5" s="55" t="s">
        <v>339</v>
      </c>
      <c r="BKT5" s="55" t="s">
        <v>337</v>
      </c>
      <c r="BKU5" s="55" t="s">
        <v>341</v>
      </c>
      <c r="BKV5" s="55" t="s">
        <v>340</v>
      </c>
      <c r="BKW5" s="55" t="s">
        <v>114</v>
      </c>
      <c r="BKX5" s="55" t="s">
        <v>109</v>
      </c>
      <c r="BKY5" s="58" t="s">
        <v>101</v>
      </c>
      <c r="BKZ5" s="58" t="s">
        <v>111</v>
      </c>
      <c r="BLA5" s="58" t="s">
        <v>107</v>
      </c>
      <c r="BLB5" s="58" t="s">
        <v>336</v>
      </c>
      <c r="BLC5" s="58" t="s">
        <v>338</v>
      </c>
      <c r="BLD5" s="58" t="s">
        <v>339</v>
      </c>
      <c r="BLE5" s="58" t="s">
        <v>337</v>
      </c>
      <c r="BLF5" s="58" t="s">
        <v>341</v>
      </c>
      <c r="BLG5" s="58" t="s">
        <v>340</v>
      </c>
      <c r="BLH5" s="58" t="s">
        <v>114</v>
      </c>
      <c r="BLI5" s="58" t="s">
        <v>109</v>
      </c>
      <c r="BLJ5" s="55" t="s">
        <v>101</v>
      </c>
      <c r="BLK5" s="55" t="s">
        <v>111</v>
      </c>
      <c r="BLL5" s="55" t="s">
        <v>107</v>
      </c>
      <c r="BLM5" s="55" t="s">
        <v>336</v>
      </c>
      <c r="BLN5" s="55" t="s">
        <v>338</v>
      </c>
      <c r="BLO5" s="55" t="s">
        <v>339</v>
      </c>
      <c r="BLP5" s="55" t="s">
        <v>337</v>
      </c>
      <c r="BLQ5" s="55" t="s">
        <v>341</v>
      </c>
      <c r="BLR5" s="55" t="s">
        <v>340</v>
      </c>
      <c r="BLS5" s="55" t="s">
        <v>114</v>
      </c>
      <c r="BLT5" s="55" t="s">
        <v>109</v>
      </c>
      <c r="BLU5" s="58" t="s">
        <v>101</v>
      </c>
      <c r="BLV5" s="58" t="s">
        <v>111</v>
      </c>
      <c r="BLW5" s="58" t="s">
        <v>107</v>
      </c>
      <c r="BLX5" s="58" t="s">
        <v>336</v>
      </c>
      <c r="BLY5" s="58" t="s">
        <v>338</v>
      </c>
      <c r="BLZ5" s="58" t="s">
        <v>339</v>
      </c>
      <c r="BMA5" s="58" t="s">
        <v>337</v>
      </c>
      <c r="BMB5" s="58" t="s">
        <v>341</v>
      </c>
      <c r="BMC5" s="58" t="s">
        <v>340</v>
      </c>
      <c r="BMD5" s="58" t="s">
        <v>114</v>
      </c>
      <c r="BME5" s="58" t="s">
        <v>109</v>
      </c>
      <c r="BMF5" s="55" t="s">
        <v>101</v>
      </c>
      <c r="BMG5" s="55" t="s">
        <v>111</v>
      </c>
      <c r="BMH5" s="55" t="s">
        <v>107</v>
      </c>
      <c r="BMI5" s="55" t="s">
        <v>336</v>
      </c>
      <c r="BMJ5" s="55" t="s">
        <v>338</v>
      </c>
      <c r="BMK5" s="55" t="s">
        <v>339</v>
      </c>
      <c r="BML5" s="55" t="s">
        <v>337</v>
      </c>
      <c r="BMM5" s="55" t="s">
        <v>341</v>
      </c>
      <c r="BMN5" s="55" t="s">
        <v>340</v>
      </c>
      <c r="BMO5" s="55" t="s">
        <v>114</v>
      </c>
      <c r="BMP5" s="55" t="s">
        <v>109</v>
      </c>
      <c r="BMQ5" s="58" t="s">
        <v>101</v>
      </c>
      <c r="BMR5" s="58" t="s">
        <v>111</v>
      </c>
      <c r="BMS5" s="58" t="s">
        <v>107</v>
      </c>
      <c r="BMT5" s="58" t="s">
        <v>336</v>
      </c>
      <c r="BMU5" s="58" t="s">
        <v>338</v>
      </c>
      <c r="BMV5" s="58" t="s">
        <v>339</v>
      </c>
      <c r="BMW5" s="58" t="s">
        <v>337</v>
      </c>
      <c r="BMX5" s="58" t="s">
        <v>341</v>
      </c>
      <c r="BMY5" s="58" t="s">
        <v>340</v>
      </c>
      <c r="BMZ5" s="58" t="s">
        <v>114</v>
      </c>
      <c r="BNA5" s="58" t="s">
        <v>109</v>
      </c>
      <c r="BNB5" s="55" t="s">
        <v>101</v>
      </c>
      <c r="BNC5" s="55" t="s">
        <v>111</v>
      </c>
      <c r="BND5" s="55" t="s">
        <v>107</v>
      </c>
      <c r="BNE5" s="55" t="s">
        <v>336</v>
      </c>
      <c r="BNF5" s="55" t="s">
        <v>338</v>
      </c>
      <c r="BNG5" s="55" t="s">
        <v>339</v>
      </c>
      <c r="BNH5" s="55" t="s">
        <v>337</v>
      </c>
      <c r="BNI5" s="55" t="s">
        <v>341</v>
      </c>
      <c r="BNJ5" s="55" t="s">
        <v>340</v>
      </c>
      <c r="BNK5" s="55" t="s">
        <v>114</v>
      </c>
      <c r="BNL5" s="55" t="s">
        <v>109</v>
      </c>
      <c r="BNM5" s="58" t="s">
        <v>101</v>
      </c>
      <c r="BNN5" s="58" t="s">
        <v>111</v>
      </c>
      <c r="BNO5" s="58" t="s">
        <v>107</v>
      </c>
      <c r="BNP5" s="58" t="s">
        <v>336</v>
      </c>
      <c r="BNQ5" s="58" t="s">
        <v>338</v>
      </c>
      <c r="BNR5" s="58" t="s">
        <v>339</v>
      </c>
      <c r="BNS5" s="58" t="s">
        <v>337</v>
      </c>
      <c r="BNT5" s="58" t="s">
        <v>341</v>
      </c>
      <c r="BNU5" s="58" t="s">
        <v>340</v>
      </c>
      <c r="BNV5" s="58" t="s">
        <v>114</v>
      </c>
      <c r="BNW5" s="58" t="s">
        <v>109</v>
      </c>
      <c r="BNX5" s="55" t="s">
        <v>101</v>
      </c>
      <c r="BNY5" s="55" t="s">
        <v>111</v>
      </c>
      <c r="BNZ5" s="55" t="s">
        <v>107</v>
      </c>
      <c r="BOA5" s="55" t="s">
        <v>336</v>
      </c>
      <c r="BOB5" s="55" t="s">
        <v>338</v>
      </c>
      <c r="BOC5" s="55" t="s">
        <v>339</v>
      </c>
      <c r="BOD5" s="55" t="s">
        <v>337</v>
      </c>
      <c r="BOE5" s="55" t="s">
        <v>341</v>
      </c>
      <c r="BOF5" s="55" t="s">
        <v>340</v>
      </c>
      <c r="BOG5" s="55" t="s">
        <v>114</v>
      </c>
      <c r="BOH5" s="55" t="s">
        <v>109</v>
      </c>
      <c r="BOI5" s="58" t="s">
        <v>101</v>
      </c>
      <c r="BOJ5" s="58" t="s">
        <v>111</v>
      </c>
      <c r="BOK5" s="58" t="s">
        <v>107</v>
      </c>
      <c r="BOL5" s="58" t="s">
        <v>336</v>
      </c>
      <c r="BOM5" s="58" t="s">
        <v>338</v>
      </c>
      <c r="BON5" s="58" t="s">
        <v>339</v>
      </c>
      <c r="BOO5" s="58" t="s">
        <v>337</v>
      </c>
      <c r="BOP5" s="58" t="s">
        <v>341</v>
      </c>
      <c r="BOQ5" s="58" t="s">
        <v>340</v>
      </c>
      <c r="BOR5" s="58" t="s">
        <v>114</v>
      </c>
      <c r="BOS5" s="58" t="s">
        <v>109</v>
      </c>
      <c r="BOT5" s="55" t="s">
        <v>101</v>
      </c>
      <c r="BOU5" s="55" t="s">
        <v>111</v>
      </c>
      <c r="BOV5" s="55" t="s">
        <v>107</v>
      </c>
      <c r="BOW5" s="55" t="s">
        <v>336</v>
      </c>
      <c r="BOX5" s="55" t="s">
        <v>338</v>
      </c>
      <c r="BOY5" s="55" t="s">
        <v>339</v>
      </c>
      <c r="BOZ5" s="55" t="s">
        <v>337</v>
      </c>
      <c r="BPA5" s="55" t="s">
        <v>341</v>
      </c>
      <c r="BPB5" s="55" t="s">
        <v>340</v>
      </c>
      <c r="BPC5" s="55" t="s">
        <v>114</v>
      </c>
      <c r="BPD5" s="55" t="s">
        <v>109</v>
      </c>
      <c r="BPE5" s="58" t="s">
        <v>101</v>
      </c>
      <c r="BPF5" s="58" t="s">
        <v>111</v>
      </c>
      <c r="BPG5" s="58" t="s">
        <v>107</v>
      </c>
      <c r="BPH5" s="58" t="s">
        <v>336</v>
      </c>
      <c r="BPI5" s="58" t="s">
        <v>338</v>
      </c>
      <c r="BPJ5" s="58" t="s">
        <v>339</v>
      </c>
      <c r="BPK5" s="58" t="s">
        <v>337</v>
      </c>
      <c r="BPL5" s="58" t="s">
        <v>341</v>
      </c>
      <c r="BPM5" s="58" t="s">
        <v>340</v>
      </c>
      <c r="BPN5" s="58" t="s">
        <v>114</v>
      </c>
      <c r="BPO5" s="58" t="s">
        <v>109</v>
      </c>
      <c r="BPP5" s="55" t="s">
        <v>101</v>
      </c>
      <c r="BPQ5" s="55" t="s">
        <v>111</v>
      </c>
      <c r="BPR5" s="55" t="s">
        <v>107</v>
      </c>
      <c r="BPS5" s="55" t="s">
        <v>336</v>
      </c>
      <c r="BPT5" s="55" t="s">
        <v>338</v>
      </c>
      <c r="BPU5" s="55" t="s">
        <v>339</v>
      </c>
      <c r="BPV5" s="55" t="s">
        <v>337</v>
      </c>
      <c r="BPW5" s="55" t="s">
        <v>341</v>
      </c>
      <c r="BPX5" s="55" t="s">
        <v>340</v>
      </c>
      <c r="BPY5" s="55" t="s">
        <v>114</v>
      </c>
      <c r="BPZ5" s="55" t="s">
        <v>109</v>
      </c>
      <c r="BQA5" s="58" t="s">
        <v>101</v>
      </c>
      <c r="BQB5" s="58" t="s">
        <v>111</v>
      </c>
      <c r="BQC5" s="58" t="s">
        <v>107</v>
      </c>
      <c r="BQD5" s="58" t="s">
        <v>336</v>
      </c>
      <c r="BQE5" s="58" t="s">
        <v>338</v>
      </c>
      <c r="BQF5" s="58" t="s">
        <v>339</v>
      </c>
      <c r="BQG5" s="58" t="s">
        <v>337</v>
      </c>
      <c r="BQH5" s="58" t="s">
        <v>341</v>
      </c>
      <c r="BQI5" s="58" t="s">
        <v>340</v>
      </c>
      <c r="BQJ5" s="58" t="s">
        <v>114</v>
      </c>
      <c r="BQK5" s="58" t="s">
        <v>109</v>
      </c>
      <c r="BQL5" s="55" t="s">
        <v>101</v>
      </c>
      <c r="BQM5" s="55" t="s">
        <v>111</v>
      </c>
      <c r="BQN5" s="55" t="s">
        <v>107</v>
      </c>
      <c r="BQO5" s="55" t="s">
        <v>336</v>
      </c>
      <c r="BQP5" s="55" t="s">
        <v>338</v>
      </c>
      <c r="BQQ5" s="55" t="s">
        <v>339</v>
      </c>
      <c r="BQR5" s="55" t="s">
        <v>337</v>
      </c>
      <c r="BQS5" s="55" t="s">
        <v>341</v>
      </c>
      <c r="BQT5" s="55" t="s">
        <v>340</v>
      </c>
      <c r="BQU5" s="55" t="s">
        <v>114</v>
      </c>
      <c r="BQV5" s="55" t="s">
        <v>109</v>
      </c>
      <c r="BQW5" s="58" t="s">
        <v>101</v>
      </c>
      <c r="BQX5" s="58" t="s">
        <v>111</v>
      </c>
      <c r="BQY5" s="58" t="s">
        <v>107</v>
      </c>
      <c r="BQZ5" s="58" t="s">
        <v>336</v>
      </c>
      <c r="BRA5" s="58" t="s">
        <v>338</v>
      </c>
      <c r="BRB5" s="58" t="s">
        <v>339</v>
      </c>
      <c r="BRC5" s="58" t="s">
        <v>337</v>
      </c>
      <c r="BRD5" s="58" t="s">
        <v>341</v>
      </c>
      <c r="BRE5" s="58" t="s">
        <v>340</v>
      </c>
      <c r="BRF5" s="58" t="s">
        <v>114</v>
      </c>
      <c r="BRG5" s="58" t="s">
        <v>109</v>
      </c>
      <c r="BRH5" s="55" t="s">
        <v>101</v>
      </c>
      <c r="BRI5" s="55" t="s">
        <v>111</v>
      </c>
      <c r="BRJ5" s="55" t="s">
        <v>107</v>
      </c>
      <c r="BRK5" s="55" t="s">
        <v>336</v>
      </c>
      <c r="BRL5" s="55" t="s">
        <v>338</v>
      </c>
      <c r="BRM5" s="55" t="s">
        <v>339</v>
      </c>
      <c r="BRN5" s="55" t="s">
        <v>337</v>
      </c>
      <c r="BRO5" s="55" t="s">
        <v>341</v>
      </c>
      <c r="BRP5" s="55" t="s">
        <v>340</v>
      </c>
      <c r="BRQ5" s="55" t="s">
        <v>114</v>
      </c>
      <c r="BRR5" s="55" t="s">
        <v>109</v>
      </c>
      <c r="BRS5" s="58" t="s">
        <v>101</v>
      </c>
      <c r="BRT5" s="58" t="s">
        <v>111</v>
      </c>
      <c r="BRU5" s="58" t="s">
        <v>107</v>
      </c>
      <c r="BRV5" s="58" t="s">
        <v>336</v>
      </c>
      <c r="BRW5" s="58" t="s">
        <v>338</v>
      </c>
      <c r="BRX5" s="58" t="s">
        <v>339</v>
      </c>
      <c r="BRY5" s="58" t="s">
        <v>337</v>
      </c>
      <c r="BRZ5" s="58" t="s">
        <v>341</v>
      </c>
      <c r="BSA5" s="58" t="s">
        <v>340</v>
      </c>
      <c r="BSB5" s="58" t="s">
        <v>114</v>
      </c>
      <c r="BSC5" s="58" t="s">
        <v>109</v>
      </c>
      <c r="BSD5" s="55" t="s">
        <v>101</v>
      </c>
      <c r="BSE5" s="55" t="s">
        <v>111</v>
      </c>
      <c r="BSF5" s="55" t="s">
        <v>107</v>
      </c>
      <c r="BSG5" s="55" t="s">
        <v>336</v>
      </c>
      <c r="BSH5" s="55" t="s">
        <v>338</v>
      </c>
      <c r="BSI5" s="55" t="s">
        <v>339</v>
      </c>
      <c r="BSJ5" s="55" t="s">
        <v>337</v>
      </c>
      <c r="BSK5" s="55" t="s">
        <v>341</v>
      </c>
      <c r="BSL5" s="55" t="s">
        <v>340</v>
      </c>
      <c r="BSM5" s="55" t="s">
        <v>114</v>
      </c>
      <c r="BSN5" s="55" t="s">
        <v>109</v>
      </c>
      <c r="BSO5" s="58" t="s">
        <v>101</v>
      </c>
      <c r="BSP5" s="58" t="s">
        <v>111</v>
      </c>
      <c r="BSQ5" s="58" t="s">
        <v>107</v>
      </c>
      <c r="BSR5" s="58" t="s">
        <v>336</v>
      </c>
      <c r="BSS5" s="58" t="s">
        <v>338</v>
      </c>
      <c r="BST5" s="58" t="s">
        <v>339</v>
      </c>
      <c r="BSU5" s="58" t="s">
        <v>337</v>
      </c>
      <c r="BSV5" s="58" t="s">
        <v>341</v>
      </c>
      <c r="BSW5" s="58" t="s">
        <v>340</v>
      </c>
      <c r="BSX5" s="58" t="s">
        <v>114</v>
      </c>
      <c r="BSY5" s="58" t="s">
        <v>109</v>
      </c>
      <c r="BSZ5" s="55" t="s">
        <v>101</v>
      </c>
      <c r="BTA5" s="55" t="s">
        <v>111</v>
      </c>
      <c r="BTB5" s="55" t="s">
        <v>107</v>
      </c>
      <c r="BTC5" s="55" t="s">
        <v>336</v>
      </c>
      <c r="BTD5" s="55" t="s">
        <v>338</v>
      </c>
      <c r="BTE5" s="55" t="s">
        <v>339</v>
      </c>
      <c r="BTF5" s="55" t="s">
        <v>337</v>
      </c>
      <c r="BTG5" s="55" t="s">
        <v>341</v>
      </c>
      <c r="BTH5" s="55" t="s">
        <v>340</v>
      </c>
      <c r="BTI5" s="55" t="s">
        <v>114</v>
      </c>
      <c r="BTJ5" s="55" t="s">
        <v>109</v>
      </c>
      <c r="BTK5" s="58" t="s">
        <v>101</v>
      </c>
      <c r="BTL5" s="58" t="s">
        <v>111</v>
      </c>
      <c r="BTM5" s="58" t="s">
        <v>107</v>
      </c>
      <c r="BTN5" s="58" t="s">
        <v>336</v>
      </c>
      <c r="BTO5" s="58" t="s">
        <v>338</v>
      </c>
      <c r="BTP5" s="58" t="s">
        <v>339</v>
      </c>
      <c r="BTQ5" s="58" t="s">
        <v>337</v>
      </c>
      <c r="BTR5" s="58" t="s">
        <v>341</v>
      </c>
      <c r="BTS5" s="58" t="s">
        <v>340</v>
      </c>
      <c r="BTT5" s="58" t="s">
        <v>114</v>
      </c>
      <c r="BTU5" s="58" t="s">
        <v>109</v>
      </c>
      <c r="BTV5" s="55" t="s">
        <v>101</v>
      </c>
      <c r="BTW5" s="55" t="s">
        <v>111</v>
      </c>
      <c r="BTX5" s="55" t="s">
        <v>107</v>
      </c>
      <c r="BTY5" s="55" t="s">
        <v>336</v>
      </c>
      <c r="BTZ5" s="55" t="s">
        <v>338</v>
      </c>
      <c r="BUA5" s="55" t="s">
        <v>339</v>
      </c>
      <c r="BUB5" s="55" t="s">
        <v>337</v>
      </c>
      <c r="BUC5" s="55" t="s">
        <v>341</v>
      </c>
      <c r="BUD5" s="55" t="s">
        <v>340</v>
      </c>
      <c r="BUE5" s="55" t="s">
        <v>114</v>
      </c>
      <c r="BUF5" s="55" t="s">
        <v>109</v>
      </c>
      <c r="BUG5" s="58" t="s">
        <v>101</v>
      </c>
      <c r="BUH5" s="58" t="s">
        <v>111</v>
      </c>
      <c r="BUI5" s="58" t="s">
        <v>107</v>
      </c>
      <c r="BUJ5" s="58" t="s">
        <v>336</v>
      </c>
      <c r="BUK5" s="58" t="s">
        <v>338</v>
      </c>
      <c r="BUL5" s="58" t="s">
        <v>339</v>
      </c>
      <c r="BUM5" s="58" t="s">
        <v>337</v>
      </c>
      <c r="BUN5" s="58" t="s">
        <v>341</v>
      </c>
      <c r="BUO5" s="58" t="s">
        <v>340</v>
      </c>
      <c r="BUP5" s="58" t="s">
        <v>114</v>
      </c>
      <c r="BUQ5" s="58" t="s">
        <v>109</v>
      </c>
      <c r="BUR5" s="55" t="s">
        <v>101</v>
      </c>
      <c r="BUS5" s="55" t="s">
        <v>111</v>
      </c>
      <c r="BUT5" s="55" t="s">
        <v>107</v>
      </c>
      <c r="BUU5" s="55" t="s">
        <v>336</v>
      </c>
      <c r="BUV5" s="55" t="s">
        <v>338</v>
      </c>
      <c r="BUW5" s="55" t="s">
        <v>339</v>
      </c>
      <c r="BUX5" s="55" t="s">
        <v>337</v>
      </c>
      <c r="BUY5" s="55" t="s">
        <v>341</v>
      </c>
      <c r="BUZ5" s="55" t="s">
        <v>340</v>
      </c>
      <c r="BVA5" s="55" t="s">
        <v>114</v>
      </c>
      <c r="BVB5" s="55" t="s">
        <v>109</v>
      </c>
      <c r="BVC5" s="58" t="s">
        <v>101</v>
      </c>
      <c r="BVD5" s="58" t="s">
        <v>111</v>
      </c>
      <c r="BVE5" s="58" t="s">
        <v>107</v>
      </c>
      <c r="BVF5" s="58" t="s">
        <v>336</v>
      </c>
      <c r="BVG5" s="58" t="s">
        <v>338</v>
      </c>
      <c r="BVH5" s="58" t="s">
        <v>339</v>
      </c>
      <c r="BVI5" s="58" t="s">
        <v>337</v>
      </c>
      <c r="BVJ5" s="58" t="s">
        <v>341</v>
      </c>
      <c r="BVK5" s="58" t="s">
        <v>340</v>
      </c>
      <c r="BVL5" s="58" t="s">
        <v>114</v>
      </c>
      <c r="BVM5" s="58" t="s">
        <v>109</v>
      </c>
      <c r="BVN5" s="55" t="s">
        <v>101</v>
      </c>
      <c r="BVO5" s="55" t="s">
        <v>111</v>
      </c>
      <c r="BVP5" s="55" t="s">
        <v>107</v>
      </c>
      <c r="BVQ5" s="55" t="s">
        <v>336</v>
      </c>
      <c r="BVR5" s="55" t="s">
        <v>338</v>
      </c>
      <c r="BVS5" s="55" t="s">
        <v>339</v>
      </c>
      <c r="BVT5" s="55" t="s">
        <v>337</v>
      </c>
      <c r="BVU5" s="55" t="s">
        <v>341</v>
      </c>
      <c r="BVV5" s="55" t="s">
        <v>340</v>
      </c>
      <c r="BVW5" s="55" t="s">
        <v>114</v>
      </c>
      <c r="BVX5" s="55" t="s">
        <v>109</v>
      </c>
      <c r="BVY5" s="58" t="s">
        <v>101</v>
      </c>
      <c r="BVZ5" s="58" t="s">
        <v>111</v>
      </c>
      <c r="BWA5" s="58" t="s">
        <v>107</v>
      </c>
      <c r="BWB5" s="58" t="s">
        <v>336</v>
      </c>
      <c r="BWC5" s="58" t="s">
        <v>338</v>
      </c>
      <c r="BWD5" s="58" t="s">
        <v>339</v>
      </c>
      <c r="BWE5" s="58" t="s">
        <v>337</v>
      </c>
      <c r="BWF5" s="58" t="s">
        <v>341</v>
      </c>
      <c r="BWG5" s="58" t="s">
        <v>340</v>
      </c>
      <c r="BWH5" s="58" t="s">
        <v>114</v>
      </c>
      <c r="BWI5" s="58" t="s">
        <v>109</v>
      </c>
      <c r="BWJ5" s="55" t="s">
        <v>101</v>
      </c>
      <c r="BWK5" s="55" t="s">
        <v>111</v>
      </c>
      <c r="BWL5" s="55" t="s">
        <v>107</v>
      </c>
      <c r="BWM5" s="55" t="s">
        <v>336</v>
      </c>
      <c r="BWN5" s="55" t="s">
        <v>338</v>
      </c>
      <c r="BWO5" s="55" t="s">
        <v>339</v>
      </c>
      <c r="BWP5" s="55" t="s">
        <v>337</v>
      </c>
      <c r="BWQ5" s="55" t="s">
        <v>341</v>
      </c>
      <c r="BWR5" s="55" t="s">
        <v>340</v>
      </c>
      <c r="BWS5" s="55" t="s">
        <v>114</v>
      </c>
      <c r="BWT5" s="55" t="s">
        <v>109</v>
      </c>
      <c r="BWU5" s="58" t="s">
        <v>101</v>
      </c>
      <c r="BWV5" s="58" t="s">
        <v>111</v>
      </c>
      <c r="BWW5" s="58" t="s">
        <v>107</v>
      </c>
      <c r="BWX5" s="58" t="s">
        <v>336</v>
      </c>
      <c r="BWY5" s="58" t="s">
        <v>338</v>
      </c>
      <c r="BWZ5" s="58" t="s">
        <v>339</v>
      </c>
      <c r="BXA5" s="58" t="s">
        <v>337</v>
      </c>
      <c r="BXB5" s="58" t="s">
        <v>341</v>
      </c>
      <c r="BXC5" s="58" t="s">
        <v>340</v>
      </c>
      <c r="BXD5" s="58" t="s">
        <v>114</v>
      </c>
      <c r="BXE5" s="58" t="s">
        <v>109</v>
      </c>
      <c r="BXF5" s="55" t="s">
        <v>101</v>
      </c>
      <c r="BXG5" s="55" t="s">
        <v>111</v>
      </c>
      <c r="BXH5" s="55" t="s">
        <v>107</v>
      </c>
      <c r="BXI5" s="55" t="s">
        <v>336</v>
      </c>
      <c r="BXJ5" s="55" t="s">
        <v>338</v>
      </c>
      <c r="BXK5" s="55" t="s">
        <v>339</v>
      </c>
      <c r="BXL5" s="55" t="s">
        <v>337</v>
      </c>
      <c r="BXM5" s="55" t="s">
        <v>341</v>
      </c>
      <c r="BXN5" s="55" t="s">
        <v>340</v>
      </c>
      <c r="BXO5" s="55" t="s">
        <v>114</v>
      </c>
      <c r="BXP5" s="55" t="s">
        <v>109</v>
      </c>
      <c r="BXQ5" s="58" t="s">
        <v>101</v>
      </c>
      <c r="BXR5" s="58" t="s">
        <v>111</v>
      </c>
      <c r="BXS5" s="58" t="s">
        <v>107</v>
      </c>
      <c r="BXT5" s="58" t="s">
        <v>336</v>
      </c>
      <c r="BXU5" s="58" t="s">
        <v>338</v>
      </c>
      <c r="BXV5" s="58" t="s">
        <v>339</v>
      </c>
      <c r="BXW5" s="58" t="s">
        <v>337</v>
      </c>
      <c r="BXX5" s="58" t="s">
        <v>341</v>
      </c>
      <c r="BXY5" s="58" t="s">
        <v>340</v>
      </c>
      <c r="BXZ5" s="58" t="s">
        <v>114</v>
      </c>
      <c r="BYA5" s="58" t="s">
        <v>109</v>
      </c>
      <c r="BYB5" s="55" t="s">
        <v>101</v>
      </c>
      <c r="BYC5" s="55" t="s">
        <v>111</v>
      </c>
      <c r="BYD5" s="55" t="s">
        <v>107</v>
      </c>
      <c r="BYE5" s="55" t="s">
        <v>336</v>
      </c>
      <c r="BYF5" s="55" t="s">
        <v>338</v>
      </c>
      <c r="BYG5" s="55" t="s">
        <v>339</v>
      </c>
      <c r="BYH5" s="55" t="s">
        <v>337</v>
      </c>
      <c r="BYI5" s="55" t="s">
        <v>341</v>
      </c>
      <c r="BYJ5" s="55" t="s">
        <v>340</v>
      </c>
      <c r="BYK5" s="55" t="s">
        <v>114</v>
      </c>
      <c r="BYL5" s="55" t="s">
        <v>109</v>
      </c>
      <c r="BYM5" s="58" t="s">
        <v>101</v>
      </c>
      <c r="BYN5" s="58" t="s">
        <v>111</v>
      </c>
      <c r="BYO5" s="58" t="s">
        <v>107</v>
      </c>
      <c r="BYP5" s="58" t="s">
        <v>336</v>
      </c>
      <c r="BYQ5" s="58" t="s">
        <v>338</v>
      </c>
      <c r="BYR5" s="58" t="s">
        <v>339</v>
      </c>
      <c r="BYS5" s="58" t="s">
        <v>337</v>
      </c>
      <c r="BYT5" s="58" t="s">
        <v>341</v>
      </c>
      <c r="BYU5" s="58" t="s">
        <v>340</v>
      </c>
      <c r="BYV5" s="58" t="s">
        <v>114</v>
      </c>
      <c r="BYW5" s="58" t="s">
        <v>109</v>
      </c>
      <c r="BYX5" s="55" t="s">
        <v>101</v>
      </c>
      <c r="BYY5" s="55" t="s">
        <v>111</v>
      </c>
      <c r="BYZ5" s="55" t="s">
        <v>107</v>
      </c>
      <c r="BZA5" s="55" t="s">
        <v>336</v>
      </c>
      <c r="BZB5" s="55" t="s">
        <v>338</v>
      </c>
      <c r="BZC5" s="55" t="s">
        <v>339</v>
      </c>
      <c r="BZD5" s="55" t="s">
        <v>337</v>
      </c>
      <c r="BZE5" s="55" t="s">
        <v>341</v>
      </c>
      <c r="BZF5" s="55" t="s">
        <v>340</v>
      </c>
      <c r="BZG5" s="55" t="s">
        <v>114</v>
      </c>
      <c r="BZH5" s="55" t="s">
        <v>109</v>
      </c>
      <c r="BZI5" s="58" t="s">
        <v>101</v>
      </c>
      <c r="BZJ5" s="58" t="s">
        <v>111</v>
      </c>
      <c r="BZK5" s="58" t="s">
        <v>107</v>
      </c>
      <c r="BZL5" s="58" t="s">
        <v>336</v>
      </c>
      <c r="BZM5" s="58" t="s">
        <v>338</v>
      </c>
      <c r="BZN5" s="58" t="s">
        <v>339</v>
      </c>
      <c r="BZO5" s="58" t="s">
        <v>337</v>
      </c>
      <c r="BZP5" s="58" t="s">
        <v>341</v>
      </c>
      <c r="BZQ5" s="58" t="s">
        <v>340</v>
      </c>
      <c r="BZR5" s="58" t="s">
        <v>114</v>
      </c>
      <c r="BZS5" s="58" t="s">
        <v>109</v>
      </c>
      <c r="BZT5" s="55" t="s">
        <v>101</v>
      </c>
      <c r="BZU5" s="55" t="s">
        <v>111</v>
      </c>
      <c r="BZV5" s="55" t="s">
        <v>107</v>
      </c>
      <c r="BZW5" s="55" t="s">
        <v>336</v>
      </c>
      <c r="BZX5" s="55" t="s">
        <v>338</v>
      </c>
      <c r="BZY5" s="55" t="s">
        <v>339</v>
      </c>
      <c r="BZZ5" s="55" t="s">
        <v>337</v>
      </c>
      <c r="CAA5" s="55" t="s">
        <v>341</v>
      </c>
      <c r="CAB5" s="55" t="s">
        <v>340</v>
      </c>
      <c r="CAC5" s="55" t="s">
        <v>114</v>
      </c>
      <c r="CAD5" s="55" t="s">
        <v>109</v>
      </c>
      <c r="CAE5" s="58" t="s">
        <v>101</v>
      </c>
      <c r="CAF5" s="58" t="s">
        <v>111</v>
      </c>
      <c r="CAG5" s="58" t="s">
        <v>107</v>
      </c>
      <c r="CAH5" s="58" t="s">
        <v>336</v>
      </c>
      <c r="CAI5" s="58" t="s">
        <v>338</v>
      </c>
      <c r="CAJ5" s="58" t="s">
        <v>339</v>
      </c>
      <c r="CAK5" s="58" t="s">
        <v>337</v>
      </c>
      <c r="CAL5" s="58" t="s">
        <v>341</v>
      </c>
      <c r="CAM5" s="58" t="s">
        <v>340</v>
      </c>
      <c r="CAN5" s="58" t="s">
        <v>114</v>
      </c>
      <c r="CAO5" s="58" t="s">
        <v>109</v>
      </c>
      <c r="CAP5" s="55" t="s">
        <v>101</v>
      </c>
      <c r="CAQ5" s="55" t="s">
        <v>111</v>
      </c>
      <c r="CAR5" s="55" t="s">
        <v>107</v>
      </c>
      <c r="CAS5" s="55" t="s">
        <v>336</v>
      </c>
      <c r="CAT5" s="55" t="s">
        <v>338</v>
      </c>
      <c r="CAU5" s="55" t="s">
        <v>339</v>
      </c>
      <c r="CAV5" s="55" t="s">
        <v>337</v>
      </c>
      <c r="CAW5" s="55" t="s">
        <v>341</v>
      </c>
      <c r="CAX5" s="55" t="s">
        <v>340</v>
      </c>
      <c r="CAY5" s="55" t="s">
        <v>114</v>
      </c>
      <c r="CAZ5" s="55" t="s">
        <v>109</v>
      </c>
      <c r="CBA5" s="58" t="s">
        <v>101</v>
      </c>
      <c r="CBB5" s="58" t="s">
        <v>111</v>
      </c>
      <c r="CBC5" s="58" t="s">
        <v>107</v>
      </c>
      <c r="CBD5" s="58" t="s">
        <v>336</v>
      </c>
      <c r="CBE5" s="58" t="s">
        <v>338</v>
      </c>
      <c r="CBF5" s="58" t="s">
        <v>339</v>
      </c>
      <c r="CBG5" s="58" t="s">
        <v>337</v>
      </c>
      <c r="CBH5" s="58" t="s">
        <v>341</v>
      </c>
      <c r="CBI5" s="58" t="s">
        <v>340</v>
      </c>
      <c r="CBJ5" s="58" t="s">
        <v>114</v>
      </c>
      <c r="CBK5" s="58" t="s">
        <v>109</v>
      </c>
      <c r="CBL5" s="55" t="s">
        <v>101</v>
      </c>
      <c r="CBM5" s="55" t="s">
        <v>111</v>
      </c>
      <c r="CBN5" s="55" t="s">
        <v>107</v>
      </c>
      <c r="CBO5" s="55" t="s">
        <v>336</v>
      </c>
      <c r="CBP5" s="55" t="s">
        <v>338</v>
      </c>
      <c r="CBQ5" s="55" t="s">
        <v>339</v>
      </c>
      <c r="CBR5" s="55" t="s">
        <v>337</v>
      </c>
      <c r="CBS5" s="55" t="s">
        <v>341</v>
      </c>
      <c r="CBT5" s="55" t="s">
        <v>340</v>
      </c>
      <c r="CBU5" s="55" t="s">
        <v>114</v>
      </c>
      <c r="CBV5" s="55" t="s">
        <v>109</v>
      </c>
      <c r="CBW5" s="58" t="s">
        <v>101</v>
      </c>
      <c r="CBX5" s="58" t="s">
        <v>111</v>
      </c>
      <c r="CBY5" s="58" t="s">
        <v>107</v>
      </c>
      <c r="CBZ5" s="58" t="s">
        <v>336</v>
      </c>
      <c r="CCA5" s="58" t="s">
        <v>338</v>
      </c>
      <c r="CCB5" s="58" t="s">
        <v>339</v>
      </c>
      <c r="CCC5" s="58" t="s">
        <v>337</v>
      </c>
      <c r="CCD5" s="58" t="s">
        <v>341</v>
      </c>
      <c r="CCE5" s="58" t="s">
        <v>340</v>
      </c>
      <c r="CCF5" s="58" t="s">
        <v>114</v>
      </c>
      <c r="CCG5" s="58" t="s">
        <v>109</v>
      </c>
      <c r="CCH5" s="54" t="s">
        <v>101</v>
      </c>
      <c r="CCI5" s="55" t="s">
        <v>111</v>
      </c>
      <c r="CCJ5" s="55" t="s">
        <v>107</v>
      </c>
      <c r="CCK5" s="55" t="s">
        <v>336</v>
      </c>
      <c r="CCL5" s="55" t="s">
        <v>338</v>
      </c>
      <c r="CCM5" s="55" t="s">
        <v>339</v>
      </c>
      <c r="CCN5" s="55" t="s">
        <v>337</v>
      </c>
      <c r="CCO5" s="55" t="s">
        <v>341</v>
      </c>
      <c r="CCP5" s="55" t="s">
        <v>340</v>
      </c>
      <c r="CCQ5" s="55" t="s">
        <v>114</v>
      </c>
      <c r="CCR5" s="55" t="s">
        <v>109</v>
      </c>
      <c r="CCS5" s="58" t="s">
        <v>101</v>
      </c>
      <c r="CCT5" s="58" t="s">
        <v>111</v>
      </c>
      <c r="CCU5" s="58" t="s">
        <v>107</v>
      </c>
      <c r="CCV5" s="58" t="s">
        <v>336</v>
      </c>
      <c r="CCW5" s="58" t="s">
        <v>338</v>
      </c>
      <c r="CCX5" s="58" t="s">
        <v>339</v>
      </c>
      <c r="CCY5" s="58" t="s">
        <v>337</v>
      </c>
      <c r="CCZ5" s="58" t="s">
        <v>341</v>
      </c>
      <c r="CDA5" s="58" t="s">
        <v>340</v>
      </c>
      <c r="CDB5" s="58" t="s">
        <v>114</v>
      </c>
      <c r="CDC5" s="58" t="s">
        <v>109</v>
      </c>
      <c r="CDD5" s="55" t="s">
        <v>101</v>
      </c>
      <c r="CDE5" s="55" t="s">
        <v>111</v>
      </c>
      <c r="CDF5" s="55" t="s">
        <v>107</v>
      </c>
      <c r="CDG5" s="55" t="s">
        <v>336</v>
      </c>
      <c r="CDH5" s="55" t="s">
        <v>338</v>
      </c>
      <c r="CDI5" s="55" t="s">
        <v>339</v>
      </c>
      <c r="CDJ5" s="55" t="s">
        <v>337</v>
      </c>
      <c r="CDK5" s="55" t="s">
        <v>341</v>
      </c>
      <c r="CDL5" s="55" t="s">
        <v>340</v>
      </c>
      <c r="CDM5" s="55" t="s">
        <v>114</v>
      </c>
      <c r="CDN5" s="55" t="s">
        <v>109</v>
      </c>
      <c r="CDO5" s="58" t="s">
        <v>101</v>
      </c>
      <c r="CDP5" s="58" t="s">
        <v>111</v>
      </c>
      <c r="CDQ5" s="58" t="s">
        <v>107</v>
      </c>
      <c r="CDR5" s="58" t="s">
        <v>336</v>
      </c>
      <c r="CDS5" s="58" t="s">
        <v>338</v>
      </c>
      <c r="CDT5" s="58" t="s">
        <v>339</v>
      </c>
      <c r="CDU5" s="58" t="s">
        <v>337</v>
      </c>
      <c r="CDV5" s="58" t="s">
        <v>341</v>
      </c>
      <c r="CDW5" s="58" t="s">
        <v>340</v>
      </c>
      <c r="CDX5" s="58" t="s">
        <v>114</v>
      </c>
      <c r="CDY5" s="58" t="s">
        <v>109</v>
      </c>
      <c r="CDZ5" s="55" t="s">
        <v>101</v>
      </c>
      <c r="CEA5" s="55" t="s">
        <v>111</v>
      </c>
      <c r="CEB5" s="55" t="s">
        <v>107</v>
      </c>
      <c r="CEC5" s="55" t="s">
        <v>336</v>
      </c>
      <c r="CED5" s="55" t="s">
        <v>338</v>
      </c>
      <c r="CEE5" s="55" t="s">
        <v>339</v>
      </c>
      <c r="CEF5" s="55" t="s">
        <v>337</v>
      </c>
      <c r="CEG5" s="55" t="s">
        <v>341</v>
      </c>
      <c r="CEH5" s="55" t="s">
        <v>340</v>
      </c>
      <c r="CEI5" s="55" t="s">
        <v>114</v>
      </c>
      <c r="CEJ5" s="55" t="s">
        <v>109</v>
      </c>
      <c r="CEK5" s="58" t="s">
        <v>101</v>
      </c>
      <c r="CEL5" s="58" t="s">
        <v>111</v>
      </c>
      <c r="CEM5" s="58" t="s">
        <v>107</v>
      </c>
      <c r="CEN5" s="58" t="s">
        <v>336</v>
      </c>
      <c r="CEO5" s="58" t="s">
        <v>338</v>
      </c>
      <c r="CEP5" s="58" t="s">
        <v>339</v>
      </c>
      <c r="CEQ5" s="58" t="s">
        <v>337</v>
      </c>
      <c r="CER5" s="58" t="s">
        <v>341</v>
      </c>
      <c r="CES5" s="58" t="s">
        <v>340</v>
      </c>
      <c r="CET5" s="58" t="s">
        <v>114</v>
      </c>
      <c r="CEU5" s="58" t="s">
        <v>109</v>
      </c>
      <c r="CEV5" s="55" t="s">
        <v>101</v>
      </c>
      <c r="CEW5" s="55" t="s">
        <v>111</v>
      </c>
      <c r="CEX5" s="55" t="s">
        <v>107</v>
      </c>
      <c r="CEY5" s="55" t="s">
        <v>336</v>
      </c>
      <c r="CEZ5" s="55" t="s">
        <v>338</v>
      </c>
      <c r="CFA5" s="55" t="s">
        <v>339</v>
      </c>
      <c r="CFB5" s="55" t="s">
        <v>337</v>
      </c>
      <c r="CFC5" s="55" t="s">
        <v>341</v>
      </c>
      <c r="CFD5" s="55" t="s">
        <v>340</v>
      </c>
      <c r="CFE5" s="55" t="s">
        <v>114</v>
      </c>
      <c r="CFF5" s="55" t="s">
        <v>109</v>
      </c>
      <c r="CFG5" s="58" t="s">
        <v>101</v>
      </c>
      <c r="CFH5" s="58" t="s">
        <v>111</v>
      </c>
      <c r="CFI5" s="58" t="s">
        <v>107</v>
      </c>
      <c r="CFJ5" s="58" t="s">
        <v>336</v>
      </c>
      <c r="CFK5" s="58" t="s">
        <v>338</v>
      </c>
      <c r="CFL5" s="58" t="s">
        <v>339</v>
      </c>
      <c r="CFM5" s="58" t="s">
        <v>337</v>
      </c>
      <c r="CFN5" s="58" t="s">
        <v>341</v>
      </c>
      <c r="CFO5" s="58" t="s">
        <v>340</v>
      </c>
      <c r="CFP5" s="58" t="s">
        <v>114</v>
      </c>
      <c r="CFQ5" s="58" t="s">
        <v>109</v>
      </c>
      <c r="CFR5" s="55" t="s">
        <v>101</v>
      </c>
      <c r="CFS5" s="55" t="s">
        <v>111</v>
      </c>
      <c r="CFT5" s="55" t="s">
        <v>107</v>
      </c>
      <c r="CFU5" s="55" t="s">
        <v>336</v>
      </c>
      <c r="CFV5" s="55" t="s">
        <v>338</v>
      </c>
      <c r="CFW5" s="55" t="s">
        <v>339</v>
      </c>
      <c r="CFX5" s="55" t="s">
        <v>337</v>
      </c>
      <c r="CFY5" s="55" t="s">
        <v>341</v>
      </c>
      <c r="CFZ5" s="55" t="s">
        <v>340</v>
      </c>
      <c r="CGA5" s="55" t="s">
        <v>114</v>
      </c>
      <c r="CGB5" s="55" t="s">
        <v>109</v>
      </c>
      <c r="CGC5" s="58" t="s">
        <v>101</v>
      </c>
      <c r="CGD5" s="58" t="s">
        <v>111</v>
      </c>
      <c r="CGE5" s="58" t="s">
        <v>107</v>
      </c>
      <c r="CGF5" s="58" t="s">
        <v>336</v>
      </c>
      <c r="CGG5" s="58" t="s">
        <v>338</v>
      </c>
      <c r="CGH5" s="58" t="s">
        <v>339</v>
      </c>
      <c r="CGI5" s="58" t="s">
        <v>337</v>
      </c>
      <c r="CGJ5" s="58" t="s">
        <v>341</v>
      </c>
      <c r="CGK5" s="58" t="s">
        <v>340</v>
      </c>
      <c r="CGL5" s="58" t="s">
        <v>114</v>
      </c>
      <c r="CGM5" s="58" t="s">
        <v>109</v>
      </c>
      <c r="CGN5" s="55" t="s">
        <v>101</v>
      </c>
      <c r="CGO5" s="55" t="s">
        <v>111</v>
      </c>
      <c r="CGP5" s="55" t="s">
        <v>107</v>
      </c>
      <c r="CGQ5" s="55" t="s">
        <v>336</v>
      </c>
      <c r="CGR5" s="55" t="s">
        <v>338</v>
      </c>
      <c r="CGS5" s="55" t="s">
        <v>339</v>
      </c>
      <c r="CGT5" s="55" t="s">
        <v>337</v>
      </c>
      <c r="CGU5" s="55" t="s">
        <v>341</v>
      </c>
      <c r="CGV5" s="55" t="s">
        <v>340</v>
      </c>
      <c r="CGW5" s="55" t="s">
        <v>114</v>
      </c>
      <c r="CGX5" s="55" t="s">
        <v>109</v>
      </c>
      <c r="CGY5" s="58" t="s">
        <v>101</v>
      </c>
      <c r="CGZ5" s="58" t="s">
        <v>111</v>
      </c>
      <c r="CHA5" s="58" t="s">
        <v>107</v>
      </c>
      <c r="CHB5" s="58" t="s">
        <v>336</v>
      </c>
      <c r="CHC5" s="58" t="s">
        <v>338</v>
      </c>
      <c r="CHD5" s="58" t="s">
        <v>339</v>
      </c>
      <c r="CHE5" s="58" t="s">
        <v>337</v>
      </c>
      <c r="CHF5" s="58" t="s">
        <v>341</v>
      </c>
      <c r="CHG5" s="58" t="s">
        <v>340</v>
      </c>
      <c r="CHH5" s="58" t="s">
        <v>114</v>
      </c>
      <c r="CHI5" s="58" t="s">
        <v>109</v>
      </c>
      <c r="CHJ5" s="55" t="s">
        <v>101</v>
      </c>
      <c r="CHK5" s="55" t="s">
        <v>111</v>
      </c>
      <c r="CHL5" s="55" t="s">
        <v>107</v>
      </c>
      <c r="CHM5" s="55" t="s">
        <v>336</v>
      </c>
      <c r="CHN5" s="55" t="s">
        <v>338</v>
      </c>
      <c r="CHO5" s="55" t="s">
        <v>339</v>
      </c>
      <c r="CHP5" s="55" t="s">
        <v>337</v>
      </c>
      <c r="CHQ5" s="55" t="s">
        <v>341</v>
      </c>
      <c r="CHR5" s="55" t="s">
        <v>340</v>
      </c>
      <c r="CHS5" s="55" t="s">
        <v>114</v>
      </c>
      <c r="CHT5" s="55" t="s">
        <v>109</v>
      </c>
      <c r="CHU5" s="58" t="s">
        <v>101</v>
      </c>
      <c r="CHV5" s="58" t="s">
        <v>111</v>
      </c>
      <c r="CHW5" s="58" t="s">
        <v>107</v>
      </c>
      <c r="CHX5" s="58" t="s">
        <v>336</v>
      </c>
      <c r="CHY5" s="58" t="s">
        <v>338</v>
      </c>
      <c r="CHZ5" s="58" t="s">
        <v>339</v>
      </c>
      <c r="CIA5" s="58" t="s">
        <v>337</v>
      </c>
      <c r="CIB5" s="58" t="s">
        <v>341</v>
      </c>
      <c r="CIC5" s="58" t="s">
        <v>340</v>
      </c>
      <c r="CID5" s="58" t="s">
        <v>114</v>
      </c>
      <c r="CIE5" s="58" t="s">
        <v>109</v>
      </c>
      <c r="CIF5" s="55" t="s">
        <v>101</v>
      </c>
      <c r="CIG5" s="55" t="s">
        <v>111</v>
      </c>
      <c r="CIH5" s="55" t="s">
        <v>107</v>
      </c>
      <c r="CII5" s="55" t="s">
        <v>336</v>
      </c>
      <c r="CIJ5" s="55" t="s">
        <v>338</v>
      </c>
      <c r="CIK5" s="55" t="s">
        <v>339</v>
      </c>
      <c r="CIL5" s="55" t="s">
        <v>337</v>
      </c>
      <c r="CIM5" s="55" t="s">
        <v>341</v>
      </c>
      <c r="CIN5" s="55" t="s">
        <v>340</v>
      </c>
      <c r="CIO5" s="55" t="s">
        <v>114</v>
      </c>
      <c r="CIP5" s="55" t="s">
        <v>109</v>
      </c>
      <c r="CIQ5" s="58" t="s">
        <v>101</v>
      </c>
      <c r="CIR5" s="58" t="s">
        <v>111</v>
      </c>
      <c r="CIS5" s="58" t="s">
        <v>107</v>
      </c>
      <c r="CIT5" s="58" t="s">
        <v>336</v>
      </c>
      <c r="CIU5" s="58" t="s">
        <v>338</v>
      </c>
      <c r="CIV5" s="58" t="s">
        <v>339</v>
      </c>
      <c r="CIW5" s="58" t="s">
        <v>337</v>
      </c>
      <c r="CIX5" s="58" t="s">
        <v>341</v>
      </c>
      <c r="CIY5" s="58" t="s">
        <v>340</v>
      </c>
      <c r="CIZ5" s="58" t="s">
        <v>114</v>
      </c>
      <c r="CJA5" s="58" t="s">
        <v>109</v>
      </c>
      <c r="CJB5" s="55" t="s">
        <v>101</v>
      </c>
      <c r="CJC5" s="55" t="s">
        <v>111</v>
      </c>
      <c r="CJD5" s="55" t="s">
        <v>107</v>
      </c>
      <c r="CJE5" s="55" t="s">
        <v>336</v>
      </c>
      <c r="CJF5" s="55" t="s">
        <v>338</v>
      </c>
      <c r="CJG5" s="55" t="s">
        <v>339</v>
      </c>
      <c r="CJH5" s="55" t="s">
        <v>337</v>
      </c>
      <c r="CJI5" s="55" t="s">
        <v>341</v>
      </c>
      <c r="CJJ5" s="55" t="s">
        <v>340</v>
      </c>
      <c r="CJK5" s="55" t="s">
        <v>114</v>
      </c>
      <c r="CJL5" s="55" t="s">
        <v>109</v>
      </c>
      <c r="CJM5" s="58" t="s">
        <v>101</v>
      </c>
      <c r="CJN5" s="58" t="s">
        <v>111</v>
      </c>
      <c r="CJO5" s="58" t="s">
        <v>107</v>
      </c>
      <c r="CJP5" s="58" t="s">
        <v>336</v>
      </c>
      <c r="CJQ5" s="58" t="s">
        <v>338</v>
      </c>
      <c r="CJR5" s="58" t="s">
        <v>339</v>
      </c>
      <c r="CJS5" s="58" t="s">
        <v>337</v>
      </c>
      <c r="CJT5" s="58" t="s">
        <v>341</v>
      </c>
      <c r="CJU5" s="58" t="s">
        <v>340</v>
      </c>
      <c r="CJV5" s="58" t="s">
        <v>114</v>
      </c>
      <c r="CJW5" s="58" t="s">
        <v>109</v>
      </c>
      <c r="CJX5" s="55" t="s">
        <v>101</v>
      </c>
      <c r="CJY5" s="55" t="s">
        <v>111</v>
      </c>
      <c r="CJZ5" s="55" t="s">
        <v>107</v>
      </c>
      <c r="CKA5" s="55" t="s">
        <v>336</v>
      </c>
      <c r="CKB5" s="55" t="s">
        <v>338</v>
      </c>
      <c r="CKC5" s="55" t="s">
        <v>339</v>
      </c>
      <c r="CKD5" s="55" t="s">
        <v>337</v>
      </c>
      <c r="CKE5" s="55" t="s">
        <v>341</v>
      </c>
      <c r="CKF5" s="55" t="s">
        <v>340</v>
      </c>
      <c r="CKG5" s="55" t="s">
        <v>114</v>
      </c>
      <c r="CKH5" s="55" t="s">
        <v>109</v>
      </c>
      <c r="CKI5" s="58" t="s">
        <v>101</v>
      </c>
      <c r="CKJ5" s="58" t="s">
        <v>111</v>
      </c>
      <c r="CKK5" s="58" t="s">
        <v>107</v>
      </c>
      <c r="CKL5" s="58" t="s">
        <v>336</v>
      </c>
      <c r="CKM5" s="58" t="s">
        <v>338</v>
      </c>
      <c r="CKN5" s="58" t="s">
        <v>339</v>
      </c>
      <c r="CKO5" s="58" t="s">
        <v>337</v>
      </c>
      <c r="CKP5" s="58" t="s">
        <v>341</v>
      </c>
      <c r="CKQ5" s="58" t="s">
        <v>340</v>
      </c>
      <c r="CKR5" s="58" t="s">
        <v>114</v>
      </c>
      <c r="CKS5" s="58" t="s">
        <v>109</v>
      </c>
      <c r="CKT5" s="55" t="s">
        <v>101</v>
      </c>
      <c r="CKU5" s="55" t="s">
        <v>111</v>
      </c>
      <c r="CKV5" s="55" t="s">
        <v>107</v>
      </c>
      <c r="CKW5" s="55" t="s">
        <v>336</v>
      </c>
      <c r="CKX5" s="55" t="s">
        <v>338</v>
      </c>
      <c r="CKY5" s="55" t="s">
        <v>339</v>
      </c>
      <c r="CKZ5" s="55" t="s">
        <v>337</v>
      </c>
      <c r="CLA5" s="55" t="s">
        <v>341</v>
      </c>
      <c r="CLB5" s="55" t="s">
        <v>340</v>
      </c>
      <c r="CLC5" s="55" t="s">
        <v>114</v>
      </c>
      <c r="CLD5" s="55" t="s">
        <v>109</v>
      </c>
      <c r="CLE5" s="58" t="s">
        <v>101</v>
      </c>
      <c r="CLF5" s="58" t="s">
        <v>111</v>
      </c>
      <c r="CLG5" s="58" t="s">
        <v>107</v>
      </c>
      <c r="CLH5" s="58" t="s">
        <v>336</v>
      </c>
      <c r="CLI5" s="58" t="s">
        <v>338</v>
      </c>
      <c r="CLJ5" s="58" t="s">
        <v>339</v>
      </c>
      <c r="CLK5" s="58" t="s">
        <v>337</v>
      </c>
      <c r="CLL5" s="58" t="s">
        <v>341</v>
      </c>
      <c r="CLM5" s="58" t="s">
        <v>340</v>
      </c>
      <c r="CLN5" s="58" t="s">
        <v>114</v>
      </c>
      <c r="CLO5" s="58" t="s">
        <v>109</v>
      </c>
      <c r="CLP5" s="55" t="s">
        <v>101</v>
      </c>
      <c r="CLQ5" s="55" t="s">
        <v>111</v>
      </c>
      <c r="CLR5" s="55" t="s">
        <v>107</v>
      </c>
      <c r="CLS5" s="55" t="s">
        <v>336</v>
      </c>
      <c r="CLT5" s="55" t="s">
        <v>338</v>
      </c>
      <c r="CLU5" s="55" t="s">
        <v>339</v>
      </c>
      <c r="CLV5" s="55" t="s">
        <v>337</v>
      </c>
      <c r="CLW5" s="55" t="s">
        <v>341</v>
      </c>
      <c r="CLX5" s="55" t="s">
        <v>340</v>
      </c>
      <c r="CLY5" s="55" t="s">
        <v>114</v>
      </c>
      <c r="CLZ5" s="55" t="s">
        <v>109</v>
      </c>
      <c r="CMA5" s="58" t="s">
        <v>101</v>
      </c>
      <c r="CMB5" s="58" t="s">
        <v>111</v>
      </c>
      <c r="CMC5" s="58" t="s">
        <v>107</v>
      </c>
      <c r="CMD5" s="58" t="s">
        <v>336</v>
      </c>
      <c r="CME5" s="58" t="s">
        <v>338</v>
      </c>
      <c r="CMF5" s="58" t="s">
        <v>339</v>
      </c>
      <c r="CMG5" s="58" t="s">
        <v>337</v>
      </c>
      <c r="CMH5" s="58" t="s">
        <v>341</v>
      </c>
      <c r="CMI5" s="58" t="s">
        <v>340</v>
      </c>
      <c r="CMJ5" s="58" t="s">
        <v>114</v>
      </c>
      <c r="CMK5" s="58" t="s">
        <v>109</v>
      </c>
      <c r="CML5" s="55" t="s">
        <v>101</v>
      </c>
      <c r="CMM5" s="55" t="s">
        <v>111</v>
      </c>
      <c r="CMN5" s="55" t="s">
        <v>107</v>
      </c>
      <c r="CMO5" s="55" t="s">
        <v>336</v>
      </c>
      <c r="CMP5" s="55" t="s">
        <v>338</v>
      </c>
      <c r="CMQ5" s="55" t="s">
        <v>339</v>
      </c>
      <c r="CMR5" s="55" t="s">
        <v>337</v>
      </c>
      <c r="CMS5" s="55" t="s">
        <v>341</v>
      </c>
      <c r="CMT5" s="55" t="s">
        <v>340</v>
      </c>
      <c r="CMU5" s="55" t="s">
        <v>114</v>
      </c>
      <c r="CMV5" s="55" t="s">
        <v>109</v>
      </c>
      <c r="CMW5" s="58" t="s">
        <v>101</v>
      </c>
      <c r="CMX5" s="58" t="s">
        <v>111</v>
      </c>
      <c r="CMY5" s="58" t="s">
        <v>107</v>
      </c>
      <c r="CMZ5" s="58" t="s">
        <v>336</v>
      </c>
      <c r="CNA5" s="58" t="s">
        <v>338</v>
      </c>
      <c r="CNB5" s="58" t="s">
        <v>339</v>
      </c>
      <c r="CNC5" s="58" t="s">
        <v>337</v>
      </c>
      <c r="CND5" s="58" t="s">
        <v>341</v>
      </c>
      <c r="CNE5" s="58" t="s">
        <v>340</v>
      </c>
      <c r="CNF5" s="58" t="s">
        <v>114</v>
      </c>
      <c r="CNG5" s="58" t="s">
        <v>109</v>
      </c>
      <c r="CNH5" s="55" t="s">
        <v>101</v>
      </c>
      <c r="CNI5" s="55" t="s">
        <v>111</v>
      </c>
      <c r="CNJ5" s="55" t="s">
        <v>107</v>
      </c>
      <c r="CNK5" s="55" t="s">
        <v>336</v>
      </c>
      <c r="CNL5" s="55" t="s">
        <v>338</v>
      </c>
      <c r="CNM5" s="55" t="s">
        <v>339</v>
      </c>
      <c r="CNN5" s="55" t="s">
        <v>337</v>
      </c>
      <c r="CNO5" s="55" t="s">
        <v>341</v>
      </c>
      <c r="CNP5" s="55" t="s">
        <v>340</v>
      </c>
      <c r="CNQ5" s="55" t="s">
        <v>114</v>
      </c>
      <c r="CNR5" s="55" t="s">
        <v>109</v>
      </c>
      <c r="CNS5" s="58" t="s">
        <v>101</v>
      </c>
      <c r="CNT5" s="58" t="s">
        <v>111</v>
      </c>
      <c r="CNU5" s="58" t="s">
        <v>107</v>
      </c>
      <c r="CNV5" s="58" t="s">
        <v>336</v>
      </c>
      <c r="CNW5" s="58" t="s">
        <v>338</v>
      </c>
      <c r="CNX5" s="58" t="s">
        <v>339</v>
      </c>
      <c r="CNY5" s="58" t="s">
        <v>337</v>
      </c>
      <c r="CNZ5" s="58" t="s">
        <v>341</v>
      </c>
      <c r="COA5" s="58" t="s">
        <v>340</v>
      </c>
      <c r="COB5" s="58" t="s">
        <v>114</v>
      </c>
      <c r="COC5" s="58" t="s">
        <v>109</v>
      </c>
      <c r="COD5" s="55" t="s">
        <v>101</v>
      </c>
      <c r="COE5" s="55" t="s">
        <v>111</v>
      </c>
      <c r="COF5" s="55" t="s">
        <v>107</v>
      </c>
      <c r="COG5" s="55" t="s">
        <v>336</v>
      </c>
      <c r="COH5" s="55" t="s">
        <v>338</v>
      </c>
      <c r="COI5" s="55" t="s">
        <v>339</v>
      </c>
      <c r="COJ5" s="55" t="s">
        <v>337</v>
      </c>
      <c r="COK5" s="55" t="s">
        <v>341</v>
      </c>
      <c r="COL5" s="55" t="s">
        <v>340</v>
      </c>
      <c r="COM5" s="55" t="s">
        <v>114</v>
      </c>
      <c r="CON5" s="55" t="s">
        <v>109</v>
      </c>
      <c r="COO5" s="58" t="s">
        <v>101</v>
      </c>
      <c r="COP5" s="58" t="s">
        <v>111</v>
      </c>
      <c r="COQ5" s="58" t="s">
        <v>107</v>
      </c>
      <c r="COR5" s="58" t="s">
        <v>336</v>
      </c>
      <c r="COS5" s="58" t="s">
        <v>338</v>
      </c>
      <c r="COT5" s="58" t="s">
        <v>339</v>
      </c>
      <c r="COU5" s="58" t="s">
        <v>337</v>
      </c>
      <c r="COV5" s="58" t="s">
        <v>341</v>
      </c>
      <c r="COW5" s="58" t="s">
        <v>340</v>
      </c>
      <c r="COX5" s="58" t="s">
        <v>114</v>
      </c>
      <c r="COY5" s="58" t="s">
        <v>109</v>
      </c>
      <c r="COZ5" s="55" t="s">
        <v>101</v>
      </c>
      <c r="CPA5" s="55" t="s">
        <v>111</v>
      </c>
      <c r="CPB5" s="55" t="s">
        <v>107</v>
      </c>
      <c r="CPC5" s="55" t="s">
        <v>336</v>
      </c>
      <c r="CPD5" s="55" t="s">
        <v>338</v>
      </c>
      <c r="CPE5" s="55" t="s">
        <v>339</v>
      </c>
      <c r="CPF5" s="55" t="s">
        <v>337</v>
      </c>
      <c r="CPG5" s="55" t="s">
        <v>341</v>
      </c>
      <c r="CPH5" s="55" t="s">
        <v>340</v>
      </c>
      <c r="CPI5" s="55" t="s">
        <v>114</v>
      </c>
      <c r="CPJ5" s="55" t="s">
        <v>109</v>
      </c>
      <c r="CPK5" s="58" t="s">
        <v>101</v>
      </c>
      <c r="CPL5" s="58" t="s">
        <v>111</v>
      </c>
      <c r="CPM5" s="58" t="s">
        <v>107</v>
      </c>
      <c r="CPN5" s="58" t="s">
        <v>336</v>
      </c>
      <c r="CPO5" s="58" t="s">
        <v>338</v>
      </c>
      <c r="CPP5" s="58" t="s">
        <v>339</v>
      </c>
      <c r="CPQ5" s="58" t="s">
        <v>337</v>
      </c>
      <c r="CPR5" s="58" t="s">
        <v>341</v>
      </c>
      <c r="CPS5" s="58" t="s">
        <v>340</v>
      </c>
      <c r="CPT5" s="58" t="s">
        <v>114</v>
      </c>
      <c r="CPU5" s="58" t="s">
        <v>109</v>
      </c>
      <c r="CPV5" s="55" t="s">
        <v>101</v>
      </c>
      <c r="CPW5" s="55" t="s">
        <v>111</v>
      </c>
      <c r="CPX5" s="55" t="s">
        <v>107</v>
      </c>
      <c r="CPY5" s="55" t="s">
        <v>336</v>
      </c>
      <c r="CPZ5" s="55" t="s">
        <v>338</v>
      </c>
      <c r="CQA5" s="55" t="s">
        <v>339</v>
      </c>
      <c r="CQB5" s="55" t="s">
        <v>337</v>
      </c>
      <c r="CQC5" s="55" t="s">
        <v>341</v>
      </c>
      <c r="CQD5" s="55" t="s">
        <v>340</v>
      </c>
      <c r="CQE5" s="55" t="s">
        <v>114</v>
      </c>
      <c r="CQF5" s="55" t="s">
        <v>109</v>
      </c>
      <c r="CQG5" s="58" t="s">
        <v>101</v>
      </c>
      <c r="CQH5" s="58" t="s">
        <v>111</v>
      </c>
      <c r="CQI5" s="58" t="s">
        <v>107</v>
      </c>
      <c r="CQJ5" s="58" t="s">
        <v>336</v>
      </c>
      <c r="CQK5" s="58" t="s">
        <v>338</v>
      </c>
      <c r="CQL5" s="58" t="s">
        <v>339</v>
      </c>
      <c r="CQM5" s="58" t="s">
        <v>337</v>
      </c>
      <c r="CQN5" s="58" t="s">
        <v>341</v>
      </c>
      <c r="CQO5" s="58" t="s">
        <v>340</v>
      </c>
      <c r="CQP5" s="58" t="s">
        <v>114</v>
      </c>
      <c r="CQQ5" s="58" t="s">
        <v>109</v>
      </c>
      <c r="CQR5" s="55" t="s">
        <v>101</v>
      </c>
      <c r="CQS5" s="55" t="s">
        <v>111</v>
      </c>
      <c r="CQT5" s="55" t="s">
        <v>107</v>
      </c>
      <c r="CQU5" s="55" t="s">
        <v>336</v>
      </c>
      <c r="CQV5" s="55" t="s">
        <v>338</v>
      </c>
      <c r="CQW5" s="55" t="s">
        <v>339</v>
      </c>
      <c r="CQX5" s="55" t="s">
        <v>337</v>
      </c>
      <c r="CQY5" s="55" t="s">
        <v>341</v>
      </c>
      <c r="CQZ5" s="55" t="s">
        <v>340</v>
      </c>
      <c r="CRA5" s="55" t="s">
        <v>114</v>
      </c>
      <c r="CRB5" s="55" t="s">
        <v>109</v>
      </c>
      <c r="CRC5" s="58" t="s">
        <v>101</v>
      </c>
      <c r="CRD5" s="58" t="s">
        <v>111</v>
      </c>
      <c r="CRE5" s="58" t="s">
        <v>107</v>
      </c>
      <c r="CRF5" s="58" t="s">
        <v>336</v>
      </c>
      <c r="CRG5" s="58" t="s">
        <v>338</v>
      </c>
      <c r="CRH5" s="58" t="s">
        <v>339</v>
      </c>
      <c r="CRI5" s="58" t="s">
        <v>337</v>
      </c>
      <c r="CRJ5" s="58" t="s">
        <v>341</v>
      </c>
      <c r="CRK5" s="58" t="s">
        <v>340</v>
      </c>
      <c r="CRL5" s="58" t="s">
        <v>114</v>
      </c>
      <c r="CRM5" s="58" t="s">
        <v>109</v>
      </c>
      <c r="CRN5" s="55" t="s">
        <v>101</v>
      </c>
      <c r="CRO5" s="55" t="s">
        <v>111</v>
      </c>
      <c r="CRP5" s="55" t="s">
        <v>107</v>
      </c>
      <c r="CRQ5" s="55" t="s">
        <v>336</v>
      </c>
      <c r="CRR5" s="55" t="s">
        <v>338</v>
      </c>
      <c r="CRS5" s="55" t="s">
        <v>339</v>
      </c>
      <c r="CRT5" s="55" t="s">
        <v>337</v>
      </c>
      <c r="CRU5" s="55" t="s">
        <v>341</v>
      </c>
      <c r="CRV5" s="55" t="s">
        <v>340</v>
      </c>
      <c r="CRW5" s="55" t="s">
        <v>114</v>
      </c>
      <c r="CRX5" s="55" t="s">
        <v>109</v>
      </c>
      <c r="CRY5" s="58" t="s">
        <v>101</v>
      </c>
      <c r="CRZ5" s="58" t="s">
        <v>111</v>
      </c>
      <c r="CSA5" s="58" t="s">
        <v>107</v>
      </c>
      <c r="CSB5" s="58" t="s">
        <v>336</v>
      </c>
      <c r="CSC5" s="58" t="s">
        <v>338</v>
      </c>
      <c r="CSD5" s="58" t="s">
        <v>339</v>
      </c>
      <c r="CSE5" s="58" t="s">
        <v>337</v>
      </c>
      <c r="CSF5" s="58" t="s">
        <v>341</v>
      </c>
      <c r="CSG5" s="58" t="s">
        <v>340</v>
      </c>
      <c r="CSH5" s="58" t="s">
        <v>114</v>
      </c>
      <c r="CSI5" s="58" t="s">
        <v>109</v>
      </c>
      <c r="CSJ5" s="55" t="s">
        <v>101</v>
      </c>
      <c r="CSK5" s="55" t="s">
        <v>111</v>
      </c>
      <c r="CSL5" s="55" t="s">
        <v>107</v>
      </c>
      <c r="CSM5" s="55" t="s">
        <v>336</v>
      </c>
      <c r="CSN5" s="55" t="s">
        <v>338</v>
      </c>
      <c r="CSO5" s="55" t="s">
        <v>339</v>
      </c>
      <c r="CSP5" s="55" t="s">
        <v>337</v>
      </c>
      <c r="CSQ5" s="55" t="s">
        <v>341</v>
      </c>
      <c r="CSR5" s="55" t="s">
        <v>340</v>
      </c>
      <c r="CSS5" s="55" t="s">
        <v>114</v>
      </c>
      <c r="CST5" s="55" t="s">
        <v>109</v>
      </c>
      <c r="CSU5" s="58" t="s">
        <v>101</v>
      </c>
      <c r="CSV5" s="58" t="s">
        <v>111</v>
      </c>
      <c r="CSW5" s="58" t="s">
        <v>107</v>
      </c>
      <c r="CSX5" s="58" t="s">
        <v>336</v>
      </c>
      <c r="CSY5" s="58" t="s">
        <v>338</v>
      </c>
      <c r="CSZ5" s="58" t="s">
        <v>339</v>
      </c>
      <c r="CTA5" s="58" t="s">
        <v>337</v>
      </c>
      <c r="CTB5" s="58" t="s">
        <v>341</v>
      </c>
      <c r="CTC5" s="58" t="s">
        <v>340</v>
      </c>
      <c r="CTD5" s="58" t="s">
        <v>114</v>
      </c>
      <c r="CTE5" s="58" t="s">
        <v>109</v>
      </c>
      <c r="CTF5" s="55" t="s">
        <v>101</v>
      </c>
      <c r="CTG5" s="55" t="s">
        <v>111</v>
      </c>
      <c r="CTH5" s="55" t="s">
        <v>107</v>
      </c>
      <c r="CTI5" s="55" t="s">
        <v>336</v>
      </c>
      <c r="CTJ5" s="55" t="s">
        <v>338</v>
      </c>
      <c r="CTK5" s="55" t="s">
        <v>339</v>
      </c>
      <c r="CTL5" s="55" t="s">
        <v>337</v>
      </c>
      <c r="CTM5" s="55" t="s">
        <v>341</v>
      </c>
      <c r="CTN5" s="55" t="s">
        <v>340</v>
      </c>
      <c r="CTO5" s="55" t="s">
        <v>114</v>
      </c>
      <c r="CTP5" s="55" t="s">
        <v>109</v>
      </c>
      <c r="CTQ5" s="58" t="s">
        <v>101</v>
      </c>
      <c r="CTR5" s="58" t="s">
        <v>111</v>
      </c>
      <c r="CTS5" s="58" t="s">
        <v>107</v>
      </c>
      <c r="CTT5" s="58" t="s">
        <v>336</v>
      </c>
      <c r="CTU5" s="58" t="s">
        <v>338</v>
      </c>
      <c r="CTV5" s="58" t="s">
        <v>339</v>
      </c>
      <c r="CTW5" s="58" t="s">
        <v>337</v>
      </c>
      <c r="CTX5" s="58" t="s">
        <v>341</v>
      </c>
      <c r="CTY5" s="58" t="s">
        <v>340</v>
      </c>
      <c r="CTZ5" s="58" t="s">
        <v>114</v>
      </c>
      <c r="CUA5" s="58" t="s">
        <v>109</v>
      </c>
      <c r="CUB5" s="55" t="s">
        <v>101</v>
      </c>
      <c r="CUC5" s="55" t="s">
        <v>111</v>
      </c>
      <c r="CUD5" s="55" t="s">
        <v>107</v>
      </c>
      <c r="CUE5" s="55" t="s">
        <v>336</v>
      </c>
      <c r="CUF5" s="55" t="s">
        <v>338</v>
      </c>
      <c r="CUG5" s="55" t="s">
        <v>339</v>
      </c>
      <c r="CUH5" s="55" t="s">
        <v>337</v>
      </c>
      <c r="CUI5" s="55" t="s">
        <v>341</v>
      </c>
      <c r="CUJ5" s="55" t="s">
        <v>340</v>
      </c>
      <c r="CUK5" s="55" t="s">
        <v>114</v>
      </c>
      <c r="CUL5" s="55" t="s">
        <v>109</v>
      </c>
      <c r="CUM5" s="58" t="s">
        <v>101</v>
      </c>
      <c r="CUN5" s="58" t="s">
        <v>111</v>
      </c>
      <c r="CUO5" s="58" t="s">
        <v>107</v>
      </c>
      <c r="CUP5" s="58" t="s">
        <v>336</v>
      </c>
      <c r="CUQ5" s="58" t="s">
        <v>338</v>
      </c>
      <c r="CUR5" s="58" t="s">
        <v>339</v>
      </c>
      <c r="CUS5" s="58" t="s">
        <v>337</v>
      </c>
      <c r="CUT5" s="58" t="s">
        <v>341</v>
      </c>
      <c r="CUU5" s="58" t="s">
        <v>340</v>
      </c>
      <c r="CUV5" s="58" t="s">
        <v>114</v>
      </c>
      <c r="CUW5" s="58" t="s">
        <v>109</v>
      </c>
      <c r="CUX5" s="55" t="s">
        <v>101</v>
      </c>
      <c r="CUY5" s="55" t="s">
        <v>111</v>
      </c>
      <c r="CUZ5" s="55" t="s">
        <v>107</v>
      </c>
      <c r="CVA5" s="55" t="s">
        <v>336</v>
      </c>
      <c r="CVB5" s="55" t="s">
        <v>338</v>
      </c>
      <c r="CVC5" s="55" t="s">
        <v>339</v>
      </c>
      <c r="CVD5" s="55" t="s">
        <v>337</v>
      </c>
      <c r="CVE5" s="55" t="s">
        <v>341</v>
      </c>
      <c r="CVF5" s="55" t="s">
        <v>340</v>
      </c>
      <c r="CVG5" s="55" t="s">
        <v>114</v>
      </c>
      <c r="CVH5" s="55" t="s">
        <v>109</v>
      </c>
      <c r="CVI5" s="58" t="s">
        <v>101</v>
      </c>
      <c r="CVJ5" s="58" t="s">
        <v>111</v>
      </c>
      <c r="CVK5" s="58" t="s">
        <v>107</v>
      </c>
      <c r="CVL5" s="58" t="s">
        <v>336</v>
      </c>
      <c r="CVM5" s="58" t="s">
        <v>338</v>
      </c>
      <c r="CVN5" s="58" t="s">
        <v>339</v>
      </c>
      <c r="CVO5" s="58" t="s">
        <v>337</v>
      </c>
      <c r="CVP5" s="58" t="s">
        <v>341</v>
      </c>
      <c r="CVQ5" s="58" t="s">
        <v>340</v>
      </c>
      <c r="CVR5" s="58" t="s">
        <v>114</v>
      </c>
      <c r="CVS5" s="58" t="s">
        <v>109</v>
      </c>
      <c r="CVT5" s="55" t="s">
        <v>101</v>
      </c>
      <c r="CVU5" s="55" t="s">
        <v>111</v>
      </c>
      <c r="CVV5" s="55" t="s">
        <v>107</v>
      </c>
      <c r="CVW5" s="55" t="s">
        <v>336</v>
      </c>
      <c r="CVX5" s="55" t="s">
        <v>338</v>
      </c>
      <c r="CVY5" s="55" t="s">
        <v>339</v>
      </c>
      <c r="CVZ5" s="55" t="s">
        <v>337</v>
      </c>
      <c r="CWA5" s="55" t="s">
        <v>341</v>
      </c>
      <c r="CWB5" s="55" t="s">
        <v>340</v>
      </c>
      <c r="CWC5" s="55" t="s">
        <v>114</v>
      </c>
      <c r="CWD5" s="55" t="s">
        <v>109</v>
      </c>
      <c r="CWE5" s="58" t="s">
        <v>101</v>
      </c>
      <c r="CWF5" s="58" t="s">
        <v>111</v>
      </c>
      <c r="CWG5" s="58" t="s">
        <v>107</v>
      </c>
      <c r="CWH5" s="58" t="s">
        <v>336</v>
      </c>
      <c r="CWI5" s="58" t="s">
        <v>338</v>
      </c>
      <c r="CWJ5" s="58" t="s">
        <v>339</v>
      </c>
      <c r="CWK5" s="58" t="s">
        <v>337</v>
      </c>
      <c r="CWL5" s="58" t="s">
        <v>341</v>
      </c>
      <c r="CWM5" s="58" t="s">
        <v>340</v>
      </c>
      <c r="CWN5" s="58" t="s">
        <v>114</v>
      </c>
      <c r="CWO5" s="58" t="s">
        <v>109</v>
      </c>
      <c r="CWP5" s="55" t="s">
        <v>101</v>
      </c>
      <c r="CWQ5" s="55" t="s">
        <v>111</v>
      </c>
      <c r="CWR5" s="55" t="s">
        <v>107</v>
      </c>
      <c r="CWS5" s="55" t="s">
        <v>336</v>
      </c>
      <c r="CWT5" s="55" t="s">
        <v>338</v>
      </c>
      <c r="CWU5" s="55" t="s">
        <v>339</v>
      </c>
      <c r="CWV5" s="55" t="s">
        <v>337</v>
      </c>
      <c r="CWW5" s="55" t="s">
        <v>341</v>
      </c>
      <c r="CWX5" s="55" t="s">
        <v>340</v>
      </c>
      <c r="CWY5" s="55" t="s">
        <v>114</v>
      </c>
      <c r="CWZ5" s="55" t="s">
        <v>109</v>
      </c>
      <c r="CXA5" s="58" t="s">
        <v>101</v>
      </c>
      <c r="CXB5" s="58" t="s">
        <v>111</v>
      </c>
      <c r="CXC5" s="58" t="s">
        <v>107</v>
      </c>
      <c r="CXD5" s="58" t="s">
        <v>336</v>
      </c>
      <c r="CXE5" s="58" t="s">
        <v>338</v>
      </c>
      <c r="CXF5" s="58" t="s">
        <v>339</v>
      </c>
      <c r="CXG5" s="58" t="s">
        <v>337</v>
      </c>
      <c r="CXH5" s="58" t="s">
        <v>341</v>
      </c>
      <c r="CXI5" s="58" t="s">
        <v>340</v>
      </c>
      <c r="CXJ5" s="58" t="s">
        <v>114</v>
      </c>
      <c r="CXK5" s="58" t="s">
        <v>109</v>
      </c>
      <c r="CXL5" s="55" t="s">
        <v>101</v>
      </c>
      <c r="CXM5" s="55" t="s">
        <v>111</v>
      </c>
      <c r="CXN5" s="55" t="s">
        <v>107</v>
      </c>
      <c r="CXO5" s="55" t="s">
        <v>336</v>
      </c>
      <c r="CXP5" s="55" t="s">
        <v>338</v>
      </c>
      <c r="CXQ5" s="55" t="s">
        <v>339</v>
      </c>
      <c r="CXR5" s="55" t="s">
        <v>337</v>
      </c>
      <c r="CXS5" s="55" t="s">
        <v>341</v>
      </c>
      <c r="CXT5" s="55" t="s">
        <v>340</v>
      </c>
      <c r="CXU5" s="55" t="s">
        <v>114</v>
      </c>
      <c r="CXV5" s="55" t="s">
        <v>109</v>
      </c>
      <c r="CXW5" s="58" t="s">
        <v>101</v>
      </c>
      <c r="CXX5" s="58" t="s">
        <v>111</v>
      </c>
      <c r="CXY5" s="58" t="s">
        <v>107</v>
      </c>
      <c r="CXZ5" s="58" t="s">
        <v>336</v>
      </c>
      <c r="CYA5" s="58" t="s">
        <v>338</v>
      </c>
      <c r="CYB5" s="58" t="s">
        <v>339</v>
      </c>
      <c r="CYC5" s="58" t="s">
        <v>337</v>
      </c>
      <c r="CYD5" s="58" t="s">
        <v>341</v>
      </c>
      <c r="CYE5" s="58" t="s">
        <v>340</v>
      </c>
      <c r="CYF5" s="58" t="s">
        <v>114</v>
      </c>
      <c r="CYG5" s="58" t="s">
        <v>109</v>
      </c>
      <c r="CYH5" s="55" t="s">
        <v>101</v>
      </c>
      <c r="CYI5" s="55" t="s">
        <v>111</v>
      </c>
      <c r="CYJ5" s="55" t="s">
        <v>107</v>
      </c>
      <c r="CYK5" s="55" t="s">
        <v>336</v>
      </c>
      <c r="CYL5" s="55" t="s">
        <v>338</v>
      </c>
      <c r="CYM5" s="55" t="s">
        <v>339</v>
      </c>
      <c r="CYN5" s="55" t="s">
        <v>337</v>
      </c>
      <c r="CYO5" s="55" t="s">
        <v>341</v>
      </c>
      <c r="CYP5" s="55" t="s">
        <v>340</v>
      </c>
      <c r="CYQ5" s="55" t="s">
        <v>114</v>
      </c>
      <c r="CYR5" s="55" t="s">
        <v>109</v>
      </c>
      <c r="CYS5" s="58" t="s">
        <v>101</v>
      </c>
      <c r="CYT5" s="58" t="s">
        <v>111</v>
      </c>
      <c r="CYU5" s="58" t="s">
        <v>107</v>
      </c>
      <c r="CYV5" s="58" t="s">
        <v>336</v>
      </c>
      <c r="CYW5" s="58" t="s">
        <v>338</v>
      </c>
      <c r="CYX5" s="58" t="s">
        <v>339</v>
      </c>
      <c r="CYY5" s="58" t="s">
        <v>337</v>
      </c>
      <c r="CYZ5" s="58" t="s">
        <v>341</v>
      </c>
      <c r="CZA5" s="58" t="s">
        <v>340</v>
      </c>
      <c r="CZB5" s="58" t="s">
        <v>114</v>
      </c>
      <c r="CZC5" s="58" t="s">
        <v>109</v>
      </c>
      <c r="CZD5" s="55" t="s">
        <v>101</v>
      </c>
      <c r="CZE5" s="55" t="s">
        <v>111</v>
      </c>
      <c r="CZF5" s="55" t="s">
        <v>107</v>
      </c>
      <c r="CZG5" s="55" t="s">
        <v>336</v>
      </c>
      <c r="CZH5" s="55" t="s">
        <v>338</v>
      </c>
      <c r="CZI5" s="55" t="s">
        <v>339</v>
      </c>
      <c r="CZJ5" s="55" t="s">
        <v>337</v>
      </c>
      <c r="CZK5" s="55" t="s">
        <v>341</v>
      </c>
      <c r="CZL5" s="55" t="s">
        <v>340</v>
      </c>
      <c r="CZM5" s="55" t="s">
        <v>114</v>
      </c>
      <c r="CZN5" s="55" t="s">
        <v>109</v>
      </c>
      <c r="CZO5" s="58" t="s">
        <v>101</v>
      </c>
      <c r="CZP5" s="58" t="s">
        <v>111</v>
      </c>
      <c r="CZQ5" s="58" t="s">
        <v>107</v>
      </c>
      <c r="CZR5" s="58" t="s">
        <v>336</v>
      </c>
      <c r="CZS5" s="58" t="s">
        <v>338</v>
      </c>
      <c r="CZT5" s="58" t="s">
        <v>339</v>
      </c>
      <c r="CZU5" s="58" t="s">
        <v>337</v>
      </c>
      <c r="CZV5" s="58" t="s">
        <v>341</v>
      </c>
      <c r="CZW5" s="58" t="s">
        <v>340</v>
      </c>
      <c r="CZX5" s="58" t="s">
        <v>114</v>
      </c>
      <c r="CZY5" s="58" t="s">
        <v>109</v>
      </c>
      <c r="CZZ5" s="55" t="s">
        <v>101</v>
      </c>
      <c r="DAA5" s="55" t="s">
        <v>111</v>
      </c>
      <c r="DAB5" s="55" t="s">
        <v>107</v>
      </c>
      <c r="DAC5" s="55" t="s">
        <v>336</v>
      </c>
      <c r="DAD5" s="55" t="s">
        <v>338</v>
      </c>
      <c r="DAE5" s="55" t="s">
        <v>339</v>
      </c>
      <c r="DAF5" s="55" t="s">
        <v>337</v>
      </c>
      <c r="DAG5" s="55" t="s">
        <v>341</v>
      </c>
      <c r="DAH5" s="55" t="s">
        <v>340</v>
      </c>
      <c r="DAI5" s="55" t="s">
        <v>114</v>
      </c>
      <c r="DAJ5" s="55" t="s">
        <v>109</v>
      </c>
      <c r="DAK5" s="58" t="s">
        <v>101</v>
      </c>
      <c r="DAL5" s="58" t="s">
        <v>111</v>
      </c>
      <c r="DAM5" s="58" t="s">
        <v>107</v>
      </c>
      <c r="DAN5" s="58" t="s">
        <v>336</v>
      </c>
      <c r="DAO5" s="58" t="s">
        <v>338</v>
      </c>
      <c r="DAP5" s="58" t="s">
        <v>339</v>
      </c>
      <c r="DAQ5" s="58" t="s">
        <v>337</v>
      </c>
      <c r="DAR5" s="58" t="s">
        <v>341</v>
      </c>
      <c r="DAS5" s="58" t="s">
        <v>340</v>
      </c>
      <c r="DAT5" s="58" t="s">
        <v>114</v>
      </c>
      <c r="DAU5" s="58" t="s">
        <v>109</v>
      </c>
      <c r="DAV5" s="55" t="s">
        <v>101</v>
      </c>
      <c r="DAW5" s="55" t="s">
        <v>111</v>
      </c>
      <c r="DAX5" s="55" t="s">
        <v>107</v>
      </c>
      <c r="DAY5" s="55" t="s">
        <v>336</v>
      </c>
      <c r="DAZ5" s="55" t="s">
        <v>338</v>
      </c>
      <c r="DBA5" s="55" t="s">
        <v>339</v>
      </c>
      <c r="DBB5" s="55" t="s">
        <v>337</v>
      </c>
      <c r="DBC5" s="55" t="s">
        <v>341</v>
      </c>
      <c r="DBD5" s="55" t="s">
        <v>340</v>
      </c>
      <c r="DBE5" s="55" t="s">
        <v>114</v>
      </c>
      <c r="DBF5" s="55" t="s">
        <v>109</v>
      </c>
      <c r="DBG5" s="58" t="s">
        <v>101</v>
      </c>
      <c r="DBH5" s="58" t="s">
        <v>111</v>
      </c>
      <c r="DBI5" s="58" t="s">
        <v>107</v>
      </c>
      <c r="DBJ5" s="58" t="s">
        <v>336</v>
      </c>
      <c r="DBK5" s="58" t="s">
        <v>338</v>
      </c>
      <c r="DBL5" s="58" t="s">
        <v>339</v>
      </c>
      <c r="DBM5" s="58" t="s">
        <v>337</v>
      </c>
      <c r="DBN5" s="58" t="s">
        <v>341</v>
      </c>
      <c r="DBO5" s="58" t="s">
        <v>340</v>
      </c>
      <c r="DBP5" s="58" t="s">
        <v>114</v>
      </c>
      <c r="DBQ5" s="58" t="s">
        <v>109</v>
      </c>
      <c r="DBR5" s="55" t="s">
        <v>101</v>
      </c>
      <c r="DBS5" s="55" t="s">
        <v>111</v>
      </c>
      <c r="DBT5" s="55" t="s">
        <v>107</v>
      </c>
      <c r="DBU5" s="55" t="s">
        <v>336</v>
      </c>
      <c r="DBV5" s="55" t="s">
        <v>338</v>
      </c>
      <c r="DBW5" s="55" t="s">
        <v>339</v>
      </c>
      <c r="DBX5" s="55" t="s">
        <v>337</v>
      </c>
      <c r="DBY5" s="55" t="s">
        <v>341</v>
      </c>
      <c r="DBZ5" s="55" t="s">
        <v>340</v>
      </c>
      <c r="DCA5" s="55" t="s">
        <v>114</v>
      </c>
      <c r="DCB5" s="55" t="s">
        <v>109</v>
      </c>
      <c r="DCC5" s="58" t="s">
        <v>101</v>
      </c>
      <c r="DCD5" s="58" t="s">
        <v>111</v>
      </c>
      <c r="DCE5" s="58" t="s">
        <v>107</v>
      </c>
      <c r="DCF5" s="58" t="s">
        <v>336</v>
      </c>
      <c r="DCG5" s="58" t="s">
        <v>338</v>
      </c>
      <c r="DCH5" s="58" t="s">
        <v>339</v>
      </c>
      <c r="DCI5" s="58" t="s">
        <v>337</v>
      </c>
      <c r="DCJ5" s="58" t="s">
        <v>341</v>
      </c>
      <c r="DCK5" s="58" t="s">
        <v>340</v>
      </c>
      <c r="DCL5" s="58" t="s">
        <v>114</v>
      </c>
      <c r="DCM5" s="58" t="s">
        <v>109</v>
      </c>
      <c r="DCN5" s="55" t="s">
        <v>101</v>
      </c>
      <c r="DCO5" s="55" t="s">
        <v>111</v>
      </c>
      <c r="DCP5" s="55" t="s">
        <v>107</v>
      </c>
      <c r="DCQ5" s="55" t="s">
        <v>336</v>
      </c>
      <c r="DCR5" s="55" t="s">
        <v>338</v>
      </c>
      <c r="DCS5" s="55" t="s">
        <v>339</v>
      </c>
      <c r="DCT5" s="55" t="s">
        <v>337</v>
      </c>
      <c r="DCU5" s="55" t="s">
        <v>341</v>
      </c>
      <c r="DCV5" s="55" t="s">
        <v>340</v>
      </c>
      <c r="DCW5" s="55" t="s">
        <v>114</v>
      </c>
      <c r="DCX5" s="55" t="s">
        <v>109</v>
      </c>
      <c r="DCY5" s="58" t="s">
        <v>101</v>
      </c>
      <c r="DCZ5" s="58" t="s">
        <v>111</v>
      </c>
      <c r="DDA5" s="58" t="s">
        <v>107</v>
      </c>
      <c r="DDB5" s="58" t="s">
        <v>336</v>
      </c>
      <c r="DDC5" s="58" t="s">
        <v>338</v>
      </c>
      <c r="DDD5" s="58" t="s">
        <v>339</v>
      </c>
      <c r="DDE5" s="58" t="s">
        <v>337</v>
      </c>
      <c r="DDF5" s="58" t="s">
        <v>341</v>
      </c>
      <c r="DDG5" s="58" t="s">
        <v>340</v>
      </c>
      <c r="DDH5" s="58" t="s">
        <v>114</v>
      </c>
      <c r="DDI5" s="58" t="s">
        <v>109</v>
      </c>
    </row>
    <row r="6" spans="1:2839" x14ac:dyDescent="0.2">
      <c r="A6" s="1">
        <v>0</v>
      </c>
      <c r="B6">
        <f>'Demand Stage 2'!B5</f>
        <v>12.5</v>
      </c>
      <c r="C6">
        <f>'Demand Stage 2'!C5</f>
        <v>12.5</v>
      </c>
      <c r="D6">
        <f>'Demand Stage 2'!D5</f>
        <v>12.5</v>
      </c>
      <c r="E6">
        <f>'Demand Stage 2'!E5</f>
        <v>25</v>
      </c>
      <c r="F6">
        <f>'Demand Stage 2'!F5</f>
        <v>25</v>
      </c>
      <c r="G6">
        <f>'Demand Stage 2'!G5</f>
        <v>25</v>
      </c>
      <c r="H6">
        <f>'Demand Stage 2'!H5</f>
        <v>25</v>
      </c>
      <c r="I6">
        <f>'Demand Stage 2'!I5</f>
        <v>25</v>
      </c>
      <c r="J6">
        <f>'Demand Stage 2'!J5</f>
        <v>25</v>
      </c>
      <c r="K6">
        <f>'Demand Stage 2'!K5</f>
        <v>50</v>
      </c>
      <c r="L6">
        <f>'Demand Stage 2'!L5</f>
        <v>25</v>
      </c>
      <c r="M6">
        <f>'Demand Stage 2'!M5</f>
        <v>0</v>
      </c>
      <c r="N6">
        <f>'Demand Stage 2'!N5</f>
        <v>0</v>
      </c>
      <c r="O6">
        <f>'Demand Stage 2'!O5</f>
        <v>0</v>
      </c>
      <c r="P6">
        <f>'Demand Stage 2'!P5</f>
        <v>0</v>
      </c>
      <c r="Q6">
        <f>'Demand Stage 2'!Q5</f>
        <v>0</v>
      </c>
      <c r="R6">
        <f>'Demand Stage 2'!R5</f>
        <v>0</v>
      </c>
      <c r="S6">
        <f>'Demand Stage 2'!S5</f>
        <v>0</v>
      </c>
      <c r="T6">
        <f>'Demand Stage 2'!T5</f>
        <v>0</v>
      </c>
      <c r="U6">
        <f>'Demand Stage 2'!U5</f>
        <v>0</v>
      </c>
      <c r="V6">
        <f>'Demand Stage 2'!V5</f>
        <v>0</v>
      </c>
      <c r="W6">
        <f>'Demand Stage 2'!W5</f>
        <v>0</v>
      </c>
      <c r="X6">
        <f>'Demand Stage 2'!X5</f>
        <v>12.5</v>
      </c>
      <c r="Y6">
        <f>'Demand Stage 2'!Y5</f>
        <v>12.5</v>
      </c>
      <c r="Z6">
        <f>'Demand Stage 2'!Z5</f>
        <v>12.5</v>
      </c>
      <c r="AA6">
        <f>'Demand Stage 2'!AA5</f>
        <v>25</v>
      </c>
      <c r="AB6">
        <f>'Demand Stage 2'!AB5</f>
        <v>25</v>
      </c>
      <c r="AC6">
        <f>'Demand Stage 2'!AC5</f>
        <v>25</v>
      </c>
      <c r="AD6">
        <f>'Demand Stage 2'!AD5</f>
        <v>25</v>
      </c>
      <c r="AE6">
        <f>'Demand Stage 2'!AE5</f>
        <v>25</v>
      </c>
      <c r="AF6">
        <f>'Demand Stage 2'!AF5</f>
        <v>25</v>
      </c>
      <c r="AG6">
        <f>'Demand Stage 2'!AG5</f>
        <v>50</v>
      </c>
      <c r="AH6">
        <f>'Demand Stage 2'!AH5</f>
        <v>25</v>
      </c>
      <c r="AI6">
        <f>'Demand Stage 2'!AI5</f>
        <v>0</v>
      </c>
      <c r="AJ6">
        <f>'Demand Stage 2'!AJ5</f>
        <v>0</v>
      </c>
      <c r="AK6">
        <f>'Demand Stage 2'!AK5</f>
        <v>0</v>
      </c>
      <c r="AL6">
        <f>'Demand Stage 2'!AL5</f>
        <v>0</v>
      </c>
      <c r="AM6">
        <f>'Demand Stage 2'!AM5</f>
        <v>0</v>
      </c>
      <c r="AN6">
        <f>'Demand Stage 2'!AN5</f>
        <v>0</v>
      </c>
      <c r="AO6">
        <f>'Demand Stage 2'!AO5</f>
        <v>0</v>
      </c>
      <c r="AP6">
        <f>'Demand Stage 2'!AP5</f>
        <v>0</v>
      </c>
      <c r="AQ6">
        <f>'Demand Stage 2'!AQ5</f>
        <v>0</v>
      </c>
      <c r="AR6">
        <f>'Demand Stage 2'!AR5</f>
        <v>0</v>
      </c>
      <c r="AS6">
        <f>'Demand Stage 2'!AS5</f>
        <v>0</v>
      </c>
      <c r="AT6">
        <f>'Demand Stage 2'!AT5</f>
        <v>12.5</v>
      </c>
      <c r="AU6">
        <f>'Demand Stage 2'!AU5</f>
        <v>12.5</v>
      </c>
      <c r="AV6">
        <f>'Demand Stage 2'!AV5</f>
        <v>12.5</v>
      </c>
      <c r="AW6">
        <f>'Demand Stage 2'!AW5</f>
        <v>25</v>
      </c>
      <c r="AX6">
        <f>'Demand Stage 2'!AX5</f>
        <v>25</v>
      </c>
      <c r="AY6">
        <f>'Demand Stage 2'!AY5</f>
        <v>25</v>
      </c>
      <c r="AZ6">
        <f>'Demand Stage 2'!AZ5</f>
        <v>25</v>
      </c>
      <c r="BA6">
        <f>'Demand Stage 2'!BA5</f>
        <v>25</v>
      </c>
      <c r="BB6">
        <f>'Demand Stage 2'!BB5</f>
        <v>25</v>
      </c>
      <c r="BC6">
        <f>'Demand Stage 2'!BC5</f>
        <v>50</v>
      </c>
      <c r="BD6">
        <f>'Demand Stage 2'!BD5</f>
        <v>25</v>
      </c>
      <c r="BE6">
        <f>'Demand Stage 2'!BE5</f>
        <v>0</v>
      </c>
      <c r="BF6">
        <f>'Demand Stage 2'!BF5</f>
        <v>0</v>
      </c>
      <c r="BG6">
        <f>'Demand Stage 2'!BG5</f>
        <v>0</v>
      </c>
      <c r="BH6">
        <f>'Demand Stage 2'!BH5</f>
        <v>0</v>
      </c>
      <c r="BI6">
        <f>'Demand Stage 2'!BI5</f>
        <v>0</v>
      </c>
      <c r="BJ6">
        <f>'Demand Stage 2'!BJ5</f>
        <v>0</v>
      </c>
      <c r="BK6">
        <f>'Demand Stage 2'!BK5</f>
        <v>0</v>
      </c>
      <c r="BL6">
        <f>'Demand Stage 2'!BL5</f>
        <v>0</v>
      </c>
      <c r="BM6">
        <f>'Demand Stage 2'!BM5</f>
        <v>0</v>
      </c>
      <c r="BN6">
        <f>'Demand Stage 2'!BN5</f>
        <v>0</v>
      </c>
      <c r="BO6">
        <f>'Demand Stage 2'!BO5</f>
        <v>0</v>
      </c>
      <c r="BP6">
        <f>'Demand Stage 2'!BP5</f>
        <v>12.5</v>
      </c>
      <c r="BQ6">
        <f>'Demand Stage 2'!BQ5</f>
        <v>12.5</v>
      </c>
      <c r="BR6">
        <f>'Demand Stage 2'!BR5</f>
        <v>12.5</v>
      </c>
      <c r="BS6">
        <f>'Demand Stage 2'!BS5</f>
        <v>25</v>
      </c>
      <c r="BT6">
        <f>'Demand Stage 2'!BT5</f>
        <v>25</v>
      </c>
      <c r="BU6">
        <f>'Demand Stage 2'!BU5</f>
        <v>25</v>
      </c>
      <c r="BV6">
        <f>'Demand Stage 2'!BV5</f>
        <v>25</v>
      </c>
      <c r="BW6">
        <f>'Demand Stage 2'!BW5</f>
        <v>25</v>
      </c>
      <c r="BX6">
        <f>'Demand Stage 2'!BX5</f>
        <v>25</v>
      </c>
      <c r="BY6">
        <f>'Demand Stage 2'!BY5</f>
        <v>50</v>
      </c>
      <c r="BZ6">
        <f>'Demand Stage 2'!BZ5</f>
        <v>25</v>
      </c>
      <c r="CA6">
        <f>'Demand Stage 2'!CA5</f>
        <v>0</v>
      </c>
      <c r="CB6">
        <f>'Demand Stage 2'!CB5</f>
        <v>0</v>
      </c>
      <c r="CC6">
        <f>'Demand Stage 2'!CC5</f>
        <v>0</v>
      </c>
      <c r="CD6">
        <f>'Demand Stage 2'!CD5</f>
        <v>0</v>
      </c>
      <c r="CE6">
        <f>'Demand Stage 2'!CE5</f>
        <v>0</v>
      </c>
      <c r="CF6">
        <f>'Demand Stage 2'!CF5</f>
        <v>0</v>
      </c>
      <c r="CG6">
        <f>'Demand Stage 2'!CG5</f>
        <v>0</v>
      </c>
      <c r="CH6">
        <f>'Demand Stage 2'!CH5</f>
        <v>0</v>
      </c>
      <c r="CI6">
        <f>'Demand Stage 2'!CI5</f>
        <v>0</v>
      </c>
      <c r="CJ6">
        <f>'Demand Stage 2'!CJ5</f>
        <v>0</v>
      </c>
      <c r="CK6">
        <f>'Demand Stage 2'!CK5</f>
        <v>0</v>
      </c>
      <c r="CL6">
        <f>'Demand Stage 2'!CL5</f>
        <v>12.5</v>
      </c>
      <c r="CM6">
        <f>'Demand Stage 2'!CM5</f>
        <v>12.5</v>
      </c>
      <c r="CN6">
        <f>'Demand Stage 2'!CN5</f>
        <v>12.5</v>
      </c>
      <c r="CO6">
        <f>'Demand Stage 2'!CO5</f>
        <v>25</v>
      </c>
      <c r="CP6">
        <f>'Demand Stage 2'!CP5</f>
        <v>25</v>
      </c>
      <c r="CQ6">
        <f>'Demand Stage 2'!CQ5</f>
        <v>25</v>
      </c>
      <c r="CR6">
        <f>'Demand Stage 2'!CR5</f>
        <v>25</v>
      </c>
      <c r="CS6">
        <f>'Demand Stage 2'!CS5</f>
        <v>25</v>
      </c>
      <c r="CT6">
        <f>'Demand Stage 2'!CT5</f>
        <v>25</v>
      </c>
      <c r="CU6">
        <f>'Demand Stage 2'!CU5</f>
        <v>50</v>
      </c>
      <c r="CV6">
        <f>'Demand Stage 2'!CV5</f>
        <v>25</v>
      </c>
      <c r="CW6">
        <f>'Demand Stage 2'!CW5</f>
        <v>0</v>
      </c>
      <c r="CX6">
        <f>'Demand Stage 2'!CX5</f>
        <v>0</v>
      </c>
      <c r="CY6">
        <f>'Demand Stage 2'!CY5</f>
        <v>0</v>
      </c>
      <c r="CZ6">
        <f>'Demand Stage 2'!CZ5</f>
        <v>0</v>
      </c>
      <c r="DA6">
        <f>'Demand Stage 2'!DA5</f>
        <v>0</v>
      </c>
      <c r="DB6">
        <f>'Demand Stage 2'!DB5</f>
        <v>0</v>
      </c>
      <c r="DC6">
        <f>'Demand Stage 2'!DC5</f>
        <v>0</v>
      </c>
      <c r="DD6">
        <f>'Demand Stage 2'!DD5</f>
        <v>0</v>
      </c>
      <c r="DE6">
        <f>'Demand Stage 2'!DE5</f>
        <v>0</v>
      </c>
      <c r="DF6">
        <f>'Demand Stage 2'!DF5</f>
        <v>0</v>
      </c>
      <c r="DG6">
        <f>'Demand Stage 2'!DG5</f>
        <v>0</v>
      </c>
      <c r="DH6">
        <f>'Demand Stage 2'!DH5</f>
        <v>12.5</v>
      </c>
      <c r="DI6">
        <f>'Demand Stage 2'!DI5</f>
        <v>12.5</v>
      </c>
      <c r="DJ6">
        <f>'Demand Stage 2'!DJ5</f>
        <v>12.5</v>
      </c>
      <c r="DK6">
        <f>'Demand Stage 2'!DK5</f>
        <v>25</v>
      </c>
      <c r="DL6">
        <f>'Demand Stage 2'!DL5</f>
        <v>25</v>
      </c>
      <c r="DM6">
        <f>'Demand Stage 2'!DM5</f>
        <v>25</v>
      </c>
      <c r="DN6">
        <f>'Demand Stage 2'!DN5</f>
        <v>25</v>
      </c>
      <c r="DO6">
        <f>'Demand Stage 2'!DO5</f>
        <v>25</v>
      </c>
      <c r="DP6">
        <f>'Demand Stage 2'!DP5</f>
        <v>25</v>
      </c>
      <c r="DQ6">
        <f>'Demand Stage 2'!DQ5</f>
        <v>50</v>
      </c>
      <c r="DR6">
        <f>'Demand Stage 2'!DR5</f>
        <v>25</v>
      </c>
      <c r="DS6">
        <f>'Demand Stage 2'!DS5</f>
        <v>0</v>
      </c>
      <c r="DT6">
        <f>'Demand Stage 2'!DT5</f>
        <v>0</v>
      </c>
      <c r="DU6">
        <f>'Demand Stage 2'!DU5</f>
        <v>0</v>
      </c>
      <c r="DV6">
        <f>'Demand Stage 2'!DV5</f>
        <v>0</v>
      </c>
      <c r="DW6">
        <f>'Demand Stage 2'!DW5</f>
        <v>0</v>
      </c>
      <c r="DX6">
        <f>'Demand Stage 2'!DX5</f>
        <v>0</v>
      </c>
      <c r="DY6">
        <f>'Demand Stage 2'!DY5</f>
        <v>0</v>
      </c>
      <c r="DZ6">
        <f>'Demand Stage 2'!DZ5</f>
        <v>0</v>
      </c>
      <c r="EA6">
        <f>'Demand Stage 2'!EA5</f>
        <v>0</v>
      </c>
      <c r="EB6">
        <f>'Demand Stage 2'!EB5</f>
        <v>0</v>
      </c>
      <c r="EC6">
        <f>'Demand Stage 2'!EC5</f>
        <v>0</v>
      </c>
      <c r="ED6">
        <f>'Demand Stage 2'!ED5</f>
        <v>12.5</v>
      </c>
      <c r="EE6">
        <f>'Demand Stage 2'!EE5</f>
        <v>12.5</v>
      </c>
      <c r="EF6">
        <f>'Demand Stage 2'!EF5</f>
        <v>12.5</v>
      </c>
      <c r="EG6">
        <f>'Demand Stage 2'!EG5</f>
        <v>25</v>
      </c>
      <c r="EH6">
        <f>'Demand Stage 2'!EH5</f>
        <v>25</v>
      </c>
      <c r="EI6">
        <f>'Demand Stage 2'!EI5</f>
        <v>25</v>
      </c>
      <c r="EJ6">
        <f>'Demand Stage 2'!EJ5</f>
        <v>25</v>
      </c>
      <c r="EK6">
        <f>'Demand Stage 2'!EK5</f>
        <v>25</v>
      </c>
      <c r="EL6">
        <f>'Demand Stage 2'!EL5</f>
        <v>25</v>
      </c>
      <c r="EM6">
        <f>'Demand Stage 2'!EM5</f>
        <v>50</v>
      </c>
      <c r="EN6">
        <f>'Demand Stage 2'!EN5</f>
        <v>25</v>
      </c>
      <c r="EO6">
        <f>'Demand Stage 2'!EO5</f>
        <v>0</v>
      </c>
      <c r="EP6">
        <f>'Demand Stage 2'!EP5</f>
        <v>0</v>
      </c>
      <c r="EQ6">
        <f>'Demand Stage 2'!EQ5</f>
        <v>0</v>
      </c>
      <c r="ER6">
        <f>'Demand Stage 2'!ER5</f>
        <v>0</v>
      </c>
      <c r="ES6">
        <f>'Demand Stage 2'!ES5</f>
        <v>0</v>
      </c>
      <c r="ET6">
        <f>'Demand Stage 2'!ET5</f>
        <v>0</v>
      </c>
      <c r="EU6">
        <f>'Demand Stage 2'!EU5</f>
        <v>0</v>
      </c>
      <c r="EV6">
        <f>'Demand Stage 2'!EV5</f>
        <v>0</v>
      </c>
      <c r="EW6">
        <f>'Demand Stage 2'!EW5</f>
        <v>0</v>
      </c>
      <c r="EX6">
        <f>'Demand Stage 2'!EX5</f>
        <v>0</v>
      </c>
      <c r="EY6">
        <f>'Demand Stage 2'!EY5</f>
        <v>0</v>
      </c>
      <c r="EZ6">
        <f>'Demand Stage 2'!EZ5</f>
        <v>12.5</v>
      </c>
      <c r="FA6">
        <f>'Demand Stage 2'!FA5</f>
        <v>12.5</v>
      </c>
      <c r="FB6">
        <f>'Demand Stage 2'!FB5</f>
        <v>12.5</v>
      </c>
      <c r="FC6">
        <f>'Demand Stage 2'!FC5</f>
        <v>25</v>
      </c>
      <c r="FD6">
        <f>'Demand Stage 2'!FD5</f>
        <v>25</v>
      </c>
      <c r="FE6">
        <f>'Demand Stage 2'!FE5</f>
        <v>25</v>
      </c>
      <c r="FF6">
        <f>'Demand Stage 2'!FF5</f>
        <v>25</v>
      </c>
      <c r="FG6">
        <f>'Demand Stage 2'!FG5</f>
        <v>25</v>
      </c>
      <c r="FH6">
        <f>'Demand Stage 2'!FH5</f>
        <v>25</v>
      </c>
      <c r="FI6">
        <f>'Demand Stage 2'!FI5</f>
        <v>50</v>
      </c>
      <c r="FJ6">
        <f>'Demand Stage 2'!FJ5</f>
        <v>25</v>
      </c>
      <c r="FK6">
        <f>'Demand Stage 2'!FK5</f>
        <v>0</v>
      </c>
      <c r="FL6">
        <f>'Demand Stage 2'!FL5</f>
        <v>0</v>
      </c>
      <c r="FM6">
        <f>'Demand Stage 2'!FM5</f>
        <v>0</v>
      </c>
      <c r="FN6">
        <f>'Demand Stage 2'!FN5</f>
        <v>0</v>
      </c>
      <c r="FO6">
        <f>'Demand Stage 2'!FO5</f>
        <v>0</v>
      </c>
      <c r="FP6">
        <f>'Demand Stage 2'!FP5</f>
        <v>0</v>
      </c>
      <c r="FQ6">
        <f>'Demand Stage 2'!FQ5</f>
        <v>0</v>
      </c>
      <c r="FR6">
        <f>'Demand Stage 2'!FR5</f>
        <v>0</v>
      </c>
      <c r="FS6">
        <f>'Demand Stage 2'!FS5</f>
        <v>0</v>
      </c>
      <c r="FT6">
        <f>'Demand Stage 2'!FT5</f>
        <v>0</v>
      </c>
      <c r="FU6">
        <f>'Demand Stage 2'!FU5</f>
        <v>0</v>
      </c>
      <c r="FV6">
        <f>'Demand Stage 2'!FV5</f>
        <v>12.5</v>
      </c>
      <c r="FW6">
        <f>'Demand Stage 2'!FW5</f>
        <v>12.5</v>
      </c>
      <c r="FX6">
        <f>'Demand Stage 2'!FX5</f>
        <v>12.5</v>
      </c>
      <c r="FY6">
        <f>'Demand Stage 2'!FY5</f>
        <v>25</v>
      </c>
      <c r="FZ6">
        <f>'Demand Stage 2'!FZ5</f>
        <v>25</v>
      </c>
      <c r="GA6">
        <f>'Demand Stage 2'!GA5</f>
        <v>25</v>
      </c>
      <c r="GB6">
        <f>'Demand Stage 2'!GB5</f>
        <v>25</v>
      </c>
      <c r="GC6">
        <f>'Demand Stage 2'!GC5</f>
        <v>25</v>
      </c>
      <c r="GD6">
        <f>'Demand Stage 2'!GD5</f>
        <v>25</v>
      </c>
      <c r="GE6">
        <f>'Demand Stage 2'!GE5</f>
        <v>50</v>
      </c>
      <c r="GF6">
        <f>'Demand Stage 2'!GF5</f>
        <v>25</v>
      </c>
      <c r="GG6">
        <f>'Demand Stage 2'!GG5</f>
        <v>0</v>
      </c>
      <c r="GH6">
        <f>'Demand Stage 2'!GH5</f>
        <v>0</v>
      </c>
      <c r="GI6">
        <f>'Demand Stage 2'!GI5</f>
        <v>0</v>
      </c>
      <c r="GJ6">
        <f>'Demand Stage 2'!GJ5</f>
        <v>0</v>
      </c>
      <c r="GK6">
        <f>'Demand Stage 2'!GK5</f>
        <v>0</v>
      </c>
      <c r="GL6">
        <f>'Demand Stage 2'!GL5</f>
        <v>0</v>
      </c>
      <c r="GM6">
        <f>'Demand Stage 2'!GM5</f>
        <v>0</v>
      </c>
      <c r="GN6">
        <f>'Demand Stage 2'!GN5</f>
        <v>0</v>
      </c>
      <c r="GO6">
        <f>'Demand Stage 2'!GO5</f>
        <v>0</v>
      </c>
      <c r="GP6">
        <f>'Demand Stage 2'!GP5</f>
        <v>0</v>
      </c>
      <c r="GQ6">
        <f>'Demand Stage 2'!GQ5</f>
        <v>0</v>
      </c>
      <c r="GR6">
        <f>'Demand Stage 2'!GR5</f>
        <v>12.5</v>
      </c>
      <c r="GS6">
        <f>'Demand Stage 2'!GS5</f>
        <v>12.5</v>
      </c>
      <c r="GT6">
        <f>'Demand Stage 2'!GT5</f>
        <v>12.5</v>
      </c>
      <c r="GU6">
        <f>'Demand Stage 2'!GU5</f>
        <v>25</v>
      </c>
      <c r="GV6">
        <f>'Demand Stage 2'!GV5</f>
        <v>25</v>
      </c>
      <c r="GW6">
        <f>'Demand Stage 2'!GW5</f>
        <v>25</v>
      </c>
      <c r="GX6">
        <f>'Demand Stage 2'!GX5</f>
        <v>25</v>
      </c>
      <c r="GY6">
        <f>'Demand Stage 2'!GY5</f>
        <v>25</v>
      </c>
      <c r="GZ6">
        <f>'Demand Stage 2'!GZ5</f>
        <v>25</v>
      </c>
      <c r="HA6">
        <f>'Demand Stage 2'!HA5</f>
        <v>50</v>
      </c>
      <c r="HB6">
        <f>'Demand Stage 2'!HB5</f>
        <v>25</v>
      </c>
      <c r="HC6">
        <f>'Demand Stage 2'!HC5</f>
        <v>0</v>
      </c>
      <c r="HD6">
        <f>'Demand Stage 2'!HD5</f>
        <v>0</v>
      </c>
      <c r="HE6">
        <f>'Demand Stage 2'!HE5</f>
        <v>0</v>
      </c>
      <c r="HF6">
        <f>'Demand Stage 2'!HF5</f>
        <v>0</v>
      </c>
      <c r="HG6">
        <f>'Demand Stage 2'!HG5</f>
        <v>0</v>
      </c>
      <c r="HH6">
        <f>'Demand Stage 2'!HH5</f>
        <v>0</v>
      </c>
      <c r="HI6">
        <f>'Demand Stage 2'!HI5</f>
        <v>0</v>
      </c>
      <c r="HJ6">
        <f>'Demand Stage 2'!HJ5</f>
        <v>0</v>
      </c>
      <c r="HK6">
        <f>'Demand Stage 2'!HK5</f>
        <v>0</v>
      </c>
      <c r="HL6">
        <f>'Demand Stage 2'!HL5</f>
        <v>0</v>
      </c>
      <c r="HM6">
        <f>'Demand Stage 2'!HM5</f>
        <v>0</v>
      </c>
      <c r="HN6">
        <f>'Demand Stage 2'!HN5</f>
        <v>12.5</v>
      </c>
      <c r="HO6">
        <f>'Demand Stage 2'!HO5</f>
        <v>12.5</v>
      </c>
      <c r="HP6">
        <f>'Demand Stage 2'!HP5</f>
        <v>12.5</v>
      </c>
      <c r="HQ6">
        <f>'Demand Stage 2'!HQ5</f>
        <v>25</v>
      </c>
      <c r="HR6">
        <f>'Demand Stage 2'!HR5</f>
        <v>25</v>
      </c>
      <c r="HS6">
        <f>'Demand Stage 2'!HS5</f>
        <v>25</v>
      </c>
      <c r="HT6">
        <f>'Demand Stage 2'!HT5</f>
        <v>25</v>
      </c>
      <c r="HU6">
        <f>'Demand Stage 2'!HU5</f>
        <v>25</v>
      </c>
      <c r="HV6">
        <f>'Demand Stage 2'!HV5</f>
        <v>25</v>
      </c>
      <c r="HW6">
        <f>'Demand Stage 2'!HW5</f>
        <v>50</v>
      </c>
      <c r="HX6">
        <f>'Demand Stage 2'!HX5</f>
        <v>25</v>
      </c>
      <c r="HY6">
        <f>'Demand Stage 2'!HY5</f>
        <v>0</v>
      </c>
      <c r="HZ6">
        <f>'Demand Stage 2'!HZ5</f>
        <v>0</v>
      </c>
      <c r="IA6">
        <f>'Demand Stage 2'!IA5</f>
        <v>0</v>
      </c>
      <c r="IB6">
        <f>'Demand Stage 2'!IB5</f>
        <v>0</v>
      </c>
      <c r="IC6">
        <f>'Demand Stage 2'!IC5</f>
        <v>0</v>
      </c>
      <c r="ID6">
        <f>'Demand Stage 2'!ID5</f>
        <v>0</v>
      </c>
      <c r="IE6">
        <f>'Demand Stage 2'!IE5</f>
        <v>0</v>
      </c>
      <c r="IF6">
        <f>'Demand Stage 2'!IF5</f>
        <v>0</v>
      </c>
      <c r="IG6">
        <f>'Demand Stage 2'!IG5</f>
        <v>0</v>
      </c>
      <c r="IH6">
        <f>'Demand Stage 2'!IH5</f>
        <v>0</v>
      </c>
      <c r="II6">
        <f>'Demand Stage 2'!II5</f>
        <v>0</v>
      </c>
      <c r="IJ6">
        <f>'Demand Stage 2'!IJ5</f>
        <v>12.5</v>
      </c>
      <c r="IK6">
        <f>'Demand Stage 2'!IK5</f>
        <v>12.5</v>
      </c>
      <c r="IL6">
        <f>'Demand Stage 2'!IL5</f>
        <v>12.5</v>
      </c>
      <c r="IM6">
        <f>'Demand Stage 2'!IM5</f>
        <v>25</v>
      </c>
      <c r="IN6">
        <f>'Demand Stage 2'!IN5</f>
        <v>25</v>
      </c>
      <c r="IO6">
        <f>'Demand Stage 2'!IO5</f>
        <v>25</v>
      </c>
      <c r="IP6">
        <f>'Demand Stage 2'!IP5</f>
        <v>25</v>
      </c>
      <c r="IQ6">
        <f>'Demand Stage 2'!IQ5</f>
        <v>25</v>
      </c>
      <c r="IR6">
        <f>'Demand Stage 2'!IR5</f>
        <v>25</v>
      </c>
      <c r="IS6">
        <f>'Demand Stage 2'!IS5</f>
        <v>50</v>
      </c>
      <c r="IT6">
        <f>'Demand Stage 2'!IT5</f>
        <v>25</v>
      </c>
      <c r="IU6">
        <f>'Demand Stage 2'!IU5</f>
        <v>0</v>
      </c>
      <c r="IV6">
        <f>'Demand Stage 2'!IV5</f>
        <v>0</v>
      </c>
      <c r="IW6">
        <f>'Demand Stage 2'!IW5</f>
        <v>0</v>
      </c>
      <c r="IX6">
        <f>'Demand Stage 2'!IX5</f>
        <v>0</v>
      </c>
      <c r="IY6">
        <f>'Demand Stage 2'!IY5</f>
        <v>0</v>
      </c>
      <c r="IZ6">
        <f>'Demand Stage 2'!IZ5</f>
        <v>0</v>
      </c>
      <c r="JA6">
        <f>'Demand Stage 2'!JA5</f>
        <v>0</v>
      </c>
      <c r="JB6">
        <f>'Demand Stage 2'!JB5</f>
        <v>0</v>
      </c>
      <c r="JC6">
        <f>'Demand Stage 2'!JC5</f>
        <v>0</v>
      </c>
      <c r="JD6">
        <f>'Demand Stage 2'!JD5</f>
        <v>0</v>
      </c>
      <c r="JE6">
        <f>'Demand Stage 2'!JE5</f>
        <v>0</v>
      </c>
      <c r="JF6">
        <f>'Demand Stage 2'!JF5</f>
        <v>12.5</v>
      </c>
      <c r="JG6">
        <f>'Demand Stage 2'!JG5</f>
        <v>12.5</v>
      </c>
      <c r="JH6">
        <f>'Demand Stage 2'!JH5</f>
        <v>12.5</v>
      </c>
      <c r="JI6">
        <f>'Demand Stage 2'!JI5</f>
        <v>25</v>
      </c>
      <c r="JJ6">
        <f>'Demand Stage 2'!JJ5</f>
        <v>25</v>
      </c>
      <c r="JK6">
        <f>'Demand Stage 2'!JK5</f>
        <v>25</v>
      </c>
      <c r="JL6">
        <f>'Demand Stage 2'!JL5</f>
        <v>25</v>
      </c>
      <c r="JM6">
        <f>'Demand Stage 2'!JM5</f>
        <v>25</v>
      </c>
      <c r="JN6">
        <f>'Demand Stage 2'!JN5</f>
        <v>25</v>
      </c>
      <c r="JO6">
        <f>'Demand Stage 2'!JO5</f>
        <v>50</v>
      </c>
      <c r="JP6">
        <f>'Demand Stage 2'!JP5</f>
        <v>25</v>
      </c>
      <c r="JQ6">
        <f>'Demand Stage 2'!JQ5</f>
        <v>0</v>
      </c>
      <c r="JR6">
        <f>'Demand Stage 2'!JR5</f>
        <v>0</v>
      </c>
      <c r="JS6">
        <f>'Demand Stage 2'!JS5</f>
        <v>0</v>
      </c>
      <c r="JT6">
        <f>'Demand Stage 2'!JT5</f>
        <v>0</v>
      </c>
      <c r="JU6">
        <f>'Demand Stage 2'!JU5</f>
        <v>0</v>
      </c>
      <c r="JV6">
        <f>'Demand Stage 2'!JV5</f>
        <v>0</v>
      </c>
      <c r="JW6">
        <f>'Demand Stage 2'!JW5</f>
        <v>0</v>
      </c>
      <c r="JX6">
        <f>'Demand Stage 2'!JX5</f>
        <v>0</v>
      </c>
      <c r="JY6">
        <f>'Demand Stage 2'!JY5</f>
        <v>0</v>
      </c>
      <c r="JZ6">
        <f>'Demand Stage 2'!JZ5</f>
        <v>0</v>
      </c>
      <c r="KA6">
        <f>'Demand Stage 2'!KA5</f>
        <v>0</v>
      </c>
      <c r="KB6">
        <f>'Demand Stage 2'!KB5</f>
        <v>12.5</v>
      </c>
      <c r="KC6">
        <f>'Demand Stage 2'!KC5</f>
        <v>12.5</v>
      </c>
      <c r="KD6">
        <f>'Demand Stage 2'!KD5</f>
        <v>12.5</v>
      </c>
      <c r="KE6">
        <f>'Demand Stage 2'!KE5</f>
        <v>25</v>
      </c>
      <c r="KF6">
        <f>'Demand Stage 2'!KF5</f>
        <v>25</v>
      </c>
      <c r="KG6">
        <f>'Demand Stage 2'!KG5</f>
        <v>25</v>
      </c>
      <c r="KH6">
        <f>'Demand Stage 2'!KH5</f>
        <v>25</v>
      </c>
      <c r="KI6">
        <f>'Demand Stage 2'!KI5</f>
        <v>25</v>
      </c>
      <c r="KJ6">
        <f>'Demand Stage 2'!KJ5</f>
        <v>25</v>
      </c>
      <c r="KK6">
        <f>'Demand Stage 2'!KK5</f>
        <v>50</v>
      </c>
      <c r="KL6">
        <f>'Demand Stage 2'!KL5</f>
        <v>25</v>
      </c>
      <c r="KM6">
        <f>'Demand Stage 2'!KM5</f>
        <v>0</v>
      </c>
      <c r="KN6">
        <f>'Demand Stage 2'!KN5</f>
        <v>0</v>
      </c>
      <c r="KO6">
        <f>'Demand Stage 2'!KO5</f>
        <v>0</v>
      </c>
      <c r="KP6">
        <f>'Demand Stage 2'!KP5</f>
        <v>0</v>
      </c>
      <c r="KQ6">
        <f>'Demand Stage 2'!KQ5</f>
        <v>0</v>
      </c>
      <c r="KR6">
        <f>'Demand Stage 2'!KR5</f>
        <v>0</v>
      </c>
      <c r="KS6">
        <f>'Demand Stage 2'!KS5</f>
        <v>0</v>
      </c>
      <c r="KT6">
        <f>'Demand Stage 2'!KT5</f>
        <v>0</v>
      </c>
      <c r="KU6">
        <f>'Demand Stage 2'!KU5</f>
        <v>0</v>
      </c>
      <c r="KV6">
        <f>'Demand Stage 2'!KV5</f>
        <v>0</v>
      </c>
      <c r="KW6">
        <f>'Demand Stage 2'!KW5</f>
        <v>0</v>
      </c>
      <c r="KX6">
        <f>'Demand Stage 2'!KX5</f>
        <v>12.5</v>
      </c>
      <c r="KY6">
        <f>'Demand Stage 2'!KY5</f>
        <v>12.5</v>
      </c>
      <c r="KZ6">
        <f>'Demand Stage 2'!KZ5</f>
        <v>12.5</v>
      </c>
      <c r="LA6">
        <f>'Demand Stage 2'!LA5</f>
        <v>25</v>
      </c>
      <c r="LB6">
        <f>'Demand Stage 2'!LB5</f>
        <v>25</v>
      </c>
      <c r="LC6">
        <f>'Demand Stage 2'!LC5</f>
        <v>25</v>
      </c>
      <c r="LD6">
        <f>'Demand Stage 2'!LD5</f>
        <v>25</v>
      </c>
      <c r="LE6">
        <f>'Demand Stage 2'!LE5</f>
        <v>25</v>
      </c>
      <c r="LF6">
        <f>'Demand Stage 2'!LF5</f>
        <v>25</v>
      </c>
      <c r="LG6">
        <f>'Demand Stage 2'!LG5</f>
        <v>50</v>
      </c>
      <c r="LH6">
        <f>'Demand Stage 2'!LH5</f>
        <v>25</v>
      </c>
      <c r="LI6">
        <f>'Demand Stage 2'!LI5</f>
        <v>0</v>
      </c>
      <c r="LJ6">
        <f>'Demand Stage 2'!LJ5</f>
        <v>0</v>
      </c>
      <c r="LK6">
        <f>'Demand Stage 2'!LK5</f>
        <v>0</v>
      </c>
      <c r="LL6">
        <f>'Demand Stage 2'!LL5</f>
        <v>0</v>
      </c>
      <c r="LM6">
        <f>'Demand Stage 2'!LM5</f>
        <v>0</v>
      </c>
      <c r="LN6">
        <f>'Demand Stage 2'!LN5</f>
        <v>0</v>
      </c>
      <c r="LO6">
        <f>'Demand Stage 2'!LO5</f>
        <v>0</v>
      </c>
      <c r="LP6">
        <f>'Demand Stage 2'!LP5</f>
        <v>0</v>
      </c>
      <c r="LQ6">
        <f>'Demand Stage 2'!LQ5</f>
        <v>0</v>
      </c>
      <c r="LR6">
        <f>'Demand Stage 2'!LR5</f>
        <v>0</v>
      </c>
      <c r="LS6">
        <f>'Demand Stage 2'!LS5</f>
        <v>0</v>
      </c>
      <c r="LT6">
        <f>'Demand Stage 2'!LT5</f>
        <v>12.5</v>
      </c>
      <c r="LU6">
        <f>'Demand Stage 2'!LU5</f>
        <v>12.5</v>
      </c>
      <c r="LV6">
        <f>'Demand Stage 2'!LV5</f>
        <v>12.5</v>
      </c>
      <c r="LW6">
        <f>'Demand Stage 2'!LW5</f>
        <v>25</v>
      </c>
      <c r="LX6">
        <f>'Demand Stage 2'!LX5</f>
        <v>25</v>
      </c>
      <c r="LY6">
        <f>'Demand Stage 2'!LY5</f>
        <v>25</v>
      </c>
      <c r="LZ6">
        <f>'Demand Stage 2'!LZ5</f>
        <v>25</v>
      </c>
      <c r="MA6">
        <f>'Demand Stage 2'!MA5</f>
        <v>25</v>
      </c>
      <c r="MB6">
        <f>'Demand Stage 2'!MB5</f>
        <v>25</v>
      </c>
      <c r="MC6">
        <f>'Demand Stage 2'!MC5</f>
        <v>50</v>
      </c>
      <c r="MD6">
        <f>'Demand Stage 2'!MD5</f>
        <v>25</v>
      </c>
      <c r="ME6">
        <f>'Demand Stage 2'!ME5</f>
        <v>0</v>
      </c>
      <c r="MF6">
        <f>'Demand Stage 2'!MF5</f>
        <v>0</v>
      </c>
      <c r="MG6">
        <f>'Demand Stage 2'!MG5</f>
        <v>0</v>
      </c>
      <c r="MH6">
        <f>'Demand Stage 2'!MH5</f>
        <v>0</v>
      </c>
      <c r="MI6">
        <f>'Demand Stage 2'!MI5</f>
        <v>0</v>
      </c>
      <c r="MJ6">
        <f>'Demand Stage 2'!MJ5</f>
        <v>0</v>
      </c>
      <c r="MK6">
        <f>'Demand Stage 2'!MK5</f>
        <v>0</v>
      </c>
      <c r="ML6">
        <f>'Demand Stage 2'!ML5</f>
        <v>0</v>
      </c>
      <c r="MM6">
        <f>'Demand Stage 2'!MM5</f>
        <v>0</v>
      </c>
      <c r="MN6">
        <f>'Demand Stage 2'!MN5</f>
        <v>0</v>
      </c>
      <c r="MO6">
        <f>'Demand Stage 2'!MO5</f>
        <v>0</v>
      </c>
      <c r="MP6">
        <f>'Demand Stage 2'!MP5</f>
        <v>12.5</v>
      </c>
      <c r="MQ6">
        <f>'Demand Stage 2'!MQ5</f>
        <v>12.5</v>
      </c>
      <c r="MR6">
        <f>'Demand Stage 2'!MR5</f>
        <v>12.5</v>
      </c>
      <c r="MS6">
        <f>'Demand Stage 2'!MS5</f>
        <v>25</v>
      </c>
      <c r="MT6">
        <f>'Demand Stage 2'!MT5</f>
        <v>25</v>
      </c>
      <c r="MU6">
        <f>'Demand Stage 2'!MU5</f>
        <v>25</v>
      </c>
      <c r="MV6">
        <f>'Demand Stage 2'!MV5</f>
        <v>25</v>
      </c>
      <c r="MW6">
        <f>'Demand Stage 2'!MW5</f>
        <v>25</v>
      </c>
      <c r="MX6">
        <f>'Demand Stage 2'!MX5</f>
        <v>25</v>
      </c>
      <c r="MY6">
        <f>'Demand Stage 2'!MY5</f>
        <v>50</v>
      </c>
      <c r="MZ6">
        <f>'Demand Stage 2'!MZ5</f>
        <v>25</v>
      </c>
      <c r="NA6">
        <f>'Demand Stage 2'!NA5</f>
        <v>0</v>
      </c>
      <c r="NB6">
        <f>'Demand Stage 2'!NB5</f>
        <v>0</v>
      </c>
      <c r="NC6">
        <f>'Demand Stage 2'!NC5</f>
        <v>0</v>
      </c>
      <c r="ND6">
        <f>'Demand Stage 2'!ND5</f>
        <v>0</v>
      </c>
      <c r="NE6">
        <f>'Demand Stage 2'!NE5</f>
        <v>0</v>
      </c>
      <c r="NF6">
        <f>'Demand Stage 2'!NF5</f>
        <v>0</v>
      </c>
      <c r="NG6">
        <f>'Demand Stage 2'!NG5</f>
        <v>0</v>
      </c>
      <c r="NH6">
        <f>'Demand Stage 2'!NH5</f>
        <v>0</v>
      </c>
      <c r="NI6">
        <f>'Demand Stage 2'!NI5</f>
        <v>0</v>
      </c>
      <c r="NJ6">
        <f>'Demand Stage 2'!NJ5</f>
        <v>0</v>
      </c>
      <c r="NK6">
        <f>'Demand Stage 2'!NK5</f>
        <v>0</v>
      </c>
      <c r="NL6">
        <f>'Demand Stage 2'!NL5</f>
        <v>12.5</v>
      </c>
      <c r="NM6">
        <f>'Demand Stage 2'!NM5</f>
        <v>12.5</v>
      </c>
      <c r="NN6">
        <f>'Demand Stage 2'!NN5</f>
        <v>12.5</v>
      </c>
      <c r="NO6">
        <f>'Demand Stage 2'!NO5</f>
        <v>25</v>
      </c>
      <c r="NP6">
        <f>'Demand Stage 2'!NP5</f>
        <v>25</v>
      </c>
      <c r="NQ6">
        <f>'Demand Stage 2'!NQ5</f>
        <v>25</v>
      </c>
      <c r="NR6">
        <f>'Demand Stage 2'!NR5</f>
        <v>25</v>
      </c>
      <c r="NS6">
        <f>'Demand Stage 2'!NS5</f>
        <v>25</v>
      </c>
      <c r="NT6">
        <f>'Demand Stage 2'!NT5</f>
        <v>25</v>
      </c>
      <c r="NU6">
        <f>'Demand Stage 2'!NU5</f>
        <v>50</v>
      </c>
      <c r="NV6">
        <f>'Demand Stage 2'!NV5</f>
        <v>25</v>
      </c>
      <c r="NW6">
        <f>'Demand Stage 2'!NW5</f>
        <v>0</v>
      </c>
      <c r="NX6">
        <f>'Demand Stage 2'!NX5</f>
        <v>0</v>
      </c>
      <c r="NY6">
        <f>'Demand Stage 2'!NY5</f>
        <v>0</v>
      </c>
      <c r="NZ6">
        <f>'Demand Stage 2'!NZ5</f>
        <v>0</v>
      </c>
      <c r="OA6">
        <f>'Demand Stage 2'!OA5</f>
        <v>0</v>
      </c>
      <c r="OB6">
        <f>'Demand Stage 2'!OB5</f>
        <v>0</v>
      </c>
      <c r="OC6">
        <f>'Demand Stage 2'!OC5</f>
        <v>0</v>
      </c>
      <c r="OD6">
        <f>'Demand Stage 2'!OD5</f>
        <v>0</v>
      </c>
      <c r="OE6">
        <f>'Demand Stage 2'!OE5</f>
        <v>0</v>
      </c>
      <c r="OF6">
        <f>'Demand Stage 2'!OF5</f>
        <v>0</v>
      </c>
      <c r="OG6">
        <f>'Demand Stage 2'!OG5</f>
        <v>0</v>
      </c>
      <c r="OH6">
        <f>'Demand Stage 2'!OH5</f>
        <v>12.5</v>
      </c>
      <c r="OI6">
        <f>'Demand Stage 2'!OI5</f>
        <v>12.5</v>
      </c>
      <c r="OJ6">
        <f>'Demand Stage 2'!OJ5</f>
        <v>12.5</v>
      </c>
      <c r="OK6">
        <f>'Demand Stage 2'!OK5</f>
        <v>25</v>
      </c>
      <c r="OL6">
        <f>'Demand Stage 2'!OL5</f>
        <v>25</v>
      </c>
      <c r="OM6">
        <f>'Demand Stage 2'!OM5</f>
        <v>25</v>
      </c>
      <c r="ON6">
        <f>'Demand Stage 2'!ON5</f>
        <v>25</v>
      </c>
      <c r="OO6">
        <f>'Demand Stage 2'!OO5</f>
        <v>25</v>
      </c>
      <c r="OP6">
        <f>'Demand Stage 2'!OP5</f>
        <v>25</v>
      </c>
      <c r="OQ6">
        <f>'Demand Stage 2'!OQ5</f>
        <v>50</v>
      </c>
      <c r="OR6">
        <f>'Demand Stage 2'!OR5</f>
        <v>25</v>
      </c>
      <c r="OS6">
        <f>'Demand Stage 2'!OS5</f>
        <v>0</v>
      </c>
      <c r="OT6">
        <f>'Demand Stage 2'!OT5</f>
        <v>0</v>
      </c>
      <c r="OU6">
        <f>'Demand Stage 2'!OU5</f>
        <v>0</v>
      </c>
      <c r="OV6">
        <f>'Demand Stage 2'!OV5</f>
        <v>0</v>
      </c>
      <c r="OW6">
        <f>'Demand Stage 2'!OW5</f>
        <v>0</v>
      </c>
      <c r="OX6">
        <f>'Demand Stage 2'!OX5</f>
        <v>0</v>
      </c>
      <c r="OY6">
        <f>'Demand Stage 2'!OY5</f>
        <v>0</v>
      </c>
      <c r="OZ6">
        <f>'Demand Stage 2'!OZ5</f>
        <v>0</v>
      </c>
      <c r="PA6">
        <f>'Demand Stage 2'!PA5</f>
        <v>0</v>
      </c>
      <c r="PB6">
        <f>'Demand Stage 2'!PB5</f>
        <v>0</v>
      </c>
      <c r="PC6">
        <f>'Demand Stage 2'!PC5</f>
        <v>0</v>
      </c>
      <c r="PD6">
        <f>'Demand Stage 2'!PD5</f>
        <v>12.5</v>
      </c>
      <c r="PE6">
        <f>'Demand Stage 2'!PE5</f>
        <v>12.5</v>
      </c>
      <c r="PF6">
        <f>'Demand Stage 2'!PF5</f>
        <v>12.5</v>
      </c>
      <c r="PG6">
        <f>'Demand Stage 2'!PG5</f>
        <v>25</v>
      </c>
      <c r="PH6">
        <f>'Demand Stage 2'!PH5</f>
        <v>25</v>
      </c>
      <c r="PI6">
        <f>'Demand Stage 2'!PI5</f>
        <v>25</v>
      </c>
      <c r="PJ6">
        <f>'Demand Stage 2'!PJ5</f>
        <v>25</v>
      </c>
      <c r="PK6">
        <f>'Demand Stage 2'!PK5</f>
        <v>25</v>
      </c>
      <c r="PL6">
        <f>'Demand Stage 2'!PL5</f>
        <v>25</v>
      </c>
      <c r="PM6">
        <f>'Demand Stage 2'!PM5</f>
        <v>50</v>
      </c>
      <c r="PN6">
        <f>'Demand Stage 2'!PN5</f>
        <v>25</v>
      </c>
      <c r="PO6">
        <f>'Demand Stage 2'!PO5</f>
        <v>0</v>
      </c>
      <c r="PP6">
        <f>'Demand Stage 2'!PP5</f>
        <v>0</v>
      </c>
      <c r="PQ6">
        <f>'Demand Stage 2'!PQ5</f>
        <v>0</v>
      </c>
      <c r="PR6">
        <f>'Demand Stage 2'!PR5</f>
        <v>0</v>
      </c>
      <c r="PS6">
        <f>'Demand Stage 2'!PS5</f>
        <v>0</v>
      </c>
      <c r="PT6">
        <f>'Demand Stage 2'!PT5</f>
        <v>0</v>
      </c>
      <c r="PU6">
        <f>'Demand Stage 2'!PU5</f>
        <v>0</v>
      </c>
      <c r="PV6">
        <f>'Demand Stage 2'!PV5</f>
        <v>0</v>
      </c>
      <c r="PW6">
        <f>'Demand Stage 2'!PW5</f>
        <v>0</v>
      </c>
      <c r="PX6">
        <f>'Demand Stage 2'!PX5</f>
        <v>0</v>
      </c>
      <c r="PY6">
        <f>'Demand Stage 2'!PY5</f>
        <v>0</v>
      </c>
      <c r="PZ6">
        <f>'Demand Stage 2'!PZ5</f>
        <v>12.5</v>
      </c>
      <c r="QA6">
        <f>'Demand Stage 2'!QA5</f>
        <v>12.5</v>
      </c>
      <c r="QB6">
        <f>'Demand Stage 2'!QB5</f>
        <v>12.5</v>
      </c>
      <c r="QC6">
        <f>'Demand Stage 2'!QC5</f>
        <v>25</v>
      </c>
      <c r="QD6">
        <f>'Demand Stage 2'!QD5</f>
        <v>25</v>
      </c>
      <c r="QE6">
        <f>'Demand Stage 2'!QE5</f>
        <v>25</v>
      </c>
      <c r="QF6">
        <f>'Demand Stage 2'!QF5</f>
        <v>25</v>
      </c>
      <c r="QG6">
        <f>'Demand Stage 2'!QG5</f>
        <v>25</v>
      </c>
      <c r="QH6">
        <f>'Demand Stage 2'!QH5</f>
        <v>25</v>
      </c>
      <c r="QI6">
        <f>'Demand Stage 2'!QI5</f>
        <v>50</v>
      </c>
      <c r="QJ6">
        <f>'Demand Stage 2'!QJ5</f>
        <v>25</v>
      </c>
      <c r="QK6">
        <f>'Demand Stage 2'!QK5</f>
        <v>0</v>
      </c>
      <c r="QL6">
        <f>'Demand Stage 2'!QL5</f>
        <v>0</v>
      </c>
      <c r="QM6">
        <f>'Demand Stage 2'!QM5</f>
        <v>0</v>
      </c>
      <c r="QN6">
        <f>'Demand Stage 2'!QN5</f>
        <v>0</v>
      </c>
      <c r="QO6">
        <f>'Demand Stage 2'!QO5</f>
        <v>0</v>
      </c>
      <c r="QP6">
        <f>'Demand Stage 2'!QP5</f>
        <v>0</v>
      </c>
      <c r="QQ6">
        <f>'Demand Stage 2'!QQ5</f>
        <v>0</v>
      </c>
      <c r="QR6">
        <f>'Demand Stage 2'!QR5</f>
        <v>0</v>
      </c>
      <c r="QS6">
        <f>'Demand Stage 2'!QS5</f>
        <v>0</v>
      </c>
      <c r="QT6">
        <f>'Demand Stage 2'!QT5</f>
        <v>0</v>
      </c>
      <c r="QU6">
        <f>'Demand Stage 2'!QU5</f>
        <v>0</v>
      </c>
      <c r="QV6">
        <f>'Demand Stage 2'!QV5</f>
        <v>12.5</v>
      </c>
      <c r="QW6">
        <f>'Demand Stage 2'!QW5</f>
        <v>12.5</v>
      </c>
      <c r="QX6">
        <f>'Demand Stage 2'!QX5</f>
        <v>12.5</v>
      </c>
      <c r="QY6">
        <f>'Demand Stage 2'!QY5</f>
        <v>25</v>
      </c>
      <c r="QZ6">
        <f>'Demand Stage 2'!QZ5</f>
        <v>25</v>
      </c>
      <c r="RA6">
        <f>'Demand Stage 2'!RA5</f>
        <v>25</v>
      </c>
      <c r="RB6">
        <f>'Demand Stage 2'!RB5</f>
        <v>25</v>
      </c>
      <c r="RC6">
        <f>'Demand Stage 2'!RC5</f>
        <v>25</v>
      </c>
      <c r="RD6">
        <f>'Demand Stage 2'!RD5</f>
        <v>25</v>
      </c>
      <c r="RE6">
        <f>'Demand Stage 2'!RE5</f>
        <v>50</v>
      </c>
      <c r="RF6">
        <f>'Demand Stage 2'!RF5</f>
        <v>25</v>
      </c>
      <c r="RG6">
        <f>'Demand Stage 2'!RG5</f>
        <v>0</v>
      </c>
      <c r="RH6">
        <f>'Demand Stage 2'!RH5</f>
        <v>0</v>
      </c>
      <c r="RI6">
        <f>'Demand Stage 2'!RI5</f>
        <v>0</v>
      </c>
      <c r="RJ6">
        <f>'Demand Stage 2'!RJ5</f>
        <v>0</v>
      </c>
      <c r="RK6">
        <f>'Demand Stage 2'!RK5</f>
        <v>0</v>
      </c>
      <c r="RL6">
        <f>'Demand Stage 2'!RL5</f>
        <v>0</v>
      </c>
      <c r="RM6">
        <f>'Demand Stage 2'!RM5</f>
        <v>0</v>
      </c>
      <c r="RN6">
        <f>'Demand Stage 2'!RN5</f>
        <v>0</v>
      </c>
      <c r="RO6">
        <f>'Demand Stage 2'!RO5</f>
        <v>0</v>
      </c>
      <c r="RP6">
        <f>'Demand Stage 2'!RP5</f>
        <v>0</v>
      </c>
      <c r="RQ6">
        <f>'Demand Stage 2'!RQ5</f>
        <v>0</v>
      </c>
      <c r="RR6">
        <f>'Demand Stage 2'!RR5</f>
        <v>12.5</v>
      </c>
      <c r="RS6">
        <f>'Demand Stage 2'!RS5</f>
        <v>12.5</v>
      </c>
      <c r="RT6">
        <f>'Demand Stage 2'!RT5</f>
        <v>12.5</v>
      </c>
      <c r="RU6">
        <f>'Demand Stage 2'!RU5</f>
        <v>25</v>
      </c>
      <c r="RV6">
        <f>'Demand Stage 2'!RV5</f>
        <v>25</v>
      </c>
      <c r="RW6">
        <f>'Demand Stage 2'!RW5</f>
        <v>25</v>
      </c>
      <c r="RX6">
        <f>'Demand Stage 2'!RX5</f>
        <v>25</v>
      </c>
      <c r="RY6">
        <f>'Demand Stage 2'!RY5</f>
        <v>25</v>
      </c>
      <c r="RZ6">
        <f>'Demand Stage 2'!RZ5</f>
        <v>25</v>
      </c>
      <c r="SA6">
        <f>'Demand Stage 2'!SA5</f>
        <v>50</v>
      </c>
      <c r="SB6">
        <f>'Demand Stage 2'!SB5</f>
        <v>25</v>
      </c>
      <c r="SC6">
        <f>'Demand Stage 2'!SC5</f>
        <v>0</v>
      </c>
      <c r="SD6">
        <f>'Demand Stage 2'!SD5</f>
        <v>0</v>
      </c>
      <c r="SE6">
        <f>'Demand Stage 2'!SE5</f>
        <v>0</v>
      </c>
      <c r="SF6">
        <f>'Demand Stage 2'!SF5</f>
        <v>0</v>
      </c>
      <c r="SG6">
        <f>'Demand Stage 2'!SG5</f>
        <v>0</v>
      </c>
      <c r="SH6">
        <f>'Demand Stage 2'!SH5</f>
        <v>0</v>
      </c>
      <c r="SI6">
        <f>'Demand Stage 2'!SI5</f>
        <v>0</v>
      </c>
      <c r="SJ6">
        <f>'Demand Stage 2'!SJ5</f>
        <v>0</v>
      </c>
      <c r="SK6">
        <f>'Demand Stage 2'!SK5</f>
        <v>0</v>
      </c>
      <c r="SL6">
        <f>'Demand Stage 2'!SL5</f>
        <v>0</v>
      </c>
      <c r="SM6">
        <f>'Demand Stage 2'!SM5</f>
        <v>0</v>
      </c>
      <c r="SN6">
        <f>'Demand Stage 2'!SN5</f>
        <v>12.5</v>
      </c>
      <c r="SO6">
        <f>'Demand Stage 2'!SO5</f>
        <v>12.5</v>
      </c>
      <c r="SP6">
        <f>'Demand Stage 2'!SP5</f>
        <v>12.5</v>
      </c>
      <c r="SQ6">
        <f>'Demand Stage 2'!SQ5</f>
        <v>25</v>
      </c>
      <c r="SR6">
        <f>'Demand Stage 2'!SR5</f>
        <v>25</v>
      </c>
      <c r="SS6">
        <f>'Demand Stage 2'!SS5</f>
        <v>25</v>
      </c>
      <c r="ST6">
        <f>'Demand Stage 2'!ST5</f>
        <v>25</v>
      </c>
      <c r="SU6">
        <f>'Demand Stage 2'!SU5</f>
        <v>25</v>
      </c>
      <c r="SV6">
        <f>'Demand Stage 2'!SV5</f>
        <v>25</v>
      </c>
      <c r="SW6">
        <f>'Demand Stage 2'!SW5</f>
        <v>50</v>
      </c>
      <c r="SX6">
        <f>'Demand Stage 2'!SX5</f>
        <v>25</v>
      </c>
      <c r="SY6">
        <f>'Demand Stage 2'!SY5</f>
        <v>0</v>
      </c>
      <c r="SZ6">
        <f>'Demand Stage 2'!SZ5</f>
        <v>0</v>
      </c>
      <c r="TA6">
        <f>'Demand Stage 2'!TA5</f>
        <v>0</v>
      </c>
      <c r="TB6">
        <f>'Demand Stage 2'!TB5</f>
        <v>0</v>
      </c>
      <c r="TC6">
        <f>'Demand Stage 2'!TC5</f>
        <v>0</v>
      </c>
      <c r="TD6">
        <f>'Demand Stage 2'!TD5</f>
        <v>0</v>
      </c>
      <c r="TE6">
        <f>'Demand Stage 2'!TE5</f>
        <v>0</v>
      </c>
      <c r="TF6">
        <f>'Demand Stage 2'!TF5</f>
        <v>0</v>
      </c>
      <c r="TG6">
        <f>'Demand Stage 2'!TG5</f>
        <v>0</v>
      </c>
      <c r="TH6">
        <f>'Demand Stage 2'!TH5</f>
        <v>0</v>
      </c>
      <c r="TI6">
        <f>'Demand Stage 2'!TI5</f>
        <v>0</v>
      </c>
      <c r="TJ6">
        <f>'Demand Stage 2'!TJ5</f>
        <v>12.5</v>
      </c>
      <c r="TK6">
        <f>'Demand Stage 2'!TK5</f>
        <v>12.5</v>
      </c>
      <c r="TL6">
        <f>'Demand Stage 2'!TL5</f>
        <v>12.5</v>
      </c>
      <c r="TM6">
        <f>'Demand Stage 2'!TM5</f>
        <v>25</v>
      </c>
      <c r="TN6">
        <f>'Demand Stage 2'!TN5</f>
        <v>25</v>
      </c>
      <c r="TO6">
        <f>'Demand Stage 2'!TO5</f>
        <v>25</v>
      </c>
      <c r="TP6">
        <f>'Demand Stage 2'!TP5</f>
        <v>25</v>
      </c>
      <c r="TQ6">
        <f>'Demand Stage 2'!TQ5</f>
        <v>25</v>
      </c>
      <c r="TR6">
        <f>'Demand Stage 2'!TR5</f>
        <v>25</v>
      </c>
      <c r="TS6">
        <f>'Demand Stage 2'!TS5</f>
        <v>50</v>
      </c>
      <c r="TT6">
        <f>'Demand Stage 2'!TT5</f>
        <v>25</v>
      </c>
      <c r="TU6">
        <f>'Demand Stage 2'!TU5</f>
        <v>0</v>
      </c>
      <c r="TV6">
        <f>'Demand Stage 2'!TV5</f>
        <v>0</v>
      </c>
      <c r="TW6">
        <f>'Demand Stage 2'!TW5</f>
        <v>0</v>
      </c>
      <c r="TX6">
        <f>'Demand Stage 2'!TX5</f>
        <v>0</v>
      </c>
      <c r="TY6">
        <f>'Demand Stage 2'!TY5</f>
        <v>0</v>
      </c>
      <c r="TZ6">
        <f>'Demand Stage 2'!TZ5</f>
        <v>0</v>
      </c>
      <c r="UA6">
        <f>'Demand Stage 2'!UA5</f>
        <v>0</v>
      </c>
      <c r="UB6">
        <f>'Demand Stage 2'!UB5</f>
        <v>0</v>
      </c>
      <c r="UC6">
        <f>'Demand Stage 2'!UC5</f>
        <v>0</v>
      </c>
      <c r="UD6">
        <f>'Demand Stage 2'!UD5</f>
        <v>0</v>
      </c>
      <c r="UE6">
        <f>'Demand Stage 2'!UE5</f>
        <v>0</v>
      </c>
      <c r="UF6">
        <f>'Demand Stage 2'!UF5</f>
        <v>12.5</v>
      </c>
      <c r="UG6">
        <f>'Demand Stage 2'!UG5</f>
        <v>12.5</v>
      </c>
      <c r="UH6">
        <f>'Demand Stage 2'!UH5</f>
        <v>12.5</v>
      </c>
      <c r="UI6">
        <f>'Demand Stage 2'!UI5</f>
        <v>25</v>
      </c>
      <c r="UJ6">
        <f>'Demand Stage 2'!UJ5</f>
        <v>25</v>
      </c>
      <c r="UK6">
        <f>'Demand Stage 2'!UK5</f>
        <v>25</v>
      </c>
      <c r="UL6">
        <f>'Demand Stage 2'!UL5</f>
        <v>25</v>
      </c>
      <c r="UM6">
        <f>'Demand Stage 2'!UM5</f>
        <v>25</v>
      </c>
      <c r="UN6">
        <f>'Demand Stage 2'!UN5</f>
        <v>25</v>
      </c>
      <c r="UO6">
        <f>'Demand Stage 2'!UO5</f>
        <v>50</v>
      </c>
      <c r="UP6">
        <f>'Demand Stage 2'!UP5</f>
        <v>25</v>
      </c>
      <c r="UQ6">
        <f>'Demand Stage 2'!UQ5</f>
        <v>0</v>
      </c>
      <c r="UR6">
        <f>'Demand Stage 2'!UR5</f>
        <v>0</v>
      </c>
      <c r="US6">
        <f>'Demand Stage 2'!US5</f>
        <v>0</v>
      </c>
      <c r="UT6">
        <f>'Demand Stage 2'!UT5</f>
        <v>0</v>
      </c>
      <c r="UU6">
        <f>'Demand Stage 2'!UU5</f>
        <v>0</v>
      </c>
      <c r="UV6">
        <f>'Demand Stage 2'!UV5</f>
        <v>0</v>
      </c>
      <c r="UW6">
        <f>'Demand Stage 2'!UW5</f>
        <v>0</v>
      </c>
      <c r="UX6">
        <f>'Demand Stage 2'!UX5</f>
        <v>0</v>
      </c>
      <c r="UY6">
        <f>'Demand Stage 2'!UY5</f>
        <v>0</v>
      </c>
      <c r="UZ6">
        <f>'Demand Stage 2'!UZ5</f>
        <v>0</v>
      </c>
      <c r="VA6">
        <f>'Demand Stage 2'!VA5</f>
        <v>0</v>
      </c>
      <c r="VB6">
        <f>'Demand Stage 2'!VB5</f>
        <v>12.5</v>
      </c>
      <c r="VC6">
        <f>'Demand Stage 2'!VC5</f>
        <v>12.5</v>
      </c>
      <c r="VD6">
        <f>'Demand Stage 2'!VD5</f>
        <v>12.5</v>
      </c>
      <c r="VE6">
        <f>'Demand Stage 2'!VE5</f>
        <v>25</v>
      </c>
      <c r="VF6">
        <f>'Demand Stage 2'!VF5</f>
        <v>25</v>
      </c>
      <c r="VG6">
        <f>'Demand Stage 2'!VG5</f>
        <v>25</v>
      </c>
      <c r="VH6">
        <f>'Demand Stage 2'!VH5</f>
        <v>25</v>
      </c>
      <c r="VI6">
        <f>'Demand Stage 2'!VI5</f>
        <v>25</v>
      </c>
      <c r="VJ6">
        <f>'Demand Stage 2'!VJ5</f>
        <v>25</v>
      </c>
      <c r="VK6">
        <f>'Demand Stage 2'!VK5</f>
        <v>50</v>
      </c>
      <c r="VL6">
        <f>'Demand Stage 2'!VL5</f>
        <v>25</v>
      </c>
      <c r="VM6">
        <f>'Demand Stage 2'!VM5</f>
        <v>0</v>
      </c>
      <c r="VN6">
        <f>'Demand Stage 2'!VN5</f>
        <v>0</v>
      </c>
      <c r="VO6">
        <f>'Demand Stage 2'!VO5</f>
        <v>0</v>
      </c>
      <c r="VP6">
        <f>'Demand Stage 2'!VP5</f>
        <v>0</v>
      </c>
      <c r="VQ6">
        <f>'Demand Stage 2'!VQ5</f>
        <v>0</v>
      </c>
      <c r="VR6">
        <f>'Demand Stage 2'!VR5</f>
        <v>0</v>
      </c>
      <c r="VS6">
        <f>'Demand Stage 2'!VS5</f>
        <v>0</v>
      </c>
      <c r="VT6">
        <f>'Demand Stage 2'!VT5</f>
        <v>0</v>
      </c>
      <c r="VU6">
        <f>'Demand Stage 2'!VU5</f>
        <v>0</v>
      </c>
      <c r="VV6">
        <f>'Demand Stage 2'!VV5</f>
        <v>0</v>
      </c>
      <c r="VW6">
        <f>'Demand Stage 2'!VW5</f>
        <v>0</v>
      </c>
      <c r="VX6">
        <f>'Demand Stage 2'!VX5</f>
        <v>12.5</v>
      </c>
      <c r="VY6">
        <f>'Demand Stage 2'!VY5</f>
        <v>12.5</v>
      </c>
      <c r="VZ6">
        <f>'Demand Stage 2'!VZ5</f>
        <v>12.5</v>
      </c>
      <c r="WA6">
        <f>'Demand Stage 2'!WA5</f>
        <v>25</v>
      </c>
      <c r="WB6">
        <f>'Demand Stage 2'!WB5</f>
        <v>25</v>
      </c>
      <c r="WC6">
        <f>'Demand Stage 2'!WC5</f>
        <v>25</v>
      </c>
      <c r="WD6">
        <f>'Demand Stage 2'!WD5</f>
        <v>25</v>
      </c>
      <c r="WE6">
        <f>'Demand Stage 2'!WE5</f>
        <v>25</v>
      </c>
      <c r="WF6">
        <f>'Demand Stage 2'!WF5</f>
        <v>25</v>
      </c>
      <c r="WG6">
        <f>'Demand Stage 2'!WG5</f>
        <v>50</v>
      </c>
      <c r="WH6">
        <f>'Demand Stage 2'!WH5</f>
        <v>25</v>
      </c>
      <c r="WI6">
        <f>'Demand Stage 2'!WI5</f>
        <v>0</v>
      </c>
      <c r="WJ6">
        <f>'Demand Stage 2'!WJ5</f>
        <v>0</v>
      </c>
      <c r="WK6">
        <f>'Demand Stage 2'!WK5</f>
        <v>0</v>
      </c>
      <c r="WL6">
        <f>'Demand Stage 2'!WL5</f>
        <v>0</v>
      </c>
      <c r="WM6">
        <f>'Demand Stage 2'!WM5</f>
        <v>0</v>
      </c>
      <c r="WN6">
        <f>'Demand Stage 2'!WN5</f>
        <v>0</v>
      </c>
      <c r="WO6">
        <f>'Demand Stage 2'!WO5</f>
        <v>0</v>
      </c>
      <c r="WP6">
        <f>'Demand Stage 2'!WP5</f>
        <v>0</v>
      </c>
      <c r="WQ6">
        <f>'Demand Stage 2'!WQ5</f>
        <v>0</v>
      </c>
      <c r="WR6">
        <f>'Demand Stage 2'!WR5</f>
        <v>0</v>
      </c>
      <c r="WS6">
        <f>'Demand Stage 2'!WS5</f>
        <v>0</v>
      </c>
      <c r="WT6">
        <f>'Demand Stage 2'!WT5</f>
        <v>12.5</v>
      </c>
      <c r="WU6">
        <f>'Demand Stage 2'!WU5</f>
        <v>12.5</v>
      </c>
      <c r="WV6">
        <f>'Demand Stage 2'!WV5</f>
        <v>12.5</v>
      </c>
      <c r="WW6">
        <f>'Demand Stage 2'!WW5</f>
        <v>25</v>
      </c>
      <c r="WX6">
        <f>'Demand Stage 2'!WX5</f>
        <v>25</v>
      </c>
      <c r="WY6">
        <f>'Demand Stage 2'!WY5</f>
        <v>25</v>
      </c>
      <c r="WZ6">
        <f>'Demand Stage 2'!WZ5</f>
        <v>25</v>
      </c>
      <c r="XA6">
        <f>'Demand Stage 2'!XA5</f>
        <v>25</v>
      </c>
      <c r="XB6">
        <f>'Demand Stage 2'!XB5</f>
        <v>25</v>
      </c>
      <c r="XC6">
        <f>'Demand Stage 2'!XC5</f>
        <v>50</v>
      </c>
      <c r="XD6">
        <f>'Demand Stage 2'!XD5</f>
        <v>25</v>
      </c>
      <c r="XE6">
        <f>'Demand Stage 2'!XE5</f>
        <v>0</v>
      </c>
      <c r="XF6">
        <f>'Demand Stage 2'!XF5</f>
        <v>0</v>
      </c>
      <c r="XG6">
        <f>'Demand Stage 2'!XG5</f>
        <v>0</v>
      </c>
      <c r="XH6">
        <f>'Demand Stage 2'!XH5</f>
        <v>0</v>
      </c>
      <c r="XI6">
        <f>'Demand Stage 2'!XI5</f>
        <v>0</v>
      </c>
      <c r="XJ6">
        <f>'Demand Stage 2'!XJ5</f>
        <v>0</v>
      </c>
      <c r="XK6">
        <f>'Demand Stage 2'!XK5</f>
        <v>0</v>
      </c>
      <c r="XL6">
        <f>'Demand Stage 2'!XL5</f>
        <v>0</v>
      </c>
      <c r="XM6">
        <f>'Demand Stage 2'!XM5</f>
        <v>0</v>
      </c>
      <c r="XN6">
        <f>'Demand Stage 2'!XN5</f>
        <v>0</v>
      </c>
      <c r="XO6">
        <f>'Demand Stage 2'!XO5</f>
        <v>0</v>
      </c>
      <c r="XP6">
        <f>'Demand Stage 2'!XP5</f>
        <v>12.5</v>
      </c>
      <c r="XQ6">
        <f>'Demand Stage 2'!XQ5</f>
        <v>12.5</v>
      </c>
      <c r="XR6">
        <f>'Demand Stage 2'!XR5</f>
        <v>12.5</v>
      </c>
      <c r="XS6">
        <f>'Demand Stage 2'!XS5</f>
        <v>25</v>
      </c>
      <c r="XT6">
        <f>'Demand Stage 2'!XT5</f>
        <v>25</v>
      </c>
      <c r="XU6">
        <f>'Demand Stage 2'!XU5</f>
        <v>25</v>
      </c>
      <c r="XV6">
        <f>'Demand Stage 2'!XV5</f>
        <v>25</v>
      </c>
      <c r="XW6">
        <f>'Demand Stage 2'!XW5</f>
        <v>25</v>
      </c>
      <c r="XX6">
        <f>'Demand Stage 2'!XX5</f>
        <v>25</v>
      </c>
      <c r="XY6">
        <f>'Demand Stage 2'!XY5</f>
        <v>50</v>
      </c>
      <c r="XZ6">
        <f>'Demand Stage 2'!XZ5</f>
        <v>25</v>
      </c>
      <c r="YA6">
        <f>'Demand Stage 2'!YA5</f>
        <v>0</v>
      </c>
      <c r="YB6">
        <f>'Demand Stage 2'!YB5</f>
        <v>0</v>
      </c>
      <c r="YC6">
        <f>'Demand Stage 2'!YC5</f>
        <v>0</v>
      </c>
      <c r="YD6">
        <f>'Demand Stage 2'!YD5</f>
        <v>0</v>
      </c>
      <c r="YE6">
        <f>'Demand Stage 2'!YE5</f>
        <v>0</v>
      </c>
      <c r="YF6">
        <f>'Demand Stage 2'!YF5</f>
        <v>0</v>
      </c>
      <c r="YG6">
        <f>'Demand Stage 2'!YG5</f>
        <v>0</v>
      </c>
      <c r="YH6">
        <f>'Demand Stage 2'!YH5</f>
        <v>0</v>
      </c>
      <c r="YI6">
        <f>'Demand Stage 2'!YI5</f>
        <v>0</v>
      </c>
      <c r="YJ6">
        <f>'Demand Stage 2'!YJ5</f>
        <v>0</v>
      </c>
      <c r="YK6">
        <f>'Demand Stage 2'!YK5</f>
        <v>0</v>
      </c>
      <c r="YL6">
        <f>'Demand Stage 2'!YL5</f>
        <v>12.5</v>
      </c>
      <c r="YM6">
        <f>'Demand Stage 2'!YM5</f>
        <v>12.5</v>
      </c>
      <c r="YN6">
        <f>'Demand Stage 2'!YN5</f>
        <v>12.5</v>
      </c>
      <c r="YO6">
        <f>'Demand Stage 2'!YO5</f>
        <v>25</v>
      </c>
      <c r="YP6">
        <f>'Demand Stage 2'!YP5</f>
        <v>25</v>
      </c>
      <c r="YQ6">
        <f>'Demand Stage 2'!YQ5</f>
        <v>25</v>
      </c>
      <c r="YR6">
        <f>'Demand Stage 2'!YR5</f>
        <v>25</v>
      </c>
      <c r="YS6">
        <f>'Demand Stage 2'!YS5</f>
        <v>25</v>
      </c>
      <c r="YT6">
        <f>'Demand Stage 2'!YT5</f>
        <v>25</v>
      </c>
      <c r="YU6">
        <f>'Demand Stage 2'!YU5</f>
        <v>50</v>
      </c>
      <c r="YV6">
        <f>'Demand Stage 2'!YV5</f>
        <v>25</v>
      </c>
      <c r="YW6">
        <f>'Demand Stage 2'!YW5</f>
        <v>0</v>
      </c>
      <c r="YX6">
        <f>'Demand Stage 2'!YX5</f>
        <v>0</v>
      </c>
      <c r="YY6">
        <f>'Demand Stage 2'!YY5</f>
        <v>0</v>
      </c>
      <c r="YZ6">
        <f>'Demand Stage 2'!YZ5</f>
        <v>0</v>
      </c>
      <c r="ZA6">
        <f>'Demand Stage 2'!ZA5</f>
        <v>0</v>
      </c>
      <c r="ZB6">
        <f>'Demand Stage 2'!ZB5</f>
        <v>0</v>
      </c>
      <c r="ZC6">
        <f>'Demand Stage 2'!ZC5</f>
        <v>0</v>
      </c>
      <c r="ZD6">
        <f>'Demand Stage 2'!ZD5</f>
        <v>0</v>
      </c>
      <c r="ZE6">
        <f>'Demand Stage 2'!ZE5</f>
        <v>0</v>
      </c>
      <c r="ZF6">
        <f>'Demand Stage 2'!ZF5</f>
        <v>0</v>
      </c>
      <c r="ZG6">
        <f>'Demand Stage 2'!ZG5</f>
        <v>0</v>
      </c>
      <c r="ZH6">
        <f>'Demand Stage 2'!ZH5</f>
        <v>12.5</v>
      </c>
      <c r="ZI6">
        <f>'Demand Stage 2'!ZI5</f>
        <v>12.5</v>
      </c>
      <c r="ZJ6">
        <f>'Demand Stage 2'!ZJ5</f>
        <v>12.5</v>
      </c>
      <c r="ZK6">
        <f>'Demand Stage 2'!ZK5</f>
        <v>25</v>
      </c>
      <c r="ZL6">
        <f>'Demand Stage 2'!ZL5</f>
        <v>25</v>
      </c>
      <c r="ZM6">
        <f>'Demand Stage 2'!ZM5</f>
        <v>25</v>
      </c>
      <c r="ZN6">
        <f>'Demand Stage 2'!ZN5</f>
        <v>25</v>
      </c>
      <c r="ZO6">
        <f>'Demand Stage 2'!ZO5</f>
        <v>25</v>
      </c>
      <c r="ZP6">
        <f>'Demand Stage 2'!ZP5</f>
        <v>25</v>
      </c>
      <c r="ZQ6">
        <f>'Demand Stage 2'!ZQ5</f>
        <v>50</v>
      </c>
      <c r="ZR6">
        <f>'Demand Stage 2'!ZR5</f>
        <v>25</v>
      </c>
      <c r="ZS6">
        <f>'Demand Stage 2'!ZS5</f>
        <v>0</v>
      </c>
      <c r="ZT6">
        <f>'Demand Stage 2'!ZT5</f>
        <v>0</v>
      </c>
      <c r="ZU6">
        <f>'Demand Stage 2'!ZU5</f>
        <v>0</v>
      </c>
      <c r="ZV6">
        <f>'Demand Stage 2'!ZV5</f>
        <v>0</v>
      </c>
      <c r="ZW6">
        <f>'Demand Stage 2'!ZW5</f>
        <v>0</v>
      </c>
      <c r="ZX6">
        <f>'Demand Stage 2'!ZX5</f>
        <v>0</v>
      </c>
      <c r="ZY6">
        <f>'Demand Stage 2'!ZY5</f>
        <v>0</v>
      </c>
      <c r="ZZ6">
        <f>'Demand Stage 2'!ZZ5</f>
        <v>0</v>
      </c>
      <c r="AAA6">
        <f>'Demand Stage 2'!AAA5</f>
        <v>0</v>
      </c>
      <c r="AAB6">
        <f>'Demand Stage 2'!AAB5</f>
        <v>0</v>
      </c>
      <c r="AAC6">
        <f>'Demand Stage 2'!AAC5</f>
        <v>0</v>
      </c>
      <c r="AAD6">
        <f>B6</f>
        <v>12.5</v>
      </c>
      <c r="AAE6">
        <f t="shared" ref="AAE6:ACP9" si="0">C6</f>
        <v>12.5</v>
      </c>
      <c r="AAF6">
        <f t="shared" si="0"/>
        <v>12.5</v>
      </c>
      <c r="AAG6">
        <f t="shared" si="0"/>
        <v>25</v>
      </c>
      <c r="AAH6">
        <f t="shared" si="0"/>
        <v>25</v>
      </c>
      <c r="AAI6">
        <f t="shared" si="0"/>
        <v>25</v>
      </c>
      <c r="AAJ6">
        <f t="shared" si="0"/>
        <v>25</v>
      </c>
      <c r="AAK6">
        <f t="shared" si="0"/>
        <v>25</v>
      </c>
      <c r="AAL6">
        <f t="shared" si="0"/>
        <v>25</v>
      </c>
      <c r="AAM6">
        <f t="shared" si="0"/>
        <v>50</v>
      </c>
      <c r="AAN6">
        <f t="shared" si="0"/>
        <v>25</v>
      </c>
      <c r="AAO6">
        <f t="shared" si="0"/>
        <v>0</v>
      </c>
      <c r="AAP6">
        <f t="shared" si="0"/>
        <v>0</v>
      </c>
      <c r="AAQ6">
        <f t="shared" si="0"/>
        <v>0</v>
      </c>
      <c r="AAR6">
        <f t="shared" si="0"/>
        <v>0</v>
      </c>
      <c r="AAS6">
        <f t="shared" si="0"/>
        <v>0</v>
      </c>
      <c r="AAT6">
        <f t="shared" si="0"/>
        <v>0</v>
      </c>
      <c r="AAU6">
        <f t="shared" si="0"/>
        <v>0</v>
      </c>
      <c r="AAV6">
        <f t="shared" si="0"/>
        <v>0</v>
      </c>
      <c r="AAW6">
        <f t="shared" si="0"/>
        <v>0</v>
      </c>
      <c r="AAX6">
        <f t="shared" si="0"/>
        <v>0</v>
      </c>
      <c r="AAY6">
        <f t="shared" si="0"/>
        <v>0</v>
      </c>
      <c r="AAZ6">
        <f t="shared" si="0"/>
        <v>12.5</v>
      </c>
      <c r="ABA6">
        <f t="shared" si="0"/>
        <v>12.5</v>
      </c>
      <c r="ABB6">
        <f t="shared" si="0"/>
        <v>12.5</v>
      </c>
      <c r="ABC6">
        <f t="shared" si="0"/>
        <v>25</v>
      </c>
      <c r="ABD6">
        <f t="shared" si="0"/>
        <v>25</v>
      </c>
      <c r="ABE6">
        <f t="shared" si="0"/>
        <v>25</v>
      </c>
      <c r="ABF6">
        <f t="shared" si="0"/>
        <v>25</v>
      </c>
      <c r="ABG6">
        <f t="shared" si="0"/>
        <v>25</v>
      </c>
      <c r="ABH6">
        <f t="shared" si="0"/>
        <v>25</v>
      </c>
      <c r="ABI6">
        <f t="shared" si="0"/>
        <v>50</v>
      </c>
      <c r="ABJ6">
        <f t="shared" si="0"/>
        <v>25</v>
      </c>
      <c r="ABK6">
        <f t="shared" si="0"/>
        <v>0</v>
      </c>
      <c r="ABL6">
        <f t="shared" si="0"/>
        <v>0</v>
      </c>
      <c r="ABM6">
        <f t="shared" si="0"/>
        <v>0</v>
      </c>
      <c r="ABN6">
        <f t="shared" si="0"/>
        <v>0</v>
      </c>
      <c r="ABO6">
        <f t="shared" si="0"/>
        <v>0</v>
      </c>
      <c r="ABP6">
        <f t="shared" si="0"/>
        <v>0</v>
      </c>
      <c r="ABQ6">
        <f t="shared" si="0"/>
        <v>0</v>
      </c>
      <c r="ABR6">
        <f t="shared" si="0"/>
        <v>0</v>
      </c>
      <c r="ABS6">
        <f t="shared" si="0"/>
        <v>0</v>
      </c>
      <c r="ABT6">
        <f t="shared" si="0"/>
        <v>0</v>
      </c>
      <c r="ABU6">
        <f t="shared" si="0"/>
        <v>0</v>
      </c>
      <c r="ABV6">
        <f t="shared" si="0"/>
        <v>12.5</v>
      </c>
      <c r="ABW6">
        <f t="shared" si="0"/>
        <v>12.5</v>
      </c>
      <c r="ABX6">
        <f t="shared" si="0"/>
        <v>12.5</v>
      </c>
      <c r="ABY6">
        <f t="shared" si="0"/>
        <v>25</v>
      </c>
      <c r="ABZ6">
        <f t="shared" si="0"/>
        <v>25</v>
      </c>
      <c r="ACA6">
        <f t="shared" si="0"/>
        <v>25</v>
      </c>
      <c r="ACB6">
        <f t="shared" si="0"/>
        <v>25</v>
      </c>
      <c r="ACC6">
        <f t="shared" si="0"/>
        <v>25</v>
      </c>
      <c r="ACD6">
        <f t="shared" si="0"/>
        <v>25</v>
      </c>
      <c r="ACE6">
        <f t="shared" si="0"/>
        <v>50</v>
      </c>
      <c r="ACF6">
        <f t="shared" si="0"/>
        <v>25</v>
      </c>
      <c r="ACG6">
        <f t="shared" si="0"/>
        <v>0</v>
      </c>
      <c r="ACH6">
        <f t="shared" si="0"/>
        <v>0</v>
      </c>
      <c r="ACI6">
        <f t="shared" si="0"/>
        <v>0</v>
      </c>
      <c r="ACJ6">
        <f t="shared" si="0"/>
        <v>0</v>
      </c>
      <c r="ACK6">
        <f t="shared" si="0"/>
        <v>0</v>
      </c>
      <c r="ACL6">
        <f t="shared" si="0"/>
        <v>0</v>
      </c>
      <c r="ACM6">
        <f t="shared" si="0"/>
        <v>0</v>
      </c>
      <c r="ACN6">
        <f t="shared" si="0"/>
        <v>0</v>
      </c>
      <c r="ACO6">
        <f t="shared" si="0"/>
        <v>0</v>
      </c>
      <c r="ACP6">
        <f t="shared" si="0"/>
        <v>0</v>
      </c>
      <c r="ACQ6">
        <f t="shared" ref="ACQ6:AFB9" si="1">BO6</f>
        <v>0</v>
      </c>
      <c r="ACR6">
        <f t="shared" si="1"/>
        <v>12.5</v>
      </c>
      <c r="ACS6">
        <f t="shared" si="1"/>
        <v>12.5</v>
      </c>
      <c r="ACT6">
        <f t="shared" si="1"/>
        <v>12.5</v>
      </c>
      <c r="ACU6">
        <f t="shared" si="1"/>
        <v>25</v>
      </c>
      <c r="ACV6">
        <f t="shared" si="1"/>
        <v>25</v>
      </c>
      <c r="ACW6">
        <f t="shared" si="1"/>
        <v>25</v>
      </c>
      <c r="ACX6">
        <f t="shared" si="1"/>
        <v>25</v>
      </c>
      <c r="ACY6">
        <f t="shared" si="1"/>
        <v>25</v>
      </c>
      <c r="ACZ6">
        <f t="shared" si="1"/>
        <v>25</v>
      </c>
      <c r="ADA6">
        <f t="shared" si="1"/>
        <v>50</v>
      </c>
      <c r="ADB6">
        <f t="shared" si="1"/>
        <v>25</v>
      </c>
      <c r="ADC6">
        <f t="shared" si="1"/>
        <v>0</v>
      </c>
      <c r="ADD6">
        <f t="shared" si="1"/>
        <v>0</v>
      </c>
      <c r="ADE6">
        <f t="shared" si="1"/>
        <v>0</v>
      </c>
      <c r="ADF6">
        <f t="shared" si="1"/>
        <v>0</v>
      </c>
      <c r="ADG6">
        <f t="shared" si="1"/>
        <v>0</v>
      </c>
      <c r="ADH6">
        <f t="shared" si="1"/>
        <v>0</v>
      </c>
      <c r="ADI6">
        <f t="shared" si="1"/>
        <v>0</v>
      </c>
      <c r="ADJ6">
        <f t="shared" si="1"/>
        <v>0</v>
      </c>
      <c r="ADK6">
        <f t="shared" si="1"/>
        <v>0</v>
      </c>
      <c r="ADL6">
        <f t="shared" si="1"/>
        <v>0</v>
      </c>
      <c r="ADM6">
        <f t="shared" si="1"/>
        <v>0</v>
      </c>
      <c r="ADN6">
        <f t="shared" si="1"/>
        <v>12.5</v>
      </c>
      <c r="ADO6">
        <f t="shared" si="1"/>
        <v>12.5</v>
      </c>
      <c r="ADP6">
        <f t="shared" si="1"/>
        <v>12.5</v>
      </c>
      <c r="ADQ6">
        <f t="shared" si="1"/>
        <v>25</v>
      </c>
      <c r="ADR6">
        <f t="shared" si="1"/>
        <v>25</v>
      </c>
      <c r="ADS6">
        <f t="shared" si="1"/>
        <v>25</v>
      </c>
      <c r="ADT6">
        <f t="shared" si="1"/>
        <v>25</v>
      </c>
      <c r="ADU6">
        <f t="shared" si="1"/>
        <v>25</v>
      </c>
      <c r="ADV6">
        <f t="shared" si="1"/>
        <v>25</v>
      </c>
      <c r="ADW6">
        <f t="shared" si="1"/>
        <v>50</v>
      </c>
      <c r="ADX6">
        <f t="shared" si="1"/>
        <v>25</v>
      </c>
      <c r="ADY6">
        <f t="shared" si="1"/>
        <v>0</v>
      </c>
      <c r="ADZ6">
        <f t="shared" si="1"/>
        <v>0</v>
      </c>
      <c r="AEA6">
        <f t="shared" si="1"/>
        <v>0</v>
      </c>
      <c r="AEB6">
        <f t="shared" si="1"/>
        <v>0</v>
      </c>
      <c r="AEC6">
        <f t="shared" si="1"/>
        <v>0</v>
      </c>
      <c r="AED6">
        <f t="shared" si="1"/>
        <v>0</v>
      </c>
      <c r="AEE6">
        <f t="shared" si="1"/>
        <v>0</v>
      </c>
      <c r="AEF6">
        <f t="shared" si="1"/>
        <v>0</v>
      </c>
      <c r="AEG6">
        <f t="shared" si="1"/>
        <v>0</v>
      </c>
      <c r="AEH6">
        <f t="shared" si="1"/>
        <v>0</v>
      </c>
      <c r="AEI6">
        <f t="shared" si="1"/>
        <v>0</v>
      </c>
      <c r="AEJ6">
        <f t="shared" si="1"/>
        <v>12.5</v>
      </c>
      <c r="AEK6">
        <f t="shared" si="1"/>
        <v>12.5</v>
      </c>
      <c r="AEL6">
        <f t="shared" si="1"/>
        <v>12.5</v>
      </c>
      <c r="AEM6">
        <f t="shared" si="1"/>
        <v>25</v>
      </c>
      <c r="AEN6">
        <f t="shared" si="1"/>
        <v>25</v>
      </c>
      <c r="AEO6">
        <f t="shared" si="1"/>
        <v>25</v>
      </c>
      <c r="AEP6">
        <f t="shared" si="1"/>
        <v>25</v>
      </c>
      <c r="AEQ6">
        <f t="shared" si="1"/>
        <v>25</v>
      </c>
      <c r="AER6">
        <f t="shared" si="1"/>
        <v>25</v>
      </c>
      <c r="AES6">
        <f t="shared" si="1"/>
        <v>50</v>
      </c>
      <c r="AET6">
        <f t="shared" si="1"/>
        <v>25</v>
      </c>
      <c r="AEU6">
        <f t="shared" si="1"/>
        <v>0</v>
      </c>
      <c r="AEV6">
        <f t="shared" si="1"/>
        <v>0</v>
      </c>
      <c r="AEW6">
        <f t="shared" si="1"/>
        <v>0</v>
      </c>
      <c r="AEX6">
        <f t="shared" si="1"/>
        <v>0</v>
      </c>
      <c r="AEY6">
        <f t="shared" si="1"/>
        <v>0</v>
      </c>
      <c r="AEZ6">
        <f t="shared" si="1"/>
        <v>0</v>
      </c>
      <c r="AFA6">
        <f t="shared" si="1"/>
        <v>0</v>
      </c>
      <c r="AFB6">
        <f t="shared" si="1"/>
        <v>0</v>
      </c>
      <c r="AFC6">
        <f t="shared" ref="AFC6:AHN9" si="2">EA6</f>
        <v>0</v>
      </c>
      <c r="AFD6">
        <f t="shared" si="2"/>
        <v>0</v>
      </c>
      <c r="AFE6">
        <f t="shared" si="2"/>
        <v>0</v>
      </c>
      <c r="AFF6">
        <f t="shared" si="2"/>
        <v>12.5</v>
      </c>
      <c r="AFG6">
        <f t="shared" si="2"/>
        <v>12.5</v>
      </c>
      <c r="AFH6">
        <f t="shared" si="2"/>
        <v>12.5</v>
      </c>
      <c r="AFI6">
        <f t="shared" si="2"/>
        <v>25</v>
      </c>
      <c r="AFJ6">
        <f t="shared" si="2"/>
        <v>25</v>
      </c>
      <c r="AFK6">
        <f t="shared" si="2"/>
        <v>25</v>
      </c>
      <c r="AFL6">
        <f t="shared" si="2"/>
        <v>25</v>
      </c>
      <c r="AFM6">
        <f t="shared" si="2"/>
        <v>25</v>
      </c>
      <c r="AFN6">
        <f t="shared" si="2"/>
        <v>25</v>
      </c>
      <c r="AFO6">
        <f t="shared" si="2"/>
        <v>50</v>
      </c>
      <c r="AFP6">
        <f t="shared" si="2"/>
        <v>25</v>
      </c>
      <c r="AFQ6">
        <f t="shared" si="2"/>
        <v>0</v>
      </c>
      <c r="AFR6">
        <f t="shared" si="2"/>
        <v>0</v>
      </c>
      <c r="AFS6">
        <f t="shared" si="2"/>
        <v>0</v>
      </c>
      <c r="AFT6">
        <f t="shared" si="2"/>
        <v>0</v>
      </c>
      <c r="AFU6">
        <f t="shared" si="2"/>
        <v>0</v>
      </c>
      <c r="AFV6">
        <f t="shared" si="2"/>
        <v>0</v>
      </c>
      <c r="AFW6">
        <f t="shared" si="2"/>
        <v>0</v>
      </c>
      <c r="AFX6">
        <f t="shared" si="2"/>
        <v>0</v>
      </c>
      <c r="AFY6">
        <f t="shared" si="2"/>
        <v>0</v>
      </c>
      <c r="AFZ6">
        <f t="shared" si="2"/>
        <v>0</v>
      </c>
      <c r="AGA6">
        <f t="shared" si="2"/>
        <v>0</v>
      </c>
      <c r="AGB6">
        <f t="shared" si="2"/>
        <v>12.5</v>
      </c>
      <c r="AGC6">
        <f t="shared" si="2"/>
        <v>12.5</v>
      </c>
      <c r="AGD6">
        <f t="shared" si="2"/>
        <v>12.5</v>
      </c>
      <c r="AGE6">
        <f t="shared" si="2"/>
        <v>25</v>
      </c>
      <c r="AGF6">
        <f t="shared" si="2"/>
        <v>25</v>
      </c>
      <c r="AGG6">
        <f t="shared" si="2"/>
        <v>25</v>
      </c>
      <c r="AGH6">
        <f t="shared" si="2"/>
        <v>25</v>
      </c>
      <c r="AGI6">
        <f t="shared" si="2"/>
        <v>25</v>
      </c>
      <c r="AGJ6">
        <f t="shared" si="2"/>
        <v>25</v>
      </c>
      <c r="AGK6">
        <f t="shared" si="2"/>
        <v>50</v>
      </c>
      <c r="AGL6">
        <f t="shared" si="2"/>
        <v>25</v>
      </c>
      <c r="AGM6">
        <f t="shared" si="2"/>
        <v>0</v>
      </c>
      <c r="AGN6">
        <f t="shared" si="2"/>
        <v>0</v>
      </c>
      <c r="AGO6">
        <f t="shared" si="2"/>
        <v>0</v>
      </c>
      <c r="AGP6">
        <f t="shared" si="2"/>
        <v>0</v>
      </c>
      <c r="AGQ6">
        <f t="shared" si="2"/>
        <v>0</v>
      </c>
      <c r="AGR6">
        <f t="shared" si="2"/>
        <v>0</v>
      </c>
      <c r="AGS6">
        <f t="shared" si="2"/>
        <v>0</v>
      </c>
      <c r="AGT6">
        <f t="shared" si="2"/>
        <v>0</v>
      </c>
      <c r="AGU6">
        <f t="shared" si="2"/>
        <v>0</v>
      </c>
      <c r="AGV6">
        <f t="shared" si="2"/>
        <v>0</v>
      </c>
      <c r="AGW6">
        <f t="shared" si="2"/>
        <v>0</v>
      </c>
      <c r="AGX6">
        <f t="shared" si="2"/>
        <v>12.5</v>
      </c>
      <c r="AGY6">
        <f t="shared" si="2"/>
        <v>12.5</v>
      </c>
      <c r="AGZ6">
        <f t="shared" si="2"/>
        <v>12.5</v>
      </c>
      <c r="AHA6">
        <f t="shared" si="2"/>
        <v>25</v>
      </c>
      <c r="AHB6">
        <f t="shared" si="2"/>
        <v>25</v>
      </c>
      <c r="AHC6">
        <f t="shared" si="2"/>
        <v>25</v>
      </c>
      <c r="AHD6">
        <f t="shared" si="2"/>
        <v>25</v>
      </c>
      <c r="AHE6">
        <f t="shared" si="2"/>
        <v>25</v>
      </c>
      <c r="AHF6">
        <f t="shared" si="2"/>
        <v>25</v>
      </c>
      <c r="AHG6">
        <f t="shared" si="2"/>
        <v>50</v>
      </c>
      <c r="AHH6">
        <f t="shared" si="2"/>
        <v>25</v>
      </c>
      <c r="AHI6">
        <f t="shared" si="2"/>
        <v>0</v>
      </c>
      <c r="AHJ6">
        <f t="shared" si="2"/>
        <v>0</v>
      </c>
      <c r="AHK6">
        <f t="shared" si="2"/>
        <v>0</v>
      </c>
      <c r="AHL6">
        <f t="shared" si="2"/>
        <v>0</v>
      </c>
      <c r="AHM6">
        <f t="shared" si="2"/>
        <v>0</v>
      </c>
      <c r="AHN6">
        <f t="shared" si="2"/>
        <v>0</v>
      </c>
      <c r="AHO6">
        <f t="shared" ref="AHO6:AJZ9" si="3">GM6</f>
        <v>0</v>
      </c>
      <c r="AHP6">
        <f t="shared" si="3"/>
        <v>0</v>
      </c>
      <c r="AHQ6">
        <f t="shared" si="3"/>
        <v>0</v>
      </c>
      <c r="AHR6">
        <f t="shared" si="3"/>
        <v>0</v>
      </c>
      <c r="AHS6">
        <f t="shared" si="3"/>
        <v>0</v>
      </c>
      <c r="AHT6">
        <f t="shared" si="3"/>
        <v>12.5</v>
      </c>
      <c r="AHU6">
        <f t="shared" si="3"/>
        <v>12.5</v>
      </c>
      <c r="AHV6">
        <f t="shared" si="3"/>
        <v>12.5</v>
      </c>
      <c r="AHW6">
        <f t="shared" si="3"/>
        <v>25</v>
      </c>
      <c r="AHX6">
        <f t="shared" si="3"/>
        <v>25</v>
      </c>
      <c r="AHY6">
        <f t="shared" si="3"/>
        <v>25</v>
      </c>
      <c r="AHZ6">
        <f t="shared" si="3"/>
        <v>25</v>
      </c>
      <c r="AIA6">
        <f t="shared" si="3"/>
        <v>25</v>
      </c>
      <c r="AIB6">
        <f t="shared" si="3"/>
        <v>25</v>
      </c>
      <c r="AIC6">
        <f t="shared" si="3"/>
        <v>50</v>
      </c>
      <c r="AID6">
        <f t="shared" si="3"/>
        <v>25</v>
      </c>
      <c r="AIE6">
        <f t="shared" si="3"/>
        <v>0</v>
      </c>
      <c r="AIF6">
        <f t="shared" si="3"/>
        <v>0</v>
      </c>
      <c r="AIG6">
        <f t="shared" si="3"/>
        <v>0</v>
      </c>
      <c r="AIH6">
        <f t="shared" si="3"/>
        <v>0</v>
      </c>
      <c r="AII6">
        <f t="shared" si="3"/>
        <v>0</v>
      </c>
      <c r="AIJ6">
        <f t="shared" si="3"/>
        <v>0</v>
      </c>
      <c r="AIK6">
        <f t="shared" si="3"/>
        <v>0</v>
      </c>
      <c r="AIL6">
        <f t="shared" si="3"/>
        <v>0</v>
      </c>
      <c r="AIM6">
        <f t="shared" si="3"/>
        <v>0</v>
      </c>
      <c r="AIN6">
        <f t="shared" si="3"/>
        <v>0</v>
      </c>
      <c r="AIO6">
        <f t="shared" si="3"/>
        <v>0</v>
      </c>
      <c r="AIP6">
        <f t="shared" si="3"/>
        <v>12.5</v>
      </c>
      <c r="AIQ6">
        <f t="shared" si="3"/>
        <v>12.5</v>
      </c>
      <c r="AIR6">
        <f t="shared" si="3"/>
        <v>12.5</v>
      </c>
      <c r="AIS6">
        <f t="shared" si="3"/>
        <v>25</v>
      </c>
      <c r="AIT6">
        <f t="shared" si="3"/>
        <v>25</v>
      </c>
      <c r="AIU6">
        <f t="shared" si="3"/>
        <v>25</v>
      </c>
      <c r="AIV6">
        <f t="shared" si="3"/>
        <v>25</v>
      </c>
      <c r="AIW6">
        <f t="shared" si="3"/>
        <v>25</v>
      </c>
      <c r="AIX6">
        <f t="shared" si="3"/>
        <v>25</v>
      </c>
      <c r="AIY6">
        <f t="shared" si="3"/>
        <v>50</v>
      </c>
      <c r="AIZ6">
        <f t="shared" si="3"/>
        <v>25</v>
      </c>
      <c r="AJA6">
        <f t="shared" si="3"/>
        <v>0</v>
      </c>
      <c r="AJB6">
        <f t="shared" si="3"/>
        <v>0</v>
      </c>
      <c r="AJC6">
        <f t="shared" si="3"/>
        <v>0</v>
      </c>
      <c r="AJD6">
        <f t="shared" si="3"/>
        <v>0</v>
      </c>
      <c r="AJE6">
        <f t="shared" si="3"/>
        <v>0</v>
      </c>
      <c r="AJF6">
        <f t="shared" si="3"/>
        <v>0</v>
      </c>
      <c r="AJG6">
        <f t="shared" si="3"/>
        <v>0</v>
      </c>
      <c r="AJH6">
        <f t="shared" si="3"/>
        <v>0</v>
      </c>
      <c r="AJI6">
        <f t="shared" si="3"/>
        <v>0</v>
      </c>
      <c r="AJJ6">
        <f t="shared" si="3"/>
        <v>0</v>
      </c>
      <c r="AJK6">
        <f t="shared" si="3"/>
        <v>0</v>
      </c>
      <c r="AJL6">
        <f t="shared" si="3"/>
        <v>12.5</v>
      </c>
      <c r="AJM6">
        <f t="shared" si="3"/>
        <v>12.5</v>
      </c>
      <c r="AJN6">
        <f t="shared" si="3"/>
        <v>12.5</v>
      </c>
      <c r="AJO6">
        <f t="shared" si="3"/>
        <v>25</v>
      </c>
      <c r="AJP6">
        <f t="shared" si="3"/>
        <v>25</v>
      </c>
      <c r="AJQ6">
        <f t="shared" si="3"/>
        <v>25</v>
      </c>
      <c r="AJR6">
        <f t="shared" si="3"/>
        <v>25</v>
      </c>
      <c r="AJS6">
        <f t="shared" si="3"/>
        <v>25</v>
      </c>
      <c r="AJT6">
        <f t="shared" si="3"/>
        <v>25</v>
      </c>
      <c r="AJU6">
        <f t="shared" si="3"/>
        <v>50</v>
      </c>
      <c r="AJV6">
        <f t="shared" si="3"/>
        <v>25</v>
      </c>
      <c r="AJW6">
        <f t="shared" si="3"/>
        <v>0</v>
      </c>
      <c r="AJX6">
        <f t="shared" si="3"/>
        <v>0</v>
      </c>
      <c r="AJY6">
        <f t="shared" si="3"/>
        <v>0</v>
      </c>
      <c r="AJZ6">
        <f t="shared" si="3"/>
        <v>0</v>
      </c>
      <c r="AKA6">
        <f t="shared" ref="AKA6:AML9" si="4">IY6</f>
        <v>0</v>
      </c>
      <c r="AKB6">
        <f t="shared" si="4"/>
        <v>0</v>
      </c>
      <c r="AKC6">
        <f t="shared" si="4"/>
        <v>0</v>
      </c>
      <c r="AKD6">
        <f t="shared" si="4"/>
        <v>0</v>
      </c>
      <c r="AKE6">
        <f t="shared" si="4"/>
        <v>0</v>
      </c>
      <c r="AKF6">
        <f t="shared" si="4"/>
        <v>0</v>
      </c>
      <c r="AKG6">
        <f t="shared" si="4"/>
        <v>0</v>
      </c>
      <c r="AKH6">
        <f t="shared" si="4"/>
        <v>12.5</v>
      </c>
      <c r="AKI6">
        <f t="shared" si="4"/>
        <v>12.5</v>
      </c>
      <c r="AKJ6">
        <f t="shared" si="4"/>
        <v>12.5</v>
      </c>
      <c r="AKK6">
        <f t="shared" si="4"/>
        <v>25</v>
      </c>
      <c r="AKL6">
        <f t="shared" si="4"/>
        <v>25</v>
      </c>
      <c r="AKM6">
        <f t="shared" si="4"/>
        <v>25</v>
      </c>
      <c r="AKN6">
        <f t="shared" si="4"/>
        <v>25</v>
      </c>
      <c r="AKO6">
        <f t="shared" si="4"/>
        <v>25</v>
      </c>
      <c r="AKP6">
        <f t="shared" si="4"/>
        <v>25</v>
      </c>
      <c r="AKQ6">
        <f t="shared" si="4"/>
        <v>50</v>
      </c>
      <c r="AKR6">
        <f t="shared" si="4"/>
        <v>25</v>
      </c>
      <c r="AKS6">
        <f t="shared" si="4"/>
        <v>0</v>
      </c>
      <c r="AKT6">
        <f t="shared" si="4"/>
        <v>0</v>
      </c>
      <c r="AKU6">
        <f t="shared" si="4"/>
        <v>0</v>
      </c>
      <c r="AKV6">
        <f t="shared" si="4"/>
        <v>0</v>
      </c>
      <c r="AKW6">
        <f t="shared" si="4"/>
        <v>0</v>
      </c>
      <c r="AKX6">
        <f t="shared" si="4"/>
        <v>0</v>
      </c>
      <c r="AKY6">
        <f t="shared" si="4"/>
        <v>0</v>
      </c>
      <c r="AKZ6">
        <f t="shared" si="4"/>
        <v>0</v>
      </c>
      <c r="ALA6">
        <f t="shared" si="4"/>
        <v>0</v>
      </c>
      <c r="ALB6">
        <f t="shared" si="4"/>
        <v>0</v>
      </c>
      <c r="ALC6">
        <f t="shared" si="4"/>
        <v>0</v>
      </c>
      <c r="ALD6">
        <f t="shared" si="4"/>
        <v>12.5</v>
      </c>
      <c r="ALE6">
        <f t="shared" si="4"/>
        <v>12.5</v>
      </c>
      <c r="ALF6">
        <f t="shared" si="4"/>
        <v>12.5</v>
      </c>
      <c r="ALG6">
        <f t="shared" si="4"/>
        <v>25</v>
      </c>
      <c r="ALH6">
        <f t="shared" si="4"/>
        <v>25</v>
      </c>
      <c r="ALI6">
        <f t="shared" si="4"/>
        <v>25</v>
      </c>
      <c r="ALJ6">
        <f t="shared" si="4"/>
        <v>25</v>
      </c>
      <c r="ALK6">
        <f t="shared" si="4"/>
        <v>25</v>
      </c>
      <c r="ALL6">
        <f t="shared" si="4"/>
        <v>25</v>
      </c>
      <c r="ALM6">
        <f t="shared" si="4"/>
        <v>50</v>
      </c>
      <c r="ALN6">
        <f t="shared" si="4"/>
        <v>25</v>
      </c>
      <c r="ALO6">
        <f t="shared" si="4"/>
        <v>0</v>
      </c>
      <c r="ALP6">
        <f t="shared" si="4"/>
        <v>0</v>
      </c>
      <c r="ALQ6">
        <f t="shared" si="4"/>
        <v>0</v>
      </c>
      <c r="ALR6">
        <f t="shared" si="4"/>
        <v>0</v>
      </c>
      <c r="ALS6">
        <f t="shared" si="4"/>
        <v>0</v>
      </c>
      <c r="ALT6">
        <f t="shared" si="4"/>
        <v>0</v>
      </c>
      <c r="ALU6">
        <f t="shared" si="4"/>
        <v>0</v>
      </c>
      <c r="ALV6">
        <f t="shared" si="4"/>
        <v>0</v>
      </c>
      <c r="ALW6">
        <f t="shared" si="4"/>
        <v>0</v>
      </c>
      <c r="ALX6">
        <f t="shared" si="4"/>
        <v>0</v>
      </c>
      <c r="ALY6">
        <f t="shared" si="4"/>
        <v>0</v>
      </c>
      <c r="ALZ6">
        <f t="shared" si="4"/>
        <v>12.5</v>
      </c>
      <c r="AMA6">
        <f t="shared" si="4"/>
        <v>12.5</v>
      </c>
      <c r="AMB6">
        <f t="shared" si="4"/>
        <v>12.5</v>
      </c>
      <c r="AMC6">
        <f t="shared" si="4"/>
        <v>25</v>
      </c>
      <c r="AMD6">
        <f t="shared" si="4"/>
        <v>25</v>
      </c>
      <c r="AME6">
        <f t="shared" si="4"/>
        <v>25</v>
      </c>
      <c r="AMF6">
        <f t="shared" si="4"/>
        <v>25</v>
      </c>
      <c r="AMG6">
        <f t="shared" si="4"/>
        <v>25</v>
      </c>
      <c r="AMH6">
        <f t="shared" si="4"/>
        <v>25</v>
      </c>
      <c r="AMI6">
        <f t="shared" si="4"/>
        <v>50</v>
      </c>
      <c r="AMJ6">
        <f t="shared" si="4"/>
        <v>25</v>
      </c>
      <c r="AMK6">
        <f t="shared" si="4"/>
        <v>0</v>
      </c>
      <c r="AML6">
        <f t="shared" si="4"/>
        <v>0</v>
      </c>
      <c r="AMM6">
        <f t="shared" ref="AMM6:AOX9" si="5">LK6</f>
        <v>0</v>
      </c>
      <c r="AMN6">
        <f t="shared" si="5"/>
        <v>0</v>
      </c>
      <c r="AMO6">
        <f t="shared" si="5"/>
        <v>0</v>
      </c>
      <c r="AMP6">
        <f t="shared" si="5"/>
        <v>0</v>
      </c>
      <c r="AMQ6">
        <f t="shared" si="5"/>
        <v>0</v>
      </c>
      <c r="AMR6">
        <f t="shared" si="5"/>
        <v>0</v>
      </c>
      <c r="AMS6">
        <f t="shared" si="5"/>
        <v>0</v>
      </c>
      <c r="AMT6">
        <f t="shared" si="5"/>
        <v>0</v>
      </c>
      <c r="AMU6">
        <f t="shared" si="5"/>
        <v>0</v>
      </c>
      <c r="AMV6">
        <f t="shared" si="5"/>
        <v>12.5</v>
      </c>
      <c r="AMW6">
        <f t="shared" si="5"/>
        <v>12.5</v>
      </c>
      <c r="AMX6">
        <f t="shared" si="5"/>
        <v>12.5</v>
      </c>
      <c r="AMY6">
        <f t="shared" si="5"/>
        <v>25</v>
      </c>
      <c r="AMZ6">
        <f t="shared" si="5"/>
        <v>25</v>
      </c>
      <c r="ANA6">
        <f t="shared" si="5"/>
        <v>25</v>
      </c>
      <c r="ANB6">
        <f t="shared" si="5"/>
        <v>25</v>
      </c>
      <c r="ANC6">
        <f t="shared" si="5"/>
        <v>25</v>
      </c>
      <c r="AND6">
        <f t="shared" si="5"/>
        <v>25</v>
      </c>
      <c r="ANE6">
        <f t="shared" si="5"/>
        <v>50</v>
      </c>
      <c r="ANF6">
        <f t="shared" si="5"/>
        <v>25</v>
      </c>
      <c r="ANG6">
        <f t="shared" si="5"/>
        <v>0</v>
      </c>
      <c r="ANH6">
        <f t="shared" si="5"/>
        <v>0</v>
      </c>
      <c r="ANI6">
        <f t="shared" si="5"/>
        <v>0</v>
      </c>
      <c r="ANJ6">
        <f t="shared" si="5"/>
        <v>0</v>
      </c>
      <c r="ANK6">
        <f t="shared" si="5"/>
        <v>0</v>
      </c>
      <c r="ANL6">
        <f t="shared" si="5"/>
        <v>0</v>
      </c>
      <c r="ANM6">
        <f t="shared" si="5"/>
        <v>0</v>
      </c>
      <c r="ANN6">
        <f t="shared" si="5"/>
        <v>0</v>
      </c>
      <c r="ANO6">
        <f t="shared" si="5"/>
        <v>0</v>
      </c>
      <c r="ANP6">
        <f t="shared" si="5"/>
        <v>0</v>
      </c>
      <c r="ANQ6">
        <f t="shared" si="5"/>
        <v>0</v>
      </c>
      <c r="ANR6">
        <f t="shared" si="5"/>
        <v>12.5</v>
      </c>
      <c r="ANS6">
        <f t="shared" si="5"/>
        <v>12.5</v>
      </c>
      <c r="ANT6">
        <f t="shared" si="5"/>
        <v>12.5</v>
      </c>
      <c r="ANU6">
        <f t="shared" si="5"/>
        <v>25</v>
      </c>
      <c r="ANV6">
        <f t="shared" si="5"/>
        <v>25</v>
      </c>
      <c r="ANW6">
        <f t="shared" si="5"/>
        <v>25</v>
      </c>
      <c r="ANX6">
        <f t="shared" si="5"/>
        <v>25</v>
      </c>
      <c r="ANY6">
        <f t="shared" si="5"/>
        <v>25</v>
      </c>
      <c r="ANZ6">
        <f t="shared" si="5"/>
        <v>25</v>
      </c>
      <c r="AOA6">
        <f t="shared" si="5"/>
        <v>50</v>
      </c>
      <c r="AOB6">
        <f t="shared" si="5"/>
        <v>25</v>
      </c>
      <c r="AOC6">
        <f t="shared" si="5"/>
        <v>0</v>
      </c>
      <c r="AOD6">
        <f t="shared" si="5"/>
        <v>0</v>
      </c>
      <c r="AOE6">
        <f t="shared" si="5"/>
        <v>0</v>
      </c>
      <c r="AOF6">
        <f t="shared" si="5"/>
        <v>0</v>
      </c>
      <c r="AOG6">
        <f t="shared" si="5"/>
        <v>0</v>
      </c>
      <c r="AOH6">
        <f t="shared" si="5"/>
        <v>0</v>
      </c>
      <c r="AOI6">
        <f t="shared" si="5"/>
        <v>0</v>
      </c>
      <c r="AOJ6">
        <f t="shared" si="5"/>
        <v>0</v>
      </c>
      <c r="AOK6">
        <f t="shared" si="5"/>
        <v>0</v>
      </c>
      <c r="AOL6">
        <f t="shared" si="5"/>
        <v>0</v>
      </c>
      <c r="AOM6">
        <f t="shared" si="5"/>
        <v>0</v>
      </c>
      <c r="AON6">
        <f t="shared" si="5"/>
        <v>12.5</v>
      </c>
      <c r="AOO6">
        <f t="shared" si="5"/>
        <v>12.5</v>
      </c>
      <c r="AOP6">
        <f t="shared" si="5"/>
        <v>12.5</v>
      </c>
      <c r="AOQ6">
        <f t="shared" si="5"/>
        <v>25</v>
      </c>
      <c r="AOR6">
        <f t="shared" si="5"/>
        <v>25</v>
      </c>
      <c r="AOS6">
        <f t="shared" si="5"/>
        <v>25</v>
      </c>
      <c r="AOT6">
        <f t="shared" si="5"/>
        <v>25</v>
      </c>
      <c r="AOU6">
        <f t="shared" si="5"/>
        <v>25</v>
      </c>
      <c r="AOV6">
        <f t="shared" si="5"/>
        <v>25</v>
      </c>
      <c r="AOW6">
        <f t="shared" si="5"/>
        <v>50</v>
      </c>
      <c r="AOX6">
        <f t="shared" si="5"/>
        <v>25</v>
      </c>
      <c r="AOY6">
        <f t="shared" ref="AOY6:ARJ9" si="6">NW6</f>
        <v>0</v>
      </c>
      <c r="AOZ6">
        <f t="shared" si="6"/>
        <v>0</v>
      </c>
      <c r="APA6">
        <f t="shared" si="6"/>
        <v>0</v>
      </c>
      <c r="APB6">
        <f t="shared" si="6"/>
        <v>0</v>
      </c>
      <c r="APC6">
        <f t="shared" si="6"/>
        <v>0</v>
      </c>
      <c r="APD6">
        <f t="shared" si="6"/>
        <v>0</v>
      </c>
      <c r="APE6">
        <f t="shared" si="6"/>
        <v>0</v>
      </c>
      <c r="APF6">
        <f t="shared" si="6"/>
        <v>0</v>
      </c>
      <c r="APG6">
        <f t="shared" si="6"/>
        <v>0</v>
      </c>
      <c r="APH6">
        <f t="shared" si="6"/>
        <v>0</v>
      </c>
      <c r="API6">
        <f t="shared" si="6"/>
        <v>0</v>
      </c>
      <c r="APJ6">
        <f t="shared" si="6"/>
        <v>12.5</v>
      </c>
      <c r="APK6">
        <f t="shared" si="6"/>
        <v>12.5</v>
      </c>
      <c r="APL6">
        <f t="shared" si="6"/>
        <v>12.5</v>
      </c>
      <c r="APM6">
        <f t="shared" si="6"/>
        <v>25</v>
      </c>
      <c r="APN6">
        <f t="shared" si="6"/>
        <v>25</v>
      </c>
      <c r="APO6">
        <f t="shared" si="6"/>
        <v>25</v>
      </c>
      <c r="APP6">
        <f t="shared" si="6"/>
        <v>25</v>
      </c>
      <c r="APQ6">
        <f t="shared" si="6"/>
        <v>25</v>
      </c>
      <c r="APR6">
        <f t="shared" si="6"/>
        <v>25</v>
      </c>
      <c r="APS6">
        <f t="shared" si="6"/>
        <v>50</v>
      </c>
      <c r="APT6">
        <f t="shared" si="6"/>
        <v>25</v>
      </c>
      <c r="APU6">
        <f t="shared" si="6"/>
        <v>0</v>
      </c>
      <c r="APV6">
        <f t="shared" si="6"/>
        <v>0</v>
      </c>
      <c r="APW6">
        <f t="shared" si="6"/>
        <v>0</v>
      </c>
      <c r="APX6">
        <f t="shared" si="6"/>
        <v>0</v>
      </c>
      <c r="APY6">
        <f t="shared" si="6"/>
        <v>0</v>
      </c>
      <c r="APZ6">
        <f t="shared" si="6"/>
        <v>0</v>
      </c>
      <c r="AQA6">
        <f t="shared" si="6"/>
        <v>0</v>
      </c>
      <c r="AQB6">
        <f t="shared" si="6"/>
        <v>0</v>
      </c>
      <c r="AQC6">
        <f t="shared" si="6"/>
        <v>0</v>
      </c>
      <c r="AQD6">
        <f t="shared" si="6"/>
        <v>0</v>
      </c>
      <c r="AQE6">
        <f t="shared" si="6"/>
        <v>0</v>
      </c>
      <c r="AQF6">
        <f t="shared" si="6"/>
        <v>12.5</v>
      </c>
      <c r="AQG6">
        <f t="shared" si="6"/>
        <v>12.5</v>
      </c>
      <c r="AQH6">
        <f t="shared" si="6"/>
        <v>12.5</v>
      </c>
      <c r="AQI6">
        <f t="shared" si="6"/>
        <v>25</v>
      </c>
      <c r="AQJ6">
        <f t="shared" si="6"/>
        <v>25</v>
      </c>
      <c r="AQK6">
        <f t="shared" si="6"/>
        <v>25</v>
      </c>
      <c r="AQL6">
        <f t="shared" si="6"/>
        <v>25</v>
      </c>
      <c r="AQM6">
        <f t="shared" si="6"/>
        <v>25</v>
      </c>
      <c r="AQN6">
        <f t="shared" si="6"/>
        <v>25</v>
      </c>
      <c r="AQO6">
        <f t="shared" si="6"/>
        <v>50</v>
      </c>
      <c r="AQP6">
        <f t="shared" si="6"/>
        <v>25</v>
      </c>
      <c r="AQQ6">
        <f t="shared" si="6"/>
        <v>0</v>
      </c>
      <c r="AQR6">
        <f t="shared" si="6"/>
        <v>0</v>
      </c>
      <c r="AQS6">
        <f t="shared" si="6"/>
        <v>0</v>
      </c>
      <c r="AQT6">
        <f t="shared" si="6"/>
        <v>0</v>
      </c>
      <c r="AQU6">
        <f t="shared" si="6"/>
        <v>0</v>
      </c>
      <c r="AQV6">
        <f t="shared" si="6"/>
        <v>0</v>
      </c>
      <c r="AQW6">
        <f t="shared" si="6"/>
        <v>0</v>
      </c>
      <c r="AQX6">
        <f t="shared" si="6"/>
        <v>0</v>
      </c>
      <c r="AQY6">
        <f t="shared" si="6"/>
        <v>0</v>
      </c>
      <c r="AQZ6">
        <f t="shared" si="6"/>
        <v>0</v>
      </c>
      <c r="ARA6">
        <f t="shared" si="6"/>
        <v>0</v>
      </c>
      <c r="ARB6">
        <f t="shared" si="6"/>
        <v>12.5</v>
      </c>
      <c r="ARC6">
        <f t="shared" si="6"/>
        <v>12.5</v>
      </c>
      <c r="ARD6">
        <f t="shared" si="6"/>
        <v>12.5</v>
      </c>
      <c r="ARE6">
        <f t="shared" si="6"/>
        <v>25</v>
      </c>
      <c r="ARF6">
        <f t="shared" si="6"/>
        <v>25</v>
      </c>
      <c r="ARG6">
        <f t="shared" si="6"/>
        <v>25</v>
      </c>
      <c r="ARH6">
        <f t="shared" si="6"/>
        <v>25</v>
      </c>
      <c r="ARI6">
        <f t="shared" si="6"/>
        <v>25</v>
      </c>
      <c r="ARJ6">
        <f t="shared" si="6"/>
        <v>25</v>
      </c>
      <c r="ARK6">
        <f t="shared" ref="ARK6:ATV9" si="7">QI6</f>
        <v>50</v>
      </c>
      <c r="ARL6">
        <f t="shared" si="7"/>
        <v>25</v>
      </c>
      <c r="ARM6">
        <f t="shared" si="7"/>
        <v>0</v>
      </c>
      <c r="ARN6">
        <f t="shared" si="7"/>
        <v>0</v>
      </c>
      <c r="ARO6">
        <f t="shared" si="7"/>
        <v>0</v>
      </c>
      <c r="ARP6">
        <f t="shared" si="7"/>
        <v>0</v>
      </c>
      <c r="ARQ6">
        <f t="shared" si="7"/>
        <v>0</v>
      </c>
      <c r="ARR6">
        <f t="shared" si="7"/>
        <v>0</v>
      </c>
      <c r="ARS6">
        <f t="shared" si="7"/>
        <v>0</v>
      </c>
      <c r="ART6">
        <f t="shared" si="7"/>
        <v>0</v>
      </c>
      <c r="ARU6">
        <f t="shared" si="7"/>
        <v>0</v>
      </c>
      <c r="ARV6">
        <f t="shared" si="7"/>
        <v>0</v>
      </c>
      <c r="ARW6">
        <f t="shared" si="7"/>
        <v>0</v>
      </c>
      <c r="ARX6">
        <f t="shared" si="7"/>
        <v>12.5</v>
      </c>
      <c r="ARY6">
        <f t="shared" si="7"/>
        <v>12.5</v>
      </c>
      <c r="ARZ6">
        <f t="shared" si="7"/>
        <v>12.5</v>
      </c>
      <c r="ASA6">
        <f t="shared" si="7"/>
        <v>25</v>
      </c>
      <c r="ASB6">
        <f t="shared" si="7"/>
        <v>25</v>
      </c>
      <c r="ASC6">
        <f t="shared" si="7"/>
        <v>25</v>
      </c>
      <c r="ASD6">
        <f t="shared" si="7"/>
        <v>25</v>
      </c>
      <c r="ASE6">
        <f t="shared" si="7"/>
        <v>25</v>
      </c>
      <c r="ASF6">
        <f t="shared" si="7"/>
        <v>25</v>
      </c>
      <c r="ASG6">
        <f t="shared" si="7"/>
        <v>50</v>
      </c>
      <c r="ASH6">
        <f t="shared" si="7"/>
        <v>25</v>
      </c>
      <c r="ASI6">
        <f t="shared" si="7"/>
        <v>0</v>
      </c>
      <c r="ASJ6">
        <f t="shared" si="7"/>
        <v>0</v>
      </c>
      <c r="ASK6">
        <f t="shared" si="7"/>
        <v>0</v>
      </c>
      <c r="ASL6">
        <f t="shared" si="7"/>
        <v>0</v>
      </c>
      <c r="ASM6">
        <f t="shared" si="7"/>
        <v>0</v>
      </c>
      <c r="ASN6">
        <f t="shared" si="7"/>
        <v>0</v>
      </c>
      <c r="ASO6">
        <f t="shared" si="7"/>
        <v>0</v>
      </c>
      <c r="ASP6">
        <f t="shared" si="7"/>
        <v>0</v>
      </c>
      <c r="ASQ6">
        <f t="shared" si="7"/>
        <v>0</v>
      </c>
      <c r="ASR6">
        <f t="shared" si="7"/>
        <v>0</v>
      </c>
      <c r="ASS6">
        <f t="shared" si="7"/>
        <v>0</v>
      </c>
      <c r="AST6">
        <f t="shared" si="7"/>
        <v>12.5</v>
      </c>
      <c r="ASU6">
        <f t="shared" si="7"/>
        <v>12.5</v>
      </c>
      <c r="ASV6">
        <f t="shared" si="7"/>
        <v>12.5</v>
      </c>
      <c r="ASW6">
        <f t="shared" si="7"/>
        <v>25</v>
      </c>
      <c r="ASX6">
        <f t="shared" si="7"/>
        <v>25</v>
      </c>
      <c r="ASY6">
        <f t="shared" si="7"/>
        <v>25</v>
      </c>
      <c r="ASZ6">
        <f t="shared" si="7"/>
        <v>25</v>
      </c>
      <c r="ATA6">
        <f t="shared" si="7"/>
        <v>25</v>
      </c>
      <c r="ATB6">
        <f t="shared" si="7"/>
        <v>25</v>
      </c>
      <c r="ATC6">
        <f t="shared" si="7"/>
        <v>50</v>
      </c>
      <c r="ATD6">
        <f t="shared" si="7"/>
        <v>25</v>
      </c>
      <c r="ATE6">
        <f t="shared" si="7"/>
        <v>0</v>
      </c>
      <c r="ATF6">
        <f t="shared" si="7"/>
        <v>0</v>
      </c>
      <c r="ATG6">
        <f t="shared" si="7"/>
        <v>0</v>
      </c>
      <c r="ATH6">
        <f t="shared" si="7"/>
        <v>0</v>
      </c>
      <c r="ATI6">
        <f t="shared" si="7"/>
        <v>0</v>
      </c>
      <c r="ATJ6">
        <f t="shared" si="7"/>
        <v>0</v>
      </c>
      <c r="ATK6">
        <f t="shared" si="7"/>
        <v>0</v>
      </c>
      <c r="ATL6">
        <f t="shared" si="7"/>
        <v>0</v>
      </c>
      <c r="ATM6">
        <f t="shared" si="7"/>
        <v>0</v>
      </c>
      <c r="ATN6">
        <f t="shared" si="7"/>
        <v>0</v>
      </c>
      <c r="ATO6">
        <f t="shared" si="7"/>
        <v>0</v>
      </c>
      <c r="ATP6">
        <f t="shared" si="7"/>
        <v>12.5</v>
      </c>
      <c r="ATQ6">
        <f t="shared" si="7"/>
        <v>12.5</v>
      </c>
      <c r="ATR6">
        <f t="shared" si="7"/>
        <v>12.5</v>
      </c>
      <c r="ATS6">
        <f t="shared" si="7"/>
        <v>25</v>
      </c>
      <c r="ATT6">
        <f t="shared" si="7"/>
        <v>25</v>
      </c>
      <c r="ATU6">
        <f t="shared" si="7"/>
        <v>25</v>
      </c>
      <c r="ATV6">
        <f t="shared" si="7"/>
        <v>25</v>
      </c>
      <c r="ATW6">
        <f t="shared" ref="ATW6:AWH9" si="8">SU6</f>
        <v>25</v>
      </c>
      <c r="ATX6">
        <f t="shared" si="8"/>
        <v>25</v>
      </c>
      <c r="ATY6">
        <f t="shared" si="8"/>
        <v>50</v>
      </c>
      <c r="ATZ6">
        <f t="shared" si="8"/>
        <v>25</v>
      </c>
      <c r="AUA6">
        <f t="shared" si="8"/>
        <v>0</v>
      </c>
      <c r="AUB6">
        <f t="shared" si="8"/>
        <v>0</v>
      </c>
      <c r="AUC6">
        <f t="shared" si="8"/>
        <v>0</v>
      </c>
      <c r="AUD6">
        <f t="shared" si="8"/>
        <v>0</v>
      </c>
      <c r="AUE6">
        <f t="shared" si="8"/>
        <v>0</v>
      </c>
      <c r="AUF6">
        <f t="shared" si="8"/>
        <v>0</v>
      </c>
      <c r="AUG6">
        <f t="shared" si="8"/>
        <v>0</v>
      </c>
      <c r="AUH6">
        <f t="shared" si="8"/>
        <v>0</v>
      </c>
      <c r="AUI6">
        <f t="shared" si="8"/>
        <v>0</v>
      </c>
      <c r="AUJ6">
        <f t="shared" si="8"/>
        <v>0</v>
      </c>
      <c r="AUK6">
        <f t="shared" si="8"/>
        <v>0</v>
      </c>
      <c r="AUL6">
        <f t="shared" si="8"/>
        <v>12.5</v>
      </c>
      <c r="AUM6">
        <f t="shared" si="8"/>
        <v>12.5</v>
      </c>
      <c r="AUN6">
        <f t="shared" si="8"/>
        <v>12.5</v>
      </c>
      <c r="AUO6">
        <f t="shared" si="8"/>
        <v>25</v>
      </c>
      <c r="AUP6">
        <f t="shared" si="8"/>
        <v>25</v>
      </c>
      <c r="AUQ6">
        <f t="shared" si="8"/>
        <v>25</v>
      </c>
      <c r="AUR6">
        <f t="shared" si="8"/>
        <v>25</v>
      </c>
      <c r="AUS6">
        <f t="shared" si="8"/>
        <v>25</v>
      </c>
      <c r="AUT6">
        <f t="shared" si="8"/>
        <v>25</v>
      </c>
      <c r="AUU6">
        <f t="shared" si="8"/>
        <v>50</v>
      </c>
      <c r="AUV6">
        <f t="shared" si="8"/>
        <v>25</v>
      </c>
      <c r="AUW6">
        <f t="shared" si="8"/>
        <v>0</v>
      </c>
      <c r="AUX6">
        <f t="shared" si="8"/>
        <v>0</v>
      </c>
      <c r="AUY6">
        <f t="shared" si="8"/>
        <v>0</v>
      </c>
      <c r="AUZ6">
        <f t="shared" si="8"/>
        <v>0</v>
      </c>
      <c r="AVA6">
        <f t="shared" si="8"/>
        <v>0</v>
      </c>
      <c r="AVB6">
        <f t="shared" si="8"/>
        <v>0</v>
      </c>
      <c r="AVC6">
        <f t="shared" si="8"/>
        <v>0</v>
      </c>
      <c r="AVD6">
        <f t="shared" si="8"/>
        <v>0</v>
      </c>
      <c r="AVE6">
        <f t="shared" si="8"/>
        <v>0</v>
      </c>
      <c r="AVF6">
        <f t="shared" si="8"/>
        <v>0</v>
      </c>
      <c r="AVG6">
        <f t="shared" si="8"/>
        <v>0</v>
      </c>
      <c r="AVH6">
        <f t="shared" si="8"/>
        <v>12.5</v>
      </c>
      <c r="AVI6">
        <f t="shared" si="8"/>
        <v>12.5</v>
      </c>
      <c r="AVJ6">
        <f t="shared" si="8"/>
        <v>12.5</v>
      </c>
      <c r="AVK6">
        <f t="shared" si="8"/>
        <v>25</v>
      </c>
      <c r="AVL6">
        <f t="shared" si="8"/>
        <v>25</v>
      </c>
      <c r="AVM6">
        <f t="shared" si="8"/>
        <v>25</v>
      </c>
      <c r="AVN6">
        <f t="shared" si="8"/>
        <v>25</v>
      </c>
      <c r="AVO6">
        <f t="shared" si="8"/>
        <v>25</v>
      </c>
      <c r="AVP6">
        <f t="shared" si="8"/>
        <v>25</v>
      </c>
      <c r="AVQ6">
        <f t="shared" si="8"/>
        <v>50</v>
      </c>
      <c r="AVR6">
        <f t="shared" si="8"/>
        <v>25</v>
      </c>
      <c r="AVS6">
        <f t="shared" si="8"/>
        <v>0</v>
      </c>
      <c r="AVT6">
        <f t="shared" si="8"/>
        <v>0</v>
      </c>
      <c r="AVU6">
        <f t="shared" si="8"/>
        <v>0</v>
      </c>
      <c r="AVV6">
        <f t="shared" si="8"/>
        <v>0</v>
      </c>
      <c r="AVW6">
        <f t="shared" si="8"/>
        <v>0</v>
      </c>
      <c r="AVX6">
        <f t="shared" si="8"/>
        <v>0</v>
      </c>
      <c r="AVY6">
        <f t="shared" si="8"/>
        <v>0</v>
      </c>
      <c r="AVZ6">
        <f t="shared" si="8"/>
        <v>0</v>
      </c>
      <c r="AWA6">
        <f t="shared" si="8"/>
        <v>0</v>
      </c>
      <c r="AWB6">
        <f t="shared" si="8"/>
        <v>0</v>
      </c>
      <c r="AWC6">
        <f t="shared" si="8"/>
        <v>0</v>
      </c>
      <c r="AWD6">
        <f t="shared" si="8"/>
        <v>12.5</v>
      </c>
      <c r="AWE6">
        <f t="shared" si="8"/>
        <v>12.5</v>
      </c>
      <c r="AWF6">
        <f t="shared" si="8"/>
        <v>12.5</v>
      </c>
      <c r="AWG6">
        <f t="shared" si="8"/>
        <v>25</v>
      </c>
      <c r="AWH6">
        <f t="shared" si="8"/>
        <v>25</v>
      </c>
      <c r="AWI6">
        <f t="shared" ref="AWI6:AYT9" si="9">VG6</f>
        <v>25</v>
      </c>
      <c r="AWJ6">
        <f t="shared" si="9"/>
        <v>25</v>
      </c>
      <c r="AWK6">
        <f t="shared" si="9"/>
        <v>25</v>
      </c>
      <c r="AWL6">
        <f t="shared" si="9"/>
        <v>25</v>
      </c>
      <c r="AWM6">
        <f t="shared" si="9"/>
        <v>50</v>
      </c>
      <c r="AWN6">
        <f t="shared" si="9"/>
        <v>25</v>
      </c>
      <c r="AWO6">
        <f t="shared" si="9"/>
        <v>0</v>
      </c>
      <c r="AWP6">
        <f t="shared" si="9"/>
        <v>0</v>
      </c>
      <c r="AWQ6">
        <f t="shared" si="9"/>
        <v>0</v>
      </c>
      <c r="AWR6">
        <f t="shared" si="9"/>
        <v>0</v>
      </c>
      <c r="AWS6">
        <f t="shared" si="9"/>
        <v>0</v>
      </c>
      <c r="AWT6">
        <f t="shared" si="9"/>
        <v>0</v>
      </c>
      <c r="AWU6">
        <f t="shared" si="9"/>
        <v>0</v>
      </c>
      <c r="AWV6">
        <f t="shared" si="9"/>
        <v>0</v>
      </c>
      <c r="AWW6">
        <f t="shared" si="9"/>
        <v>0</v>
      </c>
      <c r="AWX6">
        <f t="shared" si="9"/>
        <v>0</v>
      </c>
      <c r="AWY6">
        <f t="shared" si="9"/>
        <v>0</v>
      </c>
      <c r="AWZ6">
        <f t="shared" si="9"/>
        <v>12.5</v>
      </c>
      <c r="AXA6">
        <f t="shared" si="9"/>
        <v>12.5</v>
      </c>
      <c r="AXB6">
        <f t="shared" si="9"/>
        <v>12.5</v>
      </c>
      <c r="AXC6">
        <f t="shared" si="9"/>
        <v>25</v>
      </c>
      <c r="AXD6">
        <f t="shared" si="9"/>
        <v>25</v>
      </c>
      <c r="AXE6">
        <f t="shared" si="9"/>
        <v>25</v>
      </c>
      <c r="AXF6">
        <f t="shared" si="9"/>
        <v>25</v>
      </c>
      <c r="AXG6">
        <f t="shared" si="9"/>
        <v>25</v>
      </c>
      <c r="AXH6">
        <f t="shared" si="9"/>
        <v>25</v>
      </c>
      <c r="AXI6">
        <f t="shared" si="9"/>
        <v>50</v>
      </c>
      <c r="AXJ6">
        <f t="shared" si="9"/>
        <v>25</v>
      </c>
      <c r="AXK6">
        <f t="shared" si="9"/>
        <v>0</v>
      </c>
      <c r="AXL6">
        <f t="shared" si="9"/>
        <v>0</v>
      </c>
      <c r="AXM6">
        <f t="shared" si="9"/>
        <v>0</v>
      </c>
      <c r="AXN6">
        <f t="shared" si="9"/>
        <v>0</v>
      </c>
      <c r="AXO6">
        <f t="shared" si="9"/>
        <v>0</v>
      </c>
      <c r="AXP6">
        <f t="shared" si="9"/>
        <v>0</v>
      </c>
      <c r="AXQ6">
        <f t="shared" si="9"/>
        <v>0</v>
      </c>
      <c r="AXR6">
        <f t="shared" si="9"/>
        <v>0</v>
      </c>
      <c r="AXS6">
        <f t="shared" si="9"/>
        <v>0</v>
      </c>
      <c r="AXT6">
        <f t="shared" si="9"/>
        <v>0</v>
      </c>
      <c r="AXU6">
        <f t="shared" si="9"/>
        <v>0</v>
      </c>
      <c r="AXV6">
        <f t="shared" si="9"/>
        <v>12.5</v>
      </c>
      <c r="AXW6">
        <f t="shared" si="9"/>
        <v>12.5</v>
      </c>
      <c r="AXX6">
        <f t="shared" si="9"/>
        <v>12.5</v>
      </c>
      <c r="AXY6">
        <f t="shared" si="9"/>
        <v>25</v>
      </c>
      <c r="AXZ6">
        <f t="shared" si="9"/>
        <v>25</v>
      </c>
      <c r="AYA6">
        <f t="shared" si="9"/>
        <v>25</v>
      </c>
      <c r="AYB6">
        <f t="shared" si="9"/>
        <v>25</v>
      </c>
      <c r="AYC6">
        <f t="shared" si="9"/>
        <v>25</v>
      </c>
      <c r="AYD6">
        <f t="shared" si="9"/>
        <v>25</v>
      </c>
      <c r="AYE6">
        <f t="shared" si="9"/>
        <v>50</v>
      </c>
      <c r="AYF6">
        <f t="shared" si="9"/>
        <v>25</v>
      </c>
      <c r="AYG6">
        <f t="shared" si="9"/>
        <v>0</v>
      </c>
      <c r="AYH6">
        <f t="shared" si="9"/>
        <v>0</v>
      </c>
      <c r="AYI6">
        <f t="shared" si="9"/>
        <v>0</v>
      </c>
      <c r="AYJ6">
        <f t="shared" si="9"/>
        <v>0</v>
      </c>
      <c r="AYK6">
        <f t="shared" si="9"/>
        <v>0</v>
      </c>
      <c r="AYL6">
        <f t="shared" si="9"/>
        <v>0</v>
      </c>
      <c r="AYM6">
        <f t="shared" si="9"/>
        <v>0</v>
      </c>
      <c r="AYN6">
        <f t="shared" si="9"/>
        <v>0</v>
      </c>
      <c r="AYO6">
        <f t="shared" si="9"/>
        <v>0</v>
      </c>
      <c r="AYP6">
        <f t="shared" si="9"/>
        <v>0</v>
      </c>
      <c r="AYQ6">
        <f t="shared" si="9"/>
        <v>0</v>
      </c>
      <c r="AYR6">
        <f t="shared" si="9"/>
        <v>12.5</v>
      </c>
      <c r="AYS6">
        <f t="shared" si="9"/>
        <v>12.5</v>
      </c>
      <c r="AYT6">
        <f t="shared" si="9"/>
        <v>12.5</v>
      </c>
      <c r="AYU6">
        <f t="shared" ref="AYU6:BBF9" si="10">XS6</f>
        <v>25</v>
      </c>
      <c r="AYV6">
        <f t="shared" si="10"/>
        <v>25</v>
      </c>
      <c r="AYW6">
        <f t="shared" si="10"/>
        <v>25</v>
      </c>
      <c r="AYX6">
        <f t="shared" si="10"/>
        <v>25</v>
      </c>
      <c r="AYY6">
        <f t="shared" si="10"/>
        <v>25</v>
      </c>
      <c r="AYZ6">
        <f t="shared" si="10"/>
        <v>25</v>
      </c>
      <c r="AZA6">
        <f t="shared" si="10"/>
        <v>50</v>
      </c>
      <c r="AZB6">
        <f t="shared" si="10"/>
        <v>25</v>
      </c>
      <c r="AZC6">
        <f t="shared" si="10"/>
        <v>0</v>
      </c>
      <c r="AZD6">
        <f t="shared" si="10"/>
        <v>0</v>
      </c>
      <c r="AZE6">
        <f t="shared" si="10"/>
        <v>0</v>
      </c>
      <c r="AZF6">
        <f t="shared" si="10"/>
        <v>0</v>
      </c>
      <c r="AZG6">
        <f t="shared" si="10"/>
        <v>0</v>
      </c>
      <c r="AZH6">
        <f t="shared" si="10"/>
        <v>0</v>
      </c>
      <c r="AZI6">
        <f t="shared" si="10"/>
        <v>0</v>
      </c>
      <c r="AZJ6">
        <f t="shared" si="10"/>
        <v>0</v>
      </c>
      <c r="AZK6">
        <f t="shared" si="10"/>
        <v>0</v>
      </c>
      <c r="AZL6">
        <f t="shared" si="10"/>
        <v>0</v>
      </c>
      <c r="AZM6">
        <f t="shared" si="10"/>
        <v>0</v>
      </c>
      <c r="AZN6">
        <f t="shared" si="10"/>
        <v>12.5</v>
      </c>
      <c r="AZO6">
        <f t="shared" si="10"/>
        <v>12.5</v>
      </c>
      <c r="AZP6">
        <f t="shared" si="10"/>
        <v>12.5</v>
      </c>
      <c r="AZQ6">
        <f t="shared" si="10"/>
        <v>25</v>
      </c>
      <c r="AZR6">
        <f t="shared" si="10"/>
        <v>25</v>
      </c>
      <c r="AZS6">
        <f t="shared" si="10"/>
        <v>25</v>
      </c>
      <c r="AZT6">
        <f t="shared" si="10"/>
        <v>25</v>
      </c>
      <c r="AZU6">
        <f t="shared" si="10"/>
        <v>25</v>
      </c>
      <c r="AZV6">
        <f t="shared" si="10"/>
        <v>25</v>
      </c>
      <c r="AZW6">
        <f t="shared" si="10"/>
        <v>50</v>
      </c>
      <c r="AZX6">
        <f t="shared" si="10"/>
        <v>25</v>
      </c>
      <c r="AZY6">
        <f t="shared" si="10"/>
        <v>0</v>
      </c>
      <c r="AZZ6">
        <f t="shared" si="10"/>
        <v>0</v>
      </c>
      <c r="BAA6">
        <f t="shared" si="10"/>
        <v>0</v>
      </c>
      <c r="BAB6">
        <f t="shared" si="10"/>
        <v>0</v>
      </c>
      <c r="BAC6">
        <f t="shared" si="10"/>
        <v>0</v>
      </c>
      <c r="BAD6">
        <f t="shared" si="10"/>
        <v>0</v>
      </c>
      <c r="BAE6">
        <f t="shared" si="10"/>
        <v>0</v>
      </c>
      <c r="BAF6">
        <f t="shared" si="10"/>
        <v>0</v>
      </c>
      <c r="BAG6">
        <f t="shared" si="10"/>
        <v>0</v>
      </c>
      <c r="BAH6">
        <f t="shared" si="10"/>
        <v>0</v>
      </c>
      <c r="BAI6">
        <f t="shared" si="10"/>
        <v>0</v>
      </c>
      <c r="BAJ6">
        <f t="shared" si="10"/>
        <v>12.5</v>
      </c>
      <c r="BAK6">
        <f t="shared" si="10"/>
        <v>12.5</v>
      </c>
      <c r="BAL6">
        <f t="shared" si="10"/>
        <v>12.5</v>
      </c>
      <c r="BAM6">
        <f t="shared" si="10"/>
        <v>25</v>
      </c>
      <c r="BAN6">
        <f t="shared" si="10"/>
        <v>25</v>
      </c>
      <c r="BAO6">
        <f t="shared" si="10"/>
        <v>25</v>
      </c>
      <c r="BAP6">
        <f t="shared" si="10"/>
        <v>25</v>
      </c>
      <c r="BAQ6">
        <f t="shared" si="10"/>
        <v>25</v>
      </c>
      <c r="BAR6">
        <f t="shared" si="10"/>
        <v>25</v>
      </c>
      <c r="BAS6">
        <f t="shared" si="10"/>
        <v>50</v>
      </c>
      <c r="BAT6">
        <f t="shared" si="10"/>
        <v>25</v>
      </c>
      <c r="BAU6">
        <f t="shared" si="10"/>
        <v>0</v>
      </c>
      <c r="BAV6">
        <f t="shared" si="10"/>
        <v>0</v>
      </c>
      <c r="BAW6">
        <f t="shared" si="10"/>
        <v>0</v>
      </c>
      <c r="BAX6">
        <f t="shared" si="10"/>
        <v>0</v>
      </c>
      <c r="BAY6">
        <f t="shared" si="10"/>
        <v>0</v>
      </c>
      <c r="BAZ6">
        <f t="shared" si="10"/>
        <v>0</v>
      </c>
      <c r="BBA6">
        <f t="shared" si="10"/>
        <v>0</v>
      </c>
      <c r="BBB6">
        <f t="shared" si="10"/>
        <v>0</v>
      </c>
      <c r="BBC6">
        <f t="shared" si="10"/>
        <v>0</v>
      </c>
      <c r="BBD6">
        <f t="shared" si="10"/>
        <v>0</v>
      </c>
      <c r="BBE6">
        <f t="shared" si="10"/>
        <v>0</v>
      </c>
      <c r="BBF6">
        <f t="shared" si="10"/>
        <v>12.5</v>
      </c>
      <c r="BBG6">
        <f t="shared" ref="BBG6:BDR9" si="11">AAE6</f>
        <v>12.5</v>
      </c>
      <c r="BBH6">
        <f t="shared" si="11"/>
        <v>12.5</v>
      </c>
      <c r="BBI6">
        <f t="shared" si="11"/>
        <v>25</v>
      </c>
      <c r="BBJ6">
        <f t="shared" si="11"/>
        <v>25</v>
      </c>
      <c r="BBK6">
        <f t="shared" si="11"/>
        <v>25</v>
      </c>
      <c r="BBL6">
        <f t="shared" si="11"/>
        <v>25</v>
      </c>
      <c r="BBM6">
        <f t="shared" si="11"/>
        <v>25</v>
      </c>
      <c r="BBN6">
        <f t="shared" si="11"/>
        <v>25</v>
      </c>
      <c r="BBO6">
        <f t="shared" si="11"/>
        <v>50</v>
      </c>
      <c r="BBP6">
        <f t="shared" si="11"/>
        <v>25</v>
      </c>
      <c r="BBQ6">
        <f t="shared" si="11"/>
        <v>0</v>
      </c>
      <c r="BBR6">
        <f t="shared" si="11"/>
        <v>0</v>
      </c>
      <c r="BBS6">
        <f t="shared" si="11"/>
        <v>0</v>
      </c>
      <c r="BBT6">
        <f t="shared" si="11"/>
        <v>0</v>
      </c>
      <c r="BBU6">
        <f t="shared" si="11"/>
        <v>0</v>
      </c>
      <c r="BBV6">
        <f t="shared" si="11"/>
        <v>0</v>
      </c>
      <c r="BBW6">
        <f t="shared" si="11"/>
        <v>0</v>
      </c>
      <c r="BBX6">
        <f t="shared" si="11"/>
        <v>0</v>
      </c>
      <c r="BBY6">
        <f t="shared" si="11"/>
        <v>0</v>
      </c>
      <c r="BBZ6">
        <f t="shared" si="11"/>
        <v>0</v>
      </c>
      <c r="BCA6">
        <f t="shared" si="11"/>
        <v>0</v>
      </c>
      <c r="BCB6">
        <f t="shared" si="11"/>
        <v>12.5</v>
      </c>
      <c r="BCC6">
        <f t="shared" si="11"/>
        <v>12.5</v>
      </c>
      <c r="BCD6">
        <f t="shared" si="11"/>
        <v>12.5</v>
      </c>
      <c r="BCE6">
        <f t="shared" si="11"/>
        <v>25</v>
      </c>
      <c r="BCF6">
        <f t="shared" si="11"/>
        <v>25</v>
      </c>
      <c r="BCG6">
        <f t="shared" si="11"/>
        <v>25</v>
      </c>
      <c r="BCH6">
        <f t="shared" si="11"/>
        <v>25</v>
      </c>
      <c r="BCI6">
        <f t="shared" si="11"/>
        <v>25</v>
      </c>
      <c r="BCJ6">
        <f t="shared" si="11"/>
        <v>25</v>
      </c>
      <c r="BCK6">
        <f t="shared" si="11"/>
        <v>50</v>
      </c>
      <c r="BCL6">
        <f t="shared" si="11"/>
        <v>25</v>
      </c>
      <c r="BCM6">
        <f t="shared" si="11"/>
        <v>0</v>
      </c>
      <c r="BCN6">
        <f t="shared" si="11"/>
        <v>0</v>
      </c>
      <c r="BCO6">
        <f t="shared" si="11"/>
        <v>0</v>
      </c>
      <c r="BCP6">
        <f t="shared" si="11"/>
        <v>0</v>
      </c>
      <c r="BCQ6">
        <f t="shared" si="11"/>
        <v>0</v>
      </c>
      <c r="BCR6">
        <f t="shared" si="11"/>
        <v>0</v>
      </c>
      <c r="BCS6">
        <f t="shared" si="11"/>
        <v>0</v>
      </c>
      <c r="BCT6">
        <f t="shared" si="11"/>
        <v>0</v>
      </c>
      <c r="BCU6">
        <f t="shared" si="11"/>
        <v>0</v>
      </c>
      <c r="BCV6">
        <f t="shared" si="11"/>
        <v>0</v>
      </c>
      <c r="BCW6">
        <f t="shared" si="11"/>
        <v>0</v>
      </c>
      <c r="BCX6">
        <f t="shared" si="11"/>
        <v>12.5</v>
      </c>
      <c r="BCY6">
        <f t="shared" si="11"/>
        <v>12.5</v>
      </c>
      <c r="BCZ6">
        <f t="shared" si="11"/>
        <v>12.5</v>
      </c>
      <c r="BDA6">
        <f t="shared" si="11"/>
        <v>25</v>
      </c>
      <c r="BDB6">
        <f t="shared" si="11"/>
        <v>25</v>
      </c>
      <c r="BDC6">
        <f t="shared" si="11"/>
        <v>25</v>
      </c>
      <c r="BDD6">
        <f t="shared" si="11"/>
        <v>25</v>
      </c>
      <c r="BDE6">
        <f t="shared" si="11"/>
        <v>25</v>
      </c>
      <c r="BDF6">
        <f t="shared" si="11"/>
        <v>25</v>
      </c>
      <c r="BDG6">
        <f t="shared" si="11"/>
        <v>50</v>
      </c>
      <c r="BDH6">
        <f t="shared" si="11"/>
        <v>25</v>
      </c>
      <c r="BDI6">
        <f t="shared" si="11"/>
        <v>0</v>
      </c>
      <c r="BDJ6">
        <f t="shared" si="11"/>
        <v>0</v>
      </c>
      <c r="BDK6">
        <f t="shared" si="11"/>
        <v>0</v>
      </c>
      <c r="BDL6">
        <f t="shared" si="11"/>
        <v>0</v>
      </c>
      <c r="BDM6">
        <f t="shared" si="11"/>
        <v>0</v>
      </c>
      <c r="BDN6">
        <f t="shared" si="11"/>
        <v>0</v>
      </c>
      <c r="BDO6">
        <f t="shared" si="11"/>
        <v>0</v>
      </c>
      <c r="BDP6">
        <f t="shared" si="11"/>
        <v>0</v>
      </c>
      <c r="BDQ6">
        <f t="shared" si="11"/>
        <v>0</v>
      </c>
      <c r="BDR6">
        <f t="shared" si="11"/>
        <v>0</v>
      </c>
      <c r="BDS6">
        <f t="shared" ref="BDS6:BGD9" si="12">ACQ6</f>
        <v>0</v>
      </c>
      <c r="BDT6">
        <f t="shared" si="12"/>
        <v>12.5</v>
      </c>
      <c r="BDU6">
        <f t="shared" si="12"/>
        <v>12.5</v>
      </c>
      <c r="BDV6">
        <f t="shared" si="12"/>
        <v>12.5</v>
      </c>
      <c r="BDW6">
        <f t="shared" si="12"/>
        <v>25</v>
      </c>
      <c r="BDX6">
        <f t="shared" si="12"/>
        <v>25</v>
      </c>
      <c r="BDY6">
        <f t="shared" si="12"/>
        <v>25</v>
      </c>
      <c r="BDZ6">
        <f t="shared" si="12"/>
        <v>25</v>
      </c>
      <c r="BEA6">
        <f t="shared" si="12"/>
        <v>25</v>
      </c>
      <c r="BEB6">
        <f t="shared" si="12"/>
        <v>25</v>
      </c>
      <c r="BEC6">
        <f t="shared" si="12"/>
        <v>50</v>
      </c>
      <c r="BED6">
        <f t="shared" si="12"/>
        <v>25</v>
      </c>
      <c r="BEE6">
        <f t="shared" si="12"/>
        <v>0</v>
      </c>
      <c r="BEF6">
        <f t="shared" si="12"/>
        <v>0</v>
      </c>
      <c r="BEG6">
        <f t="shared" si="12"/>
        <v>0</v>
      </c>
      <c r="BEH6">
        <f t="shared" si="12"/>
        <v>0</v>
      </c>
      <c r="BEI6">
        <f t="shared" si="12"/>
        <v>0</v>
      </c>
      <c r="BEJ6">
        <f t="shared" si="12"/>
        <v>0</v>
      </c>
      <c r="BEK6">
        <f t="shared" si="12"/>
        <v>0</v>
      </c>
      <c r="BEL6">
        <f t="shared" si="12"/>
        <v>0</v>
      </c>
      <c r="BEM6">
        <f t="shared" si="12"/>
        <v>0</v>
      </c>
      <c r="BEN6">
        <f t="shared" si="12"/>
        <v>0</v>
      </c>
      <c r="BEO6">
        <f t="shared" si="12"/>
        <v>0</v>
      </c>
      <c r="BEP6">
        <f t="shared" si="12"/>
        <v>12.5</v>
      </c>
      <c r="BEQ6">
        <f t="shared" si="12"/>
        <v>12.5</v>
      </c>
      <c r="BER6">
        <f t="shared" si="12"/>
        <v>12.5</v>
      </c>
      <c r="BES6">
        <f t="shared" si="12"/>
        <v>25</v>
      </c>
      <c r="BET6">
        <f t="shared" si="12"/>
        <v>25</v>
      </c>
      <c r="BEU6">
        <f t="shared" si="12"/>
        <v>25</v>
      </c>
      <c r="BEV6">
        <f t="shared" si="12"/>
        <v>25</v>
      </c>
      <c r="BEW6">
        <f t="shared" si="12"/>
        <v>25</v>
      </c>
      <c r="BEX6">
        <f t="shared" si="12"/>
        <v>25</v>
      </c>
      <c r="BEY6">
        <f t="shared" si="12"/>
        <v>50</v>
      </c>
      <c r="BEZ6">
        <f t="shared" si="12"/>
        <v>25</v>
      </c>
      <c r="BFA6">
        <f t="shared" si="12"/>
        <v>0</v>
      </c>
      <c r="BFB6">
        <f t="shared" si="12"/>
        <v>0</v>
      </c>
      <c r="BFC6">
        <f t="shared" si="12"/>
        <v>0</v>
      </c>
      <c r="BFD6">
        <f t="shared" si="12"/>
        <v>0</v>
      </c>
      <c r="BFE6">
        <f t="shared" si="12"/>
        <v>0</v>
      </c>
      <c r="BFF6">
        <f t="shared" si="12"/>
        <v>0</v>
      </c>
      <c r="BFG6">
        <f t="shared" si="12"/>
        <v>0</v>
      </c>
      <c r="BFH6">
        <f t="shared" si="12"/>
        <v>0</v>
      </c>
      <c r="BFI6">
        <f t="shared" si="12"/>
        <v>0</v>
      </c>
      <c r="BFJ6">
        <f t="shared" si="12"/>
        <v>0</v>
      </c>
      <c r="BFK6">
        <f t="shared" si="12"/>
        <v>0</v>
      </c>
      <c r="BFL6">
        <f t="shared" si="12"/>
        <v>12.5</v>
      </c>
      <c r="BFM6">
        <f t="shared" si="12"/>
        <v>12.5</v>
      </c>
      <c r="BFN6">
        <f t="shared" si="12"/>
        <v>12.5</v>
      </c>
      <c r="BFO6">
        <f t="shared" si="12"/>
        <v>25</v>
      </c>
      <c r="BFP6">
        <f t="shared" si="12"/>
        <v>25</v>
      </c>
      <c r="BFQ6">
        <f t="shared" si="12"/>
        <v>25</v>
      </c>
      <c r="BFR6">
        <f t="shared" si="12"/>
        <v>25</v>
      </c>
      <c r="BFS6">
        <f t="shared" si="12"/>
        <v>25</v>
      </c>
      <c r="BFT6">
        <f t="shared" si="12"/>
        <v>25</v>
      </c>
      <c r="BFU6">
        <f t="shared" si="12"/>
        <v>50</v>
      </c>
      <c r="BFV6">
        <f t="shared" si="12"/>
        <v>25</v>
      </c>
      <c r="BFW6">
        <f t="shared" si="12"/>
        <v>0</v>
      </c>
      <c r="BFX6">
        <f t="shared" si="12"/>
        <v>0</v>
      </c>
      <c r="BFY6">
        <f t="shared" si="12"/>
        <v>0</v>
      </c>
      <c r="BFZ6">
        <f t="shared" si="12"/>
        <v>0</v>
      </c>
      <c r="BGA6">
        <f t="shared" si="12"/>
        <v>0</v>
      </c>
      <c r="BGB6">
        <f t="shared" si="12"/>
        <v>0</v>
      </c>
      <c r="BGC6">
        <f t="shared" si="12"/>
        <v>0</v>
      </c>
      <c r="BGD6">
        <f t="shared" si="12"/>
        <v>0</v>
      </c>
      <c r="BGE6">
        <f t="shared" ref="BGE6:BIP9" si="13">AFC6</f>
        <v>0</v>
      </c>
      <c r="BGF6">
        <f t="shared" si="13"/>
        <v>0</v>
      </c>
      <c r="BGG6">
        <f t="shared" si="13"/>
        <v>0</v>
      </c>
      <c r="BGH6">
        <f t="shared" si="13"/>
        <v>12.5</v>
      </c>
      <c r="BGI6">
        <f t="shared" si="13"/>
        <v>12.5</v>
      </c>
      <c r="BGJ6">
        <f t="shared" si="13"/>
        <v>12.5</v>
      </c>
      <c r="BGK6">
        <f t="shared" si="13"/>
        <v>25</v>
      </c>
      <c r="BGL6">
        <f t="shared" si="13"/>
        <v>25</v>
      </c>
      <c r="BGM6">
        <f t="shared" si="13"/>
        <v>25</v>
      </c>
      <c r="BGN6">
        <f t="shared" si="13"/>
        <v>25</v>
      </c>
      <c r="BGO6">
        <f t="shared" si="13"/>
        <v>25</v>
      </c>
      <c r="BGP6">
        <f t="shared" si="13"/>
        <v>25</v>
      </c>
      <c r="BGQ6">
        <f t="shared" si="13"/>
        <v>50</v>
      </c>
      <c r="BGR6">
        <f t="shared" si="13"/>
        <v>25</v>
      </c>
      <c r="BGS6">
        <f t="shared" si="13"/>
        <v>0</v>
      </c>
      <c r="BGT6">
        <f t="shared" si="13"/>
        <v>0</v>
      </c>
      <c r="BGU6">
        <f t="shared" si="13"/>
        <v>0</v>
      </c>
      <c r="BGV6">
        <f t="shared" si="13"/>
        <v>0</v>
      </c>
      <c r="BGW6">
        <f t="shared" si="13"/>
        <v>0</v>
      </c>
      <c r="BGX6">
        <f t="shared" si="13"/>
        <v>0</v>
      </c>
      <c r="BGY6">
        <f t="shared" si="13"/>
        <v>0</v>
      </c>
      <c r="BGZ6">
        <f t="shared" si="13"/>
        <v>0</v>
      </c>
      <c r="BHA6">
        <f t="shared" si="13"/>
        <v>0</v>
      </c>
      <c r="BHB6">
        <f t="shared" si="13"/>
        <v>0</v>
      </c>
      <c r="BHC6">
        <f t="shared" si="13"/>
        <v>0</v>
      </c>
      <c r="BHD6">
        <f t="shared" si="13"/>
        <v>12.5</v>
      </c>
      <c r="BHE6">
        <f t="shared" si="13"/>
        <v>12.5</v>
      </c>
      <c r="BHF6">
        <f t="shared" si="13"/>
        <v>12.5</v>
      </c>
      <c r="BHG6">
        <f t="shared" si="13"/>
        <v>25</v>
      </c>
      <c r="BHH6">
        <f t="shared" si="13"/>
        <v>25</v>
      </c>
      <c r="BHI6">
        <f t="shared" si="13"/>
        <v>25</v>
      </c>
      <c r="BHJ6">
        <f t="shared" si="13"/>
        <v>25</v>
      </c>
      <c r="BHK6">
        <f t="shared" si="13"/>
        <v>25</v>
      </c>
      <c r="BHL6">
        <f t="shared" si="13"/>
        <v>25</v>
      </c>
      <c r="BHM6">
        <f t="shared" si="13"/>
        <v>50</v>
      </c>
      <c r="BHN6">
        <f t="shared" si="13"/>
        <v>25</v>
      </c>
      <c r="BHO6">
        <f t="shared" si="13"/>
        <v>0</v>
      </c>
      <c r="BHP6">
        <f t="shared" si="13"/>
        <v>0</v>
      </c>
      <c r="BHQ6">
        <f t="shared" si="13"/>
        <v>0</v>
      </c>
      <c r="BHR6">
        <f t="shared" si="13"/>
        <v>0</v>
      </c>
      <c r="BHS6">
        <f t="shared" si="13"/>
        <v>0</v>
      </c>
      <c r="BHT6">
        <f t="shared" si="13"/>
        <v>0</v>
      </c>
      <c r="BHU6">
        <f t="shared" si="13"/>
        <v>0</v>
      </c>
      <c r="BHV6">
        <f t="shared" si="13"/>
        <v>0</v>
      </c>
      <c r="BHW6">
        <f t="shared" si="13"/>
        <v>0</v>
      </c>
      <c r="BHX6">
        <f t="shared" si="13"/>
        <v>0</v>
      </c>
      <c r="BHY6">
        <f t="shared" si="13"/>
        <v>0</v>
      </c>
      <c r="BHZ6">
        <f t="shared" si="13"/>
        <v>12.5</v>
      </c>
      <c r="BIA6">
        <f t="shared" si="13"/>
        <v>12.5</v>
      </c>
      <c r="BIB6">
        <f t="shared" si="13"/>
        <v>12.5</v>
      </c>
      <c r="BIC6">
        <f t="shared" si="13"/>
        <v>25</v>
      </c>
      <c r="BID6">
        <f t="shared" si="13"/>
        <v>25</v>
      </c>
      <c r="BIE6">
        <f t="shared" si="13"/>
        <v>25</v>
      </c>
      <c r="BIF6">
        <f t="shared" si="13"/>
        <v>25</v>
      </c>
      <c r="BIG6">
        <f t="shared" si="13"/>
        <v>25</v>
      </c>
      <c r="BIH6">
        <f t="shared" si="13"/>
        <v>25</v>
      </c>
      <c r="BII6">
        <f t="shared" si="13"/>
        <v>50</v>
      </c>
      <c r="BIJ6">
        <f t="shared" si="13"/>
        <v>25</v>
      </c>
      <c r="BIK6">
        <f t="shared" si="13"/>
        <v>0</v>
      </c>
      <c r="BIL6">
        <f t="shared" si="13"/>
        <v>0</v>
      </c>
      <c r="BIM6">
        <f t="shared" si="13"/>
        <v>0</v>
      </c>
      <c r="BIN6">
        <f t="shared" si="13"/>
        <v>0</v>
      </c>
      <c r="BIO6">
        <f t="shared" si="13"/>
        <v>0</v>
      </c>
      <c r="BIP6">
        <f t="shared" si="13"/>
        <v>0</v>
      </c>
      <c r="BIQ6">
        <f t="shared" ref="BIQ6:BLB9" si="14">AHO6</f>
        <v>0</v>
      </c>
      <c r="BIR6">
        <f t="shared" si="14"/>
        <v>0</v>
      </c>
      <c r="BIS6">
        <f t="shared" si="14"/>
        <v>0</v>
      </c>
      <c r="BIT6">
        <f t="shared" si="14"/>
        <v>0</v>
      </c>
      <c r="BIU6">
        <f t="shared" si="14"/>
        <v>0</v>
      </c>
      <c r="BIV6">
        <f t="shared" si="14"/>
        <v>12.5</v>
      </c>
      <c r="BIW6">
        <f t="shared" si="14"/>
        <v>12.5</v>
      </c>
      <c r="BIX6">
        <f t="shared" si="14"/>
        <v>12.5</v>
      </c>
      <c r="BIY6">
        <f t="shared" si="14"/>
        <v>25</v>
      </c>
      <c r="BIZ6">
        <f t="shared" si="14"/>
        <v>25</v>
      </c>
      <c r="BJA6">
        <f t="shared" si="14"/>
        <v>25</v>
      </c>
      <c r="BJB6">
        <f t="shared" si="14"/>
        <v>25</v>
      </c>
      <c r="BJC6">
        <f t="shared" si="14"/>
        <v>25</v>
      </c>
      <c r="BJD6">
        <f t="shared" si="14"/>
        <v>25</v>
      </c>
      <c r="BJE6">
        <f t="shared" si="14"/>
        <v>50</v>
      </c>
      <c r="BJF6">
        <f t="shared" si="14"/>
        <v>25</v>
      </c>
      <c r="BJG6">
        <f t="shared" si="14"/>
        <v>0</v>
      </c>
      <c r="BJH6">
        <f t="shared" si="14"/>
        <v>0</v>
      </c>
      <c r="BJI6">
        <f t="shared" si="14"/>
        <v>0</v>
      </c>
      <c r="BJJ6">
        <f t="shared" si="14"/>
        <v>0</v>
      </c>
      <c r="BJK6">
        <f t="shared" si="14"/>
        <v>0</v>
      </c>
      <c r="BJL6">
        <f t="shared" si="14"/>
        <v>0</v>
      </c>
      <c r="BJM6">
        <f t="shared" si="14"/>
        <v>0</v>
      </c>
      <c r="BJN6">
        <f t="shared" si="14"/>
        <v>0</v>
      </c>
      <c r="BJO6">
        <f t="shared" si="14"/>
        <v>0</v>
      </c>
      <c r="BJP6">
        <f t="shared" si="14"/>
        <v>0</v>
      </c>
      <c r="BJQ6">
        <f t="shared" si="14"/>
        <v>0</v>
      </c>
      <c r="BJR6">
        <f t="shared" si="14"/>
        <v>12.5</v>
      </c>
      <c r="BJS6">
        <f t="shared" si="14"/>
        <v>12.5</v>
      </c>
      <c r="BJT6">
        <f t="shared" si="14"/>
        <v>12.5</v>
      </c>
      <c r="BJU6">
        <f t="shared" si="14"/>
        <v>25</v>
      </c>
      <c r="BJV6">
        <f t="shared" si="14"/>
        <v>25</v>
      </c>
      <c r="BJW6">
        <f t="shared" si="14"/>
        <v>25</v>
      </c>
      <c r="BJX6">
        <f t="shared" si="14"/>
        <v>25</v>
      </c>
      <c r="BJY6">
        <f t="shared" si="14"/>
        <v>25</v>
      </c>
      <c r="BJZ6">
        <f t="shared" si="14"/>
        <v>25</v>
      </c>
      <c r="BKA6">
        <f t="shared" si="14"/>
        <v>50</v>
      </c>
      <c r="BKB6">
        <f t="shared" si="14"/>
        <v>25</v>
      </c>
      <c r="BKC6">
        <f t="shared" si="14"/>
        <v>0</v>
      </c>
      <c r="BKD6">
        <f t="shared" si="14"/>
        <v>0</v>
      </c>
      <c r="BKE6">
        <f t="shared" si="14"/>
        <v>0</v>
      </c>
      <c r="BKF6">
        <f t="shared" si="14"/>
        <v>0</v>
      </c>
      <c r="BKG6">
        <f t="shared" si="14"/>
        <v>0</v>
      </c>
      <c r="BKH6">
        <f t="shared" si="14"/>
        <v>0</v>
      </c>
      <c r="BKI6">
        <f t="shared" si="14"/>
        <v>0</v>
      </c>
      <c r="BKJ6">
        <f t="shared" si="14"/>
        <v>0</v>
      </c>
      <c r="BKK6">
        <f t="shared" si="14"/>
        <v>0</v>
      </c>
      <c r="BKL6">
        <f t="shared" si="14"/>
        <v>0</v>
      </c>
      <c r="BKM6">
        <f t="shared" si="14"/>
        <v>0</v>
      </c>
      <c r="BKN6">
        <f t="shared" si="14"/>
        <v>12.5</v>
      </c>
      <c r="BKO6">
        <f t="shared" si="14"/>
        <v>12.5</v>
      </c>
      <c r="BKP6">
        <f t="shared" si="14"/>
        <v>12.5</v>
      </c>
      <c r="BKQ6">
        <f t="shared" si="14"/>
        <v>25</v>
      </c>
      <c r="BKR6">
        <f t="shared" si="14"/>
        <v>25</v>
      </c>
      <c r="BKS6">
        <f t="shared" si="14"/>
        <v>25</v>
      </c>
      <c r="BKT6">
        <f t="shared" si="14"/>
        <v>25</v>
      </c>
      <c r="BKU6">
        <f t="shared" si="14"/>
        <v>25</v>
      </c>
      <c r="BKV6">
        <f t="shared" si="14"/>
        <v>25</v>
      </c>
      <c r="BKW6">
        <f t="shared" si="14"/>
        <v>50</v>
      </c>
      <c r="BKX6">
        <f t="shared" si="14"/>
        <v>25</v>
      </c>
      <c r="BKY6">
        <f t="shared" si="14"/>
        <v>0</v>
      </c>
      <c r="BKZ6">
        <f t="shared" si="14"/>
        <v>0</v>
      </c>
      <c r="BLA6">
        <f t="shared" si="14"/>
        <v>0</v>
      </c>
      <c r="BLB6">
        <f t="shared" si="14"/>
        <v>0</v>
      </c>
      <c r="BLC6">
        <f t="shared" ref="BLC6:BNN9" si="15">AKA6</f>
        <v>0</v>
      </c>
      <c r="BLD6">
        <f t="shared" si="15"/>
        <v>0</v>
      </c>
      <c r="BLE6">
        <f t="shared" si="15"/>
        <v>0</v>
      </c>
      <c r="BLF6">
        <f t="shared" si="15"/>
        <v>0</v>
      </c>
      <c r="BLG6">
        <f t="shared" si="15"/>
        <v>0</v>
      </c>
      <c r="BLH6">
        <f t="shared" si="15"/>
        <v>0</v>
      </c>
      <c r="BLI6">
        <f t="shared" si="15"/>
        <v>0</v>
      </c>
      <c r="BLJ6">
        <f t="shared" si="15"/>
        <v>12.5</v>
      </c>
      <c r="BLK6">
        <f t="shared" si="15"/>
        <v>12.5</v>
      </c>
      <c r="BLL6">
        <f t="shared" si="15"/>
        <v>12.5</v>
      </c>
      <c r="BLM6">
        <f t="shared" si="15"/>
        <v>25</v>
      </c>
      <c r="BLN6">
        <f t="shared" si="15"/>
        <v>25</v>
      </c>
      <c r="BLO6">
        <f t="shared" si="15"/>
        <v>25</v>
      </c>
      <c r="BLP6">
        <f t="shared" si="15"/>
        <v>25</v>
      </c>
      <c r="BLQ6">
        <f t="shared" si="15"/>
        <v>25</v>
      </c>
      <c r="BLR6">
        <f t="shared" si="15"/>
        <v>25</v>
      </c>
      <c r="BLS6">
        <f t="shared" si="15"/>
        <v>50</v>
      </c>
      <c r="BLT6">
        <f t="shared" si="15"/>
        <v>25</v>
      </c>
      <c r="BLU6">
        <f t="shared" si="15"/>
        <v>0</v>
      </c>
      <c r="BLV6">
        <f t="shared" si="15"/>
        <v>0</v>
      </c>
      <c r="BLW6">
        <f t="shared" si="15"/>
        <v>0</v>
      </c>
      <c r="BLX6">
        <f t="shared" si="15"/>
        <v>0</v>
      </c>
      <c r="BLY6">
        <f t="shared" si="15"/>
        <v>0</v>
      </c>
      <c r="BLZ6">
        <f t="shared" si="15"/>
        <v>0</v>
      </c>
      <c r="BMA6">
        <f t="shared" si="15"/>
        <v>0</v>
      </c>
      <c r="BMB6">
        <f t="shared" si="15"/>
        <v>0</v>
      </c>
      <c r="BMC6">
        <f t="shared" si="15"/>
        <v>0</v>
      </c>
      <c r="BMD6">
        <f t="shared" si="15"/>
        <v>0</v>
      </c>
      <c r="BME6">
        <f t="shared" si="15"/>
        <v>0</v>
      </c>
      <c r="BMF6">
        <f t="shared" si="15"/>
        <v>12.5</v>
      </c>
      <c r="BMG6">
        <f t="shared" si="15"/>
        <v>12.5</v>
      </c>
      <c r="BMH6">
        <f t="shared" si="15"/>
        <v>12.5</v>
      </c>
      <c r="BMI6">
        <f t="shared" si="15"/>
        <v>25</v>
      </c>
      <c r="BMJ6">
        <f t="shared" si="15"/>
        <v>25</v>
      </c>
      <c r="BMK6">
        <f t="shared" si="15"/>
        <v>25</v>
      </c>
      <c r="BML6">
        <f t="shared" si="15"/>
        <v>25</v>
      </c>
      <c r="BMM6">
        <f t="shared" si="15"/>
        <v>25</v>
      </c>
      <c r="BMN6">
        <f t="shared" si="15"/>
        <v>25</v>
      </c>
      <c r="BMO6">
        <f t="shared" si="15"/>
        <v>50</v>
      </c>
      <c r="BMP6">
        <f t="shared" si="15"/>
        <v>25</v>
      </c>
      <c r="BMQ6">
        <f t="shared" si="15"/>
        <v>0</v>
      </c>
      <c r="BMR6">
        <f t="shared" si="15"/>
        <v>0</v>
      </c>
      <c r="BMS6">
        <f t="shared" si="15"/>
        <v>0</v>
      </c>
      <c r="BMT6">
        <f t="shared" si="15"/>
        <v>0</v>
      </c>
      <c r="BMU6">
        <f t="shared" si="15"/>
        <v>0</v>
      </c>
      <c r="BMV6">
        <f t="shared" si="15"/>
        <v>0</v>
      </c>
      <c r="BMW6">
        <f t="shared" si="15"/>
        <v>0</v>
      </c>
      <c r="BMX6">
        <f t="shared" si="15"/>
        <v>0</v>
      </c>
      <c r="BMY6">
        <f t="shared" si="15"/>
        <v>0</v>
      </c>
      <c r="BMZ6">
        <f t="shared" si="15"/>
        <v>0</v>
      </c>
      <c r="BNA6">
        <f t="shared" si="15"/>
        <v>0</v>
      </c>
      <c r="BNB6">
        <f t="shared" si="15"/>
        <v>12.5</v>
      </c>
      <c r="BNC6">
        <f t="shared" si="15"/>
        <v>12.5</v>
      </c>
      <c r="BND6">
        <f t="shared" si="15"/>
        <v>12.5</v>
      </c>
      <c r="BNE6">
        <f t="shared" si="15"/>
        <v>25</v>
      </c>
      <c r="BNF6">
        <f t="shared" si="15"/>
        <v>25</v>
      </c>
      <c r="BNG6">
        <f t="shared" si="15"/>
        <v>25</v>
      </c>
      <c r="BNH6">
        <f t="shared" si="15"/>
        <v>25</v>
      </c>
      <c r="BNI6">
        <f t="shared" si="15"/>
        <v>25</v>
      </c>
      <c r="BNJ6">
        <f t="shared" si="15"/>
        <v>25</v>
      </c>
      <c r="BNK6">
        <f t="shared" si="15"/>
        <v>50</v>
      </c>
      <c r="BNL6">
        <f t="shared" si="15"/>
        <v>25</v>
      </c>
      <c r="BNM6">
        <f t="shared" si="15"/>
        <v>0</v>
      </c>
      <c r="BNN6">
        <f t="shared" si="15"/>
        <v>0</v>
      </c>
      <c r="BNO6">
        <f t="shared" ref="BNO6:BPZ9" si="16">AMM6</f>
        <v>0</v>
      </c>
      <c r="BNP6">
        <f t="shared" si="16"/>
        <v>0</v>
      </c>
      <c r="BNQ6">
        <f t="shared" si="16"/>
        <v>0</v>
      </c>
      <c r="BNR6">
        <f t="shared" si="16"/>
        <v>0</v>
      </c>
      <c r="BNS6">
        <f t="shared" si="16"/>
        <v>0</v>
      </c>
      <c r="BNT6">
        <f t="shared" si="16"/>
        <v>0</v>
      </c>
      <c r="BNU6">
        <f t="shared" si="16"/>
        <v>0</v>
      </c>
      <c r="BNV6">
        <f t="shared" si="16"/>
        <v>0</v>
      </c>
      <c r="BNW6">
        <f t="shared" si="16"/>
        <v>0</v>
      </c>
      <c r="BNX6">
        <f t="shared" si="16"/>
        <v>12.5</v>
      </c>
      <c r="BNY6">
        <f t="shared" si="16"/>
        <v>12.5</v>
      </c>
      <c r="BNZ6">
        <f t="shared" si="16"/>
        <v>12.5</v>
      </c>
      <c r="BOA6">
        <f t="shared" si="16"/>
        <v>25</v>
      </c>
      <c r="BOB6">
        <f t="shared" si="16"/>
        <v>25</v>
      </c>
      <c r="BOC6">
        <f t="shared" si="16"/>
        <v>25</v>
      </c>
      <c r="BOD6">
        <f t="shared" si="16"/>
        <v>25</v>
      </c>
      <c r="BOE6">
        <f t="shared" si="16"/>
        <v>25</v>
      </c>
      <c r="BOF6">
        <f t="shared" si="16"/>
        <v>25</v>
      </c>
      <c r="BOG6">
        <f t="shared" si="16"/>
        <v>50</v>
      </c>
      <c r="BOH6">
        <f t="shared" si="16"/>
        <v>25</v>
      </c>
      <c r="BOI6">
        <f t="shared" si="16"/>
        <v>0</v>
      </c>
      <c r="BOJ6">
        <f t="shared" si="16"/>
        <v>0</v>
      </c>
      <c r="BOK6">
        <f t="shared" si="16"/>
        <v>0</v>
      </c>
      <c r="BOL6">
        <f t="shared" si="16"/>
        <v>0</v>
      </c>
      <c r="BOM6">
        <f t="shared" si="16"/>
        <v>0</v>
      </c>
      <c r="BON6">
        <f t="shared" si="16"/>
        <v>0</v>
      </c>
      <c r="BOO6">
        <f t="shared" si="16"/>
        <v>0</v>
      </c>
      <c r="BOP6">
        <f t="shared" si="16"/>
        <v>0</v>
      </c>
      <c r="BOQ6">
        <f t="shared" si="16"/>
        <v>0</v>
      </c>
      <c r="BOR6">
        <f t="shared" si="16"/>
        <v>0</v>
      </c>
      <c r="BOS6">
        <f t="shared" si="16"/>
        <v>0</v>
      </c>
      <c r="BOT6">
        <f t="shared" si="16"/>
        <v>12.5</v>
      </c>
      <c r="BOU6">
        <f t="shared" si="16"/>
        <v>12.5</v>
      </c>
      <c r="BOV6">
        <f t="shared" si="16"/>
        <v>12.5</v>
      </c>
      <c r="BOW6">
        <f t="shared" si="16"/>
        <v>25</v>
      </c>
      <c r="BOX6">
        <f t="shared" si="16"/>
        <v>25</v>
      </c>
      <c r="BOY6">
        <f t="shared" si="16"/>
        <v>25</v>
      </c>
      <c r="BOZ6">
        <f t="shared" si="16"/>
        <v>25</v>
      </c>
      <c r="BPA6">
        <f t="shared" si="16"/>
        <v>25</v>
      </c>
      <c r="BPB6">
        <f t="shared" si="16"/>
        <v>25</v>
      </c>
      <c r="BPC6">
        <f t="shared" si="16"/>
        <v>50</v>
      </c>
      <c r="BPD6">
        <f t="shared" si="16"/>
        <v>25</v>
      </c>
      <c r="BPE6">
        <f t="shared" si="16"/>
        <v>0</v>
      </c>
      <c r="BPF6">
        <f t="shared" si="16"/>
        <v>0</v>
      </c>
      <c r="BPG6">
        <f t="shared" si="16"/>
        <v>0</v>
      </c>
      <c r="BPH6">
        <f t="shared" si="16"/>
        <v>0</v>
      </c>
      <c r="BPI6">
        <f t="shared" si="16"/>
        <v>0</v>
      </c>
      <c r="BPJ6">
        <f t="shared" si="16"/>
        <v>0</v>
      </c>
      <c r="BPK6">
        <f t="shared" si="16"/>
        <v>0</v>
      </c>
      <c r="BPL6">
        <f t="shared" si="16"/>
        <v>0</v>
      </c>
      <c r="BPM6">
        <f t="shared" si="16"/>
        <v>0</v>
      </c>
      <c r="BPN6">
        <f t="shared" si="16"/>
        <v>0</v>
      </c>
      <c r="BPO6">
        <f t="shared" si="16"/>
        <v>0</v>
      </c>
      <c r="BPP6">
        <f t="shared" si="16"/>
        <v>12.5</v>
      </c>
      <c r="BPQ6">
        <f t="shared" si="16"/>
        <v>12.5</v>
      </c>
      <c r="BPR6">
        <f t="shared" si="16"/>
        <v>12.5</v>
      </c>
      <c r="BPS6">
        <f t="shared" si="16"/>
        <v>25</v>
      </c>
      <c r="BPT6">
        <f t="shared" si="16"/>
        <v>25</v>
      </c>
      <c r="BPU6">
        <f t="shared" si="16"/>
        <v>25</v>
      </c>
      <c r="BPV6">
        <f t="shared" si="16"/>
        <v>25</v>
      </c>
      <c r="BPW6">
        <f t="shared" si="16"/>
        <v>25</v>
      </c>
      <c r="BPX6">
        <f t="shared" si="16"/>
        <v>25</v>
      </c>
      <c r="BPY6">
        <f t="shared" si="16"/>
        <v>50</v>
      </c>
      <c r="BPZ6">
        <f t="shared" si="16"/>
        <v>25</v>
      </c>
      <c r="BQA6">
        <f t="shared" ref="BQA6:BSL9" si="17">AOY6</f>
        <v>0</v>
      </c>
      <c r="BQB6">
        <f t="shared" si="17"/>
        <v>0</v>
      </c>
      <c r="BQC6">
        <f t="shared" si="17"/>
        <v>0</v>
      </c>
      <c r="BQD6">
        <f t="shared" si="17"/>
        <v>0</v>
      </c>
      <c r="BQE6">
        <f t="shared" si="17"/>
        <v>0</v>
      </c>
      <c r="BQF6">
        <f t="shared" si="17"/>
        <v>0</v>
      </c>
      <c r="BQG6">
        <f t="shared" si="17"/>
        <v>0</v>
      </c>
      <c r="BQH6">
        <f t="shared" si="17"/>
        <v>0</v>
      </c>
      <c r="BQI6">
        <f t="shared" si="17"/>
        <v>0</v>
      </c>
      <c r="BQJ6">
        <f t="shared" si="17"/>
        <v>0</v>
      </c>
      <c r="BQK6">
        <f t="shared" si="17"/>
        <v>0</v>
      </c>
      <c r="BQL6">
        <f t="shared" si="17"/>
        <v>12.5</v>
      </c>
      <c r="BQM6">
        <f t="shared" si="17"/>
        <v>12.5</v>
      </c>
      <c r="BQN6">
        <f t="shared" si="17"/>
        <v>12.5</v>
      </c>
      <c r="BQO6">
        <f t="shared" si="17"/>
        <v>25</v>
      </c>
      <c r="BQP6">
        <f t="shared" si="17"/>
        <v>25</v>
      </c>
      <c r="BQQ6">
        <f t="shared" si="17"/>
        <v>25</v>
      </c>
      <c r="BQR6">
        <f t="shared" si="17"/>
        <v>25</v>
      </c>
      <c r="BQS6">
        <f t="shared" si="17"/>
        <v>25</v>
      </c>
      <c r="BQT6">
        <f t="shared" si="17"/>
        <v>25</v>
      </c>
      <c r="BQU6">
        <f t="shared" si="17"/>
        <v>50</v>
      </c>
      <c r="BQV6">
        <f t="shared" si="17"/>
        <v>25</v>
      </c>
      <c r="BQW6">
        <f t="shared" si="17"/>
        <v>0</v>
      </c>
      <c r="BQX6">
        <f t="shared" si="17"/>
        <v>0</v>
      </c>
      <c r="BQY6">
        <f t="shared" si="17"/>
        <v>0</v>
      </c>
      <c r="BQZ6">
        <f t="shared" si="17"/>
        <v>0</v>
      </c>
      <c r="BRA6">
        <f t="shared" si="17"/>
        <v>0</v>
      </c>
      <c r="BRB6">
        <f t="shared" si="17"/>
        <v>0</v>
      </c>
      <c r="BRC6">
        <f t="shared" si="17"/>
        <v>0</v>
      </c>
      <c r="BRD6">
        <f t="shared" si="17"/>
        <v>0</v>
      </c>
      <c r="BRE6">
        <f t="shared" si="17"/>
        <v>0</v>
      </c>
      <c r="BRF6">
        <f t="shared" si="17"/>
        <v>0</v>
      </c>
      <c r="BRG6">
        <f t="shared" si="17"/>
        <v>0</v>
      </c>
      <c r="BRH6">
        <f t="shared" si="17"/>
        <v>12.5</v>
      </c>
      <c r="BRI6">
        <f t="shared" si="17"/>
        <v>12.5</v>
      </c>
      <c r="BRJ6">
        <f t="shared" si="17"/>
        <v>12.5</v>
      </c>
      <c r="BRK6">
        <f t="shared" si="17"/>
        <v>25</v>
      </c>
      <c r="BRL6">
        <f t="shared" si="17"/>
        <v>25</v>
      </c>
      <c r="BRM6">
        <f t="shared" si="17"/>
        <v>25</v>
      </c>
      <c r="BRN6">
        <f t="shared" si="17"/>
        <v>25</v>
      </c>
      <c r="BRO6">
        <f t="shared" si="17"/>
        <v>25</v>
      </c>
      <c r="BRP6">
        <f t="shared" si="17"/>
        <v>25</v>
      </c>
      <c r="BRQ6">
        <f t="shared" si="17"/>
        <v>50</v>
      </c>
      <c r="BRR6">
        <f t="shared" si="17"/>
        <v>25</v>
      </c>
      <c r="BRS6">
        <f t="shared" si="17"/>
        <v>0</v>
      </c>
      <c r="BRT6">
        <f t="shared" si="17"/>
        <v>0</v>
      </c>
      <c r="BRU6">
        <f t="shared" si="17"/>
        <v>0</v>
      </c>
      <c r="BRV6">
        <f t="shared" si="17"/>
        <v>0</v>
      </c>
      <c r="BRW6">
        <f t="shared" si="17"/>
        <v>0</v>
      </c>
      <c r="BRX6">
        <f t="shared" si="17"/>
        <v>0</v>
      </c>
      <c r="BRY6">
        <f t="shared" si="17"/>
        <v>0</v>
      </c>
      <c r="BRZ6">
        <f t="shared" si="17"/>
        <v>0</v>
      </c>
      <c r="BSA6">
        <f t="shared" si="17"/>
        <v>0</v>
      </c>
      <c r="BSB6">
        <f t="shared" si="17"/>
        <v>0</v>
      </c>
      <c r="BSC6">
        <f t="shared" si="17"/>
        <v>0</v>
      </c>
      <c r="BSD6">
        <f t="shared" si="17"/>
        <v>12.5</v>
      </c>
      <c r="BSE6">
        <f t="shared" si="17"/>
        <v>12.5</v>
      </c>
      <c r="BSF6">
        <f t="shared" si="17"/>
        <v>12.5</v>
      </c>
      <c r="BSG6">
        <f t="shared" si="17"/>
        <v>25</v>
      </c>
      <c r="BSH6">
        <f t="shared" si="17"/>
        <v>25</v>
      </c>
      <c r="BSI6">
        <f t="shared" si="17"/>
        <v>25</v>
      </c>
      <c r="BSJ6">
        <f t="shared" si="17"/>
        <v>25</v>
      </c>
      <c r="BSK6">
        <f t="shared" si="17"/>
        <v>25</v>
      </c>
      <c r="BSL6">
        <f t="shared" si="17"/>
        <v>25</v>
      </c>
      <c r="BSM6">
        <f t="shared" ref="BSM6:BUX9" si="18">ARK6</f>
        <v>50</v>
      </c>
      <c r="BSN6">
        <f t="shared" si="18"/>
        <v>25</v>
      </c>
      <c r="BSO6">
        <f t="shared" si="18"/>
        <v>0</v>
      </c>
      <c r="BSP6">
        <f t="shared" si="18"/>
        <v>0</v>
      </c>
      <c r="BSQ6">
        <f t="shared" si="18"/>
        <v>0</v>
      </c>
      <c r="BSR6">
        <f t="shared" si="18"/>
        <v>0</v>
      </c>
      <c r="BSS6">
        <f t="shared" si="18"/>
        <v>0</v>
      </c>
      <c r="BST6">
        <f t="shared" si="18"/>
        <v>0</v>
      </c>
      <c r="BSU6">
        <f t="shared" si="18"/>
        <v>0</v>
      </c>
      <c r="BSV6">
        <f t="shared" si="18"/>
        <v>0</v>
      </c>
      <c r="BSW6">
        <f t="shared" si="18"/>
        <v>0</v>
      </c>
      <c r="BSX6">
        <f t="shared" si="18"/>
        <v>0</v>
      </c>
      <c r="BSY6">
        <f t="shared" si="18"/>
        <v>0</v>
      </c>
      <c r="BSZ6">
        <f t="shared" si="18"/>
        <v>12.5</v>
      </c>
      <c r="BTA6">
        <f t="shared" si="18"/>
        <v>12.5</v>
      </c>
      <c r="BTB6">
        <f t="shared" si="18"/>
        <v>12.5</v>
      </c>
      <c r="BTC6">
        <f t="shared" si="18"/>
        <v>25</v>
      </c>
      <c r="BTD6">
        <f t="shared" si="18"/>
        <v>25</v>
      </c>
      <c r="BTE6">
        <f t="shared" si="18"/>
        <v>25</v>
      </c>
      <c r="BTF6">
        <f t="shared" si="18"/>
        <v>25</v>
      </c>
      <c r="BTG6">
        <f t="shared" si="18"/>
        <v>25</v>
      </c>
      <c r="BTH6">
        <f t="shared" si="18"/>
        <v>25</v>
      </c>
      <c r="BTI6">
        <f t="shared" si="18"/>
        <v>50</v>
      </c>
      <c r="BTJ6">
        <f t="shared" si="18"/>
        <v>25</v>
      </c>
      <c r="BTK6">
        <f t="shared" si="18"/>
        <v>0</v>
      </c>
      <c r="BTL6">
        <f t="shared" si="18"/>
        <v>0</v>
      </c>
      <c r="BTM6">
        <f t="shared" si="18"/>
        <v>0</v>
      </c>
      <c r="BTN6">
        <f t="shared" si="18"/>
        <v>0</v>
      </c>
      <c r="BTO6">
        <f t="shared" si="18"/>
        <v>0</v>
      </c>
      <c r="BTP6">
        <f t="shared" si="18"/>
        <v>0</v>
      </c>
      <c r="BTQ6">
        <f t="shared" si="18"/>
        <v>0</v>
      </c>
      <c r="BTR6">
        <f t="shared" si="18"/>
        <v>0</v>
      </c>
      <c r="BTS6">
        <f t="shared" si="18"/>
        <v>0</v>
      </c>
      <c r="BTT6">
        <f t="shared" si="18"/>
        <v>0</v>
      </c>
      <c r="BTU6">
        <f t="shared" si="18"/>
        <v>0</v>
      </c>
      <c r="BTV6">
        <f t="shared" si="18"/>
        <v>12.5</v>
      </c>
      <c r="BTW6">
        <f t="shared" si="18"/>
        <v>12.5</v>
      </c>
      <c r="BTX6">
        <f t="shared" si="18"/>
        <v>12.5</v>
      </c>
      <c r="BTY6">
        <f t="shared" si="18"/>
        <v>25</v>
      </c>
      <c r="BTZ6">
        <f t="shared" si="18"/>
        <v>25</v>
      </c>
      <c r="BUA6">
        <f t="shared" si="18"/>
        <v>25</v>
      </c>
      <c r="BUB6">
        <f t="shared" si="18"/>
        <v>25</v>
      </c>
      <c r="BUC6">
        <f t="shared" si="18"/>
        <v>25</v>
      </c>
      <c r="BUD6">
        <f t="shared" si="18"/>
        <v>25</v>
      </c>
      <c r="BUE6">
        <f t="shared" si="18"/>
        <v>50</v>
      </c>
      <c r="BUF6">
        <f t="shared" si="18"/>
        <v>25</v>
      </c>
      <c r="BUG6">
        <f t="shared" si="18"/>
        <v>0</v>
      </c>
      <c r="BUH6">
        <f t="shared" si="18"/>
        <v>0</v>
      </c>
      <c r="BUI6">
        <f t="shared" si="18"/>
        <v>0</v>
      </c>
      <c r="BUJ6">
        <f t="shared" si="18"/>
        <v>0</v>
      </c>
      <c r="BUK6">
        <f t="shared" si="18"/>
        <v>0</v>
      </c>
      <c r="BUL6">
        <f t="shared" si="18"/>
        <v>0</v>
      </c>
      <c r="BUM6">
        <f t="shared" si="18"/>
        <v>0</v>
      </c>
      <c r="BUN6">
        <f t="shared" si="18"/>
        <v>0</v>
      </c>
      <c r="BUO6">
        <f t="shared" si="18"/>
        <v>0</v>
      </c>
      <c r="BUP6">
        <f t="shared" si="18"/>
        <v>0</v>
      </c>
      <c r="BUQ6">
        <f t="shared" si="18"/>
        <v>0</v>
      </c>
      <c r="BUR6">
        <f t="shared" si="18"/>
        <v>12.5</v>
      </c>
      <c r="BUS6">
        <f t="shared" si="18"/>
        <v>12.5</v>
      </c>
      <c r="BUT6">
        <f t="shared" si="18"/>
        <v>12.5</v>
      </c>
      <c r="BUU6">
        <f t="shared" si="18"/>
        <v>25</v>
      </c>
      <c r="BUV6">
        <f t="shared" si="18"/>
        <v>25</v>
      </c>
      <c r="BUW6">
        <f t="shared" si="18"/>
        <v>25</v>
      </c>
      <c r="BUX6">
        <f t="shared" si="18"/>
        <v>25</v>
      </c>
      <c r="BUY6">
        <f t="shared" ref="BUY6:BXJ9" si="19">ATW6</f>
        <v>25</v>
      </c>
      <c r="BUZ6">
        <f t="shared" si="19"/>
        <v>25</v>
      </c>
      <c r="BVA6">
        <f t="shared" si="19"/>
        <v>50</v>
      </c>
      <c r="BVB6">
        <f t="shared" si="19"/>
        <v>25</v>
      </c>
      <c r="BVC6">
        <f t="shared" si="19"/>
        <v>0</v>
      </c>
      <c r="BVD6">
        <f t="shared" si="19"/>
        <v>0</v>
      </c>
      <c r="BVE6">
        <f t="shared" si="19"/>
        <v>0</v>
      </c>
      <c r="BVF6">
        <f t="shared" si="19"/>
        <v>0</v>
      </c>
      <c r="BVG6">
        <f t="shared" si="19"/>
        <v>0</v>
      </c>
      <c r="BVH6">
        <f t="shared" si="19"/>
        <v>0</v>
      </c>
      <c r="BVI6">
        <f t="shared" si="19"/>
        <v>0</v>
      </c>
      <c r="BVJ6">
        <f t="shared" si="19"/>
        <v>0</v>
      </c>
      <c r="BVK6">
        <f t="shared" si="19"/>
        <v>0</v>
      </c>
      <c r="BVL6">
        <f t="shared" si="19"/>
        <v>0</v>
      </c>
      <c r="BVM6">
        <f t="shared" si="19"/>
        <v>0</v>
      </c>
      <c r="BVN6">
        <f t="shared" si="19"/>
        <v>12.5</v>
      </c>
      <c r="BVO6">
        <f t="shared" si="19"/>
        <v>12.5</v>
      </c>
      <c r="BVP6">
        <f t="shared" si="19"/>
        <v>12.5</v>
      </c>
      <c r="BVQ6">
        <f t="shared" si="19"/>
        <v>25</v>
      </c>
      <c r="BVR6">
        <f t="shared" si="19"/>
        <v>25</v>
      </c>
      <c r="BVS6">
        <f t="shared" si="19"/>
        <v>25</v>
      </c>
      <c r="BVT6">
        <f t="shared" si="19"/>
        <v>25</v>
      </c>
      <c r="BVU6">
        <f t="shared" si="19"/>
        <v>25</v>
      </c>
      <c r="BVV6">
        <f t="shared" si="19"/>
        <v>25</v>
      </c>
      <c r="BVW6">
        <f t="shared" si="19"/>
        <v>50</v>
      </c>
      <c r="BVX6">
        <f t="shared" si="19"/>
        <v>25</v>
      </c>
      <c r="BVY6">
        <f t="shared" si="19"/>
        <v>0</v>
      </c>
      <c r="BVZ6">
        <f t="shared" si="19"/>
        <v>0</v>
      </c>
      <c r="BWA6">
        <f t="shared" si="19"/>
        <v>0</v>
      </c>
      <c r="BWB6">
        <f t="shared" si="19"/>
        <v>0</v>
      </c>
      <c r="BWC6">
        <f t="shared" si="19"/>
        <v>0</v>
      </c>
      <c r="BWD6">
        <f t="shared" si="19"/>
        <v>0</v>
      </c>
      <c r="BWE6">
        <f t="shared" si="19"/>
        <v>0</v>
      </c>
      <c r="BWF6">
        <f t="shared" si="19"/>
        <v>0</v>
      </c>
      <c r="BWG6">
        <f t="shared" si="19"/>
        <v>0</v>
      </c>
      <c r="BWH6">
        <f t="shared" si="19"/>
        <v>0</v>
      </c>
      <c r="BWI6">
        <f t="shared" si="19"/>
        <v>0</v>
      </c>
      <c r="BWJ6">
        <f t="shared" si="19"/>
        <v>12.5</v>
      </c>
      <c r="BWK6">
        <f t="shared" si="19"/>
        <v>12.5</v>
      </c>
      <c r="BWL6">
        <f t="shared" si="19"/>
        <v>12.5</v>
      </c>
      <c r="BWM6">
        <f t="shared" si="19"/>
        <v>25</v>
      </c>
      <c r="BWN6">
        <f t="shared" si="19"/>
        <v>25</v>
      </c>
      <c r="BWO6">
        <f t="shared" si="19"/>
        <v>25</v>
      </c>
      <c r="BWP6">
        <f t="shared" si="19"/>
        <v>25</v>
      </c>
      <c r="BWQ6">
        <f t="shared" si="19"/>
        <v>25</v>
      </c>
      <c r="BWR6">
        <f t="shared" si="19"/>
        <v>25</v>
      </c>
      <c r="BWS6">
        <f t="shared" si="19"/>
        <v>50</v>
      </c>
      <c r="BWT6">
        <f t="shared" si="19"/>
        <v>25</v>
      </c>
      <c r="BWU6">
        <f t="shared" si="19"/>
        <v>0</v>
      </c>
      <c r="BWV6">
        <f t="shared" si="19"/>
        <v>0</v>
      </c>
      <c r="BWW6">
        <f t="shared" si="19"/>
        <v>0</v>
      </c>
      <c r="BWX6">
        <f t="shared" si="19"/>
        <v>0</v>
      </c>
      <c r="BWY6">
        <f t="shared" si="19"/>
        <v>0</v>
      </c>
      <c r="BWZ6">
        <f t="shared" si="19"/>
        <v>0</v>
      </c>
      <c r="BXA6">
        <f t="shared" si="19"/>
        <v>0</v>
      </c>
      <c r="BXB6">
        <f t="shared" si="19"/>
        <v>0</v>
      </c>
      <c r="BXC6">
        <f t="shared" si="19"/>
        <v>0</v>
      </c>
      <c r="BXD6">
        <f t="shared" si="19"/>
        <v>0</v>
      </c>
      <c r="BXE6">
        <f t="shared" si="19"/>
        <v>0</v>
      </c>
      <c r="BXF6">
        <f t="shared" si="19"/>
        <v>12.5</v>
      </c>
      <c r="BXG6">
        <f t="shared" si="19"/>
        <v>12.5</v>
      </c>
      <c r="BXH6">
        <f t="shared" si="19"/>
        <v>12.5</v>
      </c>
      <c r="BXI6">
        <f t="shared" si="19"/>
        <v>25</v>
      </c>
      <c r="BXJ6">
        <f t="shared" si="19"/>
        <v>25</v>
      </c>
      <c r="BXK6">
        <f t="shared" ref="BXK6:BZV9" si="20">AWI6</f>
        <v>25</v>
      </c>
      <c r="BXL6">
        <f t="shared" si="20"/>
        <v>25</v>
      </c>
      <c r="BXM6">
        <f t="shared" si="20"/>
        <v>25</v>
      </c>
      <c r="BXN6">
        <f t="shared" si="20"/>
        <v>25</v>
      </c>
      <c r="BXO6">
        <f t="shared" si="20"/>
        <v>50</v>
      </c>
      <c r="BXP6">
        <f t="shared" si="20"/>
        <v>25</v>
      </c>
      <c r="BXQ6">
        <f t="shared" si="20"/>
        <v>0</v>
      </c>
      <c r="BXR6">
        <f t="shared" si="20"/>
        <v>0</v>
      </c>
      <c r="BXS6">
        <f t="shared" si="20"/>
        <v>0</v>
      </c>
      <c r="BXT6">
        <f t="shared" si="20"/>
        <v>0</v>
      </c>
      <c r="BXU6">
        <f t="shared" si="20"/>
        <v>0</v>
      </c>
      <c r="BXV6">
        <f t="shared" si="20"/>
        <v>0</v>
      </c>
      <c r="BXW6">
        <f t="shared" si="20"/>
        <v>0</v>
      </c>
      <c r="BXX6">
        <f t="shared" si="20"/>
        <v>0</v>
      </c>
      <c r="BXY6">
        <f t="shared" si="20"/>
        <v>0</v>
      </c>
      <c r="BXZ6">
        <f t="shared" si="20"/>
        <v>0</v>
      </c>
      <c r="BYA6">
        <f t="shared" si="20"/>
        <v>0</v>
      </c>
      <c r="BYB6">
        <f t="shared" si="20"/>
        <v>12.5</v>
      </c>
      <c r="BYC6">
        <f t="shared" si="20"/>
        <v>12.5</v>
      </c>
      <c r="BYD6">
        <f t="shared" si="20"/>
        <v>12.5</v>
      </c>
      <c r="BYE6">
        <f t="shared" si="20"/>
        <v>25</v>
      </c>
      <c r="BYF6">
        <f t="shared" si="20"/>
        <v>25</v>
      </c>
      <c r="BYG6">
        <f t="shared" si="20"/>
        <v>25</v>
      </c>
      <c r="BYH6">
        <f t="shared" si="20"/>
        <v>25</v>
      </c>
      <c r="BYI6">
        <f t="shared" si="20"/>
        <v>25</v>
      </c>
      <c r="BYJ6">
        <f t="shared" si="20"/>
        <v>25</v>
      </c>
      <c r="BYK6">
        <f t="shared" si="20"/>
        <v>50</v>
      </c>
      <c r="BYL6">
        <f t="shared" si="20"/>
        <v>25</v>
      </c>
      <c r="BYM6">
        <f t="shared" si="20"/>
        <v>0</v>
      </c>
      <c r="BYN6">
        <f t="shared" si="20"/>
        <v>0</v>
      </c>
      <c r="BYO6">
        <f t="shared" si="20"/>
        <v>0</v>
      </c>
      <c r="BYP6">
        <f t="shared" si="20"/>
        <v>0</v>
      </c>
      <c r="BYQ6">
        <f t="shared" si="20"/>
        <v>0</v>
      </c>
      <c r="BYR6">
        <f t="shared" si="20"/>
        <v>0</v>
      </c>
      <c r="BYS6">
        <f t="shared" si="20"/>
        <v>0</v>
      </c>
      <c r="BYT6">
        <f t="shared" si="20"/>
        <v>0</v>
      </c>
      <c r="BYU6">
        <f t="shared" si="20"/>
        <v>0</v>
      </c>
      <c r="BYV6">
        <f t="shared" si="20"/>
        <v>0</v>
      </c>
      <c r="BYW6">
        <f t="shared" si="20"/>
        <v>0</v>
      </c>
      <c r="BYX6">
        <f t="shared" si="20"/>
        <v>12.5</v>
      </c>
      <c r="BYY6">
        <f t="shared" si="20"/>
        <v>12.5</v>
      </c>
      <c r="BYZ6">
        <f t="shared" si="20"/>
        <v>12.5</v>
      </c>
      <c r="BZA6">
        <f t="shared" si="20"/>
        <v>25</v>
      </c>
      <c r="BZB6">
        <f t="shared" si="20"/>
        <v>25</v>
      </c>
      <c r="BZC6">
        <f t="shared" si="20"/>
        <v>25</v>
      </c>
      <c r="BZD6">
        <f t="shared" si="20"/>
        <v>25</v>
      </c>
      <c r="BZE6">
        <f t="shared" si="20"/>
        <v>25</v>
      </c>
      <c r="BZF6">
        <f t="shared" si="20"/>
        <v>25</v>
      </c>
      <c r="BZG6">
        <f t="shared" si="20"/>
        <v>50</v>
      </c>
      <c r="BZH6">
        <f t="shared" si="20"/>
        <v>25</v>
      </c>
      <c r="BZI6">
        <f t="shared" si="20"/>
        <v>0</v>
      </c>
      <c r="BZJ6">
        <f t="shared" si="20"/>
        <v>0</v>
      </c>
      <c r="BZK6">
        <f t="shared" si="20"/>
        <v>0</v>
      </c>
      <c r="BZL6">
        <f t="shared" si="20"/>
        <v>0</v>
      </c>
      <c r="BZM6">
        <f t="shared" si="20"/>
        <v>0</v>
      </c>
      <c r="BZN6">
        <f t="shared" si="20"/>
        <v>0</v>
      </c>
      <c r="BZO6">
        <f t="shared" si="20"/>
        <v>0</v>
      </c>
      <c r="BZP6">
        <f t="shared" si="20"/>
        <v>0</v>
      </c>
      <c r="BZQ6">
        <f t="shared" si="20"/>
        <v>0</v>
      </c>
      <c r="BZR6">
        <f t="shared" si="20"/>
        <v>0</v>
      </c>
      <c r="BZS6">
        <f t="shared" si="20"/>
        <v>0</v>
      </c>
      <c r="BZT6">
        <f t="shared" si="20"/>
        <v>12.5</v>
      </c>
      <c r="BZU6">
        <f t="shared" si="20"/>
        <v>12.5</v>
      </c>
      <c r="BZV6">
        <f t="shared" si="20"/>
        <v>12.5</v>
      </c>
      <c r="BZW6">
        <f t="shared" ref="BZW6:CCH9" si="21">AYU6</f>
        <v>25</v>
      </c>
      <c r="BZX6">
        <f t="shared" si="21"/>
        <v>25</v>
      </c>
      <c r="BZY6">
        <f t="shared" si="21"/>
        <v>25</v>
      </c>
      <c r="BZZ6">
        <f t="shared" si="21"/>
        <v>25</v>
      </c>
      <c r="CAA6">
        <f t="shared" si="21"/>
        <v>25</v>
      </c>
      <c r="CAB6">
        <f t="shared" si="21"/>
        <v>25</v>
      </c>
      <c r="CAC6">
        <f t="shared" si="21"/>
        <v>50</v>
      </c>
      <c r="CAD6">
        <f t="shared" si="21"/>
        <v>25</v>
      </c>
      <c r="CAE6">
        <f t="shared" si="21"/>
        <v>0</v>
      </c>
      <c r="CAF6">
        <f t="shared" si="21"/>
        <v>0</v>
      </c>
      <c r="CAG6">
        <f t="shared" si="21"/>
        <v>0</v>
      </c>
      <c r="CAH6">
        <f t="shared" si="21"/>
        <v>0</v>
      </c>
      <c r="CAI6">
        <f t="shared" si="21"/>
        <v>0</v>
      </c>
      <c r="CAJ6">
        <f t="shared" si="21"/>
        <v>0</v>
      </c>
      <c r="CAK6">
        <f t="shared" si="21"/>
        <v>0</v>
      </c>
      <c r="CAL6">
        <f t="shared" si="21"/>
        <v>0</v>
      </c>
      <c r="CAM6">
        <f t="shared" si="21"/>
        <v>0</v>
      </c>
      <c r="CAN6">
        <f t="shared" si="21"/>
        <v>0</v>
      </c>
      <c r="CAO6">
        <f t="shared" si="21"/>
        <v>0</v>
      </c>
      <c r="CAP6">
        <f t="shared" si="21"/>
        <v>12.5</v>
      </c>
      <c r="CAQ6">
        <f t="shared" si="21"/>
        <v>12.5</v>
      </c>
      <c r="CAR6">
        <f t="shared" si="21"/>
        <v>12.5</v>
      </c>
      <c r="CAS6">
        <f t="shared" si="21"/>
        <v>25</v>
      </c>
      <c r="CAT6">
        <f t="shared" si="21"/>
        <v>25</v>
      </c>
      <c r="CAU6">
        <f t="shared" si="21"/>
        <v>25</v>
      </c>
      <c r="CAV6">
        <f t="shared" si="21"/>
        <v>25</v>
      </c>
      <c r="CAW6">
        <f t="shared" si="21"/>
        <v>25</v>
      </c>
      <c r="CAX6">
        <f t="shared" si="21"/>
        <v>25</v>
      </c>
      <c r="CAY6">
        <f t="shared" si="21"/>
        <v>50</v>
      </c>
      <c r="CAZ6">
        <f t="shared" si="21"/>
        <v>25</v>
      </c>
      <c r="CBA6">
        <f t="shared" si="21"/>
        <v>0</v>
      </c>
      <c r="CBB6">
        <f t="shared" si="21"/>
        <v>0</v>
      </c>
      <c r="CBC6">
        <f t="shared" si="21"/>
        <v>0</v>
      </c>
      <c r="CBD6">
        <f t="shared" si="21"/>
        <v>0</v>
      </c>
      <c r="CBE6">
        <f t="shared" si="21"/>
        <v>0</v>
      </c>
      <c r="CBF6">
        <f t="shared" si="21"/>
        <v>0</v>
      </c>
      <c r="CBG6">
        <f t="shared" si="21"/>
        <v>0</v>
      </c>
      <c r="CBH6">
        <f t="shared" si="21"/>
        <v>0</v>
      </c>
      <c r="CBI6">
        <f t="shared" si="21"/>
        <v>0</v>
      </c>
      <c r="CBJ6">
        <f t="shared" si="21"/>
        <v>0</v>
      </c>
      <c r="CBK6">
        <f t="shared" si="21"/>
        <v>0</v>
      </c>
      <c r="CBL6">
        <f t="shared" si="21"/>
        <v>12.5</v>
      </c>
      <c r="CBM6">
        <f t="shared" si="21"/>
        <v>12.5</v>
      </c>
      <c r="CBN6">
        <f t="shared" si="21"/>
        <v>12.5</v>
      </c>
      <c r="CBO6">
        <f t="shared" si="21"/>
        <v>25</v>
      </c>
      <c r="CBP6">
        <f t="shared" si="21"/>
        <v>25</v>
      </c>
      <c r="CBQ6">
        <f t="shared" si="21"/>
        <v>25</v>
      </c>
      <c r="CBR6">
        <f t="shared" si="21"/>
        <v>25</v>
      </c>
      <c r="CBS6">
        <f t="shared" si="21"/>
        <v>25</v>
      </c>
      <c r="CBT6">
        <f t="shared" si="21"/>
        <v>25</v>
      </c>
      <c r="CBU6">
        <f t="shared" si="21"/>
        <v>50</v>
      </c>
      <c r="CBV6">
        <f t="shared" si="21"/>
        <v>25</v>
      </c>
      <c r="CBW6">
        <f t="shared" si="21"/>
        <v>0</v>
      </c>
      <c r="CBX6">
        <f t="shared" si="21"/>
        <v>0</v>
      </c>
      <c r="CBY6">
        <f t="shared" si="21"/>
        <v>0</v>
      </c>
      <c r="CBZ6">
        <f t="shared" si="21"/>
        <v>0</v>
      </c>
      <c r="CCA6">
        <f t="shared" si="21"/>
        <v>0</v>
      </c>
      <c r="CCB6">
        <f t="shared" si="21"/>
        <v>0</v>
      </c>
      <c r="CCC6">
        <f t="shared" si="21"/>
        <v>0</v>
      </c>
      <c r="CCD6">
        <f t="shared" si="21"/>
        <v>0</v>
      </c>
      <c r="CCE6">
        <f t="shared" si="21"/>
        <v>0</v>
      </c>
      <c r="CCF6">
        <f t="shared" si="21"/>
        <v>0</v>
      </c>
      <c r="CCG6">
        <f t="shared" si="21"/>
        <v>0</v>
      </c>
      <c r="CCH6">
        <f t="shared" si="21"/>
        <v>12.5</v>
      </c>
      <c r="CCI6">
        <f t="shared" ref="CCI6:CET9" si="22">BBG6</f>
        <v>12.5</v>
      </c>
      <c r="CCJ6">
        <f t="shared" si="22"/>
        <v>12.5</v>
      </c>
      <c r="CCK6">
        <f t="shared" si="22"/>
        <v>25</v>
      </c>
      <c r="CCL6">
        <f t="shared" si="22"/>
        <v>25</v>
      </c>
      <c r="CCM6">
        <f t="shared" si="22"/>
        <v>25</v>
      </c>
      <c r="CCN6">
        <f t="shared" si="22"/>
        <v>25</v>
      </c>
      <c r="CCO6">
        <f t="shared" si="22"/>
        <v>25</v>
      </c>
      <c r="CCP6">
        <f t="shared" si="22"/>
        <v>25</v>
      </c>
      <c r="CCQ6">
        <f t="shared" si="22"/>
        <v>50</v>
      </c>
      <c r="CCR6">
        <f t="shared" si="22"/>
        <v>25</v>
      </c>
      <c r="CCS6">
        <f t="shared" si="22"/>
        <v>0</v>
      </c>
      <c r="CCT6">
        <f t="shared" si="22"/>
        <v>0</v>
      </c>
      <c r="CCU6">
        <f t="shared" si="22"/>
        <v>0</v>
      </c>
      <c r="CCV6">
        <f t="shared" si="22"/>
        <v>0</v>
      </c>
      <c r="CCW6">
        <f t="shared" si="22"/>
        <v>0</v>
      </c>
      <c r="CCX6">
        <f t="shared" si="22"/>
        <v>0</v>
      </c>
      <c r="CCY6">
        <f t="shared" si="22"/>
        <v>0</v>
      </c>
      <c r="CCZ6">
        <f t="shared" si="22"/>
        <v>0</v>
      </c>
      <c r="CDA6">
        <f t="shared" si="22"/>
        <v>0</v>
      </c>
      <c r="CDB6">
        <f t="shared" si="22"/>
        <v>0</v>
      </c>
      <c r="CDC6">
        <f t="shared" si="22"/>
        <v>0</v>
      </c>
      <c r="CDD6">
        <f t="shared" si="22"/>
        <v>12.5</v>
      </c>
      <c r="CDE6">
        <f t="shared" si="22"/>
        <v>12.5</v>
      </c>
      <c r="CDF6">
        <f t="shared" si="22"/>
        <v>12.5</v>
      </c>
      <c r="CDG6">
        <f t="shared" si="22"/>
        <v>25</v>
      </c>
      <c r="CDH6">
        <f t="shared" si="22"/>
        <v>25</v>
      </c>
      <c r="CDI6">
        <f t="shared" si="22"/>
        <v>25</v>
      </c>
      <c r="CDJ6">
        <f t="shared" si="22"/>
        <v>25</v>
      </c>
      <c r="CDK6">
        <f t="shared" si="22"/>
        <v>25</v>
      </c>
      <c r="CDL6">
        <f t="shared" si="22"/>
        <v>25</v>
      </c>
      <c r="CDM6">
        <f t="shared" si="22"/>
        <v>50</v>
      </c>
      <c r="CDN6">
        <f t="shared" si="22"/>
        <v>25</v>
      </c>
      <c r="CDO6">
        <f t="shared" si="22"/>
        <v>0</v>
      </c>
      <c r="CDP6">
        <f t="shared" si="22"/>
        <v>0</v>
      </c>
      <c r="CDQ6">
        <f t="shared" si="22"/>
        <v>0</v>
      </c>
      <c r="CDR6">
        <f t="shared" si="22"/>
        <v>0</v>
      </c>
      <c r="CDS6">
        <f t="shared" si="22"/>
        <v>0</v>
      </c>
      <c r="CDT6">
        <f t="shared" si="22"/>
        <v>0</v>
      </c>
      <c r="CDU6">
        <f t="shared" si="22"/>
        <v>0</v>
      </c>
      <c r="CDV6">
        <f t="shared" si="22"/>
        <v>0</v>
      </c>
      <c r="CDW6">
        <f t="shared" si="22"/>
        <v>0</v>
      </c>
      <c r="CDX6">
        <f t="shared" si="22"/>
        <v>0</v>
      </c>
      <c r="CDY6">
        <f t="shared" si="22"/>
        <v>0</v>
      </c>
      <c r="CDZ6">
        <f t="shared" si="22"/>
        <v>12.5</v>
      </c>
      <c r="CEA6">
        <f t="shared" si="22"/>
        <v>12.5</v>
      </c>
      <c r="CEB6">
        <f t="shared" si="22"/>
        <v>12.5</v>
      </c>
      <c r="CEC6">
        <f t="shared" si="22"/>
        <v>25</v>
      </c>
      <c r="CED6">
        <f t="shared" si="22"/>
        <v>25</v>
      </c>
      <c r="CEE6">
        <f t="shared" si="22"/>
        <v>25</v>
      </c>
      <c r="CEF6">
        <f t="shared" si="22"/>
        <v>25</v>
      </c>
      <c r="CEG6">
        <f t="shared" si="22"/>
        <v>25</v>
      </c>
      <c r="CEH6">
        <f t="shared" si="22"/>
        <v>25</v>
      </c>
      <c r="CEI6">
        <f t="shared" si="22"/>
        <v>50</v>
      </c>
      <c r="CEJ6">
        <f t="shared" si="22"/>
        <v>25</v>
      </c>
      <c r="CEK6">
        <f t="shared" si="22"/>
        <v>0</v>
      </c>
      <c r="CEL6">
        <f t="shared" si="22"/>
        <v>0</v>
      </c>
      <c r="CEM6">
        <f t="shared" si="22"/>
        <v>0</v>
      </c>
      <c r="CEN6">
        <f t="shared" si="22"/>
        <v>0</v>
      </c>
      <c r="CEO6">
        <f t="shared" si="22"/>
        <v>0</v>
      </c>
      <c r="CEP6">
        <f t="shared" si="22"/>
        <v>0</v>
      </c>
      <c r="CEQ6">
        <f t="shared" si="22"/>
        <v>0</v>
      </c>
      <c r="CER6">
        <f t="shared" si="22"/>
        <v>0</v>
      </c>
      <c r="CES6">
        <f t="shared" si="22"/>
        <v>0</v>
      </c>
      <c r="CET6">
        <f t="shared" si="22"/>
        <v>0</v>
      </c>
      <c r="CEU6">
        <f t="shared" ref="CEU6:CHF9" si="23">BDS6</f>
        <v>0</v>
      </c>
      <c r="CEV6">
        <f t="shared" si="23"/>
        <v>12.5</v>
      </c>
      <c r="CEW6">
        <f t="shared" si="23"/>
        <v>12.5</v>
      </c>
      <c r="CEX6">
        <f t="shared" si="23"/>
        <v>12.5</v>
      </c>
      <c r="CEY6">
        <f t="shared" si="23"/>
        <v>25</v>
      </c>
      <c r="CEZ6">
        <f t="shared" si="23"/>
        <v>25</v>
      </c>
      <c r="CFA6">
        <f t="shared" si="23"/>
        <v>25</v>
      </c>
      <c r="CFB6">
        <f t="shared" si="23"/>
        <v>25</v>
      </c>
      <c r="CFC6">
        <f t="shared" si="23"/>
        <v>25</v>
      </c>
      <c r="CFD6">
        <f t="shared" si="23"/>
        <v>25</v>
      </c>
      <c r="CFE6">
        <f t="shared" si="23"/>
        <v>50</v>
      </c>
      <c r="CFF6">
        <f t="shared" si="23"/>
        <v>25</v>
      </c>
      <c r="CFG6">
        <f t="shared" si="23"/>
        <v>0</v>
      </c>
      <c r="CFH6">
        <f t="shared" si="23"/>
        <v>0</v>
      </c>
      <c r="CFI6">
        <f t="shared" si="23"/>
        <v>0</v>
      </c>
      <c r="CFJ6">
        <f t="shared" si="23"/>
        <v>0</v>
      </c>
      <c r="CFK6">
        <f t="shared" si="23"/>
        <v>0</v>
      </c>
      <c r="CFL6">
        <f t="shared" si="23"/>
        <v>0</v>
      </c>
      <c r="CFM6">
        <f t="shared" si="23"/>
        <v>0</v>
      </c>
      <c r="CFN6">
        <f t="shared" si="23"/>
        <v>0</v>
      </c>
      <c r="CFO6">
        <f t="shared" si="23"/>
        <v>0</v>
      </c>
      <c r="CFP6">
        <f t="shared" si="23"/>
        <v>0</v>
      </c>
      <c r="CFQ6">
        <f t="shared" si="23"/>
        <v>0</v>
      </c>
      <c r="CFR6">
        <f t="shared" si="23"/>
        <v>12.5</v>
      </c>
      <c r="CFS6">
        <f t="shared" si="23"/>
        <v>12.5</v>
      </c>
      <c r="CFT6">
        <f t="shared" si="23"/>
        <v>12.5</v>
      </c>
      <c r="CFU6">
        <f t="shared" si="23"/>
        <v>25</v>
      </c>
      <c r="CFV6">
        <f t="shared" si="23"/>
        <v>25</v>
      </c>
      <c r="CFW6">
        <f t="shared" si="23"/>
        <v>25</v>
      </c>
      <c r="CFX6">
        <f t="shared" si="23"/>
        <v>25</v>
      </c>
      <c r="CFY6">
        <f t="shared" si="23"/>
        <v>25</v>
      </c>
      <c r="CFZ6">
        <f t="shared" si="23"/>
        <v>25</v>
      </c>
      <c r="CGA6">
        <f t="shared" si="23"/>
        <v>50</v>
      </c>
      <c r="CGB6">
        <f t="shared" si="23"/>
        <v>25</v>
      </c>
      <c r="CGC6">
        <f t="shared" si="23"/>
        <v>0</v>
      </c>
      <c r="CGD6">
        <f t="shared" si="23"/>
        <v>0</v>
      </c>
      <c r="CGE6">
        <f t="shared" si="23"/>
        <v>0</v>
      </c>
      <c r="CGF6">
        <f t="shared" si="23"/>
        <v>0</v>
      </c>
      <c r="CGG6">
        <f t="shared" si="23"/>
        <v>0</v>
      </c>
      <c r="CGH6">
        <f t="shared" si="23"/>
        <v>0</v>
      </c>
      <c r="CGI6">
        <f t="shared" si="23"/>
        <v>0</v>
      </c>
      <c r="CGJ6">
        <f t="shared" si="23"/>
        <v>0</v>
      </c>
      <c r="CGK6">
        <f t="shared" si="23"/>
        <v>0</v>
      </c>
      <c r="CGL6">
        <f t="shared" si="23"/>
        <v>0</v>
      </c>
      <c r="CGM6">
        <f t="shared" si="23"/>
        <v>0</v>
      </c>
      <c r="CGN6">
        <f t="shared" si="23"/>
        <v>12.5</v>
      </c>
      <c r="CGO6">
        <f t="shared" si="23"/>
        <v>12.5</v>
      </c>
      <c r="CGP6">
        <f t="shared" si="23"/>
        <v>12.5</v>
      </c>
      <c r="CGQ6">
        <f t="shared" si="23"/>
        <v>25</v>
      </c>
      <c r="CGR6">
        <f t="shared" si="23"/>
        <v>25</v>
      </c>
      <c r="CGS6">
        <f t="shared" si="23"/>
        <v>25</v>
      </c>
      <c r="CGT6">
        <f t="shared" si="23"/>
        <v>25</v>
      </c>
      <c r="CGU6">
        <f t="shared" si="23"/>
        <v>25</v>
      </c>
      <c r="CGV6">
        <f t="shared" si="23"/>
        <v>25</v>
      </c>
      <c r="CGW6">
        <f t="shared" si="23"/>
        <v>50</v>
      </c>
      <c r="CGX6">
        <f t="shared" si="23"/>
        <v>25</v>
      </c>
      <c r="CGY6">
        <f t="shared" si="23"/>
        <v>0</v>
      </c>
      <c r="CGZ6">
        <f t="shared" si="23"/>
        <v>0</v>
      </c>
      <c r="CHA6">
        <f t="shared" si="23"/>
        <v>0</v>
      </c>
      <c r="CHB6">
        <f t="shared" si="23"/>
        <v>0</v>
      </c>
      <c r="CHC6">
        <f t="shared" si="23"/>
        <v>0</v>
      </c>
      <c r="CHD6">
        <f t="shared" si="23"/>
        <v>0</v>
      </c>
      <c r="CHE6">
        <f t="shared" si="23"/>
        <v>0</v>
      </c>
      <c r="CHF6">
        <f t="shared" si="23"/>
        <v>0</v>
      </c>
      <c r="CHG6">
        <f t="shared" ref="CHG6:CJR9" si="24">BGE6</f>
        <v>0</v>
      </c>
      <c r="CHH6">
        <f t="shared" si="24"/>
        <v>0</v>
      </c>
      <c r="CHI6">
        <f t="shared" si="24"/>
        <v>0</v>
      </c>
      <c r="CHJ6">
        <f t="shared" si="24"/>
        <v>12.5</v>
      </c>
      <c r="CHK6">
        <f t="shared" si="24"/>
        <v>12.5</v>
      </c>
      <c r="CHL6">
        <f t="shared" si="24"/>
        <v>12.5</v>
      </c>
      <c r="CHM6">
        <f t="shared" si="24"/>
        <v>25</v>
      </c>
      <c r="CHN6">
        <f t="shared" si="24"/>
        <v>25</v>
      </c>
      <c r="CHO6">
        <f t="shared" si="24"/>
        <v>25</v>
      </c>
      <c r="CHP6">
        <f t="shared" si="24"/>
        <v>25</v>
      </c>
      <c r="CHQ6">
        <f t="shared" si="24"/>
        <v>25</v>
      </c>
      <c r="CHR6">
        <f t="shared" si="24"/>
        <v>25</v>
      </c>
      <c r="CHS6">
        <f t="shared" si="24"/>
        <v>50</v>
      </c>
      <c r="CHT6">
        <f t="shared" si="24"/>
        <v>25</v>
      </c>
      <c r="CHU6">
        <f t="shared" si="24"/>
        <v>0</v>
      </c>
      <c r="CHV6">
        <f t="shared" si="24"/>
        <v>0</v>
      </c>
      <c r="CHW6">
        <f t="shared" si="24"/>
        <v>0</v>
      </c>
      <c r="CHX6">
        <f t="shared" si="24"/>
        <v>0</v>
      </c>
      <c r="CHY6">
        <f t="shared" si="24"/>
        <v>0</v>
      </c>
      <c r="CHZ6">
        <f t="shared" si="24"/>
        <v>0</v>
      </c>
      <c r="CIA6">
        <f t="shared" si="24"/>
        <v>0</v>
      </c>
      <c r="CIB6">
        <f t="shared" si="24"/>
        <v>0</v>
      </c>
      <c r="CIC6">
        <f t="shared" si="24"/>
        <v>0</v>
      </c>
      <c r="CID6">
        <f t="shared" si="24"/>
        <v>0</v>
      </c>
      <c r="CIE6">
        <f t="shared" si="24"/>
        <v>0</v>
      </c>
      <c r="CIF6">
        <f t="shared" si="24"/>
        <v>12.5</v>
      </c>
      <c r="CIG6">
        <f t="shared" si="24"/>
        <v>12.5</v>
      </c>
      <c r="CIH6">
        <f t="shared" si="24"/>
        <v>12.5</v>
      </c>
      <c r="CII6">
        <f t="shared" si="24"/>
        <v>25</v>
      </c>
      <c r="CIJ6">
        <f t="shared" si="24"/>
        <v>25</v>
      </c>
      <c r="CIK6">
        <f t="shared" si="24"/>
        <v>25</v>
      </c>
      <c r="CIL6">
        <f t="shared" si="24"/>
        <v>25</v>
      </c>
      <c r="CIM6">
        <f t="shared" si="24"/>
        <v>25</v>
      </c>
      <c r="CIN6">
        <f t="shared" si="24"/>
        <v>25</v>
      </c>
      <c r="CIO6">
        <f t="shared" si="24"/>
        <v>50</v>
      </c>
      <c r="CIP6">
        <f t="shared" si="24"/>
        <v>25</v>
      </c>
      <c r="CIQ6">
        <f t="shared" si="24"/>
        <v>0</v>
      </c>
      <c r="CIR6">
        <f t="shared" si="24"/>
        <v>0</v>
      </c>
      <c r="CIS6">
        <f t="shared" si="24"/>
        <v>0</v>
      </c>
      <c r="CIT6">
        <f t="shared" si="24"/>
        <v>0</v>
      </c>
      <c r="CIU6">
        <f t="shared" si="24"/>
        <v>0</v>
      </c>
      <c r="CIV6">
        <f t="shared" si="24"/>
        <v>0</v>
      </c>
      <c r="CIW6">
        <f t="shared" si="24"/>
        <v>0</v>
      </c>
      <c r="CIX6">
        <f t="shared" si="24"/>
        <v>0</v>
      </c>
      <c r="CIY6">
        <f t="shared" si="24"/>
        <v>0</v>
      </c>
      <c r="CIZ6">
        <f t="shared" si="24"/>
        <v>0</v>
      </c>
      <c r="CJA6">
        <f t="shared" si="24"/>
        <v>0</v>
      </c>
      <c r="CJB6">
        <f t="shared" si="24"/>
        <v>12.5</v>
      </c>
      <c r="CJC6">
        <f t="shared" si="24"/>
        <v>12.5</v>
      </c>
      <c r="CJD6">
        <f t="shared" si="24"/>
        <v>12.5</v>
      </c>
      <c r="CJE6">
        <f t="shared" si="24"/>
        <v>25</v>
      </c>
      <c r="CJF6">
        <f t="shared" si="24"/>
        <v>25</v>
      </c>
      <c r="CJG6">
        <f t="shared" si="24"/>
        <v>25</v>
      </c>
      <c r="CJH6">
        <f t="shared" si="24"/>
        <v>25</v>
      </c>
      <c r="CJI6">
        <f t="shared" si="24"/>
        <v>25</v>
      </c>
      <c r="CJJ6">
        <f t="shared" si="24"/>
        <v>25</v>
      </c>
      <c r="CJK6">
        <f t="shared" si="24"/>
        <v>50</v>
      </c>
      <c r="CJL6">
        <f t="shared" si="24"/>
        <v>25</v>
      </c>
      <c r="CJM6">
        <f t="shared" si="24"/>
        <v>0</v>
      </c>
      <c r="CJN6">
        <f t="shared" si="24"/>
        <v>0</v>
      </c>
      <c r="CJO6">
        <f t="shared" si="24"/>
        <v>0</v>
      </c>
      <c r="CJP6">
        <f t="shared" si="24"/>
        <v>0</v>
      </c>
      <c r="CJQ6">
        <f t="shared" si="24"/>
        <v>0</v>
      </c>
      <c r="CJR6">
        <f t="shared" si="24"/>
        <v>0</v>
      </c>
      <c r="CJS6">
        <f t="shared" ref="CJS6:CMD9" si="25">BIQ6</f>
        <v>0</v>
      </c>
      <c r="CJT6">
        <f t="shared" si="25"/>
        <v>0</v>
      </c>
      <c r="CJU6">
        <f t="shared" si="25"/>
        <v>0</v>
      </c>
      <c r="CJV6">
        <f t="shared" si="25"/>
        <v>0</v>
      </c>
      <c r="CJW6">
        <f t="shared" si="25"/>
        <v>0</v>
      </c>
      <c r="CJX6">
        <f t="shared" si="25"/>
        <v>12.5</v>
      </c>
      <c r="CJY6">
        <f t="shared" si="25"/>
        <v>12.5</v>
      </c>
      <c r="CJZ6">
        <f t="shared" si="25"/>
        <v>12.5</v>
      </c>
      <c r="CKA6">
        <f t="shared" si="25"/>
        <v>25</v>
      </c>
      <c r="CKB6">
        <f t="shared" si="25"/>
        <v>25</v>
      </c>
      <c r="CKC6">
        <f t="shared" si="25"/>
        <v>25</v>
      </c>
      <c r="CKD6">
        <f t="shared" si="25"/>
        <v>25</v>
      </c>
      <c r="CKE6">
        <f t="shared" si="25"/>
        <v>25</v>
      </c>
      <c r="CKF6">
        <f t="shared" si="25"/>
        <v>25</v>
      </c>
      <c r="CKG6">
        <f t="shared" si="25"/>
        <v>50</v>
      </c>
      <c r="CKH6">
        <f t="shared" si="25"/>
        <v>25</v>
      </c>
      <c r="CKI6">
        <f t="shared" si="25"/>
        <v>0</v>
      </c>
      <c r="CKJ6">
        <f t="shared" si="25"/>
        <v>0</v>
      </c>
      <c r="CKK6">
        <f t="shared" si="25"/>
        <v>0</v>
      </c>
      <c r="CKL6">
        <f t="shared" si="25"/>
        <v>0</v>
      </c>
      <c r="CKM6">
        <f t="shared" si="25"/>
        <v>0</v>
      </c>
      <c r="CKN6">
        <f t="shared" si="25"/>
        <v>0</v>
      </c>
      <c r="CKO6">
        <f t="shared" si="25"/>
        <v>0</v>
      </c>
      <c r="CKP6">
        <f t="shared" si="25"/>
        <v>0</v>
      </c>
      <c r="CKQ6">
        <f t="shared" si="25"/>
        <v>0</v>
      </c>
      <c r="CKR6">
        <f t="shared" si="25"/>
        <v>0</v>
      </c>
      <c r="CKS6">
        <f t="shared" si="25"/>
        <v>0</v>
      </c>
      <c r="CKT6">
        <f t="shared" si="25"/>
        <v>12.5</v>
      </c>
      <c r="CKU6">
        <f t="shared" si="25"/>
        <v>12.5</v>
      </c>
      <c r="CKV6">
        <f t="shared" si="25"/>
        <v>12.5</v>
      </c>
      <c r="CKW6">
        <f t="shared" si="25"/>
        <v>25</v>
      </c>
      <c r="CKX6">
        <f t="shared" si="25"/>
        <v>25</v>
      </c>
      <c r="CKY6">
        <f t="shared" si="25"/>
        <v>25</v>
      </c>
      <c r="CKZ6">
        <f t="shared" si="25"/>
        <v>25</v>
      </c>
      <c r="CLA6">
        <f t="shared" si="25"/>
        <v>25</v>
      </c>
      <c r="CLB6">
        <f t="shared" si="25"/>
        <v>25</v>
      </c>
      <c r="CLC6">
        <f t="shared" si="25"/>
        <v>50</v>
      </c>
      <c r="CLD6">
        <f t="shared" si="25"/>
        <v>25</v>
      </c>
      <c r="CLE6">
        <f t="shared" si="25"/>
        <v>0</v>
      </c>
      <c r="CLF6">
        <f t="shared" si="25"/>
        <v>0</v>
      </c>
      <c r="CLG6">
        <f t="shared" si="25"/>
        <v>0</v>
      </c>
      <c r="CLH6">
        <f t="shared" si="25"/>
        <v>0</v>
      </c>
      <c r="CLI6">
        <f t="shared" si="25"/>
        <v>0</v>
      </c>
      <c r="CLJ6">
        <f t="shared" si="25"/>
        <v>0</v>
      </c>
      <c r="CLK6">
        <f t="shared" si="25"/>
        <v>0</v>
      </c>
      <c r="CLL6">
        <f t="shared" si="25"/>
        <v>0</v>
      </c>
      <c r="CLM6">
        <f t="shared" si="25"/>
        <v>0</v>
      </c>
      <c r="CLN6">
        <f t="shared" si="25"/>
        <v>0</v>
      </c>
      <c r="CLO6">
        <f t="shared" si="25"/>
        <v>0</v>
      </c>
      <c r="CLP6">
        <f t="shared" si="25"/>
        <v>12.5</v>
      </c>
      <c r="CLQ6">
        <f t="shared" si="25"/>
        <v>12.5</v>
      </c>
      <c r="CLR6">
        <f t="shared" si="25"/>
        <v>12.5</v>
      </c>
      <c r="CLS6">
        <f t="shared" si="25"/>
        <v>25</v>
      </c>
      <c r="CLT6">
        <f t="shared" si="25"/>
        <v>25</v>
      </c>
      <c r="CLU6">
        <f t="shared" si="25"/>
        <v>25</v>
      </c>
      <c r="CLV6">
        <f t="shared" si="25"/>
        <v>25</v>
      </c>
      <c r="CLW6">
        <f t="shared" si="25"/>
        <v>25</v>
      </c>
      <c r="CLX6">
        <f t="shared" si="25"/>
        <v>25</v>
      </c>
      <c r="CLY6">
        <f t="shared" si="25"/>
        <v>50</v>
      </c>
      <c r="CLZ6">
        <f t="shared" si="25"/>
        <v>25</v>
      </c>
      <c r="CMA6">
        <f t="shared" si="25"/>
        <v>0</v>
      </c>
      <c r="CMB6">
        <f t="shared" si="25"/>
        <v>0</v>
      </c>
      <c r="CMC6">
        <f t="shared" si="25"/>
        <v>0</v>
      </c>
      <c r="CMD6">
        <f t="shared" si="25"/>
        <v>0</v>
      </c>
      <c r="CME6">
        <f t="shared" ref="CME6:COP9" si="26">BLC6</f>
        <v>0</v>
      </c>
      <c r="CMF6">
        <f t="shared" si="26"/>
        <v>0</v>
      </c>
      <c r="CMG6">
        <f t="shared" si="26"/>
        <v>0</v>
      </c>
      <c r="CMH6">
        <f t="shared" si="26"/>
        <v>0</v>
      </c>
      <c r="CMI6">
        <f t="shared" si="26"/>
        <v>0</v>
      </c>
      <c r="CMJ6">
        <f t="shared" si="26"/>
        <v>0</v>
      </c>
      <c r="CMK6">
        <f t="shared" si="26"/>
        <v>0</v>
      </c>
      <c r="CML6">
        <f t="shared" si="26"/>
        <v>12.5</v>
      </c>
      <c r="CMM6">
        <f t="shared" si="26"/>
        <v>12.5</v>
      </c>
      <c r="CMN6">
        <f t="shared" si="26"/>
        <v>12.5</v>
      </c>
      <c r="CMO6">
        <f t="shared" si="26"/>
        <v>25</v>
      </c>
      <c r="CMP6">
        <f t="shared" si="26"/>
        <v>25</v>
      </c>
      <c r="CMQ6">
        <f t="shared" si="26"/>
        <v>25</v>
      </c>
      <c r="CMR6">
        <f t="shared" si="26"/>
        <v>25</v>
      </c>
      <c r="CMS6">
        <f t="shared" si="26"/>
        <v>25</v>
      </c>
      <c r="CMT6">
        <f t="shared" si="26"/>
        <v>25</v>
      </c>
      <c r="CMU6">
        <f t="shared" si="26"/>
        <v>50</v>
      </c>
      <c r="CMV6">
        <f t="shared" si="26"/>
        <v>25</v>
      </c>
      <c r="CMW6">
        <f t="shared" si="26"/>
        <v>0</v>
      </c>
      <c r="CMX6">
        <f t="shared" si="26"/>
        <v>0</v>
      </c>
      <c r="CMY6">
        <f t="shared" si="26"/>
        <v>0</v>
      </c>
      <c r="CMZ6">
        <f t="shared" si="26"/>
        <v>0</v>
      </c>
      <c r="CNA6">
        <f t="shared" si="26"/>
        <v>0</v>
      </c>
      <c r="CNB6">
        <f t="shared" si="26"/>
        <v>0</v>
      </c>
      <c r="CNC6">
        <f t="shared" si="26"/>
        <v>0</v>
      </c>
      <c r="CND6">
        <f t="shared" si="26"/>
        <v>0</v>
      </c>
      <c r="CNE6">
        <f t="shared" si="26"/>
        <v>0</v>
      </c>
      <c r="CNF6">
        <f t="shared" si="26"/>
        <v>0</v>
      </c>
      <c r="CNG6">
        <f t="shared" si="26"/>
        <v>0</v>
      </c>
      <c r="CNH6">
        <f t="shared" si="26"/>
        <v>12.5</v>
      </c>
      <c r="CNI6">
        <f t="shared" si="26"/>
        <v>12.5</v>
      </c>
      <c r="CNJ6">
        <f t="shared" si="26"/>
        <v>12.5</v>
      </c>
      <c r="CNK6">
        <f t="shared" si="26"/>
        <v>25</v>
      </c>
      <c r="CNL6">
        <f t="shared" si="26"/>
        <v>25</v>
      </c>
      <c r="CNM6">
        <f t="shared" si="26"/>
        <v>25</v>
      </c>
      <c r="CNN6">
        <f t="shared" si="26"/>
        <v>25</v>
      </c>
      <c r="CNO6">
        <f t="shared" si="26"/>
        <v>25</v>
      </c>
      <c r="CNP6">
        <f t="shared" si="26"/>
        <v>25</v>
      </c>
      <c r="CNQ6">
        <f t="shared" si="26"/>
        <v>50</v>
      </c>
      <c r="CNR6">
        <f t="shared" si="26"/>
        <v>25</v>
      </c>
      <c r="CNS6">
        <f t="shared" si="26"/>
        <v>0</v>
      </c>
      <c r="CNT6">
        <f t="shared" si="26"/>
        <v>0</v>
      </c>
      <c r="CNU6">
        <f t="shared" si="26"/>
        <v>0</v>
      </c>
      <c r="CNV6">
        <f t="shared" si="26"/>
        <v>0</v>
      </c>
      <c r="CNW6">
        <f t="shared" si="26"/>
        <v>0</v>
      </c>
      <c r="CNX6">
        <f t="shared" si="26"/>
        <v>0</v>
      </c>
      <c r="CNY6">
        <f t="shared" si="26"/>
        <v>0</v>
      </c>
      <c r="CNZ6">
        <f t="shared" si="26"/>
        <v>0</v>
      </c>
      <c r="COA6">
        <f t="shared" si="26"/>
        <v>0</v>
      </c>
      <c r="COB6">
        <f t="shared" si="26"/>
        <v>0</v>
      </c>
      <c r="COC6">
        <f t="shared" si="26"/>
        <v>0</v>
      </c>
      <c r="COD6">
        <f t="shared" si="26"/>
        <v>12.5</v>
      </c>
      <c r="COE6">
        <f t="shared" si="26"/>
        <v>12.5</v>
      </c>
      <c r="COF6">
        <f t="shared" si="26"/>
        <v>12.5</v>
      </c>
      <c r="COG6">
        <f t="shared" si="26"/>
        <v>25</v>
      </c>
      <c r="COH6">
        <f t="shared" si="26"/>
        <v>25</v>
      </c>
      <c r="COI6">
        <f t="shared" si="26"/>
        <v>25</v>
      </c>
      <c r="COJ6">
        <f t="shared" si="26"/>
        <v>25</v>
      </c>
      <c r="COK6">
        <f t="shared" si="26"/>
        <v>25</v>
      </c>
      <c r="COL6">
        <f t="shared" si="26"/>
        <v>25</v>
      </c>
      <c r="COM6">
        <f t="shared" si="26"/>
        <v>50</v>
      </c>
      <c r="CON6">
        <f t="shared" si="26"/>
        <v>25</v>
      </c>
      <c r="COO6">
        <f t="shared" si="26"/>
        <v>0</v>
      </c>
      <c r="COP6">
        <f t="shared" si="26"/>
        <v>0</v>
      </c>
      <c r="COQ6">
        <f t="shared" ref="COQ6:CRB9" si="27">BNO6</f>
        <v>0</v>
      </c>
      <c r="COR6">
        <f t="shared" si="27"/>
        <v>0</v>
      </c>
      <c r="COS6">
        <f t="shared" si="27"/>
        <v>0</v>
      </c>
      <c r="COT6">
        <f t="shared" si="27"/>
        <v>0</v>
      </c>
      <c r="COU6">
        <f t="shared" si="27"/>
        <v>0</v>
      </c>
      <c r="COV6">
        <f t="shared" si="27"/>
        <v>0</v>
      </c>
      <c r="COW6">
        <f t="shared" si="27"/>
        <v>0</v>
      </c>
      <c r="COX6">
        <f t="shared" si="27"/>
        <v>0</v>
      </c>
      <c r="COY6">
        <f t="shared" si="27"/>
        <v>0</v>
      </c>
      <c r="COZ6">
        <f t="shared" si="27"/>
        <v>12.5</v>
      </c>
      <c r="CPA6">
        <f t="shared" si="27"/>
        <v>12.5</v>
      </c>
      <c r="CPB6">
        <f t="shared" si="27"/>
        <v>12.5</v>
      </c>
      <c r="CPC6">
        <f t="shared" si="27"/>
        <v>25</v>
      </c>
      <c r="CPD6">
        <f t="shared" si="27"/>
        <v>25</v>
      </c>
      <c r="CPE6">
        <f t="shared" si="27"/>
        <v>25</v>
      </c>
      <c r="CPF6">
        <f t="shared" si="27"/>
        <v>25</v>
      </c>
      <c r="CPG6">
        <f t="shared" si="27"/>
        <v>25</v>
      </c>
      <c r="CPH6">
        <f t="shared" si="27"/>
        <v>25</v>
      </c>
      <c r="CPI6">
        <f t="shared" si="27"/>
        <v>50</v>
      </c>
      <c r="CPJ6">
        <f t="shared" si="27"/>
        <v>25</v>
      </c>
      <c r="CPK6">
        <f t="shared" si="27"/>
        <v>0</v>
      </c>
      <c r="CPL6">
        <f t="shared" si="27"/>
        <v>0</v>
      </c>
      <c r="CPM6">
        <f t="shared" si="27"/>
        <v>0</v>
      </c>
      <c r="CPN6">
        <f t="shared" si="27"/>
        <v>0</v>
      </c>
      <c r="CPO6">
        <f t="shared" si="27"/>
        <v>0</v>
      </c>
      <c r="CPP6">
        <f t="shared" si="27"/>
        <v>0</v>
      </c>
      <c r="CPQ6">
        <f t="shared" si="27"/>
        <v>0</v>
      </c>
      <c r="CPR6">
        <f t="shared" si="27"/>
        <v>0</v>
      </c>
      <c r="CPS6">
        <f t="shared" si="27"/>
        <v>0</v>
      </c>
      <c r="CPT6">
        <f t="shared" si="27"/>
        <v>0</v>
      </c>
      <c r="CPU6">
        <f t="shared" si="27"/>
        <v>0</v>
      </c>
      <c r="CPV6">
        <f t="shared" si="27"/>
        <v>12.5</v>
      </c>
      <c r="CPW6">
        <f t="shared" si="27"/>
        <v>12.5</v>
      </c>
      <c r="CPX6">
        <f t="shared" si="27"/>
        <v>12.5</v>
      </c>
      <c r="CPY6">
        <f t="shared" si="27"/>
        <v>25</v>
      </c>
      <c r="CPZ6">
        <f t="shared" si="27"/>
        <v>25</v>
      </c>
      <c r="CQA6">
        <f t="shared" si="27"/>
        <v>25</v>
      </c>
      <c r="CQB6">
        <f t="shared" si="27"/>
        <v>25</v>
      </c>
      <c r="CQC6">
        <f t="shared" si="27"/>
        <v>25</v>
      </c>
      <c r="CQD6">
        <f t="shared" si="27"/>
        <v>25</v>
      </c>
      <c r="CQE6">
        <f t="shared" si="27"/>
        <v>50</v>
      </c>
      <c r="CQF6">
        <f t="shared" si="27"/>
        <v>25</v>
      </c>
      <c r="CQG6">
        <f t="shared" si="27"/>
        <v>0</v>
      </c>
      <c r="CQH6">
        <f t="shared" si="27"/>
        <v>0</v>
      </c>
      <c r="CQI6">
        <f t="shared" si="27"/>
        <v>0</v>
      </c>
      <c r="CQJ6">
        <f t="shared" si="27"/>
        <v>0</v>
      </c>
      <c r="CQK6">
        <f t="shared" si="27"/>
        <v>0</v>
      </c>
      <c r="CQL6">
        <f t="shared" si="27"/>
        <v>0</v>
      </c>
      <c r="CQM6">
        <f t="shared" si="27"/>
        <v>0</v>
      </c>
      <c r="CQN6">
        <f t="shared" si="27"/>
        <v>0</v>
      </c>
      <c r="CQO6">
        <f t="shared" si="27"/>
        <v>0</v>
      </c>
      <c r="CQP6">
        <f t="shared" si="27"/>
        <v>0</v>
      </c>
      <c r="CQQ6">
        <f t="shared" si="27"/>
        <v>0</v>
      </c>
      <c r="CQR6">
        <f t="shared" si="27"/>
        <v>12.5</v>
      </c>
      <c r="CQS6">
        <f t="shared" si="27"/>
        <v>12.5</v>
      </c>
      <c r="CQT6">
        <f t="shared" si="27"/>
        <v>12.5</v>
      </c>
      <c r="CQU6">
        <f t="shared" si="27"/>
        <v>25</v>
      </c>
      <c r="CQV6">
        <f t="shared" si="27"/>
        <v>25</v>
      </c>
      <c r="CQW6">
        <f t="shared" si="27"/>
        <v>25</v>
      </c>
      <c r="CQX6">
        <f t="shared" si="27"/>
        <v>25</v>
      </c>
      <c r="CQY6">
        <f t="shared" si="27"/>
        <v>25</v>
      </c>
      <c r="CQZ6">
        <f t="shared" si="27"/>
        <v>25</v>
      </c>
      <c r="CRA6">
        <f t="shared" si="27"/>
        <v>50</v>
      </c>
      <c r="CRB6">
        <f t="shared" si="27"/>
        <v>25</v>
      </c>
      <c r="CRC6">
        <f t="shared" ref="CRC6:CTN9" si="28">BQA6</f>
        <v>0</v>
      </c>
      <c r="CRD6">
        <f t="shared" si="28"/>
        <v>0</v>
      </c>
      <c r="CRE6">
        <f t="shared" si="28"/>
        <v>0</v>
      </c>
      <c r="CRF6">
        <f t="shared" si="28"/>
        <v>0</v>
      </c>
      <c r="CRG6">
        <f t="shared" si="28"/>
        <v>0</v>
      </c>
      <c r="CRH6">
        <f t="shared" si="28"/>
        <v>0</v>
      </c>
      <c r="CRI6">
        <f t="shared" si="28"/>
        <v>0</v>
      </c>
      <c r="CRJ6">
        <f t="shared" si="28"/>
        <v>0</v>
      </c>
      <c r="CRK6">
        <f t="shared" si="28"/>
        <v>0</v>
      </c>
      <c r="CRL6">
        <f t="shared" si="28"/>
        <v>0</v>
      </c>
      <c r="CRM6">
        <f t="shared" si="28"/>
        <v>0</v>
      </c>
      <c r="CRN6">
        <f t="shared" si="28"/>
        <v>12.5</v>
      </c>
      <c r="CRO6">
        <f t="shared" si="28"/>
        <v>12.5</v>
      </c>
      <c r="CRP6">
        <f t="shared" si="28"/>
        <v>12.5</v>
      </c>
      <c r="CRQ6">
        <f t="shared" si="28"/>
        <v>25</v>
      </c>
      <c r="CRR6">
        <f t="shared" si="28"/>
        <v>25</v>
      </c>
      <c r="CRS6">
        <f t="shared" si="28"/>
        <v>25</v>
      </c>
      <c r="CRT6">
        <f t="shared" si="28"/>
        <v>25</v>
      </c>
      <c r="CRU6">
        <f t="shared" si="28"/>
        <v>25</v>
      </c>
      <c r="CRV6">
        <f t="shared" si="28"/>
        <v>25</v>
      </c>
      <c r="CRW6">
        <f t="shared" si="28"/>
        <v>50</v>
      </c>
      <c r="CRX6">
        <f t="shared" si="28"/>
        <v>25</v>
      </c>
      <c r="CRY6">
        <f t="shared" si="28"/>
        <v>0</v>
      </c>
      <c r="CRZ6">
        <f t="shared" si="28"/>
        <v>0</v>
      </c>
      <c r="CSA6">
        <f t="shared" si="28"/>
        <v>0</v>
      </c>
      <c r="CSB6">
        <f t="shared" si="28"/>
        <v>0</v>
      </c>
      <c r="CSC6">
        <f t="shared" si="28"/>
        <v>0</v>
      </c>
      <c r="CSD6">
        <f t="shared" si="28"/>
        <v>0</v>
      </c>
      <c r="CSE6">
        <f t="shared" si="28"/>
        <v>0</v>
      </c>
      <c r="CSF6">
        <f t="shared" si="28"/>
        <v>0</v>
      </c>
      <c r="CSG6">
        <f t="shared" si="28"/>
        <v>0</v>
      </c>
      <c r="CSH6">
        <f t="shared" si="28"/>
        <v>0</v>
      </c>
      <c r="CSI6">
        <f t="shared" si="28"/>
        <v>0</v>
      </c>
      <c r="CSJ6">
        <f t="shared" si="28"/>
        <v>12.5</v>
      </c>
      <c r="CSK6">
        <f t="shared" si="28"/>
        <v>12.5</v>
      </c>
      <c r="CSL6">
        <f t="shared" si="28"/>
        <v>12.5</v>
      </c>
      <c r="CSM6">
        <f t="shared" si="28"/>
        <v>25</v>
      </c>
      <c r="CSN6">
        <f t="shared" si="28"/>
        <v>25</v>
      </c>
      <c r="CSO6">
        <f t="shared" si="28"/>
        <v>25</v>
      </c>
      <c r="CSP6">
        <f t="shared" si="28"/>
        <v>25</v>
      </c>
      <c r="CSQ6">
        <f t="shared" si="28"/>
        <v>25</v>
      </c>
      <c r="CSR6">
        <f t="shared" si="28"/>
        <v>25</v>
      </c>
      <c r="CSS6">
        <f t="shared" si="28"/>
        <v>50</v>
      </c>
      <c r="CST6">
        <f t="shared" si="28"/>
        <v>25</v>
      </c>
      <c r="CSU6">
        <f t="shared" si="28"/>
        <v>0</v>
      </c>
      <c r="CSV6">
        <f t="shared" si="28"/>
        <v>0</v>
      </c>
      <c r="CSW6">
        <f t="shared" si="28"/>
        <v>0</v>
      </c>
      <c r="CSX6">
        <f t="shared" si="28"/>
        <v>0</v>
      </c>
      <c r="CSY6">
        <f t="shared" si="28"/>
        <v>0</v>
      </c>
      <c r="CSZ6">
        <f t="shared" si="28"/>
        <v>0</v>
      </c>
      <c r="CTA6">
        <f t="shared" si="28"/>
        <v>0</v>
      </c>
      <c r="CTB6">
        <f t="shared" si="28"/>
        <v>0</v>
      </c>
      <c r="CTC6">
        <f t="shared" si="28"/>
        <v>0</v>
      </c>
      <c r="CTD6">
        <f t="shared" si="28"/>
        <v>0</v>
      </c>
      <c r="CTE6">
        <f t="shared" si="28"/>
        <v>0</v>
      </c>
      <c r="CTF6">
        <f t="shared" si="28"/>
        <v>12.5</v>
      </c>
      <c r="CTG6">
        <f t="shared" si="28"/>
        <v>12.5</v>
      </c>
      <c r="CTH6">
        <f t="shared" si="28"/>
        <v>12.5</v>
      </c>
      <c r="CTI6">
        <f t="shared" si="28"/>
        <v>25</v>
      </c>
      <c r="CTJ6">
        <f t="shared" si="28"/>
        <v>25</v>
      </c>
      <c r="CTK6">
        <f t="shared" si="28"/>
        <v>25</v>
      </c>
      <c r="CTL6">
        <f t="shared" si="28"/>
        <v>25</v>
      </c>
      <c r="CTM6">
        <f t="shared" si="28"/>
        <v>25</v>
      </c>
      <c r="CTN6">
        <f t="shared" si="28"/>
        <v>25</v>
      </c>
      <c r="CTO6">
        <f t="shared" ref="CTO6:CVZ9" si="29">BSM6</f>
        <v>50</v>
      </c>
      <c r="CTP6">
        <f t="shared" si="29"/>
        <v>25</v>
      </c>
      <c r="CTQ6">
        <f t="shared" si="29"/>
        <v>0</v>
      </c>
      <c r="CTR6">
        <f t="shared" si="29"/>
        <v>0</v>
      </c>
      <c r="CTS6">
        <f t="shared" si="29"/>
        <v>0</v>
      </c>
      <c r="CTT6">
        <f t="shared" si="29"/>
        <v>0</v>
      </c>
      <c r="CTU6">
        <f t="shared" si="29"/>
        <v>0</v>
      </c>
      <c r="CTV6">
        <f t="shared" si="29"/>
        <v>0</v>
      </c>
      <c r="CTW6">
        <f t="shared" si="29"/>
        <v>0</v>
      </c>
      <c r="CTX6">
        <f t="shared" si="29"/>
        <v>0</v>
      </c>
      <c r="CTY6">
        <f t="shared" si="29"/>
        <v>0</v>
      </c>
      <c r="CTZ6">
        <f t="shared" si="29"/>
        <v>0</v>
      </c>
      <c r="CUA6">
        <f t="shared" si="29"/>
        <v>0</v>
      </c>
      <c r="CUB6">
        <f t="shared" si="29"/>
        <v>12.5</v>
      </c>
      <c r="CUC6">
        <f t="shared" si="29"/>
        <v>12.5</v>
      </c>
      <c r="CUD6">
        <f t="shared" si="29"/>
        <v>12.5</v>
      </c>
      <c r="CUE6">
        <f t="shared" si="29"/>
        <v>25</v>
      </c>
      <c r="CUF6">
        <f t="shared" si="29"/>
        <v>25</v>
      </c>
      <c r="CUG6">
        <f t="shared" si="29"/>
        <v>25</v>
      </c>
      <c r="CUH6">
        <f t="shared" si="29"/>
        <v>25</v>
      </c>
      <c r="CUI6">
        <f t="shared" si="29"/>
        <v>25</v>
      </c>
      <c r="CUJ6">
        <f t="shared" si="29"/>
        <v>25</v>
      </c>
      <c r="CUK6">
        <f t="shared" si="29"/>
        <v>50</v>
      </c>
      <c r="CUL6">
        <f t="shared" si="29"/>
        <v>25</v>
      </c>
      <c r="CUM6">
        <f t="shared" si="29"/>
        <v>0</v>
      </c>
      <c r="CUN6">
        <f t="shared" si="29"/>
        <v>0</v>
      </c>
      <c r="CUO6">
        <f t="shared" si="29"/>
        <v>0</v>
      </c>
      <c r="CUP6">
        <f t="shared" si="29"/>
        <v>0</v>
      </c>
      <c r="CUQ6">
        <f t="shared" si="29"/>
        <v>0</v>
      </c>
      <c r="CUR6">
        <f t="shared" si="29"/>
        <v>0</v>
      </c>
      <c r="CUS6">
        <f t="shared" si="29"/>
        <v>0</v>
      </c>
      <c r="CUT6">
        <f t="shared" si="29"/>
        <v>0</v>
      </c>
      <c r="CUU6">
        <f t="shared" si="29"/>
        <v>0</v>
      </c>
      <c r="CUV6">
        <f t="shared" si="29"/>
        <v>0</v>
      </c>
      <c r="CUW6">
        <f t="shared" si="29"/>
        <v>0</v>
      </c>
      <c r="CUX6">
        <f t="shared" si="29"/>
        <v>12.5</v>
      </c>
      <c r="CUY6">
        <f t="shared" si="29"/>
        <v>12.5</v>
      </c>
      <c r="CUZ6">
        <f t="shared" si="29"/>
        <v>12.5</v>
      </c>
      <c r="CVA6">
        <f t="shared" si="29"/>
        <v>25</v>
      </c>
      <c r="CVB6">
        <f t="shared" si="29"/>
        <v>25</v>
      </c>
      <c r="CVC6">
        <f t="shared" si="29"/>
        <v>25</v>
      </c>
      <c r="CVD6">
        <f t="shared" si="29"/>
        <v>25</v>
      </c>
      <c r="CVE6">
        <f t="shared" si="29"/>
        <v>25</v>
      </c>
      <c r="CVF6">
        <f t="shared" si="29"/>
        <v>25</v>
      </c>
      <c r="CVG6">
        <f t="shared" si="29"/>
        <v>50</v>
      </c>
      <c r="CVH6">
        <f t="shared" si="29"/>
        <v>25</v>
      </c>
      <c r="CVI6">
        <f t="shared" si="29"/>
        <v>0</v>
      </c>
      <c r="CVJ6">
        <f t="shared" si="29"/>
        <v>0</v>
      </c>
      <c r="CVK6">
        <f t="shared" si="29"/>
        <v>0</v>
      </c>
      <c r="CVL6">
        <f t="shared" si="29"/>
        <v>0</v>
      </c>
      <c r="CVM6">
        <f t="shared" si="29"/>
        <v>0</v>
      </c>
      <c r="CVN6">
        <f t="shared" si="29"/>
        <v>0</v>
      </c>
      <c r="CVO6">
        <f t="shared" si="29"/>
        <v>0</v>
      </c>
      <c r="CVP6">
        <f t="shared" si="29"/>
        <v>0</v>
      </c>
      <c r="CVQ6">
        <f t="shared" si="29"/>
        <v>0</v>
      </c>
      <c r="CVR6">
        <f t="shared" si="29"/>
        <v>0</v>
      </c>
      <c r="CVS6">
        <f t="shared" si="29"/>
        <v>0</v>
      </c>
      <c r="CVT6">
        <f t="shared" si="29"/>
        <v>12.5</v>
      </c>
      <c r="CVU6">
        <f t="shared" si="29"/>
        <v>12.5</v>
      </c>
      <c r="CVV6">
        <f t="shared" si="29"/>
        <v>12.5</v>
      </c>
      <c r="CVW6">
        <f t="shared" si="29"/>
        <v>25</v>
      </c>
      <c r="CVX6">
        <f t="shared" si="29"/>
        <v>25</v>
      </c>
      <c r="CVY6">
        <f t="shared" si="29"/>
        <v>25</v>
      </c>
      <c r="CVZ6">
        <f t="shared" si="29"/>
        <v>25</v>
      </c>
      <c r="CWA6">
        <f t="shared" ref="CWA6:CYL9" si="30">BUY6</f>
        <v>25</v>
      </c>
      <c r="CWB6">
        <f t="shared" si="30"/>
        <v>25</v>
      </c>
      <c r="CWC6">
        <f t="shared" si="30"/>
        <v>50</v>
      </c>
      <c r="CWD6">
        <f t="shared" si="30"/>
        <v>25</v>
      </c>
      <c r="CWE6">
        <f t="shared" si="30"/>
        <v>0</v>
      </c>
      <c r="CWF6">
        <f t="shared" si="30"/>
        <v>0</v>
      </c>
      <c r="CWG6">
        <f t="shared" si="30"/>
        <v>0</v>
      </c>
      <c r="CWH6">
        <f t="shared" si="30"/>
        <v>0</v>
      </c>
      <c r="CWI6">
        <f t="shared" si="30"/>
        <v>0</v>
      </c>
      <c r="CWJ6">
        <f t="shared" si="30"/>
        <v>0</v>
      </c>
      <c r="CWK6">
        <f t="shared" si="30"/>
        <v>0</v>
      </c>
      <c r="CWL6">
        <f t="shared" si="30"/>
        <v>0</v>
      </c>
      <c r="CWM6">
        <f t="shared" si="30"/>
        <v>0</v>
      </c>
      <c r="CWN6">
        <f t="shared" si="30"/>
        <v>0</v>
      </c>
      <c r="CWO6">
        <f t="shared" si="30"/>
        <v>0</v>
      </c>
      <c r="CWP6">
        <f t="shared" si="30"/>
        <v>12.5</v>
      </c>
      <c r="CWQ6">
        <f t="shared" si="30"/>
        <v>12.5</v>
      </c>
      <c r="CWR6">
        <f t="shared" si="30"/>
        <v>12.5</v>
      </c>
      <c r="CWS6">
        <f t="shared" si="30"/>
        <v>25</v>
      </c>
      <c r="CWT6">
        <f t="shared" si="30"/>
        <v>25</v>
      </c>
      <c r="CWU6">
        <f t="shared" si="30"/>
        <v>25</v>
      </c>
      <c r="CWV6">
        <f t="shared" si="30"/>
        <v>25</v>
      </c>
      <c r="CWW6">
        <f t="shared" si="30"/>
        <v>25</v>
      </c>
      <c r="CWX6">
        <f t="shared" si="30"/>
        <v>25</v>
      </c>
      <c r="CWY6">
        <f t="shared" si="30"/>
        <v>50</v>
      </c>
      <c r="CWZ6">
        <f t="shared" si="30"/>
        <v>25</v>
      </c>
      <c r="CXA6">
        <f t="shared" si="30"/>
        <v>0</v>
      </c>
      <c r="CXB6">
        <f t="shared" si="30"/>
        <v>0</v>
      </c>
      <c r="CXC6">
        <f t="shared" si="30"/>
        <v>0</v>
      </c>
      <c r="CXD6">
        <f t="shared" si="30"/>
        <v>0</v>
      </c>
      <c r="CXE6">
        <f t="shared" si="30"/>
        <v>0</v>
      </c>
      <c r="CXF6">
        <f t="shared" si="30"/>
        <v>0</v>
      </c>
      <c r="CXG6">
        <f t="shared" si="30"/>
        <v>0</v>
      </c>
      <c r="CXH6">
        <f t="shared" si="30"/>
        <v>0</v>
      </c>
      <c r="CXI6">
        <f t="shared" si="30"/>
        <v>0</v>
      </c>
      <c r="CXJ6">
        <f t="shared" si="30"/>
        <v>0</v>
      </c>
      <c r="CXK6">
        <f t="shared" si="30"/>
        <v>0</v>
      </c>
      <c r="CXL6">
        <f t="shared" si="30"/>
        <v>12.5</v>
      </c>
      <c r="CXM6">
        <f t="shared" si="30"/>
        <v>12.5</v>
      </c>
      <c r="CXN6">
        <f t="shared" si="30"/>
        <v>12.5</v>
      </c>
      <c r="CXO6">
        <f t="shared" si="30"/>
        <v>25</v>
      </c>
      <c r="CXP6">
        <f t="shared" si="30"/>
        <v>25</v>
      </c>
      <c r="CXQ6">
        <f t="shared" si="30"/>
        <v>25</v>
      </c>
      <c r="CXR6">
        <f t="shared" si="30"/>
        <v>25</v>
      </c>
      <c r="CXS6">
        <f t="shared" si="30"/>
        <v>25</v>
      </c>
      <c r="CXT6">
        <f t="shared" si="30"/>
        <v>25</v>
      </c>
      <c r="CXU6">
        <f t="shared" si="30"/>
        <v>50</v>
      </c>
      <c r="CXV6">
        <f t="shared" si="30"/>
        <v>25</v>
      </c>
      <c r="CXW6">
        <f t="shared" si="30"/>
        <v>0</v>
      </c>
      <c r="CXX6">
        <f t="shared" si="30"/>
        <v>0</v>
      </c>
      <c r="CXY6">
        <f t="shared" si="30"/>
        <v>0</v>
      </c>
      <c r="CXZ6">
        <f t="shared" si="30"/>
        <v>0</v>
      </c>
      <c r="CYA6">
        <f t="shared" si="30"/>
        <v>0</v>
      </c>
      <c r="CYB6">
        <f t="shared" si="30"/>
        <v>0</v>
      </c>
      <c r="CYC6">
        <f t="shared" si="30"/>
        <v>0</v>
      </c>
      <c r="CYD6">
        <f t="shared" si="30"/>
        <v>0</v>
      </c>
      <c r="CYE6">
        <f t="shared" si="30"/>
        <v>0</v>
      </c>
      <c r="CYF6">
        <f t="shared" si="30"/>
        <v>0</v>
      </c>
      <c r="CYG6">
        <f t="shared" si="30"/>
        <v>0</v>
      </c>
      <c r="CYH6">
        <f t="shared" si="30"/>
        <v>12.5</v>
      </c>
      <c r="CYI6">
        <f t="shared" si="30"/>
        <v>12.5</v>
      </c>
      <c r="CYJ6">
        <f t="shared" si="30"/>
        <v>12.5</v>
      </c>
      <c r="CYK6">
        <f t="shared" si="30"/>
        <v>25</v>
      </c>
      <c r="CYL6">
        <f t="shared" si="30"/>
        <v>25</v>
      </c>
      <c r="CYM6">
        <f t="shared" ref="CYM6:DAX9" si="31">BXK6</f>
        <v>25</v>
      </c>
      <c r="CYN6">
        <f t="shared" si="31"/>
        <v>25</v>
      </c>
      <c r="CYO6">
        <f t="shared" si="31"/>
        <v>25</v>
      </c>
      <c r="CYP6">
        <f t="shared" si="31"/>
        <v>25</v>
      </c>
      <c r="CYQ6">
        <f t="shared" si="31"/>
        <v>50</v>
      </c>
      <c r="CYR6">
        <f t="shared" si="31"/>
        <v>25</v>
      </c>
      <c r="CYS6">
        <f t="shared" si="31"/>
        <v>0</v>
      </c>
      <c r="CYT6">
        <f t="shared" si="31"/>
        <v>0</v>
      </c>
      <c r="CYU6">
        <f t="shared" si="31"/>
        <v>0</v>
      </c>
      <c r="CYV6">
        <f t="shared" si="31"/>
        <v>0</v>
      </c>
      <c r="CYW6">
        <f t="shared" si="31"/>
        <v>0</v>
      </c>
      <c r="CYX6">
        <f t="shared" si="31"/>
        <v>0</v>
      </c>
      <c r="CYY6">
        <f t="shared" si="31"/>
        <v>0</v>
      </c>
      <c r="CYZ6">
        <f t="shared" si="31"/>
        <v>0</v>
      </c>
      <c r="CZA6">
        <f t="shared" si="31"/>
        <v>0</v>
      </c>
      <c r="CZB6">
        <f t="shared" si="31"/>
        <v>0</v>
      </c>
      <c r="CZC6">
        <f t="shared" si="31"/>
        <v>0</v>
      </c>
      <c r="CZD6">
        <f t="shared" si="31"/>
        <v>12.5</v>
      </c>
      <c r="CZE6">
        <f t="shared" si="31"/>
        <v>12.5</v>
      </c>
      <c r="CZF6">
        <f t="shared" si="31"/>
        <v>12.5</v>
      </c>
      <c r="CZG6">
        <f t="shared" si="31"/>
        <v>25</v>
      </c>
      <c r="CZH6">
        <f t="shared" si="31"/>
        <v>25</v>
      </c>
      <c r="CZI6">
        <f t="shared" si="31"/>
        <v>25</v>
      </c>
      <c r="CZJ6">
        <f t="shared" si="31"/>
        <v>25</v>
      </c>
      <c r="CZK6">
        <f t="shared" si="31"/>
        <v>25</v>
      </c>
      <c r="CZL6">
        <f t="shared" si="31"/>
        <v>25</v>
      </c>
      <c r="CZM6">
        <f t="shared" si="31"/>
        <v>50</v>
      </c>
      <c r="CZN6">
        <f t="shared" si="31"/>
        <v>25</v>
      </c>
      <c r="CZO6">
        <f t="shared" si="31"/>
        <v>0</v>
      </c>
      <c r="CZP6">
        <f t="shared" si="31"/>
        <v>0</v>
      </c>
      <c r="CZQ6">
        <f t="shared" si="31"/>
        <v>0</v>
      </c>
      <c r="CZR6">
        <f t="shared" si="31"/>
        <v>0</v>
      </c>
      <c r="CZS6">
        <f t="shared" si="31"/>
        <v>0</v>
      </c>
      <c r="CZT6">
        <f t="shared" si="31"/>
        <v>0</v>
      </c>
      <c r="CZU6">
        <f t="shared" si="31"/>
        <v>0</v>
      </c>
      <c r="CZV6">
        <f t="shared" si="31"/>
        <v>0</v>
      </c>
      <c r="CZW6">
        <f t="shared" si="31"/>
        <v>0</v>
      </c>
      <c r="CZX6">
        <f t="shared" si="31"/>
        <v>0</v>
      </c>
      <c r="CZY6">
        <f t="shared" si="31"/>
        <v>0</v>
      </c>
      <c r="CZZ6">
        <f t="shared" si="31"/>
        <v>12.5</v>
      </c>
      <c r="DAA6">
        <f t="shared" si="31"/>
        <v>12.5</v>
      </c>
      <c r="DAB6">
        <f t="shared" si="31"/>
        <v>12.5</v>
      </c>
      <c r="DAC6">
        <f t="shared" si="31"/>
        <v>25</v>
      </c>
      <c r="DAD6">
        <f t="shared" si="31"/>
        <v>25</v>
      </c>
      <c r="DAE6">
        <f t="shared" si="31"/>
        <v>25</v>
      </c>
      <c r="DAF6">
        <f t="shared" si="31"/>
        <v>25</v>
      </c>
      <c r="DAG6">
        <f t="shared" si="31"/>
        <v>25</v>
      </c>
      <c r="DAH6">
        <f t="shared" si="31"/>
        <v>25</v>
      </c>
      <c r="DAI6">
        <f t="shared" si="31"/>
        <v>50</v>
      </c>
      <c r="DAJ6">
        <f t="shared" si="31"/>
        <v>25</v>
      </c>
      <c r="DAK6">
        <f t="shared" si="31"/>
        <v>0</v>
      </c>
      <c r="DAL6">
        <f t="shared" si="31"/>
        <v>0</v>
      </c>
      <c r="DAM6">
        <f t="shared" si="31"/>
        <v>0</v>
      </c>
      <c r="DAN6">
        <f t="shared" si="31"/>
        <v>0</v>
      </c>
      <c r="DAO6">
        <f t="shared" si="31"/>
        <v>0</v>
      </c>
      <c r="DAP6">
        <f t="shared" si="31"/>
        <v>0</v>
      </c>
      <c r="DAQ6">
        <f t="shared" si="31"/>
        <v>0</v>
      </c>
      <c r="DAR6">
        <f t="shared" si="31"/>
        <v>0</v>
      </c>
      <c r="DAS6">
        <f t="shared" si="31"/>
        <v>0</v>
      </c>
      <c r="DAT6">
        <f t="shared" si="31"/>
        <v>0</v>
      </c>
      <c r="DAU6">
        <f t="shared" si="31"/>
        <v>0</v>
      </c>
      <c r="DAV6">
        <f t="shared" si="31"/>
        <v>12.5</v>
      </c>
      <c r="DAW6">
        <f t="shared" si="31"/>
        <v>12.5</v>
      </c>
      <c r="DAX6">
        <f t="shared" si="31"/>
        <v>12.5</v>
      </c>
      <c r="DAY6">
        <f t="shared" ref="DAY6:DDI10" si="32">BZW6</f>
        <v>25</v>
      </c>
      <c r="DAZ6">
        <f t="shared" si="32"/>
        <v>25</v>
      </c>
      <c r="DBA6">
        <f t="shared" si="32"/>
        <v>25</v>
      </c>
      <c r="DBB6">
        <f t="shared" si="32"/>
        <v>25</v>
      </c>
      <c r="DBC6">
        <f t="shared" si="32"/>
        <v>25</v>
      </c>
      <c r="DBD6">
        <f t="shared" si="32"/>
        <v>25</v>
      </c>
      <c r="DBE6">
        <f t="shared" si="32"/>
        <v>50</v>
      </c>
      <c r="DBF6">
        <f t="shared" si="32"/>
        <v>25</v>
      </c>
      <c r="DBG6">
        <f t="shared" si="32"/>
        <v>0</v>
      </c>
      <c r="DBH6">
        <f t="shared" si="32"/>
        <v>0</v>
      </c>
      <c r="DBI6">
        <f t="shared" si="32"/>
        <v>0</v>
      </c>
      <c r="DBJ6">
        <f t="shared" si="32"/>
        <v>0</v>
      </c>
      <c r="DBK6">
        <f t="shared" si="32"/>
        <v>0</v>
      </c>
      <c r="DBL6">
        <f t="shared" si="32"/>
        <v>0</v>
      </c>
      <c r="DBM6">
        <f t="shared" si="32"/>
        <v>0</v>
      </c>
      <c r="DBN6">
        <f t="shared" si="32"/>
        <v>0</v>
      </c>
      <c r="DBO6">
        <f t="shared" si="32"/>
        <v>0</v>
      </c>
      <c r="DBP6">
        <f t="shared" si="32"/>
        <v>0</v>
      </c>
      <c r="DBQ6">
        <f t="shared" si="32"/>
        <v>0</v>
      </c>
      <c r="DBR6">
        <f t="shared" si="32"/>
        <v>12.5</v>
      </c>
      <c r="DBS6">
        <f t="shared" si="32"/>
        <v>12.5</v>
      </c>
      <c r="DBT6">
        <f t="shared" si="32"/>
        <v>12.5</v>
      </c>
      <c r="DBU6">
        <f t="shared" si="32"/>
        <v>25</v>
      </c>
      <c r="DBV6">
        <f t="shared" si="32"/>
        <v>25</v>
      </c>
      <c r="DBW6">
        <f t="shared" si="32"/>
        <v>25</v>
      </c>
      <c r="DBX6">
        <f t="shared" si="32"/>
        <v>25</v>
      </c>
      <c r="DBY6">
        <f t="shared" si="32"/>
        <v>25</v>
      </c>
      <c r="DBZ6">
        <f t="shared" si="32"/>
        <v>25</v>
      </c>
      <c r="DCA6">
        <f t="shared" si="32"/>
        <v>50</v>
      </c>
      <c r="DCB6">
        <f t="shared" si="32"/>
        <v>25</v>
      </c>
      <c r="DCC6">
        <f t="shared" si="32"/>
        <v>0</v>
      </c>
      <c r="DCD6">
        <f t="shared" si="32"/>
        <v>0</v>
      </c>
      <c r="DCE6">
        <f t="shared" si="32"/>
        <v>0</v>
      </c>
      <c r="DCF6">
        <f t="shared" si="32"/>
        <v>0</v>
      </c>
      <c r="DCG6">
        <f t="shared" si="32"/>
        <v>0</v>
      </c>
      <c r="DCH6">
        <f t="shared" si="32"/>
        <v>0</v>
      </c>
      <c r="DCI6">
        <f t="shared" si="32"/>
        <v>0</v>
      </c>
      <c r="DCJ6">
        <f t="shared" si="32"/>
        <v>0</v>
      </c>
      <c r="DCK6">
        <f t="shared" si="32"/>
        <v>0</v>
      </c>
      <c r="DCL6">
        <f t="shared" si="32"/>
        <v>0</v>
      </c>
      <c r="DCM6">
        <f t="shared" si="32"/>
        <v>0</v>
      </c>
      <c r="DCN6">
        <f t="shared" si="32"/>
        <v>12.5</v>
      </c>
      <c r="DCO6">
        <f t="shared" si="32"/>
        <v>12.5</v>
      </c>
      <c r="DCP6">
        <f t="shared" si="32"/>
        <v>12.5</v>
      </c>
      <c r="DCQ6">
        <f t="shared" si="32"/>
        <v>25</v>
      </c>
      <c r="DCR6">
        <f t="shared" si="32"/>
        <v>25</v>
      </c>
      <c r="DCS6">
        <f t="shared" si="32"/>
        <v>25</v>
      </c>
      <c r="DCT6">
        <f t="shared" si="32"/>
        <v>25</v>
      </c>
      <c r="DCU6">
        <f t="shared" si="32"/>
        <v>25</v>
      </c>
      <c r="DCV6">
        <f t="shared" si="32"/>
        <v>25</v>
      </c>
      <c r="DCW6">
        <f t="shared" si="32"/>
        <v>50</v>
      </c>
      <c r="DCX6">
        <f t="shared" si="32"/>
        <v>25</v>
      </c>
      <c r="DCY6">
        <f t="shared" si="32"/>
        <v>0</v>
      </c>
      <c r="DCZ6">
        <f t="shared" si="32"/>
        <v>0</v>
      </c>
      <c r="DDA6">
        <f t="shared" si="32"/>
        <v>0</v>
      </c>
      <c r="DDB6">
        <f t="shared" si="32"/>
        <v>0</v>
      </c>
      <c r="DDC6">
        <f t="shared" si="32"/>
        <v>0</v>
      </c>
      <c r="DDD6">
        <f t="shared" si="32"/>
        <v>0</v>
      </c>
      <c r="DDE6">
        <f t="shared" si="32"/>
        <v>0</v>
      </c>
      <c r="DDF6">
        <f t="shared" si="32"/>
        <v>0</v>
      </c>
      <c r="DDG6">
        <f t="shared" si="32"/>
        <v>0</v>
      </c>
      <c r="DDH6">
        <f t="shared" si="32"/>
        <v>0</v>
      </c>
      <c r="DDI6">
        <f t="shared" si="32"/>
        <v>0</v>
      </c>
    </row>
    <row r="7" spans="1:2839" x14ac:dyDescent="0.2">
      <c r="A7" s="1">
        <v>1</v>
      </c>
      <c r="B7">
        <f>'Demand Stage 2'!B6</f>
        <v>12.5</v>
      </c>
      <c r="C7">
        <f>'Demand Stage 2'!C6</f>
        <v>12.5</v>
      </c>
      <c r="D7">
        <f>'Demand Stage 2'!D6</f>
        <v>12.5</v>
      </c>
      <c r="E7">
        <f>'Demand Stage 2'!E6</f>
        <v>25</v>
      </c>
      <c r="F7">
        <f>'Demand Stage 2'!F6</f>
        <v>25</v>
      </c>
      <c r="G7">
        <f>'Demand Stage 2'!G6</f>
        <v>25</v>
      </c>
      <c r="H7">
        <f>'Demand Stage 2'!H6</f>
        <v>25</v>
      </c>
      <c r="I7">
        <f>'Demand Stage 2'!I6</f>
        <v>25</v>
      </c>
      <c r="J7">
        <f>'Demand Stage 2'!J6</f>
        <v>25</v>
      </c>
      <c r="K7">
        <f>'Demand Stage 2'!K6</f>
        <v>50</v>
      </c>
      <c r="L7">
        <f>'Demand Stage 2'!L6</f>
        <v>25</v>
      </c>
      <c r="M7">
        <f>'Demand Stage 2'!M6</f>
        <v>0</v>
      </c>
      <c r="N7">
        <f>'Demand Stage 2'!N6</f>
        <v>0</v>
      </c>
      <c r="O7">
        <f>'Demand Stage 2'!O6</f>
        <v>0</v>
      </c>
      <c r="P7">
        <f>'Demand Stage 2'!P6</f>
        <v>0</v>
      </c>
      <c r="Q7">
        <f>'Demand Stage 2'!Q6</f>
        <v>0</v>
      </c>
      <c r="R7">
        <f>'Demand Stage 2'!R6</f>
        <v>0</v>
      </c>
      <c r="S7">
        <f>'Demand Stage 2'!S6</f>
        <v>0</v>
      </c>
      <c r="T7">
        <f>'Demand Stage 2'!T6</f>
        <v>0</v>
      </c>
      <c r="U7">
        <f>'Demand Stage 2'!U6</f>
        <v>0</v>
      </c>
      <c r="V7">
        <f>'Demand Stage 2'!V6</f>
        <v>0</v>
      </c>
      <c r="W7">
        <f>'Demand Stage 2'!W6</f>
        <v>0</v>
      </c>
      <c r="X7">
        <f>'Demand Stage 2'!X6</f>
        <v>12.5</v>
      </c>
      <c r="Y7">
        <f>'Demand Stage 2'!Y6</f>
        <v>12.5</v>
      </c>
      <c r="Z7">
        <f>'Demand Stage 2'!Z6</f>
        <v>12.5</v>
      </c>
      <c r="AA7">
        <f>'Demand Stage 2'!AA6</f>
        <v>25</v>
      </c>
      <c r="AB7">
        <f>'Demand Stage 2'!AB6</f>
        <v>25</v>
      </c>
      <c r="AC7">
        <f>'Demand Stage 2'!AC6</f>
        <v>25</v>
      </c>
      <c r="AD7">
        <f>'Demand Stage 2'!AD6</f>
        <v>25</v>
      </c>
      <c r="AE7">
        <f>'Demand Stage 2'!AE6</f>
        <v>25</v>
      </c>
      <c r="AF7">
        <f>'Demand Stage 2'!AF6</f>
        <v>25</v>
      </c>
      <c r="AG7">
        <f>'Demand Stage 2'!AG6</f>
        <v>50</v>
      </c>
      <c r="AH7">
        <f>'Demand Stage 2'!AH6</f>
        <v>25</v>
      </c>
      <c r="AI7">
        <f>'Demand Stage 2'!AI6</f>
        <v>0</v>
      </c>
      <c r="AJ7">
        <f>'Demand Stage 2'!AJ6</f>
        <v>0</v>
      </c>
      <c r="AK7">
        <f>'Demand Stage 2'!AK6</f>
        <v>0</v>
      </c>
      <c r="AL7">
        <f>'Demand Stage 2'!AL6</f>
        <v>0</v>
      </c>
      <c r="AM7">
        <f>'Demand Stage 2'!AM6</f>
        <v>0</v>
      </c>
      <c r="AN7">
        <f>'Demand Stage 2'!AN6</f>
        <v>0</v>
      </c>
      <c r="AO7">
        <f>'Demand Stage 2'!AO6</f>
        <v>0</v>
      </c>
      <c r="AP7">
        <f>'Demand Stage 2'!AP6</f>
        <v>0</v>
      </c>
      <c r="AQ7">
        <f>'Demand Stage 2'!AQ6</f>
        <v>0</v>
      </c>
      <c r="AR7">
        <f>'Demand Stage 2'!AR6</f>
        <v>0</v>
      </c>
      <c r="AS7">
        <f>'Demand Stage 2'!AS6</f>
        <v>0</v>
      </c>
      <c r="AT7">
        <f>'Demand Stage 2'!AT6</f>
        <v>12.5</v>
      </c>
      <c r="AU7">
        <f>'Demand Stage 2'!AU6</f>
        <v>12.5</v>
      </c>
      <c r="AV7">
        <f>'Demand Stage 2'!AV6</f>
        <v>12.5</v>
      </c>
      <c r="AW7">
        <f>'Demand Stage 2'!AW6</f>
        <v>25</v>
      </c>
      <c r="AX7">
        <f>'Demand Stage 2'!AX6</f>
        <v>25</v>
      </c>
      <c r="AY7">
        <f>'Demand Stage 2'!AY6</f>
        <v>25</v>
      </c>
      <c r="AZ7">
        <f>'Demand Stage 2'!AZ6</f>
        <v>25</v>
      </c>
      <c r="BA7">
        <f>'Demand Stage 2'!BA6</f>
        <v>25</v>
      </c>
      <c r="BB7">
        <f>'Demand Stage 2'!BB6</f>
        <v>25</v>
      </c>
      <c r="BC7">
        <f>'Demand Stage 2'!BC6</f>
        <v>50</v>
      </c>
      <c r="BD7">
        <f>'Demand Stage 2'!BD6</f>
        <v>25</v>
      </c>
      <c r="BE7">
        <f>'Demand Stage 2'!BE6</f>
        <v>0</v>
      </c>
      <c r="BF7">
        <f>'Demand Stage 2'!BF6</f>
        <v>0</v>
      </c>
      <c r="BG7">
        <f>'Demand Stage 2'!BG6</f>
        <v>0</v>
      </c>
      <c r="BH7">
        <f>'Demand Stage 2'!BH6</f>
        <v>0</v>
      </c>
      <c r="BI7">
        <f>'Demand Stage 2'!BI6</f>
        <v>0</v>
      </c>
      <c r="BJ7">
        <f>'Demand Stage 2'!BJ6</f>
        <v>0</v>
      </c>
      <c r="BK7">
        <f>'Demand Stage 2'!BK6</f>
        <v>0</v>
      </c>
      <c r="BL7">
        <f>'Demand Stage 2'!BL6</f>
        <v>0</v>
      </c>
      <c r="BM7">
        <f>'Demand Stage 2'!BM6</f>
        <v>0</v>
      </c>
      <c r="BN7">
        <f>'Demand Stage 2'!BN6</f>
        <v>0</v>
      </c>
      <c r="BO7">
        <f>'Demand Stage 2'!BO6</f>
        <v>0</v>
      </c>
      <c r="BP7">
        <f>'Demand Stage 2'!BP6</f>
        <v>12.5</v>
      </c>
      <c r="BQ7">
        <f>'Demand Stage 2'!BQ6</f>
        <v>12.5</v>
      </c>
      <c r="BR7">
        <f>'Demand Stage 2'!BR6</f>
        <v>12.5</v>
      </c>
      <c r="BS7">
        <f>'Demand Stage 2'!BS6</f>
        <v>25</v>
      </c>
      <c r="BT7">
        <f>'Demand Stage 2'!BT6</f>
        <v>25</v>
      </c>
      <c r="BU7">
        <f>'Demand Stage 2'!BU6</f>
        <v>25</v>
      </c>
      <c r="BV7">
        <f>'Demand Stage 2'!BV6</f>
        <v>25</v>
      </c>
      <c r="BW7">
        <f>'Demand Stage 2'!BW6</f>
        <v>25</v>
      </c>
      <c r="BX7">
        <f>'Demand Stage 2'!BX6</f>
        <v>25</v>
      </c>
      <c r="BY7">
        <f>'Demand Stage 2'!BY6</f>
        <v>50</v>
      </c>
      <c r="BZ7">
        <f>'Demand Stage 2'!BZ6</f>
        <v>25</v>
      </c>
      <c r="CA7">
        <f>'Demand Stage 2'!CA6</f>
        <v>0</v>
      </c>
      <c r="CB7">
        <f>'Demand Stage 2'!CB6</f>
        <v>0</v>
      </c>
      <c r="CC7">
        <f>'Demand Stage 2'!CC6</f>
        <v>0</v>
      </c>
      <c r="CD7">
        <f>'Demand Stage 2'!CD6</f>
        <v>0</v>
      </c>
      <c r="CE7">
        <f>'Demand Stage 2'!CE6</f>
        <v>0</v>
      </c>
      <c r="CF7">
        <f>'Demand Stage 2'!CF6</f>
        <v>0</v>
      </c>
      <c r="CG7">
        <f>'Demand Stage 2'!CG6</f>
        <v>0</v>
      </c>
      <c r="CH7">
        <f>'Demand Stage 2'!CH6</f>
        <v>0</v>
      </c>
      <c r="CI7">
        <f>'Demand Stage 2'!CI6</f>
        <v>0</v>
      </c>
      <c r="CJ7">
        <f>'Demand Stage 2'!CJ6</f>
        <v>0</v>
      </c>
      <c r="CK7">
        <f>'Demand Stage 2'!CK6</f>
        <v>0</v>
      </c>
      <c r="CL7">
        <f>'Demand Stage 2'!CL6</f>
        <v>12.5</v>
      </c>
      <c r="CM7">
        <f>'Demand Stage 2'!CM6</f>
        <v>12.5</v>
      </c>
      <c r="CN7">
        <f>'Demand Stage 2'!CN6</f>
        <v>12.5</v>
      </c>
      <c r="CO7">
        <f>'Demand Stage 2'!CO6</f>
        <v>25</v>
      </c>
      <c r="CP7">
        <f>'Demand Stage 2'!CP6</f>
        <v>25</v>
      </c>
      <c r="CQ7">
        <f>'Demand Stage 2'!CQ6</f>
        <v>25</v>
      </c>
      <c r="CR7">
        <f>'Demand Stage 2'!CR6</f>
        <v>25</v>
      </c>
      <c r="CS7">
        <f>'Demand Stage 2'!CS6</f>
        <v>25</v>
      </c>
      <c r="CT7">
        <f>'Demand Stage 2'!CT6</f>
        <v>25</v>
      </c>
      <c r="CU7">
        <f>'Demand Stage 2'!CU6</f>
        <v>50</v>
      </c>
      <c r="CV7">
        <f>'Demand Stage 2'!CV6</f>
        <v>25</v>
      </c>
      <c r="CW7">
        <f>'Demand Stage 2'!CW6</f>
        <v>0</v>
      </c>
      <c r="CX7">
        <f>'Demand Stage 2'!CX6</f>
        <v>0</v>
      </c>
      <c r="CY7">
        <f>'Demand Stage 2'!CY6</f>
        <v>0</v>
      </c>
      <c r="CZ7">
        <f>'Demand Stage 2'!CZ6</f>
        <v>0</v>
      </c>
      <c r="DA7">
        <f>'Demand Stage 2'!DA6</f>
        <v>0</v>
      </c>
      <c r="DB7">
        <f>'Demand Stage 2'!DB6</f>
        <v>0</v>
      </c>
      <c r="DC7">
        <f>'Demand Stage 2'!DC6</f>
        <v>0</v>
      </c>
      <c r="DD7">
        <f>'Demand Stage 2'!DD6</f>
        <v>0</v>
      </c>
      <c r="DE7">
        <f>'Demand Stage 2'!DE6</f>
        <v>0</v>
      </c>
      <c r="DF7">
        <f>'Demand Stage 2'!DF6</f>
        <v>0</v>
      </c>
      <c r="DG7">
        <f>'Demand Stage 2'!DG6</f>
        <v>0</v>
      </c>
      <c r="DH7">
        <f>'Demand Stage 2'!DH6</f>
        <v>12.5</v>
      </c>
      <c r="DI7">
        <f>'Demand Stage 2'!DI6</f>
        <v>12.5</v>
      </c>
      <c r="DJ7">
        <f>'Demand Stage 2'!DJ6</f>
        <v>12.5</v>
      </c>
      <c r="DK7">
        <f>'Demand Stage 2'!DK6</f>
        <v>25</v>
      </c>
      <c r="DL7">
        <f>'Demand Stage 2'!DL6</f>
        <v>25</v>
      </c>
      <c r="DM7">
        <f>'Demand Stage 2'!DM6</f>
        <v>25</v>
      </c>
      <c r="DN7">
        <f>'Demand Stage 2'!DN6</f>
        <v>25</v>
      </c>
      <c r="DO7">
        <f>'Demand Stage 2'!DO6</f>
        <v>25</v>
      </c>
      <c r="DP7">
        <f>'Demand Stage 2'!DP6</f>
        <v>25</v>
      </c>
      <c r="DQ7">
        <f>'Demand Stage 2'!DQ6</f>
        <v>50</v>
      </c>
      <c r="DR7">
        <f>'Demand Stage 2'!DR6</f>
        <v>25</v>
      </c>
      <c r="DS7">
        <f>'Demand Stage 2'!DS6</f>
        <v>0</v>
      </c>
      <c r="DT7">
        <f>'Demand Stage 2'!DT6</f>
        <v>0</v>
      </c>
      <c r="DU7">
        <f>'Demand Stage 2'!DU6</f>
        <v>0</v>
      </c>
      <c r="DV7">
        <f>'Demand Stage 2'!DV6</f>
        <v>0</v>
      </c>
      <c r="DW7">
        <f>'Demand Stage 2'!DW6</f>
        <v>0</v>
      </c>
      <c r="DX7">
        <f>'Demand Stage 2'!DX6</f>
        <v>0</v>
      </c>
      <c r="DY7">
        <f>'Demand Stage 2'!DY6</f>
        <v>0</v>
      </c>
      <c r="DZ7">
        <f>'Demand Stage 2'!DZ6</f>
        <v>0</v>
      </c>
      <c r="EA7">
        <f>'Demand Stage 2'!EA6</f>
        <v>0</v>
      </c>
      <c r="EB7">
        <f>'Demand Stage 2'!EB6</f>
        <v>0</v>
      </c>
      <c r="EC7">
        <f>'Demand Stage 2'!EC6</f>
        <v>0</v>
      </c>
      <c r="ED7">
        <f>'Demand Stage 2'!ED6</f>
        <v>12.5</v>
      </c>
      <c r="EE7">
        <f>'Demand Stage 2'!EE6</f>
        <v>12.5</v>
      </c>
      <c r="EF7">
        <f>'Demand Stage 2'!EF6</f>
        <v>12.5</v>
      </c>
      <c r="EG7">
        <f>'Demand Stage 2'!EG6</f>
        <v>25</v>
      </c>
      <c r="EH7">
        <f>'Demand Stage 2'!EH6</f>
        <v>25</v>
      </c>
      <c r="EI7">
        <f>'Demand Stage 2'!EI6</f>
        <v>25</v>
      </c>
      <c r="EJ7">
        <f>'Demand Stage 2'!EJ6</f>
        <v>25</v>
      </c>
      <c r="EK7">
        <f>'Demand Stage 2'!EK6</f>
        <v>25</v>
      </c>
      <c r="EL7">
        <f>'Demand Stage 2'!EL6</f>
        <v>25</v>
      </c>
      <c r="EM7">
        <f>'Demand Stage 2'!EM6</f>
        <v>50</v>
      </c>
      <c r="EN7">
        <f>'Demand Stage 2'!EN6</f>
        <v>25</v>
      </c>
      <c r="EO7">
        <f>'Demand Stage 2'!EO6</f>
        <v>0</v>
      </c>
      <c r="EP7">
        <f>'Demand Stage 2'!EP6</f>
        <v>0</v>
      </c>
      <c r="EQ7">
        <f>'Demand Stage 2'!EQ6</f>
        <v>0</v>
      </c>
      <c r="ER7">
        <f>'Demand Stage 2'!ER6</f>
        <v>0</v>
      </c>
      <c r="ES7">
        <f>'Demand Stage 2'!ES6</f>
        <v>0</v>
      </c>
      <c r="ET7">
        <f>'Demand Stage 2'!ET6</f>
        <v>0</v>
      </c>
      <c r="EU7">
        <f>'Demand Stage 2'!EU6</f>
        <v>0</v>
      </c>
      <c r="EV7">
        <f>'Demand Stage 2'!EV6</f>
        <v>0</v>
      </c>
      <c r="EW7">
        <f>'Demand Stage 2'!EW6</f>
        <v>0</v>
      </c>
      <c r="EX7">
        <f>'Demand Stage 2'!EX6</f>
        <v>0</v>
      </c>
      <c r="EY7">
        <f>'Demand Stage 2'!EY6</f>
        <v>0</v>
      </c>
      <c r="EZ7">
        <f>'Demand Stage 2'!EZ6</f>
        <v>12.5</v>
      </c>
      <c r="FA7">
        <f>'Demand Stage 2'!FA6</f>
        <v>12.5</v>
      </c>
      <c r="FB7">
        <f>'Demand Stage 2'!FB6</f>
        <v>12.5</v>
      </c>
      <c r="FC7">
        <f>'Demand Stage 2'!FC6</f>
        <v>25</v>
      </c>
      <c r="FD7">
        <f>'Demand Stage 2'!FD6</f>
        <v>25</v>
      </c>
      <c r="FE7">
        <f>'Demand Stage 2'!FE6</f>
        <v>25</v>
      </c>
      <c r="FF7">
        <f>'Demand Stage 2'!FF6</f>
        <v>25</v>
      </c>
      <c r="FG7">
        <f>'Demand Stage 2'!FG6</f>
        <v>25</v>
      </c>
      <c r="FH7">
        <f>'Demand Stage 2'!FH6</f>
        <v>25</v>
      </c>
      <c r="FI7">
        <f>'Demand Stage 2'!FI6</f>
        <v>50</v>
      </c>
      <c r="FJ7">
        <f>'Demand Stage 2'!FJ6</f>
        <v>25</v>
      </c>
      <c r="FK7">
        <f>'Demand Stage 2'!FK6</f>
        <v>0</v>
      </c>
      <c r="FL7">
        <f>'Demand Stage 2'!FL6</f>
        <v>0</v>
      </c>
      <c r="FM7">
        <f>'Demand Stage 2'!FM6</f>
        <v>0</v>
      </c>
      <c r="FN7">
        <f>'Demand Stage 2'!FN6</f>
        <v>0</v>
      </c>
      <c r="FO7">
        <f>'Demand Stage 2'!FO6</f>
        <v>0</v>
      </c>
      <c r="FP7">
        <f>'Demand Stage 2'!FP6</f>
        <v>0</v>
      </c>
      <c r="FQ7">
        <f>'Demand Stage 2'!FQ6</f>
        <v>0</v>
      </c>
      <c r="FR7">
        <f>'Demand Stage 2'!FR6</f>
        <v>0</v>
      </c>
      <c r="FS7">
        <f>'Demand Stage 2'!FS6</f>
        <v>0</v>
      </c>
      <c r="FT7">
        <f>'Demand Stage 2'!FT6</f>
        <v>0</v>
      </c>
      <c r="FU7">
        <f>'Demand Stage 2'!FU6</f>
        <v>0</v>
      </c>
      <c r="FV7">
        <f>'Demand Stage 2'!FV6</f>
        <v>12.5</v>
      </c>
      <c r="FW7">
        <f>'Demand Stage 2'!FW6</f>
        <v>12.5</v>
      </c>
      <c r="FX7">
        <f>'Demand Stage 2'!FX6</f>
        <v>12.5</v>
      </c>
      <c r="FY7">
        <f>'Demand Stage 2'!FY6</f>
        <v>25</v>
      </c>
      <c r="FZ7">
        <f>'Demand Stage 2'!FZ6</f>
        <v>25</v>
      </c>
      <c r="GA7">
        <f>'Demand Stage 2'!GA6</f>
        <v>25</v>
      </c>
      <c r="GB7">
        <f>'Demand Stage 2'!GB6</f>
        <v>25</v>
      </c>
      <c r="GC7">
        <f>'Demand Stage 2'!GC6</f>
        <v>25</v>
      </c>
      <c r="GD7">
        <f>'Demand Stage 2'!GD6</f>
        <v>25</v>
      </c>
      <c r="GE7">
        <f>'Demand Stage 2'!GE6</f>
        <v>50</v>
      </c>
      <c r="GF7">
        <f>'Demand Stage 2'!GF6</f>
        <v>25</v>
      </c>
      <c r="GG7">
        <f>'Demand Stage 2'!GG6</f>
        <v>0</v>
      </c>
      <c r="GH7">
        <f>'Demand Stage 2'!GH6</f>
        <v>0</v>
      </c>
      <c r="GI7">
        <f>'Demand Stage 2'!GI6</f>
        <v>0</v>
      </c>
      <c r="GJ7">
        <f>'Demand Stage 2'!GJ6</f>
        <v>0</v>
      </c>
      <c r="GK7">
        <f>'Demand Stage 2'!GK6</f>
        <v>0</v>
      </c>
      <c r="GL7">
        <f>'Demand Stage 2'!GL6</f>
        <v>0</v>
      </c>
      <c r="GM7">
        <f>'Demand Stage 2'!GM6</f>
        <v>0</v>
      </c>
      <c r="GN7">
        <f>'Demand Stage 2'!GN6</f>
        <v>0</v>
      </c>
      <c r="GO7">
        <f>'Demand Stage 2'!GO6</f>
        <v>0</v>
      </c>
      <c r="GP7">
        <f>'Demand Stage 2'!GP6</f>
        <v>0</v>
      </c>
      <c r="GQ7">
        <f>'Demand Stage 2'!GQ6</f>
        <v>0</v>
      </c>
      <c r="GR7">
        <f>'Demand Stage 2'!GR6</f>
        <v>12.5</v>
      </c>
      <c r="GS7">
        <f>'Demand Stage 2'!GS6</f>
        <v>12.5</v>
      </c>
      <c r="GT7">
        <f>'Demand Stage 2'!GT6</f>
        <v>12.5</v>
      </c>
      <c r="GU7">
        <f>'Demand Stage 2'!GU6</f>
        <v>25</v>
      </c>
      <c r="GV7">
        <f>'Demand Stage 2'!GV6</f>
        <v>25</v>
      </c>
      <c r="GW7">
        <f>'Demand Stage 2'!GW6</f>
        <v>25</v>
      </c>
      <c r="GX7">
        <f>'Demand Stage 2'!GX6</f>
        <v>25</v>
      </c>
      <c r="GY7">
        <f>'Demand Stage 2'!GY6</f>
        <v>25</v>
      </c>
      <c r="GZ7">
        <f>'Demand Stage 2'!GZ6</f>
        <v>25</v>
      </c>
      <c r="HA7">
        <f>'Demand Stage 2'!HA6</f>
        <v>50</v>
      </c>
      <c r="HB7">
        <f>'Demand Stage 2'!HB6</f>
        <v>25</v>
      </c>
      <c r="HC7">
        <f>'Demand Stage 2'!HC6</f>
        <v>0</v>
      </c>
      <c r="HD7">
        <f>'Demand Stage 2'!HD6</f>
        <v>0</v>
      </c>
      <c r="HE7">
        <f>'Demand Stage 2'!HE6</f>
        <v>0</v>
      </c>
      <c r="HF7">
        <f>'Demand Stage 2'!HF6</f>
        <v>0</v>
      </c>
      <c r="HG7">
        <f>'Demand Stage 2'!HG6</f>
        <v>0</v>
      </c>
      <c r="HH7">
        <f>'Demand Stage 2'!HH6</f>
        <v>0</v>
      </c>
      <c r="HI7">
        <f>'Demand Stage 2'!HI6</f>
        <v>0</v>
      </c>
      <c r="HJ7">
        <f>'Demand Stage 2'!HJ6</f>
        <v>0</v>
      </c>
      <c r="HK7">
        <f>'Demand Stage 2'!HK6</f>
        <v>0</v>
      </c>
      <c r="HL7">
        <f>'Demand Stage 2'!HL6</f>
        <v>0</v>
      </c>
      <c r="HM7">
        <f>'Demand Stage 2'!HM6</f>
        <v>0</v>
      </c>
      <c r="HN7">
        <f>'Demand Stage 2'!HN6</f>
        <v>12.5</v>
      </c>
      <c r="HO7">
        <f>'Demand Stage 2'!HO6</f>
        <v>12.5</v>
      </c>
      <c r="HP7">
        <f>'Demand Stage 2'!HP6</f>
        <v>12.5</v>
      </c>
      <c r="HQ7">
        <f>'Demand Stage 2'!HQ6</f>
        <v>25</v>
      </c>
      <c r="HR7">
        <f>'Demand Stage 2'!HR6</f>
        <v>25</v>
      </c>
      <c r="HS7">
        <f>'Demand Stage 2'!HS6</f>
        <v>25</v>
      </c>
      <c r="HT7">
        <f>'Demand Stage 2'!HT6</f>
        <v>25</v>
      </c>
      <c r="HU7">
        <f>'Demand Stage 2'!HU6</f>
        <v>25</v>
      </c>
      <c r="HV7">
        <f>'Demand Stage 2'!HV6</f>
        <v>25</v>
      </c>
      <c r="HW7">
        <f>'Demand Stage 2'!HW6</f>
        <v>50</v>
      </c>
      <c r="HX7">
        <f>'Demand Stage 2'!HX6</f>
        <v>25</v>
      </c>
      <c r="HY7">
        <f>'Demand Stage 2'!HY6</f>
        <v>0</v>
      </c>
      <c r="HZ7">
        <f>'Demand Stage 2'!HZ6</f>
        <v>0</v>
      </c>
      <c r="IA7">
        <f>'Demand Stage 2'!IA6</f>
        <v>0</v>
      </c>
      <c r="IB7">
        <f>'Demand Stage 2'!IB6</f>
        <v>0</v>
      </c>
      <c r="IC7">
        <f>'Demand Stage 2'!IC6</f>
        <v>0</v>
      </c>
      <c r="ID7">
        <f>'Demand Stage 2'!ID6</f>
        <v>0</v>
      </c>
      <c r="IE7">
        <f>'Demand Stage 2'!IE6</f>
        <v>0</v>
      </c>
      <c r="IF7">
        <f>'Demand Stage 2'!IF6</f>
        <v>0</v>
      </c>
      <c r="IG7">
        <f>'Demand Stage 2'!IG6</f>
        <v>0</v>
      </c>
      <c r="IH7">
        <f>'Demand Stage 2'!IH6</f>
        <v>0</v>
      </c>
      <c r="II7">
        <f>'Demand Stage 2'!II6</f>
        <v>0</v>
      </c>
      <c r="IJ7">
        <f>'Demand Stage 2'!IJ6</f>
        <v>12.5</v>
      </c>
      <c r="IK7">
        <f>'Demand Stage 2'!IK6</f>
        <v>12.5</v>
      </c>
      <c r="IL7">
        <f>'Demand Stage 2'!IL6</f>
        <v>12.5</v>
      </c>
      <c r="IM7">
        <f>'Demand Stage 2'!IM6</f>
        <v>25</v>
      </c>
      <c r="IN7">
        <f>'Demand Stage 2'!IN6</f>
        <v>25</v>
      </c>
      <c r="IO7">
        <f>'Demand Stage 2'!IO6</f>
        <v>25</v>
      </c>
      <c r="IP7">
        <f>'Demand Stage 2'!IP6</f>
        <v>25</v>
      </c>
      <c r="IQ7">
        <f>'Demand Stage 2'!IQ6</f>
        <v>25</v>
      </c>
      <c r="IR7">
        <f>'Demand Stage 2'!IR6</f>
        <v>25</v>
      </c>
      <c r="IS7">
        <f>'Demand Stage 2'!IS6</f>
        <v>50</v>
      </c>
      <c r="IT7">
        <f>'Demand Stage 2'!IT6</f>
        <v>25</v>
      </c>
      <c r="IU7">
        <f>'Demand Stage 2'!IU6</f>
        <v>0</v>
      </c>
      <c r="IV7">
        <f>'Demand Stage 2'!IV6</f>
        <v>0</v>
      </c>
      <c r="IW7">
        <f>'Demand Stage 2'!IW6</f>
        <v>0</v>
      </c>
      <c r="IX7">
        <f>'Demand Stage 2'!IX6</f>
        <v>0</v>
      </c>
      <c r="IY7">
        <f>'Demand Stage 2'!IY6</f>
        <v>0</v>
      </c>
      <c r="IZ7">
        <f>'Demand Stage 2'!IZ6</f>
        <v>0</v>
      </c>
      <c r="JA7">
        <f>'Demand Stage 2'!JA6</f>
        <v>0</v>
      </c>
      <c r="JB7">
        <f>'Demand Stage 2'!JB6</f>
        <v>0</v>
      </c>
      <c r="JC7">
        <f>'Demand Stage 2'!JC6</f>
        <v>0</v>
      </c>
      <c r="JD7">
        <f>'Demand Stage 2'!JD6</f>
        <v>0</v>
      </c>
      <c r="JE7">
        <f>'Demand Stage 2'!JE6</f>
        <v>0</v>
      </c>
      <c r="JF7">
        <f>'Demand Stage 2'!JF6</f>
        <v>12.5</v>
      </c>
      <c r="JG7">
        <f>'Demand Stage 2'!JG6</f>
        <v>12.5</v>
      </c>
      <c r="JH7">
        <f>'Demand Stage 2'!JH6</f>
        <v>12.5</v>
      </c>
      <c r="JI7">
        <f>'Demand Stage 2'!JI6</f>
        <v>25</v>
      </c>
      <c r="JJ7">
        <f>'Demand Stage 2'!JJ6</f>
        <v>25</v>
      </c>
      <c r="JK7">
        <f>'Demand Stage 2'!JK6</f>
        <v>25</v>
      </c>
      <c r="JL7">
        <f>'Demand Stage 2'!JL6</f>
        <v>25</v>
      </c>
      <c r="JM7">
        <f>'Demand Stage 2'!JM6</f>
        <v>25</v>
      </c>
      <c r="JN7">
        <f>'Demand Stage 2'!JN6</f>
        <v>25</v>
      </c>
      <c r="JO7">
        <f>'Demand Stage 2'!JO6</f>
        <v>50</v>
      </c>
      <c r="JP7">
        <f>'Demand Stage 2'!JP6</f>
        <v>25</v>
      </c>
      <c r="JQ7">
        <f>'Demand Stage 2'!JQ6</f>
        <v>0</v>
      </c>
      <c r="JR7">
        <f>'Demand Stage 2'!JR6</f>
        <v>0</v>
      </c>
      <c r="JS7">
        <f>'Demand Stage 2'!JS6</f>
        <v>0</v>
      </c>
      <c r="JT7">
        <f>'Demand Stage 2'!JT6</f>
        <v>0</v>
      </c>
      <c r="JU7">
        <f>'Demand Stage 2'!JU6</f>
        <v>0</v>
      </c>
      <c r="JV7">
        <f>'Demand Stage 2'!JV6</f>
        <v>0</v>
      </c>
      <c r="JW7">
        <f>'Demand Stage 2'!JW6</f>
        <v>0</v>
      </c>
      <c r="JX7">
        <f>'Demand Stage 2'!JX6</f>
        <v>0</v>
      </c>
      <c r="JY7">
        <f>'Demand Stage 2'!JY6</f>
        <v>0</v>
      </c>
      <c r="JZ7">
        <f>'Demand Stage 2'!JZ6</f>
        <v>0</v>
      </c>
      <c r="KA7">
        <f>'Demand Stage 2'!KA6</f>
        <v>0</v>
      </c>
      <c r="KB7">
        <f>'Demand Stage 2'!KB6</f>
        <v>12.5</v>
      </c>
      <c r="KC7">
        <f>'Demand Stage 2'!KC6</f>
        <v>12.5</v>
      </c>
      <c r="KD7">
        <f>'Demand Stage 2'!KD6</f>
        <v>12.5</v>
      </c>
      <c r="KE7">
        <f>'Demand Stage 2'!KE6</f>
        <v>25</v>
      </c>
      <c r="KF7">
        <f>'Demand Stage 2'!KF6</f>
        <v>25</v>
      </c>
      <c r="KG7">
        <f>'Demand Stage 2'!KG6</f>
        <v>25</v>
      </c>
      <c r="KH7">
        <f>'Demand Stage 2'!KH6</f>
        <v>25</v>
      </c>
      <c r="KI7">
        <f>'Demand Stage 2'!KI6</f>
        <v>25</v>
      </c>
      <c r="KJ7">
        <f>'Demand Stage 2'!KJ6</f>
        <v>25</v>
      </c>
      <c r="KK7">
        <f>'Demand Stage 2'!KK6</f>
        <v>50</v>
      </c>
      <c r="KL7">
        <f>'Demand Stage 2'!KL6</f>
        <v>25</v>
      </c>
      <c r="KM7">
        <f>'Demand Stage 2'!KM6</f>
        <v>0</v>
      </c>
      <c r="KN7">
        <f>'Demand Stage 2'!KN6</f>
        <v>0</v>
      </c>
      <c r="KO7">
        <f>'Demand Stage 2'!KO6</f>
        <v>0</v>
      </c>
      <c r="KP7">
        <f>'Demand Stage 2'!KP6</f>
        <v>0</v>
      </c>
      <c r="KQ7">
        <f>'Demand Stage 2'!KQ6</f>
        <v>0</v>
      </c>
      <c r="KR7">
        <f>'Demand Stage 2'!KR6</f>
        <v>0</v>
      </c>
      <c r="KS7">
        <f>'Demand Stage 2'!KS6</f>
        <v>0</v>
      </c>
      <c r="KT7">
        <f>'Demand Stage 2'!KT6</f>
        <v>0</v>
      </c>
      <c r="KU7">
        <f>'Demand Stage 2'!KU6</f>
        <v>0</v>
      </c>
      <c r="KV7">
        <f>'Demand Stage 2'!KV6</f>
        <v>0</v>
      </c>
      <c r="KW7">
        <f>'Demand Stage 2'!KW6</f>
        <v>0</v>
      </c>
      <c r="KX7">
        <f>'Demand Stage 2'!KX6</f>
        <v>12.5</v>
      </c>
      <c r="KY7">
        <f>'Demand Stage 2'!KY6</f>
        <v>12.5</v>
      </c>
      <c r="KZ7">
        <f>'Demand Stage 2'!KZ6</f>
        <v>12.5</v>
      </c>
      <c r="LA7">
        <f>'Demand Stage 2'!LA6</f>
        <v>25</v>
      </c>
      <c r="LB7">
        <f>'Demand Stage 2'!LB6</f>
        <v>25</v>
      </c>
      <c r="LC7">
        <f>'Demand Stage 2'!LC6</f>
        <v>25</v>
      </c>
      <c r="LD7">
        <f>'Demand Stage 2'!LD6</f>
        <v>25</v>
      </c>
      <c r="LE7">
        <f>'Demand Stage 2'!LE6</f>
        <v>25</v>
      </c>
      <c r="LF7">
        <f>'Demand Stage 2'!LF6</f>
        <v>25</v>
      </c>
      <c r="LG7">
        <f>'Demand Stage 2'!LG6</f>
        <v>50</v>
      </c>
      <c r="LH7">
        <f>'Demand Stage 2'!LH6</f>
        <v>25</v>
      </c>
      <c r="LI7">
        <f>'Demand Stage 2'!LI6</f>
        <v>0</v>
      </c>
      <c r="LJ7">
        <f>'Demand Stage 2'!LJ6</f>
        <v>0</v>
      </c>
      <c r="LK7">
        <f>'Demand Stage 2'!LK6</f>
        <v>0</v>
      </c>
      <c r="LL7">
        <f>'Demand Stage 2'!LL6</f>
        <v>0</v>
      </c>
      <c r="LM7">
        <f>'Demand Stage 2'!LM6</f>
        <v>0</v>
      </c>
      <c r="LN7">
        <f>'Demand Stage 2'!LN6</f>
        <v>0</v>
      </c>
      <c r="LO7">
        <f>'Demand Stage 2'!LO6</f>
        <v>0</v>
      </c>
      <c r="LP7">
        <f>'Demand Stage 2'!LP6</f>
        <v>0</v>
      </c>
      <c r="LQ7">
        <f>'Demand Stage 2'!LQ6</f>
        <v>0</v>
      </c>
      <c r="LR7">
        <f>'Demand Stage 2'!LR6</f>
        <v>0</v>
      </c>
      <c r="LS7">
        <f>'Demand Stage 2'!LS6</f>
        <v>0</v>
      </c>
      <c r="LT7">
        <f>'Demand Stage 2'!LT6</f>
        <v>12.5</v>
      </c>
      <c r="LU7">
        <f>'Demand Stage 2'!LU6</f>
        <v>12.5</v>
      </c>
      <c r="LV7">
        <f>'Demand Stage 2'!LV6</f>
        <v>12.5</v>
      </c>
      <c r="LW7">
        <f>'Demand Stage 2'!LW6</f>
        <v>25</v>
      </c>
      <c r="LX7">
        <f>'Demand Stage 2'!LX6</f>
        <v>25</v>
      </c>
      <c r="LY7">
        <f>'Demand Stage 2'!LY6</f>
        <v>25</v>
      </c>
      <c r="LZ7">
        <f>'Demand Stage 2'!LZ6</f>
        <v>25</v>
      </c>
      <c r="MA7">
        <f>'Demand Stage 2'!MA6</f>
        <v>25</v>
      </c>
      <c r="MB7">
        <f>'Demand Stage 2'!MB6</f>
        <v>25</v>
      </c>
      <c r="MC7">
        <f>'Demand Stage 2'!MC6</f>
        <v>50</v>
      </c>
      <c r="MD7">
        <f>'Demand Stage 2'!MD6</f>
        <v>25</v>
      </c>
      <c r="ME7">
        <f>'Demand Stage 2'!ME6</f>
        <v>0</v>
      </c>
      <c r="MF7">
        <f>'Demand Stage 2'!MF6</f>
        <v>0</v>
      </c>
      <c r="MG7">
        <f>'Demand Stage 2'!MG6</f>
        <v>0</v>
      </c>
      <c r="MH7">
        <f>'Demand Stage 2'!MH6</f>
        <v>0</v>
      </c>
      <c r="MI7">
        <f>'Demand Stage 2'!MI6</f>
        <v>0</v>
      </c>
      <c r="MJ7">
        <f>'Demand Stage 2'!MJ6</f>
        <v>0</v>
      </c>
      <c r="MK7">
        <f>'Demand Stage 2'!MK6</f>
        <v>0</v>
      </c>
      <c r="ML7">
        <f>'Demand Stage 2'!ML6</f>
        <v>0</v>
      </c>
      <c r="MM7">
        <f>'Demand Stage 2'!MM6</f>
        <v>0</v>
      </c>
      <c r="MN7">
        <f>'Demand Stage 2'!MN6</f>
        <v>0</v>
      </c>
      <c r="MO7">
        <f>'Demand Stage 2'!MO6</f>
        <v>0</v>
      </c>
      <c r="MP7">
        <f>'Demand Stage 2'!MP6</f>
        <v>12.5</v>
      </c>
      <c r="MQ7">
        <f>'Demand Stage 2'!MQ6</f>
        <v>12.5</v>
      </c>
      <c r="MR7">
        <f>'Demand Stage 2'!MR6</f>
        <v>12.5</v>
      </c>
      <c r="MS7">
        <f>'Demand Stage 2'!MS6</f>
        <v>25</v>
      </c>
      <c r="MT7">
        <f>'Demand Stage 2'!MT6</f>
        <v>25</v>
      </c>
      <c r="MU7">
        <f>'Demand Stage 2'!MU6</f>
        <v>25</v>
      </c>
      <c r="MV7">
        <f>'Demand Stage 2'!MV6</f>
        <v>25</v>
      </c>
      <c r="MW7">
        <f>'Demand Stage 2'!MW6</f>
        <v>25</v>
      </c>
      <c r="MX7">
        <f>'Demand Stage 2'!MX6</f>
        <v>25</v>
      </c>
      <c r="MY7">
        <f>'Demand Stage 2'!MY6</f>
        <v>50</v>
      </c>
      <c r="MZ7">
        <f>'Demand Stage 2'!MZ6</f>
        <v>25</v>
      </c>
      <c r="NA7">
        <f>'Demand Stage 2'!NA6</f>
        <v>0</v>
      </c>
      <c r="NB7">
        <f>'Demand Stage 2'!NB6</f>
        <v>0</v>
      </c>
      <c r="NC7">
        <f>'Demand Stage 2'!NC6</f>
        <v>0</v>
      </c>
      <c r="ND7">
        <f>'Demand Stage 2'!ND6</f>
        <v>0</v>
      </c>
      <c r="NE7">
        <f>'Demand Stage 2'!NE6</f>
        <v>0</v>
      </c>
      <c r="NF7">
        <f>'Demand Stage 2'!NF6</f>
        <v>0</v>
      </c>
      <c r="NG7">
        <f>'Demand Stage 2'!NG6</f>
        <v>0</v>
      </c>
      <c r="NH7">
        <f>'Demand Stage 2'!NH6</f>
        <v>0</v>
      </c>
      <c r="NI7">
        <f>'Demand Stage 2'!NI6</f>
        <v>0</v>
      </c>
      <c r="NJ7">
        <f>'Demand Stage 2'!NJ6</f>
        <v>0</v>
      </c>
      <c r="NK7">
        <f>'Demand Stage 2'!NK6</f>
        <v>0</v>
      </c>
      <c r="NL7">
        <f>'Demand Stage 2'!NL6</f>
        <v>12.5</v>
      </c>
      <c r="NM7">
        <f>'Demand Stage 2'!NM6</f>
        <v>12.5</v>
      </c>
      <c r="NN7">
        <f>'Demand Stage 2'!NN6</f>
        <v>12.5</v>
      </c>
      <c r="NO7">
        <f>'Demand Stage 2'!NO6</f>
        <v>25</v>
      </c>
      <c r="NP7">
        <f>'Demand Stage 2'!NP6</f>
        <v>25</v>
      </c>
      <c r="NQ7">
        <f>'Demand Stage 2'!NQ6</f>
        <v>25</v>
      </c>
      <c r="NR7">
        <f>'Demand Stage 2'!NR6</f>
        <v>25</v>
      </c>
      <c r="NS7">
        <f>'Demand Stage 2'!NS6</f>
        <v>25</v>
      </c>
      <c r="NT7">
        <f>'Demand Stage 2'!NT6</f>
        <v>25</v>
      </c>
      <c r="NU7">
        <f>'Demand Stage 2'!NU6</f>
        <v>50</v>
      </c>
      <c r="NV7">
        <f>'Demand Stage 2'!NV6</f>
        <v>25</v>
      </c>
      <c r="NW7">
        <f>'Demand Stage 2'!NW6</f>
        <v>0</v>
      </c>
      <c r="NX7">
        <f>'Demand Stage 2'!NX6</f>
        <v>0</v>
      </c>
      <c r="NY7">
        <f>'Demand Stage 2'!NY6</f>
        <v>0</v>
      </c>
      <c r="NZ7">
        <f>'Demand Stage 2'!NZ6</f>
        <v>0</v>
      </c>
      <c r="OA7">
        <f>'Demand Stage 2'!OA6</f>
        <v>0</v>
      </c>
      <c r="OB7">
        <f>'Demand Stage 2'!OB6</f>
        <v>0</v>
      </c>
      <c r="OC7">
        <f>'Demand Stage 2'!OC6</f>
        <v>0</v>
      </c>
      <c r="OD7">
        <f>'Demand Stage 2'!OD6</f>
        <v>0</v>
      </c>
      <c r="OE7">
        <f>'Demand Stage 2'!OE6</f>
        <v>0</v>
      </c>
      <c r="OF7">
        <f>'Demand Stage 2'!OF6</f>
        <v>0</v>
      </c>
      <c r="OG7">
        <f>'Demand Stage 2'!OG6</f>
        <v>0</v>
      </c>
      <c r="OH7">
        <f>'Demand Stage 2'!OH6</f>
        <v>12.5</v>
      </c>
      <c r="OI7">
        <f>'Demand Stage 2'!OI6</f>
        <v>12.5</v>
      </c>
      <c r="OJ7">
        <f>'Demand Stage 2'!OJ6</f>
        <v>12.5</v>
      </c>
      <c r="OK7">
        <f>'Demand Stage 2'!OK6</f>
        <v>25</v>
      </c>
      <c r="OL7">
        <f>'Demand Stage 2'!OL6</f>
        <v>25</v>
      </c>
      <c r="OM7">
        <f>'Demand Stage 2'!OM6</f>
        <v>25</v>
      </c>
      <c r="ON7">
        <f>'Demand Stage 2'!ON6</f>
        <v>25</v>
      </c>
      <c r="OO7">
        <f>'Demand Stage 2'!OO6</f>
        <v>25</v>
      </c>
      <c r="OP7">
        <f>'Demand Stage 2'!OP6</f>
        <v>25</v>
      </c>
      <c r="OQ7">
        <f>'Demand Stage 2'!OQ6</f>
        <v>50</v>
      </c>
      <c r="OR7">
        <f>'Demand Stage 2'!OR6</f>
        <v>25</v>
      </c>
      <c r="OS7">
        <f>'Demand Stage 2'!OS6</f>
        <v>0</v>
      </c>
      <c r="OT7">
        <f>'Demand Stage 2'!OT6</f>
        <v>0</v>
      </c>
      <c r="OU7">
        <f>'Demand Stage 2'!OU6</f>
        <v>0</v>
      </c>
      <c r="OV7">
        <f>'Demand Stage 2'!OV6</f>
        <v>0</v>
      </c>
      <c r="OW7">
        <f>'Demand Stage 2'!OW6</f>
        <v>0</v>
      </c>
      <c r="OX7">
        <f>'Demand Stage 2'!OX6</f>
        <v>0</v>
      </c>
      <c r="OY7">
        <f>'Demand Stage 2'!OY6</f>
        <v>0</v>
      </c>
      <c r="OZ7">
        <f>'Demand Stage 2'!OZ6</f>
        <v>0</v>
      </c>
      <c r="PA7">
        <f>'Demand Stage 2'!PA6</f>
        <v>0</v>
      </c>
      <c r="PB7">
        <f>'Demand Stage 2'!PB6</f>
        <v>0</v>
      </c>
      <c r="PC7">
        <f>'Demand Stage 2'!PC6</f>
        <v>0</v>
      </c>
      <c r="PD7">
        <f>'Demand Stage 2'!PD6</f>
        <v>12.5</v>
      </c>
      <c r="PE7">
        <f>'Demand Stage 2'!PE6</f>
        <v>12.5</v>
      </c>
      <c r="PF7">
        <f>'Demand Stage 2'!PF6</f>
        <v>12.5</v>
      </c>
      <c r="PG7">
        <f>'Demand Stage 2'!PG6</f>
        <v>25</v>
      </c>
      <c r="PH7">
        <f>'Demand Stage 2'!PH6</f>
        <v>25</v>
      </c>
      <c r="PI7">
        <f>'Demand Stage 2'!PI6</f>
        <v>25</v>
      </c>
      <c r="PJ7">
        <f>'Demand Stage 2'!PJ6</f>
        <v>25</v>
      </c>
      <c r="PK7">
        <f>'Demand Stage 2'!PK6</f>
        <v>25</v>
      </c>
      <c r="PL7">
        <f>'Demand Stage 2'!PL6</f>
        <v>25</v>
      </c>
      <c r="PM7">
        <f>'Demand Stage 2'!PM6</f>
        <v>50</v>
      </c>
      <c r="PN7">
        <f>'Demand Stage 2'!PN6</f>
        <v>25</v>
      </c>
      <c r="PO7">
        <f>'Demand Stage 2'!PO6</f>
        <v>0</v>
      </c>
      <c r="PP7">
        <f>'Demand Stage 2'!PP6</f>
        <v>0</v>
      </c>
      <c r="PQ7">
        <f>'Demand Stage 2'!PQ6</f>
        <v>0</v>
      </c>
      <c r="PR7">
        <f>'Demand Stage 2'!PR6</f>
        <v>0</v>
      </c>
      <c r="PS7">
        <f>'Demand Stage 2'!PS6</f>
        <v>0</v>
      </c>
      <c r="PT7">
        <f>'Demand Stage 2'!PT6</f>
        <v>0</v>
      </c>
      <c r="PU7">
        <f>'Demand Stage 2'!PU6</f>
        <v>0</v>
      </c>
      <c r="PV7">
        <f>'Demand Stage 2'!PV6</f>
        <v>0</v>
      </c>
      <c r="PW7">
        <f>'Demand Stage 2'!PW6</f>
        <v>0</v>
      </c>
      <c r="PX7">
        <f>'Demand Stage 2'!PX6</f>
        <v>0</v>
      </c>
      <c r="PY7">
        <f>'Demand Stage 2'!PY6</f>
        <v>0</v>
      </c>
      <c r="PZ7">
        <f>'Demand Stage 2'!PZ6</f>
        <v>12.5</v>
      </c>
      <c r="QA7">
        <f>'Demand Stage 2'!QA6</f>
        <v>12.5</v>
      </c>
      <c r="QB7">
        <f>'Demand Stage 2'!QB6</f>
        <v>12.5</v>
      </c>
      <c r="QC7">
        <f>'Demand Stage 2'!QC6</f>
        <v>25</v>
      </c>
      <c r="QD7">
        <f>'Demand Stage 2'!QD6</f>
        <v>25</v>
      </c>
      <c r="QE7">
        <f>'Demand Stage 2'!QE6</f>
        <v>25</v>
      </c>
      <c r="QF7">
        <f>'Demand Stage 2'!QF6</f>
        <v>25</v>
      </c>
      <c r="QG7">
        <f>'Demand Stage 2'!QG6</f>
        <v>25</v>
      </c>
      <c r="QH7">
        <f>'Demand Stage 2'!QH6</f>
        <v>25</v>
      </c>
      <c r="QI7">
        <f>'Demand Stage 2'!QI6</f>
        <v>50</v>
      </c>
      <c r="QJ7">
        <f>'Demand Stage 2'!QJ6</f>
        <v>25</v>
      </c>
      <c r="QK7">
        <f>'Demand Stage 2'!QK6</f>
        <v>0</v>
      </c>
      <c r="QL7">
        <f>'Demand Stage 2'!QL6</f>
        <v>0</v>
      </c>
      <c r="QM7">
        <f>'Demand Stage 2'!QM6</f>
        <v>0</v>
      </c>
      <c r="QN7">
        <f>'Demand Stage 2'!QN6</f>
        <v>0</v>
      </c>
      <c r="QO7">
        <f>'Demand Stage 2'!QO6</f>
        <v>0</v>
      </c>
      <c r="QP7">
        <f>'Demand Stage 2'!QP6</f>
        <v>0</v>
      </c>
      <c r="QQ7">
        <f>'Demand Stage 2'!QQ6</f>
        <v>0</v>
      </c>
      <c r="QR7">
        <f>'Demand Stage 2'!QR6</f>
        <v>0</v>
      </c>
      <c r="QS7">
        <f>'Demand Stage 2'!QS6</f>
        <v>0</v>
      </c>
      <c r="QT7">
        <f>'Demand Stage 2'!QT6</f>
        <v>0</v>
      </c>
      <c r="QU7">
        <f>'Demand Stage 2'!QU6</f>
        <v>0</v>
      </c>
      <c r="QV7">
        <f>'Demand Stage 2'!QV6</f>
        <v>12.5</v>
      </c>
      <c r="QW7">
        <f>'Demand Stage 2'!QW6</f>
        <v>12.5</v>
      </c>
      <c r="QX7">
        <f>'Demand Stage 2'!QX6</f>
        <v>12.5</v>
      </c>
      <c r="QY7">
        <f>'Demand Stage 2'!QY6</f>
        <v>25</v>
      </c>
      <c r="QZ7">
        <f>'Demand Stage 2'!QZ6</f>
        <v>25</v>
      </c>
      <c r="RA7">
        <f>'Demand Stage 2'!RA6</f>
        <v>25</v>
      </c>
      <c r="RB7">
        <f>'Demand Stage 2'!RB6</f>
        <v>25</v>
      </c>
      <c r="RC7">
        <f>'Demand Stage 2'!RC6</f>
        <v>25</v>
      </c>
      <c r="RD7">
        <f>'Demand Stage 2'!RD6</f>
        <v>25</v>
      </c>
      <c r="RE7">
        <f>'Demand Stage 2'!RE6</f>
        <v>50</v>
      </c>
      <c r="RF7">
        <f>'Demand Stage 2'!RF6</f>
        <v>25</v>
      </c>
      <c r="RG7">
        <f>'Demand Stage 2'!RG6</f>
        <v>0</v>
      </c>
      <c r="RH7">
        <f>'Demand Stage 2'!RH6</f>
        <v>0</v>
      </c>
      <c r="RI7">
        <f>'Demand Stage 2'!RI6</f>
        <v>0</v>
      </c>
      <c r="RJ7">
        <f>'Demand Stage 2'!RJ6</f>
        <v>0</v>
      </c>
      <c r="RK7">
        <f>'Demand Stage 2'!RK6</f>
        <v>0</v>
      </c>
      <c r="RL7">
        <f>'Demand Stage 2'!RL6</f>
        <v>0</v>
      </c>
      <c r="RM7">
        <f>'Demand Stage 2'!RM6</f>
        <v>0</v>
      </c>
      <c r="RN7">
        <f>'Demand Stage 2'!RN6</f>
        <v>0</v>
      </c>
      <c r="RO7">
        <f>'Demand Stage 2'!RO6</f>
        <v>0</v>
      </c>
      <c r="RP7">
        <f>'Demand Stage 2'!RP6</f>
        <v>0</v>
      </c>
      <c r="RQ7">
        <f>'Demand Stage 2'!RQ6</f>
        <v>0</v>
      </c>
      <c r="RR7">
        <f>'Demand Stage 2'!RR6</f>
        <v>12.5</v>
      </c>
      <c r="RS7">
        <f>'Demand Stage 2'!RS6</f>
        <v>12.5</v>
      </c>
      <c r="RT7">
        <f>'Demand Stage 2'!RT6</f>
        <v>12.5</v>
      </c>
      <c r="RU7">
        <f>'Demand Stage 2'!RU6</f>
        <v>25</v>
      </c>
      <c r="RV7">
        <f>'Demand Stage 2'!RV6</f>
        <v>25</v>
      </c>
      <c r="RW7">
        <f>'Demand Stage 2'!RW6</f>
        <v>25</v>
      </c>
      <c r="RX7">
        <f>'Demand Stage 2'!RX6</f>
        <v>25</v>
      </c>
      <c r="RY7">
        <f>'Demand Stage 2'!RY6</f>
        <v>25</v>
      </c>
      <c r="RZ7">
        <f>'Demand Stage 2'!RZ6</f>
        <v>25</v>
      </c>
      <c r="SA7">
        <f>'Demand Stage 2'!SA6</f>
        <v>50</v>
      </c>
      <c r="SB7">
        <f>'Demand Stage 2'!SB6</f>
        <v>25</v>
      </c>
      <c r="SC7">
        <f>'Demand Stage 2'!SC6</f>
        <v>0</v>
      </c>
      <c r="SD7">
        <f>'Demand Stage 2'!SD6</f>
        <v>0</v>
      </c>
      <c r="SE7">
        <f>'Demand Stage 2'!SE6</f>
        <v>0</v>
      </c>
      <c r="SF7">
        <f>'Demand Stage 2'!SF6</f>
        <v>0</v>
      </c>
      <c r="SG7">
        <f>'Demand Stage 2'!SG6</f>
        <v>0</v>
      </c>
      <c r="SH7">
        <f>'Demand Stage 2'!SH6</f>
        <v>0</v>
      </c>
      <c r="SI7">
        <f>'Demand Stage 2'!SI6</f>
        <v>0</v>
      </c>
      <c r="SJ7">
        <f>'Demand Stage 2'!SJ6</f>
        <v>0</v>
      </c>
      <c r="SK7">
        <f>'Demand Stage 2'!SK6</f>
        <v>0</v>
      </c>
      <c r="SL7">
        <f>'Demand Stage 2'!SL6</f>
        <v>0</v>
      </c>
      <c r="SM7">
        <f>'Demand Stage 2'!SM6</f>
        <v>0</v>
      </c>
      <c r="SN7">
        <f>'Demand Stage 2'!SN6</f>
        <v>12.5</v>
      </c>
      <c r="SO7">
        <f>'Demand Stage 2'!SO6</f>
        <v>12.5</v>
      </c>
      <c r="SP7">
        <f>'Demand Stage 2'!SP6</f>
        <v>12.5</v>
      </c>
      <c r="SQ7">
        <f>'Demand Stage 2'!SQ6</f>
        <v>25</v>
      </c>
      <c r="SR7">
        <f>'Demand Stage 2'!SR6</f>
        <v>25</v>
      </c>
      <c r="SS7">
        <f>'Demand Stage 2'!SS6</f>
        <v>25</v>
      </c>
      <c r="ST7">
        <f>'Demand Stage 2'!ST6</f>
        <v>25</v>
      </c>
      <c r="SU7">
        <f>'Demand Stage 2'!SU6</f>
        <v>25</v>
      </c>
      <c r="SV7">
        <f>'Demand Stage 2'!SV6</f>
        <v>25</v>
      </c>
      <c r="SW7">
        <f>'Demand Stage 2'!SW6</f>
        <v>50</v>
      </c>
      <c r="SX7">
        <f>'Demand Stage 2'!SX6</f>
        <v>25</v>
      </c>
      <c r="SY7">
        <f>'Demand Stage 2'!SY6</f>
        <v>0</v>
      </c>
      <c r="SZ7">
        <f>'Demand Stage 2'!SZ6</f>
        <v>0</v>
      </c>
      <c r="TA7">
        <f>'Demand Stage 2'!TA6</f>
        <v>0</v>
      </c>
      <c r="TB7">
        <f>'Demand Stage 2'!TB6</f>
        <v>0</v>
      </c>
      <c r="TC7">
        <f>'Demand Stage 2'!TC6</f>
        <v>0</v>
      </c>
      <c r="TD7">
        <f>'Demand Stage 2'!TD6</f>
        <v>0</v>
      </c>
      <c r="TE7">
        <f>'Demand Stage 2'!TE6</f>
        <v>0</v>
      </c>
      <c r="TF7">
        <f>'Demand Stage 2'!TF6</f>
        <v>0</v>
      </c>
      <c r="TG7">
        <f>'Demand Stage 2'!TG6</f>
        <v>0</v>
      </c>
      <c r="TH7">
        <f>'Demand Stage 2'!TH6</f>
        <v>0</v>
      </c>
      <c r="TI7">
        <f>'Demand Stage 2'!TI6</f>
        <v>0</v>
      </c>
      <c r="TJ7">
        <f>'Demand Stage 2'!TJ6</f>
        <v>12.5</v>
      </c>
      <c r="TK7">
        <f>'Demand Stage 2'!TK6</f>
        <v>12.5</v>
      </c>
      <c r="TL7">
        <f>'Demand Stage 2'!TL6</f>
        <v>12.5</v>
      </c>
      <c r="TM7">
        <f>'Demand Stage 2'!TM6</f>
        <v>25</v>
      </c>
      <c r="TN7">
        <f>'Demand Stage 2'!TN6</f>
        <v>25</v>
      </c>
      <c r="TO7">
        <f>'Demand Stage 2'!TO6</f>
        <v>25</v>
      </c>
      <c r="TP7">
        <f>'Demand Stage 2'!TP6</f>
        <v>25</v>
      </c>
      <c r="TQ7">
        <f>'Demand Stage 2'!TQ6</f>
        <v>25</v>
      </c>
      <c r="TR7">
        <f>'Demand Stage 2'!TR6</f>
        <v>25</v>
      </c>
      <c r="TS7">
        <f>'Demand Stage 2'!TS6</f>
        <v>50</v>
      </c>
      <c r="TT7">
        <f>'Demand Stage 2'!TT6</f>
        <v>25</v>
      </c>
      <c r="TU7">
        <f>'Demand Stage 2'!TU6</f>
        <v>0</v>
      </c>
      <c r="TV7">
        <f>'Demand Stage 2'!TV6</f>
        <v>0</v>
      </c>
      <c r="TW7">
        <f>'Demand Stage 2'!TW6</f>
        <v>0</v>
      </c>
      <c r="TX7">
        <f>'Demand Stage 2'!TX6</f>
        <v>0</v>
      </c>
      <c r="TY7">
        <f>'Demand Stage 2'!TY6</f>
        <v>0</v>
      </c>
      <c r="TZ7">
        <f>'Demand Stage 2'!TZ6</f>
        <v>0</v>
      </c>
      <c r="UA7">
        <f>'Demand Stage 2'!UA6</f>
        <v>0</v>
      </c>
      <c r="UB7">
        <f>'Demand Stage 2'!UB6</f>
        <v>0</v>
      </c>
      <c r="UC7">
        <f>'Demand Stage 2'!UC6</f>
        <v>0</v>
      </c>
      <c r="UD7">
        <f>'Demand Stage 2'!UD6</f>
        <v>0</v>
      </c>
      <c r="UE7">
        <f>'Demand Stage 2'!UE6</f>
        <v>0</v>
      </c>
      <c r="UF7">
        <f>'Demand Stage 2'!UF6</f>
        <v>12.5</v>
      </c>
      <c r="UG7">
        <f>'Demand Stage 2'!UG6</f>
        <v>12.5</v>
      </c>
      <c r="UH7">
        <f>'Demand Stage 2'!UH6</f>
        <v>12.5</v>
      </c>
      <c r="UI7">
        <f>'Demand Stage 2'!UI6</f>
        <v>25</v>
      </c>
      <c r="UJ7">
        <f>'Demand Stage 2'!UJ6</f>
        <v>25</v>
      </c>
      <c r="UK7">
        <f>'Demand Stage 2'!UK6</f>
        <v>25</v>
      </c>
      <c r="UL7">
        <f>'Demand Stage 2'!UL6</f>
        <v>25</v>
      </c>
      <c r="UM7">
        <f>'Demand Stage 2'!UM6</f>
        <v>25</v>
      </c>
      <c r="UN7">
        <f>'Demand Stage 2'!UN6</f>
        <v>25</v>
      </c>
      <c r="UO7">
        <f>'Demand Stage 2'!UO6</f>
        <v>50</v>
      </c>
      <c r="UP7">
        <f>'Demand Stage 2'!UP6</f>
        <v>25</v>
      </c>
      <c r="UQ7">
        <f>'Demand Stage 2'!UQ6</f>
        <v>0</v>
      </c>
      <c r="UR7">
        <f>'Demand Stage 2'!UR6</f>
        <v>0</v>
      </c>
      <c r="US7">
        <f>'Demand Stage 2'!US6</f>
        <v>0</v>
      </c>
      <c r="UT7">
        <f>'Demand Stage 2'!UT6</f>
        <v>0</v>
      </c>
      <c r="UU7">
        <f>'Demand Stage 2'!UU6</f>
        <v>0</v>
      </c>
      <c r="UV7">
        <f>'Demand Stage 2'!UV6</f>
        <v>0</v>
      </c>
      <c r="UW7">
        <f>'Demand Stage 2'!UW6</f>
        <v>0</v>
      </c>
      <c r="UX7">
        <f>'Demand Stage 2'!UX6</f>
        <v>0</v>
      </c>
      <c r="UY7">
        <f>'Demand Stage 2'!UY6</f>
        <v>0</v>
      </c>
      <c r="UZ7">
        <f>'Demand Stage 2'!UZ6</f>
        <v>0</v>
      </c>
      <c r="VA7">
        <f>'Demand Stage 2'!VA6</f>
        <v>0</v>
      </c>
      <c r="VB7">
        <f>'Demand Stage 2'!VB6</f>
        <v>12.5</v>
      </c>
      <c r="VC7">
        <f>'Demand Stage 2'!VC6</f>
        <v>12.5</v>
      </c>
      <c r="VD7">
        <f>'Demand Stage 2'!VD6</f>
        <v>12.5</v>
      </c>
      <c r="VE7">
        <f>'Demand Stage 2'!VE6</f>
        <v>25</v>
      </c>
      <c r="VF7">
        <f>'Demand Stage 2'!VF6</f>
        <v>25</v>
      </c>
      <c r="VG7">
        <f>'Demand Stage 2'!VG6</f>
        <v>25</v>
      </c>
      <c r="VH7">
        <f>'Demand Stage 2'!VH6</f>
        <v>25</v>
      </c>
      <c r="VI7">
        <f>'Demand Stage 2'!VI6</f>
        <v>25</v>
      </c>
      <c r="VJ7">
        <f>'Demand Stage 2'!VJ6</f>
        <v>25</v>
      </c>
      <c r="VK7">
        <f>'Demand Stage 2'!VK6</f>
        <v>50</v>
      </c>
      <c r="VL7">
        <f>'Demand Stage 2'!VL6</f>
        <v>25</v>
      </c>
      <c r="VM7">
        <f>'Demand Stage 2'!VM6</f>
        <v>0</v>
      </c>
      <c r="VN7">
        <f>'Demand Stage 2'!VN6</f>
        <v>0</v>
      </c>
      <c r="VO7">
        <f>'Demand Stage 2'!VO6</f>
        <v>0</v>
      </c>
      <c r="VP7">
        <f>'Demand Stage 2'!VP6</f>
        <v>0</v>
      </c>
      <c r="VQ7">
        <f>'Demand Stage 2'!VQ6</f>
        <v>0</v>
      </c>
      <c r="VR7">
        <f>'Demand Stage 2'!VR6</f>
        <v>0</v>
      </c>
      <c r="VS7">
        <f>'Demand Stage 2'!VS6</f>
        <v>0</v>
      </c>
      <c r="VT7">
        <f>'Demand Stage 2'!VT6</f>
        <v>0</v>
      </c>
      <c r="VU7">
        <f>'Demand Stage 2'!VU6</f>
        <v>0</v>
      </c>
      <c r="VV7">
        <f>'Demand Stage 2'!VV6</f>
        <v>0</v>
      </c>
      <c r="VW7">
        <f>'Demand Stage 2'!VW6</f>
        <v>0</v>
      </c>
      <c r="VX7">
        <f>'Demand Stage 2'!VX6</f>
        <v>12.5</v>
      </c>
      <c r="VY7">
        <f>'Demand Stage 2'!VY6</f>
        <v>12.5</v>
      </c>
      <c r="VZ7">
        <f>'Demand Stage 2'!VZ6</f>
        <v>12.5</v>
      </c>
      <c r="WA7">
        <f>'Demand Stage 2'!WA6</f>
        <v>25</v>
      </c>
      <c r="WB7">
        <f>'Demand Stage 2'!WB6</f>
        <v>25</v>
      </c>
      <c r="WC7">
        <f>'Demand Stage 2'!WC6</f>
        <v>25</v>
      </c>
      <c r="WD7">
        <f>'Demand Stage 2'!WD6</f>
        <v>25</v>
      </c>
      <c r="WE7">
        <f>'Demand Stage 2'!WE6</f>
        <v>25</v>
      </c>
      <c r="WF7">
        <f>'Demand Stage 2'!WF6</f>
        <v>25</v>
      </c>
      <c r="WG7">
        <f>'Demand Stage 2'!WG6</f>
        <v>50</v>
      </c>
      <c r="WH7">
        <f>'Demand Stage 2'!WH6</f>
        <v>25</v>
      </c>
      <c r="WI7">
        <f>'Demand Stage 2'!WI6</f>
        <v>0</v>
      </c>
      <c r="WJ7">
        <f>'Demand Stage 2'!WJ6</f>
        <v>0</v>
      </c>
      <c r="WK7">
        <f>'Demand Stage 2'!WK6</f>
        <v>0</v>
      </c>
      <c r="WL7">
        <f>'Demand Stage 2'!WL6</f>
        <v>0</v>
      </c>
      <c r="WM7">
        <f>'Demand Stage 2'!WM6</f>
        <v>0</v>
      </c>
      <c r="WN7">
        <f>'Demand Stage 2'!WN6</f>
        <v>0</v>
      </c>
      <c r="WO7">
        <f>'Demand Stage 2'!WO6</f>
        <v>0</v>
      </c>
      <c r="WP7">
        <f>'Demand Stage 2'!WP6</f>
        <v>0</v>
      </c>
      <c r="WQ7">
        <f>'Demand Stage 2'!WQ6</f>
        <v>0</v>
      </c>
      <c r="WR7">
        <f>'Demand Stage 2'!WR6</f>
        <v>0</v>
      </c>
      <c r="WS7">
        <f>'Demand Stage 2'!WS6</f>
        <v>0</v>
      </c>
      <c r="WT7">
        <f>'Demand Stage 2'!WT6</f>
        <v>12.5</v>
      </c>
      <c r="WU7">
        <f>'Demand Stage 2'!WU6</f>
        <v>12.5</v>
      </c>
      <c r="WV7">
        <f>'Demand Stage 2'!WV6</f>
        <v>12.5</v>
      </c>
      <c r="WW7">
        <f>'Demand Stage 2'!WW6</f>
        <v>25</v>
      </c>
      <c r="WX7">
        <f>'Demand Stage 2'!WX6</f>
        <v>25</v>
      </c>
      <c r="WY7">
        <f>'Demand Stage 2'!WY6</f>
        <v>25</v>
      </c>
      <c r="WZ7">
        <f>'Demand Stage 2'!WZ6</f>
        <v>25</v>
      </c>
      <c r="XA7">
        <f>'Demand Stage 2'!XA6</f>
        <v>25</v>
      </c>
      <c r="XB7">
        <f>'Demand Stage 2'!XB6</f>
        <v>25</v>
      </c>
      <c r="XC7">
        <f>'Demand Stage 2'!XC6</f>
        <v>50</v>
      </c>
      <c r="XD7">
        <f>'Demand Stage 2'!XD6</f>
        <v>25</v>
      </c>
      <c r="XE7">
        <f>'Demand Stage 2'!XE6</f>
        <v>0</v>
      </c>
      <c r="XF7">
        <f>'Demand Stage 2'!XF6</f>
        <v>0</v>
      </c>
      <c r="XG7">
        <f>'Demand Stage 2'!XG6</f>
        <v>0</v>
      </c>
      <c r="XH7">
        <f>'Demand Stage 2'!XH6</f>
        <v>0</v>
      </c>
      <c r="XI7">
        <f>'Demand Stage 2'!XI6</f>
        <v>0</v>
      </c>
      <c r="XJ7">
        <f>'Demand Stage 2'!XJ6</f>
        <v>0</v>
      </c>
      <c r="XK7">
        <f>'Demand Stage 2'!XK6</f>
        <v>0</v>
      </c>
      <c r="XL7">
        <f>'Demand Stage 2'!XL6</f>
        <v>0</v>
      </c>
      <c r="XM7">
        <f>'Demand Stage 2'!XM6</f>
        <v>0</v>
      </c>
      <c r="XN7">
        <f>'Demand Stage 2'!XN6</f>
        <v>0</v>
      </c>
      <c r="XO7">
        <f>'Demand Stage 2'!XO6</f>
        <v>0</v>
      </c>
      <c r="XP7">
        <f>'Demand Stage 2'!XP6</f>
        <v>12.5</v>
      </c>
      <c r="XQ7">
        <f>'Demand Stage 2'!XQ6</f>
        <v>12.5</v>
      </c>
      <c r="XR7">
        <f>'Demand Stage 2'!XR6</f>
        <v>12.5</v>
      </c>
      <c r="XS7">
        <f>'Demand Stage 2'!XS6</f>
        <v>25</v>
      </c>
      <c r="XT7">
        <f>'Demand Stage 2'!XT6</f>
        <v>25</v>
      </c>
      <c r="XU7">
        <f>'Demand Stage 2'!XU6</f>
        <v>25</v>
      </c>
      <c r="XV7">
        <f>'Demand Stage 2'!XV6</f>
        <v>25</v>
      </c>
      <c r="XW7">
        <f>'Demand Stage 2'!XW6</f>
        <v>25</v>
      </c>
      <c r="XX7">
        <f>'Demand Stage 2'!XX6</f>
        <v>25</v>
      </c>
      <c r="XY7">
        <f>'Demand Stage 2'!XY6</f>
        <v>50</v>
      </c>
      <c r="XZ7">
        <f>'Demand Stage 2'!XZ6</f>
        <v>25</v>
      </c>
      <c r="YA7">
        <f>'Demand Stage 2'!YA6</f>
        <v>0</v>
      </c>
      <c r="YB7">
        <f>'Demand Stage 2'!YB6</f>
        <v>0</v>
      </c>
      <c r="YC7">
        <f>'Demand Stage 2'!YC6</f>
        <v>0</v>
      </c>
      <c r="YD7">
        <f>'Demand Stage 2'!YD6</f>
        <v>0</v>
      </c>
      <c r="YE7">
        <f>'Demand Stage 2'!YE6</f>
        <v>0</v>
      </c>
      <c r="YF7">
        <f>'Demand Stage 2'!YF6</f>
        <v>0</v>
      </c>
      <c r="YG7">
        <f>'Demand Stage 2'!YG6</f>
        <v>0</v>
      </c>
      <c r="YH7">
        <f>'Demand Stage 2'!YH6</f>
        <v>0</v>
      </c>
      <c r="YI7">
        <f>'Demand Stage 2'!YI6</f>
        <v>0</v>
      </c>
      <c r="YJ7">
        <f>'Demand Stage 2'!YJ6</f>
        <v>0</v>
      </c>
      <c r="YK7">
        <f>'Demand Stage 2'!YK6</f>
        <v>0</v>
      </c>
      <c r="YL7">
        <f>'Demand Stage 2'!YL6</f>
        <v>12.5</v>
      </c>
      <c r="YM7">
        <f>'Demand Stage 2'!YM6</f>
        <v>12.5</v>
      </c>
      <c r="YN7">
        <f>'Demand Stage 2'!YN6</f>
        <v>12.5</v>
      </c>
      <c r="YO7">
        <f>'Demand Stage 2'!YO6</f>
        <v>25</v>
      </c>
      <c r="YP7">
        <f>'Demand Stage 2'!YP6</f>
        <v>25</v>
      </c>
      <c r="YQ7">
        <f>'Demand Stage 2'!YQ6</f>
        <v>25</v>
      </c>
      <c r="YR7">
        <f>'Demand Stage 2'!YR6</f>
        <v>25</v>
      </c>
      <c r="YS7">
        <f>'Demand Stage 2'!YS6</f>
        <v>25</v>
      </c>
      <c r="YT7">
        <f>'Demand Stage 2'!YT6</f>
        <v>25</v>
      </c>
      <c r="YU7">
        <f>'Demand Stage 2'!YU6</f>
        <v>50</v>
      </c>
      <c r="YV7">
        <f>'Demand Stage 2'!YV6</f>
        <v>25</v>
      </c>
      <c r="YW7">
        <f>'Demand Stage 2'!YW6</f>
        <v>0</v>
      </c>
      <c r="YX7">
        <f>'Demand Stage 2'!YX6</f>
        <v>0</v>
      </c>
      <c r="YY7">
        <f>'Demand Stage 2'!YY6</f>
        <v>0</v>
      </c>
      <c r="YZ7">
        <f>'Demand Stage 2'!YZ6</f>
        <v>0</v>
      </c>
      <c r="ZA7">
        <f>'Demand Stage 2'!ZA6</f>
        <v>0</v>
      </c>
      <c r="ZB7">
        <f>'Demand Stage 2'!ZB6</f>
        <v>0</v>
      </c>
      <c r="ZC7">
        <f>'Demand Stage 2'!ZC6</f>
        <v>0</v>
      </c>
      <c r="ZD7">
        <f>'Demand Stage 2'!ZD6</f>
        <v>0</v>
      </c>
      <c r="ZE7">
        <f>'Demand Stage 2'!ZE6</f>
        <v>0</v>
      </c>
      <c r="ZF7">
        <f>'Demand Stage 2'!ZF6</f>
        <v>0</v>
      </c>
      <c r="ZG7">
        <f>'Demand Stage 2'!ZG6</f>
        <v>0</v>
      </c>
      <c r="ZH7">
        <f>'Demand Stage 2'!ZH6</f>
        <v>12.5</v>
      </c>
      <c r="ZI7">
        <f>'Demand Stage 2'!ZI6</f>
        <v>12.5</v>
      </c>
      <c r="ZJ7">
        <f>'Demand Stage 2'!ZJ6</f>
        <v>12.5</v>
      </c>
      <c r="ZK7">
        <f>'Demand Stage 2'!ZK6</f>
        <v>25</v>
      </c>
      <c r="ZL7">
        <f>'Demand Stage 2'!ZL6</f>
        <v>25</v>
      </c>
      <c r="ZM7">
        <f>'Demand Stage 2'!ZM6</f>
        <v>25</v>
      </c>
      <c r="ZN7">
        <f>'Demand Stage 2'!ZN6</f>
        <v>25</v>
      </c>
      <c r="ZO7">
        <f>'Demand Stage 2'!ZO6</f>
        <v>25</v>
      </c>
      <c r="ZP7">
        <f>'Demand Stage 2'!ZP6</f>
        <v>25</v>
      </c>
      <c r="ZQ7">
        <f>'Demand Stage 2'!ZQ6</f>
        <v>50</v>
      </c>
      <c r="ZR7">
        <f>'Demand Stage 2'!ZR6</f>
        <v>25</v>
      </c>
      <c r="ZS7">
        <f>'Demand Stage 2'!ZS6</f>
        <v>0</v>
      </c>
      <c r="ZT7">
        <f>'Demand Stage 2'!ZT6</f>
        <v>0</v>
      </c>
      <c r="ZU7">
        <f>'Demand Stage 2'!ZU6</f>
        <v>0</v>
      </c>
      <c r="ZV7">
        <f>'Demand Stage 2'!ZV6</f>
        <v>0</v>
      </c>
      <c r="ZW7">
        <f>'Demand Stage 2'!ZW6</f>
        <v>0</v>
      </c>
      <c r="ZX7">
        <f>'Demand Stage 2'!ZX6</f>
        <v>0</v>
      </c>
      <c r="ZY7">
        <f>'Demand Stage 2'!ZY6</f>
        <v>0</v>
      </c>
      <c r="ZZ7">
        <f>'Demand Stage 2'!ZZ6</f>
        <v>0</v>
      </c>
      <c r="AAA7">
        <f>'Demand Stage 2'!AAA6</f>
        <v>0</v>
      </c>
      <c r="AAB7">
        <f>'Demand Stage 2'!AAB6</f>
        <v>0</v>
      </c>
      <c r="AAC7">
        <f>'Demand Stage 2'!AAC6</f>
        <v>0</v>
      </c>
      <c r="AAD7">
        <f t="shared" ref="AAD7:AAD29" si="33">B7</f>
        <v>12.5</v>
      </c>
      <c r="AAE7">
        <f t="shared" si="0"/>
        <v>12.5</v>
      </c>
      <c r="AAF7">
        <f t="shared" si="0"/>
        <v>12.5</v>
      </c>
      <c r="AAG7">
        <f t="shared" si="0"/>
        <v>25</v>
      </c>
      <c r="AAH7">
        <f t="shared" si="0"/>
        <v>25</v>
      </c>
      <c r="AAI7">
        <f t="shared" si="0"/>
        <v>25</v>
      </c>
      <c r="AAJ7">
        <f t="shared" si="0"/>
        <v>25</v>
      </c>
      <c r="AAK7">
        <f t="shared" si="0"/>
        <v>25</v>
      </c>
      <c r="AAL7">
        <f t="shared" si="0"/>
        <v>25</v>
      </c>
      <c r="AAM7">
        <f t="shared" si="0"/>
        <v>50</v>
      </c>
      <c r="AAN7">
        <f t="shared" si="0"/>
        <v>25</v>
      </c>
      <c r="AAO7">
        <f t="shared" si="0"/>
        <v>0</v>
      </c>
      <c r="AAP7">
        <f t="shared" si="0"/>
        <v>0</v>
      </c>
      <c r="AAQ7">
        <f t="shared" si="0"/>
        <v>0</v>
      </c>
      <c r="AAR7">
        <f t="shared" si="0"/>
        <v>0</v>
      </c>
      <c r="AAS7">
        <f t="shared" si="0"/>
        <v>0</v>
      </c>
      <c r="AAT7">
        <f t="shared" si="0"/>
        <v>0</v>
      </c>
      <c r="AAU7">
        <f t="shared" si="0"/>
        <v>0</v>
      </c>
      <c r="AAV7">
        <f t="shared" si="0"/>
        <v>0</v>
      </c>
      <c r="AAW7">
        <f t="shared" si="0"/>
        <v>0</v>
      </c>
      <c r="AAX7">
        <f t="shared" si="0"/>
        <v>0</v>
      </c>
      <c r="AAY7">
        <f t="shared" si="0"/>
        <v>0</v>
      </c>
      <c r="AAZ7">
        <f t="shared" si="0"/>
        <v>12.5</v>
      </c>
      <c r="ABA7">
        <f t="shared" si="0"/>
        <v>12.5</v>
      </c>
      <c r="ABB7">
        <f t="shared" si="0"/>
        <v>12.5</v>
      </c>
      <c r="ABC7">
        <f t="shared" si="0"/>
        <v>25</v>
      </c>
      <c r="ABD7">
        <f t="shared" si="0"/>
        <v>25</v>
      </c>
      <c r="ABE7">
        <f t="shared" si="0"/>
        <v>25</v>
      </c>
      <c r="ABF7">
        <f t="shared" si="0"/>
        <v>25</v>
      </c>
      <c r="ABG7">
        <f t="shared" si="0"/>
        <v>25</v>
      </c>
      <c r="ABH7">
        <f t="shared" si="0"/>
        <v>25</v>
      </c>
      <c r="ABI7">
        <f t="shared" si="0"/>
        <v>50</v>
      </c>
      <c r="ABJ7">
        <f t="shared" si="0"/>
        <v>25</v>
      </c>
      <c r="ABK7">
        <f t="shared" si="0"/>
        <v>0</v>
      </c>
      <c r="ABL7">
        <f t="shared" si="0"/>
        <v>0</v>
      </c>
      <c r="ABM7">
        <f t="shared" si="0"/>
        <v>0</v>
      </c>
      <c r="ABN7">
        <f t="shared" si="0"/>
        <v>0</v>
      </c>
      <c r="ABO7">
        <f t="shared" si="0"/>
        <v>0</v>
      </c>
      <c r="ABP7">
        <f t="shared" si="0"/>
        <v>0</v>
      </c>
      <c r="ABQ7">
        <f t="shared" si="0"/>
        <v>0</v>
      </c>
      <c r="ABR7">
        <f t="shared" si="0"/>
        <v>0</v>
      </c>
      <c r="ABS7">
        <f t="shared" si="0"/>
        <v>0</v>
      </c>
      <c r="ABT7">
        <f t="shared" si="0"/>
        <v>0</v>
      </c>
      <c r="ABU7">
        <f t="shared" si="0"/>
        <v>0</v>
      </c>
      <c r="ABV7">
        <f t="shared" si="0"/>
        <v>12.5</v>
      </c>
      <c r="ABW7">
        <f t="shared" si="0"/>
        <v>12.5</v>
      </c>
      <c r="ABX7">
        <f t="shared" si="0"/>
        <v>12.5</v>
      </c>
      <c r="ABY7">
        <f t="shared" si="0"/>
        <v>25</v>
      </c>
      <c r="ABZ7">
        <f t="shared" si="0"/>
        <v>25</v>
      </c>
      <c r="ACA7">
        <f t="shared" si="0"/>
        <v>25</v>
      </c>
      <c r="ACB7">
        <f t="shared" si="0"/>
        <v>25</v>
      </c>
      <c r="ACC7">
        <f t="shared" si="0"/>
        <v>25</v>
      </c>
      <c r="ACD7">
        <f t="shared" si="0"/>
        <v>25</v>
      </c>
      <c r="ACE7">
        <f t="shared" si="0"/>
        <v>50</v>
      </c>
      <c r="ACF7">
        <f t="shared" si="0"/>
        <v>25</v>
      </c>
      <c r="ACG7">
        <f t="shared" si="0"/>
        <v>0</v>
      </c>
      <c r="ACH7">
        <f t="shared" si="0"/>
        <v>0</v>
      </c>
      <c r="ACI7">
        <f t="shared" si="0"/>
        <v>0</v>
      </c>
      <c r="ACJ7">
        <f t="shared" si="0"/>
        <v>0</v>
      </c>
      <c r="ACK7">
        <f t="shared" si="0"/>
        <v>0</v>
      </c>
      <c r="ACL7">
        <f t="shared" si="0"/>
        <v>0</v>
      </c>
      <c r="ACM7">
        <f t="shared" si="0"/>
        <v>0</v>
      </c>
      <c r="ACN7">
        <f t="shared" si="0"/>
        <v>0</v>
      </c>
      <c r="ACO7">
        <f t="shared" si="0"/>
        <v>0</v>
      </c>
      <c r="ACP7">
        <f t="shared" si="0"/>
        <v>0</v>
      </c>
      <c r="ACQ7">
        <f t="shared" si="1"/>
        <v>0</v>
      </c>
      <c r="ACR7">
        <f t="shared" si="1"/>
        <v>12.5</v>
      </c>
      <c r="ACS7">
        <f t="shared" si="1"/>
        <v>12.5</v>
      </c>
      <c r="ACT7">
        <f t="shared" si="1"/>
        <v>12.5</v>
      </c>
      <c r="ACU7">
        <f t="shared" si="1"/>
        <v>25</v>
      </c>
      <c r="ACV7">
        <f t="shared" si="1"/>
        <v>25</v>
      </c>
      <c r="ACW7">
        <f t="shared" si="1"/>
        <v>25</v>
      </c>
      <c r="ACX7">
        <f t="shared" si="1"/>
        <v>25</v>
      </c>
      <c r="ACY7">
        <f t="shared" si="1"/>
        <v>25</v>
      </c>
      <c r="ACZ7">
        <f t="shared" si="1"/>
        <v>25</v>
      </c>
      <c r="ADA7">
        <f t="shared" si="1"/>
        <v>50</v>
      </c>
      <c r="ADB7">
        <f t="shared" si="1"/>
        <v>25</v>
      </c>
      <c r="ADC7">
        <f t="shared" si="1"/>
        <v>0</v>
      </c>
      <c r="ADD7">
        <f t="shared" si="1"/>
        <v>0</v>
      </c>
      <c r="ADE7">
        <f t="shared" si="1"/>
        <v>0</v>
      </c>
      <c r="ADF7">
        <f t="shared" si="1"/>
        <v>0</v>
      </c>
      <c r="ADG7">
        <f t="shared" si="1"/>
        <v>0</v>
      </c>
      <c r="ADH7">
        <f t="shared" si="1"/>
        <v>0</v>
      </c>
      <c r="ADI7">
        <f t="shared" si="1"/>
        <v>0</v>
      </c>
      <c r="ADJ7">
        <f t="shared" si="1"/>
        <v>0</v>
      </c>
      <c r="ADK7">
        <f t="shared" si="1"/>
        <v>0</v>
      </c>
      <c r="ADL7">
        <f t="shared" si="1"/>
        <v>0</v>
      </c>
      <c r="ADM7">
        <f t="shared" si="1"/>
        <v>0</v>
      </c>
      <c r="ADN7">
        <f t="shared" si="1"/>
        <v>12.5</v>
      </c>
      <c r="ADO7">
        <f t="shared" si="1"/>
        <v>12.5</v>
      </c>
      <c r="ADP7">
        <f t="shared" si="1"/>
        <v>12.5</v>
      </c>
      <c r="ADQ7">
        <f t="shared" si="1"/>
        <v>25</v>
      </c>
      <c r="ADR7">
        <f t="shared" si="1"/>
        <v>25</v>
      </c>
      <c r="ADS7">
        <f t="shared" si="1"/>
        <v>25</v>
      </c>
      <c r="ADT7">
        <f t="shared" si="1"/>
        <v>25</v>
      </c>
      <c r="ADU7">
        <f t="shared" si="1"/>
        <v>25</v>
      </c>
      <c r="ADV7">
        <f t="shared" si="1"/>
        <v>25</v>
      </c>
      <c r="ADW7">
        <f t="shared" si="1"/>
        <v>50</v>
      </c>
      <c r="ADX7">
        <f t="shared" si="1"/>
        <v>25</v>
      </c>
      <c r="ADY7">
        <f t="shared" si="1"/>
        <v>0</v>
      </c>
      <c r="ADZ7">
        <f t="shared" si="1"/>
        <v>0</v>
      </c>
      <c r="AEA7">
        <f t="shared" si="1"/>
        <v>0</v>
      </c>
      <c r="AEB7">
        <f t="shared" si="1"/>
        <v>0</v>
      </c>
      <c r="AEC7">
        <f t="shared" si="1"/>
        <v>0</v>
      </c>
      <c r="AED7">
        <f t="shared" si="1"/>
        <v>0</v>
      </c>
      <c r="AEE7">
        <f t="shared" si="1"/>
        <v>0</v>
      </c>
      <c r="AEF7">
        <f t="shared" si="1"/>
        <v>0</v>
      </c>
      <c r="AEG7">
        <f t="shared" si="1"/>
        <v>0</v>
      </c>
      <c r="AEH7">
        <f t="shared" si="1"/>
        <v>0</v>
      </c>
      <c r="AEI7">
        <f t="shared" si="1"/>
        <v>0</v>
      </c>
      <c r="AEJ7">
        <f t="shared" si="1"/>
        <v>12.5</v>
      </c>
      <c r="AEK7">
        <f t="shared" si="1"/>
        <v>12.5</v>
      </c>
      <c r="AEL7">
        <f t="shared" si="1"/>
        <v>12.5</v>
      </c>
      <c r="AEM7">
        <f t="shared" si="1"/>
        <v>25</v>
      </c>
      <c r="AEN7">
        <f t="shared" si="1"/>
        <v>25</v>
      </c>
      <c r="AEO7">
        <f t="shared" si="1"/>
        <v>25</v>
      </c>
      <c r="AEP7">
        <f t="shared" si="1"/>
        <v>25</v>
      </c>
      <c r="AEQ7">
        <f t="shared" si="1"/>
        <v>25</v>
      </c>
      <c r="AER7">
        <f t="shared" si="1"/>
        <v>25</v>
      </c>
      <c r="AES7">
        <f t="shared" si="1"/>
        <v>50</v>
      </c>
      <c r="AET7">
        <f t="shared" si="1"/>
        <v>25</v>
      </c>
      <c r="AEU7">
        <f t="shared" si="1"/>
        <v>0</v>
      </c>
      <c r="AEV7">
        <f t="shared" si="1"/>
        <v>0</v>
      </c>
      <c r="AEW7">
        <f t="shared" si="1"/>
        <v>0</v>
      </c>
      <c r="AEX7">
        <f t="shared" si="1"/>
        <v>0</v>
      </c>
      <c r="AEY7">
        <f t="shared" si="1"/>
        <v>0</v>
      </c>
      <c r="AEZ7">
        <f t="shared" si="1"/>
        <v>0</v>
      </c>
      <c r="AFA7">
        <f t="shared" si="1"/>
        <v>0</v>
      </c>
      <c r="AFB7">
        <f t="shared" si="1"/>
        <v>0</v>
      </c>
      <c r="AFC7">
        <f t="shared" si="2"/>
        <v>0</v>
      </c>
      <c r="AFD7">
        <f t="shared" si="2"/>
        <v>0</v>
      </c>
      <c r="AFE7">
        <f t="shared" si="2"/>
        <v>0</v>
      </c>
      <c r="AFF7">
        <f t="shared" si="2"/>
        <v>12.5</v>
      </c>
      <c r="AFG7">
        <f t="shared" si="2"/>
        <v>12.5</v>
      </c>
      <c r="AFH7">
        <f t="shared" si="2"/>
        <v>12.5</v>
      </c>
      <c r="AFI7">
        <f t="shared" si="2"/>
        <v>25</v>
      </c>
      <c r="AFJ7">
        <f t="shared" si="2"/>
        <v>25</v>
      </c>
      <c r="AFK7">
        <f t="shared" si="2"/>
        <v>25</v>
      </c>
      <c r="AFL7">
        <f t="shared" si="2"/>
        <v>25</v>
      </c>
      <c r="AFM7">
        <f t="shared" si="2"/>
        <v>25</v>
      </c>
      <c r="AFN7">
        <f t="shared" si="2"/>
        <v>25</v>
      </c>
      <c r="AFO7">
        <f t="shared" si="2"/>
        <v>50</v>
      </c>
      <c r="AFP7">
        <f t="shared" si="2"/>
        <v>25</v>
      </c>
      <c r="AFQ7">
        <f t="shared" si="2"/>
        <v>0</v>
      </c>
      <c r="AFR7">
        <f t="shared" si="2"/>
        <v>0</v>
      </c>
      <c r="AFS7">
        <f t="shared" si="2"/>
        <v>0</v>
      </c>
      <c r="AFT7">
        <f t="shared" si="2"/>
        <v>0</v>
      </c>
      <c r="AFU7">
        <f t="shared" si="2"/>
        <v>0</v>
      </c>
      <c r="AFV7">
        <f t="shared" si="2"/>
        <v>0</v>
      </c>
      <c r="AFW7">
        <f t="shared" si="2"/>
        <v>0</v>
      </c>
      <c r="AFX7">
        <f t="shared" si="2"/>
        <v>0</v>
      </c>
      <c r="AFY7">
        <f t="shared" si="2"/>
        <v>0</v>
      </c>
      <c r="AFZ7">
        <f t="shared" si="2"/>
        <v>0</v>
      </c>
      <c r="AGA7">
        <f t="shared" si="2"/>
        <v>0</v>
      </c>
      <c r="AGB7">
        <f t="shared" si="2"/>
        <v>12.5</v>
      </c>
      <c r="AGC7">
        <f t="shared" si="2"/>
        <v>12.5</v>
      </c>
      <c r="AGD7">
        <f t="shared" si="2"/>
        <v>12.5</v>
      </c>
      <c r="AGE7">
        <f t="shared" si="2"/>
        <v>25</v>
      </c>
      <c r="AGF7">
        <f t="shared" si="2"/>
        <v>25</v>
      </c>
      <c r="AGG7">
        <f t="shared" si="2"/>
        <v>25</v>
      </c>
      <c r="AGH7">
        <f t="shared" si="2"/>
        <v>25</v>
      </c>
      <c r="AGI7">
        <f t="shared" si="2"/>
        <v>25</v>
      </c>
      <c r="AGJ7">
        <f t="shared" si="2"/>
        <v>25</v>
      </c>
      <c r="AGK7">
        <f t="shared" si="2"/>
        <v>50</v>
      </c>
      <c r="AGL7">
        <f t="shared" si="2"/>
        <v>25</v>
      </c>
      <c r="AGM7">
        <f t="shared" si="2"/>
        <v>0</v>
      </c>
      <c r="AGN7">
        <f t="shared" si="2"/>
        <v>0</v>
      </c>
      <c r="AGO7">
        <f t="shared" si="2"/>
        <v>0</v>
      </c>
      <c r="AGP7">
        <f t="shared" si="2"/>
        <v>0</v>
      </c>
      <c r="AGQ7">
        <f t="shared" si="2"/>
        <v>0</v>
      </c>
      <c r="AGR7">
        <f t="shared" si="2"/>
        <v>0</v>
      </c>
      <c r="AGS7">
        <f t="shared" si="2"/>
        <v>0</v>
      </c>
      <c r="AGT7">
        <f t="shared" si="2"/>
        <v>0</v>
      </c>
      <c r="AGU7">
        <f t="shared" si="2"/>
        <v>0</v>
      </c>
      <c r="AGV7">
        <f t="shared" si="2"/>
        <v>0</v>
      </c>
      <c r="AGW7">
        <f t="shared" si="2"/>
        <v>0</v>
      </c>
      <c r="AGX7">
        <f t="shared" si="2"/>
        <v>12.5</v>
      </c>
      <c r="AGY7">
        <f t="shared" si="2"/>
        <v>12.5</v>
      </c>
      <c r="AGZ7">
        <f t="shared" si="2"/>
        <v>12.5</v>
      </c>
      <c r="AHA7">
        <f t="shared" si="2"/>
        <v>25</v>
      </c>
      <c r="AHB7">
        <f t="shared" si="2"/>
        <v>25</v>
      </c>
      <c r="AHC7">
        <f t="shared" si="2"/>
        <v>25</v>
      </c>
      <c r="AHD7">
        <f t="shared" si="2"/>
        <v>25</v>
      </c>
      <c r="AHE7">
        <f t="shared" si="2"/>
        <v>25</v>
      </c>
      <c r="AHF7">
        <f t="shared" si="2"/>
        <v>25</v>
      </c>
      <c r="AHG7">
        <f t="shared" si="2"/>
        <v>50</v>
      </c>
      <c r="AHH7">
        <f t="shared" si="2"/>
        <v>25</v>
      </c>
      <c r="AHI7">
        <f t="shared" si="2"/>
        <v>0</v>
      </c>
      <c r="AHJ7">
        <f t="shared" si="2"/>
        <v>0</v>
      </c>
      <c r="AHK7">
        <f t="shared" si="2"/>
        <v>0</v>
      </c>
      <c r="AHL7">
        <f t="shared" si="2"/>
        <v>0</v>
      </c>
      <c r="AHM7">
        <f t="shared" si="2"/>
        <v>0</v>
      </c>
      <c r="AHN7">
        <f t="shared" si="2"/>
        <v>0</v>
      </c>
      <c r="AHO7">
        <f t="shared" si="3"/>
        <v>0</v>
      </c>
      <c r="AHP7">
        <f t="shared" si="3"/>
        <v>0</v>
      </c>
      <c r="AHQ7">
        <f t="shared" si="3"/>
        <v>0</v>
      </c>
      <c r="AHR7">
        <f t="shared" si="3"/>
        <v>0</v>
      </c>
      <c r="AHS7">
        <f t="shared" si="3"/>
        <v>0</v>
      </c>
      <c r="AHT7">
        <f t="shared" si="3"/>
        <v>12.5</v>
      </c>
      <c r="AHU7">
        <f t="shared" si="3"/>
        <v>12.5</v>
      </c>
      <c r="AHV7">
        <f t="shared" si="3"/>
        <v>12.5</v>
      </c>
      <c r="AHW7">
        <f t="shared" si="3"/>
        <v>25</v>
      </c>
      <c r="AHX7">
        <f t="shared" si="3"/>
        <v>25</v>
      </c>
      <c r="AHY7">
        <f t="shared" si="3"/>
        <v>25</v>
      </c>
      <c r="AHZ7">
        <f t="shared" si="3"/>
        <v>25</v>
      </c>
      <c r="AIA7">
        <f t="shared" si="3"/>
        <v>25</v>
      </c>
      <c r="AIB7">
        <f t="shared" si="3"/>
        <v>25</v>
      </c>
      <c r="AIC7">
        <f t="shared" si="3"/>
        <v>50</v>
      </c>
      <c r="AID7">
        <f t="shared" si="3"/>
        <v>25</v>
      </c>
      <c r="AIE7">
        <f t="shared" si="3"/>
        <v>0</v>
      </c>
      <c r="AIF7">
        <f t="shared" si="3"/>
        <v>0</v>
      </c>
      <c r="AIG7">
        <f t="shared" si="3"/>
        <v>0</v>
      </c>
      <c r="AIH7">
        <f t="shared" si="3"/>
        <v>0</v>
      </c>
      <c r="AII7">
        <f t="shared" si="3"/>
        <v>0</v>
      </c>
      <c r="AIJ7">
        <f t="shared" si="3"/>
        <v>0</v>
      </c>
      <c r="AIK7">
        <f t="shared" si="3"/>
        <v>0</v>
      </c>
      <c r="AIL7">
        <f t="shared" si="3"/>
        <v>0</v>
      </c>
      <c r="AIM7">
        <f t="shared" si="3"/>
        <v>0</v>
      </c>
      <c r="AIN7">
        <f t="shared" si="3"/>
        <v>0</v>
      </c>
      <c r="AIO7">
        <f t="shared" si="3"/>
        <v>0</v>
      </c>
      <c r="AIP7">
        <f t="shared" si="3"/>
        <v>12.5</v>
      </c>
      <c r="AIQ7">
        <f t="shared" si="3"/>
        <v>12.5</v>
      </c>
      <c r="AIR7">
        <f t="shared" si="3"/>
        <v>12.5</v>
      </c>
      <c r="AIS7">
        <f t="shared" si="3"/>
        <v>25</v>
      </c>
      <c r="AIT7">
        <f t="shared" si="3"/>
        <v>25</v>
      </c>
      <c r="AIU7">
        <f t="shared" si="3"/>
        <v>25</v>
      </c>
      <c r="AIV7">
        <f t="shared" si="3"/>
        <v>25</v>
      </c>
      <c r="AIW7">
        <f t="shared" si="3"/>
        <v>25</v>
      </c>
      <c r="AIX7">
        <f t="shared" si="3"/>
        <v>25</v>
      </c>
      <c r="AIY7">
        <f t="shared" si="3"/>
        <v>50</v>
      </c>
      <c r="AIZ7">
        <f t="shared" si="3"/>
        <v>25</v>
      </c>
      <c r="AJA7">
        <f t="shared" si="3"/>
        <v>0</v>
      </c>
      <c r="AJB7">
        <f t="shared" si="3"/>
        <v>0</v>
      </c>
      <c r="AJC7">
        <f t="shared" si="3"/>
        <v>0</v>
      </c>
      <c r="AJD7">
        <f t="shared" si="3"/>
        <v>0</v>
      </c>
      <c r="AJE7">
        <f t="shared" si="3"/>
        <v>0</v>
      </c>
      <c r="AJF7">
        <f t="shared" si="3"/>
        <v>0</v>
      </c>
      <c r="AJG7">
        <f t="shared" si="3"/>
        <v>0</v>
      </c>
      <c r="AJH7">
        <f t="shared" si="3"/>
        <v>0</v>
      </c>
      <c r="AJI7">
        <f t="shared" si="3"/>
        <v>0</v>
      </c>
      <c r="AJJ7">
        <f t="shared" si="3"/>
        <v>0</v>
      </c>
      <c r="AJK7">
        <f t="shared" si="3"/>
        <v>0</v>
      </c>
      <c r="AJL7">
        <f t="shared" si="3"/>
        <v>12.5</v>
      </c>
      <c r="AJM7">
        <f t="shared" si="3"/>
        <v>12.5</v>
      </c>
      <c r="AJN7">
        <f t="shared" si="3"/>
        <v>12.5</v>
      </c>
      <c r="AJO7">
        <f t="shared" si="3"/>
        <v>25</v>
      </c>
      <c r="AJP7">
        <f t="shared" si="3"/>
        <v>25</v>
      </c>
      <c r="AJQ7">
        <f t="shared" si="3"/>
        <v>25</v>
      </c>
      <c r="AJR7">
        <f t="shared" si="3"/>
        <v>25</v>
      </c>
      <c r="AJS7">
        <f t="shared" si="3"/>
        <v>25</v>
      </c>
      <c r="AJT7">
        <f t="shared" si="3"/>
        <v>25</v>
      </c>
      <c r="AJU7">
        <f t="shared" si="3"/>
        <v>50</v>
      </c>
      <c r="AJV7">
        <f t="shared" si="3"/>
        <v>25</v>
      </c>
      <c r="AJW7">
        <f t="shared" si="3"/>
        <v>0</v>
      </c>
      <c r="AJX7">
        <f t="shared" si="3"/>
        <v>0</v>
      </c>
      <c r="AJY7">
        <f t="shared" si="3"/>
        <v>0</v>
      </c>
      <c r="AJZ7">
        <f t="shared" si="3"/>
        <v>0</v>
      </c>
      <c r="AKA7">
        <f t="shared" si="4"/>
        <v>0</v>
      </c>
      <c r="AKB7">
        <f t="shared" si="4"/>
        <v>0</v>
      </c>
      <c r="AKC7">
        <f t="shared" si="4"/>
        <v>0</v>
      </c>
      <c r="AKD7">
        <f t="shared" si="4"/>
        <v>0</v>
      </c>
      <c r="AKE7">
        <f t="shared" si="4"/>
        <v>0</v>
      </c>
      <c r="AKF7">
        <f t="shared" si="4"/>
        <v>0</v>
      </c>
      <c r="AKG7">
        <f t="shared" si="4"/>
        <v>0</v>
      </c>
      <c r="AKH7">
        <f t="shared" si="4"/>
        <v>12.5</v>
      </c>
      <c r="AKI7">
        <f t="shared" si="4"/>
        <v>12.5</v>
      </c>
      <c r="AKJ7">
        <f t="shared" si="4"/>
        <v>12.5</v>
      </c>
      <c r="AKK7">
        <f t="shared" si="4"/>
        <v>25</v>
      </c>
      <c r="AKL7">
        <f t="shared" si="4"/>
        <v>25</v>
      </c>
      <c r="AKM7">
        <f t="shared" si="4"/>
        <v>25</v>
      </c>
      <c r="AKN7">
        <f t="shared" si="4"/>
        <v>25</v>
      </c>
      <c r="AKO7">
        <f t="shared" si="4"/>
        <v>25</v>
      </c>
      <c r="AKP7">
        <f t="shared" si="4"/>
        <v>25</v>
      </c>
      <c r="AKQ7">
        <f t="shared" si="4"/>
        <v>50</v>
      </c>
      <c r="AKR7">
        <f t="shared" si="4"/>
        <v>25</v>
      </c>
      <c r="AKS7">
        <f t="shared" si="4"/>
        <v>0</v>
      </c>
      <c r="AKT7">
        <f t="shared" si="4"/>
        <v>0</v>
      </c>
      <c r="AKU7">
        <f t="shared" si="4"/>
        <v>0</v>
      </c>
      <c r="AKV7">
        <f t="shared" si="4"/>
        <v>0</v>
      </c>
      <c r="AKW7">
        <f t="shared" si="4"/>
        <v>0</v>
      </c>
      <c r="AKX7">
        <f t="shared" si="4"/>
        <v>0</v>
      </c>
      <c r="AKY7">
        <f t="shared" si="4"/>
        <v>0</v>
      </c>
      <c r="AKZ7">
        <f t="shared" si="4"/>
        <v>0</v>
      </c>
      <c r="ALA7">
        <f t="shared" si="4"/>
        <v>0</v>
      </c>
      <c r="ALB7">
        <f t="shared" si="4"/>
        <v>0</v>
      </c>
      <c r="ALC7">
        <f t="shared" si="4"/>
        <v>0</v>
      </c>
      <c r="ALD7">
        <f t="shared" si="4"/>
        <v>12.5</v>
      </c>
      <c r="ALE7">
        <f t="shared" si="4"/>
        <v>12.5</v>
      </c>
      <c r="ALF7">
        <f t="shared" si="4"/>
        <v>12.5</v>
      </c>
      <c r="ALG7">
        <f t="shared" si="4"/>
        <v>25</v>
      </c>
      <c r="ALH7">
        <f t="shared" si="4"/>
        <v>25</v>
      </c>
      <c r="ALI7">
        <f t="shared" si="4"/>
        <v>25</v>
      </c>
      <c r="ALJ7">
        <f t="shared" si="4"/>
        <v>25</v>
      </c>
      <c r="ALK7">
        <f t="shared" si="4"/>
        <v>25</v>
      </c>
      <c r="ALL7">
        <f t="shared" si="4"/>
        <v>25</v>
      </c>
      <c r="ALM7">
        <f t="shared" si="4"/>
        <v>50</v>
      </c>
      <c r="ALN7">
        <f t="shared" si="4"/>
        <v>25</v>
      </c>
      <c r="ALO7">
        <f t="shared" si="4"/>
        <v>0</v>
      </c>
      <c r="ALP7">
        <f t="shared" si="4"/>
        <v>0</v>
      </c>
      <c r="ALQ7">
        <f t="shared" si="4"/>
        <v>0</v>
      </c>
      <c r="ALR7">
        <f t="shared" si="4"/>
        <v>0</v>
      </c>
      <c r="ALS7">
        <f t="shared" si="4"/>
        <v>0</v>
      </c>
      <c r="ALT7">
        <f t="shared" si="4"/>
        <v>0</v>
      </c>
      <c r="ALU7">
        <f t="shared" si="4"/>
        <v>0</v>
      </c>
      <c r="ALV7">
        <f t="shared" si="4"/>
        <v>0</v>
      </c>
      <c r="ALW7">
        <f t="shared" si="4"/>
        <v>0</v>
      </c>
      <c r="ALX7">
        <f t="shared" si="4"/>
        <v>0</v>
      </c>
      <c r="ALY7">
        <f t="shared" si="4"/>
        <v>0</v>
      </c>
      <c r="ALZ7">
        <f t="shared" si="4"/>
        <v>12.5</v>
      </c>
      <c r="AMA7">
        <f t="shared" si="4"/>
        <v>12.5</v>
      </c>
      <c r="AMB7">
        <f t="shared" si="4"/>
        <v>12.5</v>
      </c>
      <c r="AMC7">
        <f t="shared" si="4"/>
        <v>25</v>
      </c>
      <c r="AMD7">
        <f t="shared" si="4"/>
        <v>25</v>
      </c>
      <c r="AME7">
        <f t="shared" si="4"/>
        <v>25</v>
      </c>
      <c r="AMF7">
        <f t="shared" si="4"/>
        <v>25</v>
      </c>
      <c r="AMG7">
        <f t="shared" si="4"/>
        <v>25</v>
      </c>
      <c r="AMH7">
        <f t="shared" si="4"/>
        <v>25</v>
      </c>
      <c r="AMI7">
        <f t="shared" si="4"/>
        <v>50</v>
      </c>
      <c r="AMJ7">
        <f t="shared" si="4"/>
        <v>25</v>
      </c>
      <c r="AMK7">
        <f t="shared" si="4"/>
        <v>0</v>
      </c>
      <c r="AML7">
        <f t="shared" si="4"/>
        <v>0</v>
      </c>
      <c r="AMM7">
        <f t="shared" si="5"/>
        <v>0</v>
      </c>
      <c r="AMN7">
        <f t="shared" si="5"/>
        <v>0</v>
      </c>
      <c r="AMO7">
        <f t="shared" si="5"/>
        <v>0</v>
      </c>
      <c r="AMP7">
        <f t="shared" si="5"/>
        <v>0</v>
      </c>
      <c r="AMQ7">
        <f t="shared" si="5"/>
        <v>0</v>
      </c>
      <c r="AMR7">
        <f t="shared" si="5"/>
        <v>0</v>
      </c>
      <c r="AMS7">
        <f t="shared" si="5"/>
        <v>0</v>
      </c>
      <c r="AMT7">
        <f t="shared" si="5"/>
        <v>0</v>
      </c>
      <c r="AMU7">
        <f t="shared" si="5"/>
        <v>0</v>
      </c>
      <c r="AMV7">
        <f t="shared" si="5"/>
        <v>12.5</v>
      </c>
      <c r="AMW7">
        <f t="shared" si="5"/>
        <v>12.5</v>
      </c>
      <c r="AMX7">
        <f t="shared" si="5"/>
        <v>12.5</v>
      </c>
      <c r="AMY7">
        <f t="shared" si="5"/>
        <v>25</v>
      </c>
      <c r="AMZ7">
        <f t="shared" si="5"/>
        <v>25</v>
      </c>
      <c r="ANA7">
        <f t="shared" si="5"/>
        <v>25</v>
      </c>
      <c r="ANB7">
        <f t="shared" si="5"/>
        <v>25</v>
      </c>
      <c r="ANC7">
        <f t="shared" si="5"/>
        <v>25</v>
      </c>
      <c r="AND7">
        <f t="shared" si="5"/>
        <v>25</v>
      </c>
      <c r="ANE7">
        <f t="shared" si="5"/>
        <v>50</v>
      </c>
      <c r="ANF7">
        <f t="shared" si="5"/>
        <v>25</v>
      </c>
      <c r="ANG7">
        <f t="shared" si="5"/>
        <v>0</v>
      </c>
      <c r="ANH7">
        <f t="shared" si="5"/>
        <v>0</v>
      </c>
      <c r="ANI7">
        <f t="shared" si="5"/>
        <v>0</v>
      </c>
      <c r="ANJ7">
        <f t="shared" si="5"/>
        <v>0</v>
      </c>
      <c r="ANK7">
        <f t="shared" si="5"/>
        <v>0</v>
      </c>
      <c r="ANL7">
        <f t="shared" si="5"/>
        <v>0</v>
      </c>
      <c r="ANM7">
        <f t="shared" si="5"/>
        <v>0</v>
      </c>
      <c r="ANN7">
        <f t="shared" si="5"/>
        <v>0</v>
      </c>
      <c r="ANO7">
        <f t="shared" si="5"/>
        <v>0</v>
      </c>
      <c r="ANP7">
        <f t="shared" si="5"/>
        <v>0</v>
      </c>
      <c r="ANQ7">
        <f t="shared" si="5"/>
        <v>0</v>
      </c>
      <c r="ANR7">
        <f t="shared" si="5"/>
        <v>12.5</v>
      </c>
      <c r="ANS7">
        <f t="shared" si="5"/>
        <v>12.5</v>
      </c>
      <c r="ANT7">
        <f t="shared" si="5"/>
        <v>12.5</v>
      </c>
      <c r="ANU7">
        <f t="shared" si="5"/>
        <v>25</v>
      </c>
      <c r="ANV7">
        <f t="shared" si="5"/>
        <v>25</v>
      </c>
      <c r="ANW7">
        <f t="shared" si="5"/>
        <v>25</v>
      </c>
      <c r="ANX7">
        <f t="shared" si="5"/>
        <v>25</v>
      </c>
      <c r="ANY7">
        <f t="shared" si="5"/>
        <v>25</v>
      </c>
      <c r="ANZ7">
        <f t="shared" si="5"/>
        <v>25</v>
      </c>
      <c r="AOA7">
        <f t="shared" si="5"/>
        <v>50</v>
      </c>
      <c r="AOB7">
        <f t="shared" si="5"/>
        <v>25</v>
      </c>
      <c r="AOC7">
        <f t="shared" si="5"/>
        <v>0</v>
      </c>
      <c r="AOD7">
        <f t="shared" si="5"/>
        <v>0</v>
      </c>
      <c r="AOE7">
        <f t="shared" si="5"/>
        <v>0</v>
      </c>
      <c r="AOF7">
        <f t="shared" si="5"/>
        <v>0</v>
      </c>
      <c r="AOG7">
        <f t="shared" si="5"/>
        <v>0</v>
      </c>
      <c r="AOH7">
        <f t="shared" si="5"/>
        <v>0</v>
      </c>
      <c r="AOI7">
        <f t="shared" si="5"/>
        <v>0</v>
      </c>
      <c r="AOJ7">
        <f t="shared" si="5"/>
        <v>0</v>
      </c>
      <c r="AOK7">
        <f t="shared" si="5"/>
        <v>0</v>
      </c>
      <c r="AOL7">
        <f t="shared" si="5"/>
        <v>0</v>
      </c>
      <c r="AOM7">
        <f t="shared" si="5"/>
        <v>0</v>
      </c>
      <c r="AON7">
        <f t="shared" si="5"/>
        <v>12.5</v>
      </c>
      <c r="AOO7">
        <f t="shared" si="5"/>
        <v>12.5</v>
      </c>
      <c r="AOP7">
        <f t="shared" si="5"/>
        <v>12.5</v>
      </c>
      <c r="AOQ7">
        <f t="shared" si="5"/>
        <v>25</v>
      </c>
      <c r="AOR7">
        <f t="shared" si="5"/>
        <v>25</v>
      </c>
      <c r="AOS7">
        <f t="shared" si="5"/>
        <v>25</v>
      </c>
      <c r="AOT7">
        <f t="shared" si="5"/>
        <v>25</v>
      </c>
      <c r="AOU7">
        <f t="shared" si="5"/>
        <v>25</v>
      </c>
      <c r="AOV7">
        <f t="shared" si="5"/>
        <v>25</v>
      </c>
      <c r="AOW7">
        <f t="shared" si="5"/>
        <v>50</v>
      </c>
      <c r="AOX7">
        <f t="shared" si="5"/>
        <v>25</v>
      </c>
      <c r="AOY7">
        <f t="shared" si="6"/>
        <v>0</v>
      </c>
      <c r="AOZ7">
        <f t="shared" si="6"/>
        <v>0</v>
      </c>
      <c r="APA7">
        <f t="shared" si="6"/>
        <v>0</v>
      </c>
      <c r="APB7">
        <f t="shared" si="6"/>
        <v>0</v>
      </c>
      <c r="APC7">
        <f t="shared" si="6"/>
        <v>0</v>
      </c>
      <c r="APD7">
        <f t="shared" si="6"/>
        <v>0</v>
      </c>
      <c r="APE7">
        <f t="shared" si="6"/>
        <v>0</v>
      </c>
      <c r="APF7">
        <f t="shared" si="6"/>
        <v>0</v>
      </c>
      <c r="APG7">
        <f t="shared" si="6"/>
        <v>0</v>
      </c>
      <c r="APH7">
        <f t="shared" si="6"/>
        <v>0</v>
      </c>
      <c r="API7">
        <f t="shared" si="6"/>
        <v>0</v>
      </c>
      <c r="APJ7">
        <f t="shared" si="6"/>
        <v>12.5</v>
      </c>
      <c r="APK7">
        <f t="shared" si="6"/>
        <v>12.5</v>
      </c>
      <c r="APL7">
        <f t="shared" si="6"/>
        <v>12.5</v>
      </c>
      <c r="APM7">
        <f t="shared" si="6"/>
        <v>25</v>
      </c>
      <c r="APN7">
        <f t="shared" si="6"/>
        <v>25</v>
      </c>
      <c r="APO7">
        <f t="shared" si="6"/>
        <v>25</v>
      </c>
      <c r="APP7">
        <f t="shared" si="6"/>
        <v>25</v>
      </c>
      <c r="APQ7">
        <f t="shared" si="6"/>
        <v>25</v>
      </c>
      <c r="APR7">
        <f t="shared" si="6"/>
        <v>25</v>
      </c>
      <c r="APS7">
        <f t="shared" si="6"/>
        <v>50</v>
      </c>
      <c r="APT7">
        <f t="shared" si="6"/>
        <v>25</v>
      </c>
      <c r="APU7">
        <f t="shared" si="6"/>
        <v>0</v>
      </c>
      <c r="APV7">
        <f t="shared" si="6"/>
        <v>0</v>
      </c>
      <c r="APW7">
        <f t="shared" si="6"/>
        <v>0</v>
      </c>
      <c r="APX7">
        <f t="shared" si="6"/>
        <v>0</v>
      </c>
      <c r="APY7">
        <f t="shared" si="6"/>
        <v>0</v>
      </c>
      <c r="APZ7">
        <f t="shared" si="6"/>
        <v>0</v>
      </c>
      <c r="AQA7">
        <f t="shared" si="6"/>
        <v>0</v>
      </c>
      <c r="AQB7">
        <f t="shared" si="6"/>
        <v>0</v>
      </c>
      <c r="AQC7">
        <f t="shared" si="6"/>
        <v>0</v>
      </c>
      <c r="AQD7">
        <f t="shared" si="6"/>
        <v>0</v>
      </c>
      <c r="AQE7">
        <f t="shared" si="6"/>
        <v>0</v>
      </c>
      <c r="AQF7">
        <f t="shared" si="6"/>
        <v>12.5</v>
      </c>
      <c r="AQG7">
        <f t="shared" si="6"/>
        <v>12.5</v>
      </c>
      <c r="AQH7">
        <f t="shared" si="6"/>
        <v>12.5</v>
      </c>
      <c r="AQI7">
        <f t="shared" si="6"/>
        <v>25</v>
      </c>
      <c r="AQJ7">
        <f t="shared" si="6"/>
        <v>25</v>
      </c>
      <c r="AQK7">
        <f t="shared" si="6"/>
        <v>25</v>
      </c>
      <c r="AQL7">
        <f t="shared" si="6"/>
        <v>25</v>
      </c>
      <c r="AQM7">
        <f t="shared" si="6"/>
        <v>25</v>
      </c>
      <c r="AQN7">
        <f t="shared" si="6"/>
        <v>25</v>
      </c>
      <c r="AQO7">
        <f t="shared" si="6"/>
        <v>50</v>
      </c>
      <c r="AQP7">
        <f t="shared" si="6"/>
        <v>25</v>
      </c>
      <c r="AQQ7">
        <f t="shared" si="6"/>
        <v>0</v>
      </c>
      <c r="AQR7">
        <f t="shared" si="6"/>
        <v>0</v>
      </c>
      <c r="AQS7">
        <f t="shared" si="6"/>
        <v>0</v>
      </c>
      <c r="AQT7">
        <f t="shared" si="6"/>
        <v>0</v>
      </c>
      <c r="AQU7">
        <f t="shared" si="6"/>
        <v>0</v>
      </c>
      <c r="AQV7">
        <f t="shared" si="6"/>
        <v>0</v>
      </c>
      <c r="AQW7">
        <f t="shared" si="6"/>
        <v>0</v>
      </c>
      <c r="AQX7">
        <f t="shared" si="6"/>
        <v>0</v>
      </c>
      <c r="AQY7">
        <f t="shared" si="6"/>
        <v>0</v>
      </c>
      <c r="AQZ7">
        <f t="shared" si="6"/>
        <v>0</v>
      </c>
      <c r="ARA7">
        <f t="shared" si="6"/>
        <v>0</v>
      </c>
      <c r="ARB7">
        <f t="shared" si="6"/>
        <v>12.5</v>
      </c>
      <c r="ARC7">
        <f t="shared" si="6"/>
        <v>12.5</v>
      </c>
      <c r="ARD7">
        <f t="shared" si="6"/>
        <v>12.5</v>
      </c>
      <c r="ARE7">
        <f t="shared" si="6"/>
        <v>25</v>
      </c>
      <c r="ARF7">
        <f t="shared" si="6"/>
        <v>25</v>
      </c>
      <c r="ARG7">
        <f t="shared" si="6"/>
        <v>25</v>
      </c>
      <c r="ARH7">
        <f t="shared" si="6"/>
        <v>25</v>
      </c>
      <c r="ARI7">
        <f t="shared" si="6"/>
        <v>25</v>
      </c>
      <c r="ARJ7">
        <f t="shared" si="6"/>
        <v>25</v>
      </c>
      <c r="ARK7">
        <f t="shared" si="7"/>
        <v>50</v>
      </c>
      <c r="ARL7">
        <f t="shared" si="7"/>
        <v>25</v>
      </c>
      <c r="ARM7">
        <f t="shared" si="7"/>
        <v>0</v>
      </c>
      <c r="ARN7">
        <f t="shared" si="7"/>
        <v>0</v>
      </c>
      <c r="ARO7">
        <f t="shared" si="7"/>
        <v>0</v>
      </c>
      <c r="ARP7">
        <f t="shared" si="7"/>
        <v>0</v>
      </c>
      <c r="ARQ7">
        <f t="shared" si="7"/>
        <v>0</v>
      </c>
      <c r="ARR7">
        <f t="shared" si="7"/>
        <v>0</v>
      </c>
      <c r="ARS7">
        <f t="shared" si="7"/>
        <v>0</v>
      </c>
      <c r="ART7">
        <f t="shared" si="7"/>
        <v>0</v>
      </c>
      <c r="ARU7">
        <f t="shared" si="7"/>
        <v>0</v>
      </c>
      <c r="ARV7">
        <f t="shared" si="7"/>
        <v>0</v>
      </c>
      <c r="ARW7">
        <f t="shared" si="7"/>
        <v>0</v>
      </c>
      <c r="ARX7">
        <f t="shared" si="7"/>
        <v>12.5</v>
      </c>
      <c r="ARY7">
        <f t="shared" si="7"/>
        <v>12.5</v>
      </c>
      <c r="ARZ7">
        <f t="shared" si="7"/>
        <v>12.5</v>
      </c>
      <c r="ASA7">
        <f t="shared" si="7"/>
        <v>25</v>
      </c>
      <c r="ASB7">
        <f t="shared" si="7"/>
        <v>25</v>
      </c>
      <c r="ASC7">
        <f t="shared" si="7"/>
        <v>25</v>
      </c>
      <c r="ASD7">
        <f t="shared" si="7"/>
        <v>25</v>
      </c>
      <c r="ASE7">
        <f t="shared" si="7"/>
        <v>25</v>
      </c>
      <c r="ASF7">
        <f t="shared" si="7"/>
        <v>25</v>
      </c>
      <c r="ASG7">
        <f t="shared" si="7"/>
        <v>50</v>
      </c>
      <c r="ASH7">
        <f t="shared" si="7"/>
        <v>25</v>
      </c>
      <c r="ASI7">
        <f t="shared" si="7"/>
        <v>0</v>
      </c>
      <c r="ASJ7">
        <f t="shared" si="7"/>
        <v>0</v>
      </c>
      <c r="ASK7">
        <f t="shared" si="7"/>
        <v>0</v>
      </c>
      <c r="ASL7">
        <f t="shared" si="7"/>
        <v>0</v>
      </c>
      <c r="ASM7">
        <f t="shared" si="7"/>
        <v>0</v>
      </c>
      <c r="ASN7">
        <f t="shared" si="7"/>
        <v>0</v>
      </c>
      <c r="ASO7">
        <f t="shared" si="7"/>
        <v>0</v>
      </c>
      <c r="ASP7">
        <f t="shared" si="7"/>
        <v>0</v>
      </c>
      <c r="ASQ7">
        <f t="shared" si="7"/>
        <v>0</v>
      </c>
      <c r="ASR7">
        <f t="shared" si="7"/>
        <v>0</v>
      </c>
      <c r="ASS7">
        <f t="shared" si="7"/>
        <v>0</v>
      </c>
      <c r="AST7">
        <f t="shared" si="7"/>
        <v>12.5</v>
      </c>
      <c r="ASU7">
        <f t="shared" si="7"/>
        <v>12.5</v>
      </c>
      <c r="ASV7">
        <f t="shared" si="7"/>
        <v>12.5</v>
      </c>
      <c r="ASW7">
        <f t="shared" si="7"/>
        <v>25</v>
      </c>
      <c r="ASX7">
        <f t="shared" si="7"/>
        <v>25</v>
      </c>
      <c r="ASY7">
        <f t="shared" si="7"/>
        <v>25</v>
      </c>
      <c r="ASZ7">
        <f t="shared" si="7"/>
        <v>25</v>
      </c>
      <c r="ATA7">
        <f t="shared" si="7"/>
        <v>25</v>
      </c>
      <c r="ATB7">
        <f t="shared" si="7"/>
        <v>25</v>
      </c>
      <c r="ATC7">
        <f t="shared" si="7"/>
        <v>50</v>
      </c>
      <c r="ATD7">
        <f t="shared" si="7"/>
        <v>25</v>
      </c>
      <c r="ATE7">
        <f t="shared" si="7"/>
        <v>0</v>
      </c>
      <c r="ATF7">
        <f t="shared" si="7"/>
        <v>0</v>
      </c>
      <c r="ATG7">
        <f t="shared" si="7"/>
        <v>0</v>
      </c>
      <c r="ATH7">
        <f t="shared" si="7"/>
        <v>0</v>
      </c>
      <c r="ATI7">
        <f t="shared" si="7"/>
        <v>0</v>
      </c>
      <c r="ATJ7">
        <f t="shared" si="7"/>
        <v>0</v>
      </c>
      <c r="ATK7">
        <f t="shared" si="7"/>
        <v>0</v>
      </c>
      <c r="ATL7">
        <f t="shared" si="7"/>
        <v>0</v>
      </c>
      <c r="ATM7">
        <f t="shared" si="7"/>
        <v>0</v>
      </c>
      <c r="ATN7">
        <f t="shared" si="7"/>
        <v>0</v>
      </c>
      <c r="ATO7">
        <f t="shared" si="7"/>
        <v>0</v>
      </c>
      <c r="ATP7">
        <f t="shared" si="7"/>
        <v>12.5</v>
      </c>
      <c r="ATQ7">
        <f t="shared" si="7"/>
        <v>12.5</v>
      </c>
      <c r="ATR7">
        <f t="shared" si="7"/>
        <v>12.5</v>
      </c>
      <c r="ATS7">
        <f t="shared" si="7"/>
        <v>25</v>
      </c>
      <c r="ATT7">
        <f t="shared" si="7"/>
        <v>25</v>
      </c>
      <c r="ATU7">
        <f t="shared" si="7"/>
        <v>25</v>
      </c>
      <c r="ATV7">
        <f t="shared" si="7"/>
        <v>25</v>
      </c>
      <c r="ATW7">
        <f t="shared" si="8"/>
        <v>25</v>
      </c>
      <c r="ATX7">
        <f t="shared" si="8"/>
        <v>25</v>
      </c>
      <c r="ATY7">
        <f t="shared" si="8"/>
        <v>50</v>
      </c>
      <c r="ATZ7">
        <f t="shared" si="8"/>
        <v>25</v>
      </c>
      <c r="AUA7">
        <f t="shared" si="8"/>
        <v>0</v>
      </c>
      <c r="AUB7">
        <f t="shared" si="8"/>
        <v>0</v>
      </c>
      <c r="AUC7">
        <f t="shared" si="8"/>
        <v>0</v>
      </c>
      <c r="AUD7">
        <f t="shared" si="8"/>
        <v>0</v>
      </c>
      <c r="AUE7">
        <f t="shared" si="8"/>
        <v>0</v>
      </c>
      <c r="AUF7">
        <f t="shared" si="8"/>
        <v>0</v>
      </c>
      <c r="AUG7">
        <f t="shared" si="8"/>
        <v>0</v>
      </c>
      <c r="AUH7">
        <f t="shared" si="8"/>
        <v>0</v>
      </c>
      <c r="AUI7">
        <f t="shared" si="8"/>
        <v>0</v>
      </c>
      <c r="AUJ7">
        <f t="shared" si="8"/>
        <v>0</v>
      </c>
      <c r="AUK7">
        <f t="shared" si="8"/>
        <v>0</v>
      </c>
      <c r="AUL7">
        <f t="shared" si="8"/>
        <v>12.5</v>
      </c>
      <c r="AUM7">
        <f t="shared" si="8"/>
        <v>12.5</v>
      </c>
      <c r="AUN7">
        <f t="shared" si="8"/>
        <v>12.5</v>
      </c>
      <c r="AUO7">
        <f t="shared" si="8"/>
        <v>25</v>
      </c>
      <c r="AUP7">
        <f t="shared" si="8"/>
        <v>25</v>
      </c>
      <c r="AUQ7">
        <f t="shared" si="8"/>
        <v>25</v>
      </c>
      <c r="AUR7">
        <f t="shared" si="8"/>
        <v>25</v>
      </c>
      <c r="AUS7">
        <f t="shared" si="8"/>
        <v>25</v>
      </c>
      <c r="AUT7">
        <f t="shared" si="8"/>
        <v>25</v>
      </c>
      <c r="AUU7">
        <f t="shared" si="8"/>
        <v>50</v>
      </c>
      <c r="AUV7">
        <f t="shared" si="8"/>
        <v>25</v>
      </c>
      <c r="AUW7">
        <f t="shared" si="8"/>
        <v>0</v>
      </c>
      <c r="AUX7">
        <f t="shared" si="8"/>
        <v>0</v>
      </c>
      <c r="AUY7">
        <f t="shared" si="8"/>
        <v>0</v>
      </c>
      <c r="AUZ7">
        <f t="shared" si="8"/>
        <v>0</v>
      </c>
      <c r="AVA7">
        <f t="shared" si="8"/>
        <v>0</v>
      </c>
      <c r="AVB7">
        <f t="shared" si="8"/>
        <v>0</v>
      </c>
      <c r="AVC7">
        <f t="shared" si="8"/>
        <v>0</v>
      </c>
      <c r="AVD7">
        <f t="shared" si="8"/>
        <v>0</v>
      </c>
      <c r="AVE7">
        <f t="shared" si="8"/>
        <v>0</v>
      </c>
      <c r="AVF7">
        <f t="shared" si="8"/>
        <v>0</v>
      </c>
      <c r="AVG7">
        <f t="shared" si="8"/>
        <v>0</v>
      </c>
      <c r="AVH7">
        <f t="shared" si="8"/>
        <v>12.5</v>
      </c>
      <c r="AVI7">
        <f t="shared" si="8"/>
        <v>12.5</v>
      </c>
      <c r="AVJ7">
        <f t="shared" si="8"/>
        <v>12.5</v>
      </c>
      <c r="AVK7">
        <f t="shared" si="8"/>
        <v>25</v>
      </c>
      <c r="AVL7">
        <f t="shared" si="8"/>
        <v>25</v>
      </c>
      <c r="AVM7">
        <f t="shared" si="8"/>
        <v>25</v>
      </c>
      <c r="AVN7">
        <f t="shared" si="8"/>
        <v>25</v>
      </c>
      <c r="AVO7">
        <f t="shared" si="8"/>
        <v>25</v>
      </c>
      <c r="AVP7">
        <f t="shared" si="8"/>
        <v>25</v>
      </c>
      <c r="AVQ7">
        <f t="shared" si="8"/>
        <v>50</v>
      </c>
      <c r="AVR7">
        <f t="shared" si="8"/>
        <v>25</v>
      </c>
      <c r="AVS7">
        <f t="shared" si="8"/>
        <v>0</v>
      </c>
      <c r="AVT7">
        <f t="shared" si="8"/>
        <v>0</v>
      </c>
      <c r="AVU7">
        <f t="shared" si="8"/>
        <v>0</v>
      </c>
      <c r="AVV7">
        <f t="shared" si="8"/>
        <v>0</v>
      </c>
      <c r="AVW7">
        <f t="shared" si="8"/>
        <v>0</v>
      </c>
      <c r="AVX7">
        <f t="shared" si="8"/>
        <v>0</v>
      </c>
      <c r="AVY7">
        <f t="shared" si="8"/>
        <v>0</v>
      </c>
      <c r="AVZ7">
        <f t="shared" si="8"/>
        <v>0</v>
      </c>
      <c r="AWA7">
        <f t="shared" si="8"/>
        <v>0</v>
      </c>
      <c r="AWB7">
        <f t="shared" si="8"/>
        <v>0</v>
      </c>
      <c r="AWC7">
        <f t="shared" si="8"/>
        <v>0</v>
      </c>
      <c r="AWD7">
        <f t="shared" si="8"/>
        <v>12.5</v>
      </c>
      <c r="AWE7">
        <f t="shared" si="8"/>
        <v>12.5</v>
      </c>
      <c r="AWF7">
        <f t="shared" si="8"/>
        <v>12.5</v>
      </c>
      <c r="AWG7">
        <f t="shared" si="8"/>
        <v>25</v>
      </c>
      <c r="AWH7">
        <f t="shared" si="8"/>
        <v>25</v>
      </c>
      <c r="AWI7">
        <f t="shared" si="9"/>
        <v>25</v>
      </c>
      <c r="AWJ7">
        <f t="shared" si="9"/>
        <v>25</v>
      </c>
      <c r="AWK7">
        <f t="shared" si="9"/>
        <v>25</v>
      </c>
      <c r="AWL7">
        <f t="shared" si="9"/>
        <v>25</v>
      </c>
      <c r="AWM7">
        <f t="shared" si="9"/>
        <v>50</v>
      </c>
      <c r="AWN7">
        <f t="shared" si="9"/>
        <v>25</v>
      </c>
      <c r="AWO7">
        <f t="shared" si="9"/>
        <v>0</v>
      </c>
      <c r="AWP7">
        <f t="shared" si="9"/>
        <v>0</v>
      </c>
      <c r="AWQ7">
        <f t="shared" si="9"/>
        <v>0</v>
      </c>
      <c r="AWR7">
        <f t="shared" si="9"/>
        <v>0</v>
      </c>
      <c r="AWS7">
        <f t="shared" si="9"/>
        <v>0</v>
      </c>
      <c r="AWT7">
        <f t="shared" si="9"/>
        <v>0</v>
      </c>
      <c r="AWU7">
        <f t="shared" si="9"/>
        <v>0</v>
      </c>
      <c r="AWV7">
        <f t="shared" si="9"/>
        <v>0</v>
      </c>
      <c r="AWW7">
        <f t="shared" si="9"/>
        <v>0</v>
      </c>
      <c r="AWX7">
        <f t="shared" si="9"/>
        <v>0</v>
      </c>
      <c r="AWY7">
        <f t="shared" si="9"/>
        <v>0</v>
      </c>
      <c r="AWZ7">
        <f t="shared" si="9"/>
        <v>12.5</v>
      </c>
      <c r="AXA7">
        <f t="shared" si="9"/>
        <v>12.5</v>
      </c>
      <c r="AXB7">
        <f t="shared" si="9"/>
        <v>12.5</v>
      </c>
      <c r="AXC7">
        <f t="shared" si="9"/>
        <v>25</v>
      </c>
      <c r="AXD7">
        <f t="shared" si="9"/>
        <v>25</v>
      </c>
      <c r="AXE7">
        <f t="shared" si="9"/>
        <v>25</v>
      </c>
      <c r="AXF7">
        <f t="shared" si="9"/>
        <v>25</v>
      </c>
      <c r="AXG7">
        <f t="shared" si="9"/>
        <v>25</v>
      </c>
      <c r="AXH7">
        <f t="shared" si="9"/>
        <v>25</v>
      </c>
      <c r="AXI7">
        <f t="shared" si="9"/>
        <v>50</v>
      </c>
      <c r="AXJ7">
        <f t="shared" si="9"/>
        <v>25</v>
      </c>
      <c r="AXK7">
        <f t="shared" si="9"/>
        <v>0</v>
      </c>
      <c r="AXL7">
        <f t="shared" si="9"/>
        <v>0</v>
      </c>
      <c r="AXM7">
        <f t="shared" si="9"/>
        <v>0</v>
      </c>
      <c r="AXN7">
        <f t="shared" si="9"/>
        <v>0</v>
      </c>
      <c r="AXO7">
        <f t="shared" si="9"/>
        <v>0</v>
      </c>
      <c r="AXP7">
        <f t="shared" si="9"/>
        <v>0</v>
      </c>
      <c r="AXQ7">
        <f t="shared" si="9"/>
        <v>0</v>
      </c>
      <c r="AXR7">
        <f t="shared" si="9"/>
        <v>0</v>
      </c>
      <c r="AXS7">
        <f t="shared" si="9"/>
        <v>0</v>
      </c>
      <c r="AXT7">
        <f t="shared" si="9"/>
        <v>0</v>
      </c>
      <c r="AXU7">
        <f t="shared" si="9"/>
        <v>0</v>
      </c>
      <c r="AXV7">
        <f t="shared" si="9"/>
        <v>12.5</v>
      </c>
      <c r="AXW7">
        <f t="shared" si="9"/>
        <v>12.5</v>
      </c>
      <c r="AXX7">
        <f t="shared" si="9"/>
        <v>12.5</v>
      </c>
      <c r="AXY7">
        <f t="shared" si="9"/>
        <v>25</v>
      </c>
      <c r="AXZ7">
        <f t="shared" si="9"/>
        <v>25</v>
      </c>
      <c r="AYA7">
        <f t="shared" si="9"/>
        <v>25</v>
      </c>
      <c r="AYB7">
        <f t="shared" si="9"/>
        <v>25</v>
      </c>
      <c r="AYC7">
        <f t="shared" si="9"/>
        <v>25</v>
      </c>
      <c r="AYD7">
        <f t="shared" si="9"/>
        <v>25</v>
      </c>
      <c r="AYE7">
        <f t="shared" si="9"/>
        <v>50</v>
      </c>
      <c r="AYF7">
        <f t="shared" si="9"/>
        <v>25</v>
      </c>
      <c r="AYG7">
        <f t="shared" si="9"/>
        <v>0</v>
      </c>
      <c r="AYH7">
        <f t="shared" si="9"/>
        <v>0</v>
      </c>
      <c r="AYI7">
        <f t="shared" si="9"/>
        <v>0</v>
      </c>
      <c r="AYJ7">
        <f t="shared" si="9"/>
        <v>0</v>
      </c>
      <c r="AYK7">
        <f t="shared" si="9"/>
        <v>0</v>
      </c>
      <c r="AYL7">
        <f t="shared" si="9"/>
        <v>0</v>
      </c>
      <c r="AYM7">
        <f t="shared" si="9"/>
        <v>0</v>
      </c>
      <c r="AYN7">
        <f t="shared" si="9"/>
        <v>0</v>
      </c>
      <c r="AYO7">
        <f t="shared" si="9"/>
        <v>0</v>
      </c>
      <c r="AYP7">
        <f t="shared" si="9"/>
        <v>0</v>
      </c>
      <c r="AYQ7">
        <f t="shared" si="9"/>
        <v>0</v>
      </c>
      <c r="AYR7">
        <f t="shared" si="9"/>
        <v>12.5</v>
      </c>
      <c r="AYS7">
        <f t="shared" si="9"/>
        <v>12.5</v>
      </c>
      <c r="AYT7">
        <f t="shared" si="9"/>
        <v>12.5</v>
      </c>
      <c r="AYU7">
        <f t="shared" si="10"/>
        <v>25</v>
      </c>
      <c r="AYV7">
        <f t="shared" si="10"/>
        <v>25</v>
      </c>
      <c r="AYW7">
        <f t="shared" si="10"/>
        <v>25</v>
      </c>
      <c r="AYX7">
        <f t="shared" si="10"/>
        <v>25</v>
      </c>
      <c r="AYY7">
        <f t="shared" si="10"/>
        <v>25</v>
      </c>
      <c r="AYZ7">
        <f t="shared" si="10"/>
        <v>25</v>
      </c>
      <c r="AZA7">
        <f t="shared" si="10"/>
        <v>50</v>
      </c>
      <c r="AZB7">
        <f t="shared" si="10"/>
        <v>25</v>
      </c>
      <c r="AZC7">
        <f t="shared" si="10"/>
        <v>0</v>
      </c>
      <c r="AZD7">
        <f t="shared" si="10"/>
        <v>0</v>
      </c>
      <c r="AZE7">
        <f t="shared" si="10"/>
        <v>0</v>
      </c>
      <c r="AZF7">
        <f t="shared" si="10"/>
        <v>0</v>
      </c>
      <c r="AZG7">
        <f t="shared" si="10"/>
        <v>0</v>
      </c>
      <c r="AZH7">
        <f t="shared" si="10"/>
        <v>0</v>
      </c>
      <c r="AZI7">
        <f t="shared" si="10"/>
        <v>0</v>
      </c>
      <c r="AZJ7">
        <f t="shared" si="10"/>
        <v>0</v>
      </c>
      <c r="AZK7">
        <f t="shared" si="10"/>
        <v>0</v>
      </c>
      <c r="AZL7">
        <f t="shared" si="10"/>
        <v>0</v>
      </c>
      <c r="AZM7">
        <f t="shared" si="10"/>
        <v>0</v>
      </c>
      <c r="AZN7">
        <f t="shared" si="10"/>
        <v>12.5</v>
      </c>
      <c r="AZO7">
        <f t="shared" si="10"/>
        <v>12.5</v>
      </c>
      <c r="AZP7">
        <f t="shared" si="10"/>
        <v>12.5</v>
      </c>
      <c r="AZQ7">
        <f t="shared" si="10"/>
        <v>25</v>
      </c>
      <c r="AZR7">
        <f t="shared" si="10"/>
        <v>25</v>
      </c>
      <c r="AZS7">
        <f t="shared" si="10"/>
        <v>25</v>
      </c>
      <c r="AZT7">
        <f t="shared" si="10"/>
        <v>25</v>
      </c>
      <c r="AZU7">
        <f t="shared" si="10"/>
        <v>25</v>
      </c>
      <c r="AZV7">
        <f t="shared" si="10"/>
        <v>25</v>
      </c>
      <c r="AZW7">
        <f t="shared" si="10"/>
        <v>50</v>
      </c>
      <c r="AZX7">
        <f t="shared" si="10"/>
        <v>25</v>
      </c>
      <c r="AZY7">
        <f t="shared" si="10"/>
        <v>0</v>
      </c>
      <c r="AZZ7">
        <f t="shared" si="10"/>
        <v>0</v>
      </c>
      <c r="BAA7">
        <f t="shared" si="10"/>
        <v>0</v>
      </c>
      <c r="BAB7">
        <f t="shared" si="10"/>
        <v>0</v>
      </c>
      <c r="BAC7">
        <f t="shared" si="10"/>
        <v>0</v>
      </c>
      <c r="BAD7">
        <f t="shared" si="10"/>
        <v>0</v>
      </c>
      <c r="BAE7">
        <f t="shared" si="10"/>
        <v>0</v>
      </c>
      <c r="BAF7">
        <f t="shared" si="10"/>
        <v>0</v>
      </c>
      <c r="BAG7">
        <f t="shared" si="10"/>
        <v>0</v>
      </c>
      <c r="BAH7">
        <f t="shared" si="10"/>
        <v>0</v>
      </c>
      <c r="BAI7">
        <f t="shared" si="10"/>
        <v>0</v>
      </c>
      <c r="BAJ7">
        <f t="shared" si="10"/>
        <v>12.5</v>
      </c>
      <c r="BAK7">
        <f t="shared" si="10"/>
        <v>12.5</v>
      </c>
      <c r="BAL7">
        <f t="shared" si="10"/>
        <v>12.5</v>
      </c>
      <c r="BAM7">
        <f t="shared" si="10"/>
        <v>25</v>
      </c>
      <c r="BAN7">
        <f t="shared" si="10"/>
        <v>25</v>
      </c>
      <c r="BAO7">
        <f t="shared" si="10"/>
        <v>25</v>
      </c>
      <c r="BAP7">
        <f t="shared" si="10"/>
        <v>25</v>
      </c>
      <c r="BAQ7">
        <f t="shared" si="10"/>
        <v>25</v>
      </c>
      <c r="BAR7">
        <f t="shared" si="10"/>
        <v>25</v>
      </c>
      <c r="BAS7">
        <f t="shared" si="10"/>
        <v>50</v>
      </c>
      <c r="BAT7">
        <f t="shared" si="10"/>
        <v>25</v>
      </c>
      <c r="BAU7">
        <f t="shared" si="10"/>
        <v>0</v>
      </c>
      <c r="BAV7">
        <f t="shared" si="10"/>
        <v>0</v>
      </c>
      <c r="BAW7">
        <f t="shared" si="10"/>
        <v>0</v>
      </c>
      <c r="BAX7">
        <f t="shared" si="10"/>
        <v>0</v>
      </c>
      <c r="BAY7">
        <f t="shared" si="10"/>
        <v>0</v>
      </c>
      <c r="BAZ7">
        <f t="shared" si="10"/>
        <v>0</v>
      </c>
      <c r="BBA7">
        <f t="shared" si="10"/>
        <v>0</v>
      </c>
      <c r="BBB7">
        <f t="shared" si="10"/>
        <v>0</v>
      </c>
      <c r="BBC7">
        <f t="shared" si="10"/>
        <v>0</v>
      </c>
      <c r="BBD7">
        <f t="shared" si="10"/>
        <v>0</v>
      </c>
      <c r="BBE7">
        <f t="shared" si="10"/>
        <v>0</v>
      </c>
      <c r="BBF7">
        <f t="shared" si="10"/>
        <v>12.5</v>
      </c>
      <c r="BBG7">
        <f t="shared" si="11"/>
        <v>12.5</v>
      </c>
      <c r="BBH7">
        <f t="shared" si="11"/>
        <v>12.5</v>
      </c>
      <c r="BBI7">
        <f t="shared" si="11"/>
        <v>25</v>
      </c>
      <c r="BBJ7">
        <f t="shared" si="11"/>
        <v>25</v>
      </c>
      <c r="BBK7">
        <f t="shared" si="11"/>
        <v>25</v>
      </c>
      <c r="BBL7">
        <f t="shared" si="11"/>
        <v>25</v>
      </c>
      <c r="BBM7">
        <f t="shared" si="11"/>
        <v>25</v>
      </c>
      <c r="BBN7">
        <f t="shared" si="11"/>
        <v>25</v>
      </c>
      <c r="BBO7">
        <f t="shared" si="11"/>
        <v>50</v>
      </c>
      <c r="BBP7">
        <f t="shared" si="11"/>
        <v>25</v>
      </c>
      <c r="BBQ7">
        <f t="shared" si="11"/>
        <v>0</v>
      </c>
      <c r="BBR7">
        <f t="shared" si="11"/>
        <v>0</v>
      </c>
      <c r="BBS7">
        <f t="shared" si="11"/>
        <v>0</v>
      </c>
      <c r="BBT7">
        <f t="shared" si="11"/>
        <v>0</v>
      </c>
      <c r="BBU7">
        <f t="shared" si="11"/>
        <v>0</v>
      </c>
      <c r="BBV7">
        <f t="shared" si="11"/>
        <v>0</v>
      </c>
      <c r="BBW7">
        <f t="shared" si="11"/>
        <v>0</v>
      </c>
      <c r="BBX7">
        <f t="shared" si="11"/>
        <v>0</v>
      </c>
      <c r="BBY7">
        <f t="shared" si="11"/>
        <v>0</v>
      </c>
      <c r="BBZ7">
        <f t="shared" si="11"/>
        <v>0</v>
      </c>
      <c r="BCA7">
        <f t="shared" si="11"/>
        <v>0</v>
      </c>
      <c r="BCB7">
        <f t="shared" si="11"/>
        <v>12.5</v>
      </c>
      <c r="BCC7">
        <f t="shared" si="11"/>
        <v>12.5</v>
      </c>
      <c r="BCD7">
        <f t="shared" si="11"/>
        <v>12.5</v>
      </c>
      <c r="BCE7">
        <f t="shared" si="11"/>
        <v>25</v>
      </c>
      <c r="BCF7">
        <f t="shared" si="11"/>
        <v>25</v>
      </c>
      <c r="BCG7">
        <f t="shared" si="11"/>
        <v>25</v>
      </c>
      <c r="BCH7">
        <f t="shared" si="11"/>
        <v>25</v>
      </c>
      <c r="BCI7">
        <f t="shared" si="11"/>
        <v>25</v>
      </c>
      <c r="BCJ7">
        <f t="shared" si="11"/>
        <v>25</v>
      </c>
      <c r="BCK7">
        <f t="shared" si="11"/>
        <v>50</v>
      </c>
      <c r="BCL7">
        <f t="shared" si="11"/>
        <v>25</v>
      </c>
      <c r="BCM7">
        <f t="shared" si="11"/>
        <v>0</v>
      </c>
      <c r="BCN7">
        <f t="shared" si="11"/>
        <v>0</v>
      </c>
      <c r="BCO7">
        <f t="shared" si="11"/>
        <v>0</v>
      </c>
      <c r="BCP7">
        <f t="shared" si="11"/>
        <v>0</v>
      </c>
      <c r="BCQ7">
        <f t="shared" si="11"/>
        <v>0</v>
      </c>
      <c r="BCR7">
        <f t="shared" si="11"/>
        <v>0</v>
      </c>
      <c r="BCS7">
        <f t="shared" si="11"/>
        <v>0</v>
      </c>
      <c r="BCT7">
        <f t="shared" si="11"/>
        <v>0</v>
      </c>
      <c r="BCU7">
        <f t="shared" si="11"/>
        <v>0</v>
      </c>
      <c r="BCV7">
        <f t="shared" si="11"/>
        <v>0</v>
      </c>
      <c r="BCW7">
        <f t="shared" si="11"/>
        <v>0</v>
      </c>
      <c r="BCX7">
        <f t="shared" si="11"/>
        <v>12.5</v>
      </c>
      <c r="BCY7">
        <f t="shared" si="11"/>
        <v>12.5</v>
      </c>
      <c r="BCZ7">
        <f t="shared" si="11"/>
        <v>12.5</v>
      </c>
      <c r="BDA7">
        <f t="shared" si="11"/>
        <v>25</v>
      </c>
      <c r="BDB7">
        <f t="shared" si="11"/>
        <v>25</v>
      </c>
      <c r="BDC7">
        <f t="shared" si="11"/>
        <v>25</v>
      </c>
      <c r="BDD7">
        <f t="shared" si="11"/>
        <v>25</v>
      </c>
      <c r="BDE7">
        <f t="shared" si="11"/>
        <v>25</v>
      </c>
      <c r="BDF7">
        <f t="shared" si="11"/>
        <v>25</v>
      </c>
      <c r="BDG7">
        <f t="shared" si="11"/>
        <v>50</v>
      </c>
      <c r="BDH7">
        <f t="shared" si="11"/>
        <v>25</v>
      </c>
      <c r="BDI7">
        <f t="shared" si="11"/>
        <v>0</v>
      </c>
      <c r="BDJ7">
        <f t="shared" si="11"/>
        <v>0</v>
      </c>
      <c r="BDK7">
        <f t="shared" si="11"/>
        <v>0</v>
      </c>
      <c r="BDL7">
        <f t="shared" si="11"/>
        <v>0</v>
      </c>
      <c r="BDM7">
        <f t="shared" si="11"/>
        <v>0</v>
      </c>
      <c r="BDN7">
        <f t="shared" si="11"/>
        <v>0</v>
      </c>
      <c r="BDO7">
        <f t="shared" si="11"/>
        <v>0</v>
      </c>
      <c r="BDP7">
        <f t="shared" si="11"/>
        <v>0</v>
      </c>
      <c r="BDQ7">
        <f t="shared" si="11"/>
        <v>0</v>
      </c>
      <c r="BDR7">
        <f t="shared" si="11"/>
        <v>0</v>
      </c>
      <c r="BDS7">
        <f t="shared" si="12"/>
        <v>0</v>
      </c>
      <c r="BDT7">
        <f t="shared" si="12"/>
        <v>12.5</v>
      </c>
      <c r="BDU7">
        <f t="shared" si="12"/>
        <v>12.5</v>
      </c>
      <c r="BDV7">
        <f t="shared" si="12"/>
        <v>12.5</v>
      </c>
      <c r="BDW7">
        <f t="shared" si="12"/>
        <v>25</v>
      </c>
      <c r="BDX7">
        <f t="shared" si="12"/>
        <v>25</v>
      </c>
      <c r="BDY7">
        <f t="shared" si="12"/>
        <v>25</v>
      </c>
      <c r="BDZ7">
        <f t="shared" si="12"/>
        <v>25</v>
      </c>
      <c r="BEA7">
        <f t="shared" si="12"/>
        <v>25</v>
      </c>
      <c r="BEB7">
        <f t="shared" si="12"/>
        <v>25</v>
      </c>
      <c r="BEC7">
        <f t="shared" si="12"/>
        <v>50</v>
      </c>
      <c r="BED7">
        <f t="shared" si="12"/>
        <v>25</v>
      </c>
      <c r="BEE7">
        <f t="shared" si="12"/>
        <v>0</v>
      </c>
      <c r="BEF7">
        <f t="shared" si="12"/>
        <v>0</v>
      </c>
      <c r="BEG7">
        <f t="shared" si="12"/>
        <v>0</v>
      </c>
      <c r="BEH7">
        <f t="shared" si="12"/>
        <v>0</v>
      </c>
      <c r="BEI7">
        <f t="shared" si="12"/>
        <v>0</v>
      </c>
      <c r="BEJ7">
        <f t="shared" si="12"/>
        <v>0</v>
      </c>
      <c r="BEK7">
        <f t="shared" si="12"/>
        <v>0</v>
      </c>
      <c r="BEL7">
        <f t="shared" si="12"/>
        <v>0</v>
      </c>
      <c r="BEM7">
        <f t="shared" si="12"/>
        <v>0</v>
      </c>
      <c r="BEN7">
        <f t="shared" si="12"/>
        <v>0</v>
      </c>
      <c r="BEO7">
        <f t="shared" si="12"/>
        <v>0</v>
      </c>
      <c r="BEP7">
        <f t="shared" si="12"/>
        <v>12.5</v>
      </c>
      <c r="BEQ7">
        <f t="shared" si="12"/>
        <v>12.5</v>
      </c>
      <c r="BER7">
        <f t="shared" si="12"/>
        <v>12.5</v>
      </c>
      <c r="BES7">
        <f t="shared" si="12"/>
        <v>25</v>
      </c>
      <c r="BET7">
        <f t="shared" si="12"/>
        <v>25</v>
      </c>
      <c r="BEU7">
        <f t="shared" si="12"/>
        <v>25</v>
      </c>
      <c r="BEV7">
        <f t="shared" si="12"/>
        <v>25</v>
      </c>
      <c r="BEW7">
        <f t="shared" si="12"/>
        <v>25</v>
      </c>
      <c r="BEX7">
        <f t="shared" si="12"/>
        <v>25</v>
      </c>
      <c r="BEY7">
        <f t="shared" si="12"/>
        <v>50</v>
      </c>
      <c r="BEZ7">
        <f t="shared" si="12"/>
        <v>25</v>
      </c>
      <c r="BFA7">
        <f t="shared" si="12"/>
        <v>0</v>
      </c>
      <c r="BFB7">
        <f t="shared" si="12"/>
        <v>0</v>
      </c>
      <c r="BFC7">
        <f t="shared" si="12"/>
        <v>0</v>
      </c>
      <c r="BFD7">
        <f t="shared" si="12"/>
        <v>0</v>
      </c>
      <c r="BFE7">
        <f t="shared" si="12"/>
        <v>0</v>
      </c>
      <c r="BFF7">
        <f t="shared" si="12"/>
        <v>0</v>
      </c>
      <c r="BFG7">
        <f t="shared" si="12"/>
        <v>0</v>
      </c>
      <c r="BFH7">
        <f t="shared" si="12"/>
        <v>0</v>
      </c>
      <c r="BFI7">
        <f t="shared" si="12"/>
        <v>0</v>
      </c>
      <c r="BFJ7">
        <f t="shared" si="12"/>
        <v>0</v>
      </c>
      <c r="BFK7">
        <f t="shared" si="12"/>
        <v>0</v>
      </c>
      <c r="BFL7">
        <f t="shared" si="12"/>
        <v>12.5</v>
      </c>
      <c r="BFM7">
        <f t="shared" si="12"/>
        <v>12.5</v>
      </c>
      <c r="BFN7">
        <f t="shared" si="12"/>
        <v>12.5</v>
      </c>
      <c r="BFO7">
        <f t="shared" si="12"/>
        <v>25</v>
      </c>
      <c r="BFP7">
        <f t="shared" si="12"/>
        <v>25</v>
      </c>
      <c r="BFQ7">
        <f t="shared" si="12"/>
        <v>25</v>
      </c>
      <c r="BFR7">
        <f t="shared" si="12"/>
        <v>25</v>
      </c>
      <c r="BFS7">
        <f t="shared" si="12"/>
        <v>25</v>
      </c>
      <c r="BFT7">
        <f t="shared" si="12"/>
        <v>25</v>
      </c>
      <c r="BFU7">
        <f t="shared" si="12"/>
        <v>50</v>
      </c>
      <c r="BFV7">
        <f t="shared" si="12"/>
        <v>25</v>
      </c>
      <c r="BFW7">
        <f t="shared" si="12"/>
        <v>0</v>
      </c>
      <c r="BFX7">
        <f t="shared" si="12"/>
        <v>0</v>
      </c>
      <c r="BFY7">
        <f t="shared" si="12"/>
        <v>0</v>
      </c>
      <c r="BFZ7">
        <f t="shared" si="12"/>
        <v>0</v>
      </c>
      <c r="BGA7">
        <f t="shared" si="12"/>
        <v>0</v>
      </c>
      <c r="BGB7">
        <f t="shared" si="12"/>
        <v>0</v>
      </c>
      <c r="BGC7">
        <f t="shared" si="12"/>
        <v>0</v>
      </c>
      <c r="BGD7">
        <f t="shared" si="12"/>
        <v>0</v>
      </c>
      <c r="BGE7">
        <f t="shared" si="13"/>
        <v>0</v>
      </c>
      <c r="BGF7">
        <f t="shared" si="13"/>
        <v>0</v>
      </c>
      <c r="BGG7">
        <f t="shared" si="13"/>
        <v>0</v>
      </c>
      <c r="BGH7">
        <f t="shared" si="13"/>
        <v>12.5</v>
      </c>
      <c r="BGI7">
        <f t="shared" si="13"/>
        <v>12.5</v>
      </c>
      <c r="BGJ7">
        <f t="shared" si="13"/>
        <v>12.5</v>
      </c>
      <c r="BGK7">
        <f t="shared" si="13"/>
        <v>25</v>
      </c>
      <c r="BGL7">
        <f t="shared" si="13"/>
        <v>25</v>
      </c>
      <c r="BGM7">
        <f t="shared" si="13"/>
        <v>25</v>
      </c>
      <c r="BGN7">
        <f t="shared" si="13"/>
        <v>25</v>
      </c>
      <c r="BGO7">
        <f t="shared" si="13"/>
        <v>25</v>
      </c>
      <c r="BGP7">
        <f t="shared" si="13"/>
        <v>25</v>
      </c>
      <c r="BGQ7">
        <f t="shared" si="13"/>
        <v>50</v>
      </c>
      <c r="BGR7">
        <f t="shared" si="13"/>
        <v>25</v>
      </c>
      <c r="BGS7">
        <f t="shared" si="13"/>
        <v>0</v>
      </c>
      <c r="BGT7">
        <f t="shared" si="13"/>
        <v>0</v>
      </c>
      <c r="BGU7">
        <f t="shared" si="13"/>
        <v>0</v>
      </c>
      <c r="BGV7">
        <f t="shared" si="13"/>
        <v>0</v>
      </c>
      <c r="BGW7">
        <f t="shared" si="13"/>
        <v>0</v>
      </c>
      <c r="BGX7">
        <f t="shared" si="13"/>
        <v>0</v>
      </c>
      <c r="BGY7">
        <f t="shared" si="13"/>
        <v>0</v>
      </c>
      <c r="BGZ7">
        <f t="shared" si="13"/>
        <v>0</v>
      </c>
      <c r="BHA7">
        <f t="shared" si="13"/>
        <v>0</v>
      </c>
      <c r="BHB7">
        <f t="shared" si="13"/>
        <v>0</v>
      </c>
      <c r="BHC7">
        <f t="shared" si="13"/>
        <v>0</v>
      </c>
      <c r="BHD7">
        <f t="shared" si="13"/>
        <v>12.5</v>
      </c>
      <c r="BHE7">
        <f t="shared" si="13"/>
        <v>12.5</v>
      </c>
      <c r="BHF7">
        <f t="shared" si="13"/>
        <v>12.5</v>
      </c>
      <c r="BHG7">
        <f t="shared" si="13"/>
        <v>25</v>
      </c>
      <c r="BHH7">
        <f t="shared" si="13"/>
        <v>25</v>
      </c>
      <c r="BHI7">
        <f t="shared" si="13"/>
        <v>25</v>
      </c>
      <c r="BHJ7">
        <f t="shared" si="13"/>
        <v>25</v>
      </c>
      <c r="BHK7">
        <f t="shared" si="13"/>
        <v>25</v>
      </c>
      <c r="BHL7">
        <f t="shared" si="13"/>
        <v>25</v>
      </c>
      <c r="BHM7">
        <f t="shared" si="13"/>
        <v>50</v>
      </c>
      <c r="BHN7">
        <f t="shared" si="13"/>
        <v>25</v>
      </c>
      <c r="BHO7">
        <f t="shared" si="13"/>
        <v>0</v>
      </c>
      <c r="BHP7">
        <f t="shared" si="13"/>
        <v>0</v>
      </c>
      <c r="BHQ7">
        <f t="shared" si="13"/>
        <v>0</v>
      </c>
      <c r="BHR7">
        <f t="shared" si="13"/>
        <v>0</v>
      </c>
      <c r="BHS7">
        <f t="shared" si="13"/>
        <v>0</v>
      </c>
      <c r="BHT7">
        <f t="shared" si="13"/>
        <v>0</v>
      </c>
      <c r="BHU7">
        <f t="shared" si="13"/>
        <v>0</v>
      </c>
      <c r="BHV7">
        <f t="shared" si="13"/>
        <v>0</v>
      </c>
      <c r="BHW7">
        <f t="shared" si="13"/>
        <v>0</v>
      </c>
      <c r="BHX7">
        <f t="shared" si="13"/>
        <v>0</v>
      </c>
      <c r="BHY7">
        <f t="shared" si="13"/>
        <v>0</v>
      </c>
      <c r="BHZ7">
        <f t="shared" si="13"/>
        <v>12.5</v>
      </c>
      <c r="BIA7">
        <f t="shared" si="13"/>
        <v>12.5</v>
      </c>
      <c r="BIB7">
        <f t="shared" si="13"/>
        <v>12.5</v>
      </c>
      <c r="BIC7">
        <f t="shared" si="13"/>
        <v>25</v>
      </c>
      <c r="BID7">
        <f t="shared" si="13"/>
        <v>25</v>
      </c>
      <c r="BIE7">
        <f t="shared" si="13"/>
        <v>25</v>
      </c>
      <c r="BIF7">
        <f t="shared" si="13"/>
        <v>25</v>
      </c>
      <c r="BIG7">
        <f t="shared" si="13"/>
        <v>25</v>
      </c>
      <c r="BIH7">
        <f t="shared" si="13"/>
        <v>25</v>
      </c>
      <c r="BII7">
        <f t="shared" si="13"/>
        <v>50</v>
      </c>
      <c r="BIJ7">
        <f t="shared" si="13"/>
        <v>25</v>
      </c>
      <c r="BIK7">
        <f t="shared" si="13"/>
        <v>0</v>
      </c>
      <c r="BIL7">
        <f t="shared" si="13"/>
        <v>0</v>
      </c>
      <c r="BIM7">
        <f t="shared" si="13"/>
        <v>0</v>
      </c>
      <c r="BIN7">
        <f t="shared" si="13"/>
        <v>0</v>
      </c>
      <c r="BIO7">
        <f t="shared" si="13"/>
        <v>0</v>
      </c>
      <c r="BIP7">
        <f t="shared" si="13"/>
        <v>0</v>
      </c>
      <c r="BIQ7">
        <f t="shared" si="14"/>
        <v>0</v>
      </c>
      <c r="BIR7">
        <f t="shared" si="14"/>
        <v>0</v>
      </c>
      <c r="BIS7">
        <f t="shared" si="14"/>
        <v>0</v>
      </c>
      <c r="BIT7">
        <f t="shared" si="14"/>
        <v>0</v>
      </c>
      <c r="BIU7">
        <f t="shared" si="14"/>
        <v>0</v>
      </c>
      <c r="BIV7">
        <f t="shared" si="14"/>
        <v>12.5</v>
      </c>
      <c r="BIW7">
        <f t="shared" si="14"/>
        <v>12.5</v>
      </c>
      <c r="BIX7">
        <f t="shared" si="14"/>
        <v>12.5</v>
      </c>
      <c r="BIY7">
        <f t="shared" si="14"/>
        <v>25</v>
      </c>
      <c r="BIZ7">
        <f t="shared" si="14"/>
        <v>25</v>
      </c>
      <c r="BJA7">
        <f t="shared" si="14"/>
        <v>25</v>
      </c>
      <c r="BJB7">
        <f t="shared" si="14"/>
        <v>25</v>
      </c>
      <c r="BJC7">
        <f t="shared" si="14"/>
        <v>25</v>
      </c>
      <c r="BJD7">
        <f t="shared" si="14"/>
        <v>25</v>
      </c>
      <c r="BJE7">
        <f t="shared" si="14"/>
        <v>50</v>
      </c>
      <c r="BJF7">
        <f t="shared" si="14"/>
        <v>25</v>
      </c>
      <c r="BJG7">
        <f t="shared" si="14"/>
        <v>0</v>
      </c>
      <c r="BJH7">
        <f t="shared" si="14"/>
        <v>0</v>
      </c>
      <c r="BJI7">
        <f t="shared" si="14"/>
        <v>0</v>
      </c>
      <c r="BJJ7">
        <f t="shared" si="14"/>
        <v>0</v>
      </c>
      <c r="BJK7">
        <f t="shared" si="14"/>
        <v>0</v>
      </c>
      <c r="BJL7">
        <f t="shared" si="14"/>
        <v>0</v>
      </c>
      <c r="BJM7">
        <f t="shared" si="14"/>
        <v>0</v>
      </c>
      <c r="BJN7">
        <f t="shared" si="14"/>
        <v>0</v>
      </c>
      <c r="BJO7">
        <f t="shared" si="14"/>
        <v>0</v>
      </c>
      <c r="BJP7">
        <f t="shared" si="14"/>
        <v>0</v>
      </c>
      <c r="BJQ7">
        <f t="shared" si="14"/>
        <v>0</v>
      </c>
      <c r="BJR7">
        <f t="shared" si="14"/>
        <v>12.5</v>
      </c>
      <c r="BJS7">
        <f t="shared" si="14"/>
        <v>12.5</v>
      </c>
      <c r="BJT7">
        <f t="shared" si="14"/>
        <v>12.5</v>
      </c>
      <c r="BJU7">
        <f t="shared" si="14"/>
        <v>25</v>
      </c>
      <c r="BJV7">
        <f t="shared" si="14"/>
        <v>25</v>
      </c>
      <c r="BJW7">
        <f t="shared" si="14"/>
        <v>25</v>
      </c>
      <c r="BJX7">
        <f t="shared" si="14"/>
        <v>25</v>
      </c>
      <c r="BJY7">
        <f t="shared" si="14"/>
        <v>25</v>
      </c>
      <c r="BJZ7">
        <f t="shared" si="14"/>
        <v>25</v>
      </c>
      <c r="BKA7">
        <f t="shared" si="14"/>
        <v>50</v>
      </c>
      <c r="BKB7">
        <f t="shared" si="14"/>
        <v>25</v>
      </c>
      <c r="BKC7">
        <f t="shared" si="14"/>
        <v>0</v>
      </c>
      <c r="BKD7">
        <f t="shared" si="14"/>
        <v>0</v>
      </c>
      <c r="BKE7">
        <f t="shared" si="14"/>
        <v>0</v>
      </c>
      <c r="BKF7">
        <f t="shared" si="14"/>
        <v>0</v>
      </c>
      <c r="BKG7">
        <f t="shared" si="14"/>
        <v>0</v>
      </c>
      <c r="BKH7">
        <f t="shared" si="14"/>
        <v>0</v>
      </c>
      <c r="BKI7">
        <f t="shared" si="14"/>
        <v>0</v>
      </c>
      <c r="BKJ7">
        <f t="shared" si="14"/>
        <v>0</v>
      </c>
      <c r="BKK7">
        <f t="shared" si="14"/>
        <v>0</v>
      </c>
      <c r="BKL7">
        <f t="shared" si="14"/>
        <v>0</v>
      </c>
      <c r="BKM7">
        <f t="shared" si="14"/>
        <v>0</v>
      </c>
      <c r="BKN7">
        <f t="shared" si="14"/>
        <v>12.5</v>
      </c>
      <c r="BKO7">
        <f t="shared" si="14"/>
        <v>12.5</v>
      </c>
      <c r="BKP7">
        <f t="shared" si="14"/>
        <v>12.5</v>
      </c>
      <c r="BKQ7">
        <f t="shared" si="14"/>
        <v>25</v>
      </c>
      <c r="BKR7">
        <f t="shared" si="14"/>
        <v>25</v>
      </c>
      <c r="BKS7">
        <f t="shared" si="14"/>
        <v>25</v>
      </c>
      <c r="BKT7">
        <f t="shared" si="14"/>
        <v>25</v>
      </c>
      <c r="BKU7">
        <f t="shared" si="14"/>
        <v>25</v>
      </c>
      <c r="BKV7">
        <f t="shared" si="14"/>
        <v>25</v>
      </c>
      <c r="BKW7">
        <f t="shared" si="14"/>
        <v>50</v>
      </c>
      <c r="BKX7">
        <f t="shared" si="14"/>
        <v>25</v>
      </c>
      <c r="BKY7">
        <f t="shared" si="14"/>
        <v>0</v>
      </c>
      <c r="BKZ7">
        <f t="shared" si="14"/>
        <v>0</v>
      </c>
      <c r="BLA7">
        <f t="shared" si="14"/>
        <v>0</v>
      </c>
      <c r="BLB7">
        <f t="shared" si="14"/>
        <v>0</v>
      </c>
      <c r="BLC7">
        <f t="shared" si="15"/>
        <v>0</v>
      </c>
      <c r="BLD7">
        <f t="shared" si="15"/>
        <v>0</v>
      </c>
      <c r="BLE7">
        <f t="shared" si="15"/>
        <v>0</v>
      </c>
      <c r="BLF7">
        <f t="shared" si="15"/>
        <v>0</v>
      </c>
      <c r="BLG7">
        <f t="shared" si="15"/>
        <v>0</v>
      </c>
      <c r="BLH7">
        <f t="shared" si="15"/>
        <v>0</v>
      </c>
      <c r="BLI7">
        <f t="shared" si="15"/>
        <v>0</v>
      </c>
      <c r="BLJ7">
        <f t="shared" si="15"/>
        <v>12.5</v>
      </c>
      <c r="BLK7">
        <f t="shared" si="15"/>
        <v>12.5</v>
      </c>
      <c r="BLL7">
        <f t="shared" si="15"/>
        <v>12.5</v>
      </c>
      <c r="BLM7">
        <f t="shared" si="15"/>
        <v>25</v>
      </c>
      <c r="BLN7">
        <f t="shared" si="15"/>
        <v>25</v>
      </c>
      <c r="BLO7">
        <f t="shared" si="15"/>
        <v>25</v>
      </c>
      <c r="BLP7">
        <f t="shared" si="15"/>
        <v>25</v>
      </c>
      <c r="BLQ7">
        <f t="shared" si="15"/>
        <v>25</v>
      </c>
      <c r="BLR7">
        <f t="shared" si="15"/>
        <v>25</v>
      </c>
      <c r="BLS7">
        <f t="shared" si="15"/>
        <v>50</v>
      </c>
      <c r="BLT7">
        <f t="shared" si="15"/>
        <v>25</v>
      </c>
      <c r="BLU7">
        <f t="shared" si="15"/>
        <v>0</v>
      </c>
      <c r="BLV7">
        <f t="shared" si="15"/>
        <v>0</v>
      </c>
      <c r="BLW7">
        <f t="shared" si="15"/>
        <v>0</v>
      </c>
      <c r="BLX7">
        <f t="shared" si="15"/>
        <v>0</v>
      </c>
      <c r="BLY7">
        <f t="shared" si="15"/>
        <v>0</v>
      </c>
      <c r="BLZ7">
        <f t="shared" si="15"/>
        <v>0</v>
      </c>
      <c r="BMA7">
        <f t="shared" si="15"/>
        <v>0</v>
      </c>
      <c r="BMB7">
        <f t="shared" si="15"/>
        <v>0</v>
      </c>
      <c r="BMC7">
        <f t="shared" si="15"/>
        <v>0</v>
      </c>
      <c r="BMD7">
        <f t="shared" si="15"/>
        <v>0</v>
      </c>
      <c r="BME7">
        <f t="shared" si="15"/>
        <v>0</v>
      </c>
      <c r="BMF7">
        <f t="shared" si="15"/>
        <v>12.5</v>
      </c>
      <c r="BMG7">
        <f t="shared" si="15"/>
        <v>12.5</v>
      </c>
      <c r="BMH7">
        <f t="shared" si="15"/>
        <v>12.5</v>
      </c>
      <c r="BMI7">
        <f t="shared" si="15"/>
        <v>25</v>
      </c>
      <c r="BMJ7">
        <f t="shared" si="15"/>
        <v>25</v>
      </c>
      <c r="BMK7">
        <f t="shared" si="15"/>
        <v>25</v>
      </c>
      <c r="BML7">
        <f t="shared" si="15"/>
        <v>25</v>
      </c>
      <c r="BMM7">
        <f t="shared" si="15"/>
        <v>25</v>
      </c>
      <c r="BMN7">
        <f t="shared" si="15"/>
        <v>25</v>
      </c>
      <c r="BMO7">
        <f t="shared" si="15"/>
        <v>50</v>
      </c>
      <c r="BMP7">
        <f t="shared" si="15"/>
        <v>25</v>
      </c>
      <c r="BMQ7">
        <f t="shared" si="15"/>
        <v>0</v>
      </c>
      <c r="BMR7">
        <f t="shared" si="15"/>
        <v>0</v>
      </c>
      <c r="BMS7">
        <f t="shared" si="15"/>
        <v>0</v>
      </c>
      <c r="BMT7">
        <f t="shared" si="15"/>
        <v>0</v>
      </c>
      <c r="BMU7">
        <f t="shared" si="15"/>
        <v>0</v>
      </c>
      <c r="BMV7">
        <f t="shared" si="15"/>
        <v>0</v>
      </c>
      <c r="BMW7">
        <f t="shared" si="15"/>
        <v>0</v>
      </c>
      <c r="BMX7">
        <f t="shared" si="15"/>
        <v>0</v>
      </c>
      <c r="BMY7">
        <f t="shared" si="15"/>
        <v>0</v>
      </c>
      <c r="BMZ7">
        <f t="shared" si="15"/>
        <v>0</v>
      </c>
      <c r="BNA7">
        <f t="shared" si="15"/>
        <v>0</v>
      </c>
      <c r="BNB7">
        <f t="shared" si="15"/>
        <v>12.5</v>
      </c>
      <c r="BNC7">
        <f t="shared" si="15"/>
        <v>12.5</v>
      </c>
      <c r="BND7">
        <f t="shared" si="15"/>
        <v>12.5</v>
      </c>
      <c r="BNE7">
        <f t="shared" si="15"/>
        <v>25</v>
      </c>
      <c r="BNF7">
        <f t="shared" si="15"/>
        <v>25</v>
      </c>
      <c r="BNG7">
        <f t="shared" si="15"/>
        <v>25</v>
      </c>
      <c r="BNH7">
        <f t="shared" si="15"/>
        <v>25</v>
      </c>
      <c r="BNI7">
        <f t="shared" si="15"/>
        <v>25</v>
      </c>
      <c r="BNJ7">
        <f t="shared" si="15"/>
        <v>25</v>
      </c>
      <c r="BNK7">
        <f t="shared" si="15"/>
        <v>50</v>
      </c>
      <c r="BNL7">
        <f t="shared" si="15"/>
        <v>25</v>
      </c>
      <c r="BNM7">
        <f t="shared" si="15"/>
        <v>0</v>
      </c>
      <c r="BNN7">
        <f t="shared" si="15"/>
        <v>0</v>
      </c>
      <c r="BNO7">
        <f t="shared" si="16"/>
        <v>0</v>
      </c>
      <c r="BNP7">
        <f t="shared" si="16"/>
        <v>0</v>
      </c>
      <c r="BNQ7">
        <f t="shared" si="16"/>
        <v>0</v>
      </c>
      <c r="BNR7">
        <f t="shared" si="16"/>
        <v>0</v>
      </c>
      <c r="BNS7">
        <f t="shared" si="16"/>
        <v>0</v>
      </c>
      <c r="BNT7">
        <f t="shared" si="16"/>
        <v>0</v>
      </c>
      <c r="BNU7">
        <f t="shared" si="16"/>
        <v>0</v>
      </c>
      <c r="BNV7">
        <f t="shared" si="16"/>
        <v>0</v>
      </c>
      <c r="BNW7">
        <f t="shared" si="16"/>
        <v>0</v>
      </c>
      <c r="BNX7">
        <f t="shared" si="16"/>
        <v>12.5</v>
      </c>
      <c r="BNY7">
        <f t="shared" si="16"/>
        <v>12.5</v>
      </c>
      <c r="BNZ7">
        <f t="shared" si="16"/>
        <v>12.5</v>
      </c>
      <c r="BOA7">
        <f t="shared" si="16"/>
        <v>25</v>
      </c>
      <c r="BOB7">
        <f t="shared" si="16"/>
        <v>25</v>
      </c>
      <c r="BOC7">
        <f t="shared" si="16"/>
        <v>25</v>
      </c>
      <c r="BOD7">
        <f t="shared" si="16"/>
        <v>25</v>
      </c>
      <c r="BOE7">
        <f t="shared" si="16"/>
        <v>25</v>
      </c>
      <c r="BOF7">
        <f t="shared" si="16"/>
        <v>25</v>
      </c>
      <c r="BOG7">
        <f t="shared" si="16"/>
        <v>50</v>
      </c>
      <c r="BOH7">
        <f t="shared" si="16"/>
        <v>25</v>
      </c>
      <c r="BOI7">
        <f t="shared" si="16"/>
        <v>0</v>
      </c>
      <c r="BOJ7">
        <f t="shared" si="16"/>
        <v>0</v>
      </c>
      <c r="BOK7">
        <f t="shared" si="16"/>
        <v>0</v>
      </c>
      <c r="BOL7">
        <f t="shared" si="16"/>
        <v>0</v>
      </c>
      <c r="BOM7">
        <f t="shared" si="16"/>
        <v>0</v>
      </c>
      <c r="BON7">
        <f t="shared" si="16"/>
        <v>0</v>
      </c>
      <c r="BOO7">
        <f t="shared" si="16"/>
        <v>0</v>
      </c>
      <c r="BOP7">
        <f t="shared" si="16"/>
        <v>0</v>
      </c>
      <c r="BOQ7">
        <f t="shared" si="16"/>
        <v>0</v>
      </c>
      <c r="BOR7">
        <f t="shared" si="16"/>
        <v>0</v>
      </c>
      <c r="BOS7">
        <f t="shared" si="16"/>
        <v>0</v>
      </c>
      <c r="BOT7">
        <f t="shared" si="16"/>
        <v>12.5</v>
      </c>
      <c r="BOU7">
        <f t="shared" si="16"/>
        <v>12.5</v>
      </c>
      <c r="BOV7">
        <f t="shared" si="16"/>
        <v>12.5</v>
      </c>
      <c r="BOW7">
        <f t="shared" si="16"/>
        <v>25</v>
      </c>
      <c r="BOX7">
        <f t="shared" si="16"/>
        <v>25</v>
      </c>
      <c r="BOY7">
        <f t="shared" si="16"/>
        <v>25</v>
      </c>
      <c r="BOZ7">
        <f t="shared" si="16"/>
        <v>25</v>
      </c>
      <c r="BPA7">
        <f t="shared" si="16"/>
        <v>25</v>
      </c>
      <c r="BPB7">
        <f t="shared" si="16"/>
        <v>25</v>
      </c>
      <c r="BPC7">
        <f t="shared" si="16"/>
        <v>50</v>
      </c>
      <c r="BPD7">
        <f t="shared" si="16"/>
        <v>25</v>
      </c>
      <c r="BPE7">
        <f t="shared" si="16"/>
        <v>0</v>
      </c>
      <c r="BPF7">
        <f t="shared" si="16"/>
        <v>0</v>
      </c>
      <c r="BPG7">
        <f t="shared" si="16"/>
        <v>0</v>
      </c>
      <c r="BPH7">
        <f t="shared" si="16"/>
        <v>0</v>
      </c>
      <c r="BPI7">
        <f t="shared" si="16"/>
        <v>0</v>
      </c>
      <c r="BPJ7">
        <f t="shared" si="16"/>
        <v>0</v>
      </c>
      <c r="BPK7">
        <f t="shared" si="16"/>
        <v>0</v>
      </c>
      <c r="BPL7">
        <f t="shared" si="16"/>
        <v>0</v>
      </c>
      <c r="BPM7">
        <f t="shared" si="16"/>
        <v>0</v>
      </c>
      <c r="BPN7">
        <f t="shared" si="16"/>
        <v>0</v>
      </c>
      <c r="BPO7">
        <f t="shared" si="16"/>
        <v>0</v>
      </c>
      <c r="BPP7">
        <f t="shared" si="16"/>
        <v>12.5</v>
      </c>
      <c r="BPQ7">
        <f t="shared" si="16"/>
        <v>12.5</v>
      </c>
      <c r="BPR7">
        <f t="shared" si="16"/>
        <v>12.5</v>
      </c>
      <c r="BPS7">
        <f t="shared" si="16"/>
        <v>25</v>
      </c>
      <c r="BPT7">
        <f t="shared" si="16"/>
        <v>25</v>
      </c>
      <c r="BPU7">
        <f t="shared" si="16"/>
        <v>25</v>
      </c>
      <c r="BPV7">
        <f t="shared" si="16"/>
        <v>25</v>
      </c>
      <c r="BPW7">
        <f t="shared" si="16"/>
        <v>25</v>
      </c>
      <c r="BPX7">
        <f t="shared" si="16"/>
        <v>25</v>
      </c>
      <c r="BPY7">
        <f t="shared" si="16"/>
        <v>50</v>
      </c>
      <c r="BPZ7">
        <f t="shared" si="16"/>
        <v>25</v>
      </c>
      <c r="BQA7">
        <f t="shared" si="17"/>
        <v>0</v>
      </c>
      <c r="BQB7">
        <f t="shared" si="17"/>
        <v>0</v>
      </c>
      <c r="BQC7">
        <f t="shared" si="17"/>
        <v>0</v>
      </c>
      <c r="BQD7">
        <f t="shared" si="17"/>
        <v>0</v>
      </c>
      <c r="BQE7">
        <f t="shared" si="17"/>
        <v>0</v>
      </c>
      <c r="BQF7">
        <f t="shared" si="17"/>
        <v>0</v>
      </c>
      <c r="BQG7">
        <f t="shared" si="17"/>
        <v>0</v>
      </c>
      <c r="BQH7">
        <f t="shared" si="17"/>
        <v>0</v>
      </c>
      <c r="BQI7">
        <f t="shared" si="17"/>
        <v>0</v>
      </c>
      <c r="BQJ7">
        <f t="shared" si="17"/>
        <v>0</v>
      </c>
      <c r="BQK7">
        <f t="shared" si="17"/>
        <v>0</v>
      </c>
      <c r="BQL7">
        <f t="shared" si="17"/>
        <v>12.5</v>
      </c>
      <c r="BQM7">
        <f t="shared" si="17"/>
        <v>12.5</v>
      </c>
      <c r="BQN7">
        <f t="shared" si="17"/>
        <v>12.5</v>
      </c>
      <c r="BQO7">
        <f t="shared" si="17"/>
        <v>25</v>
      </c>
      <c r="BQP7">
        <f t="shared" si="17"/>
        <v>25</v>
      </c>
      <c r="BQQ7">
        <f t="shared" si="17"/>
        <v>25</v>
      </c>
      <c r="BQR7">
        <f t="shared" si="17"/>
        <v>25</v>
      </c>
      <c r="BQS7">
        <f t="shared" si="17"/>
        <v>25</v>
      </c>
      <c r="BQT7">
        <f t="shared" si="17"/>
        <v>25</v>
      </c>
      <c r="BQU7">
        <f t="shared" si="17"/>
        <v>50</v>
      </c>
      <c r="BQV7">
        <f t="shared" si="17"/>
        <v>25</v>
      </c>
      <c r="BQW7">
        <f t="shared" si="17"/>
        <v>0</v>
      </c>
      <c r="BQX7">
        <f t="shared" si="17"/>
        <v>0</v>
      </c>
      <c r="BQY7">
        <f t="shared" si="17"/>
        <v>0</v>
      </c>
      <c r="BQZ7">
        <f t="shared" si="17"/>
        <v>0</v>
      </c>
      <c r="BRA7">
        <f t="shared" si="17"/>
        <v>0</v>
      </c>
      <c r="BRB7">
        <f t="shared" si="17"/>
        <v>0</v>
      </c>
      <c r="BRC7">
        <f t="shared" si="17"/>
        <v>0</v>
      </c>
      <c r="BRD7">
        <f t="shared" si="17"/>
        <v>0</v>
      </c>
      <c r="BRE7">
        <f t="shared" si="17"/>
        <v>0</v>
      </c>
      <c r="BRF7">
        <f t="shared" si="17"/>
        <v>0</v>
      </c>
      <c r="BRG7">
        <f t="shared" si="17"/>
        <v>0</v>
      </c>
      <c r="BRH7">
        <f t="shared" si="17"/>
        <v>12.5</v>
      </c>
      <c r="BRI7">
        <f t="shared" si="17"/>
        <v>12.5</v>
      </c>
      <c r="BRJ7">
        <f t="shared" si="17"/>
        <v>12.5</v>
      </c>
      <c r="BRK7">
        <f t="shared" si="17"/>
        <v>25</v>
      </c>
      <c r="BRL7">
        <f t="shared" si="17"/>
        <v>25</v>
      </c>
      <c r="BRM7">
        <f t="shared" si="17"/>
        <v>25</v>
      </c>
      <c r="BRN7">
        <f t="shared" si="17"/>
        <v>25</v>
      </c>
      <c r="BRO7">
        <f t="shared" si="17"/>
        <v>25</v>
      </c>
      <c r="BRP7">
        <f t="shared" si="17"/>
        <v>25</v>
      </c>
      <c r="BRQ7">
        <f t="shared" si="17"/>
        <v>50</v>
      </c>
      <c r="BRR7">
        <f t="shared" si="17"/>
        <v>25</v>
      </c>
      <c r="BRS7">
        <f t="shared" si="17"/>
        <v>0</v>
      </c>
      <c r="BRT7">
        <f t="shared" si="17"/>
        <v>0</v>
      </c>
      <c r="BRU7">
        <f t="shared" si="17"/>
        <v>0</v>
      </c>
      <c r="BRV7">
        <f t="shared" si="17"/>
        <v>0</v>
      </c>
      <c r="BRW7">
        <f t="shared" si="17"/>
        <v>0</v>
      </c>
      <c r="BRX7">
        <f t="shared" si="17"/>
        <v>0</v>
      </c>
      <c r="BRY7">
        <f t="shared" si="17"/>
        <v>0</v>
      </c>
      <c r="BRZ7">
        <f t="shared" si="17"/>
        <v>0</v>
      </c>
      <c r="BSA7">
        <f t="shared" si="17"/>
        <v>0</v>
      </c>
      <c r="BSB7">
        <f t="shared" si="17"/>
        <v>0</v>
      </c>
      <c r="BSC7">
        <f t="shared" si="17"/>
        <v>0</v>
      </c>
      <c r="BSD7">
        <f t="shared" si="17"/>
        <v>12.5</v>
      </c>
      <c r="BSE7">
        <f t="shared" si="17"/>
        <v>12.5</v>
      </c>
      <c r="BSF7">
        <f t="shared" si="17"/>
        <v>12.5</v>
      </c>
      <c r="BSG7">
        <f t="shared" si="17"/>
        <v>25</v>
      </c>
      <c r="BSH7">
        <f t="shared" si="17"/>
        <v>25</v>
      </c>
      <c r="BSI7">
        <f t="shared" si="17"/>
        <v>25</v>
      </c>
      <c r="BSJ7">
        <f t="shared" si="17"/>
        <v>25</v>
      </c>
      <c r="BSK7">
        <f t="shared" si="17"/>
        <v>25</v>
      </c>
      <c r="BSL7">
        <f t="shared" si="17"/>
        <v>25</v>
      </c>
      <c r="BSM7">
        <f t="shared" si="18"/>
        <v>50</v>
      </c>
      <c r="BSN7">
        <f t="shared" si="18"/>
        <v>25</v>
      </c>
      <c r="BSO7">
        <f t="shared" si="18"/>
        <v>0</v>
      </c>
      <c r="BSP7">
        <f t="shared" si="18"/>
        <v>0</v>
      </c>
      <c r="BSQ7">
        <f t="shared" si="18"/>
        <v>0</v>
      </c>
      <c r="BSR7">
        <f t="shared" si="18"/>
        <v>0</v>
      </c>
      <c r="BSS7">
        <f t="shared" si="18"/>
        <v>0</v>
      </c>
      <c r="BST7">
        <f t="shared" si="18"/>
        <v>0</v>
      </c>
      <c r="BSU7">
        <f t="shared" si="18"/>
        <v>0</v>
      </c>
      <c r="BSV7">
        <f t="shared" si="18"/>
        <v>0</v>
      </c>
      <c r="BSW7">
        <f t="shared" si="18"/>
        <v>0</v>
      </c>
      <c r="BSX7">
        <f t="shared" si="18"/>
        <v>0</v>
      </c>
      <c r="BSY7">
        <f t="shared" si="18"/>
        <v>0</v>
      </c>
      <c r="BSZ7">
        <f t="shared" si="18"/>
        <v>12.5</v>
      </c>
      <c r="BTA7">
        <f t="shared" si="18"/>
        <v>12.5</v>
      </c>
      <c r="BTB7">
        <f t="shared" si="18"/>
        <v>12.5</v>
      </c>
      <c r="BTC7">
        <f t="shared" si="18"/>
        <v>25</v>
      </c>
      <c r="BTD7">
        <f t="shared" si="18"/>
        <v>25</v>
      </c>
      <c r="BTE7">
        <f t="shared" si="18"/>
        <v>25</v>
      </c>
      <c r="BTF7">
        <f t="shared" si="18"/>
        <v>25</v>
      </c>
      <c r="BTG7">
        <f t="shared" si="18"/>
        <v>25</v>
      </c>
      <c r="BTH7">
        <f t="shared" si="18"/>
        <v>25</v>
      </c>
      <c r="BTI7">
        <f t="shared" si="18"/>
        <v>50</v>
      </c>
      <c r="BTJ7">
        <f t="shared" si="18"/>
        <v>25</v>
      </c>
      <c r="BTK7">
        <f t="shared" si="18"/>
        <v>0</v>
      </c>
      <c r="BTL7">
        <f t="shared" si="18"/>
        <v>0</v>
      </c>
      <c r="BTM7">
        <f t="shared" si="18"/>
        <v>0</v>
      </c>
      <c r="BTN7">
        <f t="shared" si="18"/>
        <v>0</v>
      </c>
      <c r="BTO7">
        <f t="shared" si="18"/>
        <v>0</v>
      </c>
      <c r="BTP7">
        <f t="shared" si="18"/>
        <v>0</v>
      </c>
      <c r="BTQ7">
        <f t="shared" si="18"/>
        <v>0</v>
      </c>
      <c r="BTR7">
        <f t="shared" si="18"/>
        <v>0</v>
      </c>
      <c r="BTS7">
        <f t="shared" si="18"/>
        <v>0</v>
      </c>
      <c r="BTT7">
        <f t="shared" si="18"/>
        <v>0</v>
      </c>
      <c r="BTU7">
        <f t="shared" si="18"/>
        <v>0</v>
      </c>
      <c r="BTV7">
        <f t="shared" si="18"/>
        <v>12.5</v>
      </c>
      <c r="BTW7">
        <f t="shared" si="18"/>
        <v>12.5</v>
      </c>
      <c r="BTX7">
        <f t="shared" si="18"/>
        <v>12.5</v>
      </c>
      <c r="BTY7">
        <f t="shared" si="18"/>
        <v>25</v>
      </c>
      <c r="BTZ7">
        <f t="shared" si="18"/>
        <v>25</v>
      </c>
      <c r="BUA7">
        <f t="shared" si="18"/>
        <v>25</v>
      </c>
      <c r="BUB7">
        <f t="shared" si="18"/>
        <v>25</v>
      </c>
      <c r="BUC7">
        <f t="shared" si="18"/>
        <v>25</v>
      </c>
      <c r="BUD7">
        <f t="shared" si="18"/>
        <v>25</v>
      </c>
      <c r="BUE7">
        <f t="shared" si="18"/>
        <v>50</v>
      </c>
      <c r="BUF7">
        <f t="shared" si="18"/>
        <v>25</v>
      </c>
      <c r="BUG7">
        <f t="shared" si="18"/>
        <v>0</v>
      </c>
      <c r="BUH7">
        <f t="shared" si="18"/>
        <v>0</v>
      </c>
      <c r="BUI7">
        <f t="shared" si="18"/>
        <v>0</v>
      </c>
      <c r="BUJ7">
        <f t="shared" si="18"/>
        <v>0</v>
      </c>
      <c r="BUK7">
        <f t="shared" si="18"/>
        <v>0</v>
      </c>
      <c r="BUL7">
        <f t="shared" si="18"/>
        <v>0</v>
      </c>
      <c r="BUM7">
        <f t="shared" si="18"/>
        <v>0</v>
      </c>
      <c r="BUN7">
        <f t="shared" si="18"/>
        <v>0</v>
      </c>
      <c r="BUO7">
        <f t="shared" si="18"/>
        <v>0</v>
      </c>
      <c r="BUP7">
        <f t="shared" si="18"/>
        <v>0</v>
      </c>
      <c r="BUQ7">
        <f t="shared" si="18"/>
        <v>0</v>
      </c>
      <c r="BUR7">
        <f t="shared" si="18"/>
        <v>12.5</v>
      </c>
      <c r="BUS7">
        <f t="shared" si="18"/>
        <v>12.5</v>
      </c>
      <c r="BUT7">
        <f t="shared" si="18"/>
        <v>12.5</v>
      </c>
      <c r="BUU7">
        <f t="shared" si="18"/>
        <v>25</v>
      </c>
      <c r="BUV7">
        <f t="shared" si="18"/>
        <v>25</v>
      </c>
      <c r="BUW7">
        <f t="shared" si="18"/>
        <v>25</v>
      </c>
      <c r="BUX7">
        <f t="shared" si="18"/>
        <v>25</v>
      </c>
      <c r="BUY7">
        <f t="shared" si="19"/>
        <v>25</v>
      </c>
      <c r="BUZ7">
        <f t="shared" si="19"/>
        <v>25</v>
      </c>
      <c r="BVA7">
        <f t="shared" si="19"/>
        <v>50</v>
      </c>
      <c r="BVB7">
        <f t="shared" si="19"/>
        <v>25</v>
      </c>
      <c r="BVC7">
        <f t="shared" si="19"/>
        <v>0</v>
      </c>
      <c r="BVD7">
        <f t="shared" si="19"/>
        <v>0</v>
      </c>
      <c r="BVE7">
        <f t="shared" si="19"/>
        <v>0</v>
      </c>
      <c r="BVF7">
        <f t="shared" si="19"/>
        <v>0</v>
      </c>
      <c r="BVG7">
        <f t="shared" si="19"/>
        <v>0</v>
      </c>
      <c r="BVH7">
        <f t="shared" si="19"/>
        <v>0</v>
      </c>
      <c r="BVI7">
        <f t="shared" si="19"/>
        <v>0</v>
      </c>
      <c r="BVJ7">
        <f t="shared" si="19"/>
        <v>0</v>
      </c>
      <c r="BVK7">
        <f t="shared" si="19"/>
        <v>0</v>
      </c>
      <c r="BVL7">
        <f t="shared" si="19"/>
        <v>0</v>
      </c>
      <c r="BVM7">
        <f t="shared" si="19"/>
        <v>0</v>
      </c>
      <c r="BVN7">
        <f t="shared" si="19"/>
        <v>12.5</v>
      </c>
      <c r="BVO7">
        <f t="shared" si="19"/>
        <v>12.5</v>
      </c>
      <c r="BVP7">
        <f t="shared" si="19"/>
        <v>12.5</v>
      </c>
      <c r="BVQ7">
        <f t="shared" si="19"/>
        <v>25</v>
      </c>
      <c r="BVR7">
        <f t="shared" si="19"/>
        <v>25</v>
      </c>
      <c r="BVS7">
        <f t="shared" si="19"/>
        <v>25</v>
      </c>
      <c r="BVT7">
        <f t="shared" si="19"/>
        <v>25</v>
      </c>
      <c r="BVU7">
        <f t="shared" si="19"/>
        <v>25</v>
      </c>
      <c r="BVV7">
        <f t="shared" si="19"/>
        <v>25</v>
      </c>
      <c r="BVW7">
        <f t="shared" si="19"/>
        <v>50</v>
      </c>
      <c r="BVX7">
        <f t="shared" si="19"/>
        <v>25</v>
      </c>
      <c r="BVY7">
        <f t="shared" si="19"/>
        <v>0</v>
      </c>
      <c r="BVZ7">
        <f t="shared" si="19"/>
        <v>0</v>
      </c>
      <c r="BWA7">
        <f t="shared" si="19"/>
        <v>0</v>
      </c>
      <c r="BWB7">
        <f t="shared" si="19"/>
        <v>0</v>
      </c>
      <c r="BWC7">
        <f t="shared" si="19"/>
        <v>0</v>
      </c>
      <c r="BWD7">
        <f t="shared" si="19"/>
        <v>0</v>
      </c>
      <c r="BWE7">
        <f t="shared" si="19"/>
        <v>0</v>
      </c>
      <c r="BWF7">
        <f t="shared" si="19"/>
        <v>0</v>
      </c>
      <c r="BWG7">
        <f t="shared" si="19"/>
        <v>0</v>
      </c>
      <c r="BWH7">
        <f t="shared" si="19"/>
        <v>0</v>
      </c>
      <c r="BWI7">
        <f t="shared" si="19"/>
        <v>0</v>
      </c>
      <c r="BWJ7">
        <f t="shared" si="19"/>
        <v>12.5</v>
      </c>
      <c r="BWK7">
        <f t="shared" si="19"/>
        <v>12.5</v>
      </c>
      <c r="BWL7">
        <f t="shared" si="19"/>
        <v>12.5</v>
      </c>
      <c r="BWM7">
        <f t="shared" si="19"/>
        <v>25</v>
      </c>
      <c r="BWN7">
        <f t="shared" si="19"/>
        <v>25</v>
      </c>
      <c r="BWO7">
        <f t="shared" si="19"/>
        <v>25</v>
      </c>
      <c r="BWP7">
        <f t="shared" si="19"/>
        <v>25</v>
      </c>
      <c r="BWQ7">
        <f t="shared" si="19"/>
        <v>25</v>
      </c>
      <c r="BWR7">
        <f t="shared" si="19"/>
        <v>25</v>
      </c>
      <c r="BWS7">
        <f t="shared" si="19"/>
        <v>50</v>
      </c>
      <c r="BWT7">
        <f t="shared" si="19"/>
        <v>25</v>
      </c>
      <c r="BWU7">
        <f t="shared" si="19"/>
        <v>0</v>
      </c>
      <c r="BWV7">
        <f t="shared" si="19"/>
        <v>0</v>
      </c>
      <c r="BWW7">
        <f t="shared" si="19"/>
        <v>0</v>
      </c>
      <c r="BWX7">
        <f t="shared" si="19"/>
        <v>0</v>
      </c>
      <c r="BWY7">
        <f t="shared" si="19"/>
        <v>0</v>
      </c>
      <c r="BWZ7">
        <f t="shared" si="19"/>
        <v>0</v>
      </c>
      <c r="BXA7">
        <f t="shared" si="19"/>
        <v>0</v>
      </c>
      <c r="BXB7">
        <f t="shared" si="19"/>
        <v>0</v>
      </c>
      <c r="BXC7">
        <f t="shared" si="19"/>
        <v>0</v>
      </c>
      <c r="BXD7">
        <f t="shared" si="19"/>
        <v>0</v>
      </c>
      <c r="BXE7">
        <f t="shared" si="19"/>
        <v>0</v>
      </c>
      <c r="BXF7">
        <f t="shared" si="19"/>
        <v>12.5</v>
      </c>
      <c r="BXG7">
        <f t="shared" si="19"/>
        <v>12.5</v>
      </c>
      <c r="BXH7">
        <f t="shared" si="19"/>
        <v>12.5</v>
      </c>
      <c r="BXI7">
        <f t="shared" si="19"/>
        <v>25</v>
      </c>
      <c r="BXJ7">
        <f t="shared" si="19"/>
        <v>25</v>
      </c>
      <c r="BXK7">
        <f t="shared" si="20"/>
        <v>25</v>
      </c>
      <c r="BXL7">
        <f t="shared" si="20"/>
        <v>25</v>
      </c>
      <c r="BXM7">
        <f t="shared" si="20"/>
        <v>25</v>
      </c>
      <c r="BXN7">
        <f t="shared" si="20"/>
        <v>25</v>
      </c>
      <c r="BXO7">
        <f t="shared" si="20"/>
        <v>50</v>
      </c>
      <c r="BXP7">
        <f t="shared" si="20"/>
        <v>25</v>
      </c>
      <c r="BXQ7">
        <f t="shared" si="20"/>
        <v>0</v>
      </c>
      <c r="BXR7">
        <f t="shared" si="20"/>
        <v>0</v>
      </c>
      <c r="BXS7">
        <f t="shared" si="20"/>
        <v>0</v>
      </c>
      <c r="BXT7">
        <f t="shared" si="20"/>
        <v>0</v>
      </c>
      <c r="BXU7">
        <f t="shared" si="20"/>
        <v>0</v>
      </c>
      <c r="BXV7">
        <f t="shared" si="20"/>
        <v>0</v>
      </c>
      <c r="BXW7">
        <f t="shared" si="20"/>
        <v>0</v>
      </c>
      <c r="BXX7">
        <f t="shared" si="20"/>
        <v>0</v>
      </c>
      <c r="BXY7">
        <f t="shared" si="20"/>
        <v>0</v>
      </c>
      <c r="BXZ7">
        <f t="shared" si="20"/>
        <v>0</v>
      </c>
      <c r="BYA7">
        <f t="shared" si="20"/>
        <v>0</v>
      </c>
      <c r="BYB7">
        <f t="shared" si="20"/>
        <v>12.5</v>
      </c>
      <c r="BYC7">
        <f t="shared" si="20"/>
        <v>12.5</v>
      </c>
      <c r="BYD7">
        <f t="shared" si="20"/>
        <v>12.5</v>
      </c>
      <c r="BYE7">
        <f t="shared" si="20"/>
        <v>25</v>
      </c>
      <c r="BYF7">
        <f t="shared" si="20"/>
        <v>25</v>
      </c>
      <c r="BYG7">
        <f t="shared" si="20"/>
        <v>25</v>
      </c>
      <c r="BYH7">
        <f t="shared" si="20"/>
        <v>25</v>
      </c>
      <c r="BYI7">
        <f t="shared" si="20"/>
        <v>25</v>
      </c>
      <c r="BYJ7">
        <f t="shared" si="20"/>
        <v>25</v>
      </c>
      <c r="BYK7">
        <f t="shared" si="20"/>
        <v>50</v>
      </c>
      <c r="BYL7">
        <f t="shared" si="20"/>
        <v>25</v>
      </c>
      <c r="BYM7">
        <f t="shared" si="20"/>
        <v>0</v>
      </c>
      <c r="BYN7">
        <f t="shared" si="20"/>
        <v>0</v>
      </c>
      <c r="BYO7">
        <f t="shared" si="20"/>
        <v>0</v>
      </c>
      <c r="BYP7">
        <f t="shared" si="20"/>
        <v>0</v>
      </c>
      <c r="BYQ7">
        <f t="shared" si="20"/>
        <v>0</v>
      </c>
      <c r="BYR7">
        <f t="shared" si="20"/>
        <v>0</v>
      </c>
      <c r="BYS7">
        <f t="shared" si="20"/>
        <v>0</v>
      </c>
      <c r="BYT7">
        <f t="shared" si="20"/>
        <v>0</v>
      </c>
      <c r="BYU7">
        <f t="shared" si="20"/>
        <v>0</v>
      </c>
      <c r="BYV7">
        <f t="shared" si="20"/>
        <v>0</v>
      </c>
      <c r="BYW7">
        <f t="shared" si="20"/>
        <v>0</v>
      </c>
      <c r="BYX7">
        <f t="shared" si="20"/>
        <v>12.5</v>
      </c>
      <c r="BYY7">
        <f t="shared" si="20"/>
        <v>12.5</v>
      </c>
      <c r="BYZ7">
        <f t="shared" si="20"/>
        <v>12.5</v>
      </c>
      <c r="BZA7">
        <f t="shared" si="20"/>
        <v>25</v>
      </c>
      <c r="BZB7">
        <f t="shared" si="20"/>
        <v>25</v>
      </c>
      <c r="BZC7">
        <f t="shared" si="20"/>
        <v>25</v>
      </c>
      <c r="BZD7">
        <f t="shared" si="20"/>
        <v>25</v>
      </c>
      <c r="BZE7">
        <f t="shared" si="20"/>
        <v>25</v>
      </c>
      <c r="BZF7">
        <f t="shared" si="20"/>
        <v>25</v>
      </c>
      <c r="BZG7">
        <f t="shared" si="20"/>
        <v>50</v>
      </c>
      <c r="BZH7">
        <f t="shared" si="20"/>
        <v>25</v>
      </c>
      <c r="BZI7">
        <f t="shared" si="20"/>
        <v>0</v>
      </c>
      <c r="BZJ7">
        <f t="shared" si="20"/>
        <v>0</v>
      </c>
      <c r="BZK7">
        <f t="shared" si="20"/>
        <v>0</v>
      </c>
      <c r="BZL7">
        <f t="shared" si="20"/>
        <v>0</v>
      </c>
      <c r="BZM7">
        <f t="shared" si="20"/>
        <v>0</v>
      </c>
      <c r="BZN7">
        <f t="shared" si="20"/>
        <v>0</v>
      </c>
      <c r="BZO7">
        <f t="shared" si="20"/>
        <v>0</v>
      </c>
      <c r="BZP7">
        <f t="shared" si="20"/>
        <v>0</v>
      </c>
      <c r="BZQ7">
        <f t="shared" si="20"/>
        <v>0</v>
      </c>
      <c r="BZR7">
        <f t="shared" si="20"/>
        <v>0</v>
      </c>
      <c r="BZS7">
        <f t="shared" si="20"/>
        <v>0</v>
      </c>
      <c r="BZT7">
        <f t="shared" si="20"/>
        <v>12.5</v>
      </c>
      <c r="BZU7">
        <f t="shared" si="20"/>
        <v>12.5</v>
      </c>
      <c r="BZV7">
        <f t="shared" si="20"/>
        <v>12.5</v>
      </c>
      <c r="BZW7">
        <f t="shared" si="21"/>
        <v>25</v>
      </c>
      <c r="BZX7">
        <f t="shared" si="21"/>
        <v>25</v>
      </c>
      <c r="BZY7">
        <f t="shared" si="21"/>
        <v>25</v>
      </c>
      <c r="BZZ7">
        <f t="shared" si="21"/>
        <v>25</v>
      </c>
      <c r="CAA7">
        <f t="shared" si="21"/>
        <v>25</v>
      </c>
      <c r="CAB7">
        <f t="shared" si="21"/>
        <v>25</v>
      </c>
      <c r="CAC7">
        <f t="shared" si="21"/>
        <v>50</v>
      </c>
      <c r="CAD7">
        <f t="shared" si="21"/>
        <v>25</v>
      </c>
      <c r="CAE7">
        <f t="shared" si="21"/>
        <v>0</v>
      </c>
      <c r="CAF7">
        <f t="shared" si="21"/>
        <v>0</v>
      </c>
      <c r="CAG7">
        <f t="shared" si="21"/>
        <v>0</v>
      </c>
      <c r="CAH7">
        <f t="shared" si="21"/>
        <v>0</v>
      </c>
      <c r="CAI7">
        <f t="shared" si="21"/>
        <v>0</v>
      </c>
      <c r="CAJ7">
        <f t="shared" si="21"/>
        <v>0</v>
      </c>
      <c r="CAK7">
        <f t="shared" si="21"/>
        <v>0</v>
      </c>
      <c r="CAL7">
        <f t="shared" si="21"/>
        <v>0</v>
      </c>
      <c r="CAM7">
        <f t="shared" si="21"/>
        <v>0</v>
      </c>
      <c r="CAN7">
        <f t="shared" si="21"/>
        <v>0</v>
      </c>
      <c r="CAO7">
        <f t="shared" si="21"/>
        <v>0</v>
      </c>
      <c r="CAP7">
        <f t="shared" si="21"/>
        <v>12.5</v>
      </c>
      <c r="CAQ7">
        <f t="shared" si="21"/>
        <v>12.5</v>
      </c>
      <c r="CAR7">
        <f t="shared" si="21"/>
        <v>12.5</v>
      </c>
      <c r="CAS7">
        <f t="shared" si="21"/>
        <v>25</v>
      </c>
      <c r="CAT7">
        <f t="shared" si="21"/>
        <v>25</v>
      </c>
      <c r="CAU7">
        <f t="shared" si="21"/>
        <v>25</v>
      </c>
      <c r="CAV7">
        <f t="shared" si="21"/>
        <v>25</v>
      </c>
      <c r="CAW7">
        <f t="shared" si="21"/>
        <v>25</v>
      </c>
      <c r="CAX7">
        <f t="shared" si="21"/>
        <v>25</v>
      </c>
      <c r="CAY7">
        <f t="shared" si="21"/>
        <v>50</v>
      </c>
      <c r="CAZ7">
        <f t="shared" si="21"/>
        <v>25</v>
      </c>
      <c r="CBA7">
        <f t="shared" si="21"/>
        <v>0</v>
      </c>
      <c r="CBB7">
        <f t="shared" si="21"/>
        <v>0</v>
      </c>
      <c r="CBC7">
        <f t="shared" si="21"/>
        <v>0</v>
      </c>
      <c r="CBD7">
        <f t="shared" si="21"/>
        <v>0</v>
      </c>
      <c r="CBE7">
        <f t="shared" si="21"/>
        <v>0</v>
      </c>
      <c r="CBF7">
        <f t="shared" si="21"/>
        <v>0</v>
      </c>
      <c r="CBG7">
        <f t="shared" si="21"/>
        <v>0</v>
      </c>
      <c r="CBH7">
        <f t="shared" si="21"/>
        <v>0</v>
      </c>
      <c r="CBI7">
        <f t="shared" si="21"/>
        <v>0</v>
      </c>
      <c r="CBJ7">
        <f t="shared" si="21"/>
        <v>0</v>
      </c>
      <c r="CBK7">
        <f t="shared" si="21"/>
        <v>0</v>
      </c>
      <c r="CBL7">
        <f t="shared" si="21"/>
        <v>12.5</v>
      </c>
      <c r="CBM7">
        <f t="shared" si="21"/>
        <v>12.5</v>
      </c>
      <c r="CBN7">
        <f t="shared" si="21"/>
        <v>12.5</v>
      </c>
      <c r="CBO7">
        <f t="shared" si="21"/>
        <v>25</v>
      </c>
      <c r="CBP7">
        <f t="shared" si="21"/>
        <v>25</v>
      </c>
      <c r="CBQ7">
        <f t="shared" si="21"/>
        <v>25</v>
      </c>
      <c r="CBR7">
        <f t="shared" si="21"/>
        <v>25</v>
      </c>
      <c r="CBS7">
        <f t="shared" si="21"/>
        <v>25</v>
      </c>
      <c r="CBT7">
        <f t="shared" si="21"/>
        <v>25</v>
      </c>
      <c r="CBU7">
        <f t="shared" si="21"/>
        <v>50</v>
      </c>
      <c r="CBV7">
        <f t="shared" si="21"/>
        <v>25</v>
      </c>
      <c r="CBW7">
        <f t="shared" si="21"/>
        <v>0</v>
      </c>
      <c r="CBX7">
        <f t="shared" si="21"/>
        <v>0</v>
      </c>
      <c r="CBY7">
        <f t="shared" si="21"/>
        <v>0</v>
      </c>
      <c r="CBZ7">
        <f t="shared" si="21"/>
        <v>0</v>
      </c>
      <c r="CCA7">
        <f t="shared" si="21"/>
        <v>0</v>
      </c>
      <c r="CCB7">
        <f t="shared" si="21"/>
        <v>0</v>
      </c>
      <c r="CCC7">
        <f t="shared" si="21"/>
        <v>0</v>
      </c>
      <c r="CCD7">
        <f t="shared" si="21"/>
        <v>0</v>
      </c>
      <c r="CCE7">
        <f t="shared" si="21"/>
        <v>0</v>
      </c>
      <c r="CCF7">
        <f t="shared" si="21"/>
        <v>0</v>
      </c>
      <c r="CCG7">
        <f t="shared" si="21"/>
        <v>0</v>
      </c>
      <c r="CCH7">
        <f t="shared" si="21"/>
        <v>12.5</v>
      </c>
      <c r="CCI7">
        <f t="shared" si="22"/>
        <v>12.5</v>
      </c>
      <c r="CCJ7">
        <f t="shared" si="22"/>
        <v>12.5</v>
      </c>
      <c r="CCK7">
        <f t="shared" si="22"/>
        <v>25</v>
      </c>
      <c r="CCL7">
        <f t="shared" si="22"/>
        <v>25</v>
      </c>
      <c r="CCM7">
        <f t="shared" si="22"/>
        <v>25</v>
      </c>
      <c r="CCN7">
        <f t="shared" si="22"/>
        <v>25</v>
      </c>
      <c r="CCO7">
        <f t="shared" si="22"/>
        <v>25</v>
      </c>
      <c r="CCP7">
        <f t="shared" si="22"/>
        <v>25</v>
      </c>
      <c r="CCQ7">
        <f t="shared" si="22"/>
        <v>50</v>
      </c>
      <c r="CCR7">
        <f t="shared" si="22"/>
        <v>25</v>
      </c>
      <c r="CCS7">
        <f t="shared" si="22"/>
        <v>0</v>
      </c>
      <c r="CCT7">
        <f t="shared" si="22"/>
        <v>0</v>
      </c>
      <c r="CCU7">
        <f t="shared" si="22"/>
        <v>0</v>
      </c>
      <c r="CCV7">
        <f t="shared" si="22"/>
        <v>0</v>
      </c>
      <c r="CCW7">
        <f t="shared" si="22"/>
        <v>0</v>
      </c>
      <c r="CCX7">
        <f t="shared" si="22"/>
        <v>0</v>
      </c>
      <c r="CCY7">
        <f t="shared" si="22"/>
        <v>0</v>
      </c>
      <c r="CCZ7">
        <f t="shared" si="22"/>
        <v>0</v>
      </c>
      <c r="CDA7">
        <f t="shared" si="22"/>
        <v>0</v>
      </c>
      <c r="CDB7">
        <f t="shared" si="22"/>
        <v>0</v>
      </c>
      <c r="CDC7">
        <f t="shared" si="22"/>
        <v>0</v>
      </c>
      <c r="CDD7">
        <f t="shared" si="22"/>
        <v>12.5</v>
      </c>
      <c r="CDE7">
        <f t="shared" si="22"/>
        <v>12.5</v>
      </c>
      <c r="CDF7">
        <f t="shared" si="22"/>
        <v>12.5</v>
      </c>
      <c r="CDG7">
        <f t="shared" si="22"/>
        <v>25</v>
      </c>
      <c r="CDH7">
        <f t="shared" si="22"/>
        <v>25</v>
      </c>
      <c r="CDI7">
        <f t="shared" si="22"/>
        <v>25</v>
      </c>
      <c r="CDJ7">
        <f t="shared" si="22"/>
        <v>25</v>
      </c>
      <c r="CDK7">
        <f t="shared" si="22"/>
        <v>25</v>
      </c>
      <c r="CDL7">
        <f t="shared" si="22"/>
        <v>25</v>
      </c>
      <c r="CDM7">
        <f t="shared" si="22"/>
        <v>50</v>
      </c>
      <c r="CDN7">
        <f t="shared" si="22"/>
        <v>25</v>
      </c>
      <c r="CDO7">
        <f t="shared" si="22"/>
        <v>0</v>
      </c>
      <c r="CDP7">
        <f t="shared" si="22"/>
        <v>0</v>
      </c>
      <c r="CDQ7">
        <f t="shared" si="22"/>
        <v>0</v>
      </c>
      <c r="CDR7">
        <f t="shared" si="22"/>
        <v>0</v>
      </c>
      <c r="CDS7">
        <f t="shared" si="22"/>
        <v>0</v>
      </c>
      <c r="CDT7">
        <f t="shared" si="22"/>
        <v>0</v>
      </c>
      <c r="CDU7">
        <f t="shared" si="22"/>
        <v>0</v>
      </c>
      <c r="CDV7">
        <f t="shared" si="22"/>
        <v>0</v>
      </c>
      <c r="CDW7">
        <f t="shared" si="22"/>
        <v>0</v>
      </c>
      <c r="CDX7">
        <f t="shared" si="22"/>
        <v>0</v>
      </c>
      <c r="CDY7">
        <f t="shared" si="22"/>
        <v>0</v>
      </c>
      <c r="CDZ7">
        <f t="shared" si="22"/>
        <v>12.5</v>
      </c>
      <c r="CEA7">
        <f t="shared" si="22"/>
        <v>12.5</v>
      </c>
      <c r="CEB7">
        <f t="shared" si="22"/>
        <v>12.5</v>
      </c>
      <c r="CEC7">
        <f t="shared" si="22"/>
        <v>25</v>
      </c>
      <c r="CED7">
        <f t="shared" si="22"/>
        <v>25</v>
      </c>
      <c r="CEE7">
        <f t="shared" si="22"/>
        <v>25</v>
      </c>
      <c r="CEF7">
        <f t="shared" si="22"/>
        <v>25</v>
      </c>
      <c r="CEG7">
        <f t="shared" si="22"/>
        <v>25</v>
      </c>
      <c r="CEH7">
        <f t="shared" si="22"/>
        <v>25</v>
      </c>
      <c r="CEI7">
        <f t="shared" si="22"/>
        <v>50</v>
      </c>
      <c r="CEJ7">
        <f t="shared" si="22"/>
        <v>25</v>
      </c>
      <c r="CEK7">
        <f t="shared" si="22"/>
        <v>0</v>
      </c>
      <c r="CEL7">
        <f t="shared" si="22"/>
        <v>0</v>
      </c>
      <c r="CEM7">
        <f t="shared" si="22"/>
        <v>0</v>
      </c>
      <c r="CEN7">
        <f t="shared" si="22"/>
        <v>0</v>
      </c>
      <c r="CEO7">
        <f t="shared" si="22"/>
        <v>0</v>
      </c>
      <c r="CEP7">
        <f t="shared" si="22"/>
        <v>0</v>
      </c>
      <c r="CEQ7">
        <f t="shared" si="22"/>
        <v>0</v>
      </c>
      <c r="CER7">
        <f t="shared" si="22"/>
        <v>0</v>
      </c>
      <c r="CES7">
        <f t="shared" si="22"/>
        <v>0</v>
      </c>
      <c r="CET7">
        <f t="shared" si="22"/>
        <v>0</v>
      </c>
      <c r="CEU7">
        <f t="shared" si="23"/>
        <v>0</v>
      </c>
      <c r="CEV7">
        <f t="shared" si="23"/>
        <v>12.5</v>
      </c>
      <c r="CEW7">
        <f t="shared" si="23"/>
        <v>12.5</v>
      </c>
      <c r="CEX7">
        <f t="shared" si="23"/>
        <v>12.5</v>
      </c>
      <c r="CEY7">
        <f t="shared" si="23"/>
        <v>25</v>
      </c>
      <c r="CEZ7">
        <f t="shared" si="23"/>
        <v>25</v>
      </c>
      <c r="CFA7">
        <f t="shared" si="23"/>
        <v>25</v>
      </c>
      <c r="CFB7">
        <f t="shared" si="23"/>
        <v>25</v>
      </c>
      <c r="CFC7">
        <f t="shared" si="23"/>
        <v>25</v>
      </c>
      <c r="CFD7">
        <f t="shared" si="23"/>
        <v>25</v>
      </c>
      <c r="CFE7">
        <f t="shared" si="23"/>
        <v>50</v>
      </c>
      <c r="CFF7">
        <f t="shared" si="23"/>
        <v>25</v>
      </c>
      <c r="CFG7">
        <f t="shared" si="23"/>
        <v>0</v>
      </c>
      <c r="CFH7">
        <f t="shared" si="23"/>
        <v>0</v>
      </c>
      <c r="CFI7">
        <f t="shared" si="23"/>
        <v>0</v>
      </c>
      <c r="CFJ7">
        <f t="shared" si="23"/>
        <v>0</v>
      </c>
      <c r="CFK7">
        <f t="shared" si="23"/>
        <v>0</v>
      </c>
      <c r="CFL7">
        <f t="shared" si="23"/>
        <v>0</v>
      </c>
      <c r="CFM7">
        <f t="shared" si="23"/>
        <v>0</v>
      </c>
      <c r="CFN7">
        <f t="shared" si="23"/>
        <v>0</v>
      </c>
      <c r="CFO7">
        <f t="shared" si="23"/>
        <v>0</v>
      </c>
      <c r="CFP7">
        <f t="shared" si="23"/>
        <v>0</v>
      </c>
      <c r="CFQ7">
        <f t="shared" si="23"/>
        <v>0</v>
      </c>
      <c r="CFR7">
        <f t="shared" si="23"/>
        <v>12.5</v>
      </c>
      <c r="CFS7">
        <f t="shared" si="23"/>
        <v>12.5</v>
      </c>
      <c r="CFT7">
        <f t="shared" si="23"/>
        <v>12.5</v>
      </c>
      <c r="CFU7">
        <f t="shared" si="23"/>
        <v>25</v>
      </c>
      <c r="CFV7">
        <f t="shared" si="23"/>
        <v>25</v>
      </c>
      <c r="CFW7">
        <f t="shared" si="23"/>
        <v>25</v>
      </c>
      <c r="CFX7">
        <f t="shared" si="23"/>
        <v>25</v>
      </c>
      <c r="CFY7">
        <f t="shared" si="23"/>
        <v>25</v>
      </c>
      <c r="CFZ7">
        <f t="shared" si="23"/>
        <v>25</v>
      </c>
      <c r="CGA7">
        <f t="shared" si="23"/>
        <v>50</v>
      </c>
      <c r="CGB7">
        <f t="shared" si="23"/>
        <v>25</v>
      </c>
      <c r="CGC7">
        <f t="shared" si="23"/>
        <v>0</v>
      </c>
      <c r="CGD7">
        <f t="shared" si="23"/>
        <v>0</v>
      </c>
      <c r="CGE7">
        <f t="shared" si="23"/>
        <v>0</v>
      </c>
      <c r="CGF7">
        <f t="shared" si="23"/>
        <v>0</v>
      </c>
      <c r="CGG7">
        <f t="shared" si="23"/>
        <v>0</v>
      </c>
      <c r="CGH7">
        <f t="shared" si="23"/>
        <v>0</v>
      </c>
      <c r="CGI7">
        <f t="shared" si="23"/>
        <v>0</v>
      </c>
      <c r="CGJ7">
        <f t="shared" si="23"/>
        <v>0</v>
      </c>
      <c r="CGK7">
        <f t="shared" si="23"/>
        <v>0</v>
      </c>
      <c r="CGL7">
        <f t="shared" si="23"/>
        <v>0</v>
      </c>
      <c r="CGM7">
        <f t="shared" si="23"/>
        <v>0</v>
      </c>
      <c r="CGN7">
        <f t="shared" si="23"/>
        <v>12.5</v>
      </c>
      <c r="CGO7">
        <f t="shared" si="23"/>
        <v>12.5</v>
      </c>
      <c r="CGP7">
        <f t="shared" si="23"/>
        <v>12.5</v>
      </c>
      <c r="CGQ7">
        <f t="shared" si="23"/>
        <v>25</v>
      </c>
      <c r="CGR7">
        <f t="shared" si="23"/>
        <v>25</v>
      </c>
      <c r="CGS7">
        <f t="shared" si="23"/>
        <v>25</v>
      </c>
      <c r="CGT7">
        <f t="shared" si="23"/>
        <v>25</v>
      </c>
      <c r="CGU7">
        <f t="shared" si="23"/>
        <v>25</v>
      </c>
      <c r="CGV7">
        <f t="shared" si="23"/>
        <v>25</v>
      </c>
      <c r="CGW7">
        <f t="shared" si="23"/>
        <v>50</v>
      </c>
      <c r="CGX7">
        <f t="shared" si="23"/>
        <v>25</v>
      </c>
      <c r="CGY7">
        <f t="shared" si="23"/>
        <v>0</v>
      </c>
      <c r="CGZ7">
        <f t="shared" si="23"/>
        <v>0</v>
      </c>
      <c r="CHA7">
        <f t="shared" si="23"/>
        <v>0</v>
      </c>
      <c r="CHB7">
        <f t="shared" si="23"/>
        <v>0</v>
      </c>
      <c r="CHC7">
        <f t="shared" si="23"/>
        <v>0</v>
      </c>
      <c r="CHD7">
        <f t="shared" si="23"/>
        <v>0</v>
      </c>
      <c r="CHE7">
        <f t="shared" si="23"/>
        <v>0</v>
      </c>
      <c r="CHF7">
        <f t="shared" si="23"/>
        <v>0</v>
      </c>
      <c r="CHG7">
        <f t="shared" si="24"/>
        <v>0</v>
      </c>
      <c r="CHH7">
        <f t="shared" si="24"/>
        <v>0</v>
      </c>
      <c r="CHI7">
        <f t="shared" si="24"/>
        <v>0</v>
      </c>
      <c r="CHJ7">
        <f t="shared" si="24"/>
        <v>12.5</v>
      </c>
      <c r="CHK7">
        <f t="shared" si="24"/>
        <v>12.5</v>
      </c>
      <c r="CHL7">
        <f t="shared" si="24"/>
        <v>12.5</v>
      </c>
      <c r="CHM7">
        <f t="shared" si="24"/>
        <v>25</v>
      </c>
      <c r="CHN7">
        <f t="shared" si="24"/>
        <v>25</v>
      </c>
      <c r="CHO7">
        <f t="shared" si="24"/>
        <v>25</v>
      </c>
      <c r="CHP7">
        <f t="shared" si="24"/>
        <v>25</v>
      </c>
      <c r="CHQ7">
        <f t="shared" si="24"/>
        <v>25</v>
      </c>
      <c r="CHR7">
        <f t="shared" si="24"/>
        <v>25</v>
      </c>
      <c r="CHS7">
        <f t="shared" si="24"/>
        <v>50</v>
      </c>
      <c r="CHT7">
        <f t="shared" si="24"/>
        <v>25</v>
      </c>
      <c r="CHU7">
        <f t="shared" si="24"/>
        <v>0</v>
      </c>
      <c r="CHV7">
        <f t="shared" si="24"/>
        <v>0</v>
      </c>
      <c r="CHW7">
        <f t="shared" si="24"/>
        <v>0</v>
      </c>
      <c r="CHX7">
        <f t="shared" si="24"/>
        <v>0</v>
      </c>
      <c r="CHY7">
        <f t="shared" si="24"/>
        <v>0</v>
      </c>
      <c r="CHZ7">
        <f t="shared" si="24"/>
        <v>0</v>
      </c>
      <c r="CIA7">
        <f t="shared" si="24"/>
        <v>0</v>
      </c>
      <c r="CIB7">
        <f t="shared" si="24"/>
        <v>0</v>
      </c>
      <c r="CIC7">
        <f t="shared" si="24"/>
        <v>0</v>
      </c>
      <c r="CID7">
        <f t="shared" si="24"/>
        <v>0</v>
      </c>
      <c r="CIE7">
        <f t="shared" si="24"/>
        <v>0</v>
      </c>
      <c r="CIF7">
        <f t="shared" si="24"/>
        <v>12.5</v>
      </c>
      <c r="CIG7">
        <f t="shared" si="24"/>
        <v>12.5</v>
      </c>
      <c r="CIH7">
        <f t="shared" si="24"/>
        <v>12.5</v>
      </c>
      <c r="CII7">
        <f t="shared" si="24"/>
        <v>25</v>
      </c>
      <c r="CIJ7">
        <f t="shared" si="24"/>
        <v>25</v>
      </c>
      <c r="CIK7">
        <f t="shared" si="24"/>
        <v>25</v>
      </c>
      <c r="CIL7">
        <f t="shared" si="24"/>
        <v>25</v>
      </c>
      <c r="CIM7">
        <f t="shared" si="24"/>
        <v>25</v>
      </c>
      <c r="CIN7">
        <f t="shared" si="24"/>
        <v>25</v>
      </c>
      <c r="CIO7">
        <f t="shared" si="24"/>
        <v>50</v>
      </c>
      <c r="CIP7">
        <f t="shared" si="24"/>
        <v>25</v>
      </c>
      <c r="CIQ7">
        <f t="shared" si="24"/>
        <v>0</v>
      </c>
      <c r="CIR7">
        <f t="shared" si="24"/>
        <v>0</v>
      </c>
      <c r="CIS7">
        <f t="shared" si="24"/>
        <v>0</v>
      </c>
      <c r="CIT7">
        <f t="shared" si="24"/>
        <v>0</v>
      </c>
      <c r="CIU7">
        <f t="shared" si="24"/>
        <v>0</v>
      </c>
      <c r="CIV7">
        <f t="shared" si="24"/>
        <v>0</v>
      </c>
      <c r="CIW7">
        <f t="shared" si="24"/>
        <v>0</v>
      </c>
      <c r="CIX7">
        <f t="shared" si="24"/>
        <v>0</v>
      </c>
      <c r="CIY7">
        <f t="shared" si="24"/>
        <v>0</v>
      </c>
      <c r="CIZ7">
        <f t="shared" si="24"/>
        <v>0</v>
      </c>
      <c r="CJA7">
        <f t="shared" si="24"/>
        <v>0</v>
      </c>
      <c r="CJB7">
        <f t="shared" si="24"/>
        <v>12.5</v>
      </c>
      <c r="CJC7">
        <f t="shared" si="24"/>
        <v>12.5</v>
      </c>
      <c r="CJD7">
        <f t="shared" si="24"/>
        <v>12.5</v>
      </c>
      <c r="CJE7">
        <f t="shared" si="24"/>
        <v>25</v>
      </c>
      <c r="CJF7">
        <f t="shared" si="24"/>
        <v>25</v>
      </c>
      <c r="CJG7">
        <f t="shared" si="24"/>
        <v>25</v>
      </c>
      <c r="CJH7">
        <f t="shared" si="24"/>
        <v>25</v>
      </c>
      <c r="CJI7">
        <f t="shared" si="24"/>
        <v>25</v>
      </c>
      <c r="CJJ7">
        <f t="shared" si="24"/>
        <v>25</v>
      </c>
      <c r="CJK7">
        <f t="shared" si="24"/>
        <v>50</v>
      </c>
      <c r="CJL7">
        <f t="shared" si="24"/>
        <v>25</v>
      </c>
      <c r="CJM7">
        <f t="shared" si="24"/>
        <v>0</v>
      </c>
      <c r="CJN7">
        <f t="shared" si="24"/>
        <v>0</v>
      </c>
      <c r="CJO7">
        <f t="shared" si="24"/>
        <v>0</v>
      </c>
      <c r="CJP7">
        <f t="shared" si="24"/>
        <v>0</v>
      </c>
      <c r="CJQ7">
        <f t="shared" si="24"/>
        <v>0</v>
      </c>
      <c r="CJR7">
        <f t="shared" si="24"/>
        <v>0</v>
      </c>
      <c r="CJS7">
        <f t="shared" si="25"/>
        <v>0</v>
      </c>
      <c r="CJT7">
        <f t="shared" si="25"/>
        <v>0</v>
      </c>
      <c r="CJU7">
        <f t="shared" si="25"/>
        <v>0</v>
      </c>
      <c r="CJV7">
        <f t="shared" si="25"/>
        <v>0</v>
      </c>
      <c r="CJW7">
        <f t="shared" si="25"/>
        <v>0</v>
      </c>
      <c r="CJX7">
        <f t="shared" si="25"/>
        <v>12.5</v>
      </c>
      <c r="CJY7">
        <f t="shared" si="25"/>
        <v>12.5</v>
      </c>
      <c r="CJZ7">
        <f t="shared" si="25"/>
        <v>12.5</v>
      </c>
      <c r="CKA7">
        <f t="shared" si="25"/>
        <v>25</v>
      </c>
      <c r="CKB7">
        <f t="shared" si="25"/>
        <v>25</v>
      </c>
      <c r="CKC7">
        <f t="shared" si="25"/>
        <v>25</v>
      </c>
      <c r="CKD7">
        <f t="shared" si="25"/>
        <v>25</v>
      </c>
      <c r="CKE7">
        <f t="shared" si="25"/>
        <v>25</v>
      </c>
      <c r="CKF7">
        <f t="shared" si="25"/>
        <v>25</v>
      </c>
      <c r="CKG7">
        <f t="shared" si="25"/>
        <v>50</v>
      </c>
      <c r="CKH7">
        <f t="shared" si="25"/>
        <v>25</v>
      </c>
      <c r="CKI7">
        <f t="shared" si="25"/>
        <v>0</v>
      </c>
      <c r="CKJ7">
        <f t="shared" si="25"/>
        <v>0</v>
      </c>
      <c r="CKK7">
        <f t="shared" si="25"/>
        <v>0</v>
      </c>
      <c r="CKL7">
        <f t="shared" si="25"/>
        <v>0</v>
      </c>
      <c r="CKM7">
        <f t="shared" si="25"/>
        <v>0</v>
      </c>
      <c r="CKN7">
        <f t="shared" si="25"/>
        <v>0</v>
      </c>
      <c r="CKO7">
        <f t="shared" si="25"/>
        <v>0</v>
      </c>
      <c r="CKP7">
        <f t="shared" si="25"/>
        <v>0</v>
      </c>
      <c r="CKQ7">
        <f t="shared" si="25"/>
        <v>0</v>
      </c>
      <c r="CKR7">
        <f t="shared" si="25"/>
        <v>0</v>
      </c>
      <c r="CKS7">
        <f t="shared" si="25"/>
        <v>0</v>
      </c>
      <c r="CKT7">
        <f t="shared" si="25"/>
        <v>12.5</v>
      </c>
      <c r="CKU7">
        <f t="shared" si="25"/>
        <v>12.5</v>
      </c>
      <c r="CKV7">
        <f t="shared" si="25"/>
        <v>12.5</v>
      </c>
      <c r="CKW7">
        <f t="shared" si="25"/>
        <v>25</v>
      </c>
      <c r="CKX7">
        <f t="shared" si="25"/>
        <v>25</v>
      </c>
      <c r="CKY7">
        <f t="shared" si="25"/>
        <v>25</v>
      </c>
      <c r="CKZ7">
        <f t="shared" si="25"/>
        <v>25</v>
      </c>
      <c r="CLA7">
        <f t="shared" si="25"/>
        <v>25</v>
      </c>
      <c r="CLB7">
        <f t="shared" si="25"/>
        <v>25</v>
      </c>
      <c r="CLC7">
        <f t="shared" si="25"/>
        <v>50</v>
      </c>
      <c r="CLD7">
        <f t="shared" si="25"/>
        <v>25</v>
      </c>
      <c r="CLE7">
        <f t="shared" si="25"/>
        <v>0</v>
      </c>
      <c r="CLF7">
        <f t="shared" si="25"/>
        <v>0</v>
      </c>
      <c r="CLG7">
        <f t="shared" si="25"/>
        <v>0</v>
      </c>
      <c r="CLH7">
        <f t="shared" si="25"/>
        <v>0</v>
      </c>
      <c r="CLI7">
        <f t="shared" si="25"/>
        <v>0</v>
      </c>
      <c r="CLJ7">
        <f t="shared" si="25"/>
        <v>0</v>
      </c>
      <c r="CLK7">
        <f t="shared" si="25"/>
        <v>0</v>
      </c>
      <c r="CLL7">
        <f t="shared" si="25"/>
        <v>0</v>
      </c>
      <c r="CLM7">
        <f t="shared" si="25"/>
        <v>0</v>
      </c>
      <c r="CLN7">
        <f t="shared" si="25"/>
        <v>0</v>
      </c>
      <c r="CLO7">
        <f t="shared" si="25"/>
        <v>0</v>
      </c>
      <c r="CLP7">
        <f t="shared" si="25"/>
        <v>12.5</v>
      </c>
      <c r="CLQ7">
        <f t="shared" si="25"/>
        <v>12.5</v>
      </c>
      <c r="CLR7">
        <f t="shared" si="25"/>
        <v>12.5</v>
      </c>
      <c r="CLS7">
        <f t="shared" si="25"/>
        <v>25</v>
      </c>
      <c r="CLT7">
        <f t="shared" si="25"/>
        <v>25</v>
      </c>
      <c r="CLU7">
        <f t="shared" si="25"/>
        <v>25</v>
      </c>
      <c r="CLV7">
        <f t="shared" si="25"/>
        <v>25</v>
      </c>
      <c r="CLW7">
        <f t="shared" si="25"/>
        <v>25</v>
      </c>
      <c r="CLX7">
        <f t="shared" si="25"/>
        <v>25</v>
      </c>
      <c r="CLY7">
        <f t="shared" si="25"/>
        <v>50</v>
      </c>
      <c r="CLZ7">
        <f t="shared" si="25"/>
        <v>25</v>
      </c>
      <c r="CMA7">
        <f t="shared" si="25"/>
        <v>0</v>
      </c>
      <c r="CMB7">
        <f t="shared" si="25"/>
        <v>0</v>
      </c>
      <c r="CMC7">
        <f t="shared" si="25"/>
        <v>0</v>
      </c>
      <c r="CMD7">
        <f t="shared" si="25"/>
        <v>0</v>
      </c>
      <c r="CME7">
        <f t="shared" si="26"/>
        <v>0</v>
      </c>
      <c r="CMF7">
        <f t="shared" si="26"/>
        <v>0</v>
      </c>
      <c r="CMG7">
        <f t="shared" si="26"/>
        <v>0</v>
      </c>
      <c r="CMH7">
        <f t="shared" si="26"/>
        <v>0</v>
      </c>
      <c r="CMI7">
        <f t="shared" si="26"/>
        <v>0</v>
      </c>
      <c r="CMJ7">
        <f t="shared" si="26"/>
        <v>0</v>
      </c>
      <c r="CMK7">
        <f t="shared" si="26"/>
        <v>0</v>
      </c>
      <c r="CML7">
        <f t="shared" si="26"/>
        <v>12.5</v>
      </c>
      <c r="CMM7">
        <f t="shared" si="26"/>
        <v>12.5</v>
      </c>
      <c r="CMN7">
        <f t="shared" si="26"/>
        <v>12.5</v>
      </c>
      <c r="CMO7">
        <f t="shared" si="26"/>
        <v>25</v>
      </c>
      <c r="CMP7">
        <f t="shared" si="26"/>
        <v>25</v>
      </c>
      <c r="CMQ7">
        <f t="shared" si="26"/>
        <v>25</v>
      </c>
      <c r="CMR7">
        <f t="shared" si="26"/>
        <v>25</v>
      </c>
      <c r="CMS7">
        <f t="shared" si="26"/>
        <v>25</v>
      </c>
      <c r="CMT7">
        <f t="shared" si="26"/>
        <v>25</v>
      </c>
      <c r="CMU7">
        <f t="shared" si="26"/>
        <v>50</v>
      </c>
      <c r="CMV7">
        <f t="shared" si="26"/>
        <v>25</v>
      </c>
      <c r="CMW7">
        <f t="shared" si="26"/>
        <v>0</v>
      </c>
      <c r="CMX7">
        <f t="shared" si="26"/>
        <v>0</v>
      </c>
      <c r="CMY7">
        <f t="shared" si="26"/>
        <v>0</v>
      </c>
      <c r="CMZ7">
        <f t="shared" si="26"/>
        <v>0</v>
      </c>
      <c r="CNA7">
        <f t="shared" si="26"/>
        <v>0</v>
      </c>
      <c r="CNB7">
        <f t="shared" si="26"/>
        <v>0</v>
      </c>
      <c r="CNC7">
        <f t="shared" si="26"/>
        <v>0</v>
      </c>
      <c r="CND7">
        <f t="shared" si="26"/>
        <v>0</v>
      </c>
      <c r="CNE7">
        <f t="shared" si="26"/>
        <v>0</v>
      </c>
      <c r="CNF7">
        <f t="shared" si="26"/>
        <v>0</v>
      </c>
      <c r="CNG7">
        <f t="shared" si="26"/>
        <v>0</v>
      </c>
      <c r="CNH7">
        <f t="shared" si="26"/>
        <v>12.5</v>
      </c>
      <c r="CNI7">
        <f t="shared" si="26"/>
        <v>12.5</v>
      </c>
      <c r="CNJ7">
        <f t="shared" si="26"/>
        <v>12.5</v>
      </c>
      <c r="CNK7">
        <f t="shared" si="26"/>
        <v>25</v>
      </c>
      <c r="CNL7">
        <f t="shared" si="26"/>
        <v>25</v>
      </c>
      <c r="CNM7">
        <f t="shared" si="26"/>
        <v>25</v>
      </c>
      <c r="CNN7">
        <f t="shared" si="26"/>
        <v>25</v>
      </c>
      <c r="CNO7">
        <f t="shared" si="26"/>
        <v>25</v>
      </c>
      <c r="CNP7">
        <f t="shared" si="26"/>
        <v>25</v>
      </c>
      <c r="CNQ7">
        <f t="shared" si="26"/>
        <v>50</v>
      </c>
      <c r="CNR7">
        <f t="shared" si="26"/>
        <v>25</v>
      </c>
      <c r="CNS7">
        <f t="shared" si="26"/>
        <v>0</v>
      </c>
      <c r="CNT7">
        <f t="shared" si="26"/>
        <v>0</v>
      </c>
      <c r="CNU7">
        <f t="shared" si="26"/>
        <v>0</v>
      </c>
      <c r="CNV7">
        <f t="shared" si="26"/>
        <v>0</v>
      </c>
      <c r="CNW7">
        <f t="shared" si="26"/>
        <v>0</v>
      </c>
      <c r="CNX7">
        <f t="shared" si="26"/>
        <v>0</v>
      </c>
      <c r="CNY7">
        <f t="shared" si="26"/>
        <v>0</v>
      </c>
      <c r="CNZ7">
        <f t="shared" si="26"/>
        <v>0</v>
      </c>
      <c r="COA7">
        <f t="shared" si="26"/>
        <v>0</v>
      </c>
      <c r="COB7">
        <f t="shared" si="26"/>
        <v>0</v>
      </c>
      <c r="COC7">
        <f t="shared" si="26"/>
        <v>0</v>
      </c>
      <c r="COD7">
        <f t="shared" si="26"/>
        <v>12.5</v>
      </c>
      <c r="COE7">
        <f t="shared" si="26"/>
        <v>12.5</v>
      </c>
      <c r="COF7">
        <f t="shared" si="26"/>
        <v>12.5</v>
      </c>
      <c r="COG7">
        <f t="shared" si="26"/>
        <v>25</v>
      </c>
      <c r="COH7">
        <f t="shared" si="26"/>
        <v>25</v>
      </c>
      <c r="COI7">
        <f t="shared" si="26"/>
        <v>25</v>
      </c>
      <c r="COJ7">
        <f t="shared" si="26"/>
        <v>25</v>
      </c>
      <c r="COK7">
        <f t="shared" si="26"/>
        <v>25</v>
      </c>
      <c r="COL7">
        <f t="shared" si="26"/>
        <v>25</v>
      </c>
      <c r="COM7">
        <f t="shared" si="26"/>
        <v>50</v>
      </c>
      <c r="CON7">
        <f t="shared" si="26"/>
        <v>25</v>
      </c>
      <c r="COO7">
        <f t="shared" si="26"/>
        <v>0</v>
      </c>
      <c r="COP7">
        <f t="shared" si="26"/>
        <v>0</v>
      </c>
      <c r="COQ7">
        <f t="shared" si="27"/>
        <v>0</v>
      </c>
      <c r="COR7">
        <f t="shared" si="27"/>
        <v>0</v>
      </c>
      <c r="COS7">
        <f t="shared" si="27"/>
        <v>0</v>
      </c>
      <c r="COT7">
        <f t="shared" si="27"/>
        <v>0</v>
      </c>
      <c r="COU7">
        <f t="shared" si="27"/>
        <v>0</v>
      </c>
      <c r="COV7">
        <f t="shared" si="27"/>
        <v>0</v>
      </c>
      <c r="COW7">
        <f t="shared" si="27"/>
        <v>0</v>
      </c>
      <c r="COX7">
        <f t="shared" si="27"/>
        <v>0</v>
      </c>
      <c r="COY7">
        <f t="shared" si="27"/>
        <v>0</v>
      </c>
      <c r="COZ7">
        <f t="shared" si="27"/>
        <v>12.5</v>
      </c>
      <c r="CPA7">
        <f t="shared" si="27"/>
        <v>12.5</v>
      </c>
      <c r="CPB7">
        <f t="shared" si="27"/>
        <v>12.5</v>
      </c>
      <c r="CPC7">
        <f t="shared" si="27"/>
        <v>25</v>
      </c>
      <c r="CPD7">
        <f t="shared" si="27"/>
        <v>25</v>
      </c>
      <c r="CPE7">
        <f t="shared" si="27"/>
        <v>25</v>
      </c>
      <c r="CPF7">
        <f t="shared" si="27"/>
        <v>25</v>
      </c>
      <c r="CPG7">
        <f t="shared" si="27"/>
        <v>25</v>
      </c>
      <c r="CPH7">
        <f t="shared" si="27"/>
        <v>25</v>
      </c>
      <c r="CPI7">
        <f t="shared" si="27"/>
        <v>50</v>
      </c>
      <c r="CPJ7">
        <f t="shared" si="27"/>
        <v>25</v>
      </c>
      <c r="CPK7">
        <f t="shared" si="27"/>
        <v>0</v>
      </c>
      <c r="CPL7">
        <f t="shared" si="27"/>
        <v>0</v>
      </c>
      <c r="CPM7">
        <f t="shared" si="27"/>
        <v>0</v>
      </c>
      <c r="CPN7">
        <f t="shared" si="27"/>
        <v>0</v>
      </c>
      <c r="CPO7">
        <f t="shared" si="27"/>
        <v>0</v>
      </c>
      <c r="CPP7">
        <f t="shared" si="27"/>
        <v>0</v>
      </c>
      <c r="CPQ7">
        <f t="shared" si="27"/>
        <v>0</v>
      </c>
      <c r="CPR7">
        <f t="shared" si="27"/>
        <v>0</v>
      </c>
      <c r="CPS7">
        <f t="shared" si="27"/>
        <v>0</v>
      </c>
      <c r="CPT7">
        <f t="shared" si="27"/>
        <v>0</v>
      </c>
      <c r="CPU7">
        <f t="shared" si="27"/>
        <v>0</v>
      </c>
      <c r="CPV7">
        <f t="shared" si="27"/>
        <v>12.5</v>
      </c>
      <c r="CPW7">
        <f t="shared" si="27"/>
        <v>12.5</v>
      </c>
      <c r="CPX7">
        <f t="shared" si="27"/>
        <v>12.5</v>
      </c>
      <c r="CPY7">
        <f t="shared" si="27"/>
        <v>25</v>
      </c>
      <c r="CPZ7">
        <f t="shared" si="27"/>
        <v>25</v>
      </c>
      <c r="CQA7">
        <f t="shared" si="27"/>
        <v>25</v>
      </c>
      <c r="CQB7">
        <f t="shared" si="27"/>
        <v>25</v>
      </c>
      <c r="CQC7">
        <f t="shared" si="27"/>
        <v>25</v>
      </c>
      <c r="CQD7">
        <f t="shared" si="27"/>
        <v>25</v>
      </c>
      <c r="CQE7">
        <f t="shared" si="27"/>
        <v>50</v>
      </c>
      <c r="CQF7">
        <f t="shared" si="27"/>
        <v>25</v>
      </c>
      <c r="CQG7">
        <f t="shared" si="27"/>
        <v>0</v>
      </c>
      <c r="CQH7">
        <f t="shared" si="27"/>
        <v>0</v>
      </c>
      <c r="CQI7">
        <f t="shared" si="27"/>
        <v>0</v>
      </c>
      <c r="CQJ7">
        <f t="shared" si="27"/>
        <v>0</v>
      </c>
      <c r="CQK7">
        <f t="shared" si="27"/>
        <v>0</v>
      </c>
      <c r="CQL7">
        <f t="shared" si="27"/>
        <v>0</v>
      </c>
      <c r="CQM7">
        <f t="shared" si="27"/>
        <v>0</v>
      </c>
      <c r="CQN7">
        <f t="shared" si="27"/>
        <v>0</v>
      </c>
      <c r="CQO7">
        <f t="shared" si="27"/>
        <v>0</v>
      </c>
      <c r="CQP7">
        <f t="shared" si="27"/>
        <v>0</v>
      </c>
      <c r="CQQ7">
        <f t="shared" si="27"/>
        <v>0</v>
      </c>
      <c r="CQR7">
        <f t="shared" si="27"/>
        <v>12.5</v>
      </c>
      <c r="CQS7">
        <f t="shared" si="27"/>
        <v>12.5</v>
      </c>
      <c r="CQT7">
        <f t="shared" si="27"/>
        <v>12.5</v>
      </c>
      <c r="CQU7">
        <f t="shared" si="27"/>
        <v>25</v>
      </c>
      <c r="CQV7">
        <f t="shared" si="27"/>
        <v>25</v>
      </c>
      <c r="CQW7">
        <f t="shared" si="27"/>
        <v>25</v>
      </c>
      <c r="CQX7">
        <f t="shared" si="27"/>
        <v>25</v>
      </c>
      <c r="CQY7">
        <f t="shared" si="27"/>
        <v>25</v>
      </c>
      <c r="CQZ7">
        <f t="shared" si="27"/>
        <v>25</v>
      </c>
      <c r="CRA7">
        <f t="shared" si="27"/>
        <v>50</v>
      </c>
      <c r="CRB7">
        <f t="shared" si="27"/>
        <v>25</v>
      </c>
      <c r="CRC7">
        <f t="shared" si="28"/>
        <v>0</v>
      </c>
      <c r="CRD7">
        <f t="shared" si="28"/>
        <v>0</v>
      </c>
      <c r="CRE7">
        <f t="shared" si="28"/>
        <v>0</v>
      </c>
      <c r="CRF7">
        <f t="shared" si="28"/>
        <v>0</v>
      </c>
      <c r="CRG7">
        <f t="shared" si="28"/>
        <v>0</v>
      </c>
      <c r="CRH7">
        <f t="shared" si="28"/>
        <v>0</v>
      </c>
      <c r="CRI7">
        <f t="shared" si="28"/>
        <v>0</v>
      </c>
      <c r="CRJ7">
        <f t="shared" si="28"/>
        <v>0</v>
      </c>
      <c r="CRK7">
        <f t="shared" si="28"/>
        <v>0</v>
      </c>
      <c r="CRL7">
        <f t="shared" si="28"/>
        <v>0</v>
      </c>
      <c r="CRM7">
        <f t="shared" si="28"/>
        <v>0</v>
      </c>
      <c r="CRN7">
        <f t="shared" si="28"/>
        <v>12.5</v>
      </c>
      <c r="CRO7">
        <f t="shared" si="28"/>
        <v>12.5</v>
      </c>
      <c r="CRP7">
        <f t="shared" si="28"/>
        <v>12.5</v>
      </c>
      <c r="CRQ7">
        <f t="shared" si="28"/>
        <v>25</v>
      </c>
      <c r="CRR7">
        <f t="shared" si="28"/>
        <v>25</v>
      </c>
      <c r="CRS7">
        <f t="shared" si="28"/>
        <v>25</v>
      </c>
      <c r="CRT7">
        <f t="shared" si="28"/>
        <v>25</v>
      </c>
      <c r="CRU7">
        <f t="shared" si="28"/>
        <v>25</v>
      </c>
      <c r="CRV7">
        <f t="shared" si="28"/>
        <v>25</v>
      </c>
      <c r="CRW7">
        <f t="shared" si="28"/>
        <v>50</v>
      </c>
      <c r="CRX7">
        <f t="shared" si="28"/>
        <v>25</v>
      </c>
      <c r="CRY7">
        <f t="shared" si="28"/>
        <v>0</v>
      </c>
      <c r="CRZ7">
        <f t="shared" si="28"/>
        <v>0</v>
      </c>
      <c r="CSA7">
        <f t="shared" si="28"/>
        <v>0</v>
      </c>
      <c r="CSB7">
        <f t="shared" si="28"/>
        <v>0</v>
      </c>
      <c r="CSC7">
        <f t="shared" si="28"/>
        <v>0</v>
      </c>
      <c r="CSD7">
        <f t="shared" si="28"/>
        <v>0</v>
      </c>
      <c r="CSE7">
        <f t="shared" si="28"/>
        <v>0</v>
      </c>
      <c r="CSF7">
        <f t="shared" si="28"/>
        <v>0</v>
      </c>
      <c r="CSG7">
        <f t="shared" si="28"/>
        <v>0</v>
      </c>
      <c r="CSH7">
        <f t="shared" si="28"/>
        <v>0</v>
      </c>
      <c r="CSI7">
        <f t="shared" si="28"/>
        <v>0</v>
      </c>
      <c r="CSJ7">
        <f t="shared" si="28"/>
        <v>12.5</v>
      </c>
      <c r="CSK7">
        <f t="shared" si="28"/>
        <v>12.5</v>
      </c>
      <c r="CSL7">
        <f t="shared" si="28"/>
        <v>12.5</v>
      </c>
      <c r="CSM7">
        <f t="shared" si="28"/>
        <v>25</v>
      </c>
      <c r="CSN7">
        <f t="shared" si="28"/>
        <v>25</v>
      </c>
      <c r="CSO7">
        <f t="shared" si="28"/>
        <v>25</v>
      </c>
      <c r="CSP7">
        <f t="shared" si="28"/>
        <v>25</v>
      </c>
      <c r="CSQ7">
        <f t="shared" si="28"/>
        <v>25</v>
      </c>
      <c r="CSR7">
        <f t="shared" si="28"/>
        <v>25</v>
      </c>
      <c r="CSS7">
        <f t="shared" si="28"/>
        <v>50</v>
      </c>
      <c r="CST7">
        <f t="shared" si="28"/>
        <v>25</v>
      </c>
      <c r="CSU7">
        <f t="shared" si="28"/>
        <v>0</v>
      </c>
      <c r="CSV7">
        <f t="shared" si="28"/>
        <v>0</v>
      </c>
      <c r="CSW7">
        <f t="shared" si="28"/>
        <v>0</v>
      </c>
      <c r="CSX7">
        <f t="shared" si="28"/>
        <v>0</v>
      </c>
      <c r="CSY7">
        <f t="shared" si="28"/>
        <v>0</v>
      </c>
      <c r="CSZ7">
        <f t="shared" si="28"/>
        <v>0</v>
      </c>
      <c r="CTA7">
        <f t="shared" si="28"/>
        <v>0</v>
      </c>
      <c r="CTB7">
        <f t="shared" si="28"/>
        <v>0</v>
      </c>
      <c r="CTC7">
        <f t="shared" si="28"/>
        <v>0</v>
      </c>
      <c r="CTD7">
        <f t="shared" si="28"/>
        <v>0</v>
      </c>
      <c r="CTE7">
        <f t="shared" si="28"/>
        <v>0</v>
      </c>
      <c r="CTF7">
        <f t="shared" si="28"/>
        <v>12.5</v>
      </c>
      <c r="CTG7">
        <f t="shared" si="28"/>
        <v>12.5</v>
      </c>
      <c r="CTH7">
        <f t="shared" si="28"/>
        <v>12.5</v>
      </c>
      <c r="CTI7">
        <f t="shared" si="28"/>
        <v>25</v>
      </c>
      <c r="CTJ7">
        <f t="shared" si="28"/>
        <v>25</v>
      </c>
      <c r="CTK7">
        <f t="shared" si="28"/>
        <v>25</v>
      </c>
      <c r="CTL7">
        <f t="shared" si="28"/>
        <v>25</v>
      </c>
      <c r="CTM7">
        <f t="shared" si="28"/>
        <v>25</v>
      </c>
      <c r="CTN7">
        <f t="shared" si="28"/>
        <v>25</v>
      </c>
      <c r="CTO7">
        <f t="shared" si="29"/>
        <v>50</v>
      </c>
      <c r="CTP7">
        <f t="shared" si="29"/>
        <v>25</v>
      </c>
      <c r="CTQ7">
        <f t="shared" si="29"/>
        <v>0</v>
      </c>
      <c r="CTR7">
        <f t="shared" si="29"/>
        <v>0</v>
      </c>
      <c r="CTS7">
        <f t="shared" si="29"/>
        <v>0</v>
      </c>
      <c r="CTT7">
        <f t="shared" si="29"/>
        <v>0</v>
      </c>
      <c r="CTU7">
        <f t="shared" si="29"/>
        <v>0</v>
      </c>
      <c r="CTV7">
        <f t="shared" si="29"/>
        <v>0</v>
      </c>
      <c r="CTW7">
        <f t="shared" si="29"/>
        <v>0</v>
      </c>
      <c r="CTX7">
        <f t="shared" si="29"/>
        <v>0</v>
      </c>
      <c r="CTY7">
        <f t="shared" si="29"/>
        <v>0</v>
      </c>
      <c r="CTZ7">
        <f t="shared" si="29"/>
        <v>0</v>
      </c>
      <c r="CUA7">
        <f t="shared" si="29"/>
        <v>0</v>
      </c>
      <c r="CUB7">
        <f t="shared" si="29"/>
        <v>12.5</v>
      </c>
      <c r="CUC7">
        <f t="shared" si="29"/>
        <v>12.5</v>
      </c>
      <c r="CUD7">
        <f t="shared" si="29"/>
        <v>12.5</v>
      </c>
      <c r="CUE7">
        <f t="shared" si="29"/>
        <v>25</v>
      </c>
      <c r="CUF7">
        <f t="shared" si="29"/>
        <v>25</v>
      </c>
      <c r="CUG7">
        <f t="shared" si="29"/>
        <v>25</v>
      </c>
      <c r="CUH7">
        <f t="shared" si="29"/>
        <v>25</v>
      </c>
      <c r="CUI7">
        <f t="shared" si="29"/>
        <v>25</v>
      </c>
      <c r="CUJ7">
        <f t="shared" si="29"/>
        <v>25</v>
      </c>
      <c r="CUK7">
        <f t="shared" si="29"/>
        <v>50</v>
      </c>
      <c r="CUL7">
        <f t="shared" si="29"/>
        <v>25</v>
      </c>
      <c r="CUM7">
        <f t="shared" si="29"/>
        <v>0</v>
      </c>
      <c r="CUN7">
        <f t="shared" si="29"/>
        <v>0</v>
      </c>
      <c r="CUO7">
        <f t="shared" si="29"/>
        <v>0</v>
      </c>
      <c r="CUP7">
        <f t="shared" si="29"/>
        <v>0</v>
      </c>
      <c r="CUQ7">
        <f t="shared" si="29"/>
        <v>0</v>
      </c>
      <c r="CUR7">
        <f t="shared" si="29"/>
        <v>0</v>
      </c>
      <c r="CUS7">
        <f t="shared" si="29"/>
        <v>0</v>
      </c>
      <c r="CUT7">
        <f t="shared" si="29"/>
        <v>0</v>
      </c>
      <c r="CUU7">
        <f t="shared" si="29"/>
        <v>0</v>
      </c>
      <c r="CUV7">
        <f t="shared" si="29"/>
        <v>0</v>
      </c>
      <c r="CUW7">
        <f t="shared" si="29"/>
        <v>0</v>
      </c>
      <c r="CUX7">
        <f t="shared" si="29"/>
        <v>12.5</v>
      </c>
      <c r="CUY7">
        <f t="shared" si="29"/>
        <v>12.5</v>
      </c>
      <c r="CUZ7">
        <f t="shared" si="29"/>
        <v>12.5</v>
      </c>
      <c r="CVA7">
        <f t="shared" si="29"/>
        <v>25</v>
      </c>
      <c r="CVB7">
        <f t="shared" si="29"/>
        <v>25</v>
      </c>
      <c r="CVC7">
        <f t="shared" si="29"/>
        <v>25</v>
      </c>
      <c r="CVD7">
        <f t="shared" si="29"/>
        <v>25</v>
      </c>
      <c r="CVE7">
        <f t="shared" si="29"/>
        <v>25</v>
      </c>
      <c r="CVF7">
        <f t="shared" si="29"/>
        <v>25</v>
      </c>
      <c r="CVG7">
        <f t="shared" si="29"/>
        <v>50</v>
      </c>
      <c r="CVH7">
        <f t="shared" si="29"/>
        <v>25</v>
      </c>
      <c r="CVI7">
        <f t="shared" si="29"/>
        <v>0</v>
      </c>
      <c r="CVJ7">
        <f t="shared" si="29"/>
        <v>0</v>
      </c>
      <c r="CVK7">
        <f t="shared" si="29"/>
        <v>0</v>
      </c>
      <c r="CVL7">
        <f t="shared" si="29"/>
        <v>0</v>
      </c>
      <c r="CVM7">
        <f t="shared" si="29"/>
        <v>0</v>
      </c>
      <c r="CVN7">
        <f t="shared" si="29"/>
        <v>0</v>
      </c>
      <c r="CVO7">
        <f t="shared" si="29"/>
        <v>0</v>
      </c>
      <c r="CVP7">
        <f t="shared" si="29"/>
        <v>0</v>
      </c>
      <c r="CVQ7">
        <f t="shared" si="29"/>
        <v>0</v>
      </c>
      <c r="CVR7">
        <f t="shared" si="29"/>
        <v>0</v>
      </c>
      <c r="CVS7">
        <f t="shared" si="29"/>
        <v>0</v>
      </c>
      <c r="CVT7">
        <f t="shared" si="29"/>
        <v>12.5</v>
      </c>
      <c r="CVU7">
        <f t="shared" si="29"/>
        <v>12.5</v>
      </c>
      <c r="CVV7">
        <f t="shared" si="29"/>
        <v>12.5</v>
      </c>
      <c r="CVW7">
        <f t="shared" si="29"/>
        <v>25</v>
      </c>
      <c r="CVX7">
        <f t="shared" si="29"/>
        <v>25</v>
      </c>
      <c r="CVY7">
        <f t="shared" si="29"/>
        <v>25</v>
      </c>
      <c r="CVZ7">
        <f t="shared" si="29"/>
        <v>25</v>
      </c>
      <c r="CWA7">
        <f t="shared" si="30"/>
        <v>25</v>
      </c>
      <c r="CWB7">
        <f t="shared" si="30"/>
        <v>25</v>
      </c>
      <c r="CWC7">
        <f t="shared" si="30"/>
        <v>50</v>
      </c>
      <c r="CWD7">
        <f t="shared" si="30"/>
        <v>25</v>
      </c>
      <c r="CWE7">
        <f t="shared" si="30"/>
        <v>0</v>
      </c>
      <c r="CWF7">
        <f t="shared" si="30"/>
        <v>0</v>
      </c>
      <c r="CWG7">
        <f t="shared" si="30"/>
        <v>0</v>
      </c>
      <c r="CWH7">
        <f t="shared" si="30"/>
        <v>0</v>
      </c>
      <c r="CWI7">
        <f t="shared" si="30"/>
        <v>0</v>
      </c>
      <c r="CWJ7">
        <f t="shared" si="30"/>
        <v>0</v>
      </c>
      <c r="CWK7">
        <f t="shared" si="30"/>
        <v>0</v>
      </c>
      <c r="CWL7">
        <f t="shared" si="30"/>
        <v>0</v>
      </c>
      <c r="CWM7">
        <f t="shared" si="30"/>
        <v>0</v>
      </c>
      <c r="CWN7">
        <f t="shared" si="30"/>
        <v>0</v>
      </c>
      <c r="CWO7">
        <f t="shared" si="30"/>
        <v>0</v>
      </c>
      <c r="CWP7">
        <f t="shared" si="30"/>
        <v>12.5</v>
      </c>
      <c r="CWQ7">
        <f t="shared" si="30"/>
        <v>12.5</v>
      </c>
      <c r="CWR7">
        <f t="shared" si="30"/>
        <v>12.5</v>
      </c>
      <c r="CWS7">
        <f t="shared" si="30"/>
        <v>25</v>
      </c>
      <c r="CWT7">
        <f t="shared" si="30"/>
        <v>25</v>
      </c>
      <c r="CWU7">
        <f t="shared" si="30"/>
        <v>25</v>
      </c>
      <c r="CWV7">
        <f t="shared" si="30"/>
        <v>25</v>
      </c>
      <c r="CWW7">
        <f t="shared" si="30"/>
        <v>25</v>
      </c>
      <c r="CWX7">
        <f t="shared" si="30"/>
        <v>25</v>
      </c>
      <c r="CWY7">
        <f t="shared" si="30"/>
        <v>50</v>
      </c>
      <c r="CWZ7">
        <f t="shared" si="30"/>
        <v>25</v>
      </c>
      <c r="CXA7">
        <f t="shared" si="30"/>
        <v>0</v>
      </c>
      <c r="CXB7">
        <f t="shared" si="30"/>
        <v>0</v>
      </c>
      <c r="CXC7">
        <f t="shared" si="30"/>
        <v>0</v>
      </c>
      <c r="CXD7">
        <f t="shared" si="30"/>
        <v>0</v>
      </c>
      <c r="CXE7">
        <f t="shared" si="30"/>
        <v>0</v>
      </c>
      <c r="CXF7">
        <f t="shared" si="30"/>
        <v>0</v>
      </c>
      <c r="CXG7">
        <f t="shared" si="30"/>
        <v>0</v>
      </c>
      <c r="CXH7">
        <f t="shared" si="30"/>
        <v>0</v>
      </c>
      <c r="CXI7">
        <f t="shared" si="30"/>
        <v>0</v>
      </c>
      <c r="CXJ7">
        <f t="shared" si="30"/>
        <v>0</v>
      </c>
      <c r="CXK7">
        <f t="shared" si="30"/>
        <v>0</v>
      </c>
      <c r="CXL7">
        <f t="shared" si="30"/>
        <v>12.5</v>
      </c>
      <c r="CXM7">
        <f t="shared" si="30"/>
        <v>12.5</v>
      </c>
      <c r="CXN7">
        <f t="shared" si="30"/>
        <v>12.5</v>
      </c>
      <c r="CXO7">
        <f t="shared" si="30"/>
        <v>25</v>
      </c>
      <c r="CXP7">
        <f t="shared" si="30"/>
        <v>25</v>
      </c>
      <c r="CXQ7">
        <f t="shared" si="30"/>
        <v>25</v>
      </c>
      <c r="CXR7">
        <f t="shared" si="30"/>
        <v>25</v>
      </c>
      <c r="CXS7">
        <f t="shared" si="30"/>
        <v>25</v>
      </c>
      <c r="CXT7">
        <f t="shared" si="30"/>
        <v>25</v>
      </c>
      <c r="CXU7">
        <f t="shared" si="30"/>
        <v>50</v>
      </c>
      <c r="CXV7">
        <f t="shared" si="30"/>
        <v>25</v>
      </c>
      <c r="CXW7">
        <f t="shared" si="30"/>
        <v>0</v>
      </c>
      <c r="CXX7">
        <f t="shared" si="30"/>
        <v>0</v>
      </c>
      <c r="CXY7">
        <f t="shared" si="30"/>
        <v>0</v>
      </c>
      <c r="CXZ7">
        <f t="shared" si="30"/>
        <v>0</v>
      </c>
      <c r="CYA7">
        <f t="shared" si="30"/>
        <v>0</v>
      </c>
      <c r="CYB7">
        <f t="shared" si="30"/>
        <v>0</v>
      </c>
      <c r="CYC7">
        <f t="shared" si="30"/>
        <v>0</v>
      </c>
      <c r="CYD7">
        <f t="shared" si="30"/>
        <v>0</v>
      </c>
      <c r="CYE7">
        <f t="shared" si="30"/>
        <v>0</v>
      </c>
      <c r="CYF7">
        <f t="shared" si="30"/>
        <v>0</v>
      </c>
      <c r="CYG7">
        <f t="shared" si="30"/>
        <v>0</v>
      </c>
      <c r="CYH7">
        <f t="shared" si="30"/>
        <v>12.5</v>
      </c>
      <c r="CYI7">
        <f t="shared" si="30"/>
        <v>12.5</v>
      </c>
      <c r="CYJ7">
        <f t="shared" si="30"/>
        <v>12.5</v>
      </c>
      <c r="CYK7">
        <f t="shared" si="30"/>
        <v>25</v>
      </c>
      <c r="CYL7">
        <f t="shared" si="30"/>
        <v>25</v>
      </c>
      <c r="CYM7">
        <f t="shared" si="31"/>
        <v>25</v>
      </c>
      <c r="CYN7">
        <f t="shared" si="31"/>
        <v>25</v>
      </c>
      <c r="CYO7">
        <f t="shared" si="31"/>
        <v>25</v>
      </c>
      <c r="CYP7">
        <f t="shared" si="31"/>
        <v>25</v>
      </c>
      <c r="CYQ7">
        <f t="shared" si="31"/>
        <v>50</v>
      </c>
      <c r="CYR7">
        <f t="shared" si="31"/>
        <v>25</v>
      </c>
      <c r="CYS7">
        <f t="shared" si="31"/>
        <v>0</v>
      </c>
      <c r="CYT7">
        <f t="shared" si="31"/>
        <v>0</v>
      </c>
      <c r="CYU7">
        <f t="shared" si="31"/>
        <v>0</v>
      </c>
      <c r="CYV7">
        <f t="shared" si="31"/>
        <v>0</v>
      </c>
      <c r="CYW7">
        <f t="shared" si="31"/>
        <v>0</v>
      </c>
      <c r="CYX7">
        <f t="shared" si="31"/>
        <v>0</v>
      </c>
      <c r="CYY7">
        <f t="shared" si="31"/>
        <v>0</v>
      </c>
      <c r="CYZ7">
        <f t="shared" si="31"/>
        <v>0</v>
      </c>
      <c r="CZA7">
        <f t="shared" si="31"/>
        <v>0</v>
      </c>
      <c r="CZB7">
        <f t="shared" si="31"/>
        <v>0</v>
      </c>
      <c r="CZC7">
        <f t="shared" si="31"/>
        <v>0</v>
      </c>
      <c r="CZD7">
        <f t="shared" si="31"/>
        <v>12.5</v>
      </c>
      <c r="CZE7">
        <f t="shared" si="31"/>
        <v>12.5</v>
      </c>
      <c r="CZF7">
        <f t="shared" si="31"/>
        <v>12.5</v>
      </c>
      <c r="CZG7">
        <f t="shared" si="31"/>
        <v>25</v>
      </c>
      <c r="CZH7">
        <f t="shared" si="31"/>
        <v>25</v>
      </c>
      <c r="CZI7">
        <f t="shared" si="31"/>
        <v>25</v>
      </c>
      <c r="CZJ7">
        <f t="shared" si="31"/>
        <v>25</v>
      </c>
      <c r="CZK7">
        <f t="shared" si="31"/>
        <v>25</v>
      </c>
      <c r="CZL7">
        <f t="shared" si="31"/>
        <v>25</v>
      </c>
      <c r="CZM7">
        <f t="shared" si="31"/>
        <v>50</v>
      </c>
      <c r="CZN7">
        <f t="shared" si="31"/>
        <v>25</v>
      </c>
      <c r="CZO7">
        <f t="shared" si="31"/>
        <v>0</v>
      </c>
      <c r="CZP7">
        <f t="shared" si="31"/>
        <v>0</v>
      </c>
      <c r="CZQ7">
        <f t="shared" si="31"/>
        <v>0</v>
      </c>
      <c r="CZR7">
        <f t="shared" si="31"/>
        <v>0</v>
      </c>
      <c r="CZS7">
        <f t="shared" si="31"/>
        <v>0</v>
      </c>
      <c r="CZT7">
        <f t="shared" si="31"/>
        <v>0</v>
      </c>
      <c r="CZU7">
        <f t="shared" si="31"/>
        <v>0</v>
      </c>
      <c r="CZV7">
        <f t="shared" si="31"/>
        <v>0</v>
      </c>
      <c r="CZW7">
        <f t="shared" si="31"/>
        <v>0</v>
      </c>
      <c r="CZX7">
        <f t="shared" si="31"/>
        <v>0</v>
      </c>
      <c r="CZY7">
        <f t="shared" si="31"/>
        <v>0</v>
      </c>
      <c r="CZZ7">
        <f t="shared" si="31"/>
        <v>12.5</v>
      </c>
      <c r="DAA7">
        <f t="shared" si="31"/>
        <v>12.5</v>
      </c>
      <c r="DAB7">
        <f t="shared" si="31"/>
        <v>12.5</v>
      </c>
      <c r="DAC7">
        <f t="shared" si="31"/>
        <v>25</v>
      </c>
      <c r="DAD7">
        <f t="shared" si="31"/>
        <v>25</v>
      </c>
      <c r="DAE7">
        <f t="shared" si="31"/>
        <v>25</v>
      </c>
      <c r="DAF7">
        <f t="shared" si="31"/>
        <v>25</v>
      </c>
      <c r="DAG7">
        <f t="shared" si="31"/>
        <v>25</v>
      </c>
      <c r="DAH7">
        <f t="shared" si="31"/>
        <v>25</v>
      </c>
      <c r="DAI7">
        <f t="shared" si="31"/>
        <v>50</v>
      </c>
      <c r="DAJ7">
        <f t="shared" si="31"/>
        <v>25</v>
      </c>
      <c r="DAK7">
        <f t="shared" si="31"/>
        <v>0</v>
      </c>
      <c r="DAL7">
        <f t="shared" si="31"/>
        <v>0</v>
      </c>
      <c r="DAM7">
        <f t="shared" si="31"/>
        <v>0</v>
      </c>
      <c r="DAN7">
        <f t="shared" si="31"/>
        <v>0</v>
      </c>
      <c r="DAO7">
        <f t="shared" si="31"/>
        <v>0</v>
      </c>
      <c r="DAP7">
        <f t="shared" si="31"/>
        <v>0</v>
      </c>
      <c r="DAQ7">
        <f t="shared" si="31"/>
        <v>0</v>
      </c>
      <c r="DAR7">
        <f t="shared" si="31"/>
        <v>0</v>
      </c>
      <c r="DAS7">
        <f t="shared" si="31"/>
        <v>0</v>
      </c>
      <c r="DAT7">
        <f t="shared" si="31"/>
        <v>0</v>
      </c>
      <c r="DAU7">
        <f t="shared" si="31"/>
        <v>0</v>
      </c>
      <c r="DAV7">
        <f t="shared" si="31"/>
        <v>12.5</v>
      </c>
      <c r="DAW7">
        <f t="shared" si="31"/>
        <v>12.5</v>
      </c>
      <c r="DAX7">
        <f t="shared" si="31"/>
        <v>12.5</v>
      </c>
      <c r="DAY7">
        <f t="shared" si="32"/>
        <v>25</v>
      </c>
      <c r="DAZ7">
        <f t="shared" si="32"/>
        <v>25</v>
      </c>
      <c r="DBA7">
        <f t="shared" si="32"/>
        <v>25</v>
      </c>
      <c r="DBB7">
        <f t="shared" si="32"/>
        <v>25</v>
      </c>
      <c r="DBC7">
        <f t="shared" si="32"/>
        <v>25</v>
      </c>
      <c r="DBD7">
        <f t="shared" si="32"/>
        <v>25</v>
      </c>
      <c r="DBE7">
        <f t="shared" si="32"/>
        <v>50</v>
      </c>
      <c r="DBF7">
        <f t="shared" si="32"/>
        <v>25</v>
      </c>
      <c r="DBG7">
        <f t="shared" si="32"/>
        <v>0</v>
      </c>
      <c r="DBH7">
        <f t="shared" si="32"/>
        <v>0</v>
      </c>
      <c r="DBI7">
        <f t="shared" si="32"/>
        <v>0</v>
      </c>
      <c r="DBJ7">
        <f t="shared" si="32"/>
        <v>0</v>
      </c>
      <c r="DBK7">
        <f t="shared" si="32"/>
        <v>0</v>
      </c>
      <c r="DBL7">
        <f t="shared" si="32"/>
        <v>0</v>
      </c>
      <c r="DBM7">
        <f t="shared" si="32"/>
        <v>0</v>
      </c>
      <c r="DBN7">
        <f t="shared" si="32"/>
        <v>0</v>
      </c>
      <c r="DBO7">
        <f t="shared" si="32"/>
        <v>0</v>
      </c>
      <c r="DBP7">
        <f t="shared" si="32"/>
        <v>0</v>
      </c>
      <c r="DBQ7">
        <f t="shared" si="32"/>
        <v>0</v>
      </c>
      <c r="DBR7">
        <f t="shared" si="32"/>
        <v>12.5</v>
      </c>
      <c r="DBS7">
        <f t="shared" si="32"/>
        <v>12.5</v>
      </c>
      <c r="DBT7">
        <f t="shared" si="32"/>
        <v>12.5</v>
      </c>
      <c r="DBU7">
        <f t="shared" si="32"/>
        <v>25</v>
      </c>
      <c r="DBV7">
        <f t="shared" si="32"/>
        <v>25</v>
      </c>
      <c r="DBW7">
        <f t="shared" si="32"/>
        <v>25</v>
      </c>
      <c r="DBX7">
        <f t="shared" si="32"/>
        <v>25</v>
      </c>
      <c r="DBY7">
        <f t="shared" si="32"/>
        <v>25</v>
      </c>
      <c r="DBZ7">
        <f t="shared" si="32"/>
        <v>25</v>
      </c>
      <c r="DCA7">
        <f t="shared" si="32"/>
        <v>50</v>
      </c>
      <c r="DCB7">
        <f t="shared" si="32"/>
        <v>25</v>
      </c>
      <c r="DCC7">
        <f t="shared" si="32"/>
        <v>0</v>
      </c>
      <c r="DCD7">
        <f t="shared" si="32"/>
        <v>0</v>
      </c>
      <c r="DCE7">
        <f t="shared" si="32"/>
        <v>0</v>
      </c>
      <c r="DCF7">
        <f t="shared" si="32"/>
        <v>0</v>
      </c>
      <c r="DCG7">
        <f t="shared" si="32"/>
        <v>0</v>
      </c>
      <c r="DCH7">
        <f t="shared" si="32"/>
        <v>0</v>
      </c>
      <c r="DCI7">
        <f t="shared" si="32"/>
        <v>0</v>
      </c>
      <c r="DCJ7">
        <f t="shared" si="32"/>
        <v>0</v>
      </c>
      <c r="DCK7">
        <f t="shared" si="32"/>
        <v>0</v>
      </c>
      <c r="DCL7">
        <f t="shared" si="32"/>
        <v>0</v>
      </c>
      <c r="DCM7">
        <f t="shared" si="32"/>
        <v>0</v>
      </c>
      <c r="DCN7">
        <f t="shared" si="32"/>
        <v>12.5</v>
      </c>
      <c r="DCO7">
        <f t="shared" si="32"/>
        <v>12.5</v>
      </c>
      <c r="DCP7">
        <f t="shared" si="32"/>
        <v>12.5</v>
      </c>
      <c r="DCQ7">
        <f t="shared" si="32"/>
        <v>25</v>
      </c>
      <c r="DCR7">
        <f t="shared" si="32"/>
        <v>25</v>
      </c>
      <c r="DCS7">
        <f t="shared" si="32"/>
        <v>25</v>
      </c>
      <c r="DCT7">
        <f t="shared" si="32"/>
        <v>25</v>
      </c>
      <c r="DCU7">
        <f t="shared" si="32"/>
        <v>25</v>
      </c>
      <c r="DCV7">
        <f t="shared" si="32"/>
        <v>25</v>
      </c>
      <c r="DCW7">
        <f t="shared" si="32"/>
        <v>50</v>
      </c>
      <c r="DCX7">
        <f t="shared" si="32"/>
        <v>25</v>
      </c>
      <c r="DCY7">
        <f t="shared" si="32"/>
        <v>0</v>
      </c>
      <c r="DCZ7">
        <f t="shared" si="32"/>
        <v>0</v>
      </c>
      <c r="DDA7">
        <f t="shared" si="32"/>
        <v>0</v>
      </c>
      <c r="DDB7">
        <f t="shared" si="32"/>
        <v>0</v>
      </c>
      <c r="DDC7">
        <f t="shared" si="32"/>
        <v>0</v>
      </c>
      <c r="DDD7">
        <f t="shared" si="32"/>
        <v>0</v>
      </c>
      <c r="DDE7">
        <f t="shared" si="32"/>
        <v>0</v>
      </c>
      <c r="DDF7">
        <f t="shared" si="32"/>
        <v>0</v>
      </c>
      <c r="DDG7">
        <f t="shared" si="32"/>
        <v>0</v>
      </c>
      <c r="DDH7">
        <f t="shared" si="32"/>
        <v>0</v>
      </c>
      <c r="DDI7">
        <f t="shared" si="32"/>
        <v>0</v>
      </c>
    </row>
    <row r="8" spans="1:2839" x14ac:dyDescent="0.2">
      <c r="A8" s="1">
        <v>2</v>
      </c>
      <c r="B8">
        <f>'Demand Stage 2'!B7</f>
        <v>12.5</v>
      </c>
      <c r="C8">
        <f>'Demand Stage 2'!C7</f>
        <v>12.5</v>
      </c>
      <c r="D8">
        <f>'Demand Stage 2'!D7</f>
        <v>12.5</v>
      </c>
      <c r="E8">
        <f>'Demand Stage 2'!E7</f>
        <v>25</v>
      </c>
      <c r="F8">
        <f>'Demand Stage 2'!F7</f>
        <v>25</v>
      </c>
      <c r="G8">
        <f>'Demand Stage 2'!G7</f>
        <v>25</v>
      </c>
      <c r="H8">
        <f>'Demand Stage 2'!H7</f>
        <v>25</v>
      </c>
      <c r="I8">
        <f>'Demand Stage 2'!I7</f>
        <v>25</v>
      </c>
      <c r="J8">
        <f>'Demand Stage 2'!J7</f>
        <v>25</v>
      </c>
      <c r="K8">
        <f>'Demand Stage 2'!K7</f>
        <v>50</v>
      </c>
      <c r="L8">
        <f>'Demand Stage 2'!L7</f>
        <v>25</v>
      </c>
      <c r="M8">
        <f>'Demand Stage 2'!M7</f>
        <v>0</v>
      </c>
      <c r="N8">
        <f>'Demand Stage 2'!N7</f>
        <v>0</v>
      </c>
      <c r="O8">
        <f>'Demand Stage 2'!O7</f>
        <v>0</v>
      </c>
      <c r="P8">
        <f>'Demand Stage 2'!P7</f>
        <v>0</v>
      </c>
      <c r="Q8">
        <f>'Demand Stage 2'!Q7</f>
        <v>0</v>
      </c>
      <c r="R8">
        <f>'Demand Stage 2'!R7</f>
        <v>0</v>
      </c>
      <c r="S8">
        <f>'Demand Stage 2'!S7</f>
        <v>0</v>
      </c>
      <c r="T8">
        <f>'Demand Stage 2'!T7</f>
        <v>0</v>
      </c>
      <c r="U8">
        <f>'Demand Stage 2'!U7</f>
        <v>0</v>
      </c>
      <c r="V8">
        <f>'Demand Stage 2'!V7</f>
        <v>0</v>
      </c>
      <c r="W8">
        <f>'Demand Stage 2'!W7</f>
        <v>0</v>
      </c>
      <c r="X8">
        <f>'Demand Stage 2'!X7</f>
        <v>12.5</v>
      </c>
      <c r="Y8">
        <f>'Demand Stage 2'!Y7</f>
        <v>12.5</v>
      </c>
      <c r="Z8">
        <f>'Demand Stage 2'!Z7</f>
        <v>12.5</v>
      </c>
      <c r="AA8">
        <f>'Demand Stage 2'!AA7</f>
        <v>25</v>
      </c>
      <c r="AB8">
        <f>'Demand Stage 2'!AB7</f>
        <v>25</v>
      </c>
      <c r="AC8">
        <f>'Demand Stage 2'!AC7</f>
        <v>25</v>
      </c>
      <c r="AD8">
        <f>'Demand Stage 2'!AD7</f>
        <v>25</v>
      </c>
      <c r="AE8">
        <f>'Demand Stage 2'!AE7</f>
        <v>25</v>
      </c>
      <c r="AF8">
        <f>'Demand Stage 2'!AF7</f>
        <v>25</v>
      </c>
      <c r="AG8">
        <f>'Demand Stage 2'!AG7</f>
        <v>50</v>
      </c>
      <c r="AH8">
        <f>'Demand Stage 2'!AH7</f>
        <v>25</v>
      </c>
      <c r="AI8">
        <f>'Demand Stage 2'!AI7</f>
        <v>0</v>
      </c>
      <c r="AJ8">
        <f>'Demand Stage 2'!AJ7</f>
        <v>0</v>
      </c>
      <c r="AK8">
        <f>'Demand Stage 2'!AK7</f>
        <v>0</v>
      </c>
      <c r="AL8">
        <f>'Demand Stage 2'!AL7</f>
        <v>0</v>
      </c>
      <c r="AM8">
        <f>'Demand Stage 2'!AM7</f>
        <v>0</v>
      </c>
      <c r="AN8">
        <f>'Demand Stage 2'!AN7</f>
        <v>0</v>
      </c>
      <c r="AO8">
        <f>'Demand Stage 2'!AO7</f>
        <v>0</v>
      </c>
      <c r="AP8">
        <f>'Demand Stage 2'!AP7</f>
        <v>0</v>
      </c>
      <c r="AQ8">
        <f>'Demand Stage 2'!AQ7</f>
        <v>0</v>
      </c>
      <c r="AR8">
        <f>'Demand Stage 2'!AR7</f>
        <v>0</v>
      </c>
      <c r="AS8">
        <f>'Demand Stage 2'!AS7</f>
        <v>0</v>
      </c>
      <c r="AT8">
        <f>'Demand Stage 2'!AT7</f>
        <v>12.5</v>
      </c>
      <c r="AU8">
        <f>'Demand Stage 2'!AU7</f>
        <v>12.5</v>
      </c>
      <c r="AV8">
        <f>'Demand Stage 2'!AV7</f>
        <v>12.5</v>
      </c>
      <c r="AW8">
        <f>'Demand Stage 2'!AW7</f>
        <v>25</v>
      </c>
      <c r="AX8">
        <f>'Demand Stage 2'!AX7</f>
        <v>25</v>
      </c>
      <c r="AY8">
        <f>'Demand Stage 2'!AY7</f>
        <v>25</v>
      </c>
      <c r="AZ8">
        <f>'Demand Stage 2'!AZ7</f>
        <v>25</v>
      </c>
      <c r="BA8">
        <f>'Demand Stage 2'!BA7</f>
        <v>25</v>
      </c>
      <c r="BB8">
        <f>'Demand Stage 2'!BB7</f>
        <v>25</v>
      </c>
      <c r="BC8">
        <f>'Demand Stage 2'!BC7</f>
        <v>50</v>
      </c>
      <c r="BD8">
        <f>'Demand Stage 2'!BD7</f>
        <v>25</v>
      </c>
      <c r="BE8">
        <f>'Demand Stage 2'!BE7</f>
        <v>0</v>
      </c>
      <c r="BF8">
        <f>'Demand Stage 2'!BF7</f>
        <v>0</v>
      </c>
      <c r="BG8">
        <f>'Demand Stage 2'!BG7</f>
        <v>0</v>
      </c>
      <c r="BH8">
        <f>'Demand Stage 2'!BH7</f>
        <v>0</v>
      </c>
      <c r="BI8">
        <f>'Demand Stage 2'!BI7</f>
        <v>0</v>
      </c>
      <c r="BJ8">
        <f>'Demand Stage 2'!BJ7</f>
        <v>0</v>
      </c>
      <c r="BK8">
        <f>'Demand Stage 2'!BK7</f>
        <v>0</v>
      </c>
      <c r="BL8">
        <f>'Demand Stage 2'!BL7</f>
        <v>0</v>
      </c>
      <c r="BM8">
        <f>'Demand Stage 2'!BM7</f>
        <v>0</v>
      </c>
      <c r="BN8">
        <f>'Demand Stage 2'!BN7</f>
        <v>0</v>
      </c>
      <c r="BO8">
        <f>'Demand Stage 2'!BO7</f>
        <v>0</v>
      </c>
      <c r="BP8">
        <f>'Demand Stage 2'!BP7</f>
        <v>12.5</v>
      </c>
      <c r="BQ8">
        <f>'Demand Stage 2'!BQ7</f>
        <v>12.5</v>
      </c>
      <c r="BR8">
        <f>'Demand Stage 2'!BR7</f>
        <v>12.5</v>
      </c>
      <c r="BS8">
        <f>'Demand Stage 2'!BS7</f>
        <v>25</v>
      </c>
      <c r="BT8">
        <f>'Demand Stage 2'!BT7</f>
        <v>25</v>
      </c>
      <c r="BU8">
        <f>'Demand Stage 2'!BU7</f>
        <v>25</v>
      </c>
      <c r="BV8">
        <f>'Demand Stage 2'!BV7</f>
        <v>25</v>
      </c>
      <c r="BW8">
        <f>'Demand Stage 2'!BW7</f>
        <v>25</v>
      </c>
      <c r="BX8">
        <f>'Demand Stage 2'!BX7</f>
        <v>25</v>
      </c>
      <c r="BY8">
        <f>'Demand Stage 2'!BY7</f>
        <v>50</v>
      </c>
      <c r="BZ8">
        <f>'Demand Stage 2'!BZ7</f>
        <v>25</v>
      </c>
      <c r="CA8">
        <f>'Demand Stage 2'!CA7</f>
        <v>0</v>
      </c>
      <c r="CB8">
        <f>'Demand Stage 2'!CB7</f>
        <v>0</v>
      </c>
      <c r="CC8">
        <f>'Demand Stage 2'!CC7</f>
        <v>0</v>
      </c>
      <c r="CD8">
        <f>'Demand Stage 2'!CD7</f>
        <v>0</v>
      </c>
      <c r="CE8">
        <f>'Demand Stage 2'!CE7</f>
        <v>0</v>
      </c>
      <c r="CF8">
        <f>'Demand Stage 2'!CF7</f>
        <v>0</v>
      </c>
      <c r="CG8">
        <f>'Demand Stage 2'!CG7</f>
        <v>0</v>
      </c>
      <c r="CH8">
        <f>'Demand Stage 2'!CH7</f>
        <v>0</v>
      </c>
      <c r="CI8">
        <f>'Demand Stage 2'!CI7</f>
        <v>0</v>
      </c>
      <c r="CJ8">
        <f>'Demand Stage 2'!CJ7</f>
        <v>0</v>
      </c>
      <c r="CK8">
        <f>'Demand Stage 2'!CK7</f>
        <v>0</v>
      </c>
      <c r="CL8">
        <f>'Demand Stage 2'!CL7</f>
        <v>12.5</v>
      </c>
      <c r="CM8">
        <f>'Demand Stage 2'!CM7</f>
        <v>12.5</v>
      </c>
      <c r="CN8">
        <f>'Demand Stage 2'!CN7</f>
        <v>12.5</v>
      </c>
      <c r="CO8">
        <f>'Demand Stage 2'!CO7</f>
        <v>25</v>
      </c>
      <c r="CP8">
        <f>'Demand Stage 2'!CP7</f>
        <v>25</v>
      </c>
      <c r="CQ8">
        <f>'Demand Stage 2'!CQ7</f>
        <v>25</v>
      </c>
      <c r="CR8">
        <f>'Demand Stage 2'!CR7</f>
        <v>25</v>
      </c>
      <c r="CS8">
        <f>'Demand Stage 2'!CS7</f>
        <v>25</v>
      </c>
      <c r="CT8">
        <f>'Demand Stage 2'!CT7</f>
        <v>25</v>
      </c>
      <c r="CU8">
        <f>'Demand Stage 2'!CU7</f>
        <v>50</v>
      </c>
      <c r="CV8">
        <f>'Demand Stage 2'!CV7</f>
        <v>25</v>
      </c>
      <c r="CW8">
        <f>'Demand Stage 2'!CW7</f>
        <v>0</v>
      </c>
      <c r="CX8">
        <f>'Demand Stage 2'!CX7</f>
        <v>0</v>
      </c>
      <c r="CY8">
        <f>'Demand Stage 2'!CY7</f>
        <v>0</v>
      </c>
      <c r="CZ8">
        <f>'Demand Stage 2'!CZ7</f>
        <v>0</v>
      </c>
      <c r="DA8">
        <f>'Demand Stage 2'!DA7</f>
        <v>0</v>
      </c>
      <c r="DB8">
        <f>'Demand Stage 2'!DB7</f>
        <v>0</v>
      </c>
      <c r="DC8">
        <f>'Demand Stage 2'!DC7</f>
        <v>0</v>
      </c>
      <c r="DD8">
        <f>'Demand Stage 2'!DD7</f>
        <v>0</v>
      </c>
      <c r="DE8">
        <f>'Demand Stage 2'!DE7</f>
        <v>0</v>
      </c>
      <c r="DF8">
        <f>'Demand Stage 2'!DF7</f>
        <v>0</v>
      </c>
      <c r="DG8">
        <f>'Demand Stage 2'!DG7</f>
        <v>0</v>
      </c>
      <c r="DH8">
        <f>'Demand Stage 2'!DH7</f>
        <v>12.5</v>
      </c>
      <c r="DI8">
        <f>'Demand Stage 2'!DI7</f>
        <v>12.5</v>
      </c>
      <c r="DJ8">
        <f>'Demand Stage 2'!DJ7</f>
        <v>12.5</v>
      </c>
      <c r="DK8">
        <f>'Demand Stage 2'!DK7</f>
        <v>25</v>
      </c>
      <c r="DL8">
        <f>'Demand Stage 2'!DL7</f>
        <v>25</v>
      </c>
      <c r="DM8">
        <f>'Demand Stage 2'!DM7</f>
        <v>25</v>
      </c>
      <c r="DN8">
        <f>'Demand Stage 2'!DN7</f>
        <v>25</v>
      </c>
      <c r="DO8">
        <f>'Demand Stage 2'!DO7</f>
        <v>25</v>
      </c>
      <c r="DP8">
        <f>'Demand Stage 2'!DP7</f>
        <v>25</v>
      </c>
      <c r="DQ8">
        <f>'Demand Stage 2'!DQ7</f>
        <v>50</v>
      </c>
      <c r="DR8">
        <f>'Demand Stage 2'!DR7</f>
        <v>25</v>
      </c>
      <c r="DS8">
        <f>'Demand Stage 2'!DS7</f>
        <v>0</v>
      </c>
      <c r="DT8">
        <f>'Demand Stage 2'!DT7</f>
        <v>0</v>
      </c>
      <c r="DU8">
        <f>'Demand Stage 2'!DU7</f>
        <v>0</v>
      </c>
      <c r="DV8">
        <f>'Demand Stage 2'!DV7</f>
        <v>0</v>
      </c>
      <c r="DW8">
        <f>'Demand Stage 2'!DW7</f>
        <v>0</v>
      </c>
      <c r="DX8">
        <f>'Demand Stage 2'!DX7</f>
        <v>0</v>
      </c>
      <c r="DY8">
        <f>'Demand Stage 2'!DY7</f>
        <v>0</v>
      </c>
      <c r="DZ8">
        <f>'Demand Stage 2'!DZ7</f>
        <v>0</v>
      </c>
      <c r="EA8">
        <f>'Demand Stage 2'!EA7</f>
        <v>0</v>
      </c>
      <c r="EB8">
        <f>'Demand Stage 2'!EB7</f>
        <v>0</v>
      </c>
      <c r="EC8">
        <f>'Demand Stage 2'!EC7</f>
        <v>0</v>
      </c>
      <c r="ED8">
        <f>'Demand Stage 2'!ED7</f>
        <v>12.5</v>
      </c>
      <c r="EE8">
        <f>'Demand Stage 2'!EE7</f>
        <v>12.5</v>
      </c>
      <c r="EF8">
        <f>'Demand Stage 2'!EF7</f>
        <v>12.5</v>
      </c>
      <c r="EG8">
        <f>'Demand Stage 2'!EG7</f>
        <v>25</v>
      </c>
      <c r="EH8">
        <f>'Demand Stage 2'!EH7</f>
        <v>25</v>
      </c>
      <c r="EI8">
        <f>'Demand Stage 2'!EI7</f>
        <v>25</v>
      </c>
      <c r="EJ8">
        <f>'Demand Stage 2'!EJ7</f>
        <v>25</v>
      </c>
      <c r="EK8">
        <f>'Demand Stage 2'!EK7</f>
        <v>25</v>
      </c>
      <c r="EL8">
        <f>'Demand Stage 2'!EL7</f>
        <v>25</v>
      </c>
      <c r="EM8">
        <f>'Demand Stage 2'!EM7</f>
        <v>50</v>
      </c>
      <c r="EN8">
        <f>'Demand Stage 2'!EN7</f>
        <v>25</v>
      </c>
      <c r="EO8">
        <f>'Demand Stage 2'!EO7</f>
        <v>0</v>
      </c>
      <c r="EP8">
        <f>'Demand Stage 2'!EP7</f>
        <v>0</v>
      </c>
      <c r="EQ8">
        <f>'Demand Stage 2'!EQ7</f>
        <v>0</v>
      </c>
      <c r="ER8">
        <f>'Demand Stage 2'!ER7</f>
        <v>0</v>
      </c>
      <c r="ES8">
        <f>'Demand Stage 2'!ES7</f>
        <v>0</v>
      </c>
      <c r="ET8">
        <f>'Demand Stage 2'!ET7</f>
        <v>0</v>
      </c>
      <c r="EU8">
        <f>'Demand Stage 2'!EU7</f>
        <v>0</v>
      </c>
      <c r="EV8">
        <f>'Demand Stage 2'!EV7</f>
        <v>0</v>
      </c>
      <c r="EW8">
        <f>'Demand Stage 2'!EW7</f>
        <v>0</v>
      </c>
      <c r="EX8">
        <f>'Demand Stage 2'!EX7</f>
        <v>0</v>
      </c>
      <c r="EY8">
        <f>'Demand Stage 2'!EY7</f>
        <v>0</v>
      </c>
      <c r="EZ8">
        <f>'Demand Stage 2'!EZ7</f>
        <v>12.5</v>
      </c>
      <c r="FA8">
        <f>'Demand Stage 2'!FA7</f>
        <v>12.5</v>
      </c>
      <c r="FB8">
        <f>'Demand Stage 2'!FB7</f>
        <v>12.5</v>
      </c>
      <c r="FC8">
        <f>'Demand Stage 2'!FC7</f>
        <v>25</v>
      </c>
      <c r="FD8">
        <f>'Demand Stage 2'!FD7</f>
        <v>25</v>
      </c>
      <c r="FE8">
        <f>'Demand Stage 2'!FE7</f>
        <v>25</v>
      </c>
      <c r="FF8">
        <f>'Demand Stage 2'!FF7</f>
        <v>25</v>
      </c>
      <c r="FG8">
        <f>'Demand Stage 2'!FG7</f>
        <v>25</v>
      </c>
      <c r="FH8">
        <f>'Demand Stage 2'!FH7</f>
        <v>25</v>
      </c>
      <c r="FI8">
        <f>'Demand Stage 2'!FI7</f>
        <v>50</v>
      </c>
      <c r="FJ8">
        <f>'Demand Stage 2'!FJ7</f>
        <v>25</v>
      </c>
      <c r="FK8">
        <f>'Demand Stage 2'!FK7</f>
        <v>0</v>
      </c>
      <c r="FL8">
        <f>'Demand Stage 2'!FL7</f>
        <v>0</v>
      </c>
      <c r="FM8">
        <f>'Demand Stage 2'!FM7</f>
        <v>0</v>
      </c>
      <c r="FN8">
        <f>'Demand Stage 2'!FN7</f>
        <v>0</v>
      </c>
      <c r="FO8">
        <f>'Demand Stage 2'!FO7</f>
        <v>0</v>
      </c>
      <c r="FP8">
        <f>'Demand Stage 2'!FP7</f>
        <v>0</v>
      </c>
      <c r="FQ8">
        <f>'Demand Stage 2'!FQ7</f>
        <v>0</v>
      </c>
      <c r="FR8">
        <f>'Demand Stage 2'!FR7</f>
        <v>0</v>
      </c>
      <c r="FS8">
        <f>'Demand Stage 2'!FS7</f>
        <v>0</v>
      </c>
      <c r="FT8">
        <f>'Demand Stage 2'!FT7</f>
        <v>0</v>
      </c>
      <c r="FU8">
        <f>'Demand Stage 2'!FU7</f>
        <v>0</v>
      </c>
      <c r="FV8">
        <f>'Demand Stage 2'!FV7</f>
        <v>12.5</v>
      </c>
      <c r="FW8">
        <f>'Demand Stage 2'!FW7</f>
        <v>12.5</v>
      </c>
      <c r="FX8">
        <f>'Demand Stage 2'!FX7</f>
        <v>12.5</v>
      </c>
      <c r="FY8">
        <f>'Demand Stage 2'!FY7</f>
        <v>25</v>
      </c>
      <c r="FZ8">
        <f>'Demand Stage 2'!FZ7</f>
        <v>25</v>
      </c>
      <c r="GA8">
        <f>'Demand Stage 2'!GA7</f>
        <v>25</v>
      </c>
      <c r="GB8">
        <f>'Demand Stage 2'!GB7</f>
        <v>25</v>
      </c>
      <c r="GC8">
        <f>'Demand Stage 2'!GC7</f>
        <v>25</v>
      </c>
      <c r="GD8">
        <f>'Demand Stage 2'!GD7</f>
        <v>25</v>
      </c>
      <c r="GE8">
        <f>'Demand Stage 2'!GE7</f>
        <v>50</v>
      </c>
      <c r="GF8">
        <f>'Demand Stage 2'!GF7</f>
        <v>25</v>
      </c>
      <c r="GG8">
        <f>'Demand Stage 2'!GG7</f>
        <v>0</v>
      </c>
      <c r="GH8">
        <f>'Demand Stage 2'!GH7</f>
        <v>0</v>
      </c>
      <c r="GI8">
        <f>'Demand Stage 2'!GI7</f>
        <v>0</v>
      </c>
      <c r="GJ8">
        <f>'Demand Stage 2'!GJ7</f>
        <v>0</v>
      </c>
      <c r="GK8">
        <f>'Demand Stage 2'!GK7</f>
        <v>0</v>
      </c>
      <c r="GL8">
        <f>'Demand Stage 2'!GL7</f>
        <v>0</v>
      </c>
      <c r="GM8">
        <f>'Demand Stage 2'!GM7</f>
        <v>0</v>
      </c>
      <c r="GN8">
        <f>'Demand Stage 2'!GN7</f>
        <v>0</v>
      </c>
      <c r="GO8">
        <f>'Demand Stage 2'!GO7</f>
        <v>0</v>
      </c>
      <c r="GP8">
        <f>'Demand Stage 2'!GP7</f>
        <v>0</v>
      </c>
      <c r="GQ8">
        <f>'Demand Stage 2'!GQ7</f>
        <v>0</v>
      </c>
      <c r="GR8">
        <f>'Demand Stage 2'!GR7</f>
        <v>12.5</v>
      </c>
      <c r="GS8">
        <f>'Demand Stage 2'!GS7</f>
        <v>12.5</v>
      </c>
      <c r="GT8">
        <f>'Demand Stage 2'!GT7</f>
        <v>12.5</v>
      </c>
      <c r="GU8">
        <f>'Demand Stage 2'!GU7</f>
        <v>25</v>
      </c>
      <c r="GV8">
        <f>'Demand Stage 2'!GV7</f>
        <v>25</v>
      </c>
      <c r="GW8">
        <f>'Demand Stage 2'!GW7</f>
        <v>25</v>
      </c>
      <c r="GX8">
        <f>'Demand Stage 2'!GX7</f>
        <v>25</v>
      </c>
      <c r="GY8">
        <f>'Demand Stage 2'!GY7</f>
        <v>25</v>
      </c>
      <c r="GZ8">
        <f>'Demand Stage 2'!GZ7</f>
        <v>25</v>
      </c>
      <c r="HA8">
        <f>'Demand Stage 2'!HA7</f>
        <v>50</v>
      </c>
      <c r="HB8">
        <f>'Demand Stage 2'!HB7</f>
        <v>25</v>
      </c>
      <c r="HC8">
        <f>'Demand Stage 2'!HC7</f>
        <v>0</v>
      </c>
      <c r="HD8">
        <f>'Demand Stage 2'!HD7</f>
        <v>0</v>
      </c>
      <c r="HE8">
        <f>'Demand Stage 2'!HE7</f>
        <v>0</v>
      </c>
      <c r="HF8">
        <f>'Demand Stage 2'!HF7</f>
        <v>0</v>
      </c>
      <c r="HG8">
        <f>'Demand Stage 2'!HG7</f>
        <v>0</v>
      </c>
      <c r="HH8">
        <f>'Demand Stage 2'!HH7</f>
        <v>0</v>
      </c>
      <c r="HI8">
        <f>'Demand Stage 2'!HI7</f>
        <v>0</v>
      </c>
      <c r="HJ8">
        <f>'Demand Stage 2'!HJ7</f>
        <v>0</v>
      </c>
      <c r="HK8">
        <f>'Demand Stage 2'!HK7</f>
        <v>0</v>
      </c>
      <c r="HL8">
        <f>'Demand Stage 2'!HL7</f>
        <v>0</v>
      </c>
      <c r="HM8">
        <f>'Demand Stage 2'!HM7</f>
        <v>0</v>
      </c>
      <c r="HN8">
        <f>'Demand Stage 2'!HN7</f>
        <v>12.5</v>
      </c>
      <c r="HO8">
        <f>'Demand Stage 2'!HO7</f>
        <v>12.5</v>
      </c>
      <c r="HP8">
        <f>'Demand Stage 2'!HP7</f>
        <v>12.5</v>
      </c>
      <c r="HQ8">
        <f>'Demand Stage 2'!HQ7</f>
        <v>25</v>
      </c>
      <c r="HR8">
        <f>'Demand Stage 2'!HR7</f>
        <v>25</v>
      </c>
      <c r="HS8">
        <f>'Demand Stage 2'!HS7</f>
        <v>25</v>
      </c>
      <c r="HT8">
        <f>'Demand Stage 2'!HT7</f>
        <v>25</v>
      </c>
      <c r="HU8">
        <f>'Demand Stage 2'!HU7</f>
        <v>25</v>
      </c>
      <c r="HV8">
        <f>'Demand Stage 2'!HV7</f>
        <v>25</v>
      </c>
      <c r="HW8">
        <f>'Demand Stage 2'!HW7</f>
        <v>50</v>
      </c>
      <c r="HX8">
        <f>'Demand Stage 2'!HX7</f>
        <v>25</v>
      </c>
      <c r="HY8">
        <f>'Demand Stage 2'!HY7</f>
        <v>0</v>
      </c>
      <c r="HZ8">
        <f>'Demand Stage 2'!HZ7</f>
        <v>0</v>
      </c>
      <c r="IA8">
        <f>'Demand Stage 2'!IA7</f>
        <v>0</v>
      </c>
      <c r="IB8">
        <f>'Demand Stage 2'!IB7</f>
        <v>0</v>
      </c>
      <c r="IC8">
        <f>'Demand Stage 2'!IC7</f>
        <v>0</v>
      </c>
      <c r="ID8">
        <f>'Demand Stage 2'!ID7</f>
        <v>0</v>
      </c>
      <c r="IE8">
        <f>'Demand Stage 2'!IE7</f>
        <v>0</v>
      </c>
      <c r="IF8">
        <f>'Demand Stage 2'!IF7</f>
        <v>0</v>
      </c>
      <c r="IG8">
        <f>'Demand Stage 2'!IG7</f>
        <v>0</v>
      </c>
      <c r="IH8">
        <f>'Demand Stage 2'!IH7</f>
        <v>0</v>
      </c>
      <c r="II8">
        <f>'Demand Stage 2'!II7</f>
        <v>0</v>
      </c>
      <c r="IJ8">
        <f>'Demand Stage 2'!IJ7</f>
        <v>12.5</v>
      </c>
      <c r="IK8">
        <f>'Demand Stage 2'!IK7</f>
        <v>12.5</v>
      </c>
      <c r="IL8">
        <f>'Demand Stage 2'!IL7</f>
        <v>12.5</v>
      </c>
      <c r="IM8">
        <f>'Demand Stage 2'!IM7</f>
        <v>25</v>
      </c>
      <c r="IN8">
        <f>'Demand Stage 2'!IN7</f>
        <v>25</v>
      </c>
      <c r="IO8">
        <f>'Demand Stage 2'!IO7</f>
        <v>25</v>
      </c>
      <c r="IP8">
        <f>'Demand Stage 2'!IP7</f>
        <v>25</v>
      </c>
      <c r="IQ8">
        <f>'Demand Stage 2'!IQ7</f>
        <v>25</v>
      </c>
      <c r="IR8">
        <f>'Demand Stage 2'!IR7</f>
        <v>25</v>
      </c>
      <c r="IS8">
        <f>'Demand Stage 2'!IS7</f>
        <v>50</v>
      </c>
      <c r="IT8">
        <f>'Demand Stage 2'!IT7</f>
        <v>25</v>
      </c>
      <c r="IU8">
        <f>'Demand Stage 2'!IU7</f>
        <v>0</v>
      </c>
      <c r="IV8">
        <f>'Demand Stage 2'!IV7</f>
        <v>0</v>
      </c>
      <c r="IW8">
        <f>'Demand Stage 2'!IW7</f>
        <v>0</v>
      </c>
      <c r="IX8">
        <f>'Demand Stage 2'!IX7</f>
        <v>0</v>
      </c>
      <c r="IY8">
        <f>'Demand Stage 2'!IY7</f>
        <v>0</v>
      </c>
      <c r="IZ8">
        <f>'Demand Stage 2'!IZ7</f>
        <v>0</v>
      </c>
      <c r="JA8">
        <f>'Demand Stage 2'!JA7</f>
        <v>0</v>
      </c>
      <c r="JB8">
        <f>'Demand Stage 2'!JB7</f>
        <v>0</v>
      </c>
      <c r="JC8">
        <f>'Demand Stage 2'!JC7</f>
        <v>0</v>
      </c>
      <c r="JD8">
        <f>'Demand Stage 2'!JD7</f>
        <v>0</v>
      </c>
      <c r="JE8">
        <f>'Demand Stage 2'!JE7</f>
        <v>0</v>
      </c>
      <c r="JF8">
        <f>'Demand Stage 2'!JF7</f>
        <v>12.5</v>
      </c>
      <c r="JG8">
        <f>'Demand Stage 2'!JG7</f>
        <v>12.5</v>
      </c>
      <c r="JH8">
        <f>'Demand Stage 2'!JH7</f>
        <v>12.5</v>
      </c>
      <c r="JI8">
        <f>'Demand Stage 2'!JI7</f>
        <v>25</v>
      </c>
      <c r="JJ8">
        <f>'Demand Stage 2'!JJ7</f>
        <v>25</v>
      </c>
      <c r="JK8">
        <f>'Demand Stage 2'!JK7</f>
        <v>25</v>
      </c>
      <c r="JL8">
        <f>'Demand Stage 2'!JL7</f>
        <v>25</v>
      </c>
      <c r="JM8">
        <f>'Demand Stage 2'!JM7</f>
        <v>25</v>
      </c>
      <c r="JN8">
        <f>'Demand Stage 2'!JN7</f>
        <v>25</v>
      </c>
      <c r="JO8">
        <f>'Demand Stage 2'!JO7</f>
        <v>50</v>
      </c>
      <c r="JP8">
        <f>'Demand Stage 2'!JP7</f>
        <v>25</v>
      </c>
      <c r="JQ8">
        <f>'Demand Stage 2'!JQ7</f>
        <v>0</v>
      </c>
      <c r="JR8">
        <f>'Demand Stage 2'!JR7</f>
        <v>0</v>
      </c>
      <c r="JS8">
        <f>'Demand Stage 2'!JS7</f>
        <v>0</v>
      </c>
      <c r="JT8">
        <f>'Demand Stage 2'!JT7</f>
        <v>0</v>
      </c>
      <c r="JU8">
        <f>'Demand Stage 2'!JU7</f>
        <v>0</v>
      </c>
      <c r="JV8">
        <f>'Demand Stage 2'!JV7</f>
        <v>0</v>
      </c>
      <c r="JW8">
        <f>'Demand Stage 2'!JW7</f>
        <v>0</v>
      </c>
      <c r="JX8">
        <f>'Demand Stage 2'!JX7</f>
        <v>0</v>
      </c>
      <c r="JY8">
        <f>'Demand Stage 2'!JY7</f>
        <v>0</v>
      </c>
      <c r="JZ8">
        <f>'Demand Stage 2'!JZ7</f>
        <v>0</v>
      </c>
      <c r="KA8">
        <f>'Demand Stage 2'!KA7</f>
        <v>0</v>
      </c>
      <c r="KB8">
        <f>'Demand Stage 2'!KB7</f>
        <v>12.5</v>
      </c>
      <c r="KC8">
        <f>'Demand Stage 2'!KC7</f>
        <v>12.5</v>
      </c>
      <c r="KD8">
        <f>'Demand Stage 2'!KD7</f>
        <v>12.5</v>
      </c>
      <c r="KE8">
        <f>'Demand Stage 2'!KE7</f>
        <v>25</v>
      </c>
      <c r="KF8">
        <f>'Demand Stage 2'!KF7</f>
        <v>25</v>
      </c>
      <c r="KG8">
        <f>'Demand Stage 2'!KG7</f>
        <v>25</v>
      </c>
      <c r="KH8">
        <f>'Demand Stage 2'!KH7</f>
        <v>25</v>
      </c>
      <c r="KI8">
        <f>'Demand Stage 2'!KI7</f>
        <v>25</v>
      </c>
      <c r="KJ8">
        <f>'Demand Stage 2'!KJ7</f>
        <v>25</v>
      </c>
      <c r="KK8">
        <f>'Demand Stage 2'!KK7</f>
        <v>50</v>
      </c>
      <c r="KL8">
        <f>'Demand Stage 2'!KL7</f>
        <v>25</v>
      </c>
      <c r="KM8">
        <f>'Demand Stage 2'!KM7</f>
        <v>0</v>
      </c>
      <c r="KN8">
        <f>'Demand Stage 2'!KN7</f>
        <v>0</v>
      </c>
      <c r="KO8">
        <f>'Demand Stage 2'!KO7</f>
        <v>0</v>
      </c>
      <c r="KP8">
        <f>'Demand Stage 2'!KP7</f>
        <v>0</v>
      </c>
      <c r="KQ8">
        <f>'Demand Stage 2'!KQ7</f>
        <v>0</v>
      </c>
      <c r="KR8">
        <f>'Demand Stage 2'!KR7</f>
        <v>0</v>
      </c>
      <c r="KS8">
        <f>'Demand Stage 2'!KS7</f>
        <v>0</v>
      </c>
      <c r="KT8">
        <f>'Demand Stage 2'!KT7</f>
        <v>0</v>
      </c>
      <c r="KU8">
        <f>'Demand Stage 2'!KU7</f>
        <v>0</v>
      </c>
      <c r="KV8">
        <f>'Demand Stage 2'!KV7</f>
        <v>0</v>
      </c>
      <c r="KW8">
        <f>'Demand Stage 2'!KW7</f>
        <v>0</v>
      </c>
      <c r="KX8">
        <f>'Demand Stage 2'!KX7</f>
        <v>12.5</v>
      </c>
      <c r="KY8">
        <f>'Demand Stage 2'!KY7</f>
        <v>12.5</v>
      </c>
      <c r="KZ8">
        <f>'Demand Stage 2'!KZ7</f>
        <v>12.5</v>
      </c>
      <c r="LA8">
        <f>'Demand Stage 2'!LA7</f>
        <v>25</v>
      </c>
      <c r="LB8">
        <f>'Demand Stage 2'!LB7</f>
        <v>25</v>
      </c>
      <c r="LC8">
        <f>'Demand Stage 2'!LC7</f>
        <v>25</v>
      </c>
      <c r="LD8">
        <f>'Demand Stage 2'!LD7</f>
        <v>25</v>
      </c>
      <c r="LE8">
        <f>'Demand Stage 2'!LE7</f>
        <v>25</v>
      </c>
      <c r="LF8">
        <f>'Demand Stage 2'!LF7</f>
        <v>25</v>
      </c>
      <c r="LG8">
        <f>'Demand Stage 2'!LG7</f>
        <v>50</v>
      </c>
      <c r="LH8">
        <f>'Demand Stage 2'!LH7</f>
        <v>25</v>
      </c>
      <c r="LI8">
        <f>'Demand Stage 2'!LI7</f>
        <v>0</v>
      </c>
      <c r="LJ8">
        <f>'Demand Stage 2'!LJ7</f>
        <v>0</v>
      </c>
      <c r="LK8">
        <f>'Demand Stage 2'!LK7</f>
        <v>0</v>
      </c>
      <c r="LL8">
        <f>'Demand Stage 2'!LL7</f>
        <v>0</v>
      </c>
      <c r="LM8">
        <f>'Demand Stage 2'!LM7</f>
        <v>0</v>
      </c>
      <c r="LN8">
        <f>'Demand Stage 2'!LN7</f>
        <v>0</v>
      </c>
      <c r="LO8">
        <f>'Demand Stage 2'!LO7</f>
        <v>0</v>
      </c>
      <c r="LP8">
        <f>'Demand Stage 2'!LP7</f>
        <v>0</v>
      </c>
      <c r="LQ8">
        <f>'Demand Stage 2'!LQ7</f>
        <v>0</v>
      </c>
      <c r="LR8">
        <f>'Demand Stage 2'!LR7</f>
        <v>0</v>
      </c>
      <c r="LS8">
        <f>'Demand Stage 2'!LS7</f>
        <v>0</v>
      </c>
      <c r="LT8">
        <f>'Demand Stage 2'!LT7</f>
        <v>12.5</v>
      </c>
      <c r="LU8">
        <f>'Demand Stage 2'!LU7</f>
        <v>12.5</v>
      </c>
      <c r="LV8">
        <f>'Demand Stage 2'!LV7</f>
        <v>12.5</v>
      </c>
      <c r="LW8">
        <f>'Demand Stage 2'!LW7</f>
        <v>25</v>
      </c>
      <c r="LX8">
        <f>'Demand Stage 2'!LX7</f>
        <v>25</v>
      </c>
      <c r="LY8">
        <f>'Demand Stage 2'!LY7</f>
        <v>25</v>
      </c>
      <c r="LZ8">
        <f>'Demand Stage 2'!LZ7</f>
        <v>25</v>
      </c>
      <c r="MA8">
        <f>'Demand Stage 2'!MA7</f>
        <v>25</v>
      </c>
      <c r="MB8">
        <f>'Demand Stage 2'!MB7</f>
        <v>25</v>
      </c>
      <c r="MC8">
        <f>'Demand Stage 2'!MC7</f>
        <v>50</v>
      </c>
      <c r="MD8">
        <f>'Demand Stage 2'!MD7</f>
        <v>25</v>
      </c>
      <c r="ME8">
        <f>'Demand Stage 2'!ME7</f>
        <v>0</v>
      </c>
      <c r="MF8">
        <f>'Demand Stage 2'!MF7</f>
        <v>0</v>
      </c>
      <c r="MG8">
        <f>'Demand Stage 2'!MG7</f>
        <v>0</v>
      </c>
      <c r="MH8">
        <f>'Demand Stage 2'!MH7</f>
        <v>0</v>
      </c>
      <c r="MI8">
        <f>'Demand Stage 2'!MI7</f>
        <v>0</v>
      </c>
      <c r="MJ8">
        <f>'Demand Stage 2'!MJ7</f>
        <v>0</v>
      </c>
      <c r="MK8">
        <f>'Demand Stage 2'!MK7</f>
        <v>0</v>
      </c>
      <c r="ML8">
        <f>'Demand Stage 2'!ML7</f>
        <v>0</v>
      </c>
      <c r="MM8">
        <f>'Demand Stage 2'!MM7</f>
        <v>0</v>
      </c>
      <c r="MN8">
        <f>'Demand Stage 2'!MN7</f>
        <v>0</v>
      </c>
      <c r="MO8">
        <f>'Demand Stage 2'!MO7</f>
        <v>0</v>
      </c>
      <c r="MP8">
        <f>'Demand Stage 2'!MP7</f>
        <v>12.5</v>
      </c>
      <c r="MQ8">
        <f>'Demand Stage 2'!MQ7</f>
        <v>12.5</v>
      </c>
      <c r="MR8">
        <f>'Demand Stage 2'!MR7</f>
        <v>12.5</v>
      </c>
      <c r="MS8">
        <f>'Demand Stage 2'!MS7</f>
        <v>25</v>
      </c>
      <c r="MT8">
        <f>'Demand Stage 2'!MT7</f>
        <v>25</v>
      </c>
      <c r="MU8">
        <f>'Demand Stage 2'!MU7</f>
        <v>25</v>
      </c>
      <c r="MV8">
        <f>'Demand Stage 2'!MV7</f>
        <v>25</v>
      </c>
      <c r="MW8">
        <f>'Demand Stage 2'!MW7</f>
        <v>25</v>
      </c>
      <c r="MX8">
        <f>'Demand Stage 2'!MX7</f>
        <v>25</v>
      </c>
      <c r="MY8">
        <f>'Demand Stage 2'!MY7</f>
        <v>50</v>
      </c>
      <c r="MZ8">
        <f>'Demand Stage 2'!MZ7</f>
        <v>25</v>
      </c>
      <c r="NA8">
        <f>'Demand Stage 2'!NA7</f>
        <v>0</v>
      </c>
      <c r="NB8">
        <f>'Demand Stage 2'!NB7</f>
        <v>0</v>
      </c>
      <c r="NC8">
        <f>'Demand Stage 2'!NC7</f>
        <v>0</v>
      </c>
      <c r="ND8">
        <f>'Demand Stage 2'!ND7</f>
        <v>0</v>
      </c>
      <c r="NE8">
        <f>'Demand Stage 2'!NE7</f>
        <v>0</v>
      </c>
      <c r="NF8">
        <f>'Demand Stage 2'!NF7</f>
        <v>0</v>
      </c>
      <c r="NG8">
        <f>'Demand Stage 2'!NG7</f>
        <v>0</v>
      </c>
      <c r="NH8">
        <f>'Demand Stage 2'!NH7</f>
        <v>0</v>
      </c>
      <c r="NI8">
        <f>'Demand Stage 2'!NI7</f>
        <v>0</v>
      </c>
      <c r="NJ8">
        <f>'Demand Stage 2'!NJ7</f>
        <v>0</v>
      </c>
      <c r="NK8">
        <f>'Demand Stage 2'!NK7</f>
        <v>0</v>
      </c>
      <c r="NL8">
        <f>'Demand Stage 2'!NL7</f>
        <v>12.5</v>
      </c>
      <c r="NM8">
        <f>'Demand Stage 2'!NM7</f>
        <v>12.5</v>
      </c>
      <c r="NN8">
        <f>'Demand Stage 2'!NN7</f>
        <v>12.5</v>
      </c>
      <c r="NO8">
        <f>'Demand Stage 2'!NO7</f>
        <v>25</v>
      </c>
      <c r="NP8">
        <f>'Demand Stage 2'!NP7</f>
        <v>25</v>
      </c>
      <c r="NQ8">
        <f>'Demand Stage 2'!NQ7</f>
        <v>25</v>
      </c>
      <c r="NR8">
        <f>'Demand Stage 2'!NR7</f>
        <v>25</v>
      </c>
      <c r="NS8">
        <f>'Demand Stage 2'!NS7</f>
        <v>25</v>
      </c>
      <c r="NT8">
        <f>'Demand Stage 2'!NT7</f>
        <v>25</v>
      </c>
      <c r="NU8">
        <f>'Demand Stage 2'!NU7</f>
        <v>50</v>
      </c>
      <c r="NV8">
        <f>'Demand Stage 2'!NV7</f>
        <v>25</v>
      </c>
      <c r="NW8">
        <f>'Demand Stage 2'!NW7</f>
        <v>0</v>
      </c>
      <c r="NX8">
        <f>'Demand Stage 2'!NX7</f>
        <v>0</v>
      </c>
      <c r="NY8">
        <f>'Demand Stage 2'!NY7</f>
        <v>0</v>
      </c>
      <c r="NZ8">
        <f>'Demand Stage 2'!NZ7</f>
        <v>0</v>
      </c>
      <c r="OA8">
        <f>'Demand Stage 2'!OA7</f>
        <v>0</v>
      </c>
      <c r="OB8">
        <f>'Demand Stage 2'!OB7</f>
        <v>0</v>
      </c>
      <c r="OC8">
        <f>'Demand Stage 2'!OC7</f>
        <v>0</v>
      </c>
      <c r="OD8">
        <f>'Demand Stage 2'!OD7</f>
        <v>0</v>
      </c>
      <c r="OE8">
        <f>'Demand Stage 2'!OE7</f>
        <v>0</v>
      </c>
      <c r="OF8">
        <f>'Demand Stage 2'!OF7</f>
        <v>0</v>
      </c>
      <c r="OG8">
        <f>'Demand Stage 2'!OG7</f>
        <v>0</v>
      </c>
      <c r="OH8">
        <f>'Demand Stage 2'!OH7</f>
        <v>12.5</v>
      </c>
      <c r="OI8">
        <f>'Demand Stage 2'!OI7</f>
        <v>12.5</v>
      </c>
      <c r="OJ8">
        <f>'Demand Stage 2'!OJ7</f>
        <v>12.5</v>
      </c>
      <c r="OK8">
        <f>'Demand Stage 2'!OK7</f>
        <v>25</v>
      </c>
      <c r="OL8">
        <f>'Demand Stage 2'!OL7</f>
        <v>25</v>
      </c>
      <c r="OM8">
        <f>'Demand Stage 2'!OM7</f>
        <v>25</v>
      </c>
      <c r="ON8">
        <f>'Demand Stage 2'!ON7</f>
        <v>25</v>
      </c>
      <c r="OO8">
        <f>'Demand Stage 2'!OO7</f>
        <v>25</v>
      </c>
      <c r="OP8">
        <f>'Demand Stage 2'!OP7</f>
        <v>25</v>
      </c>
      <c r="OQ8">
        <f>'Demand Stage 2'!OQ7</f>
        <v>50</v>
      </c>
      <c r="OR8">
        <f>'Demand Stage 2'!OR7</f>
        <v>25</v>
      </c>
      <c r="OS8">
        <f>'Demand Stage 2'!OS7</f>
        <v>0</v>
      </c>
      <c r="OT8">
        <f>'Demand Stage 2'!OT7</f>
        <v>0</v>
      </c>
      <c r="OU8">
        <f>'Demand Stage 2'!OU7</f>
        <v>0</v>
      </c>
      <c r="OV8">
        <f>'Demand Stage 2'!OV7</f>
        <v>0</v>
      </c>
      <c r="OW8">
        <f>'Demand Stage 2'!OW7</f>
        <v>0</v>
      </c>
      <c r="OX8">
        <f>'Demand Stage 2'!OX7</f>
        <v>0</v>
      </c>
      <c r="OY8">
        <f>'Demand Stage 2'!OY7</f>
        <v>0</v>
      </c>
      <c r="OZ8">
        <f>'Demand Stage 2'!OZ7</f>
        <v>0</v>
      </c>
      <c r="PA8">
        <f>'Demand Stage 2'!PA7</f>
        <v>0</v>
      </c>
      <c r="PB8">
        <f>'Demand Stage 2'!PB7</f>
        <v>0</v>
      </c>
      <c r="PC8">
        <f>'Demand Stage 2'!PC7</f>
        <v>0</v>
      </c>
      <c r="PD8">
        <f>'Demand Stage 2'!PD7</f>
        <v>12.5</v>
      </c>
      <c r="PE8">
        <f>'Demand Stage 2'!PE7</f>
        <v>12.5</v>
      </c>
      <c r="PF8">
        <f>'Demand Stage 2'!PF7</f>
        <v>12.5</v>
      </c>
      <c r="PG8">
        <f>'Demand Stage 2'!PG7</f>
        <v>25</v>
      </c>
      <c r="PH8">
        <f>'Demand Stage 2'!PH7</f>
        <v>25</v>
      </c>
      <c r="PI8">
        <f>'Demand Stage 2'!PI7</f>
        <v>25</v>
      </c>
      <c r="PJ8">
        <f>'Demand Stage 2'!PJ7</f>
        <v>25</v>
      </c>
      <c r="PK8">
        <f>'Demand Stage 2'!PK7</f>
        <v>25</v>
      </c>
      <c r="PL8">
        <f>'Demand Stage 2'!PL7</f>
        <v>25</v>
      </c>
      <c r="PM8">
        <f>'Demand Stage 2'!PM7</f>
        <v>50</v>
      </c>
      <c r="PN8">
        <f>'Demand Stage 2'!PN7</f>
        <v>25</v>
      </c>
      <c r="PO8">
        <f>'Demand Stage 2'!PO7</f>
        <v>0</v>
      </c>
      <c r="PP8">
        <f>'Demand Stage 2'!PP7</f>
        <v>0</v>
      </c>
      <c r="PQ8">
        <f>'Demand Stage 2'!PQ7</f>
        <v>0</v>
      </c>
      <c r="PR8">
        <f>'Demand Stage 2'!PR7</f>
        <v>0</v>
      </c>
      <c r="PS8">
        <f>'Demand Stage 2'!PS7</f>
        <v>0</v>
      </c>
      <c r="PT8">
        <f>'Demand Stage 2'!PT7</f>
        <v>0</v>
      </c>
      <c r="PU8">
        <f>'Demand Stage 2'!PU7</f>
        <v>0</v>
      </c>
      <c r="PV8">
        <f>'Demand Stage 2'!PV7</f>
        <v>0</v>
      </c>
      <c r="PW8">
        <f>'Demand Stage 2'!PW7</f>
        <v>0</v>
      </c>
      <c r="PX8">
        <f>'Demand Stage 2'!PX7</f>
        <v>0</v>
      </c>
      <c r="PY8">
        <f>'Demand Stage 2'!PY7</f>
        <v>0</v>
      </c>
      <c r="PZ8">
        <f>'Demand Stage 2'!PZ7</f>
        <v>12.5</v>
      </c>
      <c r="QA8">
        <f>'Demand Stage 2'!QA7</f>
        <v>12.5</v>
      </c>
      <c r="QB8">
        <f>'Demand Stage 2'!QB7</f>
        <v>12.5</v>
      </c>
      <c r="QC8">
        <f>'Demand Stage 2'!QC7</f>
        <v>25</v>
      </c>
      <c r="QD8">
        <f>'Demand Stage 2'!QD7</f>
        <v>25</v>
      </c>
      <c r="QE8">
        <f>'Demand Stage 2'!QE7</f>
        <v>25</v>
      </c>
      <c r="QF8">
        <f>'Demand Stage 2'!QF7</f>
        <v>25</v>
      </c>
      <c r="QG8">
        <f>'Demand Stage 2'!QG7</f>
        <v>25</v>
      </c>
      <c r="QH8">
        <f>'Demand Stage 2'!QH7</f>
        <v>25</v>
      </c>
      <c r="QI8">
        <f>'Demand Stage 2'!QI7</f>
        <v>50</v>
      </c>
      <c r="QJ8">
        <f>'Demand Stage 2'!QJ7</f>
        <v>25</v>
      </c>
      <c r="QK8">
        <f>'Demand Stage 2'!QK7</f>
        <v>0</v>
      </c>
      <c r="QL8">
        <f>'Demand Stage 2'!QL7</f>
        <v>0</v>
      </c>
      <c r="QM8">
        <f>'Demand Stage 2'!QM7</f>
        <v>0</v>
      </c>
      <c r="QN8">
        <f>'Demand Stage 2'!QN7</f>
        <v>0</v>
      </c>
      <c r="QO8">
        <f>'Demand Stage 2'!QO7</f>
        <v>0</v>
      </c>
      <c r="QP8">
        <f>'Demand Stage 2'!QP7</f>
        <v>0</v>
      </c>
      <c r="QQ8">
        <f>'Demand Stage 2'!QQ7</f>
        <v>0</v>
      </c>
      <c r="QR8">
        <f>'Demand Stage 2'!QR7</f>
        <v>0</v>
      </c>
      <c r="QS8">
        <f>'Demand Stage 2'!QS7</f>
        <v>0</v>
      </c>
      <c r="QT8">
        <f>'Demand Stage 2'!QT7</f>
        <v>0</v>
      </c>
      <c r="QU8">
        <f>'Demand Stage 2'!QU7</f>
        <v>0</v>
      </c>
      <c r="QV8">
        <f>'Demand Stage 2'!QV7</f>
        <v>12.5</v>
      </c>
      <c r="QW8">
        <f>'Demand Stage 2'!QW7</f>
        <v>12.5</v>
      </c>
      <c r="QX8">
        <f>'Demand Stage 2'!QX7</f>
        <v>12.5</v>
      </c>
      <c r="QY8">
        <f>'Demand Stage 2'!QY7</f>
        <v>25</v>
      </c>
      <c r="QZ8">
        <f>'Demand Stage 2'!QZ7</f>
        <v>25</v>
      </c>
      <c r="RA8">
        <f>'Demand Stage 2'!RA7</f>
        <v>25</v>
      </c>
      <c r="RB8">
        <f>'Demand Stage 2'!RB7</f>
        <v>25</v>
      </c>
      <c r="RC8">
        <f>'Demand Stage 2'!RC7</f>
        <v>25</v>
      </c>
      <c r="RD8">
        <f>'Demand Stage 2'!RD7</f>
        <v>25</v>
      </c>
      <c r="RE8">
        <f>'Demand Stage 2'!RE7</f>
        <v>50</v>
      </c>
      <c r="RF8">
        <f>'Demand Stage 2'!RF7</f>
        <v>25</v>
      </c>
      <c r="RG8">
        <f>'Demand Stage 2'!RG7</f>
        <v>0</v>
      </c>
      <c r="RH8">
        <f>'Demand Stage 2'!RH7</f>
        <v>0</v>
      </c>
      <c r="RI8">
        <f>'Demand Stage 2'!RI7</f>
        <v>0</v>
      </c>
      <c r="RJ8">
        <f>'Demand Stage 2'!RJ7</f>
        <v>0</v>
      </c>
      <c r="RK8">
        <f>'Demand Stage 2'!RK7</f>
        <v>0</v>
      </c>
      <c r="RL8">
        <f>'Demand Stage 2'!RL7</f>
        <v>0</v>
      </c>
      <c r="RM8">
        <f>'Demand Stage 2'!RM7</f>
        <v>0</v>
      </c>
      <c r="RN8">
        <f>'Demand Stage 2'!RN7</f>
        <v>0</v>
      </c>
      <c r="RO8">
        <f>'Demand Stage 2'!RO7</f>
        <v>0</v>
      </c>
      <c r="RP8">
        <f>'Demand Stage 2'!RP7</f>
        <v>0</v>
      </c>
      <c r="RQ8">
        <f>'Demand Stage 2'!RQ7</f>
        <v>0</v>
      </c>
      <c r="RR8">
        <f>'Demand Stage 2'!RR7</f>
        <v>12.5</v>
      </c>
      <c r="RS8">
        <f>'Demand Stage 2'!RS7</f>
        <v>12.5</v>
      </c>
      <c r="RT8">
        <f>'Demand Stage 2'!RT7</f>
        <v>12.5</v>
      </c>
      <c r="RU8">
        <f>'Demand Stage 2'!RU7</f>
        <v>25</v>
      </c>
      <c r="RV8">
        <f>'Demand Stage 2'!RV7</f>
        <v>25</v>
      </c>
      <c r="RW8">
        <f>'Demand Stage 2'!RW7</f>
        <v>25</v>
      </c>
      <c r="RX8">
        <f>'Demand Stage 2'!RX7</f>
        <v>25</v>
      </c>
      <c r="RY8">
        <f>'Demand Stage 2'!RY7</f>
        <v>25</v>
      </c>
      <c r="RZ8">
        <f>'Demand Stage 2'!RZ7</f>
        <v>25</v>
      </c>
      <c r="SA8">
        <f>'Demand Stage 2'!SA7</f>
        <v>50</v>
      </c>
      <c r="SB8">
        <f>'Demand Stage 2'!SB7</f>
        <v>25</v>
      </c>
      <c r="SC8">
        <f>'Demand Stage 2'!SC7</f>
        <v>0</v>
      </c>
      <c r="SD8">
        <f>'Demand Stage 2'!SD7</f>
        <v>0</v>
      </c>
      <c r="SE8">
        <f>'Demand Stage 2'!SE7</f>
        <v>0</v>
      </c>
      <c r="SF8">
        <f>'Demand Stage 2'!SF7</f>
        <v>0</v>
      </c>
      <c r="SG8">
        <f>'Demand Stage 2'!SG7</f>
        <v>0</v>
      </c>
      <c r="SH8">
        <f>'Demand Stage 2'!SH7</f>
        <v>0</v>
      </c>
      <c r="SI8">
        <f>'Demand Stage 2'!SI7</f>
        <v>0</v>
      </c>
      <c r="SJ8">
        <f>'Demand Stage 2'!SJ7</f>
        <v>0</v>
      </c>
      <c r="SK8">
        <f>'Demand Stage 2'!SK7</f>
        <v>0</v>
      </c>
      <c r="SL8">
        <f>'Demand Stage 2'!SL7</f>
        <v>0</v>
      </c>
      <c r="SM8">
        <f>'Demand Stage 2'!SM7</f>
        <v>0</v>
      </c>
      <c r="SN8">
        <f>'Demand Stage 2'!SN7</f>
        <v>12.5</v>
      </c>
      <c r="SO8">
        <f>'Demand Stage 2'!SO7</f>
        <v>12.5</v>
      </c>
      <c r="SP8">
        <f>'Demand Stage 2'!SP7</f>
        <v>12.5</v>
      </c>
      <c r="SQ8">
        <f>'Demand Stage 2'!SQ7</f>
        <v>25</v>
      </c>
      <c r="SR8">
        <f>'Demand Stage 2'!SR7</f>
        <v>25</v>
      </c>
      <c r="SS8">
        <f>'Demand Stage 2'!SS7</f>
        <v>25</v>
      </c>
      <c r="ST8">
        <f>'Demand Stage 2'!ST7</f>
        <v>25</v>
      </c>
      <c r="SU8">
        <f>'Demand Stage 2'!SU7</f>
        <v>25</v>
      </c>
      <c r="SV8">
        <f>'Demand Stage 2'!SV7</f>
        <v>25</v>
      </c>
      <c r="SW8">
        <f>'Demand Stage 2'!SW7</f>
        <v>50</v>
      </c>
      <c r="SX8">
        <f>'Demand Stage 2'!SX7</f>
        <v>25</v>
      </c>
      <c r="SY8">
        <f>'Demand Stage 2'!SY7</f>
        <v>0</v>
      </c>
      <c r="SZ8">
        <f>'Demand Stage 2'!SZ7</f>
        <v>0</v>
      </c>
      <c r="TA8">
        <f>'Demand Stage 2'!TA7</f>
        <v>0</v>
      </c>
      <c r="TB8">
        <f>'Demand Stage 2'!TB7</f>
        <v>0</v>
      </c>
      <c r="TC8">
        <f>'Demand Stage 2'!TC7</f>
        <v>0</v>
      </c>
      <c r="TD8">
        <f>'Demand Stage 2'!TD7</f>
        <v>0</v>
      </c>
      <c r="TE8">
        <f>'Demand Stage 2'!TE7</f>
        <v>0</v>
      </c>
      <c r="TF8">
        <f>'Demand Stage 2'!TF7</f>
        <v>0</v>
      </c>
      <c r="TG8">
        <f>'Demand Stage 2'!TG7</f>
        <v>0</v>
      </c>
      <c r="TH8">
        <f>'Demand Stage 2'!TH7</f>
        <v>0</v>
      </c>
      <c r="TI8">
        <f>'Demand Stage 2'!TI7</f>
        <v>0</v>
      </c>
      <c r="TJ8">
        <f>'Demand Stage 2'!TJ7</f>
        <v>12.5</v>
      </c>
      <c r="TK8">
        <f>'Demand Stage 2'!TK7</f>
        <v>12.5</v>
      </c>
      <c r="TL8">
        <f>'Demand Stage 2'!TL7</f>
        <v>12.5</v>
      </c>
      <c r="TM8">
        <f>'Demand Stage 2'!TM7</f>
        <v>25</v>
      </c>
      <c r="TN8">
        <f>'Demand Stage 2'!TN7</f>
        <v>25</v>
      </c>
      <c r="TO8">
        <f>'Demand Stage 2'!TO7</f>
        <v>25</v>
      </c>
      <c r="TP8">
        <f>'Demand Stage 2'!TP7</f>
        <v>25</v>
      </c>
      <c r="TQ8">
        <f>'Demand Stage 2'!TQ7</f>
        <v>25</v>
      </c>
      <c r="TR8">
        <f>'Demand Stage 2'!TR7</f>
        <v>25</v>
      </c>
      <c r="TS8">
        <f>'Demand Stage 2'!TS7</f>
        <v>50</v>
      </c>
      <c r="TT8">
        <f>'Demand Stage 2'!TT7</f>
        <v>25</v>
      </c>
      <c r="TU8">
        <f>'Demand Stage 2'!TU7</f>
        <v>0</v>
      </c>
      <c r="TV8">
        <f>'Demand Stage 2'!TV7</f>
        <v>0</v>
      </c>
      <c r="TW8">
        <f>'Demand Stage 2'!TW7</f>
        <v>0</v>
      </c>
      <c r="TX8">
        <f>'Demand Stage 2'!TX7</f>
        <v>0</v>
      </c>
      <c r="TY8">
        <f>'Demand Stage 2'!TY7</f>
        <v>0</v>
      </c>
      <c r="TZ8">
        <f>'Demand Stage 2'!TZ7</f>
        <v>0</v>
      </c>
      <c r="UA8">
        <f>'Demand Stage 2'!UA7</f>
        <v>0</v>
      </c>
      <c r="UB8">
        <f>'Demand Stage 2'!UB7</f>
        <v>0</v>
      </c>
      <c r="UC8">
        <f>'Demand Stage 2'!UC7</f>
        <v>0</v>
      </c>
      <c r="UD8">
        <f>'Demand Stage 2'!UD7</f>
        <v>0</v>
      </c>
      <c r="UE8">
        <f>'Demand Stage 2'!UE7</f>
        <v>0</v>
      </c>
      <c r="UF8">
        <f>'Demand Stage 2'!UF7</f>
        <v>12.5</v>
      </c>
      <c r="UG8">
        <f>'Demand Stage 2'!UG7</f>
        <v>12.5</v>
      </c>
      <c r="UH8">
        <f>'Demand Stage 2'!UH7</f>
        <v>12.5</v>
      </c>
      <c r="UI8">
        <f>'Demand Stage 2'!UI7</f>
        <v>25</v>
      </c>
      <c r="UJ8">
        <f>'Demand Stage 2'!UJ7</f>
        <v>25</v>
      </c>
      <c r="UK8">
        <f>'Demand Stage 2'!UK7</f>
        <v>25</v>
      </c>
      <c r="UL8">
        <f>'Demand Stage 2'!UL7</f>
        <v>25</v>
      </c>
      <c r="UM8">
        <f>'Demand Stage 2'!UM7</f>
        <v>25</v>
      </c>
      <c r="UN8">
        <f>'Demand Stage 2'!UN7</f>
        <v>25</v>
      </c>
      <c r="UO8">
        <f>'Demand Stage 2'!UO7</f>
        <v>50</v>
      </c>
      <c r="UP8">
        <f>'Demand Stage 2'!UP7</f>
        <v>25</v>
      </c>
      <c r="UQ8">
        <f>'Demand Stage 2'!UQ7</f>
        <v>0</v>
      </c>
      <c r="UR8">
        <f>'Demand Stage 2'!UR7</f>
        <v>0</v>
      </c>
      <c r="US8">
        <f>'Demand Stage 2'!US7</f>
        <v>0</v>
      </c>
      <c r="UT8">
        <f>'Demand Stage 2'!UT7</f>
        <v>0</v>
      </c>
      <c r="UU8">
        <f>'Demand Stage 2'!UU7</f>
        <v>0</v>
      </c>
      <c r="UV8">
        <f>'Demand Stage 2'!UV7</f>
        <v>0</v>
      </c>
      <c r="UW8">
        <f>'Demand Stage 2'!UW7</f>
        <v>0</v>
      </c>
      <c r="UX8">
        <f>'Demand Stage 2'!UX7</f>
        <v>0</v>
      </c>
      <c r="UY8">
        <f>'Demand Stage 2'!UY7</f>
        <v>0</v>
      </c>
      <c r="UZ8">
        <f>'Demand Stage 2'!UZ7</f>
        <v>0</v>
      </c>
      <c r="VA8">
        <f>'Demand Stage 2'!VA7</f>
        <v>0</v>
      </c>
      <c r="VB8">
        <f>'Demand Stage 2'!VB7</f>
        <v>12.5</v>
      </c>
      <c r="VC8">
        <f>'Demand Stage 2'!VC7</f>
        <v>12.5</v>
      </c>
      <c r="VD8">
        <f>'Demand Stage 2'!VD7</f>
        <v>12.5</v>
      </c>
      <c r="VE8">
        <f>'Demand Stage 2'!VE7</f>
        <v>25</v>
      </c>
      <c r="VF8">
        <f>'Demand Stage 2'!VF7</f>
        <v>25</v>
      </c>
      <c r="VG8">
        <f>'Demand Stage 2'!VG7</f>
        <v>25</v>
      </c>
      <c r="VH8">
        <f>'Demand Stage 2'!VH7</f>
        <v>25</v>
      </c>
      <c r="VI8">
        <f>'Demand Stage 2'!VI7</f>
        <v>25</v>
      </c>
      <c r="VJ8">
        <f>'Demand Stage 2'!VJ7</f>
        <v>25</v>
      </c>
      <c r="VK8">
        <f>'Demand Stage 2'!VK7</f>
        <v>50</v>
      </c>
      <c r="VL8">
        <f>'Demand Stage 2'!VL7</f>
        <v>25</v>
      </c>
      <c r="VM8">
        <f>'Demand Stage 2'!VM7</f>
        <v>0</v>
      </c>
      <c r="VN8">
        <f>'Demand Stage 2'!VN7</f>
        <v>0</v>
      </c>
      <c r="VO8">
        <f>'Demand Stage 2'!VO7</f>
        <v>0</v>
      </c>
      <c r="VP8">
        <f>'Demand Stage 2'!VP7</f>
        <v>0</v>
      </c>
      <c r="VQ8">
        <f>'Demand Stage 2'!VQ7</f>
        <v>0</v>
      </c>
      <c r="VR8">
        <f>'Demand Stage 2'!VR7</f>
        <v>0</v>
      </c>
      <c r="VS8">
        <f>'Demand Stage 2'!VS7</f>
        <v>0</v>
      </c>
      <c r="VT8">
        <f>'Demand Stage 2'!VT7</f>
        <v>0</v>
      </c>
      <c r="VU8">
        <f>'Demand Stage 2'!VU7</f>
        <v>0</v>
      </c>
      <c r="VV8">
        <f>'Demand Stage 2'!VV7</f>
        <v>0</v>
      </c>
      <c r="VW8">
        <f>'Demand Stage 2'!VW7</f>
        <v>0</v>
      </c>
      <c r="VX8">
        <f>'Demand Stage 2'!VX7</f>
        <v>12.5</v>
      </c>
      <c r="VY8">
        <f>'Demand Stage 2'!VY7</f>
        <v>12.5</v>
      </c>
      <c r="VZ8">
        <f>'Demand Stage 2'!VZ7</f>
        <v>12.5</v>
      </c>
      <c r="WA8">
        <f>'Demand Stage 2'!WA7</f>
        <v>25</v>
      </c>
      <c r="WB8">
        <f>'Demand Stage 2'!WB7</f>
        <v>25</v>
      </c>
      <c r="WC8">
        <f>'Demand Stage 2'!WC7</f>
        <v>25</v>
      </c>
      <c r="WD8">
        <f>'Demand Stage 2'!WD7</f>
        <v>25</v>
      </c>
      <c r="WE8">
        <f>'Demand Stage 2'!WE7</f>
        <v>25</v>
      </c>
      <c r="WF8">
        <f>'Demand Stage 2'!WF7</f>
        <v>25</v>
      </c>
      <c r="WG8">
        <f>'Demand Stage 2'!WG7</f>
        <v>50</v>
      </c>
      <c r="WH8">
        <f>'Demand Stage 2'!WH7</f>
        <v>25</v>
      </c>
      <c r="WI8">
        <f>'Demand Stage 2'!WI7</f>
        <v>0</v>
      </c>
      <c r="WJ8">
        <f>'Demand Stage 2'!WJ7</f>
        <v>0</v>
      </c>
      <c r="WK8">
        <f>'Demand Stage 2'!WK7</f>
        <v>0</v>
      </c>
      <c r="WL8">
        <f>'Demand Stage 2'!WL7</f>
        <v>0</v>
      </c>
      <c r="WM8">
        <f>'Demand Stage 2'!WM7</f>
        <v>0</v>
      </c>
      <c r="WN8">
        <f>'Demand Stage 2'!WN7</f>
        <v>0</v>
      </c>
      <c r="WO8">
        <f>'Demand Stage 2'!WO7</f>
        <v>0</v>
      </c>
      <c r="WP8">
        <f>'Demand Stage 2'!WP7</f>
        <v>0</v>
      </c>
      <c r="WQ8">
        <f>'Demand Stage 2'!WQ7</f>
        <v>0</v>
      </c>
      <c r="WR8">
        <f>'Demand Stage 2'!WR7</f>
        <v>0</v>
      </c>
      <c r="WS8">
        <f>'Demand Stage 2'!WS7</f>
        <v>0</v>
      </c>
      <c r="WT8">
        <f>'Demand Stage 2'!WT7</f>
        <v>12.5</v>
      </c>
      <c r="WU8">
        <f>'Demand Stage 2'!WU7</f>
        <v>12.5</v>
      </c>
      <c r="WV8">
        <f>'Demand Stage 2'!WV7</f>
        <v>12.5</v>
      </c>
      <c r="WW8">
        <f>'Demand Stage 2'!WW7</f>
        <v>25</v>
      </c>
      <c r="WX8">
        <f>'Demand Stage 2'!WX7</f>
        <v>25</v>
      </c>
      <c r="WY8">
        <f>'Demand Stage 2'!WY7</f>
        <v>25</v>
      </c>
      <c r="WZ8">
        <f>'Demand Stage 2'!WZ7</f>
        <v>25</v>
      </c>
      <c r="XA8">
        <f>'Demand Stage 2'!XA7</f>
        <v>25</v>
      </c>
      <c r="XB8">
        <f>'Demand Stage 2'!XB7</f>
        <v>25</v>
      </c>
      <c r="XC8">
        <f>'Demand Stage 2'!XC7</f>
        <v>50</v>
      </c>
      <c r="XD8">
        <f>'Demand Stage 2'!XD7</f>
        <v>25</v>
      </c>
      <c r="XE8">
        <f>'Demand Stage 2'!XE7</f>
        <v>0</v>
      </c>
      <c r="XF8">
        <f>'Demand Stage 2'!XF7</f>
        <v>0</v>
      </c>
      <c r="XG8">
        <f>'Demand Stage 2'!XG7</f>
        <v>0</v>
      </c>
      <c r="XH8">
        <f>'Demand Stage 2'!XH7</f>
        <v>0</v>
      </c>
      <c r="XI8">
        <f>'Demand Stage 2'!XI7</f>
        <v>0</v>
      </c>
      <c r="XJ8">
        <f>'Demand Stage 2'!XJ7</f>
        <v>0</v>
      </c>
      <c r="XK8">
        <f>'Demand Stage 2'!XK7</f>
        <v>0</v>
      </c>
      <c r="XL8">
        <f>'Demand Stage 2'!XL7</f>
        <v>0</v>
      </c>
      <c r="XM8">
        <f>'Demand Stage 2'!XM7</f>
        <v>0</v>
      </c>
      <c r="XN8">
        <f>'Demand Stage 2'!XN7</f>
        <v>0</v>
      </c>
      <c r="XO8">
        <f>'Demand Stage 2'!XO7</f>
        <v>0</v>
      </c>
      <c r="XP8">
        <f>'Demand Stage 2'!XP7</f>
        <v>12.5</v>
      </c>
      <c r="XQ8">
        <f>'Demand Stage 2'!XQ7</f>
        <v>12.5</v>
      </c>
      <c r="XR8">
        <f>'Demand Stage 2'!XR7</f>
        <v>12.5</v>
      </c>
      <c r="XS8">
        <f>'Demand Stage 2'!XS7</f>
        <v>25</v>
      </c>
      <c r="XT8">
        <f>'Demand Stage 2'!XT7</f>
        <v>25</v>
      </c>
      <c r="XU8">
        <f>'Demand Stage 2'!XU7</f>
        <v>25</v>
      </c>
      <c r="XV8">
        <f>'Demand Stage 2'!XV7</f>
        <v>25</v>
      </c>
      <c r="XW8">
        <f>'Demand Stage 2'!XW7</f>
        <v>25</v>
      </c>
      <c r="XX8">
        <f>'Demand Stage 2'!XX7</f>
        <v>25</v>
      </c>
      <c r="XY8">
        <f>'Demand Stage 2'!XY7</f>
        <v>50</v>
      </c>
      <c r="XZ8">
        <f>'Demand Stage 2'!XZ7</f>
        <v>25</v>
      </c>
      <c r="YA8">
        <f>'Demand Stage 2'!YA7</f>
        <v>0</v>
      </c>
      <c r="YB8">
        <f>'Demand Stage 2'!YB7</f>
        <v>0</v>
      </c>
      <c r="YC8">
        <f>'Demand Stage 2'!YC7</f>
        <v>0</v>
      </c>
      <c r="YD8">
        <f>'Demand Stage 2'!YD7</f>
        <v>0</v>
      </c>
      <c r="YE8">
        <f>'Demand Stage 2'!YE7</f>
        <v>0</v>
      </c>
      <c r="YF8">
        <f>'Demand Stage 2'!YF7</f>
        <v>0</v>
      </c>
      <c r="YG8">
        <f>'Demand Stage 2'!YG7</f>
        <v>0</v>
      </c>
      <c r="YH8">
        <f>'Demand Stage 2'!YH7</f>
        <v>0</v>
      </c>
      <c r="YI8">
        <f>'Demand Stage 2'!YI7</f>
        <v>0</v>
      </c>
      <c r="YJ8">
        <f>'Demand Stage 2'!YJ7</f>
        <v>0</v>
      </c>
      <c r="YK8">
        <f>'Demand Stage 2'!YK7</f>
        <v>0</v>
      </c>
      <c r="YL8">
        <f>'Demand Stage 2'!YL7</f>
        <v>12.5</v>
      </c>
      <c r="YM8">
        <f>'Demand Stage 2'!YM7</f>
        <v>12.5</v>
      </c>
      <c r="YN8">
        <f>'Demand Stage 2'!YN7</f>
        <v>12.5</v>
      </c>
      <c r="YO8">
        <f>'Demand Stage 2'!YO7</f>
        <v>25</v>
      </c>
      <c r="YP8">
        <f>'Demand Stage 2'!YP7</f>
        <v>25</v>
      </c>
      <c r="YQ8">
        <f>'Demand Stage 2'!YQ7</f>
        <v>25</v>
      </c>
      <c r="YR8">
        <f>'Demand Stage 2'!YR7</f>
        <v>25</v>
      </c>
      <c r="YS8">
        <f>'Demand Stage 2'!YS7</f>
        <v>25</v>
      </c>
      <c r="YT8">
        <f>'Demand Stage 2'!YT7</f>
        <v>25</v>
      </c>
      <c r="YU8">
        <f>'Demand Stage 2'!YU7</f>
        <v>50</v>
      </c>
      <c r="YV8">
        <f>'Demand Stage 2'!YV7</f>
        <v>25</v>
      </c>
      <c r="YW8">
        <f>'Demand Stage 2'!YW7</f>
        <v>0</v>
      </c>
      <c r="YX8">
        <f>'Demand Stage 2'!YX7</f>
        <v>0</v>
      </c>
      <c r="YY8">
        <f>'Demand Stage 2'!YY7</f>
        <v>0</v>
      </c>
      <c r="YZ8">
        <f>'Demand Stage 2'!YZ7</f>
        <v>0</v>
      </c>
      <c r="ZA8">
        <f>'Demand Stage 2'!ZA7</f>
        <v>0</v>
      </c>
      <c r="ZB8">
        <f>'Demand Stage 2'!ZB7</f>
        <v>0</v>
      </c>
      <c r="ZC8">
        <f>'Demand Stage 2'!ZC7</f>
        <v>0</v>
      </c>
      <c r="ZD8">
        <f>'Demand Stage 2'!ZD7</f>
        <v>0</v>
      </c>
      <c r="ZE8">
        <f>'Demand Stage 2'!ZE7</f>
        <v>0</v>
      </c>
      <c r="ZF8">
        <f>'Demand Stage 2'!ZF7</f>
        <v>0</v>
      </c>
      <c r="ZG8">
        <f>'Demand Stage 2'!ZG7</f>
        <v>0</v>
      </c>
      <c r="ZH8">
        <f>'Demand Stage 2'!ZH7</f>
        <v>12.5</v>
      </c>
      <c r="ZI8">
        <f>'Demand Stage 2'!ZI7</f>
        <v>12.5</v>
      </c>
      <c r="ZJ8">
        <f>'Demand Stage 2'!ZJ7</f>
        <v>12.5</v>
      </c>
      <c r="ZK8">
        <f>'Demand Stage 2'!ZK7</f>
        <v>25</v>
      </c>
      <c r="ZL8">
        <f>'Demand Stage 2'!ZL7</f>
        <v>25</v>
      </c>
      <c r="ZM8">
        <f>'Demand Stage 2'!ZM7</f>
        <v>25</v>
      </c>
      <c r="ZN8">
        <f>'Demand Stage 2'!ZN7</f>
        <v>25</v>
      </c>
      <c r="ZO8">
        <f>'Demand Stage 2'!ZO7</f>
        <v>25</v>
      </c>
      <c r="ZP8">
        <f>'Demand Stage 2'!ZP7</f>
        <v>25</v>
      </c>
      <c r="ZQ8">
        <f>'Demand Stage 2'!ZQ7</f>
        <v>50</v>
      </c>
      <c r="ZR8">
        <f>'Demand Stage 2'!ZR7</f>
        <v>25</v>
      </c>
      <c r="ZS8">
        <f>'Demand Stage 2'!ZS7</f>
        <v>0</v>
      </c>
      <c r="ZT8">
        <f>'Demand Stage 2'!ZT7</f>
        <v>0</v>
      </c>
      <c r="ZU8">
        <f>'Demand Stage 2'!ZU7</f>
        <v>0</v>
      </c>
      <c r="ZV8">
        <f>'Demand Stage 2'!ZV7</f>
        <v>0</v>
      </c>
      <c r="ZW8">
        <f>'Demand Stage 2'!ZW7</f>
        <v>0</v>
      </c>
      <c r="ZX8">
        <f>'Demand Stage 2'!ZX7</f>
        <v>0</v>
      </c>
      <c r="ZY8">
        <f>'Demand Stage 2'!ZY7</f>
        <v>0</v>
      </c>
      <c r="ZZ8">
        <f>'Demand Stage 2'!ZZ7</f>
        <v>0</v>
      </c>
      <c r="AAA8">
        <f>'Demand Stage 2'!AAA7</f>
        <v>0</v>
      </c>
      <c r="AAB8">
        <f>'Demand Stage 2'!AAB7</f>
        <v>0</v>
      </c>
      <c r="AAC8">
        <f>'Demand Stage 2'!AAC7</f>
        <v>0</v>
      </c>
      <c r="AAD8">
        <f t="shared" si="33"/>
        <v>12.5</v>
      </c>
      <c r="AAE8">
        <f t="shared" si="0"/>
        <v>12.5</v>
      </c>
      <c r="AAF8">
        <f t="shared" si="0"/>
        <v>12.5</v>
      </c>
      <c r="AAG8">
        <f t="shared" si="0"/>
        <v>25</v>
      </c>
      <c r="AAH8">
        <f t="shared" si="0"/>
        <v>25</v>
      </c>
      <c r="AAI8">
        <f t="shared" si="0"/>
        <v>25</v>
      </c>
      <c r="AAJ8">
        <f t="shared" si="0"/>
        <v>25</v>
      </c>
      <c r="AAK8">
        <f t="shared" si="0"/>
        <v>25</v>
      </c>
      <c r="AAL8">
        <f t="shared" si="0"/>
        <v>25</v>
      </c>
      <c r="AAM8">
        <f t="shared" si="0"/>
        <v>50</v>
      </c>
      <c r="AAN8">
        <f t="shared" si="0"/>
        <v>25</v>
      </c>
      <c r="AAO8">
        <f t="shared" si="0"/>
        <v>0</v>
      </c>
      <c r="AAP8">
        <f t="shared" si="0"/>
        <v>0</v>
      </c>
      <c r="AAQ8">
        <f t="shared" si="0"/>
        <v>0</v>
      </c>
      <c r="AAR8">
        <f t="shared" si="0"/>
        <v>0</v>
      </c>
      <c r="AAS8">
        <f t="shared" si="0"/>
        <v>0</v>
      </c>
      <c r="AAT8">
        <f t="shared" si="0"/>
        <v>0</v>
      </c>
      <c r="AAU8">
        <f t="shared" si="0"/>
        <v>0</v>
      </c>
      <c r="AAV8">
        <f t="shared" si="0"/>
        <v>0</v>
      </c>
      <c r="AAW8">
        <f t="shared" si="0"/>
        <v>0</v>
      </c>
      <c r="AAX8">
        <f t="shared" si="0"/>
        <v>0</v>
      </c>
      <c r="AAY8">
        <f t="shared" si="0"/>
        <v>0</v>
      </c>
      <c r="AAZ8">
        <f t="shared" si="0"/>
        <v>12.5</v>
      </c>
      <c r="ABA8">
        <f t="shared" si="0"/>
        <v>12.5</v>
      </c>
      <c r="ABB8">
        <f t="shared" si="0"/>
        <v>12.5</v>
      </c>
      <c r="ABC8">
        <f t="shared" si="0"/>
        <v>25</v>
      </c>
      <c r="ABD8">
        <f t="shared" si="0"/>
        <v>25</v>
      </c>
      <c r="ABE8">
        <f t="shared" si="0"/>
        <v>25</v>
      </c>
      <c r="ABF8">
        <f t="shared" si="0"/>
        <v>25</v>
      </c>
      <c r="ABG8">
        <f t="shared" si="0"/>
        <v>25</v>
      </c>
      <c r="ABH8">
        <f t="shared" si="0"/>
        <v>25</v>
      </c>
      <c r="ABI8">
        <f t="shared" si="0"/>
        <v>50</v>
      </c>
      <c r="ABJ8">
        <f t="shared" si="0"/>
        <v>25</v>
      </c>
      <c r="ABK8">
        <f t="shared" si="0"/>
        <v>0</v>
      </c>
      <c r="ABL8">
        <f t="shared" si="0"/>
        <v>0</v>
      </c>
      <c r="ABM8">
        <f t="shared" si="0"/>
        <v>0</v>
      </c>
      <c r="ABN8">
        <f t="shared" si="0"/>
        <v>0</v>
      </c>
      <c r="ABO8">
        <f t="shared" si="0"/>
        <v>0</v>
      </c>
      <c r="ABP8">
        <f t="shared" si="0"/>
        <v>0</v>
      </c>
      <c r="ABQ8">
        <f t="shared" si="0"/>
        <v>0</v>
      </c>
      <c r="ABR8">
        <f t="shared" si="0"/>
        <v>0</v>
      </c>
      <c r="ABS8">
        <f t="shared" si="0"/>
        <v>0</v>
      </c>
      <c r="ABT8">
        <f t="shared" si="0"/>
        <v>0</v>
      </c>
      <c r="ABU8">
        <f t="shared" si="0"/>
        <v>0</v>
      </c>
      <c r="ABV8">
        <f t="shared" si="0"/>
        <v>12.5</v>
      </c>
      <c r="ABW8">
        <f t="shared" si="0"/>
        <v>12.5</v>
      </c>
      <c r="ABX8">
        <f t="shared" si="0"/>
        <v>12.5</v>
      </c>
      <c r="ABY8">
        <f t="shared" si="0"/>
        <v>25</v>
      </c>
      <c r="ABZ8">
        <f t="shared" si="0"/>
        <v>25</v>
      </c>
      <c r="ACA8">
        <f t="shared" si="0"/>
        <v>25</v>
      </c>
      <c r="ACB8">
        <f t="shared" si="0"/>
        <v>25</v>
      </c>
      <c r="ACC8">
        <f t="shared" si="0"/>
        <v>25</v>
      </c>
      <c r="ACD8">
        <f t="shared" si="0"/>
        <v>25</v>
      </c>
      <c r="ACE8">
        <f t="shared" si="0"/>
        <v>50</v>
      </c>
      <c r="ACF8">
        <f t="shared" si="0"/>
        <v>25</v>
      </c>
      <c r="ACG8">
        <f t="shared" si="0"/>
        <v>0</v>
      </c>
      <c r="ACH8">
        <f t="shared" si="0"/>
        <v>0</v>
      </c>
      <c r="ACI8">
        <f t="shared" si="0"/>
        <v>0</v>
      </c>
      <c r="ACJ8">
        <f t="shared" si="0"/>
        <v>0</v>
      </c>
      <c r="ACK8">
        <f t="shared" si="0"/>
        <v>0</v>
      </c>
      <c r="ACL8">
        <f t="shared" si="0"/>
        <v>0</v>
      </c>
      <c r="ACM8">
        <f t="shared" si="0"/>
        <v>0</v>
      </c>
      <c r="ACN8">
        <f t="shared" si="0"/>
        <v>0</v>
      </c>
      <c r="ACO8">
        <f t="shared" si="0"/>
        <v>0</v>
      </c>
      <c r="ACP8">
        <f t="shared" si="0"/>
        <v>0</v>
      </c>
      <c r="ACQ8">
        <f t="shared" si="1"/>
        <v>0</v>
      </c>
      <c r="ACR8">
        <f t="shared" si="1"/>
        <v>12.5</v>
      </c>
      <c r="ACS8">
        <f t="shared" si="1"/>
        <v>12.5</v>
      </c>
      <c r="ACT8">
        <f t="shared" si="1"/>
        <v>12.5</v>
      </c>
      <c r="ACU8">
        <f t="shared" si="1"/>
        <v>25</v>
      </c>
      <c r="ACV8">
        <f t="shared" si="1"/>
        <v>25</v>
      </c>
      <c r="ACW8">
        <f t="shared" si="1"/>
        <v>25</v>
      </c>
      <c r="ACX8">
        <f t="shared" si="1"/>
        <v>25</v>
      </c>
      <c r="ACY8">
        <f t="shared" si="1"/>
        <v>25</v>
      </c>
      <c r="ACZ8">
        <f t="shared" si="1"/>
        <v>25</v>
      </c>
      <c r="ADA8">
        <f t="shared" si="1"/>
        <v>50</v>
      </c>
      <c r="ADB8">
        <f t="shared" si="1"/>
        <v>25</v>
      </c>
      <c r="ADC8">
        <f t="shared" si="1"/>
        <v>0</v>
      </c>
      <c r="ADD8">
        <f t="shared" si="1"/>
        <v>0</v>
      </c>
      <c r="ADE8">
        <f t="shared" si="1"/>
        <v>0</v>
      </c>
      <c r="ADF8">
        <f t="shared" si="1"/>
        <v>0</v>
      </c>
      <c r="ADG8">
        <f t="shared" si="1"/>
        <v>0</v>
      </c>
      <c r="ADH8">
        <f t="shared" si="1"/>
        <v>0</v>
      </c>
      <c r="ADI8">
        <f t="shared" si="1"/>
        <v>0</v>
      </c>
      <c r="ADJ8">
        <f t="shared" si="1"/>
        <v>0</v>
      </c>
      <c r="ADK8">
        <f t="shared" si="1"/>
        <v>0</v>
      </c>
      <c r="ADL8">
        <f t="shared" si="1"/>
        <v>0</v>
      </c>
      <c r="ADM8">
        <f t="shared" si="1"/>
        <v>0</v>
      </c>
      <c r="ADN8">
        <f t="shared" si="1"/>
        <v>12.5</v>
      </c>
      <c r="ADO8">
        <f t="shared" si="1"/>
        <v>12.5</v>
      </c>
      <c r="ADP8">
        <f t="shared" si="1"/>
        <v>12.5</v>
      </c>
      <c r="ADQ8">
        <f t="shared" si="1"/>
        <v>25</v>
      </c>
      <c r="ADR8">
        <f t="shared" si="1"/>
        <v>25</v>
      </c>
      <c r="ADS8">
        <f t="shared" si="1"/>
        <v>25</v>
      </c>
      <c r="ADT8">
        <f t="shared" si="1"/>
        <v>25</v>
      </c>
      <c r="ADU8">
        <f t="shared" si="1"/>
        <v>25</v>
      </c>
      <c r="ADV8">
        <f t="shared" si="1"/>
        <v>25</v>
      </c>
      <c r="ADW8">
        <f t="shared" si="1"/>
        <v>50</v>
      </c>
      <c r="ADX8">
        <f t="shared" si="1"/>
        <v>25</v>
      </c>
      <c r="ADY8">
        <f t="shared" si="1"/>
        <v>0</v>
      </c>
      <c r="ADZ8">
        <f t="shared" si="1"/>
        <v>0</v>
      </c>
      <c r="AEA8">
        <f t="shared" si="1"/>
        <v>0</v>
      </c>
      <c r="AEB8">
        <f t="shared" si="1"/>
        <v>0</v>
      </c>
      <c r="AEC8">
        <f t="shared" si="1"/>
        <v>0</v>
      </c>
      <c r="AED8">
        <f t="shared" si="1"/>
        <v>0</v>
      </c>
      <c r="AEE8">
        <f t="shared" si="1"/>
        <v>0</v>
      </c>
      <c r="AEF8">
        <f t="shared" si="1"/>
        <v>0</v>
      </c>
      <c r="AEG8">
        <f t="shared" si="1"/>
        <v>0</v>
      </c>
      <c r="AEH8">
        <f t="shared" si="1"/>
        <v>0</v>
      </c>
      <c r="AEI8">
        <f t="shared" si="1"/>
        <v>0</v>
      </c>
      <c r="AEJ8">
        <f t="shared" si="1"/>
        <v>12.5</v>
      </c>
      <c r="AEK8">
        <f t="shared" si="1"/>
        <v>12.5</v>
      </c>
      <c r="AEL8">
        <f t="shared" si="1"/>
        <v>12.5</v>
      </c>
      <c r="AEM8">
        <f t="shared" si="1"/>
        <v>25</v>
      </c>
      <c r="AEN8">
        <f t="shared" si="1"/>
        <v>25</v>
      </c>
      <c r="AEO8">
        <f t="shared" si="1"/>
        <v>25</v>
      </c>
      <c r="AEP8">
        <f t="shared" si="1"/>
        <v>25</v>
      </c>
      <c r="AEQ8">
        <f t="shared" si="1"/>
        <v>25</v>
      </c>
      <c r="AER8">
        <f t="shared" si="1"/>
        <v>25</v>
      </c>
      <c r="AES8">
        <f t="shared" si="1"/>
        <v>50</v>
      </c>
      <c r="AET8">
        <f t="shared" si="1"/>
        <v>25</v>
      </c>
      <c r="AEU8">
        <f t="shared" si="1"/>
        <v>0</v>
      </c>
      <c r="AEV8">
        <f t="shared" si="1"/>
        <v>0</v>
      </c>
      <c r="AEW8">
        <f t="shared" si="1"/>
        <v>0</v>
      </c>
      <c r="AEX8">
        <f t="shared" si="1"/>
        <v>0</v>
      </c>
      <c r="AEY8">
        <f t="shared" si="1"/>
        <v>0</v>
      </c>
      <c r="AEZ8">
        <f t="shared" si="1"/>
        <v>0</v>
      </c>
      <c r="AFA8">
        <f t="shared" si="1"/>
        <v>0</v>
      </c>
      <c r="AFB8">
        <f t="shared" si="1"/>
        <v>0</v>
      </c>
      <c r="AFC8">
        <f t="shared" si="2"/>
        <v>0</v>
      </c>
      <c r="AFD8">
        <f t="shared" si="2"/>
        <v>0</v>
      </c>
      <c r="AFE8">
        <f t="shared" si="2"/>
        <v>0</v>
      </c>
      <c r="AFF8">
        <f t="shared" si="2"/>
        <v>12.5</v>
      </c>
      <c r="AFG8">
        <f t="shared" si="2"/>
        <v>12.5</v>
      </c>
      <c r="AFH8">
        <f t="shared" si="2"/>
        <v>12.5</v>
      </c>
      <c r="AFI8">
        <f t="shared" si="2"/>
        <v>25</v>
      </c>
      <c r="AFJ8">
        <f t="shared" si="2"/>
        <v>25</v>
      </c>
      <c r="AFK8">
        <f t="shared" si="2"/>
        <v>25</v>
      </c>
      <c r="AFL8">
        <f t="shared" si="2"/>
        <v>25</v>
      </c>
      <c r="AFM8">
        <f t="shared" si="2"/>
        <v>25</v>
      </c>
      <c r="AFN8">
        <f t="shared" si="2"/>
        <v>25</v>
      </c>
      <c r="AFO8">
        <f t="shared" si="2"/>
        <v>50</v>
      </c>
      <c r="AFP8">
        <f t="shared" si="2"/>
        <v>25</v>
      </c>
      <c r="AFQ8">
        <f t="shared" si="2"/>
        <v>0</v>
      </c>
      <c r="AFR8">
        <f t="shared" si="2"/>
        <v>0</v>
      </c>
      <c r="AFS8">
        <f t="shared" si="2"/>
        <v>0</v>
      </c>
      <c r="AFT8">
        <f t="shared" si="2"/>
        <v>0</v>
      </c>
      <c r="AFU8">
        <f t="shared" si="2"/>
        <v>0</v>
      </c>
      <c r="AFV8">
        <f t="shared" si="2"/>
        <v>0</v>
      </c>
      <c r="AFW8">
        <f t="shared" si="2"/>
        <v>0</v>
      </c>
      <c r="AFX8">
        <f t="shared" si="2"/>
        <v>0</v>
      </c>
      <c r="AFY8">
        <f t="shared" si="2"/>
        <v>0</v>
      </c>
      <c r="AFZ8">
        <f t="shared" si="2"/>
        <v>0</v>
      </c>
      <c r="AGA8">
        <f t="shared" si="2"/>
        <v>0</v>
      </c>
      <c r="AGB8">
        <f t="shared" si="2"/>
        <v>12.5</v>
      </c>
      <c r="AGC8">
        <f t="shared" si="2"/>
        <v>12.5</v>
      </c>
      <c r="AGD8">
        <f t="shared" si="2"/>
        <v>12.5</v>
      </c>
      <c r="AGE8">
        <f t="shared" si="2"/>
        <v>25</v>
      </c>
      <c r="AGF8">
        <f t="shared" si="2"/>
        <v>25</v>
      </c>
      <c r="AGG8">
        <f t="shared" si="2"/>
        <v>25</v>
      </c>
      <c r="AGH8">
        <f t="shared" si="2"/>
        <v>25</v>
      </c>
      <c r="AGI8">
        <f t="shared" si="2"/>
        <v>25</v>
      </c>
      <c r="AGJ8">
        <f t="shared" si="2"/>
        <v>25</v>
      </c>
      <c r="AGK8">
        <f t="shared" si="2"/>
        <v>50</v>
      </c>
      <c r="AGL8">
        <f t="shared" si="2"/>
        <v>25</v>
      </c>
      <c r="AGM8">
        <f t="shared" si="2"/>
        <v>0</v>
      </c>
      <c r="AGN8">
        <f t="shared" si="2"/>
        <v>0</v>
      </c>
      <c r="AGO8">
        <f t="shared" si="2"/>
        <v>0</v>
      </c>
      <c r="AGP8">
        <f t="shared" si="2"/>
        <v>0</v>
      </c>
      <c r="AGQ8">
        <f t="shared" si="2"/>
        <v>0</v>
      </c>
      <c r="AGR8">
        <f t="shared" si="2"/>
        <v>0</v>
      </c>
      <c r="AGS8">
        <f t="shared" si="2"/>
        <v>0</v>
      </c>
      <c r="AGT8">
        <f t="shared" si="2"/>
        <v>0</v>
      </c>
      <c r="AGU8">
        <f t="shared" si="2"/>
        <v>0</v>
      </c>
      <c r="AGV8">
        <f t="shared" si="2"/>
        <v>0</v>
      </c>
      <c r="AGW8">
        <f t="shared" si="2"/>
        <v>0</v>
      </c>
      <c r="AGX8">
        <f t="shared" si="2"/>
        <v>12.5</v>
      </c>
      <c r="AGY8">
        <f t="shared" si="2"/>
        <v>12.5</v>
      </c>
      <c r="AGZ8">
        <f t="shared" si="2"/>
        <v>12.5</v>
      </c>
      <c r="AHA8">
        <f t="shared" si="2"/>
        <v>25</v>
      </c>
      <c r="AHB8">
        <f t="shared" si="2"/>
        <v>25</v>
      </c>
      <c r="AHC8">
        <f t="shared" si="2"/>
        <v>25</v>
      </c>
      <c r="AHD8">
        <f t="shared" si="2"/>
        <v>25</v>
      </c>
      <c r="AHE8">
        <f t="shared" si="2"/>
        <v>25</v>
      </c>
      <c r="AHF8">
        <f t="shared" si="2"/>
        <v>25</v>
      </c>
      <c r="AHG8">
        <f t="shared" si="2"/>
        <v>50</v>
      </c>
      <c r="AHH8">
        <f t="shared" si="2"/>
        <v>25</v>
      </c>
      <c r="AHI8">
        <f t="shared" si="2"/>
        <v>0</v>
      </c>
      <c r="AHJ8">
        <f t="shared" si="2"/>
        <v>0</v>
      </c>
      <c r="AHK8">
        <f t="shared" si="2"/>
        <v>0</v>
      </c>
      <c r="AHL8">
        <f t="shared" si="2"/>
        <v>0</v>
      </c>
      <c r="AHM8">
        <f t="shared" si="2"/>
        <v>0</v>
      </c>
      <c r="AHN8">
        <f t="shared" si="2"/>
        <v>0</v>
      </c>
      <c r="AHO8">
        <f t="shared" si="3"/>
        <v>0</v>
      </c>
      <c r="AHP8">
        <f t="shared" si="3"/>
        <v>0</v>
      </c>
      <c r="AHQ8">
        <f t="shared" si="3"/>
        <v>0</v>
      </c>
      <c r="AHR8">
        <f t="shared" si="3"/>
        <v>0</v>
      </c>
      <c r="AHS8">
        <f t="shared" si="3"/>
        <v>0</v>
      </c>
      <c r="AHT8">
        <f t="shared" si="3"/>
        <v>12.5</v>
      </c>
      <c r="AHU8">
        <f t="shared" si="3"/>
        <v>12.5</v>
      </c>
      <c r="AHV8">
        <f t="shared" si="3"/>
        <v>12.5</v>
      </c>
      <c r="AHW8">
        <f t="shared" si="3"/>
        <v>25</v>
      </c>
      <c r="AHX8">
        <f t="shared" si="3"/>
        <v>25</v>
      </c>
      <c r="AHY8">
        <f t="shared" si="3"/>
        <v>25</v>
      </c>
      <c r="AHZ8">
        <f t="shared" si="3"/>
        <v>25</v>
      </c>
      <c r="AIA8">
        <f t="shared" si="3"/>
        <v>25</v>
      </c>
      <c r="AIB8">
        <f t="shared" si="3"/>
        <v>25</v>
      </c>
      <c r="AIC8">
        <f t="shared" si="3"/>
        <v>50</v>
      </c>
      <c r="AID8">
        <f t="shared" si="3"/>
        <v>25</v>
      </c>
      <c r="AIE8">
        <f t="shared" si="3"/>
        <v>0</v>
      </c>
      <c r="AIF8">
        <f t="shared" si="3"/>
        <v>0</v>
      </c>
      <c r="AIG8">
        <f t="shared" si="3"/>
        <v>0</v>
      </c>
      <c r="AIH8">
        <f t="shared" si="3"/>
        <v>0</v>
      </c>
      <c r="AII8">
        <f t="shared" si="3"/>
        <v>0</v>
      </c>
      <c r="AIJ8">
        <f t="shared" si="3"/>
        <v>0</v>
      </c>
      <c r="AIK8">
        <f t="shared" si="3"/>
        <v>0</v>
      </c>
      <c r="AIL8">
        <f t="shared" si="3"/>
        <v>0</v>
      </c>
      <c r="AIM8">
        <f t="shared" si="3"/>
        <v>0</v>
      </c>
      <c r="AIN8">
        <f t="shared" si="3"/>
        <v>0</v>
      </c>
      <c r="AIO8">
        <f t="shared" si="3"/>
        <v>0</v>
      </c>
      <c r="AIP8">
        <f t="shared" si="3"/>
        <v>12.5</v>
      </c>
      <c r="AIQ8">
        <f t="shared" si="3"/>
        <v>12.5</v>
      </c>
      <c r="AIR8">
        <f t="shared" si="3"/>
        <v>12.5</v>
      </c>
      <c r="AIS8">
        <f t="shared" si="3"/>
        <v>25</v>
      </c>
      <c r="AIT8">
        <f t="shared" si="3"/>
        <v>25</v>
      </c>
      <c r="AIU8">
        <f t="shared" si="3"/>
        <v>25</v>
      </c>
      <c r="AIV8">
        <f t="shared" si="3"/>
        <v>25</v>
      </c>
      <c r="AIW8">
        <f t="shared" si="3"/>
        <v>25</v>
      </c>
      <c r="AIX8">
        <f t="shared" si="3"/>
        <v>25</v>
      </c>
      <c r="AIY8">
        <f t="shared" si="3"/>
        <v>50</v>
      </c>
      <c r="AIZ8">
        <f t="shared" si="3"/>
        <v>25</v>
      </c>
      <c r="AJA8">
        <f t="shared" si="3"/>
        <v>0</v>
      </c>
      <c r="AJB8">
        <f t="shared" si="3"/>
        <v>0</v>
      </c>
      <c r="AJC8">
        <f t="shared" si="3"/>
        <v>0</v>
      </c>
      <c r="AJD8">
        <f t="shared" si="3"/>
        <v>0</v>
      </c>
      <c r="AJE8">
        <f t="shared" si="3"/>
        <v>0</v>
      </c>
      <c r="AJF8">
        <f t="shared" si="3"/>
        <v>0</v>
      </c>
      <c r="AJG8">
        <f t="shared" si="3"/>
        <v>0</v>
      </c>
      <c r="AJH8">
        <f t="shared" si="3"/>
        <v>0</v>
      </c>
      <c r="AJI8">
        <f t="shared" si="3"/>
        <v>0</v>
      </c>
      <c r="AJJ8">
        <f t="shared" si="3"/>
        <v>0</v>
      </c>
      <c r="AJK8">
        <f t="shared" si="3"/>
        <v>0</v>
      </c>
      <c r="AJL8">
        <f t="shared" si="3"/>
        <v>12.5</v>
      </c>
      <c r="AJM8">
        <f t="shared" si="3"/>
        <v>12.5</v>
      </c>
      <c r="AJN8">
        <f t="shared" si="3"/>
        <v>12.5</v>
      </c>
      <c r="AJO8">
        <f t="shared" si="3"/>
        <v>25</v>
      </c>
      <c r="AJP8">
        <f t="shared" si="3"/>
        <v>25</v>
      </c>
      <c r="AJQ8">
        <f t="shared" si="3"/>
        <v>25</v>
      </c>
      <c r="AJR8">
        <f t="shared" si="3"/>
        <v>25</v>
      </c>
      <c r="AJS8">
        <f t="shared" si="3"/>
        <v>25</v>
      </c>
      <c r="AJT8">
        <f t="shared" si="3"/>
        <v>25</v>
      </c>
      <c r="AJU8">
        <f t="shared" si="3"/>
        <v>50</v>
      </c>
      <c r="AJV8">
        <f t="shared" si="3"/>
        <v>25</v>
      </c>
      <c r="AJW8">
        <f t="shared" si="3"/>
        <v>0</v>
      </c>
      <c r="AJX8">
        <f t="shared" si="3"/>
        <v>0</v>
      </c>
      <c r="AJY8">
        <f t="shared" si="3"/>
        <v>0</v>
      </c>
      <c r="AJZ8">
        <f t="shared" si="3"/>
        <v>0</v>
      </c>
      <c r="AKA8">
        <f t="shared" si="4"/>
        <v>0</v>
      </c>
      <c r="AKB8">
        <f t="shared" si="4"/>
        <v>0</v>
      </c>
      <c r="AKC8">
        <f t="shared" si="4"/>
        <v>0</v>
      </c>
      <c r="AKD8">
        <f t="shared" si="4"/>
        <v>0</v>
      </c>
      <c r="AKE8">
        <f t="shared" si="4"/>
        <v>0</v>
      </c>
      <c r="AKF8">
        <f t="shared" si="4"/>
        <v>0</v>
      </c>
      <c r="AKG8">
        <f t="shared" si="4"/>
        <v>0</v>
      </c>
      <c r="AKH8">
        <f t="shared" si="4"/>
        <v>12.5</v>
      </c>
      <c r="AKI8">
        <f t="shared" si="4"/>
        <v>12.5</v>
      </c>
      <c r="AKJ8">
        <f t="shared" si="4"/>
        <v>12.5</v>
      </c>
      <c r="AKK8">
        <f t="shared" si="4"/>
        <v>25</v>
      </c>
      <c r="AKL8">
        <f t="shared" si="4"/>
        <v>25</v>
      </c>
      <c r="AKM8">
        <f t="shared" si="4"/>
        <v>25</v>
      </c>
      <c r="AKN8">
        <f t="shared" si="4"/>
        <v>25</v>
      </c>
      <c r="AKO8">
        <f t="shared" si="4"/>
        <v>25</v>
      </c>
      <c r="AKP8">
        <f t="shared" si="4"/>
        <v>25</v>
      </c>
      <c r="AKQ8">
        <f t="shared" si="4"/>
        <v>50</v>
      </c>
      <c r="AKR8">
        <f t="shared" si="4"/>
        <v>25</v>
      </c>
      <c r="AKS8">
        <f t="shared" si="4"/>
        <v>0</v>
      </c>
      <c r="AKT8">
        <f t="shared" si="4"/>
        <v>0</v>
      </c>
      <c r="AKU8">
        <f t="shared" si="4"/>
        <v>0</v>
      </c>
      <c r="AKV8">
        <f t="shared" si="4"/>
        <v>0</v>
      </c>
      <c r="AKW8">
        <f t="shared" si="4"/>
        <v>0</v>
      </c>
      <c r="AKX8">
        <f t="shared" si="4"/>
        <v>0</v>
      </c>
      <c r="AKY8">
        <f t="shared" si="4"/>
        <v>0</v>
      </c>
      <c r="AKZ8">
        <f t="shared" si="4"/>
        <v>0</v>
      </c>
      <c r="ALA8">
        <f t="shared" si="4"/>
        <v>0</v>
      </c>
      <c r="ALB8">
        <f t="shared" si="4"/>
        <v>0</v>
      </c>
      <c r="ALC8">
        <f t="shared" si="4"/>
        <v>0</v>
      </c>
      <c r="ALD8">
        <f t="shared" si="4"/>
        <v>12.5</v>
      </c>
      <c r="ALE8">
        <f t="shared" si="4"/>
        <v>12.5</v>
      </c>
      <c r="ALF8">
        <f t="shared" si="4"/>
        <v>12.5</v>
      </c>
      <c r="ALG8">
        <f t="shared" si="4"/>
        <v>25</v>
      </c>
      <c r="ALH8">
        <f t="shared" si="4"/>
        <v>25</v>
      </c>
      <c r="ALI8">
        <f t="shared" si="4"/>
        <v>25</v>
      </c>
      <c r="ALJ8">
        <f t="shared" si="4"/>
        <v>25</v>
      </c>
      <c r="ALK8">
        <f t="shared" si="4"/>
        <v>25</v>
      </c>
      <c r="ALL8">
        <f t="shared" si="4"/>
        <v>25</v>
      </c>
      <c r="ALM8">
        <f t="shared" si="4"/>
        <v>50</v>
      </c>
      <c r="ALN8">
        <f t="shared" si="4"/>
        <v>25</v>
      </c>
      <c r="ALO8">
        <f t="shared" si="4"/>
        <v>0</v>
      </c>
      <c r="ALP8">
        <f t="shared" si="4"/>
        <v>0</v>
      </c>
      <c r="ALQ8">
        <f t="shared" si="4"/>
        <v>0</v>
      </c>
      <c r="ALR8">
        <f t="shared" si="4"/>
        <v>0</v>
      </c>
      <c r="ALS8">
        <f t="shared" si="4"/>
        <v>0</v>
      </c>
      <c r="ALT8">
        <f t="shared" si="4"/>
        <v>0</v>
      </c>
      <c r="ALU8">
        <f t="shared" si="4"/>
        <v>0</v>
      </c>
      <c r="ALV8">
        <f t="shared" si="4"/>
        <v>0</v>
      </c>
      <c r="ALW8">
        <f t="shared" si="4"/>
        <v>0</v>
      </c>
      <c r="ALX8">
        <f t="shared" si="4"/>
        <v>0</v>
      </c>
      <c r="ALY8">
        <f t="shared" si="4"/>
        <v>0</v>
      </c>
      <c r="ALZ8">
        <f t="shared" si="4"/>
        <v>12.5</v>
      </c>
      <c r="AMA8">
        <f t="shared" si="4"/>
        <v>12.5</v>
      </c>
      <c r="AMB8">
        <f t="shared" si="4"/>
        <v>12.5</v>
      </c>
      <c r="AMC8">
        <f t="shared" si="4"/>
        <v>25</v>
      </c>
      <c r="AMD8">
        <f t="shared" si="4"/>
        <v>25</v>
      </c>
      <c r="AME8">
        <f t="shared" si="4"/>
        <v>25</v>
      </c>
      <c r="AMF8">
        <f t="shared" si="4"/>
        <v>25</v>
      </c>
      <c r="AMG8">
        <f t="shared" si="4"/>
        <v>25</v>
      </c>
      <c r="AMH8">
        <f t="shared" si="4"/>
        <v>25</v>
      </c>
      <c r="AMI8">
        <f t="shared" si="4"/>
        <v>50</v>
      </c>
      <c r="AMJ8">
        <f t="shared" si="4"/>
        <v>25</v>
      </c>
      <c r="AMK8">
        <f t="shared" si="4"/>
        <v>0</v>
      </c>
      <c r="AML8">
        <f t="shared" si="4"/>
        <v>0</v>
      </c>
      <c r="AMM8">
        <f t="shared" si="5"/>
        <v>0</v>
      </c>
      <c r="AMN8">
        <f t="shared" si="5"/>
        <v>0</v>
      </c>
      <c r="AMO8">
        <f t="shared" si="5"/>
        <v>0</v>
      </c>
      <c r="AMP8">
        <f t="shared" si="5"/>
        <v>0</v>
      </c>
      <c r="AMQ8">
        <f t="shared" si="5"/>
        <v>0</v>
      </c>
      <c r="AMR8">
        <f t="shared" si="5"/>
        <v>0</v>
      </c>
      <c r="AMS8">
        <f t="shared" si="5"/>
        <v>0</v>
      </c>
      <c r="AMT8">
        <f t="shared" si="5"/>
        <v>0</v>
      </c>
      <c r="AMU8">
        <f t="shared" si="5"/>
        <v>0</v>
      </c>
      <c r="AMV8">
        <f t="shared" si="5"/>
        <v>12.5</v>
      </c>
      <c r="AMW8">
        <f t="shared" si="5"/>
        <v>12.5</v>
      </c>
      <c r="AMX8">
        <f t="shared" si="5"/>
        <v>12.5</v>
      </c>
      <c r="AMY8">
        <f t="shared" si="5"/>
        <v>25</v>
      </c>
      <c r="AMZ8">
        <f t="shared" si="5"/>
        <v>25</v>
      </c>
      <c r="ANA8">
        <f t="shared" si="5"/>
        <v>25</v>
      </c>
      <c r="ANB8">
        <f t="shared" si="5"/>
        <v>25</v>
      </c>
      <c r="ANC8">
        <f t="shared" si="5"/>
        <v>25</v>
      </c>
      <c r="AND8">
        <f t="shared" si="5"/>
        <v>25</v>
      </c>
      <c r="ANE8">
        <f t="shared" si="5"/>
        <v>50</v>
      </c>
      <c r="ANF8">
        <f t="shared" si="5"/>
        <v>25</v>
      </c>
      <c r="ANG8">
        <f t="shared" si="5"/>
        <v>0</v>
      </c>
      <c r="ANH8">
        <f t="shared" si="5"/>
        <v>0</v>
      </c>
      <c r="ANI8">
        <f t="shared" si="5"/>
        <v>0</v>
      </c>
      <c r="ANJ8">
        <f t="shared" si="5"/>
        <v>0</v>
      </c>
      <c r="ANK8">
        <f t="shared" si="5"/>
        <v>0</v>
      </c>
      <c r="ANL8">
        <f t="shared" si="5"/>
        <v>0</v>
      </c>
      <c r="ANM8">
        <f t="shared" si="5"/>
        <v>0</v>
      </c>
      <c r="ANN8">
        <f t="shared" si="5"/>
        <v>0</v>
      </c>
      <c r="ANO8">
        <f t="shared" si="5"/>
        <v>0</v>
      </c>
      <c r="ANP8">
        <f t="shared" si="5"/>
        <v>0</v>
      </c>
      <c r="ANQ8">
        <f t="shared" si="5"/>
        <v>0</v>
      </c>
      <c r="ANR8">
        <f t="shared" si="5"/>
        <v>12.5</v>
      </c>
      <c r="ANS8">
        <f t="shared" si="5"/>
        <v>12.5</v>
      </c>
      <c r="ANT8">
        <f t="shared" si="5"/>
        <v>12.5</v>
      </c>
      <c r="ANU8">
        <f t="shared" si="5"/>
        <v>25</v>
      </c>
      <c r="ANV8">
        <f t="shared" si="5"/>
        <v>25</v>
      </c>
      <c r="ANW8">
        <f t="shared" si="5"/>
        <v>25</v>
      </c>
      <c r="ANX8">
        <f t="shared" si="5"/>
        <v>25</v>
      </c>
      <c r="ANY8">
        <f t="shared" si="5"/>
        <v>25</v>
      </c>
      <c r="ANZ8">
        <f t="shared" si="5"/>
        <v>25</v>
      </c>
      <c r="AOA8">
        <f t="shared" si="5"/>
        <v>50</v>
      </c>
      <c r="AOB8">
        <f t="shared" si="5"/>
        <v>25</v>
      </c>
      <c r="AOC8">
        <f t="shared" si="5"/>
        <v>0</v>
      </c>
      <c r="AOD8">
        <f t="shared" si="5"/>
        <v>0</v>
      </c>
      <c r="AOE8">
        <f t="shared" si="5"/>
        <v>0</v>
      </c>
      <c r="AOF8">
        <f t="shared" si="5"/>
        <v>0</v>
      </c>
      <c r="AOG8">
        <f t="shared" si="5"/>
        <v>0</v>
      </c>
      <c r="AOH8">
        <f t="shared" si="5"/>
        <v>0</v>
      </c>
      <c r="AOI8">
        <f t="shared" si="5"/>
        <v>0</v>
      </c>
      <c r="AOJ8">
        <f t="shared" si="5"/>
        <v>0</v>
      </c>
      <c r="AOK8">
        <f t="shared" si="5"/>
        <v>0</v>
      </c>
      <c r="AOL8">
        <f t="shared" si="5"/>
        <v>0</v>
      </c>
      <c r="AOM8">
        <f t="shared" si="5"/>
        <v>0</v>
      </c>
      <c r="AON8">
        <f t="shared" si="5"/>
        <v>12.5</v>
      </c>
      <c r="AOO8">
        <f t="shared" si="5"/>
        <v>12.5</v>
      </c>
      <c r="AOP8">
        <f t="shared" si="5"/>
        <v>12.5</v>
      </c>
      <c r="AOQ8">
        <f t="shared" si="5"/>
        <v>25</v>
      </c>
      <c r="AOR8">
        <f t="shared" si="5"/>
        <v>25</v>
      </c>
      <c r="AOS8">
        <f t="shared" si="5"/>
        <v>25</v>
      </c>
      <c r="AOT8">
        <f t="shared" si="5"/>
        <v>25</v>
      </c>
      <c r="AOU8">
        <f t="shared" si="5"/>
        <v>25</v>
      </c>
      <c r="AOV8">
        <f t="shared" si="5"/>
        <v>25</v>
      </c>
      <c r="AOW8">
        <f t="shared" si="5"/>
        <v>50</v>
      </c>
      <c r="AOX8">
        <f t="shared" si="5"/>
        <v>25</v>
      </c>
      <c r="AOY8">
        <f t="shared" si="6"/>
        <v>0</v>
      </c>
      <c r="AOZ8">
        <f t="shared" si="6"/>
        <v>0</v>
      </c>
      <c r="APA8">
        <f t="shared" si="6"/>
        <v>0</v>
      </c>
      <c r="APB8">
        <f t="shared" si="6"/>
        <v>0</v>
      </c>
      <c r="APC8">
        <f t="shared" si="6"/>
        <v>0</v>
      </c>
      <c r="APD8">
        <f t="shared" si="6"/>
        <v>0</v>
      </c>
      <c r="APE8">
        <f t="shared" si="6"/>
        <v>0</v>
      </c>
      <c r="APF8">
        <f t="shared" si="6"/>
        <v>0</v>
      </c>
      <c r="APG8">
        <f t="shared" si="6"/>
        <v>0</v>
      </c>
      <c r="APH8">
        <f t="shared" si="6"/>
        <v>0</v>
      </c>
      <c r="API8">
        <f t="shared" si="6"/>
        <v>0</v>
      </c>
      <c r="APJ8">
        <f t="shared" si="6"/>
        <v>12.5</v>
      </c>
      <c r="APK8">
        <f t="shared" si="6"/>
        <v>12.5</v>
      </c>
      <c r="APL8">
        <f t="shared" si="6"/>
        <v>12.5</v>
      </c>
      <c r="APM8">
        <f t="shared" si="6"/>
        <v>25</v>
      </c>
      <c r="APN8">
        <f t="shared" si="6"/>
        <v>25</v>
      </c>
      <c r="APO8">
        <f t="shared" si="6"/>
        <v>25</v>
      </c>
      <c r="APP8">
        <f t="shared" si="6"/>
        <v>25</v>
      </c>
      <c r="APQ8">
        <f t="shared" si="6"/>
        <v>25</v>
      </c>
      <c r="APR8">
        <f t="shared" si="6"/>
        <v>25</v>
      </c>
      <c r="APS8">
        <f t="shared" si="6"/>
        <v>50</v>
      </c>
      <c r="APT8">
        <f t="shared" si="6"/>
        <v>25</v>
      </c>
      <c r="APU8">
        <f t="shared" si="6"/>
        <v>0</v>
      </c>
      <c r="APV8">
        <f t="shared" si="6"/>
        <v>0</v>
      </c>
      <c r="APW8">
        <f t="shared" si="6"/>
        <v>0</v>
      </c>
      <c r="APX8">
        <f t="shared" si="6"/>
        <v>0</v>
      </c>
      <c r="APY8">
        <f t="shared" si="6"/>
        <v>0</v>
      </c>
      <c r="APZ8">
        <f t="shared" si="6"/>
        <v>0</v>
      </c>
      <c r="AQA8">
        <f t="shared" si="6"/>
        <v>0</v>
      </c>
      <c r="AQB8">
        <f t="shared" si="6"/>
        <v>0</v>
      </c>
      <c r="AQC8">
        <f t="shared" si="6"/>
        <v>0</v>
      </c>
      <c r="AQD8">
        <f t="shared" si="6"/>
        <v>0</v>
      </c>
      <c r="AQE8">
        <f t="shared" si="6"/>
        <v>0</v>
      </c>
      <c r="AQF8">
        <f t="shared" si="6"/>
        <v>12.5</v>
      </c>
      <c r="AQG8">
        <f t="shared" si="6"/>
        <v>12.5</v>
      </c>
      <c r="AQH8">
        <f t="shared" si="6"/>
        <v>12.5</v>
      </c>
      <c r="AQI8">
        <f t="shared" si="6"/>
        <v>25</v>
      </c>
      <c r="AQJ8">
        <f t="shared" si="6"/>
        <v>25</v>
      </c>
      <c r="AQK8">
        <f t="shared" si="6"/>
        <v>25</v>
      </c>
      <c r="AQL8">
        <f t="shared" si="6"/>
        <v>25</v>
      </c>
      <c r="AQM8">
        <f t="shared" si="6"/>
        <v>25</v>
      </c>
      <c r="AQN8">
        <f t="shared" si="6"/>
        <v>25</v>
      </c>
      <c r="AQO8">
        <f t="shared" si="6"/>
        <v>50</v>
      </c>
      <c r="AQP8">
        <f t="shared" si="6"/>
        <v>25</v>
      </c>
      <c r="AQQ8">
        <f t="shared" si="6"/>
        <v>0</v>
      </c>
      <c r="AQR8">
        <f t="shared" si="6"/>
        <v>0</v>
      </c>
      <c r="AQS8">
        <f t="shared" si="6"/>
        <v>0</v>
      </c>
      <c r="AQT8">
        <f t="shared" si="6"/>
        <v>0</v>
      </c>
      <c r="AQU8">
        <f t="shared" si="6"/>
        <v>0</v>
      </c>
      <c r="AQV8">
        <f t="shared" si="6"/>
        <v>0</v>
      </c>
      <c r="AQW8">
        <f t="shared" si="6"/>
        <v>0</v>
      </c>
      <c r="AQX8">
        <f t="shared" si="6"/>
        <v>0</v>
      </c>
      <c r="AQY8">
        <f t="shared" si="6"/>
        <v>0</v>
      </c>
      <c r="AQZ8">
        <f t="shared" si="6"/>
        <v>0</v>
      </c>
      <c r="ARA8">
        <f t="shared" si="6"/>
        <v>0</v>
      </c>
      <c r="ARB8">
        <f t="shared" si="6"/>
        <v>12.5</v>
      </c>
      <c r="ARC8">
        <f t="shared" si="6"/>
        <v>12.5</v>
      </c>
      <c r="ARD8">
        <f t="shared" si="6"/>
        <v>12.5</v>
      </c>
      <c r="ARE8">
        <f t="shared" si="6"/>
        <v>25</v>
      </c>
      <c r="ARF8">
        <f t="shared" si="6"/>
        <v>25</v>
      </c>
      <c r="ARG8">
        <f t="shared" si="6"/>
        <v>25</v>
      </c>
      <c r="ARH8">
        <f t="shared" si="6"/>
        <v>25</v>
      </c>
      <c r="ARI8">
        <f t="shared" si="6"/>
        <v>25</v>
      </c>
      <c r="ARJ8">
        <f t="shared" si="6"/>
        <v>25</v>
      </c>
      <c r="ARK8">
        <f t="shared" si="7"/>
        <v>50</v>
      </c>
      <c r="ARL8">
        <f t="shared" si="7"/>
        <v>25</v>
      </c>
      <c r="ARM8">
        <f t="shared" si="7"/>
        <v>0</v>
      </c>
      <c r="ARN8">
        <f t="shared" si="7"/>
        <v>0</v>
      </c>
      <c r="ARO8">
        <f t="shared" si="7"/>
        <v>0</v>
      </c>
      <c r="ARP8">
        <f t="shared" si="7"/>
        <v>0</v>
      </c>
      <c r="ARQ8">
        <f t="shared" si="7"/>
        <v>0</v>
      </c>
      <c r="ARR8">
        <f t="shared" si="7"/>
        <v>0</v>
      </c>
      <c r="ARS8">
        <f t="shared" si="7"/>
        <v>0</v>
      </c>
      <c r="ART8">
        <f t="shared" si="7"/>
        <v>0</v>
      </c>
      <c r="ARU8">
        <f t="shared" si="7"/>
        <v>0</v>
      </c>
      <c r="ARV8">
        <f t="shared" si="7"/>
        <v>0</v>
      </c>
      <c r="ARW8">
        <f t="shared" si="7"/>
        <v>0</v>
      </c>
      <c r="ARX8">
        <f t="shared" si="7"/>
        <v>12.5</v>
      </c>
      <c r="ARY8">
        <f t="shared" si="7"/>
        <v>12.5</v>
      </c>
      <c r="ARZ8">
        <f t="shared" si="7"/>
        <v>12.5</v>
      </c>
      <c r="ASA8">
        <f t="shared" si="7"/>
        <v>25</v>
      </c>
      <c r="ASB8">
        <f t="shared" si="7"/>
        <v>25</v>
      </c>
      <c r="ASC8">
        <f t="shared" si="7"/>
        <v>25</v>
      </c>
      <c r="ASD8">
        <f t="shared" si="7"/>
        <v>25</v>
      </c>
      <c r="ASE8">
        <f t="shared" si="7"/>
        <v>25</v>
      </c>
      <c r="ASF8">
        <f t="shared" si="7"/>
        <v>25</v>
      </c>
      <c r="ASG8">
        <f t="shared" si="7"/>
        <v>50</v>
      </c>
      <c r="ASH8">
        <f t="shared" si="7"/>
        <v>25</v>
      </c>
      <c r="ASI8">
        <f t="shared" si="7"/>
        <v>0</v>
      </c>
      <c r="ASJ8">
        <f t="shared" si="7"/>
        <v>0</v>
      </c>
      <c r="ASK8">
        <f t="shared" si="7"/>
        <v>0</v>
      </c>
      <c r="ASL8">
        <f t="shared" si="7"/>
        <v>0</v>
      </c>
      <c r="ASM8">
        <f t="shared" si="7"/>
        <v>0</v>
      </c>
      <c r="ASN8">
        <f t="shared" si="7"/>
        <v>0</v>
      </c>
      <c r="ASO8">
        <f t="shared" si="7"/>
        <v>0</v>
      </c>
      <c r="ASP8">
        <f t="shared" si="7"/>
        <v>0</v>
      </c>
      <c r="ASQ8">
        <f t="shared" si="7"/>
        <v>0</v>
      </c>
      <c r="ASR8">
        <f t="shared" si="7"/>
        <v>0</v>
      </c>
      <c r="ASS8">
        <f t="shared" si="7"/>
        <v>0</v>
      </c>
      <c r="AST8">
        <f t="shared" si="7"/>
        <v>12.5</v>
      </c>
      <c r="ASU8">
        <f t="shared" si="7"/>
        <v>12.5</v>
      </c>
      <c r="ASV8">
        <f t="shared" si="7"/>
        <v>12.5</v>
      </c>
      <c r="ASW8">
        <f t="shared" si="7"/>
        <v>25</v>
      </c>
      <c r="ASX8">
        <f t="shared" si="7"/>
        <v>25</v>
      </c>
      <c r="ASY8">
        <f t="shared" si="7"/>
        <v>25</v>
      </c>
      <c r="ASZ8">
        <f t="shared" si="7"/>
        <v>25</v>
      </c>
      <c r="ATA8">
        <f t="shared" si="7"/>
        <v>25</v>
      </c>
      <c r="ATB8">
        <f t="shared" si="7"/>
        <v>25</v>
      </c>
      <c r="ATC8">
        <f t="shared" si="7"/>
        <v>50</v>
      </c>
      <c r="ATD8">
        <f t="shared" si="7"/>
        <v>25</v>
      </c>
      <c r="ATE8">
        <f t="shared" si="7"/>
        <v>0</v>
      </c>
      <c r="ATF8">
        <f t="shared" si="7"/>
        <v>0</v>
      </c>
      <c r="ATG8">
        <f t="shared" si="7"/>
        <v>0</v>
      </c>
      <c r="ATH8">
        <f t="shared" si="7"/>
        <v>0</v>
      </c>
      <c r="ATI8">
        <f t="shared" si="7"/>
        <v>0</v>
      </c>
      <c r="ATJ8">
        <f t="shared" si="7"/>
        <v>0</v>
      </c>
      <c r="ATK8">
        <f t="shared" si="7"/>
        <v>0</v>
      </c>
      <c r="ATL8">
        <f t="shared" si="7"/>
        <v>0</v>
      </c>
      <c r="ATM8">
        <f t="shared" si="7"/>
        <v>0</v>
      </c>
      <c r="ATN8">
        <f t="shared" si="7"/>
        <v>0</v>
      </c>
      <c r="ATO8">
        <f t="shared" si="7"/>
        <v>0</v>
      </c>
      <c r="ATP8">
        <f t="shared" si="7"/>
        <v>12.5</v>
      </c>
      <c r="ATQ8">
        <f t="shared" si="7"/>
        <v>12.5</v>
      </c>
      <c r="ATR8">
        <f t="shared" si="7"/>
        <v>12.5</v>
      </c>
      <c r="ATS8">
        <f t="shared" si="7"/>
        <v>25</v>
      </c>
      <c r="ATT8">
        <f t="shared" si="7"/>
        <v>25</v>
      </c>
      <c r="ATU8">
        <f t="shared" si="7"/>
        <v>25</v>
      </c>
      <c r="ATV8">
        <f t="shared" si="7"/>
        <v>25</v>
      </c>
      <c r="ATW8">
        <f t="shared" si="8"/>
        <v>25</v>
      </c>
      <c r="ATX8">
        <f t="shared" si="8"/>
        <v>25</v>
      </c>
      <c r="ATY8">
        <f t="shared" si="8"/>
        <v>50</v>
      </c>
      <c r="ATZ8">
        <f t="shared" si="8"/>
        <v>25</v>
      </c>
      <c r="AUA8">
        <f t="shared" si="8"/>
        <v>0</v>
      </c>
      <c r="AUB8">
        <f t="shared" si="8"/>
        <v>0</v>
      </c>
      <c r="AUC8">
        <f t="shared" si="8"/>
        <v>0</v>
      </c>
      <c r="AUD8">
        <f t="shared" si="8"/>
        <v>0</v>
      </c>
      <c r="AUE8">
        <f t="shared" si="8"/>
        <v>0</v>
      </c>
      <c r="AUF8">
        <f t="shared" si="8"/>
        <v>0</v>
      </c>
      <c r="AUG8">
        <f t="shared" si="8"/>
        <v>0</v>
      </c>
      <c r="AUH8">
        <f t="shared" si="8"/>
        <v>0</v>
      </c>
      <c r="AUI8">
        <f t="shared" si="8"/>
        <v>0</v>
      </c>
      <c r="AUJ8">
        <f t="shared" si="8"/>
        <v>0</v>
      </c>
      <c r="AUK8">
        <f t="shared" si="8"/>
        <v>0</v>
      </c>
      <c r="AUL8">
        <f t="shared" si="8"/>
        <v>12.5</v>
      </c>
      <c r="AUM8">
        <f t="shared" si="8"/>
        <v>12.5</v>
      </c>
      <c r="AUN8">
        <f t="shared" si="8"/>
        <v>12.5</v>
      </c>
      <c r="AUO8">
        <f t="shared" si="8"/>
        <v>25</v>
      </c>
      <c r="AUP8">
        <f t="shared" si="8"/>
        <v>25</v>
      </c>
      <c r="AUQ8">
        <f t="shared" si="8"/>
        <v>25</v>
      </c>
      <c r="AUR8">
        <f t="shared" si="8"/>
        <v>25</v>
      </c>
      <c r="AUS8">
        <f t="shared" si="8"/>
        <v>25</v>
      </c>
      <c r="AUT8">
        <f t="shared" si="8"/>
        <v>25</v>
      </c>
      <c r="AUU8">
        <f t="shared" si="8"/>
        <v>50</v>
      </c>
      <c r="AUV8">
        <f t="shared" si="8"/>
        <v>25</v>
      </c>
      <c r="AUW8">
        <f t="shared" si="8"/>
        <v>0</v>
      </c>
      <c r="AUX8">
        <f t="shared" si="8"/>
        <v>0</v>
      </c>
      <c r="AUY8">
        <f t="shared" si="8"/>
        <v>0</v>
      </c>
      <c r="AUZ8">
        <f t="shared" si="8"/>
        <v>0</v>
      </c>
      <c r="AVA8">
        <f t="shared" si="8"/>
        <v>0</v>
      </c>
      <c r="AVB8">
        <f t="shared" si="8"/>
        <v>0</v>
      </c>
      <c r="AVC8">
        <f t="shared" si="8"/>
        <v>0</v>
      </c>
      <c r="AVD8">
        <f t="shared" si="8"/>
        <v>0</v>
      </c>
      <c r="AVE8">
        <f t="shared" si="8"/>
        <v>0</v>
      </c>
      <c r="AVF8">
        <f t="shared" si="8"/>
        <v>0</v>
      </c>
      <c r="AVG8">
        <f t="shared" si="8"/>
        <v>0</v>
      </c>
      <c r="AVH8">
        <f t="shared" si="8"/>
        <v>12.5</v>
      </c>
      <c r="AVI8">
        <f t="shared" si="8"/>
        <v>12.5</v>
      </c>
      <c r="AVJ8">
        <f t="shared" si="8"/>
        <v>12.5</v>
      </c>
      <c r="AVK8">
        <f t="shared" si="8"/>
        <v>25</v>
      </c>
      <c r="AVL8">
        <f t="shared" si="8"/>
        <v>25</v>
      </c>
      <c r="AVM8">
        <f t="shared" si="8"/>
        <v>25</v>
      </c>
      <c r="AVN8">
        <f t="shared" si="8"/>
        <v>25</v>
      </c>
      <c r="AVO8">
        <f t="shared" si="8"/>
        <v>25</v>
      </c>
      <c r="AVP8">
        <f t="shared" si="8"/>
        <v>25</v>
      </c>
      <c r="AVQ8">
        <f t="shared" si="8"/>
        <v>50</v>
      </c>
      <c r="AVR8">
        <f t="shared" si="8"/>
        <v>25</v>
      </c>
      <c r="AVS8">
        <f t="shared" si="8"/>
        <v>0</v>
      </c>
      <c r="AVT8">
        <f t="shared" si="8"/>
        <v>0</v>
      </c>
      <c r="AVU8">
        <f t="shared" si="8"/>
        <v>0</v>
      </c>
      <c r="AVV8">
        <f t="shared" si="8"/>
        <v>0</v>
      </c>
      <c r="AVW8">
        <f t="shared" si="8"/>
        <v>0</v>
      </c>
      <c r="AVX8">
        <f t="shared" si="8"/>
        <v>0</v>
      </c>
      <c r="AVY8">
        <f t="shared" si="8"/>
        <v>0</v>
      </c>
      <c r="AVZ8">
        <f t="shared" si="8"/>
        <v>0</v>
      </c>
      <c r="AWA8">
        <f t="shared" si="8"/>
        <v>0</v>
      </c>
      <c r="AWB8">
        <f t="shared" si="8"/>
        <v>0</v>
      </c>
      <c r="AWC8">
        <f t="shared" si="8"/>
        <v>0</v>
      </c>
      <c r="AWD8">
        <f t="shared" si="8"/>
        <v>12.5</v>
      </c>
      <c r="AWE8">
        <f t="shared" si="8"/>
        <v>12.5</v>
      </c>
      <c r="AWF8">
        <f t="shared" si="8"/>
        <v>12.5</v>
      </c>
      <c r="AWG8">
        <f t="shared" si="8"/>
        <v>25</v>
      </c>
      <c r="AWH8">
        <f t="shared" si="8"/>
        <v>25</v>
      </c>
      <c r="AWI8">
        <f t="shared" si="9"/>
        <v>25</v>
      </c>
      <c r="AWJ8">
        <f t="shared" si="9"/>
        <v>25</v>
      </c>
      <c r="AWK8">
        <f t="shared" si="9"/>
        <v>25</v>
      </c>
      <c r="AWL8">
        <f t="shared" si="9"/>
        <v>25</v>
      </c>
      <c r="AWM8">
        <f t="shared" si="9"/>
        <v>50</v>
      </c>
      <c r="AWN8">
        <f t="shared" si="9"/>
        <v>25</v>
      </c>
      <c r="AWO8">
        <f t="shared" si="9"/>
        <v>0</v>
      </c>
      <c r="AWP8">
        <f t="shared" si="9"/>
        <v>0</v>
      </c>
      <c r="AWQ8">
        <f t="shared" si="9"/>
        <v>0</v>
      </c>
      <c r="AWR8">
        <f t="shared" si="9"/>
        <v>0</v>
      </c>
      <c r="AWS8">
        <f t="shared" si="9"/>
        <v>0</v>
      </c>
      <c r="AWT8">
        <f t="shared" si="9"/>
        <v>0</v>
      </c>
      <c r="AWU8">
        <f t="shared" si="9"/>
        <v>0</v>
      </c>
      <c r="AWV8">
        <f t="shared" si="9"/>
        <v>0</v>
      </c>
      <c r="AWW8">
        <f t="shared" si="9"/>
        <v>0</v>
      </c>
      <c r="AWX8">
        <f t="shared" si="9"/>
        <v>0</v>
      </c>
      <c r="AWY8">
        <f t="shared" si="9"/>
        <v>0</v>
      </c>
      <c r="AWZ8">
        <f t="shared" si="9"/>
        <v>12.5</v>
      </c>
      <c r="AXA8">
        <f t="shared" si="9"/>
        <v>12.5</v>
      </c>
      <c r="AXB8">
        <f t="shared" si="9"/>
        <v>12.5</v>
      </c>
      <c r="AXC8">
        <f t="shared" si="9"/>
        <v>25</v>
      </c>
      <c r="AXD8">
        <f t="shared" si="9"/>
        <v>25</v>
      </c>
      <c r="AXE8">
        <f t="shared" si="9"/>
        <v>25</v>
      </c>
      <c r="AXF8">
        <f t="shared" si="9"/>
        <v>25</v>
      </c>
      <c r="AXG8">
        <f t="shared" si="9"/>
        <v>25</v>
      </c>
      <c r="AXH8">
        <f t="shared" si="9"/>
        <v>25</v>
      </c>
      <c r="AXI8">
        <f t="shared" si="9"/>
        <v>50</v>
      </c>
      <c r="AXJ8">
        <f t="shared" si="9"/>
        <v>25</v>
      </c>
      <c r="AXK8">
        <f t="shared" si="9"/>
        <v>0</v>
      </c>
      <c r="AXL8">
        <f t="shared" si="9"/>
        <v>0</v>
      </c>
      <c r="AXM8">
        <f t="shared" si="9"/>
        <v>0</v>
      </c>
      <c r="AXN8">
        <f t="shared" si="9"/>
        <v>0</v>
      </c>
      <c r="AXO8">
        <f t="shared" si="9"/>
        <v>0</v>
      </c>
      <c r="AXP8">
        <f t="shared" si="9"/>
        <v>0</v>
      </c>
      <c r="AXQ8">
        <f t="shared" si="9"/>
        <v>0</v>
      </c>
      <c r="AXR8">
        <f t="shared" si="9"/>
        <v>0</v>
      </c>
      <c r="AXS8">
        <f t="shared" si="9"/>
        <v>0</v>
      </c>
      <c r="AXT8">
        <f t="shared" si="9"/>
        <v>0</v>
      </c>
      <c r="AXU8">
        <f t="shared" si="9"/>
        <v>0</v>
      </c>
      <c r="AXV8">
        <f t="shared" si="9"/>
        <v>12.5</v>
      </c>
      <c r="AXW8">
        <f t="shared" si="9"/>
        <v>12.5</v>
      </c>
      <c r="AXX8">
        <f t="shared" si="9"/>
        <v>12.5</v>
      </c>
      <c r="AXY8">
        <f t="shared" si="9"/>
        <v>25</v>
      </c>
      <c r="AXZ8">
        <f t="shared" si="9"/>
        <v>25</v>
      </c>
      <c r="AYA8">
        <f t="shared" si="9"/>
        <v>25</v>
      </c>
      <c r="AYB8">
        <f t="shared" si="9"/>
        <v>25</v>
      </c>
      <c r="AYC8">
        <f t="shared" si="9"/>
        <v>25</v>
      </c>
      <c r="AYD8">
        <f t="shared" si="9"/>
        <v>25</v>
      </c>
      <c r="AYE8">
        <f t="shared" si="9"/>
        <v>50</v>
      </c>
      <c r="AYF8">
        <f t="shared" si="9"/>
        <v>25</v>
      </c>
      <c r="AYG8">
        <f t="shared" si="9"/>
        <v>0</v>
      </c>
      <c r="AYH8">
        <f t="shared" si="9"/>
        <v>0</v>
      </c>
      <c r="AYI8">
        <f t="shared" si="9"/>
        <v>0</v>
      </c>
      <c r="AYJ8">
        <f t="shared" si="9"/>
        <v>0</v>
      </c>
      <c r="AYK8">
        <f t="shared" si="9"/>
        <v>0</v>
      </c>
      <c r="AYL8">
        <f t="shared" si="9"/>
        <v>0</v>
      </c>
      <c r="AYM8">
        <f t="shared" si="9"/>
        <v>0</v>
      </c>
      <c r="AYN8">
        <f t="shared" si="9"/>
        <v>0</v>
      </c>
      <c r="AYO8">
        <f t="shared" si="9"/>
        <v>0</v>
      </c>
      <c r="AYP8">
        <f t="shared" si="9"/>
        <v>0</v>
      </c>
      <c r="AYQ8">
        <f t="shared" si="9"/>
        <v>0</v>
      </c>
      <c r="AYR8">
        <f t="shared" si="9"/>
        <v>12.5</v>
      </c>
      <c r="AYS8">
        <f t="shared" si="9"/>
        <v>12.5</v>
      </c>
      <c r="AYT8">
        <f t="shared" si="9"/>
        <v>12.5</v>
      </c>
      <c r="AYU8">
        <f t="shared" si="10"/>
        <v>25</v>
      </c>
      <c r="AYV8">
        <f t="shared" si="10"/>
        <v>25</v>
      </c>
      <c r="AYW8">
        <f t="shared" si="10"/>
        <v>25</v>
      </c>
      <c r="AYX8">
        <f t="shared" si="10"/>
        <v>25</v>
      </c>
      <c r="AYY8">
        <f t="shared" si="10"/>
        <v>25</v>
      </c>
      <c r="AYZ8">
        <f t="shared" si="10"/>
        <v>25</v>
      </c>
      <c r="AZA8">
        <f t="shared" si="10"/>
        <v>50</v>
      </c>
      <c r="AZB8">
        <f t="shared" si="10"/>
        <v>25</v>
      </c>
      <c r="AZC8">
        <f t="shared" si="10"/>
        <v>0</v>
      </c>
      <c r="AZD8">
        <f t="shared" si="10"/>
        <v>0</v>
      </c>
      <c r="AZE8">
        <f t="shared" si="10"/>
        <v>0</v>
      </c>
      <c r="AZF8">
        <f t="shared" si="10"/>
        <v>0</v>
      </c>
      <c r="AZG8">
        <f t="shared" si="10"/>
        <v>0</v>
      </c>
      <c r="AZH8">
        <f t="shared" si="10"/>
        <v>0</v>
      </c>
      <c r="AZI8">
        <f t="shared" si="10"/>
        <v>0</v>
      </c>
      <c r="AZJ8">
        <f t="shared" si="10"/>
        <v>0</v>
      </c>
      <c r="AZK8">
        <f t="shared" si="10"/>
        <v>0</v>
      </c>
      <c r="AZL8">
        <f t="shared" si="10"/>
        <v>0</v>
      </c>
      <c r="AZM8">
        <f t="shared" si="10"/>
        <v>0</v>
      </c>
      <c r="AZN8">
        <f t="shared" si="10"/>
        <v>12.5</v>
      </c>
      <c r="AZO8">
        <f t="shared" si="10"/>
        <v>12.5</v>
      </c>
      <c r="AZP8">
        <f t="shared" si="10"/>
        <v>12.5</v>
      </c>
      <c r="AZQ8">
        <f t="shared" si="10"/>
        <v>25</v>
      </c>
      <c r="AZR8">
        <f t="shared" si="10"/>
        <v>25</v>
      </c>
      <c r="AZS8">
        <f t="shared" si="10"/>
        <v>25</v>
      </c>
      <c r="AZT8">
        <f t="shared" si="10"/>
        <v>25</v>
      </c>
      <c r="AZU8">
        <f t="shared" si="10"/>
        <v>25</v>
      </c>
      <c r="AZV8">
        <f t="shared" si="10"/>
        <v>25</v>
      </c>
      <c r="AZW8">
        <f t="shared" si="10"/>
        <v>50</v>
      </c>
      <c r="AZX8">
        <f t="shared" si="10"/>
        <v>25</v>
      </c>
      <c r="AZY8">
        <f t="shared" si="10"/>
        <v>0</v>
      </c>
      <c r="AZZ8">
        <f t="shared" si="10"/>
        <v>0</v>
      </c>
      <c r="BAA8">
        <f t="shared" si="10"/>
        <v>0</v>
      </c>
      <c r="BAB8">
        <f t="shared" si="10"/>
        <v>0</v>
      </c>
      <c r="BAC8">
        <f t="shared" si="10"/>
        <v>0</v>
      </c>
      <c r="BAD8">
        <f t="shared" si="10"/>
        <v>0</v>
      </c>
      <c r="BAE8">
        <f t="shared" si="10"/>
        <v>0</v>
      </c>
      <c r="BAF8">
        <f t="shared" si="10"/>
        <v>0</v>
      </c>
      <c r="BAG8">
        <f t="shared" si="10"/>
        <v>0</v>
      </c>
      <c r="BAH8">
        <f t="shared" si="10"/>
        <v>0</v>
      </c>
      <c r="BAI8">
        <f t="shared" si="10"/>
        <v>0</v>
      </c>
      <c r="BAJ8">
        <f t="shared" si="10"/>
        <v>12.5</v>
      </c>
      <c r="BAK8">
        <f t="shared" si="10"/>
        <v>12.5</v>
      </c>
      <c r="BAL8">
        <f t="shared" si="10"/>
        <v>12.5</v>
      </c>
      <c r="BAM8">
        <f t="shared" si="10"/>
        <v>25</v>
      </c>
      <c r="BAN8">
        <f t="shared" si="10"/>
        <v>25</v>
      </c>
      <c r="BAO8">
        <f t="shared" si="10"/>
        <v>25</v>
      </c>
      <c r="BAP8">
        <f t="shared" si="10"/>
        <v>25</v>
      </c>
      <c r="BAQ8">
        <f t="shared" si="10"/>
        <v>25</v>
      </c>
      <c r="BAR8">
        <f t="shared" si="10"/>
        <v>25</v>
      </c>
      <c r="BAS8">
        <f t="shared" si="10"/>
        <v>50</v>
      </c>
      <c r="BAT8">
        <f t="shared" si="10"/>
        <v>25</v>
      </c>
      <c r="BAU8">
        <f t="shared" si="10"/>
        <v>0</v>
      </c>
      <c r="BAV8">
        <f t="shared" si="10"/>
        <v>0</v>
      </c>
      <c r="BAW8">
        <f t="shared" si="10"/>
        <v>0</v>
      </c>
      <c r="BAX8">
        <f t="shared" si="10"/>
        <v>0</v>
      </c>
      <c r="BAY8">
        <f t="shared" si="10"/>
        <v>0</v>
      </c>
      <c r="BAZ8">
        <f t="shared" si="10"/>
        <v>0</v>
      </c>
      <c r="BBA8">
        <f t="shared" si="10"/>
        <v>0</v>
      </c>
      <c r="BBB8">
        <f t="shared" si="10"/>
        <v>0</v>
      </c>
      <c r="BBC8">
        <f t="shared" si="10"/>
        <v>0</v>
      </c>
      <c r="BBD8">
        <f t="shared" si="10"/>
        <v>0</v>
      </c>
      <c r="BBE8">
        <f t="shared" si="10"/>
        <v>0</v>
      </c>
      <c r="BBF8">
        <f t="shared" si="10"/>
        <v>12.5</v>
      </c>
      <c r="BBG8">
        <f t="shared" si="11"/>
        <v>12.5</v>
      </c>
      <c r="BBH8">
        <f t="shared" si="11"/>
        <v>12.5</v>
      </c>
      <c r="BBI8">
        <f t="shared" si="11"/>
        <v>25</v>
      </c>
      <c r="BBJ8">
        <f t="shared" si="11"/>
        <v>25</v>
      </c>
      <c r="BBK8">
        <f t="shared" si="11"/>
        <v>25</v>
      </c>
      <c r="BBL8">
        <f t="shared" si="11"/>
        <v>25</v>
      </c>
      <c r="BBM8">
        <f t="shared" si="11"/>
        <v>25</v>
      </c>
      <c r="BBN8">
        <f t="shared" si="11"/>
        <v>25</v>
      </c>
      <c r="BBO8">
        <f t="shared" si="11"/>
        <v>50</v>
      </c>
      <c r="BBP8">
        <f t="shared" si="11"/>
        <v>25</v>
      </c>
      <c r="BBQ8">
        <f t="shared" si="11"/>
        <v>0</v>
      </c>
      <c r="BBR8">
        <f t="shared" si="11"/>
        <v>0</v>
      </c>
      <c r="BBS8">
        <f t="shared" si="11"/>
        <v>0</v>
      </c>
      <c r="BBT8">
        <f t="shared" si="11"/>
        <v>0</v>
      </c>
      <c r="BBU8">
        <f t="shared" si="11"/>
        <v>0</v>
      </c>
      <c r="BBV8">
        <f t="shared" si="11"/>
        <v>0</v>
      </c>
      <c r="BBW8">
        <f t="shared" si="11"/>
        <v>0</v>
      </c>
      <c r="BBX8">
        <f t="shared" si="11"/>
        <v>0</v>
      </c>
      <c r="BBY8">
        <f t="shared" si="11"/>
        <v>0</v>
      </c>
      <c r="BBZ8">
        <f t="shared" si="11"/>
        <v>0</v>
      </c>
      <c r="BCA8">
        <f t="shared" si="11"/>
        <v>0</v>
      </c>
      <c r="BCB8">
        <f t="shared" si="11"/>
        <v>12.5</v>
      </c>
      <c r="BCC8">
        <f t="shared" si="11"/>
        <v>12.5</v>
      </c>
      <c r="BCD8">
        <f t="shared" si="11"/>
        <v>12.5</v>
      </c>
      <c r="BCE8">
        <f t="shared" si="11"/>
        <v>25</v>
      </c>
      <c r="BCF8">
        <f t="shared" si="11"/>
        <v>25</v>
      </c>
      <c r="BCG8">
        <f t="shared" si="11"/>
        <v>25</v>
      </c>
      <c r="BCH8">
        <f t="shared" si="11"/>
        <v>25</v>
      </c>
      <c r="BCI8">
        <f t="shared" si="11"/>
        <v>25</v>
      </c>
      <c r="BCJ8">
        <f t="shared" si="11"/>
        <v>25</v>
      </c>
      <c r="BCK8">
        <f t="shared" si="11"/>
        <v>50</v>
      </c>
      <c r="BCL8">
        <f t="shared" si="11"/>
        <v>25</v>
      </c>
      <c r="BCM8">
        <f t="shared" si="11"/>
        <v>0</v>
      </c>
      <c r="BCN8">
        <f t="shared" si="11"/>
        <v>0</v>
      </c>
      <c r="BCO8">
        <f t="shared" si="11"/>
        <v>0</v>
      </c>
      <c r="BCP8">
        <f t="shared" si="11"/>
        <v>0</v>
      </c>
      <c r="BCQ8">
        <f t="shared" si="11"/>
        <v>0</v>
      </c>
      <c r="BCR8">
        <f t="shared" si="11"/>
        <v>0</v>
      </c>
      <c r="BCS8">
        <f t="shared" si="11"/>
        <v>0</v>
      </c>
      <c r="BCT8">
        <f t="shared" si="11"/>
        <v>0</v>
      </c>
      <c r="BCU8">
        <f t="shared" si="11"/>
        <v>0</v>
      </c>
      <c r="BCV8">
        <f t="shared" si="11"/>
        <v>0</v>
      </c>
      <c r="BCW8">
        <f t="shared" si="11"/>
        <v>0</v>
      </c>
      <c r="BCX8">
        <f t="shared" si="11"/>
        <v>12.5</v>
      </c>
      <c r="BCY8">
        <f t="shared" si="11"/>
        <v>12.5</v>
      </c>
      <c r="BCZ8">
        <f t="shared" si="11"/>
        <v>12.5</v>
      </c>
      <c r="BDA8">
        <f t="shared" si="11"/>
        <v>25</v>
      </c>
      <c r="BDB8">
        <f t="shared" si="11"/>
        <v>25</v>
      </c>
      <c r="BDC8">
        <f t="shared" si="11"/>
        <v>25</v>
      </c>
      <c r="BDD8">
        <f t="shared" si="11"/>
        <v>25</v>
      </c>
      <c r="BDE8">
        <f t="shared" si="11"/>
        <v>25</v>
      </c>
      <c r="BDF8">
        <f t="shared" si="11"/>
        <v>25</v>
      </c>
      <c r="BDG8">
        <f t="shared" si="11"/>
        <v>50</v>
      </c>
      <c r="BDH8">
        <f t="shared" si="11"/>
        <v>25</v>
      </c>
      <c r="BDI8">
        <f t="shared" si="11"/>
        <v>0</v>
      </c>
      <c r="BDJ8">
        <f t="shared" si="11"/>
        <v>0</v>
      </c>
      <c r="BDK8">
        <f t="shared" si="11"/>
        <v>0</v>
      </c>
      <c r="BDL8">
        <f t="shared" si="11"/>
        <v>0</v>
      </c>
      <c r="BDM8">
        <f t="shared" si="11"/>
        <v>0</v>
      </c>
      <c r="BDN8">
        <f t="shared" si="11"/>
        <v>0</v>
      </c>
      <c r="BDO8">
        <f t="shared" si="11"/>
        <v>0</v>
      </c>
      <c r="BDP8">
        <f t="shared" si="11"/>
        <v>0</v>
      </c>
      <c r="BDQ8">
        <f t="shared" si="11"/>
        <v>0</v>
      </c>
      <c r="BDR8">
        <f t="shared" si="11"/>
        <v>0</v>
      </c>
      <c r="BDS8">
        <f t="shared" si="12"/>
        <v>0</v>
      </c>
      <c r="BDT8">
        <f t="shared" si="12"/>
        <v>12.5</v>
      </c>
      <c r="BDU8">
        <f t="shared" si="12"/>
        <v>12.5</v>
      </c>
      <c r="BDV8">
        <f t="shared" si="12"/>
        <v>12.5</v>
      </c>
      <c r="BDW8">
        <f t="shared" si="12"/>
        <v>25</v>
      </c>
      <c r="BDX8">
        <f t="shared" si="12"/>
        <v>25</v>
      </c>
      <c r="BDY8">
        <f t="shared" si="12"/>
        <v>25</v>
      </c>
      <c r="BDZ8">
        <f t="shared" si="12"/>
        <v>25</v>
      </c>
      <c r="BEA8">
        <f t="shared" si="12"/>
        <v>25</v>
      </c>
      <c r="BEB8">
        <f t="shared" si="12"/>
        <v>25</v>
      </c>
      <c r="BEC8">
        <f t="shared" si="12"/>
        <v>50</v>
      </c>
      <c r="BED8">
        <f t="shared" si="12"/>
        <v>25</v>
      </c>
      <c r="BEE8">
        <f t="shared" si="12"/>
        <v>0</v>
      </c>
      <c r="BEF8">
        <f t="shared" si="12"/>
        <v>0</v>
      </c>
      <c r="BEG8">
        <f t="shared" si="12"/>
        <v>0</v>
      </c>
      <c r="BEH8">
        <f t="shared" si="12"/>
        <v>0</v>
      </c>
      <c r="BEI8">
        <f t="shared" si="12"/>
        <v>0</v>
      </c>
      <c r="BEJ8">
        <f t="shared" si="12"/>
        <v>0</v>
      </c>
      <c r="BEK8">
        <f t="shared" si="12"/>
        <v>0</v>
      </c>
      <c r="BEL8">
        <f t="shared" si="12"/>
        <v>0</v>
      </c>
      <c r="BEM8">
        <f t="shared" si="12"/>
        <v>0</v>
      </c>
      <c r="BEN8">
        <f t="shared" si="12"/>
        <v>0</v>
      </c>
      <c r="BEO8">
        <f t="shared" si="12"/>
        <v>0</v>
      </c>
      <c r="BEP8">
        <f t="shared" si="12"/>
        <v>12.5</v>
      </c>
      <c r="BEQ8">
        <f t="shared" si="12"/>
        <v>12.5</v>
      </c>
      <c r="BER8">
        <f t="shared" si="12"/>
        <v>12.5</v>
      </c>
      <c r="BES8">
        <f t="shared" si="12"/>
        <v>25</v>
      </c>
      <c r="BET8">
        <f t="shared" si="12"/>
        <v>25</v>
      </c>
      <c r="BEU8">
        <f t="shared" si="12"/>
        <v>25</v>
      </c>
      <c r="BEV8">
        <f t="shared" si="12"/>
        <v>25</v>
      </c>
      <c r="BEW8">
        <f t="shared" si="12"/>
        <v>25</v>
      </c>
      <c r="BEX8">
        <f t="shared" si="12"/>
        <v>25</v>
      </c>
      <c r="BEY8">
        <f t="shared" si="12"/>
        <v>50</v>
      </c>
      <c r="BEZ8">
        <f t="shared" si="12"/>
        <v>25</v>
      </c>
      <c r="BFA8">
        <f t="shared" si="12"/>
        <v>0</v>
      </c>
      <c r="BFB8">
        <f t="shared" si="12"/>
        <v>0</v>
      </c>
      <c r="BFC8">
        <f t="shared" si="12"/>
        <v>0</v>
      </c>
      <c r="BFD8">
        <f t="shared" si="12"/>
        <v>0</v>
      </c>
      <c r="BFE8">
        <f t="shared" si="12"/>
        <v>0</v>
      </c>
      <c r="BFF8">
        <f t="shared" si="12"/>
        <v>0</v>
      </c>
      <c r="BFG8">
        <f t="shared" si="12"/>
        <v>0</v>
      </c>
      <c r="BFH8">
        <f t="shared" si="12"/>
        <v>0</v>
      </c>
      <c r="BFI8">
        <f t="shared" si="12"/>
        <v>0</v>
      </c>
      <c r="BFJ8">
        <f t="shared" si="12"/>
        <v>0</v>
      </c>
      <c r="BFK8">
        <f t="shared" si="12"/>
        <v>0</v>
      </c>
      <c r="BFL8">
        <f t="shared" si="12"/>
        <v>12.5</v>
      </c>
      <c r="BFM8">
        <f t="shared" si="12"/>
        <v>12.5</v>
      </c>
      <c r="BFN8">
        <f t="shared" si="12"/>
        <v>12.5</v>
      </c>
      <c r="BFO8">
        <f t="shared" si="12"/>
        <v>25</v>
      </c>
      <c r="BFP8">
        <f t="shared" si="12"/>
        <v>25</v>
      </c>
      <c r="BFQ8">
        <f t="shared" si="12"/>
        <v>25</v>
      </c>
      <c r="BFR8">
        <f t="shared" si="12"/>
        <v>25</v>
      </c>
      <c r="BFS8">
        <f t="shared" si="12"/>
        <v>25</v>
      </c>
      <c r="BFT8">
        <f t="shared" si="12"/>
        <v>25</v>
      </c>
      <c r="BFU8">
        <f t="shared" si="12"/>
        <v>50</v>
      </c>
      <c r="BFV8">
        <f t="shared" si="12"/>
        <v>25</v>
      </c>
      <c r="BFW8">
        <f t="shared" si="12"/>
        <v>0</v>
      </c>
      <c r="BFX8">
        <f t="shared" si="12"/>
        <v>0</v>
      </c>
      <c r="BFY8">
        <f t="shared" si="12"/>
        <v>0</v>
      </c>
      <c r="BFZ8">
        <f t="shared" si="12"/>
        <v>0</v>
      </c>
      <c r="BGA8">
        <f t="shared" si="12"/>
        <v>0</v>
      </c>
      <c r="BGB8">
        <f t="shared" si="12"/>
        <v>0</v>
      </c>
      <c r="BGC8">
        <f t="shared" si="12"/>
        <v>0</v>
      </c>
      <c r="BGD8">
        <f t="shared" si="12"/>
        <v>0</v>
      </c>
      <c r="BGE8">
        <f t="shared" si="13"/>
        <v>0</v>
      </c>
      <c r="BGF8">
        <f t="shared" si="13"/>
        <v>0</v>
      </c>
      <c r="BGG8">
        <f t="shared" si="13"/>
        <v>0</v>
      </c>
      <c r="BGH8">
        <f t="shared" si="13"/>
        <v>12.5</v>
      </c>
      <c r="BGI8">
        <f t="shared" si="13"/>
        <v>12.5</v>
      </c>
      <c r="BGJ8">
        <f t="shared" si="13"/>
        <v>12.5</v>
      </c>
      <c r="BGK8">
        <f t="shared" si="13"/>
        <v>25</v>
      </c>
      <c r="BGL8">
        <f t="shared" si="13"/>
        <v>25</v>
      </c>
      <c r="BGM8">
        <f t="shared" si="13"/>
        <v>25</v>
      </c>
      <c r="BGN8">
        <f t="shared" si="13"/>
        <v>25</v>
      </c>
      <c r="BGO8">
        <f t="shared" si="13"/>
        <v>25</v>
      </c>
      <c r="BGP8">
        <f t="shared" si="13"/>
        <v>25</v>
      </c>
      <c r="BGQ8">
        <f t="shared" si="13"/>
        <v>50</v>
      </c>
      <c r="BGR8">
        <f t="shared" si="13"/>
        <v>25</v>
      </c>
      <c r="BGS8">
        <f t="shared" si="13"/>
        <v>0</v>
      </c>
      <c r="BGT8">
        <f t="shared" si="13"/>
        <v>0</v>
      </c>
      <c r="BGU8">
        <f t="shared" si="13"/>
        <v>0</v>
      </c>
      <c r="BGV8">
        <f t="shared" si="13"/>
        <v>0</v>
      </c>
      <c r="BGW8">
        <f t="shared" si="13"/>
        <v>0</v>
      </c>
      <c r="BGX8">
        <f t="shared" si="13"/>
        <v>0</v>
      </c>
      <c r="BGY8">
        <f t="shared" si="13"/>
        <v>0</v>
      </c>
      <c r="BGZ8">
        <f t="shared" si="13"/>
        <v>0</v>
      </c>
      <c r="BHA8">
        <f t="shared" si="13"/>
        <v>0</v>
      </c>
      <c r="BHB8">
        <f t="shared" si="13"/>
        <v>0</v>
      </c>
      <c r="BHC8">
        <f t="shared" si="13"/>
        <v>0</v>
      </c>
      <c r="BHD8">
        <f t="shared" si="13"/>
        <v>12.5</v>
      </c>
      <c r="BHE8">
        <f t="shared" si="13"/>
        <v>12.5</v>
      </c>
      <c r="BHF8">
        <f t="shared" si="13"/>
        <v>12.5</v>
      </c>
      <c r="BHG8">
        <f t="shared" si="13"/>
        <v>25</v>
      </c>
      <c r="BHH8">
        <f t="shared" si="13"/>
        <v>25</v>
      </c>
      <c r="BHI8">
        <f t="shared" si="13"/>
        <v>25</v>
      </c>
      <c r="BHJ8">
        <f t="shared" si="13"/>
        <v>25</v>
      </c>
      <c r="BHK8">
        <f t="shared" si="13"/>
        <v>25</v>
      </c>
      <c r="BHL8">
        <f t="shared" si="13"/>
        <v>25</v>
      </c>
      <c r="BHM8">
        <f t="shared" si="13"/>
        <v>50</v>
      </c>
      <c r="BHN8">
        <f t="shared" si="13"/>
        <v>25</v>
      </c>
      <c r="BHO8">
        <f t="shared" si="13"/>
        <v>0</v>
      </c>
      <c r="BHP8">
        <f t="shared" si="13"/>
        <v>0</v>
      </c>
      <c r="BHQ8">
        <f t="shared" si="13"/>
        <v>0</v>
      </c>
      <c r="BHR8">
        <f t="shared" si="13"/>
        <v>0</v>
      </c>
      <c r="BHS8">
        <f t="shared" si="13"/>
        <v>0</v>
      </c>
      <c r="BHT8">
        <f t="shared" si="13"/>
        <v>0</v>
      </c>
      <c r="BHU8">
        <f t="shared" si="13"/>
        <v>0</v>
      </c>
      <c r="BHV8">
        <f t="shared" si="13"/>
        <v>0</v>
      </c>
      <c r="BHW8">
        <f t="shared" si="13"/>
        <v>0</v>
      </c>
      <c r="BHX8">
        <f t="shared" si="13"/>
        <v>0</v>
      </c>
      <c r="BHY8">
        <f t="shared" si="13"/>
        <v>0</v>
      </c>
      <c r="BHZ8">
        <f t="shared" si="13"/>
        <v>12.5</v>
      </c>
      <c r="BIA8">
        <f t="shared" si="13"/>
        <v>12.5</v>
      </c>
      <c r="BIB8">
        <f t="shared" si="13"/>
        <v>12.5</v>
      </c>
      <c r="BIC8">
        <f t="shared" si="13"/>
        <v>25</v>
      </c>
      <c r="BID8">
        <f t="shared" si="13"/>
        <v>25</v>
      </c>
      <c r="BIE8">
        <f t="shared" si="13"/>
        <v>25</v>
      </c>
      <c r="BIF8">
        <f t="shared" si="13"/>
        <v>25</v>
      </c>
      <c r="BIG8">
        <f t="shared" si="13"/>
        <v>25</v>
      </c>
      <c r="BIH8">
        <f t="shared" si="13"/>
        <v>25</v>
      </c>
      <c r="BII8">
        <f t="shared" si="13"/>
        <v>50</v>
      </c>
      <c r="BIJ8">
        <f t="shared" si="13"/>
        <v>25</v>
      </c>
      <c r="BIK8">
        <f t="shared" si="13"/>
        <v>0</v>
      </c>
      <c r="BIL8">
        <f t="shared" si="13"/>
        <v>0</v>
      </c>
      <c r="BIM8">
        <f t="shared" si="13"/>
        <v>0</v>
      </c>
      <c r="BIN8">
        <f t="shared" si="13"/>
        <v>0</v>
      </c>
      <c r="BIO8">
        <f t="shared" si="13"/>
        <v>0</v>
      </c>
      <c r="BIP8">
        <f t="shared" si="13"/>
        <v>0</v>
      </c>
      <c r="BIQ8">
        <f t="shared" si="14"/>
        <v>0</v>
      </c>
      <c r="BIR8">
        <f t="shared" si="14"/>
        <v>0</v>
      </c>
      <c r="BIS8">
        <f t="shared" si="14"/>
        <v>0</v>
      </c>
      <c r="BIT8">
        <f t="shared" si="14"/>
        <v>0</v>
      </c>
      <c r="BIU8">
        <f t="shared" si="14"/>
        <v>0</v>
      </c>
      <c r="BIV8">
        <f t="shared" si="14"/>
        <v>12.5</v>
      </c>
      <c r="BIW8">
        <f t="shared" si="14"/>
        <v>12.5</v>
      </c>
      <c r="BIX8">
        <f t="shared" si="14"/>
        <v>12.5</v>
      </c>
      <c r="BIY8">
        <f t="shared" si="14"/>
        <v>25</v>
      </c>
      <c r="BIZ8">
        <f t="shared" si="14"/>
        <v>25</v>
      </c>
      <c r="BJA8">
        <f t="shared" si="14"/>
        <v>25</v>
      </c>
      <c r="BJB8">
        <f t="shared" si="14"/>
        <v>25</v>
      </c>
      <c r="BJC8">
        <f t="shared" si="14"/>
        <v>25</v>
      </c>
      <c r="BJD8">
        <f t="shared" si="14"/>
        <v>25</v>
      </c>
      <c r="BJE8">
        <f t="shared" si="14"/>
        <v>50</v>
      </c>
      <c r="BJF8">
        <f t="shared" si="14"/>
        <v>25</v>
      </c>
      <c r="BJG8">
        <f t="shared" si="14"/>
        <v>0</v>
      </c>
      <c r="BJH8">
        <f t="shared" si="14"/>
        <v>0</v>
      </c>
      <c r="BJI8">
        <f t="shared" si="14"/>
        <v>0</v>
      </c>
      <c r="BJJ8">
        <f t="shared" si="14"/>
        <v>0</v>
      </c>
      <c r="BJK8">
        <f t="shared" si="14"/>
        <v>0</v>
      </c>
      <c r="BJL8">
        <f t="shared" si="14"/>
        <v>0</v>
      </c>
      <c r="BJM8">
        <f t="shared" si="14"/>
        <v>0</v>
      </c>
      <c r="BJN8">
        <f t="shared" si="14"/>
        <v>0</v>
      </c>
      <c r="BJO8">
        <f t="shared" si="14"/>
        <v>0</v>
      </c>
      <c r="BJP8">
        <f t="shared" si="14"/>
        <v>0</v>
      </c>
      <c r="BJQ8">
        <f t="shared" si="14"/>
        <v>0</v>
      </c>
      <c r="BJR8">
        <f t="shared" si="14"/>
        <v>12.5</v>
      </c>
      <c r="BJS8">
        <f t="shared" si="14"/>
        <v>12.5</v>
      </c>
      <c r="BJT8">
        <f t="shared" si="14"/>
        <v>12.5</v>
      </c>
      <c r="BJU8">
        <f t="shared" si="14"/>
        <v>25</v>
      </c>
      <c r="BJV8">
        <f t="shared" si="14"/>
        <v>25</v>
      </c>
      <c r="BJW8">
        <f t="shared" si="14"/>
        <v>25</v>
      </c>
      <c r="BJX8">
        <f t="shared" si="14"/>
        <v>25</v>
      </c>
      <c r="BJY8">
        <f t="shared" si="14"/>
        <v>25</v>
      </c>
      <c r="BJZ8">
        <f t="shared" si="14"/>
        <v>25</v>
      </c>
      <c r="BKA8">
        <f t="shared" si="14"/>
        <v>50</v>
      </c>
      <c r="BKB8">
        <f t="shared" si="14"/>
        <v>25</v>
      </c>
      <c r="BKC8">
        <f t="shared" si="14"/>
        <v>0</v>
      </c>
      <c r="BKD8">
        <f t="shared" si="14"/>
        <v>0</v>
      </c>
      <c r="BKE8">
        <f t="shared" si="14"/>
        <v>0</v>
      </c>
      <c r="BKF8">
        <f t="shared" si="14"/>
        <v>0</v>
      </c>
      <c r="BKG8">
        <f t="shared" si="14"/>
        <v>0</v>
      </c>
      <c r="BKH8">
        <f t="shared" si="14"/>
        <v>0</v>
      </c>
      <c r="BKI8">
        <f t="shared" si="14"/>
        <v>0</v>
      </c>
      <c r="BKJ8">
        <f t="shared" si="14"/>
        <v>0</v>
      </c>
      <c r="BKK8">
        <f t="shared" si="14"/>
        <v>0</v>
      </c>
      <c r="BKL8">
        <f t="shared" si="14"/>
        <v>0</v>
      </c>
      <c r="BKM8">
        <f t="shared" si="14"/>
        <v>0</v>
      </c>
      <c r="BKN8">
        <f t="shared" si="14"/>
        <v>12.5</v>
      </c>
      <c r="BKO8">
        <f t="shared" si="14"/>
        <v>12.5</v>
      </c>
      <c r="BKP8">
        <f t="shared" si="14"/>
        <v>12.5</v>
      </c>
      <c r="BKQ8">
        <f t="shared" si="14"/>
        <v>25</v>
      </c>
      <c r="BKR8">
        <f t="shared" si="14"/>
        <v>25</v>
      </c>
      <c r="BKS8">
        <f t="shared" si="14"/>
        <v>25</v>
      </c>
      <c r="BKT8">
        <f t="shared" si="14"/>
        <v>25</v>
      </c>
      <c r="BKU8">
        <f t="shared" si="14"/>
        <v>25</v>
      </c>
      <c r="BKV8">
        <f t="shared" si="14"/>
        <v>25</v>
      </c>
      <c r="BKW8">
        <f t="shared" si="14"/>
        <v>50</v>
      </c>
      <c r="BKX8">
        <f t="shared" si="14"/>
        <v>25</v>
      </c>
      <c r="BKY8">
        <f t="shared" si="14"/>
        <v>0</v>
      </c>
      <c r="BKZ8">
        <f t="shared" si="14"/>
        <v>0</v>
      </c>
      <c r="BLA8">
        <f t="shared" si="14"/>
        <v>0</v>
      </c>
      <c r="BLB8">
        <f t="shared" si="14"/>
        <v>0</v>
      </c>
      <c r="BLC8">
        <f t="shared" si="15"/>
        <v>0</v>
      </c>
      <c r="BLD8">
        <f t="shared" si="15"/>
        <v>0</v>
      </c>
      <c r="BLE8">
        <f t="shared" si="15"/>
        <v>0</v>
      </c>
      <c r="BLF8">
        <f t="shared" si="15"/>
        <v>0</v>
      </c>
      <c r="BLG8">
        <f t="shared" si="15"/>
        <v>0</v>
      </c>
      <c r="BLH8">
        <f t="shared" si="15"/>
        <v>0</v>
      </c>
      <c r="BLI8">
        <f t="shared" si="15"/>
        <v>0</v>
      </c>
      <c r="BLJ8">
        <f t="shared" si="15"/>
        <v>12.5</v>
      </c>
      <c r="BLK8">
        <f t="shared" si="15"/>
        <v>12.5</v>
      </c>
      <c r="BLL8">
        <f t="shared" si="15"/>
        <v>12.5</v>
      </c>
      <c r="BLM8">
        <f t="shared" si="15"/>
        <v>25</v>
      </c>
      <c r="BLN8">
        <f t="shared" si="15"/>
        <v>25</v>
      </c>
      <c r="BLO8">
        <f t="shared" si="15"/>
        <v>25</v>
      </c>
      <c r="BLP8">
        <f t="shared" si="15"/>
        <v>25</v>
      </c>
      <c r="BLQ8">
        <f t="shared" si="15"/>
        <v>25</v>
      </c>
      <c r="BLR8">
        <f t="shared" si="15"/>
        <v>25</v>
      </c>
      <c r="BLS8">
        <f t="shared" si="15"/>
        <v>50</v>
      </c>
      <c r="BLT8">
        <f t="shared" si="15"/>
        <v>25</v>
      </c>
      <c r="BLU8">
        <f t="shared" si="15"/>
        <v>0</v>
      </c>
      <c r="BLV8">
        <f t="shared" si="15"/>
        <v>0</v>
      </c>
      <c r="BLW8">
        <f t="shared" si="15"/>
        <v>0</v>
      </c>
      <c r="BLX8">
        <f t="shared" si="15"/>
        <v>0</v>
      </c>
      <c r="BLY8">
        <f t="shared" si="15"/>
        <v>0</v>
      </c>
      <c r="BLZ8">
        <f t="shared" si="15"/>
        <v>0</v>
      </c>
      <c r="BMA8">
        <f t="shared" si="15"/>
        <v>0</v>
      </c>
      <c r="BMB8">
        <f t="shared" si="15"/>
        <v>0</v>
      </c>
      <c r="BMC8">
        <f t="shared" si="15"/>
        <v>0</v>
      </c>
      <c r="BMD8">
        <f t="shared" si="15"/>
        <v>0</v>
      </c>
      <c r="BME8">
        <f t="shared" si="15"/>
        <v>0</v>
      </c>
      <c r="BMF8">
        <f t="shared" si="15"/>
        <v>12.5</v>
      </c>
      <c r="BMG8">
        <f t="shared" si="15"/>
        <v>12.5</v>
      </c>
      <c r="BMH8">
        <f t="shared" si="15"/>
        <v>12.5</v>
      </c>
      <c r="BMI8">
        <f t="shared" si="15"/>
        <v>25</v>
      </c>
      <c r="BMJ8">
        <f t="shared" si="15"/>
        <v>25</v>
      </c>
      <c r="BMK8">
        <f t="shared" si="15"/>
        <v>25</v>
      </c>
      <c r="BML8">
        <f t="shared" si="15"/>
        <v>25</v>
      </c>
      <c r="BMM8">
        <f t="shared" si="15"/>
        <v>25</v>
      </c>
      <c r="BMN8">
        <f t="shared" si="15"/>
        <v>25</v>
      </c>
      <c r="BMO8">
        <f t="shared" si="15"/>
        <v>50</v>
      </c>
      <c r="BMP8">
        <f t="shared" si="15"/>
        <v>25</v>
      </c>
      <c r="BMQ8">
        <f t="shared" si="15"/>
        <v>0</v>
      </c>
      <c r="BMR8">
        <f t="shared" si="15"/>
        <v>0</v>
      </c>
      <c r="BMS8">
        <f t="shared" si="15"/>
        <v>0</v>
      </c>
      <c r="BMT8">
        <f t="shared" si="15"/>
        <v>0</v>
      </c>
      <c r="BMU8">
        <f t="shared" si="15"/>
        <v>0</v>
      </c>
      <c r="BMV8">
        <f t="shared" si="15"/>
        <v>0</v>
      </c>
      <c r="BMW8">
        <f t="shared" si="15"/>
        <v>0</v>
      </c>
      <c r="BMX8">
        <f t="shared" si="15"/>
        <v>0</v>
      </c>
      <c r="BMY8">
        <f t="shared" si="15"/>
        <v>0</v>
      </c>
      <c r="BMZ8">
        <f t="shared" si="15"/>
        <v>0</v>
      </c>
      <c r="BNA8">
        <f t="shared" si="15"/>
        <v>0</v>
      </c>
      <c r="BNB8">
        <f t="shared" si="15"/>
        <v>12.5</v>
      </c>
      <c r="BNC8">
        <f t="shared" si="15"/>
        <v>12.5</v>
      </c>
      <c r="BND8">
        <f t="shared" si="15"/>
        <v>12.5</v>
      </c>
      <c r="BNE8">
        <f t="shared" si="15"/>
        <v>25</v>
      </c>
      <c r="BNF8">
        <f t="shared" si="15"/>
        <v>25</v>
      </c>
      <c r="BNG8">
        <f t="shared" si="15"/>
        <v>25</v>
      </c>
      <c r="BNH8">
        <f t="shared" si="15"/>
        <v>25</v>
      </c>
      <c r="BNI8">
        <f t="shared" si="15"/>
        <v>25</v>
      </c>
      <c r="BNJ8">
        <f t="shared" si="15"/>
        <v>25</v>
      </c>
      <c r="BNK8">
        <f t="shared" si="15"/>
        <v>50</v>
      </c>
      <c r="BNL8">
        <f t="shared" si="15"/>
        <v>25</v>
      </c>
      <c r="BNM8">
        <f t="shared" si="15"/>
        <v>0</v>
      </c>
      <c r="BNN8">
        <f t="shared" si="15"/>
        <v>0</v>
      </c>
      <c r="BNO8">
        <f t="shared" si="16"/>
        <v>0</v>
      </c>
      <c r="BNP8">
        <f t="shared" si="16"/>
        <v>0</v>
      </c>
      <c r="BNQ8">
        <f t="shared" si="16"/>
        <v>0</v>
      </c>
      <c r="BNR8">
        <f t="shared" si="16"/>
        <v>0</v>
      </c>
      <c r="BNS8">
        <f t="shared" si="16"/>
        <v>0</v>
      </c>
      <c r="BNT8">
        <f t="shared" si="16"/>
        <v>0</v>
      </c>
      <c r="BNU8">
        <f t="shared" si="16"/>
        <v>0</v>
      </c>
      <c r="BNV8">
        <f t="shared" si="16"/>
        <v>0</v>
      </c>
      <c r="BNW8">
        <f t="shared" si="16"/>
        <v>0</v>
      </c>
      <c r="BNX8">
        <f t="shared" si="16"/>
        <v>12.5</v>
      </c>
      <c r="BNY8">
        <f t="shared" si="16"/>
        <v>12.5</v>
      </c>
      <c r="BNZ8">
        <f t="shared" si="16"/>
        <v>12.5</v>
      </c>
      <c r="BOA8">
        <f t="shared" si="16"/>
        <v>25</v>
      </c>
      <c r="BOB8">
        <f t="shared" si="16"/>
        <v>25</v>
      </c>
      <c r="BOC8">
        <f t="shared" si="16"/>
        <v>25</v>
      </c>
      <c r="BOD8">
        <f t="shared" si="16"/>
        <v>25</v>
      </c>
      <c r="BOE8">
        <f t="shared" si="16"/>
        <v>25</v>
      </c>
      <c r="BOF8">
        <f t="shared" si="16"/>
        <v>25</v>
      </c>
      <c r="BOG8">
        <f t="shared" si="16"/>
        <v>50</v>
      </c>
      <c r="BOH8">
        <f t="shared" si="16"/>
        <v>25</v>
      </c>
      <c r="BOI8">
        <f t="shared" si="16"/>
        <v>0</v>
      </c>
      <c r="BOJ8">
        <f t="shared" si="16"/>
        <v>0</v>
      </c>
      <c r="BOK8">
        <f t="shared" si="16"/>
        <v>0</v>
      </c>
      <c r="BOL8">
        <f t="shared" si="16"/>
        <v>0</v>
      </c>
      <c r="BOM8">
        <f t="shared" si="16"/>
        <v>0</v>
      </c>
      <c r="BON8">
        <f t="shared" si="16"/>
        <v>0</v>
      </c>
      <c r="BOO8">
        <f t="shared" si="16"/>
        <v>0</v>
      </c>
      <c r="BOP8">
        <f t="shared" si="16"/>
        <v>0</v>
      </c>
      <c r="BOQ8">
        <f t="shared" si="16"/>
        <v>0</v>
      </c>
      <c r="BOR8">
        <f t="shared" si="16"/>
        <v>0</v>
      </c>
      <c r="BOS8">
        <f t="shared" si="16"/>
        <v>0</v>
      </c>
      <c r="BOT8">
        <f t="shared" si="16"/>
        <v>12.5</v>
      </c>
      <c r="BOU8">
        <f t="shared" si="16"/>
        <v>12.5</v>
      </c>
      <c r="BOV8">
        <f t="shared" si="16"/>
        <v>12.5</v>
      </c>
      <c r="BOW8">
        <f t="shared" si="16"/>
        <v>25</v>
      </c>
      <c r="BOX8">
        <f t="shared" si="16"/>
        <v>25</v>
      </c>
      <c r="BOY8">
        <f t="shared" si="16"/>
        <v>25</v>
      </c>
      <c r="BOZ8">
        <f t="shared" si="16"/>
        <v>25</v>
      </c>
      <c r="BPA8">
        <f t="shared" si="16"/>
        <v>25</v>
      </c>
      <c r="BPB8">
        <f t="shared" si="16"/>
        <v>25</v>
      </c>
      <c r="BPC8">
        <f t="shared" si="16"/>
        <v>50</v>
      </c>
      <c r="BPD8">
        <f t="shared" si="16"/>
        <v>25</v>
      </c>
      <c r="BPE8">
        <f t="shared" si="16"/>
        <v>0</v>
      </c>
      <c r="BPF8">
        <f t="shared" si="16"/>
        <v>0</v>
      </c>
      <c r="BPG8">
        <f t="shared" si="16"/>
        <v>0</v>
      </c>
      <c r="BPH8">
        <f t="shared" si="16"/>
        <v>0</v>
      </c>
      <c r="BPI8">
        <f t="shared" si="16"/>
        <v>0</v>
      </c>
      <c r="BPJ8">
        <f t="shared" si="16"/>
        <v>0</v>
      </c>
      <c r="BPK8">
        <f t="shared" si="16"/>
        <v>0</v>
      </c>
      <c r="BPL8">
        <f t="shared" si="16"/>
        <v>0</v>
      </c>
      <c r="BPM8">
        <f t="shared" si="16"/>
        <v>0</v>
      </c>
      <c r="BPN8">
        <f t="shared" si="16"/>
        <v>0</v>
      </c>
      <c r="BPO8">
        <f t="shared" si="16"/>
        <v>0</v>
      </c>
      <c r="BPP8">
        <f t="shared" si="16"/>
        <v>12.5</v>
      </c>
      <c r="BPQ8">
        <f t="shared" si="16"/>
        <v>12.5</v>
      </c>
      <c r="BPR8">
        <f t="shared" si="16"/>
        <v>12.5</v>
      </c>
      <c r="BPS8">
        <f t="shared" si="16"/>
        <v>25</v>
      </c>
      <c r="BPT8">
        <f t="shared" si="16"/>
        <v>25</v>
      </c>
      <c r="BPU8">
        <f t="shared" si="16"/>
        <v>25</v>
      </c>
      <c r="BPV8">
        <f t="shared" si="16"/>
        <v>25</v>
      </c>
      <c r="BPW8">
        <f t="shared" si="16"/>
        <v>25</v>
      </c>
      <c r="BPX8">
        <f t="shared" si="16"/>
        <v>25</v>
      </c>
      <c r="BPY8">
        <f t="shared" si="16"/>
        <v>50</v>
      </c>
      <c r="BPZ8">
        <f t="shared" si="16"/>
        <v>25</v>
      </c>
      <c r="BQA8">
        <f t="shared" si="17"/>
        <v>0</v>
      </c>
      <c r="BQB8">
        <f t="shared" si="17"/>
        <v>0</v>
      </c>
      <c r="BQC8">
        <f t="shared" si="17"/>
        <v>0</v>
      </c>
      <c r="BQD8">
        <f t="shared" si="17"/>
        <v>0</v>
      </c>
      <c r="BQE8">
        <f t="shared" si="17"/>
        <v>0</v>
      </c>
      <c r="BQF8">
        <f t="shared" si="17"/>
        <v>0</v>
      </c>
      <c r="BQG8">
        <f t="shared" si="17"/>
        <v>0</v>
      </c>
      <c r="BQH8">
        <f t="shared" si="17"/>
        <v>0</v>
      </c>
      <c r="BQI8">
        <f t="shared" si="17"/>
        <v>0</v>
      </c>
      <c r="BQJ8">
        <f t="shared" si="17"/>
        <v>0</v>
      </c>
      <c r="BQK8">
        <f t="shared" si="17"/>
        <v>0</v>
      </c>
      <c r="BQL8">
        <f t="shared" si="17"/>
        <v>12.5</v>
      </c>
      <c r="BQM8">
        <f t="shared" si="17"/>
        <v>12.5</v>
      </c>
      <c r="BQN8">
        <f t="shared" si="17"/>
        <v>12.5</v>
      </c>
      <c r="BQO8">
        <f t="shared" si="17"/>
        <v>25</v>
      </c>
      <c r="BQP8">
        <f t="shared" si="17"/>
        <v>25</v>
      </c>
      <c r="BQQ8">
        <f t="shared" si="17"/>
        <v>25</v>
      </c>
      <c r="BQR8">
        <f t="shared" si="17"/>
        <v>25</v>
      </c>
      <c r="BQS8">
        <f t="shared" si="17"/>
        <v>25</v>
      </c>
      <c r="BQT8">
        <f t="shared" si="17"/>
        <v>25</v>
      </c>
      <c r="BQU8">
        <f t="shared" si="17"/>
        <v>50</v>
      </c>
      <c r="BQV8">
        <f t="shared" si="17"/>
        <v>25</v>
      </c>
      <c r="BQW8">
        <f t="shared" si="17"/>
        <v>0</v>
      </c>
      <c r="BQX8">
        <f t="shared" si="17"/>
        <v>0</v>
      </c>
      <c r="BQY8">
        <f t="shared" si="17"/>
        <v>0</v>
      </c>
      <c r="BQZ8">
        <f t="shared" si="17"/>
        <v>0</v>
      </c>
      <c r="BRA8">
        <f t="shared" si="17"/>
        <v>0</v>
      </c>
      <c r="BRB8">
        <f t="shared" si="17"/>
        <v>0</v>
      </c>
      <c r="BRC8">
        <f t="shared" si="17"/>
        <v>0</v>
      </c>
      <c r="BRD8">
        <f t="shared" si="17"/>
        <v>0</v>
      </c>
      <c r="BRE8">
        <f t="shared" si="17"/>
        <v>0</v>
      </c>
      <c r="BRF8">
        <f t="shared" si="17"/>
        <v>0</v>
      </c>
      <c r="BRG8">
        <f t="shared" si="17"/>
        <v>0</v>
      </c>
      <c r="BRH8">
        <f t="shared" si="17"/>
        <v>12.5</v>
      </c>
      <c r="BRI8">
        <f t="shared" si="17"/>
        <v>12.5</v>
      </c>
      <c r="BRJ8">
        <f t="shared" si="17"/>
        <v>12.5</v>
      </c>
      <c r="BRK8">
        <f t="shared" si="17"/>
        <v>25</v>
      </c>
      <c r="BRL8">
        <f t="shared" si="17"/>
        <v>25</v>
      </c>
      <c r="BRM8">
        <f t="shared" si="17"/>
        <v>25</v>
      </c>
      <c r="BRN8">
        <f t="shared" si="17"/>
        <v>25</v>
      </c>
      <c r="BRO8">
        <f t="shared" si="17"/>
        <v>25</v>
      </c>
      <c r="BRP8">
        <f t="shared" si="17"/>
        <v>25</v>
      </c>
      <c r="BRQ8">
        <f t="shared" si="17"/>
        <v>50</v>
      </c>
      <c r="BRR8">
        <f t="shared" si="17"/>
        <v>25</v>
      </c>
      <c r="BRS8">
        <f t="shared" si="17"/>
        <v>0</v>
      </c>
      <c r="BRT8">
        <f t="shared" si="17"/>
        <v>0</v>
      </c>
      <c r="BRU8">
        <f t="shared" si="17"/>
        <v>0</v>
      </c>
      <c r="BRV8">
        <f t="shared" si="17"/>
        <v>0</v>
      </c>
      <c r="BRW8">
        <f t="shared" si="17"/>
        <v>0</v>
      </c>
      <c r="BRX8">
        <f t="shared" si="17"/>
        <v>0</v>
      </c>
      <c r="BRY8">
        <f t="shared" si="17"/>
        <v>0</v>
      </c>
      <c r="BRZ8">
        <f t="shared" si="17"/>
        <v>0</v>
      </c>
      <c r="BSA8">
        <f t="shared" si="17"/>
        <v>0</v>
      </c>
      <c r="BSB8">
        <f t="shared" si="17"/>
        <v>0</v>
      </c>
      <c r="BSC8">
        <f t="shared" si="17"/>
        <v>0</v>
      </c>
      <c r="BSD8">
        <f t="shared" si="17"/>
        <v>12.5</v>
      </c>
      <c r="BSE8">
        <f t="shared" si="17"/>
        <v>12.5</v>
      </c>
      <c r="BSF8">
        <f t="shared" si="17"/>
        <v>12.5</v>
      </c>
      <c r="BSG8">
        <f t="shared" si="17"/>
        <v>25</v>
      </c>
      <c r="BSH8">
        <f t="shared" si="17"/>
        <v>25</v>
      </c>
      <c r="BSI8">
        <f t="shared" si="17"/>
        <v>25</v>
      </c>
      <c r="BSJ8">
        <f t="shared" si="17"/>
        <v>25</v>
      </c>
      <c r="BSK8">
        <f t="shared" si="17"/>
        <v>25</v>
      </c>
      <c r="BSL8">
        <f t="shared" si="17"/>
        <v>25</v>
      </c>
      <c r="BSM8">
        <f t="shared" si="18"/>
        <v>50</v>
      </c>
      <c r="BSN8">
        <f t="shared" si="18"/>
        <v>25</v>
      </c>
      <c r="BSO8">
        <f t="shared" si="18"/>
        <v>0</v>
      </c>
      <c r="BSP8">
        <f t="shared" si="18"/>
        <v>0</v>
      </c>
      <c r="BSQ8">
        <f t="shared" si="18"/>
        <v>0</v>
      </c>
      <c r="BSR8">
        <f t="shared" si="18"/>
        <v>0</v>
      </c>
      <c r="BSS8">
        <f t="shared" si="18"/>
        <v>0</v>
      </c>
      <c r="BST8">
        <f t="shared" si="18"/>
        <v>0</v>
      </c>
      <c r="BSU8">
        <f t="shared" si="18"/>
        <v>0</v>
      </c>
      <c r="BSV8">
        <f t="shared" si="18"/>
        <v>0</v>
      </c>
      <c r="BSW8">
        <f t="shared" si="18"/>
        <v>0</v>
      </c>
      <c r="BSX8">
        <f t="shared" si="18"/>
        <v>0</v>
      </c>
      <c r="BSY8">
        <f t="shared" si="18"/>
        <v>0</v>
      </c>
      <c r="BSZ8">
        <f t="shared" si="18"/>
        <v>12.5</v>
      </c>
      <c r="BTA8">
        <f t="shared" si="18"/>
        <v>12.5</v>
      </c>
      <c r="BTB8">
        <f t="shared" si="18"/>
        <v>12.5</v>
      </c>
      <c r="BTC8">
        <f t="shared" si="18"/>
        <v>25</v>
      </c>
      <c r="BTD8">
        <f t="shared" si="18"/>
        <v>25</v>
      </c>
      <c r="BTE8">
        <f t="shared" si="18"/>
        <v>25</v>
      </c>
      <c r="BTF8">
        <f t="shared" si="18"/>
        <v>25</v>
      </c>
      <c r="BTG8">
        <f t="shared" si="18"/>
        <v>25</v>
      </c>
      <c r="BTH8">
        <f t="shared" si="18"/>
        <v>25</v>
      </c>
      <c r="BTI8">
        <f t="shared" si="18"/>
        <v>50</v>
      </c>
      <c r="BTJ8">
        <f t="shared" si="18"/>
        <v>25</v>
      </c>
      <c r="BTK8">
        <f t="shared" si="18"/>
        <v>0</v>
      </c>
      <c r="BTL8">
        <f t="shared" si="18"/>
        <v>0</v>
      </c>
      <c r="BTM8">
        <f t="shared" si="18"/>
        <v>0</v>
      </c>
      <c r="BTN8">
        <f t="shared" si="18"/>
        <v>0</v>
      </c>
      <c r="BTO8">
        <f t="shared" si="18"/>
        <v>0</v>
      </c>
      <c r="BTP8">
        <f t="shared" si="18"/>
        <v>0</v>
      </c>
      <c r="BTQ8">
        <f t="shared" si="18"/>
        <v>0</v>
      </c>
      <c r="BTR8">
        <f t="shared" si="18"/>
        <v>0</v>
      </c>
      <c r="BTS8">
        <f t="shared" si="18"/>
        <v>0</v>
      </c>
      <c r="BTT8">
        <f t="shared" si="18"/>
        <v>0</v>
      </c>
      <c r="BTU8">
        <f t="shared" si="18"/>
        <v>0</v>
      </c>
      <c r="BTV8">
        <f t="shared" si="18"/>
        <v>12.5</v>
      </c>
      <c r="BTW8">
        <f t="shared" si="18"/>
        <v>12.5</v>
      </c>
      <c r="BTX8">
        <f t="shared" si="18"/>
        <v>12.5</v>
      </c>
      <c r="BTY8">
        <f t="shared" si="18"/>
        <v>25</v>
      </c>
      <c r="BTZ8">
        <f t="shared" si="18"/>
        <v>25</v>
      </c>
      <c r="BUA8">
        <f t="shared" si="18"/>
        <v>25</v>
      </c>
      <c r="BUB8">
        <f t="shared" si="18"/>
        <v>25</v>
      </c>
      <c r="BUC8">
        <f t="shared" si="18"/>
        <v>25</v>
      </c>
      <c r="BUD8">
        <f t="shared" si="18"/>
        <v>25</v>
      </c>
      <c r="BUE8">
        <f t="shared" si="18"/>
        <v>50</v>
      </c>
      <c r="BUF8">
        <f t="shared" si="18"/>
        <v>25</v>
      </c>
      <c r="BUG8">
        <f t="shared" si="18"/>
        <v>0</v>
      </c>
      <c r="BUH8">
        <f t="shared" si="18"/>
        <v>0</v>
      </c>
      <c r="BUI8">
        <f t="shared" si="18"/>
        <v>0</v>
      </c>
      <c r="BUJ8">
        <f t="shared" si="18"/>
        <v>0</v>
      </c>
      <c r="BUK8">
        <f t="shared" si="18"/>
        <v>0</v>
      </c>
      <c r="BUL8">
        <f t="shared" si="18"/>
        <v>0</v>
      </c>
      <c r="BUM8">
        <f t="shared" si="18"/>
        <v>0</v>
      </c>
      <c r="BUN8">
        <f t="shared" si="18"/>
        <v>0</v>
      </c>
      <c r="BUO8">
        <f t="shared" si="18"/>
        <v>0</v>
      </c>
      <c r="BUP8">
        <f t="shared" si="18"/>
        <v>0</v>
      </c>
      <c r="BUQ8">
        <f t="shared" si="18"/>
        <v>0</v>
      </c>
      <c r="BUR8">
        <f t="shared" si="18"/>
        <v>12.5</v>
      </c>
      <c r="BUS8">
        <f t="shared" si="18"/>
        <v>12.5</v>
      </c>
      <c r="BUT8">
        <f t="shared" si="18"/>
        <v>12.5</v>
      </c>
      <c r="BUU8">
        <f t="shared" si="18"/>
        <v>25</v>
      </c>
      <c r="BUV8">
        <f t="shared" si="18"/>
        <v>25</v>
      </c>
      <c r="BUW8">
        <f t="shared" si="18"/>
        <v>25</v>
      </c>
      <c r="BUX8">
        <f t="shared" si="18"/>
        <v>25</v>
      </c>
      <c r="BUY8">
        <f t="shared" si="19"/>
        <v>25</v>
      </c>
      <c r="BUZ8">
        <f t="shared" si="19"/>
        <v>25</v>
      </c>
      <c r="BVA8">
        <f t="shared" si="19"/>
        <v>50</v>
      </c>
      <c r="BVB8">
        <f t="shared" si="19"/>
        <v>25</v>
      </c>
      <c r="BVC8">
        <f t="shared" si="19"/>
        <v>0</v>
      </c>
      <c r="BVD8">
        <f t="shared" si="19"/>
        <v>0</v>
      </c>
      <c r="BVE8">
        <f t="shared" si="19"/>
        <v>0</v>
      </c>
      <c r="BVF8">
        <f t="shared" si="19"/>
        <v>0</v>
      </c>
      <c r="BVG8">
        <f t="shared" si="19"/>
        <v>0</v>
      </c>
      <c r="BVH8">
        <f t="shared" si="19"/>
        <v>0</v>
      </c>
      <c r="BVI8">
        <f t="shared" si="19"/>
        <v>0</v>
      </c>
      <c r="BVJ8">
        <f t="shared" si="19"/>
        <v>0</v>
      </c>
      <c r="BVK8">
        <f t="shared" si="19"/>
        <v>0</v>
      </c>
      <c r="BVL8">
        <f t="shared" si="19"/>
        <v>0</v>
      </c>
      <c r="BVM8">
        <f t="shared" si="19"/>
        <v>0</v>
      </c>
      <c r="BVN8">
        <f t="shared" si="19"/>
        <v>12.5</v>
      </c>
      <c r="BVO8">
        <f t="shared" si="19"/>
        <v>12.5</v>
      </c>
      <c r="BVP8">
        <f t="shared" si="19"/>
        <v>12.5</v>
      </c>
      <c r="BVQ8">
        <f t="shared" si="19"/>
        <v>25</v>
      </c>
      <c r="BVR8">
        <f t="shared" si="19"/>
        <v>25</v>
      </c>
      <c r="BVS8">
        <f t="shared" si="19"/>
        <v>25</v>
      </c>
      <c r="BVT8">
        <f t="shared" si="19"/>
        <v>25</v>
      </c>
      <c r="BVU8">
        <f t="shared" si="19"/>
        <v>25</v>
      </c>
      <c r="BVV8">
        <f t="shared" si="19"/>
        <v>25</v>
      </c>
      <c r="BVW8">
        <f t="shared" si="19"/>
        <v>50</v>
      </c>
      <c r="BVX8">
        <f t="shared" si="19"/>
        <v>25</v>
      </c>
      <c r="BVY8">
        <f t="shared" si="19"/>
        <v>0</v>
      </c>
      <c r="BVZ8">
        <f t="shared" si="19"/>
        <v>0</v>
      </c>
      <c r="BWA8">
        <f t="shared" si="19"/>
        <v>0</v>
      </c>
      <c r="BWB8">
        <f t="shared" si="19"/>
        <v>0</v>
      </c>
      <c r="BWC8">
        <f t="shared" si="19"/>
        <v>0</v>
      </c>
      <c r="BWD8">
        <f t="shared" si="19"/>
        <v>0</v>
      </c>
      <c r="BWE8">
        <f t="shared" si="19"/>
        <v>0</v>
      </c>
      <c r="BWF8">
        <f t="shared" si="19"/>
        <v>0</v>
      </c>
      <c r="BWG8">
        <f t="shared" si="19"/>
        <v>0</v>
      </c>
      <c r="BWH8">
        <f t="shared" si="19"/>
        <v>0</v>
      </c>
      <c r="BWI8">
        <f t="shared" si="19"/>
        <v>0</v>
      </c>
      <c r="BWJ8">
        <f t="shared" si="19"/>
        <v>12.5</v>
      </c>
      <c r="BWK8">
        <f t="shared" si="19"/>
        <v>12.5</v>
      </c>
      <c r="BWL8">
        <f t="shared" si="19"/>
        <v>12.5</v>
      </c>
      <c r="BWM8">
        <f t="shared" si="19"/>
        <v>25</v>
      </c>
      <c r="BWN8">
        <f t="shared" si="19"/>
        <v>25</v>
      </c>
      <c r="BWO8">
        <f t="shared" si="19"/>
        <v>25</v>
      </c>
      <c r="BWP8">
        <f t="shared" si="19"/>
        <v>25</v>
      </c>
      <c r="BWQ8">
        <f t="shared" si="19"/>
        <v>25</v>
      </c>
      <c r="BWR8">
        <f t="shared" si="19"/>
        <v>25</v>
      </c>
      <c r="BWS8">
        <f t="shared" si="19"/>
        <v>50</v>
      </c>
      <c r="BWT8">
        <f t="shared" si="19"/>
        <v>25</v>
      </c>
      <c r="BWU8">
        <f t="shared" si="19"/>
        <v>0</v>
      </c>
      <c r="BWV8">
        <f t="shared" si="19"/>
        <v>0</v>
      </c>
      <c r="BWW8">
        <f t="shared" si="19"/>
        <v>0</v>
      </c>
      <c r="BWX8">
        <f t="shared" si="19"/>
        <v>0</v>
      </c>
      <c r="BWY8">
        <f t="shared" si="19"/>
        <v>0</v>
      </c>
      <c r="BWZ8">
        <f t="shared" si="19"/>
        <v>0</v>
      </c>
      <c r="BXA8">
        <f t="shared" si="19"/>
        <v>0</v>
      </c>
      <c r="BXB8">
        <f t="shared" si="19"/>
        <v>0</v>
      </c>
      <c r="BXC8">
        <f t="shared" si="19"/>
        <v>0</v>
      </c>
      <c r="BXD8">
        <f t="shared" si="19"/>
        <v>0</v>
      </c>
      <c r="BXE8">
        <f t="shared" si="19"/>
        <v>0</v>
      </c>
      <c r="BXF8">
        <f t="shared" si="19"/>
        <v>12.5</v>
      </c>
      <c r="BXG8">
        <f t="shared" si="19"/>
        <v>12.5</v>
      </c>
      <c r="BXH8">
        <f t="shared" si="19"/>
        <v>12.5</v>
      </c>
      <c r="BXI8">
        <f t="shared" si="19"/>
        <v>25</v>
      </c>
      <c r="BXJ8">
        <f t="shared" si="19"/>
        <v>25</v>
      </c>
      <c r="BXK8">
        <f t="shared" si="20"/>
        <v>25</v>
      </c>
      <c r="BXL8">
        <f t="shared" si="20"/>
        <v>25</v>
      </c>
      <c r="BXM8">
        <f t="shared" si="20"/>
        <v>25</v>
      </c>
      <c r="BXN8">
        <f t="shared" si="20"/>
        <v>25</v>
      </c>
      <c r="BXO8">
        <f t="shared" si="20"/>
        <v>50</v>
      </c>
      <c r="BXP8">
        <f t="shared" si="20"/>
        <v>25</v>
      </c>
      <c r="BXQ8">
        <f t="shared" si="20"/>
        <v>0</v>
      </c>
      <c r="BXR8">
        <f t="shared" si="20"/>
        <v>0</v>
      </c>
      <c r="BXS8">
        <f t="shared" si="20"/>
        <v>0</v>
      </c>
      <c r="BXT8">
        <f t="shared" si="20"/>
        <v>0</v>
      </c>
      <c r="BXU8">
        <f t="shared" si="20"/>
        <v>0</v>
      </c>
      <c r="BXV8">
        <f t="shared" si="20"/>
        <v>0</v>
      </c>
      <c r="BXW8">
        <f t="shared" si="20"/>
        <v>0</v>
      </c>
      <c r="BXX8">
        <f t="shared" si="20"/>
        <v>0</v>
      </c>
      <c r="BXY8">
        <f t="shared" si="20"/>
        <v>0</v>
      </c>
      <c r="BXZ8">
        <f t="shared" si="20"/>
        <v>0</v>
      </c>
      <c r="BYA8">
        <f t="shared" si="20"/>
        <v>0</v>
      </c>
      <c r="BYB8">
        <f t="shared" si="20"/>
        <v>12.5</v>
      </c>
      <c r="BYC8">
        <f t="shared" si="20"/>
        <v>12.5</v>
      </c>
      <c r="BYD8">
        <f t="shared" si="20"/>
        <v>12.5</v>
      </c>
      <c r="BYE8">
        <f t="shared" si="20"/>
        <v>25</v>
      </c>
      <c r="BYF8">
        <f t="shared" si="20"/>
        <v>25</v>
      </c>
      <c r="BYG8">
        <f t="shared" si="20"/>
        <v>25</v>
      </c>
      <c r="BYH8">
        <f t="shared" si="20"/>
        <v>25</v>
      </c>
      <c r="BYI8">
        <f t="shared" si="20"/>
        <v>25</v>
      </c>
      <c r="BYJ8">
        <f t="shared" si="20"/>
        <v>25</v>
      </c>
      <c r="BYK8">
        <f t="shared" si="20"/>
        <v>50</v>
      </c>
      <c r="BYL8">
        <f t="shared" si="20"/>
        <v>25</v>
      </c>
      <c r="BYM8">
        <f t="shared" si="20"/>
        <v>0</v>
      </c>
      <c r="BYN8">
        <f t="shared" si="20"/>
        <v>0</v>
      </c>
      <c r="BYO8">
        <f t="shared" si="20"/>
        <v>0</v>
      </c>
      <c r="BYP8">
        <f t="shared" si="20"/>
        <v>0</v>
      </c>
      <c r="BYQ8">
        <f t="shared" si="20"/>
        <v>0</v>
      </c>
      <c r="BYR8">
        <f t="shared" si="20"/>
        <v>0</v>
      </c>
      <c r="BYS8">
        <f t="shared" si="20"/>
        <v>0</v>
      </c>
      <c r="BYT8">
        <f t="shared" si="20"/>
        <v>0</v>
      </c>
      <c r="BYU8">
        <f t="shared" si="20"/>
        <v>0</v>
      </c>
      <c r="BYV8">
        <f t="shared" si="20"/>
        <v>0</v>
      </c>
      <c r="BYW8">
        <f t="shared" si="20"/>
        <v>0</v>
      </c>
      <c r="BYX8">
        <f t="shared" si="20"/>
        <v>12.5</v>
      </c>
      <c r="BYY8">
        <f t="shared" si="20"/>
        <v>12.5</v>
      </c>
      <c r="BYZ8">
        <f t="shared" si="20"/>
        <v>12.5</v>
      </c>
      <c r="BZA8">
        <f t="shared" si="20"/>
        <v>25</v>
      </c>
      <c r="BZB8">
        <f t="shared" si="20"/>
        <v>25</v>
      </c>
      <c r="BZC8">
        <f t="shared" si="20"/>
        <v>25</v>
      </c>
      <c r="BZD8">
        <f t="shared" si="20"/>
        <v>25</v>
      </c>
      <c r="BZE8">
        <f t="shared" si="20"/>
        <v>25</v>
      </c>
      <c r="BZF8">
        <f t="shared" si="20"/>
        <v>25</v>
      </c>
      <c r="BZG8">
        <f t="shared" si="20"/>
        <v>50</v>
      </c>
      <c r="BZH8">
        <f t="shared" si="20"/>
        <v>25</v>
      </c>
      <c r="BZI8">
        <f t="shared" si="20"/>
        <v>0</v>
      </c>
      <c r="BZJ8">
        <f t="shared" si="20"/>
        <v>0</v>
      </c>
      <c r="BZK8">
        <f t="shared" si="20"/>
        <v>0</v>
      </c>
      <c r="BZL8">
        <f t="shared" si="20"/>
        <v>0</v>
      </c>
      <c r="BZM8">
        <f t="shared" si="20"/>
        <v>0</v>
      </c>
      <c r="BZN8">
        <f t="shared" si="20"/>
        <v>0</v>
      </c>
      <c r="BZO8">
        <f t="shared" si="20"/>
        <v>0</v>
      </c>
      <c r="BZP8">
        <f t="shared" si="20"/>
        <v>0</v>
      </c>
      <c r="BZQ8">
        <f t="shared" si="20"/>
        <v>0</v>
      </c>
      <c r="BZR8">
        <f t="shared" si="20"/>
        <v>0</v>
      </c>
      <c r="BZS8">
        <f t="shared" si="20"/>
        <v>0</v>
      </c>
      <c r="BZT8">
        <f t="shared" si="20"/>
        <v>12.5</v>
      </c>
      <c r="BZU8">
        <f t="shared" si="20"/>
        <v>12.5</v>
      </c>
      <c r="BZV8">
        <f t="shared" si="20"/>
        <v>12.5</v>
      </c>
      <c r="BZW8">
        <f t="shared" si="21"/>
        <v>25</v>
      </c>
      <c r="BZX8">
        <f t="shared" si="21"/>
        <v>25</v>
      </c>
      <c r="BZY8">
        <f t="shared" si="21"/>
        <v>25</v>
      </c>
      <c r="BZZ8">
        <f t="shared" si="21"/>
        <v>25</v>
      </c>
      <c r="CAA8">
        <f t="shared" si="21"/>
        <v>25</v>
      </c>
      <c r="CAB8">
        <f t="shared" si="21"/>
        <v>25</v>
      </c>
      <c r="CAC8">
        <f t="shared" si="21"/>
        <v>50</v>
      </c>
      <c r="CAD8">
        <f t="shared" si="21"/>
        <v>25</v>
      </c>
      <c r="CAE8">
        <f t="shared" si="21"/>
        <v>0</v>
      </c>
      <c r="CAF8">
        <f t="shared" si="21"/>
        <v>0</v>
      </c>
      <c r="CAG8">
        <f t="shared" si="21"/>
        <v>0</v>
      </c>
      <c r="CAH8">
        <f t="shared" si="21"/>
        <v>0</v>
      </c>
      <c r="CAI8">
        <f t="shared" si="21"/>
        <v>0</v>
      </c>
      <c r="CAJ8">
        <f t="shared" si="21"/>
        <v>0</v>
      </c>
      <c r="CAK8">
        <f t="shared" si="21"/>
        <v>0</v>
      </c>
      <c r="CAL8">
        <f t="shared" si="21"/>
        <v>0</v>
      </c>
      <c r="CAM8">
        <f t="shared" si="21"/>
        <v>0</v>
      </c>
      <c r="CAN8">
        <f t="shared" si="21"/>
        <v>0</v>
      </c>
      <c r="CAO8">
        <f t="shared" si="21"/>
        <v>0</v>
      </c>
      <c r="CAP8">
        <f t="shared" si="21"/>
        <v>12.5</v>
      </c>
      <c r="CAQ8">
        <f t="shared" si="21"/>
        <v>12.5</v>
      </c>
      <c r="CAR8">
        <f t="shared" si="21"/>
        <v>12.5</v>
      </c>
      <c r="CAS8">
        <f t="shared" si="21"/>
        <v>25</v>
      </c>
      <c r="CAT8">
        <f t="shared" si="21"/>
        <v>25</v>
      </c>
      <c r="CAU8">
        <f t="shared" si="21"/>
        <v>25</v>
      </c>
      <c r="CAV8">
        <f t="shared" si="21"/>
        <v>25</v>
      </c>
      <c r="CAW8">
        <f t="shared" si="21"/>
        <v>25</v>
      </c>
      <c r="CAX8">
        <f t="shared" si="21"/>
        <v>25</v>
      </c>
      <c r="CAY8">
        <f t="shared" si="21"/>
        <v>50</v>
      </c>
      <c r="CAZ8">
        <f t="shared" si="21"/>
        <v>25</v>
      </c>
      <c r="CBA8">
        <f t="shared" si="21"/>
        <v>0</v>
      </c>
      <c r="CBB8">
        <f t="shared" si="21"/>
        <v>0</v>
      </c>
      <c r="CBC8">
        <f t="shared" si="21"/>
        <v>0</v>
      </c>
      <c r="CBD8">
        <f t="shared" si="21"/>
        <v>0</v>
      </c>
      <c r="CBE8">
        <f t="shared" si="21"/>
        <v>0</v>
      </c>
      <c r="CBF8">
        <f t="shared" si="21"/>
        <v>0</v>
      </c>
      <c r="CBG8">
        <f t="shared" si="21"/>
        <v>0</v>
      </c>
      <c r="CBH8">
        <f t="shared" si="21"/>
        <v>0</v>
      </c>
      <c r="CBI8">
        <f t="shared" si="21"/>
        <v>0</v>
      </c>
      <c r="CBJ8">
        <f t="shared" si="21"/>
        <v>0</v>
      </c>
      <c r="CBK8">
        <f t="shared" si="21"/>
        <v>0</v>
      </c>
      <c r="CBL8">
        <f t="shared" si="21"/>
        <v>12.5</v>
      </c>
      <c r="CBM8">
        <f t="shared" si="21"/>
        <v>12.5</v>
      </c>
      <c r="CBN8">
        <f t="shared" si="21"/>
        <v>12.5</v>
      </c>
      <c r="CBO8">
        <f t="shared" si="21"/>
        <v>25</v>
      </c>
      <c r="CBP8">
        <f t="shared" si="21"/>
        <v>25</v>
      </c>
      <c r="CBQ8">
        <f t="shared" si="21"/>
        <v>25</v>
      </c>
      <c r="CBR8">
        <f t="shared" si="21"/>
        <v>25</v>
      </c>
      <c r="CBS8">
        <f t="shared" si="21"/>
        <v>25</v>
      </c>
      <c r="CBT8">
        <f t="shared" si="21"/>
        <v>25</v>
      </c>
      <c r="CBU8">
        <f t="shared" si="21"/>
        <v>50</v>
      </c>
      <c r="CBV8">
        <f t="shared" si="21"/>
        <v>25</v>
      </c>
      <c r="CBW8">
        <f t="shared" si="21"/>
        <v>0</v>
      </c>
      <c r="CBX8">
        <f t="shared" si="21"/>
        <v>0</v>
      </c>
      <c r="CBY8">
        <f t="shared" si="21"/>
        <v>0</v>
      </c>
      <c r="CBZ8">
        <f t="shared" si="21"/>
        <v>0</v>
      </c>
      <c r="CCA8">
        <f t="shared" si="21"/>
        <v>0</v>
      </c>
      <c r="CCB8">
        <f t="shared" si="21"/>
        <v>0</v>
      </c>
      <c r="CCC8">
        <f t="shared" si="21"/>
        <v>0</v>
      </c>
      <c r="CCD8">
        <f t="shared" si="21"/>
        <v>0</v>
      </c>
      <c r="CCE8">
        <f t="shared" si="21"/>
        <v>0</v>
      </c>
      <c r="CCF8">
        <f t="shared" si="21"/>
        <v>0</v>
      </c>
      <c r="CCG8">
        <f t="shared" si="21"/>
        <v>0</v>
      </c>
      <c r="CCH8">
        <f t="shared" si="21"/>
        <v>12.5</v>
      </c>
      <c r="CCI8">
        <f t="shared" si="22"/>
        <v>12.5</v>
      </c>
      <c r="CCJ8">
        <f t="shared" si="22"/>
        <v>12.5</v>
      </c>
      <c r="CCK8">
        <f t="shared" si="22"/>
        <v>25</v>
      </c>
      <c r="CCL8">
        <f t="shared" si="22"/>
        <v>25</v>
      </c>
      <c r="CCM8">
        <f t="shared" si="22"/>
        <v>25</v>
      </c>
      <c r="CCN8">
        <f t="shared" si="22"/>
        <v>25</v>
      </c>
      <c r="CCO8">
        <f t="shared" si="22"/>
        <v>25</v>
      </c>
      <c r="CCP8">
        <f t="shared" si="22"/>
        <v>25</v>
      </c>
      <c r="CCQ8">
        <f t="shared" si="22"/>
        <v>50</v>
      </c>
      <c r="CCR8">
        <f t="shared" si="22"/>
        <v>25</v>
      </c>
      <c r="CCS8">
        <f t="shared" si="22"/>
        <v>0</v>
      </c>
      <c r="CCT8">
        <f t="shared" si="22"/>
        <v>0</v>
      </c>
      <c r="CCU8">
        <f t="shared" si="22"/>
        <v>0</v>
      </c>
      <c r="CCV8">
        <f t="shared" si="22"/>
        <v>0</v>
      </c>
      <c r="CCW8">
        <f t="shared" si="22"/>
        <v>0</v>
      </c>
      <c r="CCX8">
        <f t="shared" si="22"/>
        <v>0</v>
      </c>
      <c r="CCY8">
        <f t="shared" si="22"/>
        <v>0</v>
      </c>
      <c r="CCZ8">
        <f t="shared" si="22"/>
        <v>0</v>
      </c>
      <c r="CDA8">
        <f t="shared" si="22"/>
        <v>0</v>
      </c>
      <c r="CDB8">
        <f t="shared" si="22"/>
        <v>0</v>
      </c>
      <c r="CDC8">
        <f t="shared" si="22"/>
        <v>0</v>
      </c>
      <c r="CDD8">
        <f t="shared" si="22"/>
        <v>12.5</v>
      </c>
      <c r="CDE8">
        <f t="shared" si="22"/>
        <v>12.5</v>
      </c>
      <c r="CDF8">
        <f t="shared" si="22"/>
        <v>12.5</v>
      </c>
      <c r="CDG8">
        <f t="shared" si="22"/>
        <v>25</v>
      </c>
      <c r="CDH8">
        <f t="shared" si="22"/>
        <v>25</v>
      </c>
      <c r="CDI8">
        <f t="shared" si="22"/>
        <v>25</v>
      </c>
      <c r="CDJ8">
        <f t="shared" si="22"/>
        <v>25</v>
      </c>
      <c r="CDK8">
        <f t="shared" si="22"/>
        <v>25</v>
      </c>
      <c r="CDL8">
        <f t="shared" si="22"/>
        <v>25</v>
      </c>
      <c r="CDM8">
        <f t="shared" si="22"/>
        <v>50</v>
      </c>
      <c r="CDN8">
        <f t="shared" si="22"/>
        <v>25</v>
      </c>
      <c r="CDO8">
        <f t="shared" si="22"/>
        <v>0</v>
      </c>
      <c r="CDP8">
        <f t="shared" si="22"/>
        <v>0</v>
      </c>
      <c r="CDQ8">
        <f t="shared" si="22"/>
        <v>0</v>
      </c>
      <c r="CDR8">
        <f t="shared" si="22"/>
        <v>0</v>
      </c>
      <c r="CDS8">
        <f t="shared" si="22"/>
        <v>0</v>
      </c>
      <c r="CDT8">
        <f t="shared" si="22"/>
        <v>0</v>
      </c>
      <c r="CDU8">
        <f t="shared" si="22"/>
        <v>0</v>
      </c>
      <c r="CDV8">
        <f t="shared" si="22"/>
        <v>0</v>
      </c>
      <c r="CDW8">
        <f t="shared" si="22"/>
        <v>0</v>
      </c>
      <c r="CDX8">
        <f t="shared" si="22"/>
        <v>0</v>
      </c>
      <c r="CDY8">
        <f t="shared" si="22"/>
        <v>0</v>
      </c>
      <c r="CDZ8">
        <f t="shared" si="22"/>
        <v>12.5</v>
      </c>
      <c r="CEA8">
        <f t="shared" si="22"/>
        <v>12.5</v>
      </c>
      <c r="CEB8">
        <f t="shared" si="22"/>
        <v>12.5</v>
      </c>
      <c r="CEC8">
        <f t="shared" si="22"/>
        <v>25</v>
      </c>
      <c r="CED8">
        <f t="shared" si="22"/>
        <v>25</v>
      </c>
      <c r="CEE8">
        <f t="shared" si="22"/>
        <v>25</v>
      </c>
      <c r="CEF8">
        <f t="shared" si="22"/>
        <v>25</v>
      </c>
      <c r="CEG8">
        <f t="shared" si="22"/>
        <v>25</v>
      </c>
      <c r="CEH8">
        <f t="shared" si="22"/>
        <v>25</v>
      </c>
      <c r="CEI8">
        <f t="shared" si="22"/>
        <v>50</v>
      </c>
      <c r="CEJ8">
        <f t="shared" si="22"/>
        <v>25</v>
      </c>
      <c r="CEK8">
        <f t="shared" si="22"/>
        <v>0</v>
      </c>
      <c r="CEL8">
        <f t="shared" si="22"/>
        <v>0</v>
      </c>
      <c r="CEM8">
        <f t="shared" si="22"/>
        <v>0</v>
      </c>
      <c r="CEN8">
        <f t="shared" si="22"/>
        <v>0</v>
      </c>
      <c r="CEO8">
        <f t="shared" si="22"/>
        <v>0</v>
      </c>
      <c r="CEP8">
        <f t="shared" si="22"/>
        <v>0</v>
      </c>
      <c r="CEQ8">
        <f t="shared" si="22"/>
        <v>0</v>
      </c>
      <c r="CER8">
        <f t="shared" si="22"/>
        <v>0</v>
      </c>
      <c r="CES8">
        <f t="shared" si="22"/>
        <v>0</v>
      </c>
      <c r="CET8">
        <f t="shared" si="22"/>
        <v>0</v>
      </c>
      <c r="CEU8">
        <f t="shared" si="23"/>
        <v>0</v>
      </c>
      <c r="CEV8">
        <f t="shared" si="23"/>
        <v>12.5</v>
      </c>
      <c r="CEW8">
        <f t="shared" si="23"/>
        <v>12.5</v>
      </c>
      <c r="CEX8">
        <f t="shared" si="23"/>
        <v>12.5</v>
      </c>
      <c r="CEY8">
        <f t="shared" si="23"/>
        <v>25</v>
      </c>
      <c r="CEZ8">
        <f t="shared" si="23"/>
        <v>25</v>
      </c>
      <c r="CFA8">
        <f t="shared" si="23"/>
        <v>25</v>
      </c>
      <c r="CFB8">
        <f t="shared" si="23"/>
        <v>25</v>
      </c>
      <c r="CFC8">
        <f t="shared" si="23"/>
        <v>25</v>
      </c>
      <c r="CFD8">
        <f t="shared" si="23"/>
        <v>25</v>
      </c>
      <c r="CFE8">
        <f t="shared" si="23"/>
        <v>50</v>
      </c>
      <c r="CFF8">
        <f t="shared" si="23"/>
        <v>25</v>
      </c>
      <c r="CFG8">
        <f t="shared" si="23"/>
        <v>0</v>
      </c>
      <c r="CFH8">
        <f t="shared" si="23"/>
        <v>0</v>
      </c>
      <c r="CFI8">
        <f t="shared" si="23"/>
        <v>0</v>
      </c>
      <c r="CFJ8">
        <f t="shared" si="23"/>
        <v>0</v>
      </c>
      <c r="CFK8">
        <f t="shared" si="23"/>
        <v>0</v>
      </c>
      <c r="CFL8">
        <f t="shared" si="23"/>
        <v>0</v>
      </c>
      <c r="CFM8">
        <f t="shared" si="23"/>
        <v>0</v>
      </c>
      <c r="CFN8">
        <f t="shared" si="23"/>
        <v>0</v>
      </c>
      <c r="CFO8">
        <f t="shared" si="23"/>
        <v>0</v>
      </c>
      <c r="CFP8">
        <f t="shared" si="23"/>
        <v>0</v>
      </c>
      <c r="CFQ8">
        <f t="shared" si="23"/>
        <v>0</v>
      </c>
      <c r="CFR8">
        <f t="shared" si="23"/>
        <v>12.5</v>
      </c>
      <c r="CFS8">
        <f t="shared" si="23"/>
        <v>12.5</v>
      </c>
      <c r="CFT8">
        <f t="shared" si="23"/>
        <v>12.5</v>
      </c>
      <c r="CFU8">
        <f t="shared" si="23"/>
        <v>25</v>
      </c>
      <c r="CFV8">
        <f t="shared" si="23"/>
        <v>25</v>
      </c>
      <c r="CFW8">
        <f t="shared" si="23"/>
        <v>25</v>
      </c>
      <c r="CFX8">
        <f t="shared" si="23"/>
        <v>25</v>
      </c>
      <c r="CFY8">
        <f t="shared" si="23"/>
        <v>25</v>
      </c>
      <c r="CFZ8">
        <f t="shared" si="23"/>
        <v>25</v>
      </c>
      <c r="CGA8">
        <f t="shared" si="23"/>
        <v>50</v>
      </c>
      <c r="CGB8">
        <f t="shared" si="23"/>
        <v>25</v>
      </c>
      <c r="CGC8">
        <f t="shared" si="23"/>
        <v>0</v>
      </c>
      <c r="CGD8">
        <f t="shared" si="23"/>
        <v>0</v>
      </c>
      <c r="CGE8">
        <f t="shared" si="23"/>
        <v>0</v>
      </c>
      <c r="CGF8">
        <f t="shared" si="23"/>
        <v>0</v>
      </c>
      <c r="CGG8">
        <f t="shared" si="23"/>
        <v>0</v>
      </c>
      <c r="CGH8">
        <f t="shared" si="23"/>
        <v>0</v>
      </c>
      <c r="CGI8">
        <f t="shared" si="23"/>
        <v>0</v>
      </c>
      <c r="CGJ8">
        <f t="shared" si="23"/>
        <v>0</v>
      </c>
      <c r="CGK8">
        <f t="shared" si="23"/>
        <v>0</v>
      </c>
      <c r="CGL8">
        <f t="shared" si="23"/>
        <v>0</v>
      </c>
      <c r="CGM8">
        <f t="shared" si="23"/>
        <v>0</v>
      </c>
      <c r="CGN8">
        <f t="shared" si="23"/>
        <v>12.5</v>
      </c>
      <c r="CGO8">
        <f t="shared" si="23"/>
        <v>12.5</v>
      </c>
      <c r="CGP8">
        <f t="shared" si="23"/>
        <v>12.5</v>
      </c>
      <c r="CGQ8">
        <f t="shared" si="23"/>
        <v>25</v>
      </c>
      <c r="CGR8">
        <f t="shared" si="23"/>
        <v>25</v>
      </c>
      <c r="CGS8">
        <f t="shared" si="23"/>
        <v>25</v>
      </c>
      <c r="CGT8">
        <f t="shared" si="23"/>
        <v>25</v>
      </c>
      <c r="CGU8">
        <f t="shared" si="23"/>
        <v>25</v>
      </c>
      <c r="CGV8">
        <f t="shared" si="23"/>
        <v>25</v>
      </c>
      <c r="CGW8">
        <f t="shared" si="23"/>
        <v>50</v>
      </c>
      <c r="CGX8">
        <f t="shared" si="23"/>
        <v>25</v>
      </c>
      <c r="CGY8">
        <f t="shared" si="23"/>
        <v>0</v>
      </c>
      <c r="CGZ8">
        <f t="shared" si="23"/>
        <v>0</v>
      </c>
      <c r="CHA8">
        <f t="shared" si="23"/>
        <v>0</v>
      </c>
      <c r="CHB8">
        <f t="shared" si="23"/>
        <v>0</v>
      </c>
      <c r="CHC8">
        <f t="shared" si="23"/>
        <v>0</v>
      </c>
      <c r="CHD8">
        <f t="shared" si="23"/>
        <v>0</v>
      </c>
      <c r="CHE8">
        <f t="shared" si="23"/>
        <v>0</v>
      </c>
      <c r="CHF8">
        <f t="shared" si="23"/>
        <v>0</v>
      </c>
      <c r="CHG8">
        <f t="shared" si="24"/>
        <v>0</v>
      </c>
      <c r="CHH8">
        <f t="shared" si="24"/>
        <v>0</v>
      </c>
      <c r="CHI8">
        <f t="shared" si="24"/>
        <v>0</v>
      </c>
      <c r="CHJ8">
        <f t="shared" si="24"/>
        <v>12.5</v>
      </c>
      <c r="CHK8">
        <f t="shared" si="24"/>
        <v>12.5</v>
      </c>
      <c r="CHL8">
        <f t="shared" si="24"/>
        <v>12.5</v>
      </c>
      <c r="CHM8">
        <f t="shared" si="24"/>
        <v>25</v>
      </c>
      <c r="CHN8">
        <f t="shared" si="24"/>
        <v>25</v>
      </c>
      <c r="CHO8">
        <f t="shared" si="24"/>
        <v>25</v>
      </c>
      <c r="CHP8">
        <f t="shared" si="24"/>
        <v>25</v>
      </c>
      <c r="CHQ8">
        <f t="shared" si="24"/>
        <v>25</v>
      </c>
      <c r="CHR8">
        <f t="shared" si="24"/>
        <v>25</v>
      </c>
      <c r="CHS8">
        <f t="shared" si="24"/>
        <v>50</v>
      </c>
      <c r="CHT8">
        <f t="shared" si="24"/>
        <v>25</v>
      </c>
      <c r="CHU8">
        <f t="shared" si="24"/>
        <v>0</v>
      </c>
      <c r="CHV8">
        <f t="shared" si="24"/>
        <v>0</v>
      </c>
      <c r="CHW8">
        <f t="shared" si="24"/>
        <v>0</v>
      </c>
      <c r="CHX8">
        <f t="shared" si="24"/>
        <v>0</v>
      </c>
      <c r="CHY8">
        <f t="shared" si="24"/>
        <v>0</v>
      </c>
      <c r="CHZ8">
        <f t="shared" si="24"/>
        <v>0</v>
      </c>
      <c r="CIA8">
        <f t="shared" si="24"/>
        <v>0</v>
      </c>
      <c r="CIB8">
        <f t="shared" si="24"/>
        <v>0</v>
      </c>
      <c r="CIC8">
        <f t="shared" si="24"/>
        <v>0</v>
      </c>
      <c r="CID8">
        <f t="shared" si="24"/>
        <v>0</v>
      </c>
      <c r="CIE8">
        <f t="shared" si="24"/>
        <v>0</v>
      </c>
      <c r="CIF8">
        <f t="shared" si="24"/>
        <v>12.5</v>
      </c>
      <c r="CIG8">
        <f t="shared" si="24"/>
        <v>12.5</v>
      </c>
      <c r="CIH8">
        <f t="shared" si="24"/>
        <v>12.5</v>
      </c>
      <c r="CII8">
        <f t="shared" si="24"/>
        <v>25</v>
      </c>
      <c r="CIJ8">
        <f t="shared" si="24"/>
        <v>25</v>
      </c>
      <c r="CIK8">
        <f t="shared" si="24"/>
        <v>25</v>
      </c>
      <c r="CIL8">
        <f t="shared" si="24"/>
        <v>25</v>
      </c>
      <c r="CIM8">
        <f t="shared" si="24"/>
        <v>25</v>
      </c>
      <c r="CIN8">
        <f t="shared" si="24"/>
        <v>25</v>
      </c>
      <c r="CIO8">
        <f t="shared" si="24"/>
        <v>50</v>
      </c>
      <c r="CIP8">
        <f t="shared" si="24"/>
        <v>25</v>
      </c>
      <c r="CIQ8">
        <f t="shared" si="24"/>
        <v>0</v>
      </c>
      <c r="CIR8">
        <f t="shared" si="24"/>
        <v>0</v>
      </c>
      <c r="CIS8">
        <f t="shared" si="24"/>
        <v>0</v>
      </c>
      <c r="CIT8">
        <f t="shared" si="24"/>
        <v>0</v>
      </c>
      <c r="CIU8">
        <f t="shared" si="24"/>
        <v>0</v>
      </c>
      <c r="CIV8">
        <f t="shared" si="24"/>
        <v>0</v>
      </c>
      <c r="CIW8">
        <f t="shared" si="24"/>
        <v>0</v>
      </c>
      <c r="CIX8">
        <f t="shared" si="24"/>
        <v>0</v>
      </c>
      <c r="CIY8">
        <f t="shared" si="24"/>
        <v>0</v>
      </c>
      <c r="CIZ8">
        <f t="shared" si="24"/>
        <v>0</v>
      </c>
      <c r="CJA8">
        <f t="shared" si="24"/>
        <v>0</v>
      </c>
      <c r="CJB8">
        <f t="shared" si="24"/>
        <v>12.5</v>
      </c>
      <c r="CJC8">
        <f t="shared" si="24"/>
        <v>12.5</v>
      </c>
      <c r="CJD8">
        <f t="shared" si="24"/>
        <v>12.5</v>
      </c>
      <c r="CJE8">
        <f t="shared" si="24"/>
        <v>25</v>
      </c>
      <c r="CJF8">
        <f t="shared" si="24"/>
        <v>25</v>
      </c>
      <c r="CJG8">
        <f t="shared" si="24"/>
        <v>25</v>
      </c>
      <c r="CJH8">
        <f t="shared" si="24"/>
        <v>25</v>
      </c>
      <c r="CJI8">
        <f t="shared" si="24"/>
        <v>25</v>
      </c>
      <c r="CJJ8">
        <f t="shared" si="24"/>
        <v>25</v>
      </c>
      <c r="CJK8">
        <f t="shared" si="24"/>
        <v>50</v>
      </c>
      <c r="CJL8">
        <f t="shared" si="24"/>
        <v>25</v>
      </c>
      <c r="CJM8">
        <f t="shared" si="24"/>
        <v>0</v>
      </c>
      <c r="CJN8">
        <f t="shared" si="24"/>
        <v>0</v>
      </c>
      <c r="CJO8">
        <f t="shared" si="24"/>
        <v>0</v>
      </c>
      <c r="CJP8">
        <f t="shared" si="24"/>
        <v>0</v>
      </c>
      <c r="CJQ8">
        <f t="shared" si="24"/>
        <v>0</v>
      </c>
      <c r="CJR8">
        <f t="shared" si="24"/>
        <v>0</v>
      </c>
      <c r="CJS8">
        <f t="shared" si="25"/>
        <v>0</v>
      </c>
      <c r="CJT8">
        <f t="shared" si="25"/>
        <v>0</v>
      </c>
      <c r="CJU8">
        <f t="shared" si="25"/>
        <v>0</v>
      </c>
      <c r="CJV8">
        <f t="shared" si="25"/>
        <v>0</v>
      </c>
      <c r="CJW8">
        <f t="shared" si="25"/>
        <v>0</v>
      </c>
      <c r="CJX8">
        <f t="shared" si="25"/>
        <v>12.5</v>
      </c>
      <c r="CJY8">
        <f t="shared" si="25"/>
        <v>12.5</v>
      </c>
      <c r="CJZ8">
        <f t="shared" si="25"/>
        <v>12.5</v>
      </c>
      <c r="CKA8">
        <f t="shared" si="25"/>
        <v>25</v>
      </c>
      <c r="CKB8">
        <f t="shared" si="25"/>
        <v>25</v>
      </c>
      <c r="CKC8">
        <f t="shared" si="25"/>
        <v>25</v>
      </c>
      <c r="CKD8">
        <f t="shared" si="25"/>
        <v>25</v>
      </c>
      <c r="CKE8">
        <f t="shared" si="25"/>
        <v>25</v>
      </c>
      <c r="CKF8">
        <f t="shared" si="25"/>
        <v>25</v>
      </c>
      <c r="CKG8">
        <f t="shared" si="25"/>
        <v>50</v>
      </c>
      <c r="CKH8">
        <f t="shared" si="25"/>
        <v>25</v>
      </c>
      <c r="CKI8">
        <f t="shared" si="25"/>
        <v>0</v>
      </c>
      <c r="CKJ8">
        <f t="shared" si="25"/>
        <v>0</v>
      </c>
      <c r="CKK8">
        <f t="shared" si="25"/>
        <v>0</v>
      </c>
      <c r="CKL8">
        <f t="shared" si="25"/>
        <v>0</v>
      </c>
      <c r="CKM8">
        <f t="shared" si="25"/>
        <v>0</v>
      </c>
      <c r="CKN8">
        <f t="shared" si="25"/>
        <v>0</v>
      </c>
      <c r="CKO8">
        <f t="shared" si="25"/>
        <v>0</v>
      </c>
      <c r="CKP8">
        <f t="shared" si="25"/>
        <v>0</v>
      </c>
      <c r="CKQ8">
        <f t="shared" si="25"/>
        <v>0</v>
      </c>
      <c r="CKR8">
        <f t="shared" si="25"/>
        <v>0</v>
      </c>
      <c r="CKS8">
        <f t="shared" si="25"/>
        <v>0</v>
      </c>
      <c r="CKT8">
        <f t="shared" si="25"/>
        <v>12.5</v>
      </c>
      <c r="CKU8">
        <f t="shared" si="25"/>
        <v>12.5</v>
      </c>
      <c r="CKV8">
        <f t="shared" si="25"/>
        <v>12.5</v>
      </c>
      <c r="CKW8">
        <f t="shared" si="25"/>
        <v>25</v>
      </c>
      <c r="CKX8">
        <f t="shared" si="25"/>
        <v>25</v>
      </c>
      <c r="CKY8">
        <f t="shared" si="25"/>
        <v>25</v>
      </c>
      <c r="CKZ8">
        <f t="shared" si="25"/>
        <v>25</v>
      </c>
      <c r="CLA8">
        <f t="shared" si="25"/>
        <v>25</v>
      </c>
      <c r="CLB8">
        <f t="shared" si="25"/>
        <v>25</v>
      </c>
      <c r="CLC8">
        <f t="shared" si="25"/>
        <v>50</v>
      </c>
      <c r="CLD8">
        <f t="shared" si="25"/>
        <v>25</v>
      </c>
      <c r="CLE8">
        <f t="shared" si="25"/>
        <v>0</v>
      </c>
      <c r="CLF8">
        <f t="shared" si="25"/>
        <v>0</v>
      </c>
      <c r="CLG8">
        <f t="shared" si="25"/>
        <v>0</v>
      </c>
      <c r="CLH8">
        <f t="shared" si="25"/>
        <v>0</v>
      </c>
      <c r="CLI8">
        <f t="shared" si="25"/>
        <v>0</v>
      </c>
      <c r="CLJ8">
        <f t="shared" si="25"/>
        <v>0</v>
      </c>
      <c r="CLK8">
        <f t="shared" si="25"/>
        <v>0</v>
      </c>
      <c r="CLL8">
        <f t="shared" si="25"/>
        <v>0</v>
      </c>
      <c r="CLM8">
        <f t="shared" si="25"/>
        <v>0</v>
      </c>
      <c r="CLN8">
        <f t="shared" si="25"/>
        <v>0</v>
      </c>
      <c r="CLO8">
        <f t="shared" si="25"/>
        <v>0</v>
      </c>
      <c r="CLP8">
        <f t="shared" si="25"/>
        <v>12.5</v>
      </c>
      <c r="CLQ8">
        <f t="shared" si="25"/>
        <v>12.5</v>
      </c>
      <c r="CLR8">
        <f t="shared" si="25"/>
        <v>12.5</v>
      </c>
      <c r="CLS8">
        <f t="shared" si="25"/>
        <v>25</v>
      </c>
      <c r="CLT8">
        <f t="shared" si="25"/>
        <v>25</v>
      </c>
      <c r="CLU8">
        <f t="shared" si="25"/>
        <v>25</v>
      </c>
      <c r="CLV8">
        <f t="shared" si="25"/>
        <v>25</v>
      </c>
      <c r="CLW8">
        <f t="shared" si="25"/>
        <v>25</v>
      </c>
      <c r="CLX8">
        <f t="shared" si="25"/>
        <v>25</v>
      </c>
      <c r="CLY8">
        <f t="shared" si="25"/>
        <v>50</v>
      </c>
      <c r="CLZ8">
        <f t="shared" si="25"/>
        <v>25</v>
      </c>
      <c r="CMA8">
        <f t="shared" si="25"/>
        <v>0</v>
      </c>
      <c r="CMB8">
        <f t="shared" si="25"/>
        <v>0</v>
      </c>
      <c r="CMC8">
        <f t="shared" si="25"/>
        <v>0</v>
      </c>
      <c r="CMD8">
        <f t="shared" si="25"/>
        <v>0</v>
      </c>
      <c r="CME8">
        <f t="shared" si="26"/>
        <v>0</v>
      </c>
      <c r="CMF8">
        <f t="shared" si="26"/>
        <v>0</v>
      </c>
      <c r="CMG8">
        <f t="shared" si="26"/>
        <v>0</v>
      </c>
      <c r="CMH8">
        <f t="shared" si="26"/>
        <v>0</v>
      </c>
      <c r="CMI8">
        <f t="shared" si="26"/>
        <v>0</v>
      </c>
      <c r="CMJ8">
        <f t="shared" si="26"/>
        <v>0</v>
      </c>
      <c r="CMK8">
        <f t="shared" si="26"/>
        <v>0</v>
      </c>
      <c r="CML8">
        <f t="shared" si="26"/>
        <v>12.5</v>
      </c>
      <c r="CMM8">
        <f t="shared" si="26"/>
        <v>12.5</v>
      </c>
      <c r="CMN8">
        <f t="shared" si="26"/>
        <v>12.5</v>
      </c>
      <c r="CMO8">
        <f t="shared" si="26"/>
        <v>25</v>
      </c>
      <c r="CMP8">
        <f t="shared" si="26"/>
        <v>25</v>
      </c>
      <c r="CMQ8">
        <f t="shared" si="26"/>
        <v>25</v>
      </c>
      <c r="CMR8">
        <f t="shared" si="26"/>
        <v>25</v>
      </c>
      <c r="CMS8">
        <f t="shared" si="26"/>
        <v>25</v>
      </c>
      <c r="CMT8">
        <f t="shared" si="26"/>
        <v>25</v>
      </c>
      <c r="CMU8">
        <f t="shared" si="26"/>
        <v>50</v>
      </c>
      <c r="CMV8">
        <f t="shared" si="26"/>
        <v>25</v>
      </c>
      <c r="CMW8">
        <f t="shared" si="26"/>
        <v>0</v>
      </c>
      <c r="CMX8">
        <f t="shared" si="26"/>
        <v>0</v>
      </c>
      <c r="CMY8">
        <f t="shared" si="26"/>
        <v>0</v>
      </c>
      <c r="CMZ8">
        <f t="shared" si="26"/>
        <v>0</v>
      </c>
      <c r="CNA8">
        <f t="shared" si="26"/>
        <v>0</v>
      </c>
      <c r="CNB8">
        <f t="shared" si="26"/>
        <v>0</v>
      </c>
      <c r="CNC8">
        <f t="shared" si="26"/>
        <v>0</v>
      </c>
      <c r="CND8">
        <f t="shared" si="26"/>
        <v>0</v>
      </c>
      <c r="CNE8">
        <f t="shared" si="26"/>
        <v>0</v>
      </c>
      <c r="CNF8">
        <f t="shared" si="26"/>
        <v>0</v>
      </c>
      <c r="CNG8">
        <f t="shared" si="26"/>
        <v>0</v>
      </c>
      <c r="CNH8">
        <f t="shared" si="26"/>
        <v>12.5</v>
      </c>
      <c r="CNI8">
        <f t="shared" si="26"/>
        <v>12.5</v>
      </c>
      <c r="CNJ8">
        <f t="shared" si="26"/>
        <v>12.5</v>
      </c>
      <c r="CNK8">
        <f t="shared" si="26"/>
        <v>25</v>
      </c>
      <c r="CNL8">
        <f t="shared" si="26"/>
        <v>25</v>
      </c>
      <c r="CNM8">
        <f t="shared" si="26"/>
        <v>25</v>
      </c>
      <c r="CNN8">
        <f t="shared" si="26"/>
        <v>25</v>
      </c>
      <c r="CNO8">
        <f t="shared" si="26"/>
        <v>25</v>
      </c>
      <c r="CNP8">
        <f t="shared" si="26"/>
        <v>25</v>
      </c>
      <c r="CNQ8">
        <f t="shared" si="26"/>
        <v>50</v>
      </c>
      <c r="CNR8">
        <f t="shared" si="26"/>
        <v>25</v>
      </c>
      <c r="CNS8">
        <f t="shared" si="26"/>
        <v>0</v>
      </c>
      <c r="CNT8">
        <f t="shared" si="26"/>
        <v>0</v>
      </c>
      <c r="CNU8">
        <f t="shared" si="26"/>
        <v>0</v>
      </c>
      <c r="CNV8">
        <f t="shared" si="26"/>
        <v>0</v>
      </c>
      <c r="CNW8">
        <f t="shared" si="26"/>
        <v>0</v>
      </c>
      <c r="CNX8">
        <f t="shared" si="26"/>
        <v>0</v>
      </c>
      <c r="CNY8">
        <f t="shared" si="26"/>
        <v>0</v>
      </c>
      <c r="CNZ8">
        <f t="shared" si="26"/>
        <v>0</v>
      </c>
      <c r="COA8">
        <f t="shared" si="26"/>
        <v>0</v>
      </c>
      <c r="COB8">
        <f t="shared" si="26"/>
        <v>0</v>
      </c>
      <c r="COC8">
        <f t="shared" si="26"/>
        <v>0</v>
      </c>
      <c r="COD8">
        <f t="shared" si="26"/>
        <v>12.5</v>
      </c>
      <c r="COE8">
        <f t="shared" si="26"/>
        <v>12.5</v>
      </c>
      <c r="COF8">
        <f t="shared" si="26"/>
        <v>12.5</v>
      </c>
      <c r="COG8">
        <f t="shared" si="26"/>
        <v>25</v>
      </c>
      <c r="COH8">
        <f t="shared" si="26"/>
        <v>25</v>
      </c>
      <c r="COI8">
        <f t="shared" si="26"/>
        <v>25</v>
      </c>
      <c r="COJ8">
        <f t="shared" si="26"/>
        <v>25</v>
      </c>
      <c r="COK8">
        <f t="shared" si="26"/>
        <v>25</v>
      </c>
      <c r="COL8">
        <f t="shared" si="26"/>
        <v>25</v>
      </c>
      <c r="COM8">
        <f t="shared" si="26"/>
        <v>50</v>
      </c>
      <c r="CON8">
        <f t="shared" si="26"/>
        <v>25</v>
      </c>
      <c r="COO8">
        <f t="shared" si="26"/>
        <v>0</v>
      </c>
      <c r="COP8">
        <f t="shared" si="26"/>
        <v>0</v>
      </c>
      <c r="COQ8">
        <f t="shared" si="27"/>
        <v>0</v>
      </c>
      <c r="COR8">
        <f t="shared" si="27"/>
        <v>0</v>
      </c>
      <c r="COS8">
        <f t="shared" si="27"/>
        <v>0</v>
      </c>
      <c r="COT8">
        <f t="shared" si="27"/>
        <v>0</v>
      </c>
      <c r="COU8">
        <f t="shared" si="27"/>
        <v>0</v>
      </c>
      <c r="COV8">
        <f t="shared" si="27"/>
        <v>0</v>
      </c>
      <c r="COW8">
        <f t="shared" si="27"/>
        <v>0</v>
      </c>
      <c r="COX8">
        <f t="shared" si="27"/>
        <v>0</v>
      </c>
      <c r="COY8">
        <f t="shared" si="27"/>
        <v>0</v>
      </c>
      <c r="COZ8">
        <f t="shared" si="27"/>
        <v>12.5</v>
      </c>
      <c r="CPA8">
        <f t="shared" si="27"/>
        <v>12.5</v>
      </c>
      <c r="CPB8">
        <f t="shared" si="27"/>
        <v>12.5</v>
      </c>
      <c r="CPC8">
        <f t="shared" si="27"/>
        <v>25</v>
      </c>
      <c r="CPD8">
        <f t="shared" si="27"/>
        <v>25</v>
      </c>
      <c r="CPE8">
        <f t="shared" si="27"/>
        <v>25</v>
      </c>
      <c r="CPF8">
        <f t="shared" si="27"/>
        <v>25</v>
      </c>
      <c r="CPG8">
        <f t="shared" si="27"/>
        <v>25</v>
      </c>
      <c r="CPH8">
        <f t="shared" si="27"/>
        <v>25</v>
      </c>
      <c r="CPI8">
        <f t="shared" si="27"/>
        <v>50</v>
      </c>
      <c r="CPJ8">
        <f t="shared" si="27"/>
        <v>25</v>
      </c>
      <c r="CPK8">
        <f t="shared" si="27"/>
        <v>0</v>
      </c>
      <c r="CPL8">
        <f t="shared" si="27"/>
        <v>0</v>
      </c>
      <c r="CPM8">
        <f t="shared" si="27"/>
        <v>0</v>
      </c>
      <c r="CPN8">
        <f t="shared" si="27"/>
        <v>0</v>
      </c>
      <c r="CPO8">
        <f t="shared" si="27"/>
        <v>0</v>
      </c>
      <c r="CPP8">
        <f t="shared" si="27"/>
        <v>0</v>
      </c>
      <c r="CPQ8">
        <f t="shared" si="27"/>
        <v>0</v>
      </c>
      <c r="CPR8">
        <f t="shared" si="27"/>
        <v>0</v>
      </c>
      <c r="CPS8">
        <f t="shared" si="27"/>
        <v>0</v>
      </c>
      <c r="CPT8">
        <f t="shared" si="27"/>
        <v>0</v>
      </c>
      <c r="CPU8">
        <f t="shared" si="27"/>
        <v>0</v>
      </c>
      <c r="CPV8">
        <f t="shared" si="27"/>
        <v>12.5</v>
      </c>
      <c r="CPW8">
        <f t="shared" si="27"/>
        <v>12.5</v>
      </c>
      <c r="CPX8">
        <f t="shared" si="27"/>
        <v>12.5</v>
      </c>
      <c r="CPY8">
        <f t="shared" si="27"/>
        <v>25</v>
      </c>
      <c r="CPZ8">
        <f t="shared" si="27"/>
        <v>25</v>
      </c>
      <c r="CQA8">
        <f t="shared" si="27"/>
        <v>25</v>
      </c>
      <c r="CQB8">
        <f t="shared" si="27"/>
        <v>25</v>
      </c>
      <c r="CQC8">
        <f t="shared" si="27"/>
        <v>25</v>
      </c>
      <c r="CQD8">
        <f t="shared" si="27"/>
        <v>25</v>
      </c>
      <c r="CQE8">
        <f t="shared" si="27"/>
        <v>50</v>
      </c>
      <c r="CQF8">
        <f t="shared" si="27"/>
        <v>25</v>
      </c>
      <c r="CQG8">
        <f t="shared" si="27"/>
        <v>0</v>
      </c>
      <c r="CQH8">
        <f t="shared" si="27"/>
        <v>0</v>
      </c>
      <c r="CQI8">
        <f t="shared" si="27"/>
        <v>0</v>
      </c>
      <c r="CQJ8">
        <f t="shared" si="27"/>
        <v>0</v>
      </c>
      <c r="CQK8">
        <f t="shared" si="27"/>
        <v>0</v>
      </c>
      <c r="CQL8">
        <f t="shared" si="27"/>
        <v>0</v>
      </c>
      <c r="CQM8">
        <f t="shared" si="27"/>
        <v>0</v>
      </c>
      <c r="CQN8">
        <f t="shared" si="27"/>
        <v>0</v>
      </c>
      <c r="CQO8">
        <f t="shared" si="27"/>
        <v>0</v>
      </c>
      <c r="CQP8">
        <f t="shared" si="27"/>
        <v>0</v>
      </c>
      <c r="CQQ8">
        <f t="shared" si="27"/>
        <v>0</v>
      </c>
      <c r="CQR8">
        <f t="shared" si="27"/>
        <v>12.5</v>
      </c>
      <c r="CQS8">
        <f t="shared" si="27"/>
        <v>12.5</v>
      </c>
      <c r="CQT8">
        <f t="shared" si="27"/>
        <v>12.5</v>
      </c>
      <c r="CQU8">
        <f t="shared" si="27"/>
        <v>25</v>
      </c>
      <c r="CQV8">
        <f t="shared" si="27"/>
        <v>25</v>
      </c>
      <c r="CQW8">
        <f t="shared" si="27"/>
        <v>25</v>
      </c>
      <c r="CQX8">
        <f t="shared" si="27"/>
        <v>25</v>
      </c>
      <c r="CQY8">
        <f t="shared" si="27"/>
        <v>25</v>
      </c>
      <c r="CQZ8">
        <f t="shared" si="27"/>
        <v>25</v>
      </c>
      <c r="CRA8">
        <f t="shared" si="27"/>
        <v>50</v>
      </c>
      <c r="CRB8">
        <f t="shared" si="27"/>
        <v>25</v>
      </c>
      <c r="CRC8">
        <f t="shared" si="28"/>
        <v>0</v>
      </c>
      <c r="CRD8">
        <f t="shared" si="28"/>
        <v>0</v>
      </c>
      <c r="CRE8">
        <f t="shared" si="28"/>
        <v>0</v>
      </c>
      <c r="CRF8">
        <f t="shared" si="28"/>
        <v>0</v>
      </c>
      <c r="CRG8">
        <f t="shared" si="28"/>
        <v>0</v>
      </c>
      <c r="CRH8">
        <f t="shared" si="28"/>
        <v>0</v>
      </c>
      <c r="CRI8">
        <f t="shared" si="28"/>
        <v>0</v>
      </c>
      <c r="CRJ8">
        <f t="shared" si="28"/>
        <v>0</v>
      </c>
      <c r="CRK8">
        <f t="shared" si="28"/>
        <v>0</v>
      </c>
      <c r="CRL8">
        <f t="shared" si="28"/>
        <v>0</v>
      </c>
      <c r="CRM8">
        <f t="shared" si="28"/>
        <v>0</v>
      </c>
      <c r="CRN8">
        <f t="shared" si="28"/>
        <v>12.5</v>
      </c>
      <c r="CRO8">
        <f t="shared" si="28"/>
        <v>12.5</v>
      </c>
      <c r="CRP8">
        <f t="shared" si="28"/>
        <v>12.5</v>
      </c>
      <c r="CRQ8">
        <f t="shared" si="28"/>
        <v>25</v>
      </c>
      <c r="CRR8">
        <f t="shared" si="28"/>
        <v>25</v>
      </c>
      <c r="CRS8">
        <f t="shared" si="28"/>
        <v>25</v>
      </c>
      <c r="CRT8">
        <f t="shared" si="28"/>
        <v>25</v>
      </c>
      <c r="CRU8">
        <f t="shared" si="28"/>
        <v>25</v>
      </c>
      <c r="CRV8">
        <f t="shared" si="28"/>
        <v>25</v>
      </c>
      <c r="CRW8">
        <f t="shared" si="28"/>
        <v>50</v>
      </c>
      <c r="CRX8">
        <f t="shared" si="28"/>
        <v>25</v>
      </c>
      <c r="CRY8">
        <f t="shared" si="28"/>
        <v>0</v>
      </c>
      <c r="CRZ8">
        <f t="shared" si="28"/>
        <v>0</v>
      </c>
      <c r="CSA8">
        <f t="shared" si="28"/>
        <v>0</v>
      </c>
      <c r="CSB8">
        <f t="shared" si="28"/>
        <v>0</v>
      </c>
      <c r="CSC8">
        <f t="shared" si="28"/>
        <v>0</v>
      </c>
      <c r="CSD8">
        <f t="shared" si="28"/>
        <v>0</v>
      </c>
      <c r="CSE8">
        <f t="shared" si="28"/>
        <v>0</v>
      </c>
      <c r="CSF8">
        <f t="shared" si="28"/>
        <v>0</v>
      </c>
      <c r="CSG8">
        <f t="shared" si="28"/>
        <v>0</v>
      </c>
      <c r="CSH8">
        <f t="shared" si="28"/>
        <v>0</v>
      </c>
      <c r="CSI8">
        <f t="shared" si="28"/>
        <v>0</v>
      </c>
      <c r="CSJ8">
        <f t="shared" si="28"/>
        <v>12.5</v>
      </c>
      <c r="CSK8">
        <f t="shared" si="28"/>
        <v>12.5</v>
      </c>
      <c r="CSL8">
        <f t="shared" si="28"/>
        <v>12.5</v>
      </c>
      <c r="CSM8">
        <f t="shared" si="28"/>
        <v>25</v>
      </c>
      <c r="CSN8">
        <f t="shared" si="28"/>
        <v>25</v>
      </c>
      <c r="CSO8">
        <f t="shared" si="28"/>
        <v>25</v>
      </c>
      <c r="CSP8">
        <f t="shared" si="28"/>
        <v>25</v>
      </c>
      <c r="CSQ8">
        <f t="shared" si="28"/>
        <v>25</v>
      </c>
      <c r="CSR8">
        <f t="shared" si="28"/>
        <v>25</v>
      </c>
      <c r="CSS8">
        <f t="shared" si="28"/>
        <v>50</v>
      </c>
      <c r="CST8">
        <f t="shared" si="28"/>
        <v>25</v>
      </c>
      <c r="CSU8">
        <f t="shared" si="28"/>
        <v>0</v>
      </c>
      <c r="CSV8">
        <f t="shared" si="28"/>
        <v>0</v>
      </c>
      <c r="CSW8">
        <f t="shared" si="28"/>
        <v>0</v>
      </c>
      <c r="CSX8">
        <f t="shared" si="28"/>
        <v>0</v>
      </c>
      <c r="CSY8">
        <f t="shared" si="28"/>
        <v>0</v>
      </c>
      <c r="CSZ8">
        <f t="shared" si="28"/>
        <v>0</v>
      </c>
      <c r="CTA8">
        <f t="shared" si="28"/>
        <v>0</v>
      </c>
      <c r="CTB8">
        <f t="shared" si="28"/>
        <v>0</v>
      </c>
      <c r="CTC8">
        <f t="shared" si="28"/>
        <v>0</v>
      </c>
      <c r="CTD8">
        <f t="shared" si="28"/>
        <v>0</v>
      </c>
      <c r="CTE8">
        <f t="shared" si="28"/>
        <v>0</v>
      </c>
      <c r="CTF8">
        <f t="shared" si="28"/>
        <v>12.5</v>
      </c>
      <c r="CTG8">
        <f t="shared" si="28"/>
        <v>12.5</v>
      </c>
      <c r="CTH8">
        <f t="shared" si="28"/>
        <v>12.5</v>
      </c>
      <c r="CTI8">
        <f t="shared" si="28"/>
        <v>25</v>
      </c>
      <c r="CTJ8">
        <f t="shared" si="28"/>
        <v>25</v>
      </c>
      <c r="CTK8">
        <f t="shared" si="28"/>
        <v>25</v>
      </c>
      <c r="CTL8">
        <f t="shared" si="28"/>
        <v>25</v>
      </c>
      <c r="CTM8">
        <f t="shared" si="28"/>
        <v>25</v>
      </c>
      <c r="CTN8">
        <f t="shared" si="28"/>
        <v>25</v>
      </c>
      <c r="CTO8">
        <f t="shared" si="29"/>
        <v>50</v>
      </c>
      <c r="CTP8">
        <f t="shared" si="29"/>
        <v>25</v>
      </c>
      <c r="CTQ8">
        <f t="shared" si="29"/>
        <v>0</v>
      </c>
      <c r="CTR8">
        <f t="shared" si="29"/>
        <v>0</v>
      </c>
      <c r="CTS8">
        <f t="shared" si="29"/>
        <v>0</v>
      </c>
      <c r="CTT8">
        <f t="shared" si="29"/>
        <v>0</v>
      </c>
      <c r="CTU8">
        <f t="shared" si="29"/>
        <v>0</v>
      </c>
      <c r="CTV8">
        <f t="shared" si="29"/>
        <v>0</v>
      </c>
      <c r="CTW8">
        <f t="shared" si="29"/>
        <v>0</v>
      </c>
      <c r="CTX8">
        <f t="shared" si="29"/>
        <v>0</v>
      </c>
      <c r="CTY8">
        <f t="shared" si="29"/>
        <v>0</v>
      </c>
      <c r="CTZ8">
        <f t="shared" si="29"/>
        <v>0</v>
      </c>
      <c r="CUA8">
        <f t="shared" si="29"/>
        <v>0</v>
      </c>
      <c r="CUB8">
        <f t="shared" si="29"/>
        <v>12.5</v>
      </c>
      <c r="CUC8">
        <f t="shared" si="29"/>
        <v>12.5</v>
      </c>
      <c r="CUD8">
        <f t="shared" si="29"/>
        <v>12.5</v>
      </c>
      <c r="CUE8">
        <f t="shared" si="29"/>
        <v>25</v>
      </c>
      <c r="CUF8">
        <f t="shared" si="29"/>
        <v>25</v>
      </c>
      <c r="CUG8">
        <f t="shared" si="29"/>
        <v>25</v>
      </c>
      <c r="CUH8">
        <f t="shared" si="29"/>
        <v>25</v>
      </c>
      <c r="CUI8">
        <f t="shared" si="29"/>
        <v>25</v>
      </c>
      <c r="CUJ8">
        <f t="shared" si="29"/>
        <v>25</v>
      </c>
      <c r="CUK8">
        <f t="shared" si="29"/>
        <v>50</v>
      </c>
      <c r="CUL8">
        <f t="shared" si="29"/>
        <v>25</v>
      </c>
      <c r="CUM8">
        <f t="shared" si="29"/>
        <v>0</v>
      </c>
      <c r="CUN8">
        <f t="shared" si="29"/>
        <v>0</v>
      </c>
      <c r="CUO8">
        <f t="shared" si="29"/>
        <v>0</v>
      </c>
      <c r="CUP8">
        <f t="shared" si="29"/>
        <v>0</v>
      </c>
      <c r="CUQ8">
        <f t="shared" si="29"/>
        <v>0</v>
      </c>
      <c r="CUR8">
        <f t="shared" si="29"/>
        <v>0</v>
      </c>
      <c r="CUS8">
        <f t="shared" si="29"/>
        <v>0</v>
      </c>
      <c r="CUT8">
        <f t="shared" si="29"/>
        <v>0</v>
      </c>
      <c r="CUU8">
        <f t="shared" si="29"/>
        <v>0</v>
      </c>
      <c r="CUV8">
        <f t="shared" si="29"/>
        <v>0</v>
      </c>
      <c r="CUW8">
        <f t="shared" si="29"/>
        <v>0</v>
      </c>
      <c r="CUX8">
        <f t="shared" si="29"/>
        <v>12.5</v>
      </c>
      <c r="CUY8">
        <f t="shared" si="29"/>
        <v>12.5</v>
      </c>
      <c r="CUZ8">
        <f t="shared" si="29"/>
        <v>12.5</v>
      </c>
      <c r="CVA8">
        <f t="shared" si="29"/>
        <v>25</v>
      </c>
      <c r="CVB8">
        <f t="shared" si="29"/>
        <v>25</v>
      </c>
      <c r="CVC8">
        <f t="shared" si="29"/>
        <v>25</v>
      </c>
      <c r="CVD8">
        <f t="shared" si="29"/>
        <v>25</v>
      </c>
      <c r="CVE8">
        <f t="shared" si="29"/>
        <v>25</v>
      </c>
      <c r="CVF8">
        <f t="shared" si="29"/>
        <v>25</v>
      </c>
      <c r="CVG8">
        <f t="shared" si="29"/>
        <v>50</v>
      </c>
      <c r="CVH8">
        <f t="shared" si="29"/>
        <v>25</v>
      </c>
      <c r="CVI8">
        <f t="shared" si="29"/>
        <v>0</v>
      </c>
      <c r="CVJ8">
        <f t="shared" si="29"/>
        <v>0</v>
      </c>
      <c r="CVK8">
        <f t="shared" si="29"/>
        <v>0</v>
      </c>
      <c r="CVL8">
        <f t="shared" si="29"/>
        <v>0</v>
      </c>
      <c r="CVM8">
        <f t="shared" si="29"/>
        <v>0</v>
      </c>
      <c r="CVN8">
        <f t="shared" si="29"/>
        <v>0</v>
      </c>
      <c r="CVO8">
        <f t="shared" si="29"/>
        <v>0</v>
      </c>
      <c r="CVP8">
        <f t="shared" si="29"/>
        <v>0</v>
      </c>
      <c r="CVQ8">
        <f t="shared" si="29"/>
        <v>0</v>
      </c>
      <c r="CVR8">
        <f t="shared" si="29"/>
        <v>0</v>
      </c>
      <c r="CVS8">
        <f t="shared" si="29"/>
        <v>0</v>
      </c>
      <c r="CVT8">
        <f t="shared" si="29"/>
        <v>12.5</v>
      </c>
      <c r="CVU8">
        <f t="shared" si="29"/>
        <v>12.5</v>
      </c>
      <c r="CVV8">
        <f t="shared" si="29"/>
        <v>12.5</v>
      </c>
      <c r="CVW8">
        <f t="shared" si="29"/>
        <v>25</v>
      </c>
      <c r="CVX8">
        <f t="shared" si="29"/>
        <v>25</v>
      </c>
      <c r="CVY8">
        <f t="shared" si="29"/>
        <v>25</v>
      </c>
      <c r="CVZ8">
        <f t="shared" si="29"/>
        <v>25</v>
      </c>
      <c r="CWA8">
        <f t="shared" si="30"/>
        <v>25</v>
      </c>
      <c r="CWB8">
        <f t="shared" si="30"/>
        <v>25</v>
      </c>
      <c r="CWC8">
        <f t="shared" si="30"/>
        <v>50</v>
      </c>
      <c r="CWD8">
        <f t="shared" si="30"/>
        <v>25</v>
      </c>
      <c r="CWE8">
        <f t="shared" si="30"/>
        <v>0</v>
      </c>
      <c r="CWF8">
        <f t="shared" si="30"/>
        <v>0</v>
      </c>
      <c r="CWG8">
        <f t="shared" si="30"/>
        <v>0</v>
      </c>
      <c r="CWH8">
        <f t="shared" si="30"/>
        <v>0</v>
      </c>
      <c r="CWI8">
        <f t="shared" si="30"/>
        <v>0</v>
      </c>
      <c r="CWJ8">
        <f t="shared" si="30"/>
        <v>0</v>
      </c>
      <c r="CWK8">
        <f t="shared" si="30"/>
        <v>0</v>
      </c>
      <c r="CWL8">
        <f t="shared" si="30"/>
        <v>0</v>
      </c>
      <c r="CWM8">
        <f t="shared" si="30"/>
        <v>0</v>
      </c>
      <c r="CWN8">
        <f t="shared" si="30"/>
        <v>0</v>
      </c>
      <c r="CWO8">
        <f t="shared" si="30"/>
        <v>0</v>
      </c>
      <c r="CWP8">
        <f t="shared" si="30"/>
        <v>12.5</v>
      </c>
      <c r="CWQ8">
        <f t="shared" si="30"/>
        <v>12.5</v>
      </c>
      <c r="CWR8">
        <f t="shared" si="30"/>
        <v>12.5</v>
      </c>
      <c r="CWS8">
        <f t="shared" si="30"/>
        <v>25</v>
      </c>
      <c r="CWT8">
        <f t="shared" si="30"/>
        <v>25</v>
      </c>
      <c r="CWU8">
        <f t="shared" si="30"/>
        <v>25</v>
      </c>
      <c r="CWV8">
        <f t="shared" si="30"/>
        <v>25</v>
      </c>
      <c r="CWW8">
        <f t="shared" si="30"/>
        <v>25</v>
      </c>
      <c r="CWX8">
        <f t="shared" si="30"/>
        <v>25</v>
      </c>
      <c r="CWY8">
        <f t="shared" si="30"/>
        <v>50</v>
      </c>
      <c r="CWZ8">
        <f t="shared" si="30"/>
        <v>25</v>
      </c>
      <c r="CXA8">
        <f t="shared" si="30"/>
        <v>0</v>
      </c>
      <c r="CXB8">
        <f t="shared" si="30"/>
        <v>0</v>
      </c>
      <c r="CXC8">
        <f t="shared" si="30"/>
        <v>0</v>
      </c>
      <c r="CXD8">
        <f t="shared" si="30"/>
        <v>0</v>
      </c>
      <c r="CXE8">
        <f t="shared" si="30"/>
        <v>0</v>
      </c>
      <c r="CXF8">
        <f t="shared" si="30"/>
        <v>0</v>
      </c>
      <c r="CXG8">
        <f t="shared" si="30"/>
        <v>0</v>
      </c>
      <c r="CXH8">
        <f t="shared" si="30"/>
        <v>0</v>
      </c>
      <c r="CXI8">
        <f t="shared" si="30"/>
        <v>0</v>
      </c>
      <c r="CXJ8">
        <f t="shared" si="30"/>
        <v>0</v>
      </c>
      <c r="CXK8">
        <f t="shared" si="30"/>
        <v>0</v>
      </c>
      <c r="CXL8">
        <f t="shared" si="30"/>
        <v>12.5</v>
      </c>
      <c r="CXM8">
        <f t="shared" si="30"/>
        <v>12.5</v>
      </c>
      <c r="CXN8">
        <f t="shared" si="30"/>
        <v>12.5</v>
      </c>
      <c r="CXO8">
        <f t="shared" si="30"/>
        <v>25</v>
      </c>
      <c r="CXP8">
        <f t="shared" si="30"/>
        <v>25</v>
      </c>
      <c r="CXQ8">
        <f t="shared" si="30"/>
        <v>25</v>
      </c>
      <c r="CXR8">
        <f t="shared" si="30"/>
        <v>25</v>
      </c>
      <c r="CXS8">
        <f t="shared" si="30"/>
        <v>25</v>
      </c>
      <c r="CXT8">
        <f t="shared" si="30"/>
        <v>25</v>
      </c>
      <c r="CXU8">
        <f t="shared" si="30"/>
        <v>50</v>
      </c>
      <c r="CXV8">
        <f t="shared" si="30"/>
        <v>25</v>
      </c>
      <c r="CXW8">
        <f t="shared" si="30"/>
        <v>0</v>
      </c>
      <c r="CXX8">
        <f t="shared" si="30"/>
        <v>0</v>
      </c>
      <c r="CXY8">
        <f t="shared" si="30"/>
        <v>0</v>
      </c>
      <c r="CXZ8">
        <f t="shared" si="30"/>
        <v>0</v>
      </c>
      <c r="CYA8">
        <f t="shared" si="30"/>
        <v>0</v>
      </c>
      <c r="CYB8">
        <f t="shared" si="30"/>
        <v>0</v>
      </c>
      <c r="CYC8">
        <f t="shared" si="30"/>
        <v>0</v>
      </c>
      <c r="CYD8">
        <f t="shared" si="30"/>
        <v>0</v>
      </c>
      <c r="CYE8">
        <f t="shared" si="30"/>
        <v>0</v>
      </c>
      <c r="CYF8">
        <f t="shared" si="30"/>
        <v>0</v>
      </c>
      <c r="CYG8">
        <f t="shared" si="30"/>
        <v>0</v>
      </c>
      <c r="CYH8">
        <f t="shared" si="30"/>
        <v>12.5</v>
      </c>
      <c r="CYI8">
        <f t="shared" si="30"/>
        <v>12.5</v>
      </c>
      <c r="CYJ8">
        <f t="shared" si="30"/>
        <v>12.5</v>
      </c>
      <c r="CYK8">
        <f t="shared" si="30"/>
        <v>25</v>
      </c>
      <c r="CYL8">
        <f t="shared" si="30"/>
        <v>25</v>
      </c>
      <c r="CYM8">
        <f t="shared" si="31"/>
        <v>25</v>
      </c>
      <c r="CYN8">
        <f t="shared" si="31"/>
        <v>25</v>
      </c>
      <c r="CYO8">
        <f t="shared" si="31"/>
        <v>25</v>
      </c>
      <c r="CYP8">
        <f t="shared" si="31"/>
        <v>25</v>
      </c>
      <c r="CYQ8">
        <f t="shared" si="31"/>
        <v>50</v>
      </c>
      <c r="CYR8">
        <f t="shared" si="31"/>
        <v>25</v>
      </c>
      <c r="CYS8">
        <f t="shared" si="31"/>
        <v>0</v>
      </c>
      <c r="CYT8">
        <f t="shared" si="31"/>
        <v>0</v>
      </c>
      <c r="CYU8">
        <f t="shared" si="31"/>
        <v>0</v>
      </c>
      <c r="CYV8">
        <f t="shared" si="31"/>
        <v>0</v>
      </c>
      <c r="CYW8">
        <f t="shared" si="31"/>
        <v>0</v>
      </c>
      <c r="CYX8">
        <f t="shared" si="31"/>
        <v>0</v>
      </c>
      <c r="CYY8">
        <f t="shared" si="31"/>
        <v>0</v>
      </c>
      <c r="CYZ8">
        <f t="shared" si="31"/>
        <v>0</v>
      </c>
      <c r="CZA8">
        <f t="shared" si="31"/>
        <v>0</v>
      </c>
      <c r="CZB8">
        <f t="shared" si="31"/>
        <v>0</v>
      </c>
      <c r="CZC8">
        <f t="shared" si="31"/>
        <v>0</v>
      </c>
      <c r="CZD8">
        <f t="shared" si="31"/>
        <v>12.5</v>
      </c>
      <c r="CZE8">
        <f t="shared" si="31"/>
        <v>12.5</v>
      </c>
      <c r="CZF8">
        <f t="shared" si="31"/>
        <v>12.5</v>
      </c>
      <c r="CZG8">
        <f t="shared" si="31"/>
        <v>25</v>
      </c>
      <c r="CZH8">
        <f t="shared" si="31"/>
        <v>25</v>
      </c>
      <c r="CZI8">
        <f t="shared" si="31"/>
        <v>25</v>
      </c>
      <c r="CZJ8">
        <f t="shared" si="31"/>
        <v>25</v>
      </c>
      <c r="CZK8">
        <f t="shared" si="31"/>
        <v>25</v>
      </c>
      <c r="CZL8">
        <f t="shared" si="31"/>
        <v>25</v>
      </c>
      <c r="CZM8">
        <f t="shared" si="31"/>
        <v>50</v>
      </c>
      <c r="CZN8">
        <f t="shared" si="31"/>
        <v>25</v>
      </c>
      <c r="CZO8">
        <f t="shared" si="31"/>
        <v>0</v>
      </c>
      <c r="CZP8">
        <f t="shared" si="31"/>
        <v>0</v>
      </c>
      <c r="CZQ8">
        <f t="shared" si="31"/>
        <v>0</v>
      </c>
      <c r="CZR8">
        <f t="shared" si="31"/>
        <v>0</v>
      </c>
      <c r="CZS8">
        <f t="shared" si="31"/>
        <v>0</v>
      </c>
      <c r="CZT8">
        <f t="shared" si="31"/>
        <v>0</v>
      </c>
      <c r="CZU8">
        <f t="shared" si="31"/>
        <v>0</v>
      </c>
      <c r="CZV8">
        <f t="shared" si="31"/>
        <v>0</v>
      </c>
      <c r="CZW8">
        <f t="shared" si="31"/>
        <v>0</v>
      </c>
      <c r="CZX8">
        <f t="shared" si="31"/>
        <v>0</v>
      </c>
      <c r="CZY8">
        <f t="shared" si="31"/>
        <v>0</v>
      </c>
      <c r="CZZ8">
        <f t="shared" si="31"/>
        <v>12.5</v>
      </c>
      <c r="DAA8">
        <f t="shared" si="31"/>
        <v>12.5</v>
      </c>
      <c r="DAB8">
        <f t="shared" si="31"/>
        <v>12.5</v>
      </c>
      <c r="DAC8">
        <f t="shared" si="31"/>
        <v>25</v>
      </c>
      <c r="DAD8">
        <f t="shared" si="31"/>
        <v>25</v>
      </c>
      <c r="DAE8">
        <f t="shared" si="31"/>
        <v>25</v>
      </c>
      <c r="DAF8">
        <f t="shared" si="31"/>
        <v>25</v>
      </c>
      <c r="DAG8">
        <f t="shared" si="31"/>
        <v>25</v>
      </c>
      <c r="DAH8">
        <f t="shared" si="31"/>
        <v>25</v>
      </c>
      <c r="DAI8">
        <f t="shared" si="31"/>
        <v>50</v>
      </c>
      <c r="DAJ8">
        <f t="shared" si="31"/>
        <v>25</v>
      </c>
      <c r="DAK8">
        <f t="shared" si="31"/>
        <v>0</v>
      </c>
      <c r="DAL8">
        <f t="shared" si="31"/>
        <v>0</v>
      </c>
      <c r="DAM8">
        <f t="shared" si="31"/>
        <v>0</v>
      </c>
      <c r="DAN8">
        <f t="shared" si="31"/>
        <v>0</v>
      </c>
      <c r="DAO8">
        <f t="shared" si="31"/>
        <v>0</v>
      </c>
      <c r="DAP8">
        <f t="shared" si="31"/>
        <v>0</v>
      </c>
      <c r="DAQ8">
        <f t="shared" si="31"/>
        <v>0</v>
      </c>
      <c r="DAR8">
        <f t="shared" si="31"/>
        <v>0</v>
      </c>
      <c r="DAS8">
        <f t="shared" si="31"/>
        <v>0</v>
      </c>
      <c r="DAT8">
        <f t="shared" si="31"/>
        <v>0</v>
      </c>
      <c r="DAU8">
        <f t="shared" si="31"/>
        <v>0</v>
      </c>
      <c r="DAV8">
        <f t="shared" si="31"/>
        <v>12.5</v>
      </c>
      <c r="DAW8">
        <f t="shared" si="31"/>
        <v>12.5</v>
      </c>
      <c r="DAX8">
        <f t="shared" si="31"/>
        <v>12.5</v>
      </c>
      <c r="DAY8">
        <f t="shared" si="32"/>
        <v>25</v>
      </c>
      <c r="DAZ8">
        <f t="shared" si="32"/>
        <v>25</v>
      </c>
      <c r="DBA8">
        <f t="shared" si="32"/>
        <v>25</v>
      </c>
      <c r="DBB8">
        <f t="shared" si="32"/>
        <v>25</v>
      </c>
      <c r="DBC8">
        <f t="shared" si="32"/>
        <v>25</v>
      </c>
      <c r="DBD8">
        <f t="shared" si="32"/>
        <v>25</v>
      </c>
      <c r="DBE8">
        <f t="shared" si="32"/>
        <v>50</v>
      </c>
      <c r="DBF8">
        <f t="shared" si="32"/>
        <v>25</v>
      </c>
      <c r="DBG8">
        <f t="shared" si="32"/>
        <v>0</v>
      </c>
      <c r="DBH8">
        <f t="shared" si="32"/>
        <v>0</v>
      </c>
      <c r="DBI8">
        <f t="shared" si="32"/>
        <v>0</v>
      </c>
      <c r="DBJ8">
        <f t="shared" si="32"/>
        <v>0</v>
      </c>
      <c r="DBK8">
        <f t="shared" si="32"/>
        <v>0</v>
      </c>
      <c r="DBL8">
        <f t="shared" si="32"/>
        <v>0</v>
      </c>
      <c r="DBM8">
        <f t="shared" si="32"/>
        <v>0</v>
      </c>
      <c r="DBN8">
        <f t="shared" si="32"/>
        <v>0</v>
      </c>
      <c r="DBO8">
        <f t="shared" si="32"/>
        <v>0</v>
      </c>
      <c r="DBP8">
        <f t="shared" si="32"/>
        <v>0</v>
      </c>
      <c r="DBQ8">
        <f t="shared" si="32"/>
        <v>0</v>
      </c>
      <c r="DBR8">
        <f t="shared" si="32"/>
        <v>12.5</v>
      </c>
      <c r="DBS8">
        <f t="shared" si="32"/>
        <v>12.5</v>
      </c>
      <c r="DBT8">
        <f t="shared" si="32"/>
        <v>12.5</v>
      </c>
      <c r="DBU8">
        <f t="shared" si="32"/>
        <v>25</v>
      </c>
      <c r="DBV8">
        <f t="shared" si="32"/>
        <v>25</v>
      </c>
      <c r="DBW8">
        <f t="shared" si="32"/>
        <v>25</v>
      </c>
      <c r="DBX8">
        <f t="shared" si="32"/>
        <v>25</v>
      </c>
      <c r="DBY8">
        <f t="shared" si="32"/>
        <v>25</v>
      </c>
      <c r="DBZ8">
        <f t="shared" si="32"/>
        <v>25</v>
      </c>
      <c r="DCA8">
        <f t="shared" si="32"/>
        <v>50</v>
      </c>
      <c r="DCB8">
        <f t="shared" si="32"/>
        <v>25</v>
      </c>
      <c r="DCC8">
        <f t="shared" si="32"/>
        <v>0</v>
      </c>
      <c r="DCD8">
        <f t="shared" si="32"/>
        <v>0</v>
      </c>
      <c r="DCE8">
        <f t="shared" si="32"/>
        <v>0</v>
      </c>
      <c r="DCF8">
        <f t="shared" si="32"/>
        <v>0</v>
      </c>
      <c r="DCG8">
        <f t="shared" si="32"/>
        <v>0</v>
      </c>
      <c r="DCH8">
        <f t="shared" si="32"/>
        <v>0</v>
      </c>
      <c r="DCI8">
        <f t="shared" si="32"/>
        <v>0</v>
      </c>
      <c r="DCJ8">
        <f t="shared" si="32"/>
        <v>0</v>
      </c>
      <c r="DCK8">
        <f t="shared" si="32"/>
        <v>0</v>
      </c>
      <c r="DCL8">
        <f t="shared" si="32"/>
        <v>0</v>
      </c>
      <c r="DCM8">
        <f t="shared" si="32"/>
        <v>0</v>
      </c>
      <c r="DCN8">
        <f t="shared" si="32"/>
        <v>12.5</v>
      </c>
      <c r="DCO8">
        <f t="shared" si="32"/>
        <v>12.5</v>
      </c>
      <c r="DCP8">
        <f t="shared" si="32"/>
        <v>12.5</v>
      </c>
      <c r="DCQ8">
        <f t="shared" si="32"/>
        <v>25</v>
      </c>
      <c r="DCR8">
        <f t="shared" si="32"/>
        <v>25</v>
      </c>
      <c r="DCS8">
        <f t="shared" si="32"/>
        <v>25</v>
      </c>
      <c r="DCT8">
        <f t="shared" si="32"/>
        <v>25</v>
      </c>
      <c r="DCU8">
        <f t="shared" si="32"/>
        <v>25</v>
      </c>
      <c r="DCV8">
        <f t="shared" si="32"/>
        <v>25</v>
      </c>
      <c r="DCW8">
        <f t="shared" si="32"/>
        <v>50</v>
      </c>
      <c r="DCX8">
        <f t="shared" si="32"/>
        <v>25</v>
      </c>
      <c r="DCY8">
        <f t="shared" si="32"/>
        <v>0</v>
      </c>
      <c r="DCZ8">
        <f t="shared" si="32"/>
        <v>0</v>
      </c>
      <c r="DDA8">
        <f t="shared" si="32"/>
        <v>0</v>
      </c>
      <c r="DDB8">
        <f t="shared" si="32"/>
        <v>0</v>
      </c>
      <c r="DDC8">
        <f t="shared" si="32"/>
        <v>0</v>
      </c>
      <c r="DDD8">
        <f t="shared" si="32"/>
        <v>0</v>
      </c>
      <c r="DDE8">
        <f t="shared" si="32"/>
        <v>0</v>
      </c>
      <c r="DDF8">
        <f t="shared" si="32"/>
        <v>0</v>
      </c>
      <c r="DDG8">
        <f t="shared" si="32"/>
        <v>0</v>
      </c>
      <c r="DDH8">
        <f t="shared" si="32"/>
        <v>0</v>
      </c>
      <c r="DDI8">
        <f t="shared" si="32"/>
        <v>0</v>
      </c>
    </row>
    <row r="9" spans="1:2839" x14ac:dyDescent="0.2">
      <c r="A9" s="1">
        <v>3</v>
      </c>
      <c r="B9">
        <f>'Demand Stage 2'!B8</f>
        <v>12.5</v>
      </c>
      <c r="C9">
        <f>'Demand Stage 2'!C8</f>
        <v>12.5</v>
      </c>
      <c r="D9">
        <f>'Demand Stage 2'!D8</f>
        <v>12.5</v>
      </c>
      <c r="E9">
        <f>'Demand Stage 2'!E8</f>
        <v>25</v>
      </c>
      <c r="F9">
        <f>'Demand Stage 2'!F8</f>
        <v>25</v>
      </c>
      <c r="G9">
        <f>'Demand Stage 2'!G8</f>
        <v>25</v>
      </c>
      <c r="H9">
        <f>'Demand Stage 2'!H8</f>
        <v>25</v>
      </c>
      <c r="I9">
        <f>'Demand Stage 2'!I8</f>
        <v>25</v>
      </c>
      <c r="J9">
        <f>'Demand Stage 2'!J8</f>
        <v>25</v>
      </c>
      <c r="K9">
        <f>'Demand Stage 2'!K8</f>
        <v>50</v>
      </c>
      <c r="L9">
        <f>'Demand Stage 2'!L8</f>
        <v>25</v>
      </c>
      <c r="M9">
        <f>'Demand Stage 2'!M8</f>
        <v>0</v>
      </c>
      <c r="N9">
        <f>'Demand Stage 2'!N8</f>
        <v>0</v>
      </c>
      <c r="O9">
        <f>'Demand Stage 2'!O8</f>
        <v>0</v>
      </c>
      <c r="P9">
        <f>'Demand Stage 2'!P8</f>
        <v>0</v>
      </c>
      <c r="Q9">
        <f>'Demand Stage 2'!Q8</f>
        <v>0</v>
      </c>
      <c r="R9">
        <f>'Demand Stage 2'!R8</f>
        <v>0</v>
      </c>
      <c r="S9">
        <f>'Demand Stage 2'!S8</f>
        <v>0</v>
      </c>
      <c r="T9">
        <f>'Demand Stage 2'!T8</f>
        <v>0</v>
      </c>
      <c r="U9">
        <f>'Demand Stage 2'!U8</f>
        <v>0</v>
      </c>
      <c r="V9">
        <f>'Demand Stage 2'!V8</f>
        <v>0</v>
      </c>
      <c r="W9">
        <f>'Demand Stage 2'!W8</f>
        <v>0</v>
      </c>
      <c r="X9">
        <f>'Demand Stage 2'!X8</f>
        <v>12.5</v>
      </c>
      <c r="Y9">
        <f>'Demand Stage 2'!Y8</f>
        <v>12.5</v>
      </c>
      <c r="Z9">
        <f>'Demand Stage 2'!Z8</f>
        <v>12.5</v>
      </c>
      <c r="AA9">
        <f>'Demand Stage 2'!AA8</f>
        <v>25</v>
      </c>
      <c r="AB9">
        <f>'Demand Stage 2'!AB8</f>
        <v>25</v>
      </c>
      <c r="AC9">
        <f>'Demand Stage 2'!AC8</f>
        <v>25</v>
      </c>
      <c r="AD9">
        <f>'Demand Stage 2'!AD8</f>
        <v>25</v>
      </c>
      <c r="AE9">
        <f>'Demand Stage 2'!AE8</f>
        <v>25</v>
      </c>
      <c r="AF9">
        <f>'Demand Stage 2'!AF8</f>
        <v>25</v>
      </c>
      <c r="AG9">
        <f>'Demand Stage 2'!AG8</f>
        <v>50</v>
      </c>
      <c r="AH9">
        <f>'Demand Stage 2'!AH8</f>
        <v>25</v>
      </c>
      <c r="AI9">
        <f>'Demand Stage 2'!AI8</f>
        <v>0</v>
      </c>
      <c r="AJ9">
        <f>'Demand Stage 2'!AJ8</f>
        <v>0</v>
      </c>
      <c r="AK9">
        <f>'Demand Stage 2'!AK8</f>
        <v>0</v>
      </c>
      <c r="AL9">
        <f>'Demand Stage 2'!AL8</f>
        <v>0</v>
      </c>
      <c r="AM9">
        <f>'Demand Stage 2'!AM8</f>
        <v>0</v>
      </c>
      <c r="AN9">
        <f>'Demand Stage 2'!AN8</f>
        <v>0</v>
      </c>
      <c r="AO9">
        <f>'Demand Stage 2'!AO8</f>
        <v>0</v>
      </c>
      <c r="AP9">
        <f>'Demand Stage 2'!AP8</f>
        <v>0</v>
      </c>
      <c r="AQ9">
        <f>'Demand Stage 2'!AQ8</f>
        <v>0</v>
      </c>
      <c r="AR9">
        <f>'Demand Stage 2'!AR8</f>
        <v>0</v>
      </c>
      <c r="AS9">
        <f>'Demand Stage 2'!AS8</f>
        <v>0</v>
      </c>
      <c r="AT9">
        <f>'Demand Stage 2'!AT8</f>
        <v>12.5</v>
      </c>
      <c r="AU9">
        <f>'Demand Stage 2'!AU8</f>
        <v>12.5</v>
      </c>
      <c r="AV9">
        <f>'Demand Stage 2'!AV8</f>
        <v>12.5</v>
      </c>
      <c r="AW9">
        <f>'Demand Stage 2'!AW8</f>
        <v>25</v>
      </c>
      <c r="AX9">
        <f>'Demand Stage 2'!AX8</f>
        <v>25</v>
      </c>
      <c r="AY9">
        <f>'Demand Stage 2'!AY8</f>
        <v>25</v>
      </c>
      <c r="AZ9">
        <f>'Demand Stage 2'!AZ8</f>
        <v>25</v>
      </c>
      <c r="BA9">
        <f>'Demand Stage 2'!BA8</f>
        <v>25</v>
      </c>
      <c r="BB9">
        <f>'Demand Stage 2'!BB8</f>
        <v>25</v>
      </c>
      <c r="BC9">
        <f>'Demand Stage 2'!BC8</f>
        <v>50</v>
      </c>
      <c r="BD9">
        <f>'Demand Stage 2'!BD8</f>
        <v>25</v>
      </c>
      <c r="BE9">
        <f>'Demand Stage 2'!BE8</f>
        <v>0</v>
      </c>
      <c r="BF9">
        <f>'Demand Stage 2'!BF8</f>
        <v>0</v>
      </c>
      <c r="BG9">
        <f>'Demand Stage 2'!BG8</f>
        <v>0</v>
      </c>
      <c r="BH9">
        <f>'Demand Stage 2'!BH8</f>
        <v>0</v>
      </c>
      <c r="BI9">
        <f>'Demand Stage 2'!BI8</f>
        <v>0</v>
      </c>
      <c r="BJ9">
        <f>'Demand Stage 2'!BJ8</f>
        <v>0</v>
      </c>
      <c r="BK9">
        <f>'Demand Stage 2'!BK8</f>
        <v>0</v>
      </c>
      <c r="BL9">
        <f>'Demand Stage 2'!BL8</f>
        <v>0</v>
      </c>
      <c r="BM9">
        <f>'Demand Stage 2'!BM8</f>
        <v>0</v>
      </c>
      <c r="BN9">
        <f>'Demand Stage 2'!BN8</f>
        <v>0</v>
      </c>
      <c r="BO9">
        <f>'Demand Stage 2'!BO8</f>
        <v>0</v>
      </c>
      <c r="BP9">
        <f>'Demand Stage 2'!BP8</f>
        <v>12.5</v>
      </c>
      <c r="BQ9">
        <f>'Demand Stage 2'!BQ8</f>
        <v>12.5</v>
      </c>
      <c r="BR9">
        <f>'Demand Stage 2'!BR8</f>
        <v>12.5</v>
      </c>
      <c r="BS9">
        <f>'Demand Stage 2'!BS8</f>
        <v>25</v>
      </c>
      <c r="BT9">
        <f>'Demand Stage 2'!BT8</f>
        <v>25</v>
      </c>
      <c r="BU9">
        <f>'Demand Stage 2'!BU8</f>
        <v>25</v>
      </c>
      <c r="BV9">
        <f>'Demand Stage 2'!BV8</f>
        <v>25</v>
      </c>
      <c r="BW9">
        <f>'Demand Stage 2'!BW8</f>
        <v>25</v>
      </c>
      <c r="BX9">
        <f>'Demand Stage 2'!BX8</f>
        <v>25</v>
      </c>
      <c r="BY9">
        <f>'Demand Stage 2'!BY8</f>
        <v>50</v>
      </c>
      <c r="BZ9">
        <f>'Demand Stage 2'!BZ8</f>
        <v>25</v>
      </c>
      <c r="CA9">
        <f>'Demand Stage 2'!CA8</f>
        <v>0</v>
      </c>
      <c r="CB9">
        <f>'Demand Stage 2'!CB8</f>
        <v>0</v>
      </c>
      <c r="CC9">
        <f>'Demand Stage 2'!CC8</f>
        <v>0</v>
      </c>
      <c r="CD9">
        <f>'Demand Stage 2'!CD8</f>
        <v>0</v>
      </c>
      <c r="CE9">
        <f>'Demand Stage 2'!CE8</f>
        <v>0</v>
      </c>
      <c r="CF9">
        <f>'Demand Stage 2'!CF8</f>
        <v>0</v>
      </c>
      <c r="CG9">
        <f>'Demand Stage 2'!CG8</f>
        <v>0</v>
      </c>
      <c r="CH9">
        <f>'Demand Stage 2'!CH8</f>
        <v>0</v>
      </c>
      <c r="CI9">
        <f>'Demand Stage 2'!CI8</f>
        <v>0</v>
      </c>
      <c r="CJ9">
        <f>'Demand Stage 2'!CJ8</f>
        <v>0</v>
      </c>
      <c r="CK9">
        <f>'Demand Stage 2'!CK8</f>
        <v>0</v>
      </c>
      <c r="CL9">
        <f>'Demand Stage 2'!CL8</f>
        <v>12.5</v>
      </c>
      <c r="CM9">
        <f>'Demand Stage 2'!CM8</f>
        <v>12.5</v>
      </c>
      <c r="CN9">
        <f>'Demand Stage 2'!CN8</f>
        <v>12.5</v>
      </c>
      <c r="CO9">
        <f>'Demand Stage 2'!CO8</f>
        <v>25</v>
      </c>
      <c r="CP9">
        <f>'Demand Stage 2'!CP8</f>
        <v>25</v>
      </c>
      <c r="CQ9">
        <f>'Demand Stage 2'!CQ8</f>
        <v>25</v>
      </c>
      <c r="CR9">
        <f>'Demand Stage 2'!CR8</f>
        <v>25</v>
      </c>
      <c r="CS9">
        <f>'Demand Stage 2'!CS8</f>
        <v>25</v>
      </c>
      <c r="CT9">
        <f>'Demand Stage 2'!CT8</f>
        <v>25</v>
      </c>
      <c r="CU9">
        <f>'Demand Stage 2'!CU8</f>
        <v>50</v>
      </c>
      <c r="CV9">
        <f>'Demand Stage 2'!CV8</f>
        <v>25</v>
      </c>
      <c r="CW9">
        <f>'Demand Stage 2'!CW8</f>
        <v>0</v>
      </c>
      <c r="CX9">
        <f>'Demand Stage 2'!CX8</f>
        <v>0</v>
      </c>
      <c r="CY9">
        <f>'Demand Stage 2'!CY8</f>
        <v>0</v>
      </c>
      <c r="CZ9">
        <f>'Demand Stage 2'!CZ8</f>
        <v>0</v>
      </c>
      <c r="DA9">
        <f>'Demand Stage 2'!DA8</f>
        <v>0</v>
      </c>
      <c r="DB9">
        <f>'Demand Stage 2'!DB8</f>
        <v>0</v>
      </c>
      <c r="DC9">
        <f>'Demand Stage 2'!DC8</f>
        <v>0</v>
      </c>
      <c r="DD9">
        <f>'Demand Stage 2'!DD8</f>
        <v>0</v>
      </c>
      <c r="DE9">
        <f>'Demand Stage 2'!DE8</f>
        <v>0</v>
      </c>
      <c r="DF9">
        <f>'Demand Stage 2'!DF8</f>
        <v>0</v>
      </c>
      <c r="DG9">
        <f>'Demand Stage 2'!DG8</f>
        <v>0</v>
      </c>
      <c r="DH9">
        <f>'Demand Stage 2'!DH8</f>
        <v>12.5</v>
      </c>
      <c r="DI9">
        <f>'Demand Stage 2'!DI8</f>
        <v>12.5</v>
      </c>
      <c r="DJ9">
        <f>'Demand Stage 2'!DJ8</f>
        <v>12.5</v>
      </c>
      <c r="DK9">
        <f>'Demand Stage 2'!DK8</f>
        <v>25</v>
      </c>
      <c r="DL9">
        <f>'Demand Stage 2'!DL8</f>
        <v>25</v>
      </c>
      <c r="DM9">
        <f>'Demand Stage 2'!DM8</f>
        <v>25</v>
      </c>
      <c r="DN9">
        <f>'Demand Stage 2'!DN8</f>
        <v>25</v>
      </c>
      <c r="DO9">
        <f>'Demand Stage 2'!DO8</f>
        <v>25</v>
      </c>
      <c r="DP9">
        <f>'Demand Stage 2'!DP8</f>
        <v>25</v>
      </c>
      <c r="DQ9">
        <f>'Demand Stage 2'!DQ8</f>
        <v>50</v>
      </c>
      <c r="DR9">
        <f>'Demand Stage 2'!DR8</f>
        <v>25</v>
      </c>
      <c r="DS9">
        <f>'Demand Stage 2'!DS8</f>
        <v>0</v>
      </c>
      <c r="DT9">
        <f>'Demand Stage 2'!DT8</f>
        <v>0</v>
      </c>
      <c r="DU9">
        <f>'Demand Stage 2'!DU8</f>
        <v>0</v>
      </c>
      <c r="DV9">
        <f>'Demand Stage 2'!DV8</f>
        <v>0</v>
      </c>
      <c r="DW9">
        <f>'Demand Stage 2'!DW8</f>
        <v>0</v>
      </c>
      <c r="DX9">
        <f>'Demand Stage 2'!DX8</f>
        <v>0</v>
      </c>
      <c r="DY9">
        <f>'Demand Stage 2'!DY8</f>
        <v>0</v>
      </c>
      <c r="DZ9">
        <f>'Demand Stage 2'!DZ8</f>
        <v>0</v>
      </c>
      <c r="EA9">
        <f>'Demand Stage 2'!EA8</f>
        <v>0</v>
      </c>
      <c r="EB9">
        <f>'Demand Stage 2'!EB8</f>
        <v>0</v>
      </c>
      <c r="EC9">
        <f>'Demand Stage 2'!EC8</f>
        <v>0</v>
      </c>
      <c r="ED9">
        <f>'Demand Stage 2'!ED8</f>
        <v>12.5</v>
      </c>
      <c r="EE9">
        <f>'Demand Stage 2'!EE8</f>
        <v>12.5</v>
      </c>
      <c r="EF9">
        <f>'Demand Stage 2'!EF8</f>
        <v>12.5</v>
      </c>
      <c r="EG9">
        <f>'Demand Stage 2'!EG8</f>
        <v>25</v>
      </c>
      <c r="EH9">
        <f>'Demand Stage 2'!EH8</f>
        <v>25</v>
      </c>
      <c r="EI9">
        <f>'Demand Stage 2'!EI8</f>
        <v>25</v>
      </c>
      <c r="EJ9">
        <f>'Demand Stage 2'!EJ8</f>
        <v>25</v>
      </c>
      <c r="EK9">
        <f>'Demand Stage 2'!EK8</f>
        <v>25</v>
      </c>
      <c r="EL9">
        <f>'Demand Stage 2'!EL8</f>
        <v>25</v>
      </c>
      <c r="EM9">
        <f>'Demand Stage 2'!EM8</f>
        <v>50</v>
      </c>
      <c r="EN9">
        <f>'Demand Stage 2'!EN8</f>
        <v>25</v>
      </c>
      <c r="EO9">
        <f>'Demand Stage 2'!EO8</f>
        <v>0</v>
      </c>
      <c r="EP9">
        <f>'Demand Stage 2'!EP8</f>
        <v>0</v>
      </c>
      <c r="EQ9">
        <f>'Demand Stage 2'!EQ8</f>
        <v>0</v>
      </c>
      <c r="ER9">
        <f>'Demand Stage 2'!ER8</f>
        <v>0</v>
      </c>
      <c r="ES9">
        <f>'Demand Stage 2'!ES8</f>
        <v>0</v>
      </c>
      <c r="ET9">
        <f>'Demand Stage 2'!ET8</f>
        <v>0</v>
      </c>
      <c r="EU9">
        <f>'Demand Stage 2'!EU8</f>
        <v>0</v>
      </c>
      <c r="EV9">
        <f>'Demand Stage 2'!EV8</f>
        <v>0</v>
      </c>
      <c r="EW9">
        <f>'Demand Stage 2'!EW8</f>
        <v>0</v>
      </c>
      <c r="EX9">
        <f>'Demand Stage 2'!EX8</f>
        <v>0</v>
      </c>
      <c r="EY9">
        <f>'Demand Stage 2'!EY8</f>
        <v>0</v>
      </c>
      <c r="EZ9">
        <f>'Demand Stage 2'!EZ8</f>
        <v>12.5</v>
      </c>
      <c r="FA9">
        <f>'Demand Stage 2'!FA8</f>
        <v>12.5</v>
      </c>
      <c r="FB9">
        <f>'Demand Stage 2'!FB8</f>
        <v>12.5</v>
      </c>
      <c r="FC9">
        <f>'Demand Stage 2'!FC8</f>
        <v>25</v>
      </c>
      <c r="FD9">
        <f>'Demand Stage 2'!FD8</f>
        <v>25</v>
      </c>
      <c r="FE9">
        <f>'Demand Stage 2'!FE8</f>
        <v>25</v>
      </c>
      <c r="FF9">
        <f>'Demand Stage 2'!FF8</f>
        <v>25</v>
      </c>
      <c r="FG9">
        <f>'Demand Stage 2'!FG8</f>
        <v>25</v>
      </c>
      <c r="FH9">
        <f>'Demand Stage 2'!FH8</f>
        <v>25</v>
      </c>
      <c r="FI9">
        <f>'Demand Stage 2'!FI8</f>
        <v>50</v>
      </c>
      <c r="FJ9">
        <f>'Demand Stage 2'!FJ8</f>
        <v>25</v>
      </c>
      <c r="FK9">
        <f>'Demand Stage 2'!FK8</f>
        <v>0</v>
      </c>
      <c r="FL9">
        <f>'Demand Stage 2'!FL8</f>
        <v>0</v>
      </c>
      <c r="FM9">
        <f>'Demand Stage 2'!FM8</f>
        <v>0</v>
      </c>
      <c r="FN9">
        <f>'Demand Stage 2'!FN8</f>
        <v>0</v>
      </c>
      <c r="FO9">
        <f>'Demand Stage 2'!FO8</f>
        <v>0</v>
      </c>
      <c r="FP9">
        <f>'Demand Stage 2'!FP8</f>
        <v>0</v>
      </c>
      <c r="FQ9">
        <f>'Demand Stage 2'!FQ8</f>
        <v>0</v>
      </c>
      <c r="FR9">
        <f>'Demand Stage 2'!FR8</f>
        <v>0</v>
      </c>
      <c r="FS9">
        <f>'Demand Stage 2'!FS8</f>
        <v>0</v>
      </c>
      <c r="FT9">
        <f>'Demand Stage 2'!FT8</f>
        <v>0</v>
      </c>
      <c r="FU9">
        <f>'Demand Stage 2'!FU8</f>
        <v>0</v>
      </c>
      <c r="FV9">
        <f>'Demand Stage 2'!FV8</f>
        <v>12.5</v>
      </c>
      <c r="FW9">
        <f>'Demand Stage 2'!FW8</f>
        <v>12.5</v>
      </c>
      <c r="FX9">
        <f>'Demand Stage 2'!FX8</f>
        <v>12.5</v>
      </c>
      <c r="FY9">
        <f>'Demand Stage 2'!FY8</f>
        <v>25</v>
      </c>
      <c r="FZ9">
        <f>'Demand Stage 2'!FZ8</f>
        <v>25</v>
      </c>
      <c r="GA9">
        <f>'Demand Stage 2'!GA8</f>
        <v>25</v>
      </c>
      <c r="GB9">
        <f>'Demand Stage 2'!GB8</f>
        <v>25</v>
      </c>
      <c r="GC9">
        <f>'Demand Stage 2'!GC8</f>
        <v>25</v>
      </c>
      <c r="GD9">
        <f>'Demand Stage 2'!GD8</f>
        <v>25</v>
      </c>
      <c r="GE9">
        <f>'Demand Stage 2'!GE8</f>
        <v>50</v>
      </c>
      <c r="GF9">
        <f>'Demand Stage 2'!GF8</f>
        <v>25</v>
      </c>
      <c r="GG9">
        <f>'Demand Stage 2'!GG8</f>
        <v>0</v>
      </c>
      <c r="GH9">
        <f>'Demand Stage 2'!GH8</f>
        <v>0</v>
      </c>
      <c r="GI9">
        <f>'Demand Stage 2'!GI8</f>
        <v>0</v>
      </c>
      <c r="GJ9">
        <f>'Demand Stage 2'!GJ8</f>
        <v>0</v>
      </c>
      <c r="GK9">
        <f>'Demand Stage 2'!GK8</f>
        <v>0</v>
      </c>
      <c r="GL9">
        <f>'Demand Stage 2'!GL8</f>
        <v>0</v>
      </c>
      <c r="GM9">
        <f>'Demand Stage 2'!GM8</f>
        <v>0</v>
      </c>
      <c r="GN9">
        <f>'Demand Stage 2'!GN8</f>
        <v>0</v>
      </c>
      <c r="GO9">
        <f>'Demand Stage 2'!GO8</f>
        <v>0</v>
      </c>
      <c r="GP9">
        <f>'Demand Stage 2'!GP8</f>
        <v>0</v>
      </c>
      <c r="GQ9">
        <f>'Demand Stage 2'!GQ8</f>
        <v>0</v>
      </c>
      <c r="GR9">
        <f>'Demand Stage 2'!GR8</f>
        <v>12.5</v>
      </c>
      <c r="GS9">
        <f>'Demand Stage 2'!GS8</f>
        <v>12.5</v>
      </c>
      <c r="GT9">
        <f>'Demand Stage 2'!GT8</f>
        <v>12.5</v>
      </c>
      <c r="GU9">
        <f>'Demand Stage 2'!GU8</f>
        <v>25</v>
      </c>
      <c r="GV9">
        <f>'Demand Stage 2'!GV8</f>
        <v>25</v>
      </c>
      <c r="GW9">
        <f>'Demand Stage 2'!GW8</f>
        <v>25</v>
      </c>
      <c r="GX9">
        <f>'Demand Stage 2'!GX8</f>
        <v>25</v>
      </c>
      <c r="GY9">
        <f>'Demand Stage 2'!GY8</f>
        <v>25</v>
      </c>
      <c r="GZ9">
        <f>'Demand Stage 2'!GZ8</f>
        <v>25</v>
      </c>
      <c r="HA9">
        <f>'Demand Stage 2'!HA8</f>
        <v>50</v>
      </c>
      <c r="HB9">
        <f>'Demand Stage 2'!HB8</f>
        <v>25</v>
      </c>
      <c r="HC9">
        <f>'Demand Stage 2'!HC8</f>
        <v>0</v>
      </c>
      <c r="HD9">
        <f>'Demand Stage 2'!HD8</f>
        <v>0</v>
      </c>
      <c r="HE9">
        <f>'Demand Stage 2'!HE8</f>
        <v>0</v>
      </c>
      <c r="HF9">
        <f>'Demand Stage 2'!HF8</f>
        <v>0</v>
      </c>
      <c r="HG9">
        <f>'Demand Stage 2'!HG8</f>
        <v>0</v>
      </c>
      <c r="HH9">
        <f>'Demand Stage 2'!HH8</f>
        <v>0</v>
      </c>
      <c r="HI9">
        <f>'Demand Stage 2'!HI8</f>
        <v>0</v>
      </c>
      <c r="HJ9">
        <f>'Demand Stage 2'!HJ8</f>
        <v>0</v>
      </c>
      <c r="HK9">
        <f>'Demand Stage 2'!HK8</f>
        <v>0</v>
      </c>
      <c r="HL9">
        <f>'Demand Stage 2'!HL8</f>
        <v>0</v>
      </c>
      <c r="HM9">
        <f>'Demand Stage 2'!HM8</f>
        <v>0</v>
      </c>
      <c r="HN9">
        <f>'Demand Stage 2'!HN8</f>
        <v>12.5</v>
      </c>
      <c r="HO9">
        <f>'Demand Stage 2'!HO8</f>
        <v>12.5</v>
      </c>
      <c r="HP9">
        <f>'Demand Stage 2'!HP8</f>
        <v>12.5</v>
      </c>
      <c r="HQ9">
        <f>'Demand Stage 2'!HQ8</f>
        <v>25</v>
      </c>
      <c r="HR9">
        <f>'Demand Stage 2'!HR8</f>
        <v>25</v>
      </c>
      <c r="HS9">
        <f>'Demand Stage 2'!HS8</f>
        <v>25</v>
      </c>
      <c r="HT9">
        <f>'Demand Stage 2'!HT8</f>
        <v>25</v>
      </c>
      <c r="HU9">
        <f>'Demand Stage 2'!HU8</f>
        <v>25</v>
      </c>
      <c r="HV9">
        <f>'Demand Stage 2'!HV8</f>
        <v>25</v>
      </c>
      <c r="HW9">
        <f>'Demand Stage 2'!HW8</f>
        <v>50</v>
      </c>
      <c r="HX9">
        <f>'Demand Stage 2'!HX8</f>
        <v>25</v>
      </c>
      <c r="HY9">
        <f>'Demand Stage 2'!HY8</f>
        <v>0</v>
      </c>
      <c r="HZ9">
        <f>'Demand Stage 2'!HZ8</f>
        <v>0</v>
      </c>
      <c r="IA9">
        <f>'Demand Stage 2'!IA8</f>
        <v>0</v>
      </c>
      <c r="IB9">
        <f>'Demand Stage 2'!IB8</f>
        <v>0</v>
      </c>
      <c r="IC9">
        <f>'Demand Stage 2'!IC8</f>
        <v>0</v>
      </c>
      <c r="ID9">
        <f>'Demand Stage 2'!ID8</f>
        <v>0</v>
      </c>
      <c r="IE9">
        <f>'Demand Stage 2'!IE8</f>
        <v>0</v>
      </c>
      <c r="IF9">
        <f>'Demand Stage 2'!IF8</f>
        <v>0</v>
      </c>
      <c r="IG9">
        <f>'Demand Stage 2'!IG8</f>
        <v>0</v>
      </c>
      <c r="IH9">
        <f>'Demand Stage 2'!IH8</f>
        <v>0</v>
      </c>
      <c r="II9">
        <f>'Demand Stage 2'!II8</f>
        <v>0</v>
      </c>
      <c r="IJ9">
        <f>'Demand Stage 2'!IJ8</f>
        <v>12.5</v>
      </c>
      <c r="IK9">
        <f>'Demand Stage 2'!IK8</f>
        <v>12.5</v>
      </c>
      <c r="IL9">
        <f>'Demand Stage 2'!IL8</f>
        <v>12.5</v>
      </c>
      <c r="IM9">
        <f>'Demand Stage 2'!IM8</f>
        <v>25</v>
      </c>
      <c r="IN9">
        <f>'Demand Stage 2'!IN8</f>
        <v>25</v>
      </c>
      <c r="IO9">
        <f>'Demand Stage 2'!IO8</f>
        <v>25</v>
      </c>
      <c r="IP9">
        <f>'Demand Stage 2'!IP8</f>
        <v>25</v>
      </c>
      <c r="IQ9">
        <f>'Demand Stage 2'!IQ8</f>
        <v>25</v>
      </c>
      <c r="IR9">
        <f>'Demand Stage 2'!IR8</f>
        <v>25</v>
      </c>
      <c r="IS9">
        <f>'Demand Stage 2'!IS8</f>
        <v>50</v>
      </c>
      <c r="IT9">
        <f>'Demand Stage 2'!IT8</f>
        <v>25</v>
      </c>
      <c r="IU9">
        <f>'Demand Stage 2'!IU8</f>
        <v>0</v>
      </c>
      <c r="IV9">
        <f>'Demand Stage 2'!IV8</f>
        <v>0</v>
      </c>
      <c r="IW9">
        <f>'Demand Stage 2'!IW8</f>
        <v>0</v>
      </c>
      <c r="IX9">
        <f>'Demand Stage 2'!IX8</f>
        <v>0</v>
      </c>
      <c r="IY9">
        <f>'Demand Stage 2'!IY8</f>
        <v>0</v>
      </c>
      <c r="IZ9">
        <f>'Demand Stage 2'!IZ8</f>
        <v>0</v>
      </c>
      <c r="JA9">
        <f>'Demand Stage 2'!JA8</f>
        <v>0</v>
      </c>
      <c r="JB9">
        <f>'Demand Stage 2'!JB8</f>
        <v>0</v>
      </c>
      <c r="JC9">
        <f>'Demand Stage 2'!JC8</f>
        <v>0</v>
      </c>
      <c r="JD9">
        <f>'Demand Stage 2'!JD8</f>
        <v>0</v>
      </c>
      <c r="JE9">
        <f>'Demand Stage 2'!JE8</f>
        <v>0</v>
      </c>
      <c r="JF9">
        <f>'Demand Stage 2'!JF8</f>
        <v>12.5</v>
      </c>
      <c r="JG9">
        <f>'Demand Stage 2'!JG8</f>
        <v>12.5</v>
      </c>
      <c r="JH9">
        <f>'Demand Stage 2'!JH8</f>
        <v>12.5</v>
      </c>
      <c r="JI9">
        <f>'Demand Stage 2'!JI8</f>
        <v>25</v>
      </c>
      <c r="JJ9">
        <f>'Demand Stage 2'!JJ8</f>
        <v>25</v>
      </c>
      <c r="JK9">
        <f>'Demand Stage 2'!JK8</f>
        <v>25</v>
      </c>
      <c r="JL9">
        <f>'Demand Stage 2'!JL8</f>
        <v>25</v>
      </c>
      <c r="JM9">
        <f>'Demand Stage 2'!JM8</f>
        <v>25</v>
      </c>
      <c r="JN9">
        <f>'Demand Stage 2'!JN8</f>
        <v>25</v>
      </c>
      <c r="JO9">
        <f>'Demand Stage 2'!JO8</f>
        <v>50</v>
      </c>
      <c r="JP9">
        <f>'Demand Stage 2'!JP8</f>
        <v>25</v>
      </c>
      <c r="JQ9">
        <f>'Demand Stage 2'!JQ8</f>
        <v>0</v>
      </c>
      <c r="JR9">
        <f>'Demand Stage 2'!JR8</f>
        <v>0</v>
      </c>
      <c r="JS9">
        <f>'Demand Stage 2'!JS8</f>
        <v>0</v>
      </c>
      <c r="JT9">
        <f>'Demand Stage 2'!JT8</f>
        <v>0</v>
      </c>
      <c r="JU9">
        <f>'Demand Stage 2'!JU8</f>
        <v>0</v>
      </c>
      <c r="JV9">
        <f>'Demand Stage 2'!JV8</f>
        <v>0</v>
      </c>
      <c r="JW9">
        <f>'Demand Stage 2'!JW8</f>
        <v>0</v>
      </c>
      <c r="JX9">
        <f>'Demand Stage 2'!JX8</f>
        <v>0</v>
      </c>
      <c r="JY9">
        <f>'Demand Stage 2'!JY8</f>
        <v>0</v>
      </c>
      <c r="JZ9">
        <f>'Demand Stage 2'!JZ8</f>
        <v>0</v>
      </c>
      <c r="KA9">
        <f>'Demand Stage 2'!KA8</f>
        <v>0</v>
      </c>
      <c r="KB9">
        <f>'Demand Stage 2'!KB8</f>
        <v>12.5</v>
      </c>
      <c r="KC9">
        <f>'Demand Stage 2'!KC8</f>
        <v>12.5</v>
      </c>
      <c r="KD9">
        <f>'Demand Stage 2'!KD8</f>
        <v>12.5</v>
      </c>
      <c r="KE9">
        <f>'Demand Stage 2'!KE8</f>
        <v>25</v>
      </c>
      <c r="KF9">
        <f>'Demand Stage 2'!KF8</f>
        <v>25</v>
      </c>
      <c r="KG9">
        <f>'Demand Stage 2'!KG8</f>
        <v>25</v>
      </c>
      <c r="KH9">
        <f>'Demand Stage 2'!KH8</f>
        <v>25</v>
      </c>
      <c r="KI9">
        <f>'Demand Stage 2'!KI8</f>
        <v>25</v>
      </c>
      <c r="KJ9">
        <f>'Demand Stage 2'!KJ8</f>
        <v>25</v>
      </c>
      <c r="KK9">
        <f>'Demand Stage 2'!KK8</f>
        <v>50</v>
      </c>
      <c r="KL9">
        <f>'Demand Stage 2'!KL8</f>
        <v>25</v>
      </c>
      <c r="KM9">
        <f>'Demand Stage 2'!KM8</f>
        <v>0</v>
      </c>
      <c r="KN9">
        <f>'Demand Stage 2'!KN8</f>
        <v>0</v>
      </c>
      <c r="KO9">
        <f>'Demand Stage 2'!KO8</f>
        <v>0</v>
      </c>
      <c r="KP9">
        <f>'Demand Stage 2'!KP8</f>
        <v>0</v>
      </c>
      <c r="KQ9">
        <f>'Demand Stage 2'!KQ8</f>
        <v>0</v>
      </c>
      <c r="KR9">
        <f>'Demand Stage 2'!KR8</f>
        <v>0</v>
      </c>
      <c r="KS9">
        <f>'Demand Stage 2'!KS8</f>
        <v>0</v>
      </c>
      <c r="KT9">
        <f>'Demand Stage 2'!KT8</f>
        <v>0</v>
      </c>
      <c r="KU9">
        <f>'Demand Stage 2'!KU8</f>
        <v>0</v>
      </c>
      <c r="KV9">
        <f>'Demand Stage 2'!KV8</f>
        <v>0</v>
      </c>
      <c r="KW9">
        <f>'Demand Stage 2'!KW8</f>
        <v>0</v>
      </c>
      <c r="KX9">
        <f>'Demand Stage 2'!KX8</f>
        <v>12.5</v>
      </c>
      <c r="KY9">
        <f>'Demand Stage 2'!KY8</f>
        <v>12.5</v>
      </c>
      <c r="KZ9">
        <f>'Demand Stage 2'!KZ8</f>
        <v>12.5</v>
      </c>
      <c r="LA9">
        <f>'Demand Stage 2'!LA8</f>
        <v>25</v>
      </c>
      <c r="LB9">
        <f>'Demand Stage 2'!LB8</f>
        <v>25</v>
      </c>
      <c r="LC9">
        <f>'Demand Stage 2'!LC8</f>
        <v>25</v>
      </c>
      <c r="LD9">
        <f>'Demand Stage 2'!LD8</f>
        <v>25</v>
      </c>
      <c r="LE9">
        <f>'Demand Stage 2'!LE8</f>
        <v>25</v>
      </c>
      <c r="LF9">
        <f>'Demand Stage 2'!LF8</f>
        <v>25</v>
      </c>
      <c r="LG9">
        <f>'Demand Stage 2'!LG8</f>
        <v>50</v>
      </c>
      <c r="LH9">
        <f>'Demand Stage 2'!LH8</f>
        <v>25</v>
      </c>
      <c r="LI9">
        <f>'Demand Stage 2'!LI8</f>
        <v>0</v>
      </c>
      <c r="LJ9">
        <f>'Demand Stage 2'!LJ8</f>
        <v>0</v>
      </c>
      <c r="LK9">
        <f>'Demand Stage 2'!LK8</f>
        <v>0</v>
      </c>
      <c r="LL9">
        <f>'Demand Stage 2'!LL8</f>
        <v>0</v>
      </c>
      <c r="LM9">
        <f>'Demand Stage 2'!LM8</f>
        <v>0</v>
      </c>
      <c r="LN9">
        <f>'Demand Stage 2'!LN8</f>
        <v>0</v>
      </c>
      <c r="LO9">
        <f>'Demand Stage 2'!LO8</f>
        <v>0</v>
      </c>
      <c r="LP9">
        <f>'Demand Stage 2'!LP8</f>
        <v>0</v>
      </c>
      <c r="LQ9">
        <f>'Demand Stage 2'!LQ8</f>
        <v>0</v>
      </c>
      <c r="LR9">
        <f>'Demand Stage 2'!LR8</f>
        <v>0</v>
      </c>
      <c r="LS9">
        <f>'Demand Stage 2'!LS8</f>
        <v>0</v>
      </c>
      <c r="LT9">
        <f>'Demand Stage 2'!LT8</f>
        <v>12.5</v>
      </c>
      <c r="LU9">
        <f>'Demand Stage 2'!LU8</f>
        <v>12.5</v>
      </c>
      <c r="LV9">
        <f>'Demand Stage 2'!LV8</f>
        <v>12.5</v>
      </c>
      <c r="LW9">
        <f>'Demand Stage 2'!LW8</f>
        <v>25</v>
      </c>
      <c r="LX9">
        <f>'Demand Stage 2'!LX8</f>
        <v>25</v>
      </c>
      <c r="LY9">
        <f>'Demand Stage 2'!LY8</f>
        <v>25</v>
      </c>
      <c r="LZ9">
        <f>'Demand Stage 2'!LZ8</f>
        <v>25</v>
      </c>
      <c r="MA9">
        <f>'Demand Stage 2'!MA8</f>
        <v>25</v>
      </c>
      <c r="MB9">
        <f>'Demand Stage 2'!MB8</f>
        <v>25</v>
      </c>
      <c r="MC9">
        <f>'Demand Stage 2'!MC8</f>
        <v>50</v>
      </c>
      <c r="MD9">
        <f>'Demand Stage 2'!MD8</f>
        <v>25</v>
      </c>
      <c r="ME9">
        <f>'Demand Stage 2'!ME8</f>
        <v>0</v>
      </c>
      <c r="MF9">
        <f>'Demand Stage 2'!MF8</f>
        <v>0</v>
      </c>
      <c r="MG9">
        <f>'Demand Stage 2'!MG8</f>
        <v>0</v>
      </c>
      <c r="MH9">
        <f>'Demand Stage 2'!MH8</f>
        <v>0</v>
      </c>
      <c r="MI9">
        <f>'Demand Stage 2'!MI8</f>
        <v>0</v>
      </c>
      <c r="MJ9">
        <f>'Demand Stage 2'!MJ8</f>
        <v>0</v>
      </c>
      <c r="MK9">
        <f>'Demand Stage 2'!MK8</f>
        <v>0</v>
      </c>
      <c r="ML9">
        <f>'Demand Stage 2'!ML8</f>
        <v>0</v>
      </c>
      <c r="MM9">
        <f>'Demand Stage 2'!MM8</f>
        <v>0</v>
      </c>
      <c r="MN9">
        <f>'Demand Stage 2'!MN8</f>
        <v>0</v>
      </c>
      <c r="MO9">
        <f>'Demand Stage 2'!MO8</f>
        <v>0</v>
      </c>
      <c r="MP9">
        <f>'Demand Stage 2'!MP8</f>
        <v>12.5</v>
      </c>
      <c r="MQ9">
        <f>'Demand Stage 2'!MQ8</f>
        <v>12.5</v>
      </c>
      <c r="MR9">
        <f>'Demand Stage 2'!MR8</f>
        <v>12.5</v>
      </c>
      <c r="MS9">
        <f>'Demand Stage 2'!MS8</f>
        <v>25</v>
      </c>
      <c r="MT9">
        <f>'Demand Stage 2'!MT8</f>
        <v>25</v>
      </c>
      <c r="MU9">
        <f>'Demand Stage 2'!MU8</f>
        <v>25</v>
      </c>
      <c r="MV9">
        <f>'Demand Stage 2'!MV8</f>
        <v>25</v>
      </c>
      <c r="MW9">
        <f>'Demand Stage 2'!MW8</f>
        <v>25</v>
      </c>
      <c r="MX9">
        <f>'Demand Stage 2'!MX8</f>
        <v>25</v>
      </c>
      <c r="MY9">
        <f>'Demand Stage 2'!MY8</f>
        <v>50</v>
      </c>
      <c r="MZ9">
        <f>'Demand Stage 2'!MZ8</f>
        <v>25</v>
      </c>
      <c r="NA9">
        <f>'Demand Stage 2'!NA8</f>
        <v>0</v>
      </c>
      <c r="NB9">
        <f>'Demand Stage 2'!NB8</f>
        <v>0</v>
      </c>
      <c r="NC9">
        <f>'Demand Stage 2'!NC8</f>
        <v>0</v>
      </c>
      <c r="ND9">
        <f>'Demand Stage 2'!ND8</f>
        <v>0</v>
      </c>
      <c r="NE9">
        <f>'Demand Stage 2'!NE8</f>
        <v>0</v>
      </c>
      <c r="NF9">
        <f>'Demand Stage 2'!NF8</f>
        <v>0</v>
      </c>
      <c r="NG9">
        <f>'Demand Stage 2'!NG8</f>
        <v>0</v>
      </c>
      <c r="NH9">
        <f>'Demand Stage 2'!NH8</f>
        <v>0</v>
      </c>
      <c r="NI9">
        <f>'Demand Stage 2'!NI8</f>
        <v>0</v>
      </c>
      <c r="NJ9">
        <f>'Demand Stage 2'!NJ8</f>
        <v>0</v>
      </c>
      <c r="NK9">
        <f>'Demand Stage 2'!NK8</f>
        <v>0</v>
      </c>
      <c r="NL9">
        <f>'Demand Stage 2'!NL8</f>
        <v>12.5</v>
      </c>
      <c r="NM9">
        <f>'Demand Stage 2'!NM8</f>
        <v>12.5</v>
      </c>
      <c r="NN9">
        <f>'Demand Stage 2'!NN8</f>
        <v>12.5</v>
      </c>
      <c r="NO9">
        <f>'Demand Stage 2'!NO8</f>
        <v>25</v>
      </c>
      <c r="NP9">
        <f>'Demand Stage 2'!NP8</f>
        <v>25</v>
      </c>
      <c r="NQ9">
        <f>'Demand Stage 2'!NQ8</f>
        <v>25</v>
      </c>
      <c r="NR9">
        <f>'Demand Stage 2'!NR8</f>
        <v>25</v>
      </c>
      <c r="NS9">
        <f>'Demand Stage 2'!NS8</f>
        <v>25</v>
      </c>
      <c r="NT9">
        <f>'Demand Stage 2'!NT8</f>
        <v>25</v>
      </c>
      <c r="NU9">
        <f>'Demand Stage 2'!NU8</f>
        <v>50</v>
      </c>
      <c r="NV9">
        <f>'Demand Stage 2'!NV8</f>
        <v>25</v>
      </c>
      <c r="NW9">
        <f>'Demand Stage 2'!NW8</f>
        <v>0</v>
      </c>
      <c r="NX9">
        <f>'Demand Stage 2'!NX8</f>
        <v>0</v>
      </c>
      <c r="NY9">
        <f>'Demand Stage 2'!NY8</f>
        <v>0</v>
      </c>
      <c r="NZ9">
        <f>'Demand Stage 2'!NZ8</f>
        <v>0</v>
      </c>
      <c r="OA9">
        <f>'Demand Stage 2'!OA8</f>
        <v>0</v>
      </c>
      <c r="OB9">
        <f>'Demand Stage 2'!OB8</f>
        <v>0</v>
      </c>
      <c r="OC9">
        <f>'Demand Stage 2'!OC8</f>
        <v>0</v>
      </c>
      <c r="OD9">
        <f>'Demand Stage 2'!OD8</f>
        <v>0</v>
      </c>
      <c r="OE9">
        <f>'Demand Stage 2'!OE8</f>
        <v>0</v>
      </c>
      <c r="OF9">
        <f>'Demand Stage 2'!OF8</f>
        <v>0</v>
      </c>
      <c r="OG9">
        <f>'Demand Stage 2'!OG8</f>
        <v>0</v>
      </c>
      <c r="OH9">
        <f>'Demand Stage 2'!OH8</f>
        <v>12.5</v>
      </c>
      <c r="OI9">
        <f>'Demand Stage 2'!OI8</f>
        <v>12.5</v>
      </c>
      <c r="OJ9">
        <f>'Demand Stage 2'!OJ8</f>
        <v>12.5</v>
      </c>
      <c r="OK9">
        <f>'Demand Stage 2'!OK8</f>
        <v>25</v>
      </c>
      <c r="OL9">
        <f>'Demand Stage 2'!OL8</f>
        <v>25</v>
      </c>
      <c r="OM9">
        <f>'Demand Stage 2'!OM8</f>
        <v>25</v>
      </c>
      <c r="ON9">
        <f>'Demand Stage 2'!ON8</f>
        <v>25</v>
      </c>
      <c r="OO9">
        <f>'Demand Stage 2'!OO8</f>
        <v>25</v>
      </c>
      <c r="OP9">
        <f>'Demand Stage 2'!OP8</f>
        <v>25</v>
      </c>
      <c r="OQ9">
        <f>'Demand Stage 2'!OQ8</f>
        <v>50</v>
      </c>
      <c r="OR9">
        <f>'Demand Stage 2'!OR8</f>
        <v>25</v>
      </c>
      <c r="OS9">
        <f>'Demand Stage 2'!OS8</f>
        <v>0</v>
      </c>
      <c r="OT9">
        <f>'Demand Stage 2'!OT8</f>
        <v>0</v>
      </c>
      <c r="OU9">
        <f>'Demand Stage 2'!OU8</f>
        <v>0</v>
      </c>
      <c r="OV9">
        <f>'Demand Stage 2'!OV8</f>
        <v>0</v>
      </c>
      <c r="OW9">
        <f>'Demand Stage 2'!OW8</f>
        <v>0</v>
      </c>
      <c r="OX9">
        <f>'Demand Stage 2'!OX8</f>
        <v>0</v>
      </c>
      <c r="OY9">
        <f>'Demand Stage 2'!OY8</f>
        <v>0</v>
      </c>
      <c r="OZ9">
        <f>'Demand Stage 2'!OZ8</f>
        <v>0</v>
      </c>
      <c r="PA9">
        <f>'Demand Stage 2'!PA8</f>
        <v>0</v>
      </c>
      <c r="PB9">
        <f>'Demand Stage 2'!PB8</f>
        <v>0</v>
      </c>
      <c r="PC9">
        <f>'Demand Stage 2'!PC8</f>
        <v>0</v>
      </c>
      <c r="PD9">
        <f>'Demand Stage 2'!PD8</f>
        <v>12.5</v>
      </c>
      <c r="PE9">
        <f>'Demand Stage 2'!PE8</f>
        <v>12.5</v>
      </c>
      <c r="PF9">
        <f>'Demand Stage 2'!PF8</f>
        <v>12.5</v>
      </c>
      <c r="PG9">
        <f>'Demand Stage 2'!PG8</f>
        <v>25</v>
      </c>
      <c r="PH9">
        <f>'Demand Stage 2'!PH8</f>
        <v>25</v>
      </c>
      <c r="PI9">
        <f>'Demand Stage 2'!PI8</f>
        <v>25</v>
      </c>
      <c r="PJ9">
        <f>'Demand Stage 2'!PJ8</f>
        <v>25</v>
      </c>
      <c r="PK9">
        <f>'Demand Stage 2'!PK8</f>
        <v>25</v>
      </c>
      <c r="PL9">
        <f>'Demand Stage 2'!PL8</f>
        <v>25</v>
      </c>
      <c r="PM9">
        <f>'Demand Stage 2'!PM8</f>
        <v>50</v>
      </c>
      <c r="PN9">
        <f>'Demand Stage 2'!PN8</f>
        <v>25</v>
      </c>
      <c r="PO9">
        <f>'Demand Stage 2'!PO8</f>
        <v>0</v>
      </c>
      <c r="PP9">
        <f>'Demand Stage 2'!PP8</f>
        <v>0</v>
      </c>
      <c r="PQ9">
        <f>'Demand Stage 2'!PQ8</f>
        <v>0</v>
      </c>
      <c r="PR9">
        <f>'Demand Stage 2'!PR8</f>
        <v>0</v>
      </c>
      <c r="PS9">
        <f>'Demand Stage 2'!PS8</f>
        <v>0</v>
      </c>
      <c r="PT9">
        <f>'Demand Stage 2'!PT8</f>
        <v>0</v>
      </c>
      <c r="PU9">
        <f>'Demand Stage 2'!PU8</f>
        <v>0</v>
      </c>
      <c r="PV9">
        <f>'Demand Stage 2'!PV8</f>
        <v>0</v>
      </c>
      <c r="PW9">
        <f>'Demand Stage 2'!PW8</f>
        <v>0</v>
      </c>
      <c r="PX9">
        <f>'Demand Stage 2'!PX8</f>
        <v>0</v>
      </c>
      <c r="PY9">
        <f>'Demand Stage 2'!PY8</f>
        <v>0</v>
      </c>
      <c r="PZ9">
        <f>'Demand Stage 2'!PZ8</f>
        <v>12.5</v>
      </c>
      <c r="QA9">
        <f>'Demand Stage 2'!QA8</f>
        <v>12.5</v>
      </c>
      <c r="QB9">
        <f>'Demand Stage 2'!QB8</f>
        <v>12.5</v>
      </c>
      <c r="QC9">
        <f>'Demand Stage 2'!QC8</f>
        <v>25</v>
      </c>
      <c r="QD9">
        <f>'Demand Stage 2'!QD8</f>
        <v>25</v>
      </c>
      <c r="QE9">
        <f>'Demand Stage 2'!QE8</f>
        <v>25</v>
      </c>
      <c r="QF9">
        <f>'Demand Stage 2'!QF8</f>
        <v>25</v>
      </c>
      <c r="QG9">
        <f>'Demand Stage 2'!QG8</f>
        <v>25</v>
      </c>
      <c r="QH9">
        <f>'Demand Stage 2'!QH8</f>
        <v>25</v>
      </c>
      <c r="QI9">
        <f>'Demand Stage 2'!QI8</f>
        <v>50</v>
      </c>
      <c r="QJ9">
        <f>'Demand Stage 2'!QJ8</f>
        <v>25</v>
      </c>
      <c r="QK9">
        <f>'Demand Stage 2'!QK8</f>
        <v>0</v>
      </c>
      <c r="QL9">
        <f>'Demand Stage 2'!QL8</f>
        <v>0</v>
      </c>
      <c r="QM9">
        <f>'Demand Stage 2'!QM8</f>
        <v>0</v>
      </c>
      <c r="QN9">
        <f>'Demand Stage 2'!QN8</f>
        <v>0</v>
      </c>
      <c r="QO9">
        <f>'Demand Stage 2'!QO8</f>
        <v>0</v>
      </c>
      <c r="QP9">
        <f>'Demand Stage 2'!QP8</f>
        <v>0</v>
      </c>
      <c r="QQ9">
        <f>'Demand Stage 2'!QQ8</f>
        <v>0</v>
      </c>
      <c r="QR9">
        <f>'Demand Stage 2'!QR8</f>
        <v>0</v>
      </c>
      <c r="QS9">
        <f>'Demand Stage 2'!QS8</f>
        <v>0</v>
      </c>
      <c r="QT9">
        <f>'Demand Stage 2'!QT8</f>
        <v>0</v>
      </c>
      <c r="QU9">
        <f>'Demand Stage 2'!QU8</f>
        <v>0</v>
      </c>
      <c r="QV9">
        <f>'Demand Stage 2'!QV8</f>
        <v>12.5</v>
      </c>
      <c r="QW9">
        <f>'Demand Stage 2'!QW8</f>
        <v>12.5</v>
      </c>
      <c r="QX9">
        <f>'Demand Stage 2'!QX8</f>
        <v>12.5</v>
      </c>
      <c r="QY9">
        <f>'Demand Stage 2'!QY8</f>
        <v>25</v>
      </c>
      <c r="QZ9">
        <f>'Demand Stage 2'!QZ8</f>
        <v>25</v>
      </c>
      <c r="RA9">
        <f>'Demand Stage 2'!RA8</f>
        <v>25</v>
      </c>
      <c r="RB9">
        <f>'Demand Stage 2'!RB8</f>
        <v>25</v>
      </c>
      <c r="RC9">
        <f>'Demand Stage 2'!RC8</f>
        <v>25</v>
      </c>
      <c r="RD9">
        <f>'Demand Stage 2'!RD8</f>
        <v>25</v>
      </c>
      <c r="RE9">
        <f>'Demand Stage 2'!RE8</f>
        <v>50</v>
      </c>
      <c r="RF9">
        <f>'Demand Stage 2'!RF8</f>
        <v>25</v>
      </c>
      <c r="RG9">
        <f>'Demand Stage 2'!RG8</f>
        <v>0</v>
      </c>
      <c r="RH9">
        <f>'Demand Stage 2'!RH8</f>
        <v>0</v>
      </c>
      <c r="RI9">
        <f>'Demand Stage 2'!RI8</f>
        <v>0</v>
      </c>
      <c r="RJ9">
        <f>'Demand Stage 2'!RJ8</f>
        <v>0</v>
      </c>
      <c r="RK9">
        <f>'Demand Stage 2'!RK8</f>
        <v>0</v>
      </c>
      <c r="RL9">
        <f>'Demand Stage 2'!RL8</f>
        <v>0</v>
      </c>
      <c r="RM9">
        <f>'Demand Stage 2'!RM8</f>
        <v>0</v>
      </c>
      <c r="RN9">
        <f>'Demand Stage 2'!RN8</f>
        <v>0</v>
      </c>
      <c r="RO9">
        <f>'Demand Stage 2'!RO8</f>
        <v>0</v>
      </c>
      <c r="RP9">
        <f>'Demand Stage 2'!RP8</f>
        <v>0</v>
      </c>
      <c r="RQ9">
        <f>'Demand Stage 2'!RQ8</f>
        <v>0</v>
      </c>
      <c r="RR9">
        <f>'Demand Stage 2'!RR8</f>
        <v>12.5</v>
      </c>
      <c r="RS9">
        <f>'Demand Stage 2'!RS8</f>
        <v>12.5</v>
      </c>
      <c r="RT9">
        <f>'Demand Stage 2'!RT8</f>
        <v>12.5</v>
      </c>
      <c r="RU9">
        <f>'Demand Stage 2'!RU8</f>
        <v>25</v>
      </c>
      <c r="RV9">
        <f>'Demand Stage 2'!RV8</f>
        <v>25</v>
      </c>
      <c r="RW9">
        <f>'Demand Stage 2'!RW8</f>
        <v>25</v>
      </c>
      <c r="RX9">
        <f>'Demand Stage 2'!RX8</f>
        <v>25</v>
      </c>
      <c r="RY9">
        <f>'Demand Stage 2'!RY8</f>
        <v>25</v>
      </c>
      <c r="RZ9">
        <f>'Demand Stage 2'!RZ8</f>
        <v>25</v>
      </c>
      <c r="SA9">
        <f>'Demand Stage 2'!SA8</f>
        <v>50</v>
      </c>
      <c r="SB9">
        <f>'Demand Stage 2'!SB8</f>
        <v>25</v>
      </c>
      <c r="SC9">
        <f>'Demand Stage 2'!SC8</f>
        <v>0</v>
      </c>
      <c r="SD9">
        <f>'Demand Stage 2'!SD8</f>
        <v>0</v>
      </c>
      <c r="SE9">
        <f>'Demand Stage 2'!SE8</f>
        <v>0</v>
      </c>
      <c r="SF9">
        <f>'Demand Stage 2'!SF8</f>
        <v>0</v>
      </c>
      <c r="SG9">
        <f>'Demand Stage 2'!SG8</f>
        <v>0</v>
      </c>
      <c r="SH9">
        <f>'Demand Stage 2'!SH8</f>
        <v>0</v>
      </c>
      <c r="SI9">
        <f>'Demand Stage 2'!SI8</f>
        <v>0</v>
      </c>
      <c r="SJ9">
        <f>'Demand Stage 2'!SJ8</f>
        <v>0</v>
      </c>
      <c r="SK9">
        <f>'Demand Stage 2'!SK8</f>
        <v>0</v>
      </c>
      <c r="SL9">
        <f>'Demand Stage 2'!SL8</f>
        <v>0</v>
      </c>
      <c r="SM9">
        <f>'Demand Stage 2'!SM8</f>
        <v>0</v>
      </c>
      <c r="SN9">
        <f>'Demand Stage 2'!SN8</f>
        <v>12.5</v>
      </c>
      <c r="SO9">
        <f>'Demand Stage 2'!SO8</f>
        <v>12.5</v>
      </c>
      <c r="SP9">
        <f>'Demand Stage 2'!SP8</f>
        <v>12.5</v>
      </c>
      <c r="SQ9">
        <f>'Demand Stage 2'!SQ8</f>
        <v>25</v>
      </c>
      <c r="SR9">
        <f>'Demand Stage 2'!SR8</f>
        <v>25</v>
      </c>
      <c r="SS9">
        <f>'Demand Stage 2'!SS8</f>
        <v>25</v>
      </c>
      <c r="ST9">
        <f>'Demand Stage 2'!ST8</f>
        <v>25</v>
      </c>
      <c r="SU9">
        <f>'Demand Stage 2'!SU8</f>
        <v>25</v>
      </c>
      <c r="SV9">
        <f>'Demand Stage 2'!SV8</f>
        <v>25</v>
      </c>
      <c r="SW9">
        <f>'Demand Stage 2'!SW8</f>
        <v>50</v>
      </c>
      <c r="SX9">
        <f>'Demand Stage 2'!SX8</f>
        <v>25</v>
      </c>
      <c r="SY9">
        <f>'Demand Stage 2'!SY8</f>
        <v>0</v>
      </c>
      <c r="SZ9">
        <f>'Demand Stage 2'!SZ8</f>
        <v>0</v>
      </c>
      <c r="TA9">
        <f>'Demand Stage 2'!TA8</f>
        <v>0</v>
      </c>
      <c r="TB9">
        <f>'Demand Stage 2'!TB8</f>
        <v>0</v>
      </c>
      <c r="TC9">
        <f>'Demand Stage 2'!TC8</f>
        <v>0</v>
      </c>
      <c r="TD9">
        <f>'Demand Stage 2'!TD8</f>
        <v>0</v>
      </c>
      <c r="TE9">
        <f>'Demand Stage 2'!TE8</f>
        <v>0</v>
      </c>
      <c r="TF9">
        <f>'Demand Stage 2'!TF8</f>
        <v>0</v>
      </c>
      <c r="TG9">
        <f>'Demand Stage 2'!TG8</f>
        <v>0</v>
      </c>
      <c r="TH9">
        <f>'Demand Stage 2'!TH8</f>
        <v>0</v>
      </c>
      <c r="TI9">
        <f>'Demand Stage 2'!TI8</f>
        <v>0</v>
      </c>
      <c r="TJ9">
        <f>'Demand Stage 2'!TJ8</f>
        <v>12.5</v>
      </c>
      <c r="TK9">
        <f>'Demand Stage 2'!TK8</f>
        <v>12.5</v>
      </c>
      <c r="TL9">
        <f>'Demand Stage 2'!TL8</f>
        <v>12.5</v>
      </c>
      <c r="TM9">
        <f>'Demand Stage 2'!TM8</f>
        <v>25</v>
      </c>
      <c r="TN9">
        <f>'Demand Stage 2'!TN8</f>
        <v>25</v>
      </c>
      <c r="TO9">
        <f>'Demand Stage 2'!TO8</f>
        <v>25</v>
      </c>
      <c r="TP9">
        <f>'Demand Stage 2'!TP8</f>
        <v>25</v>
      </c>
      <c r="TQ9">
        <f>'Demand Stage 2'!TQ8</f>
        <v>25</v>
      </c>
      <c r="TR9">
        <f>'Demand Stage 2'!TR8</f>
        <v>25</v>
      </c>
      <c r="TS9">
        <f>'Demand Stage 2'!TS8</f>
        <v>50</v>
      </c>
      <c r="TT9">
        <f>'Demand Stage 2'!TT8</f>
        <v>25</v>
      </c>
      <c r="TU9">
        <f>'Demand Stage 2'!TU8</f>
        <v>0</v>
      </c>
      <c r="TV9">
        <f>'Demand Stage 2'!TV8</f>
        <v>0</v>
      </c>
      <c r="TW9">
        <f>'Demand Stage 2'!TW8</f>
        <v>0</v>
      </c>
      <c r="TX9">
        <f>'Demand Stage 2'!TX8</f>
        <v>0</v>
      </c>
      <c r="TY9">
        <f>'Demand Stage 2'!TY8</f>
        <v>0</v>
      </c>
      <c r="TZ9">
        <f>'Demand Stage 2'!TZ8</f>
        <v>0</v>
      </c>
      <c r="UA9">
        <f>'Demand Stage 2'!UA8</f>
        <v>0</v>
      </c>
      <c r="UB9">
        <f>'Demand Stage 2'!UB8</f>
        <v>0</v>
      </c>
      <c r="UC9">
        <f>'Demand Stage 2'!UC8</f>
        <v>0</v>
      </c>
      <c r="UD9">
        <f>'Demand Stage 2'!UD8</f>
        <v>0</v>
      </c>
      <c r="UE9">
        <f>'Demand Stage 2'!UE8</f>
        <v>0</v>
      </c>
      <c r="UF9">
        <f>'Demand Stage 2'!UF8</f>
        <v>12.5</v>
      </c>
      <c r="UG9">
        <f>'Demand Stage 2'!UG8</f>
        <v>12.5</v>
      </c>
      <c r="UH9">
        <f>'Demand Stage 2'!UH8</f>
        <v>12.5</v>
      </c>
      <c r="UI9">
        <f>'Demand Stage 2'!UI8</f>
        <v>25</v>
      </c>
      <c r="UJ9">
        <f>'Demand Stage 2'!UJ8</f>
        <v>25</v>
      </c>
      <c r="UK9">
        <f>'Demand Stage 2'!UK8</f>
        <v>25</v>
      </c>
      <c r="UL9">
        <f>'Demand Stage 2'!UL8</f>
        <v>25</v>
      </c>
      <c r="UM9">
        <f>'Demand Stage 2'!UM8</f>
        <v>25</v>
      </c>
      <c r="UN9">
        <f>'Demand Stage 2'!UN8</f>
        <v>25</v>
      </c>
      <c r="UO9">
        <f>'Demand Stage 2'!UO8</f>
        <v>50</v>
      </c>
      <c r="UP9">
        <f>'Demand Stage 2'!UP8</f>
        <v>25</v>
      </c>
      <c r="UQ9">
        <f>'Demand Stage 2'!UQ8</f>
        <v>0</v>
      </c>
      <c r="UR9">
        <f>'Demand Stage 2'!UR8</f>
        <v>0</v>
      </c>
      <c r="US9">
        <f>'Demand Stage 2'!US8</f>
        <v>0</v>
      </c>
      <c r="UT9">
        <f>'Demand Stage 2'!UT8</f>
        <v>0</v>
      </c>
      <c r="UU9">
        <f>'Demand Stage 2'!UU8</f>
        <v>0</v>
      </c>
      <c r="UV9">
        <f>'Demand Stage 2'!UV8</f>
        <v>0</v>
      </c>
      <c r="UW9">
        <f>'Demand Stage 2'!UW8</f>
        <v>0</v>
      </c>
      <c r="UX9">
        <f>'Demand Stage 2'!UX8</f>
        <v>0</v>
      </c>
      <c r="UY9">
        <f>'Demand Stage 2'!UY8</f>
        <v>0</v>
      </c>
      <c r="UZ9">
        <f>'Demand Stage 2'!UZ8</f>
        <v>0</v>
      </c>
      <c r="VA9">
        <f>'Demand Stage 2'!VA8</f>
        <v>0</v>
      </c>
      <c r="VB9">
        <f>'Demand Stage 2'!VB8</f>
        <v>12.5</v>
      </c>
      <c r="VC9">
        <f>'Demand Stage 2'!VC8</f>
        <v>12.5</v>
      </c>
      <c r="VD9">
        <f>'Demand Stage 2'!VD8</f>
        <v>12.5</v>
      </c>
      <c r="VE9">
        <f>'Demand Stage 2'!VE8</f>
        <v>25</v>
      </c>
      <c r="VF9">
        <f>'Demand Stage 2'!VF8</f>
        <v>25</v>
      </c>
      <c r="VG9">
        <f>'Demand Stage 2'!VG8</f>
        <v>25</v>
      </c>
      <c r="VH9">
        <f>'Demand Stage 2'!VH8</f>
        <v>25</v>
      </c>
      <c r="VI9">
        <f>'Demand Stage 2'!VI8</f>
        <v>25</v>
      </c>
      <c r="VJ9">
        <f>'Demand Stage 2'!VJ8</f>
        <v>25</v>
      </c>
      <c r="VK9">
        <f>'Demand Stage 2'!VK8</f>
        <v>50</v>
      </c>
      <c r="VL9">
        <f>'Demand Stage 2'!VL8</f>
        <v>25</v>
      </c>
      <c r="VM9">
        <f>'Demand Stage 2'!VM8</f>
        <v>0</v>
      </c>
      <c r="VN9">
        <f>'Demand Stage 2'!VN8</f>
        <v>0</v>
      </c>
      <c r="VO9">
        <f>'Demand Stage 2'!VO8</f>
        <v>0</v>
      </c>
      <c r="VP9">
        <f>'Demand Stage 2'!VP8</f>
        <v>0</v>
      </c>
      <c r="VQ9">
        <f>'Demand Stage 2'!VQ8</f>
        <v>0</v>
      </c>
      <c r="VR9">
        <f>'Demand Stage 2'!VR8</f>
        <v>0</v>
      </c>
      <c r="VS9">
        <f>'Demand Stage 2'!VS8</f>
        <v>0</v>
      </c>
      <c r="VT9">
        <f>'Demand Stage 2'!VT8</f>
        <v>0</v>
      </c>
      <c r="VU9">
        <f>'Demand Stage 2'!VU8</f>
        <v>0</v>
      </c>
      <c r="VV9">
        <f>'Demand Stage 2'!VV8</f>
        <v>0</v>
      </c>
      <c r="VW9">
        <f>'Demand Stage 2'!VW8</f>
        <v>0</v>
      </c>
      <c r="VX9">
        <f>'Demand Stage 2'!VX8</f>
        <v>12.5</v>
      </c>
      <c r="VY9">
        <f>'Demand Stage 2'!VY8</f>
        <v>12.5</v>
      </c>
      <c r="VZ9">
        <f>'Demand Stage 2'!VZ8</f>
        <v>12.5</v>
      </c>
      <c r="WA9">
        <f>'Demand Stage 2'!WA8</f>
        <v>25</v>
      </c>
      <c r="WB9">
        <f>'Demand Stage 2'!WB8</f>
        <v>25</v>
      </c>
      <c r="WC9">
        <f>'Demand Stage 2'!WC8</f>
        <v>25</v>
      </c>
      <c r="WD9">
        <f>'Demand Stage 2'!WD8</f>
        <v>25</v>
      </c>
      <c r="WE9">
        <f>'Demand Stage 2'!WE8</f>
        <v>25</v>
      </c>
      <c r="WF9">
        <f>'Demand Stage 2'!WF8</f>
        <v>25</v>
      </c>
      <c r="WG9">
        <f>'Demand Stage 2'!WG8</f>
        <v>50</v>
      </c>
      <c r="WH9">
        <f>'Demand Stage 2'!WH8</f>
        <v>25</v>
      </c>
      <c r="WI9">
        <f>'Demand Stage 2'!WI8</f>
        <v>0</v>
      </c>
      <c r="WJ9">
        <f>'Demand Stage 2'!WJ8</f>
        <v>0</v>
      </c>
      <c r="WK9">
        <f>'Demand Stage 2'!WK8</f>
        <v>0</v>
      </c>
      <c r="WL9">
        <f>'Demand Stage 2'!WL8</f>
        <v>0</v>
      </c>
      <c r="WM9">
        <f>'Demand Stage 2'!WM8</f>
        <v>0</v>
      </c>
      <c r="WN9">
        <f>'Demand Stage 2'!WN8</f>
        <v>0</v>
      </c>
      <c r="WO9">
        <f>'Demand Stage 2'!WO8</f>
        <v>0</v>
      </c>
      <c r="WP9">
        <f>'Demand Stage 2'!WP8</f>
        <v>0</v>
      </c>
      <c r="WQ9">
        <f>'Demand Stage 2'!WQ8</f>
        <v>0</v>
      </c>
      <c r="WR9">
        <f>'Demand Stage 2'!WR8</f>
        <v>0</v>
      </c>
      <c r="WS9">
        <f>'Demand Stage 2'!WS8</f>
        <v>0</v>
      </c>
      <c r="WT9">
        <f>'Demand Stage 2'!WT8</f>
        <v>12.5</v>
      </c>
      <c r="WU9">
        <f>'Demand Stage 2'!WU8</f>
        <v>12.5</v>
      </c>
      <c r="WV9">
        <f>'Demand Stage 2'!WV8</f>
        <v>12.5</v>
      </c>
      <c r="WW9">
        <f>'Demand Stage 2'!WW8</f>
        <v>25</v>
      </c>
      <c r="WX9">
        <f>'Demand Stage 2'!WX8</f>
        <v>25</v>
      </c>
      <c r="WY9">
        <f>'Demand Stage 2'!WY8</f>
        <v>25</v>
      </c>
      <c r="WZ9">
        <f>'Demand Stage 2'!WZ8</f>
        <v>25</v>
      </c>
      <c r="XA9">
        <f>'Demand Stage 2'!XA8</f>
        <v>25</v>
      </c>
      <c r="XB9">
        <f>'Demand Stage 2'!XB8</f>
        <v>25</v>
      </c>
      <c r="XC9">
        <f>'Demand Stage 2'!XC8</f>
        <v>50</v>
      </c>
      <c r="XD9">
        <f>'Demand Stage 2'!XD8</f>
        <v>25</v>
      </c>
      <c r="XE9">
        <f>'Demand Stage 2'!XE8</f>
        <v>0</v>
      </c>
      <c r="XF9">
        <f>'Demand Stage 2'!XF8</f>
        <v>0</v>
      </c>
      <c r="XG9">
        <f>'Demand Stage 2'!XG8</f>
        <v>0</v>
      </c>
      <c r="XH9">
        <f>'Demand Stage 2'!XH8</f>
        <v>0</v>
      </c>
      <c r="XI9">
        <f>'Demand Stage 2'!XI8</f>
        <v>0</v>
      </c>
      <c r="XJ9">
        <f>'Demand Stage 2'!XJ8</f>
        <v>0</v>
      </c>
      <c r="XK9">
        <f>'Demand Stage 2'!XK8</f>
        <v>0</v>
      </c>
      <c r="XL9">
        <f>'Demand Stage 2'!XL8</f>
        <v>0</v>
      </c>
      <c r="XM9">
        <f>'Demand Stage 2'!XM8</f>
        <v>0</v>
      </c>
      <c r="XN9">
        <f>'Demand Stage 2'!XN8</f>
        <v>0</v>
      </c>
      <c r="XO9">
        <f>'Demand Stage 2'!XO8</f>
        <v>0</v>
      </c>
      <c r="XP9">
        <f>'Demand Stage 2'!XP8</f>
        <v>12.5</v>
      </c>
      <c r="XQ9">
        <f>'Demand Stage 2'!XQ8</f>
        <v>12.5</v>
      </c>
      <c r="XR9">
        <f>'Demand Stage 2'!XR8</f>
        <v>12.5</v>
      </c>
      <c r="XS9">
        <f>'Demand Stage 2'!XS8</f>
        <v>25</v>
      </c>
      <c r="XT9">
        <f>'Demand Stage 2'!XT8</f>
        <v>25</v>
      </c>
      <c r="XU9">
        <f>'Demand Stage 2'!XU8</f>
        <v>25</v>
      </c>
      <c r="XV9">
        <f>'Demand Stage 2'!XV8</f>
        <v>25</v>
      </c>
      <c r="XW9">
        <f>'Demand Stage 2'!XW8</f>
        <v>25</v>
      </c>
      <c r="XX9">
        <f>'Demand Stage 2'!XX8</f>
        <v>25</v>
      </c>
      <c r="XY9">
        <f>'Demand Stage 2'!XY8</f>
        <v>50</v>
      </c>
      <c r="XZ9">
        <f>'Demand Stage 2'!XZ8</f>
        <v>25</v>
      </c>
      <c r="YA9">
        <f>'Demand Stage 2'!YA8</f>
        <v>0</v>
      </c>
      <c r="YB9">
        <f>'Demand Stage 2'!YB8</f>
        <v>0</v>
      </c>
      <c r="YC9">
        <f>'Demand Stage 2'!YC8</f>
        <v>0</v>
      </c>
      <c r="YD9">
        <f>'Demand Stage 2'!YD8</f>
        <v>0</v>
      </c>
      <c r="YE9">
        <f>'Demand Stage 2'!YE8</f>
        <v>0</v>
      </c>
      <c r="YF9">
        <f>'Demand Stage 2'!YF8</f>
        <v>0</v>
      </c>
      <c r="YG9">
        <f>'Demand Stage 2'!YG8</f>
        <v>0</v>
      </c>
      <c r="YH9">
        <f>'Demand Stage 2'!YH8</f>
        <v>0</v>
      </c>
      <c r="YI9">
        <f>'Demand Stage 2'!YI8</f>
        <v>0</v>
      </c>
      <c r="YJ9">
        <f>'Demand Stage 2'!YJ8</f>
        <v>0</v>
      </c>
      <c r="YK9">
        <f>'Demand Stage 2'!YK8</f>
        <v>0</v>
      </c>
      <c r="YL9">
        <f>'Demand Stage 2'!YL8</f>
        <v>12.5</v>
      </c>
      <c r="YM9">
        <f>'Demand Stage 2'!YM8</f>
        <v>12.5</v>
      </c>
      <c r="YN9">
        <f>'Demand Stage 2'!YN8</f>
        <v>12.5</v>
      </c>
      <c r="YO9">
        <f>'Demand Stage 2'!YO8</f>
        <v>25</v>
      </c>
      <c r="YP9">
        <f>'Demand Stage 2'!YP8</f>
        <v>25</v>
      </c>
      <c r="YQ9">
        <f>'Demand Stage 2'!YQ8</f>
        <v>25</v>
      </c>
      <c r="YR9">
        <f>'Demand Stage 2'!YR8</f>
        <v>25</v>
      </c>
      <c r="YS9">
        <f>'Demand Stage 2'!YS8</f>
        <v>25</v>
      </c>
      <c r="YT9">
        <f>'Demand Stage 2'!YT8</f>
        <v>25</v>
      </c>
      <c r="YU9">
        <f>'Demand Stage 2'!YU8</f>
        <v>50</v>
      </c>
      <c r="YV9">
        <f>'Demand Stage 2'!YV8</f>
        <v>25</v>
      </c>
      <c r="YW9">
        <f>'Demand Stage 2'!YW8</f>
        <v>0</v>
      </c>
      <c r="YX9">
        <f>'Demand Stage 2'!YX8</f>
        <v>0</v>
      </c>
      <c r="YY9">
        <f>'Demand Stage 2'!YY8</f>
        <v>0</v>
      </c>
      <c r="YZ9">
        <f>'Demand Stage 2'!YZ8</f>
        <v>0</v>
      </c>
      <c r="ZA9">
        <f>'Demand Stage 2'!ZA8</f>
        <v>0</v>
      </c>
      <c r="ZB9">
        <f>'Demand Stage 2'!ZB8</f>
        <v>0</v>
      </c>
      <c r="ZC9">
        <f>'Demand Stage 2'!ZC8</f>
        <v>0</v>
      </c>
      <c r="ZD9">
        <f>'Demand Stage 2'!ZD8</f>
        <v>0</v>
      </c>
      <c r="ZE9">
        <f>'Demand Stage 2'!ZE8</f>
        <v>0</v>
      </c>
      <c r="ZF9">
        <f>'Demand Stage 2'!ZF8</f>
        <v>0</v>
      </c>
      <c r="ZG9">
        <f>'Demand Stage 2'!ZG8</f>
        <v>0</v>
      </c>
      <c r="ZH9">
        <f>'Demand Stage 2'!ZH8</f>
        <v>12.5</v>
      </c>
      <c r="ZI9">
        <f>'Demand Stage 2'!ZI8</f>
        <v>12.5</v>
      </c>
      <c r="ZJ9">
        <f>'Demand Stage 2'!ZJ8</f>
        <v>12.5</v>
      </c>
      <c r="ZK9">
        <f>'Demand Stage 2'!ZK8</f>
        <v>25</v>
      </c>
      <c r="ZL9">
        <f>'Demand Stage 2'!ZL8</f>
        <v>25</v>
      </c>
      <c r="ZM9">
        <f>'Demand Stage 2'!ZM8</f>
        <v>25</v>
      </c>
      <c r="ZN9">
        <f>'Demand Stage 2'!ZN8</f>
        <v>25</v>
      </c>
      <c r="ZO9">
        <f>'Demand Stage 2'!ZO8</f>
        <v>25</v>
      </c>
      <c r="ZP9">
        <f>'Demand Stage 2'!ZP8</f>
        <v>25</v>
      </c>
      <c r="ZQ9">
        <f>'Demand Stage 2'!ZQ8</f>
        <v>50</v>
      </c>
      <c r="ZR9">
        <f>'Demand Stage 2'!ZR8</f>
        <v>25</v>
      </c>
      <c r="ZS9">
        <f>'Demand Stage 2'!ZS8</f>
        <v>0</v>
      </c>
      <c r="ZT9">
        <f>'Demand Stage 2'!ZT8</f>
        <v>0</v>
      </c>
      <c r="ZU9">
        <f>'Demand Stage 2'!ZU8</f>
        <v>0</v>
      </c>
      <c r="ZV9">
        <f>'Demand Stage 2'!ZV8</f>
        <v>0</v>
      </c>
      <c r="ZW9">
        <f>'Demand Stage 2'!ZW8</f>
        <v>0</v>
      </c>
      <c r="ZX9">
        <f>'Demand Stage 2'!ZX8</f>
        <v>0</v>
      </c>
      <c r="ZY9">
        <f>'Demand Stage 2'!ZY8</f>
        <v>0</v>
      </c>
      <c r="ZZ9">
        <f>'Demand Stage 2'!ZZ8</f>
        <v>0</v>
      </c>
      <c r="AAA9">
        <f>'Demand Stage 2'!AAA8</f>
        <v>0</v>
      </c>
      <c r="AAB9">
        <f>'Demand Stage 2'!AAB8</f>
        <v>0</v>
      </c>
      <c r="AAC9">
        <f>'Demand Stage 2'!AAC8</f>
        <v>0</v>
      </c>
      <c r="AAD9">
        <f t="shared" si="33"/>
        <v>12.5</v>
      </c>
      <c r="AAE9">
        <f t="shared" si="0"/>
        <v>12.5</v>
      </c>
      <c r="AAF9">
        <f t="shared" si="0"/>
        <v>12.5</v>
      </c>
      <c r="AAG9">
        <f t="shared" si="0"/>
        <v>25</v>
      </c>
      <c r="AAH9">
        <f t="shared" si="0"/>
        <v>25</v>
      </c>
      <c r="AAI9">
        <f t="shared" si="0"/>
        <v>25</v>
      </c>
      <c r="AAJ9">
        <f t="shared" si="0"/>
        <v>25</v>
      </c>
      <c r="AAK9">
        <f t="shared" si="0"/>
        <v>25</v>
      </c>
      <c r="AAL9">
        <f t="shared" si="0"/>
        <v>25</v>
      </c>
      <c r="AAM9">
        <f t="shared" si="0"/>
        <v>50</v>
      </c>
      <c r="AAN9">
        <f t="shared" si="0"/>
        <v>25</v>
      </c>
      <c r="AAO9">
        <f t="shared" si="0"/>
        <v>0</v>
      </c>
      <c r="AAP9">
        <f t="shared" si="0"/>
        <v>0</v>
      </c>
      <c r="AAQ9">
        <f t="shared" si="0"/>
        <v>0</v>
      </c>
      <c r="AAR9">
        <f t="shared" si="0"/>
        <v>0</v>
      </c>
      <c r="AAS9">
        <f t="shared" si="0"/>
        <v>0</v>
      </c>
      <c r="AAT9">
        <f t="shared" si="0"/>
        <v>0</v>
      </c>
      <c r="AAU9">
        <f t="shared" si="0"/>
        <v>0</v>
      </c>
      <c r="AAV9">
        <f t="shared" si="0"/>
        <v>0</v>
      </c>
      <c r="AAW9">
        <f t="shared" si="0"/>
        <v>0</v>
      </c>
      <c r="AAX9">
        <f t="shared" si="0"/>
        <v>0</v>
      </c>
      <c r="AAY9">
        <f t="shared" si="0"/>
        <v>0</v>
      </c>
      <c r="AAZ9">
        <f t="shared" si="0"/>
        <v>12.5</v>
      </c>
      <c r="ABA9">
        <f t="shared" si="0"/>
        <v>12.5</v>
      </c>
      <c r="ABB9">
        <f t="shared" si="0"/>
        <v>12.5</v>
      </c>
      <c r="ABC9">
        <f t="shared" si="0"/>
        <v>25</v>
      </c>
      <c r="ABD9">
        <f t="shared" si="0"/>
        <v>25</v>
      </c>
      <c r="ABE9">
        <f t="shared" si="0"/>
        <v>25</v>
      </c>
      <c r="ABF9">
        <f t="shared" si="0"/>
        <v>25</v>
      </c>
      <c r="ABG9">
        <f t="shared" si="0"/>
        <v>25</v>
      </c>
      <c r="ABH9">
        <f t="shared" si="0"/>
        <v>25</v>
      </c>
      <c r="ABI9">
        <f t="shared" si="0"/>
        <v>50</v>
      </c>
      <c r="ABJ9">
        <f t="shared" si="0"/>
        <v>25</v>
      </c>
      <c r="ABK9">
        <f t="shared" si="0"/>
        <v>0</v>
      </c>
      <c r="ABL9">
        <f t="shared" si="0"/>
        <v>0</v>
      </c>
      <c r="ABM9">
        <f t="shared" si="0"/>
        <v>0</v>
      </c>
      <c r="ABN9">
        <f t="shared" si="0"/>
        <v>0</v>
      </c>
      <c r="ABO9">
        <f t="shared" si="0"/>
        <v>0</v>
      </c>
      <c r="ABP9">
        <f t="shared" si="0"/>
        <v>0</v>
      </c>
      <c r="ABQ9">
        <f t="shared" si="0"/>
        <v>0</v>
      </c>
      <c r="ABR9">
        <f t="shared" si="0"/>
        <v>0</v>
      </c>
      <c r="ABS9">
        <f t="shared" si="0"/>
        <v>0</v>
      </c>
      <c r="ABT9">
        <f t="shared" si="0"/>
        <v>0</v>
      </c>
      <c r="ABU9">
        <f t="shared" si="0"/>
        <v>0</v>
      </c>
      <c r="ABV9">
        <f t="shared" si="0"/>
        <v>12.5</v>
      </c>
      <c r="ABW9">
        <f t="shared" si="0"/>
        <v>12.5</v>
      </c>
      <c r="ABX9">
        <f t="shared" si="0"/>
        <v>12.5</v>
      </c>
      <c r="ABY9">
        <f t="shared" si="0"/>
        <v>25</v>
      </c>
      <c r="ABZ9">
        <f t="shared" si="0"/>
        <v>25</v>
      </c>
      <c r="ACA9">
        <f t="shared" si="0"/>
        <v>25</v>
      </c>
      <c r="ACB9">
        <f t="shared" si="0"/>
        <v>25</v>
      </c>
      <c r="ACC9">
        <f t="shared" si="0"/>
        <v>25</v>
      </c>
      <c r="ACD9">
        <f t="shared" si="0"/>
        <v>25</v>
      </c>
      <c r="ACE9">
        <f t="shared" si="0"/>
        <v>50</v>
      </c>
      <c r="ACF9">
        <f t="shared" si="0"/>
        <v>25</v>
      </c>
      <c r="ACG9">
        <f t="shared" si="0"/>
        <v>0</v>
      </c>
      <c r="ACH9">
        <f t="shared" si="0"/>
        <v>0</v>
      </c>
      <c r="ACI9">
        <f t="shared" si="0"/>
        <v>0</v>
      </c>
      <c r="ACJ9">
        <f t="shared" si="0"/>
        <v>0</v>
      </c>
      <c r="ACK9">
        <f t="shared" si="0"/>
        <v>0</v>
      </c>
      <c r="ACL9">
        <f t="shared" si="0"/>
        <v>0</v>
      </c>
      <c r="ACM9">
        <f t="shared" si="0"/>
        <v>0</v>
      </c>
      <c r="ACN9">
        <f t="shared" si="0"/>
        <v>0</v>
      </c>
      <c r="ACO9">
        <f t="shared" si="0"/>
        <v>0</v>
      </c>
      <c r="ACP9">
        <f t="shared" ref="ACP9:ACP29" si="34">BN9</f>
        <v>0</v>
      </c>
      <c r="ACQ9">
        <f t="shared" si="1"/>
        <v>0</v>
      </c>
      <c r="ACR9">
        <f t="shared" si="1"/>
        <v>12.5</v>
      </c>
      <c r="ACS9">
        <f t="shared" si="1"/>
        <v>12.5</v>
      </c>
      <c r="ACT9">
        <f t="shared" si="1"/>
        <v>12.5</v>
      </c>
      <c r="ACU9">
        <f t="shared" si="1"/>
        <v>25</v>
      </c>
      <c r="ACV9">
        <f t="shared" si="1"/>
        <v>25</v>
      </c>
      <c r="ACW9">
        <f t="shared" si="1"/>
        <v>25</v>
      </c>
      <c r="ACX9">
        <f t="shared" si="1"/>
        <v>25</v>
      </c>
      <c r="ACY9">
        <f t="shared" si="1"/>
        <v>25</v>
      </c>
      <c r="ACZ9">
        <f t="shared" si="1"/>
        <v>25</v>
      </c>
      <c r="ADA9">
        <f t="shared" si="1"/>
        <v>50</v>
      </c>
      <c r="ADB9">
        <f t="shared" si="1"/>
        <v>25</v>
      </c>
      <c r="ADC9">
        <f t="shared" si="1"/>
        <v>0</v>
      </c>
      <c r="ADD9">
        <f t="shared" si="1"/>
        <v>0</v>
      </c>
      <c r="ADE9">
        <f t="shared" si="1"/>
        <v>0</v>
      </c>
      <c r="ADF9">
        <f t="shared" si="1"/>
        <v>0</v>
      </c>
      <c r="ADG9">
        <f t="shared" si="1"/>
        <v>0</v>
      </c>
      <c r="ADH9">
        <f t="shared" si="1"/>
        <v>0</v>
      </c>
      <c r="ADI9">
        <f t="shared" si="1"/>
        <v>0</v>
      </c>
      <c r="ADJ9">
        <f t="shared" si="1"/>
        <v>0</v>
      </c>
      <c r="ADK9">
        <f t="shared" si="1"/>
        <v>0</v>
      </c>
      <c r="ADL9">
        <f t="shared" si="1"/>
        <v>0</v>
      </c>
      <c r="ADM9">
        <f t="shared" si="1"/>
        <v>0</v>
      </c>
      <c r="ADN9">
        <f t="shared" si="1"/>
        <v>12.5</v>
      </c>
      <c r="ADO9">
        <f t="shared" si="1"/>
        <v>12.5</v>
      </c>
      <c r="ADP9">
        <f t="shared" si="1"/>
        <v>12.5</v>
      </c>
      <c r="ADQ9">
        <f t="shared" si="1"/>
        <v>25</v>
      </c>
      <c r="ADR9">
        <f t="shared" si="1"/>
        <v>25</v>
      </c>
      <c r="ADS9">
        <f t="shared" si="1"/>
        <v>25</v>
      </c>
      <c r="ADT9">
        <f t="shared" si="1"/>
        <v>25</v>
      </c>
      <c r="ADU9">
        <f t="shared" si="1"/>
        <v>25</v>
      </c>
      <c r="ADV9">
        <f t="shared" si="1"/>
        <v>25</v>
      </c>
      <c r="ADW9">
        <f t="shared" si="1"/>
        <v>50</v>
      </c>
      <c r="ADX9">
        <f t="shared" si="1"/>
        <v>25</v>
      </c>
      <c r="ADY9">
        <f t="shared" si="1"/>
        <v>0</v>
      </c>
      <c r="ADZ9">
        <f t="shared" si="1"/>
        <v>0</v>
      </c>
      <c r="AEA9">
        <f t="shared" si="1"/>
        <v>0</v>
      </c>
      <c r="AEB9">
        <f t="shared" si="1"/>
        <v>0</v>
      </c>
      <c r="AEC9">
        <f t="shared" si="1"/>
        <v>0</v>
      </c>
      <c r="AED9">
        <f t="shared" si="1"/>
        <v>0</v>
      </c>
      <c r="AEE9">
        <f t="shared" si="1"/>
        <v>0</v>
      </c>
      <c r="AEF9">
        <f t="shared" si="1"/>
        <v>0</v>
      </c>
      <c r="AEG9">
        <f t="shared" si="1"/>
        <v>0</v>
      </c>
      <c r="AEH9">
        <f t="shared" si="1"/>
        <v>0</v>
      </c>
      <c r="AEI9">
        <f t="shared" si="1"/>
        <v>0</v>
      </c>
      <c r="AEJ9">
        <f t="shared" si="1"/>
        <v>12.5</v>
      </c>
      <c r="AEK9">
        <f t="shared" si="1"/>
        <v>12.5</v>
      </c>
      <c r="AEL9">
        <f t="shared" si="1"/>
        <v>12.5</v>
      </c>
      <c r="AEM9">
        <f t="shared" si="1"/>
        <v>25</v>
      </c>
      <c r="AEN9">
        <f t="shared" si="1"/>
        <v>25</v>
      </c>
      <c r="AEO9">
        <f t="shared" si="1"/>
        <v>25</v>
      </c>
      <c r="AEP9">
        <f t="shared" si="1"/>
        <v>25</v>
      </c>
      <c r="AEQ9">
        <f t="shared" si="1"/>
        <v>25</v>
      </c>
      <c r="AER9">
        <f t="shared" si="1"/>
        <v>25</v>
      </c>
      <c r="AES9">
        <f t="shared" si="1"/>
        <v>50</v>
      </c>
      <c r="AET9">
        <f t="shared" si="1"/>
        <v>25</v>
      </c>
      <c r="AEU9">
        <f t="shared" si="1"/>
        <v>0</v>
      </c>
      <c r="AEV9">
        <f t="shared" si="1"/>
        <v>0</v>
      </c>
      <c r="AEW9">
        <f t="shared" si="1"/>
        <v>0</v>
      </c>
      <c r="AEX9">
        <f t="shared" si="1"/>
        <v>0</v>
      </c>
      <c r="AEY9">
        <f t="shared" si="1"/>
        <v>0</v>
      </c>
      <c r="AEZ9">
        <f t="shared" si="1"/>
        <v>0</v>
      </c>
      <c r="AFA9">
        <f t="shared" si="1"/>
        <v>0</v>
      </c>
      <c r="AFB9">
        <f t="shared" ref="AFB9:AFB29" si="35">DZ9</f>
        <v>0</v>
      </c>
      <c r="AFC9">
        <f t="shared" si="2"/>
        <v>0</v>
      </c>
      <c r="AFD9">
        <f t="shared" si="2"/>
        <v>0</v>
      </c>
      <c r="AFE9">
        <f t="shared" si="2"/>
        <v>0</v>
      </c>
      <c r="AFF9">
        <f t="shared" si="2"/>
        <v>12.5</v>
      </c>
      <c r="AFG9">
        <f t="shared" si="2"/>
        <v>12.5</v>
      </c>
      <c r="AFH9">
        <f t="shared" si="2"/>
        <v>12.5</v>
      </c>
      <c r="AFI9">
        <f t="shared" si="2"/>
        <v>25</v>
      </c>
      <c r="AFJ9">
        <f t="shared" si="2"/>
        <v>25</v>
      </c>
      <c r="AFK9">
        <f t="shared" si="2"/>
        <v>25</v>
      </c>
      <c r="AFL9">
        <f t="shared" si="2"/>
        <v>25</v>
      </c>
      <c r="AFM9">
        <f t="shared" si="2"/>
        <v>25</v>
      </c>
      <c r="AFN9">
        <f t="shared" si="2"/>
        <v>25</v>
      </c>
      <c r="AFO9">
        <f t="shared" si="2"/>
        <v>50</v>
      </c>
      <c r="AFP9">
        <f t="shared" si="2"/>
        <v>25</v>
      </c>
      <c r="AFQ9">
        <f t="shared" si="2"/>
        <v>0</v>
      </c>
      <c r="AFR9">
        <f t="shared" si="2"/>
        <v>0</v>
      </c>
      <c r="AFS9">
        <f t="shared" si="2"/>
        <v>0</v>
      </c>
      <c r="AFT9">
        <f t="shared" si="2"/>
        <v>0</v>
      </c>
      <c r="AFU9">
        <f t="shared" si="2"/>
        <v>0</v>
      </c>
      <c r="AFV9">
        <f t="shared" si="2"/>
        <v>0</v>
      </c>
      <c r="AFW9">
        <f t="shared" si="2"/>
        <v>0</v>
      </c>
      <c r="AFX9">
        <f t="shared" si="2"/>
        <v>0</v>
      </c>
      <c r="AFY9">
        <f t="shared" si="2"/>
        <v>0</v>
      </c>
      <c r="AFZ9">
        <f t="shared" si="2"/>
        <v>0</v>
      </c>
      <c r="AGA9">
        <f t="shared" si="2"/>
        <v>0</v>
      </c>
      <c r="AGB9">
        <f t="shared" si="2"/>
        <v>12.5</v>
      </c>
      <c r="AGC9">
        <f t="shared" si="2"/>
        <v>12.5</v>
      </c>
      <c r="AGD9">
        <f t="shared" si="2"/>
        <v>12.5</v>
      </c>
      <c r="AGE9">
        <f t="shared" si="2"/>
        <v>25</v>
      </c>
      <c r="AGF9">
        <f t="shared" si="2"/>
        <v>25</v>
      </c>
      <c r="AGG9">
        <f t="shared" si="2"/>
        <v>25</v>
      </c>
      <c r="AGH9">
        <f t="shared" si="2"/>
        <v>25</v>
      </c>
      <c r="AGI9">
        <f t="shared" si="2"/>
        <v>25</v>
      </c>
      <c r="AGJ9">
        <f t="shared" si="2"/>
        <v>25</v>
      </c>
      <c r="AGK9">
        <f t="shared" si="2"/>
        <v>50</v>
      </c>
      <c r="AGL9">
        <f t="shared" si="2"/>
        <v>25</v>
      </c>
      <c r="AGM9">
        <f t="shared" si="2"/>
        <v>0</v>
      </c>
      <c r="AGN9">
        <f t="shared" si="2"/>
        <v>0</v>
      </c>
      <c r="AGO9">
        <f t="shared" si="2"/>
        <v>0</v>
      </c>
      <c r="AGP9">
        <f t="shared" si="2"/>
        <v>0</v>
      </c>
      <c r="AGQ9">
        <f t="shared" si="2"/>
        <v>0</v>
      </c>
      <c r="AGR9">
        <f t="shared" si="2"/>
        <v>0</v>
      </c>
      <c r="AGS9">
        <f t="shared" si="2"/>
        <v>0</v>
      </c>
      <c r="AGT9">
        <f t="shared" si="2"/>
        <v>0</v>
      </c>
      <c r="AGU9">
        <f t="shared" si="2"/>
        <v>0</v>
      </c>
      <c r="AGV9">
        <f t="shared" si="2"/>
        <v>0</v>
      </c>
      <c r="AGW9">
        <f t="shared" si="2"/>
        <v>0</v>
      </c>
      <c r="AGX9">
        <f t="shared" si="2"/>
        <v>12.5</v>
      </c>
      <c r="AGY9">
        <f t="shared" si="2"/>
        <v>12.5</v>
      </c>
      <c r="AGZ9">
        <f t="shared" si="2"/>
        <v>12.5</v>
      </c>
      <c r="AHA9">
        <f t="shared" si="2"/>
        <v>25</v>
      </c>
      <c r="AHB9">
        <f t="shared" si="2"/>
        <v>25</v>
      </c>
      <c r="AHC9">
        <f t="shared" si="2"/>
        <v>25</v>
      </c>
      <c r="AHD9">
        <f t="shared" si="2"/>
        <v>25</v>
      </c>
      <c r="AHE9">
        <f t="shared" si="2"/>
        <v>25</v>
      </c>
      <c r="AHF9">
        <f t="shared" si="2"/>
        <v>25</v>
      </c>
      <c r="AHG9">
        <f t="shared" si="2"/>
        <v>50</v>
      </c>
      <c r="AHH9">
        <f t="shared" si="2"/>
        <v>25</v>
      </c>
      <c r="AHI9">
        <f t="shared" si="2"/>
        <v>0</v>
      </c>
      <c r="AHJ9">
        <f t="shared" si="2"/>
        <v>0</v>
      </c>
      <c r="AHK9">
        <f t="shared" si="2"/>
        <v>0</v>
      </c>
      <c r="AHL9">
        <f t="shared" si="2"/>
        <v>0</v>
      </c>
      <c r="AHM9">
        <f t="shared" si="2"/>
        <v>0</v>
      </c>
      <c r="AHN9">
        <f t="shared" ref="AHN9:AHN29" si="36">GL9</f>
        <v>0</v>
      </c>
      <c r="AHO9">
        <f t="shared" si="3"/>
        <v>0</v>
      </c>
      <c r="AHP9">
        <f t="shared" si="3"/>
        <v>0</v>
      </c>
      <c r="AHQ9">
        <f t="shared" si="3"/>
        <v>0</v>
      </c>
      <c r="AHR9">
        <f t="shared" si="3"/>
        <v>0</v>
      </c>
      <c r="AHS9">
        <f t="shared" si="3"/>
        <v>0</v>
      </c>
      <c r="AHT9">
        <f t="shared" si="3"/>
        <v>12.5</v>
      </c>
      <c r="AHU9">
        <f t="shared" si="3"/>
        <v>12.5</v>
      </c>
      <c r="AHV9">
        <f t="shared" si="3"/>
        <v>12.5</v>
      </c>
      <c r="AHW9">
        <f t="shared" si="3"/>
        <v>25</v>
      </c>
      <c r="AHX9">
        <f t="shared" si="3"/>
        <v>25</v>
      </c>
      <c r="AHY9">
        <f t="shared" si="3"/>
        <v>25</v>
      </c>
      <c r="AHZ9">
        <f t="shared" si="3"/>
        <v>25</v>
      </c>
      <c r="AIA9">
        <f t="shared" si="3"/>
        <v>25</v>
      </c>
      <c r="AIB9">
        <f t="shared" si="3"/>
        <v>25</v>
      </c>
      <c r="AIC9">
        <f t="shared" si="3"/>
        <v>50</v>
      </c>
      <c r="AID9">
        <f t="shared" si="3"/>
        <v>25</v>
      </c>
      <c r="AIE9">
        <f t="shared" si="3"/>
        <v>0</v>
      </c>
      <c r="AIF9">
        <f t="shared" si="3"/>
        <v>0</v>
      </c>
      <c r="AIG9">
        <f t="shared" si="3"/>
        <v>0</v>
      </c>
      <c r="AIH9">
        <f t="shared" si="3"/>
        <v>0</v>
      </c>
      <c r="AII9">
        <f t="shared" si="3"/>
        <v>0</v>
      </c>
      <c r="AIJ9">
        <f t="shared" si="3"/>
        <v>0</v>
      </c>
      <c r="AIK9">
        <f t="shared" si="3"/>
        <v>0</v>
      </c>
      <c r="AIL9">
        <f t="shared" si="3"/>
        <v>0</v>
      </c>
      <c r="AIM9">
        <f t="shared" si="3"/>
        <v>0</v>
      </c>
      <c r="AIN9">
        <f t="shared" si="3"/>
        <v>0</v>
      </c>
      <c r="AIO9">
        <f t="shared" si="3"/>
        <v>0</v>
      </c>
      <c r="AIP9">
        <f t="shared" si="3"/>
        <v>12.5</v>
      </c>
      <c r="AIQ9">
        <f t="shared" si="3"/>
        <v>12.5</v>
      </c>
      <c r="AIR9">
        <f t="shared" si="3"/>
        <v>12.5</v>
      </c>
      <c r="AIS9">
        <f t="shared" si="3"/>
        <v>25</v>
      </c>
      <c r="AIT9">
        <f t="shared" si="3"/>
        <v>25</v>
      </c>
      <c r="AIU9">
        <f t="shared" si="3"/>
        <v>25</v>
      </c>
      <c r="AIV9">
        <f t="shared" si="3"/>
        <v>25</v>
      </c>
      <c r="AIW9">
        <f t="shared" si="3"/>
        <v>25</v>
      </c>
      <c r="AIX9">
        <f t="shared" si="3"/>
        <v>25</v>
      </c>
      <c r="AIY9">
        <f t="shared" si="3"/>
        <v>50</v>
      </c>
      <c r="AIZ9">
        <f t="shared" si="3"/>
        <v>25</v>
      </c>
      <c r="AJA9">
        <f t="shared" si="3"/>
        <v>0</v>
      </c>
      <c r="AJB9">
        <f t="shared" si="3"/>
        <v>0</v>
      </c>
      <c r="AJC9">
        <f t="shared" si="3"/>
        <v>0</v>
      </c>
      <c r="AJD9">
        <f t="shared" si="3"/>
        <v>0</v>
      </c>
      <c r="AJE9">
        <f t="shared" si="3"/>
        <v>0</v>
      </c>
      <c r="AJF9">
        <f t="shared" si="3"/>
        <v>0</v>
      </c>
      <c r="AJG9">
        <f t="shared" si="3"/>
        <v>0</v>
      </c>
      <c r="AJH9">
        <f t="shared" si="3"/>
        <v>0</v>
      </c>
      <c r="AJI9">
        <f t="shared" si="3"/>
        <v>0</v>
      </c>
      <c r="AJJ9">
        <f t="shared" si="3"/>
        <v>0</v>
      </c>
      <c r="AJK9">
        <f t="shared" si="3"/>
        <v>0</v>
      </c>
      <c r="AJL9">
        <f t="shared" si="3"/>
        <v>12.5</v>
      </c>
      <c r="AJM9">
        <f t="shared" si="3"/>
        <v>12.5</v>
      </c>
      <c r="AJN9">
        <f t="shared" si="3"/>
        <v>12.5</v>
      </c>
      <c r="AJO9">
        <f t="shared" si="3"/>
        <v>25</v>
      </c>
      <c r="AJP9">
        <f t="shared" si="3"/>
        <v>25</v>
      </c>
      <c r="AJQ9">
        <f t="shared" si="3"/>
        <v>25</v>
      </c>
      <c r="AJR9">
        <f t="shared" si="3"/>
        <v>25</v>
      </c>
      <c r="AJS9">
        <f t="shared" si="3"/>
        <v>25</v>
      </c>
      <c r="AJT9">
        <f t="shared" si="3"/>
        <v>25</v>
      </c>
      <c r="AJU9">
        <f t="shared" si="3"/>
        <v>50</v>
      </c>
      <c r="AJV9">
        <f t="shared" si="3"/>
        <v>25</v>
      </c>
      <c r="AJW9">
        <f t="shared" si="3"/>
        <v>0</v>
      </c>
      <c r="AJX9">
        <f t="shared" si="3"/>
        <v>0</v>
      </c>
      <c r="AJY9">
        <f t="shared" si="3"/>
        <v>0</v>
      </c>
      <c r="AJZ9">
        <f t="shared" ref="AJZ9:AJZ29" si="37">IX9</f>
        <v>0</v>
      </c>
      <c r="AKA9">
        <f t="shared" si="4"/>
        <v>0</v>
      </c>
      <c r="AKB9">
        <f t="shared" si="4"/>
        <v>0</v>
      </c>
      <c r="AKC9">
        <f t="shared" si="4"/>
        <v>0</v>
      </c>
      <c r="AKD9">
        <f t="shared" si="4"/>
        <v>0</v>
      </c>
      <c r="AKE9">
        <f t="shared" si="4"/>
        <v>0</v>
      </c>
      <c r="AKF9">
        <f t="shared" si="4"/>
        <v>0</v>
      </c>
      <c r="AKG9">
        <f t="shared" si="4"/>
        <v>0</v>
      </c>
      <c r="AKH9">
        <f t="shared" si="4"/>
        <v>12.5</v>
      </c>
      <c r="AKI9">
        <f t="shared" si="4"/>
        <v>12.5</v>
      </c>
      <c r="AKJ9">
        <f t="shared" si="4"/>
        <v>12.5</v>
      </c>
      <c r="AKK9">
        <f t="shared" si="4"/>
        <v>25</v>
      </c>
      <c r="AKL9">
        <f t="shared" si="4"/>
        <v>25</v>
      </c>
      <c r="AKM9">
        <f t="shared" si="4"/>
        <v>25</v>
      </c>
      <c r="AKN9">
        <f t="shared" si="4"/>
        <v>25</v>
      </c>
      <c r="AKO9">
        <f t="shared" si="4"/>
        <v>25</v>
      </c>
      <c r="AKP9">
        <f t="shared" si="4"/>
        <v>25</v>
      </c>
      <c r="AKQ9">
        <f t="shared" si="4"/>
        <v>50</v>
      </c>
      <c r="AKR9">
        <f t="shared" si="4"/>
        <v>25</v>
      </c>
      <c r="AKS9">
        <f t="shared" si="4"/>
        <v>0</v>
      </c>
      <c r="AKT9">
        <f t="shared" si="4"/>
        <v>0</v>
      </c>
      <c r="AKU9">
        <f t="shared" si="4"/>
        <v>0</v>
      </c>
      <c r="AKV9">
        <f t="shared" si="4"/>
        <v>0</v>
      </c>
      <c r="AKW9">
        <f t="shared" si="4"/>
        <v>0</v>
      </c>
      <c r="AKX9">
        <f t="shared" si="4"/>
        <v>0</v>
      </c>
      <c r="AKY9">
        <f t="shared" si="4"/>
        <v>0</v>
      </c>
      <c r="AKZ9">
        <f t="shared" si="4"/>
        <v>0</v>
      </c>
      <c r="ALA9">
        <f t="shared" si="4"/>
        <v>0</v>
      </c>
      <c r="ALB9">
        <f t="shared" si="4"/>
        <v>0</v>
      </c>
      <c r="ALC9">
        <f t="shared" si="4"/>
        <v>0</v>
      </c>
      <c r="ALD9">
        <f t="shared" si="4"/>
        <v>12.5</v>
      </c>
      <c r="ALE9">
        <f t="shared" si="4"/>
        <v>12.5</v>
      </c>
      <c r="ALF9">
        <f t="shared" si="4"/>
        <v>12.5</v>
      </c>
      <c r="ALG9">
        <f t="shared" si="4"/>
        <v>25</v>
      </c>
      <c r="ALH9">
        <f t="shared" si="4"/>
        <v>25</v>
      </c>
      <c r="ALI9">
        <f t="shared" si="4"/>
        <v>25</v>
      </c>
      <c r="ALJ9">
        <f t="shared" si="4"/>
        <v>25</v>
      </c>
      <c r="ALK9">
        <f t="shared" si="4"/>
        <v>25</v>
      </c>
      <c r="ALL9">
        <f t="shared" si="4"/>
        <v>25</v>
      </c>
      <c r="ALM9">
        <f t="shared" si="4"/>
        <v>50</v>
      </c>
      <c r="ALN9">
        <f t="shared" si="4"/>
        <v>25</v>
      </c>
      <c r="ALO9">
        <f t="shared" si="4"/>
        <v>0</v>
      </c>
      <c r="ALP9">
        <f t="shared" si="4"/>
        <v>0</v>
      </c>
      <c r="ALQ9">
        <f t="shared" si="4"/>
        <v>0</v>
      </c>
      <c r="ALR9">
        <f t="shared" si="4"/>
        <v>0</v>
      </c>
      <c r="ALS9">
        <f t="shared" si="4"/>
        <v>0</v>
      </c>
      <c r="ALT9">
        <f t="shared" si="4"/>
        <v>0</v>
      </c>
      <c r="ALU9">
        <f t="shared" si="4"/>
        <v>0</v>
      </c>
      <c r="ALV9">
        <f t="shared" si="4"/>
        <v>0</v>
      </c>
      <c r="ALW9">
        <f t="shared" si="4"/>
        <v>0</v>
      </c>
      <c r="ALX9">
        <f t="shared" si="4"/>
        <v>0</v>
      </c>
      <c r="ALY9">
        <f t="shared" si="4"/>
        <v>0</v>
      </c>
      <c r="ALZ9">
        <f t="shared" si="4"/>
        <v>12.5</v>
      </c>
      <c r="AMA9">
        <f t="shared" si="4"/>
        <v>12.5</v>
      </c>
      <c r="AMB9">
        <f t="shared" si="4"/>
        <v>12.5</v>
      </c>
      <c r="AMC9">
        <f t="shared" si="4"/>
        <v>25</v>
      </c>
      <c r="AMD9">
        <f t="shared" si="4"/>
        <v>25</v>
      </c>
      <c r="AME9">
        <f t="shared" si="4"/>
        <v>25</v>
      </c>
      <c r="AMF9">
        <f t="shared" si="4"/>
        <v>25</v>
      </c>
      <c r="AMG9">
        <f t="shared" si="4"/>
        <v>25</v>
      </c>
      <c r="AMH9">
        <f t="shared" si="4"/>
        <v>25</v>
      </c>
      <c r="AMI9">
        <f t="shared" si="4"/>
        <v>50</v>
      </c>
      <c r="AMJ9">
        <f t="shared" si="4"/>
        <v>25</v>
      </c>
      <c r="AMK9">
        <f t="shared" si="4"/>
        <v>0</v>
      </c>
      <c r="AML9">
        <f t="shared" ref="AML9:AML29" si="38">LJ9</f>
        <v>0</v>
      </c>
      <c r="AMM9">
        <f t="shared" si="5"/>
        <v>0</v>
      </c>
      <c r="AMN9">
        <f t="shared" si="5"/>
        <v>0</v>
      </c>
      <c r="AMO9">
        <f t="shared" si="5"/>
        <v>0</v>
      </c>
      <c r="AMP9">
        <f t="shared" si="5"/>
        <v>0</v>
      </c>
      <c r="AMQ9">
        <f t="shared" si="5"/>
        <v>0</v>
      </c>
      <c r="AMR9">
        <f t="shared" si="5"/>
        <v>0</v>
      </c>
      <c r="AMS9">
        <f t="shared" si="5"/>
        <v>0</v>
      </c>
      <c r="AMT9">
        <f t="shared" si="5"/>
        <v>0</v>
      </c>
      <c r="AMU9">
        <f t="shared" si="5"/>
        <v>0</v>
      </c>
      <c r="AMV9">
        <f t="shared" si="5"/>
        <v>12.5</v>
      </c>
      <c r="AMW9">
        <f t="shared" si="5"/>
        <v>12.5</v>
      </c>
      <c r="AMX9">
        <f t="shared" si="5"/>
        <v>12.5</v>
      </c>
      <c r="AMY9">
        <f t="shared" si="5"/>
        <v>25</v>
      </c>
      <c r="AMZ9">
        <f t="shared" si="5"/>
        <v>25</v>
      </c>
      <c r="ANA9">
        <f t="shared" si="5"/>
        <v>25</v>
      </c>
      <c r="ANB9">
        <f t="shared" si="5"/>
        <v>25</v>
      </c>
      <c r="ANC9">
        <f t="shared" si="5"/>
        <v>25</v>
      </c>
      <c r="AND9">
        <f t="shared" si="5"/>
        <v>25</v>
      </c>
      <c r="ANE9">
        <f t="shared" si="5"/>
        <v>50</v>
      </c>
      <c r="ANF9">
        <f t="shared" si="5"/>
        <v>25</v>
      </c>
      <c r="ANG9">
        <f t="shared" si="5"/>
        <v>0</v>
      </c>
      <c r="ANH9">
        <f t="shared" si="5"/>
        <v>0</v>
      </c>
      <c r="ANI9">
        <f t="shared" si="5"/>
        <v>0</v>
      </c>
      <c r="ANJ9">
        <f t="shared" si="5"/>
        <v>0</v>
      </c>
      <c r="ANK9">
        <f t="shared" si="5"/>
        <v>0</v>
      </c>
      <c r="ANL9">
        <f t="shared" si="5"/>
        <v>0</v>
      </c>
      <c r="ANM9">
        <f t="shared" si="5"/>
        <v>0</v>
      </c>
      <c r="ANN9">
        <f t="shared" si="5"/>
        <v>0</v>
      </c>
      <c r="ANO9">
        <f t="shared" si="5"/>
        <v>0</v>
      </c>
      <c r="ANP9">
        <f t="shared" si="5"/>
        <v>0</v>
      </c>
      <c r="ANQ9">
        <f t="shared" si="5"/>
        <v>0</v>
      </c>
      <c r="ANR9">
        <f t="shared" si="5"/>
        <v>12.5</v>
      </c>
      <c r="ANS9">
        <f t="shared" si="5"/>
        <v>12.5</v>
      </c>
      <c r="ANT9">
        <f t="shared" si="5"/>
        <v>12.5</v>
      </c>
      <c r="ANU9">
        <f t="shared" si="5"/>
        <v>25</v>
      </c>
      <c r="ANV9">
        <f t="shared" si="5"/>
        <v>25</v>
      </c>
      <c r="ANW9">
        <f t="shared" si="5"/>
        <v>25</v>
      </c>
      <c r="ANX9">
        <f t="shared" si="5"/>
        <v>25</v>
      </c>
      <c r="ANY9">
        <f t="shared" si="5"/>
        <v>25</v>
      </c>
      <c r="ANZ9">
        <f t="shared" si="5"/>
        <v>25</v>
      </c>
      <c r="AOA9">
        <f t="shared" si="5"/>
        <v>50</v>
      </c>
      <c r="AOB9">
        <f t="shared" si="5"/>
        <v>25</v>
      </c>
      <c r="AOC9">
        <f t="shared" si="5"/>
        <v>0</v>
      </c>
      <c r="AOD9">
        <f t="shared" si="5"/>
        <v>0</v>
      </c>
      <c r="AOE9">
        <f t="shared" si="5"/>
        <v>0</v>
      </c>
      <c r="AOF9">
        <f t="shared" si="5"/>
        <v>0</v>
      </c>
      <c r="AOG9">
        <f t="shared" si="5"/>
        <v>0</v>
      </c>
      <c r="AOH9">
        <f t="shared" si="5"/>
        <v>0</v>
      </c>
      <c r="AOI9">
        <f t="shared" si="5"/>
        <v>0</v>
      </c>
      <c r="AOJ9">
        <f t="shared" si="5"/>
        <v>0</v>
      </c>
      <c r="AOK9">
        <f t="shared" si="5"/>
        <v>0</v>
      </c>
      <c r="AOL9">
        <f t="shared" si="5"/>
        <v>0</v>
      </c>
      <c r="AOM9">
        <f t="shared" si="5"/>
        <v>0</v>
      </c>
      <c r="AON9">
        <f t="shared" si="5"/>
        <v>12.5</v>
      </c>
      <c r="AOO9">
        <f t="shared" si="5"/>
        <v>12.5</v>
      </c>
      <c r="AOP9">
        <f t="shared" si="5"/>
        <v>12.5</v>
      </c>
      <c r="AOQ9">
        <f t="shared" si="5"/>
        <v>25</v>
      </c>
      <c r="AOR9">
        <f t="shared" si="5"/>
        <v>25</v>
      </c>
      <c r="AOS9">
        <f t="shared" si="5"/>
        <v>25</v>
      </c>
      <c r="AOT9">
        <f t="shared" si="5"/>
        <v>25</v>
      </c>
      <c r="AOU9">
        <f t="shared" si="5"/>
        <v>25</v>
      </c>
      <c r="AOV9">
        <f t="shared" si="5"/>
        <v>25</v>
      </c>
      <c r="AOW9">
        <f t="shared" si="5"/>
        <v>50</v>
      </c>
      <c r="AOX9">
        <f t="shared" ref="AOX9:AOX29" si="39">NV9</f>
        <v>25</v>
      </c>
      <c r="AOY9">
        <f t="shared" si="6"/>
        <v>0</v>
      </c>
      <c r="AOZ9">
        <f t="shared" si="6"/>
        <v>0</v>
      </c>
      <c r="APA9">
        <f t="shared" si="6"/>
        <v>0</v>
      </c>
      <c r="APB9">
        <f t="shared" si="6"/>
        <v>0</v>
      </c>
      <c r="APC9">
        <f t="shared" si="6"/>
        <v>0</v>
      </c>
      <c r="APD9">
        <f t="shared" si="6"/>
        <v>0</v>
      </c>
      <c r="APE9">
        <f t="shared" si="6"/>
        <v>0</v>
      </c>
      <c r="APF9">
        <f t="shared" si="6"/>
        <v>0</v>
      </c>
      <c r="APG9">
        <f t="shared" si="6"/>
        <v>0</v>
      </c>
      <c r="APH9">
        <f t="shared" si="6"/>
        <v>0</v>
      </c>
      <c r="API9">
        <f t="shared" si="6"/>
        <v>0</v>
      </c>
      <c r="APJ9">
        <f t="shared" si="6"/>
        <v>12.5</v>
      </c>
      <c r="APK9">
        <f t="shared" si="6"/>
        <v>12.5</v>
      </c>
      <c r="APL9">
        <f t="shared" si="6"/>
        <v>12.5</v>
      </c>
      <c r="APM9">
        <f t="shared" si="6"/>
        <v>25</v>
      </c>
      <c r="APN9">
        <f t="shared" si="6"/>
        <v>25</v>
      </c>
      <c r="APO9">
        <f t="shared" si="6"/>
        <v>25</v>
      </c>
      <c r="APP9">
        <f t="shared" si="6"/>
        <v>25</v>
      </c>
      <c r="APQ9">
        <f t="shared" si="6"/>
        <v>25</v>
      </c>
      <c r="APR9">
        <f t="shared" si="6"/>
        <v>25</v>
      </c>
      <c r="APS9">
        <f t="shared" si="6"/>
        <v>50</v>
      </c>
      <c r="APT9">
        <f t="shared" si="6"/>
        <v>25</v>
      </c>
      <c r="APU9">
        <f t="shared" si="6"/>
        <v>0</v>
      </c>
      <c r="APV9">
        <f t="shared" si="6"/>
        <v>0</v>
      </c>
      <c r="APW9">
        <f t="shared" si="6"/>
        <v>0</v>
      </c>
      <c r="APX9">
        <f t="shared" si="6"/>
        <v>0</v>
      </c>
      <c r="APY9">
        <f t="shared" si="6"/>
        <v>0</v>
      </c>
      <c r="APZ9">
        <f t="shared" si="6"/>
        <v>0</v>
      </c>
      <c r="AQA9">
        <f t="shared" si="6"/>
        <v>0</v>
      </c>
      <c r="AQB9">
        <f t="shared" si="6"/>
        <v>0</v>
      </c>
      <c r="AQC9">
        <f t="shared" si="6"/>
        <v>0</v>
      </c>
      <c r="AQD9">
        <f t="shared" si="6"/>
        <v>0</v>
      </c>
      <c r="AQE9">
        <f t="shared" si="6"/>
        <v>0</v>
      </c>
      <c r="AQF9">
        <f t="shared" si="6"/>
        <v>12.5</v>
      </c>
      <c r="AQG9">
        <f t="shared" si="6"/>
        <v>12.5</v>
      </c>
      <c r="AQH9">
        <f t="shared" si="6"/>
        <v>12.5</v>
      </c>
      <c r="AQI9">
        <f t="shared" si="6"/>
        <v>25</v>
      </c>
      <c r="AQJ9">
        <f t="shared" si="6"/>
        <v>25</v>
      </c>
      <c r="AQK9">
        <f t="shared" si="6"/>
        <v>25</v>
      </c>
      <c r="AQL9">
        <f t="shared" si="6"/>
        <v>25</v>
      </c>
      <c r="AQM9">
        <f t="shared" si="6"/>
        <v>25</v>
      </c>
      <c r="AQN9">
        <f t="shared" si="6"/>
        <v>25</v>
      </c>
      <c r="AQO9">
        <f t="shared" si="6"/>
        <v>50</v>
      </c>
      <c r="AQP9">
        <f t="shared" si="6"/>
        <v>25</v>
      </c>
      <c r="AQQ9">
        <f t="shared" si="6"/>
        <v>0</v>
      </c>
      <c r="AQR9">
        <f t="shared" si="6"/>
        <v>0</v>
      </c>
      <c r="AQS9">
        <f t="shared" si="6"/>
        <v>0</v>
      </c>
      <c r="AQT9">
        <f t="shared" si="6"/>
        <v>0</v>
      </c>
      <c r="AQU9">
        <f t="shared" si="6"/>
        <v>0</v>
      </c>
      <c r="AQV9">
        <f t="shared" si="6"/>
        <v>0</v>
      </c>
      <c r="AQW9">
        <f t="shared" si="6"/>
        <v>0</v>
      </c>
      <c r="AQX9">
        <f t="shared" si="6"/>
        <v>0</v>
      </c>
      <c r="AQY9">
        <f t="shared" si="6"/>
        <v>0</v>
      </c>
      <c r="AQZ9">
        <f t="shared" si="6"/>
        <v>0</v>
      </c>
      <c r="ARA9">
        <f t="shared" si="6"/>
        <v>0</v>
      </c>
      <c r="ARB9">
        <f t="shared" si="6"/>
        <v>12.5</v>
      </c>
      <c r="ARC9">
        <f t="shared" si="6"/>
        <v>12.5</v>
      </c>
      <c r="ARD9">
        <f t="shared" si="6"/>
        <v>12.5</v>
      </c>
      <c r="ARE9">
        <f t="shared" si="6"/>
        <v>25</v>
      </c>
      <c r="ARF9">
        <f t="shared" si="6"/>
        <v>25</v>
      </c>
      <c r="ARG9">
        <f t="shared" si="6"/>
        <v>25</v>
      </c>
      <c r="ARH9">
        <f t="shared" si="6"/>
        <v>25</v>
      </c>
      <c r="ARI9">
        <f t="shared" si="6"/>
        <v>25</v>
      </c>
      <c r="ARJ9">
        <f t="shared" ref="ARJ9:ARJ29" si="40">QH9</f>
        <v>25</v>
      </c>
      <c r="ARK9">
        <f t="shared" si="7"/>
        <v>50</v>
      </c>
      <c r="ARL9">
        <f t="shared" si="7"/>
        <v>25</v>
      </c>
      <c r="ARM9">
        <f t="shared" si="7"/>
        <v>0</v>
      </c>
      <c r="ARN9">
        <f t="shared" si="7"/>
        <v>0</v>
      </c>
      <c r="ARO9">
        <f t="shared" si="7"/>
        <v>0</v>
      </c>
      <c r="ARP9">
        <f t="shared" si="7"/>
        <v>0</v>
      </c>
      <c r="ARQ9">
        <f t="shared" si="7"/>
        <v>0</v>
      </c>
      <c r="ARR9">
        <f t="shared" si="7"/>
        <v>0</v>
      </c>
      <c r="ARS9">
        <f t="shared" si="7"/>
        <v>0</v>
      </c>
      <c r="ART9">
        <f t="shared" si="7"/>
        <v>0</v>
      </c>
      <c r="ARU9">
        <f t="shared" si="7"/>
        <v>0</v>
      </c>
      <c r="ARV9">
        <f t="shared" si="7"/>
        <v>0</v>
      </c>
      <c r="ARW9">
        <f t="shared" si="7"/>
        <v>0</v>
      </c>
      <c r="ARX9">
        <f t="shared" si="7"/>
        <v>12.5</v>
      </c>
      <c r="ARY9">
        <f t="shared" si="7"/>
        <v>12.5</v>
      </c>
      <c r="ARZ9">
        <f t="shared" si="7"/>
        <v>12.5</v>
      </c>
      <c r="ASA9">
        <f t="shared" si="7"/>
        <v>25</v>
      </c>
      <c r="ASB9">
        <f t="shared" si="7"/>
        <v>25</v>
      </c>
      <c r="ASC9">
        <f t="shared" si="7"/>
        <v>25</v>
      </c>
      <c r="ASD9">
        <f t="shared" si="7"/>
        <v>25</v>
      </c>
      <c r="ASE9">
        <f t="shared" si="7"/>
        <v>25</v>
      </c>
      <c r="ASF9">
        <f t="shared" si="7"/>
        <v>25</v>
      </c>
      <c r="ASG9">
        <f t="shared" si="7"/>
        <v>50</v>
      </c>
      <c r="ASH9">
        <f t="shared" si="7"/>
        <v>25</v>
      </c>
      <c r="ASI9">
        <f t="shared" si="7"/>
        <v>0</v>
      </c>
      <c r="ASJ9">
        <f t="shared" si="7"/>
        <v>0</v>
      </c>
      <c r="ASK9">
        <f t="shared" si="7"/>
        <v>0</v>
      </c>
      <c r="ASL9">
        <f t="shared" si="7"/>
        <v>0</v>
      </c>
      <c r="ASM9">
        <f t="shared" si="7"/>
        <v>0</v>
      </c>
      <c r="ASN9">
        <f t="shared" si="7"/>
        <v>0</v>
      </c>
      <c r="ASO9">
        <f t="shared" si="7"/>
        <v>0</v>
      </c>
      <c r="ASP9">
        <f t="shared" si="7"/>
        <v>0</v>
      </c>
      <c r="ASQ9">
        <f t="shared" si="7"/>
        <v>0</v>
      </c>
      <c r="ASR9">
        <f t="shared" si="7"/>
        <v>0</v>
      </c>
      <c r="ASS9">
        <f t="shared" si="7"/>
        <v>0</v>
      </c>
      <c r="AST9">
        <f t="shared" si="7"/>
        <v>12.5</v>
      </c>
      <c r="ASU9">
        <f t="shared" si="7"/>
        <v>12.5</v>
      </c>
      <c r="ASV9">
        <f t="shared" si="7"/>
        <v>12.5</v>
      </c>
      <c r="ASW9">
        <f t="shared" si="7"/>
        <v>25</v>
      </c>
      <c r="ASX9">
        <f t="shared" si="7"/>
        <v>25</v>
      </c>
      <c r="ASY9">
        <f t="shared" si="7"/>
        <v>25</v>
      </c>
      <c r="ASZ9">
        <f t="shared" si="7"/>
        <v>25</v>
      </c>
      <c r="ATA9">
        <f t="shared" si="7"/>
        <v>25</v>
      </c>
      <c r="ATB9">
        <f t="shared" si="7"/>
        <v>25</v>
      </c>
      <c r="ATC9">
        <f t="shared" si="7"/>
        <v>50</v>
      </c>
      <c r="ATD9">
        <f t="shared" si="7"/>
        <v>25</v>
      </c>
      <c r="ATE9">
        <f t="shared" si="7"/>
        <v>0</v>
      </c>
      <c r="ATF9">
        <f t="shared" si="7"/>
        <v>0</v>
      </c>
      <c r="ATG9">
        <f t="shared" si="7"/>
        <v>0</v>
      </c>
      <c r="ATH9">
        <f t="shared" si="7"/>
        <v>0</v>
      </c>
      <c r="ATI9">
        <f t="shared" si="7"/>
        <v>0</v>
      </c>
      <c r="ATJ9">
        <f t="shared" si="7"/>
        <v>0</v>
      </c>
      <c r="ATK9">
        <f t="shared" si="7"/>
        <v>0</v>
      </c>
      <c r="ATL9">
        <f t="shared" si="7"/>
        <v>0</v>
      </c>
      <c r="ATM9">
        <f t="shared" si="7"/>
        <v>0</v>
      </c>
      <c r="ATN9">
        <f t="shared" si="7"/>
        <v>0</v>
      </c>
      <c r="ATO9">
        <f t="shared" si="7"/>
        <v>0</v>
      </c>
      <c r="ATP9">
        <f t="shared" si="7"/>
        <v>12.5</v>
      </c>
      <c r="ATQ9">
        <f t="shared" si="7"/>
        <v>12.5</v>
      </c>
      <c r="ATR9">
        <f t="shared" si="7"/>
        <v>12.5</v>
      </c>
      <c r="ATS9">
        <f t="shared" si="7"/>
        <v>25</v>
      </c>
      <c r="ATT9">
        <f t="shared" si="7"/>
        <v>25</v>
      </c>
      <c r="ATU9">
        <f t="shared" si="7"/>
        <v>25</v>
      </c>
      <c r="ATV9">
        <f t="shared" ref="ATV9:ATV29" si="41">ST9</f>
        <v>25</v>
      </c>
      <c r="ATW9">
        <f t="shared" si="8"/>
        <v>25</v>
      </c>
      <c r="ATX9">
        <f t="shared" si="8"/>
        <v>25</v>
      </c>
      <c r="ATY9">
        <f t="shared" si="8"/>
        <v>50</v>
      </c>
      <c r="ATZ9">
        <f t="shared" si="8"/>
        <v>25</v>
      </c>
      <c r="AUA9">
        <f t="shared" si="8"/>
        <v>0</v>
      </c>
      <c r="AUB9">
        <f t="shared" si="8"/>
        <v>0</v>
      </c>
      <c r="AUC9">
        <f t="shared" si="8"/>
        <v>0</v>
      </c>
      <c r="AUD9">
        <f t="shared" si="8"/>
        <v>0</v>
      </c>
      <c r="AUE9">
        <f t="shared" si="8"/>
        <v>0</v>
      </c>
      <c r="AUF9">
        <f t="shared" si="8"/>
        <v>0</v>
      </c>
      <c r="AUG9">
        <f t="shared" si="8"/>
        <v>0</v>
      </c>
      <c r="AUH9">
        <f t="shared" si="8"/>
        <v>0</v>
      </c>
      <c r="AUI9">
        <f t="shared" si="8"/>
        <v>0</v>
      </c>
      <c r="AUJ9">
        <f t="shared" si="8"/>
        <v>0</v>
      </c>
      <c r="AUK9">
        <f t="shared" si="8"/>
        <v>0</v>
      </c>
      <c r="AUL9">
        <f t="shared" si="8"/>
        <v>12.5</v>
      </c>
      <c r="AUM9">
        <f t="shared" si="8"/>
        <v>12.5</v>
      </c>
      <c r="AUN9">
        <f t="shared" si="8"/>
        <v>12.5</v>
      </c>
      <c r="AUO9">
        <f t="shared" si="8"/>
        <v>25</v>
      </c>
      <c r="AUP9">
        <f t="shared" si="8"/>
        <v>25</v>
      </c>
      <c r="AUQ9">
        <f t="shared" si="8"/>
        <v>25</v>
      </c>
      <c r="AUR9">
        <f t="shared" si="8"/>
        <v>25</v>
      </c>
      <c r="AUS9">
        <f t="shared" si="8"/>
        <v>25</v>
      </c>
      <c r="AUT9">
        <f t="shared" si="8"/>
        <v>25</v>
      </c>
      <c r="AUU9">
        <f t="shared" si="8"/>
        <v>50</v>
      </c>
      <c r="AUV9">
        <f t="shared" si="8"/>
        <v>25</v>
      </c>
      <c r="AUW9">
        <f t="shared" si="8"/>
        <v>0</v>
      </c>
      <c r="AUX9">
        <f t="shared" si="8"/>
        <v>0</v>
      </c>
      <c r="AUY9">
        <f t="shared" si="8"/>
        <v>0</v>
      </c>
      <c r="AUZ9">
        <f t="shared" si="8"/>
        <v>0</v>
      </c>
      <c r="AVA9">
        <f t="shared" si="8"/>
        <v>0</v>
      </c>
      <c r="AVB9">
        <f t="shared" si="8"/>
        <v>0</v>
      </c>
      <c r="AVC9">
        <f t="shared" si="8"/>
        <v>0</v>
      </c>
      <c r="AVD9">
        <f t="shared" si="8"/>
        <v>0</v>
      </c>
      <c r="AVE9">
        <f t="shared" si="8"/>
        <v>0</v>
      </c>
      <c r="AVF9">
        <f t="shared" si="8"/>
        <v>0</v>
      </c>
      <c r="AVG9">
        <f t="shared" si="8"/>
        <v>0</v>
      </c>
      <c r="AVH9">
        <f t="shared" si="8"/>
        <v>12.5</v>
      </c>
      <c r="AVI9">
        <f t="shared" si="8"/>
        <v>12.5</v>
      </c>
      <c r="AVJ9">
        <f t="shared" si="8"/>
        <v>12.5</v>
      </c>
      <c r="AVK9">
        <f t="shared" si="8"/>
        <v>25</v>
      </c>
      <c r="AVL9">
        <f t="shared" si="8"/>
        <v>25</v>
      </c>
      <c r="AVM9">
        <f t="shared" si="8"/>
        <v>25</v>
      </c>
      <c r="AVN9">
        <f t="shared" si="8"/>
        <v>25</v>
      </c>
      <c r="AVO9">
        <f t="shared" si="8"/>
        <v>25</v>
      </c>
      <c r="AVP9">
        <f t="shared" si="8"/>
        <v>25</v>
      </c>
      <c r="AVQ9">
        <f t="shared" si="8"/>
        <v>50</v>
      </c>
      <c r="AVR9">
        <f t="shared" si="8"/>
        <v>25</v>
      </c>
      <c r="AVS9">
        <f t="shared" si="8"/>
        <v>0</v>
      </c>
      <c r="AVT9">
        <f t="shared" si="8"/>
        <v>0</v>
      </c>
      <c r="AVU9">
        <f t="shared" si="8"/>
        <v>0</v>
      </c>
      <c r="AVV9">
        <f t="shared" si="8"/>
        <v>0</v>
      </c>
      <c r="AVW9">
        <f t="shared" si="8"/>
        <v>0</v>
      </c>
      <c r="AVX9">
        <f t="shared" si="8"/>
        <v>0</v>
      </c>
      <c r="AVY9">
        <f t="shared" si="8"/>
        <v>0</v>
      </c>
      <c r="AVZ9">
        <f t="shared" si="8"/>
        <v>0</v>
      </c>
      <c r="AWA9">
        <f t="shared" si="8"/>
        <v>0</v>
      </c>
      <c r="AWB9">
        <f t="shared" si="8"/>
        <v>0</v>
      </c>
      <c r="AWC9">
        <f t="shared" si="8"/>
        <v>0</v>
      </c>
      <c r="AWD9">
        <f t="shared" si="8"/>
        <v>12.5</v>
      </c>
      <c r="AWE9">
        <f t="shared" si="8"/>
        <v>12.5</v>
      </c>
      <c r="AWF9">
        <f t="shared" si="8"/>
        <v>12.5</v>
      </c>
      <c r="AWG9">
        <f t="shared" si="8"/>
        <v>25</v>
      </c>
      <c r="AWH9">
        <f t="shared" ref="AWH9:AWH29" si="42">VF9</f>
        <v>25</v>
      </c>
      <c r="AWI9">
        <f t="shared" si="9"/>
        <v>25</v>
      </c>
      <c r="AWJ9">
        <f t="shared" si="9"/>
        <v>25</v>
      </c>
      <c r="AWK9">
        <f t="shared" si="9"/>
        <v>25</v>
      </c>
      <c r="AWL9">
        <f t="shared" si="9"/>
        <v>25</v>
      </c>
      <c r="AWM9">
        <f t="shared" si="9"/>
        <v>50</v>
      </c>
      <c r="AWN9">
        <f t="shared" si="9"/>
        <v>25</v>
      </c>
      <c r="AWO9">
        <f t="shared" si="9"/>
        <v>0</v>
      </c>
      <c r="AWP9">
        <f t="shared" si="9"/>
        <v>0</v>
      </c>
      <c r="AWQ9">
        <f t="shared" si="9"/>
        <v>0</v>
      </c>
      <c r="AWR9">
        <f t="shared" si="9"/>
        <v>0</v>
      </c>
      <c r="AWS9">
        <f t="shared" si="9"/>
        <v>0</v>
      </c>
      <c r="AWT9">
        <f t="shared" si="9"/>
        <v>0</v>
      </c>
      <c r="AWU9">
        <f t="shared" si="9"/>
        <v>0</v>
      </c>
      <c r="AWV9">
        <f t="shared" si="9"/>
        <v>0</v>
      </c>
      <c r="AWW9">
        <f t="shared" si="9"/>
        <v>0</v>
      </c>
      <c r="AWX9">
        <f t="shared" si="9"/>
        <v>0</v>
      </c>
      <c r="AWY9">
        <f t="shared" si="9"/>
        <v>0</v>
      </c>
      <c r="AWZ9">
        <f t="shared" si="9"/>
        <v>12.5</v>
      </c>
      <c r="AXA9">
        <f t="shared" si="9"/>
        <v>12.5</v>
      </c>
      <c r="AXB9">
        <f t="shared" si="9"/>
        <v>12.5</v>
      </c>
      <c r="AXC9">
        <f t="shared" si="9"/>
        <v>25</v>
      </c>
      <c r="AXD9">
        <f t="shared" si="9"/>
        <v>25</v>
      </c>
      <c r="AXE9">
        <f t="shared" si="9"/>
        <v>25</v>
      </c>
      <c r="AXF9">
        <f t="shared" si="9"/>
        <v>25</v>
      </c>
      <c r="AXG9">
        <f t="shared" si="9"/>
        <v>25</v>
      </c>
      <c r="AXH9">
        <f t="shared" si="9"/>
        <v>25</v>
      </c>
      <c r="AXI9">
        <f t="shared" si="9"/>
        <v>50</v>
      </c>
      <c r="AXJ9">
        <f t="shared" si="9"/>
        <v>25</v>
      </c>
      <c r="AXK9">
        <f t="shared" si="9"/>
        <v>0</v>
      </c>
      <c r="AXL9">
        <f t="shared" si="9"/>
        <v>0</v>
      </c>
      <c r="AXM9">
        <f t="shared" si="9"/>
        <v>0</v>
      </c>
      <c r="AXN9">
        <f t="shared" si="9"/>
        <v>0</v>
      </c>
      <c r="AXO9">
        <f t="shared" si="9"/>
        <v>0</v>
      </c>
      <c r="AXP9">
        <f t="shared" si="9"/>
        <v>0</v>
      </c>
      <c r="AXQ9">
        <f t="shared" si="9"/>
        <v>0</v>
      </c>
      <c r="AXR9">
        <f t="shared" si="9"/>
        <v>0</v>
      </c>
      <c r="AXS9">
        <f t="shared" si="9"/>
        <v>0</v>
      </c>
      <c r="AXT9">
        <f t="shared" si="9"/>
        <v>0</v>
      </c>
      <c r="AXU9">
        <f t="shared" si="9"/>
        <v>0</v>
      </c>
      <c r="AXV9">
        <f t="shared" si="9"/>
        <v>12.5</v>
      </c>
      <c r="AXW9">
        <f t="shared" si="9"/>
        <v>12.5</v>
      </c>
      <c r="AXX9">
        <f t="shared" si="9"/>
        <v>12.5</v>
      </c>
      <c r="AXY9">
        <f t="shared" si="9"/>
        <v>25</v>
      </c>
      <c r="AXZ9">
        <f t="shared" si="9"/>
        <v>25</v>
      </c>
      <c r="AYA9">
        <f t="shared" si="9"/>
        <v>25</v>
      </c>
      <c r="AYB9">
        <f t="shared" si="9"/>
        <v>25</v>
      </c>
      <c r="AYC9">
        <f t="shared" si="9"/>
        <v>25</v>
      </c>
      <c r="AYD9">
        <f t="shared" si="9"/>
        <v>25</v>
      </c>
      <c r="AYE9">
        <f t="shared" si="9"/>
        <v>50</v>
      </c>
      <c r="AYF9">
        <f t="shared" si="9"/>
        <v>25</v>
      </c>
      <c r="AYG9">
        <f t="shared" si="9"/>
        <v>0</v>
      </c>
      <c r="AYH9">
        <f t="shared" si="9"/>
        <v>0</v>
      </c>
      <c r="AYI9">
        <f t="shared" si="9"/>
        <v>0</v>
      </c>
      <c r="AYJ9">
        <f t="shared" si="9"/>
        <v>0</v>
      </c>
      <c r="AYK9">
        <f t="shared" si="9"/>
        <v>0</v>
      </c>
      <c r="AYL9">
        <f t="shared" si="9"/>
        <v>0</v>
      </c>
      <c r="AYM9">
        <f t="shared" si="9"/>
        <v>0</v>
      </c>
      <c r="AYN9">
        <f t="shared" si="9"/>
        <v>0</v>
      </c>
      <c r="AYO9">
        <f t="shared" si="9"/>
        <v>0</v>
      </c>
      <c r="AYP9">
        <f t="shared" si="9"/>
        <v>0</v>
      </c>
      <c r="AYQ9">
        <f t="shared" si="9"/>
        <v>0</v>
      </c>
      <c r="AYR9">
        <f t="shared" si="9"/>
        <v>12.5</v>
      </c>
      <c r="AYS9">
        <f t="shared" si="9"/>
        <v>12.5</v>
      </c>
      <c r="AYT9">
        <f t="shared" ref="AYT9:AYT29" si="43">XR9</f>
        <v>12.5</v>
      </c>
      <c r="AYU9">
        <f t="shared" si="10"/>
        <v>25</v>
      </c>
      <c r="AYV9">
        <f t="shared" si="10"/>
        <v>25</v>
      </c>
      <c r="AYW9">
        <f t="shared" si="10"/>
        <v>25</v>
      </c>
      <c r="AYX9">
        <f t="shared" si="10"/>
        <v>25</v>
      </c>
      <c r="AYY9">
        <f t="shared" si="10"/>
        <v>25</v>
      </c>
      <c r="AYZ9">
        <f t="shared" si="10"/>
        <v>25</v>
      </c>
      <c r="AZA9">
        <f t="shared" si="10"/>
        <v>50</v>
      </c>
      <c r="AZB9">
        <f t="shared" si="10"/>
        <v>25</v>
      </c>
      <c r="AZC9">
        <f t="shared" si="10"/>
        <v>0</v>
      </c>
      <c r="AZD9">
        <f t="shared" si="10"/>
        <v>0</v>
      </c>
      <c r="AZE9">
        <f t="shared" si="10"/>
        <v>0</v>
      </c>
      <c r="AZF9">
        <f t="shared" si="10"/>
        <v>0</v>
      </c>
      <c r="AZG9">
        <f t="shared" si="10"/>
        <v>0</v>
      </c>
      <c r="AZH9">
        <f t="shared" si="10"/>
        <v>0</v>
      </c>
      <c r="AZI9">
        <f t="shared" si="10"/>
        <v>0</v>
      </c>
      <c r="AZJ9">
        <f t="shared" si="10"/>
        <v>0</v>
      </c>
      <c r="AZK9">
        <f t="shared" si="10"/>
        <v>0</v>
      </c>
      <c r="AZL9">
        <f t="shared" si="10"/>
        <v>0</v>
      </c>
      <c r="AZM9">
        <f t="shared" si="10"/>
        <v>0</v>
      </c>
      <c r="AZN9">
        <f t="shared" si="10"/>
        <v>12.5</v>
      </c>
      <c r="AZO9">
        <f t="shared" si="10"/>
        <v>12.5</v>
      </c>
      <c r="AZP9">
        <f t="shared" si="10"/>
        <v>12.5</v>
      </c>
      <c r="AZQ9">
        <f t="shared" si="10"/>
        <v>25</v>
      </c>
      <c r="AZR9">
        <f t="shared" si="10"/>
        <v>25</v>
      </c>
      <c r="AZS9">
        <f t="shared" si="10"/>
        <v>25</v>
      </c>
      <c r="AZT9">
        <f t="shared" si="10"/>
        <v>25</v>
      </c>
      <c r="AZU9">
        <f t="shared" si="10"/>
        <v>25</v>
      </c>
      <c r="AZV9">
        <f t="shared" si="10"/>
        <v>25</v>
      </c>
      <c r="AZW9">
        <f t="shared" si="10"/>
        <v>50</v>
      </c>
      <c r="AZX9">
        <f t="shared" si="10"/>
        <v>25</v>
      </c>
      <c r="AZY9">
        <f t="shared" si="10"/>
        <v>0</v>
      </c>
      <c r="AZZ9">
        <f t="shared" si="10"/>
        <v>0</v>
      </c>
      <c r="BAA9">
        <f t="shared" si="10"/>
        <v>0</v>
      </c>
      <c r="BAB9">
        <f t="shared" si="10"/>
        <v>0</v>
      </c>
      <c r="BAC9">
        <f t="shared" si="10"/>
        <v>0</v>
      </c>
      <c r="BAD9">
        <f t="shared" si="10"/>
        <v>0</v>
      </c>
      <c r="BAE9">
        <f t="shared" si="10"/>
        <v>0</v>
      </c>
      <c r="BAF9">
        <f t="shared" si="10"/>
        <v>0</v>
      </c>
      <c r="BAG9">
        <f t="shared" si="10"/>
        <v>0</v>
      </c>
      <c r="BAH9">
        <f t="shared" si="10"/>
        <v>0</v>
      </c>
      <c r="BAI9">
        <f t="shared" si="10"/>
        <v>0</v>
      </c>
      <c r="BAJ9">
        <f t="shared" si="10"/>
        <v>12.5</v>
      </c>
      <c r="BAK9">
        <f t="shared" si="10"/>
        <v>12.5</v>
      </c>
      <c r="BAL9">
        <f t="shared" si="10"/>
        <v>12.5</v>
      </c>
      <c r="BAM9">
        <f t="shared" si="10"/>
        <v>25</v>
      </c>
      <c r="BAN9">
        <f t="shared" si="10"/>
        <v>25</v>
      </c>
      <c r="BAO9">
        <f t="shared" si="10"/>
        <v>25</v>
      </c>
      <c r="BAP9">
        <f t="shared" si="10"/>
        <v>25</v>
      </c>
      <c r="BAQ9">
        <f t="shared" si="10"/>
        <v>25</v>
      </c>
      <c r="BAR9">
        <f t="shared" si="10"/>
        <v>25</v>
      </c>
      <c r="BAS9">
        <f t="shared" si="10"/>
        <v>50</v>
      </c>
      <c r="BAT9">
        <f t="shared" si="10"/>
        <v>25</v>
      </c>
      <c r="BAU9">
        <f t="shared" si="10"/>
        <v>0</v>
      </c>
      <c r="BAV9">
        <f t="shared" si="10"/>
        <v>0</v>
      </c>
      <c r="BAW9">
        <f t="shared" si="10"/>
        <v>0</v>
      </c>
      <c r="BAX9">
        <f t="shared" si="10"/>
        <v>0</v>
      </c>
      <c r="BAY9">
        <f t="shared" si="10"/>
        <v>0</v>
      </c>
      <c r="BAZ9">
        <f t="shared" si="10"/>
        <v>0</v>
      </c>
      <c r="BBA9">
        <f t="shared" si="10"/>
        <v>0</v>
      </c>
      <c r="BBB9">
        <f t="shared" si="10"/>
        <v>0</v>
      </c>
      <c r="BBC9">
        <f t="shared" si="10"/>
        <v>0</v>
      </c>
      <c r="BBD9">
        <f t="shared" si="10"/>
        <v>0</v>
      </c>
      <c r="BBE9">
        <f t="shared" si="10"/>
        <v>0</v>
      </c>
      <c r="BBF9">
        <f t="shared" ref="BBF9:BBF29" si="44">AAD9</f>
        <v>12.5</v>
      </c>
      <c r="BBG9">
        <f t="shared" si="11"/>
        <v>12.5</v>
      </c>
      <c r="BBH9">
        <f t="shared" si="11"/>
        <v>12.5</v>
      </c>
      <c r="BBI9">
        <f t="shared" si="11"/>
        <v>25</v>
      </c>
      <c r="BBJ9">
        <f t="shared" si="11"/>
        <v>25</v>
      </c>
      <c r="BBK9">
        <f t="shared" si="11"/>
        <v>25</v>
      </c>
      <c r="BBL9">
        <f t="shared" si="11"/>
        <v>25</v>
      </c>
      <c r="BBM9">
        <f t="shared" si="11"/>
        <v>25</v>
      </c>
      <c r="BBN9">
        <f t="shared" si="11"/>
        <v>25</v>
      </c>
      <c r="BBO9">
        <f t="shared" si="11"/>
        <v>50</v>
      </c>
      <c r="BBP9">
        <f t="shared" si="11"/>
        <v>25</v>
      </c>
      <c r="BBQ9">
        <f t="shared" si="11"/>
        <v>0</v>
      </c>
      <c r="BBR9">
        <f t="shared" si="11"/>
        <v>0</v>
      </c>
      <c r="BBS9">
        <f t="shared" si="11"/>
        <v>0</v>
      </c>
      <c r="BBT9">
        <f t="shared" si="11"/>
        <v>0</v>
      </c>
      <c r="BBU9">
        <f t="shared" si="11"/>
        <v>0</v>
      </c>
      <c r="BBV9">
        <f t="shared" si="11"/>
        <v>0</v>
      </c>
      <c r="BBW9">
        <f t="shared" si="11"/>
        <v>0</v>
      </c>
      <c r="BBX9">
        <f t="shared" si="11"/>
        <v>0</v>
      </c>
      <c r="BBY9">
        <f t="shared" si="11"/>
        <v>0</v>
      </c>
      <c r="BBZ9">
        <f t="shared" si="11"/>
        <v>0</v>
      </c>
      <c r="BCA9">
        <f t="shared" si="11"/>
        <v>0</v>
      </c>
      <c r="BCB9">
        <f t="shared" si="11"/>
        <v>12.5</v>
      </c>
      <c r="BCC9">
        <f t="shared" si="11"/>
        <v>12.5</v>
      </c>
      <c r="BCD9">
        <f t="shared" si="11"/>
        <v>12.5</v>
      </c>
      <c r="BCE9">
        <f t="shared" si="11"/>
        <v>25</v>
      </c>
      <c r="BCF9">
        <f t="shared" si="11"/>
        <v>25</v>
      </c>
      <c r="BCG9">
        <f t="shared" si="11"/>
        <v>25</v>
      </c>
      <c r="BCH9">
        <f t="shared" si="11"/>
        <v>25</v>
      </c>
      <c r="BCI9">
        <f t="shared" si="11"/>
        <v>25</v>
      </c>
      <c r="BCJ9">
        <f t="shared" si="11"/>
        <v>25</v>
      </c>
      <c r="BCK9">
        <f t="shared" si="11"/>
        <v>50</v>
      </c>
      <c r="BCL9">
        <f t="shared" si="11"/>
        <v>25</v>
      </c>
      <c r="BCM9">
        <f t="shared" si="11"/>
        <v>0</v>
      </c>
      <c r="BCN9">
        <f t="shared" si="11"/>
        <v>0</v>
      </c>
      <c r="BCO9">
        <f t="shared" si="11"/>
        <v>0</v>
      </c>
      <c r="BCP9">
        <f t="shared" si="11"/>
        <v>0</v>
      </c>
      <c r="BCQ9">
        <f t="shared" si="11"/>
        <v>0</v>
      </c>
      <c r="BCR9">
        <f t="shared" si="11"/>
        <v>0</v>
      </c>
      <c r="BCS9">
        <f t="shared" si="11"/>
        <v>0</v>
      </c>
      <c r="BCT9">
        <f t="shared" si="11"/>
        <v>0</v>
      </c>
      <c r="BCU9">
        <f t="shared" si="11"/>
        <v>0</v>
      </c>
      <c r="BCV9">
        <f t="shared" si="11"/>
        <v>0</v>
      </c>
      <c r="BCW9">
        <f t="shared" si="11"/>
        <v>0</v>
      </c>
      <c r="BCX9">
        <f t="shared" si="11"/>
        <v>12.5</v>
      </c>
      <c r="BCY9">
        <f t="shared" si="11"/>
        <v>12.5</v>
      </c>
      <c r="BCZ9">
        <f t="shared" si="11"/>
        <v>12.5</v>
      </c>
      <c r="BDA9">
        <f t="shared" si="11"/>
        <v>25</v>
      </c>
      <c r="BDB9">
        <f t="shared" si="11"/>
        <v>25</v>
      </c>
      <c r="BDC9">
        <f t="shared" si="11"/>
        <v>25</v>
      </c>
      <c r="BDD9">
        <f t="shared" si="11"/>
        <v>25</v>
      </c>
      <c r="BDE9">
        <f t="shared" si="11"/>
        <v>25</v>
      </c>
      <c r="BDF9">
        <f t="shared" si="11"/>
        <v>25</v>
      </c>
      <c r="BDG9">
        <f t="shared" si="11"/>
        <v>50</v>
      </c>
      <c r="BDH9">
        <f t="shared" si="11"/>
        <v>25</v>
      </c>
      <c r="BDI9">
        <f t="shared" si="11"/>
        <v>0</v>
      </c>
      <c r="BDJ9">
        <f t="shared" si="11"/>
        <v>0</v>
      </c>
      <c r="BDK9">
        <f t="shared" si="11"/>
        <v>0</v>
      </c>
      <c r="BDL9">
        <f t="shared" si="11"/>
        <v>0</v>
      </c>
      <c r="BDM9">
        <f t="shared" si="11"/>
        <v>0</v>
      </c>
      <c r="BDN9">
        <f t="shared" si="11"/>
        <v>0</v>
      </c>
      <c r="BDO9">
        <f t="shared" si="11"/>
        <v>0</v>
      </c>
      <c r="BDP9">
        <f t="shared" si="11"/>
        <v>0</v>
      </c>
      <c r="BDQ9">
        <f t="shared" si="11"/>
        <v>0</v>
      </c>
      <c r="BDR9">
        <f t="shared" ref="BDR9:BDR29" si="45">ACP9</f>
        <v>0</v>
      </c>
      <c r="BDS9">
        <f t="shared" si="12"/>
        <v>0</v>
      </c>
      <c r="BDT9">
        <f t="shared" si="12"/>
        <v>12.5</v>
      </c>
      <c r="BDU9">
        <f t="shared" si="12"/>
        <v>12.5</v>
      </c>
      <c r="BDV9">
        <f t="shared" si="12"/>
        <v>12.5</v>
      </c>
      <c r="BDW9">
        <f t="shared" si="12"/>
        <v>25</v>
      </c>
      <c r="BDX9">
        <f t="shared" si="12"/>
        <v>25</v>
      </c>
      <c r="BDY9">
        <f t="shared" si="12"/>
        <v>25</v>
      </c>
      <c r="BDZ9">
        <f t="shared" si="12"/>
        <v>25</v>
      </c>
      <c r="BEA9">
        <f t="shared" si="12"/>
        <v>25</v>
      </c>
      <c r="BEB9">
        <f t="shared" si="12"/>
        <v>25</v>
      </c>
      <c r="BEC9">
        <f t="shared" si="12"/>
        <v>50</v>
      </c>
      <c r="BED9">
        <f t="shared" si="12"/>
        <v>25</v>
      </c>
      <c r="BEE9">
        <f t="shared" si="12"/>
        <v>0</v>
      </c>
      <c r="BEF9">
        <f t="shared" si="12"/>
        <v>0</v>
      </c>
      <c r="BEG9">
        <f t="shared" si="12"/>
        <v>0</v>
      </c>
      <c r="BEH9">
        <f t="shared" si="12"/>
        <v>0</v>
      </c>
      <c r="BEI9">
        <f t="shared" si="12"/>
        <v>0</v>
      </c>
      <c r="BEJ9">
        <f t="shared" si="12"/>
        <v>0</v>
      </c>
      <c r="BEK9">
        <f t="shared" si="12"/>
        <v>0</v>
      </c>
      <c r="BEL9">
        <f t="shared" si="12"/>
        <v>0</v>
      </c>
      <c r="BEM9">
        <f t="shared" si="12"/>
        <v>0</v>
      </c>
      <c r="BEN9">
        <f t="shared" si="12"/>
        <v>0</v>
      </c>
      <c r="BEO9">
        <f t="shared" si="12"/>
        <v>0</v>
      </c>
      <c r="BEP9">
        <f t="shared" si="12"/>
        <v>12.5</v>
      </c>
      <c r="BEQ9">
        <f t="shared" si="12"/>
        <v>12.5</v>
      </c>
      <c r="BER9">
        <f t="shared" si="12"/>
        <v>12.5</v>
      </c>
      <c r="BES9">
        <f t="shared" si="12"/>
        <v>25</v>
      </c>
      <c r="BET9">
        <f t="shared" si="12"/>
        <v>25</v>
      </c>
      <c r="BEU9">
        <f t="shared" si="12"/>
        <v>25</v>
      </c>
      <c r="BEV9">
        <f t="shared" si="12"/>
        <v>25</v>
      </c>
      <c r="BEW9">
        <f t="shared" si="12"/>
        <v>25</v>
      </c>
      <c r="BEX9">
        <f t="shared" si="12"/>
        <v>25</v>
      </c>
      <c r="BEY9">
        <f t="shared" si="12"/>
        <v>50</v>
      </c>
      <c r="BEZ9">
        <f t="shared" si="12"/>
        <v>25</v>
      </c>
      <c r="BFA9">
        <f t="shared" si="12"/>
        <v>0</v>
      </c>
      <c r="BFB9">
        <f t="shared" si="12"/>
        <v>0</v>
      </c>
      <c r="BFC9">
        <f t="shared" si="12"/>
        <v>0</v>
      </c>
      <c r="BFD9">
        <f t="shared" si="12"/>
        <v>0</v>
      </c>
      <c r="BFE9">
        <f t="shared" si="12"/>
        <v>0</v>
      </c>
      <c r="BFF9">
        <f t="shared" si="12"/>
        <v>0</v>
      </c>
      <c r="BFG9">
        <f t="shared" si="12"/>
        <v>0</v>
      </c>
      <c r="BFH9">
        <f t="shared" si="12"/>
        <v>0</v>
      </c>
      <c r="BFI9">
        <f t="shared" si="12"/>
        <v>0</v>
      </c>
      <c r="BFJ9">
        <f t="shared" si="12"/>
        <v>0</v>
      </c>
      <c r="BFK9">
        <f t="shared" si="12"/>
        <v>0</v>
      </c>
      <c r="BFL9">
        <f t="shared" si="12"/>
        <v>12.5</v>
      </c>
      <c r="BFM9">
        <f t="shared" si="12"/>
        <v>12.5</v>
      </c>
      <c r="BFN9">
        <f t="shared" si="12"/>
        <v>12.5</v>
      </c>
      <c r="BFO9">
        <f t="shared" si="12"/>
        <v>25</v>
      </c>
      <c r="BFP9">
        <f t="shared" si="12"/>
        <v>25</v>
      </c>
      <c r="BFQ9">
        <f t="shared" si="12"/>
        <v>25</v>
      </c>
      <c r="BFR9">
        <f t="shared" si="12"/>
        <v>25</v>
      </c>
      <c r="BFS9">
        <f t="shared" si="12"/>
        <v>25</v>
      </c>
      <c r="BFT9">
        <f t="shared" si="12"/>
        <v>25</v>
      </c>
      <c r="BFU9">
        <f t="shared" si="12"/>
        <v>50</v>
      </c>
      <c r="BFV9">
        <f t="shared" si="12"/>
        <v>25</v>
      </c>
      <c r="BFW9">
        <f t="shared" si="12"/>
        <v>0</v>
      </c>
      <c r="BFX9">
        <f t="shared" si="12"/>
        <v>0</v>
      </c>
      <c r="BFY9">
        <f t="shared" si="12"/>
        <v>0</v>
      </c>
      <c r="BFZ9">
        <f t="shared" si="12"/>
        <v>0</v>
      </c>
      <c r="BGA9">
        <f t="shared" si="12"/>
        <v>0</v>
      </c>
      <c r="BGB9">
        <f t="shared" si="12"/>
        <v>0</v>
      </c>
      <c r="BGC9">
        <f t="shared" si="12"/>
        <v>0</v>
      </c>
      <c r="BGD9">
        <f t="shared" ref="BGD9:BGD29" si="46">AFB9</f>
        <v>0</v>
      </c>
      <c r="BGE9">
        <f t="shared" si="13"/>
        <v>0</v>
      </c>
      <c r="BGF9">
        <f t="shared" si="13"/>
        <v>0</v>
      </c>
      <c r="BGG9">
        <f t="shared" si="13"/>
        <v>0</v>
      </c>
      <c r="BGH9">
        <f t="shared" si="13"/>
        <v>12.5</v>
      </c>
      <c r="BGI9">
        <f t="shared" si="13"/>
        <v>12.5</v>
      </c>
      <c r="BGJ9">
        <f t="shared" si="13"/>
        <v>12.5</v>
      </c>
      <c r="BGK9">
        <f t="shared" si="13"/>
        <v>25</v>
      </c>
      <c r="BGL9">
        <f t="shared" si="13"/>
        <v>25</v>
      </c>
      <c r="BGM9">
        <f t="shared" si="13"/>
        <v>25</v>
      </c>
      <c r="BGN9">
        <f t="shared" si="13"/>
        <v>25</v>
      </c>
      <c r="BGO9">
        <f t="shared" si="13"/>
        <v>25</v>
      </c>
      <c r="BGP9">
        <f t="shared" si="13"/>
        <v>25</v>
      </c>
      <c r="BGQ9">
        <f t="shared" si="13"/>
        <v>50</v>
      </c>
      <c r="BGR9">
        <f t="shared" si="13"/>
        <v>25</v>
      </c>
      <c r="BGS9">
        <f t="shared" si="13"/>
        <v>0</v>
      </c>
      <c r="BGT9">
        <f t="shared" si="13"/>
        <v>0</v>
      </c>
      <c r="BGU9">
        <f t="shared" si="13"/>
        <v>0</v>
      </c>
      <c r="BGV9">
        <f t="shared" si="13"/>
        <v>0</v>
      </c>
      <c r="BGW9">
        <f t="shared" si="13"/>
        <v>0</v>
      </c>
      <c r="BGX9">
        <f t="shared" si="13"/>
        <v>0</v>
      </c>
      <c r="BGY9">
        <f t="shared" si="13"/>
        <v>0</v>
      </c>
      <c r="BGZ9">
        <f t="shared" si="13"/>
        <v>0</v>
      </c>
      <c r="BHA9">
        <f t="shared" si="13"/>
        <v>0</v>
      </c>
      <c r="BHB9">
        <f t="shared" si="13"/>
        <v>0</v>
      </c>
      <c r="BHC9">
        <f t="shared" si="13"/>
        <v>0</v>
      </c>
      <c r="BHD9">
        <f t="shared" si="13"/>
        <v>12.5</v>
      </c>
      <c r="BHE9">
        <f t="shared" si="13"/>
        <v>12.5</v>
      </c>
      <c r="BHF9">
        <f t="shared" si="13"/>
        <v>12.5</v>
      </c>
      <c r="BHG9">
        <f t="shared" si="13"/>
        <v>25</v>
      </c>
      <c r="BHH9">
        <f t="shared" si="13"/>
        <v>25</v>
      </c>
      <c r="BHI9">
        <f t="shared" si="13"/>
        <v>25</v>
      </c>
      <c r="BHJ9">
        <f t="shared" si="13"/>
        <v>25</v>
      </c>
      <c r="BHK9">
        <f t="shared" si="13"/>
        <v>25</v>
      </c>
      <c r="BHL9">
        <f t="shared" si="13"/>
        <v>25</v>
      </c>
      <c r="BHM9">
        <f t="shared" si="13"/>
        <v>50</v>
      </c>
      <c r="BHN9">
        <f t="shared" si="13"/>
        <v>25</v>
      </c>
      <c r="BHO9">
        <f t="shared" si="13"/>
        <v>0</v>
      </c>
      <c r="BHP9">
        <f t="shared" si="13"/>
        <v>0</v>
      </c>
      <c r="BHQ9">
        <f t="shared" si="13"/>
        <v>0</v>
      </c>
      <c r="BHR9">
        <f t="shared" si="13"/>
        <v>0</v>
      </c>
      <c r="BHS9">
        <f t="shared" si="13"/>
        <v>0</v>
      </c>
      <c r="BHT9">
        <f t="shared" si="13"/>
        <v>0</v>
      </c>
      <c r="BHU9">
        <f t="shared" si="13"/>
        <v>0</v>
      </c>
      <c r="BHV9">
        <f t="shared" si="13"/>
        <v>0</v>
      </c>
      <c r="BHW9">
        <f t="shared" si="13"/>
        <v>0</v>
      </c>
      <c r="BHX9">
        <f t="shared" si="13"/>
        <v>0</v>
      </c>
      <c r="BHY9">
        <f t="shared" si="13"/>
        <v>0</v>
      </c>
      <c r="BHZ9">
        <f t="shared" si="13"/>
        <v>12.5</v>
      </c>
      <c r="BIA9">
        <f t="shared" si="13"/>
        <v>12.5</v>
      </c>
      <c r="BIB9">
        <f t="shared" si="13"/>
        <v>12.5</v>
      </c>
      <c r="BIC9">
        <f t="shared" si="13"/>
        <v>25</v>
      </c>
      <c r="BID9">
        <f t="shared" si="13"/>
        <v>25</v>
      </c>
      <c r="BIE9">
        <f t="shared" si="13"/>
        <v>25</v>
      </c>
      <c r="BIF9">
        <f t="shared" si="13"/>
        <v>25</v>
      </c>
      <c r="BIG9">
        <f t="shared" si="13"/>
        <v>25</v>
      </c>
      <c r="BIH9">
        <f t="shared" si="13"/>
        <v>25</v>
      </c>
      <c r="BII9">
        <f t="shared" si="13"/>
        <v>50</v>
      </c>
      <c r="BIJ9">
        <f t="shared" si="13"/>
        <v>25</v>
      </c>
      <c r="BIK9">
        <f t="shared" si="13"/>
        <v>0</v>
      </c>
      <c r="BIL9">
        <f t="shared" si="13"/>
        <v>0</v>
      </c>
      <c r="BIM9">
        <f t="shared" si="13"/>
        <v>0</v>
      </c>
      <c r="BIN9">
        <f t="shared" si="13"/>
        <v>0</v>
      </c>
      <c r="BIO9">
        <f t="shared" si="13"/>
        <v>0</v>
      </c>
      <c r="BIP9">
        <f t="shared" ref="BIP9:BIP29" si="47">AHN9</f>
        <v>0</v>
      </c>
      <c r="BIQ9">
        <f t="shared" si="14"/>
        <v>0</v>
      </c>
      <c r="BIR9">
        <f t="shared" si="14"/>
        <v>0</v>
      </c>
      <c r="BIS9">
        <f t="shared" si="14"/>
        <v>0</v>
      </c>
      <c r="BIT9">
        <f t="shared" si="14"/>
        <v>0</v>
      </c>
      <c r="BIU9">
        <f t="shared" si="14"/>
        <v>0</v>
      </c>
      <c r="BIV9">
        <f t="shared" si="14"/>
        <v>12.5</v>
      </c>
      <c r="BIW9">
        <f t="shared" si="14"/>
        <v>12.5</v>
      </c>
      <c r="BIX9">
        <f t="shared" si="14"/>
        <v>12.5</v>
      </c>
      <c r="BIY9">
        <f t="shared" si="14"/>
        <v>25</v>
      </c>
      <c r="BIZ9">
        <f t="shared" si="14"/>
        <v>25</v>
      </c>
      <c r="BJA9">
        <f t="shared" si="14"/>
        <v>25</v>
      </c>
      <c r="BJB9">
        <f t="shared" si="14"/>
        <v>25</v>
      </c>
      <c r="BJC9">
        <f t="shared" si="14"/>
        <v>25</v>
      </c>
      <c r="BJD9">
        <f t="shared" si="14"/>
        <v>25</v>
      </c>
      <c r="BJE9">
        <f t="shared" si="14"/>
        <v>50</v>
      </c>
      <c r="BJF9">
        <f t="shared" si="14"/>
        <v>25</v>
      </c>
      <c r="BJG9">
        <f t="shared" si="14"/>
        <v>0</v>
      </c>
      <c r="BJH9">
        <f t="shared" si="14"/>
        <v>0</v>
      </c>
      <c r="BJI9">
        <f t="shared" si="14"/>
        <v>0</v>
      </c>
      <c r="BJJ9">
        <f t="shared" si="14"/>
        <v>0</v>
      </c>
      <c r="BJK9">
        <f t="shared" si="14"/>
        <v>0</v>
      </c>
      <c r="BJL9">
        <f t="shared" si="14"/>
        <v>0</v>
      </c>
      <c r="BJM9">
        <f t="shared" si="14"/>
        <v>0</v>
      </c>
      <c r="BJN9">
        <f t="shared" si="14"/>
        <v>0</v>
      </c>
      <c r="BJO9">
        <f t="shared" si="14"/>
        <v>0</v>
      </c>
      <c r="BJP9">
        <f t="shared" si="14"/>
        <v>0</v>
      </c>
      <c r="BJQ9">
        <f t="shared" si="14"/>
        <v>0</v>
      </c>
      <c r="BJR9">
        <f t="shared" si="14"/>
        <v>12.5</v>
      </c>
      <c r="BJS9">
        <f t="shared" si="14"/>
        <v>12.5</v>
      </c>
      <c r="BJT9">
        <f t="shared" si="14"/>
        <v>12.5</v>
      </c>
      <c r="BJU9">
        <f t="shared" si="14"/>
        <v>25</v>
      </c>
      <c r="BJV9">
        <f t="shared" si="14"/>
        <v>25</v>
      </c>
      <c r="BJW9">
        <f t="shared" si="14"/>
        <v>25</v>
      </c>
      <c r="BJX9">
        <f t="shared" si="14"/>
        <v>25</v>
      </c>
      <c r="BJY9">
        <f t="shared" si="14"/>
        <v>25</v>
      </c>
      <c r="BJZ9">
        <f t="shared" si="14"/>
        <v>25</v>
      </c>
      <c r="BKA9">
        <f t="shared" si="14"/>
        <v>50</v>
      </c>
      <c r="BKB9">
        <f t="shared" si="14"/>
        <v>25</v>
      </c>
      <c r="BKC9">
        <f t="shared" si="14"/>
        <v>0</v>
      </c>
      <c r="BKD9">
        <f t="shared" si="14"/>
        <v>0</v>
      </c>
      <c r="BKE9">
        <f t="shared" si="14"/>
        <v>0</v>
      </c>
      <c r="BKF9">
        <f t="shared" si="14"/>
        <v>0</v>
      </c>
      <c r="BKG9">
        <f t="shared" si="14"/>
        <v>0</v>
      </c>
      <c r="BKH9">
        <f t="shared" si="14"/>
        <v>0</v>
      </c>
      <c r="BKI9">
        <f t="shared" si="14"/>
        <v>0</v>
      </c>
      <c r="BKJ9">
        <f t="shared" si="14"/>
        <v>0</v>
      </c>
      <c r="BKK9">
        <f t="shared" si="14"/>
        <v>0</v>
      </c>
      <c r="BKL9">
        <f t="shared" si="14"/>
        <v>0</v>
      </c>
      <c r="BKM9">
        <f t="shared" si="14"/>
        <v>0</v>
      </c>
      <c r="BKN9">
        <f t="shared" si="14"/>
        <v>12.5</v>
      </c>
      <c r="BKO9">
        <f t="shared" si="14"/>
        <v>12.5</v>
      </c>
      <c r="BKP9">
        <f t="shared" si="14"/>
        <v>12.5</v>
      </c>
      <c r="BKQ9">
        <f t="shared" si="14"/>
        <v>25</v>
      </c>
      <c r="BKR9">
        <f t="shared" si="14"/>
        <v>25</v>
      </c>
      <c r="BKS9">
        <f t="shared" si="14"/>
        <v>25</v>
      </c>
      <c r="BKT9">
        <f t="shared" si="14"/>
        <v>25</v>
      </c>
      <c r="BKU9">
        <f t="shared" si="14"/>
        <v>25</v>
      </c>
      <c r="BKV9">
        <f t="shared" si="14"/>
        <v>25</v>
      </c>
      <c r="BKW9">
        <f t="shared" si="14"/>
        <v>50</v>
      </c>
      <c r="BKX9">
        <f t="shared" si="14"/>
        <v>25</v>
      </c>
      <c r="BKY9">
        <f t="shared" si="14"/>
        <v>0</v>
      </c>
      <c r="BKZ9">
        <f t="shared" si="14"/>
        <v>0</v>
      </c>
      <c r="BLA9">
        <f t="shared" si="14"/>
        <v>0</v>
      </c>
      <c r="BLB9">
        <f t="shared" ref="BLB9:BLB29" si="48">AJZ9</f>
        <v>0</v>
      </c>
      <c r="BLC9">
        <f t="shared" si="15"/>
        <v>0</v>
      </c>
      <c r="BLD9">
        <f t="shared" si="15"/>
        <v>0</v>
      </c>
      <c r="BLE9">
        <f t="shared" si="15"/>
        <v>0</v>
      </c>
      <c r="BLF9">
        <f t="shared" si="15"/>
        <v>0</v>
      </c>
      <c r="BLG9">
        <f t="shared" si="15"/>
        <v>0</v>
      </c>
      <c r="BLH9">
        <f t="shared" si="15"/>
        <v>0</v>
      </c>
      <c r="BLI9">
        <f t="shared" si="15"/>
        <v>0</v>
      </c>
      <c r="BLJ9">
        <f t="shared" si="15"/>
        <v>12.5</v>
      </c>
      <c r="BLK9">
        <f t="shared" si="15"/>
        <v>12.5</v>
      </c>
      <c r="BLL9">
        <f t="shared" si="15"/>
        <v>12.5</v>
      </c>
      <c r="BLM9">
        <f t="shared" si="15"/>
        <v>25</v>
      </c>
      <c r="BLN9">
        <f t="shared" si="15"/>
        <v>25</v>
      </c>
      <c r="BLO9">
        <f t="shared" si="15"/>
        <v>25</v>
      </c>
      <c r="BLP9">
        <f t="shared" si="15"/>
        <v>25</v>
      </c>
      <c r="BLQ9">
        <f t="shared" si="15"/>
        <v>25</v>
      </c>
      <c r="BLR9">
        <f t="shared" si="15"/>
        <v>25</v>
      </c>
      <c r="BLS9">
        <f t="shared" si="15"/>
        <v>50</v>
      </c>
      <c r="BLT9">
        <f t="shared" si="15"/>
        <v>25</v>
      </c>
      <c r="BLU9">
        <f t="shared" si="15"/>
        <v>0</v>
      </c>
      <c r="BLV9">
        <f t="shared" si="15"/>
        <v>0</v>
      </c>
      <c r="BLW9">
        <f t="shared" si="15"/>
        <v>0</v>
      </c>
      <c r="BLX9">
        <f t="shared" si="15"/>
        <v>0</v>
      </c>
      <c r="BLY9">
        <f t="shared" si="15"/>
        <v>0</v>
      </c>
      <c r="BLZ9">
        <f t="shared" si="15"/>
        <v>0</v>
      </c>
      <c r="BMA9">
        <f t="shared" si="15"/>
        <v>0</v>
      </c>
      <c r="BMB9">
        <f t="shared" si="15"/>
        <v>0</v>
      </c>
      <c r="BMC9">
        <f t="shared" si="15"/>
        <v>0</v>
      </c>
      <c r="BMD9">
        <f t="shared" si="15"/>
        <v>0</v>
      </c>
      <c r="BME9">
        <f t="shared" si="15"/>
        <v>0</v>
      </c>
      <c r="BMF9">
        <f t="shared" si="15"/>
        <v>12.5</v>
      </c>
      <c r="BMG9">
        <f t="shared" si="15"/>
        <v>12.5</v>
      </c>
      <c r="BMH9">
        <f t="shared" si="15"/>
        <v>12.5</v>
      </c>
      <c r="BMI9">
        <f t="shared" si="15"/>
        <v>25</v>
      </c>
      <c r="BMJ9">
        <f t="shared" si="15"/>
        <v>25</v>
      </c>
      <c r="BMK9">
        <f t="shared" si="15"/>
        <v>25</v>
      </c>
      <c r="BML9">
        <f t="shared" si="15"/>
        <v>25</v>
      </c>
      <c r="BMM9">
        <f t="shared" si="15"/>
        <v>25</v>
      </c>
      <c r="BMN9">
        <f t="shared" si="15"/>
        <v>25</v>
      </c>
      <c r="BMO9">
        <f t="shared" si="15"/>
        <v>50</v>
      </c>
      <c r="BMP9">
        <f t="shared" si="15"/>
        <v>25</v>
      </c>
      <c r="BMQ9">
        <f t="shared" si="15"/>
        <v>0</v>
      </c>
      <c r="BMR9">
        <f t="shared" si="15"/>
        <v>0</v>
      </c>
      <c r="BMS9">
        <f t="shared" si="15"/>
        <v>0</v>
      </c>
      <c r="BMT9">
        <f t="shared" si="15"/>
        <v>0</v>
      </c>
      <c r="BMU9">
        <f t="shared" si="15"/>
        <v>0</v>
      </c>
      <c r="BMV9">
        <f t="shared" si="15"/>
        <v>0</v>
      </c>
      <c r="BMW9">
        <f t="shared" si="15"/>
        <v>0</v>
      </c>
      <c r="BMX9">
        <f t="shared" si="15"/>
        <v>0</v>
      </c>
      <c r="BMY9">
        <f t="shared" si="15"/>
        <v>0</v>
      </c>
      <c r="BMZ9">
        <f t="shared" si="15"/>
        <v>0</v>
      </c>
      <c r="BNA9">
        <f t="shared" si="15"/>
        <v>0</v>
      </c>
      <c r="BNB9">
        <f t="shared" si="15"/>
        <v>12.5</v>
      </c>
      <c r="BNC9">
        <f t="shared" si="15"/>
        <v>12.5</v>
      </c>
      <c r="BND9">
        <f t="shared" si="15"/>
        <v>12.5</v>
      </c>
      <c r="BNE9">
        <f t="shared" si="15"/>
        <v>25</v>
      </c>
      <c r="BNF9">
        <f t="shared" si="15"/>
        <v>25</v>
      </c>
      <c r="BNG9">
        <f t="shared" si="15"/>
        <v>25</v>
      </c>
      <c r="BNH9">
        <f t="shared" si="15"/>
        <v>25</v>
      </c>
      <c r="BNI9">
        <f t="shared" si="15"/>
        <v>25</v>
      </c>
      <c r="BNJ9">
        <f t="shared" si="15"/>
        <v>25</v>
      </c>
      <c r="BNK9">
        <f t="shared" si="15"/>
        <v>50</v>
      </c>
      <c r="BNL9">
        <f t="shared" si="15"/>
        <v>25</v>
      </c>
      <c r="BNM9">
        <f t="shared" si="15"/>
        <v>0</v>
      </c>
      <c r="BNN9">
        <f t="shared" ref="BNN9:BNN29" si="49">AML9</f>
        <v>0</v>
      </c>
      <c r="BNO9">
        <f t="shared" si="16"/>
        <v>0</v>
      </c>
      <c r="BNP9">
        <f t="shared" si="16"/>
        <v>0</v>
      </c>
      <c r="BNQ9">
        <f t="shared" si="16"/>
        <v>0</v>
      </c>
      <c r="BNR9">
        <f t="shared" si="16"/>
        <v>0</v>
      </c>
      <c r="BNS9">
        <f t="shared" si="16"/>
        <v>0</v>
      </c>
      <c r="BNT9">
        <f t="shared" si="16"/>
        <v>0</v>
      </c>
      <c r="BNU9">
        <f t="shared" si="16"/>
        <v>0</v>
      </c>
      <c r="BNV9">
        <f t="shared" si="16"/>
        <v>0</v>
      </c>
      <c r="BNW9">
        <f t="shared" si="16"/>
        <v>0</v>
      </c>
      <c r="BNX9">
        <f t="shared" si="16"/>
        <v>12.5</v>
      </c>
      <c r="BNY9">
        <f t="shared" si="16"/>
        <v>12.5</v>
      </c>
      <c r="BNZ9">
        <f t="shared" si="16"/>
        <v>12.5</v>
      </c>
      <c r="BOA9">
        <f t="shared" si="16"/>
        <v>25</v>
      </c>
      <c r="BOB9">
        <f t="shared" si="16"/>
        <v>25</v>
      </c>
      <c r="BOC9">
        <f t="shared" si="16"/>
        <v>25</v>
      </c>
      <c r="BOD9">
        <f t="shared" si="16"/>
        <v>25</v>
      </c>
      <c r="BOE9">
        <f t="shared" si="16"/>
        <v>25</v>
      </c>
      <c r="BOF9">
        <f t="shared" si="16"/>
        <v>25</v>
      </c>
      <c r="BOG9">
        <f t="shared" si="16"/>
        <v>50</v>
      </c>
      <c r="BOH9">
        <f t="shared" si="16"/>
        <v>25</v>
      </c>
      <c r="BOI9">
        <f t="shared" si="16"/>
        <v>0</v>
      </c>
      <c r="BOJ9">
        <f t="shared" si="16"/>
        <v>0</v>
      </c>
      <c r="BOK9">
        <f t="shared" si="16"/>
        <v>0</v>
      </c>
      <c r="BOL9">
        <f t="shared" si="16"/>
        <v>0</v>
      </c>
      <c r="BOM9">
        <f t="shared" si="16"/>
        <v>0</v>
      </c>
      <c r="BON9">
        <f t="shared" si="16"/>
        <v>0</v>
      </c>
      <c r="BOO9">
        <f t="shared" si="16"/>
        <v>0</v>
      </c>
      <c r="BOP9">
        <f t="shared" si="16"/>
        <v>0</v>
      </c>
      <c r="BOQ9">
        <f t="shared" si="16"/>
        <v>0</v>
      </c>
      <c r="BOR9">
        <f t="shared" si="16"/>
        <v>0</v>
      </c>
      <c r="BOS9">
        <f t="shared" si="16"/>
        <v>0</v>
      </c>
      <c r="BOT9">
        <f t="shared" si="16"/>
        <v>12.5</v>
      </c>
      <c r="BOU9">
        <f t="shared" si="16"/>
        <v>12.5</v>
      </c>
      <c r="BOV9">
        <f t="shared" si="16"/>
        <v>12.5</v>
      </c>
      <c r="BOW9">
        <f t="shared" si="16"/>
        <v>25</v>
      </c>
      <c r="BOX9">
        <f t="shared" si="16"/>
        <v>25</v>
      </c>
      <c r="BOY9">
        <f t="shared" si="16"/>
        <v>25</v>
      </c>
      <c r="BOZ9">
        <f t="shared" si="16"/>
        <v>25</v>
      </c>
      <c r="BPA9">
        <f t="shared" si="16"/>
        <v>25</v>
      </c>
      <c r="BPB9">
        <f t="shared" si="16"/>
        <v>25</v>
      </c>
      <c r="BPC9">
        <f t="shared" si="16"/>
        <v>50</v>
      </c>
      <c r="BPD9">
        <f t="shared" si="16"/>
        <v>25</v>
      </c>
      <c r="BPE9">
        <f t="shared" si="16"/>
        <v>0</v>
      </c>
      <c r="BPF9">
        <f t="shared" si="16"/>
        <v>0</v>
      </c>
      <c r="BPG9">
        <f t="shared" si="16"/>
        <v>0</v>
      </c>
      <c r="BPH9">
        <f t="shared" si="16"/>
        <v>0</v>
      </c>
      <c r="BPI9">
        <f t="shared" si="16"/>
        <v>0</v>
      </c>
      <c r="BPJ9">
        <f t="shared" si="16"/>
        <v>0</v>
      </c>
      <c r="BPK9">
        <f t="shared" si="16"/>
        <v>0</v>
      </c>
      <c r="BPL9">
        <f t="shared" si="16"/>
        <v>0</v>
      </c>
      <c r="BPM9">
        <f t="shared" si="16"/>
        <v>0</v>
      </c>
      <c r="BPN9">
        <f t="shared" si="16"/>
        <v>0</v>
      </c>
      <c r="BPO9">
        <f t="shared" si="16"/>
        <v>0</v>
      </c>
      <c r="BPP9">
        <f t="shared" si="16"/>
        <v>12.5</v>
      </c>
      <c r="BPQ9">
        <f t="shared" si="16"/>
        <v>12.5</v>
      </c>
      <c r="BPR9">
        <f t="shared" si="16"/>
        <v>12.5</v>
      </c>
      <c r="BPS9">
        <f t="shared" si="16"/>
        <v>25</v>
      </c>
      <c r="BPT9">
        <f t="shared" si="16"/>
        <v>25</v>
      </c>
      <c r="BPU9">
        <f t="shared" si="16"/>
        <v>25</v>
      </c>
      <c r="BPV9">
        <f t="shared" si="16"/>
        <v>25</v>
      </c>
      <c r="BPW9">
        <f t="shared" si="16"/>
        <v>25</v>
      </c>
      <c r="BPX9">
        <f t="shared" si="16"/>
        <v>25</v>
      </c>
      <c r="BPY9">
        <f t="shared" si="16"/>
        <v>50</v>
      </c>
      <c r="BPZ9">
        <f t="shared" ref="BPZ9:BPZ29" si="50">AOX9</f>
        <v>25</v>
      </c>
      <c r="BQA9">
        <f t="shared" si="17"/>
        <v>0</v>
      </c>
      <c r="BQB9">
        <f t="shared" si="17"/>
        <v>0</v>
      </c>
      <c r="BQC9">
        <f t="shared" si="17"/>
        <v>0</v>
      </c>
      <c r="BQD9">
        <f t="shared" si="17"/>
        <v>0</v>
      </c>
      <c r="BQE9">
        <f t="shared" si="17"/>
        <v>0</v>
      </c>
      <c r="BQF9">
        <f t="shared" si="17"/>
        <v>0</v>
      </c>
      <c r="BQG9">
        <f t="shared" si="17"/>
        <v>0</v>
      </c>
      <c r="BQH9">
        <f t="shared" si="17"/>
        <v>0</v>
      </c>
      <c r="BQI9">
        <f t="shared" si="17"/>
        <v>0</v>
      </c>
      <c r="BQJ9">
        <f t="shared" si="17"/>
        <v>0</v>
      </c>
      <c r="BQK9">
        <f t="shared" si="17"/>
        <v>0</v>
      </c>
      <c r="BQL9">
        <f t="shared" si="17"/>
        <v>12.5</v>
      </c>
      <c r="BQM9">
        <f t="shared" si="17"/>
        <v>12.5</v>
      </c>
      <c r="BQN9">
        <f t="shared" si="17"/>
        <v>12.5</v>
      </c>
      <c r="BQO9">
        <f t="shared" si="17"/>
        <v>25</v>
      </c>
      <c r="BQP9">
        <f t="shared" si="17"/>
        <v>25</v>
      </c>
      <c r="BQQ9">
        <f t="shared" si="17"/>
        <v>25</v>
      </c>
      <c r="BQR9">
        <f t="shared" si="17"/>
        <v>25</v>
      </c>
      <c r="BQS9">
        <f t="shared" si="17"/>
        <v>25</v>
      </c>
      <c r="BQT9">
        <f t="shared" si="17"/>
        <v>25</v>
      </c>
      <c r="BQU9">
        <f t="shared" si="17"/>
        <v>50</v>
      </c>
      <c r="BQV9">
        <f t="shared" si="17"/>
        <v>25</v>
      </c>
      <c r="BQW9">
        <f t="shared" si="17"/>
        <v>0</v>
      </c>
      <c r="BQX9">
        <f t="shared" si="17"/>
        <v>0</v>
      </c>
      <c r="BQY9">
        <f t="shared" si="17"/>
        <v>0</v>
      </c>
      <c r="BQZ9">
        <f t="shared" si="17"/>
        <v>0</v>
      </c>
      <c r="BRA9">
        <f t="shared" si="17"/>
        <v>0</v>
      </c>
      <c r="BRB9">
        <f t="shared" si="17"/>
        <v>0</v>
      </c>
      <c r="BRC9">
        <f t="shared" si="17"/>
        <v>0</v>
      </c>
      <c r="BRD9">
        <f t="shared" si="17"/>
        <v>0</v>
      </c>
      <c r="BRE9">
        <f t="shared" si="17"/>
        <v>0</v>
      </c>
      <c r="BRF9">
        <f t="shared" si="17"/>
        <v>0</v>
      </c>
      <c r="BRG9">
        <f t="shared" si="17"/>
        <v>0</v>
      </c>
      <c r="BRH9">
        <f t="shared" si="17"/>
        <v>12.5</v>
      </c>
      <c r="BRI9">
        <f t="shared" si="17"/>
        <v>12.5</v>
      </c>
      <c r="BRJ9">
        <f t="shared" si="17"/>
        <v>12.5</v>
      </c>
      <c r="BRK9">
        <f t="shared" si="17"/>
        <v>25</v>
      </c>
      <c r="BRL9">
        <f t="shared" si="17"/>
        <v>25</v>
      </c>
      <c r="BRM9">
        <f t="shared" si="17"/>
        <v>25</v>
      </c>
      <c r="BRN9">
        <f t="shared" si="17"/>
        <v>25</v>
      </c>
      <c r="BRO9">
        <f t="shared" si="17"/>
        <v>25</v>
      </c>
      <c r="BRP9">
        <f t="shared" si="17"/>
        <v>25</v>
      </c>
      <c r="BRQ9">
        <f t="shared" si="17"/>
        <v>50</v>
      </c>
      <c r="BRR9">
        <f t="shared" si="17"/>
        <v>25</v>
      </c>
      <c r="BRS9">
        <f t="shared" si="17"/>
        <v>0</v>
      </c>
      <c r="BRT9">
        <f t="shared" si="17"/>
        <v>0</v>
      </c>
      <c r="BRU9">
        <f t="shared" si="17"/>
        <v>0</v>
      </c>
      <c r="BRV9">
        <f t="shared" si="17"/>
        <v>0</v>
      </c>
      <c r="BRW9">
        <f t="shared" si="17"/>
        <v>0</v>
      </c>
      <c r="BRX9">
        <f t="shared" si="17"/>
        <v>0</v>
      </c>
      <c r="BRY9">
        <f t="shared" si="17"/>
        <v>0</v>
      </c>
      <c r="BRZ9">
        <f t="shared" si="17"/>
        <v>0</v>
      </c>
      <c r="BSA9">
        <f t="shared" si="17"/>
        <v>0</v>
      </c>
      <c r="BSB9">
        <f t="shared" si="17"/>
        <v>0</v>
      </c>
      <c r="BSC9">
        <f t="shared" si="17"/>
        <v>0</v>
      </c>
      <c r="BSD9">
        <f t="shared" si="17"/>
        <v>12.5</v>
      </c>
      <c r="BSE9">
        <f t="shared" si="17"/>
        <v>12.5</v>
      </c>
      <c r="BSF9">
        <f t="shared" si="17"/>
        <v>12.5</v>
      </c>
      <c r="BSG9">
        <f t="shared" si="17"/>
        <v>25</v>
      </c>
      <c r="BSH9">
        <f t="shared" si="17"/>
        <v>25</v>
      </c>
      <c r="BSI9">
        <f t="shared" si="17"/>
        <v>25</v>
      </c>
      <c r="BSJ9">
        <f t="shared" si="17"/>
        <v>25</v>
      </c>
      <c r="BSK9">
        <f t="shared" si="17"/>
        <v>25</v>
      </c>
      <c r="BSL9">
        <f t="shared" ref="BSL9:BSL29" si="51">ARJ9</f>
        <v>25</v>
      </c>
      <c r="BSM9">
        <f t="shared" si="18"/>
        <v>50</v>
      </c>
      <c r="BSN9">
        <f t="shared" si="18"/>
        <v>25</v>
      </c>
      <c r="BSO9">
        <f t="shared" si="18"/>
        <v>0</v>
      </c>
      <c r="BSP9">
        <f t="shared" si="18"/>
        <v>0</v>
      </c>
      <c r="BSQ9">
        <f t="shared" si="18"/>
        <v>0</v>
      </c>
      <c r="BSR9">
        <f t="shared" si="18"/>
        <v>0</v>
      </c>
      <c r="BSS9">
        <f t="shared" si="18"/>
        <v>0</v>
      </c>
      <c r="BST9">
        <f t="shared" si="18"/>
        <v>0</v>
      </c>
      <c r="BSU9">
        <f t="shared" si="18"/>
        <v>0</v>
      </c>
      <c r="BSV9">
        <f t="shared" si="18"/>
        <v>0</v>
      </c>
      <c r="BSW9">
        <f t="shared" si="18"/>
        <v>0</v>
      </c>
      <c r="BSX9">
        <f t="shared" si="18"/>
        <v>0</v>
      </c>
      <c r="BSY9">
        <f t="shared" si="18"/>
        <v>0</v>
      </c>
      <c r="BSZ9">
        <f t="shared" si="18"/>
        <v>12.5</v>
      </c>
      <c r="BTA9">
        <f t="shared" si="18"/>
        <v>12.5</v>
      </c>
      <c r="BTB9">
        <f t="shared" si="18"/>
        <v>12.5</v>
      </c>
      <c r="BTC9">
        <f t="shared" si="18"/>
        <v>25</v>
      </c>
      <c r="BTD9">
        <f t="shared" si="18"/>
        <v>25</v>
      </c>
      <c r="BTE9">
        <f t="shared" si="18"/>
        <v>25</v>
      </c>
      <c r="BTF9">
        <f t="shared" si="18"/>
        <v>25</v>
      </c>
      <c r="BTG9">
        <f t="shared" si="18"/>
        <v>25</v>
      </c>
      <c r="BTH9">
        <f t="shared" si="18"/>
        <v>25</v>
      </c>
      <c r="BTI9">
        <f t="shared" si="18"/>
        <v>50</v>
      </c>
      <c r="BTJ9">
        <f t="shared" si="18"/>
        <v>25</v>
      </c>
      <c r="BTK9">
        <f t="shared" si="18"/>
        <v>0</v>
      </c>
      <c r="BTL9">
        <f t="shared" si="18"/>
        <v>0</v>
      </c>
      <c r="BTM9">
        <f t="shared" si="18"/>
        <v>0</v>
      </c>
      <c r="BTN9">
        <f t="shared" si="18"/>
        <v>0</v>
      </c>
      <c r="BTO9">
        <f t="shared" si="18"/>
        <v>0</v>
      </c>
      <c r="BTP9">
        <f t="shared" si="18"/>
        <v>0</v>
      </c>
      <c r="BTQ9">
        <f t="shared" si="18"/>
        <v>0</v>
      </c>
      <c r="BTR9">
        <f t="shared" si="18"/>
        <v>0</v>
      </c>
      <c r="BTS9">
        <f t="shared" si="18"/>
        <v>0</v>
      </c>
      <c r="BTT9">
        <f t="shared" si="18"/>
        <v>0</v>
      </c>
      <c r="BTU9">
        <f t="shared" si="18"/>
        <v>0</v>
      </c>
      <c r="BTV9">
        <f t="shared" si="18"/>
        <v>12.5</v>
      </c>
      <c r="BTW9">
        <f t="shared" si="18"/>
        <v>12.5</v>
      </c>
      <c r="BTX9">
        <f t="shared" si="18"/>
        <v>12.5</v>
      </c>
      <c r="BTY9">
        <f t="shared" si="18"/>
        <v>25</v>
      </c>
      <c r="BTZ9">
        <f t="shared" si="18"/>
        <v>25</v>
      </c>
      <c r="BUA9">
        <f t="shared" si="18"/>
        <v>25</v>
      </c>
      <c r="BUB9">
        <f t="shared" si="18"/>
        <v>25</v>
      </c>
      <c r="BUC9">
        <f t="shared" si="18"/>
        <v>25</v>
      </c>
      <c r="BUD9">
        <f t="shared" si="18"/>
        <v>25</v>
      </c>
      <c r="BUE9">
        <f t="shared" si="18"/>
        <v>50</v>
      </c>
      <c r="BUF9">
        <f t="shared" si="18"/>
        <v>25</v>
      </c>
      <c r="BUG9">
        <f t="shared" si="18"/>
        <v>0</v>
      </c>
      <c r="BUH9">
        <f t="shared" si="18"/>
        <v>0</v>
      </c>
      <c r="BUI9">
        <f t="shared" si="18"/>
        <v>0</v>
      </c>
      <c r="BUJ9">
        <f t="shared" si="18"/>
        <v>0</v>
      </c>
      <c r="BUK9">
        <f t="shared" si="18"/>
        <v>0</v>
      </c>
      <c r="BUL9">
        <f t="shared" si="18"/>
        <v>0</v>
      </c>
      <c r="BUM9">
        <f t="shared" si="18"/>
        <v>0</v>
      </c>
      <c r="BUN9">
        <f t="shared" si="18"/>
        <v>0</v>
      </c>
      <c r="BUO9">
        <f t="shared" si="18"/>
        <v>0</v>
      </c>
      <c r="BUP9">
        <f t="shared" si="18"/>
        <v>0</v>
      </c>
      <c r="BUQ9">
        <f t="shared" si="18"/>
        <v>0</v>
      </c>
      <c r="BUR9">
        <f t="shared" si="18"/>
        <v>12.5</v>
      </c>
      <c r="BUS9">
        <f t="shared" si="18"/>
        <v>12.5</v>
      </c>
      <c r="BUT9">
        <f t="shared" si="18"/>
        <v>12.5</v>
      </c>
      <c r="BUU9">
        <f t="shared" si="18"/>
        <v>25</v>
      </c>
      <c r="BUV9">
        <f t="shared" si="18"/>
        <v>25</v>
      </c>
      <c r="BUW9">
        <f t="shared" si="18"/>
        <v>25</v>
      </c>
      <c r="BUX9">
        <f t="shared" ref="BUX9:BUX29" si="52">ATV9</f>
        <v>25</v>
      </c>
      <c r="BUY9">
        <f t="shared" si="19"/>
        <v>25</v>
      </c>
      <c r="BUZ9">
        <f t="shared" si="19"/>
        <v>25</v>
      </c>
      <c r="BVA9">
        <f t="shared" si="19"/>
        <v>50</v>
      </c>
      <c r="BVB9">
        <f t="shared" si="19"/>
        <v>25</v>
      </c>
      <c r="BVC9">
        <f t="shared" si="19"/>
        <v>0</v>
      </c>
      <c r="BVD9">
        <f t="shared" si="19"/>
        <v>0</v>
      </c>
      <c r="BVE9">
        <f t="shared" si="19"/>
        <v>0</v>
      </c>
      <c r="BVF9">
        <f t="shared" si="19"/>
        <v>0</v>
      </c>
      <c r="BVG9">
        <f t="shared" si="19"/>
        <v>0</v>
      </c>
      <c r="BVH9">
        <f t="shared" si="19"/>
        <v>0</v>
      </c>
      <c r="BVI9">
        <f t="shared" si="19"/>
        <v>0</v>
      </c>
      <c r="BVJ9">
        <f t="shared" si="19"/>
        <v>0</v>
      </c>
      <c r="BVK9">
        <f t="shared" si="19"/>
        <v>0</v>
      </c>
      <c r="BVL9">
        <f t="shared" si="19"/>
        <v>0</v>
      </c>
      <c r="BVM9">
        <f t="shared" si="19"/>
        <v>0</v>
      </c>
      <c r="BVN9">
        <f t="shared" si="19"/>
        <v>12.5</v>
      </c>
      <c r="BVO9">
        <f t="shared" si="19"/>
        <v>12.5</v>
      </c>
      <c r="BVP9">
        <f t="shared" si="19"/>
        <v>12.5</v>
      </c>
      <c r="BVQ9">
        <f t="shared" si="19"/>
        <v>25</v>
      </c>
      <c r="BVR9">
        <f t="shared" si="19"/>
        <v>25</v>
      </c>
      <c r="BVS9">
        <f t="shared" si="19"/>
        <v>25</v>
      </c>
      <c r="BVT9">
        <f t="shared" si="19"/>
        <v>25</v>
      </c>
      <c r="BVU9">
        <f t="shared" si="19"/>
        <v>25</v>
      </c>
      <c r="BVV9">
        <f t="shared" si="19"/>
        <v>25</v>
      </c>
      <c r="BVW9">
        <f t="shared" si="19"/>
        <v>50</v>
      </c>
      <c r="BVX9">
        <f t="shared" si="19"/>
        <v>25</v>
      </c>
      <c r="BVY9">
        <f t="shared" si="19"/>
        <v>0</v>
      </c>
      <c r="BVZ9">
        <f t="shared" si="19"/>
        <v>0</v>
      </c>
      <c r="BWA9">
        <f t="shared" si="19"/>
        <v>0</v>
      </c>
      <c r="BWB9">
        <f t="shared" si="19"/>
        <v>0</v>
      </c>
      <c r="BWC9">
        <f t="shared" si="19"/>
        <v>0</v>
      </c>
      <c r="BWD9">
        <f t="shared" si="19"/>
        <v>0</v>
      </c>
      <c r="BWE9">
        <f t="shared" si="19"/>
        <v>0</v>
      </c>
      <c r="BWF9">
        <f t="shared" si="19"/>
        <v>0</v>
      </c>
      <c r="BWG9">
        <f t="shared" si="19"/>
        <v>0</v>
      </c>
      <c r="BWH9">
        <f t="shared" si="19"/>
        <v>0</v>
      </c>
      <c r="BWI9">
        <f t="shared" si="19"/>
        <v>0</v>
      </c>
      <c r="BWJ9">
        <f t="shared" si="19"/>
        <v>12.5</v>
      </c>
      <c r="BWK9">
        <f t="shared" si="19"/>
        <v>12.5</v>
      </c>
      <c r="BWL9">
        <f t="shared" si="19"/>
        <v>12.5</v>
      </c>
      <c r="BWM9">
        <f t="shared" si="19"/>
        <v>25</v>
      </c>
      <c r="BWN9">
        <f t="shared" si="19"/>
        <v>25</v>
      </c>
      <c r="BWO9">
        <f t="shared" si="19"/>
        <v>25</v>
      </c>
      <c r="BWP9">
        <f t="shared" si="19"/>
        <v>25</v>
      </c>
      <c r="BWQ9">
        <f t="shared" si="19"/>
        <v>25</v>
      </c>
      <c r="BWR9">
        <f t="shared" si="19"/>
        <v>25</v>
      </c>
      <c r="BWS9">
        <f t="shared" si="19"/>
        <v>50</v>
      </c>
      <c r="BWT9">
        <f t="shared" si="19"/>
        <v>25</v>
      </c>
      <c r="BWU9">
        <f t="shared" si="19"/>
        <v>0</v>
      </c>
      <c r="BWV9">
        <f t="shared" si="19"/>
        <v>0</v>
      </c>
      <c r="BWW9">
        <f t="shared" si="19"/>
        <v>0</v>
      </c>
      <c r="BWX9">
        <f t="shared" si="19"/>
        <v>0</v>
      </c>
      <c r="BWY9">
        <f t="shared" si="19"/>
        <v>0</v>
      </c>
      <c r="BWZ9">
        <f t="shared" si="19"/>
        <v>0</v>
      </c>
      <c r="BXA9">
        <f t="shared" si="19"/>
        <v>0</v>
      </c>
      <c r="BXB9">
        <f t="shared" si="19"/>
        <v>0</v>
      </c>
      <c r="BXC9">
        <f t="shared" si="19"/>
        <v>0</v>
      </c>
      <c r="BXD9">
        <f t="shared" si="19"/>
        <v>0</v>
      </c>
      <c r="BXE9">
        <f t="shared" si="19"/>
        <v>0</v>
      </c>
      <c r="BXF9">
        <f t="shared" si="19"/>
        <v>12.5</v>
      </c>
      <c r="BXG9">
        <f t="shared" si="19"/>
        <v>12.5</v>
      </c>
      <c r="BXH9">
        <f t="shared" si="19"/>
        <v>12.5</v>
      </c>
      <c r="BXI9">
        <f t="shared" si="19"/>
        <v>25</v>
      </c>
      <c r="BXJ9">
        <f t="shared" ref="BXJ9:BXJ29" si="53">AWH9</f>
        <v>25</v>
      </c>
      <c r="BXK9">
        <f t="shared" si="20"/>
        <v>25</v>
      </c>
      <c r="BXL9">
        <f t="shared" si="20"/>
        <v>25</v>
      </c>
      <c r="BXM9">
        <f t="shared" si="20"/>
        <v>25</v>
      </c>
      <c r="BXN9">
        <f t="shared" si="20"/>
        <v>25</v>
      </c>
      <c r="BXO9">
        <f t="shared" si="20"/>
        <v>50</v>
      </c>
      <c r="BXP9">
        <f t="shared" si="20"/>
        <v>25</v>
      </c>
      <c r="BXQ9">
        <f t="shared" si="20"/>
        <v>0</v>
      </c>
      <c r="BXR9">
        <f t="shared" si="20"/>
        <v>0</v>
      </c>
      <c r="BXS9">
        <f t="shared" si="20"/>
        <v>0</v>
      </c>
      <c r="BXT9">
        <f t="shared" si="20"/>
        <v>0</v>
      </c>
      <c r="BXU9">
        <f t="shared" si="20"/>
        <v>0</v>
      </c>
      <c r="BXV9">
        <f t="shared" si="20"/>
        <v>0</v>
      </c>
      <c r="BXW9">
        <f t="shared" si="20"/>
        <v>0</v>
      </c>
      <c r="BXX9">
        <f t="shared" si="20"/>
        <v>0</v>
      </c>
      <c r="BXY9">
        <f t="shared" si="20"/>
        <v>0</v>
      </c>
      <c r="BXZ9">
        <f t="shared" si="20"/>
        <v>0</v>
      </c>
      <c r="BYA9">
        <f t="shared" si="20"/>
        <v>0</v>
      </c>
      <c r="BYB9">
        <f t="shared" si="20"/>
        <v>12.5</v>
      </c>
      <c r="BYC9">
        <f t="shared" si="20"/>
        <v>12.5</v>
      </c>
      <c r="BYD9">
        <f t="shared" si="20"/>
        <v>12.5</v>
      </c>
      <c r="BYE9">
        <f t="shared" si="20"/>
        <v>25</v>
      </c>
      <c r="BYF9">
        <f t="shared" si="20"/>
        <v>25</v>
      </c>
      <c r="BYG9">
        <f t="shared" si="20"/>
        <v>25</v>
      </c>
      <c r="BYH9">
        <f t="shared" si="20"/>
        <v>25</v>
      </c>
      <c r="BYI9">
        <f t="shared" si="20"/>
        <v>25</v>
      </c>
      <c r="BYJ9">
        <f t="shared" si="20"/>
        <v>25</v>
      </c>
      <c r="BYK9">
        <f t="shared" si="20"/>
        <v>50</v>
      </c>
      <c r="BYL9">
        <f t="shared" si="20"/>
        <v>25</v>
      </c>
      <c r="BYM9">
        <f t="shared" si="20"/>
        <v>0</v>
      </c>
      <c r="BYN9">
        <f t="shared" si="20"/>
        <v>0</v>
      </c>
      <c r="BYO9">
        <f t="shared" si="20"/>
        <v>0</v>
      </c>
      <c r="BYP9">
        <f t="shared" si="20"/>
        <v>0</v>
      </c>
      <c r="BYQ9">
        <f t="shared" si="20"/>
        <v>0</v>
      </c>
      <c r="BYR9">
        <f t="shared" si="20"/>
        <v>0</v>
      </c>
      <c r="BYS9">
        <f t="shared" si="20"/>
        <v>0</v>
      </c>
      <c r="BYT9">
        <f t="shared" si="20"/>
        <v>0</v>
      </c>
      <c r="BYU9">
        <f t="shared" si="20"/>
        <v>0</v>
      </c>
      <c r="BYV9">
        <f t="shared" si="20"/>
        <v>0</v>
      </c>
      <c r="BYW9">
        <f t="shared" si="20"/>
        <v>0</v>
      </c>
      <c r="BYX9">
        <f t="shared" si="20"/>
        <v>12.5</v>
      </c>
      <c r="BYY9">
        <f t="shared" si="20"/>
        <v>12.5</v>
      </c>
      <c r="BYZ9">
        <f t="shared" si="20"/>
        <v>12.5</v>
      </c>
      <c r="BZA9">
        <f t="shared" si="20"/>
        <v>25</v>
      </c>
      <c r="BZB9">
        <f t="shared" si="20"/>
        <v>25</v>
      </c>
      <c r="BZC9">
        <f t="shared" si="20"/>
        <v>25</v>
      </c>
      <c r="BZD9">
        <f t="shared" si="20"/>
        <v>25</v>
      </c>
      <c r="BZE9">
        <f t="shared" si="20"/>
        <v>25</v>
      </c>
      <c r="BZF9">
        <f t="shared" si="20"/>
        <v>25</v>
      </c>
      <c r="BZG9">
        <f t="shared" si="20"/>
        <v>50</v>
      </c>
      <c r="BZH9">
        <f t="shared" si="20"/>
        <v>25</v>
      </c>
      <c r="BZI9">
        <f t="shared" si="20"/>
        <v>0</v>
      </c>
      <c r="BZJ9">
        <f t="shared" si="20"/>
        <v>0</v>
      </c>
      <c r="BZK9">
        <f t="shared" si="20"/>
        <v>0</v>
      </c>
      <c r="BZL9">
        <f t="shared" si="20"/>
        <v>0</v>
      </c>
      <c r="BZM9">
        <f t="shared" si="20"/>
        <v>0</v>
      </c>
      <c r="BZN9">
        <f t="shared" si="20"/>
        <v>0</v>
      </c>
      <c r="BZO9">
        <f t="shared" si="20"/>
        <v>0</v>
      </c>
      <c r="BZP9">
        <f t="shared" si="20"/>
        <v>0</v>
      </c>
      <c r="BZQ9">
        <f t="shared" si="20"/>
        <v>0</v>
      </c>
      <c r="BZR9">
        <f t="shared" si="20"/>
        <v>0</v>
      </c>
      <c r="BZS9">
        <f t="shared" si="20"/>
        <v>0</v>
      </c>
      <c r="BZT9">
        <f t="shared" si="20"/>
        <v>12.5</v>
      </c>
      <c r="BZU9">
        <f t="shared" si="20"/>
        <v>12.5</v>
      </c>
      <c r="BZV9">
        <f t="shared" ref="BZV9:BZV29" si="54">AYT9</f>
        <v>12.5</v>
      </c>
      <c r="BZW9">
        <f t="shared" si="21"/>
        <v>25</v>
      </c>
      <c r="BZX9">
        <f t="shared" si="21"/>
        <v>25</v>
      </c>
      <c r="BZY9">
        <f t="shared" si="21"/>
        <v>25</v>
      </c>
      <c r="BZZ9">
        <f t="shared" si="21"/>
        <v>25</v>
      </c>
      <c r="CAA9">
        <f t="shared" si="21"/>
        <v>25</v>
      </c>
      <c r="CAB9">
        <f t="shared" si="21"/>
        <v>25</v>
      </c>
      <c r="CAC9">
        <f t="shared" si="21"/>
        <v>50</v>
      </c>
      <c r="CAD9">
        <f t="shared" si="21"/>
        <v>25</v>
      </c>
      <c r="CAE9">
        <f t="shared" si="21"/>
        <v>0</v>
      </c>
      <c r="CAF9">
        <f t="shared" si="21"/>
        <v>0</v>
      </c>
      <c r="CAG9">
        <f t="shared" si="21"/>
        <v>0</v>
      </c>
      <c r="CAH9">
        <f t="shared" si="21"/>
        <v>0</v>
      </c>
      <c r="CAI9">
        <f t="shared" si="21"/>
        <v>0</v>
      </c>
      <c r="CAJ9">
        <f t="shared" si="21"/>
        <v>0</v>
      </c>
      <c r="CAK9">
        <f t="shared" si="21"/>
        <v>0</v>
      </c>
      <c r="CAL9">
        <f t="shared" si="21"/>
        <v>0</v>
      </c>
      <c r="CAM9">
        <f t="shared" si="21"/>
        <v>0</v>
      </c>
      <c r="CAN9">
        <f t="shared" si="21"/>
        <v>0</v>
      </c>
      <c r="CAO9">
        <f t="shared" si="21"/>
        <v>0</v>
      </c>
      <c r="CAP9">
        <f t="shared" si="21"/>
        <v>12.5</v>
      </c>
      <c r="CAQ9">
        <f t="shared" si="21"/>
        <v>12.5</v>
      </c>
      <c r="CAR9">
        <f t="shared" si="21"/>
        <v>12.5</v>
      </c>
      <c r="CAS9">
        <f t="shared" si="21"/>
        <v>25</v>
      </c>
      <c r="CAT9">
        <f t="shared" si="21"/>
        <v>25</v>
      </c>
      <c r="CAU9">
        <f t="shared" si="21"/>
        <v>25</v>
      </c>
      <c r="CAV9">
        <f t="shared" si="21"/>
        <v>25</v>
      </c>
      <c r="CAW9">
        <f t="shared" si="21"/>
        <v>25</v>
      </c>
      <c r="CAX9">
        <f t="shared" si="21"/>
        <v>25</v>
      </c>
      <c r="CAY9">
        <f t="shared" si="21"/>
        <v>50</v>
      </c>
      <c r="CAZ9">
        <f t="shared" si="21"/>
        <v>25</v>
      </c>
      <c r="CBA9">
        <f t="shared" si="21"/>
        <v>0</v>
      </c>
      <c r="CBB9">
        <f t="shared" si="21"/>
        <v>0</v>
      </c>
      <c r="CBC9">
        <f t="shared" si="21"/>
        <v>0</v>
      </c>
      <c r="CBD9">
        <f t="shared" si="21"/>
        <v>0</v>
      </c>
      <c r="CBE9">
        <f t="shared" si="21"/>
        <v>0</v>
      </c>
      <c r="CBF9">
        <f t="shared" si="21"/>
        <v>0</v>
      </c>
      <c r="CBG9">
        <f t="shared" si="21"/>
        <v>0</v>
      </c>
      <c r="CBH9">
        <f t="shared" si="21"/>
        <v>0</v>
      </c>
      <c r="CBI9">
        <f t="shared" si="21"/>
        <v>0</v>
      </c>
      <c r="CBJ9">
        <f t="shared" si="21"/>
        <v>0</v>
      </c>
      <c r="CBK9">
        <f t="shared" si="21"/>
        <v>0</v>
      </c>
      <c r="CBL9">
        <f t="shared" si="21"/>
        <v>12.5</v>
      </c>
      <c r="CBM9">
        <f t="shared" si="21"/>
        <v>12.5</v>
      </c>
      <c r="CBN9">
        <f t="shared" si="21"/>
        <v>12.5</v>
      </c>
      <c r="CBO9">
        <f t="shared" si="21"/>
        <v>25</v>
      </c>
      <c r="CBP9">
        <f t="shared" si="21"/>
        <v>25</v>
      </c>
      <c r="CBQ9">
        <f t="shared" si="21"/>
        <v>25</v>
      </c>
      <c r="CBR9">
        <f t="shared" si="21"/>
        <v>25</v>
      </c>
      <c r="CBS9">
        <f t="shared" si="21"/>
        <v>25</v>
      </c>
      <c r="CBT9">
        <f t="shared" si="21"/>
        <v>25</v>
      </c>
      <c r="CBU9">
        <f t="shared" si="21"/>
        <v>50</v>
      </c>
      <c r="CBV9">
        <f t="shared" si="21"/>
        <v>25</v>
      </c>
      <c r="CBW9">
        <f t="shared" si="21"/>
        <v>0</v>
      </c>
      <c r="CBX9">
        <f t="shared" si="21"/>
        <v>0</v>
      </c>
      <c r="CBY9">
        <f t="shared" si="21"/>
        <v>0</v>
      </c>
      <c r="CBZ9">
        <f t="shared" si="21"/>
        <v>0</v>
      </c>
      <c r="CCA9">
        <f t="shared" si="21"/>
        <v>0</v>
      </c>
      <c r="CCB9">
        <f t="shared" si="21"/>
        <v>0</v>
      </c>
      <c r="CCC9">
        <f t="shared" si="21"/>
        <v>0</v>
      </c>
      <c r="CCD9">
        <f t="shared" si="21"/>
        <v>0</v>
      </c>
      <c r="CCE9">
        <f t="shared" si="21"/>
        <v>0</v>
      </c>
      <c r="CCF9">
        <f t="shared" si="21"/>
        <v>0</v>
      </c>
      <c r="CCG9">
        <f t="shared" si="21"/>
        <v>0</v>
      </c>
      <c r="CCH9">
        <f t="shared" ref="CCH9:CCH29" si="55">BBF9</f>
        <v>12.5</v>
      </c>
      <c r="CCI9">
        <f t="shared" si="22"/>
        <v>12.5</v>
      </c>
      <c r="CCJ9">
        <f t="shared" si="22"/>
        <v>12.5</v>
      </c>
      <c r="CCK9">
        <f t="shared" si="22"/>
        <v>25</v>
      </c>
      <c r="CCL9">
        <f t="shared" si="22"/>
        <v>25</v>
      </c>
      <c r="CCM9">
        <f t="shared" si="22"/>
        <v>25</v>
      </c>
      <c r="CCN9">
        <f t="shared" si="22"/>
        <v>25</v>
      </c>
      <c r="CCO9">
        <f t="shared" si="22"/>
        <v>25</v>
      </c>
      <c r="CCP9">
        <f t="shared" si="22"/>
        <v>25</v>
      </c>
      <c r="CCQ9">
        <f t="shared" si="22"/>
        <v>50</v>
      </c>
      <c r="CCR9">
        <f t="shared" si="22"/>
        <v>25</v>
      </c>
      <c r="CCS9">
        <f t="shared" si="22"/>
        <v>0</v>
      </c>
      <c r="CCT9">
        <f t="shared" si="22"/>
        <v>0</v>
      </c>
      <c r="CCU9">
        <f t="shared" si="22"/>
        <v>0</v>
      </c>
      <c r="CCV9">
        <f t="shared" si="22"/>
        <v>0</v>
      </c>
      <c r="CCW9">
        <f t="shared" si="22"/>
        <v>0</v>
      </c>
      <c r="CCX9">
        <f t="shared" si="22"/>
        <v>0</v>
      </c>
      <c r="CCY9">
        <f t="shared" si="22"/>
        <v>0</v>
      </c>
      <c r="CCZ9">
        <f t="shared" si="22"/>
        <v>0</v>
      </c>
      <c r="CDA9">
        <f t="shared" si="22"/>
        <v>0</v>
      </c>
      <c r="CDB9">
        <f t="shared" si="22"/>
        <v>0</v>
      </c>
      <c r="CDC9">
        <f t="shared" si="22"/>
        <v>0</v>
      </c>
      <c r="CDD9">
        <f t="shared" si="22"/>
        <v>12.5</v>
      </c>
      <c r="CDE9">
        <f t="shared" si="22"/>
        <v>12.5</v>
      </c>
      <c r="CDF9">
        <f t="shared" si="22"/>
        <v>12.5</v>
      </c>
      <c r="CDG9">
        <f t="shared" si="22"/>
        <v>25</v>
      </c>
      <c r="CDH9">
        <f t="shared" si="22"/>
        <v>25</v>
      </c>
      <c r="CDI9">
        <f t="shared" si="22"/>
        <v>25</v>
      </c>
      <c r="CDJ9">
        <f t="shared" si="22"/>
        <v>25</v>
      </c>
      <c r="CDK9">
        <f t="shared" si="22"/>
        <v>25</v>
      </c>
      <c r="CDL9">
        <f t="shared" si="22"/>
        <v>25</v>
      </c>
      <c r="CDM9">
        <f t="shared" si="22"/>
        <v>50</v>
      </c>
      <c r="CDN9">
        <f t="shared" si="22"/>
        <v>25</v>
      </c>
      <c r="CDO9">
        <f t="shared" si="22"/>
        <v>0</v>
      </c>
      <c r="CDP9">
        <f t="shared" si="22"/>
        <v>0</v>
      </c>
      <c r="CDQ9">
        <f t="shared" si="22"/>
        <v>0</v>
      </c>
      <c r="CDR9">
        <f t="shared" si="22"/>
        <v>0</v>
      </c>
      <c r="CDS9">
        <f t="shared" si="22"/>
        <v>0</v>
      </c>
      <c r="CDT9">
        <f t="shared" si="22"/>
        <v>0</v>
      </c>
      <c r="CDU9">
        <f t="shared" si="22"/>
        <v>0</v>
      </c>
      <c r="CDV9">
        <f t="shared" si="22"/>
        <v>0</v>
      </c>
      <c r="CDW9">
        <f t="shared" si="22"/>
        <v>0</v>
      </c>
      <c r="CDX9">
        <f t="shared" si="22"/>
        <v>0</v>
      </c>
      <c r="CDY9">
        <f t="shared" si="22"/>
        <v>0</v>
      </c>
      <c r="CDZ9">
        <f t="shared" si="22"/>
        <v>12.5</v>
      </c>
      <c r="CEA9">
        <f t="shared" si="22"/>
        <v>12.5</v>
      </c>
      <c r="CEB9">
        <f t="shared" si="22"/>
        <v>12.5</v>
      </c>
      <c r="CEC9">
        <f t="shared" si="22"/>
        <v>25</v>
      </c>
      <c r="CED9">
        <f t="shared" si="22"/>
        <v>25</v>
      </c>
      <c r="CEE9">
        <f t="shared" si="22"/>
        <v>25</v>
      </c>
      <c r="CEF9">
        <f t="shared" si="22"/>
        <v>25</v>
      </c>
      <c r="CEG9">
        <f t="shared" si="22"/>
        <v>25</v>
      </c>
      <c r="CEH9">
        <f t="shared" si="22"/>
        <v>25</v>
      </c>
      <c r="CEI9">
        <f t="shared" si="22"/>
        <v>50</v>
      </c>
      <c r="CEJ9">
        <f t="shared" si="22"/>
        <v>25</v>
      </c>
      <c r="CEK9">
        <f t="shared" si="22"/>
        <v>0</v>
      </c>
      <c r="CEL9">
        <f t="shared" si="22"/>
        <v>0</v>
      </c>
      <c r="CEM9">
        <f t="shared" si="22"/>
        <v>0</v>
      </c>
      <c r="CEN9">
        <f t="shared" si="22"/>
        <v>0</v>
      </c>
      <c r="CEO9">
        <f t="shared" si="22"/>
        <v>0</v>
      </c>
      <c r="CEP9">
        <f t="shared" si="22"/>
        <v>0</v>
      </c>
      <c r="CEQ9">
        <f t="shared" si="22"/>
        <v>0</v>
      </c>
      <c r="CER9">
        <f t="shared" si="22"/>
        <v>0</v>
      </c>
      <c r="CES9">
        <f t="shared" si="22"/>
        <v>0</v>
      </c>
      <c r="CET9">
        <f t="shared" ref="CET9:CET29" si="56">BDR9</f>
        <v>0</v>
      </c>
      <c r="CEU9">
        <f t="shared" si="23"/>
        <v>0</v>
      </c>
      <c r="CEV9">
        <f t="shared" si="23"/>
        <v>12.5</v>
      </c>
      <c r="CEW9">
        <f t="shared" si="23"/>
        <v>12.5</v>
      </c>
      <c r="CEX9">
        <f t="shared" si="23"/>
        <v>12.5</v>
      </c>
      <c r="CEY9">
        <f t="shared" si="23"/>
        <v>25</v>
      </c>
      <c r="CEZ9">
        <f t="shared" si="23"/>
        <v>25</v>
      </c>
      <c r="CFA9">
        <f t="shared" si="23"/>
        <v>25</v>
      </c>
      <c r="CFB9">
        <f t="shared" si="23"/>
        <v>25</v>
      </c>
      <c r="CFC9">
        <f t="shared" si="23"/>
        <v>25</v>
      </c>
      <c r="CFD9">
        <f t="shared" si="23"/>
        <v>25</v>
      </c>
      <c r="CFE9">
        <f t="shared" si="23"/>
        <v>50</v>
      </c>
      <c r="CFF9">
        <f t="shared" si="23"/>
        <v>25</v>
      </c>
      <c r="CFG9">
        <f t="shared" si="23"/>
        <v>0</v>
      </c>
      <c r="CFH9">
        <f t="shared" si="23"/>
        <v>0</v>
      </c>
      <c r="CFI9">
        <f t="shared" si="23"/>
        <v>0</v>
      </c>
      <c r="CFJ9">
        <f t="shared" si="23"/>
        <v>0</v>
      </c>
      <c r="CFK9">
        <f t="shared" si="23"/>
        <v>0</v>
      </c>
      <c r="CFL9">
        <f t="shared" si="23"/>
        <v>0</v>
      </c>
      <c r="CFM9">
        <f t="shared" si="23"/>
        <v>0</v>
      </c>
      <c r="CFN9">
        <f t="shared" si="23"/>
        <v>0</v>
      </c>
      <c r="CFO9">
        <f t="shared" si="23"/>
        <v>0</v>
      </c>
      <c r="CFP9">
        <f t="shared" si="23"/>
        <v>0</v>
      </c>
      <c r="CFQ9">
        <f t="shared" si="23"/>
        <v>0</v>
      </c>
      <c r="CFR9">
        <f t="shared" si="23"/>
        <v>12.5</v>
      </c>
      <c r="CFS9">
        <f t="shared" si="23"/>
        <v>12.5</v>
      </c>
      <c r="CFT9">
        <f t="shared" si="23"/>
        <v>12.5</v>
      </c>
      <c r="CFU9">
        <f t="shared" si="23"/>
        <v>25</v>
      </c>
      <c r="CFV9">
        <f t="shared" si="23"/>
        <v>25</v>
      </c>
      <c r="CFW9">
        <f t="shared" si="23"/>
        <v>25</v>
      </c>
      <c r="CFX9">
        <f t="shared" si="23"/>
        <v>25</v>
      </c>
      <c r="CFY9">
        <f t="shared" si="23"/>
        <v>25</v>
      </c>
      <c r="CFZ9">
        <f t="shared" si="23"/>
        <v>25</v>
      </c>
      <c r="CGA9">
        <f t="shared" si="23"/>
        <v>50</v>
      </c>
      <c r="CGB9">
        <f t="shared" si="23"/>
        <v>25</v>
      </c>
      <c r="CGC9">
        <f t="shared" si="23"/>
        <v>0</v>
      </c>
      <c r="CGD9">
        <f t="shared" si="23"/>
        <v>0</v>
      </c>
      <c r="CGE9">
        <f t="shared" si="23"/>
        <v>0</v>
      </c>
      <c r="CGF9">
        <f t="shared" si="23"/>
        <v>0</v>
      </c>
      <c r="CGG9">
        <f t="shared" si="23"/>
        <v>0</v>
      </c>
      <c r="CGH9">
        <f t="shared" si="23"/>
        <v>0</v>
      </c>
      <c r="CGI9">
        <f t="shared" si="23"/>
        <v>0</v>
      </c>
      <c r="CGJ9">
        <f t="shared" si="23"/>
        <v>0</v>
      </c>
      <c r="CGK9">
        <f t="shared" si="23"/>
        <v>0</v>
      </c>
      <c r="CGL9">
        <f t="shared" si="23"/>
        <v>0</v>
      </c>
      <c r="CGM9">
        <f t="shared" si="23"/>
        <v>0</v>
      </c>
      <c r="CGN9">
        <f t="shared" si="23"/>
        <v>12.5</v>
      </c>
      <c r="CGO9">
        <f t="shared" si="23"/>
        <v>12.5</v>
      </c>
      <c r="CGP9">
        <f t="shared" si="23"/>
        <v>12.5</v>
      </c>
      <c r="CGQ9">
        <f t="shared" si="23"/>
        <v>25</v>
      </c>
      <c r="CGR9">
        <f t="shared" si="23"/>
        <v>25</v>
      </c>
      <c r="CGS9">
        <f t="shared" si="23"/>
        <v>25</v>
      </c>
      <c r="CGT9">
        <f t="shared" si="23"/>
        <v>25</v>
      </c>
      <c r="CGU9">
        <f t="shared" si="23"/>
        <v>25</v>
      </c>
      <c r="CGV9">
        <f t="shared" si="23"/>
        <v>25</v>
      </c>
      <c r="CGW9">
        <f t="shared" si="23"/>
        <v>50</v>
      </c>
      <c r="CGX9">
        <f t="shared" si="23"/>
        <v>25</v>
      </c>
      <c r="CGY9">
        <f t="shared" si="23"/>
        <v>0</v>
      </c>
      <c r="CGZ9">
        <f t="shared" si="23"/>
        <v>0</v>
      </c>
      <c r="CHA9">
        <f t="shared" si="23"/>
        <v>0</v>
      </c>
      <c r="CHB9">
        <f t="shared" si="23"/>
        <v>0</v>
      </c>
      <c r="CHC9">
        <f t="shared" si="23"/>
        <v>0</v>
      </c>
      <c r="CHD9">
        <f t="shared" si="23"/>
        <v>0</v>
      </c>
      <c r="CHE9">
        <f t="shared" si="23"/>
        <v>0</v>
      </c>
      <c r="CHF9">
        <f t="shared" ref="CHF9:CHF29" si="57">BGD9</f>
        <v>0</v>
      </c>
      <c r="CHG9">
        <f t="shared" si="24"/>
        <v>0</v>
      </c>
      <c r="CHH9">
        <f t="shared" si="24"/>
        <v>0</v>
      </c>
      <c r="CHI9">
        <f t="shared" si="24"/>
        <v>0</v>
      </c>
      <c r="CHJ9">
        <f t="shared" si="24"/>
        <v>12.5</v>
      </c>
      <c r="CHK9">
        <f t="shared" si="24"/>
        <v>12.5</v>
      </c>
      <c r="CHL9">
        <f t="shared" si="24"/>
        <v>12.5</v>
      </c>
      <c r="CHM9">
        <f t="shared" si="24"/>
        <v>25</v>
      </c>
      <c r="CHN9">
        <f t="shared" si="24"/>
        <v>25</v>
      </c>
      <c r="CHO9">
        <f t="shared" si="24"/>
        <v>25</v>
      </c>
      <c r="CHP9">
        <f t="shared" si="24"/>
        <v>25</v>
      </c>
      <c r="CHQ9">
        <f t="shared" si="24"/>
        <v>25</v>
      </c>
      <c r="CHR9">
        <f t="shared" si="24"/>
        <v>25</v>
      </c>
      <c r="CHS9">
        <f t="shared" si="24"/>
        <v>50</v>
      </c>
      <c r="CHT9">
        <f t="shared" si="24"/>
        <v>25</v>
      </c>
      <c r="CHU9">
        <f t="shared" si="24"/>
        <v>0</v>
      </c>
      <c r="CHV9">
        <f t="shared" si="24"/>
        <v>0</v>
      </c>
      <c r="CHW9">
        <f t="shared" si="24"/>
        <v>0</v>
      </c>
      <c r="CHX9">
        <f t="shared" si="24"/>
        <v>0</v>
      </c>
      <c r="CHY9">
        <f t="shared" si="24"/>
        <v>0</v>
      </c>
      <c r="CHZ9">
        <f t="shared" si="24"/>
        <v>0</v>
      </c>
      <c r="CIA9">
        <f t="shared" si="24"/>
        <v>0</v>
      </c>
      <c r="CIB9">
        <f t="shared" si="24"/>
        <v>0</v>
      </c>
      <c r="CIC9">
        <f t="shared" si="24"/>
        <v>0</v>
      </c>
      <c r="CID9">
        <f t="shared" si="24"/>
        <v>0</v>
      </c>
      <c r="CIE9">
        <f t="shared" si="24"/>
        <v>0</v>
      </c>
      <c r="CIF9">
        <f t="shared" si="24"/>
        <v>12.5</v>
      </c>
      <c r="CIG9">
        <f t="shared" si="24"/>
        <v>12.5</v>
      </c>
      <c r="CIH9">
        <f t="shared" si="24"/>
        <v>12.5</v>
      </c>
      <c r="CII9">
        <f t="shared" si="24"/>
        <v>25</v>
      </c>
      <c r="CIJ9">
        <f t="shared" si="24"/>
        <v>25</v>
      </c>
      <c r="CIK9">
        <f t="shared" si="24"/>
        <v>25</v>
      </c>
      <c r="CIL9">
        <f t="shared" si="24"/>
        <v>25</v>
      </c>
      <c r="CIM9">
        <f t="shared" si="24"/>
        <v>25</v>
      </c>
      <c r="CIN9">
        <f t="shared" si="24"/>
        <v>25</v>
      </c>
      <c r="CIO9">
        <f t="shared" si="24"/>
        <v>50</v>
      </c>
      <c r="CIP9">
        <f t="shared" si="24"/>
        <v>25</v>
      </c>
      <c r="CIQ9">
        <f t="shared" si="24"/>
        <v>0</v>
      </c>
      <c r="CIR9">
        <f t="shared" si="24"/>
        <v>0</v>
      </c>
      <c r="CIS9">
        <f t="shared" si="24"/>
        <v>0</v>
      </c>
      <c r="CIT9">
        <f t="shared" si="24"/>
        <v>0</v>
      </c>
      <c r="CIU9">
        <f t="shared" si="24"/>
        <v>0</v>
      </c>
      <c r="CIV9">
        <f t="shared" si="24"/>
        <v>0</v>
      </c>
      <c r="CIW9">
        <f t="shared" si="24"/>
        <v>0</v>
      </c>
      <c r="CIX9">
        <f t="shared" si="24"/>
        <v>0</v>
      </c>
      <c r="CIY9">
        <f t="shared" si="24"/>
        <v>0</v>
      </c>
      <c r="CIZ9">
        <f t="shared" si="24"/>
        <v>0</v>
      </c>
      <c r="CJA9">
        <f t="shared" si="24"/>
        <v>0</v>
      </c>
      <c r="CJB9">
        <f t="shared" si="24"/>
        <v>12.5</v>
      </c>
      <c r="CJC9">
        <f t="shared" si="24"/>
        <v>12.5</v>
      </c>
      <c r="CJD9">
        <f t="shared" si="24"/>
        <v>12.5</v>
      </c>
      <c r="CJE9">
        <f t="shared" si="24"/>
        <v>25</v>
      </c>
      <c r="CJF9">
        <f t="shared" si="24"/>
        <v>25</v>
      </c>
      <c r="CJG9">
        <f t="shared" si="24"/>
        <v>25</v>
      </c>
      <c r="CJH9">
        <f t="shared" si="24"/>
        <v>25</v>
      </c>
      <c r="CJI9">
        <f t="shared" si="24"/>
        <v>25</v>
      </c>
      <c r="CJJ9">
        <f t="shared" si="24"/>
        <v>25</v>
      </c>
      <c r="CJK9">
        <f t="shared" si="24"/>
        <v>50</v>
      </c>
      <c r="CJL9">
        <f t="shared" si="24"/>
        <v>25</v>
      </c>
      <c r="CJM9">
        <f t="shared" si="24"/>
        <v>0</v>
      </c>
      <c r="CJN9">
        <f t="shared" si="24"/>
        <v>0</v>
      </c>
      <c r="CJO9">
        <f t="shared" si="24"/>
        <v>0</v>
      </c>
      <c r="CJP9">
        <f t="shared" si="24"/>
        <v>0</v>
      </c>
      <c r="CJQ9">
        <f t="shared" si="24"/>
        <v>0</v>
      </c>
      <c r="CJR9">
        <f t="shared" ref="CJR9:CJR29" si="58">BIP9</f>
        <v>0</v>
      </c>
      <c r="CJS9">
        <f t="shared" si="25"/>
        <v>0</v>
      </c>
      <c r="CJT9">
        <f t="shared" si="25"/>
        <v>0</v>
      </c>
      <c r="CJU9">
        <f t="shared" si="25"/>
        <v>0</v>
      </c>
      <c r="CJV9">
        <f t="shared" si="25"/>
        <v>0</v>
      </c>
      <c r="CJW9">
        <f t="shared" si="25"/>
        <v>0</v>
      </c>
      <c r="CJX9">
        <f t="shared" si="25"/>
        <v>12.5</v>
      </c>
      <c r="CJY9">
        <f t="shared" si="25"/>
        <v>12.5</v>
      </c>
      <c r="CJZ9">
        <f t="shared" si="25"/>
        <v>12.5</v>
      </c>
      <c r="CKA9">
        <f t="shared" si="25"/>
        <v>25</v>
      </c>
      <c r="CKB9">
        <f t="shared" si="25"/>
        <v>25</v>
      </c>
      <c r="CKC9">
        <f t="shared" si="25"/>
        <v>25</v>
      </c>
      <c r="CKD9">
        <f t="shared" si="25"/>
        <v>25</v>
      </c>
      <c r="CKE9">
        <f t="shared" si="25"/>
        <v>25</v>
      </c>
      <c r="CKF9">
        <f t="shared" si="25"/>
        <v>25</v>
      </c>
      <c r="CKG9">
        <f t="shared" si="25"/>
        <v>50</v>
      </c>
      <c r="CKH9">
        <f t="shared" si="25"/>
        <v>25</v>
      </c>
      <c r="CKI9">
        <f t="shared" si="25"/>
        <v>0</v>
      </c>
      <c r="CKJ9">
        <f t="shared" si="25"/>
        <v>0</v>
      </c>
      <c r="CKK9">
        <f t="shared" si="25"/>
        <v>0</v>
      </c>
      <c r="CKL9">
        <f t="shared" si="25"/>
        <v>0</v>
      </c>
      <c r="CKM9">
        <f t="shared" si="25"/>
        <v>0</v>
      </c>
      <c r="CKN9">
        <f t="shared" si="25"/>
        <v>0</v>
      </c>
      <c r="CKO9">
        <f t="shared" si="25"/>
        <v>0</v>
      </c>
      <c r="CKP9">
        <f t="shared" si="25"/>
        <v>0</v>
      </c>
      <c r="CKQ9">
        <f t="shared" si="25"/>
        <v>0</v>
      </c>
      <c r="CKR9">
        <f t="shared" si="25"/>
        <v>0</v>
      </c>
      <c r="CKS9">
        <f t="shared" si="25"/>
        <v>0</v>
      </c>
      <c r="CKT9">
        <f t="shared" si="25"/>
        <v>12.5</v>
      </c>
      <c r="CKU9">
        <f t="shared" si="25"/>
        <v>12.5</v>
      </c>
      <c r="CKV9">
        <f t="shared" si="25"/>
        <v>12.5</v>
      </c>
      <c r="CKW9">
        <f t="shared" si="25"/>
        <v>25</v>
      </c>
      <c r="CKX9">
        <f t="shared" si="25"/>
        <v>25</v>
      </c>
      <c r="CKY9">
        <f t="shared" si="25"/>
        <v>25</v>
      </c>
      <c r="CKZ9">
        <f t="shared" si="25"/>
        <v>25</v>
      </c>
      <c r="CLA9">
        <f t="shared" si="25"/>
        <v>25</v>
      </c>
      <c r="CLB9">
        <f t="shared" si="25"/>
        <v>25</v>
      </c>
      <c r="CLC9">
        <f t="shared" si="25"/>
        <v>50</v>
      </c>
      <c r="CLD9">
        <f t="shared" si="25"/>
        <v>25</v>
      </c>
      <c r="CLE9">
        <f t="shared" si="25"/>
        <v>0</v>
      </c>
      <c r="CLF9">
        <f t="shared" si="25"/>
        <v>0</v>
      </c>
      <c r="CLG9">
        <f t="shared" si="25"/>
        <v>0</v>
      </c>
      <c r="CLH9">
        <f t="shared" si="25"/>
        <v>0</v>
      </c>
      <c r="CLI9">
        <f t="shared" si="25"/>
        <v>0</v>
      </c>
      <c r="CLJ9">
        <f t="shared" si="25"/>
        <v>0</v>
      </c>
      <c r="CLK9">
        <f t="shared" si="25"/>
        <v>0</v>
      </c>
      <c r="CLL9">
        <f t="shared" si="25"/>
        <v>0</v>
      </c>
      <c r="CLM9">
        <f t="shared" si="25"/>
        <v>0</v>
      </c>
      <c r="CLN9">
        <f t="shared" si="25"/>
        <v>0</v>
      </c>
      <c r="CLO9">
        <f t="shared" si="25"/>
        <v>0</v>
      </c>
      <c r="CLP9">
        <f t="shared" si="25"/>
        <v>12.5</v>
      </c>
      <c r="CLQ9">
        <f t="shared" si="25"/>
        <v>12.5</v>
      </c>
      <c r="CLR9">
        <f t="shared" si="25"/>
        <v>12.5</v>
      </c>
      <c r="CLS9">
        <f t="shared" si="25"/>
        <v>25</v>
      </c>
      <c r="CLT9">
        <f t="shared" si="25"/>
        <v>25</v>
      </c>
      <c r="CLU9">
        <f t="shared" si="25"/>
        <v>25</v>
      </c>
      <c r="CLV9">
        <f t="shared" si="25"/>
        <v>25</v>
      </c>
      <c r="CLW9">
        <f t="shared" si="25"/>
        <v>25</v>
      </c>
      <c r="CLX9">
        <f t="shared" si="25"/>
        <v>25</v>
      </c>
      <c r="CLY9">
        <f t="shared" si="25"/>
        <v>50</v>
      </c>
      <c r="CLZ9">
        <f t="shared" si="25"/>
        <v>25</v>
      </c>
      <c r="CMA9">
        <f t="shared" si="25"/>
        <v>0</v>
      </c>
      <c r="CMB9">
        <f t="shared" si="25"/>
        <v>0</v>
      </c>
      <c r="CMC9">
        <f t="shared" si="25"/>
        <v>0</v>
      </c>
      <c r="CMD9">
        <f t="shared" ref="CMD9:CMD29" si="59">BLB9</f>
        <v>0</v>
      </c>
      <c r="CME9">
        <f t="shared" si="26"/>
        <v>0</v>
      </c>
      <c r="CMF9">
        <f t="shared" si="26"/>
        <v>0</v>
      </c>
      <c r="CMG9">
        <f t="shared" si="26"/>
        <v>0</v>
      </c>
      <c r="CMH9">
        <f t="shared" si="26"/>
        <v>0</v>
      </c>
      <c r="CMI9">
        <f t="shared" si="26"/>
        <v>0</v>
      </c>
      <c r="CMJ9">
        <f t="shared" si="26"/>
        <v>0</v>
      </c>
      <c r="CMK9">
        <f t="shared" si="26"/>
        <v>0</v>
      </c>
      <c r="CML9">
        <f t="shared" si="26"/>
        <v>12.5</v>
      </c>
      <c r="CMM9">
        <f t="shared" si="26"/>
        <v>12.5</v>
      </c>
      <c r="CMN9">
        <f t="shared" si="26"/>
        <v>12.5</v>
      </c>
      <c r="CMO9">
        <f t="shared" si="26"/>
        <v>25</v>
      </c>
      <c r="CMP9">
        <f t="shared" si="26"/>
        <v>25</v>
      </c>
      <c r="CMQ9">
        <f t="shared" si="26"/>
        <v>25</v>
      </c>
      <c r="CMR9">
        <f t="shared" si="26"/>
        <v>25</v>
      </c>
      <c r="CMS9">
        <f t="shared" si="26"/>
        <v>25</v>
      </c>
      <c r="CMT9">
        <f t="shared" si="26"/>
        <v>25</v>
      </c>
      <c r="CMU9">
        <f t="shared" si="26"/>
        <v>50</v>
      </c>
      <c r="CMV9">
        <f t="shared" si="26"/>
        <v>25</v>
      </c>
      <c r="CMW9">
        <f t="shared" si="26"/>
        <v>0</v>
      </c>
      <c r="CMX9">
        <f t="shared" si="26"/>
        <v>0</v>
      </c>
      <c r="CMY9">
        <f t="shared" si="26"/>
        <v>0</v>
      </c>
      <c r="CMZ9">
        <f t="shared" si="26"/>
        <v>0</v>
      </c>
      <c r="CNA9">
        <f t="shared" si="26"/>
        <v>0</v>
      </c>
      <c r="CNB9">
        <f t="shared" si="26"/>
        <v>0</v>
      </c>
      <c r="CNC9">
        <f t="shared" si="26"/>
        <v>0</v>
      </c>
      <c r="CND9">
        <f t="shared" si="26"/>
        <v>0</v>
      </c>
      <c r="CNE9">
        <f t="shared" si="26"/>
        <v>0</v>
      </c>
      <c r="CNF9">
        <f t="shared" si="26"/>
        <v>0</v>
      </c>
      <c r="CNG9">
        <f t="shared" si="26"/>
        <v>0</v>
      </c>
      <c r="CNH9">
        <f t="shared" si="26"/>
        <v>12.5</v>
      </c>
      <c r="CNI9">
        <f t="shared" si="26"/>
        <v>12.5</v>
      </c>
      <c r="CNJ9">
        <f t="shared" si="26"/>
        <v>12.5</v>
      </c>
      <c r="CNK9">
        <f t="shared" si="26"/>
        <v>25</v>
      </c>
      <c r="CNL9">
        <f t="shared" si="26"/>
        <v>25</v>
      </c>
      <c r="CNM9">
        <f t="shared" si="26"/>
        <v>25</v>
      </c>
      <c r="CNN9">
        <f t="shared" si="26"/>
        <v>25</v>
      </c>
      <c r="CNO9">
        <f t="shared" si="26"/>
        <v>25</v>
      </c>
      <c r="CNP9">
        <f t="shared" si="26"/>
        <v>25</v>
      </c>
      <c r="CNQ9">
        <f t="shared" si="26"/>
        <v>50</v>
      </c>
      <c r="CNR9">
        <f t="shared" si="26"/>
        <v>25</v>
      </c>
      <c r="CNS9">
        <f t="shared" si="26"/>
        <v>0</v>
      </c>
      <c r="CNT9">
        <f t="shared" si="26"/>
        <v>0</v>
      </c>
      <c r="CNU9">
        <f t="shared" si="26"/>
        <v>0</v>
      </c>
      <c r="CNV9">
        <f t="shared" si="26"/>
        <v>0</v>
      </c>
      <c r="CNW9">
        <f t="shared" si="26"/>
        <v>0</v>
      </c>
      <c r="CNX9">
        <f t="shared" si="26"/>
        <v>0</v>
      </c>
      <c r="CNY9">
        <f t="shared" si="26"/>
        <v>0</v>
      </c>
      <c r="CNZ9">
        <f t="shared" si="26"/>
        <v>0</v>
      </c>
      <c r="COA9">
        <f t="shared" si="26"/>
        <v>0</v>
      </c>
      <c r="COB9">
        <f t="shared" si="26"/>
        <v>0</v>
      </c>
      <c r="COC9">
        <f t="shared" si="26"/>
        <v>0</v>
      </c>
      <c r="COD9">
        <f t="shared" si="26"/>
        <v>12.5</v>
      </c>
      <c r="COE9">
        <f t="shared" si="26"/>
        <v>12.5</v>
      </c>
      <c r="COF9">
        <f t="shared" si="26"/>
        <v>12.5</v>
      </c>
      <c r="COG9">
        <f t="shared" si="26"/>
        <v>25</v>
      </c>
      <c r="COH9">
        <f t="shared" si="26"/>
        <v>25</v>
      </c>
      <c r="COI9">
        <f t="shared" si="26"/>
        <v>25</v>
      </c>
      <c r="COJ9">
        <f t="shared" si="26"/>
        <v>25</v>
      </c>
      <c r="COK9">
        <f t="shared" si="26"/>
        <v>25</v>
      </c>
      <c r="COL9">
        <f t="shared" si="26"/>
        <v>25</v>
      </c>
      <c r="COM9">
        <f t="shared" si="26"/>
        <v>50</v>
      </c>
      <c r="CON9">
        <f t="shared" si="26"/>
        <v>25</v>
      </c>
      <c r="COO9">
        <f t="shared" si="26"/>
        <v>0</v>
      </c>
      <c r="COP9">
        <f t="shared" ref="COP9:COP29" si="60">BNN9</f>
        <v>0</v>
      </c>
      <c r="COQ9">
        <f t="shared" si="27"/>
        <v>0</v>
      </c>
      <c r="COR9">
        <f t="shared" si="27"/>
        <v>0</v>
      </c>
      <c r="COS9">
        <f t="shared" si="27"/>
        <v>0</v>
      </c>
      <c r="COT9">
        <f t="shared" si="27"/>
        <v>0</v>
      </c>
      <c r="COU9">
        <f t="shared" si="27"/>
        <v>0</v>
      </c>
      <c r="COV9">
        <f t="shared" si="27"/>
        <v>0</v>
      </c>
      <c r="COW9">
        <f t="shared" si="27"/>
        <v>0</v>
      </c>
      <c r="COX9">
        <f t="shared" si="27"/>
        <v>0</v>
      </c>
      <c r="COY9">
        <f t="shared" si="27"/>
        <v>0</v>
      </c>
      <c r="COZ9">
        <f t="shared" si="27"/>
        <v>12.5</v>
      </c>
      <c r="CPA9">
        <f t="shared" si="27"/>
        <v>12.5</v>
      </c>
      <c r="CPB9">
        <f t="shared" si="27"/>
        <v>12.5</v>
      </c>
      <c r="CPC9">
        <f t="shared" si="27"/>
        <v>25</v>
      </c>
      <c r="CPD9">
        <f t="shared" si="27"/>
        <v>25</v>
      </c>
      <c r="CPE9">
        <f t="shared" si="27"/>
        <v>25</v>
      </c>
      <c r="CPF9">
        <f t="shared" si="27"/>
        <v>25</v>
      </c>
      <c r="CPG9">
        <f t="shared" si="27"/>
        <v>25</v>
      </c>
      <c r="CPH9">
        <f t="shared" si="27"/>
        <v>25</v>
      </c>
      <c r="CPI9">
        <f t="shared" si="27"/>
        <v>50</v>
      </c>
      <c r="CPJ9">
        <f t="shared" si="27"/>
        <v>25</v>
      </c>
      <c r="CPK9">
        <f t="shared" si="27"/>
        <v>0</v>
      </c>
      <c r="CPL9">
        <f t="shared" si="27"/>
        <v>0</v>
      </c>
      <c r="CPM9">
        <f t="shared" si="27"/>
        <v>0</v>
      </c>
      <c r="CPN9">
        <f t="shared" si="27"/>
        <v>0</v>
      </c>
      <c r="CPO9">
        <f t="shared" si="27"/>
        <v>0</v>
      </c>
      <c r="CPP9">
        <f t="shared" si="27"/>
        <v>0</v>
      </c>
      <c r="CPQ9">
        <f t="shared" si="27"/>
        <v>0</v>
      </c>
      <c r="CPR9">
        <f t="shared" si="27"/>
        <v>0</v>
      </c>
      <c r="CPS9">
        <f t="shared" si="27"/>
        <v>0</v>
      </c>
      <c r="CPT9">
        <f t="shared" si="27"/>
        <v>0</v>
      </c>
      <c r="CPU9">
        <f t="shared" si="27"/>
        <v>0</v>
      </c>
      <c r="CPV9">
        <f t="shared" si="27"/>
        <v>12.5</v>
      </c>
      <c r="CPW9">
        <f t="shared" si="27"/>
        <v>12.5</v>
      </c>
      <c r="CPX9">
        <f t="shared" si="27"/>
        <v>12.5</v>
      </c>
      <c r="CPY9">
        <f t="shared" si="27"/>
        <v>25</v>
      </c>
      <c r="CPZ9">
        <f t="shared" si="27"/>
        <v>25</v>
      </c>
      <c r="CQA9">
        <f t="shared" si="27"/>
        <v>25</v>
      </c>
      <c r="CQB9">
        <f t="shared" si="27"/>
        <v>25</v>
      </c>
      <c r="CQC9">
        <f t="shared" si="27"/>
        <v>25</v>
      </c>
      <c r="CQD9">
        <f t="shared" si="27"/>
        <v>25</v>
      </c>
      <c r="CQE9">
        <f t="shared" si="27"/>
        <v>50</v>
      </c>
      <c r="CQF9">
        <f t="shared" si="27"/>
        <v>25</v>
      </c>
      <c r="CQG9">
        <f t="shared" si="27"/>
        <v>0</v>
      </c>
      <c r="CQH9">
        <f t="shared" si="27"/>
        <v>0</v>
      </c>
      <c r="CQI9">
        <f t="shared" si="27"/>
        <v>0</v>
      </c>
      <c r="CQJ9">
        <f t="shared" si="27"/>
        <v>0</v>
      </c>
      <c r="CQK9">
        <f t="shared" si="27"/>
        <v>0</v>
      </c>
      <c r="CQL9">
        <f t="shared" si="27"/>
        <v>0</v>
      </c>
      <c r="CQM9">
        <f t="shared" si="27"/>
        <v>0</v>
      </c>
      <c r="CQN9">
        <f t="shared" si="27"/>
        <v>0</v>
      </c>
      <c r="CQO9">
        <f t="shared" si="27"/>
        <v>0</v>
      </c>
      <c r="CQP9">
        <f t="shared" si="27"/>
        <v>0</v>
      </c>
      <c r="CQQ9">
        <f t="shared" si="27"/>
        <v>0</v>
      </c>
      <c r="CQR9">
        <f t="shared" si="27"/>
        <v>12.5</v>
      </c>
      <c r="CQS9">
        <f t="shared" si="27"/>
        <v>12.5</v>
      </c>
      <c r="CQT9">
        <f t="shared" si="27"/>
        <v>12.5</v>
      </c>
      <c r="CQU9">
        <f t="shared" si="27"/>
        <v>25</v>
      </c>
      <c r="CQV9">
        <f t="shared" si="27"/>
        <v>25</v>
      </c>
      <c r="CQW9">
        <f t="shared" si="27"/>
        <v>25</v>
      </c>
      <c r="CQX9">
        <f t="shared" si="27"/>
        <v>25</v>
      </c>
      <c r="CQY9">
        <f t="shared" si="27"/>
        <v>25</v>
      </c>
      <c r="CQZ9">
        <f t="shared" si="27"/>
        <v>25</v>
      </c>
      <c r="CRA9">
        <f t="shared" si="27"/>
        <v>50</v>
      </c>
      <c r="CRB9">
        <f t="shared" ref="CRB9:CRB29" si="61">BPZ9</f>
        <v>25</v>
      </c>
      <c r="CRC9">
        <f t="shared" si="28"/>
        <v>0</v>
      </c>
      <c r="CRD9">
        <f t="shared" si="28"/>
        <v>0</v>
      </c>
      <c r="CRE9">
        <f t="shared" si="28"/>
        <v>0</v>
      </c>
      <c r="CRF9">
        <f t="shared" si="28"/>
        <v>0</v>
      </c>
      <c r="CRG9">
        <f t="shared" si="28"/>
        <v>0</v>
      </c>
      <c r="CRH9">
        <f t="shared" si="28"/>
        <v>0</v>
      </c>
      <c r="CRI9">
        <f t="shared" si="28"/>
        <v>0</v>
      </c>
      <c r="CRJ9">
        <f t="shared" si="28"/>
        <v>0</v>
      </c>
      <c r="CRK9">
        <f t="shared" si="28"/>
        <v>0</v>
      </c>
      <c r="CRL9">
        <f t="shared" si="28"/>
        <v>0</v>
      </c>
      <c r="CRM9">
        <f t="shared" si="28"/>
        <v>0</v>
      </c>
      <c r="CRN9">
        <f t="shared" si="28"/>
        <v>12.5</v>
      </c>
      <c r="CRO9">
        <f t="shared" si="28"/>
        <v>12.5</v>
      </c>
      <c r="CRP9">
        <f t="shared" si="28"/>
        <v>12.5</v>
      </c>
      <c r="CRQ9">
        <f t="shared" si="28"/>
        <v>25</v>
      </c>
      <c r="CRR9">
        <f t="shared" si="28"/>
        <v>25</v>
      </c>
      <c r="CRS9">
        <f t="shared" si="28"/>
        <v>25</v>
      </c>
      <c r="CRT9">
        <f t="shared" si="28"/>
        <v>25</v>
      </c>
      <c r="CRU9">
        <f t="shared" si="28"/>
        <v>25</v>
      </c>
      <c r="CRV9">
        <f t="shared" si="28"/>
        <v>25</v>
      </c>
      <c r="CRW9">
        <f t="shared" si="28"/>
        <v>50</v>
      </c>
      <c r="CRX9">
        <f t="shared" si="28"/>
        <v>25</v>
      </c>
      <c r="CRY9">
        <f t="shared" si="28"/>
        <v>0</v>
      </c>
      <c r="CRZ9">
        <f t="shared" si="28"/>
        <v>0</v>
      </c>
      <c r="CSA9">
        <f t="shared" si="28"/>
        <v>0</v>
      </c>
      <c r="CSB9">
        <f t="shared" si="28"/>
        <v>0</v>
      </c>
      <c r="CSC9">
        <f t="shared" si="28"/>
        <v>0</v>
      </c>
      <c r="CSD9">
        <f t="shared" si="28"/>
        <v>0</v>
      </c>
      <c r="CSE9">
        <f t="shared" si="28"/>
        <v>0</v>
      </c>
      <c r="CSF9">
        <f t="shared" si="28"/>
        <v>0</v>
      </c>
      <c r="CSG9">
        <f t="shared" si="28"/>
        <v>0</v>
      </c>
      <c r="CSH9">
        <f t="shared" si="28"/>
        <v>0</v>
      </c>
      <c r="CSI9">
        <f t="shared" si="28"/>
        <v>0</v>
      </c>
      <c r="CSJ9">
        <f t="shared" si="28"/>
        <v>12.5</v>
      </c>
      <c r="CSK9">
        <f t="shared" si="28"/>
        <v>12.5</v>
      </c>
      <c r="CSL9">
        <f t="shared" si="28"/>
        <v>12.5</v>
      </c>
      <c r="CSM9">
        <f t="shared" si="28"/>
        <v>25</v>
      </c>
      <c r="CSN9">
        <f t="shared" si="28"/>
        <v>25</v>
      </c>
      <c r="CSO9">
        <f t="shared" si="28"/>
        <v>25</v>
      </c>
      <c r="CSP9">
        <f t="shared" si="28"/>
        <v>25</v>
      </c>
      <c r="CSQ9">
        <f t="shared" si="28"/>
        <v>25</v>
      </c>
      <c r="CSR9">
        <f t="shared" si="28"/>
        <v>25</v>
      </c>
      <c r="CSS9">
        <f t="shared" si="28"/>
        <v>50</v>
      </c>
      <c r="CST9">
        <f t="shared" si="28"/>
        <v>25</v>
      </c>
      <c r="CSU9">
        <f t="shared" si="28"/>
        <v>0</v>
      </c>
      <c r="CSV9">
        <f t="shared" si="28"/>
        <v>0</v>
      </c>
      <c r="CSW9">
        <f t="shared" si="28"/>
        <v>0</v>
      </c>
      <c r="CSX9">
        <f t="shared" si="28"/>
        <v>0</v>
      </c>
      <c r="CSY9">
        <f t="shared" si="28"/>
        <v>0</v>
      </c>
      <c r="CSZ9">
        <f t="shared" si="28"/>
        <v>0</v>
      </c>
      <c r="CTA9">
        <f t="shared" si="28"/>
        <v>0</v>
      </c>
      <c r="CTB9">
        <f t="shared" si="28"/>
        <v>0</v>
      </c>
      <c r="CTC9">
        <f t="shared" si="28"/>
        <v>0</v>
      </c>
      <c r="CTD9">
        <f t="shared" si="28"/>
        <v>0</v>
      </c>
      <c r="CTE9">
        <f t="shared" si="28"/>
        <v>0</v>
      </c>
      <c r="CTF9">
        <f t="shared" si="28"/>
        <v>12.5</v>
      </c>
      <c r="CTG9">
        <f t="shared" si="28"/>
        <v>12.5</v>
      </c>
      <c r="CTH9">
        <f t="shared" si="28"/>
        <v>12.5</v>
      </c>
      <c r="CTI9">
        <f t="shared" si="28"/>
        <v>25</v>
      </c>
      <c r="CTJ9">
        <f t="shared" si="28"/>
        <v>25</v>
      </c>
      <c r="CTK9">
        <f t="shared" si="28"/>
        <v>25</v>
      </c>
      <c r="CTL9">
        <f t="shared" si="28"/>
        <v>25</v>
      </c>
      <c r="CTM9">
        <f t="shared" si="28"/>
        <v>25</v>
      </c>
      <c r="CTN9">
        <f t="shared" ref="CTN9:CTN29" si="62">BSL9</f>
        <v>25</v>
      </c>
      <c r="CTO9">
        <f t="shared" si="29"/>
        <v>50</v>
      </c>
      <c r="CTP9">
        <f t="shared" si="29"/>
        <v>25</v>
      </c>
      <c r="CTQ9">
        <f t="shared" si="29"/>
        <v>0</v>
      </c>
      <c r="CTR9">
        <f t="shared" si="29"/>
        <v>0</v>
      </c>
      <c r="CTS9">
        <f t="shared" si="29"/>
        <v>0</v>
      </c>
      <c r="CTT9">
        <f t="shared" si="29"/>
        <v>0</v>
      </c>
      <c r="CTU9">
        <f t="shared" si="29"/>
        <v>0</v>
      </c>
      <c r="CTV9">
        <f t="shared" si="29"/>
        <v>0</v>
      </c>
      <c r="CTW9">
        <f t="shared" si="29"/>
        <v>0</v>
      </c>
      <c r="CTX9">
        <f t="shared" si="29"/>
        <v>0</v>
      </c>
      <c r="CTY9">
        <f t="shared" si="29"/>
        <v>0</v>
      </c>
      <c r="CTZ9">
        <f t="shared" si="29"/>
        <v>0</v>
      </c>
      <c r="CUA9">
        <f t="shared" si="29"/>
        <v>0</v>
      </c>
      <c r="CUB9">
        <f t="shared" si="29"/>
        <v>12.5</v>
      </c>
      <c r="CUC9">
        <f t="shared" si="29"/>
        <v>12.5</v>
      </c>
      <c r="CUD9">
        <f t="shared" si="29"/>
        <v>12.5</v>
      </c>
      <c r="CUE9">
        <f t="shared" si="29"/>
        <v>25</v>
      </c>
      <c r="CUF9">
        <f t="shared" si="29"/>
        <v>25</v>
      </c>
      <c r="CUG9">
        <f t="shared" si="29"/>
        <v>25</v>
      </c>
      <c r="CUH9">
        <f t="shared" si="29"/>
        <v>25</v>
      </c>
      <c r="CUI9">
        <f t="shared" si="29"/>
        <v>25</v>
      </c>
      <c r="CUJ9">
        <f t="shared" si="29"/>
        <v>25</v>
      </c>
      <c r="CUK9">
        <f t="shared" si="29"/>
        <v>50</v>
      </c>
      <c r="CUL9">
        <f t="shared" si="29"/>
        <v>25</v>
      </c>
      <c r="CUM9">
        <f t="shared" si="29"/>
        <v>0</v>
      </c>
      <c r="CUN9">
        <f t="shared" si="29"/>
        <v>0</v>
      </c>
      <c r="CUO9">
        <f t="shared" si="29"/>
        <v>0</v>
      </c>
      <c r="CUP9">
        <f t="shared" si="29"/>
        <v>0</v>
      </c>
      <c r="CUQ9">
        <f t="shared" si="29"/>
        <v>0</v>
      </c>
      <c r="CUR9">
        <f t="shared" si="29"/>
        <v>0</v>
      </c>
      <c r="CUS9">
        <f t="shared" si="29"/>
        <v>0</v>
      </c>
      <c r="CUT9">
        <f t="shared" si="29"/>
        <v>0</v>
      </c>
      <c r="CUU9">
        <f t="shared" si="29"/>
        <v>0</v>
      </c>
      <c r="CUV9">
        <f t="shared" si="29"/>
        <v>0</v>
      </c>
      <c r="CUW9">
        <f t="shared" si="29"/>
        <v>0</v>
      </c>
      <c r="CUX9">
        <f t="shared" si="29"/>
        <v>12.5</v>
      </c>
      <c r="CUY9">
        <f t="shared" si="29"/>
        <v>12.5</v>
      </c>
      <c r="CUZ9">
        <f t="shared" si="29"/>
        <v>12.5</v>
      </c>
      <c r="CVA9">
        <f t="shared" si="29"/>
        <v>25</v>
      </c>
      <c r="CVB9">
        <f t="shared" si="29"/>
        <v>25</v>
      </c>
      <c r="CVC9">
        <f t="shared" si="29"/>
        <v>25</v>
      </c>
      <c r="CVD9">
        <f t="shared" si="29"/>
        <v>25</v>
      </c>
      <c r="CVE9">
        <f t="shared" si="29"/>
        <v>25</v>
      </c>
      <c r="CVF9">
        <f t="shared" si="29"/>
        <v>25</v>
      </c>
      <c r="CVG9">
        <f t="shared" si="29"/>
        <v>50</v>
      </c>
      <c r="CVH9">
        <f t="shared" si="29"/>
        <v>25</v>
      </c>
      <c r="CVI9">
        <f t="shared" si="29"/>
        <v>0</v>
      </c>
      <c r="CVJ9">
        <f t="shared" si="29"/>
        <v>0</v>
      </c>
      <c r="CVK9">
        <f t="shared" si="29"/>
        <v>0</v>
      </c>
      <c r="CVL9">
        <f t="shared" si="29"/>
        <v>0</v>
      </c>
      <c r="CVM9">
        <f t="shared" si="29"/>
        <v>0</v>
      </c>
      <c r="CVN9">
        <f t="shared" si="29"/>
        <v>0</v>
      </c>
      <c r="CVO9">
        <f t="shared" si="29"/>
        <v>0</v>
      </c>
      <c r="CVP9">
        <f t="shared" si="29"/>
        <v>0</v>
      </c>
      <c r="CVQ9">
        <f t="shared" si="29"/>
        <v>0</v>
      </c>
      <c r="CVR9">
        <f t="shared" si="29"/>
        <v>0</v>
      </c>
      <c r="CVS9">
        <f t="shared" si="29"/>
        <v>0</v>
      </c>
      <c r="CVT9">
        <f t="shared" si="29"/>
        <v>12.5</v>
      </c>
      <c r="CVU9">
        <f t="shared" si="29"/>
        <v>12.5</v>
      </c>
      <c r="CVV9">
        <f t="shared" si="29"/>
        <v>12.5</v>
      </c>
      <c r="CVW9">
        <f t="shared" si="29"/>
        <v>25</v>
      </c>
      <c r="CVX9">
        <f t="shared" si="29"/>
        <v>25</v>
      </c>
      <c r="CVY9">
        <f t="shared" si="29"/>
        <v>25</v>
      </c>
      <c r="CVZ9">
        <f t="shared" ref="CVZ9:CVZ29" si="63">BUX9</f>
        <v>25</v>
      </c>
      <c r="CWA9">
        <f t="shared" si="30"/>
        <v>25</v>
      </c>
      <c r="CWB9">
        <f t="shared" si="30"/>
        <v>25</v>
      </c>
      <c r="CWC9">
        <f t="shared" si="30"/>
        <v>50</v>
      </c>
      <c r="CWD9">
        <f t="shared" si="30"/>
        <v>25</v>
      </c>
      <c r="CWE9">
        <f t="shared" si="30"/>
        <v>0</v>
      </c>
      <c r="CWF9">
        <f t="shared" si="30"/>
        <v>0</v>
      </c>
      <c r="CWG9">
        <f t="shared" si="30"/>
        <v>0</v>
      </c>
      <c r="CWH9">
        <f t="shared" si="30"/>
        <v>0</v>
      </c>
      <c r="CWI9">
        <f t="shared" si="30"/>
        <v>0</v>
      </c>
      <c r="CWJ9">
        <f t="shared" si="30"/>
        <v>0</v>
      </c>
      <c r="CWK9">
        <f t="shared" si="30"/>
        <v>0</v>
      </c>
      <c r="CWL9">
        <f t="shared" si="30"/>
        <v>0</v>
      </c>
      <c r="CWM9">
        <f t="shared" si="30"/>
        <v>0</v>
      </c>
      <c r="CWN9">
        <f t="shared" si="30"/>
        <v>0</v>
      </c>
      <c r="CWO9">
        <f t="shared" si="30"/>
        <v>0</v>
      </c>
      <c r="CWP9">
        <f t="shared" si="30"/>
        <v>12.5</v>
      </c>
      <c r="CWQ9">
        <f t="shared" si="30"/>
        <v>12.5</v>
      </c>
      <c r="CWR9">
        <f t="shared" si="30"/>
        <v>12.5</v>
      </c>
      <c r="CWS9">
        <f t="shared" si="30"/>
        <v>25</v>
      </c>
      <c r="CWT9">
        <f t="shared" si="30"/>
        <v>25</v>
      </c>
      <c r="CWU9">
        <f t="shared" si="30"/>
        <v>25</v>
      </c>
      <c r="CWV9">
        <f t="shared" si="30"/>
        <v>25</v>
      </c>
      <c r="CWW9">
        <f t="shared" si="30"/>
        <v>25</v>
      </c>
      <c r="CWX9">
        <f t="shared" si="30"/>
        <v>25</v>
      </c>
      <c r="CWY9">
        <f t="shared" si="30"/>
        <v>50</v>
      </c>
      <c r="CWZ9">
        <f t="shared" si="30"/>
        <v>25</v>
      </c>
      <c r="CXA9">
        <f t="shared" si="30"/>
        <v>0</v>
      </c>
      <c r="CXB9">
        <f t="shared" si="30"/>
        <v>0</v>
      </c>
      <c r="CXC9">
        <f t="shared" si="30"/>
        <v>0</v>
      </c>
      <c r="CXD9">
        <f t="shared" si="30"/>
        <v>0</v>
      </c>
      <c r="CXE9">
        <f t="shared" si="30"/>
        <v>0</v>
      </c>
      <c r="CXF9">
        <f t="shared" si="30"/>
        <v>0</v>
      </c>
      <c r="CXG9">
        <f t="shared" si="30"/>
        <v>0</v>
      </c>
      <c r="CXH9">
        <f t="shared" si="30"/>
        <v>0</v>
      </c>
      <c r="CXI9">
        <f t="shared" si="30"/>
        <v>0</v>
      </c>
      <c r="CXJ9">
        <f t="shared" si="30"/>
        <v>0</v>
      </c>
      <c r="CXK9">
        <f t="shared" si="30"/>
        <v>0</v>
      </c>
      <c r="CXL9">
        <f t="shared" si="30"/>
        <v>12.5</v>
      </c>
      <c r="CXM9">
        <f t="shared" si="30"/>
        <v>12.5</v>
      </c>
      <c r="CXN9">
        <f t="shared" si="30"/>
        <v>12.5</v>
      </c>
      <c r="CXO9">
        <f t="shared" si="30"/>
        <v>25</v>
      </c>
      <c r="CXP9">
        <f t="shared" si="30"/>
        <v>25</v>
      </c>
      <c r="CXQ9">
        <f t="shared" si="30"/>
        <v>25</v>
      </c>
      <c r="CXR9">
        <f t="shared" si="30"/>
        <v>25</v>
      </c>
      <c r="CXS9">
        <f t="shared" si="30"/>
        <v>25</v>
      </c>
      <c r="CXT9">
        <f t="shared" si="30"/>
        <v>25</v>
      </c>
      <c r="CXU9">
        <f t="shared" si="30"/>
        <v>50</v>
      </c>
      <c r="CXV9">
        <f t="shared" si="30"/>
        <v>25</v>
      </c>
      <c r="CXW9">
        <f t="shared" si="30"/>
        <v>0</v>
      </c>
      <c r="CXX9">
        <f t="shared" si="30"/>
        <v>0</v>
      </c>
      <c r="CXY9">
        <f t="shared" si="30"/>
        <v>0</v>
      </c>
      <c r="CXZ9">
        <f t="shared" si="30"/>
        <v>0</v>
      </c>
      <c r="CYA9">
        <f t="shared" si="30"/>
        <v>0</v>
      </c>
      <c r="CYB9">
        <f t="shared" si="30"/>
        <v>0</v>
      </c>
      <c r="CYC9">
        <f t="shared" si="30"/>
        <v>0</v>
      </c>
      <c r="CYD9">
        <f t="shared" si="30"/>
        <v>0</v>
      </c>
      <c r="CYE9">
        <f t="shared" si="30"/>
        <v>0</v>
      </c>
      <c r="CYF9">
        <f t="shared" si="30"/>
        <v>0</v>
      </c>
      <c r="CYG9">
        <f t="shared" si="30"/>
        <v>0</v>
      </c>
      <c r="CYH9">
        <f t="shared" si="30"/>
        <v>12.5</v>
      </c>
      <c r="CYI9">
        <f t="shared" si="30"/>
        <v>12.5</v>
      </c>
      <c r="CYJ9">
        <f t="shared" si="30"/>
        <v>12.5</v>
      </c>
      <c r="CYK9">
        <f t="shared" si="30"/>
        <v>25</v>
      </c>
      <c r="CYL9">
        <f t="shared" ref="CYL9:CYL29" si="64">BXJ9</f>
        <v>25</v>
      </c>
      <c r="CYM9">
        <f t="shared" si="31"/>
        <v>25</v>
      </c>
      <c r="CYN9">
        <f t="shared" si="31"/>
        <v>25</v>
      </c>
      <c r="CYO9">
        <f t="shared" si="31"/>
        <v>25</v>
      </c>
      <c r="CYP9">
        <f t="shared" si="31"/>
        <v>25</v>
      </c>
      <c r="CYQ9">
        <f t="shared" si="31"/>
        <v>50</v>
      </c>
      <c r="CYR9">
        <f t="shared" si="31"/>
        <v>25</v>
      </c>
      <c r="CYS9">
        <f t="shared" si="31"/>
        <v>0</v>
      </c>
      <c r="CYT9">
        <f t="shared" si="31"/>
        <v>0</v>
      </c>
      <c r="CYU9">
        <f t="shared" si="31"/>
        <v>0</v>
      </c>
      <c r="CYV9">
        <f t="shared" si="31"/>
        <v>0</v>
      </c>
      <c r="CYW9">
        <f t="shared" si="31"/>
        <v>0</v>
      </c>
      <c r="CYX9">
        <f t="shared" si="31"/>
        <v>0</v>
      </c>
      <c r="CYY9">
        <f t="shared" si="31"/>
        <v>0</v>
      </c>
      <c r="CYZ9">
        <f t="shared" si="31"/>
        <v>0</v>
      </c>
      <c r="CZA9">
        <f t="shared" si="31"/>
        <v>0</v>
      </c>
      <c r="CZB9">
        <f t="shared" si="31"/>
        <v>0</v>
      </c>
      <c r="CZC9">
        <f t="shared" si="31"/>
        <v>0</v>
      </c>
      <c r="CZD9">
        <f t="shared" si="31"/>
        <v>12.5</v>
      </c>
      <c r="CZE9">
        <f t="shared" si="31"/>
        <v>12.5</v>
      </c>
      <c r="CZF9">
        <f t="shared" si="31"/>
        <v>12.5</v>
      </c>
      <c r="CZG9">
        <f t="shared" si="31"/>
        <v>25</v>
      </c>
      <c r="CZH9">
        <f t="shared" si="31"/>
        <v>25</v>
      </c>
      <c r="CZI9">
        <f t="shared" si="31"/>
        <v>25</v>
      </c>
      <c r="CZJ9">
        <f t="shared" si="31"/>
        <v>25</v>
      </c>
      <c r="CZK9">
        <f t="shared" si="31"/>
        <v>25</v>
      </c>
      <c r="CZL9">
        <f t="shared" si="31"/>
        <v>25</v>
      </c>
      <c r="CZM9">
        <f t="shared" si="31"/>
        <v>50</v>
      </c>
      <c r="CZN9">
        <f t="shared" si="31"/>
        <v>25</v>
      </c>
      <c r="CZO9">
        <f t="shared" si="31"/>
        <v>0</v>
      </c>
      <c r="CZP9">
        <f t="shared" si="31"/>
        <v>0</v>
      </c>
      <c r="CZQ9">
        <f t="shared" si="31"/>
        <v>0</v>
      </c>
      <c r="CZR9">
        <f t="shared" si="31"/>
        <v>0</v>
      </c>
      <c r="CZS9">
        <f t="shared" si="31"/>
        <v>0</v>
      </c>
      <c r="CZT9">
        <f t="shared" si="31"/>
        <v>0</v>
      </c>
      <c r="CZU9">
        <f t="shared" si="31"/>
        <v>0</v>
      </c>
      <c r="CZV9">
        <f t="shared" si="31"/>
        <v>0</v>
      </c>
      <c r="CZW9">
        <f t="shared" si="31"/>
        <v>0</v>
      </c>
      <c r="CZX9">
        <f t="shared" si="31"/>
        <v>0</v>
      </c>
      <c r="CZY9">
        <f t="shared" si="31"/>
        <v>0</v>
      </c>
      <c r="CZZ9">
        <f t="shared" si="31"/>
        <v>12.5</v>
      </c>
      <c r="DAA9">
        <f t="shared" si="31"/>
        <v>12.5</v>
      </c>
      <c r="DAB9">
        <f t="shared" si="31"/>
        <v>12.5</v>
      </c>
      <c r="DAC9">
        <f t="shared" si="31"/>
        <v>25</v>
      </c>
      <c r="DAD9">
        <f t="shared" si="31"/>
        <v>25</v>
      </c>
      <c r="DAE9">
        <f t="shared" si="31"/>
        <v>25</v>
      </c>
      <c r="DAF9">
        <f t="shared" si="31"/>
        <v>25</v>
      </c>
      <c r="DAG9">
        <f t="shared" si="31"/>
        <v>25</v>
      </c>
      <c r="DAH9">
        <f t="shared" si="31"/>
        <v>25</v>
      </c>
      <c r="DAI9">
        <f t="shared" si="31"/>
        <v>50</v>
      </c>
      <c r="DAJ9">
        <f t="shared" si="31"/>
        <v>25</v>
      </c>
      <c r="DAK9">
        <f t="shared" si="31"/>
        <v>0</v>
      </c>
      <c r="DAL9">
        <f t="shared" si="31"/>
        <v>0</v>
      </c>
      <c r="DAM9">
        <f t="shared" si="31"/>
        <v>0</v>
      </c>
      <c r="DAN9">
        <f t="shared" si="31"/>
        <v>0</v>
      </c>
      <c r="DAO9">
        <f t="shared" si="31"/>
        <v>0</v>
      </c>
      <c r="DAP9">
        <f t="shared" si="31"/>
        <v>0</v>
      </c>
      <c r="DAQ9">
        <f t="shared" si="31"/>
        <v>0</v>
      </c>
      <c r="DAR9">
        <f t="shared" si="31"/>
        <v>0</v>
      </c>
      <c r="DAS9">
        <f t="shared" si="31"/>
        <v>0</v>
      </c>
      <c r="DAT9">
        <f t="shared" si="31"/>
        <v>0</v>
      </c>
      <c r="DAU9">
        <f t="shared" si="31"/>
        <v>0</v>
      </c>
      <c r="DAV9">
        <f t="shared" si="31"/>
        <v>12.5</v>
      </c>
      <c r="DAW9">
        <f t="shared" si="31"/>
        <v>12.5</v>
      </c>
      <c r="DAX9">
        <f t="shared" ref="DAX9:DAX29" si="65">BZV9</f>
        <v>12.5</v>
      </c>
      <c r="DAY9">
        <f t="shared" si="32"/>
        <v>25</v>
      </c>
      <c r="DAZ9">
        <f t="shared" si="32"/>
        <v>25</v>
      </c>
      <c r="DBA9">
        <f t="shared" si="32"/>
        <v>25</v>
      </c>
      <c r="DBB9">
        <f t="shared" si="32"/>
        <v>25</v>
      </c>
      <c r="DBC9">
        <f t="shared" si="32"/>
        <v>25</v>
      </c>
      <c r="DBD9">
        <f t="shared" si="32"/>
        <v>25</v>
      </c>
      <c r="DBE9">
        <f t="shared" si="32"/>
        <v>50</v>
      </c>
      <c r="DBF9">
        <f t="shared" si="32"/>
        <v>25</v>
      </c>
      <c r="DBG9">
        <f t="shared" si="32"/>
        <v>0</v>
      </c>
      <c r="DBH9">
        <f t="shared" si="32"/>
        <v>0</v>
      </c>
      <c r="DBI9">
        <f t="shared" si="32"/>
        <v>0</v>
      </c>
      <c r="DBJ9">
        <f t="shared" si="32"/>
        <v>0</v>
      </c>
      <c r="DBK9">
        <f t="shared" si="32"/>
        <v>0</v>
      </c>
      <c r="DBL9">
        <f t="shared" si="32"/>
        <v>0</v>
      </c>
      <c r="DBM9">
        <f t="shared" si="32"/>
        <v>0</v>
      </c>
      <c r="DBN9">
        <f t="shared" si="32"/>
        <v>0</v>
      </c>
      <c r="DBO9">
        <f t="shared" si="32"/>
        <v>0</v>
      </c>
      <c r="DBP9">
        <f t="shared" si="32"/>
        <v>0</v>
      </c>
      <c r="DBQ9">
        <f t="shared" si="32"/>
        <v>0</v>
      </c>
      <c r="DBR9">
        <f t="shared" si="32"/>
        <v>12.5</v>
      </c>
      <c r="DBS9">
        <f t="shared" si="32"/>
        <v>12.5</v>
      </c>
      <c r="DBT9">
        <f t="shared" si="32"/>
        <v>12.5</v>
      </c>
      <c r="DBU9">
        <f t="shared" si="32"/>
        <v>25</v>
      </c>
      <c r="DBV9">
        <f t="shared" si="32"/>
        <v>25</v>
      </c>
      <c r="DBW9">
        <f t="shared" si="32"/>
        <v>25</v>
      </c>
      <c r="DBX9">
        <f t="shared" si="32"/>
        <v>25</v>
      </c>
      <c r="DBY9">
        <f t="shared" si="32"/>
        <v>25</v>
      </c>
      <c r="DBZ9">
        <f t="shared" si="32"/>
        <v>25</v>
      </c>
      <c r="DCA9">
        <f t="shared" si="32"/>
        <v>50</v>
      </c>
      <c r="DCB9">
        <f t="shared" si="32"/>
        <v>25</v>
      </c>
      <c r="DCC9">
        <f t="shared" si="32"/>
        <v>0</v>
      </c>
      <c r="DCD9">
        <f t="shared" si="32"/>
        <v>0</v>
      </c>
      <c r="DCE9">
        <f t="shared" si="32"/>
        <v>0</v>
      </c>
      <c r="DCF9">
        <f t="shared" si="32"/>
        <v>0</v>
      </c>
      <c r="DCG9">
        <f t="shared" si="32"/>
        <v>0</v>
      </c>
      <c r="DCH9">
        <f t="shared" si="32"/>
        <v>0</v>
      </c>
      <c r="DCI9">
        <f t="shared" si="32"/>
        <v>0</v>
      </c>
      <c r="DCJ9">
        <f t="shared" si="32"/>
        <v>0</v>
      </c>
      <c r="DCK9">
        <f t="shared" si="32"/>
        <v>0</v>
      </c>
      <c r="DCL9">
        <f t="shared" si="32"/>
        <v>0</v>
      </c>
      <c r="DCM9">
        <f t="shared" si="32"/>
        <v>0</v>
      </c>
      <c r="DCN9">
        <f t="shared" si="32"/>
        <v>12.5</v>
      </c>
      <c r="DCO9">
        <f t="shared" si="32"/>
        <v>12.5</v>
      </c>
      <c r="DCP9">
        <f t="shared" si="32"/>
        <v>12.5</v>
      </c>
      <c r="DCQ9">
        <f t="shared" si="32"/>
        <v>25</v>
      </c>
      <c r="DCR9">
        <f t="shared" si="32"/>
        <v>25</v>
      </c>
      <c r="DCS9">
        <f t="shared" si="32"/>
        <v>25</v>
      </c>
      <c r="DCT9">
        <f t="shared" si="32"/>
        <v>25</v>
      </c>
      <c r="DCU9">
        <f t="shared" si="32"/>
        <v>25</v>
      </c>
      <c r="DCV9">
        <f t="shared" si="32"/>
        <v>25</v>
      </c>
      <c r="DCW9">
        <f t="shared" si="32"/>
        <v>50</v>
      </c>
      <c r="DCX9">
        <f t="shared" si="32"/>
        <v>25</v>
      </c>
      <c r="DCY9">
        <f t="shared" si="32"/>
        <v>0</v>
      </c>
      <c r="DCZ9">
        <f t="shared" si="32"/>
        <v>0</v>
      </c>
      <c r="DDA9">
        <f t="shared" si="32"/>
        <v>0</v>
      </c>
      <c r="DDB9">
        <f t="shared" si="32"/>
        <v>0</v>
      </c>
      <c r="DDC9">
        <f t="shared" si="32"/>
        <v>0</v>
      </c>
      <c r="DDD9">
        <f t="shared" si="32"/>
        <v>0</v>
      </c>
      <c r="DDE9">
        <f t="shared" si="32"/>
        <v>0</v>
      </c>
      <c r="DDF9">
        <f t="shared" si="32"/>
        <v>0</v>
      </c>
      <c r="DDG9">
        <f t="shared" si="32"/>
        <v>0</v>
      </c>
      <c r="DDH9">
        <f t="shared" si="32"/>
        <v>0</v>
      </c>
      <c r="DDI9">
        <f t="shared" si="32"/>
        <v>0</v>
      </c>
    </row>
    <row r="10" spans="1:2839" x14ac:dyDescent="0.2">
      <c r="A10" s="1">
        <v>4</v>
      </c>
      <c r="B10">
        <f>'Demand Stage 2'!B9</f>
        <v>12.5</v>
      </c>
      <c r="C10">
        <f>'Demand Stage 2'!C9</f>
        <v>12.5</v>
      </c>
      <c r="D10">
        <f>'Demand Stage 2'!D9</f>
        <v>12.5</v>
      </c>
      <c r="E10">
        <f>'Demand Stage 2'!E9</f>
        <v>33.125</v>
      </c>
      <c r="F10">
        <f>'Demand Stage 2'!F9</f>
        <v>33.125</v>
      </c>
      <c r="G10">
        <f>'Demand Stage 2'!G9</f>
        <v>33.125</v>
      </c>
      <c r="H10">
        <f>'Demand Stage 2'!H9</f>
        <v>33.125</v>
      </c>
      <c r="I10">
        <f>'Demand Stage 2'!I9</f>
        <v>35</v>
      </c>
      <c r="J10">
        <f>'Demand Stage 2'!J9</f>
        <v>35</v>
      </c>
      <c r="K10">
        <f>'Demand Stage 2'!K9</f>
        <v>56.25</v>
      </c>
      <c r="L10">
        <f>'Demand Stage 2'!L9</f>
        <v>25</v>
      </c>
      <c r="M10">
        <f>'Demand Stage 2'!M9</f>
        <v>0</v>
      </c>
      <c r="N10">
        <f>'Demand Stage 2'!N9</f>
        <v>0</v>
      </c>
      <c r="O10">
        <f>'Demand Stage 2'!O9</f>
        <v>0</v>
      </c>
      <c r="P10">
        <f>'Demand Stage 2'!P9</f>
        <v>0</v>
      </c>
      <c r="Q10">
        <f>'Demand Stage 2'!Q9</f>
        <v>0</v>
      </c>
      <c r="R10">
        <f>'Demand Stage 2'!R9</f>
        <v>0</v>
      </c>
      <c r="S10">
        <f>'Demand Stage 2'!S9</f>
        <v>0</v>
      </c>
      <c r="T10">
        <f>'Demand Stage 2'!T9</f>
        <v>0</v>
      </c>
      <c r="U10">
        <f>'Demand Stage 2'!U9</f>
        <v>0</v>
      </c>
      <c r="V10">
        <f>'Demand Stage 2'!V9</f>
        <v>0</v>
      </c>
      <c r="W10">
        <f>'Demand Stage 2'!W9</f>
        <v>0</v>
      </c>
      <c r="X10">
        <f>'Demand Stage 2'!X9</f>
        <v>12.5</v>
      </c>
      <c r="Y10">
        <f>'Demand Stage 2'!Y9</f>
        <v>12.5</v>
      </c>
      <c r="Z10">
        <f>'Demand Stage 2'!Z9</f>
        <v>12.5</v>
      </c>
      <c r="AA10">
        <f>'Demand Stage 2'!AA9</f>
        <v>33.125</v>
      </c>
      <c r="AB10">
        <f>'Demand Stage 2'!AB9</f>
        <v>33.125</v>
      </c>
      <c r="AC10">
        <f>'Demand Stage 2'!AC9</f>
        <v>33.125</v>
      </c>
      <c r="AD10">
        <f>'Demand Stage 2'!AD9</f>
        <v>33.125</v>
      </c>
      <c r="AE10">
        <f>'Demand Stage 2'!AE9</f>
        <v>15</v>
      </c>
      <c r="AF10">
        <f>'Demand Stage 2'!AF9</f>
        <v>35</v>
      </c>
      <c r="AG10">
        <f>'Demand Stage 2'!AG9</f>
        <v>56.25</v>
      </c>
      <c r="AH10">
        <f>'Demand Stage 2'!AH9</f>
        <v>25</v>
      </c>
      <c r="AI10">
        <f>'Demand Stage 2'!AI9</f>
        <v>0</v>
      </c>
      <c r="AJ10">
        <f>'Demand Stage 2'!AJ9</f>
        <v>0</v>
      </c>
      <c r="AK10">
        <f>'Demand Stage 2'!AK9</f>
        <v>0</v>
      </c>
      <c r="AL10">
        <f>'Demand Stage 2'!AL9</f>
        <v>0</v>
      </c>
      <c r="AM10">
        <f>'Demand Stage 2'!AM9</f>
        <v>0</v>
      </c>
      <c r="AN10">
        <f>'Demand Stage 2'!AN9</f>
        <v>0</v>
      </c>
      <c r="AO10">
        <f>'Demand Stage 2'!AO9</f>
        <v>0</v>
      </c>
      <c r="AP10">
        <f>'Demand Stage 2'!AP9</f>
        <v>0</v>
      </c>
      <c r="AQ10">
        <f>'Demand Stage 2'!AQ9</f>
        <v>0</v>
      </c>
      <c r="AR10">
        <f>'Demand Stage 2'!AR9</f>
        <v>0</v>
      </c>
      <c r="AS10">
        <f>'Demand Stage 2'!AS9</f>
        <v>0</v>
      </c>
      <c r="AT10">
        <f>'Demand Stage 2'!AT9</f>
        <v>12.5</v>
      </c>
      <c r="AU10">
        <f>'Demand Stage 2'!AU9</f>
        <v>12.5</v>
      </c>
      <c r="AV10">
        <f>'Demand Stage 2'!AV9</f>
        <v>12.5</v>
      </c>
      <c r="AW10">
        <f>'Demand Stage 2'!AW9</f>
        <v>33.125</v>
      </c>
      <c r="AX10">
        <f>'Demand Stage 2'!AX9</f>
        <v>23.125</v>
      </c>
      <c r="AY10">
        <f>'Demand Stage 2'!AY9</f>
        <v>33.125</v>
      </c>
      <c r="AZ10">
        <f>'Demand Stage 2'!AZ9</f>
        <v>23.125</v>
      </c>
      <c r="BA10">
        <f>'Demand Stage 2'!BA9</f>
        <v>35</v>
      </c>
      <c r="BB10">
        <f>'Demand Stage 2'!BB9</f>
        <v>35</v>
      </c>
      <c r="BC10">
        <f>'Demand Stage 2'!BC9</f>
        <v>56.25</v>
      </c>
      <c r="BD10">
        <f>'Demand Stage 2'!BD9</f>
        <v>25</v>
      </c>
      <c r="BE10">
        <f>'Demand Stage 2'!BE9</f>
        <v>0</v>
      </c>
      <c r="BF10">
        <f>'Demand Stage 2'!BF9</f>
        <v>0</v>
      </c>
      <c r="BG10">
        <f>'Demand Stage 2'!BG9</f>
        <v>0</v>
      </c>
      <c r="BH10">
        <f>'Demand Stage 2'!BH9</f>
        <v>0</v>
      </c>
      <c r="BI10">
        <f>'Demand Stage 2'!BI9</f>
        <v>0</v>
      </c>
      <c r="BJ10">
        <f>'Demand Stage 2'!BJ9</f>
        <v>0</v>
      </c>
      <c r="BK10">
        <f>'Demand Stage 2'!BK9</f>
        <v>0</v>
      </c>
      <c r="BL10">
        <f>'Demand Stage 2'!BL9</f>
        <v>0</v>
      </c>
      <c r="BM10">
        <f>'Demand Stage 2'!BM9</f>
        <v>0</v>
      </c>
      <c r="BN10">
        <f>'Demand Stage 2'!BN9</f>
        <v>0</v>
      </c>
      <c r="BO10">
        <f>'Demand Stage 2'!BO9</f>
        <v>0</v>
      </c>
      <c r="BP10">
        <f>'Demand Stage 2'!BP9</f>
        <v>12.5</v>
      </c>
      <c r="BQ10">
        <f>'Demand Stage 2'!BQ9</f>
        <v>12.5</v>
      </c>
      <c r="BR10">
        <f>'Demand Stage 2'!BR9</f>
        <v>12.5</v>
      </c>
      <c r="BS10">
        <f>'Demand Stage 2'!BS9</f>
        <v>33.125</v>
      </c>
      <c r="BT10">
        <f>'Demand Stage 2'!BT9</f>
        <v>23.125</v>
      </c>
      <c r="BU10">
        <f>'Demand Stage 2'!BU9</f>
        <v>33.125</v>
      </c>
      <c r="BV10">
        <f>'Demand Stage 2'!BV9</f>
        <v>23.125</v>
      </c>
      <c r="BW10">
        <f>'Demand Stage 2'!BW9</f>
        <v>15</v>
      </c>
      <c r="BX10">
        <f>'Demand Stage 2'!BX9</f>
        <v>35</v>
      </c>
      <c r="BY10">
        <f>'Demand Stage 2'!BY9</f>
        <v>56.25</v>
      </c>
      <c r="BZ10">
        <f>'Demand Stage 2'!BZ9</f>
        <v>25</v>
      </c>
      <c r="CA10">
        <f>'Demand Stage 2'!CA9</f>
        <v>0</v>
      </c>
      <c r="CB10">
        <f>'Demand Stage 2'!CB9</f>
        <v>0</v>
      </c>
      <c r="CC10">
        <f>'Demand Stage 2'!CC9</f>
        <v>0</v>
      </c>
      <c r="CD10">
        <f>'Demand Stage 2'!CD9</f>
        <v>0</v>
      </c>
      <c r="CE10">
        <f>'Demand Stage 2'!CE9</f>
        <v>0</v>
      </c>
      <c r="CF10">
        <f>'Demand Stage 2'!CF9</f>
        <v>0</v>
      </c>
      <c r="CG10">
        <f>'Demand Stage 2'!CG9</f>
        <v>0</v>
      </c>
      <c r="CH10">
        <f>'Demand Stage 2'!CH9</f>
        <v>0</v>
      </c>
      <c r="CI10">
        <f>'Demand Stage 2'!CI9</f>
        <v>0</v>
      </c>
      <c r="CJ10">
        <f>'Demand Stage 2'!CJ9</f>
        <v>0</v>
      </c>
      <c r="CK10">
        <f>'Demand Stage 2'!CK9</f>
        <v>0</v>
      </c>
      <c r="CL10">
        <f>'Demand Stage 2'!CL9</f>
        <v>12.5</v>
      </c>
      <c r="CM10">
        <f>'Demand Stage 2'!CM9</f>
        <v>12.5</v>
      </c>
      <c r="CN10">
        <f>'Demand Stage 2'!CN9</f>
        <v>12.5</v>
      </c>
      <c r="CO10">
        <f>'Demand Stage 2'!CO9</f>
        <v>23.125</v>
      </c>
      <c r="CP10">
        <f>'Demand Stage 2'!CP9</f>
        <v>33.125</v>
      </c>
      <c r="CQ10">
        <f>'Demand Stage 2'!CQ9</f>
        <v>33.125</v>
      </c>
      <c r="CR10">
        <f>'Demand Stage 2'!CR9</f>
        <v>33.125</v>
      </c>
      <c r="CS10">
        <f>'Demand Stage 2'!CS9</f>
        <v>35</v>
      </c>
      <c r="CT10">
        <f>'Demand Stage 2'!CT9</f>
        <v>35</v>
      </c>
      <c r="CU10">
        <f>'Demand Stage 2'!CU9</f>
        <v>56.25</v>
      </c>
      <c r="CV10">
        <f>'Demand Stage 2'!CV9</f>
        <v>25</v>
      </c>
      <c r="CW10">
        <f>'Demand Stage 2'!CW9</f>
        <v>0</v>
      </c>
      <c r="CX10">
        <f>'Demand Stage 2'!CX9</f>
        <v>0</v>
      </c>
      <c r="CY10">
        <f>'Demand Stage 2'!CY9</f>
        <v>0</v>
      </c>
      <c r="CZ10">
        <f>'Demand Stage 2'!CZ9</f>
        <v>0</v>
      </c>
      <c r="DA10">
        <f>'Demand Stage 2'!DA9</f>
        <v>0</v>
      </c>
      <c r="DB10">
        <f>'Demand Stage 2'!DB9</f>
        <v>0</v>
      </c>
      <c r="DC10">
        <f>'Demand Stage 2'!DC9</f>
        <v>0</v>
      </c>
      <c r="DD10">
        <f>'Demand Stage 2'!DD9</f>
        <v>0</v>
      </c>
      <c r="DE10">
        <f>'Demand Stage 2'!DE9</f>
        <v>0</v>
      </c>
      <c r="DF10">
        <f>'Demand Stage 2'!DF9</f>
        <v>0</v>
      </c>
      <c r="DG10">
        <f>'Demand Stage 2'!DG9</f>
        <v>0</v>
      </c>
      <c r="DH10">
        <f>'Demand Stage 2'!DH9</f>
        <v>12.5</v>
      </c>
      <c r="DI10">
        <f>'Demand Stage 2'!DI9</f>
        <v>12.5</v>
      </c>
      <c r="DJ10">
        <f>'Demand Stage 2'!DJ9</f>
        <v>12.5</v>
      </c>
      <c r="DK10">
        <f>'Demand Stage 2'!DK9</f>
        <v>23.125</v>
      </c>
      <c r="DL10">
        <f>'Demand Stage 2'!DL9</f>
        <v>33.125</v>
      </c>
      <c r="DM10">
        <f>'Demand Stage 2'!DM9</f>
        <v>33.125</v>
      </c>
      <c r="DN10">
        <f>'Demand Stage 2'!DN9</f>
        <v>33.125</v>
      </c>
      <c r="DO10">
        <f>'Demand Stage 2'!DO9</f>
        <v>15</v>
      </c>
      <c r="DP10">
        <f>'Demand Stage 2'!DP9</f>
        <v>35</v>
      </c>
      <c r="DQ10">
        <f>'Demand Stage 2'!DQ9</f>
        <v>56.25</v>
      </c>
      <c r="DR10">
        <f>'Demand Stage 2'!DR9</f>
        <v>25</v>
      </c>
      <c r="DS10">
        <f>'Demand Stage 2'!DS9</f>
        <v>0</v>
      </c>
      <c r="DT10">
        <f>'Demand Stage 2'!DT9</f>
        <v>0</v>
      </c>
      <c r="DU10">
        <f>'Demand Stage 2'!DU9</f>
        <v>0</v>
      </c>
      <c r="DV10">
        <f>'Demand Stage 2'!DV9</f>
        <v>0</v>
      </c>
      <c r="DW10">
        <f>'Demand Stage 2'!DW9</f>
        <v>0</v>
      </c>
      <c r="DX10">
        <f>'Demand Stage 2'!DX9</f>
        <v>0</v>
      </c>
      <c r="DY10">
        <f>'Demand Stage 2'!DY9</f>
        <v>0</v>
      </c>
      <c r="DZ10">
        <f>'Demand Stage 2'!DZ9</f>
        <v>0</v>
      </c>
      <c r="EA10">
        <f>'Demand Stage 2'!EA9</f>
        <v>0</v>
      </c>
      <c r="EB10">
        <f>'Demand Stage 2'!EB9</f>
        <v>0</v>
      </c>
      <c r="EC10">
        <f>'Demand Stage 2'!EC9</f>
        <v>0</v>
      </c>
      <c r="ED10">
        <f>'Demand Stage 2'!ED9</f>
        <v>12.5</v>
      </c>
      <c r="EE10">
        <f>'Demand Stage 2'!EE9</f>
        <v>12.5</v>
      </c>
      <c r="EF10">
        <f>'Demand Stage 2'!EF9</f>
        <v>12.5</v>
      </c>
      <c r="EG10">
        <f>'Demand Stage 2'!EG9</f>
        <v>23.125</v>
      </c>
      <c r="EH10">
        <f>'Demand Stage 2'!EH9</f>
        <v>23.125</v>
      </c>
      <c r="EI10">
        <f>'Demand Stage 2'!EI9</f>
        <v>33.125</v>
      </c>
      <c r="EJ10">
        <f>'Demand Stage 2'!EJ9</f>
        <v>23.125</v>
      </c>
      <c r="EK10">
        <f>'Demand Stage 2'!EK9</f>
        <v>35</v>
      </c>
      <c r="EL10">
        <f>'Demand Stage 2'!EL9</f>
        <v>35</v>
      </c>
      <c r="EM10">
        <f>'Demand Stage 2'!EM9</f>
        <v>56.25</v>
      </c>
      <c r="EN10">
        <f>'Demand Stage 2'!EN9</f>
        <v>25</v>
      </c>
      <c r="EO10">
        <f>'Demand Stage 2'!EO9</f>
        <v>0</v>
      </c>
      <c r="EP10">
        <f>'Demand Stage 2'!EP9</f>
        <v>0</v>
      </c>
      <c r="EQ10">
        <f>'Demand Stage 2'!EQ9</f>
        <v>0</v>
      </c>
      <c r="ER10">
        <f>'Demand Stage 2'!ER9</f>
        <v>0</v>
      </c>
      <c r="ES10">
        <f>'Demand Stage 2'!ES9</f>
        <v>0</v>
      </c>
      <c r="ET10">
        <f>'Demand Stage 2'!ET9</f>
        <v>0</v>
      </c>
      <c r="EU10">
        <f>'Demand Stage 2'!EU9</f>
        <v>0</v>
      </c>
      <c r="EV10">
        <f>'Demand Stage 2'!EV9</f>
        <v>0</v>
      </c>
      <c r="EW10">
        <f>'Demand Stage 2'!EW9</f>
        <v>0</v>
      </c>
      <c r="EX10">
        <f>'Demand Stage 2'!EX9</f>
        <v>0</v>
      </c>
      <c r="EY10">
        <f>'Demand Stage 2'!EY9</f>
        <v>0</v>
      </c>
      <c r="EZ10">
        <f>'Demand Stage 2'!EZ9</f>
        <v>12.5</v>
      </c>
      <c r="FA10">
        <f>'Demand Stage 2'!FA9</f>
        <v>12.5</v>
      </c>
      <c r="FB10">
        <f>'Demand Stage 2'!FB9</f>
        <v>12.5</v>
      </c>
      <c r="FC10">
        <f>'Demand Stage 2'!FC9</f>
        <v>23.125</v>
      </c>
      <c r="FD10">
        <f>'Demand Stage 2'!FD9</f>
        <v>23.125</v>
      </c>
      <c r="FE10">
        <f>'Demand Stage 2'!FE9</f>
        <v>33.125</v>
      </c>
      <c r="FF10">
        <f>'Demand Stage 2'!FF9</f>
        <v>23.125</v>
      </c>
      <c r="FG10">
        <f>'Demand Stage 2'!FG9</f>
        <v>15</v>
      </c>
      <c r="FH10">
        <f>'Demand Stage 2'!FH9</f>
        <v>35</v>
      </c>
      <c r="FI10">
        <f>'Demand Stage 2'!FI9</f>
        <v>56.25</v>
      </c>
      <c r="FJ10">
        <f>'Demand Stage 2'!FJ9</f>
        <v>25</v>
      </c>
      <c r="FK10">
        <f>'Demand Stage 2'!FK9</f>
        <v>0</v>
      </c>
      <c r="FL10">
        <f>'Demand Stage 2'!FL9</f>
        <v>0</v>
      </c>
      <c r="FM10">
        <f>'Demand Stage 2'!FM9</f>
        <v>0</v>
      </c>
      <c r="FN10">
        <f>'Demand Stage 2'!FN9</f>
        <v>0</v>
      </c>
      <c r="FO10">
        <f>'Demand Stage 2'!FO9</f>
        <v>0</v>
      </c>
      <c r="FP10">
        <f>'Demand Stage 2'!FP9</f>
        <v>0</v>
      </c>
      <c r="FQ10">
        <f>'Demand Stage 2'!FQ9</f>
        <v>0</v>
      </c>
      <c r="FR10">
        <f>'Demand Stage 2'!FR9</f>
        <v>0</v>
      </c>
      <c r="FS10">
        <f>'Demand Stage 2'!FS9</f>
        <v>0</v>
      </c>
      <c r="FT10">
        <f>'Demand Stage 2'!FT9</f>
        <v>0</v>
      </c>
      <c r="FU10">
        <f>'Demand Stage 2'!FU9</f>
        <v>0</v>
      </c>
      <c r="FV10">
        <f>'Demand Stage 2'!FV9</f>
        <v>12.5</v>
      </c>
      <c r="FW10">
        <f>'Demand Stage 2'!FW9</f>
        <v>12.5</v>
      </c>
      <c r="FX10">
        <f>'Demand Stage 2'!FX9</f>
        <v>12.5</v>
      </c>
      <c r="FY10">
        <f>'Demand Stage 2'!FY9</f>
        <v>33.125</v>
      </c>
      <c r="FZ10">
        <f>'Demand Stage 2'!FZ9</f>
        <v>33.125</v>
      </c>
      <c r="GA10">
        <f>'Demand Stage 2'!GA9</f>
        <v>23.125</v>
      </c>
      <c r="GB10">
        <f>'Demand Stage 2'!GB9</f>
        <v>33.125</v>
      </c>
      <c r="GC10">
        <f>'Demand Stage 2'!GC9</f>
        <v>35</v>
      </c>
      <c r="GD10">
        <f>'Demand Stage 2'!GD9</f>
        <v>35</v>
      </c>
      <c r="GE10">
        <f>'Demand Stage 2'!GE9</f>
        <v>56.25</v>
      </c>
      <c r="GF10">
        <f>'Demand Stage 2'!GF9</f>
        <v>25</v>
      </c>
      <c r="GG10">
        <f>'Demand Stage 2'!GG9</f>
        <v>0</v>
      </c>
      <c r="GH10">
        <f>'Demand Stage 2'!GH9</f>
        <v>0</v>
      </c>
      <c r="GI10">
        <f>'Demand Stage 2'!GI9</f>
        <v>0</v>
      </c>
      <c r="GJ10">
        <f>'Demand Stage 2'!GJ9</f>
        <v>0</v>
      </c>
      <c r="GK10">
        <f>'Demand Stage 2'!GK9</f>
        <v>0</v>
      </c>
      <c r="GL10">
        <f>'Demand Stage 2'!GL9</f>
        <v>0</v>
      </c>
      <c r="GM10">
        <f>'Demand Stage 2'!GM9</f>
        <v>0</v>
      </c>
      <c r="GN10">
        <f>'Demand Stage 2'!GN9</f>
        <v>0</v>
      </c>
      <c r="GO10">
        <f>'Demand Stage 2'!GO9</f>
        <v>0</v>
      </c>
      <c r="GP10">
        <f>'Demand Stage 2'!GP9</f>
        <v>0</v>
      </c>
      <c r="GQ10">
        <f>'Demand Stage 2'!GQ9</f>
        <v>0</v>
      </c>
      <c r="GR10">
        <f>'Demand Stage 2'!GR9</f>
        <v>12.5</v>
      </c>
      <c r="GS10">
        <f>'Demand Stage 2'!GS9</f>
        <v>12.5</v>
      </c>
      <c r="GT10">
        <f>'Demand Stage 2'!GT9</f>
        <v>12.5</v>
      </c>
      <c r="GU10">
        <f>'Demand Stage 2'!GU9</f>
        <v>33.125</v>
      </c>
      <c r="GV10">
        <f>'Demand Stage 2'!GV9</f>
        <v>33.125</v>
      </c>
      <c r="GW10">
        <f>'Demand Stage 2'!GW9</f>
        <v>23.125</v>
      </c>
      <c r="GX10">
        <f>'Demand Stage 2'!GX9</f>
        <v>33.125</v>
      </c>
      <c r="GY10">
        <f>'Demand Stage 2'!GY9</f>
        <v>15</v>
      </c>
      <c r="GZ10">
        <f>'Demand Stage 2'!GZ9</f>
        <v>35</v>
      </c>
      <c r="HA10">
        <f>'Demand Stage 2'!HA9</f>
        <v>56.25</v>
      </c>
      <c r="HB10">
        <f>'Demand Stage 2'!HB9</f>
        <v>25</v>
      </c>
      <c r="HC10">
        <f>'Demand Stage 2'!HC9</f>
        <v>0</v>
      </c>
      <c r="HD10">
        <f>'Demand Stage 2'!HD9</f>
        <v>0</v>
      </c>
      <c r="HE10">
        <f>'Demand Stage 2'!HE9</f>
        <v>0</v>
      </c>
      <c r="HF10">
        <f>'Demand Stage 2'!HF9</f>
        <v>0</v>
      </c>
      <c r="HG10">
        <f>'Demand Stage 2'!HG9</f>
        <v>0</v>
      </c>
      <c r="HH10">
        <f>'Demand Stage 2'!HH9</f>
        <v>0</v>
      </c>
      <c r="HI10">
        <f>'Demand Stage 2'!HI9</f>
        <v>0</v>
      </c>
      <c r="HJ10">
        <f>'Demand Stage 2'!HJ9</f>
        <v>0</v>
      </c>
      <c r="HK10">
        <f>'Demand Stage 2'!HK9</f>
        <v>0</v>
      </c>
      <c r="HL10">
        <f>'Demand Stage 2'!HL9</f>
        <v>0</v>
      </c>
      <c r="HM10">
        <f>'Demand Stage 2'!HM9</f>
        <v>0</v>
      </c>
      <c r="HN10">
        <f>'Demand Stage 2'!HN9</f>
        <v>12.5</v>
      </c>
      <c r="HO10">
        <f>'Demand Stage 2'!HO9</f>
        <v>12.5</v>
      </c>
      <c r="HP10">
        <f>'Demand Stage 2'!HP9</f>
        <v>12.5</v>
      </c>
      <c r="HQ10">
        <f>'Demand Stage 2'!HQ9</f>
        <v>33.125</v>
      </c>
      <c r="HR10">
        <f>'Demand Stage 2'!HR9</f>
        <v>23.125</v>
      </c>
      <c r="HS10">
        <f>'Demand Stage 2'!HS9</f>
        <v>23.125</v>
      </c>
      <c r="HT10">
        <f>'Demand Stage 2'!HT9</f>
        <v>23.125</v>
      </c>
      <c r="HU10">
        <f>'Demand Stage 2'!HU9</f>
        <v>35</v>
      </c>
      <c r="HV10">
        <f>'Demand Stage 2'!HV9</f>
        <v>35</v>
      </c>
      <c r="HW10">
        <f>'Demand Stage 2'!HW9</f>
        <v>56.25</v>
      </c>
      <c r="HX10">
        <f>'Demand Stage 2'!HX9</f>
        <v>25</v>
      </c>
      <c r="HY10">
        <f>'Demand Stage 2'!HY9</f>
        <v>0</v>
      </c>
      <c r="HZ10">
        <f>'Demand Stage 2'!HZ9</f>
        <v>0</v>
      </c>
      <c r="IA10">
        <f>'Demand Stage 2'!IA9</f>
        <v>0</v>
      </c>
      <c r="IB10">
        <f>'Demand Stage 2'!IB9</f>
        <v>0</v>
      </c>
      <c r="IC10">
        <f>'Demand Stage 2'!IC9</f>
        <v>0</v>
      </c>
      <c r="ID10">
        <f>'Demand Stage 2'!ID9</f>
        <v>0</v>
      </c>
      <c r="IE10">
        <f>'Demand Stage 2'!IE9</f>
        <v>0</v>
      </c>
      <c r="IF10">
        <f>'Demand Stage 2'!IF9</f>
        <v>0</v>
      </c>
      <c r="IG10">
        <f>'Demand Stage 2'!IG9</f>
        <v>0</v>
      </c>
      <c r="IH10">
        <f>'Demand Stage 2'!IH9</f>
        <v>0</v>
      </c>
      <c r="II10">
        <f>'Demand Stage 2'!II9</f>
        <v>0</v>
      </c>
      <c r="IJ10">
        <f>'Demand Stage 2'!IJ9</f>
        <v>12.5</v>
      </c>
      <c r="IK10">
        <f>'Demand Stage 2'!IK9</f>
        <v>12.5</v>
      </c>
      <c r="IL10">
        <f>'Demand Stage 2'!IL9</f>
        <v>12.5</v>
      </c>
      <c r="IM10">
        <f>'Demand Stage 2'!IM9</f>
        <v>33.125</v>
      </c>
      <c r="IN10">
        <f>'Demand Stage 2'!IN9</f>
        <v>23.125</v>
      </c>
      <c r="IO10">
        <f>'Demand Stage 2'!IO9</f>
        <v>23.125</v>
      </c>
      <c r="IP10">
        <f>'Demand Stage 2'!IP9</f>
        <v>23.125</v>
      </c>
      <c r="IQ10">
        <f>'Demand Stage 2'!IQ9</f>
        <v>15</v>
      </c>
      <c r="IR10">
        <f>'Demand Stage 2'!IR9</f>
        <v>35</v>
      </c>
      <c r="IS10">
        <f>'Demand Stage 2'!IS9</f>
        <v>56.25</v>
      </c>
      <c r="IT10">
        <f>'Demand Stage 2'!IT9</f>
        <v>25</v>
      </c>
      <c r="IU10">
        <f>'Demand Stage 2'!IU9</f>
        <v>0</v>
      </c>
      <c r="IV10">
        <f>'Demand Stage 2'!IV9</f>
        <v>0</v>
      </c>
      <c r="IW10">
        <f>'Demand Stage 2'!IW9</f>
        <v>0</v>
      </c>
      <c r="IX10">
        <f>'Demand Stage 2'!IX9</f>
        <v>0</v>
      </c>
      <c r="IY10">
        <f>'Demand Stage 2'!IY9</f>
        <v>0</v>
      </c>
      <c r="IZ10">
        <f>'Demand Stage 2'!IZ9</f>
        <v>0</v>
      </c>
      <c r="JA10">
        <f>'Demand Stage 2'!JA9</f>
        <v>0</v>
      </c>
      <c r="JB10">
        <f>'Demand Stage 2'!JB9</f>
        <v>0</v>
      </c>
      <c r="JC10">
        <f>'Demand Stage 2'!JC9</f>
        <v>0</v>
      </c>
      <c r="JD10">
        <f>'Demand Stage 2'!JD9</f>
        <v>0</v>
      </c>
      <c r="JE10">
        <f>'Demand Stage 2'!JE9</f>
        <v>0</v>
      </c>
      <c r="JF10">
        <f>'Demand Stage 2'!JF9</f>
        <v>12.5</v>
      </c>
      <c r="JG10">
        <f>'Demand Stage 2'!JG9</f>
        <v>12.5</v>
      </c>
      <c r="JH10">
        <f>'Demand Stage 2'!JH9</f>
        <v>12.5</v>
      </c>
      <c r="JI10">
        <f>'Demand Stage 2'!JI9</f>
        <v>23.125</v>
      </c>
      <c r="JJ10">
        <f>'Demand Stage 2'!JJ9</f>
        <v>33.125</v>
      </c>
      <c r="JK10">
        <f>'Demand Stage 2'!JK9</f>
        <v>23.125</v>
      </c>
      <c r="JL10">
        <f>'Demand Stage 2'!JL9</f>
        <v>33.125</v>
      </c>
      <c r="JM10">
        <f>'Demand Stage 2'!JM9</f>
        <v>35</v>
      </c>
      <c r="JN10">
        <f>'Demand Stage 2'!JN9</f>
        <v>35</v>
      </c>
      <c r="JO10">
        <f>'Demand Stage 2'!JO9</f>
        <v>56.25</v>
      </c>
      <c r="JP10">
        <f>'Demand Stage 2'!JP9</f>
        <v>25</v>
      </c>
      <c r="JQ10">
        <f>'Demand Stage 2'!JQ9</f>
        <v>0</v>
      </c>
      <c r="JR10">
        <f>'Demand Stage 2'!JR9</f>
        <v>0</v>
      </c>
      <c r="JS10">
        <f>'Demand Stage 2'!JS9</f>
        <v>0</v>
      </c>
      <c r="JT10">
        <f>'Demand Stage 2'!JT9</f>
        <v>0</v>
      </c>
      <c r="JU10">
        <f>'Demand Stage 2'!JU9</f>
        <v>0</v>
      </c>
      <c r="JV10">
        <f>'Demand Stage 2'!JV9</f>
        <v>0</v>
      </c>
      <c r="JW10">
        <f>'Demand Stage 2'!JW9</f>
        <v>0</v>
      </c>
      <c r="JX10">
        <f>'Demand Stage 2'!JX9</f>
        <v>0</v>
      </c>
      <c r="JY10">
        <f>'Demand Stage 2'!JY9</f>
        <v>0</v>
      </c>
      <c r="JZ10">
        <f>'Demand Stage 2'!JZ9</f>
        <v>0</v>
      </c>
      <c r="KA10">
        <f>'Demand Stage 2'!KA9</f>
        <v>0</v>
      </c>
      <c r="KB10">
        <f>'Demand Stage 2'!KB9</f>
        <v>12.5</v>
      </c>
      <c r="KC10">
        <f>'Demand Stage 2'!KC9</f>
        <v>12.5</v>
      </c>
      <c r="KD10">
        <f>'Demand Stage 2'!KD9</f>
        <v>12.5</v>
      </c>
      <c r="KE10">
        <f>'Demand Stage 2'!KE9</f>
        <v>23.125</v>
      </c>
      <c r="KF10">
        <f>'Demand Stage 2'!KF9</f>
        <v>33.125</v>
      </c>
      <c r="KG10">
        <f>'Demand Stage 2'!KG9</f>
        <v>23.125</v>
      </c>
      <c r="KH10">
        <f>'Demand Stage 2'!KH9</f>
        <v>33.125</v>
      </c>
      <c r="KI10">
        <f>'Demand Stage 2'!KI9</f>
        <v>15</v>
      </c>
      <c r="KJ10">
        <f>'Demand Stage 2'!KJ9</f>
        <v>35</v>
      </c>
      <c r="KK10">
        <f>'Demand Stage 2'!KK9</f>
        <v>56.25</v>
      </c>
      <c r="KL10">
        <f>'Demand Stage 2'!KL9</f>
        <v>25</v>
      </c>
      <c r="KM10">
        <f>'Demand Stage 2'!KM9</f>
        <v>0</v>
      </c>
      <c r="KN10">
        <f>'Demand Stage 2'!KN9</f>
        <v>0</v>
      </c>
      <c r="KO10">
        <f>'Demand Stage 2'!KO9</f>
        <v>0</v>
      </c>
      <c r="KP10">
        <f>'Demand Stage 2'!KP9</f>
        <v>0</v>
      </c>
      <c r="KQ10">
        <f>'Demand Stage 2'!KQ9</f>
        <v>0</v>
      </c>
      <c r="KR10">
        <f>'Demand Stage 2'!KR9</f>
        <v>0</v>
      </c>
      <c r="KS10">
        <f>'Demand Stage 2'!KS9</f>
        <v>0</v>
      </c>
      <c r="KT10">
        <f>'Demand Stage 2'!KT9</f>
        <v>0</v>
      </c>
      <c r="KU10">
        <f>'Demand Stage 2'!KU9</f>
        <v>0</v>
      </c>
      <c r="KV10">
        <f>'Demand Stage 2'!KV9</f>
        <v>0</v>
      </c>
      <c r="KW10">
        <f>'Demand Stage 2'!KW9</f>
        <v>0</v>
      </c>
      <c r="KX10">
        <f>'Demand Stage 2'!KX9</f>
        <v>12.5</v>
      </c>
      <c r="KY10">
        <f>'Demand Stage 2'!KY9</f>
        <v>12.5</v>
      </c>
      <c r="KZ10">
        <f>'Demand Stage 2'!KZ9</f>
        <v>12.5</v>
      </c>
      <c r="LA10">
        <f>'Demand Stage 2'!LA9</f>
        <v>23.125</v>
      </c>
      <c r="LB10">
        <f>'Demand Stage 2'!LB9</f>
        <v>23.125</v>
      </c>
      <c r="LC10">
        <f>'Demand Stage 2'!LC9</f>
        <v>23.125</v>
      </c>
      <c r="LD10">
        <f>'Demand Stage 2'!LD9</f>
        <v>23.125</v>
      </c>
      <c r="LE10">
        <f>'Demand Stage 2'!LE9</f>
        <v>35</v>
      </c>
      <c r="LF10">
        <f>'Demand Stage 2'!LF9</f>
        <v>35</v>
      </c>
      <c r="LG10">
        <f>'Demand Stage 2'!LG9</f>
        <v>56.25</v>
      </c>
      <c r="LH10">
        <f>'Demand Stage 2'!LH9</f>
        <v>25</v>
      </c>
      <c r="LI10">
        <f>'Demand Stage 2'!LI9</f>
        <v>0</v>
      </c>
      <c r="LJ10">
        <f>'Demand Stage 2'!LJ9</f>
        <v>0</v>
      </c>
      <c r="LK10">
        <f>'Demand Stage 2'!LK9</f>
        <v>0</v>
      </c>
      <c r="LL10">
        <f>'Demand Stage 2'!LL9</f>
        <v>0</v>
      </c>
      <c r="LM10">
        <f>'Demand Stage 2'!LM9</f>
        <v>0</v>
      </c>
      <c r="LN10">
        <f>'Demand Stage 2'!LN9</f>
        <v>0</v>
      </c>
      <c r="LO10">
        <f>'Demand Stage 2'!LO9</f>
        <v>0</v>
      </c>
      <c r="LP10">
        <f>'Demand Stage 2'!LP9</f>
        <v>0</v>
      </c>
      <c r="LQ10">
        <f>'Demand Stage 2'!LQ9</f>
        <v>0</v>
      </c>
      <c r="LR10">
        <f>'Demand Stage 2'!LR9</f>
        <v>0</v>
      </c>
      <c r="LS10">
        <f>'Demand Stage 2'!LS9</f>
        <v>0</v>
      </c>
      <c r="LT10">
        <f>'Demand Stage 2'!LT9</f>
        <v>12.5</v>
      </c>
      <c r="LU10">
        <f>'Demand Stage 2'!LU9</f>
        <v>12.5</v>
      </c>
      <c r="LV10">
        <f>'Demand Stage 2'!LV9</f>
        <v>12.5</v>
      </c>
      <c r="LW10">
        <f>'Demand Stage 2'!LW9</f>
        <v>23.125</v>
      </c>
      <c r="LX10">
        <f>'Demand Stage 2'!LX9</f>
        <v>23.125</v>
      </c>
      <c r="LY10">
        <f>'Demand Stage 2'!LY9</f>
        <v>23.125</v>
      </c>
      <c r="LZ10">
        <f>'Demand Stage 2'!LZ9</f>
        <v>23.125</v>
      </c>
      <c r="MA10">
        <f>'Demand Stage 2'!MA9</f>
        <v>15</v>
      </c>
      <c r="MB10">
        <f>'Demand Stage 2'!MB9</f>
        <v>35</v>
      </c>
      <c r="MC10">
        <f>'Demand Stage 2'!MC9</f>
        <v>56.25</v>
      </c>
      <c r="MD10">
        <f>'Demand Stage 2'!MD9</f>
        <v>25</v>
      </c>
      <c r="ME10">
        <f>'Demand Stage 2'!ME9</f>
        <v>0</v>
      </c>
      <c r="MF10">
        <f>'Demand Stage 2'!MF9</f>
        <v>0</v>
      </c>
      <c r="MG10">
        <f>'Demand Stage 2'!MG9</f>
        <v>0</v>
      </c>
      <c r="MH10">
        <f>'Demand Stage 2'!MH9</f>
        <v>0</v>
      </c>
      <c r="MI10">
        <f>'Demand Stage 2'!MI9</f>
        <v>0</v>
      </c>
      <c r="MJ10">
        <f>'Demand Stage 2'!MJ9</f>
        <v>0</v>
      </c>
      <c r="MK10">
        <f>'Demand Stage 2'!MK9</f>
        <v>0</v>
      </c>
      <c r="ML10">
        <f>'Demand Stage 2'!ML9</f>
        <v>0</v>
      </c>
      <c r="MM10">
        <f>'Demand Stage 2'!MM9</f>
        <v>0</v>
      </c>
      <c r="MN10">
        <f>'Demand Stage 2'!MN9</f>
        <v>0</v>
      </c>
      <c r="MO10">
        <f>'Demand Stage 2'!MO9</f>
        <v>0</v>
      </c>
      <c r="MP10">
        <f>'Demand Stage 2'!MP9</f>
        <v>12.5</v>
      </c>
      <c r="MQ10">
        <f>'Demand Stage 2'!MQ9</f>
        <v>12.5</v>
      </c>
      <c r="MR10">
        <f>'Demand Stage 2'!MR9</f>
        <v>12.5</v>
      </c>
      <c r="MS10">
        <f>'Demand Stage 2'!MS9</f>
        <v>33.125</v>
      </c>
      <c r="MT10">
        <f>'Demand Stage 2'!MT9</f>
        <v>33.125</v>
      </c>
      <c r="MU10">
        <f>'Demand Stage 2'!MU9</f>
        <v>33.125</v>
      </c>
      <c r="MV10">
        <f>'Demand Stage 2'!MV9</f>
        <v>33.125</v>
      </c>
      <c r="MW10">
        <f>'Demand Stage 2'!MW9</f>
        <v>35</v>
      </c>
      <c r="MX10">
        <f>'Demand Stage 2'!MX9</f>
        <v>15</v>
      </c>
      <c r="MY10">
        <f>'Demand Stage 2'!MY9</f>
        <v>56.25</v>
      </c>
      <c r="MZ10">
        <f>'Demand Stage 2'!MZ9</f>
        <v>25</v>
      </c>
      <c r="NA10">
        <f>'Demand Stage 2'!NA9</f>
        <v>0</v>
      </c>
      <c r="NB10">
        <f>'Demand Stage 2'!NB9</f>
        <v>0</v>
      </c>
      <c r="NC10">
        <f>'Demand Stage 2'!NC9</f>
        <v>0</v>
      </c>
      <c r="ND10">
        <f>'Demand Stage 2'!ND9</f>
        <v>0</v>
      </c>
      <c r="NE10">
        <f>'Demand Stage 2'!NE9</f>
        <v>0</v>
      </c>
      <c r="NF10">
        <f>'Demand Stage 2'!NF9</f>
        <v>0</v>
      </c>
      <c r="NG10">
        <f>'Demand Stage 2'!NG9</f>
        <v>0</v>
      </c>
      <c r="NH10">
        <f>'Demand Stage 2'!NH9</f>
        <v>0</v>
      </c>
      <c r="NI10">
        <f>'Demand Stage 2'!NI9</f>
        <v>0</v>
      </c>
      <c r="NJ10">
        <f>'Demand Stage 2'!NJ9</f>
        <v>0</v>
      </c>
      <c r="NK10">
        <f>'Demand Stage 2'!NK9</f>
        <v>0</v>
      </c>
      <c r="NL10">
        <f>'Demand Stage 2'!NL9</f>
        <v>12.5</v>
      </c>
      <c r="NM10">
        <f>'Demand Stage 2'!NM9</f>
        <v>12.5</v>
      </c>
      <c r="NN10">
        <f>'Demand Stage 2'!NN9</f>
        <v>12.5</v>
      </c>
      <c r="NO10">
        <f>'Demand Stage 2'!NO9</f>
        <v>33.125</v>
      </c>
      <c r="NP10">
        <f>'Demand Stage 2'!NP9</f>
        <v>33.125</v>
      </c>
      <c r="NQ10">
        <f>'Demand Stage 2'!NQ9</f>
        <v>33.125</v>
      </c>
      <c r="NR10">
        <f>'Demand Stage 2'!NR9</f>
        <v>33.125</v>
      </c>
      <c r="NS10">
        <f>'Demand Stage 2'!NS9</f>
        <v>15</v>
      </c>
      <c r="NT10">
        <f>'Demand Stage 2'!NT9</f>
        <v>15</v>
      </c>
      <c r="NU10">
        <f>'Demand Stage 2'!NU9</f>
        <v>56.25</v>
      </c>
      <c r="NV10">
        <f>'Demand Stage 2'!NV9</f>
        <v>25</v>
      </c>
      <c r="NW10">
        <f>'Demand Stage 2'!NW9</f>
        <v>0</v>
      </c>
      <c r="NX10">
        <f>'Demand Stage 2'!NX9</f>
        <v>0</v>
      </c>
      <c r="NY10">
        <f>'Demand Stage 2'!NY9</f>
        <v>0</v>
      </c>
      <c r="NZ10">
        <f>'Demand Stage 2'!NZ9</f>
        <v>0</v>
      </c>
      <c r="OA10">
        <f>'Demand Stage 2'!OA9</f>
        <v>0</v>
      </c>
      <c r="OB10">
        <f>'Demand Stage 2'!OB9</f>
        <v>0</v>
      </c>
      <c r="OC10">
        <f>'Demand Stage 2'!OC9</f>
        <v>0</v>
      </c>
      <c r="OD10">
        <f>'Demand Stage 2'!OD9</f>
        <v>0</v>
      </c>
      <c r="OE10">
        <f>'Demand Stage 2'!OE9</f>
        <v>0</v>
      </c>
      <c r="OF10">
        <f>'Demand Stage 2'!OF9</f>
        <v>0</v>
      </c>
      <c r="OG10">
        <f>'Demand Stage 2'!OG9</f>
        <v>0</v>
      </c>
      <c r="OH10">
        <f>'Demand Stage 2'!OH9</f>
        <v>12.5</v>
      </c>
      <c r="OI10">
        <f>'Demand Stage 2'!OI9</f>
        <v>12.5</v>
      </c>
      <c r="OJ10">
        <f>'Demand Stage 2'!OJ9</f>
        <v>12.5</v>
      </c>
      <c r="OK10">
        <f>'Demand Stage 2'!OK9</f>
        <v>33.125</v>
      </c>
      <c r="OL10">
        <f>'Demand Stage 2'!OL9</f>
        <v>23.125</v>
      </c>
      <c r="OM10">
        <f>'Demand Stage 2'!OM9</f>
        <v>33.125</v>
      </c>
      <c r="ON10">
        <f>'Demand Stage 2'!ON9</f>
        <v>23.125</v>
      </c>
      <c r="OO10">
        <f>'Demand Stage 2'!OO9</f>
        <v>35</v>
      </c>
      <c r="OP10">
        <f>'Demand Stage 2'!OP9</f>
        <v>15</v>
      </c>
      <c r="OQ10">
        <f>'Demand Stage 2'!OQ9</f>
        <v>56.25</v>
      </c>
      <c r="OR10">
        <f>'Demand Stage 2'!OR9</f>
        <v>25</v>
      </c>
      <c r="OS10">
        <f>'Demand Stage 2'!OS9</f>
        <v>0</v>
      </c>
      <c r="OT10">
        <f>'Demand Stage 2'!OT9</f>
        <v>0</v>
      </c>
      <c r="OU10">
        <f>'Demand Stage 2'!OU9</f>
        <v>0</v>
      </c>
      <c r="OV10">
        <f>'Demand Stage 2'!OV9</f>
        <v>0</v>
      </c>
      <c r="OW10">
        <f>'Demand Stage 2'!OW9</f>
        <v>0</v>
      </c>
      <c r="OX10">
        <f>'Demand Stage 2'!OX9</f>
        <v>0</v>
      </c>
      <c r="OY10">
        <f>'Demand Stage 2'!OY9</f>
        <v>0</v>
      </c>
      <c r="OZ10">
        <f>'Demand Stage 2'!OZ9</f>
        <v>0</v>
      </c>
      <c r="PA10">
        <f>'Demand Stage 2'!PA9</f>
        <v>0</v>
      </c>
      <c r="PB10">
        <f>'Demand Stage 2'!PB9</f>
        <v>0</v>
      </c>
      <c r="PC10">
        <f>'Demand Stage 2'!PC9</f>
        <v>0</v>
      </c>
      <c r="PD10">
        <f>'Demand Stage 2'!PD9</f>
        <v>12.5</v>
      </c>
      <c r="PE10">
        <f>'Demand Stage 2'!PE9</f>
        <v>12.5</v>
      </c>
      <c r="PF10">
        <f>'Demand Stage 2'!PF9</f>
        <v>12.5</v>
      </c>
      <c r="PG10">
        <f>'Demand Stage 2'!PG9</f>
        <v>33.125</v>
      </c>
      <c r="PH10">
        <f>'Demand Stage 2'!PH9</f>
        <v>23.125</v>
      </c>
      <c r="PI10">
        <f>'Demand Stage 2'!PI9</f>
        <v>33.125</v>
      </c>
      <c r="PJ10">
        <f>'Demand Stage 2'!PJ9</f>
        <v>23.125</v>
      </c>
      <c r="PK10">
        <f>'Demand Stage 2'!PK9</f>
        <v>15</v>
      </c>
      <c r="PL10">
        <f>'Demand Stage 2'!PL9</f>
        <v>15</v>
      </c>
      <c r="PM10">
        <f>'Demand Stage 2'!PM9</f>
        <v>56.25</v>
      </c>
      <c r="PN10">
        <f>'Demand Stage 2'!PN9</f>
        <v>25</v>
      </c>
      <c r="PO10">
        <f>'Demand Stage 2'!PO9</f>
        <v>0</v>
      </c>
      <c r="PP10">
        <f>'Demand Stage 2'!PP9</f>
        <v>0</v>
      </c>
      <c r="PQ10">
        <f>'Demand Stage 2'!PQ9</f>
        <v>0</v>
      </c>
      <c r="PR10">
        <f>'Demand Stage 2'!PR9</f>
        <v>0</v>
      </c>
      <c r="PS10">
        <f>'Demand Stage 2'!PS9</f>
        <v>0</v>
      </c>
      <c r="PT10">
        <f>'Demand Stage 2'!PT9</f>
        <v>0</v>
      </c>
      <c r="PU10">
        <f>'Demand Stage 2'!PU9</f>
        <v>0</v>
      </c>
      <c r="PV10">
        <f>'Demand Stage 2'!PV9</f>
        <v>0</v>
      </c>
      <c r="PW10">
        <f>'Demand Stage 2'!PW9</f>
        <v>0</v>
      </c>
      <c r="PX10">
        <f>'Demand Stage 2'!PX9</f>
        <v>0</v>
      </c>
      <c r="PY10">
        <f>'Demand Stage 2'!PY9</f>
        <v>0</v>
      </c>
      <c r="PZ10">
        <f>'Demand Stage 2'!PZ9</f>
        <v>12.5</v>
      </c>
      <c r="QA10">
        <f>'Demand Stage 2'!QA9</f>
        <v>12.5</v>
      </c>
      <c r="QB10">
        <f>'Demand Stage 2'!QB9</f>
        <v>12.5</v>
      </c>
      <c r="QC10">
        <f>'Demand Stage 2'!QC9</f>
        <v>23.125</v>
      </c>
      <c r="QD10">
        <f>'Demand Stage 2'!QD9</f>
        <v>33.125</v>
      </c>
      <c r="QE10">
        <f>'Demand Stage 2'!QE9</f>
        <v>33.125</v>
      </c>
      <c r="QF10">
        <f>'Demand Stage 2'!QF9</f>
        <v>33.125</v>
      </c>
      <c r="QG10">
        <f>'Demand Stage 2'!QG9</f>
        <v>35</v>
      </c>
      <c r="QH10">
        <f>'Demand Stage 2'!QH9</f>
        <v>15</v>
      </c>
      <c r="QI10">
        <f>'Demand Stage 2'!QI9</f>
        <v>56.25</v>
      </c>
      <c r="QJ10">
        <f>'Demand Stage 2'!QJ9</f>
        <v>25</v>
      </c>
      <c r="QK10">
        <f>'Demand Stage 2'!QK9</f>
        <v>0</v>
      </c>
      <c r="QL10">
        <f>'Demand Stage 2'!QL9</f>
        <v>0</v>
      </c>
      <c r="QM10">
        <f>'Demand Stage 2'!QM9</f>
        <v>0</v>
      </c>
      <c r="QN10">
        <f>'Demand Stage 2'!QN9</f>
        <v>0</v>
      </c>
      <c r="QO10">
        <f>'Demand Stage 2'!QO9</f>
        <v>0</v>
      </c>
      <c r="QP10">
        <f>'Demand Stage 2'!QP9</f>
        <v>0</v>
      </c>
      <c r="QQ10">
        <f>'Demand Stage 2'!QQ9</f>
        <v>0</v>
      </c>
      <c r="QR10">
        <f>'Demand Stage 2'!QR9</f>
        <v>0</v>
      </c>
      <c r="QS10">
        <f>'Demand Stage 2'!QS9</f>
        <v>0</v>
      </c>
      <c r="QT10">
        <f>'Demand Stage 2'!QT9</f>
        <v>0</v>
      </c>
      <c r="QU10">
        <f>'Demand Stage 2'!QU9</f>
        <v>0</v>
      </c>
      <c r="QV10">
        <f>'Demand Stage 2'!QV9</f>
        <v>12.5</v>
      </c>
      <c r="QW10">
        <f>'Demand Stage 2'!QW9</f>
        <v>12.5</v>
      </c>
      <c r="QX10">
        <f>'Demand Stage 2'!QX9</f>
        <v>12.5</v>
      </c>
      <c r="QY10">
        <f>'Demand Stage 2'!QY9</f>
        <v>23.125</v>
      </c>
      <c r="QZ10">
        <f>'Demand Stage 2'!QZ9</f>
        <v>33.125</v>
      </c>
      <c r="RA10">
        <f>'Demand Stage 2'!RA9</f>
        <v>33.125</v>
      </c>
      <c r="RB10">
        <f>'Demand Stage 2'!RB9</f>
        <v>33.125</v>
      </c>
      <c r="RC10">
        <f>'Demand Stage 2'!RC9</f>
        <v>15</v>
      </c>
      <c r="RD10">
        <f>'Demand Stage 2'!RD9</f>
        <v>15</v>
      </c>
      <c r="RE10">
        <f>'Demand Stage 2'!RE9</f>
        <v>56.25</v>
      </c>
      <c r="RF10">
        <f>'Demand Stage 2'!RF9</f>
        <v>25</v>
      </c>
      <c r="RG10">
        <f>'Demand Stage 2'!RG9</f>
        <v>0</v>
      </c>
      <c r="RH10">
        <f>'Demand Stage 2'!RH9</f>
        <v>0</v>
      </c>
      <c r="RI10">
        <f>'Demand Stage 2'!RI9</f>
        <v>0</v>
      </c>
      <c r="RJ10">
        <f>'Demand Stage 2'!RJ9</f>
        <v>0</v>
      </c>
      <c r="RK10">
        <f>'Demand Stage 2'!RK9</f>
        <v>0</v>
      </c>
      <c r="RL10">
        <f>'Demand Stage 2'!RL9</f>
        <v>0</v>
      </c>
      <c r="RM10">
        <f>'Demand Stage 2'!RM9</f>
        <v>0</v>
      </c>
      <c r="RN10">
        <f>'Demand Stage 2'!RN9</f>
        <v>0</v>
      </c>
      <c r="RO10">
        <f>'Demand Stage 2'!RO9</f>
        <v>0</v>
      </c>
      <c r="RP10">
        <f>'Demand Stage 2'!RP9</f>
        <v>0</v>
      </c>
      <c r="RQ10">
        <f>'Demand Stage 2'!RQ9</f>
        <v>0</v>
      </c>
      <c r="RR10">
        <f>'Demand Stage 2'!RR9</f>
        <v>12.5</v>
      </c>
      <c r="RS10">
        <f>'Demand Stage 2'!RS9</f>
        <v>12.5</v>
      </c>
      <c r="RT10">
        <f>'Demand Stage 2'!RT9</f>
        <v>12.5</v>
      </c>
      <c r="RU10">
        <f>'Demand Stage 2'!RU9</f>
        <v>23.125</v>
      </c>
      <c r="RV10">
        <f>'Demand Stage 2'!RV9</f>
        <v>23.125</v>
      </c>
      <c r="RW10">
        <f>'Demand Stage 2'!RW9</f>
        <v>33.125</v>
      </c>
      <c r="RX10">
        <f>'Demand Stage 2'!RX9</f>
        <v>23.125</v>
      </c>
      <c r="RY10">
        <f>'Demand Stage 2'!RY9</f>
        <v>35</v>
      </c>
      <c r="RZ10">
        <f>'Demand Stage 2'!RZ9</f>
        <v>15</v>
      </c>
      <c r="SA10">
        <f>'Demand Stage 2'!SA9</f>
        <v>56.25</v>
      </c>
      <c r="SB10">
        <f>'Demand Stage 2'!SB9</f>
        <v>25</v>
      </c>
      <c r="SC10">
        <f>'Demand Stage 2'!SC9</f>
        <v>0</v>
      </c>
      <c r="SD10">
        <f>'Demand Stage 2'!SD9</f>
        <v>0</v>
      </c>
      <c r="SE10">
        <f>'Demand Stage 2'!SE9</f>
        <v>0</v>
      </c>
      <c r="SF10">
        <f>'Demand Stage 2'!SF9</f>
        <v>0</v>
      </c>
      <c r="SG10">
        <f>'Demand Stage 2'!SG9</f>
        <v>0</v>
      </c>
      <c r="SH10">
        <f>'Demand Stage 2'!SH9</f>
        <v>0</v>
      </c>
      <c r="SI10">
        <f>'Demand Stage 2'!SI9</f>
        <v>0</v>
      </c>
      <c r="SJ10">
        <f>'Demand Stage 2'!SJ9</f>
        <v>0</v>
      </c>
      <c r="SK10">
        <f>'Demand Stage 2'!SK9</f>
        <v>0</v>
      </c>
      <c r="SL10">
        <f>'Demand Stage 2'!SL9</f>
        <v>0</v>
      </c>
      <c r="SM10">
        <f>'Demand Stage 2'!SM9</f>
        <v>0</v>
      </c>
      <c r="SN10">
        <f>'Demand Stage 2'!SN9</f>
        <v>12.5</v>
      </c>
      <c r="SO10">
        <f>'Demand Stage 2'!SO9</f>
        <v>12.5</v>
      </c>
      <c r="SP10">
        <f>'Demand Stage 2'!SP9</f>
        <v>12.5</v>
      </c>
      <c r="SQ10">
        <f>'Demand Stage 2'!SQ9</f>
        <v>23.125</v>
      </c>
      <c r="SR10">
        <f>'Demand Stage 2'!SR9</f>
        <v>23.125</v>
      </c>
      <c r="SS10">
        <f>'Demand Stage 2'!SS9</f>
        <v>33.125</v>
      </c>
      <c r="ST10">
        <f>'Demand Stage 2'!ST9</f>
        <v>23.125</v>
      </c>
      <c r="SU10">
        <f>'Demand Stage 2'!SU9</f>
        <v>15</v>
      </c>
      <c r="SV10">
        <f>'Demand Stage 2'!SV9</f>
        <v>15</v>
      </c>
      <c r="SW10">
        <f>'Demand Stage 2'!SW9</f>
        <v>56.25</v>
      </c>
      <c r="SX10">
        <f>'Demand Stage 2'!SX9</f>
        <v>25</v>
      </c>
      <c r="SY10">
        <f>'Demand Stage 2'!SY9</f>
        <v>0</v>
      </c>
      <c r="SZ10">
        <f>'Demand Stage 2'!SZ9</f>
        <v>0</v>
      </c>
      <c r="TA10">
        <f>'Demand Stage 2'!TA9</f>
        <v>0</v>
      </c>
      <c r="TB10">
        <f>'Demand Stage 2'!TB9</f>
        <v>0</v>
      </c>
      <c r="TC10">
        <f>'Demand Stage 2'!TC9</f>
        <v>0</v>
      </c>
      <c r="TD10">
        <f>'Demand Stage 2'!TD9</f>
        <v>0</v>
      </c>
      <c r="TE10">
        <f>'Demand Stage 2'!TE9</f>
        <v>0</v>
      </c>
      <c r="TF10">
        <f>'Demand Stage 2'!TF9</f>
        <v>0</v>
      </c>
      <c r="TG10">
        <f>'Demand Stage 2'!TG9</f>
        <v>0</v>
      </c>
      <c r="TH10">
        <f>'Demand Stage 2'!TH9</f>
        <v>0</v>
      </c>
      <c r="TI10">
        <f>'Demand Stage 2'!TI9</f>
        <v>0</v>
      </c>
      <c r="TJ10">
        <f>'Demand Stage 2'!TJ9</f>
        <v>12.5</v>
      </c>
      <c r="TK10">
        <f>'Demand Stage 2'!TK9</f>
        <v>12.5</v>
      </c>
      <c r="TL10">
        <f>'Demand Stage 2'!TL9</f>
        <v>12.5</v>
      </c>
      <c r="TM10">
        <f>'Demand Stage 2'!TM9</f>
        <v>33.125</v>
      </c>
      <c r="TN10">
        <f>'Demand Stage 2'!TN9</f>
        <v>33.125</v>
      </c>
      <c r="TO10">
        <f>'Demand Stage 2'!TO9</f>
        <v>23.125</v>
      </c>
      <c r="TP10">
        <f>'Demand Stage 2'!TP9</f>
        <v>33.125</v>
      </c>
      <c r="TQ10">
        <f>'Demand Stage 2'!TQ9</f>
        <v>35</v>
      </c>
      <c r="TR10">
        <f>'Demand Stage 2'!TR9</f>
        <v>15</v>
      </c>
      <c r="TS10">
        <f>'Demand Stage 2'!TS9</f>
        <v>56.25</v>
      </c>
      <c r="TT10">
        <f>'Demand Stage 2'!TT9</f>
        <v>25</v>
      </c>
      <c r="TU10">
        <f>'Demand Stage 2'!TU9</f>
        <v>0</v>
      </c>
      <c r="TV10">
        <f>'Demand Stage 2'!TV9</f>
        <v>0</v>
      </c>
      <c r="TW10">
        <f>'Demand Stage 2'!TW9</f>
        <v>0</v>
      </c>
      <c r="TX10">
        <f>'Demand Stage 2'!TX9</f>
        <v>0</v>
      </c>
      <c r="TY10">
        <f>'Demand Stage 2'!TY9</f>
        <v>0</v>
      </c>
      <c r="TZ10">
        <f>'Demand Stage 2'!TZ9</f>
        <v>0</v>
      </c>
      <c r="UA10">
        <f>'Demand Stage 2'!UA9</f>
        <v>0</v>
      </c>
      <c r="UB10">
        <f>'Demand Stage 2'!UB9</f>
        <v>0</v>
      </c>
      <c r="UC10">
        <f>'Demand Stage 2'!UC9</f>
        <v>0</v>
      </c>
      <c r="UD10">
        <f>'Demand Stage 2'!UD9</f>
        <v>0</v>
      </c>
      <c r="UE10">
        <f>'Demand Stage 2'!UE9</f>
        <v>0</v>
      </c>
      <c r="UF10">
        <f>'Demand Stage 2'!UF9</f>
        <v>12.5</v>
      </c>
      <c r="UG10">
        <f>'Demand Stage 2'!UG9</f>
        <v>12.5</v>
      </c>
      <c r="UH10">
        <f>'Demand Stage 2'!UH9</f>
        <v>12.5</v>
      </c>
      <c r="UI10">
        <f>'Demand Stage 2'!UI9</f>
        <v>33.125</v>
      </c>
      <c r="UJ10">
        <f>'Demand Stage 2'!UJ9</f>
        <v>33.125</v>
      </c>
      <c r="UK10">
        <f>'Demand Stage 2'!UK9</f>
        <v>23.125</v>
      </c>
      <c r="UL10">
        <f>'Demand Stage 2'!UL9</f>
        <v>33.125</v>
      </c>
      <c r="UM10">
        <f>'Demand Stage 2'!UM9</f>
        <v>15</v>
      </c>
      <c r="UN10">
        <f>'Demand Stage 2'!UN9</f>
        <v>15</v>
      </c>
      <c r="UO10">
        <f>'Demand Stage 2'!UO9</f>
        <v>56.25</v>
      </c>
      <c r="UP10">
        <f>'Demand Stage 2'!UP9</f>
        <v>25</v>
      </c>
      <c r="UQ10">
        <f>'Demand Stage 2'!UQ9</f>
        <v>0</v>
      </c>
      <c r="UR10">
        <f>'Demand Stage 2'!UR9</f>
        <v>0</v>
      </c>
      <c r="US10">
        <f>'Demand Stage 2'!US9</f>
        <v>0</v>
      </c>
      <c r="UT10">
        <f>'Demand Stage 2'!UT9</f>
        <v>0</v>
      </c>
      <c r="UU10">
        <f>'Demand Stage 2'!UU9</f>
        <v>0</v>
      </c>
      <c r="UV10">
        <f>'Demand Stage 2'!UV9</f>
        <v>0</v>
      </c>
      <c r="UW10">
        <f>'Demand Stage 2'!UW9</f>
        <v>0</v>
      </c>
      <c r="UX10">
        <f>'Demand Stage 2'!UX9</f>
        <v>0</v>
      </c>
      <c r="UY10">
        <f>'Demand Stage 2'!UY9</f>
        <v>0</v>
      </c>
      <c r="UZ10">
        <f>'Demand Stage 2'!UZ9</f>
        <v>0</v>
      </c>
      <c r="VA10">
        <f>'Demand Stage 2'!VA9</f>
        <v>0</v>
      </c>
      <c r="VB10">
        <f>'Demand Stage 2'!VB9</f>
        <v>12.5</v>
      </c>
      <c r="VC10">
        <f>'Demand Stage 2'!VC9</f>
        <v>12.5</v>
      </c>
      <c r="VD10">
        <f>'Demand Stage 2'!VD9</f>
        <v>12.5</v>
      </c>
      <c r="VE10">
        <f>'Demand Stage 2'!VE9</f>
        <v>33.125</v>
      </c>
      <c r="VF10">
        <f>'Demand Stage 2'!VF9</f>
        <v>23.125</v>
      </c>
      <c r="VG10">
        <f>'Demand Stage 2'!VG9</f>
        <v>23.125</v>
      </c>
      <c r="VH10">
        <f>'Demand Stage 2'!VH9</f>
        <v>23.125</v>
      </c>
      <c r="VI10">
        <f>'Demand Stage 2'!VI9</f>
        <v>35</v>
      </c>
      <c r="VJ10">
        <f>'Demand Stage 2'!VJ9</f>
        <v>15</v>
      </c>
      <c r="VK10">
        <f>'Demand Stage 2'!VK9</f>
        <v>56.25</v>
      </c>
      <c r="VL10">
        <f>'Demand Stage 2'!VL9</f>
        <v>25</v>
      </c>
      <c r="VM10">
        <f>'Demand Stage 2'!VM9</f>
        <v>0</v>
      </c>
      <c r="VN10">
        <f>'Demand Stage 2'!VN9</f>
        <v>0</v>
      </c>
      <c r="VO10">
        <f>'Demand Stage 2'!VO9</f>
        <v>0</v>
      </c>
      <c r="VP10">
        <f>'Demand Stage 2'!VP9</f>
        <v>0</v>
      </c>
      <c r="VQ10">
        <f>'Demand Stage 2'!VQ9</f>
        <v>0</v>
      </c>
      <c r="VR10">
        <f>'Demand Stage 2'!VR9</f>
        <v>0</v>
      </c>
      <c r="VS10">
        <f>'Demand Stage 2'!VS9</f>
        <v>0</v>
      </c>
      <c r="VT10">
        <f>'Demand Stage 2'!VT9</f>
        <v>0</v>
      </c>
      <c r="VU10">
        <f>'Demand Stage 2'!VU9</f>
        <v>0</v>
      </c>
      <c r="VV10">
        <f>'Demand Stage 2'!VV9</f>
        <v>0</v>
      </c>
      <c r="VW10">
        <f>'Demand Stage 2'!VW9</f>
        <v>0</v>
      </c>
      <c r="VX10">
        <f>'Demand Stage 2'!VX9</f>
        <v>12.5</v>
      </c>
      <c r="VY10">
        <f>'Demand Stage 2'!VY9</f>
        <v>12.5</v>
      </c>
      <c r="VZ10">
        <f>'Demand Stage 2'!VZ9</f>
        <v>12.5</v>
      </c>
      <c r="WA10">
        <f>'Demand Stage 2'!WA9</f>
        <v>33.125</v>
      </c>
      <c r="WB10">
        <f>'Demand Stage 2'!WB9</f>
        <v>23.125</v>
      </c>
      <c r="WC10">
        <f>'Demand Stage 2'!WC9</f>
        <v>23.125</v>
      </c>
      <c r="WD10">
        <f>'Demand Stage 2'!WD9</f>
        <v>23.125</v>
      </c>
      <c r="WE10">
        <f>'Demand Stage 2'!WE9</f>
        <v>15</v>
      </c>
      <c r="WF10">
        <f>'Demand Stage 2'!WF9</f>
        <v>15</v>
      </c>
      <c r="WG10">
        <f>'Demand Stage 2'!WG9</f>
        <v>56.25</v>
      </c>
      <c r="WH10">
        <f>'Demand Stage 2'!WH9</f>
        <v>25</v>
      </c>
      <c r="WI10">
        <f>'Demand Stage 2'!WI9</f>
        <v>0</v>
      </c>
      <c r="WJ10">
        <f>'Demand Stage 2'!WJ9</f>
        <v>0</v>
      </c>
      <c r="WK10">
        <f>'Demand Stage 2'!WK9</f>
        <v>0</v>
      </c>
      <c r="WL10">
        <f>'Demand Stage 2'!WL9</f>
        <v>0</v>
      </c>
      <c r="WM10">
        <f>'Demand Stage 2'!WM9</f>
        <v>0</v>
      </c>
      <c r="WN10">
        <f>'Demand Stage 2'!WN9</f>
        <v>0</v>
      </c>
      <c r="WO10">
        <f>'Demand Stage 2'!WO9</f>
        <v>0</v>
      </c>
      <c r="WP10">
        <f>'Demand Stage 2'!WP9</f>
        <v>0</v>
      </c>
      <c r="WQ10">
        <f>'Demand Stage 2'!WQ9</f>
        <v>0</v>
      </c>
      <c r="WR10">
        <f>'Demand Stage 2'!WR9</f>
        <v>0</v>
      </c>
      <c r="WS10">
        <f>'Demand Stage 2'!WS9</f>
        <v>0</v>
      </c>
      <c r="WT10">
        <f>'Demand Stage 2'!WT9</f>
        <v>12.5</v>
      </c>
      <c r="WU10">
        <f>'Demand Stage 2'!WU9</f>
        <v>12.5</v>
      </c>
      <c r="WV10">
        <f>'Demand Stage 2'!WV9</f>
        <v>12.5</v>
      </c>
      <c r="WW10">
        <f>'Demand Stage 2'!WW9</f>
        <v>23.125</v>
      </c>
      <c r="WX10">
        <f>'Demand Stage 2'!WX9</f>
        <v>33.125</v>
      </c>
      <c r="WY10">
        <f>'Demand Stage 2'!WY9</f>
        <v>23.125</v>
      </c>
      <c r="WZ10">
        <f>'Demand Stage 2'!WZ9</f>
        <v>33.125</v>
      </c>
      <c r="XA10">
        <f>'Demand Stage 2'!XA9</f>
        <v>35</v>
      </c>
      <c r="XB10">
        <f>'Demand Stage 2'!XB9</f>
        <v>15</v>
      </c>
      <c r="XC10">
        <f>'Demand Stage 2'!XC9</f>
        <v>56.25</v>
      </c>
      <c r="XD10">
        <f>'Demand Stage 2'!XD9</f>
        <v>25</v>
      </c>
      <c r="XE10">
        <f>'Demand Stage 2'!XE9</f>
        <v>0</v>
      </c>
      <c r="XF10">
        <f>'Demand Stage 2'!XF9</f>
        <v>0</v>
      </c>
      <c r="XG10">
        <f>'Demand Stage 2'!XG9</f>
        <v>0</v>
      </c>
      <c r="XH10">
        <f>'Demand Stage 2'!XH9</f>
        <v>0</v>
      </c>
      <c r="XI10">
        <f>'Demand Stage 2'!XI9</f>
        <v>0</v>
      </c>
      <c r="XJ10">
        <f>'Demand Stage 2'!XJ9</f>
        <v>0</v>
      </c>
      <c r="XK10">
        <f>'Demand Stage 2'!XK9</f>
        <v>0</v>
      </c>
      <c r="XL10">
        <f>'Demand Stage 2'!XL9</f>
        <v>0</v>
      </c>
      <c r="XM10">
        <f>'Demand Stage 2'!XM9</f>
        <v>0</v>
      </c>
      <c r="XN10">
        <f>'Demand Stage 2'!XN9</f>
        <v>0</v>
      </c>
      <c r="XO10">
        <f>'Demand Stage 2'!XO9</f>
        <v>0</v>
      </c>
      <c r="XP10">
        <f>'Demand Stage 2'!XP9</f>
        <v>12.5</v>
      </c>
      <c r="XQ10">
        <f>'Demand Stage 2'!XQ9</f>
        <v>12.5</v>
      </c>
      <c r="XR10">
        <f>'Demand Stage 2'!XR9</f>
        <v>12.5</v>
      </c>
      <c r="XS10">
        <f>'Demand Stage 2'!XS9</f>
        <v>23.125</v>
      </c>
      <c r="XT10">
        <f>'Demand Stage 2'!XT9</f>
        <v>33.125</v>
      </c>
      <c r="XU10">
        <f>'Demand Stage 2'!XU9</f>
        <v>23.125</v>
      </c>
      <c r="XV10">
        <f>'Demand Stage 2'!XV9</f>
        <v>33.125</v>
      </c>
      <c r="XW10">
        <f>'Demand Stage 2'!XW9</f>
        <v>15</v>
      </c>
      <c r="XX10">
        <f>'Demand Stage 2'!XX9</f>
        <v>15</v>
      </c>
      <c r="XY10">
        <f>'Demand Stage 2'!XY9</f>
        <v>56.25</v>
      </c>
      <c r="XZ10">
        <f>'Demand Stage 2'!XZ9</f>
        <v>25</v>
      </c>
      <c r="YA10">
        <f>'Demand Stage 2'!YA9</f>
        <v>0</v>
      </c>
      <c r="YB10">
        <f>'Demand Stage 2'!YB9</f>
        <v>0</v>
      </c>
      <c r="YC10">
        <f>'Demand Stage 2'!YC9</f>
        <v>0</v>
      </c>
      <c r="YD10">
        <f>'Demand Stage 2'!YD9</f>
        <v>0</v>
      </c>
      <c r="YE10">
        <f>'Demand Stage 2'!YE9</f>
        <v>0</v>
      </c>
      <c r="YF10">
        <f>'Demand Stage 2'!YF9</f>
        <v>0</v>
      </c>
      <c r="YG10">
        <f>'Demand Stage 2'!YG9</f>
        <v>0</v>
      </c>
      <c r="YH10">
        <f>'Demand Stage 2'!YH9</f>
        <v>0</v>
      </c>
      <c r="YI10">
        <f>'Demand Stage 2'!YI9</f>
        <v>0</v>
      </c>
      <c r="YJ10">
        <f>'Demand Stage 2'!YJ9</f>
        <v>0</v>
      </c>
      <c r="YK10">
        <f>'Demand Stage 2'!YK9</f>
        <v>0</v>
      </c>
      <c r="YL10">
        <f>'Demand Stage 2'!YL9</f>
        <v>12.5</v>
      </c>
      <c r="YM10">
        <f>'Demand Stage 2'!YM9</f>
        <v>12.5</v>
      </c>
      <c r="YN10">
        <f>'Demand Stage 2'!YN9</f>
        <v>12.5</v>
      </c>
      <c r="YO10">
        <f>'Demand Stage 2'!YO9</f>
        <v>23.125</v>
      </c>
      <c r="YP10">
        <f>'Demand Stage 2'!YP9</f>
        <v>23.125</v>
      </c>
      <c r="YQ10">
        <f>'Demand Stage 2'!YQ9</f>
        <v>23.125</v>
      </c>
      <c r="YR10">
        <f>'Demand Stage 2'!YR9</f>
        <v>23.125</v>
      </c>
      <c r="YS10">
        <f>'Demand Stage 2'!YS9</f>
        <v>35</v>
      </c>
      <c r="YT10">
        <f>'Demand Stage 2'!YT9</f>
        <v>15</v>
      </c>
      <c r="YU10">
        <f>'Demand Stage 2'!YU9</f>
        <v>56.25</v>
      </c>
      <c r="YV10">
        <f>'Demand Stage 2'!YV9</f>
        <v>25</v>
      </c>
      <c r="YW10">
        <f>'Demand Stage 2'!YW9</f>
        <v>0</v>
      </c>
      <c r="YX10">
        <f>'Demand Stage 2'!YX9</f>
        <v>0</v>
      </c>
      <c r="YY10">
        <f>'Demand Stage 2'!YY9</f>
        <v>0</v>
      </c>
      <c r="YZ10">
        <f>'Demand Stage 2'!YZ9</f>
        <v>0</v>
      </c>
      <c r="ZA10">
        <f>'Demand Stage 2'!ZA9</f>
        <v>0</v>
      </c>
      <c r="ZB10">
        <f>'Demand Stage 2'!ZB9</f>
        <v>0</v>
      </c>
      <c r="ZC10">
        <f>'Demand Stage 2'!ZC9</f>
        <v>0</v>
      </c>
      <c r="ZD10">
        <f>'Demand Stage 2'!ZD9</f>
        <v>0</v>
      </c>
      <c r="ZE10">
        <f>'Demand Stage 2'!ZE9</f>
        <v>0</v>
      </c>
      <c r="ZF10">
        <f>'Demand Stage 2'!ZF9</f>
        <v>0</v>
      </c>
      <c r="ZG10">
        <f>'Demand Stage 2'!ZG9</f>
        <v>0</v>
      </c>
      <c r="ZH10">
        <f>'Demand Stage 2'!ZH9</f>
        <v>12.5</v>
      </c>
      <c r="ZI10">
        <f>'Demand Stage 2'!ZI9</f>
        <v>12.5</v>
      </c>
      <c r="ZJ10">
        <f>'Demand Stage 2'!ZJ9</f>
        <v>12.5</v>
      </c>
      <c r="ZK10">
        <f>'Demand Stage 2'!ZK9</f>
        <v>23.125</v>
      </c>
      <c r="ZL10">
        <f>'Demand Stage 2'!ZL9</f>
        <v>23.125</v>
      </c>
      <c r="ZM10">
        <f>'Demand Stage 2'!ZM9</f>
        <v>23.125</v>
      </c>
      <c r="ZN10">
        <f>'Demand Stage 2'!ZN9</f>
        <v>23.125</v>
      </c>
      <c r="ZO10">
        <f>'Demand Stage 2'!ZO9</f>
        <v>15</v>
      </c>
      <c r="ZP10">
        <f>'Demand Stage 2'!ZP9</f>
        <v>15</v>
      </c>
      <c r="ZQ10">
        <f>'Demand Stage 2'!ZQ9</f>
        <v>56.25</v>
      </c>
      <c r="ZR10">
        <f>'Demand Stage 2'!ZR9</f>
        <v>25</v>
      </c>
      <c r="ZS10">
        <f>'Demand Stage 2'!ZS9</f>
        <v>0</v>
      </c>
      <c r="ZT10">
        <f>'Demand Stage 2'!ZT9</f>
        <v>0</v>
      </c>
      <c r="ZU10">
        <f>'Demand Stage 2'!ZU9</f>
        <v>0</v>
      </c>
      <c r="ZV10">
        <f>'Demand Stage 2'!ZV9</f>
        <v>0</v>
      </c>
      <c r="ZW10">
        <f>'Demand Stage 2'!ZW9</f>
        <v>0</v>
      </c>
      <c r="ZX10">
        <f>'Demand Stage 2'!ZX9</f>
        <v>0</v>
      </c>
      <c r="ZY10">
        <f>'Demand Stage 2'!ZY9</f>
        <v>0</v>
      </c>
      <c r="ZZ10">
        <f>'Demand Stage 2'!ZZ9</f>
        <v>0</v>
      </c>
      <c r="AAA10">
        <f>'Demand Stage 2'!AAA9</f>
        <v>0</v>
      </c>
      <c r="AAB10">
        <f>'Demand Stage 2'!AAB9</f>
        <v>0</v>
      </c>
      <c r="AAC10">
        <f>'Demand Stage 2'!AAC9</f>
        <v>0</v>
      </c>
      <c r="AAD10">
        <f t="shared" si="33"/>
        <v>12.5</v>
      </c>
      <c r="AAE10">
        <f t="shared" ref="AAE10:AAE29" si="66">C10</f>
        <v>12.5</v>
      </c>
      <c r="AAF10">
        <f t="shared" ref="AAF10:AAF29" si="67">D10</f>
        <v>12.5</v>
      </c>
      <c r="AAG10">
        <f t="shared" ref="AAG10:AAG29" si="68">E10</f>
        <v>33.125</v>
      </c>
      <c r="AAH10">
        <f t="shared" ref="AAH10:AAH29" si="69">F10</f>
        <v>33.125</v>
      </c>
      <c r="AAI10">
        <f t="shared" ref="AAI10:AAI29" si="70">G10</f>
        <v>33.125</v>
      </c>
      <c r="AAJ10">
        <f t="shared" ref="AAJ10:AAJ29" si="71">H10</f>
        <v>33.125</v>
      </c>
      <c r="AAK10">
        <f t="shared" ref="AAK10:AAK29" si="72">I10</f>
        <v>35</v>
      </c>
      <c r="AAL10">
        <f t="shared" ref="AAL10:AAL29" si="73">J10</f>
        <v>35</v>
      </c>
      <c r="AAM10">
        <f t="shared" ref="AAM10:AAM29" si="74">K10</f>
        <v>56.25</v>
      </c>
      <c r="AAN10">
        <f t="shared" ref="AAN10:AAN29" si="75">L10</f>
        <v>25</v>
      </c>
      <c r="AAO10">
        <f t="shared" ref="AAO10:AAO29" si="76">M10</f>
        <v>0</v>
      </c>
      <c r="AAP10">
        <f t="shared" ref="AAP10:AAP29" si="77">N10</f>
        <v>0</v>
      </c>
      <c r="AAQ10">
        <f t="shared" ref="AAQ10:AAQ29" si="78">O10</f>
        <v>0</v>
      </c>
      <c r="AAR10">
        <f t="shared" ref="AAR10:AAR29" si="79">P10</f>
        <v>0</v>
      </c>
      <c r="AAS10">
        <f t="shared" ref="AAS10:AAS29" si="80">Q10</f>
        <v>0</v>
      </c>
      <c r="AAT10">
        <f t="shared" ref="AAT10:AAT29" si="81">R10</f>
        <v>0</v>
      </c>
      <c r="AAU10">
        <f t="shared" ref="AAU10:AAU29" si="82">S10</f>
        <v>0</v>
      </c>
      <c r="AAV10">
        <f t="shared" ref="AAV10:AAV29" si="83">T10</f>
        <v>0</v>
      </c>
      <c r="AAW10">
        <f t="shared" ref="AAW10:AAW29" si="84">U10</f>
        <v>0</v>
      </c>
      <c r="AAX10">
        <f t="shared" ref="AAX10:AAX29" si="85">V10</f>
        <v>0</v>
      </c>
      <c r="AAY10">
        <f t="shared" ref="AAY10:AAY29" si="86">W10</f>
        <v>0</v>
      </c>
      <c r="AAZ10">
        <f t="shared" ref="AAZ10:AAZ29" si="87">X10</f>
        <v>12.5</v>
      </c>
      <c r="ABA10">
        <f t="shared" ref="ABA10:ABA29" si="88">Y10</f>
        <v>12.5</v>
      </c>
      <c r="ABB10">
        <f t="shared" ref="ABB10:ABB29" si="89">Z10</f>
        <v>12.5</v>
      </c>
      <c r="ABC10">
        <f t="shared" ref="ABC10:ABC29" si="90">AA10</f>
        <v>33.125</v>
      </c>
      <c r="ABD10">
        <f t="shared" ref="ABD10:ABD29" si="91">AB10</f>
        <v>33.125</v>
      </c>
      <c r="ABE10">
        <f t="shared" ref="ABE10:ABE29" si="92">AC10</f>
        <v>33.125</v>
      </c>
      <c r="ABF10">
        <f t="shared" ref="ABF10:ABF29" si="93">AD10</f>
        <v>33.125</v>
      </c>
      <c r="ABG10">
        <f t="shared" ref="ABG10:ABG29" si="94">AE10</f>
        <v>15</v>
      </c>
      <c r="ABH10">
        <f t="shared" ref="ABH10:ABH29" si="95">AF10</f>
        <v>35</v>
      </c>
      <c r="ABI10">
        <f t="shared" ref="ABI10:ABI29" si="96">AG10</f>
        <v>56.25</v>
      </c>
      <c r="ABJ10">
        <f t="shared" ref="ABJ10:ABJ29" si="97">AH10</f>
        <v>25</v>
      </c>
      <c r="ABK10">
        <f t="shared" ref="ABK10:ABK29" si="98">AI10</f>
        <v>0</v>
      </c>
      <c r="ABL10">
        <f t="shared" ref="ABL10:ABL29" si="99">AJ10</f>
        <v>0</v>
      </c>
      <c r="ABM10">
        <f t="shared" ref="ABM10:ABM29" si="100">AK10</f>
        <v>0</v>
      </c>
      <c r="ABN10">
        <f t="shared" ref="ABN10:ABN29" si="101">AL10</f>
        <v>0</v>
      </c>
      <c r="ABO10">
        <f t="shared" ref="ABO10:ABO29" si="102">AM10</f>
        <v>0</v>
      </c>
      <c r="ABP10">
        <f t="shared" ref="ABP10:ABP29" si="103">AN10</f>
        <v>0</v>
      </c>
      <c r="ABQ10">
        <f t="shared" ref="ABQ10:ABQ29" si="104">AO10</f>
        <v>0</v>
      </c>
      <c r="ABR10">
        <f t="shared" ref="ABR10:ABR29" si="105">AP10</f>
        <v>0</v>
      </c>
      <c r="ABS10">
        <f t="shared" ref="ABS10:ABS29" si="106">AQ10</f>
        <v>0</v>
      </c>
      <c r="ABT10">
        <f t="shared" ref="ABT10:ABT29" si="107">AR10</f>
        <v>0</v>
      </c>
      <c r="ABU10">
        <f t="shared" ref="ABU10:ABU29" si="108">AS10</f>
        <v>0</v>
      </c>
      <c r="ABV10">
        <f t="shared" ref="ABV10:ABV29" si="109">AT10</f>
        <v>12.5</v>
      </c>
      <c r="ABW10">
        <f t="shared" ref="ABW10:ABW29" si="110">AU10</f>
        <v>12.5</v>
      </c>
      <c r="ABX10">
        <f t="shared" ref="ABX10:ABX29" si="111">AV10</f>
        <v>12.5</v>
      </c>
      <c r="ABY10">
        <f t="shared" ref="ABY10:ABY29" si="112">AW10</f>
        <v>33.125</v>
      </c>
      <c r="ABZ10">
        <f t="shared" ref="ABZ10:ABZ29" si="113">AX10</f>
        <v>23.125</v>
      </c>
      <c r="ACA10">
        <f t="shared" ref="ACA10:ACA29" si="114">AY10</f>
        <v>33.125</v>
      </c>
      <c r="ACB10">
        <f t="shared" ref="ACB10:ACB29" si="115">AZ10</f>
        <v>23.125</v>
      </c>
      <c r="ACC10">
        <f t="shared" ref="ACC10:ACC29" si="116">BA10</f>
        <v>35</v>
      </c>
      <c r="ACD10">
        <f t="shared" ref="ACD10:ACD29" si="117">BB10</f>
        <v>35</v>
      </c>
      <c r="ACE10">
        <f t="shared" ref="ACE10:ACE29" si="118">BC10</f>
        <v>56.25</v>
      </c>
      <c r="ACF10">
        <f t="shared" ref="ACF10:ACF29" si="119">BD10</f>
        <v>25</v>
      </c>
      <c r="ACG10">
        <f t="shared" ref="ACG10:ACG29" si="120">BE10</f>
        <v>0</v>
      </c>
      <c r="ACH10">
        <f t="shared" ref="ACH10:ACH29" si="121">BF10</f>
        <v>0</v>
      </c>
      <c r="ACI10">
        <f t="shared" ref="ACI10:ACI29" si="122">BG10</f>
        <v>0</v>
      </c>
      <c r="ACJ10">
        <f t="shared" ref="ACJ10:ACJ29" si="123">BH10</f>
        <v>0</v>
      </c>
      <c r="ACK10">
        <f t="shared" ref="ACK10:ACK29" si="124">BI10</f>
        <v>0</v>
      </c>
      <c r="ACL10">
        <f t="shared" ref="ACL10:ACL29" si="125">BJ10</f>
        <v>0</v>
      </c>
      <c r="ACM10">
        <f t="shared" ref="ACM10:ACM29" si="126">BK10</f>
        <v>0</v>
      </c>
      <c r="ACN10">
        <f t="shared" ref="ACN10:ACN29" si="127">BL10</f>
        <v>0</v>
      </c>
      <c r="ACO10">
        <f t="shared" ref="ACO10:ACO29" si="128">BM10</f>
        <v>0</v>
      </c>
      <c r="ACP10">
        <f t="shared" si="34"/>
        <v>0</v>
      </c>
      <c r="ACQ10">
        <f t="shared" ref="ACQ10:ACQ29" si="129">BO10</f>
        <v>0</v>
      </c>
      <c r="ACR10">
        <f t="shared" ref="ACR10:ACR29" si="130">BP10</f>
        <v>12.5</v>
      </c>
      <c r="ACS10">
        <f t="shared" ref="ACS10:ACS29" si="131">BQ10</f>
        <v>12.5</v>
      </c>
      <c r="ACT10">
        <f t="shared" ref="ACT10:ACT29" si="132">BR10</f>
        <v>12.5</v>
      </c>
      <c r="ACU10">
        <f t="shared" ref="ACU10:ACU29" si="133">BS10</f>
        <v>33.125</v>
      </c>
      <c r="ACV10">
        <f t="shared" ref="ACV10:ACV29" si="134">BT10</f>
        <v>23.125</v>
      </c>
      <c r="ACW10">
        <f t="shared" ref="ACW10:ACW29" si="135">BU10</f>
        <v>33.125</v>
      </c>
      <c r="ACX10">
        <f t="shared" ref="ACX10:ACX29" si="136">BV10</f>
        <v>23.125</v>
      </c>
      <c r="ACY10">
        <f t="shared" ref="ACY10:ACY29" si="137">BW10</f>
        <v>15</v>
      </c>
      <c r="ACZ10">
        <f t="shared" ref="ACZ10:ACZ29" si="138">BX10</f>
        <v>35</v>
      </c>
      <c r="ADA10">
        <f t="shared" ref="ADA10:ADA29" si="139">BY10</f>
        <v>56.25</v>
      </c>
      <c r="ADB10">
        <f t="shared" ref="ADB10:ADB29" si="140">BZ10</f>
        <v>25</v>
      </c>
      <c r="ADC10">
        <f t="shared" ref="ADC10:ADC29" si="141">CA10</f>
        <v>0</v>
      </c>
      <c r="ADD10">
        <f t="shared" ref="ADD10:ADD29" si="142">CB10</f>
        <v>0</v>
      </c>
      <c r="ADE10">
        <f t="shared" ref="ADE10:ADE29" si="143">CC10</f>
        <v>0</v>
      </c>
      <c r="ADF10">
        <f t="shared" ref="ADF10:ADF29" si="144">CD10</f>
        <v>0</v>
      </c>
      <c r="ADG10">
        <f t="shared" ref="ADG10:ADG29" si="145">CE10</f>
        <v>0</v>
      </c>
      <c r="ADH10">
        <f t="shared" ref="ADH10:ADH29" si="146">CF10</f>
        <v>0</v>
      </c>
      <c r="ADI10">
        <f t="shared" ref="ADI10:ADI29" si="147">CG10</f>
        <v>0</v>
      </c>
      <c r="ADJ10">
        <f t="shared" ref="ADJ10:ADJ29" si="148">CH10</f>
        <v>0</v>
      </c>
      <c r="ADK10">
        <f t="shared" ref="ADK10:ADK29" si="149">CI10</f>
        <v>0</v>
      </c>
      <c r="ADL10">
        <f t="shared" ref="ADL10:ADL29" si="150">CJ10</f>
        <v>0</v>
      </c>
      <c r="ADM10">
        <f t="shared" ref="ADM10:ADM29" si="151">CK10</f>
        <v>0</v>
      </c>
      <c r="ADN10">
        <f t="shared" ref="ADN10:ADN29" si="152">CL10</f>
        <v>12.5</v>
      </c>
      <c r="ADO10">
        <f t="shared" ref="ADO10:ADO29" si="153">CM10</f>
        <v>12.5</v>
      </c>
      <c r="ADP10">
        <f t="shared" ref="ADP10:ADP29" si="154">CN10</f>
        <v>12.5</v>
      </c>
      <c r="ADQ10">
        <f t="shared" ref="ADQ10:ADQ29" si="155">CO10</f>
        <v>23.125</v>
      </c>
      <c r="ADR10">
        <f t="shared" ref="ADR10:ADR29" si="156">CP10</f>
        <v>33.125</v>
      </c>
      <c r="ADS10">
        <f t="shared" ref="ADS10:ADS29" si="157">CQ10</f>
        <v>33.125</v>
      </c>
      <c r="ADT10">
        <f t="shared" ref="ADT10:ADT29" si="158">CR10</f>
        <v>33.125</v>
      </c>
      <c r="ADU10">
        <f t="shared" ref="ADU10:ADU29" si="159">CS10</f>
        <v>35</v>
      </c>
      <c r="ADV10">
        <f t="shared" ref="ADV10:ADV29" si="160">CT10</f>
        <v>35</v>
      </c>
      <c r="ADW10">
        <f t="shared" ref="ADW10:ADW29" si="161">CU10</f>
        <v>56.25</v>
      </c>
      <c r="ADX10">
        <f t="shared" ref="ADX10:ADX29" si="162">CV10</f>
        <v>25</v>
      </c>
      <c r="ADY10">
        <f t="shared" ref="ADY10:ADY29" si="163">CW10</f>
        <v>0</v>
      </c>
      <c r="ADZ10">
        <f t="shared" ref="ADZ10:ADZ29" si="164">CX10</f>
        <v>0</v>
      </c>
      <c r="AEA10">
        <f t="shared" ref="AEA10:AEA29" si="165">CY10</f>
        <v>0</v>
      </c>
      <c r="AEB10">
        <f t="shared" ref="AEB10:AEB29" si="166">CZ10</f>
        <v>0</v>
      </c>
      <c r="AEC10">
        <f t="shared" ref="AEC10:AEC29" si="167">DA10</f>
        <v>0</v>
      </c>
      <c r="AED10">
        <f t="shared" ref="AED10:AED29" si="168">DB10</f>
        <v>0</v>
      </c>
      <c r="AEE10">
        <f t="shared" ref="AEE10:AEE29" si="169">DC10</f>
        <v>0</v>
      </c>
      <c r="AEF10">
        <f t="shared" ref="AEF10:AEF29" si="170">DD10</f>
        <v>0</v>
      </c>
      <c r="AEG10">
        <f t="shared" ref="AEG10:AEG29" si="171">DE10</f>
        <v>0</v>
      </c>
      <c r="AEH10">
        <f t="shared" ref="AEH10:AEH29" si="172">DF10</f>
        <v>0</v>
      </c>
      <c r="AEI10">
        <f t="shared" ref="AEI10:AEI29" si="173">DG10</f>
        <v>0</v>
      </c>
      <c r="AEJ10">
        <f t="shared" ref="AEJ10:AEJ29" si="174">DH10</f>
        <v>12.5</v>
      </c>
      <c r="AEK10">
        <f t="shared" ref="AEK10:AEK29" si="175">DI10</f>
        <v>12.5</v>
      </c>
      <c r="AEL10">
        <f t="shared" ref="AEL10:AEL29" si="176">DJ10</f>
        <v>12.5</v>
      </c>
      <c r="AEM10">
        <f t="shared" ref="AEM10:AEM29" si="177">DK10</f>
        <v>23.125</v>
      </c>
      <c r="AEN10">
        <f t="shared" ref="AEN10:AEN29" si="178">DL10</f>
        <v>33.125</v>
      </c>
      <c r="AEO10">
        <f t="shared" ref="AEO10:AEO29" si="179">DM10</f>
        <v>33.125</v>
      </c>
      <c r="AEP10">
        <f t="shared" ref="AEP10:AEP29" si="180">DN10</f>
        <v>33.125</v>
      </c>
      <c r="AEQ10">
        <f t="shared" ref="AEQ10:AEQ29" si="181">DO10</f>
        <v>15</v>
      </c>
      <c r="AER10">
        <f t="shared" ref="AER10:AER29" si="182">DP10</f>
        <v>35</v>
      </c>
      <c r="AES10">
        <f t="shared" ref="AES10:AES29" si="183">DQ10</f>
        <v>56.25</v>
      </c>
      <c r="AET10">
        <f t="shared" ref="AET10:AET29" si="184">DR10</f>
        <v>25</v>
      </c>
      <c r="AEU10">
        <f t="shared" ref="AEU10:AEU29" si="185">DS10</f>
        <v>0</v>
      </c>
      <c r="AEV10">
        <f t="shared" ref="AEV10:AEV29" si="186">DT10</f>
        <v>0</v>
      </c>
      <c r="AEW10">
        <f t="shared" ref="AEW10:AEW29" si="187">DU10</f>
        <v>0</v>
      </c>
      <c r="AEX10">
        <f t="shared" ref="AEX10:AEX29" si="188">DV10</f>
        <v>0</v>
      </c>
      <c r="AEY10">
        <f t="shared" ref="AEY10:AEY29" si="189">DW10</f>
        <v>0</v>
      </c>
      <c r="AEZ10">
        <f t="shared" ref="AEZ10:AEZ29" si="190">DX10</f>
        <v>0</v>
      </c>
      <c r="AFA10">
        <f t="shared" ref="AFA10:AFA29" si="191">DY10</f>
        <v>0</v>
      </c>
      <c r="AFB10">
        <f t="shared" si="35"/>
        <v>0</v>
      </c>
      <c r="AFC10">
        <f t="shared" ref="AFC10:AFC29" si="192">EA10</f>
        <v>0</v>
      </c>
      <c r="AFD10">
        <f t="shared" ref="AFD10:AFD29" si="193">EB10</f>
        <v>0</v>
      </c>
      <c r="AFE10">
        <f t="shared" ref="AFE10:AFE29" si="194">EC10</f>
        <v>0</v>
      </c>
      <c r="AFF10">
        <f t="shared" ref="AFF10:AFF29" si="195">ED10</f>
        <v>12.5</v>
      </c>
      <c r="AFG10">
        <f t="shared" ref="AFG10:AFG29" si="196">EE10</f>
        <v>12.5</v>
      </c>
      <c r="AFH10">
        <f t="shared" ref="AFH10:AFH29" si="197">EF10</f>
        <v>12.5</v>
      </c>
      <c r="AFI10">
        <f t="shared" ref="AFI10:AFI29" si="198">EG10</f>
        <v>23.125</v>
      </c>
      <c r="AFJ10">
        <f t="shared" ref="AFJ10:AFJ29" si="199">EH10</f>
        <v>23.125</v>
      </c>
      <c r="AFK10">
        <f t="shared" ref="AFK10:AFK29" si="200">EI10</f>
        <v>33.125</v>
      </c>
      <c r="AFL10">
        <f t="shared" ref="AFL10:AFL29" si="201">EJ10</f>
        <v>23.125</v>
      </c>
      <c r="AFM10">
        <f t="shared" ref="AFM10:AFM29" si="202">EK10</f>
        <v>35</v>
      </c>
      <c r="AFN10">
        <f t="shared" ref="AFN10:AFN29" si="203">EL10</f>
        <v>35</v>
      </c>
      <c r="AFO10">
        <f t="shared" ref="AFO10:AFO29" si="204">EM10</f>
        <v>56.25</v>
      </c>
      <c r="AFP10">
        <f t="shared" ref="AFP10:AFP29" si="205">EN10</f>
        <v>25</v>
      </c>
      <c r="AFQ10">
        <f t="shared" ref="AFQ10:AFQ29" si="206">EO10</f>
        <v>0</v>
      </c>
      <c r="AFR10">
        <f t="shared" ref="AFR10:AFR29" si="207">EP10</f>
        <v>0</v>
      </c>
      <c r="AFS10">
        <f t="shared" ref="AFS10:AFS29" si="208">EQ10</f>
        <v>0</v>
      </c>
      <c r="AFT10">
        <f t="shared" ref="AFT10:AFT29" si="209">ER10</f>
        <v>0</v>
      </c>
      <c r="AFU10">
        <f t="shared" ref="AFU10:AFU29" si="210">ES10</f>
        <v>0</v>
      </c>
      <c r="AFV10">
        <f t="shared" ref="AFV10:AFV29" si="211">ET10</f>
        <v>0</v>
      </c>
      <c r="AFW10">
        <f t="shared" ref="AFW10:AFW29" si="212">EU10</f>
        <v>0</v>
      </c>
      <c r="AFX10">
        <f t="shared" ref="AFX10:AFX29" si="213">EV10</f>
        <v>0</v>
      </c>
      <c r="AFY10">
        <f t="shared" ref="AFY10:AFY29" si="214">EW10</f>
        <v>0</v>
      </c>
      <c r="AFZ10">
        <f t="shared" ref="AFZ10:AFZ29" si="215">EX10</f>
        <v>0</v>
      </c>
      <c r="AGA10">
        <f t="shared" ref="AGA10:AGA29" si="216">EY10</f>
        <v>0</v>
      </c>
      <c r="AGB10">
        <f t="shared" ref="AGB10:AGB29" si="217">EZ10</f>
        <v>12.5</v>
      </c>
      <c r="AGC10">
        <f t="shared" ref="AGC10:AGC29" si="218">FA10</f>
        <v>12.5</v>
      </c>
      <c r="AGD10">
        <f t="shared" ref="AGD10:AGD29" si="219">FB10</f>
        <v>12.5</v>
      </c>
      <c r="AGE10">
        <f t="shared" ref="AGE10:AGE29" si="220">FC10</f>
        <v>23.125</v>
      </c>
      <c r="AGF10">
        <f t="shared" ref="AGF10:AGF29" si="221">FD10</f>
        <v>23.125</v>
      </c>
      <c r="AGG10">
        <f t="shared" ref="AGG10:AGG29" si="222">FE10</f>
        <v>33.125</v>
      </c>
      <c r="AGH10">
        <f t="shared" ref="AGH10:AGH29" si="223">FF10</f>
        <v>23.125</v>
      </c>
      <c r="AGI10">
        <f t="shared" ref="AGI10:AGI29" si="224">FG10</f>
        <v>15</v>
      </c>
      <c r="AGJ10">
        <f t="shared" ref="AGJ10:AGJ29" si="225">FH10</f>
        <v>35</v>
      </c>
      <c r="AGK10">
        <f t="shared" ref="AGK10:AGK29" si="226">FI10</f>
        <v>56.25</v>
      </c>
      <c r="AGL10">
        <f t="shared" ref="AGL10:AGL29" si="227">FJ10</f>
        <v>25</v>
      </c>
      <c r="AGM10">
        <f t="shared" ref="AGM10:AGM29" si="228">FK10</f>
        <v>0</v>
      </c>
      <c r="AGN10">
        <f t="shared" ref="AGN10:AGN29" si="229">FL10</f>
        <v>0</v>
      </c>
      <c r="AGO10">
        <f t="shared" ref="AGO10:AGO29" si="230">FM10</f>
        <v>0</v>
      </c>
      <c r="AGP10">
        <f t="shared" ref="AGP10:AGP29" si="231">FN10</f>
        <v>0</v>
      </c>
      <c r="AGQ10">
        <f t="shared" ref="AGQ10:AGQ29" si="232">FO10</f>
        <v>0</v>
      </c>
      <c r="AGR10">
        <f t="shared" ref="AGR10:AGR29" si="233">FP10</f>
        <v>0</v>
      </c>
      <c r="AGS10">
        <f t="shared" ref="AGS10:AGS29" si="234">FQ10</f>
        <v>0</v>
      </c>
      <c r="AGT10">
        <f t="shared" ref="AGT10:AGT29" si="235">FR10</f>
        <v>0</v>
      </c>
      <c r="AGU10">
        <f t="shared" ref="AGU10:AGU29" si="236">FS10</f>
        <v>0</v>
      </c>
      <c r="AGV10">
        <f t="shared" ref="AGV10:AGV29" si="237">FT10</f>
        <v>0</v>
      </c>
      <c r="AGW10">
        <f t="shared" ref="AGW10:AGW29" si="238">FU10</f>
        <v>0</v>
      </c>
      <c r="AGX10">
        <f t="shared" ref="AGX10:AGX29" si="239">FV10</f>
        <v>12.5</v>
      </c>
      <c r="AGY10">
        <f t="shared" ref="AGY10:AGY29" si="240">FW10</f>
        <v>12.5</v>
      </c>
      <c r="AGZ10">
        <f t="shared" ref="AGZ10:AGZ29" si="241">FX10</f>
        <v>12.5</v>
      </c>
      <c r="AHA10">
        <f t="shared" ref="AHA10:AHA29" si="242">FY10</f>
        <v>33.125</v>
      </c>
      <c r="AHB10">
        <f t="shared" ref="AHB10:AHB29" si="243">FZ10</f>
        <v>33.125</v>
      </c>
      <c r="AHC10">
        <f t="shared" ref="AHC10:AHC29" si="244">GA10</f>
        <v>23.125</v>
      </c>
      <c r="AHD10">
        <f t="shared" ref="AHD10:AHD29" si="245">GB10</f>
        <v>33.125</v>
      </c>
      <c r="AHE10">
        <f t="shared" ref="AHE10:AHE29" si="246">GC10</f>
        <v>35</v>
      </c>
      <c r="AHF10">
        <f t="shared" ref="AHF10:AHF29" si="247">GD10</f>
        <v>35</v>
      </c>
      <c r="AHG10">
        <f t="shared" ref="AHG10:AHG29" si="248">GE10</f>
        <v>56.25</v>
      </c>
      <c r="AHH10">
        <f t="shared" ref="AHH10:AHH29" si="249">GF10</f>
        <v>25</v>
      </c>
      <c r="AHI10">
        <f t="shared" ref="AHI10:AHI29" si="250">GG10</f>
        <v>0</v>
      </c>
      <c r="AHJ10">
        <f t="shared" ref="AHJ10:AHJ29" si="251">GH10</f>
        <v>0</v>
      </c>
      <c r="AHK10">
        <f t="shared" ref="AHK10:AHK29" si="252">GI10</f>
        <v>0</v>
      </c>
      <c r="AHL10">
        <f t="shared" ref="AHL10:AHL29" si="253">GJ10</f>
        <v>0</v>
      </c>
      <c r="AHM10">
        <f t="shared" ref="AHM10:AHM29" si="254">GK10</f>
        <v>0</v>
      </c>
      <c r="AHN10">
        <f t="shared" si="36"/>
        <v>0</v>
      </c>
      <c r="AHO10">
        <f t="shared" ref="AHO10:AHO29" si="255">GM10</f>
        <v>0</v>
      </c>
      <c r="AHP10">
        <f t="shared" ref="AHP10:AHP29" si="256">GN10</f>
        <v>0</v>
      </c>
      <c r="AHQ10">
        <f t="shared" ref="AHQ10:AHQ29" si="257">GO10</f>
        <v>0</v>
      </c>
      <c r="AHR10">
        <f t="shared" ref="AHR10:AHR29" si="258">GP10</f>
        <v>0</v>
      </c>
      <c r="AHS10">
        <f t="shared" ref="AHS10:AHS29" si="259">GQ10</f>
        <v>0</v>
      </c>
      <c r="AHT10">
        <f t="shared" ref="AHT10:AHT29" si="260">GR10</f>
        <v>12.5</v>
      </c>
      <c r="AHU10">
        <f t="shared" ref="AHU10:AHU29" si="261">GS10</f>
        <v>12.5</v>
      </c>
      <c r="AHV10">
        <f t="shared" ref="AHV10:AHV29" si="262">GT10</f>
        <v>12.5</v>
      </c>
      <c r="AHW10">
        <f t="shared" ref="AHW10:AHW29" si="263">GU10</f>
        <v>33.125</v>
      </c>
      <c r="AHX10">
        <f t="shared" ref="AHX10:AHX29" si="264">GV10</f>
        <v>33.125</v>
      </c>
      <c r="AHY10">
        <f t="shared" ref="AHY10:AHY29" si="265">GW10</f>
        <v>23.125</v>
      </c>
      <c r="AHZ10">
        <f t="shared" ref="AHZ10:AHZ29" si="266">GX10</f>
        <v>33.125</v>
      </c>
      <c r="AIA10">
        <f t="shared" ref="AIA10:AIA29" si="267">GY10</f>
        <v>15</v>
      </c>
      <c r="AIB10">
        <f t="shared" ref="AIB10:AIB29" si="268">GZ10</f>
        <v>35</v>
      </c>
      <c r="AIC10">
        <f t="shared" ref="AIC10:AIC29" si="269">HA10</f>
        <v>56.25</v>
      </c>
      <c r="AID10">
        <f t="shared" ref="AID10:AID29" si="270">HB10</f>
        <v>25</v>
      </c>
      <c r="AIE10">
        <f t="shared" ref="AIE10:AIE29" si="271">HC10</f>
        <v>0</v>
      </c>
      <c r="AIF10">
        <f t="shared" ref="AIF10:AIF29" si="272">HD10</f>
        <v>0</v>
      </c>
      <c r="AIG10">
        <f t="shared" ref="AIG10:AIG29" si="273">HE10</f>
        <v>0</v>
      </c>
      <c r="AIH10">
        <f t="shared" ref="AIH10:AIH29" si="274">HF10</f>
        <v>0</v>
      </c>
      <c r="AII10">
        <f t="shared" ref="AII10:AII29" si="275">HG10</f>
        <v>0</v>
      </c>
      <c r="AIJ10">
        <f t="shared" ref="AIJ10:AIJ29" si="276">HH10</f>
        <v>0</v>
      </c>
      <c r="AIK10">
        <f t="shared" ref="AIK10:AIK29" si="277">HI10</f>
        <v>0</v>
      </c>
      <c r="AIL10">
        <f t="shared" ref="AIL10:AIL29" si="278">HJ10</f>
        <v>0</v>
      </c>
      <c r="AIM10">
        <f t="shared" ref="AIM10:AIM29" si="279">HK10</f>
        <v>0</v>
      </c>
      <c r="AIN10">
        <f t="shared" ref="AIN10:AIN29" si="280">HL10</f>
        <v>0</v>
      </c>
      <c r="AIO10">
        <f t="shared" ref="AIO10:AIO29" si="281">HM10</f>
        <v>0</v>
      </c>
      <c r="AIP10">
        <f t="shared" ref="AIP10:AIP29" si="282">HN10</f>
        <v>12.5</v>
      </c>
      <c r="AIQ10">
        <f t="shared" ref="AIQ10:AIQ29" si="283">HO10</f>
        <v>12.5</v>
      </c>
      <c r="AIR10">
        <f t="shared" ref="AIR10:AIR29" si="284">HP10</f>
        <v>12.5</v>
      </c>
      <c r="AIS10">
        <f t="shared" ref="AIS10:AIS29" si="285">HQ10</f>
        <v>33.125</v>
      </c>
      <c r="AIT10">
        <f t="shared" ref="AIT10:AIT29" si="286">HR10</f>
        <v>23.125</v>
      </c>
      <c r="AIU10">
        <f t="shared" ref="AIU10:AIU29" si="287">HS10</f>
        <v>23.125</v>
      </c>
      <c r="AIV10">
        <f t="shared" ref="AIV10:AIV29" si="288">HT10</f>
        <v>23.125</v>
      </c>
      <c r="AIW10">
        <f t="shared" ref="AIW10:AIW29" si="289">HU10</f>
        <v>35</v>
      </c>
      <c r="AIX10">
        <f t="shared" ref="AIX10:AIX29" si="290">HV10</f>
        <v>35</v>
      </c>
      <c r="AIY10">
        <f t="shared" ref="AIY10:AIY29" si="291">HW10</f>
        <v>56.25</v>
      </c>
      <c r="AIZ10">
        <f t="shared" ref="AIZ10:AIZ29" si="292">HX10</f>
        <v>25</v>
      </c>
      <c r="AJA10">
        <f t="shared" ref="AJA10:AJA29" si="293">HY10</f>
        <v>0</v>
      </c>
      <c r="AJB10">
        <f t="shared" ref="AJB10:AJB29" si="294">HZ10</f>
        <v>0</v>
      </c>
      <c r="AJC10">
        <f t="shared" ref="AJC10:AJC29" si="295">IA10</f>
        <v>0</v>
      </c>
      <c r="AJD10">
        <f t="shared" ref="AJD10:AJD29" si="296">IB10</f>
        <v>0</v>
      </c>
      <c r="AJE10">
        <f t="shared" ref="AJE10:AJE29" si="297">IC10</f>
        <v>0</v>
      </c>
      <c r="AJF10">
        <f t="shared" ref="AJF10:AJF29" si="298">ID10</f>
        <v>0</v>
      </c>
      <c r="AJG10">
        <f t="shared" ref="AJG10:AJG29" si="299">IE10</f>
        <v>0</v>
      </c>
      <c r="AJH10">
        <f t="shared" ref="AJH10:AJH29" si="300">IF10</f>
        <v>0</v>
      </c>
      <c r="AJI10">
        <f t="shared" ref="AJI10:AJI29" si="301">IG10</f>
        <v>0</v>
      </c>
      <c r="AJJ10">
        <f t="shared" ref="AJJ10:AJJ29" si="302">IH10</f>
        <v>0</v>
      </c>
      <c r="AJK10">
        <f t="shared" ref="AJK10:AJK29" si="303">II10</f>
        <v>0</v>
      </c>
      <c r="AJL10">
        <f t="shared" ref="AJL10:AJL29" si="304">IJ10</f>
        <v>12.5</v>
      </c>
      <c r="AJM10">
        <f t="shared" ref="AJM10:AJM29" si="305">IK10</f>
        <v>12.5</v>
      </c>
      <c r="AJN10">
        <f t="shared" ref="AJN10:AJN29" si="306">IL10</f>
        <v>12.5</v>
      </c>
      <c r="AJO10">
        <f t="shared" ref="AJO10:AJO29" si="307">IM10</f>
        <v>33.125</v>
      </c>
      <c r="AJP10">
        <f t="shared" ref="AJP10:AJP29" si="308">IN10</f>
        <v>23.125</v>
      </c>
      <c r="AJQ10">
        <f t="shared" ref="AJQ10:AJQ29" si="309">IO10</f>
        <v>23.125</v>
      </c>
      <c r="AJR10">
        <f t="shared" ref="AJR10:AJR29" si="310">IP10</f>
        <v>23.125</v>
      </c>
      <c r="AJS10">
        <f t="shared" ref="AJS10:AJS29" si="311">IQ10</f>
        <v>15</v>
      </c>
      <c r="AJT10">
        <f t="shared" ref="AJT10:AJT29" si="312">IR10</f>
        <v>35</v>
      </c>
      <c r="AJU10">
        <f t="shared" ref="AJU10:AJU29" si="313">IS10</f>
        <v>56.25</v>
      </c>
      <c r="AJV10">
        <f t="shared" ref="AJV10:AJV29" si="314">IT10</f>
        <v>25</v>
      </c>
      <c r="AJW10">
        <f t="shared" ref="AJW10:AJW29" si="315">IU10</f>
        <v>0</v>
      </c>
      <c r="AJX10">
        <f t="shared" ref="AJX10:AJX29" si="316">IV10</f>
        <v>0</v>
      </c>
      <c r="AJY10">
        <f t="shared" ref="AJY10:AJY29" si="317">IW10</f>
        <v>0</v>
      </c>
      <c r="AJZ10">
        <f t="shared" si="37"/>
        <v>0</v>
      </c>
      <c r="AKA10">
        <f t="shared" ref="AKA10:AKA29" si="318">IY10</f>
        <v>0</v>
      </c>
      <c r="AKB10">
        <f t="shared" ref="AKB10:AKB29" si="319">IZ10</f>
        <v>0</v>
      </c>
      <c r="AKC10">
        <f t="shared" ref="AKC10:AKC29" si="320">JA10</f>
        <v>0</v>
      </c>
      <c r="AKD10">
        <f t="shared" ref="AKD10:AKD29" si="321">JB10</f>
        <v>0</v>
      </c>
      <c r="AKE10">
        <f t="shared" ref="AKE10:AKE29" si="322">JC10</f>
        <v>0</v>
      </c>
      <c r="AKF10">
        <f t="shared" ref="AKF10:AKF29" si="323">JD10</f>
        <v>0</v>
      </c>
      <c r="AKG10">
        <f t="shared" ref="AKG10:AKG29" si="324">JE10</f>
        <v>0</v>
      </c>
      <c r="AKH10">
        <f t="shared" ref="AKH10:AKH29" si="325">JF10</f>
        <v>12.5</v>
      </c>
      <c r="AKI10">
        <f t="shared" ref="AKI10:AKI29" si="326">JG10</f>
        <v>12.5</v>
      </c>
      <c r="AKJ10">
        <f t="shared" ref="AKJ10:AKJ29" si="327">JH10</f>
        <v>12.5</v>
      </c>
      <c r="AKK10">
        <f t="shared" ref="AKK10:AKK29" si="328">JI10</f>
        <v>23.125</v>
      </c>
      <c r="AKL10">
        <f t="shared" ref="AKL10:AKL29" si="329">JJ10</f>
        <v>33.125</v>
      </c>
      <c r="AKM10">
        <f t="shared" ref="AKM10:AKM29" si="330">JK10</f>
        <v>23.125</v>
      </c>
      <c r="AKN10">
        <f t="shared" ref="AKN10:AKN29" si="331">JL10</f>
        <v>33.125</v>
      </c>
      <c r="AKO10">
        <f t="shared" ref="AKO10:AKO29" si="332">JM10</f>
        <v>35</v>
      </c>
      <c r="AKP10">
        <f t="shared" ref="AKP10:AKP29" si="333">JN10</f>
        <v>35</v>
      </c>
      <c r="AKQ10">
        <f t="shared" ref="AKQ10:AKQ29" si="334">JO10</f>
        <v>56.25</v>
      </c>
      <c r="AKR10">
        <f t="shared" ref="AKR10:AKR29" si="335">JP10</f>
        <v>25</v>
      </c>
      <c r="AKS10">
        <f t="shared" ref="AKS10:AKS29" si="336">JQ10</f>
        <v>0</v>
      </c>
      <c r="AKT10">
        <f t="shared" ref="AKT10:AKT29" si="337">JR10</f>
        <v>0</v>
      </c>
      <c r="AKU10">
        <f t="shared" ref="AKU10:AKU29" si="338">JS10</f>
        <v>0</v>
      </c>
      <c r="AKV10">
        <f t="shared" ref="AKV10:AKV29" si="339">JT10</f>
        <v>0</v>
      </c>
      <c r="AKW10">
        <f t="shared" ref="AKW10:AKW29" si="340">JU10</f>
        <v>0</v>
      </c>
      <c r="AKX10">
        <f t="shared" ref="AKX10:AKX29" si="341">JV10</f>
        <v>0</v>
      </c>
      <c r="AKY10">
        <f t="shared" ref="AKY10:AKY29" si="342">JW10</f>
        <v>0</v>
      </c>
      <c r="AKZ10">
        <f t="shared" ref="AKZ10:AKZ29" si="343">JX10</f>
        <v>0</v>
      </c>
      <c r="ALA10">
        <f t="shared" ref="ALA10:ALA29" si="344">JY10</f>
        <v>0</v>
      </c>
      <c r="ALB10">
        <f t="shared" ref="ALB10:ALB29" si="345">JZ10</f>
        <v>0</v>
      </c>
      <c r="ALC10">
        <f t="shared" ref="ALC10:ALC29" si="346">KA10</f>
        <v>0</v>
      </c>
      <c r="ALD10">
        <f t="shared" ref="ALD10:ALD29" si="347">KB10</f>
        <v>12.5</v>
      </c>
      <c r="ALE10">
        <f t="shared" ref="ALE10:ALE29" si="348">KC10</f>
        <v>12.5</v>
      </c>
      <c r="ALF10">
        <f t="shared" ref="ALF10:ALF29" si="349">KD10</f>
        <v>12.5</v>
      </c>
      <c r="ALG10">
        <f t="shared" ref="ALG10:ALG29" si="350">KE10</f>
        <v>23.125</v>
      </c>
      <c r="ALH10">
        <f t="shared" ref="ALH10:ALH29" si="351">KF10</f>
        <v>33.125</v>
      </c>
      <c r="ALI10">
        <f t="shared" ref="ALI10:ALI29" si="352">KG10</f>
        <v>23.125</v>
      </c>
      <c r="ALJ10">
        <f t="shared" ref="ALJ10:ALJ29" si="353">KH10</f>
        <v>33.125</v>
      </c>
      <c r="ALK10">
        <f t="shared" ref="ALK10:ALK29" si="354">KI10</f>
        <v>15</v>
      </c>
      <c r="ALL10">
        <f t="shared" ref="ALL10:ALL29" si="355">KJ10</f>
        <v>35</v>
      </c>
      <c r="ALM10">
        <f t="shared" ref="ALM10:ALM29" si="356">KK10</f>
        <v>56.25</v>
      </c>
      <c r="ALN10">
        <f t="shared" ref="ALN10:ALN29" si="357">KL10</f>
        <v>25</v>
      </c>
      <c r="ALO10">
        <f t="shared" ref="ALO10:ALO29" si="358">KM10</f>
        <v>0</v>
      </c>
      <c r="ALP10">
        <f t="shared" ref="ALP10:ALP29" si="359">KN10</f>
        <v>0</v>
      </c>
      <c r="ALQ10">
        <f t="shared" ref="ALQ10:ALQ29" si="360">KO10</f>
        <v>0</v>
      </c>
      <c r="ALR10">
        <f t="shared" ref="ALR10:ALR29" si="361">KP10</f>
        <v>0</v>
      </c>
      <c r="ALS10">
        <f t="shared" ref="ALS10:ALS29" si="362">KQ10</f>
        <v>0</v>
      </c>
      <c r="ALT10">
        <f t="shared" ref="ALT10:ALT29" si="363">KR10</f>
        <v>0</v>
      </c>
      <c r="ALU10">
        <f t="shared" ref="ALU10:ALU29" si="364">KS10</f>
        <v>0</v>
      </c>
      <c r="ALV10">
        <f t="shared" ref="ALV10:ALV29" si="365">KT10</f>
        <v>0</v>
      </c>
      <c r="ALW10">
        <f t="shared" ref="ALW10:ALW29" si="366">KU10</f>
        <v>0</v>
      </c>
      <c r="ALX10">
        <f t="shared" ref="ALX10:ALX29" si="367">KV10</f>
        <v>0</v>
      </c>
      <c r="ALY10">
        <f t="shared" ref="ALY10:ALY29" si="368">KW10</f>
        <v>0</v>
      </c>
      <c r="ALZ10">
        <f t="shared" ref="ALZ10:ALZ29" si="369">KX10</f>
        <v>12.5</v>
      </c>
      <c r="AMA10">
        <f t="shared" ref="AMA10:AMA29" si="370">KY10</f>
        <v>12.5</v>
      </c>
      <c r="AMB10">
        <f t="shared" ref="AMB10:AMB29" si="371">KZ10</f>
        <v>12.5</v>
      </c>
      <c r="AMC10">
        <f t="shared" ref="AMC10:AMC29" si="372">LA10</f>
        <v>23.125</v>
      </c>
      <c r="AMD10">
        <f t="shared" ref="AMD10:AMD29" si="373">LB10</f>
        <v>23.125</v>
      </c>
      <c r="AME10">
        <f t="shared" ref="AME10:AME29" si="374">LC10</f>
        <v>23.125</v>
      </c>
      <c r="AMF10">
        <f t="shared" ref="AMF10:AMF29" si="375">LD10</f>
        <v>23.125</v>
      </c>
      <c r="AMG10">
        <f t="shared" ref="AMG10:AMG29" si="376">LE10</f>
        <v>35</v>
      </c>
      <c r="AMH10">
        <f t="shared" ref="AMH10:AMH29" si="377">LF10</f>
        <v>35</v>
      </c>
      <c r="AMI10">
        <f t="shared" ref="AMI10:AMI29" si="378">LG10</f>
        <v>56.25</v>
      </c>
      <c r="AMJ10">
        <f t="shared" ref="AMJ10:AMJ29" si="379">LH10</f>
        <v>25</v>
      </c>
      <c r="AMK10">
        <f t="shared" ref="AMK10:AMK29" si="380">LI10</f>
        <v>0</v>
      </c>
      <c r="AML10">
        <f t="shared" si="38"/>
        <v>0</v>
      </c>
      <c r="AMM10">
        <f t="shared" ref="AMM10:AMM29" si="381">LK10</f>
        <v>0</v>
      </c>
      <c r="AMN10">
        <f t="shared" ref="AMN10:AMN29" si="382">LL10</f>
        <v>0</v>
      </c>
      <c r="AMO10">
        <f t="shared" ref="AMO10:AMO29" si="383">LM10</f>
        <v>0</v>
      </c>
      <c r="AMP10">
        <f t="shared" ref="AMP10:AMP29" si="384">LN10</f>
        <v>0</v>
      </c>
      <c r="AMQ10">
        <f t="shared" ref="AMQ10:AMQ29" si="385">LO10</f>
        <v>0</v>
      </c>
      <c r="AMR10">
        <f t="shared" ref="AMR10:AMR29" si="386">LP10</f>
        <v>0</v>
      </c>
      <c r="AMS10">
        <f t="shared" ref="AMS10:AMS29" si="387">LQ10</f>
        <v>0</v>
      </c>
      <c r="AMT10">
        <f t="shared" ref="AMT10:AMT29" si="388">LR10</f>
        <v>0</v>
      </c>
      <c r="AMU10">
        <f t="shared" ref="AMU10:AMU29" si="389">LS10</f>
        <v>0</v>
      </c>
      <c r="AMV10">
        <f t="shared" ref="AMV10:AMV29" si="390">LT10</f>
        <v>12.5</v>
      </c>
      <c r="AMW10">
        <f t="shared" ref="AMW10:AMW29" si="391">LU10</f>
        <v>12.5</v>
      </c>
      <c r="AMX10">
        <f t="shared" ref="AMX10:AMX29" si="392">LV10</f>
        <v>12.5</v>
      </c>
      <c r="AMY10">
        <f t="shared" ref="AMY10:AMY29" si="393">LW10</f>
        <v>23.125</v>
      </c>
      <c r="AMZ10">
        <f t="shared" ref="AMZ10:AMZ29" si="394">LX10</f>
        <v>23.125</v>
      </c>
      <c r="ANA10">
        <f t="shared" ref="ANA10:ANA29" si="395">LY10</f>
        <v>23.125</v>
      </c>
      <c r="ANB10">
        <f t="shared" ref="ANB10:ANB29" si="396">LZ10</f>
        <v>23.125</v>
      </c>
      <c r="ANC10">
        <f t="shared" ref="ANC10:ANC29" si="397">MA10</f>
        <v>15</v>
      </c>
      <c r="AND10">
        <f t="shared" ref="AND10:AND29" si="398">MB10</f>
        <v>35</v>
      </c>
      <c r="ANE10">
        <f t="shared" ref="ANE10:ANE29" si="399">MC10</f>
        <v>56.25</v>
      </c>
      <c r="ANF10">
        <f t="shared" ref="ANF10:ANF29" si="400">MD10</f>
        <v>25</v>
      </c>
      <c r="ANG10">
        <f t="shared" ref="ANG10:ANG29" si="401">ME10</f>
        <v>0</v>
      </c>
      <c r="ANH10">
        <f t="shared" ref="ANH10:ANH29" si="402">MF10</f>
        <v>0</v>
      </c>
      <c r="ANI10">
        <f t="shared" ref="ANI10:ANI29" si="403">MG10</f>
        <v>0</v>
      </c>
      <c r="ANJ10">
        <f t="shared" ref="ANJ10:ANJ29" si="404">MH10</f>
        <v>0</v>
      </c>
      <c r="ANK10">
        <f t="shared" ref="ANK10:ANK29" si="405">MI10</f>
        <v>0</v>
      </c>
      <c r="ANL10">
        <f t="shared" ref="ANL10:ANL29" si="406">MJ10</f>
        <v>0</v>
      </c>
      <c r="ANM10">
        <f t="shared" ref="ANM10:ANM29" si="407">MK10</f>
        <v>0</v>
      </c>
      <c r="ANN10">
        <f t="shared" ref="ANN10:ANN29" si="408">ML10</f>
        <v>0</v>
      </c>
      <c r="ANO10">
        <f t="shared" ref="ANO10:ANO29" si="409">MM10</f>
        <v>0</v>
      </c>
      <c r="ANP10">
        <f t="shared" ref="ANP10:ANP29" si="410">MN10</f>
        <v>0</v>
      </c>
      <c r="ANQ10">
        <f t="shared" ref="ANQ10:ANQ29" si="411">MO10</f>
        <v>0</v>
      </c>
      <c r="ANR10">
        <f t="shared" ref="ANR10:ANR29" si="412">MP10</f>
        <v>12.5</v>
      </c>
      <c r="ANS10">
        <f t="shared" ref="ANS10:ANS29" si="413">MQ10</f>
        <v>12.5</v>
      </c>
      <c r="ANT10">
        <f t="shared" ref="ANT10:ANT29" si="414">MR10</f>
        <v>12.5</v>
      </c>
      <c r="ANU10">
        <f t="shared" ref="ANU10:ANU29" si="415">MS10</f>
        <v>33.125</v>
      </c>
      <c r="ANV10">
        <f t="shared" ref="ANV10:ANV29" si="416">MT10</f>
        <v>33.125</v>
      </c>
      <c r="ANW10">
        <f t="shared" ref="ANW10:ANW29" si="417">MU10</f>
        <v>33.125</v>
      </c>
      <c r="ANX10">
        <f t="shared" ref="ANX10:ANX29" si="418">MV10</f>
        <v>33.125</v>
      </c>
      <c r="ANY10">
        <f t="shared" ref="ANY10:ANY29" si="419">MW10</f>
        <v>35</v>
      </c>
      <c r="ANZ10">
        <f t="shared" ref="ANZ10:ANZ29" si="420">MX10</f>
        <v>15</v>
      </c>
      <c r="AOA10">
        <f t="shared" ref="AOA10:AOA29" si="421">MY10</f>
        <v>56.25</v>
      </c>
      <c r="AOB10">
        <f t="shared" ref="AOB10:AOB29" si="422">MZ10</f>
        <v>25</v>
      </c>
      <c r="AOC10">
        <f t="shared" ref="AOC10:AOC29" si="423">NA10</f>
        <v>0</v>
      </c>
      <c r="AOD10">
        <f t="shared" ref="AOD10:AOD29" si="424">NB10</f>
        <v>0</v>
      </c>
      <c r="AOE10">
        <f t="shared" ref="AOE10:AOE29" si="425">NC10</f>
        <v>0</v>
      </c>
      <c r="AOF10">
        <f t="shared" ref="AOF10:AOF29" si="426">ND10</f>
        <v>0</v>
      </c>
      <c r="AOG10">
        <f t="shared" ref="AOG10:AOG29" si="427">NE10</f>
        <v>0</v>
      </c>
      <c r="AOH10">
        <f t="shared" ref="AOH10:AOH29" si="428">NF10</f>
        <v>0</v>
      </c>
      <c r="AOI10">
        <f t="shared" ref="AOI10:AOI29" si="429">NG10</f>
        <v>0</v>
      </c>
      <c r="AOJ10">
        <f t="shared" ref="AOJ10:AOJ29" si="430">NH10</f>
        <v>0</v>
      </c>
      <c r="AOK10">
        <f t="shared" ref="AOK10:AOK29" si="431">NI10</f>
        <v>0</v>
      </c>
      <c r="AOL10">
        <f t="shared" ref="AOL10:AOL29" si="432">NJ10</f>
        <v>0</v>
      </c>
      <c r="AOM10">
        <f t="shared" ref="AOM10:AOM29" si="433">NK10</f>
        <v>0</v>
      </c>
      <c r="AON10">
        <f t="shared" ref="AON10:AON29" si="434">NL10</f>
        <v>12.5</v>
      </c>
      <c r="AOO10">
        <f t="shared" ref="AOO10:AOO29" si="435">NM10</f>
        <v>12.5</v>
      </c>
      <c r="AOP10">
        <f t="shared" ref="AOP10:AOP29" si="436">NN10</f>
        <v>12.5</v>
      </c>
      <c r="AOQ10">
        <f t="shared" ref="AOQ10:AOQ29" si="437">NO10</f>
        <v>33.125</v>
      </c>
      <c r="AOR10">
        <f t="shared" ref="AOR10:AOR29" si="438">NP10</f>
        <v>33.125</v>
      </c>
      <c r="AOS10">
        <f t="shared" ref="AOS10:AOS29" si="439">NQ10</f>
        <v>33.125</v>
      </c>
      <c r="AOT10">
        <f t="shared" ref="AOT10:AOT29" si="440">NR10</f>
        <v>33.125</v>
      </c>
      <c r="AOU10">
        <f t="shared" ref="AOU10:AOU29" si="441">NS10</f>
        <v>15</v>
      </c>
      <c r="AOV10">
        <f t="shared" ref="AOV10:AOV29" si="442">NT10</f>
        <v>15</v>
      </c>
      <c r="AOW10">
        <f t="shared" ref="AOW10:AOW29" si="443">NU10</f>
        <v>56.25</v>
      </c>
      <c r="AOX10">
        <f t="shared" si="39"/>
        <v>25</v>
      </c>
      <c r="AOY10">
        <f t="shared" ref="AOY10:AOY29" si="444">NW10</f>
        <v>0</v>
      </c>
      <c r="AOZ10">
        <f t="shared" ref="AOZ10:AOZ29" si="445">NX10</f>
        <v>0</v>
      </c>
      <c r="APA10">
        <f t="shared" ref="APA10:APA29" si="446">NY10</f>
        <v>0</v>
      </c>
      <c r="APB10">
        <f t="shared" ref="APB10:APB29" si="447">NZ10</f>
        <v>0</v>
      </c>
      <c r="APC10">
        <f t="shared" ref="APC10:APC29" si="448">OA10</f>
        <v>0</v>
      </c>
      <c r="APD10">
        <f t="shared" ref="APD10:APD29" si="449">OB10</f>
        <v>0</v>
      </c>
      <c r="APE10">
        <f t="shared" ref="APE10:APE29" si="450">OC10</f>
        <v>0</v>
      </c>
      <c r="APF10">
        <f t="shared" ref="APF10:APF29" si="451">OD10</f>
        <v>0</v>
      </c>
      <c r="APG10">
        <f t="shared" ref="APG10:APG29" si="452">OE10</f>
        <v>0</v>
      </c>
      <c r="APH10">
        <f t="shared" ref="APH10:APH29" si="453">OF10</f>
        <v>0</v>
      </c>
      <c r="API10">
        <f t="shared" ref="API10:API29" si="454">OG10</f>
        <v>0</v>
      </c>
      <c r="APJ10">
        <f t="shared" ref="APJ10:APJ29" si="455">OH10</f>
        <v>12.5</v>
      </c>
      <c r="APK10">
        <f t="shared" ref="APK10:APK29" si="456">OI10</f>
        <v>12.5</v>
      </c>
      <c r="APL10">
        <f t="shared" ref="APL10:APL29" si="457">OJ10</f>
        <v>12.5</v>
      </c>
      <c r="APM10">
        <f t="shared" ref="APM10:APM29" si="458">OK10</f>
        <v>33.125</v>
      </c>
      <c r="APN10">
        <f t="shared" ref="APN10:APN29" si="459">OL10</f>
        <v>23.125</v>
      </c>
      <c r="APO10">
        <f t="shared" ref="APO10:APO29" si="460">OM10</f>
        <v>33.125</v>
      </c>
      <c r="APP10">
        <f t="shared" ref="APP10:APP29" si="461">ON10</f>
        <v>23.125</v>
      </c>
      <c r="APQ10">
        <f t="shared" ref="APQ10:APQ29" si="462">OO10</f>
        <v>35</v>
      </c>
      <c r="APR10">
        <f t="shared" ref="APR10:APR29" si="463">OP10</f>
        <v>15</v>
      </c>
      <c r="APS10">
        <f t="shared" ref="APS10:APS29" si="464">OQ10</f>
        <v>56.25</v>
      </c>
      <c r="APT10">
        <f t="shared" ref="APT10:APT29" si="465">OR10</f>
        <v>25</v>
      </c>
      <c r="APU10">
        <f t="shared" ref="APU10:APU29" si="466">OS10</f>
        <v>0</v>
      </c>
      <c r="APV10">
        <f t="shared" ref="APV10:APV29" si="467">OT10</f>
        <v>0</v>
      </c>
      <c r="APW10">
        <f t="shared" ref="APW10:APW29" si="468">OU10</f>
        <v>0</v>
      </c>
      <c r="APX10">
        <f t="shared" ref="APX10:APX29" si="469">OV10</f>
        <v>0</v>
      </c>
      <c r="APY10">
        <f t="shared" ref="APY10:APY29" si="470">OW10</f>
        <v>0</v>
      </c>
      <c r="APZ10">
        <f t="shared" ref="APZ10:APZ29" si="471">OX10</f>
        <v>0</v>
      </c>
      <c r="AQA10">
        <f t="shared" ref="AQA10:AQA29" si="472">OY10</f>
        <v>0</v>
      </c>
      <c r="AQB10">
        <f t="shared" ref="AQB10:AQB29" si="473">OZ10</f>
        <v>0</v>
      </c>
      <c r="AQC10">
        <f t="shared" ref="AQC10:AQC29" si="474">PA10</f>
        <v>0</v>
      </c>
      <c r="AQD10">
        <f t="shared" ref="AQD10:AQD29" si="475">PB10</f>
        <v>0</v>
      </c>
      <c r="AQE10">
        <f t="shared" ref="AQE10:AQE29" si="476">PC10</f>
        <v>0</v>
      </c>
      <c r="AQF10">
        <f t="shared" ref="AQF10:AQF29" si="477">PD10</f>
        <v>12.5</v>
      </c>
      <c r="AQG10">
        <f t="shared" ref="AQG10:AQG29" si="478">PE10</f>
        <v>12.5</v>
      </c>
      <c r="AQH10">
        <f t="shared" ref="AQH10:AQH29" si="479">PF10</f>
        <v>12.5</v>
      </c>
      <c r="AQI10">
        <f t="shared" ref="AQI10:AQI29" si="480">PG10</f>
        <v>33.125</v>
      </c>
      <c r="AQJ10">
        <f t="shared" ref="AQJ10:AQJ29" si="481">PH10</f>
        <v>23.125</v>
      </c>
      <c r="AQK10">
        <f t="shared" ref="AQK10:AQK29" si="482">PI10</f>
        <v>33.125</v>
      </c>
      <c r="AQL10">
        <f t="shared" ref="AQL10:AQL29" si="483">PJ10</f>
        <v>23.125</v>
      </c>
      <c r="AQM10">
        <f t="shared" ref="AQM10:AQM29" si="484">PK10</f>
        <v>15</v>
      </c>
      <c r="AQN10">
        <f t="shared" ref="AQN10:AQN29" si="485">PL10</f>
        <v>15</v>
      </c>
      <c r="AQO10">
        <f t="shared" ref="AQO10:AQO29" si="486">PM10</f>
        <v>56.25</v>
      </c>
      <c r="AQP10">
        <f t="shared" ref="AQP10:AQP29" si="487">PN10</f>
        <v>25</v>
      </c>
      <c r="AQQ10">
        <f t="shared" ref="AQQ10:AQQ29" si="488">PO10</f>
        <v>0</v>
      </c>
      <c r="AQR10">
        <f t="shared" ref="AQR10:AQR29" si="489">PP10</f>
        <v>0</v>
      </c>
      <c r="AQS10">
        <f t="shared" ref="AQS10:AQS29" si="490">PQ10</f>
        <v>0</v>
      </c>
      <c r="AQT10">
        <f t="shared" ref="AQT10:AQT29" si="491">PR10</f>
        <v>0</v>
      </c>
      <c r="AQU10">
        <f t="shared" ref="AQU10:AQU29" si="492">PS10</f>
        <v>0</v>
      </c>
      <c r="AQV10">
        <f t="shared" ref="AQV10:AQV29" si="493">PT10</f>
        <v>0</v>
      </c>
      <c r="AQW10">
        <f t="shared" ref="AQW10:AQW29" si="494">PU10</f>
        <v>0</v>
      </c>
      <c r="AQX10">
        <f t="shared" ref="AQX10:AQX29" si="495">PV10</f>
        <v>0</v>
      </c>
      <c r="AQY10">
        <f t="shared" ref="AQY10:AQY29" si="496">PW10</f>
        <v>0</v>
      </c>
      <c r="AQZ10">
        <f t="shared" ref="AQZ10:AQZ29" si="497">PX10</f>
        <v>0</v>
      </c>
      <c r="ARA10">
        <f t="shared" ref="ARA10:ARA29" si="498">PY10</f>
        <v>0</v>
      </c>
      <c r="ARB10">
        <f t="shared" ref="ARB10:ARB29" si="499">PZ10</f>
        <v>12.5</v>
      </c>
      <c r="ARC10">
        <f t="shared" ref="ARC10:ARC29" si="500">QA10</f>
        <v>12.5</v>
      </c>
      <c r="ARD10">
        <f t="shared" ref="ARD10:ARD29" si="501">QB10</f>
        <v>12.5</v>
      </c>
      <c r="ARE10">
        <f t="shared" ref="ARE10:ARE29" si="502">QC10</f>
        <v>23.125</v>
      </c>
      <c r="ARF10">
        <f t="shared" ref="ARF10:ARF29" si="503">QD10</f>
        <v>33.125</v>
      </c>
      <c r="ARG10">
        <f t="shared" ref="ARG10:ARG29" si="504">QE10</f>
        <v>33.125</v>
      </c>
      <c r="ARH10">
        <f t="shared" ref="ARH10:ARH29" si="505">QF10</f>
        <v>33.125</v>
      </c>
      <c r="ARI10">
        <f t="shared" ref="ARI10:ARI29" si="506">QG10</f>
        <v>35</v>
      </c>
      <c r="ARJ10">
        <f t="shared" si="40"/>
        <v>15</v>
      </c>
      <c r="ARK10">
        <f t="shared" ref="ARK10:ARK29" si="507">QI10</f>
        <v>56.25</v>
      </c>
      <c r="ARL10">
        <f t="shared" ref="ARL10:ARL29" si="508">QJ10</f>
        <v>25</v>
      </c>
      <c r="ARM10">
        <f t="shared" ref="ARM10:ARM29" si="509">QK10</f>
        <v>0</v>
      </c>
      <c r="ARN10">
        <f t="shared" ref="ARN10:ARN29" si="510">QL10</f>
        <v>0</v>
      </c>
      <c r="ARO10">
        <f t="shared" ref="ARO10:ARO29" si="511">QM10</f>
        <v>0</v>
      </c>
      <c r="ARP10">
        <f t="shared" ref="ARP10:ARP29" si="512">QN10</f>
        <v>0</v>
      </c>
      <c r="ARQ10">
        <f t="shared" ref="ARQ10:ARQ29" si="513">QO10</f>
        <v>0</v>
      </c>
      <c r="ARR10">
        <f t="shared" ref="ARR10:ARR29" si="514">QP10</f>
        <v>0</v>
      </c>
      <c r="ARS10">
        <f t="shared" ref="ARS10:ARS29" si="515">QQ10</f>
        <v>0</v>
      </c>
      <c r="ART10">
        <f t="shared" ref="ART10:ART29" si="516">QR10</f>
        <v>0</v>
      </c>
      <c r="ARU10">
        <f t="shared" ref="ARU10:ARU29" si="517">QS10</f>
        <v>0</v>
      </c>
      <c r="ARV10">
        <f t="shared" ref="ARV10:ARV29" si="518">QT10</f>
        <v>0</v>
      </c>
      <c r="ARW10">
        <f t="shared" ref="ARW10:ARW29" si="519">QU10</f>
        <v>0</v>
      </c>
      <c r="ARX10">
        <f t="shared" ref="ARX10:ARX29" si="520">QV10</f>
        <v>12.5</v>
      </c>
      <c r="ARY10">
        <f t="shared" ref="ARY10:ARY29" si="521">QW10</f>
        <v>12.5</v>
      </c>
      <c r="ARZ10">
        <f t="shared" ref="ARZ10:ARZ29" si="522">QX10</f>
        <v>12.5</v>
      </c>
      <c r="ASA10">
        <f t="shared" ref="ASA10:ASA29" si="523">QY10</f>
        <v>23.125</v>
      </c>
      <c r="ASB10">
        <f t="shared" ref="ASB10:ASB29" si="524">QZ10</f>
        <v>33.125</v>
      </c>
      <c r="ASC10">
        <f t="shared" ref="ASC10:ASC29" si="525">RA10</f>
        <v>33.125</v>
      </c>
      <c r="ASD10">
        <f t="shared" ref="ASD10:ASD29" si="526">RB10</f>
        <v>33.125</v>
      </c>
      <c r="ASE10">
        <f t="shared" ref="ASE10:ASE29" si="527">RC10</f>
        <v>15</v>
      </c>
      <c r="ASF10">
        <f t="shared" ref="ASF10:ASF29" si="528">RD10</f>
        <v>15</v>
      </c>
      <c r="ASG10">
        <f t="shared" ref="ASG10:ASG29" si="529">RE10</f>
        <v>56.25</v>
      </c>
      <c r="ASH10">
        <f t="shared" ref="ASH10:ASH29" si="530">RF10</f>
        <v>25</v>
      </c>
      <c r="ASI10">
        <f t="shared" ref="ASI10:ASI29" si="531">RG10</f>
        <v>0</v>
      </c>
      <c r="ASJ10">
        <f t="shared" ref="ASJ10:ASJ29" si="532">RH10</f>
        <v>0</v>
      </c>
      <c r="ASK10">
        <f t="shared" ref="ASK10:ASK29" si="533">RI10</f>
        <v>0</v>
      </c>
      <c r="ASL10">
        <f t="shared" ref="ASL10:ASL29" si="534">RJ10</f>
        <v>0</v>
      </c>
      <c r="ASM10">
        <f t="shared" ref="ASM10:ASM29" si="535">RK10</f>
        <v>0</v>
      </c>
      <c r="ASN10">
        <f t="shared" ref="ASN10:ASN29" si="536">RL10</f>
        <v>0</v>
      </c>
      <c r="ASO10">
        <f t="shared" ref="ASO10:ASO29" si="537">RM10</f>
        <v>0</v>
      </c>
      <c r="ASP10">
        <f t="shared" ref="ASP10:ASP29" si="538">RN10</f>
        <v>0</v>
      </c>
      <c r="ASQ10">
        <f t="shared" ref="ASQ10:ASQ29" si="539">RO10</f>
        <v>0</v>
      </c>
      <c r="ASR10">
        <f t="shared" ref="ASR10:ASR29" si="540">RP10</f>
        <v>0</v>
      </c>
      <c r="ASS10">
        <f t="shared" ref="ASS10:ASS29" si="541">RQ10</f>
        <v>0</v>
      </c>
      <c r="AST10">
        <f t="shared" ref="AST10:AST29" si="542">RR10</f>
        <v>12.5</v>
      </c>
      <c r="ASU10">
        <f t="shared" ref="ASU10:ASU29" si="543">RS10</f>
        <v>12.5</v>
      </c>
      <c r="ASV10">
        <f t="shared" ref="ASV10:ASV29" si="544">RT10</f>
        <v>12.5</v>
      </c>
      <c r="ASW10">
        <f t="shared" ref="ASW10:ASW29" si="545">RU10</f>
        <v>23.125</v>
      </c>
      <c r="ASX10">
        <f t="shared" ref="ASX10:ASX29" si="546">RV10</f>
        <v>23.125</v>
      </c>
      <c r="ASY10">
        <f t="shared" ref="ASY10:ASY29" si="547">RW10</f>
        <v>33.125</v>
      </c>
      <c r="ASZ10">
        <f t="shared" ref="ASZ10:ASZ29" si="548">RX10</f>
        <v>23.125</v>
      </c>
      <c r="ATA10">
        <f t="shared" ref="ATA10:ATA29" si="549">RY10</f>
        <v>35</v>
      </c>
      <c r="ATB10">
        <f t="shared" ref="ATB10:ATB29" si="550">RZ10</f>
        <v>15</v>
      </c>
      <c r="ATC10">
        <f t="shared" ref="ATC10:ATC29" si="551">SA10</f>
        <v>56.25</v>
      </c>
      <c r="ATD10">
        <f t="shared" ref="ATD10:ATD29" si="552">SB10</f>
        <v>25</v>
      </c>
      <c r="ATE10">
        <f t="shared" ref="ATE10:ATE29" si="553">SC10</f>
        <v>0</v>
      </c>
      <c r="ATF10">
        <f t="shared" ref="ATF10:ATF29" si="554">SD10</f>
        <v>0</v>
      </c>
      <c r="ATG10">
        <f t="shared" ref="ATG10:ATG29" si="555">SE10</f>
        <v>0</v>
      </c>
      <c r="ATH10">
        <f t="shared" ref="ATH10:ATH29" si="556">SF10</f>
        <v>0</v>
      </c>
      <c r="ATI10">
        <f t="shared" ref="ATI10:ATI29" si="557">SG10</f>
        <v>0</v>
      </c>
      <c r="ATJ10">
        <f t="shared" ref="ATJ10:ATJ29" si="558">SH10</f>
        <v>0</v>
      </c>
      <c r="ATK10">
        <f t="shared" ref="ATK10:ATK29" si="559">SI10</f>
        <v>0</v>
      </c>
      <c r="ATL10">
        <f t="shared" ref="ATL10:ATL29" si="560">SJ10</f>
        <v>0</v>
      </c>
      <c r="ATM10">
        <f t="shared" ref="ATM10:ATM29" si="561">SK10</f>
        <v>0</v>
      </c>
      <c r="ATN10">
        <f t="shared" ref="ATN10:ATN29" si="562">SL10</f>
        <v>0</v>
      </c>
      <c r="ATO10">
        <f t="shared" ref="ATO10:ATO29" si="563">SM10</f>
        <v>0</v>
      </c>
      <c r="ATP10">
        <f t="shared" ref="ATP10:ATP29" si="564">SN10</f>
        <v>12.5</v>
      </c>
      <c r="ATQ10">
        <f t="shared" ref="ATQ10:ATQ29" si="565">SO10</f>
        <v>12.5</v>
      </c>
      <c r="ATR10">
        <f t="shared" ref="ATR10:ATR29" si="566">SP10</f>
        <v>12.5</v>
      </c>
      <c r="ATS10">
        <f t="shared" ref="ATS10:ATS29" si="567">SQ10</f>
        <v>23.125</v>
      </c>
      <c r="ATT10">
        <f t="shared" ref="ATT10:ATT29" si="568">SR10</f>
        <v>23.125</v>
      </c>
      <c r="ATU10">
        <f t="shared" ref="ATU10:ATU29" si="569">SS10</f>
        <v>33.125</v>
      </c>
      <c r="ATV10">
        <f t="shared" si="41"/>
        <v>23.125</v>
      </c>
      <c r="ATW10">
        <f t="shared" ref="ATW10:ATW29" si="570">SU10</f>
        <v>15</v>
      </c>
      <c r="ATX10">
        <f t="shared" ref="ATX10:ATX29" si="571">SV10</f>
        <v>15</v>
      </c>
      <c r="ATY10">
        <f t="shared" ref="ATY10:ATY29" si="572">SW10</f>
        <v>56.25</v>
      </c>
      <c r="ATZ10">
        <f t="shared" ref="ATZ10:ATZ29" si="573">SX10</f>
        <v>25</v>
      </c>
      <c r="AUA10">
        <f t="shared" ref="AUA10:AUA29" si="574">SY10</f>
        <v>0</v>
      </c>
      <c r="AUB10">
        <f t="shared" ref="AUB10:AUB29" si="575">SZ10</f>
        <v>0</v>
      </c>
      <c r="AUC10">
        <f t="shared" ref="AUC10:AUC29" si="576">TA10</f>
        <v>0</v>
      </c>
      <c r="AUD10">
        <f t="shared" ref="AUD10:AUD29" si="577">TB10</f>
        <v>0</v>
      </c>
      <c r="AUE10">
        <f t="shared" ref="AUE10:AUE29" si="578">TC10</f>
        <v>0</v>
      </c>
      <c r="AUF10">
        <f t="shared" ref="AUF10:AUF29" si="579">TD10</f>
        <v>0</v>
      </c>
      <c r="AUG10">
        <f t="shared" ref="AUG10:AUG29" si="580">TE10</f>
        <v>0</v>
      </c>
      <c r="AUH10">
        <f t="shared" ref="AUH10:AUH29" si="581">TF10</f>
        <v>0</v>
      </c>
      <c r="AUI10">
        <f t="shared" ref="AUI10:AUI29" si="582">TG10</f>
        <v>0</v>
      </c>
      <c r="AUJ10">
        <f t="shared" ref="AUJ10:AUJ29" si="583">TH10</f>
        <v>0</v>
      </c>
      <c r="AUK10">
        <f t="shared" ref="AUK10:AUK29" si="584">TI10</f>
        <v>0</v>
      </c>
      <c r="AUL10">
        <f t="shared" ref="AUL10:AUL29" si="585">TJ10</f>
        <v>12.5</v>
      </c>
      <c r="AUM10">
        <f t="shared" ref="AUM10:AUM29" si="586">TK10</f>
        <v>12.5</v>
      </c>
      <c r="AUN10">
        <f t="shared" ref="AUN10:AUN29" si="587">TL10</f>
        <v>12.5</v>
      </c>
      <c r="AUO10">
        <f t="shared" ref="AUO10:AUO29" si="588">TM10</f>
        <v>33.125</v>
      </c>
      <c r="AUP10">
        <f t="shared" ref="AUP10:AUP29" si="589">TN10</f>
        <v>33.125</v>
      </c>
      <c r="AUQ10">
        <f t="shared" ref="AUQ10:AUQ29" si="590">TO10</f>
        <v>23.125</v>
      </c>
      <c r="AUR10">
        <f t="shared" ref="AUR10:AUR29" si="591">TP10</f>
        <v>33.125</v>
      </c>
      <c r="AUS10">
        <f t="shared" ref="AUS10:AUS29" si="592">TQ10</f>
        <v>35</v>
      </c>
      <c r="AUT10">
        <f t="shared" ref="AUT10:AUT29" si="593">TR10</f>
        <v>15</v>
      </c>
      <c r="AUU10">
        <f t="shared" ref="AUU10:AUU29" si="594">TS10</f>
        <v>56.25</v>
      </c>
      <c r="AUV10">
        <f t="shared" ref="AUV10:AUV29" si="595">TT10</f>
        <v>25</v>
      </c>
      <c r="AUW10">
        <f t="shared" ref="AUW10:AUW29" si="596">TU10</f>
        <v>0</v>
      </c>
      <c r="AUX10">
        <f t="shared" ref="AUX10:AUX29" si="597">TV10</f>
        <v>0</v>
      </c>
      <c r="AUY10">
        <f t="shared" ref="AUY10:AUY29" si="598">TW10</f>
        <v>0</v>
      </c>
      <c r="AUZ10">
        <f t="shared" ref="AUZ10:AUZ29" si="599">TX10</f>
        <v>0</v>
      </c>
      <c r="AVA10">
        <f t="shared" ref="AVA10:AVA29" si="600">TY10</f>
        <v>0</v>
      </c>
      <c r="AVB10">
        <f t="shared" ref="AVB10:AVB29" si="601">TZ10</f>
        <v>0</v>
      </c>
      <c r="AVC10">
        <f t="shared" ref="AVC10:AVC29" si="602">UA10</f>
        <v>0</v>
      </c>
      <c r="AVD10">
        <f t="shared" ref="AVD10:AVD29" si="603">UB10</f>
        <v>0</v>
      </c>
      <c r="AVE10">
        <f t="shared" ref="AVE10:AVE29" si="604">UC10</f>
        <v>0</v>
      </c>
      <c r="AVF10">
        <f t="shared" ref="AVF10:AVF29" si="605">UD10</f>
        <v>0</v>
      </c>
      <c r="AVG10">
        <f t="shared" ref="AVG10:AVG29" si="606">UE10</f>
        <v>0</v>
      </c>
      <c r="AVH10">
        <f t="shared" ref="AVH10:AVH29" si="607">UF10</f>
        <v>12.5</v>
      </c>
      <c r="AVI10">
        <f t="shared" ref="AVI10:AVI29" si="608">UG10</f>
        <v>12.5</v>
      </c>
      <c r="AVJ10">
        <f t="shared" ref="AVJ10:AVJ29" si="609">UH10</f>
        <v>12.5</v>
      </c>
      <c r="AVK10">
        <f t="shared" ref="AVK10:AVK29" si="610">UI10</f>
        <v>33.125</v>
      </c>
      <c r="AVL10">
        <f t="shared" ref="AVL10:AVL29" si="611">UJ10</f>
        <v>33.125</v>
      </c>
      <c r="AVM10">
        <f t="shared" ref="AVM10:AVM29" si="612">UK10</f>
        <v>23.125</v>
      </c>
      <c r="AVN10">
        <f t="shared" ref="AVN10:AVN29" si="613">UL10</f>
        <v>33.125</v>
      </c>
      <c r="AVO10">
        <f t="shared" ref="AVO10:AVO29" si="614">UM10</f>
        <v>15</v>
      </c>
      <c r="AVP10">
        <f t="shared" ref="AVP10:AVP29" si="615">UN10</f>
        <v>15</v>
      </c>
      <c r="AVQ10">
        <f t="shared" ref="AVQ10:AVQ29" si="616">UO10</f>
        <v>56.25</v>
      </c>
      <c r="AVR10">
        <f t="shared" ref="AVR10:AVR29" si="617">UP10</f>
        <v>25</v>
      </c>
      <c r="AVS10">
        <f t="shared" ref="AVS10:AVS29" si="618">UQ10</f>
        <v>0</v>
      </c>
      <c r="AVT10">
        <f t="shared" ref="AVT10:AVT29" si="619">UR10</f>
        <v>0</v>
      </c>
      <c r="AVU10">
        <f t="shared" ref="AVU10:AVU29" si="620">US10</f>
        <v>0</v>
      </c>
      <c r="AVV10">
        <f t="shared" ref="AVV10:AVV29" si="621">UT10</f>
        <v>0</v>
      </c>
      <c r="AVW10">
        <f t="shared" ref="AVW10:AVW29" si="622">UU10</f>
        <v>0</v>
      </c>
      <c r="AVX10">
        <f t="shared" ref="AVX10:AVX29" si="623">UV10</f>
        <v>0</v>
      </c>
      <c r="AVY10">
        <f t="shared" ref="AVY10:AVY29" si="624">UW10</f>
        <v>0</v>
      </c>
      <c r="AVZ10">
        <f t="shared" ref="AVZ10:AVZ29" si="625">UX10</f>
        <v>0</v>
      </c>
      <c r="AWA10">
        <f t="shared" ref="AWA10:AWA29" si="626">UY10</f>
        <v>0</v>
      </c>
      <c r="AWB10">
        <f t="shared" ref="AWB10:AWB29" si="627">UZ10</f>
        <v>0</v>
      </c>
      <c r="AWC10">
        <f t="shared" ref="AWC10:AWC29" si="628">VA10</f>
        <v>0</v>
      </c>
      <c r="AWD10">
        <f t="shared" ref="AWD10:AWD29" si="629">VB10</f>
        <v>12.5</v>
      </c>
      <c r="AWE10">
        <f t="shared" ref="AWE10:AWE29" si="630">VC10</f>
        <v>12.5</v>
      </c>
      <c r="AWF10">
        <f t="shared" ref="AWF10:AWF29" si="631">VD10</f>
        <v>12.5</v>
      </c>
      <c r="AWG10">
        <f t="shared" ref="AWG10:AWG29" si="632">VE10</f>
        <v>33.125</v>
      </c>
      <c r="AWH10">
        <f t="shared" si="42"/>
        <v>23.125</v>
      </c>
      <c r="AWI10">
        <f t="shared" ref="AWI10:AWI29" si="633">VG10</f>
        <v>23.125</v>
      </c>
      <c r="AWJ10">
        <f t="shared" ref="AWJ10:AWJ29" si="634">VH10</f>
        <v>23.125</v>
      </c>
      <c r="AWK10">
        <f t="shared" ref="AWK10:AWK29" si="635">VI10</f>
        <v>35</v>
      </c>
      <c r="AWL10">
        <f t="shared" ref="AWL10:AWL29" si="636">VJ10</f>
        <v>15</v>
      </c>
      <c r="AWM10">
        <f t="shared" ref="AWM10:AWM29" si="637">VK10</f>
        <v>56.25</v>
      </c>
      <c r="AWN10">
        <f t="shared" ref="AWN10:AWN29" si="638">VL10</f>
        <v>25</v>
      </c>
      <c r="AWO10">
        <f t="shared" ref="AWO10:AWO29" si="639">VM10</f>
        <v>0</v>
      </c>
      <c r="AWP10">
        <f t="shared" ref="AWP10:AWP29" si="640">VN10</f>
        <v>0</v>
      </c>
      <c r="AWQ10">
        <f t="shared" ref="AWQ10:AWQ29" si="641">VO10</f>
        <v>0</v>
      </c>
      <c r="AWR10">
        <f t="shared" ref="AWR10:AWR29" si="642">VP10</f>
        <v>0</v>
      </c>
      <c r="AWS10">
        <f t="shared" ref="AWS10:AWS29" si="643">VQ10</f>
        <v>0</v>
      </c>
      <c r="AWT10">
        <f t="shared" ref="AWT10:AWT29" si="644">VR10</f>
        <v>0</v>
      </c>
      <c r="AWU10">
        <f t="shared" ref="AWU10:AWU29" si="645">VS10</f>
        <v>0</v>
      </c>
      <c r="AWV10">
        <f t="shared" ref="AWV10:AWV29" si="646">VT10</f>
        <v>0</v>
      </c>
      <c r="AWW10">
        <f t="shared" ref="AWW10:AWW29" si="647">VU10</f>
        <v>0</v>
      </c>
      <c r="AWX10">
        <f t="shared" ref="AWX10:AWX29" si="648">VV10</f>
        <v>0</v>
      </c>
      <c r="AWY10">
        <f t="shared" ref="AWY10:AWY29" si="649">VW10</f>
        <v>0</v>
      </c>
      <c r="AWZ10">
        <f t="shared" ref="AWZ10:AWZ29" si="650">VX10</f>
        <v>12.5</v>
      </c>
      <c r="AXA10">
        <f t="shared" ref="AXA10:AXA29" si="651">VY10</f>
        <v>12.5</v>
      </c>
      <c r="AXB10">
        <f t="shared" ref="AXB10:AXB29" si="652">VZ10</f>
        <v>12.5</v>
      </c>
      <c r="AXC10">
        <f t="shared" ref="AXC10:AXC29" si="653">WA10</f>
        <v>33.125</v>
      </c>
      <c r="AXD10">
        <f t="shared" ref="AXD10:AXD29" si="654">WB10</f>
        <v>23.125</v>
      </c>
      <c r="AXE10">
        <f t="shared" ref="AXE10:AXE29" si="655">WC10</f>
        <v>23.125</v>
      </c>
      <c r="AXF10">
        <f t="shared" ref="AXF10:AXF29" si="656">WD10</f>
        <v>23.125</v>
      </c>
      <c r="AXG10">
        <f t="shared" ref="AXG10:AXG29" si="657">WE10</f>
        <v>15</v>
      </c>
      <c r="AXH10">
        <f t="shared" ref="AXH10:AXH29" si="658">WF10</f>
        <v>15</v>
      </c>
      <c r="AXI10">
        <f t="shared" ref="AXI10:AXI29" si="659">WG10</f>
        <v>56.25</v>
      </c>
      <c r="AXJ10">
        <f t="shared" ref="AXJ10:AXJ29" si="660">WH10</f>
        <v>25</v>
      </c>
      <c r="AXK10">
        <f t="shared" ref="AXK10:AXK29" si="661">WI10</f>
        <v>0</v>
      </c>
      <c r="AXL10">
        <f t="shared" ref="AXL10:AXL29" si="662">WJ10</f>
        <v>0</v>
      </c>
      <c r="AXM10">
        <f t="shared" ref="AXM10:AXM29" si="663">WK10</f>
        <v>0</v>
      </c>
      <c r="AXN10">
        <f t="shared" ref="AXN10:AXN29" si="664">WL10</f>
        <v>0</v>
      </c>
      <c r="AXO10">
        <f t="shared" ref="AXO10:AXO29" si="665">WM10</f>
        <v>0</v>
      </c>
      <c r="AXP10">
        <f t="shared" ref="AXP10:AXP29" si="666">WN10</f>
        <v>0</v>
      </c>
      <c r="AXQ10">
        <f t="shared" ref="AXQ10:AXQ29" si="667">WO10</f>
        <v>0</v>
      </c>
      <c r="AXR10">
        <f t="shared" ref="AXR10:AXR29" si="668">WP10</f>
        <v>0</v>
      </c>
      <c r="AXS10">
        <f t="shared" ref="AXS10:AXS29" si="669">WQ10</f>
        <v>0</v>
      </c>
      <c r="AXT10">
        <f t="shared" ref="AXT10:AXT29" si="670">WR10</f>
        <v>0</v>
      </c>
      <c r="AXU10">
        <f t="shared" ref="AXU10:AXU29" si="671">WS10</f>
        <v>0</v>
      </c>
      <c r="AXV10">
        <f t="shared" ref="AXV10:AXV29" si="672">WT10</f>
        <v>12.5</v>
      </c>
      <c r="AXW10">
        <f t="shared" ref="AXW10:AXW29" si="673">WU10</f>
        <v>12.5</v>
      </c>
      <c r="AXX10">
        <f t="shared" ref="AXX10:AXX29" si="674">WV10</f>
        <v>12.5</v>
      </c>
      <c r="AXY10">
        <f t="shared" ref="AXY10:AXY29" si="675">WW10</f>
        <v>23.125</v>
      </c>
      <c r="AXZ10">
        <f t="shared" ref="AXZ10:AXZ29" si="676">WX10</f>
        <v>33.125</v>
      </c>
      <c r="AYA10">
        <f t="shared" ref="AYA10:AYA29" si="677">WY10</f>
        <v>23.125</v>
      </c>
      <c r="AYB10">
        <f t="shared" ref="AYB10:AYB29" si="678">WZ10</f>
        <v>33.125</v>
      </c>
      <c r="AYC10">
        <f t="shared" ref="AYC10:AYC29" si="679">XA10</f>
        <v>35</v>
      </c>
      <c r="AYD10">
        <f t="shared" ref="AYD10:AYD29" si="680">XB10</f>
        <v>15</v>
      </c>
      <c r="AYE10">
        <f t="shared" ref="AYE10:AYE29" si="681">XC10</f>
        <v>56.25</v>
      </c>
      <c r="AYF10">
        <f t="shared" ref="AYF10:AYF29" si="682">XD10</f>
        <v>25</v>
      </c>
      <c r="AYG10">
        <f t="shared" ref="AYG10:AYG29" si="683">XE10</f>
        <v>0</v>
      </c>
      <c r="AYH10">
        <f t="shared" ref="AYH10:AYH29" si="684">XF10</f>
        <v>0</v>
      </c>
      <c r="AYI10">
        <f t="shared" ref="AYI10:AYI29" si="685">XG10</f>
        <v>0</v>
      </c>
      <c r="AYJ10">
        <f t="shared" ref="AYJ10:AYJ29" si="686">XH10</f>
        <v>0</v>
      </c>
      <c r="AYK10">
        <f t="shared" ref="AYK10:AYK29" si="687">XI10</f>
        <v>0</v>
      </c>
      <c r="AYL10">
        <f t="shared" ref="AYL10:AYL29" si="688">XJ10</f>
        <v>0</v>
      </c>
      <c r="AYM10">
        <f t="shared" ref="AYM10:AYM29" si="689">XK10</f>
        <v>0</v>
      </c>
      <c r="AYN10">
        <f t="shared" ref="AYN10:AYN29" si="690">XL10</f>
        <v>0</v>
      </c>
      <c r="AYO10">
        <f t="shared" ref="AYO10:AYO29" si="691">XM10</f>
        <v>0</v>
      </c>
      <c r="AYP10">
        <f t="shared" ref="AYP10:AYP29" si="692">XN10</f>
        <v>0</v>
      </c>
      <c r="AYQ10">
        <f t="shared" ref="AYQ10:AYQ29" si="693">XO10</f>
        <v>0</v>
      </c>
      <c r="AYR10">
        <f t="shared" ref="AYR10:AYR29" si="694">XP10</f>
        <v>12.5</v>
      </c>
      <c r="AYS10">
        <f t="shared" ref="AYS10:AYS29" si="695">XQ10</f>
        <v>12.5</v>
      </c>
      <c r="AYT10">
        <f t="shared" si="43"/>
        <v>12.5</v>
      </c>
      <c r="AYU10">
        <f t="shared" ref="AYU10:AYU29" si="696">XS10</f>
        <v>23.125</v>
      </c>
      <c r="AYV10">
        <f t="shared" ref="AYV10:AYV29" si="697">XT10</f>
        <v>33.125</v>
      </c>
      <c r="AYW10">
        <f t="shared" ref="AYW10:AYW29" si="698">XU10</f>
        <v>23.125</v>
      </c>
      <c r="AYX10">
        <f t="shared" ref="AYX10:AYX29" si="699">XV10</f>
        <v>33.125</v>
      </c>
      <c r="AYY10">
        <f t="shared" ref="AYY10:AYY29" si="700">XW10</f>
        <v>15</v>
      </c>
      <c r="AYZ10">
        <f t="shared" ref="AYZ10:AYZ29" si="701">XX10</f>
        <v>15</v>
      </c>
      <c r="AZA10">
        <f t="shared" ref="AZA10:AZA29" si="702">XY10</f>
        <v>56.25</v>
      </c>
      <c r="AZB10">
        <f t="shared" ref="AZB10:AZB29" si="703">XZ10</f>
        <v>25</v>
      </c>
      <c r="AZC10">
        <f t="shared" ref="AZC10:AZC29" si="704">YA10</f>
        <v>0</v>
      </c>
      <c r="AZD10">
        <f t="shared" ref="AZD10:AZD29" si="705">YB10</f>
        <v>0</v>
      </c>
      <c r="AZE10">
        <f t="shared" ref="AZE10:AZE29" si="706">YC10</f>
        <v>0</v>
      </c>
      <c r="AZF10">
        <f t="shared" ref="AZF10:AZF29" si="707">YD10</f>
        <v>0</v>
      </c>
      <c r="AZG10">
        <f t="shared" ref="AZG10:AZG29" si="708">YE10</f>
        <v>0</v>
      </c>
      <c r="AZH10">
        <f t="shared" ref="AZH10:AZH29" si="709">YF10</f>
        <v>0</v>
      </c>
      <c r="AZI10">
        <f t="shared" ref="AZI10:AZI29" si="710">YG10</f>
        <v>0</v>
      </c>
      <c r="AZJ10">
        <f t="shared" ref="AZJ10:AZJ29" si="711">YH10</f>
        <v>0</v>
      </c>
      <c r="AZK10">
        <f t="shared" ref="AZK10:AZK29" si="712">YI10</f>
        <v>0</v>
      </c>
      <c r="AZL10">
        <f t="shared" ref="AZL10:AZL29" si="713">YJ10</f>
        <v>0</v>
      </c>
      <c r="AZM10">
        <f t="shared" ref="AZM10:AZM29" si="714">YK10</f>
        <v>0</v>
      </c>
      <c r="AZN10">
        <f t="shared" ref="AZN10:AZN29" si="715">YL10</f>
        <v>12.5</v>
      </c>
      <c r="AZO10">
        <f t="shared" ref="AZO10:AZO29" si="716">YM10</f>
        <v>12.5</v>
      </c>
      <c r="AZP10">
        <f t="shared" ref="AZP10:AZP29" si="717">YN10</f>
        <v>12.5</v>
      </c>
      <c r="AZQ10">
        <f t="shared" ref="AZQ10:AZQ29" si="718">YO10</f>
        <v>23.125</v>
      </c>
      <c r="AZR10">
        <f t="shared" ref="AZR10:AZR29" si="719">YP10</f>
        <v>23.125</v>
      </c>
      <c r="AZS10">
        <f t="shared" ref="AZS10:AZS29" si="720">YQ10</f>
        <v>23.125</v>
      </c>
      <c r="AZT10">
        <f t="shared" ref="AZT10:AZT29" si="721">YR10</f>
        <v>23.125</v>
      </c>
      <c r="AZU10">
        <f t="shared" ref="AZU10:AZU29" si="722">YS10</f>
        <v>35</v>
      </c>
      <c r="AZV10">
        <f t="shared" ref="AZV10:AZV29" si="723">YT10</f>
        <v>15</v>
      </c>
      <c r="AZW10">
        <f t="shared" ref="AZW10:AZW29" si="724">YU10</f>
        <v>56.25</v>
      </c>
      <c r="AZX10">
        <f t="shared" ref="AZX10:AZX29" si="725">YV10</f>
        <v>25</v>
      </c>
      <c r="AZY10">
        <f t="shared" ref="AZY10:AZY29" si="726">YW10</f>
        <v>0</v>
      </c>
      <c r="AZZ10">
        <f t="shared" ref="AZZ10:AZZ29" si="727">YX10</f>
        <v>0</v>
      </c>
      <c r="BAA10">
        <f t="shared" ref="BAA10:BAA29" si="728">YY10</f>
        <v>0</v>
      </c>
      <c r="BAB10">
        <f t="shared" ref="BAB10:BAB29" si="729">YZ10</f>
        <v>0</v>
      </c>
      <c r="BAC10">
        <f t="shared" ref="BAC10:BAC29" si="730">ZA10</f>
        <v>0</v>
      </c>
      <c r="BAD10">
        <f t="shared" ref="BAD10:BAD29" si="731">ZB10</f>
        <v>0</v>
      </c>
      <c r="BAE10">
        <f t="shared" ref="BAE10:BAE29" si="732">ZC10</f>
        <v>0</v>
      </c>
      <c r="BAF10">
        <f t="shared" ref="BAF10:BAF29" si="733">ZD10</f>
        <v>0</v>
      </c>
      <c r="BAG10">
        <f t="shared" ref="BAG10:BAG29" si="734">ZE10</f>
        <v>0</v>
      </c>
      <c r="BAH10">
        <f t="shared" ref="BAH10:BAH29" si="735">ZF10</f>
        <v>0</v>
      </c>
      <c r="BAI10">
        <f t="shared" ref="BAI10:BAI29" si="736">ZG10</f>
        <v>0</v>
      </c>
      <c r="BAJ10">
        <f t="shared" ref="BAJ10:BAJ29" si="737">ZH10</f>
        <v>12.5</v>
      </c>
      <c r="BAK10">
        <f t="shared" ref="BAK10:BAK29" si="738">ZI10</f>
        <v>12.5</v>
      </c>
      <c r="BAL10">
        <f t="shared" ref="BAL10:BAL29" si="739">ZJ10</f>
        <v>12.5</v>
      </c>
      <c r="BAM10">
        <f t="shared" ref="BAM10:BAM29" si="740">ZK10</f>
        <v>23.125</v>
      </c>
      <c r="BAN10">
        <f t="shared" ref="BAN10:BAN29" si="741">ZL10</f>
        <v>23.125</v>
      </c>
      <c r="BAO10">
        <f t="shared" ref="BAO10:BAO29" si="742">ZM10</f>
        <v>23.125</v>
      </c>
      <c r="BAP10">
        <f t="shared" ref="BAP10:BAP29" si="743">ZN10</f>
        <v>23.125</v>
      </c>
      <c r="BAQ10">
        <f t="shared" ref="BAQ10:BAQ29" si="744">ZO10</f>
        <v>15</v>
      </c>
      <c r="BAR10">
        <f t="shared" ref="BAR10:BAR29" si="745">ZP10</f>
        <v>15</v>
      </c>
      <c r="BAS10">
        <f t="shared" ref="BAS10:BAS29" si="746">ZQ10</f>
        <v>56.25</v>
      </c>
      <c r="BAT10">
        <f t="shared" ref="BAT10:BAT29" si="747">ZR10</f>
        <v>25</v>
      </c>
      <c r="BAU10">
        <f t="shared" ref="BAU10:BAU29" si="748">ZS10</f>
        <v>0</v>
      </c>
      <c r="BAV10">
        <f t="shared" ref="BAV10:BAV29" si="749">ZT10</f>
        <v>0</v>
      </c>
      <c r="BAW10">
        <f t="shared" ref="BAW10:BAW29" si="750">ZU10</f>
        <v>0</v>
      </c>
      <c r="BAX10">
        <f t="shared" ref="BAX10:BAX29" si="751">ZV10</f>
        <v>0</v>
      </c>
      <c r="BAY10">
        <f t="shared" ref="BAY10:BAY29" si="752">ZW10</f>
        <v>0</v>
      </c>
      <c r="BAZ10">
        <f t="shared" ref="BAZ10:BAZ29" si="753">ZX10</f>
        <v>0</v>
      </c>
      <c r="BBA10">
        <f t="shared" ref="BBA10:BBA29" si="754">ZY10</f>
        <v>0</v>
      </c>
      <c r="BBB10">
        <f t="shared" ref="BBB10:BBB29" si="755">ZZ10</f>
        <v>0</v>
      </c>
      <c r="BBC10">
        <f t="shared" ref="BBC10:BBC29" si="756">AAA10</f>
        <v>0</v>
      </c>
      <c r="BBD10">
        <f t="shared" ref="BBD10:BBD29" si="757">AAB10</f>
        <v>0</v>
      </c>
      <c r="BBE10">
        <f t="shared" ref="BBE10:BBE29" si="758">AAC10</f>
        <v>0</v>
      </c>
      <c r="BBF10">
        <f t="shared" si="44"/>
        <v>12.5</v>
      </c>
      <c r="BBG10">
        <f t="shared" ref="BBG10:BBG29" si="759">AAE10</f>
        <v>12.5</v>
      </c>
      <c r="BBH10">
        <f t="shared" ref="BBH10:BBH29" si="760">AAF10</f>
        <v>12.5</v>
      </c>
      <c r="BBI10">
        <f t="shared" ref="BBI10:BBI29" si="761">AAG10</f>
        <v>33.125</v>
      </c>
      <c r="BBJ10">
        <f t="shared" ref="BBJ10:BBJ29" si="762">AAH10</f>
        <v>33.125</v>
      </c>
      <c r="BBK10">
        <f t="shared" ref="BBK10:BBK29" si="763">AAI10</f>
        <v>33.125</v>
      </c>
      <c r="BBL10">
        <f t="shared" ref="BBL10:BBL29" si="764">AAJ10</f>
        <v>33.125</v>
      </c>
      <c r="BBM10">
        <f t="shared" ref="BBM10:BBM29" si="765">AAK10</f>
        <v>35</v>
      </c>
      <c r="BBN10">
        <f t="shared" ref="BBN10:BBN29" si="766">AAL10</f>
        <v>35</v>
      </c>
      <c r="BBO10">
        <f t="shared" ref="BBO10:BBO29" si="767">AAM10</f>
        <v>56.25</v>
      </c>
      <c r="BBP10">
        <f t="shared" ref="BBP10:BBP29" si="768">AAN10</f>
        <v>25</v>
      </c>
      <c r="BBQ10">
        <f t="shared" ref="BBQ10:BBQ29" si="769">AAO10</f>
        <v>0</v>
      </c>
      <c r="BBR10">
        <f t="shared" ref="BBR10:BBR29" si="770">AAP10</f>
        <v>0</v>
      </c>
      <c r="BBS10">
        <f t="shared" ref="BBS10:BBS29" si="771">AAQ10</f>
        <v>0</v>
      </c>
      <c r="BBT10">
        <f t="shared" ref="BBT10:BBT29" si="772">AAR10</f>
        <v>0</v>
      </c>
      <c r="BBU10">
        <f t="shared" ref="BBU10:BBU29" si="773">AAS10</f>
        <v>0</v>
      </c>
      <c r="BBV10">
        <f t="shared" ref="BBV10:BBV29" si="774">AAT10</f>
        <v>0</v>
      </c>
      <c r="BBW10">
        <f t="shared" ref="BBW10:BBW29" si="775">AAU10</f>
        <v>0</v>
      </c>
      <c r="BBX10">
        <f t="shared" ref="BBX10:BBX29" si="776">AAV10</f>
        <v>0</v>
      </c>
      <c r="BBY10">
        <f t="shared" ref="BBY10:BBY29" si="777">AAW10</f>
        <v>0</v>
      </c>
      <c r="BBZ10">
        <f t="shared" ref="BBZ10:BBZ29" si="778">AAX10</f>
        <v>0</v>
      </c>
      <c r="BCA10">
        <f t="shared" ref="BCA10:BCA29" si="779">AAY10</f>
        <v>0</v>
      </c>
      <c r="BCB10">
        <f t="shared" ref="BCB10:BCB29" si="780">AAZ10</f>
        <v>12.5</v>
      </c>
      <c r="BCC10">
        <f t="shared" ref="BCC10:BCC29" si="781">ABA10</f>
        <v>12.5</v>
      </c>
      <c r="BCD10">
        <f t="shared" ref="BCD10:BCD29" si="782">ABB10</f>
        <v>12.5</v>
      </c>
      <c r="BCE10">
        <f t="shared" ref="BCE10:BCE29" si="783">ABC10</f>
        <v>33.125</v>
      </c>
      <c r="BCF10">
        <f t="shared" ref="BCF10:BCF29" si="784">ABD10</f>
        <v>33.125</v>
      </c>
      <c r="BCG10">
        <f t="shared" ref="BCG10:BCG29" si="785">ABE10</f>
        <v>33.125</v>
      </c>
      <c r="BCH10">
        <f t="shared" ref="BCH10:BCH29" si="786">ABF10</f>
        <v>33.125</v>
      </c>
      <c r="BCI10">
        <f t="shared" ref="BCI10:BCI29" si="787">ABG10</f>
        <v>15</v>
      </c>
      <c r="BCJ10">
        <f t="shared" ref="BCJ10:BCJ29" si="788">ABH10</f>
        <v>35</v>
      </c>
      <c r="BCK10">
        <f t="shared" ref="BCK10:BCK29" si="789">ABI10</f>
        <v>56.25</v>
      </c>
      <c r="BCL10">
        <f t="shared" ref="BCL10:BCL29" si="790">ABJ10</f>
        <v>25</v>
      </c>
      <c r="BCM10">
        <f t="shared" ref="BCM10:BCM29" si="791">ABK10</f>
        <v>0</v>
      </c>
      <c r="BCN10">
        <f t="shared" ref="BCN10:BCN29" si="792">ABL10</f>
        <v>0</v>
      </c>
      <c r="BCO10">
        <f t="shared" ref="BCO10:BCO29" si="793">ABM10</f>
        <v>0</v>
      </c>
      <c r="BCP10">
        <f t="shared" ref="BCP10:BCP29" si="794">ABN10</f>
        <v>0</v>
      </c>
      <c r="BCQ10">
        <f t="shared" ref="BCQ10:BCQ29" si="795">ABO10</f>
        <v>0</v>
      </c>
      <c r="BCR10">
        <f t="shared" ref="BCR10:BCR29" si="796">ABP10</f>
        <v>0</v>
      </c>
      <c r="BCS10">
        <f t="shared" ref="BCS10:BCS29" si="797">ABQ10</f>
        <v>0</v>
      </c>
      <c r="BCT10">
        <f t="shared" ref="BCT10:BCT29" si="798">ABR10</f>
        <v>0</v>
      </c>
      <c r="BCU10">
        <f t="shared" ref="BCU10:BCU29" si="799">ABS10</f>
        <v>0</v>
      </c>
      <c r="BCV10">
        <f t="shared" ref="BCV10:BCV29" si="800">ABT10</f>
        <v>0</v>
      </c>
      <c r="BCW10">
        <f t="shared" ref="BCW10:BCW29" si="801">ABU10</f>
        <v>0</v>
      </c>
      <c r="BCX10">
        <f t="shared" ref="BCX10:BCX29" si="802">ABV10</f>
        <v>12.5</v>
      </c>
      <c r="BCY10">
        <f t="shared" ref="BCY10:BCY29" si="803">ABW10</f>
        <v>12.5</v>
      </c>
      <c r="BCZ10">
        <f t="shared" ref="BCZ10:BCZ29" si="804">ABX10</f>
        <v>12.5</v>
      </c>
      <c r="BDA10">
        <f t="shared" ref="BDA10:BDA29" si="805">ABY10</f>
        <v>33.125</v>
      </c>
      <c r="BDB10">
        <f t="shared" ref="BDB10:BDB29" si="806">ABZ10</f>
        <v>23.125</v>
      </c>
      <c r="BDC10">
        <f t="shared" ref="BDC10:BDC29" si="807">ACA10</f>
        <v>33.125</v>
      </c>
      <c r="BDD10">
        <f t="shared" ref="BDD10:BDD29" si="808">ACB10</f>
        <v>23.125</v>
      </c>
      <c r="BDE10">
        <f t="shared" ref="BDE10:BDE29" si="809">ACC10</f>
        <v>35</v>
      </c>
      <c r="BDF10">
        <f t="shared" ref="BDF10:BDF29" si="810">ACD10</f>
        <v>35</v>
      </c>
      <c r="BDG10">
        <f t="shared" ref="BDG10:BDG29" si="811">ACE10</f>
        <v>56.25</v>
      </c>
      <c r="BDH10">
        <f t="shared" ref="BDH10:BDH29" si="812">ACF10</f>
        <v>25</v>
      </c>
      <c r="BDI10">
        <f t="shared" ref="BDI10:BDI29" si="813">ACG10</f>
        <v>0</v>
      </c>
      <c r="BDJ10">
        <f t="shared" ref="BDJ10:BDJ29" si="814">ACH10</f>
        <v>0</v>
      </c>
      <c r="BDK10">
        <f t="shared" ref="BDK10:BDK29" si="815">ACI10</f>
        <v>0</v>
      </c>
      <c r="BDL10">
        <f t="shared" ref="BDL10:BDL29" si="816">ACJ10</f>
        <v>0</v>
      </c>
      <c r="BDM10">
        <f t="shared" ref="BDM10:BDM29" si="817">ACK10</f>
        <v>0</v>
      </c>
      <c r="BDN10">
        <f t="shared" ref="BDN10:BDN29" si="818">ACL10</f>
        <v>0</v>
      </c>
      <c r="BDO10">
        <f t="shared" ref="BDO10:BDO29" si="819">ACM10</f>
        <v>0</v>
      </c>
      <c r="BDP10">
        <f t="shared" ref="BDP10:BDP29" si="820">ACN10</f>
        <v>0</v>
      </c>
      <c r="BDQ10">
        <f t="shared" ref="BDQ10:BDQ29" si="821">ACO10</f>
        <v>0</v>
      </c>
      <c r="BDR10">
        <f t="shared" si="45"/>
        <v>0</v>
      </c>
      <c r="BDS10">
        <f t="shared" ref="BDS10:BDS29" si="822">ACQ10</f>
        <v>0</v>
      </c>
      <c r="BDT10">
        <f t="shared" ref="BDT10:BDT29" si="823">ACR10</f>
        <v>12.5</v>
      </c>
      <c r="BDU10">
        <f t="shared" ref="BDU10:BDU29" si="824">ACS10</f>
        <v>12.5</v>
      </c>
      <c r="BDV10">
        <f t="shared" ref="BDV10:BDV29" si="825">ACT10</f>
        <v>12.5</v>
      </c>
      <c r="BDW10">
        <f t="shared" ref="BDW10:BDW29" si="826">ACU10</f>
        <v>33.125</v>
      </c>
      <c r="BDX10">
        <f t="shared" ref="BDX10:BDX29" si="827">ACV10</f>
        <v>23.125</v>
      </c>
      <c r="BDY10">
        <f t="shared" ref="BDY10:BDY29" si="828">ACW10</f>
        <v>33.125</v>
      </c>
      <c r="BDZ10">
        <f t="shared" ref="BDZ10:BDZ29" si="829">ACX10</f>
        <v>23.125</v>
      </c>
      <c r="BEA10">
        <f t="shared" ref="BEA10:BEA29" si="830">ACY10</f>
        <v>15</v>
      </c>
      <c r="BEB10">
        <f t="shared" ref="BEB10:BEB29" si="831">ACZ10</f>
        <v>35</v>
      </c>
      <c r="BEC10">
        <f t="shared" ref="BEC10:BEC29" si="832">ADA10</f>
        <v>56.25</v>
      </c>
      <c r="BED10">
        <f t="shared" ref="BED10:BED29" si="833">ADB10</f>
        <v>25</v>
      </c>
      <c r="BEE10">
        <f t="shared" ref="BEE10:BEE29" si="834">ADC10</f>
        <v>0</v>
      </c>
      <c r="BEF10">
        <f t="shared" ref="BEF10:BEF29" si="835">ADD10</f>
        <v>0</v>
      </c>
      <c r="BEG10">
        <f t="shared" ref="BEG10:BEG29" si="836">ADE10</f>
        <v>0</v>
      </c>
      <c r="BEH10">
        <f t="shared" ref="BEH10:BEH29" si="837">ADF10</f>
        <v>0</v>
      </c>
      <c r="BEI10">
        <f t="shared" ref="BEI10:BEI29" si="838">ADG10</f>
        <v>0</v>
      </c>
      <c r="BEJ10">
        <f t="shared" ref="BEJ10:BEJ29" si="839">ADH10</f>
        <v>0</v>
      </c>
      <c r="BEK10">
        <f t="shared" ref="BEK10:BEK29" si="840">ADI10</f>
        <v>0</v>
      </c>
      <c r="BEL10">
        <f t="shared" ref="BEL10:BEL29" si="841">ADJ10</f>
        <v>0</v>
      </c>
      <c r="BEM10">
        <f t="shared" ref="BEM10:BEM29" si="842">ADK10</f>
        <v>0</v>
      </c>
      <c r="BEN10">
        <f t="shared" ref="BEN10:BEN29" si="843">ADL10</f>
        <v>0</v>
      </c>
      <c r="BEO10">
        <f t="shared" ref="BEO10:BEO29" si="844">ADM10</f>
        <v>0</v>
      </c>
      <c r="BEP10">
        <f t="shared" ref="BEP10:BEP29" si="845">ADN10</f>
        <v>12.5</v>
      </c>
      <c r="BEQ10">
        <f t="shared" ref="BEQ10:BEQ29" si="846">ADO10</f>
        <v>12.5</v>
      </c>
      <c r="BER10">
        <f t="shared" ref="BER10:BER29" si="847">ADP10</f>
        <v>12.5</v>
      </c>
      <c r="BES10">
        <f t="shared" ref="BES10:BES29" si="848">ADQ10</f>
        <v>23.125</v>
      </c>
      <c r="BET10">
        <f t="shared" ref="BET10:BET29" si="849">ADR10</f>
        <v>33.125</v>
      </c>
      <c r="BEU10">
        <f t="shared" ref="BEU10:BEU29" si="850">ADS10</f>
        <v>33.125</v>
      </c>
      <c r="BEV10">
        <f t="shared" ref="BEV10:BEV29" si="851">ADT10</f>
        <v>33.125</v>
      </c>
      <c r="BEW10">
        <f t="shared" ref="BEW10:BEW29" si="852">ADU10</f>
        <v>35</v>
      </c>
      <c r="BEX10">
        <f t="shared" ref="BEX10:BEX29" si="853">ADV10</f>
        <v>35</v>
      </c>
      <c r="BEY10">
        <f t="shared" ref="BEY10:BEY29" si="854">ADW10</f>
        <v>56.25</v>
      </c>
      <c r="BEZ10">
        <f t="shared" ref="BEZ10:BEZ29" si="855">ADX10</f>
        <v>25</v>
      </c>
      <c r="BFA10">
        <f t="shared" ref="BFA10:BFA29" si="856">ADY10</f>
        <v>0</v>
      </c>
      <c r="BFB10">
        <f t="shared" ref="BFB10:BFB29" si="857">ADZ10</f>
        <v>0</v>
      </c>
      <c r="BFC10">
        <f t="shared" ref="BFC10:BFC29" si="858">AEA10</f>
        <v>0</v>
      </c>
      <c r="BFD10">
        <f t="shared" ref="BFD10:BFD29" si="859">AEB10</f>
        <v>0</v>
      </c>
      <c r="BFE10">
        <f t="shared" ref="BFE10:BFE29" si="860">AEC10</f>
        <v>0</v>
      </c>
      <c r="BFF10">
        <f t="shared" ref="BFF10:BFF29" si="861">AED10</f>
        <v>0</v>
      </c>
      <c r="BFG10">
        <f t="shared" ref="BFG10:BFG29" si="862">AEE10</f>
        <v>0</v>
      </c>
      <c r="BFH10">
        <f t="shared" ref="BFH10:BFH29" si="863">AEF10</f>
        <v>0</v>
      </c>
      <c r="BFI10">
        <f t="shared" ref="BFI10:BFI29" si="864">AEG10</f>
        <v>0</v>
      </c>
      <c r="BFJ10">
        <f t="shared" ref="BFJ10:BFJ29" si="865">AEH10</f>
        <v>0</v>
      </c>
      <c r="BFK10">
        <f t="shared" ref="BFK10:BFK29" si="866">AEI10</f>
        <v>0</v>
      </c>
      <c r="BFL10">
        <f t="shared" ref="BFL10:BFL29" si="867">AEJ10</f>
        <v>12.5</v>
      </c>
      <c r="BFM10">
        <f t="shared" ref="BFM10:BFM29" si="868">AEK10</f>
        <v>12.5</v>
      </c>
      <c r="BFN10">
        <f t="shared" ref="BFN10:BFN29" si="869">AEL10</f>
        <v>12.5</v>
      </c>
      <c r="BFO10">
        <f t="shared" ref="BFO10:BFO29" si="870">AEM10</f>
        <v>23.125</v>
      </c>
      <c r="BFP10">
        <f t="shared" ref="BFP10:BFP29" si="871">AEN10</f>
        <v>33.125</v>
      </c>
      <c r="BFQ10">
        <f t="shared" ref="BFQ10:BFQ29" si="872">AEO10</f>
        <v>33.125</v>
      </c>
      <c r="BFR10">
        <f t="shared" ref="BFR10:BFR29" si="873">AEP10</f>
        <v>33.125</v>
      </c>
      <c r="BFS10">
        <f t="shared" ref="BFS10:BFS29" si="874">AEQ10</f>
        <v>15</v>
      </c>
      <c r="BFT10">
        <f t="shared" ref="BFT10:BFT29" si="875">AER10</f>
        <v>35</v>
      </c>
      <c r="BFU10">
        <f t="shared" ref="BFU10:BFU29" si="876">AES10</f>
        <v>56.25</v>
      </c>
      <c r="BFV10">
        <f t="shared" ref="BFV10:BFV29" si="877">AET10</f>
        <v>25</v>
      </c>
      <c r="BFW10">
        <f t="shared" ref="BFW10:BFW29" si="878">AEU10</f>
        <v>0</v>
      </c>
      <c r="BFX10">
        <f t="shared" ref="BFX10:BFX29" si="879">AEV10</f>
        <v>0</v>
      </c>
      <c r="BFY10">
        <f t="shared" ref="BFY10:BFY29" si="880">AEW10</f>
        <v>0</v>
      </c>
      <c r="BFZ10">
        <f t="shared" ref="BFZ10:BFZ29" si="881">AEX10</f>
        <v>0</v>
      </c>
      <c r="BGA10">
        <f t="shared" ref="BGA10:BGA29" si="882">AEY10</f>
        <v>0</v>
      </c>
      <c r="BGB10">
        <f t="shared" ref="BGB10:BGB29" si="883">AEZ10</f>
        <v>0</v>
      </c>
      <c r="BGC10">
        <f t="shared" ref="BGC10:BGC29" si="884">AFA10</f>
        <v>0</v>
      </c>
      <c r="BGD10">
        <f t="shared" si="46"/>
        <v>0</v>
      </c>
      <c r="BGE10">
        <f t="shared" ref="BGE10:BGE29" si="885">AFC10</f>
        <v>0</v>
      </c>
      <c r="BGF10">
        <f t="shared" ref="BGF10:BGF29" si="886">AFD10</f>
        <v>0</v>
      </c>
      <c r="BGG10">
        <f t="shared" ref="BGG10:BGG29" si="887">AFE10</f>
        <v>0</v>
      </c>
      <c r="BGH10">
        <f t="shared" ref="BGH10:BGH29" si="888">AFF10</f>
        <v>12.5</v>
      </c>
      <c r="BGI10">
        <f t="shared" ref="BGI10:BGI29" si="889">AFG10</f>
        <v>12.5</v>
      </c>
      <c r="BGJ10">
        <f t="shared" ref="BGJ10:BGJ29" si="890">AFH10</f>
        <v>12.5</v>
      </c>
      <c r="BGK10">
        <f t="shared" ref="BGK10:BGK29" si="891">AFI10</f>
        <v>23.125</v>
      </c>
      <c r="BGL10">
        <f t="shared" ref="BGL10:BGL29" si="892">AFJ10</f>
        <v>23.125</v>
      </c>
      <c r="BGM10">
        <f t="shared" ref="BGM10:BGM29" si="893">AFK10</f>
        <v>33.125</v>
      </c>
      <c r="BGN10">
        <f t="shared" ref="BGN10:BGN29" si="894">AFL10</f>
        <v>23.125</v>
      </c>
      <c r="BGO10">
        <f t="shared" ref="BGO10:BGO29" si="895">AFM10</f>
        <v>35</v>
      </c>
      <c r="BGP10">
        <f t="shared" ref="BGP10:BGP29" si="896">AFN10</f>
        <v>35</v>
      </c>
      <c r="BGQ10">
        <f t="shared" ref="BGQ10:BGQ29" si="897">AFO10</f>
        <v>56.25</v>
      </c>
      <c r="BGR10">
        <f t="shared" ref="BGR10:BGR29" si="898">AFP10</f>
        <v>25</v>
      </c>
      <c r="BGS10">
        <f t="shared" ref="BGS10:BGS29" si="899">AFQ10</f>
        <v>0</v>
      </c>
      <c r="BGT10">
        <f t="shared" ref="BGT10:BGT29" si="900">AFR10</f>
        <v>0</v>
      </c>
      <c r="BGU10">
        <f t="shared" ref="BGU10:BGU29" si="901">AFS10</f>
        <v>0</v>
      </c>
      <c r="BGV10">
        <f t="shared" ref="BGV10:BGV29" si="902">AFT10</f>
        <v>0</v>
      </c>
      <c r="BGW10">
        <f t="shared" ref="BGW10:BGW29" si="903">AFU10</f>
        <v>0</v>
      </c>
      <c r="BGX10">
        <f t="shared" ref="BGX10:BGX29" si="904">AFV10</f>
        <v>0</v>
      </c>
      <c r="BGY10">
        <f t="shared" ref="BGY10:BGY29" si="905">AFW10</f>
        <v>0</v>
      </c>
      <c r="BGZ10">
        <f t="shared" ref="BGZ10:BGZ29" si="906">AFX10</f>
        <v>0</v>
      </c>
      <c r="BHA10">
        <f t="shared" ref="BHA10:BHA29" si="907">AFY10</f>
        <v>0</v>
      </c>
      <c r="BHB10">
        <f t="shared" ref="BHB10:BHB29" si="908">AFZ10</f>
        <v>0</v>
      </c>
      <c r="BHC10">
        <f t="shared" ref="BHC10:BHC29" si="909">AGA10</f>
        <v>0</v>
      </c>
      <c r="BHD10">
        <f t="shared" ref="BHD10:BHD29" si="910">AGB10</f>
        <v>12.5</v>
      </c>
      <c r="BHE10">
        <f t="shared" ref="BHE10:BHE29" si="911">AGC10</f>
        <v>12.5</v>
      </c>
      <c r="BHF10">
        <f t="shared" ref="BHF10:BHF29" si="912">AGD10</f>
        <v>12.5</v>
      </c>
      <c r="BHG10">
        <f t="shared" ref="BHG10:BHG29" si="913">AGE10</f>
        <v>23.125</v>
      </c>
      <c r="BHH10">
        <f t="shared" ref="BHH10:BHH29" si="914">AGF10</f>
        <v>23.125</v>
      </c>
      <c r="BHI10">
        <f t="shared" ref="BHI10:BHI29" si="915">AGG10</f>
        <v>33.125</v>
      </c>
      <c r="BHJ10">
        <f t="shared" ref="BHJ10:BHJ29" si="916">AGH10</f>
        <v>23.125</v>
      </c>
      <c r="BHK10">
        <f t="shared" ref="BHK10:BHK29" si="917">AGI10</f>
        <v>15</v>
      </c>
      <c r="BHL10">
        <f t="shared" ref="BHL10:BHL29" si="918">AGJ10</f>
        <v>35</v>
      </c>
      <c r="BHM10">
        <f t="shared" ref="BHM10:BHM29" si="919">AGK10</f>
        <v>56.25</v>
      </c>
      <c r="BHN10">
        <f t="shared" ref="BHN10:BHN29" si="920">AGL10</f>
        <v>25</v>
      </c>
      <c r="BHO10">
        <f t="shared" ref="BHO10:BHO29" si="921">AGM10</f>
        <v>0</v>
      </c>
      <c r="BHP10">
        <f t="shared" ref="BHP10:BHP29" si="922">AGN10</f>
        <v>0</v>
      </c>
      <c r="BHQ10">
        <f t="shared" ref="BHQ10:BHQ29" si="923">AGO10</f>
        <v>0</v>
      </c>
      <c r="BHR10">
        <f t="shared" ref="BHR10:BHR29" si="924">AGP10</f>
        <v>0</v>
      </c>
      <c r="BHS10">
        <f t="shared" ref="BHS10:BHS29" si="925">AGQ10</f>
        <v>0</v>
      </c>
      <c r="BHT10">
        <f t="shared" ref="BHT10:BHT29" si="926">AGR10</f>
        <v>0</v>
      </c>
      <c r="BHU10">
        <f t="shared" ref="BHU10:BHU29" si="927">AGS10</f>
        <v>0</v>
      </c>
      <c r="BHV10">
        <f t="shared" ref="BHV10:BHV29" si="928">AGT10</f>
        <v>0</v>
      </c>
      <c r="BHW10">
        <f t="shared" ref="BHW10:BHW29" si="929">AGU10</f>
        <v>0</v>
      </c>
      <c r="BHX10">
        <f t="shared" ref="BHX10:BHX29" si="930">AGV10</f>
        <v>0</v>
      </c>
      <c r="BHY10">
        <f t="shared" ref="BHY10:BHY29" si="931">AGW10</f>
        <v>0</v>
      </c>
      <c r="BHZ10">
        <f t="shared" ref="BHZ10:BHZ29" si="932">AGX10</f>
        <v>12.5</v>
      </c>
      <c r="BIA10">
        <f t="shared" ref="BIA10:BIA29" si="933">AGY10</f>
        <v>12.5</v>
      </c>
      <c r="BIB10">
        <f t="shared" ref="BIB10:BIB29" si="934">AGZ10</f>
        <v>12.5</v>
      </c>
      <c r="BIC10">
        <f t="shared" ref="BIC10:BIC29" si="935">AHA10</f>
        <v>33.125</v>
      </c>
      <c r="BID10">
        <f t="shared" ref="BID10:BID29" si="936">AHB10</f>
        <v>33.125</v>
      </c>
      <c r="BIE10">
        <f t="shared" ref="BIE10:BIE29" si="937">AHC10</f>
        <v>23.125</v>
      </c>
      <c r="BIF10">
        <f t="shared" ref="BIF10:BIF29" si="938">AHD10</f>
        <v>33.125</v>
      </c>
      <c r="BIG10">
        <f t="shared" ref="BIG10:BIG29" si="939">AHE10</f>
        <v>35</v>
      </c>
      <c r="BIH10">
        <f t="shared" ref="BIH10:BIH29" si="940">AHF10</f>
        <v>35</v>
      </c>
      <c r="BII10">
        <f t="shared" ref="BII10:BII29" si="941">AHG10</f>
        <v>56.25</v>
      </c>
      <c r="BIJ10">
        <f t="shared" ref="BIJ10:BIJ29" si="942">AHH10</f>
        <v>25</v>
      </c>
      <c r="BIK10">
        <f t="shared" ref="BIK10:BIK29" si="943">AHI10</f>
        <v>0</v>
      </c>
      <c r="BIL10">
        <f t="shared" ref="BIL10:BIL29" si="944">AHJ10</f>
        <v>0</v>
      </c>
      <c r="BIM10">
        <f t="shared" ref="BIM10:BIM29" si="945">AHK10</f>
        <v>0</v>
      </c>
      <c r="BIN10">
        <f t="shared" ref="BIN10:BIN29" si="946">AHL10</f>
        <v>0</v>
      </c>
      <c r="BIO10">
        <f t="shared" ref="BIO10:BIO29" si="947">AHM10</f>
        <v>0</v>
      </c>
      <c r="BIP10">
        <f t="shared" si="47"/>
        <v>0</v>
      </c>
      <c r="BIQ10">
        <f t="shared" ref="BIQ10:BIQ29" si="948">AHO10</f>
        <v>0</v>
      </c>
      <c r="BIR10">
        <f t="shared" ref="BIR10:BIR29" si="949">AHP10</f>
        <v>0</v>
      </c>
      <c r="BIS10">
        <f t="shared" ref="BIS10:BIS29" si="950">AHQ10</f>
        <v>0</v>
      </c>
      <c r="BIT10">
        <f t="shared" ref="BIT10:BIT29" si="951">AHR10</f>
        <v>0</v>
      </c>
      <c r="BIU10">
        <f t="shared" ref="BIU10:BIU29" si="952">AHS10</f>
        <v>0</v>
      </c>
      <c r="BIV10">
        <f t="shared" ref="BIV10:BIV29" si="953">AHT10</f>
        <v>12.5</v>
      </c>
      <c r="BIW10">
        <f t="shared" ref="BIW10:BIW29" si="954">AHU10</f>
        <v>12.5</v>
      </c>
      <c r="BIX10">
        <f t="shared" ref="BIX10:BIX29" si="955">AHV10</f>
        <v>12.5</v>
      </c>
      <c r="BIY10">
        <f t="shared" ref="BIY10:BIY29" si="956">AHW10</f>
        <v>33.125</v>
      </c>
      <c r="BIZ10">
        <f t="shared" ref="BIZ10:BIZ29" si="957">AHX10</f>
        <v>33.125</v>
      </c>
      <c r="BJA10">
        <f t="shared" ref="BJA10:BJA29" si="958">AHY10</f>
        <v>23.125</v>
      </c>
      <c r="BJB10">
        <f t="shared" ref="BJB10:BJB29" si="959">AHZ10</f>
        <v>33.125</v>
      </c>
      <c r="BJC10">
        <f t="shared" ref="BJC10:BJC29" si="960">AIA10</f>
        <v>15</v>
      </c>
      <c r="BJD10">
        <f t="shared" ref="BJD10:BJD29" si="961">AIB10</f>
        <v>35</v>
      </c>
      <c r="BJE10">
        <f t="shared" ref="BJE10:BJE29" si="962">AIC10</f>
        <v>56.25</v>
      </c>
      <c r="BJF10">
        <f t="shared" ref="BJF10:BJF29" si="963">AID10</f>
        <v>25</v>
      </c>
      <c r="BJG10">
        <f t="shared" ref="BJG10:BJG29" si="964">AIE10</f>
        <v>0</v>
      </c>
      <c r="BJH10">
        <f t="shared" ref="BJH10:BJH29" si="965">AIF10</f>
        <v>0</v>
      </c>
      <c r="BJI10">
        <f t="shared" ref="BJI10:BJI29" si="966">AIG10</f>
        <v>0</v>
      </c>
      <c r="BJJ10">
        <f t="shared" ref="BJJ10:BJJ29" si="967">AIH10</f>
        <v>0</v>
      </c>
      <c r="BJK10">
        <f t="shared" ref="BJK10:BJK29" si="968">AII10</f>
        <v>0</v>
      </c>
      <c r="BJL10">
        <f t="shared" ref="BJL10:BJL29" si="969">AIJ10</f>
        <v>0</v>
      </c>
      <c r="BJM10">
        <f t="shared" ref="BJM10:BJM29" si="970">AIK10</f>
        <v>0</v>
      </c>
      <c r="BJN10">
        <f t="shared" ref="BJN10:BJN29" si="971">AIL10</f>
        <v>0</v>
      </c>
      <c r="BJO10">
        <f t="shared" ref="BJO10:BJO29" si="972">AIM10</f>
        <v>0</v>
      </c>
      <c r="BJP10">
        <f t="shared" ref="BJP10:BJP29" si="973">AIN10</f>
        <v>0</v>
      </c>
      <c r="BJQ10">
        <f t="shared" ref="BJQ10:BJQ29" si="974">AIO10</f>
        <v>0</v>
      </c>
      <c r="BJR10">
        <f t="shared" ref="BJR10:BJR29" si="975">AIP10</f>
        <v>12.5</v>
      </c>
      <c r="BJS10">
        <f t="shared" ref="BJS10:BJS29" si="976">AIQ10</f>
        <v>12.5</v>
      </c>
      <c r="BJT10">
        <f t="shared" ref="BJT10:BJT29" si="977">AIR10</f>
        <v>12.5</v>
      </c>
      <c r="BJU10">
        <f t="shared" ref="BJU10:BJU29" si="978">AIS10</f>
        <v>33.125</v>
      </c>
      <c r="BJV10">
        <f t="shared" ref="BJV10:BJV29" si="979">AIT10</f>
        <v>23.125</v>
      </c>
      <c r="BJW10">
        <f t="shared" ref="BJW10:BJW29" si="980">AIU10</f>
        <v>23.125</v>
      </c>
      <c r="BJX10">
        <f t="shared" ref="BJX10:BJX29" si="981">AIV10</f>
        <v>23.125</v>
      </c>
      <c r="BJY10">
        <f t="shared" ref="BJY10:BJY29" si="982">AIW10</f>
        <v>35</v>
      </c>
      <c r="BJZ10">
        <f t="shared" ref="BJZ10:BJZ29" si="983">AIX10</f>
        <v>35</v>
      </c>
      <c r="BKA10">
        <f t="shared" ref="BKA10:BKA29" si="984">AIY10</f>
        <v>56.25</v>
      </c>
      <c r="BKB10">
        <f t="shared" ref="BKB10:BKB29" si="985">AIZ10</f>
        <v>25</v>
      </c>
      <c r="BKC10">
        <f t="shared" ref="BKC10:BKC29" si="986">AJA10</f>
        <v>0</v>
      </c>
      <c r="BKD10">
        <f t="shared" ref="BKD10:BKD29" si="987">AJB10</f>
        <v>0</v>
      </c>
      <c r="BKE10">
        <f t="shared" ref="BKE10:BKE29" si="988">AJC10</f>
        <v>0</v>
      </c>
      <c r="BKF10">
        <f t="shared" ref="BKF10:BKF29" si="989">AJD10</f>
        <v>0</v>
      </c>
      <c r="BKG10">
        <f t="shared" ref="BKG10:BKG29" si="990">AJE10</f>
        <v>0</v>
      </c>
      <c r="BKH10">
        <f t="shared" ref="BKH10:BKH29" si="991">AJF10</f>
        <v>0</v>
      </c>
      <c r="BKI10">
        <f t="shared" ref="BKI10:BKI29" si="992">AJG10</f>
        <v>0</v>
      </c>
      <c r="BKJ10">
        <f t="shared" ref="BKJ10:BKJ29" si="993">AJH10</f>
        <v>0</v>
      </c>
      <c r="BKK10">
        <f t="shared" ref="BKK10:BKK29" si="994">AJI10</f>
        <v>0</v>
      </c>
      <c r="BKL10">
        <f t="shared" ref="BKL10:BKL29" si="995">AJJ10</f>
        <v>0</v>
      </c>
      <c r="BKM10">
        <f t="shared" ref="BKM10:BKM29" si="996">AJK10</f>
        <v>0</v>
      </c>
      <c r="BKN10">
        <f t="shared" ref="BKN10:BKN29" si="997">AJL10</f>
        <v>12.5</v>
      </c>
      <c r="BKO10">
        <f t="shared" ref="BKO10:BKO29" si="998">AJM10</f>
        <v>12.5</v>
      </c>
      <c r="BKP10">
        <f t="shared" ref="BKP10:BKP29" si="999">AJN10</f>
        <v>12.5</v>
      </c>
      <c r="BKQ10">
        <f t="shared" ref="BKQ10:BKQ29" si="1000">AJO10</f>
        <v>33.125</v>
      </c>
      <c r="BKR10">
        <f t="shared" ref="BKR10:BKR29" si="1001">AJP10</f>
        <v>23.125</v>
      </c>
      <c r="BKS10">
        <f t="shared" ref="BKS10:BKS29" si="1002">AJQ10</f>
        <v>23.125</v>
      </c>
      <c r="BKT10">
        <f t="shared" ref="BKT10:BKT29" si="1003">AJR10</f>
        <v>23.125</v>
      </c>
      <c r="BKU10">
        <f t="shared" ref="BKU10:BKU29" si="1004">AJS10</f>
        <v>15</v>
      </c>
      <c r="BKV10">
        <f t="shared" ref="BKV10:BKV29" si="1005">AJT10</f>
        <v>35</v>
      </c>
      <c r="BKW10">
        <f t="shared" ref="BKW10:BKW29" si="1006">AJU10</f>
        <v>56.25</v>
      </c>
      <c r="BKX10">
        <f t="shared" ref="BKX10:BKX29" si="1007">AJV10</f>
        <v>25</v>
      </c>
      <c r="BKY10">
        <f t="shared" ref="BKY10:BKY29" si="1008">AJW10</f>
        <v>0</v>
      </c>
      <c r="BKZ10">
        <f t="shared" ref="BKZ10:BKZ29" si="1009">AJX10</f>
        <v>0</v>
      </c>
      <c r="BLA10">
        <f t="shared" ref="BLA10:BLA29" si="1010">AJY10</f>
        <v>0</v>
      </c>
      <c r="BLB10">
        <f t="shared" si="48"/>
        <v>0</v>
      </c>
      <c r="BLC10">
        <f t="shared" ref="BLC10:BLC29" si="1011">AKA10</f>
        <v>0</v>
      </c>
      <c r="BLD10">
        <f t="shared" ref="BLD10:BLD29" si="1012">AKB10</f>
        <v>0</v>
      </c>
      <c r="BLE10">
        <f t="shared" ref="BLE10:BLE29" si="1013">AKC10</f>
        <v>0</v>
      </c>
      <c r="BLF10">
        <f t="shared" ref="BLF10:BLF29" si="1014">AKD10</f>
        <v>0</v>
      </c>
      <c r="BLG10">
        <f t="shared" ref="BLG10:BLG29" si="1015">AKE10</f>
        <v>0</v>
      </c>
      <c r="BLH10">
        <f t="shared" ref="BLH10:BLH29" si="1016">AKF10</f>
        <v>0</v>
      </c>
      <c r="BLI10">
        <f t="shared" ref="BLI10:BLI29" si="1017">AKG10</f>
        <v>0</v>
      </c>
      <c r="BLJ10">
        <f t="shared" ref="BLJ10:BLJ29" si="1018">AKH10</f>
        <v>12.5</v>
      </c>
      <c r="BLK10">
        <f t="shared" ref="BLK10:BLK29" si="1019">AKI10</f>
        <v>12.5</v>
      </c>
      <c r="BLL10">
        <f t="shared" ref="BLL10:BLL29" si="1020">AKJ10</f>
        <v>12.5</v>
      </c>
      <c r="BLM10">
        <f t="shared" ref="BLM10:BLM29" si="1021">AKK10</f>
        <v>23.125</v>
      </c>
      <c r="BLN10">
        <f t="shared" ref="BLN10:BLN29" si="1022">AKL10</f>
        <v>33.125</v>
      </c>
      <c r="BLO10">
        <f t="shared" ref="BLO10:BLO29" si="1023">AKM10</f>
        <v>23.125</v>
      </c>
      <c r="BLP10">
        <f t="shared" ref="BLP10:BLP29" si="1024">AKN10</f>
        <v>33.125</v>
      </c>
      <c r="BLQ10">
        <f t="shared" ref="BLQ10:BLQ29" si="1025">AKO10</f>
        <v>35</v>
      </c>
      <c r="BLR10">
        <f t="shared" ref="BLR10:BLR29" si="1026">AKP10</f>
        <v>35</v>
      </c>
      <c r="BLS10">
        <f t="shared" ref="BLS10:BLS29" si="1027">AKQ10</f>
        <v>56.25</v>
      </c>
      <c r="BLT10">
        <f t="shared" ref="BLT10:BLT29" si="1028">AKR10</f>
        <v>25</v>
      </c>
      <c r="BLU10">
        <f t="shared" ref="BLU10:BLU29" si="1029">AKS10</f>
        <v>0</v>
      </c>
      <c r="BLV10">
        <f t="shared" ref="BLV10:BLV29" si="1030">AKT10</f>
        <v>0</v>
      </c>
      <c r="BLW10">
        <f t="shared" ref="BLW10:BLW29" si="1031">AKU10</f>
        <v>0</v>
      </c>
      <c r="BLX10">
        <f t="shared" ref="BLX10:BLX29" si="1032">AKV10</f>
        <v>0</v>
      </c>
      <c r="BLY10">
        <f t="shared" ref="BLY10:BLY29" si="1033">AKW10</f>
        <v>0</v>
      </c>
      <c r="BLZ10">
        <f t="shared" ref="BLZ10:BLZ29" si="1034">AKX10</f>
        <v>0</v>
      </c>
      <c r="BMA10">
        <f t="shared" ref="BMA10:BMA29" si="1035">AKY10</f>
        <v>0</v>
      </c>
      <c r="BMB10">
        <f t="shared" ref="BMB10:BMB29" si="1036">AKZ10</f>
        <v>0</v>
      </c>
      <c r="BMC10">
        <f t="shared" ref="BMC10:BMC29" si="1037">ALA10</f>
        <v>0</v>
      </c>
      <c r="BMD10">
        <f t="shared" ref="BMD10:BMD29" si="1038">ALB10</f>
        <v>0</v>
      </c>
      <c r="BME10">
        <f t="shared" ref="BME10:BME29" si="1039">ALC10</f>
        <v>0</v>
      </c>
      <c r="BMF10">
        <f t="shared" ref="BMF10:BMF29" si="1040">ALD10</f>
        <v>12.5</v>
      </c>
      <c r="BMG10">
        <f t="shared" ref="BMG10:BMG29" si="1041">ALE10</f>
        <v>12.5</v>
      </c>
      <c r="BMH10">
        <f t="shared" ref="BMH10:BMH29" si="1042">ALF10</f>
        <v>12.5</v>
      </c>
      <c r="BMI10">
        <f t="shared" ref="BMI10:BMI29" si="1043">ALG10</f>
        <v>23.125</v>
      </c>
      <c r="BMJ10">
        <f t="shared" ref="BMJ10:BMJ29" si="1044">ALH10</f>
        <v>33.125</v>
      </c>
      <c r="BMK10">
        <f t="shared" ref="BMK10:BMK29" si="1045">ALI10</f>
        <v>23.125</v>
      </c>
      <c r="BML10">
        <f t="shared" ref="BML10:BML29" si="1046">ALJ10</f>
        <v>33.125</v>
      </c>
      <c r="BMM10">
        <f t="shared" ref="BMM10:BMM29" si="1047">ALK10</f>
        <v>15</v>
      </c>
      <c r="BMN10">
        <f t="shared" ref="BMN10:BMN29" si="1048">ALL10</f>
        <v>35</v>
      </c>
      <c r="BMO10">
        <f t="shared" ref="BMO10:BMO29" si="1049">ALM10</f>
        <v>56.25</v>
      </c>
      <c r="BMP10">
        <f t="shared" ref="BMP10:BMP29" si="1050">ALN10</f>
        <v>25</v>
      </c>
      <c r="BMQ10">
        <f t="shared" ref="BMQ10:BMQ29" si="1051">ALO10</f>
        <v>0</v>
      </c>
      <c r="BMR10">
        <f t="shared" ref="BMR10:BMR29" si="1052">ALP10</f>
        <v>0</v>
      </c>
      <c r="BMS10">
        <f t="shared" ref="BMS10:BMS29" si="1053">ALQ10</f>
        <v>0</v>
      </c>
      <c r="BMT10">
        <f t="shared" ref="BMT10:BMT29" si="1054">ALR10</f>
        <v>0</v>
      </c>
      <c r="BMU10">
        <f t="shared" ref="BMU10:BMU29" si="1055">ALS10</f>
        <v>0</v>
      </c>
      <c r="BMV10">
        <f t="shared" ref="BMV10:BMV29" si="1056">ALT10</f>
        <v>0</v>
      </c>
      <c r="BMW10">
        <f t="shared" ref="BMW10:BMW29" si="1057">ALU10</f>
        <v>0</v>
      </c>
      <c r="BMX10">
        <f t="shared" ref="BMX10:BMX29" si="1058">ALV10</f>
        <v>0</v>
      </c>
      <c r="BMY10">
        <f t="shared" ref="BMY10:BMY29" si="1059">ALW10</f>
        <v>0</v>
      </c>
      <c r="BMZ10">
        <f t="shared" ref="BMZ10:BMZ29" si="1060">ALX10</f>
        <v>0</v>
      </c>
      <c r="BNA10">
        <f t="shared" ref="BNA10:BNA29" si="1061">ALY10</f>
        <v>0</v>
      </c>
      <c r="BNB10">
        <f t="shared" ref="BNB10:BNB29" si="1062">ALZ10</f>
        <v>12.5</v>
      </c>
      <c r="BNC10">
        <f t="shared" ref="BNC10:BNC29" si="1063">AMA10</f>
        <v>12.5</v>
      </c>
      <c r="BND10">
        <f t="shared" ref="BND10:BND29" si="1064">AMB10</f>
        <v>12.5</v>
      </c>
      <c r="BNE10">
        <f t="shared" ref="BNE10:BNE29" si="1065">AMC10</f>
        <v>23.125</v>
      </c>
      <c r="BNF10">
        <f t="shared" ref="BNF10:BNF29" si="1066">AMD10</f>
        <v>23.125</v>
      </c>
      <c r="BNG10">
        <f t="shared" ref="BNG10:BNG29" si="1067">AME10</f>
        <v>23.125</v>
      </c>
      <c r="BNH10">
        <f t="shared" ref="BNH10:BNH29" si="1068">AMF10</f>
        <v>23.125</v>
      </c>
      <c r="BNI10">
        <f t="shared" ref="BNI10:BNI29" si="1069">AMG10</f>
        <v>35</v>
      </c>
      <c r="BNJ10">
        <f t="shared" ref="BNJ10:BNJ29" si="1070">AMH10</f>
        <v>35</v>
      </c>
      <c r="BNK10">
        <f t="shared" ref="BNK10:BNK29" si="1071">AMI10</f>
        <v>56.25</v>
      </c>
      <c r="BNL10">
        <f t="shared" ref="BNL10:BNL29" si="1072">AMJ10</f>
        <v>25</v>
      </c>
      <c r="BNM10">
        <f t="shared" ref="BNM10:BNM29" si="1073">AMK10</f>
        <v>0</v>
      </c>
      <c r="BNN10">
        <f t="shared" si="49"/>
        <v>0</v>
      </c>
      <c r="BNO10">
        <f t="shared" ref="BNO10:BNO29" si="1074">AMM10</f>
        <v>0</v>
      </c>
      <c r="BNP10">
        <f t="shared" ref="BNP10:BNP29" si="1075">AMN10</f>
        <v>0</v>
      </c>
      <c r="BNQ10">
        <f t="shared" ref="BNQ10:BNQ29" si="1076">AMO10</f>
        <v>0</v>
      </c>
      <c r="BNR10">
        <f t="shared" ref="BNR10:BNR29" si="1077">AMP10</f>
        <v>0</v>
      </c>
      <c r="BNS10">
        <f t="shared" ref="BNS10:BNS29" si="1078">AMQ10</f>
        <v>0</v>
      </c>
      <c r="BNT10">
        <f t="shared" ref="BNT10:BNT29" si="1079">AMR10</f>
        <v>0</v>
      </c>
      <c r="BNU10">
        <f t="shared" ref="BNU10:BNU29" si="1080">AMS10</f>
        <v>0</v>
      </c>
      <c r="BNV10">
        <f t="shared" ref="BNV10:BNV29" si="1081">AMT10</f>
        <v>0</v>
      </c>
      <c r="BNW10">
        <f t="shared" ref="BNW10:BNW29" si="1082">AMU10</f>
        <v>0</v>
      </c>
      <c r="BNX10">
        <f t="shared" ref="BNX10:BNX29" si="1083">AMV10</f>
        <v>12.5</v>
      </c>
      <c r="BNY10">
        <f t="shared" ref="BNY10:BNY29" si="1084">AMW10</f>
        <v>12.5</v>
      </c>
      <c r="BNZ10">
        <f t="shared" ref="BNZ10:BNZ29" si="1085">AMX10</f>
        <v>12.5</v>
      </c>
      <c r="BOA10">
        <f t="shared" ref="BOA10:BOA29" si="1086">AMY10</f>
        <v>23.125</v>
      </c>
      <c r="BOB10">
        <f t="shared" ref="BOB10:BOB29" si="1087">AMZ10</f>
        <v>23.125</v>
      </c>
      <c r="BOC10">
        <f t="shared" ref="BOC10:BOC29" si="1088">ANA10</f>
        <v>23.125</v>
      </c>
      <c r="BOD10">
        <f t="shared" ref="BOD10:BOD29" si="1089">ANB10</f>
        <v>23.125</v>
      </c>
      <c r="BOE10">
        <f t="shared" ref="BOE10:BOE29" si="1090">ANC10</f>
        <v>15</v>
      </c>
      <c r="BOF10">
        <f t="shared" ref="BOF10:BOF29" si="1091">AND10</f>
        <v>35</v>
      </c>
      <c r="BOG10">
        <f t="shared" ref="BOG10:BOG29" si="1092">ANE10</f>
        <v>56.25</v>
      </c>
      <c r="BOH10">
        <f t="shared" ref="BOH10:BOH29" si="1093">ANF10</f>
        <v>25</v>
      </c>
      <c r="BOI10">
        <f t="shared" ref="BOI10:BOI29" si="1094">ANG10</f>
        <v>0</v>
      </c>
      <c r="BOJ10">
        <f t="shared" ref="BOJ10:BOJ29" si="1095">ANH10</f>
        <v>0</v>
      </c>
      <c r="BOK10">
        <f t="shared" ref="BOK10:BOK29" si="1096">ANI10</f>
        <v>0</v>
      </c>
      <c r="BOL10">
        <f t="shared" ref="BOL10:BOL29" si="1097">ANJ10</f>
        <v>0</v>
      </c>
      <c r="BOM10">
        <f t="shared" ref="BOM10:BOM29" si="1098">ANK10</f>
        <v>0</v>
      </c>
      <c r="BON10">
        <f t="shared" ref="BON10:BON29" si="1099">ANL10</f>
        <v>0</v>
      </c>
      <c r="BOO10">
        <f t="shared" ref="BOO10:BOO29" si="1100">ANM10</f>
        <v>0</v>
      </c>
      <c r="BOP10">
        <f t="shared" ref="BOP10:BOP29" si="1101">ANN10</f>
        <v>0</v>
      </c>
      <c r="BOQ10">
        <f t="shared" ref="BOQ10:BOQ29" si="1102">ANO10</f>
        <v>0</v>
      </c>
      <c r="BOR10">
        <f t="shared" ref="BOR10:BOR29" si="1103">ANP10</f>
        <v>0</v>
      </c>
      <c r="BOS10">
        <f t="shared" ref="BOS10:BOS29" si="1104">ANQ10</f>
        <v>0</v>
      </c>
      <c r="BOT10">
        <f t="shared" ref="BOT10:BOT29" si="1105">ANR10</f>
        <v>12.5</v>
      </c>
      <c r="BOU10">
        <f t="shared" ref="BOU10:BOU29" si="1106">ANS10</f>
        <v>12.5</v>
      </c>
      <c r="BOV10">
        <f t="shared" ref="BOV10:BOV29" si="1107">ANT10</f>
        <v>12.5</v>
      </c>
      <c r="BOW10">
        <f t="shared" ref="BOW10:BOW29" si="1108">ANU10</f>
        <v>33.125</v>
      </c>
      <c r="BOX10">
        <f t="shared" ref="BOX10:BOX29" si="1109">ANV10</f>
        <v>33.125</v>
      </c>
      <c r="BOY10">
        <f t="shared" ref="BOY10:BOY29" si="1110">ANW10</f>
        <v>33.125</v>
      </c>
      <c r="BOZ10">
        <f t="shared" ref="BOZ10:BOZ29" si="1111">ANX10</f>
        <v>33.125</v>
      </c>
      <c r="BPA10">
        <f t="shared" ref="BPA10:BPA29" si="1112">ANY10</f>
        <v>35</v>
      </c>
      <c r="BPB10">
        <f t="shared" ref="BPB10:BPB29" si="1113">ANZ10</f>
        <v>15</v>
      </c>
      <c r="BPC10">
        <f t="shared" ref="BPC10:BPC29" si="1114">AOA10</f>
        <v>56.25</v>
      </c>
      <c r="BPD10">
        <f t="shared" ref="BPD10:BPD29" si="1115">AOB10</f>
        <v>25</v>
      </c>
      <c r="BPE10">
        <f t="shared" ref="BPE10:BPE29" si="1116">AOC10</f>
        <v>0</v>
      </c>
      <c r="BPF10">
        <f t="shared" ref="BPF10:BPF29" si="1117">AOD10</f>
        <v>0</v>
      </c>
      <c r="BPG10">
        <f t="shared" ref="BPG10:BPG29" si="1118">AOE10</f>
        <v>0</v>
      </c>
      <c r="BPH10">
        <f t="shared" ref="BPH10:BPH29" si="1119">AOF10</f>
        <v>0</v>
      </c>
      <c r="BPI10">
        <f t="shared" ref="BPI10:BPI29" si="1120">AOG10</f>
        <v>0</v>
      </c>
      <c r="BPJ10">
        <f t="shared" ref="BPJ10:BPJ29" si="1121">AOH10</f>
        <v>0</v>
      </c>
      <c r="BPK10">
        <f t="shared" ref="BPK10:BPK29" si="1122">AOI10</f>
        <v>0</v>
      </c>
      <c r="BPL10">
        <f t="shared" ref="BPL10:BPL29" si="1123">AOJ10</f>
        <v>0</v>
      </c>
      <c r="BPM10">
        <f t="shared" ref="BPM10:BPM29" si="1124">AOK10</f>
        <v>0</v>
      </c>
      <c r="BPN10">
        <f t="shared" ref="BPN10:BPN29" si="1125">AOL10</f>
        <v>0</v>
      </c>
      <c r="BPO10">
        <f t="shared" ref="BPO10:BPO29" si="1126">AOM10</f>
        <v>0</v>
      </c>
      <c r="BPP10">
        <f t="shared" ref="BPP10:BPP29" si="1127">AON10</f>
        <v>12.5</v>
      </c>
      <c r="BPQ10">
        <f t="shared" ref="BPQ10:BPQ29" si="1128">AOO10</f>
        <v>12.5</v>
      </c>
      <c r="BPR10">
        <f t="shared" ref="BPR10:BPR29" si="1129">AOP10</f>
        <v>12.5</v>
      </c>
      <c r="BPS10">
        <f t="shared" ref="BPS10:BPS29" si="1130">AOQ10</f>
        <v>33.125</v>
      </c>
      <c r="BPT10">
        <f t="shared" ref="BPT10:BPT29" si="1131">AOR10</f>
        <v>33.125</v>
      </c>
      <c r="BPU10">
        <f t="shared" ref="BPU10:BPU29" si="1132">AOS10</f>
        <v>33.125</v>
      </c>
      <c r="BPV10">
        <f t="shared" ref="BPV10:BPV29" si="1133">AOT10</f>
        <v>33.125</v>
      </c>
      <c r="BPW10">
        <f t="shared" ref="BPW10:BPW29" si="1134">AOU10</f>
        <v>15</v>
      </c>
      <c r="BPX10">
        <f t="shared" ref="BPX10:BPX29" si="1135">AOV10</f>
        <v>15</v>
      </c>
      <c r="BPY10">
        <f t="shared" ref="BPY10:BPY29" si="1136">AOW10</f>
        <v>56.25</v>
      </c>
      <c r="BPZ10">
        <f t="shared" si="50"/>
        <v>25</v>
      </c>
      <c r="BQA10">
        <f t="shared" ref="BQA10:BQA29" si="1137">AOY10</f>
        <v>0</v>
      </c>
      <c r="BQB10">
        <f t="shared" ref="BQB10:BQB29" si="1138">AOZ10</f>
        <v>0</v>
      </c>
      <c r="BQC10">
        <f t="shared" ref="BQC10:BQC29" si="1139">APA10</f>
        <v>0</v>
      </c>
      <c r="BQD10">
        <f t="shared" ref="BQD10:BQD29" si="1140">APB10</f>
        <v>0</v>
      </c>
      <c r="BQE10">
        <f t="shared" ref="BQE10:BQE29" si="1141">APC10</f>
        <v>0</v>
      </c>
      <c r="BQF10">
        <f t="shared" ref="BQF10:BQF29" si="1142">APD10</f>
        <v>0</v>
      </c>
      <c r="BQG10">
        <f t="shared" ref="BQG10:BQG29" si="1143">APE10</f>
        <v>0</v>
      </c>
      <c r="BQH10">
        <f t="shared" ref="BQH10:BQH29" si="1144">APF10</f>
        <v>0</v>
      </c>
      <c r="BQI10">
        <f t="shared" ref="BQI10:BQI29" si="1145">APG10</f>
        <v>0</v>
      </c>
      <c r="BQJ10">
        <f t="shared" ref="BQJ10:BQJ29" si="1146">APH10</f>
        <v>0</v>
      </c>
      <c r="BQK10">
        <f t="shared" ref="BQK10:BQK29" si="1147">API10</f>
        <v>0</v>
      </c>
      <c r="BQL10">
        <f t="shared" ref="BQL10:BQL29" si="1148">APJ10</f>
        <v>12.5</v>
      </c>
      <c r="BQM10">
        <f t="shared" ref="BQM10:BQM29" si="1149">APK10</f>
        <v>12.5</v>
      </c>
      <c r="BQN10">
        <f t="shared" ref="BQN10:BQN29" si="1150">APL10</f>
        <v>12.5</v>
      </c>
      <c r="BQO10">
        <f t="shared" ref="BQO10:BQO29" si="1151">APM10</f>
        <v>33.125</v>
      </c>
      <c r="BQP10">
        <f t="shared" ref="BQP10:BQP29" si="1152">APN10</f>
        <v>23.125</v>
      </c>
      <c r="BQQ10">
        <f t="shared" ref="BQQ10:BQQ29" si="1153">APO10</f>
        <v>33.125</v>
      </c>
      <c r="BQR10">
        <f t="shared" ref="BQR10:BQR29" si="1154">APP10</f>
        <v>23.125</v>
      </c>
      <c r="BQS10">
        <f t="shared" ref="BQS10:BQS29" si="1155">APQ10</f>
        <v>35</v>
      </c>
      <c r="BQT10">
        <f t="shared" ref="BQT10:BQT29" si="1156">APR10</f>
        <v>15</v>
      </c>
      <c r="BQU10">
        <f t="shared" ref="BQU10:BQU29" si="1157">APS10</f>
        <v>56.25</v>
      </c>
      <c r="BQV10">
        <f t="shared" ref="BQV10:BQV29" si="1158">APT10</f>
        <v>25</v>
      </c>
      <c r="BQW10">
        <f t="shared" ref="BQW10:BQW29" si="1159">APU10</f>
        <v>0</v>
      </c>
      <c r="BQX10">
        <f t="shared" ref="BQX10:BQX29" si="1160">APV10</f>
        <v>0</v>
      </c>
      <c r="BQY10">
        <f t="shared" ref="BQY10:BQY29" si="1161">APW10</f>
        <v>0</v>
      </c>
      <c r="BQZ10">
        <f t="shared" ref="BQZ10:BQZ29" si="1162">APX10</f>
        <v>0</v>
      </c>
      <c r="BRA10">
        <f t="shared" ref="BRA10:BRA29" si="1163">APY10</f>
        <v>0</v>
      </c>
      <c r="BRB10">
        <f t="shared" ref="BRB10:BRB29" si="1164">APZ10</f>
        <v>0</v>
      </c>
      <c r="BRC10">
        <f t="shared" ref="BRC10:BRC29" si="1165">AQA10</f>
        <v>0</v>
      </c>
      <c r="BRD10">
        <f t="shared" ref="BRD10:BRD29" si="1166">AQB10</f>
        <v>0</v>
      </c>
      <c r="BRE10">
        <f t="shared" ref="BRE10:BRE29" si="1167">AQC10</f>
        <v>0</v>
      </c>
      <c r="BRF10">
        <f t="shared" ref="BRF10:BRF29" si="1168">AQD10</f>
        <v>0</v>
      </c>
      <c r="BRG10">
        <f t="shared" ref="BRG10:BRG29" si="1169">AQE10</f>
        <v>0</v>
      </c>
      <c r="BRH10">
        <f t="shared" ref="BRH10:BRH29" si="1170">AQF10</f>
        <v>12.5</v>
      </c>
      <c r="BRI10">
        <f t="shared" ref="BRI10:BRI29" si="1171">AQG10</f>
        <v>12.5</v>
      </c>
      <c r="BRJ10">
        <f t="shared" ref="BRJ10:BRJ29" si="1172">AQH10</f>
        <v>12.5</v>
      </c>
      <c r="BRK10">
        <f t="shared" ref="BRK10:BRK29" si="1173">AQI10</f>
        <v>33.125</v>
      </c>
      <c r="BRL10">
        <f t="shared" ref="BRL10:BRL29" si="1174">AQJ10</f>
        <v>23.125</v>
      </c>
      <c r="BRM10">
        <f t="shared" ref="BRM10:BRM29" si="1175">AQK10</f>
        <v>33.125</v>
      </c>
      <c r="BRN10">
        <f t="shared" ref="BRN10:BRN29" si="1176">AQL10</f>
        <v>23.125</v>
      </c>
      <c r="BRO10">
        <f t="shared" ref="BRO10:BRO29" si="1177">AQM10</f>
        <v>15</v>
      </c>
      <c r="BRP10">
        <f t="shared" ref="BRP10:BRP29" si="1178">AQN10</f>
        <v>15</v>
      </c>
      <c r="BRQ10">
        <f t="shared" ref="BRQ10:BRQ29" si="1179">AQO10</f>
        <v>56.25</v>
      </c>
      <c r="BRR10">
        <f t="shared" ref="BRR10:BRR29" si="1180">AQP10</f>
        <v>25</v>
      </c>
      <c r="BRS10">
        <f t="shared" ref="BRS10:BRS29" si="1181">AQQ10</f>
        <v>0</v>
      </c>
      <c r="BRT10">
        <f t="shared" ref="BRT10:BRT29" si="1182">AQR10</f>
        <v>0</v>
      </c>
      <c r="BRU10">
        <f t="shared" ref="BRU10:BRU29" si="1183">AQS10</f>
        <v>0</v>
      </c>
      <c r="BRV10">
        <f t="shared" ref="BRV10:BRV29" si="1184">AQT10</f>
        <v>0</v>
      </c>
      <c r="BRW10">
        <f t="shared" ref="BRW10:BRW29" si="1185">AQU10</f>
        <v>0</v>
      </c>
      <c r="BRX10">
        <f t="shared" ref="BRX10:BRX29" si="1186">AQV10</f>
        <v>0</v>
      </c>
      <c r="BRY10">
        <f t="shared" ref="BRY10:BRY29" si="1187">AQW10</f>
        <v>0</v>
      </c>
      <c r="BRZ10">
        <f t="shared" ref="BRZ10:BRZ29" si="1188">AQX10</f>
        <v>0</v>
      </c>
      <c r="BSA10">
        <f t="shared" ref="BSA10:BSA29" si="1189">AQY10</f>
        <v>0</v>
      </c>
      <c r="BSB10">
        <f t="shared" ref="BSB10:BSB29" si="1190">AQZ10</f>
        <v>0</v>
      </c>
      <c r="BSC10">
        <f t="shared" ref="BSC10:BSC29" si="1191">ARA10</f>
        <v>0</v>
      </c>
      <c r="BSD10">
        <f t="shared" ref="BSD10:BSD29" si="1192">ARB10</f>
        <v>12.5</v>
      </c>
      <c r="BSE10">
        <f t="shared" ref="BSE10:BSE29" si="1193">ARC10</f>
        <v>12.5</v>
      </c>
      <c r="BSF10">
        <f t="shared" ref="BSF10:BSF29" si="1194">ARD10</f>
        <v>12.5</v>
      </c>
      <c r="BSG10">
        <f t="shared" ref="BSG10:BSG29" si="1195">ARE10</f>
        <v>23.125</v>
      </c>
      <c r="BSH10">
        <f t="shared" ref="BSH10:BSH29" si="1196">ARF10</f>
        <v>33.125</v>
      </c>
      <c r="BSI10">
        <f t="shared" ref="BSI10:BSI29" si="1197">ARG10</f>
        <v>33.125</v>
      </c>
      <c r="BSJ10">
        <f t="shared" ref="BSJ10:BSJ29" si="1198">ARH10</f>
        <v>33.125</v>
      </c>
      <c r="BSK10">
        <f t="shared" ref="BSK10:BSK29" si="1199">ARI10</f>
        <v>35</v>
      </c>
      <c r="BSL10">
        <f t="shared" si="51"/>
        <v>15</v>
      </c>
      <c r="BSM10">
        <f t="shared" ref="BSM10:BSM29" si="1200">ARK10</f>
        <v>56.25</v>
      </c>
      <c r="BSN10">
        <f t="shared" ref="BSN10:BSN29" si="1201">ARL10</f>
        <v>25</v>
      </c>
      <c r="BSO10">
        <f t="shared" ref="BSO10:BSO29" si="1202">ARM10</f>
        <v>0</v>
      </c>
      <c r="BSP10">
        <f t="shared" ref="BSP10:BSP29" si="1203">ARN10</f>
        <v>0</v>
      </c>
      <c r="BSQ10">
        <f t="shared" ref="BSQ10:BSQ29" si="1204">ARO10</f>
        <v>0</v>
      </c>
      <c r="BSR10">
        <f t="shared" ref="BSR10:BSR29" si="1205">ARP10</f>
        <v>0</v>
      </c>
      <c r="BSS10">
        <f t="shared" ref="BSS10:BSS29" si="1206">ARQ10</f>
        <v>0</v>
      </c>
      <c r="BST10">
        <f t="shared" ref="BST10:BST29" si="1207">ARR10</f>
        <v>0</v>
      </c>
      <c r="BSU10">
        <f t="shared" ref="BSU10:BSU29" si="1208">ARS10</f>
        <v>0</v>
      </c>
      <c r="BSV10">
        <f t="shared" ref="BSV10:BSV29" si="1209">ART10</f>
        <v>0</v>
      </c>
      <c r="BSW10">
        <f t="shared" ref="BSW10:BSW29" si="1210">ARU10</f>
        <v>0</v>
      </c>
      <c r="BSX10">
        <f t="shared" ref="BSX10:BSX29" si="1211">ARV10</f>
        <v>0</v>
      </c>
      <c r="BSY10">
        <f t="shared" ref="BSY10:BSY29" si="1212">ARW10</f>
        <v>0</v>
      </c>
      <c r="BSZ10">
        <f t="shared" ref="BSZ10:BSZ29" si="1213">ARX10</f>
        <v>12.5</v>
      </c>
      <c r="BTA10">
        <f t="shared" ref="BTA10:BTA29" si="1214">ARY10</f>
        <v>12.5</v>
      </c>
      <c r="BTB10">
        <f t="shared" ref="BTB10:BTB29" si="1215">ARZ10</f>
        <v>12.5</v>
      </c>
      <c r="BTC10">
        <f t="shared" ref="BTC10:BTC29" si="1216">ASA10</f>
        <v>23.125</v>
      </c>
      <c r="BTD10">
        <f t="shared" ref="BTD10:BTD29" si="1217">ASB10</f>
        <v>33.125</v>
      </c>
      <c r="BTE10">
        <f t="shared" ref="BTE10:BTE29" si="1218">ASC10</f>
        <v>33.125</v>
      </c>
      <c r="BTF10">
        <f t="shared" ref="BTF10:BTF29" si="1219">ASD10</f>
        <v>33.125</v>
      </c>
      <c r="BTG10">
        <f t="shared" ref="BTG10:BTG29" si="1220">ASE10</f>
        <v>15</v>
      </c>
      <c r="BTH10">
        <f t="shared" ref="BTH10:BTH29" si="1221">ASF10</f>
        <v>15</v>
      </c>
      <c r="BTI10">
        <f t="shared" ref="BTI10:BTI29" si="1222">ASG10</f>
        <v>56.25</v>
      </c>
      <c r="BTJ10">
        <f t="shared" ref="BTJ10:BTJ29" si="1223">ASH10</f>
        <v>25</v>
      </c>
      <c r="BTK10">
        <f t="shared" ref="BTK10:BTK29" si="1224">ASI10</f>
        <v>0</v>
      </c>
      <c r="BTL10">
        <f t="shared" ref="BTL10:BTL29" si="1225">ASJ10</f>
        <v>0</v>
      </c>
      <c r="BTM10">
        <f t="shared" ref="BTM10:BTM29" si="1226">ASK10</f>
        <v>0</v>
      </c>
      <c r="BTN10">
        <f t="shared" ref="BTN10:BTN29" si="1227">ASL10</f>
        <v>0</v>
      </c>
      <c r="BTO10">
        <f t="shared" ref="BTO10:BTO29" si="1228">ASM10</f>
        <v>0</v>
      </c>
      <c r="BTP10">
        <f t="shared" ref="BTP10:BTP29" si="1229">ASN10</f>
        <v>0</v>
      </c>
      <c r="BTQ10">
        <f t="shared" ref="BTQ10:BTQ29" si="1230">ASO10</f>
        <v>0</v>
      </c>
      <c r="BTR10">
        <f t="shared" ref="BTR10:BTR29" si="1231">ASP10</f>
        <v>0</v>
      </c>
      <c r="BTS10">
        <f t="shared" ref="BTS10:BTS29" si="1232">ASQ10</f>
        <v>0</v>
      </c>
      <c r="BTT10">
        <f t="shared" ref="BTT10:BTT29" si="1233">ASR10</f>
        <v>0</v>
      </c>
      <c r="BTU10">
        <f t="shared" ref="BTU10:BTU29" si="1234">ASS10</f>
        <v>0</v>
      </c>
      <c r="BTV10">
        <f t="shared" ref="BTV10:BTV29" si="1235">AST10</f>
        <v>12.5</v>
      </c>
      <c r="BTW10">
        <f t="shared" ref="BTW10:BTW29" si="1236">ASU10</f>
        <v>12.5</v>
      </c>
      <c r="BTX10">
        <f t="shared" ref="BTX10:BTX29" si="1237">ASV10</f>
        <v>12.5</v>
      </c>
      <c r="BTY10">
        <f t="shared" ref="BTY10:BTY29" si="1238">ASW10</f>
        <v>23.125</v>
      </c>
      <c r="BTZ10">
        <f t="shared" ref="BTZ10:BTZ29" si="1239">ASX10</f>
        <v>23.125</v>
      </c>
      <c r="BUA10">
        <f t="shared" ref="BUA10:BUA29" si="1240">ASY10</f>
        <v>33.125</v>
      </c>
      <c r="BUB10">
        <f t="shared" ref="BUB10:BUB29" si="1241">ASZ10</f>
        <v>23.125</v>
      </c>
      <c r="BUC10">
        <f t="shared" ref="BUC10:BUC29" si="1242">ATA10</f>
        <v>35</v>
      </c>
      <c r="BUD10">
        <f t="shared" ref="BUD10:BUD29" si="1243">ATB10</f>
        <v>15</v>
      </c>
      <c r="BUE10">
        <f t="shared" ref="BUE10:BUE29" si="1244">ATC10</f>
        <v>56.25</v>
      </c>
      <c r="BUF10">
        <f t="shared" ref="BUF10:BUF29" si="1245">ATD10</f>
        <v>25</v>
      </c>
      <c r="BUG10">
        <f t="shared" ref="BUG10:BUG29" si="1246">ATE10</f>
        <v>0</v>
      </c>
      <c r="BUH10">
        <f t="shared" ref="BUH10:BUH29" si="1247">ATF10</f>
        <v>0</v>
      </c>
      <c r="BUI10">
        <f t="shared" ref="BUI10:BUI29" si="1248">ATG10</f>
        <v>0</v>
      </c>
      <c r="BUJ10">
        <f t="shared" ref="BUJ10:BUJ29" si="1249">ATH10</f>
        <v>0</v>
      </c>
      <c r="BUK10">
        <f t="shared" ref="BUK10:BUK29" si="1250">ATI10</f>
        <v>0</v>
      </c>
      <c r="BUL10">
        <f t="shared" ref="BUL10:BUL29" si="1251">ATJ10</f>
        <v>0</v>
      </c>
      <c r="BUM10">
        <f t="shared" ref="BUM10:BUM29" si="1252">ATK10</f>
        <v>0</v>
      </c>
      <c r="BUN10">
        <f t="shared" ref="BUN10:BUN29" si="1253">ATL10</f>
        <v>0</v>
      </c>
      <c r="BUO10">
        <f t="shared" ref="BUO10:BUO29" si="1254">ATM10</f>
        <v>0</v>
      </c>
      <c r="BUP10">
        <f t="shared" ref="BUP10:BUP29" si="1255">ATN10</f>
        <v>0</v>
      </c>
      <c r="BUQ10">
        <f t="shared" ref="BUQ10:BUQ29" si="1256">ATO10</f>
        <v>0</v>
      </c>
      <c r="BUR10">
        <f t="shared" ref="BUR10:BUR29" si="1257">ATP10</f>
        <v>12.5</v>
      </c>
      <c r="BUS10">
        <f t="shared" ref="BUS10:BUS29" si="1258">ATQ10</f>
        <v>12.5</v>
      </c>
      <c r="BUT10">
        <f t="shared" ref="BUT10:BUT29" si="1259">ATR10</f>
        <v>12.5</v>
      </c>
      <c r="BUU10">
        <f t="shared" ref="BUU10:BUU29" si="1260">ATS10</f>
        <v>23.125</v>
      </c>
      <c r="BUV10">
        <f t="shared" ref="BUV10:BUV29" si="1261">ATT10</f>
        <v>23.125</v>
      </c>
      <c r="BUW10">
        <f t="shared" ref="BUW10:BUW29" si="1262">ATU10</f>
        <v>33.125</v>
      </c>
      <c r="BUX10">
        <f t="shared" si="52"/>
        <v>23.125</v>
      </c>
      <c r="BUY10">
        <f t="shared" ref="BUY10:BUY29" si="1263">ATW10</f>
        <v>15</v>
      </c>
      <c r="BUZ10">
        <f t="shared" ref="BUZ10:BUZ29" si="1264">ATX10</f>
        <v>15</v>
      </c>
      <c r="BVA10">
        <f t="shared" ref="BVA10:BVA29" si="1265">ATY10</f>
        <v>56.25</v>
      </c>
      <c r="BVB10">
        <f t="shared" ref="BVB10:BVB29" si="1266">ATZ10</f>
        <v>25</v>
      </c>
      <c r="BVC10">
        <f t="shared" ref="BVC10:BVC29" si="1267">AUA10</f>
        <v>0</v>
      </c>
      <c r="BVD10">
        <f t="shared" ref="BVD10:BVD29" si="1268">AUB10</f>
        <v>0</v>
      </c>
      <c r="BVE10">
        <f t="shared" ref="BVE10:BVE29" si="1269">AUC10</f>
        <v>0</v>
      </c>
      <c r="BVF10">
        <f t="shared" ref="BVF10:BVF29" si="1270">AUD10</f>
        <v>0</v>
      </c>
      <c r="BVG10">
        <f t="shared" ref="BVG10:BVG29" si="1271">AUE10</f>
        <v>0</v>
      </c>
      <c r="BVH10">
        <f t="shared" ref="BVH10:BVH29" si="1272">AUF10</f>
        <v>0</v>
      </c>
      <c r="BVI10">
        <f t="shared" ref="BVI10:BVI29" si="1273">AUG10</f>
        <v>0</v>
      </c>
      <c r="BVJ10">
        <f t="shared" ref="BVJ10:BVJ29" si="1274">AUH10</f>
        <v>0</v>
      </c>
      <c r="BVK10">
        <f t="shared" ref="BVK10:BVK29" si="1275">AUI10</f>
        <v>0</v>
      </c>
      <c r="BVL10">
        <f t="shared" ref="BVL10:BVL29" si="1276">AUJ10</f>
        <v>0</v>
      </c>
      <c r="BVM10">
        <f t="shared" ref="BVM10:BVM29" si="1277">AUK10</f>
        <v>0</v>
      </c>
      <c r="BVN10">
        <f t="shared" ref="BVN10:BVN29" si="1278">AUL10</f>
        <v>12.5</v>
      </c>
      <c r="BVO10">
        <f t="shared" ref="BVO10:BVO29" si="1279">AUM10</f>
        <v>12.5</v>
      </c>
      <c r="BVP10">
        <f t="shared" ref="BVP10:BVP29" si="1280">AUN10</f>
        <v>12.5</v>
      </c>
      <c r="BVQ10">
        <f t="shared" ref="BVQ10:BVQ29" si="1281">AUO10</f>
        <v>33.125</v>
      </c>
      <c r="BVR10">
        <f t="shared" ref="BVR10:BVR29" si="1282">AUP10</f>
        <v>33.125</v>
      </c>
      <c r="BVS10">
        <f t="shared" ref="BVS10:BVS29" si="1283">AUQ10</f>
        <v>23.125</v>
      </c>
      <c r="BVT10">
        <f t="shared" ref="BVT10:BVT29" si="1284">AUR10</f>
        <v>33.125</v>
      </c>
      <c r="BVU10">
        <f t="shared" ref="BVU10:BVU29" si="1285">AUS10</f>
        <v>35</v>
      </c>
      <c r="BVV10">
        <f t="shared" ref="BVV10:BVV29" si="1286">AUT10</f>
        <v>15</v>
      </c>
      <c r="BVW10">
        <f t="shared" ref="BVW10:BVW29" si="1287">AUU10</f>
        <v>56.25</v>
      </c>
      <c r="BVX10">
        <f t="shared" ref="BVX10:BVX29" si="1288">AUV10</f>
        <v>25</v>
      </c>
      <c r="BVY10">
        <f t="shared" ref="BVY10:BVY29" si="1289">AUW10</f>
        <v>0</v>
      </c>
      <c r="BVZ10">
        <f t="shared" ref="BVZ10:BVZ29" si="1290">AUX10</f>
        <v>0</v>
      </c>
      <c r="BWA10">
        <f t="shared" ref="BWA10:BWA29" si="1291">AUY10</f>
        <v>0</v>
      </c>
      <c r="BWB10">
        <f t="shared" ref="BWB10:BWB29" si="1292">AUZ10</f>
        <v>0</v>
      </c>
      <c r="BWC10">
        <f t="shared" ref="BWC10:BWC29" si="1293">AVA10</f>
        <v>0</v>
      </c>
      <c r="BWD10">
        <f t="shared" ref="BWD10:BWD29" si="1294">AVB10</f>
        <v>0</v>
      </c>
      <c r="BWE10">
        <f t="shared" ref="BWE10:BWE29" si="1295">AVC10</f>
        <v>0</v>
      </c>
      <c r="BWF10">
        <f t="shared" ref="BWF10:BWF29" si="1296">AVD10</f>
        <v>0</v>
      </c>
      <c r="BWG10">
        <f t="shared" ref="BWG10:BWG29" si="1297">AVE10</f>
        <v>0</v>
      </c>
      <c r="BWH10">
        <f t="shared" ref="BWH10:BWH29" si="1298">AVF10</f>
        <v>0</v>
      </c>
      <c r="BWI10">
        <f t="shared" ref="BWI10:BWI29" si="1299">AVG10</f>
        <v>0</v>
      </c>
      <c r="BWJ10">
        <f t="shared" ref="BWJ10:BWJ29" si="1300">AVH10</f>
        <v>12.5</v>
      </c>
      <c r="BWK10">
        <f t="shared" ref="BWK10:BWK29" si="1301">AVI10</f>
        <v>12.5</v>
      </c>
      <c r="BWL10">
        <f t="shared" ref="BWL10:BWL29" si="1302">AVJ10</f>
        <v>12.5</v>
      </c>
      <c r="BWM10">
        <f t="shared" ref="BWM10:BWM29" si="1303">AVK10</f>
        <v>33.125</v>
      </c>
      <c r="BWN10">
        <f t="shared" ref="BWN10:BWN29" si="1304">AVL10</f>
        <v>33.125</v>
      </c>
      <c r="BWO10">
        <f t="shared" ref="BWO10:BWO29" si="1305">AVM10</f>
        <v>23.125</v>
      </c>
      <c r="BWP10">
        <f t="shared" ref="BWP10:BWP29" si="1306">AVN10</f>
        <v>33.125</v>
      </c>
      <c r="BWQ10">
        <f t="shared" ref="BWQ10:BWQ29" si="1307">AVO10</f>
        <v>15</v>
      </c>
      <c r="BWR10">
        <f t="shared" ref="BWR10:BWR29" si="1308">AVP10</f>
        <v>15</v>
      </c>
      <c r="BWS10">
        <f t="shared" ref="BWS10:BWS29" si="1309">AVQ10</f>
        <v>56.25</v>
      </c>
      <c r="BWT10">
        <f t="shared" ref="BWT10:BWT29" si="1310">AVR10</f>
        <v>25</v>
      </c>
      <c r="BWU10">
        <f t="shared" ref="BWU10:BWU29" si="1311">AVS10</f>
        <v>0</v>
      </c>
      <c r="BWV10">
        <f t="shared" ref="BWV10:BWV29" si="1312">AVT10</f>
        <v>0</v>
      </c>
      <c r="BWW10">
        <f t="shared" ref="BWW10:BWW29" si="1313">AVU10</f>
        <v>0</v>
      </c>
      <c r="BWX10">
        <f t="shared" ref="BWX10:BWX29" si="1314">AVV10</f>
        <v>0</v>
      </c>
      <c r="BWY10">
        <f t="shared" ref="BWY10:BWY29" si="1315">AVW10</f>
        <v>0</v>
      </c>
      <c r="BWZ10">
        <f t="shared" ref="BWZ10:BWZ29" si="1316">AVX10</f>
        <v>0</v>
      </c>
      <c r="BXA10">
        <f t="shared" ref="BXA10:BXA29" si="1317">AVY10</f>
        <v>0</v>
      </c>
      <c r="BXB10">
        <f t="shared" ref="BXB10:BXB29" si="1318">AVZ10</f>
        <v>0</v>
      </c>
      <c r="BXC10">
        <f t="shared" ref="BXC10:BXC29" si="1319">AWA10</f>
        <v>0</v>
      </c>
      <c r="BXD10">
        <f t="shared" ref="BXD10:BXD29" si="1320">AWB10</f>
        <v>0</v>
      </c>
      <c r="BXE10">
        <f t="shared" ref="BXE10:BXE29" si="1321">AWC10</f>
        <v>0</v>
      </c>
      <c r="BXF10">
        <f t="shared" ref="BXF10:BXF29" si="1322">AWD10</f>
        <v>12.5</v>
      </c>
      <c r="BXG10">
        <f t="shared" ref="BXG10:BXG29" si="1323">AWE10</f>
        <v>12.5</v>
      </c>
      <c r="BXH10">
        <f t="shared" ref="BXH10:BXH29" si="1324">AWF10</f>
        <v>12.5</v>
      </c>
      <c r="BXI10">
        <f t="shared" ref="BXI10:BXI29" si="1325">AWG10</f>
        <v>33.125</v>
      </c>
      <c r="BXJ10">
        <f t="shared" si="53"/>
        <v>23.125</v>
      </c>
      <c r="BXK10">
        <f t="shared" ref="BXK10:BXK29" si="1326">AWI10</f>
        <v>23.125</v>
      </c>
      <c r="BXL10">
        <f t="shared" ref="BXL10:BXL29" si="1327">AWJ10</f>
        <v>23.125</v>
      </c>
      <c r="BXM10">
        <f t="shared" ref="BXM10:BXM29" si="1328">AWK10</f>
        <v>35</v>
      </c>
      <c r="BXN10">
        <f t="shared" ref="BXN10:BXN29" si="1329">AWL10</f>
        <v>15</v>
      </c>
      <c r="BXO10">
        <f t="shared" ref="BXO10:BXO29" si="1330">AWM10</f>
        <v>56.25</v>
      </c>
      <c r="BXP10">
        <f t="shared" ref="BXP10:BXP29" si="1331">AWN10</f>
        <v>25</v>
      </c>
      <c r="BXQ10">
        <f t="shared" ref="BXQ10:BXQ29" si="1332">AWO10</f>
        <v>0</v>
      </c>
      <c r="BXR10">
        <f t="shared" ref="BXR10:BXR29" si="1333">AWP10</f>
        <v>0</v>
      </c>
      <c r="BXS10">
        <f t="shared" ref="BXS10:BXS29" si="1334">AWQ10</f>
        <v>0</v>
      </c>
      <c r="BXT10">
        <f t="shared" ref="BXT10:BXT29" si="1335">AWR10</f>
        <v>0</v>
      </c>
      <c r="BXU10">
        <f t="shared" ref="BXU10:BXU29" si="1336">AWS10</f>
        <v>0</v>
      </c>
      <c r="BXV10">
        <f t="shared" ref="BXV10:BXV29" si="1337">AWT10</f>
        <v>0</v>
      </c>
      <c r="BXW10">
        <f t="shared" ref="BXW10:BXW29" si="1338">AWU10</f>
        <v>0</v>
      </c>
      <c r="BXX10">
        <f t="shared" ref="BXX10:BXX29" si="1339">AWV10</f>
        <v>0</v>
      </c>
      <c r="BXY10">
        <f t="shared" ref="BXY10:BXY29" si="1340">AWW10</f>
        <v>0</v>
      </c>
      <c r="BXZ10">
        <f t="shared" ref="BXZ10:BXZ29" si="1341">AWX10</f>
        <v>0</v>
      </c>
      <c r="BYA10">
        <f t="shared" ref="BYA10:BYA29" si="1342">AWY10</f>
        <v>0</v>
      </c>
      <c r="BYB10">
        <f t="shared" ref="BYB10:BYB29" si="1343">AWZ10</f>
        <v>12.5</v>
      </c>
      <c r="BYC10">
        <f t="shared" ref="BYC10:BYC29" si="1344">AXA10</f>
        <v>12.5</v>
      </c>
      <c r="BYD10">
        <f t="shared" ref="BYD10:BYD29" si="1345">AXB10</f>
        <v>12.5</v>
      </c>
      <c r="BYE10">
        <f t="shared" ref="BYE10:BYE29" si="1346">AXC10</f>
        <v>33.125</v>
      </c>
      <c r="BYF10">
        <f t="shared" ref="BYF10:BYF29" si="1347">AXD10</f>
        <v>23.125</v>
      </c>
      <c r="BYG10">
        <f t="shared" ref="BYG10:BYG29" si="1348">AXE10</f>
        <v>23.125</v>
      </c>
      <c r="BYH10">
        <f t="shared" ref="BYH10:BYH29" si="1349">AXF10</f>
        <v>23.125</v>
      </c>
      <c r="BYI10">
        <f t="shared" ref="BYI10:BYI29" si="1350">AXG10</f>
        <v>15</v>
      </c>
      <c r="BYJ10">
        <f t="shared" ref="BYJ10:BYJ29" si="1351">AXH10</f>
        <v>15</v>
      </c>
      <c r="BYK10">
        <f t="shared" ref="BYK10:BYK29" si="1352">AXI10</f>
        <v>56.25</v>
      </c>
      <c r="BYL10">
        <f t="shared" ref="BYL10:BYL29" si="1353">AXJ10</f>
        <v>25</v>
      </c>
      <c r="BYM10">
        <f t="shared" ref="BYM10:BYM29" si="1354">AXK10</f>
        <v>0</v>
      </c>
      <c r="BYN10">
        <f t="shared" ref="BYN10:BYN29" si="1355">AXL10</f>
        <v>0</v>
      </c>
      <c r="BYO10">
        <f t="shared" ref="BYO10:BYO29" si="1356">AXM10</f>
        <v>0</v>
      </c>
      <c r="BYP10">
        <f t="shared" ref="BYP10:BYP29" si="1357">AXN10</f>
        <v>0</v>
      </c>
      <c r="BYQ10">
        <f t="shared" ref="BYQ10:BYQ29" si="1358">AXO10</f>
        <v>0</v>
      </c>
      <c r="BYR10">
        <f t="shared" ref="BYR10:BYR29" si="1359">AXP10</f>
        <v>0</v>
      </c>
      <c r="BYS10">
        <f t="shared" ref="BYS10:BYS29" si="1360">AXQ10</f>
        <v>0</v>
      </c>
      <c r="BYT10">
        <f t="shared" ref="BYT10:BYT29" si="1361">AXR10</f>
        <v>0</v>
      </c>
      <c r="BYU10">
        <f t="shared" ref="BYU10:BYU29" si="1362">AXS10</f>
        <v>0</v>
      </c>
      <c r="BYV10">
        <f t="shared" ref="BYV10:BYV29" si="1363">AXT10</f>
        <v>0</v>
      </c>
      <c r="BYW10">
        <f t="shared" ref="BYW10:BYW29" si="1364">AXU10</f>
        <v>0</v>
      </c>
      <c r="BYX10">
        <f t="shared" ref="BYX10:BYX29" si="1365">AXV10</f>
        <v>12.5</v>
      </c>
      <c r="BYY10">
        <f t="shared" ref="BYY10:BYY29" si="1366">AXW10</f>
        <v>12.5</v>
      </c>
      <c r="BYZ10">
        <f t="shared" ref="BYZ10:BYZ29" si="1367">AXX10</f>
        <v>12.5</v>
      </c>
      <c r="BZA10">
        <f t="shared" ref="BZA10:BZA29" si="1368">AXY10</f>
        <v>23.125</v>
      </c>
      <c r="BZB10">
        <f t="shared" ref="BZB10:BZB29" si="1369">AXZ10</f>
        <v>33.125</v>
      </c>
      <c r="BZC10">
        <f t="shared" ref="BZC10:BZC29" si="1370">AYA10</f>
        <v>23.125</v>
      </c>
      <c r="BZD10">
        <f t="shared" ref="BZD10:BZD29" si="1371">AYB10</f>
        <v>33.125</v>
      </c>
      <c r="BZE10">
        <f t="shared" ref="BZE10:BZE29" si="1372">AYC10</f>
        <v>35</v>
      </c>
      <c r="BZF10">
        <f t="shared" ref="BZF10:BZF29" si="1373">AYD10</f>
        <v>15</v>
      </c>
      <c r="BZG10">
        <f t="shared" ref="BZG10:BZG29" si="1374">AYE10</f>
        <v>56.25</v>
      </c>
      <c r="BZH10">
        <f t="shared" ref="BZH10:BZH29" si="1375">AYF10</f>
        <v>25</v>
      </c>
      <c r="BZI10">
        <f t="shared" ref="BZI10:BZI29" si="1376">AYG10</f>
        <v>0</v>
      </c>
      <c r="BZJ10">
        <f t="shared" ref="BZJ10:BZJ29" si="1377">AYH10</f>
        <v>0</v>
      </c>
      <c r="BZK10">
        <f t="shared" ref="BZK10:BZK29" si="1378">AYI10</f>
        <v>0</v>
      </c>
      <c r="BZL10">
        <f t="shared" ref="BZL10:BZL29" si="1379">AYJ10</f>
        <v>0</v>
      </c>
      <c r="BZM10">
        <f t="shared" ref="BZM10:BZM29" si="1380">AYK10</f>
        <v>0</v>
      </c>
      <c r="BZN10">
        <f t="shared" ref="BZN10:BZN29" si="1381">AYL10</f>
        <v>0</v>
      </c>
      <c r="BZO10">
        <f t="shared" ref="BZO10:BZO29" si="1382">AYM10</f>
        <v>0</v>
      </c>
      <c r="BZP10">
        <f t="shared" ref="BZP10:BZP29" si="1383">AYN10</f>
        <v>0</v>
      </c>
      <c r="BZQ10">
        <f t="shared" ref="BZQ10:BZQ29" si="1384">AYO10</f>
        <v>0</v>
      </c>
      <c r="BZR10">
        <f t="shared" ref="BZR10:BZR29" si="1385">AYP10</f>
        <v>0</v>
      </c>
      <c r="BZS10">
        <f t="shared" ref="BZS10:BZS29" si="1386">AYQ10</f>
        <v>0</v>
      </c>
      <c r="BZT10">
        <f t="shared" ref="BZT10:BZT29" si="1387">AYR10</f>
        <v>12.5</v>
      </c>
      <c r="BZU10">
        <f t="shared" ref="BZU10:BZU29" si="1388">AYS10</f>
        <v>12.5</v>
      </c>
      <c r="BZV10">
        <f t="shared" si="54"/>
        <v>12.5</v>
      </c>
      <c r="BZW10">
        <f t="shared" ref="BZW10:BZW29" si="1389">AYU10</f>
        <v>23.125</v>
      </c>
      <c r="BZX10">
        <f t="shared" ref="BZX10:BZX29" si="1390">AYV10</f>
        <v>33.125</v>
      </c>
      <c r="BZY10">
        <f t="shared" ref="BZY10:BZY29" si="1391">AYW10</f>
        <v>23.125</v>
      </c>
      <c r="BZZ10">
        <f t="shared" ref="BZZ10:BZZ29" si="1392">AYX10</f>
        <v>33.125</v>
      </c>
      <c r="CAA10">
        <f t="shared" ref="CAA10:CAA29" si="1393">AYY10</f>
        <v>15</v>
      </c>
      <c r="CAB10">
        <f t="shared" ref="CAB10:CAB29" si="1394">AYZ10</f>
        <v>15</v>
      </c>
      <c r="CAC10">
        <f t="shared" ref="CAC10:CAC29" si="1395">AZA10</f>
        <v>56.25</v>
      </c>
      <c r="CAD10">
        <f t="shared" ref="CAD10:CAD29" si="1396">AZB10</f>
        <v>25</v>
      </c>
      <c r="CAE10">
        <f t="shared" ref="CAE10:CAE29" si="1397">AZC10</f>
        <v>0</v>
      </c>
      <c r="CAF10">
        <f t="shared" ref="CAF10:CAF29" si="1398">AZD10</f>
        <v>0</v>
      </c>
      <c r="CAG10">
        <f t="shared" ref="CAG10:CAG29" si="1399">AZE10</f>
        <v>0</v>
      </c>
      <c r="CAH10">
        <f t="shared" ref="CAH10:CAH29" si="1400">AZF10</f>
        <v>0</v>
      </c>
      <c r="CAI10">
        <f t="shared" ref="CAI10:CAI29" si="1401">AZG10</f>
        <v>0</v>
      </c>
      <c r="CAJ10">
        <f t="shared" ref="CAJ10:CAJ29" si="1402">AZH10</f>
        <v>0</v>
      </c>
      <c r="CAK10">
        <f t="shared" ref="CAK10:CAK29" si="1403">AZI10</f>
        <v>0</v>
      </c>
      <c r="CAL10">
        <f t="shared" ref="CAL10:CAL29" si="1404">AZJ10</f>
        <v>0</v>
      </c>
      <c r="CAM10">
        <f t="shared" ref="CAM10:CAM29" si="1405">AZK10</f>
        <v>0</v>
      </c>
      <c r="CAN10">
        <f t="shared" ref="CAN10:CAN29" si="1406">AZL10</f>
        <v>0</v>
      </c>
      <c r="CAO10">
        <f t="shared" ref="CAO10:CAO29" si="1407">AZM10</f>
        <v>0</v>
      </c>
      <c r="CAP10">
        <f t="shared" ref="CAP10:CAP29" si="1408">AZN10</f>
        <v>12.5</v>
      </c>
      <c r="CAQ10">
        <f t="shared" ref="CAQ10:CAQ29" si="1409">AZO10</f>
        <v>12.5</v>
      </c>
      <c r="CAR10">
        <f t="shared" ref="CAR10:CAR29" si="1410">AZP10</f>
        <v>12.5</v>
      </c>
      <c r="CAS10">
        <f t="shared" ref="CAS10:CAS29" si="1411">AZQ10</f>
        <v>23.125</v>
      </c>
      <c r="CAT10">
        <f t="shared" ref="CAT10:CAT29" si="1412">AZR10</f>
        <v>23.125</v>
      </c>
      <c r="CAU10">
        <f t="shared" ref="CAU10:CAU29" si="1413">AZS10</f>
        <v>23.125</v>
      </c>
      <c r="CAV10">
        <f t="shared" ref="CAV10:CAV29" si="1414">AZT10</f>
        <v>23.125</v>
      </c>
      <c r="CAW10">
        <f t="shared" ref="CAW10:CAW29" si="1415">AZU10</f>
        <v>35</v>
      </c>
      <c r="CAX10">
        <f t="shared" ref="CAX10:CAX29" si="1416">AZV10</f>
        <v>15</v>
      </c>
      <c r="CAY10">
        <f t="shared" ref="CAY10:CAY29" si="1417">AZW10</f>
        <v>56.25</v>
      </c>
      <c r="CAZ10">
        <f t="shared" ref="CAZ10:CAZ29" si="1418">AZX10</f>
        <v>25</v>
      </c>
      <c r="CBA10">
        <f t="shared" ref="CBA10:CBA29" si="1419">AZY10</f>
        <v>0</v>
      </c>
      <c r="CBB10">
        <f t="shared" ref="CBB10:CBB29" si="1420">AZZ10</f>
        <v>0</v>
      </c>
      <c r="CBC10">
        <f t="shared" ref="CBC10:CBC29" si="1421">BAA10</f>
        <v>0</v>
      </c>
      <c r="CBD10">
        <f t="shared" ref="CBD10:CBD29" si="1422">BAB10</f>
        <v>0</v>
      </c>
      <c r="CBE10">
        <f t="shared" ref="CBE10:CBE29" si="1423">BAC10</f>
        <v>0</v>
      </c>
      <c r="CBF10">
        <f t="shared" ref="CBF10:CBF29" si="1424">BAD10</f>
        <v>0</v>
      </c>
      <c r="CBG10">
        <f t="shared" ref="CBG10:CBG29" si="1425">BAE10</f>
        <v>0</v>
      </c>
      <c r="CBH10">
        <f t="shared" ref="CBH10:CBH29" si="1426">BAF10</f>
        <v>0</v>
      </c>
      <c r="CBI10">
        <f t="shared" ref="CBI10:CBI29" si="1427">BAG10</f>
        <v>0</v>
      </c>
      <c r="CBJ10">
        <f t="shared" ref="CBJ10:CBJ29" si="1428">BAH10</f>
        <v>0</v>
      </c>
      <c r="CBK10">
        <f t="shared" ref="CBK10:CBK29" si="1429">BAI10</f>
        <v>0</v>
      </c>
      <c r="CBL10">
        <f t="shared" ref="CBL10:CBL29" si="1430">BAJ10</f>
        <v>12.5</v>
      </c>
      <c r="CBM10">
        <f t="shared" ref="CBM10:CBM29" si="1431">BAK10</f>
        <v>12.5</v>
      </c>
      <c r="CBN10">
        <f t="shared" ref="CBN10:CBN29" si="1432">BAL10</f>
        <v>12.5</v>
      </c>
      <c r="CBO10">
        <f t="shared" ref="CBO10:CBO29" si="1433">BAM10</f>
        <v>23.125</v>
      </c>
      <c r="CBP10">
        <f t="shared" ref="CBP10:CBP29" si="1434">BAN10</f>
        <v>23.125</v>
      </c>
      <c r="CBQ10">
        <f t="shared" ref="CBQ10:CBQ29" si="1435">BAO10</f>
        <v>23.125</v>
      </c>
      <c r="CBR10">
        <f t="shared" ref="CBR10:CBR29" si="1436">BAP10</f>
        <v>23.125</v>
      </c>
      <c r="CBS10">
        <f t="shared" ref="CBS10:CBS29" si="1437">BAQ10</f>
        <v>15</v>
      </c>
      <c r="CBT10">
        <f t="shared" ref="CBT10:CBT29" si="1438">BAR10</f>
        <v>15</v>
      </c>
      <c r="CBU10">
        <f t="shared" ref="CBU10:CBU29" si="1439">BAS10</f>
        <v>56.25</v>
      </c>
      <c r="CBV10">
        <f t="shared" ref="CBV10:CBV29" si="1440">BAT10</f>
        <v>25</v>
      </c>
      <c r="CBW10">
        <f t="shared" ref="CBW10:CBW29" si="1441">BAU10</f>
        <v>0</v>
      </c>
      <c r="CBX10">
        <f t="shared" ref="CBX10:CBX29" si="1442">BAV10</f>
        <v>0</v>
      </c>
      <c r="CBY10">
        <f t="shared" ref="CBY10:CBY29" si="1443">BAW10</f>
        <v>0</v>
      </c>
      <c r="CBZ10">
        <f t="shared" ref="CBZ10:CBZ29" si="1444">BAX10</f>
        <v>0</v>
      </c>
      <c r="CCA10">
        <f t="shared" ref="CCA10:CCA29" si="1445">BAY10</f>
        <v>0</v>
      </c>
      <c r="CCB10">
        <f t="shared" ref="CCB10:CCB29" si="1446">BAZ10</f>
        <v>0</v>
      </c>
      <c r="CCC10">
        <f t="shared" ref="CCC10:CCC29" si="1447">BBA10</f>
        <v>0</v>
      </c>
      <c r="CCD10">
        <f t="shared" ref="CCD10:CCD29" si="1448">BBB10</f>
        <v>0</v>
      </c>
      <c r="CCE10">
        <f t="shared" ref="CCE10:CCE29" si="1449">BBC10</f>
        <v>0</v>
      </c>
      <c r="CCF10">
        <f t="shared" ref="CCF10:CCF29" si="1450">BBD10</f>
        <v>0</v>
      </c>
      <c r="CCG10">
        <f t="shared" ref="CCG10:CCG29" si="1451">BBE10</f>
        <v>0</v>
      </c>
      <c r="CCH10">
        <f t="shared" si="55"/>
        <v>12.5</v>
      </c>
      <c r="CCI10">
        <f t="shared" ref="CCI10:CCI29" si="1452">BBG10</f>
        <v>12.5</v>
      </c>
      <c r="CCJ10">
        <f t="shared" ref="CCJ10:CCJ29" si="1453">BBH10</f>
        <v>12.5</v>
      </c>
      <c r="CCK10">
        <f t="shared" ref="CCK10:CCK29" si="1454">BBI10</f>
        <v>33.125</v>
      </c>
      <c r="CCL10">
        <f t="shared" ref="CCL10:CCL29" si="1455">BBJ10</f>
        <v>33.125</v>
      </c>
      <c r="CCM10">
        <f t="shared" ref="CCM10:CCM29" si="1456">BBK10</f>
        <v>33.125</v>
      </c>
      <c r="CCN10">
        <f t="shared" ref="CCN10:CCN29" si="1457">BBL10</f>
        <v>33.125</v>
      </c>
      <c r="CCO10">
        <f t="shared" ref="CCO10:CCO29" si="1458">BBM10</f>
        <v>35</v>
      </c>
      <c r="CCP10">
        <f t="shared" ref="CCP10:CCP29" si="1459">BBN10</f>
        <v>35</v>
      </c>
      <c r="CCQ10">
        <f t="shared" ref="CCQ10:CCQ29" si="1460">BBO10</f>
        <v>56.25</v>
      </c>
      <c r="CCR10">
        <f t="shared" ref="CCR10:CCR29" si="1461">BBP10</f>
        <v>25</v>
      </c>
      <c r="CCS10">
        <f t="shared" ref="CCS10:CCS29" si="1462">BBQ10</f>
        <v>0</v>
      </c>
      <c r="CCT10">
        <f t="shared" ref="CCT10:CCT29" si="1463">BBR10</f>
        <v>0</v>
      </c>
      <c r="CCU10">
        <f t="shared" ref="CCU10:CCU29" si="1464">BBS10</f>
        <v>0</v>
      </c>
      <c r="CCV10">
        <f t="shared" ref="CCV10:CCV29" si="1465">BBT10</f>
        <v>0</v>
      </c>
      <c r="CCW10">
        <f t="shared" ref="CCW10:CCW29" si="1466">BBU10</f>
        <v>0</v>
      </c>
      <c r="CCX10">
        <f t="shared" ref="CCX10:CCX29" si="1467">BBV10</f>
        <v>0</v>
      </c>
      <c r="CCY10">
        <f t="shared" ref="CCY10:CCY29" si="1468">BBW10</f>
        <v>0</v>
      </c>
      <c r="CCZ10">
        <f t="shared" ref="CCZ10:CCZ29" si="1469">BBX10</f>
        <v>0</v>
      </c>
      <c r="CDA10">
        <f t="shared" ref="CDA10:CDA29" si="1470">BBY10</f>
        <v>0</v>
      </c>
      <c r="CDB10">
        <f t="shared" ref="CDB10:CDB29" si="1471">BBZ10</f>
        <v>0</v>
      </c>
      <c r="CDC10">
        <f t="shared" ref="CDC10:CDC29" si="1472">BCA10</f>
        <v>0</v>
      </c>
      <c r="CDD10">
        <f t="shared" ref="CDD10:CDD29" si="1473">BCB10</f>
        <v>12.5</v>
      </c>
      <c r="CDE10">
        <f t="shared" ref="CDE10:CDE29" si="1474">BCC10</f>
        <v>12.5</v>
      </c>
      <c r="CDF10">
        <f t="shared" ref="CDF10:CDF29" si="1475">BCD10</f>
        <v>12.5</v>
      </c>
      <c r="CDG10">
        <f t="shared" ref="CDG10:CDG29" si="1476">BCE10</f>
        <v>33.125</v>
      </c>
      <c r="CDH10">
        <f t="shared" ref="CDH10:CDH29" si="1477">BCF10</f>
        <v>33.125</v>
      </c>
      <c r="CDI10">
        <f t="shared" ref="CDI10:CDI29" si="1478">BCG10</f>
        <v>33.125</v>
      </c>
      <c r="CDJ10">
        <f t="shared" ref="CDJ10:CDJ29" si="1479">BCH10</f>
        <v>33.125</v>
      </c>
      <c r="CDK10">
        <f t="shared" ref="CDK10:CDK29" si="1480">BCI10</f>
        <v>15</v>
      </c>
      <c r="CDL10">
        <f t="shared" ref="CDL10:CDL29" si="1481">BCJ10</f>
        <v>35</v>
      </c>
      <c r="CDM10">
        <f t="shared" ref="CDM10:CDM29" si="1482">BCK10</f>
        <v>56.25</v>
      </c>
      <c r="CDN10">
        <f t="shared" ref="CDN10:CDN29" si="1483">BCL10</f>
        <v>25</v>
      </c>
      <c r="CDO10">
        <f t="shared" ref="CDO10:CDO29" si="1484">BCM10</f>
        <v>0</v>
      </c>
      <c r="CDP10">
        <f t="shared" ref="CDP10:CDP29" si="1485">BCN10</f>
        <v>0</v>
      </c>
      <c r="CDQ10">
        <f t="shared" ref="CDQ10:CDQ29" si="1486">BCO10</f>
        <v>0</v>
      </c>
      <c r="CDR10">
        <f t="shared" ref="CDR10:CDR29" si="1487">BCP10</f>
        <v>0</v>
      </c>
      <c r="CDS10">
        <f t="shared" ref="CDS10:CDS29" si="1488">BCQ10</f>
        <v>0</v>
      </c>
      <c r="CDT10">
        <f t="shared" ref="CDT10:CDT29" si="1489">BCR10</f>
        <v>0</v>
      </c>
      <c r="CDU10">
        <f t="shared" ref="CDU10:CDU29" si="1490">BCS10</f>
        <v>0</v>
      </c>
      <c r="CDV10">
        <f t="shared" ref="CDV10:CDV29" si="1491">BCT10</f>
        <v>0</v>
      </c>
      <c r="CDW10">
        <f t="shared" ref="CDW10:CDW29" si="1492">BCU10</f>
        <v>0</v>
      </c>
      <c r="CDX10">
        <f t="shared" ref="CDX10:CDX29" si="1493">BCV10</f>
        <v>0</v>
      </c>
      <c r="CDY10">
        <f t="shared" ref="CDY10:CDY29" si="1494">BCW10</f>
        <v>0</v>
      </c>
      <c r="CDZ10">
        <f t="shared" ref="CDZ10:CDZ29" si="1495">BCX10</f>
        <v>12.5</v>
      </c>
      <c r="CEA10">
        <f t="shared" ref="CEA10:CEA29" si="1496">BCY10</f>
        <v>12.5</v>
      </c>
      <c r="CEB10">
        <f t="shared" ref="CEB10:CEB29" si="1497">BCZ10</f>
        <v>12.5</v>
      </c>
      <c r="CEC10">
        <f t="shared" ref="CEC10:CEC29" si="1498">BDA10</f>
        <v>33.125</v>
      </c>
      <c r="CED10">
        <f t="shared" ref="CED10:CED29" si="1499">BDB10</f>
        <v>23.125</v>
      </c>
      <c r="CEE10">
        <f t="shared" ref="CEE10:CEE29" si="1500">BDC10</f>
        <v>33.125</v>
      </c>
      <c r="CEF10">
        <f t="shared" ref="CEF10:CEF29" si="1501">BDD10</f>
        <v>23.125</v>
      </c>
      <c r="CEG10">
        <f t="shared" ref="CEG10:CEG29" si="1502">BDE10</f>
        <v>35</v>
      </c>
      <c r="CEH10">
        <f t="shared" ref="CEH10:CEH29" si="1503">BDF10</f>
        <v>35</v>
      </c>
      <c r="CEI10">
        <f t="shared" ref="CEI10:CEI29" si="1504">BDG10</f>
        <v>56.25</v>
      </c>
      <c r="CEJ10">
        <f t="shared" ref="CEJ10:CEJ29" si="1505">BDH10</f>
        <v>25</v>
      </c>
      <c r="CEK10">
        <f t="shared" ref="CEK10:CEK29" si="1506">BDI10</f>
        <v>0</v>
      </c>
      <c r="CEL10">
        <f t="shared" ref="CEL10:CEL29" si="1507">BDJ10</f>
        <v>0</v>
      </c>
      <c r="CEM10">
        <f t="shared" ref="CEM10:CEM29" si="1508">BDK10</f>
        <v>0</v>
      </c>
      <c r="CEN10">
        <f t="shared" ref="CEN10:CEN29" si="1509">BDL10</f>
        <v>0</v>
      </c>
      <c r="CEO10">
        <f t="shared" ref="CEO10:CEO29" si="1510">BDM10</f>
        <v>0</v>
      </c>
      <c r="CEP10">
        <f t="shared" ref="CEP10:CEP29" si="1511">BDN10</f>
        <v>0</v>
      </c>
      <c r="CEQ10">
        <f t="shared" ref="CEQ10:CEQ29" si="1512">BDO10</f>
        <v>0</v>
      </c>
      <c r="CER10">
        <f t="shared" ref="CER10:CER29" si="1513">BDP10</f>
        <v>0</v>
      </c>
      <c r="CES10">
        <f t="shared" ref="CES10:CES29" si="1514">BDQ10</f>
        <v>0</v>
      </c>
      <c r="CET10">
        <f t="shared" si="56"/>
        <v>0</v>
      </c>
      <c r="CEU10">
        <f t="shared" ref="CEU10:CEU29" si="1515">BDS10</f>
        <v>0</v>
      </c>
      <c r="CEV10">
        <f t="shared" ref="CEV10:CEV29" si="1516">BDT10</f>
        <v>12.5</v>
      </c>
      <c r="CEW10">
        <f t="shared" ref="CEW10:CEW29" si="1517">BDU10</f>
        <v>12.5</v>
      </c>
      <c r="CEX10">
        <f t="shared" ref="CEX10:CEX29" si="1518">BDV10</f>
        <v>12.5</v>
      </c>
      <c r="CEY10">
        <f t="shared" ref="CEY10:CEY29" si="1519">BDW10</f>
        <v>33.125</v>
      </c>
      <c r="CEZ10">
        <f t="shared" ref="CEZ10:CEZ29" si="1520">BDX10</f>
        <v>23.125</v>
      </c>
      <c r="CFA10">
        <f t="shared" ref="CFA10:CFA29" si="1521">BDY10</f>
        <v>33.125</v>
      </c>
      <c r="CFB10">
        <f t="shared" ref="CFB10:CFB29" si="1522">BDZ10</f>
        <v>23.125</v>
      </c>
      <c r="CFC10">
        <f t="shared" ref="CFC10:CFC29" si="1523">BEA10</f>
        <v>15</v>
      </c>
      <c r="CFD10">
        <f t="shared" ref="CFD10:CFD29" si="1524">BEB10</f>
        <v>35</v>
      </c>
      <c r="CFE10">
        <f t="shared" ref="CFE10:CFE29" si="1525">BEC10</f>
        <v>56.25</v>
      </c>
      <c r="CFF10">
        <f t="shared" ref="CFF10:CFF29" si="1526">BED10</f>
        <v>25</v>
      </c>
      <c r="CFG10">
        <f t="shared" ref="CFG10:CFG29" si="1527">BEE10</f>
        <v>0</v>
      </c>
      <c r="CFH10">
        <f t="shared" ref="CFH10:CFH29" si="1528">BEF10</f>
        <v>0</v>
      </c>
      <c r="CFI10">
        <f t="shared" ref="CFI10:CFI29" si="1529">BEG10</f>
        <v>0</v>
      </c>
      <c r="CFJ10">
        <f t="shared" ref="CFJ10:CFJ29" si="1530">BEH10</f>
        <v>0</v>
      </c>
      <c r="CFK10">
        <f t="shared" ref="CFK10:CFK29" si="1531">BEI10</f>
        <v>0</v>
      </c>
      <c r="CFL10">
        <f t="shared" ref="CFL10:CFL29" si="1532">BEJ10</f>
        <v>0</v>
      </c>
      <c r="CFM10">
        <f t="shared" ref="CFM10:CFM29" si="1533">BEK10</f>
        <v>0</v>
      </c>
      <c r="CFN10">
        <f t="shared" ref="CFN10:CFN29" si="1534">BEL10</f>
        <v>0</v>
      </c>
      <c r="CFO10">
        <f t="shared" ref="CFO10:CFO29" si="1535">BEM10</f>
        <v>0</v>
      </c>
      <c r="CFP10">
        <f t="shared" ref="CFP10:CFP29" si="1536">BEN10</f>
        <v>0</v>
      </c>
      <c r="CFQ10">
        <f t="shared" ref="CFQ10:CFQ29" si="1537">BEO10</f>
        <v>0</v>
      </c>
      <c r="CFR10">
        <f t="shared" ref="CFR10:CFR29" si="1538">BEP10</f>
        <v>12.5</v>
      </c>
      <c r="CFS10">
        <f t="shared" ref="CFS10:CFS29" si="1539">BEQ10</f>
        <v>12.5</v>
      </c>
      <c r="CFT10">
        <f t="shared" ref="CFT10:CFT29" si="1540">BER10</f>
        <v>12.5</v>
      </c>
      <c r="CFU10">
        <f t="shared" ref="CFU10:CFU29" si="1541">BES10</f>
        <v>23.125</v>
      </c>
      <c r="CFV10">
        <f t="shared" ref="CFV10:CFV29" si="1542">BET10</f>
        <v>33.125</v>
      </c>
      <c r="CFW10">
        <f t="shared" ref="CFW10:CFW29" si="1543">BEU10</f>
        <v>33.125</v>
      </c>
      <c r="CFX10">
        <f t="shared" ref="CFX10:CFX29" si="1544">BEV10</f>
        <v>33.125</v>
      </c>
      <c r="CFY10">
        <f t="shared" ref="CFY10:CFY29" si="1545">BEW10</f>
        <v>35</v>
      </c>
      <c r="CFZ10">
        <f t="shared" ref="CFZ10:CFZ29" si="1546">BEX10</f>
        <v>35</v>
      </c>
      <c r="CGA10">
        <f t="shared" ref="CGA10:CGA29" si="1547">BEY10</f>
        <v>56.25</v>
      </c>
      <c r="CGB10">
        <f t="shared" ref="CGB10:CGB29" si="1548">BEZ10</f>
        <v>25</v>
      </c>
      <c r="CGC10">
        <f t="shared" ref="CGC10:CGC29" si="1549">BFA10</f>
        <v>0</v>
      </c>
      <c r="CGD10">
        <f t="shared" ref="CGD10:CGD29" si="1550">BFB10</f>
        <v>0</v>
      </c>
      <c r="CGE10">
        <f t="shared" ref="CGE10:CGE29" si="1551">BFC10</f>
        <v>0</v>
      </c>
      <c r="CGF10">
        <f t="shared" ref="CGF10:CGF29" si="1552">BFD10</f>
        <v>0</v>
      </c>
      <c r="CGG10">
        <f t="shared" ref="CGG10:CGG29" si="1553">BFE10</f>
        <v>0</v>
      </c>
      <c r="CGH10">
        <f t="shared" ref="CGH10:CGH29" si="1554">BFF10</f>
        <v>0</v>
      </c>
      <c r="CGI10">
        <f t="shared" ref="CGI10:CGI29" si="1555">BFG10</f>
        <v>0</v>
      </c>
      <c r="CGJ10">
        <f t="shared" ref="CGJ10:CGJ29" si="1556">BFH10</f>
        <v>0</v>
      </c>
      <c r="CGK10">
        <f t="shared" ref="CGK10:CGK29" si="1557">BFI10</f>
        <v>0</v>
      </c>
      <c r="CGL10">
        <f t="shared" ref="CGL10:CGL29" si="1558">BFJ10</f>
        <v>0</v>
      </c>
      <c r="CGM10">
        <f t="shared" ref="CGM10:CGM29" si="1559">BFK10</f>
        <v>0</v>
      </c>
      <c r="CGN10">
        <f t="shared" ref="CGN10:CGN29" si="1560">BFL10</f>
        <v>12.5</v>
      </c>
      <c r="CGO10">
        <f t="shared" ref="CGO10:CGO29" si="1561">BFM10</f>
        <v>12.5</v>
      </c>
      <c r="CGP10">
        <f t="shared" ref="CGP10:CGP29" si="1562">BFN10</f>
        <v>12.5</v>
      </c>
      <c r="CGQ10">
        <f t="shared" ref="CGQ10:CGQ29" si="1563">BFO10</f>
        <v>23.125</v>
      </c>
      <c r="CGR10">
        <f t="shared" ref="CGR10:CGR29" si="1564">BFP10</f>
        <v>33.125</v>
      </c>
      <c r="CGS10">
        <f t="shared" ref="CGS10:CGS29" si="1565">BFQ10</f>
        <v>33.125</v>
      </c>
      <c r="CGT10">
        <f t="shared" ref="CGT10:CGT29" si="1566">BFR10</f>
        <v>33.125</v>
      </c>
      <c r="CGU10">
        <f t="shared" ref="CGU10:CGU29" si="1567">BFS10</f>
        <v>15</v>
      </c>
      <c r="CGV10">
        <f t="shared" ref="CGV10:CGV29" si="1568">BFT10</f>
        <v>35</v>
      </c>
      <c r="CGW10">
        <f t="shared" ref="CGW10:CGW29" si="1569">BFU10</f>
        <v>56.25</v>
      </c>
      <c r="CGX10">
        <f t="shared" ref="CGX10:CGX29" si="1570">BFV10</f>
        <v>25</v>
      </c>
      <c r="CGY10">
        <f t="shared" ref="CGY10:CGY29" si="1571">BFW10</f>
        <v>0</v>
      </c>
      <c r="CGZ10">
        <f t="shared" ref="CGZ10:CGZ29" si="1572">BFX10</f>
        <v>0</v>
      </c>
      <c r="CHA10">
        <f t="shared" ref="CHA10:CHA29" si="1573">BFY10</f>
        <v>0</v>
      </c>
      <c r="CHB10">
        <f t="shared" ref="CHB10:CHB29" si="1574">BFZ10</f>
        <v>0</v>
      </c>
      <c r="CHC10">
        <f t="shared" ref="CHC10:CHC29" si="1575">BGA10</f>
        <v>0</v>
      </c>
      <c r="CHD10">
        <f t="shared" ref="CHD10:CHD29" si="1576">BGB10</f>
        <v>0</v>
      </c>
      <c r="CHE10">
        <f t="shared" ref="CHE10:CHE29" si="1577">BGC10</f>
        <v>0</v>
      </c>
      <c r="CHF10">
        <f t="shared" si="57"/>
        <v>0</v>
      </c>
      <c r="CHG10">
        <f t="shared" ref="CHG10:CHG29" si="1578">BGE10</f>
        <v>0</v>
      </c>
      <c r="CHH10">
        <f t="shared" ref="CHH10:CHH29" si="1579">BGF10</f>
        <v>0</v>
      </c>
      <c r="CHI10">
        <f t="shared" ref="CHI10:CHI29" si="1580">BGG10</f>
        <v>0</v>
      </c>
      <c r="CHJ10">
        <f t="shared" ref="CHJ10:CHJ29" si="1581">BGH10</f>
        <v>12.5</v>
      </c>
      <c r="CHK10">
        <f t="shared" ref="CHK10:CHK29" si="1582">BGI10</f>
        <v>12.5</v>
      </c>
      <c r="CHL10">
        <f t="shared" ref="CHL10:CHL29" si="1583">BGJ10</f>
        <v>12.5</v>
      </c>
      <c r="CHM10">
        <f t="shared" ref="CHM10:CHM29" si="1584">BGK10</f>
        <v>23.125</v>
      </c>
      <c r="CHN10">
        <f t="shared" ref="CHN10:CHN29" si="1585">BGL10</f>
        <v>23.125</v>
      </c>
      <c r="CHO10">
        <f t="shared" ref="CHO10:CHO29" si="1586">BGM10</f>
        <v>33.125</v>
      </c>
      <c r="CHP10">
        <f t="shared" ref="CHP10:CHP29" si="1587">BGN10</f>
        <v>23.125</v>
      </c>
      <c r="CHQ10">
        <f t="shared" ref="CHQ10:CHQ29" si="1588">BGO10</f>
        <v>35</v>
      </c>
      <c r="CHR10">
        <f t="shared" ref="CHR10:CHR29" si="1589">BGP10</f>
        <v>35</v>
      </c>
      <c r="CHS10">
        <f t="shared" ref="CHS10:CHS29" si="1590">BGQ10</f>
        <v>56.25</v>
      </c>
      <c r="CHT10">
        <f t="shared" ref="CHT10:CHT29" si="1591">BGR10</f>
        <v>25</v>
      </c>
      <c r="CHU10">
        <f t="shared" ref="CHU10:CHU29" si="1592">BGS10</f>
        <v>0</v>
      </c>
      <c r="CHV10">
        <f t="shared" ref="CHV10:CHV29" si="1593">BGT10</f>
        <v>0</v>
      </c>
      <c r="CHW10">
        <f t="shared" ref="CHW10:CHW29" si="1594">BGU10</f>
        <v>0</v>
      </c>
      <c r="CHX10">
        <f t="shared" ref="CHX10:CHX29" si="1595">BGV10</f>
        <v>0</v>
      </c>
      <c r="CHY10">
        <f t="shared" ref="CHY10:CHY29" si="1596">BGW10</f>
        <v>0</v>
      </c>
      <c r="CHZ10">
        <f t="shared" ref="CHZ10:CHZ29" si="1597">BGX10</f>
        <v>0</v>
      </c>
      <c r="CIA10">
        <f t="shared" ref="CIA10:CIA29" si="1598">BGY10</f>
        <v>0</v>
      </c>
      <c r="CIB10">
        <f t="shared" ref="CIB10:CIB29" si="1599">BGZ10</f>
        <v>0</v>
      </c>
      <c r="CIC10">
        <f t="shared" ref="CIC10:CIC29" si="1600">BHA10</f>
        <v>0</v>
      </c>
      <c r="CID10">
        <f t="shared" ref="CID10:CID29" si="1601">BHB10</f>
        <v>0</v>
      </c>
      <c r="CIE10">
        <f t="shared" ref="CIE10:CIE29" si="1602">BHC10</f>
        <v>0</v>
      </c>
      <c r="CIF10">
        <f t="shared" ref="CIF10:CIF29" si="1603">BHD10</f>
        <v>12.5</v>
      </c>
      <c r="CIG10">
        <f t="shared" ref="CIG10:CIG29" si="1604">BHE10</f>
        <v>12.5</v>
      </c>
      <c r="CIH10">
        <f t="shared" ref="CIH10:CIH29" si="1605">BHF10</f>
        <v>12.5</v>
      </c>
      <c r="CII10">
        <f t="shared" ref="CII10:CII29" si="1606">BHG10</f>
        <v>23.125</v>
      </c>
      <c r="CIJ10">
        <f t="shared" ref="CIJ10:CIJ29" si="1607">BHH10</f>
        <v>23.125</v>
      </c>
      <c r="CIK10">
        <f t="shared" ref="CIK10:CIK29" si="1608">BHI10</f>
        <v>33.125</v>
      </c>
      <c r="CIL10">
        <f t="shared" ref="CIL10:CIL29" si="1609">BHJ10</f>
        <v>23.125</v>
      </c>
      <c r="CIM10">
        <f t="shared" ref="CIM10:CIM29" si="1610">BHK10</f>
        <v>15</v>
      </c>
      <c r="CIN10">
        <f t="shared" ref="CIN10:CIN29" si="1611">BHL10</f>
        <v>35</v>
      </c>
      <c r="CIO10">
        <f t="shared" ref="CIO10:CIO29" si="1612">BHM10</f>
        <v>56.25</v>
      </c>
      <c r="CIP10">
        <f t="shared" ref="CIP10:CIP29" si="1613">BHN10</f>
        <v>25</v>
      </c>
      <c r="CIQ10">
        <f t="shared" ref="CIQ10:CIQ29" si="1614">BHO10</f>
        <v>0</v>
      </c>
      <c r="CIR10">
        <f t="shared" ref="CIR10:CIR29" si="1615">BHP10</f>
        <v>0</v>
      </c>
      <c r="CIS10">
        <f t="shared" ref="CIS10:CIS29" si="1616">BHQ10</f>
        <v>0</v>
      </c>
      <c r="CIT10">
        <f t="shared" ref="CIT10:CIT29" si="1617">BHR10</f>
        <v>0</v>
      </c>
      <c r="CIU10">
        <f t="shared" ref="CIU10:CIU29" si="1618">BHS10</f>
        <v>0</v>
      </c>
      <c r="CIV10">
        <f t="shared" ref="CIV10:CIV29" si="1619">BHT10</f>
        <v>0</v>
      </c>
      <c r="CIW10">
        <f t="shared" ref="CIW10:CIW29" si="1620">BHU10</f>
        <v>0</v>
      </c>
      <c r="CIX10">
        <f t="shared" ref="CIX10:CIX29" si="1621">BHV10</f>
        <v>0</v>
      </c>
      <c r="CIY10">
        <f t="shared" ref="CIY10:CIY29" si="1622">BHW10</f>
        <v>0</v>
      </c>
      <c r="CIZ10">
        <f t="shared" ref="CIZ10:CIZ29" si="1623">BHX10</f>
        <v>0</v>
      </c>
      <c r="CJA10">
        <f t="shared" ref="CJA10:CJA29" si="1624">BHY10</f>
        <v>0</v>
      </c>
      <c r="CJB10">
        <f t="shared" ref="CJB10:CJB29" si="1625">BHZ10</f>
        <v>12.5</v>
      </c>
      <c r="CJC10">
        <f t="shared" ref="CJC10:CJC29" si="1626">BIA10</f>
        <v>12.5</v>
      </c>
      <c r="CJD10">
        <f t="shared" ref="CJD10:CJD29" si="1627">BIB10</f>
        <v>12.5</v>
      </c>
      <c r="CJE10">
        <f t="shared" ref="CJE10:CJE29" si="1628">BIC10</f>
        <v>33.125</v>
      </c>
      <c r="CJF10">
        <f t="shared" ref="CJF10:CJF29" si="1629">BID10</f>
        <v>33.125</v>
      </c>
      <c r="CJG10">
        <f t="shared" ref="CJG10:CJG29" si="1630">BIE10</f>
        <v>23.125</v>
      </c>
      <c r="CJH10">
        <f t="shared" ref="CJH10:CJH29" si="1631">BIF10</f>
        <v>33.125</v>
      </c>
      <c r="CJI10">
        <f t="shared" ref="CJI10:CJI29" si="1632">BIG10</f>
        <v>35</v>
      </c>
      <c r="CJJ10">
        <f t="shared" ref="CJJ10:CJJ29" si="1633">BIH10</f>
        <v>35</v>
      </c>
      <c r="CJK10">
        <f t="shared" ref="CJK10:CJK29" si="1634">BII10</f>
        <v>56.25</v>
      </c>
      <c r="CJL10">
        <f t="shared" ref="CJL10:CJL29" si="1635">BIJ10</f>
        <v>25</v>
      </c>
      <c r="CJM10">
        <f t="shared" ref="CJM10:CJM29" si="1636">BIK10</f>
        <v>0</v>
      </c>
      <c r="CJN10">
        <f t="shared" ref="CJN10:CJN29" si="1637">BIL10</f>
        <v>0</v>
      </c>
      <c r="CJO10">
        <f t="shared" ref="CJO10:CJO29" si="1638">BIM10</f>
        <v>0</v>
      </c>
      <c r="CJP10">
        <f t="shared" ref="CJP10:CJP29" si="1639">BIN10</f>
        <v>0</v>
      </c>
      <c r="CJQ10">
        <f t="shared" ref="CJQ10:CJQ29" si="1640">BIO10</f>
        <v>0</v>
      </c>
      <c r="CJR10">
        <f t="shared" si="58"/>
        <v>0</v>
      </c>
      <c r="CJS10">
        <f t="shared" ref="CJS10:CJS29" si="1641">BIQ10</f>
        <v>0</v>
      </c>
      <c r="CJT10">
        <f t="shared" ref="CJT10:CJT29" si="1642">BIR10</f>
        <v>0</v>
      </c>
      <c r="CJU10">
        <f t="shared" ref="CJU10:CJU29" si="1643">BIS10</f>
        <v>0</v>
      </c>
      <c r="CJV10">
        <f t="shared" ref="CJV10:CJV29" si="1644">BIT10</f>
        <v>0</v>
      </c>
      <c r="CJW10">
        <f t="shared" ref="CJW10:CJW29" si="1645">BIU10</f>
        <v>0</v>
      </c>
      <c r="CJX10">
        <f t="shared" ref="CJX10:CJX29" si="1646">BIV10</f>
        <v>12.5</v>
      </c>
      <c r="CJY10">
        <f t="shared" ref="CJY10:CJY29" si="1647">BIW10</f>
        <v>12.5</v>
      </c>
      <c r="CJZ10">
        <f t="shared" ref="CJZ10:CJZ29" si="1648">BIX10</f>
        <v>12.5</v>
      </c>
      <c r="CKA10">
        <f t="shared" ref="CKA10:CKA29" si="1649">BIY10</f>
        <v>33.125</v>
      </c>
      <c r="CKB10">
        <f t="shared" ref="CKB10:CKB29" si="1650">BIZ10</f>
        <v>33.125</v>
      </c>
      <c r="CKC10">
        <f t="shared" ref="CKC10:CKC29" si="1651">BJA10</f>
        <v>23.125</v>
      </c>
      <c r="CKD10">
        <f t="shared" ref="CKD10:CKD29" si="1652">BJB10</f>
        <v>33.125</v>
      </c>
      <c r="CKE10">
        <f t="shared" ref="CKE10:CKE29" si="1653">BJC10</f>
        <v>15</v>
      </c>
      <c r="CKF10">
        <f t="shared" ref="CKF10:CKF29" si="1654">BJD10</f>
        <v>35</v>
      </c>
      <c r="CKG10">
        <f t="shared" ref="CKG10:CKG29" si="1655">BJE10</f>
        <v>56.25</v>
      </c>
      <c r="CKH10">
        <f t="shared" ref="CKH10:CKH29" si="1656">BJF10</f>
        <v>25</v>
      </c>
      <c r="CKI10">
        <f t="shared" ref="CKI10:CKI29" si="1657">BJG10</f>
        <v>0</v>
      </c>
      <c r="CKJ10">
        <f t="shared" ref="CKJ10:CKJ29" si="1658">BJH10</f>
        <v>0</v>
      </c>
      <c r="CKK10">
        <f t="shared" ref="CKK10:CKK29" si="1659">BJI10</f>
        <v>0</v>
      </c>
      <c r="CKL10">
        <f t="shared" ref="CKL10:CKL29" si="1660">BJJ10</f>
        <v>0</v>
      </c>
      <c r="CKM10">
        <f t="shared" ref="CKM10:CKM29" si="1661">BJK10</f>
        <v>0</v>
      </c>
      <c r="CKN10">
        <f t="shared" ref="CKN10:CKN29" si="1662">BJL10</f>
        <v>0</v>
      </c>
      <c r="CKO10">
        <f t="shared" ref="CKO10:CKO29" si="1663">BJM10</f>
        <v>0</v>
      </c>
      <c r="CKP10">
        <f t="shared" ref="CKP10:CKP29" si="1664">BJN10</f>
        <v>0</v>
      </c>
      <c r="CKQ10">
        <f t="shared" ref="CKQ10:CKQ29" si="1665">BJO10</f>
        <v>0</v>
      </c>
      <c r="CKR10">
        <f t="shared" ref="CKR10:CKR29" si="1666">BJP10</f>
        <v>0</v>
      </c>
      <c r="CKS10">
        <f t="shared" ref="CKS10:CKS29" si="1667">BJQ10</f>
        <v>0</v>
      </c>
      <c r="CKT10">
        <f t="shared" ref="CKT10:CKT29" si="1668">BJR10</f>
        <v>12.5</v>
      </c>
      <c r="CKU10">
        <f t="shared" ref="CKU10:CKU29" si="1669">BJS10</f>
        <v>12.5</v>
      </c>
      <c r="CKV10">
        <f t="shared" ref="CKV10:CKV29" si="1670">BJT10</f>
        <v>12.5</v>
      </c>
      <c r="CKW10">
        <f t="shared" ref="CKW10:CKW29" si="1671">BJU10</f>
        <v>33.125</v>
      </c>
      <c r="CKX10">
        <f t="shared" ref="CKX10:CKX29" si="1672">BJV10</f>
        <v>23.125</v>
      </c>
      <c r="CKY10">
        <f t="shared" ref="CKY10:CKY29" si="1673">BJW10</f>
        <v>23.125</v>
      </c>
      <c r="CKZ10">
        <f t="shared" ref="CKZ10:CKZ29" si="1674">BJX10</f>
        <v>23.125</v>
      </c>
      <c r="CLA10">
        <f t="shared" ref="CLA10:CLA29" si="1675">BJY10</f>
        <v>35</v>
      </c>
      <c r="CLB10">
        <f t="shared" ref="CLB10:CLB29" si="1676">BJZ10</f>
        <v>35</v>
      </c>
      <c r="CLC10">
        <f t="shared" ref="CLC10:CLC29" si="1677">BKA10</f>
        <v>56.25</v>
      </c>
      <c r="CLD10">
        <f t="shared" ref="CLD10:CLD29" si="1678">BKB10</f>
        <v>25</v>
      </c>
      <c r="CLE10">
        <f t="shared" ref="CLE10:CLE29" si="1679">BKC10</f>
        <v>0</v>
      </c>
      <c r="CLF10">
        <f t="shared" ref="CLF10:CLF29" si="1680">BKD10</f>
        <v>0</v>
      </c>
      <c r="CLG10">
        <f t="shared" ref="CLG10:CLG29" si="1681">BKE10</f>
        <v>0</v>
      </c>
      <c r="CLH10">
        <f t="shared" ref="CLH10:CLH29" si="1682">BKF10</f>
        <v>0</v>
      </c>
      <c r="CLI10">
        <f t="shared" ref="CLI10:CLI29" si="1683">BKG10</f>
        <v>0</v>
      </c>
      <c r="CLJ10">
        <f t="shared" ref="CLJ10:CLJ29" si="1684">BKH10</f>
        <v>0</v>
      </c>
      <c r="CLK10">
        <f t="shared" ref="CLK10:CLK29" si="1685">BKI10</f>
        <v>0</v>
      </c>
      <c r="CLL10">
        <f t="shared" ref="CLL10:CLL29" si="1686">BKJ10</f>
        <v>0</v>
      </c>
      <c r="CLM10">
        <f t="shared" ref="CLM10:CLM29" si="1687">BKK10</f>
        <v>0</v>
      </c>
      <c r="CLN10">
        <f t="shared" ref="CLN10:CLN29" si="1688">BKL10</f>
        <v>0</v>
      </c>
      <c r="CLO10">
        <f t="shared" ref="CLO10:CLO29" si="1689">BKM10</f>
        <v>0</v>
      </c>
      <c r="CLP10">
        <f t="shared" ref="CLP10:CLP29" si="1690">BKN10</f>
        <v>12.5</v>
      </c>
      <c r="CLQ10">
        <f t="shared" ref="CLQ10:CLQ29" si="1691">BKO10</f>
        <v>12.5</v>
      </c>
      <c r="CLR10">
        <f t="shared" ref="CLR10:CLR29" si="1692">BKP10</f>
        <v>12.5</v>
      </c>
      <c r="CLS10">
        <f t="shared" ref="CLS10:CLS29" si="1693">BKQ10</f>
        <v>33.125</v>
      </c>
      <c r="CLT10">
        <f t="shared" ref="CLT10:CLT29" si="1694">BKR10</f>
        <v>23.125</v>
      </c>
      <c r="CLU10">
        <f t="shared" ref="CLU10:CLU29" si="1695">BKS10</f>
        <v>23.125</v>
      </c>
      <c r="CLV10">
        <f t="shared" ref="CLV10:CLV29" si="1696">BKT10</f>
        <v>23.125</v>
      </c>
      <c r="CLW10">
        <f t="shared" ref="CLW10:CLW29" si="1697">BKU10</f>
        <v>15</v>
      </c>
      <c r="CLX10">
        <f t="shared" ref="CLX10:CLX29" si="1698">BKV10</f>
        <v>35</v>
      </c>
      <c r="CLY10">
        <f t="shared" ref="CLY10:CLY29" si="1699">BKW10</f>
        <v>56.25</v>
      </c>
      <c r="CLZ10">
        <f t="shared" ref="CLZ10:CLZ29" si="1700">BKX10</f>
        <v>25</v>
      </c>
      <c r="CMA10">
        <f t="shared" ref="CMA10:CMA29" si="1701">BKY10</f>
        <v>0</v>
      </c>
      <c r="CMB10">
        <f t="shared" ref="CMB10:CMB29" si="1702">BKZ10</f>
        <v>0</v>
      </c>
      <c r="CMC10">
        <f t="shared" ref="CMC10:CMC29" si="1703">BLA10</f>
        <v>0</v>
      </c>
      <c r="CMD10">
        <f t="shared" si="59"/>
        <v>0</v>
      </c>
      <c r="CME10">
        <f t="shared" ref="CME10:CME29" si="1704">BLC10</f>
        <v>0</v>
      </c>
      <c r="CMF10">
        <f t="shared" ref="CMF10:CMF29" si="1705">BLD10</f>
        <v>0</v>
      </c>
      <c r="CMG10">
        <f t="shared" ref="CMG10:CMG29" si="1706">BLE10</f>
        <v>0</v>
      </c>
      <c r="CMH10">
        <f t="shared" ref="CMH10:CMH29" si="1707">BLF10</f>
        <v>0</v>
      </c>
      <c r="CMI10">
        <f t="shared" ref="CMI10:CMI29" si="1708">BLG10</f>
        <v>0</v>
      </c>
      <c r="CMJ10">
        <f t="shared" ref="CMJ10:CMJ29" si="1709">BLH10</f>
        <v>0</v>
      </c>
      <c r="CMK10">
        <f t="shared" ref="CMK10:CMK29" si="1710">BLI10</f>
        <v>0</v>
      </c>
      <c r="CML10">
        <f t="shared" ref="CML10:CML29" si="1711">BLJ10</f>
        <v>12.5</v>
      </c>
      <c r="CMM10">
        <f t="shared" ref="CMM10:CMM29" si="1712">BLK10</f>
        <v>12.5</v>
      </c>
      <c r="CMN10">
        <f t="shared" ref="CMN10:CMN29" si="1713">BLL10</f>
        <v>12.5</v>
      </c>
      <c r="CMO10">
        <f t="shared" ref="CMO10:CMO29" si="1714">BLM10</f>
        <v>23.125</v>
      </c>
      <c r="CMP10">
        <f t="shared" ref="CMP10:CMP29" si="1715">BLN10</f>
        <v>33.125</v>
      </c>
      <c r="CMQ10">
        <f t="shared" ref="CMQ10:CMQ29" si="1716">BLO10</f>
        <v>23.125</v>
      </c>
      <c r="CMR10">
        <f t="shared" ref="CMR10:CMR29" si="1717">BLP10</f>
        <v>33.125</v>
      </c>
      <c r="CMS10">
        <f t="shared" ref="CMS10:CMS29" si="1718">BLQ10</f>
        <v>35</v>
      </c>
      <c r="CMT10">
        <f t="shared" ref="CMT10:CMT29" si="1719">BLR10</f>
        <v>35</v>
      </c>
      <c r="CMU10">
        <f t="shared" ref="CMU10:CMU29" si="1720">BLS10</f>
        <v>56.25</v>
      </c>
      <c r="CMV10">
        <f t="shared" ref="CMV10:CMV29" si="1721">BLT10</f>
        <v>25</v>
      </c>
      <c r="CMW10">
        <f t="shared" ref="CMW10:CMW29" si="1722">BLU10</f>
        <v>0</v>
      </c>
      <c r="CMX10">
        <f t="shared" ref="CMX10:CMX29" si="1723">BLV10</f>
        <v>0</v>
      </c>
      <c r="CMY10">
        <f t="shared" ref="CMY10:CMY29" si="1724">BLW10</f>
        <v>0</v>
      </c>
      <c r="CMZ10">
        <f t="shared" ref="CMZ10:CMZ29" si="1725">BLX10</f>
        <v>0</v>
      </c>
      <c r="CNA10">
        <f t="shared" ref="CNA10:CNA29" si="1726">BLY10</f>
        <v>0</v>
      </c>
      <c r="CNB10">
        <f t="shared" ref="CNB10:CNB29" si="1727">BLZ10</f>
        <v>0</v>
      </c>
      <c r="CNC10">
        <f t="shared" ref="CNC10:CNC29" si="1728">BMA10</f>
        <v>0</v>
      </c>
      <c r="CND10">
        <f t="shared" ref="CND10:CND29" si="1729">BMB10</f>
        <v>0</v>
      </c>
      <c r="CNE10">
        <f t="shared" ref="CNE10:CNE29" si="1730">BMC10</f>
        <v>0</v>
      </c>
      <c r="CNF10">
        <f t="shared" ref="CNF10:CNF29" si="1731">BMD10</f>
        <v>0</v>
      </c>
      <c r="CNG10">
        <f t="shared" ref="CNG10:CNG29" si="1732">BME10</f>
        <v>0</v>
      </c>
      <c r="CNH10">
        <f t="shared" ref="CNH10:CNH29" si="1733">BMF10</f>
        <v>12.5</v>
      </c>
      <c r="CNI10">
        <f t="shared" ref="CNI10:CNI29" si="1734">BMG10</f>
        <v>12.5</v>
      </c>
      <c r="CNJ10">
        <f t="shared" ref="CNJ10:CNJ29" si="1735">BMH10</f>
        <v>12.5</v>
      </c>
      <c r="CNK10">
        <f t="shared" ref="CNK10:CNK29" si="1736">BMI10</f>
        <v>23.125</v>
      </c>
      <c r="CNL10">
        <f t="shared" ref="CNL10:CNL29" si="1737">BMJ10</f>
        <v>33.125</v>
      </c>
      <c r="CNM10">
        <f t="shared" ref="CNM10:CNM29" si="1738">BMK10</f>
        <v>23.125</v>
      </c>
      <c r="CNN10">
        <f t="shared" ref="CNN10:CNN29" si="1739">BML10</f>
        <v>33.125</v>
      </c>
      <c r="CNO10">
        <f t="shared" ref="CNO10:CNO29" si="1740">BMM10</f>
        <v>15</v>
      </c>
      <c r="CNP10">
        <f t="shared" ref="CNP10:CNP29" si="1741">BMN10</f>
        <v>35</v>
      </c>
      <c r="CNQ10">
        <f t="shared" ref="CNQ10:CNQ29" si="1742">BMO10</f>
        <v>56.25</v>
      </c>
      <c r="CNR10">
        <f t="shared" ref="CNR10:CNR29" si="1743">BMP10</f>
        <v>25</v>
      </c>
      <c r="CNS10">
        <f t="shared" ref="CNS10:CNS29" si="1744">BMQ10</f>
        <v>0</v>
      </c>
      <c r="CNT10">
        <f t="shared" ref="CNT10:CNT29" si="1745">BMR10</f>
        <v>0</v>
      </c>
      <c r="CNU10">
        <f t="shared" ref="CNU10:CNU29" si="1746">BMS10</f>
        <v>0</v>
      </c>
      <c r="CNV10">
        <f t="shared" ref="CNV10:CNV29" si="1747">BMT10</f>
        <v>0</v>
      </c>
      <c r="CNW10">
        <f t="shared" ref="CNW10:CNW29" si="1748">BMU10</f>
        <v>0</v>
      </c>
      <c r="CNX10">
        <f t="shared" ref="CNX10:CNX29" si="1749">BMV10</f>
        <v>0</v>
      </c>
      <c r="CNY10">
        <f t="shared" ref="CNY10:CNY29" si="1750">BMW10</f>
        <v>0</v>
      </c>
      <c r="CNZ10">
        <f t="shared" ref="CNZ10:CNZ29" si="1751">BMX10</f>
        <v>0</v>
      </c>
      <c r="COA10">
        <f t="shared" ref="COA10:COA29" si="1752">BMY10</f>
        <v>0</v>
      </c>
      <c r="COB10">
        <f t="shared" ref="COB10:COB29" si="1753">BMZ10</f>
        <v>0</v>
      </c>
      <c r="COC10">
        <f t="shared" ref="COC10:COC29" si="1754">BNA10</f>
        <v>0</v>
      </c>
      <c r="COD10">
        <f t="shared" ref="COD10:COD29" si="1755">BNB10</f>
        <v>12.5</v>
      </c>
      <c r="COE10">
        <f t="shared" ref="COE10:COE29" si="1756">BNC10</f>
        <v>12.5</v>
      </c>
      <c r="COF10">
        <f t="shared" ref="COF10:COF29" si="1757">BND10</f>
        <v>12.5</v>
      </c>
      <c r="COG10">
        <f t="shared" ref="COG10:COG29" si="1758">BNE10</f>
        <v>23.125</v>
      </c>
      <c r="COH10">
        <f t="shared" ref="COH10:COH29" si="1759">BNF10</f>
        <v>23.125</v>
      </c>
      <c r="COI10">
        <f t="shared" ref="COI10:COI29" si="1760">BNG10</f>
        <v>23.125</v>
      </c>
      <c r="COJ10">
        <f t="shared" ref="COJ10:COJ29" si="1761">BNH10</f>
        <v>23.125</v>
      </c>
      <c r="COK10">
        <f t="shared" ref="COK10:COK29" si="1762">BNI10</f>
        <v>35</v>
      </c>
      <c r="COL10">
        <f t="shared" ref="COL10:COL29" si="1763">BNJ10</f>
        <v>35</v>
      </c>
      <c r="COM10">
        <f t="shared" ref="COM10:COM29" si="1764">BNK10</f>
        <v>56.25</v>
      </c>
      <c r="CON10">
        <f t="shared" ref="CON10:CON29" si="1765">BNL10</f>
        <v>25</v>
      </c>
      <c r="COO10">
        <f t="shared" ref="COO10:COO29" si="1766">BNM10</f>
        <v>0</v>
      </c>
      <c r="COP10">
        <f t="shared" si="60"/>
        <v>0</v>
      </c>
      <c r="COQ10">
        <f t="shared" ref="COQ10:COQ29" si="1767">BNO10</f>
        <v>0</v>
      </c>
      <c r="COR10">
        <f t="shared" ref="COR10:COR29" si="1768">BNP10</f>
        <v>0</v>
      </c>
      <c r="COS10">
        <f t="shared" ref="COS10:COS29" si="1769">BNQ10</f>
        <v>0</v>
      </c>
      <c r="COT10">
        <f t="shared" ref="COT10:COT29" si="1770">BNR10</f>
        <v>0</v>
      </c>
      <c r="COU10">
        <f t="shared" ref="COU10:COU29" si="1771">BNS10</f>
        <v>0</v>
      </c>
      <c r="COV10">
        <f t="shared" ref="COV10:COV29" si="1772">BNT10</f>
        <v>0</v>
      </c>
      <c r="COW10">
        <f t="shared" ref="COW10:COW29" si="1773">BNU10</f>
        <v>0</v>
      </c>
      <c r="COX10">
        <f t="shared" ref="COX10:COX29" si="1774">BNV10</f>
        <v>0</v>
      </c>
      <c r="COY10">
        <f t="shared" ref="COY10:COY29" si="1775">BNW10</f>
        <v>0</v>
      </c>
      <c r="COZ10">
        <f t="shared" ref="COZ10:COZ29" si="1776">BNX10</f>
        <v>12.5</v>
      </c>
      <c r="CPA10">
        <f t="shared" ref="CPA10:CPA29" si="1777">BNY10</f>
        <v>12.5</v>
      </c>
      <c r="CPB10">
        <f t="shared" ref="CPB10:CPB29" si="1778">BNZ10</f>
        <v>12.5</v>
      </c>
      <c r="CPC10">
        <f t="shared" ref="CPC10:CPC29" si="1779">BOA10</f>
        <v>23.125</v>
      </c>
      <c r="CPD10">
        <f t="shared" ref="CPD10:CPD29" si="1780">BOB10</f>
        <v>23.125</v>
      </c>
      <c r="CPE10">
        <f t="shared" ref="CPE10:CPE29" si="1781">BOC10</f>
        <v>23.125</v>
      </c>
      <c r="CPF10">
        <f t="shared" ref="CPF10:CPF29" si="1782">BOD10</f>
        <v>23.125</v>
      </c>
      <c r="CPG10">
        <f t="shared" ref="CPG10:CPG29" si="1783">BOE10</f>
        <v>15</v>
      </c>
      <c r="CPH10">
        <f t="shared" ref="CPH10:CPH29" si="1784">BOF10</f>
        <v>35</v>
      </c>
      <c r="CPI10">
        <f t="shared" ref="CPI10:CPI29" si="1785">BOG10</f>
        <v>56.25</v>
      </c>
      <c r="CPJ10">
        <f t="shared" ref="CPJ10:CPJ29" si="1786">BOH10</f>
        <v>25</v>
      </c>
      <c r="CPK10">
        <f t="shared" ref="CPK10:CPK29" si="1787">BOI10</f>
        <v>0</v>
      </c>
      <c r="CPL10">
        <f t="shared" ref="CPL10:CPL29" si="1788">BOJ10</f>
        <v>0</v>
      </c>
      <c r="CPM10">
        <f t="shared" ref="CPM10:CPM29" si="1789">BOK10</f>
        <v>0</v>
      </c>
      <c r="CPN10">
        <f t="shared" ref="CPN10:CPN29" si="1790">BOL10</f>
        <v>0</v>
      </c>
      <c r="CPO10">
        <f t="shared" ref="CPO10:CPO29" si="1791">BOM10</f>
        <v>0</v>
      </c>
      <c r="CPP10">
        <f t="shared" ref="CPP10:CPP29" si="1792">BON10</f>
        <v>0</v>
      </c>
      <c r="CPQ10">
        <f t="shared" ref="CPQ10:CPQ29" si="1793">BOO10</f>
        <v>0</v>
      </c>
      <c r="CPR10">
        <f t="shared" ref="CPR10:CPR29" si="1794">BOP10</f>
        <v>0</v>
      </c>
      <c r="CPS10">
        <f t="shared" ref="CPS10:CPS29" si="1795">BOQ10</f>
        <v>0</v>
      </c>
      <c r="CPT10">
        <f t="shared" ref="CPT10:CPT29" si="1796">BOR10</f>
        <v>0</v>
      </c>
      <c r="CPU10">
        <f t="shared" ref="CPU10:CPU29" si="1797">BOS10</f>
        <v>0</v>
      </c>
      <c r="CPV10">
        <f t="shared" ref="CPV10:CPV29" si="1798">BOT10</f>
        <v>12.5</v>
      </c>
      <c r="CPW10">
        <f t="shared" ref="CPW10:CPW29" si="1799">BOU10</f>
        <v>12.5</v>
      </c>
      <c r="CPX10">
        <f t="shared" ref="CPX10:CPX29" si="1800">BOV10</f>
        <v>12.5</v>
      </c>
      <c r="CPY10">
        <f t="shared" ref="CPY10:CPY29" si="1801">BOW10</f>
        <v>33.125</v>
      </c>
      <c r="CPZ10">
        <f t="shared" ref="CPZ10:CPZ29" si="1802">BOX10</f>
        <v>33.125</v>
      </c>
      <c r="CQA10">
        <f t="shared" ref="CQA10:CQA29" si="1803">BOY10</f>
        <v>33.125</v>
      </c>
      <c r="CQB10">
        <f t="shared" ref="CQB10:CQB29" si="1804">BOZ10</f>
        <v>33.125</v>
      </c>
      <c r="CQC10">
        <f t="shared" ref="CQC10:CQC29" si="1805">BPA10</f>
        <v>35</v>
      </c>
      <c r="CQD10">
        <f t="shared" ref="CQD10:CQD29" si="1806">BPB10</f>
        <v>15</v>
      </c>
      <c r="CQE10">
        <f t="shared" ref="CQE10:CQE29" si="1807">BPC10</f>
        <v>56.25</v>
      </c>
      <c r="CQF10">
        <f t="shared" ref="CQF10:CQF29" si="1808">BPD10</f>
        <v>25</v>
      </c>
      <c r="CQG10">
        <f t="shared" ref="CQG10:CQG29" si="1809">BPE10</f>
        <v>0</v>
      </c>
      <c r="CQH10">
        <f t="shared" ref="CQH10:CQH29" si="1810">BPF10</f>
        <v>0</v>
      </c>
      <c r="CQI10">
        <f t="shared" ref="CQI10:CQI29" si="1811">BPG10</f>
        <v>0</v>
      </c>
      <c r="CQJ10">
        <f t="shared" ref="CQJ10:CQJ29" si="1812">BPH10</f>
        <v>0</v>
      </c>
      <c r="CQK10">
        <f t="shared" ref="CQK10:CQK29" si="1813">BPI10</f>
        <v>0</v>
      </c>
      <c r="CQL10">
        <f t="shared" ref="CQL10:CQL29" si="1814">BPJ10</f>
        <v>0</v>
      </c>
      <c r="CQM10">
        <f t="shared" ref="CQM10:CQM29" si="1815">BPK10</f>
        <v>0</v>
      </c>
      <c r="CQN10">
        <f t="shared" ref="CQN10:CQN29" si="1816">BPL10</f>
        <v>0</v>
      </c>
      <c r="CQO10">
        <f t="shared" ref="CQO10:CQO29" si="1817">BPM10</f>
        <v>0</v>
      </c>
      <c r="CQP10">
        <f t="shared" ref="CQP10:CQP29" si="1818">BPN10</f>
        <v>0</v>
      </c>
      <c r="CQQ10">
        <f t="shared" ref="CQQ10:CQQ29" si="1819">BPO10</f>
        <v>0</v>
      </c>
      <c r="CQR10">
        <f t="shared" ref="CQR10:CQR29" si="1820">BPP10</f>
        <v>12.5</v>
      </c>
      <c r="CQS10">
        <f t="shared" ref="CQS10:CQS29" si="1821">BPQ10</f>
        <v>12.5</v>
      </c>
      <c r="CQT10">
        <f t="shared" ref="CQT10:CQT29" si="1822">BPR10</f>
        <v>12.5</v>
      </c>
      <c r="CQU10">
        <f t="shared" ref="CQU10:CQU29" si="1823">BPS10</f>
        <v>33.125</v>
      </c>
      <c r="CQV10">
        <f t="shared" ref="CQV10:CQV29" si="1824">BPT10</f>
        <v>33.125</v>
      </c>
      <c r="CQW10">
        <f t="shared" ref="CQW10:CQW29" si="1825">BPU10</f>
        <v>33.125</v>
      </c>
      <c r="CQX10">
        <f t="shared" ref="CQX10:CQX29" si="1826">BPV10</f>
        <v>33.125</v>
      </c>
      <c r="CQY10">
        <f t="shared" ref="CQY10:CQY29" si="1827">BPW10</f>
        <v>15</v>
      </c>
      <c r="CQZ10">
        <f t="shared" ref="CQZ10:CQZ29" si="1828">BPX10</f>
        <v>15</v>
      </c>
      <c r="CRA10">
        <f t="shared" ref="CRA10:CRA29" si="1829">BPY10</f>
        <v>56.25</v>
      </c>
      <c r="CRB10">
        <f t="shared" si="61"/>
        <v>25</v>
      </c>
      <c r="CRC10">
        <f t="shared" ref="CRC10:CRC29" si="1830">BQA10</f>
        <v>0</v>
      </c>
      <c r="CRD10">
        <f t="shared" ref="CRD10:CRD29" si="1831">BQB10</f>
        <v>0</v>
      </c>
      <c r="CRE10">
        <f t="shared" ref="CRE10:CRE29" si="1832">BQC10</f>
        <v>0</v>
      </c>
      <c r="CRF10">
        <f t="shared" ref="CRF10:CRF29" si="1833">BQD10</f>
        <v>0</v>
      </c>
      <c r="CRG10">
        <f t="shared" ref="CRG10:CRG29" si="1834">BQE10</f>
        <v>0</v>
      </c>
      <c r="CRH10">
        <f t="shared" ref="CRH10:CRH29" si="1835">BQF10</f>
        <v>0</v>
      </c>
      <c r="CRI10">
        <f t="shared" ref="CRI10:CRI29" si="1836">BQG10</f>
        <v>0</v>
      </c>
      <c r="CRJ10">
        <f t="shared" ref="CRJ10:CRJ29" si="1837">BQH10</f>
        <v>0</v>
      </c>
      <c r="CRK10">
        <f t="shared" ref="CRK10:CRK29" si="1838">BQI10</f>
        <v>0</v>
      </c>
      <c r="CRL10">
        <f t="shared" ref="CRL10:CRL29" si="1839">BQJ10</f>
        <v>0</v>
      </c>
      <c r="CRM10">
        <f t="shared" ref="CRM10:CRM29" si="1840">BQK10</f>
        <v>0</v>
      </c>
      <c r="CRN10">
        <f t="shared" ref="CRN10:CRN29" si="1841">BQL10</f>
        <v>12.5</v>
      </c>
      <c r="CRO10">
        <f t="shared" ref="CRO10:CRO29" si="1842">BQM10</f>
        <v>12.5</v>
      </c>
      <c r="CRP10">
        <f t="shared" ref="CRP10:CRP29" si="1843">BQN10</f>
        <v>12.5</v>
      </c>
      <c r="CRQ10">
        <f t="shared" ref="CRQ10:CRQ29" si="1844">BQO10</f>
        <v>33.125</v>
      </c>
      <c r="CRR10">
        <f t="shared" ref="CRR10:CRR29" si="1845">BQP10</f>
        <v>23.125</v>
      </c>
      <c r="CRS10">
        <f t="shared" ref="CRS10:CRS29" si="1846">BQQ10</f>
        <v>33.125</v>
      </c>
      <c r="CRT10">
        <f t="shared" ref="CRT10:CRT29" si="1847">BQR10</f>
        <v>23.125</v>
      </c>
      <c r="CRU10">
        <f t="shared" ref="CRU10:CRU29" si="1848">BQS10</f>
        <v>35</v>
      </c>
      <c r="CRV10">
        <f t="shared" ref="CRV10:CRV29" si="1849">BQT10</f>
        <v>15</v>
      </c>
      <c r="CRW10">
        <f t="shared" ref="CRW10:CRW29" si="1850">BQU10</f>
        <v>56.25</v>
      </c>
      <c r="CRX10">
        <f t="shared" ref="CRX10:CRX29" si="1851">BQV10</f>
        <v>25</v>
      </c>
      <c r="CRY10">
        <f t="shared" ref="CRY10:CRY29" si="1852">BQW10</f>
        <v>0</v>
      </c>
      <c r="CRZ10">
        <f t="shared" ref="CRZ10:CRZ29" si="1853">BQX10</f>
        <v>0</v>
      </c>
      <c r="CSA10">
        <f t="shared" ref="CSA10:CSA29" si="1854">BQY10</f>
        <v>0</v>
      </c>
      <c r="CSB10">
        <f t="shared" ref="CSB10:CSB29" si="1855">BQZ10</f>
        <v>0</v>
      </c>
      <c r="CSC10">
        <f t="shared" ref="CSC10:CSC29" si="1856">BRA10</f>
        <v>0</v>
      </c>
      <c r="CSD10">
        <f t="shared" ref="CSD10:CSD29" si="1857">BRB10</f>
        <v>0</v>
      </c>
      <c r="CSE10">
        <f t="shared" ref="CSE10:CSE29" si="1858">BRC10</f>
        <v>0</v>
      </c>
      <c r="CSF10">
        <f t="shared" ref="CSF10:CSF29" si="1859">BRD10</f>
        <v>0</v>
      </c>
      <c r="CSG10">
        <f t="shared" ref="CSG10:CSG29" si="1860">BRE10</f>
        <v>0</v>
      </c>
      <c r="CSH10">
        <f t="shared" ref="CSH10:CSH29" si="1861">BRF10</f>
        <v>0</v>
      </c>
      <c r="CSI10">
        <f t="shared" ref="CSI10:CSI29" si="1862">BRG10</f>
        <v>0</v>
      </c>
      <c r="CSJ10">
        <f t="shared" ref="CSJ10:CSJ29" si="1863">BRH10</f>
        <v>12.5</v>
      </c>
      <c r="CSK10">
        <f t="shared" ref="CSK10:CSK29" si="1864">BRI10</f>
        <v>12.5</v>
      </c>
      <c r="CSL10">
        <f t="shared" ref="CSL10:CSL29" si="1865">BRJ10</f>
        <v>12.5</v>
      </c>
      <c r="CSM10">
        <f t="shared" ref="CSM10:CSM29" si="1866">BRK10</f>
        <v>33.125</v>
      </c>
      <c r="CSN10">
        <f t="shared" ref="CSN10:CSN29" si="1867">BRL10</f>
        <v>23.125</v>
      </c>
      <c r="CSO10">
        <f t="shared" ref="CSO10:CSO29" si="1868">BRM10</f>
        <v>33.125</v>
      </c>
      <c r="CSP10">
        <f t="shared" ref="CSP10:CSP29" si="1869">BRN10</f>
        <v>23.125</v>
      </c>
      <c r="CSQ10">
        <f t="shared" ref="CSQ10:CSQ29" si="1870">BRO10</f>
        <v>15</v>
      </c>
      <c r="CSR10">
        <f t="shared" ref="CSR10:CSR29" si="1871">BRP10</f>
        <v>15</v>
      </c>
      <c r="CSS10">
        <f t="shared" ref="CSS10:CSS29" si="1872">BRQ10</f>
        <v>56.25</v>
      </c>
      <c r="CST10">
        <f t="shared" ref="CST10:CST29" si="1873">BRR10</f>
        <v>25</v>
      </c>
      <c r="CSU10">
        <f t="shared" ref="CSU10:CSU29" si="1874">BRS10</f>
        <v>0</v>
      </c>
      <c r="CSV10">
        <f t="shared" ref="CSV10:CSV29" si="1875">BRT10</f>
        <v>0</v>
      </c>
      <c r="CSW10">
        <f t="shared" ref="CSW10:CSW29" si="1876">BRU10</f>
        <v>0</v>
      </c>
      <c r="CSX10">
        <f t="shared" ref="CSX10:CSX29" si="1877">BRV10</f>
        <v>0</v>
      </c>
      <c r="CSY10">
        <f t="shared" ref="CSY10:CSY29" si="1878">BRW10</f>
        <v>0</v>
      </c>
      <c r="CSZ10">
        <f t="shared" ref="CSZ10:CSZ29" si="1879">BRX10</f>
        <v>0</v>
      </c>
      <c r="CTA10">
        <f t="shared" ref="CTA10:CTA29" si="1880">BRY10</f>
        <v>0</v>
      </c>
      <c r="CTB10">
        <f t="shared" ref="CTB10:CTB29" si="1881">BRZ10</f>
        <v>0</v>
      </c>
      <c r="CTC10">
        <f t="shared" ref="CTC10:CTC29" si="1882">BSA10</f>
        <v>0</v>
      </c>
      <c r="CTD10">
        <f t="shared" ref="CTD10:CTD29" si="1883">BSB10</f>
        <v>0</v>
      </c>
      <c r="CTE10">
        <f t="shared" ref="CTE10:CTE29" si="1884">BSC10</f>
        <v>0</v>
      </c>
      <c r="CTF10">
        <f t="shared" ref="CTF10:CTF29" si="1885">BSD10</f>
        <v>12.5</v>
      </c>
      <c r="CTG10">
        <f t="shared" ref="CTG10:CTG29" si="1886">BSE10</f>
        <v>12.5</v>
      </c>
      <c r="CTH10">
        <f t="shared" ref="CTH10:CTH29" si="1887">BSF10</f>
        <v>12.5</v>
      </c>
      <c r="CTI10">
        <f t="shared" ref="CTI10:CTI29" si="1888">BSG10</f>
        <v>23.125</v>
      </c>
      <c r="CTJ10">
        <f t="shared" ref="CTJ10:CTJ29" si="1889">BSH10</f>
        <v>33.125</v>
      </c>
      <c r="CTK10">
        <f t="shared" ref="CTK10:CTK29" si="1890">BSI10</f>
        <v>33.125</v>
      </c>
      <c r="CTL10">
        <f t="shared" ref="CTL10:CTL29" si="1891">BSJ10</f>
        <v>33.125</v>
      </c>
      <c r="CTM10">
        <f t="shared" ref="CTM10:CTM29" si="1892">BSK10</f>
        <v>35</v>
      </c>
      <c r="CTN10">
        <f t="shared" si="62"/>
        <v>15</v>
      </c>
      <c r="CTO10">
        <f t="shared" ref="CTO10:CTO29" si="1893">BSM10</f>
        <v>56.25</v>
      </c>
      <c r="CTP10">
        <f t="shared" ref="CTP10:CTP29" si="1894">BSN10</f>
        <v>25</v>
      </c>
      <c r="CTQ10">
        <f t="shared" ref="CTQ10:CTQ29" si="1895">BSO10</f>
        <v>0</v>
      </c>
      <c r="CTR10">
        <f t="shared" ref="CTR10:CTR29" si="1896">BSP10</f>
        <v>0</v>
      </c>
      <c r="CTS10">
        <f t="shared" ref="CTS10:CTS29" si="1897">BSQ10</f>
        <v>0</v>
      </c>
      <c r="CTT10">
        <f t="shared" ref="CTT10:CTT29" si="1898">BSR10</f>
        <v>0</v>
      </c>
      <c r="CTU10">
        <f t="shared" ref="CTU10:CTU29" si="1899">BSS10</f>
        <v>0</v>
      </c>
      <c r="CTV10">
        <f t="shared" ref="CTV10:CTV29" si="1900">BST10</f>
        <v>0</v>
      </c>
      <c r="CTW10">
        <f t="shared" ref="CTW10:CTW29" si="1901">BSU10</f>
        <v>0</v>
      </c>
      <c r="CTX10">
        <f t="shared" ref="CTX10:CTX29" si="1902">BSV10</f>
        <v>0</v>
      </c>
      <c r="CTY10">
        <f t="shared" ref="CTY10:CTY29" si="1903">BSW10</f>
        <v>0</v>
      </c>
      <c r="CTZ10">
        <f t="shared" ref="CTZ10:CTZ29" si="1904">BSX10</f>
        <v>0</v>
      </c>
      <c r="CUA10">
        <f t="shared" ref="CUA10:CUA29" si="1905">BSY10</f>
        <v>0</v>
      </c>
      <c r="CUB10">
        <f t="shared" ref="CUB10:CUB29" si="1906">BSZ10</f>
        <v>12.5</v>
      </c>
      <c r="CUC10">
        <f t="shared" ref="CUC10:CUC29" si="1907">BTA10</f>
        <v>12.5</v>
      </c>
      <c r="CUD10">
        <f t="shared" ref="CUD10:CUD29" si="1908">BTB10</f>
        <v>12.5</v>
      </c>
      <c r="CUE10">
        <f t="shared" ref="CUE10:CUE29" si="1909">BTC10</f>
        <v>23.125</v>
      </c>
      <c r="CUF10">
        <f t="shared" ref="CUF10:CUF29" si="1910">BTD10</f>
        <v>33.125</v>
      </c>
      <c r="CUG10">
        <f t="shared" ref="CUG10:CUG29" si="1911">BTE10</f>
        <v>33.125</v>
      </c>
      <c r="CUH10">
        <f t="shared" ref="CUH10:CUH29" si="1912">BTF10</f>
        <v>33.125</v>
      </c>
      <c r="CUI10">
        <f t="shared" ref="CUI10:CUI29" si="1913">BTG10</f>
        <v>15</v>
      </c>
      <c r="CUJ10">
        <f t="shared" ref="CUJ10:CUJ29" si="1914">BTH10</f>
        <v>15</v>
      </c>
      <c r="CUK10">
        <f t="shared" ref="CUK10:CUK29" si="1915">BTI10</f>
        <v>56.25</v>
      </c>
      <c r="CUL10">
        <f t="shared" ref="CUL10:CUL29" si="1916">BTJ10</f>
        <v>25</v>
      </c>
      <c r="CUM10">
        <f t="shared" ref="CUM10:CUM29" si="1917">BTK10</f>
        <v>0</v>
      </c>
      <c r="CUN10">
        <f t="shared" ref="CUN10:CUN29" si="1918">BTL10</f>
        <v>0</v>
      </c>
      <c r="CUO10">
        <f t="shared" ref="CUO10:CUO29" si="1919">BTM10</f>
        <v>0</v>
      </c>
      <c r="CUP10">
        <f t="shared" ref="CUP10:CUP29" si="1920">BTN10</f>
        <v>0</v>
      </c>
      <c r="CUQ10">
        <f t="shared" ref="CUQ10:CUQ29" si="1921">BTO10</f>
        <v>0</v>
      </c>
      <c r="CUR10">
        <f t="shared" ref="CUR10:CUR29" si="1922">BTP10</f>
        <v>0</v>
      </c>
      <c r="CUS10">
        <f t="shared" ref="CUS10:CUS29" si="1923">BTQ10</f>
        <v>0</v>
      </c>
      <c r="CUT10">
        <f t="shared" ref="CUT10:CUT29" si="1924">BTR10</f>
        <v>0</v>
      </c>
      <c r="CUU10">
        <f t="shared" ref="CUU10:CUU29" si="1925">BTS10</f>
        <v>0</v>
      </c>
      <c r="CUV10">
        <f t="shared" ref="CUV10:CUV29" si="1926">BTT10</f>
        <v>0</v>
      </c>
      <c r="CUW10">
        <f t="shared" ref="CUW10:CUW29" si="1927">BTU10</f>
        <v>0</v>
      </c>
      <c r="CUX10">
        <f t="shared" ref="CUX10:CUX29" si="1928">BTV10</f>
        <v>12.5</v>
      </c>
      <c r="CUY10">
        <f t="shared" ref="CUY10:CUY29" si="1929">BTW10</f>
        <v>12.5</v>
      </c>
      <c r="CUZ10">
        <f t="shared" ref="CUZ10:CUZ29" si="1930">BTX10</f>
        <v>12.5</v>
      </c>
      <c r="CVA10">
        <f t="shared" ref="CVA10:CVA29" si="1931">BTY10</f>
        <v>23.125</v>
      </c>
      <c r="CVB10">
        <f t="shared" ref="CVB10:CVB29" si="1932">BTZ10</f>
        <v>23.125</v>
      </c>
      <c r="CVC10">
        <f t="shared" ref="CVC10:CVC29" si="1933">BUA10</f>
        <v>33.125</v>
      </c>
      <c r="CVD10">
        <f t="shared" ref="CVD10:CVD29" si="1934">BUB10</f>
        <v>23.125</v>
      </c>
      <c r="CVE10">
        <f t="shared" ref="CVE10:CVE29" si="1935">BUC10</f>
        <v>35</v>
      </c>
      <c r="CVF10">
        <f t="shared" ref="CVF10:CVF29" si="1936">BUD10</f>
        <v>15</v>
      </c>
      <c r="CVG10">
        <f t="shared" ref="CVG10:CVG29" si="1937">BUE10</f>
        <v>56.25</v>
      </c>
      <c r="CVH10">
        <f t="shared" ref="CVH10:CVH29" si="1938">BUF10</f>
        <v>25</v>
      </c>
      <c r="CVI10">
        <f t="shared" ref="CVI10:CVI29" si="1939">BUG10</f>
        <v>0</v>
      </c>
      <c r="CVJ10">
        <f t="shared" ref="CVJ10:CVJ29" si="1940">BUH10</f>
        <v>0</v>
      </c>
      <c r="CVK10">
        <f t="shared" ref="CVK10:CVK29" si="1941">BUI10</f>
        <v>0</v>
      </c>
      <c r="CVL10">
        <f t="shared" ref="CVL10:CVL29" si="1942">BUJ10</f>
        <v>0</v>
      </c>
      <c r="CVM10">
        <f t="shared" ref="CVM10:CVM29" si="1943">BUK10</f>
        <v>0</v>
      </c>
      <c r="CVN10">
        <f t="shared" ref="CVN10:CVN29" si="1944">BUL10</f>
        <v>0</v>
      </c>
      <c r="CVO10">
        <f t="shared" ref="CVO10:CVO29" si="1945">BUM10</f>
        <v>0</v>
      </c>
      <c r="CVP10">
        <f t="shared" ref="CVP10:CVP29" si="1946">BUN10</f>
        <v>0</v>
      </c>
      <c r="CVQ10">
        <f t="shared" ref="CVQ10:CVQ29" si="1947">BUO10</f>
        <v>0</v>
      </c>
      <c r="CVR10">
        <f t="shared" ref="CVR10:CVR29" si="1948">BUP10</f>
        <v>0</v>
      </c>
      <c r="CVS10">
        <f t="shared" ref="CVS10:CVS29" si="1949">BUQ10</f>
        <v>0</v>
      </c>
      <c r="CVT10">
        <f t="shared" ref="CVT10:CVT29" si="1950">BUR10</f>
        <v>12.5</v>
      </c>
      <c r="CVU10">
        <f t="shared" ref="CVU10:CVU29" si="1951">BUS10</f>
        <v>12.5</v>
      </c>
      <c r="CVV10">
        <f t="shared" ref="CVV10:CVV29" si="1952">BUT10</f>
        <v>12.5</v>
      </c>
      <c r="CVW10">
        <f t="shared" ref="CVW10:CVW29" si="1953">BUU10</f>
        <v>23.125</v>
      </c>
      <c r="CVX10">
        <f t="shared" ref="CVX10:CVX29" si="1954">BUV10</f>
        <v>23.125</v>
      </c>
      <c r="CVY10">
        <f t="shared" ref="CVY10:CVY29" si="1955">BUW10</f>
        <v>33.125</v>
      </c>
      <c r="CVZ10">
        <f t="shared" si="63"/>
        <v>23.125</v>
      </c>
      <c r="CWA10">
        <f t="shared" ref="CWA10:CWA29" si="1956">BUY10</f>
        <v>15</v>
      </c>
      <c r="CWB10">
        <f t="shared" ref="CWB10:CWB29" si="1957">BUZ10</f>
        <v>15</v>
      </c>
      <c r="CWC10">
        <f t="shared" ref="CWC10:CWC29" si="1958">BVA10</f>
        <v>56.25</v>
      </c>
      <c r="CWD10">
        <f t="shared" ref="CWD10:CWD29" si="1959">BVB10</f>
        <v>25</v>
      </c>
      <c r="CWE10">
        <f t="shared" ref="CWE10:CWE29" si="1960">BVC10</f>
        <v>0</v>
      </c>
      <c r="CWF10">
        <f t="shared" ref="CWF10:CWF29" si="1961">BVD10</f>
        <v>0</v>
      </c>
      <c r="CWG10">
        <f t="shared" ref="CWG10:CWG29" si="1962">BVE10</f>
        <v>0</v>
      </c>
      <c r="CWH10">
        <f t="shared" ref="CWH10:CWH29" si="1963">BVF10</f>
        <v>0</v>
      </c>
      <c r="CWI10">
        <f t="shared" ref="CWI10:CWI29" si="1964">BVG10</f>
        <v>0</v>
      </c>
      <c r="CWJ10">
        <f t="shared" ref="CWJ10:CWJ29" si="1965">BVH10</f>
        <v>0</v>
      </c>
      <c r="CWK10">
        <f t="shared" ref="CWK10:CWK29" si="1966">BVI10</f>
        <v>0</v>
      </c>
      <c r="CWL10">
        <f t="shared" ref="CWL10:CWL29" si="1967">BVJ10</f>
        <v>0</v>
      </c>
      <c r="CWM10">
        <f t="shared" ref="CWM10:CWM29" si="1968">BVK10</f>
        <v>0</v>
      </c>
      <c r="CWN10">
        <f t="shared" ref="CWN10:CWN29" si="1969">BVL10</f>
        <v>0</v>
      </c>
      <c r="CWO10">
        <f t="shared" ref="CWO10:CWO29" si="1970">BVM10</f>
        <v>0</v>
      </c>
      <c r="CWP10">
        <f t="shared" ref="CWP10:CWP29" si="1971">BVN10</f>
        <v>12.5</v>
      </c>
      <c r="CWQ10">
        <f t="shared" ref="CWQ10:CWQ29" si="1972">BVO10</f>
        <v>12.5</v>
      </c>
      <c r="CWR10">
        <f t="shared" ref="CWR10:CWR29" si="1973">BVP10</f>
        <v>12.5</v>
      </c>
      <c r="CWS10">
        <f t="shared" ref="CWS10:CWS29" si="1974">BVQ10</f>
        <v>33.125</v>
      </c>
      <c r="CWT10">
        <f t="shared" ref="CWT10:CWT29" si="1975">BVR10</f>
        <v>33.125</v>
      </c>
      <c r="CWU10">
        <f t="shared" ref="CWU10:CWU29" si="1976">BVS10</f>
        <v>23.125</v>
      </c>
      <c r="CWV10">
        <f t="shared" ref="CWV10:CWV29" si="1977">BVT10</f>
        <v>33.125</v>
      </c>
      <c r="CWW10">
        <f t="shared" ref="CWW10:CWW29" si="1978">BVU10</f>
        <v>35</v>
      </c>
      <c r="CWX10">
        <f t="shared" ref="CWX10:CWX29" si="1979">BVV10</f>
        <v>15</v>
      </c>
      <c r="CWY10">
        <f t="shared" ref="CWY10:CWY29" si="1980">BVW10</f>
        <v>56.25</v>
      </c>
      <c r="CWZ10">
        <f t="shared" ref="CWZ10:CWZ29" si="1981">BVX10</f>
        <v>25</v>
      </c>
      <c r="CXA10">
        <f t="shared" ref="CXA10:CXA29" si="1982">BVY10</f>
        <v>0</v>
      </c>
      <c r="CXB10">
        <f t="shared" ref="CXB10:CXB29" si="1983">BVZ10</f>
        <v>0</v>
      </c>
      <c r="CXC10">
        <f t="shared" ref="CXC10:CXC29" si="1984">BWA10</f>
        <v>0</v>
      </c>
      <c r="CXD10">
        <f t="shared" ref="CXD10:CXD29" si="1985">BWB10</f>
        <v>0</v>
      </c>
      <c r="CXE10">
        <f t="shared" ref="CXE10:CXE29" si="1986">BWC10</f>
        <v>0</v>
      </c>
      <c r="CXF10">
        <f t="shared" ref="CXF10:CXF29" si="1987">BWD10</f>
        <v>0</v>
      </c>
      <c r="CXG10">
        <f t="shared" ref="CXG10:CXG29" si="1988">BWE10</f>
        <v>0</v>
      </c>
      <c r="CXH10">
        <f t="shared" ref="CXH10:CXH29" si="1989">BWF10</f>
        <v>0</v>
      </c>
      <c r="CXI10">
        <f t="shared" ref="CXI10:CXI29" si="1990">BWG10</f>
        <v>0</v>
      </c>
      <c r="CXJ10">
        <f t="shared" ref="CXJ10:CXJ29" si="1991">BWH10</f>
        <v>0</v>
      </c>
      <c r="CXK10">
        <f t="shared" ref="CXK10:CXK29" si="1992">BWI10</f>
        <v>0</v>
      </c>
      <c r="CXL10">
        <f t="shared" ref="CXL10:CXL29" si="1993">BWJ10</f>
        <v>12.5</v>
      </c>
      <c r="CXM10">
        <f t="shared" ref="CXM10:CXM29" si="1994">BWK10</f>
        <v>12.5</v>
      </c>
      <c r="CXN10">
        <f t="shared" ref="CXN10:CXN29" si="1995">BWL10</f>
        <v>12.5</v>
      </c>
      <c r="CXO10">
        <f t="shared" ref="CXO10:CXO29" si="1996">BWM10</f>
        <v>33.125</v>
      </c>
      <c r="CXP10">
        <f t="shared" ref="CXP10:CXP29" si="1997">BWN10</f>
        <v>33.125</v>
      </c>
      <c r="CXQ10">
        <f t="shared" ref="CXQ10:CXQ29" si="1998">BWO10</f>
        <v>23.125</v>
      </c>
      <c r="CXR10">
        <f t="shared" ref="CXR10:CXR29" si="1999">BWP10</f>
        <v>33.125</v>
      </c>
      <c r="CXS10">
        <f t="shared" ref="CXS10:CXS29" si="2000">BWQ10</f>
        <v>15</v>
      </c>
      <c r="CXT10">
        <f t="shared" ref="CXT10:CXT29" si="2001">BWR10</f>
        <v>15</v>
      </c>
      <c r="CXU10">
        <f t="shared" ref="CXU10:CXU29" si="2002">BWS10</f>
        <v>56.25</v>
      </c>
      <c r="CXV10">
        <f t="shared" ref="CXV10:CXV29" si="2003">BWT10</f>
        <v>25</v>
      </c>
      <c r="CXW10">
        <f t="shared" ref="CXW10:CXW29" si="2004">BWU10</f>
        <v>0</v>
      </c>
      <c r="CXX10">
        <f t="shared" ref="CXX10:CXX29" si="2005">BWV10</f>
        <v>0</v>
      </c>
      <c r="CXY10">
        <f t="shared" ref="CXY10:CXY29" si="2006">BWW10</f>
        <v>0</v>
      </c>
      <c r="CXZ10">
        <f t="shared" ref="CXZ10:CXZ29" si="2007">BWX10</f>
        <v>0</v>
      </c>
      <c r="CYA10">
        <f t="shared" ref="CYA10:CYA29" si="2008">BWY10</f>
        <v>0</v>
      </c>
      <c r="CYB10">
        <f t="shared" ref="CYB10:CYB29" si="2009">BWZ10</f>
        <v>0</v>
      </c>
      <c r="CYC10">
        <f t="shared" ref="CYC10:CYC29" si="2010">BXA10</f>
        <v>0</v>
      </c>
      <c r="CYD10">
        <f t="shared" ref="CYD10:CYD29" si="2011">BXB10</f>
        <v>0</v>
      </c>
      <c r="CYE10">
        <f t="shared" ref="CYE10:CYE29" si="2012">BXC10</f>
        <v>0</v>
      </c>
      <c r="CYF10">
        <f t="shared" ref="CYF10:CYF29" si="2013">BXD10</f>
        <v>0</v>
      </c>
      <c r="CYG10">
        <f t="shared" ref="CYG10:CYG29" si="2014">BXE10</f>
        <v>0</v>
      </c>
      <c r="CYH10">
        <f t="shared" ref="CYH10:CYH29" si="2015">BXF10</f>
        <v>12.5</v>
      </c>
      <c r="CYI10">
        <f t="shared" ref="CYI10:CYI29" si="2016">BXG10</f>
        <v>12.5</v>
      </c>
      <c r="CYJ10">
        <f t="shared" ref="CYJ10:CYJ29" si="2017">BXH10</f>
        <v>12.5</v>
      </c>
      <c r="CYK10">
        <f t="shared" ref="CYK10:CYK29" si="2018">BXI10</f>
        <v>33.125</v>
      </c>
      <c r="CYL10">
        <f t="shared" si="64"/>
        <v>23.125</v>
      </c>
      <c r="CYM10">
        <f t="shared" ref="CYM10:CYM29" si="2019">BXK10</f>
        <v>23.125</v>
      </c>
      <c r="CYN10">
        <f t="shared" ref="CYN10:CYN29" si="2020">BXL10</f>
        <v>23.125</v>
      </c>
      <c r="CYO10">
        <f t="shared" ref="CYO10:CYO29" si="2021">BXM10</f>
        <v>35</v>
      </c>
      <c r="CYP10">
        <f t="shared" ref="CYP10:CYP29" si="2022">BXN10</f>
        <v>15</v>
      </c>
      <c r="CYQ10">
        <f t="shared" ref="CYQ10:CYQ29" si="2023">BXO10</f>
        <v>56.25</v>
      </c>
      <c r="CYR10">
        <f t="shared" ref="CYR10:CYR29" si="2024">BXP10</f>
        <v>25</v>
      </c>
      <c r="CYS10">
        <f t="shared" ref="CYS10:CYS29" si="2025">BXQ10</f>
        <v>0</v>
      </c>
      <c r="CYT10">
        <f t="shared" ref="CYT10:CYT29" si="2026">BXR10</f>
        <v>0</v>
      </c>
      <c r="CYU10">
        <f t="shared" ref="CYU10:CYU29" si="2027">BXS10</f>
        <v>0</v>
      </c>
      <c r="CYV10">
        <f t="shared" ref="CYV10:CYV29" si="2028">BXT10</f>
        <v>0</v>
      </c>
      <c r="CYW10">
        <f t="shared" ref="CYW10:CYW29" si="2029">BXU10</f>
        <v>0</v>
      </c>
      <c r="CYX10">
        <f t="shared" ref="CYX10:CYX29" si="2030">BXV10</f>
        <v>0</v>
      </c>
      <c r="CYY10">
        <f t="shared" ref="CYY10:CYY29" si="2031">BXW10</f>
        <v>0</v>
      </c>
      <c r="CYZ10">
        <f t="shared" ref="CYZ10:CYZ29" si="2032">BXX10</f>
        <v>0</v>
      </c>
      <c r="CZA10">
        <f t="shared" ref="CZA10:CZA29" si="2033">BXY10</f>
        <v>0</v>
      </c>
      <c r="CZB10">
        <f t="shared" ref="CZB10:CZB29" si="2034">BXZ10</f>
        <v>0</v>
      </c>
      <c r="CZC10">
        <f t="shared" ref="CZC10:CZC29" si="2035">BYA10</f>
        <v>0</v>
      </c>
      <c r="CZD10">
        <f t="shared" ref="CZD10:CZD29" si="2036">BYB10</f>
        <v>12.5</v>
      </c>
      <c r="CZE10">
        <f t="shared" ref="CZE10:CZE29" si="2037">BYC10</f>
        <v>12.5</v>
      </c>
      <c r="CZF10">
        <f t="shared" ref="CZF10:CZF29" si="2038">BYD10</f>
        <v>12.5</v>
      </c>
      <c r="CZG10">
        <f t="shared" ref="CZG10:CZG29" si="2039">BYE10</f>
        <v>33.125</v>
      </c>
      <c r="CZH10">
        <f t="shared" ref="CZH10:CZH29" si="2040">BYF10</f>
        <v>23.125</v>
      </c>
      <c r="CZI10">
        <f t="shared" ref="CZI10:CZI29" si="2041">BYG10</f>
        <v>23.125</v>
      </c>
      <c r="CZJ10">
        <f t="shared" ref="CZJ10:CZJ29" si="2042">BYH10</f>
        <v>23.125</v>
      </c>
      <c r="CZK10">
        <f t="shared" ref="CZK10:CZK29" si="2043">BYI10</f>
        <v>15</v>
      </c>
      <c r="CZL10">
        <f t="shared" ref="CZL10:CZL29" si="2044">BYJ10</f>
        <v>15</v>
      </c>
      <c r="CZM10">
        <f t="shared" ref="CZM10:CZM29" si="2045">BYK10</f>
        <v>56.25</v>
      </c>
      <c r="CZN10">
        <f t="shared" ref="CZN10:CZN29" si="2046">BYL10</f>
        <v>25</v>
      </c>
      <c r="CZO10">
        <f t="shared" ref="CZO10:CZO29" si="2047">BYM10</f>
        <v>0</v>
      </c>
      <c r="CZP10">
        <f t="shared" ref="CZP10:CZP29" si="2048">BYN10</f>
        <v>0</v>
      </c>
      <c r="CZQ10">
        <f t="shared" ref="CZQ10:CZQ29" si="2049">BYO10</f>
        <v>0</v>
      </c>
      <c r="CZR10">
        <f t="shared" ref="CZR10:CZR29" si="2050">BYP10</f>
        <v>0</v>
      </c>
      <c r="CZS10">
        <f t="shared" ref="CZS10:CZS29" si="2051">BYQ10</f>
        <v>0</v>
      </c>
      <c r="CZT10">
        <f t="shared" ref="CZT10:CZT29" si="2052">BYR10</f>
        <v>0</v>
      </c>
      <c r="CZU10">
        <f t="shared" ref="CZU10:CZU29" si="2053">BYS10</f>
        <v>0</v>
      </c>
      <c r="CZV10">
        <f t="shared" ref="CZV10:CZV29" si="2054">BYT10</f>
        <v>0</v>
      </c>
      <c r="CZW10">
        <f t="shared" ref="CZW10:CZW29" si="2055">BYU10</f>
        <v>0</v>
      </c>
      <c r="CZX10">
        <f t="shared" ref="CZX10:CZX29" si="2056">BYV10</f>
        <v>0</v>
      </c>
      <c r="CZY10">
        <f t="shared" ref="CZY10:CZY29" si="2057">BYW10</f>
        <v>0</v>
      </c>
      <c r="CZZ10">
        <f t="shared" ref="CZZ10:CZZ29" si="2058">BYX10</f>
        <v>12.5</v>
      </c>
      <c r="DAA10">
        <f t="shared" ref="DAA10:DAA29" si="2059">BYY10</f>
        <v>12.5</v>
      </c>
      <c r="DAB10">
        <f t="shared" ref="DAB10:DAB29" si="2060">BYZ10</f>
        <v>12.5</v>
      </c>
      <c r="DAC10">
        <f t="shared" ref="DAC10:DAC29" si="2061">BZA10</f>
        <v>23.125</v>
      </c>
      <c r="DAD10">
        <f t="shared" ref="DAD10:DAD29" si="2062">BZB10</f>
        <v>33.125</v>
      </c>
      <c r="DAE10">
        <f t="shared" ref="DAE10:DAE29" si="2063">BZC10</f>
        <v>23.125</v>
      </c>
      <c r="DAF10">
        <f t="shared" ref="DAF10:DAF29" si="2064">BZD10</f>
        <v>33.125</v>
      </c>
      <c r="DAG10">
        <f t="shared" ref="DAG10:DAG29" si="2065">BZE10</f>
        <v>35</v>
      </c>
      <c r="DAH10">
        <f t="shared" ref="DAH10:DAH29" si="2066">BZF10</f>
        <v>15</v>
      </c>
      <c r="DAI10">
        <f t="shared" ref="DAI10:DAI29" si="2067">BZG10</f>
        <v>56.25</v>
      </c>
      <c r="DAJ10">
        <f t="shared" ref="DAJ10:DAJ29" si="2068">BZH10</f>
        <v>25</v>
      </c>
      <c r="DAK10">
        <f t="shared" ref="DAK10:DAK29" si="2069">BZI10</f>
        <v>0</v>
      </c>
      <c r="DAL10">
        <f t="shared" ref="DAL10:DAL29" si="2070">BZJ10</f>
        <v>0</v>
      </c>
      <c r="DAM10">
        <f t="shared" ref="DAM10:DAM29" si="2071">BZK10</f>
        <v>0</v>
      </c>
      <c r="DAN10">
        <f t="shared" ref="DAN10:DAN29" si="2072">BZL10</f>
        <v>0</v>
      </c>
      <c r="DAO10">
        <f t="shared" ref="DAO10:DAO29" si="2073">BZM10</f>
        <v>0</v>
      </c>
      <c r="DAP10">
        <f t="shared" ref="DAP10:DAP29" si="2074">BZN10</f>
        <v>0</v>
      </c>
      <c r="DAQ10">
        <f t="shared" ref="DAQ10:DAQ29" si="2075">BZO10</f>
        <v>0</v>
      </c>
      <c r="DAR10">
        <f t="shared" ref="DAR10:DAR29" si="2076">BZP10</f>
        <v>0</v>
      </c>
      <c r="DAS10">
        <f t="shared" ref="DAS10:DAS29" si="2077">BZQ10</f>
        <v>0</v>
      </c>
      <c r="DAT10">
        <f t="shared" ref="DAT10:DAT29" si="2078">BZR10</f>
        <v>0</v>
      </c>
      <c r="DAU10">
        <f t="shared" ref="DAU10:DAU29" si="2079">BZS10</f>
        <v>0</v>
      </c>
      <c r="DAV10">
        <f t="shared" ref="DAV10:DAV29" si="2080">BZT10</f>
        <v>12.5</v>
      </c>
      <c r="DAW10">
        <f t="shared" ref="DAW10:DAW29" si="2081">BZU10</f>
        <v>12.5</v>
      </c>
      <c r="DAX10">
        <f t="shared" si="65"/>
        <v>12.5</v>
      </c>
      <c r="DAY10">
        <f t="shared" si="32"/>
        <v>23.125</v>
      </c>
      <c r="DAZ10">
        <f t="shared" si="32"/>
        <v>33.125</v>
      </c>
      <c r="DBA10">
        <f t="shared" si="32"/>
        <v>23.125</v>
      </c>
      <c r="DBB10">
        <f t="shared" ref="DBB10:DBB29" si="2082">BZZ10</f>
        <v>33.125</v>
      </c>
      <c r="DBC10">
        <f t="shared" ref="DBC10:DBC29" si="2083">CAA10</f>
        <v>15</v>
      </c>
      <c r="DBD10">
        <f t="shared" ref="DBD10:DBD29" si="2084">CAB10</f>
        <v>15</v>
      </c>
      <c r="DBE10">
        <f t="shared" ref="DBE10:DBE29" si="2085">CAC10</f>
        <v>56.25</v>
      </c>
      <c r="DBF10">
        <f t="shared" ref="DBF10:DBF29" si="2086">CAD10</f>
        <v>25</v>
      </c>
      <c r="DBG10">
        <f t="shared" ref="DBG10:DBG29" si="2087">CAE10</f>
        <v>0</v>
      </c>
      <c r="DBH10">
        <f t="shared" ref="DBH10:DBH29" si="2088">CAF10</f>
        <v>0</v>
      </c>
      <c r="DBI10">
        <f t="shared" ref="DBI10:DBI29" si="2089">CAG10</f>
        <v>0</v>
      </c>
      <c r="DBJ10">
        <f t="shared" ref="DBJ10:DBJ29" si="2090">CAH10</f>
        <v>0</v>
      </c>
      <c r="DBK10">
        <f t="shared" ref="DBK10:DBK29" si="2091">CAI10</f>
        <v>0</v>
      </c>
      <c r="DBL10">
        <f t="shared" ref="DBL10:DBL29" si="2092">CAJ10</f>
        <v>0</v>
      </c>
      <c r="DBM10">
        <f t="shared" ref="DBM10:DBM29" si="2093">CAK10</f>
        <v>0</v>
      </c>
      <c r="DBN10">
        <f t="shared" ref="DBN10:DBN29" si="2094">CAL10</f>
        <v>0</v>
      </c>
      <c r="DBO10">
        <f t="shared" ref="DBO10:DBO29" si="2095">CAM10</f>
        <v>0</v>
      </c>
      <c r="DBP10">
        <f t="shared" ref="DBP10:DBP29" si="2096">CAN10</f>
        <v>0</v>
      </c>
      <c r="DBQ10">
        <f t="shared" ref="DBQ10:DBQ29" si="2097">CAO10</f>
        <v>0</v>
      </c>
      <c r="DBR10">
        <f t="shared" ref="DBR10:DBR29" si="2098">CAP10</f>
        <v>12.5</v>
      </c>
      <c r="DBS10">
        <f t="shared" ref="DBS10:DBS29" si="2099">CAQ10</f>
        <v>12.5</v>
      </c>
      <c r="DBT10">
        <f t="shared" ref="DBT10:DBT29" si="2100">CAR10</f>
        <v>12.5</v>
      </c>
      <c r="DBU10">
        <f t="shared" ref="DBU10:DBU29" si="2101">CAS10</f>
        <v>23.125</v>
      </c>
      <c r="DBV10">
        <f t="shared" ref="DBV10:DBV29" si="2102">CAT10</f>
        <v>23.125</v>
      </c>
      <c r="DBW10">
        <f t="shared" ref="DBW10:DBW29" si="2103">CAU10</f>
        <v>23.125</v>
      </c>
      <c r="DBX10">
        <f t="shared" ref="DBX10:DBX29" si="2104">CAV10</f>
        <v>23.125</v>
      </c>
      <c r="DBY10">
        <f t="shared" ref="DBY10:DBY29" si="2105">CAW10</f>
        <v>35</v>
      </c>
      <c r="DBZ10">
        <f t="shared" ref="DBZ10:DBZ29" si="2106">CAX10</f>
        <v>15</v>
      </c>
      <c r="DCA10">
        <f t="shared" ref="DCA10:DCA29" si="2107">CAY10</f>
        <v>56.25</v>
      </c>
      <c r="DCB10">
        <f t="shared" ref="DCB10:DCB29" si="2108">CAZ10</f>
        <v>25</v>
      </c>
      <c r="DCC10">
        <f t="shared" ref="DCC10:DCC29" si="2109">CBA10</f>
        <v>0</v>
      </c>
      <c r="DCD10">
        <f t="shared" ref="DCD10:DCD29" si="2110">CBB10</f>
        <v>0</v>
      </c>
      <c r="DCE10">
        <f t="shared" ref="DCE10:DCE29" si="2111">CBC10</f>
        <v>0</v>
      </c>
      <c r="DCF10">
        <f t="shared" ref="DCF10:DCF29" si="2112">CBD10</f>
        <v>0</v>
      </c>
      <c r="DCG10">
        <f t="shared" ref="DCG10:DCG29" si="2113">CBE10</f>
        <v>0</v>
      </c>
      <c r="DCH10">
        <f t="shared" ref="DCH10:DCH29" si="2114">CBF10</f>
        <v>0</v>
      </c>
      <c r="DCI10">
        <f t="shared" ref="DCI10:DCI29" si="2115">CBG10</f>
        <v>0</v>
      </c>
      <c r="DCJ10">
        <f t="shared" ref="DCJ10:DCJ29" si="2116">CBH10</f>
        <v>0</v>
      </c>
      <c r="DCK10">
        <f t="shared" ref="DCK10:DCK29" si="2117">CBI10</f>
        <v>0</v>
      </c>
      <c r="DCL10">
        <f t="shared" ref="DCL10:DCL29" si="2118">CBJ10</f>
        <v>0</v>
      </c>
      <c r="DCM10">
        <f t="shared" ref="DCM10:DCM29" si="2119">CBK10</f>
        <v>0</v>
      </c>
      <c r="DCN10">
        <f t="shared" ref="DCN10:DCN29" si="2120">CBL10</f>
        <v>12.5</v>
      </c>
      <c r="DCO10">
        <f t="shared" ref="DCO10:DCO29" si="2121">CBM10</f>
        <v>12.5</v>
      </c>
      <c r="DCP10">
        <f t="shared" ref="DCP10:DCP29" si="2122">CBN10</f>
        <v>12.5</v>
      </c>
      <c r="DCQ10">
        <f t="shared" ref="DCQ10:DCQ29" si="2123">CBO10</f>
        <v>23.125</v>
      </c>
      <c r="DCR10">
        <f t="shared" ref="DCR10:DCR29" si="2124">CBP10</f>
        <v>23.125</v>
      </c>
      <c r="DCS10">
        <f t="shared" ref="DCS10:DCS29" si="2125">CBQ10</f>
        <v>23.125</v>
      </c>
      <c r="DCT10">
        <f t="shared" ref="DCT10:DCT29" si="2126">CBR10</f>
        <v>23.125</v>
      </c>
      <c r="DCU10">
        <f t="shared" ref="DCU10:DCU29" si="2127">CBS10</f>
        <v>15</v>
      </c>
      <c r="DCV10">
        <f t="shared" ref="DCV10:DCV29" si="2128">CBT10</f>
        <v>15</v>
      </c>
      <c r="DCW10">
        <f t="shared" ref="DCW10:DCW29" si="2129">CBU10</f>
        <v>56.25</v>
      </c>
      <c r="DCX10">
        <f t="shared" ref="DCX10:DCX29" si="2130">CBV10</f>
        <v>25</v>
      </c>
      <c r="DCY10">
        <f t="shared" ref="DCY10:DCY29" si="2131">CBW10</f>
        <v>0</v>
      </c>
      <c r="DCZ10">
        <f t="shared" ref="DCZ10:DCZ29" si="2132">CBX10</f>
        <v>0</v>
      </c>
      <c r="DDA10">
        <f t="shared" ref="DDA10:DDA29" si="2133">CBY10</f>
        <v>0</v>
      </c>
      <c r="DDB10">
        <f t="shared" ref="DDB10:DDB29" si="2134">CBZ10</f>
        <v>0</v>
      </c>
      <c r="DDC10">
        <f t="shared" ref="DDC10:DDC29" si="2135">CCA10</f>
        <v>0</v>
      </c>
      <c r="DDD10">
        <f t="shared" ref="DDD10:DDD29" si="2136">CCB10</f>
        <v>0</v>
      </c>
      <c r="DDE10">
        <f t="shared" ref="DDE10:DDE29" si="2137">CCC10</f>
        <v>0</v>
      </c>
      <c r="DDF10">
        <f t="shared" ref="DDF10:DDF29" si="2138">CCD10</f>
        <v>0</v>
      </c>
      <c r="DDG10">
        <f t="shared" ref="DDG10:DDG29" si="2139">CCE10</f>
        <v>0</v>
      </c>
      <c r="DDH10">
        <f t="shared" ref="DDH10:DDH29" si="2140">CCF10</f>
        <v>0</v>
      </c>
      <c r="DDI10">
        <f t="shared" ref="DDI10:DDI29" si="2141">CCG10</f>
        <v>0</v>
      </c>
    </row>
    <row r="11" spans="1:2839" x14ac:dyDescent="0.2">
      <c r="A11" s="1">
        <v>5</v>
      </c>
      <c r="B11">
        <f>'Demand Stage 2'!B10</f>
        <v>12.5</v>
      </c>
      <c r="C11">
        <f>'Demand Stage 2'!C10</f>
        <v>12.5</v>
      </c>
      <c r="D11">
        <f>'Demand Stage 2'!D10</f>
        <v>12.5</v>
      </c>
      <c r="E11">
        <f>'Demand Stage 2'!E10</f>
        <v>25</v>
      </c>
      <c r="F11">
        <f>'Demand Stage 2'!F10</f>
        <v>25</v>
      </c>
      <c r="G11">
        <f>'Demand Stage 2'!G10</f>
        <v>25</v>
      </c>
      <c r="H11">
        <f>'Demand Stage 2'!H10</f>
        <v>25</v>
      </c>
      <c r="I11">
        <f>'Demand Stage 2'!I10</f>
        <v>25</v>
      </c>
      <c r="J11">
        <f>'Demand Stage 2'!J10</f>
        <v>25</v>
      </c>
      <c r="K11">
        <f>'Demand Stage 2'!K10</f>
        <v>43.75</v>
      </c>
      <c r="L11">
        <f>'Demand Stage 2'!L10</f>
        <v>25</v>
      </c>
      <c r="M11">
        <f>'Demand Stage 2'!M10</f>
        <v>0</v>
      </c>
      <c r="N11">
        <f>'Demand Stage 2'!N10</f>
        <v>0</v>
      </c>
      <c r="O11">
        <f>'Demand Stage 2'!O10</f>
        <v>0</v>
      </c>
      <c r="P11">
        <f>'Demand Stage 2'!P10</f>
        <v>0</v>
      </c>
      <c r="Q11">
        <f>'Demand Stage 2'!Q10</f>
        <v>0</v>
      </c>
      <c r="R11">
        <f>'Demand Stage 2'!R10</f>
        <v>0</v>
      </c>
      <c r="S11">
        <f>'Demand Stage 2'!S10</f>
        <v>0</v>
      </c>
      <c r="T11">
        <f>'Demand Stage 2'!T10</f>
        <v>0</v>
      </c>
      <c r="U11">
        <f>'Demand Stage 2'!U10</f>
        <v>0</v>
      </c>
      <c r="V11">
        <f>'Demand Stage 2'!V10</f>
        <v>0</v>
      </c>
      <c r="W11">
        <f>'Demand Stage 2'!W10</f>
        <v>0</v>
      </c>
      <c r="X11">
        <f>'Demand Stage 2'!X10</f>
        <v>12.5</v>
      </c>
      <c r="Y11">
        <f>'Demand Stage 2'!Y10</f>
        <v>12.5</v>
      </c>
      <c r="Z11">
        <f>'Demand Stage 2'!Z10</f>
        <v>12.5</v>
      </c>
      <c r="AA11">
        <f>'Demand Stage 2'!AA10</f>
        <v>25</v>
      </c>
      <c r="AB11">
        <f>'Demand Stage 2'!AB10</f>
        <v>25</v>
      </c>
      <c r="AC11">
        <f>'Demand Stage 2'!AC10</f>
        <v>25</v>
      </c>
      <c r="AD11">
        <f>'Demand Stage 2'!AD10</f>
        <v>25</v>
      </c>
      <c r="AE11">
        <f>'Demand Stage 2'!AE10</f>
        <v>25</v>
      </c>
      <c r="AF11">
        <f>'Demand Stage 2'!AF10</f>
        <v>25</v>
      </c>
      <c r="AG11">
        <f>'Demand Stage 2'!AG10</f>
        <v>43.75</v>
      </c>
      <c r="AH11">
        <f>'Demand Stage 2'!AH10</f>
        <v>25</v>
      </c>
      <c r="AI11">
        <f>'Demand Stage 2'!AI10</f>
        <v>0</v>
      </c>
      <c r="AJ11">
        <f>'Demand Stage 2'!AJ10</f>
        <v>0</v>
      </c>
      <c r="AK11">
        <f>'Demand Stage 2'!AK10</f>
        <v>0</v>
      </c>
      <c r="AL11">
        <f>'Demand Stage 2'!AL10</f>
        <v>0</v>
      </c>
      <c r="AM11">
        <f>'Demand Stage 2'!AM10</f>
        <v>0</v>
      </c>
      <c r="AN11">
        <f>'Demand Stage 2'!AN10</f>
        <v>0</v>
      </c>
      <c r="AO11">
        <f>'Demand Stage 2'!AO10</f>
        <v>0</v>
      </c>
      <c r="AP11">
        <f>'Demand Stage 2'!AP10</f>
        <v>0</v>
      </c>
      <c r="AQ11">
        <f>'Demand Stage 2'!AQ10</f>
        <v>0</v>
      </c>
      <c r="AR11">
        <f>'Demand Stage 2'!AR10</f>
        <v>0</v>
      </c>
      <c r="AS11">
        <f>'Demand Stage 2'!AS10</f>
        <v>0</v>
      </c>
      <c r="AT11">
        <f>'Demand Stage 2'!AT10</f>
        <v>12.5</v>
      </c>
      <c r="AU11">
        <f>'Demand Stage 2'!AU10</f>
        <v>12.5</v>
      </c>
      <c r="AV11">
        <f>'Demand Stage 2'!AV10</f>
        <v>12.5</v>
      </c>
      <c r="AW11">
        <f>'Demand Stage 2'!AW10</f>
        <v>25</v>
      </c>
      <c r="AX11">
        <f>'Demand Stage 2'!AX10</f>
        <v>25</v>
      </c>
      <c r="AY11">
        <f>'Demand Stage 2'!AY10</f>
        <v>25</v>
      </c>
      <c r="AZ11">
        <f>'Demand Stage 2'!AZ10</f>
        <v>25</v>
      </c>
      <c r="BA11">
        <f>'Demand Stage 2'!BA10</f>
        <v>25</v>
      </c>
      <c r="BB11">
        <f>'Demand Stage 2'!BB10</f>
        <v>25</v>
      </c>
      <c r="BC11">
        <f>'Demand Stage 2'!BC10</f>
        <v>43.75</v>
      </c>
      <c r="BD11">
        <f>'Demand Stage 2'!BD10</f>
        <v>25</v>
      </c>
      <c r="BE11">
        <f>'Demand Stage 2'!BE10</f>
        <v>0</v>
      </c>
      <c r="BF11">
        <f>'Demand Stage 2'!BF10</f>
        <v>0</v>
      </c>
      <c r="BG11">
        <f>'Demand Stage 2'!BG10</f>
        <v>0</v>
      </c>
      <c r="BH11">
        <f>'Demand Stage 2'!BH10</f>
        <v>0</v>
      </c>
      <c r="BI11">
        <f>'Demand Stage 2'!BI10</f>
        <v>0</v>
      </c>
      <c r="BJ11">
        <f>'Demand Stage 2'!BJ10</f>
        <v>0</v>
      </c>
      <c r="BK11">
        <f>'Demand Stage 2'!BK10</f>
        <v>0</v>
      </c>
      <c r="BL11">
        <f>'Demand Stage 2'!BL10</f>
        <v>0</v>
      </c>
      <c r="BM11">
        <f>'Demand Stage 2'!BM10</f>
        <v>0</v>
      </c>
      <c r="BN11">
        <f>'Demand Stage 2'!BN10</f>
        <v>0</v>
      </c>
      <c r="BO11">
        <f>'Demand Stage 2'!BO10</f>
        <v>0</v>
      </c>
      <c r="BP11">
        <f>'Demand Stage 2'!BP10</f>
        <v>12.5</v>
      </c>
      <c r="BQ11">
        <f>'Demand Stage 2'!BQ10</f>
        <v>12.5</v>
      </c>
      <c r="BR11">
        <f>'Demand Stage 2'!BR10</f>
        <v>12.5</v>
      </c>
      <c r="BS11">
        <f>'Demand Stage 2'!BS10</f>
        <v>25</v>
      </c>
      <c r="BT11">
        <f>'Demand Stage 2'!BT10</f>
        <v>25</v>
      </c>
      <c r="BU11">
        <f>'Demand Stage 2'!BU10</f>
        <v>25</v>
      </c>
      <c r="BV11">
        <f>'Demand Stage 2'!BV10</f>
        <v>25</v>
      </c>
      <c r="BW11">
        <f>'Demand Stage 2'!BW10</f>
        <v>25</v>
      </c>
      <c r="BX11">
        <f>'Demand Stage 2'!BX10</f>
        <v>25</v>
      </c>
      <c r="BY11">
        <f>'Demand Stage 2'!BY10</f>
        <v>43.75</v>
      </c>
      <c r="BZ11">
        <f>'Demand Stage 2'!BZ10</f>
        <v>25</v>
      </c>
      <c r="CA11">
        <f>'Demand Stage 2'!CA10</f>
        <v>0</v>
      </c>
      <c r="CB11">
        <f>'Demand Stage 2'!CB10</f>
        <v>0</v>
      </c>
      <c r="CC11">
        <f>'Demand Stage 2'!CC10</f>
        <v>0</v>
      </c>
      <c r="CD11">
        <f>'Demand Stage 2'!CD10</f>
        <v>0</v>
      </c>
      <c r="CE11">
        <f>'Demand Stage 2'!CE10</f>
        <v>0</v>
      </c>
      <c r="CF11">
        <f>'Demand Stage 2'!CF10</f>
        <v>0</v>
      </c>
      <c r="CG11">
        <f>'Demand Stage 2'!CG10</f>
        <v>0</v>
      </c>
      <c r="CH11">
        <f>'Demand Stage 2'!CH10</f>
        <v>0</v>
      </c>
      <c r="CI11">
        <f>'Demand Stage 2'!CI10</f>
        <v>0</v>
      </c>
      <c r="CJ11">
        <f>'Demand Stage 2'!CJ10</f>
        <v>0</v>
      </c>
      <c r="CK11">
        <f>'Demand Stage 2'!CK10</f>
        <v>0</v>
      </c>
      <c r="CL11">
        <f>'Demand Stage 2'!CL10</f>
        <v>12.5</v>
      </c>
      <c r="CM11">
        <f>'Demand Stage 2'!CM10</f>
        <v>12.5</v>
      </c>
      <c r="CN11">
        <f>'Demand Stage 2'!CN10</f>
        <v>12.5</v>
      </c>
      <c r="CO11">
        <f>'Demand Stage 2'!CO10</f>
        <v>25</v>
      </c>
      <c r="CP11">
        <f>'Demand Stage 2'!CP10</f>
        <v>25</v>
      </c>
      <c r="CQ11">
        <f>'Demand Stage 2'!CQ10</f>
        <v>25</v>
      </c>
      <c r="CR11">
        <f>'Demand Stage 2'!CR10</f>
        <v>25</v>
      </c>
      <c r="CS11">
        <f>'Demand Stage 2'!CS10</f>
        <v>25</v>
      </c>
      <c r="CT11">
        <f>'Demand Stage 2'!CT10</f>
        <v>25</v>
      </c>
      <c r="CU11">
        <f>'Demand Stage 2'!CU10</f>
        <v>43.75</v>
      </c>
      <c r="CV11">
        <f>'Demand Stage 2'!CV10</f>
        <v>25</v>
      </c>
      <c r="CW11">
        <f>'Demand Stage 2'!CW10</f>
        <v>0</v>
      </c>
      <c r="CX11">
        <f>'Demand Stage 2'!CX10</f>
        <v>0</v>
      </c>
      <c r="CY11">
        <f>'Demand Stage 2'!CY10</f>
        <v>0</v>
      </c>
      <c r="CZ11">
        <f>'Demand Stage 2'!CZ10</f>
        <v>0</v>
      </c>
      <c r="DA11">
        <f>'Demand Stage 2'!DA10</f>
        <v>0</v>
      </c>
      <c r="DB11">
        <f>'Demand Stage 2'!DB10</f>
        <v>0</v>
      </c>
      <c r="DC11">
        <f>'Demand Stage 2'!DC10</f>
        <v>0</v>
      </c>
      <c r="DD11">
        <f>'Demand Stage 2'!DD10</f>
        <v>0</v>
      </c>
      <c r="DE11">
        <f>'Demand Stage 2'!DE10</f>
        <v>0</v>
      </c>
      <c r="DF11">
        <f>'Demand Stage 2'!DF10</f>
        <v>0</v>
      </c>
      <c r="DG11">
        <f>'Demand Stage 2'!DG10</f>
        <v>0</v>
      </c>
      <c r="DH11">
        <f>'Demand Stage 2'!DH10</f>
        <v>12.5</v>
      </c>
      <c r="DI11">
        <f>'Demand Stage 2'!DI10</f>
        <v>12.5</v>
      </c>
      <c r="DJ11">
        <f>'Demand Stage 2'!DJ10</f>
        <v>12.5</v>
      </c>
      <c r="DK11">
        <f>'Demand Stage 2'!DK10</f>
        <v>25</v>
      </c>
      <c r="DL11">
        <f>'Demand Stage 2'!DL10</f>
        <v>25</v>
      </c>
      <c r="DM11">
        <f>'Demand Stage 2'!DM10</f>
        <v>25</v>
      </c>
      <c r="DN11">
        <f>'Demand Stage 2'!DN10</f>
        <v>25</v>
      </c>
      <c r="DO11">
        <f>'Demand Stage 2'!DO10</f>
        <v>25</v>
      </c>
      <c r="DP11">
        <f>'Demand Stage 2'!DP10</f>
        <v>25</v>
      </c>
      <c r="DQ11">
        <f>'Demand Stage 2'!DQ10</f>
        <v>43.75</v>
      </c>
      <c r="DR11">
        <f>'Demand Stage 2'!DR10</f>
        <v>25</v>
      </c>
      <c r="DS11">
        <f>'Demand Stage 2'!DS10</f>
        <v>0</v>
      </c>
      <c r="DT11">
        <f>'Demand Stage 2'!DT10</f>
        <v>0</v>
      </c>
      <c r="DU11">
        <f>'Demand Stage 2'!DU10</f>
        <v>0</v>
      </c>
      <c r="DV11">
        <f>'Demand Stage 2'!DV10</f>
        <v>0</v>
      </c>
      <c r="DW11">
        <f>'Demand Stage 2'!DW10</f>
        <v>0</v>
      </c>
      <c r="DX11">
        <f>'Demand Stage 2'!DX10</f>
        <v>0</v>
      </c>
      <c r="DY11">
        <f>'Demand Stage 2'!DY10</f>
        <v>0</v>
      </c>
      <c r="DZ11">
        <f>'Demand Stage 2'!DZ10</f>
        <v>0</v>
      </c>
      <c r="EA11">
        <f>'Demand Stage 2'!EA10</f>
        <v>0</v>
      </c>
      <c r="EB11">
        <f>'Demand Stage 2'!EB10</f>
        <v>0</v>
      </c>
      <c r="EC11">
        <f>'Demand Stage 2'!EC10</f>
        <v>0</v>
      </c>
      <c r="ED11">
        <f>'Demand Stage 2'!ED10</f>
        <v>12.5</v>
      </c>
      <c r="EE11">
        <f>'Demand Stage 2'!EE10</f>
        <v>12.5</v>
      </c>
      <c r="EF11">
        <f>'Demand Stage 2'!EF10</f>
        <v>12.5</v>
      </c>
      <c r="EG11">
        <f>'Demand Stage 2'!EG10</f>
        <v>25</v>
      </c>
      <c r="EH11">
        <f>'Demand Stage 2'!EH10</f>
        <v>25</v>
      </c>
      <c r="EI11">
        <f>'Demand Stage 2'!EI10</f>
        <v>25</v>
      </c>
      <c r="EJ11">
        <f>'Demand Stage 2'!EJ10</f>
        <v>25</v>
      </c>
      <c r="EK11">
        <f>'Demand Stage 2'!EK10</f>
        <v>25</v>
      </c>
      <c r="EL11">
        <f>'Demand Stage 2'!EL10</f>
        <v>25</v>
      </c>
      <c r="EM11">
        <f>'Demand Stage 2'!EM10</f>
        <v>43.75</v>
      </c>
      <c r="EN11">
        <f>'Demand Stage 2'!EN10</f>
        <v>25</v>
      </c>
      <c r="EO11">
        <f>'Demand Stage 2'!EO10</f>
        <v>0</v>
      </c>
      <c r="EP11">
        <f>'Demand Stage 2'!EP10</f>
        <v>0</v>
      </c>
      <c r="EQ11">
        <f>'Demand Stage 2'!EQ10</f>
        <v>0</v>
      </c>
      <c r="ER11">
        <f>'Demand Stage 2'!ER10</f>
        <v>0</v>
      </c>
      <c r="ES11">
        <f>'Demand Stage 2'!ES10</f>
        <v>0</v>
      </c>
      <c r="ET11">
        <f>'Demand Stage 2'!ET10</f>
        <v>0</v>
      </c>
      <c r="EU11">
        <f>'Demand Stage 2'!EU10</f>
        <v>0</v>
      </c>
      <c r="EV11">
        <f>'Demand Stage 2'!EV10</f>
        <v>0</v>
      </c>
      <c r="EW11">
        <f>'Demand Stage 2'!EW10</f>
        <v>0</v>
      </c>
      <c r="EX11">
        <f>'Demand Stage 2'!EX10</f>
        <v>0</v>
      </c>
      <c r="EY11">
        <f>'Demand Stage 2'!EY10</f>
        <v>0</v>
      </c>
      <c r="EZ11">
        <f>'Demand Stage 2'!EZ10</f>
        <v>12.5</v>
      </c>
      <c r="FA11">
        <f>'Demand Stage 2'!FA10</f>
        <v>12.5</v>
      </c>
      <c r="FB11">
        <f>'Demand Stage 2'!FB10</f>
        <v>12.5</v>
      </c>
      <c r="FC11">
        <f>'Demand Stage 2'!FC10</f>
        <v>25</v>
      </c>
      <c r="FD11">
        <f>'Demand Stage 2'!FD10</f>
        <v>25</v>
      </c>
      <c r="FE11">
        <f>'Demand Stage 2'!FE10</f>
        <v>25</v>
      </c>
      <c r="FF11">
        <f>'Demand Stage 2'!FF10</f>
        <v>25</v>
      </c>
      <c r="FG11">
        <f>'Demand Stage 2'!FG10</f>
        <v>25</v>
      </c>
      <c r="FH11">
        <f>'Demand Stage 2'!FH10</f>
        <v>25</v>
      </c>
      <c r="FI11">
        <f>'Demand Stage 2'!FI10</f>
        <v>43.75</v>
      </c>
      <c r="FJ11">
        <f>'Demand Stage 2'!FJ10</f>
        <v>25</v>
      </c>
      <c r="FK11">
        <f>'Demand Stage 2'!FK10</f>
        <v>0</v>
      </c>
      <c r="FL11">
        <f>'Demand Stage 2'!FL10</f>
        <v>0</v>
      </c>
      <c r="FM11">
        <f>'Demand Stage 2'!FM10</f>
        <v>0</v>
      </c>
      <c r="FN11">
        <f>'Demand Stage 2'!FN10</f>
        <v>0</v>
      </c>
      <c r="FO11">
        <f>'Demand Stage 2'!FO10</f>
        <v>0</v>
      </c>
      <c r="FP11">
        <f>'Demand Stage 2'!FP10</f>
        <v>0</v>
      </c>
      <c r="FQ11">
        <f>'Demand Stage 2'!FQ10</f>
        <v>0</v>
      </c>
      <c r="FR11">
        <f>'Demand Stage 2'!FR10</f>
        <v>0</v>
      </c>
      <c r="FS11">
        <f>'Demand Stage 2'!FS10</f>
        <v>0</v>
      </c>
      <c r="FT11">
        <f>'Demand Stage 2'!FT10</f>
        <v>0</v>
      </c>
      <c r="FU11">
        <f>'Demand Stage 2'!FU10</f>
        <v>0</v>
      </c>
      <c r="FV11">
        <f>'Demand Stage 2'!FV10</f>
        <v>12.5</v>
      </c>
      <c r="FW11">
        <f>'Demand Stage 2'!FW10</f>
        <v>12.5</v>
      </c>
      <c r="FX11">
        <f>'Demand Stage 2'!FX10</f>
        <v>12.5</v>
      </c>
      <c r="FY11">
        <f>'Demand Stage 2'!FY10</f>
        <v>25</v>
      </c>
      <c r="FZ11">
        <f>'Demand Stage 2'!FZ10</f>
        <v>25</v>
      </c>
      <c r="GA11">
        <f>'Demand Stage 2'!GA10</f>
        <v>25</v>
      </c>
      <c r="GB11">
        <f>'Demand Stage 2'!GB10</f>
        <v>25</v>
      </c>
      <c r="GC11">
        <f>'Demand Stage 2'!GC10</f>
        <v>25</v>
      </c>
      <c r="GD11">
        <f>'Demand Stage 2'!GD10</f>
        <v>25</v>
      </c>
      <c r="GE11">
        <f>'Demand Stage 2'!GE10</f>
        <v>43.75</v>
      </c>
      <c r="GF11">
        <f>'Demand Stage 2'!GF10</f>
        <v>25</v>
      </c>
      <c r="GG11">
        <f>'Demand Stage 2'!GG10</f>
        <v>0</v>
      </c>
      <c r="GH11">
        <f>'Demand Stage 2'!GH10</f>
        <v>0</v>
      </c>
      <c r="GI11">
        <f>'Demand Stage 2'!GI10</f>
        <v>0</v>
      </c>
      <c r="GJ11">
        <f>'Demand Stage 2'!GJ10</f>
        <v>0</v>
      </c>
      <c r="GK11">
        <f>'Demand Stage 2'!GK10</f>
        <v>0</v>
      </c>
      <c r="GL11">
        <f>'Demand Stage 2'!GL10</f>
        <v>0</v>
      </c>
      <c r="GM11">
        <f>'Demand Stage 2'!GM10</f>
        <v>0</v>
      </c>
      <c r="GN11">
        <f>'Demand Stage 2'!GN10</f>
        <v>0</v>
      </c>
      <c r="GO11">
        <f>'Demand Stage 2'!GO10</f>
        <v>0</v>
      </c>
      <c r="GP11">
        <f>'Demand Stage 2'!GP10</f>
        <v>0</v>
      </c>
      <c r="GQ11">
        <f>'Demand Stage 2'!GQ10</f>
        <v>0</v>
      </c>
      <c r="GR11">
        <f>'Demand Stage 2'!GR10</f>
        <v>12.5</v>
      </c>
      <c r="GS11">
        <f>'Demand Stage 2'!GS10</f>
        <v>12.5</v>
      </c>
      <c r="GT11">
        <f>'Demand Stage 2'!GT10</f>
        <v>12.5</v>
      </c>
      <c r="GU11">
        <f>'Demand Stage 2'!GU10</f>
        <v>25</v>
      </c>
      <c r="GV11">
        <f>'Demand Stage 2'!GV10</f>
        <v>25</v>
      </c>
      <c r="GW11">
        <f>'Demand Stage 2'!GW10</f>
        <v>25</v>
      </c>
      <c r="GX11">
        <f>'Demand Stage 2'!GX10</f>
        <v>25</v>
      </c>
      <c r="GY11">
        <f>'Demand Stage 2'!GY10</f>
        <v>25</v>
      </c>
      <c r="GZ11">
        <f>'Demand Stage 2'!GZ10</f>
        <v>25</v>
      </c>
      <c r="HA11">
        <f>'Demand Stage 2'!HA10</f>
        <v>43.75</v>
      </c>
      <c r="HB11">
        <f>'Demand Stage 2'!HB10</f>
        <v>25</v>
      </c>
      <c r="HC11">
        <f>'Demand Stage 2'!HC10</f>
        <v>0</v>
      </c>
      <c r="HD11">
        <f>'Demand Stage 2'!HD10</f>
        <v>0</v>
      </c>
      <c r="HE11">
        <f>'Demand Stage 2'!HE10</f>
        <v>0</v>
      </c>
      <c r="HF11">
        <f>'Demand Stage 2'!HF10</f>
        <v>0</v>
      </c>
      <c r="HG11">
        <f>'Demand Stage 2'!HG10</f>
        <v>0</v>
      </c>
      <c r="HH11">
        <f>'Demand Stage 2'!HH10</f>
        <v>0</v>
      </c>
      <c r="HI11">
        <f>'Demand Stage 2'!HI10</f>
        <v>0</v>
      </c>
      <c r="HJ11">
        <f>'Demand Stage 2'!HJ10</f>
        <v>0</v>
      </c>
      <c r="HK11">
        <f>'Demand Stage 2'!HK10</f>
        <v>0</v>
      </c>
      <c r="HL11">
        <f>'Demand Stage 2'!HL10</f>
        <v>0</v>
      </c>
      <c r="HM11">
        <f>'Demand Stage 2'!HM10</f>
        <v>0</v>
      </c>
      <c r="HN11">
        <f>'Demand Stage 2'!HN10</f>
        <v>12.5</v>
      </c>
      <c r="HO11">
        <f>'Demand Stage 2'!HO10</f>
        <v>12.5</v>
      </c>
      <c r="HP11">
        <f>'Demand Stage 2'!HP10</f>
        <v>12.5</v>
      </c>
      <c r="HQ11">
        <f>'Demand Stage 2'!HQ10</f>
        <v>25</v>
      </c>
      <c r="HR11">
        <f>'Demand Stage 2'!HR10</f>
        <v>25</v>
      </c>
      <c r="HS11">
        <f>'Demand Stage 2'!HS10</f>
        <v>25</v>
      </c>
      <c r="HT11">
        <f>'Demand Stage 2'!HT10</f>
        <v>25</v>
      </c>
      <c r="HU11">
        <f>'Demand Stage 2'!HU10</f>
        <v>25</v>
      </c>
      <c r="HV11">
        <f>'Demand Stage 2'!HV10</f>
        <v>25</v>
      </c>
      <c r="HW11">
        <f>'Demand Stage 2'!HW10</f>
        <v>43.75</v>
      </c>
      <c r="HX11">
        <f>'Demand Stage 2'!HX10</f>
        <v>25</v>
      </c>
      <c r="HY11">
        <f>'Demand Stage 2'!HY10</f>
        <v>0</v>
      </c>
      <c r="HZ11">
        <f>'Demand Stage 2'!HZ10</f>
        <v>0</v>
      </c>
      <c r="IA11">
        <f>'Demand Stage 2'!IA10</f>
        <v>0</v>
      </c>
      <c r="IB11">
        <f>'Demand Stage 2'!IB10</f>
        <v>0</v>
      </c>
      <c r="IC11">
        <f>'Demand Stage 2'!IC10</f>
        <v>0</v>
      </c>
      <c r="ID11">
        <f>'Demand Stage 2'!ID10</f>
        <v>0</v>
      </c>
      <c r="IE11">
        <f>'Demand Stage 2'!IE10</f>
        <v>0</v>
      </c>
      <c r="IF11">
        <f>'Demand Stage 2'!IF10</f>
        <v>0</v>
      </c>
      <c r="IG11">
        <f>'Demand Stage 2'!IG10</f>
        <v>0</v>
      </c>
      <c r="IH11">
        <f>'Demand Stage 2'!IH10</f>
        <v>0</v>
      </c>
      <c r="II11">
        <f>'Demand Stage 2'!II10</f>
        <v>0</v>
      </c>
      <c r="IJ11">
        <f>'Demand Stage 2'!IJ10</f>
        <v>12.5</v>
      </c>
      <c r="IK11">
        <f>'Demand Stage 2'!IK10</f>
        <v>12.5</v>
      </c>
      <c r="IL11">
        <f>'Demand Stage 2'!IL10</f>
        <v>12.5</v>
      </c>
      <c r="IM11">
        <f>'Demand Stage 2'!IM10</f>
        <v>25</v>
      </c>
      <c r="IN11">
        <f>'Demand Stage 2'!IN10</f>
        <v>25</v>
      </c>
      <c r="IO11">
        <f>'Demand Stage 2'!IO10</f>
        <v>25</v>
      </c>
      <c r="IP11">
        <f>'Demand Stage 2'!IP10</f>
        <v>25</v>
      </c>
      <c r="IQ11">
        <f>'Demand Stage 2'!IQ10</f>
        <v>25</v>
      </c>
      <c r="IR11">
        <f>'Demand Stage 2'!IR10</f>
        <v>25</v>
      </c>
      <c r="IS11">
        <f>'Demand Stage 2'!IS10</f>
        <v>43.75</v>
      </c>
      <c r="IT11">
        <f>'Demand Stage 2'!IT10</f>
        <v>25</v>
      </c>
      <c r="IU11">
        <f>'Demand Stage 2'!IU10</f>
        <v>0</v>
      </c>
      <c r="IV11">
        <f>'Demand Stage 2'!IV10</f>
        <v>0</v>
      </c>
      <c r="IW11">
        <f>'Demand Stage 2'!IW10</f>
        <v>0</v>
      </c>
      <c r="IX11">
        <f>'Demand Stage 2'!IX10</f>
        <v>0</v>
      </c>
      <c r="IY11">
        <f>'Demand Stage 2'!IY10</f>
        <v>0</v>
      </c>
      <c r="IZ11">
        <f>'Demand Stage 2'!IZ10</f>
        <v>0</v>
      </c>
      <c r="JA11">
        <f>'Demand Stage 2'!JA10</f>
        <v>0</v>
      </c>
      <c r="JB11">
        <f>'Demand Stage 2'!JB10</f>
        <v>0</v>
      </c>
      <c r="JC11">
        <f>'Demand Stage 2'!JC10</f>
        <v>0</v>
      </c>
      <c r="JD11">
        <f>'Demand Stage 2'!JD10</f>
        <v>0</v>
      </c>
      <c r="JE11">
        <f>'Demand Stage 2'!JE10</f>
        <v>0</v>
      </c>
      <c r="JF11">
        <f>'Demand Stage 2'!JF10</f>
        <v>12.5</v>
      </c>
      <c r="JG11">
        <f>'Demand Stage 2'!JG10</f>
        <v>12.5</v>
      </c>
      <c r="JH11">
        <f>'Demand Stage 2'!JH10</f>
        <v>12.5</v>
      </c>
      <c r="JI11">
        <f>'Demand Stage 2'!JI10</f>
        <v>25</v>
      </c>
      <c r="JJ11">
        <f>'Demand Stage 2'!JJ10</f>
        <v>25</v>
      </c>
      <c r="JK11">
        <f>'Demand Stage 2'!JK10</f>
        <v>25</v>
      </c>
      <c r="JL11">
        <f>'Demand Stage 2'!JL10</f>
        <v>25</v>
      </c>
      <c r="JM11">
        <f>'Demand Stage 2'!JM10</f>
        <v>25</v>
      </c>
      <c r="JN11">
        <f>'Demand Stage 2'!JN10</f>
        <v>25</v>
      </c>
      <c r="JO11">
        <f>'Demand Stage 2'!JO10</f>
        <v>43.75</v>
      </c>
      <c r="JP11">
        <f>'Demand Stage 2'!JP10</f>
        <v>25</v>
      </c>
      <c r="JQ11">
        <f>'Demand Stage 2'!JQ10</f>
        <v>0</v>
      </c>
      <c r="JR11">
        <f>'Demand Stage 2'!JR10</f>
        <v>0</v>
      </c>
      <c r="JS11">
        <f>'Demand Stage 2'!JS10</f>
        <v>0</v>
      </c>
      <c r="JT11">
        <f>'Demand Stage 2'!JT10</f>
        <v>0</v>
      </c>
      <c r="JU11">
        <f>'Demand Stage 2'!JU10</f>
        <v>0</v>
      </c>
      <c r="JV11">
        <f>'Demand Stage 2'!JV10</f>
        <v>0</v>
      </c>
      <c r="JW11">
        <f>'Demand Stage 2'!JW10</f>
        <v>0</v>
      </c>
      <c r="JX11">
        <f>'Demand Stage 2'!JX10</f>
        <v>0</v>
      </c>
      <c r="JY11">
        <f>'Demand Stage 2'!JY10</f>
        <v>0</v>
      </c>
      <c r="JZ11">
        <f>'Demand Stage 2'!JZ10</f>
        <v>0</v>
      </c>
      <c r="KA11">
        <f>'Demand Stage 2'!KA10</f>
        <v>0</v>
      </c>
      <c r="KB11">
        <f>'Demand Stage 2'!KB10</f>
        <v>12.5</v>
      </c>
      <c r="KC11">
        <f>'Demand Stage 2'!KC10</f>
        <v>12.5</v>
      </c>
      <c r="KD11">
        <f>'Demand Stage 2'!KD10</f>
        <v>12.5</v>
      </c>
      <c r="KE11">
        <f>'Demand Stage 2'!KE10</f>
        <v>25</v>
      </c>
      <c r="KF11">
        <f>'Demand Stage 2'!KF10</f>
        <v>25</v>
      </c>
      <c r="KG11">
        <f>'Demand Stage 2'!KG10</f>
        <v>25</v>
      </c>
      <c r="KH11">
        <f>'Demand Stage 2'!KH10</f>
        <v>25</v>
      </c>
      <c r="KI11">
        <f>'Demand Stage 2'!KI10</f>
        <v>25</v>
      </c>
      <c r="KJ11">
        <f>'Demand Stage 2'!KJ10</f>
        <v>25</v>
      </c>
      <c r="KK11">
        <f>'Demand Stage 2'!KK10</f>
        <v>43.75</v>
      </c>
      <c r="KL11">
        <f>'Demand Stage 2'!KL10</f>
        <v>25</v>
      </c>
      <c r="KM11">
        <f>'Demand Stage 2'!KM10</f>
        <v>0</v>
      </c>
      <c r="KN11">
        <f>'Demand Stage 2'!KN10</f>
        <v>0</v>
      </c>
      <c r="KO11">
        <f>'Demand Stage 2'!KO10</f>
        <v>0</v>
      </c>
      <c r="KP11">
        <f>'Demand Stage 2'!KP10</f>
        <v>0</v>
      </c>
      <c r="KQ11">
        <f>'Demand Stage 2'!KQ10</f>
        <v>0</v>
      </c>
      <c r="KR11">
        <f>'Demand Stage 2'!KR10</f>
        <v>0</v>
      </c>
      <c r="KS11">
        <f>'Demand Stage 2'!KS10</f>
        <v>0</v>
      </c>
      <c r="KT11">
        <f>'Demand Stage 2'!KT10</f>
        <v>0</v>
      </c>
      <c r="KU11">
        <f>'Demand Stage 2'!KU10</f>
        <v>0</v>
      </c>
      <c r="KV11">
        <f>'Demand Stage 2'!KV10</f>
        <v>0</v>
      </c>
      <c r="KW11">
        <f>'Demand Stage 2'!KW10</f>
        <v>0</v>
      </c>
      <c r="KX11">
        <f>'Demand Stage 2'!KX10</f>
        <v>12.5</v>
      </c>
      <c r="KY11">
        <f>'Demand Stage 2'!KY10</f>
        <v>12.5</v>
      </c>
      <c r="KZ11">
        <f>'Demand Stage 2'!KZ10</f>
        <v>12.5</v>
      </c>
      <c r="LA11">
        <f>'Demand Stage 2'!LA10</f>
        <v>25</v>
      </c>
      <c r="LB11">
        <f>'Demand Stage 2'!LB10</f>
        <v>25</v>
      </c>
      <c r="LC11">
        <f>'Demand Stage 2'!LC10</f>
        <v>25</v>
      </c>
      <c r="LD11">
        <f>'Demand Stage 2'!LD10</f>
        <v>25</v>
      </c>
      <c r="LE11">
        <f>'Demand Stage 2'!LE10</f>
        <v>25</v>
      </c>
      <c r="LF11">
        <f>'Demand Stage 2'!LF10</f>
        <v>25</v>
      </c>
      <c r="LG11">
        <f>'Demand Stage 2'!LG10</f>
        <v>43.75</v>
      </c>
      <c r="LH11">
        <f>'Demand Stage 2'!LH10</f>
        <v>25</v>
      </c>
      <c r="LI11">
        <f>'Demand Stage 2'!LI10</f>
        <v>0</v>
      </c>
      <c r="LJ11">
        <f>'Demand Stage 2'!LJ10</f>
        <v>0</v>
      </c>
      <c r="LK11">
        <f>'Demand Stage 2'!LK10</f>
        <v>0</v>
      </c>
      <c r="LL11">
        <f>'Demand Stage 2'!LL10</f>
        <v>0</v>
      </c>
      <c r="LM11">
        <f>'Demand Stage 2'!LM10</f>
        <v>0</v>
      </c>
      <c r="LN11">
        <f>'Demand Stage 2'!LN10</f>
        <v>0</v>
      </c>
      <c r="LO11">
        <f>'Demand Stage 2'!LO10</f>
        <v>0</v>
      </c>
      <c r="LP11">
        <f>'Demand Stage 2'!LP10</f>
        <v>0</v>
      </c>
      <c r="LQ11">
        <f>'Demand Stage 2'!LQ10</f>
        <v>0</v>
      </c>
      <c r="LR11">
        <f>'Demand Stage 2'!LR10</f>
        <v>0</v>
      </c>
      <c r="LS11">
        <f>'Demand Stage 2'!LS10</f>
        <v>0</v>
      </c>
      <c r="LT11">
        <f>'Demand Stage 2'!LT10</f>
        <v>12.5</v>
      </c>
      <c r="LU11">
        <f>'Demand Stage 2'!LU10</f>
        <v>12.5</v>
      </c>
      <c r="LV11">
        <f>'Demand Stage 2'!LV10</f>
        <v>12.5</v>
      </c>
      <c r="LW11">
        <f>'Demand Stage 2'!LW10</f>
        <v>25</v>
      </c>
      <c r="LX11">
        <f>'Demand Stage 2'!LX10</f>
        <v>25</v>
      </c>
      <c r="LY11">
        <f>'Demand Stage 2'!LY10</f>
        <v>25</v>
      </c>
      <c r="LZ11">
        <f>'Demand Stage 2'!LZ10</f>
        <v>25</v>
      </c>
      <c r="MA11">
        <f>'Demand Stage 2'!MA10</f>
        <v>25</v>
      </c>
      <c r="MB11">
        <f>'Demand Stage 2'!MB10</f>
        <v>25</v>
      </c>
      <c r="MC11">
        <f>'Demand Stage 2'!MC10</f>
        <v>43.75</v>
      </c>
      <c r="MD11">
        <f>'Demand Stage 2'!MD10</f>
        <v>25</v>
      </c>
      <c r="ME11">
        <f>'Demand Stage 2'!ME10</f>
        <v>0</v>
      </c>
      <c r="MF11">
        <f>'Demand Stage 2'!MF10</f>
        <v>0</v>
      </c>
      <c r="MG11">
        <f>'Demand Stage 2'!MG10</f>
        <v>0</v>
      </c>
      <c r="MH11">
        <f>'Demand Stage 2'!MH10</f>
        <v>0</v>
      </c>
      <c r="MI11">
        <f>'Demand Stage 2'!MI10</f>
        <v>0</v>
      </c>
      <c r="MJ11">
        <f>'Demand Stage 2'!MJ10</f>
        <v>0</v>
      </c>
      <c r="MK11">
        <f>'Demand Stage 2'!MK10</f>
        <v>0</v>
      </c>
      <c r="ML11">
        <f>'Demand Stage 2'!ML10</f>
        <v>0</v>
      </c>
      <c r="MM11">
        <f>'Demand Stage 2'!MM10</f>
        <v>0</v>
      </c>
      <c r="MN11">
        <f>'Demand Stage 2'!MN10</f>
        <v>0</v>
      </c>
      <c r="MO11">
        <f>'Demand Stage 2'!MO10</f>
        <v>0</v>
      </c>
      <c r="MP11">
        <f>'Demand Stage 2'!MP10</f>
        <v>12.5</v>
      </c>
      <c r="MQ11">
        <f>'Demand Stage 2'!MQ10</f>
        <v>12.5</v>
      </c>
      <c r="MR11">
        <f>'Demand Stage 2'!MR10</f>
        <v>12.5</v>
      </c>
      <c r="MS11">
        <f>'Demand Stage 2'!MS10</f>
        <v>25</v>
      </c>
      <c r="MT11">
        <f>'Demand Stage 2'!MT10</f>
        <v>25</v>
      </c>
      <c r="MU11">
        <f>'Demand Stage 2'!MU10</f>
        <v>25</v>
      </c>
      <c r="MV11">
        <f>'Demand Stage 2'!MV10</f>
        <v>25</v>
      </c>
      <c r="MW11">
        <f>'Demand Stage 2'!MW10</f>
        <v>25</v>
      </c>
      <c r="MX11">
        <f>'Demand Stage 2'!MX10</f>
        <v>25</v>
      </c>
      <c r="MY11">
        <f>'Demand Stage 2'!MY10</f>
        <v>43.75</v>
      </c>
      <c r="MZ11">
        <f>'Demand Stage 2'!MZ10</f>
        <v>25</v>
      </c>
      <c r="NA11">
        <f>'Demand Stage 2'!NA10</f>
        <v>0</v>
      </c>
      <c r="NB11">
        <f>'Demand Stage 2'!NB10</f>
        <v>0</v>
      </c>
      <c r="NC11">
        <f>'Demand Stage 2'!NC10</f>
        <v>0</v>
      </c>
      <c r="ND11">
        <f>'Demand Stage 2'!ND10</f>
        <v>0</v>
      </c>
      <c r="NE11">
        <f>'Demand Stage 2'!NE10</f>
        <v>0</v>
      </c>
      <c r="NF11">
        <f>'Demand Stage 2'!NF10</f>
        <v>0</v>
      </c>
      <c r="NG11">
        <f>'Demand Stage 2'!NG10</f>
        <v>0</v>
      </c>
      <c r="NH11">
        <f>'Demand Stage 2'!NH10</f>
        <v>0</v>
      </c>
      <c r="NI11">
        <f>'Demand Stage 2'!NI10</f>
        <v>0</v>
      </c>
      <c r="NJ11">
        <f>'Demand Stage 2'!NJ10</f>
        <v>0</v>
      </c>
      <c r="NK11">
        <f>'Demand Stage 2'!NK10</f>
        <v>0</v>
      </c>
      <c r="NL11">
        <f>'Demand Stage 2'!NL10</f>
        <v>12.5</v>
      </c>
      <c r="NM11">
        <f>'Demand Stage 2'!NM10</f>
        <v>12.5</v>
      </c>
      <c r="NN11">
        <f>'Demand Stage 2'!NN10</f>
        <v>12.5</v>
      </c>
      <c r="NO11">
        <f>'Demand Stage 2'!NO10</f>
        <v>25</v>
      </c>
      <c r="NP11">
        <f>'Demand Stage 2'!NP10</f>
        <v>25</v>
      </c>
      <c r="NQ11">
        <f>'Demand Stage 2'!NQ10</f>
        <v>25</v>
      </c>
      <c r="NR11">
        <f>'Demand Stage 2'!NR10</f>
        <v>25</v>
      </c>
      <c r="NS11">
        <f>'Demand Stage 2'!NS10</f>
        <v>25</v>
      </c>
      <c r="NT11">
        <f>'Demand Stage 2'!NT10</f>
        <v>25</v>
      </c>
      <c r="NU11">
        <f>'Demand Stage 2'!NU10</f>
        <v>43.75</v>
      </c>
      <c r="NV11">
        <f>'Demand Stage 2'!NV10</f>
        <v>25</v>
      </c>
      <c r="NW11">
        <f>'Demand Stage 2'!NW10</f>
        <v>0</v>
      </c>
      <c r="NX11">
        <f>'Demand Stage 2'!NX10</f>
        <v>0</v>
      </c>
      <c r="NY11">
        <f>'Demand Stage 2'!NY10</f>
        <v>0</v>
      </c>
      <c r="NZ11">
        <f>'Demand Stage 2'!NZ10</f>
        <v>0</v>
      </c>
      <c r="OA11">
        <f>'Demand Stage 2'!OA10</f>
        <v>0</v>
      </c>
      <c r="OB11">
        <f>'Demand Stage 2'!OB10</f>
        <v>0</v>
      </c>
      <c r="OC11">
        <f>'Demand Stage 2'!OC10</f>
        <v>0</v>
      </c>
      <c r="OD11">
        <f>'Demand Stage 2'!OD10</f>
        <v>0</v>
      </c>
      <c r="OE11">
        <f>'Demand Stage 2'!OE10</f>
        <v>0</v>
      </c>
      <c r="OF11">
        <f>'Demand Stage 2'!OF10</f>
        <v>0</v>
      </c>
      <c r="OG11">
        <f>'Demand Stage 2'!OG10</f>
        <v>0</v>
      </c>
      <c r="OH11">
        <f>'Demand Stage 2'!OH10</f>
        <v>12.5</v>
      </c>
      <c r="OI11">
        <f>'Demand Stage 2'!OI10</f>
        <v>12.5</v>
      </c>
      <c r="OJ11">
        <f>'Demand Stage 2'!OJ10</f>
        <v>12.5</v>
      </c>
      <c r="OK11">
        <f>'Demand Stage 2'!OK10</f>
        <v>25</v>
      </c>
      <c r="OL11">
        <f>'Demand Stage 2'!OL10</f>
        <v>25</v>
      </c>
      <c r="OM11">
        <f>'Demand Stage 2'!OM10</f>
        <v>25</v>
      </c>
      <c r="ON11">
        <f>'Demand Stage 2'!ON10</f>
        <v>25</v>
      </c>
      <c r="OO11">
        <f>'Demand Stage 2'!OO10</f>
        <v>25</v>
      </c>
      <c r="OP11">
        <f>'Demand Stage 2'!OP10</f>
        <v>25</v>
      </c>
      <c r="OQ11">
        <f>'Demand Stage 2'!OQ10</f>
        <v>43.75</v>
      </c>
      <c r="OR11">
        <f>'Demand Stage 2'!OR10</f>
        <v>25</v>
      </c>
      <c r="OS11">
        <f>'Demand Stage 2'!OS10</f>
        <v>0</v>
      </c>
      <c r="OT11">
        <f>'Demand Stage 2'!OT10</f>
        <v>0</v>
      </c>
      <c r="OU11">
        <f>'Demand Stage 2'!OU10</f>
        <v>0</v>
      </c>
      <c r="OV11">
        <f>'Demand Stage 2'!OV10</f>
        <v>0</v>
      </c>
      <c r="OW11">
        <f>'Demand Stage 2'!OW10</f>
        <v>0</v>
      </c>
      <c r="OX11">
        <f>'Demand Stage 2'!OX10</f>
        <v>0</v>
      </c>
      <c r="OY11">
        <f>'Demand Stage 2'!OY10</f>
        <v>0</v>
      </c>
      <c r="OZ11">
        <f>'Demand Stage 2'!OZ10</f>
        <v>0</v>
      </c>
      <c r="PA11">
        <f>'Demand Stage 2'!PA10</f>
        <v>0</v>
      </c>
      <c r="PB11">
        <f>'Demand Stage 2'!PB10</f>
        <v>0</v>
      </c>
      <c r="PC11">
        <f>'Demand Stage 2'!PC10</f>
        <v>0</v>
      </c>
      <c r="PD11">
        <f>'Demand Stage 2'!PD10</f>
        <v>12.5</v>
      </c>
      <c r="PE11">
        <f>'Demand Stage 2'!PE10</f>
        <v>12.5</v>
      </c>
      <c r="PF11">
        <f>'Demand Stage 2'!PF10</f>
        <v>12.5</v>
      </c>
      <c r="PG11">
        <f>'Demand Stage 2'!PG10</f>
        <v>25</v>
      </c>
      <c r="PH11">
        <f>'Demand Stage 2'!PH10</f>
        <v>25</v>
      </c>
      <c r="PI11">
        <f>'Demand Stage 2'!PI10</f>
        <v>25</v>
      </c>
      <c r="PJ11">
        <f>'Demand Stage 2'!PJ10</f>
        <v>25</v>
      </c>
      <c r="PK11">
        <f>'Demand Stage 2'!PK10</f>
        <v>25</v>
      </c>
      <c r="PL11">
        <f>'Demand Stage 2'!PL10</f>
        <v>25</v>
      </c>
      <c r="PM11">
        <f>'Demand Stage 2'!PM10</f>
        <v>43.75</v>
      </c>
      <c r="PN11">
        <f>'Demand Stage 2'!PN10</f>
        <v>25</v>
      </c>
      <c r="PO11">
        <f>'Demand Stage 2'!PO10</f>
        <v>0</v>
      </c>
      <c r="PP11">
        <f>'Demand Stage 2'!PP10</f>
        <v>0</v>
      </c>
      <c r="PQ11">
        <f>'Demand Stage 2'!PQ10</f>
        <v>0</v>
      </c>
      <c r="PR11">
        <f>'Demand Stage 2'!PR10</f>
        <v>0</v>
      </c>
      <c r="PS11">
        <f>'Demand Stage 2'!PS10</f>
        <v>0</v>
      </c>
      <c r="PT11">
        <f>'Demand Stage 2'!PT10</f>
        <v>0</v>
      </c>
      <c r="PU11">
        <f>'Demand Stage 2'!PU10</f>
        <v>0</v>
      </c>
      <c r="PV11">
        <f>'Demand Stage 2'!PV10</f>
        <v>0</v>
      </c>
      <c r="PW11">
        <f>'Demand Stage 2'!PW10</f>
        <v>0</v>
      </c>
      <c r="PX11">
        <f>'Demand Stage 2'!PX10</f>
        <v>0</v>
      </c>
      <c r="PY11">
        <f>'Demand Stage 2'!PY10</f>
        <v>0</v>
      </c>
      <c r="PZ11">
        <f>'Demand Stage 2'!PZ10</f>
        <v>12.5</v>
      </c>
      <c r="QA11">
        <f>'Demand Stage 2'!QA10</f>
        <v>12.5</v>
      </c>
      <c r="QB11">
        <f>'Demand Stage 2'!QB10</f>
        <v>12.5</v>
      </c>
      <c r="QC11">
        <f>'Demand Stage 2'!QC10</f>
        <v>25</v>
      </c>
      <c r="QD11">
        <f>'Demand Stage 2'!QD10</f>
        <v>25</v>
      </c>
      <c r="QE11">
        <f>'Demand Stage 2'!QE10</f>
        <v>25</v>
      </c>
      <c r="QF11">
        <f>'Demand Stage 2'!QF10</f>
        <v>25</v>
      </c>
      <c r="QG11">
        <f>'Demand Stage 2'!QG10</f>
        <v>25</v>
      </c>
      <c r="QH11">
        <f>'Demand Stage 2'!QH10</f>
        <v>25</v>
      </c>
      <c r="QI11">
        <f>'Demand Stage 2'!QI10</f>
        <v>43.75</v>
      </c>
      <c r="QJ11">
        <f>'Demand Stage 2'!QJ10</f>
        <v>25</v>
      </c>
      <c r="QK11">
        <f>'Demand Stage 2'!QK10</f>
        <v>0</v>
      </c>
      <c r="QL11">
        <f>'Demand Stage 2'!QL10</f>
        <v>0</v>
      </c>
      <c r="QM11">
        <f>'Demand Stage 2'!QM10</f>
        <v>0</v>
      </c>
      <c r="QN11">
        <f>'Demand Stage 2'!QN10</f>
        <v>0</v>
      </c>
      <c r="QO11">
        <f>'Demand Stage 2'!QO10</f>
        <v>0</v>
      </c>
      <c r="QP11">
        <f>'Demand Stage 2'!QP10</f>
        <v>0</v>
      </c>
      <c r="QQ11">
        <f>'Demand Stage 2'!QQ10</f>
        <v>0</v>
      </c>
      <c r="QR11">
        <f>'Demand Stage 2'!QR10</f>
        <v>0</v>
      </c>
      <c r="QS11">
        <f>'Demand Stage 2'!QS10</f>
        <v>0</v>
      </c>
      <c r="QT11">
        <f>'Demand Stage 2'!QT10</f>
        <v>0</v>
      </c>
      <c r="QU11">
        <f>'Demand Stage 2'!QU10</f>
        <v>0</v>
      </c>
      <c r="QV11">
        <f>'Demand Stage 2'!QV10</f>
        <v>12.5</v>
      </c>
      <c r="QW11">
        <f>'Demand Stage 2'!QW10</f>
        <v>12.5</v>
      </c>
      <c r="QX11">
        <f>'Demand Stage 2'!QX10</f>
        <v>12.5</v>
      </c>
      <c r="QY11">
        <f>'Demand Stage 2'!QY10</f>
        <v>25</v>
      </c>
      <c r="QZ11">
        <f>'Demand Stage 2'!QZ10</f>
        <v>25</v>
      </c>
      <c r="RA11">
        <f>'Demand Stage 2'!RA10</f>
        <v>25</v>
      </c>
      <c r="RB11">
        <f>'Demand Stage 2'!RB10</f>
        <v>25</v>
      </c>
      <c r="RC11">
        <f>'Demand Stage 2'!RC10</f>
        <v>25</v>
      </c>
      <c r="RD11">
        <f>'Demand Stage 2'!RD10</f>
        <v>25</v>
      </c>
      <c r="RE11">
        <f>'Demand Stage 2'!RE10</f>
        <v>43.75</v>
      </c>
      <c r="RF11">
        <f>'Demand Stage 2'!RF10</f>
        <v>25</v>
      </c>
      <c r="RG11">
        <f>'Demand Stage 2'!RG10</f>
        <v>0</v>
      </c>
      <c r="RH11">
        <f>'Demand Stage 2'!RH10</f>
        <v>0</v>
      </c>
      <c r="RI11">
        <f>'Demand Stage 2'!RI10</f>
        <v>0</v>
      </c>
      <c r="RJ11">
        <f>'Demand Stage 2'!RJ10</f>
        <v>0</v>
      </c>
      <c r="RK11">
        <f>'Demand Stage 2'!RK10</f>
        <v>0</v>
      </c>
      <c r="RL11">
        <f>'Demand Stage 2'!RL10</f>
        <v>0</v>
      </c>
      <c r="RM11">
        <f>'Demand Stage 2'!RM10</f>
        <v>0</v>
      </c>
      <c r="RN11">
        <f>'Demand Stage 2'!RN10</f>
        <v>0</v>
      </c>
      <c r="RO11">
        <f>'Demand Stage 2'!RO10</f>
        <v>0</v>
      </c>
      <c r="RP11">
        <f>'Demand Stage 2'!RP10</f>
        <v>0</v>
      </c>
      <c r="RQ11">
        <f>'Demand Stage 2'!RQ10</f>
        <v>0</v>
      </c>
      <c r="RR11">
        <f>'Demand Stage 2'!RR10</f>
        <v>12.5</v>
      </c>
      <c r="RS11">
        <f>'Demand Stage 2'!RS10</f>
        <v>12.5</v>
      </c>
      <c r="RT11">
        <f>'Demand Stage 2'!RT10</f>
        <v>12.5</v>
      </c>
      <c r="RU11">
        <f>'Demand Stage 2'!RU10</f>
        <v>25</v>
      </c>
      <c r="RV11">
        <f>'Demand Stage 2'!RV10</f>
        <v>25</v>
      </c>
      <c r="RW11">
        <f>'Demand Stage 2'!RW10</f>
        <v>25</v>
      </c>
      <c r="RX11">
        <f>'Demand Stage 2'!RX10</f>
        <v>25</v>
      </c>
      <c r="RY11">
        <f>'Demand Stage 2'!RY10</f>
        <v>25</v>
      </c>
      <c r="RZ11">
        <f>'Demand Stage 2'!RZ10</f>
        <v>25</v>
      </c>
      <c r="SA11">
        <f>'Demand Stage 2'!SA10</f>
        <v>43.75</v>
      </c>
      <c r="SB11">
        <f>'Demand Stage 2'!SB10</f>
        <v>25</v>
      </c>
      <c r="SC11">
        <f>'Demand Stage 2'!SC10</f>
        <v>0</v>
      </c>
      <c r="SD11">
        <f>'Demand Stage 2'!SD10</f>
        <v>0</v>
      </c>
      <c r="SE11">
        <f>'Demand Stage 2'!SE10</f>
        <v>0</v>
      </c>
      <c r="SF11">
        <f>'Demand Stage 2'!SF10</f>
        <v>0</v>
      </c>
      <c r="SG11">
        <f>'Demand Stage 2'!SG10</f>
        <v>0</v>
      </c>
      <c r="SH11">
        <f>'Demand Stage 2'!SH10</f>
        <v>0</v>
      </c>
      <c r="SI11">
        <f>'Demand Stage 2'!SI10</f>
        <v>0</v>
      </c>
      <c r="SJ11">
        <f>'Demand Stage 2'!SJ10</f>
        <v>0</v>
      </c>
      <c r="SK11">
        <f>'Demand Stage 2'!SK10</f>
        <v>0</v>
      </c>
      <c r="SL11">
        <f>'Demand Stage 2'!SL10</f>
        <v>0</v>
      </c>
      <c r="SM11">
        <f>'Demand Stage 2'!SM10</f>
        <v>0</v>
      </c>
      <c r="SN11">
        <f>'Demand Stage 2'!SN10</f>
        <v>12.5</v>
      </c>
      <c r="SO11">
        <f>'Demand Stage 2'!SO10</f>
        <v>12.5</v>
      </c>
      <c r="SP11">
        <f>'Demand Stage 2'!SP10</f>
        <v>12.5</v>
      </c>
      <c r="SQ11">
        <f>'Demand Stage 2'!SQ10</f>
        <v>25</v>
      </c>
      <c r="SR11">
        <f>'Demand Stage 2'!SR10</f>
        <v>25</v>
      </c>
      <c r="SS11">
        <f>'Demand Stage 2'!SS10</f>
        <v>25</v>
      </c>
      <c r="ST11">
        <f>'Demand Stage 2'!ST10</f>
        <v>25</v>
      </c>
      <c r="SU11">
        <f>'Demand Stage 2'!SU10</f>
        <v>25</v>
      </c>
      <c r="SV11">
        <f>'Demand Stage 2'!SV10</f>
        <v>25</v>
      </c>
      <c r="SW11">
        <f>'Demand Stage 2'!SW10</f>
        <v>43.75</v>
      </c>
      <c r="SX11">
        <f>'Demand Stage 2'!SX10</f>
        <v>25</v>
      </c>
      <c r="SY11">
        <f>'Demand Stage 2'!SY10</f>
        <v>0</v>
      </c>
      <c r="SZ11">
        <f>'Demand Stage 2'!SZ10</f>
        <v>0</v>
      </c>
      <c r="TA11">
        <f>'Demand Stage 2'!TA10</f>
        <v>0</v>
      </c>
      <c r="TB11">
        <f>'Demand Stage 2'!TB10</f>
        <v>0</v>
      </c>
      <c r="TC11">
        <f>'Demand Stage 2'!TC10</f>
        <v>0</v>
      </c>
      <c r="TD11">
        <f>'Demand Stage 2'!TD10</f>
        <v>0</v>
      </c>
      <c r="TE11">
        <f>'Demand Stage 2'!TE10</f>
        <v>0</v>
      </c>
      <c r="TF11">
        <f>'Demand Stage 2'!TF10</f>
        <v>0</v>
      </c>
      <c r="TG11">
        <f>'Demand Stage 2'!TG10</f>
        <v>0</v>
      </c>
      <c r="TH11">
        <f>'Demand Stage 2'!TH10</f>
        <v>0</v>
      </c>
      <c r="TI11">
        <f>'Demand Stage 2'!TI10</f>
        <v>0</v>
      </c>
      <c r="TJ11">
        <f>'Demand Stage 2'!TJ10</f>
        <v>12.5</v>
      </c>
      <c r="TK11">
        <f>'Demand Stage 2'!TK10</f>
        <v>12.5</v>
      </c>
      <c r="TL11">
        <f>'Demand Stage 2'!TL10</f>
        <v>12.5</v>
      </c>
      <c r="TM11">
        <f>'Demand Stage 2'!TM10</f>
        <v>25</v>
      </c>
      <c r="TN11">
        <f>'Demand Stage 2'!TN10</f>
        <v>25</v>
      </c>
      <c r="TO11">
        <f>'Demand Stage 2'!TO10</f>
        <v>25</v>
      </c>
      <c r="TP11">
        <f>'Demand Stage 2'!TP10</f>
        <v>25</v>
      </c>
      <c r="TQ11">
        <f>'Demand Stage 2'!TQ10</f>
        <v>25</v>
      </c>
      <c r="TR11">
        <f>'Demand Stage 2'!TR10</f>
        <v>25</v>
      </c>
      <c r="TS11">
        <f>'Demand Stage 2'!TS10</f>
        <v>43.75</v>
      </c>
      <c r="TT11">
        <f>'Demand Stage 2'!TT10</f>
        <v>25</v>
      </c>
      <c r="TU11">
        <f>'Demand Stage 2'!TU10</f>
        <v>0</v>
      </c>
      <c r="TV11">
        <f>'Demand Stage 2'!TV10</f>
        <v>0</v>
      </c>
      <c r="TW11">
        <f>'Demand Stage 2'!TW10</f>
        <v>0</v>
      </c>
      <c r="TX11">
        <f>'Demand Stage 2'!TX10</f>
        <v>0</v>
      </c>
      <c r="TY11">
        <f>'Demand Stage 2'!TY10</f>
        <v>0</v>
      </c>
      <c r="TZ11">
        <f>'Demand Stage 2'!TZ10</f>
        <v>0</v>
      </c>
      <c r="UA11">
        <f>'Demand Stage 2'!UA10</f>
        <v>0</v>
      </c>
      <c r="UB11">
        <f>'Demand Stage 2'!UB10</f>
        <v>0</v>
      </c>
      <c r="UC11">
        <f>'Demand Stage 2'!UC10</f>
        <v>0</v>
      </c>
      <c r="UD11">
        <f>'Demand Stage 2'!UD10</f>
        <v>0</v>
      </c>
      <c r="UE11">
        <f>'Demand Stage 2'!UE10</f>
        <v>0</v>
      </c>
      <c r="UF11">
        <f>'Demand Stage 2'!UF10</f>
        <v>12.5</v>
      </c>
      <c r="UG11">
        <f>'Demand Stage 2'!UG10</f>
        <v>12.5</v>
      </c>
      <c r="UH11">
        <f>'Demand Stage 2'!UH10</f>
        <v>12.5</v>
      </c>
      <c r="UI11">
        <f>'Demand Stage 2'!UI10</f>
        <v>25</v>
      </c>
      <c r="UJ11">
        <f>'Demand Stage 2'!UJ10</f>
        <v>25</v>
      </c>
      <c r="UK11">
        <f>'Demand Stage 2'!UK10</f>
        <v>25</v>
      </c>
      <c r="UL11">
        <f>'Demand Stage 2'!UL10</f>
        <v>25</v>
      </c>
      <c r="UM11">
        <f>'Demand Stage 2'!UM10</f>
        <v>25</v>
      </c>
      <c r="UN11">
        <f>'Demand Stage 2'!UN10</f>
        <v>25</v>
      </c>
      <c r="UO11">
        <f>'Demand Stage 2'!UO10</f>
        <v>43.75</v>
      </c>
      <c r="UP11">
        <f>'Demand Stage 2'!UP10</f>
        <v>25</v>
      </c>
      <c r="UQ11">
        <f>'Demand Stage 2'!UQ10</f>
        <v>0</v>
      </c>
      <c r="UR11">
        <f>'Demand Stage 2'!UR10</f>
        <v>0</v>
      </c>
      <c r="US11">
        <f>'Demand Stage 2'!US10</f>
        <v>0</v>
      </c>
      <c r="UT11">
        <f>'Demand Stage 2'!UT10</f>
        <v>0</v>
      </c>
      <c r="UU11">
        <f>'Demand Stage 2'!UU10</f>
        <v>0</v>
      </c>
      <c r="UV11">
        <f>'Demand Stage 2'!UV10</f>
        <v>0</v>
      </c>
      <c r="UW11">
        <f>'Demand Stage 2'!UW10</f>
        <v>0</v>
      </c>
      <c r="UX11">
        <f>'Demand Stage 2'!UX10</f>
        <v>0</v>
      </c>
      <c r="UY11">
        <f>'Demand Stage 2'!UY10</f>
        <v>0</v>
      </c>
      <c r="UZ11">
        <f>'Demand Stage 2'!UZ10</f>
        <v>0</v>
      </c>
      <c r="VA11">
        <f>'Demand Stage 2'!VA10</f>
        <v>0</v>
      </c>
      <c r="VB11">
        <f>'Demand Stage 2'!VB10</f>
        <v>12.5</v>
      </c>
      <c r="VC11">
        <f>'Demand Stage 2'!VC10</f>
        <v>12.5</v>
      </c>
      <c r="VD11">
        <f>'Demand Stage 2'!VD10</f>
        <v>12.5</v>
      </c>
      <c r="VE11">
        <f>'Demand Stage 2'!VE10</f>
        <v>25</v>
      </c>
      <c r="VF11">
        <f>'Demand Stage 2'!VF10</f>
        <v>25</v>
      </c>
      <c r="VG11">
        <f>'Demand Stage 2'!VG10</f>
        <v>25</v>
      </c>
      <c r="VH11">
        <f>'Demand Stage 2'!VH10</f>
        <v>25</v>
      </c>
      <c r="VI11">
        <f>'Demand Stage 2'!VI10</f>
        <v>25</v>
      </c>
      <c r="VJ11">
        <f>'Demand Stage 2'!VJ10</f>
        <v>25</v>
      </c>
      <c r="VK11">
        <f>'Demand Stage 2'!VK10</f>
        <v>43.75</v>
      </c>
      <c r="VL11">
        <f>'Demand Stage 2'!VL10</f>
        <v>25</v>
      </c>
      <c r="VM11">
        <f>'Demand Stage 2'!VM10</f>
        <v>0</v>
      </c>
      <c r="VN11">
        <f>'Demand Stage 2'!VN10</f>
        <v>0</v>
      </c>
      <c r="VO11">
        <f>'Demand Stage 2'!VO10</f>
        <v>0</v>
      </c>
      <c r="VP11">
        <f>'Demand Stage 2'!VP10</f>
        <v>0</v>
      </c>
      <c r="VQ11">
        <f>'Demand Stage 2'!VQ10</f>
        <v>0</v>
      </c>
      <c r="VR11">
        <f>'Demand Stage 2'!VR10</f>
        <v>0</v>
      </c>
      <c r="VS11">
        <f>'Demand Stage 2'!VS10</f>
        <v>0</v>
      </c>
      <c r="VT11">
        <f>'Demand Stage 2'!VT10</f>
        <v>0</v>
      </c>
      <c r="VU11">
        <f>'Demand Stage 2'!VU10</f>
        <v>0</v>
      </c>
      <c r="VV11">
        <f>'Demand Stage 2'!VV10</f>
        <v>0</v>
      </c>
      <c r="VW11">
        <f>'Demand Stage 2'!VW10</f>
        <v>0</v>
      </c>
      <c r="VX11">
        <f>'Demand Stage 2'!VX10</f>
        <v>12.5</v>
      </c>
      <c r="VY11">
        <f>'Demand Stage 2'!VY10</f>
        <v>12.5</v>
      </c>
      <c r="VZ11">
        <f>'Demand Stage 2'!VZ10</f>
        <v>12.5</v>
      </c>
      <c r="WA11">
        <f>'Demand Stage 2'!WA10</f>
        <v>25</v>
      </c>
      <c r="WB11">
        <f>'Demand Stage 2'!WB10</f>
        <v>25</v>
      </c>
      <c r="WC11">
        <f>'Demand Stage 2'!WC10</f>
        <v>25</v>
      </c>
      <c r="WD11">
        <f>'Demand Stage 2'!WD10</f>
        <v>25</v>
      </c>
      <c r="WE11">
        <f>'Demand Stage 2'!WE10</f>
        <v>25</v>
      </c>
      <c r="WF11">
        <f>'Demand Stage 2'!WF10</f>
        <v>25</v>
      </c>
      <c r="WG11">
        <f>'Demand Stage 2'!WG10</f>
        <v>43.75</v>
      </c>
      <c r="WH11">
        <f>'Demand Stage 2'!WH10</f>
        <v>25</v>
      </c>
      <c r="WI11">
        <f>'Demand Stage 2'!WI10</f>
        <v>0</v>
      </c>
      <c r="WJ11">
        <f>'Demand Stage 2'!WJ10</f>
        <v>0</v>
      </c>
      <c r="WK11">
        <f>'Demand Stage 2'!WK10</f>
        <v>0</v>
      </c>
      <c r="WL11">
        <f>'Demand Stage 2'!WL10</f>
        <v>0</v>
      </c>
      <c r="WM11">
        <f>'Demand Stage 2'!WM10</f>
        <v>0</v>
      </c>
      <c r="WN11">
        <f>'Demand Stage 2'!WN10</f>
        <v>0</v>
      </c>
      <c r="WO11">
        <f>'Demand Stage 2'!WO10</f>
        <v>0</v>
      </c>
      <c r="WP11">
        <f>'Demand Stage 2'!WP10</f>
        <v>0</v>
      </c>
      <c r="WQ11">
        <f>'Demand Stage 2'!WQ10</f>
        <v>0</v>
      </c>
      <c r="WR11">
        <f>'Demand Stage 2'!WR10</f>
        <v>0</v>
      </c>
      <c r="WS11">
        <f>'Demand Stage 2'!WS10</f>
        <v>0</v>
      </c>
      <c r="WT11">
        <f>'Demand Stage 2'!WT10</f>
        <v>12.5</v>
      </c>
      <c r="WU11">
        <f>'Demand Stage 2'!WU10</f>
        <v>12.5</v>
      </c>
      <c r="WV11">
        <f>'Demand Stage 2'!WV10</f>
        <v>12.5</v>
      </c>
      <c r="WW11">
        <f>'Demand Stage 2'!WW10</f>
        <v>25</v>
      </c>
      <c r="WX11">
        <f>'Demand Stage 2'!WX10</f>
        <v>25</v>
      </c>
      <c r="WY11">
        <f>'Demand Stage 2'!WY10</f>
        <v>25</v>
      </c>
      <c r="WZ11">
        <f>'Demand Stage 2'!WZ10</f>
        <v>25</v>
      </c>
      <c r="XA11">
        <f>'Demand Stage 2'!XA10</f>
        <v>25</v>
      </c>
      <c r="XB11">
        <f>'Demand Stage 2'!XB10</f>
        <v>25</v>
      </c>
      <c r="XC11">
        <f>'Demand Stage 2'!XC10</f>
        <v>43.75</v>
      </c>
      <c r="XD11">
        <f>'Demand Stage 2'!XD10</f>
        <v>25</v>
      </c>
      <c r="XE11">
        <f>'Demand Stage 2'!XE10</f>
        <v>0</v>
      </c>
      <c r="XF11">
        <f>'Demand Stage 2'!XF10</f>
        <v>0</v>
      </c>
      <c r="XG11">
        <f>'Demand Stage 2'!XG10</f>
        <v>0</v>
      </c>
      <c r="XH11">
        <f>'Demand Stage 2'!XH10</f>
        <v>0</v>
      </c>
      <c r="XI11">
        <f>'Demand Stage 2'!XI10</f>
        <v>0</v>
      </c>
      <c r="XJ11">
        <f>'Demand Stage 2'!XJ10</f>
        <v>0</v>
      </c>
      <c r="XK11">
        <f>'Demand Stage 2'!XK10</f>
        <v>0</v>
      </c>
      <c r="XL11">
        <f>'Demand Stage 2'!XL10</f>
        <v>0</v>
      </c>
      <c r="XM11">
        <f>'Demand Stage 2'!XM10</f>
        <v>0</v>
      </c>
      <c r="XN11">
        <f>'Demand Stage 2'!XN10</f>
        <v>0</v>
      </c>
      <c r="XO11">
        <f>'Demand Stage 2'!XO10</f>
        <v>0</v>
      </c>
      <c r="XP11">
        <f>'Demand Stage 2'!XP10</f>
        <v>12.5</v>
      </c>
      <c r="XQ11">
        <f>'Demand Stage 2'!XQ10</f>
        <v>12.5</v>
      </c>
      <c r="XR11">
        <f>'Demand Stage 2'!XR10</f>
        <v>12.5</v>
      </c>
      <c r="XS11">
        <f>'Demand Stage 2'!XS10</f>
        <v>25</v>
      </c>
      <c r="XT11">
        <f>'Demand Stage 2'!XT10</f>
        <v>25</v>
      </c>
      <c r="XU11">
        <f>'Demand Stage 2'!XU10</f>
        <v>25</v>
      </c>
      <c r="XV11">
        <f>'Demand Stage 2'!XV10</f>
        <v>25</v>
      </c>
      <c r="XW11">
        <f>'Demand Stage 2'!XW10</f>
        <v>25</v>
      </c>
      <c r="XX11">
        <f>'Demand Stage 2'!XX10</f>
        <v>25</v>
      </c>
      <c r="XY11">
        <f>'Demand Stage 2'!XY10</f>
        <v>43.75</v>
      </c>
      <c r="XZ11">
        <f>'Demand Stage 2'!XZ10</f>
        <v>25</v>
      </c>
      <c r="YA11">
        <f>'Demand Stage 2'!YA10</f>
        <v>0</v>
      </c>
      <c r="YB11">
        <f>'Demand Stage 2'!YB10</f>
        <v>0</v>
      </c>
      <c r="YC11">
        <f>'Demand Stage 2'!YC10</f>
        <v>0</v>
      </c>
      <c r="YD11">
        <f>'Demand Stage 2'!YD10</f>
        <v>0</v>
      </c>
      <c r="YE11">
        <f>'Demand Stage 2'!YE10</f>
        <v>0</v>
      </c>
      <c r="YF11">
        <f>'Demand Stage 2'!YF10</f>
        <v>0</v>
      </c>
      <c r="YG11">
        <f>'Demand Stage 2'!YG10</f>
        <v>0</v>
      </c>
      <c r="YH11">
        <f>'Demand Stage 2'!YH10</f>
        <v>0</v>
      </c>
      <c r="YI11">
        <f>'Demand Stage 2'!YI10</f>
        <v>0</v>
      </c>
      <c r="YJ11">
        <f>'Demand Stage 2'!YJ10</f>
        <v>0</v>
      </c>
      <c r="YK11">
        <f>'Demand Stage 2'!YK10</f>
        <v>0</v>
      </c>
      <c r="YL11">
        <f>'Demand Stage 2'!YL10</f>
        <v>12.5</v>
      </c>
      <c r="YM11">
        <f>'Demand Stage 2'!YM10</f>
        <v>12.5</v>
      </c>
      <c r="YN11">
        <f>'Demand Stage 2'!YN10</f>
        <v>12.5</v>
      </c>
      <c r="YO11">
        <f>'Demand Stage 2'!YO10</f>
        <v>25</v>
      </c>
      <c r="YP11">
        <f>'Demand Stage 2'!YP10</f>
        <v>25</v>
      </c>
      <c r="YQ11">
        <f>'Demand Stage 2'!YQ10</f>
        <v>25</v>
      </c>
      <c r="YR11">
        <f>'Demand Stage 2'!YR10</f>
        <v>25</v>
      </c>
      <c r="YS11">
        <f>'Demand Stage 2'!YS10</f>
        <v>25</v>
      </c>
      <c r="YT11">
        <f>'Demand Stage 2'!YT10</f>
        <v>25</v>
      </c>
      <c r="YU11">
        <f>'Demand Stage 2'!YU10</f>
        <v>43.75</v>
      </c>
      <c r="YV11">
        <f>'Demand Stage 2'!YV10</f>
        <v>25</v>
      </c>
      <c r="YW11">
        <f>'Demand Stage 2'!YW10</f>
        <v>0</v>
      </c>
      <c r="YX11">
        <f>'Demand Stage 2'!YX10</f>
        <v>0</v>
      </c>
      <c r="YY11">
        <f>'Demand Stage 2'!YY10</f>
        <v>0</v>
      </c>
      <c r="YZ11">
        <f>'Demand Stage 2'!YZ10</f>
        <v>0</v>
      </c>
      <c r="ZA11">
        <f>'Demand Stage 2'!ZA10</f>
        <v>0</v>
      </c>
      <c r="ZB11">
        <f>'Demand Stage 2'!ZB10</f>
        <v>0</v>
      </c>
      <c r="ZC11">
        <f>'Demand Stage 2'!ZC10</f>
        <v>0</v>
      </c>
      <c r="ZD11">
        <f>'Demand Stage 2'!ZD10</f>
        <v>0</v>
      </c>
      <c r="ZE11">
        <f>'Demand Stage 2'!ZE10</f>
        <v>0</v>
      </c>
      <c r="ZF11">
        <f>'Demand Stage 2'!ZF10</f>
        <v>0</v>
      </c>
      <c r="ZG11">
        <f>'Demand Stage 2'!ZG10</f>
        <v>0</v>
      </c>
      <c r="ZH11">
        <f>'Demand Stage 2'!ZH10</f>
        <v>12.5</v>
      </c>
      <c r="ZI11">
        <f>'Demand Stage 2'!ZI10</f>
        <v>12.5</v>
      </c>
      <c r="ZJ11">
        <f>'Demand Stage 2'!ZJ10</f>
        <v>12.5</v>
      </c>
      <c r="ZK11">
        <f>'Demand Stage 2'!ZK10</f>
        <v>25</v>
      </c>
      <c r="ZL11">
        <f>'Demand Stage 2'!ZL10</f>
        <v>25</v>
      </c>
      <c r="ZM11">
        <f>'Demand Stage 2'!ZM10</f>
        <v>25</v>
      </c>
      <c r="ZN11">
        <f>'Demand Stage 2'!ZN10</f>
        <v>25</v>
      </c>
      <c r="ZO11">
        <f>'Demand Stage 2'!ZO10</f>
        <v>25</v>
      </c>
      <c r="ZP11">
        <f>'Demand Stage 2'!ZP10</f>
        <v>25</v>
      </c>
      <c r="ZQ11">
        <f>'Demand Stage 2'!ZQ10</f>
        <v>43.75</v>
      </c>
      <c r="ZR11">
        <f>'Demand Stage 2'!ZR10</f>
        <v>25</v>
      </c>
      <c r="ZS11">
        <f>'Demand Stage 2'!ZS10</f>
        <v>0</v>
      </c>
      <c r="ZT11">
        <f>'Demand Stage 2'!ZT10</f>
        <v>0</v>
      </c>
      <c r="ZU11">
        <f>'Demand Stage 2'!ZU10</f>
        <v>0</v>
      </c>
      <c r="ZV11">
        <f>'Demand Stage 2'!ZV10</f>
        <v>0</v>
      </c>
      <c r="ZW11">
        <f>'Demand Stage 2'!ZW10</f>
        <v>0</v>
      </c>
      <c r="ZX11">
        <f>'Demand Stage 2'!ZX10</f>
        <v>0</v>
      </c>
      <c r="ZY11">
        <f>'Demand Stage 2'!ZY10</f>
        <v>0</v>
      </c>
      <c r="ZZ11">
        <f>'Demand Stage 2'!ZZ10</f>
        <v>0</v>
      </c>
      <c r="AAA11">
        <f>'Demand Stage 2'!AAA10</f>
        <v>0</v>
      </c>
      <c r="AAB11">
        <f>'Demand Stage 2'!AAB10</f>
        <v>0</v>
      </c>
      <c r="AAC11">
        <f>'Demand Stage 2'!AAC10</f>
        <v>0</v>
      </c>
      <c r="AAD11">
        <f t="shared" si="33"/>
        <v>12.5</v>
      </c>
      <c r="AAE11">
        <f t="shared" si="66"/>
        <v>12.5</v>
      </c>
      <c r="AAF11">
        <f t="shared" si="67"/>
        <v>12.5</v>
      </c>
      <c r="AAG11">
        <f t="shared" si="68"/>
        <v>25</v>
      </c>
      <c r="AAH11">
        <f t="shared" si="69"/>
        <v>25</v>
      </c>
      <c r="AAI11">
        <f t="shared" si="70"/>
        <v>25</v>
      </c>
      <c r="AAJ11">
        <f t="shared" si="71"/>
        <v>25</v>
      </c>
      <c r="AAK11">
        <f t="shared" si="72"/>
        <v>25</v>
      </c>
      <c r="AAL11">
        <f t="shared" si="73"/>
        <v>25</v>
      </c>
      <c r="AAM11">
        <f t="shared" si="74"/>
        <v>43.75</v>
      </c>
      <c r="AAN11">
        <f t="shared" si="75"/>
        <v>25</v>
      </c>
      <c r="AAO11">
        <f t="shared" si="76"/>
        <v>0</v>
      </c>
      <c r="AAP11">
        <f t="shared" si="77"/>
        <v>0</v>
      </c>
      <c r="AAQ11">
        <f t="shared" si="78"/>
        <v>0</v>
      </c>
      <c r="AAR11">
        <f t="shared" si="79"/>
        <v>0</v>
      </c>
      <c r="AAS11">
        <f t="shared" si="80"/>
        <v>0</v>
      </c>
      <c r="AAT11">
        <f t="shared" si="81"/>
        <v>0</v>
      </c>
      <c r="AAU11">
        <f t="shared" si="82"/>
        <v>0</v>
      </c>
      <c r="AAV11">
        <f t="shared" si="83"/>
        <v>0</v>
      </c>
      <c r="AAW11">
        <f t="shared" si="84"/>
        <v>0</v>
      </c>
      <c r="AAX11">
        <f t="shared" si="85"/>
        <v>0</v>
      </c>
      <c r="AAY11">
        <f t="shared" si="86"/>
        <v>0</v>
      </c>
      <c r="AAZ11">
        <f t="shared" si="87"/>
        <v>12.5</v>
      </c>
      <c r="ABA11">
        <f t="shared" si="88"/>
        <v>12.5</v>
      </c>
      <c r="ABB11">
        <f t="shared" si="89"/>
        <v>12.5</v>
      </c>
      <c r="ABC11">
        <f t="shared" si="90"/>
        <v>25</v>
      </c>
      <c r="ABD11">
        <f t="shared" si="91"/>
        <v>25</v>
      </c>
      <c r="ABE11">
        <f t="shared" si="92"/>
        <v>25</v>
      </c>
      <c r="ABF11">
        <f t="shared" si="93"/>
        <v>25</v>
      </c>
      <c r="ABG11">
        <f t="shared" si="94"/>
        <v>25</v>
      </c>
      <c r="ABH11">
        <f t="shared" si="95"/>
        <v>25</v>
      </c>
      <c r="ABI11">
        <f t="shared" si="96"/>
        <v>43.75</v>
      </c>
      <c r="ABJ11">
        <f t="shared" si="97"/>
        <v>25</v>
      </c>
      <c r="ABK11">
        <f t="shared" si="98"/>
        <v>0</v>
      </c>
      <c r="ABL11">
        <f t="shared" si="99"/>
        <v>0</v>
      </c>
      <c r="ABM11">
        <f t="shared" si="100"/>
        <v>0</v>
      </c>
      <c r="ABN11">
        <f t="shared" si="101"/>
        <v>0</v>
      </c>
      <c r="ABO11">
        <f t="shared" si="102"/>
        <v>0</v>
      </c>
      <c r="ABP11">
        <f t="shared" si="103"/>
        <v>0</v>
      </c>
      <c r="ABQ11">
        <f t="shared" si="104"/>
        <v>0</v>
      </c>
      <c r="ABR11">
        <f t="shared" si="105"/>
        <v>0</v>
      </c>
      <c r="ABS11">
        <f t="shared" si="106"/>
        <v>0</v>
      </c>
      <c r="ABT11">
        <f t="shared" si="107"/>
        <v>0</v>
      </c>
      <c r="ABU11">
        <f t="shared" si="108"/>
        <v>0</v>
      </c>
      <c r="ABV11">
        <f t="shared" si="109"/>
        <v>12.5</v>
      </c>
      <c r="ABW11">
        <f t="shared" si="110"/>
        <v>12.5</v>
      </c>
      <c r="ABX11">
        <f t="shared" si="111"/>
        <v>12.5</v>
      </c>
      <c r="ABY11">
        <f t="shared" si="112"/>
        <v>25</v>
      </c>
      <c r="ABZ11">
        <f t="shared" si="113"/>
        <v>25</v>
      </c>
      <c r="ACA11">
        <f t="shared" si="114"/>
        <v>25</v>
      </c>
      <c r="ACB11">
        <f t="shared" si="115"/>
        <v>25</v>
      </c>
      <c r="ACC11">
        <f t="shared" si="116"/>
        <v>25</v>
      </c>
      <c r="ACD11">
        <f t="shared" si="117"/>
        <v>25</v>
      </c>
      <c r="ACE11">
        <f t="shared" si="118"/>
        <v>43.75</v>
      </c>
      <c r="ACF11">
        <f t="shared" si="119"/>
        <v>25</v>
      </c>
      <c r="ACG11">
        <f t="shared" si="120"/>
        <v>0</v>
      </c>
      <c r="ACH11">
        <f t="shared" si="121"/>
        <v>0</v>
      </c>
      <c r="ACI11">
        <f t="shared" si="122"/>
        <v>0</v>
      </c>
      <c r="ACJ11">
        <f t="shared" si="123"/>
        <v>0</v>
      </c>
      <c r="ACK11">
        <f t="shared" si="124"/>
        <v>0</v>
      </c>
      <c r="ACL11">
        <f t="shared" si="125"/>
        <v>0</v>
      </c>
      <c r="ACM11">
        <f t="shared" si="126"/>
        <v>0</v>
      </c>
      <c r="ACN11">
        <f t="shared" si="127"/>
        <v>0</v>
      </c>
      <c r="ACO11">
        <f t="shared" si="128"/>
        <v>0</v>
      </c>
      <c r="ACP11">
        <f t="shared" si="34"/>
        <v>0</v>
      </c>
      <c r="ACQ11">
        <f t="shared" si="129"/>
        <v>0</v>
      </c>
      <c r="ACR11">
        <f t="shared" si="130"/>
        <v>12.5</v>
      </c>
      <c r="ACS11">
        <f t="shared" si="131"/>
        <v>12.5</v>
      </c>
      <c r="ACT11">
        <f t="shared" si="132"/>
        <v>12.5</v>
      </c>
      <c r="ACU11">
        <f t="shared" si="133"/>
        <v>25</v>
      </c>
      <c r="ACV11">
        <f t="shared" si="134"/>
        <v>25</v>
      </c>
      <c r="ACW11">
        <f t="shared" si="135"/>
        <v>25</v>
      </c>
      <c r="ACX11">
        <f t="shared" si="136"/>
        <v>25</v>
      </c>
      <c r="ACY11">
        <f t="shared" si="137"/>
        <v>25</v>
      </c>
      <c r="ACZ11">
        <f t="shared" si="138"/>
        <v>25</v>
      </c>
      <c r="ADA11">
        <f t="shared" si="139"/>
        <v>43.75</v>
      </c>
      <c r="ADB11">
        <f t="shared" si="140"/>
        <v>25</v>
      </c>
      <c r="ADC11">
        <f t="shared" si="141"/>
        <v>0</v>
      </c>
      <c r="ADD11">
        <f t="shared" si="142"/>
        <v>0</v>
      </c>
      <c r="ADE11">
        <f t="shared" si="143"/>
        <v>0</v>
      </c>
      <c r="ADF11">
        <f t="shared" si="144"/>
        <v>0</v>
      </c>
      <c r="ADG11">
        <f t="shared" si="145"/>
        <v>0</v>
      </c>
      <c r="ADH11">
        <f t="shared" si="146"/>
        <v>0</v>
      </c>
      <c r="ADI11">
        <f t="shared" si="147"/>
        <v>0</v>
      </c>
      <c r="ADJ11">
        <f t="shared" si="148"/>
        <v>0</v>
      </c>
      <c r="ADK11">
        <f t="shared" si="149"/>
        <v>0</v>
      </c>
      <c r="ADL11">
        <f t="shared" si="150"/>
        <v>0</v>
      </c>
      <c r="ADM11">
        <f t="shared" si="151"/>
        <v>0</v>
      </c>
      <c r="ADN11">
        <f t="shared" si="152"/>
        <v>12.5</v>
      </c>
      <c r="ADO11">
        <f t="shared" si="153"/>
        <v>12.5</v>
      </c>
      <c r="ADP11">
        <f t="shared" si="154"/>
        <v>12.5</v>
      </c>
      <c r="ADQ11">
        <f t="shared" si="155"/>
        <v>25</v>
      </c>
      <c r="ADR11">
        <f t="shared" si="156"/>
        <v>25</v>
      </c>
      <c r="ADS11">
        <f t="shared" si="157"/>
        <v>25</v>
      </c>
      <c r="ADT11">
        <f t="shared" si="158"/>
        <v>25</v>
      </c>
      <c r="ADU11">
        <f t="shared" si="159"/>
        <v>25</v>
      </c>
      <c r="ADV11">
        <f t="shared" si="160"/>
        <v>25</v>
      </c>
      <c r="ADW11">
        <f t="shared" si="161"/>
        <v>43.75</v>
      </c>
      <c r="ADX11">
        <f t="shared" si="162"/>
        <v>25</v>
      </c>
      <c r="ADY11">
        <f t="shared" si="163"/>
        <v>0</v>
      </c>
      <c r="ADZ11">
        <f t="shared" si="164"/>
        <v>0</v>
      </c>
      <c r="AEA11">
        <f t="shared" si="165"/>
        <v>0</v>
      </c>
      <c r="AEB11">
        <f t="shared" si="166"/>
        <v>0</v>
      </c>
      <c r="AEC11">
        <f t="shared" si="167"/>
        <v>0</v>
      </c>
      <c r="AED11">
        <f t="shared" si="168"/>
        <v>0</v>
      </c>
      <c r="AEE11">
        <f t="shared" si="169"/>
        <v>0</v>
      </c>
      <c r="AEF11">
        <f t="shared" si="170"/>
        <v>0</v>
      </c>
      <c r="AEG11">
        <f t="shared" si="171"/>
        <v>0</v>
      </c>
      <c r="AEH11">
        <f t="shared" si="172"/>
        <v>0</v>
      </c>
      <c r="AEI11">
        <f t="shared" si="173"/>
        <v>0</v>
      </c>
      <c r="AEJ11">
        <f t="shared" si="174"/>
        <v>12.5</v>
      </c>
      <c r="AEK11">
        <f t="shared" si="175"/>
        <v>12.5</v>
      </c>
      <c r="AEL11">
        <f t="shared" si="176"/>
        <v>12.5</v>
      </c>
      <c r="AEM11">
        <f t="shared" si="177"/>
        <v>25</v>
      </c>
      <c r="AEN11">
        <f t="shared" si="178"/>
        <v>25</v>
      </c>
      <c r="AEO11">
        <f t="shared" si="179"/>
        <v>25</v>
      </c>
      <c r="AEP11">
        <f t="shared" si="180"/>
        <v>25</v>
      </c>
      <c r="AEQ11">
        <f t="shared" si="181"/>
        <v>25</v>
      </c>
      <c r="AER11">
        <f t="shared" si="182"/>
        <v>25</v>
      </c>
      <c r="AES11">
        <f t="shared" si="183"/>
        <v>43.75</v>
      </c>
      <c r="AET11">
        <f t="shared" si="184"/>
        <v>25</v>
      </c>
      <c r="AEU11">
        <f t="shared" si="185"/>
        <v>0</v>
      </c>
      <c r="AEV11">
        <f t="shared" si="186"/>
        <v>0</v>
      </c>
      <c r="AEW11">
        <f t="shared" si="187"/>
        <v>0</v>
      </c>
      <c r="AEX11">
        <f t="shared" si="188"/>
        <v>0</v>
      </c>
      <c r="AEY11">
        <f t="shared" si="189"/>
        <v>0</v>
      </c>
      <c r="AEZ11">
        <f t="shared" si="190"/>
        <v>0</v>
      </c>
      <c r="AFA11">
        <f t="shared" si="191"/>
        <v>0</v>
      </c>
      <c r="AFB11">
        <f t="shared" si="35"/>
        <v>0</v>
      </c>
      <c r="AFC11">
        <f t="shared" si="192"/>
        <v>0</v>
      </c>
      <c r="AFD11">
        <f t="shared" si="193"/>
        <v>0</v>
      </c>
      <c r="AFE11">
        <f t="shared" si="194"/>
        <v>0</v>
      </c>
      <c r="AFF11">
        <f t="shared" si="195"/>
        <v>12.5</v>
      </c>
      <c r="AFG11">
        <f t="shared" si="196"/>
        <v>12.5</v>
      </c>
      <c r="AFH11">
        <f t="shared" si="197"/>
        <v>12.5</v>
      </c>
      <c r="AFI11">
        <f t="shared" si="198"/>
        <v>25</v>
      </c>
      <c r="AFJ11">
        <f t="shared" si="199"/>
        <v>25</v>
      </c>
      <c r="AFK11">
        <f t="shared" si="200"/>
        <v>25</v>
      </c>
      <c r="AFL11">
        <f t="shared" si="201"/>
        <v>25</v>
      </c>
      <c r="AFM11">
        <f t="shared" si="202"/>
        <v>25</v>
      </c>
      <c r="AFN11">
        <f t="shared" si="203"/>
        <v>25</v>
      </c>
      <c r="AFO11">
        <f t="shared" si="204"/>
        <v>43.75</v>
      </c>
      <c r="AFP11">
        <f t="shared" si="205"/>
        <v>25</v>
      </c>
      <c r="AFQ11">
        <f t="shared" si="206"/>
        <v>0</v>
      </c>
      <c r="AFR11">
        <f t="shared" si="207"/>
        <v>0</v>
      </c>
      <c r="AFS11">
        <f t="shared" si="208"/>
        <v>0</v>
      </c>
      <c r="AFT11">
        <f t="shared" si="209"/>
        <v>0</v>
      </c>
      <c r="AFU11">
        <f t="shared" si="210"/>
        <v>0</v>
      </c>
      <c r="AFV11">
        <f t="shared" si="211"/>
        <v>0</v>
      </c>
      <c r="AFW11">
        <f t="shared" si="212"/>
        <v>0</v>
      </c>
      <c r="AFX11">
        <f t="shared" si="213"/>
        <v>0</v>
      </c>
      <c r="AFY11">
        <f t="shared" si="214"/>
        <v>0</v>
      </c>
      <c r="AFZ11">
        <f t="shared" si="215"/>
        <v>0</v>
      </c>
      <c r="AGA11">
        <f t="shared" si="216"/>
        <v>0</v>
      </c>
      <c r="AGB11">
        <f t="shared" si="217"/>
        <v>12.5</v>
      </c>
      <c r="AGC11">
        <f t="shared" si="218"/>
        <v>12.5</v>
      </c>
      <c r="AGD11">
        <f t="shared" si="219"/>
        <v>12.5</v>
      </c>
      <c r="AGE11">
        <f t="shared" si="220"/>
        <v>25</v>
      </c>
      <c r="AGF11">
        <f t="shared" si="221"/>
        <v>25</v>
      </c>
      <c r="AGG11">
        <f t="shared" si="222"/>
        <v>25</v>
      </c>
      <c r="AGH11">
        <f t="shared" si="223"/>
        <v>25</v>
      </c>
      <c r="AGI11">
        <f t="shared" si="224"/>
        <v>25</v>
      </c>
      <c r="AGJ11">
        <f t="shared" si="225"/>
        <v>25</v>
      </c>
      <c r="AGK11">
        <f t="shared" si="226"/>
        <v>43.75</v>
      </c>
      <c r="AGL11">
        <f t="shared" si="227"/>
        <v>25</v>
      </c>
      <c r="AGM11">
        <f t="shared" si="228"/>
        <v>0</v>
      </c>
      <c r="AGN11">
        <f t="shared" si="229"/>
        <v>0</v>
      </c>
      <c r="AGO11">
        <f t="shared" si="230"/>
        <v>0</v>
      </c>
      <c r="AGP11">
        <f t="shared" si="231"/>
        <v>0</v>
      </c>
      <c r="AGQ11">
        <f t="shared" si="232"/>
        <v>0</v>
      </c>
      <c r="AGR11">
        <f t="shared" si="233"/>
        <v>0</v>
      </c>
      <c r="AGS11">
        <f t="shared" si="234"/>
        <v>0</v>
      </c>
      <c r="AGT11">
        <f t="shared" si="235"/>
        <v>0</v>
      </c>
      <c r="AGU11">
        <f t="shared" si="236"/>
        <v>0</v>
      </c>
      <c r="AGV11">
        <f t="shared" si="237"/>
        <v>0</v>
      </c>
      <c r="AGW11">
        <f t="shared" si="238"/>
        <v>0</v>
      </c>
      <c r="AGX11">
        <f t="shared" si="239"/>
        <v>12.5</v>
      </c>
      <c r="AGY11">
        <f t="shared" si="240"/>
        <v>12.5</v>
      </c>
      <c r="AGZ11">
        <f t="shared" si="241"/>
        <v>12.5</v>
      </c>
      <c r="AHA11">
        <f t="shared" si="242"/>
        <v>25</v>
      </c>
      <c r="AHB11">
        <f t="shared" si="243"/>
        <v>25</v>
      </c>
      <c r="AHC11">
        <f t="shared" si="244"/>
        <v>25</v>
      </c>
      <c r="AHD11">
        <f t="shared" si="245"/>
        <v>25</v>
      </c>
      <c r="AHE11">
        <f t="shared" si="246"/>
        <v>25</v>
      </c>
      <c r="AHF11">
        <f t="shared" si="247"/>
        <v>25</v>
      </c>
      <c r="AHG11">
        <f t="shared" si="248"/>
        <v>43.75</v>
      </c>
      <c r="AHH11">
        <f t="shared" si="249"/>
        <v>25</v>
      </c>
      <c r="AHI11">
        <f t="shared" si="250"/>
        <v>0</v>
      </c>
      <c r="AHJ11">
        <f t="shared" si="251"/>
        <v>0</v>
      </c>
      <c r="AHK11">
        <f t="shared" si="252"/>
        <v>0</v>
      </c>
      <c r="AHL11">
        <f t="shared" si="253"/>
        <v>0</v>
      </c>
      <c r="AHM11">
        <f t="shared" si="254"/>
        <v>0</v>
      </c>
      <c r="AHN11">
        <f t="shared" si="36"/>
        <v>0</v>
      </c>
      <c r="AHO11">
        <f t="shared" si="255"/>
        <v>0</v>
      </c>
      <c r="AHP11">
        <f t="shared" si="256"/>
        <v>0</v>
      </c>
      <c r="AHQ11">
        <f t="shared" si="257"/>
        <v>0</v>
      </c>
      <c r="AHR11">
        <f t="shared" si="258"/>
        <v>0</v>
      </c>
      <c r="AHS11">
        <f t="shared" si="259"/>
        <v>0</v>
      </c>
      <c r="AHT11">
        <f t="shared" si="260"/>
        <v>12.5</v>
      </c>
      <c r="AHU11">
        <f t="shared" si="261"/>
        <v>12.5</v>
      </c>
      <c r="AHV11">
        <f t="shared" si="262"/>
        <v>12.5</v>
      </c>
      <c r="AHW11">
        <f t="shared" si="263"/>
        <v>25</v>
      </c>
      <c r="AHX11">
        <f t="shared" si="264"/>
        <v>25</v>
      </c>
      <c r="AHY11">
        <f t="shared" si="265"/>
        <v>25</v>
      </c>
      <c r="AHZ11">
        <f t="shared" si="266"/>
        <v>25</v>
      </c>
      <c r="AIA11">
        <f t="shared" si="267"/>
        <v>25</v>
      </c>
      <c r="AIB11">
        <f t="shared" si="268"/>
        <v>25</v>
      </c>
      <c r="AIC11">
        <f t="shared" si="269"/>
        <v>43.75</v>
      </c>
      <c r="AID11">
        <f t="shared" si="270"/>
        <v>25</v>
      </c>
      <c r="AIE11">
        <f t="shared" si="271"/>
        <v>0</v>
      </c>
      <c r="AIF11">
        <f t="shared" si="272"/>
        <v>0</v>
      </c>
      <c r="AIG11">
        <f t="shared" si="273"/>
        <v>0</v>
      </c>
      <c r="AIH11">
        <f t="shared" si="274"/>
        <v>0</v>
      </c>
      <c r="AII11">
        <f t="shared" si="275"/>
        <v>0</v>
      </c>
      <c r="AIJ11">
        <f t="shared" si="276"/>
        <v>0</v>
      </c>
      <c r="AIK11">
        <f t="shared" si="277"/>
        <v>0</v>
      </c>
      <c r="AIL11">
        <f t="shared" si="278"/>
        <v>0</v>
      </c>
      <c r="AIM11">
        <f t="shared" si="279"/>
        <v>0</v>
      </c>
      <c r="AIN11">
        <f t="shared" si="280"/>
        <v>0</v>
      </c>
      <c r="AIO11">
        <f t="shared" si="281"/>
        <v>0</v>
      </c>
      <c r="AIP11">
        <f t="shared" si="282"/>
        <v>12.5</v>
      </c>
      <c r="AIQ11">
        <f t="shared" si="283"/>
        <v>12.5</v>
      </c>
      <c r="AIR11">
        <f t="shared" si="284"/>
        <v>12.5</v>
      </c>
      <c r="AIS11">
        <f t="shared" si="285"/>
        <v>25</v>
      </c>
      <c r="AIT11">
        <f t="shared" si="286"/>
        <v>25</v>
      </c>
      <c r="AIU11">
        <f t="shared" si="287"/>
        <v>25</v>
      </c>
      <c r="AIV11">
        <f t="shared" si="288"/>
        <v>25</v>
      </c>
      <c r="AIW11">
        <f t="shared" si="289"/>
        <v>25</v>
      </c>
      <c r="AIX11">
        <f t="shared" si="290"/>
        <v>25</v>
      </c>
      <c r="AIY11">
        <f t="shared" si="291"/>
        <v>43.75</v>
      </c>
      <c r="AIZ11">
        <f t="shared" si="292"/>
        <v>25</v>
      </c>
      <c r="AJA11">
        <f t="shared" si="293"/>
        <v>0</v>
      </c>
      <c r="AJB11">
        <f t="shared" si="294"/>
        <v>0</v>
      </c>
      <c r="AJC11">
        <f t="shared" si="295"/>
        <v>0</v>
      </c>
      <c r="AJD11">
        <f t="shared" si="296"/>
        <v>0</v>
      </c>
      <c r="AJE11">
        <f t="shared" si="297"/>
        <v>0</v>
      </c>
      <c r="AJF11">
        <f t="shared" si="298"/>
        <v>0</v>
      </c>
      <c r="AJG11">
        <f t="shared" si="299"/>
        <v>0</v>
      </c>
      <c r="AJH11">
        <f t="shared" si="300"/>
        <v>0</v>
      </c>
      <c r="AJI11">
        <f t="shared" si="301"/>
        <v>0</v>
      </c>
      <c r="AJJ11">
        <f t="shared" si="302"/>
        <v>0</v>
      </c>
      <c r="AJK11">
        <f t="shared" si="303"/>
        <v>0</v>
      </c>
      <c r="AJL11">
        <f t="shared" si="304"/>
        <v>12.5</v>
      </c>
      <c r="AJM11">
        <f t="shared" si="305"/>
        <v>12.5</v>
      </c>
      <c r="AJN11">
        <f t="shared" si="306"/>
        <v>12.5</v>
      </c>
      <c r="AJO11">
        <f t="shared" si="307"/>
        <v>25</v>
      </c>
      <c r="AJP11">
        <f t="shared" si="308"/>
        <v>25</v>
      </c>
      <c r="AJQ11">
        <f t="shared" si="309"/>
        <v>25</v>
      </c>
      <c r="AJR11">
        <f t="shared" si="310"/>
        <v>25</v>
      </c>
      <c r="AJS11">
        <f t="shared" si="311"/>
        <v>25</v>
      </c>
      <c r="AJT11">
        <f t="shared" si="312"/>
        <v>25</v>
      </c>
      <c r="AJU11">
        <f t="shared" si="313"/>
        <v>43.75</v>
      </c>
      <c r="AJV11">
        <f t="shared" si="314"/>
        <v>25</v>
      </c>
      <c r="AJW11">
        <f t="shared" si="315"/>
        <v>0</v>
      </c>
      <c r="AJX11">
        <f t="shared" si="316"/>
        <v>0</v>
      </c>
      <c r="AJY11">
        <f t="shared" si="317"/>
        <v>0</v>
      </c>
      <c r="AJZ11">
        <f t="shared" si="37"/>
        <v>0</v>
      </c>
      <c r="AKA11">
        <f t="shared" si="318"/>
        <v>0</v>
      </c>
      <c r="AKB11">
        <f t="shared" si="319"/>
        <v>0</v>
      </c>
      <c r="AKC11">
        <f t="shared" si="320"/>
        <v>0</v>
      </c>
      <c r="AKD11">
        <f t="shared" si="321"/>
        <v>0</v>
      </c>
      <c r="AKE11">
        <f t="shared" si="322"/>
        <v>0</v>
      </c>
      <c r="AKF11">
        <f t="shared" si="323"/>
        <v>0</v>
      </c>
      <c r="AKG11">
        <f t="shared" si="324"/>
        <v>0</v>
      </c>
      <c r="AKH11">
        <f t="shared" si="325"/>
        <v>12.5</v>
      </c>
      <c r="AKI11">
        <f t="shared" si="326"/>
        <v>12.5</v>
      </c>
      <c r="AKJ11">
        <f t="shared" si="327"/>
        <v>12.5</v>
      </c>
      <c r="AKK11">
        <f t="shared" si="328"/>
        <v>25</v>
      </c>
      <c r="AKL11">
        <f t="shared" si="329"/>
        <v>25</v>
      </c>
      <c r="AKM11">
        <f t="shared" si="330"/>
        <v>25</v>
      </c>
      <c r="AKN11">
        <f t="shared" si="331"/>
        <v>25</v>
      </c>
      <c r="AKO11">
        <f t="shared" si="332"/>
        <v>25</v>
      </c>
      <c r="AKP11">
        <f t="shared" si="333"/>
        <v>25</v>
      </c>
      <c r="AKQ11">
        <f t="shared" si="334"/>
        <v>43.75</v>
      </c>
      <c r="AKR11">
        <f t="shared" si="335"/>
        <v>25</v>
      </c>
      <c r="AKS11">
        <f t="shared" si="336"/>
        <v>0</v>
      </c>
      <c r="AKT11">
        <f t="shared" si="337"/>
        <v>0</v>
      </c>
      <c r="AKU11">
        <f t="shared" si="338"/>
        <v>0</v>
      </c>
      <c r="AKV11">
        <f t="shared" si="339"/>
        <v>0</v>
      </c>
      <c r="AKW11">
        <f t="shared" si="340"/>
        <v>0</v>
      </c>
      <c r="AKX11">
        <f t="shared" si="341"/>
        <v>0</v>
      </c>
      <c r="AKY11">
        <f t="shared" si="342"/>
        <v>0</v>
      </c>
      <c r="AKZ11">
        <f t="shared" si="343"/>
        <v>0</v>
      </c>
      <c r="ALA11">
        <f t="shared" si="344"/>
        <v>0</v>
      </c>
      <c r="ALB11">
        <f t="shared" si="345"/>
        <v>0</v>
      </c>
      <c r="ALC11">
        <f t="shared" si="346"/>
        <v>0</v>
      </c>
      <c r="ALD11">
        <f t="shared" si="347"/>
        <v>12.5</v>
      </c>
      <c r="ALE11">
        <f t="shared" si="348"/>
        <v>12.5</v>
      </c>
      <c r="ALF11">
        <f t="shared" si="349"/>
        <v>12.5</v>
      </c>
      <c r="ALG11">
        <f t="shared" si="350"/>
        <v>25</v>
      </c>
      <c r="ALH11">
        <f t="shared" si="351"/>
        <v>25</v>
      </c>
      <c r="ALI11">
        <f t="shared" si="352"/>
        <v>25</v>
      </c>
      <c r="ALJ11">
        <f t="shared" si="353"/>
        <v>25</v>
      </c>
      <c r="ALK11">
        <f t="shared" si="354"/>
        <v>25</v>
      </c>
      <c r="ALL11">
        <f t="shared" si="355"/>
        <v>25</v>
      </c>
      <c r="ALM11">
        <f t="shared" si="356"/>
        <v>43.75</v>
      </c>
      <c r="ALN11">
        <f t="shared" si="357"/>
        <v>25</v>
      </c>
      <c r="ALO11">
        <f t="shared" si="358"/>
        <v>0</v>
      </c>
      <c r="ALP11">
        <f t="shared" si="359"/>
        <v>0</v>
      </c>
      <c r="ALQ11">
        <f t="shared" si="360"/>
        <v>0</v>
      </c>
      <c r="ALR11">
        <f t="shared" si="361"/>
        <v>0</v>
      </c>
      <c r="ALS11">
        <f t="shared" si="362"/>
        <v>0</v>
      </c>
      <c r="ALT11">
        <f t="shared" si="363"/>
        <v>0</v>
      </c>
      <c r="ALU11">
        <f t="shared" si="364"/>
        <v>0</v>
      </c>
      <c r="ALV11">
        <f t="shared" si="365"/>
        <v>0</v>
      </c>
      <c r="ALW11">
        <f t="shared" si="366"/>
        <v>0</v>
      </c>
      <c r="ALX11">
        <f t="shared" si="367"/>
        <v>0</v>
      </c>
      <c r="ALY11">
        <f t="shared" si="368"/>
        <v>0</v>
      </c>
      <c r="ALZ11">
        <f t="shared" si="369"/>
        <v>12.5</v>
      </c>
      <c r="AMA11">
        <f t="shared" si="370"/>
        <v>12.5</v>
      </c>
      <c r="AMB11">
        <f t="shared" si="371"/>
        <v>12.5</v>
      </c>
      <c r="AMC11">
        <f t="shared" si="372"/>
        <v>25</v>
      </c>
      <c r="AMD11">
        <f t="shared" si="373"/>
        <v>25</v>
      </c>
      <c r="AME11">
        <f t="shared" si="374"/>
        <v>25</v>
      </c>
      <c r="AMF11">
        <f t="shared" si="375"/>
        <v>25</v>
      </c>
      <c r="AMG11">
        <f t="shared" si="376"/>
        <v>25</v>
      </c>
      <c r="AMH11">
        <f t="shared" si="377"/>
        <v>25</v>
      </c>
      <c r="AMI11">
        <f t="shared" si="378"/>
        <v>43.75</v>
      </c>
      <c r="AMJ11">
        <f t="shared" si="379"/>
        <v>25</v>
      </c>
      <c r="AMK11">
        <f t="shared" si="380"/>
        <v>0</v>
      </c>
      <c r="AML11">
        <f t="shared" si="38"/>
        <v>0</v>
      </c>
      <c r="AMM11">
        <f t="shared" si="381"/>
        <v>0</v>
      </c>
      <c r="AMN11">
        <f t="shared" si="382"/>
        <v>0</v>
      </c>
      <c r="AMO11">
        <f t="shared" si="383"/>
        <v>0</v>
      </c>
      <c r="AMP11">
        <f t="shared" si="384"/>
        <v>0</v>
      </c>
      <c r="AMQ11">
        <f t="shared" si="385"/>
        <v>0</v>
      </c>
      <c r="AMR11">
        <f t="shared" si="386"/>
        <v>0</v>
      </c>
      <c r="AMS11">
        <f t="shared" si="387"/>
        <v>0</v>
      </c>
      <c r="AMT11">
        <f t="shared" si="388"/>
        <v>0</v>
      </c>
      <c r="AMU11">
        <f t="shared" si="389"/>
        <v>0</v>
      </c>
      <c r="AMV11">
        <f t="shared" si="390"/>
        <v>12.5</v>
      </c>
      <c r="AMW11">
        <f t="shared" si="391"/>
        <v>12.5</v>
      </c>
      <c r="AMX11">
        <f t="shared" si="392"/>
        <v>12.5</v>
      </c>
      <c r="AMY11">
        <f t="shared" si="393"/>
        <v>25</v>
      </c>
      <c r="AMZ11">
        <f t="shared" si="394"/>
        <v>25</v>
      </c>
      <c r="ANA11">
        <f t="shared" si="395"/>
        <v>25</v>
      </c>
      <c r="ANB11">
        <f t="shared" si="396"/>
        <v>25</v>
      </c>
      <c r="ANC11">
        <f t="shared" si="397"/>
        <v>25</v>
      </c>
      <c r="AND11">
        <f t="shared" si="398"/>
        <v>25</v>
      </c>
      <c r="ANE11">
        <f t="shared" si="399"/>
        <v>43.75</v>
      </c>
      <c r="ANF11">
        <f t="shared" si="400"/>
        <v>25</v>
      </c>
      <c r="ANG11">
        <f t="shared" si="401"/>
        <v>0</v>
      </c>
      <c r="ANH11">
        <f t="shared" si="402"/>
        <v>0</v>
      </c>
      <c r="ANI11">
        <f t="shared" si="403"/>
        <v>0</v>
      </c>
      <c r="ANJ11">
        <f t="shared" si="404"/>
        <v>0</v>
      </c>
      <c r="ANK11">
        <f t="shared" si="405"/>
        <v>0</v>
      </c>
      <c r="ANL11">
        <f t="shared" si="406"/>
        <v>0</v>
      </c>
      <c r="ANM11">
        <f t="shared" si="407"/>
        <v>0</v>
      </c>
      <c r="ANN11">
        <f t="shared" si="408"/>
        <v>0</v>
      </c>
      <c r="ANO11">
        <f t="shared" si="409"/>
        <v>0</v>
      </c>
      <c r="ANP11">
        <f t="shared" si="410"/>
        <v>0</v>
      </c>
      <c r="ANQ11">
        <f t="shared" si="411"/>
        <v>0</v>
      </c>
      <c r="ANR11">
        <f t="shared" si="412"/>
        <v>12.5</v>
      </c>
      <c r="ANS11">
        <f t="shared" si="413"/>
        <v>12.5</v>
      </c>
      <c r="ANT11">
        <f t="shared" si="414"/>
        <v>12.5</v>
      </c>
      <c r="ANU11">
        <f t="shared" si="415"/>
        <v>25</v>
      </c>
      <c r="ANV11">
        <f t="shared" si="416"/>
        <v>25</v>
      </c>
      <c r="ANW11">
        <f t="shared" si="417"/>
        <v>25</v>
      </c>
      <c r="ANX11">
        <f t="shared" si="418"/>
        <v>25</v>
      </c>
      <c r="ANY11">
        <f t="shared" si="419"/>
        <v>25</v>
      </c>
      <c r="ANZ11">
        <f t="shared" si="420"/>
        <v>25</v>
      </c>
      <c r="AOA11">
        <f t="shared" si="421"/>
        <v>43.75</v>
      </c>
      <c r="AOB11">
        <f t="shared" si="422"/>
        <v>25</v>
      </c>
      <c r="AOC11">
        <f t="shared" si="423"/>
        <v>0</v>
      </c>
      <c r="AOD11">
        <f t="shared" si="424"/>
        <v>0</v>
      </c>
      <c r="AOE11">
        <f t="shared" si="425"/>
        <v>0</v>
      </c>
      <c r="AOF11">
        <f t="shared" si="426"/>
        <v>0</v>
      </c>
      <c r="AOG11">
        <f t="shared" si="427"/>
        <v>0</v>
      </c>
      <c r="AOH11">
        <f t="shared" si="428"/>
        <v>0</v>
      </c>
      <c r="AOI11">
        <f t="shared" si="429"/>
        <v>0</v>
      </c>
      <c r="AOJ11">
        <f t="shared" si="430"/>
        <v>0</v>
      </c>
      <c r="AOK11">
        <f t="shared" si="431"/>
        <v>0</v>
      </c>
      <c r="AOL11">
        <f t="shared" si="432"/>
        <v>0</v>
      </c>
      <c r="AOM11">
        <f t="shared" si="433"/>
        <v>0</v>
      </c>
      <c r="AON11">
        <f t="shared" si="434"/>
        <v>12.5</v>
      </c>
      <c r="AOO11">
        <f t="shared" si="435"/>
        <v>12.5</v>
      </c>
      <c r="AOP11">
        <f t="shared" si="436"/>
        <v>12.5</v>
      </c>
      <c r="AOQ11">
        <f t="shared" si="437"/>
        <v>25</v>
      </c>
      <c r="AOR11">
        <f t="shared" si="438"/>
        <v>25</v>
      </c>
      <c r="AOS11">
        <f t="shared" si="439"/>
        <v>25</v>
      </c>
      <c r="AOT11">
        <f t="shared" si="440"/>
        <v>25</v>
      </c>
      <c r="AOU11">
        <f t="shared" si="441"/>
        <v>25</v>
      </c>
      <c r="AOV11">
        <f t="shared" si="442"/>
        <v>25</v>
      </c>
      <c r="AOW11">
        <f t="shared" si="443"/>
        <v>43.75</v>
      </c>
      <c r="AOX11">
        <f t="shared" si="39"/>
        <v>25</v>
      </c>
      <c r="AOY11">
        <f t="shared" si="444"/>
        <v>0</v>
      </c>
      <c r="AOZ11">
        <f t="shared" si="445"/>
        <v>0</v>
      </c>
      <c r="APA11">
        <f t="shared" si="446"/>
        <v>0</v>
      </c>
      <c r="APB11">
        <f t="shared" si="447"/>
        <v>0</v>
      </c>
      <c r="APC11">
        <f t="shared" si="448"/>
        <v>0</v>
      </c>
      <c r="APD11">
        <f t="shared" si="449"/>
        <v>0</v>
      </c>
      <c r="APE11">
        <f t="shared" si="450"/>
        <v>0</v>
      </c>
      <c r="APF11">
        <f t="shared" si="451"/>
        <v>0</v>
      </c>
      <c r="APG11">
        <f t="shared" si="452"/>
        <v>0</v>
      </c>
      <c r="APH11">
        <f t="shared" si="453"/>
        <v>0</v>
      </c>
      <c r="API11">
        <f t="shared" si="454"/>
        <v>0</v>
      </c>
      <c r="APJ11">
        <f t="shared" si="455"/>
        <v>12.5</v>
      </c>
      <c r="APK11">
        <f t="shared" si="456"/>
        <v>12.5</v>
      </c>
      <c r="APL11">
        <f t="shared" si="457"/>
        <v>12.5</v>
      </c>
      <c r="APM11">
        <f t="shared" si="458"/>
        <v>25</v>
      </c>
      <c r="APN11">
        <f t="shared" si="459"/>
        <v>25</v>
      </c>
      <c r="APO11">
        <f t="shared" si="460"/>
        <v>25</v>
      </c>
      <c r="APP11">
        <f t="shared" si="461"/>
        <v>25</v>
      </c>
      <c r="APQ11">
        <f t="shared" si="462"/>
        <v>25</v>
      </c>
      <c r="APR11">
        <f t="shared" si="463"/>
        <v>25</v>
      </c>
      <c r="APS11">
        <f t="shared" si="464"/>
        <v>43.75</v>
      </c>
      <c r="APT11">
        <f t="shared" si="465"/>
        <v>25</v>
      </c>
      <c r="APU11">
        <f t="shared" si="466"/>
        <v>0</v>
      </c>
      <c r="APV11">
        <f t="shared" si="467"/>
        <v>0</v>
      </c>
      <c r="APW11">
        <f t="shared" si="468"/>
        <v>0</v>
      </c>
      <c r="APX11">
        <f t="shared" si="469"/>
        <v>0</v>
      </c>
      <c r="APY11">
        <f t="shared" si="470"/>
        <v>0</v>
      </c>
      <c r="APZ11">
        <f t="shared" si="471"/>
        <v>0</v>
      </c>
      <c r="AQA11">
        <f t="shared" si="472"/>
        <v>0</v>
      </c>
      <c r="AQB11">
        <f t="shared" si="473"/>
        <v>0</v>
      </c>
      <c r="AQC11">
        <f t="shared" si="474"/>
        <v>0</v>
      </c>
      <c r="AQD11">
        <f t="shared" si="475"/>
        <v>0</v>
      </c>
      <c r="AQE11">
        <f t="shared" si="476"/>
        <v>0</v>
      </c>
      <c r="AQF11">
        <f t="shared" si="477"/>
        <v>12.5</v>
      </c>
      <c r="AQG11">
        <f t="shared" si="478"/>
        <v>12.5</v>
      </c>
      <c r="AQH11">
        <f t="shared" si="479"/>
        <v>12.5</v>
      </c>
      <c r="AQI11">
        <f t="shared" si="480"/>
        <v>25</v>
      </c>
      <c r="AQJ11">
        <f t="shared" si="481"/>
        <v>25</v>
      </c>
      <c r="AQK11">
        <f t="shared" si="482"/>
        <v>25</v>
      </c>
      <c r="AQL11">
        <f t="shared" si="483"/>
        <v>25</v>
      </c>
      <c r="AQM11">
        <f t="shared" si="484"/>
        <v>25</v>
      </c>
      <c r="AQN11">
        <f t="shared" si="485"/>
        <v>25</v>
      </c>
      <c r="AQO11">
        <f t="shared" si="486"/>
        <v>43.75</v>
      </c>
      <c r="AQP11">
        <f t="shared" si="487"/>
        <v>25</v>
      </c>
      <c r="AQQ11">
        <f t="shared" si="488"/>
        <v>0</v>
      </c>
      <c r="AQR11">
        <f t="shared" si="489"/>
        <v>0</v>
      </c>
      <c r="AQS11">
        <f t="shared" si="490"/>
        <v>0</v>
      </c>
      <c r="AQT11">
        <f t="shared" si="491"/>
        <v>0</v>
      </c>
      <c r="AQU11">
        <f t="shared" si="492"/>
        <v>0</v>
      </c>
      <c r="AQV11">
        <f t="shared" si="493"/>
        <v>0</v>
      </c>
      <c r="AQW11">
        <f t="shared" si="494"/>
        <v>0</v>
      </c>
      <c r="AQX11">
        <f t="shared" si="495"/>
        <v>0</v>
      </c>
      <c r="AQY11">
        <f t="shared" si="496"/>
        <v>0</v>
      </c>
      <c r="AQZ11">
        <f t="shared" si="497"/>
        <v>0</v>
      </c>
      <c r="ARA11">
        <f t="shared" si="498"/>
        <v>0</v>
      </c>
      <c r="ARB11">
        <f t="shared" si="499"/>
        <v>12.5</v>
      </c>
      <c r="ARC11">
        <f t="shared" si="500"/>
        <v>12.5</v>
      </c>
      <c r="ARD11">
        <f t="shared" si="501"/>
        <v>12.5</v>
      </c>
      <c r="ARE11">
        <f t="shared" si="502"/>
        <v>25</v>
      </c>
      <c r="ARF11">
        <f t="shared" si="503"/>
        <v>25</v>
      </c>
      <c r="ARG11">
        <f t="shared" si="504"/>
        <v>25</v>
      </c>
      <c r="ARH11">
        <f t="shared" si="505"/>
        <v>25</v>
      </c>
      <c r="ARI11">
        <f t="shared" si="506"/>
        <v>25</v>
      </c>
      <c r="ARJ11">
        <f t="shared" si="40"/>
        <v>25</v>
      </c>
      <c r="ARK11">
        <f t="shared" si="507"/>
        <v>43.75</v>
      </c>
      <c r="ARL11">
        <f t="shared" si="508"/>
        <v>25</v>
      </c>
      <c r="ARM11">
        <f t="shared" si="509"/>
        <v>0</v>
      </c>
      <c r="ARN11">
        <f t="shared" si="510"/>
        <v>0</v>
      </c>
      <c r="ARO11">
        <f t="shared" si="511"/>
        <v>0</v>
      </c>
      <c r="ARP11">
        <f t="shared" si="512"/>
        <v>0</v>
      </c>
      <c r="ARQ11">
        <f t="shared" si="513"/>
        <v>0</v>
      </c>
      <c r="ARR11">
        <f t="shared" si="514"/>
        <v>0</v>
      </c>
      <c r="ARS11">
        <f t="shared" si="515"/>
        <v>0</v>
      </c>
      <c r="ART11">
        <f t="shared" si="516"/>
        <v>0</v>
      </c>
      <c r="ARU11">
        <f t="shared" si="517"/>
        <v>0</v>
      </c>
      <c r="ARV11">
        <f t="shared" si="518"/>
        <v>0</v>
      </c>
      <c r="ARW11">
        <f t="shared" si="519"/>
        <v>0</v>
      </c>
      <c r="ARX11">
        <f t="shared" si="520"/>
        <v>12.5</v>
      </c>
      <c r="ARY11">
        <f t="shared" si="521"/>
        <v>12.5</v>
      </c>
      <c r="ARZ11">
        <f t="shared" si="522"/>
        <v>12.5</v>
      </c>
      <c r="ASA11">
        <f t="shared" si="523"/>
        <v>25</v>
      </c>
      <c r="ASB11">
        <f t="shared" si="524"/>
        <v>25</v>
      </c>
      <c r="ASC11">
        <f t="shared" si="525"/>
        <v>25</v>
      </c>
      <c r="ASD11">
        <f t="shared" si="526"/>
        <v>25</v>
      </c>
      <c r="ASE11">
        <f t="shared" si="527"/>
        <v>25</v>
      </c>
      <c r="ASF11">
        <f t="shared" si="528"/>
        <v>25</v>
      </c>
      <c r="ASG11">
        <f t="shared" si="529"/>
        <v>43.75</v>
      </c>
      <c r="ASH11">
        <f t="shared" si="530"/>
        <v>25</v>
      </c>
      <c r="ASI11">
        <f t="shared" si="531"/>
        <v>0</v>
      </c>
      <c r="ASJ11">
        <f t="shared" si="532"/>
        <v>0</v>
      </c>
      <c r="ASK11">
        <f t="shared" si="533"/>
        <v>0</v>
      </c>
      <c r="ASL11">
        <f t="shared" si="534"/>
        <v>0</v>
      </c>
      <c r="ASM11">
        <f t="shared" si="535"/>
        <v>0</v>
      </c>
      <c r="ASN11">
        <f t="shared" si="536"/>
        <v>0</v>
      </c>
      <c r="ASO11">
        <f t="shared" si="537"/>
        <v>0</v>
      </c>
      <c r="ASP11">
        <f t="shared" si="538"/>
        <v>0</v>
      </c>
      <c r="ASQ11">
        <f t="shared" si="539"/>
        <v>0</v>
      </c>
      <c r="ASR11">
        <f t="shared" si="540"/>
        <v>0</v>
      </c>
      <c r="ASS11">
        <f t="shared" si="541"/>
        <v>0</v>
      </c>
      <c r="AST11">
        <f t="shared" si="542"/>
        <v>12.5</v>
      </c>
      <c r="ASU11">
        <f t="shared" si="543"/>
        <v>12.5</v>
      </c>
      <c r="ASV11">
        <f t="shared" si="544"/>
        <v>12.5</v>
      </c>
      <c r="ASW11">
        <f t="shared" si="545"/>
        <v>25</v>
      </c>
      <c r="ASX11">
        <f t="shared" si="546"/>
        <v>25</v>
      </c>
      <c r="ASY11">
        <f t="shared" si="547"/>
        <v>25</v>
      </c>
      <c r="ASZ11">
        <f t="shared" si="548"/>
        <v>25</v>
      </c>
      <c r="ATA11">
        <f t="shared" si="549"/>
        <v>25</v>
      </c>
      <c r="ATB11">
        <f t="shared" si="550"/>
        <v>25</v>
      </c>
      <c r="ATC11">
        <f t="shared" si="551"/>
        <v>43.75</v>
      </c>
      <c r="ATD11">
        <f t="shared" si="552"/>
        <v>25</v>
      </c>
      <c r="ATE11">
        <f t="shared" si="553"/>
        <v>0</v>
      </c>
      <c r="ATF11">
        <f t="shared" si="554"/>
        <v>0</v>
      </c>
      <c r="ATG11">
        <f t="shared" si="555"/>
        <v>0</v>
      </c>
      <c r="ATH11">
        <f t="shared" si="556"/>
        <v>0</v>
      </c>
      <c r="ATI11">
        <f t="shared" si="557"/>
        <v>0</v>
      </c>
      <c r="ATJ11">
        <f t="shared" si="558"/>
        <v>0</v>
      </c>
      <c r="ATK11">
        <f t="shared" si="559"/>
        <v>0</v>
      </c>
      <c r="ATL11">
        <f t="shared" si="560"/>
        <v>0</v>
      </c>
      <c r="ATM11">
        <f t="shared" si="561"/>
        <v>0</v>
      </c>
      <c r="ATN11">
        <f t="shared" si="562"/>
        <v>0</v>
      </c>
      <c r="ATO11">
        <f t="shared" si="563"/>
        <v>0</v>
      </c>
      <c r="ATP11">
        <f t="shared" si="564"/>
        <v>12.5</v>
      </c>
      <c r="ATQ11">
        <f t="shared" si="565"/>
        <v>12.5</v>
      </c>
      <c r="ATR11">
        <f t="shared" si="566"/>
        <v>12.5</v>
      </c>
      <c r="ATS11">
        <f t="shared" si="567"/>
        <v>25</v>
      </c>
      <c r="ATT11">
        <f t="shared" si="568"/>
        <v>25</v>
      </c>
      <c r="ATU11">
        <f t="shared" si="569"/>
        <v>25</v>
      </c>
      <c r="ATV11">
        <f t="shared" si="41"/>
        <v>25</v>
      </c>
      <c r="ATW11">
        <f t="shared" si="570"/>
        <v>25</v>
      </c>
      <c r="ATX11">
        <f t="shared" si="571"/>
        <v>25</v>
      </c>
      <c r="ATY11">
        <f t="shared" si="572"/>
        <v>43.75</v>
      </c>
      <c r="ATZ11">
        <f t="shared" si="573"/>
        <v>25</v>
      </c>
      <c r="AUA11">
        <f t="shared" si="574"/>
        <v>0</v>
      </c>
      <c r="AUB11">
        <f t="shared" si="575"/>
        <v>0</v>
      </c>
      <c r="AUC11">
        <f t="shared" si="576"/>
        <v>0</v>
      </c>
      <c r="AUD11">
        <f t="shared" si="577"/>
        <v>0</v>
      </c>
      <c r="AUE11">
        <f t="shared" si="578"/>
        <v>0</v>
      </c>
      <c r="AUF11">
        <f t="shared" si="579"/>
        <v>0</v>
      </c>
      <c r="AUG11">
        <f t="shared" si="580"/>
        <v>0</v>
      </c>
      <c r="AUH11">
        <f t="shared" si="581"/>
        <v>0</v>
      </c>
      <c r="AUI11">
        <f t="shared" si="582"/>
        <v>0</v>
      </c>
      <c r="AUJ11">
        <f t="shared" si="583"/>
        <v>0</v>
      </c>
      <c r="AUK11">
        <f t="shared" si="584"/>
        <v>0</v>
      </c>
      <c r="AUL11">
        <f t="shared" si="585"/>
        <v>12.5</v>
      </c>
      <c r="AUM11">
        <f t="shared" si="586"/>
        <v>12.5</v>
      </c>
      <c r="AUN11">
        <f t="shared" si="587"/>
        <v>12.5</v>
      </c>
      <c r="AUO11">
        <f t="shared" si="588"/>
        <v>25</v>
      </c>
      <c r="AUP11">
        <f t="shared" si="589"/>
        <v>25</v>
      </c>
      <c r="AUQ11">
        <f t="shared" si="590"/>
        <v>25</v>
      </c>
      <c r="AUR11">
        <f t="shared" si="591"/>
        <v>25</v>
      </c>
      <c r="AUS11">
        <f t="shared" si="592"/>
        <v>25</v>
      </c>
      <c r="AUT11">
        <f t="shared" si="593"/>
        <v>25</v>
      </c>
      <c r="AUU11">
        <f t="shared" si="594"/>
        <v>43.75</v>
      </c>
      <c r="AUV11">
        <f t="shared" si="595"/>
        <v>25</v>
      </c>
      <c r="AUW11">
        <f t="shared" si="596"/>
        <v>0</v>
      </c>
      <c r="AUX11">
        <f t="shared" si="597"/>
        <v>0</v>
      </c>
      <c r="AUY11">
        <f t="shared" si="598"/>
        <v>0</v>
      </c>
      <c r="AUZ11">
        <f t="shared" si="599"/>
        <v>0</v>
      </c>
      <c r="AVA11">
        <f t="shared" si="600"/>
        <v>0</v>
      </c>
      <c r="AVB11">
        <f t="shared" si="601"/>
        <v>0</v>
      </c>
      <c r="AVC11">
        <f t="shared" si="602"/>
        <v>0</v>
      </c>
      <c r="AVD11">
        <f t="shared" si="603"/>
        <v>0</v>
      </c>
      <c r="AVE11">
        <f t="shared" si="604"/>
        <v>0</v>
      </c>
      <c r="AVF11">
        <f t="shared" si="605"/>
        <v>0</v>
      </c>
      <c r="AVG11">
        <f t="shared" si="606"/>
        <v>0</v>
      </c>
      <c r="AVH11">
        <f t="shared" si="607"/>
        <v>12.5</v>
      </c>
      <c r="AVI11">
        <f t="shared" si="608"/>
        <v>12.5</v>
      </c>
      <c r="AVJ11">
        <f t="shared" si="609"/>
        <v>12.5</v>
      </c>
      <c r="AVK11">
        <f t="shared" si="610"/>
        <v>25</v>
      </c>
      <c r="AVL11">
        <f t="shared" si="611"/>
        <v>25</v>
      </c>
      <c r="AVM11">
        <f t="shared" si="612"/>
        <v>25</v>
      </c>
      <c r="AVN11">
        <f t="shared" si="613"/>
        <v>25</v>
      </c>
      <c r="AVO11">
        <f t="shared" si="614"/>
        <v>25</v>
      </c>
      <c r="AVP11">
        <f t="shared" si="615"/>
        <v>25</v>
      </c>
      <c r="AVQ11">
        <f t="shared" si="616"/>
        <v>43.75</v>
      </c>
      <c r="AVR11">
        <f t="shared" si="617"/>
        <v>25</v>
      </c>
      <c r="AVS11">
        <f t="shared" si="618"/>
        <v>0</v>
      </c>
      <c r="AVT11">
        <f t="shared" si="619"/>
        <v>0</v>
      </c>
      <c r="AVU11">
        <f t="shared" si="620"/>
        <v>0</v>
      </c>
      <c r="AVV11">
        <f t="shared" si="621"/>
        <v>0</v>
      </c>
      <c r="AVW11">
        <f t="shared" si="622"/>
        <v>0</v>
      </c>
      <c r="AVX11">
        <f t="shared" si="623"/>
        <v>0</v>
      </c>
      <c r="AVY11">
        <f t="shared" si="624"/>
        <v>0</v>
      </c>
      <c r="AVZ11">
        <f t="shared" si="625"/>
        <v>0</v>
      </c>
      <c r="AWA11">
        <f t="shared" si="626"/>
        <v>0</v>
      </c>
      <c r="AWB11">
        <f t="shared" si="627"/>
        <v>0</v>
      </c>
      <c r="AWC11">
        <f t="shared" si="628"/>
        <v>0</v>
      </c>
      <c r="AWD11">
        <f t="shared" si="629"/>
        <v>12.5</v>
      </c>
      <c r="AWE11">
        <f t="shared" si="630"/>
        <v>12.5</v>
      </c>
      <c r="AWF11">
        <f t="shared" si="631"/>
        <v>12.5</v>
      </c>
      <c r="AWG11">
        <f t="shared" si="632"/>
        <v>25</v>
      </c>
      <c r="AWH11">
        <f t="shared" si="42"/>
        <v>25</v>
      </c>
      <c r="AWI11">
        <f t="shared" si="633"/>
        <v>25</v>
      </c>
      <c r="AWJ11">
        <f t="shared" si="634"/>
        <v>25</v>
      </c>
      <c r="AWK11">
        <f t="shared" si="635"/>
        <v>25</v>
      </c>
      <c r="AWL11">
        <f t="shared" si="636"/>
        <v>25</v>
      </c>
      <c r="AWM11">
        <f t="shared" si="637"/>
        <v>43.75</v>
      </c>
      <c r="AWN11">
        <f t="shared" si="638"/>
        <v>25</v>
      </c>
      <c r="AWO11">
        <f t="shared" si="639"/>
        <v>0</v>
      </c>
      <c r="AWP11">
        <f t="shared" si="640"/>
        <v>0</v>
      </c>
      <c r="AWQ11">
        <f t="shared" si="641"/>
        <v>0</v>
      </c>
      <c r="AWR11">
        <f t="shared" si="642"/>
        <v>0</v>
      </c>
      <c r="AWS11">
        <f t="shared" si="643"/>
        <v>0</v>
      </c>
      <c r="AWT11">
        <f t="shared" si="644"/>
        <v>0</v>
      </c>
      <c r="AWU11">
        <f t="shared" si="645"/>
        <v>0</v>
      </c>
      <c r="AWV11">
        <f t="shared" si="646"/>
        <v>0</v>
      </c>
      <c r="AWW11">
        <f t="shared" si="647"/>
        <v>0</v>
      </c>
      <c r="AWX11">
        <f t="shared" si="648"/>
        <v>0</v>
      </c>
      <c r="AWY11">
        <f t="shared" si="649"/>
        <v>0</v>
      </c>
      <c r="AWZ11">
        <f t="shared" si="650"/>
        <v>12.5</v>
      </c>
      <c r="AXA11">
        <f t="shared" si="651"/>
        <v>12.5</v>
      </c>
      <c r="AXB11">
        <f t="shared" si="652"/>
        <v>12.5</v>
      </c>
      <c r="AXC11">
        <f t="shared" si="653"/>
        <v>25</v>
      </c>
      <c r="AXD11">
        <f t="shared" si="654"/>
        <v>25</v>
      </c>
      <c r="AXE11">
        <f t="shared" si="655"/>
        <v>25</v>
      </c>
      <c r="AXF11">
        <f t="shared" si="656"/>
        <v>25</v>
      </c>
      <c r="AXG11">
        <f t="shared" si="657"/>
        <v>25</v>
      </c>
      <c r="AXH11">
        <f t="shared" si="658"/>
        <v>25</v>
      </c>
      <c r="AXI11">
        <f t="shared" si="659"/>
        <v>43.75</v>
      </c>
      <c r="AXJ11">
        <f t="shared" si="660"/>
        <v>25</v>
      </c>
      <c r="AXK11">
        <f t="shared" si="661"/>
        <v>0</v>
      </c>
      <c r="AXL11">
        <f t="shared" si="662"/>
        <v>0</v>
      </c>
      <c r="AXM11">
        <f t="shared" si="663"/>
        <v>0</v>
      </c>
      <c r="AXN11">
        <f t="shared" si="664"/>
        <v>0</v>
      </c>
      <c r="AXO11">
        <f t="shared" si="665"/>
        <v>0</v>
      </c>
      <c r="AXP11">
        <f t="shared" si="666"/>
        <v>0</v>
      </c>
      <c r="AXQ11">
        <f t="shared" si="667"/>
        <v>0</v>
      </c>
      <c r="AXR11">
        <f t="shared" si="668"/>
        <v>0</v>
      </c>
      <c r="AXS11">
        <f t="shared" si="669"/>
        <v>0</v>
      </c>
      <c r="AXT11">
        <f t="shared" si="670"/>
        <v>0</v>
      </c>
      <c r="AXU11">
        <f t="shared" si="671"/>
        <v>0</v>
      </c>
      <c r="AXV11">
        <f t="shared" si="672"/>
        <v>12.5</v>
      </c>
      <c r="AXW11">
        <f t="shared" si="673"/>
        <v>12.5</v>
      </c>
      <c r="AXX11">
        <f t="shared" si="674"/>
        <v>12.5</v>
      </c>
      <c r="AXY11">
        <f t="shared" si="675"/>
        <v>25</v>
      </c>
      <c r="AXZ11">
        <f t="shared" si="676"/>
        <v>25</v>
      </c>
      <c r="AYA11">
        <f t="shared" si="677"/>
        <v>25</v>
      </c>
      <c r="AYB11">
        <f t="shared" si="678"/>
        <v>25</v>
      </c>
      <c r="AYC11">
        <f t="shared" si="679"/>
        <v>25</v>
      </c>
      <c r="AYD11">
        <f t="shared" si="680"/>
        <v>25</v>
      </c>
      <c r="AYE11">
        <f t="shared" si="681"/>
        <v>43.75</v>
      </c>
      <c r="AYF11">
        <f t="shared" si="682"/>
        <v>25</v>
      </c>
      <c r="AYG11">
        <f t="shared" si="683"/>
        <v>0</v>
      </c>
      <c r="AYH11">
        <f t="shared" si="684"/>
        <v>0</v>
      </c>
      <c r="AYI11">
        <f t="shared" si="685"/>
        <v>0</v>
      </c>
      <c r="AYJ11">
        <f t="shared" si="686"/>
        <v>0</v>
      </c>
      <c r="AYK11">
        <f t="shared" si="687"/>
        <v>0</v>
      </c>
      <c r="AYL11">
        <f t="shared" si="688"/>
        <v>0</v>
      </c>
      <c r="AYM11">
        <f t="shared" si="689"/>
        <v>0</v>
      </c>
      <c r="AYN11">
        <f t="shared" si="690"/>
        <v>0</v>
      </c>
      <c r="AYO11">
        <f t="shared" si="691"/>
        <v>0</v>
      </c>
      <c r="AYP11">
        <f t="shared" si="692"/>
        <v>0</v>
      </c>
      <c r="AYQ11">
        <f t="shared" si="693"/>
        <v>0</v>
      </c>
      <c r="AYR11">
        <f t="shared" si="694"/>
        <v>12.5</v>
      </c>
      <c r="AYS11">
        <f t="shared" si="695"/>
        <v>12.5</v>
      </c>
      <c r="AYT11">
        <f t="shared" si="43"/>
        <v>12.5</v>
      </c>
      <c r="AYU11">
        <f t="shared" si="696"/>
        <v>25</v>
      </c>
      <c r="AYV11">
        <f t="shared" si="697"/>
        <v>25</v>
      </c>
      <c r="AYW11">
        <f t="shared" si="698"/>
        <v>25</v>
      </c>
      <c r="AYX11">
        <f t="shared" si="699"/>
        <v>25</v>
      </c>
      <c r="AYY11">
        <f t="shared" si="700"/>
        <v>25</v>
      </c>
      <c r="AYZ11">
        <f t="shared" si="701"/>
        <v>25</v>
      </c>
      <c r="AZA11">
        <f t="shared" si="702"/>
        <v>43.75</v>
      </c>
      <c r="AZB11">
        <f t="shared" si="703"/>
        <v>25</v>
      </c>
      <c r="AZC11">
        <f t="shared" si="704"/>
        <v>0</v>
      </c>
      <c r="AZD11">
        <f t="shared" si="705"/>
        <v>0</v>
      </c>
      <c r="AZE11">
        <f t="shared" si="706"/>
        <v>0</v>
      </c>
      <c r="AZF11">
        <f t="shared" si="707"/>
        <v>0</v>
      </c>
      <c r="AZG11">
        <f t="shared" si="708"/>
        <v>0</v>
      </c>
      <c r="AZH11">
        <f t="shared" si="709"/>
        <v>0</v>
      </c>
      <c r="AZI11">
        <f t="shared" si="710"/>
        <v>0</v>
      </c>
      <c r="AZJ11">
        <f t="shared" si="711"/>
        <v>0</v>
      </c>
      <c r="AZK11">
        <f t="shared" si="712"/>
        <v>0</v>
      </c>
      <c r="AZL11">
        <f t="shared" si="713"/>
        <v>0</v>
      </c>
      <c r="AZM11">
        <f t="shared" si="714"/>
        <v>0</v>
      </c>
      <c r="AZN11">
        <f t="shared" si="715"/>
        <v>12.5</v>
      </c>
      <c r="AZO11">
        <f t="shared" si="716"/>
        <v>12.5</v>
      </c>
      <c r="AZP11">
        <f t="shared" si="717"/>
        <v>12.5</v>
      </c>
      <c r="AZQ11">
        <f t="shared" si="718"/>
        <v>25</v>
      </c>
      <c r="AZR11">
        <f t="shared" si="719"/>
        <v>25</v>
      </c>
      <c r="AZS11">
        <f t="shared" si="720"/>
        <v>25</v>
      </c>
      <c r="AZT11">
        <f t="shared" si="721"/>
        <v>25</v>
      </c>
      <c r="AZU11">
        <f t="shared" si="722"/>
        <v>25</v>
      </c>
      <c r="AZV11">
        <f t="shared" si="723"/>
        <v>25</v>
      </c>
      <c r="AZW11">
        <f t="shared" si="724"/>
        <v>43.75</v>
      </c>
      <c r="AZX11">
        <f t="shared" si="725"/>
        <v>25</v>
      </c>
      <c r="AZY11">
        <f t="shared" si="726"/>
        <v>0</v>
      </c>
      <c r="AZZ11">
        <f t="shared" si="727"/>
        <v>0</v>
      </c>
      <c r="BAA11">
        <f t="shared" si="728"/>
        <v>0</v>
      </c>
      <c r="BAB11">
        <f t="shared" si="729"/>
        <v>0</v>
      </c>
      <c r="BAC11">
        <f t="shared" si="730"/>
        <v>0</v>
      </c>
      <c r="BAD11">
        <f t="shared" si="731"/>
        <v>0</v>
      </c>
      <c r="BAE11">
        <f t="shared" si="732"/>
        <v>0</v>
      </c>
      <c r="BAF11">
        <f t="shared" si="733"/>
        <v>0</v>
      </c>
      <c r="BAG11">
        <f t="shared" si="734"/>
        <v>0</v>
      </c>
      <c r="BAH11">
        <f t="shared" si="735"/>
        <v>0</v>
      </c>
      <c r="BAI11">
        <f t="shared" si="736"/>
        <v>0</v>
      </c>
      <c r="BAJ11">
        <f t="shared" si="737"/>
        <v>12.5</v>
      </c>
      <c r="BAK11">
        <f t="shared" si="738"/>
        <v>12.5</v>
      </c>
      <c r="BAL11">
        <f t="shared" si="739"/>
        <v>12.5</v>
      </c>
      <c r="BAM11">
        <f t="shared" si="740"/>
        <v>25</v>
      </c>
      <c r="BAN11">
        <f t="shared" si="741"/>
        <v>25</v>
      </c>
      <c r="BAO11">
        <f t="shared" si="742"/>
        <v>25</v>
      </c>
      <c r="BAP11">
        <f t="shared" si="743"/>
        <v>25</v>
      </c>
      <c r="BAQ11">
        <f t="shared" si="744"/>
        <v>25</v>
      </c>
      <c r="BAR11">
        <f t="shared" si="745"/>
        <v>25</v>
      </c>
      <c r="BAS11">
        <f t="shared" si="746"/>
        <v>43.75</v>
      </c>
      <c r="BAT11">
        <f t="shared" si="747"/>
        <v>25</v>
      </c>
      <c r="BAU11">
        <f t="shared" si="748"/>
        <v>0</v>
      </c>
      <c r="BAV11">
        <f t="shared" si="749"/>
        <v>0</v>
      </c>
      <c r="BAW11">
        <f t="shared" si="750"/>
        <v>0</v>
      </c>
      <c r="BAX11">
        <f t="shared" si="751"/>
        <v>0</v>
      </c>
      <c r="BAY11">
        <f t="shared" si="752"/>
        <v>0</v>
      </c>
      <c r="BAZ11">
        <f t="shared" si="753"/>
        <v>0</v>
      </c>
      <c r="BBA11">
        <f t="shared" si="754"/>
        <v>0</v>
      </c>
      <c r="BBB11">
        <f t="shared" si="755"/>
        <v>0</v>
      </c>
      <c r="BBC11">
        <f t="shared" si="756"/>
        <v>0</v>
      </c>
      <c r="BBD11">
        <f t="shared" si="757"/>
        <v>0</v>
      </c>
      <c r="BBE11">
        <f t="shared" si="758"/>
        <v>0</v>
      </c>
      <c r="BBF11">
        <f t="shared" si="44"/>
        <v>12.5</v>
      </c>
      <c r="BBG11">
        <f t="shared" si="759"/>
        <v>12.5</v>
      </c>
      <c r="BBH11">
        <f t="shared" si="760"/>
        <v>12.5</v>
      </c>
      <c r="BBI11">
        <f t="shared" si="761"/>
        <v>25</v>
      </c>
      <c r="BBJ11">
        <f t="shared" si="762"/>
        <v>25</v>
      </c>
      <c r="BBK11">
        <f t="shared" si="763"/>
        <v>25</v>
      </c>
      <c r="BBL11">
        <f t="shared" si="764"/>
        <v>25</v>
      </c>
      <c r="BBM11">
        <f t="shared" si="765"/>
        <v>25</v>
      </c>
      <c r="BBN11">
        <f t="shared" si="766"/>
        <v>25</v>
      </c>
      <c r="BBO11">
        <f t="shared" si="767"/>
        <v>43.75</v>
      </c>
      <c r="BBP11">
        <f t="shared" si="768"/>
        <v>25</v>
      </c>
      <c r="BBQ11">
        <f t="shared" si="769"/>
        <v>0</v>
      </c>
      <c r="BBR11">
        <f t="shared" si="770"/>
        <v>0</v>
      </c>
      <c r="BBS11">
        <f t="shared" si="771"/>
        <v>0</v>
      </c>
      <c r="BBT11">
        <f t="shared" si="772"/>
        <v>0</v>
      </c>
      <c r="BBU11">
        <f t="shared" si="773"/>
        <v>0</v>
      </c>
      <c r="BBV11">
        <f t="shared" si="774"/>
        <v>0</v>
      </c>
      <c r="BBW11">
        <f t="shared" si="775"/>
        <v>0</v>
      </c>
      <c r="BBX11">
        <f t="shared" si="776"/>
        <v>0</v>
      </c>
      <c r="BBY11">
        <f t="shared" si="777"/>
        <v>0</v>
      </c>
      <c r="BBZ11">
        <f t="shared" si="778"/>
        <v>0</v>
      </c>
      <c r="BCA11">
        <f t="shared" si="779"/>
        <v>0</v>
      </c>
      <c r="BCB11">
        <f t="shared" si="780"/>
        <v>12.5</v>
      </c>
      <c r="BCC11">
        <f t="shared" si="781"/>
        <v>12.5</v>
      </c>
      <c r="BCD11">
        <f t="shared" si="782"/>
        <v>12.5</v>
      </c>
      <c r="BCE11">
        <f t="shared" si="783"/>
        <v>25</v>
      </c>
      <c r="BCF11">
        <f t="shared" si="784"/>
        <v>25</v>
      </c>
      <c r="BCG11">
        <f t="shared" si="785"/>
        <v>25</v>
      </c>
      <c r="BCH11">
        <f t="shared" si="786"/>
        <v>25</v>
      </c>
      <c r="BCI11">
        <f t="shared" si="787"/>
        <v>25</v>
      </c>
      <c r="BCJ11">
        <f t="shared" si="788"/>
        <v>25</v>
      </c>
      <c r="BCK11">
        <f t="shared" si="789"/>
        <v>43.75</v>
      </c>
      <c r="BCL11">
        <f t="shared" si="790"/>
        <v>25</v>
      </c>
      <c r="BCM11">
        <f t="shared" si="791"/>
        <v>0</v>
      </c>
      <c r="BCN11">
        <f t="shared" si="792"/>
        <v>0</v>
      </c>
      <c r="BCO11">
        <f t="shared" si="793"/>
        <v>0</v>
      </c>
      <c r="BCP11">
        <f t="shared" si="794"/>
        <v>0</v>
      </c>
      <c r="BCQ11">
        <f t="shared" si="795"/>
        <v>0</v>
      </c>
      <c r="BCR11">
        <f t="shared" si="796"/>
        <v>0</v>
      </c>
      <c r="BCS11">
        <f t="shared" si="797"/>
        <v>0</v>
      </c>
      <c r="BCT11">
        <f t="shared" si="798"/>
        <v>0</v>
      </c>
      <c r="BCU11">
        <f t="shared" si="799"/>
        <v>0</v>
      </c>
      <c r="BCV11">
        <f t="shared" si="800"/>
        <v>0</v>
      </c>
      <c r="BCW11">
        <f t="shared" si="801"/>
        <v>0</v>
      </c>
      <c r="BCX11">
        <f t="shared" si="802"/>
        <v>12.5</v>
      </c>
      <c r="BCY11">
        <f t="shared" si="803"/>
        <v>12.5</v>
      </c>
      <c r="BCZ11">
        <f t="shared" si="804"/>
        <v>12.5</v>
      </c>
      <c r="BDA11">
        <f t="shared" si="805"/>
        <v>25</v>
      </c>
      <c r="BDB11">
        <f t="shared" si="806"/>
        <v>25</v>
      </c>
      <c r="BDC11">
        <f t="shared" si="807"/>
        <v>25</v>
      </c>
      <c r="BDD11">
        <f t="shared" si="808"/>
        <v>25</v>
      </c>
      <c r="BDE11">
        <f t="shared" si="809"/>
        <v>25</v>
      </c>
      <c r="BDF11">
        <f t="shared" si="810"/>
        <v>25</v>
      </c>
      <c r="BDG11">
        <f t="shared" si="811"/>
        <v>43.75</v>
      </c>
      <c r="BDH11">
        <f t="shared" si="812"/>
        <v>25</v>
      </c>
      <c r="BDI11">
        <f t="shared" si="813"/>
        <v>0</v>
      </c>
      <c r="BDJ11">
        <f t="shared" si="814"/>
        <v>0</v>
      </c>
      <c r="BDK11">
        <f t="shared" si="815"/>
        <v>0</v>
      </c>
      <c r="BDL11">
        <f t="shared" si="816"/>
        <v>0</v>
      </c>
      <c r="BDM11">
        <f t="shared" si="817"/>
        <v>0</v>
      </c>
      <c r="BDN11">
        <f t="shared" si="818"/>
        <v>0</v>
      </c>
      <c r="BDO11">
        <f t="shared" si="819"/>
        <v>0</v>
      </c>
      <c r="BDP11">
        <f t="shared" si="820"/>
        <v>0</v>
      </c>
      <c r="BDQ11">
        <f t="shared" si="821"/>
        <v>0</v>
      </c>
      <c r="BDR11">
        <f t="shared" si="45"/>
        <v>0</v>
      </c>
      <c r="BDS11">
        <f t="shared" si="822"/>
        <v>0</v>
      </c>
      <c r="BDT11">
        <f t="shared" si="823"/>
        <v>12.5</v>
      </c>
      <c r="BDU11">
        <f t="shared" si="824"/>
        <v>12.5</v>
      </c>
      <c r="BDV11">
        <f t="shared" si="825"/>
        <v>12.5</v>
      </c>
      <c r="BDW11">
        <f t="shared" si="826"/>
        <v>25</v>
      </c>
      <c r="BDX11">
        <f t="shared" si="827"/>
        <v>25</v>
      </c>
      <c r="BDY11">
        <f t="shared" si="828"/>
        <v>25</v>
      </c>
      <c r="BDZ11">
        <f t="shared" si="829"/>
        <v>25</v>
      </c>
      <c r="BEA11">
        <f t="shared" si="830"/>
        <v>25</v>
      </c>
      <c r="BEB11">
        <f t="shared" si="831"/>
        <v>25</v>
      </c>
      <c r="BEC11">
        <f t="shared" si="832"/>
        <v>43.75</v>
      </c>
      <c r="BED11">
        <f t="shared" si="833"/>
        <v>25</v>
      </c>
      <c r="BEE11">
        <f t="shared" si="834"/>
        <v>0</v>
      </c>
      <c r="BEF11">
        <f t="shared" si="835"/>
        <v>0</v>
      </c>
      <c r="BEG11">
        <f t="shared" si="836"/>
        <v>0</v>
      </c>
      <c r="BEH11">
        <f t="shared" si="837"/>
        <v>0</v>
      </c>
      <c r="BEI11">
        <f t="shared" si="838"/>
        <v>0</v>
      </c>
      <c r="BEJ11">
        <f t="shared" si="839"/>
        <v>0</v>
      </c>
      <c r="BEK11">
        <f t="shared" si="840"/>
        <v>0</v>
      </c>
      <c r="BEL11">
        <f t="shared" si="841"/>
        <v>0</v>
      </c>
      <c r="BEM11">
        <f t="shared" si="842"/>
        <v>0</v>
      </c>
      <c r="BEN11">
        <f t="shared" si="843"/>
        <v>0</v>
      </c>
      <c r="BEO11">
        <f t="shared" si="844"/>
        <v>0</v>
      </c>
      <c r="BEP11">
        <f t="shared" si="845"/>
        <v>12.5</v>
      </c>
      <c r="BEQ11">
        <f t="shared" si="846"/>
        <v>12.5</v>
      </c>
      <c r="BER11">
        <f t="shared" si="847"/>
        <v>12.5</v>
      </c>
      <c r="BES11">
        <f t="shared" si="848"/>
        <v>25</v>
      </c>
      <c r="BET11">
        <f t="shared" si="849"/>
        <v>25</v>
      </c>
      <c r="BEU11">
        <f t="shared" si="850"/>
        <v>25</v>
      </c>
      <c r="BEV11">
        <f t="shared" si="851"/>
        <v>25</v>
      </c>
      <c r="BEW11">
        <f t="shared" si="852"/>
        <v>25</v>
      </c>
      <c r="BEX11">
        <f t="shared" si="853"/>
        <v>25</v>
      </c>
      <c r="BEY11">
        <f t="shared" si="854"/>
        <v>43.75</v>
      </c>
      <c r="BEZ11">
        <f t="shared" si="855"/>
        <v>25</v>
      </c>
      <c r="BFA11">
        <f t="shared" si="856"/>
        <v>0</v>
      </c>
      <c r="BFB11">
        <f t="shared" si="857"/>
        <v>0</v>
      </c>
      <c r="BFC11">
        <f t="shared" si="858"/>
        <v>0</v>
      </c>
      <c r="BFD11">
        <f t="shared" si="859"/>
        <v>0</v>
      </c>
      <c r="BFE11">
        <f t="shared" si="860"/>
        <v>0</v>
      </c>
      <c r="BFF11">
        <f t="shared" si="861"/>
        <v>0</v>
      </c>
      <c r="BFG11">
        <f t="shared" si="862"/>
        <v>0</v>
      </c>
      <c r="BFH11">
        <f t="shared" si="863"/>
        <v>0</v>
      </c>
      <c r="BFI11">
        <f t="shared" si="864"/>
        <v>0</v>
      </c>
      <c r="BFJ11">
        <f t="shared" si="865"/>
        <v>0</v>
      </c>
      <c r="BFK11">
        <f t="shared" si="866"/>
        <v>0</v>
      </c>
      <c r="BFL11">
        <f t="shared" si="867"/>
        <v>12.5</v>
      </c>
      <c r="BFM11">
        <f t="shared" si="868"/>
        <v>12.5</v>
      </c>
      <c r="BFN11">
        <f t="shared" si="869"/>
        <v>12.5</v>
      </c>
      <c r="BFO11">
        <f t="shared" si="870"/>
        <v>25</v>
      </c>
      <c r="BFP11">
        <f t="shared" si="871"/>
        <v>25</v>
      </c>
      <c r="BFQ11">
        <f t="shared" si="872"/>
        <v>25</v>
      </c>
      <c r="BFR11">
        <f t="shared" si="873"/>
        <v>25</v>
      </c>
      <c r="BFS11">
        <f t="shared" si="874"/>
        <v>25</v>
      </c>
      <c r="BFT11">
        <f t="shared" si="875"/>
        <v>25</v>
      </c>
      <c r="BFU11">
        <f t="shared" si="876"/>
        <v>43.75</v>
      </c>
      <c r="BFV11">
        <f t="shared" si="877"/>
        <v>25</v>
      </c>
      <c r="BFW11">
        <f t="shared" si="878"/>
        <v>0</v>
      </c>
      <c r="BFX11">
        <f t="shared" si="879"/>
        <v>0</v>
      </c>
      <c r="BFY11">
        <f t="shared" si="880"/>
        <v>0</v>
      </c>
      <c r="BFZ11">
        <f t="shared" si="881"/>
        <v>0</v>
      </c>
      <c r="BGA11">
        <f t="shared" si="882"/>
        <v>0</v>
      </c>
      <c r="BGB11">
        <f t="shared" si="883"/>
        <v>0</v>
      </c>
      <c r="BGC11">
        <f t="shared" si="884"/>
        <v>0</v>
      </c>
      <c r="BGD11">
        <f t="shared" si="46"/>
        <v>0</v>
      </c>
      <c r="BGE11">
        <f t="shared" si="885"/>
        <v>0</v>
      </c>
      <c r="BGF11">
        <f t="shared" si="886"/>
        <v>0</v>
      </c>
      <c r="BGG11">
        <f t="shared" si="887"/>
        <v>0</v>
      </c>
      <c r="BGH11">
        <f t="shared" si="888"/>
        <v>12.5</v>
      </c>
      <c r="BGI11">
        <f t="shared" si="889"/>
        <v>12.5</v>
      </c>
      <c r="BGJ11">
        <f t="shared" si="890"/>
        <v>12.5</v>
      </c>
      <c r="BGK11">
        <f t="shared" si="891"/>
        <v>25</v>
      </c>
      <c r="BGL11">
        <f t="shared" si="892"/>
        <v>25</v>
      </c>
      <c r="BGM11">
        <f t="shared" si="893"/>
        <v>25</v>
      </c>
      <c r="BGN11">
        <f t="shared" si="894"/>
        <v>25</v>
      </c>
      <c r="BGO11">
        <f t="shared" si="895"/>
        <v>25</v>
      </c>
      <c r="BGP11">
        <f t="shared" si="896"/>
        <v>25</v>
      </c>
      <c r="BGQ11">
        <f t="shared" si="897"/>
        <v>43.75</v>
      </c>
      <c r="BGR11">
        <f t="shared" si="898"/>
        <v>25</v>
      </c>
      <c r="BGS11">
        <f t="shared" si="899"/>
        <v>0</v>
      </c>
      <c r="BGT11">
        <f t="shared" si="900"/>
        <v>0</v>
      </c>
      <c r="BGU11">
        <f t="shared" si="901"/>
        <v>0</v>
      </c>
      <c r="BGV11">
        <f t="shared" si="902"/>
        <v>0</v>
      </c>
      <c r="BGW11">
        <f t="shared" si="903"/>
        <v>0</v>
      </c>
      <c r="BGX11">
        <f t="shared" si="904"/>
        <v>0</v>
      </c>
      <c r="BGY11">
        <f t="shared" si="905"/>
        <v>0</v>
      </c>
      <c r="BGZ11">
        <f t="shared" si="906"/>
        <v>0</v>
      </c>
      <c r="BHA11">
        <f t="shared" si="907"/>
        <v>0</v>
      </c>
      <c r="BHB11">
        <f t="shared" si="908"/>
        <v>0</v>
      </c>
      <c r="BHC11">
        <f t="shared" si="909"/>
        <v>0</v>
      </c>
      <c r="BHD11">
        <f t="shared" si="910"/>
        <v>12.5</v>
      </c>
      <c r="BHE11">
        <f t="shared" si="911"/>
        <v>12.5</v>
      </c>
      <c r="BHF11">
        <f t="shared" si="912"/>
        <v>12.5</v>
      </c>
      <c r="BHG11">
        <f t="shared" si="913"/>
        <v>25</v>
      </c>
      <c r="BHH11">
        <f t="shared" si="914"/>
        <v>25</v>
      </c>
      <c r="BHI11">
        <f t="shared" si="915"/>
        <v>25</v>
      </c>
      <c r="BHJ11">
        <f t="shared" si="916"/>
        <v>25</v>
      </c>
      <c r="BHK11">
        <f t="shared" si="917"/>
        <v>25</v>
      </c>
      <c r="BHL11">
        <f t="shared" si="918"/>
        <v>25</v>
      </c>
      <c r="BHM11">
        <f t="shared" si="919"/>
        <v>43.75</v>
      </c>
      <c r="BHN11">
        <f t="shared" si="920"/>
        <v>25</v>
      </c>
      <c r="BHO11">
        <f t="shared" si="921"/>
        <v>0</v>
      </c>
      <c r="BHP11">
        <f t="shared" si="922"/>
        <v>0</v>
      </c>
      <c r="BHQ11">
        <f t="shared" si="923"/>
        <v>0</v>
      </c>
      <c r="BHR11">
        <f t="shared" si="924"/>
        <v>0</v>
      </c>
      <c r="BHS11">
        <f t="shared" si="925"/>
        <v>0</v>
      </c>
      <c r="BHT11">
        <f t="shared" si="926"/>
        <v>0</v>
      </c>
      <c r="BHU11">
        <f t="shared" si="927"/>
        <v>0</v>
      </c>
      <c r="BHV11">
        <f t="shared" si="928"/>
        <v>0</v>
      </c>
      <c r="BHW11">
        <f t="shared" si="929"/>
        <v>0</v>
      </c>
      <c r="BHX11">
        <f t="shared" si="930"/>
        <v>0</v>
      </c>
      <c r="BHY11">
        <f t="shared" si="931"/>
        <v>0</v>
      </c>
      <c r="BHZ11">
        <f t="shared" si="932"/>
        <v>12.5</v>
      </c>
      <c r="BIA11">
        <f t="shared" si="933"/>
        <v>12.5</v>
      </c>
      <c r="BIB11">
        <f t="shared" si="934"/>
        <v>12.5</v>
      </c>
      <c r="BIC11">
        <f t="shared" si="935"/>
        <v>25</v>
      </c>
      <c r="BID11">
        <f t="shared" si="936"/>
        <v>25</v>
      </c>
      <c r="BIE11">
        <f t="shared" si="937"/>
        <v>25</v>
      </c>
      <c r="BIF11">
        <f t="shared" si="938"/>
        <v>25</v>
      </c>
      <c r="BIG11">
        <f t="shared" si="939"/>
        <v>25</v>
      </c>
      <c r="BIH11">
        <f t="shared" si="940"/>
        <v>25</v>
      </c>
      <c r="BII11">
        <f t="shared" si="941"/>
        <v>43.75</v>
      </c>
      <c r="BIJ11">
        <f t="shared" si="942"/>
        <v>25</v>
      </c>
      <c r="BIK11">
        <f t="shared" si="943"/>
        <v>0</v>
      </c>
      <c r="BIL11">
        <f t="shared" si="944"/>
        <v>0</v>
      </c>
      <c r="BIM11">
        <f t="shared" si="945"/>
        <v>0</v>
      </c>
      <c r="BIN11">
        <f t="shared" si="946"/>
        <v>0</v>
      </c>
      <c r="BIO11">
        <f t="shared" si="947"/>
        <v>0</v>
      </c>
      <c r="BIP11">
        <f t="shared" si="47"/>
        <v>0</v>
      </c>
      <c r="BIQ11">
        <f t="shared" si="948"/>
        <v>0</v>
      </c>
      <c r="BIR11">
        <f t="shared" si="949"/>
        <v>0</v>
      </c>
      <c r="BIS11">
        <f t="shared" si="950"/>
        <v>0</v>
      </c>
      <c r="BIT11">
        <f t="shared" si="951"/>
        <v>0</v>
      </c>
      <c r="BIU11">
        <f t="shared" si="952"/>
        <v>0</v>
      </c>
      <c r="BIV11">
        <f t="shared" si="953"/>
        <v>12.5</v>
      </c>
      <c r="BIW11">
        <f t="shared" si="954"/>
        <v>12.5</v>
      </c>
      <c r="BIX11">
        <f t="shared" si="955"/>
        <v>12.5</v>
      </c>
      <c r="BIY11">
        <f t="shared" si="956"/>
        <v>25</v>
      </c>
      <c r="BIZ11">
        <f t="shared" si="957"/>
        <v>25</v>
      </c>
      <c r="BJA11">
        <f t="shared" si="958"/>
        <v>25</v>
      </c>
      <c r="BJB11">
        <f t="shared" si="959"/>
        <v>25</v>
      </c>
      <c r="BJC11">
        <f t="shared" si="960"/>
        <v>25</v>
      </c>
      <c r="BJD11">
        <f t="shared" si="961"/>
        <v>25</v>
      </c>
      <c r="BJE11">
        <f t="shared" si="962"/>
        <v>43.75</v>
      </c>
      <c r="BJF11">
        <f t="shared" si="963"/>
        <v>25</v>
      </c>
      <c r="BJG11">
        <f t="shared" si="964"/>
        <v>0</v>
      </c>
      <c r="BJH11">
        <f t="shared" si="965"/>
        <v>0</v>
      </c>
      <c r="BJI11">
        <f t="shared" si="966"/>
        <v>0</v>
      </c>
      <c r="BJJ11">
        <f t="shared" si="967"/>
        <v>0</v>
      </c>
      <c r="BJK11">
        <f t="shared" si="968"/>
        <v>0</v>
      </c>
      <c r="BJL11">
        <f t="shared" si="969"/>
        <v>0</v>
      </c>
      <c r="BJM11">
        <f t="shared" si="970"/>
        <v>0</v>
      </c>
      <c r="BJN11">
        <f t="shared" si="971"/>
        <v>0</v>
      </c>
      <c r="BJO11">
        <f t="shared" si="972"/>
        <v>0</v>
      </c>
      <c r="BJP11">
        <f t="shared" si="973"/>
        <v>0</v>
      </c>
      <c r="BJQ11">
        <f t="shared" si="974"/>
        <v>0</v>
      </c>
      <c r="BJR11">
        <f t="shared" si="975"/>
        <v>12.5</v>
      </c>
      <c r="BJS11">
        <f t="shared" si="976"/>
        <v>12.5</v>
      </c>
      <c r="BJT11">
        <f t="shared" si="977"/>
        <v>12.5</v>
      </c>
      <c r="BJU11">
        <f t="shared" si="978"/>
        <v>25</v>
      </c>
      <c r="BJV11">
        <f t="shared" si="979"/>
        <v>25</v>
      </c>
      <c r="BJW11">
        <f t="shared" si="980"/>
        <v>25</v>
      </c>
      <c r="BJX11">
        <f t="shared" si="981"/>
        <v>25</v>
      </c>
      <c r="BJY11">
        <f t="shared" si="982"/>
        <v>25</v>
      </c>
      <c r="BJZ11">
        <f t="shared" si="983"/>
        <v>25</v>
      </c>
      <c r="BKA11">
        <f t="shared" si="984"/>
        <v>43.75</v>
      </c>
      <c r="BKB11">
        <f t="shared" si="985"/>
        <v>25</v>
      </c>
      <c r="BKC11">
        <f t="shared" si="986"/>
        <v>0</v>
      </c>
      <c r="BKD11">
        <f t="shared" si="987"/>
        <v>0</v>
      </c>
      <c r="BKE11">
        <f t="shared" si="988"/>
        <v>0</v>
      </c>
      <c r="BKF11">
        <f t="shared" si="989"/>
        <v>0</v>
      </c>
      <c r="BKG11">
        <f t="shared" si="990"/>
        <v>0</v>
      </c>
      <c r="BKH11">
        <f t="shared" si="991"/>
        <v>0</v>
      </c>
      <c r="BKI11">
        <f t="shared" si="992"/>
        <v>0</v>
      </c>
      <c r="BKJ11">
        <f t="shared" si="993"/>
        <v>0</v>
      </c>
      <c r="BKK11">
        <f t="shared" si="994"/>
        <v>0</v>
      </c>
      <c r="BKL11">
        <f t="shared" si="995"/>
        <v>0</v>
      </c>
      <c r="BKM11">
        <f t="shared" si="996"/>
        <v>0</v>
      </c>
      <c r="BKN11">
        <f t="shared" si="997"/>
        <v>12.5</v>
      </c>
      <c r="BKO11">
        <f t="shared" si="998"/>
        <v>12.5</v>
      </c>
      <c r="BKP11">
        <f t="shared" si="999"/>
        <v>12.5</v>
      </c>
      <c r="BKQ11">
        <f t="shared" si="1000"/>
        <v>25</v>
      </c>
      <c r="BKR11">
        <f t="shared" si="1001"/>
        <v>25</v>
      </c>
      <c r="BKS11">
        <f t="shared" si="1002"/>
        <v>25</v>
      </c>
      <c r="BKT11">
        <f t="shared" si="1003"/>
        <v>25</v>
      </c>
      <c r="BKU11">
        <f t="shared" si="1004"/>
        <v>25</v>
      </c>
      <c r="BKV11">
        <f t="shared" si="1005"/>
        <v>25</v>
      </c>
      <c r="BKW11">
        <f t="shared" si="1006"/>
        <v>43.75</v>
      </c>
      <c r="BKX11">
        <f t="shared" si="1007"/>
        <v>25</v>
      </c>
      <c r="BKY11">
        <f t="shared" si="1008"/>
        <v>0</v>
      </c>
      <c r="BKZ11">
        <f t="shared" si="1009"/>
        <v>0</v>
      </c>
      <c r="BLA11">
        <f t="shared" si="1010"/>
        <v>0</v>
      </c>
      <c r="BLB11">
        <f t="shared" si="48"/>
        <v>0</v>
      </c>
      <c r="BLC11">
        <f t="shared" si="1011"/>
        <v>0</v>
      </c>
      <c r="BLD11">
        <f t="shared" si="1012"/>
        <v>0</v>
      </c>
      <c r="BLE11">
        <f t="shared" si="1013"/>
        <v>0</v>
      </c>
      <c r="BLF11">
        <f t="shared" si="1014"/>
        <v>0</v>
      </c>
      <c r="BLG11">
        <f t="shared" si="1015"/>
        <v>0</v>
      </c>
      <c r="BLH11">
        <f t="shared" si="1016"/>
        <v>0</v>
      </c>
      <c r="BLI11">
        <f t="shared" si="1017"/>
        <v>0</v>
      </c>
      <c r="BLJ11">
        <f t="shared" si="1018"/>
        <v>12.5</v>
      </c>
      <c r="BLK11">
        <f t="shared" si="1019"/>
        <v>12.5</v>
      </c>
      <c r="BLL11">
        <f t="shared" si="1020"/>
        <v>12.5</v>
      </c>
      <c r="BLM11">
        <f t="shared" si="1021"/>
        <v>25</v>
      </c>
      <c r="BLN11">
        <f t="shared" si="1022"/>
        <v>25</v>
      </c>
      <c r="BLO11">
        <f t="shared" si="1023"/>
        <v>25</v>
      </c>
      <c r="BLP11">
        <f t="shared" si="1024"/>
        <v>25</v>
      </c>
      <c r="BLQ11">
        <f t="shared" si="1025"/>
        <v>25</v>
      </c>
      <c r="BLR11">
        <f t="shared" si="1026"/>
        <v>25</v>
      </c>
      <c r="BLS11">
        <f t="shared" si="1027"/>
        <v>43.75</v>
      </c>
      <c r="BLT11">
        <f t="shared" si="1028"/>
        <v>25</v>
      </c>
      <c r="BLU11">
        <f t="shared" si="1029"/>
        <v>0</v>
      </c>
      <c r="BLV11">
        <f t="shared" si="1030"/>
        <v>0</v>
      </c>
      <c r="BLW11">
        <f t="shared" si="1031"/>
        <v>0</v>
      </c>
      <c r="BLX11">
        <f t="shared" si="1032"/>
        <v>0</v>
      </c>
      <c r="BLY11">
        <f t="shared" si="1033"/>
        <v>0</v>
      </c>
      <c r="BLZ11">
        <f t="shared" si="1034"/>
        <v>0</v>
      </c>
      <c r="BMA11">
        <f t="shared" si="1035"/>
        <v>0</v>
      </c>
      <c r="BMB11">
        <f t="shared" si="1036"/>
        <v>0</v>
      </c>
      <c r="BMC11">
        <f t="shared" si="1037"/>
        <v>0</v>
      </c>
      <c r="BMD11">
        <f t="shared" si="1038"/>
        <v>0</v>
      </c>
      <c r="BME11">
        <f t="shared" si="1039"/>
        <v>0</v>
      </c>
      <c r="BMF11">
        <f t="shared" si="1040"/>
        <v>12.5</v>
      </c>
      <c r="BMG11">
        <f t="shared" si="1041"/>
        <v>12.5</v>
      </c>
      <c r="BMH11">
        <f t="shared" si="1042"/>
        <v>12.5</v>
      </c>
      <c r="BMI11">
        <f t="shared" si="1043"/>
        <v>25</v>
      </c>
      <c r="BMJ11">
        <f t="shared" si="1044"/>
        <v>25</v>
      </c>
      <c r="BMK11">
        <f t="shared" si="1045"/>
        <v>25</v>
      </c>
      <c r="BML11">
        <f t="shared" si="1046"/>
        <v>25</v>
      </c>
      <c r="BMM11">
        <f t="shared" si="1047"/>
        <v>25</v>
      </c>
      <c r="BMN11">
        <f t="shared" si="1048"/>
        <v>25</v>
      </c>
      <c r="BMO11">
        <f t="shared" si="1049"/>
        <v>43.75</v>
      </c>
      <c r="BMP11">
        <f t="shared" si="1050"/>
        <v>25</v>
      </c>
      <c r="BMQ11">
        <f t="shared" si="1051"/>
        <v>0</v>
      </c>
      <c r="BMR11">
        <f t="shared" si="1052"/>
        <v>0</v>
      </c>
      <c r="BMS11">
        <f t="shared" si="1053"/>
        <v>0</v>
      </c>
      <c r="BMT11">
        <f t="shared" si="1054"/>
        <v>0</v>
      </c>
      <c r="BMU11">
        <f t="shared" si="1055"/>
        <v>0</v>
      </c>
      <c r="BMV11">
        <f t="shared" si="1056"/>
        <v>0</v>
      </c>
      <c r="BMW11">
        <f t="shared" si="1057"/>
        <v>0</v>
      </c>
      <c r="BMX11">
        <f t="shared" si="1058"/>
        <v>0</v>
      </c>
      <c r="BMY11">
        <f t="shared" si="1059"/>
        <v>0</v>
      </c>
      <c r="BMZ11">
        <f t="shared" si="1060"/>
        <v>0</v>
      </c>
      <c r="BNA11">
        <f t="shared" si="1061"/>
        <v>0</v>
      </c>
      <c r="BNB11">
        <f t="shared" si="1062"/>
        <v>12.5</v>
      </c>
      <c r="BNC11">
        <f t="shared" si="1063"/>
        <v>12.5</v>
      </c>
      <c r="BND11">
        <f t="shared" si="1064"/>
        <v>12.5</v>
      </c>
      <c r="BNE11">
        <f t="shared" si="1065"/>
        <v>25</v>
      </c>
      <c r="BNF11">
        <f t="shared" si="1066"/>
        <v>25</v>
      </c>
      <c r="BNG11">
        <f t="shared" si="1067"/>
        <v>25</v>
      </c>
      <c r="BNH11">
        <f t="shared" si="1068"/>
        <v>25</v>
      </c>
      <c r="BNI11">
        <f t="shared" si="1069"/>
        <v>25</v>
      </c>
      <c r="BNJ11">
        <f t="shared" si="1070"/>
        <v>25</v>
      </c>
      <c r="BNK11">
        <f t="shared" si="1071"/>
        <v>43.75</v>
      </c>
      <c r="BNL11">
        <f t="shared" si="1072"/>
        <v>25</v>
      </c>
      <c r="BNM11">
        <f t="shared" si="1073"/>
        <v>0</v>
      </c>
      <c r="BNN11">
        <f t="shared" si="49"/>
        <v>0</v>
      </c>
      <c r="BNO11">
        <f t="shared" si="1074"/>
        <v>0</v>
      </c>
      <c r="BNP11">
        <f t="shared" si="1075"/>
        <v>0</v>
      </c>
      <c r="BNQ11">
        <f t="shared" si="1076"/>
        <v>0</v>
      </c>
      <c r="BNR11">
        <f t="shared" si="1077"/>
        <v>0</v>
      </c>
      <c r="BNS11">
        <f t="shared" si="1078"/>
        <v>0</v>
      </c>
      <c r="BNT11">
        <f t="shared" si="1079"/>
        <v>0</v>
      </c>
      <c r="BNU11">
        <f t="shared" si="1080"/>
        <v>0</v>
      </c>
      <c r="BNV11">
        <f t="shared" si="1081"/>
        <v>0</v>
      </c>
      <c r="BNW11">
        <f t="shared" si="1082"/>
        <v>0</v>
      </c>
      <c r="BNX11">
        <f t="shared" si="1083"/>
        <v>12.5</v>
      </c>
      <c r="BNY11">
        <f t="shared" si="1084"/>
        <v>12.5</v>
      </c>
      <c r="BNZ11">
        <f t="shared" si="1085"/>
        <v>12.5</v>
      </c>
      <c r="BOA11">
        <f t="shared" si="1086"/>
        <v>25</v>
      </c>
      <c r="BOB11">
        <f t="shared" si="1087"/>
        <v>25</v>
      </c>
      <c r="BOC11">
        <f t="shared" si="1088"/>
        <v>25</v>
      </c>
      <c r="BOD11">
        <f t="shared" si="1089"/>
        <v>25</v>
      </c>
      <c r="BOE11">
        <f t="shared" si="1090"/>
        <v>25</v>
      </c>
      <c r="BOF11">
        <f t="shared" si="1091"/>
        <v>25</v>
      </c>
      <c r="BOG11">
        <f t="shared" si="1092"/>
        <v>43.75</v>
      </c>
      <c r="BOH11">
        <f t="shared" si="1093"/>
        <v>25</v>
      </c>
      <c r="BOI11">
        <f t="shared" si="1094"/>
        <v>0</v>
      </c>
      <c r="BOJ11">
        <f t="shared" si="1095"/>
        <v>0</v>
      </c>
      <c r="BOK11">
        <f t="shared" si="1096"/>
        <v>0</v>
      </c>
      <c r="BOL11">
        <f t="shared" si="1097"/>
        <v>0</v>
      </c>
      <c r="BOM11">
        <f t="shared" si="1098"/>
        <v>0</v>
      </c>
      <c r="BON11">
        <f t="shared" si="1099"/>
        <v>0</v>
      </c>
      <c r="BOO11">
        <f t="shared" si="1100"/>
        <v>0</v>
      </c>
      <c r="BOP11">
        <f t="shared" si="1101"/>
        <v>0</v>
      </c>
      <c r="BOQ11">
        <f t="shared" si="1102"/>
        <v>0</v>
      </c>
      <c r="BOR11">
        <f t="shared" si="1103"/>
        <v>0</v>
      </c>
      <c r="BOS11">
        <f t="shared" si="1104"/>
        <v>0</v>
      </c>
      <c r="BOT11">
        <f t="shared" si="1105"/>
        <v>12.5</v>
      </c>
      <c r="BOU11">
        <f t="shared" si="1106"/>
        <v>12.5</v>
      </c>
      <c r="BOV11">
        <f t="shared" si="1107"/>
        <v>12.5</v>
      </c>
      <c r="BOW11">
        <f t="shared" si="1108"/>
        <v>25</v>
      </c>
      <c r="BOX11">
        <f t="shared" si="1109"/>
        <v>25</v>
      </c>
      <c r="BOY11">
        <f t="shared" si="1110"/>
        <v>25</v>
      </c>
      <c r="BOZ11">
        <f t="shared" si="1111"/>
        <v>25</v>
      </c>
      <c r="BPA11">
        <f t="shared" si="1112"/>
        <v>25</v>
      </c>
      <c r="BPB11">
        <f t="shared" si="1113"/>
        <v>25</v>
      </c>
      <c r="BPC11">
        <f t="shared" si="1114"/>
        <v>43.75</v>
      </c>
      <c r="BPD11">
        <f t="shared" si="1115"/>
        <v>25</v>
      </c>
      <c r="BPE11">
        <f t="shared" si="1116"/>
        <v>0</v>
      </c>
      <c r="BPF11">
        <f t="shared" si="1117"/>
        <v>0</v>
      </c>
      <c r="BPG11">
        <f t="shared" si="1118"/>
        <v>0</v>
      </c>
      <c r="BPH11">
        <f t="shared" si="1119"/>
        <v>0</v>
      </c>
      <c r="BPI11">
        <f t="shared" si="1120"/>
        <v>0</v>
      </c>
      <c r="BPJ11">
        <f t="shared" si="1121"/>
        <v>0</v>
      </c>
      <c r="BPK11">
        <f t="shared" si="1122"/>
        <v>0</v>
      </c>
      <c r="BPL11">
        <f t="shared" si="1123"/>
        <v>0</v>
      </c>
      <c r="BPM11">
        <f t="shared" si="1124"/>
        <v>0</v>
      </c>
      <c r="BPN11">
        <f t="shared" si="1125"/>
        <v>0</v>
      </c>
      <c r="BPO11">
        <f t="shared" si="1126"/>
        <v>0</v>
      </c>
      <c r="BPP11">
        <f t="shared" si="1127"/>
        <v>12.5</v>
      </c>
      <c r="BPQ11">
        <f t="shared" si="1128"/>
        <v>12.5</v>
      </c>
      <c r="BPR11">
        <f t="shared" si="1129"/>
        <v>12.5</v>
      </c>
      <c r="BPS11">
        <f t="shared" si="1130"/>
        <v>25</v>
      </c>
      <c r="BPT11">
        <f t="shared" si="1131"/>
        <v>25</v>
      </c>
      <c r="BPU11">
        <f t="shared" si="1132"/>
        <v>25</v>
      </c>
      <c r="BPV11">
        <f t="shared" si="1133"/>
        <v>25</v>
      </c>
      <c r="BPW11">
        <f t="shared" si="1134"/>
        <v>25</v>
      </c>
      <c r="BPX11">
        <f t="shared" si="1135"/>
        <v>25</v>
      </c>
      <c r="BPY11">
        <f t="shared" si="1136"/>
        <v>43.75</v>
      </c>
      <c r="BPZ11">
        <f t="shared" si="50"/>
        <v>25</v>
      </c>
      <c r="BQA11">
        <f t="shared" si="1137"/>
        <v>0</v>
      </c>
      <c r="BQB11">
        <f t="shared" si="1138"/>
        <v>0</v>
      </c>
      <c r="BQC11">
        <f t="shared" si="1139"/>
        <v>0</v>
      </c>
      <c r="BQD11">
        <f t="shared" si="1140"/>
        <v>0</v>
      </c>
      <c r="BQE11">
        <f t="shared" si="1141"/>
        <v>0</v>
      </c>
      <c r="BQF11">
        <f t="shared" si="1142"/>
        <v>0</v>
      </c>
      <c r="BQG11">
        <f t="shared" si="1143"/>
        <v>0</v>
      </c>
      <c r="BQH11">
        <f t="shared" si="1144"/>
        <v>0</v>
      </c>
      <c r="BQI11">
        <f t="shared" si="1145"/>
        <v>0</v>
      </c>
      <c r="BQJ11">
        <f t="shared" si="1146"/>
        <v>0</v>
      </c>
      <c r="BQK11">
        <f t="shared" si="1147"/>
        <v>0</v>
      </c>
      <c r="BQL11">
        <f t="shared" si="1148"/>
        <v>12.5</v>
      </c>
      <c r="BQM11">
        <f t="shared" si="1149"/>
        <v>12.5</v>
      </c>
      <c r="BQN11">
        <f t="shared" si="1150"/>
        <v>12.5</v>
      </c>
      <c r="BQO11">
        <f t="shared" si="1151"/>
        <v>25</v>
      </c>
      <c r="BQP11">
        <f t="shared" si="1152"/>
        <v>25</v>
      </c>
      <c r="BQQ11">
        <f t="shared" si="1153"/>
        <v>25</v>
      </c>
      <c r="BQR11">
        <f t="shared" si="1154"/>
        <v>25</v>
      </c>
      <c r="BQS11">
        <f t="shared" si="1155"/>
        <v>25</v>
      </c>
      <c r="BQT11">
        <f t="shared" si="1156"/>
        <v>25</v>
      </c>
      <c r="BQU11">
        <f t="shared" si="1157"/>
        <v>43.75</v>
      </c>
      <c r="BQV11">
        <f t="shared" si="1158"/>
        <v>25</v>
      </c>
      <c r="BQW11">
        <f t="shared" si="1159"/>
        <v>0</v>
      </c>
      <c r="BQX11">
        <f t="shared" si="1160"/>
        <v>0</v>
      </c>
      <c r="BQY11">
        <f t="shared" si="1161"/>
        <v>0</v>
      </c>
      <c r="BQZ11">
        <f t="shared" si="1162"/>
        <v>0</v>
      </c>
      <c r="BRA11">
        <f t="shared" si="1163"/>
        <v>0</v>
      </c>
      <c r="BRB11">
        <f t="shared" si="1164"/>
        <v>0</v>
      </c>
      <c r="BRC11">
        <f t="shared" si="1165"/>
        <v>0</v>
      </c>
      <c r="BRD11">
        <f t="shared" si="1166"/>
        <v>0</v>
      </c>
      <c r="BRE11">
        <f t="shared" si="1167"/>
        <v>0</v>
      </c>
      <c r="BRF11">
        <f t="shared" si="1168"/>
        <v>0</v>
      </c>
      <c r="BRG11">
        <f t="shared" si="1169"/>
        <v>0</v>
      </c>
      <c r="BRH11">
        <f t="shared" si="1170"/>
        <v>12.5</v>
      </c>
      <c r="BRI11">
        <f t="shared" si="1171"/>
        <v>12.5</v>
      </c>
      <c r="BRJ11">
        <f t="shared" si="1172"/>
        <v>12.5</v>
      </c>
      <c r="BRK11">
        <f t="shared" si="1173"/>
        <v>25</v>
      </c>
      <c r="BRL11">
        <f t="shared" si="1174"/>
        <v>25</v>
      </c>
      <c r="BRM11">
        <f t="shared" si="1175"/>
        <v>25</v>
      </c>
      <c r="BRN11">
        <f t="shared" si="1176"/>
        <v>25</v>
      </c>
      <c r="BRO11">
        <f t="shared" si="1177"/>
        <v>25</v>
      </c>
      <c r="BRP11">
        <f t="shared" si="1178"/>
        <v>25</v>
      </c>
      <c r="BRQ11">
        <f t="shared" si="1179"/>
        <v>43.75</v>
      </c>
      <c r="BRR11">
        <f t="shared" si="1180"/>
        <v>25</v>
      </c>
      <c r="BRS11">
        <f t="shared" si="1181"/>
        <v>0</v>
      </c>
      <c r="BRT11">
        <f t="shared" si="1182"/>
        <v>0</v>
      </c>
      <c r="BRU11">
        <f t="shared" si="1183"/>
        <v>0</v>
      </c>
      <c r="BRV11">
        <f t="shared" si="1184"/>
        <v>0</v>
      </c>
      <c r="BRW11">
        <f t="shared" si="1185"/>
        <v>0</v>
      </c>
      <c r="BRX11">
        <f t="shared" si="1186"/>
        <v>0</v>
      </c>
      <c r="BRY11">
        <f t="shared" si="1187"/>
        <v>0</v>
      </c>
      <c r="BRZ11">
        <f t="shared" si="1188"/>
        <v>0</v>
      </c>
      <c r="BSA11">
        <f t="shared" si="1189"/>
        <v>0</v>
      </c>
      <c r="BSB11">
        <f t="shared" si="1190"/>
        <v>0</v>
      </c>
      <c r="BSC11">
        <f t="shared" si="1191"/>
        <v>0</v>
      </c>
      <c r="BSD11">
        <f t="shared" si="1192"/>
        <v>12.5</v>
      </c>
      <c r="BSE11">
        <f t="shared" si="1193"/>
        <v>12.5</v>
      </c>
      <c r="BSF11">
        <f t="shared" si="1194"/>
        <v>12.5</v>
      </c>
      <c r="BSG11">
        <f t="shared" si="1195"/>
        <v>25</v>
      </c>
      <c r="BSH11">
        <f t="shared" si="1196"/>
        <v>25</v>
      </c>
      <c r="BSI11">
        <f t="shared" si="1197"/>
        <v>25</v>
      </c>
      <c r="BSJ11">
        <f t="shared" si="1198"/>
        <v>25</v>
      </c>
      <c r="BSK11">
        <f t="shared" si="1199"/>
        <v>25</v>
      </c>
      <c r="BSL11">
        <f t="shared" si="51"/>
        <v>25</v>
      </c>
      <c r="BSM11">
        <f t="shared" si="1200"/>
        <v>43.75</v>
      </c>
      <c r="BSN11">
        <f t="shared" si="1201"/>
        <v>25</v>
      </c>
      <c r="BSO11">
        <f t="shared" si="1202"/>
        <v>0</v>
      </c>
      <c r="BSP11">
        <f t="shared" si="1203"/>
        <v>0</v>
      </c>
      <c r="BSQ11">
        <f t="shared" si="1204"/>
        <v>0</v>
      </c>
      <c r="BSR11">
        <f t="shared" si="1205"/>
        <v>0</v>
      </c>
      <c r="BSS11">
        <f t="shared" si="1206"/>
        <v>0</v>
      </c>
      <c r="BST11">
        <f t="shared" si="1207"/>
        <v>0</v>
      </c>
      <c r="BSU11">
        <f t="shared" si="1208"/>
        <v>0</v>
      </c>
      <c r="BSV11">
        <f t="shared" si="1209"/>
        <v>0</v>
      </c>
      <c r="BSW11">
        <f t="shared" si="1210"/>
        <v>0</v>
      </c>
      <c r="BSX11">
        <f t="shared" si="1211"/>
        <v>0</v>
      </c>
      <c r="BSY11">
        <f t="shared" si="1212"/>
        <v>0</v>
      </c>
      <c r="BSZ11">
        <f t="shared" si="1213"/>
        <v>12.5</v>
      </c>
      <c r="BTA11">
        <f t="shared" si="1214"/>
        <v>12.5</v>
      </c>
      <c r="BTB11">
        <f t="shared" si="1215"/>
        <v>12.5</v>
      </c>
      <c r="BTC11">
        <f t="shared" si="1216"/>
        <v>25</v>
      </c>
      <c r="BTD11">
        <f t="shared" si="1217"/>
        <v>25</v>
      </c>
      <c r="BTE11">
        <f t="shared" si="1218"/>
        <v>25</v>
      </c>
      <c r="BTF11">
        <f t="shared" si="1219"/>
        <v>25</v>
      </c>
      <c r="BTG11">
        <f t="shared" si="1220"/>
        <v>25</v>
      </c>
      <c r="BTH11">
        <f t="shared" si="1221"/>
        <v>25</v>
      </c>
      <c r="BTI11">
        <f t="shared" si="1222"/>
        <v>43.75</v>
      </c>
      <c r="BTJ11">
        <f t="shared" si="1223"/>
        <v>25</v>
      </c>
      <c r="BTK11">
        <f t="shared" si="1224"/>
        <v>0</v>
      </c>
      <c r="BTL11">
        <f t="shared" si="1225"/>
        <v>0</v>
      </c>
      <c r="BTM11">
        <f t="shared" si="1226"/>
        <v>0</v>
      </c>
      <c r="BTN11">
        <f t="shared" si="1227"/>
        <v>0</v>
      </c>
      <c r="BTO11">
        <f t="shared" si="1228"/>
        <v>0</v>
      </c>
      <c r="BTP11">
        <f t="shared" si="1229"/>
        <v>0</v>
      </c>
      <c r="BTQ11">
        <f t="shared" si="1230"/>
        <v>0</v>
      </c>
      <c r="BTR11">
        <f t="shared" si="1231"/>
        <v>0</v>
      </c>
      <c r="BTS11">
        <f t="shared" si="1232"/>
        <v>0</v>
      </c>
      <c r="BTT11">
        <f t="shared" si="1233"/>
        <v>0</v>
      </c>
      <c r="BTU11">
        <f t="shared" si="1234"/>
        <v>0</v>
      </c>
      <c r="BTV11">
        <f t="shared" si="1235"/>
        <v>12.5</v>
      </c>
      <c r="BTW11">
        <f t="shared" si="1236"/>
        <v>12.5</v>
      </c>
      <c r="BTX11">
        <f t="shared" si="1237"/>
        <v>12.5</v>
      </c>
      <c r="BTY11">
        <f t="shared" si="1238"/>
        <v>25</v>
      </c>
      <c r="BTZ11">
        <f t="shared" si="1239"/>
        <v>25</v>
      </c>
      <c r="BUA11">
        <f t="shared" si="1240"/>
        <v>25</v>
      </c>
      <c r="BUB11">
        <f t="shared" si="1241"/>
        <v>25</v>
      </c>
      <c r="BUC11">
        <f t="shared" si="1242"/>
        <v>25</v>
      </c>
      <c r="BUD11">
        <f t="shared" si="1243"/>
        <v>25</v>
      </c>
      <c r="BUE11">
        <f t="shared" si="1244"/>
        <v>43.75</v>
      </c>
      <c r="BUF11">
        <f t="shared" si="1245"/>
        <v>25</v>
      </c>
      <c r="BUG11">
        <f t="shared" si="1246"/>
        <v>0</v>
      </c>
      <c r="BUH11">
        <f t="shared" si="1247"/>
        <v>0</v>
      </c>
      <c r="BUI11">
        <f t="shared" si="1248"/>
        <v>0</v>
      </c>
      <c r="BUJ11">
        <f t="shared" si="1249"/>
        <v>0</v>
      </c>
      <c r="BUK11">
        <f t="shared" si="1250"/>
        <v>0</v>
      </c>
      <c r="BUL11">
        <f t="shared" si="1251"/>
        <v>0</v>
      </c>
      <c r="BUM11">
        <f t="shared" si="1252"/>
        <v>0</v>
      </c>
      <c r="BUN11">
        <f t="shared" si="1253"/>
        <v>0</v>
      </c>
      <c r="BUO11">
        <f t="shared" si="1254"/>
        <v>0</v>
      </c>
      <c r="BUP11">
        <f t="shared" si="1255"/>
        <v>0</v>
      </c>
      <c r="BUQ11">
        <f t="shared" si="1256"/>
        <v>0</v>
      </c>
      <c r="BUR11">
        <f t="shared" si="1257"/>
        <v>12.5</v>
      </c>
      <c r="BUS11">
        <f t="shared" si="1258"/>
        <v>12.5</v>
      </c>
      <c r="BUT11">
        <f t="shared" si="1259"/>
        <v>12.5</v>
      </c>
      <c r="BUU11">
        <f t="shared" si="1260"/>
        <v>25</v>
      </c>
      <c r="BUV11">
        <f t="shared" si="1261"/>
        <v>25</v>
      </c>
      <c r="BUW11">
        <f t="shared" si="1262"/>
        <v>25</v>
      </c>
      <c r="BUX11">
        <f t="shared" si="52"/>
        <v>25</v>
      </c>
      <c r="BUY11">
        <f t="shared" si="1263"/>
        <v>25</v>
      </c>
      <c r="BUZ11">
        <f t="shared" si="1264"/>
        <v>25</v>
      </c>
      <c r="BVA11">
        <f t="shared" si="1265"/>
        <v>43.75</v>
      </c>
      <c r="BVB11">
        <f t="shared" si="1266"/>
        <v>25</v>
      </c>
      <c r="BVC11">
        <f t="shared" si="1267"/>
        <v>0</v>
      </c>
      <c r="BVD11">
        <f t="shared" si="1268"/>
        <v>0</v>
      </c>
      <c r="BVE11">
        <f t="shared" si="1269"/>
        <v>0</v>
      </c>
      <c r="BVF11">
        <f t="shared" si="1270"/>
        <v>0</v>
      </c>
      <c r="BVG11">
        <f t="shared" si="1271"/>
        <v>0</v>
      </c>
      <c r="BVH11">
        <f t="shared" si="1272"/>
        <v>0</v>
      </c>
      <c r="BVI11">
        <f t="shared" si="1273"/>
        <v>0</v>
      </c>
      <c r="BVJ11">
        <f t="shared" si="1274"/>
        <v>0</v>
      </c>
      <c r="BVK11">
        <f t="shared" si="1275"/>
        <v>0</v>
      </c>
      <c r="BVL11">
        <f t="shared" si="1276"/>
        <v>0</v>
      </c>
      <c r="BVM11">
        <f t="shared" si="1277"/>
        <v>0</v>
      </c>
      <c r="BVN11">
        <f t="shared" si="1278"/>
        <v>12.5</v>
      </c>
      <c r="BVO11">
        <f t="shared" si="1279"/>
        <v>12.5</v>
      </c>
      <c r="BVP11">
        <f t="shared" si="1280"/>
        <v>12.5</v>
      </c>
      <c r="BVQ11">
        <f t="shared" si="1281"/>
        <v>25</v>
      </c>
      <c r="BVR11">
        <f t="shared" si="1282"/>
        <v>25</v>
      </c>
      <c r="BVS11">
        <f t="shared" si="1283"/>
        <v>25</v>
      </c>
      <c r="BVT11">
        <f t="shared" si="1284"/>
        <v>25</v>
      </c>
      <c r="BVU11">
        <f t="shared" si="1285"/>
        <v>25</v>
      </c>
      <c r="BVV11">
        <f t="shared" si="1286"/>
        <v>25</v>
      </c>
      <c r="BVW11">
        <f t="shared" si="1287"/>
        <v>43.75</v>
      </c>
      <c r="BVX11">
        <f t="shared" si="1288"/>
        <v>25</v>
      </c>
      <c r="BVY11">
        <f t="shared" si="1289"/>
        <v>0</v>
      </c>
      <c r="BVZ11">
        <f t="shared" si="1290"/>
        <v>0</v>
      </c>
      <c r="BWA11">
        <f t="shared" si="1291"/>
        <v>0</v>
      </c>
      <c r="BWB11">
        <f t="shared" si="1292"/>
        <v>0</v>
      </c>
      <c r="BWC11">
        <f t="shared" si="1293"/>
        <v>0</v>
      </c>
      <c r="BWD11">
        <f t="shared" si="1294"/>
        <v>0</v>
      </c>
      <c r="BWE11">
        <f t="shared" si="1295"/>
        <v>0</v>
      </c>
      <c r="BWF11">
        <f t="shared" si="1296"/>
        <v>0</v>
      </c>
      <c r="BWG11">
        <f t="shared" si="1297"/>
        <v>0</v>
      </c>
      <c r="BWH11">
        <f t="shared" si="1298"/>
        <v>0</v>
      </c>
      <c r="BWI11">
        <f t="shared" si="1299"/>
        <v>0</v>
      </c>
      <c r="BWJ11">
        <f t="shared" si="1300"/>
        <v>12.5</v>
      </c>
      <c r="BWK11">
        <f t="shared" si="1301"/>
        <v>12.5</v>
      </c>
      <c r="BWL11">
        <f t="shared" si="1302"/>
        <v>12.5</v>
      </c>
      <c r="BWM11">
        <f t="shared" si="1303"/>
        <v>25</v>
      </c>
      <c r="BWN11">
        <f t="shared" si="1304"/>
        <v>25</v>
      </c>
      <c r="BWO11">
        <f t="shared" si="1305"/>
        <v>25</v>
      </c>
      <c r="BWP11">
        <f t="shared" si="1306"/>
        <v>25</v>
      </c>
      <c r="BWQ11">
        <f t="shared" si="1307"/>
        <v>25</v>
      </c>
      <c r="BWR11">
        <f t="shared" si="1308"/>
        <v>25</v>
      </c>
      <c r="BWS11">
        <f t="shared" si="1309"/>
        <v>43.75</v>
      </c>
      <c r="BWT11">
        <f t="shared" si="1310"/>
        <v>25</v>
      </c>
      <c r="BWU11">
        <f t="shared" si="1311"/>
        <v>0</v>
      </c>
      <c r="BWV11">
        <f t="shared" si="1312"/>
        <v>0</v>
      </c>
      <c r="BWW11">
        <f t="shared" si="1313"/>
        <v>0</v>
      </c>
      <c r="BWX11">
        <f t="shared" si="1314"/>
        <v>0</v>
      </c>
      <c r="BWY11">
        <f t="shared" si="1315"/>
        <v>0</v>
      </c>
      <c r="BWZ11">
        <f t="shared" si="1316"/>
        <v>0</v>
      </c>
      <c r="BXA11">
        <f t="shared" si="1317"/>
        <v>0</v>
      </c>
      <c r="BXB11">
        <f t="shared" si="1318"/>
        <v>0</v>
      </c>
      <c r="BXC11">
        <f t="shared" si="1319"/>
        <v>0</v>
      </c>
      <c r="BXD11">
        <f t="shared" si="1320"/>
        <v>0</v>
      </c>
      <c r="BXE11">
        <f t="shared" si="1321"/>
        <v>0</v>
      </c>
      <c r="BXF11">
        <f t="shared" si="1322"/>
        <v>12.5</v>
      </c>
      <c r="BXG11">
        <f t="shared" si="1323"/>
        <v>12.5</v>
      </c>
      <c r="BXH11">
        <f t="shared" si="1324"/>
        <v>12.5</v>
      </c>
      <c r="BXI11">
        <f t="shared" si="1325"/>
        <v>25</v>
      </c>
      <c r="BXJ11">
        <f t="shared" si="53"/>
        <v>25</v>
      </c>
      <c r="BXK11">
        <f t="shared" si="1326"/>
        <v>25</v>
      </c>
      <c r="BXL11">
        <f t="shared" si="1327"/>
        <v>25</v>
      </c>
      <c r="BXM11">
        <f t="shared" si="1328"/>
        <v>25</v>
      </c>
      <c r="BXN11">
        <f t="shared" si="1329"/>
        <v>25</v>
      </c>
      <c r="BXO11">
        <f t="shared" si="1330"/>
        <v>43.75</v>
      </c>
      <c r="BXP11">
        <f t="shared" si="1331"/>
        <v>25</v>
      </c>
      <c r="BXQ11">
        <f t="shared" si="1332"/>
        <v>0</v>
      </c>
      <c r="BXR11">
        <f t="shared" si="1333"/>
        <v>0</v>
      </c>
      <c r="BXS11">
        <f t="shared" si="1334"/>
        <v>0</v>
      </c>
      <c r="BXT11">
        <f t="shared" si="1335"/>
        <v>0</v>
      </c>
      <c r="BXU11">
        <f t="shared" si="1336"/>
        <v>0</v>
      </c>
      <c r="BXV11">
        <f t="shared" si="1337"/>
        <v>0</v>
      </c>
      <c r="BXW11">
        <f t="shared" si="1338"/>
        <v>0</v>
      </c>
      <c r="BXX11">
        <f t="shared" si="1339"/>
        <v>0</v>
      </c>
      <c r="BXY11">
        <f t="shared" si="1340"/>
        <v>0</v>
      </c>
      <c r="BXZ11">
        <f t="shared" si="1341"/>
        <v>0</v>
      </c>
      <c r="BYA11">
        <f t="shared" si="1342"/>
        <v>0</v>
      </c>
      <c r="BYB11">
        <f t="shared" si="1343"/>
        <v>12.5</v>
      </c>
      <c r="BYC11">
        <f t="shared" si="1344"/>
        <v>12.5</v>
      </c>
      <c r="BYD11">
        <f t="shared" si="1345"/>
        <v>12.5</v>
      </c>
      <c r="BYE11">
        <f t="shared" si="1346"/>
        <v>25</v>
      </c>
      <c r="BYF11">
        <f t="shared" si="1347"/>
        <v>25</v>
      </c>
      <c r="BYG11">
        <f t="shared" si="1348"/>
        <v>25</v>
      </c>
      <c r="BYH11">
        <f t="shared" si="1349"/>
        <v>25</v>
      </c>
      <c r="BYI11">
        <f t="shared" si="1350"/>
        <v>25</v>
      </c>
      <c r="BYJ11">
        <f t="shared" si="1351"/>
        <v>25</v>
      </c>
      <c r="BYK11">
        <f t="shared" si="1352"/>
        <v>43.75</v>
      </c>
      <c r="BYL11">
        <f t="shared" si="1353"/>
        <v>25</v>
      </c>
      <c r="BYM11">
        <f t="shared" si="1354"/>
        <v>0</v>
      </c>
      <c r="BYN11">
        <f t="shared" si="1355"/>
        <v>0</v>
      </c>
      <c r="BYO11">
        <f t="shared" si="1356"/>
        <v>0</v>
      </c>
      <c r="BYP11">
        <f t="shared" si="1357"/>
        <v>0</v>
      </c>
      <c r="BYQ11">
        <f t="shared" si="1358"/>
        <v>0</v>
      </c>
      <c r="BYR11">
        <f t="shared" si="1359"/>
        <v>0</v>
      </c>
      <c r="BYS11">
        <f t="shared" si="1360"/>
        <v>0</v>
      </c>
      <c r="BYT11">
        <f t="shared" si="1361"/>
        <v>0</v>
      </c>
      <c r="BYU11">
        <f t="shared" si="1362"/>
        <v>0</v>
      </c>
      <c r="BYV11">
        <f t="shared" si="1363"/>
        <v>0</v>
      </c>
      <c r="BYW11">
        <f t="shared" si="1364"/>
        <v>0</v>
      </c>
      <c r="BYX11">
        <f t="shared" si="1365"/>
        <v>12.5</v>
      </c>
      <c r="BYY11">
        <f t="shared" si="1366"/>
        <v>12.5</v>
      </c>
      <c r="BYZ11">
        <f t="shared" si="1367"/>
        <v>12.5</v>
      </c>
      <c r="BZA11">
        <f t="shared" si="1368"/>
        <v>25</v>
      </c>
      <c r="BZB11">
        <f t="shared" si="1369"/>
        <v>25</v>
      </c>
      <c r="BZC11">
        <f t="shared" si="1370"/>
        <v>25</v>
      </c>
      <c r="BZD11">
        <f t="shared" si="1371"/>
        <v>25</v>
      </c>
      <c r="BZE11">
        <f t="shared" si="1372"/>
        <v>25</v>
      </c>
      <c r="BZF11">
        <f t="shared" si="1373"/>
        <v>25</v>
      </c>
      <c r="BZG11">
        <f t="shared" si="1374"/>
        <v>43.75</v>
      </c>
      <c r="BZH11">
        <f t="shared" si="1375"/>
        <v>25</v>
      </c>
      <c r="BZI11">
        <f t="shared" si="1376"/>
        <v>0</v>
      </c>
      <c r="BZJ11">
        <f t="shared" si="1377"/>
        <v>0</v>
      </c>
      <c r="BZK11">
        <f t="shared" si="1378"/>
        <v>0</v>
      </c>
      <c r="BZL11">
        <f t="shared" si="1379"/>
        <v>0</v>
      </c>
      <c r="BZM11">
        <f t="shared" si="1380"/>
        <v>0</v>
      </c>
      <c r="BZN11">
        <f t="shared" si="1381"/>
        <v>0</v>
      </c>
      <c r="BZO11">
        <f t="shared" si="1382"/>
        <v>0</v>
      </c>
      <c r="BZP11">
        <f t="shared" si="1383"/>
        <v>0</v>
      </c>
      <c r="BZQ11">
        <f t="shared" si="1384"/>
        <v>0</v>
      </c>
      <c r="BZR11">
        <f t="shared" si="1385"/>
        <v>0</v>
      </c>
      <c r="BZS11">
        <f t="shared" si="1386"/>
        <v>0</v>
      </c>
      <c r="BZT11">
        <f t="shared" si="1387"/>
        <v>12.5</v>
      </c>
      <c r="BZU11">
        <f t="shared" si="1388"/>
        <v>12.5</v>
      </c>
      <c r="BZV11">
        <f t="shared" si="54"/>
        <v>12.5</v>
      </c>
      <c r="BZW11">
        <f t="shared" si="1389"/>
        <v>25</v>
      </c>
      <c r="BZX11">
        <f t="shared" si="1390"/>
        <v>25</v>
      </c>
      <c r="BZY11">
        <f t="shared" si="1391"/>
        <v>25</v>
      </c>
      <c r="BZZ11">
        <f t="shared" si="1392"/>
        <v>25</v>
      </c>
      <c r="CAA11">
        <f t="shared" si="1393"/>
        <v>25</v>
      </c>
      <c r="CAB11">
        <f t="shared" si="1394"/>
        <v>25</v>
      </c>
      <c r="CAC11">
        <f t="shared" si="1395"/>
        <v>43.75</v>
      </c>
      <c r="CAD11">
        <f t="shared" si="1396"/>
        <v>25</v>
      </c>
      <c r="CAE11">
        <f t="shared" si="1397"/>
        <v>0</v>
      </c>
      <c r="CAF11">
        <f t="shared" si="1398"/>
        <v>0</v>
      </c>
      <c r="CAG11">
        <f t="shared" si="1399"/>
        <v>0</v>
      </c>
      <c r="CAH11">
        <f t="shared" si="1400"/>
        <v>0</v>
      </c>
      <c r="CAI11">
        <f t="shared" si="1401"/>
        <v>0</v>
      </c>
      <c r="CAJ11">
        <f t="shared" si="1402"/>
        <v>0</v>
      </c>
      <c r="CAK11">
        <f t="shared" si="1403"/>
        <v>0</v>
      </c>
      <c r="CAL11">
        <f t="shared" si="1404"/>
        <v>0</v>
      </c>
      <c r="CAM11">
        <f t="shared" si="1405"/>
        <v>0</v>
      </c>
      <c r="CAN11">
        <f t="shared" si="1406"/>
        <v>0</v>
      </c>
      <c r="CAO11">
        <f t="shared" si="1407"/>
        <v>0</v>
      </c>
      <c r="CAP11">
        <f t="shared" si="1408"/>
        <v>12.5</v>
      </c>
      <c r="CAQ11">
        <f t="shared" si="1409"/>
        <v>12.5</v>
      </c>
      <c r="CAR11">
        <f t="shared" si="1410"/>
        <v>12.5</v>
      </c>
      <c r="CAS11">
        <f t="shared" si="1411"/>
        <v>25</v>
      </c>
      <c r="CAT11">
        <f t="shared" si="1412"/>
        <v>25</v>
      </c>
      <c r="CAU11">
        <f t="shared" si="1413"/>
        <v>25</v>
      </c>
      <c r="CAV11">
        <f t="shared" si="1414"/>
        <v>25</v>
      </c>
      <c r="CAW11">
        <f t="shared" si="1415"/>
        <v>25</v>
      </c>
      <c r="CAX11">
        <f t="shared" si="1416"/>
        <v>25</v>
      </c>
      <c r="CAY11">
        <f t="shared" si="1417"/>
        <v>43.75</v>
      </c>
      <c r="CAZ11">
        <f t="shared" si="1418"/>
        <v>25</v>
      </c>
      <c r="CBA11">
        <f t="shared" si="1419"/>
        <v>0</v>
      </c>
      <c r="CBB11">
        <f t="shared" si="1420"/>
        <v>0</v>
      </c>
      <c r="CBC11">
        <f t="shared" si="1421"/>
        <v>0</v>
      </c>
      <c r="CBD11">
        <f t="shared" si="1422"/>
        <v>0</v>
      </c>
      <c r="CBE11">
        <f t="shared" si="1423"/>
        <v>0</v>
      </c>
      <c r="CBF11">
        <f t="shared" si="1424"/>
        <v>0</v>
      </c>
      <c r="CBG11">
        <f t="shared" si="1425"/>
        <v>0</v>
      </c>
      <c r="CBH11">
        <f t="shared" si="1426"/>
        <v>0</v>
      </c>
      <c r="CBI11">
        <f t="shared" si="1427"/>
        <v>0</v>
      </c>
      <c r="CBJ11">
        <f t="shared" si="1428"/>
        <v>0</v>
      </c>
      <c r="CBK11">
        <f t="shared" si="1429"/>
        <v>0</v>
      </c>
      <c r="CBL11">
        <f t="shared" si="1430"/>
        <v>12.5</v>
      </c>
      <c r="CBM11">
        <f t="shared" si="1431"/>
        <v>12.5</v>
      </c>
      <c r="CBN11">
        <f t="shared" si="1432"/>
        <v>12.5</v>
      </c>
      <c r="CBO11">
        <f t="shared" si="1433"/>
        <v>25</v>
      </c>
      <c r="CBP11">
        <f t="shared" si="1434"/>
        <v>25</v>
      </c>
      <c r="CBQ11">
        <f t="shared" si="1435"/>
        <v>25</v>
      </c>
      <c r="CBR11">
        <f t="shared" si="1436"/>
        <v>25</v>
      </c>
      <c r="CBS11">
        <f t="shared" si="1437"/>
        <v>25</v>
      </c>
      <c r="CBT11">
        <f t="shared" si="1438"/>
        <v>25</v>
      </c>
      <c r="CBU11">
        <f t="shared" si="1439"/>
        <v>43.75</v>
      </c>
      <c r="CBV11">
        <f t="shared" si="1440"/>
        <v>25</v>
      </c>
      <c r="CBW11">
        <f t="shared" si="1441"/>
        <v>0</v>
      </c>
      <c r="CBX11">
        <f t="shared" si="1442"/>
        <v>0</v>
      </c>
      <c r="CBY11">
        <f t="shared" si="1443"/>
        <v>0</v>
      </c>
      <c r="CBZ11">
        <f t="shared" si="1444"/>
        <v>0</v>
      </c>
      <c r="CCA11">
        <f t="shared" si="1445"/>
        <v>0</v>
      </c>
      <c r="CCB11">
        <f t="shared" si="1446"/>
        <v>0</v>
      </c>
      <c r="CCC11">
        <f t="shared" si="1447"/>
        <v>0</v>
      </c>
      <c r="CCD11">
        <f t="shared" si="1448"/>
        <v>0</v>
      </c>
      <c r="CCE11">
        <f t="shared" si="1449"/>
        <v>0</v>
      </c>
      <c r="CCF11">
        <f t="shared" si="1450"/>
        <v>0</v>
      </c>
      <c r="CCG11">
        <f t="shared" si="1451"/>
        <v>0</v>
      </c>
      <c r="CCH11">
        <f t="shared" si="55"/>
        <v>12.5</v>
      </c>
      <c r="CCI11">
        <f t="shared" si="1452"/>
        <v>12.5</v>
      </c>
      <c r="CCJ11">
        <f t="shared" si="1453"/>
        <v>12.5</v>
      </c>
      <c r="CCK11">
        <f t="shared" si="1454"/>
        <v>25</v>
      </c>
      <c r="CCL11">
        <f t="shared" si="1455"/>
        <v>25</v>
      </c>
      <c r="CCM11">
        <f t="shared" si="1456"/>
        <v>25</v>
      </c>
      <c r="CCN11">
        <f t="shared" si="1457"/>
        <v>25</v>
      </c>
      <c r="CCO11">
        <f t="shared" si="1458"/>
        <v>25</v>
      </c>
      <c r="CCP11">
        <f t="shared" si="1459"/>
        <v>25</v>
      </c>
      <c r="CCQ11">
        <f t="shared" si="1460"/>
        <v>43.75</v>
      </c>
      <c r="CCR11">
        <f t="shared" si="1461"/>
        <v>25</v>
      </c>
      <c r="CCS11">
        <f t="shared" si="1462"/>
        <v>0</v>
      </c>
      <c r="CCT11">
        <f t="shared" si="1463"/>
        <v>0</v>
      </c>
      <c r="CCU11">
        <f t="shared" si="1464"/>
        <v>0</v>
      </c>
      <c r="CCV11">
        <f t="shared" si="1465"/>
        <v>0</v>
      </c>
      <c r="CCW11">
        <f t="shared" si="1466"/>
        <v>0</v>
      </c>
      <c r="CCX11">
        <f t="shared" si="1467"/>
        <v>0</v>
      </c>
      <c r="CCY11">
        <f t="shared" si="1468"/>
        <v>0</v>
      </c>
      <c r="CCZ11">
        <f t="shared" si="1469"/>
        <v>0</v>
      </c>
      <c r="CDA11">
        <f t="shared" si="1470"/>
        <v>0</v>
      </c>
      <c r="CDB11">
        <f t="shared" si="1471"/>
        <v>0</v>
      </c>
      <c r="CDC11">
        <f t="shared" si="1472"/>
        <v>0</v>
      </c>
      <c r="CDD11">
        <f t="shared" si="1473"/>
        <v>12.5</v>
      </c>
      <c r="CDE11">
        <f t="shared" si="1474"/>
        <v>12.5</v>
      </c>
      <c r="CDF11">
        <f t="shared" si="1475"/>
        <v>12.5</v>
      </c>
      <c r="CDG11">
        <f t="shared" si="1476"/>
        <v>25</v>
      </c>
      <c r="CDH11">
        <f t="shared" si="1477"/>
        <v>25</v>
      </c>
      <c r="CDI11">
        <f t="shared" si="1478"/>
        <v>25</v>
      </c>
      <c r="CDJ11">
        <f t="shared" si="1479"/>
        <v>25</v>
      </c>
      <c r="CDK11">
        <f t="shared" si="1480"/>
        <v>25</v>
      </c>
      <c r="CDL11">
        <f t="shared" si="1481"/>
        <v>25</v>
      </c>
      <c r="CDM11">
        <f t="shared" si="1482"/>
        <v>43.75</v>
      </c>
      <c r="CDN11">
        <f t="shared" si="1483"/>
        <v>25</v>
      </c>
      <c r="CDO11">
        <f t="shared" si="1484"/>
        <v>0</v>
      </c>
      <c r="CDP11">
        <f t="shared" si="1485"/>
        <v>0</v>
      </c>
      <c r="CDQ11">
        <f t="shared" si="1486"/>
        <v>0</v>
      </c>
      <c r="CDR11">
        <f t="shared" si="1487"/>
        <v>0</v>
      </c>
      <c r="CDS11">
        <f t="shared" si="1488"/>
        <v>0</v>
      </c>
      <c r="CDT11">
        <f t="shared" si="1489"/>
        <v>0</v>
      </c>
      <c r="CDU11">
        <f t="shared" si="1490"/>
        <v>0</v>
      </c>
      <c r="CDV11">
        <f t="shared" si="1491"/>
        <v>0</v>
      </c>
      <c r="CDW11">
        <f t="shared" si="1492"/>
        <v>0</v>
      </c>
      <c r="CDX11">
        <f t="shared" si="1493"/>
        <v>0</v>
      </c>
      <c r="CDY11">
        <f t="shared" si="1494"/>
        <v>0</v>
      </c>
      <c r="CDZ11">
        <f t="shared" si="1495"/>
        <v>12.5</v>
      </c>
      <c r="CEA11">
        <f t="shared" si="1496"/>
        <v>12.5</v>
      </c>
      <c r="CEB11">
        <f t="shared" si="1497"/>
        <v>12.5</v>
      </c>
      <c r="CEC11">
        <f t="shared" si="1498"/>
        <v>25</v>
      </c>
      <c r="CED11">
        <f t="shared" si="1499"/>
        <v>25</v>
      </c>
      <c r="CEE11">
        <f t="shared" si="1500"/>
        <v>25</v>
      </c>
      <c r="CEF11">
        <f t="shared" si="1501"/>
        <v>25</v>
      </c>
      <c r="CEG11">
        <f t="shared" si="1502"/>
        <v>25</v>
      </c>
      <c r="CEH11">
        <f t="shared" si="1503"/>
        <v>25</v>
      </c>
      <c r="CEI11">
        <f t="shared" si="1504"/>
        <v>43.75</v>
      </c>
      <c r="CEJ11">
        <f t="shared" si="1505"/>
        <v>25</v>
      </c>
      <c r="CEK11">
        <f t="shared" si="1506"/>
        <v>0</v>
      </c>
      <c r="CEL11">
        <f t="shared" si="1507"/>
        <v>0</v>
      </c>
      <c r="CEM11">
        <f t="shared" si="1508"/>
        <v>0</v>
      </c>
      <c r="CEN11">
        <f t="shared" si="1509"/>
        <v>0</v>
      </c>
      <c r="CEO11">
        <f t="shared" si="1510"/>
        <v>0</v>
      </c>
      <c r="CEP11">
        <f t="shared" si="1511"/>
        <v>0</v>
      </c>
      <c r="CEQ11">
        <f t="shared" si="1512"/>
        <v>0</v>
      </c>
      <c r="CER11">
        <f t="shared" si="1513"/>
        <v>0</v>
      </c>
      <c r="CES11">
        <f t="shared" si="1514"/>
        <v>0</v>
      </c>
      <c r="CET11">
        <f t="shared" si="56"/>
        <v>0</v>
      </c>
      <c r="CEU11">
        <f t="shared" si="1515"/>
        <v>0</v>
      </c>
      <c r="CEV11">
        <f t="shared" si="1516"/>
        <v>12.5</v>
      </c>
      <c r="CEW11">
        <f t="shared" si="1517"/>
        <v>12.5</v>
      </c>
      <c r="CEX11">
        <f t="shared" si="1518"/>
        <v>12.5</v>
      </c>
      <c r="CEY11">
        <f t="shared" si="1519"/>
        <v>25</v>
      </c>
      <c r="CEZ11">
        <f t="shared" si="1520"/>
        <v>25</v>
      </c>
      <c r="CFA11">
        <f t="shared" si="1521"/>
        <v>25</v>
      </c>
      <c r="CFB11">
        <f t="shared" si="1522"/>
        <v>25</v>
      </c>
      <c r="CFC11">
        <f t="shared" si="1523"/>
        <v>25</v>
      </c>
      <c r="CFD11">
        <f t="shared" si="1524"/>
        <v>25</v>
      </c>
      <c r="CFE11">
        <f t="shared" si="1525"/>
        <v>43.75</v>
      </c>
      <c r="CFF11">
        <f t="shared" si="1526"/>
        <v>25</v>
      </c>
      <c r="CFG11">
        <f t="shared" si="1527"/>
        <v>0</v>
      </c>
      <c r="CFH11">
        <f t="shared" si="1528"/>
        <v>0</v>
      </c>
      <c r="CFI11">
        <f t="shared" si="1529"/>
        <v>0</v>
      </c>
      <c r="CFJ11">
        <f t="shared" si="1530"/>
        <v>0</v>
      </c>
      <c r="CFK11">
        <f t="shared" si="1531"/>
        <v>0</v>
      </c>
      <c r="CFL11">
        <f t="shared" si="1532"/>
        <v>0</v>
      </c>
      <c r="CFM11">
        <f t="shared" si="1533"/>
        <v>0</v>
      </c>
      <c r="CFN11">
        <f t="shared" si="1534"/>
        <v>0</v>
      </c>
      <c r="CFO11">
        <f t="shared" si="1535"/>
        <v>0</v>
      </c>
      <c r="CFP11">
        <f t="shared" si="1536"/>
        <v>0</v>
      </c>
      <c r="CFQ11">
        <f t="shared" si="1537"/>
        <v>0</v>
      </c>
      <c r="CFR11">
        <f t="shared" si="1538"/>
        <v>12.5</v>
      </c>
      <c r="CFS11">
        <f t="shared" si="1539"/>
        <v>12.5</v>
      </c>
      <c r="CFT11">
        <f t="shared" si="1540"/>
        <v>12.5</v>
      </c>
      <c r="CFU11">
        <f t="shared" si="1541"/>
        <v>25</v>
      </c>
      <c r="CFV11">
        <f t="shared" si="1542"/>
        <v>25</v>
      </c>
      <c r="CFW11">
        <f t="shared" si="1543"/>
        <v>25</v>
      </c>
      <c r="CFX11">
        <f t="shared" si="1544"/>
        <v>25</v>
      </c>
      <c r="CFY11">
        <f t="shared" si="1545"/>
        <v>25</v>
      </c>
      <c r="CFZ11">
        <f t="shared" si="1546"/>
        <v>25</v>
      </c>
      <c r="CGA11">
        <f t="shared" si="1547"/>
        <v>43.75</v>
      </c>
      <c r="CGB11">
        <f t="shared" si="1548"/>
        <v>25</v>
      </c>
      <c r="CGC11">
        <f t="shared" si="1549"/>
        <v>0</v>
      </c>
      <c r="CGD11">
        <f t="shared" si="1550"/>
        <v>0</v>
      </c>
      <c r="CGE11">
        <f t="shared" si="1551"/>
        <v>0</v>
      </c>
      <c r="CGF11">
        <f t="shared" si="1552"/>
        <v>0</v>
      </c>
      <c r="CGG11">
        <f t="shared" si="1553"/>
        <v>0</v>
      </c>
      <c r="CGH11">
        <f t="shared" si="1554"/>
        <v>0</v>
      </c>
      <c r="CGI11">
        <f t="shared" si="1555"/>
        <v>0</v>
      </c>
      <c r="CGJ11">
        <f t="shared" si="1556"/>
        <v>0</v>
      </c>
      <c r="CGK11">
        <f t="shared" si="1557"/>
        <v>0</v>
      </c>
      <c r="CGL11">
        <f t="shared" si="1558"/>
        <v>0</v>
      </c>
      <c r="CGM11">
        <f t="shared" si="1559"/>
        <v>0</v>
      </c>
      <c r="CGN11">
        <f t="shared" si="1560"/>
        <v>12.5</v>
      </c>
      <c r="CGO11">
        <f t="shared" si="1561"/>
        <v>12.5</v>
      </c>
      <c r="CGP11">
        <f t="shared" si="1562"/>
        <v>12.5</v>
      </c>
      <c r="CGQ11">
        <f t="shared" si="1563"/>
        <v>25</v>
      </c>
      <c r="CGR11">
        <f t="shared" si="1564"/>
        <v>25</v>
      </c>
      <c r="CGS11">
        <f t="shared" si="1565"/>
        <v>25</v>
      </c>
      <c r="CGT11">
        <f t="shared" si="1566"/>
        <v>25</v>
      </c>
      <c r="CGU11">
        <f t="shared" si="1567"/>
        <v>25</v>
      </c>
      <c r="CGV11">
        <f t="shared" si="1568"/>
        <v>25</v>
      </c>
      <c r="CGW11">
        <f t="shared" si="1569"/>
        <v>43.75</v>
      </c>
      <c r="CGX11">
        <f t="shared" si="1570"/>
        <v>25</v>
      </c>
      <c r="CGY11">
        <f t="shared" si="1571"/>
        <v>0</v>
      </c>
      <c r="CGZ11">
        <f t="shared" si="1572"/>
        <v>0</v>
      </c>
      <c r="CHA11">
        <f t="shared" si="1573"/>
        <v>0</v>
      </c>
      <c r="CHB11">
        <f t="shared" si="1574"/>
        <v>0</v>
      </c>
      <c r="CHC11">
        <f t="shared" si="1575"/>
        <v>0</v>
      </c>
      <c r="CHD11">
        <f t="shared" si="1576"/>
        <v>0</v>
      </c>
      <c r="CHE11">
        <f t="shared" si="1577"/>
        <v>0</v>
      </c>
      <c r="CHF11">
        <f t="shared" si="57"/>
        <v>0</v>
      </c>
      <c r="CHG11">
        <f t="shared" si="1578"/>
        <v>0</v>
      </c>
      <c r="CHH11">
        <f t="shared" si="1579"/>
        <v>0</v>
      </c>
      <c r="CHI11">
        <f t="shared" si="1580"/>
        <v>0</v>
      </c>
      <c r="CHJ11">
        <f t="shared" si="1581"/>
        <v>12.5</v>
      </c>
      <c r="CHK11">
        <f t="shared" si="1582"/>
        <v>12.5</v>
      </c>
      <c r="CHL11">
        <f t="shared" si="1583"/>
        <v>12.5</v>
      </c>
      <c r="CHM11">
        <f t="shared" si="1584"/>
        <v>25</v>
      </c>
      <c r="CHN11">
        <f t="shared" si="1585"/>
        <v>25</v>
      </c>
      <c r="CHO11">
        <f t="shared" si="1586"/>
        <v>25</v>
      </c>
      <c r="CHP11">
        <f t="shared" si="1587"/>
        <v>25</v>
      </c>
      <c r="CHQ11">
        <f t="shared" si="1588"/>
        <v>25</v>
      </c>
      <c r="CHR11">
        <f t="shared" si="1589"/>
        <v>25</v>
      </c>
      <c r="CHS11">
        <f t="shared" si="1590"/>
        <v>43.75</v>
      </c>
      <c r="CHT11">
        <f t="shared" si="1591"/>
        <v>25</v>
      </c>
      <c r="CHU11">
        <f t="shared" si="1592"/>
        <v>0</v>
      </c>
      <c r="CHV11">
        <f t="shared" si="1593"/>
        <v>0</v>
      </c>
      <c r="CHW11">
        <f t="shared" si="1594"/>
        <v>0</v>
      </c>
      <c r="CHX11">
        <f t="shared" si="1595"/>
        <v>0</v>
      </c>
      <c r="CHY11">
        <f t="shared" si="1596"/>
        <v>0</v>
      </c>
      <c r="CHZ11">
        <f t="shared" si="1597"/>
        <v>0</v>
      </c>
      <c r="CIA11">
        <f t="shared" si="1598"/>
        <v>0</v>
      </c>
      <c r="CIB11">
        <f t="shared" si="1599"/>
        <v>0</v>
      </c>
      <c r="CIC11">
        <f t="shared" si="1600"/>
        <v>0</v>
      </c>
      <c r="CID11">
        <f t="shared" si="1601"/>
        <v>0</v>
      </c>
      <c r="CIE11">
        <f t="shared" si="1602"/>
        <v>0</v>
      </c>
      <c r="CIF11">
        <f t="shared" si="1603"/>
        <v>12.5</v>
      </c>
      <c r="CIG11">
        <f t="shared" si="1604"/>
        <v>12.5</v>
      </c>
      <c r="CIH11">
        <f t="shared" si="1605"/>
        <v>12.5</v>
      </c>
      <c r="CII11">
        <f t="shared" si="1606"/>
        <v>25</v>
      </c>
      <c r="CIJ11">
        <f t="shared" si="1607"/>
        <v>25</v>
      </c>
      <c r="CIK11">
        <f t="shared" si="1608"/>
        <v>25</v>
      </c>
      <c r="CIL11">
        <f t="shared" si="1609"/>
        <v>25</v>
      </c>
      <c r="CIM11">
        <f t="shared" si="1610"/>
        <v>25</v>
      </c>
      <c r="CIN11">
        <f t="shared" si="1611"/>
        <v>25</v>
      </c>
      <c r="CIO11">
        <f t="shared" si="1612"/>
        <v>43.75</v>
      </c>
      <c r="CIP11">
        <f t="shared" si="1613"/>
        <v>25</v>
      </c>
      <c r="CIQ11">
        <f t="shared" si="1614"/>
        <v>0</v>
      </c>
      <c r="CIR11">
        <f t="shared" si="1615"/>
        <v>0</v>
      </c>
      <c r="CIS11">
        <f t="shared" si="1616"/>
        <v>0</v>
      </c>
      <c r="CIT11">
        <f t="shared" si="1617"/>
        <v>0</v>
      </c>
      <c r="CIU11">
        <f t="shared" si="1618"/>
        <v>0</v>
      </c>
      <c r="CIV11">
        <f t="shared" si="1619"/>
        <v>0</v>
      </c>
      <c r="CIW11">
        <f t="shared" si="1620"/>
        <v>0</v>
      </c>
      <c r="CIX11">
        <f t="shared" si="1621"/>
        <v>0</v>
      </c>
      <c r="CIY11">
        <f t="shared" si="1622"/>
        <v>0</v>
      </c>
      <c r="CIZ11">
        <f t="shared" si="1623"/>
        <v>0</v>
      </c>
      <c r="CJA11">
        <f t="shared" si="1624"/>
        <v>0</v>
      </c>
      <c r="CJB11">
        <f t="shared" si="1625"/>
        <v>12.5</v>
      </c>
      <c r="CJC11">
        <f t="shared" si="1626"/>
        <v>12.5</v>
      </c>
      <c r="CJD11">
        <f t="shared" si="1627"/>
        <v>12.5</v>
      </c>
      <c r="CJE11">
        <f t="shared" si="1628"/>
        <v>25</v>
      </c>
      <c r="CJF11">
        <f t="shared" si="1629"/>
        <v>25</v>
      </c>
      <c r="CJG11">
        <f t="shared" si="1630"/>
        <v>25</v>
      </c>
      <c r="CJH11">
        <f t="shared" si="1631"/>
        <v>25</v>
      </c>
      <c r="CJI11">
        <f t="shared" si="1632"/>
        <v>25</v>
      </c>
      <c r="CJJ11">
        <f t="shared" si="1633"/>
        <v>25</v>
      </c>
      <c r="CJK11">
        <f t="shared" si="1634"/>
        <v>43.75</v>
      </c>
      <c r="CJL11">
        <f t="shared" si="1635"/>
        <v>25</v>
      </c>
      <c r="CJM11">
        <f t="shared" si="1636"/>
        <v>0</v>
      </c>
      <c r="CJN11">
        <f t="shared" si="1637"/>
        <v>0</v>
      </c>
      <c r="CJO11">
        <f t="shared" si="1638"/>
        <v>0</v>
      </c>
      <c r="CJP11">
        <f t="shared" si="1639"/>
        <v>0</v>
      </c>
      <c r="CJQ11">
        <f t="shared" si="1640"/>
        <v>0</v>
      </c>
      <c r="CJR11">
        <f t="shared" si="58"/>
        <v>0</v>
      </c>
      <c r="CJS11">
        <f t="shared" si="1641"/>
        <v>0</v>
      </c>
      <c r="CJT11">
        <f t="shared" si="1642"/>
        <v>0</v>
      </c>
      <c r="CJU11">
        <f t="shared" si="1643"/>
        <v>0</v>
      </c>
      <c r="CJV11">
        <f t="shared" si="1644"/>
        <v>0</v>
      </c>
      <c r="CJW11">
        <f t="shared" si="1645"/>
        <v>0</v>
      </c>
      <c r="CJX11">
        <f t="shared" si="1646"/>
        <v>12.5</v>
      </c>
      <c r="CJY11">
        <f t="shared" si="1647"/>
        <v>12.5</v>
      </c>
      <c r="CJZ11">
        <f t="shared" si="1648"/>
        <v>12.5</v>
      </c>
      <c r="CKA11">
        <f t="shared" si="1649"/>
        <v>25</v>
      </c>
      <c r="CKB11">
        <f t="shared" si="1650"/>
        <v>25</v>
      </c>
      <c r="CKC11">
        <f t="shared" si="1651"/>
        <v>25</v>
      </c>
      <c r="CKD11">
        <f t="shared" si="1652"/>
        <v>25</v>
      </c>
      <c r="CKE11">
        <f t="shared" si="1653"/>
        <v>25</v>
      </c>
      <c r="CKF11">
        <f t="shared" si="1654"/>
        <v>25</v>
      </c>
      <c r="CKG11">
        <f t="shared" si="1655"/>
        <v>43.75</v>
      </c>
      <c r="CKH11">
        <f t="shared" si="1656"/>
        <v>25</v>
      </c>
      <c r="CKI11">
        <f t="shared" si="1657"/>
        <v>0</v>
      </c>
      <c r="CKJ11">
        <f t="shared" si="1658"/>
        <v>0</v>
      </c>
      <c r="CKK11">
        <f t="shared" si="1659"/>
        <v>0</v>
      </c>
      <c r="CKL11">
        <f t="shared" si="1660"/>
        <v>0</v>
      </c>
      <c r="CKM11">
        <f t="shared" si="1661"/>
        <v>0</v>
      </c>
      <c r="CKN11">
        <f t="shared" si="1662"/>
        <v>0</v>
      </c>
      <c r="CKO11">
        <f t="shared" si="1663"/>
        <v>0</v>
      </c>
      <c r="CKP11">
        <f t="shared" si="1664"/>
        <v>0</v>
      </c>
      <c r="CKQ11">
        <f t="shared" si="1665"/>
        <v>0</v>
      </c>
      <c r="CKR11">
        <f t="shared" si="1666"/>
        <v>0</v>
      </c>
      <c r="CKS11">
        <f t="shared" si="1667"/>
        <v>0</v>
      </c>
      <c r="CKT11">
        <f t="shared" si="1668"/>
        <v>12.5</v>
      </c>
      <c r="CKU11">
        <f t="shared" si="1669"/>
        <v>12.5</v>
      </c>
      <c r="CKV11">
        <f t="shared" si="1670"/>
        <v>12.5</v>
      </c>
      <c r="CKW11">
        <f t="shared" si="1671"/>
        <v>25</v>
      </c>
      <c r="CKX11">
        <f t="shared" si="1672"/>
        <v>25</v>
      </c>
      <c r="CKY11">
        <f t="shared" si="1673"/>
        <v>25</v>
      </c>
      <c r="CKZ11">
        <f t="shared" si="1674"/>
        <v>25</v>
      </c>
      <c r="CLA11">
        <f t="shared" si="1675"/>
        <v>25</v>
      </c>
      <c r="CLB11">
        <f t="shared" si="1676"/>
        <v>25</v>
      </c>
      <c r="CLC11">
        <f t="shared" si="1677"/>
        <v>43.75</v>
      </c>
      <c r="CLD11">
        <f t="shared" si="1678"/>
        <v>25</v>
      </c>
      <c r="CLE11">
        <f t="shared" si="1679"/>
        <v>0</v>
      </c>
      <c r="CLF11">
        <f t="shared" si="1680"/>
        <v>0</v>
      </c>
      <c r="CLG11">
        <f t="shared" si="1681"/>
        <v>0</v>
      </c>
      <c r="CLH11">
        <f t="shared" si="1682"/>
        <v>0</v>
      </c>
      <c r="CLI11">
        <f t="shared" si="1683"/>
        <v>0</v>
      </c>
      <c r="CLJ11">
        <f t="shared" si="1684"/>
        <v>0</v>
      </c>
      <c r="CLK11">
        <f t="shared" si="1685"/>
        <v>0</v>
      </c>
      <c r="CLL11">
        <f t="shared" si="1686"/>
        <v>0</v>
      </c>
      <c r="CLM11">
        <f t="shared" si="1687"/>
        <v>0</v>
      </c>
      <c r="CLN11">
        <f t="shared" si="1688"/>
        <v>0</v>
      </c>
      <c r="CLO11">
        <f t="shared" si="1689"/>
        <v>0</v>
      </c>
      <c r="CLP11">
        <f t="shared" si="1690"/>
        <v>12.5</v>
      </c>
      <c r="CLQ11">
        <f t="shared" si="1691"/>
        <v>12.5</v>
      </c>
      <c r="CLR11">
        <f t="shared" si="1692"/>
        <v>12.5</v>
      </c>
      <c r="CLS11">
        <f t="shared" si="1693"/>
        <v>25</v>
      </c>
      <c r="CLT11">
        <f t="shared" si="1694"/>
        <v>25</v>
      </c>
      <c r="CLU11">
        <f t="shared" si="1695"/>
        <v>25</v>
      </c>
      <c r="CLV11">
        <f t="shared" si="1696"/>
        <v>25</v>
      </c>
      <c r="CLW11">
        <f t="shared" si="1697"/>
        <v>25</v>
      </c>
      <c r="CLX11">
        <f t="shared" si="1698"/>
        <v>25</v>
      </c>
      <c r="CLY11">
        <f t="shared" si="1699"/>
        <v>43.75</v>
      </c>
      <c r="CLZ11">
        <f t="shared" si="1700"/>
        <v>25</v>
      </c>
      <c r="CMA11">
        <f t="shared" si="1701"/>
        <v>0</v>
      </c>
      <c r="CMB11">
        <f t="shared" si="1702"/>
        <v>0</v>
      </c>
      <c r="CMC11">
        <f t="shared" si="1703"/>
        <v>0</v>
      </c>
      <c r="CMD11">
        <f t="shared" si="59"/>
        <v>0</v>
      </c>
      <c r="CME11">
        <f t="shared" si="1704"/>
        <v>0</v>
      </c>
      <c r="CMF11">
        <f t="shared" si="1705"/>
        <v>0</v>
      </c>
      <c r="CMG11">
        <f t="shared" si="1706"/>
        <v>0</v>
      </c>
      <c r="CMH11">
        <f t="shared" si="1707"/>
        <v>0</v>
      </c>
      <c r="CMI11">
        <f t="shared" si="1708"/>
        <v>0</v>
      </c>
      <c r="CMJ11">
        <f t="shared" si="1709"/>
        <v>0</v>
      </c>
      <c r="CMK11">
        <f t="shared" si="1710"/>
        <v>0</v>
      </c>
      <c r="CML11">
        <f t="shared" si="1711"/>
        <v>12.5</v>
      </c>
      <c r="CMM11">
        <f t="shared" si="1712"/>
        <v>12.5</v>
      </c>
      <c r="CMN11">
        <f t="shared" si="1713"/>
        <v>12.5</v>
      </c>
      <c r="CMO11">
        <f t="shared" si="1714"/>
        <v>25</v>
      </c>
      <c r="CMP11">
        <f t="shared" si="1715"/>
        <v>25</v>
      </c>
      <c r="CMQ11">
        <f t="shared" si="1716"/>
        <v>25</v>
      </c>
      <c r="CMR11">
        <f t="shared" si="1717"/>
        <v>25</v>
      </c>
      <c r="CMS11">
        <f t="shared" si="1718"/>
        <v>25</v>
      </c>
      <c r="CMT11">
        <f t="shared" si="1719"/>
        <v>25</v>
      </c>
      <c r="CMU11">
        <f t="shared" si="1720"/>
        <v>43.75</v>
      </c>
      <c r="CMV11">
        <f t="shared" si="1721"/>
        <v>25</v>
      </c>
      <c r="CMW11">
        <f t="shared" si="1722"/>
        <v>0</v>
      </c>
      <c r="CMX11">
        <f t="shared" si="1723"/>
        <v>0</v>
      </c>
      <c r="CMY11">
        <f t="shared" si="1724"/>
        <v>0</v>
      </c>
      <c r="CMZ11">
        <f t="shared" si="1725"/>
        <v>0</v>
      </c>
      <c r="CNA11">
        <f t="shared" si="1726"/>
        <v>0</v>
      </c>
      <c r="CNB11">
        <f t="shared" si="1727"/>
        <v>0</v>
      </c>
      <c r="CNC11">
        <f t="shared" si="1728"/>
        <v>0</v>
      </c>
      <c r="CND11">
        <f t="shared" si="1729"/>
        <v>0</v>
      </c>
      <c r="CNE11">
        <f t="shared" si="1730"/>
        <v>0</v>
      </c>
      <c r="CNF11">
        <f t="shared" si="1731"/>
        <v>0</v>
      </c>
      <c r="CNG11">
        <f t="shared" si="1732"/>
        <v>0</v>
      </c>
      <c r="CNH11">
        <f t="shared" si="1733"/>
        <v>12.5</v>
      </c>
      <c r="CNI11">
        <f t="shared" si="1734"/>
        <v>12.5</v>
      </c>
      <c r="CNJ11">
        <f t="shared" si="1735"/>
        <v>12.5</v>
      </c>
      <c r="CNK11">
        <f t="shared" si="1736"/>
        <v>25</v>
      </c>
      <c r="CNL11">
        <f t="shared" si="1737"/>
        <v>25</v>
      </c>
      <c r="CNM11">
        <f t="shared" si="1738"/>
        <v>25</v>
      </c>
      <c r="CNN11">
        <f t="shared" si="1739"/>
        <v>25</v>
      </c>
      <c r="CNO11">
        <f t="shared" si="1740"/>
        <v>25</v>
      </c>
      <c r="CNP11">
        <f t="shared" si="1741"/>
        <v>25</v>
      </c>
      <c r="CNQ11">
        <f t="shared" si="1742"/>
        <v>43.75</v>
      </c>
      <c r="CNR11">
        <f t="shared" si="1743"/>
        <v>25</v>
      </c>
      <c r="CNS11">
        <f t="shared" si="1744"/>
        <v>0</v>
      </c>
      <c r="CNT11">
        <f t="shared" si="1745"/>
        <v>0</v>
      </c>
      <c r="CNU11">
        <f t="shared" si="1746"/>
        <v>0</v>
      </c>
      <c r="CNV11">
        <f t="shared" si="1747"/>
        <v>0</v>
      </c>
      <c r="CNW11">
        <f t="shared" si="1748"/>
        <v>0</v>
      </c>
      <c r="CNX11">
        <f t="shared" si="1749"/>
        <v>0</v>
      </c>
      <c r="CNY11">
        <f t="shared" si="1750"/>
        <v>0</v>
      </c>
      <c r="CNZ11">
        <f t="shared" si="1751"/>
        <v>0</v>
      </c>
      <c r="COA11">
        <f t="shared" si="1752"/>
        <v>0</v>
      </c>
      <c r="COB11">
        <f t="shared" si="1753"/>
        <v>0</v>
      </c>
      <c r="COC11">
        <f t="shared" si="1754"/>
        <v>0</v>
      </c>
      <c r="COD11">
        <f t="shared" si="1755"/>
        <v>12.5</v>
      </c>
      <c r="COE11">
        <f t="shared" si="1756"/>
        <v>12.5</v>
      </c>
      <c r="COF11">
        <f t="shared" si="1757"/>
        <v>12.5</v>
      </c>
      <c r="COG11">
        <f t="shared" si="1758"/>
        <v>25</v>
      </c>
      <c r="COH11">
        <f t="shared" si="1759"/>
        <v>25</v>
      </c>
      <c r="COI11">
        <f t="shared" si="1760"/>
        <v>25</v>
      </c>
      <c r="COJ11">
        <f t="shared" si="1761"/>
        <v>25</v>
      </c>
      <c r="COK11">
        <f t="shared" si="1762"/>
        <v>25</v>
      </c>
      <c r="COL11">
        <f t="shared" si="1763"/>
        <v>25</v>
      </c>
      <c r="COM11">
        <f t="shared" si="1764"/>
        <v>43.75</v>
      </c>
      <c r="CON11">
        <f t="shared" si="1765"/>
        <v>25</v>
      </c>
      <c r="COO11">
        <f t="shared" si="1766"/>
        <v>0</v>
      </c>
      <c r="COP11">
        <f t="shared" si="60"/>
        <v>0</v>
      </c>
      <c r="COQ11">
        <f t="shared" si="1767"/>
        <v>0</v>
      </c>
      <c r="COR11">
        <f t="shared" si="1768"/>
        <v>0</v>
      </c>
      <c r="COS11">
        <f t="shared" si="1769"/>
        <v>0</v>
      </c>
      <c r="COT11">
        <f t="shared" si="1770"/>
        <v>0</v>
      </c>
      <c r="COU11">
        <f t="shared" si="1771"/>
        <v>0</v>
      </c>
      <c r="COV11">
        <f t="shared" si="1772"/>
        <v>0</v>
      </c>
      <c r="COW11">
        <f t="shared" si="1773"/>
        <v>0</v>
      </c>
      <c r="COX11">
        <f t="shared" si="1774"/>
        <v>0</v>
      </c>
      <c r="COY11">
        <f t="shared" si="1775"/>
        <v>0</v>
      </c>
      <c r="COZ11">
        <f t="shared" si="1776"/>
        <v>12.5</v>
      </c>
      <c r="CPA11">
        <f t="shared" si="1777"/>
        <v>12.5</v>
      </c>
      <c r="CPB11">
        <f t="shared" si="1778"/>
        <v>12.5</v>
      </c>
      <c r="CPC11">
        <f t="shared" si="1779"/>
        <v>25</v>
      </c>
      <c r="CPD11">
        <f t="shared" si="1780"/>
        <v>25</v>
      </c>
      <c r="CPE11">
        <f t="shared" si="1781"/>
        <v>25</v>
      </c>
      <c r="CPF11">
        <f t="shared" si="1782"/>
        <v>25</v>
      </c>
      <c r="CPG11">
        <f t="shared" si="1783"/>
        <v>25</v>
      </c>
      <c r="CPH11">
        <f t="shared" si="1784"/>
        <v>25</v>
      </c>
      <c r="CPI11">
        <f t="shared" si="1785"/>
        <v>43.75</v>
      </c>
      <c r="CPJ11">
        <f t="shared" si="1786"/>
        <v>25</v>
      </c>
      <c r="CPK11">
        <f t="shared" si="1787"/>
        <v>0</v>
      </c>
      <c r="CPL11">
        <f t="shared" si="1788"/>
        <v>0</v>
      </c>
      <c r="CPM11">
        <f t="shared" si="1789"/>
        <v>0</v>
      </c>
      <c r="CPN11">
        <f t="shared" si="1790"/>
        <v>0</v>
      </c>
      <c r="CPO11">
        <f t="shared" si="1791"/>
        <v>0</v>
      </c>
      <c r="CPP11">
        <f t="shared" si="1792"/>
        <v>0</v>
      </c>
      <c r="CPQ11">
        <f t="shared" si="1793"/>
        <v>0</v>
      </c>
      <c r="CPR11">
        <f t="shared" si="1794"/>
        <v>0</v>
      </c>
      <c r="CPS11">
        <f t="shared" si="1795"/>
        <v>0</v>
      </c>
      <c r="CPT11">
        <f t="shared" si="1796"/>
        <v>0</v>
      </c>
      <c r="CPU11">
        <f t="shared" si="1797"/>
        <v>0</v>
      </c>
      <c r="CPV11">
        <f t="shared" si="1798"/>
        <v>12.5</v>
      </c>
      <c r="CPW11">
        <f t="shared" si="1799"/>
        <v>12.5</v>
      </c>
      <c r="CPX11">
        <f t="shared" si="1800"/>
        <v>12.5</v>
      </c>
      <c r="CPY11">
        <f t="shared" si="1801"/>
        <v>25</v>
      </c>
      <c r="CPZ11">
        <f t="shared" si="1802"/>
        <v>25</v>
      </c>
      <c r="CQA11">
        <f t="shared" si="1803"/>
        <v>25</v>
      </c>
      <c r="CQB11">
        <f t="shared" si="1804"/>
        <v>25</v>
      </c>
      <c r="CQC11">
        <f t="shared" si="1805"/>
        <v>25</v>
      </c>
      <c r="CQD11">
        <f t="shared" si="1806"/>
        <v>25</v>
      </c>
      <c r="CQE11">
        <f t="shared" si="1807"/>
        <v>43.75</v>
      </c>
      <c r="CQF11">
        <f t="shared" si="1808"/>
        <v>25</v>
      </c>
      <c r="CQG11">
        <f t="shared" si="1809"/>
        <v>0</v>
      </c>
      <c r="CQH11">
        <f t="shared" si="1810"/>
        <v>0</v>
      </c>
      <c r="CQI11">
        <f t="shared" si="1811"/>
        <v>0</v>
      </c>
      <c r="CQJ11">
        <f t="shared" si="1812"/>
        <v>0</v>
      </c>
      <c r="CQK11">
        <f t="shared" si="1813"/>
        <v>0</v>
      </c>
      <c r="CQL11">
        <f t="shared" si="1814"/>
        <v>0</v>
      </c>
      <c r="CQM11">
        <f t="shared" si="1815"/>
        <v>0</v>
      </c>
      <c r="CQN11">
        <f t="shared" si="1816"/>
        <v>0</v>
      </c>
      <c r="CQO11">
        <f t="shared" si="1817"/>
        <v>0</v>
      </c>
      <c r="CQP11">
        <f t="shared" si="1818"/>
        <v>0</v>
      </c>
      <c r="CQQ11">
        <f t="shared" si="1819"/>
        <v>0</v>
      </c>
      <c r="CQR11">
        <f t="shared" si="1820"/>
        <v>12.5</v>
      </c>
      <c r="CQS11">
        <f t="shared" si="1821"/>
        <v>12.5</v>
      </c>
      <c r="CQT11">
        <f t="shared" si="1822"/>
        <v>12.5</v>
      </c>
      <c r="CQU11">
        <f t="shared" si="1823"/>
        <v>25</v>
      </c>
      <c r="CQV11">
        <f t="shared" si="1824"/>
        <v>25</v>
      </c>
      <c r="CQW11">
        <f t="shared" si="1825"/>
        <v>25</v>
      </c>
      <c r="CQX11">
        <f t="shared" si="1826"/>
        <v>25</v>
      </c>
      <c r="CQY11">
        <f t="shared" si="1827"/>
        <v>25</v>
      </c>
      <c r="CQZ11">
        <f t="shared" si="1828"/>
        <v>25</v>
      </c>
      <c r="CRA11">
        <f t="shared" si="1829"/>
        <v>43.75</v>
      </c>
      <c r="CRB11">
        <f t="shared" si="61"/>
        <v>25</v>
      </c>
      <c r="CRC11">
        <f t="shared" si="1830"/>
        <v>0</v>
      </c>
      <c r="CRD11">
        <f t="shared" si="1831"/>
        <v>0</v>
      </c>
      <c r="CRE11">
        <f t="shared" si="1832"/>
        <v>0</v>
      </c>
      <c r="CRF11">
        <f t="shared" si="1833"/>
        <v>0</v>
      </c>
      <c r="CRG11">
        <f t="shared" si="1834"/>
        <v>0</v>
      </c>
      <c r="CRH11">
        <f t="shared" si="1835"/>
        <v>0</v>
      </c>
      <c r="CRI11">
        <f t="shared" si="1836"/>
        <v>0</v>
      </c>
      <c r="CRJ11">
        <f t="shared" si="1837"/>
        <v>0</v>
      </c>
      <c r="CRK11">
        <f t="shared" si="1838"/>
        <v>0</v>
      </c>
      <c r="CRL11">
        <f t="shared" si="1839"/>
        <v>0</v>
      </c>
      <c r="CRM11">
        <f t="shared" si="1840"/>
        <v>0</v>
      </c>
      <c r="CRN11">
        <f t="shared" si="1841"/>
        <v>12.5</v>
      </c>
      <c r="CRO11">
        <f t="shared" si="1842"/>
        <v>12.5</v>
      </c>
      <c r="CRP11">
        <f t="shared" si="1843"/>
        <v>12.5</v>
      </c>
      <c r="CRQ11">
        <f t="shared" si="1844"/>
        <v>25</v>
      </c>
      <c r="CRR11">
        <f t="shared" si="1845"/>
        <v>25</v>
      </c>
      <c r="CRS11">
        <f t="shared" si="1846"/>
        <v>25</v>
      </c>
      <c r="CRT11">
        <f t="shared" si="1847"/>
        <v>25</v>
      </c>
      <c r="CRU11">
        <f t="shared" si="1848"/>
        <v>25</v>
      </c>
      <c r="CRV11">
        <f t="shared" si="1849"/>
        <v>25</v>
      </c>
      <c r="CRW11">
        <f t="shared" si="1850"/>
        <v>43.75</v>
      </c>
      <c r="CRX11">
        <f t="shared" si="1851"/>
        <v>25</v>
      </c>
      <c r="CRY11">
        <f t="shared" si="1852"/>
        <v>0</v>
      </c>
      <c r="CRZ11">
        <f t="shared" si="1853"/>
        <v>0</v>
      </c>
      <c r="CSA11">
        <f t="shared" si="1854"/>
        <v>0</v>
      </c>
      <c r="CSB11">
        <f t="shared" si="1855"/>
        <v>0</v>
      </c>
      <c r="CSC11">
        <f t="shared" si="1856"/>
        <v>0</v>
      </c>
      <c r="CSD11">
        <f t="shared" si="1857"/>
        <v>0</v>
      </c>
      <c r="CSE11">
        <f t="shared" si="1858"/>
        <v>0</v>
      </c>
      <c r="CSF11">
        <f t="shared" si="1859"/>
        <v>0</v>
      </c>
      <c r="CSG11">
        <f t="shared" si="1860"/>
        <v>0</v>
      </c>
      <c r="CSH11">
        <f t="shared" si="1861"/>
        <v>0</v>
      </c>
      <c r="CSI11">
        <f t="shared" si="1862"/>
        <v>0</v>
      </c>
      <c r="CSJ11">
        <f t="shared" si="1863"/>
        <v>12.5</v>
      </c>
      <c r="CSK11">
        <f t="shared" si="1864"/>
        <v>12.5</v>
      </c>
      <c r="CSL11">
        <f t="shared" si="1865"/>
        <v>12.5</v>
      </c>
      <c r="CSM11">
        <f t="shared" si="1866"/>
        <v>25</v>
      </c>
      <c r="CSN11">
        <f t="shared" si="1867"/>
        <v>25</v>
      </c>
      <c r="CSO11">
        <f t="shared" si="1868"/>
        <v>25</v>
      </c>
      <c r="CSP11">
        <f t="shared" si="1869"/>
        <v>25</v>
      </c>
      <c r="CSQ11">
        <f t="shared" si="1870"/>
        <v>25</v>
      </c>
      <c r="CSR11">
        <f t="shared" si="1871"/>
        <v>25</v>
      </c>
      <c r="CSS11">
        <f t="shared" si="1872"/>
        <v>43.75</v>
      </c>
      <c r="CST11">
        <f t="shared" si="1873"/>
        <v>25</v>
      </c>
      <c r="CSU11">
        <f t="shared" si="1874"/>
        <v>0</v>
      </c>
      <c r="CSV11">
        <f t="shared" si="1875"/>
        <v>0</v>
      </c>
      <c r="CSW11">
        <f t="shared" si="1876"/>
        <v>0</v>
      </c>
      <c r="CSX11">
        <f t="shared" si="1877"/>
        <v>0</v>
      </c>
      <c r="CSY11">
        <f t="shared" si="1878"/>
        <v>0</v>
      </c>
      <c r="CSZ11">
        <f t="shared" si="1879"/>
        <v>0</v>
      </c>
      <c r="CTA11">
        <f t="shared" si="1880"/>
        <v>0</v>
      </c>
      <c r="CTB11">
        <f t="shared" si="1881"/>
        <v>0</v>
      </c>
      <c r="CTC11">
        <f t="shared" si="1882"/>
        <v>0</v>
      </c>
      <c r="CTD11">
        <f t="shared" si="1883"/>
        <v>0</v>
      </c>
      <c r="CTE11">
        <f t="shared" si="1884"/>
        <v>0</v>
      </c>
      <c r="CTF11">
        <f t="shared" si="1885"/>
        <v>12.5</v>
      </c>
      <c r="CTG11">
        <f t="shared" si="1886"/>
        <v>12.5</v>
      </c>
      <c r="CTH11">
        <f t="shared" si="1887"/>
        <v>12.5</v>
      </c>
      <c r="CTI11">
        <f t="shared" si="1888"/>
        <v>25</v>
      </c>
      <c r="CTJ11">
        <f t="shared" si="1889"/>
        <v>25</v>
      </c>
      <c r="CTK11">
        <f t="shared" si="1890"/>
        <v>25</v>
      </c>
      <c r="CTL11">
        <f t="shared" si="1891"/>
        <v>25</v>
      </c>
      <c r="CTM11">
        <f t="shared" si="1892"/>
        <v>25</v>
      </c>
      <c r="CTN11">
        <f t="shared" si="62"/>
        <v>25</v>
      </c>
      <c r="CTO11">
        <f t="shared" si="1893"/>
        <v>43.75</v>
      </c>
      <c r="CTP11">
        <f t="shared" si="1894"/>
        <v>25</v>
      </c>
      <c r="CTQ11">
        <f t="shared" si="1895"/>
        <v>0</v>
      </c>
      <c r="CTR11">
        <f t="shared" si="1896"/>
        <v>0</v>
      </c>
      <c r="CTS11">
        <f t="shared" si="1897"/>
        <v>0</v>
      </c>
      <c r="CTT11">
        <f t="shared" si="1898"/>
        <v>0</v>
      </c>
      <c r="CTU11">
        <f t="shared" si="1899"/>
        <v>0</v>
      </c>
      <c r="CTV11">
        <f t="shared" si="1900"/>
        <v>0</v>
      </c>
      <c r="CTW11">
        <f t="shared" si="1901"/>
        <v>0</v>
      </c>
      <c r="CTX11">
        <f t="shared" si="1902"/>
        <v>0</v>
      </c>
      <c r="CTY11">
        <f t="shared" si="1903"/>
        <v>0</v>
      </c>
      <c r="CTZ11">
        <f t="shared" si="1904"/>
        <v>0</v>
      </c>
      <c r="CUA11">
        <f t="shared" si="1905"/>
        <v>0</v>
      </c>
      <c r="CUB11">
        <f t="shared" si="1906"/>
        <v>12.5</v>
      </c>
      <c r="CUC11">
        <f t="shared" si="1907"/>
        <v>12.5</v>
      </c>
      <c r="CUD11">
        <f t="shared" si="1908"/>
        <v>12.5</v>
      </c>
      <c r="CUE11">
        <f t="shared" si="1909"/>
        <v>25</v>
      </c>
      <c r="CUF11">
        <f t="shared" si="1910"/>
        <v>25</v>
      </c>
      <c r="CUG11">
        <f t="shared" si="1911"/>
        <v>25</v>
      </c>
      <c r="CUH11">
        <f t="shared" si="1912"/>
        <v>25</v>
      </c>
      <c r="CUI11">
        <f t="shared" si="1913"/>
        <v>25</v>
      </c>
      <c r="CUJ11">
        <f t="shared" si="1914"/>
        <v>25</v>
      </c>
      <c r="CUK11">
        <f t="shared" si="1915"/>
        <v>43.75</v>
      </c>
      <c r="CUL11">
        <f t="shared" si="1916"/>
        <v>25</v>
      </c>
      <c r="CUM11">
        <f t="shared" si="1917"/>
        <v>0</v>
      </c>
      <c r="CUN11">
        <f t="shared" si="1918"/>
        <v>0</v>
      </c>
      <c r="CUO11">
        <f t="shared" si="1919"/>
        <v>0</v>
      </c>
      <c r="CUP11">
        <f t="shared" si="1920"/>
        <v>0</v>
      </c>
      <c r="CUQ11">
        <f t="shared" si="1921"/>
        <v>0</v>
      </c>
      <c r="CUR11">
        <f t="shared" si="1922"/>
        <v>0</v>
      </c>
      <c r="CUS11">
        <f t="shared" si="1923"/>
        <v>0</v>
      </c>
      <c r="CUT11">
        <f t="shared" si="1924"/>
        <v>0</v>
      </c>
      <c r="CUU11">
        <f t="shared" si="1925"/>
        <v>0</v>
      </c>
      <c r="CUV11">
        <f t="shared" si="1926"/>
        <v>0</v>
      </c>
      <c r="CUW11">
        <f t="shared" si="1927"/>
        <v>0</v>
      </c>
      <c r="CUX11">
        <f t="shared" si="1928"/>
        <v>12.5</v>
      </c>
      <c r="CUY11">
        <f t="shared" si="1929"/>
        <v>12.5</v>
      </c>
      <c r="CUZ11">
        <f t="shared" si="1930"/>
        <v>12.5</v>
      </c>
      <c r="CVA11">
        <f t="shared" si="1931"/>
        <v>25</v>
      </c>
      <c r="CVB11">
        <f t="shared" si="1932"/>
        <v>25</v>
      </c>
      <c r="CVC11">
        <f t="shared" si="1933"/>
        <v>25</v>
      </c>
      <c r="CVD11">
        <f t="shared" si="1934"/>
        <v>25</v>
      </c>
      <c r="CVE11">
        <f t="shared" si="1935"/>
        <v>25</v>
      </c>
      <c r="CVF11">
        <f t="shared" si="1936"/>
        <v>25</v>
      </c>
      <c r="CVG11">
        <f t="shared" si="1937"/>
        <v>43.75</v>
      </c>
      <c r="CVH11">
        <f t="shared" si="1938"/>
        <v>25</v>
      </c>
      <c r="CVI11">
        <f t="shared" si="1939"/>
        <v>0</v>
      </c>
      <c r="CVJ11">
        <f t="shared" si="1940"/>
        <v>0</v>
      </c>
      <c r="CVK11">
        <f t="shared" si="1941"/>
        <v>0</v>
      </c>
      <c r="CVL11">
        <f t="shared" si="1942"/>
        <v>0</v>
      </c>
      <c r="CVM11">
        <f t="shared" si="1943"/>
        <v>0</v>
      </c>
      <c r="CVN11">
        <f t="shared" si="1944"/>
        <v>0</v>
      </c>
      <c r="CVO11">
        <f t="shared" si="1945"/>
        <v>0</v>
      </c>
      <c r="CVP11">
        <f t="shared" si="1946"/>
        <v>0</v>
      </c>
      <c r="CVQ11">
        <f t="shared" si="1947"/>
        <v>0</v>
      </c>
      <c r="CVR11">
        <f t="shared" si="1948"/>
        <v>0</v>
      </c>
      <c r="CVS11">
        <f t="shared" si="1949"/>
        <v>0</v>
      </c>
      <c r="CVT11">
        <f t="shared" si="1950"/>
        <v>12.5</v>
      </c>
      <c r="CVU11">
        <f t="shared" si="1951"/>
        <v>12.5</v>
      </c>
      <c r="CVV11">
        <f t="shared" si="1952"/>
        <v>12.5</v>
      </c>
      <c r="CVW11">
        <f t="shared" si="1953"/>
        <v>25</v>
      </c>
      <c r="CVX11">
        <f t="shared" si="1954"/>
        <v>25</v>
      </c>
      <c r="CVY11">
        <f t="shared" si="1955"/>
        <v>25</v>
      </c>
      <c r="CVZ11">
        <f t="shared" si="63"/>
        <v>25</v>
      </c>
      <c r="CWA11">
        <f t="shared" si="1956"/>
        <v>25</v>
      </c>
      <c r="CWB11">
        <f t="shared" si="1957"/>
        <v>25</v>
      </c>
      <c r="CWC11">
        <f t="shared" si="1958"/>
        <v>43.75</v>
      </c>
      <c r="CWD11">
        <f t="shared" si="1959"/>
        <v>25</v>
      </c>
      <c r="CWE11">
        <f t="shared" si="1960"/>
        <v>0</v>
      </c>
      <c r="CWF11">
        <f t="shared" si="1961"/>
        <v>0</v>
      </c>
      <c r="CWG11">
        <f t="shared" si="1962"/>
        <v>0</v>
      </c>
      <c r="CWH11">
        <f t="shared" si="1963"/>
        <v>0</v>
      </c>
      <c r="CWI11">
        <f t="shared" si="1964"/>
        <v>0</v>
      </c>
      <c r="CWJ11">
        <f t="shared" si="1965"/>
        <v>0</v>
      </c>
      <c r="CWK11">
        <f t="shared" si="1966"/>
        <v>0</v>
      </c>
      <c r="CWL11">
        <f t="shared" si="1967"/>
        <v>0</v>
      </c>
      <c r="CWM11">
        <f t="shared" si="1968"/>
        <v>0</v>
      </c>
      <c r="CWN11">
        <f t="shared" si="1969"/>
        <v>0</v>
      </c>
      <c r="CWO11">
        <f t="shared" si="1970"/>
        <v>0</v>
      </c>
      <c r="CWP11">
        <f t="shared" si="1971"/>
        <v>12.5</v>
      </c>
      <c r="CWQ11">
        <f t="shared" si="1972"/>
        <v>12.5</v>
      </c>
      <c r="CWR11">
        <f t="shared" si="1973"/>
        <v>12.5</v>
      </c>
      <c r="CWS11">
        <f t="shared" si="1974"/>
        <v>25</v>
      </c>
      <c r="CWT11">
        <f t="shared" si="1975"/>
        <v>25</v>
      </c>
      <c r="CWU11">
        <f t="shared" si="1976"/>
        <v>25</v>
      </c>
      <c r="CWV11">
        <f t="shared" si="1977"/>
        <v>25</v>
      </c>
      <c r="CWW11">
        <f t="shared" si="1978"/>
        <v>25</v>
      </c>
      <c r="CWX11">
        <f t="shared" si="1979"/>
        <v>25</v>
      </c>
      <c r="CWY11">
        <f t="shared" si="1980"/>
        <v>43.75</v>
      </c>
      <c r="CWZ11">
        <f t="shared" si="1981"/>
        <v>25</v>
      </c>
      <c r="CXA11">
        <f t="shared" si="1982"/>
        <v>0</v>
      </c>
      <c r="CXB11">
        <f t="shared" si="1983"/>
        <v>0</v>
      </c>
      <c r="CXC11">
        <f t="shared" si="1984"/>
        <v>0</v>
      </c>
      <c r="CXD11">
        <f t="shared" si="1985"/>
        <v>0</v>
      </c>
      <c r="CXE11">
        <f t="shared" si="1986"/>
        <v>0</v>
      </c>
      <c r="CXF11">
        <f t="shared" si="1987"/>
        <v>0</v>
      </c>
      <c r="CXG11">
        <f t="shared" si="1988"/>
        <v>0</v>
      </c>
      <c r="CXH11">
        <f t="shared" si="1989"/>
        <v>0</v>
      </c>
      <c r="CXI11">
        <f t="shared" si="1990"/>
        <v>0</v>
      </c>
      <c r="CXJ11">
        <f t="shared" si="1991"/>
        <v>0</v>
      </c>
      <c r="CXK11">
        <f t="shared" si="1992"/>
        <v>0</v>
      </c>
      <c r="CXL11">
        <f t="shared" si="1993"/>
        <v>12.5</v>
      </c>
      <c r="CXM11">
        <f t="shared" si="1994"/>
        <v>12.5</v>
      </c>
      <c r="CXN11">
        <f t="shared" si="1995"/>
        <v>12.5</v>
      </c>
      <c r="CXO11">
        <f t="shared" si="1996"/>
        <v>25</v>
      </c>
      <c r="CXP11">
        <f t="shared" si="1997"/>
        <v>25</v>
      </c>
      <c r="CXQ11">
        <f t="shared" si="1998"/>
        <v>25</v>
      </c>
      <c r="CXR11">
        <f t="shared" si="1999"/>
        <v>25</v>
      </c>
      <c r="CXS11">
        <f t="shared" si="2000"/>
        <v>25</v>
      </c>
      <c r="CXT11">
        <f t="shared" si="2001"/>
        <v>25</v>
      </c>
      <c r="CXU11">
        <f t="shared" si="2002"/>
        <v>43.75</v>
      </c>
      <c r="CXV11">
        <f t="shared" si="2003"/>
        <v>25</v>
      </c>
      <c r="CXW11">
        <f t="shared" si="2004"/>
        <v>0</v>
      </c>
      <c r="CXX11">
        <f t="shared" si="2005"/>
        <v>0</v>
      </c>
      <c r="CXY11">
        <f t="shared" si="2006"/>
        <v>0</v>
      </c>
      <c r="CXZ11">
        <f t="shared" si="2007"/>
        <v>0</v>
      </c>
      <c r="CYA11">
        <f t="shared" si="2008"/>
        <v>0</v>
      </c>
      <c r="CYB11">
        <f t="shared" si="2009"/>
        <v>0</v>
      </c>
      <c r="CYC11">
        <f t="shared" si="2010"/>
        <v>0</v>
      </c>
      <c r="CYD11">
        <f t="shared" si="2011"/>
        <v>0</v>
      </c>
      <c r="CYE11">
        <f t="shared" si="2012"/>
        <v>0</v>
      </c>
      <c r="CYF11">
        <f t="shared" si="2013"/>
        <v>0</v>
      </c>
      <c r="CYG11">
        <f t="shared" si="2014"/>
        <v>0</v>
      </c>
      <c r="CYH11">
        <f t="shared" si="2015"/>
        <v>12.5</v>
      </c>
      <c r="CYI11">
        <f t="shared" si="2016"/>
        <v>12.5</v>
      </c>
      <c r="CYJ11">
        <f t="shared" si="2017"/>
        <v>12.5</v>
      </c>
      <c r="CYK11">
        <f t="shared" si="2018"/>
        <v>25</v>
      </c>
      <c r="CYL11">
        <f t="shared" si="64"/>
        <v>25</v>
      </c>
      <c r="CYM11">
        <f t="shared" si="2019"/>
        <v>25</v>
      </c>
      <c r="CYN11">
        <f t="shared" si="2020"/>
        <v>25</v>
      </c>
      <c r="CYO11">
        <f t="shared" si="2021"/>
        <v>25</v>
      </c>
      <c r="CYP11">
        <f t="shared" si="2022"/>
        <v>25</v>
      </c>
      <c r="CYQ11">
        <f t="shared" si="2023"/>
        <v>43.75</v>
      </c>
      <c r="CYR11">
        <f t="shared" si="2024"/>
        <v>25</v>
      </c>
      <c r="CYS11">
        <f t="shared" si="2025"/>
        <v>0</v>
      </c>
      <c r="CYT11">
        <f t="shared" si="2026"/>
        <v>0</v>
      </c>
      <c r="CYU11">
        <f t="shared" si="2027"/>
        <v>0</v>
      </c>
      <c r="CYV11">
        <f t="shared" si="2028"/>
        <v>0</v>
      </c>
      <c r="CYW11">
        <f t="shared" si="2029"/>
        <v>0</v>
      </c>
      <c r="CYX11">
        <f t="shared" si="2030"/>
        <v>0</v>
      </c>
      <c r="CYY11">
        <f t="shared" si="2031"/>
        <v>0</v>
      </c>
      <c r="CYZ11">
        <f t="shared" si="2032"/>
        <v>0</v>
      </c>
      <c r="CZA11">
        <f t="shared" si="2033"/>
        <v>0</v>
      </c>
      <c r="CZB11">
        <f t="shared" si="2034"/>
        <v>0</v>
      </c>
      <c r="CZC11">
        <f t="shared" si="2035"/>
        <v>0</v>
      </c>
      <c r="CZD11">
        <f t="shared" si="2036"/>
        <v>12.5</v>
      </c>
      <c r="CZE11">
        <f t="shared" si="2037"/>
        <v>12.5</v>
      </c>
      <c r="CZF11">
        <f t="shared" si="2038"/>
        <v>12.5</v>
      </c>
      <c r="CZG11">
        <f t="shared" si="2039"/>
        <v>25</v>
      </c>
      <c r="CZH11">
        <f t="shared" si="2040"/>
        <v>25</v>
      </c>
      <c r="CZI11">
        <f t="shared" si="2041"/>
        <v>25</v>
      </c>
      <c r="CZJ11">
        <f t="shared" si="2042"/>
        <v>25</v>
      </c>
      <c r="CZK11">
        <f t="shared" si="2043"/>
        <v>25</v>
      </c>
      <c r="CZL11">
        <f t="shared" si="2044"/>
        <v>25</v>
      </c>
      <c r="CZM11">
        <f t="shared" si="2045"/>
        <v>43.75</v>
      </c>
      <c r="CZN11">
        <f t="shared" si="2046"/>
        <v>25</v>
      </c>
      <c r="CZO11">
        <f t="shared" si="2047"/>
        <v>0</v>
      </c>
      <c r="CZP11">
        <f t="shared" si="2048"/>
        <v>0</v>
      </c>
      <c r="CZQ11">
        <f t="shared" si="2049"/>
        <v>0</v>
      </c>
      <c r="CZR11">
        <f t="shared" si="2050"/>
        <v>0</v>
      </c>
      <c r="CZS11">
        <f t="shared" si="2051"/>
        <v>0</v>
      </c>
      <c r="CZT11">
        <f t="shared" si="2052"/>
        <v>0</v>
      </c>
      <c r="CZU11">
        <f t="shared" si="2053"/>
        <v>0</v>
      </c>
      <c r="CZV11">
        <f t="shared" si="2054"/>
        <v>0</v>
      </c>
      <c r="CZW11">
        <f t="shared" si="2055"/>
        <v>0</v>
      </c>
      <c r="CZX11">
        <f t="shared" si="2056"/>
        <v>0</v>
      </c>
      <c r="CZY11">
        <f t="shared" si="2057"/>
        <v>0</v>
      </c>
      <c r="CZZ11">
        <f t="shared" si="2058"/>
        <v>12.5</v>
      </c>
      <c r="DAA11">
        <f t="shared" si="2059"/>
        <v>12.5</v>
      </c>
      <c r="DAB11">
        <f t="shared" si="2060"/>
        <v>12.5</v>
      </c>
      <c r="DAC11">
        <f t="shared" si="2061"/>
        <v>25</v>
      </c>
      <c r="DAD11">
        <f t="shared" si="2062"/>
        <v>25</v>
      </c>
      <c r="DAE11">
        <f t="shared" si="2063"/>
        <v>25</v>
      </c>
      <c r="DAF11">
        <f t="shared" si="2064"/>
        <v>25</v>
      </c>
      <c r="DAG11">
        <f t="shared" si="2065"/>
        <v>25</v>
      </c>
      <c r="DAH11">
        <f t="shared" si="2066"/>
        <v>25</v>
      </c>
      <c r="DAI11">
        <f t="shared" si="2067"/>
        <v>43.75</v>
      </c>
      <c r="DAJ11">
        <f t="shared" si="2068"/>
        <v>25</v>
      </c>
      <c r="DAK11">
        <f t="shared" si="2069"/>
        <v>0</v>
      </c>
      <c r="DAL11">
        <f t="shared" si="2070"/>
        <v>0</v>
      </c>
      <c r="DAM11">
        <f t="shared" si="2071"/>
        <v>0</v>
      </c>
      <c r="DAN11">
        <f t="shared" si="2072"/>
        <v>0</v>
      </c>
      <c r="DAO11">
        <f t="shared" si="2073"/>
        <v>0</v>
      </c>
      <c r="DAP11">
        <f t="shared" si="2074"/>
        <v>0</v>
      </c>
      <c r="DAQ11">
        <f t="shared" si="2075"/>
        <v>0</v>
      </c>
      <c r="DAR11">
        <f t="shared" si="2076"/>
        <v>0</v>
      </c>
      <c r="DAS11">
        <f t="shared" si="2077"/>
        <v>0</v>
      </c>
      <c r="DAT11">
        <f t="shared" si="2078"/>
        <v>0</v>
      </c>
      <c r="DAU11">
        <f t="shared" si="2079"/>
        <v>0</v>
      </c>
      <c r="DAV11">
        <f t="shared" si="2080"/>
        <v>12.5</v>
      </c>
      <c r="DAW11">
        <f t="shared" si="2081"/>
        <v>12.5</v>
      </c>
      <c r="DAX11">
        <f t="shared" si="65"/>
        <v>12.5</v>
      </c>
      <c r="DAY11">
        <f t="shared" ref="DAY11:DAY29" si="2142">BZW11</f>
        <v>25</v>
      </c>
      <c r="DAZ11">
        <f t="shared" ref="DAZ11:DAZ29" si="2143">BZX11</f>
        <v>25</v>
      </c>
      <c r="DBA11">
        <f t="shared" ref="DBA11:DBA29" si="2144">BZY11</f>
        <v>25</v>
      </c>
      <c r="DBB11">
        <f t="shared" si="2082"/>
        <v>25</v>
      </c>
      <c r="DBC11">
        <f t="shared" si="2083"/>
        <v>25</v>
      </c>
      <c r="DBD11">
        <f t="shared" si="2084"/>
        <v>25</v>
      </c>
      <c r="DBE11">
        <f t="shared" si="2085"/>
        <v>43.75</v>
      </c>
      <c r="DBF11">
        <f t="shared" si="2086"/>
        <v>25</v>
      </c>
      <c r="DBG11">
        <f t="shared" si="2087"/>
        <v>0</v>
      </c>
      <c r="DBH11">
        <f t="shared" si="2088"/>
        <v>0</v>
      </c>
      <c r="DBI11">
        <f t="shared" si="2089"/>
        <v>0</v>
      </c>
      <c r="DBJ11">
        <f t="shared" si="2090"/>
        <v>0</v>
      </c>
      <c r="DBK11">
        <f t="shared" si="2091"/>
        <v>0</v>
      </c>
      <c r="DBL11">
        <f t="shared" si="2092"/>
        <v>0</v>
      </c>
      <c r="DBM11">
        <f t="shared" si="2093"/>
        <v>0</v>
      </c>
      <c r="DBN11">
        <f t="shared" si="2094"/>
        <v>0</v>
      </c>
      <c r="DBO11">
        <f t="shared" si="2095"/>
        <v>0</v>
      </c>
      <c r="DBP11">
        <f t="shared" si="2096"/>
        <v>0</v>
      </c>
      <c r="DBQ11">
        <f t="shared" si="2097"/>
        <v>0</v>
      </c>
      <c r="DBR11">
        <f t="shared" si="2098"/>
        <v>12.5</v>
      </c>
      <c r="DBS11">
        <f t="shared" si="2099"/>
        <v>12.5</v>
      </c>
      <c r="DBT11">
        <f t="shared" si="2100"/>
        <v>12.5</v>
      </c>
      <c r="DBU11">
        <f t="shared" si="2101"/>
        <v>25</v>
      </c>
      <c r="DBV11">
        <f t="shared" si="2102"/>
        <v>25</v>
      </c>
      <c r="DBW11">
        <f t="shared" si="2103"/>
        <v>25</v>
      </c>
      <c r="DBX11">
        <f t="shared" si="2104"/>
        <v>25</v>
      </c>
      <c r="DBY11">
        <f t="shared" si="2105"/>
        <v>25</v>
      </c>
      <c r="DBZ11">
        <f t="shared" si="2106"/>
        <v>25</v>
      </c>
      <c r="DCA11">
        <f t="shared" si="2107"/>
        <v>43.75</v>
      </c>
      <c r="DCB11">
        <f t="shared" si="2108"/>
        <v>25</v>
      </c>
      <c r="DCC11">
        <f t="shared" si="2109"/>
        <v>0</v>
      </c>
      <c r="DCD11">
        <f t="shared" si="2110"/>
        <v>0</v>
      </c>
      <c r="DCE11">
        <f t="shared" si="2111"/>
        <v>0</v>
      </c>
      <c r="DCF11">
        <f t="shared" si="2112"/>
        <v>0</v>
      </c>
      <c r="DCG11">
        <f t="shared" si="2113"/>
        <v>0</v>
      </c>
      <c r="DCH11">
        <f t="shared" si="2114"/>
        <v>0</v>
      </c>
      <c r="DCI11">
        <f t="shared" si="2115"/>
        <v>0</v>
      </c>
      <c r="DCJ11">
        <f t="shared" si="2116"/>
        <v>0</v>
      </c>
      <c r="DCK11">
        <f t="shared" si="2117"/>
        <v>0</v>
      </c>
      <c r="DCL11">
        <f t="shared" si="2118"/>
        <v>0</v>
      </c>
      <c r="DCM11">
        <f t="shared" si="2119"/>
        <v>0</v>
      </c>
      <c r="DCN11">
        <f t="shared" si="2120"/>
        <v>12.5</v>
      </c>
      <c r="DCO11">
        <f t="shared" si="2121"/>
        <v>12.5</v>
      </c>
      <c r="DCP11">
        <f t="shared" si="2122"/>
        <v>12.5</v>
      </c>
      <c r="DCQ11">
        <f t="shared" si="2123"/>
        <v>25</v>
      </c>
      <c r="DCR11">
        <f t="shared" si="2124"/>
        <v>25</v>
      </c>
      <c r="DCS11">
        <f t="shared" si="2125"/>
        <v>25</v>
      </c>
      <c r="DCT11">
        <f t="shared" si="2126"/>
        <v>25</v>
      </c>
      <c r="DCU11">
        <f t="shared" si="2127"/>
        <v>25</v>
      </c>
      <c r="DCV11">
        <f t="shared" si="2128"/>
        <v>25</v>
      </c>
      <c r="DCW11">
        <f t="shared" si="2129"/>
        <v>43.75</v>
      </c>
      <c r="DCX11">
        <f t="shared" si="2130"/>
        <v>25</v>
      </c>
      <c r="DCY11">
        <f t="shared" si="2131"/>
        <v>0</v>
      </c>
      <c r="DCZ11">
        <f t="shared" si="2132"/>
        <v>0</v>
      </c>
      <c r="DDA11">
        <f t="shared" si="2133"/>
        <v>0</v>
      </c>
      <c r="DDB11">
        <f t="shared" si="2134"/>
        <v>0</v>
      </c>
      <c r="DDC11">
        <f t="shared" si="2135"/>
        <v>0</v>
      </c>
      <c r="DDD11">
        <f t="shared" si="2136"/>
        <v>0</v>
      </c>
      <c r="DDE11">
        <f t="shared" si="2137"/>
        <v>0</v>
      </c>
      <c r="DDF11">
        <f t="shared" si="2138"/>
        <v>0</v>
      </c>
      <c r="DDG11">
        <f t="shared" si="2139"/>
        <v>0</v>
      </c>
      <c r="DDH11">
        <f t="shared" si="2140"/>
        <v>0</v>
      </c>
      <c r="DDI11">
        <f t="shared" si="2141"/>
        <v>0</v>
      </c>
    </row>
    <row r="12" spans="1:2839" x14ac:dyDescent="0.2">
      <c r="A12" s="1">
        <v>6</v>
      </c>
      <c r="B12">
        <f>'Demand Stage 2'!B11</f>
        <v>12.5</v>
      </c>
      <c r="C12">
        <f>'Demand Stage 2'!C11</f>
        <v>12.5</v>
      </c>
      <c r="D12">
        <f>'Demand Stage 2'!D11</f>
        <v>12.5</v>
      </c>
      <c r="E12">
        <f>'Demand Stage 2'!E11</f>
        <v>25</v>
      </c>
      <c r="F12">
        <f>'Demand Stage 2'!F11</f>
        <v>25</v>
      </c>
      <c r="G12">
        <f>'Demand Stage 2'!G11</f>
        <v>25</v>
      </c>
      <c r="H12">
        <f>'Demand Stage 2'!H11</f>
        <v>25</v>
      </c>
      <c r="I12">
        <f>'Demand Stage 2'!I11</f>
        <v>25</v>
      </c>
      <c r="J12">
        <f>'Demand Stage 2'!J11</f>
        <v>25</v>
      </c>
      <c r="K12">
        <f>'Demand Stage 2'!K11</f>
        <v>43.75</v>
      </c>
      <c r="L12">
        <f>'Demand Stage 2'!L11</f>
        <v>25</v>
      </c>
      <c r="M12">
        <f>'Demand Stage 2'!M11</f>
        <v>0</v>
      </c>
      <c r="N12">
        <f>'Demand Stage 2'!N11</f>
        <v>0</v>
      </c>
      <c r="O12">
        <f>'Demand Stage 2'!O11</f>
        <v>0</v>
      </c>
      <c r="P12">
        <f>'Demand Stage 2'!P11</f>
        <v>0</v>
      </c>
      <c r="Q12">
        <f>'Demand Stage 2'!Q11</f>
        <v>0</v>
      </c>
      <c r="R12">
        <f>'Demand Stage 2'!R11</f>
        <v>0</v>
      </c>
      <c r="S12">
        <f>'Demand Stage 2'!S11</f>
        <v>0</v>
      </c>
      <c r="T12">
        <f>'Demand Stage 2'!T11</f>
        <v>0</v>
      </c>
      <c r="U12">
        <f>'Demand Stage 2'!U11</f>
        <v>0</v>
      </c>
      <c r="V12">
        <f>'Demand Stage 2'!V11</f>
        <v>0</v>
      </c>
      <c r="W12">
        <f>'Demand Stage 2'!W11</f>
        <v>0</v>
      </c>
      <c r="X12">
        <f>'Demand Stage 2'!X11</f>
        <v>12.5</v>
      </c>
      <c r="Y12">
        <f>'Demand Stage 2'!Y11</f>
        <v>12.5</v>
      </c>
      <c r="Z12">
        <f>'Demand Stage 2'!Z11</f>
        <v>12.5</v>
      </c>
      <c r="AA12">
        <f>'Demand Stage 2'!AA11</f>
        <v>25</v>
      </c>
      <c r="AB12">
        <f>'Demand Stage 2'!AB11</f>
        <v>25</v>
      </c>
      <c r="AC12">
        <f>'Demand Stage 2'!AC11</f>
        <v>25</v>
      </c>
      <c r="AD12">
        <f>'Demand Stage 2'!AD11</f>
        <v>25</v>
      </c>
      <c r="AE12">
        <f>'Demand Stage 2'!AE11</f>
        <v>25</v>
      </c>
      <c r="AF12">
        <f>'Demand Stage 2'!AF11</f>
        <v>25</v>
      </c>
      <c r="AG12">
        <f>'Demand Stage 2'!AG11</f>
        <v>43.75</v>
      </c>
      <c r="AH12">
        <f>'Demand Stage 2'!AH11</f>
        <v>25</v>
      </c>
      <c r="AI12">
        <f>'Demand Stage 2'!AI11</f>
        <v>0</v>
      </c>
      <c r="AJ12">
        <f>'Demand Stage 2'!AJ11</f>
        <v>0</v>
      </c>
      <c r="AK12">
        <f>'Demand Stage 2'!AK11</f>
        <v>0</v>
      </c>
      <c r="AL12">
        <f>'Demand Stage 2'!AL11</f>
        <v>0</v>
      </c>
      <c r="AM12">
        <f>'Demand Stage 2'!AM11</f>
        <v>0</v>
      </c>
      <c r="AN12">
        <f>'Demand Stage 2'!AN11</f>
        <v>0</v>
      </c>
      <c r="AO12">
        <f>'Demand Stage 2'!AO11</f>
        <v>0</v>
      </c>
      <c r="AP12">
        <f>'Demand Stage 2'!AP11</f>
        <v>0</v>
      </c>
      <c r="AQ12">
        <f>'Demand Stage 2'!AQ11</f>
        <v>0</v>
      </c>
      <c r="AR12">
        <f>'Demand Stage 2'!AR11</f>
        <v>0</v>
      </c>
      <c r="AS12">
        <f>'Demand Stage 2'!AS11</f>
        <v>0</v>
      </c>
      <c r="AT12">
        <f>'Demand Stage 2'!AT11</f>
        <v>12.5</v>
      </c>
      <c r="AU12">
        <f>'Demand Stage 2'!AU11</f>
        <v>12.5</v>
      </c>
      <c r="AV12">
        <f>'Demand Stage 2'!AV11</f>
        <v>12.5</v>
      </c>
      <c r="AW12">
        <f>'Demand Stage 2'!AW11</f>
        <v>25</v>
      </c>
      <c r="AX12">
        <f>'Demand Stage 2'!AX11</f>
        <v>25</v>
      </c>
      <c r="AY12">
        <f>'Demand Stage 2'!AY11</f>
        <v>25</v>
      </c>
      <c r="AZ12">
        <f>'Demand Stage 2'!AZ11</f>
        <v>25</v>
      </c>
      <c r="BA12">
        <f>'Demand Stage 2'!BA11</f>
        <v>25</v>
      </c>
      <c r="BB12">
        <f>'Demand Stage 2'!BB11</f>
        <v>25</v>
      </c>
      <c r="BC12">
        <f>'Demand Stage 2'!BC11</f>
        <v>43.75</v>
      </c>
      <c r="BD12">
        <f>'Demand Stage 2'!BD11</f>
        <v>25</v>
      </c>
      <c r="BE12">
        <f>'Demand Stage 2'!BE11</f>
        <v>0</v>
      </c>
      <c r="BF12">
        <f>'Demand Stage 2'!BF11</f>
        <v>0</v>
      </c>
      <c r="BG12">
        <f>'Demand Stage 2'!BG11</f>
        <v>0</v>
      </c>
      <c r="BH12">
        <f>'Demand Stage 2'!BH11</f>
        <v>0</v>
      </c>
      <c r="BI12">
        <f>'Demand Stage 2'!BI11</f>
        <v>0</v>
      </c>
      <c r="BJ12">
        <f>'Demand Stage 2'!BJ11</f>
        <v>0</v>
      </c>
      <c r="BK12">
        <f>'Demand Stage 2'!BK11</f>
        <v>0</v>
      </c>
      <c r="BL12">
        <f>'Demand Stage 2'!BL11</f>
        <v>0</v>
      </c>
      <c r="BM12">
        <f>'Demand Stage 2'!BM11</f>
        <v>0</v>
      </c>
      <c r="BN12">
        <f>'Demand Stage 2'!BN11</f>
        <v>0</v>
      </c>
      <c r="BO12">
        <f>'Demand Stage 2'!BO11</f>
        <v>0</v>
      </c>
      <c r="BP12">
        <f>'Demand Stage 2'!BP11</f>
        <v>12.5</v>
      </c>
      <c r="BQ12">
        <f>'Demand Stage 2'!BQ11</f>
        <v>12.5</v>
      </c>
      <c r="BR12">
        <f>'Demand Stage 2'!BR11</f>
        <v>12.5</v>
      </c>
      <c r="BS12">
        <f>'Demand Stage 2'!BS11</f>
        <v>25</v>
      </c>
      <c r="BT12">
        <f>'Demand Stage 2'!BT11</f>
        <v>25</v>
      </c>
      <c r="BU12">
        <f>'Demand Stage 2'!BU11</f>
        <v>25</v>
      </c>
      <c r="BV12">
        <f>'Demand Stage 2'!BV11</f>
        <v>25</v>
      </c>
      <c r="BW12">
        <f>'Demand Stage 2'!BW11</f>
        <v>25</v>
      </c>
      <c r="BX12">
        <f>'Demand Stage 2'!BX11</f>
        <v>25</v>
      </c>
      <c r="BY12">
        <f>'Demand Stage 2'!BY11</f>
        <v>43.75</v>
      </c>
      <c r="BZ12">
        <f>'Demand Stage 2'!BZ11</f>
        <v>25</v>
      </c>
      <c r="CA12">
        <f>'Demand Stage 2'!CA11</f>
        <v>0</v>
      </c>
      <c r="CB12">
        <f>'Demand Stage 2'!CB11</f>
        <v>0</v>
      </c>
      <c r="CC12">
        <f>'Demand Stage 2'!CC11</f>
        <v>0</v>
      </c>
      <c r="CD12">
        <f>'Demand Stage 2'!CD11</f>
        <v>0</v>
      </c>
      <c r="CE12">
        <f>'Demand Stage 2'!CE11</f>
        <v>0</v>
      </c>
      <c r="CF12">
        <f>'Demand Stage 2'!CF11</f>
        <v>0</v>
      </c>
      <c r="CG12">
        <f>'Demand Stage 2'!CG11</f>
        <v>0</v>
      </c>
      <c r="CH12">
        <f>'Demand Stage 2'!CH11</f>
        <v>0</v>
      </c>
      <c r="CI12">
        <f>'Demand Stage 2'!CI11</f>
        <v>0</v>
      </c>
      <c r="CJ12">
        <f>'Demand Stage 2'!CJ11</f>
        <v>0</v>
      </c>
      <c r="CK12">
        <f>'Demand Stage 2'!CK11</f>
        <v>0</v>
      </c>
      <c r="CL12">
        <f>'Demand Stage 2'!CL11</f>
        <v>12.5</v>
      </c>
      <c r="CM12">
        <f>'Demand Stage 2'!CM11</f>
        <v>12.5</v>
      </c>
      <c r="CN12">
        <f>'Demand Stage 2'!CN11</f>
        <v>12.5</v>
      </c>
      <c r="CO12">
        <f>'Demand Stage 2'!CO11</f>
        <v>25</v>
      </c>
      <c r="CP12">
        <f>'Demand Stage 2'!CP11</f>
        <v>25</v>
      </c>
      <c r="CQ12">
        <f>'Demand Stage 2'!CQ11</f>
        <v>25</v>
      </c>
      <c r="CR12">
        <f>'Demand Stage 2'!CR11</f>
        <v>25</v>
      </c>
      <c r="CS12">
        <f>'Demand Stage 2'!CS11</f>
        <v>25</v>
      </c>
      <c r="CT12">
        <f>'Demand Stage 2'!CT11</f>
        <v>25</v>
      </c>
      <c r="CU12">
        <f>'Demand Stage 2'!CU11</f>
        <v>43.75</v>
      </c>
      <c r="CV12">
        <f>'Demand Stage 2'!CV11</f>
        <v>25</v>
      </c>
      <c r="CW12">
        <f>'Demand Stage 2'!CW11</f>
        <v>0</v>
      </c>
      <c r="CX12">
        <f>'Demand Stage 2'!CX11</f>
        <v>0</v>
      </c>
      <c r="CY12">
        <f>'Demand Stage 2'!CY11</f>
        <v>0</v>
      </c>
      <c r="CZ12">
        <f>'Demand Stage 2'!CZ11</f>
        <v>0</v>
      </c>
      <c r="DA12">
        <f>'Demand Stage 2'!DA11</f>
        <v>0</v>
      </c>
      <c r="DB12">
        <f>'Demand Stage 2'!DB11</f>
        <v>0</v>
      </c>
      <c r="DC12">
        <f>'Demand Stage 2'!DC11</f>
        <v>0</v>
      </c>
      <c r="DD12">
        <f>'Demand Stage 2'!DD11</f>
        <v>0</v>
      </c>
      <c r="DE12">
        <f>'Demand Stage 2'!DE11</f>
        <v>0</v>
      </c>
      <c r="DF12">
        <f>'Demand Stage 2'!DF11</f>
        <v>0</v>
      </c>
      <c r="DG12">
        <f>'Demand Stage 2'!DG11</f>
        <v>0</v>
      </c>
      <c r="DH12">
        <f>'Demand Stage 2'!DH11</f>
        <v>12.5</v>
      </c>
      <c r="DI12">
        <f>'Demand Stage 2'!DI11</f>
        <v>12.5</v>
      </c>
      <c r="DJ12">
        <f>'Demand Stage 2'!DJ11</f>
        <v>12.5</v>
      </c>
      <c r="DK12">
        <f>'Demand Stage 2'!DK11</f>
        <v>25</v>
      </c>
      <c r="DL12">
        <f>'Demand Stage 2'!DL11</f>
        <v>25</v>
      </c>
      <c r="DM12">
        <f>'Demand Stage 2'!DM11</f>
        <v>25</v>
      </c>
      <c r="DN12">
        <f>'Demand Stage 2'!DN11</f>
        <v>25</v>
      </c>
      <c r="DO12">
        <f>'Demand Stage 2'!DO11</f>
        <v>25</v>
      </c>
      <c r="DP12">
        <f>'Demand Stage 2'!DP11</f>
        <v>25</v>
      </c>
      <c r="DQ12">
        <f>'Demand Stage 2'!DQ11</f>
        <v>43.75</v>
      </c>
      <c r="DR12">
        <f>'Demand Stage 2'!DR11</f>
        <v>25</v>
      </c>
      <c r="DS12">
        <f>'Demand Stage 2'!DS11</f>
        <v>0</v>
      </c>
      <c r="DT12">
        <f>'Demand Stage 2'!DT11</f>
        <v>0</v>
      </c>
      <c r="DU12">
        <f>'Demand Stage 2'!DU11</f>
        <v>0</v>
      </c>
      <c r="DV12">
        <f>'Demand Stage 2'!DV11</f>
        <v>0</v>
      </c>
      <c r="DW12">
        <f>'Demand Stage 2'!DW11</f>
        <v>0</v>
      </c>
      <c r="DX12">
        <f>'Demand Stage 2'!DX11</f>
        <v>0</v>
      </c>
      <c r="DY12">
        <f>'Demand Stage 2'!DY11</f>
        <v>0</v>
      </c>
      <c r="DZ12">
        <f>'Demand Stage 2'!DZ11</f>
        <v>0</v>
      </c>
      <c r="EA12">
        <f>'Demand Stage 2'!EA11</f>
        <v>0</v>
      </c>
      <c r="EB12">
        <f>'Demand Stage 2'!EB11</f>
        <v>0</v>
      </c>
      <c r="EC12">
        <f>'Demand Stage 2'!EC11</f>
        <v>0</v>
      </c>
      <c r="ED12">
        <f>'Demand Stage 2'!ED11</f>
        <v>12.5</v>
      </c>
      <c r="EE12">
        <f>'Demand Stage 2'!EE11</f>
        <v>12.5</v>
      </c>
      <c r="EF12">
        <f>'Demand Stage 2'!EF11</f>
        <v>12.5</v>
      </c>
      <c r="EG12">
        <f>'Demand Stage 2'!EG11</f>
        <v>25</v>
      </c>
      <c r="EH12">
        <f>'Demand Stage 2'!EH11</f>
        <v>25</v>
      </c>
      <c r="EI12">
        <f>'Demand Stage 2'!EI11</f>
        <v>25</v>
      </c>
      <c r="EJ12">
        <f>'Demand Stage 2'!EJ11</f>
        <v>25</v>
      </c>
      <c r="EK12">
        <f>'Demand Stage 2'!EK11</f>
        <v>25</v>
      </c>
      <c r="EL12">
        <f>'Demand Stage 2'!EL11</f>
        <v>25</v>
      </c>
      <c r="EM12">
        <f>'Demand Stage 2'!EM11</f>
        <v>43.75</v>
      </c>
      <c r="EN12">
        <f>'Demand Stage 2'!EN11</f>
        <v>25</v>
      </c>
      <c r="EO12">
        <f>'Demand Stage 2'!EO11</f>
        <v>0</v>
      </c>
      <c r="EP12">
        <f>'Demand Stage 2'!EP11</f>
        <v>0</v>
      </c>
      <c r="EQ12">
        <f>'Demand Stage 2'!EQ11</f>
        <v>0</v>
      </c>
      <c r="ER12">
        <f>'Demand Stage 2'!ER11</f>
        <v>0</v>
      </c>
      <c r="ES12">
        <f>'Demand Stage 2'!ES11</f>
        <v>0</v>
      </c>
      <c r="ET12">
        <f>'Demand Stage 2'!ET11</f>
        <v>0</v>
      </c>
      <c r="EU12">
        <f>'Demand Stage 2'!EU11</f>
        <v>0</v>
      </c>
      <c r="EV12">
        <f>'Demand Stage 2'!EV11</f>
        <v>0</v>
      </c>
      <c r="EW12">
        <f>'Demand Stage 2'!EW11</f>
        <v>0</v>
      </c>
      <c r="EX12">
        <f>'Demand Stage 2'!EX11</f>
        <v>0</v>
      </c>
      <c r="EY12">
        <f>'Demand Stage 2'!EY11</f>
        <v>0</v>
      </c>
      <c r="EZ12">
        <f>'Demand Stage 2'!EZ11</f>
        <v>12.5</v>
      </c>
      <c r="FA12">
        <f>'Demand Stage 2'!FA11</f>
        <v>12.5</v>
      </c>
      <c r="FB12">
        <f>'Demand Stage 2'!FB11</f>
        <v>12.5</v>
      </c>
      <c r="FC12">
        <f>'Demand Stage 2'!FC11</f>
        <v>25</v>
      </c>
      <c r="FD12">
        <f>'Demand Stage 2'!FD11</f>
        <v>25</v>
      </c>
      <c r="FE12">
        <f>'Demand Stage 2'!FE11</f>
        <v>25</v>
      </c>
      <c r="FF12">
        <f>'Demand Stage 2'!FF11</f>
        <v>25</v>
      </c>
      <c r="FG12">
        <f>'Demand Stage 2'!FG11</f>
        <v>25</v>
      </c>
      <c r="FH12">
        <f>'Demand Stage 2'!FH11</f>
        <v>25</v>
      </c>
      <c r="FI12">
        <f>'Demand Stage 2'!FI11</f>
        <v>43.75</v>
      </c>
      <c r="FJ12">
        <f>'Demand Stage 2'!FJ11</f>
        <v>25</v>
      </c>
      <c r="FK12">
        <f>'Demand Stage 2'!FK11</f>
        <v>0</v>
      </c>
      <c r="FL12">
        <f>'Demand Stage 2'!FL11</f>
        <v>0</v>
      </c>
      <c r="FM12">
        <f>'Demand Stage 2'!FM11</f>
        <v>0</v>
      </c>
      <c r="FN12">
        <f>'Demand Stage 2'!FN11</f>
        <v>0</v>
      </c>
      <c r="FO12">
        <f>'Demand Stage 2'!FO11</f>
        <v>0</v>
      </c>
      <c r="FP12">
        <f>'Demand Stage 2'!FP11</f>
        <v>0</v>
      </c>
      <c r="FQ12">
        <f>'Demand Stage 2'!FQ11</f>
        <v>0</v>
      </c>
      <c r="FR12">
        <f>'Demand Stage 2'!FR11</f>
        <v>0</v>
      </c>
      <c r="FS12">
        <f>'Demand Stage 2'!FS11</f>
        <v>0</v>
      </c>
      <c r="FT12">
        <f>'Demand Stage 2'!FT11</f>
        <v>0</v>
      </c>
      <c r="FU12">
        <f>'Demand Stage 2'!FU11</f>
        <v>0</v>
      </c>
      <c r="FV12">
        <f>'Demand Stage 2'!FV11</f>
        <v>12.5</v>
      </c>
      <c r="FW12">
        <f>'Demand Stage 2'!FW11</f>
        <v>12.5</v>
      </c>
      <c r="FX12">
        <f>'Demand Stage 2'!FX11</f>
        <v>12.5</v>
      </c>
      <c r="FY12">
        <f>'Demand Stage 2'!FY11</f>
        <v>25</v>
      </c>
      <c r="FZ12">
        <f>'Demand Stage 2'!FZ11</f>
        <v>25</v>
      </c>
      <c r="GA12">
        <f>'Demand Stage 2'!GA11</f>
        <v>25</v>
      </c>
      <c r="GB12">
        <f>'Demand Stage 2'!GB11</f>
        <v>25</v>
      </c>
      <c r="GC12">
        <f>'Demand Stage 2'!GC11</f>
        <v>25</v>
      </c>
      <c r="GD12">
        <f>'Demand Stage 2'!GD11</f>
        <v>25</v>
      </c>
      <c r="GE12">
        <f>'Demand Stage 2'!GE11</f>
        <v>43.75</v>
      </c>
      <c r="GF12">
        <f>'Demand Stage 2'!GF11</f>
        <v>25</v>
      </c>
      <c r="GG12">
        <f>'Demand Stage 2'!GG11</f>
        <v>0</v>
      </c>
      <c r="GH12">
        <f>'Demand Stage 2'!GH11</f>
        <v>0</v>
      </c>
      <c r="GI12">
        <f>'Demand Stage 2'!GI11</f>
        <v>0</v>
      </c>
      <c r="GJ12">
        <f>'Demand Stage 2'!GJ11</f>
        <v>0</v>
      </c>
      <c r="GK12">
        <f>'Demand Stage 2'!GK11</f>
        <v>0</v>
      </c>
      <c r="GL12">
        <f>'Demand Stage 2'!GL11</f>
        <v>0</v>
      </c>
      <c r="GM12">
        <f>'Demand Stage 2'!GM11</f>
        <v>0</v>
      </c>
      <c r="GN12">
        <f>'Demand Stage 2'!GN11</f>
        <v>0</v>
      </c>
      <c r="GO12">
        <f>'Demand Stage 2'!GO11</f>
        <v>0</v>
      </c>
      <c r="GP12">
        <f>'Demand Stage 2'!GP11</f>
        <v>0</v>
      </c>
      <c r="GQ12">
        <f>'Demand Stage 2'!GQ11</f>
        <v>0</v>
      </c>
      <c r="GR12">
        <f>'Demand Stage 2'!GR11</f>
        <v>12.5</v>
      </c>
      <c r="GS12">
        <f>'Demand Stage 2'!GS11</f>
        <v>12.5</v>
      </c>
      <c r="GT12">
        <f>'Demand Stage 2'!GT11</f>
        <v>12.5</v>
      </c>
      <c r="GU12">
        <f>'Demand Stage 2'!GU11</f>
        <v>25</v>
      </c>
      <c r="GV12">
        <f>'Demand Stage 2'!GV11</f>
        <v>25</v>
      </c>
      <c r="GW12">
        <f>'Demand Stage 2'!GW11</f>
        <v>25</v>
      </c>
      <c r="GX12">
        <f>'Demand Stage 2'!GX11</f>
        <v>25</v>
      </c>
      <c r="GY12">
        <f>'Demand Stage 2'!GY11</f>
        <v>25</v>
      </c>
      <c r="GZ12">
        <f>'Demand Stage 2'!GZ11</f>
        <v>25</v>
      </c>
      <c r="HA12">
        <f>'Demand Stage 2'!HA11</f>
        <v>43.75</v>
      </c>
      <c r="HB12">
        <f>'Demand Stage 2'!HB11</f>
        <v>25</v>
      </c>
      <c r="HC12">
        <f>'Demand Stage 2'!HC11</f>
        <v>0</v>
      </c>
      <c r="HD12">
        <f>'Demand Stage 2'!HD11</f>
        <v>0</v>
      </c>
      <c r="HE12">
        <f>'Demand Stage 2'!HE11</f>
        <v>0</v>
      </c>
      <c r="HF12">
        <f>'Demand Stage 2'!HF11</f>
        <v>0</v>
      </c>
      <c r="HG12">
        <f>'Demand Stage 2'!HG11</f>
        <v>0</v>
      </c>
      <c r="HH12">
        <f>'Demand Stage 2'!HH11</f>
        <v>0</v>
      </c>
      <c r="HI12">
        <f>'Demand Stage 2'!HI11</f>
        <v>0</v>
      </c>
      <c r="HJ12">
        <f>'Demand Stage 2'!HJ11</f>
        <v>0</v>
      </c>
      <c r="HK12">
        <f>'Demand Stage 2'!HK11</f>
        <v>0</v>
      </c>
      <c r="HL12">
        <f>'Demand Stage 2'!HL11</f>
        <v>0</v>
      </c>
      <c r="HM12">
        <f>'Demand Stage 2'!HM11</f>
        <v>0</v>
      </c>
      <c r="HN12">
        <f>'Demand Stage 2'!HN11</f>
        <v>12.5</v>
      </c>
      <c r="HO12">
        <f>'Demand Stage 2'!HO11</f>
        <v>12.5</v>
      </c>
      <c r="HP12">
        <f>'Demand Stage 2'!HP11</f>
        <v>12.5</v>
      </c>
      <c r="HQ12">
        <f>'Demand Stage 2'!HQ11</f>
        <v>25</v>
      </c>
      <c r="HR12">
        <f>'Demand Stage 2'!HR11</f>
        <v>25</v>
      </c>
      <c r="HS12">
        <f>'Demand Stage 2'!HS11</f>
        <v>25</v>
      </c>
      <c r="HT12">
        <f>'Demand Stage 2'!HT11</f>
        <v>25</v>
      </c>
      <c r="HU12">
        <f>'Demand Stage 2'!HU11</f>
        <v>25</v>
      </c>
      <c r="HV12">
        <f>'Demand Stage 2'!HV11</f>
        <v>25</v>
      </c>
      <c r="HW12">
        <f>'Demand Stage 2'!HW11</f>
        <v>43.75</v>
      </c>
      <c r="HX12">
        <f>'Demand Stage 2'!HX11</f>
        <v>25</v>
      </c>
      <c r="HY12">
        <f>'Demand Stage 2'!HY11</f>
        <v>0</v>
      </c>
      <c r="HZ12">
        <f>'Demand Stage 2'!HZ11</f>
        <v>0</v>
      </c>
      <c r="IA12">
        <f>'Demand Stage 2'!IA11</f>
        <v>0</v>
      </c>
      <c r="IB12">
        <f>'Demand Stage 2'!IB11</f>
        <v>0</v>
      </c>
      <c r="IC12">
        <f>'Demand Stage 2'!IC11</f>
        <v>0</v>
      </c>
      <c r="ID12">
        <f>'Demand Stage 2'!ID11</f>
        <v>0</v>
      </c>
      <c r="IE12">
        <f>'Demand Stage 2'!IE11</f>
        <v>0</v>
      </c>
      <c r="IF12">
        <f>'Demand Stage 2'!IF11</f>
        <v>0</v>
      </c>
      <c r="IG12">
        <f>'Demand Stage 2'!IG11</f>
        <v>0</v>
      </c>
      <c r="IH12">
        <f>'Demand Stage 2'!IH11</f>
        <v>0</v>
      </c>
      <c r="II12">
        <f>'Demand Stage 2'!II11</f>
        <v>0</v>
      </c>
      <c r="IJ12">
        <f>'Demand Stage 2'!IJ11</f>
        <v>12.5</v>
      </c>
      <c r="IK12">
        <f>'Demand Stage 2'!IK11</f>
        <v>12.5</v>
      </c>
      <c r="IL12">
        <f>'Demand Stage 2'!IL11</f>
        <v>12.5</v>
      </c>
      <c r="IM12">
        <f>'Demand Stage 2'!IM11</f>
        <v>25</v>
      </c>
      <c r="IN12">
        <f>'Demand Stage 2'!IN11</f>
        <v>25</v>
      </c>
      <c r="IO12">
        <f>'Demand Stage 2'!IO11</f>
        <v>25</v>
      </c>
      <c r="IP12">
        <f>'Demand Stage 2'!IP11</f>
        <v>25</v>
      </c>
      <c r="IQ12">
        <f>'Demand Stage 2'!IQ11</f>
        <v>25</v>
      </c>
      <c r="IR12">
        <f>'Demand Stage 2'!IR11</f>
        <v>25</v>
      </c>
      <c r="IS12">
        <f>'Demand Stage 2'!IS11</f>
        <v>43.75</v>
      </c>
      <c r="IT12">
        <f>'Demand Stage 2'!IT11</f>
        <v>25</v>
      </c>
      <c r="IU12">
        <f>'Demand Stage 2'!IU11</f>
        <v>0</v>
      </c>
      <c r="IV12">
        <f>'Demand Stage 2'!IV11</f>
        <v>0</v>
      </c>
      <c r="IW12">
        <f>'Demand Stage 2'!IW11</f>
        <v>0</v>
      </c>
      <c r="IX12">
        <f>'Demand Stage 2'!IX11</f>
        <v>0</v>
      </c>
      <c r="IY12">
        <f>'Demand Stage 2'!IY11</f>
        <v>0</v>
      </c>
      <c r="IZ12">
        <f>'Demand Stage 2'!IZ11</f>
        <v>0</v>
      </c>
      <c r="JA12">
        <f>'Demand Stage 2'!JA11</f>
        <v>0</v>
      </c>
      <c r="JB12">
        <f>'Demand Stage 2'!JB11</f>
        <v>0</v>
      </c>
      <c r="JC12">
        <f>'Demand Stage 2'!JC11</f>
        <v>0</v>
      </c>
      <c r="JD12">
        <f>'Demand Stage 2'!JD11</f>
        <v>0</v>
      </c>
      <c r="JE12">
        <f>'Demand Stage 2'!JE11</f>
        <v>0</v>
      </c>
      <c r="JF12">
        <f>'Demand Stage 2'!JF11</f>
        <v>12.5</v>
      </c>
      <c r="JG12">
        <f>'Demand Stage 2'!JG11</f>
        <v>12.5</v>
      </c>
      <c r="JH12">
        <f>'Demand Stage 2'!JH11</f>
        <v>12.5</v>
      </c>
      <c r="JI12">
        <f>'Demand Stage 2'!JI11</f>
        <v>25</v>
      </c>
      <c r="JJ12">
        <f>'Demand Stage 2'!JJ11</f>
        <v>25</v>
      </c>
      <c r="JK12">
        <f>'Demand Stage 2'!JK11</f>
        <v>25</v>
      </c>
      <c r="JL12">
        <f>'Demand Stage 2'!JL11</f>
        <v>25</v>
      </c>
      <c r="JM12">
        <f>'Demand Stage 2'!JM11</f>
        <v>25</v>
      </c>
      <c r="JN12">
        <f>'Demand Stage 2'!JN11</f>
        <v>25</v>
      </c>
      <c r="JO12">
        <f>'Demand Stage 2'!JO11</f>
        <v>43.75</v>
      </c>
      <c r="JP12">
        <f>'Demand Stage 2'!JP11</f>
        <v>25</v>
      </c>
      <c r="JQ12">
        <f>'Demand Stage 2'!JQ11</f>
        <v>0</v>
      </c>
      <c r="JR12">
        <f>'Demand Stage 2'!JR11</f>
        <v>0</v>
      </c>
      <c r="JS12">
        <f>'Demand Stage 2'!JS11</f>
        <v>0</v>
      </c>
      <c r="JT12">
        <f>'Demand Stage 2'!JT11</f>
        <v>0</v>
      </c>
      <c r="JU12">
        <f>'Demand Stage 2'!JU11</f>
        <v>0</v>
      </c>
      <c r="JV12">
        <f>'Demand Stage 2'!JV11</f>
        <v>0</v>
      </c>
      <c r="JW12">
        <f>'Demand Stage 2'!JW11</f>
        <v>0</v>
      </c>
      <c r="JX12">
        <f>'Demand Stage 2'!JX11</f>
        <v>0</v>
      </c>
      <c r="JY12">
        <f>'Demand Stage 2'!JY11</f>
        <v>0</v>
      </c>
      <c r="JZ12">
        <f>'Demand Stage 2'!JZ11</f>
        <v>0</v>
      </c>
      <c r="KA12">
        <f>'Demand Stage 2'!KA11</f>
        <v>0</v>
      </c>
      <c r="KB12">
        <f>'Demand Stage 2'!KB11</f>
        <v>12.5</v>
      </c>
      <c r="KC12">
        <f>'Demand Stage 2'!KC11</f>
        <v>12.5</v>
      </c>
      <c r="KD12">
        <f>'Demand Stage 2'!KD11</f>
        <v>12.5</v>
      </c>
      <c r="KE12">
        <f>'Demand Stage 2'!KE11</f>
        <v>25</v>
      </c>
      <c r="KF12">
        <f>'Demand Stage 2'!KF11</f>
        <v>25</v>
      </c>
      <c r="KG12">
        <f>'Demand Stage 2'!KG11</f>
        <v>25</v>
      </c>
      <c r="KH12">
        <f>'Demand Stage 2'!KH11</f>
        <v>25</v>
      </c>
      <c r="KI12">
        <f>'Demand Stage 2'!KI11</f>
        <v>25</v>
      </c>
      <c r="KJ12">
        <f>'Demand Stage 2'!KJ11</f>
        <v>25</v>
      </c>
      <c r="KK12">
        <f>'Demand Stage 2'!KK11</f>
        <v>43.75</v>
      </c>
      <c r="KL12">
        <f>'Demand Stage 2'!KL11</f>
        <v>25</v>
      </c>
      <c r="KM12">
        <f>'Demand Stage 2'!KM11</f>
        <v>0</v>
      </c>
      <c r="KN12">
        <f>'Demand Stage 2'!KN11</f>
        <v>0</v>
      </c>
      <c r="KO12">
        <f>'Demand Stage 2'!KO11</f>
        <v>0</v>
      </c>
      <c r="KP12">
        <f>'Demand Stage 2'!KP11</f>
        <v>0</v>
      </c>
      <c r="KQ12">
        <f>'Demand Stage 2'!KQ11</f>
        <v>0</v>
      </c>
      <c r="KR12">
        <f>'Demand Stage 2'!KR11</f>
        <v>0</v>
      </c>
      <c r="KS12">
        <f>'Demand Stage 2'!KS11</f>
        <v>0</v>
      </c>
      <c r="KT12">
        <f>'Demand Stage 2'!KT11</f>
        <v>0</v>
      </c>
      <c r="KU12">
        <f>'Demand Stage 2'!KU11</f>
        <v>0</v>
      </c>
      <c r="KV12">
        <f>'Demand Stage 2'!KV11</f>
        <v>0</v>
      </c>
      <c r="KW12">
        <f>'Demand Stage 2'!KW11</f>
        <v>0</v>
      </c>
      <c r="KX12">
        <f>'Demand Stage 2'!KX11</f>
        <v>12.5</v>
      </c>
      <c r="KY12">
        <f>'Demand Stage 2'!KY11</f>
        <v>12.5</v>
      </c>
      <c r="KZ12">
        <f>'Demand Stage 2'!KZ11</f>
        <v>12.5</v>
      </c>
      <c r="LA12">
        <f>'Demand Stage 2'!LA11</f>
        <v>25</v>
      </c>
      <c r="LB12">
        <f>'Demand Stage 2'!LB11</f>
        <v>25</v>
      </c>
      <c r="LC12">
        <f>'Demand Stage 2'!LC11</f>
        <v>25</v>
      </c>
      <c r="LD12">
        <f>'Demand Stage 2'!LD11</f>
        <v>25</v>
      </c>
      <c r="LE12">
        <f>'Demand Stage 2'!LE11</f>
        <v>25</v>
      </c>
      <c r="LF12">
        <f>'Demand Stage 2'!LF11</f>
        <v>25</v>
      </c>
      <c r="LG12">
        <f>'Demand Stage 2'!LG11</f>
        <v>43.75</v>
      </c>
      <c r="LH12">
        <f>'Demand Stage 2'!LH11</f>
        <v>25</v>
      </c>
      <c r="LI12">
        <f>'Demand Stage 2'!LI11</f>
        <v>0</v>
      </c>
      <c r="LJ12">
        <f>'Demand Stage 2'!LJ11</f>
        <v>0</v>
      </c>
      <c r="LK12">
        <f>'Demand Stage 2'!LK11</f>
        <v>0</v>
      </c>
      <c r="LL12">
        <f>'Demand Stage 2'!LL11</f>
        <v>0</v>
      </c>
      <c r="LM12">
        <f>'Demand Stage 2'!LM11</f>
        <v>0</v>
      </c>
      <c r="LN12">
        <f>'Demand Stage 2'!LN11</f>
        <v>0</v>
      </c>
      <c r="LO12">
        <f>'Demand Stage 2'!LO11</f>
        <v>0</v>
      </c>
      <c r="LP12">
        <f>'Demand Stage 2'!LP11</f>
        <v>0</v>
      </c>
      <c r="LQ12">
        <f>'Demand Stage 2'!LQ11</f>
        <v>0</v>
      </c>
      <c r="LR12">
        <f>'Demand Stage 2'!LR11</f>
        <v>0</v>
      </c>
      <c r="LS12">
        <f>'Demand Stage 2'!LS11</f>
        <v>0</v>
      </c>
      <c r="LT12">
        <f>'Demand Stage 2'!LT11</f>
        <v>12.5</v>
      </c>
      <c r="LU12">
        <f>'Demand Stage 2'!LU11</f>
        <v>12.5</v>
      </c>
      <c r="LV12">
        <f>'Demand Stage 2'!LV11</f>
        <v>12.5</v>
      </c>
      <c r="LW12">
        <f>'Demand Stage 2'!LW11</f>
        <v>25</v>
      </c>
      <c r="LX12">
        <f>'Demand Stage 2'!LX11</f>
        <v>25</v>
      </c>
      <c r="LY12">
        <f>'Demand Stage 2'!LY11</f>
        <v>25</v>
      </c>
      <c r="LZ12">
        <f>'Demand Stage 2'!LZ11</f>
        <v>25</v>
      </c>
      <c r="MA12">
        <f>'Demand Stage 2'!MA11</f>
        <v>25</v>
      </c>
      <c r="MB12">
        <f>'Demand Stage 2'!MB11</f>
        <v>25</v>
      </c>
      <c r="MC12">
        <f>'Demand Stage 2'!MC11</f>
        <v>43.75</v>
      </c>
      <c r="MD12">
        <f>'Demand Stage 2'!MD11</f>
        <v>25</v>
      </c>
      <c r="ME12">
        <f>'Demand Stage 2'!ME11</f>
        <v>0</v>
      </c>
      <c r="MF12">
        <f>'Demand Stage 2'!MF11</f>
        <v>0</v>
      </c>
      <c r="MG12">
        <f>'Demand Stage 2'!MG11</f>
        <v>0</v>
      </c>
      <c r="MH12">
        <f>'Demand Stage 2'!MH11</f>
        <v>0</v>
      </c>
      <c r="MI12">
        <f>'Demand Stage 2'!MI11</f>
        <v>0</v>
      </c>
      <c r="MJ12">
        <f>'Demand Stage 2'!MJ11</f>
        <v>0</v>
      </c>
      <c r="MK12">
        <f>'Demand Stage 2'!MK11</f>
        <v>0</v>
      </c>
      <c r="ML12">
        <f>'Demand Stage 2'!ML11</f>
        <v>0</v>
      </c>
      <c r="MM12">
        <f>'Demand Stage 2'!MM11</f>
        <v>0</v>
      </c>
      <c r="MN12">
        <f>'Demand Stage 2'!MN11</f>
        <v>0</v>
      </c>
      <c r="MO12">
        <f>'Demand Stage 2'!MO11</f>
        <v>0</v>
      </c>
      <c r="MP12">
        <f>'Demand Stage 2'!MP11</f>
        <v>12.5</v>
      </c>
      <c r="MQ12">
        <f>'Demand Stage 2'!MQ11</f>
        <v>12.5</v>
      </c>
      <c r="MR12">
        <f>'Demand Stage 2'!MR11</f>
        <v>12.5</v>
      </c>
      <c r="MS12">
        <f>'Demand Stage 2'!MS11</f>
        <v>25</v>
      </c>
      <c r="MT12">
        <f>'Demand Stage 2'!MT11</f>
        <v>25</v>
      </c>
      <c r="MU12">
        <f>'Demand Stage 2'!MU11</f>
        <v>25</v>
      </c>
      <c r="MV12">
        <f>'Demand Stage 2'!MV11</f>
        <v>25</v>
      </c>
      <c r="MW12">
        <f>'Demand Stage 2'!MW11</f>
        <v>25</v>
      </c>
      <c r="MX12">
        <f>'Demand Stage 2'!MX11</f>
        <v>25</v>
      </c>
      <c r="MY12">
        <f>'Demand Stage 2'!MY11</f>
        <v>43.75</v>
      </c>
      <c r="MZ12">
        <f>'Demand Stage 2'!MZ11</f>
        <v>25</v>
      </c>
      <c r="NA12">
        <f>'Demand Stage 2'!NA11</f>
        <v>0</v>
      </c>
      <c r="NB12">
        <f>'Demand Stage 2'!NB11</f>
        <v>0</v>
      </c>
      <c r="NC12">
        <f>'Demand Stage 2'!NC11</f>
        <v>0</v>
      </c>
      <c r="ND12">
        <f>'Demand Stage 2'!ND11</f>
        <v>0</v>
      </c>
      <c r="NE12">
        <f>'Demand Stage 2'!NE11</f>
        <v>0</v>
      </c>
      <c r="NF12">
        <f>'Demand Stage 2'!NF11</f>
        <v>0</v>
      </c>
      <c r="NG12">
        <f>'Demand Stage 2'!NG11</f>
        <v>0</v>
      </c>
      <c r="NH12">
        <f>'Demand Stage 2'!NH11</f>
        <v>0</v>
      </c>
      <c r="NI12">
        <f>'Demand Stage 2'!NI11</f>
        <v>0</v>
      </c>
      <c r="NJ12">
        <f>'Demand Stage 2'!NJ11</f>
        <v>0</v>
      </c>
      <c r="NK12">
        <f>'Demand Stage 2'!NK11</f>
        <v>0</v>
      </c>
      <c r="NL12">
        <f>'Demand Stage 2'!NL11</f>
        <v>12.5</v>
      </c>
      <c r="NM12">
        <f>'Demand Stage 2'!NM11</f>
        <v>12.5</v>
      </c>
      <c r="NN12">
        <f>'Demand Stage 2'!NN11</f>
        <v>12.5</v>
      </c>
      <c r="NO12">
        <f>'Demand Stage 2'!NO11</f>
        <v>25</v>
      </c>
      <c r="NP12">
        <f>'Demand Stage 2'!NP11</f>
        <v>25</v>
      </c>
      <c r="NQ12">
        <f>'Demand Stage 2'!NQ11</f>
        <v>25</v>
      </c>
      <c r="NR12">
        <f>'Demand Stage 2'!NR11</f>
        <v>25</v>
      </c>
      <c r="NS12">
        <f>'Demand Stage 2'!NS11</f>
        <v>25</v>
      </c>
      <c r="NT12">
        <f>'Demand Stage 2'!NT11</f>
        <v>25</v>
      </c>
      <c r="NU12">
        <f>'Demand Stage 2'!NU11</f>
        <v>43.75</v>
      </c>
      <c r="NV12">
        <f>'Demand Stage 2'!NV11</f>
        <v>25</v>
      </c>
      <c r="NW12">
        <f>'Demand Stage 2'!NW11</f>
        <v>0</v>
      </c>
      <c r="NX12">
        <f>'Demand Stage 2'!NX11</f>
        <v>0</v>
      </c>
      <c r="NY12">
        <f>'Demand Stage 2'!NY11</f>
        <v>0</v>
      </c>
      <c r="NZ12">
        <f>'Demand Stage 2'!NZ11</f>
        <v>0</v>
      </c>
      <c r="OA12">
        <f>'Demand Stage 2'!OA11</f>
        <v>0</v>
      </c>
      <c r="OB12">
        <f>'Demand Stage 2'!OB11</f>
        <v>0</v>
      </c>
      <c r="OC12">
        <f>'Demand Stage 2'!OC11</f>
        <v>0</v>
      </c>
      <c r="OD12">
        <f>'Demand Stage 2'!OD11</f>
        <v>0</v>
      </c>
      <c r="OE12">
        <f>'Demand Stage 2'!OE11</f>
        <v>0</v>
      </c>
      <c r="OF12">
        <f>'Demand Stage 2'!OF11</f>
        <v>0</v>
      </c>
      <c r="OG12">
        <f>'Demand Stage 2'!OG11</f>
        <v>0</v>
      </c>
      <c r="OH12">
        <f>'Demand Stage 2'!OH11</f>
        <v>12.5</v>
      </c>
      <c r="OI12">
        <f>'Demand Stage 2'!OI11</f>
        <v>12.5</v>
      </c>
      <c r="OJ12">
        <f>'Demand Stage 2'!OJ11</f>
        <v>12.5</v>
      </c>
      <c r="OK12">
        <f>'Demand Stage 2'!OK11</f>
        <v>25</v>
      </c>
      <c r="OL12">
        <f>'Demand Stage 2'!OL11</f>
        <v>25</v>
      </c>
      <c r="OM12">
        <f>'Demand Stage 2'!OM11</f>
        <v>25</v>
      </c>
      <c r="ON12">
        <f>'Demand Stage 2'!ON11</f>
        <v>25</v>
      </c>
      <c r="OO12">
        <f>'Demand Stage 2'!OO11</f>
        <v>25</v>
      </c>
      <c r="OP12">
        <f>'Demand Stage 2'!OP11</f>
        <v>25</v>
      </c>
      <c r="OQ12">
        <f>'Demand Stage 2'!OQ11</f>
        <v>43.75</v>
      </c>
      <c r="OR12">
        <f>'Demand Stage 2'!OR11</f>
        <v>25</v>
      </c>
      <c r="OS12">
        <f>'Demand Stage 2'!OS11</f>
        <v>0</v>
      </c>
      <c r="OT12">
        <f>'Demand Stage 2'!OT11</f>
        <v>0</v>
      </c>
      <c r="OU12">
        <f>'Demand Stage 2'!OU11</f>
        <v>0</v>
      </c>
      <c r="OV12">
        <f>'Demand Stage 2'!OV11</f>
        <v>0</v>
      </c>
      <c r="OW12">
        <f>'Demand Stage 2'!OW11</f>
        <v>0</v>
      </c>
      <c r="OX12">
        <f>'Demand Stage 2'!OX11</f>
        <v>0</v>
      </c>
      <c r="OY12">
        <f>'Demand Stage 2'!OY11</f>
        <v>0</v>
      </c>
      <c r="OZ12">
        <f>'Demand Stage 2'!OZ11</f>
        <v>0</v>
      </c>
      <c r="PA12">
        <f>'Demand Stage 2'!PA11</f>
        <v>0</v>
      </c>
      <c r="PB12">
        <f>'Demand Stage 2'!PB11</f>
        <v>0</v>
      </c>
      <c r="PC12">
        <f>'Demand Stage 2'!PC11</f>
        <v>0</v>
      </c>
      <c r="PD12">
        <f>'Demand Stage 2'!PD11</f>
        <v>12.5</v>
      </c>
      <c r="PE12">
        <f>'Demand Stage 2'!PE11</f>
        <v>12.5</v>
      </c>
      <c r="PF12">
        <f>'Demand Stage 2'!PF11</f>
        <v>12.5</v>
      </c>
      <c r="PG12">
        <f>'Demand Stage 2'!PG11</f>
        <v>25</v>
      </c>
      <c r="PH12">
        <f>'Demand Stage 2'!PH11</f>
        <v>25</v>
      </c>
      <c r="PI12">
        <f>'Demand Stage 2'!PI11</f>
        <v>25</v>
      </c>
      <c r="PJ12">
        <f>'Demand Stage 2'!PJ11</f>
        <v>25</v>
      </c>
      <c r="PK12">
        <f>'Demand Stage 2'!PK11</f>
        <v>25</v>
      </c>
      <c r="PL12">
        <f>'Demand Stage 2'!PL11</f>
        <v>25</v>
      </c>
      <c r="PM12">
        <f>'Demand Stage 2'!PM11</f>
        <v>43.75</v>
      </c>
      <c r="PN12">
        <f>'Demand Stage 2'!PN11</f>
        <v>25</v>
      </c>
      <c r="PO12">
        <f>'Demand Stage 2'!PO11</f>
        <v>0</v>
      </c>
      <c r="PP12">
        <f>'Demand Stage 2'!PP11</f>
        <v>0</v>
      </c>
      <c r="PQ12">
        <f>'Demand Stage 2'!PQ11</f>
        <v>0</v>
      </c>
      <c r="PR12">
        <f>'Demand Stage 2'!PR11</f>
        <v>0</v>
      </c>
      <c r="PS12">
        <f>'Demand Stage 2'!PS11</f>
        <v>0</v>
      </c>
      <c r="PT12">
        <f>'Demand Stage 2'!PT11</f>
        <v>0</v>
      </c>
      <c r="PU12">
        <f>'Demand Stage 2'!PU11</f>
        <v>0</v>
      </c>
      <c r="PV12">
        <f>'Demand Stage 2'!PV11</f>
        <v>0</v>
      </c>
      <c r="PW12">
        <f>'Demand Stage 2'!PW11</f>
        <v>0</v>
      </c>
      <c r="PX12">
        <f>'Demand Stage 2'!PX11</f>
        <v>0</v>
      </c>
      <c r="PY12">
        <f>'Demand Stage 2'!PY11</f>
        <v>0</v>
      </c>
      <c r="PZ12">
        <f>'Demand Stage 2'!PZ11</f>
        <v>12.5</v>
      </c>
      <c r="QA12">
        <f>'Demand Stage 2'!QA11</f>
        <v>12.5</v>
      </c>
      <c r="QB12">
        <f>'Demand Stage 2'!QB11</f>
        <v>12.5</v>
      </c>
      <c r="QC12">
        <f>'Demand Stage 2'!QC11</f>
        <v>25</v>
      </c>
      <c r="QD12">
        <f>'Demand Stage 2'!QD11</f>
        <v>25</v>
      </c>
      <c r="QE12">
        <f>'Demand Stage 2'!QE11</f>
        <v>25</v>
      </c>
      <c r="QF12">
        <f>'Demand Stage 2'!QF11</f>
        <v>25</v>
      </c>
      <c r="QG12">
        <f>'Demand Stage 2'!QG11</f>
        <v>25</v>
      </c>
      <c r="QH12">
        <f>'Demand Stage 2'!QH11</f>
        <v>25</v>
      </c>
      <c r="QI12">
        <f>'Demand Stage 2'!QI11</f>
        <v>43.75</v>
      </c>
      <c r="QJ12">
        <f>'Demand Stage 2'!QJ11</f>
        <v>25</v>
      </c>
      <c r="QK12">
        <f>'Demand Stage 2'!QK11</f>
        <v>0</v>
      </c>
      <c r="QL12">
        <f>'Demand Stage 2'!QL11</f>
        <v>0</v>
      </c>
      <c r="QM12">
        <f>'Demand Stage 2'!QM11</f>
        <v>0</v>
      </c>
      <c r="QN12">
        <f>'Demand Stage 2'!QN11</f>
        <v>0</v>
      </c>
      <c r="QO12">
        <f>'Demand Stage 2'!QO11</f>
        <v>0</v>
      </c>
      <c r="QP12">
        <f>'Demand Stage 2'!QP11</f>
        <v>0</v>
      </c>
      <c r="QQ12">
        <f>'Demand Stage 2'!QQ11</f>
        <v>0</v>
      </c>
      <c r="QR12">
        <f>'Demand Stage 2'!QR11</f>
        <v>0</v>
      </c>
      <c r="QS12">
        <f>'Demand Stage 2'!QS11</f>
        <v>0</v>
      </c>
      <c r="QT12">
        <f>'Demand Stage 2'!QT11</f>
        <v>0</v>
      </c>
      <c r="QU12">
        <f>'Demand Stage 2'!QU11</f>
        <v>0</v>
      </c>
      <c r="QV12">
        <f>'Demand Stage 2'!QV11</f>
        <v>12.5</v>
      </c>
      <c r="QW12">
        <f>'Demand Stage 2'!QW11</f>
        <v>12.5</v>
      </c>
      <c r="QX12">
        <f>'Demand Stage 2'!QX11</f>
        <v>12.5</v>
      </c>
      <c r="QY12">
        <f>'Demand Stage 2'!QY11</f>
        <v>25</v>
      </c>
      <c r="QZ12">
        <f>'Demand Stage 2'!QZ11</f>
        <v>25</v>
      </c>
      <c r="RA12">
        <f>'Demand Stage 2'!RA11</f>
        <v>25</v>
      </c>
      <c r="RB12">
        <f>'Demand Stage 2'!RB11</f>
        <v>25</v>
      </c>
      <c r="RC12">
        <f>'Demand Stage 2'!RC11</f>
        <v>25</v>
      </c>
      <c r="RD12">
        <f>'Demand Stage 2'!RD11</f>
        <v>25</v>
      </c>
      <c r="RE12">
        <f>'Demand Stage 2'!RE11</f>
        <v>43.75</v>
      </c>
      <c r="RF12">
        <f>'Demand Stage 2'!RF11</f>
        <v>25</v>
      </c>
      <c r="RG12">
        <f>'Demand Stage 2'!RG11</f>
        <v>0</v>
      </c>
      <c r="RH12">
        <f>'Demand Stage 2'!RH11</f>
        <v>0</v>
      </c>
      <c r="RI12">
        <f>'Demand Stage 2'!RI11</f>
        <v>0</v>
      </c>
      <c r="RJ12">
        <f>'Demand Stage 2'!RJ11</f>
        <v>0</v>
      </c>
      <c r="RK12">
        <f>'Demand Stage 2'!RK11</f>
        <v>0</v>
      </c>
      <c r="RL12">
        <f>'Demand Stage 2'!RL11</f>
        <v>0</v>
      </c>
      <c r="RM12">
        <f>'Demand Stage 2'!RM11</f>
        <v>0</v>
      </c>
      <c r="RN12">
        <f>'Demand Stage 2'!RN11</f>
        <v>0</v>
      </c>
      <c r="RO12">
        <f>'Demand Stage 2'!RO11</f>
        <v>0</v>
      </c>
      <c r="RP12">
        <f>'Demand Stage 2'!RP11</f>
        <v>0</v>
      </c>
      <c r="RQ12">
        <f>'Demand Stage 2'!RQ11</f>
        <v>0</v>
      </c>
      <c r="RR12">
        <f>'Demand Stage 2'!RR11</f>
        <v>12.5</v>
      </c>
      <c r="RS12">
        <f>'Demand Stage 2'!RS11</f>
        <v>12.5</v>
      </c>
      <c r="RT12">
        <f>'Demand Stage 2'!RT11</f>
        <v>12.5</v>
      </c>
      <c r="RU12">
        <f>'Demand Stage 2'!RU11</f>
        <v>25</v>
      </c>
      <c r="RV12">
        <f>'Demand Stage 2'!RV11</f>
        <v>25</v>
      </c>
      <c r="RW12">
        <f>'Demand Stage 2'!RW11</f>
        <v>25</v>
      </c>
      <c r="RX12">
        <f>'Demand Stage 2'!RX11</f>
        <v>25</v>
      </c>
      <c r="RY12">
        <f>'Demand Stage 2'!RY11</f>
        <v>25</v>
      </c>
      <c r="RZ12">
        <f>'Demand Stage 2'!RZ11</f>
        <v>25</v>
      </c>
      <c r="SA12">
        <f>'Demand Stage 2'!SA11</f>
        <v>43.75</v>
      </c>
      <c r="SB12">
        <f>'Demand Stage 2'!SB11</f>
        <v>25</v>
      </c>
      <c r="SC12">
        <f>'Demand Stage 2'!SC11</f>
        <v>0</v>
      </c>
      <c r="SD12">
        <f>'Demand Stage 2'!SD11</f>
        <v>0</v>
      </c>
      <c r="SE12">
        <f>'Demand Stage 2'!SE11</f>
        <v>0</v>
      </c>
      <c r="SF12">
        <f>'Demand Stage 2'!SF11</f>
        <v>0</v>
      </c>
      <c r="SG12">
        <f>'Demand Stage 2'!SG11</f>
        <v>0</v>
      </c>
      <c r="SH12">
        <f>'Demand Stage 2'!SH11</f>
        <v>0</v>
      </c>
      <c r="SI12">
        <f>'Demand Stage 2'!SI11</f>
        <v>0</v>
      </c>
      <c r="SJ12">
        <f>'Demand Stage 2'!SJ11</f>
        <v>0</v>
      </c>
      <c r="SK12">
        <f>'Demand Stage 2'!SK11</f>
        <v>0</v>
      </c>
      <c r="SL12">
        <f>'Demand Stage 2'!SL11</f>
        <v>0</v>
      </c>
      <c r="SM12">
        <f>'Demand Stage 2'!SM11</f>
        <v>0</v>
      </c>
      <c r="SN12">
        <f>'Demand Stage 2'!SN11</f>
        <v>12.5</v>
      </c>
      <c r="SO12">
        <f>'Demand Stage 2'!SO11</f>
        <v>12.5</v>
      </c>
      <c r="SP12">
        <f>'Demand Stage 2'!SP11</f>
        <v>12.5</v>
      </c>
      <c r="SQ12">
        <f>'Demand Stage 2'!SQ11</f>
        <v>25</v>
      </c>
      <c r="SR12">
        <f>'Demand Stage 2'!SR11</f>
        <v>25</v>
      </c>
      <c r="SS12">
        <f>'Demand Stage 2'!SS11</f>
        <v>25</v>
      </c>
      <c r="ST12">
        <f>'Demand Stage 2'!ST11</f>
        <v>25</v>
      </c>
      <c r="SU12">
        <f>'Demand Stage 2'!SU11</f>
        <v>25</v>
      </c>
      <c r="SV12">
        <f>'Demand Stage 2'!SV11</f>
        <v>25</v>
      </c>
      <c r="SW12">
        <f>'Demand Stage 2'!SW11</f>
        <v>43.75</v>
      </c>
      <c r="SX12">
        <f>'Demand Stage 2'!SX11</f>
        <v>25</v>
      </c>
      <c r="SY12">
        <f>'Demand Stage 2'!SY11</f>
        <v>0</v>
      </c>
      <c r="SZ12">
        <f>'Demand Stage 2'!SZ11</f>
        <v>0</v>
      </c>
      <c r="TA12">
        <f>'Demand Stage 2'!TA11</f>
        <v>0</v>
      </c>
      <c r="TB12">
        <f>'Demand Stage 2'!TB11</f>
        <v>0</v>
      </c>
      <c r="TC12">
        <f>'Demand Stage 2'!TC11</f>
        <v>0</v>
      </c>
      <c r="TD12">
        <f>'Demand Stage 2'!TD11</f>
        <v>0</v>
      </c>
      <c r="TE12">
        <f>'Demand Stage 2'!TE11</f>
        <v>0</v>
      </c>
      <c r="TF12">
        <f>'Demand Stage 2'!TF11</f>
        <v>0</v>
      </c>
      <c r="TG12">
        <f>'Demand Stage 2'!TG11</f>
        <v>0</v>
      </c>
      <c r="TH12">
        <f>'Demand Stage 2'!TH11</f>
        <v>0</v>
      </c>
      <c r="TI12">
        <f>'Demand Stage 2'!TI11</f>
        <v>0</v>
      </c>
      <c r="TJ12">
        <f>'Demand Stage 2'!TJ11</f>
        <v>12.5</v>
      </c>
      <c r="TK12">
        <f>'Demand Stage 2'!TK11</f>
        <v>12.5</v>
      </c>
      <c r="TL12">
        <f>'Demand Stage 2'!TL11</f>
        <v>12.5</v>
      </c>
      <c r="TM12">
        <f>'Demand Stage 2'!TM11</f>
        <v>25</v>
      </c>
      <c r="TN12">
        <f>'Demand Stage 2'!TN11</f>
        <v>25</v>
      </c>
      <c r="TO12">
        <f>'Demand Stage 2'!TO11</f>
        <v>25</v>
      </c>
      <c r="TP12">
        <f>'Demand Stage 2'!TP11</f>
        <v>25</v>
      </c>
      <c r="TQ12">
        <f>'Demand Stage 2'!TQ11</f>
        <v>25</v>
      </c>
      <c r="TR12">
        <f>'Demand Stage 2'!TR11</f>
        <v>25</v>
      </c>
      <c r="TS12">
        <f>'Demand Stage 2'!TS11</f>
        <v>43.75</v>
      </c>
      <c r="TT12">
        <f>'Demand Stage 2'!TT11</f>
        <v>25</v>
      </c>
      <c r="TU12">
        <f>'Demand Stage 2'!TU11</f>
        <v>0</v>
      </c>
      <c r="TV12">
        <f>'Demand Stage 2'!TV11</f>
        <v>0</v>
      </c>
      <c r="TW12">
        <f>'Demand Stage 2'!TW11</f>
        <v>0</v>
      </c>
      <c r="TX12">
        <f>'Demand Stage 2'!TX11</f>
        <v>0</v>
      </c>
      <c r="TY12">
        <f>'Demand Stage 2'!TY11</f>
        <v>0</v>
      </c>
      <c r="TZ12">
        <f>'Demand Stage 2'!TZ11</f>
        <v>0</v>
      </c>
      <c r="UA12">
        <f>'Demand Stage 2'!UA11</f>
        <v>0</v>
      </c>
      <c r="UB12">
        <f>'Demand Stage 2'!UB11</f>
        <v>0</v>
      </c>
      <c r="UC12">
        <f>'Demand Stage 2'!UC11</f>
        <v>0</v>
      </c>
      <c r="UD12">
        <f>'Demand Stage 2'!UD11</f>
        <v>0</v>
      </c>
      <c r="UE12">
        <f>'Demand Stage 2'!UE11</f>
        <v>0</v>
      </c>
      <c r="UF12">
        <f>'Demand Stage 2'!UF11</f>
        <v>12.5</v>
      </c>
      <c r="UG12">
        <f>'Demand Stage 2'!UG11</f>
        <v>12.5</v>
      </c>
      <c r="UH12">
        <f>'Demand Stage 2'!UH11</f>
        <v>12.5</v>
      </c>
      <c r="UI12">
        <f>'Demand Stage 2'!UI11</f>
        <v>25</v>
      </c>
      <c r="UJ12">
        <f>'Demand Stage 2'!UJ11</f>
        <v>25</v>
      </c>
      <c r="UK12">
        <f>'Demand Stage 2'!UK11</f>
        <v>25</v>
      </c>
      <c r="UL12">
        <f>'Demand Stage 2'!UL11</f>
        <v>25</v>
      </c>
      <c r="UM12">
        <f>'Demand Stage 2'!UM11</f>
        <v>25</v>
      </c>
      <c r="UN12">
        <f>'Demand Stage 2'!UN11</f>
        <v>25</v>
      </c>
      <c r="UO12">
        <f>'Demand Stage 2'!UO11</f>
        <v>43.75</v>
      </c>
      <c r="UP12">
        <f>'Demand Stage 2'!UP11</f>
        <v>25</v>
      </c>
      <c r="UQ12">
        <f>'Demand Stage 2'!UQ11</f>
        <v>0</v>
      </c>
      <c r="UR12">
        <f>'Demand Stage 2'!UR11</f>
        <v>0</v>
      </c>
      <c r="US12">
        <f>'Demand Stage 2'!US11</f>
        <v>0</v>
      </c>
      <c r="UT12">
        <f>'Demand Stage 2'!UT11</f>
        <v>0</v>
      </c>
      <c r="UU12">
        <f>'Demand Stage 2'!UU11</f>
        <v>0</v>
      </c>
      <c r="UV12">
        <f>'Demand Stage 2'!UV11</f>
        <v>0</v>
      </c>
      <c r="UW12">
        <f>'Demand Stage 2'!UW11</f>
        <v>0</v>
      </c>
      <c r="UX12">
        <f>'Demand Stage 2'!UX11</f>
        <v>0</v>
      </c>
      <c r="UY12">
        <f>'Demand Stage 2'!UY11</f>
        <v>0</v>
      </c>
      <c r="UZ12">
        <f>'Demand Stage 2'!UZ11</f>
        <v>0</v>
      </c>
      <c r="VA12">
        <f>'Demand Stage 2'!VA11</f>
        <v>0</v>
      </c>
      <c r="VB12">
        <f>'Demand Stage 2'!VB11</f>
        <v>12.5</v>
      </c>
      <c r="VC12">
        <f>'Demand Stage 2'!VC11</f>
        <v>12.5</v>
      </c>
      <c r="VD12">
        <f>'Demand Stage 2'!VD11</f>
        <v>12.5</v>
      </c>
      <c r="VE12">
        <f>'Demand Stage 2'!VE11</f>
        <v>25</v>
      </c>
      <c r="VF12">
        <f>'Demand Stage 2'!VF11</f>
        <v>25</v>
      </c>
      <c r="VG12">
        <f>'Demand Stage 2'!VG11</f>
        <v>25</v>
      </c>
      <c r="VH12">
        <f>'Demand Stage 2'!VH11</f>
        <v>25</v>
      </c>
      <c r="VI12">
        <f>'Demand Stage 2'!VI11</f>
        <v>25</v>
      </c>
      <c r="VJ12">
        <f>'Demand Stage 2'!VJ11</f>
        <v>25</v>
      </c>
      <c r="VK12">
        <f>'Demand Stage 2'!VK11</f>
        <v>43.75</v>
      </c>
      <c r="VL12">
        <f>'Demand Stage 2'!VL11</f>
        <v>25</v>
      </c>
      <c r="VM12">
        <f>'Demand Stage 2'!VM11</f>
        <v>0</v>
      </c>
      <c r="VN12">
        <f>'Demand Stage 2'!VN11</f>
        <v>0</v>
      </c>
      <c r="VO12">
        <f>'Demand Stage 2'!VO11</f>
        <v>0</v>
      </c>
      <c r="VP12">
        <f>'Demand Stage 2'!VP11</f>
        <v>0</v>
      </c>
      <c r="VQ12">
        <f>'Demand Stage 2'!VQ11</f>
        <v>0</v>
      </c>
      <c r="VR12">
        <f>'Demand Stage 2'!VR11</f>
        <v>0</v>
      </c>
      <c r="VS12">
        <f>'Demand Stage 2'!VS11</f>
        <v>0</v>
      </c>
      <c r="VT12">
        <f>'Demand Stage 2'!VT11</f>
        <v>0</v>
      </c>
      <c r="VU12">
        <f>'Demand Stage 2'!VU11</f>
        <v>0</v>
      </c>
      <c r="VV12">
        <f>'Demand Stage 2'!VV11</f>
        <v>0</v>
      </c>
      <c r="VW12">
        <f>'Demand Stage 2'!VW11</f>
        <v>0</v>
      </c>
      <c r="VX12">
        <f>'Demand Stage 2'!VX11</f>
        <v>12.5</v>
      </c>
      <c r="VY12">
        <f>'Demand Stage 2'!VY11</f>
        <v>12.5</v>
      </c>
      <c r="VZ12">
        <f>'Demand Stage 2'!VZ11</f>
        <v>12.5</v>
      </c>
      <c r="WA12">
        <f>'Demand Stage 2'!WA11</f>
        <v>25</v>
      </c>
      <c r="WB12">
        <f>'Demand Stage 2'!WB11</f>
        <v>25</v>
      </c>
      <c r="WC12">
        <f>'Demand Stage 2'!WC11</f>
        <v>25</v>
      </c>
      <c r="WD12">
        <f>'Demand Stage 2'!WD11</f>
        <v>25</v>
      </c>
      <c r="WE12">
        <f>'Demand Stage 2'!WE11</f>
        <v>25</v>
      </c>
      <c r="WF12">
        <f>'Demand Stage 2'!WF11</f>
        <v>25</v>
      </c>
      <c r="WG12">
        <f>'Demand Stage 2'!WG11</f>
        <v>43.75</v>
      </c>
      <c r="WH12">
        <f>'Demand Stage 2'!WH11</f>
        <v>25</v>
      </c>
      <c r="WI12">
        <f>'Demand Stage 2'!WI11</f>
        <v>0</v>
      </c>
      <c r="WJ12">
        <f>'Demand Stage 2'!WJ11</f>
        <v>0</v>
      </c>
      <c r="WK12">
        <f>'Demand Stage 2'!WK11</f>
        <v>0</v>
      </c>
      <c r="WL12">
        <f>'Demand Stage 2'!WL11</f>
        <v>0</v>
      </c>
      <c r="WM12">
        <f>'Demand Stage 2'!WM11</f>
        <v>0</v>
      </c>
      <c r="WN12">
        <f>'Demand Stage 2'!WN11</f>
        <v>0</v>
      </c>
      <c r="WO12">
        <f>'Demand Stage 2'!WO11</f>
        <v>0</v>
      </c>
      <c r="WP12">
        <f>'Demand Stage 2'!WP11</f>
        <v>0</v>
      </c>
      <c r="WQ12">
        <f>'Demand Stage 2'!WQ11</f>
        <v>0</v>
      </c>
      <c r="WR12">
        <f>'Demand Stage 2'!WR11</f>
        <v>0</v>
      </c>
      <c r="WS12">
        <f>'Demand Stage 2'!WS11</f>
        <v>0</v>
      </c>
      <c r="WT12">
        <f>'Demand Stage 2'!WT11</f>
        <v>12.5</v>
      </c>
      <c r="WU12">
        <f>'Demand Stage 2'!WU11</f>
        <v>12.5</v>
      </c>
      <c r="WV12">
        <f>'Demand Stage 2'!WV11</f>
        <v>12.5</v>
      </c>
      <c r="WW12">
        <f>'Demand Stage 2'!WW11</f>
        <v>25</v>
      </c>
      <c r="WX12">
        <f>'Demand Stage 2'!WX11</f>
        <v>25</v>
      </c>
      <c r="WY12">
        <f>'Demand Stage 2'!WY11</f>
        <v>25</v>
      </c>
      <c r="WZ12">
        <f>'Demand Stage 2'!WZ11</f>
        <v>25</v>
      </c>
      <c r="XA12">
        <f>'Demand Stage 2'!XA11</f>
        <v>25</v>
      </c>
      <c r="XB12">
        <f>'Demand Stage 2'!XB11</f>
        <v>25</v>
      </c>
      <c r="XC12">
        <f>'Demand Stage 2'!XC11</f>
        <v>43.75</v>
      </c>
      <c r="XD12">
        <f>'Demand Stage 2'!XD11</f>
        <v>25</v>
      </c>
      <c r="XE12">
        <f>'Demand Stage 2'!XE11</f>
        <v>0</v>
      </c>
      <c r="XF12">
        <f>'Demand Stage 2'!XF11</f>
        <v>0</v>
      </c>
      <c r="XG12">
        <f>'Demand Stage 2'!XG11</f>
        <v>0</v>
      </c>
      <c r="XH12">
        <f>'Demand Stage 2'!XH11</f>
        <v>0</v>
      </c>
      <c r="XI12">
        <f>'Demand Stage 2'!XI11</f>
        <v>0</v>
      </c>
      <c r="XJ12">
        <f>'Demand Stage 2'!XJ11</f>
        <v>0</v>
      </c>
      <c r="XK12">
        <f>'Demand Stage 2'!XK11</f>
        <v>0</v>
      </c>
      <c r="XL12">
        <f>'Demand Stage 2'!XL11</f>
        <v>0</v>
      </c>
      <c r="XM12">
        <f>'Demand Stage 2'!XM11</f>
        <v>0</v>
      </c>
      <c r="XN12">
        <f>'Demand Stage 2'!XN11</f>
        <v>0</v>
      </c>
      <c r="XO12">
        <f>'Demand Stage 2'!XO11</f>
        <v>0</v>
      </c>
      <c r="XP12">
        <f>'Demand Stage 2'!XP11</f>
        <v>12.5</v>
      </c>
      <c r="XQ12">
        <f>'Demand Stage 2'!XQ11</f>
        <v>12.5</v>
      </c>
      <c r="XR12">
        <f>'Demand Stage 2'!XR11</f>
        <v>12.5</v>
      </c>
      <c r="XS12">
        <f>'Demand Stage 2'!XS11</f>
        <v>25</v>
      </c>
      <c r="XT12">
        <f>'Demand Stage 2'!XT11</f>
        <v>25</v>
      </c>
      <c r="XU12">
        <f>'Demand Stage 2'!XU11</f>
        <v>25</v>
      </c>
      <c r="XV12">
        <f>'Demand Stage 2'!XV11</f>
        <v>25</v>
      </c>
      <c r="XW12">
        <f>'Demand Stage 2'!XW11</f>
        <v>25</v>
      </c>
      <c r="XX12">
        <f>'Demand Stage 2'!XX11</f>
        <v>25</v>
      </c>
      <c r="XY12">
        <f>'Demand Stage 2'!XY11</f>
        <v>43.75</v>
      </c>
      <c r="XZ12">
        <f>'Demand Stage 2'!XZ11</f>
        <v>25</v>
      </c>
      <c r="YA12">
        <f>'Demand Stage 2'!YA11</f>
        <v>0</v>
      </c>
      <c r="YB12">
        <f>'Demand Stage 2'!YB11</f>
        <v>0</v>
      </c>
      <c r="YC12">
        <f>'Demand Stage 2'!YC11</f>
        <v>0</v>
      </c>
      <c r="YD12">
        <f>'Demand Stage 2'!YD11</f>
        <v>0</v>
      </c>
      <c r="YE12">
        <f>'Demand Stage 2'!YE11</f>
        <v>0</v>
      </c>
      <c r="YF12">
        <f>'Demand Stage 2'!YF11</f>
        <v>0</v>
      </c>
      <c r="YG12">
        <f>'Demand Stage 2'!YG11</f>
        <v>0</v>
      </c>
      <c r="YH12">
        <f>'Demand Stage 2'!YH11</f>
        <v>0</v>
      </c>
      <c r="YI12">
        <f>'Demand Stage 2'!YI11</f>
        <v>0</v>
      </c>
      <c r="YJ12">
        <f>'Demand Stage 2'!YJ11</f>
        <v>0</v>
      </c>
      <c r="YK12">
        <f>'Demand Stage 2'!YK11</f>
        <v>0</v>
      </c>
      <c r="YL12">
        <f>'Demand Stage 2'!YL11</f>
        <v>12.5</v>
      </c>
      <c r="YM12">
        <f>'Demand Stage 2'!YM11</f>
        <v>12.5</v>
      </c>
      <c r="YN12">
        <f>'Demand Stage 2'!YN11</f>
        <v>12.5</v>
      </c>
      <c r="YO12">
        <f>'Demand Stage 2'!YO11</f>
        <v>25</v>
      </c>
      <c r="YP12">
        <f>'Demand Stage 2'!YP11</f>
        <v>25</v>
      </c>
      <c r="YQ12">
        <f>'Demand Stage 2'!YQ11</f>
        <v>25</v>
      </c>
      <c r="YR12">
        <f>'Demand Stage 2'!YR11</f>
        <v>25</v>
      </c>
      <c r="YS12">
        <f>'Demand Stage 2'!YS11</f>
        <v>25</v>
      </c>
      <c r="YT12">
        <f>'Demand Stage 2'!YT11</f>
        <v>25</v>
      </c>
      <c r="YU12">
        <f>'Demand Stage 2'!YU11</f>
        <v>43.75</v>
      </c>
      <c r="YV12">
        <f>'Demand Stage 2'!YV11</f>
        <v>25</v>
      </c>
      <c r="YW12">
        <f>'Demand Stage 2'!YW11</f>
        <v>0</v>
      </c>
      <c r="YX12">
        <f>'Demand Stage 2'!YX11</f>
        <v>0</v>
      </c>
      <c r="YY12">
        <f>'Demand Stage 2'!YY11</f>
        <v>0</v>
      </c>
      <c r="YZ12">
        <f>'Demand Stage 2'!YZ11</f>
        <v>0</v>
      </c>
      <c r="ZA12">
        <f>'Demand Stage 2'!ZA11</f>
        <v>0</v>
      </c>
      <c r="ZB12">
        <f>'Demand Stage 2'!ZB11</f>
        <v>0</v>
      </c>
      <c r="ZC12">
        <f>'Demand Stage 2'!ZC11</f>
        <v>0</v>
      </c>
      <c r="ZD12">
        <f>'Demand Stage 2'!ZD11</f>
        <v>0</v>
      </c>
      <c r="ZE12">
        <f>'Demand Stage 2'!ZE11</f>
        <v>0</v>
      </c>
      <c r="ZF12">
        <f>'Demand Stage 2'!ZF11</f>
        <v>0</v>
      </c>
      <c r="ZG12">
        <f>'Demand Stage 2'!ZG11</f>
        <v>0</v>
      </c>
      <c r="ZH12">
        <f>'Demand Stage 2'!ZH11</f>
        <v>12.5</v>
      </c>
      <c r="ZI12">
        <f>'Demand Stage 2'!ZI11</f>
        <v>12.5</v>
      </c>
      <c r="ZJ12">
        <f>'Demand Stage 2'!ZJ11</f>
        <v>12.5</v>
      </c>
      <c r="ZK12">
        <f>'Demand Stage 2'!ZK11</f>
        <v>25</v>
      </c>
      <c r="ZL12">
        <f>'Demand Stage 2'!ZL11</f>
        <v>25</v>
      </c>
      <c r="ZM12">
        <f>'Demand Stage 2'!ZM11</f>
        <v>25</v>
      </c>
      <c r="ZN12">
        <f>'Demand Stage 2'!ZN11</f>
        <v>25</v>
      </c>
      <c r="ZO12">
        <f>'Demand Stage 2'!ZO11</f>
        <v>25</v>
      </c>
      <c r="ZP12">
        <f>'Demand Stage 2'!ZP11</f>
        <v>25</v>
      </c>
      <c r="ZQ12">
        <f>'Demand Stage 2'!ZQ11</f>
        <v>43.75</v>
      </c>
      <c r="ZR12">
        <f>'Demand Stage 2'!ZR11</f>
        <v>25</v>
      </c>
      <c r="ZS12">
        <f>'Demand Stage 2'!ZS11</f>
        <v>0</v>
      </c>
      <c r="ZT12">
        <f>'Demand Stage 2'!ZT11</f>
        <v>0</v>
      </c>
      <c r="ZU12">
        <f>'Demand Stage 2'!ZU11</f>
        <v>0</v>
      </c>
      <c r="ZV12">
        <f>'Demand Stage 2'!ZV11</f>
        <v>0</v>
      </c>
      <c r="ZW12">
        <f>'Demand Stage 2'!ZW11</f>
        <v>0</v>
      </c>
      <c r="ZX12">
        <f>'Demand Stage 2'!ZX11</f>
        <v>0</v>
      </c>
      <c r="ZY12">
        <f>'Demand Stage 2'!ZY11</f>
        <v>0</v>
      </c>
      <c r="ZZ12">
        <f>'Demand Stage 2'!ZZ11</f>
        <v>0</v>
      </c>
      <c r="AAA12">
        <f>'Demand Stage 2'!AAA11</f>
        <v>0</v>
      </c>
      <c r="AAB12">
        <f>'Demand Stage 2'!AAB11</f>
        <v>0</v>
      </c>
      <c r="AAC12">
        <f>'Demand Stage 2'!AAC11</f>
        <v>0</v>
      </c>
      <c r="AAD12">
        <f t="shared" si="33"/>
        <v>12.5</v>
      </c>
      <c r="AAE12">
        <f t="shared" si="66"/>
        <v>12.5</v>
      </c>
      <c r="AAF12">
        <f t="shared" si="67"/>
        <v>12.5</v>
      </c>
      <c r="AAG12">
        <f t="shared" si="68"/>
        <v>25</v>
      </c>
      <c r="AAH12">
        <f t="shared" si="69"/>
        <v>25</v>
      </c>
      <c r="AAI12">
        <f t="shared" si="70"/>
        <v>25</v>
      </c>
      <c r="AAJ12">
        <f t="shared" si="71"/>
        <v>25</v>
      </c>
      <c r="AAK12">
        <f t="shared" si="72"/>
        <v>25</v>
      </c>
      <c r="AAL12">
        <f t="shared" si="73"/>
        <v>25</v>
      </c>
      <c r="AAM12">
        <f t="shared" si="74"/>
        <v>43.75</v>
      </c>
      <c r="AAN12">
        <f t="shared" si="75"/>
        <v>25</v>
      </c>
      <c r="AAO12">
        <f t="shared" si="76"/>
        <v>0</v>
      </c>
      <c r="AAP12">
        <f t="shared" si="77"/>
        <v>0</v>
      </c>
      <c r="AAQ12">
        <f t="shared" si="78"/>
        <v>0</v>
      </c>
      <c r="AAR12">
        <f t="shared" si="79"/>
        <v>0</v>
      </c>
      <c r="AAS12">
        <f t="shared" si="80"/>
        <v>0</v>
      </c>
      <c r="AAT12">
        <f t="shared" si="81"/>
        <v>0</v>
      </c>
      <c r="AAU12">
        <f t="shared" si="82"/>
        <v>0</v>
      </c>
      <c r="AAV12">
        <f t="shared" si="83"/>
        <v>0</v>
      </c>
      <c r="AAW12">
        <f t="shared" si="84"/>
        <v>0</v>
      </c>
      <c r="AAX12">
        <f t="shared" si="85"/>
        <v>0</v>
      </c>
      <c r="AAY12">
        <f t="shared" si="86"/>
        <v>0</v>
      </c>
      <c r="AAZ12">
        <f t="shared" si="87"/>
        <v>12.5</v>
      </c>
      <c r="ABA12">
        <f t="shared" si="88"/>
        <v>12.5</v>
      </c>
      <c r="ABB12">
        <f t="shared" si="89"/>
        <v>12.5</v>
      </c>
      <c r="ABC12">
        <f t="shared" si="90"/>
        <v>25</v>
      </c>
      <c r="ABD12">
        <f t="shared" si="91"/>
        <v>25</v>
      </c>
      <c r="ABE12">
        <f t="shared" si="92"/>
        <v>25</v>
      </c>
      <c r="ABF12">
        <f t="shared" si="93"/>
        <v>25</v>
      </c>
      <c r="ABG12">
        <f t="shared" si="94"/>
        <v>25</v>
      </c>
      <c r="ABH12">
        <f t="shared" si="95"/>
        <v>25</v>
      </c>
      <c r="ABI12">
        <f t="shared" si="96"/>
        <v>43.75</v>
      </c>
      <c r="ABJ12">
        <f t="shared" si="97"/>
        <v>25</v>
      </c>
      <c r="ABK12">
        <f t="shared" si="98"/>
        <v>0</v>
      </c>
      <c r="ABL12">
        <f t="shared" si="99"/>
        <v>0</v>
      </c>
      <c r="ABM12">
        <f t="shared" si="100"/>
        <v>0</v>
      </c>
      <c r="ABN12">
        <f t="shared" si="101"/>
        <v>0</v>
      </c>
      <c r="ABO12">
        <f t="shared" si="102"/>
        <v>0</v>
      </c>
      <c r="ABP12">
        <f t="shared" si="103"/>
        <v>0</v>
      </c>
      <c r="ABQ12">
        <f t="shared" si="104"/>
        <v>0</v>
      </c>
      <c r="ABR12">
        <f t="shared" si="105"/>
        <v>0</v>
      </c>
      <c r="ABS12">
        <f t="shared" si="106"/>
        <v>0</v>
      </c>
      <c r="ABT12">
        <f t="shared" si="107"/>
        <v>0</v>
      </c>
      <c r="ABU12">
        <f t="shared" si="108"/>
        <v>0</v>
      </c>
      <c r="ABV12">
        <f t="shared" si="109"/>
        <v>12.5</v>
      </c>
      <c r="ABW12">
        <f t="shared" si="110"/>
        <v>12.5</v>
      </c>
      <c r="ABX12">
        <f t="shared" si="111"/>
        <v>12.5</v>
      </c>
      <c r="ABY12">
        <f t="shared" si="112"/>
        <v>25</v>
      </c>
      <c r="ABZ12">
        <f t="shared" si="113"/>
        <v>25</v>
      </c>
      <c r="ACA12">
        <f t="shared" si="114"/>
        <v>25</v>
      </c>
      <c r="ACB12">
        <f t="shared" si="115"/>
        <v>25</v>
      </c>
      <c r="ACC12">
        <f t="shared" si="116"/>
        <v>25</v>
      </c>
      <c r="ACD12">
        <f t="shared" si="117"/>
        <v>25</v>
      </c>
      <c r="ACE12">
        <f t="shared" si="118"/>
        <v>43.75</v>
      </c>
      <c r="ACF12">
        <f t="shared" si="119"/>
        <v>25</v>
      </c>
      <c r="ACG12">
        <f t="shared" si="120"/>
        <v>0</v>
      </c>
      <c r="ACH12">
        <f t="shared" si="121"/>
        <v>0</v>
      </c>
      <c r="ACI12">
        <f t="shared" si="122"/>
        <v>0</v>
      </c>
      <c r="ACJ12">
        <f t="shared" si="123"/>
        <v>0</v>
      </c>
      <c r="ACK12">
        <f t="shared" si="124"/>
        <v>0</v>
      </c>
      <c r="ACL12">
        <f t="shared" si="125"/>
        <v>0</v>
      </c>
      <c r="ACM12">
        <f t="shared" si="126"/>
        <v>0</v>
      </c>
      <c r="ACN12">
        <f t="shared" si="127"/>
        <v>0</v>
      </c>
      <c r="ACO12">
        <f t="shared" si="128"/>
        <v>0</v>
      </c>
      <c r="ACP12">
        <f t="shared" si="34"/>
        <v>0</v>
      </c>
      <c r="ACQ12">
        <f t="shared" si="129"/>
        <v>0</v>
      </c>
      <c r="ACR12">
        <f t="shared" si="130"/>
        <v>12.5</v>
      </c>
      <c r="ACS12">
        <f t="shared" si="131"/>
        <v>12.5</v>
      </c>
      <c r="ACT12">
        <f t="shared" si="132"/>
        <v>12.5</v>
      </c>
      <c r="ACU12">
        <f t="shared" si="133"/>
        <v>25</v>
      </c>
      <c r="ACV12">
        <f t="shared" si="134"/>
        <v>25</v>
      </c>
      <c r="ACW12">
        <f t="shared" si="135"/>
        <v>25</v>
      </c>
      <c r="ACX12">
        <f t="shared" si="136"/>
        <v>25</v>
      </c>
      <c r="ACY12">
        <f t="shared" si="137"/>
        <v>25</v>
      </c>
      <c r="ACZ12">
        <f t="shared" si="138"/>
        <v>25</v>
      </c>
      <c r="ADA12">
        <f t="shared" si="139"/>
        <v>43.75</v>
      </c>
      <c r="ADB12">
        <f t="shared" si="140"/>
        <v>25</v>
      </c>
      <c r="ADC12">
        <f t="shared" si="141"/>
        <v>0</v>
      </c>
      <c r="ADD12">
        <f t="shared" si="142"/>
        <v>0</v>
      </c>
      <c r="ADE12">
        <f t="shared" si="143"/>
        <v>0</v>
      </c>
      <c r="ADF12">
        <f t="shared" si="144"/>
        <v>0</v>
      </c>
      <c r="ADG12">
        <f t="shared" si="145"/>
        <v>0</v>
      </c>
      <c r="ADH12">
        <f t="shared" si="146"/>
        <v>0</v>
      </c>
      <c r="ADI12">
        <f t="shared" si="147"/>
        <v>0</v>
      </c>
      <c r="ADJ12">
        <f t="shared" si="148"/>
        <v>0</v>
      </c>
      <c r="ADK12">
        <f t="shared" si="149"/>
        <v>0</v>
      </c>
      <c r="ADL12">
        <f t="shared" si="150"/>
        <v>0</v>
      </c>
      <c r="ADM12">
        <f t="shared" si="151"/>
        <v>0</v>
      </c>
      <c r="ADN12">
        <f t="shared" si="152"/>
        <v>12.5</v>
      </c>
      <c r="ADO12">
        <f t="shared" si="153"/>
        <v>12.5</v>
      </c>
      <c r="ADP12">
        <f t="shared" si="154"/>
        <v>12.5</v>
      </c>
      <c r="ADQ12">
        <f t="shared" si="155"/>
        <v>25</v>
      </c>
      <c r="ADR12">
        <f t="shared" si="156"/>
        <v>25</v>
      </c>
      <c r="ADS12">
        <f t="shared" si="157"/>
        <v>25</v>
      </c>
      <c r="ADT12">
        <f t="shared" si="158"/>
        <v>25</v>
      </c>
      <c r="ADU12">
        <f t="shared" si="159"/>
        <v>25</v>
      </c>
      <c r="ADV12">
        <f t="shared" si="160"/>
        <v>25</v>
      </c>
      <c r="ADW12">
        <f t="shared" si="161"/>
        <v>43.75</v>
      </c>
      <c r="ADX12">
        <f t="shared" si="162"/>
        <v>25</v>
      </c>
      <c r="ADY12">
        <f t="shared" si="163"/>
        <v>0</v>
      </c>
      <c r="ADZ12">
        <f t="shared" si="164"/>
        <v>0</v>
      </c>
      <c r="AEA12">
        <f t="shared" si="165"/>
        <v>0</v>
      </c>
      <c r="AEB12">
        <f t="shared" si="166"/>
        <v>0</v>
      </c>
      <c r="AEC12">
        <f t="shared" si="167"/>
        <v>0</v>
      </c>
      <c r="AED12">
        <f t="shared" si="168"/>
        <v>0</v>
      </c>
      <c r="AEE12">
        <f t="shared" si="169"/>
        <v>0</v>
      </c>
      <c r="AEF12">
        <f t="shared" si="170"/>
        <v>0</v>
      </c>
      <c r="AEG12">
        <f t="shared" si="171"/>
        <v>0</v>
      </c>
      <c r="AEH12">
        <f t="shared" si="172"/>
        <v>0</v>
      </c>
      <c r="AEI12">
        <f t="shared" si="173"/>
        <v>0</v>
      </c>
      <c r="AEJ12">
        <f t="shared" si="174"/>
        <v>12.5</v>
      </c>
      <c r="AEK12">
        <f t="shared" si="175"/>
        <v>12.5</v>
      </c>
      <c r="AEL12">
        <f t="shared" si="176"/>
        <v>12.5</v>
      </c>
      <c r="AEM12">
        <f t="shared" si="177"/>
        <v>25</v>
      </c>
      <c r="AEN12">
        <f t="shared" si="178"/>
        <v>25</v>
      </c>
      <c r="AEO12">
        <f t="shared" si="179"/>
        <v>25</v>
      </c>
      <c r="AEP12">
        <f t="shared" si="180"/>
        <v>25</v>
      </c>
      <c r="AEQ12">
        <f t="shared" si="181"/>
        <v>25</v>
      </c>
      <c r="AER12">
        <f t="shared" si="182"/>
        <v>25</v>
      </c>
      <c r="AES12">
        <f t="shared" si="183"/>
        <v>43.75</v>
      </c>
      <c r="AET12">
        <f t="shared" si="184"/>
        <v>25</v>
      </c>
      <c r="AEU12">
        <f t="shared" si="185"/>
        <v>0</v>
      </c>
      <c r="AEV12">
        <f t="shared" si="186"/>
        <v>0</v>
      </c>
      <c r="AEW12">
        <f t="shared" si="187"/>
        <v>0</v>
      </c>
      <c r="AEX12">
        <f t="shared" si="188"/>
        <v>0</v>
      </c>
      <c r="AEY12">
        <f t="shared" si="189"/>
        <v>0</v>
      </c>
      <c r="AEZ12">
        <f t="shared" si="190"/>
        <v>0</v>
      </c>
      <c r="AFA12">
        <f t="shared" si="191"/>
        <v>0</v>
      </c>
      <c r="AFB12">
        <f t="shared" si="35"/>
        <v>0</v>
      </c>
      <c r="AFC12">
        <f t="shared" si="192"/>
        <v>0</v>
      </c>
      <c r="AFD12">
        <f t="shared" si="193"/>
        <v>0</v>
      </c>
      <c r="AFE12">
        <f t="shared" si="194"/>
        <v>0</v>
      </c>
      <c r="AFF12">
        <f t="shared" si="195"/>
        <v>12.5</v>
      </c>
      <c r="AFG12">
        <f t="shared" si="196"/>
        <v>12.5</v>
      </c>
      <c r="AFH12">
        <f t="shared" si="197"/>
        <v>12.5</v>
      </c>
      <c r="AFI12">
        <f t="shared" si="198"/>
        <v>25</v>
      </c>
      <c r="AFJ12">
        <f t="shared" si="199"/>
        <v>25</v>
      </c>
      <c r="AFK12">
        <f t="shared" si="200"/>
        <v>25</v>
      </c>
      <c r="AFL12">
        <f t="shared" si="201"/>
        <v>25</v>
      </c>
      <c r="AFM12">
        <f t="shared" si="202"/>
        <v>25</v>
      </c>
      <c r="AFN12">
        <f t="shared" si="203"/>
        <v>25</v>
      </c>
      <c r="AFO12">
        <f t="shared" si="204"/>
        <v>43.75</v>
      </c>
      <c r="AFP12">
        <f t="shared" si="205"/>
        <v>25</v>
      </c>
      <c r="AFQ12">
        <f t="shared" si="206"/>
        <v>0</v>
      </c>
      <c r="AFR12">
        <f t="shared" si="207"/>
        <v>0</v>
      </c>
      <c r="AFS12">
        <f t="shared" si="208"/>
        <v>0</v>
      </c>
      <c r="AFT12">
        <f t="shared" si="209"/>
        <v>0</v>
      </c>
      <c r="AFU12">
        <f t="shared" si="210"/>
        <v>0</v>
      </c>
      <c r="AFV12">
        <f t="shared" si="211"/>
        <v>0</v>
      </c>
      <c r="AFW12">
        <f t="shared" si="212"/>
        <v>0</v>
      </c>
      <c r="AFX12">
        <f t="shared" si="213"/>
        <v>0</v>
      </c>
      <c r="AFY12">
        <f t="shared" si="214"/>
        <v>0</v>
      </c>
      <c r="AFZ12">
        <f t="shared" si="215"/>
        <v>0</v>
      </c>
      <c r="AGA12">
        <f t="shared" si="216"/>
        <v>0</v>
      </c>
      <c r="AGB12">
        <f t="shared" si="217"/>
        <v>12.5</v>
      </c>
      <c r="AGC12">
        <f t="shared" si="218"/>
        <v>12.5</v>
      </c>
      <c r="AGD12">
        <f t="shared" si="219"/>
        <v>12.5</v>
      </c>
      <c r="AGE12">
        <f t="shared" si="220"/>
        <v>25</v>
      </c>
      <c r="AGF12">
        <f t="shared" si="221"/>
        <v>25</v>
      </c>
      <c r="AGG12">
        <f t="shared" si="222"/>
        <v>25</v>
      </c>
      <c r="AGH12">
        <f t="shared" si="223"/>
        <v>25</v>
      </c>
      <c r="AGI12">
        <f t="shared" si="224"/>
        <v>25</v>
      </c>
      <c r="AGJ12">
        <f t="shared" si="225"/>
        <v>25</v>
      </c>
      <c r="AGK12">
        <f t="shared" si="226"/>
        <v>43.75</v>
      </c>
      <c r="AGL12">
        <f t="shared" si="227"/>
        <v>25</v>
      </c>
      <c r="AGM12">
        <f t="shared" si="228"/>
        <v>0</v>
      </c>
      <c r="AGN12">
        <f t="shared" si="229"/>
        <v>0</v>
      </c>
      <c r="AGO12">
        <f t="shared" si="230"/>
        <v>0</v>
      </c>
      <c r="AGP12">
        <f t="shared" si="231"/>
        <v>0</v>
      </c>
      <c r="AGQ12">
        <f t="shared" si="232"/>
        <v>0</v>
      </c>
      <c r="AGR12">
        <f t="shared" si="233"/>
        <v>0</v>
      </c>
      <c r="AGS12">
        <f t="shared" si="234"/>
        <v>0</v>
      </c>
      <c r="AGT12">
        <f t="shared" si="235"/>
        <v>0</v>
      </c>
      <c r="AGU12">
        <f t="shared" si="236"/>
        <v>0</v>
      </c>
      <c r="AGV12">
        <f t="shared" si="237"/>
        <v>0</v>
      </c>
      <c r="AGW12">
        <f t="shared" si="238"/>
        <v>0</v>
      </c>
      <c r="AGX12">
        <f t="shared" si="239"/>
        <v>12.5</v>
      </c>
      <c r="AGY12">
        <f t="shared" si="240"/>
        <v>12.5</v>
      </c>
      <c r="AGZ12">
        <f t="shared" si="241"/>
        <v>12.5</v>
      </c>
      <c r="AHA12">
        <f t="shared" si="242"/>
        <v>25</v>
      </c>
      <c r="AHB12">
        <f t="shared" si="243"/>
        <v>25</v>
      </c>
      <c r="AHC12">
        <f t="shared" si="244"/>
        <v>25</v>
      </c>
      <c r="AHD12">
        <f t="shared" si="245"/>
        <v>25</v>
      </c>
      <c r="AHE12">
        <f t="shared" si="246"/>
        <v>25</v>
      </c>
      <c r="AHF12">
        <f t="shared" si="247"/>
        <v>25</v>
      </c>
      <c r="AHG12">
        <f t="shared" si="248"/>
        <v>43.75</v>
      </c>
      <c r="AHH12">
        <f t="shared" si="249"/>
        <v>25</v>
      </c>
      <c r="AHI12">
        <f t="shared" si="250"/>
        <v>0</v>
      </c>
      <c r="AHJ12">
        <f t="shared" si="251"/>
        <v>0</v>
      </c>
      <c r="AHK12">
        <f t="shared" si="252"/>
        <v>0</v>
      </c>
      <c r="AHL12">
        <f t="shared" si="253"/>
        <v>0</v>
      </c>
      <c r="AHM12">
        <f t="shared" si="254"/>
        <v>0</v>
      </c>
      <c r="AHN12">
        <f t="shared" si="36"/>
        <v>0</v>
      </c>
      <c r="AHO12">
        <f t="shared" si="255"/>
        <v>0</v>
      </c>
      <c r="AHP12">
        <f t="shared" si="256"/>
        <v>0</v>
      </c>
      <c r="AHQ12">
        <f t="shared" si="257"/>
        <v>0</v>
      </c>
      <c r="AHR12">
        <f t="shared" si="258"/>
        <v>0</v>
      </c>
      <c r="AHS12">
        <f t="shared" si="259"/>
        <v>0</v>
      </c>
      <c r="AHT12">
        <f t="shared" si="260"/>
        <v>12.5</v>
      </c>
      <c r="AHU12">
        <f t="shared" si="261"/>
        <v>12.5</v>
      </c>
      <c r="AHV12">
        <f t="shared" si="262"/>
        <v>12.5</v>
      </c>
      <c r="AHW12">
        <f t="shared" si="263"/>
        <v>25</v>
      </c>
      <c r="AHX12">
        <f t="shared" si="264"/>
        <v>25</v>
      </c>
      <c r="AHY12">
        <f t="shared" si="265"/>
        <v>25</v>
      </c>
      <c r="AHZ12">
        <f t="shared" si="266"/>
        <v>25</v>
      </c>
      <c r="AIA12">
        <f t="shared" si="267"/>
        <v>25</v>
      </c>
      <c r="AIB12">
        <f t="shared" si="268"/>
        <v>25</v>
      </c>
      <c r="AIC12">
        <f t="shared" si="269"/>
        <v>43.75</v>
      </c>
      <c r="AID12">
        <f t="shared" si="270"/>
        <v>25</v>
      </c>
      <c r="AIE12">
        <f t="shared" si="271"/>
        <v>0</v>
      </c>
      <c r="AIF12">
        <f t="shared" si="272"/>
        <v>0</v>
      </c>
      <c r="AIG12">
        <f t="shared" si="273"/>
        <v>0</v>
      </c>
      <c r="AIH12">
        <f t="shared" si="274"/>
        <v>0</v>
      </c>
      <c r="AII12">
        <f t="shared" si="275"/>
        <v>0</v>
      </c>
      <c r="AIJ12">
        <f t="shared" si="276"/>
        <v>0</v>
      </c>
      <c r="AIK12">
        <f t="shared" si="277"/>
        <v>0</v>
      </c>
      <c r="AIL12">
        <f t="shared" si="278"/>
        <v>0</v>
      </c>
      <c r="AIM12">
        <f t="shared" si="279"/>
        <v>0</v>
      </c>
      <c r="AIN12">
        <f t="shared" si="280"/>
        <v>0</v>
      </c>
      <c r="AIO12">
        <f t="shared" si="281"/>
        <v>0</v>
      </c>
      <c r="AIP12">
        <f t="shared" si="282"/>
        <v>12.5</v>
      </c>
      <c r="AIQ12">
        <f t="shared" si="283"/>
        <v>12.5</v>
      </c>
      <c r="AIR12">
        <f t="shared" si="284"/>
        <v>12.5</v>
      </c>
      <c r="AIS12">
        <f t="shared" si="285"/>
        <v>25</v>
      </c>
      <c r="AIT12">
        <f t="shared" si="286"/>
        <v>25</v>
      </c>
      <c r="AIU12">
        <f t="shared" si="287"/>
        <v>25</v>
      </c>
      <c r="AIV12">
        <f t="shared" si="288"/>
        <v>25</v>
      </c>
      <c r="AIW12">
        <f t="shared" si="289"/>
        <v>25</v>
      </c>
      <c r="AIX12">
        <f t="shared" si="290"/>
        <v>25</v>
      </c>
      <c r="AIY12">
        <f t="shared" si="291"/>
        <v>43.75</v>
      </c>
      <c r="AIZ12">
        <f t="shared" si="292"/>
        <v>25</v>
      </c>
      <c r="AJA12">
        <f t="shared" si="293"/>
        <v>0</v>
      </c>
      <c r="AJB12">
        <f t="shared" si="294"/>
        <v>0</v>
      </c>
      <c r="AJC12">
        <f t="shared" si="295"/>
        <v>0</v>
      </c>
      <c r="AJD12">
        <f t="shared" si="296"/>
        <v>0</v>
      </c>
      <c r="AJE12">
        <f t="shared" si="297"/>
        <v>0</v>
      </c>
      <c r="AJF12">
        <f t="shared" si="298"/>
        <v>0</v>
      </c>
      <c r="AJG12">
        <f t="shared" si="299"/>
        <v>0</v>
      </c>
      <c r="AJH12">
        <f t="shared" si="300"/>
        <v>0</v>
      </c>
      <c r="AJI12">
        <f t="shared" si="301"/>
        <v>0</v>
      </c>
      <c r="AJJ12">
        <f t="shared" si="302"/>
        <v>0</v>
      </c>
      <c r="AJK12">
        <f t="shared" si="303"/>
        <v>0</v>
      </c>
      <c r="AJL12">
        <f t="shared" si="304"/>
        <v>12.5</v>
      </c>
      <c r="AJM12">
        <f t="shared" si="305"/>
        <v>12.5</v>
      </c>
      <c r="AJN12">
        <f t="shared" si="306"/>
        <v>12.5</v>
      </c>
      <c r="AJO12">
        <f t="shared" si="307"/>
        <v>25</v>
      </c>
      <c r="AJP12">
        <f t="shared" si="308"/>
        <v>25</v>
      </c>
      <c r="AJQ12">
        <f t="shared" si="309"/>
        <v>25</v>
      </c>
      <c r="AJR12">
        <f t="shared" si="310"/>
        <v>25</v>
      </c>
      <c r="AJS12">
        <f t="shared" si="311"/>
        <v>25</v>
      </c>
      <c r="AJT12">
        <f t="shared" si="312"/>
        <v>25</v>
      </c>
      <c r="AJU12">
        <f t="shared" si="313"/>
        <v>43.75</v>
      </c>
      <c r="AJV12">
        <f t="shared" si="314"/>
        <v>25</v>
      </c>
      <c r="AJW12">
        <f t="shared" si="315"/>
        <v>0</v>
      </c>
      <c r="AJX12">
        <f t="shared" si="316"/>
        <v>0</v>
      </c>
      <c r="AJY12">
        <f t="shared" si="317"/>
        <v>0</v>
      </c>
      <c r="AJZ12">
        <f t="shared" si="37"/>
        <v>0</v>
      </c>
      <c r="AKA12">
        <f t="shared" si="318"/>
        <v>0</v>
      </c>
      <c r="AKB12">
        <f t="shared" si="319"/>
        <v>0</v>
      </c>
      <c r="AKC12">
        <f t="shared" si="320"/>
        <v>0</v>
      </c>
      <c r="AKD12">
        <f t="shared" si="321"/>
        <v>0</v>
      </c>
      <c r="AKE12">
        <f t="shared" si="322"/>
        <v>0</v>
      </c>
      <c r="AKF12">
        <f t="shared" si="323"/>
        <v>0</v>
      </c>
      <c r="AKG12">
        <f t="shared" si="324"/>
        <v>0</v>
      </c>
      <c r="AKH12">
        <f t="shared" si="325"/>
        <v>12.5</v>
      </c>
      <c r="AKI12">
        <f t="shared" si="326"/>
        <v>12.5</v>
      </c>
      <c r="AKJ12">
        <f t="shared" si="327"/>
        <v>12.5</v>
      </c>
      <c r="AKK12">
        <f t="shared" si="328"/>
        <v>25</v>
      </c>
      <c r="AKL12">
        <f t="shared" si="329"/>
        <v>25</v>
      </c>
      <c r="AKM12">
        <f t="shared" si="330"/>
        <v>25</v>
      </c>
      <c r="AKN12">
        <f t="shared" si="331"/>
        <v>25</v>
      </c>
      <c r="AKO12">
        <f t="shared" si="332"/>
        <v>25</v>
      </c>
      <c r="AKP12">
        <f t="shared" si="333"/>
        <v>25</v>
      </c>
      <c r="AKQ12">
        <f t="shared" si="334"/>
        <v>43.75</v>
      </c>
      <c r="AKR12">
        <f t="shared" si="335"/>
        <v>25</v>
      </c>
      <c r="AKS12">
        <f t="shared" si="336"/>
        <v>0</v>
      </c>
      <c r="AKT12">
        <f t="shared" si="337"/>
        <v>0</v>
      </c>
      <c r="AKU12">
        <f t="shared" si="338"/>
        <v>0</v>
      </c>
      <c r="AKV12">
        <f t="shared" si="339"/>
        <v>0</v>
      </c>
      <c r="AKW12">
        <f t="shared" si="340"/>
        <v>0</v>
      </c>
      <c r="AKX12">
        <f t="shared" si="341"/>
        <v>0</v>
      </c>
      <c r="AKY12">
        <f t="shared" si="342"/>
        <v>0</v>
      </c>
      <c r="AKZ12">
        <f t="shared" si="343"/>
        <v>0</v>
      </c>
      <c r="ALA12">
        <f t="shared" si="344"/>
        <v>0</v>
      </c>
      <c r="ALB12">
        <f t="shared" si="345"/>
        <v>0</v>
      </c>
      <c r="ALC12">
        <f t="shared" si="346"/>
        <v>0</v>
      </c>
      <c r="ALD12">
        <f t="shared" si="347"/>
        <v>12.5</v>
      </c>
      <c r="ALE12">
        <f t="shared" si="348"/>
        <v>12.5</v>
      </c>
      <c r="ALF12">
        <f t="shared" si="349"/>
        <v>12.5</v>
      </c>
      <c r="ALG12">
        <f t="shared" si="350"/>
        <v>25</v>
      </c>
      <c r="ALH12">
        <f t="shared" si="351"/>
        <v>25</v>
      </c>
      <c r="ALI12">
        <f t="shared" si="352"/>
        <v>25</v>
      </c>
      <c r="ALJ12">
        <f t="shared" si="353"/>
        <v>25</v>
      </c>
      <c r="ALK12">
        <f t="shared" si="354"/>
        <v>25</v>
      </c>
      <c r="ALL12">
        <f t="shared" si="355"/>
        <v>25</v>
      </c>
      <c r="ALM12">
        <f t="shared" si="356"/>
        <v>43.75</v>
      </c>
      <c r="ALN12">
        <f t="shared" si="357"/>
        <v>25</v>
      </c>
      <c r="ALO12">
        <f t="shared" si="358"/>
        <v>0</v>
      </c>
      <c r="ALP12">
        <f t="shared" si="359"/>
        <v>0</v>
      </c>
      <c r="ALQ12">
        <f t="shared" si="360"/>
        <v>0</v>
      </c>
      <c r="ALR12">
        <f t="shared" si="361"/>
        <v>0</v>
      </c>
      <c r="ALS12">
        <f t="shared" si="362"/>
        <v>0</v>
      </c>
      <c r="ALT12">
        <f t="shared" si="363"/>
        <v>0</v>
      </c>
      <c r="ALU12">
        <f t="shared" si="364"/>
        <v>0</v>
      </c>
      <c r="ALV12">
        <f t="shared" si="365"/>
        <v>0</v>
      </c>
      <c r="ALW12">
        <f t="shared" si="366"/>
        <v>0</v>
      </c>
      <c r="ALX12">
        <f t="shared" si="367"/>
        <v>0</v>
      </c>
      <c r="ALY12">
        <f t="shared" si="368"/>
        <v>0</v>
      </c>
      <c r="ALZ12">
        <f t="shared" si="369"/>
        <v>12.5</v>
      </c>
      <c r="AMA12">
        <f t="shared" si="370"/>
        <v>12.5</v>
      </c>
      <c r="AMB12">
        <f t="shared" si="371"/>
        <v>12.5</v>
      </c>
      <c r="AMC12">
        <f t="shared" si="372"/>
        <v>25</v>
      </c>
      <c r="AMD12">
        <f t="shared" si="373"/>
        <v>25</v>
      </c>
      <c r="AME12">
        <f t="shared" si="374"/>
        <v>25</v>
      </c>
      <c r="AMF12">
        <f t="shared" si="375"/>
        <v>25</v>
      </c>
      <c r="AMG12">
        <f t="shared" si="376"/>
        <v>25</v>
      </c>
      <c r="AMH12">
        <f t="shared" si="377"/>
        <v>25</v>
      </c>
      <c r="AMI12">
        <f t="shared" si="378"/>
        <v>43.75</v>
      </c>
      <c r="AMJ12">
        <f t="shared" si="379"/>
        <v>25</v>
      </c>
      <c r="AMK12">
        <f t="shared" si="380"/>
        <v>0</v>
      </c>
      <c r="AML12">
        <f t="shared" si="38"/>
        <v>0</v>
      </c>
      <c r="AMM12">
        <f t="shared" si="381"/>
        <v>0</v>
      </c>
      <c r="AMN12">
        <f t="shared" si="382"/>
        <v>0</v>
      </c>
      <c r="AMO12">
        <f t="shared" si="383"/>
        <v>0</v>
      </c>
      <c r="AMP12">
        <f t="shared" si="384"/>
        <v>0</v>
      </c>
      <c r="AMQ12">
        <f t="shared" si="385"/>
        <v>0</v>
      </c>
      <c r="AMR12">
        <f t="shared" si="386"/>
        <v>0</v>
      </c>
      <c r="AMS12">
        <f t="shared" si="387"/>
        <v>0</v>
      </c>
      <c r="AMT12">
        <f t="shared" si="388"/>
        <v>0</v>
      </c>
      <c r="AMU12">
        <f t="shared" si="389"/>
        <v>0</v>
      </c>
      <c r="AMV12">
        <f t="shared" si="390"/>
        <v>12.5</v>
      </c>
      <c r="AMW12">
        <f t="shared" si="391"/>
        <v>12.5</v>
      </c>
      <c r="AMX12">
        <f t="shared" si="392"/>
        <v>12.5</v>
      </c>
      <c r="AMY12">
        <f t="shared" si="393"/>
        <v>25</v>
      </c>
      <c r="AMZ12">
        <f t="shared" si="394"/>
        <v>25</v>
      </c>
      <c r="ANA12">
        <f t="shared" si="395"/>
        <v>25</v>
      </c>
      <c r="ANB12">
        <f t="shared" si="396"/>
        <v>25</v>
      </c>
      <c r="ANC12">
        <f t="shared" si="397"/>
        <v>25</v>
      </c>
      <c r="AND12">
        <f t="shared" si="398"/>
        <v>25</v>
      </c>
      <c r="ANE12">
        <f t="shared" si="399"/>
        <v>43.75</v>
      </c>
      <c r="ANF12">
        <f t="shared" si="400"/>
        <v>25</v>
      </c>
      <c r="ANG12">
        <f t="shared" si="401"/>
        <v>0</v>
      </c>
      <c r="ANH12">
        <f t="shared" si="402"/>
        <v>0</v>
      </c>
      <c r="ANI12">
        <f t="shared" si="403"/>
        <v>0</v>
      </c>
      <c r="ANJ12">
        <f t="shared" si="404"/>
        <v>0</v>
      </c>
      <c r="ANK12">
        <f t="shared" si="405"/>
        <v>0</v>
      </c>
      <c r="ANL12">
        <f t="shared" si="406"/>
        <v>0</v>
      </c>
      <c r="ANM12">
        <f t="shared" si="407"/>
        <v>0</v>
      </c>
      <c r="ANN12">
        <f t="shared" si="408"/>
        <v>0</v>
      </c>
      <c r="ANO12">
        <f t="shared" si="409"/>
        <v>0</v>
      </c>
      <c r="ANP12">
        <f t="shared" si="410"/>
        <v>0</v>
      </c>
      <c r="ANQ12">
        <f t="shared" si="411"/>
        <v>0</v>
      </c>
      <c r="ANR12">
        <f t="shared" si="412"/>
        <v>12.5</v>
      </c>
      <c r="ANS12">
        <f t="shared" si="413"/>
        <v>12.5</v>
      </c>
      <c r="ANT12">
        <f t="shared" si="414"/>
        <v>12.5</v>
      </c>
      <c r="ANU12">
        <f t="shared" si="415"/>
        <v>25</v>
      </c>
      <c r="ANV12">
        <f t="shared" si="416"/>
        <v>25</v>
      </c>
      <c r="ANW12">
        <f t="shared" si="417"/>
        <v>25</v>
      </c>
      <c r="ANX12">
        <f t="shared" si="418"/>
        <v>25</v>
      </c>
      <c r="ANY12">
        <f t="shared" si="419"/>
        <v>25</v>
      </c>
      <c r="ANZ12">
        <f t="shared" si="420"/>
        <v>25</v>
      </c>
      <c r="AOA12">
        <f t="shared" si="421"/>
        <v>43.75</v>
      </c>
      <c r="AOB12">
        <f t="shared" si="422"/>
        <v>25</v>
      </c>
      <c r="AOC12">
        <f t="shared" si="423"/>
        <v>0</v>
      </c>
      <c r="AOD12">
        <f t="shared" si="424"/>
        <v>0</v>
      </c>
      <c r="AOE12">
        <f t="shared" si="425"/>
        <v>0</v>
      </c>
      <c r="AOF12">
        <f t="shared" si="426"/>
        <v>0</v>
      </c>
      <c r="AOG12">
        <f t="shared" si="427"/>
        <v>0</v>
      </c>
      <c r="AOH12">
        <f t="shared" si="428"/>
        <v>0</v>
      </c>
      <c r="AOI12">
        <f t="shared" si="429"/>
        <v>0</v>
      </c>
      <c r="AOJ12">
        <f t="shared" si="430"/>
        <v>0</v>
      </c>
      <c r="AOK12">
        <f t="shared" si="431"/>
        <v>0</v>
      </c>
      <c r="AOL12">
        <f t="shared" si="432"/>
        <v>0</v>
      </c>
      <c r="AOM12">
        <f t="shared" si="433"/>
        <v>0</v>
      </c>
      <c r="AON12">
        <f t="shared" si="434"/>
        <v>12.5</v>
      </c>
      <c r="AOO12">
        <f t="shared" si="435"/>
        <v>12.5</v>
      </c>
      <c r="AOP12">
        <f t="shared" si="436"/>
        <v>12.5</v>
      </c>
      <c r="AOQ12">
        <f t="shared" si="437"/>
        <v>25</v>
      </c>
      <c r="AOR12">
        <f t="shared" si="438"/>
        <v>25</v>
      </c>
      <c r="AOS12">
        <f t="shared" si="439"/>
        <v>25</v>
      </c>
      <c r="AOT12">
        <f t="shared" si="440"/>
        <v>25</v>
      </c>
      <c r="AOU12">
        <f t="shared" si="441"/>
        <v>25</v>
      </c>
      <c r="AOV12">
        <f t="shared" si="442"/>
        <v>25</v>
      </c>
      <c r="AOW12">
        <f t="shared" si="443"/>
        <v>43.75</v>
      </c>
      <c r="AOX12">
        <f t="shared" si="39"/>
        <v>25</v>
      </c>
      <c r="AOY12">
        <f t="shared" si="444"/>
        <v>0</v>
      </c>
      <c r="AOZ12">
        <f t="shared" si="445"/>
        <v>0</v>
      </c>
      <c r="APA12">
        <f t="shared" si="446"/>
        <v>0</v>
      </c>
      <c r="APB12">
        <f t="shared" si="447"/>
        <v>0</v>
      </c>
      <c r="APC12">
        <f t="shared" si="448"/>
        <v>0</v>
      </c>
      <c r="APD12">
        <f t="shared" si="449"/>
        <v>0</v>
      </c>
      <c r="APE12">
        <f t="shared" si="450"/>
        <v>0</v>
      </c>
      <c r="APF12">
        <f t="shared" si="451"/>
        <v>0</v>
      </c>
      <c r="APG12">
        <f t="shared" si="452"/>
        <v>0</v>
      </c>
      <c r="APH12">
        <f t="shared" si="453"/>
        <v>0</v>
      </c>
      <c r="API12">
        <f t="shared" si="454"/>
        <v>0</v>
      </c>
      <c r="APJ12">
        <f t="shared" si="455"/>
        <v>12.5</v>
      </c>
      <c r="APK12">
        <f t="shared" si="456"/>
        <v>12.5</v>
      </c>
      <c r="APL12">
        <f t="shared" si="457"/>
        <v>12.5</v>
      </c>
      <c r="APM12">
        <f t="shared" si="458"/>
        <v>25</v>
      </c>
      <c r="APN12">
        <f t="shared" si="459"/>
        <v>25</v>
      </c>
      <c r="APO12">
        <f t="shared" si="460"/>
        <v>25</v>
      </c>
      <c r="APP12">
        <f t="shared" si="461"/>
        <v>25</v>
      </c>
      <c r="APQ12">
        <f t="shared" si="462"/>
        <v>25</v>
      </c>
      <c r="APR12">
        <f t="shared" si="463"/>
        <v>25</v>
      </c>
      <c r="APS12">
        <f t="shared" si="464"/>
        <v>43.75</v>
      </c>
      <c r="APT12">
        <f t="shared" si="465"/>
        <v>25</v>
      </c>
      <c r="APU12">
        <f t="shared" si="466"/>
        <v>0</v>
      </c>
      <c r="APV12">
        <f t="shared" si="467"/>
        <v>0</v>
      </c>
      <c r="APW12">
        <f t="shared" si="468"/>
        <v>0</v>
      </c>
      <c r="APX12">
        <f t="shared" si="469"/>
        <v>0</v>
      </c>
      <c r="APY12">
        <f t="shared" si="470"/>
        <v>0</v>
      </c>
      <c r="APZ12">
        <f t="shared" si="471"/>
        <v>0</v>
      </c>
      <c r="AQA12">
        <f t="shared" si="472"/>
        <v>0</v>
      </c>
      <c r="AQB12">
        <f t="shared" si="473"/>
        <v>0</v>
      </c>
      <c r="AQC12">
        <f t="shared" si="474"/>
        <v>0</v>
      </c>
      <c r="AQD12">
        <f t="shared" si="475"/>
        <v>0</v>
      </c>
      <c r="AQE12">
        <f t="shared" si="476"/>
        <v>0</v>
      </c>
      <c r="AQF12">
        <f t="shared" si="477"/>
        <v>12.5</v>
      </c>
      <c r="AQG12">
        <f t="shared" si="478"/>
        <v>12.5</v>
      </c>
      <c r="AQH12">
        <f t="shared" si="479"/>
        <v>12.5</v>
      </c>
      <c r="AQI12">
        <f t="shared" si="480"/>
        <v>25</v>
      </c>
      <c r="AQJ12">
        <f t="shared" si="481"/>
        <v>25</v>
      </c>
      <c r="AQK12">
        <f t="shared" si="482"/>
        <v>25</v>
      </c>
      <c r="AQL12">
        <f t="shared" si="483"/>
        <v>25</v>
      </c>
      <c r="AQM12">
        <f t="shared" si="484"/>
        <v>25</v>
      </c>
      <c r="AQN12">
        <f t="shared" si="485"/>
        <v>25</v>
      </c>
      <c r="AQO12">
        <f t="shared" si="486"/>
        <v>43.75</v>
      </c>
      <c r="AQP12">
        <f t="shared" si="487"/>
        <v>25</v>
      </c>
      <c r="AQQ12">
        <f t="shared" si="488"/>
        <v>0</v>
      </c>
      <c r="AQR12">
        <f t="shared" si="489"/>
        <v>0</v>
      </c>
      <c r="AQS12">
        <f t="shared" si="490"/>
        <v>0</v>
      </c>
      <c r="AQT12">
        <f t="shared" si="491"/>
        <v>0</v>
      </c>
      <c r="AQU12">
        <f t="shared" si="492"/>
        <v>0</v>
      </c>
      <c r="AQV12">
        <f t="shared" si="493"/>
        <v>0</v>
      </c>
      <c r="AQW12">
        <f t="shared" si="494"/>
        <v>0</v>
      </c>
      <c r="AQX12">
        <f t="shared" si="495"/>
        <v>0</v>
      </c>
      <c r="AQY12">
        <f t="shared" si="496"/>
        <v>0</v>
      </c>
      <c r="AQZ12">
        <f t="shared" si="497"/>
        <v>0</v>
      </c>
      <c r="ARA12">
        <f t="shared" si="498"/>
        <v>0</v>
      </c>
      <c r="ARB12">
        <f t="shared" si="499"/>
        <v>12.5</v>
      </c>
      <c r="ARC12">
        <f t="shared" si="500"/>
        <v>12.5</v>
      </c>
      <c r="ARD12">
        <f t="shared" si="501"/>
        <v>12.5</v>
      </c>
      <c r="ARE12">
        <f t="shared" si="502"/>
        <v>25</v>
      </c>
      <c r="ARF12">
        <f t="shared" si="503"/>
        <v>25</v>
      </c>
      <c r="ARG12">
        <f t="shared" si="504"/>
        <v>25</v>
      </c>
      <c r="ARH12">
        <f t="shared" si="505"/>
        <v>25</v>
      </c>
      <c r="ARI12">
        <f t="shared" si="506"/>
        <v>25</v>
      </c>
      <c r="ARJ12">
        <f t="shared" si="40"/>
        <v>25</v>
      </c>
      <c r="ARK12">
        <f t="shared" si="507"/>
        <v>43.75</v>
      </c>
      <c r="ARL12">
        <f t="shared" si="508"/>
        <v>25</v>
      </c>
      <c r="ARM12">
        <f t="shared" si="509"/>
        <v>0</v>
      </c>
      <c r="ARN12">
        <f t="shared" si="510"/>
        <v>0</v>
      </c>
      <c r="ARO12">
        <f t="shared" si="511"/>
        <v>0</v>
      </c>
      <c r="ARP12">
        <f t="shared" si="512"/>
        <v>0</v>
      </c>
      <c r="ARQ12">
        <f t="shared" si="513"/>
        <v>0</v>
      </c>
      <c r="ARR12">
        <f t="shared" si="514"/>
        <v>0</v>
      </c>
      <c r="ARS12">
        <f t="shared" si="515"/>
        <v>0</v>
      </c>
      <c r="ART12">
        <f t="shared" si="516"/>
        <v>0</v>
      </c>
      <c r="ARU12">
        <f t="shared" si="517"/>
        <v>0</v>
      </c>
      <c r="ARV12">
        <f t="shared" si="518"/>
        <v>0</v>
      </c>
      <c r="ARW12">
        <f t="shared" si="519"/>
        <v>0</v>
      </c>
      <c r="ARX12">
        <f t="shared" si="520"/>
        <v>12.5</v>
      </c>
      <c r="ARY12">
        <f t="shared" si="521"/>
        <v>12.5</v>
      </c>
      <c r="ARZ12">
        <f t="shared" si="522"/>
        <v>12.5</v>
      </c>
      <c r="ASA12">
        <f t="shared" si="523"/>
        <v>25</v>
      </c>
      <c r="ASB12">
        <f t="shared" si="524"/>
        <v>25</v>
      </c>
      <c r="ASC12">
        <f t="shared" si="525"/>
        <v>25</v>
      </c>
      <c r="ASD12">
        <f t="shared" si="526"/>
        <v>25</v>
      </c>
      <c r="ASE12">
        <f t="shared" si="527"/>
        <v>25</v>
      </c>
      <c r="ASF12">
        <f t="shared" si="528"/>
        <v>25</v>
      </c>
      <c r="ASG12">
        <f t="shared" si="529"/>
        <v>43.75</v>
      </c>
      <c r="ASH12">
        <f t="shared" si="530"/>
        <v>25</v>
      </c>
      <c r="ASI12">
        <f t="shared" si="531"/>
        <v>0</v>
      </c>
      <c r="ASJ12">
        <f t="shared" si="532"/>
        <v>0</v>
      </c>
      <c r="ASK12">
        <f t="shared" si="533"/>
        <v>0</v>
      </c>
      <c r="ASL12">
        <f t="shared" si="534"/>
        <v>0</v>
      </c>
      <c r="ASM12">
        <f t="shared" si="535"/>
        <v>0</v>
      </c>
      <c r="ASN12">
        <f t="shared" si="536"/>
        <v>0</v>
      </c>
      <c r="ASO12">
        <f t="shared" si="537"/>
        <v>0</v>
      </c>
      <c r="ASP12">
        <f t="shared" si="538"/>
        <v>0</v>
      </c>
      <c r="ASQ12">
        <f t="shared" si="539"/>
        <v>0</v>
      </c>
      <c r="ASR12">
        <f t="shared" si="540"/>
        <v>0</v>
      </c>
      <c r="ASS12">
        <f t="shared" si="541"/>
        <v>0</v>
      </c>
      <c r="AST12">
        <f t="shared" si="542"/>
        <v>12.5</v>
      </c>
      <c r="ASU12">
        <f t="shared" si="543"/>
        <v>12.5</v>
      </c>
      <c r="ASV12">
        <f t="shared" si="544"/>
        <v>12.5</v>
      </c>
      <c r="ASW12">
        <f t="shared" si="545"/>
        <v>25</v>
      </c>
      <c r="ASX12">
        <f t="shared" si="546"/>
        <v>25</v>
      </c>
      <c r="ASY12">
        <f t="shared" si="547"/>
        <v>25</v>
      </c>
      <c r="ASZ12">
        <f t="shared" si="548"/>
        <v>25</v>
      </c>
      <c r="ATA12">
        <f t="shared" si="549"/>
        <v>25</v>
      </c>
      <c r="ATB12">
        <f t="shared" si="550"/>
        <v>25</v>
      </c>
      <c r="ATC12">
        <f t="shared" si="551"/>
        <v>43.75</v>
      </c>
      <c r="ATD12">
        <f t="shared" si="552"/>
        <v>25</v>
      </c>
      <c r="ATE12">
        <f t="shared" si="553"/>
        <v>0</v>
      </c>
      <c r="ATF12">
        <f t="shared" si="554"/>
        <v>0</v>
      </c>
      <c r="ATG12">
        <f t="shared" si="555"/>
        <v>0</v>
      </c>
      <c r="ATH12">
        <f t="shared" si="556"/>
        <v>0</v>
      </c>
      <c r="ATI12">
        <f t="shared" si="557"/>
        <v>0</v>
      </c>
      <c r="ATJ12">
        <f t="shared" si="558"/>
        <v>0</v>
      </c>
      <c r="ATK12">
        <f t="shared" si="559"/>
        <v>0</v>
      </c>
      <c r="ATL12">
        <f t="shared" si="560"/>
        <v>0</v>
      </c>
      <c r="ATM12">
        <f t="shared" si="561"/>
        <v>0</v>
      </c>
      <c r="ATN12">
        <f t="shared" si="562"/>
        <v>0</v>
      </c>
      <c r="ATO12">
        <f t="shared" si="563"/>
        <v>0</v>
      </c>
      <c r="ATP12">
        <f t="shared" si="564"/>
        <v>12.5</v>
      </c>
      <c r="ATQ12">
        <f t="shared" si="565"/>
        <v>12.5</v>
      </c>
      <c r="ATR12">
        <f t="shared" si="566"/>
        <v>12.5</v>
      </c>
      <c r="ATS12">
        <f t="shared" si="567"/>
        <v>25</v>
      </c>
      <c r="ATT12">
        <f t="shared" si="568"/>
        <v>25</v>
      </c>
      <c r="ATU12">
        <f t="shared" si="569"/>
        <v>25</v>
      </c>
      <c r="ATV12">
        <f t="shared" si="41"/>
        <v>25</v>
      </c>
      <c r="ATW12">
        <f t="shared" si="570"/>
        <v>25</v>
      </c>
      <c r="ATX12">
        <f t="shared" si="571"/>
        <v>25</v>
      </c>
      <c r="ATY12">
        <f t="shared" si="572"/>
        <v>43.75</v>
      </c>
      <c r="ATZ12">
        <f t="shared" si="573"/>
        <v>25</v>
      </c>
      <c r="AUA12">
        <f t="shared" si="574"/>
        <v>0</v>
      </c>
      <c r="AUB12">
        <f t="shared" si="575"/>
        <v>0</v>
      </c>
      <c r="AUC12">
        <f t="shared" si="576"/>
        <v>0</v>
      </c>
      <c r="AUD12">
        <f t="shared" si="577"/>
        <v>0</v>
      </c>
      <c r="AUE12">
        <f t="shared" si="578"/>
        <v>0</v>
      </c>
      <c r="AUF12">
        <f t="shared" si="579"/>
        <v>0</v>
      </c>
      <c r="AUG12">
        <f t="shared" si="580"/>
        <v>0</v>
      </c>
      <c r="AUH12">
        <f t="shared" si="581"/>
        <v>0</v>
      </c>
      <c r="AUI12">
        <f t="shared" si="582"/>
        <v>0</v>
      </c>
      <c r="AUJ12">
        <f t="shared" si="583"/>
        <v>0</v>
      </c>
      <c r="AUK12">
        <f t="shared" si="584"/>
        <v>0</v>
      </c>
      <c r="AUL12">
        <f t="shared" si="585"/>
        <v>12.5</v>
      </c>
      <c r="AUM12">
        <f t="shared" si="586"/>
        <v>12.5</v>
      </c>
      <c r="AUN12">
        <f t="shared" si="587"/>
        <v>12.5</v>
      </c>
      <c r="AUO12">
        <f t="shared" si="588"/>
        <v>25</v>
      </c>
      <c r="AUP12">
        <f t="shared" si="589"/>
        <v>25</v>
      </c>
      <c r="AUQ12">
        <f t="shared" si="590"/>
        <v>25</v>
      </c>
      <c r="AUR12">
        <f t="shared" si="591"/>
        <v>25</v>
      </c>
      <c r="AUS12">
        <f t="shared" si="592"/>
        <v>25</v>
      </c>
      <c r="AUT12">
        <f t="shared" si="593"/>
        <v>25</v>
      </c>
      <c r="AUU12">
        <f t="shared" si="594"/>
        <v>43.75</v>
      </c>
      <c r="AUV12">
        <f t="shared" si="595"/>
        <v>25</v>
      </c>
      <c r="AUW12">
        <f t="shared" si="596"/>
        <v>0</v>
      </c>
      <c r="AUX12">
        <f t="shared" si="597"/>
        <v>0</v>
      </c>
      <c r="AUY12">
        <f t="shared" si="598"/>
        <v>0</v>
      </c>
      <c r="AUZ12">
        <f t="shared" si="599"/>
        <v>0</v>
      </c>
      <c r="AVA12">
        <f t="shared" si="600"/>
        <v>0</v>
      </c>
      <c r="AVB12">
        <f t="shared" si="601"/>
        <v>0</v>
      </c>
      <c r="AVC12">
        <f t="shared" si="602"/>
        <v>0</v>
      </c>
      <c r="AVD12">
        <f t="shared" si="603"/>
        <v>0</v>
      </c>
      <c r="AVE12">
        <f t="shared" si="604"/>
        <v>0</v>
      </c>
      <c r="AVF12">
        <f t="shared" si="605"/>
        <v>0</v>
      </c>
      <c r="AVG12">
        <f t="shared" si="606"/>
        <v>0</v>
      </c>
      <c r="AVH12">
        <f t="shared" si="607"/>
        <v>12.5</v>
      </c>
      <c r="AVI12">
        <f t="shared" si="608"/>
        <v>12.5</v>
      </c>
      <c r="AVJ12">
        <f t="shared" si="609"/>
        <v>12.5</v>
      </c>
      <c r="AVK12">
        <f t="shared" si="610"/>
        <v>25</v>
      </c>
      <c r="AVL12">
        <f t="shared" si="611"/>
        <v>25</v>
      </c>
      <c r="AVM12">
        <f t="shared" si="612"/>
        <v>25</v>
      </c>
      <c r="AVN12">
        <f t="shared" si="613"/>
        <v>25</v>
      </c>
      <c r="AVO12">
        <f t="shared" si="614"/>
        <v>25</v>
      </c>
      <c r="AVP12">
        <f t="shared" si="615"/>
        <v>25</v>
      </c>
      <c r="AVQ12">
        <f t="shared" si="616"/>
        <v>43.75</v>
      </c>
      <c r="AVR12">
        <f t="shared" si="617"/>
        <v>25</v>
      </c>
      <c r="AVS12">
        <f t="shared" si="618"/>
        <v>0</v>
      </c>
      <c r="AVT12">
        <f t="shared" si="619"/>
        <v>0</v>
      </c>
      <c r="AVU12">
        <f t="shared" si="620"/>
        <v>0</v>
      </c>
      <c r="AVV12">
        <f t="shared" si="621"/>
        <v>0</v>
      </c>
      <c r="AVW12">
        <f t="shared" si="622"/>
        <v>0</v>
      </c>
      <c r="AVX12">
        <f t="shared" si="623"/>
        <v>0</v>
      </c>
      <c r="AVY12">
        <f t="shared" si="624"/>
        <v>0</v>
      </c>
      <c r="AVZ12">
        <f t="shared" si="625"/>
        <v>0</v>
      </c>
      <c r="AWA12">
        <f t="shared" si="626"/>
        <v>0</v>
      </c>
      <c r="AWB12">
        <f t="shared" si="627"/>
        <v>0</v>
      </c>
      <c r="AWC12">
        <f t="shared" si="628"/>
        <v>0</v>
      </c>
      <c r="AWD12">
        <f t="shared" si="629"/>
        <v>12.5</v>
      </c>
      <c r="AWE12">
        <f t="shared" si="630"/>
        <v>12.5</v>
      </c>
      <c r="AWF12">
        <f t="shared" si="631"/>
        <v>12.5</v>
      </c>
      <c r="AWG12">
        <f t="shared" si="632"/>
        <v>25</v>
      </c>
      <c r="AWH12">
        <f t="shared" si="42"/>
        <v>25</v>
      </c>
      <c r="AWI12">
        <f t="shared" si="633"/>
        <v>25</v>
      </c>
      <c r="AWJ12">
        <f t="shared" si="634"/>
        <v>25</v>
      </c>
      <c r="AWK12">
        <f t="shared" si="635"/>
        <v>25</v>
      </c>
      <c r="AWL12">
        <f t="shared" si="636"/>
        <v>25</v>
      </c>
      <c r="AWM12">
        <f t="shared" si="637"/>
        <v>43.75</v>
      </c>
      <c r="AWN12">
        <f t="shared" si="638"/>
        <v>25</v>
      </c>
      <c r="AWO12">
        <f t="shared" si="639"/>
        <v>0</v>
      </c>
      <c r="AWP12">
        <f t="shared" si="640"/>
        <v>0</v>
      </c>
      <c r="AWQ12">
        <f t="shared" si="641"/>
        <v>0</v>
      </c>
      <c r="AWR12">
        <f t="shared" si="642"/>
        <v>0</v>
      </c>
      <c r="AWS12">
        <f t="shared" si="643"/>
        <v>0</v>
      </c>
      <c r="AWT12">
        <f t="shared" si="644"/>
        <v>0</v>
      </c>
      <c r="AWU12">
        <f t="shared" si="645"/>
        <v>0</v>
      </c>
      <c r="AWV12">
        <f t="shared" si="646"/>
        <v>0</v>
      </c>
      <c r="AWW12">
        <f t="shared" si="647"/>
        <v>0</v>
      </c>
      <c r="AWX12">
        <f t="shared" si="648"/>
        <v>0</v>
      </c>
      <c r="AWY12">
        <f t="shared" si="649"/>
        <v>0</v>
      </c>
      <c r="AWZ12">
        <f t="shared" si="650"/>
        <v>12.5</v>
      </c>
      <c r="AXA12">
        <f t="shared" si="651"/>
        <v>12.5</v>
      </c>
      <c r="AXB12">
        <f t="shared" si="652"/>
        <v>12.5</v>
      </c>
      <c r="AXC12">
        <f t="shared" si="653"/>
        <v>25</v>
      </c>
      <c r="AXD12">
        <f t="shared" si="654"/>
        <v>25</v>
      </c>
      <c r="AXE12">
        <f t="shared" si="655"/>
        <v>25</v>
      </c>
      <c r="AXF12">
        <f t="shared" si="656"/>
        <v>25</v>
      </c>
      <c r="AXG12">
        <f t="shared" si="657"/>
        <v>25</v>
      </c>
      <c r="AXH12">
        <f t="shared" si="658"/>
        <v>25</v>
      </c>
      <c r="AXI12">
        <f t="shared" si="659"/>
        <v>43.75</v>
      </c>
      <c r="AXJ12">
        <f t="shared" si="660"/>
        <v>25</v>
      </c>
      <c r="AXK12">
        <f t="shared" si="661"/>
        <v>0</v>
      </c>
      <c r="AXL12">
        <f t="shared" si="662"/>
        <v>0</v>
      </c>
      <c r="AXM12">
        <f t="shared" si="663"/>
        <v>0</v>
      </c>
      <c r="AXN12">
        <f t="shared" si="664"/>
        <v>0</v>
      </c>
      <c r="AXO12">
        <f t="shared" si="665"/>
        <v>0</v>
      </c>
      <c r="AXP12">
        <f t="shared" si="666"/>
        <v>0</v>
      </c>
      <c r="AXQ12">
        <f t="shared" si="667"/>
        <v>0</v>
      </c>
      <c r="AXR12">
        <f t="shared" si="668"/>
        <v>0</v>
      </c>
      <c r="AXS12">
        <f t="shared" si="669"/>
        <v>0</v>
      </c>
      <c r="AXT12">
        <f t="shared" si="670"/>
        <v>0</v>
      </c>
      <c r="AXU12">
        <f t="shared" si="671"/>
        <v>0</v>
      </c>
      <c r="AXV12">
        <f t="shared" si="672"/>
        <v>12.5</v>
      </c>
      <c r="AXW12">
        <f t="shared" si="673"/>
        <v>12.5</v>
      </c>
      <c r="AXX12">
        <f t="shared" si="674"/>
        <v>12.5</v>
      </c>
      <c r="AXY12">
        <f t="shared" si="675"/>
        <v>25</v>
      </c>
      <c r="AXZ12">
        <f t="shared" si="676"/>
        <v>25</v>
      </c>
      <c r="AYA12">
        <f t="shared" si="677"/>
        <v>25</v>
      </c>
      <c r="AYB12">
        <f t="shared" si="678"/>
        <v>25</v>
      </c>
      <c r="AYC12">
        <f t="shared" si="679"/>
        <v>25</v>
      </c>
      <c r="AYD12">
        <f t="shared" si="680"/>
        <v>25</v>
      </c>
      <c r="AYE12">
        <f t="shared" si="681"/>
        <v>43.75</v>
      </c>
      <c r="AYF12">
        <f t="shared" si="682"/>
        <v>25</v>
      </c>
      <c r="AYG12">
        <f t="shared" si="683"/>
        <v>0</v>
      </c>
      <c r="AYH12">
        <f t="shared" si="684"/>
        <v>0</v>
      </c>
      <c r="AYI12">
        <f t="shared" si="685"/>
        <v>0</v>
      </c>
      <c r="AYJ12">
        <f t="shared" si="686"/>
        <v>0</v>
      </c>
      <c r="AYK12">
        <f t="shared" si="687"/>
        <v>0</v>
      </c>
      <c r="AYL12">
        <f t="shared" si="688"/>
        <v>0</v>
      </c>
      <c r="AYM12">
        <f t="shared" si="689"/>
        <v>0</v>
      </c>
      <c r="AYN12">
        <f t="shared" si="690"/>
        <v>0</v>
      </c>
      <c r="AYO12">
        <f t="shared" si="691"/>
        <v>0</v>
      </c>
      <c r="AYP12">
        <f t="shared" si="692"/>
        <v>0</v>
      </c>
      <c r="AYQ12">
        <f t="shared" si="693"/>
        <v>0</v>
      </c>
      <c r="AYR12">
        <f t="shared" si="694"/>
        <v>12.5</v>
      </c>
      <c r="AYS12">
        <f t="shared" si="695"/>
        <v>12.5</v>
      </c>
      <c r="AYT12">
        <f t="shared" si="43"/>
        <v>12.5</v>
      </c>
      <c r="AYU12">
        <f t="shared" si="696"/>
        <v>25</v>
      </c>
      <c r="AYV12">
        <f t="shared" si="697"/>
        <v>25</v>
      </c>
      <c r="AYW12">
        <f t="shared" si="698"/>
        <v>25</v>
      </c>
      <c r="AYX12">
        <f t="shared" si="699"/>
        <v>25</v>
      </c>
      <c r="AYY12">
        <f t="shared" si="700"/>
        <v>25</v>
      </c>
      <c r="AYZ12">
        <f t="shared" si="701"/>
        <v>25</v>
      </c>
      <c r="AZA12">
        <f t="shared" si="702"/>
        <v>43.75</v>
      </c>
      <c r="AZB12">
        <f t="shared" si="703"/>
        <v>25</v>
      </c>
      <c r="AZC12">
        <f t="shared" si="704"/>
        <v>0</v>
      </c>
      <c r="AZD12">
        <f t="shared" si="705"/>
        <v>0</v>
      </c>
      <c r="AZE12">
        <f t="shared" si="706"/>
        <v>0</v>
      </c>
      <c r="AZF12">
        <f t="shared" si="707"/>
        <v>0</v>
      </c>
      <c r="AZG12">
        <f t="shared" si="708"/>
        <v>0</v>
      </c>
      <c r="AZH12">
        <f t="shared" si="709"/>
        <v>0</v>
      </c>
      <c r="AZI12">
        <f t="shared" si="710"/>
        <v>0</v>
      </c>
      <c r="AZJ12">
        <f t="shared" si="711"/>
        <v>0</v>
      </c>
      <c r="AZK12">
        <f t="shared" si="712"/>
        <v>0</v>
      </c>
      <c r="AZL12">
        <f t="shared" si="713"/>
        <v>0</v>
      </c>
      <c r="AZM12">
        <f t="shared" si="714"/>
        <v>0</v>
      </c>
      <c r="AZN12">
        <f t="shared" si="715"/>
        <v>12.5</v>
      </c>
      <c r="AZO12">
        <f t="shared" si="716"/>
        <v>12.5</v>
      </c>
      <c r="AZP12">
        <f t="shared" si="717"/>
        <v>12.5</v>
      </c>
      <c r="AZQ12">
        <f t="shared" si="718"/>
        <v>25</v>
      </c>
      <c r="AZR12">
        <f t="shared" si="719"/>
        <v>25</v>
      </c>
      <c r="AZS12">
        <f t="shared" si="720"/>
        <v>25</v>
      </c>
      <c r="AZT12">
        <f t="shared" si="721"/>
        <v>25</v>
      </c>
      <c r="AZU12">
        <f t="shared" si="722"/>
        <v>25</v>
      </c>
      <c r="AZV12">
        <f t="shared" si="723"/>
        <v>25</v>
      </c>
      <c r="AZW12">
        <f t="shared" si="724"/>
        <v>43.75</v>
      </c>
      <c r="AZX12">
        <f t="shared" si="725"/>
        <v>25</v>
      </c>
      <c r="AZY12">
        <f t="shared" si="726"/>
        <v>0</v>
      </c>
      <c r="AZZ12">
        <f t="shared" si="727"/>
        <v>0</v>
      </c>
      <c r="BAA12">
        <f t="shared" si="728"/>
        <v>0</v>
      </c>
      <c r="BAB12">
        <f t="shared" si="729"/>
        <v>0</v>
      </c>
      <c r="BAC12">
        <f t="shared" si="730"/>
        <v>0</v>
      </c>
      <c r="BAD12">
        <f t="shared" si="731"/>
        <v>0</v>
      </c>
      <c r="BAE12">
        <f t="shared" si="732"/>
        <v>0</v>
      </c>
      <c r="BAF12">
        <f t="shared" si="733"/>
        <v>0</v>
      </c>
      <c r="BAG12">
        <f t="shared" si="734"/>
        <v>0</v>
      </c>
      <c r="BAH12">
        <f t="shared" si="735"/>
        <v>0</v>
      </c>
      <c r="BAI12">
        <f t="shared" si="736"/>
        <v>0</v>
      </c>
      <c r="BAJ12">
        <f t="shared" si="737"/>
        <v>12.5</v>
      </c>
      <c r="BAK12">
        <f t="shared" si="738"/>
        <v>12.5</v>
      </c>
      <c r="BAL12">
        <f t="shared" si="739"/>
        <v>12.5</v>
      </c>
      <c r="BAM12">
        <f t="shared" si="740"/>
        <v>25</v>
      </c>
      <c r="BAN12">
        <f t="shared" si="741"/>
        <v>25</v>
      </c>
      <c r="BAO12">
        <f t="shared" si="742"/>
        <v>25</v>
      </c>
      <c r="BAP12">
        <f t="shared" si="743"/>
        <v>25</v>
      </c>
      <c r="BAQ12">
        <f t="shared" si="744"/>
        <v>25</v>
      </c>
      <c r="BAR12">
        <f t="shared" si="745"/>
        <v>25</v>
      </c>
      <c r="BAS12">
        <f t="shared" si="746"/>
        <v>43.75</v>
      </c>
      <c r="BAT12">
        <f t="shared" si="747"/>
        <v>25</v>
      </c>
      <c r="BAU12">
        <f t="shared" si="748"/>
        <v>0</v>
      </c>
      <c r="BAV12">
        <f t="shared" si="749"/>
        <v>0</v>
      </c>
      <c r="BAW12">
        <f t="shared" si="750"/>
        <v>0</v>
      </c>
      <c r="BAX12">
        <f t="shared" si="751"/>
        <v>0</v>
      </c>
      <c r="BAY12">
        <f t="shared" si="752"/>
        <v>0</v>
      </c>
      <c r="BAZ12">
        <f t="shared" si="753"/>
        <v>0</v>
      </c>
      <c r="BBA12">
        <f t="shared" si="754"/>
        <v>0</v>
      </c>
      <c r="BBB12">
        <f t="shared" si="755"/>
        <v>0</v>
      </c>
      <c r="BBC12">
        <f t="shared" si="756"/>
        <v>0</v>
      </c>
      <c r="BBD12">
        <f t="shared" si="757"/>
        <v>0</v>
      </c>
      <c r="BBE12">
        <f t="shared" si="758"/>
        <v>0</v>
      </c>
      <c r="BBF12">
        <f t="shared" si="44"/>
        <v>12.5</v>
      </c>
      <c r="BBG12">
        <f t="shared" si="759"/>
        <v>12.5</v>
      </c>
      <c r="BBH12">
        <f t="shared" si="760"/>
        <v>12.5</v>
      </c>
      <c r="BBI12">
        <f t="shared" si="761"/>
        <v>25</v>
      </c>
      <c r="BBJ12">
        <f t="shared" si="762"/>
        <v>25</v>
      </c>
      <c r="BBK12">
        <f t="shared" si="763"/>
        <v>25</v>
      </c>
      <c r="BBL12">
        <f t="shared" si="764"/>
        <v>25</v>
      </c>
      <c r="BBM12">
        <f t="shared" si="765"/>
        <v>25</v>
      </c>
      <c r="BBN12">
        <f t="shared" si="766"/>
        <v>25</v>
      </c>
      <c r="BBO12">
        <f t="shared" si="767"/>
        <v>43.75</v>
      </c>
      <c r="BBP12">
        <f t="shared" si="768"/>
        <v>25</v>
      </c>
      <c r="BBQ12">
        <f t="shared" si="769"/>
        <v>0</v>
      </c>
      <c r="BBR12">
        <f t="shared" si="770"/>
        <v>0</v>
      </c>
      <c r="BBS12">
        <f t="shared" si="771"/>
        <v>0</v>
      </c>
      <c r="BBT12">
        <f t="shared" si="772"/>
        <v>0</v>
      </c>
      <c r="BBU12">
        <f t="shared" si="773"/>
        <v>0</v>
      </c>
      <c r="BBV12">
        <f t="shared" si="774"/>
        <v>0</v>
      </c>
      <c r="BBW12">
        <f t="shared" si="775"/>
        <v>0</v>
      </c>
      <c r="BBX12">
        <f t="shared" si="776"/>
        <v>0</v>
      </c>
      <c r="BBY12">
        <f t="shared" si="777"/>
        <v>0</v>
      </c>
      <c r="BBZ12">
        <f t="shared" si="778"/>
        <v>0</v>
      </c>
      <c r="BCA12">
        <f t="shared" si="779"/>
        <v>0</v>
      </c>
      <c r="BCB12">
        <f t="shared" si="780"/>
        <v>12.5</v>
      </c>
      <c r="BCC12">
        <f t="shared" si="781"/>
        <v>12.5</v>
      </c>
      <c r="BCD12">
        <f t="shared" si="782"/>
        <v>12.5</v>
      </c>
      <c r="BCE12">
        <f t="shared" si="783"/>
        <v>25</v>
      </c>
      <c r="BCF12">
        <f t="shared" si="784"/>
        <v>25</v>
      </c>
      <c r="BCG12">
        <f t="shared" si="785"/>
        <v>25</v>
      </c>
      <c r="BCH12">
        <f t="shared" si="786"/>
        <v>25</v>
      </c>
      <c r="BCI12">
        <f t="shared" si="787"/>
        <v>25</v>
      </c>
      <c r="BCJ12">
        <f t="shared" si="788"/>
        <v>25</v>
      </c>
      <c r="BCK12">
        <f t="shared" si="789"/>
        <v>43.75</v>
      </c>
      <c r="BCL12">
        <f t="shared" si="790"/>
        <v>25</v>
      </c>
      <c r="BCM12">
        <f t="shared" si="791"/>
        <v>0</v>
      </c>
      <c r="BCN12">
        <f t="shared" si="792"/>
        <v>0</v>
      </c>
      <c r="BCO12">
        <f t="shared" si="793"/>
        <v>0</v>
      </c>
      <c r="BCP12">
        <f t="shared" si="794"/>
        <v>0</v>
      </c>
      <c r="BCQ12">
        <f t="shared" si="795"/>
        <v>0</v>
      </c>
      <c r="BCR12">
        <f t="shared" si="796"/>
        <v>0</v>
      </c>
      <c r="BCS12">
        <f t="shared" si="797"/>
        <v>0</v>
      </c>
      <c r="BCT12">
        <f t="shared" si="798"/>
        <v>0</v>
      </c>
      <c r="BCU12">
        <f t="shared" si="799"/>
        <v>0</v>
      </c>
      <c r="BCV12">
        <f t="shared" si="800"/>
        <v>0</v>
      </c>
      <c r="BCW12">
        <f t="shared" si="801"/>
        <v>0</v>
      </c>
      <c r="BCX12">
        <f t="shared" si="802"/>
        <v>12.5</v>
      </c>
      <c r="BCY12">
        <f t="shared" si="803"/>
        <v>12.5</v>
      </c>
      <c r="BCZ12">
        <f t="shared" si="804"/>
        <v>12.5</v>
      </c>
      <c r="BDA12">
        <f t="shared" si="805"/>
        <v>25</v>
      </c>
      <c r="BDB12">
        <f t="shared" si="806"/>
        <v>25</v>
      </c>
      <c r="BDC12">
        <f t="shared" si="807"/>
        <v>25</v>
      </c>
      <c r="BDD12">
        <f t="shared" si="808"/>
        <v>25</v>
      </c>
      <c r="BDE12">
        <f t="shared" si="809"/>
        <v>25</v>
      </c>
      <c r="BDF12">
        <f t="shared" si="810"/>
        <v>25</v>
      </c>
      <c r="BDG12">
        <f t="shared" si="811"/>
        <v>43.75</v>
      </c>
      <c r="BDH12">
        <f t="shared" si="812"/>
        <v>25</v>
      </c>
      <c r="BDI12">
        <f t="shared" si="813"/>
        <v>0</v>
      </c>
      <c r="BDJ12">
        <f t="shared" si="814"/>
        <v>0</v>
      </c>
      <c r="BDK12">
        <f t="shared" si="815"/>
        <v>0</v>
      </c>
      <c r="BDL12">
        <f t="shared" si="816"/>
        <v>0</v>
      </c>
      <c r="BDM12">
        <f t="shared" si="817"/>
        <v>0</v>
      </c>
      <c r="BDN12">
        <f t="shared" si="818"/>
        <v>0</v>
      </c>
      <c r="BDO12">
        <f t="shared" si="819"/>
        <v>0</v>
      </c>
      <c r="BDP12">
        <f t="shared" si="820"/>
        <v>0</v>
      </c>
      <c r="BDQ12">
        <f t="shared" si="821"/>
        <v>0</v>
      </c>
      <c r="BDR12">
        <f t="shared" si="45"/>
        <v>0</v>
      </c>
      <c r="BDS12">
        <f t="shared" si="822"/>
        <v>0</v>
      </c>
      <c r="BDT12">
        <f t="shared" si="823"/>
        <v>12.5</v>
      </c>
      <c r="BDU12">
        <f t="shared" si="824"/>
        <v>12.5</v>
      </c>
      <c r="BDV12">
        <f t="shared" si="825"/>
        <v>12.5</v>
      </c>
      <c r="BDW12">
        <f t="shared" si="826"/>
        <v>25</v>
      </c>
      <c r="BDX12">
        <f t="shared" si="827"/>
        <v>25</v>
      </c>
      <c r="BDY12">
        <f t="shared" si="828"/>
        <v>25</v>
      </c>
      <c r="BDZ12">
        <f t="shared" si="829"/>
        <v>25</v>
      </c>
      <c r="BEA12">
        <f t="shared" si="830"/>
        <v>25</v>
      </c>
      <c r="BEB12">
        <f t="shared" si="831"/>
        <v>25</v>
      </c>
      <c r="BEC12">
        <f t="shared" si="832"/>
        <v>43.75</v>
      </c>
      <c r="BED12">
        <f t="shared" si="833"/>
        <v>25</v>
      </c>
      <c r="BEE12">
        <f t="shared" si="834"/>
        <v>0</v>
      </c>
      <c r="BEF12">
        <f t="shared" si="835"/>
        <v>0</v>
      </c>
      <c r="BEG12">
        <f t="shared" si="836"/>
        <v>0</v>
      </c>
      <c r="BEH12">
        <f t="shared" si="837"/>
        <v>0</v>
      </c>
      <c r="BEI12">
        <f t="shared" si="838"/>
        <v>0</v>
      </c>
      <c r="BEJ12">
        <f t="shared" si="839"/>
        <v>0</v>
      </c>
      <c r="BEK12">
        <f t="shared" si="840"/>
        <v>0</v>
      </c>
      <c r="BEL12">
        <f t="shared" si="841"/>
        <v>0</v>
      </c>
      <c r="BEM12">
        <f t="shared" si="842"/>
        <v>0</v>
      </c>
      <c r="BEN12">
        <f t="shared" si="843"/>
        <v>0</v>
      </c>
      <c r="BEO12">
        <f t="shared" si="844"/>
        <v>0</v>
      </c>
      <c r="BEP12">
        <f t="shared" si="845"/>
        <v>12.5</v>
      </c>
      <c r="BEQ12">
        <f t="shared" si="846"/>
        <v>12.5</v>
      </c>
      <c r="BER12">
        <f t="shared" si="847"/>
        <v>12.5</v>
      </c>
      <c r="BES12">
        <f t="shared" si="848"/>
        <v>25</v>
      </c>
      <c r="BET12">
        <f t="shared" si="849"/>
        <v>25</v>
      </c>
      <c r="BEU12">
        <f t="shared" si="850"/>
        <v>25</v>
      </c>
      <c r="BEV12">
        <f t="shared" si="851"/>
        <v>25</v>
      </c>
      <c r="BEW12">
        <f t="shared" si="852"/>
        <v>25</v>
      </c>
      <c r="BEX12">
        <f t="shared" si="853"/>
        <v>25</v>
      </c>
      <c r="BEY12">
        <f t="shared" si="854"/>
        <v>43.75</v>
      </c>
      <c r="BEZ12">
        <f t="shared" si="855"/>
        <v>25</v>
      </c>
      <c r="BFA12">
        <f t="shared" si="856"/>
        <v>0</v>
      </c>
      <c r="BFB12">
        <f t="shared" si="857"/>
        <v>0</v>
      </c>
      <c r="BFC12">
        <f t="shared" si="858"/>
        <v>0</v>
      </c>
      <c r="BFD12">
        <f t="shared" si="859"/>
        <v>0</v>
      </c>
      <c r="BFE12">
        <f t="shared" si="860"/>
        <v>0</v>
      </c>
      <c r="BFF12">
        <f t="shared" si="861"/>
        <v>0</v>
      </c>
      <c r="BFG12">
        <f t="shared" si="862"/>
        <v>0</v>
      </c>
      <c r="BFH12">
        <f t="shared" si="863"/>
        <v>0</v>
      </c>
      <c r="BFI12">
        <f t="shared" si="864"/>
        <v>0</v>
      </c>
      <c r="BFJ12">
        <f t="shared" si="865"/>
        <v>0</v>
      </c>
      <c r="BFK12">
        <f t="shared" si="866"/>
        <v>0</v>
      </c>
      <c r="BFL12">
        <f t="shared" si="867"/>
        <v>12.5</v>
      </c>
      <c r="BFM12">
        <f t="shared" si="868"/>
        <v>12.5</v>
      </c>
      <c r="BFN12">
        <f t="shared" si="869"/>
        <v>12.5</v>
      </c>
      <c r="BFO12">
        <f t="shared" si="870"/>
        <v>25</v>
      </c>
      <c r="BFP12">
        <f t="shared" si="871"/>
        <v>25</v>
      </c>
      <c r="BFQ12">
        <f t="shared" si="872"/>
        <v>25</v>
      </c>
      <c r="BFR12">
        <f t="shared" si="873"/>
        <v>25</v>
      </c>
      <c r="BFS12">
        <f t="shared" si="874"/>
        <v>25</v>
      </c>
      <c r="BFT12">
        <f t="shared" si="875"/>
        <v>25</v>
      </c>
      <c r="BFU12">
        <f t="shared" si="876"/>
        <v>43.75</v>
      </c>
      <c r="BFV12">
        <f t="shared" si="877"/>
        <v>25</v>
      </c>
      <c r="BFW12">
        <f t="shared" si="878"/>
        <v>0</v>
      </c>
      <c r="BFX12">
        <f t="shared" si="879"/>
        <v>0</v>
      </c>
      <c r="BFY12">
        <f t="shared" si="880"/>
        <v>0</v>
      </c>
      <c r="BFZ12">
        <f t="shared" si="881"/>
        <v>0</v>
      </c>
      <c r="BGA12">
        <f t="shared" si="882"/>
        <v>0</v>
      </c>
      <c r="BGB12">
        <f t="shared" si="883"/>
        <v>0</v>
      </c>
      <c r="BGC12">
        <f t="shared" si="884"/>
        <v>0</v>
      </c>
      <c r="BGD12">
        <f t="shared" si="46"/>
        <v>0</v>
      </c>
      <c r="BGE12">
        <f t="shared" si="885"/>
        <v>0</v>
      </c>
      <c r="BGF12">
        <f t="shared" si="886"/>
        <v>0</v>
      </c>
      <c r="BGG12">
        <f t="shared" si="887"/>
        <v>0</v>
      </c>
      <c r="BGH12">
        <f t="shared" si="888"/>
        <v>12.5</v>
      </c>
      <c r="BGI12">
        <f t="shared" si="889"/>
        <v>12.5</v>
      </c>
      <c r="BGJ12">
        <f t="shared" si="890"/>
        <v>12.5</v>
      </c>
      <c r="BGK12">
        <f t="shared" si="891"/>
        <v>25</v>
      </c>
      <c r="BGL12">
        <f t="shared" si="892"/>
        <v>25</v>
      </c>
      <c r="BGM12">
        <f t="shared" si="893"/>
        <v>25</v>
      </c>
      <c r="BGN12">
        <f t="shared" si="894"/>
        <v>25</v>
      </c>
      <c r="BGO12">
        <f t="shared" si="895"/>
        <v>25</v>
      </c>
      <c r="BGP12">
        <f t="shared" si="896"/>
        <v>25</v>
      </c>
      <c r="BGQ12">
        <f t="shared" si="897"/>
        <v>43.75</v>
      </c>
      <c r="BGR12">
        <f t="shared" si="898"/>
        <v>25</v>
      </c>
      <c r="BGS12">
        <f t="shared" si="899"/>
        <v>0</v>
      </c>
      <c r="BGT12">
        <f t="shared" si="900"/>
        <v>0</v>
      </c>
      <c r="BGU12">
        <f t="shared" si="901"/>
        <v>0</v>
      </c>
      <c r="BGV12">
        <f t="shared" si="902"/>
        <v>0</v>
      </c>
      <c r="BGW12">
        <f t="shared" si="903"/>
        <v>0</v>
      </c>
      <c r="BGX12">
        <f t="shared" si="904"/>
        <v>0</v>
      </c>
      <c r="BGY12">
        <f t="shared" si="905"/>
        <v>0</v>
      </c>
      <c r="BGZ12">
        <f t="shared" si="906"/>
        <v>0</v>
      </c>
      <c r="BHA12">
        <f t="shared" si="907"/>
        <v>0</v>
      </c>
      <c r="BHB12">
        <f t="shared" si="908"/>
        <v>0</v>
      </c>
      <c r="BHC12">
        <f t="shared" si="909"/>
        <v>0</v>
      </c>
      <c r="BHD12">
        <f t="shared" si="910"/>
        <v>12.5</v>
      </c>
      <c r="BHE12">
        <f t="shared" si="911"/>
        <v>12.5</v>
      </c>
      <c r="BHF12">
        <f t="shared" si="912"/>
        <v>12.5</v>
      </c>
      <c r="BHG12">
        <f t="shared" si="913"/>
        <v>25</v>
      </c>
      <c r="BHH12">
        <f t="shared" si="914"/>
        <v>25</v>
      </c>
      <c r="BHI12">
        <f t="shared" si="915"/>
        <v>25</v>
      </c>
      <c r="BHJ12">
        <f t="shared" si="916"/>
        <v>25</v>
      </c>
      <c r="BHK12">
        <f t="shared" si="917"/>
        <v>25</v>
      </c>
      <c r="BHL12">
        <f t="shared" si="918"/>
        <v>25</v>
      </c>
      <c r="BHM12">
        <f t="shared" si="919"/>
        <v>43.75</v>
      </c>
      <c r="BHN12">
        <f t="shared" si="920"/>
        <v>25</v>
      </c>
      <c r="BHO12">
        <f t="shared" si="921"/>
        <v>0</v>
      </c>
      <c r="BHP12">
        <f t="shared" si="922"/>
        <v>0</v>
      </c>
      <c r="BHQ12">
        <f t="shared" si="923"/>
        <v>0</v>
      </c>
      <c r="BHR12">
        <f t="shared" si="924"/>
        <v>0</v>
      </c>
      <c r="BHS12">
        <f t="shared" si="925"/>
        <v>0</v>
      </c>
      <c r="BHT12">
        <f t="shared" si="926"/>
        <v>0</v>
      </c>
      <c r="BHU12">
        <f t="shared" si="927"/>
        <v>0</v>
      </c>
      <c r="BHV12">
        <f t="shared" si="928"/>
        <v>0</v>
      </c>
      <c r="BHW12">
        <f t="shared" si="929"/>
        <v>0</v>
      </c>
      <c r="BHX12">
        <f t="shared" si="930"/>
        <v>0</v>
      </c>
      <c r="BHY12">
        <f t="shared" si="931"/>
        <v>0</v>
      </c>
      <c r="BHZ12">
        <f t="shared" si="932"/>
        <v>12.5</v>
      </c>
      <c r="BIA12">
        <f t="shared" si="933"/>
        <v>12.5</v>
      </c>
      <c r="BIB12">
        <f t="shared" si="934"/>
        <v>12.5</v>
      </c>
      <c r="BIC12">
        <f t="shared" si="935"/>
        <v>25</v>
      </c>
      <c r="BID12">
        <f t="shared" si="936"/>
        <v>25</v>
      </c>
      <c r="BIE12">
        <f t="shared" si="937"/>
        <v>25</v>
      </c>
      <c r="BIF12">
        <f t="shared" si="938"/>
        <v>25</v>
      </c>
      <c r="BIG12">
        <f t="shared" si="939"/>
        <v>25</v>
      </c>
      <c r="BIH12">
        <f t="shared" si="940"/>
        <v>25</v>
      </c>
      <c r="BII12">
        <f t="shared" si="941"/>
        <v>43.75</v>
      </c>
      <c r="BIJ12">
        <f t="shared" si="942"/>
        <v>25</v>
      </c>
      <c r="BIK12">
        <f t="shared" si="943"/>
        <v>0</v>
      </c>
      <c r="BIL12">
        <f t="shared" si="944"/>
        <v>0</v>
      </c>
      <c r="BIM12">
        <f t="shared" si="945"/>
        <v>0</v>
      </c>
      <c r="BIN12">
        <f t="shared" si="946"/>
        <v>0</v>
      </c>
      <c r="BIO12">
        <f t="shared" si="947"/>
        <v>0</v>
      </c>
      <c r="BIP12">
        <f t="shared" si="47"/>
        <v>0</v>
      </c>
      <c r="BIQ12">
        <f t="shared" si="948"/>
        <v>0</v>
      </c>
      <c r="BIR12">
        <f t="shared" si="949"/>
        <v>0</v>
      </c>
      <c r="BIS12">
        <f t="shared" si="950"/>
        <v>0</v>
      </c>
      <c r="BIT12">
        <f t="shared" si="951"/>
        <v>0</v>
      </c>
      <c r="BIU12">
        <f t="shared" si="952"/>
        <v>0</v>
      </c>
      <c r="BIV12">
        <f t="shared" si="953"/>
        <v>12.5</v>
      </c>
      <c r="BIW12">
        <f t="shared" si="954"/>
        <v>12.5</v>
      </c>
      <c r="BIX12">
        <f t="shared" si="955"/>
        <v>12.5</v>
      </c>
      <c r="BIY12">
        <f t="shared" si="956"/>
        <v>25</v>
      </c>
      <c r="BIZ12">
        <f t="shared" si="957"/>
        <v>25</v>
      </c>
      <c r="BJA12">
        <f t="shared" si="958"/>
        <v>25</v>
      </c>
      <c r="BJB12">
        <f t="shared" si="959"/>
        <v>25</v>
      </c>
      <c r="BJC12">
        <f t="shared" si="960"/>
        <v>25</v>
      </c>
      <c r="BJD12">
        <f t="shared" si="961"/>
        <v>25</v>
      </c>
      <c r="BJE12">
        <f t="shared" si="962"/>
        <v>43.75</v>
      </c>
      <c r="BJF12">
        <f t="shared" si="963"/>
        <v>25</v>
      </c>
      <c r="BJG12">
        <f t="shared" si="964"/>
        <v>0</v>
      </c>
      <c r="BJH12">
        <f t="shared" si="965"/>
        <v>0</v>
      </c>
      <c r="BJI12">
        <f t="shared" si="966"/>
        <v>0</v>
      </c>
      <c r="BJJ12">
        <f t="shared" si="967"/>
        <v>0</v>
      </c>
      <c r="BJK12">
        <f t="shared" si="968"/>
        <v>0</v>
      </c>
      <c r="BJL12">
        <f t="shared" si="969"/>
        <v>0</v>
      </c>
      <c r="BJM12">
        <f t="shared" si="970"/>
        <v>0</v>
      </c>
      <c r="BJN12">
        <f t="shared" si="971"/>
        <v>0</v>
      </c>
      <c r="BJO12">
        <f t="shared" si="972"/>
        <v>0</v>
      </c>
      <c r="BJP12">
        <f t="shared" si="973"/>
        <v>0</v>
      </c>
      <c r="BJQ12">
        <f t="shared" si="974"/>
        <v>0</v>
      </c>
      <c r="BJR12">
        <f t="shared" si="975"/>
        <v>12.5</v>
      </c>
      <c r="BJS12">
        <f t="shared" si="976"/>
        <v>12.5</v>
      </c>
      <c r="BJT12">
        <f t="shared" si="977"/>
        <v>12.5</v>
      </c>
      <c r="BJU12">
        <f t="shared" si="978"/>
        <v>25</v>
      </c>
      <c r="BJV12">
        <f t="shared" si="979"/>
        <v>25</v>
      </c>
      <c r="BJW12">
        <f t="shared" si="980"/>
        <v>25</v>
      </c>
      <c r="BJX12">
        <f t="shared" si="981"/>
        <v>25</v>
      </c>
      <c r="BJY12">
        <f t="shared" si="982"/>
        <v>25</v>
      </c>
      <c r="BJZ12">
        <f t="shared" si="983"/>
        <v>25</v>
      </c>
      <c r="BKA12">
        <f t="shared" si="984"/>
        <v>43.75</v>
      </c>
      <c r="BKB12">
        <f t="shared" si="985"/>
        <v>25</v>
      </c>
      <c r="BKC12">
        <f t="shared" si="986"/>
        <v>0</v>
      </c>
      <c r="BKD12">
        <f t="shared" si="987"/>
        <v>0</v>
      </c>
      <c r="BKE12">
        <f t="shared" si="988"/>
        <v>0</v>
      </c>
      <c r="BKF12">
        <f t="shared" si="989"/>
        <v>0</v>
      </c>
      <c r="BKG12">
        <f t="shared" si="990"/>
        <v>0</v>
      </c>
      <c r="BKH12">
        <f t="shared" si="991"/>
        <v>0</v>
      </c>
      <c r="BKI12">
        <f t="shared" si="992"/>
        <v>0</v>
      </c>
      <c r="BKJ12">
        <f t="shared" si="993"/>
        <v>0</v>
      </c>
      <c r="BKK12">
        <f t="shared" si="994"/>
        <v>0</v>
      </c>
      <c r="BKL12">
        <f t="shared" si="995"/>
        <v>0</v>
      </c>
      <c r="BKM12">
        <f t="shared" si="996"/>
        <v>0</v>
      </c>
      <c r="BKN12">
        <f t="shared" si="997"/>
        <v>12.5</v>
      </c>
      <c r="BKO12">
        <f t="shared" si="998"/>
        <v>12.5</v>
      </c>
      <c r="BKP12">
        <f t="shared" si="999"/>
        <v>12.5</v>
      </c>
      <c r="BKQ12">
        <f t="shared" si="1000"/>
        <v>25</v>
      </c>
      <c r="BKR12">
        <f t="shared" si="1001"/>
        <v>25</v>
      </c>
      <c r="BKS12">
        <f t="shared" si="1002"/>
        <v>25</v>
      </c>
      <c r="BKT12">
        <f t="shared" si="1003"/>
        <v>25</v>
      </c>
      <c r="BKU12">
        <f t="shared" si="1004"/>
        <v>25</v>
      </c>
      <c r="BKV12">
        <f t="shared" si="1005"/>
        <v>25</v>
      </c>
      <c r="BKW12">
        <f t="shared" si="1006"/>
        <v>43.75</v>
      </c>
      <c r="BKX12">
        <f t="shared" si="1007"/>
        <v>25</v>
      </c>
      <c r="BKY12">
        <f t="shared" si="1008"/>
        <v>0</v>
      </c>
      <c r="BKZ12">
        <f t="shared" si="1009"/>
        <v>0</v>
      </c>
      <c r="BLA12">
        <f t="shared" si="1010"/>
        <v>0</v>
      </c>
      <c r="BLB12">
        <f t="shared" si="48"/>
        <v>0</v>
      </c>
      <c r="BLC12">
        <f t="shared" si="1011"/>
        <v>0</v>
      </c>
      <c r="BLD12">
        <f t="shared" si="1012"/>
        <v>0</v>
      </c>
      <c r="BLE12">
        <f t="shared" si="1013"/>
        <v>0</v>
      </c>
      <c r="BLF12">
        <f t="shared" si="1014"/>
        <v>0</v>
      </c>
      <c r="BLG12">
        <f t="shared" si="1015"/>
        <v>0</v>
      </c>
      <c r="BLH12">
        <f t="shared" si="1016"/>
        <v>0</v>
      </c>
      <c r="BLI12">
        <f t="shared" si="1017"/>
        <v>0</v>
      </c>
      <c r="BLJ12">
        <f t="shared" si="1018"/>
        <v>12.5</v>
      </c>
      <c r="BLK12">
        <f t="shared" si="1019"/>
        <v>12.5</v>
      </c>
      <c r="BLL12">
        <f t="shared" si="1020"/>
        <v>12.5</v>
      </c>
      <c r="BLM12">
        <f t="shared" si="1021"/>
        <v>25</v>
      </c>
      <c r="BLN12">
        <f t="shared" si="1022"/>
        <v>25</v>
      </c>
      <c r="BLO12">
        <f t="shared" si="1023"/>
        <v>25</v>
      </c>
      <c r="BLP12">
        <f t="shared" si="1024"/>
        <v>25</v>
      </c>
      <c r="BLQ12">
        <f t="shared" si="1025"/>
        <v>25</v>
      </c>
      <c r="BLR12">
        <f t="shared" si="1026"/>
        <v>25</v>
      </c>
      <c r="BLS12">
        <f t="shared" si="1027"/>
        <v>43.75</v>
      </c>
      <c r="BLT12">
        <f t="shared" si="1028"/>
        <v>25</v>
      </c>
      <c r="BLU12">
        <f t="shared" si="1029"/>
        <v>0</v>
      </c>
      <c r="BLV12">
        <f t="shared" si="1030"/>
        <v>0</v>
      </c>
      <c r="BLW12">
        <f t="shared" si="1031"/>
        <v>0</v>
      </c>
      <c r="BLX12">
        <f t="shared" si="1032"/>
        <v>0</v>
      </c>
      <c r="BLY12">
        <f t="shared" si="1033"/>
        <v>0</v>
      </c>
      <c r="BLZ12">
        <f t="shared" si="1034"/>
        <v>0</v>
      </c>
      <c r="BMA12">
        <f t="shared" si="1035"/>
        <v>0</v>
      </c>
      <c r="BMB12">
        <f t="shared" si="1036"/>
        <v>0</v>
      </c>
      <c r="BMC12">
        <f t="shared" si="1037"/>
        <v>0</v>
      </c>
      <c r="BMD12">
        <f t="shared" si="1038"/>
        <v>0</v>
      </c>
      <c r="BME12">
        <f t="shared" si="1039"/>
        <v>0</v>
      </c>
      <c r="BMF12">
        <f t="shared" si="1040"/>
        <v>12.5</v>
      </c>
      <c r="BMG12">
        <f t="shared" si="1041"/>
        <v>12.5</v>
      </c>
      <c r="BMH12">
        <f t="shared" si="1042"/>
        <v>12.5</v>
      </c>
      <c r="BMI12">
        <f t="shared" si="1043"/>
        <v>25</v>
      </c>
      <c r="BMJ12">
        <f t="shared" si="1044"/>
        <v>25</v>
      </c>
      <c r="BMK12">
        <f t="shared" si="1045"/>
        <v>25</v>
      </c>
      <c r="BML12">
        <f t="shared" si="1046"/>
        <v>25</v>
      </c>
      <c r="BMM12">
        <f t="shared" si="1047"/>
        <v>25</v>
      </c>
      <c r="BMN12">
        <f t="shared" si="1048"/>
        <v>25</v>
      </c>
      <c r="BMO12">
        <f t="shared" si="1049"/>
        <v>43.75</v>
      </c>
      <c r="BMP12">
        <f t="shared" si="1050"/>
        <v>25</v>
      </c>
      <c r="BMQ12">
        <f t="shared" si="1051"/>
        <v>0</v>
      </c>
      <c r="BMR12">
        <f t="shared" si="1052"/>
        <v>0</v>
      </c>
      <c r="BMS12">
        <f t="shared" si="1053"/>
        <v>0</v>
      </c>
      <c r="BMT12">
        <f t="shared" si="1054"/>
        <v>0</v>
      </c>
      <c r="BMU12">
        <f t="shared" si="1055"/>
        <v>0</v>
      </c>
      <c r="BMV12">
        <f t="shared" si="1056"/>
        <v>0</v>
      </c>
      <c r="BMW12">
        <f t="shared" si="1057"/>
        <v>0</v>
      </c>
      <c r="BMX12">
        <f t="shared" si="1058"/>
        <v>0</v>
      </c>
      <c r="BMY12">
        <f t="shared" si="1059"/>
        <v>0</v>
      </c>
      <c r="BMZ12">
        <f t="shared" si="1060"/>
        <v>0</v>
      </c>
      <c r="BNA12">
        <f t="shared" si="1061"/>
        <v>0</v>
      </c>
      <c r="BNB12">
        <f t="shared" si="1062"/>
        <v>12.5</v>
      </c>
      <c r="BNC12">
        <f t="shared" si="1063"/>
        <v>12.5</v>
      </c>
      <c r="BND12">
        <f t="shared" si="1064"/>
        <v>12.5</v>
      </c>
      <c r="BNE12">
        <f t="shared" si="1065"/>
        <v>25</v>
      </c>
      <c r="BNF12">
        <f t="shared" si="1066"/>
        <v>25</v>
      </c>
      <c r="BNG12">
        <f t="shared" si="1067"/>
        <v>25</v>
      </c>
      <c r="BNH12">
        <f t="shared" si="1068"/>
        <v>25</v>
      </c>
      <c r="BNI12">
        <f t="shared" si="1069"/>
        <v>25</v>
      </c>
      <c r="BNJ12">
        <f t="shared" si="1070"/>
        <v>25</v>
      </c>
      <c r="BNK12">
        <f t="shared" si="1071"/>
        <v>43.75</v>
      </c>
      <c r="BNL12">
        <f t="shared" si="1072"/>
        <v>25</v>
      </c>
      <c r="BNM12">
        <f t="shared" si="1073"/>
        <v>0</v>
      </c>
      <c r="BNN12">
        <f t="shared" si="49"/>
        <v>0</v>
      </c>
      <c r="BNO12">
        <f t="shared" si="1074"/>
        <v>0</v>
      </c>
      <c r="BNP12">
        <f t="shared" si="1075"/>
        <v>0</v>
      </c>
      <c r="BNQ12">
        <f t="shared" si="1076"/>
        <v>0</v>
      </c>
      <c r="BNR12">
        <f t="shared" si="1077"/>
        <v>0</v>
      </c>
      <c r="BNS12">
        <f t="shared" si="1078"/>
        <v>0</v>
      </c>
      <c r="BNT12">
        <f t="shared" si="1079"/>
        <v>0</v>
      </c>
      <c r="BNU12">
        <f t="shared" si="1080"/>
        <v>0</v>
      </c>
      <c r="BNV12">
        <f t="shared" si="1081"/>
        <v>0</v>
      </c>
      <c r="BNW12">
        <f t="shared" si="1082"/>
        <v>0</v>
      </c>
      <c r="BNX12">
        <f t="shared" si="1083"/>
        <v>12.5</v>
      </c>
      <c r="BNY12">
        <f t="shared" si="1084"/>
        <v>12.5</v>
      </c>
      <c r="BNZ12">
        <f t="shared" si="1085"/>
        <v>12.5</v>
      </c>
      <c r="BOA12">
        <f t="shared" si="1086"/>
        <v>25</v>
      </c>
      <c r="BOB12">
        <f t="shared" si="1087"/>
        <v>25</v>
      </c>
      <c r="BOC12">
        <f t="shared" si="1088"/>
        <v>25</v>
      </c>
      <c r="BOD12">
        <f t="shared" si="1089"/>
        <v>25</v>
      </c>
      <c r="BOE12">
        <f t="shared" si="1090"/>
        <v>25</v>
      </c>
      <c r="BOF12">
        <f t="shared" si="1091"/>
        <v>25</v>
      </c>
      <c r="BOG12">
        <f t="shared" si="1092"/>
        <v>43.75</v>
      </c>
      <c r="BOH12">
        <f t="shared" si="1093"/>
        <v>25</v>
      </c>
      <c r="BOI12">
        <f t="shared" si="1094"/>
        <v>0</v>
      </c>
      <c r="BOJ12">
        <f t="shared" si="1095"/>
        <v>0</v>
      </c>
      <c r="BOK12">
        <f t="shared" si="1096"/>
        <v>0</v>
      </c>
      <c r="BOL12">
        <f t="shared" si="1097"/>
        <v>0</v>
      </c>
      <c r="BOM12">
        <f t="shared" si="1098"/>
        <v>0</v>
      </c>
      <c r="BON12">
        <f t="shared" si="1099"/>
        <v>0</v>
      </c>
      <c r="BOO12">
        <f t="shared" si="1100"/>
        <v>0</v>
      </c>
      <c r="BOP12">
        <f t="shared" si="1101"/>
        <v>0</v>
      </c>
      <c r="BOQ12">
        <f t="shared" si="1102"/>
        <v>0</v>
      </c>
      <c r="BOR12">
        <f t="shared" si="1103"/>
        <v>0</v>
      </c>
      <c r="BOS12">
        <f t="shared" si="1104"/>
        <v>0</v>
      </c>
      <c r="BOT12">
        <f t="shared" si="1105"/>
        <v>12.5</v>
      </c>
      <c r="BOU12">
        <f t="shared" si="1106"/>
        <v>12.5</v>
      </c>
      <c r="BOV12">
        <f t="shared" si="1107"/>
        <v>12.5</v>
      </c>
      <c r="BOW12">
        <f t="shared" si="1108"/>
        <v>25</v>
      </c>
      <c r="BOX12">
        <f t="shared" si="1109"/>
        <v>25</v>
      </c>
      <c r="BOY12">
        <f t="shared" si="1110"/>
        <v>25</v>
      </c>
      <c r="BOZ12">
        <f t="shared" si="1111"/>
        <v>25</v>
      </c>
      <c r="BPA12">
        <f t="shared" si="1112"/>
        <v>25</v>
      </c>
      <c r="BPB12">
        <f t="shared" si="1113"/>
        <v>25</v>
      </c>
      <c r="BPC12">
        <f t="shared" si="1114"/>
        <v>43.75</v>
      </c>
      <c r="BPD12">
        <f t="shared" si="1115"/>
        <v>25</v>
      </c>
      <c r="BPE12">
        <f t="shared" si="1116"/>
        <v>0</v>
      </c>
      <c r="BPF12">
        <f t="shared" si="1117"/>
        <v>0</v>
      </c>
      <c r="BPG12">
        <f t="shared" si="1118"/>
        <v>0</v>
      </c>
      <c r="BPH12">
        <f t="shared" si="1119"/>
        <v>0</v>
      </c>
      <c r="BPI12">
        <f t="shared" si="1120"/>
        <v>0</v>
      </c>
      <c r="BPJ12">
        <f t="shared" si="1121"/>
        <v>0</v>
      </c>
      <c r="BPK12">
        <f t="shared" si="1122"/>
        <v>0</v>
      </c>
      <c r="BPL12">
        <f t="shared" si="1123"/>
        <v>0</v>
      </c>
      <c r="BPM12">
        <f t="shared" si="1124"/>
        <v>0</v>
      </c>
      <c r="BPN12">
        <f t="shared" si="1125"/>
        <v>0</v>
      </c>
      <c r="BPO12">
        <f t="shared" si="1126"/>
        <v>0</v>
      </c>
      <c r="BPP12">
        <f t="shared" si="1127"/>
        <v>12.5</v>
      </c>
      <c r="BPQ12">
        <f t="shared" si="1128"/>
        <v>12.5</v>
      </c>
      <c r="BPR12">
        <f t="shared" si="1129"/>
        <v>12.5</v>
      </c>
      <c r="BPS12">
        <f t="shared" si="1130"/>
        <v>25</v>
      </c>
      <c r="BPT12">
        <f t="shared" si="1131"/>
        <v>25</v>
      </c>
      <c r="BPU12">
        <f t="shared" si="1132"/>
        <v>25</v>
      </c>
      <c r="BPV12">
        <f t="shared" si="1133"/>
        <v>25</v>
      </c>
      <c r="BPW12">
        <f t="shared" si="1134"/>
        <v>25</v>
      </c>
      <c r="BPX12">
        <f t="shared" si="1135"/>
        <v>25</v>
      </c>
      <c r="BPY12">
        <f t="shared" si="1136"/>
        <v>43.75</v>
      </c>
      <c r="BPZ12">
        <f t="shared" si="50"/>
        <v>25</v>
      </c>
      <c r="BQA12">
        <f t="shared" si="1137"/>
        <v>0</v>
      </c>
      <c r="BQB12">
        <f t="shared" si="1138"/>
        <v>0</v>
      </c>
      <c r="BQC12">
        <f t="shared" si="1139"/>
        <v>0</v>
      </c>
      <c r="BQD12">
        <f t="shared" si="1140"/>
        <v>0</v>
      </c>
      <c r="BQE12">
        <f t="shared" si="1141"/>
        <v>0</v>
      </c>
      <c r="BQF12">
        <f t="shared" si="1142"/>
        <v>0</v>
      </c>
      <c r="BQG12">
        <f t="shared" si="1143"/>
        <v>0</v>
      </c>
      <c r="BQH12">
        <f t="shared" si="1144"/>
        <v>0</v>
      </c>
      <c r="BQI12">
        <f t="shared" si="1145"/>
        <v>0</v>
      </c>
      <c r="BQJ12">
        <f t="shared" si="1146"/>
        <v>0</v>
      </c>
      <c r="BQK12">
        <f t="shared" si="1147"/>
        <v>0</v>
      </c>
      <c r="BQL12">
        <f t="shared" si="1148"/>
        <v>12.5</v>
      </c>
      <c r="BQM12">
        <f t="shared" si="1149"/>
        <v>12.5</v>
      </c>
      <c r="BQN12">
        <f t="shared" si="1150"/>
        <v>12.5</v>
      </c>
      <c r="BQO12">
        <f t="shared" si="1151"/>
        <v>25</v>
      </c>
      <c r="BQP12">
        <f t="shared" si="1152"/>
        <v>25</v>
      </c>
      <c r="BQQ12">
        <f t="shared" si="1153"/>
        <v>25</v>
      </c>
      <c r="BQR12">
        <f t="shared" si="1154"/>
        <v>25</v>
      </c>
      <c r="BQS12">
        <f t="shared" si="1155"/>
        <v>25</v>
      </c>
      <c r="BQT12">
        <f t="shared" si="1156"/>
        <v>25</v>
      </c>
      <c r="BQU12">
        <f t="shared" si="1157"/>
        <v>43.75</v>
      </c>
      <c r="BQV12">
        <f t="shared" si="1158"/>
        <v>25</v>
      </c>
      <c r="BQW12">
        <f t="shared" si="1159"/>
        <v>0</v>
      </c>
      <c r="BQX12">
        <f t="shared" si="1160"/>
        <v>0</v>
      </c>
      <c r="BQY12">
        <f t="shared" si="1161"/>
        <v>0</v>
      </c>
      <c r="BQZ12">
        <f t="shared" si="1162"/>
        <v>0</v>
      </c>
      <c r="BRA12">
        <f t="shared" si="1163"/>
        <v>0</v>
      </c>
      <c r="BRB12">
        <f t="shared" si="1164"/>
        <v>0</v>
      </c>
      <c r="BRC12">
        <f t="shared" si="1165"/>
        <v>0</v>
      </c>
      <c r="BRD12">
        <f t="shared" si="1166"/>
        <v>0</v>
      </c>
      <c r="BRE12">
        <f t="shared" si="1167"/>
        <v>0</v>
      </c>
      <c r="BRF12">
        <f t="shared" si="1168"/>
        <v>0</v>
      </c>
      <c r="BRG12">
        <f t="shared" si="1169"/>
        <v>0</v>
      </c>
      <c r="BRH12">
        <f t="shared" si="1170"/>
        <v>12.5</v>
      </c>
      <c r="BRI12">
        <f t="shared" si="1171"/>
        <v>12.5</v>
      </c>
      <c r="BRJ12">
        <f t="shared" si="1172"/>
        <v>12.5</v>
      </c>
      <c r="BRK12">
        <f t="shared" si="1173"/>
        <v>25</v>
      </c>
      <c r="BRL12">
        <f t="shared" si="1174"/>
        <v>25</v>
      </c>
      <c r="BRM12">
        <f t="shared" si="1175"/>
        <v>25</v>
      </c>
      <c r="BRN12">
        <f t="shared" si="1176"/>
        <v>25</v>
      </c>
      <c r="BRO12">
        <f t="shared" si="1177"/>
        <v>25</v>
      </c>
      <c r="BRP12">
        <f t="shared" si="1178"/>
        <v>25</v>
      </c>
      <c r="BRQ12">
        <f t="shared" si="1179"/>
        <v>43.75</v>
      </c>
      <c r="BRR12">
        <f t="shared" si="1180"/>
        <v>25</v>
      </c>
      <c r="BRS12">
        <f t="shared" si="1181"/>
        <v>0</v>
      </c>
      <c r="BRT12">
        <f t="shared" si="1182"/>
        <v>0</v>
      </c>
      <c r="BRU12">
        <f t="shared" si="1183"/>
        <v>0</v>
      </c>
      <c r="BRV12">
        <f t="shared" si="1184"/>
        <v>0</v>
      </c>
      <c r="BRW12">
        <f t="shared" si="1185"/>
        <v>0</v>
      </c>
      <c r="BRX12">
        <f t="shared" si="1186"/>
        <v>0</v>
      </c>
      <c r="BRY12">
        <f t="shared" si="1187"/>
        <v>0</v>
      </c>
      <c r="BRZ12">
        <f t="shared" si="1188"/>
        <v>0</v>
      </c>
      <c r="BSA12">
        <f t="shared" si="1189"/>
        <v>0</v>
      </c>
      <c r="BSB12">
        <f t="shared" si="1190"/>
        <v>0</v>
      </c>
      <c r="BSC12">
        <f t="shared" si="1191"/>
        <v>0</v>
      </c>
      <c r="BSD12">
        <f t="shared" si="1192"/>
        <v>12.5</v>
      </c>
      <c r="BSE12">
        <f t="shared" si="1193"/>
        <v>12.5</v>
      </c>
      <c r="BSF12">
        <f t="shared" si="1194"/>
        <v>12.5</v>
      </c>
      <c r="BSG12">
        <f t="shared" si="1195"/>
        <v>25</v>
      </c>
      <c r="BSH12">
        <f t="shared" si="1196"/>
        <v>25</v>
      </c>
      <c r="BSI12">
        <f t="shared" si="1197"/>
        <v>25</v>
      </c>
      <c r="BSJ12">
        <f t="shared" si="1198"/>
        <v>25</v>
      </c>
      <c r="BSK12">
        <f t="shared" si="1199"/>
        <v>25</v>
      </c>
      <c r="BSL12">
        <f t="shared" si="51"/>
        <v>25</v>
      </c>
      <c r="BSM12">
        <f t="shared" si="1200"/>
        <v>43.75</v>
      </c>
      <c r="BSN12">
        <f t="shared" si="1201"/>
        <v>25</v>
      </c>
      <c r="BSO12">
        <f t="shared" si="1202"/>
        <v>0</v>
      </c>
      <c r="BSP12">
        <f t="shared" si="1203"/>
        <v>0</v>
      </c>
      <c r="BSQ12">
        <f t="shared" si="1204"/>
        <v>0</v>
      </c>
      <c r="BSR12">
        <f t="shared" si="1205"/>
        <v>0</v>
      </c>
      <c r="BSS12">
        <f t="shared" si="1206"/>
        <v>0</v>
      </c>
      <c r="BST12">
        <f t="shared" si="1207"/>
        <v>0</v>
      </c>
      <c r="BSU12">
        <f t="shared" si="1208"/>
        <v>0</v>
      </c>
      <c r="BSV12">
        <f t="shared" si="1209"/>
        <v>0</v>
      </c>
      <c r="BSW12">
        <f t="shared" si="1210"/>
        <v>0</v>
      </c>
      <c r="BSX12">
        <f t="shared" si="1211"/>
        <v>0</v>
      </c>
      <c r="BSY12">
        <f t="shared" si="1212"/>
        <v>0</v>
      </c>
      <c r="BSZ12">
        <f t="shared" si="1213"/>
        <v>12.5</v>
      </c>
      <c r="BTA12">
        <f t="shared" si="1214"/>
        <v>12.5</v>
      </c>
      <c r="BTB12">
        <f t="shared" si="1215"/>
        <v>12.5</v>
      </c>
      <c r="BTC12">
        <f t="shared" si="1216"/>
        <v>25</v>
      </c>
      <c r="BTD12">
        <f t="shared" si="1217"/>
        <v>25</v>
      </c>
      <c r="BTE12">
        <f t="shared" si="1218"/>
        <v>25</v>
      </c>
      <c r="BTF12">
        <f t="shared" si="1219"/>
        <v>25</v>
      </c>
      <c r="BTG12">
        <f t="shared" si="1220"/>
        <v>25</v>
      </c>
      <c r="BTH12">
        <f t="shared" si="1221"/>
        <v>25</v>
      </c>
      <c r="BTI12">
        <f t="shared" si="1222"/>
        <v>43.75</v>
      </c>
      <c r="BTJ12">
        <f t="shared" si="1223"/>
        <v>25</v>
      </c>
      <c r="BTK12">
        <f t="shared" si="1224"/>
        <v>0</v>
      </c>
      <c r="BTL12">
        <f t="shared" si="1225"/>
        <v>0</v>
      </c>
      <c r="BTM12">
        <f t="shared" si="1226"/>
        <v>0</v>
      </c>
      <c r="BTN12">
        <f t="shared" si="1227"/>
        <v>0</v>
      </c>
      <c r="BTO12">
        <f t="shared" si="1228"/>
        <v>0</v>
      </c>
      <c r="BTP12">
        <f t="shared" si="1229"/>
        <v>0</v>
      </c>
      <c r="BTQ12">
        <f t="shared" si="1230"/>
        <v>0</v>
      </c>
      <c r="BTR12">
        <f t="shared" si="1231"/>
        <v>0</v>
      </c>
      <c r="BTS12">
        <f t="shared" si="1232"/>
        <v>0</v>
      </c>
      <c r="BTT12">
        <f t="shared" si="1233"/>
        <v>0</v>
      </c>
      <c r="BTU12">
        <f t="shared" si="1234"/>
        <v>0</v>
      </c>
      <c r="BTV12">
        <f t="shared" si="1235"/>
        <v>12.5</v>
      </c>
      <c r="BTW12">
        <f t="shared" si="1236"/>
        <v>12.5</v>
      </c>
      <c r="BTX12">
        <f t="shared" si="1237"/>
        <v>12.5</v>
      </c>
      <c r="BTY12">
        <f t="shared" si="1238"/>
        <v>25</v>
      </c>
      <c r="BTZ12">
        <f t="shared" si="1239"/>
        <v>25</v>
      </c>
      <c r="BUA12">
        <f t="shared" si="1240"/>
        <v>25</v>
      </c>
      <c r="BUB12">
        <f t="shared" si="1241"/>
        <v>25</v>
      </c>
      <c r="BUC12">
        <f t="shared" si="1242"/>
        <v>25</v>
      </c>
      <c r="BUD12">
        <f t="shared" si="1243"/>
        <v>25</v>
      </c>
      <c r="BUE12">
        <f t="shared" si="1244"/>
        <v>43.75</v>
      </c>
      <c r="BUF12">
        <f t="shared" si="1245"/>
        <v>25</v>
      </c>
      <c r="BUG12">
        <f t="shared" si="1246"/>
        <v>0</v>
      </c>
      <c r="BUH12">
        <f t="shared" si="1247"/>
        <v>0</v>
      </c>
      <c r="BUI12">
        <f t="shared" si="1248"/>
        <v>0</v>
      </c>
      <c r="BUJ12">
        <f t="shared" si="1249"/>
        <v>0</v>
      </c>
      <c r="BUK12">
        <f t="shared" si="1250"/>
        <v>0</v>
      </c>
      <c r="BUL12">
        <f t="shared" si="1251"/>
        <v>0</v>
      </c>
      <c r="BUM12">
        <f t="shared" si="1252"/>
        <v>0</v>
      </c>
      <c r="BUN12">
        <f t="shared" si="1253"/>
        <v>0</v>
      </c>
      <c r="BUO12">
        <f t="shared" si="1254"/>
        <v>0</v>
      </c>
      <c r="BUP12">
        <f t="shared" si="1255"/>
        <v>0</v>
      </c>
      <c r="BUQ12">
        <f t="shared" si="1256"/>
        <v>0</v>
      </c>
      <c r="BUR12">
        <f t="shared" si="1257"/>
        <v>12.5</v>
      </c>
      <c r="BUS12">
        <f t="shared" si="1258"/>
        <v>12.5</v>
      </c>
      <c r="BUT12">
        <f t="shared" si="1259"/>
        <v>12.5</v>
      </c>
      <c r="BUU12">
        <f t="shared" si="1260"/>
        <v>25</v>
      </c>
      <c r="BUV12">
        <f t="shared" si="1261"/>
        <v>25</v>
      </c>
      <c r="BUW12">
        <f t="shared" si="1262"/>
        <v>25</v>
      </c>
      <c r="BUX12">
        <f t="shared" si="52"/>
        <v>25</v>
      </c>
      <c r="BUY12">
        <f t="shared" si="1263"/>
        <v>25</v>
      </c>
      <c r="BUZ12">
        <f t="shared" si="1264"/>
        <v>25</v>
      </c>
      <c r="BVA12">
        <f t="shared" si="1265"/>
        <v>43.75</v>
      </c>
      <c r="BVB12">
        <f t="shared" si="1266"/>
        <v>25</v>
      </c>
      <c r="BVC12">
        <f t="shared" si="1267"/>
        <v>0</v>
      </c>
      <c r="BVD12">
        <f t="shared" si="1268"/>
        <v>0</v>
      </c>
      <c r="BVE12">
        <f t="shared" si="1269"/>
        <v>0</v>
      </c>
      <c r="BVF12">
        <f t="shared" si="1270"/>
        <v>0</v>
      </c>
      <c r="BVG12">
        <f t="shared" si="1271"/>
        <v>0</v>
      </c>
      <c r="BVH12">
        <f t="shared" si="1272"/>
        <v>0</v>
      </c>
      <c r="BVI12">
        <f t="shared" si="1273"/>
        <v>0</v>
      </c>
      <c r="BVJ12">
        <f t="shared" si="1274"/>
        <v>0</v>
      </c>
      <c r="BVK12">
        <f t="shared" si="1275"/>
        <v>0</v>
      </c>
      <c r="BVL12">
        <f t="shared" si="1276"/>
        <v>0</v>
      </c>
      <c r="BVM12">
        <f t="shared" si="1277"/>
        <v>0</v>
      </c>
      <c r="BVN12">
        <f t="shared" si="1278"/>
        <v>12.5</v>
      </c>
      <c r="BVO12">
        <f t="shared" si="1279"/>
        <v>12.5</v>
      </c>
      <c r="BVP12">
        <f t="shared" si="1280"/>
        <v>12.5</v>
      </c>
      <c r="BVQ12">
        <f t="shared" si="1281"/>
        <v>25</v>
      </c>
      <c r="BVR12">
        <f t="shared" si="1282"/>
        <v>25</v>
      </c>
      <c r="BVS12">
        <f t="shared" si="1283"/>
        <v>25</v>
      </c>
      <c r="BVT12">
        <f t="shared" si="1284"/>
        <v>25</v>
      </c>
      <c r="BVU12">
        <f t="shared" si="1285"/>
        <v>25</v>
      </c>
      <c r="BVV12">
        <f t="shared" si="1286"/>
        <v>25</v>
      </c>
      <c r="BVW12">
        <f t="shared" si="1287"/>
        <v>43.75</v>
      </c>
      <c r="BVX12">
        <f t="shared" si="1288"/>
        <v>25</v>
      </c>
      <c r="BVY12">
        <f t="shared" si="1289"/>
        <v>0</v>
      </c>
      <c r="BVZ12">
        <f t="shared" si="1290"/>
        <v>0</v>
      </c>
      <c r="BWA12">
        <f t="shared" si="1291"/>
        <v>0</v>
      </c>
      <c r="BWB12">
        <f t="shared" si="1292"/>
        <v>0</v>
      </c>
      <c r="BWC12">
        <f t="shared" si="1293"/>
        <v>0</v>
      </c>
      <c r="BWD12">
        <f t="shared" si="1294"/>
        <v>0</v>
      </c>
      <c r="BWE12">
        <f t="shared" si="1295"/>
        <v>0</v>
      </c>
      <c r="BWF12">
        <f t="shared" si="1296"/>
        <v>0</v>
      </c>
      <c r="BWG12">
        <f t="shared" si="1297"/>
        <v>0</v>
      </c>
      <c r="BWH12">
        <f t="shared" si="1298"/>
        <v>0</v>
      </c>
      <c r="BWI12">
        <f t="shared" si="1299"/>
        <v>0</v>
      </c>
      <c r="BWJ12">
        <f t="shared" si="1300"/>
        <v>12.5</v>
      </c>
      <c r="BWK12">
        <f t="shared" si="1301"/>
        <v>12.5</v>
      </c>
      <c r="BWL12">
        <f t="shared" si="1302"/>
        <v>12.5</v>
      </c>
      <c r="BWM12">
        <f t="shared" si="1303"/>
        <v>25</v>
      </c>
      <c r="BWN12">
        <f t="shared" si="1304"/>
        <v>25</v>
      </c>
      <c r="BWO12">
        <f t="shared" si="1305"/>
        <v>25</v>
      </c>
      <c r="BWP12">
        <f t="shared" si="1306"/>
        <v>25</v>
      </c>
      <c r="BWQ12">
        <f t="shared" si="1307"/>
        <v>25</v>
      </c>
      <c r="BWR12">
        <f t="shared" si="1308"/>
        <v>25</v>
      </c>
      <c r="BWS12">
        <f t="shared" si="1309"/>
        <v>43.75</v>
      </c>
      <c r="BWT12">
        <f t="shared" si="1310"/>
        <v>25</v>
      </c>
      <c r="BWU12">
        <f t="shared" si="1311"/>
        <v>0</v>
      </c>
      <c r="BWV12">
        <f t="shared" si="1312"/>
        <v>0</v>
      </c>
      <c r="BWW12">
        <f t="shared" si="1313"/>
        <v>0</v>
      </c>
      <c r="BWX12">
        <f t="shared" si="1314"/>
        <v>0</v>
      </c>
      <c r="BWY12">
        <f t="shared" si="1315"/>
        <v>0</v>
      </c>
      <c r="BWZ12">
        <f t="shared" si="1316"/>
        <v>0</v>
      </c>
      <c r="BXA12">
        <f t="shared" si="1317"/>
        <v>0</v>
      </c>
      <c r="BXB12">
        <f t="shared" si="1318"/>
        <v>0</v>
      </c>
      <c r="BXC12">
        <f t="shared" si="1319"/>
        <v>0</v>
      </c>
      <c r="BXD12">
        <f t="shared" si="1320"/>
        <v>0</v>
      </c>
      <c r="BXE12">
        <f t="shared" si="1321"/>
        <v>0</v>
      </c>
      <c r="BXF12">
        <f t="shared" si="1322"/>
        <v>12.5</v>
      </c>
      <c r="BXG12">
        <f t="shared" si="1323"/>
        <v>12.5</v>
      </c>
      <c r="BXH12">
        <f t="shared" si="1324"/>
        <v>12.5</v>
      </c>
      <c r="BXI12">
        <f t="shared" si="1325"/>
        <v>25</v>
      </c>
      <c r="BXJ12">
        <f t="shared" si="53"/>
        <v>25</v>
      </c>
      <c r="BXK12">
        <f t="shared" si="1326"/>
        <v>25</v>
      </c>
      <c r="BXL12">
        <f t="shared" si="1327"/>
        <v>25</v>
      </c>
      <c r="BXM12">
        <f t="shared" si="1328"/>
        <v>25</v>
      </c>
      <c r="BXN12">
        <f t="shared" si="1329"/>
        <v>25</v>
      </c>
      <c r="BXO12">
        <f t="shared" si="1330"/>
        <v>43.75</v>
      </c>
      <c r="BXP12">
        <f t="shared" si="1331"/>
        <v>25</v>
      </c>
      <c r="BXQ12">
        <f t="shared" si="1332"/>
        <v>0</v>
      </c>
      <c r="BXR12">
        <f t="shared" si="1333"/>
        <v>0</v>
      </c>
      <c r="BXS12">
        <f t="shared" si="1334"/>
        <v>0</v>
      </c>
      <c r="BXT12">
        <f t="shared" si="1335"/>
        <v>0</v>
      </c>
      <c r="BXU12">
        <f t="shared" si="1336"/>
        <v>0</v>
      </c>
      <c r="BXV12">
        <f t="shared" si="1337"/>
        <v>0</v>
      </c>
      <c r="BXW12">
        <f t="shared" si="1338"/>
        <v>0</v>
      </c>
      <c r="BXX12">
        <f t="shared" si="1339"/>
        <v>0</v>
      </c>
      <c r="BXY12">
        <f t="shared" si="1340"/>
        <v>0</v>
      </c>
      <c r="BXZ12">
        <f t="shared" si="1341"/>
        <v>0</v>
      </c>
      <c r="BYA12">
        <f t="shared" si="1342"/>
        <v>0</v>
      </c>
      <c r="BYB12">
        <f t="shared" si="1343"/>
        <v>12.5</v>
      </c>
      <c r="BYC12">
        <f t="shared" si="1344"/>
        <v>12.5</v>
      </c>
      <c r="BYD12">
        <f t="shared" si="1345"/>
        <v>12.5</v>
      </c>
      <c r="BYE12">
        <f t="shared" si="1346"/>
        <v>25</v>
      </c>
      <c r="BYF12">
        <f t="shared" si="1347"/>
        <v>25</v>
      </c>
      <c r="BYG12">
        <f t="shared" si="1348"/>
        <v>25</v>
      </c>
      <c r="BYH12">
        <f t="shared" si="1349"/>
        <v>25</v>
      </c>
      <c r="BYI12">
        <f t="shared" si="1350"/>
        <v>25</v>
      </c>
      <c r="BYJ12">
        <f t="shared" si="1351"/>
        <v>25</v>
      </c>
      <c r="BYK12">
        <f t="shared" si="1352"/>
        <v>43.75</v>
      </c>
      <c r="BYL12">
        <f t="shared" si="1353"/>
        <v>25</v>
      </c>
      <c r="BYM12">
        <f t="shared" si="1354"/>
        <v>0</v>
      </c>
      <c r="BYN12">
        <f t="shared" si="1355"/>
        <v>0</v>
      </c>
      <c r="BYO12">
        <f t="shared" si="1356"/>
        <v>0</v>
      </c>
      <c r="BYP12">
        <f t="shared" si="1357"/>
        <v>0</v>
      </c>
      <c r="BYQ12">
        <f t="shared" si="1358"/>
        <v>0</v>
      </c>
      <c r="BYR12">
        <f t="shared" si="1359"/>
        <v>0</v>
      </c>
      <c r="BYS12">
        <f t="shared" si="1360"/>
        <v>0</v>
      </c>
      <c r="BYT12">
        <f t="shared" si="1361"/>
        <v>0</v>
      </c>
      <c r="BYU12">
        <f t="shared" si="1362"/>
        <v>0</v>
      </c>
      <c r="BYV12">
        <f t="shared" si="1363"/>
        <v>0</v>
      </c>
      <c r="BYW12">
        <f t="shared" si="1364"/>
        <v>0</v>
      </c>
      <c r="BYX12">
        <f t="shared" si="1365"/>
        <v>12.5</v>
      </c>
      <c r="BYY12">
        <f t="shared" si="1366"/>
        <v>12.5</v>
      </c>
      <c r="BYZ12">
        <f t="shared" si="1367"/>
        <v>12.5</v>
      </c>
      <c r="BZA12">
        <f t="shared" si="1368"/>
        <v>25</v>
      </c>
      <c r="BZB12">
        <f t="shared" si="1369"/>
        <v>25</v>
      </c>
      <c r="BZC12">
        <f t="shared" si="1370"/>
        <v>25</v>
      </c>
      <c r="BZD12">
        <f t="shared" si="1371"/>
        <v>25</v>
      </c>
      <c r="BZE12">
        <f t="shared" si="1372"/>
        <v>25</v>
      </c>
      <c r="BZF12">
        <f t="shared" si="1373"/>
        <v>25</v>
      </c>
      <c r="BZG12">
        <f t="shared" si="1374"/>
        <v>43.75</v>
      </c>
      <c r="BZH12">
        <f t="shared" si="1375"/>
        <v>25</v>
      </c>
      <c r="BZI12">
        <f t="shared" si="1376"/>
        <v>0</v>
      </c>
      <c r="BZJ12">
        <f t="shared" si="1377"/>
        <v>0</v>
      </c>
      <c r="BZK12">
        <f t="shared" si="1378"/>
        <v>0</v>
      </c>
      <c r="BZL12">
        <f t="shared" si="1379"/>
        <v>0</v>
      </c>
      <c r="BZM12">
        <f t="shared" si="1380"/>
        <v>0</v>
      </c>
      <c r="BZN12">
        <f t="shared" si="1381"/>
        <v>0</v>
      </c>
      <c r="BZO12">
        <f t="shared" si="1382"/>
        <v>0</v>
      </c>
      <c r="BZP12">
        <f t="shared" si="1383"/>
        <v>0</v>
      </c>
      <c r="BZQ12">
        <f t="shared" si="1384"/>
        <v>0</v>
      </c>
      <c r="BZR12">
        <f t="shared" si="1385"/>
        <v>0</v>
      </c>
      <c r="BZS12">
        <f t="shared" si="1386"/>
        <v>0</v>
      </c>
      <c r="BZT12">
        <f t="shared" si="1387"/>
        <v>12.5</v>
      </c>
      <c r="BZU12">
        <f t="shared" si="1388"/>
        <v>12.5</v>
      </c>
      <c r="BZV12">
        <f t="shared" si="54"/>
        <v>12.5</v>
      </c>
      <c r="BZW12">
        <f t="shared" si="1389"/>
        <v>25</v>
      </c>
      <c r="BZX12">
        <f t="shared" si="1390"/>
        <v>25</v>
      </c>
      <c r="BZY12">
        <f t="shared" si="1391"/>
        <v>25</v>
      </c>
      <c r="BZZ12">
        <f t="shared" si="1392"/>
        <v>25</v>
      </c>
      <c r="CAA12">
        <f t="shared" si="1393"/>
        <v>25</v>
      </c>
      <c r="CAB12">
        <f t="shared" si="1394"/>
        <v>25</v>
      </c>
      <c r="CAC12">
        <f t="shared" si="1395"/>
        <v>43.75</v>
      </c>
      <c r="CAD12">
        <f t="shared" si="1396"/>
        <v>25</v>
      </c>
      <c r="CAE12">
        <f t="shared" si="1397"/>
        <v>0</v>
      </c>
      <c r="CAF12">
        <f t="shared" si="1398"/>
        <v>0</v>
      </c>
      <c r="CAG12">
        <f t="shared" si="1399"/>
        <v>0</v>
      </c>
      <c r="CAH12">
        <f t="shared" si="1400"/>
        <v>0</v>
      </c>
      <c r="CAI12">
        <f t="shared" si="1401"/>
        <v>0</v>
      </c>
      <c r="CAJ12">
        <f t="shared" si="1402"/>
        <v>0</v>
      </c>
      <c r="CAK12">
        <f t="shared" si="1403"/>
        <v>0</v>
      </c>
      <c r="CAL12">
        <f t="shared" si="1404"/>
        <v>0</v>
      </c>
      <c r="CAM12">
        <f t="shared" si="1405"/>
        <v>0</v>
      </c>
      <c r="CAN12">
        <f t="shared" si="1406"/>
        <v>0</v>
      </c>
      <c r="CAO12">
        <f t="shared" si="1407"/>
        <v>0</v>
      </c>
      <c r="CAP12">
        <f t="shared" si="1408"/>
        <v>12.5</v>
      </c>
      <c r="CAQ12">
        <f t="shared" si="1409"/>
        <v>12.5</v>
      </c>
      <c r="CAR12">
        <f t="shared" si="1410"/>
        <v>12.5</v>
      </c>
      <c r="CAS12">
        <f t="shared" si="1411"/>
        <v>25</v>
      </c>
      <c r="CAT12">
        <f t="shared" si="1412"/>
        <v>25</v>
      </c>
      <c r="CAU12">
        <f t="shared" si="1413"/>
        <v>25</v>
      </c>
      <c r="CAV12">
        <f t="shared" si="1414"/>
        <v>25</v>
      </c>
      <c r="CAW12">
        <f t="shared" si="1415"/>
        <v>25</v>
      </c>
      <c r="CAX12">
        <f t="shared" si="1416"/>
        <v>25</v>
      </c>
      <c r="CAY12">
        <f t="shared" si="1417"/>
        <v>43.75</v>
      </c>
      <c r="CAZ12">
        <f t="shared" si="1418"/>
        <v>25</v>
      </c>
      <c r="CBA12">
        <f t="shared" si="1419"/>
        <v>0</v>
      </c>
      <c r="CBB12">
        <f t="shared" si="1420"/>
        <v>0</v>
      </c>
      <c r="CBC12">
        <f t="shared" si="1421"/>
        <v>0</v>
      </c>
      <c r="CBD12">
        <f t="shared" si="1422"/>
        <v>0</v>
      </c>
      <c r="CBE12">
        <f t="shared" si="1423"/>
        <v>0</v>
      </c>
      <c r="CBF12">
        <f t="shared" si="1424"/>
        <v>0</v>
      </c>
      <c r="CBG12">
        <f t="shared" si="1425"/>
        <v>0</v>
      </c>
      <c r="CBH12">
        <f t="shared" si="1426"/>
        <v>0</v>
      </c>
      <c r="CBI12">
        <f t="shared" si="1427"/>
        <v>0</v>
      </c>
      <c r="CBJ12">
        <f t="shared" si="1428"/>
        <v>0</v>
      </c>
      <c r="CBK12">
        <f t="shared" si="1429"/>
        <v>0</v>
      </c>
      <c r="CBL12">
        <f t="shared" si="1430"/>
        <v>12.5</v>
      </c>
      <c r="CBM12">
        <f t="shared" si="1431"/>
        <v>12.5</v>
      </c>
      <c r="CBN12">
        <f t="shared" si="1432"/>
        <v>12.5</v>
      </c>
      <c r="CBO12">
        <f t="shared" si="1433"/>
        <v>25</v>
      </c>
      <c r="CBP12">
        <f t="shared" si="1434"/>
        <v>25</v>
      </c>
      <c r="CBQ12">
        <f t="shared" si="1435"/>
        <v>25</v>
      </c>
      <c r="CBR12">
        <f t="shared" si="1436"/>
        <v>25</v>
      </c>
      <c r="CBS12">
        <f t="shared" si="1437"/>
        <v>25</v>
      </c>
      <c r="CBT12">
        <f t="shared" si="1438"/>
        <v>25</v>
      </c>
      <c r="CBU12">
        <f t="shared" si="1439"/>
        <v>43.75</v>
      </c>
      <c r="CBV12">
        <f t="shared" si="1440"/>
        <v>25</v>
      </c>
      <c r="CBW12">
        <f t="shared" si="1441"/>
        <v>0</v>
      </c>
      <c r="CBX12">
        <f t="shared" si="1442"/>
        <v>0</v>
      </c>
      <c r="CBY12">
        <f t="shared" si="1443"/>
        <v>0</v>
      </c>
      <c r="CBZ12">
        <f t="shared" si="1444"/>
        <v>0</v>
      </c>
      <c r="CCA12">
        <f t="shared" si="1445"/>
        <v>0</v>
      </c>
      <c r="CCB12">
        <f t="shared" si="1446"/>
        <v>0</v>
      </c>
      <c r="CCC12">
        <f t="shared" si="1447"/>
        <v>0</v>
      </c>
      <c r="CCD12">
        <f t="shared" si="1448"/>
        <v>0</v>
      </c>
      <c r="CCE12">
        <f t="shared" si="1449"/>
        <v>0</v>
      </c>
      <c r="CCF12">
        <f t="shared" si="1450"/>
        <v>0</v>
      </c>
      <c r="CCG12">
        <f t="shared" si="1451"/>
        <v>0</v>
      </c>
      <c r="CCH12">
        <f t="shared" si="55"/>
        <v>12.5</v>
      </c>
      <c r="CCI12">
        <f t="shared" si="1452"/>
        <v>12.5</v>
      </c>
      <c r="CCJ12">
        <f t="shared" si="1453"/>
        <v>12.5</v>
      </c>
      <c r="CCK12">
        <f t="shared" si="1454"/>
        <v>25</v>
      </c>
      <c r="CCL12">
        <f t="shared" si="1455"/>
        <v>25</v>
      </c>
      <c r="CCM12">
        <f t="shared" si="1456"/>
        <v>25</v>
      </c>
      <c r="CCN12">
        <f t="shared" si="1457"/>
        <v>25</v>
      </c>
      <c r="CCO12">
        <f t="shared" si="1458"/>
        <v>25</v>
      </c>
      <c r="CCP12">
        <f t="shared" si="1459"/>
        <v>25</v>
      </c>
      <c r="CCQ12">
        <f t="shared" si="1460"/>
        <v>43.75</v>
      </c>
      <c r="CCR12">
        <f t="shared" si="1461"/>
        <v>25</v>
      </c>
      <c r="CCS12">
        <f t="shared" si="1462"/>
        <v>0</v>
      </c>
      <c r="CCT12">
        <f t="shared" si="1463"/>
        <v>0</v>
      </c>
      <c r="CCU12">
        <f t="shared" si="1464"/>
        <v>0</v>
      </c>
      <c r="CCV12">
        <f t="shared" si="1465"/>
        <v>0</v>
      </c>
      <c r="CCW12">
        <f t="shared" si="1466"/>
        <v>0</v>
      </c>
      <c r="CCX12">
        <f t="shared" si="1467"/>
        <v>0</v>
      </c>
      <c r="CCY12">
        <f t="shared" si="1468"/>
        <v>0</v>
      </c>
      <c r="CCZ12">
        <f t="shared" si="1469"/>
        <v>0</v>
      </c>
      <c r="CDA12">
        <f t="shared" si="1470"/>
        <v>0</v>
      </c>
      <c r="CDB12">
        <f t="shared" si="1471"/>
        <v>0</v>
      </c>
      <c r="CDC12">
        <f t="shared" si="1472"/>
        <v>0</v>
      </c>
      <c r="CDD12">
        <f t="shared" si="1473"/>
        <v>12.5</v>
      </c>
      <c r="CDE12">
        <f t="shared" si="1474"/>
        <v>12.5</v>
      </c>
      <c r="CDF12">
        <f t="shared" si="1475"/>
        <v>12.5</v>
      </c>
      <c r="CDG12">
        <f t="shared" si="1476"/>
        <v>25</v>
      </c>
      <c r="CDH12">
        <f t="shared" si="1477"/>
        <v>25</v>
      </c>
      <c r="CDI12">
        <f t="shared" si="1478"/>
        <v>25</v>
      </c>
      <c r="CDJ12">
        <f t="shared" si="1479"/>
        <v>25</v>
      </c>
      <c r="CDK12">
        <f t="shared" si="1480"/>
        <v>25</v>
      </c>
      <c r="CDL12">
        <f t="shared" si="1481"/>
        <v>25</v>
      </c>
      <c r="CDM12">
        <f t="shared" si="1482"/>
        <v>43.75</v>
      </c>
      <c r="CDN12">
        <f t="shared" si="1483"/>
        <v>25</v>
      </c>
      <c r="CDO12">
        <f t="shared" si="1484"/>
        <v>0</v>
      </c>
      <c r="CDP12">
        <f t="shared" si="1485"/>
        <v>0</v>
      </c>
      <c r="CDQ12">
        <f t="shared" si="1486"/>
        <v>0</v>
      </c>
      <c r="CDR12">
        <f t="shared" si="1487"/>
        <v>0</v>
      </c>
      <c r="CDS12">
        <f t="shared" si="1488"/>
        <v>0</v>
      </c>
      <c r="CDT12">
        <f t="shared" si="1489"/>
        <v>0</v>
      </c>
      <c r="CDU12">
        <f t="shared" si="1490"/>
        <v>0</v>
      </c>
      <c r="CDV12">
        <f t="shared" si="1491"/>
        <v>0</v>
      </c>
      <c r="CDW12">
        <f t="shared" si="1492"/>
        <v>0</v>
      </c>
      <c r="CDX12">
        <f t="shared" si="1493"/>
        <v>0</v>
      </c>
      <c r="CDY12">
        <f t="shared" si="1494"/>
        <v>0</v>
      </c>
      <c r="CDZ12">
        <f t="shared" si="1495"/>
        <v>12.5</v>
      </c>
      <c r="CEA12">
        <f t="shared" si="1496"/>
        <v>12.5</v>
      </c>
      <c r="CEB12">
        <f t="shared" si="1497"/>
        <v>12.5</v>
      </c>
      <c r="CEC12">
        <f t="shared" si="1498"/>
        <v>25</v>
      </c>
      <c r="CED12">
        <f t="shared" si="1499"/>
        <v>25</v>
      </c>
      <c r="CEE12">
        <f t="shared" si="1500"/>
        <v>25</v>
      </c>
      <c r="CEF12">
        <f t="shared" si="1501"/>
        <v>25</v>
      </c>
      <c r="CEG12">
        <f t="shared" si="1502"/>
        <v>25</v>
      </c>
      <c r="CEH12">
        <f t="shared" si="1503"/>
        <v>25</v>
      </c>
      <c r="CEI12">
        <f t="shared" si="1504"/>
        <v>43.75</v>
      </c>
      <c r="CEJ12">
        <f t="shared" si="1505"/>
        <v>25</v>
      </c>
      <c r="CEK12">
        <f t="shared" si="1506"/>
        <v>0</v>
      </c>
      <c r="CEL12">
        <f t="shared" si="1507"/>
        <v>0</v>
      </c>
      <c r="CEM12">
        <f t="shared" si="1508"/>
        <v>0</v>
      </c>
      <c r="CEN12">
        <f t="shared" si="1509"/>
        <v>0</v>
      </c>
      <c r="CEO12">
        <f t="shared" si="1510"/>
        <v>0</v>
      </c>
      <c r="CEP12">
        <f t="shared" si="1511"/>
        <v>0</v>
      </c>
      <c r="CEQ12">
        <f t="shared" si="1512"/>
        <v>0</v>
      </c>
      <c r="CER12">
        <f t="shared" si="1513"/>
        <v>0</v>
      </c>
      <c r="CES12">
        <f t="shared" si="1514"/>
        <v>0</v>
      </c>
      <c r="CET12">
        <f t="shared" si="56"/>
        <v>0</v>
      </c>
      <c r="CEU12">
        <f t="shared" si="1515"/>
        <v>0</v>
      </c>
      <c r="CEV12">
        <f t="shared" si="1516"/>
        <v>12.5</v>
      </c>
      <c r="CEW12">
        <f t="shared" si="1517"/>
        <v>12.5</v>
      </c>
      <c r="CEX12">
        <f t="shared" si="1518"/>
        <v>12.5</v>
      </c>
      <c r="CEY12">
        <f t="shared" si="1519"/>
        <v>25</v>
      </c>
      <c r="CEZ12">
        <f t="shared" si="1520"/>
        <v>25</v>
      </c>
      <c r="CFA12">
        <f t="shared" si="1521"/>
        <v>25</v>
      </c>
      <c r="CFB12">
        <f t="shared" si="1522"/>
        <v>25</v>
      </c>
      <c r="CFC12">
        <f t="shared" si="1523"/>
        <v>25</v>
      </c>
      <c r="CFD12">
        <f t="shared" si="1524"/>
        <v>25</v>
      </c>
      <c r="CFE12">
        <f t="shared" si="1525"/>
        <v>43.75</v>
      </c>
      <c r="CFF12">
        <f t="shared" si="1526"/>
        <v>25</v>
      </c>
      <c r="CFG12">
        <f t="shared" si="1527"/>
        <v>0</v>
      </c>
      <c r="CFH12">
        <f t="shared" si="1528"/>
        <v>0</v>
      </c>
      <c r="CFI12">
        <f t="shared" si="1529"/>
        <v>0</v>
      </c>
      <c r="CFJ12">
        <f t="shared" si="1530"/>
        <v>0</v>
      </c>
      <c r="CFK12">
        <f t="shared" si="1531"/>
        <v>0</v>
      </c>
      <c r="CFL12">
        <f t="shared" si="1532"/>
        <v>0</v>
      </c>
      <c r="CFM12">
        <f t="shared" si="1533"/>
        <v>0</v>
      </c>
      <c r="CFN12">
        <f t="shared" si="1534"/>
        <v>0</v>
      </c>
      <c r="CFO12">
        <f t="shared" si="1535"/>
        <v>0</v>
      </c>
      <c r="CFP12">
        <f t="shared" si="1536"/>
        <v>0</v>
      </c>
      <c r="CFQ12">
        <f t="shared" si="1537"/>
        <v>0</v>
      </c>
      <c r="CFR12">
        <f t="shared" si="1538"/>
        <v>12.5</v>
      </c>
      <c r="CFS12">
        <f t="shared" si="1539"/>
        <v>12.5</v>
      </c>
      <c r="CFT12">
        <f t="shared" si="1540"/>
        <v>12.5</v>
      </c>
      <c r="CFU12">
        <f t="shared" si="1541"/>
        <v>25</v>
      </c>
      <c r="CFV12">
        <f t="shared" si="1542"/>
        <v>25</v>
      </c>
      <c r="CFW12">
        <f t="shared" si="1543"/>
        <v>25</v>
      </c>
      <c r="CFX12">
        <f t="shared" si="1544"/>
        <v>25</v>
      </c>
      <c r="CFY12">
        <f t="shared" si="1545"/>
        <v>25</v>
      </c>
      <c r="CFZ12">
        <f t="shared" si="1546"/>
        <v>25</v>
      </c>
      <c r="CGA12">
        <f t="shared" si="1547"/>
        <v>43.75</v>
      </c>
      <c r="CGB12">
        <f t="shared" si="1548"/>
        <v>25</v>
      </c>
      <c r="CGC12">
        <f t="shared" si="1549"/>
        <v>0</v>
      </c>
      <c r="CGD12">
        <f t="shared" si="1550"/>
        <v>0</v>
      </c>
      <c r="CGE12">
        <f t="shared" si="1551"/>
        <v>0</v>
      </c>
      <c r="CGF12">
        <f t="shared" si="1552"/>
        <v>0</v>
      </c>
      <c r="CGG12">
        <f t="shared" si="1553"/>
        <v>0</v>
      </c>
      <c r="CGH12">
        <f t="shared" si="1554"/>
        <v>0</v>
      </c>
      <c r="CGI12">
        <f t="shared" si="1555"/>
        <v>0</v>
      </c>
      <c r="CGJ12">
        <f t="shared" si="1556"/>
        <v>0</v>
      </c>
      <c r="CGK12">
        <f t="shared" si="1557"/>
        <v>0</v>
      </c>
      <c r="CGL12">
        <f t="shared" si="1558"/>
        <v>0</v>
      </c>
      <c r="CGM12">
        <f t="shared" si="1559"/>
        <v>0</v>
      </c>
      <c r="CGN12">
        <f t="shared" si="1560"/>
        <v>12.5</v>
      </c>
      <c r="CGO12">
        <f t="shared" si="1561"/>
        <v>12.5</v>
      </c>
      <c r="CGP12">
        <f t="shared" si="1562"/>
        <v>12.5</v>
      </c>
      <c r="CGQ12">
        <f t="shared" si="1563"/>
        <v>25</v>
      </c>
      <c r="CGR12">
        <f t="shared" si="1564"/>
        <v>25</v>
      </c>
      <c r="CGS12">
        <f t="shared" si="1565"/>
        <v>25</v>
      </c>
      <c r="CGT12">
        <f t="shared" si="1566"/>
        <v>25</v>
      </c>
      <c r="CGU12">
        <f t="shared" si="1567"/>
        <v>25</v>
      </c>
      <c r="CGV12">
        <f t="shared" si="1568"/>
        <v>25</v>
      </c>
      <c r="CGW12">
        <f t="shared" si="1569"/>
        <v>43.75</v>
      </c>
      <c r="CGX12">
        <f t="shared" si="1570"/>
        <v>25</v>
      </c>
      <c r="CGY12">
        <f t="shared" si="1571"/>
        <v>0</v>
      </c>
      <c r="CGZ12">
        <f t="shared" si="1572"/>
        <v>0</v>
      </c>
      <c r="CHA12">
        <f t="shared" si="1573"/>
        <v>0</v>
      </c>
      <c r="CHB12">
        <f t="shared" si="1574"/>
        <v>0</v>
      </c>
      <c r="CHC12">
        <f t="shared" si="1575"/>
        <v>0</v>
      </c>
      <c r="CHD12">
        <f t="shared" si="1576"/>
        <v>0</v>
      </c>
      <c r="CHE12">
        <f t="shared" si="1577"/>
        <v>0</v>
      </c>
      <c r="CHF12">
        <f t="shared" si="57"/>
        <v>0</v>
      </c>
      <c r="CHG12">
        <f t="shared" si="1578"/>
        <v>0</v>
      </c>
      <c r="CHH12">
        <f t="shared" si="1579"/>
        <v>0</v>
      </c>
      <c r="CHI12">
        <f t="shared" si="1580"/>
        <v>0</v>
      </c>
      <c r="CHJ12">
        <f t="shared" si="1581"/>
        <v>12.5</v>
      </c>
      <c r="CHK12">
        <f t="shared" si="1582"/>
        <v>12.5</v>
      </c>
      <c r="CHL12">
        <f t="shared" si="1583"/>
        <v>12.5</v>
      </c>
      <c r="CHM12">
        <f t="shared" si="1584"/>
        <v>25</v>
      </c>
      <c r="CHN12">
        <f t="shared" si="1585"/>
        <v>25</v>
      </c>
      <c r="CHO12">
        <f t="shared" si="1586"/>
        <v>25</v>
      </c>
      <c r="CHP12">
        <f t="shared" si="1587"/>
        <v>25</v>
      </c>
      <c r="CHQ12">
        <f t="shared" si="1588"/>
        <v>25</v>
      </c>
      <c r="CHR12">
        <f t="shared" si="1589"/>
        <v>25</v>
      </c>
      <c r="CHS12">
        <f t="shared" si="1590"/>
        <v>43.75</v>
      </c>
      <c r="CHT12">
        <f t="shared" si="1591"/>
        <v>25</v>
      </c>
      <c r="CHU12">
        <f t="shared" si="1592"/>
        <v>0</v>
      </c>
      <c r="CHV12">
        <f t="shared" si="1593"/>
        <v>0</v>
      </c>
      <c r="CHW12">
        <f t="shared" si="1594"/>
        <v>0</v>
      </c>
      <c r="CHX12">
        <f t="shared" si="1595"/>
        <v>0</v>
      </c>
      <c r="CHY12">
        <f t="shared" si="1596"/>
        <v>0</v>
      </c>
      <c r="CHZ12">
        <f t="shared" si="1597"/>
        <v>0</v>
      </c>
      <c r="CIA12">
        <f t="shared" si="1598"/>
        <v>0</v>
      </c>
      <c r="CIB12">
        <f t="shared" si="1599"/>
        <v>0</v>
      </c>
      <c r="CIC12">
        <f t="shared" si="1600"/>
        <v>0</v>
      </c>
      <c r="CID12">
        <f t="shared" si="1601"/>
        <v>0</v>
      </c>
      <c r="CIE12">
        <f t="shared" si="1602"/>
        <v>0</v>
      </c>
      <c r="CIF12">
        <f t="shared" si="1603"/>
        <v>12.5</v>
      </c>
      <c r="CIG12">
        <f t="shared" si="1604"/>
        <v>12.5</v>
      </c>
      <c r="CIH12">
        <f t="shared" si="1605"/>
        <v>12.5</v>
      </c>
      <c r="CII12">
        <f t="shared" si="1606"/>
        <v>25</v>
      </c>
      <c r="CIJ12">
        <f t="shared" si="1607"/>
        <v>25</v>
      </c>
      <c r="CIK12">
        <f t="shared" si="1608"/>
        <v>25</v>
      </c>
      <c r="CIL12">
        <f t="shared" si="1609"/>
        <v>25</v>
      </c>
      <c r="CIM12">
        <f t="shared" si="1610"/>
        <v>25</v>
      </c>
      <c r="CIN12">
        <f t="shared" si="1611"/>
        <v>25</v>
      </c>
      <c r="CIO12">
        <f t="shared" si="1612"/>
        <v>43.75</v>
      </c>
      <c r="CIP12">
        <f t="shared" si="1613"/>
        <v>25</v>
      </c>
      <c r="CIQ12">
        <f t="shared" si="1614"/>
        <v>0</v>
      </c>
      <c r="CIR12">
        <f t="shared" si="1615"/>
        <v>0</v>
      </c>
      <c r="CIS12">
        <f t="shared" si="1616"/>
        <v>0</v>
      </c>
      <c r="CIT12">
        <f t="shared" si="1617"/>
        <v>0</v>
      </c>
      <c r="CIU12">
        <f t="shared" si="1618"/>
        <v>0</v>
      </c>
      <c r="CIV12">
        <f t="shared" si="1619"/>
        <v>0</v>
      </c>
      <c r="CIW12">
        <f t="shared" si="1620"/>
        <v>0</v>
      </c>
      <c r="CIX12">
        <f t="shared" si="1621"/>
        <v>0</v>
      </c>
      <c r="CIY12">
        <f t="shared" si="1622"/>
        <v>0</v>
      </c>
      <c r="CIZ12">
        <f t="shared" si="1623"/>
        <v>0</v>
      </c>
      <c r="CJA12">
        <f t="shared" si="1624"/>
        <v>0</v>
      </c>
      <c r="CJB12">
        <f t="shared" si="1625"/>
        <v>12.5</v>
      </c>
      <c r="CJC12">
        <f t="shared" si="1626"/>
        <v>12.5</v>
      </c>
      <c r="CJD12">
        <f t="shared" si="1627"/>
        <v>12.5</v>
      </c>
      <c r="CJE12">
        <f t="shared" si="1628"/>
        <v>25</v>
      </c>
      <c r="CJF12">
        <f t="shared" si="1629"/>
        <v>25</v>
      </c>
      <c r="CJG12">
        <f t="shared" si="1630"/>
        <v>25</v>
      </c>
      <c r="CJH12">
        <f t="shared" si="1631"/>
        <v>25</v>
      </c>
      <c r="CJI12">
        <f t="shared" si="1632"/>
        <v>25</v>
      </c>
      <c r="CJJ12">
        <f t="shared" si="1633"/>
        <v>25</v>
      </c>
      <c r="CJK12">
        <f t="shared" si="1634"/>
        <v>43.75</v>
      </c>
      <c r="CJL12">
        <f t="shared" si="1635"/>
        <v>25</v>
      </c>
      <c r="CJM12">
        <f t="shared" si="1636"/>
        <v>0</v>
      </c>
      <c r="CJN12">
        <f t="shared" si="1637"/>
        <v>0</v>
      </c>
      <c r="CJO12">
        <f t="shared" si="1638"/>
        <v>0</v>
      </c>
      <c r="CJP12">
        <f t="shared" si="1639"/>
        <v>0</v>
      </c>
      <c r="CJQ12">
        <f t="shared" si="1640"/>
        <v>0</v>
      </c>
      <c r="CJR12">
        <f t="shared" si="58"/>
        <v>0</v>
      </c>
      <c r="CJS12">
        <f t="shared" si="1641"/>
        <v>0</v>
      </c>
      <c r="CJT12">
        <f t="shared" si="1642"/>
        <v>0</v>
      </c>
      <c r="CJU12">
        <f t="shared" si="1643"/>
        <v>0</v>
      </c>
      <c r="CJV12">
        <f t="shared" si="1644"/>
        <v>0</v>
      </c>
      <c r="CJW12">
        <f t="shared" si="1645"/>
        <v>0</v>
      </c>
      <c r="CJX12">
        <f t="shared" si="1646"/>
        <v>12.5</v>
      </c>
      <c r="CJY12">
        <f t="shared" si="1647"/>
        <v>12.5</v>
      </c>
      <c r="CJZ12">
        <f t="shared" si="1648"/>
        <v>12.5</v>
      </c>
      <c r="CKA12">
        <f t="shared" si="1649"/>
        <v>25</v>
      </c>
      <c r="CKB12">
        <f t="shared" si="1650"/>
        <v>25</v>
      </c>
      <c r="CKC12">
        <f t="shared" si="1651"/>
        <v>25</v>
      </c>
      <c r="CKD12">
        <f t="shared" si="1652"/>
        <v>25</v>
      </c>
      <c r="CKE12">
        <f t="shared" si="1653"/>
        <v>25</v>
      </c>
      <c r="CKF12">
        <f t="shared" si="1654"/>
        <v>25</v>
      </c>
      <c r="CKG12">
        <f t="shared" si="1655"/>
        <v>43.75</v>
      </c>
      <c r="CKH12">
        <f t="shared" si="1656"/>
        <v>25</v>
      </c>
      <c r="CKI12">
        <f t="shared" si="1657"/>
        <v>0</v>
      </c>
      <c r="CKJ12">
        <f t="shared" si="1658"/>
        <v>0</v>
      </c>
      <c r="CKK12">
        <f t="shared" si="1659"/>
        <v>0</v>
      </c>
      <c r="CKL12">
        <f t="shared" si="1660"/>
        <v>0</v>
      </c>
      <c r="CKM12">
        <f t="shared" si="1661"/>
        <v>0</v>
      </c>
      <c r="CKN12">
        <f t="shared" si="1662"/>
        <v>0</v>
      </c>
      <c r="CKO12">
        <f t="shared" si="1663"/>
        <v>0</v>
      </c>
      <c r="CKP12">
        <f t="shared" si="1664"/>
        <v>0</v>
      </c>
      <c r="CKQ12">
        <f t="shared" si="1665"/>
        <v>0</v>
      </c>
      <c r="CKR12">
        <f t="shared" si="1666"/>
        <v>0</v>
      </c>
      <c r="CKS12">
        <f t="shared" si="1667"/>
        <v>0</v>
      </c>
      <c r="CKT12">
        <f t="shared" si="1668"/>
        <v>12.5</v>
      </c>
      <c r="CKU12">
        <f t="shared" si="1669"/>
        <v>12.5</v>
      </c>
      <c r="CKV12">
        <f t="shared" si="1670"/>
        <v>12.5</v>
      </c>
      <c r="CKW12">
        <f t="shared" si="1671"/>
        <v>25</v>
      </c>
      <c r="CKX12">
        <f t="shared" si="1672"/>
        <v>25</v>
      </c>
      <c r="CKY12">
        <f t="shared" si="1673"/>
        <v>25</v>
      </c>
      <c r="CKZ12">
        <f t="shared" si="1674"/>
        <v>25</v>
      </c>
      <c r="CLA12">
        <f t="shared" si="1675"/>
        <v>25</v>
      </c>
      <c r="CLB12">
        <f t="shared" si="1676"/>
        <v>25</v>
      </c>
      <c r="CLC12">
        <f t="shared" si="1677"/>
        <v>43.75</v>
      </c>
      <c r="CLD12">
        <f t="shared" si="1678"/>
        <v>25</v>
      </c>
      <c r="CLE12">
        <f t="shared" si="1679"/>
        <v>0</v>
      </c>
      <c r="CLF12">
        <f t="shared" si="1680"/>
        <v>0</v>
      </c>
      <c r="CLG12">
        <f t="shared" si="1681"/>
        <v>0</v>
      </c>
      <c r="CLH12">
        <f t="shared" si="1682"/>
        <v>0</v>
      </c>
      <c r="CLI12">
        <f t="shared" si="1683"/>
        <v>0</v>
      </c>
      <c r="CLJ12">
        <f t="shared" si="1684"/>
        <v>0</v>
      </c>
      <c r="CLK12">
        <f t="shared" si="1685"/>
        <v>0</v>
      </c>
      <c r="CLL12">
        <f t="shared" si="1686"/>
        <v>0</v>
      </c>
      <c r="CLM12">
        <f t="shared" si="1687"/>
        <v>0</v>
      </c>
      <c r="CLN12">
        <f t="shared" si="1688"/>
        <v>0</v>
      </c>
      <c r="CLO12">
        <f t="shared" si="1689"/>
        <v>0</v>
      </c>
      <c r="CLP12">
        <f t="shared" si="1690"/>
        <v>12.5</v>
      </c>
      <c r="CLQ12">
        <f t="shared" si="1691"/>
        <v>12.5</v>
      </c>
      <c r="CLR12">
        <f t="shared" si="1692"/>
        <v>12.5</v>
      </c>
      <c r="CLS12">
        <f t="shared" si="1693"/>
        <v>25</v>
      </c>
      <c r="CLT12">
        <f t="shared" si="1694"/>
        <v>25</v>
      </c>
      <c r="CLU12">
        <f t="shared" si="1695"/>
        <v>25</v>
      </c>
      <c r="CLV12">
        <f t="shared" si="1696"/>
        <v>25</v>
      </c>
      <c r="CLW12">
        <f t="shared" si="1697"/>
        <v>25</v>
      </c>
      <c r="CLX12">
        <f t="shared" si="1698"/>
        <v>25</v>
      </c>
      <c r="CLY12">
        <f t="shared" si="1699"/>
        <v>43.75</v>
      </c>
      <c r="CLZ12">
        <f t="shared" si="1700"/>
        <v>25</v>
      </c>
      <c r="CMA12">
        <f t="shared" si="1701"/>
        <v>0</v>
      </c>
      <c r="CMB12">
        <f t="shared" si="1702"/>
        <v>0</v>
      </c>
      <c r="CMC12">
        <f t="shared" si="1703"/>
        <v>0</v>
      </c>
      <c r="CMD12">
        <f t="shared" si="59"/>
        <v>0</v>
      </c>
      <c r="CME12">
        <f t="shared" si="1704"/>
        <v>0</v>
      </c>
      <c r="CMF12">
        <f t="shared" si="1705"/>
        <v>0</v>
      </c>
      <c r="CMG12">
        <f t="shared" si="1706"/>
        <v>0</v>
      </c>
      <c r="CMH12">
        <f t="shared" si="1707"/>
        <v>0</v>
      </c>
      <c r="CMI12">
        <f t="shared" si="1708"/>
        <v>0</v>
      </c>
      <c r="CMJ12">
        <f t="shared" si="1709"/>
        <v>0</v>
      </c>
      <c r="CMK12">
        <f t="shared" si="1710"/>
        <v>0</v>
      </c>
      <c r="CML12">
        <f t="shared" si="1711"/>
        <v>12.5</v>
      </c>
      <c r="CMM12">
        <f t="shared" si="1712"/>
        <v>12.5</v>
      </c>
      <c r="CMN12">
        <f t="shared" si="1713"/>
        <v>12.5</v>
      </c>
      <c r="CMO12">
        <f t="shared" si="1714"/>
        <v>25</v>
      </c>
      <c r="CMP12">
        <f t="shared" si="1715"/>
        <v>25</v>
      </c>
      <c r="CMQ12">
        <f t="shared" si="1716"/>
        <v>25</v>
      </c>
      <c r="CMR12">
        <f t="shared" si="1717"/>
        <v>25</v>
      </c>
      <c r="CMS12">
        <f t="shared" si="1718"/>
        <v>25</v>
      </c>
      <c r="CMT12">
        <f t="shared" si="1719"/>
        <v>25</v>
      </c>
      <c r="CMU12">
        <f t="shared" si="1720"/>
        <v>43.75</v>
      </c>
      <c r="CMV12">
        <f t="shared" si="1721"/>
        <v>25</v>
      </c>
      <c r="CMW12">
        <f t="shared" si="1722"/>
        <v>0</v>
      </c>
      <c r="CMX12">
        <f t="shared" si="1723"/>
        <v>0</v>
      </c>
      <c r="CMY12">
        <f t="shared" si="1724"/>
        <v>0</v>
      </c>
      <c r="CMZ12">
        <f t="shared" si="1725"/>
        <v>0</v>
      </c>
      <c r="CNA12">
        <f t="shared" si="1726"/>
        <v>0</v>
      </c>
      <c r="CNB12">
        <f t="shared" si="1727"/>
        <v>0</v>
      </c>
      <c r="CNC12">
        <f t="shared" si="1728"/>
        <v>0</v>
      </c>
      <c r="CND12">
        <f t="shared" si="1729"/>
        <v>0</v>
      </c>
      <c r="CNE12">
        <f t="shared" si="1730"/>
        <v>0</v>
      </c>
      <c r="CNF12">
        <f t="shared" si="1731"/>
        <v>0</v>
      </c>
      <c r="CNG12">
        <f t="shared" si="1732"/>
        <v>0</v>
      </c>
      <c r="CNH12">
        <f t="shared" si="1733"/>
        <v>12.5</v>
      </c>
      <c r="CNI12">
        <f t="shared" si="1734"/>
        <v>12.5</v>
      </c>
      <c r="CNJ12">
        <f t="shared" si="1735"/>
        <v>12.5</v>
      </c>
      <c r="CNK12">
        <f t="shared" si="1736"/>
        <v>25</v>
      </c>
      <c r="CNL12">
        <f t="shared" si="1737"/>
        <v>25</v>
      </c>
      <c r="CNM12">
        <f t="shared" si="1738"/>
        <v>25</v>
      </c>
      <c r="CNN12">
        <f t="shared" si="1739"/>
        <v>25</v>
      </c>
      <c r="CNO12">
        <f t="shared" si="1740"/>
        <v>25</v>
      </c>
      <c r="CNP12">
        <f t="shared" si="1741"/>
        <v>25</v>
      </c>
      <c r="CNQ12">
        <f t="shared" si="1742"/>
        <v>43.75</v>
      </c>
      <c r="CNR12">
        <f t="shared" si="1743"/>
        <v>25</v>
      </c>
      <c r="CNS12">
        <f t="shared" si="1744"/>
        <v>0</v>
      </c>
      <c r="CNT12">
        <f t="shared" si="1745"/>
        <v>0</v>
      </c>
      <c r="CNU12">
        <f t="shared" si="1746"/>
        <v>0</v>
      </c>
      <c r="CNV12">
        <f t="shared" si="1747"/>
        <v>0</v>
      </c>
      <c r="CNW12">
        <f t="shared" si="1748"/>
        <v>0</v>
      </c>
      <c r="CNX12">
        <f t="shared" si="1749"/>
        <v>0</v>
      </c>
      <c r="CNY12">
        <f t="shared" si="1750"/>
        <v>0</v>
      </c>
      <c r="CNZ12">
        <f t="shared" si="1751"/>
        <v>0</v>
      </c>
      <c r="COA12">
        <f t="shared" si="1752"/>
        <v>0</v>
      </c>
      <c r="COB12">
        <f t="shared" si="1753"/>
        <v>0</v>
      </c>
      <c r="COC12">
        <f t="shared" si="1754"/>
        <v>0</v>
      </c>
      <c r="COD12">
        <f t="shared" si="1755"/>
        <v>12.5</v>
      </c>
      <c r="COE12">
        <f t="shared" si="1756"/>
        <v>12.5</v>
      </c>
      <c r="COF12">
        <f t="shared" si="1757"/>
        <v>12.5</v>
      </c>
      <c r="COG12">
        <f t="shared" si="1758"/>
        <v>25</v>
      </c>
      <c r="COH12">
        <f t="shared" si="1759"/>
        <v>25</v>
      </c>
      <c r="COI12">
        <f t="shared" si="1760"/>
        <v>25</v>
      </c>
      <c r="COJ12">
        <f t="shared" si="1761"/>
        <v>25</v>
      </c>
      <c r="COK12">
        <f t="shared" si="1762"/>
        <v>25</v>
      </c>
      <c r="COL12">
        <f t="shared" si="1763"/>
        <v>25</v>
      </c>
      <c r="COM12">
        <f t="shared" si="1764"/>
        <v>43.75</v>
      </c>
      <c r="CON12">
        <f t="shared" si="1765"/>
        <v>25</v>
      </c>
      <c r="COO12">
        <f t="shared" si="1766"/>
        <v>0</v>
      </c>
      <c r="COP12">
        <f t="shared" si="60"/>
        <v>0</v>
      </c>
      <c r="COQ12">
        <f t="shared" si="1767"/>
        <v>0</v>
      </c>
      <c r="COR12">
        <f t="shared" si="1768"/>
        <v>0</v>
      </c>
      <c r="COS12">
        <f t="shared" si="1769"/>
        <v>0</v>
      </c>
      <c r="COT12">
        <f t="shared" si="1770"/>
        <v>0</v>
      </c>
      <c r="COU12">
        <f t="shared" si="1771"/>
        <v>0</v>
      </c>
      <c r="COV12">
        <f t="shared" si="1772"/>
        <v>0</v>
      </c>
      <c r="COW12">
        <f t="shared" si="1773"/>
        <v>0</v>
      </c>
      <c r="COX12">
        <f t="shared" si="1774"/>
        <v>0</v>
      </c>
      <c r="COY12">
        <f t="shared" si="1775"/>
        <v>0</v>
      </c>
      <c r="COZ12">
        <f t="shared" si="1776"/>
        <v>12.5</v>
      </c>
      <c r="CPA12">
        <f t="shared" si="1777"/>
        <v>12.5</v>
      </c>
      <c r="CPB12">
        <f t="shared" si="1778"/>
        <v>12.5</v>
      </c>
      <c r="CPC12">
        <f t="shared" si="1779"/>
        <v>25</v>
      </c>
      <c r="CPD12">
        <f t="shared" si="1780"/>
        <v>25</v>
      </c>
      <c r="CPE12">
        <f t="shared" si="1781"/>
        <v>25</v>
      </c>
      <c r="CPF12">
        <f t="shared" si="1782"/>
        <v>25</v>
      </c>
      <c r="CPG12">
        <f t="shared" si="1783"/>
        <v>25</v>
      </c>
      <c r="CPH12">
        <f t="shared" si="1784"/>
        <v>25</v>
      </c>
      <c r="CPI12">
        <f t="shared" si="1785"/>
        <v>43.75</v>
      </c>
      <c r="CPJ12">
        <f t="shared" si="1786"/>
        <v>25</v>
      </c>
      <c r="CPK12">
        <f t="shared" si="1787"/>
        <v>0</v>
      </c>
      <c r="CPL12">
        <f t="shared" si="1788"/>
        <v>0</v>
      </c>
      <c r="CPM12">
        <f t="shared" si="1789"/>
        <v>0</v>
      </c>
      <c r="CPN12">
        <f t="shared" si="1790"/>
        <v>0</v>
      </c>
      <c r="CPO12">
        <f t="shared" si="1791"/>
        <v>0</v>
      </c>
      <c r="CPP12">
        <f t="shared" si="1792"/>
        <v>0</v>
      </c>
      <c r="CPQ12">
        <f t="shared" si="1793"/>
        <v>0</v>
      </c>
      <c r="CPR12">
        <f t="shared" si="1794"/>
        <v>0</v>
      </c>
      <c r="CPS12">
        <f t="shared" si="1795"/>
        <v>0</v>
      </c>
      <c r="CPT12">
        <f t="shared" si="1796"/>
        <v>0</v>
      </c>
      <c r="CPU12">
        <f t="shared" si="1797"/>
        <v>0</v>
      </c>
      <c r="CPV12">
        <f t="shared" si="1798"/>
        <v>12.5</v>
      </c>
      <c r="CPW12">
        <f t="shared" si="1799"/>
        <v>12.5</v>
      </c>
      <c r="CPX12">
        <f t="shared" si="1800"/>
        <v>12.5</v>
      </c>
      <c r="CPY12">
        <f t="shared" si="1801"/>
        <v>25</v>
      </c>
      <c r="CPZ12">
        <f t="shared" si="1802"/>
        <v>25</v>
      </c>
      <c r="CQA12">
        <f t="shared" si="1803"/>
        <v>25</v>
      </c>
      <c r="CQB12">
        <f t="shared" si="1804"/>
        <v>25</v>
      </c>
      <c r="CQC12">
        <f t="shared" si="1805"/>
        <v>25</v>
      </c>
      <c r="CQD12">
        <f t="shared" si="1806"/>
        <v>25</v>
      </c>
      <c r="CQE12">
        <f t="shared" si="1807"/>
        <v>43.75</v>
      </c>
      <c r="CQF12">
        <f t="shared" si="1808"/>
        <v>25</v>
      </c>
      <c r="CQG12">
        <f t="shared" si="1809"/>
        <v>0</v>
      </c>
      <c r="CQH12">
        <f t="shared" si="1810"/>
        <v>0</v>
      </c>
      <c r="CQI12">
        <f t="shared" si="1811"/>
        <v>0</v>
      </c>
      <c r="CQJ12">
        <f t="shared" si="1812"/>
        <v>0</v>
      </c>
      <c r="CQK12">
        <f t="shared" si="1813"/>
        <v>0</v>
      </c>
      <c r="CQL12">
        <f t="shared" si="1814"/>
        <v>0</v>
      </c>
      <c r="CQM12">
        <f t="shared" si="1815"/>
        <v>0</v>
      </c>
      <c r="CQN12">
        <f t="shared" si="1816"/>
        <v>0</v>
      </c>
      <c r="CQO12">
        <f t="shared" si="1817"/>
        <v>0</v>
      </c>
      <c r="CQP12">
        <f t="shared" si="1818"/>
        <v>0</v>
      </c>
      <c r="CQQ12">
        <f t="shared" si="1819"/>
        <v>0</v>
      </c>
      <c r="CQR12">
        <f t="shared" si="1820"/>
        <v>12.5</v>
      </c>
      <c r="CQS12">
        <f t="shared" si="1821"/>
        <v>12.5</v>
      </c>
      <c r="CQT12">
        <f t="shared" si="1822"/>
        <v>12.5</v>
      </c>
      <c r="CQU12">
        <f t="shared" si="1823"/>
        <v>25</v>
      </c>
      <c r="CQV12">
        <f t="shared" si="1824"/>
        <v>25</v>
      </c>
      <c r="CQW12">
        <f t="shared" si="1825"/>
        <v>25</v>
      </c>
      <c r="CQX12">
        <f t="shared" si="1826"/>
        <v>25</v>
      </c>
      <c r="CQY12">
        <f t="shared" si="1827"/>
        <v>25</v>
      </c>
      <c r="CQZ12">
        <f t="shared" si="1828"/>
        <v>25</v>
      </c>
      <c r="CRA12">
        <f t="shared" si="1829"/>
        <v>43.75</v>
      </c>
      <c r="CRB12">
        <f t="shared" si="61"/>
        <v>25</v>
      </c>
      <c r="CRC12">
        <f t="shared" si="1830"/>
        <v>0</v>
      </c>
      <c r="CRD12">
        <f t="shared" si="1831"/>
        <v>0</v>
      </c>
      <c r="CRE12">
        <f t="shared" si="1832"/>
        <v>0</v>
      </c>
      <c r="CRF12">
        <f t="shared" si="1833"/>
        <v>0</v>
      </c>
      <c r="CRG12">
        <f t="shared" si="1834"/>
        <v>0</v>
      </c>
      <c r="CRH12">
        <f t="shared" si="1835"/>
        <v>0</v>
      </c>
      <c r="CRI12">
        <f t="shared" si="1836"/>
        <v>0</v>
      </c>
      <c r="CRJ12">
        <f t="shared" si="1837"/>
        <v>0</v>
      </c>
      <c r="CRK12">
        <f t="shared" si="1838"/>
        <v>0</v>
      </c>
      <c r="CRL12">
        <f t="shared" si="1839"/>
        <v>0</v>
      </c>
      <c r="CRM12">
        <f t="shared" si="1840"/>
        <v>0</v>
      </c>
      <c r="CRN12">
        <f t="shared" si="1841"/>
        <v>12.5</v>
      </c>
      <c r="CRO12">
        <f t="shared" si="1842"/>
        <v>12.5</v>
      </c>
      <c r="CRP12">
        <f t="shared" si="1843"/>
        <v>12.5</v>
      </c>
      <c r="CRQ12">
        <f t="shared" si="1844"/>
        <v>25</v>
      </c>
      <c r="CRR12">
        <f t="shared" si="1845"/>
        <v>25</v>
      </c>
      <c r="CRS12">
        <f t="shared" si="1846"/>
        <v>25</v>
      </c>
      <c r="CRT12">
        <f t="shared" si="1847"/>
        <v>25</v>
      </c>
      <c r="CRU12">
        <f t="shared" si="1848"/>
        <v>25</v>
      </c>
      <c r="CRV12">
        <f t="shared" si="1849"/>
        <v>25</v>
      </c>
      <c r="CRW12">
        <f t="shared" si="1850"/>
        <v>43.75</v>
      </c>
      <c r="CRX12">
        <f t="shared" si="1851"/>
        <v>25</v>
      </c>
      <c r="CRY12">
        <f t="shared" si="1852"/>
        <v>0</v>
      </c>
      <c r="CRZ12">
        <f t="shared" si="1853"/>
        <v>0</v>
      </c>
      <c r="CSA12">
        <f t="shared" si="1854"/>
        <v>0</v>
      </c>
      <c r="CSB12">
        <f t="shared" si="1855"/>
        <v>0</v>
      </c>
      <c r="CSC12">
        <f t="shared" si="1856"/>
        <v>0</v>
      </c>
      <c r="CSD12">
        <f t="shared" si="1857"/>
        <v>0</v>
      </c>
      <c r="CSE12">
        <f t="shared" si="1858"/>
        <v>0</v>
      </c>
      <c r="CSF12">
        <f t="shared" si="1859"/>
        <v>0</v>
      </c>
      <c r="CSG12">
        <f t="shared" si="1860"/>
        <v>0</v>
      </c>
      <c r="CSH12">
        <f t="shared" si="1861"/>
        <v>0</v>
      </c>
      <c r="CSI12">
        <f t="shared" si="1862"/>
        <v>0</v>
      </c>
      <c r="CSJ12">
        <f t="shared" si="1863"/>
        <v>12.5</v>
      </c>
      <c r="CSK12">
        <f t="shared" si="1864"/>
        <v>12.5</v>
      </c>
      <c r="CSL12">
        <f t="shared" si="1865"/>
        <v>12.5</v>
      </c>
      <c r="CSM12">
        <f t="shared" si="1866"/>
        <v>25</v>
      </c>
      <c r="CSN12">
        <f t="shared" si="1867"/>
        <v>25</v>
      </c>
      <c r="CSO12">
        <f t="shared" si="1868"/>
        <v>25</v>
      </c>
      <c r="CSP12">
        <f t="shared" si="1869"/>
        <v>25</v>
      </c>
      <c r="CSQ12">
        <f t="shared" si="1870"/>
        <v>25</v>
      </c>
      <c r="CSR12">
        <f t="shared" si="1871"/>
        <v>25</v>
      </c>
      <c r="CSS12">
        <f t="shared" si="1872"/>
        <v>43.75</v>
      </c>
      <c r="CST12">
        <f t="shared" si="1873"/>
        <v>25</v>
      </c>
      <c r="CSU12">
        <f t="shared" si="1874"/>
        <v>0</v>
      </c>
      <c r="CSV12">
        <f t="shared" si="1875"/>
        <v>0</v>
      </c>
      <c r="CSW12">
        <f t="shared" si="1876"/>
        <v>0</v>
      </c>
      <c r="CSX12">
        <f t="shared" si="1877"/>
        <v>0</v>
      </c>
      <c r="CSY12">
        <f t="shared" si="1878"/>
        <v>0</v>
      </c>
      <c r="CSZ12">
        <f t="shared" si="1879"/>
        <v>0</v>
      </c>
      <c r="CTA12">
        <f t="shared" si="1880"/>
        <v>0</v>
      </c>
      <c r="CTB12">
        <f t="shared" si="1881"/>
        <v>0</v>
      </c>
      <c r="CTC12">
        <f t="shared" si="1882"/>
        <v>0</v>
      </c>
      <c r="CTD12">
        <f t="shared" si="1883"/>
        <v>0</v>
      </c>
      <c r="CTE12">
        <f t="shared" si="1884"/>
        <v>0</v>
      </c>
      <c r="CTF12">
        <f t="shared" si="1885"/>
        <v>12.5</v>
      </c>
      <c r="CTG12">
        <f t="shared" si="1886"/>
        <v>12.5</v>
      </c>
      <c r="CTH12">
        <f t="shared" si="1887"/>
        <v>12.5</v>
      </c>
      <c r="CTI12">
        <f t="shared" si="1888"/>
        <v>25</v>
      </c>
      <c r="CTJ12">
        <f t="shared" si="1889"/>
        <v>25</v>
      </c>
      <c r="CTK12">
        <f t="shared" si="1890"/>
        <v>25</v>
      </c>
      <c r="CTL12">
        <f t="shared" si="1891"/>
        <v>25</v>
      </c>
      <c r="CTM12">
        <f t="shared" si="1892"/>
        <v>25</v>
      </c>
      <c r="CTN12">
        <f t="shared" si="62"/>
        <v>25</v>
      </c>
      <c r="CTO12">
        <f t="shared" si="1893"/>
        <v>43.75</v>
      </c>
      <c r="CTP12">
        <f t="shared" si="1894"/>
        <v>25</v>
      </c>
      <c r="CTQ12">
        <f t="shared" si="1895"/>
        <v>0</v>
      </c>
      <c r="CTR12">
        <f t="shared" si="1896"/>
        <v>0</v>
      </c>
      <c r="CTS12">
        <f t="shared" si="1897"/>
        <v>0</v>
      </c>
      <c r="CTT12">
        <f t="shared" si="1898"/>
        <v>0</v>
      </c>
      <c r="CTU12">
        <f t="shared" si="1899"/>
        <v>0</v>
      </c>
      <c r="CTV12">
        <f t="shared" si="1900"/>
        <v>0</v>
      </c>
      <c r="CTW12">
        <f t="shared" si="1901"/>
        <v>0</v>
      </c>
      <c r="CTX12">
        <f t="shared" si="1902"/>
        <v>0</v>
      </c>
      <c r="CTY12">
        <f t="shared" si="1903"/>
        <v>0</v>
      </c>
      <c r="CTZ12">
        <f t="shared" si="1904"/>
        <v>0</v>
      </c>
      <c r="CUA12">
        <f t="shared" si="1905"/>
        <v>0</v>
      </c>
      <c r="CUB12">
        <f t="shared" si="1906"/>
        <v>12.5</v>
      </c>
      <c r="CUC12">
        <f t="shared" si="1907"/>
        <v>12.5</v>
      </c>
      <c r="CUD12">
        <f t="shared" si="1908"/>
        <v>12.5</v>
      </c>
      <c r="CUE12">
        <f t="shared" si="1909"/>
        <v>25</v>
      </c>
      <c r="CUF12">
        <f t="shared" si="1910"/>
        <v>25</v>
      </c>
      <c r="CUG12">
        <f t="shared" si="1911"/>
        <v>25</v>
      </c>
      <c r="CUH12">
        <f t="shared" si="1912"/>
        <v>25</v>
      </c>
      <c r="CUI12">
        <f t="shared" si="1913"/>
        <v>25</v>
      </c>
      <c r="CUJ12">
        <f t="shared" si="1914"/>
        <v>25</v>
      </c>
      <c r="CUK12">
        <f t="shared" si="1915"/>
        <v>43.75</v>
      </c>
      <c r="CUL12">
        <f t="shared" si="1916"/>
        <v>25</v>
      </c>
      <c r="CUM12">
        <f t="shared" si="1917"/>
        <v>0</v>
      </c>
      <c r="CUN12">
        <f t="shared" si="1918"/>
        <v>0</v>
      </c>
      <c r="CUO12">
        <f t="shared" si="1919"/>
        <v>0</v>
      </c>
      <c r="CUP12">
        <f t="shared" si="1920"/>
        <v>0</v>
      </c>
      <c r="CUQ12">
        <f t="shared" si="1921"/>
        <v>0</v>
      </c>
      <c r="CUR12">
        <f t="shared" si="1922"/>
        <v>0</v>
      </c>
      <c r="CUS12">
        <f t="shared" si="1923"/>
        <v>0</v>
      </c>
      <c r="CUT12">
        <f t="shared" si="1924"/>
        <v>0</v>
      </c>
      <c r="CUU12">
        <f t="shared" si="1925"/>
        <v>0</v>
      </c>
      <c r="CUV12">
        <f t="shared" si="1926"/>
        <v>0</v>
      </c>
      <c r="CUW12">
        <f t="shared" si="1927"/>
        <v>0</v>
      </c>
      <c r="CUX12">
        <f t="shared" si="1928"/>
        <v>12.5</v>
      </c>
      <c r="CUY12">
        <f t="shared" si="1929"/>
        <v>12.5</v>
      </c>
      <c r="CUZ12">
        <f t="shared" si="1930"/>
        <v>12.5</v>
      </c>
      <c r="CVA12">
        <f t="shared" si="1931"/>
        <v>25</v>
      </c>
      <c r="CVB12">
        <f t="shared" si="1932"/>
        <v>25</v>
      </c>
      <c r="CVC12">
        <f t="shared" si="1933"/>
        <v>25</v>
      </c>
      <c r="CVD12">
        <f t="shared" si="1934"/>
        <v>25</v>
      </c>
      <c r="CVE12">
        <f t="shared" si="1935"/>
        <v>25</v>
      </c>
      <c r="CVF12">
        <f t="shared" si="1936"/>
        <v>25</v>
      </c>
      <c r="CVG12">
        <f t="shared" si="1937"/>
        <v>43.75</v>
      </c>
      <c r="CVH12">
        <f t="shared" si="1938"/>
        <v>25</v>
      </c>
      <c r="CVI12">
        <f t="shared" si="1939"/>
        <v>0</v>
      </c>
      <c r="CVJ12">
        <f t="shared" si="1940"/>
        <v>0</v>
      </c>
      <c r="CVK12">
        <f t="shared" si="1941"/>
        <v>0</v>
      </c>
      <c r="CVL12">
        <f t="shared" si="1942"/>
        <v>0</v>
      </c>
      <c r="CVM12">
        <f t="shared" si="1943"/>
        <v>0</v>
      </c>
      <c r="CVN12">
        <f t="shared" si="1944"/>
        <v>0</v>
      </c>
      <c r="CVO12">
        <f t="shared" si="1945"/>
        <v>0</v>
      </c>
      <c r="CVP12">
        <f t="shared" si="1946"/>
        <v>0</v>
      </c>
      <c r="CVQ12">
        <f t="shared" si="1947"/>
        <v>0</v>
      </c>
      <c r="CVR12">
        <f t="shared" si="1948"/>
        <v>0</v>
      </c>
      <c r="CVS12">
        <f t="shared" si="1949"/>
        <v>0</v>
      </c>
      <c r="CVT12">
        <f t="shared" si="1950"/>
        <v>12.5</v>
      </c>
      <c r="CVU12">
        <f t="shared" si="1951"/>
        <v>12.5</v>
      </c>
      <c r="CVV12">
        <f t="shared" si="1952"/>
        <v>12.5</v>
      </c>
      <c r="CVW12">
        <f t="shared" si="1953"/>
        <v>25</v>
      </c>
      <c r="CVX12">
        <f t="shared" si="1954"/>
        <v>25</v>
      </c>
      <c r="CVY12">
        <f t="shared" si="1955"/>
        <v>25</v>
      </c>
      <c r="CVZ12">
        <f t="shared" si="63"/>
        <v>25</v>
      </c>
      <c r="CWA12">
        <f t="shared" si="1956"/>
        <v>25</v>
      </c>
      <c r="CWB12">
        <f t="shared" si="1957"/>
        <v>25</v>
      </c>
      <c r="CWC12">
        <f t="shared" si="1958"/>
        <v>43.75</v>
      </c>
      <c r="CWD12">
        <f t="shared" si="1959"/>
        <v>25</v>
      </c>
      <c r="CWE12">
        <f t="shared" si="1960"/>
        <v>0</v>
      </c>
      <c r="CWF12">
        <f t="shared" si="1961"/>
        <v>0</v>
      </c>
      <c r="CWG12">
        <f t="shared" si="1962"/>
        <v>0</v>
      </c>
      <c r="CWH12">
        <f t="shared" si="1963"/>
        <v>0</v>
      </c>
      <c r="CWI12">
        <f t="shared" si="1964"/>
        <v>0</v>
      </c>
      <c r="CWJ12">
        <f t="shared" si="1965"/>
        <v>0</v>
      </c>
      <c r="CWK12">
        <f t="shared" si="1966"/>
        <v>0</v>
      </c>
      <c r="CWL12">
        <f t="shared" si="1967"/>
        <v>0</v>
      </c>
      <c r="CWM12">
        <f t="shared" si="1968"/>
        <v>0</v>
      </c>
      <c r="CWN12">
        <f t="shared" si="1969"/>
        <v>0</v>
      </c>
      <c r="CWO12">
        <f t="shared" si="1970"/>
        <v>0</v>
      </c>
      <c r="CWP12">
        <f t="shared" si="1971"/>
        <v>12.5</v>
      </c>
      <c r="CWQ12">
        <f t="shared" si="1972"/>
        <v>12.5</v>
      </c>
      <c r="CWR12">
        <f t="shared" si="1973"/>
        <v>12.5</v>
      </c>
      <c r="CWS12">
        <f t="shared" si="1974"/>
        <v>25</v>
      </c>
      <c r="CWT12">
        <f t="shared" si="1975"/>
        <v>25</v>
      </c>
      <c r="CWU12">
        <f t="shared" si="1976"/>
        <v>25</v>
      </c>
      <c r="CWV12">
        <f t="shared" si="1977"/>
        <v>25</v>
      </c>
      <c r="CWW12">
        <f t="shared" si="1978"/>
        <v>25</v>
      </c>
      <c r="CWX12">
        <f t="shared" si="1979"/>
        <v>25</v>
      </c>
      <c r="CWY12">
        <f t="shared" si="1980"/>
        <v>43.75</v>
      </c>
      <c r="CWZ12">
        <f t="shared" si="1981"/>
        <v>25</v>
      </c>
      <c r="CXA12">
        <f t="shared" si="1982"/>
        <v>0</v>
      </c>
      <c r="CXB12">
        <f t="shared" si="1983"/>
        <v>0</v>
      </c>
      <c r="CXC12">
        <f t="shared" si="1984"/>
        <v>0</v>
      </c>
      <c r="CXD12">
        <f t="shared" si="1985"/>
        <v>0</v>
      </c>
      <c r="CXE12">
        <f t="shared" si="1986"/>
        <v>0</v>
      </c>
      <c r="CXF12">
        <f t="shared" si="1987"/>
        <v>0</v>
      </c>
      <c r="CXG12">
        <f t="shared" si="1988"/>
        <v>0</v>
      </c>
      <c r="CXH12">
        <f t="shared" si="1989"/>
        <v>0</v>
      </c>
      <c r="CXI12">
        <f t="shared" si="1990"/>
        <v>0</v>
      </c>
      <c r="CXJ12">
        <f t="shared" si="1991"/>
        <v>0</v>
      </c>
      <c r="CXK12">
        <f t="shared" si="1992"/>
        <v>0</v>
      </c>
      <c r="CXL12">
        <f t="shared" si="1993"/>
        <v>12.5</v>
      </c>
      <c r="CXM12">
        <f t="shared" si="1994"/>
        <v>12.5</v>
      </c>
      <c r="CXN12">
        <f t="shared" si="1995"/>
        <v>12.5</v>
      </c>
      <c r="CXO12">
        <f t="shared" si="1996"/>
        <v>25</v>
      </c>
      <c r="CXP12">
        <f t="shared" si="1997"/>
        <v>25</v>
      </c>
      <c r="CXQ12">
        <f t="shared" si="1998"/>
        <v>25</v>
      </c>
      <c r="CXR12">
        <f t="shared" si="1999"/>
        <v>25</v>
      </c>
      <c r="CXS12">
        <f t="shared" si="2000"/>
        <v>25</v>
      </c>
      <c r="CXT12">
        <f t="shared" si="2001"/>
        <v>25</v>
      </c>
      <c r="CXU12">
        <f t="shared" si="2002"/>
        <v>43.75</v>
      </c>
      <c r="CXV12">
        <f t="shared" si="2003"/>
        <v>25</v>
      </c>
      <c r="CXW12">
        <f t="shared" si="2004"/>
        <v>0</v>
      </c>
      <c r="CXX12">
        <f t="shared" si="2005"/>
        <v>0</v>
      </c>
      <c r="CXY12">
        <f t="shared" si="2006"/>
        <v>0</v>
      </c>
      <c r="CXZ12">
        <f t="shared" si="2007"/>
        <v>0</v>
      </c>
      <c r="CYA12">
        <f t="shared" si="2008"/>
        <v>0</v>
      </c>
      <c r="CYB12">
        <f t="shared" si="2009"/>
        <v>0</v>
      </c>
      <c r="CYC12">
        <f t="shared" si="2010"/>
        <v>0</v>
      </c>
      <c r="CYD12">
        <f t="shared" si="2011"/>
        <v>0</v>
      </c>
      <c r="CYE12">
        <f t="shared" si="2012"/>
        <v>0</v>
      </c>
      <c r="CYF12">
        <f t="shared" si="2013"/>
        <v>0</v>
      </c>
      <c r="CYG12">
        <f t="shared" si="2014"/>
        <v>0</v>
      </c>
      <c r="CYH12">
        <f t="shared" si="2015"/>
        <v>12.5</v>
      </c>
      <c r="CYI12">
        <f t="shared" si="2016"/>
        <v>12.5</v>
      </c>
      <c r="CYJ12">
        <f t="shared" si="2017"/>
        <v>12.5</v>
      </c>
      <c r="CYK12">
        <f t="shared" si="2018"/>
        <v>25</v>
      </c>
      <c r="CYL12">
        <f t="shared" si="64"/>
        <v>25</v>
      </c>
      <c r="CYM12">
        <f t="shared" si="2019"/>
        <v>25</v>
      </c>
      <c r="CYN12">
        <f t="shared" si="2020"/>
        <v>25</v>
      </c>
      <c r="CYO12">
        <f t="shared" si="2021"/>
        <v>25</v>
      </c>
      <c r="CYP12">
        <f t="shared" si="2022"/>
        <v>25</v>
      </c>
      <c r="CYQ12">
        <f t="shared" si="2023"/>
        <v>43.75</v>
      </c>
      <c r="CYR12">
        <f t="shared" si="2024"/>
        <v>25</v>
      </c>
      <c r="CYS12">
        <f t="shared" si="2025"/>
        <v>0</v>
      </c>
      <c r="CYT12">
        <f t="shared" si="2026"/>
        <v>0</v>
      </c>
      <c r="CYU12">
        <f t="shared" si="2027"/>
        <v>0</v>
      </c>
      <c r="CYV12">
        <f t="shared" si="2028"/>
        <v>0</v>
      </c>
      <c r="CYW12">
        <f t="shared" si="2029"/>
        <v>0</v>
      </c>
      <c r="CYX12">
        <f t="shared" si="2030"/>
        <v>0</v>
      </c>
      <c r="CYY12">
        <f t="shared" si="2031"/>
        <v>0</v>
      </c>
      <c r="CYZ12">
        <f t="shared" si="2032"/>
        <v>0</v>
      </c>
      <c r="CZA12">
        <f t="shared" si="2033"/>
        <v>0</v>
      </c>
      <c r="CZB12">
        <f t="shared" si="2034"/>
        <v>0</v>
      </c>
      <c r="CZC12">
        <f t="shared" si="2035"/>
        <v>0</v>
      </c>
      <c r="CZD12">
        <f t="shared" si="2036"/>
        <v>12.5</v>
      </c>
      <c r="CZE12">
        <f t="shared" si="2037"/>
        <v>12.5</v>
      </c>
      <c r="CZF12">
        <f t="shared" si="2038"/>
        <v>12.5</v>
      </c>
      <c r="CZG12">
        <f t="shared" si="2039"/>
        <v>25</v>
      </c>
      <c r="CZH12">
        <f t="shared" si="2040"/>
        <v>25</v>
      </c>
      <c r="CZI12">
        <f t="shared" si="2041"/>
        <v>25</v>
      </c>
      <c r="CZJ12">
        <f t="shared" si="2042"/>
        <v>25</v>
      </c>
      <c r="CZK12">
        <f t="shared" si="2043"/>
        <v>25</v>
      </c>
      <c r="CZL12">
        <f t="shared" si="2044"/>
        <v>25</v>
      </c>
      <c r="CZM12">
        <f t="shared" si="2045"/>
        <v>43.75</v>
      </c>
      <c r="CZN12">
        <f t="shared" si="2046"/>
        <v>25</v>
      </c>
      <c r="CZO12">
        <f t="shared" si="2047"/>
        <v>0</v>
      </c>
      <c r="CZP12">
        <f t="shared" si="2048"/>
        <v>0</v>
      </c>
      <c r="CZQ12">
        <f t="shared" si="2049"/>
        <v>0</v>
      </c>
      <c r="CZR12">
        <f t="shared" si="2050"/>
        <v>0</v>
      </c>
      <c r="CZS12">
        <f t="shared" si="2051"/>
        <v>0</v>
      </c>
      <c r="CZT12">
        <f t="shared" si="2052"/>
        <v>0</v>
      </c>
      <c r="CZU12">
        <f t="shared" si="2053"/>
        <v>0</v>
      </c>
      <c r="CZV12">
        <f t="shared" si="2054"/>
        <v>0</v>
      </c>
      <c r="CZW12">
        <f t="shared" si="2055"/>
        <v>0</v>
      </c>
      <c r="CZX12">
        <f t="shared" si="2056"/>
        <v>0</v>
      </c>
      <c r="CZY12">
        <f t="shared" si="2057"/>
        <v>0</v>
      </c>
      <c r="CZZ12">
        <f t="shared" si="2058"/>
        <v>12.5</v>
      </c>
      <c r="DAA12">
        <f t="shared" si="2059"/>
        <v>12.5</v>
      </c>
      <c r="DAB12">
        <f t="shared" si="2060"/>
        <v>12.5</v>
      </c>
      <c r="DAC12">
        <f t="shared" si="2061"/>
        <v>25</v>
      </c>
      <c r="DAD12">
        <f t="shared" si="2062"/>
        <v>25</v>
      </c>
      <c r="DAE12">
        <f t="shared" si="2063"/>
        <v>25</v>
      </c>
      <c r="DAF12">
        <f t="shared" si="2064"/>
        <v>25</v>
      </c>
      <c r="DAG12">
        <f t="shared" si="2065"/>
        <v>25</v>
      </c>
      <c r="DAH12">
        <f t="shared" si="2066"/>
        <v>25</v>
      </c>
      <c r="DAI12">
        <f t="shared" si="2067"/>
        <v>43.75</v>
      </c>
      <c r="DAJ12">
        <f t="shared" si="2068"/>
        <v>25</v>
      </c>
      <c r="DAK12">
        <f t="shared" si="2069"/>
        <v>0</v>
      </c>
      <c r="DAL12">
        <f t="shared" si="2070"/>
        <v>0</v>
      </c>
      <c r="DAM12">
        <f t="shared" si="2071"/>
        <v>0</v>
      </c>
      <c r="DAN12">
        <f t="shared" si="2072"/>
        <v>0</v>
      </c>
      <c r="DAO12">
        <f t="shared" si="2073"/>
        <v>0</v>
      </c>
      <c r="DAP12">
        <f t="shared" si="2074"/>
        <v>0</v>
      </c>
      <c r="DAQ12">
        <f t="shared" si="2075"/>
        <v>0</v>
      </c>
      <c r="DAR12">
        <f t="shared" si="2076"/>
        <v>0</v>
      </c>
      <c r="DAS12">
        <f t="shared" si="2077"/>
        <v>0</v>
      </c>
      <c r="DAT12">
        <f t="shared" si="2078"/>
        <v>0</v>
      </c>
      <c r="DAU12">
        <f t="shared" si="2079"/>
        <v>0</v>
      </c>
      <c r="DAV12">
        <f t="shared" si="2080"/>
        <v>12.5</v>
      </c>
      <c r="DAW12">
        <f t="shared" si="2081"/>
        <v>12.5</v>
      </c>
      <c r="DAX12">
        <f t="shared" si="65"/>
        <v>12.5</v>
      </c>
      <c r="DAY12">
        <f t="shared" si="2142"/>
        <v>25</v>
      </c>
      <c r="DAZ12">
        <f t="shared" si="2143"/>
        <v>25</v>
      </c>
      <c r="DBA12">
        <f t="shared" si="2144"/>
        <v>25</v>
      </c>
      <c r="DBB12">
        <f t="shared" si="2082"/>
        <v>25</v>
      </c>
      <c r="DBC12">
        <f t="shared" si="2083"/>
        <v>25</v>
      </c>
      <c r="DBD12">
        <f t="shared" si="2084"/>
        <v>25</v>
      </c>
      <c r="DBE12">
        <f t="shared" si="2085"/>
        <v>43.75</v>
      </c>
      <c r="DBF12">
        <f t="shared" si="2086"/>
        <v>25</v>
      </c>
      <c r="DBG12">
        <f t="shared" si="2087"/>
        <v>0</v>
      </c>
      <c r="DBH12">
        <f t="shared" si="2088"/>
        <v>0</v>
      </c>
      <c r="DBI12">
        <f t="shared" si="2089"/>
        <v>0</v>
      </c>
      <c r="DBJ12">
        <f t="shared" si="2090"/>
        <v>0</v>
      </c>
      <c r="DBK12">
        <f t="shared" si="2091"/>
        <v>0</v>
      </c>
      <c r="DBL12">
        <f t="shared" si="2092"/>
        <v>0</v>
      </c>
      <c r="DBM12">
        <f t="shared" si="2093"/>
        <v>0</v>
      </c>
      <c r="DBN12">
        <f t="shared" si="2094"/>
        <v>0</v>
      </c>
      <c r="DBO12">
        <f t="shared" si="2095"/>
        <v>0</v>
      </c>
      <c r="DBP12">
        <f t="shared" si="2096"/>
        <v>0</v>
      </c>
      <c r="DBQ12">
        <f t="shared" si="2097"/>
        <v>0</v>
      </c>
      <c r="DBR12">
        <f t="shared" si="2098"/>
        <v>12.5</v>
      </c>
      <c r="DBS12">
        <f t="shared" si="2099"/>
        <v>12.5</v>
      </c>
      <c r="DBT12">
        <f t="shared" si="2100"/>
        <v>12.5</v>
      </c>
      <c r="DBU12">
        <f t="shared" si="2101"/>
        <v>25</v>
      </c>
      <c r="DBV12">
        <f t="shared" si="2102"/>
        <v>25</v>
      </c>
      <c r="DBW12">
        <f t="shared" si="2103"/>
        <v>25</v>
      </c>
      <c r="DBX12">
        <f t="shared" si="2104"/>
        <v>25</v>
      </c>
      <c r="DBY12">
        <f t="shared" si="2105"/>
        <v>25</v>
      </c>
      <c r="DBZ12">
        <f t="shared" si="2106"/>
        <v>25</v>
      </c>
      <c r="DCA12">
        <f t="shared" si="2107"/>
        <v>43.75</v>
      </c>
      <c r="DCB12">
        <f t="shared" si="2108"/>
        <v>25</v>
      </c>
      <c r="DCC12">
        <f t="shared" si="2109"/>
        <v>0</v>
      </c>
      <c r="DCD12">
        <f t="shared" si="2110"/>
        <v>0</v>
      </c>
      <c r="DCE12">
        <f t="shared" si="2111"/>
        <v>0</v>
      </c>
      <c r="DCF12">
        <f t="shared" si="2112"/>
        <v>0</v>
      </c>
      <c r="DCG12">
        <f t="shared" si="2113"/>
        <v>0</v>
      </c>
      <c r="DCH12">
        <f t="shared" si="2114"/>
        <v>0</v>
      </c>
      <c r="DCI12">
        <f t="shared" si="2115"/>
        <v>0</v>
      </c>
      <c r="DCJ12">
        <f t="shared" si="2116"/>
        <v>0</v>
      </c>
      <c r="DCK12">
        <f t="shared" si="2117"/>
        <v>0</v>
      </c>
      <c r="DCL12">
        <f t="shared" si="2118"/>
        <v>0</v>
      </c>
      <c r="DCM12">
        <f t="shared" si="2119"/>
        <v>0</v>
      </c>
      <c r="DCN12">
        <f t="shared" si="2120"/>
        <v>12.5</v>
      </c>
      <c r="DCO12">
        <f t="shared" si="2121"/>
        <v>12.5</v>
      </c>
      <c r="DCP12">
        <f t="shared" si="2122"/>
        <v>12.5</v>
      </c>
      <c r="DCQ12">
        <f t="shared" si="2123"/>
        <v>25</v>
      </c>
      <c r="DCR12">
        <f t="shared" si="2124"/>
        <v>25</v>
      </c>
      <c r="DCS12">
        <f t="shared" si="2125"/>
        <v>25</v>
      </c>
      <c r="DCT12">
        <f t="shared" si="2126"/>
        <v>25</v>
      </c>
      <c r="DCU12">
        <f t="shared" si="2127"/>
        <v>25</v>
      </c>
      <c r="DCV12">
        <f t="shared" si="2128"/>
        <v>25</v>
      </c>
      <c r="DCW12">
        <f t="shared" si="2129"/>
        <v>43.75</v>
      </c>
      <c r="DCX12">
        <f t="shared" si="2130"/>
        <v>25</v>
      </c>
      <c r="DCY12">
        <f t="shared" si="2131"/>
        <v>0</v>
      </c>
      <c r="DCZ12">
        <f t="shared" si="2132"/>
        <v>0</v>
      </c>
      <c r="DDA12">
        <f t="shared" si="2133"/>
        <v>0</v>
      </c>
      <c r="DDB12">
        <f t="shared" si="2134"/>
        <v>0</v>
      </c>
      <c r="DDC12">
        <f t="shared" si="2135"/>
        <v>0</v>
      </c>
      <c r="DDD12">
        <f t="shared" si="2136"/>
        <v>0</v>
      </c>
      <c r="DDE12">
        <f t="shared" si="2137"/>
        <v>0</v>
      </c>
      <c r="DDF12">
        <f t="shared" si="2138"/>
        <v>0</v>
      </c>
      <c r="DDG12">
        <f t="shared" si="2139"/>
        <v>0</v>
      </c>
      <c r="DDH12">
        <f t="shared" si="2140"/>
        <v>0</v>
      </c>
      <c r="DDI12">
        <f t="shared" si="2141"/>
        <v>0</v>
      </c>
    </row>
    <row r="13" spans="1:2839" x14ac:dyDescent="0.2">
      <c r="A13" s="1">
        <v>7</v>
      </c>
      <c r="B13">
        <f>'Demand Stage 2'!B12</f>
        <v>12.5</v>
      </c>
      <c r="C13">
        <f>'Demand Stage 2'!C12</f>
        <v>12.5</v>
      </c>
      <c r="D13">
        <f>'Demand Stage 2'!D12</f>
        <v>12.5</v>
      </c>
      <c r="E13">
        <f>'Demand Stage 2'!E12</f>
        <v>33.125</v>
      </c>
      <c r="F13">
        <f>'Demand Stage 2'!F12</f>
        <v>33.125</v>
      </c>
      <c r="G13">
        <f>'Demand Stage 2'!G12</f>
        <v>33.125</v>
      </c>
      <c r="H13">
        <f>'Demand Stage 2'!H12</f>
        <v>33.125</v>
      </c>
      <c r="I13">
        <f>'Demand Stage 2'!I12</f>
        <v>35</v>
      </c>
      <c r="J13">
        <f>'Demand Stage 2'!J12</f>
        <v>35</v>
      </c>
      <c r="K13">
        <f>'Demand Stage 2'!K12</f>
        <v>50</v>
      </c>
      <c r="L13">
        <f>'Demand Stage 2'!L12</f>
        <v>25</v>
      </c>
      <c r="M13">
        <f>'Demand Stage 2'!M12</f>
        <v>0</v>
      </c>
      <c r="N13">
        <f>'Demand Stage 2'!N12</f>
        <v>0</v>
      </c>
      <c r="O13">
        <f>'Demand Stage 2'!O12</f>
        <v>0</v>
      </c>
      <c r="P13">
        <f>'Demand Stage 2'!P12</f>
        <v>0</v>
      </c>
      <c r="Q13">
        <f>'Demand Stage 2'!Q12</f>
        <v>0</v>
      </c>
      <c r="R13">
        <f>'Demand Stage 2'!R12</f>
        <v>0</v>
      </c>
      <c r="S13">
        <f>'Demand Stage 2'!S12</f>
        <v>0</v>
      </c>
      <c r="T13">
        <f>'Demand Stage 2'!T12</f>
        <v>0</v>
      </c>
      <c r="U13">
        <f>'Demand Stage 2'!U12</f>
        <v>0</v>
      </c>
      <c r="V13">
        <f>'Demand Stage 2'!V12</f>
        <v>0</v>
      </c>
      <c r="W13">
        <f>'Demand Stage 2'!W12</f>
        <v>0</v>
      </c>
      <c r="X13">
        <f>'Demand Stage 2'!X12</f>
        <v>12.5</v>
      </c>
      <c r="Y13">
        <f>'Demand Stage 2'!Y12</f>
        <v>12.5</v>
      </c>
      <c r="Z13">
        <f>'Demand Stage 2'!Z12</f>
        <v>12.5</v>
      </c>
      <c r="AA13">
        <f>'Demand Stage 2'!AA12</f>
        <v>33.125</v>
      </c>
      <c r="AB13">
        <f>'Demand Stage 2'!AB12</f>
        <v>33.125</v>
      </c>
      <c r="AC13">
        <f>'Demand Stage 2'!AC12</f>
        <v>33.125</v>
      </c>
      <c r="AD13">
        <f>'Demand Stage 2'!AD12</f>
        <v>33.125</v>
      </c>
      <c r="AE13">
        <f>'Demand Stage 2'!AE12</f>
        <v>15</v>
      </c>
      <c r="AF13">
        <f>'Demand Stage 2'!AF12</f>
        <v>35</v>
      </c>
      <c r="AG13">
        <f>'Demand Stage 2'!AG12</f>
        <v>50</v>
      </c>
      <c r="AH13">
        <f>'Demand Stage 2'!AH12</f>
        <v>25</v>
      </c>
      <c r="AI13">
        <f>'Demand Stage 2'!AI12</f>
        <v>0</v>
      </c>
      <c r="AJ13">
        <f>'Demand Stage 2'!AJ12</f>
        <v>0</v>
      </c>
      <c r="AK13">
        <f>'Demand Stage 2'!AK12</f>
        <v>0</v>
      </c>
      <c r="AL13">
        <f>'Demand Stage 2'!AL12</f>
        <v>0</v>
      </c>
      <c r="AM13">
        <f>'Demand Stage 2'!AM12</f>
        <v>0</v>
      </c>
      <c r="AN13">
        <f>'Demand Stage 2'!AN12</f>
        <v>0</v>
      </c>
      <c r="AO13">
        <f>'Demand Stage 2'!AO12</f>
        <v>0</v>
      </c>
      <c r="AP13">
        <f>'Demand Stage 2'!AP12</f>
        <v>0</v>
      </c>
      <c r="AQ13">
        <f>'Demand Stage 2'!AQ12</f>
        <v>0</v>
      </c>
      <c r="AR13">
        <f>'Demand Stage 2'!AR12</f>
        <v>0</v>
      </c>
      <c r="AS13">
        <f>'Demand Stage 2'!AS12</f>
        <v>0</v>
      </c>
      <c r="AT13">
        <f>'Demand Stage 2'!AT12</f>
        <v>12.5</v>
      </c>
      <c r="AU13">
        <f>'Demand Stage 2'!AU12</f>
        <v>12.5</v>
      </c>
      <c r="AV13">
        <f>'Demand Stage 2'!AV12</f>
        <v>12.5</v>
      </c>
      <c r="AW13">
        <f>'Demand Stage 2'!AW12</f>
        <v>33.125</v>
      </c>
      <c r="AX13">
        <f>'Demand Stage 2'!AX12</f>
        <v>23.125</v>
      </c>
      <c r="AY13">
        <f>'Demand Stage 2'!AY12</f>
        <v>33.125</v>
      </c>
      <c r="AZ13">
        <f>'Demand Stage 2'!AZ12</f>
        <v>23.125</v>
      </c>
      <c r="BA13">
        <f>'Demand Stage 2'!BA12</f>
        <v>35</v>
      </c>
      <c r="BB13">
        <f>'Demand Stage 2'!BB12</f>
        <v>35</v>
      </c>
      <c r="BC13">
        <f>'Demand Stage 2'!BC12</f>
        <v>50</v>
      </c>
      <c r="BD13">
        <f>'Demand Stage 2'!BD12</f>
        <v>25</v>
      </c>
      <c r="BE13">
        <f>'Demand Stage 2'!BE12</f>
        <v>0</v>
      </c>
      <c r="BF13">
        <f>'Demand Stage 2'!BF12</f>
        <v>0</v>
      </c>
      <c r="BG13">
        <f>'Demand Stage 2'!BG12</f>
        <v>0</v>
      </c>
      <c r="BH13">
        <f>'Demand Stage 2'!BH12</f>
        <v>0</v>
      </c>
      <c r="BI13">
        <f>'Demand Stage 2'!BI12</f>
        <v>0</v>
      </c>
      <c r="BJ13">
        <f>'Demand Stage 2'!BJ12</f>
        <v>0</v>
      </c>
      <c r="BK13">
        <f>'Demand Stage 2'!BK12</f>
        <v>0</v>
      </c>
      <c r="BL13">
        <f>'Demand Stage 2'!BL12</f>
        <v>0</v>
      </c>
      <c r="BM13">
        <f>'Demand Stage 2'!BM12</f>
        <v>0</v>
      </c>
      <c r="BN13">
        <f>'Demand Stage 2'!BN12</f>
        <v>0</v>
      </c>
      <c r="BO13">
        <f>'Demand Stage 2'!BO12</f>
        <v>0</v>
      </c>
      <c r="BP13">
        <f>'Demand Stage 2'!BP12</f>
        <v>12.5</v>
      </c>
      <c r="BQ13">
        <f>'Demand Stage 2'!BQ12</f>
        <v>12.5</v>
      </c>
      <c r="BR13">
        <f>'Demand Stage 2'!BR12</f>
        <v>12.5</v>
      </c>
      <c r="BS13">
        <f>'Demand Stage 2'!BS12</f>
        <v>33.125</v>
      </c>
      <c r="BT13">
        <f>'Demand Stage 2'!BT12</f>
        <v>23.125</v>
      </c>
      <c r="BU13">
        <f>'Demand Stage 2'!BU12</f>
        <v>33.125</v>
      </c>
      <c r="BV13">
        <f>'Demand Stage 2'!BV12</f>
        <v>23.125</v>
      </c>
      <c r="BW13">
        <f>'Demand Stage 2'!BW12</f>
        <v>15</v>
      </c>
      <c r="BX13">
        <f>'Demand Stage 2'!BX12</f>
        <v>35</v>
      </c>
      <c r="BY13">
        <f>'Demand Stage 2'!BY12</f>
        <v>50</v>
      </c>
      <c r="BZ13">
        <f>'Demand Stage 2'!BZ12</f>
        <v>25</v>
      </c>
      <c r="CA13">
        <f>'Demand Stage 2'!CA12</f>
        <v>0</v>
      </c>
      <c r="CB13">
        <f>'Demand Stage 2'!CB12</f>
        <v>0</v>
      </c>
      <c r="CC13">
        <f>'Demand Stage 2'!CC12</f>
        <v>0</v>
      </c>
      <c r="CD13">
        <f>'Demand Stage 2'!CD12</f>
        <v>0</v>
      </c>
      <c r="CE13">
        <f>'Demand Stage 2'!CE12</f>
        <v>0</v>
      </c>
      <c r="CF13">
        <f>'Demand Stage 2'!CF12</f>
        <v>0</v>
      </c>
      <c r="CG13">
        <f>'Demand Stage 2'!CG12</f>
        <v>0</v>
      </c>
      <c r="CH13">
        <f>'Demand Stage 2'!CH12</f>
        <v>0</v>
      </c>
      <c r="CI13">
        <f>'Demand Stage 2'!CI12</f>
        <v>0</v>
      </c>
      <c r="CJ13">
        <f>'Demand Stage 2'!CJ12</f>
        <v>0</v>
      </c>
      <c r="CK13">
        <f>'Demand Stage 2'!CK12</f>
        <v>0</v>
      </c>
      <c r="CL13">
        <f>'Demand Stage 2'!CL12</f>
        <v>12.5</v>
      </c>
      <c r="CM13">
        <f>'Demand Stage 2'!CM12</f>
        <v>12.5</v>
      </c>
      <c r="CN13">
        <f>'Demand Stage 2'!CN12</f>
        <v>12.5</v>
      </c>
      <c r="CO13">
        <f>'Demand Stage 2'!CO12</f>
        <v>23.125</v>
      </c>
      <c r="CP13">
        <f>'Demand Stage 2'!CP12</f>
        <v>33.125</v>
      </c>
      <c r="CQ13">
        <f>'Demand Stage 2'!CQ12</f>
        <v>33.125</v>
      </c>
      <c r="CR13">
        <f>'Demand Stage 2'!CR12</f>
        <v>33.125</v>
      </c>
      <c r="CS13">
        <f>'Demand Stage 2'!CS12</f>
        <v>35</v>
      </c>
      <c r="CT13">
        <f>'Demand Stage 2'!CT12</f>
        <v>35</v>
      </c>
      <c r="CU13">
        <f>'Demand Stage 2'!CU12</f>
        <v>50</v>
      </c>
      <c r="CV13">
        <f>'Demand Stage 2'!CV12</f>
        <v>25</v>
      </c>
      <c r="CW13">
        <f>'Demand Stage 2'!CW12</f>
        <v>0</v>
      </c>
      <c r="CX13">
        <f>'Demand Stage 2'!CX12</f>
        <v>0</v>
      </c>
      <c r="CY13">
        <f>'Demand Stage 2'!CY12</f>
        <v>0</v>
      </c>
      <c r="CZ13">
        <f>'Demand Stage 2'!CZ12</f>
        <v>0</v>
      </c>
      <c r="DA13">
        <f>'Demand Stage 2'!DA12</f>
        <v>0</v>
      </c>
      <c r="DB13">
        <f>'Demand Stage 2'!DB12</f>
        <v>0</v>
      </c>
      <c r="DC13">
        <f>'Demand Stage 2'!DC12</f>
        <v>0</v>
      </c>
      <c r="DD13">
        <f>'Demand Stage 2'!DD12</f>
        <v>0</v>
      </c>
      <c r="DE13">
        <f>'Demand Stage 2'!DE12</f>
        <v>0</v>
      </c>
      <c r="DF13">
        <f>'Demand Stage 2'!DF12</f>
        <v>0</v>
      </c>
      <c r="DG13">
        <f>'Demand Stage 2'!DG12</f>
        <v>0</v>
      </c>
      <c r="DH13">
        <f>'Demand Stage 2'!DH12</f>
        <v>12.5</v>
      </c>
      <c r="DI13">
        <f>'Demand Stage 2'!DI12</f>
        <v>12.5</v>
      </c>
      <c r="DJ13">
        <f>'Demand Stage 2'!DJ12</f>
        <v>12.5</v>
      </c>
      <c r="DK13">
        <f>'Demand Stage 2'!DK12</f>
        <v>23.125</v>
      </c>
      <c r="DL13">
        <f>'Demand Stage 2'!DL12</f>
        <v>33.125</v>
      </c>
      <c r="DM13">
        <f>'Demand Stage 2'!DM12</f>
        <v>33.125</v>
      </c>
      <c r="DN13">
        <f>'Demand Stage 2'!DN12</f>
        <v>33.125</v>
      </c>
      <c r="DO13">
        <f>'Demand Stage 2'!DO12</f>
        <v>15</v>
      </c>
      <c r="DP13">
        <f>'Demand Stage 2'!DP12</f>
        <v>35</v>
      </c>
      <c r="DQ13">
        <f>'Demand Stage 2'!DQ12</f>
        <v>50</v>
      </c>
      <c r="DR13">
        <f>'Demand Stage 2'!DR12</f>
        <v>25</v>
      </c>
      <c r="DS13">
        <f>'Demand Stage 2'!DS12</f>
        <v>0</v>
      </c>
      <c r="DT13">
        <f>'Demand Stage 2'!DT12</f>
        <v>0</v>
      </c>
      <c r="DU13">
        <f>'Demand Stage 2'!DU12</f>
        <v>0</v>
      </c>
      <c r="DV13">
        <f>'Demand Stage 2'!DV12</f>
        <v>0</v>
      </c>
      <c r="DW13">
        <f>'Demand Stage 2'!DW12</f>
        <v>0</v>
      </c>
      <c r="DX13">
        <f>'Demand Stage 2'!DX12</f>
        <v>0</v>
      </c>
      <c r="DY13">
        <f>'Demand Stage 2'!DY12</f>
        <v>0</v>
      </c>
      <c r="DZ13">
        <f>'Demand Stage 2'!DZ12</f>
        <v>0</v>
      </c>
      <c r="EA13">
        <f>'Demand Stage 2'!EA12</f>
        <v>0</v>
      </c>
      <c r="EB13">
        <f>'Demand Stage 2'!EB12</f>
        <v>0</v>
      </c>
      <c r="EC13">
        <f>'Demand Stage 2'!EC12</f>
        <v>0</v>
      </c>
      <c r="ED13">
        <f>'Demand Stage 2'!ED12</f>
        <v>12.5</v>
      </c>
      <c r="EE13">
        <f>'Demand Stage 2'!EE12</f>
        <v>12.5</v>
      </c>
      <c r="EF13">
        <f>'Demand Stage 2'!EF12</f>
        <v>12.5</v>
      </c>
      <c r="EG13">
        <f>'Demand Stage 2'!EG12</f>
        <v>23.125</v>
      </c>
      <c r="EH13">
        <f>'Demand Stage 2'!EH12</f>
        <v>23.125</v>
      </c>
      <c r="EI13">
        <f>'Demand Stage 2'!EI12</f>
        <v>33.125</v>
      </c>
      <c r="EJ13">
        <f>'Demand Stage 2'!EJ12</f>
        <v>23.125</v>
      </c>
      <c r="EK13">
        <f>'Demand Stage 2'!EK12</f>
        <v>35</v>
      </c>
      <c r="EL13">
        <f>'Demand Stage 2'!EL12</f>
        <v>35</v>
      </c>
      <c r="EM13">
        <f>'Demand Stage 2'!EM12</f>
        <v>50</v>
      </c>
      <c r="EN13">
        <f>'Demand Stage 2'!EN12</f>
        <v>25</v>
      </c>
      <c r="EO13">
        <f>'Demand Stage 2'!EO12</f>
        <v>0</v>
      </c>
      <c r="EP13">
        <f>'Demand Stage 2'!EP12</f>
        <v>0</v>
      </c>
      <c r="EQ13">
        <f>'Demand Stage 2'!EQ12</f>
        <v>0</v>
      </c>
      <c r="ER13">
        <f>'Demand Stage 2'!ER12</f>
        <v>0</v>
      </c>
      <c r="ES13">
        <f>'Demand Stage 2'!ES12</f>
        <v>0</v>
      </c>
      <c r="ET13">
        <f>'Demand Stage 2'!ET12</f>
        <v>0</v>
      </c>
      <c r="EU13">
        <f>'Demand Stage 2'!EU12</f>
        <v>0</v>
      </c>
      <c r="EV13">
        <f>'Demand Stage 2'!EV12</f>
        <v>0</v>
      </c>
      <c r="EW13">
        <f>'Demand Stage 2'!EW12</f>
        <v>0</v>
      </c>
      <c r="EX13">
        <f>'Demand Stage 2'!EX12</f>
        <v>0</v>
      </c>
      <c r="EY13">
        <f>'Demand Stage 2'!EY12</f>
        <v>0</v>
      </c>
      <c r="EZ13">
        <f>'Demand Stage 2'!EZ12</f>
        <v>12.5</v>
      </c>
      <c r="FA13">
        <f>'Demand Stage 2'!FA12</f>
        <v>12.5</v>
      </c>
      <c r="FB13">
        <f>'Demand Stage 2'!FB12</f>
        <v>12.5</v>
      </c>
      <c r="FC13">
        <f>'Demand Stage 2'!FC12</f>
        <v>23.125</v>
      </c>
      <c r="FD13">
        <f>'Demand Stage 2'!FD12</f>
        <v>23.125</v>
      </c>
      <c r="FE13">
        <f>'Demand Stage 2'!FE12</f>
        <v>33.125</v>
      </c>
      <c r="FF13">
        <f>'Demand Stage 2'!FF12</f>
        <v>23.125</v>
      </c>
      <c r="FG13">
        <f>'Demand Stage 2'!FG12</f>
        <v>15</v>
      </c>
      <c r="FH13">
        <f>'Demand Stage 2'!FH12</f>
        <v>35</v>
      </c>
      <c r="FI13">
        <f>'Demand Stage 2'!FI12</f>
        <v>50</v>
      </c>
      <c r="FJ13">
        <f>'Demand Stage 2'!FJ12</f>
        <v>25</v>
      </c>
      <c r="FK13">
        <f>'Demand Stage 2'!FK12</f>
        <v>0</v>
      </c>
      <c r="FL13">
        <f>'Demand Stage 2'!FL12</f>
        <v>0</v>
      </c>
      <c r="FM13">
        <f>'Demand Stage 2'!FM12</f>
        <v>0</v>
      </c>
      <c r="FN13">
        <f>'Demand Stage 2'!FN12</f>
        <v>0</v>
      </c>
      <c r="FO13">
        <f>'Demand Stage 2'!FO12</f>
        <v>0</v>
      </c>
      <c r="FP13">
        <f>'Demand Stage 2'!FP12</f>
        <v>0</v>
      </c>
      <c r="FQ13">
        <f>'Demand Stage 2'!FQ12</f>
        <v>0</v>
      </c>
      <c r="FR13">
        <f>'Demand Stage 2'!FR12</f>
        <v>0</v>
      </c>
      <c r="FS13">
        <f>'Demand Stage 2'!FS12</f>
        <v>0</v>
      </c>
      <c r="FT13">
        <f>'Demand Stage 2'!FT12</f>
        <v>0</v>
      </c>
      <c r="FU13">
        <f>'Demand Stage 2'!FU12</f>
        <v>0</v>
      </c>
      <c r="FV13">
        <f>'Demand Stage 2'!FV12</f>
        <v>12.5</v>
      </c>
      <c r="FW13">
        <f>'Demand Stage 2'!FW12</f>
        <v>12.5</v>
      </c>
      <c r="FX13">
        <f>'Demand Stage 2'!FX12</f>
        <v>12.5</v>
      </c>
      <c r="FY13">
        <f>'Demand Stage 2'!FY12</f>
        <v>33.125</v>
      </c>
      <c r="FZ13">
        <f>'Demand Stage 2'!FZ12</f>
        <v>33.125</v>
      </c>
      <c r="GA13">
        <f>'Demand Stage 2'!GA12</f>
        <v>23.125</v>
      </c>
      <c r="GB13">
        <f>'Demand Stage 2'!GB12</f>
        <v>33.125</v>
      </c>
      <c r="GC13">
        <f>'Demand Stage 2'!GC12</f>
        <v>35</v>
      </c>
      <c r="GD13">
        <f>'Demand Stage 2'!GD12</f>
        <v>35</v>
      </c>
      <c r="GE13">
        <f>'Demand Stage 2'!GE12</f>
        <v>50</v>
      </c>
      <c r="GF13">
        <f>'Demand Stage 2'!GF12</f>
        <v>25</v>
      </c>
      <c r="GG13">
        <f>'Demand Stage 2'!GG12</f>
        <v>0</v>
      </c>
      <c r="GH13">
        <f>'Demand Stage 2'!GH12</f>
        <v>0</v>
      </c>
      <c r="GI13">
        <f>'Demand Stage 2'!GI12</f>
        <v>0</v>
      </c>
      <c r="GJ13">
        <f>'Demand Stage 2'!GJ12</f>
        <v>0</v>
      </c>
      <c r="GK13">
        <f>'Demand Stage 2'!GK12</f>
        <v>0</v>
      </c>
      <c r="GL13">
        <f>'Demand Stage 2'!GL12</f>
        <v>0</v>
      </c>
      <c r="GM13">
        <f>'Demand Stage 2'!GM12</f>
        <v>0</v>
      </c>
      <c r="GN13">
        <f>'Demand Stage 2'!GN12</f>
        <v>0</v>
      </c>
      <c r="GO13">
        <f>'Demand Stage 2'!GO12</f>
        <v>0</v>
      </c>
      <c r="GP13">
        <f>'Demand Stage 2'!GP12</f>
        <v>0</v>
      </c>
      <c r="GQ13">
        <f>'Demand Stage 2'!GQ12</f>
        <v>0</v>
      </c>
      <c r="GR13">
        <f>'Demand Stage 2'!GR12</f>
        <v>12.5</v>
      </c>
      <c r="GS13">
        <f>'Demand Stage 2'!GS12</f>
        <v>12.5</v>
      </c>
      <c r="GT13">
        <f>'Demand Stage 2'!GT12</f>
        <v>12.5</v>
      </c>
      <c r="GU13">
        <f>'Demand Stage 2'!GU12</f>
        <v>33.125</v>
      </c>
      <c r="GV13">
        <f>'Demand Stage 2'!GV12</f>
        <v>33.125</v>
      </c>
      <c r="GW13">
        <f>'Demand Stage 2'!GW12</f>
        <v>23.125</v>
      </c>
      <c r="GX13">
        <f>'Demand Stage 2'!GX12</f>
        <v>33.125</v>
      </c>
      <c r="GY13">
        <f>'Demand Stage 2'!GY12</f>
        <v>15</v>
      </c>
      <c r="GZ13">
        <f>'Demand Stage 2'!GZ12</f>
        <v>35</v>
      </c>
      <c r="HA13">
        <f>'Demand Stage 2'!HA12</f>
        <v>50</v>
      </c>
      <c r="HB13">
        <f>'Demand Stage 2'!HB12</f>
        <v>25</v>
      </c>
      <c r="HC13">
        <f>'Demand Stage 2'!HC12</f>
        <v>0</v>
      </c>
      <c r="HD13">
        <f>'Demand Stage 2'!HD12</f>
        <v>0</v>
      </c>
      <c r="HE13">
        <f>'Demand Stage 2'!HE12</f>
        <v>0</v>
      </c>
      <c r="HF13">
        <f>'Demand Stage 2'!HF12</f>
        <v>0</v>
      </c>
      <c r="HG13">
        <f>'Demand Stage 2'!HG12</f>
        <v>0</v>
      </c>
      <c r="HH13">
        <f>'Demand Stage 2'!HH12</f>
        <v>0</v>
      </c>
      <c r="HI13">
        <f>'Demand Stage 2'!HI12</f>
        <v>0</v>
      </c>
      <c r="HJ13">
        <f>'Demand Stage 2'!HJ12</f>
        <v>0</v>
      </c>
      <c r="HK13">
        <f>'Demand Stage 2'!HK12</f>
        <v>0</v>
      </c>
      <c r="HL13">
        <f>'Demand Stage 2'!HL12</f>
        <v>0</v>
      </c>
      <c r="HM13">
        <f>'Demand Stage 2'!HM12</f>
        <v>0</v>
      </c>
      <c r="HN13">
        <f>'Demand Stage 2'!HN12</f>
        <v>12.5</v>
      </c>
      <c r="HO13">
        <f>'Demand Stage 2'!HO12</f>
        <v>12.5</v>
      </c>
      <c r="HP13">
        <f>'Demand Stage 2'!HP12</f>
        <v>12.5</v>
      </c>
      <c r="HQ13">
        <f>'Demand Stage 2'!HQ12</f>
        <v>33.125</v>
      </c>
      <c r="HR13">
        <f>'Demand Stage 2'!HR12</f>
        <v>23.125</v>
      </c>
      <c r="HS13">
        <f>'Demand Stage 2'!HS12</f>
        <v>23.125</v>
      </c>
      <c r="HT13">
        <f>'Demand Stage 2'!HT12</f>
        <v>23.125</v>
      </c>
      <c r="HU13">
        <f>'Demand Stage 2'!HU12</f>
        <v>35</v>
      </c>
      <c r="HV13">
        <f>'Demand Stage 2'!HV12</f>
        <v>35</v>
      </c>
      <c r="HW13">
        <f>'Demand Stage 2'!HW12</f>
        <v>50</v>
      </c>
      <c r="HX13">
        <f>'Demand Stage 2'!HX12</f>
        <v>25</v>
      </c>
      <c r="HY13">
        <f>'Demand Stage 2'!HY12</f>
        <v>0</v>
      </c>
      <c r="HZ13">
        <f>'Demand Stage 2'!HZ12</f>
        <v>0</v>
      </c>
      <c r="IA13">
        <f>'Demand Stage 2'!IA12</f>
        <v>0</v>
      </c>
      <c r="IB13">
        <f>'Demand Stage 2'!IB12</f>
        <v>0</v>
      </c>
      <c r="IC13">
        <f>'Demand Stage 2'!IC12</f>
        <v>0</v>
      </c>
      <c r="ID13">
        <f>'Demand Stage 2'!ID12</f>
        <v>0</v>
      </c>
      <c r="IE13">
        <f>'Demand Stage 2'!IE12</f>
        <v>0</v>
      </c>
      <c r="IF13">
        <f>'Demand Stage 2'!IF12</f>
        <v>0</v>
      </c>
      <c r="IG13">
        <f>'Demand Stage 2'!IG12</f>
        <v>0</v>
      </c>
      <c r="IH13">
        <f>'Demand Stage 2'!IH12</f>
        <v>0</v>
      </c>
      <c r="II13">
        <f>'Demand Stage 2'!II12</f>
        <v>0</v>
      </c>
      <c r="IJ13">
        <f>'Demand Stage 2'!IJ12</f>
        <v>12.5</v>
      </c>
      <c r="IK13">
        <f>'Demand Stage 2'!IK12</f>
        <v>12.5</v>
      </c>
      <c r="IL13">
        <f>'Demand Stage 2'!IL12</f>
        <v>12.5</v>
      </c>
      <c r="IM13">
        <f>'Demand Stage 2'!IM12</f>
        <v>33.125</v>
      </c>
      <c r="IN13">
        <f>'Demand Stage 2'!IN12</f>
        <v>23.125</v>
      </c>
      <c r="IO13">
        <f>'Demand Stage 2'!IO12</f>
        <v>23.125</v>
      </c>
      <c r="IP13">
        <f>'Demand Stage 2'!IP12</f>
        <v>23.125</v>
      </c>
      <c r="IQ13">
        <f>'Demand Stage 2'!IQ12</f>
        <v>15</v>
      </c>
      <c r="IR13">
        <f>'Demand Stage 2'!IR12</f>
        <v>35</v>
      </c>
      <c r="IS13">
        <f>'Demand Stage 2'!IS12</f>
        <v>50</v>
      </c>
      <c r="IT13">
        <f>'Demand Stage 2'!IT12</f>
        <v>25</v>
      </c>
      <c r="IU13">
        <f>'Demand Stage 2'!IU12</f>
        <v>0</v>
      </c>
      <c r="IV13">
        <f>'Demand Stage 2'!IV12</f>
        <v>0</v>
      </c>
      <c r="IW13">
        <f>'Demand Stage 2'!IW12</f>
        <v>0</v>
      </c>
      <c r="IX13">
        <f>'Demand Stage 2'!IX12</f>
        <v>0</v>
      </c>
      <c r="IY13">
        <f>'Demand Stage 2'!IY12</f>
        <v>0</v>
      </c>
      <c r="IZ13">
        <f>'Demand Stage 2'!IZ12</f>
        <v>0</v>
      </c>
      <c r="JA13">
        <f>'Demand Stage 2'!JA12</f>
        <v>0</v>
      </c>
      <c r="JB13">
        <f>'Demand Stage 2'!JB12</f>
        <v>0</v>
      </c>
      <c r="JC13">
        <f>'Demand Stage 2'!JC12</f>
        <v>0</v>
      </c>
      <c r="JD13">
        <f>'Demand Stage 2'!JD12</f>
        <v>0</v>
      </c>
      <c r="JE13">
        <f>'Demand Stage 2'!JE12</f>
        <v>0</v>
      </c>
      <c r="JF13">
        <f>'Demand Stage 2'!JF12</f>
        <v>12.5</v>
      </c>
      <c r="JG13">
        <f>'Demand Stage 2'!JG12</f>
        <v>12.5</v>
      </c>
      <c r="JH13">
        <f>'Demand Stage 2'!JH12</f>
        <v>12.5</v>
      </c>
      <c r="JI13">
        <f>'Demand Stage 2'!JI12</f>
        <v>23.125</v>
      </c>
      <c r="JJ13">
        <f>'Demand Stage 2'!JJ12</f>
        <v>33.125</v>
      </c>
      <c r="JK13">
        <f>'Demand Stage 2'!JK12</f>
        <v>23.125</v>
      </c>
      <c r="JL13">
        <f>'Demand Stage 2'!JL12</f>
        <v>33.125</v>
      </c>
      <c r="JM13">
        <f>'Demand Stage 2'!JM12</f>
        <v>35</v>
      </c>
      <c r="JN13">
        <f>'Demand Stage 2'!JN12</f>
        <v>35</v>
      </c>
      <c r="JO13">
        <f>'Demand Stage 2'!JO12</f>
        <v>50</v>
      </c>
      <c r="JP13">
        <f>'Demand Stage 2'!JP12</f>
        <v>25</v>
      </c>
      <c r="JQ13">
        <f>'Demand Stage 2'!JQ12</f>
        <v>0</v>
      </c>
      <c r="JR13">
        <f>'Demand Stage 2'!JR12</f>
        <v>0</v>
      </c>
      <c r="JS13">
        <f>'Demand Stage 2'!JS12</f>
        <v>0</v>
      </c>
      <c r="JT13">
        <f>'Demand Stage 2'!JT12</f>
        <v>0</v>
      </c>
      <c r="JU13">
        <f>'Demand Stage 2'!JU12</f>
        <v>0</v>
      </c>
      <c r="JV13">
        <f>'Demand Stage 2'!JV12</f>
        <v>0</v>
      </c>
      <c r="JW13">
        <f>'Demand Stage 2'!JW12</f>
        <v>0</v>
      </c>
      <c r="JX13">
        <f>'Demand Stage 2'!JX12</f>
        <v>0</v>
      </c>
      <c r="JY13">
        <f>'Demand Stage 2'!JY12</f>
        <v>0</v>
      </c>
      <c r="JZ13">
        <f>'Demand Stage 2'!JZ12</f>
        <v>0</v>
      </c>
      <c r="KA13">
        <f>'Demand Stage 2'!KA12</f>
        <v>0</v>
      </c>
      <c r="KB13">
        <f>'Demand Stage 2'!KB12</f>
        <v>12.5</v>
      </c>
      <c r="KC13">
        <f>'Demand Stage 2'!KC12</f>
        <v>12.5</v>
      </c>
      <c r="KD13">
        <f>'Demand Stage 2'!KD12</f>
        <v>12.5</v>
      </c>
      <c r="KE13">
        <f>'Demand Stage 2'!KE12</f>
        <v>23.125</v>
      </c>
      <c r="KF13">
        <f>'Demand Stage 2'!KF12</f>
        <v>33.125</v>
      </c>
      <c r="KG13">
        <f>'Demand Stage 2'!KG12</f>
        <v>23.125</v>
      </c>
      <c r="KH13">
        <f>'Demand Stage 2'!KH12</f>
        <v>33.125</v>
      </c>
      <c r="KI13">
        <f>'Demand Stage 2'!KI12</f>
        <v>15</v>
      </c>
      <c r="KJ13">
        <f>'Demand Stage 2'!KJ12</f>
        <v>35</v>
      </c>
      <c r="KK13">
        <f>'Demand Stage 2'!KK12</f>
        <v>50</v>
      </c>
      <c r="KL13">
        <f>'Demand Stage 2'!KL12</f>
        <v>25</v>
      </c>
      <c r="KM13">
        <f>'Demand Stage 2'!KM12</f>
        <v>0</v>
      </c>
      <c r="KN13">
        <f>'Demand Stage 2'!KN12</f>
        <v>0</v>
      </c>
      <c r="KO13">
        <f>'Demand Stage 2'!KO12</f>
        <v>0</v>
      </c>
      <c r="KP13">
        <f>'Demand Stage 2'!KP12</f>
        <v>0</v>
      </c>
      <c r="KQ13">
        <f>'Demand Stage 2'!KQ12</f>
        <v>0</v>
      </c>
      <c r="KR13">
        <f>'Demand Stage 2'!KR12</f>
        <v>0</v>
      </c>
      <c r="KS13">
        <f>'Demand Stage 2'!KS12</f>
        <v>0</v>
      </c>
      <c r="KT13">
        <f>'Demand Stage 2'!KT12</f>
        <v>0</v>
      </c>
      <c r="KU13">
        <f>'Demand Stage 2'!KU12</f>
        <v>0</v>
      </c>
      <c r="KV13">
        <f>'Demand Stage 2'!KV12</f>
        <v>0</v>
      </c>
      <c r="KW13">
        <f>'Demand Stage 2'!KW12</f>
        <v>0</v>
      </c>
      <c r="KX13">
        <f>'Demand Stage 2'!KX12</f>
        <v>12.5</v>
      </c>
      <c r="KY13">
        <f>'Demand Stage 2'!KY12</f>
        <v>12.5</v>
      </c>
      <c r="KZ13">
        <f>'Demand Stage 2'!KZ12</f>
        <v>12.5</v>
      </c>
      <c r="LA13">
        <f>'Demand Stage 2'!LA12</f>
        <v>23.125</v>
      </c>
      <c r="LB13">
        <f>'Demand Stage 2'!LB12</f>
        <v>23.125</v>
      </c>
      <c r="LC13">
        <f>'Demand Stage 2'!LC12</f>
        <v>23.125</v>
      </c>
      <c r="LD13">
        <f>'Demand Stage 2'!LD12</f>
        <v>23.125</v>
      </c>
      <c r="LE13">
        <f>'Demand Stage 2'!LE12</f>
        <v>35</v>
      </c>
      <c r="LF13">
        <f>'Demand Stage 2'!LF12</f>
        <v>35</v>
      </c>
      <c r="LG13">
        <f>'Demand Stage 2'!LG12</f>
        <v>50</v>
      </c>
      <c r="LH13">
        <f>'Demand Stage 2'!LH12</f>
        <v>25</v>
      </c>
      <c r="LI13">
        <f>'Demand Stage 2'!LI12</f>
        <v>0</v>
      </c>
      <c r="LJ13">
        <f>'Demand Stage 2'!LJ12</f>
        <v>0</v>
      </c>
      <c r="LK13">
        <f>'Demand Stage 2'!LK12</f>
        <v>0</v>
      </c>
      <c r="LL13">
        <f>'Demand Stage 2'!LL12</f>
        <v>0</v>
      </c>
      <c r="LM13">
        <f>'Demand Stage 2'!LM12</f>
        <v>0</v>
      </c>
      <c r="LN13">
        <f>'Demand Stage 2'!LN12</f>
        <v>0</v>
      </c>
      <c r="LO13">
        <f>'Demand Stage 2'!LO12</f>
        <v>0</v>
      </c>
      <c r="LP13">
        <f>'Demand Stage 2'!LP12</f>
        <v>0</v>
      </c>
      <c r="LQ13">
        <f>'Demand Stage 2'!LQ12</f>
        <v>0</v>
      </c>
      <c r="LR13">
        <f>'Demand Stage 2'!LR12</f>
        <v>0</v>
      </c>
      <c r="LS13">
        <f>'Demand Stage 2'!LS12</f>
        <v>0</v>
      </c>
      <c r="LT13">
        <f>'Demand Stage 2'!LT12</f>
        <v>12.5</v>
      </c>
      <c r="LU13">
        <f>'Demand Stage 2'!LU12</f>
        <v>12.5</v>
      </c>
      <c r="LV13">
        <f>'Demand Stage 2'!LV12</f>
        <v>12.5</v>
      </c>
      <c r="LW13">
        <f>'Demand Stage 2'!LW12</f>
        <v>23.125</v>
      </c>
      <c r="LX13">
        <f>'Demand Stage 2'!LX12</f>
        <v>23.125</v>
      </c>
      <c r="LY13">
        <f>'Demand Stage 2'!LY12</f>
        <v>23.125</v>
      </c>
      <c r="LZ13">
        <f>'Demand Stage 2'!LZ12</f>
        <v>23.125</v>
      </c>
      <c r="MA13">
        <f>'Demand Stage 2'!MA12</f>
        <v>15</v>
      </c>
      <c r="MB13">
        <f>'Demand Stage 2'!MB12</f>
        <v>35</v>
      </c>
      <c r="MC13">
        <f>'Demand Stage 2'!MC12</f>
        <v>50</v>
      </c>
      <c r="MD13">
        <f>'Demand Stage 2'!MD12</f>
        <v>25</v>
      </c>
      <c r="ME13">
        <f>'Demand Stage 2'!ME12</f>
        <v>0</v>
      </c>
      <c r="MF13">
        <f>'Demand Stage 2'!MF12</f>
        <v>0</v>
      </c>
      <c r="MG13">
        <f>'Demand Stage 2'!MG12</f>
        <v>0</v>
      </c>
      <c r="MH13">
        <f>'Demand Stage 2'!MH12</f>
        <v>0</v>
      </c>
      <c r="MI13">
        <f>'Demand Stage 2'!MI12</f>
        <v>0</v>
      </c>
      <c r="MJ13">
        <f>'Demand Stage 2'!MJ12</f>
        <v>0</v>
      </c>
      <c r="MK13">
        <f>'Demand Stage 2'!MK12</f>
        <v>0</v>
      </c>
      <c r="ML13">
        <f>'Demand Stage 2'!ML12</f>
        <v>0</v>
      </c>
      <c r="MM13">
        <f>'Demand Stage 2'!MM12</f>
        <v>0</v>
      </c>
      <c r="MN13">
        <f>'Demand Stage 2'!MN12</f>
        <v>0</v>
      </c>
      <c r="MO13">
        <f>'Demand Stage 2'!MO12</f>
        <v>0</v>
      </c>
      <c r="MP13">
        <f>'Demand Stage 2'!MP12</f>
        <v>12.5</v>
      </c>
      <c r="MQ13">
        <f>'Demand Stage 2'!MQ12</f>
        <v>12.5</v>
      </c>
      <c r="MR13">
        <f>'Demand Stage 2'!MR12</f>
        <v>12.5</v>
      </c>
      <c r="MS13">
        <f>'Demand Stage 2'!MS12</f>
        <v>33.125</v>
      </c>
      <c r="MT13">
        <f>'Demand Stage 2'!MT12</f>
        <v>33.125</v>
      </c>
      <c r="MU13">
        <f>'Demand Stage 2'!MU12</f>
        <v>33.125</v>
      </c>
      <c r="MV13">
        <f>'Demand Stage 2'!MV12</f>
        <v>33.125</v>
      </c>
      <c r="MW13">
        <f>'Demand Stage 2'!MW12</f>
        <v>35</v>
      </c>
      <c r="MX13">
        <f>'Demand Stage 2'!MX12</f>
        <v>15</v>
      </c>
      <c r="MY13">
        <f>'Demand Stage 2'!MY12</f>
        <v>50</v>
      </c>
      <c r="MZ13">
        <f>'Demand Stage 2'!MZ12</f>
        <v>25</v>
      </c>
      <c r="NA13">
        <f>'Demand Stage 2'!NA12</f>
        <v>0</v>
      </c>
      <c r="NB13">
        <f>'Demand Stage 2'!NB12</f>
        <v>0</v>
      </c>
      <c r="NC13">
        <f>'Demand Stage 2'!NC12</f>
        <v>0</v>
      </c>
      <c r="ND13">
        <f>'Demand Stage 2'!ND12</f>
        <v>0</v>
      </c>
      <c r="NE13">
        <f>'Demand Stage 2'!NE12</f>
        <v>0</v>
      </c>
      <c r="NF13">
        <f>'Demand Stage 2'!NF12</f>
        <v>0</v>
      </c>
      <c r="NG13">
        <f>'Demand Stage 2'!NG12</f>
        <v>0</v>
      </c>
      <c r="NH13">
        <f>'Demand Stage 2'!NH12</f>
        <v>0</v>
      </c>
      <c r="NI13">
        <f>'Demand Stage 2'!NI12</f>
        <v>0</v>
      </c>
      <c r="NJ13">
        <f>'Demand Stage 2'!NJ12</f>
        <v>0</v>
      </c>
      <c r="NK13">
        <f>'Demand Stage 2'!NK12</f>
        <v>0</v>
      </c>
      <c r="NL13">
        <f>'Demand Stage 2'!NL12</f>
        <v>12.5</v>
      </c>
      <c r="NM13">
        <f>'Demand Stage 2'!NM12</f>
        <v>12.5</v>
      </c>
      <c r="NN13">
        <f>'Demand Stage 2'!NN12</f>
        <v>12.5</v>
      </c>
      <c r="NO13">
        <f>'Demand Stage 2'!NO12</f>
        <v>33.125</v>
      </c>
      <c r="NP13">
        <f>'Demand Stage 2'!NP12</f>
        <v>33.125</v>
      </c>
      <c r="NQ13">
        <f>'Demand Stage 2'!NQ12</f>
        <v>33.125</v>
      </c>
      <c r="NR13">
        <f>'Demand Stage 2'!NR12</f>
        <v>33.125</v>
      </c>
      <c r="NS13">
        <f>'Demand Stage 2'!NS12</f>
        <v>15</v>
      </c>
      <c r="NT13">
        <f>'Demand Stage 2'!NT12</f>
        <v>15</v>
      </c>
      <c r="NU13">
        <f>'Demand Stage 2'!NU12</f>
        <v>50</v>
      </c>
      <c r="NV13">
        <f>'Demand Stage 2'!NV12</f>
        <v>25</v>
      </c>
      <c r="NW13">
        <f>'Demand Stage 2'!NW12</f>
        <v>0</v>
      </c>
      <c r="NX13">
        <f>'Demand Stage 2'!NX12</f>
        <v>0</v>
      </c>
      <c r="NY13">
        <f>'Demand Stage 2'!NY12</f>
        <v>0</v>
      </c>
      <c r="NZ13">
        <f>'Demand Stage 2'!NZ12</f>
        <v>0</v>
      </c>
      <c r="OA13">
        <f>'Demand Stage 2'!OA12</f>
        <v>0</v>
      </c>
      <c r="OB13">
        <f>'Demand Stage 2'!OB12</f>
        <v>0</v>
      </c>
      <c r="OC13">
        <f>'Demand Stage 2'!OC12</f>
        <v>0</v>
      </c>
      <c r="OD13">
        <f>'Demand Stage 2'!OD12</f>
        <v>0</v>
      </c>
      <c r="OE13">
        <f>'Demand Stage 2'!OE12</f>
        <v>0</v>
      </c>
      <c r="OF13">
        <f>'Demand Stage 2'!OF12</f>
        <v>0</v>
      </c>
      <c r="OG13">
        <f>'Demand Stage 2'!OG12</f>
        <v>0</v>
      </c>
      <c r="OH13">
        <f>'Demand Stage 2'!OH12</f>
        <v>12.5</v>
      </c>
      <c r="OI13">
        <f>'Demand Stage 2'!OI12</f>
        <v>12.5</v>
      </c>
      <c r="OJ13">
        <f>'Demand Stage 2'!OJ12</f>
        <v>12.5</v>
      </c>
      <c r="OK13">
        <f>'Demand Stage 2'!OK12</f>
        <v>33.125</v>
      </c>
      <c r="OL13">
        <f>'Demand Stage 2'!OL12</f>
        <v>23.125</v>
      </c>
      <c r="OM13">
        <f>'Demand Stage 2'!OM12</f>
        <v>33.125</v>
      </c>
      <c r="ON13">
        <f>'Demand Stage 2'!ON12</f>
        <v>23.125</v>
      </c>
      <c r="OO13">
        <f>'Demand Stage 2'!OO12</f>
        <v>35</v>
      </c>
      <c r="OP13">
        <f>'Demand Stage 2'!OP12</f>
        <v>15</v>
      </c>
      <c r="OQ13">
        <f>'Demand Stage 2'!OQ12</f>
        <v>50</v>
      </c>
      <c r="OR13">
        <f>'Demand Stage 2'!OR12</f>
        <v>25</v>
      </c>
      <c r="OS13">
        <f>'Demand Stage 2'!OS12</f>
        <v>0</v>
      </c>
      <c r="OT13">
        <f>'Demand Stage 2'!OT12</f>
        <v>0</v>
      </c>
      <c r="OU13">
        <f>'Demand Stage 2'!OU12</f>
        <v>0</v>
      </c>
      <c r="OV13">
        <f>'Demand Stage 2'!OV12</f>
        <v>0</v>
      </c>
      <c r="OW13">
        <f>'Demand Stage 2'!OW12</f>
        <v>0</v>
      </c>
      <c r="OX13">
        <f>'Demand Stage 2'!OX12</f>
        <v>0</v>
      </c>
      <c r="OY13">
        <f>'Demand Stage 2'!OY12</f>
        <v>0</v>
      </c>
      <c r="OZ13">
        <f>'Demand Stage 2'!OZ12</f>
        <v>0</v>
      </c>
      <c r="PA13">
        <f>'Demand Stage 2'!PA12</f>
        <v>0</v>
      </c>
      <c r="PB13">
        <f>'Demand Stage 2'!PB12</f>
        <v>0</v>
      </c>
      <c r="PC13">
        <f>'Demand Stage 2'!PC12</f>
        <v>0</v>
      </c>
      <c r="PD13">
        <f>'Demand Stage 2'!PD12</f>
        <v>12.5</v>
      </c>
      <c r="PE13">
        <f>'Demand Stage 2'!PE12</f>
        <v>12.5</v>
      </c>
      <c r="PF13">
        <f>'Demand Stage 2'!PF12</f>
        <v>12.5</v>
      </c>
      <c r="PG13">
        <f>'Demand Stage 2'!PG12</f>
        <v>33.125</v>
      </c>
      <c r="PH13">
        <f>'Demand Stage 2'!PH12</f>
        <v>23.125</v>
      </c>
      <c r="PI13">
        <f>'Demand Stage 2'!PI12</f>
        <v>33.125</v>
      </c>
      <c r="PJ13">
        <f>'Demand Stage 2'!PJ12</f>
        <v>23.125</v>
      </c>
      <c r="PK13">
        <f>'Demand Stage 2'!PK12</f>
        <v>15</v>
      </c>
      <c r="PL13">
        <f>'Demand Stage 2'!PL12</f>
        <v>15</v>
      </c>
      <c r="PM13">
        <f>'Demand Stage 2'!PM12</f>
        <v>50</v>
      </c>
      <c r="PN13">
        <f>'Demand Stage 2'!PN12</f>
        <v>25</v>
      </c>
      <c r="PO13">
        <f>'Demand Stage 2'!PO12</f>
        <v>0</v>
      </c>
      <c r="PP13">
        <f>'Demand Stage 2'!PP12</f>
        <v>0</v>
      </c>
      <c r="PQ13">
        <f>'Demand Stage 2'!PQ12</f>
        <v>0</v>
      </c>
      <c r="PR13">
        <f>'Demand Stage 2'!PR12</f>
        <v>0</v>
      </c>
      <c r="PS13">
        <f>'Demand Stage 2'!PS12</f>
        <v>0</v>
      </c>
      <c r="PT13">
        <f>'Demand Stage 2'!PT12</f>
        <v>0</v>
      </c>
      <c r="PU13">
        <f>'Demand Stage 2'!PU12</f>
        <v>0</v>
      </c>
      <c r="PV13">
        <f>'Demand Stage 2'!PV12</f>
        <v>0</v>
      </c>
      <c r="PW13">
        <f>'Demand Stage 2'!PW12</f>
        <v>0</v>
      </c>
      <c r="PX13">
        <f>'Demand Stage 2'!PX12</f>
        <v>0</v>
      </c>
      <c r="PY13">
        <f>'Demand Stage 2'!PY12</f>
        <v>0</v>
      </c>
      <c r="PZ13">
        <f>'Demand Stage 2'!PZ12</f>
        <v>12.5</v>
      </c>
      <c r="QA13">
        <f>'Demand Stage 2'!QA12</f>
        <v>12.5</v>
      </c>
      <c r="QB13">
        <f>'Demand Stage 2'!QB12</f>
        <v>12.5</v>
      </c>
      <c r="QC13">
        <f>'Demand Stage 2'!QC12</f>
        <v>23.125</v>
      </c>
      <c r="QD13">
        <f>'Demand Stage 2'!QD12</f>
        <v>33.125</v>
      </c>
      <c r="QE13">
        <f>'Demand Stage 2'!QE12</f>
        <v>33.125</v>
      </c>
      <c r="QF13">
        <f>'Demand Stage 2'!QF12</f>
        <v>33.125</v>
      </c>
      <c r="QG13">
        <f>'Demand Stage 2'!QG12</f>
        <v>35</v>
      </c>
      <c r="QH13">
        <f>'Demand Stage 2'!QH12</f>
        <v>15</v>
      </c>
      <c r="QI13">
        <f>'Demand Stage 2'!QI12</f>
        <v>50</v>
      </c>
      <c r="QJ13">
        <f>'Demand Stage 2'!QJ12</f>
        <v>25</v>
      </c>
      <c r="QK13">
        <f>'Demand Stage 2'!QK12</f>
        <v>0</v>
      </c>
      <c r="QL13">
        <f>'Demand Stage 2'!QL12</f>
        <v>0</v>
      </c>
      <c r="QM13">
        <f>'Demand Stage 2'!QM12</f>
        <v>0</v>
      </c>
      <c r="QN13">
        <f>'Demand Stage 2'!QN12</f>
        <v>0</v>
      </c>
      <c r="QO13">
        <f>'Demand Stage 2'!QO12</f>
        <v>0</v>
      </c>
      <c r="QP13">
        <f>'Demand Stage 2'!QP12</f>
        <v>0</v>
      </c>
      <c r="QQ13">
        <f>'Demand Stage 2'!QQ12</f>
        <v>0</v>
      </c>
      <c r="QR13">
        <f>'Demand Stage 2'!QR12</f>
        <v>0</v>
      </c>
      <c r="QS13">
        <f>'Demand Stage 2'!QS12</f>
        <v>0</v>
      </c>
      <c r="QT13">
        <f>'Demand Stage 2'!QT12</f>
        <v>0</v>
      </c>
      <c r="QU13">
        <f>'Demand Stage 2'!QU12</f>
        <v>0</v>
      </c>
      <c r="QV13">
        <f>'Demand Stage 2'!QV12</f>
        <v>12.5</v>
      </c>
      <c r="QW13">
        <f>'Demand Stage 2'!QW12</f>
        <v>12.5</v>
      </c>
      <c r="QX13">
        <f>'Demand Stage 2'!QX12</f>
        <v>12.5</v>
      </c>
      <c r="QY13">
        <f>'Demand Stage 2'!QY12</f>
        <v>23.125</v>
      </c>
      <c r="QZ13">
        <f>'Demand Stage 2'!QZ12</f>
        <v>33.125</v>
      </c>
      <c r="RA13">
        <f>'Demand Stage 2'!RA12</f>
        <v>33.125</v>
      </c>
      <c r="RB13">
        <f>'Demand Stage 2'!RB12</f>
        <v>33.125</v>
      </c>
      <c r="RC13">
        <f>'Demand Stage 2'!RC12</f>
        <v>15</v>
      </c>
      <c r="RD13">
        <f>'Demand Stage 2'!RD12</f>
        <v>15</v>
      </c>
      <c r="RE13">
        <f>'Demand Stage 2'!RE12</f>
        <v>50</v>
      </c>
      <c r="RF13">
        <f>'Demand Stage 2'!RF12</f>
        <v>25</v>
      </c>
      <c r="RG13">
        <f>'Demand Stage 2'!RG12</f>
        <v>0</v>
      </c>
      <c r="RH13">
        <f>'Demand Stage 2'!RH12</f>
        <v>0</v>
      </c>
      <c r="RI13">
        <f>'Demand Stage 2'!RI12</f>
        <v>0</v>
      </c>
      <c r="RJ13">
        <f>'Demand Stage 2'!RJ12</f>
        <v>0</v>
      </c>
      <c r="RK13">
        <f>'Demand Stage 2'!RK12</f>
        <v>0</v>
      </c>
      <c r="RL13">
        <f>'Demand Stage 2'!RL12</f>
        <v>0</v>
      </c>
      <c r="RM13">
        <f>'Demand Stage 2'!RM12</f>
        <v>0</v>
      </c>
      <c r="RN13">
        <f>'Demand Stage 2'!RN12</f>
        <v>0</v>
      </c>
      <c r="RO13">
        <f>'Demand Stage 2'!RO12</f>
        <v>0</v>
      </c>
      <c r="RP13">
        <f>'Demand Stage 2'!RP12</f>
        <v>0</v>
      </c>
      <c r="RQ13">
        <f>'Demand Stage 2'!RQ12</f>
        <v>0</v>
      </c>
      <c r="RR13">
        <f>'Demand Stage 2'!RR12</f>
        <v>12.5</v>
      </c>
      <c r="RS13">
        <f>'Demand Stage 2'!RS12</f>
        <v>12.5</v>
      </c>
      <c r="RT13">
        <f>'Demand Stage 2'!RT12</f>
        <v>12.5</v>
      </c>
      <c r="RU13">
        <f>'Demand Stage 2'!RU12</f>
        <v>23.125</v>
      </c>
      <c r="RV13">
        <f>'Demand Stage 2'!RV12</f>
        <v>23.125</v>
      </c>
      <c r="RW13">
        <f>'Demand Stage 2'!RW12</f>
        <v>33.125</v>
      </c>
      <c r="RX13">
        <f>'Demand Stage 2'!RX12</f>
        <v>23.125</v>
      </c>
      <c r="RY13">
        <f>'Demand Stage 2'!RY12</f>
        <v>35</v>
      </c>
      <c r="RZ13">
        <f>'Demand Stage 2'!RZ12</f>
        <v>15</v>
      </c>
      <c r="SA13">
        <f>'Demand Stage 2'!SA12</f>
        <v>50</v>
      </c>
      <c r="SB13">
        <f>'Demand Stage 2'!SB12</f>
        <v>25</v>
      </c>
      <c r="SC13">
        <f>'Demand Stage 2'!SC12</f>
        <v>0</v>
      </c>
      <c r="SD13">
        <f>'Demand Stage 2'!SD12</f>
        <v>0</v>
      </c>
      <c r="SE13">
        <f>'Demand Stage 2'!SE12</f>
        <v>0</v>
      </c>
      <c r="SF13">
        <f>'Demand Stage 2'!SF12</f>
        <v>0</v>
      </c>
      <c r="SG13">
        <f>'Demand Stage 2'!SG12</f>
        <v>0</v>
      </c>
      <c r="SH13">
        <f>'Demand Stage 2'!SH12</f>
        <v>0</v>
      </c>
      <c r="SI13">
        <f>'Demand Stage 2'!SI12</f>
        <v>0</v>
      </c>
      <c r="SJ13">
        <f>'Demand Stage 2'!SJ12</f>
        <v>0</v>
      </c>
      <c r="SK13">
        <f>'Demand Stage 2'!SK12</f>
        <v>0</v>
      </c>
      <c r="SL13">
        <f>'Demand Stage 2'!SL12</f>
        <v>0</v>
      </c>
      <c r="SM13">
        <f>'Demand Stage 2'!SM12</f>
        <v>0</v>
      </c>
      <c r="SN13">
        <f>'Demand Stage 2'!SN12</f>
        <v>12.5</v>
      </c>
      <c r="SO13">
        <f>'Demand Stage 2'!SO12</f>
        <v>12.5</v>
      </c>
      <c r="SP13">
        <f>'Demand Stage 2'!SP12</f>
        <v>12.5</v>
      </c>
      <c r="SQ13">
        <f>'Demand Stage 2'!SQ12</f>
        <v>23.125</v>
      </c>
      <c r="SR13">
        <f>'Demand Stage 2'!SR12</f>
        <v>23.125</v>
      </c>
      <c r="SS13">
        <f>'Demand Stage 2'!SS12</f>
        <v>33.125</v>
      </c>
      <c r="ST13">
        <f>'Demand Stage 2'!ST12</f>
        <v>23.125</v>
      </c>
      <c r="SU13">
        <f>'Demand Stage 2'!SU12</f>
        <v>15</v>
      </c>
      <c r="SV13">
        <f>'Demand Stage 2'!SV12</f>
        <v>15</v>
      </c>
      <c r="SW13">
        <f>'Demand Stage 2'!SW12</f>
        <v>50</v>
      </c>
      <c r="SX13">
        <f>'Demand Stage 2'!SX12</f>
        <v>25</v>
      </c>
      <c r="SY13">
        <f>'Demand Stage 2'!SY12</f>
        <v>0</v>
      </c>
      <c r="SZ13">
        <f>'Demand Stage 2'!SZ12</f>
        <v>0</v>
      </c>
      <c r="TA13">
        <f>'Demand Stage 2'!TA12</f>
        <v>0</v>
      </c>
      <c r="TB13">
        <f>'Demand Stage 2'!TB12</f>
        <v>0</v>
      </c>
      <c r="TC13">
        <f>'Demand Stage 2'!TC12</f>
        <v>0</v>
      </c>
      <c r="TD13">
        <f>'Demand Stage 2'!TD12</f>
        <v>0</v>
      </c>
      <c r="TE13">
        <f>'Demand Stage 2'!TE12</f>
        <v>0</v>
      </c>
      <c r="TF13">
        <f>'Demand Stage 2'!TF12</f>
        <v>0</v>
      </c>
      <c r="TG13">
        <f>'Demand Stage 2'!TG12</f>
        <v>0</v>
      </c>
      <c r="TH13">
        <f>'Demand Stage 2'!TH12</f>
        <v>0</v>
      </c>
      <c r="TI13">
        <f>'Demand Stage 2'!TI12</f>
        <v>0</v>
      </c>
      <c r="TJ13">
        <f>'Demand Stage 2'!TJ12</f>
        <v>12.5</v>
      </c>
      <c r="TK13">
        <f>'Demand Stage 2'!TK12</f>
        <v>12.5</v>
      </c>
      <c r="TL13">
        <f>'Demand Stage 2'!TL12</f>
        <v>12.5</v>
      </c>
      <c r="TM13">
        <f>'Demand Stage 2'!TM12</f>
        <v>33.125</v>
      </c>
      <c r="TN13">
        <f>'Demand Stage 2'!TN12</f>
        <v>33.125</v>
      </c>
      <c r="TO13">
        <f>'Demand Stage 2'!TO12</f>
        <v>23.125</v>
      </c>
      <c r="TP13">
        <f>'Demand Stage 2'!TP12</f>
        <v>33.125</v>
      </c>
      <c r="TQ13">
        <f>'Demand Stage 2'!TQ12</f>
        <v>35</v>
      </c>
      <c r="TR13">
        <f>'Demand Stage 2'!TR12</f>
        <v>15</v>
      </c>
      <c r="TS13">
        <f>'Demand Stage 2'!TS12</f>
        <v>50</v>
      </c>
      <c r="TT13">
        <f>'Demand Stage 2'!TT12</f>
        <v>25</v>
      </c>
      <c r="TU13">
        <f>'Demand Stage 2'!TU12</f>
        <v>0</v>
      </c>
      <c r="TV13">
        <f>'Demand Stage 2'!TV12</f>
        <v>0</v>
      </c>
      <c r="TW13">
        <f>'Demand Stage 2'!TW12</f>
        <v>0</v>
      </c>
      <c r="TX13">
        <f>'Demand Stage 2'!TX12</f>
        <v>0</v>
      </c>
      <c r="TY13">
        <f>'Demand Stage 2'!TY12</f>
        <v>0</v>
      </c>
      <c r="TZ13">
        <f>'Demand Stage 2'!TZ12</f>
        <v>0</v>
      </c>
      <c r="UA13">
        <f>'Demand Stage 2'!UA12</f>
        <v>0</v>
      </c>
      <c r="UB13">
        <f>'Demand Stage 2'!UB12</f>
        <v>0</v>
      </c>
      <c r="UC13">
        <f>'Demand Stage 2'!UC12</f>
        <v>0</v>
      </c>
      <c r="UD13">
        <f>'Demand Stage 2'!UD12</f>
        <v>0</v>
      </c>
      <c r="UE13">
        <f>'Demand Stage 2'!UE12</f>
        <v>0</v>
      </c>
      <c r="UF13">
        <f>'Demand Stage 2'!UF12</f>
        <v>12.5</v>
      </c>
      <c r="UG13">
        <f>'Demand Stage 2'!UG12</f>
        <v>12.5</v>
      </c>
      <c r="UH13">
        <f>'Demand Stage 2'!UH12</f>
        <v>12.5</v>
      </c>
      <c r="UI13">
        <f>'Demand Stage 2'!UI12</f>
        <v>33.125</v>
      </c>
      <c r="UJ13">
        <f>'Demand Stage 2'!UJ12</f>
        <v>33.125</v>
      </c>
      <c r="UK13">
        <f>'Demand Stage 2'!UK12</f>
        <v>23.125</v>
      </c>
      <c r="UL13">
        <f>'Demand Stage 2'!UL12</f>
        <v>33.125</v>
      </c>
      <c r="UM13">
        <f>'Demand Stage 2'!UM12</f>
        <v>15</v>
      </c>
      <c r="UN13">
        <f>'Demand Stage 2'!UN12</f>
        <v>15</v>
      </c>
      <c r="UO13">
        <f>'Demand Stage 2'!UO12</f>
        <v>50</v>
      </c>
      <c r="UP13">
        <f>'Demand Stage 2'!UP12</f>
        <v>25</v>
      </c>
      <c r="UQ13">
        <f>'Demand Stage 2'!UQ12</f>
        <v>0</v>
      </c>
      <c r="UR13">
        <f>'Demand Stage 2'!UR12</f>
        <v>0</v>
      </c>
      <c r="US13">
        <f>'Demand Stage 2'!US12</f>
        <v>0</v>
      </c>
      <c r="UT13">
        <f>'Demand Stage 2'!UT12</f>
        <v>0</v>
      </c>
      <c r="UU13">
        <f>'Demand Stage 2'!UU12</f>
        <v>0</v>
      </c>
      <c r="UV13">
        <f>'Demand Stage 2'!UV12</f>
        <v>0</v>
      </c>
      <c r="UW13">
        <f>'Demand Stage 2'!UW12</f>
        <v>0</v>
      </c>
      <c r="UX13">
        <f>'Demand Stage 2'!UX12</f>
        <v>0</v>
      </c>
      <c r="UY13">
        <f>'Demand Stage 2'!UY12</f>
        <v>0</v>
      </c>
      <c r="UZ13">
        <f>'Demand Stage 2'!UZ12</f>
        <v>0</v>
      </c>
      <c r="VA13">
        <f>'Demand Stage 2'!VA12</f>
        <v>0</v>
      </c>
      <c r="VB13">
        <f>'Demand Stage 2'!VB12</f>
        <v>12.5</v>
      </c>
      <c r="VC13">
        <f>'Demand Stage 2'!VC12</f>
        <v>12.5</v>
      </c>
      <c r="VD13">
        <f>'Demand Stage 2'!VD12</f>
        <v>12.5</v>
      </c>
      <c r="VE13">
        <f>'Demand Stage 2'!VE12</f>
        <v>33.125</v>
      </c>
      <c r="VF13">
        <f>'Demand Stage 2'!VF12</f>
        <v>23.125</v>
      </c>
      <c r="VG13">
        <f>'Demand Stage 2'!VG12</f>
        <v>23.125</v>
      </c>
      <c r="VH13">
        <f>'Demand Stage 2'!VH12</f>
        <v>23.125</v>
      </c>
      <c r="VI13">
        <f>'Demand Stage 2'!VI12</f>
        <v>35</v>
      </c>
      <c r="VJ13">
        <f>'Demand Stage 2'!VJ12</f>
        <v>15</v>
      </c>
      <c r="VK13">
        <f>'Demand Stage 2'!VK12</f>
        <v>50</v>
      </c>
      <c r="VL13">
        <f>'Demand Stage 2'!VL12</f>
        <v>25</v>
      </c>
      <c r="VM13">
        <f>'Demand Stage 2'!VM12</f>
        <v>0</v>
      </c>
      <c r="VN13">
        <f>'Demand Stage 2'!VN12</f>
        <v>0</v>
      </c>
      <c r="VO13">
        <f>'Demand Stage 2'!VO12</f>
        <v>0</v>
      </c>
      <c r="VP13">
        <f>'Demand Stage 2'!VP12</f>
        <v>0</v>
      </c>
      <c r="VQ13">
        <f>'Demand Stage 2'!VQ12</f>
        <v>0</v>
      </c>
      <c r="VR13">
        <f>'Demand Stage 2'!VR12</f>
        <v>0</v>
      </c>
      <c r="VS13">
        <f>'Demand Stage 2'!VS12</f>
        <v>0</v>
      </c>
      <c r="VT13">
        <f>'Demand Stage 2'!VT12</f>
        <v>0</v>
      </c>
      <c r="VU13">
        <f>'Demand Stage 2'!VU12</f>
        <v>0</v>
      </c>
      <c r="VV13">
        <f>'Demand Stage 2'!VV12</f>
        <v>0</v>
      </c>
      <c r="VW13">
        <f>'Demand Stage 2'!VW12</f>
        <v>0</v>
      </c>
      <c r="VX13">
        <f>'Demand Stage 2'!VX12</f>
        <v>12.5</v>
      </c>
      <c r="VY13">
        <f>'Demand Stage 2'!VY12</f>
        <v>12.5</v>
      </c>
      <c r="VZ13">
        <f>'Demand Stage 2'!VZ12</f>
        <v>12.5</v>
      </c>
      <c r="WA13">
        <f>'Demand Stage 2'!WA12</f>
        <v>33.125</v>
      </c>
      <c r="WB13">
        <f>'Demand Stage 2'!WB12</f>
        <v>23.125</v>
      </c>
      <c r="WC13">
        <f>'Demand Stage 2'!WC12</f>
        <v>23.125</v>
      </c>
      <c r="WD13">
        <f>'Demand Stage 2'!WD12</f>
        <v>23.125</v>
      </c>
      <c r="WE13">
        <f>'Demand Stage 2'!WE12</f>
        <v>15</v>
      </c>
      <c r="WF13">
        <f>'Demand Stage 2'!WF12</f>
        <v>15</v>
      </c>
      <c r="WG13">
        <f>'Demand Stage 2'!WG12</f>
        <v>50</v>
      </c>
      <c r="WH13">
        <f>'Demand Stage 2'!WH12</f>
        <v>25</v>
      </c>
      <c r="WI13">
        <f>'Demand Stage 2'!WI12</f>
        <v>0</v>
      </c>
      <c r="WJ13">
        <f>'Demand Stage 2'!WJ12</f>
        <v>0</v>
      </c>
      <c r="WK13">
        <f>'Demand Stage 2'!WK12</f>
        <v>0</v>
      </c>
      <c r="WL13">
        <f>'Demand Stage 2'!WL12</f>
        <v>0</v>
      </c>
      <c r="WM13">
        <f>'Demand Stage 2'!WM12</f>
        <v>0</v>
      </c>
      <c r="WN13">
        <f>'Demand Stage 2'!WN12</f>
        <v>0</v>
      </c>
      <c r="WO13">
        <f>'Demand Stage 2'!WO12</f>
        <v>0</v>
      </c>
      <c r="WP13">
        <f>'Demand Stage 2'!WP12</f>
        <v>0</v>
      </c>
      <c r="WQ13">
        <f>'Demand Stage 2'!WQ12</f>
        <v>0</v>
      </c>
      <c r="WR13">
        <f>'Demand Stage 2'!WR12</f>
        <v>0</v>
      </c>
      <c r="WS13">
        <f>'Demand Stage 2'!WS12</f>
        <v>0</v>
      </c>
      <c r="WT13">
        <f>'Demand Stage 2'!WT12</f>
        <v>12.5</v>
      </c>
      <c r="WU13">
        <f>'Demand Stage 2'!WU12</f>
        <v>12.5</v>
      </c>
      <c r="WV13">
        <f>'Demand Stage 2'!WV12</f>
        <v>12.5</v>
      </c>
      <c r="WW13">
        <f>'Demand Stage 2'!WW12</f>
        <v>23.125</v>
      </c>
      <c r="WX13">
        <f>'Demand Stage 2'!WX12</f>
        <v>33.125</v>
      </c>
      <c r="WY13">
        <f>'Demand Stage 2'!WY12</f>
        <v>23.125</v>
      </c>
      <c r="WZ13">
        <f>'Demand Stage 2'!WZ12</f>
        <v>33.125</v>
      </c>
      <c r="XA13">
        <f>'Demand Stage 2'!XA12</f>
        <v>35</v>
      </c>
      <c r="XB13">
        <f>'Demand Stage 2'!XB12</f>
        <v>15</v>
      </c>
      <c r="XC13">
        <f>'Demand Stage 2'!XC12</f>
        <v>50</v>
      </c>
      <c r="XD13">
        <f>'Demand Stage 2'!XD12</f>
        <v>25</v>
      </c>
      <c r="XE13">
        <f>'Demand Stage 2'!XE12</f>
        <v>0</v>
      </c>
      <c r="XF13">
        <f>'Demand Stage 2'!XF12</f>
        <v>0</v>
      </c>
      <c r="XG13">
        <f>'Demand Stage 2'!XG12</f>
        <v>0</v>
      </c>
      <c r="XH13">
        <f>'Demand Stage 2'!XH12</f>
        <v>0</v>
      </c>
      <c r="XI13">
        <f>'Demand Stage 2'!XI12</f>
        <v>0</v>
      </c>
      <c r="XJ13">
        <f>'Demand Stage 2'!XJ12</f>
        <v>0</v>
      </c>
      <c r="XK13">
        <f>'Demand Stage 2'!XK12</f>
        <v>0</v>
      </c>
      <c r="XL13">
        <f>'Demand Stage 2'!XL12</f>
        <v>0</v>
      </c>
      <c r="XM13">
        <f>'Demand Stage 2'!XM12</f>
        <v>0</v>
      </c>
      <c r="XN13">
        <f>'Demand Stage 2'!XN12</f>
        <v>0</v>
      </c>
      <c r="XO13">
        <f>'Demand Stage 2'!XO12</f>
        <v>0</v>
      </c>
      <c r="XP13">
        <f>'Demand Stage 2'!XP12</f>
        <v>12.5</v>
      </c>
      <c r="XQ13">
        <f>'Demand Stage 2'!XQ12</f>
        <v>12.5</v>
      </c>
      <c r="XR13">
        <f>'Demand Stage 2'!XR12</f>
        <v>12.5</v>
      </c>
      <c r="XS13">
        <f>'Demand Stage 2'!XS12</f>
        <v>23.125</v>
      </c>
      <c r="XT13">
        <f>'Demand Stage 2'!XT12</f>
        <v>33.125</v>
      </c>
      <c r="XU13">
        <f>'Demand Stage 2'!XU12</f>
        <v>23.125</v>
      </c>
      <c r="XV13">
        <f>'Demand Stage 2'!XV12</f>
        <v>33.125</v>
      </c>
      <c r="XW13">
        <f>'Demand Stage 2'!XW12</f>
        <v>15</v>
      </c>
      <c r="XX13">
        <f>'Demand Stage 2'!XX12</f>
        <v>15</v>
      </c>
      <c r="XY13">
        <f>'Demand Stage 2'!XY12</f>
        <v>50</v>
      </c>
      <c r="XZ13">
        <f>'Demand Stage 2'!XZ12</f>
        <v>25</v>
      </c>
      <c r="YA13">
        <f>'Demand Stage 2'!YA12</f>
        <v>0</v>
      </c>
      <c r="YB13">
        <f>'Demand Stage 2'!YB12</f>
        <v>0</v>
      </c>
      <c r="YC13">
        <f>'Demand Stage 2'!YC12</f>
        <v>0</v>
      </c>
      <c r="YD13">
        <f>'Demand Stage 2'!YD12</f>
        <v>0</v>
      </c>
      <c r="YE13">
        <f>'Demand Stage 2'!YE12</f>
        <v>0</v>
      </c>
      <c r="YF13">
        <f>'Demand Stage 2'!YF12</f>
        <v>0</v>
      </c>
      <c r="YG13">
        <f>'Demand Stage 2'!YG12</f>
        <v>0</v>
      </c>
      <c r="YH13">
        <f>'Demand Stage 2'!YH12</f>
        <v>0</v>
      </c>
      <c r="YI13">
        <f>'Demand Stage 2'!YI12</f>
        <v>0</v>
      </c>
      <c r="YJ13">
        <f>'Demand Stage 2'!YJ12</f>
        <v>0</v>
      </c>
      <c r="YK13">
        <f>'Demand Stage 2'!YK12</f>
        <v>0</v>
      </c>
      <c r="YL13">
        <f>'Demand Stage 2'!YL12</f>
        <v>12.5</v>
      </c>
      <c r="YM13">
        <f>'Demand Stage 2'!YM12</f>
        <v>12.5</v>
      </c>
      <c r="YN13">
        <f>'Demand Stage 2'!YN12</f>
        <v>12.5</v>
      </c>
      <c r="YO13">
        <f>'Demand Stage 2'!YO12</f>
        <v>23.125</v>
      </c>
      <c r="YP13">
        <f>'Demand Stage 2'!YP12</f>
        <v>23.125</v>
      </c>
      <c r="YQ13">
        <f>'Demand Stage 2'!YQ12</f>
        <v>23.125</v>
      </c>
      <c r="YR13">
        <f>'Demand Stage 2'!YR12</f>
        <v>23.125</v>
      </c>
      <c r="YS13">
        <f>'Demand Stage 2'!YS12</f>
        <v>35</v>
      </c>
      <c r="YT13">
        <f>'Demand Stage 2'!YT12</f>
        <v>15</v>
      </c>
      <c r="YU13">
        <f>'Demand Stage 2'!YU12</f>
        <v>50</v>
      </c>
      <c r="YV13">
        <f>'Demand Stage 2'!YV12</f>
        <v>25</v>
      </c>
      <c r="YW13">
        <f>'Demand Stage 2'!YW12</f>
        <v>0</v>
      </c>
      <c r="YX13">
        <f>'Demand Stage 2'!YX12</f>
        <v>0</v>
      </c>
      <c r="YY13">
        <f>'Demand Stage 2'!YY12</f>
        <v>0</v>
      </c>
      <c r="YZ13">
        <f>'Demand Stage 2'!YZ12</f>
        <v>0</v>
      </c>
      <c r="ZA13">
        <f>'Demand Stage 2'!ZA12</f>
        <v>0</v>
      </c>
      <c r="ZB13">
        <f>'Demand Stage 2'!ZB12</f>
        <v>0</v>
      </c>
      <c r="ZC13">
        <f>'Demand Stage 2'!ZC12</f>
        <v>0</v>
      </c>
      <c r="ZD13">
        <f>'Demand Stage 2'!ZD12</f>
        <v>0</v>
      </c>
      <c r="ZE13">
        <f>'Demand Stage 2'!ZE12</f>
        <v>0</v>
      </c>
      <c r="ZF13">
        <f>'Demand Stage 2'!ZF12</f>
        <v>0</v>
      </c>
      <c r="ZG13">
        <f>'Demand Stage 2'!ZG12</f>
        <v>0</v>
      </c>
      <c r="ZH13">
        <f>'Demand Stage 2'!ZH12</f>
        <v>12.5</v>
      </c>
      <c r="ZI13">
        <f>'Demand Stage 2'!ZI12</f>
        <v>12.5</v>
      </c>
      <c r="ZJ13">
        <f>'Demand Stage 2'!ZJ12</f>
        <v>12.5</v>
      </c>
      <c r="ZK13">
        <f>'Demand Stage 2'!ZK12</f>
        <v>23.125</v>
      </c>
      <c r="ZL13">
        <f>'Demand Stage 2'!ZL12</f>
        <v>23.125</v>
      </c>
      <c r="ZM13">
        <f>'Demand Stage 2'!ZM12</f>
        <v>23.125</v>
      </c>
      <c r="ZN13">
        <f>'Demand Stage 2'!ZN12</f>
        <v>23.125</v>
      </c>
      <c r="ZO13">
        <f>'Demand Stage 2'!ZO12</f>
        <v>15</v>
      </c>
      <c r="ZP13">
        <f>'Demand Stage 2'!ZP12</f>
        <v>15</v>
      </c>
      <c r="ZQ13">
        <f>'Demand Stage 2'!ZQ12</f>
        <v>50</v>
      </c>
      <c r="ZR13">
        <f>'Demand Stage 2'!ZR12</f>
        <v>25</v>
      </c>
      <c r="ZS13">
        <f>'Demand Stage 2'!ZS12</f>
        <v>0</v>
      </c>
      <c r="ZT13">
        <f>'Demand Stage 2'!ZT12</f>
        <v>0</v>
      </c>
      <c r="ZU13">
        <f>'Demand Stage 2'!ZU12</f>
        <v>0</v>
      </c>
      <c r="ZV13">
        <f>'Demand Stage 2'!ZV12</f>
        <v>0</v>
      </c>
      <c r="ZW13">
        <f>'Demand Stage 2'!ZW12</f>
        <v>0</v>
      </c>
      <c r="ZX13">
        <f>'Demand Stage 2'!ZX12</f>
        <v>0</v>
      </c>
      <c r="ZY13">
        <f>'Demand Stage 2'!ZY12</f>
        <v>0</v>
      </c>
      <c r="ZZ13">
        <f>'Demand Stage 2'!ZZ12</f>
        <v>0</v>
      </c>
      <c r="AAA13">
        <f>'Demand Stage 2'!AAA12</f>
        <v>0</v>
      </c>
      <c r="AAB13">
        <f>'Demand Stage 2'!AAB12</f>
        <v>0</v>
      </c>
      <c r="AAC13">
        <f>'Demand Stage 2'!AAC12</f>
        <v>0</v>
      </c>
      <c r="AAD13">
        <f t="shared" si="33"/>
        <v>12.5</v>
      </c>
      <c r="AAE13">
        <f t="shared" si="66"/>
        <v>12.5</v>
      </c>
      <c r="AAF13">
        <f t="shared" si="67"/>
        <v>12.5</v>
      </c>
      <c r="AAG13">
        <f t="shared" si="68"/>
        <v>33.125</v>
      </c>
      <c r="AAH13">
        <f t="shared" si="69"/>
        <v>33.125</v>
      </c>
      <c r="AAI13">
        <f t="shared" si="70"/>
        <v>33.125</v>
      </c>
      <c r="AAJ13">
        <f t="shared" si="71"/>
        <v>33.125</v>
      </c>
      <c r="AAK13">
        <f t="shared" si="72"/>
        <v>35</v>
      </c>
      <c r="AAL13">
        <f t="shared" si="73"/>
        <v>35</v>
      </c>
      <c r="AAM13">
        <f t="shared" si="74"/>
        <v>50</v>
      </c>
      <c r="AAN13">
        <f t="shared" si="75"/>
        <v>25</v>
      </c>
      <c r="AAO13">
        <f t="shared" si="76"/>
        <v>0</v>
      </c>
      <c r="AAP13">
        <f t="shared" si="77"/>
        <v>0</v>
      </c>
      <c r="AAQ13">
        <f t="shared" si="78"/>
        <v>0</v>
      </c>
      <c r="AAR13">
        <f t="shared" si="79"/>
        <v>0</v>
      </c>
      <c r="AAS13">
        <f t="shared" si="80"/>
        <v>0</v>
      </c>
      <c r="AAT13">
        <f t="shared" si="81"/>
        <v>0</v>
      </c>
      <c r="AAU13">
        <f t="shared" si="82"/>
        <v>0</v>
      </c>
      <c r="AAV13">
        <f t="shared" si="83"/>
        <v>0</v>
      </c>
      <c r="AAW13">
        <f t="shared" si="84"/>
        <v>0</v>
      </c>
      <c r="AAX13">
        <f t="shared" si="85"/>
        <v>0</v>
      </c>
      <c r="AAY13">
        <f t="shared" si="86"/>
        <v>0</v>
      </c>
      <c r="AAZ13">
        <f t="shared" si="87"/>
        <v>12.5</v>
      </c>
      <c r="ABA13">
        <f t="shared" si="88"/>
        <v>12.5</v>
      </c>
      <c r="ABB13">
        <f t="shared" si="89"/>
        <v>12.5</v>
      </c>
      <c r="ABC13">
        <f t="shared" si="90"/>
        <v>33.125</v>
      </c>
      <c r="ABD13">
        <f t="shared" si="91"/>
        <v>33.125</v>
      </c>
      <c r="ABE13">
        <f t="shared" si="92"/>
        <v>33.125</v>
      </c>
      <c r="ABF13">
        <f t="shared" si="93"/>
        <v>33.125</v>
      </c>
      <c r="ABG13">
        <f t="shared" si="94"/>
        <v>15</v>
      </c>
      <c r="ABH13">
        <f t="shared" si="95"/>
        <v>35</v>
      </c>
      <c r="ABI13">
        <f t="shared" si="96"/>
        <v>50</v>
      </c>
      <c r="ABJ13">
        <f t="shared" si="97"/>
        <v>25</v>
      </c>
      <c r="ABK13">
        <f t="shared" si="98"/>
        <v>0</v>
      </c>
      <c r="ABL13">
        <f t="shared" si="99"/>
        <v>0</v>
      </c>
      <c r="ABM13">
        <f t="shared" si="100"/>
        <v>0</v>
      </c>
      <c r="ABN13">
        <f t="shared" si="101"/>
        <v>0</v>
      </c>
      <c r="ABO13">
        <f t="shared" si="102"/>
        <v>0</v>
      </c>
      <c r="ABP13">
        <f t="shared" si="103"/>
        <v>0</v>
      </c>
      <c r="ABQ13">
        <f t="shared" si="104"/>
        <v>0</v>
      </c>
      <c r="ABR13">
        <f t="shared" si="105"/>
        <v>0</v>
      </c>
      <c r="ABS13">
        <f t="shared" si="106"/>
        <v>0</v>
      </c>
      <c r="ABT13">
        <f t="shared" si="107"/>
        <v>0</v>
      </c>
      <c r="ABU13">
        <f t="shared" si="108"/>
        <v>0</v>
      </c>
      <c r="ABV13">
        <f t="shared" si="109"/>
        <v>12.5</v>
      </c>
      <c r="ABW13">
        <f t="shared" si="110"/>
        <v>12.5</v>
      </c>
      <c r="ABX13">
        <f t="shared" si="111"/>
        <v>12.5</v>
      </c>
      <c r="ABY13">
        <f t="shared" si="112"/>
        <v>33.125</v>
      </c>
      <c r="ABZ13">
        <f t="shared" si="113"/>
        <v>23.125</v>
      </c>
      <c r="ACA13">
        <f t="shared" si="114"/>
        <v>33.125</v>
      </c>
      <c r="ACB13">
        <f t="shared" si="115"/>
        <v>23.125</v>
      </c>
      <c r="ACC13">
        <f t="shared" si="116"/>
        <v>35</v>
      </c>
      <c r="ACD13">
        <f t="shared" si="117"/>
        <v>35</v>
      </c>
      <c r="ACE13">
        <f t="shared" si="118"/>
        <v>50</v>
      </c>
      <c r="ACF13">
        <f t="shared" si="119"/>
        <v>25</v>
      </c>
      <c r="ACG13">
        <f t="shared" si="120"/>
        <v>0</v>
      </c>
      <c r="ACH13">
        <f t="shared" si="121"/>
        <v>0</v>
      </c>
      <c r="ACI13">
        <f t="shared" si="122"/>
        <v>0</v>
      </c>
      <c r="ACJ13">
        <f t="shared" si="123"/>
        <v>0</v>
      </c>
      <c r="ACK13">
        <f t="shared" si="124"/>
        <v>0</v>
      </c>
      <c r="ACL13">
        <f t="shared" si="125"/>
        <v>0</v>
      </c>
      <c r="ACM13">
        <f t="shared" si="126"/>
        <v>0</v>
      </c>
      <c r="ACN13">
        <f t="shared" si="127"/>
        <v>0</v>
      </c>
      <c r="ACO13">
        <f t="shared" si="128"/>
        <v>0</v>
      </c>
      <c r="ACP13">
        <f t="shared" si="34"/>
        <v>0</v>
      </c>
      <c r="ACQ13">
        <f t="shared" si="129"/>
        <v>0</v>
      </c>
      <c r="ACR13">
        <f t="shared" si="130"/>
        <v>12.5</v>
      </c>
      <c r="ACS13">
        <f t="shared" si="131"/>
        <v>12.5</v>
      </c>
      <c r="ACT13">
        <f t="shared" si="132"/>
        <v>12.5</v>
      </c>
      <c r="ACU13">
        <f t="shared" si="133"/>
        <v>33.125</v>
      </c>
      <c r="ACV13">
        <f t="shared" si="134"/>
        <v>23.125</v>
      </c>
      <c r="ACW13">
        <f t="shared" si="135"/>
        <v>33.125</v>
      </c>
      <c r="ACX13">
        <f t="shared" si="136"/>
        <v>23.125</v>
      </c>
      <c r="ACY13">
        <f t="shared" si="137"/>
        <v>15</v>
      </c>
      <c r="ACZ13">
        <f t="shared" si="138"/>
        <v>35</v>
      </c>
      <c r="ADA13">
        <f t="shared" si="139"/>
        <v>50</v>
      </c>
      <c r="ADB13">
        <f t="shared" si="140"/>
        <v>25</v>
      </c>
      <c r="ADC13">
        <f t="shared" si="141"/>
        <v>0</v>
      </c>
      <c r="ADD13">
        <f t="shared" si="142"/>
        <v>0</v>
      </c>
      <c r="ADE13">
        <f t="shared" si="143"/>
        <v>0</v>
      </c>
      <c r="ADF13">
        <f t="shared" si="144"/>
        <v>0</v>
      </c>
      <c r="ADG13">
        <f t="shared" si="145"/>
        <v>0</v>
      </c>
      <c r="ADH13">
        <f t="shared" si="146"/>
        <v>0</v>
      </c>
      <c r="ADI13">
        <f t="shared" si="147"/>
        <v>0</v>
      </c>
      <c r="ADJ13">
        <f t="shared" si="148"/>
        <v>0</v>
      </c>
      <c r="ADK13">
        <f t="shared" si="149"/>
        <v>0</v>
      </c>
      <c r="ADL13">
        <f t="shared" si="150"/>
        <v>0</v>
      </c>
      <c r="ADM13">
        <f t="shared" si="151"/>
        <v>0</v>
      </c>
      <c r="ADN13">
        <f t="shared" si="152"/>
        <v>12.5</v>
      </c>
      <c r="ADO13">
        <f t="shared" si="153"/>
        <v>12.5</v>
      </c>
      <c r="ADP13">
        <f t="shared" si="154"/>
        <v>12.5</v>
      </c>
      <c r="ADQ13">
        <f t="shared" si="155"/>
        <v>23.125</v>
      </c>
      <c r="ADR13">
        <f t="shared" si="156"/>
        <v>33.125</v>
      </c>
      <c r="ADS13">
        <f t="shared" si="157"/>
        <v>33.125</v>
      </c>
      <c r="ADT13">
        <f t="shared" si="158"/>
        <v>33.125</v>
      </c>
      <c r="ADU13">
        <f t="shared" si="159"/>
        <v>35</v>
      </c>
      <c r="ADV13">
        <f t="shared" si="160"/>
        <v>35</v>
      </c>
      <c r="ADW13">
        <f t="shared" si="161"/>
        <v>50</v>
      </c>
      <c r="ADX13">
        <f t="shared" si="162"/>
        <v>25</v>
      </c>
      <c r="ADY13">
        <f t="shared" si="163"/>
        <v>0</v>
      </c>
      <c r="ADZ13">
        <f t="shared" si="164"/>
        <v>0</v>
      </c>
      <c r="AEA13">
        <f t="shared" si="165"/>
        <v>0</v>
      </c>
      <c r="AEB13">
        <f t="shared" si="166"/>
        <v>0</v>
      </c>
      <c r="AEC13">
        <f t="shared" si="167"/>
        <v>0</v>
      </c>
      <c r="AED13">
        <f t="shared" si="168"/>
        <v>0</v>
      </c>
      <c r="AEE13">
        <f t="shared" si="169"/>
        <v>0</v>
      </c>
      <c r="AEF13">
        <f t="shared" si="170"/>
        <v>0</v>
      </c>
      <c r="AEG13">
        <f t="shared" si="171"/>
        <v>0</v>
      </c>
      <c r="AEH13">
        <f t="shared" si="172"/>
        <v>0</v>
      </c>
      <c r="AEI13">
        <f t="shared" si="173"/>
        <v>0</v>
      </c>
      <c r="AEJ13">
        <f t="shared" si="174"/>
        <v>12.5</v>
      </c>
      <c r="AEK13">
        <f t="shared" si="175"/>
        <v>12.5</v>
      </c>
      <c r="AEL13">
        <f t="shared" si="176"/>
        <v>12.5</v>
      </c>
      <c r="AEM13">
        <f t="shared" si="177"/>
        <v>23.125</v>
      </c>
      <c r="AEN13">
        <f t="shared" si="178"/>
        <v>33.125</v>
      </c>
      <c r="AEO13">
        <f t="shared" si="179"/>
        <v>33.125</v>
      </c>
      <c r="AEP13">
        <f t="shared" si="180"/>
        <v>33.125</v>
      </c>
      <c r="AEQ13">
        <f t="shared" si="181"/>
        <v>15</v>
      </c>
      <c r="AER13">
        <f t="shared" si="182"/>
        <v>35</v>
      </c>
      <c r="AES13">
        <f t="shared" si="183"/>
        <v>50</v>
      </c>
      <c r="AET13">
        <f t="shared" si="184"/>
        <v>25</v>
      </c>
      <c r="AEU13">
        <f t="shared" si="185"/>
        <v>0</v>
      </c>
      <c r="AEV13">
        <f t="shared" si="186"/>
        <v>0</v>
      </c>
      <c r="AEW13">
        <f t="shared" si="187"/>
        <v>0</v>
      </c>
      <c r="AEX13">
        <f t="shared" si="188"/>
        <v>0</v>
      </c>
      <c r="AEY13">
        <f t="shared" si="189"/>
        <v>0</v>
      </c>
      <c r="AEZ13">
        <f t="shared" si="190"/>
        <v>0</v>
      </c>
      <c r="AFA13">
        <f t="shared" si="191"/>
        <v>0</v>
      </c>
      <c r="AFB13">
        <f t="shared" si="35"/>
        <v>0</v>
      </c>
      <c r="AFC13">
        <f t="shared" si="192"/>
        <v>0</v>
      </c>
      <c r="AFD13">
        <f t="shared" si="193"/>
        <v>0</v>
      </c>
      <c r="AFE13">
        <f t="shared" si="194"/>
        <v>0</v>
      </c>
      <c r="AFF13">
        <f t="shared" si="195"/>
        <v>12.5</v>
      </c>
      <c r="AFG13">
        <f t="shared" si="196"/>
        <v>12.5</v>
      </c>
      <c r="AFH13">
        <f t="shared" si="197"/>
        <v>12.5</v>
      </c>
      <c r="AFI13">
        <f t="shared" si="198"/>
        <v>23.125</v>
      </c>
      <c r="AFJ13">
        <f t="shared" si="199"/>
        <v>23.125</v>
      </c>
      <c r="AFK13">
        <f t="shared" si="200"/>
        <v>33.125</v>
      </c>
      <c r="AFL13">
        <f t="shared" si="201"/>
        <v>23.125</v>
      </c>
      <c r="AFM13">
        <f t="shared" si="202"/>
        <v>35</v>
      </c>
      <c r="AFN13">
        <f t="shared" si="203"/>
        <v>35</v>
      </c>
      <c r="AFO13">
        <f t="shared" si="204"/>
        <v>50</v>
      </c>
      <c r="AFP13">
        <f t="shared" si="205"/>
        <v>25</v>
      </c>
      <c r="AFQ13">
        <f t="shared" si="206"/>
        <v>0</v>
      </c>
      <c r="AFR13">
        <f t="shared" si="207"/>
        <v>0</v>
      </c>
      <c r="AFS13">
        <f t="shared" si="208"/>
        <v>0</v>
      </c>
      <c r="AFT13">
        <f t="shared" si="209"/>
        <v>0</v>
      </c>
      <c r="AFU13">
        <f t="shared" si="210"/>
        <v>0</v>
      </c>
      <c r="AFV13">
        <f t="shared" si="211"/>
        <v>0</v>
      </c>
      <c r="AFW13">
        <f t="shared" si="212"/>
        <v>0</v>
      </c>
      <c r="AFX13">
        <f t="shared" si="213"/>
        <v>0</v>
      </c>
      <c r="AFY13">
        <f t="shared" si="214"/>
        <v>0</v>
      </c>
      <c r="AFZ13">
        <f t="shared" si="215"/>
        <v>0</v>
      </c>
      <c r="AGA13">
        <f t="shared" si="216"/>
        <v>0</v>
      </c>
      <c r="AGB13">
        <f t="shared" si="217"/>
        <v>12.5</v>
      </c>
      <c r="AGC13">
        <f t="shared" si="218"/>
        <v>12.5</v>
      </c>
      <c r="AGD13">
        <f t="shared" si="219"/>
        <v>12.5</v>
      </c>
      <c r="AGE13">
        <f t="shared" si="220"/>
        <v>23.125</v>
      </c>
      <c r="AGF13">
        <f t="shared" si="221"/>
        <v>23.125</v>
      </c>
      <c r="AGG13">
        <f t="shared" si="222"/>
        <v>33.125</v>
      </c>
      <c r="AGH13">
        <f t="shared" si="223"/>
        <v>23.125</v>
      </c>
      <c r="AGI13">
        <f t="shared" si="224"/>
        <v>15</v>
      </c>
      <c r="AGJ13">
        <f t="shared" si="225"/>
        <v>35</v>
      </c>
      <c r="AGK13">
        <f t="shared" si="226"/>
        <v>50</v>
      </c>
      <c r="AGL13">
        <f t="shared" si="227"/>
        <v>25</v>
      </c>
      <c r="AGM13">
        <f t="shared" si="228"/>
        <v>0</v>
      </c>
      <c r="AGN13">
        <f t="shared" si="229"/>
        <v>0</v>
      </c>
      <c r="AGO13">
        <f t="shared" si="230"/>
        <v>0</v>
      </c>
      <c r="AGP13">
        <f t="shared" si="231"/>
        <v>0</v>
      </c>
      <c r="AGQ13">
        <f t="shared" si="232"/>
        <v>0</v>
      </c>
      <c r="AGR13">
        <f t="shared" si="233"/>
        <v>0</v>
      </c>
      <c r="AGS13">
        <f t="shared" si="234"/>
        <v>0</v>
      </c>
      <c r="AGT13">
        <f t="shared" si="235"/>
        <v>0</v>
      </c>
      <c r="AGU13">
        <f t="shared" si="236"/>
        <v>0</v>
      </c>
      <c r="AGV13">
        <f t="shared" si="237"/>
        <v>0</v>
      </c>
      <c r="AGW13">
        <f t="shared" si="238"/>
        <v>0</v>
      </c>
      <c r="AGX13">
        <f t="shared" si="239"/>
        <v>12.5</v>
      </c>
      <c r="AGY13">
        <f t="shared" si="240"/>
        <v>12.5</v>
      </c>
      <c r="AGZ13">
        <f t="shared" si="241"/>
        <v>12.5</v>
      </c>
      <c r="AHA13">
        <f t="shared" si="242"/>
        <v>33.125</v>
      </c>
      <c r="AHB13">
        <f t="shared" si="243"/>
        <v>33.125</v>
      </c>
      <c r="AHC13">
        <f t="shared" si="244"/>
        <v>23.125</v>
      </c>
      <c r="AHD13">
        <f t="shared" si="245"/>
        <v>33.125</v>
      </c>
      <c r="AHE13">
        <f t="shared" si="246"/>
        <v>35</v>
      </c>
      <c r="AHF13">
        <f t="shared" si="247"/>
        <v>35</v>
      </c>
      <c r="AHG13">
        <f t="shared" si="248"/>
        <v>50</v>
      </c>
      <c r="AHH13">
        <f t="shared" si="249"/>
        <v>25</v>
      </c>
      <c r="AHI13">
        <f t="shared" si="250"/>
        <v>0</v>
      </c>
      <c r="AHJ13">
        <f t="shared" si="251"/>
        <v>0</v>
      </c>
      <c r="AHK13">
        <f t="shared" si="252"/>
        <v>0</v>
      </c>
      <c r="AHL13">
        <f t="shared" si="253"/>
        <v>0</v>
      </c>
      <c r="AHM13">
        <f t="shared" si="254"/>
        <v>0</v>
      </c>
      <c r="AHN13">
        <f t="shared" si="36"/>
        <v>0</v>
      </c>
      <c r="AHO13">
        <f t="shared" si="255"/>
        <v>0</v>
      </c>
      <c r="AHP13">
        <f t="shared" si="256"/>
        <v>0</v>
      </c>
      <c r="AHQ13">
        <f t="shared" si="257"/>
        <v>0</v>
      </c>
      <c r="AHR13">
        <f t="shared" si="258"/>
        <v>0</v>
      </c>
      <c r="AHS13">
        <f t="shared" si="259"/>
        <v>0</v>
      </c>
      <c r="AHT13">
        <f t="shared" si="260"/>
        <v>12.5</v>
      </c>
      <c r="AHU13">
        <f t="shared" si="261"/>
        <v>12.5</v>
      </c>
      <c r="AHV13">
        <f t="shared" si="262"/>
        <v>12.5</v>
      </c>
      <c r="AHW13">
        <f t="shared" si="263"/>
        <v>33.125</v>
      </c>
      <c r="AHX13">
        <f t="shared" si="264"/>
        <v>33.125</v>
      </c>
      <c r="AHY13">
        <f t="shared" si="265"/>
        <v>23.125</v>
      </c>
      <c r="AHZ13">
        <f t="shared" si="266"/>
        <v>33.125</v>
      </c>
      <c r="AIA13">
        <f t="shared" si="267"/>
        <v>15</v>
      </c>
      <c r="AIB13">
        <f t="shared" si="268"/>
        <v>35</v>
      </c>
      <c r="AIC13">
        <f t="shared" si="269"/>
        <v>50</v>
      </c>
      <c r="AID13">
        <f t="shared" si="270"/>
        <v>25</v>
      </c>
      <c r="AIE13">
        <f t="shared" si="271"/>
        <v>0</v>
      </c>
      <c r="AIF13">
        <f t="shared" si="272"/>
        <v>0</v>
      </c>
      <c r="AIG13">
        <f t="shared" si="273"/>
        <v>0</v>
      </c>
      <c r="AIH13">
        <f t="shared" si="274"/>
        <v>0</v>
      </c>
      <c r="AII13">
        <f t="shared" si="275"/>
        <v>0</v>
      </c>
      <c r="AIJ13">
        <f t="shared" si="276"/>
        <v>0</v>
      </c>
      <c r="AIK13">
        <f t="shared" si="277"/>
        <v>0</v>
      </c>
      <c r="AIL13">
        <f t="shared" si="278"/>
        <v>0</v>
      </c>
      <c r="AIM13">
        <f t="shared" si="279"/>
        <v>0</v>
      </c>
      <c r="AIN13">
        <f t="shared" si="280"/>
        <v>0</v>
      </c>
      <c r="AIO13">
        <f t="shared" si="281"/>
        <v>0</v>
      </c>
      <c r="AIP13">
        <f t="shared" si="282"/>
        <v>12.5</v>
      </c>
      <c r="AIQ13">
        <f t="shared" si="283"/>
        <v>12.5</v>
      </c>
      <c r="AIR13">
        <f t="shared" si="284"/>
        <v>12.5</v>
      </c>
      <c r="AIS13">
        <f t="shared" si="285"/>
        <v>33.125</v>
      </c>
      <c r="AIT13">
        <f t="shared" si="286"/>
        <v>23.125</v>
      </c>
      <c r="AIU13">
        <f t="shared" si="287"/>
        <v>23.125</v>
      </c>
      <c r="AIV13">
        <f t="shared" si="288"/>
        <v>23.125</v>
      </c>
      <c r="AIW13">
        <f t="shared" si="289"/>
        <v>35</v>
      </c>
      <c r="AIX13">
        <f t="shared" si="290"/>
        <v>35</v>
      </c>
      <c r="AIY13">
        <f t="shared" si="291"/>
        <v>50</v>
      </c>
      <c r="AIZ13">
        <f t="shared" si="292"/>
        <v>25</v>
      </c>
      <c r="AJA13">
        <f t="shared" si="293"/>
        <v>0</v>
      </c>
      <c r="AJB13">
        <f t="shared" si="294"/>
        <v>0</v>
      </c>
      <c r="AJC13">
        <f t="shared" si="295"/>
        <v>0</v>
      </c>
      <c r="AJD13">
        <f t="shared" si="296"/>
        <v>0</v>
      </c>
      <c r="AJE13">
        <f t="shared" si="297"/>
        <v>0</v>
      </c>
      <c r="AJF13">
        <f t="shared" si="298"/>
        <v>0</v>
      </c>
      <c r="AJG13">
        <f t="shared" si="299"/>
        <v>0</v>
      </c>
      <c r="AJH13">
        <f t="shared" si="300"/>
        <v>0</v>
      </c>
      <c r="AJI13">
        <f t="shared" si="301"/>
        <v>0</v>
      </c>
      <c r="AJJ13">
        <f t="shared" si="302"/>
        <v>0</v>
      </c>
      <c r="AJK13">
        <f t="shared" si="303"/>
        <v>0</v>
      </c>
      <c r="AJL13">
        <f t="shared" si="304"/>
        <v>12.5</v>
      </c>
      <c r="AJM13">
        <f t="shared" si="305"/>
        <v>12.5</v>
      </c>
      <c r="AJN13">
        <f t="shared" si="306"/>
        <v>12.5</v>
      </c>
      <c r="AJO13">
        <f t="shared" si="307"/>
        <v>33.125</v>
      </c>
      <c r="AJP13">
        <f t="shared" si="308"/>
        <v>23.125</v>
      </c>
      <c r="AJQ13">
        <f t="shared" si="309"/>
        <v>23.125</v>
      </c>
      <c r="AJR13">
        <f t="shared" si="310"/>
        <v>23.125</v>
      </c>
      <c r="AJS13">
        <f t="shared" si="311"/>
        <v>15</v>
      </c>
      <c r="AJT13">
        <f t="shared" si="312"/>
        <v>35</v>
      </c>
      <c r="AJU13">
        <f t="shared" si="313"/>
        <v>50</v>
      </c>
      <c r="AJV13">
        <f t="shared" si="314"/>
        <v>25</v>
      </c>
      <c r="AJW13">
        <f t="shared" si="315"/>
        <v>0</v>
      </c>
      <c r="AJX13">
        <f t="shared" si="316"/>
        <v>0</v>
      </c>
      <c r="AJY13">
        <f t="shared" si="317"/>
        <v>0</v>
      </c>
      <c r="AJZ13">
        <f t="shared" si="37"/>
        <v>0</v>
      </c>
      <c r="AKA13">
        <f t="shared" si="318"/>
        <v>0</v>
      </c>
      <c r="AKB13">
        <f t="shared" si="319"/>
        <v>0</v>
      </c>
      <c r="AKC13">
        <f t="shared" si="320"/>
        <v>0</v>
      </c>
      <c r="AKD13">
        <f t="shared" si="321"/>
        <v>0</v>
      </c>
      <c r="AKE13">
        <f t="shared" si="322"/>
        <v>0</v>
      </c>
      <c r="AKF13">
        <f t="shared" si="323"/>
        <v>0</v>
      </c>
      <c r="AKG13">
        <f t="shared" si="324"/>
        <v>0</v>
      </c>
      <c r="AKH13">
        <f t="shared" si="325"/>
        <v>12.5</v>
      </c>
      <c r="AKI13">
        <f t="shared" si="326"/>
        <v>12.5</v>
      </c>
      <c r="AKJ13">
        <f t="shared" si="327"/>
        <v>12.5</v>
      </c>
      <c r="AKK13">
        <f t="shared" si="328"/>
        <v>23.125</v>
      </c>
      <c r="AKL13">
        <f t="shared" si="329"/>
        <v>33.125</v>
      </c>
      <c r="AKM13">
        <f t="shared" si="330"/>
        <v>23.125</v>
      </c>
      <c r="AKN13">
        <f t="shared" si="331"/>
        <v>33.125</v>
      </c>
      <c r="AKO13">
        <f t="shared" si="332"/>
        <v>35</v>
      </c>
      <c r="AKP13">
        <f t="shared" si="333"/>
        <v>35</v>
      </c>
      <c r="AKQ13">
        <f t="shared" si="334"/>
        <v>50</v>
      </c>
      <c r="AKR13">
        <f t="shared" si="335"/>
        <v>25</v>
      </c>
      <c r="AKS13">
        <f t="shared" si="336"/>
        <v>0</v>
      </c>
      <c r="AKT13">
        <f t="shared" si="337"/>
        <v>0</v>
      </c>
      <c r="AKU13">
        <f t="shared" si="338"/>
        <v>0</v>
      </c>
      <c r="AKV13">
        <f t="shared" si="339"/>
        <v>0</v>
      </c>
      <c r="AKW13">
        <f t="shared" si="340"/>
        <v>0</v>
      </c>
      <c r="AKX13">
        <f t="shared" si="341"/>
        <v>0</v>
      </c>
      <c r="AKY13">
        <f t="shared" si="342"/>
        <v>0</v>
      </c>
      <c r="AKZ13">
        <f t="shared" si="343"/>
        <v>0</v>
      </c>
      <c r="ALA13">
        <f t="shared" si="344"/>
        <v>0</v>
      </c>
      <c r="ALB13">
        <f t="shared" si="345"/>
        <v>0</v>
      </c>
      <c r="ALC13">
        <f t="shared" si="346"/>
        <v>0</v>
      </c>
      <c r="ALD13">
        <f t="shared" si="347"/>
        <v>12.5</v>
      </c>
      <c r="ALE13">
        <f t="shared" si="348"/>
        <v>12.5</v>
      </c>
      <c r="ALF13">
        <f t="shared" si="349"/>
        <v>12.5</v>
      </c>
      <c r="ALG13">
        <f t="shared" si="350"/>
        <v>23.125</v>
      </c>
      <c r="ALH13">
        <f t="shared" si="351"/>
        <v>33.125</v>
      </c>
      <c r="ALI13">
        <f t="shared" si="352"/>
        <v>23.125</v>
      </c>
      <c r="ALJ13">
        <f t="shared" si="353"/>
        <v>33.125</v>
      </c>
      <c r="ALK13">
        <f t="shared" si="354"/>
        <v>15</v>
      </c>
      <c r="ALL13">
        <f t="shared" si="355"/>
        <v>35</v>
      </c>
      <c r="ALM13">
        <f t="shared" si="356"/>
        <v>50</v>
      </c>
      <c r="ALN13">
        <f t="shared" si="357"/>
        <v>25</v>
      </c>
      <c r="ALO13">
        <f t="shared" si="358"/>
        <v>0</v>
      </c>
      <c r="ALP13">
        <f t="shared" si="359"/>
        <v>0</v>
      </c>
      <c r="ALQ13">
        <f t="shared" si="360"/>
        <v>0</v>
      </c>
      <c r="ALR13">
        <f t="shared" si="361"/>
        <v>0</v>
      </c>
      <c r="ALS13">
        <f t="shared" si="362"/>
        <v>0</v>
      </c>
      <c r="ALT13">
        <f t="shared" si="363"/>
        <v>0</v>
      </c>
      <c r="ALU13">
        <f t="shared" si="364"/>
        <v>0</v>
      </c>
      <c r="ALV13">
        <f t="shared" si="365"/>
        <v>0</v>
      </c>
      <c r="ALW13">
        <f t="shared" si="366"/>
        <v>0</v>
      </c>
      <c r="ALX13">
        <f t="shared" si="367"/>
        <v>0</v>
      </c>
      <c r="ALY13">
        <f t="shared" si="368"/>
        <v>0</v>
      </c>
      <c r="ALZ13">
        <f t="shared" si="369"/>
        <v>12.5</v>
      </c>
      <c r="AMA13">
        <f t="shared" si="370"/>
        <v>12.5</v>
      </c>
      <c r="AMB13">
        <f t="shared" si="371"/>
        <v>12.5</v>
      </c>
      <c r="AMC13">
        <f t="shared" si="372"/>
        <v>23.125</v>
      </c>
      <c r="AMD13">
        <f t="shared" si="373"/>
        <v>23.125</v>
      </c>
      <c r="AME13">
        <f t="shared" si="374"/>
        <v>23.125</v>
      </c>
      <c r="AMF13">
        <f t="shared" si="375"/>
        <v>23.125</v>
      </c>
      <c r="AMG13">
        <f t="shared" si="376"/>
        <v>35</v>
      </c>
      <c r="AMH13">
        <f t="shared" si="377"/>
        <v>35</v>
      </c>
      <c r="AMI13">
        <f t="shared" si="378"/>
        <v>50</v>
      </c>
      <c r="AMJ13">
        <f t="shared" si="379"/>
        <v>25</v>
      </c>
      <c r="AMK13">
        <f t="shared" si="380"/>
        <v>0</v>
      </c>
      <c r="AML13">
        <f t="shared" si="38"/>
        <v>0</v>
      </c>
      <c r="AMM13">
        <f t="shared" si="381"/>
        <v>0</v>
      </c>
      <c r="AMN13">
        <f t="shared" si="382"/>
        <v>0</v>
      </c>
      <c r="AMO13">
        <f t="shared" si="383"/>
        <v>0</v>
      </c>
      <c r="AMP13">
        <f t="shared" si="384"/>
        <v>0</v>
      </c>
      <c r="AMQ13">
        <f t="shared" si="385"/>
        <v>0</v>
      </c>
      <c r="AMR13">
        <f t="shared" si="386"/>
        <v>0</v>
      </c>
      <c r="AMS13">
        <f t="shared" si="387"/>
        <v>0</v>
      </c>
      <c r="AMT13">
        <f t="shared" si="388"/>
        <v>0</v>
      </c>
      <c r="AMU13">
        <f t="shared" si="389"/>
        <v>0</v>
      </c>
      <c r="AMV13">
        <f t="shared" si="390"/>
        <v>12.5</v>
      </c>
      <c r="AMW13">
        <f t="shared" si="391"/>
        <v>12.5</v>
      </c>
      <c r="AMX13">
        <f t="shared" si="392"/>
        <v>12.5</v>
      </c>
      <c r="AMY13">
        <f t="shared" si="393"/>
        <v>23.125</v>
      </c>
      <c r="AMZ13">
        <f t="shared" si="394"/>
        <v>23.125</v>
      </c>
      <c r="ANA13">
        <f t="shared" si="395"/>
        <v>23.125</v>
      </c>
      <c r="ANB13">
        <f t="shared" si="396"/>
        <v>23.125</v>
      </c>
      <c r="ANC13">
        <f t="shared" si="397"/>
        <v>15</v>
      </c>
      <c r="AND13">
        <f t="shared" si="398"/>
        <v>35</v>
      </c>
      <c r="ANE13">
        <f t="shared" si="399"/>
        <v>50</v>
      </c>
      <c r="ANF13">
        <f t="shared" si="400"/>
        <v>25</v>
      </c>
      <c r="ANG13">
        <f t="shared" si="401"/>
        <v>0</v>
      </c>
      <c r="ANH13">
        <f t="shared" si="402"/>
        <v>0</v>
      </c>
      <c r="ANI13">
        <f t="shared" si="403"/>
        <v>0</v>
      </c>
      <c r="ANJ13">
        <f t="shared" si="404"/>
        <v>0</v>
      </c>
      <c r="ANK13">
        <f t="shared" si="405"/>
        <v>0</v>
      </c>
      <c r="ANL13">
        <f t="shared" si="406"/>
        <v>0</v>
      </c>
      <c r="ANM13">
        <f t="shared" si="407"/>
        <v>0</v>
      </c>
      <c r="ANN13">
        <f t="shared" si="408"/>
        <v>0</v>
      </c>
      <c r="ANO13">
        <f t="shared" si="409"/>
        <v>0</v>
      </c>
      <c r="ANP13">
        <f t="shared" si="410"/>
        <v>0</v>
      </c>
      <c r="ANQ13">
        <f t="shared" si="411"/>
        <v>0</v>
      </c>
      <c r="ANR13">
        <f t="shared" si="412"/>
        <v>12.5</v>
      </c>
      <c r="ANS13">
        <f t="shared" si="413"/>
        <v>12.5</v>
      </c>
      <c r="ANT13">
        <f t="shared" si="414"/>
        <v>12.5</v>
      </c>
      <c r="ANU13">
        <f t="shared" si="415"/>
        <v>33.125</v>
      </c>
      <c r="ANV13">
        <f t="shared" si="416"/>
        <v>33.125</v>
      </c>
      <c r="ANW13">
        <f t="shared" si="417"/>
        <v>33.125</v>
      </c>
      <c r="ANX13">
        <f t="shared" si="418"/>
        <v>33.125</v>
      </c>
      <c r="ANY13">
        <f t="shared" si="419"/>
        <v>35</v>
      </c>
      <c r="ANZ13">
        <f t="shared" si="420"/>
        <v>15</v>
      </c>
      <c r="AOA13">
        <f t="shared" si="421"/>
        <v>50</v>
      </c>
      <c r="AOB13">
        <f t="shared" si="422"/>
        <v>25</v>
      </c>
      <c r="AOC13">
        <f t="shared" si="423"/>
        <v>0</v>
      </c>
      <c r="AOD13">
        <f t="shared" si="424"/>
        <v>0</v>
      </c>
      <c r="AOE13">
        <f t="shared" si="425"/>
        <v>0</v>
      </c>
      <c r="AOF13">
        <f t="shared" si="426"/>
        <v>0</v>
      </c>
      <c r="AOG13">
        <f t="shared" si="427"/>
        <v>0</v>
      </c>
      <c r="AOH13">
        <f t="shared" si="428"/>
        <v>0</v>
      </c>
      <c r="AOI13">
        <f t="shared" si="429"/>
        <v>0</v>
      </c>
      <c r="AOJ13">
        <f t="shared" si="430"/>
        <v>0</v>
      </c>
      <c r="AOK13">
        <f t="shared" si="431"/>
        <v>0</v>
      </c>
      <c r="AOL13">
        <f t="shared" si="432"/>
        <v>0</v>
      </c>
      <c r="AOM13">
        <f t="shared" si="433"/>
        <v>0</v>
      </c>
      <c r="AON13">
        <f t="shared" si="434"/>
        <v>12.5</v>
      </c>
      <c r="AOO13">
        <f t="shared" si="435"/>
        <v>12.5</v>
      </c>
      <c r="AOP13">
        <f t="shared" si="436"/>
        <v>12.5</v>
      </c>
      <c r="AOQ13">
        <f t="shared" si="437"/>
        <v>33.125</v>
      </c>
      <c r="AOR13">
        <f t="shared" si="438"/>
        <v>33.125</v>
      </c>
      <c r="AOS13">
        <f t="shared" si="439"/>
        <v>33.125</v>
      </c>
      <c r="AOT13">
        <f t="shared" si="440"/>
        <v>33.125</v>
      </c>
      <c r="AOU13">
        <f t="shared" si="441"/>
        <v>15</v>
      </c>
      <c r="AOV13">
        <f t="shared" si="442"/>
        <v>15</v>
      </c>
      <c r="AOW13">
        <f t="shared" si="443"/>
        <v>50</v>
      </c>
      <c r="AOX13">
        <f t="shared" si="39"/>
        <v>25</v>
      </c>
      <c r="AOY13">
        <f t="shared" si="444"/>
        <v>0</v>
      </c>
      <c r="AOZ13">
        <f t="shared" si="445"/>
        <v>0</v>
      </c>
      <c r="APA13">
        <f t="shared" si="446"/>
        <v>0</v>
      </c>
      <c r="APB13">
        <f t="shared" si="447"/>
        <v>0</v>
      </c>
      <c r="APC13">
        <f t="shared" si="448"/>
        <v>0</v>
      </c>
      <c r="APD13">
        <f t="shared" si="449"/>
        <v>0</v>
      </c>
      <c r="APE13">
        <f t="shared" si="450"/>
        <v>0</v>
      </c>
      <c r="APF13">
        <f t="shared" si="451"/>
        <v>0</v>
      </c>
      <c r="APG13">
        <f t="shared" si="452"/>
        <v>0</v>
      </c>
      <c r="APH13">
        <f t="shared" si="453"/>
        <v>0</v>
      </c>
      <c r="API13">
        <f t="shared" si="454"/>
        <v>0</v>
      </c>
      <c r="APJ13">
        <f t="shared" si="455"/>
        <v>12.5</v>
      </c>
      <c r="APK13">
        <f t="shared" si="456"/>
        <v>12.5</v>
      </c>
      <c r="APL13">
        <f t="shared" si="457"/>
        <v>12.5</v>
      </c>
      <c r="APM13">
        <f t="shared" si="458"/>
        <v>33.125</v>
      </c>
      <c r="APN13">
        <f t="shared" si="459"/>
        <v>23.125</v>
      </c>
      <c r="APO13">
        <f t="shared" si="460"/>
        <v>33.125</v>
      </c>
      <c r="APP13">
        <f t="shared" si="461"/>
        <v>23.125</v>
      </c>
      <c r="APQ13">
        <f t="shared" si="462"/>
        <v>35</v>
      </c>
      <c r="APR13">
        <f t="shared" si="463"/>
        <v>15</v>
      </c>
      <c r="APS13">
        <f t="shared" si="464"/>
        <v>50</v>
      </c>
      <c r="APT13">
        <f t="shared" si="465"/>
        <v>25</v>
      </c>
      <c r="APU13">
        <f t="shared" si="466"/>
        <v>0</v>
      </c>
      <c r="APV13">
        <f t="shared" si="467"/>
        <v>0</v>
      </c>
      <c r="APW13">
        <f t="shared" si="468"/>
        <v>0</v>
      </c>
      <c r="APX13">
        <f t="shared" si="469"/>
        <v>0</v>
      </c>
      <c r="APY13">
        <f t="shared" si="470"/>
        <v>0</v>
      </c>
      <c r="APZ13">
        <f t="shared" si="471"/>
        <v>0</v>
      </c>
      <c r="AQA13">
        <f t="shared" si="472"/>
        <v>0</v>
      </c>
      <c r="AQB13">
        <f t="shared" si="473"/>
        <v>0</v>
      </c>
      <c r="AQC13">
        <f t="shared" si="474"/>
        <v>0</v>
      </c>
      <c r="AQD13">
        <f t="shared" si="475"/>
        <v>0</v>
      </c>
      <c r="AQE13">
        <f t="shared" si="476"/>
        <v>0</v>
      </c>
      <c r="AQF13">
        <f t="shared" si="477"/>
        <v>12.5</v>
      </c>
      <c r="AQG13">
        <f t="shared" si="478"/>
        <v>12.5</v>
      </c>
      <c r="AQH13">
        <f t="shared" si="479"/>
        <v>12.5</v>
      </c>
      <c r="AQI13">
        <f t="shared" si="480"/>
        <v>33.125</v>
      </c>
      <c r="AQJ13">
        <f t="shared" si="481"/>
        <v>23.125</v>
      </c>
      <c r="AQK13">
        <f t="shared" si="482"/>
        <v>33.125</v>
      </c>
      <c r="AQL13">
        <f t="shared" si="483"/>
        <v>23.125</v>
      </c>
      <c r="AQM13">
        <f t="shared" si="484"/>
        <v>15</v>
      </c>
      <c r="AQN13">
        <f t="shared" si="485"/>
        <v>15</v>
      </c>
      <c r="AQO13">
        <f t="shared" si="486"/>
        <v>50</v>
      </c>
      <c r="AQP13">
        <f t="shared" si="487"/>
        <v>25</v>
      </c>
      <c r="AQQ13">
        <f t="shared" si="488"/>
        <v>0</v>
      </c>
      <c r="AQR13">
        <f t="shared" si="489"/>
        <v>0</v>
      </c>
      <c r="AQS13">
        <f t="shared" si="490"/>
        <v>0</v>
      </c>
      <c r="AQT13">
        <f t="shared" si="491"/>
        <v>0</v>
      </c>
      <c r="AQU13">
        <f t="shared" si="492"/>
        <v>0</v>
      </c>
      <c r="AQV13">
        <f t="shared" si="493"/>
        <v>0</v>
      </c>
      <c r="AQW13">
        <f t="shared" si="494"/>
        <v>0</v>
      </c>
      <c r="AQX13">
        <f t="shared" si="495"/>
        <v>0</v>
      </c>
      <c r="AQY13">
        <f t="shared" si="496"/>
        <v>0</v>
      </c>
      <c r="AQZ13">
        <f t="shared" si="497"/>
        <v>0</v>
      </c>
      <c r="ARA13">
        <f t="shared" si="498"/>
        <v>0</v>
      </c>
      <c r="ARB13">
        <f t="shared" si="499"/>
        <v>12.5</v>
      </c>
      <c r="ARC13">
        <f t="shared" si="500"/>
        <v>12.5</v>
      </c>
      <c r="ARD13">
        <f t="shared" si="501"/>
        <v>12.5</v>
      </c>
      <c r="ARE13">
        <f t="shared" si="502"/>
        <v>23.125</v>
      </c>
      <c r="ARF13">
        <f t="shared" si="503"/>
        <v>33.125</v>
      </c>
      <c r="ARG13">
        <f t="shared" si="504"/>
        <v>33.125</v>
      </c>
      <c r="ARH13">
        <f t="shared" si="505"/>
        <v>33.125</v>
      </c>
      <c r="ARI13">
        <f t="shared" si="506"/>
        <v>35</v>
      </c>
      <c r="ARJ13">
        <f t="shared" si="40"/>
        <v>15</v>
      </c>
      <c r="ARK13">
        <f t="shared" si="507"/>
        <v>50</v>
      </c>
      <c r="ARL13">
        <f t="shared" si="508"/>
        <v>25</v>
      </c>
      <c r="ARM13">
        <f t="shared" si="509"/>
        <v>0</v>
      </c>
      <c r="ARN13">
        <f t="shared" si="510"/>
        <v>0</v>
      </c>
      <c r="ARO13">
        <f t="shared" si="511"/>
        <v>0</v>
      </c>
      <c r="ARP13">
        <f t="shared" si="512"/>
        <v>0</v>
      </c>
      <c r="ARQ13">
        <f t="shared" si="513"/>
        <v>0</v>
      </c>
      <c r="ARR13">
        <f t="shared" si="514"/>
        <v>0</v>
      </c>
      <c r="ARS13">
        <f t="shared" si="515"/>
        <v>0</v>
      </c>
      <c r="ART13">
        <f t="shared" si="516"/>
        <v>0</v>
      </c>
      <c r="ARU13">
        <f t="shared" si="517"/>
        <v>0</v>
      </c>
      <c r="ARV13">
        <f t="shared" si="518"/>
        <v>0</v>
      </c>
      <c r="ARW13">
        <f t="shared" si="519"/>
        <v>0</v>
      </c>
      <c r="ARX13">
        <f t="shared" si="520"/>
        <v>12.5</v>
      </c>
      <c r="ARY13">
        <f t="shared" si="521"/>
        <v>12.5</v>
      </c>
      <c r="ARZ13">
        <f t="shared" si="522"/>
        <v>12.5</v>
      </c>
      <c r="ASA13">
        <f t="shared" si="523"/>
        <v>23.125</v>
      </c>
      <c r="ASB13">
        <f t="shared" si="524"/>
        <v>33.125</v>
      </c>
      <c r="ASC13">
        <f t="shared" si="525"/>
        <v>33.125</v>
      </c>
      <c r="ASD13">
        <f t="shared" si="526"/>
        <v>33.125</v>
      </c>
      <c r="ASE13">
        <f t="shared" si="527"/>
        <v>15</v>
      </c>
      <c r="ASF13">
        <f t="shared" si="528"/>
        <v>15</v>
      </c>
      <c r="ASG13">
        <f t="shared" si="529"/>
        <v>50</v>
      </c>
      <c r="ASH13">
        <f t="shared" si="530"/>
        <v>25</v>
      </c>
      <c r="ASI13">
        <f t="shared" si="531"/>
        <v>0</v>
      </c>
      <c r="ASJ13">
        <f t="shared" si="532"/>
        <v>0</v>
      </c>
      <c r="ASK13">
        <f t="shared" si="533"/>
        <v>0</v>
      </c>
      <c r="ASL13">
        <f t="shared" si="534"/>
        <v>0</v>
      </c>
      <c r="ASM13">
        <f t="shared" si="535"/>
        <v>0</v>
      </c>
      <c r="ASN13">
        <f t="shared" si="536"/>
        <v>0</v>
      </c>
      <c r="ASO13">
        <f t="shared" si="537"/>
        <v>0</v>
      </c>
      <c r="ASP13">
        <f t="shared" si="538"/>
        <v>0</v>
      </c>
      <c r="ASQ13">
        <f t="shared" si="539"/>
        <v>0</v>
      </c>
      <c r="ASR13">
        <f t="shared" si="540"/>
        <v>0</v>
      </c>
      <c r="ASS13">
        <f t="shared" si="541"/>
        <v>0</v>
      </c>
      <c r="AST13">
        <f t="shared" si="542"/>
        <v>12.5</v>
      </c>
      <c r="ASU13">
        <f t="shared" si="543"/>
        <v>12.5</v>
      </c>
      <c r="ASV13">
        <f t="shared" si="544"/>
        <v>12.5</v>
      </c>
      <c r="ASW13">
        <f t="shared" si="545"/>
        <v>23.125</v>
      </c>
      <c r="ASX13">
        <f t="shared" si="546"/>
        <v>23.125</v>
      </c>
      <c r="ASY13">
        <f t="shared" si="547"/>
        <v>33.125</v>
      </c>
      <c r="ASZ13">
        <f t="shared" si="548"/>
        <v>23.125</v>
      </c>
      <c r="ATA13">
        <f t="shared" si="549"/>
        <v>35</v>
      </c>
      <c r="ATB13">
        <f t="shared" si="550"/>
        <v>15</v>
      </c>
      <c r="ATC13">
        <f t="shared" si="551"/>
        <v>50</v>
      </c>
      <c r="ATD13">
        <f t="shared" si="552"/>
        <v>25</v>
      </c>
      <c r="ATE13">
        <f t="shared" si="553"/>
        <v>0</v>
      </c>
      <c r="ATF13">
        <f t="shared" si="554"/>
        <v>0</v>
      </c>
      <c r="ATG13">
        <f t="shared" si="555"/>
        <v>0</v>
      </c>
      <c r="ATH13">
        <f t="shared" si="556"/>
        <v>0</v>
      </c>
      <c r="ATI13">
        <f t="shared" si="557"/>
        <v>0</v>
      </c>
      <c r="ATJ13">
        <f t="shared" si="558"/>
        <v>0</v>
      </c>
      <c r="ATK13">
        <f t="shared" si="559"/>
        <v>0</v>
      </c>
      <c r="ATL13">
        <f t="shared" si="560"/>
        <v>0</v>
      </c>
      <c r="ATM13">
        <f t="shared" si="561"/>
        <v>0</v>
      </c>
      <c r="ATN13">
        <f t="shared" si="562"/>
        <v>0</v>
      </c>
      <c r="ATO13">
        <f t="shared" si="563"/>
        <v>0</v>
      </c>
      <c r="ATP13">
        <f t="shared" si="564"/>
        <v>12.5</v>
      </c>
      <c r="ATQ13">
        <f t="shared" si="565"/>
        <v>12.5</v>
      </c>
      <c r="ATR13">
        <f t="shared" si="566"/>
        <v>12.5</v>
      </c>
      <c r="ATS13">
        <f t="shared" si="567"/>
        <v>23.125</v>
      </c>
      <c r="ATT13">
        <f t="shared" si="568"/>
        <v>23.125</v>
      </c>
      <c r="ATU13">
        <f t="shared" si="569"/>
        <v>33.125</v>
      </c>
      <c r="ATV13">
        <f t="shared" si="41"/>
        <v>23.125</v>
      </c>
      <c r="ATW13">
        <f t="shared" si="570"/>
        <v>15</v>
      </c>
      <c r="ATX13">
        <f t="shared" si="571"/>
        <v>15</v>
      </c>
      <c r="ATY13">
        <f t="shared" si="572"/>
        <v>50</v>
      </c>
      <c r="ATZ13">
        <f t="shared" si="573"/>
        <v>25</v>
      </c>
      <c r="AUA13">
        <f t="shared" si="574"/>
        <v>0</v>
      </c>
      <c r="AUB13">
        <f t="shared" si="575"/>
        <v>0</v>
      </c>
      <c r="AUC13">
        <f t="shared" si="576"/>
        <v>0</v>
      </c>
      <c r="AUD13">
        <f t="shared" si="577"/>
        <v>0</v>
      </c>
      <c r="AUE13">
        <f t="shared" si="578"/>
        <v>0</v>
      </c>
      <c r="AUF13">
        <f t="shared" si="579"/>
        <v>0</v>
      </c>
      <c r="AUG13">
        <f t="shared" si="580"/>
        <v>0</v>
      </c>
      <c r="AUH13">
        <f t="shared" si="581"/>
        <v>0</v>
      </c>
      <c r="AUI13">
        <f t="shared" si="582"/>
        <v>0</v>
      </c>
      <c r="AUJ13">
        <f t="shared" si="583"/>
        <v>0</v>
      </c>
      <c r="AUK13">
        <f t="shared" si="584"/>
        <v>0</v>
      </c>
      <c r="AUL13">
        <f t="shared" si="585"/>
        <v>12.5</v>
      </c>
      <c r="AUM13">
        <f t="shared" si="586"/>
        <v>12.5</v>
      </c>
      <c r="AUN13">
        <f t="shared" si="587"/>
        <v>12.5</v>
      </c>
      <c r="AUO13">
        <f t="shared" si="588"/>
        <v>33.125</v>
      </c>
      <c r="AUP13">
        <f t="shared" si="589"/>
        <v>33.125</v>
      </c>
      <c r="AUQ13">
        <f t="shared" si="590"/>
        <v>23.125</v>
      </c>
      <c r="AUR13">
        <f t="shared" si="591"/>
        <v>33.125</v>
      </c>
      <c r="AUS13">
        <f t="shared" si="592"/>
        <v>35</v>
      </c>
      <c r="AUT13">
        <f t="shared" si="593"/>
        <v>15</v>
      </c>
      <c r="AUU13">
        <f t="shared" si="594"/>
        <v>50</v>
      </c>
      <c r="AUV13">
        <f t="shared" si="595"/>
        <v>25</v>
      </c>
      <c r="AUW13">
        <f t="shared" si="596"/>
        <v>0</v>
      </c>
      <c r="AUX13">
        <f t="shared" si="597"/>
        <v>0</v>
      </c>
      <c r="AUY13">
        <f t="shared" si="598"/>
        <v>0</v>
      </c>
      <c r="AUZ13">
        <f t="shared" si="599"/>
        <v>0</v>
      </c>
      <c r="AVA13">
        <f t="shared" si="600"/>
        <v>0</v>
      </c>
      <c r="AVB13">
        <f t="shared" si="601"/>
        <v>0</v>
      </c>
      <c r="AVC13">
        <f t="shared" si="602"/>
        <v>0</v>
      </c>
      <c r="AVD13">
        <f t="shared" si="603"/>
        <v>0</v>
      </c>
      <c r="AVE13">
        <f t="shared" si="604"/>
        <v>0</v>
      </c>
      <c r="AVF13">
        <f t="shared" si="605"/>
        <v>0</v>
      </c>
      <c r="AVG13">
        <f t="shared" si="606"/>
        <v>0</v>
      </c>
      <c r="AVH13">
        <f t="shared" si="607"/>
        <v>12.5</v>
      </c>
      <c r="AVI13">
        <f t="shared" si="608"/>
        <v>12.5</v>
      </c>
      <c r="AVJ13">
        <f t="shared" si="609"/>
        <v>12.5</v>
      </c>
      <c r="AVK13">
        <f t="shared" si="610"/>
        <v>33.125</v>
      </c>
      <c r="AVL13">
        <f t="shared" si="611"/>
        <v>33.125</v>
      </c>
      <c r="AVM13">
        <f t="shared" si="612"/>
        <v>23.125</v>
      </c>
      <c r="AVN13">
        <f t="shared" si="613"/>
        <v>33.125</v>
      </c>
      <c r="AVO13">
        <f t="shared" si="614"/>
        <v>15</v>
      </c>
      <c r="AVP13">
        <f t="shared" si="615"/>
        <v>15</v>
      </c>
      <c r="AVQ13">
        <f t="shared" si="616"/>
        <v>50</v>
      </c>
      <c r="AVR13">
        <f t="shared" si="617"/>
        <v>25</v>
      </c>
      <c r="AVS13">
        <f t="shared" si="618"/>
        <v>0</v>
      </c>
      <c r="AVT13">
        <f t="shared" si="619"/>
        <v>0</v>
      </c>
      <c r="AVU13">
        <f t="shared" si="620"/>
        <v>0</v>
      </c>
      <c r="AVV13">
        <f t="shared" si="621"/>
        <v>0</v>
      </c>
      <c r="AVW13">
        <f t="shared" si="622"/>
        <v>0</v>
      </c>
      <c r="AVX13">
        <f t="shared" si="623"/>
        <v>0</v>
      </c>
      <c r="AVY13">
        <f t="shared" si="624"/>
        <v>0</v>
      </c>
      <c r="AVZ13">
        <f t="shared" si="625"/>
        <v>0</v>
      </c>
      <c r="AWA13">
        <f t="shared" si="626"/>
        <v>0</v>
      </c>
      <c r="AWB13">
        <f t="shared" si="627"/>
        <v>0</v>
      </c>
      <c r="AWC13">
        <f t="shared" si="628"/>
        <v>0</v>
      </c>
      <c r="AWD13">
        <f t="shared" si="629"/>
        <v>12.5</v>
      </c>
      <c r="AWE13">
        <f t="shared" si="630"/>
        <v>12.5</v>
      </c>
      <c r="AWF13">
        <f t="shared" si="631"/>
        <v>12.5</v>
      </c>
      <c r="AWG13">
        <f t="shared" si="632"/>
        <v>33.125</v>
      </c>
      <c r="AWH13">
        <f t="shared" si="42"/>
        <v>23.125</v>
      </c>
      <c r="AWI13">
        <f t="shared" si="633"/>
        <v>23.125</v>
      </c>
      <c r="AWJ13">
        <f t="shared" si="634"/>
        <v>23.125</v>
      </c>
      <c r="AWK13">
        <f t="shared" si="635"/>
        <v>35</v>
      </c>
      <c r="AWL13">
        <f t="shared" si="636"/>
        <v>15</v>
      </c>
      <c r="AWM13">
        <f t="shared" si="637"/>
        <v>50</v>
      </c>
      <c r="AWN13">
        <f t="shared" si="638"/>
        <v>25</v>
      </c>
      <c r="AWO13">
        <f t="shared" si="639"/>
        <v>0</v>
      </c>
      <c r="AWP13">
        <f t="shared" si="640"/>
        <v>0</v>
      </c>
      <c r="AWQ13">
        <f t="shared" si="641"/>
        <v>0</v>
      </c>
      <c r="AWR13">
        <f t="shared" si="642"/>
        <v>0</v>
      </c>
      <c r="AWS13">
        <f t="shared" si="643"/>
        <v>0</v>
      </c>
      <c r="AWT13">
        <f t="shared" si="644"/>
        <v>0</v>
      </c>
      <c r="AWU13">
        <f t="shared" si="645"/>
        <v>0</v>
      </c>
      <c r="AWV13">
        <f t="shared" si="646"/>
        <v>0</v>
      </c>
      <c r="AWW13">
        <f t="shared" si="647"/>
        <v>0</v>
      </c>
      <c r="AWX13">
        <f t="shared" si="648"/>
        <v>0</v>
      </c>
      <c r="AWY13">
        <f t="shared" si="649"/>
        <v>0</v>
      </c>
      <c r="AWZ13">
        <f t="shared" si="650"/>
        <v>12.5</v>
      </c>
      <c r="AXA13">
        <f t="shared" si="651"/>
        <v>12.5</v>
      </c>
      <c r="AXB13">
        <f t="shared" si="652"/>
        <v>12.5</v>
      </c>
      <c r="AXC13">
        <f t="shared" si="653"/>
        <v>33.125</v>
      </c>
      <c r="AXD13">
        <f t="shared" si="654"/>
        <v>23.125</v>
      </c>
      <c r="AXE13">
        <f t="shared" si="655"/>
        <v>23.125</v>
      </c>
      <c r="AXF13">
        <f t="shared" si="656"/>
        <v>23.125</v>
      </c>
      <c r="AXG13">
        <f t="shared" si="657"/>
        <v>15</v>
      </c>
      <c r="AXH13">
        <f t="shared" si="658"/>
        <v>15</v>
      </c>
      <c r="AXI13">
        <f t="shared" si="659"/>
        <v>50</v>
      </c>
      <c r="AXJ13">
        <f t="shared" si="660"/>
        <v>25</v>
      </c>
      <c r="AXK13">
        <f t="shared" si="661"/>
        <v>0</v>
      </c>
      <c r="AXL13">
        <f t="shared" si="662"/>
        <v>0</v>
      </c>
      <c r="AXM13">
        <f t="shared" si="663"/>
        <v>0</v>
      </c>
      <c r="AXN13">
        <f t="shared" si="664"/>
        <v>0</v>
      </c>
      <c r="AXO13">
        <f t="shared" si="665"/>
        <v>0</v>
      </c>
      <c r="AXP13">
        <f t="shared" si="666"/>
        <v>0</v>
      </c>
      <c r="AXQ13">
        <f t="shared" si="667"/>
        <v>0</v>
      </c>
      <c r="AXR13">
        <f t="shared" si="668"/>
        <v>0</v>
      </c>
      <c r="AXS13">
        <f t="shared" si="669"/>
        <v>0</v>
      </c>
      <c r="AXT13">
        <f t="shared" si="670"/>
        <v>0</v>
      </c>
      <c r="AXU13">
        <f t="shared" si="671"/>
        <v>0</v>
      </c>
      <c r="AXV13">
        <f t="shared" si="672"/>
        <v>12.5</v>
      </c>
      <c r="AXW13">
        <f t="shared" si="673"/>
        <v>12.5</v>
      </c>
      <c r="AXX13">
        <f t="shared" si="674"/>
        <v>12.5</v>
      </c>
      <c r="AXY13">
        <f t="shared" si="675"/>
        <v>23.125</v>
      </c>
      <c r="AXZ13">
        <f t="shared" si="676"/>
        <v>33.125</v>
      </c>
      <c r="AYA13">
        <f t="shared" si="677"/>
        <v>23.125</v>
      </c>
      <c r="AYB13">
        <f t="shared" si="678"/>
        <v>33.125</v>
      </c>
      <c r="AYC13">
        <f t="shared" si="679"/>
        <v>35</v>
      </c>
      <c r="AYD13">
        <f t="shared" si="680"/>
        <v>15</v>
      </c>
      <c r="AYE13">
        <f t="shared" si="681"/>
        <v>50</v>
      </c>
      <c r="AYF13">
        <f t="shared" si="682"/>
        <v>25</v>
      </c>
      <c r="AYG13">
        <f t="shared" si="683"/>
        <v>0</v>
      </c>
      <c r="AYH13">
        <f t="shared" si="684"/>
        <v>0</v>
      </c>
      <c r="AYI13">
        <f t="shared" si="685"/>
        <v>0</v>
      </c>
      <c r="AYJ13">
        <f t="shared" si="686"/>
        <v>0</v>
      </c>
      <c r="AYK13">
        <f t="shared" si="687"/>
        <v>0</v>
      </c>
      <c r="AYL13">
        <f t="shared" si="688"/>
        <v>0</v>
      </c>
      <c r="AYM13">
        <f t="shared" si="689"/>
        <v>0</v>
      </c>
      <c r="AYN13">
        <f t="shared" si="690"/>
        <v>0</v>
      </c>
      <c r="AYO13">
        <f t="shared" si="691"/>
        <v>0</v>
      </c>
      <c r="AYP13">
        <f t="shared" si="692"/>
        <v>0</v>
      </c>
      <c r="AYQ13">
        <f t="shared" si="693"/>
        <v>0</v>
      </c>
      <c r="AYR13">
        <f t="shared" si="694"/>
        <v>12.5</v>
      </c>
      <c r="AYS13">
        <f t="shared" si="695"/>
        <v>12.5</v>
      </c>
      <c r="AYT13">
        <f t="shared" si="43"/>
        <v>12.5</v>
      </c>
      <c r="AYU13">
        <f t="shared" si="696"/>
        <v>23.125</v>
      </c>
      <c r="AYV13">
        <f t="shared" si="697"/>
        <v>33.125</v>
      </c>
      <c r="AYW13">
        <f t="shared" si="698"/>
        <v>23.125</v>
      </c>
      <c r="AYX13">
        <f t="shared" si="699"/>
        <v>33.125</v>
      </c>
      <c r="AYY13">
        <f t="shared" si="700"/>
        <v>15</v>
      </c>
      <c r="AYZ13">
        <f t="shared" si="701"/>
        <v>15</v>
      </c>
      <c r="AZA13">
        <f t="shared" si="702"/>
        <v>50</v>
      </c>
      <c r="AZB13">
        <f t="shared" si="703"/>
        <v>25</v>
      </c>
      <c r="AZC13">
        <f t="shared" si="704"/>
        <v>0</v>
      </c>
      <c r="AZD13">
        <f t="shared" si="705"/>
        <v>0</v>
      </c>
      <c r="AZE13">
        <f t="shared" si="706"/>
        <v>0</v>
      </c>
      <c r="AZF13">
        <f t="shared" si="707"/>
        <v>0</v>
      </c>
      <c r="AZG13">
        <f t="shared" si="708"/>
        <v>0</v>
      </c>
      <c r="AZH13">
        <f t="shared" si="709"/>
        <v>0</v>
      </c>
      <c r="AZI13">
        <f t="shared" si="710"/>
        <v>0</v>
      </c>
      <c r="AZJ13">
        <f t="shared" si="711"/>
        <v>0</v>
      </c>
      <c r="AZK13">
        <f t="shared" si="712"/>
        <v>0</v>
      </c>
      <c r="AZL13">
        <f t="shared" si="713"/>
        <v>0</v>
      </c>
      <c r="AZM13">
        <f t="shared" si="714"/>
        <v>0</v>
      </c>
      <c r="AZN13">
        <f t="shared" si="715"/>
        <v>12.5</v>
      </c>
      <c r="AZO13">
        <f t="shared" si="716"/>
        <v>12.5</v>
      </c>
      <c r="AZP13">
        <f t="shared" si="717"/>
        <v>12.5</v>
      </c>
      <c r="AZQ13">
        <f t="shared" si="718"/>
        <v>23.125</v>
      </c>
      <c r="AZR13">
        <f t="shared" si="719"/>
        <v>23.125</v>
      </c>
      <c r="AZS13">
        <f t="shared" si="720"/>
        <v>23.125</v>
      </c>
      <c r="AZT13">
        <f t="shared" si="721"/>
        <v>23.125</v>
      </c>
      <c r="AZU13">
        <f t="shared" si="722"/>
        <v>35</v>
      </c>
      <c r="AZV13">
        <f t="shared" si="723"/>
        <v>15</v>
      </c>
      <c r="AZW13">
        <f t="shared" si="724"/>
        <v>50</v>
      </c>
      <c r="AZX13">
        <f t="shared" si="725"/>
        <v>25</v>
      </c>
      <c r="AZY13">
        <f t="shared" si="726"/>
        <v>0</v>
      </c>
      <c r="AZZ13">
        <f t="shared" si="727"/>
        <v>0</v>
      </c>
      <c r="BAA13">
        <f t="shared" si="728"/>
        <v>0</v>
      </c>
      <c r="BAB13">
        <f t="shared" si="729"/>
        <v>0</v>
      </c>
      <c r="BAC13">
        <f t="shared" si="730"/>
        <v>0</v>
      </c>
      <c r="BAD13">
        <f t="shared" si="731"/>
        <v>0</v>
      </c>
      <c r="BAE13">
        <f t="shared" si="732"/>
        <v>0</v>
      </c>
      <c r="BAF13">
        <f t="shared" si="733"/>
        <v>0</v>
      </c>
      <c r="BAG13">
        <f t="shared" si="734"/>
        <v>0</v>
      </c>
      <c r="BAH13">
        <f t="shared" si="735"/>
        <v>0</v>
      </c>
      <c r="BAI13">
        <f t="shared" si="736"/>
        <v>0</v>
      </c>
      <c r="BAJ13">
        <f t="shared" si="737"/>
        <v>12.5</v>
      </c>
      <c r="BAK13">
        <f t="shared" si="738"/>
        <v>12.5</v>
      </c>
      <c r="BAL13">
        <f t="shared" si="739"/>
        <v>12.5</v>
      </c>
      <c r="BAM13">
        <f t="shared" si="740"/>
        <v>23.125</v>
      </c>
      <c r="BAN13">
        <f t="shared" si="741"/>
        <v>23.125</v>
      </c>
      <c r="BAO13">
        <f t="shared" si="742"/>
        <v>23.125</v>
      </c>
      <c r="BAP13">
        <f t="shared" si="743"/>
        <v>23.125</v>
      </c>
      <c r="BAQ13">
        <f t="shared" si="744"/>
        <v>15</v>
      </c>
      <c r="BAR13">
        <f t="shared" si="745"/>
        <v>15</v>
      </c>
      <c r="BAS13">
        <f t="shared" si="746"/>
        <v>50</v>
      </c>
      <c r="BAT13">
        <f t="shared" si="747"/>
        <v>25</v>
      </c>
      <c r="BAU13">
        <f t="shared" si="748"/>
        <v>0</v>
      </c>
      <c r="BAV13">
        <f t="shared" si="749"/>
        <v>0</v>
      </c>
      <c r="BAW13">
        <f t="shared" si="750"/>
        <v>0</v>
      </c>
      <c r="BAX13">
        <f t="shared" si="751"/>
        <v>0</v>
      </c>
      <c r="BAY13">
        <f t="shared" si="752"/>
        <v>0</v>
      </c>
      <c r="BAZ13">
        <f t="shared" si="753"/>
        <v>0</v>
      </c>
      <c r="BBA13">
        <f t="shared" si="754"/>
        <v>0</v>
      </c>
      <c r="BBB13">
        <f t="shared" si="755"/>
        <v>0</v>
      </c>
      <c r="BBC13">
        <f t="shared" si="756"/>
        <v>0</v>
      </c>
      <c r="BBD13">
        <f t="shared" si="757"/>
        <v>0</v>
      </c>
      <c r="BBE13">
        <f t="shared" si="758"/>
        <v>0</v>
      </c>
      <c r="BBF13">
        <f t="shared" si="44"/>
        <v>12.5</v>
      </c>
      <c r="BBG13">
        <f t="shared" si="759"/>
        <v>12.5</v>
      </c>
      <c r="BBH13">
        <f t="shared" si="760"/>
        <v>12.5</v>
      </c>
      <c r="BBI13">
        <f t="shared" si="761"/>
        <v>33.125</v>
      </c>
      <c r="BBJ13">
        <f t="shared" si="762"/>
        <v>33.125</v>
      </c>
      <c r="BBK13">
        <f t="shared" si="763"/>
        <v>33.125</v>
      </c>
      <c r="BBL13">
        <f t="shared" si="764"/>
        <v>33.125</v>
      </c>
      <c r="BBM13">
        <f t="shared" si="765"/>
        <v>35</v>
      </c>
      <c r="BBN13">
        <f t="shared" si="766"/>
        <v>35</v>
      </c>
      <c r="BBO13">
        <f t="shared" si="767"/>
        <v>50</v>
      </c>
      <c r="BBP13">
        <f t="shared" si="768"/>
        <v>25</v>
      </c>
      <c r="BBQ13">
        <f t="shared" si="769"/>
        <v>0</v>
      </c>
      <c r="BBR13">
        <f t="shared" si="770"/>
        <v>0</v>
      </c>
      <c r="BBS13">
        <f t="shared" si="771"/>
        <v>0</v>
      </c>
      <c r="BBT13">
        <f t="shared" si="772"/>
        <v>0</v>
      </c>
      <c r="BBU13">
        <f t="shared" si="773"/>
        <v>0</v>
      </c>
      <c r="BBV13">
        <f t="shared" si="774"/>
        <v>0</v>
      </c>
      <c r="BBW13">
        <f t="shared" si="775"/>
        <v>0</v>
      </c>
      <c r="BBX13">
        <f t="shared" si="776"/>
        <v>0</v>
      </c>
      <c r="BBY13">
        <f t="shared" si="777"/>
        <v>0</v>
      </c>
      <c r="BBZ13">
        <f t="shared" si="778"/>
        <v>0</v>
      </c>
      <c r="BCA13">
        <f t="shared" si="779"/>
        <v>0</v>
      </c>
      <c r="BCB13">
        <f t="shared" si="780"/>
        <v>12.5</v>
      </c>
      <c r="BCC13">
        <f t="shared" si="781"/>
        <v>12.5</v>
      </c>
      <c r="BCD13">
        <f t="shared" si="782"/>
        <v>12.5</v>
      </c>
      <c r="BCE13">
        <f t="shared" si="783"/>
        <v>33.125</v>
      </c>
      <c r="BCF13">
        <f t="shared" si="784"/>
        <v>33.125</v>
      </c>
      <c r="BCG13">
        <f t="shared" si="785"/>
        <v>33.125</v>
      </c>
      <c r="BCH13">
        <f t="shared" si="786"/>
        <v>33.125</v>
      </c>
      <c r="BCI13">
        <f t="shared" si="787"/>
        <v>15</v>
      </c>
      <c r="BCJ13">
        <f t="shared" si="788"/>
        <v>35</v>
      </c>
      <c r="BCK13">
        <f t="shared" si="789"/>
        <v>50</v>
      </c>
      <c r="BCL13">
        <f t="shared" si="790"/>
        <v>25</v>
      </c>
      <c r="BCM13">
        <f t="shared" si="791"/>
        <v>0</v>
      </c>
      <c r="BCN13">
        <f t="shared" si="792"/>
        <v>0</v>
      </c>
      <c r="BCO13">
        <f t="shared" si="793"/>
        <v>0</v>
      </c>
      <c r="BCP13">
        <f t="shared" si="794"/>
        <v>0</v>
      </c>
      <c r="BCQ13">
        <f t="shared" si="795"/>
        <v>0</v>
      </c>
      <c r="BCR13">
        <f t="shared" si="796"/>
        <v>0</v>
      </c>
      <c r="BCS13">
        <f t="shared" si="797"/>
        <v>0</v>
      </c>
      <c r="BCT13">
        <f t="shared" si="798"/>
        <v>0</v>
      </c>
      <c r="BCU13">
        <f t="shared" si="799"/>
        <v>0</v>
      </c>
      <c r="BCV13">
        <f t="shared" si="800"/>
        <v>0</v>
      </c>
      <c r="BCW13">
        <f t="shared" si="801"/>
        <v>0</v>
      </c>
      <c r="BCX13">
        <f t="shared" si="802"/>
        <v>12.5</v>
      </c>
      <c r="BCY13">
        <f t="shared" si="803"/>
        <v>12.5</v>
      </c>
      <c r="BCZ13">
        <f t="shared" si="804"/>
        <v>12.5</v>
      </c>
      <c r="BDA13">
        <f t="shared" si="805"/>
        <v>33.125</v>
      </c>
      <c r="BDB13">
        <f t="shared" si="806"/>
        <v>23.125</v>
      </c>
      <c r="BDC13">
        <f t="shared" si="807"/>
        <v>33.125</v>
      </c>
      <c r="BDD13">
        <f t="shared" si="808"/>
        <v>23.125</v>
      </c>
      <c r="BDE13">
        <f t="shared" si="809"/>
        <v>35</v>
      </c>
      <c r="BDF13">
        <f t="shared" si="810"/>
        <v>35</v>
      </c>
      <c r="BDG13">
        <f t="shared" si="811"/>
        <v>50</v>
      </c>
      <c r="BDH13">
        <f t="shared" si="812"/>
        <v>25</v>
      </c>
      <c r="BDI13">
        <f t="shared" si="813"/>
        <v>0</v>
      </c>
      <c r="BDJ13">
        <f t="shared" si="814"/>
        <v>0</v>
      </c>
      <c r="BDK13">
        <f t="shared" si="815"/>
        <v>0</v>
      </c>
      <c r="BDL13">
        <f t="shared" si="816"/>
        <v>0</v>
      </c>
      <c r="BDM13">
        <f t="shared" si="817"/>
        <v>0</v>
      </c>
      <c r="BDN13">
        <f t="shared" si="818"/>
        <v>0</v>
      </c>
      <c r="BDO13">
        <f t="shared" si="819"/>
        <v>0</v>
      </c>
      <c r="BDP13">
        <f t="shared" si="820"/>
        <v>0</v>
      </c>
      <c r="BDQ13">
        <f t="shared" si="821"/>
        <v>0</v>
      </c>
      <c r="BDR13">
        <f t="shared" si="45"/>
        <v>0</v>
      </c>
      <c r="BDS13">
        <f t="shared" si="822"/>
        <v>0</v>
      </c>
      <c r="BDT13">
        <f t="shared" si="823"/>
        <v>12.5</v>
      </c>
      <c r="BDU13">
        <f t="shared" si="824"/>
        <v>12.5</v>
      </c>
      <c r="BDV13">
        <f t="shared" si="825"/>
        <v>12.5</v>
      </c>
      <c r="BDW13">
        <f t="shared" si="826"/>
        <v>33.125</v>
      </c>
      <c r="BDX13">
        <f t="shared" si="827"/>
        <v>23.125</v>
      </c>
      <c r="BDY13">
        <f t="shared" si="828"/>
        <v>33.125</v>
      </c>
      <c r="BDZ13">
        <f t="shared" si="829"/>
        <v>23.125</v>
      </c>
      <c r="BEA13">
        <f t="shared" si="830"/>
        <v>15</v>
      </c>
      <c r="BEB13">
        <f t="shared" si="831"/>
        <v>35</v>
      </c>
      <c r="BEC13">
        <f t="shared" si="832"/>
        <v>50</v>
      </c>
      <c r="BED13">
        <f t="shared" si="833"/>
        <v>25</v>
      </c>
      <c r="BEE13">
        <f t="shared" si="834"/>
        <v>0</v>
      </c>
      <c r="BEF13">
        <f t="shared" si="835"/>
        <v>0</v>
      </c>
      <c r="BEG13">
        <f t="shared" si="836"/>
        <v>0</v>
      </c>
      <c r="BEH13">
        <f t="shared" si="837"/>
        <v>0</v>
      </c>
      <c r="BEI13">
        <f t="shared" si="838"/>
        <v>0</v>
      </c>
      <c r="BEJ13">
        <f t="shared" si="839"/>
        <v>0</v>
      </c>
      <c r="BEK13">
        <f t="shared" si="840"/>
        <v>0</v>
      </c>
      <c r="BEL13">
        <f t="shared" si="841"/>
        <v>0</v>
      </c>
      <c r="BEM13">
        <f t="shared" si="842"/>
        <v>0</v>
      </c>
      <c r="BEN13">
        <f t="shared" si="843"/>
        <v>0</v>
      </c>
      <c r="BEO13">
        <f t="shared" si="844"/>
        <v>0</v>
      </c>
      <c r="BEP13">
        <f t="shared" si="845"/>
        <v>12.5</v>
      </c>
      <c r="BEQ13">
        <f t="shared" si="846"/>
        <v>12.5</v>
      </c>
      <c r="BER13">
        <f t="shared" si="847"/>
        <v>12.5</v>
      </c>
      <c r="BES13">
        <f t="shared" si="848"/>
        <v>23.125</v>
      </c>
      <c r="BET13">
        <f t="shared" si="849"/>
        <v>33.125</v>
      </c>
      <c r="BEU13">
        <f t="shared" si="850"/>
        <v>33.125</v>
      </c>
      <c r="BEV13">
        <f t="shared" si="851"/>
        <v>33.125</v>
      </c>
      <c r="BEW13">
        <f t="shared" si="852"/>
        <v>35</v>
      </c>
      <c r="BEX13">
        <f t="shared" si="853"/>
        <v>35</v>
      </c>
      <c r="BEY13">
        <f t="shared" si="854"/>
        <v>50</v>
      </c>
      <c r="BEZ13">
        <f t="shared" si="855"/>
        <v>25</v>
      </c>
      <c r="BFA13">
        <f t="shared" si="856"/>
        <v>0</v>
      </c>
      <c r="BFB13">
        <f t="shared" si="857"/>
        <v>0</v>
      </c>
      <c r="BFC13">
        <f t="shared" si="858"/>
        <v>0</v>
      </c>
      <c r="BFD13">
        <f t="shared" si="859"/>
        <v>0</v>
      </c>
      <c r="BFE13">
        <f t="shared" si="860"/>
        <v>0</v>
      </c>
      <c r="BFF13">
        <f t="shared" si="861"/>
        <v>0</v>
      </c>
      <c r="BFG13">
        <f t="shared" si="862"/>
        <v>0</v>
      </c>
      <c r="BFH13">
        <f t="shared" si="863"/>
        <v>0</v>
      </c>
      <c r="BFI13">
        <f t="shared" si="864"/>
        <v>0</v>
      </c>
      <c r="BFJ13">
        <f t="shared" si="865"/>
        <v>0</v>
      </c>
      <c r="BFK13">
        <f t="shared" si="866"/>
        <v>0</v>
      </c>
      <c r="BFL13">
        <f t="shared" si="867"/>
        <v>12.5</v>
      </c>
      <c r="BFM13">
        <f t="shared" si="868"/>
        <v>12.5</v>
      </c>
      <c r="BFN13">
        <f t="shared" si="869"/>
        <v>12.5</v>
      </c>
      <c r="BFO13">
        <f t="shared" si="870"/>
        <v>23.125</v>
      </c>
      <c r="BFP13">
        <f t="shared" si="871"/>
        <v>33.125</v>
      </c>
      <c r="BFQ13">
        <f t="shared" si="872"/>
        <v>33.125</v>
      </c>
      <c r="BFR13">
        <f t="shared" si="873"/>
        <v>33.125</v>
      </c>
      <c r="BFS13">
        <f t="shared" si="874"/>
        <v>15</v>
      </c>
      <c r="BFT13">
        <f t="shared" si="875"/>
        <v>35</v>
      </c>
      <c r="BFU13">
        <f t="shared" si="876"/>
        <v>50</v>
      </c>
      <c r="BFV13">
        <f t="shared" si="877"/>
        <v>25</v>
      </c>
      <c r="BFW13">
        <f t="shared" si="878"/>
        <v>0</v>
      </c>
      <c r="BFX13">
        <f t="shared" si="879"/>
        <v>0</v>
      </c>
      <c r="BFY13">
        <f t="shared" si="880"/>
        <v>0</v>
      </c>
      <c r="BFZ13">
        <f t="shared" si="881"/>
        <v>0</v>
      </c>
      <c r="BGA13">
        <f t="shared" si="882"/>
        <v>0</v>
      </c>
      <c r="BGB13">
        <f t="shared" si="883"/>
        <v>0</v>
      </c>
      <c r="BGC13">
        <f t="shared" si="884"/>
        <v>0</v>
      </c>
      <c r="BGD13">
        <f t="shared" si="46"/>
        <v>0</v>
      </c>
      <c r="BGE13">
        <f t="shared" si="885"/>
        <v>0</v>
      </c>
      <c r="BGF13">
        <f t="shared" si="886"/>
        <v>0</v>
      </c>
      <c r="BGG13">
        <f t="shared" si="887"/>
        <v>0</v>
      </c>
      <c r="BGH13">
        <f t="shared" si="888"/>
        <v>12.5</v>
      </c>
      <c r="BGI13">
        <f t="shared" si="889"/>
        <v>12.5</v>
      </c>
      <c r="BGJ13">
        <f t="shared" si="890"/>
        <v>12.5</v>
      </c>
      <c r="BGK13">
        <f t="shared" si="891"/>
        <v>23.125</v>
      </c>
      <c r="BGL13">
        <f t="shared" si="892"/>
        <v>23.125</v>
      </c>
      <c r="BGM13">
        <f t="shared" si="893"/>
        <v>33.125</v>
      </c>
      <c r="BGN13">
        <f t="shared" si="894"/>
        <v>23.125</v>
      </c>
      <c r="BGO13">
        <f t="shared" si="895"/>
        <v>35</v>
      </c>
      <c r="BGP13">
        <f t="shared" si="896"/>
        <v>35</v>
      </c>
      <c r="BGQ13">
        <f t="shared" si="897"/>
        <v>50</v>
      </c>
      <c r="BGR13">
        <f t="shared" si="898"/>
        <v>25</v>
      </c>
      <c r="BGS13">
        <f t="shared" si="899"/>
        <v>0</v>
      </c>
      <c r="BGT13">
        <f t="shared" si="900"/>
        <v>0</v>
      </c>
      <c r="BGU13">
        <f t="shared" si="901"/>
        <v>0</v>
      </c>
      <c r="BGV13">
        <f t="shared" si="902"/>
        <v>0</v>
      </c>
      <c r="BGW13">
        <f t="shared" si="903"/>
        <v>0</v>
      </c>
      <c r="BGX13">
        <f t="shared" si="904"/>
        <v>0</v>
      </c>
      <c r="BGY13">
        <f t="shared" si="905"/>
        <v>0</v>
      </c>
      <c r="BGZ13">
        <f t="shared" si="906"/>
        <v>0</v>
      </c>
      <c r="BHA13">
        <f t="shared" si="907"/>
        <v>0</v>
      </c>
      <c r="BHB13">
        <f t="shared" si="908"/>
        <v>0</v>
      </c>
      <c r="BHC13">
        <f t="shared" si="909"/>
        <v>0</v>
      </c>
      <c r="BHD13">
        <f t="shared" si="910"/>
        <v>12.5</v>
      </c>
      <c r="BHE13">
        <f t="shared" si="911"/>
        <v>12.5</v>
      </c>
      <c r="BHF13">
        <f t="shared" si="912"/>
        <v>12.5</v>
      </c>
      <c r="BHG13">
        <f t="shared" si="913"/>
        <v>23.125</v>
      </c>
      <c r="BHH13">
        <f t="shared" si="914"/>
        <v>23.125</v>
      </c>
      <c r="BHI13">
        <f t="shared" si="915"/>
        <v>33.125</v>
      </c>
      <c r="BHJ13">
        <f t="shared" si="916"/>
        <v>23.125</v>
      </c>
      <c r="BHK13">
        <f t="shared" si="917"/>
        <v>15</v>
      </c>
      <c r="BHL13">
        <f t="shared" si="918"/>
        <v>35</v>
      </c>
      <c r="BHM13">
        <f t="shared" si="919"/>
        <v>50</v>
      </c>
      <c r="BHN13">
        <f t="shared" si="920"/>
        <v>25</v>
      </c>
      <c r="BHO13">
        <f t="shared" si="921"/>
        <v>0</v>
      </c>
      <c r="BHP13">
        <f t="shared" si="922"/>
        <v>0</v>
      </c>
      <c r="BHQ13">
        <f t="shared" si="923"/>
        <v>0</v>
      </c>
      <c r="BHR13">
        <f t="shared" si="924"/>
        <v>0</v>
      </c>
      <c r="BHS13">
        <f t="shared" si="925"/>
        <v>0</v>
      </c>
      <c r="BHT13">
        <f t="shared" si="926"/>
        <v>0</v>
      </c>
      <c r="BHU13">
        <f t="shared" si="927"/>
        <v>0</v>
      </c>
      <c r="BHV13">
        <f t="shared" si="928"/>
        <v>0</v>
      </c>
      <c r="BHW13">
        <f t="shared" si="929"/>
        <v>0</v>
      </c>
      <c r="BHX13">
        <f t="shared" si="930"/>
        <v>0</v>
      </c>
      <c r="BHY13">
        <f t="shared" si="931"/>
        <v>0</v>
      </c>
      <c r="BHZ13">
        <f t="shared" si="932"/>
        <v>12.5</v>
      </c>
      <c r="BIA13">
        <f t="shared" si="933"/>
        <v>12.5</v>
      </c>
      <c r="BIB13">
        <f t="shared" si="934"/>
        <v>12.5</v>
      </c>
      <c r="BIC13">
        <f t="shared" si="935"/>
        <v>33.125</v>
      </c>
      <c r="BID13">
        <f t="shared" si="936"/>
        <v>33.125</v>
      </c>
      <c r="BIE13">
        <f t="shared" si="937"/>
        <v>23.125</v>
      </c>
      <c r="BIF13">
        <f t="shared" si="938"/>
        <v>33.125</v>
      </c>
      <c r="BIG13">
        <f t="shared" si="939"/>
        <v>35</v>
      </c>
      <c r="BIH13">
        <f t="shared" si="940"/>
        <v>35</v>
      </c>
      <c r="BII13">
        <f t="shared" si="941"/>
        <v>50</v>
      </c>
      <c r="BIJ13">
        <f t="shared" si="942"/>
        <v>25</v>
      </c>
      <c r="BIK13">
        <f t="shared" si="943"/>
        <v>0</v>
      </c>
      <c r="BIL13">
        <f t="shared" si="944"/>
        <v>0</v>
      </c>
      <c r="BIM13">
        <f t="shared" si="945"/>
        <v>0</v>
      </c>
      <c r="BIN13">
        <f t="shared" si="946"/>
        <v>0</v>
      </c>
      <c r="BIO13">
        <f t="shared" si="947"/>
        <v>0</v>
      </c>
      <c r="BIP13">
        <f t="shared" si="47"/>
        <v>0</v>
      </c>
      <c r="BIQ13">
        <f t="shared" si="948"/>
        <v>0</v>
      </c>
      <c r="BIR13">
        <f t="shared" si="949"/>
        <v>0</v>
      </c>
      <c r="BIS13">
        <f t="shared" si="950"/>
        <v>0</v>
      </c>
      <c r="BIT13">
        <f t="shared" si="951"/>
        <v>0</v>
      </c>
      <c r="BIU13">
        <f t="shared" si="952"/>
        <v>0</v>
      </c>
      <c r="BIV13">
        <f t="shared" si="953"/>
        <v>12.5</v>
      </c>
      <c r="BIW13">
        <f t="shared" si="954"/>
        <v>12.5</v>
      </c>
      <c r="BIX13">
        <f t="shared" si="955"/>
        <v>12.5</v>
      </c>
      <c r="BIY13">
        <f t="shared" si="956"/>
        <v>33.125</v>
      </c>
      <c r="BIZ13">
        <f t="shared" si="957"/>
        <v>33.125</v>
      </c>
      <c r="BJA13">
        <f t="shared" si="958"/>
        <v>23.125</v>
      </c>
      <c r="BJB13">
        <f t="shared" si="959"/>
        <v>33.125</v>
      </c>
      <c r="BJC13">
        <f t="shared" si="960"/>
        <v>15</v>
      </c>
      <c r="BJD13">
        <f t="shared" si="961"/>
        <v>35</v>
      </c>
      <c r="BJE13">
        <f t="shared" si="962"/>
        <v>50</v>
      </c>
      <c r="BJF13">
        <f t="shared" si="963"/>
        <v>25</v>
      </c>
      <c r="BJG13">
        <f t="shared" si="964"/>
        <v>0</v>
      </c>
      <c r="BJH13">
        <f t="shared" si="965"/>
        <v>0</v>
      </c>
      <c r="BJI13">
        <f t="shared" si="966"/>
        <v>0</v>
      </c>
      <c r="BJJ13">
        <f t="shared" si="967"/>
        <v>0</v>
      </c>
      <c r="BJK13">
        <f t="shared" si="968"/>
        <v>0</v>
      </c>
      <c r="BJL13">
        <f t="shared" si="969"/>
        <v>0</v>
      </c>
      <c r="BJM13">
        <f t="shared" si="970"/>
        <v>0</v>
      </c>
      <c r="BJN13">
        <f t="shared" si="971"/>
        <v>0</v>
      </c>
      <c r="BJO13">
        <f t="shared" si="972"/>
        <v>0</v>
      </c>
      <c r="BJP13">
        <f t="shared" si="973"/>
        <v>0</v>
      </c>
      <c r="BJQ13">
        <f t="shared" si="974"/>
        <v>0</v>
      </c>
      <c r="BJR13">
        <f t="shared" si="975"/>
        <v>12.5</v>
      </c>
      <c r="BJS13">
        <f t="shared" si="976"/>
        <v>12.5</v>
      </c>
      <c r="BJT13">
        <f t="shared" si="977"/>
        <v>12.5</v>
      </c>
      <c r="BJU13">
        <f t="shared" si="978"/>
        <v>33.125</v>
      </c>
      <c r="BJV13">
        <f t="shared" si="979"/>
        <v>23.125</v>
      </c>
      <c r="BJW13">
        <f t="shared" si="980"/>
        <v>23.125</v>
      </c>
      <c r="BJX13">
        <f t="shared" si="981"/>
        <v>23.125</v>
      </c>
      <c r="BJY13">
        <f t="shared" si="982"/>
        <v>35</v>
      </c>
      <c r="BJZ13">
        <f t="shared" si="983"/>
        <v>35</v>
      </c>
      <c r="BKA13">
        <f t="shared" si="984"/>
        <v>50</v>
      </c>
      <c r="BKB13">
        <f t="shared" si="985"/>
        <v>25</v>
      </c>
      <c r="BKC13">
        <f t="shared" si="986"/>
        <v>0</v>
      </c>
      <c r="BKD13">
        <f t="shared" si="987"/>
        <v>0</v>
      </c>
      <c r="BKE13">
        <f t="shared" si="988"/>
        <v>0</v>
      </c>
      <c r="BKF13">
        <f t="shared" si="989"/>
        <v>0</v>
      </c>
      <c r="BKG13">
        <f t="shared" si="990"/>
        <v>0</v>
      </c>
      <c r="BKH13">
        <f t="shared" si="991"/>
        <v>0</v>
      </c>
      <c r="BKI13">
        <f t="shared" si="992"/>
        <v>0</v>
      </c>
      <c r="BKJ13">
        <f t="shared" si="993"/>
        <v>0</v>
      </c>
      <c r="BKK13">
        <f t="shared" si="994"/>
        <v>0</v>
      </c>
      <c r="BKL13">
        <f t="shared" si="995"/>
        <v>0</v>
      </c>
      <c r="BKM13">
        <f t="shared" si="996"/>
        <v>0</v>
      </c>
      <c r="BKN13">
        <f t="shared" si="997"/>
        <v>12.5</v>
      </c>
      <c r="BKO13">
        <f t="shared" si="998"/>
        <v>12.5</v>
      </c>
      <c r="BKP13">
        <f t="shared" si="999"/>
        <v>12.5</v>
      </c>
      <c r="BKQ13">
        <f t="shared" si="1000"/>
        <v>33.125</v>
      </c>
      <c r="BKR13">
        <f t="shared" si="1001"/>
        <v>23.125</v>
      </c>
      <c r="BKS13">
        <f t="shared" si="1002"/>
        <v>23.125</v>
      </c>
      <c r="BKT13">
        <f t="shared" si="1003"/>
        <v>23.125</v>
      </c>
      <c r="BKU13">
        <f t="shared" si="1004"/>
        <v>15</v>
      </c>
      <c r="BKV13">
        <f t="shared" si="1005"/>
        <v>35</v>
      </c>
      <c r="BKW13">
        <f t="shared" si="1006"/>
        <v>50</v>
      </c>
      <c r="BKX13">
        <f t="shared" si="1007"/>
        <v>25</v>
      </c>
      <c r="BKY13">
        <f t="shared" si="1008"/>
        <v>0</v>
      </c>
      <c r="BKZ13">
        <f t="shared" si="1009"/>
        <v>0</v>
      </c>
      <c r="BLA13">
        <f t="shared" si="1010"/>
        <v>0</v>
      </c>
      <c r="BLB13">
        <f t="shared" si="48"/>
        <v>0</v>
      </c>
      <c r="BLC13">
        <f t="shared" si="1011"/>
        <v>0</v>
      </c>
      <c r="BLD13">
        <f t="shared" si="1012"/>
        <v>0</v>
      </c>
      <c r="BLE13">
        <f t="shared" si="1013"/>
        <v>0</v>
      </c>
      <c r="BLF13">
        <f t="shared" si="1014"/>
        <v>0</v>
      </c>
      <c r="BLG13">
        <f t="shared" si="1015"/>
        <v>0</v>
      </c>
      <c r="BLH13">
        <f t="shared" si="1016"/>
        <v>0</v>
      </c>
      <c r="BLI13">
        <f t="shared" si="1017"/>
        <v>0</v>
      </c>
      <c r="BLJ13">
        <f t="shared" si="1018"/>
        <v>12.5</v>
      </c>
      <c r="BLK13">
        <f t="shared" si="1019"/>
        <v>12.5</v>
      </c>
      <c r="BLL13">
        <f t="shared" si="1020"/>
        <v>12.5</v>
      </c>
      <c r="BLM13">
        <f t="shared" si="1021"/>
        <v>23.125</v>
      </c>
      <c r="BLN13">
        <f t="shared" si="1022"/>
        <v>33.125</v>
      </c>
      <c r="BLO13">
        <f t="shared" si="1023"/>
        <v>23.125</v>
      </c>
      <c r="BLP13">
        <f t="shared" si="1024"/>
        <v>33.125</v>
      </c>
      <c r="BLQ13">
        <f t="shared" si="1025"/>
        <v>35</v>
      </c>
      <c r="BLR13">
        <f t="shared" si="1026"/>
        <v>35</v>
      </c>
      <c r="BLS13">
        <f t="shared" si="1027"/>
        <v>50</v>
      </c>
      <c r="BLT13">
        <f t="shared" si="1028"/>
        <v>25</v>
      </c>
      <c r="BLU13">
        <f t="shared" si="1029"/>
        <v>0</v>
      </c>
      <c r="BLV13">
        <f t="shared" si="1030"/>
        <v>0</v>
      </c>
      <c r="BLW13">
        <f t="shared" si="1031"/>
        <v>0</v>
      </c>
      <c r="BLX13">
        <f t="shared" si="1032"/>
        <v>0</v>
      </c>
      <c r="BLY13">
        <f t="shared" si="1033"/>
        <v>0</v>
      </c>
      <c r="BLZ13">
        <f t="shared" si="1034"/>
        <v>0</v>
      </c>
      <c r="BMA13">
        <f t="shared" si="1035"/>
        <v>0</v>
      </c>
      <c r="BMB13">
        <f t="shared" si="1036"/>
        <v>0</v>
      </c>
      <c r="BMC13">
        <f t="shared" si="1037"/>
        <v>0</v>
      </c>
      <c r="BMD13">
        <f t="shared" si="1038"/>
        <v>0</v>
      </c>
      <c r="BME13">
        <f t="shared" si="1039"/>
        <v>0</v>
      </c>
      <c r="BMF13">
        <f t="shared" si="1040"/>
        <v>12.5</v>
      </c>
      <c r="BMG13">
        <f t="shared" si="1041"/>
        <v>12.5</v>
      </c>
      <c r="BMH13">
        <f t="shared" si="1042"/>
        <v>12.5</v>
      </c>
      <c r="BMI13">
        <f t="shared" si="1043"/>
        <v>23.125</v>
      </c>
      <c r="BMJ13">
        <f t="shared" si="1044"/>
        <v>33.125</v>
      </c>
      <c r="BMK13">
        <f t="shared" si="1045"/>
        <v>23.125</v>
      </c>
      <c r="BML13">
        <f t="shared" si="1046"/>
        <v>33.125</v>
      </c>
      <c r="BMM13">
        <f t="shared" si="1047"/>
        <v>15</v>
      </c>
      <c r="BMN13">
        <f t="shared" si="1048"/>
        <v>35</v>
      </c>
      <c r="BMO13">
        <f t="shared" si="1049"/>
        <v>50</v>
      </c>
      <c r="BMP13">
        <f t="shared" si="1050"/>
        <v>25</v>
      </c>
      <c r="BMQ13">
        <f t="shared" si="1051"/>
        <v>0</v>
      </c>
      <c r="BMR13">
        <f t="shared" si="1052"/>
        <v>0</v>
      </c>
      <c r="BMS13">
        <f t="shared" si="1053"/>
        <v>0</v>
      </c>
      <c r="BMT13">
        <f t="shared" si="1054"/>
        <v>0</v>
      </c>
      <c r="BMU13">
        <f t="shared" si="1055"/>
        <v>0</v>
      </c>
      <c r="BMV13">
        <f t="shared" si="1056"/>
        <v>0</v>
      </c>
      <c r="BMW13">
        <f t="shared" si="1057"/>
        <v>0</v>
      </c>
      <c r="BMX13">
        <f t="shared" si="1058"/>
        <v>0</v>
      </c>
      <c r="BMY13">
        <f t="shared" si="1059"/>
        <v>0</v>
      </c>
      <c r="BMZ13">
        <f t="shared" si="1060"/>
        <v>0</v>
      </c>
      <c r="BNA13">
        <f t="shared" si="1061"/>
        <v>0</v>
      </c>
      <c r="BNB13">
        <f t="shared" si="1062"/>
        <v>12.5</v>
      </c>
      <c r="BNC13">
        <f t="shared" si="1063"/>
        <v>12.5</v>
      </c>
      <c r="BND13">
        <f t="shared" si="1064"/>
        <v>12.5</v>
      </c>
      <c r="BNE13">
        <f t="shared" si="1065"/>
        <v>23.125</v>
      </c>
      <c r="BNF13">
        <f t="shared" si="1066"/>
        <v>23.125</v>
      </c>
      <c r="BNG13">
        <f t="shared" si="1067"/>
        <v>23.125</v>
      </c>
      <c r="BNH13">
        <f t="shared" si="1068"/>
        <v>23.125</v>
      </c>
      <c r="BNI13">
        <f t="shared" si="1069"/>
        <v>35</v>
      </c>
      <c r="BNJ13">
        <f t="shared" si="1070"/>
        <v>35</v>
      </c>
      <c r="BNK13">
        <f t="shared" si="1071"/>
        <v>50</v>
      </c>
      <c r="BNL13">
        <f t="shared" si="1072"/>
        <v>25</v>
      </c>
      <c r="BNM13">
        <f t="shared" si="1073"/>
        <v>0</v>
      </c>
      <c r="BNN13">
        <f t="shared" si="49"/>
        <v>0</v>
      </c>
      <c r="BNO13">
        <f t="shared" si="1074"/>
        <v>0</v>
      </c>
      <c r="BNP13">
        <f t="shared" si="1075"/>
        <v>0</v>
      </c>
      <c r="BNQ13">
        <f t="shared" si="1076"/>
        <v>0</v>
      </c>
      <c r="BNR13">
        <f t="shared" si="1077"/>
        <v>0</v>
      </c>
      <c r="BNS13">
        <f t="shared" si="1078"/>
        <v>0</v>
      </c>
      <c r="BNT13">
        <f t="shared" si="1079"/>
        <v>0</v>
      </c>
      <c r="BNU13">
        <f t="shared" si="1080"/>
        <v>0</v>
      </c>
      <c r="BNV13">
        <f t="shared" si="1081"/>
        <v>0</v>
      </c>
      <c r="BNW13">
        <f t="shared" si="1082"/>
        <v>0</v>
      </c>
      <c r="BNX13">
        <f t="shared" si="1083"/>
        <v>12.5</v>
      </c>
      <c r="BNY13">
        <f t="shared" si="1084"/>
        <v>12.5</v>
      </c>
      <c r="BNZ13">
        <f t="shared" si="1085"/>
        <v>12.5</v>
      </c>
      <c r="BOA13">
        <f t="shared" si="1086"/>
        <v>23.125</v>
      </c>
      <c r="BOB13">
        <f t="shared" si="1087"/>
        <v>23.125</v>
      </c>
      <c r="BOC13">
        <f t="shared" si="1088"/>
        <v>23.125</v>
      </c>
      <c r="BOD13">
        <f t="shared" si="1089"/>
        <v>23.125</v>
      </c>
      <c r="BOE13">
        <f t="shared" si="1090"/>
        <v>15</v>
      </c>
      <c r="BOF13">
        <f t="shared" si="1091"/>
        <v>35</v>
      </c>
      <c r="BOG13">
        <f t="shared" si="1092"/>
        <v>50</v>
      </c>
      <c r="BOH13">
        <f t="shared" si="1093"/>
        <v>25</v>
      </c>
      <c r="BOI13">
        <f t="shared" si="1094"/>
        <v>0</v>
      </c>
      <c r="BOJ13">
        <f t="shared" si="1095"/>
        <v>0</v>
      </c>
      <c r="BOK13">
        <f t="shared" si="1096"/>
        <v>0</v>
      </c>
      <c r="BOL13">
        <f t="shared" si="1097"/>
        <v>0</v>
      </c>
      <c r="BOM13">
        <f t="shared" si="1098"/>
        <v>0</v>
      </c>
      <c r="BON13">
        <f t="shared" si="1099"/>
        <v>0</v>
      </c>
      <c r="BOO13">
        <f t="shared" si="1100"/>
        <v>0</v>
      </c>
      <c r="BOP13">
        <f t="shared" si="1101"/>
        <v>0</v>
      </c>
      <c r="BOQ13">
        <f t="shared" si="1102"/>
        <v>0</v>
      </c>
      <c r="BOR13">
        <f t="shared" si="1103"/>
        <v>0</v>
      </c>
      <c r="BOS13">
        <f t="shared" si="1104"/>
        <v>0</v>
      </c>
      <c r="BOT13">
        <f t="shared" si="1105"/>
        <v>12.5</v>
      </c>
      <c r="BOU13">
        <f t="shared" si="1106"/>
        <v>12.5</v>
      </c>
      <c r="BOV13">
        <f t="shared" si="1107"/>
        <v>12.5</v>
      </c>
      <c r="BOW13">
        <f t="shared" si="1108"/>
        <v>33.125</v>
      </c>
      <c r="BOX13">
        <f t="shared" si="1109"/>
        <v>33.125</v>
      </c>
      <c r="BOY13">
        <f t="shared" si="1110"/>
        <v>33.125</v>
      </c>
      <c r="BOZ13">
        <f t="shared" si="1111"/>
        <v>33.125</v>
      </c>
      <c r="BPA13">
        <f t="shared" si="1112"/>
        <v>35</v>
      </c>
      <c r="BPB13">
        <f t="shared" si="1113"/>
        <v>15</v>
      </c>
      <c r="BPC13">
        <f t="shared" si="1114"/>
        <v>50</v>
      </c>
      <c r="BPD13">
        <f t="shared" si="1115"/>
        <v>25</v>
      </c>
      <c r="BPE13">
        <f t="shared" si="1116"/>
        <v>0</v>
      </c>
      <c r="BPF13">
        <f t="shared" si="1117"/>
        <v>0</v>
      </c>
      <c r="BPG13">
        <f t="shared" si="1118"/>
        <v>0</v>
      </c>
      <c r="BPH13">
        <f t="shared" si="1119"/>
        <v>0</v>
      </c>
      <c r="BPI13">
        <f t="shared" si="1120"/>
        <v>0</v>
      </c>
      <c r="BPJ13">
        <f t="shared" si="1121"/>
        <v>0</v>
      </c>
      <c r="BPK13">
        <f t="shared" si="1122"/>
        <v>0</v>
      </c>
      <c r="BPL13">
        <f t="shared" si="1123"/>
        <v>0</v>
      </c>
      <c r="BPM13">
        <f t="shared" si="1124"/>
        <v>0</v>
      </c>
      <c r="BPN13">
        <f t="shared" si="1125"/>
        <v>0</v>
      </c>
      <c r="BPO13">
        <f t="shared" si="1126"/>
        <v>0</v>
      </c>
      <c r="BPP13">
        <f t="shared" si="1127"/>
        <v>12.5</v>
      </c>
      <c r="BPQ13">
        <f t="shared" si="1128"/>
        <v>12.5</v>
      </c>
      <c r="BPR13">
        <f t="shared" si="1129"/>
        <v>12.5</v>
      </c>
      <c r="BPS13">
        <f t="shared" si="1130"/>
        <v>33.125</v>
      </c>
      <c r="BPT13">
        <f t="shared" si="1131"/>
        <v>33.125</v>
      </c>
      <c r="BPU13">
        <f t="shared" si="1132"/>
        <v>33.125</v>
      </c>
      <c r="BPV13">
        <f t="shared" si="1133"/>
        <v>33.125</v>
      </c>
      <c r="BPW13">
        <f t="shared" si="1134"/>
        <v>15</v>
      </c>
      <c r="BPX13">
        <f t="shared" si="1135"/>
        <v>15</v>
      </c>
      <c r="BPY13">
        <f t="shared" si="1136"/>
        <v>50</v>
      </c>
      <c r="BPZ13">
        <f t="shared" si="50"/>
        <v>25</v>
      </c>
      <c r="BQA13">
        <f t="shared" si="1137"/>
        <v>0</v>
      </c>
      <c r="BQB13">
        <f t="shared" si="1138"/>
        <v>0</v>
      </c>
      <c r="BQC13">
        <f t="shared" si="1139"/>
        <v>0</v>
      </c>
      <c r="BQD13">
        <f t="shared" si="1140"/>
        <v>0</v>
      </c>
      <c r="BQE13">
        <f t="shared" si="1141"/>
        <v>0</v>
      </c>
      <c r="BQF13">
        <f t="shared" si="1142"/>
        <v>0</v>
      </c>
      <c r="BQG13">
        <f t="shared" si="1143"/>
        <v>0</v>
      </c>
      <c r="BQH13">
        <f t="shared" si="1144"/>
        <v>0</v>
      </c>
      <c r="BQI13">
        <f t="shared" si="1145"/>
        <v>0</v>
      </c>
      <c r="BQJ13">
        <f t="shared" si="1146"/>
        <v>0</v>
      </c>
      <c r="BQK13">
        <f t="shared" si="1147"/>
        <v>0</v>
      </c>
      <c r="BQL13">
        <f t="shared" si="1148"/>
        <v>12.5</v>
      </c>
      <c r="BQM13">
        <f t="shared" si="1149"/>
        <v>12.5</v>
      </c>
      <c r="BQN13">
        <f t="shared" si="1150"/>
        <v>12.5</v>
      </c>
      <c r="BQO13">
        <f t="shared" si="1151"/>
        <v>33.125</v>
      </c>
      <c r="BQP13">
        <f t="shared" si="1152"/>
        <v>23.125</v>
      </c>
      <c r="BQQ13">
        <f t="shared" si="1153"/>
        <v>33.125</v>
      </c>
      <c r="BQR13">
        <f t="shared" si="1154"/>
        <v>23.125</v>
      </c>
      <c r="BQS13">
        <f t="shared" si="1155"/>
        <v>35</v>
      </c>
      <c r="BQT13">
        <f t="shared" si="1156"/>
        <v>15</v>
      </c>
      <c r="BQU13">
        <f t="shared" si="1157"/>
        <v>50</v>
      </c>
      <c r="BQV13">
        <f t="shared" si="1158"/>
        <v>25</v>
      </c>
      <c r="BQW13">
        <f t="shared" si="1159"/>
        <v>0</v>
      </c>
      <c r="BQX13">
        <f t="shared" si="1160"/>
        <v>0</v>
      </c>
      <c r="BQY13">
        <f t="shared" si="1161"/>
        <v>0</v>
      </c>
      <c r="BQZ13">
        <f t="shared" si="1162"/>
        <v>0</v>
      </c>
      <c r="BRA13">
        <f t="shared" si="1163"/>
        <v>0</v>
      </c>
      <c r="BRB13">
        <f t="shared" si="1164"/>
        <v>0</v>
      </c>
      <c r="BRC13">
        <f t="shared" si="1165"/>
        <v>0</v>
      </c>
      <c r="BRD13">
        <f t="shared" si="1166"/>
        <v>0</v>
      </c>
      <c r="BRE13">
        <f t="shared" si="1167"/>
        <v>0</v>
      </c>
      <c r="BRF13">
        <f t="shared" si="1168"/>
        <v>0</v>
      </c>
      <c r="BRG13">
        <f t="shared" si="1169"/>
        <v>0</v>
      </c>
      <c r="BRH13">
        <f t="shared" si="1170"/>
        <v>12.5</v>
      </c>
      <c r="BRI13">
        <f t="shared" si="1171"/>
        <v>12.5</v>
      </c>
      <c r="BRJ13">
        <f t="shared" si="1172"/>
        <v>12.5</v>
      </c>
      <c r="BRK13">
        <f t="shared" si="1173"/>
        <v>33.125</v>
      </c>
      <c r="BRL13">
        <f t="shared" si="1174"/>
        <v>23.125</v>
      </c>
      <c r="BRM13">
        <f t="shared" si="1175"/>
        <v>33.125</v>
      </c>
      <c r="BRN13">
        <f t="shared" si="1176"/>
        <v>23.125</v>
      </c>
      <c r="BRO13">
        <f t="shared" si="1177"/>
        <v>15</v>
      </c>
      <c r="BRP13">
        <f t="shared" si="1178"/>
        <v>15</v>
      </c>
      <c r="BRQ13">
        <f t="shared" si="1179"/>
        <v>50</v>
      </c>
      <c r="BRR13">
        <f t="shared" si="1180"/>
        <v>25</v>
      </c>
      <c r="BRS13">
        <f t="shared" si="1181"/>
        <v>0</v>
      </c>
      <c r="BRT13">
        <f t="shared" si="1182"/>
        <v>0</v>
      </c>
      <c r="BRU13">
        <f t="shared" si="1183"/>
        <v>0</v>
      </c>
      <c r="BRV13">
        <f t="shared" si="1184"/>
        <v>0</v>
      </c>
      <c r="BRW13">
        <f t="shared" si="1185"/>
        <v>0</v>
      </c>
      <c r="BRX13">
        <f t="shared" si="1186"/>
        <v>0</v>
      </c>
      <c r="BRY13">
        <f t="shared" si="1187"/>
        <v>0</v>
      </c>
      <c r="BRZ13">
        <f t="shared" si="1188"/>
        <v>0</v>
      </c>
      <c r="BSA13">
        <f t="shared" si="1189"/>
        <v>0</v>
      </c>
      <c r="BSB13">
        <f t="shared" si="1190"/>
        <v>0</v>
      </c>
      <c r="BSC13">
        <f t="shared" si="1191"/>
        <v>0</v>
      </c>
      <c r="BSD13">
        <f t="shared" si="1192"/>
        <v>12.5</v>
      </c>
      <c r="BSE13">
        <f t="shared" si="1193"/>
        <v>12.5</v>
      </c>
      <c r="BSF13">
        <f t="shared" si="1194"/>
        <v>12.5</v>
      </c>
      <c r="BSG13">
        <f t="shared" si="1195"/>
        <v>23.125</v>
      </c>
      <c r="BSH13">
        <f t="shared" si="1196"/>
        <v>33.125</v>
      </c>
      <c r="BSI13">
        <f t="shared" si="1197"/>
        <v>33.125</v>
      </c>
      <c r="BSJ13">
        <f t="shared" si="1198"/>
        <v>33.125</v>
      </c>
      <c r="BSK13">
        <f t="shared" si="1199"/>
        <v>35</v>
      </c>
      <c r="BSL13">
        <f t="shared" si="51"/>
        <v>15</v>
      </c>
      <c r="BSM13">
        <f t="shared" si="1200"/>
        <v>50</v>
      </c>
      <c r="BSN13">
        <f t="shared" si="1201"/>
        <v>25</v>
      </c>
      <c r="BSO13">
        <f t="shared" si="1202"/>
        <v>0</v>
      </c>
      <c r="BSP13">
        <f t="shared" si="1203"/>
        <v>0</v>
      </c>
      <c r="BSQ13">
        <f t="shared" si="1204"/>
        <v>0</v>
      </c>
      <c r="BSR13">
        <f t="shared" si="1205"/>
        <v>0</v>
      </c>
      <c r="BSS13">
        <f t="shared" si="1206"/>
        <v>0</v>
      </c>
      <c r="BST13">
        <f t="shared" si="1207"/>
        <v>0</v>
      </c>
      <c r="BSU13">
        <f t="shared" si="1208"/>
        <v>0</v>
      </c>
      <c r="BSV13">
        <f t="shared" si="1209"/>
        <v>0</v>
      </c>
      <c r="BSW13">
        <f t="shared" si="1210"/>
        <v>0</v>
      </c>
      <c r="BSX13">
        <f t="shared" si="1211"/>
        <v>0</v>
      </c>
      <c r="BSY13">
        <f t="shared" si="1212"/>
        <v>0</v>
      </c>
      <c r="BSZ13">
        <f t="shared" si="1213"/>
        <v>12.5</v>
      </c>
      <c r="BTA13">
        <f t="shared" si="1214"/>
        <v>12.5</v>
      </c>
      <c r="BTB13">
        <f t="shared" si="1215"/>
        <v>12.5</v>
      </c>
      <c r="BTC13">
        <f t="shared" si="1216"/>
        <v>23.125</v>
      </c>
      <c r="BTD13">
        <f t="shared" si="1217"/>
        <v>33.125</v>
      </c>
      <c r="BTE13">
        <f t="shared" si="1218"/>
        <v>33.125</v>
      </c>
      <c r="BTF13">
        <f t="shared" si="1219"/>
        <v>33.125</v>
      </c>
      <c r="BTG13">
        <f t="shared" si="1220"/>
        <v>15</v>
      </c>
      <c r="BTH13">
        <f t="shared" si="1221"/>
        <v>15</v>
      </c>
      <c r="BTI13">
        <f t="shared" si="1222"/>
        <v>50</v>
      </c>
      <c r="BTJ13">
        <f t="shared" si="1223"/>
        <v>25</v>
      </c>
      <c r="BTK13">
        <f t="shared" si="1224"/>
        <v>0</v>
      </c>
      <c r="BTL13">
        <f t="shared" si="1225"/>
        <v>0</v>
      </c>
      <c r="BTM13">
        <f t="shared" si="1226"/>
        <v>0</v>
      </c>
      <c r="BTN13">
        <f t="shared" si="1227"/>
        <v>0</v>
      </c>
      <c r="BTO13">
        <f t="shared" si="1228"/>
        <v>0</v>
      </c>
      <c r="BTP13">
        <f t="shared" si="1229"/>
        <v>0</v>
      </c>
      <c r="BTQ13">
        <f t="shared" si="1230"/>
        <v>0</v>
      </c>
      <c r="BTR13">
        <f t="shared" si="1231"/>
        <v>0</v>
      </c>
      <c r="BTS13">
        <f t="shared" si="1232"/>
        <v>0</v>
      </c>
      <c r="BTT13">
        <f t="shared" si="1233"/>
        <v>0</v>
      </c>
      <c r="BTU13">
        <f t="shared" si="1234"/>
        <v>0</v>
      </c>
      <c r="BTV13">
        <f t="shared" si="1235"/>
        <v>12.5</v>
      </c>
      <c r="BTW13">
        <f t="shared" si="1236"/>
        <v>12.5</v>
      </c>
      <c r="BTX13">
        <f t="shared" si="1237"/>
        <v>12.5</v>
      </c>
      <c r="BTY13">
        <f t="shared" si="1238"/>
        <v>23.125</v>
      </c>
      <c r="BTZ13">
        <f t="shared" si="1239"/>
        <v>23.125</v>
      </c>
      <c r="BUA13">
        <f t="shared" si="1240"/>
        <v>33.125</v>
      </c>
      <c r="BUB13">
        <f t="shared" si="1241"/>
        <v>23.125</v>
      </c>
      <c r="BUC13">
        <f t="shared" si="1242"/>
        <v>35</v>
      </c>
      <c r="BUD13">
        <f t="shared" si="1243"/>
        <v>15</v>
      </c>
      <c r="BUE13">
        <f t="shared" si="1244"/>
        <v>50</v>
      </c>
      <c r="BUF13">
        <f t="shared" si="1245"/>
        <v>25</v>
      </c>
      <c r="BUG13">
        <f t="shared" si="1246"/>
        <v>0</v>
      </c>
      <c r="BUH13">
        <f t="shared" si="1247"/>
        <v>0</v>
      </c>
      <c r="BUI13">
        <f t="shared" si="1248"/>
        <v>0</v>
      </c>
      <c r="BUJ13">
        <f t="shared" si="1249"/>
        <v>0</v>
      </c>
      <c r="BUK13">
        <f t="shared" si="1250"/>
        <v>0</v>
      </c>
      <c r="BUL13">
        <f t="shared" si="1251"/>
        <v>0</v>
      </c>
      <c r="BUM13">
        <f t="shared" si="1252"/>
        <v>0</v>
      </c>
      <c r="BUN13">
        <f t="shared" si="1253"/>
        <v>0</v>
      </c>
      <c r="BUO13">
        <f t="shared" si="1254"/>
        <v>0</v>
      </c>
      <c r="BUP13">
        <f t="shared" si="1255"/>
        <v>0</v>
      </c>
      <c r="BUQ13">
        <f t="shared" si="1256"/>
        <v>0</v>
      </c>
      <c r="BUR13">
        <f t="shared" si="1257"/>
        <v>12.5</v>
      </c>
      <c r="BUS13">
        <f t="shared" si="1258"/>
        <v>12.5</v>
      </c>
      <c r="BUT13">
        <f t="shared" si="1259"/>
        <v>12.5</v>
      </c>
      <c r="BUU13">
        <f t="shared" si="1260"/>
        <v>23.125</v>
      </c>
      <c r="BUV13">
        <f t="shared" si="1261"/>
        <v>23.125</v>
      </c>
      <c r="BUW13">
        <f t="shared" si="1262"/>
        <v>33.125</v>
      </c>
      <c r="BUX13">
        <f t="shared" si="52"/>
        <v>23.125</v>
      </c>
      <c r="BUY13">
        <f t="shared" si="1263"/>
        <v>15</v>
      </c>
      <c r="BUZ13">
        <f t="shared" si="1264"/>
        <v>15</v>
      </c>
      <c r="BVA13">
        <f t="shared" si="1265"/>
        <v>50</v>
      </c>
      <c r="BVB13">
        <f t="shared" si="1266"/>
        <v>25</v>
      </c>
      <c r="BVC13">
        <f t="shared" si="1267"/>
        <v>0</v>
      </c>
      <c r="BVD13">
        <f t="shared" si="1268"/>
        <v>0</v>
      </c>
      <c r="BVE13">
        <f t="shared" si="1269"/>
        <v>0</v>
      </c>
      <c r="BVF13">
        <f t="shared" si="1270"/>
        <v>0</v>
      </c>
      <c r="BVG13">
        <f t="shared" si="1271"/>
        <v>0</v>
      </c>
      <c r="BVH13">
        <f t="shared" si="1272"/>
        <v>0</v>
      </c>
      <c r="BVI13">
        <f t="shared" si="1273"/>
        <v>0</v>
      </c>
      <c r="BVJ13">
        <f t="shared" si="1274"/>
        <v>0</v>
      </c>
      <c r="BVK13">
        <f t="shared" si="1275"/>
        <v>0</v>
      </c>
      <c r="BVL13">
        <f t="shared" si="1276"/>
        <v>0</v>
      </c>
      <c r="BVM13">
        <f t="shared" si="1277"/>
        <v>0</v>
      </c>
      <c r="BVN13">
        <f t="shared" si="1278"/>
        <v>12.5</v>
      </c>
      <c r="BVO13">
        <f t="shared" si="1279"/>
        <v>12.5</v>
      </c>
      <c r="BVP13">
        <f t="shared" si="1280"/>
        <v>12.5</v>
      </c>
      <c r="BVQ13">
        <f t="shared" si="1281"/>
        <v>33.125</v>
      </c>
      <c r="BVR13">
        <f t="shared" si="1282"/>
        <v>33.125</v>
      </c>
      <c r="BVS13">
        <f t="shared" si="1283"/>
        <v>23.125</v>
      </c>
      <c r="BVT13">
        <f t="shared" si="1284"/>
        <v>33.125</v>
      </c>
      <c r="BVU13">
        <f t="shared" si="1285"/>
        <v>35</v>
      </c>
      <c r="BVV13">
        <f t="shared" si="1286"/>
        <v>15</v>
      </c>
      <c r="BVW13">
        <f t="shared" si="1287"/>
        <v>50</v>
      </c>
      <c r="BVX13">
        <f t="shared" si="1288"/>
        <v>25</v>
      </c>
      <c r="BVY13">
        <f t="shared" si="1289"/>
        <v>0</v>
      </c>
      <c r="BVZ13">
        <f t="shared" si="1290"/>
        <v>0</v>
      </c>
      <c r="BWA13">
        <f t="shared" si="1291"/>
        <v>0</v>
      </c>
      <c r="BWB13">
        <f t="shared" si="1292"/>
        <v>0</v>
      </c>
      <c r="BWC13">
        <f t="shared" si="1293"/>
        <v>0</v>
      </c>
      <c r="BWD13">
        <f t="shared" si="1294"/>
        <v>0</v>
      </c>
      <c r="BWE13">
        <f t="shared" si="1295"/>
        <v>0</v>
      </c>
      <c r="BWF13">
        <f t="shared" si="1296"/>
        <v>0</v>
      </c>
      <c r="BWG13">
        <f t="shared" si="1297"/>
        <v>0</v>
      </c>
      <c r="BWH13">
        <f t="shared" si="1298"/>
        <v>0</v>
      </c>
      <c r="BWI13">
        <f t="shared" si="1299"/>
        <v>0</v>
      </c>
      <c r="BWJ13">
        <f t="shared" si="1300"/>
        <v>12.5</v>
      </c>
      <c r="BWK13">
        <f t="shared" si="1301"/>
        <v>12.5</v>
      </c>
      <c r="BWL13">
        <f t="shared" si="1302"/>
        <v>12.5</v>
      </c>
      <c r="BWM13">
        <f t="shared" si="1303"/>
        <v>33.125</v>
      </c>
      <c r="BWN13">
        <f t="shared" si="1304"/>
        <v>33.125</v>
      </c>
      <c r="BWO13">
        <f t="shared" si="1305"/>
        <v>23.125</v>
      </c>
      <c r="BWP13">
        <f t="shared" si="1306"/>
        <v>33.125</v>
      </c>
      <c r="BWQ13">
        <f t="shared" si="1307"/>
        <v>15</v>
      </c>
      <c r="BWR13">
        <f t="shared" si="1308"/>
        <v>15</v>
      </c>
      <c r="BWS13">
        <f t="shared" si="1309"/>
        <v>50</v>
      </c>
      <c r="BWT13">
        <f t="shared" si="1310"/>
        <v>25</v>
      </c>
      <c r="BWU13">
        <f t="shared" si="1311"/>
        <v>0</v>
      </c>
      <c r="BWV13">
        <f t="shared" si="1312"/>
        <v>0</v>
      </c>
      <c r="BWW13">
        <f t="shared" si="1313"/>
        <v>0</v>
      </c>
      <c r="BWX13">
        <f t="shared" si="1314"/>
        <v>0</v>
      </c>
      <c r="BWY13">
        <f t="shared" si="1315"/>
        <v>0</v>
      </c>
      <c r="BWZ13">
        <f t="shared" si="1316"/>
        <v>0</v>
      </c>
      <c r="BXA13">
        <f t="shared" si="1317"/>
        <v>0</v>
      </c>
      <c r="BXB13">
        <f t="shared" si="1318"/>
        <v>0</v>
      </c>
      <c r="BXC13">
        <f t="shared" si="1319"/>
        <v>0</v>
      </c>
      <c r="BXD13">
        <f t="shared" si="1320"/>
        <v>0</v>
      </c>
      <c r="BXE13">
        <f t="shared" si="1321"/>
        <v>0</v>
      </c>
      <c r="BXF13">
        <f t="shared" si="1322"/>
        <v>12.5</v>
      </c>
      <c r="BXG13">
        <f t="shared" si="1323"/>
        <v>12.5</v>
      </c>
      <c r="BXH13">
        <f t="shared" si="1324"/>
        <v>12.5</v>
      </c>
      <c r="BXI13">
        <f t="shared" si="1325"/>
        <v>33.125</v>
      </c>
      <c r="BXJ13">
        <f t="shared" si="53"/>
        <v>23.125</v>
      </c>
      <c r="BXK13">
        <f t="shared" si="1326"/>
        <v>23.125</v>
      </c>
      <c r="BXL13">
        <f t="shared" si="1327"/>
        <v>23.125</v>
      </c>
      <c r="BXM13">
        <f t="shared" si="1328"/>
        <v>35</v>
      </c>
      <c r="BXN13">
        <f t="shared" si="1329"/>
        <v>15</v>
      </c>
      <c r="BXO13">
        <f t="shared" si="1330"/>
        <v>50</v>
      </c>
      <c r="BXP13">
        <f t="shared" si="1331"/>
        <v>25</v>
      </c>
      <c r="BXQ13">
        <f t="shared" si="1332"/>
        <v>0</v>
      </c>
      <c r="BXR13">
        <f t="shared" si="1333"/>
        <v>0</v>
      </c>
      <c r="BXS13">
        <f t="shared" si="1334"/>
        <v>0</v>
      </c>
      <c r="BXT13">
        <f t="shared" si="1335"/>
        <v>0</v>
      </c>
      <c r="BXU13">
        <f t="shared" si="1336"/>
        <v>0</v>
      </c>
      <c r="BXV13">
        <f t="shared" si="1337"/>
        <v>0</v>
      </c>
      <c r="BXW13">
        <f t="shared" si="1338"/>
        <v>0</v>
      </c>
      <c r="BXX13">
        <f t="shared" si="1339"/>
        <v>0</v>
      </c>
      <c r="BXY13">
        <f t="shared" si="1340"/>
        <v>0</v>
      </c>
      <c r="BXZ13">
        <f t="shared" si="1341"/>
        <v>0</v>
      </c>
      <c r="BYA13">
        <f t="shared" si="1342"/>
        <v>0</v>
      </c>
      <c r="BYB13">
        <f t="shared" si="1343"/>
        <v>12.5</v>
      </c>
      <c r="BYC13">
        <f t="shared" si="1344"/>
        <v>12.5</v>
      </c>
      <c r="BYD13">
        <f t="shared" si="1345"/>
        <v>12.5</v>
      </c>
      <c r="BYE13">
        <f t="shared" si="1346"/>
        <v>33.125</v>
      </c>
      <c r="BYF13">
        <f t="shared" si="1347"/>
        <v>23.125</v>
      </c>
      <c r="BYG13">
        <f t="shared" si="1348"/>
        <v>23.125</v>
      </c>
      <c r="BYH13">
        <f t="shared" si="1349"/>
        <v>23.125</v>
      </c>
      <c r="BYI13">
        <f t="shared" si="1350"/>
        <v>15</v>
      </c>
      <c r="BYJ13">
        <f t="shared" si="1351"/>
        <v>15</v>
      </c>
      <c r="BYK13">
        <f t="shared" si="1352"/>
        <v>50</v>
      </c>
      <c r="BYL13">
        <f t="shared" si="1353"/>
        <v>25</v>
      </c>
      <c r="BYM13">
        <f t="shared" si="1354"/>
        <v>0</v>
      </c>
      <c r="BYN13">
        <f t="shared" si="1355"/>
        <v>0</v>
      </c>
      <c r="BYO13">
        <f t="shared" si="1356"/>
        <v>0</v>
      </c>
      <c r="BYP13">
        <f t="shared" si="1357"/>
        <v>0</v>
      </c>
      <c r="BYQ13">
        <f t="shared" si="1358"/>
        <v>0</v>
      </c>
      <c r="BYR13">
        <f t="shared" si="1359"/>
        <v>0</v>
      </c>
      <c r="BYS13">
        <f t="shared" si="1360"/>
        <v>0</v>
      </c>
      <c r="BYT13">
        <f t="shared" si="1361"/>
        <v>0</v>
      </c>
      <c r="BYU13">
        <f t="shared" si="1362"/>
        <v>0</v>
      </c>
      <c r="BYV13">
        <f t="shared" si="1363"/>
        <v>0</v>
      </c>
      <c r="BYW13">
        <f t="shared" si="1364"/>
        <v>0</v>
      </c>
      <c r="BYX13">
        <f t="shared" si="1365"/>
        <v>12.5</v>
      </c>
      <c r="BYY13">
        <f t="shared" si="1366"/>
        <v>12.5</v>
      </c>
      <c r="BYZ13">
        <f t="shared" si="1367"/>
        <v>12.5</v>
      </c>
      <c r="BZA13">
        <f t="shared" si="1368"/>
        <v>23.125</v>
      </c>
      <c r="BZB13">
        <f t="shared" si="1369"/>
        <v>33.125</v>
      </c>
      <c r="BZC13">
        <f t="shared" si="1370"/>
        <v>23.125</v>
      </c>
      <c r="BZD13">
        <f t="shared" si="1371"/>
        <v>33.125</v>
      </c>
      <c r="BZE13">
        <f t="shared" si="1372"/>
        <v>35</v>
      </c>
      <c r="BZF13">
        <f t="shared" si="1373"/>
        <v>15</v>
      </c>
      <c r="BZG13">
        <f t="shared" si="1374"/>
        <v>50</v>
      </c>
      <c r="BZH13">
        <f t="shared" si="1375"/>
        <v>25</v>
      </c>
      <c r="BZI13">
        <f t="shared" si="1376"/>
        <v>0</v>
      </c>
      <c r="BZJ13">
        <f t="shared" si="1377"/>
        <v>0</v>
      </c>
      <c r="BZK13">
        <f t="shared" si="1378"/>
        <v>0</v>
      </c>
      <c r="BZL13">
        <f t="shared" si="1379"/>
        <v>0</v>
      </c>
      <c r="BZM13">
        <f t="shared" si="1380"/>
        <v>0</v>
      </c>
      <c r="BZN13">
        <f t="shared" si="1381"/>
        <v>0</v>
      </c>
      <c r="BZO13">
        <f t="shared" si="1382"/>
        <v>0</v>
      </c>
      <c r="BZP13">
        <f t="shared" si="1383"/>
        <v>0</v>
      </c>
      <c r="BZQ13">
        <f t="shared" si="1384"/>
        <v>0</v>
      </c>
      <c r="BZR13">
        <f t="shared" si="1385"/>
        <v>0</v>
      </c>
      <c r="BZS13">
        <f t="shared" si="1386"/>
        <v>0</v>
      </c>
      <c r="BZT13">
        <f t="shared" si="1387"/>
        <v>12.5</v>
      </c>
      <c r="BZU13">
        <f t="shared" si="1388"/>
        <v>12.5</v>
      </c>
      <c r="BZV13">
        <f t="shared" si="54"/>
        <v>12.5</v>
      </c>
      <c r="BZW13">
        <f t="shared" si="1389"/>
        <v>23.125</v>
      </c>
      <c r="BZX13">
        <f t="shared" si="1390"/>
        <v>33.125</v>
      </c>
      <c r="BZY13">
        <f t="shared" si="1391"/>
        <v>23.125</v>
      </c>
      <c r="BZZ13">
        <f t="shared" si="1392"/>
        <v>33.125</v>
      </c>
      <c r="CAA13">
        <f t="shared" si="1393"/>
        <v>15</v>
      </c>
      <c r="CAB13">
        <f t="shared" si="1394"/>
        <v>15</v>
      </c>
      <c r="CAC13">
        <f t="shared" si="1395"/>
        <v>50</v>
      </c>
      <c r="CAD13">
        <f t="shared" si="1396"/>
        <v>25</v>
      </c>
      <c r="CAE13">
        <f t="shared" si="1397"/>
        <v>0</v>
      </c>
      <c r="CAF13">
        <f t="shared" si="1398"/>
        <v>0</v>
      </c>
      <c r="CAG13">
        <f t="shared" si="1399"/>
        <v>0</v>
      </c>
      <c r="CAH13">
        <f t="shared" si="1400"/>
        <v>0</v>
      </c>
      <c r="CAI13">
        <f t="shared" si="1401"/>
        <v>0</v>
      </c>
      <c r="CAJ13">
        <f t="shared" si="1402"/>
        <v>0</v>
      </c>
      <c r="CAK13">
        <f t="shared" si="1403"/>
        <v>0</v>
      </c>
      <c r="CAL13">
        <f t="shared" si="1404"/>
        <v>0</v>
      </c>
      <c r="CAM13">
        <f t="shared" si="1405"/>
        <v>0</v>
      </c>
      <c r="CAN13">
        <f t="shared" si="1406"/>
        <v>0</v>
      </c>
      <c r="CAO13">
        <f t="shared" si="1407"/>
        <v>0</v>
      </c>
      <c r="CAP13">
        <f t="shared" si="1408"/>
        <v>12.5</v>
      </c>
      <c r="CAQ13">
        <f t="shared" si="1409"/>
        <v>12.5</v>
      </c>
      <c r="CAR13">
        <f t="shared" si="1410"/>
        <v>12.5</v>
      </c>
      <c r="CAS13">
        <f t="shared" si="1411"/>
        <v>23.125</v>
      </c>
      <c r="CAT13">
        <f t="shared" si="1412"/>
        <v>23.125</v>
      </c>
      <c r="CAU13">
        <f t="shared" si="1413"/>
        <v>23.125</v>
      </c>
      <c r="CAV13">
        <f t="shared" si="1414"/>
        <v>23.125</v>
      </c>
      <c r="CAW13">
        <f t="shared" si="1415"/>
        <v>35</v>
      </c>
      <c r="CAX13">
        <f t="shared" si="1416"/>
        <v>15</v>
      </c>
      <c r="CAY13">
        <f t="shared" si="1417"/>
        <v>50</v>
      </c>
      <c r="CAZ13">
        <f t="shared" si="1418"/>
        <v>25</v>
      </c>
      <c r="CBA13">
        <f t="shared" si="1419"/>
        <v>0</v>
      </c>
      <c r="CBB13">
        <f t="shared" si="1420"/>
        <v>0</v>
      </c>
      <c r="CBC13">
        <f t="shared" si="1421"/>
        <v>0</v>
      </c>
      <c r="CBD13">
        <f t="shared" si="1422"/>
        <v>0</v>
      </c>
      <c r="CBE13">
        <f t="shared" si="1423"/>
        <v>0</v>
      </c>
      <c r="CBF13">
        <f t="shared" si="1424"/>
        <v>0</v>
      </c>
      <c r="CBG13">
        <f t="shared" si="1425"/>
        <v>0</v>
      </c>
      <c r="CBH13">
        <f t="shared" si="1426"/>
        <v>0</v>
      </c>
      <c r="CBI13">
        <f t="shared" si="1427"/>
        <v>0</v>
      </c>
      <c r="CBJ13">
        <f t="shared" si="1428"/>
        <v>0</v>
      </c>
      <c r="CBK13">
        <f t="shared" si="1429"/>
        <v>0</v>
      </c>
      <c r="CBL13">
        <f t="shared" si="1430"/>
        <v>12.5</v>
      </c>
      <c r="CBM13">
        <f t="shared" si="1431"/>
        <v>12.5</v>
      </c>
      <c r="CBN13">
        <f t="shared" si="1432"/>
        <v>12.5</v>
      </c>
      <c r="CBO13">
        <f t="shared" si="1433"/>
        <v>23.125</v>
      </c>
      <c r="CBP13">
        <f t="shared" si="1434"/>
        <v>23.125</v>
      </c>
      <c r="CBQ13">
        <f t="shared" si="1435"/>
        <v>23.125</v>
      </c>
      <c r="CBR13">
        <f t="shared" si="1436"/>
        <v>23.125</v>
      </c>
      <c r="CBS13">
        <f t="shared" si="1437"/>
        <v>15</v>
      </c>
      <c r="CBT13">
        <f t="shared" si="1438"/>
        <v>15</v>
      </c>
      <c r="CBU13">
        <f t="shared" si="1439"/>
        <v>50</v>
      </c>
      <c r="CBV13">
        <f t="shared" si="1440"/>
        <v>25</v>
      </c>
      <c r="CBW13">
        <f t="shared" si="1441"/>
        <v>0</v>
      </c>
      <c r="CBX13">
        <f t="shared" si="1442"/>
        <v>0</v>
      </c>
      <c r="CBY13">
        <f t="shared" si="1443"/>
        <v>0</v>
      </c>
      <c r="CBZ13">
        <f t="shared" si="1444"/>
        <v>0</v>
      </c>
      <c r="CCA13">
        <f t="shared" si="1445"/>
        <v>0</v>
      </c>
      <c r="CCB13">
        <f t="shared" si="1446"/>
        <v>0</v>
      </c>
      <c r="CCC13">
        <f t="shared" si="1447"/>
        <v>0</v>
      </c>
      <c r="CCD13">
        <f t="shared" si="1448"/>
        <v>0</v>
      </c>
      <c r="CCE13">
        <f t="shared" si="1449"/>
        <v>0</v>
      </c>
      <c r="CCF13">
        <f t="shared" si="1450"/>
        <v>0</v>
      </c>
      <c r="CCG13">
        <f t="shared" si="1451"/>
        <v>0</v>
      </c>
      <c r="CCH13">
        <f t="shared" si="55"/>
        <v>12.5</v>
      </c>
      <c r="CCI13">
        <f t="shared" si="1452"/>
        <v>12.5</v>
      </c>
      <c r="CCJ13">
        <f t="shared" si="1453"/>
        <v>12.5</v>
      </c>
      <c r="CCK13">
        <f t="shared" si="1454"/>
        <v>33.125</v>
      </c>
      <c r="CCL13">
        <f t="shared" si="1455"/>
        <v>33.125</v>
      </c>
      <c r="CCM13">
        <f t="shared" si="1456"/>
        <v>33.125</v>
      </c>
      <c r="CCN13">
        <f t="shared" si="1457"/>
        <v>33.125</v>
      </c>
      <c r="CCO13">
        <f t="shared" si="1458"/>
        <v>35</v>
      </c>
      <c r="CCP13">
        <f t="shared" si="1459"/>
        <v>35</v>
      </c>
      <c r="CCQ13">
        <f t="shared" si="1460"/>
        <v>50</v>
      </c>
      <c r="CCR13">
        <f t="shared" si="1461"/>
        <v>25</v>
      </c>
      <c r="CCS13">
        <f t="shared" si="1462"/>
        <v>0</v>
      </c>
      <c r="CCT13">
        <f t="shared" si="1463"/>
        <v>0</v>
      </c>
      <c r="CCU13">
        <f t="shared" si="1464"/>
        <v>0</v>
      </c>
      <c r="CCV13">
        <f t="shared" si="1465"/>
        <v>0</v>
      </c>
      <c r="CCW13">
        <f t="shared" si="1466"/>
        <v>0</v>
      </c>
      <c r="CCX13">
        <f t="shared" si="1467"/>
        <v>0</v>
      </c>
      <c r="CCY13">
        <f t="shared" si="1468"/>
        <v>0</v>
      </c>
      <c r="CCZ13">
        <f t="shared" si="1469"/>
        <v>0</v>
      </c>
      <c r="CDA13">
        <f t="shared" si="1470"/>
        <v>0</v>
      </c>
      <c r="CDB13">
        <f t="shared" si="1471"/>
        <v>0</v>
      </c>
      <c r="CDC13">
        <f t="shared" si="1472"/>
        <v>0</v>
      </c>
      <c r="CDD13">
        <f t="shared" si="1473"/>
        <v>12.5</v>
      </c>
      <c r="CDE13">
        <f t="shared" si="1474"/>
        <v>12.5</v>
      </c>
      <c r="CDF13">
        <f t="shared" si="1475"/>
        <v>12.5</v>
      </c>
      <c r="CDG13">
        <f t="shared" si="1476"/>
        <v>33.125</v>
      </c>
      <c r="CDH13">
        <f t="shared" si="1477"/>
        <v>33.125</v>
      </c>
      <c r="CDI13">
        <f t="shared" si="1478"/>
        <v>33.125</v>
      </c>
      <c r="CDJ13">
        <f t="shared" si="1479"/>
        <v>33.125</v>
      </c>
      <c r="CDK13">
        <f t="shared" si="1480"/>
        <v>15</v>
      </c>
      <c r="CDL13">
        <f t="shared" si="1481"/>
        <v>35</v>
      </c>
      <c r="CDM13">
        <f t="shared" si="1482"/>
        <v>50</v>
      </c>
      <c r="CDN13">
        <f t="shared" si="1483"/>
        <v>25</v>
      </c>
      <c r="CDO13">
        <f t="shared" si="1484"/>
        <v>0</v>
      </c>
      <c r="CDP13">
        <f t="shared" si="1485"/>
        <v>0</v>
      </c>
      <c r="CDQ13">
        <f t="shared" si="1486"/>
        <v>0</v>
      </c>
      <c r="CDR13">
        <f t="shared" si="1487"/>
        <v>0</v>
      </c>
      <c r="CDS13">
        <f t="shared" si="1488"/>
        <v>0</v>
      </c>
      <c r="CDT13">
        <f t="shared" si="1489"/>
        <v>0</v>
      </c>
      <c r="CDU13">
        <f t="shared" si="1490"/>
        <v>0</v>
      </c>
      <c r="CDV13">
        <f t="shared" si="1491"/>
        <v>0</v>
      </c>
      <c r="CDW13">
        <f t="shared" si="1492"/>
        <v>0</v>
      </c>
      <c r="CDX13">
        <f t="shared" si="1493"/>
        <v>0</v>
      </c>
      <c r="CDY13">
        <f t="shared" si="1494"/>
        <v>0</v>
      </c>
      <c r="CDZ13">
        <f t="shared" si="1495"/>
        <v>12.5</v>
      </c>
      <c r="CEA13">
        <f t="shared" si="1496"/>
        <v>12.5</v>
      </c>
      <c r="CEB13">
        <f t="shared" si="1497"/>
        <v>12.5</v>
      </c>
      <c r="CEC13">
        <f t="shared" si="1498"/>
        <v>33.125</v>
      </c>
      <c r="CED13">
        <f t="shared" si="1499"/>
        <v>23.125</v>
      </c>
      <c r="CEE13">
        <f t="shared" si="1500"/>
        <v>33.125</v>
      </c>
      <c r="CEF13">
        <f t="shared" si="1501"/>
        <v>23.125</v>
      </c>
      <c r="CEG13">
        <f t="shared" si="1502"/>
        <v>35</v>
      </c>
      <c r="CEH13">
        <f t="shared" si="1503"/>
        <v>35</v>
      </c>
      <c r="CEI13">
        <f t="shared" si="1504"/>
        <v>50</v>
      </c>
      <c r="CEJ13">
        <f t="shared" si="1505"/>
        <v>25</v>
      </c>
      <c r="CEK13">
        <f t="shared" si="1506"/>
        <v>0</v>
      </c>
      <c r="CEL13">
        <f t="shared" si="1507"/>
        <v>0</v>
      </c>
      <c r="CEM13">
        <f t="shared" si="1508"/>
        <v>0</v>
      </c>
      <c r="CEN13">
        <f t="shared" si="1509"/>
        <v>0</v>
      </c>
      <c r="CEO13">
        <f t="shared" si="1510"/>
        <v>0</v>
      </c>
      <c r="CEP13">
        <f t="shared" si="1511"/>
        <v>0</v>
      </c>
      <c r="CEQ13">
        <f t="shared" si="1512"/>
        <v>0</v>
      </c>
      <c r="CER13">
        <f t="shared" si="1513"/>
        <v>0</v>
      </c>
      <c r="CES13">
        <f t="shared" si="1514"/>
        <v>0</v>
      </c>
      <c r="CET13">
        <f t="shared" si="56"/>
        <v>0</v>
      </c>
      <c r="CEU13">
        <f t="shared" si="1515"/>
        <v>0</v>
      </c>
      <c r="CEV13">
        <f t="shared" si="1516"/>
        <v>12.5</v>
      </c>
      <c r="CEW13">
        <f t="shared" si="1517"/>
        <v>12.5</v>
      </c>
      <c r="CEX13">
        <f t="shared" si="1518"/>
        <v>12.5</v>
      </c>
      <c r="CEY13">
        <f t="shared" si="1519"/>
        <v>33.125</v>
      </c>
      <c r="CEZ13">
        <f t="shared" si="1520"/>
        <v>23.125</v>
      </c>
      <c r="CFA13">
        <f t="shared" si="1521"/>
        <v>33.125</v>
      </c>
      <c r="CFB13">
        <f t="shared" si="1522"/>
        <v>23.125</v>
      </c>
      <c r="CFC13">
        <f t="shared" si="1523"/>
        <v>15</v>
      </c>
      <c r="CFD13">
        <f t="shared" si="1524"/>
        <v>35</v>
      </c>
      <c r="CFE13">
        <f t="shared" si="1525"/>
        <v>50</v>
      </c>
      <c r="CFF13">
        <f t="shared" si="1526"/>
        <v>25</v>
      </c>
      <c r="CFG13">
        <f t="shared" si="1527"/>
        <v>0</v>
      </c>
      <c r="CFH13">
        <f t="shared" si="1528"/>
        <v>0</v>
      </c>
      <c r="CFI13">
        <f t="shared" si="1529"/>
        <v>0</v>
      </c>
      <c r="CFJ13">
        <f t="shared" si="1530"/>
        <v>0</v>
      </c>
      <c r="CFK13">
        <f t="shared" si="1531"/>
        <v>0</v>
      </c>
      <c r="CFL13">
        <f t="shared" si="1532"/>
        <v>0</v>
      </c>
      <c r="CFM13">
        <f t="shared" si="1533"/>
        <v>0</v>
      </c>
      <c r="CFN13">
        <f t="shared" si="1534"/>
        <v>0</v>
      </c>
      <c r="CFO13">
        <f t="shared" si="1535"/>
        <v>0</v>
      </c>
      <c r="CFP13">
        <f t="shared" si="1536"/>
        <v>0</v>
      </c>
      <c r="CFQ13">
        <f t="shared" si="1537"/>
        <v>0</v>
      </c>
      <c r="CFR13">
        <f t="shared" si="1538"/>
        <v>12.5</v>
      </c>
      <c r="CFS13">
        <f t="shared" si="1539"/>
        <v>12.5</v>
      </c>
      <c r="CFT13">
        <f t="shared" si="1540"/>
        <v>12.5</v>
      </c>
      <c r="CFU13">
        <f t="shared" si="1541"/>
        <v>23.125</v>
      </c>
      <c r="CFV13">
        <f t="shared" si="1542"/>
        <v>33.125</v>
      </c>
      <c r="CFW13">
        <f t="shared" si="1543"/>
        <v>33.125</v>
      </c>
      <c r="CFX13">
        <f t="shared" si="1544"/>
        <v>33.125</v>
      </c>
      <c r="CFY13">
        <f t="shared" si="1545"/>
        <v>35</v>
      </c>
      <c r="CFZ13">
        <f t="shared" si="1546"/>
        <v>35</v>
      </c>
      <c r="CGA13">
        <f t="shared" si="1547"/>
        <v>50</v>
      </c>
      <c r="CGB13">
        <f t="shared" si="1548"/>
        <v>25</v>
      </c>
      <c r="CGC13">
        <f t="shared" si="1549"/>
        <v>0</v>
      </c>
      <c r="CGD13">
        <f t="shared" si="1550"/>
        <v>0</v>
      </c>
      <c r="CGE13">
        <f t="shared" si="1551"/>
        <v>0</v>
      </c>
      <c r="CGF13">
        <f t="shared" si="1552"/>
        <v>0</v>
      </c>
      <c r="CGG13">
        <f t="shared" si="1553"/>
        <v>0</v>
      </c>
      <c r="CGH13">
        <f t="shared" si="1554"/>
        <v>0</v>
      </c>
      <c r="CGI13">
        <f t="shared" si="1555"/>
        <v>0</v>
      </c>
      <c r="CGJ13">
        <f t="shared" si="1556"/>
        <v>0</v>
      </c>
      <c r="CGK13">
        <f t="shared" si="1557"/>
        <v>0</v>
      </c>
      <c r="CGL13">
        <f t="shared" si="1558"/>
        <v>0</v>
      </c>
      <c r="CGM13">
        <f t="shared" si="1559"/>
        <v>0</v>
      </c>
      <c r="CGN13">
        <f t="shared" si="1560"/>
        <v>12.5</v>
      </c>
      <c r="CGO13">
        <f t="shared" si="1561"/>
        <v>12.5</v>
      </c>
      <c r="CGP13">
        <f t="shared" si="1562"/>
        <v>12.5</v>
      </c>
      <c r="CGQ13">
        <f t="shared" si="1563"/>
        <v>23.125</v>
      </c>
      <c r="CGR13">
        <f t="shared" si="1564"/>
        <v>33.125</v>
      </c>
      <c r="CGS13">
        <f t="shared" si="1565"/>
        <v>33.125</v>
      </c>
      <c r="CGT13">
        <f t="shared" si="1566"/>
        <v>33.125</v>
      </c>
      <c r="CGU13">
        <f t="shared" si="1567"/>
        <v>15</v>
      </c>
      <c r="CGV13">
        <f t="shared" si="1568"/>
        <v>35</v>
      </c>
      <c r="CGW13">
        <f t="shared" si="1569"/>
        <v>50</v>
      </c>
      <c r="CGX13">
        <f t="shared" si="1570"/>
        <v>25</v>
      </c>
      <c r="CGY13">
        <f t="shared" si="1571"/>
        <v>0</v>
      </c>
      <c r="CGZ13">
        <f t="shared" si="1572"/>
        <v>0</v>
      </c>
      <c r="CHA13">
        <f t="shared" si="1573"/>
        <v>0</v>
      </c>
      <c r="CHB13">
        <f t="shared" si="1574"/>
        <v>0</v>
      </c>
      <c r="CHC13">
        <f t="shared" si="1575"/>
        <v>0</v>
      </c>
      <c r="CHD13">
        <f t="shared" si="1576"/>
        <v>0</v>
      </c>
      <c r="CHE13">
        <f t="shared" si="1577"/>
        <v>0</v>
      </c>
      <c r="CHF13">
        <f t="shared" si="57"/>
        <v>0</v>
      </c>
      <c r="CHG13">
        <f t="shared" si="1578"/>
        <v>0</v>
      </c>
      <c r="CHH13">
        <f t="shared" si="1579"/>
        <v>0</v>
      </c>
      <c r="CHI13">
        <f t="shared" si="1580"/>
        <v>0</v>
      </c>
      <c r="CHJ13">
        <f t="shared" si="1581"/>
        <v>12.5</v>
      </c>
      <c r="CHK13">
        <f t="shared" si="1582"/>
        <v>12.5</v>
      </c>
      <c r="CHL13">
        <f t="shared" si="1583"/>
        <v>12.5</v>
      </c>
      <c r="CHM13">
        <f t="shared" si="1584"/>
        <v>23.125</v>
      </c>
      <c r="CHN13">
        <f t="shared" si="1585"/>
        <v>23.125</v>
      </c>
      <c r="CHO13">
        <f t="shared" si="1586"/>
        <v>33.125</v>
      </c>
      <c r="CHP13">
        <f t="shared" si="1587"/>
        <v>23.125</v>
      </c>
      <c r="CHQ13">
        <f t="shared" si="1588"/>
        <v>35</v>
      </c>
      <c r="CHR13">
        <f t="shared" si="1589"/>
        <v>35</v>
      </c>
      <c r="CHS13">
        <f t="shared" si="1590"/>
        <v>50</v>
      </c>
      <c r="CHT13">
        <f t="shared" si="1591"/>
        <v>25</v>
      </c>
      <c r="CHU13">
        <f t="shared" si="1592"/>
        <v>0</v>
      </c>
      <c r="CHV13">
        <f t="shared" si="1593"/>
        <v>0</v>
      </c>
      <c r="CHW13">
        <f t="shared" si="1594"/>
        <v>0</v>
      </c>
      <c r="CHX13">
        <f t="shared" si="1595"/>
        <v>0</v>
      </c>
      <c r="CHY13">
        <f t="shared" si="1596"/>
        <v>0</v>
      </c>
      <c r="CHZ13">
        <f t="shared" si="1597"/>
        <v>0</v>
      </c>
      <c r="CIA13">
        <f t="shared" si="1598"/>
        <v>0</v>
      </c>
      <c r="CIB13">
        <f t="shared" si="1599"/>
        <v>0</v>
      </c>
      <c r="CIC13">
        <f t="shared" si="1600"/>
        <v>0</v>
      </c>
      <c r="CID13">
        <f t="shared" si="1601"/>
        <v>0</v>
      </c>
      <c r="CIE13">
        <f t="shared" si="1602"/>
        <v>0</v>
      </c>
      <c r="CIF13">
        <f t="shared" si="1603"/>
        <v>12.5</v>
      </c>
      <c r="CIG13">
        <f t="shared" si="1604"/>
        <v>12.5</v>
      </c>
      <c r="CIH13">
        <f t="shared" si="1605"/>
        <v>12.5</v>
      </c>
      <c r="CII13">
        <f t="shared" si="1606"/>
        <v>23.125</v>
      </c>
      <c r="CIJ13">
        <f t="shared" si="1607"/>
        <v>23.125</v>
      </c>
      <c r="CIK13">
        <f t="shared" si="1608"/>
        <v>33.125</v>
      </c>
      <c r="CIL13">
        <f t="shared" si="1609"/>
        <v>23.125</v>
      </c>
      <c r="CIM13">
        <f t="shared" si="1610"/>
        <v>15</v>
      </c>
      <c r="CIN13">
        <f t="shared" si="1611"/>
        <v>35</v>
      </c>
      <c r="CIO13">
        <f t="shared" si="1612"/>
        <v>50</v>
      </c>
      <c r="CIP13">
        <f t="shared" si="1613"/>
        <v>25</v>
      </c>
      <c r="CIQ13">
        <f t="shared" si="1614"/>
        <v>0</v>
      </c>
      <c r="CIR13">
        <f t="shared" si="1615"/>
        <v>0</v>
      </c>
      <c r="CIS13">
        <f t="shared" si="1616"/>
        <v>0</v>
      </c>
      <c r="CIT13">
        <f t="shared" si="1617"/>
        <v>0</v>
      </c>
      <c r="CIU13">
        <f t="shared" si="1618"/>
        <v>0</v>
      </c>
      <c r="CIV13">
        <f t="shared" si="1619"/>
        <v>0</v>
      </c>
      <c r="CIW13">
        <f t="shared" si="1620"/>
        <v>0</v>
      </c>
      <c r="CIX13">
        <f t="shared" si="1621"/>
        <v>0</v>
      </c>
      <c r="CIY13">
        <f t="shared" si="1622"/>
        <v>0</v>
      </c>
      <c r="CIZ13">
        <f t="shared" si="1623"/>
        <v>0</v>
      </c>
      <c r="CJA13">
        <f t="shared" si="1624"/>
        <v>0</v>
      </c>
      <c r="CJB13">
        <f t="shared" si="1625"/>
        <v>12.5</v>
      </c>
      <c r="CJC13">
        <f t="shared" si="1626"/>
        <v>12.5</v>
      </c>
      <c r="CJD13">
        <f t="shared" si="1627"/>
        <v>12.5</v>
      </c>
      <c r="CJE13">
        <f t="shared" si="1628"/>
        <v>33.125</v>
      </c>
      <c r="CJF13">
        <f t="shared" si="1629"/>
        <v>33.125</v>
      </c>
      <c r="CJG13">
        <f t="shared" si="1630"/>
        <v>23.125</v>
      </c>
      <c r="CJH13">
        <f t="shared" si="1631"/>
        <v>33.125</v>
      </c>
      <c r="CJI13">
        <f t="shared" si="1632"/>
        <v>35</v>
      </c>
      <c r="CJJ13">
        <f t="shared" si="1633"/>
        <v>35</v>
      </c>
      <c r="CJK13">
        <f t="shared" si="1634"/>
        <v>50</v>
      </c>
      <c r="CJL13">
        <f t="shared" si="1635"/>
        <v>25</v>
      </c>
      <c r="CJM13">
        <f t="shared" si="1636"/>
        <v>0</v>
      </c>
      <c r="CJN13">
        <f t="shared" si="1637"/>
        <v>0</v>
      </c>
      <c r="CJO13">
        <f t="shared" si="1638"/>
        <v>0</v>
      </c>
      <c r="CJP13">
        <f t="shared" si="1639"/>
        <v>0</v>
      </c>
      <c r="CJQ13">
        <f t="shared" si="1640"/>
        <v>0</v>
      </c>
      <c r="CJR13">
        <f t="shared" si="58"/>
        <v>0</v>
      </c>
      <c r="CJS13">
        <f t="shared" si="1641"/>
        <v>0</v>
      </c>
      <c r="CJT13">
        <f t="shared" si="1642"/>
        <v>0</v>
      </c>
      <c r="CJU13">
        <f t="shared" si="1643"/>
        <v>0</v>
      </c>
      <c r="CJV13">
        <f t="shared" si="1644"/>
        <v>0</v>
      </c>
      <c r="CJW13">
        <f t="shared" si="1645"/>
        <v>0</v>
      </c>
      <c r="CJX13">
        <f t="shared" si="1646"/>
        <v>12.5</v>
      </c>
      <c r="CJY13">
        <f t="shared" si="1647"/>
        <v>12.5</v>
      </c>
      <c r="CJZ13">
        <f t="shared" si="1648"/>
        <v>12.5</v>
      </c>
      <c r="CKA13">
        <f t="shared" si="1649"/>
        <v>33.125</v>
      </c>
      <c r="CKB13">
        <f t="shared" si="1650"/>
        <v>33.125</v>
      </c>
      <c r="CKC13">
        <f t="shared" si="1651"/>
        <v>23.125</v>
      </c>
      <c r="CKD13">
        <f t="shared" si="1652"/>
        <v>33.125</v>
      </c>
      <c r="CKE13">
        <f t="shared" si="1653"/>
        <v>15</v>
      </c>
      <c r="CKF13">
        <f t="shared" si="1654"/>
        <v>35</v>
      </c>
      <c r="CKG13">
        <f t="shared" si="1655"/>
        <v>50</v>
      </c>
      <c r="CKH13">
        <f t="shared" si="1656"/>
        <v>25</v>
      </c>
      <c r="CKI13">
        <f t="shared" si="1657"/>
        <v>0</v>
      </c>
      <c r="CKJ13">
        <f t="shared" si="1658"/>
        <v>0</v>
      </c>
      <c r="CKK13">
        <f t="shared" si="1659"/>
        <v>0</v>
      </c>
      <c r="CKL13">
        <f t="shared" si="1660"/>
        <v>0</v>
      </c>
      <c r="CKM13">
        <f t="shared" si="1661"/>
        <v>0</v>
      </c>
      <c r="CKN13">
        <f t="shared" si="1662"/>
        <v>0</v>
      </c>
      <c r="CKO13">
        <f t="shared" si="1663"/>
        <v>0</v>
      </c>
      <c r="CKP13">
        <f t="shared" si="1664"/>
        <v>0</v>
      </c>
      <c r="CKQ13">
        <f t="shared" si="1665"/>
        <v>0</v>
      </c>
      <c r="CKR13">
        <f t="shared" si="1666"/>
        <v>0</v>
      </c>
      <c r="CKS13">
        <f t="shared" si="1667"/>
        <v>0</v>
      </c>
      <c r="CKT13">
        <f t="shared" si="1668"/>
        <v>12.5</v>
      </c>
      <c r="CKU13">
        <f t="shared" si="1669"/>
        <v>12.5</v>
      </c>
      <c r="CKV13">
        <f t="shared" si="1670"/>
        <v>12.5</v>
      </c>
      <c r="CKW13">
        <f t="shared" si="1671"/>
        <v>33.125</v>
      </c>
      <c r="CKX13">
        <f t="shared" si="1672"/>
        <v>23.125</v>
      </c>
      <c r="CKY13">
        <f t="shared" si="1673"/>
        <v>23.125</v>
      </c>
      <c r="CKZ13">
        <f t="shared" si="1674"/>
        <v>23.125</v>
      </c>
      <c r="CLA13">
        <f t="shared" si="1675"/>
        <v>35</v>
      </c>
      <c r="CLB13">
        <f t="shared" si="1676"/>
        <v>35</v>
      </c>
      <c r="CLC13">
        <f t="shared" si="1677"/>
        <v>50</v>
      </c>
      <c r="CLD13">
        <f t="shared" si="1678"/>
        <v>25</v>
      </c>
      <c r="CLE13">
        <f t="shared" si="1679"/>
        <v>0</v>
      </c>
      <c r="CLF13">
        <f t="shared" si="1680"/>
        <v>0</v>
      </c>
      <c r="CLG13">
        <f t="shared" si="1681"/>
        <v>0</v>
      </c>
      <c r="CLH13">
        <f t="shared" si="1682"/>
        <v>0</v>
      </c>
      <c r="CLI13">
        <f t="shared" si="1683"/>
        <v>0</v>
      </c>
      <c r="CLJ13">
        <f t="shared" si="1684"/>
        <v>0</v>
      </c>
      <c r="CLK13">
        <f t="shared" si="1685"/>
        <v>0</v>
      </c>
      <c r="CLL13">
        <f t="shared" si="1686"/>
        <v>0</v>
      </c>
      <c r="CLM13">
        <f t="shared" si="1687"/>
        <v>0</v>
      </c>
      <c r="CLN13">
        <f t="shared" si="1688"/>
        <v>0</v>
      </c>
      <c r="CLO13">
        <f t="shared" si="1689"/>
        <v>0</v>
      </c>
      <c r="CLP13">
        <f t="shared" si="1690"/>
        <v>12.5</v>
      </c>
      <c r="CLQ13">
        <f t="shared" si="1691"/>
        <v>12.5</v>
      </c>
      <c r="CLR13">
        <f t="shared" si="1692"/>
        <v>12.5</v>
      </c>
      <c r="CLS13">
        <f t="shared" si="1693"/>
        <v>33.125</v>
      </c>
      <c r="CLT13">
        <f t="shared" si="1694"/>
        <v>23.125</v>
      </c>
      <c r="CLU13">
        <f t="shared" si="1695"/>
        <v>23.125</v>
      </c>
      <c r="CLV13">
        <f t="shared" si="1696"/>
        <v>23.125</v>
      </c>
      <c r="CLW13">
        <f t="shared" si="1697"/>
        <v>15</v>
      </c>
      <c r="CLX13">
        <f t="shared" si="1698"/>
        <v>35</v>
      </c>
      <c r="CLY13">
        <f t="shared" si="1699"/>
        <v>50</v>
      </c>
      <c r="CLZ13">
        <f t="shared" si="1700"/>
        <v>25</v>
      </c>
      <c r="CMA13">
        <f t="shared" si="1701"/>
        <v>0</v>
      </c>
      <c r="CMB13">
        <f t="shared" si="1702"/>
        <v>0</v>
      </c>
      <c r="CMC13">
        <f t="shared" si="1703"/>
        <v>0</v>
      </c>
      <c r="CMD13">
        <f t="shared" si="59"/>
        <v>0</v>
      </c>
      <c r="CME13">
        <f t="shared" si="1704"/>
        <v>0</v>
      </c>
      <c r="CMF13">
        <f t="shared" si="1705"/>
        <v>0</v>
      </c>
      <c r="CMG13">
        <f t="shared" si="1706"/>
        <v>0</v>
      </c>
      <c r="CMH13">
        <f t="shared" si="1707"/>
        <v>0</v>
      </c>
      <c r="CMI13">
        <f t="shared" si="1708"/>
        <v>0</v>
      </c>
      <c r="CMJ13">
        <f t="shared" si="1709"/>
        <v>0</v>
      </c>
      <c r="CMK13">
        <f t="shared" si="1710"/>
        <v>0</v>
      </c>
      <c r="CML13">
        <f t="shared" si="1711"/>
        <v>12.5</v>
      </c>
      <c r="CMM13">
        <f t="shared" si="1712"/>
        <v>12.5</v>
      </c>
      <c r="CMN13">
        <f t="shared" si="1713"/>
        <v>12.5</v>
      </c>
      <c r="CMO13">
        <f t="shared" si="1714"/>
        <v>23.125</v>
      </c>
      <c r="CMP13">
        <f t="shared" si="1715"/>
        <v>33.125</v>
      </c>
      <c r="CMQ13">
        <f t="shared" si="1716"/>
        <v>23.125</v>
      </c>
      <c r="CMR13">
        <f t="shared" si="1717"/>
        <v>33.125</v>
      </c>
      <c r="CMS13">
        <f t="shared" si="1718"/>
        <v>35</v>
      </c>
      <c r="CMT13">
        <f t="shared" si="1719"/>
        <v>35</v>
      </c>
      <c r="CMU13">
        <f t="shared" si="1720"/>
        <v>50</v>
      </c>
      <c r="CMV13">
        <f t="shared" si="1721"/>
        <v>25</v>
      </c>
      <c r="CMW13">
        <f t="shared" si="1722"/>
        <v>0</v>
      </c>
      <c r="CMX13">
        <f t="shared" si="1723"/>
        <v>0</v>
      </c>
      <c r="CMY13">
        <f t="shared" si="1724"/>
        <v>0</v>
      </c>
      <c r="CMZ13">
        <f t="shared" si="1725"/>
        <v>0</v>
      </c>
      <c r="CNA13">
        <f t="shared" si="1726"/>
        <v>0</v>
      </c>
      <c r="CNB13">
        <f t="shared" si="1727"/>
        <v>0</v>
      </c>
      <c r="CNC13">
        <f t="shared" si="1728"/>
        <v>0</v>
      </c>
      <c r="CND13">
        <f t="shared" si="1729"/>
        <v>0</v>
      </c>
      <c r="CNE13">
        <f t="shared" si="1730"/>
        <v>0</v>
      </c>
      <c r="CNF13">
        <f t="shared" si="1731"/>
        <v>0</v>
      </c>
      <c r="CNG13">
        <f t="shared" si="1732"/>
        <v>0</v>
      </c>
      <c r="CNH13">
        <f t="shared" si="1733"/>
        <v>12.5</v>
      </c>
      <c r="CNI13">
        <f t="shared" si="1734"/>
        <v>12.5</v>
      </c>
      <c r="CNJ13">
        <f t="shared" si="1735"/>
        <v>12.5</v>
      </c>
      <c r="CNK13">
        <f t="shared" si="1736"/>
        <v>23.125</v>
      </c>
      <c r="CNL13">
        <f t="shared" si="1737"/>
        <v>33.125</v>
      </c>
      <c r="CNM13">
        <f t="shared" si="1738"/>
        <v>23.125</v>
      </c>
      <c r="CNN13">
        <f t="shared" si="1739"/>
        <v>33.125</v>
      </c>
      <c r="CNO13">
        <f t="shared" si="1740"/>
        <v>15</v>
      </c>
      <c r="CNP13">
        <f t="shared" si="1741"/>
        <v>35</v>
      </c>
      <c r="CNQ13">
        <f t="shared" si="1742"/>
        <v>50</v>
      </c>
      <c r="CNR13">
        <f t="shared" si="1743"/>
        <v>25</v>
      </c>
      <c r="CNS13">
        <f t="shared" si="1744"/>
        <v>0</v>
      </c>
      <c r="CNT13">
        <f t="shared" si="1745"/>
        <v>0</v>
      </c>
      <c r="CNU13">
        <f t="shared" si="1746"/>
        <v>0</v>
      </c>
      <c r="CNV13">
        <f t="shared" si="1747"/>
        <v>0</v>
      </c>
      <c r="CNW13">
        <f t="shared" si="1748"/>
        <v>0</v>
      </c>
      <c r="CNX13">
        <f t="shared" si="1749"/>
        <v>0</v>
      </c>
      <c r="CNY13">
        <f t="shared" si="1750"/>
        <v>0</v>
      </c>
      <c r="CNZ13">
        <f t="shared" si="1751"/>
        <v>0</v>
      </c>
      <c r="COA13">
        <f t="shared" si="1752"/>
        <v>0</v>
      </c>
      <c r="COB13">
        <f t="shared" si="1753"/>
        <v>0</v>
      </c>
      <c r="COC13">
        <f t="shared" si="1754"/>
        <v>0</v>
      </c>
      <c r="COD13">
        <f t="shared" si="1755"/>
        <v>12.5</v>
      </c>
      <c r="COE13">
        <f t="shared" si="1756"/>
        <v>12.5</v>
      </c>
      <c r="COF13">
        <f t="shared" si="1757"/>
        <v>12.5</v>
      </c>
      <c r="COG13">
        <f t="shared" si="1758"/>
        <v>23.125</v>
      </c>
      <c r="COH13">
        <f t="shared" si="1759"/>
        <v>23.125</v>
      </c>
      <c r="COI13">
        <f t="shared" si="1760"/>
        <v>23.125</v>
      </c>
      <c r="COJ13">
        <f t="shared" si="1761"/>
        <v>23.125</v>
      </c>
      <c r="COK13">
        <f t="shared" si="1762"/>
        <v>35</v>
      </c>
      <c r="COL13">
        <f t="shared" si="1763"/>
        <v>35</v>
      </c>
      <c r="COM13">
        <f t="shared" si="1764"/>
        <v>50</v>
      </c>
      <c r="CON13">
        <f t="shared" si="1765"/>
        <v>25</v>
      </c>
      <c r="COO13">
        <f t="shared" si="1766"/>
        <v>0</v>
      </c>
      <c r="COP13">
        <f t="shared" si="60"/>
        <v>0</v>
      </c>
      <c r="COQ13">
        <f t="shared" si="1767"/>
        <v>0</v>
      </c>
      <c r="COR13">
        <f t="shared" si="1768"/>
        <v>0</v>
      </c>
      <c r="COS13">
        <f t="shared" si="1769"/>
        <v>0</v>
      </c>
      <c r="COT13">
        <f t="shared" si="1770"/>
        <v>0</v>
      </c>
      <c r="COU13">
        <f t="shared" si="1771"/>
        <v>0</v>
      </c>
      <c r="COV13">
        <f t="shared" si="1772"/>
        <v>0</v>
      </c>
      <c r="COW13">
        <f t="shared" si="1773"/>
        <v>0</v>
      </c>
      <c r="COX13">
        <f t="shared" si="1774"/>
        <v>0</v>
      </c>
      <c r="COY13">
        <f t="shared" si="1775"/>
        <v>0</v>
      </c>
      <c r="COZ13">
        <f t="shared" si="1776"/>
        <v>12.5</v>
      </c>
      <c r="CPA13">
        <f t="shared" si="1777"/>
        <v>12.5</v>
      </c>
      <c r="CPB13">
        <f t="shared" si="1778"/>
        <v>12.5</v>
      </c>
      <c r="CPC13">
        <f t="shared" si="1779"/>
        <v>23.125</v>
      </c>
      <c r="CPD13">
        <f t="shared" si="1780"/>
        <v>23.125</v>
      </c>
      <c r="CPE13">
        <f t="shared" si="1781"/>
        <v>23.125</v>
      </c>
      <c r="CPF13">
        <f t="shared" si="1782"/>
        <v>23.125</v>
      </c>
      <c r="CPG13">
        <f t="shared" si="1783"/>
        <v>15</v>
      </c>
      <c r="CPH13">
        <f t="shared" si="1784"/>
        <v>35</v>
      </c>
      <c r="CPI13">
        <f t="shared" si="1785"/>
        <v>50</v>
      </c>
      <c r="CPJ13">
        <f t="shared" si="1786"/>
        <v>25</v>
      </c>
      <c r="CPK13">
        <f t="shared" si="1787"/>
        <v>0</v>
      </c>
      <c r="CPL13">
        <f t="shared" si="1788"/>
        <v>0</v>
      </c>
      <c r="CPM13">
        <f t="shared" si="1789"/>
        <v>0</v>
      </c>
      <c r="CPN13">
        <f t="shared" si="1790"/>
        <v>0</v>
      </c>
      <c r="CPO13">
        <f t="shared" si="1791"/>
        <v>0</v>
      </c>
      <c r="CPP13">
        <f t="shared" si="1792"/>
        <v>0</v>
      </c>
      <c r="CPQ13">
        <f t="shared" si="1793"/>
        <v>0</v>
      </c>
      <c r="CPR13">
        <f t="shared" si="1794"/>
        <v>0</v>
      </c>
      <c r="CPS13">
        <f t="shared" si="1795"/>
        <v>0</v>
      </c>
      <c r="CPT13">
        <f t="shared" si="1796"/>
        <v>0</v>
      </c>
      <c r="CPU13">
        <f t="shared" si="1797"/>
        <v>0</v>
      </c>
      <c r="CPV13">
        <f t="shared" si="1798"/>
        <v>12.5</v>
      </c>
      <c r="CPW13">
        <f t="shared" si="1799"/>
        <v>12.5</v>
      </c>
      <c r="CPX13">
        <f t="shared" si="1800"/>
        <v>12.5</v>
      </c>
      <c r="CPY13">
        <f t="shared" si="1801"/>
        <v>33.125</v>
      </c>
      <c r="CPZ13">
        <f t="shared" si="1802"/>
        <v>33.125</v>
      </c>
      <c r="CQA13">
        <f t="shared" si="1803"/>
        <v>33.125</v>
      </c>
      <c r="CQB13">
        <f t="shared" si="1804"/>
        <v>33.125</v>
      </c>
      <c r="CQC13">
        <f t="shared" si="1805"/>
        <v>35</v>
      </c>
      <c r="CQD13">
        <f t="shared" si="1806"/>
        <v>15</v>
      </c>
      <c r="CQE13">
        <f t="shared" si="1807"/>
        <v>50</v>
      </c>
      <c r="CQF13">
        <f t="shared" si="1808"/>
        <v>25</v>
      </c>
      <c r="CQG13">
        <f t="shared" si="1809"/>
        <v>0</v>
      </c>
      <c r="CQH13">
        <f t="shared" si="1810"/>
        <v>0</v>
      </c>
      <c r="CQI13">
        <f t="shared" si="1811"/>
        <v>0</v>
      </c>
      <c r="CQJ13">
        <f t="shared" si="1812"/>
        <v>0</v>
      </c>
      <c r="CQK13">
        <f t="shared" si="1813"/>
        <v>0</v>
      </c>
      <c r="CQL13">
        <f t="shared" si="1814"/>
        <v>0</v>
      </c>
      <c r="CQM13">
        <f t="shared" si="1815"/>
        <v>0</v>
      </c>
      <c r="CQN13">
        <f t="shared" si="1816"/>
        <v>0</v>
      </c>
      <c r="CQO13">
        <f t="shared" si="1817"/>
        <v>0</v>
      </c>
      <c r="CQP13">
        <f t="shared" si="1818"/>
        <v>0</v>
      </c>
      <c r="CQQ13">
        <f t="shared" si="1819"/>
        <v>0</v>
      </c>
      <c r="CQR13">
        <f t="shared" si="1820"/>
        <v>12.5</v>
      </c>
      <c r="CQS13">
        <f t="shared" si="1821"/>
        <v>12.5</v>
      </c>
      <c r="CQT13">
        <f t="shared" si="1822"/>
        <v>12.5</v>
      </c>
      <c r="CQU13">
        <f t="shared" si="1823"/>
        <v>33.125</v>
      </c>
      <c r="CQV13">
        <f t="shared" si="1824"/>
        <v>33.125</v>
      </c>
      <c r="CQW13">
        <f t="shared" si="1825"/>
        <v>33.125</v>
      </c>
      <c r="CQX13">
        <f t="shared" si="1826"/>
        <v>33.125</v>
      </c>
      <c r="CQY13">
        <f t="shared" si="1827"/>
        <v>15</v>
      </c>
      <c r="CQZ13">
        <f t="shared" si="1828"/>
        <v>15</v>
      </c>
      <c r="CRA13">
        <f t="shared" si="1829"/>
        <v>50</v>
      </c>
      <c r="CRB13">
        <f t="shared" si="61"/>
        <v>25</v>
      </c>
      <c r="CRC13">
        <f t="shared" si="1830"/>
        <v>0</v>
      </c>
      <c r="CRD13">
        <f t="shared" si="1831"/>
        <v>0</v>
      </c>
      <c r="CRE13">
        <f t="shared" si="1832"/>
        <v>0</v>
      </c>
      <c r="CRF13">
        <f t="shared" si="1833"/>
        <v>0</v>
      </c>
      <c r="CRG13">
        <f t="shared" si="1834"/>
        <v>0</v>
      </c>
      <c r="CRH13">
        <f t="shared" si="1835"/>
        <v>0</v>
      </c>
      <c r="CRI13">
        <f t="shared" si="1836"/>
        <v>0</v>
      </c>
      <c r="CRJ13">
        <f t="shared" si="1837"/>
        <v>0</v>
      </c>
      <c r="CRK13">
        <f t="shared" si="1838"/>
        <v>0</v>
      </c>
      <c r="CRL13">
        <f t="shared" si="1839"/>
        <v>0</v>
      </c>
      <c r="CRM13">
        <f t="shared" si="1840"/>
        <v>0</v>
      </c>
      <c r="CRN13">
        <f t="shared" si="1841"/>
        <v>12.5</v>
      </c>
      <c r="CRO13">
        <f t="shared" si="1842"/>
        <v>12.5</v>
      </c>
      <c r="CRP13">
        <f t="shared" si="1843"/>
        <v>12.5</v>
      </c>
      <c r="CRQ13">
        <f t="shared" si="1844"/>
        <v>33.125</v>
      </c>
      <c r="CRR13">
        <f t="shared" si="1845"/>
        <v>23.125</v>
      </c>
      <c r="CRS13">
        <f t="shared" si="1846"/>
        <v>33.125</v>
      </c>
      <c r="CRT13">
        <f t="shared" si="1847"/>
        <v>23.125</v>
      </c>
      <c r="CRU13">
        <f t="shared" si="1848"/>
        <v>35</v>
      </c>
      <c r="CRV13">
        <f t="shared" si="1849"/>
        <v>15</v>
      </c>
      <c r="CRW13">
        <f t="shared" si="1850"/>
        <v>50</v>
      </c>
      <c r="CRX13">
        <f t="shared" si="1851"/>
        <v>25</v>
      </c>
      <c r="CRY13">
        <f t="shared" si="1852"/>
        <v>0</v>
      </c>
      <c r="CRZ13">
        <f t="shared" si="1853"/>
        <v>0</v>
      </c>
      <c r="CSA13">
        <f t="shared" si="1854"/>
        <v>0</v>
      </c>
      <c r="CSB13">
        <f t="shared" si="1855"/>
        <v>0</v>
      </c>
      <c r="CSC13">
        <f t="shared" si="1856"/>
        <v>0</v>
      </c>
      <c r="CSD13">
        <f t="shared" si="1857"/>
        <v>0</v>
      </c>
      <c r="CSE13">
        <f t="shared" si="1858"/>
        <v>0</v>
      </c>
      <c r="CSF13">
        <f t="shared" si="1859"/>
        <v>0</v>
      </c>
      <c r="CSG13">
        <f t="shared" si="1860"/>
        <v>0</v>
      </c>
      <c r="CSH13">
        <f t="shared" si="1861"/>
        <v>0</v>
      </c>
      <c r="CSI13">
        <f t="shared" si="1862"/>
        <v>0</v>
      </c>
      <c r="CSJ13">
        <f t="shared" si="1863"/>
        <v>12.5</v>
      </c>
      <c r="CSK13">
        <f t="shared" si="1864"/>
        <v>12.5</v>
      </c>
      <c r="CSL13">
        <f t="shared" si="1865"/>
        <v>12.5</v>
      </c>
      <c r="CSM13">
        <f t="shared" si="1866"/>
        <v>33.125</v>
      </c>
      <c r="CSN13">
        <f t="shared" si="1867"/>
        <v>23.125</v>
      </c>
      <c r="CSO13">
        <f t="shared" si="1868"/>
        <v>33.125</v>
      </c>
      <c r="CSP13">
        <f t="shared" si="1869"/>
        <v>23.125</v>
      </c>
      <c r="CSQ13">
        <f t="shared" si="1870"/>
        <v>15</v>
      </c>
      <c r="CSR13">
        <f t="shared" si="1871"/>
        <v>15</v>
      </c>
      <c r="CSS13">
        <f t="shared" si="1872"/>
        <v>50</v>
      </c>
      <c r="CST13">
        <f t="shared" si="1873"/>
        <v>25</v>
      </c>
      <c r="CSU13">
        <f t="shared" si="1874"/>
        <v>0</v>
      </c>
      <c r="CSV13">
        <f t="shared" si="1875"/>
        <v>0</v>
      </c>
      <c r="CSW13">
        <f t="shared" si="1876"/>
        <v>0</v>
      </c>
      <c r="CSX13">
        <f t="shared" si="1877"/>
        <v>0</v>
      </c>
      <c r="CSY13">
        <f t="shared" si="1878"/>
        <v>0</v>
      </c>
      <c r="CSZ13">
        <f t="shared" si="1879"/>
        <v>0</v>
      </c>
      <c r="CTA13">
        <f t="shared" si="1880"/>
        <v>0</v>
      </c>
      <c r="CTB13">
        <f t="shared" si="1881"/>
        <v>0</v>
      </c>
      <c r="CTC13">
        <f t="shared" si="1882"/>
        <v>0</v>
      </c>
      <c r="CTD13">
        <f t="shared" si="1883"/>
        <v>0</v>
      </c>
      <c r="CTE13">
        <f t="shared" si="1884"/>
        <v>0</v>
      </c>
      <c r="CTF13">
        <f t="shared" si="1885"/>
        <v>12.5</v>
      </c>
      <c r="CTG13">
        <f t="shared" si="1886"/>
        <v>12.5</v>
      </c>
      <c r="CTH13">
        <f t="shared" si="1887"/>
        <v>12.5</v>
      </c>
      <c r="CTI13">
        <f t="shared" si="1888"/>
        <v>23.125</v>
      </c>
      <c r="CTJ13">
        <f t="shared" si="1889"/>
        <v>33.125</v>
      </c>
      <c r="CTK13">
        <f t="shared" si="1890"/>
        <v>33.125</v>
      </c>
      <c r="CTL13">
        <f t="shared" si="1891"/>
        <v>33.125</v>
      </c>
      <c r="CTM13">
        <f t="shared" si="1892"/>
        <v>35</v>
      </c>
      <c r="CTN13">
        <f t="shared" si="62"/>
        <v>15</v>
      </c>
      <c r="CTO13">
        <f t="shared" si="1893"/>
        <v>50</v>
      </c>
      <c r="CTP13">
        <f t="shared" si="1894"/>
        <v>25</v>
      </c>
      <c r="CTQ13">
        <f t="shared" si="1895"/>
        <v>0</v>
      </c>
      <c r="CTR13">
        <f t="shared" si="1896"/>
        <v>0</v>
      </c>
      <c r="CTS13">
        <f t="shared" si="1897"/>
        <v>0</v>
      </c>
      <c r="CTT13">
        <f t="shared" si="1898"/>
        <v>0</v>
      </c>
      <c r="CTU13">
        <f t="shared" si="1899"/>
        <v>0</v>
      </c>
      <c r="CTV13">
        <f t="shared" si="1900"/>
        <v>0</v>
      </c>
      <c r="CTW13">
        <f t="shared" si="1901"/>
        <v>0</v>
      </c>
      <c r="CTX13">
        <f t="shared" si="1902"/>
        <v>0</v>
      </c>
      <c r="CTY13">
        <f t="shared" si="1903"/>
        <v>0</v>
      </c>
      <c r="CTZ13">
        <f t="shared" si="1904"/>
        <v>0</v>
      </c>
      <c r="CUA13">
        <f t="shared" si="1905"/>
        <v>0</v>
      </c>
      <c r="CUB13">
        <f t="shared" si="1906"/>
        <v>12.5</v>
      </c>
      <c r="CUC13">
        <f t="shared" si="1907"/>
        <v>12.5</v>
      </c>
      <c r="CUD13">
        <f t="shared" si="1908"/>
        <v>12.5</v>
      </c>
      <c r="CUE13">
        <f t="shared" si="1909"/>
        <v>23.125</v>
      </c>
      <c r="CUF13">
        <f t="shared" si="1910"/>
        <v>33.125</v>
      </c>
      <c r="CUG13">
        <f t="shared" si="1911"/>
        <v>33.125</v>
      </c>
      <c r="CUH13">
        <f t="shared" si="1912"/>
        <v>33.125</v>
      </c>
      <c r="CUI13">
        <f t="shared" si="1913"/>
        <v>15</v>
      </c>
      <c r="CUJ13">
        <f t="shared" si="1914"/>
        <v>15</v>
      </c>
      <c r="CUK13">
        <f t="shared" si="1915"/>
        <v>50</v>
      </c>
      <c r="CUL13">
        <f t="shared" si="1916"/>
        <v>25</v>
      </c>
      <c r="CUM13">
        <f t="shared" si="1917"/>
        <v>0</v>
      </c>
      <c r="CUN13">
        <f t="shared" si="1918"/>
        <v>0</v>
      </c>
      <c r="CUO13">
        <f t="shared" si="1919"/>
        <v>0</v>
      </c>
      <c r="CUP13">
        <f t="shared" si="1920"/>
        <v>0</v>
      </c>
      <c r="CUQ13">
        <f t="shared" si="1921"/>
        <v>0</v>
      </c>
      <c r="CUR13">
        <f t="shared" si="1922"/>
        <v>0</v>
      </c>
      <c r="CUS13">
        <f t="shared" si="1923"/>
        <v>0</v>
      </c>
      <c r="CUT13">
        <f t="shared" si="1924"/>
        <v>0</v>
      </c>
      <c r="CUU13">
        <f t="shared" si="1925"/>
        <v>0</v>
      </c>
      <c r="CUV13">
        <f t="shared" si="1926"/>
        <v>0</v>
      </c>
      <c r="CUW13">
        <f t="shared" si="1927"/>
        <v>0</v>
      </c>
      <c r="CUX13">
        <f t="shared" si="1928"/>
        <v>12.5</v>
      </c>
      <c r="CUY13">
        <f t="shared" si="1929"/>
        <v>12.5</v>
      </c>
      <c r="CUZ13">
        <f t="shared" si="1930"/>
        <v>12.5</v>
      </c>
      <c r="CVA13">
        <f t="shared" si="1931"/>
        <v>23.125</v>
      </c>
      <c r="CVB13">
        <f t="shared" si="1932"/>
        <v>23.125</v>
      </c>
      <c r="CVC13">
        <f t="shared" si="1933"/>
        <v>33.125</v>
      </c>
      <c r="CVD13">
        <f t="shared" si="1934"/>
        <v>23.125</v>
      </c>
      <c r="CVE13">
        <f t="shared" si="1935"/>
        <v>35</v>
      </c>
      <c r="CVF13">
        <f t="shared" si="1936"/>
        <v>15</v>
      </c>
      <c r="CVG13">
        <f t="shared" si="1937"/>
        <v>50</v>
      </c>
      <c r="CVH13">
        <f t="shared" si="1938"/>
        <v>25</v>
      </c>
      <c r="CVI13">
        <f t="shared" si="1939"/>
        <v>0</v>
      </c>
      <c r="CVJ13">
        <f t="shared" si="1940"/>
        <v>0</v>
      </c>
      <c r="CVK13">
        <f t="shared" si="1941"/>
        <v>0</v>
      </c>
      <c r="CVL13">
        <f t="shared" si="1942"/>
        <v>0</v>
      </c>
      <c r="CVM13">
        <f t="shared" si="1943"/>
        <v>0</v>
      </c>
      <c r="CVN13">
        <f t="shared" si="1944"/>
        <v>0</v>
      </c>
      <c r="CVO13">
        <f t="shared" si="1945"/>
        <v>0</v>
      </c>
      <c r="CVP13">
        <f t="shared" si="1946"/>
        <v>0</v>
      </c>
      <c r="CVQ13">
        <f t="shared" si="1947"/>
        <v>0</v>
      </c>
      <c r="CVR13">
        <f t="shared" si="1948"/>
        <v>0</v>
      </c>
      <c r="CVS13">
        <f t="shared" si="1949"/>
        <v>0</v>
      </c>
      <c r="CVT13">
        <f t="shared" si="1950"/>
        <v>12.5</v>
      </c>
      <c r="CVU13">
        <f t="shared" si="1951"/>
        <v>12.5</v>
      </c>
      <c r="CVV13">
        <f t="shared" si="1952"/>
        <v>12.5</v>
      </c>
      <c r="CVW13">
        <f t="shared" si="1953"/>
        <v>23.125</v>
      </c>
      <c r="CVX13">
        <f t="shared" si="1954"/>
        <v>23.125</v>
      </c>
      <c r="CVY13">
        <f t="shared" si="1955"/>
        <v>33.125</v>
      </c>
      <c r="CVZ13">
        <f t="shared" si="63"/>
        <v>23.125</v>
      </c>
      <c r="CWA13">
        <f t="shared" si="1956"/>
        <v>15</v>
      </c>
      <c r="CWB13">
        <f t="shared" si="1957"/>
        <v>15</v>
      </c>
      <c r="CWC13">
        <f t="shared" si="1958"/>
        <v>50</v>
      </c>
      <c r="CWD13">
        <f t="shared" si="1959"/>
        <v>25</v>
      </c>
      <c r="CWE13">
        <f t="shared" si="1960"/>
        <v>0</v>
      </c>
      <c r="CWF13">
        <f t="shared" si="1961"/>
        <v>0</v>
      </c>
      <c r="CWG13">
        <f t="shared" si="1962"/>
        <v>0</v>
      </c>
      <c r="CWH13">
        <f t="shared" si="1963"/>
        <v>0</v>
      </c>
      <c r="CWI13">
        <f t="shared" si="1964"/>
        <v>0</v>
      </c>
      <c r="CWJ13">
        <f t="shared" si="1965"/>
        <v>0</v>
      </c>
      <c r="CWK13">
        <f t="shared" si="1966"/>
        <v>0</v>
      </c>
      <c r="CWL13">
        <f t="shared" si="1967"/>
        <v>0</v>
      </c>
      <c r="CWM13">
        <f t="shared" si="1968"/>
        <v>0</v>
      </c>
      <c r="CWN13">
        <f t="shared" si="1969"/>
        <v>0</v>
      </c>
      <c r="CWO13">
        <f t="shared" si="1970"/>
        <v>0</v>
      </c>
      <c r="CWP13">
        <f t="shared" si="1971"/>
        <v>12.5</v>
      </c>
      <c r="CWQ13">
        <f t="shared" si="1972"/>
        <v>12.5</v>
      </c>
      <c r="CWR13">
        <f t="shared" si="1973"/>
        <v>12.5</v>
      </c>
      <c r="CWS13">
        <f t="shared" si="1974"/>
        <v>33.125</v>
      </c>
      <c r="CWT13">
        <f t="shared" si="1975"/>
        <v>33.125</v>
      </c>
      <c r="CWU13">
        <f t="shared" si="1976"/>
        <v>23.125</v>
      </c>
      <c r="CWV13">
        <f t="shared" si="1977"/>
        <v>33.125</v>
      </c>
      <c r="CWW13">
        <f t="shared" si="1978"/>
        <v>35</v>
      </c>
      <c r="CWX13">
        <f t="shared" si="1979"/>
        <v>15</v>
      </c>
      <c r="CWY13">
        <f t="shared" si="1980"/>
        <v>50</v>
      </c>
      <c r="CWZ13">
        <f t="shared" si="1981"/>
        <v>25</v>
      </c>
      <c r="CXA13">
        <f t="shared" si="1982"/>
        <v>0</v>
      </c>
      <c r="CXB13">
        <f t="shared" si="1983"/>
        <v>0</v>
      </c>
      <c r="CXC13">
        <f t="shared" si="1984"/>
        <v>0</v>
      </c>
      <c r="CXD13">
        <f t="shared" si="1985"/>
        <v>0</v>
      </c>
      <c r="CXE13">
        <f t="shared" si="1986"/>
        <v>0</v>
      </c>
      <c r="CXF13">
        <f t="shared" si="1987"/>
        <v>0</v>
      </c>
      <c r="CXG13">
        <f t="shared" si="1988"/>
        <v>0</v>
      </c>
      <c r="CXH13">
        <f t="shared" si="1989"/>
        <v>0</v>
      </c>
      <c r="CXI13">
        <f t="shared" si="1990"/>
        <v>0</v>
      </c>
      <c r="CXJ13">
        <f t="shared" si="1991"/>
        <v>0</v>
      </c>
      <c r="CXK13">
        <f t="shared" si="1992"/>
        <v>0</v>
      </c>
      <c r="CXL13">
        <f t="shared" si="1993"/>
        <v>12.5</v>
      </c>
      <c r="CXM13">
        <f t="shared" si="1994"/>
        <v>12.5</v>
      </c>
      <c r="CXN13">
        <f t="shared" si="1995"/>
        <v>12.5</v>
      </c>
      <c r="CXO13">
        <f t="shared" si="1996"/>
        <v>33.125</v>
      </c>
      <c r="CXP13">
        <f t="shared" si="1997"/>
        <v>33.125</v>
      </c>
      <c r="CXQ13">
        <f t="shared" si="1998"/>
        <v>23.125</v>
      </c>
      <c r="CXR13">
        <f t="shared" si="1999"/>
        <v>33.125</v>
      </c>
      <c r="CXS13">
        <f t="shared" si="2000"/>
        <v>15</v>
      </c>
      <c r="CXT13">
        <f t="shared" si="2001"/>
        <v>15</v>
      </c>
      <c r="CXU13">
        <f t="shared" si="2002"/>
        <v>50</v>
      </c>
      <c r="CXV13">
        <f t="shared" si="2003"/>
        <v>25</v>
      </c>
      <c r="CXW13">
        <f t="shared" si="2004"/>
        <v>0</v>
      </c>
      <c r="CXX13">
        <f t="shared" si="2005"/>
        <v>0</v>
      </c>
      <c r="CXY13">
        <f t="shared" si="2006"/>
        <v>0</v>
      </c>
      <c r="CXZ13">
        <f t="shared" si="2007"/>
        <v>0</v>
      </c>
      <c r="CYA13">
        <f t="shared" si="2008"/>
        <v>0</v>
      </c>
      <c r="CYB13">
        <f t="shared" si="2009"/>
        <v>0</v>
      </c>
      <c r="CYC13">
        <f t="shared" si="2010"/>
        <v>0</v>
      </c>
      <c r="CYD13">
        <f t="shared" si="2011"/>
        <v>0</v>
      </c>
      <c r="CYE13">
        <f t="shared" si="2012"/>
        <v>0</v>
      </c>
      <c r="CYF13">
        <f t="shared" si="2013"/>
        <v>0</v>
      </c>
      <c r="CYG13">
        <f t="shared" si="2014"/>
        <v>0</v>
      </c>
      <c r="CYH13">
        <f t="shared" si="2015"/>
        <v>12.5</v>
      </c>
      <c r="CYI13">
        <f t="shared" si="2016"/>
        <v>12.5</v>
      </c>
      <c r="CYJ13">
        <f t="shared" si="2017"/>
        <v>12.5</v>
      </c>
      <c r="CYK13">
        <f t="shared" si="2018"/>
        <v>33.125</v>
      </c>
      <c r="CYL13">
        <f t="shared" si="64"/>
        <v>23.125</v>
      </c>
      <c r="CYM13">
        <f t="shared" si="2019"/>
        <v>23.125</v>
      </c>
      <c r="CYN13">
        <f t="shared" si="2020"/>
        <v>23.125</v>
      </c>
      <c r="CYO13">
        <f t="shared" si="2021"/>
        <v>35</v>
      </c>
      <c r="CYP13">
        <f t="shared" si="2022"/>
        <v>15</v>
      </c>
      <c r="CYQ13">
        <f t="shared" si="2023"/>
        <v>50</v>
      </c>
      <c r="CYR13">
        <f t="shared" si="2024"/>
        <v>25</v>
      </c>
      <c r="CYS13">
        <f t="shared" si="2025"/>
        <v>0</v>
      </c>
      <c r="CYT13">
        <f t="shared" si="2026"/>
        <v>0</v>
      </c>
      <c r="CYU13">
        <f t="shared" si="2027"/>
        <v>0</v>
      </c>
      <c r="CYV13">
        <f t="shared" si="2028"/>
        <v>0</v>
      </c>
      <c r="CYW13">
        <f t="shared" si="2029"/>
        <v>0</v>
      </c>
      <c r="CYX13">
        <f t="shared" si="2030"/>
        <v>0</v>
      </c>
      <c r="CYY13">
        <f t="shared" si="2031"/>
        <v>0</v>
      </c>
      <c r="CYZ13">
        <f t="shared" si="2032"/>
        <v>0</v>
      </c>
      <c r="CZA13">
        <f t="shared" si="2033"/>
        <v>0</v>
      </c>
      <c r="CZB13">
        <f t="shared" si="2034"/>
        <v>0</v>
      </c>
      <c r="CZC13">
        <f t="shared" si="2035"/>
        <v>0</v>
      </c>
      <c r="CZD13">
        <f t="shared" si="2036"/>
        <v>12.5</v>
      </c>
      <c r="CZE13">
        <f t="shared" si="2037"/>
        <v>12.5</v>
      </c>
      <c r="CZF13">
        <f t="shared" si="2038"/>
        <v>12.5</v>
      </c>
      <c r="CZG13">
        <f t="shared" si="2039"/>
        <v>33.125</v>
      </c>
      <c r="CZH13">
        <f t="shared" si="2040"/>
        <v>23.125</v>
      </c>
      <c r="CZI13">
        <f t="shared" si="2041"/>
        <v>23.125</v>
      </c>
      <c r="CZJ13">
        <f t="shared" si="2042"/>
        <v>23.125</v>
      </c>
      <c r="CZK13">
        <f t="shared" si="2043"/>
        <v>15</v>
      </c>
      <c r="CZL13">
        <f t="shared" si="2044"/>
        <v>15</v>
      </c>
      <c r="CZM13">
        <f t="shared" si="2045"/>
        <v>50</v>
      </c>
      <c r="CZN13">
        <f t="shared" si="2046"/>
        <v>25</v>
      </c>
      <c r="CZO13">
        <f t="shared" si="2047"/>
        <v>0</v>
      </c>
      <c r="CZP13">
        <f t="shared" si="2048"/>
        <v>0</v>
      </c>
      <c r="CZQ13">
        <f t="shared" si="2049"/>
        <v>0</v>
      </c>
      <c r="CZR13">
        <f t="shared" si="2050"/>
        <v>0</v>
      </c>
      <c r="CZS13">
        <f t="shared" si="2051"/>
        <v>0</v>
      </c>
      <c r="CZT13">
        <f t="shared" si="2052"/>
        <v>0</v>
      </c>
      <c r="CZU13">
        <f t="shared" si="2053"/>
        <v>0</v>
      </c>
      <c r="CZV13">
        <f t="shared" si="2054"/>
        <v>0</v>
      </c>
      <c r="CZW13">
        <f t="shared" si="2055"/>
        <v>0</v>
      </c>
      <c r="CZX13">
        <f t="shared" si="2056"/>
        <v>0</v>
      </c>
      <c r="CZY13">
        <f t="shared" si="2057"/>
        <v>0</v>
      </c>
      <c r="CZZ13">
        <f t="shared" si="2058"/>
        <v>12.5</v>
      </c>
      <c r="DAA13">
        <f t="shared" si="2059"/>
        <v>12.5</v>
      </c>
      <c r="DAB13">
        <f t="shared" si="2060"/>
        <v>12.5</v>
      </c>
      <c r="DAC13">
        <f t="shared" si="2061"/>
        <v>23.125</v>
      </c>
      <c r="DAD13">
        <f t="shared" si="2062"/>
        <v>33.125</v>
      </c>
      <c r="DAE13">
        <f t="shared" si="2063"/>
        <v>23.125</v>
      </c>
      <c r="DAF13">
        <f t="shared" si="2064"/>
        <v>33.125</v>
      </c>
      <c r="DAG13">
        <f t="shared" si="2065"/>
        <v>35</v>
      </c>
      <c r="DAH13">
        <f t="shared" si="2066"/>
        <v>15</v>
      </c>
      <c r="DAI13">
        <f t="shared" si="2067"/>
        <v>50</v>
      </c>
      <c r="DAJ13">
        <f t="shared" si="2068"/>
        <v>25</v>
      </c>
      <c r="DAK13">
        <f t="shared" si="2069"/>
        <v>0</v>
      </c>
      <c r="DAL13">
        <f t="shared" si="2070"/>
        <v>0</v>
      </c>
      <c r="DAM13">
        <f t="shared" si="2071"/>
        <v>0</v>
      </c>
      <c r="DAN13">
        <f t="shared" si="2072"/>
        <v>0</v>
      </c>
      <c r="DAO13">
        <f t="shared" si="2073"/>
        <v>0</v>
      </c>
      <c r="DAP13">
        <f t="shared" si="2074"/>
        <v>0</v>
      </c>
      <c r="DAQ13">
        <f t="shared" si="2075"/>
        <v>0</v>
      </c>
      <c r="DAR13">
        <f t="shared" si="2076"/>
        <v>0</v>
      </c>
      <c r="DAS13">
        <f t="shared" si="2077"/>
        <v>0</v>
      </c>
      <c r="DAT13">
        <f t="shared" si="2078"/>
        <v>0</v>
      </c>
      <c r="DAU13">
        <f t="shared" si="2079"/>
        <v>0</v>
      </c>
      <c r="DAV13">
        <f t="shared" si="2080"/>
        <v>12.5</v>
      </c>
      <c r="DAW13">
        <f t="shared" si="2081"/>
        <v>12.5</v>
      </c>
      <c r="DAX13">
        <f t="shared" si="65"/>
        <v>12.5</v>
      </c>
      <c r="DAY13">
        <f t="shared" si="2142"/>
        <v>23.125</v>
      </c>
      <c r="DAZ13">
        <f t="shared" si="2143"/>
        <v>33.125</v>
      </c>
      <c r="DBA13">
        <f t="shared" si="2144"/>
        <v>23.125</v>
      </c>
      <c r="DBB13">
        <f t="shared" si="2082"/>
        <v>33.125</v>
      </c>
      <c r="DBC13">
        <f t="shared" si="2083"/>
        <v>15</v>
      </c>
      <c r="DBD13">
        <f t="shared" si="2084"/>
        <v>15</v>
      </c>
      <c r="DBE13">
        <f t="shared" si="2085"/>
        <v>50</v>
      </c>
      <c r="DBF13">
        <f t="shared" si="2086"/>
        <v>25</v>
      </c>
      <c r="DBG13">
        <f t="shared" si="2087"/>
        <v>0</v>
      </c>
      <c r="DBH13">
        <f t="shared" si="2088"/>
        <v>0</v>
      </c>
      <c r="DBI13">
        <f t="shared" si="2089"/>
        <v>0</v>
      </c>
      <c r="DBJ13">
        <f t="shared" si="2090"/>
        <v>0</v>
      </c>
      <c r="DBK13">
        <f t="shared" si="2091"/>
        <v>0</v>
      </c>
      <c r="DBL13">
        <f t="shared" si="2092"/>
        <v>0</v>
      </c>
      <c r="DBM13">
        <f t="shared" si="2093"/>
        <v>0</v>
      </c>
      <c r="DBN13">
        <f t="shared" si="2094"/>
        <v>0</v>
      </c>
      <c r="DBO13">
        <f t="shared" si="2095"/>
        <v>0</v>
      </c>
      <c r="DBP13">
        <f t="shared" si="2096"/>
        <v>0</v>
      </c>
      <c r="DBQ13">
        <f t="shared" si="2097"/>
        <v>0</v>
      </c>
      <c r="DBR13">
        <f t="shared" si="2098"/>
        <v>12.5</v>
      </c>
      <c r="DBS13">
        <f t="shared" si="2099"/>
        <v>12.5</v>
      </c>
      <c r="DBT13">
        <f t="shared" si="2100"/>
        <v>12.5</v>
      </c>
      <c r="DBU13">
        <f t="shared" si="2101"/>
        <v>23.125</v>
      </c>
      <c r="DBV13">
        <f t="shared" si="2102"/>
        <v>23.125</v>
      </c>
      <c r="DBW13">
        <f t="shared" si="2103"/>
        <v>23.125</v>
      </c>
      <c r="DBX13">
        <f t="shared" si="2104"/>
        <v>23.125</v>
      </c>
      <c r="DBY13">
        <f t="shared" si="2105"/>
        <v>35</v>
      </c>
      <c r="DBZ13">
        <f t="shared" si="2106"/>
        <v>15</v>
      </c>
      <c r="DCA13">
        <f t="shared" si="2107"/>
        <v>50</v>
      </c>
      <c r="DCB13">
        <f t="shared" si="2108"/>
        <v>25</v>
      </c>
      <c r="DCC13">
        <f t="shared" si="2109"/>
        <v>0</v>
      </c>
      <c r="DCD13">
        <f t="shared" si="2110"/>
        <v>0</v>
      </c>
      <c r="DCE13">
        <f t="shared" si="2111"/>
        <v>0</v>
      </c>
      <c r="DCF13">
        <f t="shared" si="2112"/>
        <v>0</v>
      </c>
      <c r="DCG13">
        <f t="shared" si="2113"/>
        <v>0</v>
      </c>
      <c r="DCH13">
        <f t="shared" si="2114"/>
        <v>0</v>
      </c>
      <c r="DCI13">
        <f t="shared" si="2115"/>
        <v>0</v>
      </c>
      <c r="DCJ13">
        <f t="shared" si="2116"/>
        <v>0</v>
      </c>
      <c r="DCK13">
        <f t="shared" si="2117"/>
        <v>0</v>
      </c>
      <c r="DCL13">
        <f t="shared" si="2118"/>
        <v>0</v>
      </c>
      <c r="DCM13">
        <f t="shared" si="2119"/>
        <v>0</v>
      </c>
      <c r="DCN13">
        <f t="shared" si="2120"/>
        <v>12.5</v>
      </c>
      <c r="DCO13">
        <f t="shared" si="2121"/>
        <v>12.5</v>
      </c>
      <c r="DCP13">
        <f t="shared" si="2122"/>
        <v>12.5</v>
      </c>
      <c r="DCQ13">
        <f t="shared" si="2123"/>
        <v>23.125</v>
      </c>
      <c r="DCR13">
        <f t="shared" si="2124"/>
        <v>23.125</v>
      </c>
      <c r="DCS13">
        <f t="shared" si="2125"/>
        <v>23.125</v>
      </c>
      <c r="DCT13">
        <f t="shared" si="2126"/>
        <v>23.125</v>
      </c>
      <c r="DCU13">
        <f t="shared" si="2127"/>
        <v>15</v>
      </c>
      <c r="DCV13">
        <f t="shared" si="2128"/>
        <v>15</v>
      </c>
      <c r="DCW13">
        <f t="shared" si="2129"/>
        <v>50</v>
      </c>
      <c r="DCX13">
        <f t="shared" si="2130"/>
        <v>25</v>
      </c>
      <c r="DCY13">
        <f t="shared" si="2131"/>
        <v>0</v>
      </c>
      <c r="DCZ13">
        <f t="shared" si="2132"/>
        <v>0</v>
      </c>
      <c r="DDA13">
        <f t="shared" si="2133"/>
        <v>0</v>
      </c>
      <c r="DDB13">
        <f t="shared" si="2134"/>
        <v>0</v>
      </c>
      <c r="DDC13">
        <f t="shared" si="2135"/>
        <v>0</v>
      </c>
      <c r="DDD13">
        <f t="shared" si="2136"/>
        <v>0</v>
      </c>
      <c r="DDE13">
        <f t="shared" si="2137"/>
        <v>0</v>
      </c>
      <c r="DDF13">
        <f t="shared" si="2138"/>
        <v>0</v>
      </c>
      <c r="DDG13">
        <f t="shared" si="2139"/>
        <v>0</v>
      </c>
      <c r="DDH13">
        <f t="shared" si="2140"/>
        <v>0</v>
      </c>
      <c r="DDI13">
        <f t="shared" si="2141"/>
        <v>0</v>
      </c>
    </row>
    <row r="14" spans="1:2839" x14ac:dyDescent="0.2">
      <c r="A14" s="1">
        <v>8</v>
      </c>
      <c r="B14">
        <f>'Demand Stage 2'!B13</f>
        <v>0</v>
      </c>
      <c r="C14">
        <f>'Demand Stage 2'!C13</f>
        <v>0</v>
      </c>
      <c r="D14">
        <f>'Demand Stage 2'!D13</f>
        <v>0</v>
      </c>
      <c r="E14">
        <f>'Demand Stage 2'!E13</f>
        <v>0</v>
      </c>
      <c r="F14">
        <f>'Demand Stage 2'!F13</f>
        <v>0</v>
      </c>
      <c r="G14">
        <f>'Demand Stage 2'!G13</f>
        <v>0</v>
      </c>
      <c r="H14">
        <f>'Demand Stage 2'!H13</f>
        <v>0</v>
      </c>
      <c r="I14">
        <f>'Demand Stage 2'!I13</f>
        <v>0</v>
      </c>
      <c r="J14">
        <f>'Demand Stage 2'!J13</f>
        <v>0</v>
      </c>
      <c r="K14">
        <f>'Demand Stage 2'!K13</f>
        <v>0</v>
      </c>
      <c r="L14">
        <f>'Demand Stage 2'!L13</f>
        <v>0</v>
      </c>
      <c r="M14">
        <f>'Demand Stage 2'!M13</f>
        <v>0</v>
      </c>
      <c r="N14">
        <f>'Demand Stage 2'!N13</f>
        <v>0</v>
      </c>
      <c r="O14">
        <f>'Demand Stage 2'!O13</f>
        <v>0</v>
      </c>
      <c r="P14">
        <f>'Demand Stage 2'!P13</f>
        <v>0</v>
      </c>
      <c r="Q14">
        <f>'Demand Stage 2'!Q13</f>
        <v>0</v>
      </c>
      <c r="R14">
        <f>'Demand Stage 2'!R13</f>
        <v>0</v>
      </c>
      <c r="S14">
        <f>'Demand Stage 2'!S13</f>
        <v>0</v>
      </c>
      <c r="T14">
        <f>'Demand Stage 2'!T13</f>
        <v>0</v>
      </c>
      <c r="U14">
        <f>'Demand Stage 2'!U13</f>
        <v>0</v>
      </c>
      <c r="V14">
        <f>'Demand Stage 2'!V13</f>
        <v>0</v>
      </c>
      <c r="W14">
        <f>'Demand Stage 2'!W13</f>
        <v>0</v>
      </c>
      <c r="X14">
        <f>'Demand Stage 2'!X13</f>
        <v>0</v>
      </c>
      <c r="Y14">
        <f>'Demand Stage 2'!Y13</f>
        <v>0</v>
      </c>
      <c r="Z14">
        <f>'Demand Stage 2'!Z13</f>
        <v>0</v>
      </c>
      <c r="AA14">
        <f>'Demand Stage 2'!AA13</f>
        <v>0</v>
      </c>
      <c r="AB14">
        <f>'Demand Stage 2'!AB13</f>
        <v>0</v>
      </c>
      <c r="AC14">
        <f>'Demand Stage 2'!AC13</f>
        <v>0</v>
      </c>
      <c r="AD14">
        <f>'Demand Stage 2'!AD13</f>
        <v>0</v>
      </c>
      <c r="AE14">
        <f>'Demand Stage 2'!AE13</f>
        <v>0</v>
      </c>
      <c r="AF14">
        <f>'Demand Stage 2'!AF13</f>
        <v>0</v>
      </c>
      <c r="AG14">
        <f>'Demand Stage 2'!AG13</f>
        <v>0</v>
      </c>
      <c r="AH14">
        <f>'Demand Stage 2'!AH13</f>
        <v>0</v>
      </c>
      <c r="AI14">
        <f>'Demand Stage 2'!AI13</f>
        <v>0</v>
      </c>
      <c r="AJ14">
        <f>'Demand Stage 2'!AJ13</f>
        <v>0</v>
      </c>
      <c r="AK14">
        <f>'Demand Stage 2'!AK13</f>
        <v>0</v>
      </c>
      <c r="AL14">
        <f>'Demand Stage 2'!AL13</f>
        <v>0</v>
      </c>
      <c r="AM14">
        <f>'Demand Stage 2'!AM13</f>
        <v>0</v>
      </c>
      <c r="AN14">
        <f>'Demand Stage 2'!AN13</f>
        <v>0</v>
      </c>
      <c r="AO14">
        <f>'Demand Stage 2'!AO13</f>
        <v>0</v>
      </c>
      <c r="AP14">
        <f>'Demand Stage 2'!AP13</f>
        <v>0</v>
      </c>
      <c r="AQ14">
        <f>'Demand Stage 2'!AQ13</f>
        <v>0</v>
      </c>
      <c r="AR14">
        <f>'Demand Stage 2'!AR13</f>
        <v>0</v>
      </c>
      <c r="AS14">
        <f>'Demand Stage 2'!AS13</f>
        <v>0</v>
      </c>
      <c r="AT14">
        <f>'Demand Stage 2'!AT13</f>
        <v>0</v>
      </c>
      <c r="AU14">
        <f>'Demand Stage 2'!AU13</f>
        <v>0</v>
      </c>
      <c r="AV14">
        <f>'Demand Stage 2'!AV13</f>
        <v>0</v>
      </c>
      <c r="AW14">
        <f>'Demand Stage 2'!AW13</f>
        <v>0</v>
      </c>
      <c r="AX14">
        <f>'Demand Stage 2'!AX13</f>
        <v>0</v>
      </c>
      <c r="AY14">
        <f>'Demand Stage 2'!AY13</f>
        <v>0</v>
      </c>
      <c r="AZ14">
        <f>'Demand Stage 2'!AZ13</f>
        <v>0</v>
      </c>
      <c r="BA14">
        <f>'Demand Stage 2'!BA13</f>
        <v>0</v>
      </c>
      <c r="BB14">
        <f>'Demand Stage 2'!BB13</f>
        <v>0</v>
      </c>
      <c r="BC14">
        <f>'Demand Stage 2'!BC13</f>
        <v>0</v>
      </c>
      <c r="BD14">
        <f>'Demand Stage 2'!BD13</f>
        <v>0</v>
      </c>
      <c r="BE14">
        <f>'Demand Stage 2'!BE13</f>
        <v>0</v>
      </c>
      <c r="BF14">
        <f>'Demand Stage 2'!BF13</f>
        <v>0</v>
      </c>
      <c r="BG14">
        <f>'Demand Stage 2'!BG13</f>
        <v>0</v>
      </c>
      <c r="BH14">
        <f>'Demand Stage 2'!BH13</f>
        <v>0</v>
      </c>
      <c r="BI14">
        <f>'Demand Stage 2'!BI13</f>
        <v>0</v>
      </c>
      <c r="BJ14">
        <f>'Demand Stage 2'!BJ13</f>
        <v>0</v>
      </c>
      <c r="BK14">
        <f>'Demand Stage 2'!BK13</f>
        <v>0</v>
      </c>
      <c r="BL14">
        <f>'Demand Stage 2'!BL13</f>
        <v>0</v>
      </c>
      <c r="BM14">
        <f>'Demand Stage 2'!BM13</f>
        <v>0</v>
      </c>
      <c r="BN14">
        <f>'Demand Stage 2'!BN13</f>
        <v>0</v>
      </c>
      <c r="BO14">
        <f>'Demand Stage 2'!BO13</f>
        <v>0</v>
      </c>
      <c r="BP14">
        <f>'Demand Stage 2'!BP13</f>
        <v>0</v>
      </c>
      <c r="BQ14">
        <f>'Demand Stage 2'!BQ13</f>
        <v>0</v>
      </c>
      <c r="BR14">
        <f>'Demand Stage 2'!BR13</f>
        <v>0</v>
      </c>
      <c r="BS14">
        <f>'Demand Stage 2'!BS13</f>
        <v>0</v>
      </c>
      <c r="BT14">
        <f>'Demand Stage 2'!BT13</f>
        <v>0</v>
      </c>
      <c r="BU14">
        <f>'Demand Stage 2'!BU13</f>
        <v>0</v>
      </c>
      <c r="BV14">
        <f>'Demand Stage 2'!BV13</f>
        <v>0</v>
      </c>
      <c r="BW14">
        <f>'Demand Stage 2'!BW13</f>
        <v>0</v>
      </c>
      <c r="BX14">
        <f>'Demand Stage 2'!BX13</f>
        <v>0</v>
      </c>
      <c r="BY14">
        <f>'Demand Stage 2'!BY13</f>
        <v>0</v>
      </c>
      <c r="BZ14">
        <f>'Demand Stage 2'!BZ13</f>
        <v>0</v>
      </c>
      <c r="CA14">
        <f>'Demand Stage 2'!CA13</f>
        <v>0</v>
      </c>
      <c r="CB14">
        <f>'Demand Stage 2'!CB13</f>
        <v>0</v>
      </c>
      <c r="CC14">
        <f>'Demand Stage 2'!CC13</f>
        <v>0</v>
      </c>
      <c r="CD14">
        <f>'Demand Stage 2'!CD13</f>
        <v>0</v>
      </c>
      <c r="CE14">
        <f>'Demand Stage 2'!CE13</f>
        <v>0</v>
      </c>
      <c r="CF14">
        <f>'Demand Stage 2'!CF13</f>
        <v>0</v>
      </c>
      <c r="CG14">
        <f>'Demand Stage 2'!CG13</f>
        <v>0</v>
      </c>
      <c r="CH14">
        <f>'Demand Stage 2'!CH13</f>
        <v>0</v>
      </c>
      <c r="CI14">
        <f>'Demand Stage 2'!CI13</f>
        <v>0</v>
      </c>
      <c r="CJ14">
        <f>'Demand Stage 2'!CJ13</f>
        <v>0</v>
      </c>
      <c r="CK14">
        <f>'Demand Stage 2'!CK13</f>
        <v>0</v>
      </c>
      <c r="CL14">
        <f>'Demand Stage 2'!CL13</f>
        <v>0</v>
      </c>
      <c r="CM14">
        <f>'Demand Stage 2'!CM13</f>
        <v>0</v>
      </c>
      <c r="CN14">
        <f>'Demand Stage 2'!CN13</f>
        <v>0</v>
      </c>
      <c r="CO14">
        <f>'Demand Stage 2'!CO13</f>
        <v>0</v>
      </c>
      <c r="CP14">
        <f>'Demand Stage 2'!CP13</f>
        <v>0</v>
      </c>
      <c r="CQ14">
        <f>'Demand Stage 2'!CQ13</f>
        <v>0</v>
      </c>
      <c r="CR14">
        <f>'Demand Stage 2'!CR13</f>
        <v>0</v>
      </c>
      <c r="CS14">
        <f>'Demand Stage 2'!CS13</f>
        <v>0</v>
      </c>
      <c r="CT14">
        <f>'Demand Stage 2'!CT13</f>
        <v>0</v>
      </c>
      <c r="CU14">
        <f>'Demand Stage 2'!CU13</f>
        <v>0</v>
      </c>
      <c r="CV14">
        <f>'Demand Stage 2'!CV13</f>
        <v>0</v>
      </c>
      <c r="CW14">
        <f>'Demand Stage 2'!CW13</f>
        <v>0</v>
      </c>
      <c r="CX14">
        <f>'Demand Stage 2'!CX13</f>
        <v>0</v>
      </c>
      <c r="CY14">
        <f>'Demand Stage 2'!CY13</f>
        <v>0</v>
      </c>
      <c r="CZ14">
        <f>'Demand Stage 2'!CZ13</f>
        <v>0</v>
      </c>
      <c r="DA14">
        <f>'Demand Stage 2'!DA13</f>
        <v>0</v>
      </c>
      <c r="DB14">
        <f>'Demand Stage 2'!DB13</f>
        <v>0</v>
      </c>
      <c r="DC14">
        <f>'Demand Stage 2'!DC13</f>
        <v>0</v>
      </c>
      <c r="DD14">
        <f>'Demand Stage 2'!DD13</f>
        <v>0</v>
      </c>
      <c r="DE14">
        <f>'Demand Stage 2'!DE13</f>
        <v>0</v>
      </c>
      <c r="DF14">
        <f>'Demand Stage 2'!DF13</f>
        <v>0</v>
      </c>
      <c r="DG14">
        <f>'Demand Stage 2'!DG13</f>
        <v>0</v>
      </c>
      <c r="DH14">
        <f>'Demand Stage 2'!DH13</f>
        <v>0</v>
      </c>
      <c r="DI14">
        <f>'Demand Stage 2'!DI13</f>
        <v>0</v>
      </c>
      <c r="DJ14">
        <f>'Demand Stage 2'!DJ13</f>
        <v>0</v>
      </c>
      <c r="DK14">
        <f>'Demand Stage 2'!DK13</f>
        <v>0</v>
      </c>
      <c r="DL14">
        <f>'Demand Stage 2'!DL13</f>
        <v>0</v>
      </c>
      <c r="DM14">
        <f>'Demand Stage 2'!DM13</f>
        <v>0</v>
      </c>
      <c r="DN14">
        <f>'Demand Stage 2'!DN13</f>
        <v>0</v>
      </c>
      <c r="DO14">
        <f>'Demand Stage 2'!DO13</f>
        <v>0</v>
      </c>
      <c r="DP14">
        <f>'Demand Stage 2'!DP13</f>
        <v>0</v>
      </c>
      <c r="DQ14">
        <f>'Demand Stage 2'!DQ13</f>
        <v>0</v>
      </c>
      <c r="DR14">
        <f>'Demand Stage 2'!DR13</f>
        <v>0</v>
      </c>
      <c r="DS14">
        <f>'Demand Stage 2'!DS13</f>
        <v>0</v>
      </c>
      <c r="DT14">
        <f>'Demand Stage 2'!DT13</f>
        <v>0</v>
      </c>
      <c r="DU14">
        <f>'Demand Stage 2'!DU13</f>
        <v>0</v>
      </c>
      <c r="DV14">
        <f>'Demand Stage 2'!DV13</f>
        <v>0</v>
      </c>
      <c r="DW14">
        <f>'Demand Stage 2'!DW13</f>
        <v>0</v>
      </c>
      <c r="DX14">
        <f>'Demand Stage 2'!DX13</f>
        <v>0</v>
      </c>
      <c r="DY14">
        <f>'Demand Stage 2'!DY13</f>
        <v>0</v>
      </c>
      <c r="DZ14">
        <f>'Demand Stage 2'!DZ13</f>
        <v>0</v>
      </c>
      <c r="EA14">
        <f>'Demand Stage 2'!EA13</f>
        <v>0</v>
      </c>
      <c r="EB14">
        <f>'Demand Stage 2'!EB13</f>
        <v>0</v>
      </c>
      <c r="EC14">
        <f>'Demand Stage 2'!EC13</f>
        <v>0</v>
      </c>
      <c r="ED14">
        <f>'Demand Stage 2'!ED13</f>
        <v>0</v>
      </c>
      <c r="EE14">
        <f>'Demand Stage 2'!EE13</f>
        <v>0</v>
      </c>
      <c r="EF14">
        <f>'Demand Stage 2'!EF13</f>
        <v>0</v>
      </c>
      <c r="EG14">
        <f>'Demand Stage 2'!EG13</f>
        <v>0</v>
      </c>
      <c r="EH14">
        <f>'Demand Stage 2'!EH13</f>
        <v>0</v>
      </c>
      <c r="EI14">
        <f>'Demand Stage 2'!EI13</f>
        <v>0</v>
      </c>
      <c r="EJ14">
        <f>'Demand Stage 2'!EJ13</f>
        <v>0</v>
      </c>
      <c r="EK14">
        <f>'Demand Stage 2'!EK13</f>
        <v>0</v>
      </c>
      <c r="EL14">
        <f>'Demand Stage 2'!EL13</f>
        <v>0</v>
      </c>
      <c r="EM14">
        <f>'Demand Stage 2'!EM13</f>
        <v>0</v>
      </c>
      <c r="EN14">
        <f>'Demand Stage 2'!EN13</f>
        <v>0</v>
      </c>
      <c r="EO14">
        <f>'Demand Stage 2'!EO13</f>
        <v>0</v>
      </c>
      <c r="EP14">
        <f>'Demand Stage 2'!EP13</f>
        <v>0</v>
      </c>
      <c r="EQ14">
        <f>'Demand Stage 2'!EQ13</f>
        <v>0</v>
      </c>
      <c r="ER14">
        <f>'Demand Stage 2'!ER13</f>
        <v>0</v>
      </c>
      <c r="ES14">
        <f>'Demand Stage 2'!ES13</f>
        <v>0</v>
      </c>
      <c r="ET14">
        <f>'Demand Stage 2'!ET13</f>
        <v>0</v>
      </c>
      <c r="EU14">
        <f>'Demand Stage 2'!EU13</f>
        <v>0</v>
      </c>
      <c r="EV14">
        <f>'Demand Stage 2'!EV13</f>
        <v>0</v>
      </c>
      <c r="EW14">
        <f>'Demand Stage 2'!EW13</f>
        <v>0</v>
      </c>
      <c r="EX14">
        <f>'Demand Stage 2'!EX13</f>
        <v>0</v>
      </c>
      <c r="EY14">
        <f>'Demand Stage 2'!EY13</f>
        <v>0</v>
      </c>
      <c r="EZ14">
        <f>'Demand Stage 2'!EZ13</f>
        <v>0</v>
      </c>
      <c r="FA14">
        <f>'Demand Stage 2'!FA13</f>
        <v>0</v>
      </c>
      <c r="FB14">
        <f>'Demand Stage 2'!FB13</f>
        <v>0</v>
      </c>
      <c r="FC14">
        <f>'Demand Stage 2'!FC13</f>
        <v>0</v>
      </c>
      <c r="FD14">
        <f>'Demand Stage 2'!FD13</f>
        <v>0</v>
      </c>
      <c r="FE14">
        <f>'Demand Stage 2'!FE13</f>
        <v>0</v>
      </c>
      <c r="FF14">
        <f>'Demand Stage 2'!FF13</f>
        <v>0</v>
      </c>
      <c r="FG14">
        <f>'Demand Stage 2'!FG13</f>
        <v>0</v>
      </c>
      <c r="FH14">
        <f>'Demand Stage 2'!FH13</f>
        <v>0</v>
      </c>
      <c r="FI14">
        <f>'Demand Stage 2'!FI13</f>
        <v>0</v>
      </c>
      <c r="FJ14">
        <f>'Demand Stage 2'!FJ13</f>
        <v>0</v>
      </c>
      <c r="FK14">
        <f>'Demand Stage 2'!FK13</f>
        <v>0</v>
      </c>
      <c r="FL14">
        <f>'Demand Stage 2'!FL13</f>
        <v>0</v>
      </c>
      <c r="FM14">
        <f>'Demand Stage 2'!FM13</f>
        <v>0</v>
      </c>
      <c r="FN14">
        <f>'Demand Stage 2'!FN13</f>
        <v>0</v>
      </c>
      <c r="FO14">
        <f>'Demand Stage 2'!FO13</f>
        <v>0</v>
      </c>
      <c r="FP14">
        <f>'Demand Stage 2'!FP13</f>
        <v>0</v>
      </c>
      <c r="FQ14">
        <f>'Demand Stage 2'!FQ13</f>
        <v>0</v>
      </c>
      <c r="FR14">
        <f>'Demand Stage 2'!FR13</f>
        <v>0</v>
      </c>
      <c r="FS14">
        <f>'Demand Stage 2'!FS13</f>
        <v>0</v>
      </c>
      <c r="FT14">
        <f>'Demand Stage 2'!FT13</f>
        <v>0</v>
      </c>
      <c r="FU14">
        <f>'Demand Stage 2'!FU13</f>
        <v>0</v>
      </c>
      <c r="FV14">
        <f>'Demand Stage 2'!FV13</f>
        <v>0</v>
      </c>
      <c r="FW14">
        <f>'Demand Stage 2'!FW13</f>
        <v>0</v>
      </c>
      <c r="FX14">
        <f>'Demand Stage 2'!FX13</f>
        <v>0</v>
      </c>
      <c r="FY14">
        <f>'Demand Stage 2'!FY13</f>
        <v>0</v>
      </c>
      <c r="FZ14">
        <f>'Demand Stage 2'!FZ13</f>
        <v>0</v>
      </c>
      <c r="GA14">
        <f>'Demand Stage 2'!GA13</f>
        <v>0</v>
      </c>
      <c r="GB14">
        <f>'Demand Stage 2'!GB13</f>
        <v>0</v>
      </c>
      <c r="GC14">
        <f>'Demand Stage 2'!GC13</f>
        <v>0</v>
      </c>
      <c r="GD14">
        <f>'Demand Stage 2'!GD13</f>
        <v>0</v>
      </c>
      <c r="GE14">
        <f>'Demand Stage 2'!GE13</f>
        <v>0</v>
      </c>
      <c r="GF14">
        <f>'Demand Stage 2'!GF13</f>
        <v>0</v>
      </c>
      <c r="GG14">
        <f>'Demand Stage 2'!GG13</f>
        <v>0</v>
      </c>
      <c r="GH14">
        <f>'Demand Stage 2'!GH13</f>
        <v>0</v>
      </c>
      <c r="GI14">
        <f>'Demand Stage 2'!GI13</f>
        <v>0</v>
      </c>
      <c r="GJ14">
        <f>'Demand Stage 2'!GJ13</f>
        <v>0</v>
      </c>
      <c r="GK14">
        <f>'Demand Stage 2'!GK13</f>
        <v>0</v>
      </c>
      <c r="GL14">
        <f>'Demand Stage 2'!GL13</f>
        <v>0</v>
      </c>
      <c r="GM14">
        <f>'Demand Stage 2'!GM13</f>
        <v>0</v>
      </c>
      <c r="GN14">
        <f>'Demand Stage 2'!GN13</f>
        <v>0</v>
      </c>
      <c r="GO14">
        <f>'Demand Stage 2'!GO13</f>
        <v>0</v>
      </c>
      <c r="GP14">
        <f>'Demand Stage 2'!GP13</f>
        <v>0</v>
      </c>
      <c r="GQ14">
        <f>'Demand Stage 2'!GQ13</f>
        <v>0</v>
      </c>
      <c r="GR14">
        <f>'Demand Stage 2'!GR13</f>
        <v>0</v>
      </c>
      <c r="GS14">
        <f>'Demand Stage 2'!GS13</f>
        <v>0</v>
      </c>
      <c r="GT14">
        <f>'Demand Stage 2'!GT13</f>
        <v>0</v>
      </c>
      <c r="GU14">
        <f>'Demand Stage 2'!GU13</f>
        <v>0</v>
      </c>
      <c r="GV14">
        <f>'Demand Stage 2'!GV13</f>
        <v>0</v>
      </c>
      <c r="GW14">
        <f>'Demand Stage 2'!GW13</f>
        <v>0</v>
      </c>
      <c r="GX14">
        <f>'Demand Stage 2'!GX13</f>
        <v>0</v>
      </c>
      <c r="GY14">
        <f>'Demand Stage 2'!GY13</f>
        <v>0</v>
      </c>
      <c r="GZ14">
        <f>'Demand Stage 2'!GZ13</f>
        <v>0</v>
      </c>
      <c r="HA14">
        <f>'Demand Stage 2'!HA13</f>
        <v>0</v>
      </c>
      <c r="HB14">
        <f>'Demand Stage 2'!HB13</f>
        <v>0</v>
      </c>
      <c r="HC14">
        <f>'Demand Stage 2'!HC13</f>
        <v>0</v>
      </c>
      <c r="HD14">
        <f>'Demand Stage 2'!HD13</f>
        <v>0</v>
      </c>
      <c r="HE14">
        <f>'Demand Stage 2'!HE13</f>
        <v>0</v>
      </c>
      <c r="HF14">
        <f>'Demand Stage 2'!HF13</f>
        <v>0</v>
      </c>
      <c r="HG14">
        <f>'Demand Stage 2'!HG13</f>
        <v>0</v>
      </c>
      <c r="HH14">
        <f>'Demand Stage 2'!HH13</f>
        <v>0</v>
      </c>
      <c r="HI14">
        <f>'Demand Stage 2'!HI13</f>
        <v>0</v>
      </c>
      <c r="HJ14">
        <f>'Demand Stage 2'!HJ13</f>
        <v>0</v>
      </c>
      <c r="HK14">
        <f>'Demand Stage 2'!HK13</f>
        <v>0</v>
      </c>
      <c r="HL14">
        <f>'Demand Stage 2'!HL13</f>
        <v>0</v>
      </c>
      <c r="HM14">
        <f>'Demand Stage 2'!HM13</f>
        <v>0</v>
      </c>
      <c r="HN14">
        <f>'Demand Stage 2'!HN13</f>
        <v>0</v>
      </c>
      <c r="HO14">
        <f>'Demand Stage 2'!HO13</f>
        <v>0</v>
      </c>
      <c r="HP14">
        <f>'Demand Stage 2'!HP13</f>
        <v>0</v>
      </c>
      <c r="HQ14">
        <f>'Demand Stage 2'!HQ13</f>
        <v>0</v>
      </c>
      <c r="HR14">
        <f>'Demand Stage 2'!HR13</f>
        <v>0</v>
      </c>
      <c r="HS14">
        <f>'Demand Stage 2'!HS13</f>
        <v>0</v>
      </c>
      <c r="HT14">
        <f>'Demand Stage 2'!HT13</f>
        <v>0</v>
      </c>
      <c r="HU14">
        <f>'Demand Stage 2'!HU13</f>
        <v>0</v>
      </c>
      <c r="HV14">
        <f>'Demand Stage 2'!HV13</f>
        <v>0</v>
      </c>
      <c r="HW14">
        <f>'Demand Stage 2'!HW13</f>
        <v>0</v>
      </c>
      <c r="HX14">
        <f>'Demand Stage 2'!HX13</f>
        <v>0</v>
      </c>
      <c r="HY14">
        <f>'Demand Stage 2'!HY13</f>
        <v>0</v>
      </c>
      <c r="HZ14">
        <f>'Demand Stage 2'!HZ13</f>
        <v>0</v>
      </c>
      <c r="IA14">
        <f>'Demand Stage 2'!IA13</f>
        <v>0</v>
      </c>
      <c r="IB14">
        <f>'Demand Stage 2'!IB13</f>
        <v>0</v>
      </c>
      <c r="IC14">
        <f>'Demand Stage 2'!IC13</f>
        <v>0</v>
      </c>
      <c r="ID14">
        <f>'Demand Stage 2'!ID13</f>
        <v>0</v>
      </c>
      <c r="IE14">
        <f>'Demand Stage 2'!IE13</f>
        <v>0</v>
      </c>
      <c r="IF14">
        <f>'Demand Stage 2'!IF13</f>
        <v>0</v>
      </c>
      <c r="IG14">
        <f>'Demand Stage 2'!IG13</f>
        <v>0</v>
      </c>
      <c r="IH14">
        <f>'Demand Stage 2'!IH13</f>
        <v>0</v>
      </c>
      <c r="II14">
        <f>'Demand Stage 2'!II13</f>
        <v>0</v>
      </c>
      <c r="IJ14">
        <f>'Demand Stage 2'!IJ13</f>
        <v>0</v>
      </c>
      <c r="IK14">
        <f>'Demand Stage 2'!IK13</f>
        <v>0</v>
      </c>
      <c r="IL14">
        <f>'Demand Stage 2'!IL13</f>
        <v>0</v>
      </c>
      <c r="IM14">
        <f>'Demand Stage 2'!IM13</f>
        <v>0</v>
      </c>
      <c r="IN14">
        <f>'Demand Stage 2'!IN13</f>
        <v>0</v>
      </c>
      <c r="IO14">
        <f>'Demand Stage 2'!IO13</f>
        <v>0</v>
      </c>
      <c r="IP14">
        <f>'Demand Stage 2'!IP13</f>
        <v>0</v>
      </c>
      <c r="IQ14">
        <f>'Demand Stage 2'!IQ13</f>
        <v>0</v>
      </c>
      <c r="IR14">
        <f>'Demand Stage 2'!IR13</f>
        <v>0</v>
      </c>
      <c r="IS14">
        <f>'Demand Stage 2'!IS13</f>
        <v>0</v>
      </c>
      <c r="IT14">
        <f>'Demand Stage 2'!IT13</f>
        <v>0</v>
      </c>
      <c r="IU14">
        <f>'Demand Stage 2'!IU13</f>
        <v>0</v>
      </c>
      <c r="IV14">
        <f>'Demand Stage 2'!IV13</f>
        <v>0</v>
      </c>
      <c r="IW14">
        <f>'Demand Stage 2'!IW13</f>
        <v>0</v>
      </c>
      <c r="IX14">
        <f>'Demand Stage 2'!IX13</f>
        <v>0</v>
      </c>
      <c r="IY14">
        <f>'Demand Stage 2'!IY13</f>
        <v>0</v>
      </c>
      <c r="IZ14">
        <f>'Demand Stage 2'!IZ13</f>
        <v>0</v>
      </c>
      <c r="JA14">
        <f>'Demand Stage 2'!JA13</f>
        <v>0</v>
      </c>
      <c r="JB14">
        <f>'Demand Stage 2'!JB13</f>
        <v>0</v>
      </c>
      <c r="JC14">
        <f>'Demand Stage 2'!JC13</f>
        <v>0</v>
      </c>
      <c r="JD14">
        <f>'Demand Stage 2'!JD13</f>
        <v>0</v>
      </c>
      <c r="JE14">
        <f>'Demand Stage 2'!JE13</f>
        <v>0</v>
      </c>
      <c r="JF14">
        <f>'Demand Stage 2'!JF13</f>
        <v>0</v>
      </c>
      <c r="JG14">
        <f>'Demand Stage 2'!JG13</f>
        <v>0</v>
      </c>
      <c r="JH14">
        <f>'Demand Stage 2'!JH13</f>
        <v>0</v>
      </c>
      <c r="JI14">
        <f>'Demand Stage 2'!JI13</f>
        <v>0</v>
      </c>
      <c r="JJ14">
        <f>'Demand Stage 2'!JJ13</f>
        <v>0</v>
      </c>
      <c r="JK14">
        <f>'Demand Stage 2'!JK13</f>
        <v>0</v>
      </c>
      <c r="JL14">
        <f>'Demand Stage 2'!JL13</f>
        <v>0</v>
      </c>
      <c r="JM14">
        <f>'Demand Stage 2'!JM13</f>
        <v>0</v>
      </c>
      <c r="JN14">
        <f>'Demand Stage 2'!JN13</f>
        <v>0</v>
      </c>
      <c r="JO14">
        <f>'Demand Stage 2'!JO13</f>
        <v>0</v>
      </c>
      <c r="JP14">
        <f>'Demand Stage 2'!JP13</f>
        <v>0</v>
      </c>
      <c r="JQ14">
        <f>'Demand Stage 2'!JQ13</f>
        <v>0</v>
      </c>
      <c r="JR14">
        <f>'Demand Stage 2'!JR13</f>
        <v>0</v>
      </c>
      <c r="JS14">
        <f>'Demand Stage 2'!JS13</f>
        <v>0</v>
      </c>
      <c r="JT14">
        <f>'Demand Stage 2'!JT13</f>
        <v>0</v>
      </c>
      <c r="JU14">
        <f>'Demand Stage 2'!JU13</f>
        <v>0</v>
      </c>
      <c r="JV14">
        <f>'Demand Stage 2'!JV13</f>
        <v>0</v>
      </c>
      <c r="JW14">
        <f>'Demand Stage 2'!JW13</f>
        <v>0</v>
      </c>
      <c r="JX14">
        <f>'Demand Stage 2'!JX13</f>
        <v>0</v>
      </c>
      <c r="JY14">
        <f>'Demand Stage 2'!JY13</f>
        <v>0</v>
      </c>
      <c r="JZ14">
        <f>'Demand Stage 2'!JZ13</f>
        <v>0</v>
      </c>
      <c r="KA14">
        <f>'Demand Stage 2'!KA13</f>
        <v>0</v>
      </c>
      <c r="KB14">
        <f>'Demand Stage 2'!KB13</f>
        <v>0</v>
      </c>
      <c r="KC14">
        <f>'Demand Stage 2'!KC13</f>
        <v>0</v>
      </c>
      <c r="KD14">
        <f>'Demand Stage 2'!KD13</f>
        <v>0</v>
      </c>
      <c r="KE14">
        <f>'Demand Stage 2'!KE13</f>
        <v>0</v>
      </c>
      <c r="KF14">
        <f>'Demand Stage 2'!KF13</f>
        <v>0</v>
      </c>
      <c r="KG14">
        <f>'Demand Stage 2'!KG13</f>
        <v>0</v>
      </c>
      <c r="KH14">
        <f>'Demand Stage 2'!KH13</f>
        <v>0</v>
      </c>
      <c r="KI14">
        <f>'Demand Stage 2'!KI13</f>
        <v>0</v>
      </c>
      <c r="KJ14">
        <f>'Demand Stage 2'!KJ13</f>
        <v>0</v>
      </c>
      <c r="KK14">
        <f>'Demand Stage 2'!KK13</f>
        <v>0</v>
      </c>
      <c r="KL14">
        <f>'Demand Stage 2'!KL13</f>
        <v>0</v>
      </c>
      <c r="KM14">
        <f>'Demand Stage 2'!KM13</f>
        <v>0</v>
      </c>
      <c r="KN14">
        <f>'Demand Stage 2'!KN13</f>
        <v>0</v>
      </c>
      <c r="KO14">
        <f>'Demand Stage 2'!KO13</f>
        <v>0</v>
      </c>
      <c r="KP14">
        <f>'Demand Stage 2'!KP13</f>
        <v>0</v>
      </c>
      <c r="KQ14">
        <f>'Demand Stage 2'!KQ13</f>
        <v>0</v>
      </c>
      <c r="KR14">
        <f>'Demand Stage 2'!KR13</f>
        <v>0</v>
      </c>
      <c r="KS14">
        <f>'Demand Stage 2'!KS13</f>
        <v>0</v>
      </c>
      <c r="KT14">
        <f>'Demand Stage 2'!KT13</f>
        <v>0</v>
      </c>
      <c r="KU14">
        <f>'Demand Stage 2'!KU13</f>
        <v>0</v>
      </c>
      <c r="KV14">
        <f>'Demand Stage 2'!KV13</f>
        <v>0</v>
      </c>
      <c r="KW14">
        <f>'Demand Stage 2'!KW13</f>
        <v>0</v>
      </c>
      <c r="KX14">
        <f>'Demand Stage 2'!KX13</f>
        <v>0</v>
      </c>
      <c r="KY14">
        <f>'Demand Stage 2'!KY13</f>
        <v>0</v>
      </c>
      <c r="KZ14">
        <f>'Demand Stage 2'!KZ13</f>
        <v>0</v>
      </c>
      <c r="LA14">
        <f>'Demand Stage 2'!LA13</f>
        <v>0</v>
      </c>
      <c r="LB14">
        <f>'Demand Stage 2'!LB13</f>
        <v>0</v>
      </c>
      <c r="LC14">
        <f>'Demand Stage 2'!LC13</f>
        <v>0</v>
      </c>
      <c r="LD14">
        <f>'Demand Stage 2'!LD13</f>
        <v>0</v>
      </c>
      <c r="LE14">
        <f>'Demand Stage 2'!LE13</f>
        <v>0</v>
      </c>
      <c r="LF14">
        <f>'Demand Stage 2'!LF13</f>
        <v>0</v>
      </c>
      <c r="LG14">
        <f>'Demand Stage 2'!LG13</f>
        <v>0</v>
      </c>
      <c r="LH14">
        <f>'Demand Stage 2'!LH13</f>
        <v>0</v>
      </c>
      <c r="LI14">
        <f>'Demand Stage 2'!LI13</f>
        <v>0</v>
      </c>
      <c r="LJ14">
        <f>'Demand Stage 2'!LJ13</f>
        <v>0</v>
      </c>
      <c r="LK14">
        <f>'Demand Stage 2'!LK13</f>
        <v>0</v>
      </c>
      <c r="LL14">
        <f>'Demand Stage 2'!LL13</f>
        <v>0</v>
      </c>
      <c r="LM14">
        <f>'Demand Stage 2'!LM13</f>
        <v>0</v>
      </c>
      <c r="LN14">
        <f>'Demand Stage 2'!LN13</f>
        <v>0</v>
      </c>
      <c r="LO14">
        <f>'Demand Stage 2'!LO13</f>
        <v>0</v>
      </c>
      <c r="LP14">
        <f>'Demand Stage 2'!LP13</f>
        <v>0</v>
      </c>
      <c r="LQ14">
        <f>'Demand Stage 2'!LQ13</f>
        <v>0</v>
      </c>
      <c r="LR14">
        <f>'Demand Stage 2'!LR13</f>
        <v>0</v>
      </c>
      <c r="LS14">
        <f>'Demand Stage 2'!LS13</f>
        <v>0</v>
      </c>
      <c r="LT14">
        <f>'Demand Stage 2'!LT13</f>
        <v>0</v>
      </c>
      <c r="LU14">
        <f>'Demand Stage 2'!LU13</f>
        <v>0</v>
      </c>
      <c r="LV14">
        <f>'Demand Stage 2'!LV13</f>
        <v>0</v>
      </c>
      <c r="LW14">
        <f>'Demand Stage 2'!LW13</f>
        <v>0</v>
      </c>
      <c r="LX14">
        <f>'Demand Stage 2'!LX13</f>
        <v>0</v>
      </c>
      <c r="LY14">
        <f>'Demand Stage 2'!LY13</f>
        <v>0</v>
      </c>
      <c r="LZ14">
        <f>'Demand Stage 2'!LZ13</f>
        <v>0</v>
      </c>
      <c r="MA14">
        <f>'Demand Stage 2'!MA13</f>
        <v>0</v>
      </c>
      <c r="MB14">
        <f>'Demand Stage 2'!MB13</f>
        <v>0</v>
      </c>
      <c r="MC14">
        <f>'Demand Stage 2'!MC13</f>
        <v>0</v>
      </c>
      <c r="MD14">
        <f>'Demand Stage 2'!MD13</f>
        <v>0</v>
      </c>
      <c r="ME14">
        <f>'Demand Stage 2'!ME13</f>
        <v>0</v>
      </c>
      <c r="MF14">
        <f>'Demand Stage 2'!MF13</f>
        <v>0</v>
      </c>
      <c r="MG14">
        <f>'Demand Stage 2'!MG13</f>
        <v>0</v>
      </c>
      <c r="MH14">
        <f>'Demand Stage 2'!MH13</f>
        <v>0</v>
      </c>
      <c r="MI14">
        <f>'Demand Stage 2'!MI13</f>
        <v>0</v>
      </c>
      <c r="MJ14">
        <f>'Demand Stage 2'!MJ13</f>
        <v>0</v>
      </c>
      <c r="MK14">
        <f>'Demand Stage 2'!MK13</f>
        <v>0</v>
      </c>
      <c r="ML14">
        <f>'Demand Stage 2'!ML13</f>
        <v>0</v>
      </c>
      <c r="MM14">
        <f>'Demand Stage 2'!MM13</f>
        <v>0</v>
      </c>
      <c r="MN14">
        <f>'Demand Stage 2'!MN13</f>
        <v>0</v>
      </c>
      <c r="MO14">
        <f>'Demand Stage 2'!MO13</f>
        <v>0</v>
      </c>
      <c r="MP14">
        <f>'Demand Stage 2'!MP13</f>
        <v>0</v>
      </c>
      <c r="MQ14">
        <f>'Demand Stage 2'!MQ13</f>
        <v>0</v>
      </c>
      <c r="MR14">
        <f>'Demand Stage 2'!MR13</f>
        <v>0</v>
      </c>
      <c r="MS14">
        <f>'Demand Stage 2'!MS13</f>
        <v>0</v>
      </c>
      <c r="MT14">
        <f>'Demand Stage 2'!MT13</f>
        <v>0</v>
      </c>
      <c r="MU14">
        <f>'Demand Stage 2'!MU13</f>
        <v>0</v>
      </c>
      <c r="MV14">
        <f>'Demand Stage 2'!MV13</f>
        <v>0</v>
      </c>
      <c r="MW14">
        <f>'Demand Stage 2'!MW13</f>
        <v>0</v>
      </c>
      <c r="MX14">
        <f>'Demand Stage 2'!MX13</f>
        <v>0</v>
      </c>
      <c r="MY14">
        <f>'Demand Stage 2'!MY13</f>
        <v>0</v>
      </c>
      <c r="MZ14">
        <f>'Demand Stage 2'!MZ13</f>
        <v>0</v>
      </c>
      <c r="NA14">
        <f>'Demand Stage 2'!NA13</f>
        <v>0</v>
      </c>
      <c r="NB14">
        <f>'Demand Stage 2'!NB13</f>
        <v>0</v>
      </c>
      <c r="NC14">
        <f>'Demand Stage 2'!NC13</f>
        <v>0</v>
      </c>
      <c r="ND14">
        <f>'Demand Stage 2'!ND13</f>
        <v>0</v>
      </c>
      <c r="NE14">
        <f>'Demand Stage 2'!NE13</f>
        <v>0</v>
      </c>
      <c r="NF14">
        <f>'Demand Stage 2'!NF13</f>
        <v>0</v>
      </c>
      <c r="NG14">
        <f>'Demand Stage 2'!NG13</f>
        <v>0</v>
      </c>
      <c r="NH14">
        <f>'Demand Stage 2'!NH13</f>
        <v>0</v>
      </c>
      <c r="NI14">
        <f>'Demand Stage 2'!NI13</f>
        <v>0</v>
      </c>
      <c r="NJ14">
        <f>'Demand Stage 2'!NJ13</f>
        <v>0</v>
      </c>
      <c r="NK14">
        <f>'Demand Stage 2'!NK13</f>
        <v>0</v>
      </c>
      <c r="NL14">
        <f>'Demand Stage 2'!NL13</f>
        <v>0</v>
      </c>
      <c r="NM14">
        <f>'Demand Stage 2'!NM13</f>
        <v>0</v>
      </c>
      <c r="NN14">
        <f>'Demand Stage 2'!NN13</f>
        <v>0</v>
      </c>
      <c r="NO14">
        <f>'Demand Stage 2'!NO13</f>
        <v>0</v>
      </c>
      <c r="NP14">
        <f>'Demand Stage 2'!NP13</f>
        <v>0</v>
      </c>
      <c r="NQ14">
        <f>'Demand Stage 2'!NQ13</f>
        <v>0</v>
      </c>
      <c r="NR14">
        <f>'Demand Stage 2'!NR13</f>
        <v>0</v>
      </c>
      <c r="NS14">
        <f>'Demand Stage 2'!NS13</f>
        <v>0</v>
      </c>
      <c r="NT14">
        <f>'Demand Stage 2'!NT13</f>
        <v>0</v>
      </c>
      <c r="NU14">
        <f>'Demand Stage 2'!NU13</f>
        <v>0</v>
      </c>
      <c r="NV14">
        <f>'Demand Stage 2'!NV13</f>
        <v>0</v>
      </c>
      <c r="NW14">
        <f>'Demand Stage 2'!NW13</f>
        <v>0</v>
      </c>
      <c r="NX14">
        <f>'Demand Stage 2'!NX13</f>
        <v>0</v>
      </c>
      <c r="NY14">
        <f>'Demand Stage 2'!NY13</f>
        <v>0</v>
      </c>
      <c r="NZ14">
        <f>'Demand Stage 2'!NZ13</f>
        <v>0</v>
      </c>
      <c r="OA14">
        <f>'Demand Stage 2'!OA13</f>
        <v>0</v>
      </c>
      <c r="OB14">
        <f>'Demand Stage 2'!OB13</f>
        <v>0</v>
      </c>
      <c r="OC14">
        <f>'Demand Stage 2'!OC13</f>
        <v>0</v>
      </c>
      <c r="OD14">
        <f>'Demand Stage 2'!OD13</f>
        <v>0</v>
      </c>
      <c r="OE14">
        <f>'Demand Stage 2'!OE13</f>
        <v>0</v>
      </c>
      <c r="OF14">
        <f>'Demand Stage 2'!OF13</f>
        <v>0</v>
      </c>
      <c r="OG14">
        <f>'Demand Stage 2'!OG13</f>
        <v>0</v>
      </c>
      <c r="OH14">
        <f>'Demand Stage 2'!OH13</f>
        <v>0</v>
      </c>
      <c r="OI14">
        <f>'Demand Stage 2'!OI13</f>
        <v>0</v>
      </c>
      <c r="OJ14">
        <f>'Demand Stage 2'!OJ13</f>
        <v>0</v>
      </c>
      <c r="OK14">
        <f>'Demand Stage 2'!OK13</f>
        <v>0</v>
      </c>
      <c r="OL14">
        <f>'Demand Stage 2'!OL13</f>
        <v>0</v>
      </c>
      <c r="OM14">
        <f>'Demand Stage 2'!OM13</f>
        <v>0</v>
      </c>
      <c r="ON14">
        <f>'Demand Stage 2'!ON13</f>
        <v>0</v>
      </c>
      <c r="OO14">
        <f>'Demand Stage 2'!OO13</f>
        <v>0</v>
      </c>
      <c r="OP14">
        <f>'Demand Stage 2'!OP13</f>
        <v>0</v>
      </c>
      <c r="OQ14">
        <f>'Demand Stage 2'!OQ13</f>
        <v>0</v>
      </c>
      <c r="OR14">
        <f>'Demand Stage 2'!OR13</f>
        <v>0</v>
      </c>
      <c r="OS14">
        <f>'Demand Stage 2'!OS13</f>
        <v>0</v>
      </c>
      <c r="OT14">
        <f>'Demand Stage 2'!OT13</f>
        <v>0</v>
      </c>
      <c r="OU14">
        <f>'Demand Stage 2'!OU13</f>
        <v>0</v>
      </c>
      <c r="OV14">
        <f>'Demand Stage 2'!OV13</f>
        <v>0</v>
      </c>
      <c r="OW14">
        <f>'Demand Stage 2'!OW13</f>
        <v>0</v>
      </c>
      <c r="OX14">
        <f>'Demand Stage 2'!OX13</f>
        <v>0</v>
      </c>
      <c r="OY14">
        <f>'Demand Stage 2'!OY13</f>
        <v>0</v>
      </c>
      <c r="OZ14">
        <f>'Demand Stage 2'!OZ13</f>
        <v>0</v>
      </c>
      <c r="PA14">
        <f>'Demand Stage 2'!PA13</f>
        <v>0</v>
      </c>
      <c r="PB14">
        <f>'Demand Stage 2'!PB13</f>
        <v>0</v>
      </c>
      <c r="PC14">
        <f>'Demand Stage 2'!PC13</f>
        <v>0</v>
      </c>
      <c r="PD14">
        <f>'Demand Stage 2'!PD13</f>
        <v>0</v>
      </c>
      <c r="PE14">
        <f>'Demand Stage 2'!PE13</f>
        <v>0</v>
      </c>
      <c r="PF14">
        <f>'Demand Stage 2'!PF13</f>
        <v>0</v>
      </c>
      <c r="PG14">
        <f>'Demand Stage 2'!PG13</f>
        <v>0</v>
      </c>
      <c r="PH14">
        <f>'Demand Stage 2'!PH13</f>
        <v>0</v>
      </c>
      <c r="PI14">
        <f>'Demand Stage 2'!PI13</f>
        <v>0</v>
      </c>
      <c r="PJ14">
        <f>'Demand Stage 2'!PJ13</f>
        <v>0</v>
      </c>
      <c r="PK14">
        <f>'Demand Stage 2'!PK13</f>
        <v>0</v>
      </c>
      <c r="PL14">
        <f>'Demand Stage 2'!PL13</f>
        <v>0</v>
      </c>
      <c r="PM14">
        <f>'Demand Stage 2'!PM13</f>
        <v>0</v>
      </c>
      <c r="PN14">
        <f>'Demand Stage 2'!PN13</f>
        <v>0</v>
      </c>
      <c r="PO14">
        <f>'Demand Stage 2'!PO13</f>
        <v>0</v>
      </c>
      <c r="PP14">
        <f>'Demand Stage 2'!PP13</f>
        <v>0</v>
      </c>
      <c r="PQ14">
        <f>'Demand Stage 2'!PQ13</f>
        <v>0</v>
      </c>
      <c r="PR14">
        <f>'Demand Stage 2'!PR13</f>
        <v>0</v>
      </c>
      <c r="PS14">
        <f>'Demand Stage 2'!PS13</f>
        <v>0</v>
      </c>
      <c r="PT14">
        <f>'Demand Stage 2'!PT13</f>
        <v>0</v>
      </c>
      <c r="PU14">
        <f>'Demand Stage 2'!PU13</f>
        <v>0</v>
      </c>
      <c r="PV14">
        <f>'Demand Stage 2'!PV13</f>
        <v>0</v>
      </c>
      <c r="PW14">
        <f>'Demand Stage 2'!PW13</f>
        <v>0</v>
      </c>
      <c r="PX14">
        <f>'Demand Stage 2'!PX13</f>
        <v>0</v>
      </c>
      <c r="PY14">
        <f>'Demand Stage 2'!PY13</f>
        <v>0</v>
      </c>
      <c r="PZ14">
        <f>'Demand Stage 2'!PZ13</f>
        <v>0</v>
      </c>
      <c r="QA14">
        <f>'Demand Stage 2'!QA13</f>
        <v>0</v>
      </c>
      <c r="QB14">
        <f>'Demand Stage 2'!QB13</f>
        <v>0</v>
      </c>
      <c r="QC14">
        <f>'Demand Stage 2'!QC13</f>
        <v>0</v>
      </c>
      <c r="QD14">
        <f>'Demand Stage 2'!QD13</f>
        <v>0</v>
      </c>
      <c r="QE14">
        <f>'Demand Stage 2'!QE13</f>
        <v>0</v>
      </c>
      <c r="QF14">
        <f>'Demand Stage 2'!QF13</f>
        <v>0</v>
      </c>
      <c r="QG14">
        <f>'Demand Stage 2'!QG13</f>
        <v>0</v>
      </c>
      <c r="QH14">
        <f>'Demand Stage 2'!QH13</f>
        <v>0</v>
      </c>
      <c r="QI14">
        <f>'Demand Stage 2'!QI13</f>
        <v>0</v>
      </c>
      <c r="QJ14">
        <f>'Demand Stage 2'!QJ13</f>
        <v>0</v>
      </c>
      <c r="QK14">
        <f>'Demand Stage 2'!QK13</f>
        <v>0</v>
      </c>
      <c r="QL14">
        <f>'Demand Stage 2'!QL13</f>
        <v>0</v>
      </c>
      <c r="QM14">
        <f>'Demand Stage 2'!QM13</f>
        <v>0</v>
      </c>
      <c r="QN14">
        <f>'Demand Stage 2'!QN13</f>
        <v>0</v>
      </c>
      <c r="QO14">
        <f>'Demand Stage 2'!QO13</f>
        <v>0</v>
      </c>
      <c r="QP14">
        <f>'Demand Stage 2'!QP13</f>
        <v>0</v>
      </c>
      <c r="QQ14">
        <f>'Demand Stage 2'!QQ13</f>
        <v>0</v>
      </c>
      <c r="QR14">
        <f>'Demand Stage 2'!QR13</f>
        <v>0</v>
      </c>
      <c r="QS14">
        <f>'Demand Stage 2'!QS13</f>
        <v>0</v>
      </c>
      <c r="QT14">
        <f>'Demand Stage 2'!QT13</f>
        <v>0</v>
      </c>
      <c r="QU14">
        <f>'Demand Stage 2'!QU13</f>
        <v>0</v>
      </c>
      <c r="QV14">
        <f>'Demand Stage 2'!QV13</f>
        <v>0</v>
      </c>
      <c r="QW14">
        <f>'Demand Stage 2'!QW13</f>
        <v>0</v>
      </c>
      <c r="QX14">
        <f>'Demand Stage 2'!QX13</f>
        <v>0</v>
      </c>
      <c r="QY14">
        <f>'Demand Stage 2'!QY13</f>
        <v>0</v>
      </c>
      <c r="QZ14">
        <f>'Demand Stage 2'!QZ13</f>
        <v>0</v>
      </c>
      <c r="RA14">
        <f>'Demand Stage 2'!RA13</f>
        <v>0</v>
      </c>
      <c r="RB14">
        <f>'Demand Stage 2'!RB13</f>
        <v>0</v>
      </c>
      <c r="RC14">
        <f>'Demand Stage 2'!RC13</f>
        <v>0</v>
      </c>
      <c r="RD14">
        <f>'Demand Stage 2'!RD13</f>
        <v>0</v>
      </c>
      <c r="RE14">
        <f>'Demand Stage 2'!RE13</f>
        <v>0</v>
      </c>
      <c r="RF14">
        <f>'Demand Stage 2'!RF13</f>
        <v>0</v>
      </c>
      <c r="RG14">
        <f>'Demand Stage 2'!RG13</f>
        <v>0</v>
      </c>
      <c r="RH14">
        <f>'Demand Stage 2'!RH13</f>
        <v>0</v>
      </c>
      <c r="RI14">
        <f>'Demand Stage 2'!RI13</f>
        <v>0</v>
      </c>
      <c r="RJ14">
        <f>'Demand Stage 2'!RJ13</f>
        <v>0</v>
      </c>
      <c r="RK14">
        <f>'Demand Stage 2'!RK13</f>
        <v>0</v>
      </c>
      <c r="RL14">
        <f>'Demand Stage 2'!RL13</f>
        <v>0</v>
      </c>
      <c r="RM14">
        <f>'Demand Stage 2'!RM13</f>
        <v>0</v>
      </c>
      <c r="RN14">
        <f>'Demand Stage 2'!RN13</f>
        <v>0</v>
      </c>
      <c r="RO14">
        <f>'Demand Stage 2'!RO13</f>
        <v>0</v>
      </c>
      <c r="RP14">
        <f>'Demand Stage 2'!RP13</f>
        <v>0</v>
      </c>
      <c r="RQ14">
        <f>'Demand Stage 2'!RQ13</f>
        <v>0</v>
      </c>
      <c r="RR14">
        <f>'Demand Stage 2'!RR13</f>
        <v>0</v>
      </c>
      <c r="RS14">
        <f>'Demand Stage 2'!RS13</f>
        <v>0</v>
      </c>
      <c r="RT14">
        <f>'Demand Stage 2'!RT13</f>
        <v>0</v>
      </c>
      <c r="RU14">
        <f>'Demand Stage 2'!RU13</f>
        <v>0</v>
      </c>
      <c r="RV14">
        <f>'Demand Stage 2'!RV13</f>
        <v>0</v>
      </c>
      <c r="RW14">
        <f>'Demand Stage 2'!RW13</f>
        <v>0</v>
      </c>
      <c r="RX14">
        <f>'Demand Stage 2'!RX13</f>
        <v>0</v>
      </c>
      <c r="RY14">
        <f>'Demand Stage 2'!RY13</f>
        <v>0</v>
      </c>
      <c r="RZ14">
        <f>'Demand Stage 2'!RZ13</f>
        <v>0</v>
      </c>
      <c r="SA14">
        <f>'Demand Stage 2'!SA13</f>
        <v>0</v>
      </c>
      <c r="SB14">
        <f>'Demand Stage 2'!SB13</f>
        <v>0</v>
      </c>
      <c r="SC14">
        <f>'Demand Stage 2'!SC13</f>
        <v>0</v>
      </c>
      <c r="SD14">
        <f>'Demand Stage 2'!SD13</f>
        <v>0</v>
      </c>
      <c r="SE14">
        <f>'Demand Stage 2'!SE13</f>
        <v>0</v>
      </c>
      <c r="SF14">
        <f>'Demand Stage 2'!SF13</f>
        <v>0</v>
      </c>
      <c r="SG14">
        <f>'Demand Stage 2'!SG13</f>
        <v>0</v>
      </c>
      <c r="SH14">
        <f>'Demand Stage 2'!SH13</f>
        <v>0</v>
      </c>
      <c r="SI14">
        <f>'Demand Stage 2'!SI13</f>
        <v>0</v>
      </c>
      <c r="SJ14">
        <f>'Demand Stage 2'!SJ13</f>
        <v>0</v>
      </c>
      <c r="SK14">
        <f>'Demand Stage 2'!SK13</f>
        <v>0</v>
      </c>
      <c r="SL14">
        <f>'Demand Stage 2'!SL13</f>
        <v>0</v>
      </c>
      <c r="SM14">
        <f>'Demand Stage 2'!SM13</f>
        <v>0</v>
      </c>
      <c r="SN14">
        <f>'Demand Stage 2'!SN13</f>
        <v>0</v>
      </c>
      <c r="SO14">
        <f>'Demand Stage 2'!SO13</f>
        <v>0</v>
      </c>
      <c r="SP14">
        <f>'Demand Stage 2'!SP13</f>
        <v>0</v>
      </c>
      <c r="SQ14">
        <f>'Demand Stage 2'!SQ13</f>
        <v>0</v>
      </c>
      <c r="SR14">
        <f>'Demand Stage 2'!SR13</f>
        <v>0</v>
      </c>
      <c r="SS14">
        <f>'Demand Stage 2'!SS13</f>
        <v>0</v>
      </c>
      <c r="ST14">
        <f>'Demand Stage 2'!ST13</f>
        <v>0</v>
      </c>
      <c r="SU14">
        <f>'Demand Stage 2'!SU13</f>
        <v>0</v>
      </c>
      <c r="SV14">
        <f>'Demand Stage 2'!SV13</f>
        <v>0</v>
      </c>
      <c r="SW14">
        <f>'Demand Stage 2'!SW13</f>
        <v>0</v>
      </c>
      <c r="SX14">
        <f>'Demand Stage 2'!SX13</f>
        <v>0</v>
      </c>
      <c r="SY14">
        <f>'Demand Stage 2'!SY13</f>
        <v>0</v>
      </c>
      <c r="SZ14">
        <f>'Demand Stage 2'!SZ13</f>
        <v>0</v>
      </c>
      <c r="TA14">
        <f>'Demand Stage 2'!TA13</f>
        <v>0</v>
      </c>
      <c r="TB14">
        <f>'Demand Stage 2'!TB13</f>
        <v>0</v>
      </c>
      <c r="TC14">
        <f>'Demand Stage 2'!TC13</f>
        <v>0</v>
      </c>
      <c r="TD14">
        <f>'Demand Stage 2'!TD13</f>
        <v>0</v>
      </c>
      <c r="TE14">
        <f>'Demand Stage 2'!TE13</f>
        <v>0</v>
      </c>
      <c r="TF14">
        <f>'Demand Stage 2'!TF13</f>
        <v>0</v>
      </c>
      <c r="TG14">
        <f>'Demand Stage 2'!TG13</f>
        <v>0</v>
      </c>
      <c r="TH14">
        <f>'Demand Stage 2'!TH13</f>
        <v>0</v>
      </c>
      <c r="TI14">
        <f>'Demand Stage 2'!TI13</f>
        <v>0</v>
      </c>
      <c r="TJ14">
        <f>'Demand Stage 2'!TJ13</f>
        <v>0</v>
      </c>
      <c r="TK14">
        <f>'Demand Stage 2'!TK13</f>
        <v>0</v>
      </c>
      <c r="TL14">
        <f>'Demand Stage 2'!TL13</f>
        <v>0</v>
      </c>
      <c r="TM14">
        <f>'Demand Stage 2'!TM13</f>
        <v>0</v>
      </c>
      <c r="TN14">
        <f>'Demand Stage 2'!TN13</f>
        <v>0</v>
      </c>
      <c r="TO14">
        <f>'Demand Stage 2'!TO13</f>
        <v>0</v>
      </c>
      <c r="TP14">
        <f>'Demand Stage 2'!TP13</f>
        <v>0</v>
      </c>
      <c r="TQ14">
        <f>'Demand Stage 2'!TQ13</f>
        <v>0</v>
      </c>
      <c r="TR14">
        <f>'Demand Stage 2'!TR13</f>
        <v>0</v>
      </c>
      <c r="TS14">
        <f>'Demand Stage 2'!TS13</f>
        <v>0</v>
      </c>
      <c r="TT14">
        <f>'Demand Stage 2'!TT13</f>
        <v>0</v>
      </c>
      <c r="TU14">
        <f>'Demand Stage 2'!TU13</f>
        <v>0</v>
      </c>
      <c r="TV14">
        <f>'Demand Stage 2'!TV13</f>
        <v>0</v>
      </c>
      <c r="TW14">
        <f>'Demand Stage 2'!TW13</f>
        <v>0</v>
      </c>
      <c r="TX14">
        <f>'Demand Stage 2'!TX13</f>
        <v>0</v>
      </c>
      <c r="TY14">
        <f>'Demand Stage 2'!TY13</f>
        <v>0</v>
      </c>
      <c r="TZ14">
        <f>'Demand Stage 2'!TZ13</f>
        <v>0</v>
      </c>
      <c r="UA14">
        <f>'Demand Stage 2'!UA13</f>
        <v>0</v>
      </c>
      <c r="UB14">
        <f>'Demand Stage 2'!UB13</f>
        <v>0</v>
      </c>
      <c r="UC14">
        <f>'Demand Stage 2'!UC13</f>
        <v>0</v>
      </c>
      <c r="UD14">
        <f>'Demand Stage 2'!UD13</f>
        <v>0</v>
      </c>
      <c r="UE14">
        <f>'Demand Stage 2'!UE13</f>
        <v>0</v>
      </c>
      <c r="UF14">
        <f>'Demand Stage 2'!UF13</f>
        <v>0</v>
      </c>
      <c r="UG14">
        <f>'Demand Stage 2'!UG13</f>
        <v>0</v>
      </c>
      <c r="UH14">
        <f>'Demand Stage 2'!UH13</f>
        <v>0</v>
      </c>
      <c r="UI14">
        <f>'Demand Stage 2'!UI13</f>
        <v>0</v>
      </c>
      <c r="UJ14">
        <f>'Demand Stage 2'!UJ13</f>
        <v>0</v>
      </c>
      <c r="UK14">
        <f>'Demand Stage 2'!UK13</f>
        <v>0</v>
      </c>
      <c r="UL14">
        <f>'Demand Stage 2'!UL13</f>
        <v>0</v>
      </c>
      <c r="UM14">
        <f>'Demand Stage 2'!UM13</f>
        <v>0</v>
      </c>
      <c r="UN14">
        <f>'Demand Stage 2'!UN13</f>
        <v>0</v>
      </c>
      <c r="UO14">
        <f>'Demand Stage 2'!UO13</f>
        <v>0</v>
      </c>
      <c r="UP14">
        <f>'Demand Stage 2'!UP13</f>
        <v>0</v>
      </c>
      <c r="UQ14">
        <f>'Demand Stage 2'!UQ13</f>
        <v>0</v>
      </c>
      <c r="UR14">
        <f>'Demand Stage 2'!UR13</f>
        <v>0</v>
      </c>
      <c r="US14">
        <f>'Demand Stage 2'!US13</f>
        <v>0</v>
      </c>
      <c r="UT14">
        <f>'Demand Stage 2'!UT13</f>
        <v>0</v>
      </c>
      <c r="UU14">
        <f>'Demand Stage 2'!UU13</f>
        <v>0</v>
      </c>
      <c r="UV14">
        <f>'Demand Stage 2'!UV13</f>
        <v>0</v>
      </c>
      <c r="UW14">
        <f>'Demand Stage 2'!UW13</f>
        <v>0</v>
      </c>
      <c r="UX14">
        <f>'Demand Stage 2'!UX13</f>
        <v>0</v>
      </c>
      <c r="UY14">
        <f>'Demand Stage 2'!UY13</f>
        <v>0</v>
      </c>
      <c r="UZ14">
        <f>'Demand Stage 2'!UZ13</f>
        <v>0</v>
      </c>
      <c r="VA14">
        <f>'Demand Stage 2'!VA13</f>
        <v>0</v>
      </c>
      <c r="VB14">
        <f>'Demand Stage 2'!VB13</f>
        <v>0</v>
      </c>
      <c r="VC14">
        <f>'Demand Stage 2'!VC13</f>
        <v>0</v>
      </c>
      <c r="VD14">
        <f>'Demand Stage 2'!VD13</f>
        <v>0</v>
      </c>
      <c r="VE14">
        <f>'Demand Stage 2'!VE13</f>
        <v>0</v>
      </c>
      <c r="VF14">
        <f>'Demand Stage 2'!VF13</f>
        <v>0</v>
      </c>
      <c r="VG14">
        <f>'Demand Stage 2'!VG13</f>
        <v>0</v>
      </c>
      <c r="VH14">
        <f>'Demand Stage 2'!VH13</f>
        <v>0</v>
      </c>
      <c r="VI14">
        <f>'Demand Stage 2'!VI13</f>
        <v>0</v>
      </c>
      <c r="VJ14">
        <f>'Demand Stage 2'!VJ13</f>
        <v>0</v>
      </c>
      <c r="VK14">
        <f>'Demand Stage 2'!VK13</f>
        <v>0</v>
      </c>
      <c r="VL14">
        <f>'Demand Stage 2'!VL13</f>
        <v>0</v>
      </c>
      <c r="VM14">
        <f>'Demand Stage 2'!VM13</f>
        <v>0</v>
      </c>
      <c r="VN14">
        <f>'Demand Stage 2'!VN13</f>
        <v>0</v>
      </c>
      <c r="VO14">
        <f>'Demand Stage 2'!VO13</f>
        <v>0</v>
      </c>
      <c r="VP14">
        <f>'Demand Stage 2'!VP13</f>
        <v>0</v>
      </c>
      <c r="VQ14">
        <f>'Demand Stage 2'!VQ13</f>
        <v>0</v>
      </c>
      <c r="VR14">
        <f>'Demand Stage 2'!VR13</f>
        <v>0</v>
      </c>
      <c r="VS14">
        <f>'Demand Stage 2'!VS13</f>
        <v>0</v>
      </c>
      <c r="VT14">
        <f>'Demand Stage 2'!VT13</f>
        <v>0</v>
      </c>
      <c r="VU14">
        <f>'Demand Stage 2'!VU13</f>
        <v>0</v>
      </c>
      <c r="VV14">
        <f>'Demand Stage 2'!VV13</f>
        <v>0</v>
      </c>
      <c r="VW14">
        <f>'Demand Stage 2'!VW13</f>
        <v>0</v>
      </c>
      <c r="VX14">
        <f>'Demand Stage 2'!VX13</f>
        <v>0</v>
      </c>
      <c r="VY14">
        <f>'Demand Stage 2'!VY13</f>
        <v>0</v>
      </c>
      <c r="VZ14">
        <f>'Demand Stage 2'!VZ13</f>
        <v>0</v>
      </c>
      <c r="WA14">
        <f>'Demand Stage 2'!WA13</f>
        <v>0</v>
      </c>
      <c r="WB14">
        <f>'Demand Stage 2'!WB13</f>
        <v>0</v>
      </c>
      <c r="WC14">
        <f>'Demand Stage 2'!WC13</f>
        <v>0</v>
      </c>
      <c r="WD14">
        <f>'Demand Stage 2'!WD13</f>
        <v>0</v>
      </c>
      <c r="WE14">
        <f>'Demand Stage 2'!WE13</f>
        <v>0</v>
      </c>
      <c r="WF14">
        <f>'Demand Stage 2'!WF13</f>
        <v>0</v>
      </c>
      <c r="WG14">
        <f>'Demand Stage 2'!WG13</f>
        <v>0</v>
      </c>
      <c r="WH14">
        <f>'Demand Stage 2'!WH13</f>
        <v>0</v>
      </c>
      <c r="WI14">
        <f>'Demand Stage 2'!WI13</f>
        <v>0</v>
      </c>
      <c r="WJ14">
        <f>'Demand Stage 2'!WJ13</f>
        <v>0</v>
      </c>
      <c r="WK14">
        <f>'Demand Stage 2'!WK13</f>
        <v>0</v>
      </c>
      <c r="WL14">
        <f>'Demand Stage 2'!WL13</f>
        <v>0</v>
      </c>
      <c r="WM14">
        <f>'Demand Stage 2'!WM13</f>
        <v>0</v>
      </c>
      <c r="WN14">
        <f>'Demand Stage 2'!WN13</f>
        <v>0</v>
      </c>
      <c r="WO14">
        <f>'Demand Stage 2'!WO13</f>
        <v>0</v>
      </c>
      <c r="WP14">
        <f>'Demand Stage 2'!WP13</f>
        <v>0</v>
      </c>
      <c r="WQ14">
        <f>'Demand Stage 2'!WQ13</f>
        <v>0</v>
      </c>
      <c r="WR14">
        <f>'Demand Stage 2'!WR13</f>
        <v>0</v>
      </c>
      <c r="WS14">
        <f>'Demand Stage 2'!WS13</f>
        <v>0</v>
      </c>
      <c r="WT14">
        <f>'Demand Stage 2'!WT13</f>
        <v>0</v>
      </c>
      <c r="WU14">
        <f>'Demand Stage 2'!WU13</f>
        <v>0</v>
      </c>
      <c r="WV14">
        <f>'Demand Stage 2'!WV13</f>
        <v>0</v>
      </c>
      <c r="WW14">
        <f>'Demand Stage 2'!WW13</f>
        <v>0</v>
      </c>
      <c r="WX14">
        <f>'Demand Stage 2'!WX13</f>
        <v>0</v>
      </c>
      <c r="WY14">
        <f>'Demand Stage 2'!WY13</f>
        <v>0</v>
      </c>
      <c r="WZ14">
        <f>'Demand Stage 2'!WZ13</f>
        <v>0</v>
      </c>
      <c r="XA14">
        <f>'Demand Stage 2'!XA13</f>
        <v>0</v>
      </c>
      <c r="XB14">
        <f>'Demand Stage 2'!XB13</f>
        <v>0</v>
      </c>
      <c r="XC14">
        <f>'Demand Stage 2'!XC13</f>
        <v>0</v>
      </c>
      <c r="XD14">
        <f>'Demand Stage 2'!XD13</f>
        <v>0</v>
      </c>
      <c r="XE14">
        <f>'Demand Stage 2'!XE13</f>
        <v>0</v>
      </c>
      <c r="XF14">
        <f>'Demand Stage 2'!XF13</f>
        <v>0</v>
      </c>
      <c r="XG14">
        <f>'Demand Stage 2'!XG13</f>
        <v>0</v>
      </c>
      <c r="XH14">
        <f>'Demand Stage 2'!XH13</f>
        <v>0</v>
      </c>
      <c r="XI14">
        <f>'Demand Stage 2'!XI13</f>
        <v>0</v>
      </c>
      <c r="XJ14">
        <f>'Demand Stage 2'!XJ13</f>
        <v>0</v>
      </c>
      <c r="XK14">
        <f>'Demand Stage 2'!XK13</f>
        <v>0</v>
      </c>
      <c r="XL14">
        <f>'Demand Stage 2'!XL13</f>
        <v>0</v>
      </c>
      <c r="XM14">
        <f>'Demand Stage 2'!XM13</f>
        <v>0</v>
      </c>
      <c r="XN14">
        <f>'Demand Stage 2'!XN13</f>
        <v>0</v>
      </c>
      <c r="XO14">
        <f>'Demand Stage 2'!XO13</f>
        <v>0</v>
      </c>
      <c r="XP14">
        <f>'Demand Stage 2'!XP13</f>
        <v>0</v>
      </c>
      <c r="XQ14">
        <f>'Demand Stage 2'!XQ13</f>
        <v>0</v>
      </c>
      <c r="XR14">
        <f>'Demand Stage 2'!XR13</f>
        <v>0</v>
      </c>
      <c r="XS14">
        <f>'Demand Stage 2'!XS13</f>
        <v>0</v>
      </c>
      <c r="XT14">
        <f>'Demand Stage 2'!XT13</f>
        <v>0</v>
      </c>
      <c r="XU14">
        <f>'Demand Stage 2'!XU13</f>
        <v>0</v>
      </c>
      <c r="XV14">
        <f>'Demand Stage 2'!XV13</f>
        <v>0</v>
      </c>
      <c r="XW14">
        <f>'Demand Stage 2'!XW13</f>
        <v>0</v>
      </c>
      <c r="XX14">
        <f>'Demand Stage 2'!XX13</f>
        <v>0</v>
      </c>
      <c r="XY14">
        <f>'Demand Stage 2'!XY13</f>
        <v>0</v>
      </c>
      <c r="XZ14">
        <f>'Demand Stage 2'!XZ13</f>
        <v>0</v>
      </c>
      <c r="YA14">
        <f>'Demand Stage 2'!YA13</f>
        <v>0</v>
      </c>
      <c r="YB14">
        <f>'Demand Stage 2'!YB13</f>
        <v>0</v>
      </c>
      <c r="YC14">
        <f>'Demand Stage 2'!YC13</f>
        <v>0</v>
      </c>
      <c r="YD14">
        <f>'Demand Stage 2'!YD13</f>
        <v>0</v>
      </c>
      <c r="YE14">
        <f>'Demand Stage 2'!YE13</f>
        <v>0</v>
      </c>
      <c r="YF14">
        <f>'Demand Stage 2'!YF13</f>
        <v>0</v>
      </c>
      <c r="YG14">
        <f>'Demand Stage 2'!YG13</f>
        <v>0</v>
      </c>
      <c r="YH14">
        <f>'Demand Stage 2'!YH13</f>
        <v>0</v>
      </c>
      <c r="YI14">
        <f>'Demand Stage 2'!YI13</f>
        <v>0</v>
      </c>
      <c r="YJ14">
        <f>'Demand Stage 2'!YJ13</f>
        <v>0</v>
      </c>
      <c r="YK14">
        <f>'Demand Stage 2'!YK13</f>
        <v>0</v>
      </c>
      <c r="YL14">
        <f>'Demand Stage 2'!YL13</f>
        <v>0</v>
      </c>
      <c r="YM14">
        <f>'Demand Stage 2'!YM13</f>
        <v>0</v>
      </c>
      <c r="YN14">
        <f>'Demand Stage 2'!YN13</f>
        <v>0</v>
      </c>
      <c r="YO14">
        <f>'Demand Stage 2'!YO13</f>
        <v>0</v>
      </c>
      <c r="YP14">
        <f>'Demand Stage 2'!YP13</f>
        <v>0</v>
      </c>
      <c r="YQ14">
        <f>'Demand Stage 2'!YQ13</f>
        <v>0</v>
      </c>
      <c r="YR14">
        <f>'Demand Stage 2'!YR13</f>
        <v>0</v>
      </c>
      <c r="YS14">
        <f>'Demand Stage 2'!YS13</f>
        <v>0</v>
      </c>
      <c r="YT14">
        <f>'Demand Stage 2'!YT13</f>
        <v>0</v>
      </c>
      <c r="YU14">
        <f>'Demand Stage 2'!YU13</f>
        <v>0</v>
      </c>
      <c r="YV14">
        <f>'Demand Stage 2'!YV13</f>
        <v>0</v>
      </c>
      <c r="YW14">
        <f>'Demand Stage 2'!YW13</f>
        <v>0</v>
      </c>
      <c r="YX14">
        <f>'Demand Stage 2'!YX13</f>
        <v>0</v>
      </c>
      <c r="YY14">
        <f>'Demand Stage 2'!YY13</f>
        <v>0</v>
      </c>
      <c r="YZ14">
        <f>'Demand Stage 2'!YZ13</f>
        <v>0</v>
      </c>
      <c r="ZA14">
        <f>'Demand Stage 2'!ZA13</f>
        <v>0</v>
      </c>
      <c r="ZB14">
        <f>'Demand Stage 2'!ZB13</f>
        <v>0</v>
      </c>
      <c r="ZC14">
        <f>'Demand Stage 2'!ZC13</f>
        <v>0</v>
      </c>
      <c r="ZD14">
        <f>'Demand Stage 2'!ZD13</f>
        <v>0</v>
      </c>
      <c r="ZE14">
        <f>'Demand Stage 2'!ZE13</f>
        <v>0</v>
      </c>
      <c r="ZF14">
        <f>'Demand Stage 2'!ZF13</f>
        <v>0</v>
      </c>
      <c r="ZG14">
        <f>'Demand Stage 2'!ZG13</f>
        <v>0</v>
      </c>
      <c r="ZH14">
        <f>'Demand Stage 2'!ZH13</f>
        <v>0</v>
      </c>
      <c r="ZI14">
        <f>'Demand Stage 2'!ZI13</f>
        <v>0</v>
      </c>
      <c r="ZJ14">
        <f>'Demand Stage 2'!ZJ13</f>
        <v>0</v>
      </c>
      <c r="ZK14">
        <f>'Demand Stage 2'!ZK13</f>
        <v>0</v>
      </c>
      <c r="ZL14">
        <f>'Demand Stage 2'!ZL13</f>
        <v>0</v>
      </c>
      <c r="ZM14">
        <f>'Demand Stage 2'!ZM13</f>
        <v>0</v>
      </c>
      <c r="ZN14">
        <f>'Demand Stage 2'!ZN13</f>
        <v>0</v>
      </c>
      <c r="ZO14">
        <f>'Demand Stage 2'!ZO13</f>
        <v>0</v>
      </c>
      <c r="ZP14">
        <f>'Demand Stage 2'!ZP13</f>
        <v>0</v>
      </c>
      <c r="ZQ14">
        <f>'Demand Stage 2'!ZQ13</f>
        <v>0</v>
      </c>
      <c r="ZR14">
        <f>'Demand Stage 2'!ZR13</f>
        <v>0</v>
      </c>
      <c r="ZS14">
        <f>'Demand Stage 2'!ZS13</f>
        <v>0</v>
      </c>
      <c r="ZT14">
        <f>'Demand Stage 2'!ZT13</f>
        <v>0</v>
      </c>
      <c r="ZU14">
        <f>'Demand Stage 2'!ZU13</f>
        <v>0</v>
      </c>
      <c r="ZV14">
        <f>'Demand Stage 2'!ZV13</f>
        <v>0</v>
      </c>
      <c r="ZW14">
        <f>'Demand Stage 2'!ZW13</f>
        <v>0</v>
      </c>
      <c r="ZX14">
        <f>'Demand Stage 2'!ZX13</f>
        <v>0</v>
      </c>
      <c r="ZY14">
        <f>'Demand Stage 2'!ZY13</f>
        <v>0</v>
      </c>
      <c r="ZZ14">
        <f>'Demand Stage 2'!ZZ13</f>
        <v>0</v>
      </c>
      <c r="AAA14">
        <f>'Demand Stage 2'!AAA13</f>
        <v>0</v>
      </c>
      <c r="AAB14">
        <f>'Demand Stage 2'!AAB13</f>
        <v>0</v>
      </c>
      <c r="AAC14">
        <f>'Demand Stage 2'!AAC13</f>
        <v>0</v>
      </c>
      <c r="AAD14">
        <f t="shared" si="33"/>
        <v>0</v>
      </c>
      <c r="AAE14">
        <f t="shared" si="66"/>
        <v>0</v>
      </c>
      <c r="AAF14">
        <f t="shared" si="67"/>
        <v>0</v>
      </c>
      <c r="AAG14">
        <f t="shared" si="68"/>
        <v>0</v>
      </c>
      <c r="AAH14">
        <f t="shared" si="69"/>
        <v>0</v>
      </c>
      <c r="AAI14">
        <f t="shared" si="70"/>
        <v>0</v>
      </c>
      <c r="AAJ14">
        <f t="shared" si="71"/>
        <v>0</v>
      </c>
      <c r="AAK14">
        <f t="shared" si="72"/>
        <v>0</v>
      </c>
      <c r="AAL14">
        <f t="shared" si="73"/>
        <v>0</v>
      </c>
      <c r="AAM14">
        <f t="shared" si="74"/>
        <v>0</v>
      </c>
      <c r="AAN14">
        <f t="shared" si="75"/>
        <v>0</v>
      </c>
      <c r="AAO14">
        <f t="shared" si="76"/>
        <v>0</v>
      </c>
      <c r="AAP14">
        <f t="shared" si="77"/>
        <v>0</v>
      </c>
      <c r="AAQ14">
        <f t="shared" si="78"/>
        <v>0</v>
      </c>
      <c r="AAR14">
        <f t="shared" si="79"/>
        <v>0</v>
      </c>
      <c r="AAS14">
        <f t="shared" si="80"/>
        <v>0</v>
      </c>
      <c r="AAT14">
        <f t="shared" si="81"/>
        <v>0</v>
      </c>
      <c r="AAU14">
        <f t="shared" si="82"/>
        <v>0</v>
      </c>
      <c r="AAV14">
        <f t="shared" si="83"/>
        <v>0</v>
      </c>
      <c r="AAW14">
        <f t="shared" si="84"/>
        <v>0</v>
      </c>
      <c r="AAX14">
        <f t="shared" si="85"/>
        <v>0</v>
      </c>
      <c r="AAY14">
        <f t="shared" si="86"/>
        <v>0</v>
      </c>
      <c r="AAZ14">
        <f t="shared" si="87"/>
        <v>0</v>
      </c>
      <c r="ABA14">
        <f t="shared" si="88"/>
        <v>0</v>
      </c>
      <c r="ABB14">
        <f t="shared" si="89"/>
        <v>0</v>
      </c>
      <c r="ABC14">
        <f t="shared" si="90"/>
        <v>0</v>
      </c>
      <c r="ABD14">
        <f t="shared" si="91"/>
        <v>0</v>
      </c>
      <c r="ABE14">
        <f t="shared" si="92"/>
        <v>0</v>
      </c>
      <c r="ABF14">
        <f t="shared" si="93"/>
        <v>0</v>
      </c>
      <c r="ABG14">
        <f t="shared" si="94"/>
        <v>0</v>
      </c>
      <c r="ABH14">
        <f t="shared" si="95"/>
        <v>0</v>
      </c>
      <c r="ABI14">
        <f t="shared" si="96"/>
        <v>0</v>
      </c>
      <c r="ABJ14">
        <f t="shared" si="97"/>
        <v>0</v>
      </c>
      <c r="ABK14">
        <f t="shared" si="98"/>
        <v>0</v>
      </c>
      <c r="ABL14">
        <f t="shared" si="99"/>
        <v>0</v>
      </c>
      <c r="ABM14">
        <f t="shared" si="100"/>
        <v>0</v>
      </c>
      <c r="ABN14">
        <f t="shared" si="101"/>
        <v>0</v>
      </c>
      <c r="ABO14">
        <f t="shared" si="102"/>
        <v>0</v>
      </c>
      <c r="ABP14">
        <f t="shared" si="103"/>
        <v>0</v>
      </c>
      <c r="ABQ14">
        <f t="shared" si="104"/>
        <v>0</v>
      </c>
      <c r="ABR14">
        <f t="shared" si="105"/>
        <v>0</v>
      </c>
      <c r="ABS14">
        <f t="shared" si="106"/>
        <v>0</v>
      </c>
      <c r="ABT14">
        <f t="shared" si="107"/>
        <v>0</v>
      </c>
      <c r="ABU14">
        <f t="shared" si="108"/>
        <v>0</v>
      </c>
      <c r="ABV14">
        <f t="shared" si="109"/>
        <v>0</v>
      </c>
      <c r="ABW14">
        <f t="shared" si="110"/>
        <v>0</v>
      </c>
      <c r="ABX14">
        <f t="shared" si="111"/>
        <v>0</v>
      </c>
      <c r="ABY14">
        <f t="shared" si="112"/>
        <v>0</v>
      </c>
      <c r="ABZ14">
        <f t="shared" si="113"/>
        <v>0</v>
      </c>
      <c r="ACA14">
        <f t="shared" si="114"/>
        <v>0</v>
      </c>
      <c r="ACB14">
        <f t="shared" si="115"/>
        <v>0</v>
      </c>
      <c r="ACC14">
        <f t="shared" si="116"/>
        <v>0</v>
      </c>
      <c r="ACD14">
        <f t="shared" si="117"/>
        <v>0</v>
      </c>
      <c r="ACE14">
        <f t="shared" si="118"/>
        <v>0</v>
      </c>
      <c r="ACF14">
        <f t="shared" si="119"/>
        <v>0</v>
      </c>
      <c r="ACG14">
        <f t="shared" si="120"/>
        <v>0</v>
      </c>
      <c r="ACH14">
        <f t="shared" si="121"/>
        <v>0</v>
      </c>
      <c r="ACI14">
        <f t="shared" si="122"/>
        <v>0</v>
      </c>
      <c r="ACJ14">
        <f t="shared" si="123"/>
        <v>0</v>
      </c>
      <c r="ACK14">
        <f t="shared" si="124"/>
        <v>0</v>
      </c>
      <c r="ACL14">
        <f t="shared" si="125"/>
        <v>0</v>
      </c>
      <c r="ACM14">
        <f t="shared" si="126"/>
        <v>0</v>
      </c>
      <c r="ACN14">
        <f t="shared" si="127"/>
        <v>0</v>
      </c>
      <c r="ACO14">
        <f t="shared" si="128"/>
        <v>0</v>
      </c>
      <c r="ACP14">
        <f t="shared" si="34"/>
        <v>0</v>
      </c>
      <c r="ACQ14">
        <f t="shared" si="129"/>
        <v>0</v>
      </c>
      <c r="ACR14">
        <f t="shared" si="130"/>
        <v>0</v>
      </c>
      <c r="ACS14">
        <f t="shared" si="131"/>
        <v>0</v>
      </c>
      <c r="ACT14">
        <f t="shared" si="132"/>
        <v>0</v>
      </c>
      <c r="ACU14">
        <f t="shared" si="133"/>
        <v>0</v>
      </c>
      <c r="ACV14">
        <f t="shared" si="134"/>
        <v>0</v>
      </c>
      <c r="ACW14">
        <f t="shared" si="135"/>
        <v>0</v>
      </c>
      <c r="ACX14">
        <f t="shared" si="136"/>
        <v>0</v>
      </c>
      <c r="ACY14">
        <f t="shared" si="137"/>
        <v>0</v>
      </c>
      <c r="ACZ14">
        <f t="shared" si="138"/>
        <v>0</v>
      </c>
      <c r="ADA14">
        <f t="shared" si="139"/>
        <v>0</v>
      </c>
      <c r="ADB14">
        <f t="shared" si="140"/>
        <v>0</v>
      </c>
      <c r="ADC14">
        <f t="shared" si="141"/>
        <v>0</v>
      </c>
      <c r="ADD14">
        <f t="shared" si="142"/>
        <v>0</v>
      </c>
      <c r="ADE14">
        <f t="shared" si="143"/>
        <v>0</v>
      </c>
      <c r="ADF14">
        <f t="shared" si="144"/>
        <v>0</v>
      </c>
      <c r="ADG14">
        <f t="shared" si="145"/>
        <v>0</v>
      </c>
      <c r="ADH14">
        <f t="shared" si="146"/>
        <v>0</v>
      </c>
      <c r="ADI14">
        <f t="shared" si="147"/>
        <v>0</v>
      </c>
      <c r="ADJ14">
        <f t="shared" si="148"/>
        <v>0</v>
      </c>
      <c r="ADK14">
        <f t="shared" si="149"/>
        <v>0</v>
      </c>
      <c r="ADL14">
        <f t="shared" si="150"/>
        <v>0</v>
      </c>
      <c r="ADM14">
        <f t="shared" si="151"/>
        <v>0</v>
      </c>
      <c r="ADN14">
        <f t="shared" si="152"/>
        <v>0</v>
      </c>
      <c r="ADO14">
        <f t="shared" si="153"/>
        <v>0</v>
      </c>
      <c r="ADP14">
        <f t="shared" si="154"/>
        <v>0</v>
      </c>
      <c r="ADQ14">
        <f t="shared" si="155"/>
        <v>0</v>
      </c>
      <c r="ADR14">
        <f t="shared" si="156"/>
        <v>0</v>
      </c>
      <c r="ADS14">
        <f t="shared" si="157"/>
        <v>0</v>
      </c>
      <c r="ADT14">
        <f t="shared" si="158"/>
        <v>0</v>
      </c>
      <c r="ADU14">
        <f t="shared" si="159"/>
        <v>0</v>
      </c>
      <c r="ADV14">
        <f t="shared" si="160"/>
        <v>0</v>
      </c>
      <c r="ADW14">
        <f t="shared" si="161"/>
        <v>0</v>
      </c>
      <c r="ADX14">
        <f t="shared" si="162"/>
        <v>0</v>
      </c>
      <c r="ADY14">
        <f t="shared" si="163"/>
        <v>0</v>
      </c>
      <c r="ADZ14">
        <f t="shared" si="164"/>
        <v>0</v>
      </c>
      <c r="AEA14">
        <f t="shared" si="165"/>
        <v>0</v>
      </c>
      <c r="AEB14">
        <f t="shared" si="166"/>
        <v>0</v>
      </c>
      <c r="AEC14">
        <f t="shared" si="167"/>
        <v>0</v>
      </c>
      <c r="AED14">
        <f t="shared" si="168"/>
        <v>0</v>
      </c>
      <c r="AEE14">
        <f t="shared" si="169"/>
        <v>0</v>
      </c>
      <c r="AEF14">
        <f t="shared" si="170"/>
        <v>0</v>
      </c>
      <c r="AEG14">
        <f t="shared" si="171"/>
        <v>0</v>
      </c>
      <c r="AEH14">
        <f t="shared" si="172"/>
        <v>0</v>
      </c>
      <c r="AEI14">
        <f t="shared" si="173"/>
        <v>0</v>
      </c>
      <c r="AEJ14">
        <f t="shared" si="174"/>
        <v>0</v>
      </c>
      <c r="AEK14">
        <f t="shared" si="175"/>
        <v>0</v>
      </c>
      <c r="AEL14">
        <f t="shared" si="176"/>
        <v>0</v>
      </c>
      <c r="AEM14">
        <f t="shared" si="177"/>
        <v>0</v>
      </c>
      <c r="AEN14">
        <f t="shared" si="178"/>
        <v>0</v>
      </c>
      <c r="AEO14">
        <f t="shared" si="179"/>
        <v>0</v>
      </c>
      <c r="AEP14">
        <f t="shared" si="180"/>
        <v>0</v>
      </c>
      <c r="AEQ14">
        <f t="shared" si="181"/>
        <v>0</v>
      </c>
      <c r="AER14">
        <f t="shared" si="182"/>
        <v>0</v>
      </c>
      <c r="AES14">
        <f t="shared" si="183"/>
        <v>0</v>
      </c>
      <c r="AET14">
        <f t="shared" si="184"/>
        <v>0</v>
      </c>
      <c r="AEU14">
        <f t="shared" si="185"/>
        <v>0</v>
      </c>
      <c r="AEV14">
        <f t="shared" si="186"/>
        <v>0</v>
      </c>
      <c r="AEW14">
        <f t="shared" si="187"/>
        <v>0</v>
      </c>
      <c r="AEX14">
        <f t="shared" si="188"/>
        <v>0</v>
      </c>
      <c r="AEY14">
        <f t="shared" si="189"/>
        <v>0</v>
      </c>
      <c r="AEZ14">
        <f t="shared" si="190"/>
        <v>0</v>
      </c>
      <c r="AFA14">
        <f t="shared" si="191"/>
        <v>0</v>
      </c>
      <c r="AFB14">
        <f t="shared" si="35"/>
        <v>0</v>
      </c>
      <c r="AFC14">
        <f t="shared" si="192"/>
        <v>0</v>
      </c>
      <c r="AFD14">
        <f t="shared" si="193"/>
        <v>0</v>
      </c>
      <c r="AFE14">
        <f t="shared" si="194"/>
        <v>0</v>
      </c>
      <c r="AFF14">
        <f t="shared" si="195"/>
        <v>0</v>
      </c>
      <c r="AFG14">
        <f t="shared" si="196"/>
        <v>0</v>
      </c>
      <c r="AFH14">
        <f t="shared" si="197"/>
        <v>0</v>
      </c>
      <c r="AFI14">
        <f t="shared" si="198"/>
        <v>0</v>
      </c>
      <c r="AFJ14">
        <f t="shared" si="199"/>
        <v>0</v>
      </c>
      <c r="AFK14">
        <f t="shared" si="200"/>
        <v>0</v>
      </c>
      <c r="AFL14">
        <f t="shared" si="201"/>
        <v>0</v>
      </c>
      <c r="AFM14">
        <f t="shared" si="202"/>
        <v>0</v>
      </c>
      <c r="AFN14">
        <f t="shared" si="203"/>
        <v>0</v>
      </c>
      <c r="AFO14">
        <f t="shared" si="204"/>
        <v>0</v>
      </c>
      <c r="AFP14">
        <f t="shared" si="205"/>
        <v>0</v>
      </c>
      <c r="AFQ14">
        <f t="shared" si="206"/>
        <v>0</v>
      </c>
      <c r="AFR14">
        <f t="shared" si="207"/>
        <v>0</v>
      </c>
      <c r="AFS14">
        <f t="shared" si="208"/>
        <v>0</v>
      </c>
      <c r="AFT14">
        <f t="shared" si="209"/>
        <v>0</v>
      </c>
      <c r="AFU14">
        <f t="shared" si="210"/>
        <v>0</v>
      </c>
      <c r="AFV14">
        <f t="shared" si="211"/>
        <v>0</v>
      </c>
      <c r="AFW14">
        <f t="shared" si="212"/>
        <v>0</v>
      </c>
      <c r="AFX14">
        <f t="shared" si="213"/>
        <v>0</v>
      </c>
      <c r="AFY14">
        <f t="shared" si="214"/>
        <v>0</v>
      </c>
      <c r="AFZ14">
        <f t="shared" si="215"/>
        <v>0</v>
      </c>
      <c r="AGA14">
        <f t="shared" si="216"/>
        <v>0</v>
      </c>
      <c r="AGB14">
        <f t="shared" si="217"/>
        <v>0</v>
      </c>
      <c r="AGC14">
        <f t="shared" si="218"/>
        <v>0</v>
      </c>
      <c r="AGD14">
        <f t="shared" si="219"/>
        <v>0</v>
      </c>
      <c r="AGE14">
        <f t="shared" si="220"/>
        <v>0</v>
      </c>
      <c r="AGF14">
        <f t="shared" si="221"/>
        <v>0</v>
      </c>
      <c r="AGG14">
        <f t="shared" si="222"/>
        <v>0</v>
      </c>
      <c r="AGH14">
        <f t="shared" si="223"/>
        <v>0</v>
      </c>
      <c r="AGI14">
        <f t="shared" si="224"/>
        <v>0</v>
      </c>
      <c r="AGJ14">
        <f t="shared" si="225"/>
        <v>0</v>
      </c>
      <c r="AGK14">
        <f t="shared" si="226"/>
        <v>0</v>
      </c>
      <c r="AGL14">
        <f t="shared" si="227"/>
        <v>0</v>
      </c>
      <c r="AGM14">
        <f t="shared" si="228"/>
        <v>0</v>
      </c>
      <c r="AGN14">
        <f t="shared" si="229"/>
        <v>0</v>
      </c>
      <c r="AGO14">
        <f t="shared" si="230"/>
        <v>0</v>
      </c>
      <c r="AGP14">
        <f t="shared" si="231"/>
        <v>0</v>
      </c>
      <c r="AGQ14">
        <f t="shared" si="232"/>
        <v>0</v>
      </c>
      <c r="AGR14">
        <f t="shared" si="233"/>
        <v>0</v>
      </c>
      <c r="AGS14">
        <f t="shared" si="234"/>
        <v>0</v>
      </c>
      <c r="AGT14">
        <f t="shared" si="235"/>
        <v>0</v>
      </c>
      <c r="AGU14">
        <f t="shared" si="236"/>
        <v>0</v>
      </c>
      <c r="AGV14">
        <f t="shared" si="237"/>
        <v>0</v>
      </c>
      <c r="AGW14">
        <f t="shared" si="238"/>
        <v>0</v>
      </c>
      <c r="AGX14">
        <f t="shared" si="239"/>
        <v>0</v>
      </c>
      <c r="AGY14">
        <f t="shared" si="240"/>
        <v>0</v>
      </c>
      <c r="AGZ14">
        <f t="shared" si="241"/>
        <v>0</v>
      </c>
      <c r="AHA14">
        <f t="shared" si="242"/>
        <v>0</v>
      </c>
      <c r="AHB14">
        <f t="shared" si="243"/>
        <v>0</v>
      </c>
      <c r="AHC14">
        <f t="shared" si="244"/>
        <v>0</v>
      </c>
      <c r="AHD14">
        <f t="shared" si="245"/>
        <v>0</v>
      </c>
      <c r="AHE14">
        <f t="shared" si="246"/>
        <v>0</v>
      </c>
      <c r="AHF14">
        <f t="shared" si="247"/>
        <v>0</v>
      </c>
      <c r="AHG14">
        <f t="shared" si="248"/>
        <v>0</v>
      </c>
      <c r="AHH14">
        <f t="shared" si="249"/>
        <v>0</v>
      </c>
      <c r="AHI14">
        <f t="shared" si="250"/>
        <v>0</v>
      </c>
      <c r="AHJ14">
        <f t="shared" si="251"/>
        <v>0</v>
      </c>
      <c r="AHK14">
        <f t="shared" si="252"/>
        <v>0</v>
      </c>
      <c r="AHL14">
        <f t="shared" si="253"/>
        <v>0</v>
      </c>
      <c r="AHM14">
        <f t="shared" si="254"/>
        <v>0</v>
      </c>
      <c r="AHN14">
        <f t="shared" si="36"/>
        <v>0</v>
      </c>
      <c r="AHO14">
        <f t="shared" si="255"/>
        <v>0</v>
      </c>
      <c r="AHP14">
        <f t="shared" si="256"/>
        <v>0</v>
      </c>
      <c r="AHQ14">
        <f t="shared" si="257"/>
        <v>0</v>
      </c>
      <c r="AHR14">
        <f t="shared" si="258"/>
        <v>0</v>
      </c>
      <c r="AHS14">
        <f t="shared" si="259"/>
        <v>0</v>
      </c>
      <c r="AHT14">
        <f t="shared" si="260"/>
        <v>0</v>
      </c>
      <c r="AHU14">
        <f t="shared" si="261"/>
        <v>0</v>
      </c>
      <c r="AHV14">
        <f t="shared" si="262"/>
        <v>0</v>
      </c>
      <c r="AHW14">
        <f t="shared" si="263"/>
        <v>0</v>
      </c>
      <c r="AHX14">
        <f t="shared" si="264"/>
        <v>0</v>
      </c>
      <c r="AHY14">
        <f t="shared" si="265"/>
        <v>0</v>
      </c>
      <c r="AHZ14">
        <f t="shared" si="266"/>
        <v>0</v>
      </c>
      <c r="AIA14">
        <f t="shared" si="267"/>
        <v>0</v>
      </c>
      <c r="AIB14">
        <f t="shared" si="268"/>
        <v>0</v>
      </c>
      <c r="AIC14">
        <f t="shared" si="269"/>
        <v>0</v>
      </c>
      <c r="AID14">
        <f t="shared" si="270"/>
        <v>0</v>
      </c>
      <c r="AIE14">
        <f t="shared" si="271"/>
        <v>0</v>
      </c>
      <c r="AIF14">
        <f t="shared" si="272"/>
        <v>0</v>
      </c>
      <c r="AIG14">
        <f t="shared" si="273"/>
        <v>0</v>
      </c>
      <c r="AIH14">
        <f t="shared" si="274"/>
        <v>0</v>
      </c>
      <c r="AII14">
        <f t="shared" si="275"/>
        <v>0</v>
      </c>
      <c r="AIJ14">
        <f t="shared" si="276"/>
        <v>0</v>
      </c>
      <c r="AIK14">
        <f t="shared" si="277"/>
        <v>0</v>
      </c>
      <c r="AIL14">
        <f t="shared" si="278"/>
        <v>0</v>
      </c>
      <c r="AIM14">
        <f t="shared" si="279"/>
        <v>0</v>
      </c>
      <c r="AIN14">
        <f t="shared" si="280"/>
        <v>0</v>
      </c>
      <c r="AIO14">
        <f t="shared" si="281"/>
        <v>0</v>
      </c>
      <c r="AIP14">
        <f t="shared" si="282"/>
        <v>0</v>
      </c>
      <c r="AIQ14">
        <f t="shared" si="283"/>
        <v>0</v>
      </c>
      <c r="AIR14">
        <f t="shared" si="284"/>
        <v>0</v>
      </c>
      <c r="AIS14">
        <f t="shared" si="285"/>
        <v>0</v>
      </c>
      <c r="AIT14">
        <f t="shared" si="286"/>
        <v>0</v>
      </c>
      <c r="AIU14">
        <f t="shared" si="287"/>
        <v>0</v>
      </c>
      <c r="AIV14">
        <f t="shared" si="288"/>
        <v>0</v>
      </c>
      <c r="AIW14">
        <f t="shared" si="289"/>
        <v>0</v>
      </c>
      <c r="AIX14">
        <f t="shared" si="290"/>
        <v>0</v>
      </c>
      <c r="AIY14">
        <f t="shared" si="291"/>
        <v>0</v>
      </c>
      <c r="AIZ14">
        <f t="shared" si="292"/>
        <v>0</v>
      </c>
      <c r="AJA14">
        <f t="shared" si="293"/>
        <v>0</v>
      </c>
      <c r="AJB14">
        <f t="shared" si="294"/>
        <v>0</v>
      </c>
      <c r="AJC14">
        <f t="shared" si="295"/>
        <v>0</v>
      </c>
      <c r="AJD14">
        <f t="shared" si="296"/>
        <v>0</v>
      </c>
      <c r="AJE14">
        <f t="shared" si="297"/>
        <v>0</v>
      </c>
      <c r="AJF14">
        <f t="shared" si="298"/>
        <v>0</v>
      </c>
      <c r="AJG14">
        <f t="shared" si="299"/>
        <v>0</v>
      </c>
      <c r="AJH14">
        <f t="shared" si="300"/>
        <v>0</v>
      </c>
      <c r="AJI14">
        <f t="shared" si="301"/>
        <v>0</v>
      </c>
      <c r="AJJ14">
        <f t="shared" si="302"/>
        <v>0</v>
      </c>
      <c r="AJK14">
        <f t="shared" si="303"/>
        <v>0</v>
      </c>
      <c r="AJL14">
        <f t="shared" si="304"/>
        <v>0</v>
      </c>
      <c r="AJM14">
        <f t="shared" si="305"/>
        <v>0</v>
      </c>
      <c r="AJN14">
        <f t="shared" si="306"/>
        <v>0</v>
      </c>
      <c r="AJO14">
        <f t="shared" si="307"/>
        <v>0</v>
      </c>
      <c r="AJP14">
        <f t="shared" si="308"/>
        <v>0</v>
      </c>
      <c r="AJQ14">
        <f t="shared" si="309"/>
        <v>0</v>
      </c>
      <c r="AJR14">
        <f t="shared" si="310"/>
        <v>0</v>
      </c>
      <c r="AJS14">
        <f t="shared" si="311"/>
        <v>0</v>
      </c>
      <c r="AJT14">
        <f t="shared" si="312"/>
        <v>0</v>
      </c>
      <c r="AJU14">
        <f t="shared" si="313"/>
        <v>0</v>
      </c>
      <c r="AJV14">
        <f t="shared" si="314"/>
        <v>0</v>
      </c>
      <c r="AJW14">
        <f t="shared" si="315"/>
        <v>0</v>
      </c>
      <c r="AJX14">
        <f t="shared" si="316"/>
        <v>0</v>
      </c>
      <c r="AJY14">
        <f t="shared" si="317"/>
        <v>0</v>
      </c>
      <c r="AJZ14">
        <f t="shared" si="37"/>
        <v>0</v>
      </c>
      <c r="AKA14">
        <f t="shared" si="318"/>
        <v>0</v>
      </c>
      <c r="AKB14">
        <f t="shared" si="319"/>
        <v>0</v>
      </c>
      <c r="AKC14">
        <f t="shared" si="320"/>
        <v>0</v>
      </c>
      <c r="AKD14">
        <f t="shared" si="321"/>
        <v>0</v>
      </c>
      <c r="AKE14">
        <f t="shared" si="322"/>
        <v>0</v>
      </c>
      <c r="AKF14">
        <f t="shared" si="323"/>
        <v>0</v>
      </c>
      <c r="AKG14">
        <f t="shared" si="324"/>
        <v>0</v>
      </c>
      <c r="AKH14">
        <f t="shared" si="325"/>
        <v>0</v>
      </c>
      <c r="AKI14">
        <f t="shared" si="326"/>
        <v>0</v>
      </c>
      <c r="AKJ14">
        <f t="shared" si="327"/>
        <v>0</v>
      </c>
      <c r="AKK14">
        <f t="shared" si="328"/>
        <v>0</v>
      </c>
      <c r="AKL14">
        <f t="shared" si="329"/>
        <v>0</v>
      </c>
      <c r="AKM14">
        <f t="shared" si="330"/>
        <v>0</v>
      </c>
      <c r="AKN14">
        <f t="shared" si="331"/>
        <v>0</v>
      </c>
      <c r="AKO14">
        <f t="shared" si="332"/>
        <v>0</v>
      </c>
      <c r="AKP14">
        <f t="shared" si="333"/>
        <v>0</v>
      </c>
      <c r="AKQ14">
        <f t="shared" si="334"/>
        <v>0</v>
      </c>
      <c r="AKR14">
        <f t="shared" si="335"/>
        <v>0</v>
      </c>
      <c r="AKS14">
        <f t="shared" si="336"/>
        <v>0</v>
      </c>
      <c r="AKT14">
        <f t="shared" si="337"/>
        <v>0</v>
      </c>
      <c r="AKU14">
        <f t="shared" si="338"/>
        <v>0</v>
      </c>
      <c r="AKV14">
        <f t="shared" si="339"/>
        <v>0</v>
      </c>
      <c r="AKW14">
        <f t="shared" si="340"/>
        <v>0</v>
      </c>
      <c r="AKX14">
        <f t="shared" si="341"/>
        <v>0</v>
      </c>
      <c r="AKY14">
        <f t="shared" si="342"/>
        <v>0</v>
      </c>
      <c r="AKZ14">
        <f t="shared" si="343"/>
        <v>0</v>
      </c>
      <c r="ALA14">
        <f t="shared" si="344"/>
        <v>0</v>
      </c>
      <c r="ALB14">
        <f t="shared" si="345"/>
        <v>0</v>
      </c>
      <c r="ALC14">
        <f t="shared" si="346"/>
        <v>0</v>
      </c>
      <c r="ALD14">
        <f t="shared" si="347"/>
        <v>0</v>
      </c>
      <c r="ALE14">
        <f t="shared" si="348"/>
        <v>0</v>
      </c>
      <c r="ALF14">
        <f t="shared" si="349"/>
        <v>0</v>
      </c>
      <c r="ALG14">
        <f t="shared" si="350"/>
        <v>0</v>
      </c>
      <c r="ALH14">
        <f t="shared" si="351"/>
        <v>0</v>
      </c>
      <c r="ALI14">
        <f t="shared" si="352"/>
        <v>0</v>
      </c>
      <c r="ALJ14">
        <f t="shared" si="353"/>
        <v>0</v>
      </c>
      <c r="ALK14">
        <f t="shared" si="354"/>
        <v>0</v>
      </c>
      <c r="ALL14">
        <f t="shared" si="355"/>
        <v>0</v>
      </c>
      <c r="ALM14">
        <f t="shared" si="356"/>
        <v>0</v>
      </c>
      <c r="ALN14">
        <f t="shared" si="357"/>
        <v>0</v>
      </c>
      <c r="ALO14">
        <f t="shared" si="358"/>
        <v>0</v>
      </c>
      <c r="ALP14">
        <f t="shared" si="359"/>
        <v>0</v>
      </c>
      <c r="ALQ14">
        <f t="shared" si="360"/>
        <v>0</v>
      </c>
      <c r="ALR14">
        <f t="shared" si="361"/>
        <v>0</v>
      </c>
      <c r="ALS14">
        <f t="shared" si="362"/>
        <v>0</v>
      </c>
      <c r="ALT14">
        <f t="shared" si="363"/>
        <v>0</v>
      </c>
      <c r="ALU14">
        <f t="shared" si="364"/>
        <v>0</v>
      </c>
      <c r="ALV14">
        <f t="shared" si="365"/>
        <v>0</v>
      </c>
      <c r="ALW14">
        <f t="shared" si="366"/>
        <v>0</v>
      </c>
      <c r="ALX14">
        <f t="shared" si="367"/>
        <v>0</v>
      </c>
      <c r="ALY14">
        <f t="shared" si="368"/>
        <v>0</v>
      </c>
      <c r="ALZ14">
        <f t="shared" si="369"/>
        <v>0</v>
      </c>
      <c r="AMA14">
        <f t="shared" si="370"/>
        <v>0</v>
      </c>
      <c r="AMB14">
        <f t="shared" si="371"/>
        <v>0</v>
      </c>
      <c r="AMC14">
        <f t="shared" si="372"/>
        <v>0</v>
      </c>
      <c r="AMD14">
        <f t="shared" si="373"/>
        <v>0</v>
      </c>
      <c r="AME14">
        <f t="shared" si="374"/>
        <v>0</v>
      </c>
      <c r="AMF14">
        <f t="shared" si="375"/>
        <v>0</v>
      </c>
      <c r="AMG14">
        <f t="shared" si="376"/>
        <v>0</v>
      </c>
      <c r="AMH14">
        <f t="shared" si="377"/>
        <v>0</v>
      </c>
      <c r="AMI14">
        <f t="shared" si="378"/>
        <v>0</v>
      </c>
      <c r="AMJ14">
        <f t="shared" si="379"/>
        <v>0</v>
      </c>
      <c r="AMK14">
        <f t="shared" si="380"/>
        <v>0</v>
      </c>
      <c r="AML14">
        <f t="shared" si="38"/>
        <v>0</v>
      </c>
      <c r="AMM14">
        <f t="shared" si="381"/>
        <v>0</v>
      </c>
      <c r="AMN14">
        <f t="shared" si="382"/>
        <v>0</v>
      </c>
      <c r="AMO14">
        <f t="shared" si="383"/>
        <v>0</v>
      </c>
      <c r="AMP14">
        <f t="shared" si="384"/>
        <v>0</v>
      </c>
      <c r="AMQ14">
        <f t="shared" si="385"/>
        <v>0</v>
      </c>
      <c r="AMR14">
        <f t="shared" si="386"/>
        <v>0</v>
      </c>
      <c r="AMS14">
        <f t="shared" si="387"/>
        <v>0</v>
      </c>
      <c r="AMT14">
        <f t="shared" si="388"/>
        <v>0</v>
      </c>
      <c r="AMU14">
        <f t="shared" si="389"/>
        <v>0</v>
      </c>
      <c r="AMV14">
        <f t="shared" si="390"/>
        <v>0</v>
      </c>
      <c r="AMW14">
        <f t="shared" si="391"/>
        <v>0</v>
      </c>
      <c r="AMX14">
        <f t="shared" si="392"/>
        <v>0</v>
      </c>
      <c r="AMY14">
        <f t="shared" si="393"/>
        <v>0</v>
      </c>
      <c r="AMZ14">
        <f t="shared" si="394"/>
        <v>0</v>
      </c>
      <c r="ANA14">
        <f t="shared" si="395"/>
        <v>0</v>
      </c>
      <c r="ANB14">
        <f t="shared" si="396"/>
        <v>0</v>
      </c>
      <c r="ANC14">
        <f t="shared" si="397"/>
        <v>0</v>
      </c>
      <c r="AND14">
        <f t="shared" si="398"/>
        <v>0</v>
      </c>
      <c r="ANE14">
        <f t="shared" si="399"/>
        <v>0</v>
      </c>
      <c r="ANF14">
        <f t="shared" si="400"/>
        <v>0</v>
      </c>
      <c r="ANG14">
        <f t="shared" si="401"/>
        <v>0</v>
      </c>
      <c r="ANH14">
        <f t="shared" si="402"/>
        <v>0</v>
      </c>
      <c r="ANI14">
        <f t="shared" si="403"/>
        <v>0</v>
      </c>
      <c r="ANJ14">
        <f t="shared" si="404"/>
        <v>0</v>
      </c>
      <c r="ANK14">
        <f t="shared" si="405"/>
        <v>0</v>
      </c>
      <c r="ANL14">
        <f t="shared" si="406"/>
        <v>0</v>
      </c>
      <c r="ANM14">
        <f t="shared" si="407"/>
        <v>0</v>
      </c>
      <c r="ANN14">
        <f t="shared" si="408"/>
        <v>0</v>
      </c>
      <c r="ANO14">
        <f t="shared" si="409"/>
        <v>0</v>
      </c>
      <c r="ANP14">
        <f t="shared" si="410"/>
        <v>0</v>
      </c>
      <c r="ANQ14">
        <f t="shared" si="411"/>
        <v>0</v>
      </c>
      <c r="ANR14">
        <f t="shared" si="412"/>
        <v>0</v>
      </c>
      <c r="ANS14">
        <f t="shared" si="413"/>
        <v>0</v>
      </c>
      <c r="ANT14">
        <f t="shared" si="414"/>
        <v>0</v>
      </c>
      <c r="ANU14">
        <f t="shared" si="415"/>
        <v>0</v>
      </c>
      <c r="ANV14">
        <f t="shared" si="416"/>
        <v>0</v>
      </c>
      <c r="ANW14">
        <f t="shared" si="417"/>
        <v>0</v>
      </c>
      <c r="ANX14">
        <f t="shared" si="418"/>
        <v>0</v>
      </c>
      <c r="ANY14">
        <f t="shared" si="419"/>
        <v>0</v>
      </c>
      <c r="ANZ14">
        <f t="shared" si="420"/>
        <v>0</v>
      </c>
      <c r="AOA14">
        <f t="shared" si="421"/>
        <v>0</v>
      </c>
      <c r="AOB14">
        <f t="shared" si="422"/>
        <v>0</v>
      </c>
      <c r="AOC14">
        <f t="shared" si="423"/>
        <v>0</v>
      </c>
      <c r="AOD14">
        <f t="shared" si="424"/>
        <v>0</v>
      </c>
      <c r="AOE14">
        <f t="shared" si="425"/>
        <v>0</v>
      </c>
      <c r="AOF14">
        <f t="shared" si="426"/>
        <v>0</v>
      </c>
      <c r="AOG14">
        <f t="shared" si="427"/>
        <v>0</v>
      </c>
      <c r="AOH14">
        <f t="shared" si="428"/>
        <v>0</v>
      </c>
      <c r="AOI14">
        <f t="shared" si="429"/>
        <v>0</v>
      </c>
      <c r="AOJ14">
        <f t="shared" si="430"/>
        <v>0</v>
      </c>
      <c r="AOK14">
        <f t="shared" si="431"/>
        <v>0</v>
      </c>
      <c r="AOL14">
        <f t="shared" si="432"/>
        <v>0</v>
      </c>
      <c r="AOM14">
        <f t="shared" si="433"/>
        <v>0</v>
      </c>
      <c r="AON14">
        <f t="shared" si="434"/>
        <v>0</v>
      </c>
      <c r="AOO14">
        <f t="shared" si="435"/>
        <v>0</v>
      </c>
      <c r="AOP14">
        <f t="shared" si="436"/>
        <v>0</v>
      </c>
      <c r="AOQ14">
        <f t="shared" si="437"/>
        <v>0</v>
      </c>
      <c r="AOR14">
        <f t="shared" si="438"/>
        <v>0</v>
      </c>
      <c r="AOS14">
        <f t="shared" si="439"/>
        <v>0</v>
      </c>
      <c r="AOT14">
        <f t="shared" si="440"/>
        <v>0</v>
      </c>
      <c r="AOU14">
        <f t="shared" si="441"/>
        <v>0</v>
      </c>
      <c r="AOV14">
        <f t="shared" si="442"/>
        <v>0</v>
      </c>
      <c r="AOW14">
        <f t="shared" si="443"/>
        <v>0</v>
      </c>
      <c r="AOX14">
        <f t="shared" si="39"/>
        <v>0</v>
      </c>
      <c r="AOY14">
        <f t="shared" si="444"/>
        <v>0</v>
      </c>
      <c r="AOZ14">
        <f t="shared" si="445"/>
        <v>0</v>
      </c>
      <c r="APA14">
        <f t="shared" si="446"/>
        <v>0</v>
      </c>
      <c r="APB14">
        <f t="shared" si="447"/>
        <v>0</v>
      </c>
      <c r="APC14">
        <f t="shared" si="448"/>
        <v>0</v>
      </c>
      <c r="APD14">
        <f t="shared" si="449"/>
        <v>0</v>
      </c>
      <c r="APE14">
        <f t="shared" si="450"/>
        <v>0</v>
      </c>
      <c r="APF14">
        <f t="shared" si="451"/>
        <v>0</v>
      </c>
      <c r="APG14">
        <f t="shared" si="452"/>
        <v>0</v>
      </c>
      <c r="APH14">
        <f t="shared" si="453"/>
        <v>0</v>
      </c>
      <c r="API14">
        <f t="shared" si="454"/>
        <v>0</v>
      </c>
      <c r="APJ14">
        <f t="shared" si="455"/>
        <v>0</v>
      </c>
      <c r="APK14">
        <f t="shared" si="456"/>
        <v>0</v>
      </c>
      <c r="APL14">
        <f t="shared" si="457"/>
        <v>0</v>
      </c>
      <c r="APM14">
        <f t="shared" si="458"/>
        <v>0</v>
      </c>
      <c r="APN14">
        <f t="shared" si="459"/>
        <v>0</v>
      </c>
      <c r="APO14">
        <f t="shared" si="460"/>
        <v>0</v>
      </c>
      <c r="APP14">
        <f t="shared" si="461"/>
        <v>0</v>
      </c>
      <c r="APQ14">
        <f t="shared" si="462"/>
        <v>0</v>
      </c>
      <c r="APR14">
        <f t="shared" si="463"/>
        <v>0</v>
      </c>
      <c r="APS14">
        <f t="shared" si="464"/>
        <v>0</v>
      </c>
      <c r="APT14">
        <f t="shared" si="465"/>
        <v>0</v>
      </c>
      <c r="APU14">
        <f t="shared" si="466"/>
        <v>0</v>
      </c>
      <c r="APV14">
        <f t="shared" si="467"/>
        <v>0</v>
      </c>
      <c r="APW14">
        <f t="shared" si="468"/>
        <v>0</v>
      </c>
      <c r="APX14">
        <f t="shared" si="469"/>
        <v>0</v>
      </c>
      <c r="APY14">
        <f t="shared" si="470"/>
        <v>0</v>
      </c>
      <c r="APZ14">
        <f t="shared" si="471"/>
        <v>0</v>
      </c>
      <c r="AQA14">
        <f t="shared" si="472"/>
        <v>0</v>
      </c>
      <c r="AQB14">
        <f t="shared" si="473"/>
        <v>0</v>
      </c>
      <c r="AQC14">
        <f t="shared" si="474"/>
        <v>0</v>
      </c>
      <c r="AQD14">
        <f t="shared" si="475"/>
        <v>0</v>
      </c>
      <c r="AQE14">
        <f t="shared" si="476"/>
        <v>0</v>
      </c>
      <c r="AQF14">
        <f t="shared" si="477"/>
        <v>0</v>
      </c>
      <c r="AQG14">
        <f t="shared" si="478"/>
        <v>0</v>
      </c>
      <c r="AQH14">
        <f t="shared" si="479"/>
        <v>0</v>
      </c>
      <c r="AQI14">
        <f t="shared" si="480"/>
        <v>0</v>
      </c>
      <c r="AQJ14">
        <f t="shared" si="481"/>
        <v>0</v>
      </c>
      <c r="AQK14">
        <f t="shared" si="482"/>
        <v>0</v>
      </c>
      <c r="AQL14">
        <f t="shared" si="483"/>
        <v>0</v>
      </c>
      <c r="AQM14">
        <f t="shared" si="484"/>
        <v>0</v>
      </c>
      <c r="AQN14">
        <f t="shared" si="485"/>
        <v>0</v>
      </c>
      <c r="AQO14">
        <f t="shared" si="486"/>
        <v>0</v>
      </c>
      <c r="AQP14">
        <f t="shared" si="487"/>
        <v>0</v>
      </c>
      <c r="AQQ14">
        <f t="shared" si="488"/>
        <v>0</v>
      </c>
      <c r="AQR14">
        <f t="shared" si="489"/>
        <v>0</v>
      </c>
      <c r="AQS14">
        <f t="shared" si="490"/>
        <v>0</v>
      </c>
      <c r="AQT14">
        <f t="shared" si="491"/>
        <v>0</v>
      </c>
      <c r="AQU14">
        <f t="shared" si="492"/>
        <v>0</v>
      </c>
      <c r="AQV14">
        <f t="shared" si="493"/>
        <v>0</v>
      </c>
      <c r="AQW14">
        <f t="shared" si="494"/>
        <v>0</v>
      </c>
      <c r="AQX14">
        <f t="shared" si="495"/>
        <v>0</v>
      </c>
      <c r="AQY14">
        <f t="shared" si="496"/>
        <v>0</v>
      </c>
      <c r="AQZ14">
        <f t="shared" si="497"/>
        <v>0</v>
      </c>
      <c r="ARA14">
        <f t="shared" si="498"/>
        <v>0</v>
      </c>
      <c r="ARB14">
        <f t="shared" si="499"/>
        <v>0</v>
      </c>
      <c r="ARC14">
        <f t="shared" si="500"/>
        <v>0</v>
      </c>
      <c r="ARD14">
        <f t="shared" si="501"/>
        <v>0</v>
      </c>
      <c r="ARE14">
        <f t="shared" si="502"/>
        <v>0</v>
      </c>
      <c r="ARF14">
        <f t="shared" si="503"/>
        <v>0</v>
      </c>
      <c r="ARG14">
        <f t="shared" si="504"/>
        <v>0</v>
      </c>
      <c r="ARH14">
        <f t="shared" si="505"/>
        <v>0</v>
      </c>
      <c r="ARI14">
        <f t="shared" si="506"/>
        <v>0</v>
      </c>
      <c r="ARJ14">
        <f t="shared" si="40"/>
        <v>0</v>
      </c>
      <c r="ARK14">
        <f t="shared" si="507"/>
        <v>0</v>
      </c>
      <c r="ARL14">
        <f t="shared" si="508"/>
        <v>0</v>
      </c>
      <c r="ARM14">
        <f t="shared" si="509"/>
        <v>0</v>
      </c>
      <c r="ARN14">
        <f t="shared" si="510"/>
        <v>0</v>
      </c>
      <c r="ARO14">
        <f t="shared" si="511"/>
        <v>0</v>
      </c>
      <c r="ARP14">
        <f t="shared" si="512"/>
        <v>0</v>
      </c>
      <c r="ARQ14">
        <f t="shared" si="513"/>
        <v>0</v>
      </c>
      <c r="ARR14">
        <f t="shared" si="514"/>
        <v>0</v>
      </c>
      <c r="ARS14">
        <f t="shared" si="515"/>
        <v>0</v>
      </c>
      <c r="ART14">
        <f t="shared" si="516"/>
        <v>0</v>
      </c>
      <c r="ARU14">
        <f t="shared" si="517"/>
        <v>0</v>
      </c>
      <c r="ARV14">
        <f t="shared" si="518"/>
        <v>0</v>
      </c>
      <c r="ARW14">
        <f t="shared" si="519"/>
        <v>0</v>
      </c>
      <c r="ARX14">
        <f t="shared" si="520"/>
        <v>0</v>
      </c>
      <c r="ARY14">
        <f t="shared" si="521"/>
        <v>0</v>
      </c>
      <c r="ARZ14">
        <f t="shared" si="522"/>
        <v>0</v>
      </c>
      <c r="ASA14">
        <f t="shared" si="523"/>
        <v>0</v>
      </c>
      <c r="ASB14">
        <f t="shared" si="524"/>
        <v>0</v>
      </c>
      <c r="ASC14">
        <f t="shared" si="525"/>
        <v>0</v>
      </c>
      <c r="ASD14">
        <f t="shared" si="526"/>
        <v>0</v>
      </c>
      <c r="ASE14">
        <f t="shared" si="527"/>
        <v>0</v>
      </c>
      <c r="ASF14">
        <f t="shared" si="528"/>
        <v>0</v>
      </c>
      <c r="ASG14">
        <f t="shared" si="529"/>
        <v>0</v>
      </c>
      <c r="ASH14">
        <f t="shared" si="530"/>
        <v>0</v>
      </c>
      <c r="ASI14">
        <f t="shared" si="531"/>
        <v>0</v>
      </c>
      <c r="ASJ14">
        <f t="shared" si="532"/>
        <v>0</v>
      </c>
      <c r="ASK14">
        <f t="shared" si="533"/>
        <v>0</v>
      </c>
      <c r="ASL14">
        <f t="shared" si="534"/>
        <v>0</v>
      </c>
      <c r="ASM14">
        <f t="shared" si="535"/>
        <v>0</v>
      </c>
      <c r="ASN14">
        <f t="shared" si="536"/>
        <v>0</v>
      </c>
      <c r="ASO14">
        <f t="shared" si="537"/>
        <v>0</v>
      </c>
      <c r="ASP14">
        <f t="shared" si="538"/>
        <v>0</v>
      </c>
      <c r="ASQ14">
        <f t="shared" si="539"/>
        <v>0</v>
      </c>
      <c r="ASR14">
        <f t="shared" si="540"/>
        <v>0</v>
      </c>
      <c r="ASS14">
        <f t="shared" si="541"/>
        <v>0</v>
      </c>
      <c r="AST14">
        <f t="shared" si="542"/>
        <v>0</v>
      </c>
      <c r="ASU14">
        <f t="shared" si="543"/>
        <v>0</v>
      </c>
      <c r="ASV14">
        <f t="shared" si="544"/>
        <v>0</v>
      </c>
      <c r="ASW14">
        <f t="shared" si="545"/>
        <v>0</v>
      </c>
      <c r="ASX14">
        <f t="shared" si="546"/>
        <v>0</v>
      </c>
      <c r="ASY14">
        <f t="shared" si="547"/>
        <v>0</v>
      </c>
      <c r="ASZ14">
        <f t="shared" si="548"/>
        <v>0</v>
      </c>
      <c r="ATA14">
        <f t="shared" si="549"/>
        <v>0</v>
      </c>
      <c r="ATB14">
        <f t="shared" si="550"/>
        <v>0</v>
      </c>
      <c r="ATC14">
        <f t="shared" si="551"/>
        <v>0</v>
      </c>
      <c r="ATD14">
        <f t="shared" si="552"/>
        <v>0</v>
      </c>
      <c r="ATE14">
        <f t="shared" si="553"/>
        <v>0</v>
      </c>
      <c r="ATF14">
        <f t="shared" si="554"/>
        <v>0</v>
      </c>
      <c r="ATG14">
        <f t="shared" si="555"/>
        <v>0</v>
      </c>
      <c r="ATH14">
        <f t="shared" si="556"/>
        <v>0</v>
      </c>
      <c r="ATI14">
        <f t="shared" si="557"/>
        <v>0</v>
      </c>
      <c r="ATJ14">
        <f t="shared" si="558"/>
        <v>0</v>
      </c>
      <c r="ATK14">
        <f t="shared" si="559"/>
        <v>0</v>
      </c>
      <c r="ATL14">
        <f t="shared" si="560"/>
        <v>0</v>
      </c>
      <c r="ATM14">
        <f t="shared" si="561"/>
        <v>0</v>
      </c>
      <c r="ATN14">
        <f t="shared" si="562"/>
        <v>0</v>
      </c>
      <c r="ATO14">
        <f t="shared" si="563"/>
        <v>0</v>
      </c>
      <c r="ATP14">
        <f t="shared" si="564"/>
        <v>0</v>
      </c>
      <c r="ATQ14">
        <f t="shared" si="565"/>
        <v>0</v>
      </c>
      <c r="ATR14">
        <f t="shared" si="566"/>
        <v>0</v>
      </c>
      <c r="ATS14">
        <f t="shared" si="567"/>
        <v>0</v>
      </c>
      <c r="ATT14">
        <f t="shared" si="568"/>
        <v>0</v>
      </c>
      <c r="ATU14">
        <f t="shared" si="569"/>
        <v>0</v>
      </c>
      <c r="ATV14">
        <f t="shared" si="41"/>
        <v>0</v>
      </c>
      <c r="ATW14">
        <f t="shared" si="570"/>
        <v>0</v>
      </c>
      <c r="ATX14">
        <f t="shared" si="571"/>
        <v>0</v>
      </c>
      <c r="ATY14">
        <f t="shared" si="572"/>
        <v>0</v>
      </c>
      <c r="ATZ14">
        <f t="shared" si="573"/>
        <v>0</v>
      </c>
      <c r="AUA14">
        <f t="shared" si="574"/>
        <v>0</v>
      </c>
      <c r="AUB14">
        <f t="shared" si="575"/>
        <v>0</v>
      </c>
      <c r="AUC14">
        <f t="shared" si="576"/>
        <v>0</v>
      </c>
      <c r="AUD14">
        <f t="shared" si="577"/>
        <v>0</v>
      </c>
      <c r="AUE14">
        <f t="shared" si="578"/>
        <v>0</v>
      </c>
      <c r="AUF14">
        <f t="shared" si="579"/>
        <v>0</v>
      </c>
      <c r="AUG14">
        <f t="shared" si="580"/>
        <v>0</v>
      </c>
      <c r="AUH14">
        <f t="shared" si="581"/>
        <v>0</v>
      </c>
      <c r="AUI14">
        <f t="shared" si="582"/>
        <v>0</v>
      </c>
      <c r="AUJ14">
        <f t="shared" si="583"/>
        <v>0</v>
      </c>
      <c r="AUK14">
        <f t="shared" si="584"/>
        <v>0</v>
      </c>
      <c r="AUL14">
        <f t="shared" si="585"/>
        <v>0</v>
      </c>
      <c r="AUM14">
        <f t="shared" si="586"/>
        <v>0</v>
      </c>
      <c r="AUN14">
        <f t="shared" si="587"/>
        <v>0</v>
      </c>
      <c r="AUO14">
        <f t="shared" si="588"/>
        <v>0</v>
      </c>
      <c r="AUP14">
        <f t="shared" si="589"/>
        <v>0</v>
      </c>
      <c r="AUQ14">
        <f t="shared" si="590"/>
        <v>0</v>
      </c>
      <c r="AUR14">
        <f t="shared" si="591"/>
        <v>0</v>
      </c>
      <c r="AUS14">
        <f t="shared" si="592"/>
        <v>0</v>
      </c>
      <c r="AUT14">
        <f t="shared" si="593"/>
        <v>0</v>
      </c>
      <c r="AUU14">
        <f t="shared" si="594"/>
        <v>0</v>
      </c>
      <c r="AUV14">
        <f t="shared" si="595"/>
        <v>0</v>
      </c>
      <c r="AUW14">
        <f t="shared" si="596"/>
        <v>0</v>
      </c>
      <c r="AUX14">
        <f t="shared" si="597"/>
        <v>0</v>
      </c>
      <c r="AUY14">
        <f t="shared" si="598"/>
        <v>0</v>
      </c>
      <c r="AUZ14">
        <f t="shared" si="599"/>
        <v>0</v>
      </c>
      <c r="AVA14">
        <f t="shared" si="600"/>
        <v>0</v>
      </c>
      <c r="AVB14">
        <f t="shared" si="601"/>
        <v>0</v>
      </c>
      <c r="AVC14">
        <f t="shared" si="602"/>
        <v>0</v>
      </c>
      <c r="AVD14">
        <f t="shared" si="603"/>
        <v>0</v>
      </c>
      <c r="AVE14">
        <f t="shared" si="604"/>
        <v>0</v>
      </c>
      <c r="AVF14">
        <f t="shared" si="605"/>
        <v>0</v>
      </c>
      <c r="AVG14">
        <f t="shared" si="606"/>
        <v>0</v>
      </c>
      <c r="AVH14">
        <f t="shared" si="607"/>
        <v>0</v>
      </c>
      <c r="AVI14">
        <f t="shared" si="608"/>
        <v>0</v>
      </c>
      <c r="AVJ14">
        <f t="shared" si="609"/>
        <v>0</v>
      </c>
      <c r="AVK14">
        <f t="shared" si="610"/>
        <v>0</v>
      </c>
      <c r="AVL14">
        <f t="shared" si="611"/>
        <v>0</v>
      </c>
      <c r="AVM14">
        <f t="shared" si="612"/>
        <v>0</v>
      </c>
      <c r="AVN14">
        <f t="shared" si="613"/>
        <v>0</v>
      </c>
      <c r="AVO14">
        <f t="shared" si="614"/>
        <v>0</v>
      </c>
      <c r="AVP14">
        <f t="shared" si="615"/>
        <v>0</v>
      </c>
      <c r="AVQ14">
        <f t="shared" si="616"/>
        <v>0</v>
      </c>
      <c r="AVR14">
        <f t="shared" si="617"/>
        <v>0</v>
      </c>
      <c r="AVS14">
        <f t="shared" si="618"/>
        <v>0</v>
      </c>
      <c r="AVT14">
        <f t="shared" si="619"/>
        <v>0</v>
      </c>
      <c r="AVU14">
        <f t="shared" si="620"/>
        <v>0</v>
      </c>
      <c r="AVV14">
        <f t="shared" si="621"/>
        <v>0</v>
      </c>
      <c r="AVW14">
        <f t="shared" si="622"/>
        <v>0</v>
      </c>
      <c r="AVX14">
        <f t="shared" si="623"/>
        <v>0</v>
      </c>
      <c r="AVY14">
        <f t="shared" si="624"/>
        <v>0</v>
      </c>
      <c r="AVZ14">
        <f t="shared" si="625"/>
        <v>0</v>
      </c>
      <c r="AWA14">
        <f t="shared" si="626"/>
        <v>0</v>
      </c>
      <c r="AWB14">
        <f t="shared" si="627"/>
        <v>0</v>
      </c>
      <c r="AWC14">
        <f t="shared" si="628"/>
        <v>0</v>
      </c>
      <c r="AWD14">
        <f t="shared" si="629"/>
        <v>0</v>
      </c>
      <c r="AWE14">
        <f t="shared" si="630"/>
        <v>0</v>
      </c>
      <c r="AWF14">
        <f t="shared" si="631"/>
        <v>0</v>
      </c>
      <c r="AWG14">
        <f t="shared" si="632"/>
        <v>0</v>
      </c>
      <c r="AWH14">
        <f t="shared" si="42"/>
        <v>0</v>
      </c>
      <c r="AWI14">
        <f t="shared" si="633"/>
        <v>0</v>
      </c>
      <c r="AWJ14">
        <f t="shared" si="634"/>
        <v>0</v>
      </c>
      <c r="AWK14">
        <f t="shared" si="635"/>
        <v>0</v>
      </c>
      <c r="AWL14">
        <f t="shared" si="636"/>
        <v>0</v>
      </c>
      <c r="AWM14">
        <f t="shared" si="637"/>
        <v>0</v>
      </c>
      <c r="AWN14">
        <f t="shared" si="638"/>
        <v>0</v>
      </c>
      <c r="AWO14">
        <f t="shared" si="639"/>
        <v>0</v>
      </c>
      <c r="AWP14">
        <f t="shared" si="640"/>
        <v>0</v>
      </c>
      <c r="AWQ14">
        <f t="shared" si="641"/>
        <v>0</v>
      </c>
      <c r="AWR14">
        <f t="shared" si="642"/>
        <v>0</v>
      </c>
      <c r="AWS14">
        <f t="shared" si="643"/>
        <v>0</v>
      </c>
      <c r="AWT14">
        <f t="shared" si="644"/>
        <v>0</v>
      </c>
      <c r="AWU14">
        <f t="shared" si="645"/>
        <v>0</v>
      </c>
      <c r="AWV14">
        <f t="shared" si="646"/>
        <v>0</v>
      </c>
      <c r="AWW14">
        <f t="shared" si="647"/>
        <v>0</v>
      </c>
      <c r="AWX14">
        <f t="shared" si="648"/>
        <v>0</v>
      </c>
      <c r="AWY14">
        <f t="shared" si="649"/>
        <v>0</v>
      </c>
      <c r="AWZ14">
        <f t="shared" si="650"/>
        <v>0</v>
      </c>
      <c r="AXA14">
        <f t="shared" si="651"/>
        <v>0</v>
      </c>
      <c r="AXB14">
        <f t="shared" si="652"/>
        <v>0</v>
      </c>
      <c r="AXC14">
        <f t="shared" si="653"/>
        <v>0</v>
      </c>
      <c r="AXD14">
        <f t="shared" si="654"/>
        <v>0</v>
      </c>
      <c r="AXE14">
        <f t="shared" si="655"/>
        <v>0</v>
      </c>
      <c r="AXF14">
        <f t="shared" si="656"/>
        <v>0</v>
      </c>
      <c r="AXG14">
        <f t="shared" si="657"/>
        <v>0</v>
      </c>
      <c r="AXH14">
        <f t="shared" si="658"/>
        <v>0</v>
      </c>
      <c r="AXI14">
        <f t="shared" si="659"/>
        <v>0</v>
      </c>
      <c r="AXJ14">
        <f t="shared" si="660"/>
        <v>0</v>
      </c>
      <c r="AXK14">
        <f t="shared" si="661"/>
        <v>0</v>
      </c>
      <c r="AXL14">
        <f t="shared" si="662"/>
        <v>0</v>
      </c>
      <c r="AXM14">
        <f t="shared" si="663"/>
        <v>0</v>
      </c>
      <c r="AXN14">
        <f t="shared" si="664"/>
        <v>0</v>
      </c>
      <c r="AXO14">
        <f t="shared" si="665"/>
        <v>0</v>
      </c>
      <c r="AXP14">
        <f t="shared" si="666"/>
        <v>0</v>
      </c>
      <c r="AXQ14">
        <f t="shared" si="667"/>
        <v>0</v>
      </c>
      <c r="AXR14">
        <f t="shared" si="668"/>
        <v>0</v>
      </c>
      <c r="AXS14">
        <f t="shared" si="669"/>
        <v>0</v>
      </c>
      <c r="AXT14">
        <f t="shared" si="670"/>
        <v>0</v>
      </c>
      <c r="AXU14">
        <f t="shared" si="671"/>
        <v>0</v>
      </c>
      <c r="AXV14">
        <f t="shared" si="672"/>
        <v>0</v>
      </c>
      <c r="AXW14">
        <f t="shared" si="673"/>
        <v>0</v>
      </c>
      <c r="AXX14">
        <f t="shared" si="674"/>
        <v>0</v>
      </c>
      <c r="AXY14">
        <f t="shared" si="675"/>
        <v>0</v>
      </c>
      <c r="AXZ14">
        <f t="shared" si="676"/>
        <v>0</v>
      </c>
      <c r="AYA14">
        <f t="shared" si="677"/>
        <v>0</v>
      </c>
      <c r="AYB14">
        <f t="shared" si="678"/>
        <v>0</v>
      </c>
      <c r="AYC14">
        <f t="shared" si="679"/>
        <v>0</v>
      </c>
      <c r="AYD14">
        <f t="shared" si="680"/>
        <v>0</v>
      </c>
      <c r="AYE14">
        <f t="shared" si="681"/>
        <v>0</v>
      </c>
      <c r="AYF14">
        <f t="shared" si="682"/>
        <v>0</v>
      </c>
      <c r="AYG14">
        <f t="shared" si="683"/>
        <v>0</v>
      </c>
      <c r="AYH14">
        <f t="shared" si="684"/>
        <v>0</v>
      </c>
      <c r="AYI14">
        <f t="shared" si="685"/>
        <v>0</v>
      </c>
      <c r="AYJ14">
        <f t="shared" si="686"/>
        <v>0</v>
      </c>
      <c r="AYK14">
        <f t="shared" si="687"/>
        <v>0</v>
      </c>
      <c r="AYL14">
        <f t="shared" si="688"/>
        <v>0</v>
      </c>
      <c r="AYM14">
        <f t="shared" si="689"/>
        <v>0</v>
      </c>
      <c r="AYN14">
        <f t="shared" si="690"/>
        <v>0</v>
      </c>
      <c r="AYO14">
        <f t="shared" si="691"/>
        <v>0</v>
      </c>
      <c r="AYP14">
        <f t="shared" si="692"/>
        <v>0</v>
      </c>
      <c r="AYQ14">
        <f t="shared" si="693"/>
        <v>0</v>
      </c>
      <c r="AYR14">
        <f t="shared" si="694"/>
        <v>0</v>
      </c>
      <c r="AYS14">
        <f t="shared" si="695"/>
        <v>0</v>
      </c>
      <c r="AYT14">
        <f t="shared" si="43"/>
        <v>0</v>
      </c>
      <c r="AYU14">
        <f t="shared" si="696"/>
        <v>0</v>
      </c>
      <c r="AYV14">
        <f t="shared" si="697"/>
        <v>0</v>
      </c>
      <c r="AYW14">
        <f t="shared" si="698"/>
        <v>0</v>
      </c>
      <c r="AYX14">
        <f t="shared" si="699"/>
        <v>0</v>
      </c>
      <c r="AYY14">
        <f t="shared" si="700"/>
        <v>0</v>
      </c>
      <c r="AYZ14">
        <f t="shared" si="701"/>
        <v>0</v>
      </c>
      <c r="AZA14">
        <f t="shared" si="702"/>
        <v>0</v>
      </c>
      <c r="AZB14">
        <f t="shared" si="703"/>
        <v>0</v>
      </c>
      <c r="AZC14">
        <f t="shared" si="704"/>
        <v>0</v>
      </c>
      <c r="AZD14">
        <f t="shared" si="705"/>
        <v>0</v>
      </c>
      <c r="AZE14">
        <f t="shared" si="706"/>
        <v>0</v>
      </c>
      <c r="AZF14">
        <f t="shared" si="707"/>
        <v>0</v>
      </c>
      <c r="AZG14">
        <f t="shared" si="708"/>
        <v>0</v>
      </c>
      <c r="AZH14">
        <f t="shared" si="709"/>
        <v>0</v>
      </c>
      <c r="AZI14">
        <f t="shared" si="710"/>
        <v>0</v>
      </c>
      <c r="AZJ14">
        <f t="shared" si="711"/>
        <v>0</v>
      </c>
      <c r="AZK14">
        <f t="shared" si="712"/>
        <v>0</v>
      </c>
      <c r="AZL14">
        <f t="shared" si="713"/>
        <v>0</v>
      </c>
      <c r="AZM14">
        <f t="shared" si="714"/>
        <v>0</v>
      </c>
      <c r="AZN14">
        <f t="shared" si="715"/>
        <v>0</v>
      </c>
      <c r="AZO14">
        <f t="shared" si="716"/>
        <v>0</v>
      </c>
      <c r="AZP14">
        <f t="shared" si="717"/>
        <v>0</v>
      </c>
      <c r="AZQ14">
        <f t="shared" si="718"/>
        <v>0</v>
      </c>
      <c r="AZR14">
        <f t="shared" si="719"/>
        <v>0</v>
      </c>
      <c r="AZS14">
        <f t="shared" si="720"/>
        <v>0</v>
      </c>
      <c r="AZT14">
        <f t="shared" si="721"/>
        <v>0</v>
      </c>
      <c r="AZU14">
        <f t="shared" si="722"/>
        <v>0</v>
      </c>
      <c r="AZV14">
        <f t="shared" si="723"/>
        <v>0</v>
      </c>
      <c r="AZW14">
        <f t="shared" si="724"/>
        <v>0</v>
      </c>
      <c r="AZX14">
        <f t="shared" si="725"/>
        <v>0</v>
      </c>
      <c r="AZY14">
        <f t="shared" si="726"/>
        <v>0</v>
      </c>
      <c r="AZZ14">
        <f t="shared" si="727"/>
        <v>0</v>
      </c>
      <c r="BAA14">
        <f t="shared" si="728"/>
        <v>0</v>
      </c>
      <c r="BAB14">
        <f t="shared" si="729"/>
        <v>0</v>
      </c>
      <c r="BAC14">
        <f t="shared" si="730"/>
        <v>0</v>
      </c>
      <c r="BAD14">
        <f t="shared" si="731"/>
        <v>0</v>
      </c>
      <c r="BAE14">
        <f t="shared" si="732"/>
        <v>0</v>
      </c>
      <c r="BAF14">
        <f t="shared" si="733"/>
        <v>0</v>
      </c>
      <c r="BAG14">
        <f t="shared" si="734"/>
        <v>0</v>
      </c>
      <c r="BAH14">
        <f t="shared" si="735"/>
        <v>0</v>
      </c>
      <c r="BAI14">
        <f t="shared" si="736"/>
        <v>0</v>
      </c>
      <c r="BAJ14">
        <f t="shared" si="737"/>
        <v>0</v>
      </c>
      <c r="BAK14">
        <f t="shared" si="738"/>
        <v>0</v>
      </c>
      <c r="BAL14">
        <f t="shared" si="739"/>
        <v>0</v>
      </c>
      <c r="BAM14">
        <f t="shared" si="740"/>
        <v>0</v>
      </c>
      <c r="BAN14">
        <f t="shared" si="741"/>
        <v>0</v>
      </c>
      <c r="BAO14">
        <f t="shared" si="742"/>
        <v>0</v>
      </c>
      <c r="BAP14">
        <f t="shared" si="743"/>
        <v>0</v>
      </c>
      <c r="BAQ14">
        <f t="shared" si="744"/>
        <v>0</v>
      </c>
      <c r="BAR14">
        <f t="shared" si="745"/>
        <v>0</v>
      </c>
      <c r="BAS14">
        <f t="shared" si="746"/>
        <v>0</v>
      </c>
      <c r="BAT14">
        <f t="shared" si="747"/>
        <v>0</v>
      </c>
      <c r="BAU14">
        <f t="shared" si="748"/>
        <v>0</v>
      </c>
      <c r="BAV14">
        <f t="shared" si="749"/>
        <v>0</v>
      </c>
      <c r="BAW14">
        <f t="shared" si="750"/>
        <v>0</v>
      </c>
      <c r="BAX14">
        <f t="shared" si="751"/>
        <v>0</v>
      </c>
      <c r="BAY14">
        <f t="shared" si="752"/>
        <v>0</v>
      </c>
      <c r="BAZ14">
        <f t="shared" si="753"/>
        <v>0</v>
      </c>
      <c r="BBA14">
        <f t="shared" si="754"/>
        <v>0</v>
      </c>
      <c r="BBB14">
        <f t="shared" si="755"/>
        <v>0</v>
      </c>
      <c r="BBC14">
        <f t="shared" si="756"/>
        <v>0</v>
      </c>
      <c r="BBD14">
        <f t="shared" si="757"/>
        <v>0</v>
      </c>
      <c r="BBE14">
        <f t="shared" si="758"/>
        <v>0</v>
      </c>
      <c r="BBF14">
        <f t="shared" si="44"/>
        <v>0</v>
      </c>
      <c r="BBG14">
        <f t="shared" si="759"/>
        <v>0</v>
      </c>
      <c r="BBH14">
        <f t="shared" si="760"/>
        <v>0</v>
      </c>
      <c r="BBI14">
        <f t="shared" si="761"/>
        <v>0</v>
      </c>
      <c r="BBJ14">
        <f t="shared" si="762"/>
        <v>0</v>
      </c>
      <c r="BBK14">
        <f t="shared" si="763"/>
        <v>0</v>
      </c>
      <c r="BBL14">
        <f t="shared" si="764"/>
        <v>0</v>
      </c>
      <c r="BBM14">
        <f t="shared" si="765"/>
        <v>0</v>
      </c>
      <c r="BBN14">
        <f t="shared" si="766"/>
        <v>0</v>
      </c>
      <c r="BBO14">
        <f t="shared" si="767"/>
        <v>0</v>
      </c>
      <c r="BBP14">
        <f t="shared" si="768"/>
        <v>0</v>
      </c>
      <c r="BBQ14">
        <f t="shared" si="769"/>
        <v>0</v>
      </c>
      <c r="BBR14">
        <f t="shared" si="770"/>
        <v>0</v>
      </c>
      <c r="BBS14">
        <f t="shared" si="771"/>
        <v>0</v>
      </c>
      <c r="BBT14">
        <f t="shared" si="772"/>
        <v>0</v>
      </c>
      <c r="BBU14">
        <f t="shared" si="773"/>
        <v>0</v>
      </c>
      <c r="BBV14">
        <f t="shared" si="774"/>
        <v>0</v>
      </c>
      <c r="BBW14">
        <f t="shared" si="775"/>
        <v>0</v>
      </c>
      <c r="BBX14">
        <f t="shared" si="776"/>
        <v>0</v>
      </c>
      <c r="BBY14">
        <f t="shared" si="777"/>
        <v>0</v>
      </c>
      <c r="BBZ14">
        <f t="shared" si="778"/>
        <v>0</v>
      </c>
      <c r="BCA14">
        <f t="shared" si="779"/>
        <v>0</v>
      </c>
      <c r="BCB14">
        <f t="shared" si="780"/>
        <v>0</v>
      </c>
      <c r="BCC14">
        <f t="shared" si="781"/>
        <v>0</v>
      </c>
      <c r="BCD14">
        <f t="shared" si="782"/>
        <v>0</v>
      </c>
      <c r="BCE14">
        <f t="shared" si="783"/>
        <v>0</v>
      </c>
      <c r="BCF14">
        <f t="shared" si="784"/>
        <v>0</v>
      </c>
      <c r="BCG14">
        <f t="shared" si="785"/>
        <v>0</v>
      </c>
      <c r="BCH14">
        <f t="shared" si="786"/>
        <v>0</v>
      </c>
      <c r="BCI14">
        <f t="shared" si="787"/>
        <v>0</v>
      </c>
      <c r="BCJ14">
        <f t="shared" si="788"/>
        <v>0</v>
      </c>
      <c r="BCK14">
        <f t="shared" si="789"/>
        <v>0</v>
      </c>
      <c r="BCL14">
        <f t="shared" si="790"/>
        <v>0</v>
      </c>
      <c r="BCM14">
        <f t="shared" si="791"/>
        <v>0</v>
      </c>
      <c r="BCN14">
        <f t="shared" si="792"/>
        <v>0</v>
      </c>
      <c r="BCO14">
        <f t="shared" si="793"/>
        <v>0</v>
      </c>
      <c r="BCP14">
        <f t="shared" si="794"/>
        <v>0</v>
      </c>
      <c r="BCQ14">
        <f t="shared" si="795"/>
        <v>0</v>
      </c>
      <c r="BCR14">
        <f t="shared" si="796"/>
        <v>0</v>
      </c>
      <c r="BCS14">
        <f t="shared" si="797"/>
        <v>0</v>
      </c>
      <c r="BCT14">
        <f t="shared" si="798"/>
        <v>0</v>
      </c>
      <c r="BCU14">
        <f t="shared" si="799"/>
        <v>0</v>
      </c>
      <c r="BCV14">
        <f t="shared" si="800"/>
        <v>0</v>
      </c>
      <c r="BCW14">
        <f t="shared" si="801"/>
        <v>0</v>
      </c>
      <c r="BCX14">
        <f t="shared" si="802"/>
        <v>0</v>
      </c>
      <c r="BCY14">
        <f t="shared" si="803"/>
        <v>0</v>
      </c>
      <c r="BCZ14">
        <f t="shared" si="804"/>
        <v>0</v>
      </c>
      <c r="BDA14">
        <f t="shared" si="805"/>
        <v>0</v>
      </c>
      <c r="BDB14">
        <f t="shared" si="806"/>
        <v>0</v>
      </c>
      <c r="BDC14">
        <f t="shared" si="807"/>
        <v>0</v>
      </c>
      <c r="BDD14">
        <f t="shared" si="808"/>
        <v>0</v>
      </c>
      <c r="BDE14">
        <f t="shared" si="809"/>
        <v>0</v>
      </c>
      <c r="BDF14">
        <f t="shared" si="810"/>
        <v>0</v>
      </c>
      <c r="BDG14">
        <f t="shared" si="811"/>
        <v>0</v>
      </c>
      <c r="BDH14">
        <f t="shared" si="812"/>
        <v>0</v>
      </c>
      <c r="BDI14">
        <f t="shared" si="813"/>
        <v>0</v>
      </c>
      <c r="BDJ14">
        <f t="shared" si="814"/>
        <v>0</v>
      </c>
      <c r="BDK14">
        <f t="shared" si="815"/>
        <v>0</v>
      </c>
      <c r="BDL14">
        <f t="shared" si="816"/>
        <v>0</v>
      </c>
      <c r="BDM14">
        <f t="shared" si="817"/>
        <v>0</v>
      </c>
      <c r="BDN14">
        <f t="shared" si="818"/>
        <v>0</v>
      </c>
      <c r="BDO14">
        <f t="shared" si="819"/>
        <v>0</v>
      </c>
      <c r="BDP14">
        <f t="shared" si="820"/>
        <v>0</v>
      </c>
      <c r="BDQ14">
        <f t="shared" si="821"/>
        <v>0</v>
      </c>
      <c r="BDR14">
        <f t="shared" si="45"/>
        <v>0</v>
      </c>
      <c r="BDS14">
        <f t="shared" si="822"/>
        <v>0</v>
      </c>
      <c r="BDT14">
        <f t="shared" si="823"/>
        <v>0</v>
      </c>
      <c r="BDU14">
        <f t="shared" si="824"/>
        <v>0</v>
      </c>
      <c r="BDV14">
        <f t="shared" si="825"/>
        <v>0</v>
      </c>
      <c r="BDW14">
        <f t="shared" si="826"/>
        <v>0</v>
      </c>
      <c r="BDX14">
        <f t="shared" si="827"/>
        <v>0</v>
      </c>
      <c r="BDY14">
        <f t="shared" si="828"/>
        <v>0</v>
      </c>
      <c r="BDZ14">
        <f t="shared" si="829"/>
        <v>0</v>
      </c>
      <c r="BEA14">
        <f t="shared" si="830"/>
        <v>0</v>
      </c>
      <c r="BEB14">
        <f t="shared" si="831"/>
        <v>0</v>
      </c>
      <c r="BEC14">
        <f t="shared" si="832"/>
        <v>0</v>
      </c>
      <c r="BED14">
        <f t="shared" si="833"/>
        <v>0</v>
      </c>
      <c r="BEE14">
        <f t="shared" si="834"/>
        <v>0</v>
      </c>
      <c r="BEF14">
        <f t="shared" si="835"/>
        <v>0</v>
      </c>
      <c r="BEG14">
        <f t="shared" si="836"/>
        <v>0</v>
      </c>
      <c r="BEH14">
        <f t="shared" si="837"/>
        <v>0</v>
      </c>
      <c r="BEI14">
        <f t="shared" si="838"/>
        <v>0</v>
      </c>
      <c r="BEJ14">
        <f t="shared" si="839"/>
        <v>0</v>
      </c>
      <c r="BEK14">
        <f t="shared" si="840"/>
        <v>0</v>
      </c>
      <c r="BEL14">
        <f t="shared" si="841"/>
        <v>0</v>
      </c>
      <c r="BEM14">
        <f t="shared" si="842"/>
        <v>0</v>
      </c>
      <c r="BEN14">
        <f t="shared" si="843"/>
        <v>0</v>
      </c>
      <c r="BEO14">
        <f t="shared" si="844"/>
        <v>0</v>
      </c>
      <c r="BEP14">
        <f t="shared" si="845"/>
        <v>0</v>
      </c>
      <c r="BEQ14">
        <f t="shared" si="846"/>
        <v>0</v>
      </c>
      <c r="BER14">
        <f t="shared" si="847"/>
        <v>0</v>
      </c>
      <c r="BES14">
        <f t="shared" si="848"/>
        <v>0</v>
      </c>
      <c r="BET14">
        <f t="shared" si="849"/>
        <v>0</v>
      </c>
      <c r="BEU14">
        <f t="shared" si="850"/>
        <v>0</v>
      </c>
      <c r="BEV14">
        <f t="shared" si="851"/>
        <v>0</v>
      </c>
      <c r="BEW14">
        <f t="shared" si="852"/>
        <v>0</v>
      </c>
      <c r="BEX14">
        <f t="shared" si="853"/>
        <v>0</v>
      </c>
      <c r="BEY14">
        <f t="shared" si="854"/>
        <v>0</v>
      </c>
      <c r="BEZ14">
        <f t="shared" si="855"/>
        <v>0</v>
      </c>
      <c r="BFA14">
        <f t="shared" si="856"/>
        <v>0</v>
      </c>
      <c r="BFB14">
        <f t="shared" si="857"/>
        <v>0</v>
      </c>
      <c r="BFC14">
        <f t="shared" si="858"/>
        <v>0</v>
      </c>
      <c r="BFD14">
        <f t="shared" si="859"/>
        <v>0</v>
      </c>
      <c r="BFE14">
        <f t="shared" si="860"/>
        <v>0</v>
      </c>
      <c r="BFF14">
        <f t="shared" si="861"/>
        <v>0</v>
      </c>
      <c r="BFG14">
        <f t="shared" si="862"/>
        <v>0</v>
      </c>
      <c r="BFH14">
        <f t="shared" si="863"/>
        <v>0</v>
      </c>
      <c r="BFI14">
        <f t="shared" si="864"/>
        <v>0</v>
      </c>
      <c r="BFJ14">
        <f t="shared" si="865"/>
        <v>0</v>
      </c>
      <c r="BFK14">
        <f t="shared" si="866"/>
        <v>0</v>
      </c>
      <c r="BFL14">
        <f t="shared" si="867"/>
        <v>0</v>
      </c>
      <c r="BFM14">
        <f t="shared" si="868"/>
        <v>0</v>
      </c>
      <c r="BFN14">
        <f t="shared" si="869"/>
        <v>0</v>
      </c>
      <c r="BFO14">
        <f t="shared" si="870"/>
        <v>0</v>
      </c>
      <c r="BFP14">
        <f t="shared" si="871"/>
        <v>0</v>
      </c>
      <c r="BFQ14">
        <f t="shared" si="872"/>
        <v>0</v>
      </c>
      <c r="BFR14">
        <f t="shared" si="873"/>
        <v>0</v>
      </c>
      <c r="BFS14">
        <f t="shared" si="874"/>
        <v>0</v>
      </c>
      <c r="BFT14">
        <f t="shared" si="875"/>
        <v>0</v>
      </c>
      <c r="BFU14">
        <f t="shared" si="876"/>
        <v>0</v>
      </c>
      <c r="BFV14">
        <f t="shared" si="877"/>
        <v>0</v>
      </c>
      <c r="BFW14">
        <f t="shared" si="878"/>
        <v>0</v>
      </c>
      <c r="BFX14">
        <f t="shared" si="879"/>
        <v>0</v>
      </c>
      <c r="BFY14">
        <f t="shared" si="880"/>
        <v>0</v>
      </c>
      <c r="BFZ14">
        <f t="shared" si="881"/>
        <v>0</v>
      </c>
      <c r="BGA14">
        <f t="shared" si="882"/>
        <v>0</v>
      </c>
      <c r="BGB14">
        <f t="shared" si="883"/>
        <v>0</v>
      </c>
      <c r="BGC14">
        <f t="shared" si="884"/>
        <v>0</v>
      </c>
      <c r="BGD14">
        <f t="shared" si="46"/>
        <v>0</v>
      </c>
      <c r="BGE14">
        <f t="shared" si="885"/>
        <v>0</v>
      </c>
      <c r="BGF14">
        <f t="shared" si="886"/>
        <v>0</v>
      </c>
      <c r="BGG14">
        <f t="shared" si="887"/>
        <v>0</v>
      </c>
      <c r="BGH14">
        <f t="shared" si="888"/>
        <v>0</v>
      </c>
      <c r="BGI14">
        <f t="shared" si="889"/>
        <v>0</v>
      </c>
      <c r="BGJ14">
        <f t="shared" si="890"/>
        <v>0</v>
      </c>
      <c r="BGK14">
        <f t="shared" si="891"/>
        <v>0</v>
      </c>
      <c r="BGL14">
        <f t="shared" si="892"/>
        <v>0</v>
      </c>
      <c r="BGM14">
        <f t="shared" si="893"/>
        <v>0</v>
      </c>
      <c r="BGN14">
        <f t="shared" si="894"/>
        <v>0</v>
      </c>
      <c r="BGO14">
        <f t="shared" si="895"/>
        <v>0</v>
      </c>
      <c r="BGP14">
        <f t="shared" si="896"/>
        <v>0</v>
      </c>
      <c r="BGQ14">
        <f t="shared" si="897"/>
        <v>0</v>
      </c>
      <c r="BGR14">
        <f t="shared" si="898"/>
        <v>0</v>
      </c>
      <c r="BGS14">
        <f t="shared" si="899"/>
        <v>0</v>
      </c>
      <c r="BGT14">
        <f t="shared" si="900"/>
        <v>0</v>
      </c>
      <c r="BGU14">
        <f t="shared" si="901"/>
        <v>0</v>
      </c>
      <c r="BGV14">
        <f t="shared" si="902"/>
        <v>0</v>
      </c>
      <c r="BGW14">
        <f t="shared" si="903"/>
        <v>0</v>
      </c>
      <c r="BGX14">
        <f t="shared" si="904"/>
        <v>0</v>
      </c>
      <c r="BGY14">
        <f t="shared" si="905"/>
        <v>0</v>
      </c>
      <c r="BGZ14">
        <f t="shared" si="906"/>
        <v>0</v>
      </c>
      <c r="BHA14">
        <f t="shared" si="907"/>
        <v>0</v>
      </c>
      <c r="BHB14">
        <f t="shared" si="908"/>
        <v>0</v>
      </c>
      <c r="BHC14">
        <f t="shared" si="909"/>
        <v>0</v>
      </c>
      <c r="BHD14">
        <f t="shared" si="910"/>
        <v>0</v>
      </c>
      <c r="BHE14">
        <f t="shared" si="911"/>
        <v>0</v>
      </c>
      <c r="BHF14">
        <f t="shared" si="912"/>
        <v>0</v>
      </c>
      <c r="BHG14">
        <f t="shared" si="913"/>
        <v>0</v>
      </c>
      <c r="BHH14">
        <f t="shared" si="914"/>
        <v>0</v>
      </c>
      <c r="BHI14">
        <f t="shared" si="915"/>
        <v>0</v>
      </c>
      <c r="BHJ14">
        <f t="shared" si="916"/>
        <v>0</v>
      </c>
      <c r="BHK14">
        <f t="shared" si="917"/>
        <v>0</v>
      </c>
      <c r="BHL14">
        <f t="shared" si="918"/>
        <v>0</v>
      </c>
      <c r="BHM14">
        <f t="shared" si="919"/>
        <v>0</v>
      </c>
      <c r="BHN14">
        <f t="shared" si="920"/>
        <v>0</v>
      </c>
      <c r="BHO14">
        <f t="shared" si="921"/>
        <v>0</v>
      </c>
      <c r="BHP14">
        <f t="shared" si="922"/>
        <v>0</v>
      </c>
      <c r="BHQ14">
        <f t="shared" si="923"/>
        <v>0</v>
      </c>
      <c r="BHR14">
        <f t="shared" si="924"/>
        <v>0</v>
      </c>
      <c r="BHS14">
        <f t="shared" si="925"/>
        <v>0</v>
      </c>
      <c r="BHT14">
        <f t="shared" si="926"/>
        <v>0</v>
      </c>
      <c r="BHU14">
        <f t="shared" si="927"/>
        <v>0</v>
      </c>
      <c r="BHV14">
        <f t="shared" si="928"/>
        <v>0</v>
      </c>
      <c r="BHW14">
        <f t="shared" si="929"/>
        <v>0</v>
      </c>
      <c r="BHX14">
        <f t="shared" si="930"/>
        <v>0</v>
      </c>
      <c r="BHY14">
        <f t="shared" si="931"/>
        <v>0</v>
      </c>
      <c r="BHZ14">
        <f t="shared" si="932"/>
        <v>0</v>
      </c>
      <c r="BIA14">
        <f t="shared" si="933"/>
        <v>0</v>
      </c>
      <c r="BIB14">
        <f t="shared" si="934"/>
        <v>0</v>
      </c>
      <c r="BIC14">
        <f t="shared" si="935"/>
        <v>0</v>
      </c>
      <c r="BID14">
        <f t="shared" si="936"/>
        <v>0</v>
      </c>
      <c r="BIE14">
        <f t="shared" si="937"/>
        <v>0</v>
      </c>
      <c r="BIF14">
        <f t="shared" si="938"/>
        <v>0</v>
      </c>
      <c r="BIG14">
        <f t="shared" si="939"/>
        <v>0</v>
      </c>
      <c r="BIH14">
        <f t="shared" si="940"/>
        <v>0</v>
      </c>
      <c r="BII14">
        <f t="shared" si="941"/>
        <v>0</v>
      </c>
      <c r="BIJ14">
        <f t="shared" si="942"/>
        <v>0</v>
      </c>
      <c r="BIK14">
        <f t="shared" si="943"/>
        <v>0</v>
      </c>
      <c r="BIL14">
        <f t="shared" si="944"/>
        <v>0</v>
      </c>
      <c r="BIM14">
        <f t="shared" si="945"/>
        <v>0</v>
      </c>
      <c r="BIN14">
        <f t="shared" si="946"/>
        <v>0</v>
      </c>
      <c r="BIO14">
        <f t="shared" si="947"/>
        <v>0</v>
      </c>
      <c r="BIP14">
        <f t="shared" si="47"/>
        <v>0</v>
      </c>
      <c r="BIQ14">
        <f t="shared" si="948"/>
        <v>0</v>
      </c>
      <c r="BIR14">
        <f t="shared" si="949"/>
        <v>0</v>
      </c>
      <c r="BIS14">
        <f t="shared" si="950"/>
        <v>0</v>
      </c>
      <c r="BIT14">
        <f t="shared" si="951"/>
        <v>0</v>
      </c>
      <c r="BIU14">
        <f t="shared" si="952"/>
        <v>0</v>
      </c>
      <c r="BIV14">
        <f t="shared" si="953"/>
        <v>0</v>
      </c>
      <c r="BIW14">
        <f t="shared" si="954"/>
        <v>0</v>
      </c>
      <c r="BIX14">
        <f t="shared" si="955"/>
        <v>0</v>
      </c>
      <c r="BIY14">
        <f t="shared" si="956"/>
        <v>0</v>
      </c>
      <c r="BIZ14">
        <f t="shared" si="957"/>
        <v>0</v>
      </c>
      <c r="BJA14">
        <f t="shared" si="958"/>
        <v>0</v>
      </c>
      <c r="BJB14">
        <f t="shared" si="959"/>
        <v>0</v>
      </c>
      <c r="BJC14">
        <f t="shared" si="960"/>
        <v>0</v>
      </c>
      <c r="BJD14">
        <f t="shared" si="961"/>
        <v>0</v>
      </c>
      <c r="BJE14">
        <f t="shared" si="962"/>
        <v>0</v>
      </c>
      <c r="BJF14">
        <f t="shared" si="963"/>
        <v>0</v>
      </c>
      <c r="BJG14">
        <f t="shared" si="964"/>
        <v>0</v>
      </c>
      <c r="BJH14">
        <f t="shared" si="965"/>
        <v>0</v>
      </c>
      <c r="BJI14">
        <f t="shared" si="966"/>
        <v>0</v>
      </c>
      <c r="BJJ14">
        <f t="shared" si="967"/>
        <v>0</v>
      </c>
      <c r="BJK14">
        <f t="shared" si="968"/>
        <v>0</v>
      </c>
      <c r="BJL14">
        <f t="shared" si="969"/>
        <v>0</v>
      </c>
      <c r="BJM14">
        <f t="shared" si="970"/>
        <v>0</v>
      </c>
      <c r="BJN14">
        <f t="shared" si="971"/>
        <v>0</v>
      </c>
      <c r="BJO14">
        <f t="shared" si="972"/>
        <v>0</v>
      </c>
      <c r="BJP14">
        <f t="shared" si="973"/>
        <v>0</v>
      </c>
      <c r="BJQ14">
        <f t="shared" si="974"/>
        <v>0</v>
      </c>
      <c r="BJR14">
        <f t="shared" si="975"/>
        <v>0</v>
      </c>
      <c r="BJS14">
        <f t="shared" si="976"/>
        <v>0</v>
      </c>
      <c r="BJT14">
        <f t="shared" si="977"/>
        <v>0</v>
      </c>
      <c r="BJU14">
        <f t="shared" si="978"/>
        <v>0</v>
      </c>
      <c r="BJV14">
        <f t="shared" si="979"/>
        <v>0</v>
      </c>
      <c r="BJW14">
        <f t="shared" si="980"/>
        <v>0</v>
      </c>
      <c r="BJX14">
        <f t="shared" si="981"/>
        <v>0</v>
      </c>
      <c r="BJY14">
        <f t="shared" si="982"/>
        <v>0</v>
      </c>
      <c r="BJZ14">
        <f t="shared" si="983"/>
        <v>0</v>
      </c>
      <c r="BKA14">
        <f t="shared" si="984"/>
        <v>0</v>
      </c>
      <c r="BKB14">
        <f t="shared" si="985"/>
        <v>0</v>
      </c>
      <c r="BKC14">
        <f t="shared" si="986"/>
        <v>0</v>
      </c>
      <c r="BKD14">
        <f t="shared" si="987"/>
        <v>0</v>
      </c>
      <c r="BKE14">
        <f t="shared" si="988"/>
        <v>0</v>
      </c>
      <c r="BKF14">
        <f t="shared" si="989"/>
        <v>0</v>
      </c>
      <c r="BKG14">
        <f t="shared" si="990"/>
        <v>0</v>
      </c>
      <c r="BKH14">
        <f t="shared" si="991"/>
        <v>0</v>
      </c>
      <c r="BKI14">
        <f t="shared" si="992"/>
        <v>0</v>
      </c>
      <c r="BKJ14">
        <f t="shared" si="993"/>
        <v>0</v>
      </c>
      <c r="BKK14">
        <f t="shared" si="994"/>
        <v>0</v>
      </c>
      <c r="BKL14">
        <f t="shared" si="995"/>
        <v>0</v>
      </c>
      <c r="BKM14">
        <f t="shared" si="996"/>
        <v>0</v>
      </c>
      <c r="BKN14">
        <f t="shared" si="997"/>
        <v>0</v>
      </c>
      <c r="BKO14">
        <f t="shared" si="998"/>
        <v>0</v>
      </c>
      <c r="BKP14">
        <f t="shared" si="999"/>
        <v>0</v>
      </c>
      <c r="BKQ14">
        <f t="shared" si="1000"/>
        <v>0</v>
      </c>
      <c r="BKR14">
        <f t="shared" si="1001"/>
        <v>0</v>
      </c>
      <c r="BKS14">
        <f t="shared" si="1002"/>
        <v>0</v>
      </c>
      <c r="BKT14">
        <f t="shared" si="1003"/>
        <v>0</v>
      </c>
      <c r="BKU14">
        <f t="shared" si="1004"/>
        <v>0</v>
      </c>
      <c r="BKV14">
        <f t="shared" si="1005"/>
        <v>0</v>
      </c>
      <c r="BKW14">
        <f t="shared" si="1006"/>
        <v>0</v>
      </c>
      <c r="BKX14">
        <f t="shared" si="1007"/>
        <v>0</v>
      </c>
      <c r="BKY14">
        <f t="shared" si="1008"/>
        <v>0</v>
      </c>
      <c r="BKZ14">
        <f t="shared" si="1009"/>
        <v>0</v>
      </c>
      <c r="BLA14">
        <f t="shared" si="1010"/>
        <v>0</v>
      </c>
      <c r="BLB14">
        <f t="shared" si="48"/>
        <v>0</v>
      </c>
      <c r="BLC14">
        <f t="shared" si="1011"/>
        <v>0</v>
      </c>
      <c r="BLD14">
        <f t="shared" si="1012"/>
        <v>0</v>
      </c>
      <c r="BLE14">
        <f t="shared" si="1013"/>
        <v>0</v>
      </c>
      <c r="BLF14">
        <f t="shared" si="1014"/>
        <v>0</v>
      </c>
      <c r="BLG14">
        <f t="shared" si="1015"/>
        <v>0</v>
      </c>
      <c r="BLH14">
        <f t="shared" si="1016"/>
        <v>0</v>
      </c>
      <c r="BLI14">
        <f t="shared" si="1017"/>
        <v>0</v>
      </c>
      <c r="BLJ14">
        <f t="shared" si="1018"/>
        <v>0</v>
      </c>
      <c r="BLK14">
        <f t="shared" si="1019"/>
        <v>0</v>
      </c>
      <c r="BLL14">
        <f t="shared" si="1020"/>
        <v>0</v>
      </c>
      <c r="BLM14">
        <f t="shared" si="1021"/>
        <v>0</v>
      </c>
      <c r="BLN14">
        <f t="shared" si="1022"/>
        <v>0</v>
      </c>
      <c r="BLO14">
        <f t="shared" si="1023"/>
        <v>0</v>
      </c>
      <c r="BLP14">
        <f t="shared" si="1024"/>
        <v>0</v>
      </c>
      <c r="BLQ14">
        <f t="shared" si="1025"/>
        <v>0</v>
      </c>
      <c r="BLR14">
        <f t="shared" si="1026"/>
        <v>0</v>
      </c>
      <c r="BLS14">
        <f t="shared" si="1027"/>
        <v>0</v>
      </c>
      <c r="BLT14">
        <f t="shared" si="1028"/>
        <v>0</v>
      </c>
      <c r="BLU14">
        <f t="shared" si="1029"/>
        <v>0</v>
      </c>
      <c r="BLV14">
        <f t="shared" si="1030"/>
        <v>0</v>
      </c>
      <c r="BLW14">
        <f t="shared" si="1031"/>
        <v>0</v>
      </c>
      <c r="BLX14">
        <f t="shared" si="1032"/>
        <v>0</v>
      </c>
      <c r="BLY14">
        <f t="shared" si="1033"/>
        <v>0</v>
      </c>
      <c r="BLZ14">
        <f t="shared" si="1034"/>
        <v>0</v>
      </c>
      <c r="BMA14">
        <f t="shared" si="1035"/>
        <v>0</v>
      </c>
      <c r="BMB14">
        <f t="shared" si="1036"/>
        <v>0</v>
      </c>
      <c r="BMC14">
        <f t="shared" si="1037"/>
        <v>0</v>
      </c>
      <c r="BMD14">
        <f t="shared" si="1038"/>
        <v>0</v>
      </c>
      <c r="BME14">
        <f t="shared" si="1039"/>
        <v>0</v>
      </c>
      <c r="BMF14">
        <f t="shared" si="1040"/>
        <v>0</v>
      </c>
      <c r="BMG14">
        <f t="shared" si="1041"/>
        <v>0</v>
      </c>
      <c r="BMH14">
        <f t="shared" si="1042"/>
        <v>0</v>
      </c>
      <c r="BMI14">
        <f t="shared" si="1043"/>
        <v>0</v>
      </c>
      <c r="BMJ14">
        <f t="shared" si="1044"/>
        <v>0</v>
      </c>
      <c r="BMK14">
        <f t="shared" si="1045"/>
        <v>0</v>
      </c>
      <c r="BML14">
        <f t="shared" si="1046"/>
        <v>0</v>
      </c>
      <c r="BMM14">
        <f t="shared" si="1047"/>
        <v>0</v>
      </c>
      <c r="BMN14">
        <f t="shared" si="1048"/>
        <v>0</v>
      </c>
      <c r="BMO14">
        <f t="shared" si="1049"/>
        <v>0</v>
      </c>
      <c r="BMP14">
        <f t="shared" si="1050"/>
        <v>0</v>
      </c>
      <c r="BMQ14">
        <f t="shared" si="1051"/>
        <v>0</v>
      </c>
      <c r="BMR14">
        <f t="shared" si="1052"/>
        <v>0</v>
      </c>
      <c r="BMS14">
        <f t="shared" si="1053"/>
        <v>0</v>
      </c>
      <c r="BMT14">
        <f t="shared" si="1054"/>
        <v>0</v>
      </c>
      <c r="BMU14">
        <f t="shared" si="1055"/>
        <v>0</v>
      </c>
      <c r="BMV14">
        <f t="shared" si="1056"/>
        <v>0</v>
      </c>
      <c r="BMW14">
        <f t="shared" si="1057"/>
        <v>0</v>
      </c>
      <c r="BMX14">
        <f t="shared" si="1058"/>
        <v>0</v>
      </c>
      <c r="BMY14">
        <f t="shared" si="1059"/>
        <v>0</v>
      </c>
      <c r="BMZ14">
        <f t="shared" si="1060"/>
        <v>0</v>
      </c>
      <c r="BNA14">
        <f t="shared" si="1061"/>
        <v>0</v>
      </c>
      <c r="BNB14">
        <f t="shared" si="1062"/>
        <v>0</v>
      </c>
      <c r="BNC14">
        <f t="shared" si="1063"/>
        <v>0</v>
      </c>
      <c r="BND14">
        <f t="shared" si="1064"/>
        <v>0</v>
      </c>
      <c r="BNE14">
        <f t="shared" si="1065"/>
        <v>0</v>
      </c>
      <c r="BNF14">
        <f t="shared" si="1066"/>
        <v>0</v>
      </c>
      <c r="BNG14">
        <f t="shared" si="1067"/>
        <v>0</v>
      </c>
      <c r="BNH14">
        <f t="shared" si="1068"/>
        <v>0</v>
      </c>
      <c r="BNI14">
        <f t="shared" si="1069"/>
        <v>0</v>
      </c>
      <c r="BNJ14">
        <f t="shared" si="1070"/>
        <v>0</v>
      </c>
      <c r="BNK14">
        <f t="shared" si="1071"/>
        <v>0</v>
      </c>
      <c r="BNL14">
        <f t="shared" si="1072"/>
        <v>0</v>
      </c>
      <c r="BNM14">
        <f t="shared" si="1073"/>
        <v>0</v>
      </c>
      <c r="BNN14">
        <f t="shared" si="49"/>
        <v>0</v>
      </c>
      <c r="BNO14">
        <f t="shared" si="1074"/>
        <v>0</v>
      </c>
      <c r="BNP14">
        <f t="shared" si="1075"/>
        <v>0</v>
      </c>
      <c r="BNQ14">
        <f t="shared" si="1076"/>
        <v>0</v>
      </c>
      <c r="BNR14">
        <f t="shared" si="1077"/>
        <v>0</v>
      </c>
      <c r="BNS14">
        <f t="shared" si="1078"/>
        <v>0</v>
      </c>
      <c r="BNT14">
        <f t="shared" si="1079"/>
        <v>0</v>
      </c>
      <c r="BNU14">
        <f t="shared" si="1080"/>
        <v>0</v>
      </c>
      <c r="BNV14">
        <f t="shared" si="1081"/>
        <v>0</v>
      </c>
      <c r="BNW14">
        <f t="shared" si="1082"/>
        <v>0</v>
      </c>
      <c r="BNX14">
        <f t="shared" si="1083"/>
        <v>0</v>
      </c>
      <c r="BNY14">
        <f t="shared" si="1084"/>
        <v>0</v>
      </c>
      <c r="BNZ14">
        <f t="shared" si="1085"/>
        <v>0</v>
      </c>
      <c r="BOA14">
        <f t="shared" si="1086"/>
        <v>0</v>
      </c>
      <c r="BOB14">
        <f t="shared" si="1087"/>
        <v>0</v>
      </c>
      <c r="BOC14">
        <f t="shared" si="1088"/>
        <v>0</v>
      </c>
      <c r="BOD14">
        <f t="shared" si="1089"/>
        <v>0</v>
      </c>
      <c r="BOE14">
        <f t="shared" si="1090"/>
        <v>0</v>
      </c>
      <c r="BOF14">
        <f t="shared" si="1091"/>
        <v>0</v>
      </c>
      <c r="BOG14">
        <f t="shared" si="1092"/>
        <v>0</v>
      </c>
      <c r="BOH14">
        <f t="shared" si="1093"/>
        <v>0</v>
      </c>
      <c r="BOI14">
        <f t="shared" si="1094"/>
        <v>0</v>
      </c>
      <c r="BOJ14">
        <f t="shared" si="1095"/>
        <v>0</v>
      </c>
      <c r="BOK14">
        <f t="shared" si="1096"/>
        <v>0</v>
      </c>
      <c r="BOL14">
        <f t="shared" si="1097"/>
        <v>0</v>
      </c>
      <c r="BOM14">
        <f t="shared" si="1098"/>
        <v>0</v>
      </c>
      <c r="BON14">
        <f t="shared" si="1099"/>
        <v>0</v>
      </c>
      <c r="BOO14">
        <f t="shared" si="1100"/>
        <v>0</v>
      </c>
      <c r="BOP14">
        <f t="shared" si="1101"/>
        <v>0</v>
      </c>
      <c r="BOQ14">
        <f t="shared" si="1102"/>
        <v>0</v>
      </c>
      <c r="BOR14">
        <f t="shared" si="1103"/>
        <v>0</v>
      </c>
      <c r="BOS14">
        <f t="shared" si="1104"/>
        <v>0</v>
      </c>
      <c r="BOT14">
        <f t="shared" si="1105"/>
        <v>0</v>
      </c>
      <c r="BOU14">
        <f t="shared" si="1106"/>
        <v>0</v>
      </c>
      <c r="BOV14">
        <f t="shared" si="1107"/>
        <v>0</v>
      </c>
      <c r="BOW14">
        <f t="shared" si="1108"/>
        <v>0</v>
      </c>
      <c r="BOX14">
        <f t="shared" si="1109"/>
        <v>0</v>
      </c>
      <c r="BOY14">
        <f t="shared" si="1110"/>
        <v>0</v>
      </c>
      <c r="BOZ14">
        <f t="shared" si="1111"/>
        <v>0</v>
      </c>
      <c r="BPA14">
        <f t="shared" si="1112"/>
        <v>0</v>
      </c>
      <c r="BPB14">
        <f t="shared" si="1113"/>
        <v>0</v>
      </c>
      <c r="BPC14">
        <f t="shared" si="1114"/>
        <v>0</v>
      </c>
      <c r="BPD14">
        <f t="shared" si="1115"/>
        <v>0</v>
      </c>
      <c r="BPE14">
        <f t="shared" si="1116"/>
        <v>0</v>
      </c>
      <c r="BPF14">
        <f t="shared" si="1117"/>
        <v>0</v>
      </c>
      <c r="BPG14">
        <f t="shared" si="1118"/>
        <v>0</v>
      </c>
      <c r="BPH14">
        <f t="shared" si="1119"/>
        <v>0</v>
      </c>
      <c r="BPI14">
        <f t="shared" si="1120"/>
        <v>0</v>
      </c>
      <c r="BPJ14">
        <f t="shared" si="1121"/>
        <v>0</v>
      </c>
      <c r="BPK14">
        <f t="shared" si="1122"/>
        <v>0</v>
      </c>
      <c r="BPL14">
        <f t="shared" si="1123"/>
        <v>0</v>
      </c>
      <c r="BPM14">
        <f t="shared" si="1124"/>
        <v>0</v>
      </c>
      <c r="BPN14">
        <f t="shared" si="1125"/>
        <v>0</v>
      </c>
      <c r="BPO14">
        <f t="shared" si="1126"/>
        <v>0</v>
      </c>
      <c r="BPP14">
        <f t="shared" si="1127"/>
        <v>0</v>
      </c>
      <c r="BPQ14">
        <f t="shared" si="1128"/>
        <v>0</v>
      </c>
      <c r="BPR14">
        <f t="shared" si="1129"/>
        <v>0</v>
      </c>
      <c r="BPS14">
        <f t="shared" si="1130"/>
        <v>0</v>
      </c>
      <c r="BPT14">
        <f t="shared" si="1131"/>
        <v>0</v>
      </c>
      <c r="BPU14">
        <f t="shared" si="1132"/>
        <v>0</v>
      </c>
      <c r="BPV14">
        <f t="shared" si="1133"/>
        <v>0</v>
      </c>
      <c r="BPW14">
        <f t="shared" si="1134"/>
        <v>0</v>
      </c>
      <c r="BPX14">
        <f t="shared" si="1135"/>
        <v>0</v>
      </c>
      <c r="BPY14">
        <f t="shared" si="1136"/>
        <v>0</v>
      </c>
      <c r="BPZ14">
        <f t="shared" si="50"/>
        <v>0</v>
      </c>
      <c r="BQA14">
        <f t="shared" si="1137"/>
        <v>0</v>
      </c>
      <c r="BQB14">
        <f t="shared" si="1138"/>
        <v>0</v>
      </c>
      <c r="BQC14">
        <f t="shared" si="1139"/>
        <v>0</v>
      </c>
      <c r="BQD14">
        <f t="shared" si="1140"/>
        <v>0</v>
      </c>
      <c r="BQE14">
        <f t="shared" si="1141"/>
        <v>0</v>
      </c>
      <c r="BQF14">
        <f t="shared" si="1142"/>
        <v>0</v>
      </c>
      <c r="BQG14">
        <f t="shared" si="1143"/>
        <v>0</v>
      </c>
      <c r="BQH14">
        <f t="shared" si="1144"/>
        <v>0</v>
      </c>
      <c r="BQI14">
        <f t="shared" si="1145"/>
        <v>0</v>
      </c>
      <c r="BQJ14">
        <f t="shared" si="1146"/>
        <v>0</v>
      </c>
      <c r="BQK14">
        <f t="shared" si="1147"/>
        <v>0</v>
      </c>
      <c r="BQL14">
        <f t="shared" si="1148"/>
        <v>0</v>
      </c>
      <c r="BQM14">
        <f t="shared" si="1149"/>
        <v>0</v>
      </c>
      <c r="BQN14">
        <f t="shared" si="1150"/>
        <v>0</v>
      </c>
      <c r="BQO14">
        <f t="shared" si="1151"/>
        <v>0</v>
      </c>
      <c r="BQP14">
        <f t="shared" si="1152"/>
        <v>0</v>
      </c>
      <c r="BQQ14">
        <f t="shared" si="1153"/>
        <v>0</v>
      </c>
      <c r="BQR14">
        <f t="shared" si="1154"/>
        <v>0</v>
      </c>
      <c r="BQS14">
        <f t="shared" si="1155"/>
        <v>0</v>
      </c>
      <c r="BQT14">
        <f t="shared" si="1156"/>
        <v>0</v>
      </c>
      <c r="BQU14">
        <f t="shared" si="1157"/>
        <v>0</v>
      </c>
      <c r="BQV14">
        <f t="shared" si="1158"/>
        <v>0</v>
      </c>
      <c r="BQW14">
        <f t="shared" si="1159"/>
        <v>0</v>
      </c>
      <c r="BQX14">
        <f t="shared" si="1160"/>
        <v>0</v>
      </c>
      <c r="BQY14">
        <f t="shared" si="1161"/>
        <v>0</v>
      </c>
      <c r="BQZ14">
        <f t="shared" si="1162"/>
        <v>0</v>
      </c>
      <c r="BRA14">
        <f t="shared" si="1163"/>
        <v>0</v>
      </c>
      <c r="BRB14">
        <f t="shared" si="1164"/>
        <v>0</v>
      </c>
      <c r="BRC14">
        <f t="shared" si="1165"/>
        <v>0</v>
      </c>
      <c r="BRD14">
        <f t="shared" si="1166"/>
        <v>0</v>
      </c>
      <c r="BRE14">
        <f t="shared" si="1167"/>
        <v>0</v>
      </c>
      <c r="BRF14">
        <f t="shared" si="1168"/>
        <v>0</v>
      </c>
      <c r="BRG14">
        <f t="shared" si="1169"/>
        <v>0</v>
      </c>
      <c r="BRH14">
        <f t="shared" si="1170"/>
        <v>0</v>
      </c>
      <c r="BRI14">
        <f t="shared" si="1171"/>
        <v>0</v>
      </c>
      <c r="BRJ14">
        <f t="shared" si="1172"/>
        <v>0</v>
      </c>
      <c r="BRK14">
        <f t="shared" si="1173"/>
        <v>0</v>
      </c>
      <c r="BRL14">
        <f t="shared" si="1174"/>
        <v>0</v>
      </c>
      <c r="BRM14">
        <f t="shared" si="1175"/>
        <v>0</v>
      </c>
      <c r="BRN14">
        <f t="shared" si="1176"/>
        <v>0</v>
      </c>
      <c r="BRO14">
        <f t="shared" si="1177"/>
        <v>0</v>
      </c>
      <c r="BRP14">
        <f t="shared" si="1178"/>
        <v>0</v>
      </c>
      <c r="BRQ14">
        <f t="shared" si="1179"/>
        <v>0</v>
      </c>
      <c r="BRR14">
        <f t="shared" si="1180"/>
        <v>0</v>
      </c>
      <c r="BRS14">
        <f t="shared" si="1181"/>
        <v>0</v>
      </c>
      <c r="BRT14">
        <f t="shared" si="1182"/>
        <v>0</v>
      </c>
      <c r="BRU14">
        <f t="shared" si="1183"/>
        <v>0</v>
      </c>
      <c r="BRV14">
        <f t="shared" si="1184"/>
        <v>0</v>
      </c>
      <c r="BRW14">
        <f t="shared" si="1185"/>
        <v>0</v>
      </c>
      <c r="BRX14">
        <f t="shared" si="1186"/>
        <v>0</v>
      </c>
      <c r="BRY14">
        <f t="shared" si="1187"/>
        <v>0</v>
      </c>
      <c r="BRZ14">
        <f t="shared" si="1188"/>
        <v>0</v>
      </c>
      <c r="BSA14">
        <f t="shared" si="1189"/>
        <v>0</v>
      </c>
      <c r="BSB14">
        <f t="shared" si="1190"/>
        <v>0</v>
      </c>
      <c r="BSC14">
        <f t="shared" si="1191"/>
        <v>0</v>
      </c>
      <c r="BSD14">
        <f t="shared" si="1192"/>
        <v>0</v>
      </c>
      <c r="BSE14">
        <f t="shared" si="1193"/>
        <v>0</v>
      </c>
      <c r="BSF14">
        <f t="shared" si="1194"/>
        <v>0</v>
      </c>
      <c r="BSG14">
        <f t="shared" si="1195"/>
        <v>0</v>
      </c>
      <c r="BSH14">
        <f t="shared" si="1196"/>
        <v>0</v>
      </c>
      <c r="BSI14">
        <f t="shared" si="1197"/>
        <v>0</v>
      </c>
      <c r="BSJ14">
        <f t="shared" si="1198"/>
        <v>0</v>
      </c>
      <c r="BSK14">
        <f t="shared" si="1199"/>
        <v>0</v>
      </c>
      <c r="BSL14">
        <f t="shared" si="51"/>
        <v>0</v>
      </c>
      <c r="BSM14">
        <f t="shared" si="1200"/>
        <v>0</v>
      </c>
      <c r="BSN14">
        <f t="shared" si="1201"/>
        <v>0</v>
      </c>
      <c r="BSO14">
        <f t="shared" si="1202"/>
        <v>0</v>
      </c>
      <c r="BSP14">
        <f t="shared" si="1203"/>
        <v>0</v>
      </c>
      <c r="BSQ14">
        <f t="shared" si="1204"/>
        <v>0</v>
      </c>
      <c r="BSR14">
        <f t="shared" si="1205"/>
        <v>0</v>
      </c>
      <c r="BSS14">
        <f t="shared" si="1206"/>
        <v>0</v>
      </c>
      <c r="BST14">
        <f t="shared" si="1207"/>
        <v>0</v>
      </c>
      <c r="BSU14">
        <f t="shared" si="1208"/>
        <v>0</v>
      </c>
      <c r="BSV14">
        <f t="shared" si="1209"/>
        <v>0</v>
      </c>
      <c r="BSW14">
        <f t="shared" si="1210"/>
        <v>0</v>
      </c>
      <c r="BSX14">
        <f t="shared" si="1211"/>
        <v>0</v>
      </c>
      <c r="BSY14">
        <f t="shared" si="1212"/>
        <v>0</v>
      </c>
      <c r="BSZ14">
        <f t="shared" si="1213"/>
        <v>0</v>
      </c>
      <c r="BTA14">
        <f t="shared" si="1214"/>
        <v>0</v>
      </c>
      <c r="BTB14">
        <f t="shared" si="1215"/>
        <v>0</v>
      </c>
      <c r="BTC14">
        <f t="shared" si="1216"/>
        <v>0</v>
      </c>
      <c r="BTD14">
        <f t="shared" si="1217"/>
        <v>0</v>
      </c>
      <c r="BTE14">
        <f t="shared" si="1218"/>
        <v>0</v>
      </c>
      <c r="BTF14">
        <f t="shared" si="1219"/>
        <v>0</v>
      </c>
      <c r="BTG14">
        <f t="shared" si="1220"/>
        <v>0</v>
      </c>
      <c r="BTH14">
        <f t="shared" si="1221"/>
        <v>0</v>
      </c>
      <c r="BTI14">
        <f t="shared" si="1222"/>
        <v>0</v>
      </c>
      <c r="BTJ14">
        <f t="shared" si="1223"/>
        <v>0</v>
      </c>
      <c r="BTK14">
        <f t="shared" si="1224"/>
        <v>0</v>
      </c>
      <c r="BTL14">
        <f t="shared" si="1225"/>
        <v>0</v>
      </c>
      <c r="BTM14">
        <f t="shared" si="1226"/>
        <v>0</v>
      </c>
      <c r="BTN14">
        <f t="shared" si="1227"/>
        <v>0</v>
      </c>
      <c r="BTO14">
        <f t="shared" si="1228"/>
        <v>0</v>
      </c>
      <c r="BTP14">
        <f t="shared" si="1229"/>
        <v>0</v>
      </c>
      <c r="BTQ14">
        <f t="shared" si="1230"/>
        <v>0</v>
      </c>
      <c r="BTR14">
        <f t="shared" si="1231"/>
        <v>0</v>
      </c>
      <c r="BTS14">
        <f t="shared" si="1232"/>
        <v>0</v>
      </c>
      <c r="BTT14">
        <f t="shared" si="1233"/>
        <v>0</v>
      </c>
      <c r="BTU14">
        <f t="shared" si="1234"/>
        <v>0</v>
      </c>
      <c r="BTV14">
        <f t="shared" si="1235"/>
        <v>0</v>
      </c>
      <c r="BTW14">
        <f t="shared" si="1236"/>
        <v>0</v>
      </c>
      <c r="BTX14">
        <f t="shared" si="1237"/>
        <v>0</v>
      </c>
      <c r="BTY14">
        <f t="shared" si="1238"/>
        <v>0</v>
      </c>
      <c r="BTZ14">
        <f t="shared" si="1239"/>
        <v>0</v>
      </c>
      <c r="BUA14">
        <f t="shared" si="1240"/>
        <v>0</v>
      </c>
      <c r="BUB14">
        <f t="shared" si="1241"/>
        <v>0</v>
      </c>
      <c r="BUC14">
        <f t="shared" si="1242"/>
        <v>0</v>
      </c>
      <c r="BUD14">
        <f t="shared" si="1243"/>
        <v>0</v>
      </c>
      <c r="BUE14">
        <f t="shared" si="1244"/>
        <v>0</v>
      </c>
      <c r="BUF14">
        <f t="shared" si="1245"/>
        <v>0</v>
      </c>
      <c r="BUG14">
        <f t="shared" si="1246"/>
        <v>0</v>
      </c>
      <c r="BUH14">
        <f t="shared" si="1247"/>
        <v>0</v>
      </c>
      <c r="BUI14">
        <f t="shared" si="1248"/>
        <v>0</v>
      </c>
      <c r="BUJ14">
        <f t="shared" si="1249"/>
        <v>0</v>
      </c>
      <c r="BUK14">
        <f t="shared" si="1250"/>
        <v>0</v>
      </c>
      <c r="BUL14">
        <f t="shared" si="1251"/>
        <v>0</v>
      </c>
      <c r="BUM14">
        <f t="shared" si="1252"/>
        <v>0</v>
      </c>
      <c r="BUN14">
        <f t="shared" si="1253"/>
        <v>0</v>
      </c>
      <c r="BUO14">
        <f t="shared" si="1254"/>
        <v>0</v>
      </c>
      <c r="BUP14">
        <f t="shared" si="1255"/>
        <v>0</v>
      </c>
      <c r="BUQ14">
        <f t="shared" si="1256"/>
        <v>0</v>
      </c>
      <c r="BUR14">
        <f t="shared" si="1257"/>
        <v>0</v>
      </c>
      <c r="BUS14">
        <f t="shared" si="1258"/>
        <v>0</v>
      </c>
      <c r="BUT14">
        <f t="shared" si="1259"/>
        <v>0</v>
      </c>
      <c r="BUU14">
        <f t="shared" si="1260"/>
        <v>0</v>
      </c>
      <c r="BUV14">
        <f t="shared" si="1261"/>
        <v>0</v>
      </c>
      <c r="BUW14">
        <f t="shared" si="1262"/>
        <v>0</v>
      </c>
      <c r="BUX14">
        <f t="shared" si="52"/>
        <v>0</v>
      </c>
      <c r="BUY14">
        <f t="shared" si="1263"/>
        <v>0</v>
      </c>
      <c r="BUZ14">
        <f t="shared" si="1264"/>
        <v>0</v>
      </c>
      <c r="BVA14">
        <f t="shared" si="1265"/>
        <v>0</v>
      </c>
      <c r="BVB14">
        <f t="shared" si="1266"/>
        <v>0</v>
      </c>
      <c r="BVC14">
        <f t="shared" si="1267"/>
        <v>0</v>
      </c>
      <c r="BVD14">
        <f t="shared" si="1268"/>
        <v>0</v>
      </c>
      <c r="BVE14">
        <f t="shared" si="1269"/>
        <v>0</v>
      </c>
      <c r="BVF14">
        <f t="shared" si="1270"/>
        <v>0</v>
      </c>
      <c r="BVG14">
        <f t="shared" si="1271"/>
        <v>0</v>
      </c>
      <c r="BVH14">
        <f t="shared" si="1272"/>
        <v>0</v>
      </c>
      <c r="BVI14">
        <f t="shared" si="1273"/>
        <v>0</v>
      </c>
      <c r="BVJ14">
        <f t="shared" si="1274"/>
        <v>0</v>
      </c>
      <c r="BVK14">
        <f t="shared" si="1275"/>
        <v>0</v>
      </c>
      <c r="BVL14">
        <f t="shared" si="1276"/>
        <v>0</v>
      </c>
      <c r="BVM14">
        <f t="shared" si="1277"/>
        <v>0</v>
      </c>
      <c r="BVN14">
        <f t="shared" si="1278"/>
        <v>0</v>
      </c>
      <c r="BVO14">
        <f t="shared" si="1279"/>
        <v>0</v>
      </c>
      <c r="BVP14">
        <f t="shared" si="1280"/>
        <v>0</v>
      </c>
      <c r="BVQ14">
        <f t="shared" si="1281"/>
        <v>0</v>
      </c>
      <c r="BVR14">
        <f t="shared" si="1282"/>
        <v>0</v>
      </c>
      <c r="BVS14">
        <f t="shared" si="1283"/>
        <v>0</v>
      </c>
      <c r="BVT14">
        <f t="shared" si="1284"/>
        <v>0</v>
      </c>
      <c r="BVU14">
        <f t="shared" si="1285"/>
        <v>0</v>
      </c>
      <c r="BVV14">
        <f t="shared" si="1286"/>
        <v>0</v>
      </c>
      <c r="BVW14">
        <f t="shared" si="1287"/>
        <v>0</v>
      </c>
      <c r="BVX14">
        <f t="shared" si="1288"/>
        <v>0</v>
      </c>
      <c r="BVY14">
        <f t="shared" si="1289"/>
        <v>0</v>
      </c>
      <c r="BVZ14">
        <f t="shared" si="1290"/>
        <v>0</v>
      </c>
      <c r="BWA14">
        <f t="shared" si="1291"/>
        <v>0</v>
      </c>
      <c r="BWB14">
        <f t="shared" si="1292"/>
        <v>0</v>
      </c>
      <c r="BWC14">
        <f t="shared" si="1293"/>
        <v>0</v>
      </c>
      <c r="BWD14">
        <f t="shared" si="1294"/>
        <v>0</v>
      </c>
      <c r="BWE14">
        <f t="shared" si="1295"/>
        <v>0</v>
      </c>
      <c r="BWF14">
        <f t="shared" si="1296"/>
        <v>0</v>
      </c>
      <c r="BWG14">
        <f t="shared" si="1297"/>
        <v>0</v>
      </c>
      <c r="BWH14">
        <f t="shared" si="1298"/>
        <v>0</v>
      </c>
      <c r="BWI14">
        <f t="shared" si="1299"/>
        <v>0</v>
      </c>
      <c r="BWJ14">
        <f t="shared" si="1300"/>
        <v>0</v>
      </c>
      <c r="BWK14">
        <f t="shared" si="1301"/>
        <v>0</v>
      </c>
      <c r="BWL14">
        <f t="shared" si="1302"/>
        <v>0</v>
      </c>
      <c r="BWM14">
        <f t="shared" si="1303"/>
        <v>0</v>
      </c>
      <c r="BWN14">
        <f t="shared" si="1304"/>
        <v>0</v>
      </c>
      <c r="BWO14">
        <f t="shared" si="1305"/>
        <v>0</v>
      </c>
      <c r="BWP14">
        <f t="shared" si="1306"/>
        <v>0</v>
      </c>
      <c r="BWQ14">
        <f t="shared" si="1307"/>
        <v>0</v>
      </c>
      <c r="BWR14">
        <f t="shared" si="1308"/>
        <v>0</v>
      </c>
      <c r="BWS14">
        <f t="shared" si="1309"/>
        <v>0</v>
      </c>
      <c r="BWT14">
        <f t="shared" si="1310"/>
        <v>0</v>
      </c>
      <c r="BWU14">
        <f t="shared" si="1311"/>
        <v>0</v>
      </c>
      <c r="BWV14">
        <f t="shared" si="1312"/>
        <v>0</v>
      </c>
      <c r="BWW14">
        <f t="shared" si="1313"/>
        <v>0</v>
      </c>
      <c r="BWX14">
        <f t="shared" si="1314"/>
        <v>0</v>
      </c>
      <c r="BWY14">
        <f t="shared" si="1315"/>
        <v>0</v>
      </c>
      <c r="BWZ14">
        <f t="shared" si="1316"/>
        <v>0</v>
      </c>
      <c r="BXA14">
        <f t="shared" si="1317"/>
        <v>0</v>
      </c>
      <c r="BXB14">
        <f t="shared" si="1318"/>
        <v>0</v>
      </c>
      <c r="BXC14">
        <f t="shared" si="1319"/>
        <v>0</v>
      </c>
      <c r="BXD14">
        <f t="shared" si="1320"/>
        <v>0</v>
      </c>
      <c r="BXE14">
        <f t="shared" si="1321"/>
        <v>0</v>
      </c>
      <c r="BXF14">
        <f t="shared" si="1322"/>
        <v>0</v>
      </c>
      <c r="BXG14">
        <f t="shared" si="1323"/>
        <v>0</v>
      </c>
      <c r="BXH14">
        <f t="shared" si="1324"/>
        <v>0</v>
      </c>
      <c r="BXI14">
        <f t="shared" si="1325"/>
        <v>0</v>
      </c>
      <c r="BXJ14">
        <f t="shared" si="53"/>
        <v>0</v>
      </c>
      <c r="BXK14">
        <f t="shared" si="1326"/>
        <v>0</v>
      </c>
      <c r="BXL14">
        <f t="shared" si="1327"/>
        <v>0</v>
      </c>
      <c r="BXM14">
        <f t="shared" si="1328"/>
        <v>0</v>
      </c>
      <c r="BXN14">
        <f t="shared" si="1329"/>
        <v>0</v>
      </c>
      <c r="BXO14">
        <f t="shared" si="1330"/>
        <v>0</v>
      </c>
      <c r="BXP14">
        <f t="shared" si="1331"/>
        <v>0</v>
      </c>
      <c r="BXQ14">
        <f t="shared" si="1332"/>
        <v>0</v>
      </c>
      <c r="BXR14">
        <f t="shared" si="1333"/>
        <v>0</v>
      </c>
      <c r="BXS14">
        <f t="shared" si="1334"/>
        <v>0</v>
      </c>
      <c r="BXT14">
        <f t="shared" si="1335"/>
        <v>0</v>
      </c>
      <c r="BXU14">
        <f t="shared" si="1336"/>
        <v>0</v>
      </c>
      <c r="BXV14">
        <f t="shared" si="1337"/>
        <v>0</v>
      </c>
      <c r="BXW14">
        <f t="shared" si="1338"/>
        <v>0</v>
      </c>
      <c r="BXX14">
        <f t="shared" si="1339"/>
        <v>0</v>
      </c>
      <c r="BXY14">
        <f t="shared" si="1340"/>
        <v>0</v>
      </c>
      <c r="BXZ14">
        <f t="shared" si="1341"/>
        <v>0</v>
      </c>
      <c r="BYA14">
        <f t="shared" si="1342"/>
        <v>0</v>
      </c>
      <c r="BYB14">
        <f t="shared" si="1343"/>
        <v>0</v>
      </c>
      <c r="BYC14">
        <f t="shared" si="1344"/>
        <v>0</v>
      </c>
      <c r="BYD14">
        <f t="shared" si="1345"/>
        <v>0</v>
      </c>
      <c r="BYE14">
        <f t="shared" si="1346"/>
        <v>0</v>
      </c>
      <c r="BYF14">
        <f t="shared" si="1347"/>
        <v>0</v>
      </c>
      <c r="BYG14">
        <f t="shared" si="1348"/>
        <v>0</v>
      </c>
      <c r="BYH14">
        <f t="shared" si="1349"/>
        <v>0</v>
      </c>
      <c r="BYI14">
        <f t="shared" si="1350"/>
        <v>0</v>
      </c>
      <c r="BYJ14">
        <f t="shared" si="1351"/>
        <v>0</v>
      </c>
      <c r="BYK14">
        <f t="shared" si="1352"/>
        <v>0</v>
      </c>
      <c r="BYL14">
        <f t="shared" si="1353"/>
        <v>0</v>
      </c>
      <c r="BYM14">
        <f t="shared" si="1354"/>
        <v>0</v>
      </c>
      <c r="BYN14">
        <f t="shared" si="1355"/>
        <v>0</v>
      </c>
      <c r="BYO14">
        <f t="shared" si="1356"/>
        <v>0</v>
      </c>
      <c r="BYP14">
        <f t="shared" si="1357"/>
        <v>0</v>
      </c>
      <c r="BYQ14">
        <f t="shared" si="1358"/>
        <v>0</v>
      </c>
      <c r="BYR14">
        <f t="shared" si="1359"/>
        <v>0</v>
      </c>
      <c r="BYS14">
        <f t="shared" si="1360"/>
        <v>0</v>
      </c>
      <c r="BYT14">
        <f t="shared" si="1361"/>
        <v>0</v>
      </c>
      <c r="BYU14">
        <f t="shared" si="1362"/>
        <v>0</v>
      </c>
      <c r="BYV14">
        <f t="shared" si="1363"/>
        <v>0</v>
      </c>
      <c r="BYW14">
        <f t="shared" si="1364"/>
        <v>0</v>
      </c>
      <c r="BYX14">
        <f t="shared" si="1365"/>
        <v>0</v>
      </c>
      <c r="BYY14">
        <f t="shared" si="1366"/>
        <v>0</v>
      </c>
      <c r="BYZ14">
        <f t="shared" si="1367"/>
        <v>0</v>
      </c>
      <c r="BZA14">
        <f t="shared" si="1368"/>
        <v>0</v>
      </c>
      <c r="BZB14">
        <f t="shared" si="1369"/>
        <v>0</v>
      </c>
      <c r="BZC14">
        <f t="shared" si="1370"/>
        <v>0</v>
      </c>
      <c r="BZD14">
        <f t="shared" si="1371"/>
        <v>0</v>
      </c>
      <c r="BZE14">
        <f t="shared" si="1372"/>
        <v>0</v>
      </c>
      <c r="BZF14">
        <f t="shared" si="1373"/>
        <v>0</v>
      </c>
      <c r="BZG14">
        <f t="shared" si="1374"/>
        <v>0</v>
      </c>
      <c r="BZH14">
        <f t="shared" si="1375"/>
        <v>0</v>
      </c>
      <c r="BZI14">
        <f t="shared" si="1376"/>
        <v>0</v>
      </c>
      <c r="BZJ14">
        <f t="shared" si="1377"/>
        <v>0</v>
      </c>
      <c r="BZK14">
        <f t="shared" si="1378"/>
        <v>0</v>
      </c>
      <c r="BZL14">
        <f t="shared" si="1379"/>
        <v>0</v>
      </c>
      <c r="BZM14">
        <f t="shared" si="1380"/>
        <v>0</v>
      </c>
      <c r="BZN14">
        <f t="shared" si="1381"/>
        <v>0</v>
      </c>
      <c r="BZO14">
        <f t="shared" si="1382"/>
        <v>0</v>
      </c>
      <c r="BZP14">
        <f t="shared" si="1383"/>
        <v>0</v>
      </c>
      <c r="BZQ14">
        <f t="shared" si="1384"/>
        <v>0</v>
      </c>
      <c r="BZR14">
        <f t="shared" si="1385"/>
        <v>0</v>
      </c>
      <c r="BZS14">
        <f t="shared" si="1386"/>
        <v>0</v>
      </c>
      <c r="BZT14">
        <f t="shared" si="1387"/>
        <v>0</v>
      </c>
      <c r="BZU14">
        <f t="shared" si="1388"/>
        <v>0</v>
      </c>
      <c r="BZV14">
        <f t="shared" si="54"/>
        <v>0</v>
      </c>
      <c r="BZW14">
        <f t="shared" si="1389"/>
        <v>0</v>
      </c>
      <c r="BZX14">
        <f t="shared" si="1390"/>
        <v>0</v>
      </c>
      <c r="BZY14">
        <f t="shared" si="1391"/>
        <v>0</v>
      </c>
      <c r="BZZ14">
        <f t="shared" si="1392"/>
        <v>0</v>
      </c>
      <c r="CAA14">
        <f t="shared" si="1393"/>
        <v>0</v>
      </c>
      <c r="CAB14">
        <f t="shared" si="1394"/>
        <v>0</v>
      </c>
      <c r="CAC14">
        <f t="shared" si="1395"/>
        <v>0</v>
      </c>
      <c r="CAD14">
        <f t="shared" si="1396"/>
        <v>0</v>
      </c>
      <c r="CAE14">
        <f t="shared" si="1397"/>
        <v>0</v>
      </c>
      <c r="CAF14">
        <f t="shared" si="1398"/>
        <v>0</v>
      </c>
      <c r="CAG14">
        <f t="shared" si="1399"/>
        <v>0</v>
      </c>
      <c r="CAH14">
        <f t="shared" si="1400"/>
        <v>0</v>
      </c>
      <c r="CAI14">
        <f t="shared" si="1401"/>
        <v>0</v>
      </c>
      <c r="CAJ14">
        <f t="shared" si="1402"/>
        <v>0</v>
      </c>
      <c r="CAK14">
        <f t="shared" si="1403"/>
        <v>0</v>
      </c>
      <c r="CAL14">
        <f t="shared" si="1404"/>
        <v>0</v>
      </c>
      <c r="CAM14">
        <f t="shared" si="1405"/>
        <v>0</v>
      </c>
      <c r="CAN14">
        <f t="shared" si="1406"/>
        <v>0</v>
      </c>
      <c r="CAO14">
        <f t="shared" si="1407"/>
        <v>0</v>
      </c>
      <c r="CAP14">
        <f t="shared" si="1408"/>
        <v>0</v>
      </c>
      <c r="CAQ14">
        <f t="shared" si="1409"/>
        <v>0</v>
      </c>
      <c r="CAR14">
        <f t="shared" si="1410"/>
        <v>0</v>
      </c>
      <c r="CAS14">
        <f t="shared" si="1411"/>
        <v>0</v>
      </c>
      <c r="CAT14">
        <f t="shared" si="1412"/>
        <v>0</v>
      </c>
      <c r="CAU14">
        <f t="shared" si="1413"/>
        <v>0</v>
      </c>
      <c r="CAV14">
        <f t="shared" si="1414"/>
        <v>0</v>
      </c>
      <c r="CAW14">
        <f t="shared" si="1415"/>
        <v>0</v>
      </c>
      <c r="CAX14">
        <f t="shared" si="1416"/>
        <v>0</v>
      </c>
      <c r="CAY14">
        <f t="shared" si="1417"/>
        <v>0</v>
      </c>
      <c r="CAZ14">
        <f t="shared" si="1418"/>
        <v>0</v>
      </c>
      <c r="CBA14">
        <f t="shared" si="1419"/>
        <v>0</v>
      </c>
      <c r="CBB14">
        <f t="shared" si="1420"/>
        <v>0</v>
      </c>
      <c r="CBC14">
        <f t="shared" si="1421"/>
        <v>0</v>
      </c>
      <c r="CBD14">
        <f t="shared" si="1422"/>
        <v>0</v>
      </c>
      <c r="CBE14">
        <f t="shared" si="1423"/>
        <v>0</v>
      </c>
      <c r="CBF14">
        <f t="shared" si="1424"/>
        <v>0</v>
      </c>
      <c r="CBG14">
        <f t="shared" si="1425"/>
        <v>0</v>
      </c>
      <c r="CBH14">
        <f t="shared" si="1426"/>
        <v>0</v>
      </c>
      <c r="CBI14">
        <f t="shared" si="1427"/>
        <v>0</v>
      </c>
      <c r="CBJ14">
        <f t="shared" si="1428"/>
        <v>0</v>
      </c>
      <c r="CBK14">
        <f t="shared" si="1429"/>
        <v>0</v>
      </c>
      <c r="CBL14">
        <f t="shared" si="1430"/>
        <v>0</v>
      </c>
      <c r="CBM14">
        <f t="shared" si="1431"/>
        <v>0</v>
      </c>
      <c r="CBN14">
        <f t="shared" si="1432"/>
        <v>0</v>
      </c>
      <c r="CBO14">
        <f t="shared" si="1433"/>
        <v>0</v>
      </c>
      <c r="CBP14">
        <f t="shared" si="1434"/>
        <v>0</v>
      </c>
      <c r="CBQ14">
        <f t="shared" si="1435"/>
        <v>0</v>
      </c>
      <c r="CBR14">
        <f t="shared" si="1436"/>
        <v>0</v>
      </c>
      <c r="CBS14">
        <f t="shared" si="1437"/>
        <v>0</v>
      </c>
      <c r="CBT14">
        <f t="shared" si="1438"/>
        <v>0</v>
      </c>
      <c r="CBU14">
        <f t="shared" si="1439"/>
        <v>0</v>
      </c>
      <c r="CBV14">
        <f t="shared" si="1440"/>
        <v>0</v>
      </c>
      <c r="CBW14">
        <f t="shared" si="1441"/>
        <v>0</v>
      </c>
      <c r="CBX14">
        <f t="shared" si="1442"/>
        <v>0</v>
      </c>
      <c r="CBY14">
        <f t="shared" si="1443"/>
        <v>0</v>
      </c>
      <c r="CBZ14">
        <f t="shared" si="1444"/>
        <v>0</v>
      </c>
      <c r="CCA14">
        <f t="shared" si="1445"/>
        <v>0</v>
      </c>
      <c r="CCB14">
        <f t="shared" si="1446"/>
        <v>0</v>
      </c>
      <c r="CCC14">
        <f t="shared" si="1447"/>
        <v>0</v>
      </c>
      <c r="CCD14">
        <f t="shared" si="1448"/>
        <v>0</v>
      </c>
      <c r="CCE14">
        <f t="shared" si="1449"/>
        <v>0</v>
      </c>
      <c r="CCF14">
        <f t="shared" si="1450"/>
        <v>0</v>
      </c>
      <c r="CCG14">
        <f t="shared" si="1451"/>
        <v>0</v>
      </c>
      <c r="CCH14">
        <f t="shared" si="55"/>
        <v>0</v>
      </c>
      <c r="CCI14">
        <f t="shared" si="1452"/>
        <v>0</v>
      </c>
      <c r="CCJ14">
        <f t="shared" si="1453"/>
        <v>0</v>
      </c>
      <c r="CCK14">
        <f t="shared" si="1454"/>
        <v>0</v>
      </c>
      <c r="CCL14">
        <f t="shared" si="1455"/>
        <v>0</v>
      </c>
      <c r="CCM14">
        <f t="shared" si="1456"/>
        <v>0</v>
      </c>
      <c r="CCN14">
        <f t="shared" si="1457"/>
        <v>0</v>
      </c>
      <c r="CCO14">
        <f t="shared" si="1458"/>
        <v>0</v>
      </c>
      <c r="CCP14">
        <f t="shared" si="1459"/>
        <v>0</v>
      </c>
      <c r="CCQ14">
        <f t="shared" si="1460"/>
        <v>0</v>
      </c>
      <c r="CCR14">
        <f t="shared" si="1461"/>
        <v>0</v>
      </c>
      <c r="CCS14">
        <f t="shared" si="1462"/>
        <v>0</v>
      </c>
      <c r="CCT14">
        <f t="shared" si="1463"/>
        <v>0</v>
      </c>
      <c r="CCU14">
        <f t="shared" si="1464"/>
        <v>0</v>
      </c>
      <c r="CCV14">
        <f t="shared" si="1465"/>
        <v>0</v>
      </c>
      <c r="CCW14">
        <f t="shared" si="1466"/>
        <v>0</v>
      </c>
      <c r="CCX14">
        <f t="shared" si="1467"/>
        <v>0</v>
      </c>
      <c r="CCY14">
        <f t="shared" si="1468"/>
        <v>0</v>
      </c>
      <c r="CCZ14">
        <f t="shared" si="1469"/>
        <v>0</v>
      </c>
      <c r="CDA14">
        <f t="shared" si="1470"/>
        <v>0</v>
      </c>
      <c r="CDB14">
        <f t="shared" si="1471"/>
        <v>0</v>
      </c>
      <c r="CDC14">
        <f t="shared" si="1472"/>
        <v>0</v>
      </c>
      <c r="CDD14">
        <f t="shared" si="1473"/>
        <v>0</v>
      </c>
      <c r="CDE14">
        <f t="shared" si="1474"/>
        <v>0</v>
      </c>
      <c r="CDF14">
        <f t="shared" si="1475"/>
        <v>0</v>
      </c>
      <c r="CDG14">
        <f t="shared" si="1476"/>
        <v>0</v>
      </c>
      <c r="CDH14">
        <f t="shared" si="1477"/>
        <v>0</v>
      </c>
      <c r="CDI14">
        <f t="shared" si="1478"/>
        <v>0</v>
      </c>
      <c r="CDJ14">
        <f t="shared" si="1479"/>
        <v>0</v>
      </c>
      <c r="CDK14">
        <f t="shared" si="1480"/>
        <v>0</v>
      </c>
      <c r="CDL14">
        <f t="shared" si="1481"/>
        <v>0</v>
      </c>
      <c r="CDM14">
        <f t="shared" si="1482"/>
        <v>0</v>
      </c>
      <c r="CDN14">
        <f t="shared" si="1483"/>
        <v>0</v>
      </c>
      <c r="CDO14">
        <f t="shared" si="1484"/>
        <v>0</v>
      </c>
      <c r="CDP14">
        <f t="shared" si="1485"/>
        <v>0</v>
      </c>
      <c r="CDQ14">
        <f t="shared" si="1486"/>
        <v>0</v>
      </c>
      <c r="CDR14">
        <f t="shared" si="1487"/>
        <v>0</v>
      </c>
      <c r="CDS14">
        <f t="shared" si="1488"/>
        <v>0</v>
      </c>
      <c r="CDT14">
        <f t="shared" si="1489"/>
        <v>0</v>
      </c>
      <c r="CDU14">
        <f t="shared" si="1490"/>
        <v>0</v>
      </c>
      <c r="CDV14">
        <f t="shared" si="1491"/>
        <v>0</v>
      </c>
      <c r="CDW14">
        <f t="shared" si="1492"/>
        <v>0</v>
      </c>
      <c r="CDX14">
        <f t="shared" si="1493"/>
        <v>0</v>
      </c>
      <c r="CDY14">
        <f t="shared" si="1494"/>
        <v>0</v>
      </c>
      <c r="CDZ14">
        <f t="shared" si="1495"/>
        <v>0</v>
      </c>
      <c r="CEA14">
        <f t="shared" si="1496"/>
        <v>0</v>
      </c>
      <c r="CEB14">
        <f t="shared" si="1497"/>
        <v>0</v>
      </c>
      <c r="CEC14">
        <f t="shared" si="1498"/>
        <v>0</v>
      </c>
      <c r="CED14">
        <f t="shared" si="1499"/>
        <v>0</v>
      </c>
      <c r="CEE14">
        <f t="shared" si="1500"/>
        <v>0</v>
      </c>
      <c r="CEF14">
        <f t="shared" si="1501"/>
        <v>0</v>
      </c>
      <c r="CEG14">
        <f t="shared" si="1502"/>
        <v>0</v>
      </c>
      <c r="CEH14">
        <f t="shared" si="1503"/>
        <v>0</v>
      </c>
      <c r="CEI14">
        <f t="shared" si="1504"/>
        <v>0</v>
      </c>
      <c r="CEJ14">
        <f t="shared" si="1505"/>
        <v>0</v>
      </c>
      <c r="CEK14">
        <f t="shared" si="1506"/>
        <v>0</v>
      </c>
      <c r="CEL14">
        <f t="shared" si="1507"/>
        <v>0</v>
      </c>
      <c r="CEM14">
        <f t="shared" si="1508"/>
        <v>0</v>
      </c>
      <c r="CEN14">
        <f t="shared" si="1509"/>
        <v>0</v>
      </c>
      <c r="CEO14">
        <f t="shared" si="1510"/>
        <v>0</v>
      </c>
      <c r="CEP14">
        <f t="shared" si="1511"/>
        <v>0</v>
      </c>
      <c r="CEQ14">
        <f t="shared" si="1512"/>
        <v>0</v>
      </c>
      <c r="CER14">
        <f t="shared" si="1513"/>
        <v>0</v>
      </c>
      <c r="CES14">
        <f t="shared" si="1514"/>
        <v>0</v>
      </c>
      <c r="CET14">
        <f t="shared" si="56"/>
        <v>0</v>
      </c>
      <c r="CEU14">
        <f t="shared" si="1515"/>
        <v>0</v>
      </c>
      <c r="CEV14">
        <f t="shared" si="1516"/>
        <v>0</v>
      </c>
      <c r="CEW14">
        <f t="shared" si="1517"/>
        <v>0</v>
      </c>
      <c r="CEX14">
        <f t="shared" si="1518"/>
        <v>0</v>
      </c>
      <c r="CEY14">
        <f t="shared" si="1519"/>
        <v>0</v>
      </c>
      <c r="CEZ14">
        <f t="shared" si="1520"/>
        <v>0</v>
      </c>
      <c r="CFA14">
        <f t="shared" si="1521"/>
        <v>0</v>
      </c>
      <c r="CFB14">
        <f t="shared" si="1522"/>
        <v>0</v>
      </c>
      <c r="CFC14">
        <f t="shared" si="1523"/>
        <v>0</v>
      </c>
      <c r="CFD14">
        <f t="shared" si="1524"/>
        <v>0</v>
      </c>
      <c r="CFE14">
        <f t="shared" si="1525"/>
        <v>0</v>
      </c>
      <c r="CFF14">
        <f t="shared" si="1526"/>
        <v>0</v>
      </c>
      <c r="CFG14">
        <f t="shared" si="1527"/>
        <v>0</v>
      </c>
      <c r="CFH14">
        <f t="shared" si="1528"/>
        <v>0</v>
      </c>
      <c r="CFI14">
        <f t="shared" si="1529"/>
        <v>0</v>
      </c>
      <c r="CFJ14">
        <f t="shared" si="1530"/>
        <v>0</v>
      </c>
      <c r="CFK14">
        <f t="shared" si="1531"/>
        <v>0</v>
      </c>
      <c r="CFL14">
        <f t="shared" si="1532"/>
        <v>0</v>
      </c>
      <c r="CFM14">
        <f t="shared" si="1533"/>
        <v>0</v>
      </c>
      <c r="CFN14">
        <f t="shared" si="1534"/>
        <v>0</v>
      </c>
      <c r="CFO14">
        <f t="shared" si="1535"/>
        <v>0</v>
      </c>
      <c r="CFP14">
        <f t="shared" si="1536"/>
        <v>0</v>
      </c>
      <c r="CFQ14">
        <f t="shared" si="1537"/>
        <v>0</v>
      </c>
      <c r="CFR14">
        <f t="shared" si="1538"/>
        <v>0</v>
      </c>
      <c r="CFS14">
        <f t="shared" si="1539"/>
        <v>0</v>
      </c>
      <c r="CFT14">
        <f t="shared" si="1540"/>
        <v>0</v>
      </c>
      <c r="CFU14">
        <f t="shared" si="1541"/>
        <v>0</v>
      </c>
      <c r="CFV14">
        <f t="shared" si="1542"/>
        <v>0</v>
      </c>
      <c r="CFW14">
        <f t="shared" si="1543"/>
        <v>0</v>
      </c>
      <c r="CFX14">
        <f t="shared" si="1544"/>
        <v>0</v>
      </c>
      <c r="CFY14">
        <f t="shared" si="1545"/>
        <v>0</v>
      </c>
      <c r="CFZ14">
        <f t="shared" si="1546"/>
        <v>0</v>
      </c>
      <c r="CGA14">
        <f t="shared" si="1547"/>
        <v>0</v>
      </c>
      <c r="CGB14">
        <f t="shared" si="1548"/>
        <v>0</v>
      </c>
      <c r="CGC14">
        <f t="shared" si="1549"/>
        <v>0</v>
      </c>
      <c r="CGD14">
        <f t="shared" si="1550"/>
        <v>0</v>
      </c>
      <c r="CGE14">
        <f t="shared" si="1551"/>
        <v>0</v>
      </c>
      <c r="CGF14">
        <f t="shared" si="1552"/>
        <v>0</v>
      </c>
      <c r="CGG14">
        <f t="shared" si="1553"/>
        <v>0</v>
      </c>
      <c r="CGH14">
        <f t="shared" si="1554"/>
        <v>0</v>
      </c>
      <c r="CGI14">
        <f t="shared" si="1555"/>
        <v>0</v>
      </c>
      <c r="CGJ14">
        <f t="shared" si="1556"/>
        <v>0</v>
      </c>
      <c r="CGK14">
        <f t="shared" si="1557"/>
        <v>0</v>
      </c>
      <c r="CGL14">
        <f t="shared" si="1558"/>
        <v>0</v>
      </c>
      <c r="CGM14">
        <f t="shared" si="1559"/>
        <v>0</v>
      </c>
      <c r="CGN14">
        <f t="shared" si="1560"/>
        <v>0</v>
      </c>
      <c r="CGO14">
        <f t="shared" si="1561"/>
        <v>0</v>
      </c>
      <c r="CGP14">
        <f t="shared" si="1562"/>
        <v>0</v>
      </c>
      <c r="CGQ14">
        <f t="shared" si="1563"/>
        <v>0</v>
      </c>
      <c r="CGR14">
        <f t="shared" si="1564"/>
        <v>0</v>
      </c>
      <c r="CGS14">
        <f t="shared" si="1565"/>
        <v>0</v>
      </c>
      <c r="CGT14">
        <f t="shared" si="1566"/>
        <v>0</v>
      </c>
      <c r="CGU14">
        <f t="shared" si="1567"/>
        <v>0</v>
      </c>
      <c r="CGV14">
        <f t="shared" si="1568"/>
        <v>0</v>
      </c>
      <c r="CGW14">
        <f t="shared" si="1569"/>
        <v>0</v>
      </c>
      <c r="CGX14">
        <f t="shared" si="1570"/>
        <v>0</v>
      </c>
      <c r="CGY14">
        <f t="shared" si="1571"/>
        <v>0</v>
      </c>
      <c r="CGZ14">
        <f t="shared" si="1572"/>
        <v>0</v>
      </c>
      <c r="CHA14">
        <f t="shared" si="1573"/>
        <v>0</v>
      </c>
      <c r="CHB14">
        <f t="shared" si="1574"/>
        <v>0</v>
      </c>
      <c r="CHC14">
        <f t="shared" si="1575"/>
        <v>0</v>
      </c>
      <c r="CHD14">
        <f t="shared" si="1576"/>
        <v>0</v>
      </c>
      <c r="CHE14">
        <f t="shared" si="1577"/>
        <v>0</v>
      </c>
      <c r="CHF14">
        <f t="shared" si="57"/>
        <v>0</v>
      </c>
      <c r="CHG14">
        <f t="shared" si="1578"/>
        <v>0</v>
      </c>
      <c r="CHH14">
        <f t="shared" si="1579"/>
        <v>0</v>
      </c>
      <c r="CHI14">
        <f t="shared" si="1580"/>
        <v>0</v>
      </c>
      <c r="CHJ14">
        <f t="shared" si="1581"/>
        <v>0</v>
      </c>
      <c r="CHK14">
        <f t="shared" si="1582"/>
        <v>0</v>
      </c>
      <c r="CHL14">
        <f t="shared" si="1583"/>
        <v>0</v>
      </c>
      <c r="CHM14">
        <f t="shared" si="1584"/>
        <v>0</v>
      </c>
      <c r="CHN14">
        <f t="shared" si="1585"/>
        <v>0</v>
      </c>
      <c r="CHO14">
        <f t="shared" si="1586"/>
        <v>0</v>
      </c>
      <c r="CHP14">
        <f t="shared" si="1587"/>
        <v>0</v>
      </c>
      <c r="CHQ14">
        <f t="shared" si="1588"/>
        <v>0</v>
      </c>
      <c r="CHR14">
        <f t="shared" si="1589"/>
        <v>0</v>
      </c>
      <c r="CHS14">
        <f t="shared" si="1590"/>
        <v>0</v>
      </c>
      <c r="CHT14">
        <f t="shared" si="1591"/>
        <v>0</v>
      </c>
      <c r="CHU14">
        <f t="shared" si="1592"/>
        <v>0</v>
      </c>
      <c r="CHV14">
        <f t="shared" si="1593"/>
        <v>0</v>
      </c>
      <c r="CHW14">
        <f t="shared" si="1594"/>
        <v>0</v>
      </c>
      <c r="CHX14">
        <f t="shared" si="1595"/>
        <v>0</v>
      </c>
      <c r="CHY14">
        <f t="shared" si="1596"/>
        <v>0</v>
      </c>
      <c r="CHZ14">
        <f t="shared" si="1597"/>
        <v>0</v>
      </c>
      <c r="CIA14">
        <f t="shared" si="1598"/>
        <v>0</v>
      </c>
      <c r="CIB14">
        <f t="shared" si="1599"/>
        <v>0</v>
      </c>
      <c r="CIC14">
        <f t="shared" si="1600"/>
        <v>0</v>
      </c>
      <c r="CID14">
        <f t="shared" si="1601"/>
        <v>0</v>
      </c>
      <c r="CIE14">
        <f t="shared" si="1602"/>
        <v>0</v>
      </c>
      <c r="CIF14">
        <f t="shared" si="1603"/>
        <v>0</v>
      </c>
      <c r="CIG14">
        <f t="shared" si="1604"/>
        <v>0</v>
      </c>
      <c r="CIH14">
        <f t="shared" si="1605"/>
        <v>0</v>
      </c>
      <c r="CII14">
        <f t="shared" si="1606"/>
        <v>0</v>
      </c>
      <c r="CIJ14">
        <f t="shared" si="1607"/>
        <v>0</v>
      </c>
      <c r="CIK14">
        <f t="shared" si="1608"/>
        <v>0</v>
      </c>
      <c r="CIL14">
        <f t="shared" si="1609"/>
        <v>0</v>
      </c>
      <c r="CIM14">
        <f t="shared" si="1610"/>
        <v>0</v>
      </c>
      <c r="CIN14">
        <f t="shared" si="1611"/>
        <v>0</v>
      </c>
      <c r="CIO14">
        <f t="shared" si="1612"/>
        <v>0</v>
      </c>
      <c r="CIP14">
        <f t="shared" si="1613"/>
        <v>0</v>
      </c>
      <c r="CIQ14">
        <f t="shared" si="1614"/>
        <v>0</v>
      </c>
      <c r="CIR14">
        <f t="shared" si="1615"/>
        <v>0</v>
      </c>
      <c r="CIS14">
        <f t="shared" si="1616"/>
        <v>0</v>
      </c>
      <c r="CIT14">
        <f t="shared" si="1617"/>
        <v>0</v>
      </c>
      <c r="CIU14">
        <f t="shared" si="1618"/>
        <v>0</v>
      </c>
      <c r="CIV14">
        <f t="shared" si="1619"/>
        <v>0</v>
      </c>
      <c r="CIW14">
        <f t="shared" si="1620"/>
        <v>0</v>
      </c>
      <c r="CIX14">
        <f t="shared" si="1621"/>
        <v>0</v>
      </c>
      <c r="CIY14">
        <f t="shared" si="1622"/>
        <v>0</v>
      </c>
      <c r="CIZ14">
        <f t="shared" si="1623"/>
        <v>0</v>
      </c>
      <c r="CJA14">
        <f t="shared" si="1624"/>
        <v>0</v>
      </c>
      <c r="CJB14">
        <f t="shared" si="1625"/>
        <v>0</v>
      </c>
      <c r="CJC14">
        <f t="shared" si="1626"/>
        <v>0</v>
      </c>
      <c r="CJD14">
        <f t="shared" si="1627"/>
        <v>0</v>
      </c>
      <c r="CJE14">
        <f t="shared" si="1628"/>
        <v>0</v>
      </c>
      <c r="CJF14">
        <f t="shared" si="1629"/>
        <v>0</v>
      </c>
      <c r="CJG14">
        <f t="shared" si="1630"/>
        <v>0</v>
      </c>
      <c r="CJH14">
        <f t="shared" si="1631"/>
        <v>0</v>
      </c>
      <c r="CJI14">
        <f t="shared" si="1632"/>
        <v>0</v>
      </c>
      <c r="CJJ14">
        <f t="shared" si="1633"/>
        <v>0</v>
      </c>
      <c r="CJK14">
        <f t="shared" si="1634"/>
        <v>0</v>
      </c>
      <c r="CJL14">
        <f t="shared" si="1635"/>
        <v>0</v>
      </c>
      <c r="CJM14">
        <f t="shared" si="1636"/>
        <v>0</v>
      </c>
      <c r="CJN14">
        <f t="shared" si="1637"/>
        <v>0</v>
      </c>
      <c r="CJO14">
        <f t="shared" si="1638"/>
        <v>0</v>
      </c>
      <c r="CJP14">
        <f t="shared" si="1639"/>
        <v>0</v>
      </c>
      <c r="CJQ14">
        <f t="shared" si="1640"/>
        <v>0</v>
      </c>
      <c r="CJR14">
        <f t="shared" si="58"/>
        <v>0</v>
      </c>
      <c r="CJS14">
        <f t="shared" si="1641"/>
        <v>0</v>
      </c>
      <c r="CJT14">
        <f t="shared" si="1642"/>
        <v>0</v>
      </c>
      <c r="CJU14">
        <f t="shared" si="1643"/>
        <v>0</v>
      </c>
      <c r="CJV14">
        <f t="shared" si="1644"/>
        <v>0</v>
      </c>
      <c r="CJW14">
        <f t="shared" si="1645"/>
        <v>0</v>
      </c>
      <c r="CJX14">
        <f t="shared" si="1646"/>
        <v>0</v>
      </c>
      <c r="CJY14">
        <f t="shared" si="1647"/>
        <v>0</v>
      </c>
      <c r="CJZ14">
        <f t="shared" si="1648"/>
        <v>0</v>
      </c>
      <c r="CKA14">
        <f t="shared" si="1649"/>
        <v>0</v>
      </c>
      <c r="CKB14">
        <f t="shared" si="1650"/>
        <v>0</v>
      </c>
      <c r="CKC14">
        <f t="shared" si="1651"/>
        <v>0</v>
      </c>
      <c r="CKD14">
        <f t="shared" si="1652"/>
        <v>0</v>
      </c>
      <c r="CKE14">
        <f t="shared" si="1653"/>
        <v>0</v>
      </c>
      <c r="CKF14">
        <f t="shared" si="1654"/>
        <v>0</v>
      </c>
      <c r="CKG14">
        <f t="shared" si="1655"/>
        <v>0</v>
      </c>
      <c r="CKH14">
        <f t="shared" si="1656"/>
        <v>0</v>
      </c>
      <c r="CKI14">
        <f t="shared" si="1657"/>
        <v>0</v>
      </c>
      <c r="CKJ14">
        <f t="shared" si="1658"/>
        <v>0</v>
      </c>
      <c r="CKK14">
        <f t="shared" si="1659"/>
        <v>0</v>
      </c>
      <c r="CKL14">
        <f t="shared" si="1660"/>
        <v>0</v>
      </c>
      <c r="CKM14">
        <f t="shared" si="1661"/>
        <v>0</v>
      </c>
      <c r="CKN14">
        <f t="shared" si="1662"/>
        <v>0</v>
      </c>
      <c r="CKO14">
        <f t="shared" si="1663"/>
        <v>0</v>
      </c>
      <c r="CKP14">
        <f t="shared" si="1664"/>
        <v>0</v>
      </c>
      <c r="CKQ14">
        <f t="shared" si="1665"/>
        <v>0</v>
      </c>
      <c r="CKR14">
        <f t="shared" si="1666"/>
        <v>0</v>
      </c>
      <c r="CKS14">
        <f t="shared" si="1667"/>
        <v>0</v>
      </c>
      <c r="CKT14">
        <f t="shared" si="1668"/>
        <v>0</v>
      </c>
      <c r="CKU14">
        <f t="shared" si="1669"/>
        <v>0</v>
      </c>
      <c r="CKV14">
        <f t="shared" si="1670"/>
        <v>0</v>
      </c>
      <c r="CKW14">
        <f t="shared" si="1671"/>
        <v>0</v>
      </c>
      <c r="CKX14">
        <f t="shared" si="1672"/>
        <v>0</v>
      </c>
      <c r="CKY14">
        <f t="shared" si="1673"/>
        <v>0</v>
      </c>
      <c r="CKZ14">
        <f t="shared" si="1674"/>
        <v>0</v>
      </c>
      <c r="CLA14">
        <f t="shared" si="1675"/>
        <v>0</v>
      </c>
      <c r="CLB14">
        <f t="shared" si="1676"/>
        <v>0</v>
      </c>
      <c r="CLC14">
        <f t="shared" si="1677"/>
        <v>0</v>
      </c>
      <c r="CLD14">
        <f t="shared" si="1678"/>
        <v>0</v>
      </c>
      <c r="CLE14">
        <f t="shared" si="1679"/>
        <v>0</v>
      </c>
      <c r="CLF14">
        <f t="shared" si="1680"/>
        <v>0</v>
      </c>
      <c r="CLG14">
        <f t="shared" si="1681"/>
        <v>0</v>
      </c>
      <c r="CLH14">
        <f t="shared" si="1682"/>
        <v>0</v>
      </c>
      <c r="CLI14">
        <f t="shared" si="1683"/>
        <v>0</v>
      </c>
      <c r="CLJ14">
        <f t="shared" si="1684"/>
        <v>0</v>
      </c>
      <c r="CLK14">
        <f t="shared" si="1685"/>
        <v>0</v>
      </c>
      <c r="CLL14">
        <f t="shared" si="1686"/>
        <v>0</v>
      </c>
      <c r="CLM14">
        <f t="shared" si="1687"/>
        <v>0</v>
      </c>
      <c r="CLN14">
        <f t="shared" si="1688"/>
        <v>0</v>
      </c>
      <c r="CLO14">
        <f t="shared" si="1689"/>
        <v>0</v>
      </c>
      <c r="CLP14">
        <f t="shared" si="1690"/>
        <v>0</v>
      </c>
      <c r="CLQ14">
        <f t="shared" si="1691"/>
        <v>0</v>
      </c>
      <c r="CLR14">
        <f t="shared" si="1692"/>
        <v>0</v>
      </c>
      <c r="CLS14">
        <f t="shared" si="1693"/>
        <v>0</v>
      </c>
      <c r="CLT14">
        <f t="shared" si="1694"/>
        <v>0</v>
      </c>
      <c r="CLU14">
        <f t="shared" si="1695"/>
        <v>0</v>
      </c>
      <c r="CLV14">
        <f t="shared" si="1696"/>
        <v>0</v>
      </c>
      <c r="CLW14">
        <f t="shared" si="1697"/>
        <v>0</v>
      </c>
      <c r="CLX14">
        <f t="shared" si="1698"/>
        <v>0</v>
      </c>
      <c r="CLY14">
        <f t="shared" si="1699"/>
        <v>0</v>
      </c>
      <c r="CLZ14">
        <f t="shared" si="1700"/>
        <v>0</v>
      </c>
      <c r="CMA14">
        <f t="shared" si="1701"/>
        <v>0</v>
      </c>
      <c r="CMB14">
        <f t="shared" si="1702"/>
        <v>0</v>
      </c>
      <c r="CMC14">
        <f t="shared" si="1703"/>
        <v>0</v>
      </c>
      <c r="CMD14">
        <f t="shared" si="59"/>
        <v>0</v>
      </c>
      <c r="CME14">
        <f t="shared" si="1704"/>
        <v>0</v>
      </c>
      <c r="CMF14">
        <f t="shared" si="1705"/>
        <v>0</v>
      </c>
      <c r="CMG14">
        <f t="shared" si="1706"/>
        <v>0</v>
      </c>
      <c r="CMH14">
        <f t="shared" si="1707"/>
        <v>0</v>
      </c>
      <c r="CMI14">
        <f t="shared" si="1708"/>
        <v>0</v>
      </c>
      <c r="CMJ14">
        <f t="shared" si="1709"/>
        <v>0</v>
      </c>
      <c r="CMK14">
        <f t="shared" si="1710"/>
        <v>0</v>
      </c>
      <c r="CML14">
        <f t="shared" si="1711"/>
        <v>0</v>
      </c>
      <c r="CMM14">
        <f t="shared" si="1712"/>
        <v>0</v>
      </c>
      <c r="CMN14">
        <f t="shared" si="1713"/>
        <v>0</v>
      </c>
      <c r="CMO14">
        <f t="shared" si="1714"/>
        <v>0</v>
      </c>
      <c r="CMP14">
        <f t="shared" si="1715"/>
        <v>0</v>
      </c>
      <c r="CMQ14">
        <f t="shared" si="1716"/>
        <v>0</v>
      </c>
      <c r="CMR14">
        <f t="shared" si="1717"/>
        <v>0</v>
      </c>
      <c r="CMS14">
        <f t="shared" si="1718"/>
        <v>0</v>
      </c>
      <c r="CMT14">
        <f t="shared" si="1719"/>
        <v>0</v>
      </c>
      <c r="CMU14">
        <f t="shared" si="1720"/>
        <v>0</v>
      </c>
      <c r="CMV14">
        <f t="shared" si="1721"/>
        <v>0</v>
      </c>
      <c r="CMW14">
        <f t="shared" si="1722"/>
        <v>0</v>
      </c>
      <c r="CMX14">
        <f t="shared" si="1723"/>
        <v>0</v>
      </c>
      <c r="CMY14">
        <f t="shared" si="1724"/>
        <v>0</v>
      </c>
      <c r="CMZ14">
        <f t="shared" si="1725"/>
        <v>0</v>
      </c>
      <c r="CNA14">
        <f t="shared" si="1726"/>
        <v>0</v>
      </c>
      <c r="CNB14">
        <f t="shared" si="1727"/>
        <v>0</v>
      </c>
      <c r="CNC14">
        <f t="shared" si="1728"/>
        <v>0</v>
      </c>
      <c r="CND14">
        <f t="shared" si="1729"/>
        <v>0</v>
      </c>
      <c r="CNE14">
        <f t="shared" si="1730"/>
        <v>0</v>
      </c>
      <c r="CNF14">
        <f t="shared" si="1731"/>
        <v>0</v>
      </c>
      <c r="CNG14">
        <f t="shared" si="1732"/>
        <v>0</v>
      </c>
      <c r="CNH14">
        <f t="shared" si="1733"/>
        <v>0</v>
      </c>
      <c r="CNI14">
        <f t="shared" si="1734"/>
        <v>0</v>
      </c>
      <c r="CNJ14">
        <f t="shared" si="1735"/>
        <v>0</v>
      </c>
      <c r="CNK14">
        <f t="shared" si="1736"/>
        <v>0</v>
      </c>
      <c r="CNL14">
        <f t="shared" si="1737"/>
        <v>0</v>
      </c>
      <c r="CNM14">
        <f t="shared" si="1738"/>
        <v>0</v>
      </c>
      <c r="CNN14">
        <f t="shared" si="1739"/>
        <v>0</v>
      </c>
      <c r="CNO14">
        <f t="shared" si="1740"/>
        <v>0</v>
      </c>
      <c r="CNP14">
        <f t="shared" si="1741"/>
        <v>0</v>
      </c>
      <c r="CNQ14">
        <f t="shared" si="1742"/>
        <v>0</v>
      </c>
      <c r="CNR14">
        <f t="shared" si="1743"/>
        <v>0</v>
      </c>
      <c r="CNS14">
        <f t="shared" si="1744"/>
        <v>0</v>
      </c>
      <c r="CNT14">
        <f t="shared" si="1745"/>
        <v>0</v>
      </c>
      <c r="CNU14">
        <f t="shared" si="1746"/>
        <v>0</v>
      </c>
      <c r="CNV14">
        <f t="shared" si="1747"/>
        <v>0</v>
      </c>
      <c r="CNW14">
        <f t="shared" si="1748"/>
        <v>0</v>
      </c>
      <c r="CNX14">
        <f t="shared" si="1749"/>
        <v>0</v>
      </c>
      <c r="CNY14">
        <f t="shared" si="1750"/>
        <v>0</v>
      </c>
      <c r="CNZ14">
        <f t="shared" si="1751"/>
        <v>0</v>
      </c>
      <c r="COA14">
        <f t="shared" si="1752"/>
        <v>0</v>
      </c>
      <c r="COB14">
        <f t="shared" si="1753"/>
        <v>0</v>
      </c>
      <c r="COC14">
        <f t="shared" si="1754"/>
        <v>0</v>
      </c>
      <c r="COD14">
        <f t="shared" si="1755"/>
        <v>0</v>
      </c>
      <c r="COE14">
        <f t="shared" si="1756"/>
        <v>0</v>
      </c>
      <c r="COF14">
        <f t="shared" si="1757"/>
        <v>0</v>
      </c>
      <c r="COG14">
        <f t="shared" si="1758"/>
        <v>0</v>
      </c>
      <c r="COH14">
        <f t="shared" si="1759"/>
        <v>0</v>
      </c>
      <c r="COI14">
        <f t="shared" si="1760"/>
        <v>0</v>
      </c>
      <c r="COJ14">
        <f t="shared" si="1761"/>
        <v>0</v>
      </c>
      <c r="COK14">
        <f t="shared" si="1762"/>
        <v>0</v>
      </c>
      <c r="COL14">
        <f t="shared" si="1763"/>
        <v>0</v>
      </c>
      <c r="COM14">
        <f t="shared" si="1764"/>
        <v>0</v>
      </c>
      <c r="CON14">
        <f t="shared" si="1765"/>
        <v>0</v>
      </c>
      <c r="COO14">
        <f t="shared" si="1766"/>
        <v>0</v>
      </c>
      <c r="COP14">
        <f t="shared" si="60"/>
        <v>0</v>
      </c>
      <c r="COQ14">
        <f t="shared" si="1767"/>
        <v>0</v>
      </c>
      <c r="COR14">
        <f t="shared" si="1768"/>
        <v>0</v>
      </c>
      <c r="COS14">
        <f t="shared" si="1769"/>
        <v>0</v>
      </c>
      <c r="COT14">
        <f t="shared" si="1770"/>
        <v>0</v>
      </c>
      <c r="COU14">
        <f t="shared" si="1771"/>
        <v>0</v>
      </c>
      <c r="COV14">
        <f t="shared" si="1772"/>
        <v>0</v>
      </c>
      <c r="COW14">
        <f t="shared" si="1773"/>
        <v>0</v>
      </c>
      <c r="COX14">
        <f t="shared" si="1774"/>
        <v>0</v>
      </c>
      <c r="COY14">
        <f t="shared" si="1775"/>
        <v>0</v>
      </c>
      <c r="COZ14">
        <f t="shared" si="1776"/>
        <v>0</v>
      </c>
      <c r="CPA14">
        <f t="shared" si="1777"/>
        <v>0</v>
      </c>
      <c r="CPB14">
        <f t="shared" si="1778"/>
        <v>0</v>
      </c>
      <c r="CPC14">
        <f t="shared" si="1779"/>
        <v>0</v>
      </c>
      <c r="CPD14">
        <f t="shared" si="1780"/>
        <v>0</v>
      </c>
      <c r="CPE14">
        <f t="shared" si="1781"/>
        <v>0</v>
      </c>
      <c r="CPF14">
        <f t="shared" si="1782"/>
        <v>0</v>
      </c>
      <c r="CPG14">
        <f t="shared" si="1783"/>
        <v>0</v>
      </c>
      <c r="CPH14">
        <f t="shared" si="1784"/>
        <v>0</v>
      </c>
      <c r="CPI14">
        <f t="shared" si="1785"/>
        <v>0</v>
      </c>
      <c r="CPJ14">
        <f t="shared" si="1786"/>
        <v>0</v>
      </c>
      <c r="CPK14">
        <f t="shared" si="1787"/>
        <v>0</v>
      </c>
      <c r="CPL14">
        <f t="shared" si="1788"/>
        <v>0</v>
      </c>
      <c r="CPM14">
        <f t="shared" si="1789"/>
        <v>0</v>
      </c>
      <c r="CPN14">
        <f t="shared" si="1790"/>
        <v>0</v>
      </c>
      <c r="CPO14">
        <f t="shared" si="1791"/>
        <v>0</v>
      </c>
      <c r="CPP14">
        <f t="shared" si="1792"/>
        <v>0</v>
      </c>
      <c r="CPQ14">
        <f t="shared" si="1793"/>
        <v>0</v>
      </c>
      <c r="CPR14">
        <f t="shared" si="1794"/>
        <v>0</v>
      </c>
      <c r="CPS14">
        <f t="shared" si="1795"/>
        <v>0</v>
      </c>
      <c r="CPT14">
        <f t="shared" si="1796"/>
        <v>0</v>
      </c>
      <c r="CPU14">
        <f t="shared" si="1797"/>
        <v>0</v>
      </c>
      <c r="CPV14">
        <f t="shared" si="1798"/>
        <v>0</v>
      </c>
      <c r="CPW14">
        <f t="shared" si="1799"/>
        <v>0</v>
      </c>
      <c r="CPX14">
        <f t="shared" si="1800"/>
        <v>0</v>
      </c>
      <c r="CPY14">
        <f t="shared" si="1801"/>
        <v>0</v>
      </c>
      <c r="CPZ14">
        <f t="shared" si="1802"/>
        <v>0</v>
      </c>
      <c r="CQA14">
        <f t="shared" si="1803"/>
        <v>0</v>
      </c>
      <c r="CQB14">
        <f t="shared" si="1804"/>
        <v>0</v>
      </c>
      <c r="CQC14">
        <f t="shared" si="1805"/>
        <v>0</v>
      </c>
      <c r="CQD14">
        <f t="shared" si="1806"/>
        <v>0</v>
      </c>
      <c r="CQE14">
        <f t="shared" si="1807"/>
        <v>0</v>
      </c>
      <c r="CQF14">
        <f t="shared" si="1808"/>
        <v>0</v>
      </c>
      <c r="CQG14">
        <f t="shared" si="1809"/>
        <v>0</v>
      </c>
      <c r="CQH14">
        <f t="shared" si="1810"/>
        <v>0</v>
      </c>
      <c r="CQI14">
        <f t="shared" si="1811"/>
        <v>0</v>
      </c>
      <c r="CQJ14">
        <f t="shared" si="1812"/>
        <v>0</v>
      </c>
      <c r="CQK14">
        <f t="shared" si="1813"/>
        <v>0</v>
      </c>
      <c r="CQL14">
        <f t="shared" si="1814"/>
        <v>0</v>
      </c>
      <c r="CQM14">
        <f t="shared" si="1815"/>
        <v>0</v>
      </c>
      <c r="CQN14">
        <f t="shared" si="1816"/>
        <v>0</v>
      </c>
      <c r="CQO14">
        <f t="shared" si="1817"/>
        <v>0</v>
      </c>
      <c r="CQP14">
        <f t="shared" si="1818"/>
        <v>0</v>
      </c>
      <c r="CQQ14">
        <f t="shared" si="1819"/>
        <v>0</v>
      </c>
      <c r="CQR14">
        <f t="shared" si="1820"/>
        <v>0</v>
      </c>
      <c r="CQS14">
        <f t="shared" si="1821"/>
        <v>0</v>
      </c>
      <c r="CQT14">
        <f t="shared" si="1822"/>
        <v>0</v>
      </c>
      <c r="CQU14">
        <f t="shared" si="1823"/>
        <v>0</v>
      </c>
      <c r="CQV14">
        <f t="shared" si="1824"/>
        <v>0</v>
      </c>
      <c r="CQW14">
        <f t="shared" si="1825"/>
        <v>0</v>
      </c>
      <c r="CQX14">
        <f t="shared" si="1826"/>
        <v>0</v>
      </c>
      <c r="CQY14">
        <f t="shared" si="1827"/>
        <v>0</v>
      </c>
      <c r="CQZ14">
        <f t="shared" si="1828"/>
        <v>0</v>
      </c>
      <c r="CRA14">
        <f t="shared" si="1829"/>
        <v>0</v>
      </c>
      <c r="CRB14">
        <f t="shared" si="61"/>
        <v>0</v>
      </c>
      <c r="CRC14">
        <f t="shared" si="1830"/>
        <v>0</v>
      </c>
      <c r="CRD14">
        <f t="shared" si="1831"/>
        <v>0</v>
      </c>
      <c r="CRE14">
        <f t="shared" si="1832"/>
        <v>0</v>
      </c>
      <c r="CRF14">
        <f t="shared" si="1833"/>
        <v>0</v>
      </c>
      <c r="CRG14">
        <f t="shared" si="1834"/>
        <v>0</v>
      </c>
      <c r="CRH14">
        <f t="shared" si="1835"/>
        <v>0</v>
      </c>
      <c r="CRI14">
        <f t="shared" si="1836"/>
        <v>0</v>
      </c>
      <c r="CRJ14">
        <f t="shared" si="1837"/>
        <v>0</v>
      </c>
      <c r="CRK14">
        <f t="shared" si="1838"/>
        <v>0</v>
      </c>
      <c r="CRL14">
        <f t="shared" si="1839"/>
        <v>0</v>
      </c>
      <c r="CRM14">
        <f t="shared" si="1840"/>
        <v>0</v>
      </c>
      <c r="CRN14">
        <f t="shared" si="1841"/>
        <v>0</v>
      </c>
      <c r="CRO14">
        <f t="shared" si="1842"/>
        <v>0</v>
      </c>
      <c r="CRP14">
        <f t="shared" si="1843"/>
        <v>0</v>
      </c>
      <c r="CRQ14">
        <f t="shared" si="1844"/>
        <v>0</v>
      </c>
      <c r="CRR14">
        <f t="shared" si="1845"/>
        <v>0</v>
      </c>
      <c r="CRS14">
        <f t="shared" si="1846"/>
        <v>0</v>
      </c>
      <c r="CRT14">
        <f t="shared" si="1847"/>
        <v>0</v>
      </c>
      <c r="CRU14">
        <f t="shared" si="1848"/>
        <v>0</v>
      </c>
      <c r="CRV14">
        <f t="shared" si="1849"/>
        <v>0</v>
      </c>
      <c r="CRW14">
        <f t="shared" si="1850"/>
        <v>0</v>
      </c>
      <c r="CRX14">
        <f t="shared" si="1851"/>
        <v>0</v>
      </c>
      <c r="CRY14">
        <f t="shared" si="1852"/>
        <v>0</v>
      </c>
      <c r="CRZ14">
        <f t="shared" si="1853"/>
        <v>0</v>
      </c>
      <c r="CSA14">
        <f t="shared" si="1854"/>
        <v>0</v>
      </c>
      <c r="CSB14">
        <f t="shared" si="1855"/>
        <v>0</v>
      </c>
      <c r="CSC14">
        <f t="shared" si="1856"/>
        <v>0</v>
      </c>
      <c r="CSD14">
        <f t="shared" si="1857"/>
        <v>0</v>
      </c>
      <c r="CSE14">
        <f t="shared" si="1858"/>
        <v>0</v>
      </c>
      <c r="CSF14">
        <f t="shared" si="1859"/>
        <v>0</v>
      </c>
      <c r="CSG14">
        <f t="shared" si="1860"/>
        <v>0</v>
      </c>
      <c r="CSH14">
        <f t="shared" si="1861"/>
        <v>0</v>
      </c>
      <c r="CSI14">
        <f t="shared" si="1862"/>
        <v>0</v>
      </c>
      <c r="CSJ14">
        <f t="shared" si="1863"/>
        <v>0</v>
      </c>
      <c r="CSK14">
        <f t="shared" si="1864"/>
        <v>0</v>
      </c>
      <c r="CSL14">
        <f t="shared" si="1865"/>
        <v>0</v>
      </c>
      <c r="CSM14">
        <f t="shared" si="1866"/>
        <v>0</v>
      </c>
      <c r="CSN14">
        <f t="shared" si="1867"/>
        <v>0</v>
      </c>
      <c r="CSO14">
        <f t="shared" si="1868"/>
        <v>0</v>
      </c>
      <c r="CSP14">
        <f t="shared" si="1869"/>
        <v>0</v>
      </c>
      <c r="CSQ14">
        <f t="shared" si="1870"/>
        <v>0</v>
      </c>
      <c r="CSR14">
        <f t="shared" si="1871"/>
        <v>0</v>
      </c>
      <c r="CSS14">
        <f t="shared" si="1872"/>
        <v>0</v>
      </c>
      <c r="CST14">
        <f t="shared" si="1873"/>
        <v>0</v>
      </c>
      <c r="CSU14">
        <f t="shared" si="1874"/>
        <v>0</v>
      </c>
      <c r="CSV14">
        <f t="shared" si="1875"/>
        <v>0</v>
      </c>
      <c r="CSW14">
        <f t="shared" si="1876"/>
        <v>0</v>
      </c>
      <c r="CSX14">
        <f t="shared" si="1877"/>
        <v>0</v>
      </c>
      <c r="CSY14">
        <f t="shared" si="1878"/>
        <v>0</v>
      </c>
      <c r="CSZ14">
        <f t="shared" si="1879"/>
        <v>0</v>
      </c>
      <c r="CTA14">
        <f t="shared" si="1880"/>
        <v>0</v>
      </c>
      <c r="CTB14">
        <f t="shared" si="1881"/>
        <v>0</v>
      </c>
      <c r="CTC14">
        <f t="shared" si="1882"/>
        <v>0</v>
      </c>
      <c r="CTD14">
        <f t="shared" si="1883"/>
        <v>0</v>
      </c>
      <c r="CTE14">
        <f t="shared" si="1884"/>
        <v>0</v>
      </c>
      <c r="CTF14">
        <f t="shared" si="1885"/>
        <v>0</v>
      </c>
      <c r="CTG14">
        <f t="shared" si="1886"/>
        <v>0</v>
      </c>
      <c r="CTH14">
        <f t="shared" si="1887"/>
        <v>0</v>
      </c>
      <c r="CTI14">
        <f t="shared" si="1888"/>
        <v>0</v>
      </c>
      <c r="CTJ14">
        <f t="shared" si="1889"/>
        <v>0</v>
      </c>
      <c r="CTK14">
        <f t="shared" si="1890"/>
        <v>0</v>
      </c>
      <c r="CTL14">
        <f t="shared" si="1891"/>
        <v>0</v>
      </c>
      <c r="CTM14">
        <f t="shared" si="1892"/>
        <v>0</v>
      </c>
      <c r="CTN14">
        <f t="shared" si="62"/>
        <v>0</v>
      </c>
      <c r="CTO14">
        <f t="shared" si="1893"/>
        <v>0</v>
      </c>
      <c r="CTP14">
        <f t="shared" si="1894"/>
        <v>0</v>
      </c>
      <c r="CTQ14">
        <f t="shared" si="1895"/>
        <v>0</v>
      </c>
      <c r="CTR14">
        <f t="shared" si="1896"/>
        <v>0</v>
      </c>
      <c r="CTS14">
        <f t="shared" si="1897"/>
        <v>0</v>
      </c>
      <c r="CTT14">
        <f t="shared" si="1898"/>
        <v>0</v>
      </c>
      <c r="CTU14">
        <f t="shared" si="1899"/>
        <v>0</v>
      </c>
      <c r="CTV14">
        <f t="shared" si="1900"/>
        <v>0</v>
      </c>
      <c r="CTW14">
        <f t="shared" si="1901"/>
        <v>0</v>
      </c>
      <c r="CTX14">
        <f t="shared" si="1902"/>
        <v>0</v>
      </c>
      <c r="CTY14">
        <f t="shared" si="1903"/>
        <v>0</v>
      </c>
      <c r="CTZ14">
        <f t="shared" si="1904"/>
        <v>0</v>
      </c>
      <c r="CUA14">
        <f t="shared" si="1905"/>
        <v>0</v>
      </c>
      <c r="CUB14">
        <f t="shared" si="1906"/>
        <v>0</v>
      </c>
      <c r="CUC14">
        <f t="shared" si="1907"/>
        <v>0</v>
      </c>
      <c r="CUD14">
        <f t="shared" si="1908"/>
        <v>0</v>
      </c>
      <c r="CUE14">
        <f t="shared" si="1909"/>
        <v>0</v>
      </c>
      <c r="CUF14">
        <f t="shared" si="1910"/>
        <v>0</v>
      </c>
      <c r="CUG14">
        <f t="shared" si="1911"/>
        <v>0</v>
      </c>
      <c r="CUH14">
        <f t="shared" si="1912"/>
        <v>0</v>
      </c>
      <c r="CUI14">
        <f t="shared" si="1913"/>
        <v>0</v>
      </c>
      <c r="CUJ14">
        <f t="shared" si="1914"/>
        <v>0</v>
      </c>
      <c r="CUK14">
        <f t="shared" si="1915"/>
        <v>0</v>
      </c>
      <c r="CUL14">
        <f t="shared" si="1916"/>
        <v>0</v>
      </c>
      <c r="CUM14">
        <f t="shared" si="1917"/>
        <v>0</v>
      </c>
      <c r="CUN14">
        <f t="shared" si="1918"/>
        <v>0</v>
      </c>
      <c r="CUO14">
        <f t="shared" si="1919"/>
        <v>0</v>
      </c>
      <c r="CUP14">
        <f t="shared" si="1920"/>
        <v>0</v>
      </c>
      <c r="CUQ14">
        <f t="shared" si="1921"/>
        <v>0</v>
      </c>
      <c r="CUR14">
        <f t="shared" si="1922"/>
        <v>0</v>
      </c>
      <c r="CUS14">
        <f t="shared" si="1923"/>
        <v>0</v>
      </c>
      <c r="CUT14">
        <f t="shared" si="1924"/>
        <v>0</v>
      </c>
      <c r="CUU14">
        <f t="shared" si="1925"/>
        <v>0</v>
      </c>
      <c r="CUV14">
        <f t="shared" si="1926"/>
        <v>0</v>
      </c>
      <c r="CUW14">
        <f t="shared" si="1927"/>
        <v>0</v>
      </c>
      <c r="CUX14">
        <f t="shared" si="1928"/>
        <v>0</v>
      </c>
      <c r="CUY14">
        <f t="shared" si="1929"/>
        <v>0</v>
      </c>
      <c r="CUZ14">
        <f t="shared" si="1930"/>
        <v>0</v>
      </c>
      <c r="CVA14">
        <f t="shared" si="1931"/>
        <v>0</v>
      </c>
      <c r="CVB14">
        <f t="shared" si="1932"/>
        <v>0</v>
      </c>
      <c r="CVC14">
        <f t="shared" si="1933"/>
        <v>0</v>
      </c>
      <c r="CVD14">
        <f t="shared" si="1934"/>
        <v>0</v>
      </c>
      <c r="CVE14">
        <f t="shared" si="1935"/>
        <v>0</v>
      </c>
      <c r="CVF14">
        <f t="shared" si="1936"/>
        <v>0</v>
      </c>
      <c r="CVG14">
        <f t="shared" si="1937"/>
        <v>0</v>
      </c>
      <c r="CVH14">
        <f t="shared" si="1938"/>
        <v>0</v>
      </c>
      <c r="CVI14">
        <f t="shared" si="1939"/>
        <v>0</v>
      </c>
      <c r="CVJ14">
        <f t="shared" si="1940"/>
        <v>0</v>
      </c>
      <c r="CVK14">
        <f t="shared" si="1941"/>
        <v>0</v>
      </c>
      <c r="CVL14">
        <f t="shared" si="1942"/>
        <v>0</v>
      </c>
      <c r="CVM14">
        <f t="shared" si="1943"/>
        <v>0</v>
      </c>
      <c r="CVN14">
        <f t="shared" si="1944"/>
        <v>0</v>
      </c>
      <c r="CVO14">
        <f t="shared" si="1945"/>
        <v>0</v>
      </c>
      <c r="CVP14">
        <f t="shared" si="1946"/>
        <v>0</v>
      </c>
      <c r="CVQ14">
        <f t="shared" si="1947"/>
        <v>0</v>
      </c>
      <c r="CVR14">
        <f t="shared" si="1948"/>
        <v>0</v>
      </c>
      <c r="CVS14">
        <f t="shared" si="1949"/>
        <v>0</v>
      </c>
      <c r="CVT14">
        <f t="shared" si="1950"/>
        <v>0</v>
      </c>
      <c r="CVU14">
        <f t="shared" si="1951"/>
        <v>0</v>
      </c>
      <c r="CVV14">
        <f t="shared" si="1952"/>
        <v>0</v>
      </c>
      <c r="CVW14">
        <f t="shared" si="1953"/>
        <v>0</v>
      </c>
      <c r="CVX14">
        <f t="shared" si="1954"/>
        <v>0</v>
      </c>
      <c r="CVY14">
        <f t="shared" si="1955"/>
        <v>0</v>
      </c>
      <c r="CVZ14">
        <f t="shared" si="63"/>
        <v>0</v>
      </c>
      <c r="CWA14">
        <f t="shared" si="1956"/>
        <v>0</v>
      </c>
      <c r="CWB14">
        <f t="shared" si="1957"/>
        <v>0</v>
      </c>
      <c r="CWC14">
        <f t="shared" si="1958"/>
        <v>0</v>
      </c>
      <c r="CWD14">
        <f t="shared" si="1959"/>
        <v>0</v>
      </c>
      <c r="CWE14">
        <f t="shared" si="1960"/>
        <v>0</v>
      </c>
      <c r="CWF14">
        <f t="shared" si="1961"/>
        <v>0</v>
      </c>
      <c r="CWG14">
        <f t="shared" si="1962"/>
        <v>0</v>
      </c>
      <c r="CWH14">
        <f t="shared" si="1963"/>
        <v>0</v>
      </c>
      <c r="CWI14">
        <f t="shared" si="1964"/>
        <v>0</v>
      </c>
      <c r="CWJ14">
        <f t="shared" si="1965"/>
        <v>0</v>
      </c>
      <c r="CWK14">
        <f t="shared" si="1966"/>
        <v>0</v>
      </c>
      <c r="CWL14">
        <f t="shared" si="1967"/>
        <v>0</v>
      </c>
      <c r="CWM14">
        <f t="shared" si="1968"/>
        <v>0</v>
      </c>
      <c r="CWN14">
        <f t="shared" si="1969"/>
        <v>0</v>
      </c>
      <c r="CWO14">
        <f t="shared" si="1970"/>
        <v>0</v>
      </c>
      <c r="CWP14">
        <f t="shared" si="1971"/>
        <v>0</v>
      </c>
      <c r="CWQ14">
        <f t="shared" si="1972"/>
        <v>0</v>
      </c>
      <c r="CWR14">
        <f t="shared" si="1973"/>
        <v>0</v>
      </c>
      <c r="CWS14">
        <f t="shared" si="1974"/>
        <v>0</v>
      </c>
      <c r="CWT14">
        <f t="shared" si="1975"/>
        <v>0</v>
      </c>
      <c r="CWU14">
        <f t="shared" si="1976"/>
        <v>0</v>
      </c>
      <c r="CWV14">
        <f t="shared" si="1977"/>
        <v>0</v>
      </c>
      <c r="CWW14">
        <f t="shared" si="1978"/>
        <v>0</v>
      </c>
      <c r="CWX14">
        <f t="shared" si="1979"/>
        <v>0</v>
      </c>
      <c r="CWY14">
        <f t="shared" si="1980"/>
        <v>0</v>
      </c>
      <c r="CWZ14">
        <f t="shared" si="1981"/>
        <v>0</v>
      </c>
      <c r="CXA14">
        <f t="shared" si="1982"/>
        <v>0</v>
      </c>
      <c r="CXB14">
        <f t="shared" si="1983"/>
        <v>0</v>
      </c>
      <c r="CXC14">
        <f t="shared" si="1984"/>
        <v>0</v>
      </c>
      <c r="CXD14">
        <f t="shared" si="1985"/>
        <v>0</v>
      </c>
      <c r="CXE14">
        <f t="shared" si="1986"/>
        <v>0</v>
      </c>
      <c r="CXF14">
        <f t="shared" si="1987"/>
        <v>0</v>
      </c>
      <c r="CXG14">
        <f t="shared" si="1988"/>
        <v>0</v>
      </c>
      <c r="CXH14">
        <f t="shared" si="1989"/>
        <v>0</v>
      </c>
      <c r="CXI14">
        <f t="shared" si="1990"/>
        <v>0</v>
      </c>
      <c r="CXJ14">
        <f t="shared" si="1991"/>
        <v>0</v>
      </c>
      <c r="CXK14">
        <f t="shared" si="1992"/>
        <v>0</v>
      </c>
      <c r="CXL14">
        <f t="shared" si="1993"/>
        <v>0</v>
      </c>
      <c r="CXM14">
        <f t="shared" si="1994"/>
        <v>0</v>
      </c>
      <c r="CXN14">
        <f t="shared" si="1995"/>
        <v>0</v>
      </c>
      <c r="CXO14">
        <f t="shared" si="1996"/>
        <v>0</v>
      </c>
      <c r="CXP14">
        <f t="shared" si="1997"/>
        <v>0</v>
      </c>
      <c r="CXQ14">
        <f t="shared" si="1998"/>
        <v>0</v>
      </c>
      <c r="CXR14">
        <f t="shared" si="1999"/>
        <v>0</v>
      </c>
      <c r="CXS14">
        <f t="shared" si="2000"/>
        <v>0</v>
      </c>
      <c r="CXT14">
        <f t="shared" si="2001"/>
        <v>0</v>
      </c>
      <c r="CXU14">
        <f t="shared" si="2002"/>
        <v>0</v>
      </c>
      <c r="CXV14">
        <f t="shared" si="2003"/>
        <v>0</v>
      </c>
      <c r="CXW14">
        <f t="shared" si="2004"/>
        <v>0</v>
      </c>
      <c r="CXX14">
        <f t="shared" si="2005"/>
        <v>0</v>
      </c>
      <c r="CXY14">
        <f t="shared" si="2006"/>
        <v>0</v>
      </c>
      <c r="CXZ14">
        <f t="shared" si="2007"/>
        <v>0</v>
      </c>
      <c r="CYA14">
        <f t="shared" si="2008"/>
        <v>0</v>
      </c>
      <c r="CYB14">
        <f t="shared" si="2009"/>
        <v>0</v>
      </c>
      <c r="CYC14">
        <f t="shared" si="2010"/>
        <v>0</v>
      </c>
      <c r="CYD14">
        <f t="shared" si="2011"/>
        <v>0</v>
      </c>
      <c r="CYE14">
        <f t="shared" si="2012"/>
        <v>0</v>
      </c>
      <c r="CYF14">
        <f t="shared" si="2013"/>
        <v>0</v>
      </c>
      <c r="CYG14">
        <f t="shared" si="2014"/>
        <v>0</v>
      </c>
      <c r="CYH14">
        <f t="shared" si="2015"/>
        <v>0</v>
      </c>
      <c r="CYI14">
        <f t="shared" si="2016"/>
        <v>0</v>
      </c>
      <c r="CYJ14">
        <f t="shared" si="2017"/>
        <v>0</v>
      </c>
      <c r="CYK14">
        <f t="shared" si="2018"/>
        <v>0</v>
      </c>
      <c r="CYL14">
        <f t="shared" si="64"/>
        <v>0</v>
      </c>
      <c r="CYM14">
        <f t="shared" si="2019"/>
        <v>0</v>
      </c>
      <c r="CYN14">
        <f t="shared" si="2020"/>
        <v>0</v>
      </c>
      <c r="CYO14">
        <f t="shared" si="2021"/>
        <v>0</v>
      </c>
      <c r="CYP14">
        <f t="shared" si="2022"/>
        <v>0</v>
      </c>
      <c r="CYQ14">
        <f t="shared" si="2023"/>
        <v>0</v>
      </c>
      <c r="CYR14">
        <f t="shared" si="2024"/>
        <v>0</v>
      </c>
      <c r="CYS14">
        <f t="shared" si="2025"/>
        <v>0</v>
      </c>
      <c r="CYT14">
        <f t="shared" si="2026"/>
        <v>0</v>
      </c>
      <c r="CYU14">
        <f t="shared" si="2027"/>
        <v>0</v>
      </c>
      <c r="CYV14">
        <f t="shared" si="2028"/>
        <v>0</v>
      </c>
      <c r="CYW14">
        <f t="shared" si="2029"/>
        <v>0</v>
      </c>
      <c r="CYX14">
        <f t="shared" si="2030"/>
        <v>0</v>
      </c>
      <c r="CYY14">
        <f t="shared" si="2031"/>
        <v>0</v>
      </c>
      <c r="CYZ14">
        <f t="shared" si="2032"/>
        <v>0</v>
      </c>
      <c r="CZA14">
        <f t="shared" si="2033"/>
        <v>0</v>
      </c>
      <c r="CZB14">
        <f t="shared" si="2034"/>
        <v>0</v>
      </c>
      <c r="CZC14">
        <f t="shared" si="2035"/>
        <v>0</v>
      </c>
      <c r="CZD14">
        <f t="shared" si="2036"/>
        <v>0</v>
      </c>
      <c r="CZE14">
        <f t="shared" si="2037"/>
        <v>0</v>
      </c>
      <c r="CZF14">
        <f t="shared" si="2038"/>
        <v>0</v>
      </c>
      <c r="CZG14">
        <f t="shared" si="2039"/>
        <v>0</v>
      </c>
      <c r="CZH14">
        <f t="shared" si="2040"/>
        <v>0</v>
      </c>
      <c r="CZI14">
        <f t="shared" si="2041"/>
        <v>0</v>
      </c>
      <c r="CZJ14">
        <f t="shared" si="2042"/>
        <v>0</v>
      </c>
      <c r="CZK14">
        <f t="shared" si="2043"/>
        <v>0</v>
      </c>
      <c r="CZL14">
        <f t="shared" si="2044"/>
        <v>0</v>
      </c>
      <c r="CZM14">
        <f t="shared" si="2045"/>
        <v>0</v>
      </c>
      <c r="CZN14">
        <f t="shared" si="2046"/>
        <v>0</v>
      </c>
      <c r="CZO14">
        <f t="shared" si="2047"/>
        <v>0</v>
      </c>
      <c r="CZP14">
        <f t="shared" si="2048"/>
        <v>0</v>
      </c>
      <c r="CZQ14">
        <f t="shared" si="2049"/>
        <v>0</v>
      </c>
      <c r="CZR14">
        <f t="shared" si="2050"/>
        <v>0</v>
      </c>
      <c r="CZS14">
        <f t="shared" si="2051"/>
        <v>0</v>
      </c>
      <c r="CZT14">
        <f t="shared" si="2052"/>
        <v>0</v>
      </c>
      <c r="CZU14">
        <f t="shared" si="2053"/>
        <v>0</v>
      </c>
      <c r="CZV14">
        <f t="shared" si="2054"/>
        <v>0</v>
      </c>
      <c r="CZW14">
        <f t="shared" si="2055"/>
        <v>0</v>
      </c>
      <c r="CZX14">
        <f t="shared" si="2056"/>
        <v>0</v>
      </c>
      <c r="CZY14">
        <f t="shared" si="2057"/>
        <v>0</v>
      </c>
      <c r="CZZ14">
        <f t="shared" si="2058"/>
        <v>0</v>
      </c>
      <c r="DAA14">
        <f t="shared" si="2059"/>
        <v>0</v>
      </c>
      <c r="DAB14">
        <f t="shared" si="2060"/>
        <v>0</v>
      </c>
      <c r="DAC14">
        <f t="shared" si="2061"/>
        <v>0</v>
      </c>
      <c r="DAD14">
        <f t="shared" si="2062"/>
        <v>0</v>
      </c>
      <c r="DAE14">
        <f t="shared" si="2063"/>
        <v>0</v>
      </c>
      <c r="DAF14">
        <f t="shared" si="2064"/>
        <v>0</v>
      </c>
      <c r="DAG14">
        <f t="shared" si="2065"/>
        <v>0</v>
      </c>
      <c r="DAH14">
        <f t="shared" si="2066"/>
        <v>0</v>
      </c>
      <c r="DAI14">
        <f t="shared" si="2067"/>
        <v>0</v>
      </c>
      <c r="DAJ14">
        <f t="shared" si="2068"/>
        <v>0</v>
      </c>
      <c r="DAK14">
        <f t="shared" si="2069"/>
        <v>0</v>
      </c>
      <c r="DAL14">
        <f t="shared" si="2070"/>
        <v>0</v>
      </c>
      <c r="DAM14">
        <f t="shared" si="2071"/>
        <v>0</v>
      </c>
      <c r="DAN14">
        <f t="shared" si="2072"/>
        <v>0</v>
      </c>
      <c r="DAO14">
        <f t="shared" si="2073"/>
        <v>0</v>
      </c>
      <c r="DAP14">
        <f t="shared" si="2074"/>
        <v>0</v>
      </c>
      <c r="DAQ14">
        <f t="shared" si="2075"/>
        <v>0</v>
      </c>
      <c r="DAR14">
        <f t="shared" si="2076"/>
        <v>0</v>
      </c>
      <c r="DAS14">
        <f t="shared" si="2077"/>
        <v>0</v>
      </c>
      <c r="DAT14">
        <f t="shared" si="2078"/>
        <v>0</v>
      </c>
      <c r="DAU14">
        <f t="shared" si="2079"/>
        <v>0</v>
      </c>
      <c r="DAV14">
        <f t="shared" si="2080"/>
        <v>0</v>
      </c>
      <c r="DAW14">
        <f t="shared" si="2081"/>
        <v>0</v>
      </c>
      <c r="DAX14">
        <f t="shared" si="65"/>
        <v>0</v>
      </c>
      <c r="DAY14">
        <f t="shared" si="2142"/>
        <v>0</v>
      </c>
      <c r="DAZ14">
        <f t="shared" si="2143"/>
        <v>0</v>
      </c>
      <c r="DBA14">
        <f t="shared" si="2144"/>
        <v>0</v>
      </c>
      <c r="DBB14">
        <f t="shared" si="2082"/>
        <v>0</v>
      </c>
      <c r="DBC14">
        <f t="shared" si="2083"/>
        <v>0</v>
      </c>
      <c r="DBD14">
        <f t="shared" si="2084"/>
        <v>0</v>
      </c>
      <c r="DBE14">
        <f t="shared" si="2085"/>
        <v>0</v>
      </c>
      <c r="DBF14">
        <f t="shared" si="2086"/>
        <v>0</v>
      </c>
      <c r="DBG14">
        <f t="shared" si="2087"/>
        <v>0</v>
      </c>
      <c r="DBH14">
        <f t="shared" si="2088"/>
        <v>0</v>
      </c>
      <c r="DBI14">
        <f t="shared" si="2089"/>
        <v>0</v>
      </c>
      <c r="DBJ14">
        <f t="shared" si="2090"/>
        <v>0</v>
      </c>
      <c r="DBK14">
        <f t="shared" si="2091"/>
        <v>0</v>
      </c>
      <c r="DBL14">
        <f t="shared" si="2092"/>
        <v>0</v>
      </c>
      <c r="DBM14">
        <f t="shared" si="2093"/>
        <v>0</v>
      </c>
      <c r="DBN14">
        <f t="shared" si="2094"/>
        <v>0</v>
      </c>
      <c r="DBO14">
        <f t="shared" si="2095"/>
        <v>0</v>
      </c>
      <c r="DBP14">
        <f t="shared" si="2096"/>
        <v>0</v>
      </c>
      <c r="DBQ14">
        <f t="shared" si="2097"/>
        <v>0</v>
      </c>
      <c r="DBR14">
        <f t="shared" si="2098"/>
        <v>0</v>
      </c>
      <c r="DBS14">
        <f t="shared" si="2099"/>
        <v>0</v>
      </c>
      <c r="DBT14">
        <f t="shared" si="2100"/>
        <v>0</v>
      </c>
      <c r="DBU14">
        <f t="shared" si="2101"/>
        <v>0</v>
      </c>
      <c r="DBV14">
        <f t="shared" si="2102"/>
        <v>0</v>
      </c>
      <c r="DBW14">
        <f t="shared" si="2103"/>
        <v>0</v>
      </c>
      <c r="DBX14">
        <f t="shared" si="2104"/>
        <v>0</v>
      </c>
      <c r="DBY14">
        <f t="shared" si="2105"/>
        <v>0</v>
      </c>
      <c r="DBZ14">
        <f t="shared" si="2106"/>
        <v>0</v>
      </c>
      <c r="DCA14">
        <f t="shared" si="2107"/>
        <v>0</v>
      </c>
      <c r="DCB14">
        <f t="shared" si="2108"/>
        <v>0</v>
      </c>
      <c r="DCC14">
        <f t="shared" si="2109"/>
        <v>0</v>
      </c>
      <c r="DCD14">
        <f t="shared" si="2110"/>
        <v>0</v>
      </c>
      <c r="DCE14">
        <f t="shared" si="2111"/>
        <v>0</v>
      </c>
      <c r="DCF14">
        <f t="shared" si="2112"/>
        <v>0</v>
      </c>
      <c r="DCG14">
        <f t="shared" si="2113"/>
        <v>0</v>
      </c>
      <c r="DCH14">
        <f t="shared" si="2114"/>
        <v>0</v>
      </c>
      <c r="DCI14">
        <f t="shared" si="2115"/>
        <v>0</v>
      </c>
      <c r="DCJ14">
        <f t="shared" si="2116"/>
        <v>0</v>
      </c>
      <c r="DCK14">
        <f t="shared" si="2117"/>
        <v>0</v>
      </c>
      <c r="DCL14">
        <f t="shared" si="2118"/>
        <v>0</v>
      </c>
      <c r="DCM14">
        <f t="shared" si="2119"/>
        <v>0</v>
      </c>
      <c r="DCN14">
        <f t="shared" si="2120"/>
        <v>0</v>
      </c>
      <c r="DCO14">
        <f t="shared" si="2121"/>
        <v>0</v>
      </c>
      <c r="DCP14">
        <f t="shared" si="2122"/>
        <v>0</v>
      </c>
      <c r="DCQ14">
        <f t="shared" si="2123"/>
        <v>0</v>
      </c>
      <c r="DCR14">
        <f t="shared" si="2124"/>
        <v>0</v>
      </c>
      <c r="DCS14">
        <f t="shared" si="2125"/>
        <v>0</v>
      </c>
      <c r="DCT14">
        <f t="shared" si="2126"/>
        <v>0</v>
      </c>
      <c r="DCU14">
        <f t="shared" si="2127"/>
        <v>0</v>
      </c>
      <c r="DCV14">
        <f t="shared" si="2128"/>
        <v>0</v>
      </c>
      <c r="DCW14">
        <f t="shared" si="2129"/>
        <v>0</v>
      </c>
      <c r="DCX14">
        <f t="shared" si="2130"/>
        <v>0</v>
      </c>
      <c r="DCY14">
        <f t="shared" si="2131"/>
        <v>0</v>
      </c>
      <c r="DCZ14">
        <f t="shared" si="2132"/>
        <v>0</v>
      </c>
      <c r="DDA14">
        <f t="shared" si="2133"/>
        <v>0</v>
      </c>
      <c r="DDB14">
        <f t="shared" si="2134"/>
        <v>0</v>
      </c>
      <c r="DDC14">
        <f t="shared" si="2135"/>
        <v>0</v>
      </c>
      <c r="DDD14">
        <f t="shared" si="2136"/>
        <v>0</v>
      </c>
      <c r="DDE14">
        <f t="shared" si="2137"/>
        <v>0</v>
      </c>
      <c r="DDF14">
        <f t="shared" si="2138"/>
        <v>0</v>
      </c>
      <c r="DDG14">
        <f t="shared" si="2139"/>
        <v>0</v>
      </c>
      <c r="DDH14">
        <f t="shared" si="2140"/>
        <v>0</v>
      </c>
      <c r="DDI14">
        <f t="shared" si="2141"/>
        <v>0</v>
      </c>
    </row>
    <row r="15" spans="1:2839" x14ac:dyDescent="0.2">
      <c r="A15" s="1">
        <v>9</v>
      </c>
      <c r="B15">
        <f>'Demand Stage 2'!B14</f>
        <v>0</v>
      </c>
      <c r="C15">
        <f>'Demand Stage 2'!C14</f>
        <v>0</v>
      </c>
      <c r="D15">
        <f>'Demand Stage 2'!D14</f>
        <v>0</v>
      </c>
      <c r="E15">
        <f>'Demand Stage 2'!E14</f>
        <v>0</v>
      </c>
      <c r="F15">
        <f>'Demand Stage 2'!F14</f>
        <v>0</v>
      </c>
      <c r="G15">
        <f>'Demand Stage 2'!G14</f>
        <v>0</v>
      </c>
      <c r="H15">
        <f>'Demand Stage 2'!H14</f>
        <v>0</v>
      </c>
      <c r="I15">
        <f>'Demand Stage 2'!I14</f>
        <v>0</v>
      </c>
      <c r="J15">
        <f>'Demand Stage 2'!J14</f>
        <v>0</v>
      </c>
      <c r="K15">
        <f>'Demand Stage 2'!K14</f>
        <v>0</v>
      </c>
      <c r="L15">
        <f>'Demand Stage 2'!L14</f>
        <v>0</v>
      </c>
      <c r="M15">
        <f>'Demand Stage 2'!M14</f>
        <v>0</v>
      </c>
      <c r="N15">
        <f>'Demand Stage 2'!N14</f>
        <v>0</v>
      </c>
      <c r="O15">
        <f>'Demand Stage 2'!O14</f>
        <v>0</v>
      </c>
      <c r="P15">
        <f>'Demand Stage 2'!P14</f>
        <v>0</v>
      </c>
      <c r="Q15">
        <f>'Demand Stage 2'!Q14</f>
        <v>0</v>
      </c>
      <c r="R15">
        <f>'Demand Stage 2'!R14</f>
        <v>0</v>
      </c>
      <c r="S15">
        <f>'Demand Stage 2'!S14</f>
        <v>0</v>
      </c>
      <c r="T15">
        <f>'Demand Stage 2'!T14</f>
        <v>0</v>
      </c>
      <c r="U15">
        <f>'Demand Stage 2'!U14</f>
        <v>0</v>
      </c>
      <c r="V15">
        <f>'Demand Stage 2'!V14</f>
        <v>0</v>
      </c>
      <c r="W15">
        <f>'Demand Stage 2'!W14</f>
        <v>0</v>
      </c>
      <c r="X15">
        <f>'Demand Stage 2'!X14</f>
        <v>0</v>
      </c>
      <c r="Y15">
        <f>'Demand Stage 2'!Y14</f>
        <v>0</v>
      </c>
      <c r="Z15">
        <f>'Demand Stage 2'!Z14</f>
        <v>0</v>
      </c>
      <c r="AA15">
        <f>'Demand Stage 2'!AA14</f>
        <v>0</v>
      </c>
      <c r="AB15">
        <f>'Demand Stage 2'!AB14</f>
        <v>0</v>
      </c>
      <c r="AC15">
        <f>'Demand Stage 2'!AC14</f>
        <v>0</v>
      </c>
      <c r="AD15">
        <f>'Demand Stage 2'!AD14</f>
        <v>0</v>
      </c>
      <c r="AE15">
        <f>'Demand Stage 2'!AE14</f>
        <v>0</v>
      </c>
      <c r="AF15">
        <f>'Demand Stage 2'!AF14</f>
        <v>0</v>
      </c>
      <c r="AG15">
        <f>'Demand Stage 2'!AG14</f>
        <v>0</v>
      </c>
      <c r="AH15">
        <f>'Demand Stage 2'!AH14</f>
        <v>0</v>
      </c>
      <c r="AI15">
        <f>'Demand Stage 2'!AI14</f>
        <v>0</v>
      </c>
      <c r="AJ15">
        <f>'Demand Stage 2'!AJ14</f>
        <v>0</v>
      </c>
      <c r="AK15">
        <f>'Demand Stage 2'!AK14</f>
        <v>0</v>
      </c>
      <c r="AL15">
        <f>'Demand Stage 2'!AL14</f>
        <v>0</v>
      </c>
      <c r="AM15">
        <f>'Demand Stage 2'!AM14</f>
        <v>0</v>
      </c>
      <c r="AN15">
        <f>'Demand Stage 2'!AN14</f>
        <v>0</v>
      </c>
      <c r="AO15">
        <f>'Demand Stage 2'!AO14</f>
        <v>0</v>
      </c>
      <c r="AP15">
        <f>'Demand Stage 2'!AP14</f>
        <v>0</v>
      </c>
      <c r="AQ15">
        <f>'Demand Stage 2'!AQ14</f>
        <v>0</v>
      </c>
      <c r="AR15">
        <f>'Demand Stage 2'!AR14</f>
        <v>0</v>
      </c>
      <c r="AS15">
        <f>'Demand Stage 2'!AS14</f>
        <v>0</v>
      </c>
      <c r="AT15">
        <f>'Demand Stage 2'!AT14</f>
        <v>0</v>
      </c>
      <c r="AU15">
        <f>'Demand Stage 2'!AU14</f>
        <v>0</v>
      </c>
      <c r="AV15">
        <f>'Demand Stage 2'!AV14</f>
        <v>0</v>
      </c>
      <c r="AW15">
        <f>'Demand Stage 2'!AW14</f>
        <v>0</v>
      </c>
      <c r="AX15">
        <f>'Demand Stage 2'!AX14</f>
        <v>0</v>
      </c>
      <c r="AY15">
        <f>'Demand Stage 2'!AY14</f>
        <v>0</v>
      </c>
      <c r="AZ15">
        <f>'Demand Stage 2'!AZ14</f>
        <v>0</v>
      </c>
      <c r="BA15">
        <f>'Demand Stage 2'!BA14</f>
        <v>0</v>
      </c>
      <c r="BB15">
        <f>'Demand Stage 2'!BB14</f>
        <v>0</v>
      </c>
      <c r="BC15">
        <f>'Demand Stage 2'!BC14</f>
        <v>0</v>
      </c>
      <c r="BD15">
        <f>'Demand Stage 2'!BD14</f>
        <v>0</v>
      </c>
      <c r="BE15">
        <f>'Demand Stage 2'!BE14</f>
        <v>0</v>
      </c>
      <c r="BF15">
        <f>'Demand Stage 2'!BF14</f>
        <v>0</v>
      </c>
      <c r="BG15">
        <f>'Demand Stage 2'!BG14</f>
        <v>0</v>
      </c>
      <c r="BH15">
        <f>'Demand Stage 2'!BH14</f>
        <v>0</v>
      </c>
      <c r="BI15">
        <f>'Demand Stage 2'!BI14</f>
        <v>0</v>
      </c>
      <c r="BJ15">
        <f>'Demand Stage 2'!BJ14</f>
        <v>0</v>
      </c>
      <c r="BK15">
        <f>'Demand Stage 2'!BK14</f>
        <v>0</v>
      </c>
      <c r="BL15">
        <f>'Demand Stage 2'!BL14</f>
        <v>0</v>
      </c>
      <c r="BM15">
        <f>'Demand Stage 2'!BM14</f>
        <v>0</v>
      </c>
      <c r="BN15">
        <f>'Demand Stage 2'!BN14</f>
        <v>0</v>
      </c>
      <c r="BO15">
        <f>'Demand Stage 2'!BO14</f>
        <v>0</v>
      </c>
      <c r="BP15">
        <f>'Demand Stage 2'!BP14</f>
        <v>0</v>
      </c>
      <c r="BQ15">
        <f>'Demand Stage 2'!BQ14</f>
        <v>0</v>
      </c>
      <c r="BR15">
        <f>'Demand Stage 2'!BR14</f>
        <v>0</v>
      </c>
      <c r="BS15">
        <f>'Demand Stage 2'!BS14</f>
        <v>0</v>
      </c>
      <c r="BT15">
        <f>'Demand Stage 2'!BT14</f>
        <v>0</v>
      </c>
      <c r="BU15">
        <f>'Demand Stage 2'!BU14</f>
        <v>0</v>
      </c>
      <c r="BV15">
        <f>'Demand Stage 2'!BV14</f>
        <v>0</v>
      </c>
      <c r="BW15">
        <f>'Demand Stage 2'!BW14</f>
        <v>0</v>
      </c>
      <c r="BX15">
        <f>'Demand Stage 2'!BX14</f>
        <v>0</v>
      </c>
      <c r="BY15">
        <f>'Demand Stage 2'!BY14</f>
        <v>0</v>
      </c>
      <c r="BZ15">
        <f>'Demand Stage 2'!BZ14</f>
        <v>0</v>
      </c>
      <c r="CA15">
        <f>'Demand Stage 2'!CA14</f>
        <v>0</v>
      </c>
      <c r="CB15">
        <f>'Demand Stage 2'!CB14</f>
        <v>0</v>
      </c>
      <c r="CC15">
        <f>'Demand Stage 2'!CC14</f>
        <v>0</v>
      </c>
      <c r="CD15">
        <f>'Demand Stage 2'!CD14</f>
        <v>0</v>
      </c>
      <c r="CE15">
        <f>'Demand Stage 2'!CE14</f>
        <v>0</v>
      </c>
      <c r="CF15">
        <f>'Demand Stage 2'!CF14</f>
        <v>0</v>
      </c>
      <c r="CG15">
        <f>'Demand Stage 2'!CG14</f>
        <v>0</v>
      </c>
      <c r="CH15">
        <f>'Demand Stage 2'!CH14</f>
        <v>0</v>
      </c>
      <c r="CI15">
        <f>'Demand Stage 2'!CI14</f>
        <v>0</v>
      </c>
      <c r="CJ15">
        <f>'Demand Stage 2'!CJ14</f>
        <v>0</v>
      </c>
      <c r="CK15">
        <f>'Demand Stage 2'!CK14</f>
        <v>0</v>
      </c>
      <c r="CL15">
        <f>'Demand Stage 2'!CL14</f>
        <v>0</v>
      </c>
      <c r="CM15">
        <f>'Demand Stage 2'!CM14</f>
        <v>0</v>
      </c>
      <c r="CN15">
        <f>'Demand Stage 2'!CN14</f>
        <v>0</v>
      </c>
      <c r="CO15">
        <f>'Demand Stage 2'!CO14</f>
        <v>0</v>
      </c>
      <c r="CP15">
        <f>'Demand Stage 2'!CP14</f>
        <v>0</v>
      </c>
      <c r="CQ15">
        <f>'Demand Stage 2'!CQ14</f>
        <v>0</v>
      </c>
      <c r="CR15">
        <f>'Demand Stage 2'!CR14</f>
        <v>0</v>
      </c>
      <c r="CS15">
        <f>'Demand Stage 2'!CS14</f>
        <v>0</v>
      </c>
      <c r="CT15">
        <f>'Demand Stage 2'!CT14</f>
        <v>0</v>
      </c>
      <c r="CU15">
        <f>'Demand Stage 2'!CU14</f>
        <v>0</v>
      </c>
      <c r="CV15">
        <f>'Demand Stage 2'!CV14</f>
        <v>0</v>
      </c>
      <c r="CW15">
        <f>'Demand Stage 2'!CW14</f>
        <v>0</v>
      </c>
      <c r="CX15">
        <f>'Demand Stage 2'!CX14</f>
        <v>0</v>
      </c>
      <c r="CY15">
        <f>'Demand Stage 2'!CY14</f>
        <v>0</v>
      </c>
      <c r="CZ15">
        <f>'Demand Stage 2'!CZ14</f>
        <v>0</v>
      </c>
      <c r="DA15">
        <f>'Demand Stage 2'!DA14</f>
        <v>0</v>
      </c>
      <c r="DB15">
        <f>'Demand Stage 2'!DB14</f>
        <v>0</v>
      </c>
      <c r="DC15">
        <f>'Demand Stage 2'!DC14</f>
        <v>0</v>
      </c>
      <c r="DD15">
        <f>'Demand Stage 2'!DD14</f>
        <v>0</v>
      </c>
      <c r="DE15">
        <f>'Demand Stage 2'!DE14</f>
        <v>0</v>
      </c>
      <c r="DF15">
        <f>'Demand Stage 2'!DF14</f>
        <v>0</v>
      </c>
      <c r="DG15">
        <f>'Demand Stage 2'!DG14</f>
        <v>0</v>
      </c>
      <c r="DH15">
        <f>'Demand Stage 2'!DH14</f>
        <v>0</v>
      </c>
      <c r="DI15">
        <f>'Demand Stage 2'!DI14</f>
        <v>0</v>
      </c>
      <c r="DJ15">
        <f>'Demand Stage 2'!DJ14</f>
        <v>0</v>
      </c>
      <c r="DK15">
        <f>'Demand Stage 2'!DK14</f>
        <v>0</v>
      </c>
      <c r="DL15">
        <f>'Demand Stage 2'!DL14</f>
        <v>0</v>
      </c>
      <c r="DM15">
        <f>'Demand Stage 2'!DM14</f>
        <v>0</v>
      </c>
      <c r="DN15">
        <f>'Demand Stage 2'!DN14</f>
        <v>0</v>
      </c>
      <c r="DO15">
        <f>'Demand Stage 2'!DO14</f>
        <v>0</v>
      </c>
      <c r="DP15">
        <f>'Demand Stage 2'!DP14</f>
        <v>0</v>
      </c>
      <c r="DQ15">
        <f>'Demand Stage 2'!DQ14</f>
        <v>0</v>
      </c>
      <c r="DR15">
        <f>'Demand Stage 2'!DR14</f>
        <v>0</v>
      </c>
      <c r="DS15">
        <f>'Demand Stage 2'!DS14</f>
        <v>0</v>
      </c>
      <c r="DT15">
        <f>'Demand Stage 2'!DT14</f>
        <v>0</v>
      </c>
      <c r="DU15">
        <f>'Demand Stage 2'!DU14</f>
        <v>0</v>
      </c>
      <c r="DV15">
        <f>'Demand Stage 2'!DV14</f>
        <v>0</v>
      </c>
      <c r="DW15">
        <f>'Demand Stage 2'!DW14</f>
        <v>0</v>
      </c>
      <c r="DX15">
        <f>'Demand Stage 2'!DX14</f>
        <v>0</v>
      </c>
      <c r="DY15">
        <f>'Demand Stage 2'!DY14</f>
        <v>0</v>
      </c>
      <c r="DZ15">
        <f>'Demand Stage 2'!DZ14</f>
        <v>0</v>
      </c>
      <c r="EA15">
        <f>'Demand Stage 2'!EA14</f>
        <v>0</v>
      </c>
      <c r="EB15">
        <f>'Demand Stage 2'!EB14</f>
        <v>0</v>
      </c>
      <c r="EC15">
        <f>'Demand Stage 2'!EC14</f>
        <v>0</v>
      </c>
      <c r="ED15">
        <f>'Demand Stage 2'!ED14</f>
        <v>0</v>
      </c>
      <c r="EE15">
        <f>'Demand Stage 2'!EE14</f>
        <v>0</v>
      </c>
      <c r="EF15">
        <f>'Demand Stage 2'!EF14</f>
        <v>0</v>
      </c>
      <c r="EG15">
        <f>'Demand Stage 2'!EG14</f>
        <v>0</v>
      </c>
      <c r="EH15">
        <f>'Demand Stage 2'!EH14</f>
        <v>0</v>
      </c>
      <c r="EI15">
        <f>'Demand Stage 2'!EI14</f>
        <v>0</v>
      </c>
      <c r="EJ15">
        <f>'Demand Stage 2'!EJ14</f>
        <v>0</v>
      </c>
      <c r="EK15">
        <f>'Demand Stage 2'!EK14</f>
        <v>0</v>
      </c>
      <c r="EL15">
        <f>'Demand Stage 2'!EL14</f>
        <v>0</v>
      </c>
      <c r="EM15">
        <f>'Demand Stage 2'!EM14</f>
        <v>0</v>
      </c>
      <c r="EN15">
        <f>'Demand Stage 2'!EN14</f>
        <v>0</v>
      </c>
      <c r="EO15">
        <f>'Demand Stage 2'!EO14</f>
        <v>0</v>
      </c>
      <c r="EP15">
        <f>'Demand Stage 2'!EP14</f>
        <v>0</v>
      </c>
      <c r="EQ15">
        <f>'Demand Stage 2'!EQ14</f>
        <v>0</v>
      </c>
      <c r="ER15">
        <f>'Demand Stage 2'!ER14</f>
        <v>0</v>
      </c>
      <c r="ES15">
        <f>'Demand Stage 2'!ES14</f>
        <v>0</v>
      </c>
      <c r="ET15">
        <f>'Demand Stage 2'!ET14</f>
        <v>0</v>
      </c>
      <c r="EU15">
        <f>'Demand Stage 2'!EU14</f>
        <v>0</v>
      </c>
      <c r="EV15">
        <f>'Demand Stage 2'!EV14</f>
        <v>0</v>
      </c>
      <c r="EW15">
        <f>'Demand Stage 2'!EW14</f>
        <v>0</v>
      </c>
      <c r="EX15">
        <f>'Demand Stage 2'!EX14</f>
        <v>0</v>
      </c>
      <c r="EY15">
        <f>'Demand Stage 2'!EY14</f>
        <v>0</v>
      </c>
      <c r="EZ15">
        <f>'Demand Stage 2'!EZ14</f>
        <v>0</v>
      </c>
      <c r="FA15">
        <f>'Demand Stage 2'!FA14</f>
        <v>0</v>
      </c>
      <c r="FB15">
        <f>'Demand Stage 2'!FB14</f>
        <v>0</v>
      </c>
      <c r="FC15">
        <f>'Demand Stage 2'!FC14</f>
        <v>0</v>
      </c>
      <c r="FD15">
        <f>'Demand Stage 2'!FD14</f>
        <v>0</v>
      </c>
      <c r="FE15">
        <f>'Demand Stage 2'!FE14</f>
        <v>0</v>
      </c>
      <c r="FF15">
        <f>'Demand Stage 2'!FF14</f>
        <v>0</v>
      </c>
      <c r="FG15">
        <f>'Demand Stage 2'!FG14</f>
        <v>0</v>
      </c>
      <c r="FH15">
        <f>'Demand Stage 2'!FH14</f>
        <v>0</v>
      </c>
      <c r="FI15">
        <f>'Demand Stage 2'!FI14</f>
        <v>0</v>
      </c>
      <c r="FJ15">
        <f>'Demand Stage 2'!FJ14</f>
        <v>0</v>
      </c>
      <c r="FK15">
        <f>'Demand Stage 2'!FK14</f>
        <v>0</v>
      </c>
      <c r="FL15">
        <f>'Demand Stage 2'!FL14</f>
        <v>0</v>
      </c>
      <c r="FM15">
        <f>'Demand Stage 2'!FM14</f>
        <v>0</v>
      </c>
      <c r="FN15">
        <f>'Demand Stage 2'!FN14</f>
        <v>0</v>
      </c>
      <c r="FO15">
        <f>'Demand Stage 2'!FO14</f>
        <v>0</v>
      </c>
      <c r="FP15">
        <f>'Demand Stage 2'!FP14</f>
        <v>0</v>
      </c>
      <c r="FQ15">
        <f>'Demand Stage 2'!FQ14</f>
        <v>0</v>
      </c>
      <c r="FR15">
        <f>'Demand Stage 2'!FR14</f>
        <v>0</v>
      </c>
      <c r="FS15">
        <f>'Demand Stage 2'!FS14</f>
        <v>0</v>
      </c>
      <c r="FT15">
        <f>'Demand Stage 2'!FT14</f>
        <v>0</v>
      </c>
      <c r="FU15">
        <f>'Demand Stage 2'!FU14</f>
        <v>0</v>
      </c>
      <c r="FV15">
        <f>'Demand Stage 2'!FV14</f>
        <v>0</v>
      </c>
      <c r="FW15">
        <f>'Demand Stage 2'!FW14</f>
        <v>0</v>
      </c>
      <c r="FX15">
        <f>'Demand Stage 2'!FX14</f>
        <v>0</v>
      </c>
      <c r="FY15">
        <f>'Demand Stage 2'!FY14</f>
        <v>0</v>
      </c>
      <c r="FZ15">
        <f>'Demand Stage 2'!FZ14</f>
        <v>0</v>
      </c>
      <c r="GA15">
        <f>'Demand Stage 2'!GA14</f>
        <v>0</v>
      </c>
      <c r="GB15">
        <f>'Demand Stage 2'!GB14</f>
        <v>0</v>
      </c>
      <c r="GC15">
        <f>'Demand Stage 2'!GC14</f>
        <v>0</v>
      </c>
      <c r="GD15">
        <f>'Demand Stage 2'!GD14</f>
        <v>0</v>
      </c>
      <c r="GE15">
        <f>'Demand Stage 2'!GE14</f>
        <v>0</v>
      </c>
      <c r="GF15">
        <f>'Demand Stage 2'!GF14</f>
        <v>0</v>
      </c>
      <c r="GG15">
        <f>'Demand Stage 2'!GG14</f>
        <v>0</v>
      </c>
      <c r="GH15">
        <f>'Demand Stage 2'!GH14</f>
        <v>0</v>
      </c>
      <c r="GI15">
        <f>'Demand Stage 2'!GI14</f>
        <v>0</v>
      </c>
      <c r="GJ15">
        <f>'Demand Stage 2'!GJ14</f>
        <v>0</v>
      </c>
      <c r="GK15">
        <f>'Demand Stage 2'!GK14</f>
        <v>0</v>
      </c>
      <c r="GL15">
        <f>'Demand Stage 2'!GL14</f>
        <v>0</v>
      </c>
      <c r="GM15">
        <f>'Demand Stage 2'!GM14</f>
        <v>0</v>
      </c>
      <c r="GN15">
        <f>'Demand Stage 2'!GN14</f>
        <v>0</v>
      </c>
      <c r="GO15">
        <f>'Demand Stage 2'!GO14</f>
        <v>0</v>
      </c>
      <c r="GP15">
        <f>'Demand Stage 2'!GP14</f>
        <v>0</v>
      </c>
      <c r="GQ15">
        <f>'Demand Stage 2'!GQ14</f>
        <v>0</v>
      </c>
      <c r="GR15">
        <f>'Demand Stage 2'!GR14</f>
        <v>0</v>
      </c>
      <c r="GS15">
        <f>'Demand Stage 2'!GS14</f>
        <v>0</v>
      </c>
      <c r="GT15">
        <f>'Demand Stage 2'!GT14</f>
        <v>0</v>
      </c>
      <c r="GU15">
        <f>'Demand Stage 2'!GU14</f>
        <v>0</v>
      </c>
      <c r="GV15">
        <f>'Demand Stage 2'!GV14</f>
        <v>0</v>
      </c>
      <c r="GW15">
        <f>'Demand Stage 2'!GW14</f>
        <v>0</v>
      </c>
      <c r="GX15">
        <f>'Demand Stage 2'!GX14</f>
        <v>0</v>
      </c>
      <c r="GY15">
        <f>'Demand Stage 2'!GY14</f>
        <v>0</v>
      </c>
      <c r="GZ15">
        <f>'Demand Stage 2'!GZ14</f>
        <v>0</v>
      </c>
      <c r="HA15">
        <f>'Demand Stage 2'!HA14</f>
        <v>0</v>
      </c>
      <c r="HB15">
        <f>'Demand Stage 2'!HB14</f>
        <v>0</v>
      </c>
      <c r="HC15">
        <f>'Demand Stage 2'!HC14</f>
        <v>0</v>
      </c>
      <c r="HD15">
        <f>'Demand Stage 2'!HD14</f>
        <v>0</v>
      </c>
      <c r="HE15">
        <f>'Demand Stage 2'!HE14</f>
        <v>0</v>
      </c>
      <c r="HF15">
        <f>'Demand Stage 2'!HF14</f>
        <v>0</v>
      </c>
      <c r="HG15">
        <f>'Demand Stage 2'!HG14</f>
        <v>0</v>
      </c>
      <c r="HH15">
        <f>'Demand Stage 2'!HH14</f>
        <v>0</v>
      </c>
      <c r="HI15">
        <f>'Demand Stage 2'!HI14</f>
        <v>0</v>
      </c>
      <c r="HJ15">
        <f>'Demand Stage 2'!HJ14</f>
        <v>0</v>
      </c>
      <c r="HK15">
        <f>'Demand Stage 2'!HK14</f>
        <v>0</v>
      </c>
      <c r="HL15">
        <f>'Demand Stage 2'!HL14</f>
        <v>0</v>
      </c>
      <c r="HM15">
        <f>'Demand Stage 2'!HM14</f>
        <v>0</v>
      </c>
      <c r="HN15">
        <f>'Demand Stage 2'!HN14</f>
        <v>0</v>
      </c>
      <c r="HO15">
        <f>'Demand Stage 2'!HO14</f>
        <v>0</v>
      </c>
      <c r="HP15">
        <f>'Demand Stage 2'!HP14</f>
        <v>0</v>
      </c>
      <c r="HQ15">
        <f>'Demand Stage 2'!HQ14</f>
        <v>0</v>
      </c>
      <c r="HR15">
        <f>'Demand Stage 2'!HR14</f>
        <v>0</v>
      </c>
      <c r="HS15">
        <f>'Demand Stage 2'!HS14</f>
        <v>0</v>
      </c>
      <c r="HT15">
        <f>'Demand Stage 2'!HT14</f>
        <v>0</v>
      </c>
      <c r="HU15">
        <f>'Demand Stage 2'!HU14</f>
        <v>0</v>
      </c>
      <c r="HV15">
        <f>'Demand Stage 2'!HV14</f>
        <v>0</v>
      </c>
      <c r="HW15">
        <f>'Demand Stage 2'!HW14</f>
        <v>0</v>
      </c>
      <c r="HX15">
        <f>'Demand Stage 2'!HX14</f>
        <v>0</v>
      </c>
      <c r="HY15">
        <f>'Demand Stage 2'!HY14</f>
        <v>0</v>
      </c>
      <c r="HZ15">
        <f>'Demand Stage 2'!HZ14</f>
        <v>0</v>
      </c>
      <c r="IA15">
        <f>'Demand Stage 2'!IA14</f>
        <v>0</v>
      </c>
      <c r="IB15">
        <f>'Demand Stage 2'!IB14</f>
        <v>0</v>
      </c>
      <c r="IC15">
        <f>'Demand Stage 2'!IC14</f>
        <v>0</v>
      </c>
      <c r="ID15">
        <f>'Demand Stage 2'!ID14</f>
        <v>0</v>
      </c>
      <c r="IE15">
        <f>'Demand Stage 2'!IE14</f>
        <v>0</v>
      </c>
      <c r="IF15">
        <f>'Demand Stage 2'!IF14</f>
        <v>0</v>
      </c>
      <c r="IG15">
        <f>'Demand Stage 2'!IG14</f>
        <v>0</v>
      </c>
      <c r="IH15">
        <f>'Demand Stage 2'!IH14</f>
        <v>0</v>
      </c>
      <c r="II15">
        <f>'Demand Stage 2'!II14</f>
        <v>0</v>
      </c>
      <c r="IJ15">
        <f>'Demand Stage 2'!IJ14</f>
        <v>0</v>
      </c>
      <c r="IK15">
        <f>'Demand Stage 2'!IK14</f>
        <v>0</v>
      </c>
      <c r="IL15">
        <f>'Demand Stage 2'!IL14</f>
        <v>0</v>
      </c>
      <c r="IM15">
        <f>'Demand Stage 2'!IM14</f>
        <v>0</v>
      </c>
      <c r="IN15">
        <f>'Demand Stage 2'!IN14</f>
        <v>0</v>
      </c>
      <c r="IO15">
        <f>'Demand Stage 2'!IO14</f>
        <v>0</v>
      </c>
      <c r="IP15">
        <f>'Demand Stage 2'!IP14</f>
        <v>0</v>
      </c>
      <c r="IQ15">
        <f>'Demand Stage 2'!IQ14</f>
        <v>0</v>
      </c>
      <c r="IR15">
        <f>'Demand Stage 2'!IR14</f>
        <v>0</v>
      </c>
      <c r="IS15">
        <f>'Demand Stage 2'!IS14</f>
        <v>0</v>
      </c>
      <c r="IT15">
        <f>'Demand Stage 2'!IT14</f>
        <v>0</v>
      </c>
      <c r="IU15">
        <f>'Demand Stage 2'!IU14</f>
        <v>0</v>
      </c>
      <c r="IV15">
        <f>'Demand Stage 2'!IV14</f>
        <v>0</v>
      </c>
      <c r="IW15">
        <f>'Demand Stage 2'!IW14</f>
        <v>0</v>
      </c>
      <c r="IX15">
        <f>'Demand Stage 2'!IX14</f>
        <v>0</v>
      </c>
      <c r="IY15">
        <f>'Demand Stage 2'!IY14</f>
        <v>0</v>
      </c>
      <c r="IZ15">
        <f>'Demand Stage 2'!IZ14</f>
        <v>0</v>
      </c>
      <c r="JA15">
        <f>'Demand Stage 2'!JA14</f>
        <v>0</v>
      </c>
      <c r="JB15">
        <f>'Demand Stage 2'!JB14</f>
        <v>0</v>
      </c>
      <c r="JC15">
        <f>'Demand Stage 2'!JC14</f>
        <v>0</v>
      </c>
      <c r="JD15">
        <f>'Demand Stage 2'!JD14</f>
        <v>0</v>
      </c>
      <c r="JE15">
        <f>'Demand Stage 2'!JE14</f>
        <v>0</v>
      </c>
      <c r="JF15">
        <f>'Demand Stage 2'!JF14</f>
        <v>0</v>
      </c>
      <c r="JG15">
        <f>'Demand Stage 2'!JG14</f>
        <v>0</v>
      </c>
      <c r="JH15">
        <f>'Demand Stage 2'!JH14</f>
        <v>0</v>
      </c>
      <c r="JI15">
        <f>'Demand Stage 2'!JI14</f>
        <v>0</v>
      </c>
      <c r="JJ15">
        <f>'Demand Stage 2'!JJ14</f>
        <v>0</v>
      </c>
      <c r="JK15">
        <f>'Demand Stage 2'!JK14</f>
        <v>0</v>
      </c>
      <c r="JL15">
        <f>'Demand Stage 2'!JL14</f>
        <v>0</v>
      </c>
      <c r="JM15">
        <f>'Demand Stage 2'!JM14</f>
        <v>0</v>
      </c>
      <c r="JN15">
        <f>'Demand Stage 2'!JN14</f>
        <v>0</v>
      </c>
      <c r="JO15">
        <f>'Demand Stage 2'!JO14</f>
        <v>0</v>
      </c>
      <c r="JP15">
        <f>'Demand Stage 2'!JP14</f>
        <v>0</v>
      </c>
      <c r="JQ15">
        <f>'Demand Stage 2'!JQ14</f>
        <v>0</v>
      </c>
      <c r="JR15">
        <f>'Demand Stage 2'!JR14</f>
        <v>0</v>
      </c>
      <c r="JS15">
        <f>'Demand Stage 2'!JS14</f>
        <v>0</v>
      </c>
      <c r="JT15">
        <f>'Demand Stage 2'!JT14</f>
        <v>0</v>
      </c>
      <c r="JU15">
        <f>'Demand Stage 2'!JU14</f>
        <v>0</v>
      </c>
      <c r="JV15">
        <f>'Demand Stage 2'!JV14</f>
        <v>0</v>
      </c>
      <c r="JW15">
        <f>'Demand Stage 2'!JW14</f>
        <v>0</v>
      </c>
      <c r="JX15">
        <f>'Demand Stage 2'!JX14</f>
        <v>0</v>
      </c>
      <c r="JY15">
        <f>'Demand Stage 2'!JY14</f>
        <v>0</v>
      </c>
      <c r="JZ15">
        <f>'Demand Stage 2'!JZ14</f>
        <v>0</v>
      </c>
      <c r="KA15">
        <f>'Demand Stage 2'!KA14</f>
        <v>0</v>
      </c>
      <c r="KB15">
        <f>'Demand Stage 2'!KB14</f>
        <v>0</v>
      </c>
      <c r="KC15">
        <f>'Demand Stage 2'!KC14</f>
        <v>0</v>
      </c>
      <c r="KD15">
        <f>'Demand Stage 2'!KD14</f>
        <v>0</v>
      </c>
      <c r="KE15">
        <f>'Demand Stage 2'!KE14</f>
        <v>0</v>
      </c>
      <c r="KF15">
        <f>'Demand Stage 2'!KF14</f>
        <v>0</v>
      </c>
      <c r="KG15">
        <f>'Demand Stage 2'!KG14</f>
        <v>0</v>
      </c>
      <c r="KH15">
        <f>'Demand Stage 2'!KH14</f>
        <v>0</v>
      </c>
      <c r="KI15">
        <f>'Demand Stage 2'!KI14</f>
        <v>0</v>
      </c>
      <c r="KJ15">
        <f>'Demand Stage 2'!KJ14</f>
        <v>0</v>
      </c>
      <c r="KK15">
        <f>'Demand Stage 2'!KK14</f>
        <v>0</v>
      </c>
      <c r="KL15">
        <f>'Demand Stage 2'!KL14</f>
        <v>0</v>
      </c>
      <c r="KM15">
        <f>'Demand Stage 2'!KM14</f>
        <v>0</v>
      </c>
      <c r="KN15">
        <f>'Demand Stage 2'!KN14</f>
        <v>0</v>
      </c>
      <c r="KO15">
        <f>'Demand Stage 2'!KO14</f>
        <v>0</v>
      </c>
      <c r="KP15">
        <f>'Demand Stage 2'!KP14</f>
        <v>0</v>
      </c>
      <c r="KQ15">
        <f>'Demand Stage 2'!KQ14</f>
        <v>0</v>
      </c>
      <c r="KR15">
        <f>'Demand Stage 2'!KR14</f>
        <v>0</v>
      </c>
      <c r="KS15">
        <f>'Demand Stage 2'!KS14</f>
        <v>0</v>
      </c>
      <c r="KT15">
        <f>'Demand Stage 2'!KT14</f>
        <v>0</v>
      </c>
      <c r="KU15">
        <f>'Demand Stage 2'!KU14</f>
        <v>0</v>
      </c>
      <c r="KV15">
        <f>'Demand Stage 2'!KV14</f>
        <v>0</v>
      </c>
      <c r="KW15">
        <f>'Demand Stage 2'!KW14</f>
        <v>0</v>
      </c>
      <c r="KX15">
        <f>'Demand Stage 2'!KX14</f>
        <v>0</v>
      </c>
      <c r="KY15">
        <f>'Demand Stage 2'!KY14</f>
        <v>0</v>
      </c>
      <c r="KZ15">
        <f>'Demand Stage 2'!KZ14</f>
        <v>0</v>
      </c>
      <c r="LA15">
        <f>'Demand Stage 2'!LA14</f>
        <v>0</v>
      </c>
      <c r="LB15">
        <f>'Demand Stage 2'!LB14</f>
        <v>0</v>
      </c>
      <c r="LC15">
        <f>'Demand Stage 2'!LC14</f>
        <v>0</v>
      </c>
      <c r="LD15">
        <f>'Demand Stage 2'!LD14</f>
        <v>0</v>
      </c>
      <c r="LE15">
        <f>'Demand Stage 2'!LE14</f>
        <v>0</v>
      </c>
      <c r="LF15">
        <f>'Demand Stage 2'!LF14</f>
        <v>0</v>
      </c>
      <c r="LG15">
        <f>'Demand Stage 2'!LG14</f>
        <v>0</v>
      </c>
      <c r="LH15">
        <f>'Demand Stage 2'!LH14</f>
        <v>0</v>
      </c>
      <c r="LI15">
        <f>'Demand Stage 2'!LI14</f>
        <v>0</v>
      </c>
      <c r="LJ15">
        <f>'Demand Stage 2'!LJ14</f>
        <v>0</v>
      </c>
      <c r="LK15">
        <f>'Demand Stage 2'!LK14</f>
        <v>0</v>
      </c>
      <c r="LL15">
        <f>'Demand Stage 2'!LL14</f>
        <v>0</v>
      </c>
      <c r="LM15">
        <f>'Demand Stage 2'!LM14</f>
        <v>0</v>
      </c>
      <c r="LN15">
        <f>'Demand Stage 2'!LN14</f>
        <v>0</v>
      </c>
      <c r="LO15">
        <f>'Demand Stage 2'!LO14</f>
        <v>0</v>
      </c>
      <c r="LP15">
        <f>'Demand Stage 2'!LP14</f>
        <v>0</v>
      </c>
      <c r="LQ15">
        <f>'Demand Stage 2'!LQ14</f>
        <v>0</v>
      </c>
      <c r="LR15">
        <f>'Demand Stage 2'!LR14</f>
        <v>0</v>
      </c>
      <c r="LS15">
        <f>'Demand Stage 2'!LS14</f>
        <v>0</v>
      </c>
      <c r="LT15">
        <f>'Demand Stage 2'!LT14</f>
        <v>0</v>
      </c>
      <c r="LU15">
        <f>'Demand Stage 2'!LU14</f>
        <v>0</v>
      </c>
      <c r="LV15">
        <f>'Demand Stage 2'!LV14</f>
        <v>0</v>
      </c>
      <c r="LW15">
        <f>'Demand Stage 2'!LW14</f>
        <v>0</v>
      </c>
      <c r="LX15">
        <f>'Demand Stage 2'!LX14</f>
        <v>0</v>
      </c>
      <c r="LY15">
        <f>'Demand Stage 2'!LY14</f>
        <v>0</v>
      </c>
      <c r="LZ15">
        <f>'Demand Stage 2'!LZ14</f>
        <v>0</v>
      </c>
      <c r="MA15">
        <f>'Demand Stage 2'!MA14</f>
        <v>0</v>
      </c>
      <c r="MB15">
        <f>'Demand Stage 2'!MB14</f>
        <v>0</v>
      </c>
      <c r="MC15">
        <f>'Demand Stage 2'!MC14</f>
        <v>0</v>
      </c>
      <c r="MD15">
        <f>'Demand Stage 2'!MD14</f>
        <v>0</v>
      </c>
      <c r="ME15">
        <f>'Demand Stage 2'!ME14</f>
        <v>0</v>
      </c>
      <c r="MF15">
        <f>'Demand Stage 2'!MF14</f>
        <v>0</v>
      </c>
      <c r="MG15">
        <f>'Demand Stage 2'!MG14</f>
        <v>0</v>
      </c>
      <c r="MH15">
        <f>'Demand Stage 2'!MH14</f>
        <v>0</v>
      </c>
      <c r="MI15">
        <f>'Demand Stage 2'!MI14</f>
        <v>0</v>
      </c>
      <c r="MJ15">
        <f>'Demand Stage 2'!MJ14</f>
        <v>0</v>
      </c>
      <c r="MK15">
        <f>'Demand Stage 2'!MK14</f>
        <v>0</v>
      </c>
      <c r="ML15">
        <f>'Demand Stage 2'!ML14</f>
        <v>0</v>
      </c>
      <c r="MM15">
        <f>'Demand Stage 2'!MM14</f>
        <v>0</v>
      </c>
      <c r="MN15">
        <f>'Demand Stage 2'!MN14</f>
        <v>0</v>
      </c>
      <c r="MO15">
        <f>'Demand Stage 2'!MO14</f>
        <v>0</v>
      </c>
      <c r="MP15">
        <f>'Demand Stage 2'!MP14</f>
        <v>0</v>
      </c>
      <c r="MQ15">
        <f>'Demand Stage 2'!MQ14</f>
        <v>0</v>
      </c>
      <c r="MR15">
        <f>'Demand Stage 2'!MR14</f>
        <v>0</v>
      </c>
      <c r="MS15">
        <f>'Demand Stage 2'!MS14</f>
        <v>0</v>
      </c>
      <c r="MT15">
        <f>'Demand Stage 2'!MT14</f>
        <v>0</v>
      </c>
      <c r="MU15">
        <f>'Demand Stage 2'!MU14</f>
        <v>0</v>
      </c>
      <c r="MV15">
        <f>'Demand Stage 2'!MV14</f>
        <v>0</v>
      </c>
      <c r="MW15">
        <f>'Demand Stage 2'!MW14</f>
        <v>0</v>
      </c>
      <c r="MX15">
        <f>'Demand Stage 2'!MX14</f>
        <v>0</v>
      </c>
      <c r="MY15">
        <f>'Demand Stage 2'!MY14</f>
        <v>0</v>
      </c>
      <c r="MZ15">
        <f>'Demand Stage 2'!MZ14</f>
        <v>0</v>
      </c>
      <c r="NA15">
        <f>'Demand Stage 2'!NA14</f>
        <v>0</v>
      </c>
      <c r="NB15">
        <f>'Demand Stage 2'!NB14</f>
        <v>0</v>
      </c>
      <c r="NC15">
        <f>'Demand Stage 2'!NC14</f>
        <v>0</v>
      </c>
      <c r="ND15">
        <f>'Demand Stage 2'!ND14</f>
        <v>0</v>
      </c>
      <c r="NE15">
        <f>'Demand Stage 2'!NE14</f>
        <v>0</v>
      </c>
      <c r="NF15">
        <f>'Demand Stage 2'!NF14</f>
        <v>0</v>
      </c>
      <c r="NG15">
        <f>'Demand Stage 2'!NG14</f>
        <v>0</v>
      </c>
      <c r="NH15">
        <f>'Demand Stage 2'!NH14</f>
        <v>0</v>
      </c>
      <c r="NI15">
        <f>'Demand Stage 2'!NI14</f>
        <v>0</v>
      </c>
      <c r="NJ15">
        <f>'Demand Stage 2'!NJ14</f>
        <v>0</v>
      </c>
      <c r="NK15">
        <f>'Demand Stage 2'!NK14</f>
        <v>0</v>
      </c>
      <c r="NL15">
        <f>'Demand Stage 2'!NL14</f>
        <v>0</v>
      </c>
      <c r="NM15">
        <f>'Demand Stage 2'!NM14</f>
        <v>0</v>
      </c>
      <c r="NN15">
        <f>'Demand Stage 2'!NN14</f>
        <v>0</v>
      </c>
      <c r="NO15">
        <f>'Demand Stage 2'!NO14</f>
        <v>0</v>
      </c>
      <c r="NP15">
        <f>'Demand Stage 2'!NP14</f>
        <v>0</v>
      </c>
      <c r="NQ15">
        <f>'Demand Stage 2'!NQ14</f>
        <v>0</v>
      </c>
      <c r="NR15">
        <f>'Demand Stage 2'!NR14</f>
        <v>0</v>
      </c>
      <c r="NS15">
        <f>'Demand Stage 2'!NS14</f>
        <v>0</v>
      </c>
      <c r="NT15">
        <f>'Demand Stage 2'!NT14</f>
        <v>0</v>
      </c>
      <c r="NU15">
        <f>'Demand Stage 2'!NU14</f>
        <v>0</v>
      </c>
      <c r="NV15">
        <f>'Demand Stage 2'!NV14</f>
        <v>0</v>
      </c>
      <c r="NW15">
        <f>'Demand Stage 2'!NW14</f>
        <v>0</v>
      </c>
      <c r="NX15">
        <f>'Demand Stage 2'!NX14</f>
        <v>0</v>
      </c>
      <c r="NY15">
        <f>'Demand Stage 2'!NY14</f>
        <v>0</v>
      </c>
      <c r="NZ15">
        <f>'Demand Stage 2'!NZ14</f>
        <v>0</v>
      </c>
      <c r="OA15">
        <f>'Demand Stage 2'!OA14</f>
        <v>0</v>
      </c>
      <c r="OB15">
        <f>'Demand Stage 2'!OB14</f>
        <v>0</v>
      </c>
      <c r="OC15">
        <f>'Demand Stage 2'!OC14</f>
        <v>0</v>
      </c>
      <c r="OD15">
        <f>'Demand Stage 2'!OD14</f>
        <v>0</v>
      </c>
      <c r="OE15">
        <f>'Demand Stage 2'!OE14</f>
        <v>0</v>
      </c>
      <c r="OF15">
        <f>'Demand Stage 2'!OF14</f>
        <v>0</v>
      </c>
      <c r="OG15">
        <f>'Demand Stage 2'!OG14</f>
        <v>0</v>
      </c>
      <c r="OH15">
        <f>'Demand Stage 2'!OH14</f>
        <v>0</v>
      </c>
      <c r="OI15">
        <f>'Demand Stage 2'!OI14</f>
        <v>0</v>
      </c>
      <c r="OJ15">
        <f>'Demand Stage 2'!OJ14</f>
        <v>0</v>
      </c>
      <c r="OK15">
        <f>'Demand Stage 2'!OK14</f>
        <v>0</v>
      </c>
      <c r="OL15">
        <f>'Demand Stage 2'!OL14</f>
        <v>0</v>
      </c>
      <c r="OM15">
        <f>'Demand Stage 2'!OM14</f>
        <v>0</v>
      </c>
      <c r="ON15">
        <f>'Demand Stage 2'!ON14</f>
        <v>0</v>
      </c>
      <c r="OO15">
        <f>'Demand Stage 2'!OO14</f>
        <v>0</v>
      </c>
      <c r="OP15">
        <f>'Demand Stage 2'!OP14</f>
        <v>0</v>
      </c>
      <c r="OQ15">
        <f>'Demand Stage 2'!OQ14</f>
        <v>0</v>
      </c>
      <c r="OR15">
        <f>'Demand Stage 2'!OR14</f>
        <v>0</v>
      </c>
      <c r="OS15">
        <f>'Demand Stage 2'!OS14</f>
        <v>0</v>
      </c>
      <c r="OT15">
        <f>'Demand Stage 2'!OT14</f>
        <v>0</v>
      </c>
      <c r="OU15">
        <f>'Demand Stage 2'!OU14</f>
        <v>0</v>
      </c>
      <c r="OV15">
        <f>'Demand Stage 2'!OV14</f>
        <v>0</v>
      </c>
      <c r="OW15">
        <f>'Demand Stage 2'!OW14</f>
        <v>0</v>
      </c>
      <c r="OX15">
        <f>'Demand Stage 2'!OX14</f>
        <v>0</v>
      </c>
      <c r="OY15">
        <f>'Demand Stage 2'!OY14</f>
        <v>0</v>
      </c>
      <c r="OZ15">
        <f>'Demand Stage 2'!OZ14</f>
        <v>0</v>
      </c>
      <c r="PA15">
        <f>'Demand Stage 2'!PA14</f>
        <v>0</v>
      </c>
      <c r="PB15">
        <f>'Demand Stage 2'!PB14</f>
        <v>0</v>
      </c>
      <c r="PC15">
        <f>'Demand Stage 2'!PC14</f>
        <v>0</v>
      </c>
      <c r="PD15">
        <f>'Demand Stage 2'!PD14</f>
        <v>0</v>
      </c>
      <c r="PE15">
        <f>'Demand Stage 2'!PE14</f>
        <v>0</v>
      </c>
      <c r="PF15">
        <f>'Demand Stage 2'!PF14</f>
        <v>0</v>
      </c>
      <c r="PG15">
        <f>'Demand Stage 2'!PG14</f>
        <v>0</v>
      </c>
      <c r="PH15">
        <f>'Demand Stage 2'!PH14</f>
        <v>0</v>
      </c>
      <c r="PI15">
        <f>'Demand Stage 2'!PI14</f>
        <v>0</v>
      </c>
      <c r="PJ15">
        <f>'Demand Stage 2'!PJ14</f>
        <v>0</v>
      </c>
      <c r="PK15">
        <f>'Demand Stage 2'!PK14</f>
        <v>0</v>
      </c>
      <c r="PL15">
        <f>'Demand Stage 2'!PL14</f>
        <v>0</v>
      </c>
      <c r="PM15">
        <f>'Demand Stage 2'!PM14</f>
        <v>0</v>
      </c>
      <c r="PN15">
        <f>'Demand Stage 2'!PN14</f>
        <v>0</v>
      </c>
      <c r="PO15">
        <f>'Demand Stage 2'!PO14</f>
        <v>0</v>
      </c>
      <c r="PP15">
        <f>'Demand Stage 2'!PP14</f>
        <v>0</v>
      </c>
      <c r="PQ15">
        <f>'Demand Stage 2'!PQ14</f>
        <v>0</v>
      </c>
      <c r="PR15">
        <f>'Demand Stage 2'!PR14</f>
        <v>0</v>
      </c>
      <c r="PS15">
        <f>'Demand Stage 2'!PS14</f>
        <v>0</v>
      </c>
      <c r="PT15">
        <f>'Demand Stage 2'!PT14</f>
        <v>0</v>
      </c>
      <c r="PU15">
        <f>'Demand Stage 2'!PU14</f>
        <v>0</v>
      </c>
      <c r="PV15">
        <f>'Demand Stage 2'!PV14</f>
        <v>0</v>
      </c>
      <c r="PW15">
        <f>'Demand Stage 2'!PW14</f>
        <v>0</v>
      </c>
      <c r="PX15">
        <f>'Demand Stage 2'!PX14</f>
        <v>0</v>
      </c>
      <c r="PY15">
        <f>'Demand Stage 2'!PY14</f>
        <v>0</v>
      </c>
      <c r="PZ15">
        <f>'Demand Stage 2'!PZ14</f>
        <v>0</v>
      </c>
      <c r="QA15">
        <f>'Demand Stage 2'!QA14</f>
        <v>0</v>
      </c>
      <c r="QB15">
        <f>'Demand Stage 2'!QB14</f>
        <v>0</v>
      </c>
      <c r="QC15">
        <f>'Demand Stage 2'!QC14</f>
        <v>0</v>
      </c>
      <c r="QD15">
        <f>'Demand Stage 2'!QD14</f>
        <v>0</v>
      </c>
      <c r="QE15">
        <f>'Demand Stage 2'!QE14</f>
        <v>0</v>
      </c>
      <c r="QF15">
        <f>'Demand Stage 2'!QF14</f>
        <v>0</v>
      </c>
      <c r="QG15">
        <f>'Demand Stage 2'!QG14</f>
        <v>0</v>
      </c>
      <c r="QH15">
        <f>'Demand Stage 2'!QH14</f>
        <v>0</v>
      </c>
      <c r="QI15">
        <f>'Demand Stage 2'!QI14</f>
        <v>0</v>
      </c>
      <c r="QJ15">
        <f>'Demand Stage 2'!QJ14</f>
        <v>0</v>
      </c>
      <c r="QK15">
        <f>'Demand Stage 2'!QK14</f>
        <v>0</v>
      </c>
      <c r="QL15">
        <f>'Demand Stage 2'!QL14</f>
        <v>0</v>
      </c>
      <c r="QM15">
        <f>'Demand Stage 2'!QM14</f>
        <v>0</v>
      </c>
      <c r="QN15">
        <f>'Demand Stage 2'!QN14</f>
        <v>0</v>
      </c>
      <c r="QO15">
        <f>'Demand Stage 2'!QO14</f>
        <v>0</v>
      </c>
      <c r="QP15">
        <f>'Demand Stage 2'!QP14</f>
        <v>0</v>
      </c>
      <c r="QQ15">
        <f>'Demand Stage 2'!QQ14</f>
        <v>0</v>
      </c>
      <c r="QR15">
        <f>'Demand Stage 2'!QR14</f>
        <v>0</v>
      </c>
      <c r="QS15">
        <f>'Demand Stage 2'!QS14</f>
        <v>0</v>
      </c>
      <c r="QT15">
        <f>'Demand Stage 2'!QT14</f>
        <v>0</v>
      </c>
      <c r="QU15">
        <f>'Demand Stage 2'!QU14</f>
        <v>0</v>
      </c>
      <c r="QV15">
        <f>'Demand Stage 2'!QV14</f>
        <v>0</v>
      </c>
      <c r="QW15">
        <f>'Demand Stage 2'!QW14</f>
        <v>0</v>
      </c>
      <c r="QX15">
        <f>'Demand Stage 2'!QX14</f>
        <v>0</v>
      </c>
      <c r="QY15">
        <f>'Demand Stage 2'!QY14</f>
        <v>0</v>
      </c>
      <c r="QZ15">
        <f>'Demand Stage 2'!QZ14</f>
        <v>0</v>
      </c>
      <c r="RA15">
        <f>'Demand Stage 2'!RA14</f>
        <v>0</v>
      </c>
      <c r="RB15">
        <f>'Demand Stage 2'!RB14</f>
        <v>0</v>
      </c>
      <c r="RC15">
        <f>'Demand Stage 2'!RC14</f>
        <v>0</v>
      </c>
      <c r="RD15">
        <f>'Demand Stage 2'!RD14</f>
        <v>0</v>
      </c>
      <c r="RE15">
        <f>'Demand Stage 2'!RE14</f>
        <v>0</v>
      </c>
      <c r="RF15">
        <f>'Demand Stage 2'!RF14</f>
        <v>0</v>
      </c>
      <c r="RG15">
        <f>'Demand Stage 2'!RG14</f>
        <v>0</v>
      </c>
      <c r="RH15">
        <f>'Demand Stage 2'!RH14</f>
        <v>0</v>
      </c>
      <c r="RI15">
        <f>'Demand Stage 2'!RI14</f>
        <v>0</v>
      </c>
      <c r="RJ15">
        <f>'Demand Stage 2'!RJ14</f>
        <v>0</v>
      </c>
      <c r="RK15">
        <f>'Demand Stage 2'!RK14</f>
        <v>0</v>
      </c>
      <c r="RL15">
        <f>'Demand Stage 2'!RL14</f>
        <v>0</v>
      </c>
      <c r="RM15">
        <f>'Demand Stage 2'!RM14</f>
        <v>0</v>
      </c>
      <c r="RN15">
        <f>'Demand Stage 2'!RN14</f>
        <v>0</v>
      </c>
      <c r="RO15">
        <f>'Demand Stage 2'!RO14</f>
        <v>0</v>
      </c>
      <c r="RP15">
        <f>'Demand Stage 2'!RP14</f>
        <v>0</v>
      </c>
      <c r="RQ15">
        <f>'Demand Stage 2'!RQ14</f>
        <v>0</v>
      </c>
      <c r="RR15">
        <f>'Demand Stage 2'!RR14</f>
        <v>0</v>
      </c>
      <c r="RS15">
        <f>'Demand Stage 2'!RS14</f>
        <v>0</v>
      </c>
      <c r="RT15">
        <f>'Demand Stage 2'!RT14</f>
        <v>0</v>
      </c>
      <c r="RU15">
        <f>'Demand Stage 2'!RU14</f>
        <v>0</v>
      </c>
      <c r="RV15">
        <f>'Demand Stage 2'!RV14</f>
        <v>0</v>
      </c>
      <c r="RW15">
        <f>'Demand Stage 2'!RW14</f>
        <v>0</v>
      </c>
      <c r="RX15">
        <f>'Demand Stage 2'!RX14</f>
        <v>0</v>
      </c>
      <c r="RY15">
        <f>'Demand Stage 2'!RY14</f>
        <v>0</v>
      </c>
      <c r="RZ15">
        <f>'Demand Stage 2'!RZ14</f>
        <v>0</v>
      </c>
      <c r="SA15">
        <f>'Demand Stage 2'!SA14</f>
        <v>0</v>
      </c>
      <c r="SB15">
        <f>'Demand Stage 2'!SB14</f>
        <v>0</v>
      </c>
      <c r="SC15">
        <f>'Demand Stage 2'!SC14</f>
        <v>0</v>
      </c>
      <c r="SD15">
        <f>'Demand Stage 2'!SD14</f>
        <v>0</v>
      </c>
      <c r="SE15">
        <f>'Demand Stage 2'!SE14</f>
        <v>0</v>
      </c>
      <c r="SF15">
        <f>'Demand Stage 2'!SF14</f>
        <v>0</v>
      </c>
      <c r="SG15">
        <f>'Demand Stage 2'!SG14</f>
        <v>0</v>
      </c>
      <c r="SH15">
        <f>'Demand Stage 2'!SH14</f>
        <v>0</v>
      </c>
      <c r="SI15">
        <f>'Demand Stage 2'!SI14</f>
        <v>0</v>
      </c>
      <c r="SJ15">
        <f>'Demand Stage 2'!SJ14</f>
        <v>0</v>
      </c>
      <c r="SK15">
        <f>'Demand Stage 2'!SK14</f>
        <v>0</v>
      </c>
      <c r="SL15">
        <f>'Demand Stage 2'!SL14</f>
        <v>0</v>
      </c>
      <c r="SM15">
        <f>'Demand Stage 2'!SM14</f>
        <v>0</v>
      </c>
      <c r="SN15">
        <f>'Demand Stage 2'!SN14</f>
        <v>0</v>
      </c>
      <c r="SO15">
        <f>'Demand Stage 2'!SO14</f>
        <v>0</v>
      </c>
      <c r="SP15">
        <f>'Demand Stage 2'!SP14</f>
        <v>0</v>
      </c>
      <c r="SQ15">
        <f>'Demand Stage 2'!SQ14</f>
        <v>0</v>
      </c>
      <c r="SR15">
        <f>'Demand Stage 2'!SR14</f>
        <v>0</v>
      </c>
      <c r="SS15">
        <f>'Demand Stage 2'!SS14</f>
        <v>0</v>
      </c>
      <c r="ST15">
        <f>'Demand Stage 2'!ST14</f>
        <v>0</v>
      </c>
      <c r="SU15">
        <f>'Demand Stage 2'!SU14</f>
        <v>0</v>
      </c>
      <c r="SV15">
        <f>'Demand Stage 2'!SV14</f>
        <v>0</v>
      </c>
      <c r="SW15">
        <f>'Demand Stage 2'!SW14</f>
        <v>0</v>
      </c>
      <c r="SX15">
        <f>'Demand Stage 2'!SX14</f>
        <v>0</v>
      </c>
      <c r="SY15">
        <f>'Demand Stage 2'!SY14</f>
        <v>0</v>
      </c>
      <c r="SZ15">
        <f>'Demand Stage 2'!SZ14</f>
        <v>0</v>
      </c>
      <c r="TA15">
        <f>'Demand Stage 2'!TA14</f>
        <v>0</v>
      </c>
      <c r="TB15">
        <f>'Demand Stage 2'!TB14</f>
        <v>0</v>
      </c>
      <c r="TC15">
        <f>'Demand Stage 2'!TC14</f>
        <v>0</v>
      </c>
      <c r="TD15">
        <f>'Demand Stage 2'!TD14</f>
        <v>0</v>
      </c>
      <c r="TE15">
        <f>'Demand Stage 2'!TE14</f>
        <v>0</v>
      </c>
      <c r="TF15">
        <f>'Demand Stage 2'!TF14</f>
        <v>0</v>
      </c>
      <c r="TG15">
        <f>'Demand Stage 2'!TG14</f>
        <v>0</v>
      </c>
      <c r="TH15">
        <f>'Demand Stage 2'!TH14</f>
        <v>0</v>
      </c>
      <c r="TI15">
        <f>'Demand Stage 2'!TI14</f>
        <v>0</v>
      </c>
      <c r="TJ15">
        <f>'Demand Stage 2'!TJ14</f>
        <v>0</v>
      </c>
      <c r="TK15">
        <f>'Demand Stage 2'!TK14</f>
        <v>0</v>
      </c>
      <c r="TL15">
        <f>'Demand Stage 2'!TL14</f>
        <v>0</v>
      </c>
      <c r="TM15">
        <f>'Demand Stage 2'!TM14</f>
        <v>0</v>
      </c>
      <c r="TN15">
        <f>'Demand Stage 2'!TN14</f>
        <v>0</v>
      </c>
      <c r="TO15">
        <f>'Demand Stage 2'!TO14</f>
        <v>0</v>
      </c>
      <c r="TP15">
        <f>'Demand Stage 2'!TP14</f>
        <v>0</v>
      </c>
      <c r="TQ15">
        <f>'Demand Stage 2'!TQ14</f>
        <v>0</v>
      </c>
      <c r="TR15">
        <f>'Demand Stage 2'!TR14</f>
        <v>0</v>
      </c>
      <c r="TS15">
        <f>'Demand Stage 2'!TS14</f>
        <v>0</v>
      </c>
      <c r="TT15">
        <f>'Demand Stage 2'!TT14</f>
        <v>0</v>
      </c>
      <c r="TU15">
        <f>'Demand Stage 2'!TU14</f>
        <v>0</v>
      </c>
      <c r="TV15">
        <f>'Demand Stage 2'!TV14</f>
        <v>0</v>
      </c>
      <c r="TW15">
        <f>'Demand Stage 2'!TW14</f>
        <v>0</v>
      </c>
      <c r="TX15">
        <f>'Demand Stage 2'!TX14</f>
        <v>0</v>
      </c>
      <c r="TY15">
        <f>'Demand Stage 2'!TY14</f>
        <v>0</v>
      </c>
      <c r="TZ15">
        <f>'Demand Stage 2'!TZ14</f>
        <v>0</v>
      </c>
      <c r="UA15">
        <f>'Demand Stage 2'!UA14</f>
        <v>0</v>
      </c>
      <c r="UB15">
        <f>'Demand Stage 2'!UB14</f>
        <v>0</v>
      </c>
      <c r="UC15">
        <f>'Demand Stage 2'!UC14</f>
        <v>0</v>
      </c>
      <c r="UD15">
        <f>'Demand Stage 2'!UD14</f>
        <v>0</v>
      </c>
      <c r="UE15">
        <f>'Demand Stage 2'!UE14</f>
        <v>0</v>
      </c>
      <c r="UF15">
        <f>'Demand Stage 2'!UF14</f>
        <v>0</v>
      </c>
      <c r="UG15">
        <f>'Demand Stage 2'!UG14</f>
        <v>0</v>
      </c>
      <c r="UH15">
        <f>'Demand Stage 2'!UH14</f>
        <v>0</v>
      </c>
      <c r="UI15">
        <f>'Demand Stage 2'!UI14</f>
        <v>0</v>
      </c>
      <c r="UJ15">
        <f>'Demand Stage 2'!UJ14</f>
        <v>0</v>
      </c>
      <c r="UK15">
        <f>'Demand Stage 2'!UK14</f>
        <v>0</v>
      </c>
      <c r="UL15">
        <f>'Demand Stage 2'!UL14</f>
        <v>0</v>
      </c>
      <c r="UM15">
        <f>'Demand Stage 2'!UM14</f>
        <v>0</v>
      </c>
      <c r="UN15">
        <f>'Demand Stage 2'!UN14</f>
        <v>0</v>
      </c>
      <c r="UO15">
        <f>'Demand Stage 2'!UO14</f>
        <v>0</v>
      </c>
      <c r="UP15">
        <f>'Demand Stage 2'!UP14</f>
        <v>0</v>
      </c>
      <c r="UQ15">
        <f>'Demand Stage 2'!UQ14</f>
        <v>0</v>
      </c>
      <c r="UR15">
        <f>'Demand Stage 2'!UR14</f>
        <v>0</v>
      </c>
      <c r="US15">
        <f>'Demand Stage 2'!US14</f>
        <v>0</v>
      </c>
      <c r="UT15">
        <f>'Demand Stage 2'!UT14</f>
        <v>0</v>
      </c>
      <c r="UU15">
        <f>'Demand Stage 2'!UU14</f>
        <v>0</v>
      </c>
      <c r="UV15">
        <f>'Demand Stage 2'!UV14</f>
        <v>0</v>
      </c>
      <c r="UW15">
        <f>'Demand Stage 2'!UW14</f>
        <v>0</v>
      </c>
      <c r="UX15">
        <f>'Demand Stage 2'!UX14</f>
        <v>0</v>
      </c>
      <c r="UY15">
        <f>'Demand Stage 2'!UY14</f>
        <v>0</v>
      </c>
      <c r="UZ15">
        <f>'Demand Stage 2'!UZ14</f>
        <v>0</v>
      </c>
      <c r="VA15">
        <f>'Demand Stage 2'!VA14</f>
        <v>0</v>
      </c>
      <c r="VB15">
        <f>'Demand Stage 2'!VB14</f>
        <v>0</v>
      </c>
      <c r="VC15">
        <f>'Demand Stage 2'!VC14</f>
        <v>0</v>
      </c>
      <c r="VD15">
        <f>'Demand Stage 2'!VD14</f>
        <v>0</v>
      </c>
      <c r="VE15">
        <f>'Demand Stage 2'!VE14</f>
        <v>0</v>
      </c>
      <c r="VF15">
        <f>'Demand Stage 2'!VF14</f>
        <v>0</v>
      </c>
      <c r="VG15">
        <f>'Demand Stage 2'!VG14</f>
        <v>0</v>
      </c>
      <c r="VH15">
        <f>'Demand Stage 2'!VH14</f>
        <v>0</v>
      </c>
      <c r="VI15">
        <f>'Demand Stage 2'!VI14</f>
        <v>0</v>
      </c>
      <c r="VJ15">
        <f>'Demand Stage 2'!VJ14</f>
        <v>0</v>
      </c>
      <c r="VK15">
        <f>'Demand Stage 2'!VK14</f>
        <v>0</v>
      </c>
      <c r="VL15">
        <f>'Demand Stage 2'!VL14</f>
        <v>0</v>
      </c>
      <c r="VM15">
        <f>'Demand Stage 2'!VM14</f>
        <v>0</v>
      </c>
      <c r="VN15">
        <f>'Demand Stage 2'!VN14</f>
        <v>0</v>
      </c>
      <c r="VO15">
        <f>'Demand Stage 2'!VO14</f>
        <v>0</v>
      </c>
      <c r="VP15">
        <f>'Demand Stage 2'!VP14</f>
        <v>0</v>
      </c>
      <c r="VQ15">
        <f>'Demand Stage 2'!VQ14</f>
        <v>0</v>
      </c>
      <c r="VR15">
        <f>'Demand Stage 2'!VR14</f>
        <v>0</v>
      </c>
      <c r="VS15">
        <f>'Demand Stage 2'!VS14</f>
        <v>0</v>
      </c>
      <c r="VT15">
        <f>'Demand Stage 2'!VT14</f>
        <v>0</v>
      </c>
      <c r="VU15">
        <f>'Demand Stage 2'!VU14</f>
        <v>0</v>
      </c>
      <c r="VV15">
        <f>'Demand Stage 2'!VV14</f>
        <v>0</v>
      </c>
      <c r="VW15">
        <f>'Demand Stage 2'!VW14</f>
        <v>0</v>
      </c>
      <c r="VX15">
        <f>'Demand Stage 2'!VX14</f>
        <v>0</v>
      </c>
      <c r="VY15">
        <f>'Demand Stage 2'!VY14</f>
        <v>0</v>
      </c>
      <c r="VZ15">
        <f>'Demand Stage 2'!VZ14</f>
        <v>0</v>
      </c>
      <c r="WA15">
        <f>'Demand Stage 2'!WA14</f>
        <v>0</v>
      </c>
      <c r="WB15">
        <f>'Demand Stage 2'!WB14</f>
        <v>0</v>
      </c>
      <c r="WC15">
        <f>'Demand Stage 2'!WC14</f>
        <v>0</v>
      </c>
      <c r="WD15">
        <f>'Demand Stage 2'!WD14</f>
        <v>0</v>
      </c>
      <c r="WE15">
        <f>'Demand Stage 2'!WE14</f>
        <v>0</v>
      </c>
      <c r="WF15">
        <f>'Demand Stage 2'!WF14</f>
        <v>0</v>
      </c>
      <c r="WG15">
        <f>'Demand Stage 2'!WG14</f>
        <v>0</v>
      </c>
      <c r="WH15">
        <f>'Demand Stage 2'!WH14</f>
        <v>0</v>
      </c>
      <c r="WI15">
        <f>'Demand Stage 2'!WI14</f>
        <v>0</v>
      </c>
      <c r="WJ15">
        <f>'Demand Stage 2'!WJ14</f>
        <v>0</v>
      </c>
      <c r="WK15">
        <f>'Demand Stage 2'!WK14</f>
        <v>0</v>
      </c>
      <c r="WL15">
        <f>'Demand Stage 2'!WL14</f>
        <v>0</v>
      </c>
      <c r="WM15">
        <f>'Demand Stage 2'!WM14</f>
        <v>0</v>
      </c>
      <c r="WN15">
        <f>'Demand Stage 2'!WN14</f>
        <v>0</v>
      </c>
      <c r="WO15">
        <f>'Demand Stage 2'!WO14</f>
        <v>0</v>
      </c>
      <c r="WP15">
        <f>'Demand Stage 2'!WP14</f>
        <v>0</v>
      </c>
      <c r="WQ15">
        <f>'Demand Stage 2'!WQ14</f>
        <v>0</v>
      </c>
      <c r="WR15">
        <f>'Demand Stage 2'!WR14</f>
        <v>0</v>
      </c>
      <c r="WS15">
        <f>'Demand Stage 2'!WS14</f>
        <v>0</v>
      </c>
      <c r="WT15">
        <f>'Demand Stage 2'!WT14</f>
        <v>0</v>
      </c>
      <c r="WU15">
        <f>'Demand Stage 2'!WU14</f>
        <v>0</v>
      </c>
      <c r="WV15">
        <f>'Demand Stage 2'!WV14</f>
        <v>0</v>
      </c>
      <c r="WW15">
        <f>'Demand Stage 2'!WW14</f>
        <v>0</v>
      </c>
      <c r="WX15">
        <f>'Demand Stage 2'!WX14</f>
        <v>0</v>
      </c>
      <c r="WY15">
        <f>'Demand Stage 2'!WY14</f>
        <v>0</v>
      </c>
      <c r="WZ15">
        <f>'Demand Stage 2'!WZ14</f>
        <v>0</v>
      </c>
      <c r="XA15">
        <f>'Demand Stage 2'!XA14</f>
        <v>0</v>
      </c>
      <c r="XB15">
        <f>'Demand Stage 2'!XB14</f>
        <v>0</v>
      </c>
      <c r="XC15">
        <f>'Demand Stage 2'!XC14</f>
        <v>0</v>
      </c>
      <c r="XD15">
        <f>'Demand Stage 2'!XD14</f>
        <v>0</v>
      </c>
      <c r="XE15">
        <f>'Demand Stage 2'!XE14</f>
        <v>0</v>
      </c>
      <c r="XF15">
        <f>'Demand Stage 2'!XF14</f>
        <v>0</v>
      </c>
      <c r="XG15">
        <f>'Demand Stage 2'!XG14</f>
        <v>0</v>
      </c>
      <c r="XH15">
        <f>'Demand Stage 2'!XH14</f>
        <v>0</v>
      </c>
      <c r="XI15">
        <f>'Demand Stage 2'!XI14</f>
        <v>0</v>
      </c>
      <c r="XJ15">
        <f>'Demand Stage 2'!XJ14</f>
        <v>0</v>
      </c>
      <c r="XK15">
        <f>'Demand Stage 2'!XK14</f>
        <v>0</v>
      </c>
      <c r="XL15">
        <f>'Demand Stage 2'!XL14</f>
        <v>0</v>
      </c>
      <c r="XM15">
        <f>'Demand Stage 2'!XM14</f>
        <v>0</v>
      </c>
      <c r="XN15">
        <f>'Demand Stage 2'!XN14</f>
        <v>0</v>
      </c>
      <c r="XO15">
        <f>'Demand Stage 2'!XO14</f>
        <v>0</v>
      </c>
      <c r="XP15">
        <f>'Demand Stage 2'!XP14</f>
        <v>0</v>
      </c>
      <c r="XQ15">
        <f>'Demand Stage 2'!XQ14</f>
        <v>0</v>
      </c>
      <c r="XR15">
        <f>'Demand Stage 2'!XR14</f>
        <v>0</v>
      </c>
      <c r="XS15">
        <f>'Demand Stage 2'!XS14</f>
        <v>0</v>
      </c>
      <c r="XT15">
        <f>'Demand Stage 2'!XT14</f>
        <v>0</v>
      </c>
      <c r="XU15">
        <f>'Demand Stage 2'!XU14</f>
        <v>0</v>
      </c>
      <c r="XV15">
        <f>'Demand Stage 2'!XV14</f>
        <v>0</v>
      </c>
      <c r="XW15">
        <f>'Demand Stage 2'!XW14</f>
        <v>0</v>
      </c>
      <c r="XX15">
        <f>'Demand Stage 2'!XX14</f>
        <v>0</v>
      </c>
      <c r="XY15">
        <f>'Demand Stage 2'!XY14</f>
        <v>0</v>
      </c>
      <c r="XZ15">
        <f>'Demand Stage 2'!XZ14</f>
        <v>0</v>
      </c>
      <c r="YA15">
        <f>'Demand Stage 2'!YA14</f>
        <v>0</v>
      </c>
      <c r="YB15">
        <f>'Demand Stage 2'!YB14</f>
        <v>0</v>
      </c>
      <c r="YC15">
        <f>'Demand Stage 2'!YC14</f>
        <v>0</v>
      </c>
      <c r="YD15">
        <f>'Demand Stage 2'!YD14</f>
        <v>0</v>
      </c>
      <c r="YE15">
        <f>'Demand Stage 2'!YE14</f>
        <v>0</v>
      </c>
      <c r="YF15">
        <f>'Demand Stage 2'!YF14</f>
        <v>0</v>
      </c>
      <c r="YG15">
        <f>'Demand Stage 2'!YG14</f>
        <v>0</v>
      </c>
      <c r="YH15">
        <f>'Demand Stage 2'!YH14</f>
        <v>0</v>
      </c>
      <c r="YI15">
        <f>'Demand Stage 2'!YI14</f>
        <v>0</v>
      </c>
      <c r="YJ15">
        <f>'Demand Stage 2'!YJ14</f>
        <v>0</v>
      </c>
      <c r="YK15">
        <f>'Demand Stage 2'!YK14</f>
        <v>0</v>
      </c>
      <c r="YL15">
        <f>'Demand Stage 2'!YL14</f>
        <v>0</v>
      </c>
      <c r="YM15">
        <f>'Demand Stage 2'!YM14</f>
        <v>0</v>
      </c>
      <c r="YN15">
        <f>'Demand Stage 2'!YN14</f>
        <v>0</v>
      </c>
      <c r="YO15">
        <f>'Demand Stage 2'!YO14</f>
        <v>0</v>
      </c>
      <c r="YP15">
        <f>'Demand Stage 2'!YP14</f>
        <v>0</v>
      </c>
      <c r="YQ15">
        <f>'Demand Stage 2'!YQ14</f>
        <v>0</v>
      </c>
      <c r="YR15">
        <f>'Demand Stage 2'!YR14</f>
        <v>0</v>
      </c>
      <c r="YS15">
        <f>'Demand Stage 2'!YS14</f>
        <v>0</v>
      </c>
      <c r="YT15">
        <f>'Demand Stage 2'!YT14</f>
        <v>0</v>
      </c>
      <c r="YU15">
        <f>'Demand Stage 2'!YU14</f>
        <v>0</v>
      </c>
      <c r="YV15">
        <f>'Demand Stage 2'!YV14</f>
        <v>0</v>
      </c>
      <c r="YW15">
        <f>'Demand Stage 2'!YW14</f>
        <v>0</v>
      </c>
      <c r="YX15">
        <f>'Demand Stage 2'!YX14</f>
        <v>0</v>
      </c>
      <c r="YY15">
        <f>'Demand Stage 2'!YY14</f>
        <v>0</v>
      </c>
      <c r="YZ15">
        <f>'Demand Stage 2'!YZ14</f>
        <v>0</v>
      </c>
      <c r="ZA15">
        <f>'Demand Stage 2'!ZA14</f>
        <v>0</v>
      </c>
      <c r="ZB15">
        <f>'Demand Stage 2'!ZB14</f>
        <v>0</v>
      </c>
      <c r="ZC15">
        <f>'Demand Stage 2'!ZC14</f>
        <v>0</v>
      </c>
      <c r="ZD15">
        <f>'Demand Stage 2'!ZD14</f>
        <v>0</v>
      </c>
      <c r="ZE15">
        <f>'Demand Stage 2'!ZE14</f>
        <v>0</v>
      </c>
      <c r="ZF15">
        <f>'Demand Stage 2'!ZF14</f>
        <v>0</v>
      </c>
      <c r="ZG15">
        <f>'Demand Stage 2'!ZG14</f>
        <v>0</v>
      </c>
      <c r="ZH15">
        <f>'Demand Stage 2'!ZH14</f>
        <v>0</v>
      </c>
      <c r="ZI15">
        <f>'Demand Stage 2'!ZI14</f>
        <v>0</v>
      </c>
      <c r="ZJ15">
        <f>'Demand Stage 2'!ZJ14</f>
        <v>0</v>
      </c>
      <c r="ZK15">
        <f>'Demand Stage 2'!ZK14</f>
        <v>0</v>
      </c>
      <c r="ZL15">
        <f>'Demand Stage 2'!ZL14</f>
        <v>0</v>
      </c>
      <c r="ZM15">
        <f>'Demand Stage 2'!ZM14</f>
        <v>0</v>
      </c>
      <c r="ZN15">
        <f>'Demand Stage 2'!ZN14</f>
        <v>0</v>
      </c>
      <c r="ZO15">
        <f>'Demand Stage 2'!ZO14</f>
        <v>0</v>
      </c>
      <c r="ZP15">
        <f>'Demand Stage 2'!ZP14</f>
        <v>0</v>
      </c>
      <c r="ZQ15">
        <f>'Demand Stage 2'!ZQ14</f>
        <v>0</v>
      </c>
      <c r="ZR15">
        <f>'Demand Stage 2'!ZR14</f>
        <v>0</v>
      </c>
      <c r="ZS15">
        <f>'Demand Stage 2'!ZS14</f>
        <v>0</v>
      </c>
      <c r="ZT15">
        <f>'Demand Stage 2'!ZT14</f>
        <v>0</v>
      </c>
      <c r="ZU15">
        <f>'Demand Stage 2'!ZU14</f>
        <v>0</v>
      </c>
      <c r="ZV15">
        <f>'Demand Stage 2'!ZV14</f>
        <v>0</v>
      </c>
      <c r="ZW15">
        <f>'Demand Stage 2'!ZW14</f>
        <v>0</v>
      </c>
      <c r="ZX15">
        <f>'Demand Stage 2'!ZX14</f>
        <v>0</v>
      </c>
      <c r="ZY15">
        <f>'Demand Stage 2'!ZY14</f>
        <v>0</v>
      </c>
      <c r="ZZ15">
        <f>'Demand Stage 2'!ZZ14</f>
        <v>0</v>
      </c>
      <c r="AAA15">
        <f>'Demand Stage 2'!AAA14</f>
        <v>0</v>
      </c>
      <c r="AAB15">
        <f>'Demand Stage 2'!AAB14</f>
        <v>0</v>
      </c>
      <c r="AAC15">
        <f>'Demand Stage 2'!AAC14</f>
        <v>0</v>
      </c>
      <c r="AAD15">
        <f t="shared" si="33"/>
        <v>0</v>
      </c>
      <c r="AAE15">
        <f t="shared" si="66"/>
        <v>0</v>
      </c>
      <c r="AAF15">
        <f t="shared" si="67"/>
        <v>0</v>
      </c>
      <c r="AAG15">
        <f t="shared" si="68"/>
        <v>0</v>
      </c>
      <c r="AAH15">
        <f t="shared" si="69"/>
        <v>0</v>
      </c>
      <c r="AAI15">
        <f t="shared" si="70"/>
        <v>0</v>
      </c>
      <c r="AAJ15">
        <f t="shared" si="71"/>
        <v>0</v>
      </c>
      <c r="AAK15">
        <f t="shared" si="72"/>
        <v>0</v>
      </c>
      <c r="AAL15">
        <f t="shared" si="73"/>
        <v>0</v>
      </c>
      <c r="AAM15">
        <f t="shared" si="74"/>
        <v>0</v>
      </c>
      <c r="AAN15">
        <f t="shared" si="75"/>
        <v>0</v>
      </c>
      <c r="AAO15">
        <f t="shared" si="76"/>
        <v>0</v>
      </c>
      <c r="AAP15">
        <f t="shared" si="77"/>
        <v>0</v>
      </c>
      <c r="AAQ15">
        <f t="shared" si="78"/>
        <v>0</v>
      </c>
      <c r="AAR15">
        <f t="shared" si="79"/>
        <v>0</v>
      </c>
      <c r="AAS15">
        <f t="shared" si="80"/>
        <v>0</v>
      </c>
      <c r="AAT15">
        <f t="shared" si="81"/>
        <v>0</v>
      </c>
      <c r="AAU15">
        <f t="shared" si="82"/>
        <v>0</v>
      </c>
      <c r="AAV15">
        <f t="shared" si="83"/>
        <v>0</v>
      </c>
      <c r="AAW15">
        <f t="shared" si="84"/>
        <v>0</v>
      </c>
      <c r="AAX15">
        <f t="shared" si="85"/>
        <v>0</v>
      </c>
      <c r="AAY15">
        <f t="shared" si="86"/>
        <v>0</v>
      </c>
      <c r="AAZ15">
        <f t="shared" si="87"/>
        <v>0</v>
      </c>
      <c r="ABA15">
        <f t="shared" si="88"/>
        <v>0</v>
      </c>
      <c r="ABB15">
        <f t="shared" si="89"/>
        <v>0</v>
      </c>
      <c r="ABC15">
        <f t="shared" si="90"/>
        <v>0</v>
      </c>
      <c r="ABD15">
        <f t="shared" si="91"/>
        <v>0</v>
      </c>
      <c r="ABE15">
        <f t="shared" si="92"/>
        <v>0</v>
      </c>
      <c r="ABF15">
        <f t="shared" si="93"/>
        <v>0</v>
      </c>
      <c r="ABG15">
        <f t="shared" si="94"/>
        <v>0</v>
      </c>
      <c r="ABH15">
        <f t="shared" si="95"/>
        <v>0</v>
      </c>
      <c r="ABI15">
        <f t="shared" si="96"/>
        <v>0</v>
      </c>
      <c r="ABJ15">
        <f t="shared" si="97"/>
        <v>0</v>
      </c>
      <c r="ABK15">
        <f t="shared" si="98"/>
        <v>0</v>
      </c>
      <c r="ABL15">
        <f t="shared" si="99"/>
        <v>0</v>
      </c>
      <c r="ABM15">
        <f t="shared" si="100"/>
        <v>0</v>
      </c>
      <c r="ABN15">
        <f t="shared" si="101"/>
        <v>0</v>
      </c>
      <c r="ABO15">
        <f t="shared" si="102"/>
        <v>0</v>
      </c>
      <c r="ABP15">
        <f t="shared" si="103"/>
        <v>0</v>
      </c>
      <c r="ABQ15">
        <f t="shared" si="104"/>
        <v>0</v>
      </c>
      <c r="ABR15">
        <f t="shared" si="105"/>
        <v>0</v>
      </c>
      <c r="ABS15">
        <f t="shared" si="106"/>
        <v>0</v>
      </c>
      <c r="ABT15">
        <f t="shared" si="107"/>
        <v>0</v>
      </c>
      <c r="ABU15">
        <f t="shared" si="108"/>
        <v>0</v>
      </c>
      <c r="ABV15">
        <f t="shared" si="109"/>
        <v>0</v>
      </c>
      <c r="ABW15">
        <f t="shared" si="110"/>
        <v>0</v>
      </c>
      <c r="ABX15">
        <f t="shared" si="111"/>
        <v>0</v>
      </c>
      <c r="ABY15">
        <f t="shared" si="112"/>
        <v>0</v>
      </c>
      <c r="ABZ15">
        <f t="shared" si="113"/>
        <v>0</v>
      </c>
      <c r="ACA15">
        <f t="shared" si="114"/>
        <v>0</v>
      </c>
      <c r="ACB15">
        <f t="shared" si="115"/>
        <v>0</v>
      </c>
      <c r="ACC15">
        <f t="shared" si="116"/>
        <v>0</v>
      </c>
      <c r="ACD15">
        <f t="shared" si="117"/>
        <v>0</v>
      </c>
      <c r="ACE15">
        <f t="shared" si="118"/>
        <v>0</v>
      </c>
      <c r="ACF15">
        <f t="shared" si="119"/>
        <v>0</v>
      </c>
      <c r="ACG15">
        <f t="shared" si="120"/>
        <v>0</v>
      </c>
      <c r="ACH15">
        <f t="shared" si="121"/>
        <v>0</v>
      </c>
      <c r="ACI15">
        <f t="shared" si="122"/>
        <v>0</v>
      </c>
      <c r="ACJ15">
        <f t="shared" si="123"/>
        <v>0</v>
      </c>
      <c r="ACK15">
        <f t="shared" si="124"/>
        <v>0</v>
      </c>
      <c r="ACL15">
        <f t="shared" si="125"/>
        <v>0</v>
      </c>
      <c r="ACM15">
        <f t="shared" si="126"/>
        <v>0</v>
      </c>
      <c r="ACN15">
        <f t="shared" si="127"/>
        <v>0</v>
      </c>
      <c r="ACO15">
        <f t="shared" si="128"/>
        <v>0</v>
      </c>
      <c r="ACP15">
        <f t="shared" si="34"/>
        <v>0</v>
      </c>
      <c r="ACQ15">
        <f t="shared" si="129"/>
        <v>0</v>
      </c>
      <c r="ACR15">
        <f t="shared" si="130"/>
        <v>0</v>
      </c>
      <c r="ACS15">
        <f t="shared" si="131"/>
        <v>0</v>
      </c>
      <c r="ACT15">
        <f t="shared" si="132"/>
        <v>0</v>
      </c>
      <c r="ACU15">
        <f t="shared" si="133"/>
        <v>0</v>
      </c>
      <c r="ACV15">
        <f t="shared" si="134"/>
        <v>0</v>
      </c>
      <c r="ACW15">
        <f t="shared" si="135"/>
        <v>0</v>
      </c>
      <c r="ACX15">
        <f t="shared" si="136"/>
        <v>0</v>
      </c>
      <c r="ACY15">
        <f t="shared" si="137"/>
        <v>0</v>
      </c>
      <c r="ACZ15">
        <f t="shared" si="138"/>
        <v>0</v>
      </c>
      <c r="ADA15">
        <f t="shared" si="139"/>
        <v>0</v>
      </c>
      <c r="ADB15">
        <f t="shared" si="140"/>
        <v>0</v>
      </c>
      <c r="ADC15">
        <f t="shared" si="141"/>
        <v>0</v>
      </c>
      <c r="ADD15">
        <f t="shared" si="142"/>
        <v>0</v>
      </c>
      <c r="ADE15">
        <f t="shared" si="143"/>
        <v>0</v>
      </c>
      <c r="ADF15">
        <f t="shared" si="144"/>
        <v>0</v>
      </c>
      <c r="ADG15">
        <f t="shared" si="145"/>
        <v>0</v>
      </c>
      <c r="ADH15">
        <f t="shared" si="146"/>
        <v>0</v>
      </c>
      <c r="ADI15">
        <f t="shared" si="147"/>
        <v>0</v>
      </c>
      <c r="ADJ15">
        <f t="shared" si="148"/>
        <v>0</v>
      </c>
      <c r="ADK15">
        <f t="shared" si="149"/>
        <v>0</v>
      </c>
      <c r="ADL15">
        <f t="shared" si="150"/>
        <v>0</v>
      </c>
      <c r="ADM15">
        <f t="shared" si="151"/>
        <v>0</v>
      </c>
      <c r="ADN15">
        <f t="shared" si="152"/>
        <v>0</v>
      </c>
      <c r="ADO15">
        <f t="shared" si="153"/>
        <v>0</v>
      </c>
      <c r="ADP15">
        <f t="shared" si="154"/>
        <v>0</v>
      </c>
      <c r="ADQ15">
        <f t="shared" si="155"/>
        <v>0</v>
      </c>
      <c r="ADR15">
        <f t="shared" si="156"/>
        <v>0</v>
      </c>
      <c r="ADS15">
        <f t="shared" si="157"/>
        <v>0</v>
      </c>
      <c r="ADT15">
        <f t="shared" si="158"/>
        <v>0</v>
      </c>
      <c r="ADU15">
        <f t="shared" si="159"/>
        <v>0</v>
      </c>
      <c r="ADV15">
        <f t="shared" si="160"/>
        <v>0</v>
      </c>
      <c r="ADW15">
        <f t="shared" si="161"/>
        <v>0</v>
      </c>
      <c r="ADX15">
        <f t="shared" si="162"/>
        <v>0</v>
      </c>
      <c r="ADY15">
        <f t="shared" si="163"/>
        <v>0</v>
      </c>
      <c r="ADZ15">
        <f t="shared" si="164"/>
        <v>0</v>
      </c>
      <c r="AEA15">
        <f t="shared" si="165"/>
        <v>0</v>
      </c>
      <c r="AEB15">
        <f t="shared" si="166"/>
        <v>0</v>
      </c>
      <c r="AEC15">
        <f t="shared" si="167"/>
        <v>0</v>
      </c>
      <c r="AED15">
        <f t="shared" si="168"/>
        <v>0</v>
      </c>
      <c r="AEE15">
        <f t="shared" si="169"/>
        <v>0</v>
      </c>
      <c r="AEF15">
        <f t="shared" si="170"/>
        <v>0</v>
      </c>
      <c r="AEG15">
        <f t="shared" si="171"/>
        <v>0</v>
      </c>
      <c r="AEH15">
        <f t="shared" si="172"/>
        <v>0</v>
      </c>
      <c r="AEI15">
        <f t="shared" si="173"/>
        <v>0</v>
      </c>
      <c r="AEJ15">
        <f t="shared" si="174"/>
        <v>0</v>
      </c>
      <c r="AEK15">
        <f t="shared" si="175"/>
        <v>0</v>
      </c>
      <c r="AEL15">
        <f t="shared" si="176"/>
        <v>0</v>
      </c>
      <c r="AEM15">
        <f t="shared" si="177"/>
        <v>0</v>
      </c>
      <c r="AEN15">
        <f t="shared" si="178"/>
        <v>0</v>
      </c>
      <c r="AEO15">
        <f t="shared" si="179"/>
        <v>0</v>
      </c>
      <c r="AEP15">
        <f t="shared" si="180"/>
        <v>0</v>
      </c>
      <c r="AEQ15">
        <f t="shared" si="181"/>
        <v>0</v>
      </c>
      <c r="AER15">
        <f t="shared" si="182"/>
        <v>0</v>
      </c>
      <c r="AES15">
        <f t="shared" si="183"/>
        <v>0</v>
      </c>
      <c r="AET15">
        <f t="shared" si="184"/>
        <v>0</v>
      </c>
      <c r="AEU15">
        <f t="shared" si="185"/>
        <v>0</v>
      </c>
      <c r="AEV15">
        <f t="shared" si="186"/>
        <v>0</v>
      </c>
      <c r="AEW15">
        <f t="shared" si="187"/>
        <v>0</v>
      </c>
      <c r="AEX15">
        <f t="shared" si="188"/>
        <v>0</v>
      </c>
      <c r="AEY15">
        <f t="shared" si="189"/>
        <v>0</v>
      </c>
      <c r="AEZ15">
        <f t="shared" si="190"/>
        <v>0</v>
      </c>
      <c r="AFA15">
        <f t="shared" si="191"/>
        <v>0</v>
      </c>
      <c r="AFB15">
        <f t="shared" si="35"/>
        <v>0</v>
      </c>
      <c r="AFC15">
        <f t="shared" si="192"/>
        <v>0</v>
      </c>
      <c r="AFD15">
        <f t="shared" si="193"/>
        <v>0</v>
      </c>
      <c r="AFE15">
        <f t="shared" si="194"/>
        <v>0</v>
      </c>
      <c r="AFF15">
        <f t="shared" si="195"/>
        <v>0</v>
      </c>
      <c r="AFG15">
        <f t="shared" si="196"/>
        <v>0</v>
      </c>
      <c r="AFH15">
        <f t="shared" si="197"/>
        <v>0</v>
      </c>
      <c r="AFI15">
        <f t="shared" si="198"/>
        <v>0</v>
      </c>
      <c r="AFJ15">
        <f t="shared" si="199"/>
        <v>0</v>
      </c>
      <c r="AFK15">
        <f t="shared" si="200"/>
        <v>0</v>
      </c>
      <c r="AFL15">
        <f t="shared" si="201"/>
        <v>0</v>
      </c>
      <c r="AFM15">
        <f t="shared" si="202"/>
        <v>0</v>
      </c>
      <c r="AFN15">
        <f t="shared" si="203"/>
        <v>0</v>
      </c>
      <c r="AFO15">
        <f t="shared" si="204"/>
        <v>0</v>
      </c>
      <c r="AFP15">
        <f t="shared" si="205"/>
        <v>0</v>
      </c>
      <c r="AFQ15">
        <f t="shared" si="206"/>
        <v>0</v>
      </c>
      <c r="AFR15">
        <f t="shared" si="207"/>
        <v>0</v>
      </c>
      <c r="AFS15">
        <f t="shared" si="208"/>
        <v>0</v>
      </c>
      <c r="AFT15">
        <f t="shared" si="209"/>
        <v>0</v>
      </c>
      <c r="AFU15">
        <f t="shared" si="210"/>
        <v>0</v>
      </c>
      <c r="AFV15">
        <f t="shared" si="211"/>
        <v>0</v>
      </c>
      <c r="AFW15">
        <f t="shared" si="212"/>
        <v>0</v>
      </c>
      <c r="AFX15">
        <f t="shared" si="213"/>
        <v>0</v>
      </c>
      <c r="AFY15">
        <f t="shared" si="214"/>
        <v>0</v>
      </c>
      <c r="AFZ15">
        <f t="shared" si="215"/>
        <v>0</v>
      </c>
      <c r="AGA15">
        <f t="shared" si="216"/>
        <v>0</v>
      </c>
      <c r="AGB15">
        <f t="shared" si="217"/>
        <v>0</v>
      </c>
      <c r="AGC15">
        <f t="shared" si="218"/>
        <v>0</v>
      </c>
      <c r="AGD15">
        <f t="shared" si="219"/>
        <v>0</v>
      </c>
      <c r="AGE15">
        <f t="shared" si="220"/>
        <v>0</v>
      </c>
      <c r="AGF15">
        <f t="shared" si="221"/>
        <v>0</v>
      </c>
      <c r="AGG15">
        <f t="shared" si="222"/>
        <v>0</v>
      </c>
      <c r="AGH15">
        <f t="shared" si="223"/>
        <v>0</v>
      </c>
      <c r="AGI15">
        <f t="shared" si="224"/>
        <v>0</v>
      </c>
      <c r="AGJ15">
        <f t="shared" si="225"/>
        <v>0</v>
      </c>
      <c r="AGK15">
        <f t="shared" si="226"/>
        <v>0</v>
      </c>
      <c r="AGL15">
        <f t="shared" si="227"/>
        <v>0</v>
      </c>
      <c r="AGM15">
        <f t="shared" si="228"/>
        <v>0</v>
      </c>
      <c r="AGN15">
        <f t="shared" si="229"/>
        <v>0</v>
      </c>
      <c r="AGO15">
        <f t="shared" si="230"/>
        <v>0</v>
      </c>
      <c r="AGP15">
        <f t="shared" si="231"/>
        <v>0</v>
      </c>
      <c r="AGQ15">
        <f t="shared" si="232"/>
        <v>0</v>
      </c>
      <c r="AGR15">
        <f t="shared" si="233"/>
        <v>0</v>
      </c>
      <c r="AGS15">
        <f t="shared" si="234"/>
        <v>0</v>
      </c>
      <c r="AGT15">
        <f t="shared" si="235"/>
        <v>0</v>
      </c>
      <c r="AGU15">
        <f t="shared" si="236"/>
        <v>0</v>
      </c>
      <c r="AGV15">
        <f t="shared" si="237"/>
        <v>0</v>
      </c>
      <c r="AGW15">
        <f t="shared" si="238"/>
        <v>0</v>
      </c>
      <c r="AGX15">
        <f t="shared" si="239"/>
        <v>0</v>
      </c>
      <c r="AGY15">
        <f t="shared" si="240"/>
        <v>0</v>
      </c>
      <c r="AGZ15">
        <f t="shared" si="241"/>
        <v>0</v>
      </c>
      <c r="AHA15">
        <f t="shared" si="242"/>
        <v>0</v>
      </c>
      <c r="AHB15">
        <f t="shared" si="243"/>
        <v>0</v>
      </c>
      <c r="AHC15">
        <f t="shared" si="244"/>
        <v>0</v>
      </c>
      <c r="AHD15">
        <f t="shared" si="245"/>
        <v>0</v>
      </c>
      <c r="AHE15">
        <f t="shared" si="246"/>
        <v>0</v>
      </c>
      <c r="AHF15">
        <f t="shared" si="247"/>
        <v>0</v>
      </c>
      <c r="AHG15">
        <f t="shared" si="248"/>
        <v>0</v>
      </c>
      <c r="AHH15">
        <f t="shared" si="249"/>
        <v>0</v>
      </c>
      <c r="AHI15">
        <f t="shared" si="250"/>
        <v>0</v>
      </c>
      <c r="AHJ15">
        <f t="shared" si="251"/>
        <v>0</v>
      </c>
      <c r="AHK15">
        <f t="shared" si="252"/>
        <v>0</v>
      </c>
      <c r="AHL15">
        <f t="shared" si="253"/>
        <v>0</v>
      </c>
      <c r="AHM15">
        <f t="shared" si="254"/>
        <v>0</v>
      </c>
      <c r="AHN15">
        <f t="shared" si="36"/>
        <v>0</v>
      </c>
      <c r="AHO15">
        <f t="shared" si="255"/>
        <v>0</v>
      </c>
      <c r="AHP15">
        <f t="shared" si="256"/>
        <v>0</v>
      </c>
      <c r="AHQ15">
        <f t="shared" si="257"/>
        <v>0</v>
      </c>
      <c r="AHR15">
        <f t="shared" si="258"/>
        <v>0</v>
      </c>
      <c r="AHS15">
        <f t="shared" si="259"/>
        <v>0</v>
      </c>
      <c r="AHT15">
        <f t="shared" si="260"/>
        <v>0</v>
      </c>
      <c r="AHU15">
        <f t="shared" si="261"/>
        <v>0</v>
      </c>
      <c r="AHV15">
        <f t="shared" si="262"/>
        <v>0</v>
      </c>
      <c r="AHW15">
        <f t="shared" si="263"/>
        <v>0</v>
      </c>
      <c r="AHX15">
        <f t="shared" si="264"/>
        <v>0</v>
      </c>
      <c r="AHY15">
        <f t="shared" si="265"/>
        <v>0</v>
      </c>
      <c r="AHZ15">
        <f t="shared" si="266"/>
        <v>0</v>
      </c>
      <c r="AIA15">
        <f t="shared" si="267"/>
        <v>0</v>
      </c>
      <c r="AIB15">
        <f t="shared" si="268"/>
        <v>0</v>
      </c>
      <c r="AIC15">
        <f t="shared" si="269"/>
        <v>0</v>
      </c>
      <c r="AID15">
        <f t="shared" si="270"/>
        <v>0</v>
      </c>
      <c r="AIE15">
        <f t="shared" si="271"/>
        <v>0</v>
      </c>
      <c r="AIF15">
        <f t="shared" si="272"/>
        <v>0</v>
      </c>
      <c r="AIG15">
        <f t="shared" si="273"/>
        <v>0</v>
      </c>
      <c r="AIH15">
        <f t="shared" si="274"/>
        <v>0</v>
      </c>
      <c r="AII15">
        <f t="shared" si="275"/>
        <v>0</v>
      </c>
      <c r="AIJ15">
        <f t="shared" si="276"/>
        <v>0</v>
      </c>
      <c r="AIK15">
        <f t="shared" si="277"/>
        <v>0</v>
      </c>
      <c r="AIL15">
        <f t="shared" si="278"/>
        <v>0</v>
      </c>
      <c r="AIM15">
        <f t="shared" si="279"/>
        <v>0</v>
      </c>
      <c r="AIN15">
        <f t="shared" si="280"/>
        <v>0</v>
      </c>
      <c r="AIO15">
        <f t="shared" si="281"/>
        <v>0</v>
      </c>
      <c r="AIP15">
        <f t="shared" si="282"/>
        <v>0</v>
      </c>
      <c r="AIQ15">
        <f t="shared" si="283"/>
        <v>0</v>
      </c>
      <c r="AIR15">
        <f t="shared" si="284"/>
        <v>0</v>
      </c>
      <c r="AIS15">
        <f t="shared" si="285"/>
        <v>0</v>
      </c>
      <c r="AIT15">
        <f t="shared" si="286"/>
        <v>0</v>
      </c>
      <c r="AIU15">
        <f t="shared" si="287"/>
        <v>0</v>
      </c>
      <c r="AIV15">
        <f t="shared" si="288"/>
        <v>0</v>
      </c>
      <c r="AIW15">
        <f t="shared" si="289"/>
        <v>0</v>
      </c>
      <c r="AIX15">
        <f t="shared" si="290"/>
        <v>0</v>
      </c>
      <c r="AIY15">
        <f t="shared" si="291"/>
        <v>0</v>
      </c>
      <c r="AIZ15">
        <f t="shared" si="292"/>
        <v>0</v>
      </c>
      <c r="AJA15">
        <f t="shared" si="293"/>
        <v>0</v>
      </c>
      <c r="AJB15">
        <f t="shared" si="294"/>
        <v>0</v>
      </c>
      <c r="AJC15">
        <f t="shared" si="295"/>
        <v>0</v>
      </c>
      <c r="AJD15">
        <f t="shared" si="296"/>
        <v>0</v>
      </c>
      <c r="AJE15">
        <f t="shared" si="297"/>
        <v>0</v>
      </c>
      <c r="AJF15">
        <f t="shared" si="298"/>
        <v>0</v>
      </c>
      <c r="AJG15">
        <f t="shared" si="299"/>
        <v>0</v>
      </c>
      <c r="AJH15">
        <f t="shared" si="300"/>
        <v>0</v>
      </c>
      <c r="AJI15">
        <f t="shared" si="301"/>
        <v>0</v>
      </c>
      <c r="AJJ15">
        <f t="shared" si="302"/>
        <v>0</v>
      </c>
      <c r="AJK15">
        <f t="shared" si="303"/>
        <v>0</v>
      </c>
      <c r="AJL15">
        <f t="shared" si="304"/>
        <v>0</v>
      </c>
      <c r="AJM15">
        <f t="shared" si="305"/>
        <v>0</v>
      </c>
      <c r="AJN15">
        <f t="shared" si="306"/>
        <v>0</v>
      </c>
      <c r="AJO15">
        <f t="shared" si="307"/>
        <v>0</v>
      </c>
      <c r="AJP15">
        <f t="shared" si="308"/>
        <v>0</v>
      </c>
      <c r="AJQ15">
        <f t="shared" si="309"/>
        <v>0</v>
      </c>
      <c r="AJR15">
        <f t="shared" si="310"/>
        <v>0</v>
      </c>
      <c r="AJS15">
        <f t="shared" si="311"/>
        <v>0</v>
      </c>
      <c r="AJT15">
        <f t="shared" si="312"/>
        <v>0</v>
      </c>
      <c r="AJU15">
        <f t="shared" si="313"/>
        <v>0</v>
      </c>
      <c r="AJV15">
        <f t="shared" si="314"/>
        <v>0</v>
      </c>
      <c r="AJW15">
        <f t="shared" si="315"/>
        <v>0</v>
      </c>
      <c r="AJX15">
        <f t="shared" si="316"/>
        <v>0</v>
      </c>
      <c r="AJY15">
        <f t="shared" si="317"/>
        <v>0</v>
      </c>
      <c r="AJZ15">
        <f t="shared" si="37"/>
        <v>0</v>
      </c>
      <c r="AKA15">
        <f t="shared" si="318"/>
        <v>0</v>
      </c>
      <c r="AKB15">
        <f t="shared" si="319"/>
        <v>0</v>
      </c>
      <c r="AKC15">
        <f t="shared" si="320"/>
        <v>0</v>
      </c>
      <c r="AKD15">
        <f t="shared" si="321"/>
        <v>0</v>
      </c>
      <c r="AKE15">
        <f t="shared" si="322"/>
        <v>0</v>
      </c>
      <c r="AKF15">
        <f t="shared" si="323"/>
        <v>0</v>
      </c>
      <c r="AKG15">
        <f t="shared" si="324"/>
        <v>0</v>
      </c>
      <c r="AKH15">
        <f t="shared" si="325"/>
        <v>0</v>
      </c>
      <c r="AKI15">
        <f t="shared" si="326"/>
        <v>0</v>
      </c>
      <c r="AKJ15">
        <f t="shared" si="327"/>
        <v>0</v>
      </c>
      <c r="AKK15">
        <f t="shared" si="328"/>
        <v>0</v>
      </c>
      <c r="AKL15">
        <f t="shared" si="329"/>
        <v>0</v>
      </c>
      <c r="AKM15">
        <f t="shared" si="330"/>
        <v>0</v>
      </c>
      <c r="AKN15">
        <f t="shared" si="331"/>
        <v>0</v>
      </c>
      <c r="AKO15">
        <f t="shared" si="332"/>
        <v>0</v>
      </c>
      <c r="AKP15">
        <f t="shared" si="333"/>
        <v>0</v>
      </c>
      <c r="AKQ15">
        <f t="shared" si="334"/>
        <v>0</v>
      </c>
      <c r="AKR15">
        <f t="shared" si="335"/>
        <v>0</v>
      </c>
      <c r="AKS15">
        <f t="shared" si="336"/>
        <v>0</v>
      </c>
      <c r="AKT15">
        <f t="shared" si="337"/>
        <v>0</v>
      </c>
      <c r="AKU15">
        <f t="shared" si="338"/>
        <v>0</v>
      </c>
      <c r="AKV15">
        <f t="shared" si="339"/>
        <v>0</v>
      </c>
      <c r="AKW15">
        <f t="shared" si="340"/>
        <v>0</v>
      </c>
      <c r="AKX15">
        <f t="shared" si="341"/>
        <v>0</v>
      </c>
      <c r="AKY15">
        <f t="shared" si="342"/>
        <v>0</v>
      </c>
      <c r="AKZ15">
        <f t="shared" si="343"/>
        <v>0</v>
      </c>
      <c r="ALA15">
        <f t="shared" si="344"/>
        <v>0</v>
      </c>
      <c r="ALB15">
        <f t="shared" si="345"/>
        <v>0</v>
      </c>
      <c r="ALC15">
        <f t="shared" si="346"/>
        <v>0</v>
      </c>
      <c r="ALD15">
        <f t="shared" si="347"/>
        <v>0</v>
      </c>
      <c r="ALE15">
        <f t="shared" si="348"/>
        <v>0</v>
      </c>
      <c r="ALF15">
        <f t="shared" si="349"/>
        <v>0</v>
      </c>
      <c r="ALG15">
        <f t="shared" si="350"/>
        <v>0</v>
      </c>
      <c r="ALH15">
        <f t="shared" si="351"/>
        <v>0</v>
      </c>
      <c r="ALI15">
        <f t="shared" si="352"/>
        <v>0</v>
      </c>
      <c r="ALJ15">
        <f t="shared" si="353"/>
        <v>0</v>
      </c>
      <c r="ALK15">
        <f t="shared" si="354"/>
        <v>0</v>
      </c>
      <c r="ALL15">
        <f t="shared" si="355"/>
        <v>0</v>
      </c>
      <c r="ALM15">
        <f t="shared" si="356"/>
        <v>0</v>
      </c>
      <c r="ALN15">
        <f t="shared" si="357"/>
        <v>0</v>
      </c>
      <c r="ALO15">
        <f t="shared" si="358"/>
        <v>0</v>
      </c>
      <c r="ALP15">
        <f t="shared" si="359"/>
        <v>0</v>
      </c>
      <c r="ALQ15">
        <f t="shared" si="360"/>
        <v>0</v>
      </c>
      <c r="ALR15">
        <f t="shared" si="361"/>
        <v>0</v>
      </c>
      <c r="ALS15">
        <f t="shared" si="362"/>
        <v>0</v>
      </c>
      <c r="ALT15">
        <f t="shared" si="363"/>
        <v>0</v>
      </c>
      <c r="ALU15">
        <f t="shared" si="364"/>
        <v>0</v>
      </c>
      <c r="ALV15">
        <f t="shared" si="365"/>
        <v>0</v>
      </c>
      <c r="ALW15">
        <f t="shared" si="366"/>
        <v>0</v>
      </c>
      <c r="ALX15">
        <f t="shared" si="367"/>
        <v>0</v>
      </c>
      <c r="ALY15">
        <f t="shared" si="368"/>
        <v>0</v>
      </c>
      <c r="ALZ15">
        <f t="shared" si="369"/>
        <v>0</v>
      </c>
      <c r="AMA15">
        <f t="shared" si="370"/>
        <v>0</v>
      </c>
      <c r="AMB15">
        <f t="shared" si="371"/>
        <v>0</v>
      </c>
      <c r="AMC15">
        <f t="shared" si="372"/>
        <v>0</v>
      </c>
      <c r="AMD15">
        <f t="shared" si="373"/>
        <v>0</v>
      </c>
      <c r="AME15">
        <f t="shared" si="374"/>
        <v>0</v>
      </c>
      <c r="AMF15">
        <f t="shared" si="375"/>
        <v>0</v>
      </c>
      <c r="AMG15">
        <f t="shared" si="376"/>
        <v>0</v>
      </c>
      <c r="AMH15">
        <f t="shared" si="377"/>
        <v>0</v>
      </c>
      <c r="AMI15">
        <f t="shared" si="378"/>
        <v>0</v>
      </c>
      <c r="AMJ15">
        <f t="shared" si="379"/>
        <v>0</v>
      </c>
      <c r="AMK15">
        <f t="shared" si="380"/>
        <v>0</v>
      </c>
      <c r="AML15">
        <f t="shared" si="38"/>
        <v>0</v>
      </c>
      <c r="AMM15">
        <f t="shared" si="381"/>
        <v>0</v>
      </c>
      <c r="AMN15">
        <f t="shared" si="382"/>
        <v>0</v>
      </c>
      <c r="AMO15">
        <f t="shared" si="383"/>
        <v>0</v>
      </c>
      <c r="AMP15">
        <f t="shared" si="384"/>
        <v>0</v>
      </c>
      <c r="AMQ15">
        <f t="shared" si="385"/>
        <v>0</v>
      </c>
      <c r="AMR15">
        <f t="shared" si="386"/>
        <v>0</v>
      </c>
      <c r="AMS15">
        <f t="shared" si="387"/>
        <v>0</v>
      </c>
      <c r="AMT15">
        <f t="shared" si="388"/>
        <v>0</v>
      </c>
      <c r="AMU15">
        <f t="shared" si="389"/>
        <v>0</v>
      </c>
      <c r="AMV15">
        <f t="shared" si="390"/>
        <v>0</v>
      </c>
      <c r="AMW15">
        <f t="shared" si="391"/>
        <v>0</v>
      </c>
      <c r="AMX15">
        <f t="shared" si="392"/>
        <v>0</v>
      </c>
      <c r="AMY15">
        <f t="shared" si="393"/>
        <v>0</v>
      </c>
      <c r="AMZ15">
        <f t="shared" si="394"/>
        <v>0</v>
      </c>
      <c r="ANA15">
        <f t="shared" si="395"/>
        <v>0</v>
      </c>
      <c r="ANB15">
        <f t="shared" si="396"/>
        <v>0</v>
      </c>
      <c r="ANC15">
        <f t="shared" si="397"/>
        <v>0</v>
      </c>
      <c r="AND15">
        <f t="shared" si="398"/>
        <v>0</v>
      </c>
      <c r="ANE15">
        <f t="shared" si="399"/>
        <v>0</v>
      </c>
      <c r="ANF15">
        <f t="shared" si="400"/>
        <v>0</v>
      </c>
      <c r="ANG15">
        <f t="shared" si="401"/>
        <v>0</v>
      </c>
      <c r="ANH15">
        <f t="shared" si="402"/>
        <v>0</v>
      </c>
      <c r="ANI15">
        <f t="shared" si="403"/>
        <v>0</v>
      </c>
      <c r="ANJ15">
        <f t="shared" si="404"/>
        <v>0</v>
      </c>
      <c r="ANK15">
        <f t="shared" si="405"/>
        <v>0</v>
      </c>
      <c r="ANL15">
        <f t="shared" si="406"/>
        <v>0</v>
      </c>
      <c r="ANM15">
        <f t="shared" si="407"/>
        <v>0</v>
      </c>
      <c r="ANN15">
        <f t="shared" si="408"/>
        <v>0</v>
      </c>
      <c r="ANO15">
        <f t="shared" si="409"/>
        <v>0</v>
      </c>
      <c r="ANP15">
        <f t="shared" si="410"/>
        <v>0</v>
      </c>
      <c r="ANQ15">
        <f t="shared" si="411"/>
        <v>0</v>
      </c>
      <c r="ANR15">
        <f t="shared" si="412"/>
        <v>0</v>
      </c>
      <c r="ANS15">
        <f t="shared" si="413"/>
        <v>0</v>
      </c>
      <c r="ANT15">
        <f t="shared" si="414"/>
        <v>0</v>
      </c>
      <c r="ANU15">
        <f t="shared" si="415"/>
        <v>0</v>
      </c>
      <c r="ANV15">
        <f t="shared" si="416"/>
        <v>0</v>
      </c>
      <c r="ANW15">
        <f t="shared" si="417"/>
        <v>0</v>
      </c>
      <c r="ANX15">
        <f t="shared" si="418"/>
        <v>0</v>
      </c>
      <c r="ANY15">
        <f t="shared" si="419"/>
        <v>0</v>
      </c>
      <c r="ANZ15">
        <f t="shared" si="420"/>
        <v>0</v>
      </c>
      <c r="AOA15">
        <f t="shared" si="421"/>
        <v>0</v>
      </c>
      <c r="AOB15">
        <f t="shared" si="422"/>
        <v>0</v>
      </c>
      <c r="AOC15">
        <f t="shared" si="423"/>
        <v>0</v>
      </c>
      <c r="AOD15">
        <f t="shared" si="424"/>
        <v>0</v>
      </c>
      <c r="AOE15">
        <f t="shared" si="425"/>
        <v>0</v>
      </c>
      <c r="AOF15">
        <f t="shared" si="426"/>
        <v>0</v>
      </c>
      <c r="AOG15">
        <f t="shared" si="427"/>
        <v>0</v>
      </c>
      <c r="AOH15">
        <f t="shared" si="428"/>
        <v>0</v>
      </c>
      <c r="AOI15">
        <f t="shared" si="429"/>
        <v>0</v>
      </c>
      <c r="AOJ15">
        <f t="shared" si="430"/>
        <v>0</v>
      </c>
      <c r="AOK15">
        <f t="shared" si="431"/>
        <v>0</v>
      </c>
      <c r="AOL15">
        <f t="shared" si="432"/>
        <v>0</v>
      </c>
      <c r="AOM15">
        <f t="shared" si="433"/>
        <v>0</v>
      </c>
      <c r="AON15">
        <f t="shared" si="434"/>
        <v>0</v>
      </c>
      <c r="AOO15">
        <f t="shared" si="435"/>
        <v>0</v>
      </c>
      <c r="AOP15">
        <f t="shared" si="436"/>
        <v>0</v>
      </c>
      <c r="AOQ15">
        <f t="shared" si="437"/>
        <v>0</v>
      </c>
      <c r="AOR15">
        <f t="shared" si="438"/>
        <v>0</v>
      </c>
      <c r="AOS15">
        <f t="shared" si="439"/>
        <v>0</v>
      </c>
      <c r="AOT15">
        <f t="shared" si="440"/>
        <v>0</v>
      </c>
      <c r="AOU15">
        <f t="shared" si="441"/>
        <v>0</v>
      </c>
      <c r="AOV15">
        <f t="shared" si="442"/>
        <v>0</v>
      </c>
      <c r="AOW15">
        <f t="shared" si="443"/>
        <v>0</v>
      </c>
      <c r="AOX15">
        <f t="shared" si="39"/>
        <v>0</v>
      </c>
      <c r="AOY15">
        <f t="shared" si="444"/>
        <v>0</v>
      </c>
      <c r="AOZ15">
        <f t="shared" si="445"/>
        <v>0</v>
      </c>
      <c r="APA15">
        <f t="shared" si="446"/>
        <v>0</v>
      </c>
      <c r="APB15">
        <f t="shared" si="447"/>
        <v>0</v>
      </c>
      <c r="APC15">
        <f t="shared" si="448"/>
        <v>0</v>
      </c>
      <c r="APD15">
        <f t="shared" si="449"/>
        <v>0</v>
      </c>
      <c r="APE15">
        <f t="shared" si="450"/>
        <v>0</v>
      </c>
      <c r="APF15">
        <f t="shared" si="451"/>
        <v>0</v>
      </c>
      <c r="APG15">
        <f t="shared" si="452"/>
        <v>0</v>
      </c>
      <c r="APH15">
        <f t="shared" si="453"/>
        <v>0</v>
      </c>
      <c r="API15">
        <f t="shared" si="454"/>
        <v>0</v>
      </c>
      <c r="APJ15">
        <f t="shared" si="455"/>
        <v>0</v>
      </c>
      <c r="APK15">
        <f t="shared" si="456"/>
        <v>0</v>
      </c>
      <c r="APL15">
        <f t="shared" si="457"/>
        <v>0</v>
      </c>
      <c r="APM15">
        <f t="shared" si="458"/>
        <v>0</v>
      </c>
      <c r="APN15">
        <f t="shared" si="459"/>
        <v>0</v>
      </c>
      <c r="APO15">
        <f t="shared" si="460"/>
        <v>0</v>
      </c>
      <c r="APP15">
        <f t="shared" si="461"/>
        <v>0</v>
      </c>
      <c r="APQ15">
        <f t="shared" si="462"/>
        <v>0</v>
      </c>
      <c r="APR15">
        <f t="shared" si="463"/>
        <v>0</v>
      </c>
      <c r="APS15">
        <f t="shared" si="464"/>
        <v>0</v>
      </c>
      <c r="APT15">
        <f t="shared" si="465"/>
        <v>0</v>
      </c>
      <c r="APU15">
        <f t="shared" si="466"/>
        <v>0</v>
      </c>
      <c r="APV15">
        <f t="shared" si="467"/>
        <v>0</v>
      </c>
      <c r="APW15">
        <f t="shared" si="468"/>
        <v>0</v>
      </c>
      <c r="APX15">
        <f t="shared" si="469"/>
        <v>0</v>
      </c>
      <c r="APY15">
        <f t="shared" si="470"/>
        <v>0</v>
      </c>
      <c r="APZ15">
        <f t="shared" si="471"/>
        <v>0</v>
      </c>
      <c r="AQA15">
        <f t="shared" si="472"/>
        <v>0</v>
      </c>
      <c r="AQB15">
        <f t="shared" si="473"/>
        <v>0</v>
      </c>
      <c r="AQC15">
        <f t="shared" si="474"/>
        <v>0</v>
      </c>
      <c r="AQD15">
        <f t="shared" si="475"/>
        <v>0</v>
      </c>
      <c r="AQE15">
        <f t="shared" si="476"/>
        <v>0</v>
      </c>
      <c r="AQF15">
        <f t="shared" si="477"/>
        <v>0</v>
      </c>
      <c r="AQG15">
        <f t="shared" si="478"/>
        <v>0</v>
      </c>
      <c r="AQH15">
        <f t="shared" si="479"/>
        <v>0</v>
      </c>
      <c r="AQI15">
        <f t="shared" si="480"/>
        <v>0</v>
      </c>
      <c r="AQJ15">
        <f t="shared" si="481"/>
        <v>0</v>
      </c>
      <c r="AQK15">
        <f t="shared" si="482"/>
        <v>0</v>
      </c>
      <c r="AQL15">
        <f t="shared" si="483"/>
        <v>0</v>
      </c>
      <c r="AQM15">
        <f t="shared" si="484"/>
        <v>0</v>
      </c>
      <c r="AQN15">
        <f t="shared" si="485"/>
        <v>0</v>
      </c>
      <c r="AQO15">
        <f t="shared" si="486"/>
        <v>0</v>
      </c>
      <c r="AQP15">
        <f t="shared" si="487"/>
        <v>0</v>
      </c>
      <c r="AQQ15">
        <f t="shared" si="488"/>
        <v>0</v>
      </c>
      <c r="AQR15">
        <f t="shared" si="489"/>
        <v>0</v>
      </c>
      <c r="AQS15">
        <f t="shared" si="490"/>
        <v>0</v>
      </c>
      <c r="AQT15">
        <f t="shared" si="491"/>
        <v>0</v>
      </c>
      <c r="AQU15">
        <f t="shared" si="492"/>
        <v>0</v>
      </c>
      <c r="AQV15">
        <f t="shared" si="493"/>
        <v>0</v>
      </c>
      <c r="AQW15">
        <f t="shared" si="494"/>
        <v>0</v>
      </c>
      <c r="AQX15">
        <f t="shared" si="495"/>
        <v>0</v>
      </c>
      <c r="AQY15">
        <f t="shared" si="496"/>
        <v>0</v>
      </c>
      <c r="AQZ15">
        <f t="shared" si="497"/>
        <v>0</v>
      </c>
      <c r="ARA15">
        <f t="shared" si="498"/>
        <v>0</v>
      </c>
      <c r="ARB15">
        <f t="shared" si="499"/>
        <v>0</v>
      </c>
      <c r="ARC15">
        <f t="shared" si="500"/>
        <v>0</v>
      </c>
      <c r="ARD15">
        <f t="shared" si="501"/>
        <v>0</v>
      </c>
      <c r="ARE15">
        <f t="shared" si="502"/>
        <v>0</v>
      </c>
      <c r="ARF15">
        <f t="shared" si="503"/>
        <v>0</v>
      </c>
      <c r="ARG15">
        <f t="shared" si="504"/>
        <v>0</v>
      </c>
      <c r="ARH15">
        <f t="shared" si="505"/>
        <v>0</v>
      </c>
      <c r="ARI15">
        <f t="shared" si="506"/>
        <v>0</v>
      </c>
      <c r="ARJ15">
        <f t="shared" si="40"/>
        <v>0</v>
      </c>
      <c r="ARK15">
        <f t="shared" si="507"/>
        <v>0</v>
      </c>
      <c r="ARL15">
        <f t="shared" si="508"/>
        <v>0</v>
      </c>
      <c r="ARM15">
        <f t="shared" si="509"/>
        <v>0</v>
      </c>
      <c r="ARN15">
        <f t="shared" si="510"/>
        <v>0</v>
      </c>
      <c r="ARO15">
        <f t="shared" si="511"/>
        <v>0</v>
      </c>
      <c r="ARP15">
        <f t="shared" si="512"/>
        <v>0</v>
      </c>
      <c r="ARQ15">
        <f t="shared" si="513"/>
        <v>0</v>
      </c>
      <c r="ARR15">
        <f t="shared" si="514"/>
        <v>0</v>
      </c>
      <c r="ARS15">
        <f t="shared" si="515"/>
        <v>0</v>
      </c>
      <c r="ART15">
        <f t="shared" si="516"/>
        <v>0</v>
      </c>
      <c r="ARU15">
        <f t="shared" si="517"/>
        <v>0</v>
      </c>
      <c r="ARV15">
        <f t="shared" si="518"/>
        <v>0</v>
      </c>
      <c r="ARW15">
        <f t="shared" si="519"/>
        <v>0</v>
      </c>
      <c r="ARX15">
        <f t="shared" si="520"/>
        <v>0</v>
      </c>
      <c r="ARY15">
        <f t="shared" si="521"/>
        <v>0</v>
      </c>
      <c r="ARZ15">
        <f t="shared" si="522"/>
        <v>0</v>
      </c>
      <c r="ASA15">
        <f t="shared" si="523"/>
        <v>0</v>
      </c>
      <c r="ASB15">
        <f t="shared" si="524"/>
        <v>0</v>
      </c>
      <c r="ASC15">
        <f t="shared" si="525"/>
        <v>0</v>
      </c>
      <c r="ASD15">
        <f t="shared" si="526"/>
        <v>0</v>
      </c>
      <c r="ASE15">
        <f t="shared" si="527"/>
        <v>0</v>
      </c>
      <c r="ASF15">
        <f t="shared" si="528"/>
        <v>0</v>
      </c>
      <c r="ASG15">
        <f t="shared" si="529"/>
        <v>0</v>
      </c>
      <c r="ASH15">
        <f t="shared" si="530"/>
        <v>0</v>
      </c>
      <c r="ASI15">
        <f t="shared" si="531"/>
        <v>0</v>
      </c>
      <c r="ASJ15">
        <f t="shared" si="532"/>
        <v>0</v>
      </c>
      <c r="ASK15">
        <f t="shared" si="533"/>
        <v>0</v>
      </c>
      <c r="ASL15">
        <f t="shared" si="534"/>
        <v>0</v>
      </c>
      <c r="ASM15">
        <f t="shared" si="535"/>
        <v>0</v>
      </c>
      <c r="ASN15">
        <f t="shared" si="536"/>
        <v>0</v>
      </c>
      <c r="ASO15">
        <f t="shared" si="537"/>
        <v>0</v>
      </c>
      <c r="ASP15">
        <f t="shared" si="538"/>
        <v>0</v>
      </c>
      <c r="ASQ15">
        <f t="shared" si="539"/>
        <v>0</v>
      </c>
      <c r="ASR15">
        <f t="shared" si="540"/>
        <v>0</v>
      </c>
      <c r="ASS15">
        <f t="shared" si="541"/>
        <v>0</v>
      </c>
      <c r="AST15">
        <f t="shared" si="542"/>
        <v>0</v>
      </c>
      <c r="ASU15">
        <f t="shared" si="543"/>
        <v>0</v>
      </c>
      <c r="ASV15">
        <f t="shared" si="544"/>
        <v>0</v>
      </c>
      <c r="ASW15">
        <f t="shared" si="545"/>
        <v>0</v>
      </c>
      <c r="ASX15">
        <f t="shared" si="546"/>
        <v>0</v>
      </c>
      <c r="ASY15">
        <f t="shared" si="547"/>
        <v>0</v>
      </c>
      <c r="ASZ15">
        <f t="shared" si="548"/>
        <v>0</v>
      </c>
      <c r="ATA15">
        <f t="shared" si="549"/>
        <v>0</v>
      </c>
      <c r="ATB15">
        <f t="shared" si="550"/>
        <v>0</v>
      </c>
      <c r="ATC15">
        <f t="shared" si="551"/>
        <v>0</v>
      </c>
      <c r="ATD15">
        <f t="shared" si="552"/>
        <v>0</v>
      </c>
      <c r="ATE15">
        <f t="shared" si="553"/>
        <v>0</v>
      </c>
      <c r="ATF15">
        <f t="shared" si="554"/>
        <v>0</v>
      </c>
      <c r="ATG15">
        <f t="shared" si="555"/>
        <v>0</v>
      </c>
      <c r="ATH15">
        <f t="shared" si="556"/>
        <v>0</v>
      </c>
      <c r="ATI15">
        <f t="shared" si="557"/>
        <v>0</v>
      </c>
      <c r="ATJ15">
        <f t="shared" si="558"/>
        <v>0</v>
      </c>
      <c r="ATK15">
        <f t="shared" si="559"/>
        <v>0</v>
      </c>
      <c r="ATL15">
        <f t="shared" si="560"/>
        <v>0</v>
      </c>
      <c r="ATM15">
        <f t="shared" si="561"/>
        <v>0</v>
      </c>
      <c r="ATN15">
        <f t="shared" si="562"/>
        <v>0</v>
      </c>
      <c r="ATO15">
        <f t="shared" si="563"/>
        <v>0</v>
      </c>
      <c r="ATP15">
        <f t="shared" si="564"/>
        <v>0</v>
      </c>
      <c r="ATQ15">
        <f t="shared" si="565"/>
        <v>0</v>
      </c>
      <c r="ATR15">
        <f t="shared" si="566"/>
        <v>0</v>
      </c>
      <c r="ATS15">
        <f t="shared" si="567"/>
        <v>0</v>
      </c>
      <c r="ATT15">
        <f t="shared" si="568"/>
        <v>0</v>
      </c>
      <c r="ATU15">
        <f t="shared" si="569"/>
        <v>0</v>
      </c>
      <c r="ATV15">
        <f t="shared" si="41"/>
        <v>0</v>
      </c>
      <c r="ATW15">
        <f t="shared" si="570"/>
        <v>0</v>
      </c>
      <c r="ATX15">
        <f t="shared" si="571"/>
        <v>0</v>
      </c>
      <c r="ATY15">
        <f t="shared" si="572"/>
        <v>0</v>
      </c>
      <c r="ATZ15">
        <f t="shared" si="573"/>
        <v>0</v>
      </c>
      <c r="AUA15">
        <f t="shared" si="574"/>
        <v>0</v>
      </c>
      <c r="AUB15">
        <f t="shared" si="575"/>
        <v>0</v>
      </c>
      <c r="AUC15">
        <f t="shared" si="576"/>
        <v>0</v>
      </c>
      <c r="AUD15">
        <f t="shared" si="577"/>
        <v>0</v>
      </c>
      <c r="AUE15">
        <f t="shared" si="578"/>
        <v>0</v>
      </c>
      <c r="AUF15">
        <f t="shared" si="579"/>
        <v>0</v>
      </c>
      <c r="AUG15">
        <f t="shared" si="580"/>
        <v>0</v>
      </c>
      <c r="AUH15">
        <f t="shared" si="581"/>
        <v>0</v>
      </c>
      <c r="AUI15">
        <f t="shared" si="582"/>
        <v>0</v>
      </c>
      <c r="AUJ15">
        <f t="shared" si="583"/>
        <v>0</v>
      </c>
      <c r="AUK15">
        <f t="shared" si="584"/>
        <v>0</v>
      </c>
      <c r="AUL15">
        <f t="shared" si="585"/>
        <v>0</v>
      </c>
      <c r="AUM15">
        <f t="shared" si="586"/>
        <v>0</v>
      </c>
      <c r="AUN15">
        <f t="shared" si="587"/>
        <v>0</v>
      </c>
      <c r="AUO15">
        <f t="shared" si="588"/>
        <v>0</v>
      </c>
      <c r="AUP15">
        <f t="shared" si="589"/>
        <v>0</v>
      </c>
      <c r="AUQ15">
        <f t="shared" si="590"/>
        <v>0</v>
      </c>
      <c r="AUR15">
        <f t="shared" si="591"/>
        <v>0</v>
      </c>
      <c r="AUS15">
        <f t="shared" si="592"/>
        <v>0</v>
      </c>
      <c r="AUT15">
        <f t="shared" si="593"/>
        <v>0</v>
      </c>
      <c r="AUU15">
        <f t="shared" si="594"/>
        <v>0</v>
      </c>
      <c r="AUV15">
        <f t="shared" si="595"/>
        <v>0</v>
      </c>
      <c r="AUW15">
        <f t="shared" si="596"/>
        <v>0</v>
      </c>
      <c r="AUX15">
        <f t="shared" si="597"/>
        <v>0</v>
      </c>
      <c r="AUY15">
        <f t="shared" si="598"/>
        <v>0</v>
      </c>
      <c r="AUZ15">
        <f t="shared" si="599"/>
        <v>0</v>
      </c>
      <c r="AVA15">
        <f t="shared" si="600"/>
        <v>0</v>
      </c>
      <c r="AVB15">
        <f t="shared" si="601"/>
        <v>0</v>
      </c>
      <c r="AVC15">
        <f t="shared" si="602"/>
        <v>0</v>
      </c>
      <c r="AVD15">
        <f t="shared" si="603"/>
        <v>0</v>
      </c>
      <c r="AVE15">
        <f t="shared" si="604"/>
        <v>0</v>
      </c>
      <c r="AVF15">
        <f t="shared" si="605"/>
        <v>0</v>
      </c>
      <c r="AVG15">
        <f t="shared" si="606"/>
        <v>0</v>
      </c>
      <c r="AVH15">
        <f t="shared" si="607"/>
        <v>0</v>
      </c>
      <c r="AVI15">
        <f t="shared" si="608"/>
        <v>0</v>
      </c>
      <c r="AVJ15">
        <f t="shared" si="609"/>
        <v>0</v>
      </c>
      <c r="AVK15">
        <f t="shared" si="610"/>
        <v>0</v>
      </c>
      <c r="AVL15">
        <f t="shared" si="611"/>
        <v>0</v>
      </c>
      <c r="AVM15">
        <f t="shared" si="612"/>
        <v>0</v>
      </c>
      <c r="AVN15">
        <f t="shared" si="613"/>
        <v>0</v>
      </c>
      <c r="AVO15">
        <f t="shared" si="614"/>
        <v>0</v>
      </c>
      <c r="AVP15">
        <f t="shared" si="615"/>
        <v>0</v>
      </c>
      <c r="AVQ15">
        <f t="shared" si="616"/>
        <v>0</v>
      </c>
      <c r="AVR15">
        <f t="shared" si="617"/>
        <v>0</v>
      </c>
      <c r="AVS15">
        <f t="shared" si="618"/>
        <v>0</v>
      </c>
      <c r="AVT15">
        <f t="shared" si="619"/>
        <v>0</v>
      </c>
      <c r="AVU15">
        <f t="shared" si="620"/>
        <v>0</v>
      </c>
      <c r="AVV15">
        <f t="shared" si="621"/>
        <v>0</v>
      </c>
      <c r="AVW15">
        <f t="shared" si="622"/>
        <v>0</v>
      </c>
      <c r="AVX15">
        <f t="shared" si="623"/>
        <v>0</v>
      </c>
      <c r="AVY15">
        <f t="shared" si="624"/>
        <v>0</v>
      </c>
      <c r="AVZ15">
        <f t="shared" si="625"/>
        <v>0</v>
      </c>
      <c r="AWA15">
        <f t="shared" si="626"/>
        <v>0</v>
      </c>
      <c r="AWB15">
        <f t="shared" si="627"/>
        <v>0</v>
      </c>
      <c r="AWC15">
        <f t="shared" si="628"/>
        <v>0</v>
      </c>
      <c r="AWD15">
        <f t="shared" si="629"/>
        <v>0</v>
      </c>
      <c r="AWE15">
        <f t="shared" si="630"/>
        <v>0</v>
      </c>
      <c r="AWF15">
        <f t="shared" si="631"/>
        <v>0</v>
      </c>
      <c r="AWG15">
        <f t="shared" si="632"/>
        <v>0</v>
      </c>
      <c r="AWH15">
        <f t="shared" si="42"/>
        <v>0</v>
      </c>
      <c r="AWI15">
        <f t="shared" si="633"/>
        <v>0</v>
      </c>
      <c r="AWJ15">
        <f t="shared" si="634"/>
        <v>0</v>
      </c>
      <c r="AWK15">
        <f t="shared" si="635"/>
        <v>0</v>
      </c>
      <c r="AWL15">
        <f t="shared" si="636"/>
        <v>0</v>
      </c>
      <c r="AWM15">
        <f t="shared" si="637"/>
        <v>0</v>
      </c>
      <c r="AWN15">
        <f t="shared" si="638"/>
        <v>0</v>
      </c>
      <c r="AWO15">
        <f t="shared" si="639"/>
        <v>0</v>
      </c>
      <c r="AWP15">
        <f t="shared" si="640"/>
        <v>0</v>
      </c>
      <c r="AWQ15">
        <f t="shared" si="641"/>
        <v>0</v>
      </c>
      <c r="AWR15">
        <f t="shared" si="642"/>
        <v>0</v>
      </c>
      <c r="AWS15">
        <f t="shared" si="643"/>
        <v>0</v>
      </c>
      <c r="AWT15">
        <f t="shared" si="644"/>
        <v>0</v>
      </c>
      <c r="AWU15">
        <f t="shared" si="645"/>
        <v>0</v>
      </c>
      <c r="AWV15">
        <f t="shared" si="646"/>
        <v>0</v>
      </c>
      <c r="AWW15">
        <f t="shared" si="647"/>
        <v>0</v>
      </c>
      <c r="AWX15">
        <f t="shared" si="648"/>
        <v>0</v>
      </c>
      <c r="AWY15">
        <f t="shared" si="649"/>
        <v>0</v>
      </c>
      <c r="AWZ15">
        <f t="shared" si="650"/>
        <v>0</v>
      </c>
      <c r="AXA15">
        <f t="shared" si="651"/>
        <v>0</v>
      </c>
      <c r="AXB15">
        <f t="shared" si="652"/>
        <v>0</v>
      </c>
      <c r="AXC15">
        <f t="shared" si="653"/>
        <v>0</v>
      </c>
      <c r="AXD15">
        <f t="shared" si="654"/>
        <v>0</v>
      </c>
      <c r="AXE15">
        <f t="shared" si="655"/>
        <v>0</v>
      </c>
      <c r="AXF15">
        <f t="shared" si="656"/>
        <v>0</v>
      </c>
      <c r="AXG15">
        <f t="shared" si="657"/>
        <v>0</v>
      </c>
      <c r="AXH15">
        <f t="shared" si="658"/>
        <v>0</v>
      </c>
      <c r="AXI15">
        <f t="shared" si="659"/>
        <v>0</v>
      </c>
      <c r="AXJ15">
        <f t="shared" si="660"/>
        <v>0</v>
      </c>
      <c r="AXK15">
        <f t="shared" si="661"/>
        <v>0</v>
      </c>
      <c r="AXL15">
        <f t="shared" si="662"/>
        <v>0</v>
      </c>
      <c r="AXM15">
        <f t="shared" si="663"/>
        <v>0</v>
      </c>
      <c r="AXN15">
        <f t="shared" si="664"/>
        <v>0</v>
      </c>
      <c r="AXO15">
        <f t="shared" si="665"/>
        <v>0</v>
      </c>
      <c r="AXP15">
        <f t="shared" si="666"/>
        <v>0</v>
      </c>
      <c r="AXQ15">
        <f t="shared" si="667"/>
        <v>0</v>
      </c>
      <c r="AXR15">
        <f t="shared" si="668"/>
        <v>0</v>
      </c>
      <c r="AXS15">
        <f t="shared" si="669"/>
        <v>0</v>
      </c>
      <c r="AXT15">
        <f t="shared" si="670"/>
        <v>0</v>
      </c>
      <c r="AXU15">
        <f t="shared" si="671"/>
        <v>0</v>
      </c>
      <c r="AXV15">
        <f t="shared" si="672"/>
        <v>0</v>
      </c>
      <c r="AXW15">
        <f t="shared" si="673"/>
        <v>0</v>
      </c>
      <c r="AXX15">
        <f t="shared" si="674"/>
        <v>0</v>
      </c>
      <c r="AXY15">
        <f t="shared" si="675"/>
        <v>0</v>
      </c>
      <c r="AXZ15">
        <f t="shared" si="676"/>
        <v>0</v>
      </c>
      <c r="AYA15">
        <f t="shared" si="677"/>
        <v>0</v>
      </c>
      <c r="AYB15">
        <f t="shared" si="678"/>
        <v>0</v>
      </c>
      <c r="AYC15">
        <f t="shared" si="679"/>
        <v>0</v>
      </c>
      <c r="AYD15">
        <f t="shared" si="680"/>
        <v>0</v>
      </c>
      <c r="AYE15">
        <f t="shared" si="681"/>
        <v>0</v>
      </c>
      <c r="AYF15">
        <f t="shared" si="682"/>
        <v>0</v>
      </c>
      <c r="AYG15">
        <f t="shared" si="683"/>
        <v>0</v>
      </c>
      <c r="AYH15">
        <f t="shared" si="684"/>
        <v>0</v>
      </c>
      <c r="AYI15">
        <f t="shared" si="685"/>
        <v>0</v>
      </c>
      <c r="AYJ15">
        <f t="shared" si="686"/>
        <v>0</v>
      </c>
      <c r="AYK15">
        <f t="shared" si="687"/>
        <v>0</v>
      </c>
      <c r="AYL15">
        <f t="shared" si="688"/>
        <v>0</v>
      </c>
      <c r="AYM15">
        <f t="shared" si="689"/>
        <v>0</v>
      </c>
      <c r="AYN15">
        <f t="shared" si="690"/>
        <v>0</v>
      </c>
      <c r="AYO15">
        <f t="shared" si="691"/>
        <v>0</v>
      </c>
      <c r="AYP15">
        <f t="shared" si="692"/>
        <v>0</v>
      </c>
      <c r="AYQ15">
        <f t="shared" si="693"/>
        <v>0</v>
      </c>
      <c r="AYR15">
        <f t="shared" si="694"/>
        <v>0</v>
      </c>
      <c r="AYS15">
        <f t="shared" si="695"/>
        <v>0</v>
      </c>
      <c r="AYT15">
        <f t="shared" si="43"/>
        <v>0</v>
      </c>
      <c r="AYU15">
        <f t="shared" si="696"/>
        <v>0</v>
      </c>
      <c r="AYV15">
        <f t="shared" si="697"/>
        <v>0</v>
      </c>
      <c r="AYW15">
        <f t="shared" si="698"/>
        <v>0</v>
      </c>
      <c r="AYX15">
        <f t="shared" si="699"/>
        <v>0</v>
      </c>
      <c r="AYY15">
        <f t="shared" si="700"/>
        <v>0</v>
      </c>
      <c r="AYZ15">
        <f t="shared" si="701"/>
        <v>0</v>
      </c>
      <c r="AZA15">
        <f t="shared" si="702"/>
        <v>0</v>
      </c>
      <c r="AZB15">
        <f t="shared" si="703"/>
        <v>0</v>
      </c>
      <c r="AZC15">
        <f t="shared" si="704"/>
        <v>0</v>
      </c>
      <c r="AZD15">
        <f t="shared" si="705"/>
        <v>0</v>
      </c>
      <c r="AZE15">
        <f t="shared" si="706"/>
        <v>0</v>
      </c>
      <c r="AZF15">
        <f t="shared" si="707"/>
        <v>0</v>
      </c>
      <c r="AZG15">
        <f t="shared" si="708"/>
        <v>0</v>
      </c>
      <c r="AZH15">
        <f t="shared" si="709"/>
        <v>0</v>
      </c>
      <c r="AZI15">
        <f t="shared" si="710"/>
        <v>0</v>
      </c>
      <c r="AZJ15">
        <f t="shared" si="711"/>
        <v>0</v>
      </c>
      <c r="AZK15">
        <f t="shared" si="712"/>
        <v>0</v>
      </c>
      <c r="AZL15">
        <f t="shared" si="713"/>
        <v>0</v>
      </c>
      <c r="AZM15">
        <f t="shared" si="714"/>
        <v>0</v>
      </c>
      <c r="AZN15">
        <f t="shared" si="715"/>
        <v>0</v>
      </c>
      <c r="AZO15">
        <f t="shared" si="716"/>
        <v>0</v>
      </c>
      <c r="AZP15">
        <f t="shared" si="717"/>
        <v>0</v>
      </c>
      <c r="AZQ15">
        <f t="shared" si="718"/>
        <v>0</v>
      </c>
      <c r="AZR15">
        <f t="shared" si="719"/>
        <v>0</v>
      </c>
      <c r="AZS15">
        <f t="shared" si="720"/>
        <v>0</v>
      </c>
      <c r="AZT15">
        <f t="shared" si="721"/>
        <v>0</v>
      </c>
      <c r="AZU15">
        <f t="shared" si="722"/>
        <v>0</v>
      </c>
      <c r="AZV15">
        <f t="shared" si="723"/>
        <v>0</v>
      </c>
      <c r="AZW15">
        <f t="shared" si="724"/>
        <v>0</v>
      </c>
      <c r="AZX15">
        <f t="shared" si="725"/>
        <v>0</v>
      </c>
      <c r="AZY15">
        <f t="shared" si="726"/>
        <v>0</v>
      </c>
      <c r="AZZ15">
        <f t="shared" si="727"/>
        <v>0</v>
      </c>
      <c r="BAA15">
        <f t="shared" si="728"/>
        <v>0</v>
      </c>
      <c r="BAB15">
        <f t="shared" si="729"/>
        <v>0</v>
      </c>
      <c r="BAC15">
        <f t="shared" si="730"/>
        <v>0</v>
      </c>
      <c r="BAD15">
        <f t="shared" si="731"/>
        <v>0</v>
      </c>
      <c r="BAE15">
        <f t="shared" si="732"/>
        <v>0</v>
      </c>
      <c r="BAF15">
        <f t="shared" si="733"/>
        <v>0</v>
      </c>
      <c r="BAG15">
        <f t="shared" si="734"/>
        <v>0</v>
      </c>
      <c r="BAH15">
        <f t="shared" si="735"/>
        <v>0</v>
      </c>
      <c r="BAI15">
        <f t="shared" si="736"/>
        <v>0</v>
      </c>
      <c r="BAJ15">
        <f t="shared" si="737"/>
        <v>0</v>
      </c>
      <c r="BAK15">
        <f t="shared" si="738"/>
        <v>0</v>
      </c>
      <c r="BAL15">
        <f t="shared" si="739"/>
        <v>0</v>
      </c>
      <c r="BAM15">
        <f t="shared" si="740"/>
        <v>0</v>
      </c>
      <c r="BAN15">
        <f t="shared" si="741"/>
        <v>0</v>
      </c>
      <c r="BAO15">
        <f t="shared" si="742"/>
        <v>0</v>
      </c>
      <c r="BAP15">
        <f t="shared" si="743"/>
        <v>0</v>
      </c>
      <c r="BAQ15">
        <f t="shared" si="744"/>
        <v>0</v>
      </c>
      <c r="BAR15">
        <f t="shared" si="745"/>
        <v>0</v>
      </c>
      <c r="BAS15">
        <f t="shared" si="746"/>
        <v>0</v>
      </c>
      <c r="BAT15">
        <f t="shared" si="747"/>
        <v>0</v>
      </c>
      <c r="BAU15">
        <f t="shared" si="748"/>
        <v>0</v>
      </c>
      <c r="BAV15">
        <f t="shared" si="749"/>
        <v>0</v>
      </c>
      <c r="BAW15">
        <f t="shared" si="750"/>
        <v>0</v>
      </c>
      <c r="BAX15">
        <f t="shared" si="751"/>
        <v>0</v>
      </c>
      <c r="BAY15">
        <f t="shared" si="752"/>
        <v>0</v>
      </c>
      <c r="BAZ15">
        <f t="shared" si="753"/>
        <v>0</v>
      </c>
      <c r="BBA15">
        <f t="shared" si="754"/>
        <v>0</v>
      </c>
      <c r="BBB15">
        <f t="shared" si="755"/>
        <v>0</v>
      </c>
      <c r="BBC15">
        <f t="shared" si="756"/>
        <v>0</v>
      </c>
      <c r="BBD15">
        <f t="shared" si="757"/>
        <v>0</v>
      </c>
      <c r="BBE15">
        <f t="shared" si="758"/>
        <v>0</v>
      </c>
      <c r="BBF15">
        <f t="shared" si="44"/>
        <v>0</v>
      </c>
      <c r="BBG15">
        <f t="shared" si="759"/>
        <v>0</v>
      </c>
      <c r="BBH15">
        <f t="shared" si="760"/>
        <v>0</v>
      </c>
      <c r="BBI15">
        <f t="shared" si="761"/>
        <v>0</v>
      </c>
      <c r="BBJ15">
        <f t="shared" si="762"/>
        <v>0</v>
      </c>
      <c r="BBK15">
        <f t="shared" si="763"/>
        <v>0</v>
      </c>
      <c r="BBL15">
        <f t="shared" si="764"/>
        <v>0</v>
      </c>
      <c r="BBM15">
        <f t="shared" si="765"/>
        <v>0</v>
      </c>
      <c r="BBN15">
        <f t="shared" si="766"/>
        <v>0</v>
      </c>
      <c r="BBO15">
        <f t="shared" si="767"/>
        <v>0</v>
      </c>
      <c r="BBP15">
        <f t="shared" si="768"/>
        <v>0</v>
      </c>
      <c r="BBQ15">
        <f t="shared" si="769"/>
        <v>0</v>
      </c>
      <c r="BBR15">
        <f t="shared" si="770"/>
        <v>0</v>
      </c>
      <c r="BBS15">
        <f t="shared" si="771"/>
        <v>0</v>
      </c>
      <c r="BBT15">
        <f t="shared" si="772"/>
        <v>0</v>
      </c>
      <c r="BBU15">
        <f t="shared" si="773"/>
        <v>0</v>
      </c>
      <c r="BBV15">
        <f t="shared" si="774"/>
        <v>0</v>
      </c>
      <c r="BBW15">
        <f t="shared" si="775"/>
        <v>0</v>
      </c>
      <c r="BBX15">
        <f t="shared" si="776"/>
        <v>0</v>
      </c>
      <c r="BBY15">
        <f t="shared" si="777"/>
        <v>0</v>
      </c>
      <c r="BBZ15">
        <f t="shared" si="778"/>
        <v>0</v>
      </c>
      <c r="BCA15">
        <f t="shared" si="779"/>
        <v>0</v>
      </c>
      <c r="BCB15">
        <f t="shared" si="780"/>
        <v>0</v>
      </c>
      <c r="BCC15">
        <f t="shared" si="781"/>
        <v>0</v>
      </c>
      <c r="BCD15">
        <f t="shared" si="782"/>
        <v>0</v>
      </c>
      <c r="BCE15">
        <f t="shared" si="783"/>
        <v>0</v>
      </c>
      <c r="BCF15">
        <f t="shared" si="784"/>
        <v>0</v>
      </c>
      <c r="BCG15">
        <f t="shared" si="785"/>
        <v>0</v>
      </c>
      <c r="BCH15">
        <f t="shared" si="786"/>
        <v>0</v>
      </c>
      <c r="BCI15">
        <f t="shared" si="787"/>
        <v>0</v>
      </c>
      <c r="BCJ15">
        <f t="shared" si="788"/>
        <v>0</v>
      </c>
      <c r="BCK15">
        <f t="shared" si="789"/>
        <v>0</v>
      </c>
      <c r="BCL15">
        <f t="shared" si="790"/>
        <v>0</v>
      </c>
      <c r="BCM15">
        <f t="shared" si="791"/>
        <v>0</v>
      </c>
      <c r="BCN15">
        <f t="shared" si="792"/>
        <v>0</v>
      </c>
      <c r="BCO15">
        <f t="shared" si="793"/>
        <v>0</v>
      </c>
      <c r="BCP15">
        <f t="shared" si="794"/>
        <v>0</v>
      </c>
      <c r="BCQ15">
        <f t="shared" si="795"/>
        <v>0</v>
      </c>
      <c r="BCR15">
        <f t="shared" si="796"/>
        <v>0</v>
      </c>
      <c r="BCS15">
        <f t="shared" si="797"/>
        <v>0</v>
      </c>
      <c r="BCT15">
        <f t="shared" si="798"/>
        <v>0</v>
      </c>
      <c r="BCU15">
        <f t="shared" si="799"/>
        <v>0</v>
      </c>
      <c r="BCV15">
        <f t="shared" si="800"/>
        <v>0</v>
      </c>
      <c r="BCW15">
        <f t="shared" si="801"/>
        <v>0</v>
      </c>
      <c r="BCX15">
        <f t="shared" si="802"/>
        <v>0</v>
      </c>
      <c r="BCY15">
        <f t="shared" si="803"/>
        <v>0</v>
      </c>
      <c r="BCZ15">
        <f t="shared" si="804"/>
        <v>0</v>
      </c>
      <c r="BDA15">
        <f t="shared" si="805"/>
        <v>0</v>
      </c>
      <c r="BDB15">
        <f t="shared" si="806"/>
        <v>0</v>
      </c>
      <c r="BDC15">
        <f t="shared" si="807"/>
        <v>0</v>
      </c>
      <c r="BDD15">
        <f t="shared" si="808"/>
        <v>0</v>
      </c>
      <c r="BDE15">
        <f t="shared" si="809"/>
        <v>0</v>
      </c>
      <c r="BDF15">
        <f t="shared" si="810"/>
        <v>0</v>
      </c>
      <c r="BDG15">
        <f t="shared" si="811"/>
        <v>0</v>
      </c>
      <c r="BDH15">
        <f t="shared" si="812"/>
        <v>0</v>
      </c>
      <c r="BDI15">
        <f t="shared" si="813"/>
        <v>0</v>
      </c>
      <c r="BDJ15">
        <f t="shared" si="814"/>
        <v>0</v>
      </c>
      <c r="BDK15">
        <f t="shared" si="815"/>
        <v>0</v>
      </c>
      <c r="BDL15">
        <f t="shared" si="816"/>
        <v>0</v>
      </c>
      <c r="BDM15">
        <f t="shared" si="817"/>
        <v>0</v>
      </c>
      <c r="BDN15">
        <f t="shared" si="818"/>
        <v>0</v>
      </c>
      <c r="BDO15">
        <f t="shared" si="819"/>
        <v>0</v>
      </c>
      <c r="BDP15">
        <f t="shared" si="820"/>
        <v>0</v>
      </c>
      <c r="BDQ15">
        <f t="shared" si="821"/>
        <v>0</v>
      </c>
      <c r="BDR15">
        <f t="shared" si="45"/>
        <v>0</v>
      </c>
      <c r="BDS15">
        <f t="shared" si="822"/>
        <v>0</v>
      </c>
      <c r="BDT15">
        <f t="shared" si="823"/>
        <v>0</v>
      </c>
      <c r="BDU15">
        <f t="shared" si="824"/>
        <v>0</v>
      </c>
      <c r="BDV15">
        <f t="shared" si="825"/>
        <v>0</v>
      </c>
      <c r="BDW15">
        <f t="shared" si="826"/>
        <v>0</v>
      </c>
      <c r="BDX15">
        <f t="shared" si="827"/>
        <v>0</v>
      </c>
      <c r="BDY15">
        <f t="shared" si="828"/>
        <v>0</v>
      </c>
      <c r="BDZ15">
        <f t="shared" si="829"/>
        <v>0</v>
      </c>
      <c r="BEA15">
        <f t="shared" si="830"/>
        <v>0</v>
      </c>
      <c r="BEB15">
        <f t="shared" si="831"/>
        <v>0</v>
      </c>
      <c r="BEC15">
        <f t="shared" si="832"/>
        <v>0</v>
      </c>
      <c r="BED15">
        <f t="shared" si="833"/>
        <v>0</v>
      </c>
      <c r="BEE15">
        <f t="shared" si="834"/>
        <v>0</v>
      </c>
      <c r="BEF15">
        <f t="shared" si="835"/>
        <v>0</v>
      </c>
      <c r="BEG15">
        <f t="shared" si="836"/>
        <v>0</v>
      </c>
      <c r="BEH15">
        <f t="shared" si="837"/>
        <v>0</v>
      </c>
      <c r="BEI15">
        <f t="shared" si="838"/>
        <v>0</v>
      </c>
      <c r="BEJ15">
        <f t="shared" si="839"/>
        <v>0</v>
      </c>
      <c r="BEK15">
        <f t="shared" si="840"/>
        <v>0</v>
      </c>
      <c r="BEL15">
        <f t="shared" si="841"/>
        <v>0</v>
      </c>
      <c r="BEM15">
        <f t="shared" si="842"/>
        <v>0</v>
      </c>
      <c r="BEN15">
        <f t="shared" si="843"/>
        <v>0</v>
      </c>
      <c r="BEO15">
        <f t="shared" si="844"/>
        <v>0</v>
      </c>
      <c r="BEP15">
        <f t="shared" si="845"/>
        <v>0</v>
      </c>
      <c r="BEQ15">
        <f t="shared" si="846"/>
        <v>0</v>
      </c>
      <c r="BER15">
        <f t="shared" si="847"/>
        <v>0</v>
      </c>
      <c r="BES15">
        <f t="shared" si="848"/>
        <v>0</v>
      </c>
      <c r="BET15">
        <f t="shared" si="849"/>
        <v>0</v>
      </c>
      <c r="BEU15">
        <f t="shared" si="850"/>
        <v>0</v>
      </c>
      <c r="BEV15">
        <f t="shared" si="851"/>
        <v>0</v>
      </c>
      <c r="BEW15">
        <f t="shared" si="852"/>
        <v>0</v>
      </c>
      <c r="BEX15">
        <f t="shared" si="853"/>
        <v>0</v>
      </c>
      <c r="BEY15">
        <f t="shared" si="854"/>
        <v>0</v>
      </c>
      <c r="BEZ15">
        <f t="shared" si="855"/>
        <v>0</v>
      </c>
      <c r="BFA15">
        <f t="shared" si="856"/>
        <v>0</v>
      </c>
      <c r="BFB15">
        <f t="shared" si="857"/>
        <v>0</v>
      </c>
      <c r="BFC15">
        <f t="shared" si="858"/>
        <v>0</v>
      </c>
      <c r="BFD15">
        <f t="shared" si="859"/>
        <v>0</v>
      </c>
      <c r="BFE15">
        <f t="shared" si="860"/>
        <v>0</v>
      </c>
      <c r="BFF15">
        <f t="shared" si="861"/>
        <v>0</v>
      </c>
      <c r="BFG15">
        <f t="shared" si="862"/>
        <v>0</v>
      </c>
      <c r="BFH15">
        <f t="shared" si="863"/>
        <v>0</v>
      </c>
      <c r="BFI15">
        <f t="shared" si="864"/>
        <v>0</v>
      </c>
      <c r="BFJ15">
        <f t="shared" si="865"/>
        <v>0</v>
      </c>
      <c r="BFK15">
        <f t="shared" si="866"/>
        <v>0</v>
      </c>
      <c r="BFL15">
        <f t="shared" si="867"/>
        <v>0</v>
      </c>
      <c r="BFM15">
        <f t="shared" si="868"/>
        <v>0</v>
      </c>
      <c r="BFN15">
        <f t="shared" si="869"/>
        <v>0</v>
      </c>
      <c r="BFO15">
        <f t="shared" si="870"/>
        <v>0</v>
      </c>
      <c r="BFP15">
        <f t="shared" si="871"/>
        <v>0</v>
      </c>
      <c r="BFQ15">
        <f t="shared" si="872"/>
        <v>0</v>
      </c>
      <c r="BFR15">
        <f t="shared" si="873"/>
        <v>0</v>
      </c>
      <c r="BFS15">
        <f t="shared" si="874"/>
        <v>0</v>
      </c>
      <c r="BFT15">
        <f t="shared" si="875"/>
        <v>0</v>
      </c>
      <c r="BFU15">
        <f t="shared" si="876"/>
        <v>0</v>
      </c>
      <c r="BFV15">
        <f t="shared" si="877"/>
        <v>0</v>
      </c>
      <c r="BFW15">
        <f t="shared" si="878"/>
        <v>0</v>
      </c>
      <c r="BFX15">
        <f t="shared" si="879"/>
        <v>0</v>
      </c>
      <c r="BFY15">
        <f t="shared" si="880"/>
        <v>0</v>
      </c>
      <c r="BFZ15">
        <f t="shared" si="881"/>
        <v>0</v>
      </c>
      <c r="BGA15">
        <f t="shared" si="882"/>
        <v>0</v>
      </c>
      <c r="BGB15">
        <f t="shared" si="883"/>
        <v>0</v>
      </c>
      <c r="BGC15">
        <f t="shared" si="884"/>
        <v>0</v>
      </c>
      <c r="BGD15">
        <f t="shared" si="46"/>
        <v>0</v>
      </c>
      <c r="BGE15">
        <f t="shared" si="885"/>
        <v>0</v>
      </c>
      <c r="BGF15">
        <f t="shared" si="886"/>
        <v>0</v>
      </c>
      <c r="BGG15">
        <f t="shared" si="887"/>
        <v>0</v>
      </c>
      <c r="BGH15">
        <f t="shared" si="888"/>
        <v>0</v>
      </c>
      <c r="BGI15">
        <f t="shared" si="889"/>
        <v>0</v>
      </c>
      <c r="BGJ15">
        <f t="shared" si="890"/>
        <v>0</v>
      </c>
      <c r="BGK15">
        <f t="shared" si="891"/>
        <v>0</v>
      </c>
      <c r="BGL15">
        <f t="shared" si="892"/>
        <v>0</v>
      </c>
      <c r="BGM15">
        <f t="shared" si="893"/>
        <v>0</v>
      </c>
      <c r="BGN15">
        <f t="shared" si="894"/>
        <v>0</v>
      </c>
      <c r="BGO15">
        <f t="shared" si="895"/>
        <v>0</v>
      </c>
      <c r="BGP15">
        <f t="shared" si="896"/>
        <v>0</v>
      </c>
      <c r="BGQ15">
        <f t="shared" si="897"/>
        <v>0</v>
      </c>
      <c r="BGR15">
        <f t="shared" si="898"/>
        <v>0</v>
      </c>
      <c r="BGS15">
        <f t="shared" si="899"/>
        <v>0</v>
      </c>
      <c r="BGT15">
        <f t="shared" si="900"/>
        <v>0</v>
      </c>
      <c r="BGU15">
        <f t="shared" si="901"/>
        <v>0</v>
      </c>
      <c r="BGV15">
        <f t="shared" si="902"/>
        <v>0</v>
      </c>
      <c r="BGW15">
        <f t="shared" si="903"/>
        <v>0</v>
      </c>
      <c r="BGX15">
        <f t="shared" si="904"/>
        <v>0</v>
      </c>
      <c r="BGY15">
        <f t="shared" si="905"/>
        <v>0</v>
      </c>
      <c r="BGZ15">
        <f t="shared" si="906"/>
        <v>0</v>
      </c>
      <c r="BHA15">
        <f t="shared" si="907"/>
        <v>0</v>
      </c>
      <c r="BHB15">
        <f t="shared" si="908"/>
        <v>0</v>
      </c>
      <c r="BHC15">
        <f t="shared" si="909"/>
        <v>0</v>
      </c>
      <c r="BHD15">
        <f t="shared" si="910"/>
        <v>0</v>
      </c>
      <c r="BHE15">
        <f t="shared" si="911"/>
        <v>0</v>
      </c>
      <c r="BHF15">
        <f t="shared" si="912"/>
        <v>0</v>
      </c>
      <c r="BHG15">
        <f t="shared" si="913"/>
        <v>0</v>
      </c>
      <c r="BHH15">
        <f t="shared" si="914"/>
        <v>0</v>
      </c>
      <c r="BHI15">
        <f t="shared" si="915"/>
        <v>0</v>
      </c>
      <c r="BHJ15">
        <f t="shared" si="916"/>
        <v>0</v>
      </c>
      <c r="BHK15">
        <f t="shared" si="917"/>
        <v>0</v>
      </c>
      <c r="BHL15">
        <f t="shared" si="918"/>
        <v>0</v>
      </c>
      <c r="BHM15">
        <f t="shared" si="919"/>
        <v>0</v>
      </c>
      <c r="BHN15">
        <f t="shared" si="920"/>
        <v>0</v>
      </c>
      <c r="BHO15">
        <f t="shared" si="921"/>
        <v>0</v>
      </c>
      <c r="BHP15">
        <f t="shared" si="922"/>
        <v>0</v>
      </c>
      <c r="BHQ15">
        <f t="shared" si="923"/>
        <v>0</v>
      </c>
      <c r="BHR15">
        <f t="shared" si="924"/>
        <v>0</v>
      </c>
      <c r="BHS15">
        <f t="shared" si="925"/>
        <v>0</v>
      </c>
      <c r="BHT15">
        <f t="shared" si="926"/>
        <v>0</v>
      </c>
      <c r="BHU15">
        <f t="shared" si="927"/>
        <v>0</v>
      </c>
      <c r="BHV15">
        <f t="shared" si="928"/>
        <v>0</v>
      </c>
      <c r="BHW15">
        <f t="shared" si="929"/>
        <v>0</v>
      </c>
      <c r="BHX15">
        <f t="shared" si="930"/>
        <v>0</v>
      </c>
      <c r="BHY15">
        <f t="shared" si="931"/>
        <v>0</v>
      </c>
      <c r="BHZ15">
        <f t="shared" si="932"/>
        <v>0</v>
      </c>
      <c r="BIA15">
        <f t="shared" si="933"/>
        <v>0</v>
      </c>
      <c r="BIB15">
        <f t="shared" si="934"/>
        <v>0</v>
      </c>
      <c r="BIC15">
        <f t="shared" si="935"/>
        <v>0</v>
      </c>
      <c r="BID15">
        <f t="shared" si="936"/>
        <v>0</v>
      </c>
      <c r="BIE15">
        <f t="shared" si="937"/>
        <v>0</v>
      </c>
      <c r="BIF15">
        <f t="shared" si="938"/>
        <v>0</v>
      </c>
      <c r="BIG15">
        <f t="shared" si="939"/>
        <v>0</v>
      </c>
      <c r="BIH15">
        <f t="shared" si="940"/>
        <v>0</v>
      </c>
      <c r="BII15">
        <f t="shared" si="941"/>
        <v>0</v>
      </c>
      <c r="BIJ15">
        <f t="shared" si="942"/>
        <v>0</v>
      </c>
      <c r="BIK15">
        <f t="shared" si="943"/>
        <v>0</v>
      </c>
      <c r="BIL15">
        <f t="shared" si="944"/>
        <v>0</v>
      </c>
      <c r="BIM15">
        <f t="shared" si="945"/>
        <v>0</v>
      </c>
      <c r="BIN15">
        <f t="shared" si="946"/>
        <v>0</v>
      </c>
      <c r="BIO15">
        <f t="shared" si="947"/>
        <v>0</v>
      </c>
      <c r="BIP15">
        <f t="shared" si="47"/>
        <v>0</v>
      </c>
      <c r="BIQ15">
        <f t="shared" si="948"/>
        <v>0</v>
      </c>
      <c r="BIR15">
        <f t="shared" si="949"/>
        <v>0</v>
      </c>
      <c r="BIS15">
        <f t="shared" si="950"/>
        <v>0</v>
      </c>
      <c r="BIT15">
        <f t="shared" si="951"/>
        <v>0</v>
      </c>
      <c r="BIU15">
        <f t="shared" si="952"/>
        <v>0</v>
      </c>
      <c r="BIV15">
        <f t="shared" si="953"/>
        <v>0</v>
      </c>
      <c r="BIW15">
        <f t="shared" si="954"/>
        <v>0</v>
      </c>
      <c r="BIX15">
        <f t="shared" si="955"/>
        <v>0</v>
      </c>
      <c r="BIY15">
        <f t="shared" si="956"/>
        <v>0</v>
      </c>
      <c r="BIZ15">
        <f t="shared" si="957"/>
        <v>0</v>
      </c>
      <c r="BJA15">
        <f t="shared" si="958"/>
        <v>0</v>
      </c>
      <c r="BJB15">
        <f t="shared" si="959"/>
        <v>0</v>
      </c>
      <c r="BJC15">
        <f t="shared" si="960"/>
        <v>0</v>
      </c>
      <c r="BJD15">
        <f t="shared" si="961"/>
        <v>0</v>
      </c>
      <c r="BJE15">
        <f t="shared" si="962"/>
        <v>0</v>
      </c>
      <c r="BJF15">
        <f t="shared" si="963"/>
        <v>0</v>
      </c>
      <c r="BJG15">
        <f t="shared" si="964"/>
        <v>0</v>
      </c>
      <c r="BJH15">
        <f t="shared" si="965"/>
        <v>0</v>
      </c>
      <c r="BJI15">
        <f t="shared" si="966"/>
        <v>0</v>
      </c>
      <c r="BJJ15">
        <f t="shared" si="967"/>
        <v>0</v>
      </c>
      <c r="BJK15">
        <f t="shared" si="968"/>
        <v>0</v>
      </c>
      <c r="BJL15">
        <f t="shared" si="969"/>
        <v>0</v>
      </c>
      <c r="BJM15">
        <f t="shared" si="970"/>
        <v>0</v>
      </c>
      <c r="BJN15">
        <f t="shared" si="971"/>
        <v>0</v>
      </c>
      <c r="BJO15">
        <f t="shared" si="972"/>
        <v>0</v>
      </c>
      <c r="BJP15">
        <f t="shared" si="973"/>
        <v>0</v>
      </c>
      <c r="BJQ15">
        <f t="shared" si="974"/>
        <v>0</v>
      </c>
      <c r="BJR15">
        <f t="shared" si="975"/>
        <v>0</v>
      </c>
      <c r="BJS15">
        <f t="shared" si="976"/>
        <v>0</v>
      </c>
      <c r="BJT15">
        <f t="shared" si="977"/>
        <v>0</v>
      </c>
      <c r="BJU15">
        <f t="shared" si="978"/>
        <v>0</v>
      </c>
      <c r="BJV15">
        <f t="shared" si="979"/>
        <v>0</v>
      </c>
      <c r="BJW15">
        <f t="shared" si="980"/>
        <v>0</v>
      </c>
      <c r="BJX15">
        <f t="shared" si="981"/>
        <v>0</v>
      </c>
      <c r="BJY15">
        <f t="shared" si="982"/>
        <v>0</v>
      </c>
      <c r="BJZ15">
        <f t="shared" si="983"/>
        <v>0</v>
      </c>
      <c r="BKA15">
        <f t="shared" si="984"/>
        <v>0</v>
      </c>
      <c r="BKB15">
        <f t="shared" si="985"/>
        <v>0</v>
      </c>
      <c r="BKC15">
        <f t="shared" si="986"/>
        <v>0</v>
      </c>
      <c r="BKD15">
        <f t="shared" si="987"/>
        <v>0</v>
      </c>
      <c r="BKE15">
        <f t="shared" si="988"/>
        <v>0</v>
      </c>
      <c r="BKF15">
        <f t="shared" si="989"/>
        <v>0</v>
      </c>
      <c r="BKG15">
        <f t="shared" si="990"/>
        <v>0</v>
      </c>
      <c r="BKH15">
        <f t="shared" si="991"/>
        <v>0</v>
      </c>
      <c r="BKI15">
        <f t="shared" si="992"/>
        <v>0</v>
      </c>
      <c r="BKJ15">
        <f t="shared" si="993"/>
        <v>0</v>
      </c>
      <c r="BKK15">
        <f t="shared" si="994"/>
        <v>0</v>
      </c>
      <c r="BKL15">
        <f t="shared" si="995"/>
        <v>0</v>
      </c>
      <c r="BKM15">
        <f t="shared" si="996"/>
        <v>0</v>
      </c>
      <c r="BKN15">
        <f t="shared" si="997"/>
        <v>0</v>
      </c>
      <c r="BKO15">
        <f t="shared" si="998"/>
        <v>0</v>
      </c>
      <c r="BKP15">
        <f t="shared" si="999"/>
        <v>0</v>
      </c>
      <c r="BKQ15">
        <f t="shared" si="1000"/>
        <v>0</v>
      </c>
      <c r="BKR15">
        <f t="shared" si="1001"/>
        <v>0</v>
      </c>
      <c r="BKS15">
        <f t="shared" si="1002"/>
        <v>0</v>
      </c>
      <c r="BKT15">
        <f t="shared" si="1003"/>
        <v>0</v>
      </c>
      <c r="BKU15">
        <f t="shared" si="1004"/>
        <v>0</v>
      </c>
      <c r="BKV15">
        <f t="shared" si="1005"/>
        <v>0</v>
      </c>
      <c r="BKW15">
        <f t="shared" si="1006"/>
        <v>0</v>
      </c>
      <c r="BKX15">
        <f t="shared" si="1007"/>
        <v>0</v>
      </c>
      <c r="BKY15">
        <f t="shared" si="1008"/>
        <v>0</v>
      </c>
      <c r="BKZ15">
        <f t="shared" si="1009"/>
        <v>0</v>
      </c>
      <c r="BLA15">
        <f t="shared" si="1010"/>
        <v>0</v>
      </c>
      <c r="BLB15">
        <f t="shared" si="48"/>
        <v>0</v>
      </c>
      <c r="BLC15">
        <f t="shared" si="1011"/>
        <v>0</v>
      </c>
      <c r="BLD15">
        <f t="shared" si="1012"/>
        <v>0</v>
      </c>
      <c r="BLE15">
        <f t="shared" si="1013"/>
        <v>0</v>
      </c>
      <c r="BLF15">
        <f t="shared" si="1014"/>
        <v>0</v>
      </c>
      <c r="BLG15">
        <f t="shared" si="1015"/>
        <v>0</v>
      </c>
      <c r="BLH15">
        <f t="shared" si="1016"/>
        <v>0</v>
      </c>
      <c r="BLI15">
        <f t="shared" si="1017"/>
        <v>0</v>
      </c>
      <c r="BLJ15">
        <f t="shared" si="1018"/>
        <v>0</v>
      </c>
      <c r="BLK15">
        <f t="shared" si="1019"/>
        <v>0</v>
      </c>
      <c r="BLL15">
        <f t="shared" si="1020"/>
        <v>0</v>
      </c>
      <c r="BLM15">
        <f t="shared" si="1021"/>
        <v>0</v>
      </c>
      <c r="BLN15">
        <f t="shared" si="1022"/>
        <v>0</v>
      </c>
      <c r="BLO15">
        <f t="shared" si="1023"/>
        <v>0</v>
      </c>
      <c r="BLP15">
        <f t="shared" si="1024"/>
        <v>0</v>
      </c>
      <c r="BLQ15">
        <f t="shared" si="1025"/>
        <v>0</v>
      </c>
      <c r="BLR15">
        <f t="shared" si="1026"/>
        <v>0</v>
      </c>
      <c r="BLS15">
        <f t="shared" si="1027"/>
        <v>0</v>
      </c>
      <c r="BLT15">
        <f t="shared" si="1028"/>
        <v>0</v>
      </c>
      <c r="BLU15">
        <f t="shared" si="1029"/>
        <v>0</v>
      </c>
      <c r="BLV15">
        <f t="shared" si="1030"/>
        <v>0</v>
      </c>
      <c r="BLW15">
        <f t="shared" si="1031"/>
        <v>0</v>
      </c>
      <c r="BLX15">
        <f t="shared" si="1032"/>
        <v>0</v>
      </c>
      <c r="BLY15">
        <f t="shared" si="1033"/>
        <v>0</v>
      </c>
      <c r="BLZ15">
        <f t="shared" si="1034"/>
        <v>0</v>
      </c>
      <c r="BMA15">
        <f t="shared" si="1035"/>
        <v>0</v>
      </c>
      <c r="BMB15">
        <f t="shared" si="1036"/>
        <v>0</v>
      </c>
      <c r="BMC15">
        <f t="shared" si="1037"/>
        <v>0</v>
      </c>
      <c r="BMD15">
        <f t="shared" si="1038"/>
        <v>0</v>
      </c>
      <c r="BME15">
        <f t="shared" si="1039"/>
        <v>0</v>
      </c>
      <c r="BMF15">
        <f t="shared" si="1040"/>
        <v>0</v>
      </c>
      <c r="BMG15">
        <f t="shared" si="1041"/>
        <v>0</v>
      </c>
      <c r="BMH15">
        <f t="shared" si="1042"/>
        <v>0</v>
      </c>
      <c r="BMI15">
        <f t="shared" si="1043"/>
        <v>0</v>
      </c>
      <c r="BMJ15">
        <f t="shared" si="1044"/>
        <v>0</v>
      </c>
      <c r="BMK15">
        <f t="shared" si="1045"/>
        <v>0</v>
      </c>
      <c r="BML15">
        <f t="shared" si="1046"/>
        <v>0</v>
      </c>
      <c r="BMM15">
        <f t="shared" si="1047"/>
        <v>0</v>
      </c>
      <c r="BMN15">
        <f t="shared" si="1048"/>
        <v>0</v>
      </c>
      <c r="BMO15">
        <f t="shared" si="1049"/>
        <v>0</v>
      </c>
      <c r="BMP15">
        <f t="shared" si="1050"/>
        <v>0</v>
      </c>
      <c r="BMQ15">
        <f t="shared" si="1051"/>
        <v>0</v>
      </c>
      <c r="BMR15">
        <f t="shared" si="1052"/>
        <v>0</v>
      </c>
      <c r="BMS15">
        <f t="shared" si="1053"/>
        <v>0</v>
      </c>
      <c r="BMT15">
        <f t="shared" si="1054"/>
        <v>0</v>
      </c>
      <c r="BMU15">
        <f t="shared" si="1055"/>
        <v>0</v>
      </c>
      <c r="BMV15">
        <f t="shared" si="1056"/>
        <v>0</v>
      </c>
      <c r="BMW15">
        <f t="shared" si="1057"/>
        <v>0</v>
      </c>
      <c r="BMX15">
        <f t="shared" si="1058"/>
        <v>0</v>
      </c>
      <c r="BMY15">
        <f t="shared" si="1059"/>
        <v>0</v>
      </c>
      <c r="BMZ15">
        <f t="shared" si="1060"/>
        <v>0</v>
      </c>
      <c r="BNA15">
        <f t="shared" si="1061"/>
        <v>0</v>
      </c>
      <c r="BNB15">
        <f t="shared" si="1062"/>
        <v>0</v>
      </c>
      <c r="BNC15">
        <f t="shared" si="1063"/>
        <v>0</v>
      </c>
      <c r="BND15">
        <f t="shared" si="1064"/>
        <v>0</v>
      </c>
      <c r="BNE15">
        <f t="shared" si="1065"/>
        <v>0</v>
      </c>
      <c r="BNF15">
        <f t="shared" si="1066"/>
        <v>0</v>
      </c>
      <c r="BNG15">
        <f t="shared" si="1067"/>
        <v>0</v>
      </c>
      <c r="BNH15">
        <f t="shared" si="1068"/>
        <v>0</v>
      </c>
      <c r="BNI15">
        <f t="shared" si="1069"/>
        <v>0</v>
      </c>
      <c r="BNJ15">
        <f t="shared" si="1070"/>
        <v>0</v>
      </c>
      <c r="BNK15">
        <f t="shared" si="1071"/>
        <v>0</v>
      </c>
      <c r="BNL15">
        <f t="shared" si="1072"/>
        <v>0</v>
      </c>
      <c r="BNM15">
        <f t="shared" si="1073"/>
        <v>0</v>
      </c>
      <c r="BNN15">
        <f t="shared" si="49"/>
        <v>0</v>
      </c>
      <c r="BNO15">
        <f t="shared" si="1074"/>
        <v>0</v>
      </c>
      <c r="BNP15">
        <f t="shared" si="1075"/>
        <v>0</v>
      </c>
      <c r="BNQ15">
        <f t="shared" si="1076"/>
        <v>0</v>
      </c>
      <c r="BNR15">
        <f t="shared" si="1077"/>
        <v>0</v>
      </c>
      <c r="BNS15">
        <f t="shared" si="1078"/>
        <v>0</v>
      </c>
      <c r="BNT15">
        <f t="shared" si="1079"/>
        <v>0</v>
      </c>
      <c r="BNU15">
        <f t="shared" si="1080"/>
        <v>0</v>
      </c>
      <c r="BNV15">
        <f t="shared" si="1081"/>
        <v>0</v>
      </c>
      <c r="BNW15">
        <f t="shared" si="1082"/>
        <v>0</v>
      </c>
      <c r="BNX15">
        <f t="shared" si="1083"/>
        <v>0</v>
      </c>
      <c r="BNY15">
        <f t="shared" si="1084"/>
        <v>0</v>
      </c>
      <c r="BNZ15">
        <f t="shared" si="1085"/>
        <v>0</v>
      </c>
      <c r="BOA15">
        <f t="shared" si="1086"/>
        <v>0</v>
      </c>
      <c r="BOB15">
        <f t="shared" si="1087"/>
        <v>0</v>
      </c>
      <c r="BOC15">
        <f t="shared" si="1088"/>
        <v>0</v>
      </c>
      <c r="BOD15">
        <f t="shared" si="1089"/>
        <v>0</v>
      </c>
      <c r="BOE15">
        <f t="shared" si="1090"/>
        <v>0</v>
      </c>
      <c r="BOF15">
        <f t="shared" si="1091"/>
        <v>0</v>
      </c>
      <c r="BOG15">
        <f t="shared" si="1092"/>
        <v>0</v>
      </c>
      <c r="BOH15">
        <f t="shared" si="1093"/>
        <v>0</v>
      </c>
      <c r="BOI15">
        <f t="shared" si="1094"/>
        <v>0</v>
      </c>
      <c r="BOJ15">
        <f t="shared" si="1095"/>
        <v>0</v>
      </c>
      <c r="BOK15">
        <f t="shared" si="1096"/>
        <v>0</v>
      </c>
      <c r="BOL15">
        <f t="shared" si="1097"/>
        <v>0</v>
      </c>
      <c r="BOM15">
        <f t="shared" si="1098"/>
        <v>0</v>
      </c>
      <c r="BON15">
        <f t="shared" si="1099"/>
        <v>0</v>
      </c>
      <c r="BOO15">
        <f t="shared" si="1100"/>
        <v>0</v>
      </c>
      <c r="BOP15">
        <f t="shared" si="1101"/>
        <v>0</v>
      </c>
      <c r="BOQ15">
        <f t="shared" si="1102"/>
        <v>0</v>
      </c>
      <c r="BOR15">
        <f t="shared" si="1103"/>
        <v>0</v>
      </c>
      <c r="BOS15">
        <f t="shared" si="1104"/>
        <v>0</v>
      </c>
      <c r="BOT15">
        <f t="shared" si="1105"/>
        <v>0</v>
      </c>
      <c r="BOU15">
        <f t="shared" si="1106"/>
        <v>0</v>
      </c>
      <c r="BOV15">
        <f t="shared" si="1107"/>
        <v>0</v>
      </c>
      <c r="BOW15">
        <f t="shared" si="1108"/>
        <v>0</v>
      </c>
      <c r="BOX15">
        <f t="shared" si="1109"/>
        <v>0</v>
      </c>
      <c r="BOY15">
        <f t="shared" si="1110"/>
        <v>0</v>
      </c>
      <c r="BOZ15">
        <f t="shared" si="1111"/>
        <v>0</v>
      </c>
      <c r="BPA15">
        <f t="shared" si="1112"/>
        <v>0</v>
      </c>
      <c r="BPB15">
        <f t="shared" si="1113"/>
        <v>0</v>
      </c>
      <c r="BPC15">
        <f t="shared" si="1114"/>
        <v>0</v>
      </c>
      <c r="BPD15">
        <f t="shared" si="1115"/>
        <v>0</v>
      </c>
      <c r="BPE15">
        <f t="shared" si="1116"/>
        <v>0</v>
      </c>
      <c r="BPF15">
        <f t="shared" si="1117"/>
        <v>0</v>
      </c>
      <c r="BPG15">
        <f t="shared" si="1118"/>
        <v>0</v>
      </c>
      <c r="BPH15">
        <f t="shared" si="1119"/>
        <v>0</v>
      </c>
      <c r="BPI15">
        <f t="shared" si="1120"/>
        <v>0</v>
      </c>
      <c r="BPJ15">
        <f t="shared" si="1121"/>
        <v>0</v>
      </c>
      <c r="BPK15">
        <f t="shared" si="1122"/>
        <v>0</v>
      </c>
      <c r="BPL15">
        <f t="shared" si="1123"/>
        <v>0</v>
      </c>
      <c r="BPM15">
        <f t="shared" si="1124"/>
        <v>0</v>
      </c>
      <c r="BPN15">
        <f t="shared" si="1125"/>
        <v>0</v>
      </c>
      <c r="BPO15">
        <f t="shared" si="1126"/>
        <v>0</v>
      </c>
      <c r="BPP15">
        <f t="shared" si="1127"/>
        <v>0</v>
      </c>
      <c r="BPQ15">
        <f t="shared" si="1128"/>
        <v>0</v>
      </c>
      <c r="BPR15">
        <f t="shared" si="1129"/>
        <v>0</v>
      </c>
      <c r="BPS15">
        <f t="shared" si="1130"/>
        <v>0</v>
      </c>
      <c r="BPT15">
        <f t="shared" si="1131"/>
        <v>0</v>
      </c>
      <c r="BPU15">
        <f t="shared" si="1132"/>
        <v>0</v>
      </c>
      <c r="BPV15">
        <f t="shared" si="1133"/>
        <v>0</v>
      </c>
      <c r="BPW15">
        <f t="shared" si="1134"/>
        <v>0</v>
      </c>
      <c r="BPX15">
        <f t="shared" si="1135"/>
        <v>0</v>
      </c>
      <c r="BPY15">
        <f t="shared" si="1136"/>
        <v>0</v>
      </c>
      <c r="BPZ15">
        <f t="shared" si="50"/>
        <v>0</v>
      </c>
      <c r="BQA15">
        <f t="shared" si="1137"/>
        <v>0</v>
      </c>
      <c r="BQB15">
        <f t="shared" si="1138"/>
        <v>0</v>
      </c>
      <c r="BQC15">
        <f t="shared" si="1139"/>
        <v>0</v>
      </c>
      <c r="BQD15">
        <f t="shared" si="1140"/>
        <v>0</v>
      </c>
      <c r="BQE15">
        <f t="shared" si="1141"/>
        <v>0</v>
      </c>
      <c r="BQF15">
        <f t="shared" si="1142"/>
        <v>0</v>
      </c>
      <c r="BQG15">
        <f t="shared" si="1143"/>
        <v>0</v>
      </c>
      <c r="BQH15">
        <f t="shared" si="1144"/>
        <v>0</v>
      </c>
      <c r="BQI15">
        <f t="shared" si="1145"/>
        <v>0</v>
      </c>
      <c r="BQJ15">
        <f t="shared" si="1146"/>
        <v>0</v>
      </c>
      <c r="BQK15">
        <f t="shared" si="1147"/>
        <v>0</v>
      </c>
      <c r="BQL15">
        <f t="shared" si="1148"/>
        <v>0</v>
      </c>
      <c r="BQM15">
        <f t="shared" si="1149"/>
        <v>0</v>
      </c>
      <c r="BQN15">
        <f t="shared" si="1150"/>
        <v>0</v>
      </c>
      <c r="BQO15">
        <f t="shared" si="1151"/>
        <v>0</v>
      </c>
      <c r="BQP15">
        <f t="shared" si="1152"/>
        <v>0</v>
      </c>
      <c r="BQQ15">
        <f t="shared" si="1153"/>
        <v>0</v>
      </c>
      <c r="BQR15">
        <f t="shared" si="1154"/>
        <v>0</v>
      </c>
      <c r="BQS15">
        <f t="shared" si="1155"/>
        <v>0</v>
      </c>
      <c r="BQT15">
        <f t="shared" si="1156"/>
        <v>0</v>
      </c>
      <c r="BQU15">
        <f t="shared" si="1157"/>
        <v>0</v>
      </c>
      <c r="BQV15">
        <f t="shared" si="1158"/>
        <v>0</v>
      </c>
      <c r="BQW15">
        <f t="shared" si="1159"/>
        <v>0</v>
      </c>
      <c r="BQX15">
        <f t="shared" si="1160"/>
        <v>0</v>
      </c>
      <c r="BQY15">
        <f t="shared" si="1161"/>
        <v>0</v>
      </c>
      <c r="BQZ15">
        <f t="shared" si="1162"/>
        <v>0</v>
      </c>
      <c r="BRA15">
        <f t="shared" si="1163"/>
        <v>0</v>
      </c>
      <c r="BRB15">
        <f t="shared" si="1164"/>
        <v>0</v>
      </c>
      <c r="BRC15">
        <f t="shared" si="1165"/>
        <v>0</v>
      </c>
      <c r="BRD15">
        <f t="shared" si="1166"/>
        <v>0</v>
      </c>
      <c r="BRE15">
        <f t="shared" si="1167"/>
        <v>0</v>
      </c>
      <c r="BRF15">
        <f t="shared" si="1168"/>
        <v>0</v>
      </c>
      <c r="BRG15">
        <f t="shared" si="1169"/>
        <v>0</v>
      </c>
      <c r="BRH15">
        <f t="shared" si="1170"/>
        <v>0</v>
      </c>
      <c r="BRI15">
        <f t="shared" si="1171"/>
        <v>0</v>
      </c>
      <c r="BRJ15">
        <f t="shared" si="1172"/>
        <v>0</v>
      </c>
      <c r="BRK15">
        <f t="shared" si="1173"/>
        <v>0</v>
      </c>
      <c r="BRL15">
        <f t="shared" si="1174"/>
        <v>0</v>
      </c>
      <c r="BRM15">
        <f t="shared" si="1175"/>
        <v>0</v>
      </c>
      <c r="BRN15">
        <f t="shared" si="1176"/>
        <v>0</v>
      </c>
      <c r="BRO15">
        <f t="shared" si="1177"/>
        <v>0</v>
      </c>
      <c r="BRP15">
        <f t="shared" si="1178"/>
        <v>0</v>
      </c>
      <c r="BRQ15">
        <f t="shared" si="1179"/>
        <v>0</v>
      </c>
      <c r="BRR15">
        <f t="shared" si="1180"/>
        <v>0</v>
      </c>
      <c r="BRS15">
        <f t="shared" si="1181"/>
        <v>0</v>
      </c>
      <c r="BRT15">
        <f t="shared" si="1182"/>
        <v>0</v>
      </c>
      <c r="BRU15">
        <f t="shared" si="1183"/>
        <v>0</v>
      </c>
      <c r="BRV15">
        <f t="shared" si="1184"/>
        <v>0</v>
      </c>
      <c r="BRW15">
        <f t="shared" si="1185"/>
        <v>0</v>
      </c>
      <c r="BRX15">
        <f t="shared" si="1186"/>
        <v>0</v>
      </c>
      <c r="BRY15">
        <f t="shared" si="1187"/>
        <v>0</v>
      </c>
      <c r="BRZ15">
        <f t="shared" si="1188"/>
        <v>0</v>
      </c>
      <c r="BSA15">
        <f t="shared" si="1189"/>
        <v>0</v>
      </c>
      <c r="BSB15">
        <f t="shared" si="1190"/>
        <v>0</v>
      </c>
      <c r="BSC15">
        <f t="shared" si="1191"/>
        <v>0</v>
      </c>
      <c r="BSD15">
        <f t="shared" si="1192"/>
        <v>0</v>
      </c>
      <c r="BSE15">
        <f t="shared" si="1193"/>
        <v>0</v>
      </c>
      <c r="BSF15">
        <f t="shared" si="1194"/>
        <v>0</v>
      </c>
      <c r="BSG15">
        <f t="shared" si="1195"/>
        <v>0</v>
      </c>
      <c r="BSH15">
        <f t="shared" si="1196"/>
        <v>0</v>
      </c>
      <c r="BSI15">
        <f t="shared" si="1197"/>
        <v>0</v>
      </c>
      <c r="BSJ15">
        <f t="shared" si="1198"/>
        <v>0</v>
      </c>
      <c r="BSK15">
        <f t="shared" si="1199"/>
        <v>0</v>
      </c>
      <c r="BSL15">
        <f t="shared" si="51"/>
        <v>0</v>
      </c>
      <c r="BSM15">
        <f t="shared" si="1200"/>
        <v>0</v>
      </c>
      <c r="BSN15">
        <f t="shared" si="1201"/>
        <v>0</v>
      </c>
      <c r="BSO15">
        <f t="shared" si="1202"/>
        <v>0</v>
      </c>
      <c r="BSP15">
        <f t="shared" si="1203"/>
        <v>0</v>
      </c>
      <c r="BSQ15">
        <f t="shared" si="1204"/>
        <v>0</v>
      </c>
      <c r="BSR15">
        <f t="shared" si="1205"/>
        <v>0</v>
      </c>
      <c r="BSS15">
        <f t="shared" si="1206"/>
        <v>0</v>
      </c>
      <c r="BST15">
        <f t="shared" si="1207"/>
        <v>0</v>
      </c>
      <c r="BSU15">
        <f t="shared" si="1208"/>
        <v>0</v>
      </c>
      <c r="BSV15">
        <f t="shared" si="1209"/>
        <v>0</v>
      </c>
      <c r="BSW15">
        <f t="shared" si="1210"/>
        <v>0</v>
      </c>
      <c r="BSX15">
        <f t="shared" si="1211"/>
        <v>0</v>
      </c>
      <c r="BSY15">
        <f t="shared" si="1212"/>
        <v>0</v>
      </c>
      <c r="BSZ15">
        <f t="shared" si="1213"/>
        <v>0</v>
      </c>
      <c r="BTA15">
        <f t="shared" si="1214"/>
        <v>0</v>
      </c>
      <c r="BTB15">
        <f t="shared" si="1215"/>
        <v>0</v>
      </c>
      <c r="BTC15">
        <f t="shared" si="1216"/>
        <v>0</v>
      </c>
      <c r="BTD15">
        <f t="shared" si="1217"/>
        <v>0</v>
      </c>
      <c r="BTE15">
        <f t="shared" si="1218"/>
        <v>0</v>
      </c>
      <c r="BTF15">
        <f t="shared" si="1219"/>
        <v>0</v>
      </c>
      <c r="BTG15">
        <f t="shared" si="1220"/>
        <v>0</v>
      </c>
      <c r="BTH15">
        <f t="shared" si="1221"/>
        <v>0</v>
      </c>
      <c r="BTI15">
        <f t="shared" si="1222"/>
        <v>0</v>
      </c>
      <c r="BTJ15">
        <f t="shared" si="1223"/>
        <v>0</v>
      </c>
      <c r="BTK15">
        <f t="shared" si="1224"/>
        <v>0</v>
      </c>
      <c r="BTL15">
        <f t="shared" si="1225"/>
        <v>0</v>
      </c>
      <c r="BTM15">
        <f t="shared" si="1226"/>
        <v>0</v>
      </c>
      <c r="BTN15">
        <f t="shared" si="1227"/>
        <v>0</v>
      </c>
      <c r="BTO15">
        <f t="shared" si="1228"/>
        <v>0</v>
      </c>
      <c r="BTP15">
        <f t="shared" si="1229"/>
        <v>0</v>
      </c>
      <c r="BTQ15">
        <f t="shared" si="1230"/>
        <v>0</v>
      </c>
      <c r="BTR15">
        <f t="shared" si="1231"/>
        <v>0</v>
      </c>
      <c r="BTS15">
        <f t="shared" si="1232"/>
        <v>0</v>
      </c>
      <c r="BTT15">
        <f t="shared" si="1233"/>
        <v>0</v>
      </c>
      <c r="BTU15">
        <f t="shared" si="1234"/>
        <v>0</v>
      </c>
      <c r="BTV15">
        <f t="shared" si="1235"/>
        <v>0</v>
      </c>
      <c r="BTW15">
        <f t="shared" si="1236"/>
        <v>0</v>
      </c>
      <c r="BTX15">
        <f t="shared" si="1237"/>
        <v>0</v>
      </c>
      <c r="BTY15">
        <f t="shared" si="1238"/>
        <v>0</v>
      </c>
      <c r="BTZ15">
        <f t="shared" si="1239"/>
        <v>0</v>
      </c>
      <c r="BUA15">
        <f t="shared" si="1240"/>
        <v>0</v>
      </c>
      <c r="BUB15">
        <f t="shared" si="1241"/>
        <v>0</v>
      </c>
      <c r="BUC15">
        <f t="shared" si="1242"/>
        <v>0</v>
      </c>
      <c r="BUD15">
        <f t="shared" si="1243"/>
        <v>0</v>
      </c>
      <c r="BUE15">
        <f t="shared" si="1244"/>
        <v>0</v>
      </c>
      <c r="BUF15">
        <f t="shared" si="1245"/>
        <v>0</v>
      </c>
      <c r="BUG15">
        <f t="shared" si="1246"/>
        <v>0</v>
      </c>
      <c r="BUH15">
        <f t="shared" si="1247"/>
        <v>0</v>
      </c>
      <c r="BUI15">
        <f t="shared" si="1248"/>
        <v>0</v>
      </c>
      <c r="BUJ15">
        <f t="shared" si="1249"/>
        <v>0</v>
      </c>
      <c r="BUK15">
        <f t="shared" si="1250"/>
        <v>0</v>
      </c>
      <c r="BUL15">
        <f t="shared" si="1251"/>
        <v>0</v>
      </c>
      <c r="BUM15">
        <f t="shared" si="1252"/>
        <v>0</v>
      </c>
      <c r="BUN15">
        <f t="shared" si="1253"/>
        <v>0</v>
      </c>
      <c r="BUO15">
        <f t="shared" si="1254"/>
        <v>0</v>
      </c>
      <c r="BUP15">
        <f t="shared" si="1255"/>
        <v>0</v>
      </c>
      <c r="BUQ15">
        <f t="shared" si="1256"/>
        <v>0</v>
      </c>
      <c r="BUR15">
        <f t="shared" si="1257"/>
        <v>0</v>
      </c>
      <c r="BUS15">
        <f t="shared" si="1258"/>
        <v>0</v>
      </c>
      <c r="BUT15">
        <f t="shared" si="1259"/>
        <v>0</v>
      </c>
      <c r="BUU15">
        <f t="shared" si="1260"/>
        <v>0</v>
      </c>
      <c r="BUV15">
        <f t="shared" si="1261"/>
        <v>0</v>
      </c>
      <c r="BUW15">
        <f t="shared" si="1262"/>
        <v>0</v>
      </c>
      <c r="BUX15">
        <f t="shared" si="52"/>
        <v>0</v>
      </c>
      <c r="BUY15">
        <f t="shared" si="1263"/>
        <v>0</v>
      </c>
      <c r="BUZ15">
        <f t="shared" si="1264"/>
        <v>0</v>
      </c>
      <c r="BVA15">
        <f t="shared" si="1265"/>
        <v>0</v>
      </c>
      <c r="BVB15">
        <f t="shared" si="1266"/>
        <v>0</v>
      </c>
      <c r="BVC15">
        <f t="shared" si="1267"/>
        <v>0</v>
      </c>
      <c r="BVD15">
        <f t="shared" si="1268"/>
        <v>0</v>
      </c>
      <c r="BVE15">
        <f t="shared" si="1269"/>
        <v>0</v>
      </c>
      <c r="BVF15">
        <f t="shared" si="1270"/>
        <v>0</v>
      </c>
      <c r="BVG15">
        <f t="shared" si="1271"/>
        <v>0</v>
      </c>
      <c r="BVH15">
        <f t="shared" si="1272"/>
        <v>0</v>
      </c>
      <c r="BVI15">
        <f t="shared" si="1273"/>
        <v>0</v>
      </c>
      <c r="BVJ15">
        <f t="shared" si="1274"/>
        <v>0</v>
      </c>
      <c r="BVK15">
        <f t="shared" si="1275"/>
        <v>0</v>
      </c>
      <c r="BVL15">
        <f t="shared" si="1276"/>
        <v>0</v>
      </c>
      <c r="BVM15">
        <f t="shared" si="1277"/>
        <v>0</v>
      </c>
      <c r="BVN15">
        <f t="shared" si="1278"/>
        <v>0</v>
      </c>
      <c r="BVO15">
        <f t="shared" si="1279"/>
        <v>0</v>
      </c>
      <c r="BVP15">
        <f t="shared" si="1280"/>
        <v>0</v>
      </c>
      <c r="BVQ15">
        <f t="shared" si="1281"/>
        <v>0</v>
      </c>
      <c r="BVR15">
        <f t="shared" si="1282"/>
        <v>0</v>
      </c>
      <c r="BVS15">
        <f t="shared" si="1283"/>
        <v>0</v>
      </c>
      <c r="BVT15">
        <f t="shared" si="1284"/>
        <v>0</v>
      </c>
      <c r="BVU15">
        <f t="shared" si="1285"/>
        <v>0</v>
      </c>
      <c r="BVV15">
        <f t="shared" si="1286"/>
        <v>0</v>
      </c>
      <c r="BVW15">
        <f t="shared" si="1287"/>
        <v>0</v>
      </c>
      <c r="BVX15">
        <f t="shared" si="1288"/>
        <v>0</v>
      </c>
      <c r="BVY15">
        <f t="shared" si="1289"/>
        <v>0</v>
      </c>
      <c r="BVZ15">
        <f t="shared" si="1290"/>
        <v>0</v>
      </c>
      <c r="BWA15">
        <f t="shared" si="1291"/>
        <v>0</v>
      </c>
      <c r="BWB15">
        <f t="shared" si="1292"/>
        <v>0</v>
      </c>
      <c r="BWC15">
        <f t="shared" si="1293"/>
        <v>0</v>
      </c>
      <c r="BWD15">
        <f t="shared" si="1294"/>
        <v>0</v>
      </c>
      <c r="BWE15">
        <f t="shared" si="1295"/>
        <v>0</v>
      </c>
      <c r="BWF15">
        <f t="shared" si="1296"/>
        <v>0</v>
      </c>
      <c r="BWG15">
        <f t="shared" si="1297"/>
        <v>0</v>
      </c>
      <c r="BWH15">
        <f t="shared" si="1298"/>
        <v>0</v>
      </c>
      <c r="BWI15">
        <f t="shared" si="1299"/>
        <v>0</v>
      </c>
      <c r="BWJ15">
        <f t="shared" si="1300"/>
        <v>0</v>
      </c>
      <c r="BWK15">
        <f t="shared" si="1301"/>
        <v>0</v>
      </c>
      <c r="BWL15">
        <f t="shared" si="1302"/>
        <v>0</v>
      </c>
      <c r="BWM15">
        <f t="shared" si="1303"/>
        <v>0</v>
      </c>
      <c r="BWN15">
        <f t="shared" si="1304"/>
        <v>0</v>
      </c>
      <c r="BWO15">
        <f t="shared" si="1305"/>
        <v>0</v>
      </c>
      <c r="BWP15">
        <f t="shared" si="1306"/>
        <v>0</v>
      </c>
      <c r="BWQ15">
        <f t="shared" si="1307"/>
        <v>0</v>
      </c>
      <c r="BWR15">
        <f t="shared" si="1308"/>
        <v>0</v>
      </c>
      <c r="BWS15">
        <f t="shared" si="1309"/>
        <v>0</v>
      </c>
      <c r="BWT15">
        <f t="shared" si="1310"/>
        <v>0</v>
      </c>
      <c r="BWU15">
        <f t="shared" si="1311"/>
        <v>0</v>
      </c>
      <c r="BWV15">
        <f t="shared" si="1312"/>
        <v>0</v>
      </c>
      <c r="BWW15">
        <f t="shared" si="1313"/>
        <v>0</v>
      </c>
      <c r="BWX15">
        <f t="shared" si="1314"/>
        <v>0</v>
      </c>
      <c r="BWY15">
        <f t="shared" si="1315"/>
        <v>0</v>
      </c>
      <c r="BWZ15">
        <f t="shared" si="1316"/>
        <v>0</v>
      </c>
      <c r="BXA15">
        <f t="shared" si="1317"/>
        <v>0</v>
      </c>
      <c r="BXB15">
        <f t="shared" si="1318"/>
        <v>0</v>
      </c>
      <c r="BXC15">
        <f t="shared" si="1319"/>
        <v>0</v>
      </c>
      <c r="BXD15">
        <f t="shared" si="1320"/>
        <v>0</v>
      </c>
      <c r="BXE15">
        <f t="shared" si="1321"/>
        <v>0</v>
      </c>
      <c r="BXF15">
        <f t="shared" si="1322"/>
        <v>0</v>
      </c>
      <c r="BXG15">
        <f t="shared" si="1323"/>
        <v>0</v>
      </c>
      <c r="BXH15">
        <f t="shared" si="1324"/>
        <v>0</v>
      </c>
      <c r="BXI15">
        <f t="shared" si="1325"/>
        <v>0</v>
      </c>
      <c r="BXJ15">
        <f t="shared" si="53"/>
        <v>0</v>
      </c>
      <c r="BXK15">
        <f t="shared" si="1326"/>
        <v>0</v>
      </c>
      <c r="BXL15">
        <f t="shared" si="1327"/>
        <v>0</v>
      </c>
      <c r="BXM15">
        <f t="shared" si="1328"/>
        <v>0</v>
      </c>
      <c r="BXN15">
        <f t="shared" si="1329"/>
        <v>0</v>
      </c>
      <c r="BXO15">
        <f t="shared" si="1330"/>
        <v>0</v>
      </c>
      <c r="BXP15">
        <f t="shared" si="1331"/>
        <v>0</v>
      </c>
      <c r="BXQ15">
        <f t="shared" si="1332"/>
        <v>0</v>
      </c>
      <c r="BXR15">
        <f t="shared" si="1333"/>
        <v>0</v>
      </c>
      <c r="BXS15">
        <f t="shared" si="1334"/>
        <v>0</v>
      </c>
      <c r="BXT15">
        <f t="shared" si="1335"/>
        <v>0</v>
      </c>
      <c r="BXU15">
        <f t="shared" si="1336"/>
        <v>0</v>
      </c>
      <c r="BXV15">
        <f t="shared" si="1337"/>
        <v>0</v>
      </c>
      <c r="BXW15">
        <f t="shared" si="1338"/>
        <v>0</v>
      </c>
      <c r="BXX15">
        <f t="shared" si="1339"/>
        <v>0</v>
      </c>
      <c r="BXY15">
        <f t="shared" si="1340"/>
        <v>0</v>
      </c>
      <c r="BXZ15">
        <f t="shared" si="1341"/>
        <v>0</v>
      </c>
      <c r="BYA15">
        <f t="shared" si="1342"/>
        <v>0</v>
      </c>
      <c r="BYB15">
        <f t="shared" si="1343"/>
        <v>0</v>
      </c>
      <c r="BYC15">
        <f t="shared" si="1344"/>
        <v>0</v>
      </c>
      <c r="BYD15">
        <f t="shared" si="1345"/>
        <v>0</v>
      </c>
      <c r="BYE15">
        <f t="shared" si="1346"/>
        <v>0</v>
      </c>
      <c r="BYF15">
        <f t="shared" si="1347"/>
        <v>0</v>
      </c>
      <c r="BYG15">
        <f t="shared" si="1348"/>
        <v>0</v>
      </c>
      <c r="BYH15">
        <f t="shared" si="1349"/>
        <v>0</v>
      </c>
      <c r="BYI15">
        <f t="shared" si="1350"/>
        <v>0</v>
      </c>
      <c r="BYJ15">
        <f t="shared" si="1351"/>
        <v>0</v>
      </c>
      <c r="BYK15">
        <f t="shared" si="1352"/>
        <v>0</v>
      </c>
      <c r="BYL15">
        <f t="shared" si="1353"/>
        <v>0</v>
      </c>
      <c r="BYM15">
        <f t="shared" si="1354"/>
        <v>0</v>
      </c>
      <c r="BYN15">
        <f t="shared" si="1355"/>
        <v>0</v>
      </c>
      <c r="BYO15">
        <f t="shared" si="1356"/>
        <v>0</v>
      </c>
      <c r="BYP15">
        <f t="shared" si="1357"/>
        <v>0</v>
      </c>
      <c r="BYQ15">
        <f t="shared" si="1358"/>
        <v>0</v>
      </c>
      <c r="BYR15">
        <f t="shared" si="1359"/>
        <v>0</v>
      </c>
      <c r="BYS15">
        <f t="shared" si="1360"/>
        <v>0</v>
      </c>
      <c r="BYT15">
        <f t="shared" si="1361"/>
        <v>0</v>
      </c>
      <c r="BYU15">
        <f t="shared" si="1362"/>
        <v>0</v>
      </c>
      <c r="BYV15">
        <f t="shared" si="1363"/>
        <v>0</v>
      </c>
      <c r="BYW15">
        <f t="shared" si="1364"/>
        <v>0</v>
      </c>
      <c r="BYX15">
        <f t="shared" si="1365"/>
        <v>0</v>
      </c>
      <c r="BYY15">
        <f t="shared" si="1366"/>
        <v>0</v>
      </c>
      <c r="BYZ15">
        <f t="shared" si="1367"/>
        <v>0</v>
      </c>
      <c r="BZA15">
        <f t="shared" si="1368"/>
        <v>0</v>
      </c>
      <c r="BZB15">
        <f t="shared" si="1369"/>
        <v>0</v>
      </c>
      <c r="BZC15">
        <f t="shared" si="1370"/>
        <v>0</v>
      </c>
      <c r="BZD15">
        <f t="shared" si="1371"/>
        <v>0</v>
      </c>
      <c r="BZE15">
        <f t="shared" si="1372"/>
        <v>0</v>
      </c>
      <c r="BZF15">
        <f t="shared" si="1373"/>
        <v>0</v>
      </c>
      <c r="BZG15">
        <f t="shared" si="1374"/>
        <v>0</v>
      </c>
      <c r="BZH15">
        <f t="shared" si="1375"/>
        <v>0</v>
      </c>
      <c r="BZI15">
        <f t="shared" si="1376"/>
        <v>0</v>
      </c>
      <c r="BZJ15">
        <f t="shared" si="1377"/>
        <v>0</v>
      </c>
      <c r="BZK15">
        <f t="shared" si="1378"/>
        <v>0</v>
      </c>
      <c r="BZL15">
        <f t="shared" si="1379"/>
        <v>0</v>
      </c>
      <c r="BZM15">
        <f t="shared" si="1380"/>
        <v>0</v>
      </c>
      <c r="BZN15">
        <f t="shared" si="1381"/>
        <v>0</v>
      </c>
      <c r="BZO15">
        <f t="shared" si="1382"/>
        <v>0</v>
      </c>
      <c r="BZP15">
        <f t="shared" si="1383"/>
        <v>0</v>
      </c>
      <c r="BZQ15">
        <f t="shared" si="1384"/>
        <v>0</v>
      </c>
      <c r="BZR15">
        <f t="shared" si="1385"/>
        <v>0</v>
      </c>
      <c r="BZS15">
        <f t="shared" si="1386"/>
        <v>0</v>
      </c>
      <c r="BZT15">
        <f t="shared" si="1387"/>
        <v>0</v>
      </c>
      <c r="BZU15">
        <f t="shared" si="1388"/>
        <v>0</v>
      </c>
      <c r="BZV15">
        <f t="shared" si="54"/>
        <v>0</v>
      </c>
      <c r="BZW15">
        <f t="shared" si="1389"/>
        <v>0</v>
      </c>
      <c r="BZX15">
        <f t="shared" si="1390"/>
        <v>0</v>
      </c>
      <c r="BZY15">
        <f t="shared" si="1391"/>
        <v>0</v>
      </c>
      <c r="BZZ15">
        <f t="shared" si="1392"/>
        <v>0</v>
      </c>
      <c r="CAA15">
        <f t="shared" si="1393"/>
        <v>0</v>
      </c>
      <c r="CAB15">
        <f t="shared" si="1394"/>
        <v>0</v>
      </c>
      <c r="CAC15">
        <f t="shared" si="1395"/>
        <v>0</v>
      </c>
      <c r="CAD15">
        <f t="shared" si="1396"/>
        <v>0</v>
      </c>
      <c r="CAE15">
        <f t="shared" si="1397"/>
        <v>0</v>
      </c>
      <c r="CAF15">
        <f t="shared" si="1398"/>
        <v>0</v>
      </c>
      <c r="CAG15">
        <f t="shared" si="1399"/>
        <v>0</v>
      </c>
      <c r="CAH15">
        <f t="shared" si="1400"/>
        <v>0</v>
      </c>
      <c r="CAI15">
        <f t="shared" si="1401"/>
        <v>0</v>
      </c>
      <c r="CAJ15">
        <f t="shared" si="1402"/>
        <v>0</v>
      </c>
      <c r="CAK15">
        <f t="shared" si="1403"/>
        <v>0</v>
      </c>
      <c r="CAL15">
        <f t="shared" si="1404"/>
        <v>0</v>
      </c>
      <c r="CAM15">
        <f t="shared" si="1405"/>
        <v>0</v>
      </c>
      <c r="CAN15">
        <f t="shared" si="1406"/>
        <v>0</v>
      </c>
      <c r="CAO15">
        <f t="shared" si="1407"/>
        <v>0</v>
      </c>
      <c r="CAP15">
        <f t="shared" si="1408"/>
        <v>0</v>
      </c>
      <c r="CAQ15">
        <f t="shared" si="1409"/>
        <v>0</v>
      </c>
      <c r="CAR15">
        <f t="shared" si="1410"/>
        <v>0</v>
      </c>
      <c r="CAS15">
        <f t="shared" si="1411"/>
        <v>0</v>
      </c>
      <c r="CAT15">
        <f t="shared" si="1412"/>
        <v>0</v>
      </c>
      <c r="CAU15">
        <f t="shared" si="1413"/>
        <v>0</v>
      </c>
      <c r="CAV15">
        <f t="shared" si="1414"/>
        <v>0</v>
      </c>
      <c r="CAW15">
        <f t="shared" si="1415"/>
        <v>0</v>
      </c>
      <c r="CAX15">
        <f t="shared" si="1416"/>
        <v>0</v>
      </c>
      <c r="CAY15">
        <f t="shared" si="1417"/>
        <v>0</v>
      </c>
      <c r="CAZ15">
        <f t="shared" si="1418"/>
        <v>0</v>
      </c>
      <c r="CBA15">
        <f t="shared" si="1419"/>
        <v>0</v>
      </c>
      <c r="CBB15">
        <f t="shared" si="1420"/>
        <v>0</v>
      </c>
      <c r="CBC15">
        <f t="shared" si="1421"/>
        <v>0</v>
      </c>
      <c r="CBD15">
        <f t="shared" si="1422"/>
        <v>0</v>
      </c>
      <c r="CBE15">
        <f t="shared" si="1423"/>
        <v>0</v>
      </c>
      <c r="CBF15">
        <f t="shared" si="1424"/>
        <v>0</v>
      </c>
      <c r="CBG15">
        <f t="shared" si="1425"/>
        <v>0</v>
      </c>
      <c r="CBH15">
        <f t="shared" si="1426"/>
        <v>0</v>
      </c>
      <c r="CBI15">
        <f t="shared" si="1427"/>
        <v>0</v>
      </c>
      <c r="CBJ15">
        <f t="shared" si="1428"/>
        <v>0</v>
      </c>
      <c r="CBK15">
        <f t="shared" si="1429"/>
        <v>0</v>
      </c>
      <c r="CBL15">
        <f t="shared" si="1430"/>
        <v>0</v>
      </c>
      <c r="CBM15">
        <f t="shared" si="1431"/>
        <v>0</v>
      </c>
      <c r="CBN15">
        <f t="shared" si="1432"/>
        <v>0</v>
      </c>
      <c r="CBO15">
        <f t="shared" si="1433"/>
        <v>0</v>
      </c>
      <c r="CBP15">
        <f t="shared" si="1434"/>
        <v>0</v>
      </c>
      <c r="CBQ15">
        <f t="shared" si="1435"/>
        <v>0</v>
      </c>
      <c r="CBR15">
        <f t="shared" si="1436"/>
        <v>0</v>
      </c>
      <c r="CBS15">
        <f t="shared" si="1437"/>
        <v>0</v>
      </c>
      <c r="CBT15">
        <f t="shared" si="1438"/>
        <v>0</v>
      </c>
      <c r="CBU15">
        <f t="shared" si="1439"/>
        <v>0</v>
      </c>
      <c r="CBV15">
        <f t="shared" si="1440"/>
        <v>0</v>
      </c>
      <c r="CBW15">
        <f t="shared" si="1441"/>
        <v>0</v>
      </c>
      <c r="CBX15">
        <f t="shared" si="1442"/>
        <v>0</v>
      </c>
      <c r="CBY15">
        <f t="shared" si="1443"/>
        <v>0</v>
      </c>
      <c r="CBZ15">
        <f t="shared" si="1444"/>
        <v>0</v>
      </c>
      <c r="CCA15">
        <f t="shared" si="1445"/>
        <v>0</v>
      </c>
      <c r="CCB15">
        <f t="shared" si="1446"/>
        <v>0</v>
      </c>
      <c r="CCC15">
        <f t="shared" si="1447"/>
        <v>0</v>
      </c>
      <c r="CCD15">
        <f t="shared" si="1448"/>
        <v>0</v>
      </c>
      <c r="CCE15">
        <f t="shared" si="1449"/>
        <v>0</v>
      </c>
      <c r="CCF15">
        <f t="shared" si="1450"/>
        <v>0</v>
      </c>
      <c r="CCG15">
        <f t="shared" si="1451"/>
        <v>0</v>
      </c>
      <c r="CCH15">
        <f t="shared" si="55"/>
        <v>0</v>
      </c>
      <c r="CCI15">
        <f t="shared" si="1452"/>
        <v>0</v>
      </c>
      <c r="CCJ15">
        <f t="shared" si="1453"/>
        <v>0</v>
      </c>
      <c r="CCK15">
        <f t="shared" si="1454"/>
        <v>0</v>
      </c>
      <c r="CCL15">
        <f t="shared" si="1455"/>
        <v>0</v>
      </c>
      <c r="CCM15">
        <f t="shared" si="1456"/>
        <v>0</v>
      </c>
      <c r="CCN15">
        <f t="shared" si="1457"/>
        <v>0</v>
      </c>
      <c r="CCO15">
        <f t="shared" si="1458"/>
        <v>0</v>
      </c>
      <c r="CCP15">
        <f t="shared" si="1459"/>
        <v>0</v>
      </c>
      <c r="CCQ15">
        <f t="shared" si="1460"/>
        <v>0</v>
      </c>
      <c r="CCR15">
        <f t="shared" si="1461"/>
        <v>0</v>
      </c>
      <c r="CCS15">
        <f t="shared" si="1462"/>
        <v>0</v>
      </c>
      <c r="CCT15">
        <f t="shared" si="1463"/>
        <v>0</v>
      </c>
      <c r="CCU15">
        <f t="shared" si="1464"/>
        <v>0</v>
      </c>
      <c r="CCV15">
        <f t="shared" si="1465"/>
        <v>0</v>
      </c>
      <c r="CCW15">
        <f t="shared" si="1466"/>
        <v>0</v>
      </c>
      <c r="CCX15">
        <f t="shared" si="1467"/>
        <v>0</v>
      </c>
      <c r="CCY15">
        <f t="shared" si="1468"/>
        <v>0</v>
      </c>
      <c r="CCZ15">
        <f t="shared" si="1469"/>
        <v>0</v>
      </c>
      <c r="CDA15">
        <f t="shared" si="1470"/>
        <v>0</v>
      </c>
      <c r="CDB15">
        <f t="shared" si="1471"/>
        <v>0</v>
      </c>
      <c r="CDC15">
        <f t="shared" si="1472"/>
        <v>0</v>
      </c>
      <c r="CDD15">
        <f t="shared" si="1473"/>
        <v>0</v>
      </c>
      <c r="CDE15">
        <f t="shared" si="1474"/>
        <v>0</v>
      </c>
      <c r="CDF15">
        <f t="shared" si="1475"/>
        <v>0</v>
      </c>
      <c r="CDG15">
        <f t="shared" si="1476"/>
        <v>0</v>
      </c>
      <c r="CDH15">
        <f t="shared" si="1477"/>
        <v>0</v>
      </c>
      <c r="CDI15">
        <f t="shared" si="1478"/>
        <v>0</v>
      </c>
      <c r="CDJ15">
        <f t="shared" si="1479"/>
        <v>0</v>
      </c>
      <c r="CDK15">
        <f t="shared" si="1480"/>
        <v>0</v>
      </c>
      <c r="CDL15">
        <f t="shared" si="1481"/>
        <v>0</v>
      </c>
      <c r="CDM15">
        <f t="shared" si="1482"/>
        <v>0</v>
      </c>
      <c r="CDN15">
        <f t="shared" si="1483"/>
        <v>0</v>
      </c>
      <c r="CDO15">
        <f t="shared" si="1484"/>
        <v>0</v>
      </c>
      <c r="CDP15">
        <f t="shared" si="1485"/>
        <v>0</v>
      </c>
      <c r="CDQ15">
        <f t="shared" si="1486"/>
        <v>0</v>
      </c>
      <c r="CDR15">
        <f t="shared" si="1487"/>
        <v>0</v>
      </c>
      <c r="CDS15">
        <f t="shared" si="1488"/>
        <v>0</v>
      </c>
      <c r="CDT15">
        <f t="shared" si="1489"/>
        <v>0</v>
      </c>
      <c r="CDU15">
        <f t="shared" si="1490"/>
        <v>0</v>
      </c>
      <c r="CDV15">
        <f t="shared" si="1491"/>
        <v>0</v>
      </c>
      <c r="CDW15">
        <f t="shared" si="1492"/>
        <v>0</v>
      </c>
      <c r="CDX15">
        <f t="shared" si="1493"/>
        <v>0</v>
      </c>
      <c r="CDY15">
        <f t="shared" si="1494"/>
        <v>0</v>
      </c>
      <c r="CDZ15">
        <f t="shared" si="1495"/>
        <v>0</v>
      </c>
      <c r="CEA15">
        <f t="shared" si="1496"/>
        <v>0</v>
      </c>
      <c r="CEB15">
        <f t="shared" si="1497"/>
        <v>0</v>
      </c>
      <c r="CEC15">
        <f t="shared" si="1498"/>
        <v>0</v>
      </c>
      <c r="CED15">
        <f t="shared" si="1499"/>
        <v>0</v>
      </c>
      <c r="CEE15">
        <f t="shared" si="1500"/>
        <v>0</v>
      </c>
      <c r="CEF15">
        <f t="shared" si="1501"/>
        <v>0</v>
      </c>
      <c r="CEG15">
        <f t="shared" si="1502"/>
        <v>0</v>
      </c>
      <c r="CEH15">
        <f t="shared" si="1503"/>
        <v>0</v>
      </c>
      <c r="CEI15">
        <f t="shared" si="1504"/>
        <v>0</v>
      </c>
      <c r="CEJ15">
        <f t="shared" si="1505"/>
        <v>0</v>
      </c>
      <c r="CEK15">
        <f t="shared" si="1506"/>
        <v>0</v>
      </c>
      <c r="CEL15">
        <f t="shared" si="1507"/>
        <v>0</v>
      </c>
      <c r="CEM15">
        <f t="shared" si="1508"/>
        <v>0</v>
      </c>
      <c r="CEN15">
        <f t="shared" si="1509"/>
        <v>0</v>
      </c>
      <c r="CEO15">
        <f t="shared" si="1510"/>
        <v>0</v>
      </c>
      <c r="CEP15">
        <f t="shared" si="1511"/>
        <v>0</v>
      </c>
      <c r="CEQ15">
        <f t="shared" si="1512"/>
        <v>0</v>
      </c>
      <c r="CER15">
        <f t="shared" si="1513"/>
        <v>0</v>
      </c>
      <c r="CES15">
        <f t="shared" si="1514"/>
        <v>0</v>
      </c>
      <c r="CET15">
        <f t="shared" si="56"/>
        <v>0</v>
      </c>
      <c r="CEU15">
        <f t="shared" si="1515"/>
        <v>0</v>
      </c>
      <c r="CEV15">
        <f t="shared" si="1516"/>
        <v>0</v>
      </c>
      <c r="CEW15">
        <f t="shared" si="1517"/>
        <v>0</v>
      </c>
      <c r="CEX15">
        <f t="shared" si="1518"/>
        <v>0</v>
      </c>
      <c r="CEY15">
        <f t="shared" si="1519"/>
        <v>0</v>
      </c>
      <c r="CEZ15">
        <f t="shared" si="1520"/>
        <v>0</v>
      </c>
      <c r="CFA15">
        <f t="shared" si="1521"/>
        <v>0</v>
      </c>
      <c r="CFB15">
        <f t="shared" si="1522"/>
        <v>0</v>
      </c>
      <c r="CFC15">
        <f t="shared" si="1523"/>
        <v>0</v>
      </c>
      <c r="CFD15">
        <f t="shared" si="1524"/>
        <v>0</v>
      </c>
      <c r="CFE15">
        <f t="shared" si="1525"/>
        <v>0</v>
      </c>
      <c r="CFF15">
        <f t="shared" si="1526"/>
        <v>0</v>
      </c>
      <c r="CFG15">
        <f t="shared" si="1527"/>
        <v>0</v>
      </c>
      <c r="CFH15">
        <f t="shared" si="1528"/>
        <v>0</v>
      </c>
      <c r="CFI15">
        <f t="shared" si="1529"/>
        <v>0</v>
      </c>
      <c r="CFJ15">
        <f t="shared" si="1530"/>
        <v>0</v>
      </c>
      <c r="CFK15">
        <f t="shared" si="1531"/>
        <v>0</v>
      </c>
      <c r="CFL15">
        <f t="shared" si="1532"/>
        <v>0</v>
      </c>
      <c r="CFM15">
        <f t="shared" si="1533"/>
        <v>0</v>
      </c>
      <c r="CFN15">
        <f t="shared" si="1534"/>
        <v>0</v>
      </c>
      <c r="CFO15">
        <f t="shared" si="1535"/>
        <v>0</v>
      </c>
      <c r="CFP15">
        <f t="shared" si="1536"/>
        <v>0</v>
      </c>
      <c r="CFQ15">
        <f t="shared" si="1537"/>
        <v>0</v>
      </c>
      <c r="CFR15">
        <f t="shared" si="1538"/>
        <v>0</v>
      </c>
      <c r="CFS15">
        <f t="shared" si="1539"/>
        <v>0</v>
      </c>
      <c r="CFT15">
        <f t="shared" si="1540"/>
        <v>0</v>
      </c>
      <c r="CFU15">
        <f t="shared" si="1541"/>
        <v>0</v>
      </c>
      <c r="CFV15">
        <f t="shared" si="1542"/>
        <v>0</v>
      </c>
      <c r="CFW15">
        <f t="shared" si="1543"/>
        <v>0</v>
      </c>
      <c r="CFX15">
        <f t="shared" si="1544"/>
        <v>0</v>
      </c>
      <c r="CFY15">
        <f t="shared" si="1545"/>
        <v>0</v>
      </c>
      <c r="CFZ15">
        <f t="shared" si="1546"/>
        <v>0</v>
      </c>
      <c r="CGA15">
        <f t="shared" si="1547"/>
        <v>0</v>
      </c>
      <c r="CGB15">
        <f t="shared" si="1548"/>
        <v>0</v>
      </c>
      <c r="CGC15">
        <f t="shared" si="1549"/>
        <v>0</v>
      </c>
      <c r="CGD15">
        <f t="shared" si="1550"/>
        <v>0</v>
      </c>
      <c r="CGE15">
        <f t="shared" si="1551"/>
        <v>0</v>
      </c>
      <c r="CGF15">
        <f t="shared" si="1552"/>
        <v>0</v>
      </c>
      <c r="CGG15">
        <f t="shared" si="1553"/>
        <v>0</v>
      </c>
      <c r="CGH15">
        <f t="shared" si="1554"/>
        <v>0</v>
      </c>
      <c r="CGI15">
        <f t="shared" si="1555"/>
        <v>0</v>
      </c>
      <c r="CGJ15">
        <f t="shared" si="1556"/>
        <v>0</v>
      </c>
      <c r="CGK15">
        <f t="shared" si="1557"/>
        <v>0</v>
      </c>
      <c r="CGL15">
        <f t="shared" si="1558"/>
        <v>0</v>
      </c>
      <c r="CGM15">
        <f t="shared" si="1559"/>
        <v>0</v>
      </c>
      <c r="CGN15">
        <f t="shared" si="1560"/>
        <v>0</v>
      </c>
      <c r="CGO15">
        <f t="shared" si="1561"/>
        <v>0</v>
      </c>
      <c r="CGP15">
        <f t="shared" si="1562"/>
        <v>0</v>
      </c>
      <c r="CGQ15">
        <f t="shared" si="1563"/>
        <v>0</v>
      </c>
      <c r="CGR15">
        <f t="shared" si="1564"/>
        <v>0</v>
      </c>
      <c r="CGS15">
        <f t="shared" si="1565"/>
        <v>0</v>
      </c>
      <c r="CGT15">
        <f t="shared" si="1566"/>
        <v>0</v>
      </c>
      <c r="CGU15">
        <f t="shared" si="1567"/>
        <v>0</v>
      </c>
      <c r="CGV15">
        <f t="shared" si="1568"/>
        <v>0</v>
      </c>
      <c r="CGW15">
        <f t="shared" si="1569"/>
        <v>0</v>
      </c>
      <c r="CGX15">
        <f t="shared" si="1570"/>
        <v>0</v>
      </c>
      <c r="CGY15">
        <f t="shared" si="1571"/>
        <v>0</v>
      </c>
      <c r="CGZ15">
        <f t="shared" si="1572"/>
        <v>0</v>
      </c>
      <c r="CHA15">
        <f t="shared" si="1573"/>
        <v>0</v>
      </c>
      <c r="CHB15">
        <f t="shared" si="1574"/>
        <v>0</v>
      </c>
      <c r="CHC15">
        <f t="shared" si="1575"/>
        <v>0</v>
      </c>
      <c r="CHD15">
        <f t="shared" si="1576"/>
        <v>0</v>
      </c>
      <c r="CHE15">
        <f t="shared" si="1577"/>
        <v>0</v>
      </c>
      <c r="CHF15">
        <f t="shared" si="57"/>
        <v>0</v>
      </c>
      <c r="CHG15">
        <f t="shared" si="1578"/>
        <v>0</v>
      </c>
      <c r="CHH15">
        <f t="shared" si="1579"/>
        <v>0</v>
      </c>
      <c r="CHI15">
        <f t="shared" si="1580"/>
        <v>0</v>
      </c>
      <c r="CHJ15">
        <f t="shared" si="1581"/>
        <v>0</v>
      </c>
      <c r="CHK15">
        <f t="shared" si="1582"/>
        <v>0</v>
      </c>
      <c r="CHL15">
        <f t="shared" si="1583"/>
        <v>0</v>
      </c>
      <c r="CHM15">
        <f t="shared" si="1584"/>
        <v>0</v>
      </c>
      <c r="CHN15">
        <f t="shared" si="1585"/>
        <v>0</v>
      </c>
      <c r="CHO15">
        <f t="shared" si="1586"/>
        <v>0</v>
      </c>
      <c r="CHP15">
        <f t="shared" si="1587"/>
        <v>0</v>
      </c>
      <c r="CHQ15">
        <f t="shared" si="1588"/>
        <v>0</v>
      </c>
      <c r="CHR15">
        <f t="shared" si="1589"/>
        <v>0</v>
      </c>
      <c r="CHS15">
        <f t="shared" si="1590"/>
        <v>0</v>
      </c>
      <c r="CHT15">
        <f t="shared" si="1591"/>
        <v>0</v>
      </c>
      <c r="CHU15">
        <f t="shared" si="1592"/>
        <v>0</v>
      </c>
      <c r="CHV15">
        <f t="shared" si="1593"/>
        <v>0</v>
      </c>
      <c r="CHW15">
        <f t="shared" si="1594"/>
        <v>0</v>
      </c>
      <c r="CHX15">
        <f t="shared" si="1595"/>
        <v>0</v>
      </c>
      <c r="CHY15">
        <f t="shared" si="1596"/>
        <v>0</v>
      </c>
      <c r="CHZ15">
        <f t="shared" si="1597"/>
        <v>0</v>
      </c>
      <c r="CIA15">
        <f t="shared" si="1598"/>
        <v>0</v>
      </c>
      <c r="CIB15">
        <f t="shared" si="1599"/>
        <v>0</v>
      </c>
      <c r="CIC15">
        <f t="shared" si="1600"/>
        <v>0</v>
      </c>
      <c r="CID15">
        <f t="shared" si="1601"/>
        <v>0</v>
      </c>
      <c r="CIE15">
        <f t="shared" si="1602"/>
        <v>0</v>
      </c>
      <c r="CIF15">
        <f t="shared" si="1603"/>
        <v>0</v>
      </c>
      <c r="CIG15">
        <f t="shared" si="1604"/>
        <v>0</v>
      </c>
      <c r="CIH15">
        <f t="shared" si="1605"/>
        <v>0</v>
      </c>
      <c r="CII15">
        <f t="shared" si="1606"/>
        <v>0</v>
      </c>
      <c r="CIJ15">
        <f t="shared" si="1607"/>
        <v>0</v>
      </c>
      <c r="CIK15">
        <f t="shared" si="1608"/>
        <v>0</v>
      </c>
      <c r="CIL15">
        <f t="shared" si="1609"/>
        <v>0</v>
      </c>
      <c r="CIM15">
        <f t="shared" si="1610"/>
        <v>0</v>
      </c>
      <c r="CIN15">
        <f t="shared" si="1611"/>
        <v>0</v>
      </c>
      <c r="CIO15">
        <f t="shared" si="1612"/>
        <v>0</v>
      </c>
      <c r="CIP15">
        <f t="shared" si="1613"/>
        <v>0</v>
      </c>
      <c r="CIQ15">
        <f t="shared" si="1614"/>
        <v>0</v>
      </c>
      <c r="CIR15">
        <f t="shared" si="1615"/>
        <v>0</v>
      </c>
      <c r="CIS15">
        <f t="shared" si="1616"/>
        <v>0</v>
      </c>
      <c r="CIT15">
        <f t="shared" si="1617"/>
        <v>0</v>
      </c>
      <c r="CIU15">
        <f t="shared" si="1618"/>
        <v>0</v>
      </c>
      <c r="CIV15">
        <f t="shared" si="1619"/>
        <v>0</v>
      </c>
      <c r="CIW15">
        <f t="shared" si="1620"/>
        <v>0</v>
      </c>
      <c r="CIX15">
        <f t="shared" si="1621"/>
        <v>0</v>
      </c>
      <c r="CIY15">
        <f t="shared" si="1622"/>
        <v>0</v>
      </c>
      <c r="CIZ15">
        <f t="shared" si="1623"/>
        <v>0</v>
      </c>
      <c r="CJA15">
        <f t="shared" si="1624"/>
        <v>0</v>
      </c>
      <c r="CJB15">
        <f t="shared" si="1625"/>
        <v>0</v>
      </c>
      <c r="CJC15">
        <f t="shared" si="1626"/>
        <v>0</v>
      </c>
      <c r="CJD15">
        <f t="shared" si="1627"/>
        <v>0</v>
      </c>
      <c r="CJE15">
        <f t="shared" si="1628"/>
        <v>0</v>
      </c>
      <c r="CJF15">
        <f t="shared" si="1629"/>
        <v>0</v>
      </c>
      <c r="CJG15">
        <f t="shared" si="1630"/>
        <v>0</v>
      </c>
      <c r="CJH15">
        <f t="shared" si="1631"/>
        <v>0</v>
      </c>
      <c r="CJI15">
        <f t="shared" si="1632"/>
        <v>0</v>
      </c>
      <c r="CJJ15">
        <f t="shared" si="1633"/>
        <v>0</v>
      </c>
      <c r="CJK15">
        <f t="shared" si="1634"/>
        <v>0</v>
      </c>
      <c r="CJL15">
        <f t="shared" si="1635"/>
        <v>0</v>
      </c>
      <c r="CJM15">
        <f t="shared" si="1636"/>
        <v>0</v>
      </c>
      <c r="CJN15">
        <f t="shared" si="1637"/>
        <v>0</v>
      </c>
      <c r="CJO15">
        <f t="shared" si="1638"/>
        <v>0</v>
      </c>
      <c r="CJP15">
        <f t="shared" si="1639"/>
        <v>0</v>
      </c>
      <c r="CJQ15">
        <f t="shared" si="1640"/>
        <v>0</v>
      </c>
      <c r="CJR15">
        <f t="shared" si="58"/>
        <v>0</v>
      </c>
      <c r="CJS15">
        <f t="shared" si="1641"/>
        <v>0</v>
      </c>
      <c r="CJT15">
        <f t="shared" si="1642"/>
        <v>0</v>
      </c>
      <c r="CJU15">
        <f t="shared" si="1643"/>
        <v>0</v>
      </c>
      <c r="CJV15">
        <f t="shared" si="1644"/>
        <v>0</v>
      </c>
      <c r="CJW15">
        <f t="shared" si="1645"/>
        <v>0</v>
      </c>
      <c r="CJX15">
        <f t="shared" si="1646"/>
        <v>0</v>
      </c>
      <c r="CJY15">
        <f t="shared" si="1647"/>
        <v>0</v>
      </c>
      <c r="CJZ15">
        <f t="shared" si="1648"/>
        <v>0</v>
      </c>
      <c r="CKA15">
        <f t="shared" si="1649"/>
        <v>0</v>
      </c>
      <c r="CKB15">
        <f t="shared" si="1650"/>
        <v>0</v>
      </c>
      <c r="CKC15">
        <f t="shared" si="1651"/>
        <v>0</v>
      </c>
      <c r="CKD15">
        <f t="shared" si="1652"/>
        <v>0</v>
      </c>
      <c r="CKE15">
        <f t="shared" si="1653"/>
        <v>0</v>
      </c>
      <c r="CKF15">
        <f t="shared" si="1654"/>
        <v>0</v>
      </c>
      <c r="CKG15">
        <f t="shared" si="1655"/>
        <v>0</v>
      </c>
      <c r="CKH15">
        <f t="shared" si="1656"/>
        <v>0</v>
      </c>
      <c r="CKI15">
        <f t="shared" si="1657"/>
        <v>0</v>
      </c>
      <c r="CKJ15">
        <f t="shared" si="1658"/>
        <v>0</v>
      </c>
      <c r="CKK15">
        <f t="shared" si="1659"/>
        <v>0</v>
      </c>
      <c r="CKL15">
        <f t="shared" si="1660"/>
        <v>0</v>
      </c>
      <c r="CKM15">
        <f t="shared" si="1661"/>
        <v>0</v>
      </c>
      <c r="CKN15">
        <f t="shared" si="1662"/>
        <v>0</v>
      </c>
      <c r="CKO15">
        <f t="shared" si="1663"/>
        <v>0</v>
      </c>
      <c r="CKP15">
        <f t="shared" si="1664"/>
        <v>0</v>
      </c>
      <c r="CKQ15">
        <f t="shared" si="1665"/>
        <v>0</v>
      </c>
      <c r="CKR15">
        <f t="shared" si="1666"/>
        <v>0</v>
      </c>
      <c r="CKS15">
        <f t="shared" si="1667"/>
        <v>0</v>
      </c>
      <c r="CKT15">
        <f t="shared" si="1668"/>
        <v>0</v>
      </c>
      <c r="CKU15">
        <f t="shared" si="1669"/>
        <v>0</v>
      </c>
      <c r="CKV15">
        <f t="shared" si="1670"/>
        <v>0</v>
      </c>
      <c r="CKW15">
        <f t="shared" si="1671"/>
        <v>0</v>
      </c>
      <c r="CKX15">
        <f t="shared" si="1672"/>
        <v>0</v>
      </c>
      <c r="CKY15">
        <f t="shared" si="1673"/>
        <v>0</v>
      </c>
      <c r="CKZ15">
        <f t="shared" si="1674"/>
        <v>0</v>
      </c>
      <c r="CLA15">
        <f t="shared" si="1675"/>
        <v>0</v>
      </c>
      <c r="CLB15">
        <f t="shared" si="1676"/>
        <v>0</v>
      </c>
      <c r="CLC15">
        <f t="shared" si="1677"/>
        <v>0</v>
      </c>
      <c r="CLD15">
        <f t="shared" si="1678"/>
        <v>0</v>
      </c>
      <c r="CLE15">
        <f t="shared" si="1679"/>
        <v>0</v>
      </c>
      <c r="CLF15">
        <f t="shared" si="1680"/>
        <v>0</v>
      </c>
      <c r="CLG15">
        <f t="shared" si="1681"/>
        <v>0</v>
      </c>
      <c r="CLH15">
        <f t="shared" si="1682"/>
        <v>0</v>
      </c>
      <c r="CLI15">
        <f t="shared" si="1683"/>
        <v>0</v>
      </c>
      <c r="CLJ15">
        <f t="shared" si="1684"/>
        <v>0</v>
      </c>
      <c r="CLK15">
        <f t="shared" si="1685"/>
        <v>0</v>
      </c>
      <c r="CLL15">
        <f t="shared" si="1686"/>
        <v>0</v>
      </c>
      <c r="CLM15">
        <f t="shared" si="1687"/>
        <v>0</v>
      </c>
      <c r="CLN15">
        <f t="shared" si="1688"/>
        <v>0</v>
      </c>
      <c r="CLO15">
        <f t="shared" si="1689"/>
        <v>0</v>
      </c>
      <c r="CLP15">
        <f t="shared" si="1690"/>
        <v>0</v>
      </c>
      <c r="CLQ15">
        <f t="shared" si="1691"/>
        <v>0</v>
      </c>
      <c r="CLR15">
        <f t="shared" si="1692"/>
        <v>0</v>
      </c>
      <c r="CLS15">
        <f t="shared" si="1693"/>
        <v>0</v>
      </c>
      <c r="CLT15">
        <f t="shared" si="1694"/>
        <v>0</v>
      </c>
      <c r="CLU15">
        <f t="shared" si="1695"/>
        <v>0</v>
      </c>
      <c r="CLV15">
        <f t="shared" si="1696"/>
        <v>0</v>
      </c>
      <c r="CLW15">
        <f t="shared" si="1697"/>
        <v>0</v>
      </c>
      <c r="CLX15">
        <f t="shared" si="1698"/>
        <v>0</v>
      </c>
      <c r="CLY15">
        <f t="shared" si="1699"/>
        <v>0</v>
      </c>
      <c r="CLZ15">
        <f t="shared" si="1700"/>
        <v>0</v>
      </c>
      <c r="CMA15">
        <f t="shared" si="1701"/>
        <v>0</v>
      </c>
      <c r="CMB15">
        <f t="shared" si="1702"/>
        <v>0</v>
      </c>
      <c r="CMC15">
        <f t="shared" si="1703"/>
        <v>0</v>
      </c>
      <c r="CMD15">
        <f t="shared" si="59"/>
        <v>0</v>
      </c>
      <c r="CME15">
        <f t="shared" si="1704"/>
        <v>0</v>
      </c>
      <c r="CMF15">
        <f t="shared" si="1705"/>
        <v>0</v>
      </c>
      <c r="CMG15">
        <f t="shared" si="1706"/>
        <v>0</v>
      </c>
      <c r="CMH15">
        <f t="shared" si="1707"/>
        <v>0</v>
      </c>
      <c r="CMI15">
        <f t="shared" si="1708"/>
        <v>0</v>
      </c>
      <c r="CMJ15">
        <f t="shared" si="1709"/>
        <v>0</v>
      </c>
      <c r="CMK15">
        <f t="shared" si="1710"/>
        <v>0</v>
      </c>
      <c r="CML15">
        <f t="shared" si="1711"/>
        <v>0</v>
      </c>
      <c r="CMM15">
        <f t="shared" si="1712"/>
        <v>0</v>
      </c>
      <c r="CMN15">
        <f t="shared" si="1713"/>
        <v>0</v>
      </c>
      <c r="CMO15">
        <f t="shared" si="1714"/>
        <v>0</v>
      </c>
      <c r="CMP15">
        <f t="shared" si="1715"/>
        <v>0</v>
      </c>
      <c r="CMQ15">
        <f t="shared" si="1716"/>
        <v>0</v>
      </c>
      <c r="CMR15">
        <f t="shared" si="1717"/>
        <v>0</v>
      </c>
      <c r="CMS15">
        <f t="shared" si="1718"/>
        <v>0</v>
      </c>
      <c r="CMT15">
        <f t="shared" si="1719"/>
        <v>0</v>
      </c>
      <c r="CMU15">
        <f t="shared" si="1720"/>
        <v>0</v>
      </c>
      <c r="CMV15">
        <f t="shared" si="1721"/>
        <v>0</v>
      </c>
      <c r="CMW15">
        <f t="shared" si="1722"/>
        <v>0</v>
      </c>
      <c r="CMX15">
        <f t="shared" si="1723"/>
        <v>0</v>
      </c>
      <c r="CMY15">
        <f t="shared" si="1724"/>
        <v>0</v>
      </c>
      <c r="CMZ15">
        <f t="shared" si="1725"/>
        <v>0</v>
      </c>
      <c r="CNA15">
        <f t="shared" si="1726"/>
        <v>0</v>
      </c>
      <c r="CNB15">
        <f t="shared" si="1727"/>
        <v>0</v>
      </c>
      <c r="CNC15">
        <f t="shared" si="1728"/>
        <v>0</v>
      </c>
      <c r="CND15">
        <f t="shared" si="1729"/>
        <v>0</v>
      </c>
      <c r="CNE15">
        <f t="shared" si="1730"/>
        <v>0</v>
      </c>
      <c r="CNF15">
        <f t="shared" si="1731"/>
        <v>0</v>
      </c>
      <c r="CNG15">
        <f t="shared" si="1732"/>
        <v>0</v>
      </c>
      <c r="CNH15">
        <f t="shared" si="1733"/>
        <v>0</v>
      </c>
      <c r="CNI15">
        <f t="shared" si="1734"/>
        <v>0</v>
      </c>
      <c r="CNJ15">
        <f t="shared" si="1735"/>
        <v>0</v>
      </c>
      <c r="CNK15">
        <f t="shared" si="1736"/>
        <v>0</v>
      </c>
      <c r="CNL15">
        <f t="shared" si="1737"/>
        <v>0</v>
      </c>
      <c r="CNM15">
        <f t="shared" si="1738"/>
        <v>0</v>
      </c>
      <c r="CNN15">
        <f t="shared" si="1739"/>
        <v>0</v>
      </c>
      <c r="CNO15">
        <f t="shared" si="1740"/>
        <v>0</v>
      </c>
      <c r="CNP15">
        <f t="shared" si="1741"/>
        <v>0</v>
      </c>
      <c r="CNQ15">
        <f t="shared" si="1742"/>
        <v>0</v>
      </c>
      <c r="CNR15">
        <f t="shared" si="1743"/>
        <v>0</v>
      </c>
      <c r="CNS15">
        <f t="shared" si="1744"/>
        <v>0</v>
      </c>
      <c r="CNT15">
        <f t="shared" si="1745"/>
        <v>0</v>
      </c>
      <c r="CNU15">
        <f t="shared" si="1746"/>
        <v>0</v>
      </c>
      <c r="CNV15">
        <f t="shared" si="1747"/>
        <v>0</v>
      </c>
      <c r="CNW15">
        <f t="shared" si="1748"/>
        <v>0</v>
      </c>
      <c r="CNX15">
        <f t="shared" si="1749"/>
        <v>0</v>
      </c>
      <c r="CNY15">
        <f t="shared" si="1750"/>
        <v>0</v>
      </c>
      <c r="CNZ15">
        <f t="shared" si="1751"/>
        <v>0</v>
      </c>
      <c r="COA15">
        <f t="shared" si="1752"/>
        <v>0</v>
      </c>
      <c r="COB15">
        <f t="shared" si="1753"/>
        <v>0</v>
      </c>
      <c r="COC15">
        <f t="shared" si="1754"/>
        <v>0</v>
      </c>
      <c r="COD15">
        <f t="shared" si="1755"/>
        <v>0</v>
      </c>
      <c r="COE15">
        <f t="shared" si="1756"/>
        <v>0</v>
      </c>
      <c r="COF15">
        <f t="shared" si="1757"/>
        <v>0</v>
      </c>
      <c r="COG15">
        <f t="shared" si="1758"/>
        <v>0</v>
      </c>
      <c r="COH15">
        <f t="shared" si="1759"/>
        <v>0</v>
      </c>
      <c r="COI15">
        <f t="shared" si="1760"/>
        <v>0</v>
      </c>
      <c r="COJ15">
        <f t="shared" si="1761"/>
        <v>0</v>
      </c>
      <c r="COK15">
        <f t="shared" si="1762"/>
        <v>0</v>
      </c>
      <c r="COL15">
        <f t="shared" si="1763"/>
        <v>0</v>
      </c>
      <c r="COM15">
        <f t="shared" si="1764"/>
        <v>0</v>
      </c>
      <c r="CON15">
        <f t="shared" si="1765"/>
        <v>0</v>
      </c>
      <c r="COO15">
        <f t="shared" si="1766"/>
        <v>0</v>
      </c>
      <c r="COP15">
        <f t="shared" si="60"/>
        <v>0</v>
      </c>
      <c r="COQ15">
        <f t="shared" si="1767"/>
        <v>0</v>
      </c>
      <c r="COR15">
        <f t="shared" si="1768"/>
        <v>0</v>
      </c>
      <c r="COS15">
        <f t="shared" si="1769"/>
        <v>0</v>
      </c>
      <c r="COT15">
        <f t="shared" si="1770"/>
        <v>0</v>
      </c>
      <c r="COU15">
        <f t="shared" si="1771"/>
        <v>0</v>
      </c>
      <c r="COV15">
        <f t="shared" si="1772"/>
        <v>0</v>
      </c>
      <c r="COW15">
        <f t="shared" si="1773"/>
        <v>0</v>
      </c>
      <c r="COX15">
        <f t="shared" si="1774"/>
        <v>0</v>
      </c>
      <c r="COY15">
        <f t="shared" si="1775"/>
        <v>0</v>
      </c>
      <c r="COZ15">
        <f t="shared" si="1776"/>
        <v>0</v>
      </c>
      <c r="CPA15">
        <f t="shared" si="1777"/>
        <v>0</v>
      </c>
      <c r="CPB15">
        <f t="shared" si="1778"/>
        <v>0</v>
      </c>
      <c r="CPC15">
        <f t="shared" si="1779"/>
        <v>0</v>
      </c>
      <c r="CPD15">
        <f t="shared" si="1780"/>
        <v>0</v>
      </c>
      <c r="CPE15">
        <f t="shared" si="1781"/>
        <v>0</v>
      </c>
      <c r="CPF15">
        <f t="shared" si="1782"/>
        <v>0</v>
      </c>
      <c r="CPG15">
        <f t="shared" si="1783"/>
        <v>0</v>
      </c>
      <c r="CPH15">
        <f t="shared" si="1784"/>
        <v>0</v>
      </c>
      <c r="CPI15">
        <f t="shared" si="1785"/>
        <v>0</v>
      </c>
      <c r="CPJ15">
        <f t="shared" si="1786"/>
        <v>0</v>
      </c>
      <c r="CPK15">
        <f t="shared" si="1787"/>
        <v>0</v>
      </c>
      <c r="CPL15">
        <f t="shared" si="1788"/>
        <v>0</v>
      </c>
      <c r="CPM15">
        <f t="shared" si="1789"/>
        <v>0</v>
      </c>
      <c r="CPN15">
        <f t="shared" si="1790"/>
        <v>0</v>
      </c>
      <c r="CPO15">
        <f t="shared" si="1791"/>
        <v>0</v>
      </c>
      <c r="CPP15">
        <f t="shared" si="1792"/>
        <v>0</v>
      </c>
      <c r="CPQ15">
        <f t="shared" si="1793"/>
        <v>0</v>
      </c>
      <c r="CPR15">
        <f t="shared" si="1794"/>
        <v>0</v>
      </c>
      <c r="CPS15">
        <f t="shared" si="1795"/>
        <v>0</v>
      </c>
      <c r="CPT15">
        <f t="shared" si="1796"/>
        <v>0</v>
      </c>
      <c r="CPU15">
        <f t="shared" si="1797"/>
        <v>0</v>
      </c>
      <c r="CPV15">
        <f t="shared" si="1798"/>
        <v>0</v>
      </c>
      <c r="CPW15">
        <f t="shared" si="1799"/>
        <v>0</v>
      </c>
      <c r="CPX15">
        <f t="shared" si="1800"/>
        <v>0</v>
      </c>
      <c r="CPY15">
        <f t="shared" si="1801"/>
        <v>0</v>
      </c>
      <c r="CPZ15">
        <f t="shared" si="1802"/>
        <v>0</v>
      </c>
      <c r="CQA15">
        <f t="shared" si="1803"/>
        <v>0</v>
      </c>
      <c r="CQB15">
        <f t="shared" si="1804"/>
        <v>0</v>
      </c>
      <c r="CQC15">
        <f t="shared" si="1805"/>
        <v>0</v>
      </c>
      <c r="CQD15">
        <f t="shared" si="1806"/>
        <v>0</v>
      </c>
      <c r="CQE15">
        <f t="shared" si="1807"/>
        <v>0</v>
      </c>
      <c r="CQF15">
        <f t="shared" si="1808"/>
        <v>0</v>
      </c>
      <c r="CQG15">
        <f t="shared" si="1809"/>
        <v>0</v>
      </c>
      <c r="CQH15">
        <f t="shared" si="1810"/>
        <v>0</v>
      </c>
      <c r="CQI15">
        <f t="shared" si="1811"/>
        <v>0</v>
      </c>
      <c r="CQJ15">
        <f t="shared" si="1812"/>
        <v>0</v>
      </c>
      <c r="CQK15">
        <f t="shared" si="1813"/>
        <v>0</v>
      </c>
      <c r="CQL15">
        <f t="shared" si="1814"/>
        <v>0</v>
      </c>
      <c r="CQM15">
        <f t="shared" si="1815"/>
        <v>0</v>
      </c>
      <c r="CQN15">
        <f t="shared" si="1816"/>
        <v>0</v>
      </c>
      <c r="CQO15">
        <f t="shared" si="1817"/>
        <v>0</v>
      </c>
      <c r="CQP15">
        <f t="shared" si="1818"/>
        <v>0</v>
      </c>
      <c r="CQQ15">
        <f t="shared" si="1819"/>
        <v>0</v>
      </c>
      <c r="CQR15">
        <f t="shared" si="1820"/>
        <v>0</v>
      </c>
      <c r="CQS15">
        <f t="shared" si="1821"/>
        <v>0</v>
      </c>
      <c r="CQT15">
        <f t="shared" si="1822"/>
        <v>0</v>
      </c>
      <c r="CQU15">
        <f t="shared" si="1823"/>
        <v>0</v>
      </c>
      <c r="CQV15">
        <f t="shared" si="1824"/>
        <v>0</v>
      </c>
      <c r="CQW15">
        <f t="shared" si="1825"/>
        <v>0</v>
      </c>
      <c r="CQX15">
        <f t="shared" si="1826"/>
        <v>0</v>
      </c>
      <c r="CQY15">
        <f t="shared" si="1827"/>
        <v>0</v>
      </c>
      <c r="CQZ15">
        <f t="shared" si="1828"/>
        <v>0</v>
      </c>
      <c r="CRA15">
        <f t="shared" si="1829"/>
        <v>0</v>
      </c>
      <c r="CRB15">
        <f t="shared" si="61"/>
        <v>0</v>
      </c>
      <c r="CRC15">
        <f t="shared" si="1830"/>
        <v>0</v>
      </c>
      <c r="CRD15">
        <f t="shared" si="1831"/>
        <v>0</v>
      </c>
      <c r="CRE15">
        <f t="shared" si="1832"/>
        <v>0</v>
      </c>
      <c r="CRF15">
        <f t="shared" si="1833"/>
        <v>0</v>
      </c>
      <c r="CRG15">
        <f t="shared" si="1834"/>
        <v>0</v>
      </c>
      <c r="CRH15">
        <f t="shared" si="1835"/>
        <v>0</v>
      </c>
      <c r="CRI15">
        <f t="shared" si="1836"/>
        <v>0</v>
      </c>
      <c r="CRJ15">
        <f t="shared" si="1837"/>
        <v>0</v>
      </c>
      <c r="CRK15">
        <f t="shared" si="1838"/>
        <v>0</v>
      </c>
      <c r="CRL15">
        <f t="shared" si="1839"/>
        <v>0</v>
      </c>
      <c r="CRM15">
        <f t="shared" si="1840"/>
        <v>0</v>
      </c>
      <c r="CRN15">
        <f t="shared" si="1841"/>
        <v>0</v>
      </c>
      <c r="CRO15">
        <f t="shared" si="1842"/>
        <v>0</v>
      </c>
      <c r="CRP15">
        <f t="shared" si="1843"/>
        <v>0</v>
      </c>
      <c r="CRQ15">
        <f t="shared" si="1844"/>
        <v>0</v>
      </c>
      <c r="CRR15">
        <f t="shared" si="1845"/>
        <v>0</v>
      </c>
      <c r="CRS15">
        <f t="shared" si="1846"/>
        <v>0</v>
      </c>
      <c r="CRT15">
        <f t="shared" si="1847"/>
        <v>0</v>
      </c>
      <c r="CRU15">
        <f t="shared" si="1848"/>
        <v>0</v>
      </c>
      <c r="CRV15">
        <f t="shared" si="1849"/>
        <v>0</v>
      </c>
      <c r="CRW15">
        <f t="shared" si="1850"/>
        <v>0</v>
      </c>
      <c r="CRX15">
        <f t="shared" si="1851"/>
        <v>0</v>
      </c>
      <c r="CRY15">
        <f t="shared" si="1852"/>
        <v>0</v>
      </c>
      <c r="CRZ15">
        <f t="shared" si="1853"/>
        <v>0</v>
      </c>
      <c r="CSA15">
        <f t="shared" si="1854"/>
        <v>0</v>
      </c>
      <c r="CSB15">
        <f t="shared" si="1855"/>
        <v>0</v>
      </c>
      <c r="CSC15">
        <f t="shared" si="1856"/>
        <v>0</v>
      </c>
      <c r="CSD15">
        <f t="shared" si="1857"/>
        <v>0</v>
      </c>
      <c r="CSE15">
        <f t="shared" si="1858"/>
        <v>0</v>
      </c>
      <c r="CSF15">
        <f t="shared" si="1859"/>
        <v>0</v>
      </c>
      <c r="CSG15">
        <f t="shared" si="1860"/>
        <v>0</v>
      </c>
      <c r="CSH15">
        <f t="shared" si="1861"/>
        <v>0</v>
      </c>
      <c r="CSI15">
        <f t="shared" si="1862"/>
        <v>0</v>
      </c>
      <c r="CSJ15">
        <f t="shared" si="1863"/>
        <v>0</v>
      </c>
      <c r="CSK15">
        <f t="shared" si="1864"/>
        <v>0</v>
      </c>
      <c r="CSL15">
        <f t="shared" si="1865"/>
        <v>0</v>
      </c>
      <c r="CSM15">
        <f t="shared" si="1866"/>
        <v>0</v>
      </c>
      <c r="CSN15">
        <f t="shared" si="1867"/>
        <v>0</v>
      </c>
      <c r="CSO15">
        <f t="shared" si="1868"/>
        <v>0</v>
      </c>
      <c r="CSP15">
        <f t="shared" si="1869"/>
        <v>0</v>
      </c>
      <c r="CSQ15">
        <f t="shared" si="1870"/>
        <v>0</v>
      </c>
      <c r="CSR15">
        <f t="shared" si="1871"/>
        <v>0</v>
      </c>
      <c r="CSS15">
        <f t="shared" si="1872"/>
        <v>0</v>
      </c>
      <c r="CST15">
        <f t="shared" si="1873"/>
        <v>0</v>
      </c>
      <c r="CSU15">
        <f t="shared" si="1874"/>
        <v>0</v>
      </c>
      <c r="CSV15">
        <f t="shared" si="1875"/>
        <v>0</v>
      </c>
      <c r="CSW15">
        <f t="shared" si="1876"/>
        <v>0</v>
      </c>
      <c r="CSX15">
        <f t="shared" si="1877"/>
        <v>0</v>
      </c>
      <c r="CSY15">
        <f t="shared" si="1878"/>
        <v>0</v>
      </c>
      <c r="CSZ15">
        <f t="shared" si="1879"/>
        <v>0</v>
      </c>
      <c r="CTA15">
        <f t="shared" si="1880"/>
        <v>0</v>
      </c>
      <c r="CTB15">
        <f t="shared" si="1881"/>
        <v>0</v>
      </c>
      <c r="CTC15">
        <f t="shared" si="1882"/>
        <v>0</v>
      </c>
      <c r="CTD15">
        <f t="shared" si="1883"/>
        <v>0</v>
      </c>
      <c r="CTE15">
        <f t="shared" si="1884"/>
        <v>0</v>
      </c>
      <c r="CTF15">
        <f t="shared" si="1885"/>
        <v>0</v>
      </c>
      <c r="CTG15">
        <f t="shared" si="1886"/>
        <v>0</v>
      </c>
      <c r="CTH15">
        <f t="shared" si="1887"/>
        <v>0</v>
      </c>
      <c r="CTI15">
        <f t="shared" si="1888"/>
        <v>0</v>
      </c>
      <c r="CTJ15">
        <f t="shared" si="1889"/>
        <v>0</v>
      </c>
      <c r="CTK15">
        <f t="shared" si="1890"/>
        <v>0</v>
      </c>
      <c r="CTL15">
        <f t="shared" si="1891"/>
        <v>0</v>
      </c>
      <c r="CTM15">
        <f t="shared" si="1892"/>
        <v>0</v>
      </c>
      <c r="CTN15">
        <f t="shared" si="62"/>
        <v>0</v>
      </c>
      <c r="CTO15">
        <f t="shared" si="1893"/>
        <v>0</v>
      </c>
      <c r="CTP15">
        <f t="shared" si="1894"/>
        <v>0</v>
      </c>
      <c r="CTQ15">
        <f t="shared" si="1895"/>
        <v>0</v>
      </c>
      <c r="CTR15">
        <f t="shared" si="1896"/>
        <v>0</v>
      </c>
      <c r="CTS15">
        <f t="shared" si="1897"/>
        <v>0</v>
      </c>
      <c r="CTT15">
        <f t="shared" si="1898"/>
        <v>0</v>
      </c>
      <c r="CTU15">
        <f t="shared" si="1899"/>
        <v>0</v>
      </c>
      <c r="CTV15">
        <f t="shared" si="1900"/>
        <v>0</v>
      </c>
      <c r="CTW15">
        <f t="shared" si="1901"/>
        <v>0</v>
      </c>
      <c r="CTX15">
        <f t="shared" si="1902"/>
        <v>0</v>
      </c>
      <c r="CTY15">
        <f t="shared" si="1903"/>
        <v>0</v>
      </c>
      <c r="CTZ15">
        <f t="shared" si="1904"/>
        <v>0</v>
      </c>
      <c r="CUA15">
        <f t="shared" si="1905"/>
        <v>0</v>
      </c>
      <c r="CUB15">
        <f t="shared" si="1906"/>
        <v>0</v>
      </c>
      <c r="CUC15">
        <f t="shared" si="1907"/>
        <v>0</v>
      </c>
      <c r="CUD15">
        <f t="shared" si="1908"/>
        <v>0</v>
      </c>
      <c r="CUE15">
        <f t="shared" si="1909"/>
        <v>0</v>
      </c>
      <c r="CUF15">
        <f t="shared" si="1910"/>
        <v>0</v>
      </c>
      <c r="CUG15">
        <f t="shared" si="1911"/>
        <v>0</v>
      </c>
      <c r="CUH15">
        <f t="shared" si="1912"/>
        <v>0</v>
      </c>
      <c r="CUI15">
        <f t="shared" si="1913"/>
        <v>0</v>
      </c>
      <c r="CUJ15">
        <f t="shared" si="1914"/>
        <v>0</v>
      </c>
      <c r="CUK15">
        <f t="shared" si="1915"/>
        <v>0</v>
      </c>
      <c r="CUL15">
        <f t="shared" si="1916"/>
        <v>0</v>
      </c>
      <c r="CUM15">
        <f t="shared" si="1917"/>
        <v>0</v>
      </c>
      <c r="CUN15">
        <f t="shared" si="1918"/>
        <v>0</v>
      </c>
      <c r="CUO15">
        <f t="shared" si="1919"/>
        <v>0</v>
      </c>
      <c r="CUP15">
        <f t="shared" si="1920"/>
        <v>0</v>
      </c>
      <c r="CUQ15">
        <f t="shared" si="1921"/>
        <v>0</v>
      </c>
      <c r="CUR15">
        <f t="shared" si="1922"/>
        <v>0</v>
      </c>
      <c r="CUS15">
        <f t="shared" si="1923"/>
        <v>0</v>
      </c>
      <c r="CUT15">
        <f t="shared" si="1924"/>
        <v>0</v>
      </c>
      <c r="CUU15">
        <f t="shared" si="1925"/>
        <v>0</v>
      </c>
      <c r="CUV15">
        <f t="shared" si="1926"/>
        <v>0</v>
      </c>
      <c r="CUW15">
        <f t="shared" si="1927"/>
        <v>0</v>
      </c>
      <c r="CUX15">
        <f t="shared" si="1928"/>
        <v>0</v>
      </c>
      <c r="CUY15">
        <f t="shared" si="1929"/>
        <v>0</v>
      </c>
      <c r="CUZ15">
        <f t="shared" si="1930"/>
        <v>0</v>
      </c>
      <c r="CVA15">
        <f t="shared" si="1931"/>
        <v>0</v>
      </c>
      <c r="CVB15">
        <f t="shared" si="1932"/>
        <v>0</v>
      </c>
      <c r="CVC15">
        <f t="shared" si="1933"/>
        <v>0</v>
      </c>
      <c r="CVD15">
        <f t="shared" si="1934"/>
        <v>0</v>
      </c>
      <c r="CVE15">
        <f t="shared" si="1935"/>
        <v>0</v>
      </c>
      <c r="CVF15">
        <f t="shared" si="1936"/>
        <v>0</v>
      </c>
      <c r="CVG15">
        <f t="shared" si="1937"/>
        <v>0</v>
      </c>
      <c r="CVH15">
        <f t="shared" si="1938"/>
        <v>0</v>
      </c>
      <c r="CVI15">
        <f t="shared" si="1939"/>
        <v>0</v>
      </c>
      <c r="CVJ15">
        <f t="shared" si="1940"/>
        <v>0</v>
      </c>
      <c r="CVK15">
        <f t="shared" si="1941"/>
        <v>0</v>
      </c>
      <c r="CVL15">
        <f t="shared" si="1942"/>
        <v>0</v>
      </c>
      <c r="CVM15">
        <f t="shared" si="1943"/>
        <v>0</v>
      </c>
      <c r="CVN15">
        <f t="shared" si="1944"/>
        <v>0</v>
      </c>
      <c r="CVO15">
        <f t="shared" si="1945"/>
        <v>0</v>
      </c>
      <c r="CVP15">
        <f t="shared" si="1946"/>
        <v>0</v>
      </c>
      <c r="CVQ15">
        <f t="shared" si="1947"/>
        <v>0</v>
      </c>
      <c r="CVR15">
        <f t="shared" si="1948"/>
        <v>0</v>
      </c>
      <c r="CVS15">
        <f t="shared" si="1949"/>
        <v>0</v>
      </c>
      <c r="CVT15">
        <f t="shared" si="1950"/>
        <v>0</v>
      </c>
      <c r="CVU15">
        <f t="shared" si="1951"/>
        <v>0</v>
      </c>
      <c r="CVV15">
        <f t="shared" si="1952"/>
        <v>0</v>
      </c>
      <c r="CVW15">
        <f t="shared" si="1953"/>
        <v>0</v>
      </c>
      <c r="CVX15">
        <f t="shared" si="1954"/>
        <v>0</v>
      </c>
      <c r="CVY15">
        <f t="shared" si="1955"/>
        <v>0</v>
      </c>
      <c r="CVZ15">
        <f t="shared" si="63"/>
        <v>0</v>
      </c>
      <c r="CWA15">
        <f t="shared" si="1956"/>
        <v>0</v>
      </c>
      <c r="CWB15">
        <f t="shared" si="1957"/>
        <v>0</v>
      </c>
      <c r="CWC15">
        <f t="shared" si="1958"/>
        <v>0</v>
      </c>
      <c r="CWD15">
        <f t="shared" si="1959"/>
        <v>0</v>
      </c>
      <c r="CWE15">
        <f t="shared" si="1960"/>
        <v>0</v>
      </c>
      <c r="CWF15">
        <f t="shared" si="1961"/>
        <v>0</v>
      </c>
      <c r="CWG15">
        <f t="shared" si="1962"/>
        <v>0</v>
      </c>
      <c r="CWH15">
        <f t="shared" si="1963"/>
        <v>0</v>
      </c>
      <c r="CWI15">
        <f t="shared" si="1964"/>
        <v>0</v>
      </c>
      <c r="CWJ15">
        <f t="shared" si="1965"/>
        <v>0</v>
      </c>
      <c r="CWK15">
        <f t="shared" si="1966"/>
        <v>0</v>
      </c>
      <c r="CWL15">
        <f t="shared" si="1967"/>
        <v>0</v>
      </c>
      <c r="CWM15">
        <f t="shared" si="1968"/>
        <v>0</v>
      </c>
      <c r="CWN15">
        <f t="shared" si="1969"/>
        <v>0</v>
      </c>
      <c r="CWO15">
        <f t="shared" si="1970"/>
        <v>0</v>
      </c>
      <c r="CWP15">
        <f t="shared" si="1971"/>
        <v>0</v>
      </c>
      <c r="CWQ15">
        <f t="shared" si="1972"/>
        <v>0</v>
      </c>
      <c r="CWR15">
        <f t="shared" si="1973"/>
        <v>0</v>
      </c>
      <c r="CWS15">
        <f t="shared" si="1974"/>
        <v>0</v>
      </c>
      <c r="CWT15">
        <f t="shared" si="1975"/>
        <v>0</v>
      </c>
      <c r="CWU15">
        <f t="shared" si="1976"/>
        <v>0</v>
      </c>
      <c r="CWV15">
        <f t="shared" si="1977"/>
        <v>0</v>
      </c>
      <c r="CWW15">
        <f t="shared" si="1978"/>
        <v>0</v>
      </c>
      <c r="CWX15">
        <f t="shared" si="1979"/>
        <v>0</v>
      </c>
      <c r="CWY15">
        <f t="shared" si="1980"/>
        <v>0</v>
      </c>
      <c r="CWZ15">
        <f t="shared" si="1981"/>
        <v>0</v>
      </c>
      <c r="CXA15">
        <f t="shared" si="1982"/>
        <v>0</v>
      </c>
      <c r="CXB15">
        <f t="shared" si="1983"/>
        <v>0</v>
      </c>
      <c r="CXC15">
        <f t="shared" si="1984"/>
        <v>0</v>
      </c>
      <c r="CXD15">
        <f t="shared" si="1985"/>
        <v>0</v>
      </c>
      <c r="CXE15">
        <f t="shared" si="1986"/>
        <v>0</v>
      </c>
      <c r="CXF15">
        <f t="shared" si="1987"/>
        <v>0</v>
      </c>
      <c r="CXG15">
        <f t="shared" si="1988"/>
        <v>0</v>
      </c>
      <c r="CXH15">
        <f t="shared" si="1989"/>
        <v>0</v>
      </c>
      <c r="CXI15">
        <f t="shared" si="1990"/>
        <v>0</v>
      </c>
      <c r="CXJ15">
        <f t="shared" si="1991"/>
        <v>0</v>
      </c>
      <c r="CXK15">
        <f t="shared" si="1992"/>
        <v>0</v>
      </c>
      <c r="CXL15">
        <f t="shared" si="1993"/>
        <v>0</v>
      </c>
      <c r="CXM15">
        <f t="shared" si="1994"/>
        <v>0</v>
      </c>
      <c r="CXN15">
        <f t="shared" si="1995"/>
        <v>0</v>
      </c>
      <c r="CXO15">
        <f t="shared" si="1996"/>
        <v>0</v>
      </c>
      <c r="CXP15">
        <f t="shared" si="1997"/>
        <v>0</v>
      </c>
      <c r="CXQ15">
        <f t="shared" si="1998"/>
        <v>0</v>
      </c>
      <c r="CXR15">
        <f t="shared" si="1999"/>
        <v>0</v>
      </c>
      <c r="CXS15">
        <f t="shared" si="2000"/>
        <v>0</v>
      </c>
      <c r="CXT15">
        <f t="shared" si="2001"/>
        <v>0</v>
      </c>
      <c r="CXU15">
        <f t="shared" si="2002"/>
        <v>0</v>
      </c>
      <c r="CXV15">
        <f t="shared" si="2003"/>
        <v>0</v>
      </c>
      <c r="CXW15">
        <f t="shared" si="2004"/>
        <v>0</v>
      </c>
      <c r="CXX15">
        <f t="shared" si="2005"/>
        <v>0</v>
      </c>
      <c r="CXY15">
        <f t="shared" si="2006"/>
        <v>0</v>
      </c>
      <c r="CXZ15">
        <f t="shared" si="2007"/>
        <v>0</v>
      </c>
      <c r="CYA15">
        <f t="shared" si="2008"/>
        <v>0</v>
      </c>
      <c r="CYB15">
        <f t="shared" si="2009"/>
        <v>0</v>
      </c>
      <c r="CYC15">
        <f t="shared" si="2010"/>
        <v>0</v>
      </c>
      <c r="CYD15">
        <f t="shared" si="2011"/>
        <v>0</v>
      </c>
      <c r="CYE15">
        <f t="shared" si="2012"/>
        <v>0</v>
      </c>
      <c r="CYF15">
        <f t="shared" si="2013"/>
        <v>0</v>
      </c>
      <c r="CYG15">
        <f t="shared" si="2014"/>
        <v>0</v>
      </c>
      <c r="CYH15">
        <f t="shared" si="2015"/>
        <v>0</v>
      </c>
      <c r="CYI15">
        <f t="shared" si="2016"/>
        <v>0</v>
      </c>
      <c r="CYJ15">
        <f t="shared" si="2017"/>
        <v>0</v>
      </c>
      <c r="CYK15">
        <f t="shared" si="2018"/>
        <v>0</v>
      </c>
      <c r="CYL15">
        <f t="shared" si="64"/>
        <v>0</v>
      </c>
      <c r="CYM15">
        <f t="shared" si="2019"/>
        <v>0</v>
      </c>
      <c r="CYN15">
        <f t="shared" si="2020"/>
        <v>0</v>
      </c>
      <c r="CYO15">
        <f t="shared" si="2021"/>
        <v>0</v>
      </c>
      <c r="CYP15">
        <f t="shared" si="2022"/>
        <v>0</v>
      </c>
      <c r="CYQ15">
        <f t="shared" si="2023"/>
        <v>0</v>
      </c>
      <c r="CYR15">
        <f t="shared" si="2024"/>
        <v>0</v>
      </c>
      <c r="CYS15">
        <f t="shared" si="2025"/>
        <v>0</v>
      </c>
      <c r="CYT15">
        <f t="shared" si="2026"/>
        <v>0</v>
      </c>
      <c r="CYU15">
        <f t="shared" si="2027"/>
        <v>0</v>
      </c>
      <c r="CYV15">
        <f t="shared" si="2028"/>
        <v>0</v>
      </c>
      <c r="CYW15">
        <f t="shared" si="2029"/>
        <v>0</v>
      </c>
      <c r="CYX15">
        <f t="shared" si="2030"/>
        <v>0</v>
      </c>
      <c r="CYY15">
        <f t="shared" si="2031"/>
        <v>0</v>
      </c>
      <c r="CYZ15">
        <f t="shared" si="2032"/>
        <v>0</v>
      </c>
      <c r="CZA15">
        <f t="shared" si="2033"/>
        <v>0</v>
      </c>
      <c r="CZB15">
        <f t="shared" si="2034"/>
        <v>0</v>
      </c>
      <c r="CZC15">
        <f t="shared" si="2035"/>
        <v>0</v>
      </c>
      <c r="CZD15">
        <f t="shared" si="2036"/>
        <v>0</v>
      </c>
      <c r="CZE15">
        <f t="shared" si="2037"/>
        <v>0</v>
      </c>
      <c r="CZF15">
        <f t="shared" si="2038"/>
        <v>0</v>
      </c>
      <c r="CZG15">
        <f t="shared" si="2039"/>
        <v>0</v>
      </c>
      <c r="CZH15">
        <f t="shared" si="2040"/>
        <v>0</v>
      </c>
      <c r="CZI15">
        <f t="shared" si="2041"/>
        <v>0</v>
      </c>
      <c r="CZJ15">
        <f t="shared" si="2042"/>
        <v>0</v>
      </c>
      <c r="CZK15">
        <f t="shared" si="2043"/>
        <v>0</v>
      </c>
      <c r="CZL15">
        <f t="shared" si="2044"/>
        <v>0</v>
      </c>
      <c r="CZM15">
        <f t="shared" si="2045"/>
        <v>0</v>
      </c>
      <c r="CZN15">
        <f t="shared" si="2046"/>
        <v>0</v>
      </c>
      <c r="CZO15">
        <f t="shared" si="2047"/>
        <v>0</v>
      </c>
      <c r="CZP15">
        <f t="shared" si="2048"/>
        <v>0</v>
      </c>
      <c r="CZQ15">
        <f t="shared" si="2049"/>
        <v>0</v>
      </c>
      <c r="CZR15">
        <f t="shared" si="2050"/>
        <v>0</v>
      </c>
      <c r="CZS15">
        <f t="shared" si="2051"/>
        <v>0</v>
      </c>
      <c r="CZT15">
        <f t="shared" si="2052"/>
        <v>0</v>
      </c>
      <c r="CZU15">
        <f t="shared" si="2053"/>
        <v>0</v>
      </c>
      <c r="CZV15">
        <f t="shared" si="2054"/>
        <v>0</v>
      </c>
      <c r="CZW15">
        <f t="shared" si="2055"/>
        <v>0</v>
      </c>
      <c r="CZX15">
        <f t="shared" si="2056"/>
        <v>0</v>
      </c>
      <c r="CZY15">
        <f t="shared" si="2057"/>
        <v>0</v>
      </c>
      <c r="CZZ15">
        <f t="shared" si="2058"/>
        <v>0</v>
      </c>
      <c r="DAA15">
        <f t="shared" si="2059"/>
        <v>0</v>
      </c>
      <c r="DAB15">
        <f t="shared" si="2060"/>
        <v>0</v>
      </c>
      <c r="DAC15">
        <f t="shared" si="2061"/>
        <v>0</v>
      </c>
      <c r="DAD15">
        <f t="shared" si="2062"/>
        <v>0</v>
      </c>
      <c r="DAE15">
        <f t="shared" si="2063"/>
        <v>0</v>
      </c>
      <c r="DAF15">
        <f t="shared" si="2064"/>
        <v>0</v>
      </c>
      <c r="DAG15">
        <f t="shared" si="2065"/>
        <v>0</v>
      </c>
      <c r="DAH15">
        <f t="shared" si="2066"/>
        <v>0</v>
      </c>
      <c r="DAI15">
        <f t="shared" si="2067"/>
        <v>0</v>
      </c>
      <c r="DAJ15">
        <f t="shared" si="2068"/>
        <v>0</v>
      </c>
      <c r="DAK15">
        <f t="shared" si="2069"/>
        <v>0</v>
      </c>
      <c r="DAL15">
        <f t="shared" si="2070"/>
        <v>0</v>
      </c>
      <c r="DAM15">
        <f t="shared" si="2071"/>
        <v>0</v>
      </c>
      <c r="DAN15">
        <f t="shared" si="2072"/>
        <v>0</v>
      </c>
      <c r="DAO15">
        <f t="shared" si="2073"/>
        <v>0</v>
      </c>
      <c r="DAP15">
        <f t="shared" si="2074"/>
        <v>0</v>
      </c>
      <c r="DAQ15">
        <f t="shared" si="2075"/>
        <v>0</v>
      </c>
      <c r="DAR15">
        <f t="shared" si="2076"/>
        <v>0</v>
      </c>
      <c r="DAS15">
        <f t="shared" si="2077"/>
        <v>0</v>
      </c>
      <c r="DAT15">
        <f t="shared" si="2078"/>
        <v>0</v>
      </c>
      <c r="DAU15">
        <f t="shared" si="2079"/>
        <v>0</v>
      </c>
      <c r="DAV15">
        <f t="shared" si="2080"/>
        <v>0</v>
      </c>
      <c r="DAW15">
        <f t="shared" si="2081"/>
        <v>0</v>
      </c>
      <c r="DAX15">
        <f t="shared" si="65"/>
        <v>0</v>
      </c>
      <c r="DAY15">
        <f t="shared" si="2142"/>
        <v>0</v>
      </c>
      <c r="DAZ15">
        <f t="shared" si="2143"/>
        <v>0</v>
      </c>
      <c r="DBA15">
        <f t="shared" si="2144"/>
        <v>0</v>
      </c>
      <c r="DBB15">
        <f t="shared" si="2082"/>
        <v>0</v>
      </c>
      <c r="DBC15">
        <f t="shared" si="2083"/>
        <v>0</v>
      </c>
      <c r="DBD15">
        <f t="shared" si="2084"/>
        <v>0</v>
      </c>
      <c r="DBE15">
        <f t="shared" si="2085"/>
        <v>0</v>
      </c>
      <c r="DBF15">
        <f t="shared" si="2086"/>
        <v>0</v>
      </c>
      <c r="DBG15">
        <f t="shared" si="2087"/>
        <v>0</v>
      </c>
      <c r="DBH15">
        <f t="shared" si="2088"/>
        <v>0</v>
      </c>
      <c r="DBI15">
        <f t="shared" si="2089"/>
        <v>0</v>
      </c>
      <c r="DBJ15">
        <f t="shared" si="2090"/>
        <v>0</v>
      </c>
      <c r="DBK15">
        <f t="shared" si="2091"/>
        <v>0</v>
      </c>
      <c r="DBL15">
        <f t="shared" si="2092"/>
        <v>0</v>
      </c>
      <c r="DBM15">
        <f t="shared" si="2093"/>
        <v>0</v>
      </c>
      <c r="DBN15">
        <f t="shared" si="2094"/>
        <v>0</v>
      </c>
      <c r="DBO15">
        <f t="shared" si="2095"/>
        <v>0</v>
      </c>
      <c r="DBP15">
        <f t="shared" si="2096"/>
        <v>0</v>
      </c>
      <c r="DBQ15">
        <f t="shared" si="2097"/>
        <v>0</v>
      </c>
      <c r="DBR15">
        <f t="shared" si="2098"/>
        <v>0</v>
      </c>
      <c r="DBS15">
        <f t="shared" si="2099"/>
        <v>0</v>
      </c>
      <c r="DBT15">
        <f t="shared" si="2100"/>
        <v>0</v>
      </c>
      <c r="DBU15">
        <f t="shared" si="2101"/>
        <v>0</v>
      </c>
      <c r="DBV15">
        <f t="shared" si="2102"/>
        <v>0</v>
      </c>
      <c r="DBW15">
        <f t="shared" si="2103"/>
        <v>0</v>
      </c>
      <c r="DBX15">
        <f t="shared" si="2104"/>
        <v>0</v>
      </c>
      <c r="DBY15">
        <f t="shared" si="2105"/>
        <v>0</v>
      </c>
      <c r="DBZ15">
        <f t="shared" si="2106"/>
        <v>0</v>
      </c>
      <c r="DCA15">
        <f t="shared" si="2107"/>
        <v>0</v>
      </c>
      <c r="DCB15">
        <f t="shared" si="2108"/>
        <v>0</v>
      </c>
      <c r="DCC15">
        <f t="shared" si="2109"/>
        <v>0</v>
      </c>
      <c r="DCD15">
        <f t="shared" si="2110"/>
        <v>0</v>
      </c>
      <c r="DCE15">
        <f t="shared" si="2111"/>
        <v>0</v>
      </c>
      <c r="DCF15">
        <f t="shared" si="2112"/>
        <v>0</v>
      </c>
      <c r="DCG15">
        <f t="shared" si="2113"/>
        <v>0</v>
      </c>
      <c r="DCH15">
        <f t="shared" si="2114"/>
        <v>0</v>
      </c>
      <c r="DCI15">
        <f t="shared" si="2115"/>
        <v>0</v>
      </c>
      <c r="DCJ15">
        <f t="shared" si="2116"/>
        <v>0</v>
      </c>
      <c r="DCK15">
        <f t="shared" si="2117"/>
        <v>0</v>
      </c>
      <c r="DCL15">
        <f t="shared" si="2118"/>
        <v>0</v>
      </c>
      <c r="DCM15">
        <f t="shared" si="2119"/>
        <v>0</v>
      </c>
      <c r="DCN15">
        <f t="shared" si="2120"/>
        <v>0</v>
      </c>
      <c r="DCO15">
        <f t="shared" si="2121"/>
        <v>0</v>
      </c>
      <c r="DCP15">
        <f t="shared" si="2122"/>
        <v>0</v>
      </c>
      <c r="DCQ15">
        <f t="shared" si="2123"/>
        <v>0</v>
      </c>
      <c r="DCR15">
        <f t="shared" si="2124"/>
        <v>0</v>
      </c>
      <c r="DCS15">
        <f t="shared" si="2125"/>
        <v>0</v>
      </c>
      <c r="DCT15">
        <f t="shared" si="2126"/>
        <v>0</v>
      </c>
      <c r="DCU15">
        <f t="shared" si="2127"/>
        <v>0</v>
      </c>
      <c r="DCV15">
        <f t="shared" si="2128"/>
        <v>0</v>
      </c>
      <c r="DCW15">
        <f t="shared" si="2129"/>
        <v>0</v>
      </c>
      <c r="DCX15">
        <f t="shared" si="2130"/>
        <v>0</v>
      </c>
      <c r="DCY15">
        <f t="shared" si="2131"/>
        <v>0</v>
      </c>
      <c r="DCZ15">
        <f t="shared" si="2132"/>
        <v>0</v>
      </c>
      <c r="DDA15">
        <f t="shared" si="2133"/>
        <v>0</v>
      </c>
      <c r="DDB15">
        <f t="shared" si="2134"/>
        <v>0</v>
      </c>
      <c r="DDC15">
        <f t="shared" si="2135"/>
        <v>0</v>
      </c>
      <c r="DDD15">
        <f t="shared" si="2136"/>
        <v>0</v>
      </c>
      <c r="DDE15">
        <f t="shared" si="2137"/>
        <v>0</v>
      </c>
      <c r="DDF15">
        <f t="shared" si="2138"/>
        <v>0</v>
      </c>
      <c r="DDG15">
        <f t="shared" si="2139"/>
        <v>0</v>
      </c>
      <c r="DDH15">
        <f t="shared" si="2140"/>
        <v>0</v>
      </c>
      <c r="DDI15">
        <f t="shared" si="2141"/>
        <v>0</v>
      </c>
    </row>
    <row r="16" spans="1:2839" x14ac:dyDescent="0.2">
      <c r="A16" s="1">
        <v>10</v>
      </c>
      <c r="B16">
        <f>'Demand Stage 2'!B15</f>
        <v>0</v>
      </c>
      <c r="C16">
        <f>'Demand Stage 2'!C15</f>
        <v>0</v>
      </c>
      <c r="D16">
        <f>'Demand Stage 2'!D15</f>
        <v>0</v>
      </c>
      <c r="E16">
        <f>'Demand Stage 2'!E15</f>
        <v>0</v>
      </c>
      <c r="F16">
        <f>'Demand Stage 2'!F15</f>
        <v>0</v>
      </c>
      <c r="G16">
        <f>'Demand Stage 2'!G15</f>
        <v>0</v>
      </c>
      <c r="H16">
        <f>'Demand Stage 2'!H15</f>
        <v>0</v>
      </c>
      <c r="I16">
        <f>'Demand Stage 2'!I15</f>
        <v>0</v>
      </c>
      <c r="J16">
        <f>'Demand Stage 2'!J15</f>
        <v>0</v>
      </c>
      <c r="K16">
        <f>'Demand Stage 2'!K15</f>
        <v>0</v>
      </c>
      <c r="L16">
        <f>'Demand Stage 2'!L15</f>
        <v>0</v>
      </c>
      <c r="M16">
        <f>'Demand Stage 2'!M15</f>
        <v>0</v>
      </c>
      <c r="N16">
        <f>'Demand Stage 2'!N15</f>
        <v>0</v>
      </c>
      <c r="O16">
        <f>'Demand Stage 2'!O15</f>
        <v>0</v>
      </c>
      <c r="P16">
        <f>'Demand Stage 2'!P15</f>
        <v>0</v>
      </c>
      <c r="Q16">
        <f>'Demand Stage 2'!Q15</f>
        <v>0</v>
      </c>
      <c r="R16">
        <f>'Demand Stage 2'!R15</f>
        <v>0</v>
      </c>
      <c r="S16">
        <f>'Demand Stage 2'!S15</f>
        <v>0</v>
      </c>
      <c r="T16">
        <f>'Demand Stage 2'!T15</f>
        <v>0</v>
      </c>
      <c r="U16">
        <f>'Demand Stage 2'!U15</f>
        <v>0</v>
      </c>
      <c r="V16">
        <f>'Demand Stage 2'!V15</f>
        <v>0</v>
      </c>
      <c r="W16">
        <f>'Demand Stage 2'!W15</f>
        <v>0</v>
      </c>
      <c r="X16">
        <f>'Demand Stage 2'!X15</f>
        <v>0</v>
      </c>
      <c r="Y16">
        <f>'Demand Stage 2'!Y15</f>
        <v>0</v>
      </c>
      <c r="Z16">
        <f>'Demand Stage 2'!Z15</f>
        <v>0</v>
      </c>
      <c r="AA16">
        <f>'Demand Stage 2'!AA15</f>
        <v>0</v>
      </c>
      <c r="AB16">
        <f>'Demand Stage 2'!AB15</f>
        <v>0</v>
      </c>
      <c r="AC16">
        <f>'Demand Stage 2'!AC15</f>
        <v>0</v>
      </c>
      <c r="AD16">
        <f>'Demand Stage 2'!AD15</f>
        <v>0</v>
      </c>
      <c r="AE16">
        <f>'Demand Stage 2'!AE15</f>
        <v>0</v>
      </c>
      <c r="AF16">
        <f>'Demand Stage 2'!AF15</f>
        <v>0</v>
      </c>
      <c r="AG16">
        <f>'Demand Stage 2'!AG15</f>
        <v>0</v>
      </c>
      <c r="AH16">
        <f>'Demand Stage 2'!AH15</f>
        <v>0</v>
      </c>
      <c r="AI16">
        <f>'Demand Stage 2'!AI15</f>
        <v>0</v>
      </c>
      <c r="AJ16">
        <f>'Demand Stage 2'!AJ15</f>
        <v>0</v>
      </c>
      <c r="AK16">
        <f>'Demand Stage 2'!AK15</f>
        <v>0</v>
      </c>
      <c r="AL16">
        <f>'Demand Stage 2'!AL15</f>
        <v>0</v>
      </c>
      <c r="AM16">
        <f>'Demand Stage 2'!AM15</f>
        <v>0</v>
      </c>
      <c r="AN16">
        <f>'Demand Stage 2'!AN15</f>
        <v>0</v>
      </c>
      <c r="AO16">
        <f>'Demand Stage 2'!AO15</f>
        <v>0</v>
      </c>
      <c r="AP16">
        <f>'Demand Stage 2'!AP15</f>
        <v>0</v>
      </c>
      <c r="AQ16">
        <f>'Demand Stage 2'!AQ15</f>
        <v>0</v>
      </c>
      <c r="AR16">
        <f>'Demand Stage 2'!AR15</f>
        <v>0</v>
      </c>
      <c r="AS16">
        <f>'Demand Stage 2'!AS15</f>
        <v>0</v>
      </c>
      <c r="AT16">
        <f>'Demand Stage 2'!AT15</f>
        <v>0</v>
      </c>
      <c r="AU16">
        <f>'Demand Stage 2'!AU15</f>
        <v>0</v>
      </c>
      <c r="AV16">
        <f>'Demand Stage 2'!AV15</f>
        <v>0</v>
      </c>
      <c r="AW16">
        <f>'Demand Stage 2'!AW15</f>
        <v>0</v>
      </c>
      <c r="AX16">
        <f>'Demand Stage 2'!AX15</f>
        <v>0</v>
      </c>
      <c r="AY16">
        <f>'Demand Stage 2'!AY15</f>
        <v>0</v>
      </c>
      <c r="AZ16">
        <f>'Demand Stage 2'!AZ15</f>
        <v>0</v>
      </c>
      <c r="BA16">
        <f>'Demand Stage 2'!BA15</f>
        <v>0</v>
      </c>
      <c r="BB16">
        <f>'Demand Stage 2'!BB15</f>
        <v>0</v>
      </c>
      <c r="BC16">
        <f>'Demand Stage 2'!BC15</f>
        <v>0</v>
      </c>
      <c r="BD16">
        <f>'Demand Stage 2'!BD15</f>
        <v>0</v>
      </c>
      <c r="BE16">
        <f>'Demand Stage 2'!BE15</f>
        <v>0</v>
      </c>
      <c r="BF16">
        <f>'Demand Stage 2'!BF15</f>
        <v>0</v>
      </c>
      <c r="BG16">
        <f>'Demand Stage 2'!BG15</f>
        <v>0</v>
      </c>
      <c r="BH16">
        <f>'Demand Stage 2'!BH15</f>
        <v>0</v>
      </c>
      <c r="BI16">
        <f>'Demand Stage 2'!BI15</f>
        <v>0</v>
      </c>
      <c r="BJ16">
        <f>'Demand Stage 2'!BJ15</f>
        <v>0</v>
      </c>
      <c r="BK16">
        <f>'Demand Stage 2'!BK15</f>
        <v>0</v>
      </c>
      <c r="BL16">
        <f>'Demand Stage 2'!BL15</f>
        <v>0</v>
      </c>
      <c r="BM16">
        <f>'Demand Stage 2'!BM15</f>
        <v>0</v>
      </c>
      <c r="BN16">
        <f>'Demand Stage 2'!BN15</f>
        <v>0</v>
      </c>
      <c r="BO16">
        <f>'Demand Stage 2'!BO15</f>
        <v>0</v>
      </c>
      <c r="BP16">
        <f>'Demand Stage 2'!BP15</f>
        <v>0</v>
      </c>
      <c r="BQ16">
        <f>'Demand Stage 2'!BQ15</f>
        <v>0</v>
      </c>
      <c r="BR16">
        <f>'Demand Stage 2'!BR15</f>
        <v>0</v>
      </c>
      <c r="BS16">
        <f>'Demand Stage 2'!BS15</f>
        <v>0</v>
      </c>
      <c r="BT16">
        <f>'Demand Stage 2'!BT15</f>
        <v>0</v>
      </c>
      <c r="BU16">
        <f>'Demand Stage 2'!BU15</f>
        <v>0</v>
      </c>
      <c r="BV16">
        <f>'Demand Stage 2'!BV15</f>
        <v>0</v>
      </c>
      <c r="BW16">
        <f>'Demand Stage 2'!BW15</f>
        <v>0</v>
      </c>
      <c r="BX16">
        <f>'Demand Stage 2'!BX15</f>
        <v>0</v>
      </c>
      <c r="BY16">
        <f>'Demand Stage 2'!BY15</f>
        <v>0</v>
      </c>
      <c r="BZ16">
        <f>'Demand Stage 2'!BZ15</f>
        <v>0</v>
      </c>
      <c r="CA16">
        <f>'Demand Stage 2'!CA15</f>
        <v>0</v>
      </c>
      <c r="CB16">
        <f>'Demand Stage 2'!CB15</f>
        <v>0</v>
      </c>
      <c r="CC16">
        <f>'Demand Stage 2'!CC15</f>
        <v>0</v>
      </c>
      <c r="CD16">
        <f>'Demand Stage 2'!CD15</f>
        <v>0</v>
      </c>
      <c r="CE16">
        <f>'Demand Stage 2'!CE15</f>
        <v>0</v>
      </c>
      <c r="CF16">
        <f>'Demand Stage 2'!CF15</f>
        <v>0</v>
      </c>
      <c r="CG16">
        <f>'Demand Stage 2'!CG15</f>
        <v>0</v>
      </c>
      <c r="CH16">
        <f>'Demand Stage 2'!CH15</f>
        <v>0</v>
      </c>
      <c r="CI16">
        <f>'Demand Stage 2'!CI15</f>
        <v>0</v>
      </c>
      <c r="CJ16">
        <f>'Demand Stage 2'!CJ15</f>
        <v>0</v>
      </c>
      <c r="CK16">
        <f>'Demand Stage 2'!CK15</f>
        <v>0</v>
      </c>
      <c r="CL16">
        <f>'Demand Stage 2'!CL15</f>
        <v>0</v>
      </c>
      <c r="CM16">
        <f>'Demand Stage 2'!CM15</f>
        <v>0</v>
      </c>
      <c r="CN16">
        <f>'Demand Stage 2'!CN15</f>
        <v>0</v>
      </c>
      <c r="CO16">
        <f>'Demand Stage 2'!CO15</f>
        <v>0</v>
      </c>
      <c r="CP16">
        <f>'Demand Stage 2'!CP15</f>
        <v>0</v>
      </c>
      <c r="CQ16">
        <f>'Demand Stage 2'!CQ15</f>
        <v>0</v>
      </c>
      <c r="CR16">
        <f>'Demand Stage 2'!CR15</f>
        <v>0</v>
      </c>
      <c r="CS16">
        <f>'Demand Stage 2'!CS15</f>
        <v>0</v>
      </c>
      <c r="CT16">
        <f>'Demand Stage 2'!CT15</f>
        <v>0</v>
      </c>
      <c r="CU16">
        <f>'Demand Stage 2'!CU15</f>
        <v>0</v>
      </c>
      <c r="CV16">
        <f>'Demand Stage 2'!CV15</f>
        <v>0</v>
      </c>
      <c r="CW16">
        <f>'Demand Stage 2'!CW15</f>
        <v>0</v>
      </c>
      <c r="CX16">
        <f>'Demand Stage 2'!CX15</f>
        <v>0</v>
      </c>
      <c r="CY16">
        <f>'Demand Stage 2'!CY15</f>
        <v>0</v>
      </c>
      <c r="CZ16">
        <f>'Demand Stage 2'!CZ15</f>
        <v>0</v>
      </c>
      <c r="DA16">
        <f>'Demand Stage 2'!DA15</f>
        <v>0</v>
      </c>
      <c r="DB16">
        <f>'Demand Stage 2'!DB15</f>
        <v>0</v>
      </c>
      <c r="DC16">
        <f>'Demand Stage 2'!DC15</f>
        <v>0</v>
      </c>
      <c r="DD16">
        <f>'Demand Stage 2'!DD15</f>
        <v>0</v>
      </c>
      <c r="DE16">
        <f>'Demand Stage 2'!DE15</f>
        <v>0</v>
      </c>
      <c r="DF16">
        <f>'Demand Stage 2'!DF15</f>
        <v>0</v>
      </c>
      <c r="DG16">
        <f>'Demand Stage 2'!DG15</f>
        <v>0</v>
      </c>
      <c r="DH16">
        <f>'Demand Stage 2'!DH15</f>
        <v>0</v>
      </c>
      <c r="DI16">
        <f>'Demand Stage 2'!DI15</f>
        <v>0</v>
      </c>
      <c r="DJ16">
        <f>'Demand Stage 2'!DJ15</f>
        <v>0</v>
      </c>
      <c r="DK16">
        <f>'Demand Stage 2'!DK15</f>
        <v>0</v>
      </c>
      <c r="DL16">
        <f>'Demand Stage 2'!DL15</f>
        <v>0</v>
      </c>
      <c r="DM16">
        <f>'Demand Stage 2'!DM15</f>
        <v>0</v>
      </c>
      <c r="DN16">
        <f>'Demand Stage 2'!DN15</f>
        <v>0</v>
      </c>
      <c r="DO16">
        <f>'Demand Stage 2'!DO15</f>
        <v>0</v>
      </c>
      <c r="DP16">
        <f>'Demand Stage 2'!DP15</f>
        <v>0</v>
      </c>
      <c r="DQ16">
        <f>'Demand Stage 2'!DQ15</f>
        <v>0</v>
      </c>
      <c r="DR16">
        <f>'Demand Stage 2'!DR15</f>
        <v>0</v>
      </c>
      <c r="DS16">
        <f>'Demand Stage 2'!DS15</f>
        <v>0</v>
      </c>
      <c r="DT16">
        <f>'Demand Stage 2'!DT15</f>
        <v>0</v>
      </c>
      <c r="DU16">
        <f>'Demand Stage 2'!DU15</f>
        <v>0</v>
      </c>
      <c r="DV16">
        <f>'Demand Stage 2'!DV15</f>
        <v>0</v>
      </c>
      <c r="DW16">
        <f>'Demand Stage 2'!DW15</f>
        <v>0</v>
      </c>
      <c r="DX16">
        <f>'Demand Stage 2'!DX15</f>
        <v>0</v>
      </c>
      <c r="DY16">
        <f>'Demand Stage 2'!DY15</f>
        <v>0</v>
      </c>
      <c r="DZ16">
        <f>'Demand Stage 2'!DZ15</f>
        <v>0</v>
      </c>
      <c r="EA16">
        <f>'Demand Stage 2'!EA15</f>
        <v>0</v>
      </c>
      <c r="EB16">
        <f>'Demand Stage 2'!EB15</f>
        <v>0</v>
      </c>
      <c r="EC16">
        <f>'Demand Stage 2'!EC15</f>
        <v>0</v>
      </c>
      <c r="ED16">
        <f>'Demand Stage 2'!ED15</f>
        <v>0</v>
      </c>
      <c r="EE16">
        <f>'Demand Stage 2'!EE15</f>
        <v>0</v>
      </c>
      <c r="EF16">
        <f>'Demand Stage 2'!EF15</f>
        <v>0</v>
      </c>
      <c r="EG16">
        <f>'Demand Stage 2'!EG15</f>
        <v>0</v>
      </c>
      <c r="EH16">
        <f>'Demand Stage 2'!EH15</f>
        <v>0</v>
      </c>
      <c r="EI16">
        <f>'Demand Stage 2'!EI15</f>
        <v>0</v>
      </c>
      <c r="EJ16">
        <f>'Demand Stage 2'!EJ15</f>
        <v>0</v>
      </c>
      <c r="EK16">
        <f>'Demand Stage 2'!EK15</f>
        <v>0</v>
      </c>
      <c r="EL16">
        <f>'Demand Stage 2'!EL15</f>
        <v>0</v>
      </c>
      <c r="EM16">
        <f>'Demand Stage 2'!EM15</f>
        <v>0</v>
      </c>
      <c r="EN16">
        <f>'Demand Stage 2'!EN15</f>
        <v>0</v>
      </c>
      <c r="EO16">
        <f>'Demand Stage 2'!EO15</f>
        <v>0</v>
      </c>
      <c r="EP16">
        <f>'Demand Stage 2'!EP15</f>
        <v>0</v>
      </c>
      <c r="EQ16">
        <f>'Demand Stage 2'!EQ15</f>
        <v>0</v>
      </c>
      <c r="ER16">
        <f>'Demand Stage 2'!ER15</f>
        <v>0</v>
      </c>
      <c r="ES16">
        <f>'Demand Stage 2'!ES15</f>
        <v>0</v>
      </c>
      <c r="ET16">
        <f>'Demand Stage 2'!ET15</f>
        <v>0</v>
      </c>
      <c r="EU16">
        <f>'Demand Stage 2'!EU15</f>
        <v>0</v>
      </c>
      <c r="EV16">
        <f>'Demand Stage 2'!EV15</f>
        <v>0</v>
      </c>
      <c r="EW16">
        <f>'Demand Stage 2'!EW15</f>
        <v>0</v>
      </c>
      <c r="EX16">
        <f>'Demand Stage 2'!EX15</f>
        <v>0</v>
      </c>
      <c r="EY16">
        <f>'Demand Stage 2'!EY15</f>
        <v>0</v>
      </c>
      <c r="EZ16">
        <f>'Demand Stage 2'!EZ15</f>
        <v>0</v>
      </c>
      <c r="FA16">
        <f>'Demand Stage 2'!FA15</f>
        <v>0</v>
      </c>
      <c r="FB16">
        <f>'Demand Stage 2'!FB15</f>
        <v>0</v>
      </c>
      <c r="FC16">
        <f>'Demand Stage 2'!FC15</f>
        <v>0</v>
      </c>
      <c r="FD16">
        <f>'Demand Stage 2'!FD15</f>
        <v>0</v>
      </c>
      <c r="FE16">
        <f>'Demand Stage 2'!FE15</f>
        <v>0</v>
      </c>
      <c r="FF16">
        <f>'Demand Stage 2'!FF15</f>
        <v>0</v>
      </c>
      <c r="FG16">
        <f>'Demand Stage 2'!FG15</f>
        <v>0</v>
      </c>
      <c r="FH16">
        <f>'Demand Stage 2'!FH15</f>
        <v>0</v>
      </c>
      <c r="FI16">
        <f>'Demand Stage 2'!FI15</f>
        <v>0</v>
      </c>
      <c r="FJ16">
        <f>'Demand Stage 2'!FJ15</f>
        <v>0</v>
      </c>
      <c r="FK16">
        <f>'Demand Stage 2'!FK15</f>
        <v>0</v>
      </c>
      <c r="FL16">
        <f>'Demand Stage 2'!FL15</f>
        <v>0</v>
      </c>
      <c r="FM16">
        <f>'Demand Stage 2'!FM15</f>
        <v>0</v>
      </c>
      <c r="FN16">
        <f>'Demand Stage 2'!FN15</f>
        <v>0</v>
      </c>
      <c r="FO16">
        <f>'Demand Stage 2'!FO15</f>
        <v>0</v>
      </c>
      <c r="FP16">
        <f>'Demand Stage 2'!FP15</f>
        <v>0</v>
      </c>
      <c r="FQ16">
        <f>'Demand Stage 2'!FQ15</f>
        <v>0</v>
      </c>
      <c r="FR16">
        <f>'Demand Stage 2'!FR15</f>
        <v>0</v>
      </c>
      <c r="FS16">
        <f>'Demand Stage 2'!FS15</f>
        <v>0</v>
      </c>
      <c r="FT16">
        <f>'Demand Stage 2'!FT15</f>
        <v>0</v>
      </c>
      <c r="FU16">
        <f>'Demand Stage 2'!FU15</f>
        <v>0</v>
      </c>
      <c r="FV16">
        <f>'Demand Stage 2'!FV15</f>
        <v>0</v>
      </c>
      <c r="FW16">
        <f>'Demand Stage 2'!FW15</f>
        <v>0</v>
      </c>
      <c r="FX16">
        <f>'Demand Stage 2'!FX15</f>
        <v>0</v>
      </c>
      <c r="FY16">
        <f>'Demand Stage 2'!FY15</f>
        <v>0</v>
      </c>
      <c r="FZ16">
        <f>'Demand Stage 2'!FZ15</f>
        <v>0</v>
      </c>
      <c r="GA16">
        <f>'Demand Stage 2'!GA15</f>
        <v>0</v>
      </c>
      <c r="GB16">
        <f>'Demand Stage 2'!GB15</f>
        <v>0</v>
      </c>
      <c r="GC16">
        <f>'Demand Stage 2'!GC15</f>
        <v>0</v>
      </c>
      <c r="GD16">
        <f>'Demand Stage 2'!GD15</f>
        <v>0</v>
      </c>
      <c r="GE16">
        <f>'Demand Stage 2'!GE15</f>
        <v>0</v>
      </c>
      <c r="GF16">
        <f>'Demand Stage 2'!GF15</f>
        <v>0</v>
      </c>
      <c r="GG16">
        <f>'Demand Stage 2'!GG15</f>
        <v>0</v>
      </c>
      <c r="GH16">
        <f>'Demand Stage 2'!GH15</f>
        <v>0</v>
      </c>
      <c r="GI16">
        <f>'Demand Stage 2'!GI15</f>
        <v>0</v>
      </c>
      <c r="GJ16">
        <f>'Demand Stage 2'!GJ15</f>
        <v>0</v>
      </c>
      <c r="GK16">
        <f>'Demand Stage 2'!GK15</f>
        <v>0</v>
      </c>
      <c r="GL16">
        <f>'Demand Stage 2'!GL15</f>
        <v>0</v>
      </c>
      <c r="GM16">
        <f>'Demand Stage 2'!GM15</f>
        <v>0</v>
      </c>
      <c r="GN16">
        <f>'Demand Stage 2'!GN15</f>
        <v>0</v>
      </c>
      <c r="GO16">
        <f>'Demand Stage 2'!GO15</f>
        <v>0</v>
      </c>
      <c r="GP16">
        <f>'Demand Stage 2'!GP15</f>
        <v>0</v>
      </c>
      <c r="GQ16">
        <f>'Demand Stage 2'!GQ15</f>
        <v>0</v>
      </c>
      <c r="GR16">
        <f>'Demand Stage 2'!GR15</f>
        <v>0</v>
      </c>
      <c r="GS16">
        <f>'Demand Stage 2'!GS15</f>
        <v>0</v>
      </c>
      <c r="GT16">
        <f>'Demand Stage 2'!GT15</f>
        <v>0</v>
      </c>
      <c r="GU16">
        <f>'Demand Stage 2'!GU15</f>
        <v>0</v>
      </c>
      <c r="GV16">
        <f>'Demand Stage 2'!GV15</f>
        <v>0</v>
      </c>
      <c r="GW16">
        <f>'Demand Stage 2'!GW15</f>
        <v>0</v>
      </c>
      <c r="GX16">
        <f>'Demand Stage 2'!GX15</f>
        <v>0</v>
      </c>
      <c r="GY16">
        <f>'Demand Stage 2'!GY15</f>
        <v>0</v>
      </c>
      <c r="GZ16">
        <f>'Demand Stage 2'!GZ15</f>
        <v>0</v>
      </c>
      <c r="HA16">
        <f>'Demand Stage 2'!HA15</f>
        <v>0</v>
      </c>
      <c r="HB16">
        <f>'Demand Stage 2'!HB15</f>
        <v>0</v>
      </c>
      <c r="HC16">
        <f>'Demand Stage 2'!HC15</f>
        <v>0</v>
      </c>
      <c r="HD16">
        <f>'Demand Stage 2'!HD15</f>
        <v>0</v>
      </c>
      <c r="HE16">
        <f>'Demand Stage 2'!HE15</f>
        <v>0</v>
      </c>
      <c r="HF16">
        <f>'Demand Stage 2'!HF15</f>
        <v>0</v>
      </c>
      <c r="HG16">
        <f>'Demand Stage 2'!HG15</f>
        <v>0</v>
      </c>
      <c r="HH16">
        <f>'Demand Stage 2'!HH15</f>
        <v>0</v>
      </c>
      <c r="HI16">
        <f>'Demand Stage 2'!HI15</f>
        <v>0</v>
      </c>
      <c r="HJ16">
        <f>'Demand Stage 2'!HJ15</f>
        <v>0</v>
      </c>
      <c r="HK16">
        <f>'Demand Stage 2'!HK15</f>
        <v>0</v>
      </c>
      <c r="HL16">
        <f>'Demand Stage 2'!HL15</f>
        <v>0</v>
      </c>
      <c r="HM16">
        <f>'Demand Stage 2'!HM15</f>
        <v>0</v>
      </c>
      <c r="HN16">
        <f>'Demand Stage 2'!HN15</f>
        <v>0</v>
      </c>
      <c r="HO16">
        <f>'Demand Stage 2'!HO15</f>
        <v>0</v>
      </c>
      <c r="HP16">
        <f>'Demand Stage 2'!HP15</f>
        <v>0</v>
      </c>
      <c r="HQ16">
        <f>'Demand Stage 2'!HQ15</f>
        <v>0</v>
      </c>
      <c r="HR16">
        <f>'Demand Stage 2'!HR15</f>
        <v>0</v>
      </c>
      <c r="HS16">
        <f>'Demand Stage 2'!HS15</f>
        <v>0</v>
      </c>
      <c r="HT16">
        <f>'Demand Stage 2'!HT15</f>
        <v>0</v>
      </c>
      <c r="HU16">
        <f>'Demand Stage 2'!HU15</f>
        <v>0</v>
      </c>
      <c r="HV16">
        <f>'Demand Stage 2'!HV15</f>
        <v>0</v>
      </c>
      <c r="HW16">
        <f>'Demand Stage 2'!HW15</f>
        <v>0</v>
      </c>
      <c r="HX16">
        <f>'Demand Stage 2'!HX15</f>
        <v>0</v>
      </c>
      <c r="HY16">
        <f>'Demand Stage 2'!HY15</f>
        <v>0</v>
      </c>
      <c r="HZ16">
        <f>'Demand Stage 2'!HZ15</f>
        <v>0</v>
      </c>
      <c r="IA16">
        <f>'Demand Stage 2'!IA15</f>
        <v>0</v>
      </c>
      <c r="IB16">
        <f>'Demand Stage 2'!IB15</f>
        <v>0</v>
      </c>
      <c r="IC16">
        <f>'Demand Stage 2'!IC15</f>
        <v>0</v>
      </c>
      <c r="ID16">
        <f>'Demand Stage 2'!ID15</f>
        <v>0</v>
      </c>
      <c r="IE16">
        <f>'Demand Stage 2'!IE15</f>
        <v>0</v>
      </c>
      <c r="IF16">
        <f>'Demand Stage 2'!IF15</f>
        <v>0</v>
      </c>
      <c r="IG16">
        <f>'Demand Stage 2'!IG15</f>
        <v>0</v>
      </c>
      <c r="IH16">
        <f>'Demand Stage 2'!IH15</f>
        <v>0</v>
      </c>
      <c r="II16">
        <f>'Demand Stage 2'!II15</f>
        <v>0</v>
      </c>
      <c r="IJ16">
        <f>'Demand Stage 2'!IJ15</f>
        <v>0</v>
      </c>
      <c r="IK16">
        <f>'Demand Stage 2'!IK15</f>
        <v>0</v>
      </c>
      <c r="IL16">
        <f>'Demand Stage 2'!IL15</f>
        <v>0</v>
      </c>
      <c r="IM16">
        <f>'Demand Stage 2'!IM15</f>
        <v>0</v>
      </c>
      <c r="IN16">
        <f>'Demand Stage 2'!IN15</f>
        <v>0</v>
      </c>
      <c r="IO16">
        <f>'Demand Stage 2'!IO15</f>
        <v>0</v>
      </c>
      <c r="IP16">
        <f>'Demand Stage 2'!IP15</f>
        <v>0</v>
      </c>
      <c r="IQ16">
        <f>'Demand Stage 2'!IQ15</f>
        <v>0</v>
      </c>
      <c r="IR16">
        <f>'Demand Stage 2'!IR15</f>
        <v>0</v>
      </c>
      <c r="IS16">
        <f>'Demand Stage 2'!IS15</f>
        <v>0</v>
      </c>
      <c r="IT16">
        <f>'Demand Stage 2'!IT15</f>
        <v>0</v>
      </c>
      <c r="IU16">
        <f>'Demand Stage 2'!IU15</f>
        <v>0</v>
      </c>
      <c r="IV16">
        <f>'Demand Stage 2'!IV15</f>
        <v>0</v>
      </c>
      <c r="IW16">
        <f>'Demand Stage 2'!IW15</f>
        <v>0</v>
      </c>
      <c r="IX16">
        <f>'Demand Stage 2'!IX15</f>
        <v>0</v>
      </c>
      <c r="IY16">
        <f>'Demand Stage 2'!IY15</f>
        <v>0</v>
      </c>
      <c r="IZ16">
        <f>'Demand Stage 2'!IZ15</f>
        <v>0</v>
      </c>
      <c r="JA16">
        <f>'Demand Stage 2'!JA15</f>
        <v>0</v>
      </c>
      <c r="JB16">
        <f>'Demand Stage 2'!JB15</f>
        <v>0</v>
      </c>
      <c r="JC16">
        <f>'Demand Stage 2'!JC15</f>
        <v>0</v>
      </c>
      <c r="JD16">
        <f>'Demand Stage 2'!JD15</f>
        <v>0</v>
      </c>
      <c r="JE16">
        <f>'Demand Stage 2'!JE15</f>
        <v>0</v>
      </c>
      <c r="JF16">
        <f>'Demand Stage 2'!JF15</f>
        <v>0</v>
      </c>
      <c r="JG16">
        <f>'Demand Stage 2'!JG15</f>
        <v>0</v>
      </c>
      <c r="JH16">
        <f>'Demand Stage 2'!JH15</f>
        <v>0</v>
      </c>
      <c r="JI16">
        <f>'Demand Stage 2'!JI15</f>
        <v>0</v>
      </c>
      <c r="JJ16">
        <f>'Demand Stage 2'!JJ15</f>
        <v>0</v>
      </c>
      <c r="JK16">
        <f>'Demand Stage 2'!JK15</f>
        <v>0</v>
      </c>
      <c r="JL16">
        <f>'Demand Stage 2'!JL15</f>
        <v>0</v>
      </c>
      <c r="JM16">
        <f>'Demand Stage 2'!JM15</f>
        <v>0</v>
      </c>
      <c r="JN16">
        <f>'Demand Stage 2'!JN15</f>
        <v>0</v>
      </c>
      <c r="JO16">
        <f>'Demand Stage 2'!JO15</f>
        <v>0</v>
      </c>
      <c r="JP16">
        <f>'Demand Stage 2'!JP15</f>
        <v>0</v>
      </c>
      <c r="JQ16">
        <f>'Demand Stage 2'!JQ15</f>
        <v>0</v>
      </c>
      <c r="JR16">
        <f>'Demand Stage 2'!JR15</f>
        <v>0</v>
      </c>
      <c r="JS16">
        <f>'Demand Stage 2'!JS15</f>
        <v>0</v>
      </c>
      <c r="JT16">
        <f>'Demand Stage 2'!JT15</f>
        <v>0</v>
      </c>
      <c r="JU16">
        <f>'Demand Stage 2'!JU15</f>
        <v>0</v>
      </c>
      <c r="JV16">
        <f>'Demand Stage 2'!JV15</f>
        <v>0</v>
      </c>
      <c r="JW16">
        <f>'Demand Stage 2'!JW15</f>
        <v>0</v>
      </c>
      <c r="JX16">
        <f>'Demand Stage 2'!JX15</f>
        <v>0</v>
      </c>
      <c r="JY16">
        <f>'Demand Stage 2'!JY15</f>
        <v>0</v>
      </c>
      <c r="JZ16">
        <f>'Demand Stage 2'!JZ15</f>
        <v>0</v>
      </c>
      <c r="KA16">
        <f>'Demand Stage 2'!KA15</f>
        <v>0</v>
      </c>
      <c r="KB16">
        <f>'Demand Stage 2'!KB15</f>
        <v>0</v>
      </c>
      <c r="KC16">
        <f>'Demand Stage 2'!KC15</f>
        <v>0</v>
      </c>
      <c r="KD16">
        <f>'Demand Stage 2'!KD15</f>
        <v>0</v>
      </c>
      <c r="KE16">
        <f>'Demand Stage 2'!KE15</f>
        <v>0</v>
      </c>
      <c r="KF16">
        <f>'Demand Stage 2'!KF15</f>
        <v>0</v>
      </c>
      <c r="KG16">
        <f>'Demand Stage 2'!KG15</f>
        <v>0</v>
      </c>
      <c r="KH16">
        <f>'Demand Stage 2'!KH15</f>
        <v>0</v>
      </c>
      <c r="KI16">
        <f>'Demand Stage 2'!KI15</f>
        <v>0</v>
      </c>
      <c r="KJ16">
        <f>'Demand Stage 2'!KJ15</f>
        <v>0</v>
      </c>
      <c r="KK16">
        <f>'Demand Stage 2'!KK15</f>
        <v>0</v>
      </c>
      <c r="KL16">
        <f>'Demand Stage 2'!KL15</f>
        <v>0</v>
      </c>
      <c r="KM16">
        <f>'Demand Stage 2'!KM15</f>
        <v>0</v>
      </c>
      <c r="KN16">
        <f>'Demand Stage 2'!KN15</f>
        <v>0</v>
      </c>
      <c r="KO16">
        <f>'Demand Stage 2'!KO15</f>
        <v>0</v>
      </c>
      <c r="KP16">
        <f>'Demand Stage 2'!KP15</f>
        <v>0</v>
      </c>
      <c r="KQ16">
        <f>'Demand Stage 2'!KQ15</f>
        <v>0</v>
      </c>
      <c r="KR16">
        <f>'Demand Stage 2'!KR15</f>
        <v>0</v>
      </c>
      <c r="KS16">
        <f>'Demand Stage 2'!KS15</f>
        <v>0</v>
      </c>
      <c r="KT16">
        <f>'Demand Stage 2'!KT15</f>
        <v>0</v>
      </c>
      <c r="KU16">
        <f>'Demand Stage 2'!KU15</f>
        <v>0</v>
      </c>
      <c r="KV16">
        <f>'Demand Stage 2'!KV15</f>
        <v>0</v>
      </c>
      <c r="KW16">
        <f>'Demand Stage 2'!KW15</f>
        <v>0</v>
      </c>
      <c r="KX16">
        <f>'Demand Stage 2'!KX15</f>
        <v>0</v>
      </c>
      <c r="KY16">
        <f>'Demand Stage 2'!KY15</f>
        <v>0</v>
      </c>
      <c r="KZ16">
        <f>'Demand Stage 2'!KZ15</f>
        <v>0</v>
      </c>
      <c r="LA16">
        <f>'Demand Stage 2'!LA15</f>
        <v>0</v>
      </c>
      <c r="LB16">
        <f>'Demand Stage 2'!LB15</f>
        <v>0</v>
      </c>
      <c r="LC16">
        <f>'Demand Stage 2'!LC15</f>
        <v>0</v>
      </c>
      <c r="LD16">
        <f>'Demand Stage 2'!LD15</f>
        <v>0</v>
      </c>
      <c r="LE16">
        <f>'Demand Stage 2'!LE15</f>
        <v>0</v>
      </c>
      <c r="LF16">
        <f>'Demand Stage 2'!LF15</f>
        <v>0</v>
      </c>
      <c r="LG16">
        <f>'Demand Stage 2'!LG15</f>
        <v>0</v>
      </c>
      <c r="LH16">
        <f>'Demand Stage 2'!LH15</f>
        <v>0</v>
      </c>
      <c r="LI16">
        <f>'Demand Stage 2'!LI15</f>
        <v>0</v>
      </c>
      <c r="LJ16">
        <f>'Demand Stage 2'!LJ15</f>
        <v>0</v>
      </c>
      <c r="LK16">
        <f>'Demand Stage 2'!LK15</f>
        <v>0</v>
      </c>
      <c r="LL16">
        <f>'Demand Stage 2'!LL15</f>
        <v>0</v>
      </c>
      <c r="LM16">
        <f>'Demand Stage 2'!LM15</f>
        <v>0</v>
      </c>
      <c r="LN16">
        <f>'Demand Stage 2'!LN15</f>
        <v>0</v>
      </c>
      <c r="LO16">
        <f>'Demand Stage 2'!LO15</f>
        <v>0</v>
      </c>
      <c r="LP16">
        <f>'Demand Stage 2'!LP15</f>
        <v>0</v>
      </c>
      <c r="LQ16">
        <f>'Demand Stage 2'!LQ15</f>
        <v>0</v>
      </c>
      <c r="LR16">
        <f>'Demand Stage 2'!LR15</f>
        <v>0</v>
      </c>
      <c r="LS16">
        <f>'Demand Stage 2'!LS15</f>
        <v>0</v>
      </c>
      <c r="LT16">
        <f>'Demand Stage 2'!LT15</f>
        <v>0</v>
      </c>
      <c r="LU16">
        <f>'Demand Stage 2'!LU15</f>
        <v>0</v>
      </c>
      <c r="LV16">
        <f>'Demand Stage 2'!LV15</f>
        <v>0</v>
      </c>
      <c r="LW16">
        <f>'Demand Stage 2'!LW15</f>
        <v>0</v>
      </c>
      <c r="LX16">
        <f>'Demand Stage 2'!LX15</f>
        <v>0</v>
      </c>
      <c r="LY16">
        <f>'Demand Stage 2'!LY15</f>
        <v>0</v>
      </c>
      <c r="LZ16">
        <f>'Demand Stage 2'!LZ15</f>
        <v>0</v>
      </c>
      <c r="MA16">
        <f>'Demand Stage 2'!MA15</f>
        <v>0</v>
      </c>
      <c r="MB16">
        <f>'Demand Stage 2'!MB15</f>
        <v>0</v>
      </c>
      <c r="MC16">
        <f>'Demand Stage 2'!MC15</f>
        <v>0</v>
      </c>
      <c r="MD16">
        <f>'Demand Stage 2'!MD15</f>
        <v>0</v>
      </c>
      <c r="ME16">
        <f>'Demand Stage 2'!ME15</f>
        <v>0</v>
      </c>
      <c r="MF16">
        <f>'Demand Stage 2'!MF15</f>
        <v>0</v>
      </c>
      <c r="MG16">
        <f>'Demand Stage 2'!MG15</f>
        <v>0</v>
      </c>
      <c r="MH16">
        <f>'Demand Stage 2'!MH15</f>
        <v>0</v>
      </c>
      <c r="MI16">
        <f>'Demand Stage 2'!MI15</f>
        <v>0</v>
      </c>
      <c r="MJ16">
        <f>'Demand Stage 2'!MJ15</f>
        <v>0</v>
      </c>
      <c r="MK16">
        <f>'Demand Stage 2'!MK15</f>
        <v>0</v>
      </c>
      <c r="ML16">
        <f>'Demand Stage 2'!ML15</f>
        <v>0</v>
      </c>
      <c r="MM16">
        <f>'Demand Stage 2'!MM15</f>
        <v>0</v>
      </c>
      <c r="MN16">
        <f>'Demand Stage 2'!MN15</f>
        <v>0</v>
      </c>
      <c r="MO16">
        <f>'Demand Stage 2'!MO15</f>
        <v>0</v>
      </c>
      <c r="MP16">
        <f>'Demand Stage 2'!MP15</f>
        <v>0</v>
      </c>
      <c r="MQ16">
        <f>'Demand Stage 2'!MQ15</f>
        <v>0</v>
      </c>
      <c r="MR16">
        <f>'Demand Stage 2'!MR15</f>
        <v>0</v>
      </c>
      <c r="MS16">
        <f>'Demand Stage 2'!MS15</f>
        <v>0</v>
      </c>
      <c r="MT16">
        <f>'Demand Stage 2'!MT15</f>
        <v>0</v>
      </c>
      <c r="MU16">
        <f>'Demand Stage 2'!MU15</f>
        <v>0</v>
      </c>
      <c r="MV16">
        <f>'Demand Stage 2'!MV15</f>
        <v>0</v>
      </c>
      <c r="MW16">
        <f>'Demand Stage 2'!MW15</f>
        <v>0</v>
      </c>
      <c r="MX16">
        <f>'Demand Stage 2'!MX15</f>
        <v>0</v>
      </c>
      <c r="MY16">
        <f>'Demand Stage 2'!MY15</f>
        <v>0</v>
      </c>
      <c r="MZ16">
        <f>'Demand Stage 2'!MZ15</f>
        <v>0</v>
      </c>
      <c r="NA16">
        <f>'Demand Stage 2'!NA15</f>
        <v>0</v>
      </c>
      <c r="NB16">
        <f>'Demand Stage 2'!NB15</f>
        <v>0</v>
      </c>
      <c r="NC16">
        <f>'Demand Stage 2'!NC15</f>
        <v>0</v>
      </c>
      <c r="ND16">
        <f>'Demand Stage 2'!ND15</f>
        <v>0</v>
      </c>
      <c r="NE16">
        <f>'Demand Stage 2'!NE15</f>
        <v>0</v>
      </c>
      <c r="NF16">
        <f>'Demand Stage 2'!NF15</f>
        <v>0</v>
      </c>
      <c r="NG16">
        <f>'Demand Stage 2'!NG15</f>
        <v>0</v>
      </c>
      <c r="NH16">
        <f>'Demand Stage 2'!NH15</f>
        <v>0</v>
      </c>
      <c r="NI16">
        <f>'Demand Stage 2'!NI15</f>
        <v>0</v>
      </c>
      <c r="NJ16">
        <f>'Demand Stage 2'!NJ15</f>
        <v>0</v>
      </c>
      <c r="NK16">
        <f>'Demand Stage 2'!NK15</f>
        <v>0</v>
      </c>
      <c r="NL16">
        <f>'Demand Stage 2'!NL15</f>
        <v>0</v>
      </c>
      <c r="NM16">
        <f>'Demand Stage 2'!NM15</f>
        <v>0</v>
      </c>
      <c r="NN16">
        <f>'Demand Stage 2'!NN15</f>
        <v>0</v>
      </c>
      <c r="NO16">
        <f>'Demand Stage 2'!NO15</f>
        <v>0</v>
      </c>
      <c r="NP16">
        <f>'Demand Stage 2'!NP15</f>
        <v>0</v>
      </c>
      <c r="NQ16">
        <f>'Demand Stage 2'!NQ15</f>
        <v>0</v>
      </c>
      <c r="NR16">
        <f>'Demand Stage 2'!NR15</f>
        <v>0</v>
      </c>
      <c r="NS16">
        <f>'Demand Stage 2'!NS15</f>
        <v>0</v>
      </c>
      <c r="NT16">
        <f>'Demand Stage 2'!NT15</f>
        <v>0</v>
      </c>
      <c r="NU16">
        <f>'Demand Stage 2'!NU15</f>
        <v>0</v>
      </c>
      <c r="NV16">
        <f>'Demand Stage 2'!NV15</f>
        <v>0</v>
      </c>
      <c r="NW16">
        <f>'Demand Stage 2'!NW15</f>
        <v>0</v>
      </c>
      <c r="NX16">
        <f>'Demand Stage 2'!NX15</f>
        <v>0</v>
      </c>
      <c r="NY16">
        <f>'Demand Stage 2'!NY15</f>
        <v>0</v>
      </c>
      <c r="NZ16">
        <f>'Demand Stage 2'!NZ15</f>
        <v>0</v>
      </c>
      <c r="OA16">
        <f>'Demand Stage 2'!OA15</f>
        <v>0</v>
      </c>
      <c r="OB16">
        <f>'Demand Stage 2'!OB15</f>
        <v>0</v>
      </c>
      <c r="OC16">
        <f>'Demand Stage 2'!OC15</f>
        <v>0</v>
      </c>
      <c r="OD16">
        <f>'Demand Stage 2'!OD15</f>
        <v>0</v>
      </c>
      <c r="OE16">
        <f>'Demand Stage 2'!OE15</f>
        <v>0</v>
      </c>
      <c r="OF16">
        <f>'Demand Stage 2'!OF15</f>
        <v>0</v>
      </c>
      <c r="OG16">
        <f>'Demand Stage 2'!OG15</f>
        <v>0</v>
      </c>
      <c r="OH16">
        <f>'Demand Stage 2'!OH15</f>
        <v>0</v>
      </c>
      <c r="OI16">
        <f>'Demand Stage 2'!OI15</f>
        <v>0</v>
      </c>
      <c r="OJ16">
        <f>'Demand Stage 2'!OJ15</f>
        <v>0</v>
      </c>
      <c r="OK16">
        <f>'Demand Stage 2'!OK15</f>
        <v>0</v>
      </c>
      <c r="OL16">
        <f>'Demand Stage 2'!OL15</f>
        <v>0</v>
      </c>
      <c r="OM16">
        <f>'Demand Stage 2'!OM15</f>
        <v>0</v>
      </c>
      <c r="ON16">
        <f>'Demand Stage 2'!ON15</f>
        <v>0</v>
      </c>
      <c r="OO16">
        <f>'Demand Stage 2'!OO15</f>
        <v>0</v>
      </c>
      <c r="OP16">
        <f>'Demand Stage 2'!OP15</f>
        <v>0</v>
      </c>
      <c r="OQ16">
        <f>'Demand Stage 2'!OQ15</f>
        <v>0</v>
      </c>
      <c r="OR16">
        <f>'Demand Stage 2'!OR15</f>
        <v>0</v>
      </c>
      <c r="OS16">
        <f>'Demand Stage 2'!OS15</f>
        <v>0</v>
      </c>
      <c r="OT16">
        <f>'Demand Stage 2'!OT15</f>
        <v>0</v>
      </c>
      <c r="OU16">
        <f>'Demand Stage 2'!OU15</f>
        <v>0</v>
      </c>
      <c r="OV16">
        <f>'Demand Stage 2'!OV15</f>
        <v>0</v>
      </c>
      <c r="OW16">
        <f>'Demand Stage 2'!OW15</f>
        <v>0</v>
      </c>
      <c r="OX16">
        <f>'Demand Stage 2'!OX15</f>
        <v>0</v>
      </c>
      <c r="OY16">
        <f>'Demand Stage 2'!OY15</f>
        <v>0</v>
      </c>
      <c r="OZ16">
        <f>'Demand Stage 2'!OZ15</f>
        <v>0</v>
      </c>
      <c r="PA16">
        <f>'Demand Stage 2'!PA15</f>
        <v>0</v>
      </c>
      <c r="PB16">
        <f>'Demand Stage 2'!PB15</f>
        <v>0</v>
      </c>
      <c r="PC16">
        <f>'Demand Stage 2'!PC15</f>
        <v>0</v>
      </c>
      <c r="PD16">
        <f>'Demand Stage 2'!PD15</f>
        <v>0</v>
      </c>
      <c r="PE16">
        <f>'Demand Stage 2'!PE15</f>
        <v>0</v>
      </c>
      <c r="PF16">
        <f>'Demand Stage 2'!PF15</f>
        <v>0</v>
      </c>
      <c r="PG16">
        <f>'Demand Stage 2'!PG15</f>
        <v>0</v>
      </c>
      <c r="PH16">
        <f>'Demand Stage 2'!PH15</f>
        <v>0</v>
      </c>
      <c r="PI16">
        <f>'Demand Stage 2'!PI15</f>
        <v>0</v>
      </c>
      <c r="PJ16">
        <f>'Demand Stage 2'!PJ15</f>
        <v>0</v>
      </c>
      <c r="PK16">
        <f>'Demand Stage 2'!PK15</f>
        <v>0</v>
      </c>
      <c r="PL16">
        <f>'Demand Stage 2'!PL15</f>
        <v>0</v>
      </c>
      <c r="PM16">
        <f>'Demand Stage 2'!PM15</f>
        <v>0</v>
      </c>
      <c r="PN16">
        <f>'Demand Stage 2'!PN15</f>
        <v>0</v>
      </c>
      <c r="PO16">
        <f>'Demand Stage 2'!PO15</f>
        <v>0</v>
      </c>
      <c r="PP16">
        <f>'Demand Stage 2'!PP15</f>
        <v>0</v>
      </c>
      <c r="PQ16">
        <f>'Demand Stage 2'!PQ15</f>
        <v>0</v>
      </c>
      <c r="PR16">
        <f>'Demand Stage 2'!PR15</f>
        <v>0</v>
      </c>
      <c r="PS16">
        <f>'Demand Stage 2'!PS15</f>
        <v>0</v>
      </c>
      <c r="PT16">
        <f>'Demand Stage 2'!PT15</f>
        <v>0</v>
      </c>
      <c r="PU16">
        <f>'Demand Stage 2'!PU15</f>
        <v>0</v>
      </c>
      <c r="PV16">
        <f>'Demand Stage 2'!PV15</f>
        <v>0</v>
      </c>
      <c r="PW16">
        <f>'Demand Stage 2'!PW15</f>
        <v>0</v>
      </c>
      <c r="PX16">
        <f>'Demand Stage 2'!PX15</f>
        <v>0</v>
      </c>
      <c r="PY16">
        <f>'Demand Stage 2'!PY15</f>
        <v>0</v>
      </c>
      <c r="PZ16">
        <f>'Demand Stage 2'!PZ15</f>
        <v>0</v>
      </c>
      <c r="QA16">
        <f>'Demand Stage 2'!QA15</f>
        <v>0</v>
      </c>
      <c r="QB16">
        <f>'Demand Stage 2'!QB15</f>
        <v>0</v>
      </c>
      <c r="QC16">
        <f>'Demand Stage 2'!QC15</f>
        <v>0</v>
      </c>
      <c r="QD16">
        <f>'Demand Stage 2'!QD15</f>
        <v>0</v>
      </c>
      <c r="QE16">
        <f>'Demand Stage 2'!QE15</f>
        <v>0</v>
      </c>
      <c r="QF16">
        <f>'Demand Stage 2'!QF15</f>
        <v>0</v>
      </c>
      <c r="QG16">
        <f>'Demand Stage 2'!QG15</f>
        <v>0</v>
      </c>
      <c r="QH16">
        <f>'Demand Stage 2'!QH15</f>
        <v>0</v>
      </c>
      <c r="QI16">
        <f>'Demand Stage 2'!QI15</f>
        <v>0</v>
      </c>
      <c r="QJ16">
        <f>'Demand Stage 2'!QJ15</f>
        <v>0</v>
      </c>
      <c r="QK16">
        <f>'Demand Stage 2'!QK15</f>
        <v>0</v>
      </c>
      <c r="QL16">
        <f>'Demand Stage 2'!QL15</f>
        <v>0</v>
      </c>
      <c r="QM16">
        <f>'Demand Stage 2'!QM15</f>
        <v>0</v>
      </c>
      <c r="QN16">
        <f>'Demand Stage 2'!QN15</f>
        <v>0</v>
      </c>
      <c r="QO16">
        <f>'Demand Stage 2'!QO15</f>
        <v>0</v>
      </c>
      <c r="QP16">
        <f>'Demand Stage 2'!QP15</f>
        <v>0</v>
      </c>
      <c r="QQ16">
        <f>'Demand Stage 2'!QQ15</f>
        <v>0</v>
      </c>
      <c r="QR16">
        <f>'Demand Stage 2'!QR15</f>
        <v>0</v>
      </c>
      <c r="QS16">
        <f>'Demand Stage 2'!QS15</f>
        <v>0</v>
      </c>
      <c r="QT16">
        <f>'Demand Stage 2'!QT15</f>
        <v>0</v>
      </c>
      <c r="QU16">
        <f>'Demand Stage 2'!QU15</f>
        <v>0</v>
      </c>
      <c r="QV16">
        <f>'Demand Stage 2'!QV15</f>
        <v>0</v>
      </c>
      <c r="QW16">
        <f>'Demand Stage 2'!QW15</f>
        <v>0</v>
      </c>
      <c r="QX16">
        <f>'Demand Stage 2'!QX15</f>
        <v>0</v>
      </c>
      <c r="QY16">
        <f>'Demand Stage 2'!QY15</f>
        <v>0</v>
      </c>
      <c r="QZ16">
        <f>'Demand Stage 2'!QZ15</f>
        <v>0</v>
      </c>
      <c r="RA16">
        <f>'Demand Stage 2'!RA15</f>
        <v>0</v>
      </c>
      <c r="RB16">
        <f>'Demand Stage 2'!RB15</f>
        <v>0</v>
      </c>
      <c r="RC16">
        <f>'Demand Stage 2'!RC15</f>
        <v>0</v>
      </c>
      <c r="RD16">
        <f>'Demand Stage 2'!RD15</f>
        <v>0</v>
      </c>
      <c r="RE16">
        <f>'Demand Stage 2'!RE15</f>
        <v>0</v>
      </c>
      <c r="RF16">
        <f>'Demand Stage 2'!RF15</f>
        <v>0</v>
      </c>
      <c r="RG16">
        <f>'Demand Stage 2'!RG15</f>
        <v>0</v>
      </c>
      <c r="RH16">
        <f>'Demand Stage 2'!RH15</f>
        <v>0</v>
      </c>
      <c r="RI16">
        <f>'Demand Stage 2'!RI15</f>
        <v>0</v>
      </c>
      <c r="RJ16">
        <f>'Demand Stage 2'!RJ15</f>
        <v>0</v>
      </c>
      <c r="RK16">
        <f>'Demand Stage 2'!RK15</f>
        <v>0</v>
      </c>
      <c r="RL16">
        <f>'Demand Stage 2'!RL15</f>
        <v>0</v>
      </c>
      <c r="RM16">
        <f>'Demand Stage 2'!RM15</f>
        <v>0</v>
      </c>
      <c r="RN16">
        <f>'Demand Stage 2'!RN15</f>
        <v>0</v>
      </c>
      <c r="RO16">
        <f>'Demand Stage 2'!RO15</f>
        <v>0</v>
      </c>
      <c r="RP16">
        <f>'Demand Stage 2'!RP15</f>
        <v>0</v>
      </c>
      <c r="RQ16">
        <f>'Demand Stage 2'!RQ15</f>
        <v>0</v>
      </c>
      <c r="RR16">
        <f>'Demand Stage 2'!RR15</f>
        <v>0</v>
      </c>
      <c r="RS16">
        <f>'Demand Stage 2'!RS15</f>
        <v>0</v>
      </c>
      <c r="RT16">
        <f>'Demand Stage 2'!RT15</f>
        <v>0</v>
      </c>
      <c r="RU16">
        <f>'Demand Stage 2'!RU15</f>
        <v>0</v>
      </c>
      <c r="RV16">
        <f>'Demand Stage 2'!RV15</f>
        <v>0</v>
      </c>
      <c r="RW16">
        <f>'Demand Stage 2'!RW15</f>
        <v>0</v>
      </c>
      <c r="RX16">
        <f>'Demand Stage 2'!RX15</f>
        <v>0</v>
      </c>
      <c r="RY16">
        <f>'Demand Stage 2'!RY15</f>
        <v>0</v>
      </c>
      <c r="RZ16">
        <f>'Demand Stage 2'!RZ15</f>
        <v>0</v>
      </c>
      <c r="SA16">
        <f>'Demand Stage 2'!SA15</f>
        <v>0</v>
      </c>
      <c r="SB16">
        <f>'Demand Stage 2'!SB15</f>
        <v>0</v>
      </c>
      <c r="SC16">
        <f>'Demand Stage 2'!SC15</f>
        <v>0</v>
      </c>
      <c r="SD16">
        <f>'Demand Stage 2'!SD15</f>
        <v>0</v>
      </c>
      <c r="SE16">
        <f>'Demand Stage 2'!SE15</f>
        <v>0</v>
      </c>
      <c r="SF16">
        <f>'Demand Stage 2'!SF15</f>
        <v>0</v>
      </c>
      <c r="SG16">
        <f>'Demand Stage 2'!SG15</f>
        <v>0</v>
      </c>
      <c r="SH16">
        <f>'Demand Stage 2'!SH15</f>
        <v>0</v>
      </c>
      <c r="SI16">
        <f>'Demand Stage 2'!SI15</f>
        <v>0</v>
      </c>
      <c r="SJ16">
        <f>'Demand Stage 2'!SJ15</f>
        <v>0</v>
      </c>
      <c r="SK16">
        <f>'Demand Stage 2'!SK15</f>
        <v>0</v>
      </c>
      <c r="SL16">
        <f>'Demand Stage 2'!SL15</f>
        <v>0</v>
      </c>
      <c r="SM16">
        <f>'Demand Stage 2'!SM15</f>
        <v>0</v>
      </c>
      <c r="SN16">
        <f>'Demand Stage 2'!SN15</f>
        <v>0</v>
      </c>
      <c r="SO16">
        <f>'Demand Stage 2'!SO15</f>
        <v>0</v>
      </c>
      <c r="SP16">
        <f>'Demand Stage 2'!SP15</f>
        <v>0</v>
      </c>
      <c r="SQ16">
        <f>'Demand Stage 2'!SQ15</f>
        <v>0</v>
      </c>
      <c r="SR16">
        <f>'Demand Stage 2'!SR15</f>
        <v>0</v>
      </c>
      <c r="SS16">
        <f>'Demand Stage 2'!SS15</f>
        <v>0</v>
      </c>
      <c r="ST16">
        <f>'Demand Stage 2'!ST15</f>
        <v>0</v>
      </c>
      <c r="SU16">
        <f>'Demand Stage 2'!SU15</f>
        <v>0</v>
      </c>
      <c r="SV16">
        <f>'Demand Stage 2'!SV15</f>
        <v>0</v>
      </c>
      <c r="SW16">
        <f>'Demand Stage 2'!SW15</f>
        <v>0</v>
      </c>
      <c r="SX16">
        <f>'Demand Stage 2'!SX15</f>
        <v>0</v>
      </c>
      <c r="SY16">
        <f>'Demand Stage 2'!SY15</f>
        <v>0</v>
      </c>
      <c r="SZ16">
        <f>'Demand Stage 2'!SZ15</f>
        <v>0</v>
      </c>
      <c r="TA16">
        <f>'Demand Stage 2'!TA15</f>
        <v>0</v>
      </c>
      <c r="TB16">
        <f>'Demand Stage 2'!TB15</f>
        <v>0</v>
      </c>
      <c r="TC16">
        <f>'Demand Stage 2'!TC15</f>
        <v>0</v>
      </c>
      <c r="TD16">
        <f>'Demand Stage 2'!TD15</f>
        <v>0</v>
      </c>
      <c r="TE16">
        <f>'Demand Stage 2'!TE15</f>
        <v>0</v>
      </c>
      <c r="TF16">
        <f>'Demand Stage 2'!TF15</f>
        <v>0</v>
      </c>
      <c r="TG16">
        <f>'Demand Stage 2'!TG15</f>
        <v>0</v>
      </c>
      <c r="TH16">
        <f>'Demand Stage 2'!TH15</f>
        <v>0</v>
      </c>
      <c r="TI16">
        <f>'Demand Stage 2'!TI15</f>
        <v>0</v>
      </c>
      <c r="TJ16">
        <f>'Demand Stage 2'!TJ15</f>
        <v>0</v>
      </c>
      <c r="TK16">
        <f>'Demand Stage 2'!TK15</f>
        <v>0</v>
      </c>
      <c r="TL16">
        <f>'Demand Stage 2'!TL15</f>
        <v>0</v>
      </c>
      <c r="TM16">
        <f>'Demand Stage 2'!TM15</f>
        <v>0</v>
      </c>
      <c r="TN16">
        <f>'Demand Stage 2'!TN15</f>
        <v>0</v>
      </c>
      <c r="TO16">
        <f>'Demand Stage 2'!TO15</f>
        <v>0</v>
      </c>
      <c r="TP16">
        <f>'Demand Stage 2'!TP15</f>
        <v>0</v>
      </c>
      <c r="TQ16">
        <f>'Demand Stage 2'!TQ15</f>
        <v>0</v>
      </c>
      <c r="TR16">
        <f>'Demand Stage 2'!TR15</f>
        <v>0</v>
      </c>
      <c r="TS16">
        <f>'Demand Stage 2'!TS15</f>
        <v>0</v>
      </c>
      <c r="TT16">
        <f>'Demand Stage 2'!TT15</f>
        <v>0</v>
      </c>
      <c r="TU16">
        <f>'Demand Stage 2'!TU15</f>
        <v>0</v>
      </c>
      <c r="TV16">
        <f>'Demand Stage 2'!TV15</f>
        <v>0</v>
      </c>
      <c r="TW16">
        <f>'Demand Stage 2'!TW15</f>
        <v>0</v>
      </c>
      <c r="TX16">
        <f>'Demand Stage 2'!TX15</f>
        <v>0</v>
      </c>
      <c r="TY16">
        <f>'Demand Stage 2'!TY15</f>
        <v>0</v>
      </c>
      <c r="TZ16">
        <f>'Demand Stage 2'!TZ15</f>
        <v>0</v>
      </c>
      <c r="UA16">
        <f>'Demand Stage 2'!UA15</f>
        <v>0</v>
      </c>
      <c r="UB16">
        <f>'Demand Stage 2'!UB15</f>
        <v>0</v>
      </c>
      <c r="UC16">
        <f>'Demand Stage 2'!UC15</f>
        <v>0</v>
      </c>
      <c r="UD16">
        <f>'Demand Stage 2'!UD15</f>
        <v>0</v>
      </c>
      <c r="UE16">
        <f>'Demand Stage 2'!UE15</f>
        <v>0</v>
      </c>
      <c r="UF16">
        <f>'Demand Stage 2'!UF15</f>
        <v>0</v>
      </c>
      <c r="UG16">
        <f>'Demand Stage 2'!UG15</f>
        <v>0</v>
      </c>
      <c r="UH16">
        <f>'Demand Stage 2'!UH15</f>
        <v>0</v>
      </c>
      <c r="UI16">
        <f>'Demand Stage 2'!UI15</f>
        <v>0</v>
      </c>
      <c r="UJ16">
        <f>'Demand Stage 2'!UJ15</f>
        <v>0</v>
      </c>
      <c r="UK16">
        <f>'Demand Stage 2'!UK15</f>
        <v>0</v>
      </c>
      <c r="UL16">
        <f>'Demand Stage 2'!UL15</f>
        <v>0</v>
      </c>
      <c r="UM16">
        <f>'Demand Stage 2'!UM15</f>
        <v>0</v>
      </c>
      <c r="UN16">
        <f>'Demand Stage 2'!UN15</f>
        <v>0</v>
      </c>
      <c r="UO16">
        <f>'Demand Stage 2'!UO15</f>
        <v>0</v>
      </c>
      <c r="UP16">
        <f>'Demand Stage 2'!UP15</f>
        <v>0</v>
      </c>
      <c r="UQ16">
        <f>'Demand Stage 2'!UQ15</f>
        <v>0</v>
      </c>
      <c r="UR16">
        <f>'Demand Stage 2'!UR15</f>
        <v>0</v>
      </c>
      <c r="US16">
        <f>'Demand Stage 2'!US15</f>
        <v>0</v>
      </c>
      <c r="UT16">
        <f>'Demand Stage 2'!UT15</f>
        <v>0</v>
      </c>
      <c r="UU16">
        <f>'Demand Stage 2'!UU15</f>
        <v>0</v>
      </c>
      <c r="UV16">
        <f>'Demand Stage 2'!UV15</f>
        <v>0</v>
      </c>
      <c r="UW16">
        <f>'Demand Stage 2'!UW15</f>
        <v>0</v>
      </c>
      <c r="UX16">
        <f>'Demand Stage 2'!UX15</f>
        <v>0</v>
      </c>
      <c r="UY16">
        <f>'Demand Stage 2'!UY15</f>
        <v>0</v>
      </c>
      <c r="UZ16">
        <f>'Demand Stage 2'!UZ15</f>
        <v>0</v>
      </c>
      <c r="VA16">
        <f>'Demand Stage 2'!VA15</f>
        <v>0</v>
      </c>
      <c r="VB16">
        <f>'Demand Stage 2'!VB15</f>
        <v>0</v>
      </c>
      <c r="VC16">
        <f>'Demand Stage 2'!VC15</f>
        <v>0</v>
      </c>
      <c r="VD16">
        <f>'Demand Stage 2'!VD15</f>
        <v>0</v>
      </c>
      <c r="VE16">
        <f>'Demand Stage 2'!VE15</f>
        <v>0</v>
      </c>
      <c r="VF16">
        <f>'Demand Stage 2'!VF15</f>
        <v>0</v>
      </c>
      <c r="VG16">
        <f>'Demand Stage 2'!VG15</f>
        <v>0</v>
      </c>
      <c r="VH16">
        <f>'Demand Stage 2'!VH15</f>
        <v>0</v>
      </c>
      <c r="VI16">
        <f>'Demand Stage 2'!VI15</f>
        <v>0</v>
      </c>
      <c r="VJ16">
        <f>'Demand Stage 2'!VJ15</f>
        <v>0</v>
      </c>
      <c r="VK16">
        <f>'Demand Stage 2'!VK15</f>
        <v>0</v>
      </c>
      <c r="VL16">
        <f>'Demand Stage 2'!VL15</f>
        <v>0</v>
      </c>
      <c r="VM16">
        <f>'Demand Stage 2'!VM15</f>
        <v>0</v>
      </c>
      <c r="VN16">
        <f>'Demand Stage 2'!VN15</f>
        <v>0</v>
      </c>
      <c r="VO16">
        <f>'Demand Stage 2'!VO15</f>
        <v>0</v>
      </c>
      <c r="VP16">
        <f>'Demand Stage 2'!VP15</f>
        <v>0</v>
      </c>
      <c r="VQ16">
        <f>'Demand Stage 2'!VQ15</f>
        <v>0</v>
      </c>
      <c r="VR16">
        <f>'Demand Stage 2'!VR15</f>
        <v>0</v>
      </c>
      <c r="VS16">
        <f>'Demand Stage 2'!VS15</f>
        <v>0</v>
      </c>
      <c r="VT16">
        <f>'Demand Stage 2'!VT15</f>
        <v>0</v>
      </c>
      <c r="VU16">
        <f>'Demand Stage 2'!VU15</f>
        <v>0</v>
      </c>
      <c r="VV16">
        <f>'Demand Stage 2'!VV15</f>
        <v>0</v>
      </c>
      <c r="VW16">
        <f>'Demand Stage 2'!VW15</f>
        <v>0</v>
      </c>
      <c r="VX16">
        <f>'Demand Stage 2'!VX15</f>
        <v>0</v>
      </c>
      <c r="VY16">
        <f>'Demand Stage 2'!VY15</f>
        <v>0</v>
      </c>
      <c r="VZ16">
        <f>'Demand Stage 2'!VZ15</f>
        <v>0</v>
      </c>
      <c r="WA16">
        <f>'Demand Stage 2'!WA15</f>
        <v>0</v>
      </c>
      <c r="WB16">
        <f>'Demand Stage 2'!WB15</f>
        <v>0</v>
      </c>
      <c r="WC16">
        <f>'Demand Stage 2'!WC15</f>
        <v>0</v>
      </c>
      <c r="WD16">
        <f>'Demand Stage 2'!WD15</f>
        <v>0</v>
      </c>
      <c r="WE16">
        <f>'Demand Stage 2'!WE15</f>
        <v>0</v>
      </c>
      <c r="WF16">
        <f>'Demand Stage 2'!WF15</f>
        <v>0</v>
      </c>
      <c r="WG16">
        <f>'Demand Stage 2'!WG15</f>
        <v>0</v>
      </c>
      <c r="WH16">
        <f>'Demand Stage 2'!WH15</f>
        <v>0</v>
      </c>
      <c r="WI16">
        <f>'Demand Stage 2'!WI15</f>
        <v>0</v>
      </c>
      <c r="WJ16">
        <f>'Demand Stage 2'!WJ15</f>
        <v>0</v>
      </c>
      <c r="WK16">
        <f>'Demand Stage 2'!WK15</f>
        <v>0</v>
      </c>
      <c r="WL16">
        <f>'Demand Stage 2'!WL15</f>
        <v>0</v>
      </c>
      <c r="WM16">
        <f>'Demand Stage 2'!WM15</f>
        <v>0</v>
      </c>
      <c r="WN16">
        <f>'Demand Stage 2'!WN15</f>
        <v>0</v>
      </c>
      <c r="WO16">
        <f>'Demand Stage 2'!WO15</f>
        <v>0</v>
      </c>
      <c r="WP16">
        <f>'Demand Stage 2'!WP15</f>
        <v>0</v>
      </c>
      <c r="WQ16">
        <f>'Demand Stage 2'!WQ15</f>
        <v>0</v>
      </c>
      <c r="WR16">
        <f>'Demand Stage 2'!WR15</f>
        <v>0</v>
      </c>
      <c r="WS16">
        <f>'Demand Stage 2'!WS15</f>
        <v>0</v>
      </c>
      <c r="WT16">
        <f>'Demand Stage 2'!WT15</f>
        <v>0</v>
      </c>
      <c r="WU16">
        <f>'Demand Stage 2'!WU15</f>
        <v>0</v>
      </c>
      <c r="WV16">
        <f>'Demand Stage 2'!WV15</f>
        <v>0</v>
      </c>
      <c r="WW16">
        <f>'Demand Stage 2'!WW15</f>
        <v>0</v>
      </c>
      <c r="WX16">
        <f>'Demand Stage 2'!WX15</f>
        <v>0</v>
      </c>
      <c r="WY16">
        <f>'Demand Stage 2'!WY15</f>
        <v>0</v>
      </c>
      <c r="WZ16">
        <f>'Demand Stage 2'!WZ15</f>
        <v>0</v>
      </c>
      <c r="XA16">
        <f>'Demand Stage 2'!XA15</f>
        <v>0</v>
      </c>
      <c r="XB16">
        <f>'Demand Stage 2'!XB15</f>
        <v>0</v>
      </c>
      <c r="XC16">
        <f>'Demand Stage 2'!XC15</f>
        <v>0</v>
      </c>
      <c r="XD16">
        <f>'Demand Stage 2'!XD15</f>
        <v>0</v>
      </c>
      <c r="XE16">
        <f>'Demand Stage 2'!XE15</f>
        <v>0</v>
      </c>
      <c r="XF16">
        <f>'Demand Stage 2'!XF15</f>
        <v>0</v>
      </c>
      <c r="XG16">
        <f>'Demand Stage 2'!XG15</f>
        <v>0</v>
      </c>
      <c r="XH16">
        <f>'Demand Stage 2'!XH15</f>
        <v>0</v>
      </c>
      <c r="XI16">
        <f>'Demand Stage 2'!XI15</f>
        <v>0</v>
      </c>
      <c r="XJ16">
        <f>'Demand Stage 2'!XJ15</f>
        <v>0</v>
      </c>
      <c r="XK16">
        <f>'Demand Stage 2'!XK15</f>
        <v>0</v>
      </c>
      <c r="XL16">
        <f>'Demand Stage 2'!XL15</f>
        <v>0</v>
      </c>
      <c r="XM16">
        <f>'Demand Stage 2'!XM15</f>
        <v>0</v>
      </c>
      <c r="XN16">
        <f>'Demand Stage 2'!XN15</f>
        <v>0</v>
      </c>
      <c r="XO16">
        <f>'Demand Stage 2'!XO15</f>
        <v>0</v>
      </c>
      <c r="XP16">
        <f>'Demand Stage 2'!XP15</f>
        <v>0</v>
      </c>
      <c r="XQ16">
        <f>'Demand Stage 2'!XQ15</f>
        <v>0</v>
      </c>
      <c r="XR16">
        <f>'Demand Stage 2'!XR15</f>
        <v>0</v>
      </c>
      <c r="XS16">
        <f>'Demand Stage 2'!XS15</f>
        <v>0</v>
      </c>
      <c r="XT16">
        <f>'Demand Stage 2'!XT15</f>
        <v>0</v>
      </c>
      <c r="XU16">
        <f>'Demand Stage 2'!XU15</f>
        <v>0</v>
      </c>
      <c r="XV16">
        <f>'Demand Stage 2'!XV15</f>
        <v>0</v>
      </c>
      <c r="XW16">
        <f>'Demand Stage 2'!XW15</f>
        <v>0</v>
      </c>
      <c r="XX16">
        <f>'Demand Stage 2'!XX15</f>
        <v>0</v>
      </c>
      <c r="XY16">
        <f>'Demand Stage 2'!XY15</f>
        <v>0</v>
      </c>
      <c r="XZ16">
        <f>'Demand Stage 2'!XZ15</f>
        <v>0</v>
      </c>
      <c r="YA16">
        <f>'Demand Stage 2'!YA15</f>
        <v>0</v>
      </c>
      <c r="YB16">
        <f>'Demand Stage 2'!YB15</f>
        <v>0</v>
      </c>
      <c r="YC16">
        <f>'Demand Stage 2'!YC15</f>
        <v>0</v>
      </c>
      <c r="YD16">
        <f>'Demand Stage 2'!YD15</f>
        <v>0</v>
      </c>
      <c r="YE16">
        <f>'Demand Stage 2'!YE15</f>
        <v>0</v>
      </c>
      <c r="YF16">
        <f>'Demand Stage 2'!YF15</f>
        <v>0</v>
      </c>
      <c r="YG16">
        <f>'Demand Stage 2'!YG15</f>
        <v>0</v>
      </c>
      <c r="YH16">
        <f>'Demand Stage 2'!YH15</f>
        <v>0</v>
      </c>
      <c r="YI16">
        <f>'Demand Stage 2'!YI15</f>
        <v>0</v>
      </c>
      <c r="YJ16">
        <f>'Demand Stage 2'!YJ15</f>
        <v>0</v>
      </c>
      <c r="YK16">
        <f>'Demand Stage 2'!YK15</f>
        <v>0</v>
      </c>
      <c r="YL16">
        <f>'Demand Stage 2'!YL15</f>
        <v>0</v>
      </c>
      <c r="YM16">
        <f>'Demand Stage 2'!YM15</f>
        <v>0</v>
      </c>
      <c r="YN16">
        <f>'Demand Stage 2'!YN15</f>
        <v>0</v>
      </c>
      <c r="YO16">
        <f>'Demand Stage 2'!YO15</f>
        <v>0</v>
      </c>
      <c r="YP16">
        <f>'Demand Stage 2'!YP15</f>
        <v>0</v>
      </c>
      <c r="YQ16">
        <f>'Demand Stage 2'!YQ15</f>
        <v>0</v>
      </c>
      <c r="YR16">
        <f>'Demand Stage 2'!YR15</f>
        <v>0</v>
      </c>
      <c r="YS16">
        <f>'Demand Stage 2'!YS15</f>
        <v>0</v>
      </c>
      <c r="YT16">
        <f>'Demand Stage 2'!YT15</f>
        <v>0</v>
      </c>
      <c r="YU16">
        <f>'Demand Stage 2'!YU15</f>
        <v>0</v>
      </c>
      <c r="YV16">
        <f>'Demand Stage 2'!YV15</f>
        <v>0</v>
      </c>
      <c r="YW16">
        <f>'Demand Stage 2'!YW15</f>
        <v>0</v>
      </c>
      <c r="YX16">
        <f>'Demand Stage 2'!YX15</f>
        <v>0</v>
      </c>
      <c r="YY16">
        <f>'Demand Stage 2'!YY15</f>
        <v>0</v>
      </c>
      <c r="YZ16">
        <f>'Demand Stage 2'!YZ15</f>
        <v>0</v>
      </c>
      <c r="ZA16">
        <f>'Demand Stage 2'!ZA15</f>
        <v>0</v>
      </c>
      <c r="ZB16">
        <f>'Demand Stage 2'!ZB15</f>
        <v>0</v>
      </c>
      <c r="ZC16">
        <f>'Demand Stage 2'!ZC15</f>
        <v>0</v>
      </c>
      <c r="ZD16">
        <f>'Demand Stage 2'!ZD15</f>
        <v>0</v>
      </c>
      <c r="ZE16">
        <f>'Demand Stage 2'!ZE15</f>
        <v>0</v>
      </c>
      <c r="ZF16">
        <f>'Demand Stage 2'!ZF15</f>
        <v>0</v>
      </c>
      <c r="ZG16">
        <f>'Demand Stage 2'!ZG15</f>
        <v>0</v>
      </c>
      <c r="ZH16">
        <f>'Demand Stage 2'!ZH15</f>
        <v>0</v>
      </c>
      <c r="ZI16">
        <f>'Demand Stage 2'!ZI15</f>
        <v>0</v>
      </c>
      <c r="ZJ16">
        <f>'Demand Stage 2'!ZJ15</f>
        <v>0</v>
      </c>
      <c r="ZK16">
        <f>'Demand Stage 2'!ZK15</f>
        <v>0</v>
      </c>
      <c r="ZL16">
        <f>'Demand Stage 2'!ZL15</f>
        <v>0</v>
      </c>
      <c r="ZM16">
        <f>'Demand Stage 2'!ZM15</f>
        <v>0</v>
      </c>
      <c r="ZN16">
        <f>'Demand Stage 2'!ZN15</f>
        <v>0</v>
      </c>
      <c r="ZO16">
        <f>'Demand Stage 2'!ZO15</f>
        <v>0</v>
      </c>
      <c r="ZP16">
        <f>'Demand Stage 2'!ZP15</f>
        <v>0</v>
      </c>
      <c r="ZQ16">
        <f>'Demand Stage 2'!ZQ15</f>
        <v>0</v>
      </c>
      <c r="ZR16">
        <f>'Demand Stage 2'!ZR15</f>
        <v>0</v>
      </c>
      <c r="ZS16">
        <f>'Demand Stage 2'!ZS15</f>
        <v>0</v>
      </c>
      <c r="ZT16">
        <f>'Demand Stage 2'!ZT15</f>
        <v>0</v>
      </c>
      <c r="ZU16">
        <f>'Demand Stage 2'!ZU15</f>
        <v>0</v>
      </c>
      <c r="ZV16">
        <f>'Demand Stage 2'!ZV15</f>
        <v>0</v>
      </c>
      <c r="ZW16">
        <f>'Demand Stage 2'!ZW15</f>
        <v>0</v>
      </c>
      <c r="ZX16">
        <f>'Demand Stage 2'!ZX15</f>
        <v>0</v>
      </c>
      <c r="ZY16">
        <f>'Demand Stage 2'!ZY15</f>
        <v>0</v>
      </c>
      <c r="ZZ16">
        <f>'Demand Stage 2'!ZZ15</f>
        <v>0</v>
      </c>
      <c r="AAA16">
        <f>'Demand Stage 2'!AAA15</f>
        <v>0</v>
      </c>
      <c r="AAB16">
        <f>'Demand Stage 2'!AAB15</f>
        <v>0</v>
      </c>
      <c r="AAC16">
        <f>'Demand Stage 2'!AAC15</f>
        <v>0</v>
      </c>
      <c r="AAD16">
        <f t="shared" si="33"/>
        <v>0</v>
      </c>
      <c r="AAE16">
        <f t="shared" si="66"/>
        <v>0</v>
      </c>
      <c r="AAF16">
        <f t="shared" si="67"/>
        <v>0</v>
      </c>
      <c r="AAG16">
        <f t="shared" si="68"/>
        <v>0</v>
      </c>
      <c r="AAH16">
        <f t="shared" si="69"/>
        <v>0</v>
      </c>
      <c r="AAI16">
        <f t="shared" si="70"/>
        <v>0</v>
      </c>
      <c r="AAJ16">
        <f t="shared" si="71"/>
        <v>0</v>
      </c>
      <c r="AAK16">
        <f t="shared" si="72"/>
        <v>0</v>
      </c>
      <c r="AAL16">
        <f t="shared" si="73"/>
        <v>0</v>
      </c>
      <c r="AAM16">
        <f t="shared" si="74"/>
        <v>0</v>
      </c>
      <c r="AAN16">
        <f t="shared" si="75"/>
        <v>0</v>
      </c>
      <c r="AAO16">
        <f t="shared" si="76"/>
        <v>0</v>
      </c>
      <c r="AAP16">
        <f t="shared" si="77"/>
        <v>0</v>
      </c>
      <c r="AAQ16">
        <f t="shared" si="78"/>
        <v>0</v>
      </c>
      <c r="AAR16">
        <f t="shared" si="79"/>
        <v>0</v>
      </c>
      <c r="AAS16">
        <f t="shared" si="80"/>
        <v>0</v>
      </c>
      <c r="AAT16">
        <f t="shared" si="81"/>
        <v>0</v>
      </c>
      <c r="AAU16">
        <f t="shared" si="82"/>
        <v>0</v>
      </c>
      <c r="AAV16">
        <f t="shared" si="83"/>
        <v>0</v>
      </c>
      <c r="AAW16">
        <f t="shared" si="84"/>
        <v>0</v>
      </c>
      <c r="AAX16">
        <f t="shared" si="85"/>
        <v>0</v>
      </c>
      <c r="AAY16">
        <f t="shared" si="86"/>
        <v>0</v>
      </c>
      <c r="AAZ16">
        <f t="shared" si="87"/>
        <v>0</v>
      </c>
      <c r="ABA16">
        <f t="shared" si="88"/>
        <v>0</v>
      </c>
      <c r="ABB16">
        <f t="shared" si="89"/>
        <v>0</v>
      </c>
      <c r="ABC16">
        <f t="shared" si="90"/>
        <v>0</v>
      </c>
      <c r="ABD16">
        <f t="shared" si="91"/>
        <v>0</v>
      </c>
      <c r="ABE16">
        <f t="shared" si="92"/>
        <v>0</v>
      </c>
      <c r="ABF16">
        <f t="shared" si="93"/>
        <v>0</v>
      </c>
      <c r="ABG16">
        <f t="shared" si="94"/>
        <v>0</v>
      </c>
      <c r="ABH16">
        <f t="shared" si="95"/>
        <v>0</v>
      </c>
      <c r="ABI16">
        <f t="shared" si="96"/>
        <v>0</v>
      </c>
      <c r="ABJ16">
        <f t="shared" si="97"/>
        <v>0</v>
      </c>
      <c r="ABK16">
        <f t="shared" si="98"/>
        <v>0</v>
      </c>
      <c r="ABL16">
        <f t="shared" si="99"/>
        <v>0</v>
      </c>
      <c r="ABM16">
        <f t="shared" si="100"/>
        <v>0</v>
      </c>
      <c r="ABN16">
        <f t="shared" si="101"/>
        <v>0</v>
      </c>
      <c r="ABO16">
        <f t="shared" si="102"/>
        <v>0</v>
      </c>
      <c r="ABP16">
        <f t="shared" si="103"/>
        <v>0</v>
      </c>
      <c r="ABQ16">
        <f t="shared" si="104"/>
        <v>0</v>
      </c>
      <c r="ABR16">
        <f t="shared" si="105"/>
        <v>0</v>
      </c>
      <c r="ABS16">
        <f t="shared" si="106"/>
        <v>0</v>
      </c>
      <c r="ABT16">
        <f t="shared" si="107"/>
        <v>0</v>
      </c>
      <c r="ABU16">
        <f t="shared" si="108"/>
        <v>0</v>
      </c>
      <c r="ABV16">
        <f t="shared" si="109"/>
        <v>0</v>
      </c>
      <c r="ABW16">
        <f t="shared" si="110"/>
        <v>0</v>
      </c>
      <c r="ABX16">
        <f t="shared" si="111"/>
        <v>0</v>
      </c>
      <c r="ABY16">
        <f t="shared" si="112"/>
        <v>0</v>
      </c>
      <c r="ABZ16">
        <f t="shared" si="113"/>
        <v>0</v>
      </c>
      <c r="ACA16">
        <f t="shared" si="114"/>
        <v>0</v>
      </c>
      <c r="ACB16">
        <f t="shared" si="115"/>
        <v>0</v>
      </c>
      <c r="ACC16">
        <f t="shared" si="116"/>
        <v>0</v>
      </c>
      <c r="ACD16">
        <f t="shared" si="117"/>
        <v>0</v>
      </c>
      <c r="ACE16">
        <f t="shared" si="118"/>
        <v>0</v>
      </c>
      <c r="ACF16">
        <f t="shared" si="119"/>
        <v>0</v>
      </c>
      <c r="ACG16">
        <f t="shared" si="120"/>
        <v>0</v>
      </c>
      <c r="ACH16">
        <f t="shared" si="121"/>
        <v>0</v>
      </c>
      <c r="ACI16">
        <f t="shared" si="122"/>
        <v>0</v>
      </c>
      <c r="ACJ16">
        <f t="shared" si="123"/>
        <v>0</v>
      </c>
      <c r="ACK16">
        <f t="shared" si="124"/>
        <v>0</v>
      </c>
      <c r="ACL16">
        <f t="shared" si="125"/>
        <v>0</v>
      </c>
      <c r="ACM16">
        <f t="shared" si="126"/>
        <v>0</v>
      </c>
      <c r="ACN16">
        <f t="shared" si="127"/>
        <v>0</v>
      </c>
      <c r="ACO16">
        <f t="shared" si="128"/>
        <v>0</v>
      </c>
      <c r="ACP16">
        <f t="shared" si="34"/>
        <v>0</v>
      </c>
      <c r="ACQ16">
        <f t="shared" si="129"/>
        <v>0</v>
      </c>
      <c r="ACR16">
        <f t="shared" si="130"/>
        <v>0</v>
      </c>
      <c r="ACS16">
        <f t="shared" si="131"/>
        <v>0</v>
      </c>
      <c r="ACT16">
        <f t="shared" si="132"/>
        <v>0</v>
      </c>
      <c r="ACU16">
        <f t="shared" si="133"/>
        <v>0</v>
      </c>
      <c r="ACV16">
        <f t="shared" si="134"/>
        <v>0</v>
      </c>
      <c r="ACW16">
        <f t="shared" si="135"/>
        <v>0</v>
      </c>
      <c r="ACX16">
        <f t="shared" si="136"/>
        <v>0</v>
      </c>
      <c r="ACY16">
        <f t="shared" si="137"/>
        <v>0</v>
      </c>
      <c r="ACZ16">
        <f t="shared" si="138"/>
        <v>0</v>
      </c>
      <c r="ADA16">
        <f t="shared" si="139"/>
        <v>0</v>
      </c>
      <c r="ADB16">
        <f t="shared" si="140"/>
        <v>0</v>
      </c>
      <c r="ADC16">
        <f t="shared" si="141"/>
        <v>0</v>
      </c>
      <c r="ADD16">
        <f t="shared" si="142"/>
        <v>0</v>
      </c>
      <c r="ADE16">
        <f t="shared" si="143"/>
        <v>0</v>
      </c>
      <c r="ADF16">
        <f t="shared" si="144"/>
        <v>0</v>
      </c>
      <c r="ADG16">
        <f t="shared" si="145"/>
        <v>0</v>
      </c>
      <c r="ADH16">
        <f t="shared" si="146"/>
        <v>0</v>
      </c>
      <c r="ADI16">
        <f t="shared" si="147"/>
        <v>0</v>
      </c>
      <c r="ADJ16">
        <f t="shared" si="148"/>
        <v>0</v>
      </c>
      <c r="ADK16">
        <f t="shared" si="149"/>
        <v>0</v>
      </c>
      <c r="ADL16">
        <f t="shared" si="150"/>
        <v>0</v>
      </c>
      <c r="ADM16">
        <f t="shared" si="151"/>
        <v>0</v>
      </c>
      <c r="ADN16">
        <f t="shared" si="152"/>
        <v>0</v>
      </c>
      <c r="ADO16">
        <f t="shared" si="153"/>
        <v>0</v>
      </c>
      <c r="ADP16">
        <f t="shared" si="154"/>
        <v>0</v>
      </c>
      <c r="ADQ16">
        <f t="shared" si="155"/>
        <v>0</v>
      </c>
      <c r="ADR16">
        <f t="shared" si="156"/>
        <v>0</v>
      </c>
      <c r="ADS16">
        <f t="shared" si="157"/>
        <v>0</v>
      </c>
      <c r="ADT16">
        <f t="shared" si="158"/>
        <v>0</v>
      </c>
      <c r="ADU16">
        <f t="shared" si="159"/>
        <v>0</v>
      </c>
      <c r="ADV16">
        <f t="shared" si="160"/>
        <v>0</v>
      </c>
      <c r="ADW16">
        <f t="shared" si="161"/>
        <v>0</v>
      </c>
      <c r="ADX16">
        <f t="shared" si="162"/>
        <v>0</v>
      </c>
      <c r="ADY16">
        <f t="shared" si="163"/>
        <v>0</v>
      </c>
      <c r="ADZ16">
        <f t="shared" si="164"/>
        <v>0</v>
      </c>
      <c r="AEA16">
        <f t="shared" si="165"/>
        <v>0</v>
      </c>
      <c r="AEB16">
        <f t="shared" si="166"/>
        <v>0</v>
      </c>
      <c r="AEC16">
        <f t="shared" si="167"/>
        <v>0</v>
      </c>
      <c r="AED16">
        <f t="shared" si="168"/>
        <v>0</v>
      </c>
      <c r="AEE16">
        <f t="shared" si="169"/>
        <v>0</v>
      </c>
      <c r="AEF16">
        <f t="shared" si="170"/>
        <v>0</v>
      </c>
      <c r="AEG16">
        <f t="shared" si="171"/>
        <v>0</v>
      </c>
      <c r="AEH16">
        <f t="shared" si="172"/>
        <v>0</v>
      </c>
      <c r="AEI16">
        <f t="shared" si="173"/>
        <v>0</v>
      </c>
      <c r="AEJ16">
        <f t="shared" si="174"/>
        <v>0</v>
      </c>
      <c r="AEK16">
        <f t="shared" si="175"/>
        <v>0</v>
      </c>
      <c r="AEL16">
        <f t="shared" si="176"/>
        <v>0</v>
      </c>
      <c r="AEM16">
        <f t="shared" si="177"/>
        <v>0</v>
      </c>
      <c r="AEN16">
        <f t="shared" si="178"/>
        <v>0</v>
      </c>
      <c r="AEO16">
        <f t="shared" si="179"/>
        <v>0</v>
      </c>
      <c r="AEP16">
        <f t="shared" si="180"/>
        <v>0</v>
      </c>
      <c r="AEQ16">
        <f t="shared" si="181"/>
        <v>0</v>
      </c>
      <c r="AER16">
        <f t="shared" si="182"/>
        <v>0</v>
      </c>
      <c r="AES16">
        <f t="shared" si="183"/>
        <v>0</v>
      </c>
      <c r="AET16">
        <f t="shared" si="184"/>
        <v>0</v>
      </c>
      <c r="AEU16">
        <f t="shared" si="185"/>
        <v>0</v>
      </c>
      <c r="AEV16">
        <f t="shared" si="186"/>
        <v>0</v>
      </c>
      <c r="AEW16">
        <f t="shared" si="187"/>
        <v>0</v>
      </c>
      <c r="AEX16">
        <f t="shared" si="188"/>
        <v>0</v>
      </c>
      <c r="AEY16">
        <f t="shared" si="189"/>
        <v>0</v>
      </c>
      <c r="AEZ16">
        <f t="shared" si="190"/>
        <v>0</v>
      </c>
      <c r="AFA16">
        <f t="shared" si="191"/>
        <v>0</v>
      </c>
      <c r="AFB16">
        <f t="shared" si="35"/>
        <v>0</v>
      </c>
      <c r="AFC16">
        <f t="shared" si="192"/>
        <v>0</v>
      </c>
      <c r="AFD16">
        <f t="shared" si="193"/>
        <v>0</v>
      </c>
      <c r="AFE16">
        <f t="shared" si="194"/>
        <v>0</v>
      </c>
      <c r="AFF16">
        <f t="shared" si="195"/>
        <v>0</v>
      </c>
      <c r="AFG16">
        <f t="shared" si="196"/>
        <v>0</v>
      </c>
      <c r="AFH16">
        <f t="shared" si="197"/>
        <v>0</v>
      </c>
      <c r="AFI16">
        <f t="shared" si="198"/>
        <v>0</v>
      </c>
      <c r="AFJ16">
        <f t="shared" si="199"/>
        <v>0</v>
      </c>
      <c r="AFK16">
        <f t="shared" si="200"/>
        <v>0</v>
      </c>
      <c r="AFL16">
        <f t="shared" si="201"/>
        <v>0</v>
      </c>
      <c r="AFM16">
        <f t="shared" si="202"/>
        <v>0</v>
      </c>
      <c r="AFN16">
        <f t="shared" si="203"/>
        <v>0</v>
      </c>
      <c r="AFO16">
        <f t="shared" si="204"/>
        <v>0</v>
      </c>
      <c r="AFP16">
        <f t="shared" si="205"/>
        <v>0</v>
      </c>
      <c r="AFQ16">
        <f t="shared" si="206"/>
        <v>0</v>
      </c>
      <c r="AFR16">
        <f t="shared" si="207"/>
        <v>0</v>
      </c>
      <c r="AFS16">
        <f t="shared" si="208"/>
        <v>0</v>
      </c>
      <c r="AFT16">
        <f t="shared" si="209"/>
        <v>0</v>
      </c>
      <c r="AFU16">
        <f t="shared" si="210"/>
        <v>0</v>
      </c>
      <c r="AFV16">
        <f t="shared" si="211"/>
        <v>0</v>
      </c>
      <c r="AFW16">
        <f t="shared" si="212"/>
        <v>0</v>
      </c>
      <c r="AFX16">
        <f t="shared" si="213"/>
        <v>0</v>
      </c>
      <c r="AFY16">
        <f t="shared" si="214"/>
        <v>0</v>
      </c>
      <c r="AFZ16">
        <f t="shared" si="215"/>
        <v>0</v>
      </c>
      <c r="AGA16">
        <f t="shared" si="216"/>
        <v>0</v>
      </c>
      <c r="AGB16">
        <f t="shared" si="217"/>
        <v>0</v>
      </c>
      <c r="AGC16">
        <f t="shared" si="218"/>
        <v>0</v>
      </c>
      <c r="AGD16">
        <f t="shared" si="219"/>
        <v>0</v>
      </c>
      <c r="AGE16">
        <f t="shared" si="220"/>
        <v>0</v>
      </c>
      <c r="AGF16">
        <f t="shared" si="221"/>
        <v>0</v>
      </c>
      <c r="AGG16">
        <f t="shared" si="222"/>
        <v>0</v>
      </c>
      <c r="AGH16">
        <f t="shared" si="223"/>
        <v>0</v>
      </c>
      <c r="AGI16">
        <f t="shared" si="224"/>
        <v>0</v>
      </c>
      <c r="AGJ16">
        <f t="shared" si="225"/>
        <v>0</v>
      </c>
      <c r="AGK16">
        <f t="shared" si="226"/>
        <v>0</v>
      </c>
      <c r="AGL16">
        <f t="shared" si="227"/>
        <v>0</v>
      </c>
      <c r="AGM16">
        <f t="shared" si="228"/>
        <v>0</v>
      </c>
      <c r="AGN16">
        <f t="shared" si="229"/>
        <v>0</v>
      </c>
      <c r="AGO16">
        <f t="shared" si="230"/>
        <v>0</v>
      </c>
      <c r="AGP16">
        <f t="shared" si="231"/>
        <v>0</v>
      </c>
      <c r="AGQ16">
        <f t="shared" si="232"/>
        <v>0</v>
      </c>
      <c r="AGR16">
        <f t="shared" si="233"/>
        <v>0</v>
      </c>
      <c r="AGS16">
        <f t="shared" si="234"/>
        <v>0</v>
      </c>
      <c r="AGT16">
        <f t="shared" si="235"/>
        <v>0</v>
      </c>
      <c r="AGU16">
        <f t="shared" si="236"/>
        <v>0</v>
      </c>
      <c r="AGV16">
        <f t="shared" si="237"/>
        <v>0</v>
      </c>
      <c r="AGW16">
        <f t="shared" si="238"/>
        <v>0</v>
      </c>
      <c r="AGX16">
        <f t="shared" si="239"/>
        <v>0</v>
      </c>
      <c r="AGY16">
        <f t="shared" si="240"/>
        <v>0</v>
      </c>
      <c r="AGZ16">
        <f t="shared" si="241"/>
        <v>0</v>
      </c>
      <c r="AHA16">
        <f t="shared" si="242"/>
        <v>0</v>
      </c>
      <c r="AHB16">
        <f t="shared" si="243"/>
        <v>0</v>
      </c>
      <c r="AHC16">
        <f t="shared" si="244"/>
        <v>0</v>
      </c>
      <c r="AHD16">
        <f t="shared" si="245"/>
        <v>0</v>
      </c>
      <c r="AHE16">
        <f t="shared" si="246"/>
        <v>0</v>
      </c>
      <c r="AHF16">
        <f t="shared" si="247"/>
        <v>0</v>
      </c>
      <c r="AHG16">
        <f t="shared" si="248"/>
        <v>0</v>
      </c>
      <c r="AHH16">
        <f t="shared" si="249"/>
        <v>0</v>
      </c>
      <c r="AHI16">
        <f t="shared" si="250"/>
        <v>0</v>
      </c>
      <c r="AHJ16">
        <f t="shared" si="251"/>
        <v>0</v>
      </c>
      <c r="AHK16">
        <f t="shared" si="252"/>
        <v>0</v>
      </c>
      <c r="AHL16">
        <f t="shared" si="253"/>
        <v>0</v>
      </c>
      <c r="AHM16">
        <f t="shared" si="254"/>
        <v>0</v>
      </c>
      <c r="AHN16">
        <f t="shared" si="36"/>
        <v>0</v>
      </c>
      <c r="AHO16">
        <f t="shared" si="255"/>
        <v>0</v>
      </c>
      <c r="AHP16">
        <f t="shared" si="256"/>
        <v>0</v>
      </c>
      <c r="AHQ16">
        <f t="shared" si="257"/>
        <v>0</v>
      </c>
      <c r="AHR16">
        <f t="shared" si="258"/>
        <v>0</v>
      </c>
      <c r="AHS16">
        <f t="shared" si="259"/>
        <v>0</v>
      </c>
      <c r="AHT16">
        <f t="shared" si="260"/>
        <v>0</v>
      </c>
      <c r="AHU16">
        <f t="shared" si="261"/>
        <v>0</v>
      </c>
      <c r="AHV16">
        <f t="shared" si="262"/>
        <v>0</v>
      </c>
      <c r="AHW16">
        <f t="shared" si="263"/>
        <v>0</v>
      </c>
      <c r="AHX16">
        <f t="shared" si="264"/>
        <v>0</v>
      </c>
      <c r="AHY16">
        <f t="shared" si="265"/>
        <v>0</v>
      </c>
      <c r="AHZ16">
        <f t="shared" si="266"/>
        <v>0</v>
      </c>
      <c r="AIA16">
        <f t="shared" si="267"/>
        <v>0</v>
      </c>
      <c r="AIB16">
        <f t="shared" si="268"/>
        <v>0</v>
      </c>
      <c r="AIC16">
        <f t="shared" si="269"/>
        <v>0</v>
      </c>
      <c r="AID16">
        <f t="shared" si="270"/>
        <v>0</v>
      </c>
      <c r="AIE16">
        <f t="shared" si="271"/>
        <v>0</v>
      </c>
      <c r="AIF16">
        <f t="shared" si="272"/>
        <v>0</v>
      </c>
      <c r="AIG16">
        <f t="shared" si="273"/>
        <v>0</v>
      </c>
      <c r="AIH16">
        <f t="shared" si="274"/>
        <v>0</v>
      </c>
      <c r="AII16">
        <f t="shared" si="275"/>
        <v>0</v>
      </c>
      <c r="AIJ16">
        <f t="shared" si="276"/>
        <v>0</v>
      </c>
      <c r="AIK16">
        <f t="shared" si="277"/>
        <v>0</v>
      </c>
      <c r="AIL16">
        <f t="shared" si="278"/>
        <v>0</v>
      </c>
      <c r="AIM16">
        <f t="shared" si="279"/>
        <v>0</v>
      </c>
      <c r="AIN16">
        <f t="shared" si="280"/>
        <v>0</v>
      </c>
      <c r="AIO16">
        <f t="shared" si="281"/>
        <v>0</v>
      </c>
      <c r="AIP16">
        <f t="shared" si="282"/>
        <v>0</v>
      </c>
      <c r="AIQ16">
        <f t="shared" si="283"/>
        <v>0</v>
      </c>
      <c r="AIR16">
        <f t="shared" si="284"/>
        <v>0</v>
      </c>
      <c r="AIS16">
        <f t="shared" si="285"/>
        <v>0</v>
      </c>
      <c r="AIT16">
        <f t="shared" si="286"/>
        <v>0</v>
      </c>
      <c r="AIU16">
        <f t="shared" si="287"/>
        <v>0</v>
      </c>
      <c r="AIV16">
        <f t="shared" si="288"/>
        <v>0</v>
      </c>
      <c r="AIW16">
        <f t="shared" si="289"/>
        <v>0</v>
      </c>
      <c r="AIX16">
        <f t="shared" si="290"/>
        <v>0</v>
      </c>
      <c r="AIY16">
        <f t="shared" si="291"/>
        <v>0</v>
      </c>
      <c r="AIZ16">
        <f t="shared" si="292"/>
        <v>0</v>
      </c>
      <c r="AJA16">
        <f t="shared" si="293"/>
        <v>0</v>
      </c>
      <c r="AJB16">
        <f t="shared" si="294"/>
        <v>0</v>
      </c>
      <c r="AJC16">
        <f t="shared" si="295"/>
        <v>0</v>
      </c>
      <c r="AJD16">
        <f t="shared" si="296"/>
        <v>0</v>
      </c>
      <c r="AJE16">
        <f t="shared" si="297"/>
        <v>0</v>
      </c>
      <c r="AJF16">
        <f t="shared" si="298"/>
        <v>0</v>
      </c>
      <c r="AJG16">
        <f t="shared" si="299"/>
        <v>0</v>
      </c>
      <c r="AJH16">
        <f t="shared" si="300"/>
        <v>0</v>
      </c>
      <c r="AJI16">
        <f t="shared" si="301"/>
        <v>0</v>
      </c>
      <c r="AJJ16">
        <f t="shared" si="302"/>
        <v>0</v>
      </c>
      <c r="AJK16">
        <f t="shared" si="303"/>
        <v>0</v>
      </c>
      <c r="AJL16">
        <f t="shared" si="304"/>
        <v>0</v>
      </c>
      <c r="AJM16">
        <f t="shared" si="305"/>
        <v>0</v>
      </c>
      <c r="AJN16">
        <f t="shared" si="306"/>
        <v>0</v>
      </c>
      <c r="AJO16">
        <f t="shared" si="307"/>
        <v>0</v>
      </c>
      <c r="AJP16">
        <f t="shared" si="308"/>
        <v>0</v>
      </c>
      <c r="AJQ16">
        <f t="shared" si="309"/>
        <v>0</v>
      </c>
      <c r="AJR16">
        <f t="shared" si="310"/>
        <v>0</v>
      </c>
      <c r="AJS16">
        <f t="shared" si="311"/>
        <v>0</v>
      </c>
      <c r="AJT16">
        <f t="shared" si="312"/>
        <v>0</v>
      </c>
      <c r="AJU16">
        <f t="shared" si="313"/>
        <v>0</v>
      </c>
      <c r="AJV16">
        <f t="shared" si="314"/>
        <v>0</v>
      </c>
      <c r="AJW16">
        <f t="shared" si="315"/>
        <v>0</v>
      </c>
      <c r="AJX16">
        <f t="shared" si="316"/>
        <v>0</v>
      </c>
      <c r="AJY16">
        <f t="shared" si="317"/>
        <v>0</v>
      </c>
      <c r="AJZ16">
        <f t="shared" si="37"/>
        <v>0</v>
      </c>
      <c r="AKA16">
        <f t="shared" si="318"/>
        <v>0</v>
      </c>
      <c r="AKB16">
        <f t="shared" si="319"/>
        <v>0</v>
      </c>
      <c r="AKC16">
        <f t="shared" si="320"/>
        <v>0</v>
      </c>
      <c r="AKD16">
        <f t="shared" si="321"/>
        <v>0</v>
      </c>
      <c r="AKE16">
        <f t="shared" si="322"/>
        <v>0</v>
      </c>
      <c r="AKF16">
        <f t="shared" si="323"/>
        <v>0</v>
      </c>
      <c r="AKG16">
        <f t="shared" si="324"/>
        <v>0</v>
      </c>
      <c r="AKH16">
        <f t="shared" si="325"/>
        <v>0</v>
      </c>
      <c r="AKI16">
        <f t="shared" si="326"/>
        <v>0</v>
      </c>
      <c r="AKJ16">
        <f t="shared" si="327"/>
        <v>0</v>
      </c>
      <c r="AKK16">
        <f t="shared" si="328"/>
        <v>0</v>
      </c>
      <c r="AKL16">
        <f t="shared" si="329"/>
        <v>0</v>
      </c>
      <c r="AKM16">
        <f t="shared" si="330"/>
        <v>0</v>
      </c>
      <c r="AKN16">
        <f t="shared" si="331"/>
        <v>0</v>
      </c>
      <c r="AKO16">
        <f t="shared" si="332"/>
        <v>0</v>
      </c>
      <c r="AKP16">
        <f t="shared" si="333"/>
        <v>0</v>
      </c>
      <c r="AKQ16">
        <f t="shared" si="334"/>
        <v>0</v>
      </c>
      <c r="AKR16">
        <f t="shared" si="335"/>
        <v>0</v>
      </c>
      <c r="AKS16">
        <f t="shared" si="336"/>
        <v>0</v>
      </c>
      <c r="AKT16">
        <f t="shared" si="337"/>
        <v>0</v>
      </c>
      <c r="AKU16">
        <f t="shared" si="338"/>
        <v>0</v>
      </c>
      <c r="AKV16">
        <f t="shared" si="339"/>
        <v>0</v>
      </c>
      <c r="AKW16">
        <f t="shared" si="340"/>
        <v>0</v>
      </c>
      <c r="AKX16">
        <f t="shared" si="341"/>
        <v>0</v>
      </c>
      <c r="AKY16">
        <f t="shared" si="342"/>
        <v>0</v>
      </c>
      <c r="AKZ16">
        <f t="shared" si="343"/>
        <v>0</v>
      </c>
      <c r="ALA16">
        <f t="shared" si="344"/>
        <v>0</v>
      </c>
      <c r="ALB16">
        <f t="shared" si="345"/>
        <v>0</v>
      </c>
      <c r="ALC16">
        <f t="shared" si="346"/>
        <v>0</v>
      </c>
      <c r="ALD16">
        <f t="shared" si="347"/>
        <v>0</v>
      </c>
      <c r="ALE16">
        <f t="shared" si="348"/>
        <v>0</v>
      </c>
      <c r="ALF16">
        <f t="shared" si="349"/>
        <v>0</v>
      </c>
      <c r="ALG16">
        <f t="shared" si="350"/>
        <v>0</v>
      </c>
      <c r="ALH16">
        <f t="shared" si="351"/>
        <v>0</v>
      </c>
      <c r="ALI16">
        <f t="shared" si="352"/>
        <v>0</v>
      </c>
      <c r="ALJ16">
        <f t="shared" si="353"/>
        <v>0</v>
      </c>
      <c r="ALK16">
        <f t="shared" si="354"/>
        <v>0</v>
      </c>
      <c r="ALL16">
        <f t="shared" si="355"/>
        <v>0</v>
      </c>
      <c r="ALM16">
        <f t="shared" si="356"/>
        <v>0</v>
      </c>
      <c r="ALN16">
        <f t="shared" si="357"/>
        <v>0</v>
      </c>
      <c r="ALO16">
        <f t="shared" si="358"/>
        <v>0</v>
      </c>
      <c r="ALP16">
        <f t="shared" si="359"/>
        <v>0</v>
      </c>
      <c r="ALQ16">
        <f t="shared" si="360"/>
        <v>0</v>
      </c>
      <c r="ALR16">
        <f t="shared" si="361"/>
        <v>0</v>
      </c>
      <c r="ALS16">
        <f t="shared" si="362"/>
        <v>0</v>
      </c>
      <c r="ALT16">
        <f t="shared" si="363"/>
        <v>0</v>
      </c>
      <c r="ALU16">
        <f t="shared" si="364"/>
        <v>0</v>
      </c>
      <c r="ALV16">
        <f t="shared" si="365"/>
        <v>0</v>
      </c>
      <c r="ALW16">
        <f t="shared" si="366"/>
        <v>0</v>
      </c>
      <c r="ALX16">
        <f t="shared" si="367"/>
        <v>0</v>
      </c>
      <c r="ALY16">
        <f t="shared" si="368"/>
        <v>0</v>
      </c>
      <c r="ALZ16">
        <f t="shared" si="369"/>
        <v>0</v>
      </c>
      <c r="AMA16">
        <f t="shared" si="370"/>
        <v>0</v>
      </c>
      <c r="AMB16">
        <f t="shared" si="371"/>
        <v>0</v>
      </c>
      <c r="AMC16">
        <f t="shared" si="372"/>
        <v>0</v>
      </c>
      <c r="AMD16">
        <f t="shared" si="373"/>
        <v>0</v>
      </c>
      <c r="AME16">
        <f t="shared" si="374"/>
        <v>0</v>
      </c>
      <c r="AMF16">
        <f t="shared" si="375"/>
        <v>0</v>
      </c>
      <c r="AMG16">
        <f t="shared" si="376"/>
        <v>0</v>
      </c>
      <c r="AMH16">
        <f t="shared" si="377"/>
        <v>0</v>
      </c>
      <c r="AMI16">
        <f t="shared" si="378"/>
        <v>0</v>
      </c>
      <c r="AMJ16">
        <f t="shared" si="379"/>
        <v>0</v>
      </c>
      <c r="AMK16">
        <f t="shared" si="380"/>
        <v>0</v>
      </c>
      <c r="AML16">
        <f t="shared" si="38"/>
        <v>0</v>
      </c>
      <c r="AMM16">
        <f t="shared" si="381"/>
        <v>0</v>
      </c>
      <c r="AMN16">
        <f t="shared" si="382"/>
        <v>0</v>
      </c>
      <c r="AMO16">
        <f t="shared" si="383"/>
        <v>0</v>
      </c>
      <c r="AMP16">
        <f t="shared" si="384"/>
        <v>0</v>
      </c>
      <c r="AMQ16">
        <f t="shared" si="385"/>
        <v>0</v>
      </c>
      <c r="AMR16">
        <f t="shared" si="386"/>
        <v>0</v>
      </c>
      <c r="AMS16">
        <f t="shared" si="387"/>
        <v>0</v>
      </c>
      <c r="AMT16">
        <f t="shared" si="388"/>
        <v>0</v>
      </c>
      <c r="AMU16">
        <f t="shared" si="389"/>
        <v>0</v>
      </c>
      <c r="AMV16">
        <f t="shared" si="390"/>
        <v>0</v>
      </c>
      <c r="AMW16">
        <f t="shared" si="391"/>
        <v>0</v>
      </c>
      <c r="AMX16">
        <f t="shared" si="392"/>
        <v>0</v>
      </c>
      <c r="AMY16">
        <f t="shared" si="393"/>
        <v>0</v>
      </c>
      <c r="AMZ16">
        <f t="shared" si="394"/>
        <v>0</v>
      </c>
      <c r="ANA16">
        <f t="shared" si="395"/>
        <v>0</v>
      </c>
      <c r="ANB16">
        <f t="shared" si="396"/>
        <v>0</v>
      </c>
      <c r="ANC16">
        <f t="shared" si="397"/>
        <v>0</v>
      </c>
      <c r="AND16">
        <f t="shared" si="398"/>
        <v>0</v>
      </c>
      <c r="ANE16">
        <f t="shared" si="399"/>
        <v>0</v>
      </c>
      <c r="ANF16">
        <f t="shared" si="400"/>
        <v>0</v>
      </c>
      <c r="ANG16">
        <f t="shared" si="401"/>
        <v>0</v>
      </c>
      <c r="ANH16">
        <f t="shared" si="402"/>
        <v>0</v>
      </c>
      <c r="ANI16">
        <f t="shared" si="403"/>
        <v>0</v>
      </c>
      <c r="ANJ16">
        <f t="shared" si="404"/>
        <v>0</v>
      </c>
      <c r="ANK16">
        <f t="shared" si="405"/>
        <v>0</v>
      </c>
      <c r="ANL16">
        <f t="shared" si="406"/>
        <v>0</v>
      </c>
      <c r="ANM16">
        <f t="shared" si="407"/>
        <v>0</v>
      </c>
      <c r="ANN16">
        <f t="shared" si="408"/>
        <v>0</v>
      </c>
      <c r="ANO16">
        <f t="shared" si="409"/>
        <v>0</v>
      </c>
      <c r="ANP16">
        <f t="shared" si="410"/>
        <v>0</v>
      </c>
      <c r="ANQ16">
        <f t="shared" si="411"/>
        <v>0</v>
      </c>
      <c r="ANR16">
        <f t="shared" si="412"/>
        <v>0</v>
      </c>
      <c r="ANS16">
        <f t="shared" si="413"/>
        <v>0</v>
      </c>
      <c r="ANT16">
        <f t="shared" si="414"/>
        <v>0</v>
      </c>
      <c r="ANU16">
        <f t="shared" si="415"/>
        <v>0</v>
      </c>
      <c r="ANV16">
        <f t="shared" si="416"/>
        <v>0</v>
      </c>
      <c r="ANW16">
        <f t="shared" si="417"/>
        <v>0</v>
      </c>
      <c r="ANX16">
        <f t="shared" si="418"/>
        <v>0</v>
      </c>
      <c r="ANY16">
        <f t="shared" si="419"/>
        <v>0</v>
      </c>
      <c r="ANZ16">
        <f t="shared" si="420"/>
        <v>0</v>
      </c>
      <c r="AOA16">
        <f t="shared" si="421"/>
        <v>0</v>
      </c>
      <c r="AOB16">
        <f t="shared" si="422"/>
        <v>0</v>
      </c>
      <c r="AOC16">
        <f t="shared" si="423"/>
        <v>0</v>
      </c>
      <c r="AOD16">
        <f t="shared" si="424"/>
        <v>0</v>
      </c>
      <c r="AOE16">
        <f t="shared" si="425"/>
        <v>0</v>
      </c>
      <c r="AOF16">
        <f t="shared" si="426"/>
        <v>0</v>
      </c>
      <c r="AOG16">
        <f t="shared" si="427"/>
        <v>0</v>
      </c>
      <c r="AOH16">
        <f t="shared" si="428"/>
        <v>0</v>
      </c>
      <c r="AOI16">
        <f t="shared" si="429"/>
        <v>0</v>
      </c>
      <c r="AOJ16">
        <f t="shared" si="430"/>
        <v>0</v>
      </c>
      <c r="AOK16">
        <f t="shared" si="431"/>
        <v>0</v>
      </c>
      <c r="AOL16">
        <f t="shared" si="432"/>
        <v>0</v>
      </c>
      <c r="AOM16">
        <f t="shared" si="433"/>
        <v>0</v>
      </c>
      <c r="AON16">
        <f t="shared" si="434"/>
        <v>0</v>
      </c>
      <c r="AOO16">
        <f t="shared" si="435"/>
        <v>0</v>
      </c>
      <c r="AOP16">
        <f t="shared" si="436"/>
        <v>0</v>
      </c>
      <c r="AOQ16">
        <f t="shared" si="437"/>
        <v>0</v>
      </c>
      <c r="AOR16">
        <f t="shared" si="438"/>
        <v>0</v>
      </c>
      <c r="AOS16">
        <f t="shared" si="439"/>
        <v>0</v>
      </c>
      <c r="AOT16">
        <f t="shared" si="440"/>
        <v>0</v>
      </c>
      <c r="AOU16">
        <f t="shared" si="441"/>
        <v>0</v>
      </c>
      <c r="AOV16">
        <f t="shared" si="442"/>
        <v>0</v>
      </c>
      <c r="AOW16">
        <f t="shared" si="443"/>
        <v>0</v>
      </c>
      <c r="AOX16">
        <f t="shared" si="39"/>
        <v>0</v>
      </c>
      <c r="AOY16">
        <f t="shared" si="444"/>
        <v>0</v>
      </c>
      <c r="AOZ16">
        <f t="shared" si="445"/>
        <v>0</v>
      </c>
      <c r="APA16">
        <f t="shared" si="446"/>
        <v>0</v>
      </c>
      <c r="APB16">
        <f t="shared" si="447"/>
        <v>0</v>
      </c>
      <c r="APC16">
        <f t="shared" si="448"/>
        <v>0</v>
      </c>
      <c r="APD16">
        <f t="shared" si="449"/>
        <v>0</v>
      </c>
      <c r="APE16">
        <f t="shared" si="450"/>
        <v>0</v>
      </c>
      <c r="APF16">
        <f t="shared" si="451"/>
        <v>0</v>
      </c>
      <c r="APG16">
        <f t="shared" si="452"/>
        <v>0</v>
      </c>
      <c r="APH16">
        <f t="shared" si="453"/>
        <v>0</v>
      </c>
      <c r="API16">
        <f t="shared" si="454"/>
        <v>0</v>
      </c>
      <c r="APJ16">
        <f t="shared" si="455"/>
        <v>0</v>
      </c>
      <c r="APK16">
        <f t="shared" si="456"/>
        <v>0</v>
      </c>
      <c r="APL16">
        <f t="shared" si="457"/>
        <v>0</v>
      </c>
      <c r="APM16">
        <f t="shared" si="458"/>
        <v>0</v>
      </c>
      <c r="APN16">
        <f t="shared" si="459"/>
        <v>0</v>
      </c>
      <c r="APO16">
        <f t="shared" si="460"/>
        <v>0</v>
      </c>
      <c r="APP16">
        <f t="shared" si="461"/>
        <v>0</v>
      </c>
      <c r="APQ16">
        <f t="shared" si="462"/>
        <v>0</v>
      </c>
      <c r="APR16">
        <f t="shared" si="463"/>
        <v>0</v>
      </c>
      <c r="APS16">
        <f t="shared" si="464"/>
        <v>0</v>
      </c>
      <c r="APT16">
        <f t="shared" si="465"/>
        <v>0</v>
      </c>
      <c r="APU16">
        <f t="shared" si="466"/>
        <v>0</v>
      </c>
      <c r="APV16">
        <f t="shared" si="467"/>
        <v>0</v>
      </c>
      <c r="APW16">
        <f t="shared" si="468"/>
        <v>0</v>
      </c>
      <c r="APX16">
        <f t="shared" si="469"/>
        <v>0</v>
      </c>
      <c r="APY16">
        <f t="shared" si="470"/>
        <v>0</v>
      </c>
      <c r="APZ16">
        <f t="shared" si="471"/>
        <v>0</v>
      </c>
      <c r="AQA16">
        <f t="shared" si="472"/>
        <v>0</v>
      </c>
      <c r="AQB16">
        <f t="shared" si="473"/>
        <v>0</v>
      </c>
      <c r="AQC16">
        <f t="shared" si="474"/>
        <v>0</v>
      </c>
      <c r="AQD16">
        <f t="shared" si="475"/>
        <v>0</v>
      </c>
      <c r="AQE16">
        <f t="shared" si="476"/>
        <v>0</v>
      </c>
      <c r="AQF16">
        <f t="shared" si="477"/>
        <v>0</v>
      </c>
      <c r="AQG16">
        <f t="shared" si="478"/>
        <v>0</v>
      </c>
      <c r="AQH16">
        <f t="shared" si="479"/>
        <v>0</v>
      </c>
      <c r="AQI16">
        <f t="shared" si="480"/>
        <v>0</v>
      </c>
      <c r="AQJ16">
        <f t="shared" si="481"/>
        <v>0</v>
      </c>
      <c r="AQK16">
        <f t="shared" si="482"/>
        <v>0</v>
      </c>
      <c r="AQL16">
        <f t="shared" si="483"/>
        <v>0</v>
      </c>
      <c r="AQM16">
        <f t="shared" si="484"/>
        <v>0</v>
      </c>
      <c r="AQN16">
        <f t="shared" si="485"/>
        <v>0</v>
      </c>
      <c r="AQO16">
        <f t="shared" si="486"/>
        <v>0</v>
      </c>
      <c r="AQP16">
        <f t="shared" si="487"/>
        <v>0</v>
      </c>
      <c r="AQQ16">
        <f t="shared" si="488"/>
        <v>0</v>
      </c>
      <c r="AQR16">
        <f t="shared" si="489"/>
        <v>0</v>
      </c>
      <c r="AQS16">
        <f t="shared" si="490"/>
        <v>0</v>
      </c>
      <c r="AQT16">
        <f t="shared" si="491"/>
        <v>0</v>
      </c>
      <c r="AQU16">
        <f t="shared" si="492"/>
        <v>0</v>
      </c>
      <c r="AQV16">
        <f t="shared" si="493"/>
        <v>0</v>
      </c>
      <c r="AQW16">
        <f t="shared" si="494"/>
        <v>0</v>
      </c>
      <c r="AQX16">
        <f t="shared" si="495"/>
        <v>0</v>
      </c>
      <c r="AQY16">
        <f t="shared" si="496"/>
        <v>0</v>
      </c>
      <c r="AQZ16">
        <f t="shared" si="497"/>
        <v>0</v>
      </c>
      <c r="ARA16">
        <f t="shared" si="498"/>
        <v>0</v>
      </c>
      <c r="ARB16">
        <f t="shared" si="499"/>
        <v>0</v>
      </c>
      <c r="ARC16">
        <f t="shared" si="500"/>
        <v>0</v>
      </c>
      <c r="ARD16">
        <f t="shared" si="501"/>
        <v>0</v>
      </c>
      <c r="ARE16">
        <f t="shared" si="502"/>
        <v>0</v>
      </c>
      <c r="ARF16">
        <f t="shared" si="503"/>
        <v>0</v>
      </c>
      <c r="ARG16">
        <f t="shared" si="504"/>
        <v>0</v>
      </c>
      <c r="ARH16">
        <f t="shared" si="505"/>
        <v>0</v>
      </c>
      <c r="ARI16">
        <f t="shared" si="506"/>
        <v>0</v>
      </c>
      <c r="ARJ16">
        <f t="shared" si="40"/>
        <v>0</v>
      </c>
      <c r="ARK16">
        <f t="shared" si="507"/>
        <v>0</v>
      </c>
      <c r="ARL16">
        <f t="shared" si="508"/>
        <v>0</v>
      </c>
      <c r="ARM16">
        <f t="shared" si="509"/>
        <v>0</v>
      </c>
      <c r="ARN16">
        <f t="shared" si="510"/>
        <v>0</v>
      </c>
      <c r="ARO16">
        <f t="shared" si="511"/>
        <v>0</v>
      </c>
      <c r="ARP16">
        <f t="shared" si="512"/>
        <v>0</v>
      </c>
      <c r="ARQ16">
        <f t="shared" si="513"/>
        <v>0</v>
      </c>
      <c r="ARR16">
        <f t="shared" si="514"/>
        <v>0</v>
      </c>
      <c r="ARS16">
        <f t="shared" si="515"/>
        <v>0</v>
      </c>
      <c r="ART16">
        <f t="shared" si="516"/>
        <v>0</v>
      </c>
      <c r="ARU16">
        <f t="shared" si="517"/>
        <v>0</v>
      </c>
      <c r="ARV16">
        <f t="shared" si="518"/>
        <v>0</v>
      </c>
      <c r="ARW16">
        <f t="shared" si="519"/>
        <v>0</v>
      </c>
      <c r="ARX16">
        <f t="shared" si="520"/>
        <v>0</v>
      </c>
      <c r="ARY16">
        <f t="shared" si="521"/>
        <v>0</v>
      </c>
      <c r="ARZ16">
        <f t="shared" si="522"/>
        <v>0</v>
      </c>
      <c r="ASA16">
        <f t="shared" si="523"/>
        <v>0</v>
      </c>
      <c r="ASB16">
        <f t="shared" si="524"/>
        <v>0</v>
      </c>
      <c r="ASC16">
        <f t="shared" si="525"/>
        <v>0</v>
      </c>
      <c r="ASD16">
        <f t="shared" si="526"/>
        <v>0</v>
      </c>
      <c r="ASE16">
        <f t="shared" si="527"/>
        <v>0</v>
      </c>
      <c r="ASF16">
        <f t="shared" si="528"/>
        <v>0</v>
      </c>
      <c r="ASG16">
        <f t="shared" si="529"/>
        <v>0</v>
      </c>
      <c r="ASH16">
        <f t="shared" si="530"/>
        <v>0</v>
      </c>
      <c r="ASI16">
        <f t="shared" si="531"/>
        <v>0</v>
      </c>
      <c r="ASJ16">
        <f t="shared" si="532"/>
        <v>0</v>
      </c>
      <c r="ASK16">
        <f t="shared" si="533"/>
        <v>0</v>
      </c>
      <c r="ASL16">
        <f t="shared" si="534"/>
        <v>0</v>
      </c>
      <c r="ASM16">
        <f t="shared" si="535"/>
        <v>0</v>
      </c>
      <c r="ASN16">
        <f t="shared" si="536"/>
        <v>0</v>
      </c>
      <c r="ASO16">
        <f t="shared" si="537"/>
        <v>0</v>
      </c>
      <c r="ASP16">
        <f t="shared" si="538"/>
        <v>0</v>
      </c>
      <c r="ASQ16">
        <f t="shared" si="539"/>
        <v>0</v>
      </c>
      <c r="ASR16">
        <f t="shared" si="540"/>
        <v>0</v>
      </c>
      <c r="ASS16">
        <f t="shared" si="541"/>
        <v>0</v>
      </c>
      <c r="AST16">
        <f t="shared" si="542"/>
        <v>0</v>
      </c>
      <c r="ASU16">
        <f t="shared" si="543"/>
        <v>0</v>
      </c>
      <c r="ASV16">
        <f t="shared" si="544"/>
        <v>0</v>
      </c>
      <c r="ASW16">
        <f t="shared" si="545"/>
        <v>0</v>
      </c>
      <c r="ASX16">
        <f t="shared" si="546"/>
        <v>0</v>
      </c>
      <c r="ASY16">
        <f t="shared" si="547"/>
        <v>0</v>
      </c>
      <c r="ASZ16">
        <f t="shared" si="548"/>
        <v>0</v>
      </c>
      <c r="ATA16">
        <f t="shared" si="549"/>
        <v>0</v>
      </c>
      <c r="ATB16">
        <f t="shared" si="550"/>
        <v>0</v>
      </c>
      <c r="ATC16">
        <f t="shared" si="551"/>
        <v>0</v>
      </c>
      <c r="ATD16">
        <f t="shared" si="552"/>
        <v>0</v>
      </c>
      <c r="ATE16">
        <f t="shared" si="553"/>
        <v>0</v>
      </c>
      <c r="ATF16">
        <f t="shared" si="554"/>
        <v>0</v>
      </c>
      <c r="ATG16">
        <f t="shared" si="555"/>
        <v>0</v>
      </c>
      <c r="ATH16">
        <f t="shared" si="556"/>
        <v>0</v>
      </c>
      <c r="ATI16">
        <f t="shared" si="557"/>
        <v>0</v>
      </c>
      <c r="ATJ16">
        <f t="shared" si="558"/>
        <v>0</v>
      </c>
      <c r="ATK16">
        <f t="shared" si="559"/>
        <v>0</v>
      </c>
      <c r="ATL16">
        <f t="shared" si="560"/>
        <v>0</v>
      </c>
      <c r="ATM16">
        <f t="shared" si="561"/>
        <v>0</v>
      </c>
      <c r="ATN16">
        <f t="shared" si="562"/>
        <v>0</v>
      </c>
      <c r="ATO16">
        <f t="shared" si="563"/>
        <v>0</v>
      </c>
      <c r="ATP16">
        <f t="shared" si="564"/>
        <v>0</v>
      </c>
      <c r="ATQ16">
        <f t="shared" si="565"/>
        <v>0</v>
      </c>
      <c r="ATR16">
        <f t="shared" si="566"/>
        <v>0</v>
      </c>
      <c r="ATS16">
        <f t="shared" si="567"/>
        <v>0</v>
      </c>
      <c r="ATT16">
        <f t="shared" si="568"/>
        <v>0</v>
      </c>
      <c r="ATU16">
        <f t="shared" si="569"/>
        <v>0</v>
      </c>
      <c r="ATV16">
        <f t="shared" si="41"/>
        <v>0</v>
      </c>
      <c r="ATW16">
        <f t="shared" si="570"/>
        <v>0</v>
      </c>
      <c r="ATX16">
        <f t="shared" si="571"/>
        <v>0</v>
      </c>
      <c r="ATY16">
        <f t="shared" si="572"/>
        <v>0</v>
      </c>
      <c r="ATZ16">
        <f t="shared" si="573"/>
        <v>0</v>
      </c>
      <c r="AUA16">
        <f t="shared" si="574"/>
        <v>0</v>
      </c>
      <c r="AUB16">
        <f t="shared" si="575"/>
        <v>0</v>
      </c>
      <c r="AUC16">
        <f t="shared" si="576"/>
        <v>0</v>
      </c>
      <c r="AUD16">
        <f t="shared" si="577"/>
        <v>0</v>
      </c>
      <c r="AUE16">
        <f t="shared" si="578"/>
        <v>0</v>
      </c>
      <c r="AUF16">
        <f t="shared" si="579"/>
        <v>0</v>
      </c>
      <c r="AUG16">
        <f t="shared" si="580"/>
        <v>0</v>
      </c>
      <c r="AUH16">
        <f t="shared" si="581"/>
        <v>0</v>
      </c>
      <c r="AUI16">
        <f t="shared" si="582"/>
        <v>0</v>
      </c>
      <c r="AUJ16">
        <f t="shared" si="583"/>
        <v>0</v>
      </c>
      <c r="AUK16">
        <f t="shared" si="584"/>
        <v>0</v>
      </c>
      <c r="AUL16">
        <f t="shared" si="585"/>
        <v>0</v>
      </c>
      <c r="AUM16">
        <f t="shared" si="586"/>
        <v>0</v>
      </c>
      <c r="AUN16">
        <f t="shared" si="587"/>
        <v>0</v>
      </c>
      <c r="AUO16">
        <f t="shared" si="588"/>
        <v>0</v>
      </c>
      <c r="AUP16">
        <f t="shared" si="589"/>
        <v>0</v>
      </c>
      <c r="AUQ16">
        <f t="shared" si="590"/>
        <v>0</v>
      </c>
      <c r="AUR16">
        <f t="shared" si="591"/>
        <v>0</v>
      </c>
      <c r="AUS16">
        <f t="shared" si="592"/>
        <v>0</v>
      </c>
      <c r="AUT16">
        <f t="shared" si="593"/>
        <v>0</v>
      </c>
      <c r="AUU16">
        <f t="shared" si="594"/>
        <v>0</v>
      </c>
      <c r="AUV16">
        <f t="shared" si="595"/>
        <v>0</v>
      </c>
      <c r="AUW16">
        <f t="shared" si="596"/>
        <v>0</v>
      </c>
      <c r="AUX16">
        <f t="shared" si="597"/>
        <v>0</v>
      </c>
      <c r="AUY16">
        <f t="shared" si="598"/>
        <v>0</v>
      </c>
      <c r="AUZ16">
        <f t="shared" si="599"/>
        <v>0</v>
      </c>
      <c r="AVA16">
        <f t="shared" si="600"/>
        <v>0</v>
      </c>
      <c r="AVB16">
        <f t="shared" si="601"/>
        <v>0</v>
      </c>
      <c r="AVC16">
        <f t="shared" si="602"/>
        <v>0</v>
      </c>
      <c r="AVD16">
        <f t="shared" si="603"/>
        <v>0</v>
      </c>
      <c r="AVE16">
        <f t="shared" si="604"/>
        <v>0</v>
      </c>
      <c r="AVF16">
        <f t="shared" si="605"/>
        <v>0</v>
      </c>
      <c r="AVG16">
        <f t="shared" si="606"/>
        <v>0</v>
      </c>
      <c r="AVH16">
        <f t="shared" si="607"/>
        <v>0</v>
      </c>
      <c r="AVI16">
        <f t="shared" si="608"/>
        <v>0</v>
      </c>
      <c r="AVJ16">
        <f t="shared" si="609"/>
        <v>0</v>
      </c>
      <c r="AVK16">
        <f t="shared" si="610"/>
        <v>0</v>
      </c>
      <c r="AVL16">
        <f t="shared" si="611"/>
        <v>0</v>
      </c>
      <c r="AVM16">
        <f t="shared" si="612"/>
        <v>0</v>
      </c>
      <c r="AVN16">
        <f t="shared" si="613"/>
        <v>0</v>
      </c>
      <c r="AVO16">
        <f t="shared" si="614"/>
        <v>0</v>
      </c>
      <c r="AVP16">
        <f t="shared" si="615"/>
        <v>0</v>
      </c>
      <c r="AVQ16">
        <f t="shared" si="616"/>
        <v>0</v>
      </c>
      <c r="AVR16">
        <f t="shared" si="617"/>
        <v>0</v>
      </c>
      <c r="AVS16">
        <f t="shared" si="618"/>
        <v>0</v>
      </c>
      <c r="AVT16">
        <f t="shared" si="619"/>
        <v>0</v>
      </c>
      <c r="AVU16">
        <f t="shared" si="620"/>
        <v>0</v>
      </c>
      <c r="AVV16">
        <f t="shared" si="621"/>
        <v>0</v>
      </c>
      <c r="AVW16">
        <f t="shared" si="622"/>
        <v>0</v>
      </c>
      <c r="AVX16">
        <f t="shared" si="623"/>
        <v>0</v>
      </c>
      <c r="AVY16">
        <f t="shared" si="624"/>
        <v>0</v>
      </c>
      <c r="AVZ16">
        <f t="shared" si="625"/>
        <v>0</v>
      </c>
      <c r="AWA16">
        <f t="shared" si="626"/>
        <v>0</v>
      </c>
      <c r="AWB16">
        <f t="shared" si="627"/>
        <v>0</v>
      </c>
      <c r="AWC16">
        <f t="shared" si="628"/>
        <v>0</v>
      </c>
      <c r="AWD16">
        <f t="shared" si="629"/>
        <v>0</v>
      </c>
      <c r="AWE16">
        <f t="shared" si="630"/>
        <v>0</v>
      </c>
      <c r="AWF16">
        <f t="shared" si="631"/>
        <v>0</v>
      </c>
      <c r="AWG16">
        <f t="shared" si="632"/>
        <v>0</v>
      </c>
      <c r="AWH16">
        <f t="shared" si="42"/>
        <v>0</v>
      </c>
      <c r="AWI16">
        <f t="shared" si="633"/>
        <v>0</v>
      </c>
      <c r="AWJ16">
        <f t="shared" si="634"/>
        <v>0</v>
      </c>
      <c r="AWK16">
        <f t="shared" si="635"/>
        <v>0</v>
      </c>
      <c r="AWL16">
        <f t="shared" si="636"/>
        <v>0</v>
      </c>
      <c r="AWM16">
        <f t="shared" si="637"/>
        <v>0</v>
      </c>
      <c r="AWN16">
        <f t="shared" si="638"/>
        <v>0</v>
      </c>
      <c r="AWO16">
        <f t="shared" si="639"/>
        <v>0</v>
      </c>
      <c r="AWP16">
        <f t="shared" si="640"/>
        <v>0</v>
      </c>
      <c r="AWQ16">
        <f t="shared" si="641"/>
        <v>0</v>
      </c>
      <c r="AWR16">
        <f t="shared" si="642"/>
        <v>0</v>
      </c>
      <c r="AWS16">
        <f t="shared" si="643"/>
        <v>0</v>
      </c>
      <c r="AWT16">
        <f t="shared" si="644"/>
        <v>0</v>
      </c>
      <c r="AWU16">
        <f t="shared" si="645"/>
        <v>0</v>
      </c>
      <c r="AWV16">
        <f t="shared" si="646"/>
        <v>0</v>
      </c>
      <c r="AWW16">
        <f t="shared" si="647"/>
        <v>0</v>
      </c>
      <c r="AWX16">
        <f t="shared" si="648"/>
        <v>0</v>
      </c>
      <c r="AWY16">
        <f t="shared" si="649"/>
        <v>0</v>
      </c>
      <c r="AWZ16">
        <f t="shared" si="650"/>
        <v>0</v>
      </c>
      <c r="AXA16">
        <f t="shared" si="651"/>
        <v>0</v>
      </c>
      <c r="AXB16">
        <f t="shared" si="652"/>
        <v>0</v>
      </c>
      <c r="AXC16">
        <f t="shared" si="653"/>
        <v>0</v>
      </c>
      <c r="AXD16">
        <f t="shared" si="654"/>
        <v>0</v>
      </c>
      <c r="AXE16">
        <f t="shared" si="655"/>
        <v>0</v>
      </c>
      <c r="AXF16">
        <f t="shared" si="656"/>
        <v>0</v>
      </c>
      <c r="AXG16">
        <f t="shared" si="657"/>
        <v>0</v>
      </c>
      <c r="AXH16">
        <f t="shared" si="658"/>
        <v>0</v>
      </c>
      <c r="AXI16">
        <f t="shared" si="659"/>
        <v>0</v>
      </c>
      <c r="AXJ16">
        <f t="shared" si="660"/>
        <v>0</v>
      </c>
      <c r="AXK16">
        <f t="shared" si="661"/>
        <v>0</v>
      </c>
      <c r="AXL16">
        <f t="shared" si="662"/>
        <v>0</v>
      </c>
      <c r="AXM16">
        <f t="shared" si="663"/>
        <v>0</v>
      </c>
      <c r="AXN16">
        <f t="shared" si="664"/>
        <v>0</v>
      </c>
      <c r="AXO16">
        <f t="shared" si="665"/>
        <v>0</v>
      </c>
      <c r="AXP16">
        <f t="shared" si="666"/>
        <v>0</v>
      </c>
      <c r="AXQ16">
        <f t="shared" si="667"/>
        <v>0</v>
      </c>
      <c r="AXR16">
        <f t="shared" si="668"/>
        <v>0</v>
      </c>
      <c r="AXS16">
        <f t="shared" si="669"/>
        <v>0</v>
      </c>
      <c r="AXT16">
        <f t="shared" si="670"/>
        <v>0</v>
      </c>
      <c r="AXU16">
        <f t="shared" si="671"/>
        <v>0</v>
      </c>
      <c r="AXV16">
        <f t="shared" si="672"/>
        <v>0</v>
      </c>
      <c r="AXW16">
        <f t="shared" si="673"/>
        <v>0</v>
      </c>
      <c r="AXX16">
        <f t="shared" si="674"/>
        <v>0</v>
      </c>
      <c r="AXY16">
        <f t="shared" si="675"/>
        <v>0</v>
      </c>
      <c r="AXZ16">
        <f t="shared" si="676"/>
        <v>0</v>
      </c>
      <c r="AYA16">
        <f t="shared" si="677"/>
        <v>0</v>
      </c>
      <c r="AYB16">
        <f t="shared" si="678"/>
        <v>0</v>
      </c>
      <c r="AYC16">
        <f t="shared" si="679"/>
        <v>0</v>
      </c>
      <c r="AYD16">
        <f t="shared" si="680"/>
        <v>0</v>
      </c>
      <c r="AYE16">
        <f t="shared" si="681"/>
        <v>0</v>
      </c>
      <c r="AYF16">
        <f t="shared" si="682"/>
        <v>0</v>
      </c>
      <c r="AYG16">
        <f t="shared" si="683"/>
        <v>0</v>
      </c>
      <c r="AYH16">
        <f t="shared" si="684"/>
        <v>0</v>
      </c>
      <c r="AYI16">
        <f t="shared" si="685"/>
        <v>0</v>
      </c>
      <c r="AYJ16">
        <f t="shared" si="686"/>
        <v>0</v>
      </c>
      <c r="AYK16">
        <f t="shared" si="687"/>
        <v>0</v>
      </c>
      <c r="AYL16">
        <f t="shared" si="688"/>
        <v>0</v>
      </c>
      <c r="AYM16">
        <f t="shared" si="689"/>
        <v>0</v>
      </c>
      <c r="AYN16">
        <f t="shared" si="690"/>
        <v>0</v>
      </c>
      <c r="AYO16">
        <f t="shared" si="691"/>
        <v>0</v>
      </c>
      <c r="AYP16">
        <f t="shared" si="692"/>
        <v>0</v>
      </c>
      <c r="AYQ16">
        <f t="shared" si="693"/>
        <v>0</v>
      </c>
      <c r="AYR16">
        <f t="shared" si="694"/>
        <v>0</v>
      </c>
      <c r="AYS16">
        <f t="shared" si="695"/>
        <v>0</v>
      </c>
      <c r="AYT16">
        <f t="shared" si="43"/>
        <v>0</v>
      </c>
      <c r="AYU16">
        <f t="shared" si="696"/>
        <v>0</v>
      </c>
      <c r="AYV16">
        <f t="shared" si="697"/>
        <v>0</v>
      </c>
      <c r="AYW16">
        <f t="shared" si="698"/>
        <v>0</v>
      </c>
      <c r="AYX16">
        <f t="shared" si="699"/>
        <v>0</v>
      </c>
      <c r="AYY16">
        <f t="shared" si="700"/>
        <v>0</v>
      </c>
      <c r="AYZ16">
        <f t="shared" si="701"/>
        <v>0</v>
      </c>
      <c r="AZA16">
        <f t="shared" si="702"/>
        <v>0</v>
      </c>
      <c r="AZB16">
        <f t="shared" si="703"/>
        <v>0</v>
      </c>
      <c r="AZC16">
        <f t="shared" si="704"/>
        <v>0</v>
      </c>
      <c r="AZD16">
        <f t="shared" si="705"/>
        <v>0</v>
      </c>
      <c r="AZE16">
        <f t="shared" si="706"/>
        <v>0</v>
      </c>
      <c r="AZF16">
        <f t="shared" si="707"/>
        <v>0</v>
      </c>
      <c r="AZG16">
        <f t="shared" si="708"/>
        <v>0</v>
      </c>
      <c r="AZH16">
        <f t="shared" si="709"/>
        <v>0</v>
      </c>
      <c r="AZI16">
        <f t="shared" si="710"/>
        <v>0</v>
      </c>
      <c r="AZJ16">
        <f t="shared" si="711"/>
        <v>0</v>
      </c>
      <c r="AZK16">
        <f t="shared" si="712"/>
        <v>0</v>
      </c>
      <c r="AZL16">
        <f t="shared" si="713"/>
        <v>0</v>
      </c>
      <c r="AZM16">
        <f t="shared" si="714"/>
        <v>0</v>
      </c>
      <c r="AZN16">
        <f t="shared" si="715"/>
        <v>0</v>
      </c>
      <c r="AZO16">
        <f t="shared" si="716"/>
        <v>0</v>
      </c>
      <c r="AZP16">
        <f t="shared" si="717"/>
        <v>0</v>
      </c>
      <c r="AZQ16">
        <f t="shared" si="718"/>
        <v>0</v>
      </c>
      <c r="AZR16">
        <f t="shared" si="719"/>
        <v>0</v>
      </c>
      <c r="AZS16">
        <f t="shared" si="720"/>
        <v>0</v>
      </c>
      <c r="AZT16">
        <f t="shared" si="721"/>
        <v>0</v>
      </c>
      <c r="AZU16">
        <f t="shared" si="722"/>
        <v>0</v>
      </c>
      <c r="AZV16">
        <f t="shared" si="723"/>
        <v>0</v>
      </c>
      <c r="AZW16">
        <f t="shared" si="724"/>
        <v>0</v>
      </c>
      <c r="AZX16">
        <f t="shared" si="725"/>
        <v>0</v>
      </c>
      <c r="AZY16">
        <f t="shared" si="726"/>
        <v>0</v>
      </c>
      <c r="AZZ16">
        <f t="shared" si="727"/>
        <v>0</v>
      </c>
      <c r="BAA16">
        <f t="shared" si="728"/>
        <v>0</v>
      </c>
      <c r="BAB16">
        <f t="shared" si="729"/>
        <v>0</v>
      </c>
      <c r="BAC16">
        <f t="shared" si="730"/>
        <v>0</v>
      </c>
      <c r="BAD16">
        <f t="shared" si="731"/>
        <v>0</v>
      </c>
      <c r="BAE16">
        <f t="shared" si="732"/>
        <v>0</v>
      </c>
      <c r="BAF16">
        <f t="shared" si="733"/>
        <v>0</v>
      </c>
      <c r="BAG16">
        <f t="shared" si="734"/>
        <v>0</v>
      </c>
      <c r="BAH16">
        <f t="shared" si="735"/>
        <v>0</v>
      </c>
      <c r="BAI16">
        <f t="shared" si="736"/>
        <v>0</v>
      </c>
      <c r="BAJ16">
        <f t="shared" si="737"/>
        <v>0</v>
      </c>
      <c r="BAK16">
        <f t="shared" si="738"/>
        <v>0</v>
      </c>
      <c r="BAL16">
        <f t="shared" si="739"/>
        <v>0</v>
      </c>
      <c r="BAM16">
        <f t="shared" si="740"/>
        <v>0</v>
      </c>
      <c r="BAN16">
        <f t="shared" si="741"/>
        <v>0</v>
      </c>
      <c r="BAO16">
        <f t="shared" si="742"/>
        <v>0</v>
      </c>
      <c r="BAP16">
        <f t="shared" si="743"/>
        <v>0</v>
      </c>
      <c r="BAQ16">
        <f t="shared" si="744"/>
        <v>0</v>
      </c>
      <c r="BAR16">
        <f t="shared" si="745"/>
        <v>0</v>
      </c>
      <c r="BAS16">
        <f t="shared" si="746"/>
        <v>0</v>
      </c>
      <c r="BAT16">
        <f t="shared" si="747"/>
        <v>0</v>
      </c>
      <c r="BAU16">
        <f t="shared" si="748"/>
        <v>0</v>
      </c>
      <c r="BAV16">
        <f t="shared" si="749"/>
        <v>0</v>
      </c>
      <c r="BAW16">
        <f t="shared" si="750"/>
        <v>0</v>
      </c>
      <c r="BAX16">
        <f t="shared" si="751"/>
        <v>0</v>
      </c>
      <c r="BAY16">
        <f t="shared" si="752"/>
        <v>0</v>
      </c>
      <c r="BAZ16">
        <f t="shared" si="753"/>
        <v>0</v>
      </c>
      <c r="BBA16">
        <f t="shared" si="754"/>
        <v>0</v>
      </c>
      <c r="BBB16">
        <f t="shared" si="755"/>
        <v>0</v>
      </c>
      <c r="BBC16">
        <f t="shared" si="756"/>
        <v>0</v>
      </c>
      <c r="BBD16">
        <f t="shared" si="757"/>
        <v>0</v>
      </c>
      <c r="BBE16">
        <f t="shared" si="758"/>
        <v>0</v>
      </c>
      <c r="BBF16">
        <f t="shared" si="44"/>
        <v>0</v>
      </c>
      <c r="BBG16">
        <f t="shared" si="759"/>
        <v>0</v>
      </c>
      <c r="BBH16">
        <f t="shared" si="760"/>
        <v>0</v>
      </c>
      <c r="BBI16">
        <f t="shared" si="761"/>
        <v>0</v>
      </c>
      <c r="BBJ16">
        <f t="shared" si="762"/>
        <v>0</v>
      </c>
      <c r="BBK16">
        <f t="shared" si="763"/>
        <v>0</v>
      </c>
      <c r="BBL16">
        <f t="shared" si="764"/>
        <v>0</v>
      </c>
      <c r="BBM16">
        <f t="shared" si="765"/>
        <v>0</v>
      </c>
      <c r="BBN16">
        <f t="shared" si="766"/>
        <v>0</v>
      </c>
      <c r="BBO16">
        <f t="shared" si="767"/>
        <v>0</v>
      </c>
      <c r="BBP16">
        <f t="shared" si="768"/>
        <v>0</v>
      </c>
      <c r="BBQ16">
        <f t="shared" si="769"/>
        <v>0</v>
      </c>
      <c r="BBR16">
        <f t="shared" si="770"/>
        <v>0</v>
      </c>
      <c r="BBS16">
        <f t="shared" si="771"/>
        <v>0</v>
      </c>
      <c r="BBT16">
        <f t="shared" si="772"/>
        <v>0</v>
      </c>
      <c r="BBU16">
        <f t="shared" si="773"/>
        <v>0</v>
      </c>
      <c r="BBV16">
        <f t="shared" si="774"/>
        <v>0</v>
      </c>
      <c r="BBW16">
        <f t="shared" si="775"/>
        <v>0</v>
      </c>
      <c r="BBX16">
        <f t="shared" si="776"/>
        <v>0</v>
      </c>
      <c r="BBY16">
        <f t="shared" si="777"/>
        <v>0</v>
      </c>
      <c r="BBZ16">
        <f t="shared" si="778"/>
        <v>0</v>
      </c>
      <c r="BCA16">
        <f t="shared" si="779"/>
        <v>0</v>
      </c>
      <c r="BCB16">
        <f t="shared" si="780"/>
        <v>0</v>
      </c>
      <c r="BCC16">
        <f t="shared" si="781"/>
        <v>0</v>
      </c>
      <c r="BCD16">
        <f t="shared" si="782"/>
        <v>0</v>
      </c>
      <c r="BCE16">
        <f t="shared" si="783"/>
        <v>0</v>
      </c>
      <c r="BCF16">
        <f t="shared" si="784"/>
        <v>0</v>
      </c>
      <c r="BCG16">
        <f t="shared" si="785"/>
        <v>0</v>
      </c>
      <c r="BCH16">
        <f t="shared" si="786"/>
        <v>0</v>
      </c>
      <c r="BCI16">
        <f t="shared" si="787"/>
        <v>0</v>
      </c>
      <c r="BCJ16">
        <f t="shared" si="788"/>
        <v>0</v>
      </c>
      <c r="BCK16">
        <f t="shared" si="789"/>
        <v>0</v>
      </c>
      <c r="BCL16">
        <f t="shared" si="790"/>
        <v>0</v>
      </c>
      <c r="BCM16">
        <f t="shared" si="791"/>
        <v>0</v>
      </c>
      <c r="BCN16">
        <f t="shared" si="792"/>
        <v>0</v>
      </c>
      <c r="BCO16">
        <f t="shared" si="793"/>
        <v>0</v>
      </c>
      <c r="BCP16">
        <f t="shared" si="794"/>
        <v>0</v>
      </c>
      <c r="BCQ16">
        <f t="shared" si="795"/>
        <v>0</v>
      </c>
      <c r="BCR16">
        <f t="shared" si="796"/>
        <v>0</v>
      </c>
      <c r="BCS16">
        <f t="shared" si="797"/>
        <v>0</v>
      </c>
      <c r="BCT16">
        <f t="shared" si="798"/>
        <v>0</v>
      </c>
      <c r="BCU16">
        <f t="shared" si="799"/>
        <v>0</v>
      </c>
      <c r="BCV16">
        <f t="shared" si="800"/>
        <v>0</v>
      </c>
      <c r="BCW16">
        <f t="shared" si="801"/>
        <v>0</v>
      </c>
      <c r="BCX16">
        <f t="shared" si="802"/>
        <v>0</v>
      </c>
      <c r="BCY16">
        <f t="shared" si="803"/>
        <v>0</v>
      </c>
      <c r="BCZ16">
        <f t="shared" si="804"/>
        <v>0</v>
      </c>
      <c r="BDA16">
        <f t="shared" si="805"/>
        <v>0</v>
      </c>
      <c r="BDB16">
        <f t="shared" si="806"/>
        <v>0</v>
      </c>
      <c r="BDC16">
        <f t="shared" si="807"/>
        <v>0</v>
      </c>
      <c r="BDD16">
        <f t="shared" si="808"/>
        <v>0</v>
      </c>
      <c r="BDE16">
        <f t="shared" si="809"/>
        <v>0</v>
      </c>
      <c r="BDF16">
        <f t="shared" si="810"/>
        <v>0</v>
      </c>
      <c r="BDG16">
        <f t="shared" si="811"/>
        <v>0</v>
      </c>
      <c r="BDH16">
        <f t="shared" si="812"/>
        <v>0</v>
      </c>
      <c r="BDI16">
        <f t="shared" si="813"/>
        <v>0</v>
      </c>
      <c r="BDJ16">
        <f t="shared" si="814"/>
        <v>0</v>
      </c>
      <c r="BDK16">
        <f t="shared" si="815"/>
        <v>0</v>
      </c>
      <c r="BDL16">
        <f t="shared" si="816"/>
        <v>0</v>
      </c>
      <c r="BDM16">
        <f t="shared" si="817"/>
        <v>0</v>
      </c>
      <c r="BDN16">
        <f t="shared" si="818"/>
        <v>0</v>
      </c>
      <c r="BDO16">
        <f t="shared" si="819"/>
        <v>0</v>
      </c>
      <c r="BDP16">
        <f t="shared" si="820"/>
        <v>0</v>
      </c>
      <c r="BDQ16">
        <f t="shared" si="821"/>
        <v>0</v>
      </c>
      <c r="BDR16">
        <f t="shared" si="45"/>
        <v>0</v>
      </c>
      <c r="BDS16">
        <f t="shared" si="822"/>
        <v>0</v>
      </c>
      <c r="BDT16">
        <f t="shared" si="823"/>
        <v>0</v>
      </c>
      <c r="BDU16">
        <f t="shared" si="824"/>
        <v>0</v>
      </c>
      <c r="BDV16">
        <f t="shared" si="825"/>
        <v>0</v>
      </c>
      <c r="BDW16">
        <f t="shared" si="826"/>
        <v>0</v>
      </c>
      <c r="BDX16">
        <f t="shared" si="827"/>
        <v>0</v>
      </c>
      <c r="BDY16">
        <f t="shared" si="828"/>
        <v>0</v>
      </c>
      <c r="BDZ16">
        <f t="shared" si="829"/>
        <v>0</v>
      </c>
      <c r="BEA16">
        <f t="shared" si="830"/>
        <v>0</v>
      </c>
      <c r="BEB16">
        <f t="shared" si="831"/>
        <v>0</v>
      </c>
      <c r="BEC16">
        <f t="shared" si="832"/>
        <v>0</v>
      </c>
      <c r="BED16">
        <f t="shared" si="833"/>
        <v>0</v>
      </c>
      <c r="BEE16">
        <f t="shared" si="834"/>
        <v>0</v>
      </c>
      <c r="BEF16">
        <f t="shared" si="835"/>
        <v>0</v>
      </c>
      <c r="BEG16">
        <f t="shared" si="836"/>
        <v>0</v>
      </c>
      <c r="BEH16">
        <f t="shared" si="837"/>
        <v>0</v>
      </c>
      <c r="BEI16">
        <f t="shared" si="838"/>
        <v>0</v>
      </c>
      <c r="BEJ16">
        <f t="shared" si="839"/>
        <v>0</v>
      </c>
      <c r="BEK16">
        <f t="shared" si="840"/>
        <v>0</v>
      </c>
      <c r="BEL16">
        <f t="shared" si="841"/>
        <v>0</v>
      </c>
      <c r="BEM16">
        <f t="shared" si="842"/>
        <v>0</v>
      </c>
      <c r="BEN16">
        <f t="shared" si="843"/>
        <v>0</v>
      </c>
      <c r="BEO16">
        <f t="shared" si="844"/>
        <v>0</v>
      </c>
      <c r="BEP16">
        <f t="shared" si="845"/>
        <v>0</v>
      </c>
      <c r="BEQ16">
        <f t="shared" si="846"/>
        <v>0</v>
      </c>
      <c r="BER16">
        <f t="shared" si="847"/>
        <v>0</v>
      </c>
      <c r="BES16">
        <f t="shared" si="848"/>
        <v>0</v>
      </c>
      <c r="BET16">
        <f t="shared" si="849"/>
        <v>0</v>
      </c>
      <c r="BEU16">
        <f t="shared" si="850"/>
        <v>0</v>
      </c>
      <c r="BEV16">
        <f t="shared" si="851"/>
        <v>0</v>
      </c>
      <c r="BEW16">
        <f t="shared" si="852"/>
        <v>0</v>
      </c>
      <c r="BEX16">
        <f t="shared" si="853"/>
        <v>0</v>
      </c>
      <c r="BEY16">
        <f t="shared" si="854"/>
        <v>0</v>
      </c>
      <c r="BEZ16">
        <f t="shared" si="855"/>
        <v>0</v>
      </c>
      <c r="BFA16">
        <f t="shared" si="856"/>
        <v>0</v>
      </c>
      <c r="BFB16">
        <f t="shared" si="857"/>
        <v>0</v>
      </c>
      <c r="BFC16">
        <f t="shared" si="858"/>
        <v>0</v>
      </c>
      <c r="BFD16">
        <f t="shared" si="859"/>
        <v>0</v>
      </c>
      <c r="BFE16">
        <f t="shared" si="860"/>
        <v>0</v>
      </c>
      <c r="BFF16">
        <f t="shared" si="861"/>
        <v>0</v>
      </c>
      <c r="BFG16">
        <f t="shared" si="862"/>
        <v>0</v>
      </c>
      <c r="BFH16">
        <f t="shared" si="863"/>
        <v>0</v>
      </c>
      <c r="BFI16">
        <f t="shared" si="864"/>
        <v>0</v>
      </c>
      <c r="BFJ16">
        <f t="shared" si="865"/>
        <v>0</v>
      </c>
      <c r="BFK16">
        <f t="shared" si="866"/>
        <v>0</v>
      </c>
      <c r="BFL16">
        <f t="shared" si="867"/>
        <v>0</v>
      </c>
      <c r="BFM16">
        <f t="shared" si="868"/>
        <v>0</v>
      </c>
      <c r="BFN16">
        <f t="shared" si="869"/>
        <v>0</v>
      </c>
      <c r="BFO16">
        <f t="shared" si="870"/>
        <v>0</v>
      </c>
      <c r="BFP16">
        <f t="shared" si="871"/>
        <v>0</v>
      </c>
      <c r="BFQ16">
        <f t="shared" si="872"/>
        <v>0</v>
      </c>
      <c r="BFR16">
        <f t="shared" si="873"/>
        <v>0</v>
      </c>
      <c r="BFS16">
        <f t="shared" si="874"/>
        <v>0</v>
      </c>
      <c r="BFT16">
        <f t="shared" si="875"/>
        <v>0</v>
      </c>
      <c r="BFU16">
        <f t="shared" si="876"/>
        <v>0</v>
      </c>
      <c r="BFV16">
        <f t="shared" si="877"/>
        <v>0</v>
      </c>
      <c r="BFW16">
        <f t="shared" si="878"/>
        <v>0</v>
      </c>
      <c r="BFX16">
        <f t="shared" si="879"/>
        <v>0</v>
      </c>
      <c r="BFY16">
        <f t="shared" si="880"/>
        <v>0</v>
      </c>
      <c r="BFZ16">
        <f t="shared" si="881"/>
        <v>0</v>
      </c>
      <c r="BGA16">
        <f t="shared" si="882"/>
        <v>0</v>
      </c>
      <c r="BGB16">
        <f t="shared" si="883"/>
        <v>0</v>
      </c>
      <c r="BGC16">
        <f t="shared" si="884"/>
        <v>0</v>
      </c>
      <c r="BGD16">
        <f t="shared" si="46"/>
        <v>0</v>
      </c>
      <c r="BGE16">
        <f t="shared" si="885"/>
        <v>0</v>
      </c>
      <c r="BGF16">
        <f t="shared" si="886"/>
        <v>0</v>
      </c>
      <c r="BGG16">
        <f t="shared" si="887"/>
        <v>0</v>
      </c>
      <c r="BGH16">
        <f t="shared" si="888"/>
        <v>0</v>
      </c>
      <c r="BGI16">
        <f t="shared" si="889"/>
        <v>0</v>
      </c>
      <c r="BGJ16">
        <f t="shared" si="890"/>
        <v>0</v>
      </c>
      <c r="BGK16">
        <f t="shared" si="891"/>
        <v>0</v>
      </c>
      <c r="BGL16">
        <f t="shared" si="892"/>
        <v>0</v>
      </c>
      <c r="BGM16">
        <f t="shared" si="893"/>
        <v>0</v>
      </c>
      <c r="BGN16">
        <f t="shared" si="894"/>
        <v>0</v>
      </c>
      <c r="BGO16">
        <f t="shared" si="895"/>
        <v>0</v>
      </c>
      <c r="BGP16">
        <f t="shared" si="896"/>
        <v>0</v>
      </c>
      <c r="BGQ16">
        <f t="shared" si="897"/>
        <v>0</v>
      </c>
      <c r="BGR16">
        <f t="shared" si="898"/>
        <v>0</v>
      </c>
      <c r="BGS16">
        <f t="shared" si="899"/>
        <v>0</v>
      </c>
      <c r="BGT16">
        <f t="shared" si="900"/>
        <v>0</v>
      </c>
      <c r="BGU16">
        <f t="shared" si="901"/>
        <v>0</v>
      </c>
      <c r="BGV16">
        <f t="shared" si="902"/>
        <v>0</v>
      </c>
      <c r="BGW16">
        <f t="shared" si="903"/>
        <v>0</v>
      </c>
      <c r="BGX16">
        <f t="shared" si="904"/>
        <v>0</v>
      </c>
      <c r="BGY16">
        <f t="shared" si="905"/>
        <v>0</v>
      </c>
      <c r="BGZ16">
        <f t="shared" si="906"/>
        <v>0</v>
      </c>
      <c r="BHA16">
        <f t="shared" si="907"/>
        <v>0</v>
      </c>
      <c r="BHB16">
        <f t="shared" si="908"/>
        <v>0</v>
      </c>
      <c r="BHC16">
        <f t="shared" si="909"/>
        <v>0</v>
      </c>
      <c r="BHD16">
        <f t="shared" si="910"/>
        <v>0</v>
      </c>
      <c r="BHE16">
        <f t="shared" si="911"/>
        <v>0</v>
      </c>
      <c r="BHF16">
        <f t="shared" si="912"/>
        <v>0</v>
      </c>
      <c r="BHG16">
        <f t="shared" si="913"/>
        <v>0</v>
      </c>
      <c r="BHH16">
        <f t="shared" si="914"/>
        <v>0</v>
      </c>
      <c r="BHI16">
        <f t="shared" si="915"/>
        <v>0</v>
      </c>
      <c r="BHJ16">
        <f t="shared" si="916"/>
        <v>0</v>
      </c>
      <c r="BHK16">
        <f t="shared" si="917"/>
        <v>0</v>
      </c>
      <c r="BHL16">
        <f t="shared" si="918"/>
        <v>0</v>
      </c>
      <c r="BHM16">
        <f t="shared" si="919"/>
        <v>0</v>
      </c>
      <c r="BHN16">
        <f t="shared" si="920"/>
        <v>0</v>
      </c>
      <c r="BHO16">
        <f t="shared" si="921"/>
        <v>0</v>
      </c>
      <c r="BHP16">
        <f t="shared" si="922"/>
        <v>0</v>
      </c>
      <c r="BHQ16">
        <f t="shared" si="923"/>
        <v>0</v>
      </c>
      <c r="BHR16">
        <f t="shared" si="924"/>
        <v>0</v>
      </c>
      <c r="BHS16">
        <f t="shared" si="925"/>
        <v>0</v>
      </c>
      <c r="BHT16">
        <f t="shared" si="926"/>
        <v>0</v>
      </c>
      <c r="BHU16">
        <f t="shared" si="927"/>
        <v>0</v>
      </c>
      <c r="BHV16">
        <f t="shared" si="928"/>
        <v>0</v>
      </c>
      <c r="BHW16">
        <f t="shared" si="929"/>
        <v>0</v>
      </c>
      <c r="BHX16">
        <f t="shared" si="930"/>
        <v>0</v>
      </c>
      <c r="BHY16">
        <f t="shared" si="931"/>
        <v>0</v>
      </c>
      <c r="BHZ16">
        <f t="shared" si="932"/>
        <v>0</v>
      </c>
      <c r="BIA16">
        <f t="shared" si="933"/>
        <v>0</v>
      </c>
      <c r="BIB16">
        <f t="shared" si="934"/>
        <v>0</v>
      </c>
      <c r="BIC16">
        <f t="shared" si="935"/>
        <v>0</v>
      </c>
      <c r="BID16">
        <f t="shared" si="936"/>
        <v>0</v>
      </c>
      <c r="BIE16">
        <f t="shared" si="937"/>
        <v>0</v>
      </c>
      <c r="BIF16">
        <f t="shared" si="938"/>
        <v>0</v>
      </c>
      <c r="BIG16">
        <f t="shared" si="939"/>
        <v>0</v>
      </c>
      <c r="BIH16">
        <f t="shared" si="940"/>
        <v>0</v>
      </c>
      <c r="BII16">
        <f t="shared" si="941"/>
        <v>0</v>
      </c>
      <c r="BIJ16">
        <f t="shared" si="942"/>
        <v>0</v>
      </c>
      <c r="BIK16">
        <f t="shared" si="943"/>
        <v>0</v>
      </c>
      <c r="BIL16">
        <f t="shared" si="944"/>
        <v>0</v>
      </c>
      <c r="BIM16">
        <f t="shared" si="945"/>
        <v>0</v>
      </c>
      <c r="BIN16">
        <f t="shared" si="946"/>
        <v>0</v>
      </c>
      <c r="BIO16">
        <f t="shared" si="947"/>
        <v>0</v>
      </c>
      <c r="BIP16">
        <f t="shared" si="47"/>
        <v>0</v>
      </c>
      <c r="BIQ16">
        <f t="shared" si="948"/>
        <v>0</v>
      </c>
      <c r="BIR16">
        <f t="shared" si="949"/>
        <v>0</v>
      </c>
      <c r="BIS16">
        <f t="shared" si="950"/>
        <v>0</v>
      </c>
      <c r="BIT16">
        <f t="shared" si="951"/>
        <v>0</v>
      </c>
      <c r="BIU16">
        <f t="shared" si="952"/>
        <v>0</v>
      </c>
      <c r="BIV16">
        <f t="shared" si="953"/>
        <v>0</v>
      </c>
      <c r="BIW16">
        <f t="shared" si="954"/>
        <v>0</v>
      </c>
      <c r="BIX16">
        <f t="shared" si="955"/>
        <v>0</v>
      </c>
      <c r="BIY16">
        <f t="shared" si="956"/>
        <v>0</v>
      </c>
      <c r="BIZ16">
        <f t="shared" si="957"/>
        <v>0</v>
      </c>
      <c r="BJA16">
        <f t="shared" si="958"/>
        <v>0</v>
      </c>
      <c r="BJB16">
        <f t="shared" si="959"/>
        <v>0</v>
      </c>
      <c r="BJC16">
        <f t="shared" si="960"/>
        <v>0</v>
      </c>
      <c r="BJD16">
        <f t="shared" si="961"/>
        <v>0</v>
      </c>
      <c r="BJE16">
        <f t="shared" si="962"/>
        <v>0</v>
      </c>
      <c r="BJF16">
        <f t="shared" si="963"/>
        <v>0</v>
      </c>
      <c r="BJG16">
        <f t="shared" si="964"/>
        <v>0</v>
      </c>
      <c r="BJH16">
        <f t="shared" si="965"/>
        <v>0</v>
      </c>
      <c r="BJI16">
        <f t="shared" si="966"/>
        <v>0</v>
      </c>
      <c r="BJJ16">
        <f t="shared" si="967"/>
        <v>0</v>
      </c>
      <c r="BJK16">
        <f t="shared" si="968"/>
        <v>0</v>
      </c>
      <c r="BJL16">
        <f t="shared" si="969"/>
        <v>0</v>
      </c>
      <c r="BJM16">
        <f t="shared" si="970"/>
        <v>0</v>
      </c>
      <c r="BJN16">
        <f t="shared" si="971"/>
        <v>0</v>
      </c>
      <c r="BJO16">
        <f t="shared" si="972"/>
        <v>0</v>
      </c>
      <c r="BJP16">
        <f t="shared" si="973"/>
        <v>0</v>
      </c>
      <c r="BJQ16">
        <f t="shared" si="974"/>
        <v>0</v>
      </c>
      <c r="BJR16">
        <f t="shared" si="975"/>
        <v>0</v>
      </c>
      <c r="BJS16">
        <f t="shared" si="976"/>
        <v>0</v>
      </c>
      <c r="BJT16">
        <f t="shared" si="977"/>
        <v>0</v>
      </c>
      <c r="BJU16">
        <f t="shared" si="978"/>
        <v>0</v>
      </c>
      <c r="BJV16">
        <f t="shared" si="979"/>
        <v>0</v>
      </c>
      <c r="BJW16">
        <f t="shared" si="980"/>
        <v>0</v>
      </c>
      <c r="BJX16">
        <f t="shared" si="981"/>
        <v>0</v>
      </c>
      <c r="BJY16">
        <f t="shared" si="982"/>
        <v>0</v>
      </c>
      <c r="BJZ16">
        <f t="shared" si="983"/>
        <v>0</v>
      </c>
      <c r="BKA16">
        <f t="shared" si="984"/>
        <v>0</v>
      </c>
      <c r="BKB16">
        <f t="shared" si="985"/>
        <v>0</v>
      </c>
      <c r="BKC16">
        <f t="shared" si="986"/>
        <v>0</v>
      </c>
      <c r="BKD16">
        <f t="shared" si="987"/>
        <v>0</v>
      </c>
      <c r="BKE16">
        <f t="shared" si="988"/>
        <v>0</v>
      </c>
      <c r="BKF16">
        <f t="shared" si="989"/>
        <v>0</v>
      </c>
      <c r="BKG16">
        <f t="shared" si="990"/>
        <v>0</v>
      </c>
      <c r="BKH16">
        <f t="shared" si="991"/>
        <v>0</v>
      </c>
      <c r="BKI16">
        <f t="shared" si="992"/>
        <v>0</v>
      </c>
      <c r="BKJ16">
        <f t="shared" si="993"/>
        <v>0</v>
      </c>
      <c r="BKK16">
        <f t="shared" si="994"/>
        <v>0</v>
      </c>
      <c r="BKL16">
        <f t="shared" si="995"/>
        <v>0</v>
      </c>
      <c r="BKM16">
        <f t="shared" si="996"/>
        <v>0</v>
      </c>
      <c r="BKN16">
        <f t="shared" si="997"/>
        <v>0</v>
      </c>
      <c r="BKO16">
        <f t="shared" si="998"/>
        <v>0</v>
      </c>
      <c r="BKP16">
        <f t="shared" si="999"/>
        <v>0</v>
      </c>
      <c r="BKQ16">
        <f t="shared" si="1000"/>
        <v>0</v>
      </c>
      <c r="BKR16">
        <f t="shared" si="1001"/>
        <v>0</v>
      </c>
      <c r="BKS16">
        <f t="shared" si="1002"/>
        <v>0</v>
      </c>
      <c r="BKT16">
        <f t="shared" si="1003"/>
        <v>0</v>
      </c>
      <c r="BKU16">
        <f t="shared" si="1004"/>
        <v>0</v>
      </c>
      <c r="BKV16">
        <f t="shared" si="1005"/>
        <v>0</v>
      </c>
      <c r="BKW16">
        <f t="shared" si="1006"/>
        <v>0</v>
      </c>
      <c r="BKX16">
        <f t="shared" si="1007"/>
        <v>0</v>
      </c>
      <c r="BKY16">
        <f t="shared" si="1008"/>
        <v>0</v>
      </c>
      <c r="BKZ16">
        <f t="shared" si="1009"/>
        <v>0</v>
      </c>
      <c r="BLA16">
        <f t="shared" si="1010"/>
        <v>0</v>
      </c>
      <c r="BLB16">
        <f t="shared" si="48"/>
        <v>0</v>
      </c>
      <c r="BLC16">
        <f t="shared" si="1011"/>
        <v>0</v>
      </c>
      <c r="BLD16">
        <f t="shared" si="1012"/>
        <v>0</v>
      </c>
      <c r="BLE16">
        <f t="shared" si="1013"/>
        <v>0</v>
      </c>
      <c r="BLF16">
        <f t="shared" si="1014"/>
        <v>0</v>
      </c>
      <c r="BLG16">
        <f t="shared" si="1015"/>
        <v>0</v>
      </c>
      <c r="BLH16">
        <f t="shared" si="1016"/>
        <v>0</v>
      </c>
      <c r="BLI16">
        <f t="shared" si="1017"/>
        <v>0</v>
      </c>
      <c r="BLJ16">
        <f t="shared" si="1018"/>
        <v>0</v>
      </c>
      <c r="BLK16">
        <f t="shared" si="1019"/>
        <v>0</v>
      </c>
      <c r="BLL16">
        <f t="shared" si="1020"/>
        <v>0</v>
      </c>
      <c r="BLM16">
        <f t="shared" si="1021"/>
        <v>0</v>
      </c>
      <c r="BLN16">
        <f t="shared" si="1022"/>
        <v>0</v>
      </c>
      <c r="BLO16">
        <f t="shared" si="1023"/>
        <v>0</v>
      </c>
      <c r="BLP16">
        <f t="shared" si="1024"/>
        <v>0</v>
      </c>
      <c r="BLQ16">
        <f t="shared" si="1025"/>
        <v>0</v>
      </c>
      <c r="BLR16">
        <f t="shared" si="1026"/>
        <v>0</v>
      </c>
      <c r="BLS16">
        <f t="shared" si="1027"/>
        <v>0</v>
      </c>
      <c r="BLT16">
        <f t="shared" si="1028"/>
        <v>0</v>
      </c>
      <c r="BLU16">
        <f t="shared" si="1029"/>
        <v>0</v>
      </c>
      <c r="BLV16">
        <f t="shared" si="1030"/>
        <v>0</v>
      </c>
      <c r="BLW16">
        <f t="shared" si="1031"/>
        <v>0</v>
      </c>
      <c r="BLX16">
        <f t="shared" si="1032"/>
        <v>0</v>
      </c>
      <c r="BLY16">
        <f t="shared" si="1033"/>
        <v>0</v>
      </c>
      <c r="BLZ16">
        <f t="shared" si="1034"/>
        <v>0</v>
      </c>
      <c r="BMA16">
        <f t="shared" si="1035"/>
        <v>0</v>
      </c>
      <c r="BMB16">
        <f t="shared" si="1036"/>
        <v>0</v>
      </c>
      <c r="BMC16">
        <f t="shared" si="1037"/>
        <v>0</v>
      </c>
      <c r="BMD16">
        <f t="shared" si="1038"/>
        <v>0</v>
      </c>
      <c r="BME16">
        <f t="shared" si="1039"/>
        <v>0</v>
      </c>
      <c r="BMF16">
        <f t="shared" si="1040"/>
        <v>0</v>
      </c>
      <c r="BMG16">
        <f t="shared" si="1041"/>
        <v>0</v>
      </c>
      <c r="BMH16">
        <f t="shared" si="1042"/>
        <v>0</v>
      </c>
      <c r="BMI16">
        <f t="shared" si="1043"/>
        <v>0</v>
      </c>
      <c r="BMJ16">
        <f t="shared" si="1044"/>
        <v>0</v>
      </c>
      <c r="BMK16">
        <f t="shared" si="1045"/>
        <v>0</v>
      </c>
      <c r="BML16">
        <f t="shared" si="1046"/>
        <v>0</v>
      </c>
      <c r="BMM16">
        <f t="shared" si="1047"/>
        <v>0</v>
      </c>
      <c r="BMN16">
        <f t="shared" si="1048"/>
        <v>0</v>
      </c>
      <c r="BMO16">
        <f t="shared" si="1049"/>
        <v>0</v>
      </c>
      <c r="BMP16">
        <f t="shared" si="1050"/>
        <v>0</v>
      </c>
      <c r="BMQ16">
        <f t="shared" si="1051"/>
        <v>0</v>
      </c>
      <c r="BMR16">
        <f t="shared" si="1052"/>
        <v>0</v>
      </c>
      <c r="BMS16">
        <f t="shared" si="1053"/>
        <v>0</v>
      </c>
      <c r="BMT16">
        <f t="shared" si="1054"/>
        <v>0</v>
      </c>
      <c r="BMU16">
        <f t="shared" si="1055"/>
        <v>0</v>
      </c>
      <c r="BMV16">
        <f t="shared" si="1056"/>
        <v>0</v>
      </c>
      <c r="BMW16">
        <f t="shared" si="1057"/>
        <v>0</v>
      </c>
      <c r="BMX16">
        <f t="shared" si="1058"/>
        <v>0</v>
      </c>
      <c r="BMY16">
        <f t="shared" si="1059"/>
        <v>0</v>
      </c>
      <c r="BMZ16">
        <f t="shared" si="1060"/>
        <v>0</v>
      </c>
      <c r="BNA16">
        <f t="shared" si="1061"/>
        <v>0</v>
      </c>
      <c r="BNB16">
        <f t="shared" si="1062"/>
        <v>0</v>
      </c>
      <c r="BNC16">
        <f t="shared" si="1063"/>
        <v>0</v>
      </c>
      <c r="BND16">
        <f t="shared" si="1064"/>
        <v>0</v>
      </c>
      <c r="BNE16">
        <f t="shared" si="1065"/>
        <v>0</v>
      </c>
      <c r="BNF16">
        <f t="shared" si="1066"/>
        <v>0</v>
      </c>
      <c r="BNG16">
        <f t="shared" si="1067"/>
        <v>0</v>
      </c>
      <c r="BNH16">
        <f t="shared" si="1068"/>
        <v>0</v>
      </c>
      <c r="BNI16">
        <f t="shared" si="1069"/>
        <v>0</v>
      </c>
      <c r="BNJ16">
        <f t="shared" si="1070"/>
        <v>0</v>
      </c>
      <c r="BNK16">
        <f t="shared" si="1071"/>
        <v>0</v>
      </c>
      <c r="BNL16">
        <f t="shared" si="1072"/>
        <v>0</v>
      </c>
      <c r="BNM16">
        <f t="shared" si="1073"/>
        <v>0</v>
      </c>
      <c r="BNN16">
        <f t="shared" si="49"/>
        <v>0</v>
      </c>
      <c r="BNO16">
        <f t="shared" si="1074"/>
        <v>0</v>
      </c>
      <c r="BNP16">
        <f t="shared" si="1075"/>
        <v>0</v>
      </c>
      <c r="BNQ16">
        <f t="shared" si="1076"/>
        <v>0</v>
      </c>
      <c r="BNR16">
        <f t="shared" si="1077"/>
        <v>0</v>
      </c>
      <c r="BNS16">
        <f t="shared" si="1078"/>
        <v>0</v>
      </c>
      <c r="BNT16">
        <f t="shared" si="1079"/>
        <v>0</v>
      </c>
      <c r="BNU16">
        <f t="shared" si="1080"/>
        <v>0</v>
      </c>
      <c r="BNV16">
        <f t="shared" si="1081"/>
        <v>0</v>
      </c>
      <c r="BNW16">
        <f t="shared" si="1082"/>
        <v>0</v>
      </c>
      <c r="BNX16">
        <f t="shared" si="1083"/>
        <v>0</v>
      </c>
      <c r="BNY16">
        <f t="shared" si="1084"/>
        <v>0</v>
      </c>
      <c r="BNZ16">
        <f t="shared" si="1085"/>
        <v>0</v>
      </c>
      <c r="BOA16">
        <f t="shared" si="1086"/>
        <v>0</v>
      </c>
      <c r="BOB16">
        <f t="shared" si="1087"/>
        <v>0</v>
      </c>
      <c r="BOC16">
        <f t="shared" si="1088"/>
        <v>0</v>
      </c>
      <c r="BOD16">
        <f t="shared" si="1089"/>
        <v>0</v>
      </c>
      <c r="BOE16">
        <f t="shared" si="1090"/>
        <v>0</v>
      </c>
      <c r="BOF16">
        <f t="shared" si="1091"/>
        <v>0</v>
      </c>
      <c r="BOG16">
        <f t="shared" si="1092"/>
        <v>0</v>
      </c>
      <c r="BOH16">
        <f t="shared" si="1093"/>
        <v>0</v>
      </c>
      <c r="BOI16">
        <f t="shared" si="1094"/>
        <v>0</v>
      </c>
      <c r="BOJ16">
        <f t="shared" si="1095"/>
        <v>0</v>
      </c>
      <c r="BOK16">
        <f t="shared" si="1096"/>
        <v>0</v>
      </c>
      <c r="BOL16">
        <f t="shared" si="1097"/>
        <v>0</v>
      </c>
      <c r="BOM16">
        <f t="shared" si="1098"/>
        <v>0</v>
      </c>
      <c r="BON16">
        <f t="shared" si="1099"/>
        <v>0</v>
      </c>
      <c r="BOO16">
        <f t="shared" si="1100"/>
        <v>0</v>
      </c>
      <c r="BOP16">
        <f t="shared" si="1101"/>
        <v>0</v>
      </c>
      <c r="BOQ16">
        <f t="shared" si="1102"/>
        <v>0</v>
      </c>
      <c r="BOR16">
        <f t="shared" si="1103"/>
        <v>0</v>
      </c>
      <c r="BOS16">
        <f t="shared" si="1104"/>
        <v>0</v>
      </c>
      <c r="BOT16">
        <f t="shared" si="1105"/>
        <v>0</v>
      </c>
      <c r="BOU16">
        <f t="shared" si="1106"/>
        <v>0</v>
      </c>
      <c r="BOV16">
        <f t="shared" si="1107"/>
        <v>0</v>
      </c>
      <c r="BOW16">
        <f t="shared" si="1108"/>
        <v>0</v>
      </c>
      <c r="BOX16">
        <f t="shared" si="1109"/>
        <v>0</v>
      </c>
      <c r="BOY16">
        <f t="shared" si="1110"/>
        <v>0</v>
      </c>
      <c r="BOZ16">
        <f t="shared" si="1111"/>
        <v>0</v>
      </c>
      <c r="BPA16">
        <f t="shared" si="1112"/>
        <v>0</v>
      </c>
      <c r="BPB16">
        <f t="shared" si="1113"/>
        <v>0</v>
      </c>
      <c r="BPC16">
        <f t="shared" si="1114"/>
        <v>0</v>
      </c>
      <c r="BPD16">
        <f t="shared" si="1115"/>
        <v>0</v>
      </c>
      <c r="BPE16">
        <f t="shared" si="1116"/>
        <v>0</v>
      </c>
      <c r="BPF16">
        <f t="shared" si="1117"/>
        <v>0</v>
      </c>
      <c r="BPG16">
        <f t="shared" si="1118"/>
        <v>0</v>
      </c>
      <c r="BPH16">
        <f t="shared" si="1119"/>
        <v>0</v>
      </c>
      <c r="BPI16">
        <f t="shared" si="1120"/>
        <v>0</v>
      </c>
      <c r="BPJ16">
        <f t="shared" si="1121"/>
        <v>0</v>
      </c>
      <c r="BPK16">
        <f t="shared" si="1122"/>
        <v>0</v>
      </c>
      <c r="BPL16">
        <f t="shared" si="1123"/>
        <v>0</v>
      </c>
      <c r="BPM16">
        <f t="shared" si="1124"/>
        <v>0</v>
      </c>
      <c r="BPN16">
        <f t="shared" si="1125"/>
        <v>0</v>
      </c>
      <c r="BPO16">
        <f t="shared" si="1126"/>
        <v>0</v>
      </c>
      <c r="BPP16">
        <f t="shared" si="1127"/>
        <v>0</v>
      </c>
      <c r="BPQ16">
        <f t="shared" si="1128"/>
        <v>0</v>
      </c>
      <c r="BPR16">
        <f t="shared" si="1129"/>
        <v>0</v>
      </c>
      <c r="BPS16">
        <f t="shared" si="1130"/>
        <v>0</v>
      </c>
      <c r="BPT16">
        <f t="shared" si="1131"/>
        <v>0</v>
      </c>
      <c r="BPU16">
        <f t="shared" si="1132"/>
        <v>0</v>
      </c>
      <c r="BPV16">
        <f t="shared" si="1133"/>
        <v>0</v>
      </c>
      <c r="BPW16">
        <f t="shared" si="1134"/>
        <v>0</v>
      </c>
      <c r="BPX16">
        <f t="shared" si="1135"/>
        <v>0</v>
      </c>
      <c r="BPY16">
        <f t="shared" si="1136"/>
        <v>0</v>
      </c>
      <c r="BPZ16">
        <f t="shared" si="50"/>
        <v>0</v>
      </c>
      <c r="BQA16">
        <f t="shared" si="1137"/>
        <v>0</v>
      </c>
      <c r="BQB16">
        <f t="shared" si="1138"/>
        <v>0</v>
      </c>
      <c r="BQC16">
        <f t="shared" si="1139"/>
        <v>0</v>
      </c>
      <c r="BQD16">
        <f t="shared" si="1140"/>
        <v>0</v>
      </c>
      <c r="BQE16">
        <f t="shared" si="1141"/>
        <v>0</v>
      </c>
      <c r="BQF16">
        <f t="shared" si="1142"/>
        <v>0</v>
      </c>
      <c r="BQG16">
        <f t="shared" si="1143"/>
        <v>0</v>
      </c>
      <c r="BQH16">
        <f t="shared" si="1144"/>
        <v>0</v>
      </c>
      <c r="BQI16">
        <f t="shared" si="1145"/>
        <v>0</v>
      </c>
      <c r="BQJ16">
        <f t="shared" si="1146"/>
        <v>0</v>
      </c>
      <c r="BQK16">
        <f t="shared" si="1147"/>
        <v>0</v>
      </c>
      <c r="BQL16">
        <f t="shared" si="1148"/>
        <v>0</v>
      </c>
      <c r="BQM16">
        <f t="shared" si="1149"/>
        <v>0</v>
      </c>
      <c r="BQN16">
        <f t="shared" si="1150"/>
        <v>0</v>
      </c>
      <c r="BQO16">
        <f t="shared" si="1151"/>
        <v>0</v>
      </c>
      <c r="BQP16">
        <f t="shared" si="1152"/>
        <v>0</v>
      </c>
      <c r="BQQ16">
        <f t="shared" si="1153"/>
        <v>0</v>
      </c>
      <c r="BQR16">
        <f t="shared" si="1154"/>
        <v>0</v>
      </c>
      <c r="BQS16">
        <f t="shared" si="1155"/>
        <v>0</v>
      </c>
      <c r="BQT16">
        <f t="shared" si="1156"/>
        <v>0</v>
      </c>
      <c r="BQU16">
        <f t="shared" si="1157"/>
        <v>0</v>
      </c>
      <c r="BQV16">
        <f t="shared" si="1158"/>
        <v>0</v>
      </c>
      <c r="BQW16">
        <f t="shared" si="1159"/>
        <v>0</v>
      </c>
      <c r="BQX16">
        <f t="shared" si="1160"/>
        <v>0</v>
      </c>
      <c r="BQY16">
        <f t="shared" si="1161"/>
        <v>0</v>
      </c>
      <c r="BQZ16">
        <f t="shared" si="1162"/>
        <v>0</v>
      </c>
      <c r="BRA16">
        <f t="shared" si="1163"/>
        <v>0</v>
      </c>
      <c r="BRB16">
        <f t="shared" si="1164"/>
        <v>0</v>
      </c>
      <c r="BRC16">
        <f t="shared" si="1165"/>
        <v>0</v>
      </c>
      <c r="BRD16">
        <f t="shared" si="1166"/>
        <v>0</v>
      </c>
      <c r="BRE16">
        <f t="shared" si="1167"/>
        <v>0</v>
      </c>
      <c r="BRF16">
        <f t="shared" si="1168"/>
        <v>0</v>
      </c>
      <c r="BRG16">
        <f t="shared" si="1169"/>
        <v>0</v>
      </c>
      <c r="BRH16">
        <f t="shared" si="1170"/>
        <v>0</v>
      </c>
      <c r="BRI16">
        <f t="shared" si="1171"/>
        <v>0</v>
      </c>
      <c r="BRJ16">
        <f t="shared" si="1172"/>
        <v>0</v>
      </c>
      <c r="BRK16">
        <f t="shared" si="1173"/>
        <v>0</v>
      </c>
      <c r="BRL16">
        <f t="shared" si="1174"/>
        <v>0</v>
      </c>
      <c r="BRM16">
        <f t="shared" si="1175"/>
        <v>0</v>
      </c>
      <c r="BRN16">
        <f t="shared" si="1176"/>
        <v>0</v>
      </c>
      <c r="BRO16">
        <f t="shared" si="1177"/>
        <v>0</v>
      </c>
      <c r="BRP16">
        <f t="shared" si="1178"/>
        <v>0</v>
      </c>
      <c r="BRQ16">
        <f t="shared" si="1179"/>
        <v>0</v>
      </c>
      <c r="BRR16">
        <f t="shared" si="1180"/>
        <v>0</v>
      </c>
      <c r="BRS16">
        <f t="shared" si="1181"/>
        <v>0</v>
      </c>
      <c r="BRT16">
        <f t="shared" si="1182"/>
        <v>0</v>
      </c>
      <c r="BRU16">
        <f t="shared" si="1183"/>
        <v>0</v>
      </c>
      <c r="BRV16">
        <f t="shared" si="1184"/>
        <v>0</v>
      </c>
      <c r="BRW16">
        <f t="shared" si="1185"/>
        <v>0</v>
      </c>
      <c r="BRX16">
        <f t="shared" si="1186"/>
        <v>0</v>
      </c>
      <c r="BRY16">
        <f t="shared" si="1187"/>
        <v>0</v>
      </c>
      <c r="BRZ16">
        <f t="shared" si="1188"/>
        <v>0</v>
      </c>
      <c r="BSA16">
        <f t="shared" si="1189"/>
        <v>0</v>
      </c>
      <c r="BSB16">
        <f t="shared" si="1190"/>
        <v>0</v>
      </c>
      <c r="BSC16">
        <f t="shared" si="1191"/>
        <v>0</v>
      </c>
      <c r="BSD16">
        <f t="shared" si="1192"/>
        <v>0</v>
      </c>
      <c r="BSE16">
        <f t="shared" si="1193"/>
        <v>0</v>
      </c>
      <c r="BSF16">
        <f t="shared" si="1194"/>
        <v>0</v>
      </c>
      <c r="BSG16">
        <f t="shared" si="1195"/>
        <v>0</v>
      </c>
      <c r="BSH16">
        <f t="shared" si="1196"/>
        <v>0</v>
      </c>
      <c r="BSI16">
        <f t="shared" si="1197"/>
        <v>0</v>
      </c>
      <c r="BSJ16">
        <f t="shared" si="1198"/>
        <v>0</v>
      </c>
      <c r="BSK16">
        <f t="shared" si="1199"/>
        <v>0</v>
      </c>
      <c r="BSL16">
        <f t="shared" si="51"/>
        <v>0</v>
      </c>
      <c r="BSM16">
        <f t="shared" si="1200"/>
        <v>0</v>
      </c>
      <c r="BSN16">
        <f t="shared" si="1201"/>
        <v>0</v>
      </c>
      <c r="BSO16">
        <f t="shared" si="1202"/>
        <v>0</v>
      </c>
      <c r="BSP16">
        <f t="shared" si="1203"/>
        <v>0</v>
      </c>
      <c r="BSQ16">
        <f t="shared" si="1204"/>
        <v>0</v>
      </c>
      <c r="BSR16">
        <f t="shared" si="1205"/>
        <v>0</v>
      </c>
      <c r="BSS16">
        <f t="shared" si="1206"/>
        <v>0</v>
      </c>
      <c r="BST16">
        <f t="shared" si="1207"/>
        <v>0</v>
      </c>
      <c r="BSU16">
        <f t="shared" si="1208"/>
        <v>0</v>
      </c>
      <c r="BSV16">
        <f t="shared" si="1209"/>
        <v>0</v>
      </c>
      <c r="BSW16">
        <f t="shared" si="1210"/>
        <v>0</v>
      </c>
      <c r="BSX16">
        <f t="shared" si="1211"/>
        <v>0</v>
      </c>
      <c r="BSY16">
        <f t="shared" si="1212"/>
        <v>0</v>
      </c>
      <c r="BSZ16">
        <f t="shared" si="1213"/>
        <v>0</v>
      </c>
      <c r="BTA16">
        <f t="shared" si="1214"/>
        <v>0</v>
      </c>
      <c r="BTB16">
        <f t="shared" si="1215"/>
        <v>0</v>
      </c>
      <c r="BTC16">
        <f t="shared" si="1216"/>
        <v>0</v>
      </c>
      <c r="BTD16">
        <f t="shared" si="1217"/>
        <v>0</v>
      </c>
      <c r="BTE16">
        <f t="shared" si="1218"/>
        <v>0</v>
      </c>
      <c r="BTF16">
        <f t="shared" si="1219"/>
        <v>0</v>
      </c>
      <c r="BTG16">
        <f t="shared" si="1220"/>
        <v>0</v>
      </c>
      <c r="BTH16">
        <f t="shared" si="1221"/>
        <v>0</v>
      </c>
      <c r="BTI16">
        <f t="shared" si="1222"/>
        <v>0</v>
      </c>
      <c r="BTJ16">
        <f t="shared" si="1223"/>
        <v>0</v>
      </c>
      <c r="BTK16">
        <f t="shared" si="1224"/>
        <v>0</v>
      </c>
      <c r="BTL16">
        <f t="shared" si="1225"/>
        <v>0</v>
      </c>
      <c r="BTM16">
        <f t="shared" si="1226"/>
        <v>0</v>
      </c>
      <c r="BTN16">
        <f t="shared" si="1227"/>
        <v>0</v>
      </c>
      <c r="BTO16">
        <f t="shared" si="1228"/>
        <v>0</v>
      </c>
      <c r="BTP16">
        <f t="shared" si="1229"/>
        <v>0</v>
      </c>
      <c r="BTQ16">
        <f t="shared" si="1230"/>
        <v>0</v>
      </c>
      <c r="BTR16">
        <f t="shared" si="1231"/>
        <v>0</v>
      </c>
      <c r="BTS16">
        <f t="shared" si="1232"/>
        <v>0</v>
      </c>
      <c r="BTT16">
        <f t="shared" si="1233"/>
        <v>0</v>
      </c>
      <c r="BTU16">
        <f t="shared" si="1234"/>
        <v>0</v>
      </c>
      <c r="BTV16">
        <f t="shared" si="1235"/>
        <v>0</v>
      </c>
      <c r="BTW16">
        <f t="shared" si="1236"/>
        <v>0</v>
      </c>
      <c r="BTX16">
        <f t="shared" si="1237"/>
        <v>0</v>
      </c>
      <c r="BTY16">
        <f t="shared" si="1238"/>
        <v>0</v>
      </c>
      <c r="BTZ16">
        <f t="shared" si="1239"/>
        <v>0</v>
      </c>
      <c r="BUA16">
        <f t="shared" si="1240"/>
        <v>0</v>
      </c>
      <c r="BUB16">
        <f t="shared" si="1241"/>
        <v>0</v>
      </c>
      <c r="BUC16">
        <f t="shared" si="1242"/>
        <v>0</v>
      </c>
      <c r="BUD16">
        <f t="shared" si="1243"/>
        <v>0</v>
      </c>
      <c r="BUE16">
        <f t="shared" si="1244"/>
        <v>0</v>
      </c>
      <c r="BUF16">
        <f t="shared" si="1245"/>
        <v>0</v>
      </c>
      <c r="BUG16">
        <f t="shared" si="1246"/>
        <v>0</v>
      </c>
      <c r="BUH16">
        <f t="shared" si="1247"/>
        <v>0</v>
      </c>
      <c r="BUI16">
        <f t="shared" si="1248"/>
        <v>0</v>
      </c>
      <c r="BUJ16">
        <f t="shared" si="1249"/>
        <v>0</v>
      </c>
      <c r="BUK16">
        <f t="shared" si="1250"/>
        <v>0</v>
      </c>
      <c r="BUL16">
        <f t="shared" si="1251"/>
        <v>0</v>
      </c>
      <c r="BUM16">
        <f t="shared" si="1252"/>
        <v>0</v>
      </c>
      <c r="BUN16">
        <f t="shared" si="1253"/>
        <v>0</v>
      </c>
      <c r="BUO16">
        <f t="shared" si="1254"/>
        <v>0</v>
      </c>
      <c r="BUP16">
        <f t="shared" si="1255"/>
        <v>0</v>
      </c>
      <c r="BUQ16">
        <f t="shared" si="1256"/>
        <v>0</v>
      </c>
      <c r="BUR16">
        <f t="shared" si="1257"/>
        <v>0</v>
      </c>
      <c r="BUS16">
        <f t="shared" si="1258"/>
        <v>0</v>
      </c>
      <c r="BUT16">
        <f t="shared" si="1259"/>
        <v>0</v>
      </c>
      <c r="BUU16">
        <f t="shared" si="1260"/>
        <v>0</v>
      </c>
      <c r="BUV16">
        <f t="shared" si="1261"/>
        <v>0</v>
      </c>
      <c r="BUW16">
        <f t="shared" si="1262"/>
        <v>0</v>
      </c>
      <c r="BUX16">
        <f t="shared" si="52"/>
        <v>0</v>
      </c>
      <c r="BUY16">
        <f t="shared" si="1263"/>
        <v>0</v>
      </c>
      <c r="BUZ16">
        <f t="shared" si="1264"/>
        <v>0</v>
      </c>
      <c r="BVA16">
        <f t="shared" si="1265"/>
        <v>0</v>
      </c>
      <c r="BVB16">
        <f t="shared" si="1266"/>
        <v>0</v>
      </c>
      <c r="BVC16">
        <f t="shared" si="1267"/>
        <v>0</v>
      </c>
      <c r="BVD16">
        <f t="shared" si="1268"/>
        <v>0</v>
      </c>
      <c r="BVE16">
        <f t="shared" si="1269"/>
        <v>0</v>
      </c>
      <c r="BVF16">
        <f t="shared" si="1270"/>
        <v>0</v>
      </c>
      <c r="BVG16">
        <f t="shared" si="1271"/>
        <v>0</v>
      </c>
      <c r="BVH16">
        <f t="shared" si="1272"/>
        <v>0</v>
      </c>
      <c r="BVI16">
        <f t="shared" si="1273"/>
        <v>0</v>
      </c>
      <c r="BVJ16">
        <f t="shared" si="1274"/>
        <v>0</v>
      </c>
      <c r="BVK16">
        <f t="shared" si="1275"/>
        <v>0</v>
      </c>
      <c r="BVL16">
        <f t="shared" si="1276"/>
        <v>0</v>
      </c>
      <c r="BVM16">
        <f t="shared" si="1277"/>
        <v>0</v>
      </c>
      <c r="BVN16">
        <f t="shared" si="1278"/>
        <v>0</v>
      </c>
      <c r="BVO16">
        <f t="shared" si="1279"/>
        <v>0</v>
      </c>
      <c r="BVP16">
        <f t="shared" si="1280"/>
        <v>0</v>
      </c>
      <c r="BVQ16">
        <f t="shared" si="1281"/>
        <v>0</v>
      </c>
      <c r="BVR16">
        <f t="shared" si="1282"/>
        <v>0</v>
      </c>
      <c r="BVS16">
        <f t="shared" si="1283"/>
        <v>0</v>
      </c>
      <c r="BVT16">
        <f t="shared" si="1284"/>
        <v>0</v>
      </c>
      <c r="BVU16">
        <f t="shared" si="1285"/>
        <v>0</v>
      </c>
      <c r="BVV16">
        <f t="shared" si="1286"/>
        <v>0</v>
      </c>
      <c r="BVW16">
        <f t="shared" si="1287"/>
        <v>0</v>
      </c>
      <c r="BVX16">
        <f t="shared" si="1288"/>
        <v>0</v>
      </c>
      <c r="BVY16">
        <f t="shared" si="1289"/>
        <v>0</v>
      </c>
      <c r="BVZ16">
        <f t="shared" si="1290"/>
        <v>0</v>
      </c>
      <c r="BWA16">
        <f t="shared" si="1291"/>
        <v>0</v>
      </c>
      <c r="BWB16">
        <f t="shared" si="1292"/>
        <v>0</v>
      </c>
      <c r="BWC16">
        <f t="shared" si="1293"/>
        <v>0</v>
      </c>
      <c r="BWD16">
        <f t="shared" si="1294"/>
        <v>0</v>
      </c>
      <c r="BWE16">
        <f t="shared" si="1295"/>
        <v>0</v>
      </c>
      <c r="BWF16">
        <f t="shared" si="1296"/>
        <v>0</v>
      </c>
      <c r="BWG16">
        <f t="shared" si="1297"/>
        <v>0</v>
      </c>
      <c r="BWH16">
        <f t="shared" si="1298"/>
        <v>0</v>
      </c>
      <c r="BWI16">
        <f t="shared" si="1299"/>
        <v>0</v>
      </c>
      <c r="BWJ16">
        <f t="shared" si="1300"/>
        <v>0</v>
      </c>
      <c r="BWK16">
        <f t="shared" si="1301"/>
        <v>0</v>
      </c>
      <c r="BWL16">
        <f t="shared" si="1302"/>
        <v>0</v>
      </c>
      <c r="BWM16">
        <f t="shared" si="1303"/>
        <v>0</v>
      </c>
      <c r="BWN16">
        <f t="shared" si="1304"/>
        <v>0</v>
      </c>
      <c r="BWO16">
        <f t="shared" si="1305"/>
        <v>0</v>
      </c>
      <c r="BWP16">
        <f t="shared" si="1306"/>
        <v>0</v>
      </c>
      <c r="BWQ16">
        <f t="shared" si="1307"/>
        <v>0</v>
      </c>
      <c r="BWR16">
        <f t="shared" si="1308"/>
        <v>0</v>
      </c>
      <c r="BWS16">
        <f t="shared" si="1309"/>
        <v>0</v>
      </c>
      <c r="BWT16">
        <f t="shared" si="1310"/>
        <v>0</v>
      </c>
      <c r="BWU16">
        <f t="shared" si="1311"/>
        <v>0</v>
      </c>
      <c r="BWV16">
        <f t="shared" si="1312"/>
        <v>0</v>
      </c>
      <c r="BWW16">
        <f t="shared" si="1313"/>
        <v>0</v>
      </c>
      <c r="BWX16">
        <f t="shared" si="1314"/>
        <v>0</v>
      </c>
      <c r="BWY16">
        <f t="shared" si="1315"/>
        <v>0</v>
      </c>
      <c r="BWZ16">
        <f t="shared" si="1316"/>
        <v>0</v>
      </c>
      <c r="BXA16">
        <f t="shared" si="1317"/>
        <v>0</v>
      </c>
      <c r="BXB16">
        <f t="shared" si="1318"/>
        <v>0</v>
      </c>
      <c r="BXC16">
        <f t="shared" si="1319"/>
        <v>0</v>
      </c>
      <c r="BXD16">
        <f t="shared" si="1320"/>
        <v>0</v>
      </c>
      <c r="BXE16">
        <f t="shared" si="1321"/>
        <v>0</v>
      </c>
      <c r="BXF16">
        <f t="shared" si="1322"/>
        <v>0</v>
      </c>
      <c r="BXG16">
        <f t="shared" si="1323"/>
        <v>0</v>
      </c>
      <c r="BXH16">
        <f t="shared" si="1324"/>
        <v>0</v>
      </c>
      <c r="BXI16">
        <f t="shared" si="1325"/>
        <v>0</v>
      </c>
      <c r="BXJ16">
        <f t="shared" si="53"/>
        <v>0</v>
      </c>
      <c r="BXK16">
        <f t="shared" si="1326"/>
        <v>0</v>
      </c>
      <c r="BXL16">
        <f t="shared" si="1327"/>
        <v>0</v>
      </c>
      <c r="BXM16">
        <f t="shared" si="1328"/>
        <v>0</v>
      </c>
      <c r="BXN16">
        <f t="shared" si="1329"/>
        <v>0</v>
      </c>
      <c r="BXO16">
        <f t="shared" si="1330"/>
        <v>0</v>
      </c>
      <c r="BXP16">
        <f t="shared" si="1331"/>
        <v>0</v>
      </c>
      <c r="BXQ16">
        <f t="shared" si="1332"/>
        <v>0</v>
      </c>
      <c r="BXR16">
        <f t="shared" si="1333"/>
        <v>0</v>
      </c>
      <c r="BXS16">
        <f t="shared" si="1334"/>
        <v>0</v>
      </c>
      <c r="BXT16">
        <f t="shared" si="1335"/>
        <v>0</v>
      </c>
      <c r="BXU16">
        <f t="shared" si="1336"/>
        <v>0</v>
      </c>
      <c r="BXV16">
        <f t="shared" si="1337"/>
        <v>0</v>
      </c>
      <c r="BXW16">
        <f t="shared" si="1338"/>
        <v>0</v>
      </c>
      <c r="BXX16">
        <f t="shared" si="1339"/>
        <v>0</v>
      </c>
      <c r="BXY16">
        <f t="shared" si="1340"/>
        <v>0</v>
      </c>
      <c r="BXZ16">
        <f t="shared" si="1341"/>
        <v>0</v>
      </c>
      <c r="BYA16">
        <f t="shared" si="1342"/>
        <v>0</v>
      </c>
      <c r="BYB16">
        <f t="shared" si="1343"/>
        <v>0</v>
      </c>
      <c r="BYC16">
        <f t="shared" si="1344"/>
        <v>0</v>
      </c>
      <c r="BYD16">
        <f t="shared" si="1345"/>
        <v>0</v>
      </c>
      <c r="BYE16">
        <f t="shared" si="1346"/>
        <v>0</v>
      </c>
      <c r="BYF16">
        <f t="shared" si="1347"/>
        <v>0</v>
      </c>
      <c r="BYG16">
        <f t="shared" si="1348"/>
        <v>0</v>
      </c>
      <c r="BYH16">
        <f t="shared" si="1349"/>
        <v>0</v>
      </c>
      <c r="BYI16">
        <f t="shared" si="1350"/>
        <v>0</v>
      </c>
      <c r="BYJ16">
        <f t="shared" si="1351"/>
        <v>0</v>
      </c>
      <c r="BYK16">
        <f t="shared" si="1352"/>
        <v>0</v>
      </c>
      <c r="BYL16">
        <f t="shared" si="1353"/>
        <v>0</v>
      </c>
      <c r="BYM16">
        <f t="shared" si="1354"/>
        <v>0</v>
      </c>
      <c r="BYN16">
        <f t="shared" si="1355"/>
        <v>0</v>
      </c>
      <c r="BYO16">
        <f t="shared" si="1356"/>
        <v>0</v>
      </c>
      <c r="BYP16">
        <f t="shared" si="1357"/>
        <v>0</v>
      </c>
      <c r="BYQ16">
        <f t="shared" si="1358"/>
        <v>0</v>
      </c>
      <c r="BYR16">
        <f t="shared" si="1359"/>
        <v>0</v>
      </c>
      <c r="BYS16">
        <f t="shared" si="1360"/>
        <v>0</v>
      </c>
      <c r="BYT16">
        <f t="shared" si="1361"/>
        <v>0</v>
      </c>
      <c r="BYU16">
        <f t="shared" si="1362"/>
        <v>0</v>
      </c>
      <c r="BYV16">
        <f t="shared" si="1363"/>
        <v>0</v>
      </c>
      <c r="BYW16">
        <f t="shared" si="1364"/>
        <v>0</v>
      </c>
      <c r="BYX16">
        <f t="shared" si="1365"/>
        <v>0</v>
      </c>
      <c r="BYY16">
        <f t="shared" si="1366"/>
        <v>0</v>
      </c>
      <c r="BYZ16">
        <f t="shared" si="1367"/>
        <v>0</v>
      </c>
      <c r="BZA16">
        <f t="shared" si="1368"/>
        <v>0</v>
      </c>
      <c r="BZB16">
        <f t="shared" si="1369"/>
        <v>0</v>
      </c>
      <c r="BZC16">
        <f t="shared" si="1370"/>
        <v>0</v>
      </c>
      <c r="BZD16">
        <f t="shared" si="1371"/>
        <v>0</v>
      </c>
      <c r="BZE16">
        <f t="shared" si="1372"/>
        <v>0</v>
      </c>
      <c r="BZF16">
        <f t="shared" si="1373"/>
        <v>0</v>
      </c>
      <c r="BZG16">
        <f t="shared" si="1374"/>
        <v>0</v>
      </c>
      <c r="BZH16">
        <f t="shared" si="1375"/>
        <v>0</v>
      </c>
      <c r="BZI16">
        <f t="shared" si="1376"/>
        <v>0</v>
      </c>
      <c r="BZJ16">
        <f t="shared" si="1377"/>
        <v>0</v>
      </c>
      <c r="BZK16">
        <f t="shared" si="1378"/>
        <v>0</v>
      </c>
      <c r="BZL16">
        <f t="shared" si="1379"/>
        <v>0</v>
      </c>
      <c r="BZM16">
        <f t="shared" si="1380"/>
        <v>0</v>
      </c>
      <c r="BZN16">
        <f t="shared" si="1381"/>
        <v>0</v>
      </c>
      <c r="BZO16">
        <f t="shared" si="1382"/>
        <v>0</v>
      </c>
      <c r="BZP16">
        <f t="shared" si="1383"/>
        <v>0</v>
      </c>
      <c r="BZQ16">
        <f t="shared" si="1384"/>
        <v>0</v>
      </c>
      <c r="BZR16">
        <f t="shared" si="1385"/>
        <v>0</v>
      </c>
      <c r="BZS16">
        <f t="shared" si="1386"/>
        <v>0</v>
      </c>
      <c r="BZT16">
        <f t="shared" si="1387"/>
        <v>0</v>
      </c>
      <c r="BZU16">
        <f t="shared" si="1388"/>
        <v>0</v>
      </c>
      <c r="BZV16">
        <f t="shared" si="54"/>
        <v>0</v>
      </c>
      <c r="BZW16">
        <f t="shared" si="1389"/>
        <v>0</v>
      </c>
      <c r="BZX16">
        <f t="shared" si="1390"/>
        <v>0</v>
      </c>
      <c r="BZY16">
        <f t="shared" si="1391"/>
        <v>0</v>
      </c>
      <c r="BZZ16">
        <f t="shared" si="1392"/>
        <v>0</v>
      </c>
      <c r="CAA16">
        <f t="shared" si="1393"/>
        <v>0</v>
      </c>
      <c r="CAB16">
        <f t="shared" si="1394"/>
        <v>0</v>
      </c>
      <c r="CAC16">
        <f t="shared" si="1395"/>
        <v>0</v>
      </c>
      <c r="CAD16">
        <f t="shared" si="1396"/>
        <v>0</v>
      </c>
      <c r="CAE16">
        <f t="shared" si="1397"/>
        <v>0</v>
      </c>
      <c r="CAF16">
        <f t="shared" si="1398"/>
        <v>0</v>
      </c>
      <c r="CAG16">
        <f t="shared" si="1399"/>
        <v>0</v>
      </c>
      <c r="CAH16">
        <f t="shared" si="1400"/>
        <v>0</v>
      </c>
      <c r="CAI16">
        <f t="shared" si="1401"/>
        <v>0</v>
      </c>
      <c r="CAJ16">
        <f t="shared" si="1402"/>
        <v>0</v>
      </c>
      <c r="CAK16">
        <f t="shared" si="1403"/>
        <v>0</v>
      </c>
      <c r="CAL16">
        <f t="shared" si="1404"/>
        <v>0</v>
      </c>
      <c r="CAM16">
        <f t="shared" si="1405"/>
        <v>0</v>
      </c>
      <c r="CAN16">
        <f t="shared" si="1406"/>
        <v>0</v>
      </c>
      <c r="CAO16">
        <f t="shared" si="1407"/>
        <v>0</v>
      </c>
      <c r="CAP16">
        <f t="shared" si="1408"/>
        <v>0</v>
      </c>
      <c r="CAQ16">
        <f t="shared" si="1409"/>
        <v>0</v>
      </c>
      <c r="CAR16">
        <f t="shared" si="1410"/>
        <v>0</v>
      </c>
      <c r="CAS16">
        <f t="shared" si="1411"/>
        <v>0</v>
      </c>
      <c r="CAT16">
        <f t="shared" si="1412"/>
        <v>0</v>
      </c>
      <c r="CAU16">
        <f t="shared" si="1413"/>
        <v>0</v>
      </c>
      <c r="CAV16">
        <f t="shared" si="1414"/>
        <v>0</v>
      </c>
      <c r="CAW16">
        <f t="shared" si="1415"/>
        <v>0</v>
      </c>
      <c r="CAX16">
        <f t="shared" si="1416"/>
        <v>0</v>
      </c>
      <c r="CAY16">
        <f t="shared" si="1417"/>
        <v>0</v>
      </c>
      <c r="CAZ16">
        <f t="shared" si="1418"/>
        <v>0</v>
      </c>
      <c r="CBA16">
        <f t="shared" si="1419"/>
        <v>0</v>
      </c>
      <c r="CBB16">
        <f t="shared" si="1420"/>
        <v>0</v>
      </c>
      <c r="CBC16">
        <f t="shared" si="1421"/>
        <v>0</v>
      </c>
      <c r="CBD16">
        <f t="shared" si="1422"/>
        <v>0</v>
      </c>
      <c r="CBE16">
        <f t="shared" si="1423"/>
        <v>0</v>
      </c>
      <c r="CBF16">
        <f t="shared" si="1424"/>
        <v>0</v>
      </c>
      <c r="CBG16">
        <f t="shared" si="1425"/>
        <v>0</v>
      </c>
      <c r="CBH16">
        <f t="shared" si="1426"/>
        <v>0</v>
      </c>
      <c r="CBI16">
        <f t="shared" si="1427"/>
        <v>0</v>
      </c>
      <c r="CBJ16">
        <f t="shared" si="1428"/>
        <v>0</v>
      </c>
      <c r="CBK16">
        <f t="shared" si="1429"/>
        <v>0</v>
      </c>
      <c r="CBL16">
        <f t="shared" si="1430"/>
        <v>0</v>
      </c>
      <c r="CBM16">
        <f t="shared" si="1431"/>
        <v>0</v>
      </c>
      <c r="CBN16">
        <f t="shared" si="1432"/>
        <v>0</v>
      </c>
      <c r="CBO16">
        <f t="shared" si="1433"/>
        <v>0</v>
      </c>
      <c r="CBP16">
        <f t="shared" si="1434"/>
        <v>0</v>
      </c>
      <c r="CBQ16">
        <f t="shared" si="1435"/>
        <v>0</v>
      </c>
      <c r="CBR16">
        <f t="shared" si="1436"/>
        <v>0</v>
      </c>
      <c r="CBS16">
        <f t="shared" si="1437"/>
        <v>0</v>
      </c>
      <c r="CBT16">
        <f t="shared" si="1438"/>
        <v>0</v>
      </c>
      <c r="CBU16">
        <f t="shared" si="1439"/>
        <v>0</v>
      </c>
      <c r="CBV16">
        <f t="shared" si="1440"/>
        <v>0</v>
      </c>
      <c r="CBW16">
        <f t="shared" si="1441"/>
        <v>0</v>
      </c>
      <c r="CBX16">
        <f t="shared" si="1442"/>
        <v>0</v>
      </c>
      <c r="CBY16">
        <f t="shared" si="1443"/>
        <v>0</v>
      </c>
      <c r="CBZ16">
        <f t="shared" si="1444"/>
        <v>0</v>
      </c>
      <c r="CCA16">
        <f t="shared" si="1445"/>
        <v>0</v>
      </c>
      <c r="CCB16">
        <f t="shared" si="1446"/>
        <v>0</v>
      </c>
      <c r="CCC16">
        <f t="shared" si="1447"/>
        <v>0</v>
      </c>
      <c r="CCD16">
        <f t="shared" si="1448"/>
        <v>0</v>
      </c>
      <c r="CCE16">
        <f t="shared" si="1449"/>
        <v>0</v>
      </c>
      <c r="CCF16">
        <f t="shared" si="1450"/>
        <v>0</v>
      </c>
      <c r="CCG16">
        <f t="shared" si="1451"/>
        <v>0</v>
      </c>
      <c r="CCH16">
        <f t="shared" si="55"/>
        <v>0</v>
      </c>
      <c r="CCI16">
        <f t="shared" si="1452"/>
        <v>0</v>
      </c>
      <c r="CCJ16">
        <f t="shared" si="1453"/>
        <v>0</v>
      </c>
      <c r="CCK16">
        <f t="shared" si="1454"/>
        <v>0</v>
      </c>
      <c r="CCL16">
        <f t="shared" si="1455"/>
        <v>0</v>
      </c>
      <c r="CCM16">
        <f t="shared" si="1456"/>
        <v>0</v>
      </c>
      <c r="CCN16">
        <f t="shared" si="1457"/>
        <v>0</v>
      </c>
      <c r="CCO16">
        <f t="shared" si="1458"/>
        <v>0</v>
      </c>
      <c r="CCP16">
        <f t="shared" si="1459"/>
        <v>0</v>
      </c>
      <c r="CCQ16">
        <f t="shared" si="1460"/>
        <v>0</v>
      </c>
      <c r="CCR16">
        <f t="shared" si="1461"/>
        <v>0</v>
      </c>
      <c r="CCS16">
        <f t="shared" si="1462"/>
        <v>0</v>
      </c>
      <c r="CCT16">
        <f t="shared" si="1463"/>
        <v>0</v>
      </c>
      <c r="CCU16">
        <f t="shared" si="1464"/>
        <v>0</v>
      </c>
      <c r="CCV16">
        <f t="shared" si="1465"/>
        <v>0</v>
      </c>
      <c r="CCW16">
        <f t="shared" si="1466"/>
        <v>0</v>
      </c>
      <c r="CCX16">
        <f t="shared" si="1467"/>
        <v>0</v>
      </c>
      <c r="CCY16">
        <f t="shared" si="1468"/>
        <v>0</v>
      </c>
      <c r="CCZ16">
        <f t="shared" si="1469"/>
        <v>0</v>
      </c>
      <c r="CDA16">
        <f t="shared" si="1470"/>
        <v>0</v>
      </c>
      <c r="CDB16">
        <f t="shared" si="1471"/>
        <v>0</v>
      </c>
      <c r="CDC16">
        <f t="shared" si="1472"/>
        <v>0</v>
      </c>
      <c r="CDD16">
        <f t="shared" si="1473"/>
        <v>0</v>
      </c>
      <c r="CDE16">
        <f t="shared" si="1474"/>
        <v>0</v>
      </c>
      <c r="CDF16">
        <f t="shared" si="1475"/>
        <v>0</v>
      </c>
      <c r="CDG16">
        <f t="shared" si="1476"/>
        <v>0</v>
      </c>
      <c r="CDH16">
        <f t="shared" si="1477"/>
        <v>0</v>
      </c>
      <c r="CDI16">
        <f t="shared" si="1478"/>
        <v>0</v>
      </c>
      <c r="CDJ16">
        <f t="shared" si="1479"/>
        <v>0</v>
      </c>
      <c r="CDK16">
        <f t="shared" si="1480"/>
        <v>0</v>
      </c>
      <c r="CDL16">
        <f t="shared" si="1481"/>
        <v>0</v>
      </c>
      <c r="CDM16">
        <f t="shared" si="1482"/>
        <v>0</v>
      </c>
      <c r="CDN16">
        <f t="shared" si="1483"/>
        <v>0</v>
      </c>
      <c r="CDO16">
        <f t="shared" si="1484"/>
        <v>0</v>
      </c>
      <c r="CDP16">
        <f t="shared" si="1485"/>
        <v>0</v>
      </c>
      <c r="CDQ16">
        <f t="shared" si="1486"/>
        <v>0</v>
      </c>
      <c r="CDR16">
        <f t="shared" si="1487"/>
        <v>0</v>
      </c>
      <c r="CDS16">
        <f t="shared" si="1488"/>
        <v>0</v>
      </c>
      <c r="CDT16">
        <f t="shared" si="1489"/>
        <v>0</v>
      </c>
      <c r="CDU16">
        <f t="shared" si="1490"/>
        <v>0</v>
      </c>
      <c r="CDV16">
        <f t="shared" si="1491"/>
        <v>0</v>
      </c>
      <c r="CDW16">
        <f t="shared" si="1492"/>
        <v>0</v>
      </c>
      <c r="CDX16">
        <f t="shared" si="1493"/>
        <v>0</v>
      </c>
      <c r="CDY16">
        <f t="shared" si="1494"/>
        <v>0</v>
      </c>
      <c r="CDZ16">
        <f t="shared" si="1495"/>
        <v>0</v>
      </c>
      <c r="CEA16">
        <f t="shared" si="1496"/>
        <v>0</v>
      </c>
      <c r="CEB16">
        <f t="shared" si="1497"/>
        <v>0</v>
      </c>
      <c r="CEC16">
        <f t="shared" si="1498"/>
        <v>0</v>
      </c>
      <c r="CED16">
        <f t="shared" si="1499"/>
        <v>0</v>
      </c>
      <c r="CEE16">
        <f t="shared" si="1500"/>
        <v>0</v>
      </c>
      <c r="CEF16">
        <f t="shared" si="1501"/>
        <v>0</v>
      </c>
      <c r="CEG16">
        <f t="shared" si="1502"/>
        <v>0</v>
      </c>
      <c r="CEH16">
        <f t="shared" si="1503"/>
        <v>0</v>
      </c>
      <c r="CEI16">
        <f t="shared" si="1504"/>
        <v>0</v>
      </c>
      <c r="CEJ16">
        <f t="shared" si="1505"/>
        <v>0</v>
      </c>
      <c r="CEK16">
        <f t="shared" si="1506"/>
        <v>0</v>
      </c>
      <c r="CEL16">
        <f t="shared" si="1507"/>
        <v>0</v>
      </c>
      <c r="CEM16">
        <f t="shared" si="1508"/>
        <v>0</v>
      </c>
      <c r="CEN16">
        <f t="shared" si="1509"/>
        <v>0</v>
      </c>
      <c r="CEO16">
        <f t="shared" si="1510"/>
        <v>0</v>
      </c>
      <c r="CEP16">
        <f t="shared" si="1511"/>
        <v>0</v>
      </c>
      <c r="CEQ16">
        <f t="shared" si="1512"/>
        <v>0</v>
      </c>
      <c r="CER16">
        <f t="shared" si="1513"/>
        <v>0</v>
      </c>
      <c r="CES16">
        <f t="shared" si="1514"/>
        <v>0</v>
      </c>
      <c r="CET16">
        <f t="shared" si="56"/>
        <v>0</v>
      </c>
      <c r="CEU16">
        <f t="shared" si="1515"/>
        <v>0</v>
      </c>
      <c r="CEV16">
        <f t="shared" si="1516"/>
        <v>0</v>
      </c>
      <c r="CEW16">
        <f t="shared" si="1517"/>
        <v>0</v>
      </c>
      <c r="CEX16">
        <f t="shared" si="1518"/>
        <v>0</v>
      </c>
      <c r="CEY16">
        <f t="shared" si="1519"/>
        <v>0</v>
      </c>
      <c r="CEZ16">
        <f t="shared" si="1520"/>
        <v>0</v>
      </c>
      <c r="CFA16">
        <f t="shared" si="1521"/>
        <v>0</v>
      </c>
      <c r="CFB16">
        <f t="shared" si="1522"/>
        <v>0</v>
      </c>
      <c r="CFC16">
        <f t="shared" si="1523"/>
        <v>0</v>
      </c>
      <c r="CFD16">
        <f t="shared" si="1524"/>
        <v>0</v>
      </c>
      <c r="CFE16">
        <f t="shared" si="1525"/>
        <v>0</v>
      </c>
      <c r="CFF16">
        <f t="shared" si="1526"/>
        <v>0</v>
      </c>
      <c r="CFG16">
        <f t="shared" si="1527"/>
        <v>0</v>
      </c>
      <c r="CFH16">
        <f t="shared" si="1528"/>
        <v>0</v>
      </c>
      <c r="CFI16">
        <f t="shared" si="1529"/>
        <v>0</v>
      </c>
      <c r="CFJ16">
        <f t="shared" si="1530"/>
        <v>0</v>
      </c>
      <c r="CFK16">
        <f t="shared" si="1531"/>
        <v>0</v>
      </c>
      <c r="CFL16">
        <f t="shared" si="1532"/>
        <v>0</v>
      </c>
      <c r="CFM16">
        <f t="shared" si="1533"/>
        <v>0</v>
      </c>
      <c r="CFN16">
        <f t="shared" si="1534"/>
        <v>0</v>
      </c>
      <c r="CFO16">
        <f t="shared" si="1535"/>
        <v>0</v>
      </c>
      <c r="CFP16">
        <f t="shared" si="1536"/>
        <v>0</v>
      </c>
      <c r="CFQ16">
        <f t="shared" si="1537"/>
        <v>0</v>
      </c>
      <c r="CFR16">
        <f t="shared" si="1538"/>
        <v>0</v>
      </c>
      <c r="CFS16">
        <f t="shared" si="1539"/>
        <v>0</v>
      </c>
      <c r="CFT16">
        <f t="shared" si="1540"/>
        <v>0</v>
      </c>
      <c r="CFU16">
        <f t="shared" si="1541"/>
        <v>0</v>
      </c>
      <c r="CFV16">
        <f t="shared" si="1542"/>
        <v>0</v>
      </c>
      <c r="CFW16">
        <f t="shared" si="1543"/>
        <v>0</v>
      </c>
      <c r="CFX16">
        <f t="shared" si="1544"/>
        <v>0</v>
      </c>
      <c r="CFY16">
        <f t="shared" si="1545"/>
        <v>0</v>
      </c>
      <c r="CFZ16">
        <f t="shared" si="1546"/>
        <v>0</v>
      </c>
      <c r="CGA16">
        <f t="shared" si="1547"/>
        <v>0</v>
      </c>
      <c r="CGB16">
        <f t="shared" si="1548"/>
        <v>0</v>
      </c>
      <c r="CGC16">
        <f t="shared" si="1549"/>
        <v>0</v>
      </c>
      <c r="CGD16">
        <f t="shared" si="1550"/>
        <v>0</v>
      </c>
      <c r="CGE16">
        <f t="shared" si="1551"/>
        <v>0</v>
      </c>
      <c r="CGF16">
        <f t="shared" si="1552"/>
        <v>0</v>
      </c>
      <c r="CGG16">
        <f t="shared" si="1553"/>
        <v>0</v>
      </c>
      <c r="CGH16">
        <f t="shared" si="1554"/>
        <v>0</v>
      </c>
      <c r="CGI16">
        <f t="shared" si="1555"/>
        <v>0</v>
      </c>
      <c r="CGJ16">
        <f t="shared" si="1556"/>
        <v>0</v>
      </c>
      <c r="CGK16">
        <f t="shared" si="1557"/>
        <v>0</v>
      </c>
      <c r="CGL16">
        <f t="shared" si="1558"/>
        <v>0</v>
      </c>
      <c r="CGM16">
        <f t="shared" si="1559"/>
        <v>0</v>
      </c>
      <c r="CGN16">
        <f t="shared" si="1560"/>
        <v>0</v>
      </c>
      <c r="CGO16">
        <f t="shared" si="1561"/>
        <v>0</v>
      </c>
      <c r="CGP16">
        <f t="shared" si="1562"/>
        <v>0</v>
      </c>
      <c r="CGQ16">
        <f t="shared" si="1563"/>
        <v>0</v>
      </c>
      <c r="CGR16">
        <f t="shared" si="1564"/>
        <v>0</v>
      </c>
      <c r="CGS16">
        <f t="shared" si="1565"/>
        <v>0</v>
      </c>
      <c r="CGT16">
        <f t="shared" si="1566"/>
        <v>0</v>
      </c>
      <c r="CGU16">
        <f t="shared" si="1567"/>
        <v>0</v>
      </c>
      <c r="CGV16">
        <f t="shared" si="1568"/>
        <v>0</v>
      </c>
      <c r="CGW16">
        <f t="shared" si="1569"/>
        <v>0</v>
      </c>
      <c r="CGX16">
        <f t="shared" si="1570"/>
        <v>0</v>
      </c>
      <c r="CGY16">
        <f t="shared" si="1571"/>
        <v>0</v>
      </c>
      <c r="CGZ16">
        <f t="shared" si="1572"/>
        <v>0</v>
      </c>
      <c r="CHA16">
        <f t="shared" si="1573"/>
        <v>0</v>
      </c>
      <c r="CHB16">
        <f t="shared" si="1574"/>
        <v>0</v>
      </c>
      <c r="CHC16">
        <f t="shared" si="1575"/>
        <v>0</v>
      </c>
      <c r="CHD16">
        <f t="shared" si="1576"/>
        <v>0</v>
      </c>
      <c r="CHE16">
        <f t="shared" si="1577"/>
        <v>0</v>
      </c>
      <c r="CHF16">
        <f t="shared" si="57"/>
        <v>0</v>
      </c>
      <c r="CHG16">
        <f t="shared" si="1578"/>
        <v>0</v>
      </c>
      <c r="CHH16">
        <f t="shared" si="1579"/>
        <v>0</v>
      </c>
      <c r="CHI16">
        <f t="shared" si="1580"/>
        <v>0</v>
      </c>
      <c r="CHJ16">
        <f t="shared" si="1581"/>
        <v>0</v>
      </c>
      <c r="CHK16">
        <f t="shared" si="1582"/>
        <v>0</v>
      </c>
      <c r="CHL16">
        <f t="shared" si="1583"/>
        <v>0</v>
      </c>
      <c r="CHM16">
        <f t="shared" si="1584"/>
        <v>0</v>
      </c>
      <c r="CHN16">
        <f t="shared" si="1585"/>
        <v>0</v>
      </c>
      <c r="CHO16">
        <f t="shared" si="1586"/>
        <v>0</v>
      </c>
      <c r="CHP16">
        <f t="shared" si="1587"/>
        <v>0</v>
      </c>
      <c r="CHQ16">
        <f t="shared" si="1588"/>
        <v>0</v>
      </c>
      <c r="CHR16">
        <f t="shared" si="1589"/>
        <v>0</v>
      </c>
      <c r="CHS16">
        <f t="shared" si="1590"/>
        <v>0</v>
      </c>
      <c r="CHT16">
        <f t="shared" si="1591"/>
        <v>0</v>
      </c>
      <c r="CHU16">
        <f t="shared" si="1592"/>
        <v>0</v>
      </c>
      <c r="CHV16">
        <f t="shared" si="1593"/>
        <v>0</v>
      </c>
      <c r="CHW16">
        <f t="shared" si="1594"/>
        <v>0</v>
      </c>
      <c r="CHX16">
        <f t="shared" si="1595"/>
        <v>0</v>
      </c>
      <c r="CHY16">
        <f t="shared" si="1596"/>
        <v>0</v>
      </c>
      <c r="CHZ16">
        <f t="shared" si="1597"/>
        <v>0</v>
      </c>
      <c r="CIA16">
        <f t="shared" si="1598"/>
        <v>0</v>
      </c>
      <c r="CIB16">
        <f t="shared" si="1599"/>
        <v>0</v>
      </c>
      <c r="CIC16">
        <f t="shared" si="1600"/>
        <v>0</v>
      </c>
      <c r="CID16">
        <f t="shared" si="1601"/>
        <v>0</v>
      </c>
      <c r="CIE16">
        <f t="shared" si="1602"/>
        <v>0</v>
      </c>
      <c r="CIF16">
        <f t="shared" si="1603"/>
        <v>0</v>
      </c>
      <c r="CIG16">
        <f t="shared" si="1604"/>
        <v>0</v>
      </c>
      <c r="CIH16">
        <f t="shared" si="1605"/>
        <v>0</v>
      </c>
      <c r="CII16">
        <f t="shared" si="1606"/>
        <v>0</v>
      </c>
      <c r="CIJ16">
        <f t="shared" si="1607"/>
        <v>0</v>
      </c>
      <c r="CIK16">
        <f t="shared" si="1608"/>
        <v>0</v>
      </c>
      <c r="CIL16">
        <f t="shared" si="1609"/>
        <v>0</v>
      </c>
      <c r="CIM16">
        <f t="shared" si="1610"/>
        <v>0</v>
      </c>
      <c r="CIN16">
        <f t="shared" si="1611"/>
        <v>0</v>
      </c>
      <c r="CIO16">
        <f t="shared" si="1612"/>
        <v>0</v>
      </c>
      <c r="CIP16">
        <f t="shared" si="1613"/>
        <v>0</v>
      </c>
      <c r="CIQ16">
        <f t="shared" si="1614"/>
        <v>0</v>
      </c>
      <c r="CIR16">
        <f t="shared" si="1615"/>
        <v>0</v>
      </c>
      <c r="CIS16">
        <f t="shared" si="1616"/>
        <v>0</v>
      </c>
      <c r="CIT16">
        <f t="shared" si="1617"/>
        <v>0</v>
      </c>
      <c r="CIU16">
        <f t="shared" si="1618"/>
        <v>0</v>
      </c>
      <c r="CIV16">
        <f t="shared" si="1619"/>
        <v>0</v>
      </c>
      <c r="CIW16">
        <f t="shared" si="1620"/>
        <v>0</v>
      </c>
      <c r="CIX16">
        <f t="shared" si="1621"/>
        <v>0</v>
      </c>
      <c r="CIY16">
        <f t="shared" si="1622"/>
        <v>0</v>
      </c>
      <c r="CIZ16">
        <f t="shared" si="1623"/>
        <v>0</v>
      </c>
      <c r="CJA16">
        <f t="shared" si="1624"/>
        <v>0</v>
      </c>
      <c r="CJB16">
        <f t="shared" si="1625"/>
        <v>0</v>
      </c>
      <c r="CJC16">
        <f t="shared" si="1626"/>
        <v>0</v>
      </c>
      <c r="CJD16">
        <f t="shared" si="1627"/>
        <v>0</v>
      </c>
      <c r="CJE16">
        <f t="shared" si="1628"/>
        <v>0</v>
      </c>
      <c r="CJF16">
        <f t="shared" si="1629"/>
        <v>0</v>
      </c>
      <c r="CJG16">
        <f t="shared" si="1630"/>
        <v>0</v>
      </c>
      <c r="CJH16">
        <f t="shared" si="1631"/>
        <v>0</v>
      </c>
      <c r="CJI16">
        <f t="shared" si="1632"/>
        <v>0</v>
      </c>
      <c r="CJJ16">
        <f t="shared" si="1633"/>
        <v>0</v>
      </c>
      <c r="CJK16">
        <f t="shared" si="1634"/>
        <v>0</v>
      </c>
      <c r="CJL16">
        <f t="shared" si="1635"/>
        <v>0</v>
      </c>
      <c r="CJM16">
        <f t="shared" si="1636"/>
        <v>0</v>
      </c>
      <c r="CJN16">
        <f t="shared" si="1637"/>
        <v>0</v>
      </c>
      <c r="CJO16">
        <f t="shared" si="1638"/>
        <v>0</v>
      </c>
      <c r="CJP16">
        <f t="shared" si="1639"/>
        <v>0</v>
      </c>
      <c r="CJQ16">
        <f t="shared" si="1640"/>
        <v>0</v>
      </c>
      <c r="CJR16">
        <f t="shared" si="58"/>
        <v>0</v>
      </c>
      <c r="CJS16">
        <f t="shared" si="1641"/>
        <v>0</v>
      </c>
      <c r="CJT16">
        <f t="shared" si="1642"/>
        <v>0</v>
      </c>
      <c r="CJU16">
        <f t="shared" si="1643"/>
        <v>0</v>
      </c>
      <c r="CJV16">
        <f t="shared" si="1644"/>
        <v>0</v>
      </c>
      <c r="CJW16">
        <f t="shared" si="1645"/>
        <v>0</v>
      </c>
      <c r="CJX16">
        <f t="shared" si="1646"/>
        <v>0</v>
      </c>
      <c r="CJY16">
        <f t="shared" si="1647"/>
        <v>0</v>
      </c>
      <c r="CJZ16">
        <f t="shared" si="1648"/>
        <v>0</v>
      </c>
      <c r="CKA16">
        <f t="shared" si="1649"/>
        <v>0</v>
      </c>
      <c r="CKB16">
        <f t="shared" si="1650"/>
        <v>0</v>
      </c>
      <c r="CKC16">
        <f t="shared" si="1651"/>
        <v>0</v>
      </c>
      <c r="CKD16">
        <f t="shared" si="1652"/>
        <v>0</v>
      </c>
      <c r="CKE16">
        <f t="shared" si="1653"/>
        <v>0</v>
      </c>
      <c r="CKF16">
        <f t="shared" si="1654"/>
        <v>0</v>
      </c>
      <c r="CKG16">
        <f t="shared" si="1655"/>
        <v>0</v>
      </c>
      <c r="CKH16">
        <f t="shared" si="1656"/>
        <v>0</v>
      </c>
      <c r="CKI16">
        <f t="shared" si="1657"/>
        <v>0</v>
      </c>
      <c r="CKJ16">
        <f t="shared" si="1658"/>
        <v>0</v>
      </c>
      <c r="CKK16">
        <f t="shared" si="1659"/>
        <v>0</v>
      </c>
      <c r="CKL16">
        <f t="shared" si="1660"/>
        <v>0</v>
      </c>
      <c r="CKM16">
        <f t="shared" si="1661"/>
        <v>0</v>
      </c>
      <c r="CKN16">
        <f t="shared" si="1662"/>
        <v>0</v>
      </c>
      <c r="CKO16">
        <f t="shared" si="1663"/>
        <v>0</v>
      </c>
      <c r="CKP16">
        <f t="shared" si="1664"/>
        <v>0</v>
      </c>
      <c r="CKQ16">
        <f t="shared" si="1665"/>
        <v>0</v>
      </c>
      <c r="CKR16">
        <f t="shared" si="1666"/>
        <v>0</v>
      </c>
      <c r="CKS16">
        <f t="shared" si="1667"/>
        <v>0</v>
      </c>
      <c r="CKT16">
        <f t="shared" si="1668"/>
        <v>0</v>
      </c>
      <c r="CKU16">
        <f t="shared" si="1669"/>
        <v>0</v>
      </c>
      <c r="CKV16">
        <f t="shared" si="1670"/>
        <v>0</v>
      </c>
      <c r="CKW16">
        <f t="shared" si="1671"/>
        <v>0</v>
      </c>
      <c r="CKX16">
        <f t="shared" si="1672"/>
        <v>0</v>
      </c>
      <c r="CKY16">
        <f t="shared" si="1673"/>
        <v>0</v>
      </c>
      <c r="CKZ16">
        <f t="shared" si="1674"/>
        <v>0</v>
      </c>
      <c r="CLA16">
        <f t="shared" si="1675"/>
        <v>0</v>
      </c>
      <c r="CLB16">
        <f t="shared" si="1676"/>
        <v>0</v>
      </c>
      <c r="CLC16">
        <f t="shared" si="1677"/>
        <v>0</v>
      </c>
      <c r="CLD16">
        <f t="shared" si="1678"/>
        <v>0</v>
      </c>
      <c r="CLE16">
        <f t="shared" si="1679"/>
        <v>0</v>
      </c>
      <c r="CLF16">
        <f t="shared" si="1680"/>
        <v>0</v>
      </c>
      <c r="CLG16">
        <f t="shared" si="1681"/>
        <v>0</v>
      </c>
      <c r="CLH16">
        <f t="shared" si="1682"/>
        <v>0</v>
      </c>
      <c r="CLI16">
        <f t="shared" si="1683"/>
        <v>0</v>
      </c>
      <c r="CLJ16">
        <f t="shared" si="1684"/>
        <v>0</v>
      </c>
      <c r="CLK16">
        <f t="shared" si="1685"/>
        <v>0</v>
      </c>
      <c r="CLL16">
        <f t="shared" si="1686"/>
        <v>0</v>
      </c>
      <c r="CLM16">
        <f t="shared" si="1687"/>
        <v>0</v>
      </c>
      <c r="CLN16">
        <f t="shared" si="1688"/>
        <v>0</v>
      </c>
      <c r="CLO16">
        <f t="shared" si="1689"/>
        <v>0</v>
      </c>
      <c r="CLP16">
        <f t="shared" si="1690"/>
        <v>0</v>
      </c>
      <c r="CLQ16">
        <f t="shared" si="1691"/>
        <v>0</v>
      </c>
      <c r="CLR16">
        <f t="shared" si="1692"/>
        <v>0</v>
      </c>
      <c r="CLS16">
        <f t="shared" si="1693"/>
        <v>0</v>
      </c>
      <c r="CLT16">
        <f t="shared" si="1694"/>
        <v>0</v>
      </c>
      <c r="CLU16">
        <f t="shared" si="1695"/>
        <v>0</v>
      </c>
      <c r="CLV16">
        <f t="shared" si="1696"/>
        <v>0</v>
      </c>
      <c r="CLW16">
        <f t="shared" si="1697"/>
        <v>0</v>
      </c>
      <c r="CLX16">
        <f t="shared" si="1698"/>
        <v>0</v>
      </c>
      <c r="CLY16">
        <f t="shared" si="1699"/>
        <v>0</v>
      </c>
      <c r="CLZ16">
        <f t="shared" si="1700"/>
        <v>0</v>
      </c>
      <c r="CMA16">
        <f t="shared" si="1701"/>
        <v>0</v>
      </c>
      <c r="CMB16">
        <f t="shared" si="1702"/>
        <v>0</v>
      </c>
      <c r="CMC16">
        <f t="shared" si="1703"/>
        <v>0</v>
      </c>
      <c r="CMD16">
        <f t="shared" si="59"/>
        <v>0</v>
      </c>
      <c r="CME16">
        <f t="shared" si="1704"/>
        <v>0</v>
      </c>
      <c r="CMF16">
        <f t="shared" si="1705"/>
        <v>0</v>
      </c>
      <c r="CMG16">
        <f t="shared" si="1706"/>
        <v>0</v>
      </c>
      <c r="CMH16">
        <f t="shared" si="1707"/>
        <v>0</v>
      </c>
      <c r="CMI16">
        <f t="shared" si="1708"/>
        <v>0</v>
      </c>
      <c r="CMJ16">
        <f t="shared" si="1709"/>
        <v>0</v>
      </c>
      <c r="CMK16">
        <f t="shared" si="1710"/>
        <v>0</v>
      </c>
      <c r="CML16">
        <f t="shared" si="1711"/>
        <v>0</v>
      </c>
      <c r="CMM16">
        <f t="shared" si="1712"/>
        <v>0</v>
      </c>
      <c r="CMN16">
        <f t="shared" si="1713"/>
        <v>0</v>
      </c>
      <c r="CMO16">
        <f t="shared" si="1714"/>
        <v>0</v>
      </c>
      <c r="CMP16">
        <f t="shared" si="1715"/>
        <v>0</v>
      </c>
      <c r="CMQ16">
        <f t="shared" si="1716"/>
        <v>0</v>
      </c>
      <c r="CMR16">
        <f t="shared" si="1717"/>
        <v>0</v>
      </c>
      <c r="CMS16">
        <f t="shared" si="1718"/>
        <v>0</v>
      </c>
      <c r="CMT16">
        <f t="shared" si="1719"/>
        <v>0</v>
      </c>
      <c r="CMU16">
        <f t="shared" si="1720"/>
        <v>0</v>
      </c>
      <c r="CMV16">
        <f t="shared" si="1721"/>
        <v>0</v>
      </c>
      <c r="CMW16">
        <f t="shared" si="1722"/>
        <v>0</v>
      </c>
      <c r="CMX16">
        <f t="shared" si="1723"/>
        <v>0</v>
      </c>
      <c r="CMY16">
        <f t="shared" si="1724"/>
        <v>0</v>
      </c>
      <c r="CMZ16">
        <f t="shared" si="1725"/>
        <v>0</v>
      </c>
      <c r="CNA16">
        <f t="shared" si="1726"/>
        <v>0</v>
      </c>
      <c r="CNB16">
        <f t="shared" si="1727"/>
        <v>0</v>
      </c>
      <c r="CNC16">
        <f t="shared" si="1728"/>
        <v>0</v>
      </c>
      <c r="CND16">
        <f t="shared" si="1729"/>
        <v>0</v>
      </c>
      <c r="CNE16">
        <f t="shared" si="1730"/>
        <v>0</v>
      </c>
      <c r="CNF16">
        <f t="shared" si="1731"/>
        <v>0</v>
      </c>
      <c r="CNG16">
        <f t="shared" si="1732"/>
        <v>0</v>
      </c>
      <c r="CNH16">
        <f t="shared" si="1733"/>
        <v>0</v>
      </c>
      <c r="CNI16">
        <f t="shared" si="1734"/>
        <v>0</v>
      </c>
      <c r="CNJ16">
        <f t="shared" si="1735"/>
        <v>0</v>
      </c>
      <c r="CNK16">
        <f t="shared" si="1736"/>
        <v>0</v>
      </c>
      <c r="CNL16">
        <f t="shared" si="1737"/>
        <v>0</v>
      </c>
      <c r="CNM16">
        <f t="shared" si="1738"/>
        <v>0</v>
      </c>
      <c r="CNN16">
        <f t="shared" si="1739"/>
        <v>0</v>
      </c>
      <c r="CNO16">
        <f t="shared" si="1740"/>
        <v>0</v>
      </c>
      <c r="CNP16">
        <f t="shared" si="1741"/>
        <v>0</v>
      </c>
      <c r="CNQ16">
        <f t="shared" si="1742"/>
        <v>0</v>
      </c>
      <c r="CNR16">
        <f t="shared" si="1743"/>
        <v>0</v>
      </c>
      <c r="CNS16">
        <f t="shared" si="1744"/>
        <v>0</v>
      </c>
      <c r="CNT16">
        <f t="shared" si="1745"/>
        <v>0</v>
      </c>
      <c r="CNU16">
        <f t="shared" si="1746"/>
        <v>0</v>
      </c>
      <c r="CNV16">
        <f t="shared" si="1747"/>
        <v>0</v>
      </c>
      <c r="CNW16">
        <f t="shared" si="1748"/>
        <v>0</v>
      </c>
      <c r="CNX16">
        <f t="shared" si="1749"/>
        <v>0</v>
      </c>
      <c r="CNY16">
        <f t="shared" si="1750"/>
        <v>0</v>
      </c>
      <c r="CNZ16">
        <f t="shared" si="1751"/>
        <v>0</v>
      </c>
      <c r="COA16">
        <f t="shared" si="1752"/>
        <v>0</v>
      </c>
      <c r="COB16">
        <f t="shared" si="1753"/>
        <v>0</v>
      </c>
      <c r="COC16">
        <f t="shared" si="1754"/>
        <v>0</v>
      </c>
      <c r="COD16">
        <f t="shared" si="1755"/>
        <v>0</v>
      </c>
      <c r="COE16">
        <f t="shared" si="1756"/>
        <v>0</v>
      </c>
      <c r="COF16">
        <f t="shared" si="1757"/>
        <v>0</v>
      </c>
      <c r="COG16">
        <f t="shared" si="1758"/>
        <v>0</v>
      </c>
      <c r="COH16">
        <f t="shared" si="1759"/>
        <v>0</v>
      </c>
      <c r="COI16">
        <f t="shared" si="1760"/>
        <v>0</v>
      </c>
      <c r="COJ16">
        <f t="shared" si="1761"/>
        <v>0</v>
      </c>
      <c r="COK16">
        <f t="shared" si="1762"/>
        <v>0</v>
      </c>
      <c r="COL16">
        <f t="shared" si="1763"/>
        <v>0</v>
      </c>
      <c r="COM16">
        <f t="shared" si="1764"/>
        <v>0</v>
      </c>
      <c r="CON16">
        <f t="shared" si="1765"/>
        <v>0</v>
      </c>
      <c r="COO16">
        <f t="shared" si="1766"/>
        <v>0</v>
      </c>
      <c r="COP16">
        <f t="shared" si="60"/>
        <v>0</v>
      </c>
      <c r="COQ16">
        <f t="shared" si="1767"/>
        <v>0</v>
      </c>
      <c r="COR16">
        <f t="shared" si="1768"/>
        <v>0</v>
      </c>
      <c r="COS16">
        <f t="shared" si="1769"/>
        <v>0</v>
      </c>
      <c r="COT16">
        <f t="shared" si="1770"/>
        <v>0</v>
      </c>
      <c r="COU16">
        <f t="shared" si="1771"/>
        <v>0</v>
      </c>
      <c r="COV16">
        <f t="shared" si="1772"/>
        <v>0</v>
      </c>
      <c r="COW16">
        <f t="shared" si="1773"/>
        <v>0</v>
      </c>
      <c r="COX16">
        <f t="shared" si="1774"/>
        <v>0</v>
      </c>
      <c r="COY16">
        <f t="shared" si="1775"/>
        <v>0</v>
      </c>
      <c r="COZ16">
        <f t="shared" si="1776"/>
        <v>0</v>
      </c>
      <c r="CPA16">
        <f t="shared" si="1777"/>
        <v>0</v>
      </c>
      <c r="CPB16">
        <f t="shared" si="1778"/>
        <v>0</v>
      </c>
      <c r="CPC16">
        <f t="shared" si="1779"/>
        <v>0</v>
      </c>
      <c r="CPD16">
        <f t="shared" si="1780"/>
        <v>0</v>
      </c>
      <c r="CPE16">
        <f t="shared" si="1781"/>
        <v>0</v>
      </c>
      <c r="CPF16">
        <f t="shared" si="1782"/>
        <v>0</v>
      </c>
      <c r="CPG16">
        <f t="shared" si="1783"/>
        <v>0</v>
      </c>
      <c r="CPH16">
        <f t="shared" si="1784"/>
        <v>0</v>
      </c>
      <c r="CPI16">
        <f t="shared" si="1785"/>
        <v>0</v>
      </c>
      <c r="CPJ16">
        <f t="shared" si="1786"/>
        <v>0</v>
      </c>
      <c r="CPK16">
        <f t="shared" si="1787"/>
        <v>0</v>
      </c>
      <c r="CPL16">
        <f t="shared" si="1788"/>
        <v>0</v>
      </c>
      <c r="CPM16">
        <f t="shared" si="1789"/>
        <v>0</v>
      </c>
      <c r="CPN16">
        <f t="shared" si="1790"/>
        <v>0</v>
      </c>
      <c r="CPO16">
        <f t="shared" si="1791"/>
        <v>0</v>
      </c>
      <c r="CPP16">
        <f t="shared" si="1792"/>
        <v>0</v>
      </c>
      <c r="CPQ16">
        <f t="shared" si="1793"/>
        <v>0</v>
      </c>
      <c r="CPR16">
        <f t="shared" si="1794"/>
        <v>0</v>
      </c>
      <c r="CPS16">
        <f t="shared" si="1795"/>
        <v>0</v>
      </c>
      <c r="CPT16">
        <f t="shared" si="1796"/>
        <v>0</v>
      </c>
      <c r="CPU16">
        <f t="shared" si="1797"/>
        <v>0</v>
      </c>
      <c r="CPV16">
        <f t="shared" si="1798"/>
        <v>0</v>
      </c>
      <c r="CPW16">
        <f t="shared" si="1799"/>
        <v>0</v>
      </c>
      <c r="CPX16">
        <f t="shared" si="1800"/>
        <v>0</v>
      </c>
      <c r="CPY16">
        <f t="shared" si="1801"/>
        <v>0</v>
      </c>
      <c r="CPZ16">
        <f t="shared" si="1802"/>
        <v>0</v>
      </c>
      <c r="CQA16">
        <f t="shared" si="1803"/>
        <v>0</v>
      </c>
      <c r="CQB16">
        <f t="shared" si="1804"/>
        <v>0</v>
      </c>
      <c r="CQC16">
        <f t="shared" si="1805"/>
        <v>0</v>
      </c>
      <c r="CQD16">
        <f t="shared" si="1806"/>
        <v>0</v>
      </c>
      <c r="CQE16">
        <f t="shared" si="1807"/>
        <v>0</v>
      </c>
      <c r="CQF16">
        <f t="shared" si="1808"/>
        <v>0</v>
      </c>
      <c r="CQG16">
        <f t="shared" si="1809"/>
        <v>0</v>
      </c>
      <c r="CQH16">
        <f t="shared" si="1810"/>
        <v>0</v>
      </c>
      <c r="CQI16">
        <f t="shared" si="1811"/>
        <v>0</v>
      </c>
      <c r="CQJ16">
        <f t="shared" si="1812"/>
        <v>0</v>
      </c>
      <c r="CQK16">
        <f t="shared" si="1813"/>
        <v>0</v>
      </c>
      <c r="CQL16">
        <f t="shared" si="1814"/>
        <v>0</v>
      </c>
      <c r="CQM16">
        <f t="shared" si="1815"/>
        <v>0</v>
      </c>
      <c r="CQN16">
        <f t="shared" si="1816"/>
        <v>0</v>
      </c>
      <c r="CQO16">
        <f t="shared" si="1817"/>
        <v>0</v>
      </c>
      <c r="CQP16">
        <f t="shared" si="1818"/>
        <v>0</v>
      </c>
      <c r="CQQ16">
        <f t="shared" si="1819"/>
        <v>0</v>
      </c>
      <c r="CQR16">
        <f t="shared" si="1820"/>
        <v>0</v>
      </c>
      <c r="CQS16">
        <f t="shared" si="1821"/>
        <v>0</v>
      </c>
      <c r="CQT16">
        <f t="shared" si="1822"/>
        <v>0</v>
      </c>
      <c r="CQU16">
        <f t="shared" si="1823"/>
        <v>0</v>
      </c>
      <c r="CQV16">
        <f t="shared" si="1824"/>
        <v>0</v>
      </c>
      <c r="CQW16">
        <f t="shared" si="1825"/>
        <v>0</v>
      </c>
      <c r="CQX16">
        <f t="shared" si="1826"/>
        <v>0</v>
      </c>
      <c r="CQY16">
        <f t="shared" si="1827"/>
        <v>0</v>
      </c>
      <c r="CQZ16">
        <f t="shared" si="1828"/>
        <v>0</v>
      </c>
      <c r="CRA16">
        <f t="shared" si="1829"/>
        <v>0</v>
      </c>
      <c r="CRB16">
        <f t="shared" si="61"/>
        <v>0</v>
      </c>
      <c r="CRC16">
        <f t="shared" si="1830"/>
        <v>0</v>
      </c>
      <c r="CRD16">
        <f t="shared" si="1831"/>
        <v>0</v>
      </c>
      <c r="CRE16">
        <f t="shared" si="1832"/>
        <v>0</v>
      </c>
      <c r="CRF16">
        <f t="shared" si="1833"/>
        <v>0</v>
      </c>
      <c r="CRG16">
        <f t="shared" si="1834"/>
        <v>0</v>
      </c>
      <c r="CRH16">
        <f t="shared" si="1835"/>
        <v>0</v>
      </c>
      <c r="CRI16">
        <f t="shared" si="1836"/>
        <v>0</v>
      </c>
      <c r="CRJ16">
        <f t="shared" si="1837"/>
        <v>0</v>
      </c>
      <c r="CRK16">
        <f t="shared" si="1838"/>
        <v>0</v>
      </c>
      <c r="CRL16">
        <f t="shared" si="1839"/>
        <v>0</v>
      </c>
      <c r="CRM16">
        <f t="shared" si="1840"/>
        <v>0</v>
      </c>
      <c r="CRN16">
        <f t="shared" si="1841"/>
        <v>0</v>
      </c>
      <c r="CRO16">
        <f t="shared" si="1842"/>
        <v>0</v>
      </c>
      <c r="CRP16">
        <f t="shared" si="1843"/>
        <v>0</v>
      </c>
      <c r="CRQ16">
        <f t="shared" si="1844"/>
        <v>0</v>
      </c>
      <c r="CRR16">
        <f t="shared" si="1845"/>
        <v>0</v>
      </c>
      <c r="CRS16">
        <f t="shared" si="1846"/>
        <v>0</v>
      </c>
      <c r="CRT16">
        <f t="shared" si="1847"/>
        <v>0</v>
      </c>
      <c r="CRU16">
        <f t="shared" si="1848"/>
        <v>0</v>
      </c>
      <c r="CRV16">
        <f t="shared" si="1849"/>
        <v>0</v>
      </c>
      <c r="CRW16">
        <f t="shared" si="1850"/>
        <v>0</v>
      </c>
      <c r="CRX16">
        <f t="shared" si="1851"/>
        <v>0</v>
      </c>
      <c r="CRY16">
        <f t="shared" si="1852"/>
        <v>0</v>
      </c>
      <c r="CRZ16">
        <f t="shared" si="1853"/>
        <v>0</v>
      </c>
      <c r="CSA16">
        <f t="shared" si="1854"/>
        <v>0</v>
      </c>
      <c r="CSB16">
        <f t="shared" si="1855"/>
        <v>0</v>
      </c>
      <c r="CSC16">
        <f t="shared" si="1856"/>
        <v>0</v>
      </c>
      <c r="CSD16">
        <f t="shared" si="1857"/>
        <v>0</v>
      </c>
      <c r="CSE16">
        <f t="shared" si="1858"/>
        <v>0</v>
      </c>
      <c r="CSF16">
        <f t="shared" si="1859"/>
        <v>0</v>
      </c>
      <c r="CSG16">
        <f t="shared" si="1860"/>
        <v>0</v>
      </c>
      <c r="CSH16">
        <f t="shared" si="1861"/>
        <v>0</v>
      </c>
      <c r="CSI16">
        <f t="shared" si="1862"/>
        <v>0</v>
      </c>
      <c r="CSJ16">
        <f t="shared" si="1863"/>
        <v>0</v>
      </c>
      <c r="CSK16">
        <f t="shared" si="1864"/>
        <v>0</v>
      </c>
      <c r="CSL16">
        <f t="shared" si="1865"/>
        <v>0</v>
      </c>
      <c r="CSM16">
        <f t="shared" si="1866"/>
        <v>0</v>
      </c>
      <c r="CSN16">
        <f t="shared" si="1867"/>
        <v>0</v>
      </c>
      <c r="CSO16">
        <f t="shared" si="1868"/>
        <v>0</v>
      </c>
      <c r="CSP16">
        <f t="shared" si="1869"/>
        <v>0</v>
      </c>
      <c r="CSQ16">
        <f t="shared" si="1870"/>
        <v>0</v>
      </c>
      <c r="CSR16">
        <f t="shared" si="1871"/>
        <v>0</v>
      </c>
      <c r="CSS16">
        <f t="shared" si="1872"/>
        <v>0</v>
      </c>
      <c r="CST16">
        <f t="shared" si="1873"/>
        <v>0</v>
      </c>
      <c r="CSU16">
        <f t="shared" si="1874"/>
        <v>0</v>
      </c>
      <c r="CSV16">
        <f t="shared" si="1875"/>
        <v>0</v>
      </c>
      <c r="CSW16">
        <f t="shared" si="1876"/>
        <v>0</v>
      </c>
      <c r="CSX16">
        <f t="shared" si="1877"/>
        <v>0</v>
      </c>
      <c r="CSY16">
        <f t="shared" si="1878"/>
        <v>0</v>
      </c>
      <c r="CSZ16">
        <f t="shared" si="1879"/>
        <v>0</v>
      </c>
      <c r="CTA16">
        <f t="shared" si="1880"/>
        <v>0</v>
      </c>
      <c r="CTB16">
        <f t="shared" si="1881"/>
        <v>0</v>
      </c>
      <c r="CTC16">
        <f t="shared" si="1882"/>
        <v>0</v>
      </c>
      <c r="CTD16">
        <f t="shared" si="1883"/>
        <v>0</v>
      </c>
      <c r="CTE16">
        <f t="shared" si="1884"/>
        <v>0</v>
      </c>
      <c r="CTF16">
        <f t="shared" si="1885"/>
        <v>0</v>
      </c>
      <c r="CTG16">
        <f t="shared" si="1886"/>
        <v>0</v>
      </c>
      <c r="CTH16">
        <f t="shared" si="1887"/>
        <v>0</v>
      </c>
      <c r="CTI16">
        <f t="shared" si="1888"/>
        <v>0</v>
      </c>
      <c r="CTJ16">
        <f t="shared" si="1889"/>
        <v>0</v>
      </c>
      <c r="CTK16">
        <f t="shared" si="1890"/>
        <v>0</v>
      </c>
      <c r="CTL16">
        <f t="shared" si="1891"/>
        <v>0</v>
      </c>
      <c r="CTM16">
        <f t="shared" si="1892"/>
        <v>0</v>
      </c>
      <c r="CTN16">
        <f t="shared" si="62"/>
        <v>0</v>
      </c>
      <c r="CTO16">
        <f t="shared" si="1893"/>
        <v>0</v>
      </c>
      <c r="CTP16">
        <f t="shared" si="1894"/>
        <v>0</v>
      </c>
      <c r="CTQ16">
        <f t="shared" si="1895"/>
        <v>0</v>
      </c>
      <c r="CTR16">
        <f t="shared" si="1896"/>
        <v>0</v>
      </c>
      <c r="CTS16">
        <f t="shared" si="1897"/>
        <v>0</v>
      </c>
      <c r="CTT16">
        <f t="shared" si="1898"/>
        <v>0</v>
      </c>
      <c r="CTU16">
        <f t="shared" si="1899"/>
        <v>0</v>
      </c>
      <c r="CTV16">
        <f t="shared" si="1900"/>
        <v>0</v>
      </c>
      <c r="CTW16">
        <f t="shared" si="1901"/>
        <v>0</v>
      </c>
      <c r="CTX16">
        <f t="shared" si="1902"/>
        <v>0</v>
      </c>
      <c r="CTY16">
        <f t="shared" si="1903"/>
        <v>0</v>
      </c>
      <c r="CTZ16">
        <f t="shared" si="1904"/>
        <v>0</v>
      </c>
      <c r="CUA16">
        <f t="shared" si="1905"/>
        <v>0</v>
      </c>
      <c r="CUB16">
        <f t="shared" si="1906"/>
        <v>0</v>
      </c>
      <c r="CUC16">
        <f t="shared" si="1907"/>
        <v>0</v>
      </c>
      <c r="CUD16">
        <f t="shared" si="1908"/>
        <v>0</v>
      </c>
      <c r="CUE16">
        <f t="shared" si="1909"/>
        <v>0</v>
      </c>
      <c r="CUF16">
        <f t="shared" si="1910"/>
        <v>0</v>
      </c>
      <c r="CUG16">
        <f t="shared" si="1911"/>
        <v>0</v>
      </c>
      <c r="CUH16">
        <f t="shared" si="1912"/>
        <v>0</v>
      </c>
      <c r="CUI16">
        <f t="shared" si="1913"/>
        <v>0</v>
      </c>
      <c r="CUJ16">
        <f t="shared" si="1914"/>
        <v>0</v>
      </c>
      <c r="CUK16">
        <f t="shared" si="1915"/>
        <v>0</v>
      </c>
      <c r="CUL16">
        <f t="shared" si="1916"/>
        <v>0</v>
      </c>
      <c r="CUM16">
        <f t="shared" si="1917"/>
        <v>0</v>
      </c>
      <c r="CUN16">
        <f t="shared" si="1918"/>
        <v>0</v>
      </c>
      <c r="CUO16">
        <f t="shared" si="1919"/>
        <v>0</v>
      </c>
      <c r="CUP16">
        <f t="shared" si="1920"/>
        <v>0</v>
      </c>
      <c r="CUQ16">
        <f t="shared" si="1921"/>
        <v>0</v>
      </c>
      <c r="CUR16">
        <f t="shared" si="1922"/>
        <v>0</v>
      </c>
      <c r="CUS16">
        <f t="shared" si="1923"/>
        <v>0</v>
      </c>
      <c r="CUT16">
        <f t="shared" si="1924"/>
        <v>0</v>
      </c>
      <c r="CUU16">
        <f t="shared" si="1925"/>
        <v>0</v>
      </c>
      <c r="CUV16">
        <f t="shared" si="1926"/>
        <v>0</v>
      </c>
      <c r="CUW16">
        <f t="shared" si="1927"/>
        <v>0</v>
      </c>
      <c r="CUX16">
        <f t="shared" si="1928"/>
        <v>0</v>
      </c>
      <c r="CUY16">
        <f t="shared" si="1929"/>
        <v>0</v>
      </c>
      <c r="CUZ16">
        <f t="shared" si="1930"/>
        <v>0</v>
      </c>
      <c r="CVA16">
        <f t="shared" si="1931"/>
        <v>0</v>
      </c>
      <c r="CVB16">
        <f t="shared" si="1932"/>
        <v>0</v>
      </c>
      <c r="CVC16">
        <f t="shared" si="1933"/>
        <v>0</v>
      </c>
      <c r="CVD16">
        <f t="shared" si="1934"/>
        <v>0</v>
      </c>
      <c r="CVE16">
        <f t="shared" si="1935"/>
        <v>0</v>
      </c>
      <c r="CVF16">
        <f t="shared" si="1936"/>
        <v>0</v>
      </c>
      <c r="CVG16">
        <f t="shared" si="1937"/>
        <v>0</v>
      </c>
      <c r="CVH16">
        <f t="shared" si="1938"/>
        <v>0</v>
      </c>
      <c r="CVI16">
        <f t="shared" si="1939"/>
        <v>0</v>
      </c>
      <c r="CVJ16">
        <f t="shared" si="1940"/>
        <v>0</v>
      </c>
      <c r="CVK16">
        <f t="shared" si="1941"/>
        <v>0</v>
      </c>
      <c r="CVL16">
        <f t="shared" si="1942"/>
        <v>0</v>
      </c>
      <c r="CVM16">
        <f t="shared" si="1943"/>
        <v>0</v>
      </c>
      <c r="CVN16">
        <f t="shared" si="1944"/>
        <v>0</v>
      </c>
      <c r="CVO16">
        <f t="shared" si="1945"/>
        <v>0</v>
      </c>
      <c r="CVP16">
        <f t="shared" si="1946"/>
        <v>0</v>
      </c>
      <c r="CVQ16">
        <f t="shared" si="1947"/>
        <v>0</v>
      </c>
      <c r="CVR16">
        <f t="shared" si="1948"/>
        <v>0</v>
      </c>
      <c r="CVS16">
        <f t="shared" si="1949"/>
        <v>0</v>
      </c>
      <c r="CVT16">
        <f t="shared" si="1950"/>
        <v>0</v>
      </c>
      <c r="CVU16">
        <f t="shared" si="1951"/>
        <v>0</v>
      </c>
      <c r="CVV16">
        <f t="shared" si="1952"/>
        <v>0</v>
      </c>
      <c r="CVW16">
        <f t="shared" si="1953"/>
        <v>0</v>
      </c>
      <c r="CVX16">
        <f t="shared" si="1954"/>
        <v>0</v>
      </c>
      <c r="CVY16">
        <f t="shared" si="1955"/>
        <v>0</v>
      </c>
      <c r="CVZ16">
        <f t="shared" si="63"/>
        <v>0</v>
      </c>
      <c r="CWA16">
        <f t="shared" si="1956"/>
        <v>0</v>
      </c>
      <c r="CWB16">
        <f t="shared" si="1957"/>
        <v>0</v>
      </c>
      <c r="CWC16">
        <f t="shared" si="1958"/>
        <v>0</v>
      </c>
      <c r="CWD16">
        <f t="shared" si="1959"/>
        <v>0</v>
      </c>
      <c r="CWE16">
        <f t="shared" si="1960"/>
        <v>0</v>
      </c>
      <c r="CWF16">
        <f t="shared" si="1961"/>
        <v>0</v>
      </c>
      <c r="CWG16">
        <f t="shared" si="1962"/>
        <v>0</v>
      </c>
      <c r="CWH16">
        <f t="shared" si="1963"/>
        <v>0</v>
      </c>
      <c r="CWI16">
        <f t="shared" si="1964"/>
        <v>0</v>
      </c>
      <c r="CWJ16">
        <f t="shared" si="1965"/>
        <v>0</v>
      </c>
      <c r="CWK16">
        <f t="shared" si="1966"/>
        <v>0</v>
      </c>
      <c r="CWL16">
        <f t="shared" si="1967"/>
        <v>0</v>
      </c>
      <c r="CWM16">
        <f t="shared" si="1968"/>
        <v>0</v>
      </c>
      <c r="CWN16">
        <f t="shared" si="1969"/>
        <v>0</v>
      </c>
      <c r="CWO16">
        <f t="shared" si="1970"/>
        <v>0</v>
      </c>
      <c r="CWP16">
        <f t="shared" si="1971"/>
        <v>0</v>
      </c>
      <c r="CWQ16">
        <f t="shared" si="1972"/>
        <v>0</v>
      </c>
      <c r="CWR16">
        <f t="shared" si="1973"/>
        <v>0</v>
      </c>
      <c r="CWS16">
        <f t="shared" si="1974"/>
        <v>0</v>
      </c>
      <c r="CWT16">
        <f t="shared" si="1975"/>
        <v>0</v>
      </c>
      <c r="CWU16">
        <f t="shared" si="1976"/>
        <v>0</v>
      </c>
      <c r="CWV16">
        <f t="shared" si="1977"/>
        <v>0</v>
      </c>
      <c r="CWW16">
        <f t="shared" si="1978"/>
        <v>0</v>
      </c>
      <c r="CWX16">
        <f t="shared" si="1979"/>
        <v>0</v>
      </c>
      <c r="CWY16">
        <f t="shared" si="1980"/>
        <v>0</v>
      </c>
      <c r="CWZ16">
        <f t="shared" si="1981"/>
        <v>0</v>
      </c>
      <c r="CXA16">
        <f t="shared" si="1982"/>
        <v>0</v>
      </c>
      <c r="CXB16">
        <f t="shared" si="1983"/>
        <v>0</v>
      </c>
      <c r="CXC16">
        <f t="shared" si="1984"/>
        <v>0</v>
      </c>
      <c r="CXD16">
        <f t="shared" si="1985"/>
        <v>0</v>
      </c>
      <c r="CXE16">
        <f t="shared" si="1986"/>
        <v>0</v>
      </c>
      <c r="CXF16">
        <f t="shared" si="1987"/>
        <v>0</v>
      </c>
      <c r="CXG16">
        <f t="shared" si="1988"/>
        <v>0</v>
      </c>
      <c r="CXH16">
        <f t="shared" si="1989"/>
        <v>0</v>
      </c>
      <c r="CXI16">
        <f t="shared" si="1990"/>
        <v>0</v>
      </c>
      <c r="CXJ16">
        <f t="shared" si="1991"/>
        <v>0</v>
      </c>
      <c r="CXK16">
        <f t="shared" si="1992"/>
        <v>0</v>
      </c>
      <c r="CXL16">
        <f t="shared" si="1993"/>
        <v>0</v>
      </c>
      <c r="CXM16">
        <f t="shared" si="1994"/>
        <v>0</v>
      </c>
      <c r="CXN16">
        <f t="shared" si="1995"/>
        <v>0</v>
      </c>
      <c r="CXO16">
        <f t="shared" si="1996"/>
        <v>0</v>
      </c>
      <c r="CXP16">
        <f t="shared" si="1997"/>
        <v>0</v>
      </c>
      <c r="CXQ16">
        <f t="shared" si="1998"/>
        <v>0</v>
      </c>
      <c r="CXR16">
        <f t="shared" si="1999"/>
        <v>0</v>
      </c>
      <c r="CXS16">
        <f t="shared" si="2000"/>
        <v>0</v>
      </c>
      <c r="CXT16">
        <f t="shared" si="2001"/>
        <v>0</v>
      </c>
      <c r="CXU16">
        <f t="shared" si="2002"/>
        <v>0</v>
      </c>
      <c r="CXV16">
        <f t="shared" si="2003"/>
        <v>0</v>
      </c>
      <c r="CXW16">
        <f t="shared" si="2004"/>
        <v>0</v>
      </c>
      <c r="CXX16">
        <f t="shared" si="2005"/>
        <v>0</v>
      </c>
      <c r="CXY16">
        <f t="shared" si="2006"/>
        <v>0</v>
      </c>
      <c r="CXZ16">
        <f t="shared" si="2007"/>
        <v>0</v>
      </c>
      <c r="CYA16">
        <f t="shared" si="2008"/>
        <v>0</v>
      </c>
      <c r="CYB16">
        <f t="shared" si="2009"/>
        <v>0</v>
      </c>
      <c r="CYC16">
        <f t="shared" si="2010"/>
        <v>0</v>
      </c>
      <c r="CYD16">
        <f t="shared" si="2011"/>
        <v>0</v>
      </c>
      <c r="CYE16">
        <f t="shared" si="2012"/>
        <v>0</v>
      </c>
      <c r="CYF16">
        <f t="shared" si="2013"/>
        <v>0</v>
      </c>
      <c r="CYG16">
        <f t="shared" si="2014"/>
        <v>0</v>
      </c>
      <c r="CYH16">
        <f t="shared" si="2015"/>
        <v>0</v>
      </c>
      <c r="CYI16">
        <f t="shared" si="2016"/>
        <v>0</v>
      </c>
      <c r="CYJ16">
        <f t="shared" si="2017"/>
        <v>0</v>
      </c>
      <c r="CYK16">
        <f t="shared" si="2018"/>
        <v>0</v>
      </c>
      <c r="CYL16">
        <f t="shared" si="64"/>
        <v>0</v>
      </c>
      <c r="CYM16">
        <f t="shared" si="2019"/>
        <v>0</v>
      </c>
      <c r="CYN16">
        <f t="shared" si="2020"/>
        <v>0</v>
      </c>
      <c r="CYO16">
        <f t="shared" si="2021"/>
        <v>0</v>
      </c>
      <c r="CYP16">
        <f t="shared" si="2022"/>
        <v>0</v>
      </c>
      <c r="CYQ16">
        <f t="shared" si="2023"/>
        <v>0</v>
      </c>
      <c r="CYR16">
        <f t="shared" si="2024"/>
        <v>0</v>
      </c>
      <c r="CYS16">
        <f t="shared" si="2025"/>
        <v>0</v>
      </c>
      <c r="CYT16">
        <f t="shared" si="2026"/>
        <v>0</v>
      </c>
      <c r="CYU16">
        <f t="shared" si="2027"/>
        <v>0</v>
      </c>
      <c r="CYV16">
        <f t="shared" si="2028"/>
        <v>0</v>
      </c>
      <c r="CYW16">
        <f t="shared" si="2029"/>
        <v>0</v>
      </c>
      <c r="CYX16">
        <f t="shared" si="2030"/>
        <v>0</v>
      </c>
      <c r="CYY16">
        <f t="shared" si="2031"/>
        <v>0</v>
      </c>
      <c r="CYZ16">
        <f t="shared" si="2032"/>
        <v>0</v>
      </c>
      <c r="CZA16">
        <f t="shared" si="2033"/>
        <v>0</v>
      </c>
      <c r="CZB16">
        <f t="shared" si="2034"/>
        <v>0</v>
      </c>
      <c r="CZC16">
        <f t="shared" si="2035"/>
        <v>0</v>
      </c>
      <c r="CZD16">
        <f t="shared" si="2036"/>
        <v>0</v>
      </c>
      <c r="CZE16">
        <f t="shared" si="2037"/>
        <v>0</v>
      </c>
      <c r="CZF16">
        <f t="shared" si="2038"/>
        <v>0</v>
      </c>
      <c r="CZG16">
        <f t="shared" si="2039"/>
        <v>0</v>
      </c>
      <c r="CZH16">
        <f t="shared" si="2040"/>
        <v>0</v>
      </c>
      <c r="CZI16">
        <f t="shared" si="2041"/>
        <v>0</v>
      </c>
      <c r="CZJ16">
        <f t="shared" si="2042"/>
        <v>0</v>
      </c>
      <c r="CZK16">
        <f t="shared" si="2043"/>
        <v>0</v>
      </c>
      <c r="CZL16">
        <f t="shared" si="2044"/>
        <v>0</v>
      </c>
      <c r="CZM16">
        <f t="shared" si="2045"/>
        <v>0</v>
      </c>
      <c r="CZN16">
        <f t="shared" si="2046"/>
        <v>0</v>
      </c>
      <c r="CZO16">
        <f t="shared" si="2047"/>
        <v>0</v>
      </c>
      <c r="CZP16">
        <f t="shared" si="2048"/>
        <v>0</v>
      </c>
      <c r="CZQ16">
        <f t="shared" si="2049"/>
        <v>0</v>
      </c>
      <c r="CZR16">
        <f t="shared" si="2050"/>
        <v>0</v>
      </c>
      <c r="CZS16">
        <f t="shared" si="2051"/>
        <v>0</v>
      </c>
      <c r="CZT16">
        <f t="shared" si="2052"/>
        <v>0</v>
      </c>
      <c r="CZU16">
        <f t="shared" si="2053"/>
        <v>0</v>
      </c>
      <c r="CZV16">
        <f t="shared" si="2054"/>
        <v>0</v>
      </c>
      <c r="CZW16">
        <f t="shared" si="2055"/>
        <v>0</v>
      </c>
      <c r="CZX16">
        <f t="shared" si="2056"/>
        <v>0</v>
      </c>
      <c r="CZY16">
        <f t="shared" si="2057"/>
        <v>0</v>
      </c>
      <c r="CZZ16">
        <f t="shared" si="2058"/>
        <v>0</v>
      </c>
      <c r="DAA16">
        <f t="shared" si="2059"/>
        <v>0</v>
      </c>
      <c r="DAB16">
        <f t="shared" si="2060"/>
        <v>0</v>
      </c>
      <c r="DAC16">
        <f t="shared" si="2061"/>
        <v>0</v>
      </c>
      <c r="DAD16">
        <f t="shared" si="2062"/>
        <v>0</v>
      </c>
      <c r="DAE16">
        <f t="shared" si="2063"/>
        <v>0</v>
      </c>
      <c r="DAF16">
        <f t="shared" si="2064"/>
        <v>0</v>
      </c>
      <c r="DAG16">
        <f t="shared" si="2065"/>
        <v>0</v>
      </c>
      <c r="DAH16">
        <f t="shared" si="2066"/>
        <v>0</v>
      </c>
      <c r="DAI16">
        <f t="shared" si="2067"/>
        <v>0</v>
      </c>
      <c r="DAJ16">
        <f t="shared" si="2068"/>
        <v>0</v>
      </c>
      <c r="DAK16">
        <f t="shared" si="2069"/>
        <v>0</v>
      </c>
      <c r="DAL16">
        <f t="shared" si="2070"/>
        <v>0</v>
      </c>
      <c r="DAM16">
        <f t="shared" si="2071"/>
        <v>0</v>
      </c>
      <c r="DAN16">
        <f t="shared" si="2072"/>
        <v>0</v>
      </c>
      <c r="DAO16">
        <f t="shared" si="2073"/>
        <v>0</v>
      </c>
      <c r="DAP16">
        <f t="shared" si="2074"/>
        <v>0</v>
      </c>
      <c r="DAQ16">
        <f t="shared" si="2075"/>
        <v>0</v>
      </c>
      <c r="DAR16">
        <f t="shared" si="2076"/>
        <v>0</v>
      </c>
      <c r="DAS16">
        <f t="shared" si="2077"/>
        <v>0</v>
      </c>
      <c r="DAT16">
        <f t="shared" si="2078"/>
        <v>0</v>
      </c>
      <c r="DAU16">
        <f t="shared" si="2079"/>
        <v>0</v>
      </c>
      <c r="DAV16">
        <f t="shared" si="2080"/>
        <v>0</v>
      </c>
      <c r="DAW16">
        <f t="shared" si="2081"/>
        <v>0</v>
      </c>
      <c r="DAX16">
        <f t="shared" si="65"/>
        <v>0</v>
      </c>
      <c r="DAY16">
        <f t="shared" si="2142"/>
        <v>0</v>
      </c>
      <c r="DAZ16">
        <f t="shared" si="2143"/>
        <v>0</v>
      </c>
      <c r="DBA16">
        <f t="shared" si="2144"/>
        <v>0</v>
      </c>
      <c r="DBB16">
        <f t="shared" si="2082"/>
        <v>0</v>
      </c>
      <c r="DBC16">
        <f t="shared" si="2083"/>
        <v>0</v>
      </c>
      <c r="DBD16">
        <f t="shared" si="2084"/>
        <v>0</v>
      </c>
      <c r="DBE16">
        <f t="shared" si="2085"/>
        <v>0</v>
      </c>
      <c r="DBF16">
        <f t="shared" si="2086"/>
        <v>0</v>
      </c>
      <c r="DBG16">
        <f t="shared" si="2087"/>
        <v>0</v>
      </c>
      <c r="DBH16">
        <f t="shared" si="2088"/>
        <v>0</v>
      </c>
      <c r="DBI16">
        <f t="shared" si="2089"/>
        <v>0</v>
      </c>
      <c r="DBJ16">
        <f t="shared" si="2090"/>
        <v>0</v>
      </c>
      <c r="DBK16">
        <f t="shared" si="2091"/>
        <v>0</v>
      </c>
      <c r="DBL16">
        <f t="shared" si="2092"/>
        <v>0</v>
      </c>
      <c r="DBM16">
        <f t="shared" si="2093"/>
        <v>0</v>
      </c>
      <c r="DBN16">
        <f t="shared" si="2094"/>
        <v>0</v>
      </c>
      <c r="DBO16">
        <f t="shared" si="2095"/>
        <v>0</v>
      </c>
      <c r="DBP16">
        <f t="shared" si="2096"/>
        <v>0</v>
      </c>
      <c r="DBQ16">
        <f t="shared" si="2097"/>
        <v>0</v>
      </c>
      <c r="DBR16">
        <f t="shared" si="2098"/>
        <v>0</v>
      </c>
      <c r="DBS16">
        <f t="shared" si="2099"/>
        <v>0</v>
      </c>
      <c r="DBT16">
        <f t="shared" si="2100"/>
        <v>0</v>
      </c>
      <c r="DBU16">
        <f t="shared" si="2101"/>
        <v>0</v>
      </c>
      <c r="DBV16">
        <f t="shared" si="2102"/>
        <v>0</v>
      </c>
      <c r="DBW16">
        <f t="shared" si="2103"/>
        <v>0</v>
      </c>
      <c r="DBX16">
        <f t="shared" si="2104"/>
        <v>0</v>
      </c>
      <c r="DBY16">
        <f t="shared" si="2105"/>
        <v>0</v>
      </c>
      <c r="DBZ16">
        <f t="shared" si="2106"/>
        <v>0</v>
      </c>
      <c r="DCA16">
        <f t="shared" si="2107"/>
        <v>0</v>
      </c>
      <c r="DCB16">
        <f t="shared" si="2108"/>
        <v>0</v>
      </c>
      <c r="DCC16">
        <f t="shared" si="2109"/>
        <v>0</v>
      </c>
      <c r="DCD16">
        <f t="shared" si="2110"/>
        <v>0</v>
      </c>
      <c r="DCE16">
        <f t="shared" si="2111"/>
        <v>0</v>
      </c>
      <c r="DCF16">
        <f t="shared" si="2112"/>
        <v>0</v>
      </c>
      <c r="DCG16">
        <f t="shared" si="2113"/>
        <v>0</v>
      </c>
      <c r="DCH16">
        <f t="shared" si="2114"/>
        <v>0</v>
      </c>
      <c r="DCI16">
        <f t="shared" si="2115"/>
        <v>0</v>
      </c>
      <c r="DCJ16">
        <f t="shared" si="2116"/>
        <v>0</v>
      </c>
      <c r="DCK16">
        <f t="shared" si="2117"/>
        <v>0</v>
      </c>
      <c r="DCL16">
        <f t="shared" si="2118"/>
        <v>0</v>
      </c>
      <c r="DCM16">
        <f t="shared" si="2119"/>
        <v>0</v>
      </c>
      <c r="DCN16">
        <f t="shared" si="2120"/>
        <v>0</v>
      </c>
      <c r="DCO16">
        <f t="shared" si="2121"/>
        <v>0</v>
      </c>
      <c r="DCP16">
        <f t="shared" si="2122"/>
        <v>0</v>
      </c>
      <c r="DCQ16">
        <f t="shared" si="2123"/>
        <v>0</v>
      </c>
      <c r="DCR16">
        <f t="shared" si="2124"/>
        <v>0</v>
      </c>
      <c r="DCS16">
        <f t="shared" si="2125"/>
        <v>0</v>
      </c>
      <c r="DCT16">
        <f t="shared" si="2126"/>
        <v>0</v>
      </c>
      <c r="DCU16">
        <f t="shared" si="2127"/>
        <v>0</v>
      </c>
      <c r="DCV16">
        <f t="shared" si="2128"/>
        <v>0</v>
      </c>
      <c r="DCW16">
        <f t="shared" si="2129"/>
        <v>0</v>
      </c>
      <c r="DCX16">
        <f t="shared" si="2130"/>
        <v>0</v>
      </c>
      <c r="DCY16">
        <f t="shared" si="2131"/>
        <v>0</v>
      </c>
      <c r="DCZ16">
        <f t="shared" si="2132"/>
        <v>0</v>
      </c>
      <c r="DDA16">
        <f t="shared" si="2133"/>
        <v>0</v>
      </c>
      <c r="DDB16">
        <f t="shared" si="2134"/>
        <v>0</v>
      </c>
      <c r="DDC16">
        <f t="shared" si="2135"/>
        <v>0</v>
      </c>
      <c r="DDD16">
        <f t="shared" si="2136"/>
        <v>0</v>
      </c>
      <c r="DDE16">
        <f t="shared" si="2137"/>
        <v>0</v>
      </c>
      <c r="DDF16">
        <f t="shared" si="2138"/>
        <v>0</v>
      </c>
      <c r="DDG16">
        <f t="shared" si="2139"/>
        <v>0</v>
      </c>
      <c r="DDH16">
        <f t="shared" si="2140"/>
        <v>0</v>
      </c>
      <c r="DDI16">
        <f t="shared" si="2141"/>
        <v>0</v>
      </c>
    </row>
    <row r="17" spans="1:2817" x14ac:dyDescent="0.2">
      <c r="A17" s="1">
        <v>11</v>
      </c>
      <c r="B17">
        <f>'Demand Stage 2'!B16</f>
        <v>0</v>
      </c>
      <c r="C17">
        <f>'Demand Stage 2'!C16</f>
        <v>0</v>
      </c>
      <c r="D17">
        <f>'Demand Stage 2'!D16</f>
        <v>0</v>
      </c>
      <c r="E17">
        <f>'Demand Stage 2'!E16</f>
        <v>0</v>
      </c>
      <c r="F17">
        <f>'Demand Stage 2'!F16</f>
        <v>0</v>
      </c>
      <c r="G17">
        <f>'Demand Stage 2'!G16</f>
        <v>0</v>
      </c>
      <c r="H17">
        <f>'Demand Stage 2'!H16</f>
        <v>0</v>
      </c>
      <c r="I17">
        <f>'Demand Stage 2'!I16</f>
        <v>0</v>
      </c>
      <c r="J17">
        <f>'Demand Stage 2'!J16</f>
        <v>0</v>
      </c>
      <c r="K17">
        <f>'Demand Stage 2'!K16</f>
        <v>0</v>
      </c>
      <c r="L17">
        <f>'Demand Stage 2'!L16</f>
        <v>0</v>
      </c>
      <c r="M17">
        <f>'Demand Stage 2'!M16</f>
        <v>0</v>
      </c>
      <c r="N17">
        <f>'Demand Stage 2'!N16</f>
        <v>0</v>
      </c>
      <c r="O17">
        <f>'Demand Stage 2'!O16</f>
        <v>0</v>
      </c>
      <c r="P17">
        <f>'Demand Stage 2'!P16</f>
        <v>0</v>
      </c>
      <c r="Q17">
        <f>'Demand Stage 2'!Q16</f>
        <v>0</v>
      </c>
      <c r="R17">
        <f>'Demand Stage 2'!R16</f>
        <v>0</v>
      </c>
      <c r="S17">
        <f>'Demand Stage 2'!S16</f>
        <v>0</v>
      </c>
      <c r="T17">
        <f>'Demand Stage 2'!T16</f>
        <v>0</v>
      </c>
      <c r="U17">
        <f>'Demand Stage 2'!U16</f>
        <v>0</v>
      </c>
      <c r="V17">
        <f>'Demand Stage 2'!V16</f>
        <v>0</v>
      </c>
      <c r="W17">
        <f>'Demand Stage 2'!W16</f>
        <v>0</v>
      </c>
      <c r="X17">
        <f>'Demand Stage 2'!X16</f>
        <v>0</v>
      </c>
      <c r="Y17">
        <f>'Demand Stage 2'!Y16</f>
        <v>0</v>
      </c>
      <c r="Z17">
        <f>'Demand Stage 2'!Z16</f>
        <v>0</v>
      </c>
      <c r="AA17">
        <f>'Demand Stage 2'!AA16</f>
        <v>0</v>
      </c>
      <c r="AB17">
        <f>'Demand Stage 2'!AB16</f>
        <v>0</v>
      </c>
      <c r="AC17">
        <f>'Demand Stage 2'!AC16</f>
        <v>0</v>
      </c>
      <c r="AD17">
        <f>'Demand Stage 2'!AD16</f>
        <v>0</v>
      </c>
      <c r="AE17">
        <f>'Demand Stage 2'!AE16</f>
        <v>0</v>
      </c>
      <c r="AF17">
        <f>'Demand Stage 2'!AF16</f>
        <v>0</v>
      </c>
      <c r="AG17">
        <f>'Demand Stage 2'!AG16</f>
        <v>0</v>
      </c>
      <c r="AH17">
        <f>'Demand Stage 2'!AH16</f>
        <v>0</v>
      </c>
      <c r="AI17">
        <f>'Demand Stage 2'!AI16</f>
        <v>0</v>
      </c>
      <c r="AJ17">
        <f>'Demand Stage 2'!AJ16</f>
        <v>0</v>
      </c>
      <c r="AK17">
        <f>'Demand Stage 2'!AK16</f>
        <v>0</v>
      </c>
      <c r="AL17">
        <f>'Demand Stage 2'!AL16</f>
        <v>0</v>
      </c>
      <c r="AM17">
        <f>'Demand Stage 2'!AM16</f>
        <v>0</v>
      </c>
      <c r="AN17">
        <f>'Demand Stage 2'!AN16</f>
        <v>0</v>
      </c>
      <c r="AO17">
        <f>'Demand Stage 2'!AO16</f>
        <v>0</v>
      </c>
      <c r="AP17">
        <f>'Demand Stage 2'!AP16</f>
        <v>0</v>
      </c>
      <c r="AQ17">
        <f>'Demand Stage 2'!AQ16</f>
        <v>0</v>
      </c>
      <c r="AR17">
        <f>'Demand Stage 2'!AR16</f>
        <v>0</v>
      </c>
      <c r="AS17">
        <f>'Demand Stage 2'!AS16</f>
        <v>0</v>
      </c>
      <c r="AT17">
        <f>'Demand Stage 2'!AT16</f>
        <v>0</v>
      </c>
      <c r="AU17">
        <f>'Demand Stage 2'!AU16</f>
        <v>0</v>
      </c>
      <c r="AV17">
        <f>'Demand Stage 2'!AV16</f>
        <v>0</v>
      </c>
      <c r="AW17">
        <f>'Demand Stage 2'!AW16</f>
        <v>0</v>
      </c>
      <c r="AX17">
        <f>'Demand Stage 2'!AX16</f>
        <v>0</v>
      </c>
      <c r="AY17">
        <f>'Demand Stage 2'!AY16</f>
        <v>0</v>
      </c>
      <c r="AZ17">
        <f>'Demand Stage 2'!AZ16</f>
        <v>0</v>
      </c>
      <c r="BA17">
        <f>'Demand Stage 2'!BA16</f>
        <v>0</v>
      </c>
      <c r="BB17">
        <f>'Demand Stage 2'!BB16</f>
        <v>0</v>
      </c>
      <c r="BC17">
        <f>'Demand Stage 2'!BC16</f>
        <v>0</v>
      </c>
      <c r="BD17">
        <f>'Demand Stage 2'!BD16</f>
        <v>0</v>
      </c>
      <c r="BE17">
        <f>'Demand Stage 2'!BE16</f>
        <v>0</v>
      </c>
      <c r="BF17">
        <f>'Demand Stage 2'!BF16</f>
        <v>0</v>
      </c>
      <c r="BG17">
        <f>'Demand Stage 2'!BG16</f>
        <v>0</v>
      </c>
      <c r="BH17">
        <f>'Demand Stage 2'!BH16</f>
        <v>0</v>
      </c>
      <c r="BI17">
        <f>'Demand Stage 2'!BI16</f>
        <v>0</v>
      </c>
      <c r="BJ17">
        <f>'Demand Stage 2'!BJ16</f>
        <v>0</v>
      </c>
      <c r="BK17">
        <f>'Demand Stage 2'!BK16</f>
        <v>0</v>
      </c>
      <c r="BL17">
        <f>'Demand Stage 2'!BL16</f>
        <v>0</v>
      </c>
      <c r="BM17">
        <f>'Demand Stage 2'!BM16</f>
        <v>0</v>
      </c>
      <c r="BN17">
        <f>'Demand Stage 2'!BN16</f>
        <v>0</v>
      </c>
      <c r="BO17">
        <f>'Demand Stage 2'!BO16</f>
        <v>0</v>
      </c>
      <c r="BP17">
        <f>'Demand Stage 2'!BP16</f>
        <v>0</v>
      </c>
      <c r="BQ17">
        <f>'Demand Stage 2'!BQ16</f>
        <v>0</v>
      </c>
      <c r="BR17">
        <f>'Demand Stage 2'!BR16</f>
        <v>0</v>
      </c>
      <c r="BS17">
        <f>'Demand Stage 2'!BS16</f>
        <v>0</v>
      </c>
      <c r="BT17">
        <f>'Demand Stage 2'!BT16</f>
        <v>0</v>
      </c>
      <c r="BU17">
        <f>'Demand Stage 2'!BU16</f>
        <v>0</v>
      </c>
      <c r="BV17">
        <f>'Demand Stage 2'!BV16</f>
        <v>0</v>
      </c>
      <c r="BW17">
        <f>'Demand Stage 2'!BW16</f>
        <v>0</v>
      </c>
      <c r="BX17">
        <f>'Demand Stage 2'!BX16</f>
        <v>0</v>
      </c>
      <c r="BY17">
        <f>'Demand Stage 2'!BY16</f>
        <v>0</v>
      </c>
      <c r="BZ17">
        <f>'Demand Stage 2'!BZ16</f>
        <v>0</v>
      </c>
      <c r="CA17">
        <f>'Demand Stage 2'!CA16</f>
        <v>0</v>
      </c>
      <c r="CB17">
        <f>'Demand Stage 2'!CB16</f>
        <v>0</v>
      </c>
      <c r="CC17">
        <f>'Demand Stage 2'!CC16</f>
        <v>0</v>
      </c>
      <c r="CD17">
        <f>'Demand Stage 2'!CD16</f>
        <v>0</v>
      </c>
      <c r="CE17">
        <f>'Demand Stage 2'!CE16</f>
        <v>0</v>
      </c>
      <c r="CF17">
        <f>'Demand Stage 2'!CF16</f>
        <v>0</v>
      </c>
      <c r="CG17">
        <f>'Demand Stage 2'!CG16</f>
        <v>0</v>
      </c>
      <c r="CH17">
        <f>'Demand Stage 2'!CH16</f>
        <v>0</v>
      </c>
      <c r="CI17">
        <f>'Demand Stage 2'!CI16</f>
        <v>0</v>
      </c>
      <c r="CJ17">
        <f>'Demand Stage 2'!CJ16</f>
        <v>0</v>
      </c>
      <c r="CK17">
        <f>'Demand Stage 2'!CK16</f>
        <v>0</v>
      </c>
      <c r="CL17">
        <f>'Demand Stage 2'!CL16</f>
        <v>0</v>
      </c>
      <c r="CM17">
        <f>'Demand Stage 2'!CM16</f>
        <v>0</v>
      </c>
      <c r="CN17">
        <f>'Demand Stage 2'!CN16</f>
        <v>0</v>
      </c>
      <c r="CO17">
        <f>'Demand Stage 2'!CO16</f>
        <v>0</v>
      </c>
      <c r="CP17">
        <f>'Demand Stage 2'!CP16</f>
        <v>0</v>
      </c>
      <c r="CQ17">
        <f>'Demand Stage 2'!CQ16</f>
        <v>0</v>
      </c>
      <c r="CR17">
        <f>'Demand Stage 2'!CR16</f>
        <v>0</v>
      </c>
      <c r="CS17">
        <f>'Demand Stage 2'!CS16</f>
        <v>0</v>
      </c>
      <c r="CT17">
        <f>'Demand Stage 2'!CT16</f>
        <v>0</v>
      </c>
      <c r="CU17">
        <f>'Demand Stage 2'!CU16</f>
        <v>0</v>
      </c>
      <c r="CV17">
        <f>'Demand Stage 2'!CV16</f>
        <v>0</v>
      </c>
      <c r="CW17">
        <f>'Demand Stage 2'!CW16</f>
        <v>0</v>
      </c>
      <c r="CX17">
        <f>'Demand Stage 2'!CX16</f>
        <v>0</v>
      </c>
      <c r="CY17">
        <f>'Demand Stage 2'!CY16</f>
        <v>0</v>
      </c>
      <c r="CZ17">
        <f>'Demand Stage 2'!CZ16</f>
        <v>0</v>
      </c>
      <c r="DA17">
        <f>'Demand Stage 2'!DA16</f>
        <v>0</v>
      </c>
      <c r="DB17">
        <f>'Demand Stage 2'!DB16</f>
        <v>0</v>
      </c>
      <c r="DC17">
        <f>'Demand Stage 2'!DC16</f>
        <v>0</v>
      </c>
      <c r="DD17">
        <f>'Demand Stage 2'!DD16</f>
        <v>0</v>
      </c>
      <c r="DE17">
        <f>'Demand Stage 2'!DE16</f>
        <v>0</v>
      </c>
      <c r="DF17">
        <f>'Demand Stage 2'!DF16</f>
        <v>0</v>
      </c>
      <c r="DG17">
        <f>'Demand Stage 2'!DG16</f>
        <v>0</v>
      </c>
      <c r="DH17">
        <f>'Demand Stage 2'!DH16</f>
        <v>0</v>
      </c>
      <c r="DI17">
        <f>'Demand Stage 2'!DI16</f>
        <v>0</v>
      </c>
      <c r="DJ17">
        <f>'Demand Stage 2'!DJ16</f>
        <v>0</v>
      </c>
      <c r="DK17">
        <f>'Demand Stage 2'!DK16</f>
        <v>0</v>
      </c>
      <c r="DL17">
        <f>'Demand Stage 2'!DL16</f>
        <v>0</v>
      </c>
      <c r="DM17">
        <f>'Demand Stage 2'!DM16</f>
        <v>0</v>
      </c>
      <c r="DN17">
        <f>'Demand Stage 2'!DN16</f>
        <v>0</v>
      </c>
      <c r="DO17">
        <f>'Demand Stage 2'!DO16</f>
        <v>0</v>
      </c>
      <c r="DP17">
        <f>'Demand Stage 2'!DP16</f>
        <v>0</v>
      </c>
      <c r="DQ17">
        <f>'Demand Stage 2'!DQ16</f>
        <v>0</v>
      </c>
      <c r="DR17">
        <f>'Demand Stage 2'!DR16</f>
        <v>0</v>
      </c>
      <c r="DS17">
        <f>'Demand Stage 2'!DS16</f>
        <v>0</v>
      </c>
      <c r="DT17">
        <f>'Demand Stage 2'!DT16</f>
        <v>0</v>
      </c>
      <c r="DU17">
        <f>'Demand Stage 2'!DU16</f>
        <v>0</v>
      </c>
      <c r="DV17">
        <f>'Demand Stage 2'!DV16</f>
        <v>0</v>
      </c>
      <c r="DW17">
        <f>'Demand Stage 2'!DW16</f>
        <v>0</v>
      </c>
      <c r="DX17">
        <f>'Demand Stage 2'!DX16</f>
        <v>0</v>
      </c>
      <c r="DY17">
        <f>'Demand Stage 2'!DY16</f>
        <v>0</v>
      </c>
      <c r="DZ17">
        <f>'Demand Stage 2'!DZ16</f>
        <v>0</v>
      </c>
      <c r="EA17">
        <f>'Demand Stage 2'!EA16</f>
        <v>0</v>
      </c>
      <c r="EB17">
        <f>'Demand Stage 2'!EB16</f>
        <v>0</v>
      </c>
      <c r="EC17">
        <f>'Demand Stage 2'!EC16</f>
        <v>0</v>
      </c>
      <c r="ED17">
        <f>'Demand Stage 2'!ED16</f>
        <v>0</v>
      </c>
      <c r="EE17">
        <f>'Demand Stage 2'!EE16</f>
        <v>0</v>
      </c>
      <c r="EF17">
        <f>'Demand Stage 2'!EF16</f>
        <v>0</v>
      </c>
      <c r="EG17">
        <f>'Demand Stage 2'!EG16</f>
        <v>0</v>
      </c>
      <c r="EH17">
        <f>'Demand Stage 2'!EH16</f>
        <v>0</v>
      </c>
      <c r="EI17">
        <f>'Demand Stage 2'!EI16</f>
        <v>0</v>
      </c>
      <c r="EJ17">
        <f>'Demand Stage 2'!EJ16</f>
        <v>0</v>
      </c>
      <c r="EK17">
        <f>'Demand Stage 2'!EK16</f>
        <v>0</v>
      </c>
      <c r="EL17">
        <f>'Demand Stage 2'!EL16</f>
        <v>0</v>
      </c>
      <c r="EM17">
        <f>'Demand Stage 2'!EM16</f>
        <v>0</v>
      </c>
      <c r="EN17">
        <f>'Demand Stage 2'!EN16</f>
        <v>0</v>
      </c>
      <c r="EO17">
        <f>'Demand Stage 2'!EO16</f>
        <v>0</v>
      </c>
      <c r="EP17">
        <f>'Demand Stage 2'!EP16</f>
        <v>0</v>
      </c>
      <c r="EQ17">
        <f>'Demand Stage 2'!EQ16</f>
        <v>0</v>
      </c>
      <c r="ER17">
        <f>'Demand Stage 2'!ER16</f>
        <v>0</v>
      </c>
      <c r="ES17">
        <f>'Demand Stage 2'!ES16</f>
        <v>0</v>
      </c>
      <c r="ET17">
        <f>'Demand Stage 2'!ET16</f>
        <v>0</v>
      </c>
      <c r="EU17">
        <f>'Demand Stage 2'!EU16</f>
        <v>0</v>
      </c>
      <c r="EV17">
        <f>'Demand Stage 2'!EV16</f>
        <v>0</v>
      </c>
      <c r="EW17">
        <f>'Demand Stage 2'!EW16</f>
        <v>0</v>
      </c>
      <c r="EX17">
        <f>'Demand Stage 2'!EX16</f>
        <v>0</v>
      </c>
      <c r="EY17">
        <f>'Demand Stage 2'!EY16</f>
        <v>0</v>
      </c>
      <c r="EZ17">
        <f>'Demand Stage 2'!EZ16</f>
        <v>0</v>
      </c>
      <c r="FA17">
        <f>'Demand Stage 2'!FA16</f>
        <v>0</v>
      </c>
      <c r="FB17">
        <f>'Demand Stage 2'!FB16</f>
        <v>0</v>
      </c>
      <c r="FC17">
        <f>'Demand Stage 2'!FC16</f>
        <v>0</v>
      </c>
      <c r="FD17">
        <f>'Demand Stage 2'!FD16</f>
        <v>0</v>
      </c>
      <c r="FE17">
        <f>'Demand Stage 2'!FE16</f>
        <v>0</v>
      </c>
      <c r="FF17">
        <f>'Demand Stage 2'!FF16</f>
        <v>0</v>
      </c>
      <c r="FG17">
        <f>'Demand Stage 2'!FG16</f>
        <v>0</v>
      </c>
      <c r="FH17">
        <f>'Demand Stage 2'!FH16</f>
        <v>0</v>
      </c>
      <c r="FI17">
        <f>'Demand Stage 2'!FI16</f>
        <v>0</v>
      </c>
      <c r="FJ17">
        <f>'Demand Stage 2'!FJ16</f>
        <v>0</v>
      </c>
      <c r="FK17">
        <f>'Demand Stage 2'!FK16</f>
        <v>0</v>
      </c>
      <c r="FL17">
        <f>'Demand Stage 2'!FL16</f>
        <v>0</v>
      </c>
      <c r="FM17">
        <f>'Demand Stage 2'!FM16</f>
        <v>0</v>
      </c>
      <c r="FN17">
        <f>'Demand Stage 2'!FN16</f>
        <v>0</v>
      </c>
      <c r="FO17">
        <f>'Demand Stage 2'!FO16</f>
        <v>0</v>
      </c>
      <c r="FP17">
        <f>'Demand Stage 2'!FP16</f>
        <v>0</v>
      </c>
      <c r="FQ17">
        <f>'Demand Stage 2'!FQ16</f>
        <v>0</v>
      </c>
      <c r="FR17">
        <f>'Demand Stage 2'!FR16</f>
        <v>0</v>
      </c>
      <c r="FS17">
        <f>'Demand Stage 2'!FS16</f>
        <v>0</v>
      </c>
      <c r="FT17">
        <f>'Demand Stage 2'!FT16</f>
        <v>0</v>
      </c>
      <c r="FU17">
        <f>'Demand Stage 2'!FU16</f>
        <v>0</v>
      </c>
      <c r="FV17">
        <f>'Demand Stage 2'!FV16</f>
        <v>0</v>
      </c>
      <c r="FW17">
        <f>'Demand Stage 2'!FW16</f>
        <v>0</v>
      </c>
      <c r="FX17">
        <f>'Demand Stage 2'!FX16</f>
        <v>0</v>
      </c>
      <c r="FY17">
        <f>'Demand Stage 2'!FY16</f>
        <v>0</v>
      </c>
      <c r="FZ17">
        <f>'Demand Stage 2'!FZ16</f>
        <v>0</v>
      </c>
      <c r="GA17">
        <f>'Demand Stage 2'!GA16</f>
        <v>0</v>
      </c>
      <c r="GB17">
        <f>'Demand Stage 2'!GB16</f>
        <v>0</v>
      </c>
      <c r="GC17">
        <f>'Demand Stage 2'!GC16</f>
        <v>0</v>
      </c>
      <c r="GD17">
        <f>'Demand Stage 2'!GD16</f>
        <v>0</v>
      </c>
      <c r="GE17">
        <f>'Demand Stage 2'!GE16</f>
        <v>0</v>
      </c>
      <c r="GF17">
        <f>'Demand Stage 2'!GF16</f>
        <v>0</v>
      </c>
      <c r="GG17">
        <f>'Demand Stage 2'!GG16</f>
        <v>0</v>
      </c>
      <c r="GH17">
        <f>'Demand Stage 2'!GH16</f>
        <v>0</v>
      </c>
      <c r="GI17">
        <f>'Demand Stage 2'!GI16</f>
        <v>0</v>
      </c>
      <c r="GJ17">
        <f>'Demand Stage 2'!GJ16</f>
        <v>0</v>
      </c>
      <c r="GK17">
        <f>'Demand Stage 2'!GK16</f>
        <v>0</v>
      </c>
      <c r="GL17">
        <f>'Demand Stage 2'!GL16</f>
        <v>0</v>
      </c>
      <c r="GM17">
        <f>'Demand Stage 2'!GM16</f>
        <v>0</v>
      </c>
      <c r="GN17">
        <f>'Demand Stage 2'!GN16</f>
        <v>0</v>
      </c>
      <c r="GO17">
        <f>'Demand Stage 2'!GO16</f>
        <v>0</v>
      </c>
      <c r="GP17">
        <f>'Demand Stage 2'!GP16</f>
        <v>0</v>
      </c>
      <c r="GQ17">
        <f>'Demand Stage 2'!GQ16</f>
        <v>0</v>
      </c>
      <c r="GR17">
        <f>'Demand Stage 2'!GR16</f>
        <v>0</v>
      </c>
      <c r="GS17">
        <f>'Demand Stage 2'!GS16</f>
        <v>0</v>
      </c>
      <c r="GT17">
        <f>'Demand Stage 2'!GT16</f>
        <v>0</v>
      </c>
      <c r="GU17">
        <f>'Demand Stage 2'!GU16</f>
        <v>0</v>
      </c>
      <c r="GV17">
        <f>'Demand Stage 2'!GV16</f>
        <v>0</v>
      </c>
      <c r="GW17">
        <f>'Demand Stage 2'!GW16</f>
        <v>0</v>
      </c>
      <c r="GX17">
        <f>'Demand Stage 2'!GX16</f>
        <v>0</v>
      </c>
      <c r="GY17">
        <f>'Demand Stage 2'!GY16</f>
        <v>0</v>
      </c>
      <c r="GZ17">
        <f>'Demand Stage 2'!GZ16</f>
        <v>0</v>
      </c>
      <c r="HA17">
        <f>'Demand Stage 2'!HA16</f>
        <v>0</v>
      </c>
      <c r="HB17">
        <f>'Demand Stage 2'!HB16</f>
        <v>0</v>
      </c>
      <c r="HC17">
        <f>'Demand Stage 2'!HC16</f>
        <v>0</v>
      </c>
      <c r="HD17">
        <f>'Demand Stage 2'!HD16</f>
        <v>0</v>
      </c>
      <c r="HE17">
        <f>'Demand Stage 2'!HE16</f>
        <v>0</v>
      </c>
      <c r="HF17">
        <f>'Demand Stage 2'!HF16</f>
        <v>0</v>
      </c>
      <c r="HG17">
        <f>'Demand Stage 2'!HG16</f>
        <v>0</v>
      </c>
      <c r="HH17">
        <f>'Demand Stage 2'!HH16</f>
        <v>0</v>
      </c>
      <c r="HI17">
        <f>'Demand Stage 2'!HI16</f>
        <v>0</v>
      </c>
      <c r="HJ17">
        <f>'Demand Stage 2'!HJ16</f>
        <v>0</v>
      </c>
      <c r="HK17">
        <f>'Demand Stage 2'!HK16</f>
        <v>0</v>
      </c>
      <c r="HL17">
        <f>'Demand Stage 2'!HL16</f>
        <v>0</v>
      </c>
      <c r="HM17">
        <f>'Demand Stage 2'!HM16</f>
        <v>0</v>
      </c>
      <c r="HN17">
        <f>'Demand Stage 2'!HN16</f>
        <v>0</v>
      </c>
      <c r="HO17">
        <f>'Demand Stage 2'!HO16</f>
        <v>0</v>
      </c>
      <c r="HP17">
        <f>'Demand Stage 2'!HP16</f>
        <v>0</v>
      </c>
      <c r="HQ17">
        <f>'Demand Stage 2'!HQ16</f>
        <v>0</v>
      </c>
      <c r="HR17">
        <f>'Demand Stage 2'!HR16</f>
        <v>0</v>
      </c>
      <c r="HS17">
        <f>'Demand Stage 2'!HS16</f>
        <v>0</v>
      </c>
      <c r="HT17">
        <f>'Demand Stage 2'!HT16</f>
        <v>0</v>
      </c>
      <c r="HU17">
        <f>'Demand Stage 2'!HU16</f>
        <v>0</v>
      </c>
      <c r="HV17">
        <f>'Demand Stage 2'!HV16</f>
        <v>0</v>
      </c>
      <c r="HW17">
        <f>'Demand Stage 2'!HW16</f>
        <v>0</v>
      </c>
      <c r="HX17">
        <f>'Demand Stage 2'!HX16</f>
        <v>0</v>
      </c>
      <c r="HY17">
        <f>'Demand Stage 2'!HY16</f>
        <v>0</v>
      </c>
      <c r="HZ17">
        <f>'Demand Stage 2'!HZ16</f>
        <v>0</v>
      </c>
      <c r="IA17">
        <f>'Demand Stage 2'!IA16</f>
        <v>0</v>
      </c>
      <c r="IB17">
        <f>'Demand Stage 2'!IB16</f>
        <v>0</v>
      </c>
      <c r="IC17">
        <f>'Demand Stage 2'!IC16</f>
        <v>0</v>
      </c>
      <c r="ID17">
        <f>'Demand Stage 2'!ID16</f>
        <v>0</v>
      </c>
      <c r="IE17">
        <f>'Demand Stage 2'!IE16</f>
        <v>0</v>
      </c>
      <c r="IF17">
        <f>'Demand Stage 2'!IF16</f>
        <v>0</v>
      </c>
      <c r="IG17">
        <f>'Demand Stage 2'!IG16</f>
        <v>0</v>
      </c>
      <c r="IH17">
        <f>'Demand Stage 2'!IH16</f>
        <v>0</v>
      </c>
      <c r="II17">
        <f>'Demand Stage 2'!II16</f>
        <v>0</v>
      </c>
      <c r="IJ17">
        <f>'Demand Stage 2'!IJ16</f>
        <v>0</v>
      </c>
      <c r="IK17">
        <f>'Demand Stage 2'!IK16</f>
        <v>0</v>
      </c>
      <c r="IL17">
        <f>'Demand Stage 2'!IL16</f>
        <v>0</v>
      </c>
      <c r="IM17">
        <f>'Demand Stage 2'!IM16</f>
        <v>0</v>
      </c>
      <c r="IN17">
        <f>'Demand Stage 2'!IN16</f>
        <v>0</v>
      </c>
      <c r="IO17">
        <f>'Demand Stage 2'!IO16</f>
        <v>0</v>
      </c>
      <c r="IP17">
        <f>'Demand Stage 2'!IP16</f>
        <v>0</v>
      </c>
      <c r="IQ17">
        <f>'Demand Stage 2'!IQ16</f>
        <v>0</v>
      </c>
      <c r="IR17">
        <f>'Demand Stage 2'!IR16</f>
        <v>0</v>
      </c>
      <c r="IS17">
        <f>'Demand Stage 2'!IS16</f>
        <v>0</v>
      </c>
      <c r="IT17">
        <f>'Demand Stage 2'!IT16</f>
        <v>0</v>
      </c>
      <c r="IU17">
        <f>'Demand Stage 2'!IU16</f>
        <v>0</v>
      </c>
      <c r="IV17">
        <f>'Demand Stage 2'!IV16</f>
        <v>0</v>
      </c>
      <c r="IW17">
        <f>'Demand Stage 2'!IW16</f>
        <v>0</v>
      </c>
      <c r="IX17">
        <f>'Demand Stage 2'!IX16</f>
        <v>0</v>
      </c>
      <c r="IY17">
        <f>'Demand Stage 2'!IY16</f>
        <v>0</v>
      </c>
      <c r="IZ17">
        <f>'Demand Stage 2'!IZ16</f>
        <v>0</v>
      </c>
      <c r="JA17">
        <f>'Demand Stage 2'!JA16</f>
        <v>0</v>
      </c>
      <c r="JB17">
        <f>'Demand Stage 2'!JB16</f>
        <v>0</v>
      </c>
      <c r="JC17">
        <f>'Demand Stage 2'!JC16</f>
        <v>0</v>
      </c>
      <c r="JD17">
        <f>'Demand Stage 2'!JD16</f>
        <v>0</v>
      </c>
      <c r="JE17">
        <f>'Demand Stage 2'!JE16</f>
        <v>0</v>
      </c>
      <c r="JF17">
        <f>'Demand Stage 2'!JF16</f>
        <v>0</v>
      </c>
      <c r="JG17">
        <f>'Demand Stage 2'!JG16</f>
        <v>0</v>
      </c>
      <c r="JH17">
        <f>'Demand Stage 2'!JH16</f>
        <v>0</v>
      </c>
      <c r="JI17">
        <f>'Demand Stage 2'!JI16</f>
        <v>0</v>
      </c>
      <c r="JJ17">
        <f>'Demand Stage 2'!JJ16</f>
        <v>0</v>
      </c>
      <c r="JK17">
        <f>'Demand Stage 2'!JK16</f>
        <v>0</v>
      </c>
      <c r="JL17">
        <f>'Demand Stage 2'!JL16</f>
        <v>0</v>
      </c>
      <c r="JM17">
        <f>'Demand Stage 2'!JM16</f>
        <v>0</v>
      </c>
      <c r="JN17">
        <f>'Demand Stage 2'!JN16</f>
        <v>0</v>
      </c>
      <c r="JO17">
        <f>'Demand Stage 2'!JO16</f>
        <v>0</v>
      </c>
      <c r="JP17">
        <f>'Demand Stage 2'!JP16</f>
        <v>0</v>
      </c>
      <c r="JQ17">
        <f>'Demand Stage 2'!JQ16</f>
        <v>0</v>
      </c>
      <c r="JR17">
        <f>'Demand Stage 2'!JR16</f>
        <v>0</v>
      </c>
      <c r="JS17">
        <f>'Demand Stage 2'!JS16</f>
        <v>0</v>
      </c>
      <c r="JT17">
        <f>'Demand Stage 2'!JT16</f>
        <v>0</v>
      </c>
      <c r="JU17">
        <f>'Demand Stage 2'!JU16</f>
        <v>0</v>
      </c>
      <c r="JV17">
        <f>'Demand Stage 2'!JV16</f>
        <v>0</v>
      </c>
      <c r="JW17">
        <f>'Demand Stage 2'!JW16</f>
        <v>0</v>
      </c>
      <c r="JX17">
        <f>'Demand Stage 2'!JX16</f>
        <v>0</v>
      </c>
      <c r="JY17">
        <f>'Demand Stage 2'!JY16</f>
        <v>0</v>
      </c>
      <c r="JZ17">
        <f>'Demand Stage 2'!JZ16</f>
        <v>0</v>
      </c>
      <c r="KA17">
        <f>'Demand Stage 2'!KA16</f>
        <v>0</v>
      </c>
      <c r="KB17">
        <f>'Demand Stage 2'!KB16</f>
        <v>0</v>
      </c>
      <c r="KC17">
        <f>'Demand Stage 2'!KC16</f>
        <v>0</v>
      </c>
      <c r="KD17">
        <f>'Demand Stage 2'!KD16</f>
        <v>0</v>
      </c>
      <c r="KE17">
        <f>'Demand Stage 2'!KE16</f>
        <v>0</v>
      </c>
      <c r="KF17">
        <f>'Demand Stage 2'!KF16</f>
        <v>0</v>
      </c>
      <c r="KG17">
        <f>'Demand Stage 2'!KG16</f>
        <v>0</v>
      </c>
      <c r="KH17">
        <f>'Demand Stage 2'!KH16</f>
        <v>0</v>
      </c>
      <c r="KI17">
        <f>'Demand Stage 2'!KI16</f>
        <v>0</v>
      </c>
      <c r="KJ17">
        <f>'Demand Stage 2'!KJ16</f>
        <v>0</v>
      </c>
      <c r="KK17">
        <f>'Demand Stage 2'!KK16</f>
        <v>0</v>
      </c>
      <c r="KL17">
        <f>'Demand Stage 2'!KL16</f>
        <v>0</v>
      </c>
      <c r="KM17">
        <f>'Demand Stage 2'!KM16</f>
        <v>0</v>
      </c>
      <c r="KN17">
        <f>'Demand Stage 2'!KN16</f>
        <v>0</v>
      </c>
      <c r="KO17">
        <f>'Demand Stage 2'!KO16</f>
        <v>0</v>
      </c>
      <c r="KP17">
        <f>'Demand Stage 2'!KP16</f>
        <v>0</v>
      </c>
      <c r="KQ17">
        <f>'Demand Stage 2'!KQ16</f>
        <v>0</v>
      </c>
      <c r="KR17">
        <f>'Demand Stage 2'!KR16</f>
        <v>0</v>
      </c>
      <c r="KS17">
        <f>'Demand Stage 2'!KS16</f>
        <v>0</v>
      </c>
      <c r="KT17">
        <f>'Demand Stage 2'!KT16</f>
        <v>0</v>
      </c>
      <c r="KU17">
        <f>'Demand Stage 2'!KU16</f>
        <v>0</v>
      </c>
      <c r="KV17">
        <f>'Demand Stage 2'!KV16</f>
        <v>0</v>
      </c>
      <c r="KW17">
        <f>'Demand Stage 2'!KW16</f>
        <v>0</v>
      </c>
      <c r="KX17">
        <f>'Demand Stage 2'!KX16</f>
        <v>0</v>
      </c>
      <c r="KY17">
        <f>'Demand Stage 2'!KY16</f>
        <v>0</v>
      </c>
      <c r="KZ17">
        <f>'Demand Stage 2'!KZ16</f>
        <v>0</v>
      </c>
      <c r="LA17">
        <f>'Demand Stage 2'!LA16</f>
        <v>0</v>
      </c>
      <c r="LB17">
        <f>'Demand Stage 2'!LB16</f>
        <v>0</v>
      </c>
      <c r="LC17">
        <f>'Demand Stage 2'!LC16</f>
        <v>0</v>
      </c>
      <c r="LD17">
        <f>'Demand Stage 2'!LD16</f>
        <v>0</v>
      </c>
      <c r="LE17">
        <f>'Demand Stage 2'!LE16</f>
        <v>0</v>
      </c>
      <c r="LF17">
        <f>'Demand Stage 2'!LF16</f>
        <v>0</v>
      </c>
      <c r="LG17">
        <f>'Demand Stage 2'!LG16</f>
        <v>0</v>
      </c>
      <c r="LH17">
        <f>'Demand Stage 2'!LH16</f>
        <v>0</v>
      </c>
      <c r="LI17">
        <f>'Demand Stage 2'!LI16</f>
        <v>0</v>
      </c>
      <c r="LJ17">
        <f>'Demand Stage 2'!LJ16</f>
        <v>0</v>
      </c>
      <c r="LK17">
        <f>'Demand Stage 2'!LK16</f>
        <v>0</v>
      </c>
      <c r="LL17">
        <f>'Demand Stage 2'!LL16</f>
        <v>0</v>
      </c>
      <c r="LM17">
        <f>'Demand Stage 2'!LM16</f>
        <v>0</v>
      </c>
      <c r="LN17">
        <f>'Demand Stage 2'!LN16</f>
        <v>0</v>
      </c>
      <c r="LO17">
        <f>'Demand Stage 2'!LO16</f>
        <v>0</v>
      </c>
      <c r="LP17">
        <f>'Demand Stage 2'!LP16</f>
        <v>0</v>
      </c>
      <c r="LQ17">
        <f>'Demand Stage 2'!LQ16</f>
        <v>0</v>
      </c>
      <c r="LR17">
        <f>'Demand Stage 2'!LR16</f>
        <v>0</v>
      </c>
      <c r="LS17">
        <f>'Demand Stage 2'!LS16</f>
        <v>0</v>
      </c>
      <c r="LT17">
        <f>'Demand Stage 2'!LT16</f>
        <v>0</v>
      </c>
      <c r="LU17">
        <f>'Demand Stage 2'!LU16</f>
        <v>0</v>
      </c>
      <c r="LV17">
        <f>'Demand Stage 2'!LV16</f>
        <v>0</v>
      </c>
      <c r="LW17">
        <f>'Demand Stage 2'!LW16</f>
        <v>0</v>
      </c>
      <c r="LX17">
        <f>'Demand Stage 2'!LX16</f>
        <v>0</v>
      </c>
      <c r="LY17">
        <f>'Demand Stage 2'!LY16</f>
        <v>0</v>
      </c>
      <c r="LZ17">
        <f>'Demand Stage 2'!LZ16</f>
        <v>0</v>
      </c>
      <c r="MA17">
        <f>'Demand Stage 2'!MA16</f>
        <v>0</v>
      </c>
      <c r="MB17">
        <f>'Demand Stage 2'!MB16</f>
        <v>0</v>
      </c>
      <c r="MC17">
        <f>'Demand Stage 2'!MC16</f>
        <v>0</v>
      </c>
      <c r="MD17">
        <f>'Demand Stage 2'!MD16</f>
        <v>0</v>
      </c>
      <c r="ME17">
        <f>'Demand Stage 2'!ME16</f>
        <v>0</v>
      </c>
      <c r="MF17">
        <f>'Demand Stage 2'!MF16</f>
        <v>0</v>
      </c>
      <c r="MG17">
        <f>'Demand Stage 2'!MG16</f>
        <v>0</v>
      </c>
      <c r="MH17">
        <f>'Demand Stage 2'!MH16</f>
        <v>0</v>
      </c>
      <c r="MI17">
        <f>'Demand Stage 2'!MI16</f>
        <v>0</v>
      </c>
      <c r="MJ17">
        <f>'Demand Stage 2'!MJ16</f>
        <v>0</v>
      </c>
      <c r="MK17">
        <f>'Demand Stage 2'!MK16</f>
        <v>0</v>
      </c>
      <c r="ML17">
        <f>'Demand Stage 2'!ML16</f>
        <v>0</v>
      </c>
      <c r="MM17">
        <f>'Demand Stage 2'!MM16</f>
        <v>0</v>
      </c>
      <c r="MN17">
        <f>'Demand Stage 2'!MN16</f>
        <v>0</v>
      </c>
      <c r="MO17">
        <f>'Demand Stage 2'!MO16</f>
        <v>0</v>
      </c>
      <c r="MP17">
        <f>'Demand Stage 2'!MP16</f>
        <v>0</v>
      </c>
      <c r="MQ17">
        <f>'Demand Stage 2'!MQ16</f>
        <v>0</v>
      </c>
      <c r="MR17">
        <f>'Demand Stage 2'!MR16</f>
        <v>0</v>
      </c>
      <c r="MS17">
        <f>'Demand Stage 2'!MS16</f>
        <v>0</v>
      </c>
      <c r="MT17">
        <f>'Demand Stage 2'!MT16</f>
        <v>0</v>
      </c>
      <c r="MU17">
        <f>'Demand Stage 2'!MU16</f>
        <v>0</v>
      </c>
      <c r="MV17">
        <f>'Demand Stage 2'!MV16</f>
        <v>0</v>
      </c>
      <c r="MW17">
        <f>'Demand Stage 2'!MW16</f>
        <v>0</v>
      </c>
      <c r="MX17">
        <f>'Demand Stage 2'!MX16</f>
        <v>0</v>
      </c>
      <c r="MY17">
        <f>'Demand Stage 2'!MY16</f>
        <v>0</v>
      </c>
      <c r="MZ17">
        <f>'Demand Stage 2'!MZ16</f>
        <v>0</v>
      </c>
      <c r="NA17">
        <f>'Demand Stage 2'!NA16</f>
        <v>0</v>
      </c>
      <c r="NB17">
        <f>'Demand Stage 2'!NB16</f>
        <v>0</v>
      </c>
      <c r="NC17">
        <f>'Demand Stage 2'!NC16</f>
        <v>0</v>
      </c>
      <c r="ND17">
        <f>'Demand Stage 2'!ND16</f>
        <v>0</v>
      </c>
      <c r="NE17">
        <f>'Demand Stage 2'!NE16</f>
        <v>0</v>
      </c>
      <c r="NF17">
        <f>'Demand Stage 2'!NF16</f>
        <v>0</v>
      </c>
      <c r="NG17">
        <f>'Demand Stage 2'!NG16</f>
        <v>0</v>
      </c>
      <c r="NH17">
        <f>'Demand Stage 2'!NH16</f>
        <v>0</v>
      </c>
      <c r="NI17">
        <f>'Demand Stage 2'!NI16</f>
        <v>0</v>
      </c>
      <c r="NJ17">
        <f>'Demand Stage 2'!NJ16</f>
        <v>0</v>
      </c>
      <c r="NK17">
        <f>'Demand Stage 2'!NK16</f>
        <v>0</v>
      </c>
      <c r="NL17">
        <f>'Demand Stage 2'!NL16</f>
        <v>0</v>
      </c>
      <c r="NM17">
        <f>'Demand Stage 2'!NM16</f>
        <v>0</v>
      </c>
      <c r="NN17">
        <f>'Demand Stage 2'!NN16</f>
        <v>0</v>
      </c>
      <c r="NO17">
        <f>'Demand Stage 2'!NO16</f>
        <v>0</v>
      </c>
      <c r="NP17">
        <f>'Demand Stage 2'!NP16</f>
        <v>0</v>
      </c>
      <c r="NQ17">
        <f>'Demand Stage 2'!NQ16</f>
        <v>0</v>
      </c>
      <c r="NR17">
        <f>'Demand Stage 2'!NR16</f>
        <v>0</v>
      </c>
      <c r="NS17">
        <f>'Demand Stage 2'!NS16</f>
        <v>0</v>
      </c>
      <c r="NT17">
        <f>'Demand Stage 2'!NT16</f>
        <v>0</v>
      </c>
      <c r="NU17">
        <f>'Demand Stage 2'!NU16</f>
        <v>0</v>
      </c>
      <c r="NV17">
        <f>'Demand Stage 2'!NV16</f>
        <v>0</v>
      </c>
      <c r="NW17">
        <f>'Demand Stage 2'!NW16</f>
        <v>0</v>
      </c>
      <c r="NX17">
        <f>'Demand Stage 2'!NX16</f>
        <v>0</v>
      </c>
      <c r="NY17">
        <f>'Demand Stage 2'!NY16</f>
        <v>0</v>
      </c>
      <c r="NZ17">
        <f>'Demand Stage 2'!NZ16</f>
        <v>0</v>
      </c>
      <c r="OA17">
        <f>'Demand Stage 2'!OA16</f>
        <v>0</v>
      </c>
      <c r="OB17">
        <f>'Demand Stage 2'!OB16</f>
        <v>0</v>
      </c>
      <c r="OC17">
        <f>'Demand Stage 2'!OC16</f>
        <v>0</v>
      </c>
      <c r="OD17">
        <f>'Demand Stage 2'!OD16</f>
        <v>0</v>
      </c>
      <c r="OE17">
        <f>'Demand Stage 2'!OE16</f>
        <v>0</v>
      </c>
      <c r="OF17">
        <f>'Demand Stage 2'!OF16</f>
        <v>0</v>
      </c>
      <c r="OG17">
        <f>'Demand Stage 2'!OG16</f>
        <v>0</v>
      </c>
      <c r="OH17">
        <f>'Demand Stage 2'!OH16</f>
        <v>0</v>
      </c>
      <c r="OI17">
        <f>'Demand Stage 2'!OI16</f>
        <v>0</v>
      </c>
      <c r="OJ17">
        <f>'Demand Stage 2'!OJ16</f>
        <v>0</v>
      </c>
      <c r="OK17">
        <f>'Demand Stage 2'!OK16</f>
        <v>0</v>
      </c>
      <c r="OL17">
        <f>'Demand Stage 2'!OL16</f>
        <v>0</v>
      </c>
      <c r="OM17">
        <f>'Demand Stage 2'!OM16</f>
        <v>0</v>
      </c>
      <c r="ON17">
        <f>'Demand Stage 2'!ON16</f>
        <v>0</v>
      </c>
      <c r="OO17">
        <f>'Demand Stage 2'!OO16</f>
        <v>0</v>
      </c>
      <c r="OP17">
        <f>'Demand Stage 2'!OP16</f>
        <v>0</v>
      </c>
      <c r="OQ17">
        <f>'Demand Stage 2'!OQ16</f>
        <v>0</v>
      </c>
      <c r="OR17">
        <f>'Demand Stage 2'!OR16</f>
        <v>0</v>
      </c>
      <c r="OS17">
        <f>'Demand Stage 2'!OS16</f>
        <v>0</v>
      </c>
      <c r="OT17">
        <f>'Demand Stage 2'!OT16</f>
        <v>0</v>
      </c>
      <c r="OU17">
        <f>'Demand Stage 2'!OU16</f>
        <v>0</v>
      </c>
      <c r="OV17">
        <f>'Demand Stage 2'!OV16</f>
        <v>0</v>
      </c>
      <c r="OW17">
        <f>'Demand Stage 2'!OW16</f>
        <v>0</v>
      </c>
      <c r="OX17">
        <f>'Demand Stage 2'!OX16</f>
        <v>0</v>
      </c>
      <c r="OY17">
        <f>'Demand Stage 2'!OY16</f>
        <v>0</v>
      </c>
      <c r="OZ17">
        <f>'Demand Stage 2'!OZ16</f>
        <v>0</v>
      </c>
      <c r="PA17">
        <f>'Demand Stage 2'!PA16</f>
        <v>0</v>
      </c>
      <c r="PB17">
        <f>'Demand Stage 2'!PB16</f>
        <v>0</v>
      </c>
      <c r="PC17">
        <f>'Demand Stage 2'!PC16</f>
        <v>0</v>
      </c>
      <c r="PD17">
        <f>'Demand Stage 2'!PD16</f>
        <v>0</v>
      </c>
      <c r="PE17">
        <f>'Demand Stage 2'!PE16</f>
        <v>0</v>
      </c>
      <c r="PF17">
        <f>'Demand Stage 2'!PF16</f>
        <v>0</v>
      </c>
      <c r="PG17">
        <f>'Demand Stage 2'!PG16</f>
        <v>0</v>
      </c>
      <c r="PH17">
        <f>'Demand Stage 2'!PH16</f>
        <v>0</v>
      </c>
      <c r="PI17">
        <f>'Demand Stage 2'!PI16</f>
        <v>0</v>
      </c>
      <c r="PJ17">
        <f>'Demand Stage 2'!PJ16</f>
        <v>0</v>
      </c>
      <c r="PK17">
        <f>'Demand Stage 2'!PK16</f>
        <v>0</v>
      </c>
      <c r="PL17">
        <f>'Demand Stage 2'!PL16</f>
        <v>0</v>
      </c>
      <c r="PM17">
        <f>'Demand Stage 2'!PM16</f>
        <v>0</v>
      </c>
      <c r="PN17">
        <f>'Demand Stage 2'!PN16</f>
        <v>0</v>
      </c>
      <c r="PO17">
        <f>'Demand Stage 2'!PO16</f>
        <v>0</v>
      </c>
      <c r="PP17">
        <f>'Demand Stage 2'!PP16</f>
        <v>0</v>
      </c>
      <c r="PQ17">
        <f>'Demand Stage 2'!PQ16</f>
        <v>0</v>
      </c>
      <c r="PR17">
        <f>'Demand Stage 2'!PR16</f>
        <v>0</v>
      </c>
      <c r="PS17">
        <f>'Demand Stage 2'!PS16</f>
        <v>0</v>
      </c>
      <c r="PT17">
        <f>'Demand Stage 2'!PT16</f>
        <v>0</v>
      </c>
      <c r="PU17">
        <f>'Demand Stage 2'!PU16</f>
        <v>0</v>
      </c>
      <c r="PV17">
        <f>'Demand Stage 2'!PV16</f>
        <v>0</v>
      </c>
      <c r="PW17">
        <f>'Demand Stage 2'!PW16</f>
        <v>0</v>
      </c>
      <c r="PX17">
        <f>'Demand Stage 2'!PX16</f>
        <v>0</v>
      </c>
      <c r="PY17">
        <f>'Demand Stage 2'!PY16</f>
        <v>0</v>
      </c>
      <c r="PZ17">
        <f>'Demand Stage 2'!PZ16</f>
        <v>0</v>
      </c>
      <c r="QA17">
        <f>'Demand Stage 2'!QA16</f>
        <v>0</v>
      </c>
      <c r="QB17">
        <f>'Demand Stage 2'!QB16</f>
        <v>0</v>
      </c>
      <c r="QC17">
        <f>'Demand Stage 2'!QC16</f>
        <v>0</v>
      </c>
      <c r="QD17">
        <f>'Demand Stage 2'!QD16</f>
        <v>0</v>
      </c>
      <c r="QE17">
        <f>'Demand Stage 2'!QE16</f>
        <v>0</v>
      </c>
      <c r="QF17">
        <f>'Demand Stage 2'!QF16</f>
        <v>0</v>
      </c>
      <c r="QG17">
        <f>'Demand Stage 2'!QG16</f>
        <v>0</v>
      </c>
      <c r="QH17">
        <f>'Demand Stage 2'!QH16</f>
        <v>0</v>
      </c>
      <c r="QI17">
        <f>'Demand Stage 2'!QI16</f>
        <v>0</v>
      </c>
      <c r="QJ17">
        <f>'Demand Stage 2'!QJ16</f>
        <v>0</v>
      </c>
      <c r="QK17">
        <f>'Demand Stage 2'!QK16</f>
        <v>0</v>
      </c>
      <c r="QL17">
        <f>'Demand Stage 2'!QL16</f>
        <v>0</v>
      </c>
      <c r="QM17">
        <f>'Demand Stage 2'!QM16</f>
        <v>0</v>
      </c>
      <c r="QN17">
        <f>'Demand Stage 2'!QN16</f>
        <v>0</v>
      </c>
      <c r="QO17">
        <f>'Demand Stage 2'!QO16</f>
        <v>0</v>
      </c>
      <c r="QP17">
        <f>'Demand Stage 2'!QP16</f>
        <v>0</v>
      </c>
      <c r="QQ17">
        <f>'Demand Stage 2'!QQ16</f>
        <v>0</v>
      </c>
      <c r="QR17">
        <f>'Demand Stage 2'!QR16</f>
        <v>0</v>
      </c>
      <c r="QS17">
        <f>'Demand Stage 2'!QS16</f>
        <v>0</v>
      </c>
      <c r="QT17">
        <f>'Demand Stage 2'!QT16</f>
        <v>0</v>
      </c>
      <c r="QU17">
        <f>'Demand Stage 2'!QU16</f>
        <v>0</v>
      </c>
      <c r="QV17">
        <f>'Demand Stage 2'!QV16</f>
        <v>0</v>
      </c>
      <c r="QW17">
        <f>'Demand Stage 2'!QW16</f>
        <v>0</v>
      </c>
      <c r="QX17">
        <f>'Demand Stage 2'!QX16</f>
        <v>0</v>
      </c>
      <c r="QY17">
        <f>'Demand Stage 2'!QY16</f>
        <v>0</v>
      </c>
      <c r="QZ17">
        <f>'Demand Stage 2'!QZ16</f>
        <v>0</v>
      </c>
      <c r="RA17">
        <f>'Demand Stage 2'!RA16</f>
        <v>0</v>
      </c>
      <c r="RB17">
        <f>'Demand Stage 2'!RB16</f>
        <v>0</v>
      </c>
      <c r="RC17">
        <f>'Demand Stage 2'!RC16</f>
        <v>0</v>
      </c>
      <c r="RD17">
        <f>'Demand Stage 2'!RD16</f>
        <v>0</v>
      </c>
      <c r="RE17">
        <f>'Demand Stage 2'!RE16</f>
        <v>0</v>
      </c>
      <c r="RF17">
        <f>'Demand Stage 2'!RF16</f>
        <v>0</v>
      </c>
      <c r="RG17">
        <f>'Demand Stage 2'!RG16</f>
        <v>0</v>
      </c>
      <c r="RH17">
        <f>'Demand Stage 2'!RH16</f>
        <v>0</v>
      </c>
      <c r="RI17">
        <f>'Demand Stage 2'!RI16</f>
        <v>0</v>
      </c>
      <c r="RJ17">
        <f>'Demand Stage 2'!RJ16</f>
        <v>0</v>
      </c>
      <c r="RK17">
        <f>'Demand Stage 2'!RK16</f>
        <v>0</v>
      </c>
      <c r="RL17">
        <f>'Demand Stage 2'!RL16</f>
        <v>0</v>
      </c>
      <c r="RM17">
        <f>'Demand Stage 2'!RM16</f>
        <v>0</v>
      </c>
      <c r="RN17">
        <f>'Demand Stage 2'!RN16</f>
        <v>0</v>
      </c>
      <c r="RO17">
        <f>'Demand Stage 2'!RO16</f>
        <v>0</v>
      </c>
      <c r="RP17">
        <f>'Demand Stage 2'!RP16</f>
        <v>0</v>
      </c>
      <c r="RQ17">
        <f>'Demand Stage 2'!RQ16</f>
        <v>0</v>
      </c>
      <c r="RR17">
        <f>'Demand Stage 2'!RR16</f>
        <v>0</v>
      </c>
      <c r="RS17">
        <f>'Demand Stage 2'!RS16</f>
        <v>0</v>
      </c>
      <c r="RT17">
        <f>'Demand Stage 2'!RT16</f>
        <v>0</v>
      </c>
      <c r="RU17">
        <f>'Demand Stage 2'!RU16</f>
        <v>0</v>
      </c>
      <c r="RV17">
        <f>'Demand Stage 2'!RV16</f>
        <v>0</v>
      </c>
      <c r="RW17">
        <f>'Demand Stage 2'!RW16</f>
        <v>0</v>
      </c>
      <c r="RX17">
        <f>'Demand Stage 2'!RX16</f>
        <v>0</v>
      </c>
      <c r="RY17">
        <f>'Demand Stage 2'!RY16</f>
        <v>0</v>
      </c>
      <c r="RZ17">
        <f>'Demand Stage 2'!RZ16</f>
        <v>0</v>
      </c>
      <c r="SA17">
        <f>'Demand Stage 2'!SA16</f>
        <v>0</v>
      </c>
      <c r="SB17">
        <f>'Demand Stage 2'!SB16</f>
        <v>0</v>
      </c>
      <c r="SC17">
        <f>'Demand Stage 2'!SC16</f>
        <v>0</v>
      </c>
      <c r="SD17">
        <f>'Demand Stage 2'!SD16</f>
        <v>0</v>
      </c>
      <c r="SE17">
        <f>'Demand Stage 2'!SE16</f>
        <v>0</v>
      </c>
      <c r="SF17">
        <f>'Demand Stage 2'!SF16</f>
        <v>0</v>
      </c>
      <c r="SG17">
        <f>'Demand Stage 2'!SG16</f>
        <v>0</v>
      </c>
      <c r="SH17">
        <f>'Demand Stage 2'!SH16</f>
        <v>0</v>
      </c>
      <c r="SI17">
        <f>'Demand Stage 2'!SI16</f>
        <v>0</v>
      </c>
      <c r="SJ17">
        <f>'Demand Stage 2'!SJ16</f>
        <v>0</v>
      </c>
      <c r="SK17">
        <f>'Demand Stage 2'!SK16</f>
        <v>0</v>
      </c>
      <c r="SL17">
        <f>'Demand Stage 2'!SL16</f>
        <v>0</v>
      </c>
      <c r="SM17">
        <f>'Demand Stage 2'!SM16</f>
        <v>0</v>
      </c>
      <c r="SN17">
        <f>'Demand Stage 2'!SN16</f>
        <v>0</v>
      </c>
      <c r="SO17">
        <f>'Demand Stage 2'!SO16</f>
        <v>0</v>
      </c>
      <c r="SP17">
        <f>'Demand Stage 2'!SP16</f>
        <v>0</v>
      </c>
      <c r="SQ17">
        <f>'Demand Stage 2'!SQ16</f>
        <v>0</v>
      </c>
      <c r="SR17">
        <f>'Demand Stage 2'!SR16</f>
        <v>0</v>
      </c>
      <c r="SS17">
        <f>'Demand Stage 2'!SS16</f>
        <v>0</v>
      </c>
      <c r="ST17">
        <f>'Demand Stage 2'!ST16</f>
        <v>0</v>
      </c>
      <c r="SU17">
        <f>'Demand Stage 2'!SU16</f>
        <v>0</v>
      </c>
      <c r="SV17">
        <f>'Demand Stage 2'!SV16</f>
        <v>0</v>
      </c>
      <c r="SW17">
        <f>'Demand Stage 2'!SW16</f>
        <v>0</v>
      </c>
      <c r="SX17">
        <f>'Demand Stage 2'!SX16</f>
        <v>0</v>
      </c>
      <c r="SY17">
        <f>'Demand Stage 2'!SY16</f>
        <v>0</v>
      </c>
      <c r="SZ17">
        <f>'Demand Stage 2'!SZ16</f>
        <v>0</v>
      </c>
      <c r="TA17">
        <f>'Demand Stage 2'!TA16</f>
        <v>0</v>
      </c>
      <c r="TB17">
        <f>'Demand Stage 2'!TB16</f>
        <v>0</v>
      </c>
      <c r="TC17">
        <f>'Demand Stage 2'!TC16</f>
        <v>0</v>
      </c>
      <c r="TD17">
        <f>'Demand Stage 2'!TD16</f>
        <v>0</v>
      </c>
      <c r="TE17">
        <f>'Demand Stage 2'!TE16</f>
        <v>0</v>
      </c>
      <c r="TF17">
        <f>'Demand Stage 2'!TF16</f>
        <v>0</v>
      </c>
      <c r="TG17">
        <f>'Demand Stage 2'!TG16</f>
        <v>0</v>
      </c>
      <c r="TH17">
        <f>'Demand Stage 2'!TH16</f>
        <v>0</v>
      </c>
      <c r="TI17">
        <f>'Demand Stage 2'!TI16</f>
        <v>0</v>
      </c>
      <c r="TJ17">
        <f>'Demand Stage 2'!TJ16</f>
        <v>0</v>
      </c>
      <c r="TK17">
        <f>'Demand Stage 2'!TK16</f>
        <v>0</v>
      </c>
      <c r="TL17">
        <f>'Demand Stage 2'!TL16</f>
        <v>0</v>
      </c>
      <c r="TM17">
        <f>'Demand Stage 2'!TM16</f>
        <v>0</v>
      </c>
      <c r="TN17">
        <f>'Demand Stage 2'!TN16</f>
        <v>0</v>
      </c>
      <c r="TO17">
        <f>'Demand Stage 2'!TO16</f>
        <v>0</v>
      </c>
      <c r="TP17">
        <f>'Demand Stage 2'!TP16</f>
        <v>0</v>
      </c>
      <c r="TQ17">
        <f>'Demand Stage 2'!TQ16</f>
        <v>0</v>
      </c>
      <c r="TR17">
        <f>'Demand Stage 2'!TR16</f>
        <v>0</v>
      </c>
      <c r="TS17">
        <f>'Demand Stage 2'!TS16</f>
        <v>0</v>
      </c>
      <c r="TT17">
        <f>'Demand Stage 2'!TT16</f>
        <v>0</v>
      </c>
      <c r="TU17">
        <f>'Demand Stage 2'!TU16</f>
        <v>0</v>
      </c>
      <c r="TV17">
        <f>'Demand Stage 2'!TV16</f>
        <v>0</v>
      </c>
      <c r="TW17">
        <f>'Demand Stage 2'!TW16</f>
        <v>0</v>
      </c>
      <c r="TX17">
        <f>'Demand Stage 2'!TX16</f>
        <v>0</v>
      </c>
      <c r="TY17">
        <f>'Demand Stage 2'!TY16</f>
        <v>0</v>
      </c>
      <c r="TZ17">
        <f>'Demand Stage 2'!TZ16</f>
        <v>0</v>
      </c>
      <c r="UA17">
        <f>'Demand Stage 2'!UA16</f>
        <v>0</v>
      </c>
      <c r="UB17">
        <f>'Demand Stage 2'!UB16</f>
        <v>0</v>
      </c>
      <c r="UC17">
        <f>'Demand Stage 2'!UC16</f>
        <v>0</v>
      </c>
      <c r="UD17">
        <f>'Demand Stage 2'!UD16</f>
        <v>0</v>
      </c>
      <c r="UE17">
        <f>'Demand Stage 2'!UE16</f>
        <v>0</v>
      </c>
      <c r="UF17">
        <f>'Demand Stage 2'!UF16</f>
        <v>0</v>
      </c>
      <c r="UG17">
        <f>'Demand Stage 2'!UG16</f>
        <v>0</v>
      </c>
      <c r="UH17">
        <f>'Demand Stage 2'!UH16</f>
        <v>0</v>
      </c>
      <c r="UI17">
        <f>'Demand Stage 2'!UI16</f>
        <v>0</v>
      </c>
      <c r="UJ17">
        <f>'Demand Stage 2'!UJ16</f>
        <v>0</v>
      </c>
      <c r="UK17">
        <f>'Demand Stage 2'!UK16</f>
        <v>0</v>
      </c>
      <c r="UL17">
        <f>'Demand Stage 2'!UL16</f>
        <v>0</v>
      </c>
      <c r="UM17">
        <f>'Demand Stage 2'!UM16</f>
        <v>0</v>
      </c>
      <c r="UN17">
        <f>'Demand Stage 2'!UN16</f>
        <v>0</v>
      </c>
      <c r="UO17">
        <f>'Demand Stage 2'!UO16</f>
        <v>0</v>
      </c>
      <c r="UP17">
        <f>'Demand Stage 2'!UP16</f>
        <v>0</v>
      </c>
      <c r="UQ17">
        <f>'Demand Stage 2'!UQ16</f>
        <v>0</v>
      </c>
      <c r="UR17">
        <f>'Demand Stage 2'!UR16</f>
        <v>0</v>
      </c>
      <c r="US17">
        <f>'Demand Stage 2'!US16</f>
        <v>0</v>
      </c>
      <c r="UT17">
        <f>'Demand Stage 2'!UT16</f>
        <v>0</v>
      </c>
      <c r="UU17">
        <f>'Demand Stage 2'!UU16</f>
        <v>0</v>
      </c>
      <c r="UV17">
        <f>'Demand Stage 2'!UV16</f>
        <v>0</v>
      </c>
      <c r="UW17">
        <f>'Demand Stage 2'!UW16</f>
        <v>0</v>
      </c>
      <c r="UX17">
        <f>'Demand Stage 2'!UX16</f>
        <v>0</v>
      </c>
      <c r="UY17">
        <f>'Demand Stage 2'!UY16</f>
        <v>0</v>
      </c>
      <c r="UZ17">
        <f>'Demand Stage 2'!UZ16</f>
        <v>0</v>
      </c>
      <c r="VA17">
        <f>'Demand Stage 2'!VA16</f>
        <v>0</v>
      </c>
      <c r="VB17">
        <f>'Demand Stage 2'!VB16</f>
        <v>0</v>
      </c>
      <c r="VC17">
        <f>'Demand Stage 2'!VC16</f>
        <v>0</v>
      </c>
      <c r="VD17">
        <f>'Demand Stage 2'!VD16</f>
        <v>0</v>
      </c>
      <c r="VE17">
        <f>'Demand Stage 2'!VE16</f>
        <v>0</v>
      </c>
      <c r="VF17">
        <f>'Demand Stage 2'!VF16</f>
        <v>0</v>
      </c>
      <c r="VG17">
        <f>'Demand Stage 2'!VG16</f>
        <v>0</v>
      </c>
      <c r="VH17">
        <f>'Demand Stage 2'!VH16</f>
        <v>0</v>
      </c>
      <c r="VI17">
        <f>'Demand Stage 2'!VI16</f>
        <v>0</v>
      </c>
      <c r="VJ17">
        <f>'Demand Stage 2'!VJ16</f>
        <v>0</v>
      </c>
      <c r="VK17">
        <f>'Demand Stage 2'!VK16</f>
        <v>0</v>
      </c>
      <c r="VL17">
        <f>'Demand Stage 2'!VL16</f>
        <v>0</v>
      </c>
      <c r="VM17">
        <f>'Demand Stage 2'!VM16</f>
        <v>0</v>
      </c>
      <c r="VN17">
        <f>'Demand Stage 2'!VN16</f>
        <v>0</v>
      </c>
      <c r="VO17">
        <f>'Demand Stage 2'!VO16</f>
        <v>0</v>
      </c>
      <c r="VP17">
        <f>'Demand Stage 2'!VP16</f>
        <v>0</v>
      </c>
      <c r="VQ17">
        <f>'Demand Stage 2'!VQ16</f>
        <v>0</v>
      </c>
      <c r="VR17">
        <f>'Demand Stage 2'!VR16</f>
        <v>0</v>
      </c>
      <c r="VS17">
        <f>'Demand Stage 2'!VS16</f>
        <v>0</v>
      </c>
      <c r="VT17">
        <f>'Demand Stage 2'!VT16</f>
        <v>0</v>
      </c>
      <c r="VU17">
        <f>'Demand Stage 2'!VU16</f>
        <v>0</v>
      </c>
      <c r="VV17">
        <f>'Demand Stage 2'!VV16</f>
        <v>0</v>
      </c>
      <c r="VW17">
        <f>'Demand Stage 2'!VW16</f>
        <v>0</v>
      </c>
      <c r="VX17">
        <f>'Demand Stage 2'!VX16</f>
        <v>0</v>
      </c>
      <c r="VY17">
        <f>'Demand Stage 2'!VY16</f>
        <v>0</v>
      </c>
      <c r="VZ17">
        <f>'Demand Stage 2'!VZ16</f>
        <v>0</v>
      </c>
      <c r="WA17">
        <f>'Demand Stage 2'!WA16</f>
        <v>0</v>
      </c>
      <c r="WB17">
        <f>'Demand Stage 2'!WB16</f>
        <v>0</v>
      </c>
      <c r="WC17">
        <f>'Demand Stage 2'!WC16</f>
        <v>0</v>
      </c>
      <c r="WD17">
        <f>'Demand Stage 2'!WD16</f>
        <v>0</v>
      </c>
      <c r="WE17">
        <f>'Demand Stage 2'!WE16</f>
        <v>0</v>
      </c>
      <c r="WF17">
        <f>'Demand Stage 2'!WF16</f>
        <v>0</v>
      </c>
      <c r="WG17">
        <f>'Demand Stage 2'!WG16</f>
        <v>0</v>
      </c>
      <c r="WH17">
        <f>'Demand Stage 2'!WH16</f>
        <v>0</v>
      </c>
      <c r="WI17">
        <f>'Demand Stage 2'!WI16</f>
        <v>0</v>
      </c>
      <c r="WJ17">
        <f>'Demand Stage 2'!WJ16</f>
        <v>0</v>
      </c>
      <c r="WK17">
        <f>'Demand Stage 2'!WK16</f>
        <v>0</v>
      </c>
      <c r="WL17">
        <f>'Demand Stage 2'!WL16</f>
        <v>0</v>
      </c>
      <c r="WM17">
        <f>'Demand Stage 2'!WM16</f>
        <v>0</v>
      </c>
      <c r="WN17">
        <f>'Demand Stage 2'!WN16</f>
        <v>0</v>
      </c>
      <c r="WO17">
        <f>'Demand Stage 2'!WO16</f>
        <v>0</v>
      </c>
      <c r="WP17">
        <f>'Demand Stage 2'!WP16</f>
        <v>0</v>
      </c>
      <c r="WQ17">
        <f>'Demand Stage 2'!WQ16</f>
        <v>0</v>
      </c>
      <c r="WR17">
        <f>'Demand Stage 2'!WR16</f>
        <v>0</v>
      </c>
      <c r="WS17">
        <f>'Demand Stage 2'!WS16</f>
        <v>0</v>
      </c>
      <c r="WT17">
        <f>'Demand Stage 2'!WT16</f>
        <v>0</v>
      </c>
      <c r="WU17">
        <f>'Demand Stage 2'!WU16</f>
        <v>0</v>
      </c>
      <c r="WV17">
        <f>'Demand Stage 2'!WV16</f>
        <v>0</v>
      </c>
      <c r="WW17">
        <f>'Demand Stage 2'!WW16</f>
        <v>0</v>
      </c>
      <c r="WX17">
        <f>'Demand Stage 2'!WX16</f>
        <v>0</v>
      </c>
      <c r="WY17">
        <f>'Demand Stage 2'!WY16</f>
        <v>0</v>
      </c>
      <c r="WZ17">
        <f>'Demand Stage 2'!WZ16</f>
        <v>0</v>
      </c>
      <c r="XA17">
        <f>'Demand Stage 2'!XA16</f>
        <v>0</v>
      </c>
      <c r="XB17">
        <f>'Demand Stage 2'!XB16</f>
        <v>0</v>
      </c>
      <c r="XC17">
        <f>'Demand Stage 2'!XC16</f>
        <v>0</v>
      </c>
      <c r="XD17">
        <f>'Demand Stage 2'!XD16</f>
        <v>0</v>
      </c>
      <c r="XE17">
        <f>'Demand Stage 2'!XE16</f>
        <v>0</v>
      </c>
      <c r="XF17">
        <f>'Demand Stage 2'!XF16</f>
        <v>0</v>
      </c>
      <c r="XG17">
        <f>'Demand Stage 2'!XG16</f>
        <v>0</v>
      </c>
      <c r="XH17">
        <f>'Demand Stage 2'!XH16</f>
        <v>0</v>
      </c>
      <c r="XI17">
        <f>'Demand Stage 2'!XI16</f>
        <v>0</v>
      </c>
      <c r="XJ17">
        <f>'Demand Stage 2'!XJ16</f>
        <v>0</v>
      </c>
      <c r="XK17">
        <f>'Demand Stage 2'!XK16</f>
        <v>0</v>
      </c>
      <c r="XL17">
        <f>'Demand Stage 2'!XL16</f>
        <v>0</v>
      </c>
      <c r="XM17">
        <f>'Demand Stage 2'!XM16</f>
        <v>0</v>
      </c>
      <c r="XN17">
        <f>'Demand Stage 2'!XN16</f>
        <v>0</v>
      </c>
      <c r="XO17">
        <f>'Demand Stage 2'!XO16</f>
        <v>0</v>
      </c>
      <c r="XP17">
        <f>'Demand Stage 2'!XP16</f>
        <v>0</v>
      </c>
      <c r="XQ17">
        <f>'Demand Stage 2'!XQ16</f>
        <v>0</v>
      </c>
      <c r="XR17">
        <f>'Demand Stage 2'!XR16</f>
        <v>0</v>
      </c>
      <c r="XS17">
        <f>'Demand Stage 2'!XS16</f>
        <v>0</v>
      </c>
      <c r="XT17">
        <f>'Demand Stage 2'!XT16</f>
        <v>0</v>
      </c>
      <c r="XU17">
        <f>'Demand Stage 2'!XU16</f>
        <v>0</v>
      </c>
      <c r="XV17">
        <f>'Demand Stage 2'!XV16</f>
        <v>0</v>
      </c>
      <c r="XW17">
        <f>'Demand Stage 2'!XW16</f>
        <v>0</v>
      </c>
      <c r="XX17">
        <f>'Demand Stage 2'!XX16</f>
        <v>0</v>
      </c>
      <c r="XY17">
        <f>'Demand Stage 2'!XY16</f>
        <v>0</v>
      </c>
      <c r="XZ17">
        <f>'Demand Stage 2'!XZ16</f>
        <v>0</v>
      </c>
      <c r="YA17">
        <f>'Demand Stage 2'!YA16</f>
        <v>0</v>
      </c>
      <c r="YB17">
        <f>'Demand Stage 2'!YB16</f>
        <v>0</v>
      </c>
      <c r="YC17">
        <f>'Demand Stage 2'!YC16</f>
        <v>0</v>
      </c>
      <c r="YD17">
        <f>'Demand Stage 2'!YD16</f>
        <v>0</v>
      </c>
      <c r="YE17">
        <f>'Demand Stage 2'!YE16</f>
        <v>0</v>
      </c>
      <c r="YF17">
        <f>'Demand Stage 2'!YF16</f>
        <v>0</v>
      </c>
      <c r="YG17">
        <f>'Demand Stage 2'!YG16</f>
        <v>0</v>
      </c>
      <c r="YH17">
        <f>'Demand Stage 2'!YH16</f>
        <v>0</v>
      </c>
      <c r="YI17">
        <f>'Demand Stage 2'!YI16</f>
        <v>0</v>
      </c>
      <c r="YJ17">
        <f>'Demand Stage 2'!YJ16</f>
        <v>0</v>
      </c>
      <c r="YK17">
        <f>'Demand Stage 2'!YK16</f>
        <v>0</v>
      </c>
      <c r="YL17">
        <f>'Demand Stage 2'!YL16</f>
        <v>0</v>
      </c>
      <c r="YM17">
        <f>'Demand Stage 2'!YM16</f>
        <v>0</v>
      </c>
      <c r="YN17">
        <f>'Demand Stage 2'!YN16</f>
        <v>0</v>
      </c>
      <c r="YO17">
        <f>'Demand Stage 2'!YO16</f>
        <v>0</v>
      </c>
      <c r="YP17">
        <f>'Demand Stage 2'!YP16</f>
        <v>0</v>
      </c>
      <c r="YQ17">
        <f>'Demand Stage 2'!YQ16</f>
        <v>0</v>
      </c>
      <c r="YR17">
        <f>'Demand Stage 2'!YR16</f>
        <v>0</v>
      </c>
      <c r="YS17">
        <f>'Demand Stage 2'!YS16</f>
        <v>0</v>
      </c>
      <c r="YT17">
        <f>'Demand Stage 2'!YT16</f>
        <v>0</v>
      </c>
      <c r="YU17">
        <f>'Demand Stage 2'!YU16</f>
        <v>0</v>
      </c>
      <c r="YV17">
        <f>'Demand Stage 2'!YV16</f>
        <v>0</v>
      </c>
      <c r="YW17">
        <f>'Demand Stage 2'!YW16</f>
        <v>0</v>
      </c>
      <c r="YX17">
        <f>'Demand Stage 2'!YX16</f>
        <v>0</v>
      </c>
      <c r="YY17">
        <f>'Demand Stage 2'!YY16</f>
        <v>0</v>
      </c>
      <c r="YZ17">
        <f>'Demand Stage 2'!YZ16</f>
        <v>0</v>
      </c>
      <c r="ZA17">
        <f>'Demand Stage 2'!ZA16</f>
        <v>0</v>
      </c>
      <c r="ZB17">
        <f>'Demand Stage 2'!ZB16</f>
        <v>0</v>
      </c>
      <c r="ZC17">
        <f>'Demand Stage 2'!ZC16</f>
        <v>0</v>
      </c>
      <c r="ZD17">
        <f>'Demand Stage 2'!ZD16</f>
        <v>0</v>
      </c>
      <c r="ZE17">
        <f>'Demand Stage 2'!ZE16</f>
        <v>0</v>
      </c>
      <c r="ZF17">
        <f>'Demand Stage 2'!ZF16</f>
        <v>0</v>
      </c>
      <c r="ZG17">
        <f>'Demand Stage 2'!ZG16</f>
        <v>0</v>
      </c>
      <c r="ZH17">
        <f>'Demand Stage 2'!ZH16</f>
        <v>0</v>
      </c>
      <c r="ZI17">
        <f>'Demand Stage 2'!ZI16</f>
        <v>0</v>
      </c>
      <c r="ZJ17">
        <f>'Demand Stage 2'!ZJ16</f>
        <v>0</v>
      </c>
      <c r="ZK17">
        <f>'Demand Stage 2'!ZK16</f>
        <v>0</v>
      </c>
      <c r="ZL17">
        <f>'Demand Stage 2'!ZL16</f>
        <v>0</v>
      </c>
      <c r="ZM17">
        <f>'Demand Stage 2'!ZM16</f>
        <v>0</v>
      </c>
      <c r="ZN17">
        <f>'Demand Stage 2'!ZN16</f>
        <v>0</v>
      </c>
      <c r="ZO17">
        <f>'Demand Stage 2'!ZO16</f>
        <v>0</v>
      </c>
      <c r="ZP17">
        <f>'Demand Stage 2'!ZP16</f>
        <v>0</v>
      </c>
      <c r="ZQ17">
        <f>'Demand Stage 2'!ZQ16</f>
        <v>0</v>
      </c>
      <c r="ZR17">
        <f>'Demand Stage 2'!ZR16</f>
        <v>0</v>
      </c>
      <c r="ZS17">
        <f>'Demand Stage 2'!ZS16</f>
        <v>0</v>
      </c>
      <c r="ZT17">
        <f>'Demand Stage 2'!ZT16</f>
        <v>0</v>
      </c>
      <c r="ZU17">
        <f>'Demand Stage 2'!ZU16</f>
        <v>0</v>
      </c>
      <c r="ZV17">
        <f>'Demand Stage 2'!ZV16</f>
        <v>0</v>
      </c>
      <c r="ZW17">
        <f>'Demand Stage 2'!ZW16</f>
        <v>0</v>
      </c>
      <c r="ZX17">
        <f>'Demand Stage 2'!ZX16</f>
        <v>0</v>
      </c>
      <c r="ZY17">
        <f>'Demand Stage 2'!ZY16</f>
        <v>0</v>
      </c>
      <c r="ZZ17">
        <f>'Demand Stage 2'!ZZ16</f>
        <v>0</v>
      </c>
      <c r="AAA17">
        <f>'Demand Stage 2'!AAA16</f>
        <v>0</v>
      </c>
      <c r="AAB17">
        <f>'Demand Stage 2'!AAB16</f>
        <v>0</v>
      </c>
      <c r="AAC17">
        <f>'Demand Stage 2'!AAC16</f>
        <v>0</v>
      </c>
      <c r="AAD17">
        <f t="shared" si="33"/>
        <v>0</v>
      </c>
      <c r="AAE17">
        <f t="shared" si="66"/>
        <v>0</v>
      </c>
      <c r="AAF17">
        <f t="shared" si="67"/>
        <v>0</v>
      </c>
      <c r="AAG17">
        <f t="shared" si="68"/>
        <v>0</v>
      </c>
      <c r="AAH17">
        <f t="shared" si="69"/>
        <v>0</v>
      </c>
      <c r="AAI17">
        <f t="shared" si="70"/>
        <v>0</v>
      </c>
      <c r="AAJ17">
        <f t="shared" si="71"/>
        <v>0</v>
      </c>
      <c r="AAK17">
        <f t="shared" si="72"/>
        <v>0</v>
      </c>
      <c r="AAL17">
        <f t="shared" si="73"/>
        <v>0</v>
      </c>
      <c r="AAM17">
        <f t="shared" si="74"/>
        <v>0</v>
      </c>
      <c r="AAN17">
        <f t="shared" si="75"/>
        <v>0</v>
      </c>
      <c r="AAO17">
        <f t="shared" si="76"/>
        <v>0</v>
      </c>
      <c r="AAP17">
        <f t="shared" si="77"/>
        <v>0</v>
      </c>
      <c r="AAQ17">
        <f t="shared" si="78"/>
        <v>0</v>
      </c>
      <c r="AAR17">
        <f t="shared" si="79"/>
        <v>0</v>
      </c>
      <c r="AAS17">
        <f t="shared" si="80"/>
        <v>0</v>
      </c>
      <c r="AAT17">
        <f t="shared" si="81"/>
        <v>0</v>
      </c>
      <c r="AAU17">
        <f t="shared" si="82"/>
        <v>0</v>
      </c>
      <c r="AAV17">
        <f t="shared" si="83"/>
        <v>0</v>
      </c>
      <c r="AAW17">
        <f t="shared" si="84"/>
        <v>0</v>
      </c>
      <c r="AAX17">
        <f t="shared" si="85"/>
        <v>0</v>
      </c>
      <c r="AAY17">
        <f t="shared" si="86"/>
        <v>0</v>
      </c>
      <c r="AAZ17">
        <f t="shared" si="87"/>
        <v>0</v>
      </c>
      <c r="ABA17">
        <f t="shared" si="88"/>
        <v>0</v>
      </c>
      <c r="ABB17">
        <f t="shared" si="89"/>
        <v>0</v>
      </c>
      <c r="ABC17">
        <f t="shared" si="90"/>
        <v>0</v>
      </c>
      <c r="ABD17">
        <f t="shared" si="91"/>
        <v>0</v>
      </c>
      <c r="ABE17">
        <f t="shared" si="92"/>
        <v>0</v>
      </c>
      <c r="ABF17">
        <f t="shared" si="93"/>
        <v>0</v>
      </c>
      <c r="ABG17">
        <f t="shared" si="94"/>
        <v>0</v>
      </c>
      <c r="ABH17">
        <f t="shared" si="95"/>
        <v>0</v>
      </c>
      <c r="ABI17">
        <f t="shared" si="96"/>
        <v>0</v>
      </c>
      <c r="ABJ17">
        <f t="shared" si="97"/>
        <v>0</v>
      </c>
      <c r="ABK17">
        <f t="shared" si="98"/>
        <v>0</v>
      </c>
      <c r="ABL17">
        <f t="shared" si="99"/>
        <v>0</v>
      </c>
      <c r="ABM17">
        <f t="shared" si="100"/>
        <v>0</v>
      </c>
      <c r="ABN17">
        <f t="shared" si="101"/>
        <v>0</v>
      </c>
      <c r="ABO17">
        <f t="shared" si="102"/>
        <v>0</v>
      </c>
      <c r="ABP17">
        <f t="shared" si="103"/>
        <v>0</v>
      </c>
      <c r="ABQ17">
        <f t="shared" si="104"/>
        <v>0</v>
      </c>
      <c r="ABR17">
        <f t="shared" si="105"/>
        <v>0</v>
      </c>
      <c r="ABS17">
        <f t="shared" si="106"/>
        <v>0</v>
      </c>
      <c r="ABT17">
        <f t="shared" si="107"/>
        <v>0</v>
      </c>
      <c r="ABU17">
        <f t="shared" si="108"/>
        <v>0</v>
      </c>
      <c r="ABV17">
        <f t="shared" si="109"/>
        <v>0</v>
      </c>
      <c r="ABW17">
        <f t="shared" si="110"/>
        <v>0</v>
      </c>
      <c r="ABX17">
        <f t="shared" si="111"/>
        <v>0</v>
      </c>
      <c r="ABY17">
        <f t="shared" si="112"/>
        <v>0</v>
      </c>
      <c r="ABZ17">
        <f t="shared" si="113"/>
        <v>0</v>
      </c>
      <c r="ACA17">
        <f t="shared" si="114"/>
        <v>0</v>
      </c>
      <c r="ACB17">
        <f t="shared" si="115"/>
        <v>0</v>
      </c>
      <c r="ACC17">
        <f t="shared" si="116"/>
        <v>0</v>
      </c>
      <c r="ACD17">
        <f t="shared" si="117"/>
        <v>0</v>
      </c>
      <c r="ACE17">
        <f t="shared" si="118"/>
        <v>0</v>
      </c>
      <c r="ACF17">
        <f t="shared" si="119"/>
        <v>0</v>
      </c>
      <c r="ACG17">
        <f t="shared" si="120"/>
        <v>0</v>
      </c>
      <c r="ACH17">
        <f t="shared" si="121"/>
        <v>0</v>
      </c>
      <c r="ACI17">
        <f t="shared" si="122"/>
        <v>0</v>
      </c>
      <c r="ACJ17">
        <f t="shared" si="123"/>
        <v>0</v>
      </c>
      <c r="ACK17">
        <f t="shared" si="124"/>
        <v>0</v>
      </c>
      <c r="ACL17">
        <f t="shared" si="125"/>
        <v>0</v>
      </c>
      <c r="ACM17">
        <f t="shared" si="126"/>
        <v>0</v>
      </c>
      <c r="ACN17">
        <f t="shared" si="127"/>
        <v>0</v>
      </c>
      <c r="ACO17">
        <f t="shared" si="128"/>
        <v>0</v>
      </c>
      <c r="ACP17">
        <f t="shared" si="34"/>
        <v>0</v>
      </c>
      <c r="ACQ17">
        <f t="shared" si="129"/>
        <v>0</v>
      </c>
      <c r="ACR17">
        <f t="shared" si="130"/>
        <v>0</v>
      </c>
      <c r="ACS17">
        <f t="shared" si="131"/>
        <v>0</v>
      </c>
      <c r="ACT17">
        <f t="shared" si="132"/>
        <v>0</v>
      </c>
      <c r="ACU17">
        <f t="shared" si="133"/>
        <v>0</v>
      </c>
      <c r="ACV17">
        <f t="shared" si="134"/>
        <v>0</v>
      </c>
      <c r="ACW17">
        <f t="shared" si="135"/>
        <v>0</v>
      </c>
      <c r="ACX17">
        <f t="shared" si="136"/>
        <v>0</v>
      </c>
      <c r="ACY17">
        <f t="shared" si="137"/>
        <v>0</v>
      </c>
      <c r="ACZ17">
        <f t="shared" si="138"/>
        <v>0</v>
      </c>
      <c r="ADA17">
        <f t="shared" si="139"/>
        <v>0</v>
      </c>
      <c r="ADB17">
        <f t="shared" si="140"/>
        <v>0</v>
      </c>
      <c r="ADC17">
        <f t="shared" si="141"/>
        <v>0</v>
      </c>
      <c r="ADD17">
        <f t="shared" si="142"/>
        <v>0</v>
      </c>
      <c r="ADE17">
        <f t="shared" si="143"/>
        <v>0</v>
      </c>
      <c r="ADF17">
        <f t="shared" si="144"/>
        <v>0</v>
      </c>
      <c r="ADG17">
        <f t="shared" si="145"/>
        <v>0</v>
      </c>
      <c r="ADH17">
        <f t="shared" si="146"/>
        <v>0</v>
      </c>
      <c r="ADI17">
        <f t="shared" si="147"/>
        <v>0</v>
      </c>
      <c r="ADJ17">
        <f t="shared" si="148"/>
        <v>0</v>
      </c>
      <c r="ADK17">
        <f t="shared" si="149"/>
        <v>0</v>
      </c>
      <c r="ADL17">
        <f t="shared" si="150"/>
        <v>0</v>
      </c>
      <c r="ADM17">
        <f t="shared" si="151"/>
        <v>0</v>
      </c>
      <c r="ADN17">
        <f t="shared" si="152"/>
        <v>0</v>
      </c>
      <c r="ADO17">
        <f t="shared" si="153"/>
        <v>0</v>
      </c>
      <c r="ADP17">
        <f t="shared" si="154"/>
        <v>0</v>
      </c>
      <c r="ADQ17">
        <f t="shared" si="155"/>
        <v>0</v>
      </c>
      <c r="ADR17">
        <f t="shared" si="156"/>
        <v>0</v>
      </c>
      <c r="ADS17">
        <f t="shared" si="157"/>
        <v>0</v>
      </c>
      <c r="ADT17">
        <f t="shared" si="158"/>
        <v>0</v>
      </c>
      <c r="ADU17">
        <f t="shared" si="159"/>
        <v>0</v>
      </c>
      <c r="ADV17">
        <f t="shared" si="160"/>
        <v>0</v>
      </c>
      <c r="ADW17">
        <f t="shared" si="161"/>
        <v>0</v>
      </c>
      <c r="ADX17">
        <f t="shared" si="162"/>
        <v>0</v>
      </c>
      <c r="ADY17">
        <f t="shared" si="163"/>
        <v>0</v>
      </c>
      <c r="ADZ17">
        <f t="shared" si="164"/>
        <v>0</v>
      </c>
      <c r="AEA17">
        <f t="shared" si="165"/>
        <v>0</v>
      </c>
      <c r="AEB17">
        <f t="shared" si="166"/>
        <v>0</v>
      </c>
      <c r="AEC17">
        <f t="shared" si="167"/>
        <v>0</v>
      </c>
      <c r="AED17">
        <f t="shared" si="168"/>
        <v>0</v>
      </c>
      <c r="AEE17">
        <f t="shared" si="169"/>
        <v>0</v>
      </c>
      <c r="AEF17">
        <f t="shared" si="170"/>
        <v>0</v>
      </c>
      <c r="AEG17">
        <f t="shared" si="171"/>
        <v>0</v>
      </c>
      <c r="AEH17">
        <f t="shared" si="172"/>
        <v>0</v>
      </c>
      <c r="AEI17">
        <f t="shared" si="173"/>
        <v>0</v>
      </c>
      <c r="AEJ17">
        <f t="shared" si="174"/>
        <v>0</v>
      </c>
      <c r="AEK17">
        <f t="shared" si="175"/>
        <v>0</v>
      </c>
      <c r="AEL17">
        <f t="shared" si="176"/>
        <v>0</v>
      </c>
      <c r="AEM17">
        <f t="shared" si="177"/>
        <v>0</v>
      </c>
      <c r="AEN17">
        <f t="shared" si="178"/>
        <v>0</v>
      </c>
      <c r="AEO17">
        <f t="shared" si="179"/>
        <v>0</v>
      </c>
      <c r="AEP17">
        <f t="shared" si="180"/>
        <v>0</v>
      </c>
      <c r="AEQ17">
        <f t="shared" si="181"/>
        <v>0</v>
      </c>
      <c r="AER17">
        <f t="shared" si="182"/>
        <v>0</v>
      </c>
      <c r="AES17">
        <f t="shared" si="183"/>
        <v>0</v>
      </c>
      <c r="AET17">
        <f t="shared" si="184"/>
        <v>0</v>
      </c>
      <c r="AEU17">
        <f t="shared" si="185"/>
        <v>0</v>
      </c>
      <c r="AEV17">
        <f t="shared" si="186"/>
        <v>0</v>
      </c>
      <c r="AEW17">
        <f t="shared" si="187"/>
        <v>0</v>
      </c>
      <c r="AEX17">
        <f t="shared" si="188"/>
        <v>0</v>
      </c>
      <c r="AEY17">
        <f t="shared" si="189"/>
        <v>0</v>
      </c>
      <c r="AEZ17">
        <f t="shared" si="190"/>
        <v>0</v>
      </c>
      <c r="AFA17">
        <f t="shared" si="191"/>
        <v>0</v>
      </c>
      <c r="AFB17">
        <f t="shared" si="35"/>
        <v>0</v>
      </c>
      <c r="AFC17">
        <f t="shared" si="192"/>
        <v>0</v>
      </c>
      <c r="AFD17">
        <f t="shared" si="193"/>
        <v>0</v>
      </c>
      <c r="AFE17">
        <f t="shared" si="194"/>
        <v>0</v>
      </c>
      <c r="AFF17">
        <f t="shared" si="195"/>
        <v>0</v>
      </c>
      <c r="AFG17">
        <f t="shared" si="196"/>
        <v>0</v>
      </c>
      <c r="AFH17">
        <f t="shared" si="197"/>
        <v>0</v>
      </c>
      <c r="AFI17">
        <f t="shared" si="198"/>
        <v>0</v>
      </c>
      <c r="AFJ17">
        <f t="shared" si="199"/>
        <v>0</v>
      </c>
      <c r="AFK17">
        <f t="shared" si="200"/>
        <v>0</v>
      </c>
      <c r="AFL17">
        <f t="shared" si="201"/>
        <v>0</v>
      </c>
      <c r="AFM17">
        <f t="shared" si="202"/>
        <v>0</v>
      </c>
      <c r="AFN17">
        <f t="shared" si="203"/>
        <v>0</v>
      </c>
      <c r="AFO17">
        <f t="shared" si="204"/>
        <v>0</v>
      </c>
      <c r="AFP17">
        <f t="shared" si="205"/>
        <v>0</v>
      </c>
      <c r="AFQ17">
        <f t="shared" si="206"/>
        <v>0</v>
      </c>
      <c r="AFR17">
        <f t="shared" si="207"/>
        <v>0</v>
      </c>
      <c r="AFS17">
        <f t="shared" si="208"/>
        <v>0</v>
      </c>
      <c r="AFT17">
        <f t="shared" si="209"/>
        <v>0</v>
      </c>
      <c r="AFU17">
        <f t="shared" si="210"/>
        <v>0</v>
      </c>
      <c r="AFV17">
        <f t="shared" si="211"/>
        <v>0</v>
      </c>
      <c r="AFW17">
        <f t="shared" si="212"/>
        <v>0</v>
      </c>
      <c r="AFX17">
        <f t="shared" si="213"/>
        <v>0</v>
      </c>
      <c r="AFY17">
        <f t="shared" si="214"/>
        <v>0</v>
      </c>
      <c r="AFZ17">
        <f t="shared" si="215"/>
        <v>0</v>
      </c>
      <c r="AGA17">
        <f t="shared" si="216"/>
        <v>0</v>
      </c>
      <c r="AGB17">
        <f t="shared" si="217"/>
        <v>0</v>
      </c>
      <c r="AGC17">
        <f t="shared" si="218"/>
        <v>0</v>
      </c>
      <c r="AGD17">
        <f t="shared" si="219"/>
        <v>0</v>
      </c>
      <c r="AGE17">
        <f t="shared" si="220"/>
        <v>0</v>
      </c>
      <c r="AGF17">
        <f t="shared" si="221"/>
        <v>0</v>
      </c>
      <c r="AGG17">
        <f t="shared" si="222"/>
        <v>0</v>
      </c>
      <c r="AGH17">
        <f t="shared" si="223"/>
        <v>0</v>
      </c>
      <c r="AGI17">
        <f t="shared" si="224"/>
        <v>0</v>
      </c>
      <c r="AGJ17">
        <f t="shared" si="225"/>
        <v>0</v>
      </c>
      <c r="AGK17">
        <f t="shared" si="226"/>
        <v>0</v>
      </c>
      <c r="AGL17">
        <f t="shared" si="227"/>
        <v>0</v>
      </c>
      <c r="AGM17">
        <f t="shared" si="228"/>
        <v>0</v>
      </c>
      <c r="AGN17">
        <f t="shared" si="229"/>
        <v>0</v>
      </c>
      <c r="AGO17">
        <f t="shared" si="230"/>
        <v>0</v>
      </c>
      <c r="AGP17">
        <f t="shared" si="231"/>
        <v>0</v>
      </c>
      <c r="AGQ17">
        <f t="shared" si="232"/>
        <v>0</v>
      </c>
      <c r="AGR17">
        <f t="shared" si="233"/>
        <v>0</v>
      </c>
      <c r="AGS17">
        <f t="shared" si="234"/>
        <v>0</v>
      </c>
      <c r="AGT17">
        <f t="shared" si="235"/>
        <v>0</v>
      </c>
      <c r="AGU17">
        <f t="shared" si="236"/>
        <v>0</v>
      </c>
      <c r="AGV17">
        <f t="shared" si="237"/>
        <v>0</v>
      </c>
      <c r="AGW17">
        <f t="shared" si="238"/>
        <v>0</v>
      </c>
      <c r="AGX17">
        <f t="shared" si="239"/>
        <v>0</v>
      </c>
      <c r="AGY17">
        <f t="shared" si="240"/>
        <v>0</v>
      </c>
      <c r="AGZ17">
        <f t="shared" si="241"/>
        <v>0</v>
      </c>
      <c r="AHA17">
        <f t="shared" si="242"/>
        <v>0</v>
      </c>
      <c r="AHB17">
        <f t="shared" si="243"/>
        <v>0</v>
      </c>
      <c r="AHC17">
        <f t="shared" si="244"/>
        <v>0</v>
      </c>
      <c r="AHD17">
        <f t="shared" si="245"/>
        <v>0</v>
      </c>
      <c r="AHE17">
        <f t="shared" si="246"/>
        <v>0</v>
      </c>
      <c r="AHF17">
        <f t="shared" si="247"/>
        <v>0</v>
      </c>
      <c r="AHG17">
        <f t="shared" si="248"/>
        <v>0</v>
      </c>
      <c r="AHH17">
        <f t="shared" si="249"/>
        <v>0</v>
      </c>
      <c r="AHI17">
        <f t="shared" si="250"/>
        <v>0</v>
      </c>
      <c r="AHJ17">
        <f t="shared" si="251"/>
        <v>0</v>
      </c>
      <c r="AHK17">
        <f t="shared" si="252"/>
        <v>0</v>
      </c>
      <c r="AHL17">
        <f t="shared" si="253"/>
        <v>0</v>
      </c>
      <c r="AHM17">
        <f t="shared" si="254"/>
        <v>0</v>
      </c>
      <c r="AHN17">
        <f t="shared" si="36"/>
        <v>0</v>
      </c>
      <c r="AHO17">
        <f t="shared" si="255"/>
        <v>0</v>
      </c>
      <c r="AHP17">
        <f t="shared" si="256"/>
        <v>0</v>
      </c>
      <c r="AHQ17">
        <f t="shared" si="257"/>
        <v>0</v>
      </c>
      <c r="AHR17">
        <f t="shared" si="258"/>
        <v>0</v>
      </c>
      <c r="AHS17">
        <f t="shared" si="259"/>
        <v>0</v>
      </c>
      <c r="AHT17">
        <f t="shared" si="260"/>
        <v>0</v>
      </c>
      <c r="AHU17">
        <f t="shared" si="261"/>
        <v>0</v>
      </c>
      <c r="AHV17">
        <f t="shared" si="262"/>
        <v>0</v>
      </c>
      <c r="AHW17">
        <f t="shared" si="263"/>
        <v>0</v>
      </c>
      <c r="AHX17">
        <f t="shared" si="264"/>
        <v>0</v>
      </c>
      <c r="AHY17">
        <f t="shared" si="265"/>
        <v>0</v>
      </c>
      <c r="AHZ17">
        <f t="shared" si="266"/>
        <v>0</v>
      </c>
      <c r="AIA17">
        <f t="shared" si="267"/>
        <v>0</v>
      </c>
      <c r="AIB17">
        <f t="shared" si="268"/>
        <v>0</v>
      </c>
      <c r="AIC17">
        <f t="shared" si="269"/>
        <v>0</v>
      </c>
      <c r="AID17">
        <f t="shared" si="270"/>
        <v>0</v>
      </c>
      <c r="AIE17">
        <f t="shared" si="271"/>
        <v>0</v>
      </c>
      <c r="AIF17">
        <f t="shared" si="272"/>
        <v>0</v>
      </c>
      <c r="AIG17">
        <f t="shared" si="273"/>
        <v>0</v>
      </c>
      <c r="AIH17">
        <f t="shared" si="274"/>
        <v>0</v>
      </c>
      <c r="AII17">
        <f t="shared" si="275"/>
        <v>0</v>
      </c>
      <c r="AIJ17">
        <f t="shared" si="276"/>
        <v>0</v>
      </c>
      <c r="AIK17">
        <f t="shared" si="277"/>
        <v>0</v>
      </c>
      <c r="AIL17">
        <f t="shared" si="278"/>
        <v>0</v>
      </c>
      <c r="AIM17">
        <f t="shared" si="279"/>
        <v>0</v>
      </c>
      <c r="AIN17">
        <f t="shared" si="280"/>
        <v>0</v>
      </c>
      <c r="AIO17">
        <f t="shared" si="281"/>
        <v>0</v>
      </c>
      <c r="AIP17">
        <f t="shared" si="282"/>
        <v>0</v>
      </c>
      <c r="AIQ17">
        <f t="shared" si="283"/>
        <v>0</v>
      </c>
      <c r="AIR17">
        <f t="shared" si="284"/>
        <v>0</v>
      </c>
      <c r="AIS17">
        <f t="shared" si="285"/>
        <v>0</v>
      </c>
      <c r="AIT17">
        <f t="shared" si="286"/>
        <v>0</v>
      </c>
      <c r="AIU17">
        <f t="shared" si="287"/>
        <v>0</v>
      </c>
      <c r="AIV17">
        <f t="shared" si="288"/>
        <v>0</v>
      </c>
      <c r="AIW17">
        <f t="shared" si="289"/>
        <v>0</v>
      </c>
      <c r="AIX17">
        <f t="shared" si="290"/>
        <v>0</v>
      </c>
      <c r="AIY17">
        <f t="shared" si="291"/>
        <v>0</v>
      </c>
      <c r="AIZ17">
        <f t="shared" si="292"/>
        <v>0</v>
      </c>
      <c r="AJA17">
        <f t="shared" si="293"/>
        <v>0</v>
      </c>
      <c r="AJB17">
        <f t="shared" si="294"/>
        <v>0</v>
      </c>
      <c r="AJC17">
        <f t="shared" si="295"/>
        <v>0</v>
      </c>
      <c r="AJD17">
        <f t="shared" si="296"/>
        <v>0</v>
      </c>
      <c r="AJE17">
        <f t="shared" si="297"/>
        <v>0</v>
      </c>
      <c r="AJF17">
        <f t="shared" si="298"/>
        <v>0</v>
      </c>
      <c r="AJG17">
        <f t="shared" si="299"/>
        <v>0</v>
      </c>
      <c r="AJH17">
        <f t="shared" si="300"/>
        <v>0</v>
      </c>
      <c r="AJI17">
        <f t="shared" si="301"/>
        <v>0</v>
      </c>
      <c r="AJJ17">
        <f t="shared" si="302"/>
        <v>0</v>
      </c>
      <c r="AJK17">
        <f t="shared" si="303"/>
        <v>0</v>
      </c>
      <c r="AJL17">
        <f t="shared" si="304"/>
        <v>0</v>
      </c>
      <c r="AJM17">
        <f t="shared" si="305"/>
        <v>0</v>
      </c>
      <c r="AJN17">
        <f t="shared" si="306"/>
        <v>0</v>
      </c>
      <c r="AJO17">
        <f t="shared" si="307"/>
        <v>0</v>
      </c>
      <c r="AJP17">
        <f t="shared" si="308"/>
        <v>0</v>
      </c>
      <c r="AJQ17">
        <f t="shared" si="309"/>
        <v>0</v>
      </c>
      <c r="AJR17">
        <f t="shared" si="310"/>
        <v>0</v>
      </c>
      <c r="AJS17">
        <f t="shared" si="311"/>
        <v>0</v>
      </c>
      <c r="AJT17">
        <f t="shared" si="312"/>
        <v>0</v>
      </c>
      <c r="AJU17">
        <f t="shared" si="313"/>
        <v>0</v>
      </c>
      <c r="AJV17">
        <f t="shared" si="314"/>
        <v>0</v>
      </c>
      <c r="AJW17">
        <f t="shared" si="315"/>
        <v>0</v>
      </c>
      <c r="AJX17">
        <f t="shared" si="316"/>
        <v>0</v>
      </c>
      <c r="AJY17">
        <f t="shared" si="317"/>
        <v>0</v>
      </c>
      <c r="AJZ17">
        <f t="shared" si="37"/>
        <v>0</v>
      </c>
      <c r="AKA17">
        <f t="shared" si="318"/>
        <v>0</v>
      </c>
      <c r="AKB17">
        <f t="shared" si="319"/>
        <v>0</v>
      </c>
      <c r="AKC17">
        <f t="shared" si="320"/>
        <v>0</v>
      </c>
      <c r="AKD17">
        <f t="shared" si="321"/>
        <v>0</v>
      </c>
      <c r="AKE17">
        <f t="shared" si="322"/>
        <v>0</v>
      </c>
      <c r="AKF17">
        <f t="shared" si="323"/>
        <v>0</v>
      </c>
      <c r="AKG17">
        <f t="shared" si="324"/>
        <v>0</v>
      </c>
      <c r="AKH17">
        <f t="shared" si="325"/>
        <v>0</v>
      </c>
      <c r="AKI17">
        <f t="shared" si="326"/>
        <v>0</v>
      </c>
      <c r="AKJ17">
        <f t="shared" si="327"/>
        <v>0</v>
      </c>
      <c r="AKK17">
        <f t="shared" si="328"/>
        <v>0</v>
      </c>
      <c r="AKL17">
        <f t="shared" si="329"/>
        <v>0</v>
      </c>
      <c r="AKM17">
        <f t="shared" si="330"/>
        <v>0</v>
      </c>
      <c r="AKN17">
        <f t="shared" si="331"/>
        <v>0</v>
      </c>
      <c r="AKO17">
        <f t="shared" si="332"/>
        <v>0</v>
      </c>
      <c r="AKP17">
        <f t="shared" si="333"/>
        <v>0</v>
      </c>
      <c r="AKQ17">
        <f t="shared" si="334"/>
        <v>0</v>
      </c>
      <c r="AKR17">
        <f t="shared" si="335"/>
        <v>0</v>
      </c>
      <c r="AKS17">
        <f t="shared" si="336"/>
        <v>0</v>
      </c>
      <c r="AKT17">
        <f t="shared" si="337"/>
        <v>0</v>
      </c>
      <c r="AKU17">
        <f t="shared" si="338"/>
        <v>0</v>
      </c>
      <c r="AKV17">
        <f t="shared" si="339"/>
        <v>0</v>
      </c>
      <c r="AKW17">
        <f t="shared" si="340"/>
        <v>0</v>
      </c>
      <c r="AKX17">
        <f t="shared" si="341"/>
        <v>0</v>
      </c>
      <c r="AKY17">
        <f t="shared" si="342"/>
        <v>0</v>
      </c>
      <c r="AKZ17">
        <f t="shared" si="343"/>
        <v>0</v>
      </c>
      <c r="ALA17">
        <f t="shared" si="344"/>
        <v>0</v>
      </c>
      <c r="ALB17">
        <f t="shared" si="345"/>
        <v>0</v>
      </c>
      <c r="ALC17">
        <f t="shared" si="346"/>
        <v>0</v>
      </c>
      <c r="ALD17">
        <f t="shared" si="347"/>
        <v>0</v>
      </c>
      <c r="ALE17">
        <f t="shared" si="348"/>
        <v>0</v>
      </c>
      <c r="ALF17">
        <f t="shared" si="349"/>
        <v>0</v>
      </c>
      <c r="ALG17">
        <f t="shared" si="350"/>
        <v>0</v>
      </c>
      <c r="ALH17">
        <f t="shared" si="351"/>
        <v>0</v>
      </c>
      <c r="ALI17">
        <f t="shared" si="352"/>
        <v>0</v>
      </c>
      <c r="ALJ17">
        <f t="shared" si="353"/>
        <v>0</v>
      </c>
      <c r="ALK17">
        <f t="shared" si="354"/>
        <v>0</v>
      </c>
      <c r="ALL17">
        <f t="shared" si="355"/>
        <v>0</v>
      </c>
      <c r="ALM17">
        <f t="shared" si="356"/>
        <v>0</v>
      </c>
      <c r="ALN17">
        <f t="shared" si="357"/>
        <v>0</v>
      </c>
      <c r="ALO17">
        <f t="shared" si="358"/>
        <v>0</v>
      </c>
      <c r="ALP17">
        <f t="shared" si="359"/>
        <v>0</v>
      </c>
      <c r="ALQ17">
        <f t="shared" si="360"/>
        <v>0</v>
      </c>
      <c r="ALR17">
        <f t="shared" si="361"/>
        <v>0</v>
      </c>
      <c r="ALS17">
        <f t="shared" si="362"/>
        <v>0</v>
      </c>
      <c r="ALT17">
        <f t="shared" si="363"/>
        <v>0</v>
      </c>
      <c r="ALU17">
        <f t="shared" si="364"/>
        <v>0</v>
      </c>
      <c r="ALV17">
        <f t="shared" si="365"/>
        <v>0</v>
      </c>
      <c r="ALW17">
        <f t="shared" si="366"/>
        <v>0</v>
      </c>
      <c r="ALX17">
        <f t="shared" si="367"/>
        <v>0</v>
      </c>
      <c r="ALY17">
        <f t="shared" si="368"/>
        <v>0</v>
      </c>
      <c r="ALZ17">
        <f t="shared" si="369"/>
        <v>0</v>
      </c>
      <c r="AMA17">
        <f t="shared" si="370"/>
        <v>0</v>
      </c>
      <c r="AMB17">
        <f t="shared" si="371"/>
        <v>0</v>
      </c>
      <c r="AMC17">
        <f t="shared" si="372"/>
        <v>0</v>
      </c>
      <c r="AMD17">
        <f t="shared" si="373"/>
        <v>0</v>
      </c>
      <c r="AME17">
        <f t="shared" si="374"/>
        <v>0</v>
      </c>
      <c r="AMF17">
        <f t="shared" si="375"/>
        <v>0</v>
      </c>
      <c r="AMG17">
        <f t="shared" si="376"/>
        <v>0</v>
      </c>
      <c r="AMH17">
        <f t="shared" si="377"/>
        <v>0</v>
      </c>
      <c r="AMI17">
        <f t="shared" si="378"/>
        <v>0</v>
      </c>
      <c r="AMJ17">
        <f t="shared" si="379"/>
        <v>0</v>
      </c>
      <c r="AMK17">
        <f t="shared" si="380"/>
        <v>0</v>
      </c>
      <c r="AML17">
        <f t="shared" si="38"/>
        <v>0</v>
      </c>
      <c r="AMM17">
        <f t="shared" si="381"/>
        <v>0</v>
      </c>
      <c r="AMN17">
        <f t="shared" si="382"/>
        <v>0</v>
      </c>
      <c r="AMO17">
        <f t="shared" si="383"/>
        <v>0</v>
      </c>
      <c r="AMP17">
        <f t="shared" si="384"/>
        <v>0</v>
      </c>
      <c r="AMQ17">
        <f t="shared" si="385"/>
        <v>0</v>
      </c>
      <c r="AMR17">
        <f t="shared" si="386"/>
        <v>0</v>
      </c>
      <c r="AMS17">
        <f t="shared" si="387"/>
        <v>0</v>
      </c>
      <c r="AMT17">
        <f t="shared" si="388"/>
        <v>0</v>
      </c>
      <c r="AMU17">
        <f t="shared" si="389"/>
        <v>0</v>
      </c>
      <c r="AMV17">
        <f t="shared" si="390"/>
        <v>0</v>
      </c>
      <c r="AMW17">
        <f t="shared" si="391"/>
        <v>0</v>
      </c>
      <c r="AMX17">
        <f t="shared" si="392"/>
        <v>0</v>
      </c>
      <c r="AMY17">
        <f t="shared" si="393"/>
        <v>0</v>
      </c>
      <c r="AMZ17">
        <f t="shared" si="394"/>
        <v>0</v>
      </c>
      <c r="ANA17">
        <f t="shared" si="395"/>
        <v>0</v>
      </c>
      <c r="ANB17">
        <f t="shared" si="396"/>
        <v>0</v>
      </c>
      <c r="ANC17">
        <f t="shared" si="397"/>
        <v>0</v>
      </c>
      <c r="AND17">
        <f t="shared" si="398"/>
        <v>0</v>
      </c>
      <c r="ANE17">
        <f t="shared" si="399"/>
        <v>0</v>
      </c>
      <c r="ANF17">
        <f t="shared" si="400"/>
        <v>0</v>
      </c>
      <c r="ANG17">
        <f t="shared" si="401"/>
        <v>0</v>
      </c>
      <c r="ANH17">
        <f t="shared" si="402"/>
        <v>0</v>
      </c>
      <c r="ANI17">
        <f t="shared" si="403"/>
        <v>0</v>
      </c>
      <c r="ANJ17">
        <f t="shared" si="404"/>
        <v>0</v>
      </c>
      <c r="ANK17">
        <f t="shared" si="405"/>
        <v>0</v>
      </c>
      <c r="ANL17">
        <f t="shared" si="406"/>
        <v>0</v>
      </c>
      <c r="ANM17">
        <f t="shared" si="407"/>
        <v>0</v>
      </c>
      <c r="ANN17">
        <f t="shared" si="408"/>
        <v>0</v>
      </c>
      <c r="ANO17">
        <f t="shared" si="409"/>
        <v>0</v>
      </c>
      <c r="ANP17">
        <f t="shared" si="410"/>
        <v>0</v>
      </c>
      <c r="ANQ17">
        <f t="shared" si="411"/>
        <v>0</v>
      </c>
      <c r="ANR17">
        <f t="shared" si="412"/>
        <v>0</v>
      </c>
      <c r="ANS17">
        <f t="shared" si="413"/>
        <v>0</v>
      </c>
      <c r="ANT17">
        <f t="shared" si="414"/>
        <v>0</v>
      </c>
      <c r="ANU17">
        <f t="shared" si="415"/>
        <v>0</v>
      </c>
      <c r="ANV17">
        <f t="shared" si="416"/>
        <v>0</v>
      </c>
      <c r="ANW17">
        <f t="shared" si="417"/>
        <v>0</v>
      </c>
      <c r="ANX17">
        <f t="shared" si="418"/>
        <v>0</v>
      </c>
      <c r="ANY17">
        <f t="shared" si="419"/>
        <v>0</v>
      </c>
      <c r="ANZ17">
        <f t="shared" si="420"/>
        <v>0</v>
      </c>
      <c r="AOA17">
        <f t="shared" si="421"/>
        <v>0</v>
      </c>
      <c r="AOB17">
        <f t="shared" si="422"/>
        <v>0</v>
      </c>
      <c r="AOC17">
        <f t="shared" si="423"/>
        <v>0</v>
      </c>
      <c r="AOD17">
        <f t="shared" si="424"/>
        <v>0</v>
      </c>
      <c r="AOE17">
        <f t="shared" si="425"/>
        <v>0</v>
      </c>
      <c r="AOF17">
        <f t="shared" si="426"/>
        <v>0</v>
      </c>
      <c r="AOG17">
        <f t="shared" si="427"/>
        <v>0</v>
      </c>
      <c r="AOH17">
        <f t="shared" si="428"/>
        <v>0</v>
      </c>
      <c r="AOI17">
        <f t="shared" si="429"/>
        <v>0</v>
      </c>
      <c r="AOJ17">
        <f t="shared" si="430"/>
        <v>0</v>
      </c>
      <c r="AOK17">
        <f t="shared" si="431"/>
        <v>0</v>
      </c>
      <c r="AOL17">
        <f t="shared" si="432"/>
        <v>0</v>
      </c>
      <c r="AOM17">
        <f t="shared" si="433"/>
        <v>0</v>
      </c>
      <c r="AON17">
        <f t="shared" si="434"/>
        <v>0</v>
      </c>
      <c r="AOO17">
        <f t="shared" si="435"/>
        <v>0</v>
      </c>
      <c r="AOP17">
        <f t="shared" si="436"/>
        <v>0</v>
      </c>
      <c r="AOQ17">
        <f t="shared" si="437"/>
        <v>0</v>
      </c>
      <c r="AOR17">
        <f t="shared" si="438"/>
        <v>0</v>
      </c>
      <c r="AOS17">
        <f t="shared" si="439"/>
        <v>0</v>
      </c>
      <c r="AOT17">
        <f t="shared" si="440"/>
        <v>0</v>
      </c>
      <c r="AOU17">
        <f t="shared" si="441"/>
        <v>0</v>
      </c>
      <c r="AOV17">
        <f t="shared" si="442"/>
        <v>0</v>
      </c>
      <c r="AOW17">
        <f t="shared" si="443"/>
        <v>0</v>
      </c>
      <c r="AOX17">
        <f t="shared" si="39"/>
        <v>0</v>
      </c>
      <c r="AOY17">
        <f t="shared" si="444"/>
        <v>0</v>
      </c>
      <c r="AOZ17">
        <f t="shared" si="445"/>
        <v>0</v>
      </c>
      <c r="APA17">
        <f t="shared" si="446"/>
        <v>0</v>
      </c>
      <c r="APB17">
        <f t="shared" si="447"/>
        <v>0</v>
      </c>
      <c r="APC17">
        <f t="shared" si="448"/>
        <v>0</v>
      </c>
      <c r="APD17">
        <f t="shared" si="449"/>
        <v>0</v>
      </c>
      <c r="APE17">
        <f t="shared" si="450"/>
        <v>0</v>
      </c>
      <c r="APF17">
        <f t="shared" si="451"/>
        <v>0</v>
      </c>
      <c r="APG17">
        <f t="shared" si="452"/>
        <v>0</v>
      </c>
      <c r="APH17">
        <f t="shared" si="453"/>
        <v>0</v>
      </c>
      <c r="API17">
        <f t="shared" si="454"/>
        <v>0</v>
      </c>
      <c r="APJ17">
        <f t="shared" si="455"/>
        <v>0</v>
      </c>
      <c r="APK17">
        <f t="shared" si="456"/>
        <v>0</v>
      </c>
      <c r="APL17">
        <f t="shared" si="457"/>
        <v>0</v>
      </c>
      <c r="APM17">
        <f t="shared" si="458"/>
        <v>0</v>
      </c>
      <c r="APN17">
        <f t="shared" si="459"/>
        <v>0</v>
      </c>
      <c r="APO17">
        <f t="shared" si="460"/>
        <v>0</v>
      </c>
      <c r="APP17">
        <f t="shared" si="461"/>
        <v>0</v>
      </c>
      <c r="APQ17">
        <f t="shared" si="462"/>
        <v>0</v>
      </c>
      <c r="APR17">
        <f t="shared" si="463"/>
        <v>0</v>
      </c>
      <c r="APS17">
        <f t="shared" si="464"/>
        <v>0</v>
      </c>
      <c r="APT17">
        <f t="shared" si="465"/>
        <v>0</v>
      </c>
      <c r="APU17">
        <f t="shared" si="466"/>
        <v>0</v>
      </c>
      <c r="APV17">
        <f t="shared" si="467"/>
        <v>0</v>
      </c>
      <c r="APW17">
        <f t="shared" si="468"/>
        <v>0</v>
      </c>
      <c r="APX17">
        <f t="shared" si="469"/>
        <v>0</v>
      </c>
      <c r="APY17">
        <f t="shared" si="470"/>
        <v>0</v>
      </c>
      <c r="APZ17">
        <f t="shared" si="471"/>
        <v>0</v>
      </c>
      <c r="AQA17">
        <f t="shared" si="472"/>
        <v>0</v>
      </c>
      <c r="AQB17">
        <f t="shared" si="473"/>
        <v>0</v>
      </c>
      <c r="AQC17">
        <f t="shared" si="474"/>
        <v>0</v>
      </c>
      <c r="AQD17">
        <f t="shared" si="475"/>
        <v>0</v>
      </c>
      <c r="AQE17">
        <f t="shared" si="476"/>
        <v>0</v>
      </c>
      <c r="AQF17">
        <f t="shared" si="477"/>
        <v>0</v>
      </c>
      <c r="AQG17">
        <f t="shared" si="478"/>
        <v>0</v>
      </c>
      <c r="AQH17">
        <f t="shared" si="479"/>
        <v>0</v>
      </c>
      <c r="AQI17">
        <f t="shared" si="480"/>
        <v>0</v>
      </c>
      <c r="AQJ17">
        <f t="shared" si="481"/>
        <v>0</v>
      </c>
      <c r="AQK17">
        <f t="shared" si="482"/>
        <v>0</v>
      </c>
      <c r="AQL17">
        <f t="shared" si="483"/>
        <v>0</v>
      </c>
      <c r="AQM17">
        <f t="shared" si="484"/>
        <v>0</v>
      </c>
      <c r="AQN17">
        <f t="shared" si="485"/>
        <v>0</v>
      </c>
      <c r="AQO17">
        <f t="shared" si="486"/>
        <v>0</v>
      </c>
      <c r="AQP17">
        <f t="shared" si="487"/>
        <v>0</v>
      </c>
      <c r="AQQ17">
        <f t="shared" si="488"/>
        <v>0</v>
      </c>
      <c r="AQR17">
        <f t="shared" si="489"/>
        <v>0</v>
      </c>
      <c r="AQS17">
        <f t="shared" si="490"/>
        <v>0</v>
      </c>
      <c r="AQT17">
        <f t="shared" si="491"/>
        <v>0</v>
      </c>
      <c r="AQU17">
        <f t="shared" si="492"/>
        <v>0</v>
      </c>
      <c r="AQV17">
        <f t="shared" si="493"/>
        <v>0</v>
      </c>
      <c r="AQW17">
        <f t="shared" si="494"/>
        <v>0</v>
      </c>
      <c r="AQX17">
        <f t="shared" si="495"/>
        <v>0</v>
      </c>
      <c r="AQY17">
        <f t="shared" si="496"/>
        <v>0</v>
      </c>
      <c r="AQZ17">
        <f t="shared" si="497"/>
        <v>0</v>
      </c>
      <c r="ARA17">
        <f t="shared" si="498"/>
        <v>0</v>
      </c>
      <c r="ARB17">
        <f t="shared" si="499"/>
        <v>0</v>
      </c>
      <c r="ARC17">
        <f t="shared" si="500"/>
        <v>0</v>
      </c>
      <c r="ARD17">
        <f t="shared" si="501"/>
        <v>0</v>
      </c>
      <c r="ARE17">
        <f t="shared" si="502"/>
        <v>0</v>
      </c>
      <c r="ARF17">
        <f t="shared" si="503"/>
        <v>0</v>
      </c>
      <c r="ARG17">
        <f t="shared" si="504"/>
        <v>0</v>
      </c>
      <c r="ARH17">
        <f t="shared" si="505"/>
        <v>0</v>
      </c>
      <c r="ARI17">
        <f t="shared" si="506"/>
        <v>0</v>
      </c>
      <c r="ARJ17">
        <f t="shared" si="40"/>
        <v>0</v>
      </c>
      <c r="ARK17">
        <f t="shared" si="507"/>
        <v>0</v>
      </c>
      <c r="ARL17">
        <f t="shared" si="508"/>
        <v>0</v>
      </c>
      <c r="ARM17">
        <f t="shared" si="509"/>
        <v>0</v>
      </c>
      <c r="ARN17">
        <f t="shared" si="510"/>
        <v>0</v>
      </c>
      <c r="ARO17">
        <f t="shared" si="511"/>
        <v>0</v>
      </c>
      <c r="ARP17">
        <f t="shared" si="512"/>
        <v>0</v>
      </c>
      <c r="ARQ17">
        <f t="shared" si="513"/>
        <v>0</v>
      </c>
      <c r="ARR17">
        <f t="shared" si="514"/>
        <v>0</v>
      </c>
      <c r="ARS17">
        <f t="shared" si="515"/>
        <v>0</v>
      </c>
      <c r="ART17">
        <f t="shared" si="516"/>
        <v>0</v>
      </c>
      <c r="ARU17">
        <f t="shared" si="517"/>
        <v>0</v>
      </c>
      <c r="ARV17">
        <f t="shared" si="518"/>
        <v>0</v>
      </c>
      <c r="ARW17">
        <f t="shared" si="519"/>
        <v>0</v>
      </c>
      <c r="ARX17">
        <f t="shared" si="520"/>
        <v>0</v>
      </c>
      <c r="ARY17">
        <f t="shared" si="521"/>
        <v>0</v>
      </c>
      <c r="ARZ17">
        <f t="shared" si="522"/>
        <v>0</v>
      </c>
      <c r="ASA17">
        <f t="shared" si="523"/>
        <v>0</v>
      </c>
      <c r="ASB17">
        <f t="shared" si="524"/>
        <v>0</v>
      </c>
      <c r="ASC17">
        <f t="shared" si="525"/>
        <v>0</v>
      </c>
      <c r="ASD17">
        <f t="shared" si="526"/>
        <v>0</v>
      </c>
      <c r="ASE17">
        <f t="shared" si="527"/>
        <v>0</v>
      </c>
      <c r="ASF17">
        <f t="shared" si="528"/>
        <v>0</v>
      </c>
      <c r="ASG17">
        <f t="shared" si="529"/>
        <v>0</v>
      </c>
      <c r="ASH17">
        <f t="shared" si="530"/>
        <v>0</v>
      </c>
      <c r="ASI17">
        <f t="shared" si="531"/>
        <v>0</v>
      </c>
      <c r="ASJ17">
        <f t="shared" si="532"/>
        <v>0</v>
      </c>
      <c r="ASK17">
        <f t="shared" si="533"/>
        <v>0</v>
      </c>
      <c r="ASL17">
        <f t="shared" si="534"/>
        <v>0</v>
      </c>
      <c r="ASM17">
        <f t="shared" si="535"/>
        <v>0</v>
      </c>
      <c r="ASN17">
        <f t="shared" si="536"/>
        <v>0</v>
      </c>
      <c r="ASO17">
        <f t="shared" si="537"/>
        <v>0</v>
      </c>
      <c r="ASP17">
        <f t="shared" si="538"/>
        <v>0</v>
      </c>
      <c r="ASQ17">
        <f t="shared" si="539"/>
        <v>0</v>
      </c>
      <c r="ASR17">
        <f t="shared" si="540"/>
        <v>0</v>
      </c>
      <c r="ASS17">
        <f t="shared" si="541"/>
        <v>0</v>
      </c>
      <c r="AST17">
        <f t="shared" si="542"/>
        <v>0</v>
      </c>
      <c r="ASU17">
        <f t="shared" si="543"/>
        <v>0</v>
      </c>
      <c r="ASV17">
        <f t="shared" si="544"/>
        <v>0</v>
      </c>
      <c r="ASW17">
        <f t="shared" si="545"/>
        <v>0</v>
      </c>
      <c r="ASX17">
        <f t="shared" si="546"/>
        <v>0</v>
      </c>
      <c r="ASY17">
        <f t="shared" si="547"/>
        <v>0</v>
      </c>
      <c r="ASZ17">
        <f t="shared" si="548"/>
        <v>0</v>
      </c>
      <c r="ATA17">
        <f t="shared" si="549"/>
        <v>0</v>
      </c>
      <c r="ATB17">
        <f t="shared" si="550"/>
        <v>0</v>
      </c>
      <c r="ATC17">
        <f t="shared" si="551"/>
        <v>0</v>
      </c>
      <c r="ATD17">
        <f t="shared" si="552"/>
        <v>0</v>
      </c>
      <c r="ATE17">
        <f t="shared" si="553"/>
        <v>0</v>
      </c>
      <c r="ATF17">
        <f t="shared" si="554"/>
        <v>0</v>
      </c>
      <c r="ATG17">
        <f t="shared" si="555"/>
        <v>0</v>
      </c>
      <c r="ATH17">
        <f t="shared" si="556"/>
        <v>0</v>
      </c>
      <c r="ATI17">
        <f t="shared" si="557"/>
        <v>0</v>
      </c>
      <c r="ATJ17">
        <f t="shared" si="558"/>
        <v>0</v>
      </c>
      <c r="ATK17">
        <f t="shared" si="559"/>
        <v>0</v>
      </c>
      <c r="ATL17">
        <f t="shared" si="560"/>
        <v>0</v>
      </c>
      <c r="ATM17">
        <f t="shared" si="561"/>
        <v>0</v>
      </c>
      <c r="ATN17">
        <f t="shared" si="562"/>
        <v>0</v>
      </c>
      <c r="ATO17">
        <f t="shared" si="563"/>
        <v>0</v>
      </c>
      <c r="ATP17">
        <f t="shared" si="564"/>
        <v>0</v>
      </c>
      <c r="ATQ17">
        <f t="shared" si="565"/>
        <v>0</v>
      </c>
      <c r="ATR17">
        <f t="shared" si="566"/>
        <v>0</v>
      </c>
      <c r="ATS17">
        <f t="shared" si="567"/>
        <v>0</v>
      </c>
      <c r="ATT17">
        <f t="shared" si="568"/>
        <v>0</v>
      </c>
      <c r="ATU17">
        <f t="shared" si="569"/>
        <v>0</v>
      </c>
      <c r="ATV17">
        <f t="shared" si="41"/>
        <v>0</v>
      </c>
      <c r="ATW17">
        <f t="shared" si="570"/>
        <v>0</v>
      </c>
      <c r="ATX17">
        <f t="shared" si="571"/>
        <v>0</v>
      </c>
      <c r="ATY17">
        <f t="shared" si="572"/>
        <v>0</v>
      </c>
      <c r="ATZ17">
        <f t="shared" si="573"/>
        <v>0</v>
      </c>
      <c r="AUA17">
        <f t="shared" si="574"/>
        <v>0</v>
      </c>
      <c r="AUB17">
        <f t="shared" si="575"/>
        <v>0</v>
      </c>
      <c r="AUC17">
        <f t="shared" si="576"/>
        <v>0</v>
      </c>
      <c r="AUD17">
        <f t="shared" si="577"/>
        <v>0</v>
      </c>
      <c r="AUE17">
        <f t="shared" si="578"/>
        <v>0</v>
      </c>
      <c r="AUF17">
        <f t="shared" si="579"/>
        <v>0</v>
      </c>
      <c r="AUG17">
        <f t="shared" si="580"/>
        <v>0</v>
      </c>
      <c r="AUH17">
        <f t="shared" si="581"/>
        <v>0</v>
      </c>
      <c r="AUI17">
        <f t="shared" si="582"/>
        <v>0</v>
      </c>
      <c r="AUJ17">
        <f t="shared" si="583"/>
        <v>0</v>
      </c>
      <c r="AUK17">
        <f t="shared" si="584"/>
        <v>0</v>
      </c>
      <c r="AUL17">
        <f t="shared" si="585"/>
        <v>0</v>
      </c>
      <c r="AUM17">
        <f t="shared" si="586"/>
        <v>0</v>
      </c>
      <c r="AUN17">
        <f t="shared" si="587"/>
        <v>0</v>
      </c>
      <c r="AUO17">
        <f t="shared" si="588"/>
        <v>0</v>
      </c>
      <c r="AUP17">
        <f t="shared" si="589"/>
        <v>0</v>
      </c>
      <c r="AUQ17">
        <f t="shared" si="590"/>
        <v>0</v>
      </c>
      <c r="AUR17">
        <f t="shared" si="591"/>
        <v>0</v>
      </c>
      <c r="AUS17">
        <f t="shared" si="592"/>
        <v>0</v>
      </c>
      <c r="AUT17">
        <f t="shared" si="593"/>
        <v>0</v>
      </c>
      <c r="AUU17">
        <f t="shared" si="594"/>
        <v>0</v>
      </c>
      <c r="AUV17">
        <f t="shared" si="595"/>
        <v>0</v>
      </c>
      <c r="AUW17">
        <f t="shared" si="596"/>
        <v>0</v>
      </c>
      <c r="AUX17">
        <f t="shared" si="597"/>
        <v>0</v>
      </c>
      <c r="AUY17">
        <f t="shared" si="598"/>
        <v>0</v>
      </c>
      <c r="AUZ17">
        <f t="shared" si="599"/>
        <v>0</v>
      </c>
      <c r="AVA17">
        <f t="shared" si="600"/>
        <v>0</v>
      </c>
      <c r="AVB17">
        <f t="shared" si="601"/>
        <v>0</v>
      </c>
      <c r="AVC17">
        <f t="shared" si="602"/>
        <v>0</v>
      </c>
      <c r="AVD17">
        <f t="shared" si="603"/>
        <v>0</v>
      </c>
      <c r="AVE17">
        <f t="shared" si="604"/>
        <v>0</v>
      </c>
      <c r="AVF17">
        <f t="shared" si="605"/>
        <v>0</v>
      </c>
      <c r="AVG17">
        <f t="shared" si="606"/>
        <v>0</v>
      </c>
      <c r="AVH17">
        <f t="shared" si="607"/>
        <v>0</v>
      </c>
      <c r="AVI17">
        <f t="shared" si="608"/>
        <v>0</v>
      </c>
      <c r="AVJ17">
        <f t="shared" si="609"/>
        <v>0</v>
      </c>
      <c r="AVK17">
        <f t="shared" si="610"/>
        <v>0</v>
      </c>
      <c r="AVL17">
        <f t="shared" si="611"/>
        <v>0</v>
      </c>
      <c r="AVM17">
        <f t="shared" si="612"/>
        <v>0</v>
      </c>
      <c r="AVN17">
        <f t="shared" si="613"/>
        <v>0</v>
      </c>
      <c r="AVO17">
        <f t="shared" si="614"/>
        <v>0</v>
      </c>
      <c r="AVP17">
        <f t="shared" si="615"/>
        <v>0</v>
      </c>
      <c r="AVQ17">
        <f t="shared" si="616"/>
        <v>0</v>
      </c>
      <c r="AVR17">
        <f t="shared" si="617"/>
        <v>0</v>
      </c>
      <c r="AVS17">
        <f t="shared" si="618"/>
        <v>0</v>
      </c>
      <c r="AVT17">
        <f t="shared" si="619"/>
        <v>0</v>
      </c>
      <c r="AVU17">
        <f t="shared" si="620"/>
        <v>0</v>
      </c>
      <c r="AVV17">
        <f t="shared" si="621"/>
        <v>0</v>
      </c>
      <c r="AVW17">
        <f t="shared" si="622"/>
        <v>0</v>
      </c>
      <c r="AVX17">
        <f t="shared" si="623"/>
        <v>0</v>
      </c>
      <c r="AVY17">
        <f t="shared" si="624"/>
        <v>0</v>
      </c>
      <c r="AVZ17">
        <f t="shared" si="625"/>
        <v>0</v>
      </c>
      <c r="AWA17">
        <f t="shared" si="626"/>
        <v>0</v>
      </c>
      <c r="AWB17">
        <f t="shared" si="627"/>
        <v>0</v>
      </c>
      <c r="AWC17">
        <f t="shared" si="628"/>
        <v>0</v>
      </c>
      <c r="AWD17">
        <f t="shared" si="629"/>
        <v>0</v>
      </c>
      <c r="AWE17">
        <f t="shared" si="630"/>
        <v>0</v>
      </c>
      <c r="AWF17">
        <f t="shared" si="631"/>
        <v>0</v>
      </c>
      <c r="AWG17">
        <f t="shared" si="632"/>
        <v>0</v>
      </c>
      <c r="AWH17">
        <f t="shared" si="42"/>
        <v>0</v>
      </c>
      <c r="AWI17">
        <f t="shared" si="633"/>
        <v>0</v>
      </c>
      <c r="AWJ17">
        <f t="shared" si="634"/>
        <v>0</v>
      </c>
      <c r="AWK17">
        <f t="shared" si="635"/>
        <v>0</v>
      </c>
      <c r="AWL17">
        <f t="shared" si="636"/>
        <v>0</v>
      </c>
      <c r="AWM17">
        <f t="shared" si="637"/>
        <v>0</v>
      </c>
      <c r="AWN17">
        <f t="shared" si="638"/>
        <v>0</v>
      </c>
      <c r="AWO17">
        <f t="shared" si="639"/>
        <v>0</v>
      </c>
      <c r="AWP17">
        <f t="shared" si="640"/>
        <v>0</v>
      </c>
      <c r="AWQ17">
        <f t="shared" si="641"/>
        <v>0</v>
      </c>
      <c r="AWR17">
        <f t="shared" si="642"/>
        <v>0</v>
      </c>
      <c r="AWS17">
        <f t="shared" si="643"/>
        <v>0</v>
      </c>
      <c r="AWT17">
        <f t="shared" si="644"/>
        <v>0</v>
      </c>
      <c r="AWU17">
        <f t="shared" si="645"/>
        <v>0</v>
      </c>
      <c r="AWV17">
        <f t="shared" si="646"/>
        <v>0</v>
      </c>
      <c r="AWW17">
        <f t="shared" si="647"/>
        <v>0</v>
      </c>
      <c r="AWX17">
        <f t="shared" si="648"/>
        <v>0</v>
      </c>
      <c r="AWY17">
        <f t="shared" si="649"/>
        <v>0</v>
      </c>
      <c r="AWZ17">
        <f t="shared" si="650"/>
        <v>0</v>
      </c>
      <c r="AXA17">
        <f t="shared" si="651"/>
        <v>0</v>
      </c>
      <c r="AXB17">
        <f t="shared" si="652"/>
        <v>0</v>
      </c>
      <c r="AXC17">
        <f t="shared" si="653"/>
        <v>0</v>
      </c>
      <c r="AXD17">
        <f t="shared" si="654"/>
        <v>0</v>
      </c>
      <c r="AXE17">
        <f t="shared" si="655"/>
        <v>0</v>
      </c>
      <c r="AXF17">
        <f t="shared" si="656"/>
        <v>0</v>
      </c>
      <c r="AXG17">
        <f t="shared" si="657"/>
        <v>0</v>
      </c>
      <c r="AXH17">
        <f t="shared" si="658"/>
        <v>0</v>
      </c>
      <c r="AXI17">
        <f t="shared" si="659"/>
        <v>0</v>
      </c>
      <c r="AXJ17">
        <f t="shared" si="660"/>
        <v>0</v>
      </c>
      <c r="AXK17">
        <f t="shared" si="661"/>
        <v>0</v>
      </c>
      <c r="AXL17">
        <f t="shared" si="662"/>
        <v>0</v>
      </c>
      <c r="AXM17">
        <f t="shared" si="663"/>
        <v>0</v>
      </c>
      <c r="AXN17">
        <f t="shared" si="664"/>
        <v>0</v>
      </c>
      <c r="AXO17">
        <f t="shared" si="665"/>
        <v>0</v>
      </c>
      <c r="AXP17">
        <f t="shared" si="666"/>
        <v>0</v>
      </c>
      <c r="AXQ17">
        <f t="shared" si="667"/>
        <v>0</v>
      </c>
      <c r="AXR17">
        <f t="shared" si="668"/>
        <v>0</v>
      </c>
      <c r="AXS17">
        <f t="shared" si="669"/>
        <v>0</v>
      </c>
      <c r="AXT17">
        <f t="shared" si="670"/>
        <v>0</v>
      </c>
      <c r="AXU17">
        <f t="shared" si="671"/>
        <v>0</v>
      </c>
      <c r="AXV17">
        <f t="shared" si="672"/>
        <v>0</v>
      </c>
      <c r="AXW17">
        <f t="shared" si="673"/>
        <v>0</v>
      </c>
      <c r="AXX17">
        <f t="shared" si="674"/>
        <v>0</v>
      </c>
      <c r="AXY17">
        <f t="shared" si="675"/>
        <v>0</v>
      </c>
      <c r="AXZ17">
        <f t="shared" si="676"/>
        <v>0</v>
      </c>
      <c r="AYA17">
        <f t="shared" si="677"/>
        <v>0</v>
      </c>
      <c r="AYB17">
        <f t="shared" si="678"/>
        <v>0</v>
      </c>
      <c r="AYC17">
        <f t="shared" si="679"/>
        <v>0</v>
      </c>
      <c r="AYD17">
        <f t="shared" si="680"/>
        <v>0</v>
      </c>
      <c r="AYE17">
        <f t="shared" si="681"/>
        <v>0</v>
      </c>
      <c r="AYF17">
        <f t="shared" si="682"/>
        <v>0</v>
      </c>
      <c r="AYG17">
        <f t="shared" si="683"/>
        <v>0</v>
      </c>
      <c r="AYH17">
        <f t="shared" si="684"/>
        <v>0</v>
      </c>
      <c r="AYI17">
        <f t="shared" si="685"/>
        <v>0</v>
      </c>
      <c r="AYJ17">
        <f t="shared" si="686"/>
        <v>0</v>
      </c>
      <c r="AYK17">
        <f t="shared" si="687"/>
        <v>0</v>
      </c>
      <c r="AYL17">
        <f t="shared" si="688"/>
        <v>0</v>
      </c>
      <c r="AYM17">
        <f t="shared" si="689"/>
        <v>0</v>
      </c>
      <c r="AYN17">
        <f t="shared" si="690"/>
        <v>0</v>
      </c>
      <c r="AYO17">
        <f t="shared" si="691"/>
        <v>0</v>
      </c>
      <c r="AYP17">
        <f t="shared" si="692"/>
        <v>0</v>
      </c>
      <c r="AYQ17">
        <f t="shared" si="693"/>
        <v>0</v>
      </c>
      <c r="AYR17">
        <f t="shared" si="694"/>
        <v>0</v>
      </c>
      <c r="AYS17">
        <f t="shared" si="695"/>
        <v>0</v>
      </c>
      <c r="AYT17">
        <f t="shared" si="43"/>
        <v>0</v>
      </c>
      <c r="AYU17">
        <f t="shared" si="696"/>
        <v>0</v>
      </c>
      <c r="AYV17">
        <f t="shared" si="697"/>
        <v>0</v>
      </c>
      <c r="AYW17">
        <f t="shared" si="698"/>
        <v>0</v>
      </c>
      <c r="AYX17">
        <f t="shared" si="699"/>
        <v>0</v>
      </c>
      <c r="AYY17">
        <f t="shared" si="700"/>
        <v>0</v>
      </c>
      <c r="AYZ17">
        <f t="shared" si="701"/>
        <v>0</v>
      </c>
      <c r="AZA17">
        <f t="shared" si="702"/>
        <v>0</v>
      </c>
      <c r="AZB17">
        <f t="shared" si="703"/>
        <v>0</v>
      </c>
      <c r="AZC17">
        <f t="shared" si="704"/>
        <v>0</v>
      </c>
      <c r="AZD17">
        <f t="shared" si="705"/>
        <v>0</v>
      </c>
      <c r="AZE17">
        <f t="shared" si="706"/>
        <v>0</v>
      </c>
      <c r="AZF17">
        <f t="shared" si="707"/>
        <v>0</v>
      </c>
      <c r="AZG17">
        <f t="shared" si="708"/>
        <v>0</v>
      </c>
      <c r="AZH17">
        <f t="shared" si="709"/>
        <v>0</v>
      </c>
      <c r="AZI17">
        <f t="shared" si="710"/>
        <v>0</v>
      </c>
      <c r="AZJ17">
        <f t="shared" si="711"/>
        <v>0</v>
      </c>
      <c r="AZK17">
        <f t="shared" si="712"/>
        <v>0</v>
      </c>
      <c r="AZL17">
        <f t="shared" si="713"/>
        <v>0</v>
      </c>
      <c r="AZM17">
        <f t="shared" si="714"/>
        <v>0</v>
      </c>
      <c r="AZN17">
        <f t="shared" si="715"/>
        <v>0</v>
      </c>
      <c r="AZO17">
        <f t="shared" si="716"/>
        <v>0</v>
      </c>
      <c r="AZP17">
        <f t="shared" si="717"/>
        <v>0</v>
      </c>
      <c r="AZQ17">
        <f t="shared" si="718"/>
        <v>0</v>
      </c>
      <c r="AZR17">
        <f t="shared" si="719"/>
        <v>0</v>
      </c>
      <c r="AZS17">
        <f t="shared" si="720"/>
        <v>0</v>
      </c>
      <c r="AZT17">
        <f t="shared" si="721"/>
        <v>0</v>
      </c>
      <c r="AZU17">
        <f t="shared" si="722"/>
        <v>0</v>
      </c>
      <c r="AZV17">
        <f t="shared" si="723"/>
        <v>0</v>
      </c>
      <c r="AZW17">
        <f t="shared" si="724"/>
        <v>0</v>
      </c>
      <c r="AZX17">
        <f t="shared" si="725"/>
        <v>0</v>
      </c>
      <c r="AZY17">
        <f t="shared" si="726"/>
        <v>0</v>
      </c>
      <c r="AZZ17">
        <f t="shared" si="727"/>
        <v>0</v>
      </c>
      <c r="BAA17">
        <f t="shared" si="728"/>
        <v>0</v>
      </c>
      <c r="BAB17">
        <f t="shared" si="729"/>
        <v>0</v>
      </c>
      <c r="BAC17">
        <f t="shared" si="730"/>
        <v>0</v>
      </c>
      <c r="BAD17">
        <f t="shared" si="731"/>
        <v>0</v>
      </c>
      <c r="BAE17">
        <f t="shared" si="732"/>
        <v>0</v>
      </c>
      <c r="BAF17">
        <f t="shared" si="733"/>
        <v>0</v>
      </c>
      <c r="BAG17">
        <f t="shared" si="734"/>
        <v>0</v>
      </c>
      <c r="BAH17">
        <f t="shared" si="735"/>
        <v>0</v>
      </c>
      <c r="BAI17">
        <f t="shared" si="736"/>
        <v>0</v>
      </c>
      <c r="BAJ17">
        <f t="shared" si="737"/>
        <v>0</v>
      </c>
      <c r="BAK17">
        <f t="shared" si="738"/>
        <v>0</v>
      </c>
      <c r="BAL17">
        <f t="shared" si="739"/>
        <v>0</v>
      </c>
      <c r="BAM17">
        <f t="shared" si="740"/>
        <v>0</v>
      </c>
      <c r="BAN17">
        <f t="shared" si="741"/>
        <v>0</v>
      </c>
      <c r="BAO17">
        <f t="shared" si="742"/>
        <v>0</v>
      </c>
      <c r="BAP17">
        <f t="shared" si="743"/>
        <v>0</v>
      </c>
      <c r="BAQ17">
        <f t="shared" si="744"/>
        <v>0</v>
      </c>
      <c r="BAR17">
        <f t="shared" si="745"/>
        <v>0</v>
      </c>
      <c r="BAS17">
        <f t="shared" si="746"/>
        <v>0</v>
      </c>
      <c r="BAT17">
        <f t="shared" si="747"/>
        <v>0</v>
      </c>
      <c r="BAU17">
        <f t="shared" si="748"/>
        <v>0</v>
      </c>
      <c r="BAV17">
        <f t="shared" si="749"/>
        <v>0</v>
      </c>
      <c r="BAW17">
        <f t="shared" si="750"/>
        <v>0</v>
      </c>
      <c r="BAX17">
        <f t="shared" si="751"/>
        <v>0</v>
      </c>
      <c r="BAY17">
        <f t="shared" si="752"/>
        <v>0</v>
      </c>
      <c r="BAZ17">
        <f t="shared" si="753"/>
        <v>0</v>
      </c>
      <c r="BBA17">
        <f t="shared" si="754"/>
        <v>0</v>
      </c>
      <c r="BBB17">
        <f t="shared" si="755"/>
        <v>0</v>
      </c>
      <c r="BBC17">
        <f t="shared" si="756"/>
        <v>0</v>
      </c>
      <c r="BBD17">
        <f t="shared" si="757"/>
        <v>0</v>
      </c>
      <c r="BBE17">
        <f t="shared" si="758"/>
        <v>0</v>
      </c>
      <c r="BBF17">
        <f t="shared" si="44"/>
        <v>0</v>
      </c>
      <c r="BBG17">
        <f t="shared" si="759"/>
        <v>0</v>
      </c>
      <c r="BBH17">
        <f t="shared" si="760"/>
        <v>0</v>
      </c>
      <c r="BBI17">
        <f t="shared" si="761"/>
        <v>0</v>
      </c>
      <c r="BBJ17">
        <f t="shared" si="762"/>
        <v>0</v>
      </c>
      <c r="BBK17">
        <f t="shared" si="763"/>
        <v>0</v>
      </c>
      <c r="BBL17">
        <f t="shared" si="764"/>
        <v>0</v>
      </c>
      <c r="BBM17">
        <f t="shared" si="765"/>
        <v>0</v>
      </c>
      <c r="BBN17">
        <f t="shared" si="766"/>
        <v>0</v>
      </c>
      <c r="BBO17">
        <f t="shared" si="767"/>
        <v>0</v>
      </c>
      <c r="BBP17">
        <f t="shared" si="768"/>
        <v>0</v>
      </c>
      <c r="BBQ17">
        <f t="shared" si="769"/>
        <v>0</v>
      </c>
      <c r="BBR17">
        <f t="shared" si="770"/>
        <v>0</v>
      </c>
      <c r="BBS17">
        <f t="shared" si="771"/>
        <v>0</v>
      </c>
      <c r="BBT17">
        <f t="shared" si="772"/>
        <v>0</v>
      </c>
      <c r="BBU17">
        <f t="shared" si="773"/>
        <v>0</v>
      </c>
      <c r="BBV17">
        <f t="shared" si="774"/>
        <v>0</v>
      </c>
      <c r="BBW17">
        <f t="shared" si="775"/>
        <v>0</v>
      </c>
      <c r="BBX17">
        <f t="shared" si="776"/>
        <v>0</v>
      </c>
      <c r="BBY17">
        <f t="shared" si="777"/>
        <v>0</v>
      </c>
      <c r="BBZ17">
        <f t="shared" si="778"/>
        <v>0</v>
      </c>
      <c r="BCA17">
        <f t="shared" si="779"/>
        <v>0</v>
      </c>
      <c r="BCB17">
        <f t="shared" si="780"/>
        <v>0</v>
      </c>
      <c r="BCC17">
        <f t="shared" si="781"/>
        <v>0</v>
      </c>
      <c r="BCD17">
        <f t="shared" si="782"/>
        <v>0</v>
      </c>
      <c r="BCE17">
        <f t="shared" si="783"/>
        <v>0</v>
      </c>
      <c r="BCF17">
        <f t="shared" si="784"/>
        <v>0</v>
      </c>
      <c r="BCG17">
        <f t="shared" si="785"/>
        <v>0</v>
      </c>
      <c r="BCH17">
        <f t="shared" si="786"/>
        <v>0</v>
      </c>
      <c r="BCI17">
        <f t="shared" si="787"/>
        <v>0</v>
      </c>
      <c r="BCJ17">
        <f t="shared" si="788"/>
        <v>0</v>
      </c>
      <c r="BCK17">
        <f t="shared" si="789"/>
        <v>0</v>
      </c>
      <c r="BCL17">
        <f t="shared" si="790"/>
        <v>0</v>
      </c>
      <c r="BCM17">
        <f t="shared" si="791"/>
        <v>0</v>
      </c>
      <c r="BCN17">
        <f t="shared" si="792"/>
        <v>0</v>
      </c>
      <c r="BCO17">
        <f t="shared" si="793"/>
        <v>0</v>
      </c>
      <c r="BCP17">
        <f t="shared" si="794"/>
        <v>0</v>
      </c>
      <c r="BCQ17">
        <f t="shared" si="795"/>
        <v>0</v>
      </c>
      <c r="BCR17">
        <f t="shared" si="796"/>
        <v>0</v>
      </c>
      <c r="BCS17">
        <f t="shared" si="797"/>
        <v>0</v>
      </c>
      <c r="BCT17">
        <f t="shared" si="798"/>
        <v>0</v>
      </c>
      <c r="BCU17">
        <f t="shared" si="799"/>
        <v>0</v>
      </c>
      <c r="BCV17">
        <f t="shared" si="800"/>
        <v>0</v>
      </c>
      <c r="BCW17">
        <f t="shared" si="801"/>
        <v>0</v>
      </c>
      <c r="BCX17">
        <f t="shared" si="802"/>
        <v>0</v>
      </c>
      <c r="BCY17">
        <f t="shared" si="803"/>
        <v>0</v>
      </c>
      <c r="BCZ17">
        <f t="shared" si="804"/>
        <v>0</v>
      </c>
      <c r="BDA17">
        <f t="shared" si="805"/>
        <v>0</v>
      </c>
      <c r="BDB17">
        <f t="shared" si="806"/>
        <v>0</v>
      </c>
      <c r="BDC17">
        <f t="shared" si="807"/>
        <v>0</v>
      </c>
      <c r="BDD17">
        <f t="shared" si="808"/>
        <v>0</v>
      </c>
      <c r="BDE17">
        <f t="shared" si="809"/>
        <v>0</v>
      </c>
      <c r="BDF17">
        <f t="shared" si="810"/>
        <v>0</v>
      </c>
      <c r="BDG17">
        <f t="shared" si="811"/>
        <v>0</v>
      </c>
      <c r="BDH17">
        <f t="shared" si="812"/>
        <v>0</v>
      </c>
      <c r="BDI17">
        <f t="shared" si="813"/>
        <v>0</v>
      </c>
      <c r="BDJ17">
        <f t="shared" si="814"/>
        <v>0</v>
      </c>
      <c r="BDK17">
        <f t="shared" si="815"/>
        <v>0</v>
      </c>
      <c r="BDL17">
        <f t="shared" si="816"/>
        <v>0</v>
      </c>
      <c r="BDM17">
        <f t="shared" si="817"/>
        <v>0</v>
      </c>
      <c r="BDN17">
        <f t="shared" si="818"/>
        <v>0</v>
      </c>
      <c r="BDO17">
        <f t="shared" si="819"/>
        <v>0</v>
      </c>
      <c r="BDP17">
        <f t="shared" si="820"/>
        <v>0</v>
      </c>
      <c r="BDQ17">
        <f t="shared" si="821"/>
        <v>0</v>
      </c>
      <c r="BDR17">
        <f t="shared" si="45"/>
        <v>0</v>
      </c>
      <c r="BDS17">
        <f t="shared" si="822"/>
        <v>0</v>
      </c>
      <c r="BDT17">
        <f t="shared" si="823"/>
        <v>0</v>
      </c>
      <c r="BDU17">
        <f t="shared" si="824"/>
        <v>0</v>
      </c>
      <c r="BDV17">
        <f t="shared" si="825"/>
        <v>0</v>
      </c>
      <c r="BDW17">
        <f t="shared" si="826"/>
        <v>0</v>
      </c>
      <c r="BDX17">
        <f t="shared" si="827"/>
        <v>0</v>
      </c>
      <c r="BDY17">
        <f t="shared" si="828"/>
        <v>0</v>
      </c>
      <c r="BDZ17">
        <f t="shared" si="829"/>
        <v>0</v>
      </c>
      <c r="BEA17">
        <f t="shared" si="830"/>
        <v>0</v>
      </c>
      <c r="BEB17">
        <f t="shared" si="831"/>
        <v>0</v>
      </c>
      <c r="BEC17">
        <f t="shared" si="832"/>
        <v>0</v>
      </c>
      <c r="BED17">
        <f t="shared" si="833"/>
        <v>0</v>
      </c>
      <c r="BEE17">
        <f t="shared" si="834"/>
        <v>0</v>
      </c>
      <c r="BEF17">
        <f t="shared" si="835"/>
        <v>0</v>
      </c>
      <c r="BEG17">
        <f t="shared" si="836"/>
        <v>0</v>
      </c>
      <c r="BEH17">
        <f t="shared" si="837"/>
        <v>0</v>
      </c>
      <c r="BEI17">
        <f t="shared" si="838"/>
        <v>0</v>
      </c>
      <c r="BEJ17">
        <f t="shared" si="839"/>
        <v>0</v>
      </c>
      <c r="BEK17">
        <f t="shared" si="840"/>
        <v>0</v>
      </c>
      <c r="BEL17">
        <f t="shared" si="841"/>
        <v>0</v>
      </c>
      <c r="BEM17">
        <f t="shared" si="842"/>
        <v>0</v>
      </c>
      <c r="BEN17">
        <f t="shared" si="843"/>
        <v>0</v>
      </c>
      <c r="BEO17">
        <f t="shared" si="844"/>
        <v>0</v>
      </c>
      <c r="BEP17">
        <f t="shared" si="845"/>
        <v>0</v>
      </c>
      <c r="BEQ17">
        <f t="shared" si="846"/>
        <v>0</v>
      </c>
      <c r="BER17">
        <f t="shared" si="847"/>
        <v>0</v>
      </c>
      <c r="BES17">
        <f t="shared" si="848"/>
        <v>0</v>
      </c>
      <c r="BET17">
        <f t="shared" si="849"/>
        <v>0</v>
      </c>
      <c r="BEU17">
        <f t="shared" si="850"/>
        <v>0</v>
      </c>
      <c r="BEV17">
        <f t="shared" si="851"/>
        <v>0</v>
      </c>
      <c r="BEW17">
        <f t="shared" si="852"/>
        <v>0</v>
      </c>
      <c r="BEX17">
        <f t="shared" si="853"/>
        <v>0</v>
      </c>
      <c r="BEY17">
        <f t="shared" si="854"/>
        <v>0</v>
      </c>
      <c r="BEZ17">
        <f t="shared" si="855"/>
        <v>0</v>
      </c>
      <c r="BFA17">
        <f t="shared" si="856"/>
        <v>0</v>
      </c>
      <c r="BFB17">
        <f t="shared" si="857"/>
        <v>0</v>
      </c>
      <c r="BFC17">
        <f t="shared" si="858"/>
        <v>0</v>
      </c>
      <c r="BFD17">
        <f t="shared" si="859"/>
        <v>0</v>
      </c>
      <c r="BFE17">
        <f t="shared" si="860"/>
        <v>0</v>
      </c>
      <c r="BFF17">
        <f t="shared" si="861"/>
        <v>0</v>
      </c>
      <c r="BFG17">
        <f t="shared" si="862"/>
        <v>0</v>
      </c>
      <c r="BFH17">
        <f t="shared" si="863"/>
        <v>0</v>
      </c>
      <c r="BFI17">
        <f t="shared" si="864"/>
        <v>0</v>
      </c>
      <c r="BFJ17">
        <f t="shared" si="865"/>
        <v>0</v>
      </c>
      <c r="BFK17">
        <f t="shared" si="866"/>
        <v>0</v>
      </c>
      <c r="BFL17">
        <f t="shared" si="867"/>
        <v>0</v>
      </c>
      <c r="BFM17">
        <f t="shared" si="868"/>
        <v>0</v>
      </c>
      <c r="BFN17">
        <f t="shared" si="869"/>
        <v>0</v>
      </c>
      <c r="BFO17">
        <f t="shared" si="870"/>
        <v>0</v>
      </c>
      <c r="BFP17">
        <f t="shared" si="871"/>
        <v>0</v>
      </c>
      <c r="BFQ17">
        <f t="shared" si="872"/>
        <v>0</v>
      </c>
      <c r="BFR17">
        <f t="shared" si="873"/>
        <v>0</v>
      </c>
      <c r="BFS17">
        <f t="shared" si="874"/>
        <v>0</v>
      </c>
      <c r="BFT17">
        <f t="shared" si="875"/>
        <v>0</v>
      </c>
      <c r="BFU17">
        <f t="shared" si="876"/>
        <v>0</v>
      </c>
      <c r="BFV17">
        <f t="shared" si="877"/>
        <v>0</v>
      </c>
      <c r="BFW17">
        <f t="shared" si="878"/>
        <v>0</v>
      </c>
      <c r="BFX17">
        <f t="shared" si="879"/>
        <v>0</v>
      </c>
      <c r="BFY17">
        <f t="shared" si="880"/>
        <v>0</v>
      </c>
      <c r="BFZ17">
        <f t="shared" si="881"/>
        <v>0</v>
      </c>
      <c r="BGA17">
        <f t="shared" si="882"/>
        <v>0</v>
      </c>
      <c r="BGB17">
        <f t="shared" si="883"/>
        <v>0</v>
      </c>
      <c r="BGC17">
        <f t="shared" si="884"/>
        <v>0</v>
      </c>
      <c r="BGD17">
        <f t="shared" si="46"/>
        <v>0</v>
      </c>
      <c r="BGE17">
        <f t="shared" si="885"/>
        <v>0</v>
      </c>
      <c r="BGF17">
        <f t="shared" si="886"/>
        <v>0</v>
      </c>
      <c r="BGG17">
        <f t="shared" si="887"/>
        <v>0</v>
      </c>
      <c r="BGH17">
        <f t="shared" si="888"/>
        <v>0</v>
      </c>
      <c r="BGI17">
        <f t="shared" si="889"/>
        <v>0</v>
      </c>
      <c r="BGJ17">
        <f t="shared" si="890"/>
        <v>0</v>
      </c>
      <c r="BGK17">
        <f t="shared" si="891"/>
        <v>0</v>
      </c>
      <c r="BGL17">
        <f t="shared" si="892"/>
        <v>0</v>
      </c>
      <c r="BGM17">
        <f t="shared" si="893"/>
        <v>0</v>
      </c>
      <c r="BGN17">
        <f t="shared" si="894"/>
        <v>0</v>
      </c>
      <c r="BGO17">
        <f t="shared" si="895"/>
        <v>0</v>
      </c>
      <c r="BGP17">
        <f t="shared" si="896"/>
        <v>0</v>
      </c>
      <c r="BGQ17">
        <f t="shared" si="897"/>
        <v>0</v>
      </c>
      <c r="BGR17">
        <f t="shared" si="898"/>
        <v>0</v>
      </c>
      <c r="BGS17">
        <f t="shared" si="899"/>
        <v>0</v>
      </c>
      <c r="BGT17">
        <f t="shared" si="900"/>
        <v>0</v>
      </c>
      <c r="BGU17">
        <f t="shared" si="901"/>
        <v>0</v>
      </c>
      <c r="BGV17">
        <f t="shared" si="902"/>
        <v>0</v>
      </c>
      <c r="BGW17">
        <f t="shared" si="903"/>
        <v>0</v>
      </c>
      <c r="BGX17">
        <f t="shared" si="904"/>
        <v>0</v>
      </c>
      <c r="BGY17">
        <f t="shared" si="905"/>
        <v>0</v>
      </c>
      <c r="BGZ17">
        <f t="shared" si="906"/>
        <v>0</v>
      </c>
      <c r="BHA17">
        <f t="shared" si="907"/>
        <v>0</v>
      </c>
      <c r="BHB17">
        <f t="shared" si="908"/>
        <v>0</v>
      </c>
      <c r="BHC17">
        <f t="shared" si="909"/>
        <v>0</v>
      </c>
      <c r="BHD17">
        <f t="shared" si="910"/>
        <v>0</v>
      </c>
      <c r="BHE17">
        <f t="shared" si="911"/>
        <v>0</v>
      </c>
      <c r="BHF17">
        <f t="shared" si="912"/>
        <v>0</v>
      </c>
      <c r="BHG17">
        <f t="shared" si="913"/>
        <v>0</v>
      </c>
      <c r="BHH17">
        <f t="shared" si="914"/>
        <v>0</v>
      </c>
      <c r="BHI17">
        <f t="shared" si="915"/>
        <v>0</v>
      </c>
      <c r="BHJ17">
        <f t="shared" si="916"/>
        <v>0</v>
      </c>
      <c r="BHK17">
        <f t="shared" si="917"/>
        <v>0</v>
      </c>
      <c r="BHL17">
        <f t="shared" si="918"/>
        <v>0</v>
      </c>
      <c r="BHM17">
        <f t="shared" si="919"/>
        <v>0</v>
      </c>
      <c r="BHN17">
        <f t="shared" si="920"/>
        <v>0</v>
      </c>
      <c r="BHO17">
        <f t="shared" si="921"/>
        <v>0</v>
      </c>
      <c r="BHP17">
        <f t="shared" si="922"/>
        <v>0</v>
      </c>
      <c r="BHQ17">
        <f t="shared" si="923"/>
        <v>0</v>
      </c>
      <c r="BHR17">
        <f t="shared" si="924"/>
        <v>0</v>
      </c>
      <c r="BHS17">
        <f t="shared" si="925"/>
        <v>0</v>
      </c>
      <c r="BHT17">
        <f t="shared" si="926"/>
        <v>0</v>
      </c>
      <c r="BHU17">
        <f t="shared" si="927"/>
        <v>0</v>
      </c>
      <c r="BHV17">
        <f t="shared" si="928"/>
        <v>0</v>
      </c>
      <c r="BHW17">
        <f t="shared" si="929"/>
        <v>0</v>
      </c>
      <c r="BHX17">
        <f t="shared" si="930"/>
        <v>0</v>
      </c>
      <c r="BHY17">
        <f t="shared" si="931"/>
        <v>0</v>
      </c>
      <c r="BHZ17">
        <f t="shared" si="932"/>
        <v>0</v>
      </c>
      <c r="BIA17">
        <f t="shared" si="933"/>
        <v>0</v>
      </c>
      <c r="BIB17">
        <f t="shared" si="934"/>
        <v>0</v>
      </c>
      <c r="BIC17">
        <f t="shared" si="935"/>
        <v>0</v>
      </c>
      <c r="BID17">
        <f t="shared" si="936"/>
        <v>0</v>
      </c>
      <c r="BIE17">
        <f t="shared" si="937"/>
        <v>0</v>
      </c>
      <c r="BIF17">
        <f t="shared" si="938"/>
        <v>0</v>
      </c>
      <c r="BIG17">
        <f t="shared" si="939"/>
        <v>0</v>
      </c>
      <c r="BIH17">
        <f t="shared" si="940"/>
        <v>0</v>
      </c>
      <c r="BII17">
        <f t="shared" si="941"/>
        <v>0</v>
      </c>
      <c r="BIJ17">
        <f t="shared" si="942"/>
        <v>0</v>
      </c>
      <c r="BIK17">
        <f t="shared" si="943"/>
        <v>0</v>
      </c>
      <c r="BIL17">
        <f t="shared" si="944"/>
        <v>0</v>
      </c>
      <c r="BIM17">
        <f t="shared" si="945"/>
        <v>0</v>
      </c>
      <c r="BIN17">
        <f t="shared" si="946"/>
        <v>0</v>
      </c>
      <c r="BIO17">
        <f t="shared" si="947"/>
        <v>0</v>
      </c>
      <c r="BIP17">
        <f t="shared" si="47"/>
        <v>0</v>
      </c>
      <c r="BIQ17">
        <f t="shared" si="948"/>
        <v>0</v>
      </c>
      <c r="BIR17">
        <f t="shared" si="949"/>
        <v>0</v>
      </c>
      <c r="BIS17">
        <f t="shared" si="950"/>
        <v>0</v>
      </c>
      <c r="BIT17">
        <f t="shared" si="951"/>
        <v>0</v>
      </c>
      <c r="BIU17">
        <f t="shared" si="952"/>
        <v>0</v>
      </c>
      <c r="BIV17">
        <f t="shared" si="953"/>
        <v>0</v>
      </c>
      <c r="BIW17">
        <f t="shared" si="954"/>
        <v>0</v>
      </c>
      <c r="BIX17">
        <f t="shared" si="955"/>
        <v>0</v>
      </c>
      <c r="BIY17">
        <f t="shared" si="956"/>
        <v>0</v>
      </c>
      <c r="BIZ17">
        <f t="shared" si="957"/>
        <v>0</v>
      </c>
      <c r="BJA17">
        <f t="shared" si="958"/>
        <v>0</v>
      </c>
      <c r="BJB17">
        <f t="shared" si="959"/>
        <v>0</v>
      </c>
      <c r="BJC17">
        <f t="shared" si="960"/>
        <v>0</v>
      </c>
      <c r="BJD17">
        <f t="shared" si="961"/>
        <v>0</v>
      </c>
      <c r="BJE17">
        <f t="shared" si="962"/>
        <v>0</v>
      </c>
      <c r="BJF17">
        <f t="shared" si="963"/>
        <v>0</v>
      </c>
      <c r="BJG17">
        <f t="shared" si="964"/>
        <v>0</v>
      </c>
      <c r="BJH17">
        <f t="shared" si="965"/>
        <v>0</v>
      </c>
      <c r="BJI17">
        <f t="shared" si="966"/>
        <v>0</v>
      </c>
      <c r="BJJ17">
        <f t="shared" si="967"/>
        <v>0</v>
      </c>
      <c r="BJK17">
        <f t="shared" si="968"/>
        <v>0</v>
      </c>
      <c r="BJL17">
        <f t="shared" si="969"/>
        <v>0</v>
      </c>
      <c r="BJM17">
        <f t="shared" si="970"/>
        <v>0</v>
      </c>
      <c r="BJN17">
        <f t="shared" si="971"/>
        <v>0</v>
      </c>
      <c r="BJO17">
        <f t="shared" si="972"/>
        <v>0</v>
      </c>
      <c r="BJP17">
        <f t="shared" si="973"/>
        <v>0</v>
      </c>
      <c r="BJQ17">
        <f t="shared" si="974"/>
        <v>0</v>
      </c>
      <c r="BJR17">
        <f t="shared" si="975"/>
        <v>0</v>
      </c>
      <c r="BJS17">
        <f t="shared" si="976"/>
        <v>0</v>
      </c>
      <c r="BJT17">
        <f t="shared" si="977"/>
        <v>0</v>
      </c>
      <c r="BJU17">
        <f t="shared" si="978"/>
        <v>0</v>
      </c>
      <c r="BJV17">
        <f t="shared" si="979"/>
        <v>0</v>
      </c>
      <c r="BJW17">
        <f t="shared" si="980"/>
        <v>0</v>
      </c>
      <c r="BJX17">
        <f t="shared" si="981"/>
        <v>0</v>
      </c>
      <c r="BJY17">
        <f t="shared" si="982"/>
        <v>0</v>
      </c>
      <c r="BJZ17">
        <f t="shared" si="983"/>
        <v>0</v>
      </c>
      <c r="BKA17">
        <f t="shared" si="984"/>
        <v>0</v>
      </c>
      <c r="BKB17">
        <f t="shared" si="985"/>
        <v>0</v>
      </c>
      <c r="BKC17">
        <f t="shared" si="986"/>
        <v>0</v>
      </c>
      <c r="BKD17">
        <f t="shared" si="987"/>
        <v>0</v>
      </c>
      <c r="BKE17">
        <f t="shared" si="988"/>
        <v>0</v>
      </c>
      <c r="BKF17">
        <f t="shared" si="989"/>
        <v>0</v>
      </c>
      <c r="BKG17">
        <f t="shared" si="990"/>
        <v>0</v>
      </c>
      <c r="BKH17">
        <f t="shared" si="991"/>
        <v>0</v>
      </c>
      <c r="BKI17">
        <f t="shared" si="992"/>
        <v>0</v>
      </c>
      <c r="BKJ17">
        <f t="shared" si="993"/>
        <v>0</v>
      </c>
      <c r="BKK17">
        <f t="shared" si="994"/>
        <v>0</v>
      </c>
      <c r="BKL17">
        <f t="shared" si="995"/>
        <v>0</v>
      </c>
      <c r="BKM17">
        <f t="shared" si="996"/>
        <v>0</v>
      </c>
      <c r="BKN17">
        <f t="shared" si="997"/>
        <v>0</v>
      </c>
      <c r="BKO17">
        <f t="shared" si="998"/>
        <v>0</v>
      </c>
      <c r="BKP17">
        <f t="shared" si="999"/>
        <v>0</v>
      </c>
      <c r="BKQ17">
        <f t="shared" si="1000"/>
        <v>0</v>
      </c>
      <c r="BKR17">
        <f t="shared" si="1001"/>
        <v>0</v>
      </c>
      <c r="BKS17">
        <f t="shared" si="1002"/>
        <v>0</v>
      </c>
      <c r="BKT17">
        <f t="shared" si="1003"/>
        <v>0</v>
      </c>
      <c r="BKU17">
        <f t="shared" si="1004"/>
        <v>0</v>
      </c>
      <c r="BKV17">
        <f t="shared" si="1005"/>
        <v>0</v>
      </c>
      <c r="BKW17">
        <f t="shared" si="1006"/>
        <v>0</v>
      </c>
      <c r="BKX17">
        <f t="shared" si="1007"/>
        <v>0</v>
      </c>
      <c r="BKY17">
        <f t="shared" si="1008"/>
        <v>0</v>
      </c>
      <c r="BKZ17">
        <f t="shared" si="1009"/>
        <v>0</v>
      </c>
      <c r="BLA17">
        <f t="shared" si="1010"/>
        <v>0</v>
      </c>
      <c r="BLB17">
        <f t="shared" si="48"/>
        <v>0</v>
      </c>
      <c r="BLC17">
        <f t="shared" si="1011"/>
        <v>0</v>
      </c>
      <c r="BLD17">
        <f t="shared" si="1012"/>
        <v>0</v>
      </c>
      <c r="BLE17">
        <f t="shared" si="1013"/>
        <v>0</v>
      </c>
      <c r="BLF17">
        <f t="shared" si="1014"/>
        <v>0</v>
      </c>
      <c r="BLG17">
        <f t="shared" si="1015"/>
        <v>0</v>
      </c>
      <c r="BLH17">
        <f t="shared" si="1016"/>
        <v>0</v>
      </c>
      <c r="BLI17">
        <f t="shared" si="1017"/>
        <v>0</v>
      </c>
      <c r="BLJ17">
        <f t="shared" si="1018"/>
        <v>0</v>
      </c>
      <c r="BLK17">
        <f t="shared" si="1019"/>
        <v>0</v>
      </c>
      <c r="BLL17">
        <f t="shared" si="1020"/>
        <v>0</v>
      </c>
      <c r="BLM17">
        <f t="shared" si="1021"/>
        <v>0</v>
      </c>
      <c r="BLN17">
        <f t="shared" si="1022"/>
        <v>0</v>
      </c>
      <c r="BLO17">
        <f t="shared" si="1023"/>
        <v>0</v>
      </c>
      <c r="BLP17">
        <f t="shared" si="1024"/>
        <v>0</v>
      </c>
      <c r="BLQ17">
        <f t="shared" si="1025"/>
        <v>0</v>
      </c>
      <c r="BLR17">
        <f t="shared" si="1026"/>
        <v>0</v>
      </c>
      <c r="BLS17">
        <f t="shared" si="1027"/>
        <v>0</v>
      </c>
      <c r="BLT17">
        <f t="shared" si="1028"/>
        <v>0</v>
      </c>
      <c r="BLU17">
        <f t="shared" si="1029"/>
        <v>0</v>
      </c>
      <c r="BLV17">
        <f t="shared" si="1030"/>
        <v>0</v>
      </c>
      <c r="BLW17">
        <f t="shared" si="1031"/>
        <v>0</v>
      </c>
      <c r="BLX17">
        <f t="shared" si="1032"/>
        <v>0</v>
      </c>
      <c r="BLY17">
        <f t="shared" si="1033"/>
        <v>0</v>
      </c>
      <c r="BLZ17">
        <f t="shared" si="1034"/>
        <v>0</v>
      </c>
      <c r="BMA17">
        <f t="shared" si="1035"/>
        <v>0</v>
      </c>
      <c r="BMB17">
        <f t="shared" si="1036"/>
        <v>0</v>
      </c>
      <c r="BMC17">
        <f t="shared" si="1037"/>
        <v>0</v>
      </c>
      <c r="BMD17">
        <f t="shared" si="1038"/>
        <v>0</v>
      </c>
      <c r="BME17">
        <f t="shared" si="1039"/>
        <v>0</v>
      </c>
      <c r="BMF17">
        <f t="shared" si="1040"/>
        <v>0</v>
      </c>
      <c r="BMG17">
        <f t="shared" si="1041"/>
        <v>0</v>
      </c>
      <c r="BMH17">
        <f t="shared" si="1042"/>
        <v>0</v>
      </c>
      <c r="BMI17">
        <f t="shared" si="1043"/>
        <v>0</v>
      </c>
      <c r="BMJ17">
        <f t="shared" si="1044"/>
        <v>0</v>
      </c>
      <c r="BMK17">
        <f t="shared" si="1045"/>
        <v>0</v>
      </c>
      <c r="BML17">
        <f t="shared" si="1046"/>
        <v>0</v>
      </c>
      <c r="BMM17">
        <f t="shared" si="1047"/>
        <v>0</v>
      </c>
      <c r="BMN17">
        <f t="shared" si="1048"/>
        <v>0</v>
      </c>
      <c r="BMO17">
        <f t="shared" si="1049"/>
        <v>0</v>
      </c>
      <c r="BMP17">
        <f t="shared" si="1050"/>
        <v>0</v>
      </c>
      <c r="BMQ17">
        <f t="shared" si="1051"/>
        <v>0</v>
      </c>
      <c r="BMR17">
        <f t="shared" si="1052"/>
        <v>0</v>
      </c>
      <c r="BMS17">
        <f t="shared" si="1053"/>
        <v>0</v>
      </c>
      <c r="BMT17">
        <f t="shared" si="1054"/>
        <v>0</v>
      </c>
      <c r="BMU17">
        <f t="shared" si="1055"/>
        <v>0</v>
      </c>
      <c r="BMV17">
        <f t="shared" si="1056"/>
        <v>0</v>
      </c>
      <c r="BMW17">
        <f t="shared" si="1057"/>
        <v>0</v>
      </c>
      <c r="BMX17">
        <f t="shared" si="1058"/>
        <v>0</v>
      </c>
      <c r="BMY17">
        <f t="shared" si="1059"/>
        <v>0</v>
      </c>
      <c r="BMZ17">
        <f t="shared" si="1060"/>
        <v>0</v>
      </c>
      <c r="BNA17">
        <f t="shared" si="1061"/>
        <v>0</v>
      </c>
      <c r="BNB17">
        <f t="shared" si="1062"/>
        <v>0</v>
      </c>
      <c r="BNC17">
        <f t="shared" si="1063"/>
        <v>0</v>
      </c>
      <c r="BND17">
        <f t="shared" si="1064"/>
        <v>0</v>
      </c>
      <c r="BNE17">
        <f t="shared" si="1065"/>
        <v>0</v>
      </c>
      <c r="BNF17">
        <f t="shared" si="1066"/>
        <v>0</v>
      </c>
      <c r="BNG17">
        <f t="shared" si="1067"/>
        <v>0</v>
      </c>
      <c r="BNH17">
        <f t="shared" si="1068"/>
        <v>0</v>
      </c>
      <c r="BNI17">
        <f t="shared" si="1069"/>
        <v>0</v>
      </c>
      <c r="BNJ17">
        <f t="shared" si="1070"/>
        <v>0</v>
      </c>
      <c r="BNK17">
        <f t="shared" si="1071"/>
        <v>0</v>
      </c>
      <c r="BNL17">
        <f t="shared" si="1072"/>
        <v>0</v>
      </c>
      <c r="BNM17">
        <f t="shared" si="1073"/>
        <v>0</v>
      </c>
      <c r="BNN17">
        <f t="shared" si="49"/>
        <v>0</v>
      </c>
      <c r="BNO17">
        <f t="shared" si="1074"/>
        <v>0</v>
      </c>
      <c r="BNP17">
        <f t="shared" si="1075"/>
        <v>0</v>
      </c>
      <c r="BNQ17">
        <f t="shared" si="1076"/>
        <v>0</v>
      </c>
      <c r="BNR17">
        <f t="shared" si="1077"/>
        <v>0</v>
      </c>
      <c r="BNS17">
        <f t="shared" si="1078"/>
        <v>0</v>
      </c>
      <c r="BNT17">
        <f t="shared" si="1079"/>
        <v>0</v>
      </c>
      <c r="BNU17">
        <f t="shared" si="1080"/>
        <v>0</v>
      </c>
      <c r="BNV17">
        <f t="shared" si="1081"/>
        <v>0</v>
      </c>
      <c r="BNW17">
        <f t="shared" si="1082"/>
        <v>0</v>
      </c>
      <c r="BNX17">
        <f t="shared" si="1083"/>
        <v>0</v>
      </c>
      <c r="BNY17">
        <f t="shared" si="1084"/>
        <v>0</v>
      </c>
      <c r="BNZ17">
        <f t="shared" si="1085"/>
        <v>0</v>
      </c>
      <c r="BOA17">
        <f t="shared" si="1086"/>
        <v>0</v>
      </c>
      <c r="BOB17">
        <f t="shared" si="1087"/>
        <v>0</v>
      </c>
      <c r="BOC17">
        <f t="shared" si="1088"/>
        <v>0</v>
      </c>
      <c r="BOD17">
        <f t="shared" si="1089"/>
        <v>0</v>
      </c>
      <c r="BOE17">
        <f t="shared" si="1090"/>
        <v>0</v>
      </c>
      <c r="BOF17">
        <f t="shared" si="1091"/>
        <v>0</v>
      </c>
      <c r="BOG17">
        <f t="shared" si="1092"/>
        <v>0</v>
      </c>
      <c r="BOH17">
        <f t="shared" si="1093"/>
        <v>0</v>
      </c>
      <c r="BOI17">
        <f t="shared" si="1094"/>
        <v>0</v>
      </c>
      <c r="BOJ17">
        <f t="shared" si="1095"/>
        <v>0</v>
      </c>
      <c r="BOK17">
        <f t="shared" si="1096"/>
        <v>0</v>
      </c>
      <c r="BOL17">
        <f t="shared" si="1097"/>
        <v>0</v>
      </c>
      <c r="BOM17">
        <f t="shared" si="1098"/>
        <v>0</v>
      </c>
      <c r="BON17">
        <f t="shared" si="1099"/>
        <v>0</v>
      </c>
      <c r="BOO17">
        <f t="shared" si="1100"/>
        <v>0</v>
      </c>
      <c r="BOP17">
        <f t="shared" si="1101"/>
        <v>0</v>
      </c>
      <c r="BOQ17">
        <f t="shared" si="1102"/>
        <v>0</v>
      </c>
      <c r="BOR17">
        <f t="shared" si="1103"/>
        <v>0</v>
      </c>
      <c r="BOS17">
        <f t="shared" si="1104"/>
        <v>0</v>
      </c>
      <c r="BOT17">
        <f t="shared" si="1105"/>
        <v>0</v>
      </c>
      <c r="BOU17">
        <f t="shared" si="1106"/>
        <v>0</v>
      </c>
      <c r="BOV17">
        <f t="shared" si="1107"/>
        <v>0</v>
      </c>
      <c r="BOW17">
        <f t="shared" si="1108"/>
        <v>0</v>
      </c>
      <c r="BOX17">
        <f t="shared" si="1109"/>
        <v>0</v>
      </c>
      <c r="BOY17">
        <f t="shared" si="1110"/>
        <v>0</v>
      </c>
      <c r="BOZ17">
        <f t="shared" si="1111"/>
        <v>0</v>
      </c>
      <c r="BPA17">
        <f t="shared" si="1112"/>
        <v>0</v>
      </c>
      <c r="BPB17">
        <f t="shared" si="1113"/>
        <v>0</v>
      </c>
      <c r="BPC17">
        <f t="shared" si="1114"/>
        <v>0</v>
      </c>
      <c r="BPD17">
        <f t="shared" si="1115"/>
        <v>0</v>
      </c>
      <c r="BPE17">
        <f t="shared" si="1116"/>
        <v>0</v>
      </c>
      <c r="BPF17">
        <f t="shared" si="1117"/>
        <v>0</v>
      </c>
      <c r="BPG17">
        <f t="shared" si="1118"/>
        <v>0</v>
      </c>
      <c r="BPH17">
        <f t="shared" si="1119"/>
        <v>0</v>
      </c>
      <c r="BPI17">
        <f t="shared" si="1120"/>
        <v>0</v>
      </c>
      <c r="BPJ17">
        <f t="shared" si="1121"/>
        <v>0</v>
      </c>
      <c r="BPK17">
        <f t="shared" si="1122"/>
        <v>0</v>
      </c>
      <c r="BPL17">
        <f t="shared" si="1123"/>
        <v>0</v>
      </c>
      <c r="BPM17">
        <f t="shared" si="1124"/>
        <v>0</v>
      </c>
      <c r="BPN17">
        <f t="shared" si="1125"/>
        <v>0</v>
      </c>
      <c r="BPO17">
        <f t="shared" si="1126"/>
        <v>0</v>
      </c>
      <c r="BPP17">
        <f t="shared" si="1127"/>
        <v>0</v>
      </c>
      <c r="BPQ17">
        <f t="shared" si="1128"/>
        <v>0</v>
      </c>
      <c r="BPR17">
        <f t="shared" si="1129"/>
        <v>0</v>
      </c>
      <c r="BPS17">
        <f t="shared" si="1130"/>
        <v>0</v>
      </c>
      <c r="BPT17">
        <f t="shared" si="1131"/>
        <v>0</v>
      </c>
      <c r="BPU17">
        <f t="shared" si="1132"/>
        <v>0</v>
      </c>
      <c r="BPV17">
        <f t="shared" si="1133"/>
        <v>0</v>
      </c>
      <c r="BPW17">
        <f t="shared" si="1134"/>
        <v>0</v>
      </c>
      <c r="BPX17">
        <f t="shared" si="1135"/>
        <v>0</v>
      </c>
      <c r="BPY17">
        <f t="shared" si="1136"/>
        <v>0</v>
      </c>
      <c r="BPZ17">
        <f t="shared" si="50"/>
        <v>0</v>
      </c>
      <c r="BQA17">
        <f t="shared" si="1137"/>
        <v>0</v>
      </c>
      <c r="BQB17">
        <f t="shared" si="1138"/>
        <v>0</v>
      </c>
      <c r="BQC17">
        <f t="shared" si="1139"/>
        <v>0</v>
      </c>
      <c r="BQD17">
        <f t="shared" si="1140"/>
        <v>0</v>
      </c>
      <c r="BQE17">
        <f t="shared" si="1141"/>
        <v>0</v>
      </c>
      <c r="BQF17">
        <f t="shared" si="1142"/>
        <v>0</v>
      </c>
      <c r="BQG17">
        <f t="shared" si="1143"/>
        <v>0</v>
      </c>
      <c r="BQH17">
        <f t="shared" si="1144"/>
        <v>0</v>
      </c>
      <c r="BQI17">
        <f t="shared" si="1145"/>
        <v>0</v>
      </c>
      <c r="BQJ17">
        <f t="shared" si="1146"/>
        <v>0</v>
      </c>
      <c r="BQK17">
        <f t="shared" si="1147"/>
        <v>0</v>
      </c>
      <c r="BQL17">
        <f t="shared" si="1148"/>
        <v>0</v>
      </c>
      <c r="BQM17">
        <f t="shared" si="1149"/>
        <v>0</v>
      </c>
      <c r="BQN17">
        <f t="shared" si="1150"/>
        <v>0</v>
      </c>
      <c r="BQO17">
        <f t="shared" si="1151"/>
        <v>0</v>
      </c>
      <c r="BQP17">
        <f t="shared" si="1152"/>
        <v>0</v>
      </c>
      <c r="BQQ17">
        <f t="shared" si="1153"/>
        <v>0</v>
      </c>
      <c r="BQR17">
        <f t="shared" si="1154"/>
        <v>0</v>
      </c>
      <c r="BQS17">
        <f t="shared" si="1155"/>
        <v>0</v>
      </c>
      <c r="BQT17">
        <f t="shared" si="1156"/>
        <v>0</v>
      </c>
      <c r="BQU17">
        <f t="shared" si="1157"/>
        <v>0</v>
      </c>
      <c r="BQV17">
        <f t="shared" si="1158"/>
        <v>0</v>
      </c>
      <c r="BQW17">
        <f t="shared" si="1159"/>
        <v>0</v>
      </c>
      <c r="BQX17">
        <f t="shared" si="1160"/>
        <v>0</v>
      </c>
      <c r="BQY17">
        <f t="shared" si="1161"/>
        <v>0</v>
      </c>
      <c r="BQZ17">
        <f t="shared" si="1162"/>
        <v>0</v>
      </c>
      <c r="BRA17">
        <f t="shared" si="1163"/>
        <v>0</v>
      </c>
      <c r="BRB17">
        <f t="shared" si="1164"/>
        <v>0</v>
      </c>
      <c r="BRC17">
        <f t="shared" si="1165"/>
        <v>0</v>
      </c>
      <c r="BRD17">
        <f t="shared" si="1166"/>
        <v>0</v>
      </c>
      <c r="BRE17">
        <f t="shared" si="1167"/>
        <v>0</v>
      </c>
      <c r="BRF17">
        <f t="shared" si="1168"/>
        <v>0</v>
      </c>
      <c r="BRG17">
        <f t="shared" si="1169"/>
        <v>0</v>
      </c>
      <c r="BRH17">
        <f t="shared" si="1170"/>
        <v>0</v>
      </c>
      <c r="BRI17">
        <f t="shared" si="1171"/>
        <v>0</v>
      </c>
      <c r="BRJ17">
        <f t="shared" si="1172"/>
        <v>0</v>
      </c>
      <c r="BRK17">
        <f t="shared" si="1173"/>
        <v>0</v>
      </c>
      <c r="BRL17">
        <f t="shared" si="1174"/>
        <v>0</v>
      </c>
      <c r="BRM17">
        <f t="shared" si="1175"/>
        <v>0</v>
      </c>
      <c r="BRN17">
        <f t="shared" si="1176"/>
        <v>0</v>
      </c>
      <c r="BRO17">
        <f t="shared" si="1177"/>
        <v>0</v>
      </c>
      <c r="BRP17">
        <f t="shared" si="1178"/>
        <v>0</v>
      </c>
      <c r="BRQ17">
        <f t="shared" si="1179"/>
        <v>0</v>
      </c>
      <c r="BRR17">
        <f t="shared" si="1180"/>
        <v>0</v>
      </c>
      <c r="BRS17">
        <f t="shared" si="1181"/>
        <v>0</v>
      </c>
      <c r="BRT17">
        <f t="shared" si="1182"/>
        <v>0</v>
      </c>
      <c r="BRU17">
        <f t="shared" si="1183"/>
        <v>0</v>
      </c>
      <c r="BRV17">
        <f t="shared" si="1184"/>
        <v>0</v>
      </c>
      <c r="BRW17">
        <f t="shared" si="1185"/>
        <v>0</v>
      </c>
      <c r="BRX17">
        <f t="shared" si="1186"/>
        <v>0</v>
      </c>
      <c r="BRY17">
        <f t="shared" si="1187"/>
        <v>0</v>
      </c>
      <c r="BRZ17">
        <f t="shared" si="1188"/>
        <v>0</v>
      </c>
      <c r="BSA17">
        <f t="shared" si="1189"/>
        <v>0</v>
      </c>
      <c r="BSB17">
        <f t="shared" si="1190"/>
        <v>0</v>
      </c>
      <c r="BSC17">
        <f t="shared" si="1191"/>
        <v>0</v>
      </c>
      <c r="BSD17">
        <f t="shared" si="1192"/>
        <v>0</v>
      </c>
      <c r="BSE17">
        <f t="shared" si="1193"/>
        <v>0</v>
      </c>
      <c r="BSF17">
        <f t="shared" si="1194"/>
        <v>0</v>
      </c>
      <c r="BSG17">
        <f t="shared" si="1195"/>
        <v>0</v>
      </c>
      <c r="BSH17">
        <f t="shared" si="1196"/>
        <v>0</v>
      </c>
      <c r="BSI17">
        <f t="shared" si="1197"/>
        <v>0</v>
      </c>
      <c r="BSJ17">
        <f t="shared" si="1198"/>
        <v>0</v>
      </c>
      <c r="BSK17">
        <f t="shared" si="1199"/>
        <v>0</v>
      </c>
      <c r="BSL17">
        <f t="shared" si="51"/>
        <v>0</v>
      </c>
      <c r="BSM17">
        <f t="shared" si="1200"/>
        <v>0</v>
      </c>
      <c r="BSN17">
        <f t="shared" si="1201"/>
        <v>0</v>
      </c>
      <c r="BSO17">
        <f t="shared" si="1202"/>
        <v>0</v>
      </c>
      <c r="BSP17">
        <f t="shared" si="1203"/>
        <v>0</v>
      </c>
      <c r="BSQ17">
        <f t="shared" si="1204"/>
        <v>0</v>
      </c>
      <c r="BSR17">
        <f t="shared" si="1205"/>
        <v>0</v>
      </c>
      <c r="BSS17">
        <f t="shared" si="1206"/>
        <v>0</v>
      </c>
      <c r="BST17">
        <f t="shared" si="1207"/>
        <v>0</v>
      </c>
      <c r="BSU17">
        <f t="shared" si="1208"/>
        <v>0</v>
      </c>
      <c r="BSV17">
        <f t="shared" si="1209"/>
        <v>0</v>
      </c>
      <c r="BSW17">
        <f t="shared" si="1210"/>
        <v>0</v>
      </c>
      <c r="BSX17">
        <f t="shared" si="1211"/>
        <v>0</v>
      </c>
      <c r="BSY17">
        <f t="shared" si="1212"/>
        <v>0</v>
      </c>
      <c r="BSZ17">
        <f t="shared" si="1213"/>
        <v>0</v>
      </c>
      <c r="BTA17">
        <f t="shared" si="1214"/>
        <v>0</v>
      </c>
      <c r="BTB17">
        <f t="shared" si="1215"/>
        <v>0</v>
      </c>
      <c r="BTC17">
        <f t="shared" si="1216"/>
        <v>0</v>
      </c>
      <c r="BTD17">
        <f t="shared" si="1217"/>
        <v>0</v>
      </c>
      <c r="BTE17">
        <f t="shared" si="1218"/>
        <v>0</v>
      </c>
      <c r="BTF17">
        <f t="shared" si="1219"/>
        <v>0</v>
      </c>
      <c r="BTG17">
        <f t="shared" si="1220"/>
        <v>0</v>
      </c>
      <c r="BTH17">
        <f t="shared" si="1221"/>
        <v>0</v>
      </c>
      <c r="BTI17">
        <f t="shared" si="1222"/>
        <v>0</v>
      </c>
      <c r="BTJ17">
        <f t="shared" si="1223"/>
        <v>0</v>
      </c>
      <c r="BTK17">
        <f t="shared" si="1224"/>
        <v>0</v>
      </c>
      <c r="BTL17">
        <f t="shared" si="1225"/>
        <v>0</v>
      </c>
      <c r="BTM17">
        <f t="shared" si="1226"/>
        <v>0</v>
      </c>
      <c r="BTN17">
        <f t="shared" si="1227"/>
        <v>0</v>
      </c>
      <c r="BTO17">
        <f t="shared" si="1228"/>
        <v>0</v>
      </c>
      <c r="BTP17">
        <f t="shared" si="1229"/>
        <v>0</v>
      </c>
      <c r="BTQ17">
        <f t="shared" si="1230"/>
        <v>0</v>
      </c>
      <c r="BTR17">
        <f t="shared" si="1231"/>
        <v>0</v>
      </c>
      <c r="BTS17">
        <f t="shared" si="1232"/>
        <v>0</v>
      </c>
      <c r="BTT17">
        <f t="shared" si="1233"/>
        <v>0</v>
      </c>
      <c r="BTU17">
        <f t="shared" si="1234"/>
        <v>0</v>
      </c>
      <c r="BTV17">
        <f t="shared" si="1235"/>
        <v>0</v>
      </c>
      <c r="BTW17">
        <f t="shared" si="1236"/>
        <v>0</v>
      </c>
      <c r="BTX17">
        <f t="shared" si="1237"/>
        <v>0</v>
      </c>
      <c r="BTY17">
        <f t="shared" si="1238"/>
        <v>0</v>
      </c>
      <c r="BTZ17">
        <f t="shared" si="1239"/>
        <v>0</v>
      </c>
      <c r="BUA17">
        <f t="shared" si="1240"/>
        <v>0</v>
      </c>
      <c r="BUB17">
        <f t="shared" si="1241"/>
        <v>0</v>
      </c>
      <c r="BUC17">
        <f t="shared" si="1242"/>
        <v>0</v>
      </c>
      <c r="BUD17">
        <f t="shared" si="1243"/>
        <v>0</v>
      </c>
      <c r="BUE17">
        <f t="shared" si="1244"/>
        <v>0</v>
      </c>
      <c r="BUF17">
        <f t="shared" si="1245"/>
        <v>0</v>
      </c>
      <c r="BUG17">
        <f t="shared" si="1246"/>
        <v>0</v>
      </c>
      <c r="BUH17">
        <f t="shared" si="1247"/>
        <v>0</v>
      </c>
      <c r="BUI17">
        <f t="shared" si="1248"/>
        <v>0</v>
      </c>
      <c r="BUJ17">
        <f t="shared" si="1249"/>
        <v>0</v>
      </c>
      <c r="BUK17">
        <f t="shared" si="1250"/>
        <v>0</v>
      </c>
      <c r="BUL17">
        <f t="shared" si="1251"/>
        <v>0</v>
      </c>
      <c r="BUM17">
        <f t="shared" si="1252"/>
        <v>0</v>
      </c>
      <c r="BUN17">
        <f t="shared" si="1253"/>
        <v>0</v>
      </c>
      <c r="BUO17">
        <f t="shared" si="1254"/>
        <v>0</v>
      </c>
      <c r="BUP17">
        <f t="shared" si="1255"/>
        <v>0</v>
      </c>
      <c r="BUQ17">
        <f t="shared" si="1256"/>
        <v>0</v>
      </c>
      <c r="BUR17">
        <f t="shared" si="1257"/>
        <v>0</v>
      </c>
      <c r="BUS17">
        <f t="shared" si="1258"/>
        <v>0</v>
      </c>
      <c r="BUT17">
        <f t="shared" si="1259"/>
        <v>0</v>
      </c>
      <c r="BUU17">
        <f t="shared" si="1260"/>
        <v>0</v>
      </c>
      <c r="BUV17">
        <f t="shared" si="1261"/>
        <v>0</v>
      </c>
      <c r="BUW17">
        <f t="shared" si="1262"/>
        <v>0</v>
      </c>
      <c r="BUX17">
        <f t="shared" si="52"/>
        <v>0</v>
      </c>
      <c r="BUY17">
        <f t="shared" si="1263"/>
        <v>0</v>
      </c>
      <c r="BUZ17">
        <f t="shared" si="1264"/>
        <v>0</v>
      </c>
      <c r="BVA17">
        <f t="shared" si="1265"/>
        <v>0</v>
      </c>
      <c r="BVB17">
        <f t="shared" si="1266"/>
        <v>0</v>
      </c>
      <c r="BVC17">
        <f t="shared" si="1267"/>
        <v>0</v>
      </c>
      <c r="BVD17">
        <f t="shared" si="1268"/>
        <v>0</v>
      </c>
      <c r="BVE17">
        <f t="shared" si="1269"/>
        <v>0</v>
      </c>
      <c r="BVF17">
        <f t="shared" si="1270"/>
        <v>0</v>
      </c>
      <c r="BVG17">
        <f t="shared" si="1271"/>
        <v>0</v>
      </c>
      <c r="BVH17">
        <f t="shared" si="1272"/>
        <v>0</v>
      </c>
      <c r="BVI17">
        <f t="shared" si="1273"/>
        <v>0</v>
      </c>
      <c r="BVJ17">
        <f t="shared" si="1274"/>
        <v>0</v>
      </c>
      <c r="BVK17">
        <f t="shared" si="1275"/>
        <v>0</v>
      </c>
      <c r="BVL17">
        <f t="shared" si="1276"/>
        <v>0</v>
      </c>
      <c r="BVM17">
        <f t="shared" si="1277"/>
        <v>0</v>
      </c>
      <c r="BVN17">
        <f t="shared" si="1278"/>
        <v>0</v>
      </c>
      <c r="BVO17">
        <f t="shared" si="1279"/>
        <v>0</v>
      </c>
      <c r="BVP17">
        <f t="shared" si="1280"/>
        <v>0</v>
      </c>
      <c r="BVQ17">
        <f t="shared" si="1281"/>
        <v>0</v>
      </c>
      <c r="BVR17">
        <f t="shared" si="1282"/>
        <v>0</v>
      </c>
      <c r="BVS17">
        <f t="shared" si="1283"/>
        <v>0</v>
      </c>
      <c r="BVT17">
        <f t="shared" si="1284"/>
        <v>0</v>
      </c>
      <c r="BVU17">
        <f t="shared" si="1285"/>
        <v>0</v>
      </c>
      <c r="BVV17">
        <f t="shared" si="1286"/>
        <v>0</v>
      </c>
      <c r="BVW17">
        <f t="shared" si="1287"/>
        <v>0</v>
      </c>
      <c r="BVX17">
        <f t="shared" si="1288"/>
        <v>0</v>
      </c>
      <c r="BVY17">
        <f t="shared" si="1289"/>
        <v>0</v>
      </c>
      <c r="BVZ17">
        <f t="shared" si="1290"/>
        <v>0</v>
      </c>
      <c r="BWA17">
        <f t="shared" si="1291"/>
        <v>0</v>
      </c>
      <c r="BWB17">
        <f t="shared" si="1292"/>
        <v>0</v>
      </c>
      <c r="BWC17">
        <f t="shared" si="1293"/>
        <v>0</v>
      </c>
      <c r="BWD17">
        <f t="shared" si="1294"/>
        <v>0</v>
      </c>
      <c r="BWE17">
        <f t="shared" si="1295"/>
        <v>0</v>
      </c>
      <c r="BWF17">
        <f t="shared" si="1296"/>
        <v>0</v>
      </c>
      <c r="BWG17">
        <f t="shared" si="1297"/>
        <v>0</v>
      </c>
      <c r="BWH17">
        <f t="shared" si="1298"/>
        <v>0</v>
      </c>
      <c r="BWI17">
        <f t="shared" si="1299"/>
        <v>0</v>
      </c>
      <c r="BWJ17">
        <f t="shared" si="1300"/>
        <v>0</v>
      </c>
      <c r="BWK17">
        <f t="shared" si="1301"/>
        <v>0</v>
      </c>
      <c r="BWL17">
        <f t="shared" si="1302"/>
        <v>0</v>
      </c>
      <c r="BWM17">
        <f t="shared" si="1303"/>
        <v>0</v>
      </c>
      <c r="BWN17">
        <f t="shared" si="1304"/>
        <v>0</v>
      </c>
      <c r="BWO17">
        <f t="shared" si="1305"/>
        <v>0</v>
      </c>
      <c r="BWP17">
        <f t="shared" si="1306"/>
        <v>0</v>
      </c>
      <c r="BWQ17">
        <f t="shared" si="1307"/>
        <v>0</v>
      </c>
      <c r="BWR17">
        <f t="shared" si="1308"/>
        <v>0</v>
      </c>
      <c r="BWS17">
        <f t="shared" si="1309"/>
        <v>0</v>
      </c>
      <c r="BWT17">
        <f t="shared" si="1310"/>
        <v>0</v>
      </c>
      <c r="BWU17">
        <f t="shared" si="1311"/>
        <v>0</v>
      </c>
      <c r="BWV17">
        <f t="shared" si="1312"/>
        <v>0</v>
      </c>
      <c r="BWW17">
        <f t="shared" si="1313"/>
        <v>0</v>
      </c>
      <c r="BWX17">
        <f t="shared" si="1314"/>
        <v>0</v>
      </c>
      <c r="BWY17">
        <f t="shared" si="1315"/>
        <v>0</v>
      </c>
      <c r="BWZ17">
        <f t="shared" si="1316"/>
        <v>0</v>
      </c>
      <c r="BXA17">
        <f t="shared" si="1317"/>
        <v>0</v>
      </c>
      <c r="BXB17">
        <f t="shared" si="1318"/>
        <v>0</v>
      </c>
      <c r="BXC17">
        <f t="shared" si="1319"/>
        <v>0</v>
      </c>
      <c r="BXD17">
        <f t="shared" si="1320"/>
        <v>0</v>
      </c>
      <c r="BXE17">
        <f t="shared" si="1321"/>
        <v>0</v>
      </c>
      <c r="BXF17">
        <f t="shared" si="1322"/>
        <v>0</v>
      </c>
      <c r="BXG17">
        <f t="shared" si="1323"/>
        <v>0</v>
      </c>
      <c r="BXH17">
        <f t="shared" si="1324"/>
        <v>0</v>
      </c>
      <c r="BXI17">
        <f t="shared" si="1325"/>
        <v>0</v>
      </c>
      <c r="BXJ17">
        <f t="shared" si="53"/>
        <v>0</v>
      </c>
      <c r="BXK17">
        <f t="shared" si="1326"/>
        <v>0</v>
      </c>
      <c r="BXL17">
        <f t="shared" si="1327"/>
        <v>0</v>
      </c>
      <c r="BXM17">
        <f t="shared" si="1328"/>
        <v>0</v>
      </c>
      <c r="BXN17">
        <f t="shared" si="1329"/>
        <v>0</v>
      </c>
      <c r="BXO17">
        <f t="shared" si="1330"/>
        <v>0</v>
      </c>
      <c r="BXP17">
        <f t="shared" si="1331"/>
        <v>0</v>
      </c>
      <c r="BXQ17">
        <f t="shared" si="1332"/>
        <v>0</v>
      </c>
      <c r="BXR17">
        <f t="shared" si="1333"/>
        <v>0</v>
      </c>
      <c r="BXS17">
        <f t="shared" si="1334"/>
        <v>0</v>
      </c>
      <c r="BXT17">
        <f t="shared" si="1335"/>
        <v>0</v>
      </c>
      <c r="BXU17">
        <f t="shared" si="1336"/>
        <v>0</v>
      </c>
      <c r="BXV17">
        <f t="shared" si="1337"/>
        <v>0</v>
      </c>
      <c r="BXW17">
        <f t="shared" si="1338"/>
        <v>0</v>
      </c>
      <c r="BXX17">
        <f t="shared" si="1339"/>
        <v>0</v>
      </c>
      <c r="BXY17">
        <f t="shared" si="1340"/>
        <v>0</v>
      </c>
      <c r="BXZ17">
        <f t="shared" si="1341"/>
        <v>0</v>
      </c>
      <c r="BYA17">
        <f t="shared" si="1342"/>
        <v>0</v>
      </c>
      <c r="BYB17">
        <f t="shared" si="1343"/>
        <v>0</v>
      </c>
      <c r="BYC17">
        <f t="shared" si="1344"/>
        <v>0</v>
      </c>
      <c r="BYD17">
        <f t="shared" si="1345"/>
        <v>0</v>
      </c>
      <c r="BYE17">
        <f t="shared" si="1346"/>
        <v>0</v>
      </c>
      <c r="BYF17">
        <f t="shared" si="1347"/>
        <v>0</v>
      </c>
      <c r="BYG17">
        <f t="shared" si="1348"/>
        <v>0</v>
      </c>
      <c r="BYH17">
        <f t="shared" si="1349"/>
        <v>0</v>
      </c>
      <c r="BYI17">
        <f t="shared" si="1350"/>
        <v>0</v>
      </c>
      <c r="BYJ17">
        <f t="shared" si="1351"/>
        <v>0</v>
      </c>
      <c r="BYK17">
        <f t="shared" si="1352"/>
        <v>0</v>
      </c>
      <c r="BYL17">
        <f t="shared" si="1353"/>
        <v>0</v>
      </c>
      <c r="BYM17">
        <f t="shared" si="1354"/>
        <v>0</v>
      </c>
      <c r="BYN17">
        <f t="shared" si="1355"/>
        <v>0</v>
      </c>
      <c r="BYO17">
        <f t="shared" si="1356"/>
        <v>0</v>
      </c>
      <c r="BYP17">
        <f t="shared" si="1357"/>
        <v>0</v>
      </c>
      <c r="BYQ17">
        <f t="shared" si="1358"/>
        <v>0</v>
      </c>
      <c r="BYR17">
        <f t="shared" si="1359"/>
        <v>0</v>
      </c>
      <c r="BYS17">
        <f t="shared" si="1360"/>
        <v>0</v>
      </c>
      <c r="BYT17">
        <f t="shared" si="1361"/>
        <v>0</v>
      </c>
      <c r="BYU17">
        <f t="shared" si="1362"/>
        <v>0</v>
      </c>
      <c r="BYV17">
        <f t="shared" si="1363"/>
        <v>0</v>
      </c>
      <c r="BYW17">
        <f t="shared" si="1364"/>
        <v>0</v>
      </c>
      <c r="BYX17">
        <f t="shared" si="1365"/>
        <v>0</v>
      </c>
      <c r="BYY17">
        <f t="shared" si="1366"/>
        <v>0</v>
      </c>
      <c r="BYZ17">
        <f t="shared" si="1367"/>
        <v>0</v>
      </c>
      <c r="BZA17">
        <f t="shared" si="1368"/>
        <v>0</v>
      </c>
      <c r="BZB17">
        <f t="shared" si="1369"/>
        <v>0</v>
      </c>
      <c r="BZC17">
        <f t="shared" si="1370"/>
        <v>0</v>
      </c>
      <c r="BZD17">
        <f t="shared" si="1371"/>
        <v>0</v>
      </c>
      <c r="BZE17">
        <f t="shared" si="1372"/>
        <v>0</v>
      </c>
      <c r="BZF17">
        <f t="shared" si="1373"/>
        <v>0</v>
      </c>
      <c r="BZG17">
        <f t="shared" si="1374"/>
        <v>0</v>
      </c>
      <c r="BZH17">
        <f t="shared" si="1375"/>
        <v>0</v>
      </c>
      <c r="BZI17">
        <f t="shared" si="1376"/>
        <v>0</v>
      </c>
      <c r="BZJ17">
        <f t="shared" si="1377"/>
        <v>0</v>
      </c>
      <c r="BZK17">
        <f t="shared" si="1378"/>
        <v>0</v>
      </c>
      <c r="BZL17">
        <f t="shared" si="1379"/>
        <v>0</v>
      </c>
      <c r="BZM17">
        <f t="shared" si="1380"/>
        <v>0</v>
      </c>
      <c r="BZN17">
        <f t="shared" si="1381"/>
        <v>0</v>
      </c>
      <c r="BZO17">
        <f t="shared" si="1382"/>
        <v>0</v>
      </c>
      <c r="BZP17">
        <f t="shared" si="1383"/>
        <v>0</v>
      </c>
      <c r="BZQ17">
        <f t="shared" si="1384"/>
        <v>0</v>
      </c>
      <c r="BZR17">
        <f t="shared" si="1385"/>
        <v>0</v>
      </c>
      <c r="BZS17">
        <f t="shared" si="1386"/>
        <v>0</v>
      </c>
      <c r="BZT17">
        <f t="shared" si="1387"/>
        <v>0</v>
      </c>
      <c r="BZU17">
        <f t="shared" si="1388"/>
        <v>0</v>
      </c>
      <c r="BZV17">
        <f t="shared" si="54"/>
        <v>0</v>
      </c>
      <c r="BZW17">
        <f t="shared" si="1389"/>
        <v>0</v>
      </c>
      <c r="BZX17">
        <f t="shared" si="1390"/>
        <v>0</v>
      </c>
      <c r="BZY17">
        <f t="shared" si="1391"/>
        <v>0</v>
      </c>
      <c r="BZZ17">
        <f t="shared" si="1392"/>
        <v>0</v>
      </c>
      <c r="CAA17">
        <f t="shared" si="1393"/>
        <v>0</v>
      </c>
      <c r="CAB17">
        <f t="shared" si="1394"/>
        <v>0</v>
      </c>
      <c r="CAC17">
        <f t="shared" si="1395"/>
        <v>0</v>
      </c>
      <c r="CAD17">
        <f t="shared" si="1396"/>
        <v>0</v>
      </c>
      <c r="CAE17">
        <f t="shared" si="1397"/>
        <v>0</v>
      </c>
      <c r="CAF17">
        <f t="shared" si="1398"/>
        <v>0</v>
      </c>
      <c r="CAG17">
        <f t="shared" si="1399"/>
        <v>0</v>
      </c>
      <c r="CAH17">
        <f t="shared" si="1400"/>
        <v>0</v>
      </c>
      <c r="CAI17">
        <f t="shared" si="1401"/>
        <v>0</v>
      </c>
      <c r="CAJ17">
        <f t="shared" si="1402"/>
        <v>0</v>
      </c>
      <c r="CAK17">
        <f t="shared" si="1403"/>
        <v>0</v>
      </c>
      <c r="CAL17">
        <f t="shared" si="1404"/>
        <v>0</v>
      </c>
      <c r="CAM17">
        <f t="shared" si="1405"/>
        <v>0</v>
      </c>
      <c r="CAN17">
        <f t="shared" si="1406"/>
        <v>0</v>
      </c>
      <c r="CAO17">
        <f t="shared" si="1407"/>
        <v>0</v>
      </c>
      <c r="CAP17">
        <f t="shared" si="1408"/>
        <v>0</v>
      </c>
      <c r="CAQ17">
        <f t="shared" si="1409"/>
        <v>0</v>
      </c>
      <c r="CAR17">
        <f t="shared" si="1410"/>
        <v>0</v>
      </c>
      <c r="CAS17">
        <f t="shared" si="1411"/>
        <v>0</v>
      </c>
      <c r="CAT17">
        <f t="shared" si="1412"/>
        <v>0</v>
      </c>
      <c r="CAU17">
        <f t="shared" si="1413"/>
        <v>0</v>
      </c>
      <c r="CAV17">
        <f t="shared" si="1414"/>
        <v>0</v>
      </c>
      <c r="CAW17">
        <f t="shared" si="1415"/>
        <v>0</v>
      </c>
      <c r="CAX17">
        <f t="shared" si="1416"/>
        <v>0</v>
      </c>
      <c r="CAY17">
        <f t="shared" si="1417"/>
        <v>0</v>
      </c>
      <c r="CAZ17">
        <f t="shared" si="1418"/>
        <v>0</v>
      </c>
      <c r="CBA17">
        <f t="shared" si="1419"/>
        <v>0</v>
      </c>
      <c r="CBB17">
        <f t="shared" si="1420"/>
        <v>0</v>
      </c>
      <c r="CBC17">
        <f t="shared" si="1421"/>
        <v>0</v>
      </c>
      <c r="CBD17">
        <f t="shared" si="1422"/>
        <v>0</v>
      </c>
      <c r="CBE17">
        <f t="shared" si="1423"/>
        <v>0</v>
      </c>
      <c r="CBF17">
        <f t="shared" si="1424"/>
        <v>0</v>
      </c>
      <c r="CBG17">
        <f t="shared" si="1425"/>
        <v>0</v>
      </c>
      <c r="CBH17">
        <f t="shared" si="1426"/>
        <v>0</v>
      </c>
      <c r="CBI17">
        <f t="shared" si="1427"/>
        <v>0</v>
      </c>
      <c r="CBJ17">
        <f t="shared" si="1428"/>
        <v>0</v>
      </c>
      <c r="CBK17">
        <f t="shared" si="1429"/>
        <v>0</v>
      </c>
      <c r="CBL17">
        <f t="shared" si="1430"/>
        <v>0</v>
      </c>
      <c r="CBM17">
        <f t="shared" si="1431"/>
        <v>0</v>
      </c>
      <c r="CBN17">
        <f t="shared" si="1432"/>
        <v>0</v>
      </c>
      <c r="CBO17">
        <f t="shared" si="1433"/>
        <v>0</v>
      </c>
      <c r="CBP17">
        <f t="shared" si="1434"/>
        <v>0</v>
      </c>
      <c r="CBQ17">
        <f t="shared" si="1435"/>
        <v>0</v>
      </c>
      <c r="CBR17">
        <f t="shared" si="1436"/>
        <v>0</v>
      </c>
      <c r="CBS17">
        <f t="shared" si="1437"/>
        <v>0</v>
      </c>
      <c r="CBT17">
        <f t="shared" si="1438"/>
        <v>0</v>
      </c>
      <c r="CBU17">
        <f t="shared" si="1439"/>
        <v>0</v>
      </c>
      <c r="CBV17">
        <f t="shared" si="1440"/>
        <v>0</v>
      </c>
      <c r="CBW17">
        <f t="shared" si="1441"/>
        <v>0</v>
      </c>
      <c r="CBX17">
        <f t="shared" si="1442"/>
        <v>0</v>
      </c>
      <c r="CBY17">
        <f t="shared" si="1443"/>
        <v>0</v>
      </c>
      <c r="CBZ17">
        <f t="shared" si="1444"/>
        <v>0</v>
      </c>
      <c r="CCA17">
        <f t="shared" si="1445"/>
        <v>0</v>
      </c>
      <c r="CCB17">
        <f t="shared" si="1446"/>
        <v>0</v>
      </c>
      <c r="CCC17">
        <f t="shared" si="1447"/>
        <v>0</v>
      </c>
      <c r="CCD17">
        <f t="shared" si="1448"/>
        <v>0</v>
      </c>
      <c r="CCE17">
        <f t="shared" si="1449"/>
        <v>0</v>
      </c>
      <c r="CCF17">
        <f t="shared" si="1450"/>
        <v>0</v>
      </c>
      <c r="CCG17">
        <f t="shared" si="1451"/>
        <v>0</v>
      </c>
      <c r="CCH17">
        <f t="shared" si="55"/>
        <v>0</v>
      </c>
      <c r="CCI17">
        <f t="shared" si="1452"/>
        <v>0</v>
      </c>
      <c r="CCJ17">
        <f t="shared" si="1453"/>
        <v>0</v>
      </c>
      <c r="CCK17">
        <f t="shared" si="1454"/>
        <v>0</v>
      </c>
      <c r="CCL17">
        <f t="shared" si="1455"/>
        <v>0</v>
      </c>
      <c r="CCM17">
        <f t="shared" si="1456"/>
        <v>0</v>
      </c>
      <c r="CCN17">
        <f t="shared" si="1457"/>
        <v>0</v>
      </c>
      <c r="CCO17">
        <f t="shared" si="1458"/>
        <v>0</v>
      </c>
      <c r="CCP17">
        <f t="shared" si="1459"/>
        <v>0</v>
      </c>
      <c r="CCQ17">
        <f t="shared" si="1460"/>
        <v>0</v>
      </c>
      <c r="CCR17">
        <f t="shared" si="1461"/>
        <v>0</v>
      </c>
      <c r="CCS17">
        <f t="shared" si="1462"/>
        <v>0</v>
      </c>
      <c r="CCT17">
        <f t="shared" si="1463"/>
        <v>0</v>
      </c>
      <c r="CCU17">
        <f t="shared" si="1464"/>
        <v>0</v>
      </c>
      <c r="CCV17">
        <f t="shared" si="1465"/>
        <v>0</v>
      </c>
      <c r="CCW17">
        <f t="shared" si="1466"/>
        <v>0</v>
      </c>
      <c r="CCX17">
        <f t="shared" si="1467"/>
        <v>0</v>
      </c>
      <c r="CCY17">
        <f t="shared" si="1468"/>
        <v>0</v>
      </c>
      <c r="CCZ17">
        <f t="shared" si="1469"/>
        <v>0</v>
      </c>
      <c r="CDA17">
        <f t="shared" si="1470"/>
        <v>0</v>
      </c>
      <c r="CDB17">
        <f t="shared" si="1471"/>
        <v>0</v>
      </c>
      <c r="CDC17">
        <f t="shared" si="1472"/>
        <v>0</v>
      </c>
      <c r="CDD17">
        <f t="shared" si="1473"/>
        <v>0</v>
      </c>
      <c r="CDE17">
        <f t="shared" si="1474"/>
        <v>0</v>
      </c>
      <c r="CDF17">
        <f t="shared" si="1475"/>
        <v>0</v>
      </c>
      <c r="CDG17">
        <f t="shared" si="1476"/>
        <v>0</v>
      </c>
      <c r="CDH17">
        <f t="shared" si="1477"/>
        <v>0</v>
      </c>
      <c r="CDI17">
        <f t="shared" si="1478"/>
        <v>0</v>
      </c>
      <c r="CDJ17">
        <f t="shared" si="1479"/>
        <v>0</v>
      </c>
      <c r="CDK17">
        <f t="shared" si="1480"/>
        <v>0</v>
      </c>
      <c r="CDL17">
        <f t="shared" si="1481"/>
        <v>0</v>
      </c>
      <c r="CDM17">
        <f t="shared" si="1482"/>
        <v>0</v>
      </c>
      <c r="CDN17">
        <f t="shared" si="1483"/>
        <v>0</v>
      </c>
      <c r="CDO17">
        <f t="shared" si="1484"/>
        <v>0</v>
      </c>
      <c r="CDP17">
        <f t="shared" si="1485"/>
        <v>0</v>
      </c>
      <c r="CDQ17">
        <f t="shared" si="1486"/>
        <v>0</v>
      </c>
      <c r="CDR17">
        <f t="shared" si="1487"/>
        <v>0</v>
      </c>
      <c r="CDS17">
        <f t="shared" si="1488"/>
        <v>0</v>
      </c>
      <c r="CDT17">
        <f t="shared" si="1489"/>
        <v>0</v>
      </c>
      <c r="CDU17">
        <f t="shared" si="1490"/>
        <v>0</v>
      </c>
      <c r="CDV17">
        <f t="shared" si="1491"/>
        <v>0</v>
      </c>
      <c r="CDW17">
        <f t="shared" si="1492"/>
        <v>0</v>
      </c>
      <c r="CDX17">
        <f t="shared" si="1493"/>
        <v>0</v>
      </c>
      <c r="CDY17">
        <f t="shared" si="1494"/>
        <v>0</v>
      </c>
      <c r="CDZ17">
        <f t="shared" si="1495"/>
        <v>0</v>
      </c>
      <c r="CEA17">
        <f t="shared" si="1496"/>
        <v>0</v>
      </c>
      <c r="CEB17">
        <f t="shared" si="1497"/>
        <v>0</v>
      </c>
      <c r="CEC17">
        <f t="shared" si="1498"/>
        <v>0</v>
      </c>
      <c r="CED17">
        <f t="shared" si="1499"/>
        <v>0</v>
      </c>
      <c r="CEE17">
        <f t="shared" si="1500"/>
        <v>0</v>
      </c>
      <c r="CEF17">
        <f t="shared" si="1501"/>
        <v>0</v>
      </c>
      <c r="CEG17">
        <f t="shared" si="1502"/>
        <v>0</v>
      </c>
      <c r="CEH17">
        <f t="shared" si="1503"/>
        <v>0</v>
      </c>
      <c r="CEI17">
        <f t="shared" si="1504"/>
        <v>0</v>
      </c>
      <c r="CEJ17">
        <f t="shared" si="1505"/>
        <v>0</v>
      </c>
      <c r="CEK17">
        <f t="shared" si="1506"/>
        <v>0</v>
      </c>
      <c r="CEL17">
        <f t="shared" si="1507"/>
        <v>0</v>
      </c>
      <c r="CEM17">
        <f t="shared" si="1508"/>
        <v>0</v>
      </c>
      <c r="CEN17">
        <f t="shared" si="1509"/>
        <v>0</v>
      </c>
      <c r="CEO17">
        <f t="shared" si="1510"/>
        <v>0</v>
      </c>
      <c r="CEP17">
        <f t="shared" si="1511"/>
        <v>0</v>
      </c>
      <c r="CEQ17">
        <f t="shared" si="1512"/>
        <v>0</v>
      </c>
      <c r="CER17">
        <f t="shared" si="1513"/>
        <v>0</v>
      </c>
      <c r="CES17">
        <f t="shared" si="1514"/>
        <v>0</v>
      </c>
      <c r="CET17">
        <f t="shared" si="56"/>
        <v>0</v>
      </c>
      <c r="CEU17">
        <f t="shared" si="1515"/>
        <v>0</v>
      </c>
      <c r="CEV17">
        <f t="shared" si="1516"/>
        <v>0</v>
      </c>
      <c r="CEW17">
        <f t="shared" si="1517"/>
        <v>0</v>
      </c>
      <c r="CEX17">
        <f t="shared" si="1518"/>
        <v>0</v>
      </c>
      <c r="CEY17">
        <f t="shared" si="1519"/>
        <v>0</v>
      </c>
      <c r="CEZ17">
        <f t="shared" si="1520"/>
        <v>0</v>
      </c>
      <c r="CFA17">
        <f t="shared" si="1521"/>
        <v>0</v>
      </c>
      <c r="CFB17">
        <f t="shared" si="1522"/>
        <v>0</v>
      </c>
      <c r="CFC17">
        <f t="shared" si="1523"/>
        <v>0</v>
      </c>
      <c r="CFD17">
        <f t="shared" si="1524"/>
        <v>0</v>
      </c>
      <c r="CFE17">
        <f t="shared" si="1525"/>
        <v>0</v>
      </c>
      <c r="CFF17">
        <f t="shared" si="1526"/>
        <v>0</v>
      </c>
      <c r="CFG17">
        <f t="shared" si="1527"/>
        <v>0</v>
      </c>
      <c r="CFH17">
        <f t="shared" si="1528"/>
        <v>0</v>
      </c>
      <c r="CFI17">
        <f t="shared" si="1529"/>
        <v>0</v>
      </c>
      <c r="CFJ17">
        <f t="shared" si="1530"/>
        <v>0</v>
      </c>
      <c r="CFK17">
        <f t="shared" si="1531"/>
        <v>0</v>
      </c>
      <c r="CFL17">
        <f t="shared" si="1532"/>
        <v>0</v>
      </c>
      <c r="CFM17">
        <f t="shared" si="1533"/>
        <v>0</v>
      </c>
      <c r="CFN17">
        <f t="shared" si="1534"/>
        <v>0</v>
      </c>
      <c r="CFO17">
        <f t="shared" si="1535"/>
        <v>0</v>
      </c>
      <c r="CFP17">
        <f t="shared" si="1536"/>
        <v>0</v>
      </c>
      <c r="CFQ17">
        <f t="shared" si="1537"/>
        <v>0</v>
      </c>
      <c r="CFR17">
        <f t="shared" si="1538"/>
        <v>0</v>
      </c>
      <c r="CFS17">
        <f t="shared" si="1539"/>
        <v>0</v>
      </c>
      <c r="CFT17">
        <f t="shared" si="1540"/>
        <v>0</v>
      </c>
      <c r="CFU17">
        <f t="shared" si="1541"/>
        <v>0</v>
      </c>
      <c r="CFV17">
        <f t="shared" si="1542"/>
        <v>0</v>
      </c>
      <c r="CFW17">
        <f t="shared" si="1543"/>
        <v>0</v>
      </c>
      <c r="CFX17">
        <f t="shared" si="1544"/>
        <v>0</v>
      </c>
      <c r="CFY17">
        <f t="shared" si="1545"/>
        <v>0</v>
      </c>
      <c r="CFZ17">
        <f t="shared" si="1546"/>
        <v>0</v>
      </c>
      <c r="CGA17">
        <f t="shared" si="1547"/>
        <v>0</v>
      </c>
      <c r="CGB17">
        <f t="shared" si="1548"/>
        <v>0</v>
      </c>
      <c r="CGC17">
        <f t="shared" si="1549"/>
        <v>0</v>
      </c>
      <c r="CGD17">
        <f t="shared" si="1550"/>
        <v>0</v>
      </c>
      <c r="CGE17">
        <f t="shared" si="1551"/>
        <v>0</v>
      </c>
      <c r="CGF17">
        <f t="shared" si="1552"/>
        <v>0</v>
      </c>
      <c r="CGG17">
        <f t="shared" si="1553"/>
        <v>0</v>
      </c>
      <c r="CGH17">
        <f t="shared" si="1554"/>
        <v>0</v>
      </c>
      <c r="CGI17">
        <f t="shared" si="1555"/>
        <v>0</v>
      </c>
      <c r="CGJ17">
        <f t="shared" si="1556"/>
        <v>0</v>
      </c>
      <c r="CGK17">
        <f t="shared" si="1557"/>
        <v>0</v>
      </c>
      <c r="CGL17">
        <f t="shared" si="1558"/>
        <v>0</v>
      </c>
      <c r="CGM17">
        <f t="shared" si="1559"/>
        <v>0</v>
      </c>
      <c r="CGN17">
        <f t="shared" si="1560"/>
        <v>0</v>
      </c>
      <c r="CGO17">
        <f t="shared" si="1561"/>
        <v>0</v>
      </c>
      <c r="CGP17">
        <f t="shared" si="1562"/>
        <v>0</v>
      </c>
      <c r="CGQ17">
        <f t="shared" si="1563"/>
        <v>0</v>
      </c>
      <c r="CGR17">
        <f t="shared" si="1564"/>
        <v>0</v>
      </c>
      <c r="CGS17">
        <f t="shared" si="1565"/>
        <v>0</v>
      </c>
      <c r="CGT17">
        <f t="shared" si="1566"/>
        <v>0</v>
      </c>
      <c r="CGU17">
        <f t="shared" si="1567"/>
        <v>0</v>
      </c>
      <c r="CGV17">
        <f t="shared" si="1568"/>
        <v>0</v>
      </c>
      <c r="CGW17">
        <f t="shared" si="1569"/>
        <v>0</v>
      </c>
      <c r="CGX17">
        <f t="shared" si="1570"/>
        <v>0</v>
      </c>
      <c r="CGY17">
        <f t="shared" si="1571"/>
        <v>0</v>
      </c>
      <c r="CGZ17">
        <f t="shared" si="1572"/>
        <v>0</v>
      </c>
      <c r="CHA17">
        <f t="shared" si="1573"/>
        <v>0</v>
      </c>
      <c r="CHB17">
        <f t="shared" si="1574"/>
        <v>0</v>
      </c>
      <c r="CHC17">
        <f t="shared" si="1575"/>
        <v>0</v>
      </c>
      <c r="CHD17">
        <f t="shared" si="1576"/>
        <v>0</v>
      </c>
      <c r="CHE17">
        <f t="shared" si="1577"/>
        <v>0</v>
      </c>
      <c r="CHF17">
        <f t="shared" si="57"/>
        <v>0</v>
      </c>
      <c r="CHG17">
        <f t="shared" si="1578"/>
        <v>0</v>
      </c>
      <c r="CHH17">
        <f t="shared" si="1579"/>
        <v>0</v>
      </c>
      <c r="CHI17">
        <f t="shared" si="1580"/>
        <v>0</v>
      </c>
      <c r="CHJ17">
        <f t="shared" si="1581"/>
        <v>0</v>
      </c>
      <c r="CHK17">
        <f t="shared" si="1582"/>
        <v>0</v>
      </c>
      <c r="CHL17">
        <f t="shared" si="1583"/>
        <v>0</v>
      </c>
      <c r="CHM17">
        <f t="shared" si="1584"/>
        <v>0</v>
      </c>
      <c r="CHN17">
        <f t="shared" si="1585"/>
        <v>0</v>
      </c>
      <c r="CHO17">
        <f t="shared" si="1586"/>
        <v>0</v>
      </c>
      <c r="CHP17">
        <f t="shared" si="1587"/>
        <v>0</v>
      </c>
      <c r="CHQ17">
        <f t="shared" si="1588"/>
        <v>0</v>
      </c>
      <c r="CHR17">
        <f t="shared" si="1589"/>
        <v>0</v>
      </c>
      <c r="CHS17">
        <f t="shared" si="1590"/>
        <v>0</v>
      </c>
      <c r="CHT17">
        <f t="shared" si="1591"/>
        <v>0</v>
      </c>
      <c r="CHU17">
        <f t="shared" si="1592"/>
        <v>0</v>
      </c>
      <c r="CHV17">
        <f t="shared" si="1593"/>
        <v>0</v>
      </c>
      <c r="CHW17">
        <f t="shared" si="1594"/>
        <v>0</v>
      </c>
      <c r="CHX17">
        <f t="shared" si="1595"/>
        <v>0</v>
      </c>
      <c r="CHY17">
        <f t="shared" si="1596"/>
        <v>0</v>
      </c>
      <c r="CHZ17">
        <f t="shared" si="1597"/>
        <v>0</v>
      </c>
      <c r="CIA17">
        <f t="shared" si="1598"/>
        <v>0</v>
      </c>
      <c r="CIB17">
        <f t="shared" si="1599"/>
        <v>0</v>
      </c>
      <c r="CIC17">
        <f t="shared" si="1600"/>
        <v>0</v>
      </c>
      <c r="CID17">
        <f t="shared" si="1601"/>
        <v>0</v>
      </c>
      <c r="CIE17">
        <f t="shared" si="1602"/>
        <v>0</v>
      </c>
      <c r="CIF17">
        <f t="shared" si="1603"/>
        <v>0</v>
      </c>
      <c r="CIG17">
        <f t="shared" si="1604"/>
        <v>0</v>
      </c>
      <c r="CIH17">
        <f t="shared" si="1605"/>
        <v>0</v>
      </c>
      <c r="CII17">
        <f t="shared" si="1606"/>
        <v>0</v>
      </c>
      <c r="CIJ17">
        <f t="shared" si="1607"/>
        <v>0</v>
      </c>
      <c r="CIK17">
        <f t="shared" si="1608"/>
        <v>0</v>
      </c>
      <c r="CIL17">
        <f t="shared" si="1609"/>
        <v>0</v>
      </c>
      <c r="CIM17">
        <f t="shared" si="1610"/>
        <v>0</v>
      </c>
      <c r="CIN17">
        <f t="shared" si="1611"/>
        <v>0</v>
      </c>
      <c r="CIO17">
        <f t="shared" si="1612"/>
        <v>0</v>
      </c>
      <c r="CIP17">
        <f t="shared" si="1613"/>
        <v>0</v>
      </c>
      <c r="CIQ17">
        <f t="shared" si="1614"/>
        <v>0</v>
      </c>
      <c r="CIR17">
        <f t="shared" si="1615"/>
        <v>0</v>
      </c>
      <c r="CIS17">
        <f t="shared" si="1616"/>
        <v>0</v>
      </c>
      <c r="CIT17">
        <f t="shared" si="1617"/>
        <v>0</v>
      </c>
      <c r="CIU17">
        <f t="shared" si="1618"/>
        <v>0</v>
      </c>
      <c r="CIV17">
        <f t="shared" si="1619"/>
        <v>0</v>
      </c>
      <c r="CIW17">
        <f t="shared" si="1620"/>
        <v>0</v>
      </c>
      <c r="CIX17">
        <f t="shared" si="1621"/>
        <v>0</v>
      </c>
      <c r="CIY17">
        <f t="shared" si="1622"/>
        <v>0</v>
      </c>
      <c r="CIZ17">
        <f t="shared" si="1623"/>
        <v>0</v>
      </c>
      <c r="CJA17">
        <f t="shared" si="1624"/>
        <v>0</v>
      </c>
      <c r="CJB17">
        <f t="shared" si="1625"/>
        <v>0</v>
      </c>
      <c r="CJC17">
        <f t="shared" si="1626"/>
        <v>0</v>
      </c>
      <c r="CJD17">
        <f t="shared" si="1627"/>
        <v>0</v>
      </c>
      <c r="CJE17">
        <f t="shared" si="1628"/>
        <v>0</v>
      </c>
      <c r="CJF17">
        <f t="shared" si="1629"/>
        <v>0</v>
      </c>
      <c r="CJG17">
        <f t="shared" si="1630"/>
        <v>0</v>
      </c>
      <c r="CJH17">
        <f t="shared" si="1631"/>
        <v>0</v>
      </c>
      <c r="CJI17">
        <f t="shared" si="1632"/>
        <v>0</v>
      </c>
      <c r="CJJ17">
        <f t="shared" si="1633"/>
        <v>0</v>
      </c>
      <c r="CJK17">
        <f t="shared" si="1634"/>
        <v>0</v>
      </c>
      <c r="CJL17">
        <f t="shared" si="1635"/>
        <v>0</v>
      </c>
      <c r="CJM17">
        <f t="shared" si="1636"/>
        <v>0</v>
      </c>
      <c r="CJN17">
        <f t="shared" si="1637"/>
        <v>0</v>
      </c>
      <c r="CJO17">
        <f t="shared" si="1638"/>
        <v>0</v>
      </c>
      <c r="CJP17">
        <f t="shared" si="1639"/>
        <v>0</v>
      </c>
      <c r="CJQ17">
        <f t="shared" si="1640"/>
        <v>0</v>
      </c>
      <c r="CJR17">
        <f t="shared" si="58"/>
        <v>0</v>
      </c>
      <c r="CJS17">
        <f t="shared" si="1641"/>
        <v>0</v>
      </c>
      <c r="CJT17">
        <f t="shared" si="1642"/>
        <v>0</v>
      </c>
      <c r="CJU17">
        <f t="shared" si="1643"/>
        <v>0</v>
      </c>
      <c r="CJV17">
        <f t="shared" si="1644"/>
        <v>0</v>
      </c>
      <c r="CJW17">
        <f t="shared" si="1645"/>
        <v>0</v>
      </c>
      <c r="CJX17">
        <f t="shared" si="1646"/>
        <v>0</v>
      </c>
      <c r="CJY17">
        <f t="shared" si="1647"/>
        <v>0</v>
      </c>
      <c r="CJZ17">
        <f t="shared" si="1648"/>
        <v>0</v>
      </c>
      <c r="CKA17">
        <f t="shared" si="1649"/>
        <v>0</v>
      </c>
      <c r="CKB17">
        <f t="shared" si="1650"/>
        <v>0</v>
      </c>
      <c r="CKC17">
        <f t="shared" si="1651"/>
        <v>0</v>
      </c>
      <c r="CKD17">
        <f t="shared" si="1652"/>
        <v>0</v>
      </c>
      <c r="CKE17">
        <f t="shared" si="1653"/>
        <v>0</v>
      </c>
      <c r="CKF17">
        <f t="shared" si="1654"/>
        <v>0</v>
      </c>
      <c r="CKG17">
        <f t="shared" si="1655"/>
        <v>0</v>
      </c>
      <c r="CKH17">
        <f t="shared" si="1656"/>
        <v>0</v>
      </c>
      <c r="CKI17">
        <f t="shared" si="1657"/>
        <v>0</v>
      </c>
      <c r="CKJ17">
        <f t="shared" si="1658"/>
        <v>0</v>
      </c>
      <c r="CKK17">
        <f t="shared" si="1659"/>
        <v>0</v>
      </c>
      <c r="CKL17">
        <f t="shared" si="1660"/>
        <v>0</v>
      </c>
      <c r="CKM17">
        <f t="shared" si="1661"/>
        <v>0</v>
      </c>
      <c r="CKN17">
        <f t="shared" si="1662"/>
        <v>0</v>
      </c>
      <c r="CKO17">
        <f t="shared" si="1663"/>
        <v>0</v>
      </c>
      <c r="CKP17">
        <f t="shared" si="1664"/>
        <v>0</v>
      </c>
      <c r="CKQ17">
        <f t="shared" si="1665"/>
        <v>0</v>
      </c>
      <c r="CKR17">
        <f t="shared" si="1666"/>
        <v>0</v>
      </c>
      <c r="CKS17">
        <f t="shared" si="1667"/>
        <v>0</v>
      </c>
      <c r="CKT17">
        <f t="shared" si="1668"/>
        <v>0</v>
      </c>
      <c r="CKU17">
        <f t="shared" si="1669"/>
        <v>0</v>
      </c>
      <c r="CKV17">
        <f t="shared" si="1670"/>
        <v>0</v>
      </c>
      <c r="CKW17">
        <f t="shared" si="1671"/>
        <v>0</v>
      </c>
      <c r="CKX17">
        <f t="shared" si="1672"/>
        <v>0</v>
      </c>
      <c r="CKY17">
        <f t="shared" si="1673"/>
        <v>0</v>
      </c>
      <c r="CKZ17">
        <f t="shared" si="1674"/>
        <v>0</v>
      </c>
      <c r="CLA17">
        <f t="shared" si="1675"/>
        <v>0</v>
      </c>
      <c r="CLB17">
        <f t="shared" si="1676"/>
        <v>0</v>
      </c>
      <c r="CLC17">
        <f t="shared" si="1677"/>
        <v>0</v>
      </c>
      <c r="CLD17">
        <f t="shared" si="1678"/>
        <v>0</v>
      </c>
      <c r="CLE17">
        <f t="shared" si="1679"/>
        <v>0</v>
      </c>
      <c r="CLF17">
        <f t="shared" si="1680"/>
        <v>0</v>
      </c>
      <c r="CLG17">
        <f t="shared" si="1681"/>
        <v>0</v>
      </c>
      <c r="CLH17">
        <f t="shared" si="1682"/>
        <v>0</v>
      </c>
      <c r="CLI17">
        <f t="shared" si="1683"/>
        <v>0</v>
      </c>
      <c r="CLJ17">
        <f t="shared" si="1684"/>
        <v>0</v>
      </c>
      <c r="CLK17">
        <f t="shared" si="1685"/>
        <v>0</v>
      </c>
      <c r="CLL17">
        <f t="shared" si="1686"/>
        <v>0</v>
      </c>
      <c r="CLM17">
        <f t="shared" si="1687"/>
        <v>0</v>
      </c>
      <c r="CLN17">
        <f t="shared" si="1688"/>
        <v>0</v>
      </c>
      <c r="CLO17">
        <f t="shared" si="1689"/>
        <v>0</v>
      </c>
      <c r="CLP17">
        <f t="shared" si="1690"/>
        <v>0</v>
      </c>
      <c r="CLQ17">
        <f t="shared" si="1691"/>
        <v>0</v>
      </c>
      <c r="CLR17">
        <f t="shared" si="1692"/>
        <v>0</v>
      </c>
      <c r="CLS17">
        <f t="shared" si="1693"/>
        <v>0</v>
      </c>
      <c r="CLT17">
        <f t="shared" si="1694"/>
        <v>0</v>
      </c>
      <c r="CLU17">
        <f t="shared" si="1695"/>
        <v>0</v>
      </c>
      <c r="CLV17">
        <f t="shared" si="1696"/>
        <v>0</v>
      </c>
      <c r="CLW17">
        <f t="shared" si="1697"/>
        <v>0</v>
      </c>
      <c r="CLX17">
        <f t="shared" si="1698"/>
        <v>0</v>
      </c>
      <c r="CLY17">
        <f t="shared" si="1699"/>
        <v>0</v>
      </c>
      <c r="CLZ17">
        <f t="shared" si="1700"/>
        <v>0</v>
      </c>
      <c r="CMA17">
        <f t="shared" si="1701"/>
        <v>0</v>
      </c>
      <c r="CMB17">
        <f t="shared" si="1702"/>
        <v>0</v>
      </c>
      <c r="CMC17">
        <f t="shared" si="1703"/>
        <v>0</v>
      </c>
      <c r="CMD17">
        <f t="shared" si="59"/>
        <v>0</v>
      </c>
      <c r="CME17">
        <f t="shared" si="1704"/>
        <v>0</v>
      </c>
      <c r="CMF17">
        <f t="shared" si="1705"/>
        <v>0</v>
      </c>
      <c r="CMG17">
        <f t="shared" si="1706"/>
        <v>0</v>
      </c>
      <c r="CMH17">
        <f t="shared" si="1707"/>
        <v>0</v>
      </c>
      <c r="CMI17">
        <f t="shared" si="1708"/>
        <v>0</v>
      </c>
      <c r="CMJ17">
        <f t="shared" si="1709"/>
        <v>0</v>
      </c>
      <c r="CMK17">
        <f t="shared" si="1710"/>
        <v>0</v>
      </c>
      <c r="CML17">
        <f t="shared" si="1711"/>
        <v>0</v>
      </c>
      <c r="CMM17">
        <f t="shared" si="1712"/>
        <v>0</v>
      </c>
      <c r="CMN17">
        <f t="shared" si="1713"/>
        <v>0</v>
      </c>
      <c r="CMO17">
        <f t="shared" si="1714"/>
        <v>0</v>
      </c>
      <c r="CMP17">
        <f t="shared" si="1715"/>
        <v>0</v>
      </c>
      <c r="CMQ17">
        <f t="shared" si="1716"/>
        <v>0</v>
      </c>
      <c r="CMR17">
        <f t="shared" si="1717"/>
        <v>0</v>
      </c>
      <c r="CMS17">
        <f t="shared" si="1718"/>
        <v>0</v>
      </c>
      <c r="CMT17">
        <f t="shared" si="1719"/>
        <v>0</v>
      </c>
      <c r="CMU17">
        <f t="shared" si="1720"/>
        <v>0</v>
      </c>
      <c r="CMV17">
        <f t="shared" si="1721"/>
        <v>0</v>
      </c>
      <c r="CMW17">
        <f t="shared" si="1722"/>
        <v>0</v>
      </c>
      <c r="CMX17">
        <f t="shared" si="1723"/>
        <v>0</v>
      </c>
      <c r="CMY17">
        <f t="shared" si="1724"/>
        <v>0</v>
      </c>
      <c r="CMZ17">
        <f t="shared" si="1725"/>
        <v>0</v>
      </c>
      <c r="CNA17">
        <f t="shared" si="1726"/>
        <v>0</v>
      </c>
      <c r="CNB17">
        <f t="shared" si="1727"/>
        <v>0</v>
      </c>
      <c r="CNC17">
        <f t="shared" si="1728"/>
        <v>0</v>
      </c>
      <c r="CND17">
        <f t="shared" si="1729"/>
        <v>0</v>
      </c>
      <c r="CNE17">
        <f t="shared" si="1730"/>
        <v>0</v>
      </c>
      <c r="CNF17">
        <f t="shared" si="1731"/>
        <v>0</v>
      </c>
      <c r="CNG17">
        <f t="shared" si="1732"/>
        <v>0</v>
      </c>
      <c r="CNH17">
        <f t="shared" si="1733"/>
        <v>0</v>
      </c>
      <c r="CNI17">
        <f t="shared" si="1734"/>
        <v>0</v>
      </c>
      <c r="CNJ17">
        <f t="shared" si="1735"/>
        <v>0</v>
      </c>
      <c r="CNK17">
        <f t="shared" si="1736"/>
        <v>0</v>
      </c>
      <c r="CNL17">
        <f t="shared" si="1737"/>
        <v>0</v>
      </c>
      <c r="CNM17">
        <f t="shared" si="1738"/>
        <v>0</v>
      </c>
      <c r="CNN17">
        <f t="shared" si="1739"/>
        <v>0</v>
      </c>
      <c r="CNO17">
        <f t="shared" si="1740"/>
        <v>0</v>
      </c>
      <c r="CNP17">
        <f t="shared" si="1741"/>
        <v>0</v>
      </c>
      <c r="CNQ17">
        <f t="shared" si="1742"/>
        <v>0</v>
      </c>
      <c r="CNR17">
        <f t="shared" si="1743"/>
        <v>0</v>
      </c>
      <c r="CNS17">
        <f t="shared" si="1744"/>
        <v>0</v>
      </c>
      <c r="CNT17">
        <f t="shared" si="1745"/>
        <v>0</v>
      </c>
      <c r="CNU17">
        <f t="shared" si="1746"/>
        <v>0</v>
      </c>
      <c r="CNV17">
        <f t="shared" si="1747"/>
        <v>0</v>
      </c>
      <c r="CNW17">
        <f t="shared" si="1748"/>
        <v>0</v>
      </c>
      <c r="CNX17">
        <f t="shared" si="1749"/>
        <v>0</v>
      </c>
      <c r="CNY17">
        <f t="shared" si="1750"/>
        <v>0</v>
      </c>
      <c r="CNZ17">
        <f t="shared" si="1751"/>
        <v>0</v>
      </c>
      <c r="COA17">
        <f t="shared" si="1752"/>
        <v>0</v>
      </c>
      <c r="COB17">
        <f t="shared" si="1753"/>
        <v>0</v>
      </c>
      <c r="COC17">
        <f t="shared" si="1754"/>
        <v>0</v>
      </c>
      <c r="COD17">
        <f t="shared" si="1755"/>
        <v>0</v>
      </c>
      <c r="COE17">
        <f t="shared" si="1756"/>
        <v>0</v>
      </c>
      <c r="COF17">
        <f t="shared" si="1757"/>
        <v>0</v>
      </c>
      <c r="COG17">
        <f t="shared" si="1758"/>
        <v>0</v>
      </c>
      <c r="COH17">
        <f t="shared" si="1759"/>
        <v>0</v>
      </c>
      <c r="COI17">
        <f t="shared" si="1760"/>
        <v>0</v>
      </c>
      <c r="COJ17">
        <f t="shared" si="1761"/>
        <v>0</v>
      </c>
      <c r="COK17">
        <f t="shared" si="1762"/>
        <v>0</v>
      </c>
      <c r="COL17">
        <f t="shared" si="1763"/>
        <v>0</v>
      </c>
      <c r="COM17">
        <f t="shared" si="1764"/>
        <v>0</v>
      </c>
      <c r="CON17">
        <f t="shared" si="1765"/>
        <v>0</v>
      </c>
      <c r="COO17">
        <f t="shared" si="1766"/>
        <v>0</v>
      </c>
      <c r="COP17">
        <f t="shared" si="60"/>
        <v>0</v>
      </c>
      <c r="COQ17">
        <f t="shared" si="1767"/>
        <v>0</v>
      </c>
      <c r="COR17">
        <f t="shared" si="1768"/>
        <v>0</v>
      </c>
      <c r="COS17">
        <f t="shared" si="1769"/>
        <v>0</v>
      </c>
      <c r="COT17">
        <f t="shared" si="1770"/>
        <v>0</v>
      </c>
      <c r="COU17">
        <f t="shared" si="1771"/>
        <v>0</v>
      </c>
      <c r="COV17">
        <f t="shared" si="1772"/>
        <v>0</v>
      </c>
      <c r="COW17">
        <f t="shared" si="1773"/>
        <v>0</v>
      </c>
      <c r="COX17">
        <f t="shared" si="1774"/>
        <v>0</v>
      </c>
      <c r="COY17">
        <f t="shared" si="1775"/>
        <v>0</v>
      </c>
      <c r="COZ17">
        <f t="shared" si="1776"/>
        <v>0</v>
      </c>
      <c r="CPA17">
        <f t="shared" si="1777"/>
        <v>0</v>
      </c>
      <c r="CPB17">
        <f t="shared" si="1778"/>
        <v>0</v>
      </c>
      <c r="CPC17">
        <f t="shared" si="1779"/>
        <v>0</v>
      </c>
      <c r="CPD17">
        <f t="shared" si="1780"/>
        <v>0</v>
      </c>
      <c r="CPE17">
        <f t="shared" si="1781"/>
        <v>0</v>
      </c>
      <c r="CPF17">
        <f t="shared" si="1782"/>
        <v>0</v>
      </c>
      <c r="CPG17">
        <f t="shared" si="1783"/>
        <v>0</v>
      </c>
      <c r="CPH17">
        <f t="shared" si="1784"/>
        <v>0</v>
      </c>
      <c r="CPI17">
        <f t="shared" si="1785"/>
        <v>0</v>
      </c>
      <c r="CPJ17">
        <f t="shared" si="1786"/>
        <v>0</v>
      </c>
      <c r="CPK17">
        <f t="shared" si="1787"/>
        <v>0</v>
      </c>
      <c r="CPL17">
        <f t="shared" si="1788"/>
        <v>0</v>
      </c>
      <c r="CPM17">
        <f t="shared" si="1789"/>
        <v>0</v>
      </c>
      <c r="CPN17">
        <f t="shared" si="1790"/>
        <v>0</v>
      </c>
      <c r="CPO17">
        <f t="shared" si="1791"/>
        <v>0</v>
      </c>
      <c r="CPP17">
        <f t="shared" si="1792"/>
        <v>0</v>
      </c>
      <c r="CPQ17">
        <f t="shared" si="1793"/>
        <v>0</v>
      </c>
      <c r="CPR17">
        <f t="shared" si="1794"/>
        <v>0</v>
      </c>
      <c r="CPS17">
        <f t="shared" si="1795"/>
        <v>0</v>
      </c>
      <c r="CPT17">
        <f t="shared" si="1796"/>
        <v>0</v>
      </c>
      <c r="CPU17">
        <f t="shared" si="1797"/>
        <v>0</v>
      </c>
      <c r="CPV17">
        <f t="shared" si="1798"/>
        <v>0</v>
      </c>
      <c r="CPW17">
        <f t="shared" si="1799"/>
        <v>0</v>
      </c>
      <c r="CPX17">
        <f t="shared" si="1800"/>
        <v>0</v>
      </c>
      <c r="CPY17">
        <f t="shared" si="1801"/>
        <v>0</v>
      </c>
      <c r="CPZ17">
        <f t="shared" si="1802"/>
        <v>0</v>
      </c>
      <c r="CQA17">
        <f t="shared" si="1803"/>
        <v>0</v>
      </c>
      <c r="CQB17">
        <f t="shared" si="1804"/>
        <v>0</v>
      </c>
      <c r="CQC17">
        <f t="shared" si="1805"/>
        <v>0</v>
      </c>
      <c r="CQD17">
        <f t="shared" si="1806"/>
        <v>0</v>
      </c>
      <c r="CQE17">
        <f t="shared" si="1807"/>
        <v>0</v>
      </c>
      <c r="CQF17">
        <f t="shared" si="1808"/>
        <v>0</v>
      </c>
      <c r="CQG17">
        <f t="shared" si="1809"/>
        <v>0</v>
      </c>
      <c r="CQH17">
        <f t="shared" si="1810"/>
        <v>0</v>
      </c>
      <c r="CQI17">
        <f t="shared" si="1811"/>
        <v>0</v>
      </c>
      <c r="CQJ17">
        <f t="shared" si="1812"/>
        <v>0</v>
      </c>
      <c r="CQK17">
        <f t="shared" si="1813"/>
        <v>0</v>
      </c>
      <c r="CQL17">
        <f t="shared" si="1814"/>
        <v>0</v>
      </c>
      <c r="CQM17">
        <f t="shared" si="1815"/>
        <v>0</v>
      </c>
      <c r="CQN17">
        <f t="shared" si="1816"/>
        <v>0</v>
      </c>
      <c r="CQO17">
        <f t="shared" si="1817"/>
        <v>0</v>
      </c>
      <c r="CQP17">
        <f t="shared" si="1818"/>
        <v>0</v>
      </c>
      <c r="CQQ17">
        <f t="shared" si="1819"/>
        <v>0</v>
      </c>
      <c r="CQR17">
        <f t="shared" si="1820"/>
        <v>0</v>
      </c>
      <c r="CQS17">
        <f t="shared" si="1821"/>
        <v>0</v>
      </c>
      <c r="CQT17">
        <f t="shared" si="1822"/>
        <v>0</v>
      </c>
      <c r="CQU17">
        <f t="shared" si="1823"/>
        <v>0</v>
      </c>
      <c r="CQV17">
        <f t="shared" si="1824"/>
        <v>0</v>
      </c>
      <c r="CQW17">
        <f t="shared" si="1825"/>
        <v>0</v>
      </c>
      <c r="CQX17">
        <f t="shared" si="1826"/>
        <v>0</v>
      </c>
      <c r="CQY17">
        <f t="shared" si="1827"/>
        <v>0</v>
      </c>
      <c r="CQZ17">
        <f t="shared" si="1828"/>
        <v>0</v>
      </c>
      <c r="CRA17">
        <f t="shared" si="1829"/>
        <v>0</v>
      </c>
      <c r="CRB17">
        <f t="shared" si="61"/>
        <v>0</v>
      </c>
      <c r="CRC17">
        <f t="shared" si="1830"/>
        <v>0</v>
      </c>
      <c r="CRD17">
        <f t="shared" si="1831"/>
        <v>0</v>
      </c>
      <c r="CRE17">
        <f t="shared" si="1832"/>
        <v>0</v>
      </c>
      <c r="CRF17">
        <f t="shared" si="1833"/>
        <v>0</v>
      </c>
      <c r="CRG17">
        <f t="shared" si="1834"/>
        <v>0</v>
      </c>
      <c r="CRH17">
        <f t="shared" si="1835"/>
        <v>0</v>
      </c>
      <c r="CRI17">
        <f t="shared" si="1836"/>
        <v>0</v>
      </c>
      <c r="CRJ17">
        <f t="shared" si="1837"/>
        <v>0</v>
      </c>
      <c r="CRK17">
        <f t="shared" si="1838"/>
        <v>0</v>
      </c>
      <c r="CRL17">
        <f t="shared" si="1839"/>
        <v>0</v>
      </c>
      <c r="CRM17">
        <f t="shared" si="1840"/>
        <v>0</v>
      </c>
      <c r="CRN17">
        <f t="shared" si="1841"/>
        <v>0</v>
      </c>
      <c r="CRO17">
        <f t="shared" si="1842"/>
        <v>0</v>
      </c>
      <c r="CRP17">
        <f t="shared" si="1843"/>
        <v>0</v>
      </c>
      <c r="CRQ17">
        <f t="shared" si="1844"/>
        <v>0</v>
      </c>
      <c r="CRR17">
        <f t="shared" si="1845"/>
        <v>0</v>
      </c>
      <c r="CRS17">
        <f t="shared" si="1846"/>
        <v>0</v>
      </c>
      <c r="CRT17">
        <f t="shared" si="1847"/>
        <v>0</v>
      </c>
      <c r="CRU17">
        <f t="shared" si="1848"/>
        <v>0</v>
      </c>
      <c r="CRV17">
        <f t="shared" si="1849"/>
        <v>0</v>
      </c>
      <c r="CRW17">
        <f t="shared" si="1850"/>
        <v>0</v>
      </c>
      <c r="CRX17">
        <f t="shared" si="1851"/>
        <v>0</v>
      </c>
      <c r="CRY17">
        <f t="shared" si="1852"/>
        <v>0</v>
      </c>
      <c r="CRZ17">
        <f t="shared" si="1853"/>
        <v>0</v>
      </c>
      <c r="CSA17">
        <f t="shared" si="1854"/>
        <v>0</v>
      </c>
      <c r="CSB17">
        <f t="shared" si="1855"/>
        <v>0</v>
      </c>
      <c r="CSC17">
        <f t="shared" si="1856"/>
        <v>0</v>
      </c>
      <c r="CSD17">
        <f t="shared" si="1857"/>
        <v>0</v>
      </c>
      <c r="CSE17">
        <f t="shared" si="1858"/>
        <v>0</v>
      </c>
      <c r="CSF17">
        <f t="shared" si="1859"/>
        <v>0</v>
      </c>
      <c r="CSG17">
        <f t="shared" si="1860"/>
        <v>0</v>
      </c>
      <c r="CSH17">
        <f t="shared" si="1861"/>
        <v>0</v>
      </c>
      <c r="CSI17">
        <f t="shared" si="1862"/>
        <v>0</v>
      </c>
      <c r="CSJ17">
        <f t="shared" si="1863"/>
        <v>0</v>
      </c>
      <c r="CSK17">
        <f t="shared" si="1864"/>
        <v>0</v>
      </c>
      <c r="CSL17">
        <f t="shared" si="1865"/>
        <v>0</v>
      </c>
      <c r="CSM17">
        <f t="shared" si="1866"/>
        <v>0</v>
      </c>
      <c r="CSN17">
        <f t="shared" si="1867"/>
        <v>0</v>
      </c>
      <c r="CSO17">
        <f t="shared" si="1868"/>
        <v>0</v>
      </c>
      <c r="CSP17">
        <f t="shared" si="1869"/>
        <v>0</v>
      </c>
      <c r="CSQ17">
        <f t="shared" si="1870"/>
        <v>0</v>
      </c>
      <c r="CSR17">
        <f t="shared" si="1871"/>
        <v>0</v>
      </c>
      <c r="CSS17">
        <f t="shared" si="1872"/>
        <v>0</v>
      </c>
      <c r="CST17">
        <f t="shared" si="1873"/>
        <v>0</v>
      </c>
      <c r="CSU17">
        <f t="shared" si="1874"/>
        <v>0</v>
      </c>
      <c r="CSV17">
        <f t="shared" si="1875"/>
        <v>0</v>
      </c>
      <c r="CSW17">
        <f t="shared" si="1876"/>
        <v>0</v>
      </c>
      <c r="CSX17">
        <f t="shared" si="1877"/>
        <v>0</v>
      </c>
      <c r="CSY17">
        <f t="shared" si="1878"/>
        <v>0</v>
      </c>
      <c r="CSZ17">
        <f t="shared" si="1879"/>
        <v>0</v>
      </c>
      <c r="CTA17">
        <f t="shared" si="1880"/>
        <v>0</v>
      </c>
      <c r="CTB17">
        <f t="shared" si="1881"/>
        <v>0</v>
      </c>
      <c r="CTC17">
        <f t="shared" si="1882"/>
        <v>0</v>
      </c>
      <c r="CTD17">
        <f t="shared" si="1883"/>
        <v>0</v>
      </c>
      <c r="CTE17">
        <f t="shared" si="1884"/>
        <v>0</v>
      </c>
      <c r="CTF17">
        <f t="shared" si="1885"/>
        <v>0</v>
      </c>
      <c r="CTG17">
        <f t="shared" si="1886"/>
        <v>0</v>
      </c>
      <c r="CTH17">
        <f t="shared" si="1887"/>
        <v>0</v>
      </c>
      <c r="CTI17">
        <f t="shared" si="1888"/>
        <v>0</v>
      </c>
      <c r="CTJ17">
        <f t="shared" si="1889"/>
        <v>0</v>
      </c>
      <c r="CTK17">
        <f t="shared" si="1890"/>
        <v>0</v>
      </c>
      <c r="CTL17">
        <f t="shared" si="1891"/>
        <v>0</v>
      </c>
      <c r="CTM17">
        <f t="shared" si="1892"/>
        <v>0</v>
      </c>
      <c r="CTN17">
        <f t="shared" si="62"/>
        <v>0</v>
      </c>
      <c r="CTO17">
        <f t="shared" si="1893"/>
        <v>0</v>
      </c>
      <c r="CTP17">
        <f t="shared" si="1894"/>
        <v>0</v>
      </c>
      <c r="CTQ17">
        <f t="shared" si="1895"/>
        <v>0</v>
      </c>
      <c r="CTR17">
        <f t="shared" si="1896"/>
        <v>0</v>
      </c>
      <c r="CTS17">
        <f t="shared" si="1897"/>
        <v>0</v>
      </c>
      <c r="CTT17">
        <f t="shared" si="1898"/>
        <v>0</v>
      </c>
      <c r="CTU17">
        <f t="shared" si="1899"/>
        <v>0</v>
      </c>
      <c r="CTV17">
        <f t="shared" si="1900"/>
        <v>0</v>
      </c>
      <c r="CTW17">
        <f t="shared" si="1901"/>
        <v>0</v>
      </c>
      <c r="CTX17">
        <f t="shared" si="1902"/>
        <v>0</v>
      </c>
      <c r="CTY17">
        <f t="shared" si="1903"/>
        <v>0</v>
      </c>
      <c r="CTZ17">
        <f t="shared" si="1904"/>
        <v>0</v>
      </c>
      <c r="CUA17">
        <f t="shared" si="1905"/>
        <v>0</v>
      </c>
      <c r="CUB17">
        <f t="shared" si="1906"/>
        <v>0</v>
      </c>
      <c r="CUC17">
        <f t="shared" si="1907"/>
        <v>0</v>
      </c>
      <c r="CUD17">
        <f t="shared" si="1908"/>
        <v>0</v>
      </c>
      <c r="CUE17">
        <f t="shared" si="1909"/>
        <v>0</v>
      </c>
      <c r="CUF17">
        <f t="shared" si="1910"/>
        <v>0</v>
      </c>
      <c r="CUG17">
        <f t="shared" si="1911"/>
        <v>0</v>
      </c>
      <c r="CUH17">
        <f t="shared" si="1912"/>
        <v>0</v>
      </c>
      <c r="CUI17">
        <f t="shared" si="1913"/>
        <v>0</v>
      </c>
      <c r="CUJ17">
        <f t="shared" si="1914"/>
        <v>0</v>
      </c>
      <c r="CUK17">
        <f t="shared" si="1915"/>
        <v>0</v>
      </c>
      <c r="CUL17">
        <f t="shared" si="1916"/>
        <v>0</v>
      </c>
      <c r="CUM17">
        <f t="shared" si="1917"/>
        <v>0</v>
      </c>
      <c r="CUN17">
        <f t="shared" si="1918"/>
        <v>0</v>
      </c>
      <c r="CUO17">
        <f t="shared" si="1919"/>
        <v>0</v>
      </c>
      <c r="CUP17">
        <f t="shared" si="1920"/>
        <v>0</v>
      </c>
      <c r="CUQ17">
        <f t="shared" si="1921"/>
        <v>0</v>
      </c>
      <c r="CUR17">
        <f t="shared" si="1922"/>
        <v>0</v>
      </c>
      <c r="CUS17">
        <f t="shared" si="1923"/>
        <v>0</v>
      </c>
      <c r="CUT17">
        <f t="shared" si="1924"/>
        <v>0</v>
      </c>
      <c r="CUU17">
        <f t="shared" si="1925"/>
        <v>0</v>
      </c>
      <c r="CUV17">
        <f t="shared" si="1926"/>
        <v>0</v>
      </c>
      <c r="CUW17">
        <f t="shared" si="1927"/>
        <v>0</v>
      </c>
      <c r="CUX17">
        <f t="shared" si="1928"/>
        <v>0</v>
      </c>
      <c r="CUY17">
        <f t="shared" si="1929"/>
        <v>0</v>
      </c>
      <c r="CUZ17">
        <f t="shared" si="1930"/>
        <v>0</v>
      </c>
      <c r="CVA17">
        <f t="shared" si="1931"/>
        <v>0</v>
      </c>
      <c r="CVB17">
        <f t="shared" si="1932"/>
        <v>0</v>
      </c>
      <c r="CVC17">
        <f t="shared" si="1933"/>
        <v>0</v>
      </c>
      <c r="CVD17">
        <f t="shared" si="1934"/>
        <v>0</v>
      </c>
      <c r="CVE17">
        <f t="shared" si="1935"/>
        <v>0</v>
      </c>
      <c r="CVF17">
        <f t="shared" si="1936"/>
        <v>0</v>
      </c>
      <c r="CVG17">
        <f t="shared" si="1937"/>
        <v>0</v>
      </c>
      <c r="CVH17">
        <f t="shared" si="1938"/>
        <v>0</v>
      </c>
      <c r="CVI17">
        <f t="shared" si="1939"/>
        <v>0</v>
      </c>
      <c r="CVJ17">
        <f t="shared" si="1940"/>
        <v>0</v>
      </c>
      <c r="CVK17">
        <f t="shared" si="1941"/>
        <v>0</v>
      </c>
      <c r="CVL17">
        <f t="shared" si="1942"/>
        <v>0</v>
      </c>
      <c r="CVM17">
        <f t="shared" si="1943"/>
        <v>0</v>
      </c>
      <c r="CVN17">
        <f t="shared" si="1944"/>
        <v>0</v>
      </c>
      <c r="CVO17">
        <f t="shared" si="1945"/>
        <v>0</v>
      </c>
      <c r="CVP17">
        <f t="shared" si="1946"/>
        <v>0</v>
      </c>
      <c r="CVQ17">
        <f t="shared" si="1947"/>
        <v>0</v>
      </c>
      <c r="CVR17">
        <f t="shared" si="1948"/>
        <v>0</v>
      </c>
      <c r="CVS17">
        <f t="shared" si="1949"/>
        <v>0</v>
      </c>
      <c r="CVT17">
        <f t="shared" si="1950"/>
        <v>0</v>
      </c>
      <c r="CVU17">
        <f t="shared" si="1951"/>
        <v>0</v>
      </c>
      <c r="CVV17">
        <f t="shared" si="1952"/>
        <v>0</v>
      </c>
      <c r="CVW17">
        <f t="shared" si="1953"/>
        <v>0</v>
      </c>
      <c r="CVX17">
        <f t="shared" si="1954"/>
        <v>0</v>
      </c>
      <c r="CVY17">
        <f t="shared" si="1955"/>
        <v>0</v>
      </c>
      <c r="CVZ17">
        <f t="shared" si="63"/>
        <v>0</v>
      </c>
      <c r="CWA17">
        <f t="shared" si="1956"/>
        <v>0</v>
      </c>
      <c r="CWB17">
        <f t="shared" si="1957"/>
        <v>0</v>
      </c>
      <c r="CWC17">
        <f t="shared" si="1958"/>
        <v>0</v>
      </c>
      <c r="CWD17">
        <f t="shared" si="1959"/>
        <v>0</v>
      </c>
      <c r="CWE17">
        <f t="shared" si="1960"/>
        <v>0</v>
      </c>
      <c r="CWF17">
        <f t="shared" si="1961"/>
        <v>0</v>
      </c>
      <c r="CWG17">
        <f t="shared" si="1962"/>
        <v>0</v>
      </c>
      <c r="CWH17">
        <f t="shared" si="1963"/>
        <v>0</v>
      </c>
      <c r="CWI17">
        <f t="shared" si="1964"/>
        <v>0</v>
      </c>
      <c r="CWJ17">
        <f t="shared" si="1965"/>
        <v>0</v>
      </c>
      <c r="CWK17">
        <f t="shared" si="1966"/>
        <v>0</v>
      </c>
      <c r="CWL17">
        <f t="shared" si="1967"/>
        <v>0</v>
      </c>
      <c r="CWM17">
        <f t="shared" si="1968"/>
        <v>0</v>
      </c>
      <c r="CWN17">
        <f t="shared" si="1969"/>
        <v>0</v>
      </c>
      <c r="CWO17">
        <f t="shared" si="1970"/>
        <v>0</v>
      </c>
      <c r="CWP17">
        <f t="shared" si="1971"/>
        <v>0</v>
      </c>
      <c r="CWQ17">
        <f t="shared" si="1972"/>
        <v>0</v>
      </c>
      <c r="CWR17">
        <f t="shared" si="1973"/>
        <v>0</v>
      </c>
      <c r="CWS17">
        <f t="shared" si="1974"/>
        <v>0</v>
      </c>
      <c r="CWT17">
        <f t="shared" si="1975"/>
        <v>0</v>
      </c>
      <c r="CWU17">
        <f t="shared" si="1976"/>
        <v>0</v>
      </c>
      <c r="CWV17">
        <f t="shared" si="1977"/>
        <v>0</v>
      </c>
      <c r="CWW17">
        <f t="shared" si="1978"/>
        <v>0</v>
      </c>
      <c r="CWX17">
        <f t="shared" si="1979"/>
        <v>0</v>
      </c>
      <c r="CWY17">
        <f t="shared" si="1980"/>
        <v>0</v>
      </c>
      <c r="CWZ17">
        <f t="shared" si="1981"/>
        <v>0</v>
      </c>
      <c r="CXA17">
        <f t="shared" si="1982"/>
        <v>0</v>
      </c>
      <c r="CXB17">
        <f t="shared" si="1983"/>
        <v>0</v>
      </c>
      <c r="CXC17">
        <f t="shared" si="1984"/>
        <v>0</v>
      </c>
      <c r="CXD17">
        <f t="shared" si="1985"/>
        <v>0</v>
      </c>
      <c r="CXE17">
        <f t="shared" si="1986"/>
        <v>0</v>
      </c>
      <c r="CXF17">
        <f t="shared" si="1987"/>
        <v>0</v>
      </c>
      <c r="CXG17">
        <f t="shared" si="1988"/>
        <v>0</v>
      </c>
      <c r="CXH17">
        <f t="shared" si="1989"/>
        <v>0</v>
      </c>
      <c r="CXI17">
        <f t="shared" si="1990"/>
        <v>0</v>
      </c>
      <c r="CXJ17">
        <f t="shared" si="1991"/>
        <v>0</v>
      </c>
      <c r="CXK17">
        <f t="shared" si="1992"/>
        <v>0</v>
      </c>
      <c r="CXL17">
        <f t="shared" si="1993"/>
        <v>0</v>
      </c>
      <c r="CXM17">
        <f t="shared" si="1994"/>
        <v>0</v>
      </c>
      <c r="CXN17">
        <f t="shared" si="1995"/>
        <v>0</v>
      </c>
      <c r="CXO17">
        <f t="shared" si="1996"/>
        <v>0</v>
      </c>
      <c r="CXP17">
        <f t="shared" si="1997"/>
        <v>0</v>
      </c>
      <c r="CXQ17">
        <f t="shared" si="1998"/>
        <v>0</v>
      </c>
      <c r="CXR17">
        <f t="shared" si="1999"/>
        <v>0</v>
      </c>
      <c r="CXS17">
        <f t="shared" si="2000"/>
        <v>0</v>
      </c>
      <c r="CXT17">
        <f t="shared" si="2001"/>
        <v>0</v>
      </c>
      <c r="CXU17">
        <f t="shared" si="2002"/>
        <v>0</v>
      </c>
      <c r="CXV17">
        <f t="shared" si="2003"/>
        <v>0</v>
      </c>
      <c r="CXW17">
        <f t="shared" si="2004"/>
        <v>0</v>
      </c>
      <c r="CXX17">
        <f t="shared" si="2005"/>
        <v>0</v>
      </c>
      <c r="CXY17">
        <f t="shared" si="2006"/>
        <v>0</v>
      </c>
      <c r="CXZ17">
        <f t="shared" si="2007"/>
        <v>0</v>
      </c>
      <c r="CYA17">
        <f t="shared" si="2008"/>
        <v>0</v>
      </c>
      <c r="CYB17">
        <f t="shared" si="2009"/>
        <v>0</v>
      </c>
      <c r="CYC17">
        <f t="shared" si="2010"/>
        <v>0</v>
      </c>
      <c r="CYD17">
        <f t="shared" si="2011"/>
        <v>0</v>
      </c>
      <c r="CYE17">
        <f t="shared" si="2012"/>
        <v>0</v>
      </c>
      <c r="CYF17">
        <f t="shared" si="2013"/>
        <v>0</v>
      </c>
      <c r="CYG17">
        <f t="shared" si="2014"/>
        <v>0</v>
      </c>
      <c r="CYH17">
        <f t="shared" si="2015"/>
        <v>0</v>
      </c>
      <c r="CYI17">
        <f t="shared" si="2016"/>
        <v>0</v>
      </c>
      <c r="CYJ17">
        <f t="shared" si="2017"/>
        <v>0</v>
      </c>
      <c r="CYK17">
        <f t="shared" si="2018"/>
        <v>0</v>
      </c>
      <c r="CYL17">
        <f t="shared" si="64"/>
        <v>0</v>
      </c>
      <c r="CYM17">
        <f t="shared" si="2019"/>
        <v>0</v>
      </c>
      <c r="CYN17">
        <f t="shared" si="2020"/>
        <v>0</v>
      </c>
      <c r="CYO17">
        <f t="shared" si="2021"/>
        <v>0</v>
      </c>
      <c r="CYP17">
        <f t="shared" si="2022"/>
        <v>0</v>
      </c>
      <c r="CYQ17">
        <f t="shared" si="2023"/>
        <v>0</v>
      </c>
      <c r="CYR17">
        <f t="shared" si="2024"/>
        <v>0</v>
      </c>
      <c r="CYS17">
        <f t="shared" si="2025"/>
        <v>0</v>
      </c>
      <c r="CYT17">
        <f t="shared" si="2026"/>
        <v>0</v>
      </c>
      <c r="CYU17">
        <f t="shared" si="2027"/>
        <v>0</v>
      </c>
      <c r="CYV17">
        <f t="shared" si="2028"/>
        <v>0</v>
      </c>
      <c r="CYW17">
        <f t="shared" si="2029"/>
        <v>0</v>
      </c>
      <c r="CYX17">
        <f t="shared" si="2030"/>
        <v>0</v>
      </c>
      <c r="CYY17">
        <f t="shared" si="2031"/>
        <v>0</v>
      </c>
      <c r="CYZ17">
        <f t="shared" si="2032"/>
        <v>0</v>
      </c>
      <c r="CZA17">
        <f t="shared" si="2033"/>
        <v>0</v>
      </c>
      <c r="CZB17">
        <f t="shared" si="2034"/>
        <v>0</v>
      </c>
      <c r="CZC17">
        <f t="shared" si="2035"/>
        <v>0</v>
      </c>
      <c r="CZD17">
        <f t="shared" si="2036"/>
        <v>0</v>
      </c>
      <c r="CZE17">
        <f t="shared" si="2037"/>
        <v>0</v>
      </c>
      <c r="CZF17">
        <f t="shared" si="2038"/>
        <v>0</v>
      </c>
      <c r="CZG17">
        <f t="shared" si="2039"/>
        <v>0</v>
      </c>
      <c r="CZH17">
        <f t="shared" si="2040"/>
        <v>0</v>
      </c>
      <c r="CZI17">
        <f t="shared" si="2041"/>
        <v>0</v>
      </c>
      <c r="CZJ17">
        <f t="shared" si="2042"/>
        <v>0</v>
      </c>
      <c r="CZK17">
        <f t="shared" si="2043"/>
        <v>0</v>
      </c>
      <c r="CZL17">
        <f t="shared" si="2044"/>
        <v>0</v>
      </c>
      <c r="CZM17">
        <f t="shared" si="2045"/>
        <v>0</v>
      </c>
      <c r="CZN17">
        <f t="shared" si="2046"/>
        <v>0</v>
      </c>
      <c r="CZO17">
        <f t="shared" si="2047"/>
        <v>0</v>
      </c>
      <c r="CZP17">
        <f t="shared" si="2048"/>
        <v>0</v>
      </c>
      <c r="CZQ17">
        <f t="shared" si="2049"/>
        <v>0</v>
      </c>
      <c r="CZR17">
        <f t="shared" si="2050"/>
        <v>0</v>
      </c>
      <c r="CZS17">
        <f t="shared" si="2051"/>
        <v>0</v>
      </c>
      <c r="CZT17">
        <f t="shared" si="2052"/>
        <v>0</v>
      </c>
      <c r="CZU17">
        <f t="shared" si="2053"/>
        <v>0</v>
      </c>
      <c r="CZV17">
        <f t="shared" si="2054"/>
        <v>0</v>
      </c>
      <c r="CZW17">
        <f t="shared" si="2055"/>
        <v>0</v>
      </c>
      <c r="CZX17">
        <f t="shared" si="2056"/>
        <v>0</v>
      </c>
      <c r="CZY17">
        <f t="shared" si="2057"/>
        <v>0</v>
      </c>
      <c r="CZZ17">
        <f t="shared" si="2058"/>
        <v>0</v>
      </c>
      <c r="DAA17">
        <f t="shared" si="2059"/>
        <v>0</v>
      </c>
      <c r="DAB17">
        <f t="shared" si="2060"/>
        <v>0</v>
      </c>
      <c r="DAC17">
        <f t="shared" si="2061"/>
        <v>0</v>
      </c>
      <c r="DAD17">
        <f t="shared" si="2062"/>
        <v>0</v>
      </c>
      <c r="DAE17">
        <f t="shared" si="2063"/>
        <v>0</v>
      </c>
      <c r="DAF17">
        <f t="shared" si="2064"/>
        <v>0</v>
      </c>
      <c r="DAG17">
        <f t="shared" si="2065"/>
        <v>0</v>
      </c>
      <c r="DAH17">
        <f t="shared" si="2066"/>
        <v>0</v>
      </c>
      <c r="DAI17">
        <f t="shared" si="2067"/>
        <v>0</v>
      </c>
      <c r="DAJ17">
        <f t="shared" si="2068"/>
        <v>0</v>
      </c>
      <c r="DAK17">
        <f t="shared" si="2069"/>
        <v>0</v>
      </c>
      <c r="DAL17">
        <f t="shared" si="2070"/>
        <v>0</v>
      </c>
      <c r="DAM17">
        <f t="shared" si="2071"/>
        <v>0</v>
      </c>
      <c r="DAN17">
        <f t="shared" si="2072"/>
        <v>0</v>
      </c>
      <c r="DAO17">
        <f t="shared" si="2073"/>
        <v>0</v>
      </c>
      <c r="DAP17">
        <f t="shared" si="2074"/>
        <v>0</v>
      </c>
      <c r="DAQ17">
        <f t="shared" si="2075"/>
        <v>0</v>
      </c>
      <c r="DAR17">
        <f t="shared" si="2076"/>
        <v>0</v>
      </c>
      <c r="DAS17">
        <f t="shared" si="2077"/>
        <v>0</v>
      </c>
      <c r="DAT17">
        <f t="shared" si="2078"/>
        <v>0</v>
      </c>
      <c r="DAU17">
        <f t="shared" si="2079"/>
        <v>0</v>
      </c>
      <c r="DAV17">
        <f t="shared" si="2080"/>
        <v>0</v>
      </c>
      <c r="DAW17">
        <f t="shared" si="2081"/>
        <v>0</v>
      </c>
      <c r="DAX17">
        <f t="shared" si="65"/>
        <v>0</v>
      </c>
      <c r="DAY17">
        <f t="shared" si="2142"/>
        <v>0</v>
      </c>
      <c r="DAZ17">
        <f t="shared" si="2143"/>
        <v>0</v>
      </c>
      <c r="DBA17">
        <f t="shared" si="2144"/>
        <v>0</v>
      </c>
      <c r="DBB17">
        <f t="shared" si="2082"/>
        <v>0</v>
      </c>
      <c r="DBC17">
        <f t="shared" si="2083"/>
        <v>0</v>
      </c>
      <c r="DBD17">
        <f t="shared" si="2084"/>
        <v>0</v>
      </c>
      <c r="DBE17">
        <f t="shared" si="2085"/>
        <v>0</v>
      </c>
      <c r="DBF17">
        <f t="shared" si="2086"/>
        <v>0</v>
      </c>
      <c r="DBG17">
        <f t="shared" si="2087"/>
        <v>0</v>
      </c>
      <c r="DBH17">
        <f t="shared" si="2088"/>
        <v>0</v>
      </c>
      <c r="DBI17">
        <f t="shared" si="2089"/>
        <v>0</v>
      </c>
      <c r="DBJ17">
        <f t="shared" si="2090"/>
        <v>0</v>
      </c>
      <c r="DBK17">
        <f t="shared" si="2091"/>
        <v>0</v>
      </c>
      <c r="DBL17">
        <f t="shared" si="2092"/>
        <v>0</v>
      </c>
      <c r="DBM17">
        <f t="shared" si="2093"/>
        <v>0</v>
      </c>
      <c r="DBN17">
        <f t="shared" si="2094"/>
        <v>0</v>
      </c>
      <c r="DBO17">
        <f t="shared" si="2095"/>
        <v>0</v>
      </c>
      <c r="DBP17">
        <f t="shared" si="2096"/>
        <v>0</v>
      </c>
      <c r="DBQ17">
        <f t="shared" si="2097"/>
        <v>0</v>
      </c>
      <c r="DBR17">
        <f t="shared" si="2098"/>
        <v>0</v>
      </c>
      <c r="DBS17">
        <f t="shared" si="2099"/>
        <v>0</v>
      </c>
      <c r="DBT17">
        <f t="shared" si="2100"/>
        <v>0</v>
      </c>
      <c r="DBU17">
        <f t="shared" si="2101"/>
        <v>0</v>
      </c>
      <c r="DBV17">
        <f t="shared" si="2102"/>
        <v>0</v>
      </c>
      <c r="DBW17">
        <f t="shared" si="2103"/>
        <v>0</v>
      </c>
      <c r="DBX17">
        <f t="shared" si="2104"/>
        <v>0</v>
      </c>
      <c r="DBY17">
        <f t="shared" si="2105"/>
        <v>0</v>
      </c>
      <c r="DBZ17">
        <f t="shared" si="2106"/>
        <v>0</v>
      </c>
      <c r="DCA17">
        <f t="shared" si="2107"/>
        <v>0</v>
      </c>
      <c r="DCB17">
        <f t="shared" si="2108"/>
        <v>0</v>
      </c>
      <c r="DCC17">
        <f t="shared" si="2109"/>
        <v>0</v>
      </c>
      <c r="DCD17">
        <f t="shared" si="2110"/>
        <v>0</v>
      </c>
      <c r="DCE17">
        <f t="shared" si="2111"/>
        <v>0</v>
      </c>
      <c r="DCF17">
        <f t="shared" si="2112"/>
        <v>0</v>
      </c>
      <c r="DCG17">
        <f t="shared" si="2113"/>
        <v>0</v>
      </c>
      <c r="DCH17">
        <f t="shared" si="2114"/>
        <v>0</v>
      </c>
      <c r="DCI17">
        <f t="shared" si="2115"/>
        <v>0</v>
      </c>
      <c r="DCJ17">
        <f t="shared" si="2116"/>
        <v>0</v>
      </c>
      <c r="DCK17">
        <f t="shared" si="2117"/>
        <v>0</v>
      </c>
      <c r="DCL17">
        <f t="shared" si="2118"/>
        <v>0</v>
      </c>
      <c r="DCM17">
        <f t="shared" si="2119"/>
        <v>0</v>
      </c>
      <c r="DCN17">
        <f t="shared" si="2120"/>
        <v>0</v>
      </c>
      <c r="DCO17">
        <f t="shared" si="2121"/>
        <v>0</v>
      </c>
      <c r="DCP17">
        <f t="shared" si="2122"/>
        <v>0</v>
      </c>
      <c r="DCQ17">
        <f t="shared" si="2123"/>
        <v>0</v>
      </c>
      <c r="DCR17">
        <f t="shared" si="2124"/>
        <v>0</v>
      </c>
      <c r="DCS17">
        <f t="shared" si="2125"/>
        <v>0</v>
      </c>
      <c r="DCT17">
        <f t="shared" si="2126"/>
        <v>0</v>
      </c>
      <c r="DCU17">
        <f t="shared" si="2127"/>
        <v>0</v>
      </c>
      <c r="DCV17">
        <f t="shared" si="2128"/>
        <v>0</v>
      </c>
      <c r="DCW17">
        <f t="shared" si="2129"/>
        <v>0</v>
      </c>
      <c r="DCX17">
        <f t="shared" si="2130"/>
        <v>0</v>
      </c>
      <c r="DCY17">
        <f t="shared" si="2131"/>
        <v>0</v>
      </c>
      <c r="DCZ17">
        <f t="shared" si="2132"/>
        <v>0</v>
      </c>
      <c r="DDA17">
        <f t="shared" si="2133"/>
        <v>0</v>
      </c>
      <c r="DDB17">
        <f t="shared" si="2134"/>
        <v>0</v>
      </c>
      <c r="DDC17">
        <f t="shared" si="2135"/>
        <v>0</v>
      </c>
      <c r="DDD17">
        <f t="shared" si="2136"/>
        <v>0</v>
      </c>
      <c r="DDE17">
        <f t="shared" si="2137"/>
        <v>0</v>
      </c>
      <c r="DDF17">
        <f t="shared" si="2138"/>
        <v>0</v>
      </c>
      <c r="DDG17">
        <f t="shared" si="2139"/>
        <v>0</v>
      </c>
      <c r="DDH17">
        <f t="shared" si="2140"/>
        <v>0</v>
      </c>
      <c r="DDI17">
        <f t="shared" si="2141"/>
        <v>0</v>
      </c>
    </row>
    <row r="18" spans="1:2817" x14ac:dyDescent="0.2">
      <c r="A18" s="1">
        <v>12</v>
      </c>
      <c r="B18">
        <f>'Demand Stage 2'!B17</f>
        <v>0</v>
      </c>
      <c r="C18">
        <f>'Demand Stage 2'!C17</f>
        <v>0</v>
      </c>
      <c r="D18">
        <f>'Demand Stage 2'!D17</f>
        <v>0</v>
      </c>
      <c r="E18">
        <f>'Demand Stage 2'!E17</f>
        <v>0</v>
      </c>
      <c r="F18">
        <f>'Demand Stage 2'!F17</f>
        <v>0</v>
      </c>
      <c r="G18">
        <f>'Demand Stage 2'!G17</f>
        <v>0</v>
      </c>
      <c r="H18">
        <f>'Demand Stage 2'!H17</f>
        <v>0</v>
      </c>
      <c r="I18">
        <f>'Demand Stage 2'!I17</f>
        <v>0</v>
      </c>
      <c r="J18">
        <f>'Demand Stage 2'!J17</f>
        <v>0</v>
      </c>
      <c r="K18">
        <f>'Demand Stage 2'!K17</f>
        <v>0</v>
      </c>
      <c r="L18">
        <f>'Demand Stage 2'!L17</f>
        <v>0</v>
      </c>
      <c r="M18">
        <f>'Demand Stage 2'!M17</f>
        <v>0</v>
      </c>
      <c r="N18">
        <f>'Demand Stage 2'!N17</f>
        <v>0</v>
      </c>
      <c r="O18">
        <f>'Demand Stage 2'!O17</f>
        <v>0</v>
      </c>
      <c r="P18">
        <f>'Demand Stage 2'!P17</f>
        <v>0</v>
      </c>
      <c r="Q18">
        <f>'Demand Stage 2'!Q17</f>
        <v>0</v>
      </c>
      <c r="R18">
        <f>'Demand Stage 2'!R17</f>
        <v>0</v>
      </c>
      <c r="S18">
        <f>'Demand Stage 2'!S17</f>
        <v>0</v>
      </c>
      <c r="T18">
        <f>'Demand Stage 2'!T17</f>
        <v>0</v>
      </c>
      <c r="U18">
        <f>'Demand Stage 2'!U17</f>
        <v>0</v>
      </c>
      <c r="V18">
        <f>'Demand Stage 2'!V17</f>
        <v>0</v>
      </c>
      <c r="W18">
        <f>'Demand Stage 2'!W17</f>
        <v>0</v>
      </c>
      <c r="X18">
        <f>'Demand Stage 2'!X17</f>
        <v>0</v>
      </c>
      <c r="Y18">
        <f>'Demand Stage 2'!Y17</f>
        <v>0</v>
      </c>
      <c r="Z18">
        <f>'Demand Stage 2'!Z17</f>
        <v>0</v>
      </c>
      <c r="AA18">
        <f>'Demand Stage 2'!AA17</f>
        <v>0</v>
      </c>
      <c r="AB18">
        <f>'Demand Stage 2'!AB17</f>
        <v>0</v>
      </c>
      <c r="AC18">
        <f>'Demand Stage 2'!AC17</f>
        <v>0</v>
      </c>
      <c r="AD18">
        <f>'Demand Stage 2'!AD17</f>
        <v>0</v>
      </c>
      <c r="AE18">
        <f>'Demand Stage 2'!AE17</f>
        <v>0</v>
      </c>
      <c r="AF18">
        <f>'Demand Stage 2'!AF17</f>
        <v>0</v>
      </c>
      <c r="AG18">
        <f>'Demand Stage 2'!AG17</f>
        <v>0</v>
      </c>
      <c r="AH18">
        <f>'Demand Stage 2'!AH17</f>
        <v>0</v>
      </c>
      <c r="AI18">
        <f>'Demand Stage 2'!AI17</f>
        <v>0</v>
      </c>
      <c r="AJ18">
        <f>'Demand Stage 2'!AJ17</f>
        <v>0</v>
      </c>
      <c r="AK18">
        <f>'Demand Stage 2'!AK17</f>
        <v>0</v>
      </c>
      <c r="AL18">
        <f>'Demand Stage 2'!AL17</f>
        <v>0</v>
      </c>
      <c r="AM18">
        <f>'Demand Stage 2'!AM17</f>
        <v>0</v>
      </c>
      <c r="AN18">
        <f>'Demand Stage 2'!AN17</f>
        <v>0</v>
      </c>
      <c r="AO18">
        <f>'Demand Stage 2'!AO17</f>
        <v>0</v>
      </c>
      <c r="AP18">
        <f>'Demand Stage 2'!AP17</f>
        <v>0</v>
      </c>
      <c r="AQ18">
        <f>'Demand Stage 2'!AQ17</f>
        <v>0</v>
      </c>
      <c r="AR18">
        <f>'Demand Stage 2'!AR17</f>
        <v>0</v>
      </c>
      <c r="AS18">
        <f>'Demand Stage 2'!AS17</f>
        <v>0</v>
      </c>
      <c r="AT18">
        <f>'Demand Stage 2'!AT17</f>
        <v>0</v>
      </c>
      <c r="AU18">
        <f>'Demand Stage 2'!AU17</f>
        <v>0</v>
      </c>
      <c r="AV18">
        <f>'Demand Stage 2'!AV17</f>
        <v>0</v>
      </c>
      <c r="AW18">
        <f>'Demand Stage 2'!AW17</f>
        <v>0</v>
      </c>
      <c r="AX18">
        <f>'Demand Stage 2'!AX17</f>
        <v>0</v>
      </c>
      <c r="AY18">
        <f>'Demand Stage 2'!AY17</f>
        <v>0</v>
      </c>
      <c r="AZ18">
        <f>'Demand Stage 2'!AZ17</f>
        <v>0</v>
      </c>
      <c r="BA18">
        <f>'Demand Stage 2'!BA17</f>
        <v>0</v>
      </c>
      <c r="BB18">
        <f>'Demand Stage 2'!BB17</f>
        <v>0</v>
      </c>
      <c r="BC18">
        <f>'Demand Stage 2'!BC17</f>
        <v>0</v>
      </c>
      <c r="BD18">
        <f>'Demand Stage 2'!BD17</f>
        <v>0</v>
      </c>
      <c r="BE18">
        <f>'Demand Stage 2'!BE17</f>
        <v>0</v>
      </c>
      <c r="BF18">
        <f>'Demand Stage 2'!BF17</f>
        <v>0</v>
      </c>
      <c r="BG18">
        <f>'Demand Stage 2'!BG17</f>
        <v>0</v>
      </c>
      <c r="BH18">
        <f>'Demand Stage 2'!BH17</f>
        <v>0</v>
      </c>
      <c r="BI18">
        <f>'Demand Stage 2'!BI17</f>
        <v>0</v>
      </c>
      <c r="BJ18">
        <f>'Demand Stage 2'!BJ17</f>
        <v>0</v>
      </c>
      <c r="BK18">
        <f>'Demand Stage 2'!BK17</f>
        <v>0</v>
      </c>
      <c r="BL18">
        <f>'Demand Stage 2'!BL17</f>
        <v>0</v>
      </c>
      <c r="BM18">
        <f>'Demand Stage 2'!BM17</f>
        <v>0</v>
      </c>
      <c r="BN18">
        <f>'Demand Stage 2'!BN17</f>
        <v>0</v>
      </c>
      <c r="BO18">
        <f>'Demand Stage 2'!BO17</f>
        <v>0</v>
      </c>
      <c r="BP18">
        <f>'Demand Stage 2'!BP17</f>
        <v>0</v>
      </c>
      <c r="BQ18">
        <f>'Demand Stage 2'!BQ17</f>
        <v>0</v>
      </c>
      <c r="BR18">
        <f>'Demand Stage 2'!BR17</f>
        <v>0</v>
      </c>
      <c r="BS18">
        <f>'Demand Stage 2'!BS17</f>
        <v>0</v>
      </c>
      <c r="BT18">
        <f>'Demand Stage 2'!BT17</f>
        <v>0</v>
      </c>
      <c r="BU18">
        <f>'Demand Stage 2'!BU17</f>
        <v>0</v>
      </c>
      <c r="BV18">
        <f>'Demand Stage 2'!BV17</f>
        <v>0</v>
      </c>
      <c r="BW18">
        <f>'Demand Stage 2'!BW17</f>
        <v>0</v>
      </c>
      <c r="BX18">
        <f>'Demand Stage 2'!BX17</f>
        <v>0</v>
      </c>
      <c r="BY18">
        <f>'Demand Stage 2'!BY17</f>
        <v>0</v>
      </c>
      <c r="BZ18">
        <f>'Demand Stage 2'!BZ17</f>
        <v>0</v>
      </c>
      <c r="CA18">
        <f>'Demand Stage 2'!CA17</f>
        <v>0</v>
      </c>
      <c r="CB18">
        <f>'Demand Stage 2'!CB17</f>
        <v>0</v>
      </c>
      <c r="CC18">
        <f>'Demand Stage 2'!CC17</f>
        <v>0</v>
      </c>
      <c r="CD18">
        <f>'Demand Stage 2'!CD17</f>
        <v>0</v>
      </c>
      <c r="CE18">
        <f>'Demand Stage 2'!CE17</f>
        <v>0</v>
      </c>
      <c r="CF18">
        <f>'Demand Stage 2'!CF17</f>
        <v>0</v>
      </c>
      <c r="CG18">
        <f>'Demand Stage 2'!CG17</f>
        <v>0</v>
      </c>
      <c r="CH18">
        <f>'Demand Stage 2'!CH17</f>
        <v>0</v>
      </c>
      <c r="CI18">
        <f>'Demand Stage 2'!CI17</f>
        <v>0</v>
      </c>
      <c r="CJ18">
        <f>'Demand Stage 2'!CJ17</f>
        <v>0</v>
      </c>
      <c r="CK18">
        <f>'Demand Stage 2'!CK17</f>
        <v>0</v>
      </c>
      <c r="CL18">
        <f>'Demand Stage 2'!CL17</f>
        <v>0</v>
      </c>
      <c r="CM18">
        <f>'Demand Stage 2'!CM17</f>
        <v>0</v>
      </c>
      <c r="CN18">
        <f>'Demand Stage 2'!CN17</f>
        <v>0</v>
      </c>
      <c r="CO18">
        <f>'Demand Stage 2'!CO17</f>
        <v>0</v>
      </c>
      <c r="CP18">
        <f>'Demand Stage 2'!CP17</f>
        <v>0</v>
      </c>
      <c r="CQ18">
        <f>'Demand Stage 2'!CQ17</f>
        <v>0</v>
      </c>
      <c r="CR18">
        <f>'Demand Stage 2'!CR17</f>
        <v>0</v>
      </c>
      <c r="CS18">
        <f>'Demand Stage 2'!CS17</f>
        <v>0</v>
      </c>
      <c r="CT18">
        <f>'Demand Stage 2'!CT17</f>
        <v>0</v>
      </c>
      <c r="CU18">
        <f>'Demand Stage 2'!CU17</f>
        <v>0</v>
      </c>
      <c r="CV18">
        <f>'Demand Stage 2'!CV17</f>
        <v>0</v>
      </c>
      <c r="CW18">
        <f>'Demand Stage 2'!CW17</f>
        <v>0</v>
      </c>
      <c r="CX18">
        <f>'Demand Stage 2'!CX17</f>
        <v>0</v>
      </c>
      <c r="CY18">
        <f>'Demand Stage 2'!CY17</f>
        <v>0</v>
      </c>
      <c r="CZ18">
        <f>'Demand Stage 2'!CZ17</f>
        <v>0</v>
      </c>
      <c r="DA18">
        <f>'Demand Stage 2'!DA17</f>
        <v>0</v>
      </c>
      <c r="DB18">
        <f>'Demand Stage 2'!DB17</f>
        <v>0</v>
      </c>
      <c r="DC18">
        <f>'Demand Stage 2'!DC17</f>
        <v>0</v>
      </c>
      <c r="DD18">
        <f>'Demand Stage 2'!DD17</f>
        <v>0</v>
      </c>
      <c r="DE18">
        <f>'Demand Stage 2'!DE17</f>
        <v>0</v>
      </c>
      <c r="DF18">
        <f>'Demand Stage 2'!DF17</f>
        <v>0</v>
      </c>
      <c r="DG18">
        <f>'Demand Stage 2'!DG17</f>
        <v>0</v>
      </c>
      <c r="DH18">
        <f>'Demand Stage 2'!DH17</f>
        <v>0</v>
      </c>
      <c r="DI18">
        <f>'Demand Stage 2'!DI17</f>
        <v>0</v>
      </c>
      <c r="DJ18">
        <f>'Demand Stage 2'!DJ17</f>
        <v>0</v>
      </c>
      <c r="DK18">
        <f>'Demand Stage 2'!DK17</f>
        <v>0</v>
      </c>
      <c r="DL18">
        <f>'Demand Stage 2'!DL17</f>
        <v>0</v>
      </c>
      <c r="DM18">
        <f>'Demand Stage 2'!DM17</f>
        <v>0</v>
      </c>
      <c r="DN18">
        <f>'Demand Stage 2'!DN17</f>
        <v>0</v>
      </c>
      <c r="DO18">
        <f>'Demand Stage 2'!DO17</f>
        <v>0</v>
      </c>
      <c r="DP18">
        <f>'Demand Stage 2'!DP17</f>
        <v>0</v>
      </c>
      <c r="DQ18">
        <f>'Demand Stage 2'!DQ17</f>
        <v>0</v>
      </c>
      <c r="DR18">
        <f>'Demand Stage 2'!DR17</f>
        <v>0</v>
      </c>
      <c r="DS18">
        <f>'Demand Stage 2'!DS17</f>
        <v>0</v>
      </c>
      <c r="DT18">
        <f>'Demand Stage 2'!DT17</f>
        <v>0</v>
      </c>
      <c r="DU18">
        <f>'Demand Stage 2'!DU17</f>
        <v>0</v>
      </c>
      <c r="DV18">
        <f>'Demand Stage 2'!DV17</f>
        <v>0</v>
      </c>
      <c r="DW18">
        <f>'Demand Stage 2'!DW17</f>
        <v>0</v>
      </c>
      <c r="DX18">
        <f>'Demand Stage 2'!DX17</f>
        <v>0</v>
      </c>
      <c r="DY18">
        <f>'Demand Stage 2'!DY17</f>
        <v>0</v>
      </c>
      <c r="DZ18">
        <f>'Demand Stage 2'!DZ17</f>
        <v>0</v>
      </c>
      <c r="EA18">
        <f>'Demand Stage 2'!EA17</f>
        <v>0</v>
      </c>
      <c r="EB18">
        <f>'Demand Stage 2'!EB17</f>
        <v>0</v>
      </c>
      <c r="EC18">
        <f>'Demand Stage 2'!EC17</f>
        <v>0</v>
      </c>
      <c r="ED18">
        <f>'Demand Stage 2'!ED17</f>
        <v>0</v>
      </c>
      <c r="EE18">
        <f>'Demand Stage 2'!EE17</f>
        <v>0</v>
      </c>
      <c r="EF18">
        <f>'Demand Stage 2'!EF17</f>
        <v>0</v>
      </c>
      <c r="EG18">
        <f>'Demand Stage 2'!EG17</f>
        <v>0</v>
      </c>
      <c r="EH18">
        <f>'Demand Stage 2'!EH17</f>
        <v>0</v>
      </c>
      <c r="EI18">
        <f>'Demand Stage 2'!EI17</f>
        <v>0</v>
      </c>
      <c r="EJ18">
        <f>'Demand Stage 2'!EJ17</f>
        <v>0</v>
      </c>
      <c r="EK18">
        <f>'Demand Stage 2'!EK17</f>
        <v>0</v>
      </c>
      <c r="EL18">
        <f>'Demand Stage 2'!EL17</f>
        <v>0</v>
      </c>
      <c r="EM18">
        <f>'Demand Stage 2'!EM17</f>
        <v>0</v>
      </c>
      <c r="EN18">
        <f>'Demand Stage 2'!EN17</f>
        <v>0</v>
      </c>
      <c r="EO18">
        <f>'Demand Stage 2'!EO17</f>
        <v>0</v>
      </c>
      <c r="EP18">
        <f>'Demand Stage 2'!EP17</f>
        <v>0</v>
      </c>
      <c r="EQ18">
        <f>'Demand Stage 2'!EQ17</f>
        <v>0</v>
      </c>
      <c r="ER18">
        <f>'Demand Stage 2'!ER17</f>
        <v>0</v>
      </c>
      <c r="ES18">
        <f>'Demand Stage 2'!ES17</f>
        <v>0</v>
      </c>
      <c r="ET18">
        <f>'Demand Stage 2'!ET17</f>
        <v>0</v>
      </c>
      <c r="EU18">
        <f>'Demand Stage 2'!EU17</f>
        <v>0</v>
      </c>
      <c r="EV18">
        <f>'Demand Stage 2'!EV17</f>
        <v>0</v>
      </c>
      <c r="EW18">
        <f>'Demand Stage 2'!EW17</f>
        <v>0</v>
      </c>
      <c r="EX18">
        <f>'Demand Stage 2'!EX17</f>
        <v>0</v>
      </c>
      <c r="EY18">
        <f>'Demand Stage 2'!EY17</f>
        <v>0</v>
      </c>
      <c r="EZ18">
        <f>'Demand Stage 2'!EZ17</f>
        <v>0</v>
      </c>
      <c r="FA18">
        <f>'Demand Stage 2'!FA17</f>
        <v>0</v>
      </c>
      <c r="FB18">
        <f>'Demand Stage 2'!FB17</f>
        <v>0</v>
      </c>
      <c r="FC18">
        <f>'Demand Stage 2'!FC17</f>
        <v>0</v>
      </c>
      <c r="FD18">
        <f>'Demand Stage 2'!FD17</f>
        <v>0</v>
      </c>
      <c r="FE18">
        <f>'Demand Stage 2'!FE17</f>
        <v>0</v>
      </c>
      <c r="FF18">
        <f>'Demand Stage 2'!FF17</f>
        <v>0</v>
      </c>
      <c r="FG18">
        <f>'Demand Stage 2'!FG17</f>
        <v>0</v>
      </c>
      <c r="FH18">
        <f>'Demand Stage 2'!FH17</f>
        <v>0</v>
      </c>
      <c r="FI18">
        <f>'Demand Stage 2'!FI17</f>
        <v>0</v>
      </c>
      <c r="FJ18">
        <f>'Demand Stage 2'!FJ17</f>
        <v>0</v>
      </c>
      <c r="FK18">
        <f>'Demand Stage 2'!FK17</f>
        <v>0</v>
      </c>
      <c r="FL18">
        <f>'Demand Stage 2'!FL17</f>
        <v>0</v>
      </c>
      <c r="FM18">
        <f>'Demand Stage 2'!FM17</f>
        <v>0</v>
      </c>
      <c r="FN18">
        <f>'Demand Stage 2'!FN17</f>
        <v>0</v>
      </c>
      <c r="FO18">
        <f>'Demand Stage 2'!FO17</f>
        <v>0</v>
      </c>
      <c r="FP18">
        <f>'Demand Stage 2'!FP17</f>
        <v>0</v>
      </c>
      <c r="FQ18">
        <f>'Demand Stage 2'!FQ17</f>
        <v>0</v>
      </c>
      <c r="FR18">
        <f>'Demand Stage 2'!FR17</f>
        <v>0</v>
      </c>
      <c r="FS18">
        <f>'Demand Stage 2'!FS17</f>
        <v>0</v>
      </c>
      <c r="FT18">
        <f>'Demand Stage 2'!FT17</f>
        <v>0</v>
      </c>
      <c r="FU18">
        <f>'Demand Stage 2'!FU17</f>
        <v>0</v>
      </c>
      <c r="FV18">
        <f>'Demand Stage 2'!FV17</f>
        <v>0</v>
      </c>
      <c r="FW18">
        <f>'Demand Stage 2'!FW17</f>
        <v>0</v>
      </c>
      <c r="FX18">
        <f>'Demand Stage 2'!FX17</f>
        <v>0</v>
      </c>
      <c r="FY18">
        <f>'Demand Stage 2'!FY17</f>
        <v>0</v>
      </c>
      <c r="FZ18">
        <f>'Demand Stage 2'!FZ17</f>
        <v>0</v>
      </c>
      <c r="GA18">
        <f>'Demand Stage 2'!GA17</f>
        <v>0</v>
      </c>
      <c r="GB18">
        <f>'Demand Stage 2'!GB17</f>
        <v>0</v>
      </c>
      <c r="GC18">
        <f>'Demand Stage 2'!GC17</f>
        <v>0</v>
      </c>
      <c r="GD18">
        <f>'Demand Stage 2'!GD17</f>
        <v>0</v>
      </c>
      <c r="GE18">
        <f>'Demand Stage 2'!GE17</f>
        <v>0</v>
      </c>
      <c r="GF18">
        <f>'Demand Stage 2'!GF17</f>
        <v>0</v>
      </c>
      <c r="GG18">
        <f>'Demand Stage 2'!GG17</f>
        <v>0</v>
      </c>
      <c r="GH18">
        <f>'Demand Stage 2'!GH17</f>
        <v>0</v>
      </c>
      <c r="GI18">
        <f>'Demand Stage 2'!GI17</f>
        <v>0</v>
      </c>
      <c r="GJ18">
        <f>'Demand Stage 2'!GJ17</f>
        <v>0</v>
      </c>
      <c r="GK18">
        <f>'Demand Stage 2'!GK17</f>
        <v>0</v>
      </c>
      <c r="GL18">
        <f>'Demand Stage 2'!GL17</f>
        <v>0</v>
      </c>
      <c r="GM18">
        <f>'Demand Stage 2'!GM17</f>
        <v>0</v>
      </c>
      <c r="GN18">
        <f>'Demand Stage 2'!GN17</f>
        <v>0</v>
      </c>
      <c r="GO18">
        <f>'Demand Stage 2'!GO17</f>
        <v>0</v>
      </c>
      <c r="GP18">
        <f>'Demand Stage 2'!GP17</f>
        <v>0</v>
      </c>
      <c r="GQ18">
        <f>'Demand Stage 2'!GQ17</f>
        <v>0</v>
      </c>
      <c r="GR18">
        <f>'Demand Stage 2'!GR17</f>
        <v>0</v>
      </c>
      <c r="GS18">
        <f>'Demand Stage 2'!GS17</f>
        <v>0</v>
      </c>
      <c r="GT18">
        <f>'Demand Stage 2'!GT17</f>
        <v>0</v>
      </c>
      <c r="GU18">
        <f>'Demand Stage 2'!GU17</f>
        <v>0</v>
      </c>
      <c r="GV18">
        <f>'Demand Stage 2'!GV17</f>
        <v>0</v>
      </c>
      <c r="GW18">
        <f>'Demand Stage 2'!GW17</f>
        <v>0</v>
      </c>
      <c r="GX18">
        <f>'Demand Stage 2'!GX17</f>
        <v>0</v>
      </c>
      <c r="GY18">
        <f>'Demand Stage 2'!GY17</f>
        <v>0</v>
      </c>
      <c r="GZ18">
        <f>'Demand Stage 2'!GZ17</f>
        <v>0</v>
      </c>
      <c r="HA18">
        <f>'Demand Stage 2'!HA17</f>
        <v>0</v>
      </c>
      <c r="HB18">
        <f>'Demand Stage 2'!HB17</f>
        <v>0</v>
      </c>
      <c r="HC18">
        <f>'Demand Stage 2'!HC17</f>
        <v>0</v>
      </c>
      <c r="HD18">
        <f>'Demand Stage 2'!HD17</f>
        <v>0</v>
      </c>
      <c r="HE18">
        <f>'Demand Stage 2'!HE17</f>
        <v>0</v>
      </c>
      <c r="HF18">
        <f>'Demand Stage 2'!HF17</f>
        <v>0</v>
      </c>
      <c r="HG18">
        <f>'Demand Stage 2'!HG17</f>
        <v>0</v>
      </c>
      <c r="HH18">
        <f>'Demand Stage 2'!HH17</f>
        <v>0</v>
      </c>
      <c r="HI18">
        <f>'Demand Stage 2'!HI17</f>
        <v>0</v>
      </c>
      <c r="HJ18">
        <f>'Demand Stage 2'!HJ17</f>
        <v>0</v>
      </c>
      <c r="HK18">
        <f>'Demand Stage 2'!HK17</f>
        <v>0</v>
      </c>
      <c r="HL18">
        <f>'Demand Stage 2'!HL17</f>
        <v>0</v>
      </c>
      <c r="HM18">
        <f>'Demand Stage 2'!HM17</f>
        <v>0</v>
      </c>
      <c r="HN18">
        <f>'Demand Stage 2'!HN17</f>
        <v>0</v>
      </c>
      <c r="HO18">
        <f>'Demand Stage 2'!HO17</f>
        <v>0</v>
      </c>
      <c r="HP18">
        <f>'Demand Stage 2'!HP17</f>
        <v>0</v>
      </c>
      <c r="HQ18">
        <f>'Demand Stage 2'!HQ17</f>
        <v>0</v>
      </c>
      <c r="HR18">
        <f>'Demand Stage 2'!HR17</f>
        <v>0</v>
      </c>
      <c r="HS18">
        <f>'Demand Stage 2'!HS17</f>
        <v>0</v>
      </c>
      <c r="HT18">
        <f>'Demand Stage 2'!HT17</f>
        <v>0</v>
      </c>
      <c r="HU18">
        <f>'Demand Stage 2'!HU17</f>
        <v>0</v>
      </c>
      <c r="HV18">
        <f>'Demand Stage 2'!HV17</f>
        <v>0</v>
      </c>
      <c r="HW18">
        <f>'Demand Stage 2'!HW17</f>
        <v>0</v>
      </c>
      <c r="HX18">
        <f>'Demand Stage 2'!HX17</f>
        <v>0</v>
      </c>
      <c r="HY18">
        <f>'Demand Stage 2'!HY17</f>
        <v>0</v>
      </c>
      <c r="HZ18">
        <f>'Demand Stage 2'!HZ17</f>
        <v>0</v>
      </c>
      <c r="IA18">
        <f>'Demand Stage 2'!IA17</f>
        <v>0</v>
      </c>
      <c r="IB18">
        <f>'Demand Stage 2'!IB17</f>
        <v>0</v>
      </c>
      <c r="IC18">
        <f>'Demand Stage 2'!IC17</f>
        <v>0</v>
      </c>
      <c r="ID18">
        <f>'Demand Stage 2'!ID17</f>
        <v>0</v>
      </c>
      <c r="IE18">
        <f>'Demand Stage 2'!IE17</f>
        <v>0</v>
      </c>
      <c r="IF18">
        <f>'Demand Stage 2'!IF17</f>
        <v>0</v>
      </c>
      <c r="IG18">
        <f>'Demand Stage 2'!IG17</f>
        <v>0</v>
      </c>
      <c r="IH18">
        <f>'Demand Stage 2'!IH17</f>
        <v>0</v>
      </c>
      <c r="II18">
        <f>'Demand Stage 2'!II17</f>
        <v>0</v>
      </c>
      <c r="IJ18">
        <f>'Demand Stage 2'!IJ17</f>
        <v>0</v>
      </c>
      <c r="IK18">
        <f>'Demand Stage 2'!IK17</f>
        <v>0</v>
      </c>
      <c r="IL18">
        <f>'Demand Stage 2'!IL17</f>
        <v>0</v>
      </c>
      <c r="IM18">
        <f>'Demand Stage 2'!IM17</f>
        <v>0</v>
      </c>
      <c r="IN18">
        <f>'Demand Stage 2'!IN17</f>
        <v>0</v>
      </c>
      <c r="IO18">
        <f>'Demand Stage 2'!IO17</f>
        <v>0</v>
      </c>
      <c r="IP18">
        <f>'Demand Stage 2'!IP17</f>
        <v>0</v>
      </c>
      <c r="IQ18">
        <f>'Demand Stage 2'!IQ17</f>
        <v>0</v>
      </c>
      <c r="IR18">
        <f>'Demand Stage 2'!IR17</f>
        <v>0</v>
      </c>
      <c r="IS18">
        <f>'Demand Stage 2'!IS17</f>
        <v>0</v>
      </c>
      <c r="IT18">
        <f>'Demand Stage 2'!IT17</f>
        <v>0</v>
      </c>
      <c r="IU18">
        <f>'Demand Stage 2'!IU17</f>
        <v>0</v>
      </c>
      <c r="IV18">
        <f>'Demand Stage 2'!IV17</f>
        <v>0</v>
      </c>
      <c r="IW18">
        <f>'Demand Stage 2'!IW17</f>
        <v>0</v>
      </c>
      <c r="IX18">
        <f>'Demand Stage 2'!IX17</f>
        <v>0</v>
      </c>
      <c r="IY18">
        <f>'Demand Stage 2'!IY17</f>
        <v>0</v>
      </c>
      <c r="IZ18">
        <f>'Demand Stage 2'!IZ17</f>
        <v>0</v>
      </c>
      <c r="JA18">
        <f>'Demand Stage 2'!JA17</f>
        <v>0</v>
      </c>
      <c r="JB18">
        <f>'Demand Stage 2'!JB17</f>
        <v>0</v>
      </c>
      <c r="JC18">
        <f>'Demand Stage 2'!JC17</f>
        <v>0</v>
      </c>
      <c r="JD18">
        <f>'Demand Stage 2'!JD17</f>
        <v>0</v>
      </c>
      <c r="JE18">
        <f>'Demand Stage 2'!JE17</f>
        <v>0</v>
      </c>
      <c r="JF18">
        <f>'Demand Stage 2'!JF17</f>
        <v>0</v>
      </c>
      <c r="JG18">
        <f>'Demand Stage 2'!JG17</f>
        <v>0</v>
      </c>
      <c r="JH18">
        <f>'Demand Stage 2'!JH17</f>
        <v>0</v>
      </c>
      <c r="JI18">
        <f>'Demand Stage 2'!JI17</f>
        <v>0</v>
      </c>
      <c r="JJ18">
        <f>'Demand Stage 2'!JJ17</f>
        <v>0</v>
      </c>
      <c r="JK18">
        <f>'Demand Stage 2'!JK17</f>
        <v>0</v>
      </c>
      <c r="JL18">
        <f>'Demand Stage 2'!JL17</f>
        <v>0</v>
      </c>
      <c r="JM18">
        <f>'Demand Stage 2'!JM17</f>
        <v>0</v>
      </c>
      <c r="JN18">
        <f>'Demand Stage 2'!JN17</f>
        <v>0</v>
      </c>
      <c r="JO18">
        <f>'Demand Stage 2'!JO17</f>
        <v>0</v>
      </c>
      <c r="JP18">
        <f>'Demand Stage 2'!JP17</f>
        <v>0</v>
      </c>
      <c r="JQ18">
        <f>'Demand Stage 2'!JQ17</f>
        <v>0</v>
      </c>
      <c r="JR18">
        <f>'Demand Stage 2'!JR17</f>
        <v>0</v>
      </c>
      <c r="JS18">
        <f>'Demand Stage 2'!JS17</f>
        <v>0</v>
      </c>
      <c r="JT18">
        <f>'Demand Stage 2'!JT17</f>
        <v>0</v>
      </c>
      <c r="JU18">
        <f>'Demand Stage 2'!JU17</f>
        <v>0</v>
      </c>
      <c r="JV18">
        <f>'Demand Stage 2'!JV17</f>
        <v>0</v>
      </c>
      <c r="JW18">
        <f>'Demand Stage 2'!JW17</f>
        <v>0</v>
      </c>
      <c r="JX18">
        <f>'Demand Stage 2'!JX17</f>
        <v>0</v>
      </c>
      <c r="JY18">
        <f>'Demand Stage 2'!JY17</f>
        <v>0</v>
      </c>
      <c r="JZ18">
        <f>'Demand Stage 2'!JZ17</f>
        <v>0</v>
      </c>
      <c r="KA18">
        <f>'Demand Stage 2'!KA17</f>
        <v>0</v>
      </c>
      <c r="KB18">
        <f>'Demand Stage 2'!KB17</f>
        <v>0</v>
      </c>
      <c r="KC18">
        <f>'Demand Stage 2'!KC17</f>
        <v>0</v>
      </c>
      <c r="KD18">
        <f>'Demand Stage 2'!KD17</f>
        <v>0</v>
      </c>
      <c r="KE18">
        <f>'Demand Stage 2'!KE17</f>
        <v>0</v>
      </c>
      <c r="KF18">
        <f>'Demand Stage 2'!KF17</f>
        <v>0</v>
      </c>
      <c r="KG18">
        <f>'Demand Stage 2'!KG17</f>
        <v>0</v>
      </c>
      <c r="KH18">
        <f>'Demand Stage 2'!KH17</f>
        <v>0</v>
      </c>
      <c r="KI18">
        <f>'Demand Stage 2'!KI17</f>
        <v>0</v>
      </c>
      <c r="KJ18">
        <f>'Demand Stage 2'!KJ17</f>
        <v>0</v>
      </c>
      <c r="KK18">
        <f>'Demand Stage 2'!KK17</f>
        <v>0</v>
      </c>
      <c r="KL18">
        <f>'Demand Stage 2'!KL17</f>
        <v>0</v>
      </c>
      <c r="KM18">
        <f>'Demand Stage 2'!KM17</f>
        <v>0</v>
      </c>
      <c r="KN18">
        <f>'Demand Stage 2'!KN17</f>
        <v>0</v>
      </c>
      <c r="KO18">
        <f>'Demand Stage 2'!KO17</f>
        <v>0</v>
      </c>
      <c r="KP18">
        <f>'Demand Stage 2'!KP17</f>
        <v>0</v>
      </c>
      <c r="KQ18">
        <f>'Demand Stage 2'!KQ17</f>
        <v>0</v>
      </c>
      <c r="KR18">
        <f>'Demand Stage 2'!KR17</f>
        <v>0</v>
      </c>
      <c r="KS18">
        <f>'Demand Stage 2'!KS17</f>
        <v>0</v>
      </c>
      <c r="KT18">
        <f>'Demand Stage 2'!KT17</f>
        <v>0</v>
      </c>
      <c r="KU18">
        <f>'Demand Stage 2'!KU17</f>
        <v>0</v>
      </c>
      <c r="KV18">
        <f>'Demand Stage 2'!KV17</f>
        <v>0</v>
      </c>
      <c r="KW18">
        <f>'Demand Stage 2'!KW17</f>
        <v>0</v>
      </c>
      <c r="KX18">
        <f>'Demand Stage 2'!KX17</f>
        <v>0</v>
      </c>
      <c r="KY18">
        <f>'Demand Stage 2'!KY17</f>
        <v>0</v>
      </c>
      <c r="KZ18">
        <f>'Demand Stage 2'!KZ17</f>
        <v>0</v>
      </c>
      <c r="LA18">
        <f>'Demand Stage 2'!LA17</f>
        <v>0</v>
      </c>
      <c r="LB18">
        <f>'Demand Stage 2'!LB17</f>
        <v>0</v>
      </c>
      <c r="LC18">
        <f>'Demand Stage 2'!LC17</f>
        <v>0</v>
      </c>
      <c r="LD18">
        <f>'Demand Stage 2'!LD17</f>
        <v>0</v>
      </c>
      <c r="LE18">
        <f>'Demand Stage 2'!LE17</f>
        <v>0</v>
      </c>
      <c r="LF18">
        <f>'Demand Stage 2'!LF17</f>
        <v>0</v>
      </c>
      <c r="LG18">
        <f>'Demand Stage 2'!LG17</f>
        <v>0</v>
      </c>
      <c r="LH18">
        <f>'Demand Stage 2'!LH17</f>
        <v>0</v>
      </c>
      <c r="LI18">
        <f>'Demand Stage 2'!LI17</f>
        <v>0</v>
      </c>
      <c r="LJ18">
        <f>'Demand Stage 2'!LJ17</f>
        <v>0</v>
      </c>
      <c r="LK18">
        <f>'Demand Stage 2'!LK17</f>
        <v>0</v>
      </c>
      <c r="LL18">
        <f>'Demand Stage 2'!LL17</f>
        <v>0</v>
      </c>
      <c r="LM18">
        <f>'Demand Stage 2'!LM17</f>
        <v>0</v>
      </c>
      <c r="LN18">
        <f>'Demand Stage 2'!LN17</f>
        <v>0</v>
      </c>
      <c r="LO18">
        <f>'Demand Stage 2'!LO17</f>
        <v>0</v>
      </c>
      <c r="LP18">
        <f>'Demand Stage 2'!LP17</f>
        <v>0</v>
      </c>
      <c r="LQ18">
        <f>'Demand Stage 2'!LQ17</f>
        <v>0</v>
      </c>
      <c r="LR18">
        <f>'Demand Stage 2'!LR17</f>
        <v>0</v>
      </c>
      <c r="LS18">
        <f>'Demand Stage 2'!LS17</f>
        <v>0</v>
      </c>
      <c r="LT18">
        <f>'Demand Stage 2'!LT17</f>
        <v>0</v>
      </c>
      <c r="LU18">
        <f>'Demand Stage 2'!LU17</f>
        <v>0</v>
      </c>
      <c r="LV18">
        <f>'Demand Stage 2'!LV17</f>
        <v>0</v>
      </c>
      <c r="LW18">
        <f>'Demand Stage 2'!LW17</f>
        <v>0</v>
      </c>
      <c r="LX18">
        <f>'Demand Stage 2'!LX17</f>
        <v>0</v>
      </c>
      <c r="LY18">
        <f>'Demand Stage 2'!LY17</f>
        <v>0</v>
      </c>
      <c r="LZ18">
        <f>'Demand Stage 2'!LZ17</f>
        <v>0</v>
      </c>
      <c r="MA18">
        <f>'Demand Stage 2'!MA17</f>
        <v>0</v>
      </c>
      <c r="MB18">
        <f>'Demand Stage 2'!MB17</f>
        <v>0</v>
      </c>
      <c r="MC18">
        <f>'Demand Stage 2'!MC17</f>
        <v>0</v>
      </c>
      <c r="MD18">
        <f>'Demand Stage 2'!MD17</f>
        <v>0</v>
      </c>
      <c r="ME18">
        <f>'Demand Stage 2'!ME17</f>
        <v>0</v>
      </c>
      <c r="MF18">
        <f>'Demand Stage 2'!MF17</f>
        <v>0</v>
      </c>
      <c r="MG18">
        <f>'Demand Stage 2'!MG17</f>
        <v>0</v>
      </c>
      <c r="MH18">
        <f>'Demand Stage 2'!MH17</f>
        <v>0</v>
      </c>
      <c r="MI18">
        <f>'Demand Stage 2'!MI17</f>
        <v>0</v>
      </c>
      <c r="MJ18">
        <f>'Demand Stage 2'!MJ17</f>
        <v>0</v>
      </c>
      <c r="MK18">
        <f>'Demand Stage 2'!MK17</f>
        <v>0</v>
      </c>
      <c r="ML18">
        <f>'Demand Stage 2'!ML17</f>
        <v>0</v>
      </c>
      <c r="MM18">
        <f>'Demand Stage 2'!MM17</f>
        <v>0</v>
      </c>
      <c r="MN18">
        <f>'Demand Stage 2'!MN17</f>
        <v>0</v>
      </c>
      <c r="MO18">
        <f>'Demand Stage 2'!MO17</f>
        <v>0</v>
      </c>
      <c r="MP18">
        <f>'Demand Stage 2'!MP17</f>
        <v>0</v>
      </c>
      <c r="MQ18">
        <f>'Demand Stage 2'!MQ17</f>
        <v>0</v>
      </c>
      <c r="MR18">
        <f>'Demand Stage 2'!MR17</f>
        <v>0</v>
      </c>
      <c r="MS18">
        <f>'Demand Stage 2'!MS17</f>
        <v>0</v>
      </c>
      <c r="MT18">
        <f>'Demand Stage 2'!MT17</f>
        <v>0</v>
      </c>
      <c r="MU18">
        <f>'Demand Stage 2'!MU17</f>
        <v>0</v>
      </c>
      <c r="MV18">
        <f>'Demand Stage 2'!MV17</f>
        <v>0</v>
      </c>
      <c r="MW18">
        <f>'Demand Stage 2'!MW17</f>
        <v>0</v>
      </c>
      <c r="MX18">
        <f>'Demand Stage 2'!MX17</f>
        <v>0</v>
      </c>
      <c r="MY18">
        <f>'Demand Stage 2'!MY17</f>
        <v>0</v>
      </c>
      <c r="MZ18">
        <f>'Demand Stage 2'!MZ17</f>
        <v>0</v>
      </c>
      <c r="NA18">
        <f>'Demand Stage 2'!NA17</f>
        <v>0</v>
      </c>
      <c r="NB18">
        <f>'Demand Stage 2'!NB17</f>
        <v>0</v>
      </c>
      <c r="NC18">
        <f>'Demand Stage 2'!NC17</f>
        <v>0</v>
      </c>
      <c r="ND18">
        <f>'Demand Stage 2'!ND17</f>
        <v>0</v>
      </c>
      <c r="NE18">
        <f>'Demand Stage 2'!NE17</f>
        <v>0</v>
      </c>
      <c r="NF18">
        <f>'Demand Stage 2'!NF17</f>
        <v>0</v>
      </c>
      <c r="NG18">
        <f>'Demand Stage 2'!NG17</f>
        <v>0</v>
      </c>
      <c r="NH18">
        <f>'Demand Stage 2'!NH17</f>
        <v>0</v>
      </c>
      <c r="NI18">
        <f>'Demand Stage 2'!NI17</f>
        <v>0</v>
      </c>
      <c r="NJ18">
        <f>'Demand Stage 2'!NJ17</f>
        <v>0</v>
      </c>
      <c r="NK18">
        <f>'Demand Stage 2'!NK17</f>
        <v>0</v>
      </c>
      <c r="NL18">
        <f>'Demand Stage 2'!NL17</f>
        <v>0</v>
      </c>
      <c r="NM18">
        <f>'Demand Stage 2'!NM17</f>
        <v>0</v>
      </c>
      <c r="NN18">
        <f>'Demand Stage 2'!NN17</f>
        <v>0</v>
      </c>
      <c r="NO18">
        <f>'Demand Stage 2'!NO17</f>
        <v>0</v>
      </c>
      <c r="NP18">
        <f>'Demand Stage 2'!NP17</f>
        <v>0</v>
      </c>
      <c r="NQ18">
        <f>'Demand Stage 2'!NQ17</f>
        <v>0</v>
      </c>
      <c r="NR18">
        <f>'Demand Stage 2'!NR17</f>
        <v>0</v>
      </c>
      <c r="NS18">
        <f>'Demand Stage 2'!NS17</f>
        <v>0</v>
      </c>
      <c r="NT18">
        <f>'Demand Stage 2'!NT17</f>
        <v>0</v>
      </c>
      <c r="NU18">
        <f>'Demand Stage 2'!NU17</f>
        <v>0</v>
      </c>
      <c r="NV18">
        <f>'Demand Stage 2'!NV17</f>
        <v>0</v>
      </c>
      <c r="NW18">
        <f>'Demand Stage 2'!NW17</f>
        <v>0</v>
      </c>
      <c r="NX18">
        <f>'Demand Stage 2'!NX17</f>
        <v>0</v>
      </c>
      <c r="NY18">
        <f>'Demand Stage 2'!NY17</f>
        <v>0</v>
      </c>
      <c r="NZ18">
        <f>'Demand Stage 2'!NZ17</f>
        <v>0</v>
      </c>
      <c r="OA18">
        <f>'Demand Stage 2'!OA17</f>
        <v>0</v>
      </c>
      <c r="OB18">
        <f>'Demand Stage 2'!OB17</f>
        <v>0</v>
      </c>
      <c r="OC18">
        <f>'Demand Stage 2'!OC17</f>
        <v>0</v>
      </c>
      <c r="OD18">
        <f>'Demand Stage 2'!OD17</f>
        <v>0</v>
      </c>
      <c r="OE18">
        <f>'Demand Stage 2'!OE17</f>
        <v>0</v>
      </c>
      <c r="OF18">
        <f>'Demand Stage 2'!OF17</f>
        <v>0</v>
      </c>
      <c r="OG18">
        <f>'Demand Stage 2'!OG17</f>
        <v>0</v>
      </c>
      <c r="OH18">
        <f>'Demand Stage 2'!OH17</f>
        <v>0</v>
      </c>
      <c r="OI18">
        <f>'Demand Stage 2'!OI17</f>
        <v>0</v>
      </c>
      <c r="OJ18">
        <f>'Demand Stage 2'!OJ17</f>
        <v>0</v>
      </c>
      <c r="OK18">
        <f>'Demand Stage 2'!OK17</f>
        <v>0</v>
      </c>
      <c r="OL18">
        <f>'Demand Stage 2'!OL17</f>
        <v>0</v>
      </c>
      <c r="OM18">
        <f>'Demand Stage 2'!OM17</f>
        <v>0</v>
      </c>
      <c r="ON18">
        <f>'Demand Stage 2'!ON17</f>
        <v>0</v>
      </c>
      <c r="OO18">
        <f>'Demand Stage 2'!OO17</f>
        <v>0</v>
      </c>
      <c r="OP18">
        <f>'Demand Stage 2'!OP17</f>
        <v>0</v>
      </c>
      <c r="OQ18">
        <f>'Demand Stage 2'!OQ17</f>
        <v>0</v>
      </c>
      <c r="OR18">
        <f>'Demand Stage 2'!OR17</f>
        <v>0</v>
      </c>
      <c r="OS18">
        <f>'Demand Stage 2'!OS17</f>
        <v>0</v>
      </c>
      <c r="OT18">
        <f>'Demand Stage 2'!OT17</f>
        <v>0</v>
      </c>
      <c r="OU18">
        <f>'Demand Stage 2'!OU17</f>
        <v>0</v>
      </c>
      <c r="OV18">
        <f>'Demand Stage 2'!OV17</f>
        <v>0</v>
      </c>
      <c r="OW18">
        <f>'Demand Stage 2'!OW17</f>
        <v>0</v>
      </c>
      <c r="OX18">
        <f>'Demand Stage 2'!OX17</f>
        <v>0</v>
      </c>
      <c r="OY18">
        <f>'Demand Stage 2'!OY17</f>
        <v>0</v>
      </c>
      <c r="OZ18">
        <f>'Demand Stage 2'!OZ17</f>
        <v>0</v>
      </c>
      <c r="PA18">
        <f>'Demand Stage 2'!PA17</f>
        <v>0</v>
      </c>
      <c r="PB18">
        <f>'Demand Stage 2'!PB17</f>
        <v>0</v>
      </c>
      <c r="PC18">
        <f>'Demand Stage 2'!PC17</f>
        <v>0</v>
      </c>
      <c r="PD18">
        <f>'Demand Stage 2'!PD17</f>
        <v>0</v>
      </c>
      <c r="PE18">
        <f>'Demand Stage 2'!PE17</f>
        <v>0</v>
      </c>
      <c r="PF18">
        <f>'Demand Stage 2'!PF17</f>
        <v>0</v>
      </c>
      <c r="PG18">
        <f>'Demand Stage 2'!PG17</f>
        <v>0</v>
      </c>
      <c r="PH18">
        <f>'Demand Stage 2'!PH17</f>
        <v>0</v>
      </c>
      <c r="PI18">
        <f>'Demand Stage 2'!PI17</f>
        <v>0</v>
      </c>
      <c r="PJ18">
        <f>'Demand Stage 2'!PJ17</f>
        <v>0</v>
      </c>
      <c r="PK18">
        <f>'Demand Stage 2'!PK17</f>
        <v>0</v>
      </c>
      <c r="PL18">
        <f>'Demand Stage 2'!PL17</f>
        <v>0</v>
      </c>
      <c r="PM18">
        <f>'Demand Stage 2'!PM17</f>
        <v>0</v>
      </c>
      <c r="PN18">
        <f>'Demand Stage 2'!PN17</f>
        <v>0</v>
      </c>
      <c r="PO18">
        <f>'Demand Stage 2'!PO17</f>
        <v>0</v>
      </c>
      <c r="PP18">
        <f>'Demand Stage 2'!PP17</f>
        <v>0</v>
      </c>
      <c r="PQ18">
        <f>'Demand Stage 2'!PQ17</f>
        <v>0</v>
      </c>
      <c r="PR18">
        <f>'Demand Stage 2'!PR17</f>
        <v>0</v>
      </c>
      <c r="PS18">
        <f>'Demand Stage 2'!PS17</f>
        <v>0</v>
      </c>
      <c r="PT18">
        <f>'Demand Stage 2'!PT17</f>
        <v>0</v>
      </c>
      <c r="PU18">
        <f>'Demand Stage 2'!PU17</f>
        <v>0</v>
      </c>
      <c r="PV18">
        <f>'Demand Stage 2'!PV17</f>
        <v>0</v>
      </c>
      <c r="PW18">
        <f>'Demand Stage 2'!PW17</f>
        <v>0</v>
      </c>
      <c r="PX18">
        <f>'Demand Stage 2'!PX17</f>
        <v>0</v>
      </c>
      <c r="PY18">
        <f>'Demand Stage 2'!PY17</f>
        <v>0</v>
      </c>
      <c r="PZ18">
        <f>'Demand Stage 2'!PZ17</f>
        <v>0</v>
      </c>
      <c r="QA18">
        <f>'Demand Stage 2'!QA17</f>
        <v>0</v>
      </c>
      <c r="QB18">
        <f>'Demand Stage 2'!QB17</f>
        <v>0</v>
      </c>
      <c r="QC18">
        <f>'Demand Stage 2'!QC17</f>
        <v>0</v>
      </c>
      <c r="QD18">
        <f>'Demand Stage 2'!QD17</f>
        <v>0</v>
      </c>
      <c r="QE18">
        <f>'Demand Stage 2'!QE17</f>
        <v>0</v>
      </c>
      <c r="QF18">
        <f>'Demand Stage 2'!QF17</f>
        <v>0</v>
      </c>
      <c r="QG18">
        <f>'Demand Stage 2'!QG17</f>
        <v>0</v>
      </c>
      <c r="QH18">
        <f>'Demand Stage 2'!QH17</f>
        <v>0</v>
      </c>
      <c r="QI18">
        <f>'Demand Stage 2'!QI17</f>
        <v>0</v>
      </c>
      <c r="QJ18">
        <f>'Demand Stage 2'!QJ17</f>
        <v>0</v>
      </c>
      <c r="QK18">
        <f>'Demand Stage 2'!QK17</f>
        <v>0</v>
      </c>
      <c r="QL18">
        <f>'Demand Stage 2'!QL17</f>
        <v>0</v>
      </c>
      <c r="QM18">
        <f>'Demand Stage 2'!QM17</f>
        <v>0</v>
      </c>
      <c r="QN18">
        <f>'Demand Stage 2'!QN17</f>
        <v>0</v>
      </c>
      <c r="QO18">
        <f>'Demand Stage 2'!QO17</f>
        <v>0</v>
      </c>
      <c r="QP18">
        <f>'Demand Stage 2'!QP17</f>
        <v>0</v>
      </c>
      <c r="QQ18">
        <f>'Demand Stage 2'!QQ17</f>
        <v>0</v>
      </c>
      <c r="QR18">
        <f>'Demand Stage 2'!QR17</f>
        <v>0</v>
      </c>
      <c r="QS18">
        <f>'Demand Stage 2'!QS17</f>
        <v>0</v>
      </c>
      <c r="QT18">
        <f>'Demand Stage 2'!QT17</f>
        <v>0</v>
      </c>
      <c r="QU18">
        <f>'Demand Stage 2'!QU17</f>
        <v>0</v>
      </c>
      <c r="QV18">
        <f>'Demand Stage 2'!QV17</f>
        <v>0</v>
      </c>
      <c r="QW18">
        <f>'Demand Stage 2'!QW17</f>
        <v>0</v>
      </c>
      <c r="QX18">
        <f>'Demand Stage 2'!QX17</f>
        <v>0</v>
      </c>
      <c r="QY18">
        <f>'Demand Stage 2'!QY17</f>
        <v>0</v>
      </c>
      <c r="QZ18">
        <f>'Demand Stage 2'!QZ17</f>
        <v>0</v>
      </c>
      <c r="RA18">
        <f>'Demand Stage 2'!RA17</f>
        <v>0</v>
      </c>
      <c r="RB18">
        <f>'Demand Stage 2'!RB17</f>
        <v>0</v>
      </c>
      <c r="RC18">
        <f>'Demand Stage 2'!RC17</f>
        <v>0</v>
      </c>
      <c r="RD18">
        <f>'Demand Stage 2'!RD17</f>
        <v>0</v>
      </c>
      <c r="RE18">
        <f>'Demand Stage 2'!RE17</f>
        <v>0</v>
      </c>
      <c r="RF18">
        <f>'Demand Stage 2'!RF17</f>
        <v>0</v>
      </c>
      <c r="RG18">
        <f>'Demand Stage 2'!RG17</f>
        <v>0</v>
      </c>
      <c r="RH18">
        <f>'Demand Stage 2'!RH17</f>
        <v>0</v>
      </c>
      <c r="RI18">
        <f>'Demand Stage 2'!RI17</f>
        <v>0</v>
      </c>
      <c r="RJ18">
        <f>'Demand Stage 2'!RJ17</f>
        <v>0</v>
      </c>
      <c r="RK18">
        <f>'Demand Stage 2'!RK17</f>
        <v>0</v>
      </c>
      <c r="RL18">
        <f>'Demand Stage 2'!RL17</f>
        <v>0</v>
      </c>
      <c r="RM18">
        <f>'Demand Stage 2'!RM17</f>
        <v>0</v>
      </c>
      <c r="RN18">
        <f>'Demand Stage 2'!RN17</f>
        <v>0</v>
      </c>
      <c r="RO18">
        <f>'Demand Stage 2'!RO17</f>
        <v>0</v>
      </c>
      <c r="RP18">
        <f>'Demand Stage 2'!RP17</f>
        <v>0</v>
      </c>
      <c r="RQ18">
        <f>'Demand Stage 2'!RQ17</f>
        <v>0</v>
      </c>
      <c r="RR18">
        <f>'Demand Stage 2'!RR17</f>
        <v>0</v>
      </c>
      <c r="RS18">
        <f>'Demand Stage 2'!RS17</f>
        <v>0</v>
      </c>
      <c r="RT18">
        <f>'Demand Stage 2'!RT17</f>
        <v>0</v>
      </c>
      <c r="RU18">
        <f>'Demand Stage 2'!RU17</f>
        <v>0</v>
      </c>
      <c r="RV18">
        <f>'Demand Stage 2'!RV17</f>
        <v>0</v>
      </c>
      <c r="RW18">
        <f>'Demand Stage 2'!RW17</f>
        <v>0</v>
      </c>
      <c r="RX18">
        <f>'Demand Stage 2'!RX17</f>
        <v>0</v>
      </c>
      <c r="RY18">
        <f>'Demand Stage 2'!RY17</f>
        <v>0</v>
      </c>
      <c r="RZ18">
        <f>'Demand Stage 2'!RZ17</f>
        <v>0</v>
      </c>
      <c r="SA18">
        <f>'Demand Stage 2'!SA17</f>
        <v>0</v>
      </c>
      <c r="SB18">
        <f>'Demand Stage 2'!SB17</f>
        <v>0</v>
      </c>
      <c r="SC18">
        <f>'Demand Stage 2'!SC17</f>
        <v>0</v>
      </c>
      <c r="SD18">
        <f>'Demand Stage 2'!SD17</f>
        <v>0</v>
      </c>
      <c r="SE18">
        <f>'Demand Stage 2'!SE17</f>
        <v>0</v>
      </c>
      <c r="SF18">
        <f>'Demand Stage 2'!SF17</f>
        <v>0</v>
      </c>
      <c r="SG18">
        <f>'Demand Stage 2'!SG17</f>
        <v>0</v>
      </c>
      <c r="SH18">
        <f>'Demand Stage 2'!SH17</f>
        <v>0</v>
      </c>
      <c r="SI18">
        <f>'Demand Stage 2'!SI17</f>
        <v>0</v>
      </c>
      <c r="SJ18">
        <f>'Demand Stage 2'!SJ17</f>
        <v>0</v>
      </c>
      <c r="SK18">
        <f>'Demand Stage 2'!SK17</f>
        <v>0</v>
      </c>
      <c r="SL18">
        <f>'Demand Stage 2'!SL17</f>
        <v>0</v>
      </c>
      <c r="SM18">
        <f>'Demand Stage 2'!SM17</f>
        <v>0</v>
      </c>
      <c r="SN18">
        <f>'Demand Stage 2'!SN17</f>
        <v>0</v>
      </c>
      <c r="SO18">
        <f>'Demand Stage 2'!SO17</f>
        <v>0</v>
      </c>
      <c r="SP18">
        <f>'Demand Stage 2'!SP17</f>
        <v>0</v>
      </c>
      <c r="SQ18">
        <f>'Demand Stage 2'!SQ17</f>
        <v>0</v>
      </c>
      <c r="SR18">
        <f>'Demand Stage 2'!SR17</f>
        <v>0</v>
      </c>
      <c r="SS18">
        <f>'Demand Stage 2'!SS17</f>
        <v>0</v>
      </c>
      <c r="ST18">
        <f>'Demand Stage 2'!ST17</f>
        <v>0</v>
      </c>
      <c r="SU18">
        <f>'Demand Stage 2'!SU17</f>
        <v>0</v>
      </c>
      <c r="SV18">
        <f>'Demand Stage 2'!SV17</f>
        <v>0</v>
      </c>
      <c r="SW18">
        <f>'Demand Stage 2'!SW17</f>
        <v>0</v>
      </c>
      <c r="SX18">
        <f>'Demand Stage 2'!SX17</f>
        <v>0</v>
      </c>
      <c r="SY18">
        <f>'Demand Stage 2'!SY17</f>
        <v>0</v>
      </c>
      <c r="SZ18">
        <f>'Demand Stage 2'!SZ17</f>
        <v>0</v>
      </c>
      <c r="TA18">
        <f>'Demand Stage 2'!TA17</f>
        <v>0</v>
      </c>
      <c r="TB18">
        <f>'Demand Stage 2'!TB17</f>
        <v>0</v>
      </c>
      <c r="TC18">
        <f>'Demand Stage 2'!TC17</f>
        <v>0</v>
      </c>
      <c r="TD18">
        <f>'Demand Stage 2'!TD17</f>
        <v>0</v>
      </c>
      <c r="TE18">
        <f>'Demand Stage 2'!TE17</f>
        <v>0</v>
      </c>
      <c r="TF18">
        <f>'Demand Stage 2'!TF17</f>
        <v>0</v>
      </c>
      <c r="TG18">
        <f>'Demand Stage 2'!TG17</f>
        <v>0</v>
      </c>
      <c r="TH18">
        <f>'Demand Stage 2'!TH17</f>
        <v>0</v>
      </c>
      <c r="TI18">
        <f>'Demand Stage 2'!TI17</f>
        <v>0</v>
      </c>
      <c r="TJ18">
        <f>'Demand Stage 2'!TJ17</f>
        <v>0</v>
      </c>
      <c r="TK18">
        <f>'Demand Stage 2'!TK17</f>
        <v>0</v>
      </c>
      <c r="TL18">
        <f>'Demand Stage 2'!TL17</f>
        <v>0</v>
      </c>
      <c r="TM18">
        <f>'Demand Stage 2'!TM17</f>
        <v>0</v>
      </c>
      <c r="TN18">
        <f>'Demand Stage 2'!TN17</f>
        <v>0</v>
      </c>
      <c r="TO18">
        <f>'Demand Stage 2'!TO17</f>
        <v>0</v>
      </c>
      <c r="TP18">
        <f>'Demand Stage 2'!TP17</f>
        <v>0</v>
      </c>
      <c r="TQ18">
        <f>'Demand Stage 2'!TQ17</f>
        <v>0</v>
      </c>
      <c r="TR18">
        <f>'Demand Stage 2'!TR17</f>
        <v>0</v>
      </c>
      <c r="TS18">
        <f>'Demand Stage 2'!TS17</f>
        <v>0</v>
      </c>
      <c r="TT18">
        <f>'Demand Stage 2'!TT17</f>
        <v>0</v>
      </c>
      <c r="TU18">
        <f>'Demand Stage 2'!TU17</f>
        <v>0</v>
      </c>
      <c r="TV18">
        <f>'Demand Stage 2'!TV17</f>
        <v>0</v>
      </c>
      <c r="TW18">
        <f>'Demand Stage 2'!TW17</f>
        <v>0</v>
      </c>
      <c r="TX18">
        <f>'Demand Stage 2'!TX17</f>
        <v>0</v>
      </c>
      <c r="TY18">
        <f>'Demand Stage 2'!TY17</f>
        <v>0</v>
      </c>
      <c r="TZ18">
        <f>'Demand Stage 2'!TZ17</f>
        <v>0</v>
      </c>
      <c r="UA18">
        <f>'Demand Stage 2'!UA17</f>
        <v>0</v>
      </c>
      <c r="UB18">
        <f>'Demand Stage 2'!UB17</f>
        <v>0</v>
      </c>
      <c r="UC18">
        <f>'Demand Stage 2'!UC17</f>
        <v>0</v>
      </c>
      <c r="UD18">
        <f>'Demand Stage 2'!UD17</f>
        <v>0</v>
      </c>
      <c r="UE18">
        <f>'Demand Stage 2'!UE17</f>
        <v>0</v>
      </c>
      <c r="UF18">
        <f>'Demand Stage 2'!UF17</f>
        <v>0</v>
      </c>
      <c r="UG18">
        <f>'Demand Stage 2'!UG17</f>
        <v>0</v>
      </c>
      <c r="UH18">
        <f>'Demand Stage 2'!UH17</f>
        <v>0</v>
      </c>
      <c r="UI18">
        <f>'Demand Stage 2'!UI17</f>
        <v>0</v>
      </c>
      <c r="UJ18">
        <f>'Demand Stage 2'!UJ17</f>
        <v>0</v>
      </c>
      <c r="UK18">
        <f>'Demand Stage 2'!UK17</f>
        <v>0</v>
      </c>
      <c r="UL18">
        <f>'Demand Stage 2'!UL17</f>
        <v>0</v>
      </c>
      <c r="UM18">
        <f>'Demand Stage 2'!UM17</f>
        <v>0</v>
      </c>
      <c r="UN18">
        <f>'Demand Stage 2'!UN17</f>
        <v>0</v>
      </c>
      <c r="UO18">
        <f>'Demand Stage 2'!UO17</f>
        <v>0</v>
      </c>
      <c r="UP18">
        <f>'Demand Stage 2'!UP17</f>
        <v>0</v>
      </c>
      <c r="UQ18">
        <f>'Demand Stage 2'!UQ17</f>
        <v>0</v>
      </c>
      <c r="UR18">
        <f>'Demand Stage 2'!UR17</f>
        <v>0</v>
      </c>
      <c r="US18">
        <f>'Demand Stage 2'!US17</f>
        <v>0</v>
      </c>
      <c r="UT18">
        <f>'Demand Stage 2'!UT17</f>
        <v>0</v>
      </c>
      <c r="UU18">
        <f>'Demand Stage 2'!UU17</f>
        <v>0</v>
      </c>
      <c r="UV18">
        <f>'Demand Stage 2'!UV17</f>
        <v>0</v>
      </c>
      <c r="UW18">
        <f>'Demand Stage 2'!UW17</f>
        <v>0</v>
      </c>
      <c r="UX18">
        <f>'Demand Stage 2'!UX17</f>
        <v>0</v>
      </c>
      <c r="UY18">
        <f>'Demand Stage 2'!UY17</f>
        <v>0</v>
      </c>
      <c r="UZ18">
        <f>'Demand Stage 2'!UZ17</f>
        <v>0</v>
      </c>
      <c r="VA18">
        <f>'Demand Stage 2'!VA17</f>
        <v>0</v>
      </c>
      <c r="VB18">
        <f>'Demand Stage 2'!VB17</f>
        <v>0</v>
      </c>
      <c r="VC18">
        <f>'Demand Stage 2'!VC17</f>
        <v>0</v>
      </c>
      <c r="VD18">
        <f>'Demand Stage 2'!VD17</f>
        <v>0</v>
      </c>
      <c r="VE18">
        <f>'Demand Stage 2'!VE17</f>
        <v>0</v>
      </c>
      <c r="VF18">
        <f>'Demand Stage 2'!VF17</f>
        <v>0</v>
      </c>
      <c r="VG18">
        <f>'Demand Stage 2'!VG17</f>
        <v>0</v>
      </c>
      <c r="VH18">
        <f>'Demand Stage 2'!VH17</f>
        <v>0</v>
      </c>
      <c r="VI18">
        <f>'Demand Stage 2'!VI17</f>
        <v>0</v>
      </c>
      <c r="VJ18">
        <f>'Demand Stage 2'!VJ17</f>
        <v>0</v>
      </c>
      <c r="VK18">
        <f>'Demand Stage 2'!VK17</f>
        <v>0</v>
      </c>
      <c r="VL18">
        <f>'Demand Stage 2'!VL17</f>
        <v>0</v>
      </c>
      <c r="VM18">
        <f>'Demand Stage 2'!VM17</f>
        <v>0</v>
      </c>
      <c r="VN18">
        <f>'Demand Stage 2'!VN17</f>
        <v>0</v>
      </c>
      <c r="VO18">
        <f>'Demand Stage 2'!VO17</f>
        <v>0</v>
      </c>
      <c r="VP18">
        <f>'Demand Stage 2'!VP17</f>
        <v>0</v>
      </c>
      <c r="VQ18">
        <f>'Demand Stage 2'!VQ17</f>
        <v>0</v>
      </c>
      <c r="VR18">
        <f>'Demand Stage 2'!VR17</f>
        <v>0</v>
      </c>
      <c r="VS18">
        <f>'Demand Stage 2'!VS17</f>
        <v>0</v>
      </c>
      <c r="VT18">
        <f>'Demand Stage 2'!VT17</f>
        <v>0</v>
      </c>
      <c r="VU18">
        <f>'Demand Stage 2'!VU17</f>
        <v>0</v>
      </c>
      <c r="VV18">
        <f>'Demand Stage 2'!VV17</f>
        <v>0</v>
      </c>
      <c r="VW18">
        <f>'Demand Stage 2'!VW17</f>
        <v>0</v>
      </c>
      <c r="VX18">
        <f>'Demand Stage 2'!VX17</f>
        <v>0</v>
      </c>
      <c r="VY18">
        <f>'Demand Stage 2'!VY17</f>
        <v>0</v>
      </c>
      <c r="VZ18">
        <f>'Demand Stage 2'!VZ17</f>
        <v>0</v>
      </c>
      <c r="WA18">
        <f>'Demand Stage 2'!WA17</f>
        <v>0</v>
      </c>
      <c r="WB18">
        <f>'Demand Stage 2'!WB17</f>
        <v>0</v>
      </c>
      <c r="WC18">
        <f>'Demand Stage 2'!WC17</f>
        <v>0</v>
      </c>
      <c r="WD18">
        <f>'Demand Stage 2'!WD17</f>
        <v>0</v>
      </c>
      <c r="WE18">
        <f>'Demand Stage 2'!WE17</f>
        <v>0</v>
      </c>
      <c r="WF18">
        <f>'Demand Stage 2'!WF17</f>
        <v>0</v>
      </c>
      <c r="WG18">
        <f>'Demand Stage 2'!WG17</f>
        <v>0</v>
      </c>
      <c r="WH18">
        <f>'Demand Stage 2'!WH17</f>
        <v>0</v>
      </c>
      <c r="WI18">
        <f>'Demand Stage 2'!WI17</f>
        <v>0</v>
      </c>
      <c r="WJ18">
        <f>'Demand Stage 2'!WJ17</f>
        <v>0</v>
      </c>
      <c r="WK18">
        <f>'Demand Stage 2'!WK17</f>
        <v>0</v>
      </c>
      <c r="WL18">
        <f>'Demand Stage 2'!WL17</f>
        <v>0</v>
      </c>
      <c r="WM18">
        <f>'Demand Stage 2'!WM17</f>
        <v>0</v>
      </c>
      <c r="WN18">
        <f>'Demand Stage 2'!WN17</f>
        <v>0</v>
      </c>
      <c r="WO18">
        <f>'Demand Stage 2'!WO17</f>
        <v>0</v>
      </c>
      <c r="WP18">
        <f>'Demand Stage 2'!WP17</f>
        <v>0</v>
      </c>
      <c r="WQ18">
        <f>'Demand Stage 2'!WQ17</f>
        <v>0</v>
      </c>
      <c r="WR18">
        <f>'Demand Stage 2'!WR17</f>
        <v>0</v>
      </c>
      <c r="WS18">
        <f>'Demand Stage 2'!WS17</f>
        <v>0</v>
      </c>
      <c r="WT18">
        <f>'Demand Stage 2'!WT17</f>
        <v>0</v>
      </c>
      <c r="WU18">
        <f>'Demand Stage 2'!WU17</f>
        <v>0</v>
      </c>
      <c r="WV18">
        <f>'Demand Stage 2'!WV17</f>
        <v>0</v>
      </c>
      <c r="WW18">
        <f>'Demand Stage 2'!WW17</f>
        <v>0</v>
      </c>
      <c r="WX18">
        <f>'Demand Stage 2'!WX17</f>
        <v>0</v>
      </c>
      <c r="WY18">
        <f>'Demand Stage 2'!WY17</f>
        <v>0</v>
      </c>
      <c r="WZ18">
        <f>'Demand Stage 2'!WZ17</f>
        <v>0</v>
      </c>
      <c r="XA18">
        <f>'Demand Stage 2'!XA17</f>
        <v>0</v>
      </c>
      <c r="XB18">
        <f>'Demand Stage 2'!XB17</f>
        <v>0</v>
      </c>
      <c r="XC18">
        <f>'Demand Stage 2'!XC17</f>
        <v>0</v>
      </c>
      <c r="XD18">
        <f>'Demand Stage 2'!XD17</f>
        <v>0</v>
      </c>
      <c r="XE18">
        <f>'Demand Stage 2'!XE17</f>
        <v>0</v>
      </c>
      <c r="XF18">
        <f>'Demand Stage 2'!XF17</f>
        <v>0</v>
      </c>
      <c r="XG18">
        <f>'Demand Stage 2'!XG17</f>
        <v>0</v>
      </c>
      <c r="XH18">
        <f>'Demand Stage 2'!XH17</f>
        <v>0</v>
      </c>
      <c r="XI18">
        <f>'Demand Stage 2'!XI17</f>
        <v>0</v>
      </c>
      <c r="XJ18">
        <f>'Demand Stage 2'!XJ17</f>
        <v>0</v>
      </c>
      <c r="XK18">
        <f>'Demand Stage 2'!XK17</f>
        <v>0</v>
      </c>
      <c r="XL18">
        <f>'Demand Stage 2'!XL17</f>
        <v>0</v>
      </c>
      <c r="XM18">
        <f>'Demand Stage 2'!XM17</f>
        <v>0</v>
      </c>
      <c r="XN18">
        <f>'Demand Stage 2'!XN17</f>
        <v>0</v>
      </c>
      <c r="XO18">
        <f>'Demand Stage 2'!XO17</f>
        <v>0</v>
      </c>
      <c r="XP18">
        <f>'Demand Stage 2'!XP17</f>
        <v>0</v>
      </c>
      <c r="XQ18">
        <f>'Demand Stage 2'!XQ17</f>
        <v>0</v>
      </c>
      <c r="XR18">
        <f>'Demand Stage 2'!XR17</f>
        <v>0</v>
      </c>
      <c r="XS18">
        <f>'Demand Stage 2'!XS17</f>
        <v>0</v>
      </c>
      <c r="XT18">
        <f>'Demand Stage 2'!XT17</f>
        <v>0</v>
      </c>
      <c r="XU18">
        <f>'Demand Stage 2'!XU17</f>
        <v>0</v>
      </c>
      <c r="XV18">
        <f>'Demand Stage 2'!XV17</f>
        <v>0</v>
      </c>
      <c r="XW18">
        <f>'Demand Stage 2'!XW17</f>
        <v>0</v>
      </c>
      <c r="XX18">
        <f>'Demand Stage 2'!XX17</f>
        <v>0</v>
      </c>
      <c r="XY18">
        <f>'Demand Stage 2'!XY17</f>
        <v>0</v>
      </c>
      <c r="XZ18">
        <f>'Demand Stage 2'!XZ17</f>
        <v>0</v>
      </c>
      <c r="YA18">
        <f>'Demand Stage 2'!YA17</f>
        <v>0</v>
      </c>
      <c r="YB18">
        <f>'Demand Stage 2'!YB17</f>
        <v>0</v>
      </c>
      <c r="YC18">
        <f>'Demand Stage 2'!YC17</f>
        <v>0</v>
      </c>
      <c r="YD18">
        <f>'Demand Stage 2'!YD17</f>
        <v>0</v>
      </c>
      <c r="YE18">
        <f>'Demand Stage 2'!YE17</f>
        <v>0</v>
      </c>
      <c r="YF18">
        <f>'Demand Stage 2'!YF17</f>
        <v>0</v>
      </c>
      <c r="YG18">
        <f>'Demand Stage 2'!YG17</f>
        <v>0</v>
      </c>
      <c r="YH18">
        <f>'Demand Stage 2'!YH17</f>
        <v>0</v>
      </c>
      <c r="YI18">
        <f>'Demand Stage 2'!YI17</f>
        <v>0</v>
      </c>
      <c r="YJ18">
        <f>'Demand Stage 2'!YJ17</f>
        <v>0</v>
      </c>
      <c r="YK18">
        <f>'Demand Stage 2'!YK17</f>
        <v>0</v>
      </c>
      <c r="YL18">
        <f>'Demand Stage 2'!YL17</f>
        <v>0</v>
      </c>
      <c r="YM18">
        <f>'Demand Stage 2'!YM17</f>
        <v>0</v>
      </c>
      <c r="YN18">
        <f>'Demand Stage 2'!YN17</f>
        <v>0</v>
      </c>
      <c r="YO18">
        <f>'Demand Stage 2'!YO17</f>
        <v>0</v>
      </c>
      <c r="YP18">
        <f>'Demand Stage 2'!YP17</f>
        <v>0</v>
      </c>
      <c r="YQ18">
        <f>'Demand Stage 2'!YQ17</f>
        <v>0</v>
      </c>
      <c r="YR18">
        <f>'Demand Stage 2'!YR17</f>
        <v>0</v>
      </c>
      <c r="YS18">
        <f>'Demand Stage 2'!YS17</f>
        <v>0</v>
      </c>
      <c r="YT18">
        <f>'Demand Stage 2'!YT17</f>
        <v>0</v>
      </c>
      <c r="YU18">
        <f>'Demand Stage 2'!YU17</f>
        <v>0</v>
      </c>
      <c r="YV18">
        <f>'Demand Stage 2'!YV17</f>
        <v>0</v>
      </c>
      <c r="YW18">
        <f>'Demand Stage 2'!YW17</f>
        <v>0</v>
      </c>
      <c r="YX18">
        <f>'Demand Stage 2'!YX17</f>
        <v>0</v>
      </c>
      <c r="YY18">
        <f>'Demand Stage 2'!YY17</f>
        <v>0</v>
      </c>
      <c r="YZ18">
        <f>'Demand Stage 2'!YZ17</f>
        <v>0</v>
      </c>
      <c r="ZA18">
        <f>'Demand Stage 2'!ZA17</f>
        <v>0</v>
      </c>
      <c r="ZB18">
        <f>'Demand Stage 2'!ZB17</f>
        <v>0</v>
      </c>
      <c r="ZC18">
        <f>'Demand Stage 2'!ZC17</f>
        <v>0</v>
      </c>
      <c r="ZD18">
        <f>'Demand Stage 2'!ZD17</f>
        <v>0</v>
      </c>
      <c r="ZE18">
        <f>'Demand Stage 2'!ZE17</f>
        <v>0</v>
      </c>
      <c r="ZF18">
        <f>'Demand Stage 2'!ZF17</f>
        <v>0</v>
      </c>
      <c r="ZG18">
        <f>'Demand Stage 2'!ZG17</f>
        <v>0</v>
      </c>
      <c r="ZH18">
        <f>'Demand Stage 2'!ZH17</f>
        <v>0</v>
      </c>
      <c r="ZI18">
        <f>'Demand Stage 2'!ZI17</f>
        <v>0</v>
      </c>
      <c r="ZJ18">
        <f>'Demand Stage 2'!ZJ17</f>
        <v>0</v>
      </c>
      <c r="ZK18">
        <f>'Demand Stage 2'!ZK17</f>
        <v>0</v>
      </c>
      <c r="ZL18">
        <f>'Demand Stage 2'!ZL17</f>
        <v>0</v>
      </c>
      <c r="ZM18">
        <f>'Demand Stage 2'!ZM17</f>
        <v>0</v>
      </c>
      <c r="ZN18">
        <f>'Demand Stage 2'!ZN17</f>
        <v>0</v>
      </c>
      <c r="ZO18">
        <f>'Demand Stage 2'!ZO17</f>
        <v>0</v>
      </c>
      <c r="ZP18">
        <f>'Demand Stage 2'!ZP17</f>
        <v>0</v>
      </c>
      <c r="ZQ18">
        <f>'Demand Stage 2'!ZQ17</f>
        <v>0</v>
      </c>
      <c r="ZR18">
        <f>'Demand Stage 2'!ZR17</f>
        <v>0</v>
      </c>
      <c r="ZS18">
        <f>'Demand Stage 2'!ZS17</f>
        <v>0</v>
      </c>
      <c r="ZT18">
        <f>'Demand Stage 2'!ZT17</f>
        <v>0</v>
      </c>
      <c r="ZU18">
        <f>'Demand Stage 2'!ZU17</f>
        <v>0</v>
      </c>
      <c r="ZV18">
        <f>'Demand Stage 2'!ZV17</f>
        <v>0</v>
      </c>
      <c r="ZW18">
        <f>'Demand Stage 2'!ZW17</f>
        <v>0</v>
      </c>
      <c r="ZX18">
        <f>'Demand Stage 2'!ZX17</f>
        <v>0</v>
      </c>
      <c r="ZY18">
        <f>'Demand Stage 2'!ZY17</f>
        <v>0</v>
      </c>
      <c r="ZZ18">
        <f>'Demand Stage 2'!ZZ17</f>
        <v>0</v>
      </c>
      <c r="AAA18">
        <f>'Demand Stage 2'!AAA17</f>
        <v>0</v>
      </c>
      <c r="AAB18">
        <f>'Demand Stage 2'!AAB17</f>
        <v>0</v>
      </c>
      <c r="AAC18">
        <f>'Demand Stage 2'!AAC17</f>
        <v>0</v>
      </c>
      <c r="AAD18">
        <f t="shared" si="33"/>
        <v>0</v>
      </c>
      <c r="AAE18">
        <f t="shared" si="66"/>
        <v>0</v>
      </c>
      <c r="AAF18">
        <f t="shared" si="67"/>
        <v>0</v>
      </c>
      <c r="AAG18">
        <f t="shared" si="68"/>
        <v>0</v>
      </c>
      <c r="AAH18">
        <f t="shared" si="69"/>
        <v>0</v>
      </c>
      <c r="AAI18">
        <f t="shared" si="70"/>
        <v>0</v>
      </c>
      <c r="AAJ18">
        <f t="shared" si="71"/>
        <v>0</v>
      </c>
      <c r="AAK18">
        <f t="shared" si="72"/>
        <v>0</v>
      </c>
      <c r="AAL18">
        <f t="shared" si="73"/>
        <v>0</v>
      </c>
      <c r="AAM18">
        <f t="shared" si="74"/>
        <v>0</v>
      </c>
      <c r="AAN18">
        <f t="shared" si="75"/>
        <v>0</v>
      </c>
      <c r="AAO18">
        <f t="shared" si="76"/>
        <v>0</v>
      </c>
      <c r="AAP18">
        <f t="shared" si="77"/>
        <v>0</v>
      </c>
      <c r="AAQ18">
        <f t="shared" si="78"/>
        <v>0</v>
      </c>
      <c r="AAR18">
        <f t="shared" si="79"/>
        <v>0</v>
      </c>
      <c r="AAS18">
        <f t="shared" si="80"/>
        <v>0</v>
      </c>
      <c r="AAT18">
        <f t="shared" si="81"/>
        <v>0</v>
      </c>
      <c r="AAU18">
        <f t="shared" si="82"/>
        <v>0</v>
      </c>
      <c r="AAV18">
        <f t="shared" si="83"/>
        <v>0</v>
      </c>
      <c r="AAW18">
        <f t="shared" si="84"/>
        <v>0</v>
      </c>
      <c r="AAX18">
        <f t="shared" si="85"/>
        <v>0</v>
      </c>
      <c r="AAY18">
        <f t="shared" si="86"/>
        <v>0</v>
      </c>
      <c r="AAZ18">
        <f t="shared" si="87"/>
        <v>0</v>
      </c>
      <c r="ABA18">
        <f t="shared" si="88"/>
        <v>0</v>
      </c>
      <c r="ABB18">
        <f t="shared" si="89"/>
        <v>0</v>
      </c>
      <c r="ABC18">
        <f t="shared" si="90"/>
        <v>0</v>
      </c>
      <c r="ABD18">
        <f t="shared" si="91"/>
        <v>0</v>
      </c>
      <c r="ABE18">
        <f t="shared" si="92"/>
        <v>0</v>
      </c>
      <c r="ABF18">
        <f t="shared" si="93"/>
        <v>0</v>
      </c>
      <c r="ABG18">
        <f t="shared" si="94"/>
        <v>0</v>
      </c>
      <c r="ABH18">
        <f t="shared" si="95"/>
        <v>0</v>
      </c>
      <c r="ABI18">
        <f t="shared" si="96"/>
        <v>0</v>
      </c>
      <c r="ABJ18">
        <f t="shared" si="97"/>
        <v>0</v>
      </c>
      <c r="ABK18">
        <f t="shared" si="98"/>
        <v>0</v>
      </c>
      <c r="ABL18">
        <f t="shared" si="99"/>
        <v>0</v>
      </c>
      <c r="ABM18">
        <f t="shared" si="100"/>
        <v>0</v>
      </c>
      <c r="ABN18">
        <f t="shared" si="101"/>
        <v>0</v>
      </c>
      <c r="ABO18">
        <f t="shared" si="102"/>
        <v>0</v>
      </c>
      <c r="ABP18">
        <f t="shared" si="103"/>
        <v>0</v>
      </c>
      <c r="ABQ18">
        <f t="shared" si="104"/>
        <v>0</v>
      </c>
      <c r="ABR18">
        <f t="shared" si="105"/>
        <v>0</v>
      </c>
      <c r="ABS18">
        <f t="shared" si="106"/>
        <v>0</v>
      </c>
      <c r="ABT18">
        <f t="shared" si="107"/>
        <v>0</v>
      </c>
      <c r="ABU18">
        <f t="shared" si="108"/>
        <v>0</v>
      </c>
      <c r="ABV18">
        <f t="shared" si="109"/>
        <v>0</v>
      </c>
      <c r="ABW18">
        <f t="shared" si="110"/>
        <v>0</v>
      </c>
      <c r="ABX18">
        <f t="shared" si="111"/>
        <v>0</v>
      </c>
      <c r="ABY18">
        <f t="shared" si="112"/>
        <v>0</v>
      </c>
      <c r="ABZ18">
        <f t="shared" si="113"/>
        <v>0</v>
      </c>
      <c r="ACA18">
        <f t="shared" si="114"/>
        <v>0</v>
      </c>
      <c r="ACB18">
        <f t="shared" si="115"/>
        <v>0</v>
      </c>
      <c r="ACC18">
        <f t="shared" si="116"/>
        <v>0</v>
      </c>
      <c r="ACD18">
        <f t="shared" si="117"/>
        <v>0</v>
      </c>
      <c r="ACE18">
        <f t="shared" si="118"/>
        <v>0</v>
      </c>
      <c r="ACF18">
        <f t="shared" si="119"/>
        <v>0</v>
      </c>
      <c r="ACG18">
        <f t="shared" si="120"/>
        <v>0</v>
      </c>
      <c r="ACH18">
        <f t="shared" si="121"/>
        <v>0</v>
      </c>
      <c r="ACI18">
        <f t="shared" si="122"/>
        <v>0</v>
      </c>
      <c r="ACJ18">
        <f t="shared" si="123"/>
        <v>0</v>
      </c>
      <c r="ACK18">
        <f t="shared" si="124"/>
        <v>0</v>
      </c>
      <c r="ACL18">
        <f t="shared" si="125"/>
        <v>0</v>
      </c>
      <c r="ACM18">
        <f t="shared" si="126"/>
        <v>0</v>
      </c>
      <c r="ACN18">
        <f t="shared" si="127"/>
        <v>0</v>
      </c>
      <c r="ACO18">
        <f t="shared" si="128"/>
        <v>0</v>
      </c>
      <c r="ACP18">
        <f t="shared" si="34"/>
        <v>0</v>
      </c>
      <c r="ACQ18">
        <f t="shared" si="129"/>
        <v>0</v>
      </c>
      <c r="ACR18">
        <f t="shared" si="130"/>
        <v>0</v>
      </c>
      <c r="ACS18">
        <f t="shared" si="131"/>
        <v>0</v>
      </c>
      <c r="ACT18">
        <f t="shared" si="132"/>
        <v>0</v>
      </c>
      <c r="ACU18">
        <f t="shared" si="133"/>
        <v>0</v>
      </c>
      <c r="ACV18">
        <f t="shared" si="134"/>
        <v>0</v>
      </c>
      <c r="ACW18">
        <f t="shared" si="135"/>
        <v>0</v>
      </c>
      <c r="ACX18">
        <f t="shared" si="136"/>
        <v>0</v>
      </c>
      <c r="ACY18">
        <f t="shared" si="137"/>
        <v>0</v>
      </c>
      <c r="ACZ18">
        <f t="shared" si="138"/>
        <v>0</v>
      </c>
      <c r="ADA18">
        <f t="shared" si="139"/>
        <v>0</v>
      </c>
      <c r="ADB18">
        <f t="shared" si="140"/>
        <v>0</v>
      </c>
      <c r="ADC18">
        <f t="shared" si="141"/>
        <v>0</v>
      </c>
      <c r="ADD18">
        <f t="shared" si="142"/>
        <v>0</v>
      </c>
      <c r="ADE18">
        <f t="shared" si="143"/>
        <v>0</v>
      </c>
      <c r="ADF18">
        <f t="shared" si="144"/>
        <v>0</v>
      </c>
      <c r="ADG18">
        <f t="shared" si="145"/>
        <v>0</v>
      </c>
      <c r="ADH18">
        <f t="shared" si="146"/>
        <v>0</v>
      </c>
      <c r="ADI18">
        <f t="shared" si="147"/>
        <v>0</v>
      </c>
      <c r="ADJ18">
        <f t="shared" si="148"/>
        <v>0</v>
      </c>
      <c r="ADK18">
        <f t="shared" si="149"/>
        <v>0</v>
      </c>
      <c r="ADL18">
        <f t="shared" si="150"/>
        <v>0</v>
      </c>
      <c r="ADM18">
        <f t="shared" si="151"/>
        <v>0</v>
      </c>
      <c r="ADN18">
        <f t="shared" si="152"/>
        <v>0</v>
      </c>
      <c r="ADO18">
        <f t="shared" si="153"/>
        <v>0</v>
      </c>
      <c r="ADP18">
        <f t="shared" si="154"/>
        <v>0</v>
      </c>
      <c r="ADQ18">
        <f t="shared" si="155"/>
        <v>0</v>
      </c>
      <c r="ADR18">
        <f t="shared" si="156"/>
        <v>0</v>
      </c>
      <c r="ADS18">
        <f t="shared" si="157"/>
        <v>0</v>
      </c>
      <c r="ADT18">
        <f t="shared" si="158"/>
        <v>0</v>
      </c>
      <c r="ADU18">
        <f t="shared" si="159"/>
        <v>0</v>
      </c>
      <c r="ADV18">
        <f t="shared" si="160"/>
        <v>0</v>
      </c>
      <c r="ADW18">
        <f t="shared" si="161"/>
        <v>0</v>
      </c>
      <c r="ADX18">
        <f t="shared" si="162"/>
        <v>0</v>
      </c>
      <c r="ADY18">
        <f t="shared" si="163"/>
        <v>0</v>
      </c>
      <c r="ADZ18">
        <f t="shared" si="164"/>
        <v>0</v>
      </c>
      <c r="AEA18">
        <f t="shared" si="165"/>
        <v>0</v>
      </c>
      <c r="AEB18">
        <f t="shared" si="166"/>
        <v>0</v>
      </c>
      <c r="AEC18">
        <f t="shared" si="167"/>
        <v>0</v>
      </c>
      <c r="AED18">
        <f t="shared" si="168"/>
        <v>0</v>
      </c>
      <c r="AEE18">
        <f t="shared" si="169"/>
        <v>0</v>
      </c>
      <c r="AEF18">
        <f t="shared" si="170"/>
        <v>0</v>
      </c>
      <c r="AEG18">
        <f t="shared" si="171"/>
        <v>0</v>
      </c>
      <c r="AEH18">
        <f t="shared" si="172"/>
        <v>0</v>
      </c>
      <c r="AEI18">
        <f t="shared" si="173"/>
        <v>0</v>
      </c>
      <c r="AEJ18">
        <f t="shared" si="174"/>
        <v>0</v>
      </c>
      <c r="AEK18">
        <f t="shared" si="175"/>
        <v>0</v>
      </c>
      <c r="AEL18">
        <f t="shared" si="176"/>
        <v>0</v>
      </c>
      <c r="AEM18">
        <f t="shared" si="177"/>
        <v>0</v>
      </c>
      <c r="AEN18">
        <f t="shared" si="178"/>
        <v>0</v>
      </c>
      <c r="AEO18">
        <f t="shared" si="179"/>
        <v>0</v>
      </c>
      <c r="AEP18">
        <f t="shared" si="180"/>
        <v>0</v>
      </c>
      <c r="AEQ18">
        <f t="shared" si="181"/>
        <v>0</v>
      </c>
      <c r="AER18">
        <f t="shared" si="182"/>
        <v>0</v>
      </c>
      <c r="AES18">
        <f t="shared" si="183"/>
        <v>0</v>
      </c>
      <c r="AET18">
        <f t="shared" si="184"/>
        <v>0</v>
      </c>
      <c r="AEU18">
        <f t="shared" si="185"/>
        <v>0</v>
      </c>
      <c r="AEV18">
        <f t="shared" si="186"/>
        <v>0</v>
      </c>
      <c r="AEW18">
        <f t="shared" si="187"/>
        <v>0</v>
      </c>
      <c r="AEX18">
        <f t="shared" si="188"/>
        <v>0</v>
      </c>
      <c r="AEY18">
        <f t="shared" si="189"/>
        <v>0</v>
      </c>
      <c r="AEZ18">
        <f t="shared" si="190"/>
        <v>0</v>
      </c>
      <c r="AFA18">
        <f t="shared" si="191"/>
        <v>0</v>
      </c>
      <c r="AFB18">
        <f t="shared" si="35"/>
        <v>0</v>
      </c>
      <c r="AFC18">
        <f t="shared" si="192"/>
        <v>0</v>
      </c>
      <c r="AFD18">
        <f t="shared" si="193"/>
        <v>0</v>
      </c>
      <c r="AFE18">
        <f t="shared" si="194"/>
        <v>0</v>
      </c>
      <c r="AFF18">
        <f t="shared" si="195"/>
        <v>0</v>
      </c>
      <c r="AFG18">
        <f t="shared" si="196"/>
        <v>0</v>
      </c>
      <c r="AFH18">
        <f t="shared" si="197"/>
        <v>0</v>
      </c>
      <c r="AFI18">
        <f t="shared" si="198"/>
        <v>0</v>
      </c>
      <c r="AFJ18">
        <f t="shared" si="199"/>
        <v>0</v>
      </c>
      <c r="AFK18">
        <f t="shared" si="200"/>
        <v>0</v>
      </c>
      <c r="AFL18">
        <f t="shared" si="201"/>
        <v>0</v>
      </c>
      <c r="AFM18">
        <f t="shared" si="202"/>
        <v>0</v>
      </c>
      <c r="AFN18">
        <f t="shared" si="203"/>
        <v>0</v>
      </c>
      <c r="AFO18">
        <f t="shared" si="204"/>
        <v>0</v>
      </c>
      <c r="AFP18">
        <f t="shared" si="205"/>
        <v>0</v>
      </c>
      <c r="AFQ18">
        <f t="shared" si="206"/>
        <v>0</v>
      </c>
      <c r="AFR18">
        <f t="shared" si="207"/>
        <v>0</v>
      </c>
      <c r="AFS18">
        <f t="shared" si="208"/>
        <v>0</v>
      </c>
      <c r="AFT18">
        <f t="shared" si="209"/>
        <v>0</v>
      </c>
      <c r="AFU18">
        <f t="shared" si="210"/>
        <v>0</v>
      </c>
      <c r="AFV18">
        <f t="shared" si="211"/>
        <v>0</v>
      </c>
      <c r="AFW18">
        <f t="shared" si="212"/>
        <v>0</v>
      </c>
      <c r="AFX18">
        <f t="shared" si="213"/>
        <v>0</v>
      </c>
      <c r="AFY18">
        <f t="shared" si="214"/>
        <v>0</v>
      </c>
      <c r="AFZ18">
        <f t="shared" si="215"/>
        <v>0</v>
      </c>
      <c r="AGA18">
        <f t="shared" si="216"/>
        <v>0</v>
      </c>
      <c r="AGB18">
        <f t="shared" si="217"/>
        <v>0</v>
      </c>
      <c r="AGC18">
        <f t="shared" si="218"/>
        <v>0</v>
      </c>
      <c r="AGD18">
        <f t="shared" si="219"/>
        <v>0</v>
      </c>
      <c r="AGE18">
        <f t="shared" si="220"/>
        <v>0</v>
      </c>
      <c r="AGF18">
        <f t="shared" si="221"/>
        <v>0</v>
      </c>
      <c r="AGG18">
        <f t="shared" si="222"/>
        <v>0</v>
      </c>
      <c r="AGH18">
        <f t="shared" si="223"/>
        <v>0</v>
      </c>
      <c r="AGI18">
        <f t="shared" si="224"/>
        <v>0</v>
      </c>
      <c r="AGJ18">
        <f t="shared" si="225"/>
        <v>0</v>
      </c>
      <c r="AGK18">
        <f t="shared" si="226"/>
        <v>0</v>
      </c>
      <c r="AGL18">
        <f t="shared" si="227"/>
        <v>0</v>
      </c>
      <c r="AGM18">
        <f t="shared" si="228"/>
        <v>0</v>
      </c>
      <c r="AGN18">
        <f t="shared" si="229"/>
        <v>0</v>
      </c>
      <c r="AGO18">
        <f t="shared" si="230"/>
        <v>0</v>
      </c>
      <c r="AGP18">
        <f t="shared" si="231"/>
        <v>0</v>
      </c>
      <c r="AGQ18">
        <f t="shared" si="232"/>
        <v>0</v>
      </c>
      <c r="AGR18">
        <f t="shared" si="233"/>
        <v>0</v>
      </c>
      <c r="AGS18">
        <f t="shared" si="234"/>
        <v>0</v>
      </c>
      <c r="AGT18">
        <f t="shared" si="235"/>
        <v>0</v>
      </c>
      <c r="AGU18">
        <f t="shared" si="236"/>
        <v>0</v>
      </c>
      <c r="AGV18">
        <f t="shared" si="237"/>
        <v>0</v>
      </c>
      <c r="AGW18">
        <f t="shared" si="238"/>
        <v>0</v>
      </c>
      <c r="AGX18">
        <f t="shared" si="239"/>
        <v>0</v>
      </c>
      <c r="AGY18">
        <f t="shared" si="240"/>
        <v>0</v>
      </c>
      <c r="AGZ18">
        <f t="shared" si="241"/>
        <v>0</v>
      </c>
      <c r="AHA18">
        <f t="shared" si="242"/>
        <v>0</v>
      </c>
      <c r="AHB18">
        <f t="shared" si="243"/>
        <v>0</v>
      </c>
      <c r="AHC18">
        <f t="shared" si="244"/>
        <v>0</v>
      </c>
      <c r="AHD18">
        <f t="shared" si="245"/>
        <v>0</v>
      </c>
      <c r="AHE18">
        <f t="shared" si="246"/>
        <v>0</v>
      </c>
      <c r="AHF18">
        <f t="shared" si="247"/>
        <v>0</v>
      </c>
      <c r="AHG18">
        <f t="shared" si="248"/>
        <v>0</v>
      </c>
      <c r="AHH18">
        <f t="shared" si="249"/>
        <v>0</v>
      </c>
      <c r="AHI18">
        <f t="shared" si="250"/>
        <v>0</v>
      </c>
      <c r="AHJ18">
        <f t="shared" si="251"/>
        <v>0</v>
      </c>
      <c r="AHK18">
        <f t="shared" si="252"/>
        <v>0</v>
      </c>
      <c r="AHL18">
        <f t="shared" si="253"/>
        <v>0</v>
      </c>
      <c r="AHM18">
        <f t="shared" si="254"/>
        <v>0</v>
      </c>
      <c r="AHN18">
        <f t="shared" si="36"/>
        <v>0</v>
      </c>
      <c r="AHO18">
        <f t="shared" si="255"/>
        <v>0</v>
      </c>
      <c r="AHP18">
        <f t="shared" si="256"/>
        <v>0</v>
      </c>
      <c r="AHQ18">
        <f t="shared" si="257"/>
        <v>0</v>
      </c>
      <c r="AHR18">
        <f t="shared" si="258"/>
        <v>0</v>
      </c>
      <c r="AHS18">
        <f t="shared" si="259"/>
        <v>0</v>
      </c>
      <c r="AHT18">
        <f t="shared" si="260"/>
        <v>0</v>
      </c>
      <c r="AHU18">
        <f t="shared" si="261"/>
        <v>0</v>
      </c>
      <c r="AHV18">
        <f t="shared" si="262"/>
        <v>0</v>
      </c>
      <c r="AHW18">
        <f t="shared" si="263"/>
        <v>0</v>
      </c>
      <c r="AHX18">
        <f t="shared" si="264"/>
        <v>0</v>
      </c>
      <c r="AHY18">
        <f t="shared" si="265"/>
        <v>0</v>
      </c>
      <c r="AHZ18">
        <f t="shared" si="266"/>
        <v>0</v>
      </c>
      <c r="AIA18">
        <f t="shared" si="267"/>
        <v>0</v>
      </c>
      <c r="AIB18">
        <f t="shared" si="268"/>
        <v>0</v>
      </c>
      <c r="AIC18">
        <f t="shared" si="269"/>
        <v>0</v>
      </c>
      <c r="AID18">
        <f t="shared" si="270"/>
        <v>0</v>
      </c>
      <c r="AIE18">
        <f t="shared" si="271"/>
        <v>0</v>
      </c>
      <c r="AIF18">
        <f t="shared" si="272"/>
        <v>0</v>
      </c>
      <c r="AIG18">
        <f t="shared" si="273"/>
        <v>0</v>
      </c>
      <c r="AIH18">
        <f t="shared" si="274"/>
        <v>0</v>
      </c>
      <c r="AII18">
        <f t="shared" si="275"/>
        <v>0</v>
      </c>
      <c r="AIJ18">
        <f t="shared" si="276"/>
        <v>0</v>
      </c>
      <c r="AIK18">
        <f t="shared" si="277"/>
        <v>0</v>
      </c>
      <c r="AIL18">
        <f t="shared" si="278"/>
        <v>0</v>
      </c>
      <c r="AIM18">
        <f t="shared" si="279"/>
        <v>0</v>
      </c>
      <c r="AIN18">
        <f t="shared" si="280"/>
        <v>0</v>
      </c>
      <c r="AIO18">
        <f t="shared" si="281"/>
        <v>0</v>
      </c>
      <c r="AIP18">
        <f t="shared" si="282"/>
        <v>0</v>
      </c>
      <c r="AIQ18">
        <f t="shared" si="283"/>
        <v>0</v>
      </c>
      <c r="AIR18">
        <f t="shared" si="284"/>
        <v>0</v>
      </c>
      <c r="AIS18">
        <f t="shared" si="285"/>
        <v>0</v>
      </c>
      <c r="AIT18">
        <f t="shared" si="286"/>
        <v>0</v>
      </c>
      <c r="AIU18">
        <f t="shared" si="287"/>
        <v>0</v>
      </c>
      <c r="AIV18">
        <f t="shared" si="288"/>
        <v>0</v>
      </c>
      <c r="AIW18">
        <f t="shared" si="289"/>
        <v>0</v>
      </c>
      <c r="AIX18">
        <f t="shared" si="290"/>
        <v>0</v>
      </c>
      <c r="AIY18">
        <f t="shared" si="291"/>
        <v>0</v>
      </c>
      <c r="AIZ18">
        <f t="shared" si="292"/>
        <v>0</v>
      </c>
      <c r="AJA18">
        <f t="shared" si="293"/>
        <v>0</v>
      </c>
      <c r="AJB18">
        <f t="shared" si="294"/>
        <v>0</v>
      </c>
      <c r="AJC18">
        <f t="shared" si="295"/>
        <v>0</v>
      </c>
      <c r="AJD18">
        <f t="shared" si="296"/>
        <v>0</v>
      </c>
      <c r="AJE18">
        <f t="shared" si="297"/>
        <v>0</v>
      </c>
      <c r="AJF18">
        <f t="shared" si="298"/>
        <v>0</v>
      </c>
      <c r="AJG18">
        <f t="shared" si="299"/>
        <v>0</v>
      </c>
      <c r="AJH18">
        <f t="shared" si="300"/>
        <v>0</v>
      </c>
      <c r="AJI18">
        <f t="shared" si="301"/>
        <v>0</v>
      </c>
      <c r="AJJ18">
        <f t="shared" si="302"/>
        <v>0</v>
      </c>
      <c r="AJK18">
        <f t="shared" si="303"/>
        <v>0</v>
      </c>
      <c r="AJL18">
        <f t="shared" si="304"/>
        <v>0</v>
      </c>
      <c r="AJM18">
        <f t="shared" si="305"/>
        <v>0</v>
      </c>
      <c r="AJN18">
        <f t="shared" si="306"/>
        <v>0</v>
      </c>
      <c r="AJO18">
        <f t="shared" si="307"/>
        <v>0</v>
      </c>
      <c r="AJP18">
        <f t="shared" si="308"/>
        <v>0</v>
      </c>
      <c r="AJQ18">
        <f t="shared" si="309"/>
        <v>0</v>
      </c>
      <c r="AJR18">
        <f t="shared" si="310"/>
        <v>0</v>
      </c>
      <c r="AJS18">
        <f t="shared" si="311"/>
        <v>0</v>
      </c>
      <c r="AJT18">
        <f t="shared" si="312"/>
        <v>0</v>
      </c>
      <c r="AJU18">
        <f t="shared" si="313"/>
        <v>0</v>
      </c>
      <c r="AJV18">
        <f t="shared" si="314"/>
        <v>0</v>
      </c>
      <c r="AJW18">
        <f t="shared" si="315"/>
        <v>0</v>
      </c>
      <c r="AJX18">
        <f t="shared" si="316"/>
        <v>0</v>
      </c>
      <c r="AJY18">
        <f t="shared" si="317"/>
        <v>0</v>
      </c>
      <c r="AJZ18">
        <f t="shared" si="37"/>
        <v>0</v>
      </c>
      <c r="AKA18">
        <f t="shared" si="318"/>
        <v>0</v>
      </c>
      <c r="AKB18">
        <f t="shared" si="319"/>
        <v>0</v>
      </c>
      <c r="AKC18">
        <f t="shared" si="320"/>
        <v>0</v>
      </c>
      <c r="AKD18">
        <f t="shared" si="321"/>
        <v>0</v>
      </c>
      <c r="AKE18">
        <f t="shared" si="322"/>
        <v>0</v>
      </c>
      <c r="AKF18">
        <f t="shared" si="323"/>
        <v>0</v>
      </c>
      <c r="AKG18">
        <f t="shared" si="324"/>
        <v>0</v>
      </c>
      <c r="AKH18">
        <f t="shared" si="325"/>
        <v>0</v>
      </c>
      <c r="AKI18">
        <f t="shared" si="326"/>
        <v>0</v>
      </c>
      <c r="AKJ18">
        <f t="shared" si="327"/>
        <v>0</v>
      </c>
      <c r="AKK18">
        <f t="shared" si="328"/>
        <v>0</v>
      </c>
      <c r="AKL18">
        <f t="shared" si="329"/>
        <v>0</v>
      </c>
      <c r="AKM18">
        <f t="shared" si="330"/>
        <v>0</v>
      </c>
      <c r="AKN18">
        <f t="shared" si="331"/>
        <v>0</v>
      </c>
      <c r="AKO18">
        <f t="shared" si="332"/>
        <v>0</v>
      </c>
      <c r="AKP18">
        <f t="shared" si="333"/>
        <v>0</v>
      </c>
      <c r="AKQ18">
        <f t="shared" si="334"/>
        <v>0</v>
      </c>
      <c r="AKR18">
        <f t="shared" si="335"/>
        <v>0</v>
      </c>
      <c r="AKS18">
        <f t="shared" si="336"/>
        <v>0</v>
      </c>
      <c r="AKT18">
        <f t="shared" si="337"/>
        <v>0</v>
      </c>
      <c r="AKU18">
        <f t="shared" si="338"/>
        <v>0</v>
      </c>
      <c r="AKV18">
        <f t="shared" si="339"/>
        <v>0</v>
      </c>
      <c r="AKW18">
        <f t="shared" si="340"/>
        <v>0</v>
      </c>
      <c r="AKX18">
        <f t="shared" si="341"/>
        <v>0</v>
      </c>
      <c r="AKY18">
        <f t="shared" si="342"/>
        <v>0</v>
      </c>
      <c r="AKZ18">
        <f t="shared" si="343"/>
        <v>0</v>
      </c>
      <c r="ALA18">
        <f t="shared" si="344"/>
        <v>0</v>
      </c>
      <c r="ALB18">
        <f t="shared" si="345"/>
        <v>0</v>
      </c>
      <c r="ALC18">
        <f t="shared" si="346"/>
        <v>0</v>
      </c>
      <c r="ALD18">
        <f t="shared" si="347"/>
        <v>0</v>
      </c>
      <c r="ALE18">
        <f t="shared" si="348"/>
        <v>0</v>
      </c>
      <c r="ALF18">
        <f t="shared" si="349"/>
        <v>0</v>
      </c>
      <c r="ALG18">
        <f t="shared" si="350"/>
        <v>0</v>
      </c>
      <c r="ALH18">
        <f t="shared" si="351"/>
        <v>0</v>
      </c>
      <c r="ALI18">
        <f t="shared" si="352"/>
        <v>0</v>
      </c>
      <c r="ALJ18">
        <f t="shared" si="353"/>
        <v>0</v>
      </c>
      <c r="ALK18">
        <f t="shared" si="354"/>
        <v>0</v>
      </c>
      <c r="ALL18">
        <f t="shared" si="355"/>
        <v>0</v>
      </c>
      <c r="ALM18">
        <f t="shared" si="356"/>
        <v>0</v>
      </c>
      <c r="ALN18">
        <f t="shared" si="357"/>
        <v>0</v>
      </c>
      <c r="ALO18">
        <f t="shared" si="358"/>
        <v>0</v>
      </c>
      <c r="ALP18">
        <f t="shared" si="359"/>
        <v>0</v>
      </c>
      <c r="ALQ18">
        <f t="shared" si="360"/>
        <v>0</v>
      </c>
      <c r="ALR18">
        <f t="shared" si="361"/>
        <v>0</v>
      </c>
      <c r="ALS18">
        <f t="shared" si="362"/>
        <v>0</v>
      </c>
      <c r="ALT18">
        <f t="shared" si="363"/>
        <v>0</v>
      </c>
      <c r="ALU18">
        <f t="shared" si="364"/>
        <v>0</v>
      </c>
      <c r="ALV18">
        <f t="shared" si="365"/>
        <v>0</v>
      </c>
      <c r="ALW18">
        <f t="shared" si="366"/>
        <v>0</v>
      </c>
      <c r="ALX18">
        <f t="shared" si="367"/>
        <v>0</v>
      </c>
      <c r="ALY18">
        <f t="shared" si="368"/>
        <v>0</v>
      </c>
      <c r="ALZ18">
        <f t="shared" si="369"/>
        <v>0</v>
      </c>
      <c r="AMA18">
        <f t="shared" si="370"/>
        <v>0</v>
      </c>
      <c r="AMB18">
        <f t="shared" si="371"/>
        <v>0</v>
      </c>
      <c r="AMC18">
        <f t="shared" si="372"/>
        <v>0</v>
      </c>
      <c r="AMD18">
        <f t="shared" si="373"/>
        <v>0</v>
      </c>
      <c r="AME18">
        <f t="shared" si="374"/>
        <v>0</v>
      </c>
      <c r="AMF18">
        <f t="shared" si="375"/>
        <v>0</v>
      </c>
      <c r="AMG18">
        <f t="shared" si="376"/>
        <v>0</v>
      </c>
      <c r="AMH18">
        <f t="shared" si="377"/>
        <v>0</v>
      </c>
      <c r="AMI18">
        <f t="shared" si="378"/>
        <v>0</v>
      </c>
      <c r="AMJ18">
        <f t="shared" si="379"/>
        <v>0</v>
      </c>
      <c r="AMK18">
        <f t="shared" si="380"/>
        <v>0</v>
      </c>
      <c r="AML18">
        <f t="shared" si="38"/>
        <v>0</v>
      </c>
      <c r="AMM18">
        <f t="shared" si="381"/>
        <v>0</v>
      </c>
      <c r="AMN18">
        <f t="shared" si="382"/>
        <v>0</v>
      </c>
      <c r="AMO18">
        <f t="shared" si="383"/>
        <v>0</v>
      </c>
      <c r="AMP18">
        <f t="shared" si="384"/>
        <v>0</v>
      </c>
      <c r="AMQ18">
        <f t="shared" si="385"/>
        <v>0</v>
      </c>
      <c r="AMR18">
        <f t="shared" si="386"/>
        <v>0</v>
      </c>
      <c r="AMS18">
        <f t="shared" si="387"/>
        <v>0</v>
      </c>
      <c r="AMT18">
        <f t="shared" si="388"/>
        <v>0</v>
      </c>
      <c r="AMU18">
        <f t="shared" si="389"/>
        <v>0</v>
      </c>
      <c r="AMV18">
        <f t="shared" si="390"/>
        <v>0</v>
      </c>
      <c r="AMW18">
        <f t="shared" si="391"/>
        <v>0</v>
      </c>
      <c r="AMX18">
        <f t="shared" si="392"/>
        <v>0</v>
      </c>
      <c r="AMY18">
        <f t="shared" si="393"/>
        <v>0</v>
      </c>
      <c r="AMZ18">
        <f t="shared" si="394"/>
        <v>0</v>
      </c>
      <c r="ANA18">
        <f t="shared" si="395"/>
        <v>0</v>
      </c>
      <c r="ANB18">
        <f t="shared" si="396"/>
        <v>0</v>
      </c>
      <c r="ANC18">
        <f t="shared" si="397"/>
        <v>0</v>
      </c>
      <c r="AND18">
        <f t="shared" si="398"/>
        <v>0</v>
      </c>
      <c r="ANE18">
        <f t="shared" si="399"/>
        <v>0</v>
      </c>
      <c r="ANF18">
        <f t="shared" si="400"/>
        <v>0</v>
      </c>
      <c r="ANG18">
        <f t="shared" si="401"/>
        <v>0</v>
      </c>
      <c r="ANH18">
        <f t="shared" si="402"/>
        <v>0</v>
      </c>
      <c r="ANI18">
        <f t="shared" si="403"/>
        <v>0</v>
      </c>
      <c r="ANJ18">
        <f t="shared" si="404"/>
        <v>0</v>
      </c>
      <c r="ANK18">
        <f t="shared" si="405"/>
        <v>0</v>
      </c>
      <c r="ANL18">
        <f t="shared" si="406"/>
        <v>0</v>
      </c>
      <c r="ANM18">
        <f t="shared" si="407"/>
        <v>0</v>
      </c>
      <c r="ANN18">
        <f t="shared" si="408"/>
        <v>0</v>
      </c>
      <c r="ANO18">
        <f t="shared" si="409"/>
        <v>0</v>
      </c>
      <c r="ANP18">
        <f t="shared" si="410"/>
        <v>0</v>
      </c>
      <c r="ANQ18">
        <f t="shared" si="411"/>
        <v>0</v>
      </c>
      <c r="ANR18">
        <f t="shared" si="412"/>
        <v>0</v>
      </c>
      <c r="ANS18">
        <f t="shared" si="413"/>
        <v>0</v>
      </c>
      <c r="ANT18">
        <f t="shared" si="414"/>
        <v>0</v>
      </c>
      <c r="ANU18">
        <f t="shared" si="415"/>
        <v>0</v>
      </c>
      <c r="ANV18">
        <f t="shared" si="416"/>
        <v>0</v>
      </c>
      <c r="ANW18">
        <f t="shared" si="417"/>
        <v>0</v>
      </c>
      <c r="ANX18">
        <f t="shared" si="418"/>
        <v>0</v>
      </c>
      <c r="ANY18">
        <f t="shared" si="419"/>
        <v>0</v>
      </c>
      <c r="ANZ18">
        <f t="shared" si="420"/>
        <v>0</v>
      </c>
      <c r="AOA18">
        <f t="shared" si="421"/>
        <v>0</v>
      </c>
      <c r="AOB18">
        <f t="shared" si="422"/>
        <v>0</v>
      </c>
      <c r="AOC18">
        <f t="shared" si="423"/>
        <v>0</v>
      </c>
      <c r="AOD18">
        <f t="shared" si="424"/>
        <v>0</v>
      </c>
      <c r="AOE18">
        <f t="shared" si="425"/>
        <v>0</v>
      </c>
      <c r="AOF18">
        <f t="shared" si="426"/>
        <v>0</v>
      </c>
      <c r="AOG18">
        <f t="shared" si="427"/>
        <v>0</v>
      </c>
      <c r="AOH18">
        <f t="shared" si="428"/>
        <v>0</v>
      </c>
      <c r="AOI18">
        <f t="shared" si="429"/>
        <v>0</v>
      </c>
      <c r="AOJ18">
        <f t="shared" si="430"/>
        <v>0</v>
      </c>
      <c r="AOK18">
        <f t="shared" si="431"/>
        <v>0</v>
      </c>
      <c r="AOL18">
        <f t="shared" si="432"/>
        <v>0</v>
      </c>
      <c r="AOM18">
        <f t="shared" si="433"/>
        <v>0</v>
      </c>
      <c r="AON18">
        <f t="shared" si="434"/>
        <v>0</v>
      </c>
      <c r="AOO18">
        <f t="shared" si="435"/>
        <v>0</v>
      </c>
      <c r="AOP18">
        <f t="shared" si="436"/>
        <v>0</v>
      </c>
      <c r="AOQ18">
        <f t="shared" si="437"/>
        <v>0</v>
      </c>
      <c r="AOR18">
        <f t="shared" si="438"/>
        <v>0</v>
      </c>
      <c r="AOS18">
        <f t="shared" si="439"/>
        <v>0</v>
      </c>
      <c r="AOT18">
        <f t="shared" si="440"/>
        <v>0</v>
      </c>
      <c r="AOU18">
        <f t="shared" si="441"/>
        <v>0</v>
      </c>
      <c r="AOV18">
        <f t="shared" si="442"/>
        <v>0</v>
      </c>
      <c r="AOW18">
        <f t="shared" si="443"/>
        <v>0</v>
      </c>
      <c r="AOX18">
        <f t="shared" si="39"/>
        <v>0</v>
      </c>
      <c r="AOY18">
        <f t="shared" si="444"/>
        <v>0</v>
      </c>
      <c r="AOZ18">
        <f t="shared" si="445"/>
        <v>0</v>
      </c>
      <c r="APA18">
        <f t="shared" si="446"/>
        <v>0</v>
      </c>
      <c r="APB18">
        <f t="shared" si="447"/>
        <v>0</v>
      </c>
      <c r="APC18">
        <f t="shared" si="448"/>
        <v>0</v>
      </c>
      <c r="APD18">
        <f t="shared" si="449"/>
        <v>0</v>
      </c>
      <c r="APE18">
        <f t="shared" si="450"/>
        <v>0</v>
      </c>
      <c r="APF18">
        <f t="shared" si="451"/>
        <v>0</v>
      </c>
      <c r="APG18">
        <f t="shared" si="452"/>
        <v>0</v>
      </c>
      <c r="APH18">
        <f t="shared" si="453"/>
        <v>0</v>
      </c>
      <c r="API18">
        <f t="shared" si="454"/>
        <v>0</v>
      </c>
      <c r="APJ18">
        <f t="shared" si="455"/>
        <v>0</v>
      </c>
      <c r="APK18">
        <f t="shared" si="456"/>
        <v>0</v>
      </c>
      <c r="APL18">
        <f t="shared" si="457"/>
        <v>0</v>
      </c>
      <c r="APM18">
        <f t="shared" si="458"/>
        <v>0</v>
      </c>
      <c r="APN18">
        <f t="shared" si="459"/>
        <v>0</v>
      </c>
      <c r="APO18">
        <f t="shared" si="460"/>
        <v>0</v>
      </c>
      <c r="APP18">
        <f t="shared" si="461"/>
        <v>0</v>
      </c>
      <c r="APQ18">
        <f t="shared" si="462"/>
        <v>0</v>
      </c>
      <c r="APR18">
        <f t="shared" si="463"/>
        <v>0</v>
      </c>
      <c r="APS18">
        <f t="shared" si="464"/>
        <v>0</v>
      </c>
      <c r="APT18">
        <f t="shared" si="465"/>
        <v>0</v>
      </c>
      <c r="APU18">
        <f t="shared" si="466"/>
        <v>0</v>
      </c>
      <c r="APV18">
        <f t="shared" si="467"/>
        <v>0</v>
      </c>
      <c r="APW18">
        <f t="shared" si="468"/>
        <v>0</v>
      </c>
      <c r="APX18">
        <f t="shared" si="469"/>
        <v>0</v>
      </c>
      <c r="APY18">
        <f t="shared" si="470"/>
        <v>0</v>
      </c>
      <c r="APZ18">
        <f t="shared" si="471"/>
        <v>0</v>
      </c>
      <c r="AQA18">
        <f t="shared" si="472"/>
        <v>0</v>
      </c>
      <c r="AQB18">
        <f t="shared" si="473"/>
        <v>0</v>
      </c>
      <c r="AQC18">
        <f t="shared" si="474"/>
        <v>0</v>
      </c>
      <c r="AQD18">
        <f t="shared" si="475"/>
        <v>0</v>
      </c>
      <c r="AQE18">
        <f t="shared" si="476"/>
        <v>0</v>
      </c>
      <c r="AQF18">
        <f t="shared" si="477"/>
        <v>0</v>
      </c>
      <c r="AQG18">
        <f t="shared" si="478"/>
        <v>0</v>
      </c>
      <c r="AQH18">
        <f t="shared" si="479"/>
        <v>0</v>
      </c>
      <c r="AQI18">
        <f t="shared" si="480"/>
        <v>0</v>
      </c>
      <c r="AQJ18">
        <f t="shared" si="481"/>
        <v>0</v>
      </c>
      <c r="AQK18">
        <f t="shared" si="482"/>
        <v>0</v>
      </c>
      <c r="AQL18">
        <f t="shared" si="483"/>
        <v>0</v>
      </c>
      <c r="AQM18">
        <f t="shared" si="484"/>
        <v>0</v>
      </c>
      <c r="AQN18">
        <f t="shared" si="485"/>
        <v>0</v>
      </c>
      <c r="AQO18">
        <f t="shared" si="486"/>
        <v>0</v>
      </c>
      <c r="AQP18">
        <f t="shared" si="487"/>
        <v>0</v>
      </c>
      <c r="AQQ18">
        <f t="shared" si="488"/>
        <v>0</v>
      </c>
      <c r="AQR18">
        <f t="shared" si="489"/>
        <v>0</v>
      </c>
      <c r="AQS18">
        <f t="shared" si="490"/>
        <v>0</v>
      </c>
      <c r="AQT18">
        <f t="shared" si="491"/>
        <v>0</v>
      </c>
      <c r="AQU18">
        <f t="shared" si="492"/>
        <v>0</v>
      </c>
      <c r="AQV18">
        <f t="shared" si="493"/>
        <v>0</v>
      </c>
      <c r="AQW18">
        <f t="shared" si="494"/>
        <v>0</v>
      </c>
      <c r="AQX18">
        <f t="shared" si="495"/>
        <v>0</v>
      </c>
      <c r="AQY18">
        <f t="shared" si="496"/>
        <v>0</v>
      </c>
      <c r="AQZ18">
        <f t="shared" si="497"/>
        <v>0</v>
      </c>
      <c r="ARA18">
        <f t="shared" si="498"/>
        <v>0</v>
      </c>
      <c r="ARB18">
        <f t="shared" si="499"/>
        <v>0</v>
      </c>
      <c r="ARC18">
        <f t="shared" si="500"/>
        <v>0</v>
      </c>
      <c r="ARD18">
        <f t="shared" si="501"/>
        <v>0</v>
      </c>
      <c r="ARE18">
        <f t="shared" si="502"/>
        <v>0</v>
      </c>
      <c r="ARF18">
        <f t="shared" si="503"/>
        <v>0</v>
      </c>
      <c r="ARG18">
        <f t="shared" si="504"/>
        <v>0</v>
      </c>
      <c r="ARH18">
        <f t="shared" si="505"/>
        <v>0</v>
      </c>
      <c r="ARI18">
        <f t="shared" si="506"/>
        <v>0</v>
      </c>
      <c r="ARJ18">
        <f t="shared" si="40"/>
        <v>0</v>
      </c>
      <c r="ARK18">
        <f t="shared" si="507"/>
        <v>0</v>
      </c>
      <c r="ARL18">
        <f t="shared" si="508"/>
        <v>0</v>
      </c>
      <c r="ARM18">
        <f t="shared" si="509"/>
        <v>0</v>
      </c>
      <c r="ARN18">
        <f t="shared" si="510"/>
        <v>0</v>
      </c>
      <c r="ARO18">
        <f t="shared" si="511"/>
        <v>0</v>
      </c>
      <c r="ARP18">
        <f t="shared" si="512"/>
        <v>0</v>
      </c>
      <c r="ARQ18">
        <f t="shared" si="513"/>
        <v>0</v>
      </c>
      <c r="ARR18">
        <f t="shared" si="514"/>
        <v>0</v>
      </c>
      <c r="ARS18">
        <f t="shared" si="515"/>
        <v>0</v>
      </c>
      <c r="ART18">
        <f t="shared" si="516"/>
        <v>0</v>
      </c>
      <c r="ARU18">
        <f t="shared" si="517"/>
        <v>0</v>
      </c>
      <c r="ARV18">
        <f t="shared" si="518"/>
        <v>0</v>
      </c>
      <c r="ARW18">
        <f t="shared" si="519"/>
        <v>0</v>
      </c>
      <c r="ARX18">
        <f t="shared" si="520"/>
        <v>0</v>
      </c>
      <c r="ARY18">
        <f t="shared" si="521"/>
        <v>0</v>
      </c>
      <c r="ARZ18">
        <f t="shared" si="522"/>
        <v>0</v>
      </c>
      <c r="ASA18">
        <f t="shared" si="523"/>
        <v>0</v>
      </c>
      <c r="ASB18">
        <f t="shared" si="524"/>
        <v>0</v>
      </c>
      <c r="ASC18">
        <f t="shared" si="525"/>
        <v>0</v>
      </c>
      <c r="ASD18">
        <f t="shared" si="526"/>
        <v>0</v>
      </c>
      <c r="ASE18">
        <f t="shared" si="527"/>
        <v>0</v>
      </c>
      <c r="ASF18">
        <f t="shared" si="528"/>
        <v>0</v>
      </c>
      <c r="ASG18">
        <f t="shared" si="529"/>
        <v>0</v>
      </c>
      <c r="ASH18">
        <f t="shared" si="530"/>
        <v>0</v>
      </c>
      <c r="ASI18">
        <f t="shared" si="531"/>
        <v>0</v>
      </c>
      <c r="ASJ18">
        <f t="shared" si="532"/>
        <v>0</v>
      </c>
      <c r="ASK18">
        <f t="shared" si="533"/>
        <v>0</v>
      </c>
      <c r="ASL18">
        <f t="shared" si="534"/>
        <v>0</v>
      </c>
      <c r="ASM18">
        <f t="shared" si="535"/>
        <v>0</v>
      </c>
      <c r="ASN18">
        <f t="shared" si="536"/>
        <v>0</v>
      </c>
      <c r="ASO18">
        <f t="shared" si="537"/>
        <v>0</v>
      </c>
      <c r="ASP18">
        <f t="shared" si="538"/>
        <v>0</v>
      </c>
      <c r="ASQ18">
        <f t="shared" si="539"/>
        <v>0</v>
      </c>
      <c r="ASR18">
        <f t="shared" si="540"/>
        <v>0</v>
      </c>
      <c r="ASS18">
        <f t="shared" si="541"/>
        <v>0</v>
      </c>
      <c r="AST18">
        <f t="shared" si="542"/>
        <v>0</v>
      </c>
      <c r="ASU18">
        <f t="shared" si="543"/>
        <v>0</v>
      </c>
      <c r="ASV18">
        <f t="shared" si="544"/>
        <v>0</v>
      </c>
      <c r="ASW18">
        <f t="shared" si="545"/>
        <v>0</v>
      </c>
      <c r="ASX18">
        <f t="shared" si="546"/>
        <v>0</v>
      </c>
      <c r="ASY18">
        <f t="shared" si="547"/>
        <v>0</v>
      </c>
      <c r="ASZ18">
        <f t="shared" si="548"/>
        <v>0</v>
      </c>
      <c r="ATA18">
        <f t="shared" si="549"/>
        <v>0</v>
      </c>
      <c r="ATB18">
        <f t="shared" si="550"/>
        <v>0</v>
      </c>
      <c r="ATC18">
        <f t="shared" si="551"/>
        <v>0</v>
      </c>
      <c r="ATD18">
        <f t="shared" si="552"/>
        <v>0</v>
      </c>
      <c r="ATE18">
        <f t="shared" si="553"/>
        <v>0</v>
      </c>
      <c r="ATF18">
        <f t="shared" si="554"/>
        <v>0</v>
      </c>
      <c r="ATG18">
        <f t="shared" si="555"/>
        <v>0</v>
      </c>
      <c r="ATH18">
        <f t="shared" si="556"/>
        <v>0</v>
      </c>
      <c r="ATI18">
        <f t="shared" si="557"/>
        <v>0</v>
      </c>
      <c r="ATJ18">
        <f t="shared" si="558"/>
        <v>0</v>
      </c>
      <c r="ATK18">
        <f t="shared" si="559"/>
        <v>0</v>
      </c>
      <c r="ATL18">
        <f t="shared" si="560"/>
        <v>0</v>
      </c>
      <c r="ATM18">
        <f t="shared" si="561"/>
        <v>0</v>
      </c>
      <c r="ATN18">
        <f t="shared" si="562"/>
        <v>0</v>
      </c>
      <c r="ATO18">
        <f t="shared" si="563"/>
        <v>0</v>
      </c>
      <c r="ATP18">
        <f t="shared" si="564"/>
        <v>0</v>
      </c>
      <c r="ATQ18">
        <f t="shared" si="565"/>
        <v>0</v>
      </c>
      <c r="ATR18">
        <f t="shared" si="566"/>
        <v>0</v>
      </c>
      <c r="ATS18">
        <f t="shared" si="567"/>
        <v>0</v>
      </c>
      <c r="ATT18">
        <f t="shared" si="568"/>
        <v>0</v>
      </c>
      <c r="ATU18">
        <f t="shared" si="569"/>
        <v>0</v>
      </c>
      <c r="ATV18">
        <f t="shared" si="41"/>
        <v>0</v>
      </c>
      <c r="ATW18">
        <f t="shared" si="570"/>
        <v>0</v>
      </c>
      <c r="ATX18">
        <f t="shared" si="571"/>
        <v>0</v>
      </c>
      <c r="ATY18">
        <f t="shared" si="572"/>
        <v>0</v>
      </c>
      <c r="ATZ18">
        <f t="shared" si="573"/>
        <v>0</v>
      </c>
      <c r="AUA18">
        <f t="shared" si="574"/>
        <v>0</v>
      </c>
      <c r="AUB18">
        <f t="shared" si="575"/>
        <v>0</v>
      </c>
      <c r="AUC18">
        <f t="shared" si="576"/>
        <v>0</v>
      </c>
      <c r="AUD18">
        <f t="shared" si="577"/>
        <v>0</v>
      </c>
      <c r="AUE18">
        <f t="shared" si="578"/>
        <v>0</v>
      </c>
      <c r="AUF18">
        <f t="shared" si="579"/>
        <v>0</v>
      </c>
      <c r="AUG18">
        <f t="shared" si="580"/>
        <v>0</v>
      </c>
      <c r="AUH18">
        <f t="shared" si="581"/>
        <v>0</v>
      </c>
      <c r="AUI18">
        <f t="shared" si="582"/>
        <v>0</v>
      </c>
      <c r="AUJ18">
        <f t="shared" si="583"/>
        <v>0</v>
      </c>
      <c r="AUK18">
        <f t="shared" si="584"/>
        <v>0</v>
      </c>
      <c r="AUL18">
        <f t="shared" si="585"/>
        <v>0</v>
      </c>
      <c r="AUM18">
        <f t="shared" si="586"/>
        <v>0</v>
      </c>
      <c r="AUN18">
        <f t="shared" si="587"/>
        <v>0</v>
      </c>
      <c r="AUO18">
        <f t="shared" si="588"/>
        <v>0</v>
      </c>
      <c r="AUP18">
        <f t="shared" si="589"/>
        <v>0</v>
      </c>
      <c r="AUQ18">
        <f t="shared" si="590"/>
        <v>0</v>
      </c>
      <c r="AUR18">
        <f t="shared" si="591"/>
        <v>0</v>
      </c>
      <c r="AUS18">
        <f t="shared" si="592"/>
        <v>0</v>
      </c>
      <c r="AUT18">
        <f t="shared" si="593"/>
        <v>0</v>
      </c>
      <c r="AUU18">
        <f t="shared" si="594"/>
        <v>0</v>
      </c>
      <c r="AUV18">
        <f t="shared" si="595"/>
        <v>0</v>
      </c>
      <c r="AUW18">
        <f t="shared" si="596"/>
        <v>0</v>
      </c>
      <c r="AUX18">
        <f t="shared" si="597"/>
        <v>0</v>
      </c>
      <c r="AUY18">
        <f t="shared" si="598"/>
        <v>0</v>
      </c>
      <c r="AUZ18">
        <f t="shared" si="599"/>
        <v>0</v>
      </c>
      <c r="AVA18">
        <f t="shared" si="600"/>
        <v>0</v>
      </c>
      <c r="AVB18">
        <f t="shared" si="601"/>
        <v>0</v>
      </c>
      <c r="AVC18">
        <f t="shared" si="602"/>
        <v>0</v>
      </c>
      <c r="AVD18">
        <f t="shared" si="603"/>
        <v>0</v>
      </c>
      <c r="AVE18">
        <f t="shared" si="604"/>
        <v>0</v>
      </c>
      <c r="AVF18">
        <f t="shared" si="605"/>
        <v>0</v>
      </c>
      <c r="AVG18">
        <f t="shared" si="606"/>
        <v>0</v>
      </c>
      <c r="AVH18">
        <f t="shared" si="607"/>
        <v>0</v>
      </c>
      <c r="AVI18">
        <f t="shared" si="608"/>
        <v>0</v>
      </c>
      <c r="AVJ18">
        <f t="shared" si="609"/>
        <v>0</v>
      </c>
      <c r="AVK18">
        <f t="shared" si="610"/>
        <v>0</v>
      </c>
      <c r="AVL18">
        <f t="shared" si="611"/>
        <v>0</v>
      </c>
      <c r="AVM18">
        <f t="shared" si="612"/>
        <v>0</v>
      </c>
      <c r="AVN18">
        <f t="shared" si="613"/>
        <v>0</v>
      </c>
      <c r="AVO18">
        <f t="shared" si="614"/>
        <v>0</v>
      </c>
      <c r="AVP18">
        <f t="shared" si="615"/>
        <v>0</v>
      </c>
      <c r="AVQ18">
        <f t="shared" si="616"/>
        <v>0</v>
      </c>
      <c r="AVR18">
        <f t="shared" si="617"/>
        <v>0</v>
      </c>
      <c r="AVS18">
        <f t="shared" si="618"/>
        <v>0</v>
      </c>
      <c r="AVT18">
        <f t="shared" si="619"/>
        <v>0</v>
      </c>
      <c r="AVU18">
        <f t="shared" si="620"/>
        <v>0</v>
      </c>
      <c r="AVV18">
        <f t="shared" si="621"/>
        <v>0</v>
      </c>
      <c r="AVW18">
        <f t="shared" si="622"/>
        <v>0</v>
      </c>
      <c r="AVX18">
        <f t="shared" si="623"/>
        <v>0</v>
      </c>
      <c r="AVY18">
        <f t="shared" si="624"/>
        <v>0</v>
      </c>
      <c r="AVZ18">
        <f t="shared" si="625"/>
        <v>0</v>
      </c>
      <c r="AWA18">
        <f t="shared" si="626"/>
        <v>0</v>
      </c>
      <c r="AWB18">
        <f t="shared" si="627"/>
        <v>0</v>
      </c>
      <c r="AWC18">
        <f t="shared" si="628"/>
        <v>0</v>
      </c>
      <c r="AWD18">
        <f t="shared" si="629"/>
        <v>0</v>
      </c>
      <c r="AWE18">
        <f t="shared" si="630"/>
        <v>0</v>
      </c>
      <c r="AWF18">
        <f t="shared" si="631"/>
        <v>0</v>
      </c>
      <c r="AWG18">
        <f t="shared" si="632"/>
        <v>0</v>
      </c>
      <c r="AWH18">
        <f t="shared" si="42"/>
        <v>0</v>
      </c>
      <c r="AWI18">
        <f t="shared" si="633"/>
        <v>0</v>
      </c>
      <c r="AWJ18">
        <f t="shared" si="634"/>
        <v>0</v>
      </c>
      <c r="AWK18">
        <f t="shared" si="635"/>
        <v>0</v>
      </c>
      <c r="AWL18">
        <f t="shared" si="636"/>
        <v>0</v>
      </c>
      <c r="AWM18">
        <f t="shared" si="637"/>
        <v>0</v>
      </c>
      <c r="AWN18">
        <f t="shared" si="638"/>
        <v>0</v>
      </c>
      <c r="AWO18">
        <f t="shared" si="639"/>
        <v>0</v>
      </c>
      <c r="AWP18">
        <f t="shared" si="640"/>
        <v>0</v>
      </c>
      <c r="AWQ18">
        <f t="shared" si="641"/>
        <v>0</v>
      </c>
      <c r="AWR18">
        <f t="shared" si="642"/>
        <v>0</v>
      </c>
      <c r="AWS18">
        <f t="shared" si="643"/>
        <v>0</v>
      </c>
      <c r="AWT18">
        <f t="shared" si="644"/>
        <v>0</v>
      </c>
      <c r="AWU18">
        <f t="shared" si="645"/>
        <v>0</v>
      </c>
      <c r="AWV18">
        <f t="shared" si="646"/>
        <v>0</v>
      </c>
      <c r="AWW18">
        <f t="shared" si="647"/>
        <v>0</v>
      </c>
      <c r="AWX18">
        <f t="shared" si="648"/>
        <v>0</v>
      </c>
      <c r="AWY18">
        <f t="shared" si="649"/>
        <v>0</v>
      </c>
      <c r="AWZ18">
        <f t="shared" si="650"/>
        <v>0</v>
      </c>
      <c r="AXA18">
        <f t="shared" si="651"/>
        <v>0</v>
      </c>
      <c r="AXB18">
        <f t="shared" si="652"/>
        <v>0</v>
      </c>
      <c r="AXC18">
        <f t="shared" si="653"/>
        <v>0</v>
      </c>
      <c r="AXD18">
        <f t="shared" si="654"/>
        <v>0</v>
      </c>
      <c r="AXE18">
        <f t="shared" si="655"/>
        <v>0</v>
      </c>
      <c r="AXF18">
        <f t="shared" si="656"/>
        <v>0</v>
      </c>
      <c r="AXG18">
        <f t="shared" si="657"/>
        <v>0</v>
      </c>
      <c r="AXH18">
        <f t="shared" si="658"/>
        <v>0</v>
      </c>
      <c r="AXI18">
        <f t="shared" si="659"/>
        <v>0</v>
      </c>
      <c r="AXJ18">
        <f t="shared" si="660"/>
        <v>0</v>
      </c>
      <c r="AXK18">
        <f t="shared" si="661"/>
        <v>0</v>
      </c>
      <c r="AXL18">
        <f t="shared" si="662"/>
        <v>0</v>
      </c>
      <c r="AXM18">
        <f t="shared" si="663"/>
        <v>0</v>
      </c>
      <c r="AXN18">
        <f t="shared" si="664"/>
        <v>0</v>
      </c>
      <c r="AXO18">
        <f t="shared" si="665"/>
        <v>0</v>
      </c>
      <c r="AXP18">
        <f t="shared" si="666"/>
        <v>0</v>
      </c>
      <c r="AXQ18">
        <f t="shared" si="667"/>
        <v>0</v>
      </c>
      <c r="AXR18">
        <f t="shared" si="668"/>
        <v>0</v>
      </c>
      <c r="AXS18">
        <f t="shared" si="669"/>
        <v>0</v>
      </c>
      <c r="AXT18">
        <f t="shared" si="670"/>
        <v>0</v>
      </c>
      <c r="AXU18">
        <f t="shared" si="671"/>
        <v>0</v>
      </c>
      <c r="AXV18">
        <f t="shared" si="672"/>
        <v>0</v>
      </c>
      <c r="AXW18">
        <f t="shared" si="673"/>
        <v>0</v>
      </c>
      <c r="AXX18">
        <f t="shared" si="674"/>
        <v>0</v>
      </c>
      <c r="AXY18">
        <f t="shared" si="675"/>
        <v>0</v>
      </c>
      <c r="AXZ18">
        <f t="shared" si="676"/>
        <v>0</v>
      </c>
      <c r="AYA18">
        <f t="shared" si="677"/>
        <v>0</v>
      </c>
      <c r="AYB18">
        <f t="shared" si="678"/>
        <v>0</v>
      </c>
      <c r="AYC18">
        <f t="shared" si="679"/>
        <v>0</v>
      </c>
      <c r="AYD18">
        <f t="shared" si="680"/>
        <v>0</v>
      </c>
      <c r="AYE18">
        <f t="shared" si="681"/>
        <v>0</v>
      </c>
      <c r="AYF18">
        <f t="shared" si="682"/>
        <v>0</v>
      </c>
      <c r="AYG18">
        <f t="shared" si="683"/>
        <v>0</v>
      </c>
      <c r="AYH18">
        <f t="shared" si="684"/>
        <v>0</v>
      </c>
      <c r="AYI18">
        <f t="shared" si="685"/>
        <v>0</v>
      </c>
      <c r="AYJ18">
        <f t="shared" si="686"/>
        <v>0</v>
      </c>
      <c r="AYK18">
        <f t="shared" si="687"/>
        <v>0</v>
      </c>
      <c r="AYL18">
        <f t="shared" si="688"/>
        <v>0</v>
      </c>
      <c r="AYM18">
        <f t="shared" si="689"/>
        <v>0</v>
      </c>
      <c r="AYN18">
        <f t="shared" si="690"/>
        <v>0</v>
      </c>
      <c r="AYO18">
        <f t="shared" si="691"/>
        <v>0</v>
      </c>
      <c r="AYP18">
        <f t="shared" si="692"/>
        <v>0</v>
      </c>
      <c r="AYQ18">
        <f t="shared" si="693"/>
        <v>0</v>
      </c>
      <c r="AYR18">
        <f t="shared" si="694"/>
        <v>0</v>
      </c>
      <c r="AYS18">
        <f t="shared" si="695"/>
        <v>0</v>
      </c>
      <c r="AYT18">
        <f t="shared" si="43"/>
        <v>0</v>
      </c>
      <c r="AYU18">
        <f t="shared" si="696"/>
        <v>0</v>
      </c>
      <c r="AYV18">
        <f t="shared" si="697"/>
        <v>0</v>
      </c>
      <c r="AYW18">
        <f t="shared" si="698"/>
        <v>0</v>
      </c>
      <c r="AYX18">
        <f t="shared" si="699"/>
        <v>0</v>
      </c>
      <c r="AYY18">
        <f t="shared" si="700"/>
        <v>0</v>
      </c>
      <c r="AYZ18">
        <f t="shared" si="701"/>
        <v>0</v>
      </c>
      <c r="AZA18">
        <f t="shared" si="702"/>
        <v>0</v>
      </c>
      <c r="AZB18">
        <f t="shared" si="703"/>
        <v>0</v>
      </c>
      <c r="AZC18">
        <f t="shared" si="704"/>
        <v>0</v>
      </c>
      <c r="AZD18">
        <f t="shared" si="705"/>
        <v>0</v>
      </c>
      <c r="AZE18">
        <f t="shared" si="706"/>
        <v>0</v>
      </c>
      <c r="AZF18">
        <f t="shared" si="707"/>
        <v>0</v>
      </c>
      <c r="AZG18">
        <f t="shared" si="708"/>
        <v>0</v>
      </c>
      <c r="AZH18">
        <f t="shared" si="709"/>
        <v>0</v>
      </c>
      <c r="AZI18">
        <f t="shared" si="710"/>
        <v>0</v>
      </c>
      <c r="AZJ18">
        <f t="shared" si="711"/>
        <v>0</v>
      </c>
      <c r="AZK18">
        <f t="shared" si="712"/>
        <v>0</v>
      </c>
      <c r="AZL18">
        <f t="shared" si="713"/>
        <v>0</v>
      </c>
      <c r="AZM18">
        <f t="shared" si="714"/>
        <v>0</v>
      </c>
      <c r="AZN18">
        <f t="shared" si="715"/>
        <v>0</v>
      </c>
      <c r="AZO18">
        <f t="shared" si="716"/>
        <v>0</v>
      </c>
      <c r="AZP18">
        <f t="shared" si="717"/>
        <v>0</v>
      </c>
      <c r="AZQ18">
        <f t="shared" si="718"/>
        <v>0</v>
      </c>
      <c r="AZR18">
        <f t="shared" si="719"/>
        <v>0</v>
      </c>
      <c r="AZS18">
        <f t="shared" si="720"/>
        <v>0</v>
      </c>
      <c r="AZT18">
        <f t="shared" si="721"/>
        <v>0</v>
      </c>
      <c r="AZU18">
        <f t="shared" si="722"/>
        <v>0</v>
      </c>
      <c r="AZV18">
        <f t="shared" si="723"/>
        <v>0</v>
      </c>
      <c r="AZW18">
        <f t="shared" si="724"/>
        <v>0</v>
      </c>
      <c r="AZX18">
        <f t="shared" si="725"/>
        <v>0</v>
      </c>
      <c r="AZY18">
        <f t="shared" si="726"/>
        <v>0</v>
      </c>
      <c r="AZZ18">
        <f t="shared" si="727"/>
        <v>0</v>
      </c>
      <c r="BAA18">
        <f t="shared" si="728"/>
        <v>0</v>
      </c>
      <c r="BAB18">
        <f t="shared" si="729"/>
        <v>0</v>
      </c>
      <c r="BAC18">
        <f t="shared" si="730"/>
        <v>0</v>
      </c>
      <c r="BAD18">
        <f t="shared" si="731"/>
        <v>0</v>
      </c>
      <c r="BAE18">
        <f t="shared" si="732"/>
        <v>0</v>
      </c>
      <c r="BAF18">
        <f t="shared" si="733"/>
        <v>0</v>
      </c>
      <c r="BAG18">
        <f t="shared" si="734"/>
        <v>0</v>
      </c>
      <c r="BAH18">
        <f t="shared" si="735"/>
        <v>0</v>
      </c>
      <c r="BAI18">
        <f t="shared" si="736"/>
        <v>0</v>
      </c>
      <c r="BAJ18">
        <f t="shared" si="737"/>
        <v>0</v>
      </c>
      <c r="BAK18">
        <f t="shared" si="738"/>
        <v>0</v>
      </c>
      <c r="BAL18">
        <f t="shared" si="739"/>
        <v>0</v>
      </c>
      <c r="BAM18">
        <f t="shared" si="740"/>
        <v>0</v>
      </c>
      <c r="BAN18">
        <f t="shared" si="741"/>
        <v>0</v>
      </c>
      <c r="BAO18">
        <f t="shared" si="742"/>
        <v>0</v>
      </c>
      <c r="BAP18">
        <f t="shared" si="743"/>
        <v>0</v>
      </c>
      <c r="BAQ18">
        <f t="shared" si="744"/>
        <v>0</v>
      </c>
      <c r="BAR18">
        <f t="shared" si="745"/>
        <v>0</v>
      </c>
      <c r="BAS18">
        <f t="shared" si="746"/>
        <v>0</v>
      </c>
      <c r="BAT18">
        <f t="shared" si="747"/>
        <v>0</v>
      </c>
      <c r="BAU18">
        <f t="shared" si="748"/>
        <v>0</v>
      </c>
      <c r="BAV18">
        <f t="shared" si="749"/>
        <v>0</v>
      </c>
      <c r="BAW18">
        <f t="shared" si="750"/>
        <v>0</v>
      </c>
      <c r="BAX18">
        <f t="shared" si="751"/>
        <v>0</v>
      </c>
      <c r="BAY18">
        <f t="shared" si="752"/>
        <v>0</v>
      </c>
      <c r="BAZ18">
        <f t="shared" si="753"/>
        <v>0</v>
      </c>
      <c r="BBA18">
        <f t="shared" si="754"/>
        <v>0</v>
      </c>
      <c r="BBB18">
        <f t="shared" si="755"/>
        <v>0</v>
      </c>
      <c r="BBC18">
        <f t="shared" si="756"/>
        <v>0</v>
      </c>
      <c r="BBD18">
        <f t="shared" si="757"/>
        <v>0</v>
      </c>
      <c r="BBE18">
        <f t="shared" si="758"/>
        <v>0</v>
      </c>
      <c r="BBF18">
        <f t="shared" si="44"/>
        <v>0</v>
      </c>
      <c r="BBG18">
        <f t="shared" si="759"/>
        <v>0</v>
      </c>
      <c r="BBH18">
        <f t="shared" si="760"/>
        <v>0</v>
      </c>
      <c r="BBI18">
        <f t="shared" si="761"/>
        <v>0</v>
      </c>
      <c r="BBJ18">
        <f t="shared" si="762"/>
        <v>0</v>
      </c>
      <c r="BBK18">
        <f t="shared" si="763"/>
        <v>0</v>
      </c>
      <c r="BBL18">
        <f t="shared" si="764"/>
        <v>0</v>
      </c>
      <c r="BBM18">
        <f t="shared" si="765"/>
        <v>0</v>
      </c>
      <c r="BBN18">
        <f t="shared" si="766"/>
        <v>0</v>
      </c>
      <c r="BBO18">
        <f t="shared" si="767"/>
        <v>0</v>
      </c>
      <c r="BBP18">
        <f t="shared" si="768"/>
        <v>0</v>
      </c>
      <c r="BBQ18">
        <f t="shared" si="769"/>
        <v>0</v>
      </c>
      <c r="BBR18">
        <f t="shared" si="770"/>
        <v>0</v>
      </c>
      <c r="BBS18">
        <f t="shared" si="771"/>
        <v>0</v>
      </c>
      <c r="BBT18">
        <f t="shared" si="772"/>
        <v>0</v>
      </c>
      <c r="BBU18">
        <f t="shared" si="773"/>
        <v>0</v>
      </c>
      <c r="BBV18">
        <f t="shared" si="774"/>
        <v>0</v>
      </c>
      <c r="BBW18">
        <f t="shared" si="775"/>
        <v>0</v>
      </c>
      <c r="BBX18">
        <f t="shared" si="776"/>
        <v>0</v>
      </c>
      <c r="BBY18">
        <f t="shared" si="777"/>
        <v>0</v>
      </c>
      <c r="BBZ18">
        <f t="shared" si="778"/>
        <v>0</v>
      </c>
      <c r="BCA18">
        <f t="shared" si="779"/>
        <v>0</v>
      </c>
      <c r="BCB18">
        <f t="shared" si="780"/>
        <v>0</v>
      </c>
      <c r="BCC18">
        <f t="shared" si="781"/>
        <v>0</v>
      </c>
      <c r="BCD18">
        <f t="shared" si="782"/>
        <v>0</v>
      </c>
      <c r="BCE18">
        <f t="shared" si="783"/>
        <v>0</v>
      </c>
      <c r="BCF18">
        <f t="shared" si="784"/>
        <v>0</v>
      </c>
      <c r="BCG18">
        <f t="shared" si="785"/>
        <v>0</v>
      </c>
      <c r="BCH18">
        <f t="shared" si="786"/>
        <v>0</v>
      </c>
      <c r="BCI18">
        <f t="shared" si="787"/>
        <v>0</v>
      </c>
      <c r="BCJ18">
        <f t="shared" si="788"/>
        <v>0</v>
      </c>
      <c r="BCK18">
        <f t="shared" si="789"/>
        <v>0</v>
      </c>
      <c r="BCL18">
        <f t="shared" si="790"/>
        <v>0</v>
      </c>
      <c r="BCM18">
        <f t="shared" si="791"/>
        <v>0</v>
      </c>
      <c r="BCN18">
        <f t="shared" si="792"/>
        <v>0</v>
      </c>
      <c r="BCO18">
        <f t="shared" si="793"/>
        <v>0</v>
      </c>
      <c r="BCP18">
        <f t="shared" si="794"/>
        <v>0</v>
      </c>
      <c r="BCQ18">
        <f t="shared" si="795"/>
        <v>0</v>
      </c>
      <c r="BCR18">
        <f t="shared" si="796"/>
        <v>0</v>
      </c>
      <c r="BCS18">
        <f t="shared" si="797"/>
        <v>0</v>
      </c>
      <c r="BCT18">
        <f t="shared" si="798"/>
        <v>0</v>
      </c>
      <c r="BCU18">
        <f t="shared" si="799"/>
        <v>0</v>
      </c>
      <c r="BCV18">
        <f t="shared" si="800"/>
        <v>0</v>
      </c>
      <c r="BCW18">
        <f t="shared" si="801"/>
        <v>0</v>
      </c>
      <c r="BCX18">
        <f t="shared" si="802"/>
        <v>0</v>
      </c>
      <c r="BCY18">
        <f t="shared" si="803"/>
        <v>0</v>
      </c>
      <c r="BCZ18">
        <f t="shared" si="804"/>
        <v>0</v>
      </c>
      <c r="BDA18">
        <f t="shared" si="805"/>
        <v>0</v>
      </c>
      <c r="BDB18">
        <f t="shared" si="806"/>
        <v>0</v>
      </c>
      <c r="BDC18">
        <f t="shared" si="807"/>
        <v>0</v>
      </c>
      <c r="BDD18">
        <f t="shared" si="808"/>
        <v>0</v>
      </c>
      <c r="BDE18">
        <f t="shared" si="809"/>
        <v>0</v>
      </c>
      <c r="BDF18">
        <f t="shared" si="810"/>
        <v>0</v>
      </c>
      <c r="BDG18">
        <f t="shared" si="811"/>
        <v>0</v>
      </c>
      <c r="BDH18">
        <f t="shared" si="812"/>
        <v>0</v>
      </c>
      <c r="BDI18">
        <f t="shared" si="813"/>
        <v>0</v>
      </c>
      <c r="BDJ18">
        <f t="shared" si="814"/>
        <v>0</v>
      </c>
      <c r="BDK18">
        <f t="shared" si="815"/>
        <v>0</v>
      </c>
      <c r="BDL18">
        <f t="shared" si="816"/>
        <v>0</v>
      </c>
      <c r="BDM18">
        <f t="shared" si="817"/>
        <v>0</v>
      </c>
      <c r="BDN18">
        <f t="shared" si="818"/>
        <v>0</v>
      </c>
      <c r="BDO18">
        <f t="shared" si="819"/>
        <v>0</v>
      </c>
      <c r="BDP18">
        <f t="shared" si="820"/>
        <v>0</v>
      </c>
      <c r="BDQ18">
        <f t="shared" si="821"/>
        <v>0</v>
      </c>
      <c r="BDR18">
        <f t="shared" si="45"/>
        <v>0</v>
      </c>
      <c r="BDS18">
        <f t="shared" si="822"/>
        <v>0</v>
      </c>
      <c r="BDT18">
        <f t="shared" si="823"/>
        <v>0</v>
      </c>
      <c r="BDU18">
        <f t="shared" si="824"/>
        <v>0</v>
      </c>
      <c r="BDV18">
        <f t="shared" si="825"/>
        <v>0</v>
      </c>
      <c r="BDW18">
        <f t="shared" si="826"/>
        <v>0</v>
      </c>
      <c r="BDX18">
        <f t="shared" si="827"/>
        <v>0</v>
      </c>
      <c r="BDY18">
        <f t="shared" si="828"/>
        <v>0</v>
      </c>
      <c r="BDZ18">
        <f t="shared" si="829"/>
        <v>0</v>
      </c>
      <c r="BEA18">
        <f t="shared" si="830"/>
        <v>0</v>
      </c>
      <c r="BEB18">
        <f t="shared" si="831"/>
        <v>0</v>
      </c>
      <c r="BEC18">
        <f t="shared" si="832"/>
        <v>0</v>
      </c>
      <c r="BED18">
        <f t="shared" si="833"/>
        <v>0</v>
      </c>
      <c r="BEE18">
        <f t="shared" si="834"/>
        <v>0</v>
      </c>
      <c r="BEF18">
        <f t="shared" si="835"/>
        <v>0</v>
      </c>
      <c r="BEG18">
        <f t="shared" si="836"/>
        <v>0</v>
      </c>
      <c r="BEH18">
        <f t="shared" si="837"/>
        <v>0</v>
      </c>
      <c r="BEI18">
        <f t="shared" si="838"/>
        <v>0</v>
      </c>
      <c r="BEJ18">
        <f t="shared" si="839"/>
        <v>0</v>
      </c>
      <c r="BEK18">
        <f t="shared" si="840"/>
        <v>0</v>
      </c>
      <c r="BEL18">
        <f t="shared" si="841"/>
        <v>0</v>
      </c>
      <c r="BEM18">
        <f t="shared" si="842"/>
        <v>0</v>
      </c>
      <c r="BEN18">
        <f t="shared" si="843"/>
        <v>0</v>
      </c>
      <c r="BEO18">
        <f t="shared" si="844"/>
        <v>0</v>
      </c>
      <c r="BEP18">
        <f t="shared" si="845"/>
        <v>0</v>
      </c>
      <c r="BEQ18">
        <f t="shared" si="846"/>
        <v>0</v>
      </c>
      <c r="BER18">
        <f t="shared" si="847"/>
        <v>0</v>
      </c>
      <c r="BES18">
        <f t="shared" si="848"/>
        <v>0</v>
      </c>
      <c r="BET18">
        <f t="shared" si="849"/>
        <v>0</v>
      </c>
      <c r="BEU18">
        <f t="shared" si="850"/>
        <v>0</v>
      </c>
      <c r="BEV18">
        <f t="shared" si="851"/>
        <v>0</v>
      </c>
      <c r="BEW18">
        <f t="shared" si="852"/>
        <v>0</v>
      </c>
      <c r="BEX18">
        <f t="shared" si="853"/>
        <v>0</v>
      </c>
      <c r="BEY18">
        <f t="shared" si="854"/>
        <v>0</v>
      </c>
      <c r="BEZ18">
        <f t="shared" si="855"/>
        <v>0</v>
      </c>
      <c r="BFA18">
        <f t="shared" si="856"/>
        <v>0</v>
      </c>
      <c r="BFB18">
        <f t="shared" si="857"/>
        <v>0</v>
      </c>
      <c r="BFC18">
        <f t="shared" si="858"/>
        <v>0</v>
      </c>
      <c r="BFD18">
        <f t="shared" si="859"/>
        <v>0</v>
      </c>
      <c r="BFE18">
        <f t="shared" si="860"/>
        <v>0</v>
      </c>
      <c r="BFF18">
        <f t="shared" si="861"/>
        <v>0</v>
      </c>
      <c r="BFG18">
        <f t="shared" si="862"/>
        <v>0</v>
      </c>
      <c r="BFH18">
        <f t="shared" si="863"/>
        <v>0</v>
      </c>
      <c r="BFI18">
        <f t="shared" si="864"/>
        <v>0</v>
      </c>
      <c r="BFJ18">
        <f t="shared" si="865"/>
        <v>0</v>
      </c>
      <c r="BFK18">
        <f t="shared" si="866"/>
        <v>0</v>
      </c>
      <c r="BFL18">
        <f t="shared" si="867"/>
        <v>0</v>
      </c>
      <c r="BFM18">
        <f t="shared" si="868"/>
        <v>0</v>
      </c>
      <c r="BFN18">
        <f t="shared" si="869"/>
        <v>0</v>
      </c>
      <c r="BFO18">
        <f t="shared" si="870"/>
        <v>0</v>
      </c>
      <c r="BFP18">
        <f t="shared" si="871"/>
        <v>0</v>
      </c>
      <c r="BFQ18">
        <f t="shared" si="872"/>
        <v>0</v>
      </c>
      <c r="BFR18">
        <f t="shared" si="873"/>
        <v>0</v>
      </c>
      <c r="BFS18">
        <f t="shared" si="874"/>
        <v>0</v>
      </c>
      <c r="BFT18">
        <f t="shared" si="875"/>
        <v>0</v>
      </c>
      <c r="BFU18">
        <f t="shared" si="876"/>
        <v>0</v>
      </c>
      <c r="BFV18">
        <f t="shared" si="877"/>
        <v>0</v>
      </c>
      <c r="BFW18">
        <f t="shared" si="878"/>
        <v>0</v>
      </c>
      <c r="BFX18">
        <f t="shared" si="879"/>
        <v>0</v>
      </c>
      <c r="BFY18">
        <f t="shared" si="880"/>
        <v>0</v>
      </c>
      <c r="BFZ18">
        <f t="shared" si="881"/>
        <v>0</v>
      </c>
      <c r="BGA18">
        <f t="shared" si="882"/>
        <v>0</v>
      </c>
      <c r="BGB18">
        <f t="shared" si="883"/>
        <v>0</v>
      </c>
      <c r="BGC18">
        <f t="shared" si="884"/>
        <v>0</v>
      </c>
      <c r="BGD18">
        <f t="shared" si="46"/>
        <v>0</v>
      </c>
      <c r="BGE18">
        <f t="shared" si="885"/>
        <v>0</v>
      </c>
      <c r="BGF18">
        <f t="shared" si="886"/>
        <v>0</v>
      </c>
      <c r="BGG18">
        <f t="shared" si="887"/>
        <v>0</v>
      </c>
      <c r="BGH18">
        <f t="shared" si="888"/>
        <v>0</v>
      </c>
      <c r="BGI18">
        <f t="shared" si="889"/>
        <v>0</v>
      </c>
      <c r="BGJ18">
        <f t="shared" si="890"/>
        <v>0</v>
      </c>
      <c r="BGK18">
        <f t="shared" si="891"/>
        <v>0</v>
      </c>
      <c r="BGL18">
        <f t="shared" si="892"/>
        <v>0</v>
      </c>
      <c r="BGM18">
        <f t="shared" si="893"/>
        <v>0</v>
      </c>
      <c r="BGN18">
        <f t="shared" si="894"/>
        <v>0</v>
      </c>
      <c r="BGO18">
        <f t="shared" si="895"/>
        <v>0</v>
      </c>
      <c r="BGP18">
        <f t="shared" si="896"/>
        <v>0</v>
      </c>
      <c r="BGQ18">
        <f t="shared" si="897"/>
        <v>0</v>
      </c>
      <c r="BGR18">
        <f t="shared" si="898"/>
        <v>0</v>
      </c>
      <c r="BGS18">
        <f t="shared" si="899"/>
        <v>0</v>
      </c>
      <c r="BGT18">
        <f t="shared" si="900"/>
        <v>0</v>
      </c>
      <c r="BGU18">
        <f t="shared" si="901"/>
        <v>0</v>
      </c>
      <c r="BGV18">
        <f t="shared" si="902"/>
        <v>0</v>
      </c>
      <c r="BGW18">
        <f t="shared" si="903"/>
        <v>0</v>
      </c>
      <c r="BGX18">
        <f t="shared" si="904"/>
        <v>0</v>
      </c>
      <c r="BGY18">
        <f t="shared" si="905"/>
        <v>0</v>
      </c>
      <c r="BGZ18">
        <f t="shared" si="906"/>
        <v>0</v>
      </c>
      <c r="BHA18">
        <f t="shared" si="907"/>
        <v>0</v>
      </c>
      <c r="BHB18">
        <f t="shared" si="908"/>
        <v>0</v>
      </c>
      <c r="BHC18">
        <f t="shared" si="909"/>
        <v>0</v>
      </c>
      <c r="BHD18">
        <f t="shared" si="910"/>
        <v>0</v>
      </c>
      <c r="BHE18">
        <f t="shared" si="911"/>
        <v>0</v>
      </c>
      <c r="BHF18">
        <f t="shared" si="912"/>
        <v>0</v>
      </c>
      <c r="BHG18">
        <f t="shared" si="913"/>
        <v>0</v>
      </c>
      <c r="BHH18">
        <f t="shared" si="914"/>
        <v>0</v>
      </c>
      <c r="BHI18">
        <f t="shared" si="915"/>
        <v>0</v>
      </c>
      <c r="BHJ18">
        <f t="shared" si="916"/>
        <v>0</v>
      </c>
      <c r="BHK18">
        <f t="shared" si="917"/>
        <v>0</v>
      </c>
      <c r="BHL18">
        <f t="shared" si="918"/>
        <v>0</v>
      </c>
      <c r="BHM18">
        <f t="shared" si="919"/>
        <v>0</v>
      </c>
      <c r="BHN18">
        <f t="shared" si="920"/>
        <v>0</v>
      </c>
      <c r="BHO18">
        <f t="shared" si="921"/>
        <v>0</v>
      </c>
      <c r="BHP18">
        <f t="shared" si="922"/>
        <v>0</v>
      </c>
      <c r="BHQ18">
        <f t="shared" si="923"/>
        <v>0</v>
      </c>
      <c r="BHR18">
        <f t="shared" si="924"/>
        <v>0</v>
      </c>
      <c r="BHS18">
        <f t="shared" si="925"/>
        <v>0</v>
      </c>
      <c r="BHT18">
        <f t="shared" si="926"/>
        <v>0</v>
      </c>
      <c r="BHU18">
        <f t="shared" si="927"/>
        <v>0</v>
      </c>
      <c r="BHV18">
        <f t="shared" si="928"/>
        <v>0</v>
      </c>
      <c r="BHW18">
        <f t="shared" si="929"/>
        <v>0</v>
      </c>
      <c r="BHX18">
        <f t="shared" si="930"/>
        <v>0</v>
      </c>
      <c r="BHY18">
        <f t="shared" si="931"/>
        <v>0</v>
      </c>
      <c r="BHZ18">
        <f t="shared" si="932"/>
        <v>0</v>
      </c>
      <c r="BIA18">
        <f t="shared" si="933"/>
        <v>0</v>
      </c>
      <c r="BIB18">
        <f t="shared" si="934"/>
        <v>0</v>
      </c>
      <c r="BIC18">
        <f t="shared" si="935"/>
        <v>0</v>
      </c>
      <c r="BID18">
        <f t="shared" si="936"/>
        <v>0</v>
      </c>
      <c r="BIE18">
        <f t="shared" si="937"/>
        <v>0</v>
      </c>
      <c r="BIF18">
        <f t="shared" si="938"/>
        <v>0</v>
      </c>
      <c r="BIG18">
        <f t="shared" si="939"/>
        <v>0</v>
      </c>
      <c r="BIH18">
        <f t="shared" si="940"/>
        <v>0</v>
      </c>
      <c r="BII18">
        <f t="shared" si="941"/>
        <v>0</v>
      </c>
      <c r="BIJ18">
        <f t="shared" si="942"/>
        <v>0</v>
      </c>
      <c r="BIK18">
        <f t="shared" si="943"/>
        <v>0</v>
      </c>
      <c r="BIL18">
        <f t="shared" si="944"/>
        <v>0</v>
      </c>
      <c r="BIM18">
        <f t="shared" si="945"/>
        <v>0</v>
      </c>
      <c r="BIN18">
        <f t="shared" si="946"/>
        <v>0</v>
      </c>
      <c r="BIO18">
        <f t="shared" si="947"/>
        <v>0</v>
      </c>
      <c r="BIP18">
        <f t="shared" si="47"/>
        <v>0</v>
      </c>
      <c r="BIQ18">
        <f t="shared" si="948"/>
        <v>0</v>
      </c>
      <c r="BIR18">
        <f t="shared" si="949"/>
        <v>0</v>
      </c>
      <c r="BIS18">
        <f t="shared" si="950"/>
        <v>0</v>
      </c>
      <c r="BIT18">
        <f t="shared" si="951"/>
        <v>0</v>
      </c>
      <c r="BIU18">
        <f t="shared" si="952"/>
        <v>0</v>
      </c>
      <c r="BIV18">
        <f t="shared" si="953"/>
        <v>0</v>
      </c>
      <c r="BIW18">
        <f t="shared" si="954"/>
        <v>0</v>
      </c>
      <c r="BIX18">
        <f t="shared" si="955"/>
        <v>0</v>
      </c>
      <c r="BIY18">
        <f t="shared" si="956"/>
        <v>0</v>
      </c>
      <c r="BIZ18">
        <f t="shared" si="957"/>
        <v>0</v>
      </c>
      <c r="BJA18">
        <f t="shared" si="958"/>
        <v>0</v>
      </c>
      <c r="BJB18">
        <f t="shared" si="959"/>
        <v>0</v>
      </c>
      <c r="BJC18">
        <f t="shared" si="960"/>
        <v>0</v>
      </c>
      <c r="BJD18">
        <f t="shared" si="961"/>
        <v>0</v>
      </c>
      <c r="BJE18">
        <f t="shared" si="962"/>
        <v>0</v>
      </c>
      <c r="BJF18">
        <f t="shared" si="963"/>
        <v>0</v>
      </c>
      <c r="BJG18">
        <f t="shared" si="964"/>
        <v>0</v>
      </c>
      <c r="BJH18">
        <f t="shared" si="965"/>
        <v>0</v>
      </c>
      <c r="BJI18">
        <f t="shared" si="966"/>
        <v>0</v>
      </c>
      <c r="BJJ18">
        <f t="shared" si="967"/>
        <v>0</v>
      </c>
      <c r="BJK18">
        <f t="shared" si="968"/>
        <v>0</v>
      </c>
      <c r="BJL18">
        <f t="shared" si="969"/>
        <v>0</v>
      </c>
      <c r="BJM18">
        <f t="shared" si="970"/>
        <v>0</v>
      </c>
      <c r="BJN18">
        <f t="shared" si="971"/>
        <v>0</v>
      </c>
      <c r="BJO18">
        <f t="shared" si="972"/>
        <v>0</v>
      </c>
      <c r="BJP18">
        <f t="shared" si="973"/>
        <v>0</v>
      </c>
      <c r="BJQ18">
        <f t="shared" si="974"/>
        <v>0</v>
      </c>
      <c r="BJR18">
        <f t="shared" si="975"/>
        <v>0</v>
      </c>
      <c r="BJS18">
        <f t="shared" si="976"/>
        <v>0</v>
      </c>
      <c r="BJT18">
        <f t="shared" si="977"/>
        <v>0</v>
      </c>
      <c r="BJU18">
        <f t="shared" si="978"/>
        <v>0</v>
      </c>
      <c r="BJV18">
        <f t="shared" si="979"/>
        <v>0</v>
      </c>
      <c r="BJW18">
        <f t="shared" si="980"/>
        <v>0</v>
      </c>
      <c r="BJX18">
        <f t="shared" si="981"/>
        <v>0</v>
      </c>
      <c r="BJY18">
        <f t="shared" si="982"/>
        <v>0</v>
      </c>
      <c r="BJZ18">
        <f t="shared" si="983"/>
        <v>0</v>
      </c>
      <c r="BKA18">
        <f t="shared" si="984"/>
        <v>0</v>
      </c>
      <c r="BKB18">
        <f t="shared" si="985"/>
        <v>0</v>
      </c>
      <c r="BKC18">
        <f t="shared" si="986"/>
        <v>0</v>
      </c>
      <c r="BKD18">
        <f t="shared" si="987"/>
        <v>0</v>
      </c>
      <c r="BKE18">
        <f t="shared" si="988"/>
        <v>0</v>
      </c>
      <c r="BKF18">
        <f t="shared" si="989"/>
        <v>0</v>
      </c>
      <c r="BKG18">
        <f t="shared" si="990"/>
        <v>0</v>
      </c>
      <c r="BKH18">
        <f t="shared" si="991"/>
        <v>0</v>
      </c>
      <c r="BKI18">
        <f t="shared" si="992"/>
        <v>0</v>
      </c>
      <c r="BKJ18">
        <f t="shared" si="993"/>
        <v>0</v>
      </c>
      <c r="BKK18">
        <f t="shared" si="994"/>
        <v>0</v>
      </c>
      <c r="BKL18">
        <f t="shared" si="995"/>
        <v>0</v>
      </c>
      <c r="BKM18">
        <f t="shared" si="996"/>
        <v>0</v>
      </c>
      <c r="BKN18">
        <f t="shared" si="997"/>
        <v>0</v>
      </c>
      <c r="BKO18">
        <f t="shared" si="998"/>
        <v>0</v>
      </c>
      <c r="BKP18">
        <f t="shared" si="999"/>
        <v>0</v>
      </c>
      <c r="BKQ18">
        <f t="shared" si="1000"/>
        <v>0</v>
      </c>
      <c r="BKR18">
        <f t="shared" si="1001"/>
        <v>0</v>
      </c>
      <c r="BKS18">
        <f t="shared" si="1002"/>
        <v>0</v>
      </c>
      <c r="BKT18">
        <f t="shared" si="1003"/>
        <v>0</v>
      </c>
      <c r="BKU18">
        <f t="shared" si="1004"/>
        <v>0</v>
      </c>
      <c r="BKV18">
        <f t="shared" si="1005"/>
        <v>0</v>
      </c>
      <c r="BKW18">
        <f t="shared" si="1006"/>
        <v>0</v>
      </c>
      <c r="BKX18">
        <f t="shared" si="1007"/>
        <v>0</v>
      </c>
      <c r="BKY18">
        <f t="shared" si="1008"/>
        <v>0</v>
      </c>
      <c r="BKZ18">
        <f t="shared" si="1009"/>
        <v>0</v>
      </c>
      <c r="BLA18">
        <f t="shared" si="1010"/>
        <v>0</v>
      </c>
      <c r="BLB18">
        <f t="shared" si="48"/>
        <v>0</v>
      </c>
      <c r="BLC18">
        <f t="shared" si="1011"/>
        <v>0</v>
      </c>
      <c r="BLD18">
        <f t="shared" si="1012"/>
        <v>0</v>
      </c>
      <c r="BLE18">
        <f t="shared" si="1013"/>
        <v>0</v>
      </c>
      <c r="BLF18">
        <f t="shared" si="1014"/>
        <v>0</v>
      </c>
      <c r="BLG18">
        <f t="shared" si="1015"/>
        <v>0</v>
      </c>
      <c r="BLH18">
        <f t="shared" si="1016"/>
        <v>0</v>
      </c>
      <c r="BLI18">
        <f t="shared" si="1017"/>
        <v>0</v>
      </c>
      <c r="BLJ18">
        <f t="shared" si="1018"/>
        <v>0</v>
      </c>
      <c r="BLK18">
        <f t="shared" si="1019"/>
        <v>0</v>
      </c>
      <c r="BLL18">
        <f t="shared" si="1020"/>
        <v>0</v>
      </c>
      <c r="BLM18">
        <f t="shared" si="1021"/>
        <v>0</v>
      </c>
      <c r="BLN18">
        <f t="shared" si="1022"/>
        <v>0</v>
      </c>
      <c r="BLO18">
        <f t="shared" si="1023"/>
        <v>0</v>
      </c>
      <c r="BLP18">
        <f t="shared" si="1024"/>
        <v>0</v>
      </c>
      <c r="BLQ18">
        <f t="shared" si="1025"/>
        <v>0</v>
      </c>
      <c r="BLR18">
        <f t="shared" si="1026"/>
        <v>0</v>
      </c>
      <c r="BLS18">
        <f t="shared" si="1027"/>
        <v>0</v>
      </c>
      <c r="BLT18">
        <f t="shared" si="1028"/>
        <v>0</v>
      </c>
      <c r="BLU18">
        <f t="shared" si="1029"/>
        <v>0</v>
      </c>
      <c r="BLV18">
        <f t="shared" si="1030"/>
        <v>0</v>
      </c>
      <c r="BLW18">
        <f t="shared" si="1031"/>
        <v>0</v>
      </c>
      <c r="BLX18">
        <f t="shared" si="1032"/>
        <v>0</v>
      </c>
      <c r="BLY18">
        <f t="shared" si="1033"/>
        <v>0</v>
      </c>
      <c r="BLZ18">
        <f t="shared" si="1034"/>
        <v>0</v>
      </c>
      <c r="BMA18">
        <f t="shared" si="1035"/>
        <v>0</v>
      </c>
      <c r="BMB18">
        <f t="shared" si="1036"/>
        <v>0</v>
      </c>
      <c r="BMC18">
        <f t="shared" si="1037"/>
        <v>0</v>
      </c>
      <c r="BMD18">
        <f t="shared" si="1038"/>
        <v>0</v>
      </c>
      <c r="BME18">
        <f t="shared" si="1039"/>
        <v>0</v>
      </c>
      <c r="BMF18">
        <f t="shared" si="1040"/>
        <v>0</v>
      </c>
      <c r="BMG18">
        <f t="shared" si="1041"/>
        <v>0</v>
      </c>
      <c r="BMH18">
        <f t="shared" si="1042"/>
        <v>0</v>
      </c>
      <c r="BMI18">
        <f t="shared" si="1043"/>
        <v>0</v>
      </c>
      <c r="BMJ18">
        <f t="shared" si="1044"/>
        <v>0</v>
      </c>
      <c r="BMK18">
        <f t="shared" si="1045"/>
        <v>0</v>
      </c>
      <c r="BML18">
        <f t="shared" si="1046"/>
        <v>0</v>
      </c>
      <c r="BMM18">
        <f t="shared" si="1047"/>
        <v>0</v>
      </c>
      <c r="BMN18">
        <f t="shared" si="1048"/>
        <v>0</v>
      </c>
      <c r="BMO18">
        <f t="shared" si="1049"/>
        <v>0</v>
      </c>
      <c r="BMP18">
        <f t="shared" si="1050"/>
        <v>0</v>
      </c>
      <c r="BMQ18">
        <f t="shared" si="1051"/>
        <v>0</v>
      </c>
      <c r="BMR18">
        <f t="shared" si="1052"/>
        <v>0</v>
      </c>
      <c r="BMS18">
        <f t="shared" si="1053"/>
        <v>0</v>
      </c>
      <c r="BMT18">
        <f t="shared" si="1054"/>
        <v>0</v>
      </c>
      <c r="BMU18">
        <f t="shared" si="1055"/>
        <v>0</v>
      </c>
      <c r="BMV18">
        <f t="shared" si="1056"/>
        <v>0</v>
      </c>
      <c r="BMW18">
        <f t="shared" si="1057"/>
        <v>0</v>
      </c>
      <c r="BMX18">
        <f t="shared" si="1058"/>
        <v>0</v>
      </c>
      <c r="BMY18">
        <f t="shared" si="1059"/>
        <v>0</v>
      </c>
      <c r="BMZ18">
        <f t="shared" si="1060"/>
        <v>0</v>
      </c>
      <c r="BNA18">
        <f t="shared" si="1061"/>
        <v>0</v>
      </c>
      <c r="BNB18">
        <f t="shared" si="1062"/>
        <v>0</v>
      </c>
      <c r="BNC18">
        <f t="shared" si="1063"/>
        <v>0</v>
      </c>
      <c r="BND18">
        <f t="shared" si="1064"/>
        <v>0</v>
      </c>
      <c r="BNE18">
        <f t="shared" si="1065"/>
        <v>0</v>
      </c>
      <c r="BNF18">
        <f t="shared" si="1066"/>
        <v>0</v>
      </c>
      <c r="BNG18">
        <f t="shared" si="1067"/>
        <v>0</v>
      </c>
      <c r="BNH18">
        <f t="shared" si="1068"/>
        <v>0</v>
      </c>
      <c r="BNI18">
        <f t="shared" si="1069"/>
        <v>0</v>
      </c>
      <c r="BNJ18">
        <f t="shared" si="1070"/>
        <v>0</v>
      </c>
      <c r="BNK18">
        <f t="shared" si="1071"/>
        <v>0</v>
      </c>
      <c r="BNL18">
        <f t="shared" si="1072"/>
        <v>0</v>
      </c>
      <c r="BNM18">
        <f t="shared" si="1073"/>
        <v>0</v>
      </c>
      <c r="BNN18">
        <f t="shared" si="49"/>
        <v>0</v>
      </c>
      <c r="BNO18">
        <f t="shared" si="1074"/>
        <v>0</v>
      </c>
      <c r="BNP18">
        <f t="shared" si="1075"/>
        <v>0</v>
      </c>
      <c r="BNQ18">
        <f t="shared" si="1076"/>
        <v>0</v>
      </c>
      <c r="BNR18">
        <f t="shared" si="1077"/>
        <v>0</v>
      </c>
      <c r="BNS18">
        <f t="shared" si="1078"/>
        <v>0</v>
      </c>
      <c r="BNT18">
        <f t="shared" si="1079"/>
        <v>0</v>
      </c>
      <c r="BNU18">
        <f t="shared" si="1080"/>
        <v>0</v>
      </c>
      <c r="BNV18">
        <f t="shared" si="1081"/>
        <v>0</v>
      </c>
      <c r="BNW18">
        <f t="shared" si="1082"/>
        <v>0</v>
      </c>
      <c r="BNX18">
        <f t="shared" si="1083"/>
        <v>0</v>
      </c>
      <c r="BNY18">
        <f t="shared" si="1084"/>
        <v>0</v>
      </c>
      <c r="BNZ18">
        <f t="shared" si="1085"/>
        <v>0</v>
      </c>
      <c r="BOA18">
        <f t="shared" si="1086"/>
        <v>0</v>
      </c>
      <c r="BOB18">
        <f t="shared" si="1087"/>
        <v>0</v>
      </c>
      <c r="BOC18">
        <f t="shared" si="1088"/>
        <v>0</v>
      </c>
      <c r="BOD18">
        <f t="shared" si="1089"/>
        <v>0</v>
      </c>
      <c r="BOE18">
        <f t="shared" si="1090"/>
        <v>0</v>
      </c>
      <c r="BOF18">
        <f t="shared" si="1091"/>
        <v>0</v>
      </c>
      <c r="BOG18">
        <f t="shared" si="1092"/>
        <v>0</v>
      </c>
      <c r="BOH18">
        <f t="shared" si="1093"/>
        <v>0</v>
      </c>
      <c r="BOI18">
        <f t="shared" si="1094"/>
        <v>0</v>
      </c>
      <c r="BOJ18">
        <f t="shared" si="1095"/>
        <v>0</v>
      </c>
      <c r="BOK18">
        <f t="shared" si="1096"/>
        <v>0</v>
      </c>
      <c r="BOL18">
        <f t="shared" si="1097"/>
        <v>0</v>
      </c>
      <c r="BOM18">
        <f t="shared" si="1098"/>
        <v>0</v>
      </c>
      <c r="BON18">
        <f t="shared" si="1099"/>
        <v>0</v>
      </c>
      <c r="BOO18">
        <f t="shared" si="1100"/>
        <v>0</v>
      </c>
      <c r="BOP18">
        <f t="shared" si="1101"/>
        <v>0</v>
      </c>
      <c r="BOQ18">
        <f t="shared" si="1102"/>
        <v>0</v>
      </c>
      <c r="BOR18">
        <f t="shared" si="1103"/>
        <v>0</v>
      </c>
      <c r="BOS18">
        <f t="shared" si="1104"/>
        <v>0</v>
      </c>
      <c r="BOT18">
        <f t="shared" si="1105"/>
        <v>0</v>
      </c>
      <c r="BOU18">
        <f t="shared" si="1106"/>
        <v>0</v>
      </c>
      <c r="BOV18">
        <f t="shared" si="1107"/>
        <v>0</v>
      </c>
      <c r="BOW18">
        <f t="shared" si="1108"/>
        <v>0</v>
      </c>
      <c r="BOX18">
        <f t="shared" si="1109"/>
        <v>0</v>
      </c>
      <c r="BOY18">
        <f t="shared" si="1110"/>
        <v>0</v>
      </c>
      <c r="BOZ18">
        <f t="shared" si="1111"/>
        <v>0</v>
      </c>
      <c r="BPA18">
        <f t="shared" si="1112"/>
        <v>0</v>
      </c>
      <c r="BPB18">
        <f t="shared" si="1113"/>
        <v>0</v>
      </c>
      <c r="BPC18">
        <f t="shared" si="1114"/>
        <v>0</v>
      </c>
      <c r="BPD18">
        <f t="shared" si="1115"/>
        <v>0</v>
      </c>
      <c r="BPE18">
        <f t="shared" si="1116"/>
        <v>0</v>
      </c>
      <c r="BPF18">
        <f t="shared" si="1117"/>
        <v>0</v>
      </c>
      <c r="BPG18">
        <f t="shared" si="1118"/>
        <v>0</v>
      </c>
      <c r="BPH18">
        <f t="shared" si="1119"/>
        <v>0</v>
      </c>
      <c r="BPI18">
        <f t="shared" si="1120"/>
        <v>0</v>
      </c>
      <c r="BPJ18">
        <f t="shared" si="1121"/>
        <v>0</v>
      </c>
      <c r="BPK18">
        <f t="shared" si="1122"/>
        <v>0</v>
      </c>
      <c r="BPL18">
        <f t="shared" si="1123"/>
        <v>0</v>
      </c>
      <c r="BPM18">
        <f t="shared" si="1124"/>
        <v>0</v>
      </c>
      <c r="BPN18">
        <f t="shared" si="1125"/>
        <v>0</v>
      </c>
      <c r="BPO18">
        <f t="shared" si="1126"/>
        <v>0</v>
      </c>
      <c r="BPP18">
        <f t="shared" si="1127"/>
        <v>0</v>
      </c>
      <c r="BPQ18">
        <f t="shared" si="1128"/>
        <v>0</v>
      </c>
      <c r="BPR18">
        <f t="shared" si="1129"/>
        <v>0</v>
      </c>
      <c r="BPS18">
        <f t="shared" si="1130"/>
        <v>0</v>
      </c>
      <c r="BPT18">
        <f t="shared" si="1131"/>
        <v>0</v>
      </c>
      <c r="BPU18">
        <f t="shared" si="1132"/>
        <v>0</v>
      </c>
      <c r="BPV18">
        <f t="shared" si="1133"/>
        <v>0</v>
      </c>
      <c r="BPW18">
        <f t="shared" si="1134"/>
        <v>0</v>
      </c>
      <c r="BPX18">
        <f t="shared" si="1135"/>
        <v>0</v>
      </c>
      <c r="BPY18">
        <f t="shared" si="1136"/>
        <v>0</v>
      </c>
      <c r="BPZ18">
        <f t="shared" si="50"/>
        <v>0</v>
      </c>
      <c r="BQA18">
        <f t="shared" si="1137"/>
        <v>0</v>
      </c>
      <c r="BQB18">
        <f t="shared" si="1138"/>
        <v>0</v>
      </c>
      <c r="BQC18">
        <f t="shared" si="1139"/>
        <v>0</v>
      </c>
      <c r="BQD18">
        <f t="shared" si="1140"/>
        <v>0</v>
      </c>
      <c r="BQE18">
        <f t="shared" si="1141"/>
        <v>0</v>
      </c>
      <c r="BQF18">
        <f t="shared" si="1142"/>
        <v>0</v>
      </c>
      <c r="BQG18">
        <f t="shared" si="1143"/>
        <v>0</v>
      </c>
      <c r="BQH18">
        <f t="shared" si="1144"/>
        <v>0</v>
      </c>
      <c r="BQI18">
        <f t="shared" si="1145"/>
        <v>0</v>
      </c>
      <c r="BQJ18">
        <f t="shared" si="1146"/>
        <v>0</v>
      </c>
      <c r="BQK18">
        <f t="shared" si="1147"/>
        <v>0</v>
      </c>
      <c r="BQL18">
        <f t="shared" si="1148"/>
        <v>0</v>
      </c>
      <c r="BQM18">
        <f t="shared" si="1149"/>
        <v>0</v>
      </c>
      <c r="BQN18">
        <f t="shared" si="1150"/>
        <v>0</v>
      </c>
      <c r="BQO18">
        <f t="shared" si="1151"/>
        <v>0</v>
      </c>
      <c r="BQP18">
        <f t="shared" si="1152"/>
        <v>0</v>
      </c>
      <c r="BQQ18">
        <f t="shared" si="1153"/>
        <v>0</v>
      </c>
      <c r="BQR18">
        <f t="shared" si="1154"/>
        <v>0</v>
      </c>
      <c r="BQS18">
        <f t="shared" si="1155"/>
        <v>0</v>
      </c>
      <c r="BQT18">
        <f t="shared" si="1156"/>
        <v>0</v>
      </c>
      <c r="BQU18">
        <f t="shared" si="1157"/>
        <v>0</v>
      </c>
      <c r="BQV18">
        <f t="shared" si="1158"/>
        <v>0</v>
      </c>
      <c r="BQW18">
        <f t="shared" si="1159"/>
        <v>0</v>
      </c>
      <c r="BQX18">
        <f t="shared" si="1160"/>
        <v>0</v>
      </c>
      <c r="BQY18">
        <f t="shared" si="1161"/>
        <v>0</v>
      </c>
      <c r="BQZ18">
        <f t="shared" si="1162"/>
        <v>0</v>
      </c>
      <c r="BRA18">
        <f t="shared" si="1163"/>
        <v>0</v>
      </c>
      <c r="BRB18">
        <f t="shared" si="1164"/>
        <v>0</v>
      </c>
      <c r="BRC18">
        <f t="shared" si="1165"/>
        <v>0</v>
      </c>
      <c r="BRD18">
        <f t="shared" si="1166"/>
        <v>0</v>
      </c>
      <c r="BRE18">
        <f t="shared" si="1167"/>
        <v>0</v>
      </c>
      <c r="BRF18">
        <f t="shared" si="1168"/>
        <v>0</v>
      </c>
      <c r="BRG18">
        <f t="shared" si="1169"/>
        <v>0</v>
      </c>
      <c r="BRH18">
        <f t="shared" si="1170"/>
        <v>0</v>
      </c>
      <c r="BRI18">
        <f t="shared" si="1171"/>
        <v>0</v>
      </c>
      <c r="BRJ18">
        <f t="shared" si="1172"/>
        <v>0</v>
      </c>
      <c r="BRK18">
        <f t="shared" si="1173"/>
        <v>0</v>
      </c>
      <c r="BRL18">
        <f t="shared" si="1174"/>
        <v>0</v>
      </c>
      <c r="BRM18">
        <f t="shared" si="1175"/>
        <v>0</v>
      </c>
      <c r="BRN18">
        <f t="shared" si="1176"/>
        <v>0</v>
      </c>
      <c r="BRO18">
        <f t="shared" si="1177"/>
        <v>0</v>
      </c>
      <c r="BRP18">
        <f t="shared" si="1178"/>
        <v>0</v>
      </c>
      <c r="BRQ18">
        <f t="shared" si="1179"/>
        <v>0</v>
      </c>
      <c r="BRR18">
        <f t="shared" si="1180"/>
        <v>0</v>
      </c>
      <c r="BRS18">
        <f t="shared" si="1181"/>
        <v>0</v>
      </c>
      <c r="BRT18">
        <f t="shared" si="1182"/>
        <v>0</v>
      </c>
      <c r="BRU18">
        <f t="shared" si="1183"/>
        <v>0</v>
      </c>
      <c r="BRV18">
        <f t="shared" si="1184"/>
        <v>0</v>
      </c>
      <c r="BRW18">
        <f t="shared" si="1185"/>
        <v>0</v>
      </c>
      <c r="BRX18">
        <f t="shared" si="1186"/>
        <v>0</v>
      </c>
      <c r="BRY18">
        <f t="shared" si="1187"/>
        <v>0</v>
      </c>
      <c r="BRZ18">
        <f t="shared" si="1188"/>
        <v>0</v>
      </c>
      <c r="BSA18">
        <f t="shared" si="1189"/>
        <v>0</v>
      </c>
      <c r="BSB18">
        <f t="shared" si="1190"/>
        <v>0</v>
      </c>
      <c r="BSC18">
        <f t="shared" si="1191"/>
        <v>0</v>
      </c>
      <c r="BSD18">
        <f t="shared" si="1192"/>
        <v>0</v>
      </c>
      <c r="BSE18">
        <f t="shared" si="1193"/>
        <v>0</v>
      </c>
      <c r="BSF18">
        <f t="shared" si="1194"/>
        <v>0</v>
      </c>
      <c r="BSG18">
        <f t="shared" si="1195"/>
        <v>0</v>
      </c>
      <c r="BSH18">
        <f t="shared" si="1196"/>
        <v>0</v>
      </c>
      <c r="BSI18">
        <f t="shared" si="1197"/>
        <v>0</v>
      </c>
      <c r="BSJ18">
        <f t="shared" si="1198"/>
        <v>0</v>
      </c>
      <c r="BSK18">
        <f t="shared" si="1199"/>
        <v>0</v>
      </c>
      <c r="BSL18">
        <f t="shared" si="51"/>
        <v>0</v>
      </c>
      <c r="BSM18">
        <f t="shared" si="1200"/>
        <v>0</v>
      </c>
      <c r="BSN18">
        <f t="shared" si="1201"/>
        <v>0</v>
      </c>
      <c r="BSO18">
        <f t="shared" si="1202"/>
        <v>0</v>
      </c>
      <c r="BSP18">
        <f t="shared" si="1203"/>
        <v>0</v>
      </c>
      <c r="BSQ18">
        <f t="shared" si="1204"/>
        <v>0</v>
      </c>
      <c r="BSR18">
        <f t="shared" si="1205"/>
        <v>0</v>
      </c>
      <c r="BSS18">
        <f t="shared" si="1206"/>
        <v>0</v>
      </c>
      <c r="BST18">
        <f t="shared" si="1207"/>
        <v>0</v>
      </c>
      <c r="BSU18">
        <f t="shared" si="1208"/>
        <v>0</v>
      </c>
      <c r="BSV18">
        <f t="shared" si="1209"/>
        <v>0</v>
      </c>
      <c r="BSW18">
        <f t="shared" si="1210"/>
        <v>0</v>
      </c>
      <c r="BSX18">
        <f t="shared" si="1211"/>
        <v>0</v>
      </c>
      <c r="BSY18">
        <f t="shared" si="1212"/>
        <v>0</v>
      </c>
      <c r="BSZ18">
        <f t="shared" si="1213"/>
        <v>0</v>
      </c>
      <c r="BTA18">
        <f t="shared" si="1214"/>
        <v>0</v>
      </c>
      <c r="BTB18">
        <f t="shared" si="1215"/>
        <v>0</v>
      </c>
      <c r="BTC18">
        <f t="shared" si="1216"/>
        <v>0</v>
      </c>
      <c r="BTD18">
        <f t="shared" si="1217"/>
        <v>0</v>
      </c>
      <c r="BTE18">
        <f t="shared" si="1218"/>
        <v>0</v>
      </c>
      <c r="BTF18">
        <f t="shared" si="1219"/>
        <v>0</v>
      </c>
      <c r="BTG18">
        <f t="shared" si="1220"/>
        <v>0</v>
      </c>
      <c r="BTH18">
        <f t="shared" si="1221"/>
        <v>0</v>
      </c>
      <c r="BTI18">
        <f t="shared" si="1222"/>
        <v>0</v>
      </c>
      <c r="BTJ18">
        <f t="shared" si="1223"/>
        <v>0</v>
      </c>
      <c r="BTK18">
        <f t="shared" si="1224"/>
        <v>0</v>
      </c>
      <c r="BTL18">
        <f t="shared" si="1225"/>
        <v>0</v>
      </c>
      <c r="BTM18">
        <f t="shared" si="1226"/>
        <v>0</v>
      </c>
      <c r="BTN18">
        <f t="shared" si="1227"/>
        <v>0</v>
      </c>
      <c r="BTO18">
        <f t="shared" si="1228"/>
        <v>0</v>
      </c>
      <c r="BTP18">
        <f t="shared" si="1229"/>
        <v>0</v>
      </c>
      <c r="BTQ18">
        <f t="shared" si="1230"/>
        <v>0</v>
      </c>
      <c r="BTR18">
        <f t="shared" si="1231"/>
        <v>0</v>
      </c>
      <c r="BTS18">
        <f t="shared" si="1232"/>
        <v>0</v>
      </c>
      <c r="BTT18">
        <f t="shared" si="1233"/>
        <v>0</v>
      </c>
      <c r="BTU18">
        <f t="shared" si="1234"/>
        <v>0</v>
      </c>
      <c r="BTV18">
        <f t="shared" si="1235"/>
        <v>0</v>
      </c>
      <c r="BTW18">
        <f t="shared" si="1236"/>
        <v>0</v>
      </c>
      <c r="BTX18">
        <f t="shared" si="1237"/>
        <v>0</v>
      </c>
      <c r="BTY18">
        <f t="shared" si="1238"/>
        <v>0</v>
      </c>
      <c r="BTZ18">
        <f t="shared" si="1239"/>
        <v>0</v>
      </c>
      <c r="BUA18">
        <f t="shared" si="1240"/>
        <v>0</v>
      </c>
      <c r="BUB18">
        <f t="shared" si="1241"/>
        <v>0</v>
      </c>
      <c r="BUC18">
        <f t="shared" si="1242"/>
        <v>0</v>
      </c>
      <c r="BUD18">
        <f t="shared" si="1243"/>
        <v>0</v>
      </c>
      <c r="BUE18">
        <f t="shared" si="1244"/>
        <v>0</v>
      </c>
      <c r="BUF18">
        <f t="shared" si="1245"/>
        <v>0</v>
      </c>
      <c r="BUG18">
        <f t="shared" si="1246"/>
        <v>0</v>
      </c>
      <c r="BUH18">
        <f t="shared" si="1247"/>
        <v>0</v>
      </c>
      <c r="BUI18">
        <f t="shared" si="1248"/>
        <v>0</v>
      </c>
      <c r="BUJ18">
        <f t="shared" si="1249"/>
        <v>0</v>
      </c>
      <c r="BUK18">
        <f t="shared" si="1250"/>
        <v>0</v>
      </c>
      <c r="BUL18">
        <f t="shared" si="1251"/>
        <v>0</v>
      </c>
      <c r="BUM18">
        <f t="shared" si="1252"/>
        <v>0</v>
      </c>
      <c r="BUN18">
        <f t="shared" si="1253"/>
        <v>0</v>
      </c>
      <c r="BUO18">
        <f t="shared" si="1254"/>
        <v>0</v>
      </c>
      <c r="BUP18">
        <f t="shared" si="1255"/>
        <v>0</v>
      </c>
      <c r="BUQ18">
        <f t="shared" si="1256"/>
        <v>0</v>
      </c>
      <c r="BUR18">
        <f t="shared" si="1257"/>
        <v>0</v>
      </c>
      <c r="BUS18">
        <f t="shared" si="1258"/>
        <v>0</v>
      </c>
      <c r="BUT18">
        <f t="shared" si="1259"/>
        <v>0</v>
      </c>
      <c r="BUU18">
        <f t="shared" si="1260"/>
        <v>0</v>
      </c>
      <c r="BUV18">
        <f t="shared" si="1261"/>
        <v>0</v>
      </c>
      <c r="BUW18">
        <f t="shared" si="1262"/>
        <v>0</v>
      </c>
      <c r="BUX18">
        <f t="shared" si="52"/>
        <v>0</v>
      </c>
      <c r="BUY18">
        <f t="shared" si="1263"/>
        <v>0</v>
      </c>
      <c r="BUZ18">
        <f t="shared" si="1264"/>
        <v>0</v>
      </c>
      <c r="BVA18">
        <f t="shared" si="1265"/>
        <v>0</v>
      </c>
      <c r="BVB18">
        <f t="shared" si="1266"/>
        <v>0</v>
      </c>
      <c r="BVC18">
        <f t="shared" si="1267"/>
        <v>0</v>
      </c>
      <c r="BVD18">
        <f t="shared" si="1268"/>
        <v>0</v>
      </c>
      <c r="BVE18">
        <f t="shared" si="1269"/>
        <v>0</v>
      </c>
      <c r="BVF18">
        <f t="shared" si="1270"/>
        <v>0</v>
      </c>
      <c r="BVG18">
        <f t="shared" si="1271"/>
        <v>0</v>
      </c>
      <c r="BVH18">
        <f t="shared" si="1272"/>
        <v>0</v>
      </c>
      <c r="BVI18">
        <f t="shared" si="1273"/>
        <v>0</v>
      </c>
      <c r="BVJ18">
        <f t="shared" si="1274"/>
        <v>0</v>
      </c>
      <c r="BVK18">
        <f t="shared" si="1275"/>
        <v>0</v>
      </c>
      <c r="BVL18">
        <f t="shared" si="1276"/>
        <v>0</v>
      </c>
      <c r="BVM18">
        <f t="shared" si="1277"/>
        <v>0</v>
      </c>
      <c r="BVN18">
        <f t="shared" si="1278"/>
        <v>0</v>
      </c>
      <c r="BVO18">
        <f t="shared" si="1279"/>
        <v>0</v>
      </c>
      <c r="BVP18">
        <f t="shared" si="1280"/>
        <v>0</v>
      </c>
      <c r="BVQ18">
        <f t="shared" si="1281"/>
        <v>0</v>
      </c>
      <c r="BVR18">
        <f t="shared" si="1282"/>
        <v>0</v>
      </c>
      <c r="BVS18">
        <f t="shared" si="1283"/>
        <v>0</v>
      </c>
      <c r="BVT18">
        <f t="shared" si="1284"/>
        <v>0</v>
      </c>
      <c r="BVU18">
        <f t="shared" si="1285"/>
        <v>0</v>
      </c>
      <c r="BVV18">
        <f t="shared" si="1286"/>
        <v>0</v>
      </c>
      <c r="BVW18">
        <f t="shared" si="1287"/>
        <v>0</v>
      </c>
      <c r="BVX18">
        <f t="shared" si="1288"/>
        <v>0</v>
      </c>
      <c r="BVY18">
        <f t="shared" si="1289"/>
        <v>0</v>
      </c>
      <c r="BVZ18">
        <f t="shared" si="1290"/>
        <v>0</v>
      </c>
      <c r="BWA18">
        <f t="shared" si="1291"/>
        <v>0</v>
      </c>
      <c r="BWB18">
        <f t="shared" si="1292"/>
        <v>0</v>
      </c>
      <c r="BWC18">
        <f t="shared" si="1293"/>
        <v>0</v>
      </c>
      <c r="BWD18">
        <f t="shared" si="1294"/>
        <v>0</v>
      </c>
      <c r="BWE18">
        <f t="shared" si="1295"/>
        <v>0</v>
      </c>
      <c r="BWF18">
        <f t="shared" si="1296"/>
        <v>0</v>
      </c>
      <c r="BWG18">
        <f t="shared" si="1297"/>
        <v>0</v>
      </c>
      <c r="BWH18">
        <f t="shared" si="1298"/>
        <v>0</v>
      </c>
      <c r="BWI18">
        <f t="shared" si="1299"/>
        <v>0</v>
      </c>
      <c r="BWJ18">
        <f t="shared" si="1300"/>
        <v>0</v>
      </c>
      <c r="BWK18">
        <f t="shared" si="1301"/>
        <v>0</v>
      </c>
      <c r="BWL18">
        <f t="shared" si="1302"/>
        <v>0</v>
      </c>
      <c r="BWM18">
        <f t="shared" si="1303"/>
        <v>0</v>
      </c>
      <c r="BWN18">
        <f t="shared" si="1304"/>
        <v>0</v>
      </c>
      <c r="BWO18">
        <f t="shared" si="1305"/>
        <v>0</v>
      </c>
      <c r="BWP18">
        <f t="shared" si="1306"/>
        <v>0</v>
      </c>
      <c r="BWQ18">
        <f t="shared" si="1307"/>
        <v>0</v>
      </c>
      <c r="BWR18">
        <f t="shared" si="1308"/>
        <v>0</v>
      </c>
      <c r="BWS18">
        <f t="shared" si="1309"/>
        <v>0</v>
      </c>
      <c r="BWT18">
        <f t="shared" si="1310"/>
        <v>0</v>
      </c>
      <c r="BWU18">
        <f t="shared" si="1311"/>
        <v>0</v>
      </c>
      <c r="BWV18">
        <f t="shared" si="1312"/>
        <v>0</v>
      </c>
      <c r="BWW18">
        <f t="shared" si="1313"/>
        <v>0</v>
      </c>
      <c r="BWX18">
        <f t="shared" si="1314"/>
        <v>0</v>
      </c>
      <c r="BWY18">
        <f t="shared" si="1315"/>
        <v>0</v>
      </c>
      <c r="BWZ18">
        <f t="shared" si="1316"/>
        <v>0</v>
      </c>
      <c r="BXA18">
        <f t="shared" si="1317"/>
        <v>0</v>
      </c>
      <c r="BXB18">
        <f t="shared" si="1318"/>
        <v>0</v>
      </c>
      <c r="BXC18">
        <f t="shared" si="1319"/>
        <v>0</v>
      </c>
      <c r="BXD18">
        <f t="shared" si="1320"/>
        <v>0</v>
      </c>
      <c r="BXE18">
        <f t="shared" si="1321"/>
        <v>0</v>
      </c>
      <c r="BXF18">
        <f t="shared" si="1322"/>
        <v>0</v>
      </c>
      <c r="BXG18">
        <f t="shared" si="1323"/>
        <v>0</v>
      </c>
      <c r="BXH18">
        <f t="shared" si="1324"/>
        <v>0</v>
      </c>
      <c r="BXI18">
        <f t="shared" si="1325"/>
        <v>0</v>
      </c>
      <c r="BXJ18">
        <f t="shared" si="53"/>
        <v>0</v>
      </c>
      <c r="BXK18">
        <f t="shared" si="1326"/>
        <v>0</v>
      </c>
      <c r="BXL18">
        <f t="shared" si="1327"/>
        <v>0</v>
      </c>
      <c r="BXM18">
        <f t="shared" si="1328"/>
        <v>0</v>
      </c>
      <c r="BXN18">
        <f t="shared" si="1329"/>
        <v>0</v>
      </c>
      <c r="BXO18">
        <f t="shared" si="1330"/>
        <v>0</v>
      </c>
      <c r="BXP18">
        <f t="shared" si="1331"/>
        <v>0</v>
      </c>
      <c r="BXQ18">
        <f t="shared" si="1332"/>
        <v>0</v>
      </c>
      <c r="BXR18">
        <f t="shared" si="1333"/>
        <v>0</v>
      </c>
      <c r="BXS18">
        <f t="shared" si="1334"/>
        <v>0</v>
      </c>
      <c r="BXT18">
        <f t="shared" si="1335"/>
        <v>0</v>
      </c>
      <c r="BXU18">
        <f t="shared" si="1336"/>
        <v>0</v>
      </c>
      <c r="BXV18">
        <f t="shared" si="1337"/>
        <v>0</v>
      </c>
      <c r="BXW18">
        <f t="shared" si="1338"/>
        <v>0</v>
      </c>
      <c r="BXX18">
        <f t="shared" si="1339"/>
        <v>0</v>
      </c>
      <c r="BXY18">
        <f t="shared" si="1340"/>
        <v>0</v>
      </c>
      <c r="BXZ18">
        <f t="shared" si="1341"/>
        <v>0</v>
      </c>
      <c r="BYA18">
        <f t="shared" si="1342"/>
        <v>0</v>
      </c>
      <c r="BYB18">
        <f t="shared" si="1343"/>
        <v>0</v>
      </c>
      <c r="BYC18">
        <f t="shared" si="1344"/>
        <v>0</v>
      </c>
      <c r="BYD18">
        <f t="shared" si="1345"/>
        <v>0</v>
      </c>
      <c r="BYE18">
        <f t="shared" si="1346"/>
        <v>0</v>
      </c>
      <c r="BYF18">
        <f t="shared" si="1347"/>
        <v>0</v>
      </c>
      <c r="BYG18">
        <f t="shared" si="1348"/>
        <v>0</v>
      </c>
      <c r="BYH18">
        <f t="shared" si="1349"/>
        <v>0</v>
      </c>
      <c r="BYI18">
        <f t="shared" si="1350"/>
        <v>0</v>
      </c>
      <c r="BYJ18">
        <f t="shared" si="1351"/>
        <v>0</v>
      </c>
      <c r="BYK18">
        <f t="shared" si="1352"/>
        <v>0</v>
      </c>
      <c r="BYL18">
        <f t="shared" si="1353"/>
        <v>0</v>
      </c>
      <c r="BYM18">
        <f t="shared" si="1354"/>
        <v>0</v>
      </c>
      <c r="BYN18">
        <f t="shared" si="1355"/>
        <v>0</v>
      </c>
      <c r="BYO18">
        <f t="shared" si="1356"/>
        <v>0</v>
      </c>
      <c r="BYP18">
        <f t="shared" si="1357"/>
        <v>0</v>
      </c>
      <c r="BYQ18">
        <f t="shared" si="1358"/>
        <v>0</v>
      </c>
      <c r="BYR18">
        <f t="shared" si="1359"/>
        <v>0</v>
      </c>
      <c r="BYS18">
        <f t="shared" si="1360"/>
        <v>0</v>
      </c>
      <c r="BYT18">
        <f t="shared" si="1361"/>
        <v>0</v>
      </c>
      <c r="BYU18">
        <f t="shared" si="1362"/>
        <v>0</v>
      </c>
      <c r="BYV18">
        <f t="shared" si="1363"/>
        <v>0</v>
      </c>
      <c r="BYW18">
        <f t="shared" si="1364"/>
        <v>0</v>
      </c>
      <c r="BYX18">
        <f t="shared" si="1365"/>
        <v>0</v>
      </c>
      <c r="BYY18">
        <f t="shared" si="1366"/>
        <v>0</v>
      </c>
      <c r="BYZ18">
        <f t="shared" si="1367"/>
        <v>0</v>
      </c>
      <c r="BZA18">
        <f t="shared" si="1368"/>
        <v>0</v>
      </c>
      <c r="BZB18">
        <f t="shared" si="1369"/>
        <v>0</v>
      </c>
      <c r="BZC18">
        <f t="shared" si="1370"/>
        <v>0</v>
      </c>
      <c r="BZD18">
        <f t="shared" si="1371"/>
        <v>0</v>
      </c>
      <c r="BZE18">
        <f t="shared" si="1372"/>
        <v>0</v>
      </c>
      <c r="BZF18">
        <f t="shared" si="1373"/>
        <v>0</v>
      </c>
      <c r="BZG18">
        <f t="shared" si="1374"/>
        <v>0</v>
      </c>
      <c r="BZH18">
        <f t="shared" si="1375"/>
        <v>0</v>
      </c>
      <c r="BZI18">
        <f t="shared" si="1376"/>
        <v>0</v>
      </c>
      <c r="BZJ18">
        <f t="shared" si="1377"/>
        <v>0</v>
      </c>
      <c r="BZK18">
        <f t="shared" si="1378"/>
        <v>0</v>
      </c>
      <c r="BZL18">
        <f t="shared" si="1379"/>
        <v>0</v>
      </c>
      <c r="BZM18">
        <f t="shared" si="1380"/>
        <v>0</v>
      </c>
      <c r="BZN18">
        <f t="shared" si="1381"/>
        <v>0</v>
      </c>
      <c r="BZO18">
        <f t="shared" si="1382"/>
        <v>0</v>
      </c>
      <c r="BZP18">
        <f t="shared" si="1383"/>
        <v>0</v>
      </c>
      <c r="BZQ18">
        <f t="shared" si="1384"/>
        <v>0</v>
      </c>
      <c r="BZR18">
        <f t="shared" si="1385"/>
        <v>0</v>
      </c>
      <c r="BZS18">
        <f t="shared" si="1386"/>
        <v>0</v>
      </c>
      <c r="BZT18">
        <f t="shared" si="1387"/>
        <v>0</v>
      </c>
      <c r="BZU18">
        <f t="shared" si="1388"/>
        <v>0</v>
      </c>
      <c r="BZV18">
        <f t="shared" si="54"/>
        <v>0</v>
      </c>
      <c r="BZW18">
        <f t="shared" si="1389"/>
        <v>0</v>
      </c>
      <c r="BZX18">
        <f t="shared" si="1390"/>
        <v>0</v>
      </c>
      <c r="BZY18">
        <f t="shared" si="1391"/>
        <v>0</v>
      </c>
      <c r="BZZ18">
        <f t="shared" si="1392"/>
        <v>0</v>
      </c>
      <c r="CAA18">
        <f t="shared" si="1393"/>
        <v>0</v>
      </c>
      <c r="CAB18">
        <f t="shared" si="1394"/>
        <v>0</v>
      </c>
      <c r="CAC18">
        <f t="shared" si="1395"/>
        <v>0</v>
      </c>
      <c r="CAD18">
        <f t="shared" si="1396"/>
        <v>0</v>
      </c>
      <c r="CAE18">
        <f t="shared" si="1397"/>
        <v>0</v>
      </c>
      <c r="CAF18">
        <f t="shared" si="1398"/>
        <v>0</v>
      </c>
      <c r="CAG18">
        <f t="shared" si="1399"/>
        <v>0</v>
      </c>
      <c r="CAH18">
        <f t="shared" si="1400"/>
        <v>0</v>
      </c>
      <c r="CAI18">
        <f t="shared" si="1401"/>
        <v>0</v>
      </c>
      <c r="CAJ18">
        <f t="shared" si="1402"/>
        <v>0</v>
      </c>
      <c r="CAK18">
        <f t="shared" si="1403"/>
        <v>0</v>
      </c>
      <c r="CAL18">
        <f t="shared" si="1404"/>
        <v>0</v>
      </c>
      <c r="CAM18">
        <f t="shared" si="1405"/>
        <v>0</v>
      </c>
      <c r="CAN18">
        <f t="shared" si="1406"/>
        <v>0</v>
      </c>
      <c r="CAO18">
        <f t="shared" si="1407"/>
        <v>0</v>
      </c>
      <c r="CAP18">
        <f t="shared" si="1408"/>
        <v>0</v>
      </c>
      <c r="CAQ18">
        <f t="shared" si="1409"/>
        <v>0</v>
      </c>
      <c r="CAR18">
        <f t="shared" si="1410"/>
        <v>0</v>
      </c>
      <c r="CAS18">
        <f t="shared" si="1411"/>
        <v>0</v>
      </c>
      <c r="CAT18">
        <f t="shared" si="1412"/>
        <v>0</v>
      </c>
      <c r="CAU18">
        <f t="shared" si="1413"/>
        <v>0</v>
      </c>
      <c r="CAV18">
        <f t="shared" si="1414"/>
        <v>0</v>
      </c>
      <c r="CAW18">
        <f t="shared" si="1415"/>
        <v>0</v>
      </c>
      <c r="CAX18">
        <f t="shared" si="1416"/>
        <v>0</v>
      </c>
      <c r="CAY18">
        <f t="shared" si="1417"/>
        <v>0</v>
      </c>
      <c r="CAZ18">
        <f t="shared" si="1418"/>
        <v>0</v>
      </c>
      <c r="CBA18">
        <f t="shared" si="1419"/>
        <v>0</v>
      </c>
      <c r="CBB18">
        <f t="shared" si="1420"/>
        <v>0</v>
      </c>
      <c r="CBC18">
        <f t="shared" si="1421"/>
        <v>0</v>
      </c>
      <c r="CBD18">
        <f t="shared" si="1422"/>
        <v>0</v>
      </c>
      <c r="CBE18">
        <f t="shared" si="1423"/>
        <v>0</v>
      </c>
      <c r="CBF18">
        <f t="shared" si="1424"/>
        <v>0</v>
      </c>
      <c r="CBG18">
        <f t="shared" si="1425"/>
        <v>0</v>
      </c>
      <c r="CBH18">
        <f t="shared" si="1426"/>
        <v>0</v>
      </c>
      <c r="CBI18">
        <f t="shared" si="1427"/>
        <v>0</v>
      </c>
      <c r="CBJ18">
        <f t="shared" si="1428"/>
        <v>0</v>
      </c>
      <c r="CBK18">
        <f t="shared" si="1429"/>
        <v>0</v>
      </c>
      <c r="CBL18">
        <f t="shared" si="1430"/>
        <v>0</v>
      </c>
      <c r="CBM18">
        <f t="shared" si="1431"/>
        <v>0</v>
      </c>
      <c r="CBN18">
        <f t="shared" si="1432"/>
        <v>0</v>
      </c>
      <c r="CBO18">
        <f t="shared" si="1433"/>
        <v>0</v>
      </c>
      <c r="CBP18">
        <f t="shared" si="1434"/>
        <v>0</v>
      </c>
      <c r="CBQ18">
        <f t="shared" si="1435"/>
        <v>0</v>
      </c>
      <c r="CBR18">
        <f t="shared" si="1436"/>
        <v>0</v>
      </c>
      <c r="CBS18">
        <f t="shared" si="1437"/>
        <v>0</v>
      </c>
      <c r="CBT18">
        <f t="shared" si="1438"/>
        <v>0</v>
      </c>
      <c r="CBU18">
        <f t="shared" si="1439"/>
        <v>0</v>
      </c>
      <c r="CBV18">
        <f t="shared" si="1440"/>
        <v>0</v>
      </c>
      <c r="CBW18">
        <f t="shared" si="1441"/>
        <v>0</v>
      </c>
      <c r="CBX18">
        <f t="shared" si="1442"/>
        <v>0</v>
      </c>
      <c r="CBY18">
        <f t="shared" si="1443"/>
        <v>0</v>
      </c>
      <c r="CBZ18">
        <f t="shared" si="1444"/>
        <v>0</v>
      </c>
      <c r="CCA18">
        <f t="shared" si="1445"/>
        <v>0</v>
      </c>
      <c r="CCB18">
        <f t="shared" si="1446"/>
        <v>0</v>
      </c>
      <c r="CCC18">
        <f t="shared" si="1447"/>
        <v>0</v>
      </c>
      <c r="CCD18">
        <f t="shared" si="1448"/>
        <v>0</v>
      </c>
      <c r="CCE18">
        <f t="shared" si="1449"/>
        <v>0</v>
      </c>
      <c r="CCF18">
        <f t="shared" si="1450"/>
        <v>0</v>
      </c>
      <c r="CCG18">
        <f t="shared" si="1451"/>
        <v>0</v>
      </c>
      <c r="CCH18">
        <f t="shared" si="55"/>
        <v>0</v>
      </c>
      <c r="CCI18">
        <f t="shared" si="1452"/>
        <v>0</v>
      </c>
      <c r="CCJ18">
        <f t="shared" si="1453"/>
        <v>0</v>
      </c>
      <c r="CCK18">
        <f t="shared" si="1454"/>
        <v>0</v>
      </c>
      <c r="CCL18">
        <f t="shared" si="1455"/>
        <v>0</v>
      </c>
      <c r="CCM18">
        <f t="shared" si="1456"/>
        <v>0</v>
      </c>
      <c r="CCN18">
        <f t="shared" si="1457"/>
        <v>0</v>
      </c>
      <c r="CCO18">
        <f t="shared" si="1458"/>
        <v>0</v>
      </c>
      <c r="CCP18">
        <f t="shared" si="1459"/>
        <v>0</v>
      </c>
      <c r="CCQ18">
        <f t="shared" si="1460"/>
        <v>0</v>
      </c>
      <c r="CCR18">
        <f t="shared" si="1461"/>
        <v>0</v>
      </c>
      <c r="CCS18">
        <f t="shared" si="1462"/>
        <v>0</v>
      </c>
      <c r="CCT18">
        <f t="shared" si="1463"/>
        <v>0</v>
      </c>
      <c r="CCU18">
        <f t="shared" si="1464"/>
        <v>0</v>
      </c>
      <c r="CCV18">
        <f t="shared" si="1465"/>
        <v>0</v>
      </c>
      <c r="CCW18">
        <f t="shared" si="1466"/>
        <v>0</v>
      </c>
      <c r="CCX18">
        <f t="shared" si="1467"/>
        <v>0</v>
      </c>
      <c r="CCY18">
        <f t="shared" si="1468"/>
        <v>0</v>
      </c>
      <c r="CCZ18">
        <f t="shared" si="1469"/>
        <v>0</v>
      </c>
      <c r="CDA18">
        <f t="shared" si="1470"/>
        <v>0</v>
      </c>
      <c r="CDB18">
        <f t="shared" si="1471"/>
        <v>0</v>
      </c>
      <c r="CDC18">
        <f t="shared" si="1472"/>
        <v>0</v>
      </c>
      <c r="CDD18">
        <f t="shared" si="1473"/>
        <v>0</v>
      </c>
      <c r="CDE18">
        <f t="shared" si="1474"/>
        <v>0</v>
      </c>
      <c r="CDF18">
        <f t="shared" si="1475"/>
        <v>0</v>
      </c>
      <c r="CDG18">
        <f t="shared" si="1476"/>
        <v>0</v>
      </c>
      <c r="CDH18">
        <f t="shared" si="1477"/>
        <v>0</v>
      </c>
      <c r="CDI18">
        <f t="shared" si="1478"/>
        <v>0</v>
      </c>
      <c r="CDJ18">
        <f t="shared" si="1479"/>
        <v>0</v>
      </c>
      <c r="CDK18">
        <f t="shared" si="1480"/>
        <v>0</v>
      </c>
      <c r="CDL18">
        <f t="shared" si="1481"/>
        <v>0</v>
      </c>
      <c r="CDM18">
        <f t="shared" si="1482"/>
        <v>0</v>
      </c>
      <c r="CDN18">
        <f t="shared" si="1483"/>
        <v>0</v>
      </c>
      <c r="CDO18">
        <f t="shared" si="1484"/>
        <v>0</v>
      </c>
      <c r="CDP18">
        <f t="shared" si="1485"/>
        <v>0</v>
      </c>
      <c r="CDQ18">
        <f t="shared" si="1486"/>
        <v>0</v>
      </c>
      <c r="CDR18">
        <f t="shared" si="1487"/>
        <v>0</v>
      </c>
      <c r="CDS18">
        <f t="shared" si="1488"/>
        <v>0</v>
      </c>
      <c r="CDT18">
        <f t="shared" si="1489"/>
        <v>0</v>
      </c>
      <c r="CDU18">
        <f t="shared" si="1490"/>
        <v>0</v>
      </c>
      <c r="CDV18">
        <f t="shared" si="1491"/>
        <v>0</v>
      </c>
      <c r="CDW18">
        <f t="shared" si="1492"/>
        <v>0</v>
      </c>
      <c r="CDX18">
        <f t="shared" si="1493"/>
        <v>0</v>
      </c>
      <c r="CDY18">
        <f t="shared" si="1494"/>
        <v>0</v>
      </c>
      <c r="CDZ18">
        <f t="shared" si="1495"/>
        <v>0</v>
      </c>
      <c r="CEA18">
        <f t="shared" si="1496"/>
        <v>0</v>
      </c>
      <c r="CEB18">
        <f t="shared" si="1497"/>
        <v>0</v>
      </c>
      <c r="CEC18">
        <f t="shared" si="1498"/>
        <v>0</v>
      </c>
      <c r="CED18">
        <f t="shared" si="1499"/>
        <v>0</v>
      </c>
      <c r="CEE18">
        <f t="shared" si="1500"/>
        <v>0</v>
      </c>
      <c r="CEF18">
        <f t="shared" si="1501"/>
        <v>0</v>
      </c>
      <c r="CEG18">
        <f t="shared" si="1502"/>
        <v>0</v>
      </c>
      <c r="CEH18">
        <f t="shared" si="1503"/>
        <v>0</v>
      </c>
      <c r="CEI18">
        <f t="shared" si="1504"/>
        <v>0</v>
      </c>
      <c r="CEJ18">
        <f t="shared" si="1505"/>
        <v>0</v>
      </c>
      <c r="CEK18">
        <f t="shared" si="1506"/>
        <v>0</v>
      </c>
      <c r="CEL18">
        <f t="shared" si="1507"/>
        <v>0</v>
      </c>
      <c r="CEM18">
        <f t="shared" si="1508"/>
        <v>0</v>
      </c>
      <c r="CEN18">
        <f t="shared" si="1509"/>
        <v>0</v>
      </c>
      <c r="CEO18">
        <f t="shared" si="1510"/>
        <v>0</v>
      </c>
      <c r="CEP18">
        <f t="shared" si="1511"/>
        <v>0</v>
      </c>
      <c r="CEQ18">
        <f t="shared" si="1512"/>
        <v>0</v>
      </c>
      <c r="CER18">
        <f t="shared" si="1513"/>
        <v>0</v>
      </c>
      <c r="CES18">
        <f t="shared" si="1514"/>
        <v>0</v>
      </c>
      <c r="CET18">
        <f t="shared" si="56"/>
        <v>0</v>
      </c>
      <c r="CEU18">
        <f t="shared" si="1515"/>
        <v>0</v>
      </c>
      <c r="CEV18">
        <f t="shared" si="1516"/>
        <v>0</v>
      </c>
      <c r="CEW18">
        <f t="shared" si="1517"/>
        <v>0</v>
      </c>
      <c r="CEX18">
        <f t="shared" si="1518"/>
        <v>0</v>
      </c>
      <c r="CEY18">
        <f t="shared" si="1519"/>
        <v>0</v>
      </c>
      <c r="CEZ18">
        <f t="shared" si="1520"/>
        <v>0</v>
      </c>
      <c r="CFA18">
        <f t="shared" si="1521"/>
        <v>0</v>
      </c>
      <c r="CFB18">
        <f t="shared" si="1522"/>
        <v>0</v>
      </c>
      <c r="CFC18">
        <f t="shared" si="1523"/>
        <v>0</v>
      </c>
      <c r="CFD18">
        <f t="shared" si="1524"/>
        <v>0</v>
      </c>
      <c r="CFE18">
        <f t="shared" si="1525"/>
        <v>0</v>
      </c>
      <c r="CFF18">
        <f t="shared" si="1526"/>
        <v>0</v>
      </c>
      <c r="CFG18">
        <f t="shared" si="1527"/>
        <v>0</v>
      </c>
      <c r="CFH18">
        <f t="shared" si="1528"/>
        <v>0</v>
      </c>
      <c r="CFI18">
        <f t="shared" si="1529"/>
        <v>0</v>
      </c>
      <c r="CFJ18">
        <f t="shared" si="1530"/>
        <v>0</v>
      </c>
      <c r="CFK18">
        <f t="shared" si="1531"/>
        <v>0</v>
      </c>
      <c r="CFL18">
        <f t="shared" si="1532"/>
        <v>0</v>
      </c>
      <c r="CFM18">
        <f t="shared" si="1533"/>
        <v>0</v>
      </c>
      <c r="CFN18">
        <f t="shared" si="1534"/>
        <v>0</v>
      </c>
      <c r="CFO18">
        <f t="shared" si="1535"/>
        <v>0</v>
      </c>
      <c r="CFP18">
        <f t="shared" si="1536"/>
        <v>0</v>
      </c>
      <c r="CFQ18">
        <f t="shared" si="1537"/>
        <v>0</v>
      </c>
      <c r="CFR18">
        <f t="shared" si="1538"/>
        <v>0</v>
      </c>
      <c r="CFS18">
        <f t="shared" si="1539"/>
        <v>0</v>
      </c>
      <c r="CFT18">
        <f t="shared" si="1540"/>
        <v>0</v>
      </c>
      <c r="CFU18">
        <f t="shared" si="1541"/>
        <v>0</v>
      </c>
      <c r="CFV18">
        <f t="shared" si="1542"/>
        <v>0</v>
      </c>
      <c r="CFW18">
        <f t="shared" si="1543"/>
        <v>0</v>
      </c>
      <c r="CFX18">
        <f t="shared" si="1544"/>
        <v>0</v>
      </c>
      <c r="CFY18">
        <f t="shared" si="1545"/>
        <v>0</v>
      </c>
      <c r="CFZ18">
        <f t="shared" si="1546"/>
        <v>0</v>
      </c>
      <c r="CGA18">
        <f t="shared" si="1547"/>
        <v>0</v>
      </c>
      <c r="CGB18">
        <f t="shared" si="1548"/>
        <v>0</v>
      </c>
      <c r="CGC18">
        <f t="shared" si="1549"/>
        <v>0</v>
      </c>
      <c r="CGD18">
        <f t="shared" si="1550"/>
        <v>0</v>
      </c>
      <c r="CGE18">
        <f t="shared" si="1551"/>
        <v>0</v>
      </c>
      <c r="CGF18">
        <f t="shared" si="1552"/>
        <v>0</v>
      </c>
      <c r="CGG18">
        <f t="shared" si="1553"/>
        <v>0</v>
      </c>
      <c r="CGH18">
        <f t="shared" si="1554"/>
        <v>0</v>
      </c>
      <c r="CGI18">
        <f t="shared" si="1555"/>
        <v>0</v>
      </c>
      <c r="CGJ18">
        <f t="shared" si="1556"/>
        <v>0</v>
      </c>
      <c r="CGK18">
        <f t="shared" si="1557"/>
        <v>0</v>
      </c>
      <c r="CGL18">
        <f t="shared" si="1558"/>
        <v>0</v>
      </c>
      <c r="CGM18">
        <f t="shared" si="1559"/>
        <v>0</v>
      </c>
      <c r="CGN18">
        <f t="shared" si="1560"/>
        <v>0</v>
      </c>
      <c r="CGO18">
        <f t="shared" si="1561"/>
        <v>0</v>
      </c>
      <c r="CGP18">
        <f t="shared" si="1562"/>
        <v>0</v>
      </c>
      <c r="CGQ18">
        <f t="shared" si="1563"/>
        <v>0</v>
      </c>
      <c r="CGR18">
        <f t="shared" si="1564"/>
        <v>0</v>
      </c>
      <c r="CGS18">
        <f t="shared" si="1565"/>
        <v>0</v>
      </c>
      <c r="CGT18">
        <f t="shared" si="1566"/>
        <v>0</v>
      </c>
      <c r="CGU18">
        <f t="shared" si="1567"/>
        <v>0</v>
      </c>
      <c r="CGV18">
        <f t="shared" si="1568"/>
        <v>0</v>
      </c>
      <c r="CGW18">
        <f t="shared" si="1569"/>
        <v>0</v>
      </c>
      <c r="CGX18">
        <f t="shared" si="1570"/>
        <v>0</v>
      </c>
      <c r="CGY18">
        <f t="shared" si="1571"/>
        <v>0</v>
      </c>
      <c r="CGZ18">
        <f t="shared" si="1572"/>
        <v>0</v>
      </c>
      <c r="CHA18">
        <f t="shared" si="1573"/>
        <v>0</v>
      </c>
      <c r="CHB18">
        <f t="shared" si="1574"/>
        <v>0</v>
      </c>
      <c r="CHC18">
        <f t="shared" si="1575"/>
        <v>0</v>
      </c>
      <c r="CHD18">
        <f t="shared" si="1576"/>
        <v>0</v>
      </c>
      <c r="CHE18">
        <f t="shared" si="1577"/>
        <v>0</v>
      </c>
      <c r="CHF18">
        <f t="shared" si="57"/>
        <v>0</v>
      </c>
      <c r="CHG18">
        <f t="shared" si="1578"/>
        <v>0</v>
      </c>
      <c r="CHH18">
        <f t="shared" si="1579"/>
        <v>0</v>
      </c>
      <c r="CHI18">
        <f t="shared" si="1580"/>
        <v>0</v>
      </c>
      <c r="CHJ18">
        <f t="shared" si="1581"/>
        <v>0</v>
      </c>
      <c r="CHK18">
        <f t="shared" si="1582"/>
        <v>0</v>
      </c>
      <c r="CHL18">
        <f t="shared" si="1583"/>
        <v>0</v>
      </c>
      <c r="CHM18">
        <f t="shared" si="1584"/>
        <v>0</v>
      </c>
      <c r="CHN18">
        <f t="shared" si="1585"/>
        <v>0</v>
      </c>
      <c r="CHO18">
        <f t="shared" si="1586"/>
        <v>0</v>
      </c>
      <c r="CHP18">
        <f t="shared" si="1587"/>
        <v>0</v>
      </c>
      <c r="CHQ18">
        <f t="shared" si="1588"/>
        <v>0</v>
      </c>
      <c r="CHR18">
        <f t="shared" si="1589"/>
        <v>0</v>
      </c>
      <c r="CHS18">
        <f t="shared" si="1590"/>
        <v>0</v>
      </c>
      <c r="CHT18">
        <f t="shared" si="1591"/>
        <v>0</v>
      </c>
      <c r="CHU18">
        <f t="shared" si="1592"/>
        <v>0</v>
      </c>
      <c r="CHV18">
        <f t="shared" si="1593"/>
        <v>0</v>
      </c>
      <c r="CHW18">
        <f t="shared" si="1594"/>
        <v>0</v>
      </c>
      <c r="CHX18">
        <f t="shared" si="1595"/>
        <v>0</v>
      </c>
      <c r="CHY18">
        <f t="shared" si="1596"/>
        <v>0</v>
      </c>
      <c r="CHZ18">
        <f t="shared" si="1597"/>
        <v>0</v>
      </c>
      <c r="CIA18">
        <f t="shared" si="1598"/>
        <v>0</v>
      </c>
      <c r="CIB18">
        <f t="shared" si="1599"/>
        <v>0</v>
      </c>
      <c r="CIC18">
        <f t="shared" si="1600"/>
        <v>0</v>
      </c>
      <c r="CID18">
        <f t="shared" si="1601"/>
        <v>0</v>
      </c>
      <c r="CIE18">
        <f t="shared" si="1602"/>
        <v>0</v>
      </c>
      <c r="CIF18">
        <f t="shared" si="1603"/>
        <v>0</v>
      </c>
      <c r="CIG18">
        <f t="shared" si="1604"/>
        <v>0</v>
      </c>
      <c r="CIH18">
        <f t="shared" si="1605"/>
        <v>0</v>
      </c>
      <c r="CII18">
        <f t="shared" si="1606"/>
        <v>0</v>
      </c>
      <c r="CIJ18">
        <f t="shared" si="1607"/>
        <v>0</v>
      </c>
      <c r="CIK18">
        <f t="shared" si="1608"/>
        <v>0</v>
      </c>
      <c r="CIL18">
        <f t="shared" si="1609"/>
        <v>0</v>
      </c>
      <c r="CIM18">
        <f t="shared" si="1610"/>
        <v>0</v>
      </c>
      <c r="CIN18">
        <f t="shared" si="1611"/>
        <v>0</v>
      </c>
      <c r="CIO18">
        <f t="shared" si="1612"/>
        <v>0</v>
      </c>
      <c r="CIP18">
        <f t="shared" si="1613"/>
        <v>0</v>
      </c>
      <c r="CIQ18">
        <f t="shared" si="1614"/>
        <v>0</v>
      </c>
      <c r="CIR18">
        <f t="shared" si="1615"/>
        <v>0</v>
      </c>
      <c r="CIS18">
        <f t="shared" si="1616"/>
        <v>0</v>
      </c>
      <c r="CIT18">
        <f t="shared" si="1617"/>
        <v>0</v>
      </c>
      <c r="CIU18">
        <f t="shared" si="1618"/>
        <v>0</v>
      </c>
      <c r="CIV18">
        <f t="shared" si="1619"/>
        <v>0</v>
      </c>
      <c r="CIW18">
        <f t="shared" si="1620"/>
        <v>0</v>
      </c>
      <c r="CIX18">
        <f t="shared" si="1621"/>
        <v>0</v>
      </c>
      <c r="CIY18">
        <f t="shared" si="1622"/>
        <v>0</v>
      </c>
      <c r="CIZ18">
        <f t="shared" si="1623"/>
        <v>0</v>
      </c>
      <c r="CJA18">
        <f t="shared" si="1624"/>
        <v>0</v>
      </c>
      <c r="CJB18">
        <f t="shared" si="1625"/>
        <v>0</v>
      </c>
      <c r="CJC18">
        <f t="shared" si="1626"/>
        <v>0</v>
      </c>
      <c r="CJD18">
        <f t="shared" si="1627"/>
        <v>0</v>
      </c>
      <c r="CJE18">
        <f t="shared" si="1628"/>
        <v>0</v>
      </c>
      <c r="CJF18">
        <f t="shared" si="1629"/>
        <v>0</v>
      </c>
      <c r="CJG18">
        <f t="shared" si="1630"/>
        <v>0</v>
      </c>
      <c r="CJH18">
        <f t="shared" si="1631"/>
        <v>0</v>
      </c>
      <c r="CJI18">
        <f t="shared" si="1632"/>
        <v>0</v>
      </c>
      <c r="CJJ18">
        <f t="shared" si="1633"/>
        <v>0</v>
      </c>
      <c r="CJK18">
        <f t="shared" si="1634"/>
        <v>0</v>
      </c>
      <c r="CJL18">
        <f t="shared" si="1635"/>
        <v>0</v>
      </c>
      <c r="CJM18">
        <f t="shared" si="1636"/>
        <v>0</v>
      </c>
      <c r="CJN18">
        <f t="shared" si="1637"/>
        <v>0</v>
      </c>
      <c r="CJO18">
        <f t="shared" si="1638"/>
        <v>0</v>
      </c>
      <c r="CJP18">
        <f t="shared" si="1639"/>
        <v>0</v>
      </c>
      <c r="CJQ18">
        <f t="shared" si="1640"/>
        <v>0</v>
      </c>
      <c r="CJR18">
        <f t="shared" si="58"/>
        <v>0</v>
      </c>
      <c r="CJS18">
        <f t="shared" si="1641"/>
        <v>0</v>
      </c>
      <c r="CJT18">
        <f t="shared" si="1642"/>
        <v>0</v>
      </c>
      <c r="CJU18">
        <f t="shared" si="1643"/>
        <v>0</v>
      </c>
      <c r="CJV18">
        <f t="shared" si="1644"/>
        <v>0</v>
      </c>
      <c r="CJW18">
        <f t="shared" si="1645"/>
        <v>0</v>
      </c>
      <c r="CJX18">
        <f t="shared" si="1646"/>
        <v>0</v>
      </c>
      <c r="CJY18">
        <f t="shared" si="1647"/>
        <v>0</v>
      </c>
      <c r="CJZ18">
        <f t="shared" si="1648"/>
        <v>0</v>
      </c>
      <c r="CKA18">
        <f t="shared" si="1649"/>
        <v>0</v>
      </c>
      <c r="CKB18">
        <f t="shared" si="1650"/>
        <v>0</v>
      </c>
      <c r="CKC18">
        <f t="shared" si="1651"/>
        <v>0</v>
      </c>
      <c r="CKD18">
        <f t="shared" si="1652"/>
        <v>0</v>
      </c>
      <c r="CKE18">
        <f t="shared" si="1653"/>
        <v>0</v>
      </c>
      <c r="CKF18">
        <f t="shared" si="1654"/>
        <v>0</v>
      </c>
      <c r="CKG18">
        <f t="shared" si="1655"/>
        <v>0</v>
      </c>
      <c r="CKH18">
        <f t="shared" si="1656"/>
        <v>0</v>
      </c>
      <c r="CKI18">
        <f t="shared" si="1657"/>
        <v>0</v>
      </c>
      <c r="CKJ18">
        <f t="shared" si="1658"/>
        <v>0</v>
      </c>
      <c r="CKK18">
        <f t="shared" si="1659"/>
        <v>0</v>
      </c>
      <c r="CKL18">
        <f t="shared" si="1660"/>
        <v>0</v>
      </c>
      <c r="CKM18">
        <f t="shared" si="1661"/>
        <v>0</v>
      </c>
      <c r="CKN18">
        <f t="shared" si="1662"/>
        <v>0</v>
      </c>
      <c r="CKO18">
        <f t="shared" si="1663"/>
        <v>0</v>
      </c>
      <c r="CKP18">
        <f t="shared" si="1664"/>
        <v>0</v>
      </c>
      <c r="CKQ18">
        <f t="shared" si="1665"/>
        <v>0</v>
      </c>
      <c r="CKR18">
        <f t="shared" si="1666"/>
        <v>0</v>
      </c>
      <c r="CKS18">
        <f t="shared" si="1667"/>
        <v>0</v>
      </c>
      <c r="CKT18">
        <f t="shared" si="1668"/>
        <v>0</v>
      </c>
      <c r="CKU18">
        <f t="shared" si="1669"/>
        <v>0</v>
      </c>
      <c r="CKV18">
        <f t="shared" si="1670"/>
        <v>0</v>
      </c>
      <c r="CKW18">
        <f t="shared" si="1671"/>
        <v>0</v>
      </c>
      <c r="CKX18">
        <f t="shared" si="1672"/>
        <v>0</v>
      </c>
      <c r="CKY18">
        <f t="shared" si="1673"/>
        <v>0</v>
      </c>
      <c r="CKZ18">
        <f t="shared" si="1674"/>
        <v>0</v>
      </c>
      <c r="CLA18">
        <f t="shared" si="1675"/>
        <v>0</v>
      </c>
      <c r="CLB18">
        <f t="shared" si="1676"/>
        <v>0</v>
      </c>
      <c r="CLC18">
        <f t="shared" si="1677"/>
        <v>0</v>
      </c>
      <c r="CLD18">
        <f t="shared" si="1678"/>
        <v>0</v>
      </c>
      <c r="CLE18">
        <f t="shared" si="1679"/>
        <v>0</v>
      </c>
      <c r="CLF18">
        <f t="shared" si="1680"/>
        <v>0</v>
      </c>
      <c r="CLG18">
        <f t="shared" si="1681"/>
        <v>0</v>
      </c>
      <c r="CLH18">
        <f t="shared" si="1682"/>
        <v>0</v>
      </c>
      <c r="CLI18">
        <f t="shared" si="1683"/>
        <v>0</v>
      </c>
      <c r="CLJ18">
        <f t="shared" si="1684"/>
        <v>0</v>
      </c>
      <c r="CLK18">
        <f t="shared" si="1685"/>
        <v>0</v>
      </c>
      <c r="CLL18">
        <f t="shared" si="1686"/>
        <v>0</v>
      </c>
      <c r="CLM18">
        <f t="shared" si="1687"/>
        <v>0</v>
      </c>
      <c r="CLN18">
        <f t="shared" si="1688"/>
        <v>0</v>
      </c>
      <c r="CLO18">
        <f t="shared" si="1689"/>
        <v>0</v>
      </c>
      <c r="CLP18">
        <f t="shared" si="1690"/>
        <v>0</v>
      </c>
      <c r="CLQ18">
        <f t="shared" si="1691"/>
        <v>0</v>
      </c>
      <c r="CLR18">
        <f t="shared" si="1692"/>
        <v>0</v>
      </c>
      <c r="CLS18">
        <f t="shared" si="1693"/>
        <v>0</v>
      </c>
      <c r="CLT18">
        <f t="shared" si="1694"/>
        <v>0</v>
      </c>
      <c r="CLU18">
        <f t="shared" si="1695"/>
        <v>0</v>
      </c>
      <c r="CLV18">
        <f t="shared" si="1696"/>
        <v>0</v>
      </c>
      <c r="CLW18">
        <f t="shared" si="1697"/>
        <v>0</v>
      </c>
      <c r="CLX18">
        <f t="shared" si="1698"/>
        <v>0</v>
      </c>
      <c r="CLY18">
        <f t="shared" si="1699"/>
        <v>0</v>
      </c>
      <c r="CLZ18">
        <f t="shared" si="1700"/>
        <v>0</v>
      </c>
      <c r="CMA18">
        <f t="shared" si="1701"/>
        <v>0</v>
      </c>
      <c r="CMB18">
        <f t="shared" si="1702"/>
        <v>0</v>
      </c>
      <c r="CMC18">
        <f t="shared" si="1703"/>
        <v>0</v>
      </c>
      <c r="CMD18">
        <f t="shared" si="59"/>
        <v>0</v>
      </c>
      <c r="CME18">
        <f t="shared" si="1704"/>
        <v>0</v>
      </c>
      <c r="CMF18">
        <f t="shared" si="1705"/>
        <v>0</v>
      </c>
      <c r="CMG18">
        <f t="shared" si="1706"/>
        <v>0</v>
      </c>
      <c r="CMH18">
        <f t="shared" si="1707"/>
        <v>0</v>
      </c>
      <c r="CMI18">
        <f t="shared" si="1708"/>
        <v>0</v>
      </c>
      <c r="CMJ18">
        <f t="shared" si="1709"/>
        <v>0</v>
      </c>
      <c r="CMK18">
        <f t="shared" si="1710"/>
        <v>0</v>
      </c>
      <c r="CML18">
        <f t="shared" si="1711"/>
        <v>0</v>
      </c>
      <c r="CMM18">
        <f t="shared" si="1712"/>
        <v>0</v>
      </c>
      <c r="CMN18">
        <f t="shared" si="1713"/>
        <v>0</v>
      </c>
      <c r="CMO18">
        <f t="shared" si="1714"/>
        <v>0</v>
      </c>
      <c r="CMP18">
        <f t="shared" si="1715"/>
        <v>0</v>
      </c>
      <c r="CMQ18">
        <f t="shared" si="1716"/>
        <v>0</v>
      </c>
      <c r="CMR18">
        <f t="shared" si="1717"/>
        <v>0</v>
      </c>
      <c r="CMS18">
        <f t="shared" si="1718"/>
        <v>0</v>
      </c>
      <c r="CMT18">
        <f t="shared" si="1719"/>
        <v>0</v>
      </c>
      <c r="CMU18">
        <f t="shared" si="1720"/>
        <v>0</v>
      </c>
      <c r="CMV18">
        <f t="shared" si="1721"/>
        <v>0</v>
      </c>
      <c r="CMW18">
        <f t="shared" si="1722"/>
        <v>0</v>
      </c>
      <c r="CMX18">
        <f t="shared" si="1723"/>
        <v>0</v>
      </c>
      <c r="CMY18">
        <f t="shared" si="1724"/>
        <v>0</v>
      </c>
      <c r="CMZ18">
        <f t="shared" si="1725"/>
        <v>0</v>
      </c>
      <c r="CNA18">
        <f t="shared" si="1726"/>
        <v>0</v>
      </c>
      <c r="CNB18">
        <f t="shared" si="1727"/>
        <v>0</v>
      </c>
      <c r="CNC18">
        <f t="shared" si="1728"/>
        <v>0</v>
      </c>
      <c r="CND18">
        <f t="shared" si="1729"/>
        <v>0</v>
      </c>
      <c r="CNE18">
        <f t="shared" si="1730"/>
        <v>0</v>
      </c>
      <c r="CNF18">
        <f t="shared" si="1731"/>
        <v>0</v>
      </c>
      <c r="CNG18">
        <f t="shared" si="1732"/>
        <v>0</v>
      </c>
      <c r="CNH18">
        <f t="shared" si="1733"/>
        <v>0</v>
      </c>
      <c r="CNI18">
        <f t="shared" si="1734"/>
        <v>0</v>
      </c>
      <c r="CNJ18">
        <f t="shared" si="1735"/>
        <v>0</v>
      </c>
      <c r="CNK18">
        <f t="shared" si="1736"/>
        <v>0</v>
      </c>
      <c r="CNL18">
        <f t="shared" si="1737"/>
        <v>0</v>
      </c>
      <c r="CNM18">
        <f t="shared" si="1738"/>
        <v>0</v>
      </c>
      <c r="CNN18">
        <f t="shared" si="1739"/>
        <v>0</v>
      </c>
      <c r="CNO18">
        <f t="shared" si="1740"/>
        <v>0</v>
      </c>
      <c r="CNP18">
        <f t="shared" si="1741"/>
        <v>0</v>
      </c>
      <c r="CNQ18">
        <f t="shared" si="1742"/>
        <v>0</v>
      </c>
      <c r="CNR18">
        <f t="shared" si="1743"/>
        <v>0</v>
      </c>
      <c r="CNS18">
        <f t="shared" si="1744"/>
        <v>0</v>
      </c>
      <c r="CNT18">
        <f t="shared" si="1745"/>
        <v>0</v>
      </c>
      <c r="CNU18">
        <f t="shared" si="1746"/>
        <v>0</v>
      </c>
      <c r="CNV18">
        <f t="shared" si="1747"/>
        <v>0</v>
      </c>
      <c r="CNW18">
        <f t="shared" si="1748"/>
        <v>0</v>
      </c>
      <c r="CNX18">
        <f t="shared" si="1749"/>
        <v>0</v>
      </c>
      <c r="CNY18">
        <f t="shared" si="1750"/>
        <v>0</v>
      </c>
      <c r="CNZ18">
        <f t="shared" si="1751"/>
        <v>0</v>
      </c>
      <c r="COA18">
        <f t="shared" si="1752"/>
        <v>0</v>
      </c>
      <c r="COB18">
        <f t="shared" si="1753"/>
        <v>0</v>
      </c>
      <c r="COC18">
        <f t="shared" si="1754"/>
        <v>0</v>
      </c>
      <c r="COD18">
        <f t="shared" si="1755"/>
        <v>0</v>
      </c>
      <c r="COE18">
        <f t="shared" si="1756"/>
        <v>0</v>
      </c>
      <c r="COF18">
        <f t="shared" si="1757"/>
        <v>0</v>
      </c>
      <c r="COG18">
        <f t="shared" si="1758"/>
        <v>0</v>
      </c>
      <c r="COH18">
        <f t="shared" si="1759"/>
        <v>0</v>
      </c>
      <c r="COI18">
        <f t="shared" si="1760"/>
        <v>0</v>
      </c>
      <c r="COJ18">
        <f t="shared" si="1761"/>
        <v>0</v>
      </c>
      <c r="COK18">
        <f t="shared" si="1762"/>
        <v>0</v>
      </c>
      <c r="COL18">
        <f t="shared" si="1763"/>
        <v>0</v>
      </c>
      <c r="COM18">
        <f t="shared" si="1764"/>
        <v>0</v>
      </c>
      <c r="CON18">
        <f t="shared" si="1765"/>
        <v>0</v>
      </c>
      <c r="COO18">
        <f t="shared" si="1766"/>
        <v>0</v>
      </c>
      <c r="COP18">
        <f t="shared" si="60"/>
        <v>0</v>
      </c>
      <c r="COQ18">
        <f t="shared" si="1767"/>
        <v>0</v>
      </c>
      <c r="COR18">
        <f t="shared" si="1768"/>
        <v>0</v>
      </c>
      <c r="COS18">
        <f t="shared" si="1769"/>
        <v>0</v>
      </c>
      <c r="COT18">
        <f t="shared" si="1770"/>
        <v>0</v>
      </c>
      <c r="COU18">
        <f t="shared" si="1771"/>
        <v>0</v>
      </c>
      <c r="COV18">
        <f t="shared" si="1772"/>
        <v>0</v>
      </c>
      <c r="COW18">
        <f t="shared" si="1773"/>
        <v>0</v>
      </c>
      <c r="COX18">
        <f t="shared" si="1774"/>
        <v>0</v>
      </c>
      <c r="COY18">
        <f t="shared" si="1775"/>
        <v>0</v>
      </c>
      <c r="COZ18">
        <f t="shared" si="1776"/>
        <v>0</v>
      </c>
      <c r="CPA18">
        <f t="shared" si="1777"/>
        <v>0</v>
      </c>
      <c r="CPB18">
        <f t="shared" si="1778"/>
        <v>0</v>
      </c>
      <c r="CPC18">
        <f t="shared" si="1779"/>
        <v>0</v>
      </c>
      <c r="CPD18">
        <f t="shared" si="1780"/>
        <v>0</v>
      </c>
      <c r="CPE18">
        <f t="shared" si="1781"/>
        <v>0</v>
      </c>
      <c r="CPF18">
        <f t="shared" si="1782"/>
        <v>0</v>
      </c>
      <c r="CPG18">
        <f t="shared" si="1783"/>
        <v>0</v>
      </c>
      <c r="CPH18">
        <f t="shared" si="1784"/>
        <v>0</v>
      </c>
      <c r="CPI18">
        <f t="shared" si="1785"/>
        <v>0</v>
      </c>
      <c r="CPJ18">
        <f t="shared" si="1786"/>
        <v>0</v>
      </c>
      <c r="CPK18">
        <f t="shared" si="1787"/>
        <v>0</v>
      </c>
      <c r="CPL18">
        <f t="shared" si="1788"/>
        <v>0</v>
      </c>
      <c r="CPM18">
        <f t="shared" si="1789"/>
        <v>0</v>
      </c>
      <c r="CPN18">
        <f t="shared" si="1790"/>
        <v>0</v>
      </c>
      <c r="CPO18">
        <f t="shared" si="1791"/>
        <v>0</v>
      </c>
      <c r="CPP18">
        <f t="shared" si="1792"/>
        <v>0</v>
      </c>
      <c r="CPQ18">
        <f t="shared" si="1793"/>
        <v>0</v>
      </c>
      <c r="CPR18">
        <f t="shared" si="1794"/>
        <v>0</v>
      </c>
      <c r="CPS18">
        <f t="shared" si="1795"/>
        <v>0</v>
      </c>
      <c r="CPT18">
        <f t="shared" si="1796"/>
        <v>0</v>
      </c>
      <c r="CPU18">
        <f t="shared" si="1797"/>
        <v>0</v>
      </c>
      <c r="CPV18">
        <f t="shared" si="1798"/>
        <v>0</v>
      </c>
      <c r="CPW18">
        <f t="shared" si="1799"/>
        <v>0</v>
      </c>
      <c r="CPX18">
        <f t="shared" si="1800"/>
        <v>0</v>
      </c>
      <c r="CPY18">
        <f t="shared" si="1801"/>
        <v>0</v>
      </c>
      <c r="CPZ18">
        <f t="shared" si="1802"/>
        <v>0</v>
      </c>
      <c r="CQA18">
        <f t="shared" si="1803"/>
        <v>0</v>
      </c>
      <c r="CQB18">
        <f t="shared" si="1804"/>
        <v>0</v>
      </c>
      <c r="CQC18">
        <f t="shared" si="1805"/>
        <v>0</v>
      </c>
      <c r="CQD18">
        <f t="shared" si="1806"/>
        <v>0</v>
      </c>
      <c r="CQE18">
        <f t="shared" si="1807"/>
        <v>0</v>
      </c>
      <c r="CQF18">
        <f t="shared" si="1808"/>
        <v>0</v>
      </c>
      <c r="CQG18">
        <f t="shared" si="1809"/>
        <v>0</v>
      </c>
      <c r="CQH18">
        <f t="shared" si="1810"/>
        <v>0</v>
      </c>
      <c r="CQI18">
        <f t="shared" si="1811"/>
        <v>0</v>
      </c>
      <c r="CQJ18">
        <f t="shared" si="1812"/>
        <v>0</v>
      </c>
      <c r="CQK18">
        <f t="shared" si="1813"/>
        <v>0</v>
      </c>
      <c r="CQL18">
        <f t="shared" si="1814"/>
        <v>0</v>
      </c>
      <c r="CQM18">
        <f t="shared" si="1815"/>
        <v>0</v>
      </c>
      <c r="CQN18">
        <f t="shared" si="1816"/>
        <v>0</v>
      </c>
      <c r="CQO18">
        <f t="shared" si="1817"/>
        <v>0</v>
      </c>
      <c r="CQP18">
        <f t="shared" si="1818"/>
        <v>0</v>
      </c>
      <c r="CQQ18">
        <f t="shared" si="1819"/>
        <v>0</v>
      </c>
      <c r="CQR18">
        <f t="shared" si="1820"/>
        <v>0</v>
      </c>
      <c r="CQS18">
        <f t="shared" si="1821"/>
        <v>0</v>
      </c>
      <c r="CQT18">
        <f t="shared" si="1822"/>
        <v>0</v>
      </c>
      <c r="CQU18">
        <f t="shared" si="1823"/>
        <v>0</v>
      </c>
      <c r="CQV18">
        <f t="shared" si="1824"/>
        <v>0</v>
      </c>
      <c r="CQW18">
        <f t="shared" si="1825"/>
        <v>0</v>
      </c>
      <c r="CQX18">
        <f t="shared" si="1826"/>
        <v>0</v>
      </c>
      <c r="CQY18">
        <f t="shared" si="1827"/>
        <v>0</v>
      </c>
      <c r="CQZ18">
        <f t="shared" si="1828"/>
        <v>0</v>
      </c>
      <c r="CRA18">
        <f t="shared" si="1829"/>
        <v>0</v>
      </c>
      <c r="CRB18">
        <f t="shared" si="61"/>
        <v>0</v>
      </c>
      <c r="CRC18">
        <f t="shared" si="1830"/>
        <v>0</v>
      </c>
      <c r="CRD18">
        <f t="shared" si="1831"/>
        <v>0</v>
      </c>
      <c r="CRE18">
        <f t="shared" si="1832"/>
        <v>0</v>
      </c>
      <c r="CRF18">
        <f t="shared" si="1833"/>
        <v>0</v>
      </c>
      <c r="CRG18">
        <f t="shared" si="1834"/>
        <v>0</v>
      </c>
      <c r="CRH18">
        <f t="shared" si="1835"/>
        <v>0</v>
      </c>
      <c r="CRI18">
        <f t="shared" si="1836"/>
        <v>0</v>
      </c>
      <c r="CRJ18">
        <f t="shared" si="1837"/>
        <v>0</v>
      </c>
      <c r="CRK18">
        <f t="shared" si="1838"/>
        <v>0</v>
      </c>
      <c r="CRL18">
        <f t="shared" si="1839"/>
        <v>0</v>
      </c>
      <c r="CRM18">
        <f t="shared" si="1840"/>
        <v>0</v>
      </c>
      <c r="CRN18">
        <f t="shared" si="1841"/>
        <v>0</v>
      </c>
      <c r="CRO18">
        <f t="shared" si="1842"/>
        <v>0</v>
      </c>
      <c r="CRP18">
        <f t="shared" si="1843"/>
        <v>0</v>
      </c>
      <c r="CRQ18">
        <f t="shared" si="1844"/>
        <v>0</v>
      </c>
      <c r="CRR18">
        <f t="shared" si="1845"/>
        <v>0</v>
      </c>
      <c r="CRS18">
        <f t="shared" si="1846"/>
        <v>0</v>
      </c>
      <c r="CRT18">
        <f t="shared" si="1847"/>
        <v>0</v>
      </c>
      <c r="CRU18">
        <f t="shared" si="1848"/>
        <v>0</v>
      </c>
      <c r="CRV18">
        <f t="shared" si="1849"/>
        <v>0</v>
      </c>
      <c r="CRW18">
        <f t="shared" si="1850"/>
        <v>0</v>
      </c>
      <c r="CRX18">
        <f t="shared" si="1851"/>
        <v>0</v>
      </c>
      <c r="CRY18">
        <f t="shared" si="1852"/>
        <v>0</v>
      </c>
      <c r="CRZ18">
        <f t="shared" si="1853"/>
        <v>0</v>
      </c>
      <c r="CSA18">
        <f t="shared" si="1854"/>
        <v>0</v>
      </c>
      <c r="CSB18">
        <f t="shared" si="1855"/>
        <v>0</v>
      </c>
      <c r="CSC18">
        <f t="shared" si="1856"/>
        <v>0</v>
      </c>
      <c r="CSD18">
        <f t="shared" si="1857"/>
        <v>0</v>
      </c>
      <c r="CSE18">
        <f t="shared" si="1858"/>
        <v>0</v>
      </c>
      <c r="CSF18">
        <f t="shared" si="1859"/>
        <v>0</v>
      </c>
      <c r="CSG18">
        <f t="shared" si="1860"/>
        <v>0</v>
      </c>
      <c r="CSH18">
        <f t="shared" si="1861"/>
        <v>0</v>
      </c>
      <c r="CSI18">
        <f t="shared" si="1862"/>
        <v>0</v>
      </c>
      <c r="CSJ18">
        <f t="shared" si="1863"/>
        <v>0</v>
      </c>
      <c r="CSK18">
        <f t="shared" si="1864"/>
        <v>0</v>
      </c>
      <c r="CSL18">
        <f t="shared" si="1865"/>
        <v>0</v>
      </c>
      <c r="CSM18">
        <f t="shared" si="1866"/>
        <v>0</v>
      </c>
      <c r="CSN18">
        <f t="shared" si="1867"/>
        <v>0</v>
      </c>
      <c r="CSO18">
        <f t="shared" si="1868"/>
        <v>0</v>
      </c>
      <c r="CSP18">
        <f t="shared" si="1869"/>
        <v>0</v>
      </c>
      <c r="CSQ18">
        <f t="shared" si="1870"/>
        <v>0</v>
      </c>
      <c r="CSR18">
        <f t="shared" si="1871"/>
        <v>0</v>
      </c>
      <c r="CSS18">
        <f t="shared" si="1872"/>
        <v>0</v>
      </c>
      <c r="CST18">
        <f t="shared" si="1873"/>
        <v>0</v>
      </c>
      <c r="CSU18">
        <f t="shared" si="1874"/>
        <v>0</v>
      </c>
      <c r="CSV18">
        <f t="shared" si="1875"/>
        <v>0</v>
      </c>
      <c r="CSW18">
        <f t="shared" si="1876"/>
        <v>0</v>
      </c>
      <c r="CSX18">
        <f t="shared" si="1877"/>
        <v>0</v>
      </c>
      <c r="CSY18">
        <f t="shared" si="1878"/>
        <v>0</v>
      </c>
      <c r="CSZ18">
        <f t="shared" si="1879"/>
        <v>0</v>
      </c>
      <c r="CTA18">
        <f t="shared" si="1880"/>
        <v>0</v>
      </c>
      <c r="CTB18">
        <f t="shared" si="1881"/>
        <v>0</v>
      </c>
      <c r="CTC18">
        <f t="shared" si="1882"/>
        <v>0</v>
      </c>
      <c r="CTD18">
        <f t="shared" si="1883"/>
        <v>0</v>
      </c>
      <c r="CTE18">
        <f t="shared" si="1884"/>
        <v>0</v>
      </c>
      <c r="CTF18">
        <f t="shared" si="1885"/>
        <v>0</v>
      </c>
      <c r="CTG18">
        <f t="shared" si="1886"/>
        <v>0</v>
      </c>
      <c r="CTH18">
        <f t="shared" si="1887"/>
        <v>0</v>
      </c>
      <c r="CTI18">
        <f t="shared" si="1888"/>
        <v>0</v>
      </c>
      <c r="CTJ18">
        <f t="shared" si="1889"/>
        <v>0</v>
      </c>
      <c r="CTK18">
        <f t="shared" si="1890"/>
        <v>0</v>
      </c>
      <c r="CTL18">
        <f t="shared" si="1891"/>
        <v>0</v>
      </c>
      <c r="CTM18">
        <f t="shared" si="1892"/>
        <v>0</v>
      </c>
      <c r="CTN18">
        <f t="shared" si="62"/>
        <v>0</v>
      </c>
      <c r="CTO18">
        <f t="shared" si="1893"/>
        <v>0</v>
      </c>
      <c r="CTP18">
        <f t="shared" si="1894"/>
        <v>0</v>
      </c>
      <c r="CTQ18">
        <f t="shared" si="1895"/>
        <v>0</v>
      </c>
      <c r="CTR18">
        <f t="shared" si="1896"/>
        <v>0</v>
      </c>
      <c r="CTS18">
        <f t="shared" si="1897"/>
        <v>0</v>
      </c>
      <c r="CTT18">
        <f t="shared" si="1898"/>
        <v>0</v>
      </c>
      <c r="CTU18">
        <f t="shared" si="1899"/>
        <v>0</v>
      </c>
      <c r="CTV18">
        <f t="shared" si="1900"/>
        <v>0</v>
      </c>
      <c r="CTW18">
        <f t="shared" si="1901"/>
        <v>0</v>
      </c>
      <c r="CTX18">
        <f t="shared" si="1902"/>
        <v>0</v>
      </c>
      <c r="CTY18">
        <f t="shared" si="1903"/>
        <v>0</v>
      </c>
      <c r="CTZ18">
        <f t="shared" si="1904"/>
        <v>0</v>
      </c>
      <c r="CUA18">
        <f t="shared" si="1905"/>
        <v>0</v>
      </c>
      <c r="CUB18">
        <f t="shared" si="1906"/>
        <v>0</v>
      </c>
      <c r="CUC18">
        <f t="shared" si="1907"/>
        <v>0</v>
      </c>
      <c r="CUD18">
        <f t="shared" si="1908"/>
        <v>0</v>
      </c>
      <c r="CUE18">
        <f t="shared" si="1909"/>
        <v>0</v>
      </c>
      <c r="CUF18">
        <f t="shared" si="1910"/>
        <v>0</v>
      </c>
      <c r="CUG18">
        <f t="shared" si="1911"/>
        <v>0</v>
      </c>
      <c r="CUH18">
        <f t="shared" si="1912"/>
        <v>0</v>
      </c>
      <c r="CUI18">
        <f t="shared" si="1913"/>
        <v>0</v>
      </c>
      <c r="CUJ18">
        <f t="shared" si="1914"/>
        <v>0</v>
      </c>
      <c r="CUK18">
        <f t="shared" si="1915"/>
        <v>0</v>
      </c>
      <c r="CUL18">
        <f t="shared" si="1916"/>
        <v>0</v>
      </c>
      <c r="CUM18">
        <f t="shared" si="1917"/>
        <v>0</v>
      </c>
      <c r="CUN18">
        <f t="shared" si="1918"/>
        <v>0</v>
      </c>
      <c r="CUO18">
        <f t="shared" si="1919"/>
        <v>0</v>
      </c>
      <c r="CUP18">
        <f t="shared" si="1920"/>
        <v>0</v>
      </c>
      <c r="CUQ18">
        <f t="shared" si="1921"/>
        <v>0</v>
      </c>
      <c r="CUR18">
        <f t="shared" si="1922"/>
        <v>0</v>
      </c>
      <c r="CUS18">
        <f t="shared" si="1923"/>
        <v>0</v>
      </c>
      <c r="CUT18">
        <f t="shared" si="1924"/>
        <v>0</v>
      </c>
      <c r="CUU18">
        <f t="shared" si="1925"/>
        <v>0</v>
      </c>
      <c r="CUV18">
        <f t="shared" si="1926"/>
        <v>0</v>
      </c>
      <c r="CUW18">
        <f t="shared" si="1927"/>
        <v>0</v>
      </c>
      <c r="CUX18">
        <f t="shared" si="1928"/>
        <v>0</v>
      </c>
      <c r="CUY18">
        <f t="shared" si="1929"/>
        <v>0</v>
      </c>
      <c r="CUZ18">
        <f t="shared" si="1930"/>
        <v>0</v>
      </c>
      <c r="CVA18">
        <f t="shared" si="1931"/>
        <v>0</v>
      </c>
      <c r="CVB18">
        <f t="shared" si="1932"/>
        <v>0</v>
      </c>
      <c r="CVC18">
        <f t="shared" si="1933"/>
        <v>0</v>
      </c>
      <c r="CVD18">
        <f t="shared" si="1934"/>
        <v>0</v>
      </c>
      <c r="CVE18">
        <f t="shared" si="1935"/>
        <v>0</v>
      </c>
      <c r="CVF18">
        <f t="shared" si="1936"/>
        <v>0</v>
      </c>
      <c r="CVG18">
        <f t="shared" si="1937"/>
        <v>0</v>
      </c>
      <c r="CVH18">
        <f t="shared" si="1938"/>
        <v>0</v>
      </c>
      <c r="CVI18">
        <f t="shared" si="1939"/>
        <v>0</v>
      </c>
      <c r="CVJ18">
        <f t="shared" si="1940"/>
        <v>0</v>
      </c>
      <c r="CVK18">
        <f t="shared" si="1941"/>
        <v>0</v>
      </c>
      <c r="CVL18">
        <f t="shared" si="1942"/>
        <v>0</v>
      </c>
      <c r="CVM18">
        <f t="shared" si="1943"/>
        <v>0</v>
      </c>
      <c r="CVN18">
        <f t="shared" si="1944"/>
        <v>0</v>
      </c>
      <c r="CVO18">
        <f t="shared" si="1945"/>
        <v>0</v>
      </c>
      <c r="CVP18">
        <f t="shared" si="1946"/>
        <v>0</v>
      </c>
      <c r="CVQ18">
        <f t="shared" si="1947"/>
        <v>0</v>
      </c>
      <c r="CVR18">
        <f t="shared" si="1948"/>
        <v>0</v>
      </c>
      <c r="CVS18">
        <f t="shared" si="1949"/>
        <v>0</v>
      </c>
      <c r="CVT18">
        <f t="shared" si="1950"/>
        <v>0</v>
      </c>
      <c r="CVU18">
        <f t="shared" si="1951"/>
        <v>0</v>
      </c>
      <c r="CVV18">
        <f t="shared" si="1952"/>
        <v>0</v>
      </c>
      <c r="CVW18">
        <f t="shared" si="1953"/>
        <v>0</v>
      </c>
      <c r="CVX18">
        <f t="shared" si="1954"/>
        <v>0</v>
      </c>
      <c r="CVY18">
        <f t="shared" si="1955"/>
        <v>0</v>
      </c>
      <c r="CVZ18">
        <f t="shared" si="63"/>
        <v>0</v>
      </c>
      <c r="CWA18">
        <f t="shared" si="1956"/>
        <v>0</v>
      </c>
      <c r="CWB18">
        <f t="shared" si="1957"/>
        <v>0</v>
      </c>
      <c r="CWC18">
        <f t="shared" si="1958"/>
        <v>0</v>
      </c>
      <c r="CWD18">
        <f t="shared" si="1959"/>
        <v>0</v>
      </c>
      <c r="CWE18">
        <f t="shared" si="1960"/>
        <v>0</v>
      </c>
      <c r="CWF18">
        <f t="shared" si="1961"/>
        <v>0</v>
      </c>
      <c r="CWG18">
        <f t="shared" si="1962"/>
        <v>0</v>
      </c>
      <c r="CWH18">
        <f t="shared" si="1963"/>
        <v>0</v>
      </c>
      <c r="CWI18">
        <f t="shared" si="1964"/>
        <v>0</v>
      </c>
      <c r="CWJ18">
        <f t="shared" si="1965"/>
        <v>0</v>
      </c>
      <c r="CWK18">
        <f t="shared" si="1966"/>
        <v>0</v>
      </c>
      <c r="CWL18">
        <f t="shared" si="1967"/>
        <v>0</v>
      </c>
      <c r="CWM18">
        <f t="shared" si="1968"/>
        <v>0</v>
      </c>
      <c r="CWN18">
        <f t="shared" si="1969"/>
        <v>0</v>
      </c>
      <c r="CWO18">
        <f t="shared" si="1970"/>
        <v>0</v>
      </c>
      <c r="CWP18">
        <f t="shared" si="1971"/>
        <v>0</v>
      </c>
      <c r="CWQ18">
        <f t="shared" si="1972"/>
        <v>0</v>
      </c>
      <c r="CWR18">
        <f t="shared" si="1973"/>
        <v>0</v>
      </c>
      <c r="CWS18">
        <f t="shared" si="1974"/>
        <v>0</v>
      </c>
      <c r="CWT18">
        <f t="shared" si="1975"/>
        <v>0</v>
      </c>
      <c r="CWU18">
        <f t="shared" si="1976"/>
        <v>0</v>
      </c>
      <c r="CWV18">
        <f t="shared" si="1977"/>
        <v>0</v>
      </c>
      <c r="CWW18">
        <f t="shared" si="1978"/>
        <v>0</v>
      </c>
      <c r="CWX18">
        <f t="shared" si="1979"/>
        <v>0</v>
      </c>
      <c r="CWY18">
        <f t="shared" si="1980"/>
        <v>0</v>
      </c>
      <c r="CWZ18">
        <f t="shared" si="1981"/>
        <v>0</v>
      </c>
      <c r="CXA18">
        <f t="shared" si="1982"/>
        <v>0</v>
      </c>
      <c r="CXB18">
        <f t="shared" si="1983"/>
        <v>0</v>
      </c>
      <c r="CXC18">
        <f t="shared" si="1984"/>
        <v>0</v>
      </c>
      <c r="CXD18">
        <f t="shared" si="1985"/>
        <v>0</v>
      </c>
      <c r="CXE18">
        <f t="shared" si="1986"/>
        <v>0</v>
      </c>
      <c r="CXF18">
        <f t="shared" si="1987"/>
        <v>0</v>
      </c>
      <c r="CXG18">
        <f t="shared" si="1988"/>
        <v>0</v>
      </c>
      <c r="CXH18">
        <f t="shared" si="1989"/>
        <v>0</v>
      </c>
      <c r="CXI18">
        <f t="shared" si="1990"/>
        <v>0</v>
      </c>
      <c r="CXJ18">
        <f t="shared" si="1991"/>
        <v>0</v>
      </c>
      <c r="CXK18">
        <f t="shared" si="1992"/>
        <v>0</v>
      </c>
      <c r="CXL18">
        <f t="shared" si="1993"/>
        <v>0</v>
      </c>
      <c r="CXM18">
        <f t="shared" si="1994"/>
        <v>0</v>
      </c>
      <c r="CXN18">
        <f t="shared" si="1995"/>
        <v>0</v>
      </c>
      <c r="CXO18">
        <f t="shared" si="1996"/>
        <v>0</v>
      </c>
      <c r="CXP18">
        <f t="shared" si="1997"/>
        <v>0</v>
      </c>
      <c r="CXQ18">
        <f t="shared" si="1998"/>
        <v>0</v>
      </c>
      <c r="CXR18">
        <f t="shared" si="1999"/>
        <v>0</v>
      </c>
      <c r="CXS18">
        <f t="shared" si="2000"/>
        <v>0</v>
      </c>
      <c r="CXT18">
        <f t="shared" si="2001"/>
        <v>0</v>
      </c>
      <c r="CXU18">
        <f t="shared" si="2002"/>
        <v>0</v>
      </c>
      <c r="CXV18">
        <f t="shared" si="2003"/>
        <v>0</v>
      </c>
      <c r="CXW18">
        <f t="shared" si="2004"/>
        <v>0</v>
      </c>
      <c r="CXX18">
        <f t="shared" si="2005"/>
        <v>0</v>
      </c>
      <c r="CXY18">
        <f t="shared" si="2006"/>
        <v>0</v>
      </c>
      <c r="CXZ18">
        <f t="shared" si="2007"/>
        <v>0</v>
      </c>
      <c r="CYA18">
        <f t="shared" si="2008"/>
        <v>0</v>
      </c>
      <c r="CYB18">
        <f t="shared" si="2009"/>
        <v>0</v>
      </c>
      <c r="CYC18">
        <f t="shared" si="2010"/>
        <v>0</v>
      </c>
      <c r="CYD18">
        <f t="shared" si="2011"/>
        <v>0</v>
      </c>
      <c r="CYE18">
        <f t="shared" si="2012"/>
        <v>0</v>
      </c>
      <c r="CYF18">
        <f t="shared" si="2013"/>
        <v>0</v>
      </c>
      <c r="CYG18">
        <f t="shared" si="2014"/>
        <v>0</v>
      </c>
      <c r="CYH18">
        <f t="shared" si="2015"/>
        <v>0</v>
      </c>
      <c r="CYI18">
        <f t="shared" si="2016"/>
        <v>0</v>
      </c>
      <c r="CYJ18">
        <f t="shared" si="2017"/>
        <v>0</v>
      </c>
      <c r="CYK18">
        <f t="shared" si="2018"/>
        <v>0</v>
      </c>
      <c r="CYL18">
        <f t="shared" si="64"/>
        <v>0</v>
      </c>
      <c r="CYM18">
        <f t="shared" si="2019"/>
        <v>0</v>
      </c>
      <c r="CYN18">
        <f t="shared" si="2020"/>
        <v>0</v>
      </c>
      <c r="CYO18">
        <f t="shared" si="2021"/>
        <v>0</v>
      </c>
      <c r="CYP18">
        <f t="shared" si="2022"/>
        <v>0</v>
      </c>
      <c r="CYQ18">
        <f t="shared" si="2023"/>
        <v>0</v>
      </c>
      <c r="CYR18">
        <f t="shared" si="2024"/>
        <v>0</v>
      </c>
      <c r="CYS18">
        <f t="shared" si="2025"/>
        <v>0</v>
      </c>
      <c r="CYT18">
        <f t="shared" si="2026"/>
        <v>0</v>
      </c>
      <c r="CYU18">
        <f t="shared" si="2027"/>
        <v>0</v>
      </c>
      <c r="CYV18">
        <f t="shared" si="2028"/>
        <v>0</v>
      </c>
      <c r="CYW18">
        <f t="shared" si="2029"/>
        <v>0</v>
      </c>
      <c r="CYX18">
        <f t="shared" si="2030"/>
        <v>0</v>
      </c>
      <c r="CYY18">
        <f t="shared" si="2031"/>
        <v>0</v>
      </c>
      <c r="CYZ18">
        <f t="shared" si="2032"/>
        <v>0</v>
      </c>
      <c r="CZA18">
        <f t="shared" si="2033"/>
        <v>0</v>
      </c>
      <c r="CZB18">
        <f t="shared" si="2034"/>
        <v>0</v>
      </c>
      <c r="CZC18">
        <f t="shared" si="2035"/>
        <v>0</v>
      </c>
      <c r="CZD18">
        <f t="shared" si="2036"/>
        <v>0</v>
      </c>
      <c r="CZE18">
        <f t="shared" si="2037"/>
        <v>0</v>
      </c>
      <c r="CZF18">
        <f t="shared" si="2038"/>
        <v>0</v>
      </c>
      <c r="CZG18">
        <f t="shared" si="2039"/>
        <v>0</v>
      </c>
      <c r="CZH18">
        <f t="shared" si="2040"/>
        <v>0</v>
      </c>
      <c r="CZI18">
        <f t="shared" si="2041"/>
        <v>0</v>
      </c>
      <c r="CZJ18">
        <f t="shared" si="2042"/>
        <v>0</v>
      </c>
      <c r="CZK18">
        <f t="shared" si="2043"/>
        <v>0</v>
      </c>
      <c r="CZL18">
        <f t="shared" si="2044"/>
        <v>0</v>
      </c>
      <c r="CZM18">
        <f t="shared" si="2045"/>
        <v>0</v>
      </c>
      <c r="CZN18">
        <f t="shared" si="2046"/>
        <v>0</v>
      </c>
      <c r="CZO18">
        <f t="shared" si="2047"/>
        <v>0</v>
      </c>
      <c r="CZP18">
        <f t="shared" si="2048"/>
        <v>0</v>
      </c>
      <c r="CZQ18">
        <f t="shared" si="2049"/>
        <v>0</v>
      </c>
      <c r="CZR18">
        <f t="shared" si="2050"/>
        <v>0</v>
      </c>
      <c r="CZS18">
        <f t="shared" si="2051"/>
        <v>0</v>
      </c>
      <c r="CZT18">
        <f t="shared" si="2052"/>
        <v>0</v>
      </c>
      <c r="CZU18">
        <f t="shared" si="2053"/>
        <v>0</v>
      </c>
      <c r="CZV18">
        <f t="shared" si="2054"/>
        <v>0</v>
      </c>
      <c r="CZW18">
        <f t="shared" si="2055"/>
        <v>0</v>
      </c>
      <c r="CZX18">
        <f t="shared" si="2056"/>
        <v>0</v>
      </c>
      <c r="CZY18">
        <f t="shared" si="2057"/>
        <v>0</v>
      </c>
      <c r="CZZ18">
        <f t="shared" si="2058"/>
        <v>0</v>
      </c>
      <c r="DAA18">
        <f t="shared" si="2059"/>
        <v>0</v>
      </c>
      <c r="DAB18">
        <f t="shared" si="2060"/>
        <v>0</v>
      </c>
      <c r="DAC18">
        <f t="shared" si="2061"/>
        <v>0</v>
      </c>
      <c r="DAD18">
        <f t="shared" si="2062"/>
        <v>0</v>
      </c>
      <c r="DAE18">
        <f t="shared" si="2063"/>
        <v>0</v>
      </c>
      <c r="DAF18">
        <f t="shared" si="2064"/>
        <v>0</v>
      </c>
      <c r="DAG18">
        <f t="shared" si="2065"/>
        <v>0</v>
      </c>
      <c r="DAH18">
        <f t="shared" si="2066"/>
        <v>0</v>
      </c>
      <c r="DAI18">
        <f t="shared" si="2067"/>
        <v>0</v>
      </c>
      <c r="DAJ18">
        <f t="shared" si="2068"/>
        <v>0</v>
      </c>
      <c r="DAK18">
        <f t="shared" si="2069"/>
        <v>0</v>
      </c>
      <c r="DAL18">
        <f t="shared" si="2070"/>
        <v>0</v>
      </c>
      <c r="DAM18">
        <f t="shared" si="2071"/>
        <v>0</v>
      </c>
      <c r="DAN18">
        <f t="shared" si="2072"/>
        <v>0</v>
      </c>
      <c r="DAO18">
        <f t="shared" si="2073"/>
        <v>0</v>
      </c>
      <c r="DAP18">
        <f t="shared" si="2074"/>
        <v>0</v>
      </c>
      <c r="DAQ18">
        <f t="shared" si="2075"/>
        <v>0</v>
      </c>
      <c r="DAR18">
        <f t="shared" si="2076"/>
        <v>0</v>
      </c>
      <c r="DAS18">
        <f t="shared" si="2077"/>
        <v>0</v>
      </c>
      <c r="DAT18">
        <f t="shared" si="2078"/>
        <v>0</v>
      </c>
      <c r="DAU18">
        <f t="shared" si="2079"/>
        <v>0</v>
      </c>
      <c r="DAV18">
        <f t="shared" si="2080"/>
        <v>0</v>
      </c>
      <c r="DAW18">
        <f t="shared" si="2081"/>
        <v>0</v>
      </c>
      <c r="DAX18">
        <f t="shared" si="65"/>
        <v>0</v>
      </c>
      <c r="DAY18">
        <f t="shared" si="2142"/>
        <v>0</v>
      </c>
      <c r="DAZ18">
        <f t="shared" si="2143"/>
        <v>0</v>
      </c>
      <c r="DBA18">
        <f t="shared" si="2144"/>
        <v>0</v>
      </c>
      <c r="DBB18">
        <f t="shared" si="2082"/>
        <v>0</v>
      </c>
      <c r="DBC18">
        <f t="shared" si="2083"/>
        <v>0</v>
      </c>
      <c r="DBD18">
        <f t="shared" si="2084"/>
        <v>0</v>
      </c>
      <c r="DBE18">
        <f t="shared" si="2085"/>
        <v>0</v>
      </c>
      <c r="DBF18">
        <f t="shared" si="2086"/>
        <v>0</v>
      </c>
      <c r="DBG18">
        <f t="shared" si="2087"/>
        <v>0</v>
      </c>
      <c r="DBH18">
        <f t="shared" si="2088"/>
        <v>0</v>
      </c>
      <c r="DBI18">
        <f t="shared" si="2089"/>
        <v>0</v>
      </c>
      <c r="DBJ18">
        <f t="shared" si="2090"/>
        <v>0</v>
      </c>
      <c r="DBK18">
        <f t="shared" si="2091"/>
        <v>0</v>
      </c>
      <c r="DBL18">
        <f t="shared" si="2092"/>
        <v>0</v>
      </c>
      <c r="DBM18">
        <f t="shared" si="2093"/>
        <v>0</v>
      </c>
      <c r="DBN18">
        <f t="shared" si="2094"/>
        <v>0</v>
      </c>
      <c r="DBO18">
        <f t="shared" si="2095"/>
        <v>0</v>
      </c>
      <c r="DBP18">
        <f t="shared" si="2096"/>
        <v>0</v>
      </c>
      <c r="DBQ18">
        <f t="shared" si="2097"/>
        <v>0</v>
      </c>
      <c r="DBR18">
        <f t="shared" si="2098"/>
        <v>0</v>
      </c>
      <c r="DBS18">
        <f t="shared" si="2099"/>
        <v>0</v>
      </c>
      <c r="DBT18">
        <f t="shared" si="2100"/>
        <v>0</v>
      </c>
      <c r="DBU18">
        <f t="shared" si="2101"/>
        <v>0</v>
      </c>
      <c r="DBV18">
        <f t="shared" si="2102"/>
        <v>0</v>
      </c>
      <c r="DBW18">
        <f t="shared" si="2103"/>
        <v>0</v>
      </c>
      <c r="DBX18">
        <f t="shared" si="2104"/>
        <v>0</v>
      </c>
      <c r="DBY18">
        <f t="shared" si="2105"/>
        <v>0</v>
      </c>
      <c r="DBZ18">
        <f t="shared" si="2106"/>
        <v>0</v>
      </c>
      <c r="DCA18">
        <f t="shared" si="2107"/>
        <v>0</v>
      </c>
      <c r="DCB18">
        <f t="shared" si="2108"/>
        <v>0</v>
      </c>
      <c r="DCC18">
        <f t="shared" si="2109"/>
        <v>0</v>
      </c>
      <c r="DCD18">
        <f t="shared" si="2110"/>
        <v>0</v>
      </c>
      <c r="DCE18">
        <f t="shared" si="2111"/>
        <v>0</v>
      </c>
      <c r="DCF18">
        <f t="shared" si="2112"/>
        <v>0</v>
      </c>
      <c r="DCG18">
        <f t="shared" si="2113"/>
        <v>0</v>
      </c>
      <c r="DCH18">
        <f t="shared" si="2114"/>
        <v>0</v>
      </c>
      <c r="DCI18">
        <f t="shared" si="2115"/>
        <v>0</v>
      </c>
      <c r="DCJ18">
        <f t="shared" si="2116"/>
        <v>0</v>
      </c>
      <c r="DCK18">
        <f t="shared" si="2117"/>
        <v>0</v>
      </c>
      <c r="DCL18">
        <f t="shared" si="2118"/>
        <v>0</v>
      </c>
      <c r="DCM18">
        <f t="shared" si="2119"/>
        <v>0</v>
      </c>
      <c r="DCN18">
        <f t="shared" si="2120"/>
        <v>0</v>
      </c>
      <c r="DCO18">
        <f t="shared" si="2121"/>
        <v>0</v>
      </c>
      <c r="DCP18">
        <f t="shared" si="2122"/>
        <v>0</v>
      </c>
      <c r="DCQ18">
        <f t="shared" si="2123"/>
        <v>0</v>
      </c>
      <c r="DCR18">
        <f t="shared" si="2124"/>
        <v>0</v>
      </c>
      <c r="DCS18">
        <f t="shared" si="2125"/>
        <v>0</v>
      </c>
      <c r="DCT18">
        <f t="shared" si="2126"/>
        <v>0</v>
      </c>
      <c r="DCU18">
        <f t="shared" si="2127"/>
        <v>0</v>
      </c>
      <c r="DCV18">
        <f t="shared" si="2128"/>
        <v>0</v>
      </c>
      <c r="DCW18">
        <f t="shared" si="2129"/>
        <v>0</v>
      </c>
      <c r="DCX18">
        <f t="shared" si="2130"/>
        <v>0</v>
      </c>
      <c r="DCY18">
        <f t="shared" si="2131"/>
        <v>0</v>
      </c>
      <c r="DCZ18">
        <f t="shared" si="2132"/>
        <v>0</v>
      </c>
      <c r="DDA18">
        <f t="shared" si="2133"/>
        <v>0</v>
      </c>
      <c r="DDB18">
        <f t="shared" si="2134"/>
        <v>0</v>
      </c>
      <c r="DDC18">
        <f t="shared" si="2135"/>
        <v>0</v>
      </c>
      <c r="DDD18">
        <f t="shared" si="2136"/>
        <v>0</v>
      </c>
      <c r="DDE18">
        <f t="shared" si="2137"/>
        <v>0</v>
      </c>
      <c r="DDF18">
        <f t="shared" si="2138"/>
        <v>0</v>
      </c>
      <c r="DDG18">
        <f t="shared" si="2139"/>
        <v>0</v>
      </c>
      <c r="DDH18">
        <f t="shared" si="2140"/>
        <v>0</v>
      </c>
      <c r="DDI18">
        <f t="shared" si="2141"/>
        <v>0</v>
      </c>
    </row>
    <row r="19" spans="1:2817" x14ac:dyDescent="0.2">
      <c r="A19" s="1">
        <v>13</v>
      </c>
      <c r="B19">
        <f>'Demand Stage 2'!B18</f>
        <v>0</v>
      </c>
      <c r="C19">
        <f>'Demand Stage 2'!C18</f>
        <v>0</v>
      </c>
      <c r="D19">
        <f>'Demand Stage 2'!D18</f>
        <v>0</v>
      </c>
      <c r="E19">
        <f>'Demand Stage 2'!E18</f>
        <v>0</v>
      </c>
      <c r="F19">
        <f>'Demand Stage 2'!F18</f>
        <v>0</v>
      </c>
      <c r="G19">
        <f>'Demand Stage 2'!G18</f>
        <v>0</v>
      </c>
      <c r="H19">
        <f>'Demand Stage 2'!H18</f>
        <v>0</v>
      </c>
      <c r="I19">
        <f>'Demand Stage 2'!I18</f>
        <v>0</v>
      </c>
      <c r="J19">
        <f>'Demand Stage 2'!J18</f>
        <v>0</v>
      </c>
      <c r="K19">
        <f>'Demand Stage 2'!K18</f>
        <v>0</v>
      </c>
      <c r="L19">
        <f>'Demand Stage 2'!L18</f>
        <v>0</v>
      </c>
      <c r="M19">
        <f>'Demand Stage 2'!M18</f>
        <v>0</v>
      </c>
      <c r="N19">
        <f>'Demand Stage 2'!N18</f>
        <v>0</v>
      </c>
      <c r="O19">
        <f>'Demand Stage 2'!O18</f>
        <v>0</v>
      </c>
      <c r="P19">
        <f>'Demand Stage 2'!P18</f>
        <v>0</v>
      </c>
      <c r="Q19">
        <f>'Demand Stage 2'!Q18</f>
        <v>0</v>
      </c>
      <c r="R19">
        <f>'Demand Stage 2'!R18</f>
        <v>0</v>
      </c>
      <c r="S19">
        <f>'Demand Stage 2'!S18</f>
        <v>0</v>
      </c>
      <c r="T19">
        <f>'Demand Stage 2'!T18</f>
        <v>0</v>
      </c>
      <c r="U19">
        <f>'Demand Stage 2'!U18</f>
        <v>0</v>
      </c>
      <c r="V19">
        <f>'Demand Stage 2'!V18</f>
        <v>0</v>
      </c>
      <c r="W19">
        <f>'Demand Stage 2'!W18</f>
        <v>0</v>
      </c>
      <c r="X19">
        <f>'Demand Stage 2'!X18</f>
        <v>0</v>
      </c>
      <c r="Y19">
        <f>'Demand Stage 2'!Y18</f>
        <v>0</v>
      </c>
      <c r="Z19">
        <f>'Demand Stage 2'!Z18</f>
        <v>0</v>
      </c>
      <c r="AA19">
        <f>'Demand Stage 2'!AA18</f>
        <v>0</v>
      </c>
      <c r="AB19">
        <f>'Demand Stage 2'!AB18</f>
        <v>0</v>
      </c>
      <c r="AC19">
        <f>'Demand Stage 2'!AC18</f>
        <v>0</v>
      </c>
      <c r="AD19">
        <f>'Demand Stage 2'!AD18</f>
        <v>0</v>
      </c>
      <c r="AE19">
        <f>'Demand Stage 2'!AE18</f>
        <v>0</v>
      </c>
      <c r="AF19">
        <f>'Demand Stage 2'!AF18</f>
        <v>0</v>
      </c>
      <c r="AG19">
        <f>'Demand Stage 2'!AG18</f>
        <v>0</v>
      </c>
      <c r="AH19">
        <f>'Demand Stage 2'!AH18</f>
        <v>0</v>
      </c>
      <c r="AI19">
        <f>'Demand Stage 2'!AI18</f>
        <v>0</v>
      </c>
      <c r="AJ19">
        <f>'Demand Stage 2'!AJ18</f>
        <v>0</v>
      </c>
      <c r="AK19">
        <f>'Demand Stage 2'!AK18</f>
        <v>0</v>
      </c>
      <c r="AL19">
        <f>'Demand Stage 2'!AL18</f>
        <v>0</v>
      </c>
      <c r="AM19">
        <f>'Demand Stage 2'!AM18</f>
        <v>0</v>
      </c>
      <c r="AN19">
        <f>'Demand Stage 2'!AN18</f>
        <v>0</v>
      </c>
      <c r="AO19">
        <f>'Demand Stage 2'!AO18</f>
        <v>0</v>
      </c>
      <c r="AP19">
        <f>'Demand Stage 2'!AP18</f>
        <v>0</v>
      </c>
      <c r="AQ19">
        <f>'Demand Stage 2'!AQ18</f>
        <v>0</v>
      </c>
      <c r="AR19">
        <f>'Demand Stage 2'!AR18</f>
        <v>0</v>
      </c>
      <c r="AS19">
        <f>'Demand Stage 2'!AS18</f>
        <v>0</v>
      </c>
      <c r="AT19">
        <f>'Demand Stage 2'!AT18</f>
        <v>0</v>
      </c>
      <c r="AU19">
        <f>'Demand Stage 2'!AU18</f>
        <v>0</v>
      </c>
      <c r="AV19">
        <f>'Demand Stage 2'!AV18</f>
        <v>0</v>
      </c>
      <c r="AW19">
        <f>'Demand Stage 2'!AW18</f>
        <v>0</v>
      </c>
      <c r="AX19">
        <f>'Demand Stage 2'!AX18</f>
        <v>0</v>
      </c>
      <c r="AY19">
        <f>'Demand Stage 2'!AY18</f>
        <v>0</v>
      </c>
      <c r="AZ19">
        <f>'Demand Stage 2'!AZ18</f>
        <v>0</v>
      </c>
      <c r="BA19">
        <f>'Demand Stage 2'!BA18</f>
        <v>0</v>
      </c>
      <c r="BB19">
        <f>'Demand Stage 2'!BB18</f>
        <v>0</v>
      </c>
      <c r="BC19">
        <f>'Demand Stage 2'!BC18</f>
        <v>0</v>
      </c>
      <c r="BD19">
        <f>'Demand Stage 2'!BD18</f>
        <v>0</v>
      </c>
      <c r="BE19">
        <f>'Demand Stage 2'!BE18</f>
        <v>0</v>
      </c>
      <c r="BF19">
        <f>'Demand Stage 2'!BF18</f>
        <v>0</v>
      </c>
      <c r="BG19">
        <f>'Demand Stage 2'!BG18</f>
        <v>0</v>
      </c>
      <c r="BH19">
        <f>'Demand Stage 2'!BH18</f>
        <v>0</v>
      </c>
      <c r="BI19">
        <f>'Demand Stage 2'!BI18</f>
        <v>0</v>
      </c>
      <c r="BJ19">
        <f>'Demand Stage 2'!BJ18</f>
        <v>0</v>
      </c>
      <c r="BK19">
        <f>'Demand Stage 2'!BK18</f>
        <v>0</v>
      </c>
      <c r="BL19">
        <f>'Demand Stage 2'!BL18</f>
        <v>0</v>
      </c>
      <c r="BM19">
        <f>'Demand Stage 2'!BM18</f>
        <v>0</v>
      </c>
      <c r="BN19">
        <f>'Demand Stage 2'!BN18</f>
        <v>0</v>
      </c>
      <c r="BO19">
        <f>'Demand Stage 2'!BO18</f>
        <v>0</v>
      </c>
      <c r="BP19">
        <f>'Demand Stage 2'!BP18</f>
        <v>0</v>
      </c>
      <c r="BQ19">
        <f>'Demand Stage 2'!BQ18</f>
        <v>0</v>
      </c>
      <c r="BR19">
        <f>'Demand Stage 2'!BR18</f>
        <v>0</v>
      </c>
      <c r="BS19">
        <f>'Demand Stage 2'!BS18</f>
        <v>0</v>
      </c>
      <c r="BT19">
        <f>'Demand Stage 2'!BT18</f>
        <v>0</v>
      </c>
      <c r="BU19">
        <f>'Demand Stage 2'!BU18</f>
        <v>0</v>
      </c>
      <c r="BV19">
        <f>'Demand Stage 2'!BV18</f>
        <v>0</v>
      </c>
      <c r="BW19">
        <f>'Demand Stage 2'!BW18</f>
        <v>0</v>
      </c>
      <c r="BX19">
        <f>'Demand Stage 2'!BX18</f>
        <v>0</v>
      </c>
      <c r="BY19">
        <f>'Demand Stage 2'!BY18</f>
        <v>0</v>
      </c>
      <c r="BZ19">
        <f>'Demand Stage 2'!BZ18</f>
        <v>0</v>
      </c>
      <c r="CA19">
        <f>'Demand Stage 2'!CA18</f>
        <v>0</v>
      </c>
      <c r="CB19">
        <f>'Demand Stage 2'!CB18</f>
        <v>0</v>
      </c>
      <c r="CC19">
        <f>'Demand Stage 2'!CC18</f>
        <v>0</v>
      </c>
      <c r="CD19">
        <f>'Demand Stage 2'!CD18</f>
        <v>0</v>
      </c>
      <c r="CE19">
        <f>'Demand Stage 2'!CE18</f>
        <v>0</v>
      </c>
      <c r="CF19">
        <f>'Demand Stage 2'!CF18</f>
        <v>0</v>
      </c>
      <c r="CG19">
        <f>'Demand Stage 2'!CG18</f>
        <v>0</v>
      </c>
      <c r="CH19">
        <f>'Demand Stage 2'!CH18</f>
        <v>0</v>
      </c>
      <c r="CI19">
        <f>'Demand Stage 2'!CI18</f>
        <v>0</v>
      </c>
      <c r="CJ19">
        <f>'Demand Stage 2'!CJ18</f>
        <v>0</v>
      </c>
      <c r="CK19">
        <f>'Demand Stage 2'!CK18</f>
        <v>0</v>
      </c>
      <c r="CL19">
        <f>'Demand Stage 2'!CL18</f>
        <v>0</v>
      </c>
      <c r="CM19">
        <f>'Demand Stage 2'!CM18</f>
        <v>0</v>
      </c>
      <c r="CN19">
        <f>'Demand Stage 2'!CN18</f>
        <v>0</v>
      </c>
      <c r="CO19">
        <f>'Demand Stage 2'!CO18</f>
        <v>0</v>
      </c>
      <c r="CP19">
        <f>'Demand Stage 2'!CP18</f>
        <v>0</v>
      </c>
      <c r="CQ19">
        <f>'Demand Stage 2'!CQ18</f>
        <v>0</v>
      </c>
      <c r="CR19">
        <f>'Demand Stage 2'!CR18</f>
        <v>0</v>
      </c>
      <c r="CS19">
        <f>'Demand Stage 2'!CS18</f>
        <v>0</v>
      </c>
      <c r="CT19">
        <f>'Demand Stage 2'!CT18</f>
        <v>0</v>
      </c>
      <c r="CU19">
        <f>'Demand Stage 2'!CU18</f>
        <v>0</v>
      </c>
      <c r="CV19">
        <f>'Demand Stage 2'!CV18</f>
        <v>0</v>
      </c>
      <c r="CW19">
        <f>'Demand Stage 2'!CW18</f>
        <v>0</v>
      </c>
      <c r="CX19">
        <f>'Demand Stage 2'!CX18</f>
        <v>0</v>
      </c>
      <c r="CY19">
        <f>'Demand Stage 2'!CY18</f>
        <v>0</v>
      </c>
      <c r="CZ19">
        <f>'Demand Stage 2'!CZ18</f>
        <v>0</v>
      </c>
      <c r="DA19">
        <f>'Demand Stage 2'!DA18</f>
        <v>0</v>
      </c>
      <c r="DB19">
        <f>'Demand Stage 2'!DB18</f>
        <v>0</v>
      </c>
      <c r="DC19">
        <f>'Demand Stage 2'!DC18</f>
        <v>0</v>
      </c>
      <c r="DD19">
        <f>'Demand Stage 2'!DD18</f>
        <v>0</v>
      </c>
      <c r="DE19">
        <f>'Demand Stage 2'!DE18</f>
        <v>0</v>
      </c>
      <c r="DF19">
        <f>'Demand Stage 2'!DF18</f>
        <v>0</v>
      </c>
      <c r="DG19">
        <f>'Demand Stage 2'!DG18</f>
        <v>0</v>
      </c>
      <c r="DH19">
        <f>'Demand Stage 2'!DH18</f>
        <v>0</v>
      </c>
      <c r="DI19">
        <f>'Demand Stage 2'!DI18</f>
        <v>0</v>
      </c>
      <c r="DJ19">
        <f>'Demand Stage 2'!DJ18</f>
        <v>0</v>
      </c>
      <c r="DK19">
        <f>'Demand Stage 2'!DK18</f>
        <v>0</v>
      </c>
      <c r="DL19">
        <f>'Demand Stage 2'!DL18</f>
        <v>0</v>
      </c>
      <c r="DM19">
        <f>'Demand Stage 2'!DM18</f>
        <v>0</v>
      </c>
      <c r="DN19">
        <f>'Demand Stage 2'!DN18</f>
        <v>0</v>
      </c>
      <c r="DO19">
        <f>'Demand Stage 2'!DO18</f>
        <v>0</v>
      </c>
      <c r="DP19">
        <f>'Demand Stage 2'!DP18</f>
        <v>0</v>
      </c>
      <c r="DQ19">
        <f>'Demand Stage 2'!DQ18</f>
        <v>0</v>
      </c>
      <c r="DR19">
        <f>'Demand Stage 2'!DR18</f>
        <v>0</v>
      </c>
      <c r="DS19">
        <f>'Demand Stage 2'!DS18</f>
        <v>0</v>
      </c>
      <c r="DT19">
        <f>'Demand Stage 2'!DT18</f>
        <v>0</v>
      </c>
      <c r="DU19">
        <f>'Demand Stage 2'!DU18</f>
        <v>0</v>
      </c>
      <c r="DV19">
        <f>'Demand Stage 2'!DV18</f>
        <v>0</v>
      </c>
      <c r="DW19">
        <f>'Demand Stage 2'!DW18</f>
        <v>0</v>
      </c>
      <c r="DX19">
        <f>'Demand Stage 2'!DX18</f>
        <v>0</v>
      </c>
      <c r="DY19">
        <f>'Demand Stage 2'!DY18</f>
        <v>0</v>
      </c>
      <c r="DZ19">
        <f>'Demand Stage 2'!DZ18</f>
        <v>0</v>
      </c>
      <c r="EA19">
        <f>'Demand Stage 2'!EA18</f>
        <v>0</v>
      </c>
      <c r="EB19">
        <f>'Demand Stage 2'!EB18</f>
        <v>0</v>
      </c>
      <c r="EC19">
        <f>'Demand Stage 2'!EC18</f>
        <v>0</v>
      </c>
      <c r="ED19">
        <f>'Demand Stage 2'!ED18</f>
        <v>0</v>
      </c>
      <c r="EE19">
        <f>'Demand Stage 2'!EE18</f>
        <v>0</v>
      </c>
      <c r="EF19">
        <f>'Demand Stage 2'!EF18</f>
        <v>0</v>
      </c>
      <c r="EG19">
        <f>'Demand Stage 2'!EG18</f>
        <v>0</v>
      </c>
      <c r="EH19">
        <f>'Demand Stage 2'!EH18</f>
        <v>0</v>
      </c>
      <c r="EI19">
        <f>'Demand Stage 2'!EI18</f>
        <v>0</v>
      </c>
      <c r="EJ19">
        <f>'Demand Stage 2'!EJ18</f>
        <v>0</v>
      </c>
      <c r="EK19">
        <f>'Demand Stage 2'!EK18</f>
        <v>0</v>
      </c>
      <c r="EL19">
        <f>'Demand Stage 2'!EL18</f>
        <v>0</v>
      </c>
      <c r="EM19">
        <f>'Demand Stage 2'!EM18</f>
        <v>0</v>
      </c>
      <c r="EN19">
        <f>'Demand Stage 2'!EN18</f>
        <v>0</v>
      </c>
      <c r="EO19">
        <f>'Demand Stage 2'!EO18</f>
        <v>0</v>
      </c>
      <c r="EP19">
        <f>'Demand Stage 2'!EP18</f>
        <v>0</v>
      </c>
      <c r="EQ19">
        <f>'Demand Stage 2'!EQ18</f>
        <v>0</v>
      </c>
      <c r="ER19">
        <f>'Demand Stage 2'!ER18</f>
        <v>0</v>
      </c>
      <c r="ES19">
        <f>'Demand Stage 2'!ES18</f>
        <v>0</v>
      </c>
      <c r="ET19">
        <f>'Demand Stage 2'!ET18</f>
        <v>0</v>
      </c>
      <c r="EU19">
        <f>'Demand Stage 2'!EU18</f>
        <v>0</v>
      </c>
      <c r="EV19">
        <f>'Demand Stage 2'!EV18</f>
        <v>0</v>
      </c>
      <c r="EW19">
        <f>'Demand Stage 2'!EW18</f>
        <v>0</v>
      </c>
      <c r="EX19">
        <f>'Demand Stage 2'!EX18</f>
        <v>0</v>
      </c>
      <c r="EY19">
        <f>'Demand Stage 2'!EY18</f>
        <v>0</v>
      </c>
      <c r="EZ19">
        <f>'Demand Stage 2'!EZ18</f>
        <v>0</v>
      </c>
      <c r="FA19">
        <f>'Demand Stage 2'!FA18</f>
        <v>0</v>
      </c>
      <c r="FB19">
        <f>'Demand Stage 2'!FB18</f>
        <v>0</v>
      </c>
      <c r="FC19">
        <f>'Demand Stage 2'!FC18</f>
        <v>0</v>
      </c>
      <c r="FD19">
        <f>'Demand Stage 2'!FD18</f>
        <v>0</v>
      </c>
      <c r="FE19">
        <f>'Demand Stage 2'!FE18</f>
        <v>0</v>
      </c>
      <c r="FF19">
        <f>'Demand Stage 2'!FF18</f>
        <v>0</v>
      </c>
      <c r="FG19">
        <f>'Demand Stage 2'!FG18</f>
        <v>0</v>
      </c>
      <c r="FH19">
        <f>'Demand Stage 2'!FH18</f>
        <v>0</v>
      </c>
      <c r="FI19">
        <f>'Demand Stage 2'!FI18</f>
        <v>0</v>
      </c>
      <c r="FJ19">
        <f>'Demand Stage 2'!FJ18</f>
        <v>0</v>
      </c>
      <c r="FK19">
        <f>'Demand Stage 2'!FK18</f>
        <v>0</v>
      </c>
      <c r="FL19">
        <f>'Demand Stage 2'!FL18</f>
        <v>0</v>
      </c>
      <c r="FM19">
        <f>'Demand Stage 2'!FM18</f>
        <v>0</v>
      </c>
      <c r="FN19">
        <f>'Demand Stage 2'!FN18</f>
        <v>0</v>
      </c>
      <c r="FO19">
        <f>'Demand Stage 2'!FO18</f>
        <v>0</v>
      </c>
      <c r="FP19">
        <f>'Demand Stage 2'!FP18</f>
        <v>0</v>
      </c>
      <c r="FQ19">
        <f>'Demand Stage 2'!FQ18</f>
        <v>0</v>
      </c>
      <c r="FR19">
        <f>'Demand Stage 2'!FR18</f>
        <v>0</v>
      </c>
      <c r="FS19">
        <f>'Demand Stage 2'!FS18</f>
        <v>0</v>
      </c>
      <c r="FT19">
        <f>'Demand Stage 2'!FT18</f>
        <v>0</v>
      </c>
      <c r="FU19">
        <f>'Demand Stage 2'!FU18</f>
        <v>0</v>
      </c>
      <c r="FV19">
        <f>'Demand Stage 2'!FV18</f>
        <v>0</v>
      </c>
      <c r="FW19">
        <f>'Demand Stage 2'!FW18</f>
        <v>0</v>
      </c>
      <c r="FX19">
        <f>'Demand Stage 2'!FX18</f>
        <v>0</v>
      </c>
      <c r="FY19">
        <f>'Demand Stage 2'!FY18</f>
        <v>0</v>
      </c>
      <c r="FZ19">
        <f>'Demand Stage 2'!FZ18</f>
        <v>0</v>
      </c>
      <c r="GA19">
        <f>'Demand Stage 2'!GA18</f>
        <v>0</v>
      </c>
      <c r="GB19">
        <f>'Demand Stage 2'!GB18</f>
        <v>0</v>
      </c>
      <c r="GC19">
        <f>'Demand Stage 2'!GC18</f>
        <v>0</v>
      </c>
      <c r="GD19">
        <f>'Demand Stage 2'!GD18</f>
        <v>0</v>
      </c>
      <c r="GE19">
        <f>'Demand Stage 2'!GE18</f>
        <v>0</v>
      </c>
      <c r="GF19">
        <f>'Demand Stage 2'!GF18</f>
        <v>0</v>
      </c>
      <c r="GG19">
        <f>'Demand Stage 2'!GG18</f>
        <v>0</v>
      </c>
      <c r="GH19">
        <f>'Demand Stage 2'!GH18</f>
        <v>0</v>
      </c>
      <c r="GI19">
        <f>'Demand Stage 2'!GI18</f>
        <v>0</v>
      </c>
      <c r="GJ19">
        <f>'Demand Stage 2'!GJ18</f>
        <v>0</v>
      </c>
      <c r="GK19">
        <f>'Demand Stage 2'!GK18</f>
        <v>0</v>
      </c>
      <c r="GL19">
        <f>'Demand Stage 2'!GL18</f>
        <v>0</v>
      </c>
      <c r="GM19">
        <f>'Demand Stage 2'!GM18</f>
        <v>0</v>
      </c>
      <c r="GN19">
        <f>'Demand Stage 2'!GN18</f>
        <v>0</v>
      </c>
      <c r="GO19">
        <f>'Demand Stage 2'!GO18</f>
        <v>0</v>
      </c>
      <c r="GP19">
        <f>'Demand Stage 2'!GP18</f>
        <v>0</v>
      </c>
      <c r="GQ19">
        <f>'Demand Stage 2'!GQ18</f>
        <v>0</v>
      </c>
      <c r="GR19">
        <f>'Demand Stage 2'!GR18</f>
        <v>0</v>
      </c>
      <c r="GS19">
        <f>'Demand Stage 2'!GS18</f>
        <v>0</v>
      </c>
      <c r="GT19">
        <f>'Demand Stage 2'!GT18</f>
        <v>0</v>
      </c>
      <c r="GU19">
        <f>'Demand Stage 2'!GU18</f>
        <v>0</v>
      </c>
      <c r="GV19">
        <f>'Demand Stage 2'!GV18</f>
        <v>0</v>
      </c>
      <c r="GW19">
        <f>'Demand Stage 2'!GW18</f>
        <v>0</v>
      </c>
      <c r="GX19">
        <f>'Demand Stage 2'!GX18</f>
        <v>0</v>
      </c>
      <c r="GY19">
        <f>'Demand Stage 2'!GY18</f>
        <v>0</v>
      </c>
      <c r="GZ19">
        <f>'Demand Stage 2'!GZ18</f>
        <v>0</v>
      </c>
      <c r="HA19">
        <f>'Demand Stage 2'!HA18</f>
        <v>0</v>
      </c>
      <c r="HB19">
        <f>'Demand Stage 2'!HB18</f>
        <v>0</v>
      </c>
      <c r="HC19">
        <f>'Demand Stage 2'!HC18</f>
        <v>0</v>
      </c>
      <c r="HD19">
        <f>'Demand Stage 2'!HD18</f>
        <v>0</v>
      </c>
      <c r="HE19">
        <f>'Demand Stage 2'!HE18</f>
        <v>0</v>
      </c>
      <c r="HF19">
        <f>'Demand Stage 2'!HF18</f>
        <v>0</v>
      </c>
      <c r="HG19">
        <f>'Demand Stage 2'!HG18</f>
        <v>0</v>
      </c>
      <c r="HH19">
        <f>'Demand Stage 2'!HH18</f>
        <v>0</v>
      </c>
      <c r="HI19">
        <f>'Demand Stage 2'!HI18</f>
        <v>0</v>
      </c>
      <c r="HJ19">
        <f>'Demand Stage 2'!HJ18</f>
        <v>0</v>
      </c>
      <c r="HK19">
        <f>'Demand Stage 2'!HK18</f>
        <v>0</v>
      </c>
      <c r="HL19">
        <f>'Demand Stage 2'!HL18</f>
        <v>0</v>
      </c>
      <c r="HM19">
        <f>'Demand Stage 2'!HM18</f>
        <v>0</v>
      </c>
      <c r="HN19">
        <f>'Demand Stage 2'!HN18</f>
        <v>0</v>
      </c>
      <c r="HO19">
        <f>'Demand Stage 2'!HO18</f>
        <v>0</v>
      </c>
      <c r="HP19">
        <f>'Demand Stage 2'!HP18</f>
        <v>0</v>
      </c>
      <c r="HQ19">
        <f>'Demand Stage 2'!HQ18</f>
        <v>0</v>
      </c>
      <c r="HR19">
        <f>'Demand Stage 2'!HR18</f>
        <v>0</v>
      </c>
      <c r="HS19">
        <f>'Demand Stage 2'!HS18</f>
        <v>0</v>
      </c>
      <c r="HT19">
        <f>'Demand Stage 2'!HT18</f>
        <v>0</v>
      </c>
      <c r="HU19">
        <f>'Demand Stage 2'!HU18</f>
        <v>0</v>
      </c>
      <c r="HV19">
        <f>'Demand Stage 2'!HV18</f>
        <v>0</v>
      </c>
      <c r="HW19">
        <f>'Demand Stage 2'!HW18</f>
        <v>0</v>
      </c>
      <c r="HX19">
        <f>'Demand Stage 2'!HX18</f>
        <v>0</v>
      </c>
      <c r="HY19">
        <f>'Demand Stage 2'!HY18</f>
        <v>0</v>
      </c>
      <c r="HZ19">
        <f>'Demand Stage 2'!HZ18</f>
        <v>0</v>
      </c>
      <c r="IA19">
        <f>'Demand Stage 2'!IA18</f>
        <v>0</v>
      </c>
      <c r="IB19">
        <f>'Demand Stage 2'!IB18</f>
        <v>0</v>
      </c>
      <c r="IC19">
        <f>'Demand Stage 2'!IC18</f>
        <v>0</v>
      </c>
      <c r="ID19">
        <f>'Demand Stage 2'!ID18</f>
        <v>0</v>
      </c>
      <c r="IE19">
        <f>'Demand Stage 2'!IE18</f>
        <v>0</v>
      </c>
      <c r="IF19">
        <f>'Demand Stage 2'!IF18</f>
        <v>0</v>
      </c>
      <c r="IG19">
        <f>'Demand Stage 2'!IG18</f>
        <v>0</v>
      </c>
      <c r="IH19">
        <f>'Demand Stage 2'!IH18</f>
        <v>0</v>
      </c>
      <c r="II19">
        <f>'Demand Stage 2'!II18</f>
        <v>0</v>
      </c>
      <c r="IJ19">
        <f>'Demand Stage 2'!IJ18</f>
        <v>0</v>
      </c>
      <c r="IK19">
        <f>'Demand Stage 2'!IK18</f>
        <v>0</v>
      </c>
      <c r="IL19">
        <f>'Demand Stage 2'!IL18</f>
        <v>0</v>
      </c>
      <c r="IM19">
        <f>'Demand Stage 2'!IM18</f>
        <v>0</v>
      </c>
      <c r="IN19">
        <f>'Demand Stage 2'!IN18</f>
        <v>0</v>
      </c>
      <c r="IO19">
        <f>'Demand Stage 2'!IO18</f>
        <v>0</v>
      </c>
      <c r="IP19">
        <f>'Demand Stage 2'!IP18</f>
        <v>0</v>
      </c>
      <c r="IQ19">
        <f>'Demand Stage 2'!IQ18</f>
        <v>0</v>
      </c>
      <c r="IR19">
        <f>'Demand Stage 2'!IR18</f>
        <v>0</v>
      </c>
      <c r="IS19">
        <f>'Demand Stage 2'!IS18</f>
        <v>0</v>
      </c>
      <c r="IT19">
        <f>'Demand Stage 2'!IT18</f>
        <v>0</v>
      </c>
      <c r="IU19">
        <f>'Demand Stage 2'!IU18</f>
        <v>0</v>
      </c>
      <c r="IV19">
        <f>'Demand Stage 2'!IV18</f>
        <v>0</v>
      </c>
      <c r="IW19">
        <f>'Demand Stage 2'!IW18</f>
        <v>0</v>
      </c>
      <c r="IX19">
        <f>'Demand Stage 2'!IX18</f>
        <v>0</v>
      </c>
      <c r="IY19">
        <f>'Demand Stage 2'!IY18</f>
        <v>0</v>
      </c>
      <c r="IZ19">
        <f>'Demand Stage 2'!IZ18</f>
        <v>0</v>
      </c>
      <c r="JA19">
        <f>'Demand Stage 2'!JA18</f>
        <v>0</v>
      </c>
      <c r="JB19">
        <f>'Demand Stage 2'!JB18</f>
        <v>0</v>
      </c>
      <c r="JC19">
        <f>'Demand Stage 2'!JC18</f>
        <v>0</v>
      </c>
      <c r="JD19">
        <f>'Demand Stage 2'!JD18</f>
        <v>0</v>
      </c>
      <c r="JE19">
        <f>'Demand Stage 2'!JE18</f>
        <v>0</v>
      </c>
      <c r="JF19">
        <f>'Demand Stage 2'!JF18</f>
        <v>0</v>
      </c>
      <c r="JG19">
        <f>'Demand Stage 2'!JG18</f>
        <v>0</v>
      </c>
      <c r="JH19">
        <f>'Demand Stage 2'!JH18</f>
        <v>0</v>
      </c>
      <c r="JI19">
        <f>'Demand Stage 2'!JI18</f>
        <v>0</v>
      </c>
      <c r="JJ19">
        <f>'Demand Stage 2'!JJ18</f>
        <v>0</v>
      </c>
      <c r="JK19">
        <f>'Demand Stage 2'!JK18</f>
        <v>0</v>
      </c>
      <c r="JL19">
        <f>'Demand Stage 2'!JL18</f>
        <v>0</v>
      </c>
      <c r="JM19">
        <f>'Demand Stage 2'!JM18</f>
        <v>0</v>
      </c>
      <c r="JN19">
        <f>'Demand Stage 2'!JN18</f>
        <v>0</v>
      </c>
      <c r="JO19">
        <f>'Demand Stage 2'!JO18</f>
        <v>0</v>
      </c>
      <c r="JP19">
        <f>'Demand Stage 2'!JP18</f>
        <v>0</v>
      </c>
      <c r="JQ19">
        <f>'Demand Stage 2'!JQ18</f>
        <v>0</v>
      </c>
      <c r="JR19">
        <f>'Demand Stage 2'!JR18</f>
        <v>0</v>
      </c>
      <c r="JS19">
        <f>'Demand Stage 2'!JS18</f>
        <v>0</v>
      </c>
      <c r="JT19">
        <f>'Demand Stage 2'!JT18</f>
        <v>0</v>
      </c>
      <c r="JU19">
        <f>'Demand Stage 2'!JU18</f>
        <v>0</v>
      </c>
      <c r="JV19">
        <f>'Demand Stage 2'!JV18</f>
        <v>0</v>
      </c>
      <c r="JW19">
        <f>'Demand Stage 2'!JW18</f>
        <v>0</v>
      </c>
      <c r="JX19">
        <f>'Demand Stage 2'!JX18</f>
        <v>0</v>
      </c>
      <c r="JY19">
        <f>'Demand Stage 2'!JY18</f>
        <v>0</v>
      </c>
      <c r="JZ19">
        <f>'Demand Stage 2'!JZ18</f>
        <v>0</v>
      </c>
      <c r="KA19">
        <f>'Demand Stage 2'!KA18</f>
        <v>0</v>
      </c>
      <c r="KB19">
        <f>'Demand Stage 2'!KB18</f>
        <v>0</v>
      </c>
      <c r="KC19">
        <f>'Demand Stage 2'!KC18</f>
        <v>0</v>
      </c>
      <c r="KD19">
        <f>'Demand Stage 2'!KD18</f>
        <v>0</v>
      </c>
      <c r="KE19">
        <f>'Demand Stage 2'!KE18</f>
        <v>0</v>
      </c>
      <c r="KF19">
        <f>'Demand Stage 2'!KF18</f>
        <v>0</v>
      </c>
      <c r="KG19">
        <f>'Demand Stage 2'!KG18</f>
        <v>0</v>
      </c>
      <c r="KH19">
        <f>'Demand Stage 2'!KH18</f>
        <v>0</v>
      </c>
      <c r="KI19">
        <f>'Demand Stage 2'!KI18</f>
        <v>0</v>
      </c>
      <c r="KJ19">
        <f>'Demand Stage 2'!KJ18</f>
        <v>0</v>
      </c>
      <c r="KK19">
        <f>'Demand Stage 2'!KK18</f>
        <v>0</v>
      </c>
      <c r="KL19">
        <f>'Demand Stage 2'!KL18</f>
        <v>0</v>
      </c>
      <c r="KM19">
        <f>'Demand Stage 2'!KM18</f>
        <v>0</v>
      </c>
      <c r="KN19">
        <f>'Demand Stage 2'!KN18</f>
        <v>0</v>
      </c>
      <c r="KO19">
        <f>'Demand Stage 2'!KO18</f>
        <v>0</v>
      </c>
      <c r="KP19">
        <f>'Demand Stage 2'!KP18</f>
        <v>0</v>
      </c>
      <c r="KQ19">
        <f>'Demand Stage 2'!KQ18</f>
        <v>0</v>
      </c>
      <c r="KR19">
        <f>'Demand Stage 2'!KR18</f>
        <v>0</v>
      </c>
      <c r="KS19">
        <f>'Demand Stage 2'!KS18</f>
        <v>0</v>
      </c>
      <c r="KT19">
        <f>'Demand Stage 2'!KT18</f>
        <v>0</v>
      </c>
      <c r="KU19">
        <f>'Demand Stage 2'!KU18</f>
        <v>0</v>
      </c>
      <c r="KV19">
        <f>'Demand Stage 2'!KV18</f>
        <v>0</v>
      </c>
      <c r="KW19">
        <f>'Demand Stage 2'!KW18</f>
        <v>0</v>
      </c>
      <c r="KX19">
        <f>'Demand Stage 2'!KX18</f>
        <v>0</v>
      </c>
      <c r="KY19">
        <f>'Demand Stage 2'!KY18</f>
        <v>0</v>
      </c>
      <c r="KZ19">
        <f>'Demand Stage 2'!KZ18</f>
        <v>0</v>
      </c>
      <c r="LA19">
        <f>'Demand Stage 2'!LA18</f>
        <v>0</v>
      </c>
      <c r="LB19">
        <f>'Demand Stage 2'!LB18</f>
        <v>0</v>
      </c>
      <c r="LC19">
        <f>'Demand Stage 2'!LC18</f>
        <v>0</v>
      </c>
      <c r="LD19">
        <f>'Demand Stage 2'!LD18</f>
        <v>0</v>
      </c>
      <c r="LE19">
        <f>'Demand Stage 2'!LE18</f>
        <v>0</v>
      </c>
      <c r="LF19">
        <f>'Demand Stage 2'!LF18</f>
        <v>0</v>
      </c>
      <c r="LG19">
        <f>'Demand Stage 2'!LG18</f>
        <v>0</v>
      </c>
      <c r="LH19">
        <f>'Demand Stage 2'!LH18</f>
        <v>0</v>
      </c>
      <c r="LI19">
        <f>'Demand Stage 2'!LI18</f>
        <v>0</v>
      </c>
      <c r="LJ19">
        <f>'Demand Stage 2'!LJ18</f>
        <v>0</v>
      </c>
      <c r="LK19">
        <f>'Demand Stage 2'!LK18</f>
        <v>0</v>
      </c>
      <c r="LL19">
        <f>'Demand Stage 2'!LL18</f>
        <v>0</v>
      </c>
      <c r="LM19">
        <f>'Demand Stage 2'!LM18</f>
        <v>0</v>
      </c>
      <c r="LN19">
        <f>'Demand Stage 2'!LN18</f>
        <v>0</v>
      </c>
      <c r="LO19">
        <f>'Demand Stage 2'!LO18</f>
        <v>0</v>
      </c>
      <c r="LP19">
        <f>'Demand Stage 2'!LP18</f>
        <v>0</v>
      </c>
      <c r="LQ19">
        <f>'Demand Stage 2'!LQ18</f>
        <v>0</v>
      </c>
      <c r="LR19">
        <f>'Demand Stage 2'!LR18</f>
        <v>0</v>
      </c>
      <c r="LS19">
        <f>'Demand Stage 2'!LS18</f>
        <v>0</v>
      </c>
      <c r="LT19">
        <f>'Demand Stage 2'!LT18</f>
        <v>0</v>
      </c>
      <c r="LU19">
        <f>'Demand Stage 2'!LU18</f>
        <v>0</v>
      </c>
      <c r="LV19">
        <f>'Demand Stage 2'!LV18</f>
        <v>0</v>
      </c>
      <c r="LW19">
        <f>'Demand Stage 2'!LW18</f>
        <v>0</v>
      </c>
      <c r="LX19">
        <f>'Demand Stage 2'!LX18</f>
        <v>0</v>
      </c>
      <c r="LY19">
        <f>'Demand Stage 2'!LY18</f>
        <v>0</v>
      </c>
      <c r="LZ19">
        <f>'Demand Stage 2'!LZ18</f>
        <v>0</v>
      </c>
      <c r="MA19">
        <f>'Demand Stage 2'!MA18</f>
        <v>0</v>
      </c>
      <c r="MB19">
        <f>'Demand Stage 2'!MB18</f>
        <v>0</v>
      </c>
      <c r="MC19">
        <f>'Demand Stage 2'!MC18</f>
        <v>0</v>
      </c>
      <c r="MD19">
        <f>'Demand Stage 2'!MD18</f>
        <v>0</v>
      </c>
      <c r="ME19">
        <f>'Demand Stage 2'!ME18</f>
        <v>0</v>
      </c>
      <c r="MF19">
        <f>'Demand Stage 2'!MF18</f>
        <v>0</v>
      </c>
      <c r="MG19">
        <f>'Demand Stage 2'!MG18</f>
        <v>0</v>
      </c>
      <c r="MH19">
        <f>'Demand Stage 2'!MH18</f>
        <v>0</v>
      </c>
      <c r="MI19">
        <f>'Demand Stage 2'!MI18</f>
        <v>0</v>
      </c>
      <c r="MJ19">
        <f>'Demand Stage 2'!MJ18</f>
        <v>0</v>
      </c>
      <c r="MK19">
        <f>'Demand Stage 2'!MK18</f>
        <v>0</v>
      </c>
      <c r="ML19">
        <f>'Demand Stage 2'!ML18</f>
        <v>0</v>
      </c>
      <c r="MM19">
        <f>'Demand Stage 2'!MM18</f>
        <v>0</v>
      </c>
      <c r="MN19">
        <f>'Demand Stage 2'!MN18</f>
        <v>0</v>
      </c>
      <c r="MO19">
        <f>'Demand Stage 2'!MO18</f>
        <v>0</v>
      </c>
      <c r="MP19">
        <f>'Demand Stage 2'!MP18</f>
        <v>0</v>
      </c>
      <c r="MQ19">
        <f>'Demand Stage 2'!MQ18</f>
        <v>0</v>
      </c>
      <c r="MR19">
        <f>'Demand Stage 2'!MR18</f>
        <v>0</v>
      </c>
      <c r="MS19">
        <f>'Demand Stage 2'!MS18</f>
        <v>0</v>
      </c>
      <c r="MT19">
        <f>'Demand Stage 2'!MT18</f>
        <v>0</v>
      </c>
      <c r="MU19">
        <f>'Demand Stage 2'!MU18</f>
        <v>0</v>
      </c>
      <c r="MV19">
        <f>'Demand Stage 2'!MV18</f>
        <v>0</v>
      </c>
      <c r="MW19">
        <f>'Demand Stage 2'!MW18</f>
        <v>0</v>
      </c>
      <c r="MX19">
        <f>'Demand Stage 2'!MX18</f>
        <v>0</v>
      </c>
      <c r="MY19">
        <f>'Demand Stage 2'!MY18</f>
        <v>0</v>
      </c>
      <c r="MZ19">
        <f>'Demand Stage 2'!MZ18</f>
        <v>0</v>
      </c>
      <c r="NA19">
        <f>'Demand Stage 2'!NA18</f>
        <v>0</v>
      </c>
      <c r="NB19">
        <f>'Demand Stage 2'!NB18</f>
        <v>0</v>
      </c>
      <c r="NC19">
        <f>'Demand Stage 2'!NC18</f>
        <v>0</v>
      </c>
      <c r="ND19">
        <f>'Demand Stage 2'!ND18</f>
        <v>0</v>
      </c>
      <c r="NE19">
        <f>'Demand Stage 2'!NE18</f>
        <v>0</v>
      </c>
      <c r="NF19">
        <f>'Demand Stage 2'!NF18</f>
        <v>0</v>
      </c>
      <c r="NG19">
        <f>'Demand Stage 2'!NG18</f>
        <v>0</v>
      </c>
      <c r="NH19">
        <f>'Demand Stage 2'!NH18</f>
        <v>0</v>
      </c>
      <c r="NI19">
        <f>'Demand Stage 2'!NI18</f>
        <v>0</v>
      </c>
      <c r="NJ19">
        <f>'Demand Stage 2'!NJ18</f>
        <v>0</v>
      </c>
      <c r="NK19">
        <f>'Demand Stage 2'!NK18</f>
        <v>0</v>
      </c>
      <c r="NL19">
        <f>'Demand Stage 2'!NL18</f>
        <v>0</v>
      </c>
      <c r="NM19">
        <f>'Demand Stage 2'!NM18</f>
        <v>0</v>
      </c>
      <c r="NN19">
        <f>'Demand Stage 2'!NN18</f>
        <v>0</v>
      </c>
      <c r="NO19">
        <f>'Demand Stage 2'!NO18</f>
        <v>0</v>
      </c>
      <c r="NP19">
        <f>'Demand Stage 2'!NP18</f>
        <v>0</v>
      </c>
      <c r="NQ19">
        <f>'Demand Stage 2'!NQ18</f>
        <v>0</v>
      </c>
      <c r="NR19">
        <f>'Demand Stage 2'!NR18</f>
        <v>0</v>
      </c>
      <c r="NS19">
        <f>'Demand Stage 2'!NS18</f>
        <v>0</v>
      </c>
      <c r="NT19">
        <f>'Demand Stage 2'!NT18</f>
        <v>0</v>
      </c>
      <c r="NU19">
        <f>'Demand Stage 2'!NU18</f>
        <v>0</v>
      </c>
      <c r="NV19">
        <f>'Demand Stage 2'!NV18</f>
        <v>0</v>
      </c>
      <c r="NW19">
        <f>'Demand Stage 2'!NW18</f>
        <v>0</v>
      </c>
      <c r="NX19">
        <f>'Demand Stage 2'!NX18</f>
        <v>0</v>
      </c>
      <c r="NY19">
        <f>'Demand Stage 2'!NY18</f>
        <v>0</v>
      </c>
      <c r="NZ19">
        <f>'Demand Stage 2'!NZ18</f>
        <v>0</v>
      </c>
      <c r="OA19">
        <f>'Demand Stage 2'!OA18</f>
        <v>0</v>
      </c>
      <c r="OB19">
        <f>'Demand Stage 2'!OB18</f>
        <v>0</v>
      </c>
      <c r="OC19">
        <f>'Demand Stage 2'!OC18</f>
        <v>0</v>
      </c>
      <c r="OD19">
        <f>'Demand Stage 2'!OD18</f>
        <v>0</v>
      </c>
      <c r="OE19">
        <f>'Demand Stage 2'!OE18</f>
        <v>0</v>
      </c>
      <c r="OF19">
        <f>'Demand Stage 2'!OF18</f>
        <v>0</v>
      </c>
      <c r="OG19">
        <f>'Demand Stage 2'!OG18</f>
        <v>0</v>
      </c>
      <c r="OH19">
        <f>'Demand Stage 2'!OH18</f>
        <v>0</v>
      </c>
      <c r="OI19">
        <f>'Demand Stage 2'!OI18</f>
        <v>0</v>
      </c>
      <c r="OJ19">
        <f>'Demand Stage 2'!OJ18</f>
        <v>0</v>
      </c>
      <c r="OK19">
        <f>'Demand Stage 2'!OK18</f>
        <v>0</v>
      </c>
      <c r="OL19">
        <f>'Demand Stage 2'!OL18</f>
        <v>0</v>
      </c>
      <c r="OM19">
        <f>'Demand Stage 2'!OM18</f>
        <v>0</v>
      </c>
      <c r="ON19">
        <f>'Demand Stage 2'!ON18</f>
        <v>0</v>
      </c>
      <c r="OO19">
        <f>'Demand Stage 2'!OO18</f>
        <v>0</v>
      </c>
      <c r="OP19">
        <f>'Demand Stage 2'!OP18</f>
        <v>0</v>
      </c>
      <c r="OQ19">
        <f>'Demand Stage 2'!OQ18</f>
        <v>0</v>
      </c>
      <c r="OR19">
        <f>'Demand Stage 2'!OR18</f>
        <v>0</v>
      </c>
      <c r="OS19">
        <f>'Demand Stage 2'!OS18</f>
        <v>0</v>
      </c>
      <c r="OT19">
        <f>'Demand Stage 2'!OT18</f>
        <v>0</v>
      </c>
      <c r="OU19">
        <f>'Demand Stage 2'!OU18</f>
        <v>0</v>
      </c>
      <c r="OV19">
        <f>'Demand Stage 2'!OV18</f>
        <v>0</v>
      </c>
      <c r="OW19">
        <f>'Demand Stage 2'!OW18</f>
        <v>0</v>
      </c>
      <c r="OX19">
        <f>'Demand Stage 2'!OX18</f>
        <v>0</v>
      </c>
      <c r="OY19">
        <f>'Demand Stage 2'!OY18</f>
        <v>0</v>
      </c>
      <c r="OZ19">
        <f>'Demand Stage 2'!OZ18</f>
        <v>0</v>
      </c>
      <c r="PA19">
        <f>'Demand Stage 2'!PA18</f>
        <v>0</v>
      </c>
      <c r="PB19">
        <f>'Demand Stage 2'!PB18</f>
        <v>0</v>
      </c>
      <c r="PC19">
        <f>'Demand Stage 2'!PC18</f>
        <v>0</v>
      </c>
      <c r="PD19">
        <f>'Demand Stage 2'!PD18</f>
        <v>0</v>
      </c>
      <c r="PE19">
        <f>'Demand Stage 2'!PE18</f>
        <v>0</v>
      </c>
      <c r="PF19">
        <f>'Demand Stage 2'!PF18</f>
        <v>0</v>
      </c>
      <c r="PG19">
        <f>'Demand Stage 2'!PG18</f>
        <v>0</v>
      </c>
      <c r="PH19">
        <f>'Demand Stage 2'!PH18</f>
        <v>0</v>
      </c>
      <c r="PI19">
        <f>'Demand Stage 2'!PI18</f>
        <v>0</v>
      </c>
      <c r="PJ19">
        <f>'Demand Stage 2'!PJ18</f>
        <v>0</v>
      </c>
      <c r="PK19">
        <f>'Demand Stage 2'!PK18</f>
        <v>0</v>
      </c>
      <c r="PL19">
        <f>'Demand Stage 2'!PL18</f>
        <v>0</v>
      </c>
      <c r="PM19">
        <f>'Demand Stage 2'!PM18</f>
        <v>0</v>
      </c>
      <c r="PN19">
        <f>'Demand Stage 2'!PN18</f>
        <v>0</v>
      </c>
      <c r="PO19">
        <f>'Demand Stage 2'!PO18</f>
        <v>0</v>
      </c>
      <c r="PP19">
        <f>'Demand Stage 2'!PP18</f>
        <v>0</v>
      </c>
      <c r="PQ19">
        <f>'Demand Stage 2'!PQ18</f>
        <v>0</v>
      </c>
      <c r="PR19">
        <f>'Demand Stage 2'!PR18</f>
        <v>0</v>
      </c>
      <c r="PS19">
        <f>'Demand Stage 2'!PS18</f>
        <v>0</v>
      </c>
      <c r="PT19">
        <f>'Demand Stage 2'!PT18</f>
        <v>0</v>
      </c>
      <c r="PU19">
        <f>'Demand Stage 2'!PU18</f>
        <v>0</v>
      </c>
      <c r="PV19">
        <f>'Demand Stage 2'!PV18</f>
        <v>0</v>
      </c>
      <c r="PW19">
        <f>'Demand Stage 2'!PW18</f>
        <v>0</v>
      </c>
      <c r="PX19">
        <f>'Demand Stage 2'!PX18</f>
        <v>0</v>
      </c>
      <c r="PY19">
        <f>'Demand Stage 2'!PY18</f>
        <v>0</v>
      </c>
      <c r="PZ19">
        <f>'Demand Stage 2'!PZ18</f>
        <v>0</v>
      </c>
      <c r="QA19">
        <f>'Demand Stage 2'!QA18</f>
        <v>0</v>
      </c>
      <c r="QB19">
        <f>'Demand Stage 2'!QB18</f>
        <v>0</v>
      </c>
      <c r="QC19">
        <f>'Demand Stage 2'!QC18</f>
        <v>0</v>
      </c>
      <c r="QD19">
        <f>'Demand Stage 2'!QD18</f>
        <v>0</v>
      </c>
      <c r="QE19">
        <f>'Demand Stage 2'!QE18</f>
        <v>0</v>
      </c>
      <c r="QF19">
        <f>'Demand Stage 2'!QF18</f>
        <v>0</v>
      </c>
      <c r="QG19">
        <f>'Demand Stage 2'!QG18</f>
        <v>0</v>
      </c>
      <c r="QH19">
        <f>'Demand Stage 2'!QH18</f>
        <v>0</v>
      </c>
      <c r="QI19">
        <f>'Demand Stage 2'!QI18</f>
        <v>0</v>
      </c>
      <c r="QJ19">
        <f>'Demand Stage 2'!QJ18</f>
        <v>0</v>
      </c>
      <c r="QK19">
        <f>'Demand Stage 2'!QK18</f>
        <v>0</v>
      </c>
      <c r="QL19">
        <f>'Demand Stage 2'!QL18</f>
        <v>0</v>
      </c>
      <c r="QM19">
        <f>'Demand Stage 2'!QM18</f>
        <v>0</v>
      </c>
      <c r="QN19">
        <f>'Demand Stage 2'!QN18</f>
        <v>0</v>
      </c>
      <c r="QO19">
        <f>'Demand Stage 2'!QO18</f>
        <v>0</v>
      </c>
      <c r="QP19">
        <f>'Demand Stage 2'!QP18</f>
        <v>0</v>
      </c>
      <c r="QQ19">
        <f>'Demand Stage 2'!QQ18</f>
        <v>0</v>
      </c>
      <c r="QR19">
        <f>'Demand Stage 2'!QR18</f>
        <v>0</v>
      </c>
      <c r="QS19">
        <f>'Demand Stage 2'!QS18</f>
        <v>0</v>
      </c>
      <c r="QT19">
        <f>'Demand Stage 2'!QT18</f>
        <v>0</v>
      </c>
      <c r="QU19">
        <f>'Demand Stage 2'!QU18</f>
        <v>0</v>
      </c>
      <c r="QV19">
        <f>'Demand Stage 2'!QV18</f>
        <v>0</v>
      </c>
      <c r="QW19">
        <f>'Demand Stage 2'!QW18</f>
        <v>0</v>
      </c>
      <c r="QX19">
        <f>'Demand Stage 2'!QX18</f>
        <v>0</v>
      </c>
      <c r="QY19">
        <f>'Demand Stage 2'!QY18</f>
        <v>0</v>
      </c>
      <c r="QZ19">
        <f>'Demand Stage 2'!QZ18</f>
        <v>0</v>
      </c>
      <c r="RA19">
        <f>'Demand Stage 2'!RA18</f>
        <v>0</v>
      </c>
      <c r="RB19">
        <f>'Demand Stage 2'!RB18</f>
        <v>0</v>
      </c>
      <c r="RC19">
        <f>'Demand Stage 2'!RC18</f>
        <v>0</v>
      </c>
      <c r="RD19">
        <f>'Demand Stage 2'!RD18</f>
        <v>0</v>
      </c>
      <c r="RE19">
        <f>'Demand Stage 2'!RE18</f>
        <v>0</v>
      </c>
      <c r="RF19">
        <f>'Demand Stage 2'!RF18</f>
        <v>0</v>
      </c>
      <c r="RG19">
        <f>'Demand Stage 2'!RG18</f>
        <v>0</v>
      </c>
      <c r="RH19">
        <f>'Demand Stage 2'!RH18</f>
        <v>0</v>
      </c>
      <c r="RI19">
        <f>'Demand Stage 2'!RI18</f>
        <v>0</v>
      </c>
      <c r="RJ19">
        <f>'Demand Stage 2'!RJ18</f>
        <v>0</v>
      </c>
      <c r="RK19">
        <f>'Demand Stage 2'!RK18</f>
        <v>0</v>
      </c>
      <c r="RL19">
        <f>'Demand Stage 2'!RL18</f>
        <v>0</v>
      </c>
      <c r="RM19">
        <f>'Demand Stage 2'!RM18</f>
        <v>0</v>
      </c>
      <c r="RN19">
        <f>'Demand Stage 2'!RN18</f>
        <v>0</v>
      </c>
      <c r="RO19">
        <f>'Demand Stage 2'!RO18</f>
        <v>0</v>
      </c>
      <c r="RP19">
        <f>'Demand Stage 2'!RP18</f>
        <v>0</v>
      </c>
      <c r="RQ19">
        <f>'Demand Stage 2'!RQ18</f>
        <v>0</v>
      </c>
      <c r="RR19">
        <f>'Demand Stage 2'!RR18</f>
        <v>0</v>
      </c>
      <c r="RS19">
        <f>'Demand Stage 2'!RS18</f>
        <v>0</v>
      </c>
      <c r="RT19">
        <f>'Demand Stage 2'!RT18</f>
        <v>0</v>
      </c>
      <c r="RU19">
        <f>'Demand Stage 2'!RU18</f>
        <v>0</v>
      </c>
      <c r="RV19">
        <f>'Demand Stage 2'!RV18</f>
        <v>0</v>
      </c>
      <c r="RW19">
        <f>'Demand Stage 2'!RW18</f>
        <v>0</v>
      </c>
      <c r="RX19">
        <f>'Demand Stage 2'!RX18</f>
        <v>0</v>
      </c>
      <c r="RY19">
        <f>'Demand Stage 2'!RY18</f>
        <v>0</v>
      </c>
      <c r="RZ19">
        <f>'Demand Stage 2'!RZ18</f>
        <v>0</v>
      </c>
      <c r="SA19">
        <f>'Demand Stage 2'!SA18</f>
        <v>0</v>
      </c>
      <c r="SB19">
        <f>'Demand Stage 2'!SB18</f>
        <v>0</v>
      </c>
      <c r="SC19">
        <f>'Demand Stage 2'!SC18</f>
        <v>0</v>
      </c>
      <c r="SD19">
        <f>'Demand Stage 2'!SD18</f>
        <v>0</v>
      </c>
      <c r="SE19">
        <f>'Demand Stage 2'!SE18</f>
        <v>0</v>
      </c>
      <c r="SF19">
        <f>'Demand Stage 2'!SF18</f>
        <v>0</v>
      </c>
      <c r="SG19">
        <f>'Demand Stage 2'!SG18</f>
        <v>0</v>
      </c>
      <c r="SH19">
        <f>'Demand Stage 2'!SH18</f>
        <v>0</v>
      </c>
      <c r="SI19">
        <f>'Demand Stage 2'!SI18</f>
        <v>0</v>
      </c>
      <c r="SJ19">
        <f>'Demand Stage 2'!SJ18</f>
        <v>0</v>
      </c>
      <c r="SK19">
        <f>'Demand Stage 2'!SK18</f>
        <v>0</v>
      </c>
      <c r="SL19">
        <f>'Demand Stage 2'!SL18</f>
        <v>0</v>
      </c>
      <c r="SM19">
        <f>'Demand Stage 2'!SM18</f>
        <v>0</v>
      </c>
      <c r="SN19">
        <f>'Demand Stage 2'!SN18</f>
        <v>0</v>
      </c>
      <c r="SO19">
        <f>'Demand Stage 2'!SO18</f>
        <v>0</v>
      </c>
      <c r="SP19">
        <f>'Demand Stage 2'!SP18</f>
        <v>0</v>
      </c>
      <c r="SQ19">
        <f>'Demand Stage 2'!SQ18</f>
        <v>0</v>
      </c>
      <c r="SR19">
        <f>'Demand Stage 2'!SR18</f>
        <v>0</v>
      </c>
      <c r="SS19">
        <f>'Demand Stage 2'!SS18</f>
        <v>0</v>
      </c>
      <c r="ST19">
        <f>'Demand Stage 2'!ST18</f>
        <v>0</v>
      </c>
      <c r="SU19">
        <f>'Demand Stage 2'!SU18</f>
        <v>0</v>
      </c>
      <c r="SV19">
        <f>'Demand Stage 2'!SV18</f>
        <v>0</v>
      </c>
      <c r="SW19">
        <f>'Demand Stage 2'!SW18</f>
        <v>0</v>
      </c>
      <c r="SX19">
        <f>'Demand Stage 2'!SX18</f>
        <v>0</v>
      </c>
      <c r="SY19">
        <f>'Demand Stage 2'!SY18</f>
        <v>0</v>
      </c>
      <c r="SZ19">
        <f>'Demand Stage 2'!SZ18</f>
        <v>0</v>
      </c>
      <c r="TA19">
        <f>'Demand Stage 2'!TA18</f>
        <v>0</v>
      </c>
      <c r="TB19">
        <f>'Demand Stage 2'!TB18</f>
        <v>0</v>
      </c>
      <c r="TC19">
        <f>'Demand Stage 2'!TC18</f>
        <v>0</v>
      </c>
      <c r="TD19">
        <f>'Demand Stage 2'!TD18</f>
        <v>0</v>
      </c>
      <c r="TE19">
        <f>'Demand Stage 2'!TE18</f>
        <v>0</v>
      </c>
      <c r="TF19">
        <f>'Demand Stage 2'!TF18</f>
        <v>0</v>
      </c>
      <c r="TG19">
        <f>'Demand Stage 2'!TG18</f>
        <v>0</v>
      </c>
      <c r="TH19">
        <f>'Demand Stage 2'!TH18</f>
        <v>0</v>
      </c>
      <c r="TI19">
        <f>'Demand Stage 2'!TI18</f>
        <v>0</v>
      </c>
      <c r="TJ19">
        <f>'Demand Stage 2'!TJ18</f>
        <v>0</v>
      </c>
      <c r="TK19">
        <f>'Demand Stage 2'!TK18</f>
        <v>0</v>
      </c>
      <c r="TL19">
        <f>'Demand Stage 2'!TL18</f>
        <v>0</v>
      </c>
      <c r="TM19">
        <f>'Demand Stage 2'!TM18</f>
        <v>0</v>
      </c>
      <c r="TN19">
        <f>'Demand Stage 2'!TN18</f>
        <v>0</v>
      </c>
      <c r="TO19">
        <f>'Demand Stage 2'!TO18</f>
        <v>0</v>
      </c>
      <c r="TP19">
        <f>'Demand Stage 2'!TP18</f>
        <v>0</v>
      </c>
      <c r="TQ19">
        <f>'Demand Stage 2'!TQ18</f>
        <v>0</v>
      </c>
      <c r="TR19">
        <f>'Demand Stage 2'!TR18</f>
        <v>0</v>
      </c>
      <c r="TS19">
        <f>'Demand Stage 2'!TS18</f>
        <v>0</v>
      </c>
      <c r="TT19">
        <f>'Demand Stage 2'!TT18</f>
        <v>0</v>
      </c>
      <c r="TU19">
        <f>'Demand Stage 2'!TU18</f>
        <v>0</v>
      </c>
      <c r="TV19">
        <f>'Demand Stage 2'!TV18</f>
        <v>0</v>
      </c>
      <c r="TW19">
        <f>'Demand Stage 2'!TW18</f>
        <v>0</v>
      </c>
      <c r="TX19">
        <f>'Demand Stage 2'!TX18</f>
        <v>0</v>
      </c>
      <c r="TY19">
        <f>'Demand Stage 2'!TY18</f>
        <v>0</v>
      </c>
      <c r="TZ19">
        <f>'Demand Stage 2'!TZ18</f>
        <v>0</v>
      </c>
      <c r="UA19">
        <f>'Demand Stage 2'!UA18</f>
        <v>0</v>
      </c>
      <c r="UB19">
        <f>'Demand Stage 2'!UB18</f>
        <v>0</v>
      </c>
      <c r="UC19">
        <f>'Demand Stage 2'!UC18</f>
        <v>0</v>
      </c>
      <c r="UD19">
        <f>'Demand Stage 2'!UD18</f>
        <v>0</v>
      </c>
      <c r="UE19">
        <f>'Demand Stage 2'!UE18</f>
        <v>0</v>
      </c>
      <c r="UF19">
        <f>'Demand Stage 2'!UF18</f>
        <v>0</v>
      </c>
      <c r="UG19">
        <f>'Demand Stage 2'!UG18</f>
        <v>0</v>
      </c>
      <c r="UH19">
        <f>'Demand Stage 2'!UH18</f>
        <v>0</v>
      </c>
      <c r="UI19">
        <f>'Demand Stage 2'!UI18</f>
        <v>0</v>
      </c>
      <c r="UJ19">
        <f>'Demand Stage 2'!UJ18</f>
        <v>0</v>
      </c>
      <c r="UK19">
        <f>'Demand Stage 2'!UK18</f>
        <v>0</v>
      </c>
      <c r="UL19">
        <f>'Demand Stage 2'!UL18</f>
        <v>0</v>
      </c>
      <c r="UM19">
        <f>'Demand Stage 2'!UM18</f>
        <v>0</v>
      </c>
      <c r="UN19">
        <f>'Demand Stage 2'!UN18</f>
        <v>0</v>
      </c>
      <c r="UO19">
        <f>'Demand Stage 2'!UO18</f>
        <v>0</v>
      </c>
      <c r="UP19">
        <f>'Demand Stage 2'!UP18</f>
        <v>0</v>
      </c>
      <c r="UQ19">
        <f>'Demand Stage 2'!UQ18</f>
        <v>0</v>
      </c>
      <c r="UR19">
        <f>'Demand Stage 2'!UR18</f>
        <v>0</v>
      </c>
      <c r="US19">
        <f>'Demand Stage 2'!US18</f>
        <v>0</v>
      </c>
      <c r="UT19">
        <f>'Demand Stage 2'!UT18</f>
        <v>0</v>
      </c>
      <c r="UU19">
        <f>'Demand Stage 2'!UU18</f>
        <v>0</v>
      </c>
      <c r="UV19">
        <f>'Demand Stage 2'!UV18</f>
        <v>0</v>
      </c>
      <c r="UW19">
        <f>'Demand Stage 2'!UW18</f>
        <v>0</v>
      </c>
      <c r="UX19">
        <f>'Demand Stage 2'!UX18</f>
        <v>0</v>
      </c>
      <c r="UY19">
        <f>'Demand Stage 2'!UY18</f>
        <v>0</v>
      </c>
      <c r="UZ19">
        <f>'Demand Stage 2'!UZ18</f>
        <v>0</v>
      </c>
      <c r="VA19">
        <f>'Demand Stage 2'!VA18</f>
        <v>0</v>
      </c>
      <c r="VB19">
        <f>'Demand Stage 2'!VB18</f>
        <v>0</v>
      </c>
      <c r="VC19">
        <f>'Demand Stage 2'!VC18</f>
        <v>0</v>
      </c>
      <c r="VD19">
        <f>'Demand Stage 2'!VD18</f>
        <v>0</v>
      </c>
      <c r="VE19">
        <f>'Demand Stage 2'!VE18</f>
        <v>0</v>
      </c>
      <c r="VF19">
        <f>'Demand Stage 2'!VF18</f>
        <v>0</v>
      </c>
      <c r="VG19">
        <f>'Demand Stage 2'!VG18</f>
        <v>0</v>
      </c>
      <c r="VH19">
        <f>'Demand Stage 2'!VH18</f>
        <v>0</v>
      </c>
      <c r="VI19">
        <f>'Demand Stage 2'!VI18</f>
        <v>0</v>
      </c>
      <c r="VJ19">
        <f>'Demand Stage 2'!VJ18</f>
        <v>0</v>
      </c>
      <c r="VK19">
        <f>'Demand Stage 2'!VK18</f>
        <v>0</v>
      </c>
      <c r="VL19">
        <f>'Demand Stage 2'!VL18</f>
        <v>0</v>
      </c>
      <c r="VM19">
        <f>'Demand Stage 2'!VM18</f>
        <v>0</v>
      </c>
      <c r="VN19">
        <f>'Demand Stage 2'!VN18</f>
        <v>0</v>
      </c>
      <c r="VO19">
        <f>'Demand Stage 2'!VO18</f>
        <v>0</v>
      </c>
      <c r="VP19">
        <f>'Demand Stage 2'!VP18</f>
        <v>0</v>
      </c>
      <c r="VQ19">
        <f>'Demand Stage 2'!VQ18</f>
        <v>0</v>
      </c>
      <c r="VR19">
        <f>'Demand Stage 2'!VR18</f>
        <v>0</v>
      </c>
      <c r="VS19">
        <f>'Demand Stage 2'!VS18</f>
        <v>0</v>
      </c>
      <c r="VT19">
        <f>'Demand Stage 2'!VT18</f>
        <v>0</v>
      </c>
      <c r="VU19">
        <f>'Demand Stage 2'!VU18</f>
        <v>0</v>
      </c>
      <c r="VV19">
        <f>'Demand Stage 2'!VV18</f>
        <v>0</v>
      </c>
      <c r="VW19">
        <f>'Demand Stage 2'!VW18</f>
        <v>0</v>
      </c>
      <c r="VX19">
        <f>'Demand Stage 2'!VX18</f>
        <v>0</v>
      </c>
      <c r="VY19">
        <f>'Demand Stage 2'!VY18</f>
        <v>0</v>
      </c>
      <c r="VZ19">
        <f>'Demand Stage 2'!VZ18</f>
        <v>0</v>
      </c>
      <c r="WA19">
        <f>'Demand Stage 2'!WA18</f>
        <v>0</v>
      </c>
      <c r="WB19">
        <f>'Demand Stage 2'!WB18</f>
        <v>0</v>
      </c>
      <c r="WC19">
        <f>'Demand Stage 2'!WC18</f>
        <v>0</v>
      </c>
      <c r="WD19">
        <f>'Demand Stage 2'!WD18</f>
        <v>0</v>
      </c>
      <c r="WE19">
        <f>'Demand Stage 2'!WE18</f>
        <v>0</v>
      </c>
      <c r="WF19">
        <f>'Demand Stage 2'!WF18</f>
        <v>0</v>
      </c>
      <c r="WG19">
        <f>'Demand Stage 2'!WG18</f>
        <v>0</v>
      </c>
      <c r="WH19">
        <f>'Demand Stage 2'!WH18</f>
        <v>0</v>
      </c>
      <c r="WI19">
        <f>'Demand Stage 2'!WI18</f>
        <v>0</v>
      </c>
      <c r="WJ19">
        <f>'Demand Stage 2'!WJ18</f>
        <v>0</v>
      </c>
      <c r="WK19">
        <f>'Demand Stage 2'!WK18</f>
        <v>0</v>
      </c>
      <c r="WL19">
        <f>'Demand Stage 2'!WL18</f>
        <v>0</v>
      </c>
      <c r="WM19">
        <f>'Demand Stage 2'!WM18</f>
        <v>0</v>
      </c>
      <c r="WN19">
        <f>'Demand Stage 2'!WN18</f>
        <v>0</v>
      </c>
      <c r="WO19">
        <f>'Demand Stage 2'!WO18</f>
        <v>0</v>
      </c>
      <c r="WP19">
        <f>'Demand Stage 2'!WP18</f>
        <v>0</v>
      </c>
      <c r="WQ19">
        <f>'Demand Stage 2'!WQ18</f>
        <v>0</v>
      </c>
      <c r="WR19">
        <f>'Demand Stage 2'!WR18</f>
        <v>0</v>
      </c>
      <c r="WS19">
        <f>'Demand Stage 2'!WS18</f>
        <v>0</v>
      </c>
      <c r="WT19">
        <f>'Demand Stage 2'!WT18</f>
        <v>0</v>
      </c>
      <c r="WU19">
        <f>'Demand Stage 2'!WU18</f>
        <v>0</v>
      </c>
      <c r="WV19">
        <f>'Demand Stage 2'!WV18</f>
        <v>0</v>
      </c>
      <c r="WW19">
        <f>'Demand Stage 2'!WW18</f>
        <v>0</v>
      </c>
      <c r="WX19">
        <f>'Demand Stage 2'!WX18</f>
        <v>0</v>
      </c>
      <c r="WY19">
        <f>'Demand Stage 2'!WY18</f>
        <v>0</v>
      </c>
      <c r="WZ19">
        <f>'Demand Stage 2'!WZ18</f>
        <v>0</v>
      </c>
      <c r="XA19">
        <f>'Demand Stage 2'!XA18</f>
        <v>0</v>
      </c>
      <c r="XB19">
        <f>'Demand Stage 2'!XB18</f>
        <v>0</v>
      </c>
      <c r="XC19">
        <f>'Demand Stage 2'!XC18</f>
        <v>0</v>
      </c>
      <c r="XD19">
        <f>'Demand Stage 2'!XD18</f>
        <v>0</v>
      </c>
      <c r="XE19">
        <f>'Demand Stage 2'!XE18</f>
        <v>0</v>
      </c>
      <c r="XF19">
        <f>'Demand Stage 2'!XF18</f>
        <v>0</v>
      </c>
      <c r="XG19">
        <f>'Demand Stage 2'!XG18</f>
        <v>0</v>
      </c>
      <c r="XH19">
        <f>'Demand Stage 2'!XH18</f>
        <v>0</v>
      </c>
      <c r="XI19">
        <f>'Demand Stage 2'!XI18</f>
        <v>0</v>
      </c>
      <c r="XJ19">
        <f>'Demand Stage 2'!XJ18</f>
        <v>0</v>
      </c>
      <c r="XK19">
        <f>'Demand Stage 2'!XK18</f>
        <v>0</v>
      </c>
      <c r="XL19">
        <f>'Demand Stage 2'!XL18</f>
        <v>0</v>
      </c>
      <c r="XM19">
        <f>'Demand Stage 2'!XM18</f>
        <v>0</v>
      </c>
      <c r="XN19">
        <f>'Demand Stage 2'!XN18</f>
        <v>0</v>
      </c>
      <c r="XO19">
        <f>'Demand Stage 2'!XO18</f>
        <v>0</v>
      </c>
      <c r="XP19">
        <f>'Demand Stage 2'!XP18</f>
        <v>0</v>
      </c>
      <c r="XQ19">
        <f>'Demand Stage 2'!XQ18</f>
        <v>0</v>
      </c>
      <c r="XR19">
        <f>'Demand Stage 2'!XR18</f>
        <v>0</v>
      </c>
      <c r="XS19">
        <f>'Demand Stage 2'!XS18</f>
        <v>0</v>
      </c>
      <c r="XT19">
        <f>'Demand Stage 2'!XT18</f>
        <v>0</v>
      </c>
      <c r="XU19">
        <f>'Demand Stage 2'!XU18</f>
        <v>0</v>
      </c>
      <c r="XV19">
        <f>'Demand Stage 2'!XV18</f>
        <v>0</v>
      </c>
      <c r="XW19">
        <f>'Demand Stage 2'!XW18</f>
        <v>0</v>
      </c>
      <c r="XX19">
        <f>'Demand Stage 2'!XX18</f>
        <v>0</v>
      </c>
      <c r="XY19">
        <f>'Demand Stage 2'!XY18</f>
        <v>0</v>
      </c>
      <c r="XZ19">
        <f>'Demand Stage 2'!XZ18</f>
        <v>0</v>
      </c>
      <c r="YA19">
        <f>'Demand Stage 2'!YA18</f>
        <v>0</v>
      </c>
      <c r="YB19">
        <f>'Demand Stage 2'!YB18</f>
        <v>0</v>
      </c>
      <c r="YC19">
        <f>'Demand Stage 2'!YC18</f>
        <v>0</v>
      </c>
      <c r="YD19">
        <f>'Demand Stage 2'!YD18</f>
        <v>0</v>
      </c>
      <c r="YE19">
        <f>'Demand Stage 2'!YE18</f>
        <v>0</v>
      </c>
      <c r="YF19">
        <f>'Demand Stage 2'!YF18</f>
        <v>0</v>
      </c>
      <c r="YG19">
        <f>'Demand Stage 2'!YG18</f>
        <v>0</v>
      </c>
      <c r="YH19">
        <f>'Demand Stage 2'!YH18</f>
        <v>0</v>
      </c>
      <c r="YI19">
        <f>'Demand Stage 2'!YI18</f>
        <v>0</v>
      </c>
      <c r="YJ19">
        <f>'Demand Stage 2'!YJ18</f>
        <v>0</v>
      </c>
      <c r="YK19">
        <f>'Demand Stage 2'!YK18</f>
        <v>0</v>
      </c>
      <c r="YL19">
        <f>'Demand Stage 2'!YL18</f>
        <v>0</v>
      </c>
      <c r="YM19">
        <f>'Demand Stage 2'!YM18</f>
        <v>0</v>
      </c>
      <c r="YN19">
        <f>'Demand Stage 2'!YN18</f>
        <v>0</v>
      </c>
      <c r="YO19">
        <f>'Demand Stage 2'!YO18</f>
        <v>0</v>
      </c>
      <c r="YP19">
        <f>'Demand Stage 2'!YP18</f>
        <v>0</v>
      </c>
      <c r="YQ19">
        <f>'Demand Stage 2'!YQ18</f>
        <v>0</v>
      </c>
      <c r="YR19">
        <f>'Demand Stage 2'!YR18</f>
        <v>0</v>
      </c>
      <c r="YS19">
        <f>'Demand Stage 2'!YS18</f>
        <v>0</v>
      </c>
      <c r="YT19">
        <f>'Demand Stage 2'!YT18</f>
        <v>0</v>
      </c>
      <c r="YU19">
        <f>'Demand Stage 2'!YU18</f>
        <v>0</v>
      </c>
      <c r="YV19">
        <f>'Demand Stage 2'!YV18</f>
        <v>0</v>
      </c>
      <c r="YW19">
        <f>'Demand Stage 2'!YW18</f>
        <v>0</v>
      </c>
      <c r="YX19">
        <f>'Demand Stage 2'!YX18</f>
        <v>0</v>
      </c>
      <c r="YY19">
        <f>'Demand Stage 2'!YY18</f>
        <v>0</v>
      </c>
      <c r="YZ19">
        <f>'Demand Stage 2'!YZ18</f>
        <v>0</v>
      </c>
      <c r="ZA19">
        <f>'Demand Stage 2'!ZA18</f>
        <v>0</v>
      </c>
      <c r="ZB19">
        <f>'Demand Stage 2'!ZB18</f>
        <v>0</v>
      </c>
      <c r="ZC19">
        <f>'Demand Stage 2'!ZC18</f>
        <v>0</v>
      </c>
      <c r="ZD19">
        <f>'Demand Stage 2'!ZD18</f>
        <v>0</v>
      </c>
      <c r="ZE19">
        <f>'Demand Stage 2'!ZE18</f>
        <v>0</v>
      </c>
      <c r="ZF19">
        <f>'Demand Stage 2'!ZF18</f>
        <v>0</v>
      </c>
      <c r="ZG19">
        <f>'Demand Stage 2'!ZG18</f>
        <v>0</v>
      </c>
      <c r="ZH19">
        <f>'Demand Stage 2'!ZH18</f>
        <v>0</v>
      </c>
      <c r="ZI19">
        <f>'Demand Stage 2'!ZI18</f>
        <v>0</v>
      </c>
      <c r="ZJ19">
        <f>'Demand Stage 2'!ZJ18</f>
        <v>0</v>
      </c>
      <c r="ZK19">
        <f>'Demand Stage 2'!ZK18</f>
        <v>0</v>
      </c>
      <c r="ZL19">
        <f>'Demand Stage 2'!ZL18</f>
        <v>0</v>
      </c>
      <c r="ZM19">
        <f>'Demand Stage 2'!ZM18</f>
        <v>0</v>
      </c>
      <c r="ZN19">
        <f>'Demand Stage 2'!ZN18</f>
        <v>0</v>
      </c>
      <c r="ZO19">
        <f>'Demand Stage 2'!ZO18</f>
        <v>0</v>
      </c>
      <c r="ZP19">
        <f>'Demand Stage 2'!ZP18</f>
        <v>0</v>
      </c>
      <c r="ZQ19">
        <f>'Demand Stage 2'!ZQ18</f>
        <v>0</v>
      </c>
      <c r="ZR19">
        <f>'Demand Stage 2'!ZR18</f>
        <v>0</v>
      </c>
      <c r="ZS19">
        <f>'Demand Stage 2'!ZS18</f>
        <v>0</v>
      </c>
      <c r="ZT19">
        <f>'Demand Stage 2'!ZT18</f>
        <v>0</v>
      </c>
      <c r="ZU19">
        <f>'Demand Stage 2'!ZU18</f>
        <v>0</v>
      </c>
      <c r="ZV19">
        <f>'Demand Stage 2'!ZV18</f>
        <v>0</v>
      </c>
      <c r="ZW19">
        <f>'Demand Stage 2'!ZW18</f>
        <v>0</v>
      </c>
      <c r="ZX19">
        <f>'Demand Stage 2'!ZX18</f>
        <v>0</v>
      </c>
      <c r="ZY19">
        <f>'Demand Stage 2'!ZY18</f>
        <v>0</v>
      </c>
      <c r="ZZ19">
        <f>'Demand Stage 2'!ZZ18</f>
        <v>0</v>
      </c>
      <c r="AAA19">
        <f>'Demand Stage 2'!AAA18</f>
        <v>0</v>
      </c>
      <c r="AAB19">
        <f>'Demand Stage 2'!AAB18</f>
        <v>0</v>
      </c>
      <c r="AAC19">
        <f>'Demand Stage 2'!AAC18</f>
        <v>0</v>
      </c>
      <c r="AAD19">
        <f t="shared" si="33"/>
        <v>0</v>
      </c>
      <c r="AAE19">
        <f t="shared" si="66"/>
        <v>0</v>
      </c>
      <c r="AAF19">
        <f t="shared" si="67"/>
        <v>0</v>
      </c>
      <c r="AAG19">
        <f t="shared" si="68"/>
        <v>0</v>
      </c>
      <c r="AAH19">
        <f t="shared" si="69"/>
        <v>0</v>
      </c>
      <c r="AAI19">
        <f t="shared" si="70"/>
        <v>0</v>
      </c>
      <c r="AAJ19">
        <f t="shared" si="71"/>
        <v>0</v>
      </c>
      <c r="AAK19">
        <f t="shared" si="72"/>
        <v>0</v>
      </c>
      <c r="AAL19">
        <f t="shared" si="73"/>
        <v>0</v>
      </c>
      <c r="AAM19">
        <f t="shared" si="74"/>
        <v>0</v>
      </c>
      <c r="AAN19">
        <f t="shared" si="75"/>
        <v>0</v>
      </c>
      <c r="AAO19">
        <f t="shared" si="76"/>
        <v>0</v>
      </c>
      <c r="AAP19">
        <f t="shared" si="77"/>
        <v>0</v>
      </c>
      <c r="AAQ19">
        <f t="shared" si="78"/>
        <v>0</v>
      </c>
      <c r="AAR19">
        <f t="shared" si="79"/>
        <v>0</v>
      </c>
      <c r="AAS19">
        <f t="shared" si="80"/>
        <v>0</v>
      </c>
      <c r="AAT19">
        <f t="shared" si="81"/>
        <v>0</v>
      </c>
      <c r="AAU19">
        <f t="shared" si="82"/>
        <v>0</v>
      </c>
      <c r="AAV19">
        <f t="shared" si="83"/>
        <v>0</v>
      </c>
      <c r="AAW19">
        <f t="shared" si="84"/>
        <v>0</v>
      </c>
      <c r="AAX19">
        <f t="shared" si="85"/>
        <v>0</v>
      </c>
      <c r="AAY19">
        <f t="shared" si="86"/>
        <v>0</v>
      </c>
      <c r="AAZ19">
        <f t="shared" si="87"/>
        <v>0</v>
      </c>
      <c r="ABA19">
        <f t="shared" si="88"/>
        <v>0</v>
      </c>
      <c r="ABB19">
        <f t="shared" si="89"/>
        <v>0</v>
      </c>
      <c r="ABC19">
        <f t="shared" si="90"/>
        <v>0</v>
      </c>
      <c r="ABD19">
        <f t="shared" si="91"/>
        <v>0</v>
      </c>
      <c r="ABE19">
        <f t="shared" si="92"/>
        <v>0</v>
      </c>
      <c r="ABF19">
        <f t="shared" si="93"/>
        <v>0</v>
      </c>
      <c r="ABG19">
        <f t="shared" si="94"/>
        <v>0</v>
      </c>
      <c r="ABH19">
        <f t="shared" si="95"/>
        <v>0</v>
      </c>
      <c r="ABI19">
        <f t="shared" si="96"/>
        <v>0</v>
      </c>
      <c r="ABJ19">
        <f t="shared" si="97"/>
        <v>0</v>
      </c>
      <c r="ABK19">
        <f t="shared" si="98"/>
        <v>0</v>
      </c>
      <c r="ABL19">
        <f t="shared" si="99"/>
        <v>0</v>
      </c>
      <c r="ABM19">
        <f t="shared" si="100"/>
        <v>0</v>
      </c>
      <c r="ABN19">
        <f t="shared" si="101"/>
        <v>0</v>
      </c>
      <c r="ABO19">
        <f t="shared" si="102"/>
        <v>0</v>
      </c>
      <c r="ABP19">
        <f t="shared" si="103"/>
        <v>0</v>
      </c>
      <c r="ABQ19">
        <f t="shared" si="104"/>
        <v>0</v>
      </c>
      <c r="ABR19">
        <f t="shared" si="105"/>
        <v>0</v>
      </c>
      <c r="ABS19">
        <f t="shared" si="106"/>
        <v>0</v>
      </c>
      <c r="ABT19">
        <f t="shared" si="107"/>
        <v>0</v>
      </c>
      <c r="ABU19">
        <f t="shared" si="108"/>
        <v>0</v>
      </c>
      <c r="ABV19">
        <f t="shared" si="109"/>
        <v>0</v>
      </c>
      <c r="ABW19">
        <f t="shared" si="110"/>
        <v>0</v>
      </c>
      <c r="ABX19">
        <f t="shared" si="111"/>
        <v>0</v>
      </c>
      <c r="ABY19">
        <f t="shared" si="112"/>
        <v>0</v>
      </c>
      <c r="ABZ19">
        <f t="shared" si="113"/>
        <v>0</v>
      </c>
      <c r="ACA19">
        <f t="shared" si="114"/>
        <v>0</v>
      </c>
      <c r="ACB19">
        <f t="shared" si="115"/>
        <v>0</v>
      </c>
      <c r="ACC19">
        <f t="shared" si="116"/>
        <v>0</v>
      </c>
      <c r="ACD19">
        <f t="shared" si="117"/>
        <v>0</v>
      </c>
      <c r="ACE19">
        <f t="shared" si="118"/>
        <v>0</v>
      </c>
      <c r="ACF19">
        <f t="shared" si="119"/>
        <v>0</v>
      </c>
      <c r="ACG19">
        <f t="shared" si="120"/>
        <v>0</v>
      </c>
      <c r="ACH19">
        <f t="shared" si="121"/>
        <v>0</v>
      </c>
      <c r="ACI19">
        <f t="shared" si="122"/>
        <v>0</v>
      </c>
      <c r="ACJ19">
        <f t="shared" si="123"/>
        <v>0</v>
      </c>
      <c r="ACK19">
        <f t="shared" si="124"/>
        <v>0</v>
      </c>
      <c r="ACL19">
        <f t="shared" si="125"/>
        <v>0</v>
      </c>
      <c r="ACM19">
        <f t="shared" si="126"/>
        <v>0</v>
      </c>
      <c r="ACN19">
        <f t="shared" si="127"/>
        <v>0</v>
      </c>
      <c r="ACO19">
        <f t="shared" si="128"/>
        <v>0</v>
      </c>
      <c r="ACP19">
        <f t="shared" si="34"/>
        <v>0</v>
      </c>
      <c r="ACQ19">
        <f t="shared" si="129"/>
        <v>0</v>
      </c>
      <c r="ACR19">
        <f t="shared" si="130"/>
        <v>0</v>
      </c>
      <c r="ACS19">
        <f t="shared" si="131"/>
        <v>0</v>
      </c>
      <c r="ACT19">
        <f t="shared" si="132"/>
        <v>0</v>
      </c>
      <c r="ACU19">
        <f t="shared" si="133"/>
        <v>0</v>
      </c>
      <c r="ACV19">
        <f t="shared" si="134"/>
        <v>0</v>
      </c>
      <c r="ACW19">
        <f t="shared" si="135"/>
        <v>0</v>
      </c>
      <c r="ACX19">
        <f t="shared" si="136"/>
        <v>0</v>
      </c>
      <c r="ACY19">
        <f t="shared" si="137"/>
        <v>0</v>
      </c>
      <c r="ACZ19">
        <f t="shared" si="138"/>
        <v>0</v>
      </c>
      <c r="ADA19">
        <f t="shared" si="139"/>
        <v>0</v>
      </c>
      <c r="ADB19">
        <f t="shared" si="140"/>
        <v>0</v>
      </c>
      <c r="ADC19">
        <f t="shared" si="141"/>
        <v>0</v>
      </c>
      <c r="ADD19">
        <f t="shared" si="142"/>
        <v>0</v>
      </c>
      <c r="ADE19">
        <f t="shared" si="143"/>
        <v>0</v>
      </c>
      <c r="ADF19">
        <f t="shared" si="144"/>
        <v>0</v>
      </c>
      <c r="ADG19">
        <f t="shared" si="145"/>
        <v>0</v>
      </c>
      <c r="ADH19">
        <f t="shared" si="146"/>
        <v>0</v>
      </c>
      <c r="ADI19">
        <f t="shared" si="147"/>
        <v>0</v>
      </c>
      <c r="ADJ19">
        <f t="shared" si="148"/>
        <v>0</v>
      </c>
      <c r="ADK19">
        <f t="shared" si="149"/>
        <v>0</v>
      </c>
      <c r="ADL19">
        <f t="shared" si="150"/>
        <v>0</v>
      </c>
      <c r="ADM19">
        <f t="shared" si="151"/>
        <v>0</v>
      </c>
      <c r="ADN19">
        <f t="shared" si="152"/>
        <v>0</v>
      </c>
      <c r="ADO19">
        <f t="shared" si="153"/>
        <v>0</v>
      </c>
      <c r="ADP19">
        <f t="shared" si="154"/>
        <v>0</v>
      </c>
      <c r="ADQ19">
        <f t="shared" si="155"/>
        <v>0</v>
      </c>
      <c r="ADR19">
        <f t="shared" si="156"/>
        <v>0</v>
      </c>
      <c r="ADS19">
        <f t="shared" si="157"/>
        <v>0</v>
      </c>
      <c r="ADT19">
        <f t="shared" si="158"/>
        <v>0</v>
      </c>
      <c r="ADU19">
        <f t="shared" si="159"/>
        <v>0</v>
      </c>
      <c r="ADV19">
        <f t="shared" si="160"/>
        <v>0</v>
      </c>
      <c r="ADW19">
        <f t="shared" si="161"/>
        <v>0</v>
      </c>
      <c r="ADX19">
        <f t="shared" si="162"/>
        <v>0</v>
      </c>
      <c r="ADY19">
        <f t="shared" si="163"/>
        <v>0</v>
      </c>
      <c r="ADZ19">
        <f t="shared" si="164"/>
        <v>0</v>
      </c>
      <c r="AEA19">
        <f t="shared" si="165"/>
        <v>0</v>
      </c>
      <c r="AEB19">
        <f t="shared" si="166"/>
        <v>0</v>
      </c>
      <c r="AEC19">
        <f t="shared" si="167"/>
        <v>0</v>
      </c>
      <c r="AED19">
        <f t="shared" si="168"/>
        <v>0</v>
      </c>
      <c r="AEE19">
        <f t="shared" si="169"/>
        <v>0</v>
      </c>
      <c r="AEF19">
        <f t="shared" si="170"/>
        <v>0</v>
      </c>
      <c r="AEG19">
        <f t="shared" si="171"/>
        <v>0</v>
      </c>
      <c r="AEH19">
        <f t="shared" si="172"/>
        <v>0</v>
      </c>
      <c r="AEI19">
        <f t="shared" si="173"/>
        <v>0</v>
      </c>
      <c r="AEJ19">
        <f t="shared" si="174"/>
        <v>0</v>
      </c>
      <c r="AEK19">
        <f t="shared" si="175"/>
        <v>0</v>
      </c>
      <c r="AEL19">
        <f t="shared" si="176"/>
        <v>0</v>
      </c>
      <c r="AEM19">
        <f t="shared" si="177"/>
        <v>0</v>
      </c>
      <c r="AEN19">
        <f t="shared" si="178"/>
        <v>0</v>
      </c>
      <c r="AEO19">
        <f t="shared" si="179"/>
        <v>0</v>
      </c>
      <c r="AEP19">
        <f t="shared" si="180"/>
        <v>0</v>
      </c>
      <c r="AEQ19">
        <f t="shared" si="181"/>
        <v>0</v>
      </c>
      <c r="AER19">
        <f t="shared" si="182"/>
        <v>0</v>
      </c>
      <c r="AES19">
        <f t="shared" si="183"/>
        <v>0</v>
      </c>
      <c r="AET19">
        <f t="shared" si="184"/>
        <v>0</v>
      </c>
      <c r="AEU19">
        <f t="shared" si="185"/>
        <v>0</v>
      </c>
      <c r="AEV19">
        <f t="shared" si="186"/>
        <v>0</v>
      </c>
      <c r="AEW19">
        <f t="shared" si="187"/>
        <v>0</v>
      </c>
      <c r="AEX19">
        <f t="shared" si="188"/>
        <v>0</v>
      </c>
      <c r="AEY19">
        <f t="shared" si="189"/>
        <v>0</v>
      </c>
      <c r="AEZ19">
        <f t="shared" si="190"/>
        <v>0</v>
      </c>
      <c r="AFA19">
        <f t="shared" si="191"/>
        <v>0</v>
      </c>
      <c r="AFB19">
        <f t="shared" si="35"/>
        <v>0</v>
      </c>
      <c r="AFC19">
        <f t="shared" si="192"/>
        <v>0</v>
      </c>
      <c r="AFD19">
        <f t="shared" si="193"/>
        <v>0</v>
      </c>
      <c r="AFE19">
        <f t="shared" si="194"/>
        <v>0</v>
      </c>
      <c r="AFF19">
        <f t="shared" si="195"/>
        <v>0</v>
      </c>
      <c r="AFG19">
        <f t="shared" si="196"/>
        <v>0</v>
      </c>
      <c r="AFH19">
        <f t="shared" si="197"/>
        <v>0</v>
      </c>
      <c r="AFI19">
        <f t="shared" si="198"/>
        <v>0</v>
      </c>
      <c r="AFJ19">
        <f t="shared" si="199"/>
        <v>0</v>
      </c>
      <c r="AFK19">
        <f t="shared" si="200"/>
        <v>0</v>
      </c>
      <c r="AFL19">
        <f t="shared" si="201"/>
        <v>0</v>
      </c>
      <c r="AFM19">
        <f t="shared" si="202"/>
        <v>0</v>
      </c>
      <c r="AFN19">
        <f t="shared" si="203"/>
        <v>0</v>
      </c>
      <c r="AFO19">
        <f t="shared" si="204"/>
        <v>0</v>
      </c>
      <c r="AFP19">
        <f t="shared" si="205"/>
        <v>0</v>
      </c>
      <c r="AFQ19">
        <f t="shared" si="206"/>
        <v>0</v>
      </c>
      <c r="AFR19">
        <f t="shared" si="207"/>
        <v>0</v>
      </c>
      <c r="AFS19">
        <f t="shared" si="208"/>
        <v>0</v>
      </c>
      <c r="AFT19">
        <f t="shared" si="209"/>
        <v>0</v>
      </c>
      <c r="AFU19">
        <f t="shared" si="210"/>
        <v>0</v>
      </c>
      <c r="AFV19">
        <f t="shared" si="211"/>
        <v>0</v>
      </c>
      <c r="AFW19">
        <f t="shared" si="212"/>
        <v>0</v>
      </c>
      <c r="AFX19">
        <f t="shared" si="213"/>
        <v>0</v>
      </c>
      <c r="AFY19">
        <f t="shared" si="214"/>
        <v>0</v>
      </c>
      <c r="AFZ19">
        <f t="shared" si="215"/>
        <v>0</v>
      </c>
      <c r="AGA19">
        <f t="shared" si="216"/>
        <v>0</v>
      </c>
      <c r="AGB19">
        <f t="shared" si="217"/>
        <v>0</v>
      </c>
      <c r="AGC19">
        <f t="shared" si="218"/>
        <v>0</v>
      </c>
      <c r="AGD19">
        <f t="shared" si="219"/>
        <v>0</v>
      </c>
      <c r="AGE19">
        <f t="shared" si="220"/>
        <v>0</v>
      </c>
      <c r="AGF19">
        <f t="shared" si="221"/>
        <v>0</v>
      </c>
      <c r="AGG19">
        <f t="shared" si="222"/>
        <v>0</v>
      </c>
      <c r="AGH19">
        <f t="shared" si="223"/>
        <v>0</v>
      </c>
      <c r="AGI19">
        <f t="shared" si="224"/>
        <v>0</v>
      </c>
      <c r="AGJ19">
        <f t="shared" si="225"/>
        <v>0</v>
      </c>
      <c r="AGK19">
        <f t="shared" si="226"/>
        <v>0</v>
      </c>
      <c r="AGL19">
        <f t="shared" si="227"/>
        <v>0</v>
      </c>
      <c r="AGM19">
        <f t="shared" si="228"/>
        <v>0</v>
      </c>
      <c r="AGN19">
        <f t="shared" si="229"/>
        <v>0</v>
      </c>
      <c r="AGO19">
        <f t="shared" si="230"/>
        <v>0</v>
      </c>
      <c r="AGP19">
        <f t="shared" si="231"/>
        <v>0</v>
      </c>
      <c r="AGQ19">
        <f t="shared" si="232"/>
        <v>0</v>
      </c>
      <c r="AGR19">
        <f t="shared" si="233"/>
        <v>0</v>
      </c>
      <c r="AGS19">
        <f t="shared" si="234"/>
        <v>0</v>
      </c>
      <c r="AGT19">
        <f t="shared" si="235"/>
        <v>0</v>
      </c>
      <c r="AGU19">
        <f t="shared" si="236"/>
        <v>0</v>
      </c>
      <c r="AGV19">
        <f t="shared" si="237"/>
        <v>0</v>
      </c>
      <c r="AGW19">
        <f t="shared" si="238"/>
        <v>0</v>
      </c>
      <c r="AGX19">
        <f t="shared" si="239"/>
        <v>0</v>
      </c>
      <c r="AGY19">
        <f t="shared" si="240"/>
        <v>0</v>
      </c>
      <c r="AGZ19">
        <f t="shared" si="241"/>
        <v>0</v>
      </c>
      <c r="AHA19">
        <f t="shared" si="242"/>
        <v>0</v>
      </c>
      <c r="AHB19">
        <f t="shared" si="243"/>
        <v>0</v>
      </c>
      <c r="AHC19">
        <f t="shared" si="244"/>
        <v>0</v>
      </c>
      <c r="AHD19">
        <f t="shared" si="245"/>
        <v>0</v>
      </c>
      <c r="AHE19">
        <f t="shared" si="246"/>
        <v>0</v>
      </c>
      <c r="AHF19">
        <f t="shared" si="247"/>
        <v>0</v>
      </c>
      <c r="AHG19">
        <f t="shared" si="248"/>
        <v>0</v>
      </c>
      <c r="AHH19">
        <f t="shared" si="249"/>
        <v>0</v>
      </c>
      <c r="AHI19">
        <f t="shared" si="250"/>
        <v>0</v>
      </c>
      <c r="AHJ19">
        <f t="shared" si="251"/>
        <v>0</v>
      </c>
      <c r="AHK19">
        <f t="shared" si="252"/>
        <v>0</v>
      </c>
      <c r="AHL19">
        <f t="shared" si="253"/>
        <v>0</v>
      </c>
      <c r="AHM19">
        <f t="shared" si="254"/>
        <v>0</v>
      </c>
      <c r="AHN19">
        <f t="shared" si="36"/>
        <v>0</v>
      </c>
      <c r="AHO19">
        <f t="shared" si="255"/>
        <v>0</v>
      </c>
      <c r="AHP19">
        <f t="shared" si="256"/>
        <v>0</v>
      </c>
      <c r="AHQ19">
        <f t="shared" si="257"/>
        <v>0</v>
      </c>
      <c r="AHR19">
        <f t="shared" si="258"/>
        <v>0</v>
      </c>
      <c r="AHS19">
        <f t="shared" si="259"/>
        <v>0</v>
      </c>
      <c r="AHT19">
        <f t="shared" si="260"/>
        <v>0</v>
      </c>
      <c r="AHU19">
        <f t="shared" si="261"/>
        <v>0</v>
      </c>
      <c r="AHV19">
        <f t="shared" si="262"/>
        <v>0</v>
      </c>
      <c r="AHW19">
        <f t="shared" si="263"/>
        <v>0</v>
      </c>
      <c r="AHX19">
        <f t="shared" si="264"/>
        <v>0</v>
      </c>
      <c r="AHY19">
        <f t="shared" si="265"/>
        <v>0</v>
      </c>
      <c r="AHZ19">
        <f t="shared" si="266"/>
        <v>0</v>
      </c>
      <c r="AIA19">
        <f t="shared" si="267"/>
        <v>0</v>
      </c>
      <c r="AIB19">
        <f t="shared" si="268"/>
        <v>0</v>
      </c>
      <c r="AIC19">
        <f t="shared" si="269"/>
        <v>0</v>
      </c>
      <c r="AID19">
        <f t="shared" si="270"/>
        <v>0</v>
      </c>
      <c r="AIE19">
        <f t="shared" si="271"/>
        <v>0</v>
      </c>
      <c r="AIF19">
        <f t="shared" si="272"/>
        <v>0</v>
      </c>
      <c r="AIG19">
        <f t="shared" si="273"/>
        <v>0</v>
      </c>
      <c r="AIH19">
        <f t="shared" si="274"/>
        <v>0</v>
      </c>
      <c r="AII19">
        <f t="shared" si="275"/>
        <v>0</v>
      </c>
      <c r="AIJ19">
        <f t="shared" si="276"/>
        <v>0</v>
      </c>
      <c r="AIK19">
        <f t="shared" si="277"/>
        <v>0</v>
      </c>
      <c r="AIL19">
        <f t="shared" si="278"/>
        <v>0</v>
      </c>
      <c r="AIM19">
        <f t="shared" si="279"/>
        <v>0</v>
      </c>
      <c r="AIN19">
        <f t="shared" si="280"/>
        <v>0</v>
      </c>
      <c r="AIO19">
        <f t="shared" si="281"/>
        <v>0</v>
      </c>
      <c r="AIP19">
        <f t="shared" si="282"/>
        <v>0</v>
      </c>
      <c r="AIQ19">
        <f t="shared" si="283"/>
        <v>0</v>
      </c>
      <c r="AIR19">
        <f t="shared" si="284"/>
        <v>0</v>
      </c>
      <c r="AIS19">
        <f t="shared" si="285"/>
        <v>0</v>
      </c>
      <c r="AIT19">
        <f t="shared" si="286"/>
        <v>0</v>
      </c>
      <c r="AIU19">
        <f t="shared" si="287"/>
        <v>0</v>
      </c>
      <c r="AIV19">
        <f t="shared" si="288"/>
        <v>0</v>
      </c>
      <c r="AIW19">
        <f t="shared" si="289"/>
        <v>0</v>
      </c>
      <c r="AIX19">
        <f t="shared" si="290"/>
        <v>0</v>
      </c>
      <c r="AIY19">
        <f t="shared" si="291"/>
        <v>0</v>
      </c>
      <c r="AIZ19">
        <f t="shared" si="292"/>
        <v>0</v>
      </c>
      <c r="AJA19">
        <f t="shared" si="293"/>
        <v>0</v>
      </c>
      <c r="AJB19">
        <f t="shared" si="294"/>
        <v>0</v>
      </c>
      <c r="AJC19">
        <f t="shared" si="295"/>
        <v>0</v>
      </c>
      <c r="AJD19">
        <f t="shared" si="296"/>
        <v>0</v>
      </c>
      <c r="AJE19">
        <f t="shared" si="297"/>
        <v>0</v>
      </c>
      <c r="AJF19">
        <f t="shared" si="298"/>
        <v>0</v>
      </c>
      <c r="AJG19">
        <f t="shared" si="299"/>
        <v>0</v>
      </c>
      <c r="AJH19">
        <f t="shared" si="300"/>
        <v>0</v>
      </c>
      <c r="AJI19">
        <f t="shared" si="301"/>
        <v>0</v>
      </c>
      <c r="AJJ19">
        <f t="shared" si="302"/>
        <v>0</v>
      </c>
      <c r="AJK19">
        <f t="shared" si="303"/>
        <v>0</v>
      </c>
      <c r="AJL19">
        <f t="shared" si="304"/>
        <v>0</v>
      </c>
      <c r="AJM19">
        <f t="shared" si="305"/>
        <v>0</v>
      </c>
      <c r="AJN19">
        <f t="shared" si="306"/>
        <v>0</v>
      </c>
      <c r="AJO19">
        <f t="shared" si="307"/>
        <v>0</v>
      </c>
      <c r="AJP19">
        <f t="shared" si="308"/>
        <v>0</v>
      </c>
      <c r="AJQ19">
        <f t="shared" si="309"/>
        <v>0</v>
      </c>
      <c r="AJR19">
        <f t="shared" si="310"/>
        <v>0</v>
      </c>
      <c r="AJS19">
        <f t="shared" si="311"/>
        <v>0</v>
      </c>
      <c r="AJT19">
        <f t="shared" si="312"/>
        <v>0</v>
      </c>
      <c r="AJU19">
        <f t="shared" si="313"/>
        <v>0</v>
      </c>
      <c r="AJV19">
        <f t="shared" si="314"/>
        <v>0</v>
      </c>
      <c r="AJW19">
        <f t="shared" si="315"/>
        <v>0</v>
      </c>
      <c r="AJX19">
        <f t="shared" si="316"/>
        <v>0</v>
      </c>
      <c r="AJY19">
        <f t="shared" si="317"/>
        <v>0</v>
      </c>
      <c r="AJZ19">
        <f t="shared" si="37"/>
        <v>0</v>
      </c>
      <c r="AKA19">
        <f t="shared" si="318"/>
        <v>0</v>
      </c>
      <c r="AKB19">
        <f t="shared" si="319"/>
        <v>0</v>
      </c>
      <c r="AKC19">
        <f t="shared" si="320"/>
        <v>0</v>
      </c>
      <c r="AKD19">
        <f t="shared" si="321"/>
        <v>0</v>
      </c>
      <c r="AKE19">
        <f t="shared" si="322"/>
        <v>0</v>
      </c>
      <c r="AKF19">
        <f t="shared" si="323"/>
        <v>0</v>
      </c>
      <c r="AKG19">
        <f t="shared" si="324"/>
        <v>0</v>
      </c>
      <c r="AKH19">
        <f t="shared" si="325"/>
        <v>0</v>
      </c>
      <c r="AKI19">
        <f t="shared" si="326"/>
        <v>0</v>
      </c>
      <c r="AKJ19">
        <f t="shared" si="327"/>
        <v>0</v>
      </c>
      <c r="AKK19">
        <f t="shared" si="328"/>
        <v>0</v>
      </c>
      <c r="AKL19">
        <f t="shared" si="329"/>
        <v>0</v>
      </c>
      <c r="AKM19">
        <f t="shared" si="330"/>
        <v>0</v>
      </c>
      <c r="AKN19">
        <f t="shared" si="331"/>
        <v>0</v>
      </c>
      <c r="AKO19">
        <f t="shared" si="332"/>
        <v>0</v>
      </c>
      <c r="AKP19">
        <f t="shared" si="333"/>
        <v>0</v>
      </c>
      <c r="AKQ19">
        <f t="shared" si="334"/>
        <v>0</v>
      </c>
      <c r="AKR19">
        <f t="shared" si="335"/>
        <v>0</v>
      </c>
      <c r="AKS19">
        <f t="shared" si="336"/>
        <v>0</v>
      </c>
      <c r="AKT19">
        <f t="shared" si="337"/>
        <v>0</v>
      </c>
      <c r="AKU19">
        <f t="shared" si="338"/>
        <v>0</v>
      </c>
      <c r="AKV19">
        <f t="shared" si="339"/>
        <v>0</v>
      </c>
      <c r="AKW19">
        <f t="shared" si="340"/>
        <v>0</v>
      </c>
      <c r="AKX19">
        <f t="shared" si="341"/>
        <v>0</v>
      </c>
      <c r="AKY19">
        <f t="shared" si="342"/>
        <v>0</v>
      </c>
      <c r="AKZ19">
        <f t="shared" si="343"/>
        <v>0</v>
      </c>
      <c r="ALA19">
        <f t="shared" si="344"/>
        <v>0</v>
      </c>
      <c r="ALB19">
        <f t="shared" si="345"/>
        <v>0</v>
      </c>
      <c r="ALC19">
        <f t="shared" si="346"/>
        <v>0</v>
      </c>
      <c r="ALD19">
        <f t="shared" si="347"/>
        <v>0</v>
      </c>
      <c r="ALE19">
        <f t="shared" si="348"/>
        <v>0</v>
      </c>
      <c r="ALF19">
        <f t="shared" si="349"/>
        <v>0</v>
      </c>
      <c r="ALG19">
        <f t="shared" si="350"/>
        <v>0</v>
      </c>
      <c r="ALH19">
        <f t="shared" si="351"/>
        <v>0</v>
      </c>
      <c r="ALI19">
        <f t="shared" si="352"/>
        <v>0</v>
      </c>
      <c r="ALJ19">
        <f t="shared" si="353"/>
        <v>0</v>
      </c>
      <c r="ALK19">
        <f t="shared" si="354"/>
        <v>0</v>
      </c>
      <c r="ALL19">
        <f t="shared" si="355"/>
        <v>0</v>
      </c>
      <c r="ALM19">
        <f t="shared" si="356"/>
        <v>0</v>
      </c>
      <c r="ALN19">
        <f t="shared" si="357"/>
        <v>0</v>
      </c>
      <c r="ALO19">
        <f t="shared" si="358"/>
        <v>0</v>
      </c>
      <c r="ALP19">
        <f t="shared" si="359"/>
        <v>0</v>
      </c>
      <c r="ALQ19">
        <f t="shared" si="360"/>
        <v>0</v>
      </c>
      <c r="ALR19">
        <f t="shared" si="361"/>
        <v>0</v>
      </c>
      <c r="ALS19">
        <f t="shared" si="362"/>
        <v>0</v>
      </c>
      <c r="ALT19">
        <f t="shared" si="363"/>
        <v>0</v>
      </c>
      <c r="ALU19">
        <f t="shared" si="364"/>
        <v>0</v>
      </c>
      <c r="ALV19">
        <f t="shared" si="365"/>
        <v>0</v>
      </c>
      <c r="ALW19">
        <f t="shared" si="366"/>
        <v>0</v>
      </c>
      <c r="ALX19">
        <f t="shared" si="367"/>
        <v>0</v>
      </c>
      <c r="ALY19">
        <f t="shared" si="368"/>
        <v>0</v>
      </c>
      <c r="ALZ19">
        <f t="shared" si="369"/>
        <v>0</v>
      </c>
      <c r="AMA19">
        <f t="shared" si="370"/>
        <v>0</v>
      </c>
      <c r="AMB19">
        <f t="shared" si="371"/>
        <v>0</v>
      </c>
      <c r="AMC19">
        <f t="shared" si="372"/>
        <v>0</v>
      </c>
      <c r="AMD19">
        <f t="shared" si="373"/>
        <v>0</v>
      </c>
      <c r="AME19">
        <f t="shared" si="374"/>
        <v>0</v>
      </c>
      <c r="AMF19">
        <f t="shared" si="375"/>
        <v>0</v>
      </c>
      <c r="AMG19">
        <f t="shared" si="376"/>
        <v>0</v>
      </c>
      <c r="AMH19">
        <f t="shared" si="377"/>
        <v>0</v>
      </c>
      <c r="AMI19">
        <f t="shared" si="378"/>
        <v>0</v>
      </c>
      <c r="AMJ19">
        <f t="shared" si="379"/>
        <v>0</v>
      </c>
      <c r="AMK19">
        <f t="shared" si="380"/>
        <v>0</v>
      </c>
      <c r="AML19">
        <f t="shared" si="38"/>
        <v>0</v>
      </c>
      <c r="AMM19">
        <f t="shared" si="381"/>
        <v>0</v>
      </c>
      <c r="AMN19">
        <f t="shared" si="382"/>
        <v>0</v>
      </c>
      <c r="AMO19">
        <f t="shared" si="383"/>
        <v>0</v>
      </c>
      <c r="AMP19">
        <f t="shared" si="384"/>
        <v>0</v>
      </c>
      <c r="AMQ19">
        <f t="shared" si="385"/>
        <v>0</v>
      </c>
      <c r="AMR19">
        <f t="shared" si="386"/>
        <v>0</v>
      </c>
      <c r="AMS19">
        <f t="shared" si="387"/>
        <v>0</v>
      </c>
      <c r="AMT19">
        <f t="shared" si="388"/>
        <v>0</v>
      </c>
      <c r="AMU19">
        <f t="shared" si="389"/>
        <v>0</v>
      </c>
      <c r="AMV19">
        <f t="shared" si="390"/>
        <v>0</v>
      </c>
      <c r="AMW19">
        <f t="shared" si="391"/>
        <v>0</v>
      </c>
      <c r="AMX19">
        <f t="shared" si="392"/>
        <v>0</v>
      </c>
      <c r="AMY19">
        <f t="shared" si="393"/>
        <v>0</v>
      </c>
      <c r="AMZ19">
        <f t="shared" si="394"/>
        <v>0</v>
      </c>
      <c r="ANA19">
        <f t="shared" si="395"/>
        <v>0</v>
      </c>
      <c r="ANB19">
        <f t="shared" si="396"/>
        <v>0</v>
      </c>
      <c r="ANC19">
        <f t="shared" si="397"/>
        <v>0</v>
      </c>
      <c r="AND19">
        <f t="shared" si="398"/>
        <v>0</v>
      </c>
      <c r="ANE19">
        <f t="shared" si="399"/>
        <v>0</v>
      </c>
      <c r="ANF19">
        <f t="shared" si="400"/>
        <v>0</v>
      </c>
      <c r="ANG19">
        <f t="shared" si="401"/>
        <v>0</v>
      </c>
      <c r="ANH19">
        <f t="shared" si="402"/>
        <v>0</v>
      </c>
      <c r="ANI19">
        <f t="shared" si="403"/>
        <v>0</v>
      </c>
      <c r="ANJ19">
        <f t="shared" si="404"/>
        <v>0</v>
      </c>
      <c r="ANK19">
        <f t="shared" si="405"/>
        <v>0</v>
      </c>
      <c r="ANL19">
        <f t="shared" si="406"/>
        <v>0</v>
      </c>
      <c r="ANM19">
        <f t="shared" si="407"/>
        <v>0</v>
      </c>
      <c r="ANN19">
        <f t="shared" si="408"/>
        <v>0</v>
      </c>
      <c r="ANO19">
        <f t="shared" si="409"/>
        <v>0</v>
      </c>
      <c r="ANP19">
        <f t="shared" si="410"/>
        <v>0</v>
      </c>
      <c r="ANQ19">
        <f t="shared" si="411"/>
        <v>0</v>
      </c>
      <c r="ANR19">
        <f t="shared" si="412"/>
        <v>0</v>
      </c>
      <c r="ANS19">
        <f t="shared" si="413"/>
        <v>0</v>
      </c>
      <c r="ANT19">
        <f t="shared" si="414"/>
        <v>0</v>
      </c>
      <c r="ANU19">
        <f t="shared" si="415"/>
        <v>0</v>
      </c>
      <c r="ANV19">
        <f t="shared" si="416"/>
        <v>0</v>
      </c>
      <c r="ANW19">
        <f t="shared" si="417"/>
        <v>0</v>
      </c>
      <c r="ANX19">
        <f t="shared" si="418"/>
        <v>0</v>
      </c>
      <c r="ANY19">
        <f t="shared" si="419"/>
        <v>0</v>
      </c>
      <c r="ANZ19">
        <f t="shared" si="420"/>
        <v>0</v>
      </c>
      <c r="AOA19">
        <f t="shared" si="421"/>
        <v>0</v>
      </c>
      <c r="AOB19">
        <f t="shared" si="422"/>
        <v>0</v>
      </c>
      <c r="AOC19">
        <f t="shared" si="423"/>
        <v>0</v>
      </c>
      <c r="AOD19">
        <f t="shared" si="424"/>
        <v>0</v>
      </c>
      <c r="AOE19">
        <f t="shared" si="425"/>
        <v>0</v>
      </c>
      <c r="AOF19">
        <f t="shared" si="426"/>
        <v>0</v>
      </c>
      <c r="AOG19">
        <f t="shared" si="427"/>
        <v>0</v>
      </c>
      <c r="AOH19">
        <f t="shared" si="428"/>
        <v>0</v>
      </c>
      <c r="AOI19">
        <f t="shared" si="429"/>
        <v>0</v>
      </c>
      <c r="AOJ19">
        <f t="shared" si="430"/>
        <v>0</v>
      </c>
      <c r="AOK19">
        <f t="shared" si="431"/>
        <v>0</v>
      </c>
      <c r="AOL19">
        <f t="shared" si="432"/>
        <v>0</v>
      </c>
      <c r="AOM19">
        <f t="shared" si="433"/>
        <v>0</v>
      </c>
      <c r="AON19">
        <f t="shared" si="434"/>
        <v>0</v>
      </c>
      <c r="AOO19">
        <f t="shared" si="435"/>
        <v>0</v>
      </c>
      <c r="AOP19">
        <f t="shared" si="436"/>
        <v>0</v>
      </c>
      <c r="AOQ19">
        <f t="shared" si="437"/>
        <v>0</v>
      </c>
      <c r="AOR19">
        <f t="shared" si="438"/>
        <v>0</v>
      </c>
      <c r="AOS19">
        <f t="shared" si="439"/>
        <v>0</v>
      </c>
      <c r="AOT19">
        <f t="shared" si="440"/>
        <v>0</v>
      </c>
      <c r="AOU19">
        <f t="shared" si="441"/>
        <v>0</v>
      </c>
      <c r="AOV19">
        <f t="shared" si="442"/>
        <v>0</v>
      </c>
      <c r="AOW19">
        <f t="shared" si="443"/>
        <v>0</v>
      </c>
      <c r="AOX19">
        <f t="shared" si="39"/>
        <v>0</v>
      </c>
      <c r="AOY19">
        <f t="shared" si="444"/>
        <v>0</v>
      </c>
      <c r="AOZ19">
        <f t="shared" si="445"/>
        <v>0</v>
      </c>
      <c r="APA19">
        <f t="shared" si="446"/>
        <v>0</v>
      </c>
      <c r="APB19">
        <f t="shared" si="447"/>
        <v>0</v>
      </c>
      <c r="APC19">
        <f t="shared" si="448"/>
        <v>0</v>
      </c>
      <c r="APD19">
        <f t="shared" si="449"/>
        <v>0</v>
      </c>
      <c r="APE19">
        <f t="shared" si="450"/>
        <v>0</v>
      </c>
      <c r="APF19">
        <f t="shared" si="451"/>
        <v>0</v>
      </c>
      <c r="APG19">
        <f t="shared" si="452"/>
        <v>0</v>
      </c>
      <c r="APH19">
        <f t="shared" si="453"/>
        <v>0</v>
      </c>
      <c r="API19">
        <f t="shared" si="454"/>
        <v>0</v>
      </c>
      <c r="APJ19">
        <f t="shared" si="455"/>
        <v>0</v>
      </c>
      <c r="APK19">
        <f t="shared" si="456"/>
        <v>0</v>
      </c>
      <c r="APL19">
        <f t="shared" si="457"/>
        <v>0</v>
      </c>
      <c r="APM19">
        <f t="shared" si="458"/>
        <v>0</v>
      </c>
      <c r="APN19">
        <f t="shared" si="459"/>
        <v>0</v>
      </c>
      <c r="APO19">
        <f t="shared" si="460"/>
        <v>0</v>
      </c>
      <c r="APP19">
        <f t="shared" si="461"/>
        <v>0</v>
      </c>
      <c r="APQ19">
        <f t="shared" si="462"/>
        <v>0</v>
      </c>
      <c r="APR19">
        <f t="shared" si="463"/>
        <v>0</v>
      </c>
      <c r="APS19">
        <f t="shared" si="464"/>
        <v>0</v>
      </c>
      <c r="APT19">
        <f t="shared" si="465"/>
        <v>0</v>
      </c>
      <c r="APU19">
        <f t="shared" si="466"/>
        <v>0</v>
      </c>
      <c r="APV19">
        <f t="shared" si="467"/>
        <v>0</v>
      </c>
      <c r="APW19">
        <f t="shared" si="468"/>
        <v>0</v>
      </c>
      <c r="APX19">
        <f t="shared" si="469"/>
        <v>0</v>
      </c>
      <c r="APY19">
        <f t="shared" si="470"/>
        <v>0</v>
      </c>
      <c r="APZ19">
        <f t="shared" si="471"/>
        <v>0</v>
      </c>
      <c r="AQA19">
        <f t="shared" si="472"/>
        <v>0</v>
      </c>
      <c r="AQB19">
        <f t="shared" si="473"/>
        <v>0</v>
      </c>
      <c r="AQC19">
        <f t="shared" si="474"/>
        <v>0</v>
      </c>
      <c r="AQD19">
        <f t="shared" si="475"/>
        <v>0</v>
      </c>
      <c r="AQE19">
        <f t="shared" si="476"/>
        <v>0</v>
      </c>
      <c r="AQF19">
        <f t="shared" si="477"/>
        <v>0</v>
      </c>
      <c r="AQG19">
        <f t="shared" si="478"/>
        <v>0</v>
      </c>
      <c r="AQH19">
        <f t="shared" si="479"/>
        <v>0</v>
      </c>
      <c r="AQI19">
        <f t="shared" si="480"/>
        <v>0</v>
      </c>
      <c r="AQJ19">
        <f t="shared" si="481"/>
        <v>0</v>
      </c>
      <c r="AQK19">
        <f t="shared" si="482"/>
        <v>0</v>
      </c>
      <c r="AQL19">
        <f t="shared" si="483"/>
        <v>0</v>
      </c>
      <c r="AQM19">
        <f t="shared" si="484"/>
        <v>0</v>
      </c>
      <c r="AQN19">
        <f t="shared" si="485"/>
        <v>0</v>
      </c>
      <c r="AQO19">
        <f t="shared" si="486"/>
        <v>0</v>
      </c>
      <c r="AQP19">
        <f t="shared" si="487"/>
        <v>0</v>
      </c>
      <c r="AQQ19">
        <f t="shared" si="488"/>
        <v>0</v>
      </c>
      <c r="AQR19">
        <f t="shared" si="489"/>
        <v>0</v>
      </c>
      <c r="AQS19">
        <f t="shared" si="490"/>
        <v>0</v>
      </c>
      <c r="AQT19">
        <f t="shared" si="491"/>
        <v>0</v>
      </c>
      <c r="AQU19">
        <f t="shared" si="492"/>
        <v>0</v>
      </c>
      <c r="AQV19">
        <f t="shared" si="493"/>
        <v>0</v>
      </c>
      <c r="AQW19">
        <f t="shared" si="494"/>
        <v>0</v>
      </c>
      <c r="AQX19">
        <f t="shared" si="495"/>
        <v>0</v>
      </c>
      <c r="AQY19">
        <f t="shared" si="496"/>
        <v>0</v>
      </c>
      <c r="AQZ19">
        <f t="shared" si="497"/>
        <v>0</v>
      </c>
      <c r="ARA19">
        <f t="shared" si="498"/>
        <v>0</v>
      </c>
      <c r="ARB19">
        <f t="shared" si="499"/>
        <v>0</v>
      </c>
      <c r="ARC19">
        <f t="shared" si="500"/>
        <v>0</v>
      </c>
      <c r="ARD19">
        <f t="shared" si="501"/>
        <v>0</v>
      </c>
      <c r="ARE19">
        <f t="shared" si="502"/>
        <v>0</v>
      </c>
      <c r="ARF19">
        <f t="shared" si="503"/>
        <v>0</v>
      </c>
      <c r="ARG19">
        <f t="shared" si="504"/>
        <v>0</v>
      </c>
      <c r="ARH19">
        <f t="shared" si="505"/>
        <v>0</v>
      </c>
      <c r="ARI19">
        <f t="shared" si="506"/>
        <v>0</v>
      </c>
      <c r="ARJ19">
        <f t="shared" si="40"/>
        <v>0</v>
      </c>
      <c r="ARK19">
        <f t="shared" si="507"/>
        <v>0</v>
      </c>
      <c r="ARL19">
        <f t="shared" si="508"/>
        <v>0</v>
      </c>
      <c r="ARM19">
        <f t="shared" si="509"/>
        <v>0</v>
      </c>
      <c r="ARN19">
        <f t="shared" si="510"/>
        <v>0</v>
      </c>
      <c r="ARO19">
        <f t="shared" si="511"/>
        <v>0</v>
      </c>
      <c r="ARP19">
        <f t="shared" si="512"/>
        <v>0</v>
      </c>
      <c r="ARQ19">
        <f t="shared" si="513"/>
        <v>0</v>
      </c>
      <c r="ARR19">
        <f t="shared" si="514"/>
        <v>0</v>
      </c>
      <c r="ARS19">
        <f t="shared" si="515"/>
        <v>0</v>
      </c>
      <c r="ART19">
        <f t="shared" si="516"/>
        <v>0</v>
      </c>
      <c r="ARU19">
        <f t="shared" si="517"/>
        <v>0</v>
      </c>
      <c r="ARV19">
        <f t="shared" si="518"/>
        <v>0</v>
      </c>
      <c r="ARW19">
        <f t="shared" si="519"/>
        <v>0</v>
      </c>
      <c r="ARX19">
        <f t="shared" si="520"/>
        <v>0</v>
      </c>
      <c r="ARY19">
        <f t="shared" si="521"/>
        <v>0</v>
      </c>
      <c r="ARZ19">
        <f t="shared" si="522"/>
        <v>0</v>
      </c>
      <c r="ASA19">
        <f t="shared" si="523"/>
        <v>0</v>
      </c>
      <c r="ASB19">
        <f t="shared" si="524"/>
        <v>0</v>
      </c>
      <c r="ASC19">
        <f t="shared" si="525"/>
        <v>0</v>
      </c>
      <c r="ASD19">
        <f t="shared" si="526"/>
        <v>0</v>
      </c>
      <c r="ASE19">
        <f t="shared" si="527"/>
        <v>0</v>
      </c>
      <c r="ASF19">
        <f t="shared" si="528"/>
        <v>0</v>
      </c>
      <c r="ASG19">
        <f t="shared" si="529"/>
        <v>0</v>
      </c>
      <c r="ASH19">
        <f t="shared" si="530"/>
        <v>0</v>
      </c>
      <c r="ASI19">
        <f t="shared" si="531"/>
        <v>0</v>
      </c>
      <c r="ASJ19">
        <f t="shared" si="532"/>
        <v>0</v>
      </c>
      <c r="ASK19">
        <f t="shared" si="533"/>
        <v>0</v>
      </c>
      <c r="ASL19">
        <f t="shared" si="534"/>
        <v>0</v>
      </c>
      <c r="ASM19">
        <f t="shared" si="535"/>
        <v>0</v>
      </c>
      <c r="ASN19">
        <f t="shared" si="536"/>
        <v>0</v>
      </c>
      <c r="ASO19">
        <f t="shared" si="537"/>
        <v>0</v>
      </c>
      <c r="ASP19">
        <f t="shared" si="538"/>
        <v>0</v>
      </c>
      <c r="ASQ19">
        <f t="shared" si="539"/>
        <v>0</v>
      </c>
      <c r="ASR19">
        <f t="shared" si="540"/>
        <v>0</v>
      </c>
      <c r="ASS19">
        <f t="shared" si="541"/>
        <v>0</v>
      </c>
      <c r="AST19">
        <f t="shared" si="542"/>
        <v>0</v>
      </c>
      <c r="ASU19">
        <f t="shared" si="543"/>
        <v>0</v>
      </c>
      <c r="ASV19">
        <f t="shared" si="544"/>
        <v>0</v>
      </c>
      <c r="ASW19">
        <f t="shared" si="545"/>
        <v>0</v>
      </c>
      <c r="ASX19">
        <f t="shared" si="546"/>
        <v>0</v>
      </c>
      <c r="ASY19">
        <f t="shared" si="547"/>
        <v>0</v>
      </c>
      <c r="ASZ19">
        <f t="shared" si="548"/>
        <v>0</v>
      </c>
      <c r="ATA19">
        <f t="shared" si="549"/>
        <v>0</v>
      </c>
      <c r="ATB19">
        <f t="shared" si="550"/>
        <v>0</v>
      </c>
      <c r="ATC19">
        <f t="shared" si="551"/>
        <v>0</v>
      </c>
      <c r="ATD19">
        <f t="shared" si="552"/>
        <v>0</v>
      </c>
      <c r="ATE19">
        <f t="shared" si="553"/>
        <v>0</v>
      </c>
      <c r="ATF19">
        <f t="shared" si="554"/>
        <v>0</v>
      </c>
      <c r="ATG19">
        <f t="shared" si="555"/>
        <v>0</v>
      </c>
      <c r="ATH19">
        <f t="shared" si="556"/>
        <v>0</v>
      </c>
      <c r="ATI19">
        <f t="shared" si="557"/>
        <v>0</v>
      </c>
      <c r="ATJ19">
        <f t="shared" si="558"/>
        <v>0</v>
      </c>
      <c r="ATK19">
        <f t="shared" si="559"/>
        <v>0</v>
      </c>
      <c r="ATL19">
        <f t="shared" si="560"/>
        <v>0</v>
      </c>
      <c r="ATM19">
        <f t="shared" si="561"/>
        <v>0</v>
      </c>
      <c r="ATN19">
        <f t="shared" si="562"/>
        <v>0</v>
      </c>
      <c r="ATO19">
        <f t="shared" si="563"/>
        <v>0</v>
      </c>
      <c r="ATP19">
        <f t="shared" si="564"/>
        <v>0</v>
      </c>
      <c r="ATQ19">
        <f t="shared" si="565"/>
        <v>0</v>
      </c>
      <c r="ATR19">
        <f t="shared" si="566"/>
        <v>0</v>
      </c>
      <c r="ATS19">
        <f t="shared" si="567"/>
        <v>0</v>
      </c>
      <c r="ATT19">
        <f t="shared" si="568"/>
        <v>0</v>
      </c>
      <c r="ATU19">
        <f t="shared" si="569"/>
        <v>0</v>
      </c>
      <c r="ATV19">
        <f t="shared" si="41"/>
        <v>0</v>
      </c>
      <c r="ATW19">
        <f t="shared" si="570"/>
        <v>0</v>
      </c>
      <c r="ATX19">
        <f t="shared" si="571"/>
        <v>0</v>
      </c>
      <c r="ATY19">
        <f t="shared" si="572"/>
        <v>0</v>
      </c>
      <c r="ATZ19">
        <f t="shared" si="573"/>
        <v>0</v>
      </c>
      <c r="AUA19">
        <f t="shared" si="574"/>
        <v>0</v>
      </c>
      <c r="AUB19">
        <f t="shared" si="575"/>
        <v>0</v>
      </c>
      <c r="AUC19">
        <f t="shared" si="576"/>
        <v>0</v>
      </c>
      <c r="AUD19">
        <f t="shared" si="577"/>
        <v>0</v>
      </c>
      <c r="AUE19">
        <f t="shared" si="578"/>
        <v>0</v>
      </c>
      <c r="AUF19">
        <f t="shared" si="579"/>
        <v>0</v>
      </c>
      <c r="AUG19">
        <f t="shared" si="580"/>
        <v>0</v>
      </c>
      <c r="AUH19">
        <f t="shared" si="581"/>
        <v>0</v>
      </c>
      <c r="AUI19">
        <f t="shared" si="582"/>
        <v>0</v>
      </c>
      <c r="AUJ19">
        <f t="shared" si="583"/>
        <v>0</v>
      </c>
      <c r="AUK19">
        <f t="shared" si="584"/>
        <v>0</v>
      </c>
      <c r="AUL19">
        <f t="shared" si="585"/>
        <v>0</v>
      </c>
      <c r="AUM19">
        <f t="shared" si="586"/>
        <v>0</v>
      </c>
      <c r="AUN19">
        <f t="shared" si="587"/>
        <v>0</v>
      </c>
      <c r="AUO19">
        <f t="shared" si="588"/>
        <v>0</v>
      </c>
      <c r="AUP19">
        <f t="shared" si="589"/>
        <v>0</v>
      </c>
      <c r="AUQ19">
        <f t="shared" si="590"/>
        <v>0</v>
      </c>
      <c r="AUR19">
        <f t="shared" si="591"/>
        <v>0</v>
      </c>
      <c r="AUS19">
        <f t="shared" si="592"/>
        <v>0</v>
      </c>
      <c r="AUT19">
        <f t="shared" si="593"/>
        <v>0</v>
      </c>
      <c r="AUU19">
        <f t="shared" si="594"/>
        <v>0</v>
      </c>
      <c r="AUV19">
        <f t="shared" si="595"/>
        <v>0</v>
      </c>
      <c r="AUW19">
        <f t="shared" si="596"/>
        <v>0</v>
      </c>
      <c r="AUX19">
        <f t="shared" si="597"/>
        <v>0</v>
      </c>
      <c r="AUY19">
        <f t="shared" si="598"/>
        <v>0</v>
      </c>
      <c r="AUZ19">
        <f t="shared" si="599"/>
        <v>0</v>
      </c>
      <c r="AVA19">
        <f t="shared" si="600"/>
        <v>0</v>
      </c>
      <c r="AVB19">
        <f t="shared" si="601"/>
        <v>0</v>
      </c>
      <c r="AVC19">
        <f t="shared" si="602"/>
        <v>0</v>
      </c>
      <c r="AVD19">
        <f t="shared" si="603"/>
        <v>0</v>
      </c>
      <c r="AVE19">
        <f t="shared" si="604"/>
        <v>0</v>
      </c>
      <c r="AVF19">
        <f t="shared" si="605"/>
        <v>0</v>
      </c>
      <c r="AVG19">
        <f t="shared" si="606"/>
        <v>0</v>
      </c>
      <c r="AVH19">
        <f t="shared" si="607"/>
        <v>0</v>
      </c>
      <c r="AVI19">
        <f t="shared" si="608"/>
        <v>0</v>
      </c>
      <c r="AVJ19">
        <f t="shared" si="609"/>
        <v>0</v>
      </c>
      <c r="AVK19">
        <f t="shared" si="610"/>
        <v>0</v>
      </c>
      <c r="AVL19">
        <f t="shared" si="611"/>
        <v>0</v>
      </c>
      <c r="AVM19">
        <f t="shared" si="612"/>
        <v>0</v>
      </c>
      <c r="AVN19">
        <f t="shared" si="613"/>
        <v>0</v>
      </c>
      <c r="AVO19">
        <f t="shared" si="614"/>
        <v>0</v>
      </c>
      <c r="AVP19">
        <f t="shared" si="615"/>
        <v>0</v>
      </c>
      <c r="AVQ19">
        <f t="shared" si="616"/>
        <v>0</v>
      </c>
      <c r="AVR19">
        <f t="shared" si="617"/>
        <v>0</v>
      </c>
      <c r="AVS19">
        <f t="shared" si="618"/>
        <v>0</v>
      </c>
      <c r="AVT19">
        <f t="shared" si="619"/>
        <v>0</v>
      </c>
      <c r="AVU19">
        <f t="shared" si="620"/>
        <v>0</v>
      </c>
      <c r="AVV19">
        <f t="shared" si="621"/>
        <v>0</v>
      </c>
      <c r="AVW19">
        <f t="shared" si="622"/>
        <v>0</v>
      </c>
      <c r="AVX19">
        <f t="shared" si="623"/>
        <v>0</v>
      </c>
      <c r="AVY19">
        <f t="shared" si="624"/>
        <v>0</v>
      </c>
      <c r="AVZ19">
        <f t="shared" si="625"/>
        <v>0</v>
      </c>
      <c r="AWA19">
        <f t="shared" si="626"/>
        <v>0</v>
      </c>
      <c r="AWB19">
        <f t="shared" si="627"/>
        <v>0</v>
      </c>
      <c r="AWC19">
        <f t="shared" si="628"/>
        <v>0</v>
      </c>
      <c r="AWD19">
        <f t="shared" si="629"/>
        <v>0</v>
      </c>
      <c r="AWE19">
        <f t="shared" si="630"/>
        <v>0</v>
      </c>
      <c r="AWF19">
        <f t="shared" si="631"/>
        <v>0</v>
      </c>
      <c r="AWG19">
        <f t="shared" si="632"/>
        <v>0</v>
      </c>
      <c r="AWH19">
        <f t="shared" si="42"/>
        <v>0</v>
      </c>
      <c r="AWI19">
        <f t="shared" si="633"/>
        <v>0</v>
      </c>
      <c r="AWJ19">
        <f t="shared" si="634"/>
        <v>0</v>
      </c>
      <c r="AWK19">
        <f t="shared" si="635"/>
        <v>0</v>
      </c>
      <c r="AWL19">
        <f t="shared" si="636"/>
        <v>0</v>
      </c>
      <c r="AWM19">
        <f t="shared" si="637"/>
        <v>0</v>
      </c>
      <c r="AWN19">
        <f t="shared" si="638"/>
        <v>0</v>
      </c>
      <c r="AWO19">
        <f t="shared" si="639"/>
        <v>0</v>
      </c>
      <c r="AWP19">
        <f t="shared" si="640"/>
        <v>0</v>
      </c>
      <c r="AWQ19">
        <f t="shared" si="641"/>
        <v>0</v>
      </c>
      <c r="AWR19">
        <f t="shared" si="642"/>
        <v>0</v>
      </c>
      <c r="AWS19">
        <f t="shared" si="643"/>
        <v>0</v>
      </c>
      <c r="AWT19">
        <f t="shared" si="644"/>
        <v>0</v>
      </c>
      <c r="AWU19">
        <f t="shared" si="645"/>
        <v>0</v>
      </c>
      <c r="AWV19">
        <f t="shared" si="646"/>
        <v>0</v>
      </c>
      <c r="AWW19">
        <f t="shared" si="647"/>
        <v>0</v>
      </c>
      <c r="AWX19">
        <f t="shared" si="648"/>
        <v>0</v>
      </c>
      <c r="AWY19">
        <f t="shared" si="649"/>
        <v>0</v>
      </c>
      <c r="AWZ19">
        <f t="shared" si="650"/>
        <v>0</v>
      </c>
      <c r="AXA19">
        <f t="shared" si="651"/>
        <v>0</v>
      </c>
      <c r="AXB19">
        <f t="shared" si="652"/>
        <v>0</v>
      </c>
      <c r="AXC19">
        <f t="shared" si="653"/>
        <v>0</v>
      </c>
      <c r="AXD19">
        <f t="shared" si="654"/>
        <v>0</v>
      </c>
      <c r="AXE19">
        <f t="shared" si="655"/>
        <v>0</v>
      </c>
      <c r="AXF19">
        <f t="shared" si="656"/>
        <v>0</v>
      </c>
      <c r="AXG19">
        <f t="shared" si="657"/>
        <v>0</v>
      </c>
      <c r="AXH19">
        <f t="shared" si="658"/>
        <v>0</v>
      </c>
      <c r="AXI19">
        <f t="shared" si="659"/>
        <v>0</v>
      </c>
      <c r="AXJ19">
        <f t="shared" si="660"/>
        <v>0</v>
      </c>
      <c r="AXK19">
        <f t="shared" si="661"/>
        <v>0</v>
      </c>
      <c r="AXL19">
        <f t="shared" si="662"/>
        <v>0</v>
      </c>
      <c r="AXM19">
        <f t="shared" si="663"/>
        <v>0</v>
      </c>
      <c r="AXN19">
        <f t="shared" si="664"/>
        <v>0</v>
      </c>
      <c r="AXO19">
        <f t="shared" si="665"/>
        <v>0</v>
      </c>
      <c r="AXP19">
        <f t="shared" si="666"/>
        <v>0</v>
      </c>
      <c r="AXQ19">
        <f t="shared" si="667"/>
        <v>0</v>
      </c>
      <c r="AXR19">
        <f t="shared" si="668"/>
        <v>0</v>
      </c>
      <c r="AXS19">
        <f t="shared" si="669"/>
        <v>0</v>
      </c>
      <c r="AXT19">
        <f t="shared" si="670"/>
        <v>0</v>
      </c>
      <c r="AXU19">
        <f t="shared" si="671"/>
        <v>0</v>
      </c>
      <c r="AXV19">
        <f t="shared" si="672"/>
        <v>0</v>
      </c>
      <c r="AXW19">
        <f t="shared" si="673"/>
        <v>0</v>
      </c>
      <c r="AXX19">
        <f t="shared" si="674"/>
        <v>0</v>
      </c>
      <c r="AXY19">
        <f t="shared" si="675"/>
        <v>0</v>
      </c>
      <c r="AXZ19">
        <f t="shared" si="676"/>
        <v>0</v>
      </c>
      <c r="AYA19">
        <f t="shared" si="677"/>
        <v>0</v>
      </c>
      <c r="AYB19">
        <f t="shared" si="678"/>
        <v>0</v>
      </c>
      <c r="AYC19">
        <f t="shared" si="679"/>
        <v>0</v>
      </c>
      <c r="AYD19">
        <f t="shared" si="680"/>
        <v>0</v>
      </c>
      <c r="AYE19">
        <f t="shared" si="681"/>
        <v>0</v>
      </c>
      <c r="AYF19">
        <f t="shared" si="682"/>
        <v>0</v>
      </c>
      <c r="AYG19">
        <f t="shared" si="683"/>
        <v>0</v>
      </c>
      <c r="AYH19">
        <f t="shared" si="684"/>
        <v>0</v>
      </c>
      <c r="AYI19">
        <f t="shared" si="685"/>
        <v>0</v>
      </c>
      <c r="AYJ19">
        <f t="shared" si="686"/>
        <v>0</v>
      </c>
      <c r="AYK19">
        <f t="shared" si="687"/>
        <v>0</v>
      </c>
      <c r="AYL19">
        <f t="shared" si="688"/>
        <v>0</v>
      </c>
      <c r="AYM19">
        <f t="shared" si="689"/>
        <v>0</v>
      </c>
      <c r="AYN19">
        <f t="shared" si="690"/>
        <v>0</v>
      </c>
      <c r="AYO19">
        <f t="shared" si="691"/>
        <v>0</v>
      </c>
      <c r="AYP19">
        <f t="shared" si="692"/>
        <v>0</v>
      </c>
      <c r="AYQ19">
        <f t="shared" si="693"/>
        <v>0</v>
      </c>
      <c r="AYR19">
        <f t="shared" si="694"/>
        <v>0</v>
      </c>
      <c r="AYS19">
        <f t="shared" si="695"/>
        <v>0</v>
      </c>
      <c r="AYT19">
        <f t="shared" si="43"/>
        <v>0</v>
      </c>
      <c r="AYU19">
        <f t="shared" si="696"/>
        <v>0</v>
      </c>
      <c r="AYV19">
        <f t="shared" si="697"/>
        <v>0</v>
      </c>
      <c r="AYW19">
        <f t="shared" si="698"/>
        <v>0</v>
      </c>
      <c r="AYX19">
        <f t="shared" si="699"/>
        <v>0</v>
      </c>
      <c r="AYY19">
        <f t="shared" si="700"/>
        <v>0</v>
      </c>
      <c r="AYZ19">
        <f t="shared" si="701"/>
        <v>0</v>
      </c>
      <c r="AZA19">
        <f t="shared" si="702"/>
        <v>0</v>
      </c>
      <c r="AZB19">
        <f t="shared" si="703"/>
        <v>0</v>
      </c>
      <c r="AZC19">
        <f t="shared" si="704"/>
        <v>0</v>
      </c>
      <c r="AZD19">
        <f t="shared" si="705"/>
        <v>0</v>
      </c>
      <c r="AZE19">
        <f t="shared" si="706"/>
        <v>0</v>
      </c>
      <c r="AZF19">
        <f t="shared" si="707"/>
        <v>0</v>
      </c>
      <c r="AZG19">
        <f t="shared" si="708"/>
        <v>0</v>
      </c>
      <c r="AZH19">
        <f t="shared" si="709"/>
        <v>0</v>
      </c>
      <c r="AZI19">
        <f t="shared" si="710"/>
        <v>0</v>
      </c>
      <c r="AZJ19">
        <f t="shared" si="711"/>
        <v>0</v>
      </c>
      <c r="AZK19">
        <f t="shared" si="712"/>
        <v>0</v>
      </c>
      <c r="AZL19">
        <f t="shared" si="713"/>
        <v>0</v>
      </c>
      <c r="AZM19">
        <f t="shared" si="714"/>
        <v>0</v>
      </c>
      <c r="AZN19">
        <f t="shared" si="715"/>
        <v>0</v>
      </c>
      <c r="AZO19">
        <f t="shared" si="716"/>
        <v>0</v>
      </c>
      <c r="AZP19">
        <f t="shared" si="717"/>
        <v>0</v>
      </c>
      <c r="AZQ19">
        <f t="shared" si="718"/>
        <v>0</v>
      </c>
      <c r="AZR19">
        <f t="shared" si="719"/>
        <v>0</v>
      </c>
      <c r="AZS19">
        <f t="shared" si="720"/>
        <v>0</v>
      </c>
      <c r="AZT19">
        <f t="shared" si="721"/>
        <v>0</v>
      </c>
      <c r="AZU19">
        <f t="shared" si="722"/>
        <v>0</v>
      </c>
      <c r="AZV19">
        <f t="shared" si="723"/>
        <v>0</v>
      </c>
      <c r="AZW19">
        <f t="shared" si="724"/>
        <v>0</v>
      </c>
      <c r="AZX19">
        <f t="shared" si="725"/>
        <v>0</v>
      </c>
      <c r="AZY19">
        <f t="shared" si="726"/>
        <v>0</v>
      </c>
      <c r="AZZ19">
        <f t="shared" si="727"/>
        <v>0</v>
      </c>
      <c r="BAA19">
        <f t="shared" si="728"/>
        <v>0</v>
      </c>
      <c r="BAB19">
        <f t="shared" si="729"/>
        <v>0</v>
      </c>
      <c r="BAC19">
        <f t="shared" si="730"/>
        <v>0</v>
      </c>
      <c r="BAD19">
        <f t="shared" si="731"/>
        <v>0</v>
      </c>
      <c r="BAE19">
        <f t="shared" si="732"/>
        <v>0</v>
      </c>
      <c r="BAF19">
        <f t="shared" si="733"/>
        <v>0</v>
      </c>
      <c r="BAG19">
        <f t="shared" si="734"/>
        <v>0</v>
      </c>
      <c r="BAH19">
        <f t="shared" si="735"/>
        <v>0</v>
      </c>
      <c r="BAI19">
        <f t="shared" si="736"/>
        <v>0</v>
      </c>
      <c r="BAJ19">
        <f t="shared" si="737"/>
        <v>0</v>
      </c>
      <c r="BAK19">
        <f t="shared" si="738"/>
        <v>0</v>
      </c>
      <c r="BAL19">
        <f t="shared" si="739"/>
        <v>0</v>
      </c>
      <c r="BAM19">
        <f t="shared" si="740"/>
        <v>0</v>
      </c>
      <c r="BAN19">
        <f t="shared" si="741"/>
        <v>0</v>
      </c>
      <c r="BAO19">
        <f t="shared" si="742"/>
        <v>0</v>
      </c>
      <c r="BAP19">
        <f t="shared" si="743"/>
        <v>0</v>
      </c>
      <c r="BAQ19">
        <f t="shared" si="744"/>
        <v>0</v>
      </c>
      <c r="BAR19">
        <f t="shared" si="745"/>
        <v>0</v>
      </c>
      <c r="BAS19">
        <f t="shared" si="746"/>
        <v>0</v>
      </c>
      <c r="BAT19">
        <f t="shared" si="747"/>
        <v>0</v>
      </c>
      <c r="BAU19">
        <f t="shared" si="748"/>
        <v>0</v>
      </c>
      <c r="BAV19">
        <f t="shared" si="749"/>
        <v>0</v>
      </c>
      <c r="BAW19">
        <f t="shared" si="750"/>
        <v>0</v>
      </c>
      <c r="BAX19">
        <f t="shared" si="751"/>
        <v>0</v>
      </c>
      <c r="BAY19">
        <f t="shared" si="752"/>
        <v>0</v>
      </c>
      <c r="BAZ19">
        <f t="shared" si="753"/>
        <v>0</v>
      </c>
      <c r="BBA19">
        <f t="shared" si="754"/>
        <v>0</v>
      </c>
      <c r="BBB19">
        <f t="shared" si="755"/>
        <v>0</v>
      </c>
      <c r="BBC19">
        <f t="shared" si="756"/>
        <v>0</v>
      </c>
      <c r="BBD19">
        <f t="shared" si="757"/>
        <v>0</v>
      </c>
      <c r="BBE19">
        <f t="shared" si="758"/>
        <v>0</v>
      </c>
      <c r="BBF19">
        <f t="shared" si="44"/>
        <v>0</v>
      </c>
      <c r="BBG19">
        <f t="shared" si="759"/>
        <v>0</v>
      </c>
      <c r="BBH19">
        <f t="shared" si="760"/>
        <v>0</v>
      </c>
      <c r="BBI19">
        <f t="shared" si="761"/>
        <v>0</v>
      </c>
      <c r="BBJ19">
        <f t="shared" si="762"/>
        <v>0</v>
      </c>
      <c r="BBK19">
        <f t="shared" si="763"/>
        <v>0</v>
      </c>
      <c r="BBL19">
        <f t="shared" si="764"/>
        <v>0</v>
      </c>
      <c r="BBM19">
        <f t="shared" si="765"/>
        <v>0</v>
      </c>
      <c r="BBN19">
        <f t="shared" si="766"/>
        <v>0</v>
      </c>
      <c r="BBO19">
        <f t="shared" si="767"/>
        <v>0</v>
      </c>
      <c r="BBP19">
        <f t="shared" si="768"/>
        <v>0</v>
      </c>
      <c r="BBQ19">
        <f t="shared" si="769"/>
        <v>0</v>
      </c>
      <c r="BBR19">
        <f t="shared" si="770"/>
        <v>0</v>
      </c>
      <c r="BBS19">
        <f t="shared" si="771"/>
        <v>0</v>
      </c>
      <c r="BBT19">
        <f t="shared" si="772"/>
        <v>0</v>
      </c>
      <c r="BBU19">
        <f t="shared" si="773"/>
        <v>0</v>
      </c>
      <c r="BBV19">
        <f t="shared" si="774"/>
        <v>0</v>
      </c>
      <c r="BBW19">
        <f t="shared" si="775"/>
        <v>0</v>
      </c>
      <c r="BBX19">
        <f t="shared" si="776"/>
        <v>0</v>
      </c>
      <c r="BBY19">
        <f t="shared" si="777"/>
        <v>0</v>
      </c>
      <c r="BBZ19">
        <f t="shared" si="778"/>
        <v>0</v>
      </c>
      <c r="BCA19">
        <f t="shared" si="779"/>
        <v>0</v>
      </c>
      <c r="BCB19">
        <f t="shared" si="780"/>
        <v>0</v>
      </c>
      <c r="BCC19">
        <f t="shared" si="781"/>
        <v>0</v>
      </c>
      <c r="BCD19">
        <f t="shared" si="782"/>
        <v>0</v>
      </c>
      <c r="BCE19">
        <f t="shared" si="783"/>
        <v>0</v>
      </c>
      <c r="BCF19">
        <f t="shared" si="784"/>
        <v>0</v>
      </c>
      <c r="BCG19">
        <f t="shared" si="785"/>
        <v>0</v>
      </c>
      <c r="BCH19">
        <f t="shared" si="786"/>
        <v>0</v>
      </c>
      <c r="BCI19">
        <f t="shared" si="787"/>
        <v>0</v>
      </c>
      <c r="BCJ19">
        <f t="shared" si="788"/>
        <v>0</v>
      </c>
      <c r="BCK19">
        <f t="shared" si="789"/>
        <v>0</v>
      </c>
      <c r="BCL19">
        <f t="shared" si="790"/>
        <v>0</v>
      </c>
      <c r="BCM19">
        <f t="shared" si="791"/>
        <v>0</v>
      </c>
      <c r="BCN19">
        <f t="shared" si="792"/>
        <v>0</v>
      </c>
      <c r="BCO19">
        <f t="shared" si="793"/>
        <v>0</v>
      </c>
      <c r="BCP19">
        <f t="shared" si="794"/>
        <v>0</v>
      </c>
      <c r="BCQ19">
        <f t="shared" si="795"/>
        <v>0</v>
      </c>
      <c r="BCR19">
        <f t="shared" si="796"/>
        <v>0</v>
      </c>
      <c r="BCS19">
        <f t="shared" si="797"/>
        <v>0</v>
      </c>
      <c r="BCT19">
        <f t="shared" si="798"/>
        <v>0</v>
      </c>
      <c r="BCU19">
        <f t="shared" si="799"/>
        <v>0</v>
      </c>
      <c r="BCV19">
        <f t="shared" si="800"/>
        <v>0</v>
      </c>
      <c r="BCW19">
        <f t="shared" si="801"/>
        <v>0</v>
      </c>
      <c r="BCX19">
        <f t="shared" si="802"/>
        <v>0</v>
      </c>
      <c r="BCY19">
        <f t="shared" si="803"/>
        <v>0</v>
      </c>
      <c r="BCZ19">
        <f t="shared" si="804"/>
        <v>0</v>
      </c>
      <c r="BDA19">
        <f t="shared" si="805"/>
        <v>0</v>
      </c>
      <c r="BDB19">
        <f t="shared" si="806"/>
        <v>0</v>
      </c>
      <c r="BDC19">
        <f t="shared" si="807"/>
        <v>0</v>
      </c>
      <c r="BDD19">
        <f t="shared" si="808"/>
        <v>0</v>
      </c>
      <c r="BDE19">
        <f t="shared" si="809"/>
        <v>0</v>
      </c>
      <c r="BDF19">
        <f t="shared" si="810"/>
        <v>0</v>
      </c>
      <c r="BDG19">
        <f t="shared" si="811"/>
        <v>0</v>
      </c>
      <c r="BDH19">
        <f t="shared" si="812"/>
        <v>0</v>
      </c>
      <c r="BDI19">
        <f t="shared" si="813"/>
        <v>0</v>
      </c>
      <c r="BDJ19">
        <f t="shared" si="814"/>
        <v>0</v>
      </c>
      <c r="BDK19">
        <f t="shared" si="815"/>
        <v>0</v>
      </c>
      <c r="BDL19">
        <f t="shared" si="816"/>
        <v>0</v>
      </c>
      <c r="BDM19">
        <f t="shared" si="817"/>
        <v>0</v>
      </c>
      <c r="BDN19">
        <f t="shared" si="818"/>
        <v>0</v>
      </c>
      <c r="BDO19">
        <f t="shared" si="819"/>
        <v>0</v>
      </c>
      <c r="BDP19">
        <f t="shared" si="820"/>
        <v>0</v>
      </c>
      <c r="BDQ19">
        <f t="shared" si="821"/>
        <v>0</v>
      </c>
      <c r="BDR19">
        <f t="shared" si="45"/>
        <v>0</v>
      </c>
      <c r="BDS19">
        <f t="shared" si="822"/>
        <v>0</v>
      </c>
      <c r="BDT19">
        <f t="shared" si="823"/>
        <v>0</v>
      </c>
      <c r="BDU19">
        <f t="shared" si="824"/>
        <v>0</v>
      </c>
      <c r="BDV19">
        <f t="shared" si="825"/>
        <v>0</v>
      </c>
      <c r="BDW19">
        <f t="shared" si="826"/>
        <v>0</v>
      </c>
      <c r="BDX19">
        <f t="shared" si="827"/>
        <v>0</v>
      </c>
      <c r="BDY19">
        <f t="shared" si="828"/>
        <v>0</v>
      </c>
      <c r="BDZ19">
        <f t="shared" si="829"/>
        <v>0</v>
      </c>
      <c r="BEA19">
        <f t="shared" si="830"/>
        <v>0</v>
      </c>
      <c r="BEB19">
        <f t="shared" si="831"/>
        <v>0</v>
      </c>
      <c r="BEC19">
        <f t="shared" si="832"/>
        <v>0</v>
      </c>
      <c r="BED19">
        <f t="shared" si="833"/>
        <v>0</v>
      </c>
      <c r="BEE19">
        <f t="shared" si="834"/>
        <v>0</v>
      </c>
      <c r="BEF19">
        <f t="shared" si="835"/>
        <v>0</v>
      </c>
      <c r="BEG19">
        <f t="shared" si="836"/>
        <v>0</v>
      </c>
      <c r="BEH19">
        <f t="shared" si="837"/>
        <v>0</v>
      </c>
      <c r="BEI19">
        <f t="shared" si="838"/>
        <v>0</v>
      </c>
      <c r="BEJ19">
        <f t="shared" si="839"/>
        <v>0</v>
      </c>
      <c r="BEK19">
        <f t="shared" si="840"/>
        <v>0</v>
      </c>
      <c r="BEL19">
        <f t="shared" si="841"/>
        <v>0</v>
      </c>
      <c r="BEM19">
        <f t="shared" si="842"/>
        <v>0</v>
      </c>
      <c r="BEN19">
        <f t="shared" si="843"/>
        <v>0</v>
      </c>
      <c r="BEO19">
        <f t="shared" si="844"/>
        <v>0</v>
      </c>
      <c r="BEP19">
        <f t="shared" si="845"/>
        <v>0</v>
      </c>
      <c r="BEQ19">
        <f t="shared" si="846"/>
        <v>0</v>
      </c>
      <c r="BER19">
        <f t="shared" si="847"/>
        <v>0</v>
      </c>
      <c r="BES19">
        <f t="shared" si="848"/>
        <v>0</v>
      </c>
      <c r="BET19">
        <f t="shared" si="849"/>
        <v>0</v>
      </c>
      <c r="BEU19">
        <f t="shared" si="850"/>
        <v>0</v>
      </c>
      <c r="BEV19">
        <f t="shared" si="851"/>
        <v>0</v>
      </c>
      <c r="BEW19">
        <f t="shared" si="852"/>
        <v>0</v>
      </c>
      <c r="BEX19">
        <f t="shared" si="853"/>
        <v>0</v>
      </c>
      <c r="BEY19">
        <f t="shared" si="854"/>
        <v>0</v>
      </c>
      <c r="BEZ19">
        <f t="shared" si="855"/>
        <v>0</v>
      </c>
      <c r="BFA19">
        <f t="shared" si="856"/>
        <v>0</v>
      </c>
      <c r="BFB19">
        <f t="shared" si="857"/>
        <v>0</v>
      </c>
      <c r="BFC19">
        <f t="shared" si="858"/>
        <v>0</v>
      </c>
      <c r="BFD19">
        <f t="shared" si="859"/>
        <v>0</v>
      </c>
      <c r="BFE19">
        <f t="shared" si="860"/>
        <v>0</v>
      </c>
      <c r="BFF19">
        <f t="shared" si="861"/>
        <v>0</v>
      </c>
      <c r="BFG19">
        <f t="shared" si="862"/>
        <v>0</v>
      </c>
      <c r="BFH19">
        <f t="shared" si="863"/>
        <v>0</v>
      </c>
      <c r="BFI19">
        <f t="shared" si="864"/>
        <v>0</v>
      </c>
      <c r="BFJ19">
        <f t="shared" si="865"/>
        <v>0</v>
      </c>
      <c r="BFK19">
        <f t="shared" si="866"/>
        <v>0</v>
      </c>
      <c r="BFL19">
        <f t="shared" si="867"/>
        <v>0</v>
      </c>
      <c r="BFM19">
        <f t="shared" si="868"/>
        <v>0</v>
      </c>
      <c r="BFN19">
        <f t="shared" si="869"/>
        <v>0</v>
      </c>
      <c r="BFO19">
        <f t="shared" si="870"/>
        <v>0</v>
      </c>
      <c r="BFP19">
        <f t="shared" si="871"/>
        <v>0</v>
      </c>
      <c r="BFQ19">
        <f t="shared" si="872"/>
        <v>0</v>
      </c>
      <c r="BFR19">
        <f t="shared" si="873"/>
        <v>0</v>
      </c>
      <c r="BFS19">
        <f t="shared" si="874"/>
        <v>0</v>
      </c>
      <c r="BFT19">
        <f t="shared" si="875"/>
        <v>0</v>
      </c>
      <c r="BFU19">
        <f t="shared" si="876"/>
        <v>0</v>
      </c>
      <c r="BFV19">
        <f t="shared" si="877"/>
        <v>0</v>
      </c>
      <c r="BFW19">
        <f t="shared" si="878"/>
        <v>0</v>
      </c>
      <c r="BFX19">
        <f t="shared" si="879"/>
        <v>0</v>
      </c>
      <c r="BFY19">
        <f t="shared" si="880"/>
        <v>0</v>
      </c>
      <c r="BFZ19">
        <f t="shared" si="881"/>
        <v>0</v>
      </c>
      <c r="BGA19">
        <f t="shared" si="882"/>
        <v>0</v>
      </c>
      <c r="BGB19">
        <f t="shared" si="883"/>
        <v>0</v>
      </c>
      <c r="BGC19">
        <f t="shared" si="884"/>
        <v>0</v>
      </c>
      <c r="BGD19">
        <f t="shared" si="46"/>
        <v>0</v>
      </c>
      <c r="BGE19">
        <f t="shared" si="885"/>
        <v>0</v>
      </c>
      <c r="BGF19">
        <f t="shared" si="886"/>
        <v>0</v>
      </c>
      <c r="BGG19">
        <f t="shared" si="887"/>
        <v>0</v>
      </c>
      <c r="BGH19">
        <f t="shared" si="888"/>
        <v>0</v>
      </c>
      <c r="BGI19">
        <f t="shared" si="889"/>
        <v>0</v>
      </c>
      <c r="BGJ19">
        <f t="shared" si="890"/>
        <v>0</v>
      </c>
      <c r="BGK19">
        <f t="shared" si="891"/>
        <v>0</v>
      </c>
      <c r="BGL19">
        <f t="shared" si="892"/>
        <v>0</v>
      </c>
      <c r="BGM19">
        <f t="shared" si="893"/>
        <v>0</v>
      </c>
      <c r="BGN19">
        <f t="shared" si="894"/>
        <v>0</v>
      </c>
      <c r="BGO19">
        <f t="shared" si="895"/>
        <v>0</v>
      </c>
      <c r="BGP19">
        <f t="shared" si="896"/>
        <v>0</v>
      </c>
      <c r="BGQ19">
        <f t="shared" si="897"/>
        <v>0</v>
      </c>
      <c r="BGR19">
        <f t="shared" si="898"/>
        <v>0</v>
      </c>
      <c r="BGS19">
        <f t="shared" si="899"/>
        <v>0</v>
      </c>
      <c r="BGT19">
        <f t="shared" si="900"/>
        <v>0</v>
      </c>
      <c r="BGU19">
        <f t="shared" si="901"/>
        <v>0</v>
      </c>
      <c r="BGV19">
        <f t="shared" si="902"/>
        <v>0</v>
      </c>
      <c r="BGW19">
        <f t="shared" si="903"/>
        <v>0</v>
      </c>
      <c r="BGX19">
        <f t="shared" si="904"/>
        <v>0</v>
      </c>
      <c r="BGY19">
        <f t="shared" si="905"/>
        <v>0</v>
      </c>
      <c r="BGZ19">
        <f t="shared" si="906"/>
        <v>0</v>
      </c>
      <c r="BHA19">
        <f t="shared" si="907"/>
        <v>0</v>
      </c>
      <c r="BHB19">
        <f t="shared" si="908"/>
        <v>0</v>
      </c>
      <c r="BHC19">
        <f t="shared" si="909"/>
        <v>0</v>
      </c>
      <c r="BHD19">
        <f t="shared" si="910"/>
        <v>0</v>
      </c>
      <c r="BHE19">
        <f t="shared" si="911"/>
        <v>0</v>
      </c>
      <c r="BHF19">
        <f t="shared" si="912"/>
        <v>0</v>
      </c>
      <c r="BHG19">
        <f t="shared" si="913"/>
        <v>0</v>
      </c>
      <c r="BHH19">
        <f t="shared" si="914"/>
        <v>0</v>
      </c>
      <c r="BHI19">
        <f t="shared" si="915"/>
        <v>0</v>
      </c>
      <c r="BHJ19">
        <f t="shared" si="916"/>
        <v>0</v>
      </c>
      <c r="BHK19">
        <f t="shared" si="917"/>
        <v>0</v>
      </c>
      <c r="BHL19">
        <f t="shared" si="918"/>
        <v>0</v>
      </c>
      <c r="BHM19">
        <f t="shared" si="919"/>
        <v>0</v>
      </c>
      <c r="BHN19">
        <f t="shared" si="920"/>
        <v>0</v>
      </c>
      <c r="BHO19">
        <f t="shared" si="921"/>
        <v>0</v>
      </c>
      <c r="BHP19">
        <f t="shared" si="922"/>
        <v>0</v>
      </c>
      <c r="BHQ19">
        <f t="shared" si="923"/>
        <v>0</v>
      </c>
      <c r="BHR19">
        <f t="shared" si="924"/>
        <v>0</v>
      </c>
      <c r="BHS19">
        <f t="shared" si="925"/>
        <v>0</v>
      </c>
      <c r="BHT19">
        <f t="shared" si="926"/>
        <v>0</v>
      </c>
      <c r="BHU19">
        <f t="shared" si="927"/>
        <v>0</v>
      </c>
      <c r="BHV19">
        <f t="shared" si="928"/>
        <v>0</v>
      </c>
      <c r="BHW19">
        <f t="shared" si="929"/>
        <v>0</v>
      </c>
      <c r="BHX19">
        <f t="shared" si="930"/>
        <v>0</v>
      </c>
      <c r="BHY19">
        <f t="shared" si="931"/>
        <v>0</v>
      </c>
      <c r="BHZ19">
        <f t="shared" si="932"/>
        <v>0</v>
      </c>
      <c r="BIA19">
        <f t="shared" si="933"/>
        <v>0</v>
      </c>
      <c r="BIB19">
        <f t="shared" si="934"/>
        <v>0</v>
      </c>
      <c r="BIC19">
        <f t="shared" si="935"/>
        <v>0</v>
      </c>
      <c r="BID19">
        <f t="shared" si="936"/>
        <v>0</v>
      </c>
      <c r="BIE19">
        <f t="shared" si="937"/>
        <v>0</v>
      </c>
      <c r="BIF19">
        <f t="shared" si="938"/>
        <v>0</v>
      </c>
      <c r="BIG19">
        <f t="shared" si="939"/>
        <v>0</v>
      </c>
      <c r="BIH19">
        <f t="shared" si="940"/>
        <v>0</v>
      </c>
      <c r="BII19">
        <f t="shared" si="941"/>
        <v>0</v>
      </c>
      <c r="BIJ19">
        <f t="shared" si="942"/>
        <v>0</v>
      </c>
      <c r="BIK19">
        <f t="shared" si="943"/>
        <v>0</v>
      </c>
      <c r="BIL19">
        <f t="shared" si="944"/>
        <v>0</v>
      </c>
      <c r="BIM19">
        <f t="shared" si="945"/>
        <v>0</v>
      </c>
      <c r="BIN19">
        <f t="shared" si="946"/>
        <v>0</v>
      </c>
      <c r="BIO19">
        <f t="shared" si="947"/>
        <v>0</v>
      </c>
      <c r="BIP19">
        <f t="shared" si="47"/>
        <v>0</v>
      </c>
      <c r="BIQ19">
        <f t="shared" si="948"/>
        <v>0</v>
      </c>
      <c r="BIR19">
        <f t="shared" si="949"/>
        <v>0</v>
      </c>
      <c r="BIS19">
        <f t="shared" si="950"/>
        <v>0</v>
      </c>
      <c r="BIT19">
        <f t="shared" si="951"/>
        <v>0</v>
      </c>
      <c r="BIU19">
        <f t="shared" si="952"/>
        <v>0</v>
      </c>
      <c r="BIV19">
        <f t="shared" si="953"/>
        <v>0</v>
      </c>
      <c r="BIW19">
        <f t="shared" si="954"/>
        <v>0</v>
      </c>
      <c r="BIX19">
        <f t="shared" si="955"/>
        <v>0</v>
      </c>
      <c r="BIY19">
        <f t="shared" si="956"/>
        <v>0</v>
      </c>
      <c r="BIZ19">
        <f t="shared" si="957"/>
        <v>0</v>
      </c>
      <c r="BJA19">
        <f t="shared" si="958"/>
        <v>0</v>
      </c>
      <c r="BJB19">
        <f t="shared" si="959"/>
        <v>0</v>
      </c>
      <c r="BJC19">
        <f t="shared" si="960"/>
        <v>0</v>
      </c>
      <c r="BJD19">
        <f t="shared" si="961"/>
        <v>0</v>
      </c>
      <c r="BJE19">
        <f t="shared" si="962"/>
        <v>0</v>
      </c>
      <c r="BJF19">
        <f t="shared" si="963"/>
        <v>0</v>
      </c>
      <c r="BJG19">
        <f t="shared" si="964"/>
        <v>0</v>
      </c>
      <c r="BJH19">
        <f t="shared" si="965"/>
        <v>0</v>
      </c>
      <c r="BJI19">
        <f t="shared" si="966"/>
        <v>0</v>
      </c>
      <c r="BJJ19">
        <f t="shared" si="967"/>
        <v>0</v>
      </c>
      <c r="BJK19">
        <f t="shared" si="968"/>
        <v>0</v>
      </c>
      <c r="BJL19">
        <f t="shared" si="969"/>
        <v>0</v>
      </c>
      <c r="BJM19">
        <f t="shared" si="970"/>
        <v>0</v>
      </c>
      <c r="BJN19">
        <f t="shared" si="971"/>
        <v>0</v>
      </c>
      <c r="BJO19">
        <f t="shared" si="972"/>
        <v>0</v>
      </c>
      <c r="BJP19">
        <f t="shared" si="973"/>
        <v>0</v>
      </c>
      <c r="BJQ19">
        <f t="shared" si="974"/>
        <v>0</v>
      </c>
      <c r="BJR19">
        <f t="shared" si="975"/>
        <v>0</v>
      </c>
      <c r="BJS19">
        <f t="shared" si="976"/>
        <v>0</v>
      </c>
      <c r="BJT19">
        <f t="shared" si="977"/>
        <v>0</v>
      </c>
      <c r="BJU19">
        <f t="shared" si="978"/>
        <v>0</v>
      </c>
      <c r="BJV19">
        <f t="shared" si="979"/>
        <v>0</v>
      </c>
      <c r="BJW19">
        <f t="shared" si="980"/>
        <v>0</v>
      </c>
      <c r="BJX19">
        <f t="shared" si="981"/>
        <v>0</v>
      </c>
      <c r="BJY19">
        <f t="shared" si="982"/>
        <v>0</v>
      </c>
      <c r="BJZ19">
        <f t="shared" si="983"/>
        <v>0</v>
      </c>
      <c r="BKA19">
        <f t="shared" si="984"/>
        <v>0</v>
      </c>
      <c r="BKB19">
        <f t="shared" si="985"/>
        <v>0</v>
      </c>
      <c r="BKC19">
        <f t="shared" si="986"/>
        <v>0</v>
      </c>
      <c r="BKD19">
        <f t="shared" si="987"/>
        <v>0</v>
      </c>
      <c r="BKE19">
        <f t="shared" si="988"/>
        <v>0</v>
      </c>
      <c r="BKF19">
        <f t="shared" si="989"/>
        <v>0</v>
      </c>
      <c r="BKG19">
        <f t="shared" si="990"/>
        <v>0</v>
      </c>
      <c r="BKH19">
        <f t="shared" si="991"/>
        <v>0</v>
      </c>
      <c r="BKI19">
        <f t="shared" si="992"/>
        <v>0</v>
      </c>
      <c r="BKJ19">
        <f t="shared" si="993"/>
        <v>0</v>
      </c>
      <c r="BKK19">
        <f t="shared" si="994"/>
        <v>0</v>
      </c>
      <c r="BKL19">
        <f t="shared" si="995"/>
        <v>0</v>
      </c>
      <c r="BKM19">
        <f t="shared" si="996"/>
        <v>0</v>
      </c>
      <c r="BKN19">
        <f t="shared" si="997"/>
        <v>0</v>
      </c>
      <c r="BKO19">
        <f t="shared" si="998"/>
        <v>0</v>
      </c>
      <c r="BKP19">
        <f t="shared" si="999"/>
        <v>0</v>
      </c>
      <c r="BKQ19">
        <f t="shared" si="1000"/>
        <v>0</v>
      </c>
      <c r="BKR19">
        <f t="shared" si="1001"/>
        <v>0</v>
      </c>
      <c r="BKS19">
        <f t="shared" si="1002"/>
        <v>0</v>
      </c>
      <c r="BKT19">
        <f t="shared" si="1003"/>
        <v>0</v>
      </c>
      <c r="BKU19">
        <f t="shared" si="1004"/>
        <v>0</v>
      </c>
      <c r="BKV19">
        <f t="shared" si="1005"/>
        <v>0</v>
      </c>
      <c r="BKW19">
        <f t="shared" si="1006"/>
        <v>0</v>
      </c>
      <c r="BKX19">
        <f t="shared" si="1007"/>
        <v>0</v>
      </c>
      <c r="BKY19">
        <f t="shared" si="1008"/>
        <v>0</v>
      </c>
      <c r="BKZ19">
        <f t="shared" si="1009"/>
        <v>0</v>
      </c>
      <c r="BLA19">
        <f t="shared" si="1010"/>
        <v>0</v>
      </c>
      <c r="BLB19">
        <f t="shared" si="48"/>
        <v>0</v>
      </c>
      <c r="BLC19">
        <f t="shared" si="1011"/>
        <v>0</v>
      </c>
      <c r="BLD19">
        <f t="shared" si="1012"/>
        <v>0</v>
      </c>
      <c r="BLE19">
        <f t="shared" si="1013"/>
        <v>0</v>
      </c>
      <c r="BLF19">
        <f t="shared" si="1014"/>
        <v>0</v>
      </c>
      <c r="BLG19">
        <f t="shared" si="1015"/>
        <v>0</v>
      </c>
      <c r="BLH19">
        <f t="shared" si="1016"/>
        <v>0</v>
      </c>
      <c r="BLI19">
        <f t="shared" si="1017"/>
        <v>0</v>
      </c>
      <c r="BLJ19">
        <f t="shared" si="1018"/>
        <v>0</v>
      </c>
      <c r="BLK19">
        <f t="shared" si="1019"/>
        <v>0</v>
      </c>
      <c r="BLL19">
        <f t="shared" si="1020"/>
        <v>0</v>
      </c>
      <c r="BLM19">
        <f t="shared" si="1021"/>
        <v>0</v>
      </c>
      <c r="BLN19">
        <f t="shared" si="1022"/>
        <v>0</v>
      </c>
      <c r="BLO19">
        <f t="shared" si="1023"/>
        <v>0</v>
      </c>
      <c r="BLP19">
        <f t="shared" si="1024"/>
        <v>0</v>
      </c>
      <c r="BLQ19">
        <f t="shared" si="1025"/>
        <v>0</v>
      </c>
      <c r="BLR19">
        <f t="shared" si="1026"/>
        <v>0</v>
      </c>
      <c r="BLS19">
        <f t="shared" si="1027"/>
        <v>0</v>
      </c>
      <c r="BLT19">
        <f t="shared" si="1028"/>
        <v>0</v>
      </c>
      <c r="BLU19">
        <f t="shared" si="1029"/>
        <v>0</v>
      </c>
      <c r="BLV19">
        <f t="shared" si="1030"/>
        <v>0</v>
      </c>
      <c r="BLW19">
        <f t="shared" si="1031"/>
        <v>0</v>
      </c>
      <c r="BLX19">
        <f t="shared" si="1032"/>
        <v>0</v>
      </c>
      <c r="BLY19">
        <f t="shared" si="1033"/>
        <v>0</v>
      </c>
      <c r="BLZ19">
        <f t="shared" si="1034"/>
        <v>0</v>
      </c>
      <c r="BMA19">
        <f t="shared" si="1035"/>
        <v>0</v>
      </c>
      <c r="BMB19">
        <f t="shared" si="1036"/>
        <v>0</v>
      </c>
      <c r="BMC19">
        <f t="shared" si="1037"/>
        <v>0</v>
      </c>
      <c r="BMD19">
        <f t="shared" si="1038"/>
        <v>0</v>
      </c>
      <c r="BME19">
        <f t="shared" si="1039"/>
        <v>0</v>
      </c>
      <c r="BMF19">
        <f t="shared" si="1040"/>
        <v>0</v>
      </c>
      <c r="BMG19">
        <f t="shared" si="1041"/>
        <v>0</v>
      </c>
      <c r="BMH19">
        <f t="shared" si="1042"/>
        <v>0</v>
      </c>
      <c r="BMI19">
        <f t="shared" si="1043"/>
        <v>0</v>
      </c>
      <c r="BMJ19">
        <f t="shared" si="1044"/>
        <v>0</v>
      </c>
      <c r="BMK19">
        <f t="shared" si="1045"/>
        <v>0</v>
      </c>
      <c r="BML19">
        <f t="shared" si="1046"/>
        <v>0</v>
      </c>
      <c r="BMM19">
        <f t="shared" si="1047"/>
        <v>0</v>
      </c>
      <c r="BMN19">
        <f t="shared" si="1048"/>
        <v>0</v>
      </c>
      <c r="BMO19">
        <f t="shared" si="1049"/>
        <v>0</v>
      </c>
      <c r="BMP19">
        <f t="shared" si="1050"/>
        <v>0</v>
      </c>
      <c r="BMQ19">
        <f t="shared" si="1051"/>
        <v>0</v>
      </c>
      <c r="BMR19">
        <f t="shared" si="1052"/>
        <v>0</v>
      </c>
      <c r="BMS19">
        <f t="shared" si="1053"/>
        <v>0</v>
      </c>
      <c r="BMT19">
        <f t="shared" si="1054"/>
        <v>0</v>
      </c>
      <c r="BMU19">
        <f t="shared" si="1055"/>
        <v>0</v>
      </c>
      <c r="BMV19">
        <f t="shared" si="1056"/>
        <v>0</v>
      </c>
      <c r="BMW19">
        <f t="shared" si="1057"/>
        <v>0</v>
      </c>
      <c r="BMX19">
        <f t="shared" si="1058"/>
        <v>0</v>
      </c>
      <c r="BMY19">
        <f t="shared" si="1059"/>
        <v>0</v>
      </c>
      <c r="BMZ19">
        <f t="shared" si="1060"/>
        <v>0</v>
      </c>
      <c r="BNA19">
        <f t="shared" si="1061"/>
        <v>0</v>
      </c>
      <c r="BNB19">
        <f t="shared" si="1062"/>
        <v>0</v>
      </c>
      <c r="BNC19">
        <f t="shared" si="1063"/>
        <v>0</v>
      </c>
      <c r="BND19">
        <f t="shared" si="1064"/>
        <v>0</v>
      </c>
      <c r="BNE19">
        <f t="shared" si="1065"/>
        <v>0</v>
      </c>
      <c r="BNF19">
        <f t="shared" si="1066"/>
        <v>0</v>
      </c>
      <c r="BNG19">
        <f t="shared" si="1067"/>
        <v>0</v>
      </c>
      <c r="BNH19">
        <f t="shared" si="1068"/>
        <v>0</v>
      </c>
      <c r="BNI19">
        <f t="shared" si="1069"/>
        <v>0</v>
      </c>
      <c r="BNJ19">
        <f t="shared" si="1070"/>
        <v>0</v>
      </c>
      <c r="BNK19">
        <f t="shared" si="1071"/>
        <v>0</v>
      </c>
      <c r="BNL19">
        <f t="shared" si="1072"/>
        <v>0</v>
      </c>
      <c r="BNM19">
        <f t="shared" si="1073"/>
        <v>0</v>
      </c>
      <c r="BNN19">
        <f t="shared" si="49"/>
        <v>0</v>
      </c>
      <c r="BNO19">
        <f t="shared" si="1074"/>
        <v>0</v>
      </c>
      <c r="BNP19">
        <f t="shared" si="1075"/>
        <v>0</v>
      </c>
      <c r="BNQ19">
        <f t="shared" si="1076"/>
        <v>0</v>
      </c>
      <c r="BNR19">
        <f t="shared" si="1077"/>
        <v>0</v>
      </c>
      <c r="BNS19">
        <f t="shared" si="1078"/>
        <v>0</v>
      </c>
      <c r="BNT19">
        <f t="shared" si="1079"/>
        <v>0</v>
      </c>
      <c r="BNU19">
        <f t="shared" si="1080"/>
        <v>0</v>
      </c>
      <c r="BNV19">
        <f t="shared" si="1081"/>
        <v>0</v>
      </c>
      <c r="BNW19">
        <f t="shared" si="1082"/>
        <v>0</v>
      </c>
      <c r="BNX19">
        <f t="shared" si="1083"/>
        <v>0</v>
      </c>
      <c r="BNY19">
        <f t="shared" si="1084"/>
        <v>0</v>
      </c>
      <c r="BNZ19">
        <f t="shared" si="1085"/>
        <v>0</v>
      </c>
      <c r="BOA19">
        <f t="shared" si="1086"/>
        <v>0</v>
      </c>
      <c r="BOB19">
        <f t="shared" si="1087"/>
        <v>0</v>
      </c>
      <c r="BOC19">
        <f t="shared" si="1088"/>
        <v>0</v>
      </c>
      <c r="BOD19">
        <f t="shared" si="1089"/>
        <v>0</v>
      </c>
      <c r="BOE19">
        <f t="shared" si="1090"/>
        <v>0</v>
      </c>
      <c r="BOF19">
        <f t="shared" si="1091"/>
        <v>0</v>
      </c>
      <c r="BOG19">
        <f t="shared" si="1092"/>
        <v>0</v>
      </c>
      <c r="BOH19">
        <f t="shared" si="1093"/>
        <v>0</v>
      </c>
      <c r="BOI19">
        <f t="shared" si="1094"/>
        <v>0</v>
      </c>
      <c r="BOJ19">
        <f t="shared" si="1095"/>
        <v>0</v>
      </c>
      <c r="BOK19">
        <f t="shared" si="1096"/>
        <v>0</v>
      </c>
      <c r="BOL19">
        <f t="shared" si="1097"/>
        <v>0</v>
      </c>
      <c r="BOM19">
        <f t="shared" si="1098"/>
        <v>0</v>
      </c>
      <c r="BON19">
        <f t="shared" si="1099"/>
        <v>0</v>
      </c>
      <c r="BOO19">
        <f t="shared" si="1100"/>
        <v>0</v>
      </c>
      <c r="BOP19">
        <f t="shared" si="1101"/>
        <v>0</v>
      </c>
      <c r="BOQ19">
        <f t="shared" si="1102"/>
        <v>0</v>
      </c>
      <c r="BOR19">
        <f t="shared" si="1103"/>
        <v>0</v>
      </c>
      <c r="BOS19">
        <f t="shared" si="1104"/>
        <v>0</v>
      </c>
      <c r="BOT19">
        <f t="shared" si="1105"/>
        <v>0</v>
      </c>
      <c r="BOU19">
        <f t="shared" si="1106"/>
        <v>0</v>
      </c>
      <c r="BOV19">
        <f t="shared" si="1107"/>
        <v>0</v>
      </c>
      <c r="BOW19">
        <f t="shared" si="1108"/>
        <v>0</v>
      </c>
      <c r="BOX19">
        <f t="shared" si="1109"/>
        <v>0</v>
      </c>
      <c r="BOY19">
        <f t="shared" si="1110"/>
        <v>0</v>
      </c>
      <c r="BOZ19">
        <f t="shared" si="1111"/>
        <v>0</v>
      </c>
      <c r="BPA19">
        <f t="shared" si="1112"/>
        <v>0</v>
      </c>
      <c r="BPB19">
        <f t="shared" si="1113"/>
        <v>0</v>
      </c>
      <c r="BPC19">
        <f t="shared" si="1114"/>
        <v>0</v>
      </c>
      <c r="BPD19">
        <f t="shared" si="1115"/>
        <v>0</v>
      </c>
      <c r="BPE19">
        <f t="shared" si="1116"/>
        <v>0</v>
      </c>
      <c r="BPF19">
        <f t="shared" si="1117"/>
        <v>0</v>
      </c>
      <c r="BPG19">
        <f t="shared" si="1118"/>
        <v>0</v>
      </c>
      <c r="BPH19">
        <f t="shared" si="1119"/>
        <v>0</v>
      </c>
      <c r="BPI19">
        <f t="shared" si="1120"/>
        <v>0</v>
      </c>
      <c r="BPJ19">
        <f t="shared" si="1121"/>
        <v>0</v>
      </c>
      <c r="BPK19">
        <f t="shared" si="1122"/>
        <v>0</v>
      </c>
      <c r="BPL19">
        <f t="shared" si="1123"/>
        <v>0</v>
      </c>
      <c r="BPM19">
        <f t="shared" si="1124"/>
        <v>0</v>
      </c>
      <c r="BPN19">
        <f t="shared" si="1125"/>
        <v>0</v>
      </c>
      <c r="BPO19">
        <f t="shared" si="1126"/>
        <v>0</v>
      </c>
      <c r="BPP19">
        <f t="shared" si="1127"/>
        <v>0</v>
      </c>
      <c r="BPQ19">
        <f t="shared" si="1128"/>
        <v>0</v>
      </c>
      <c r="BPR19">
        <f t="shared" si="1129"/>
        <v>0</v>
      </c>
      <c r="BPS19">
        <f t="shared" si="1130"/>
        <v>0</v>
      </c>
      <c r="BPT19">
        <f t="shared" si="1131"/>
        <v>0</v>
      </c>
      <c r="BPU19">
        <f t="shared" si="1132"/>
        <v>0</v>
      </c>
      <c r="BPV19">
        <f t="shared" si="1133"/>
        <v>0</v>
      </c>
      <c r="BPW19">
        <f t="shared" si="1134"/>
        <v>0</v>
      </c>
      <c r="BPX19">
        <f t="shared" si="1135"/>
        <v>0</v>
      </c>
      <c r="BPY19">
        <f t="shared" si="1136"/>
        <v>0</v>
      </c>
      <c r="BPZ19">
        <f t="shared" si="50"/>
        <v>0</v>
      </c>
      <c r="BQA19">
        <f t="shared" si="1137"/>
        <v>0</v>
      </c>
      <c r="BQB19">
        <f t="shared" si="1138"/>
        <v>0</v>
      </c>
      <c r="BQC19">
        <f t="shared" si="1139"/>
        <v>0</v>
      </c>
      <c r="BQD19">
        <f t="shared" si="1140"/>
        <v>0</v>
      </c>
      <c r="BQE19">
        <f t="shared" si="1141"/>
        <v>0</v>
      </c>
      <c r="BQF19">
        <f t="shared" si="1142"/>
        <v>0</v>
      </c>
      <c r="BQG19">
        <f t="shared" si="1143"/>
        <v>0</v>
      </c>
      <c r="BQH19">
        <f t="shared" si="1144"/>
        <v>0</v>
      </c>
      <c r="BQI19">
        <f t="shared" si="1145"/>
        <v>0</v>
      </c>
      <c r="BQJ19">
        <f t="shared" si="1146"/>
        <v>0</v>
      </c>
      <c r="BQK19">
        <f t="shared" si="1147"/>
        <v>0</v>
      </c>
      <c r="BQL19">
        <f t="shared" si="1148"/>
        <v>0</v>
      </c>
      <c r="BQM19">
        <f t="shared" si="1149"/>
        <v>0</v>
      </c>
      <c r="BQN19">
        <f t="shared" si="1150"/>
        <v>0</v>
      </c>
      <c r="BQO19">
        <f t="shared" si="1151"/>
        <v>0</v>
      </c>
      <c r="BQP19">
        <f t="shared" si="1152"/>
        <v>0</v>
      </c>
      <c r="BQQ19">
        <f t="shared" si="1153"/>
        <v>0</v>
      </c>
      <c r="BQR19">
        <f t="shared" si="1154"/>
        <v>0</v>
      </c>
      <c r="BQS19">
        <f t="shared" si="1155"/>
        <v>0</v>
      </c>
      <c r="BQT19">
        <f t="shared" si="1156"/>
        <v>0</v>
      </c>
      <c r="BQU19">
        <f t="shared" si="1157"/>
        <v>0</v>
      </c>
      <c r="BQV19">
        <f t="shared" si="1158"/>
        <v>0</v>
      </c>
      <c r="BQW19">
        <f t="shared" si="1159"/>
        <v>0</v>
      </c>
      <c r="BQX19">
        <f t="shared" si="1160"/>
        <v>0</v>
      </c>
      <c r="BQY19">
        <f t="shared" si="1161"/>
        <v>0</v>
      </c>
      <c r="BQZ19">
        <f t="shared" si="1162"/>
        <v>0</v>
      </c>
      <c r="BRA19">
        <f t="shared" si="1163"/>
        <v>0</v>
      </c>
      <c r="BRB19">
        <f t="shared" si="1164"/>
        <v>0</v>
      </c>
      <c r="BRC19">
        <f t="shared" si="1165"/>
        <v>0</v>
      </c>
      <c r="BRD19">
        <f t="shared" si="1166"/>
        <v>0</v>
      </c>
      <c r="BRE19">
        <f t="shared" si="1167"/>
        <v>0</v>
      </c>
      <c r="BRF19">
        <f t="shared" si="1168"/>
        <v>0</v>
      </c>
      <c r="BRG19">
        <f t="shared" si="1169"/>
        <v>0</v>
      </c>
      <c r="BRH19">
        <f t="shared" si="1170"/>
        <v>0</v>
      </c>
      <c r="BRI19">
        <f t="shared" si="1171"/>
        <v>0</v>
      </c>
      <c r="BRJ19">
        <f t="shared" si="1172"/>
        <v>0</v>
      </c>
      <c r="BRK19">
        <f t="shared" si="1173"/>
        <v>0</v>
      </c>
      <c r="BRL19">
        <f t="shared" si="1174"/>
        <v>0</v>
      </c>
      <c r="BRM19">
        <f t="shared" si="1175"/>
        <v>0</v>
      </c>
      <c r="BRN19">
        <f t="shared" si="1176"/>
        <v>0</v>
      </c>
      <c r="BRO19">
        <f t="shared" si="1177"/>
        <v>0</v>
      </c>
      <c r="BRP19">
        <f t="shared" si="1178"/>
        <v>0</v>
      </c>
      <c r="BRQ19">
        <f t="shared" si="1179"/>
        <v>0</v>
      </c>
      <c r="BRR19">
        <f t="shared" si="1180"/>
        <v>0</v>
      </c>
      <c r="BRS19">
        <f t="shared" si="1181"/>
        <v>0</v>
      </c>
      <c r="BRT19">
        <f t="shared" si="1182"/>
        <v>0</v>
      </c>
      <c r="BRU19">
        <f t="shared" si="1183"/>
        <v>0</v>
      </c>
      <c r="BRV19">
        <f t="shared" si="1184"/>
        <v>0</v>
      </c>
      <c r="BRW19">
        <f t="shared" si="1185"/>
        <v>0</v>
      </c>
      <c r="BRX19">
        <f t="shared" si="1186"/>
        <v>0</v>
      </c>
      <c r="BRY19">
        <f t="shared" si="1187"/>
        <v>0</v>
      </c>
      <c r="BRZ19">
        <f t="shared" si="1188"/>
        <v>0</v>
      </c>
      <c r="BSA19">
        <f t="shared" si="1189"/>
        <v>0</v>
      </c>
      <c r="BSB19">
        <f t="shared" si="1190"/>
        <v>0</v>
      </c>
      <c r="BSC19">
        <f t="shared" si="1191"/>
        <v>0</v>
      </c>
      <c r="BSD19">
        <f t="shared" si="1192"/>
        <v>0</v>
      </c>
      <c r="BSE19">
        <f t="shared" si="1193"/>
        <v>0</v>
      </c>
      <c r="BSF19">
        <f t="shared" si="1194"/>
        <v>0</v>
      </c>
      <c r="BSG19">
        <f t="shared" si="1195"/>
        <v>0</v>
      </c>
      <c r="BSH19">
        <f t="shared" si="1196"/>
        <v>0</v>
      </c>
      <c r="BSI19">
        <f t="shared" si="1197"/>
        <v>0</v>
      </c>
      <c r="BSJ19">
        <f t="shared" si="1198"/>
        <v>0</v>
      </c>
      <c r="BSK19">
        <f t="shared" si="1199"/>
        <v>0</v>
      </c>
      <c r="BSL19">
        <f t="shared" si="51"/>
        <v>0</v>
      </c>
      <c r="BSM19">
        <f t="shared" si="1200"/>
        <v>0</v>
      </c>
      <c r="BSN19">
        <f t="shared" si="1201"/>
        <v>0</v>
      </c>
      <c r="BSO19">
        <f t="shared" si="1202"/>
        <v>0</v>
      </c>
      <c r="BSP19">
        <f t="shared" si="1203"/>
        <v>0</v>
      </c>
      <c r="BSQ19">
        <f t="shared" si="1204"/>
        <v>0</v>
      </c>
      <c r="BSR19">
        <f t="shared" si="1205"/>
        <v>0</v>
      </c>
      <c r="BSS19">
        <f t="shared" si="1206"/>
        <v>0</v>
      </c>
      <c r="BST19">
        <f t="shared" si="1207"/>
        <v>0</v>
      </c>
      <c r="BSU19">
        <f t="shared" si="1208"/>
        <v>0</v>
      </c>
      <c r="BSV19">
        <f t="shared" si="1209"/>
        <v>0</v>
      </c>
      <c r="BSW19">
        <f t="shared" si="1210"/>
        <v>0</v>
      </c>
      <c r="BSX19">
        <f t="shared" si="1211"/>
        <v>0</v>
      </c>
      <c r="BSY19">
        <f t="shared" si="1212"/>
        <v>0</v>
      </c>
      <c r="BSZ19">
        <f t="shared" si="1213"/>
        <v>0</v>
      </c>
      <c r="BTA19">
        <f t="shared" si="1214"/>
        <v>0</v>
      </c>
      <c r="BTB19">
        <f t="shared" si="1215"/>
        <v>0</v>
      </c>
      <c r="BTC19">
        <f t="shared" si="1216"/>
        <v>0</v>
      </c>
      <c r="BTD19">
        <f t="shared" si="1217"/>
        <v>0</v>
      </c>
      <c r="BTE19">
        <f t="shared" si="1218"/>
        <v>0</v>
      </c>
      <c r="BTF19">
        <f t="shared" si="1219"/>
        <v>0</v>
      </c>
      <c r="BTG19">
        <f t="shared" si="1220"/>
        <v>0</v>
      </c>
      <c r="BTH19">
        <f t="shared" si="1221"/>
        <v>0</v>
      </c>
      <c r="BTI19">
        <f t="shared" si="1222"/>
        <v>0</v>
      </c>
      <c r="BTJ19">
        <f t="shared" si="1223"/>
        <v>0</v>
      </c>
      <c r="BTK19">
        <f t="shared" si="1224"/>
        <v>0</v>
      </c>
      <c r="BTL19">
        <f t="shared" si="1225"/>
        <v>0</v>
      </c>
      <c r="BTM19">
        <f t="shared" si="1226"/>
        <v>0</v>
      </c>
      <c r="BTN19">
        <f t="shared" si="1227"/>
        <v>0</v>
      </c>
      <c r="BTO19">
        <f t="shared" si="1228"/>
        <v>0</v>
      </c>
      <c r="BTP19">
        <f t="shared" si="1229"/>
        <v>0</v>
      </c>
      <c r="BTQ19">
        <f t="shared" si="1230"/>
        <v>0</v>
      </c>
      <c r="BTR19">
        <f t="shared" si="1231"/>
        <v>0</v>
      </c>
      <c r="BTS19">
        <f t="shared" si="1232"/>
        <v>0</v>
      </c>
      <c r="BTT19">
        <f t="shared" si="1233"/>
        <v>0</v>
      </c>
      <c r="BTU19">
        <f t="shared" si="1234"/>
        <v>0</v>
      </c>
      <c r="BTV19">
        <f t="shared" si="1235"/>
        <v>0</v>
      </c>
      <c r="BTW19">
        <f t="shared" si="1236"/>
        <v>0</v>
      </c>
      <c r="BTX19">
        <f t="shared" si="1237"/>
        <v>0</v>
      </c>
      <c r="BTY19">
        <f t="shared" si="1238"/>
        <v>0</v>
      </c>
      <c r="BTZ19">
        <f t="shared" si="1239"/>
        <v>0</v>
      </c>
      <c r="BUA19">
        <f t="shared" si="1240"/>
        <v>0</v>
      </c>
      <c r="BUB19">
        <f t="shared" si="1241"/>
        <v>0</v>
      </c>
      <c r="BUC19">
        <f t="shared" si="1242"/>
        <v>0</v>
      </c>
      <c r="BUD19">
        <f t="shared" si="1243"/>
        <v>0</v>
      </c>
      <c r="BUE19">
        <f t="shared" si="1244"/>
        <v>0</v>
      </c>
      <c r="BUF19">
        <f t="shared" si="1245"/>
        <v>0</v>
      </c>
      <c r="BUG19">
        <f t="shared" si="1246"/>
        <v>0</v>
      </c>
      <c r="BUH19">
        <f t="shared" si="1247"/>
        <v>0</v>
      </c>
      <c r="BUI19">
        <f t="shared" si="1248"/>
        <v>0</v>
      </c>
      <c r="BUJ19">
        <f t="shared" si="1249"/>
        <v>0</v>
      </c>
      <c r="BUK19">
        <f t="shared" si="1250"/>
        <v>0</v>
      </c>
      <c r="BUL19">
        <f t="shared" si="1251"/>
        <v>0</v>
      </c>
      <c r="BUM19">
        <f t="shared" si="1252"/>
        <v>0</v>
      </c>
      <c r="BUN19">
        <f t="shared" si="1253"/>
        <v>0</v>
      </c>
      <c r="BUO19">
        <f t="shared" si="1254"/>
        <v>0</v>
      </c>
      <c r="BUP19">
        <f t="shared" si="1255"/>
        <v>0</v>
      </c>
      <c r="BUQ19">
        <f t="shared" si="1256"/>
        <v>0</v>
      </c>
      <c r="BUR19">
        <f t="shared" si="1257"/>
        <v>0</v>
      </c>
      <c r="BUS19">
        <f t="shared" si="1258"/>
        <v>0</v>
      </c>
      <c r="BUT19">
        <f t="shared" si="1259"/>
        <v>0</v>
      </c>
      <c r="BUU19">
        <f t="shared" si="1260"/>
        <v>0</v>
      </c>
      <c r="BUV19">
        <f t="shared" si="1261"/>
        <v>0</v>
      </c>
      <c r="BUW19">
        <f t="shared" si="1262"/>
        <v>0</v>
      </c>
      <c r="BUX19">
        <f t="shared" si="52"/>
        <v>0</v>
      </c>
      <c r="BUY19">
        <f t="shared" si="1263"/>
        <v>0</v>
      </c>
      <c r="BUZ19">
        <f t="shared" si="1264"/>
        <v>0</v>
      </c>
      <c r="BVA19">
        <f t="shared" si="1265"/>
        <v>0</v>
      </c>
      <c r="BVB19">
        <f t="shared" si="1266"/>
        <v>0</v>
      </c>
      <c r="BVC19">
        <f t="shared" si="1267"/>
        <v>0</v>
      </c>
      <c r="BVD19">
        <f t="shared" si="1268"/>
        <v>0</v>
      </c>
      <c r="BVE19">
        <f t="shared" si="1269"/>
        <v>0</v>
      </c>
      <c r="BVF19">
        <f t="shared" si="1270"/>
        <v>0</v>
      </c>
      <c r="BVG19">
        <f t="shared" si="1271"/>
        <v>0</v>
      </c>
      <c r="BVH19">
        <f t="shared" si="1272"/>
        <v>0</v>
      </c>
      <c r="BVI19">
        <f t="shared" si="1273"/>
        <v>0</v>
      </c>
      <c r="BVJ19">
        <f t="shared" si="1274"/>
        <v>0</v>
      </c>
      <c r="BVK19">
        <f t="shared" si="1275"/>
        <v>0</v>
      </c>
      <c r="BVL19">
        <f t="shared" si="1276"/>
        <v>0</v>
      </c>
      <c r="BVM19">
        <f t="shared" si="1277"/>
        <v>0</v>
      </c>
      <c r="BVN19">
        <f t="shared" si="1278"/>
        <v>0</v>
      </c>
      <c r="BVO19">
        <f t="shared" si="1279"/>
        <v>0</v>
      </c>
      <c r="BVP19">
        <f t="shared" si="1280"/>
        <v>0</v>
      </c>
      <c r="BVQ19">
        <f t="shared" si="1281"/>
        <v>0</v>
      </c>
      <c r="BVR19">
        <f t="shared" si="1282"/>
        <v>0</v>
      </c>
      <c r="BVS19">
        <f t="shared" si="1283"/>
        <v>0</v>
      </c>
      <c r="BVT19">
        <f t="shared" si="1284"/>
        <v>0</v>
      </c>
      <c r="BVU19">
        <f t="shared" si="1285"/>
        <v>0</v>
      </c>
      <c r="BVV19">
        <f t="shared" si="1286"/>
        <v>0</v>
      </c>
      <c r="BVW19">
        <f t="shared" si="1287"/>
        <v>0</v>
      </c>
      <c r="BVX19">
        <f t="shared" si="1288"/>
        <v>0</v>
      </c>
      <c r="BVY19">
        <f t="shared" si="1289"/>
        <v>0</v>
      </c>
      <c r="BVZ19">
        <f t="shared" si="1290"/>
        <v>0</v>
      </c>
      <c r="BWA19">
        <f t="shared" si="1291"/>
        <v>0</v>
      </c>
      <c r="BWB19">
        <f t="shared" si="1292"/>
        <v>0</v>
      </c>
      <c r="BWC19">
        <f t="shared" si="1293"/>
        <v>0</v>
      </c>
      <c r="BWD19">
        <f t="shared" si="1294"/>
        <v>0</v>
      </c>
      <c r="BWE19">
        <f t="shared" si="1295"/>
        <v>0</v>
      </c>
      <c r="BWF19">
        <f t="shared" si="1296"/>
        <v>0</v>
      </c>
      <c r="BWG19">
        <f t="shared" si="1297"/>
        <v>0</v>
      </c>
      <c r="BWH19">
        <f t="shared" si="1298"/>
        <v>0</v>
      </c>
      <c r="BWI19">
        <f t="shared" si="1299"/>
        <v>0</v>
      </c>
      <c r="BWJ19">
        <f t="shared" si="1300"/>
        <v>0</v>
      </c>
      <c r="BWK19">
        <f t="shared" si="1301"/>
        <v>0</v>
      </c>
      <c r="BWL19">
        <f t="shared" si="1302"/>
        <v>0</v>
      </c>
      <c r="BWM19">
        <f t="shared" si="1303"/>
        <v>0</v>
      </c>
      <c r="BWN19">
        <f t="shared" si="1304"/>
        <v>0</v>
      </c>
      <c r="BWO19">
        <f t="shared" si="1305"/>
        <v>0</v>
      </c>
      <c r="BWP19">
        <f t="shared" si="1306"/>
        <v>0</v>
      </c>
      <c r="BWQ19">
        <f t="shared" si="1307"/>
        <v>0</v>
      </c>
      <c r="BWR19">
        <f t="shared" si="1308"/>
        <v>0</v>
      </c>
      <c r="BWS19">
        <f t="shared" si="1309"/>
        <v>0</v>
      </c>
      <c r="BWT19">
        <f t="shared" si="1310"/>
        <v>0</v>
      </c>
      <c r="BWU19">
        <f t="shared" si="1311"/>
        <v>0</v>
      </c>
      <c r="BWV19">
        <f t="shared" si="1312"/>
        <v>0</v>
      </c>
      <c r="BWW19">
        <f t="shared" si="1313"/>
        <v>0</v>
      </c>
      <c r="BWX19">
        <f t="shared" si="1314"/>
        <v>0</v>
      </c>
      <c r="BWY19">
        <f t="shared" si="1315"/>
        <v>0</v>
      </c>
      <c r="BWZ19">
        <f t="shared" si="1316"/>
        <v>0</v>
      </c>
      <c r="BXA19">
        <f t="shared" si="1317"/>
        <v>0</v>
      </c>
      <c r="BXB19">
        <f t="shared" si="1318"/>
        <v>0</v>
      </c>
      <c r="BXC19">
        <f t="shared" si="1319"/>
        <v>0</v>
      </c>
      <c r="BXD19">
        <f t="shared" si="1320"/>
        <v>0</v>
      </c>
      <c r="BXE19">
        <f t="shared" si="1321"/>
        <v>0</v>
      </c>
      <c r="BXF19">
        <f t="shared" si="1322"/>
        <v>0</v>
      </c>
      <c r="BXG19">
        <f t="shared" si="1323"/>
        <v>0</v>
      </c>
      <c r="BXH19">
        <f t="shared" si="1324"/>
        <v>0</v>
      </c>
      <c r="BXI19">
        <f t="shared" si="1325"/>
        <v>0</v>
      </c>
      <c r="BXJ19">
        <f t="shared" si="53"/>
        <v>0</v>
      </c>
      <c r="BXK19">
        <f t="shared" si="1326"/>
        <v>0</v>
      </c>
      <c r="BXL19">
        <f t="shared" si="1327"/>
        <v>0</v>
      </c>
      <c r="BXM19">
        <f t="shared" si="1328"/>
        <v>0</v>
      </c>
      <c r="BXN19">
        <f t="shared" si="1329"/>
        <v>0</v>
      </c>
      <c r="BXO19">
        <f t="shared" si="1330"/>
        <v>0</v>
      </c>
      <c r="BXP19">
        <f t="shared" si="1331"/>
        <v>0</v>
      </c>
      <c r="BXQ19">
        <f t="shared" si="1332"/>
        <v>0</v>
      </c>
      <c r="BXR19">
        <f t="shared" si="1333"/>
        <v>0</v>
      </c>
      <c r="BXS19">
        <f t="shared" si="1334"/>
        <v>0</v>
      </c>
      <c r="BXT19">
        <f t="shared" si="1335"/>
        <v>0</v>
      </c>
      <c r="BXU19">
        <f t="shared" si="1336"/>
        <v>0</v>
      </c>
      <c r="BXV19">
        <f t="shared" si="1337"/>
        <v>0</v>
      </c>
      <c r="BXW19">
        <f t="shared" si="1338"/>
        <v>0</v>
      </c>
      <c r="BXX19">
        <f t="shared" si="1339"/>
        <v>0</v>
      </c>
      <c r="BXY19">
        <f t="shared" si="1340"/>
        <v>0</v>
      </c>
      <c r="BXZ19">
        <f t="shared" si="1341"/>
        <v>0</v>
      </c>
      <c r="BYA19">
        <f t="shared" si="1342"/>
        <v>0</v>
      </c>
      <c r="BYB19">
        <f t="shared" si="1343"/>
        <v>0</v>
      </c>
      <c r="BYC19">
        <f t="shared" si="1344"/>
        <v>0</v>
      </c>
      <c r="BYD19">
        <f t="shared" si="1345"/>
        <v>0</v>
      </c>
      <c r="BYE19">
        <f t="shared" si="1346"/>
        <v>0</v>
      </c>
      <c r="BYF19">
        <f t="shared" si="1347"/>
        <v>0</v>
      </c>
      <c r="BYG19">
        <f t="shared" si="1348"/>
        <v>0</v>
      </c>
      <c r="BYH19">
        <f t="shared" si="1349"/>
        <v>0</v>
      </c>
      <c r="BYI19">
        <f t="shared" si="1350"/>
        <v>0</v>
      </c>
      <c r="BYJ19">
        <f t="shared" si="1351"/>
        <v>0</v>
      </c>
      <c r="BYK19">
        <f t="shared" si="1352"/>
        <v>0</v>
      </c>
      <c r="BYL19">
        <f t="shared" si="1353"/>
        <v>0</v>
      </c>
      <c r="BYM19">
        <f t="shared" si="1354"/>
        <v>0</v>
      </c>
      <c r="BYN19">
        <f t="shared" si="1355"/>
        <v>0</v>
      </c>
      <c r="BYO19">
        <f t="shared" si="1356"/>
        <v>0</v>
      </c>
      <c r="BYP19">
        <f t="shared" si="1357"/>
        <v>0</v>
      </c>
      <c r="BYQ19">
        <f t="shared" si="1358"/>
        <v>0</v>
      </c>
      <c r="BYR19">
        <f t="shared" si="1359"/>
        <v>0</v>
      </c>
      <c r="BYS19">
        <f t="shared" si="1360"/>
        <v>0</v>
      </c>
      <c r="BYT19">
        <f t="shared" si="1361"/>
        <v>0</v>
      </c>
      <c r="BYU19">
        <f t="shared" si="1362"/>
        <v>0</v>
      </c>
      <c r="BYV19">
        <f t="shared" si="1363"/>
        <v>0</v>
      </c>
      <c r="BYW19">
        <f t="shared" si="1364"/>
        <v>0</v>
      </c>
      <c r="BYX19">
        <f t="shared" si="1365"/>
        <v>0</v>
      </c>
      <c r="BYY19">
        <f t="shared" si="1366"/>
        <v>0</v>
      </c>
      <c r="BYZ19">
        <f t="shared" si="1367"/>
        <v>0</v>
      </c>
      <c r="BZA19">
        <f t="shared" si="1368"/>
        <v>0</v>
      </c>
      <c r="BZB19">
        <f t="shared" si="1369"/>
        <v>0</v>
      </c>
      <c r="BZC19">
        <f t="shared" si="1370"/>
        <v>0</v>
      </c>
      <c r="BZD19">
        <f t="shared" si="1371"/>
        <v>0</v>
      </c>
      <c r="BZE19">
        <f t="shared" si="1372"/>
        <v>0</v>
      </c>
      <c r="BZF19">
        <f t="shared" si="1373"/>
        <v>0</v>
      </c>
      <c r="BZG19">
        <f t="shared" si="1374"/>
        <v>0</v>
      </c>
      <c r="BZH19">
        <f t="shared" si="1375"/>
        <v>0</v>
      </c>
      <c r="BZI19">
        <f t="shared" si="1376"/>
        <v>0</v>
      </c>
      <c r="BZJ19">
        <f t="shared" si="1377"/>
        <v>0</v>
      </c>
      <c r="BZK19">
        <f t="shared" si="1378"/>
        <v>0</v>
      </c>
      <c r="BZL19">
        <f t="shared" si="1379"/>
        <v>0</v>
      </c>
      <c r="BZM19">
        <f t="shared" si="1380"/>
        <v>0</v>
      </c>
      <c r="BZN19">
        <f t="shared" si="1381"/>
        <v>0</v>
      </c>
      <c r="BZO19">
        <f t="shared" si="1382"/>
        <v>0</v>
      </c>
      <c r="BZP19">
        <f t="shared" si="1383"/>
        <v>0</v>
      </c>
      <c r="BZQ19">
        <f t="shared" si="1384"/>
        <v>0</v>
      </c>
      <c r="BZR19">
        <f t="shared" si="1385"/>
        <v>0</v>
      </c>
      <c r="BZS19">
        <f t="shared" si="1386"/>
        <v>0</v>
      </c>
      <c r="BZT19">
        <f t="shared" si="1387"/>
        <v>0</v>
      </c>
      <c r="BZU19">
        <f t="shared" si="1388"/>
        <v>0</v>
      </c>
      <c r="BZV19">
        <f t="shared" si="54"/>
        <v>0</v>
      </c>
      <c r="BZW19">
        <f t="shared" si="1389"/>
        <v>0</v>
      </c>
      <c r="BZX19">
        <f t="shared" si="1390"/>
        <v>0</v>
      </c>
      <c r="BZY19">
        <f t="shared" si="1391"/>
        <v>0</v>
      </c>
      <c r="BZZ19">
        <f t="shared" si="1392"/>
        <v>0</v>
      </c>
      <c r="CAA19">
        <f t="shared" si="1393"/>
        <v>0</v>
      </c>
      <c r="CAB19">
        <f t="shared" si="1394"/>
        <v>0</v>
      </c>
      <c r="CAC19">
        <f t="shared" si="1395"/>
        <v>0</v>
      </c>
      <c r="CAD19">
        <f t="shared" si="1396"/>
        <v>0</v>
      </c>
      <c r="CAE19">
        <f t="shared" si="1397"/>
        <v>0</v>
      </c>
      <c r="CAF19">
        <f t="shared" si="1398"/>
        <v>0</v>
      </c>
      <c r="CAG19">
        <f t="shared" si="1399"/>
        <v>0</v>
      </c>
      <c r="CAH19">
        <f t="shared" si="1400"/>
        <v>0</v>
      </c>
      <c r="CAI19">
        <f t="shared" si="1401"/>
        <v>0</v>
      </c>
      <c r="CAJ19">
        <f t="shared" si="1402"/>
        <v>0</v>
      </c>
      <c r="CAK19">
        <f t="shared" si="1403"/>
        <v>0</v>
      </c>
      <c r="CAL19">
        <f t="shared" si="1404"/>
        <v>0</v>
      </c>
      <c r="CAM19">
        <f t="shared" si="1405"/>
        <v>0</v>
      </c>
      <c r="CAN19">
        <f t="shared" si="1406"/>
        <v>0</v>
      </c>
      <c r="CAO19">
        <f t="shared" si="1407"/>
        <v>0</v>
      </c>
      <c r="CAP19">
        <f t="shared" si="1408"/>
        <v>0</v>
      </c>
      <c r="CAQ19">
        <f t="shared" si="1409"/>
        <v>0</v>
      </c>
      <c r="CAR19">
        <f t="shared" si="1410"/>
        <v>0</v>
      </c>
      <c r="CAS19">
        <f t="shared" si="1411"/>
        <v>0</v>
      </c>
      <c r="CAT19">
        <f t="shared" si="1412"/>
        <v>0</v>
      </c>
      <c r="CAU19">
        <f t="shared" si="1413"/>
        <v>0</v>
      </c>
      <c r="CAV19">
        <f t="shared" si="1414"/>
        <v>0</v>
      </c>
      <c r="CAW19">
        <f t="shared" si="1415"/>
        <v>0</v>
      </c>
      <c r="CAX19">
        <f t="shared" si="1416"/>
        <v>0</v>
      </c>
      <c r="CAY19">
        <f t="shared" si="1417"/>
        <v>0</v>
      </c>
      <c r="CAZ19">
        <f t="shared" si="1418"/>
        <v>0</v>
      </c>
      <c r="CBA19">
        <f t="shared" si="1419"/>
        <v>0</v>
      </c>
      <c r="CBB19">
        <f t="shared" si="1420"/>
        <v>0</v>
      </c>
      <c r="CBC19">
        <f t="shared" si="1421"/>
        <v>0</v>
      </c>
      <c r="CBD19">
        <f t="shared" si="1422"/>
        <v>0</v>
      </c>
      <c r="CBE19">
        <f t="shared" si="1423"/>
        <v>0</v>
      </c>
      <c r="CBF19">
        <f t="shared" si="1424"/>
        <v>0</v>
      </c>
      <c r="CBG19">
        <f t="shared" si="1425"/>
        <v>0</v>
      </c>
      <c r="CBH19">
        <f t="shared" si="1426"/>
        <v>0</v>
      </c>
      <c r="CBI19">
        <f t="shared" si="1427"/>
        <v>0</v>
      </c>
      <c r="CBJ19">
        <f t="shared" si="1428"/>
        <v>0</v>
      </c>
      <c r="CBK19">
        <f t="shared" si="1429"/>
        <v>0</v>
      </c>
      <c r="CBL19">
        <f t="shared" si="1430"/>
        <v>0</v>
      </c>
      <c r="CBM19">
        <f t="shared" si="1431"/>
        <v>0</v>
      </c>
      <c r="CBN19">
        <f t="shared" si="1432"/>
        <v>0</v>
      </c>
      <c r="CBO19">
        <f t="shared" si="1433"/>
        <v>0</v>
      </c>
      <c r="CBP19">
        <f t="shared" si="1434"/>
        <v>0</v>
      </c>
      <c r="CBQ19">
        <f t="shared" si="1435"/>
        <v>0</v>
      </c>
      <c r="CBR19">
        <f t="shared" si="1436"/>
        <v>0</v>
      </c>
      <c r="CBS19">
        <f t="shared" si="1437"/>
        <v>0</v>
      </c>
      <c r="CBT19">
        <f t="shared" si="1438"/>
        <v>0</v>
      </c>
      <c r="CBU19">
        <f t="shared" si="1439"/>
        <v>0</v>
      </c>
      <c r="CBV19">
        <f t="shared" si="1440"/>
        <v>0</v>
      </c>
      <c r="CBW19">
        <f t="shared" si="1441"/>
        <v>0</v>
      </c>
      <c r="CBX19">
        <f t="shared" si="1442"/>
        <v>0</v>
      </c>
      <c r="CBY19">
        <f t="shared" si="1443"/>
        <v>0</v>
      </c>
      <c r="CBZ19">
        <f t="shared" si="1444"/>
        <v>0</v>
      </c>
      <c r="CCA19">
        <f t="shared" si="1445"/>
        <v>0</v>
      </c>
      <c r="CCB19">
        <f t="shared" si="1446"/>
        <v>0</v>
      </c>
      <c r="CCC19">
        <f t="shared" si="1447"/>
        <v>0</v>
      </c>
      <c r="CCD19">
        <f t="shared" si="1448"/>
        <v>0</v>
      </c>
      <c r="CCE19">
        <f t="shared" si="1449"/>
        <v>0</v>
      </c>
      <c r="CCF19">
        <f t="shared" si="1450"/>
        <v>0</v>
      </c>
      <c r="CCG19">
        <f t="shared" si="1451"/>
        <v>0</v>
      </c>
      <c r="CCH19">
        <f t="shared" si="55"/>
        <v>0</v>
      </c>
      <c r="CCI19">
        <f t="shared" si="1452"/>
        <v>0</v>
      </c>
      <c r="CCJ19">
        <f t="shared" si="1453"/>
        <v>0</v>
      </c>
      <c r="CCK19">
        <f t="shared" si="1454"/>
        <v>0</v>
      </c>
      <c r="CCL19">
        <f t="shared" si="1455"/>
        <v>0</v>
      </c>
      <c r="CCM19">
        <f t="shared" si="1456"/>
        <v>0</v>
      </c>
      <c r="CCN19">
        <f t="shared" si="1457"/>
        <v>0</v>
      </c>
      <c r="CCO19">
        <f t="shared" si="1458"/>
        <v>0</v>
      </c>
      <c r="CCP19">
        <f t="shared" si="1459"/>
        <v>0</v>
      </c>
      <c r="CCQ19">
        <f t="shared" si="1460"/>
        <v>0</v>
      </c>
      <c r="CCR19">
        <f t="shared" si="1461"/>
        <v>0</v>
      </c>
      <c r="CCS19">
        <f t="shared" si="1462"/>
        <v>0</v>
      </c>
      <c r="CCT19">
        <f t="shared" si="1463"/>
        <v>0</v>
      </c>
      <c r="CCU19">
        <f t="shared" si="1464"/>
        <v>0</v>
      </c>
      <c r="CCV19">
        <f t="shared" si="1465"/>
        <v>0</v>
      </c>
      <c r="CCW19">
        <f t="shared" si="1466"/>
        <v>0</v>
      </c>
      <c r="CCX19">
        <f t="shared" si="1467"/>
        <v>0</v>
      </c>
      <c r="CCY19">
        <f t="shared" si="1468"/>
        <v>0</v>
      </c>
      <c r="CCZ19">
        <f t="shared" si="1469"/>
        <v>0</v>
      </c>
      <c r="CDA19">
        <f t="shared" si="1470"/>
        <v>0</v>
      </c>
      <c r="CDB19">
        <f t="shared" si="1471"/>
        <v>0</v>
      </c>
      <c r="CDC19">
        <f t="shared" si="1472"/>
        <v>0</v>
      </c>
      <c r="CDD19">
        <f t="shared" si="1473"/>
        <v>0</v>
      </c>
      <c r="CDE19">
        <f t="shared" si="1474"/>
        <v>0</v>
      </c>
      <c r="CDF19">
        <f t="shared" si="1475"/>
        <v>0</v>
      </c>
      <c r="CDG19">
        <f t="shared" si="1476"/>
        <v>0</v>
      </c>
      <c r="CDH19">
        <f t="shared" si="1477"/>
        <v>0</v>
      </c>
      <c r="CDI19">
        <f t="shared" si="1478"/>
        <v>0</v>
      </c>
      <c r="CDJ19">
        <f t="shared" si="1479"/>
        <v>0</v>
      </c>
      <c r="CDK19">
        <f t="shared" si="1480"/>
        <v>0</v>
      </c>
      <c r="CDL19">
        <f t="shared" si="1481"/>
        <v>0</v>
      </c>
      <c r="CDM19">
        <f t="shared" si="1482"/>
        <v>0</v>
      </c>
      <c r="CDN19">
        <f t="shared" si="1483"/>
        <v>0</v>
      </c>
      <c r="CDO19">
        <f t="shared" si="1484"/>
        <v>0</v>
      </c>
      <c r="CDP19">
        <f t="shared" si="1485"/>
        <v>0</v>
      </c>
      <c r="CDQ19">
        <f t="shared" si="1486"/>
        <v>0</v>
      </c>
      <c r="CDR19">
        <f t="shared" si="1487"/>
        <v>0</v>
      </c>
      <c r="CDS19">
        <f t="shared" si="1488"/>
        <v>0</v>
      </c>
      <c r="CDT19">
        <f t="shared" si="1489"/>
        <v>0</v>
      </c>
      <c r="CDU19">
        <f t="shared" si="1490"/>
        <v>0</v>
      </c>
      <c r="CDV19">
        <f t="shared" si="1491"/>
        <v>0</v>
      </c>
      <c r="CDW19">
        <f t="shared" si="1492"/>
        <v>0</v>
      </c>
      <c r="CDX19">
        <f t="shared" si="1493"/>
        <v>0</v>
      </c>
      <c r="CDY19">
        <f t="shared" si="1494"/>
        <v>0</v>
      </c>
      <c r="CDZ19">
        <f t="shared" si="1495"/>
        <v>0</v>
      </c>
      <c r="CEA19">
        <f t="shared" si="1496"/>
        <v>0</v>
      </c>
      <c r="CEB19">
        <f t="shared" si="1497"/>
        <v>0</v>
      </c>
      <c r="CEC19">
        <f t="shared" si="1498"/>
        <v>0</v>
      </c>
      <c r="CED19">
        <f t="shared" si="1499"/>
        <v>0</v>
      </c>
      <c r="CEE19">
        <f t="shared" si="1500"/>
        <v>0</v>
      </c>
      <c r="CEF19">
        <f t="shared" si="1501"/>
        <v>0</v>
      </c>
      <c r="CEG19">
        <f t="shared" si="1502"/>
        <v>0</v>
      </c>
      <c r="CEH19">
        <f t="shared" si="1503"/>
        <v>0</v>
      </c>
      <c r="CEI19">
        <f t="shared" si="1504"/>
        <v>0</v>
      </c>
      <c r="CEJ19">
        <f t="shared" si="1505"/>
        <v>0</v>
      </c>
      <c r="CEK19">
        <f t="shared" si="1506"/>
        <v>0</v>
      </c>
      <c r="CEL19">
        <f t="shared" si="1507"/>
        <v>0</v>
      </c>
      <c r="CEM19">
        <f t="shared" si="1508"/>
        <v>0</v>
      </c>
      <c r="CEN19">
        <f t="shared" si="1509"/>
        <v>0</v>
      </c>
      <c r="CEO19">
        <f t="shared" si="1510"/>
        <v>0</v>
      </c>
      <c r="CEP19">
        <f t="shared" si="1511"/>
        <v>0</v>
      </c>
      <c r="CEQ19">
        <f t="shared" si="1512"/>
        <v>0</v>
      </c>
      <c r="CER19">
        <f t="shared" si="1513"/>
        <v>0</v>
      </c>
      <c r="CES19">
        <f t="shared" si="1514"/>
        <v>0</v>
      </c>
      <c r="CET19">
        <f t="shared" si="56"/>
        <v>0</v>
      </c>
      <c r="CEU19">
        <f t="shared" si="1515"/>
        <v>0</v>
      </c>
      <c r="CEV19">
        <f t="shared" si="1516"/>
        <v>0</v>
      </c>
      <c r="CEW19">
        <f t="shared" si="1517"/>
        <v>0</v>
      </c>
      <c r="CEX19">
        <f t="shared" si="1518"/>
        <v>0</v>
      </c>
      <c r="CEY19">
        <f t="shared" si="1519"/>
        <v>0</v>
      </c>
      <c r="CEZ19">
        <f t="shared" si="1520"/>
        <v>0</v>
      </c>
      <c r="CFA19">
        <f t="shared" si="1521"/>
        <v>0</v>
      </c>
      <c r="CFB19">
        <f t="shared" si="1522"/>
        <v>0</v>
      </c>
      <c r="CFC19">
        <f t="shared" si="1523"/>
        <v>0</v>
      </c>
      <c r="CFD19">
        <f t="shared" si="1524"/>
        <v>0</v>
      </c>
      <c r="CFE19">
        <f t="shared" si="1525"/>
        <v>0</v>
      </c>
      <c r="CFF19">
        <f t="shared" si="1526"/>
        <v>0</v>
      </c>
      <c r="CFG19">
        <f t="shared" si="1527"/>
        <v>0</v>
      </c>
      <c r="CFH19">
        <f t="shared" si="1528"/>
        <v>0</v>
      </c>
      <c r="CFI19">
        <f t="shared" si="1529"/>
        <v>0</v>
      </c>
      <c r="CFJ19">
        <f t="shared" si="1530"/>
        <v>0</v>
      </c>
      <c r="CFK19">
        <f t="shared" si="1531"/>
        <v>0</v>
      </c>
      <c r="CFL19">
        <f t="shared" si="1532"/>
        <v>0</v>
      </c>
      <c r="CFM19">
        <f t="shared" si="1533"/>
        <v>0</v>
      </c>
      <c r="CFN19">
        <f t="shared" si="1534"/>
        <v>0</v>
      </c>
      <c r="CFO19">
        <f t="shared" si="1535"/>
        <v>0</v>
      </c>
      <c r="CFP19">
        <f t="shared" si="1536"/>
        <v>0</v>
      </c>
      <c r="CFQ19">
        <f t="shared" si="1537"/>
        <v>0</v>
      </c>
      <c r="CFR19">
        <f t="shared" si="1538"/>
        <v>0</v>
      </c>
      <c r="CFS19">
        <f t="shared" si="1539"/>
        <v>0</v>
      </c>
      <c r="CFT19">
        <f t="shared" si="1540"/>
        <v>0</v>
      </c>
      <c r="CFU19">
        <f t="shared" si="1541"/>
        <v>0</v>
      </c>
      <c r="CFV19">
        <f t="shared" si="1542"/>
        <v>0</v>
      </c>
      <c r="CFW19">
        <f t="shared" si="1543"/>
        <v>0</v>
      </c>
      <c r="CFX19">
        <f t="shared" si="1544"/>
        <v>0</v>
      </c>
      <c r="CFY19">
        <f t="shared" si="1545"/>
        <v>0</v>
      </c>
      <c r="CFZ19">
        <f t="shared" si="1546"/>
        <v>0</v>
      </c>
      <c r="CGA19">
        <f t="shared" si="1547"/>
        <v>0</v>
      </c>
      <c r="CGB19">
        <f t="shared" si="1548"/>
        <v>0</v>
      </c>
      <c r="CGC19">
        <f t="shared" si="1549"/>
        <v>0</v>
      </c>
      <c r="CGD19">
        <f t="shared" si="1550"/>
        <v>0</v>
      </c>
      <c r="CGE19">
        <f t="shared" si="1551"/>
        <v>0</v>
      </c>
      <c r="CGF19">
        <f t="shared" si="1552"/>
        <v>0</v>
      </c>
      <c r="CGG19">
        <f t="shared" si="1553"/>
        <v>0</v>
      </c>
      <c r="CGH19">
        <f t="shared" si="1554"/>
        <v>0</v>
      </c>
      <c r="CGI19">
        <f t="shared" si="1555"/>
        <v>0</v>
      </c>
      <c r="CGJ19">
        <f t="shared" si="1556"/>
        <v>0</v>
      </c>
      <c r="CGK19">
        <f t="shared" si="1557"/>
        <v>0</v>
      </c>
      <c r="CGL19">
        <f t="shared" si="1558"/>
        <v>0</v>
      </c>
      <c r="CGM19">
        <f t="shared" si="1559"/>
        <v>0</v>
      </c>
      <c r="CGN19">
        <f t="shared" si="1560"/>
        <v>0</v>
      </c>
      <c r="CGO19">
        <f t="shared" si="1561"/>
        <v>0</v>
      </c>
      <c r="CGP19">
        <f t="shared" si="1562"/>
        <v>0</v>
      </c>
      <c r="CGQ19">
        <f t="shared" si="1563"/>
        <v>0</v>
      </c>
      <c r="CGR19">
        <f t="shared" si="1564"/>
        <v>0</v>
      </c>
      <c r="CGS19">
        <f t="shared" si="1565"/>
        <v>0</v>
      </c>
      <c r="CGT19">
        <f t="shared" si="1566"/>
        <v>0</v>
      </c>
      <c r="CGU19">
        <f t="shared" si="1567"/>
        <v>0</v>
      </c>
      <c r="CGV19">
        <f t="shared" si="1568"/>
        <v>0</v>
      </c>
      <c r="CGW19">
        <f t="shared" si="1569"/>
        <v>0</v>
      </c>
      <c r="CGX19">
        <f t="shared" si="1570"/>
        <v>0</v>
      </c>
      <c r="CGY19">
        <f t="shared" si="1571"/>
        <v>0</v>
      </c>
      <c r="CGZ19">
        <f t="shared" si="1572"/>
        <v>0</v>
      </c>
      <c r="CHA19">
        <f t="shared" si="1573"/>
        <v>0</v>
      </c>
      <c r="CHB19">
        <f t="shared" si="1574"/>
        <v>0</v>
      </c>
      <c r="CHC19">
        <f t="shared" si="1575"/>
        <v>0</v>
      </c>
      <c r="CHD19">
        <f t="shared" si="1576"/>
        <v>0</v>
      </c>
      <c r="CHE19">
        <f t="shared" si="1577"/>
        <v>0</v>
      </c>
      <c r="CHF19">
        <f t="shared" si="57"/>
        <v>0</v>
      </c>
      <c r="CHG19">
        <f t="shared" si="1578"/>
        <v>0</v>
      </c>
      <c r="CHH19">
        <f t="shared" si="1579"/>
        <v>0</v>
      </c>
      <c r="CHI19">
        <f t="shared" si="1580"/>
        <v>0</v>
      </c>
      <c r="CHJ19">
        <f t="shared" si="1581"/>
        <v>0</v>
      </c>
      <c r="CHK19">
        <f t="shared" si="1582"/>
        <v>0</v>
      </c>
      <c r="CHL19">
        <f t="shared" si="1583"/>
        <v>0</v>
      </c>
      <c r="CHM19">
        <f t="shared" si="1584"/>
        <v>0</v>
      </c>
      <c r="CHN19">
        <f t="shared" si="1585"/>
        <v>0</v>
      </c>
      <c r="CHO19">
        <f t="shared" si="1586"/>
        <v>0</v>
      </c>
      <c r="CHP19">
        <f t="shared" si="1587"/>
        <v>0</v>
      </c>
      <c r="CHQ19">
        <f t="shared" si="1588"/>
        <v>0</v>
      </c>
      <c r="CHR19">
        <f t="shared" si="1589"/>
        <v>0</v>
      </c>
      <c r="CHS19">
        <f t="shared" si="1590"/>
        <v>0</v>
      </c>
      <c r="CHT19">
        <f t="shared" si="1591"/>
        <v>0</v>
      </c>
      <c r="CHU19">
        <f t="shared" si="1592"/>
        <v>0</v>
      </c>
      <c r="CHV19">
        <f t="shared" si="1593"/>
        <v>0</v>
      </c>
      <c r="CHW19">
        <f t="shared" si="1594"/>
        <v>0</v>
      </c>
      <c r="CHX19">
        <f t="shared" si="1595"/>
        <v>0</v>
      </c>
      <c r="CHY19">
        <f t="shared" si="1596"/>
        <v>0</v>
      </c>
      <c r="CHZ19">
        <f t="shared" si="1597"/>
        <v>0</v>
      </c>
      <c r="CIA19">
        <f t="shared" si="1598"/>
        <v>0</v>
      </c>
      <c r="CIB19">
        <f t="shared" si="1599"/>
        <v>0</v>
      </c>
      <c r="CIC19">
        <f t="shared" si="1600"/>
        <v>0</v>
      </c>
      <c r="CID19">
        <f t="shared" si="1601"/>
        <v>0</v>
      </c>
      <c r="CIE19">
        <f t="shared" si="1602"/>
        <v>0</v>
      </c>
      <c r="CIF19">
        <f t="shared" si="1603"/>
        <v>0</v>
      </c>
      <c r="CIG19">
        <f t="shared" si="1604"/>
        <v>0</v>
      </c>
      <c r="CIH19">
        <f t="shared" si="1605"/>
        <v>0</v>
      </c>
      <c r="CII19">
        <f t="shared" si="1606"/>
        <v>0</v>
      </c>
      <c r="CIJ19">
        <f t="shared" si="1607"/>
        <v>0</v>
      </c>
      <c r="CIK19">
        <f t="shared" si="1608"/>
        <v>0</v>
      </c>
      <c r="CIL19">
        <f t="shared" si="1609"/>
        <v>0</v>
      </c>
      <c r="CIM19">
        <f t="shared" si="1610"/>
        <v>0</v>
      </c>
      <c r="CIN19">
        <f t="shared" si="1611"/>
        <v>0</v>
      </c>
      <c r="CIO19">
        <f t="shared" si="1612"/>
        <v>0</v>
      </c>
      <c r="CIP19">
        <f t="shared" si="1613"/>
        <v>0</v>
      </c>
      <c r="CIQ19">
        <f t="shared" si="1614"/>
        <v>0</v>
      </c>
      <c r="CIR19">
        <f t="shared" si="1615"/>
        <v>0</v>
      </c>
      <c r="CIS19">
        <f t="shared" si="1616"/>
        <v>0</v>
      </c>
      <c r="CIT19">
        <f t="shared" si="1617"/>
        <v>0</v>
      </c>
      <c r="CIU19">
        <f t="shared" si="1618"/>
        <v>0</v>
      </c>
      <c r="CIV19">
        <f t="shared" si="1619"/>
        <v>0</v>
      </c>
      <c r="CIW19">
        <f t="shared" si="1620"/>
        <v>0</v>
      </c>
      <c r="CIX19">
        <f t="shared" si="1621"/>
        <v>0</v>
      </c>
      <c r="CIY19">
        <f t="shared" si="1622"/>
        <v>0</v>
      </c>
      <c r="CIZ19">
        <f t="shared" si="1623"/>
        <v>0</v>
      </c>
      <c r="CJA19">
        <f t="shared" si="1624"/>
        <v>0</v>
      </c>
      <c r="CJB19">
        <f t="shared" si="1625"/>
        <v>0</v>
      </c>
      <c r="CJC19">
        <f t="shared" si="1626"/>
        <v>0</v>
      </c>
      <c r="CJD19">
        <f t="shared" si="1627"/>
        <v>0</v>
      </c>
      <c r="CJE19">
        <f t="shared" si="1628"/>
        <v>0</v>
      </c>
      <c r="CJF19">
        <f t="shared" si="1629"/>
        <v>0</v>
      </c>
      <c r="CJG19">
        <f t="shared" si="1630"/>
        <v>0</v>
      </c>
      <c r="CJH19">
        <f t="shared" si="1631"/>
        <v>0</v>
      </c>
      <c r="CJI19">
        <f t="shared" si="1632"/>
        <v>0</v>
      </c>
      <c r="CJJ19">
        <f t="shared" si="1633"/>
        <v>0</v>
      </c>
      <c r="CJK19">
        <f t="shared" si="1634"/>
        <v>0</v>
      </c>
      <c r="CJL19">
        <f t="shared" si="1635"/>
        <v>0</v>
      </c>
      <c r="CJM19">
        <f t="shared" si="1636"/>
        <v>0</v>
      </c>
      <c r="CJN19">
        <f t="shared" si="1637"/>
        <v>0</v>
      </c>
      <c r="CJO19">
        <f t="shared" si="1638"/>
        <v>0</v>
      </c>
      <c r="CJP19">
        <f t="shared" si="1639"/>
        <v>0</v>
      </c>
      <c r="CJQ19">
        <f t="shared" si="1640"/>
        <v>0</v>
      </c>
      <c r="CJR19">
        <f t="shared" si="58"/>
        <v>0</v>
      </c>
      <c r="CJS19">
        <f t="shared" si="1641"/>
        <v>0</v>
      </c>
      <c r="CJT19">
        <f t="shared" si="1642"/>
        <v>0</v>
      </c>
      <c r="CJU19">
        <f t="shared" si="1643"/>
        <v>0</v>
      </c>
      <c r="CJV19">
        <f t="shared" si="1644"/>
        <v>0</v>
      </c>
      <c r="CJW19">
        <f t="shared" si="1645"/>
        <v>0</v>
      </c>
      <c r="CJX19">
        <f t="shared" si="1646"/>
        <v>0</v>
      </c>
      <c r="CJY19">
        <f t="shared" si="1647"/>
        <v>0</v>
      </c>
      <c r="CJZ19">
        <f t="shared" si="1648"/>
        <v>0</v>
      </c>
      <c r="CKA19">
        <f t="shared" si="1649"/>
        <v>0</v>
      </c>
      <c r="CKB19">
        <f t="shared" si="1650"/>
        <v>0</v>
      </c>
      <c r="CKC19">
        <f t="shared" si="1651"/>
        <v>0</v>
      </c>
      <c r="CKD19">
        <f t="shared" si="1652"/>
        <v>0</v>
      </c>
      <c r="CKE19">
        <f t="shared" si="1653"/>
        <v>0</v>
      </c>
      <c r="CKF19">
        <f t="shared" si="1654"/>
        <v>0</v>
      </c>
      <c r="CKG19">
        <f t="shared" si="1655"/>
        <v>0</v>
      </c>
      <c r="CKH19">
        <f t="shared" si="1656"/>
        <v>0</v>
      </c>
      <c r="CKI19">
        <f t="shared" si="1657"/>
        <v>0</v>
      </c>
      <c r="CKJ19">
        <f t="shared" si="1658"/>
        <v>0</v>
      </c>
      <c r="CKK19">
        <f t="shared" si="1659"/>
        <v>0</v>
      </c>
      <c r="CKL19">
        <f t="shared" si="1660"/>
        <v>0</v>
      </c>
      <c r="CKM19">
        <f t="shared" si="1661"/>
        <v>0</v>
      </c>
      <c r="CKN19">
        <f t="shared" si="1662"/>
        <v>0</v>
      </c>
      <c r="CKO19">
        <f t="shared" si="1663"/>
        <v>0</v>
      </c>
      <c r="CKP19">
        <f t="shared" si="1664"/>
        <v>0</v>
      </c>
      <c r="CKQ19">
        <f t="shared" si="1665"/>
        <v>0</v>
      </c>
      <c r="CKR19">
        <f t="shared" si="1666"/>
        <v>0</v>
      </c>
      <c r="CKS19">
        <f t="shared" si="1667"/>
        <v>0</v>
      </c>
      <c r="CKT19">
        <f t="shared" si="1668"/>
        <v>0</v>
      </c>
      <c r="CKU19">
        <f t="shared" si="1669"/>
        <v>0</v>
      </c>
      <c r="CKV19">
        <f t="shared" si="1670"/>
        <v>0</v>
      </c>
      <c r="CKW19">
        <f t="shared" si="1671"/>
        <v>0</v>
      </c>
      <c r="CKX19">
        <f t="shared" si="1672"/>
        <v>0</v>
      </c>
      <c r="CKY19">
        <f t="shared" si="1673"/>
        <v>0</v>
      </c>
      <c r="CKZ19">
        <f t="shared" si="1674"/>
        <v>0</v>
      </c>
      <c r="CLA19">
        <f t="shared" si="1675"/>
        <v>0</v>
      </c>
      <c r="CLB19">
        <f t="shared" si="1676"/>
        <v>0</v>
      </c>
      <c r="CLC19">
        <f t="shared" si="1677"/>
        <v>0</v>
      </c>
      <c r="CLD19">
        <f t="shared" si="1678"/>
        <v>0</v>
      </c>
      <c r="CLE19">
        <f t="shared" si="1679"/>
        <v>0</v>
      </c>
      <c r="CLF19">
        <f t="shared" si="1680"/>
        <v>0</v>
      </c>
      <c r="CLG19">
        <f t="shared" si="1681"/>
        <v>0</v>
      </c>
      <c r="CLH19">
        <f t="shared" si="1682"/>
        <v>0</v>
      </c>
      <c r="CLI19">
        <f t="shared" si="1683"/>
        <v>0</v>
      </c>
      <c r="CLJ19">
        <f t="shared" si="1684"/>
        <v>0</v>
      </c>
      <c r="CLK19">
        <f t="shared" si="1685"/>
        <v>0</v>
      </c>
      <c r="CLL19">
        <f t="shared" si="1686"/>
        <v>0</v>
      </c>
      <c r="CLM19">
        <f t="shared" si="1687"/>
        <v>0</v>
      </c>
      <c r="CLN19">
        <f t="shared" si="1688"/>
        <v>0</v>
      </c>
      <c r="CLO19">
        <f t="shared" si="1689"/>
        <v>0</v>
      </c>
      <c r="CLP19">
        <f t="shared" si="1690"/>
        <v>0</v>
      </c>
      <c r="CLQ19">
        <f t="shared" si="1691"/>
        <v>0</v>
      </c>
      <c r="CLR19">
        <f t="shared" si="1692"/>
        <v>0</v>
      </c>
      <c r="CLS19">
        <f t="shared" si="1693"/>
        <v>0</v>
      </c>
      <c r="CLT19">
        <f t="shared" si="1694"/>
        <v>0</v>
      </c>
      <c r="CLU19">
        <f t="shared" si="1695"/>
        <v>0</v>
      </c>
      <c r="CLV19">
        <f t="shared" si="1696"/>
        <v>0</v>
      </c>
      <c r="CLW19">
        <f t="shared" si="1697"/>
        <v>0</v>
      </c>
      <c r="CLX19">
        <f t="shared" si="1698"/>
        <v>0</v>
      </c>
      <c r="CLY19">
        <f t="shared" si="1699"/>
        <v>0</v>
      </c>
      <c r="CLZ19">
        <f t="shared" si="1700"/>
        <v>0</v>
      </c>
      <c r="CMA19">
        <f t="shared" si="1701"/>
        <v>0</v>
      </c>
      <c r="CMB19">
        <f t="shared" si="1702"/>
        <v>0</v>
      </c>
      <c r="CMC19">
        <f t="shared" si="1703"/>
        <v>0</v>
      </c>
      <c r="CMD19">
        <f t="shared" si="59"/>
        <v>0</v>
      </c>
      <c r="CME19">
        <f t="shared" si="1704"/>
        <v>0</v>
      </c>
      <c r="CMF19">
        <f t="shared" si="1705"/>
        <v>0</v>
      </c>
      <c r="CMG19">
        <f t="shared" si="1706"/>
        <v>0</v>
      </c>
      <c r="CMH19">
        <f t="shared" si="1707"/>
        <v>0</v>
      </c>
      <c r="CMI19">
        <f t="shared" si="1708"/>
        <v>0</v>
      </c>
      <c r="CMJ19">
        <f t="shared" si="1709"/>
        <v>0</v>
      </c>
      <c r="CMK19">
        <f t="shared" si="1710"/>
        <v>0</v>
      </c>
      <c r="CML19">
        <f t="shared" si="1711"/>
        <v>0</v>
      </c>
      <c r="CMM19">
        <f t="shared" si="1712"/>
        <v>0</v>
      </c>
      <c r="CMN19">
        <f t="shared" si="1713"/>
        <v>0</v>
      </c>
      <c r="CMO19">
        <f t="shared" si="1714"/>
        <v>0</v>
      </c>
      <c r="CMP19">
        <f t="shared" si="1715"/>
        <v>0</v>
      </c>
      <c r="CMQ19">
        <f t="shared" si="1716"/>
        <v>0</v>
      </c>
      <c r="CMR19">
        <f t="shared" si="1717"/>
        <v>0</v>
      </c>
      <c r="CMS19">
        <f t="shared" si="1718"/>
        <v>0</v>
      </c>
      <c r="CMT19">
        <f t="shared" si="1719"/>
        <v>0</v>
      </c>
      <c r="CMU19">
        <f t="shared" si="1720"/>
        <v>0</v>
      </c>
      <c r="CMV19">
        <f t="shared" si="1721"/>
        <v>0</v>
      </c>
      <c r="CMW19">
        <f t="shared" si="1722"/>
        <v>0</v>
      </c>
      <c r="CMX19">
        <f t="shared" si="1723"/>
        <v>0</v>
      </c>
      <c r="CMY19">
        <f t="shared" si="1724"/>
        <v>0</v>
      </c>
      <c r="CMZ19">
        <f t="shared" si="1725"/>
        <v>0</v>
      </c>
      <c r="CNA19">
        <f t="shared" si="1726"/>
        <v>0</v>
      </c>
      <c r="CNB19">
        <f t="shared" si="1727"/>
        <v>0</v>
      </c>
      <c r="CNC19">
        <f t="shared" si="1728"/>
        <v>0</v>
      </c>
      <c r="CND19">
        <f t="shared" si="1729"/>
        <v>0</v>
      </c>
      <c r="CNE19">
        <f t="shared" si="1730"/>
        <v>0</v>
      </c>
      <c r="CNF19">
        <f t="shared" si="1731"/>
        <v>0</v>
      </c>
      <c r="CNG19">
        <f t="shared" si="1732"/>
        <v>0</v>
      </c>
      <c r="CNH19">
        <f t="shared" si="1733"/>
        <v>0</v>
      </c>
      <c r="CNI19">
        <f t="shared" si="1734"/>
        <v>0</v>
      </c>
      <c r="CNJ19">
        <f t="shared" si="1735"/>
        <v>0</v>
      </c>
      <c r="CNK19">
        <f t="shared" si="1736"/>
        <v>0</v>
      </c>
      <c r="CNL19">
        <f t="shared" si="1737"/>
        <v>0</v>
      </c>
      <c r="CNM19">
        <f t="shared" si="1738"/>
        <v>0</v>
      </c>
      <c r="CNN19">
        <f t="shared" si="1739"/>
        <v>0</v>
      </c>
      <c r="CNO19">
        <f t="shared" si="1740"/>
        <v>0</v>
      </c>
      <c r="CNP19">
        <f t="shared" si="1741"/>
        <v>0</v>
      </c>
      <c r="CNQ19">
        <f t="shared" si="1742"/>
        <v>0</v>
      </c>
      <c r="CNR19">
        <f t="shared" si="1743"/>
        <v>0</v>
      </c>
      <c r="CNS19">
        <f t="shared" si="1744"/>
        <v>0</v>
      </c>
      <c r="CNT19">
        <f t="shared" si="1745"/>
        <v>0</v>
      </c>
      <c r="CNU19">
        <f t="shared" si="1746"/>
        <v>0</v>
      </c>
      <c r="CNV19">
        <f t="shared" si="1747"/>
        <v>0</v>
      </c>
      <c r="CNW19">
        <f t="shared" si="1748"/>
        <v>0</v>
      </c>
      <c r="CNX19">
        <f t="shared" si="1749"/>
        <v>0</v>
      </c>
      <c r="CNY19">
        <f t="shared" si="1750"/>
        <v>0</v>
      </c>
      <c r="CNZ19">
        <f t="shared" si="1751"/>
        <v>0</v>
      </c>
      <c r="COA19">
        <f t="shared" si="1752"/>
        <v>0</v>
      </c>
      <c r="COB19">
        <f t="shared" si="1753"/>
        <v>0</v>
      </c>
      <c r="COC19">
        <f t="shared" si="1754"/>
        <v>0</v>
      </c>
      <c r="COD19">
        <f t="shared" si="1755"/>
        <v>0</v>
      </c>
      <c r="COE19">
        <f t="shared" si="1756"/>
        <v>0</v>
      </c>
      <c r="COF19">
        <f t="shared" si="1757"/>
        <v>0</v>
      </c>
      <c r="COG19">
        <f t="shared" si="1758"/>
        <v>0</v>
      </c>
      <c r="COH19">
        <f t="shared" si="1759"/>
        <v>0</v>
      </c>
      <c r="COI19">
        <f t="shared" si="1760"/>
        <v>0</v>
      </c>
      <c r="COJ19">
        <f t="shared" si="1761"/>
        <v>0</v>
      </c>
      <c r="COK19">
        <f t="shared" si="1762"/>
        <v>0</v>
      </c>
      <c r="COL19">
        <f t="shared" si="1763"/>
        <v>0</v>
      </c>
      <c r="COM19">
        <f t="shared" si="1764"/>
        <v>0</v>
      </c>
      <c r="CON19">
        <f t="shared" si="1765"/>
        <v>0</v>
      </c>
      <c r="COO19">
        <f t="shared" si="1766"/>
        <v>0</v>
      </c>
      <c r="COP19">
        <f t="shared" si="60"/>
        <v>0</v>
      </c>
      <c r="COQ19">
        <f t="shared" si="1767"/>
        <v>0</v>
      </c>
      <c r="COR19">
        <f t="shared" si="1768"/>
        <v>0</v>
      </c>
      <c r="COS19">
        <f t="shared" si="1769"/>
        <v>0</v>
      </c>
      <c r="COT19">
        <f t="shared" si="1770"/>
        <v>0</v>
      </c>
      <c r="COU19">
        <f t="shared" si="1771"/>
        <v>0</v>
      </c>
      <c r="COV19">
        <f t="shared" si="1772"/>
        <v>0</v>
      </c>
      <c r="COW19">
        <f t="shared" si="1773"/>
        <v>0</v>
      </c>
      <c r="COX19">
        <f t="shared" si="1774"/>
        <v>0</v>
      </c>
      <c r="COY19">
        <f t="shared" si="1775"/>
        <v>0</v>
      </c>
      <c r="COZ19">
        <f t="shared" si="1776"/>
        <v>0</v>
      </c>
      <c r="CPA19">
        <f t="shared" si="1777"/>
        <v>0</v>
      </c>
      <c r="CPB19">
        <f t="shared" si="1778"/>
        <v>0</v>
      </c>
      <c r="CPC19">
        <f t="shared" si="1779"/>
        <v>0</v>
      </c>
      <c r="CPD19">
        <f t="shared" si="1780"/>
        <v>0</v>
      </c>
      <c r="CPE19">
        <f t="shared" si="1781"/>
        <v>0</v>
      </c>
      <c r="CPF19">
        <f t="shared" si="1782"/>
        <v>0</v>
      </c>
      <c r="CPG19">
        <f t="shared" si="1783"/>
        <v>0</v>
      </c>
      <c r="CPH19">
        <f t="shared" si="1784"/>
        <v>0</v>
      </c>
      <c r="CPI19">
        <f t="shared" si="1785"/>
        <v>0</v>
      </c>
      <c r="CPJ19">
        <f t="shared" si="1786"/>
        <v>0</v>
      </c>
      <c r="CPK19">
        <f t="shared" si="1787"/>
        <v>0</v>
      </c>
      <c r="CPL19">
        <f t="shared" si="1788"/>
        <v>0</v>
      </c>
      <c r="CPM19">
        <f t="shared" si="1789"/>
        <v>0</v>
      </c>
      <c r="CPN19">
        <f t="shared" si="1790"/>
        <v>0</v>
      </c>
      <c r="CPO19">
        <f t="shared" si="1791"/>
        <v>0</v>
      </c>
      <c r="CPP19">
        <f t="shared" si="1792"/>
        <v>0</v>
      </c>
      <c r="CPQ19">
        <f t="shared" si="1793"/>
        <v>0</v>
      </c>
      <c r="CPR19">
        <f t="shared" si="1794"/>
        <v>0</v>
      </c>
      <c r="CPS19">
        <f t="shared" si="1795"/>
        <v>0</v>
      </c>
      <c r="CPT19">
        <f t="shared" si="1796"/>
        <v>0</v>
      </c>
      <c r="CPU19">
        <f t="shared" si="1797"/>
        <v>0</v>
      </c>
      <c r="CPV19">
        <f t="shared" si="1798"/>
        <v>0</v>
      </c>
      <c r="CPW19">
        <f t="shared" si="1799"/>
        <v>0</v>
      </c>
      <c r="CPX19">
        <f t="shared" si="1800"/>
        <v>0</v>
      </c>
      <c r="CPY19">
        <f t="shared" si="1801"/>
        <v>0</v>
      </c>
      <c r="CPZ19">
        <f t="shared" si="1802"/>
        <v>0</v>
      </c>
      <c r="CQA19">
        <f t="shared" si="1803"/>
        <v>0</v>
      </c>
      <c r="CQB19">
        <f t="shared" si="1804"/>
        <v>0</v>
      </c>
      <c r="CQC19">
        <f t="shared" si="1805"/>
        <v>0</v>
      </c>
      <c r="CQD19">
        <f t="shared" si="1806"/>
        <v>0</v>
      </c>
      <c r="CQE19">
        <f t="shared" si="1807"/>
        <v>0</v>
      </c>
      <c r="CQF19">
        <f t="shared" si="1808"/>
        <v>0</v>
      </c>
      <c r="CQG19">
        <f t="shared" si="1809"/>
        <v>0</v>
      </c>
      <c r="CQH19">
        <f t="shared" si="1810"/>
        <v>0</v>
      </c>
      <c r="CQI19">
        <f t="shared" si="1811"/>
        <v>0</v>
      </c>
      <c r="CQJ19">
        <f t="shared" si="1812"/>
        <v>0</v>
      </c>
      <c r="CQK19">
        <f t="shared" si="1813"/>
        <v>0</v>
      </c>
      <c r="CQL19">
        <f t="shared" si="1814"/>
        <v>0</v>
      </c>
      <c r="CQM19">
        <f t="shared" si="1815"/>
        <v>0</v>
      </c>
      <c r="CQN19">
        <f t="shared" si="1816"/>
        <v>0</v>
      </c>
      <c r="CQO19">
        <f t="shared" si="1817"/>
        <v>0</v>
      </c>
      <c r="CQP19">
        <f t="shared" si="1818"/>
        <v>0</v>
      </c>
      <c r="CQQ19">
        <f t="shared" si="1819"/>
        <v>0</v>
      </c>
      <c r="CQR19">
        <f t="shared" si="1820"/>
        <v>0</v>
      </c>
      <c r="CQS19">
        <f t="shared" si="1821"/>
        <v>0</v>
      </c>
      <c r="CQT19">
        <f t="shared" si="1822"/>
        <v>0</v>
      </c>
      <c r="CQU19">
        <f t="shared" si="1823"/>
        <v>0</v>
      </c>
      <c r="CQV19">
        <f t="shared" si="1824"/>
        <v>0</v>
      </c>
      <c r="CQW19">
        <f t="shared" si="1825"/>
        <v>0</v>
      </c>
      <c r="CQX19">
        <f t="shared" si="1826"/>
        <v>0</v>
      </c>
      <c r="CQY19">
        <f t="shared" si="1827"/>
        <v>0</v>
      </c>
      <c r="CQZ19">
        <f t="shared" si="1828"/>
        <v>0</v>
      </c>
      <c r="CRA19">
        <f t="shared" si="1829"/>
        <v>0</v>
      </c>
      <c r="CRB19">
        <f t="shared" si="61"/>
        <v>0</v>
      </c>
      <c r="CRC19">
        <f t="shared" si="1830"/>
        <v>0</v>
      </c>
      <c r="CRD19">
        <f t="shared" si="1831"/>
        <v>0</v>
      </c>
      <c r="CRE19">
        <f t="shared" si="1832"/>
        <v>0</v>
      </c>
      <c r="CRF19">
        <f t="shared" si="1833"/>
        <v>0</v>
      </c>
      <c r="CRG19">
        <f t="shared" si="1834"/>
        <v>0</v>
      </c>
      <c r="CRH19">
        <f t="shared" si="1835"/>
        <v>0</v>
      </c>
      <c r="CRI19">
        <f t="shared" si="1836"/>
        <v>0</v>
      </c>
      <c r="CRJ19">
        <f t="shared" si="1837"/>
        <v>0</v>
      </c>
      <c r="CRK19">
        <f t="shared" si="1838"/>
        <v>0</v>
      </c>
      <c r="CRL19">
        <f t="shared" si="1839"/>
        <v>0</v>
      </c>
      <c r="CRM19">
        <f t="shared" si="1840"/>
        <v>0</v>
      </c>
      <c r="CRN19">
        <f t="shared" si="1841"/>
        <v>0</v>
      </c>
      <c r="CRO19">
        <f t="shared" si="1842"/>
        <v>0</v>
      </c>
      <c r="CRP19">
        <f t="shared" si="1843"/>
        <v>0</v>
      </c>
      <c r="CRQ19">
        <f t="shared" si="1844"/>
        <v>0</v>
      </c>
      <c r="CRR19">
        <f t="shared" si="1845"/>
        <v>0</v>
      </c>
      <c r="CRS19">
        <f t="shared" si="1846"/>
        <v>0</v>
      </c>
      <c r="CRT19">
        <f t="shared" si="1847"/>
        <v>0</v>
      </c>
      <c r="CRU19">
        <f t="shared" si="1848"/>
        <v>0</v>
      </c>
      <c r="CRV19">
        <f t="shared" si="1849"/>
        <v>0</v>
      </c>
      <c r="CRW19">
        <f t="shared" si="1850"/>
        <v>0</v>
      </c>
      <c r="CRX19">
        <f t="shared" si="1851"/>
        <v>0</v>
      </c>
      <c r="CRY19">
        <f t="shared" si="1852"/>
        <v>0</v>
      </c>
      <c r="CRZ19">
        <f t="shared" si="1853"/>
        <v>0</v>
      </c>
      <c r="CSA19">
        <f t="shared" si="1854"/>
        <v>0</v>
      </c>
      <c r="CSB19">
        <f t="shared" si="1855"/>
        <v>0</v>
      </c>
      <c r="CSC19">
        <f t="shared" si="1856"/>
        <v>0</v>
      </c>
      <c r="CSD19">
        <f t="shared" si="1857"/>
        <v>0</v>
      </c>
      <c r="CSE19">
        <f t="shared" si="1858"/>
        <v>0</v>
      </c>
      <c r="CSF19">
        <f t="shared" si="1859"/>
        <v>0</v>
      </c>
      <c r="CSG19">
        <f t="shared" si="1860"/>
        <v>0</v>
      </c>
      <c r="CSH19">
        <f t="shared" si="1861"/>
        <v>0</v>
      </c>
      <c r="CSI19">
        <f t="shared" si="1862"/>
        <v>0</v>
      </c>
      <c r="CSJ19">
        <f t="shared" si="1863"/>
        <v>0</v>
      </c>
      <c r="CSK19">
        <f t="shared" si="1864"/>
        <v>0</v>
      </c>
      <c r="CSL19">
        <f t="shared" si="1865"/>
        <v>0</v>
      </c>
      <c r="CSM19">
        <f t="shared" si="1866"/>
        <v>0</v>
      </c>
      <c r="CSN19">
        <f t="shared" si="1867"/>
        <v>0</v>
      </c>
      <c r="CSO19">
        <f t="shared" si="1868"/>
        <v>0</v>
      </c>
      <c r="CSP19">
        <f t="shared" si="1869"/>
        <v>0</v>
      </c>
      <c r="CSQ19">
        <f t="shared" si="1870"/>
        <v>0</v>
      </c>
      <c r="CSR19">
        <f t="shared" si="1871"/>
        <v>0</v>
      </c>
      <c r="CSS19">
        <f t="shared" si="1872"/>
        <v>0</v>
      </c>
      <c r="CST19">
        <f t="shared" si="1873"/>
        <v>0</v>
      </c>
      <c r="CSU19">
        <f t="shared" si="1874"/>
        <v>0</v>
      </c>
      <c r="CSV19">
        <f t="shared" si="1875"/>
        <v>0</v>
      </c>
      <c r="CSW19">
        <f t="shared" si="1876"/>
        <v>0</v>
      </c>
      <c r="CSX19">
        <f t="shared" si="1877"/>
        <v>0</v>
      </c>
      <c r="CSY19">
        <f t="shared" si="1878"/>
        <v>0</v>
      </c>
      <c r="CSZ19">
        <f t="shared" si="1879"/>
        <v>0</v>
      </c>
      <c r="CTA19">
        <f t="shared" si="1880"/>
        <v>0</v>
      </c>
      <c r="CTB19">
        <f t="shared" si="1881"/>
        <v>0</v>
      </c>
      <c r="CTC19">
        <f t="shared" si="1882"/>
        <v>0</v>
      </c>
      <c r="CTD19">
        <f t="shared" si="1883"/>
        <v>0</v>
      </c>
      <c r="CTE19">
        <f t="shared" si="1884"/>
        <v>0</v>
      </c>
      <c r="CTF19">
        <f t="shared" si="1885"/>
        <v>0</v>
      </c>
      <c r="CTG19">
        <f t="shared" si="1886"/>
        <v>0</v>
      </c>
      <c r="CTH19">
        <f t="shared" si="1887"/>
        <v>0</v>
      </c>
      <c r="CTI19">
        <f t="shared" si="1888"/>
        <v>0</v>
      </c>
      <c r="CTJ19">
        <f t="shared" si="1889"/>
        <v>0</v>
      </c>
      <c r="CTK19">
        <f t="shared" si="1890"/>
        <v>0</v>
      </c>
      <c r="CTL19">
        <f t="shared" si="1891"/>
        <v>0</v>
      </c>
      <c r="CTM19">
        <f t="shared" si="1892"/>
        <v>0</v>
      </c>
      <c r="CTN19">
        <f t="shared" si="62"/>
        <v>0</v>
      </c>
      <c r="CTO19">
        <f t="shared" si="1893"/>
        <v>0</v>
      </c>
      <c r="CTP19">
        <f t="shared" si="1894"/>
        <v>0</v>
      </c>
      <c r="CTQ19">
        <f t="shared" si="1895"/>
        <v>0</v>
      </c>
      <c r="CTR19">
        <f t="shared" si="1896"/>
        <v>0</v>
      </c>
      <c r="CTS19">
        <f t="shared" si="1897"/>
        <v>0</v>
      </c>
      <c r="CTT19">
        <f t="shared" si="1898"/>
        <v>0</v>
      </c>
      <c r="CTU19">
        <f t="shared" si="1899"/>
        <v>0</v>
      </c>
      <c r="CTV19">
        <f t="shared" si="1900"/>
        <v>0</v>
      </c>
      <c r="CTW19">
        <f t="shared" si="1901"/>
        <v>0</v>
      </c>
      <c r="CTX19">
        <f t="shared" si="1902"/>
        <v>0</v>
      </c>
      <c r="CTY19">
        <f t="shared" si="1903"/>
        <v>0</v>
      </c>
      <c r="CTZ19">
        <f t="shared" si="1904"/>
        <v>0</v>
      </c>
      <c r="CUA19">
        <f t="shared" si="1905"/>
        <v>0</v>
      </c>
      <c r="CUB19">
        <f t="shared" si="1906"/>
        <v>0</v>
      </c>
      <c r="CUC19">
        <f t="shared" si="1907"/>
        <v>0</v>
      </c>
      <c r="CUD19">
        <f t="shared" si="1908"/>
        <v>0</v>
      </c>
      <c r="CUE19">
        <f t="shared" si="1909"/>
        <v>0</v>
      </c>
      <c r="CUF19">
        <f t="shared" si="1910"/>
        <v>0</v>
      </c>
      <c r="CUG19">
        <f t="shared" si="1911"/>
        <v>0</v>
      </c>
      <c r="CUH19">
        <f t="shared" si="1912"/>
        <v>0</v>
      </c>
      <c r="CUI19">
        <f t="shared" si="1913"/>
        <v>0</v>
      </c>
      <c r="CUJ19">
        <f t="shared" si="1914"/>
        <v>0</v>
      </c>
      <c r="CUK19">
        <f t="shared" si="1915"/>
        <v>0</v>
      </c>
      <c r="CUL19">
        <f t="shared" si="1916"/>
        <v>0</v>
      </c>
      <c r="CUM19">
        <f t="shared" si="1917"/>
        <v>0</v>
      </c>
      <c r="CUN19">
        <f t="shared" si="1918"/>
        <v>0</v>
      </c>
      <c r="CUO19">
        <f t="shared" si="1919"/>
        <v>0</v>
      </c>
      <c r="CUP19">
        <f t="shared" si="1920"/>
        <v>0</v>
      </c>
      <c r="CUQ19">
        <f t="shared" si="1921"/>
        <v>0</v>
      </c>
      <c r="CUR19">
        <f t="shared" si="1922"/>
        <v>0</v>
      </c>
      <c r="CUS19">
        <f t="shared" si="1923"/>
        <v>0</v>
      </c>
      <c r="CUT19">
        <f t="shared" si="1924"/>
        <v>0</v>
      </c>
      <c r="CUU19">
        <f t="shared" si="1925"/>
        <v>0</v>
      </c>
      <c r="CUV19">
        <f t="shared" si="1926"/>
        <v>0</v>
      </c>
      <c r="CUW19">
        <f t="shared" si="1927"/>
        <v>0</v>
      </c>
      <c r="CUX19">
        <f t="shared" si="1928"/>
        <v>0</v>
      </c>
      <c r="CUY19">
        <f t="shared" si="1929"/>
        <v>0</v>
      </c>
      <c r="CUZ19">
        <f t="shared" si="1930"/>
        <v>0</v>
      </c>
      <c r="CVA19">
        <f t="shared" si="1931"/>
        <v>0</v>
      </c>
      <c r="CVB19">
        <f t="shared" si="1932"/>
        <v>0</v>
      </c>
      <c r="CVC19">
        <f t="shared" si="1933"/>
        <v>0</v>
      </c>
      <c r="CVD19">
        <f t="shared" si="1934"/>
        <v>0</v>
      </c>
      <c r="CVE19">
        <f t="shared" si="1935"/>
        <v>0</v>
      </c>
      <c r="CVF19">
        <f t="shared" si="1936"/>
        <v>0</v>
      </c>
      <c r="CVG19">
        <f t="shared" si="1937"/>
        <v>0</v>
      </c>
      <c r="CVH19">
        <f t="shared" si="1938"/>
        <v>0</v>
      </c>
      <c r="CVI19">
        <f t="shared" si="1939"/>
        <v>0</v>
      </c>
      <c r="CVJ19">
        <f t="shared" si="1940"/>
        <v>0</v>
      </c>
      <c r="CVK19">
        <f t="shared" si="1941"/>
        <v>0</v>
      </c>
      <c r="CVL19">
        <f t="shared" si="1942"/>
        <v>0</v>
      </c>
      <c r="CVM19">
        <f t="shared" si="1943"/>
        <v>0</v>
      </c>
      <c r="CVN19">
        <f t="shared" si="1944"/>
        <v>0</v>
      </c>
      <c r="CVO19">
        <f t="shared" si="1945"/>
        <v>0</v>
      </c>
      <c r="CVP19">
        <f t="shared" si="1946"/>
        <v>0</v>
      </c>
      <c r="CVQ19">
        <f t="shared" si="1947"/>
        <v>0</v>
      </c>
      <c r="CVR19">
        <f t="shared" si="1948"/>
        <v>0</v>
      </c>
      <c r="CVS19">
        <f t="shared" si="1949"/>
        <v>0</v>
      </c>
      <c r="CVT19">
        <f t="shared" si="1950"/>
        <v>0</v>
      </c>
      <c r="CVU19">
        <f t="shared" si="1951"/>
        <v>0</v>
      </c>
      <c r="CVV19">
        <f t="shared" si="1952"/>
        <v>0</v>
      </c>
      <c r="CVW19">
        <f t="shared" si="1953"/>
        <v>0</v>
      </c>
      <c r="CVX19">
        <f t="shared" si="1954"/>
        <v>0</v>
      </c>
      <c r="CVY19">
        <f t="shared" si="1955"/>
        <v>0</v>
      </c>
      <c r="CVZ19">
        <f t="shared" si="63"/>
        <v>0</v>
      </c>
      <c r="CWA19">
        <f t="shared" si="1956"/>
        <v>0</v>
      </c>
      <c r="CWB19">
        <f t="shared" si="1957"/>
        <v>0</v>
      </c>
      <c r="CWC19">
        <f t="shared" si="1958"/>
        <v>0</v>
      </c>
      <c r="CWD19">
        <f t="shared" si="1959"/>
        <v>0</v>
      </c>
      <c r="CWE19">
        <f t="shared" si="1960"/>
        <v>0</v>
      </c>
      <c r="CWF19">
        <f t="shared" si="1961"/>
        <v>0</v>
      </c>
      <c r="CWG19">
        <f t="shared" si="1962"/>
        <v>0</v>
      </c>
      <c r="CWH19">
        <f t="shared" si="1963"/>
        <v>0</v>
      </c>
      <c r="CWI19">
        <f t="shared" si="1964"/>
        <v>0</v>
      </c>
      <c r="CWJ19">
        <f t="shared" si="1965"/>
        <v>0</v>
      </c>
      <c r="CWK19">
        <f t="shared" si="1966"/>
        <v>0</v>
      </c>
      <c r="CWL19">
        <f t="shared" si="1967"/>
        <v>0</v>
      </c>
      <c r="CWM19">
        <f t="shared" si="1968"/>
        <v>0</v>
      </c>
      <c r="CWN19">
        <f t="shared" si="1969"/>
        <v>0</v>
      </c>
      <c r="CWO19">
        <f t="shared" si="1970"/>
        <v>0</v>
      </c>
      <c r="CWP19">
        <f t="shared" si="1971"/>
        <v>0</v>
      </c>
      <c r="CWQ19">
        <f t="shared" si="1972"/>
        <v>0</v>
      </c>
      <c r="CWR19">
        <f t="shared" si="1973"/>
        <v>0</v>
      </c>
      <c r="CWS19">
        <f t="shared" si="1974"/>
        <v>0</v>
      </c>
      <c r="CWT19">
        <f t="shared" si="1975"/>
        <v>0</v>
      </c>
      <c r="CWU19">
        <f t="shared" si="1976"/>
        <v>0</v>
      </c>
      <c r="CWV19">
        <f t="shared" si="1977"/>
        <v>0</v>
      </c>
      <c r="CWW19">
        <f t="shared" si="1978"/>
        <v>0</v>
      </c>
      <c r="CWX19">
        <f t="shared" si="1979"/>
        <v>0</v>
      </c>
      <c r="CWY19">
        <f t="shared" si="1980"/>
        <v>0</v>
      </c>
      <c r="CWZ19">
        <f t="shared" si="1981"/>
        <v>0</v>
      </c>
      <c r="CXA19">
        <f t="shared" si="1982"/>
        <v>0</v>
      </c>
      <c r="CXB19">
        <f t="shared" si="1983"/>
        <v>0</v>
      </c>
      <c r="CXC19">
        <f t="shared" si="1984"/>
        <v>0</v>
      </c>
      <c r="CXD19">
        <f t="shared" si="1985"/>
        <v>0</v>
      </c>
      <c r="CXE19">
        <f t="shared" si="1986"/>
        <v>0</v>
      </c>
      <c r="CXF19">
        <f t="shared" si="1987"/>
        <v>0</v>
      </c>
      <c r="CXG19">
        <f t="shared" si="1988"/>
        <v>0</v>
      </c>
      <c r="CXH19">
        <f t="shared" si="1989"/>
        <v>0</v>
      </c>
      <c r="CXI19">
        <f t="shared" si="1990"/>
        <v>0</v>
      </c>
      <c r="CXJ19">
        <f t="shared" si="1991"/>
        <v>0</v>
      </c>
      <c r="CXK19">
        <f t="shared" si="1992"/>
        <v>0</v>
      </c>
      <c r="CXL19">
        <f t="shared" si="1993"/>
        <v>0</v>
      </c>
      <c r="CXM19">
        <f t="shared" si="1994"/>
        <v>0</v>
      </c>
      <c r="CXN19">
        <f t="shared" si="1995"/>
        <v>0</v>
      </c>
      <c r="CXO19">
        <f t="shared" si="1996"/>
        <v>0</v>
      </c>
      <c r="CXP19">
        <f t="shared" si="1997"/>
        <v>0</v>
      </c>
      <c r="CXQ19">
        <f t="shared" si="1998"/>
        <v>0</v>
      </c>
      <c r="CXR19">
        <f t="shared" si="1999"/>
        <v>0</v>
      </c>
      <c r="CXS19">
        <f t="shared" si="2000"/>
        <v>0</v>
      </c>
      <c r="CXT19">
        <f t="shared" si="2001"/>
        <v>0</v>
      </c>
      <c r="CXU19">
        <f t="shared" si="2002"/>
        <v>0</v>
      </c>
      <c r="CXV19">
        <f t="shared" si="2003"/>
        <v>0</v>
      </c>
      <c r="CXW19">
        <f t="shared" si="2004"/>
        <v>0</v>
      </c>
      <c r="CXX19">
        <f t="shared" si="2005"/>
        <v>0</v>
      </c>
      <c r="CXY19">
        <f t="shared" si="2006"/>
        <v>0</v>
      </c>
      <c r="CXZ19">
        <f t="shared" si="2007"/>
        <v>0</v>
      </c>
      <c r="CYA19">
        <f t="shared" si="2008"/>
        <v>0</v>
      </c>
      <c r="CYB19">
        <f t="shared" si="2009"/>
        <v>0</v>
      </c>
      <c r="CYC19">
        <f t="shared" si="2010"/>
        <v>0</v>
      </c>
      <c r="CYD19">
        <f t="shared" si="2011"/>
        <v>0</v>
      </c>
      <c r="CYE19">
        <f t="shared" si="2012"/>
        <v>0</v>
      </c>
      <c r="CYF19">
        <f t="shared" si="2013"/>
        <v>0</v>
      </c>
      <c r="CYG19">
        <f t="shared" si="2014"/>
        <v>0</v>
      </c>
      <c r="CYH19">
        <f t="shared" si="2015"/>
        <v>0</v>
      </c>
      <c r="CYI19">
        <f t="shared" si="2016"/>
        <v>0</v>
      </c>
      <c r="CYJ19">
        <f t="shared" si="2017"/>
        <v>0</v>
      </c>
      <c r="CYK19">
        <f t="shared" si="2018"/>
        <v>0</v>
      </c>
      <c r="CYL19">
        <f t="shared" si="64"/>
        <v>0</v>
      </c>
      <c r="CYM19">
        <f t="shared" si="2019"/>
        <v>0</v>
      </c>
      <c r="CYN19">
        <f t="shared" si="2020"/>
        <v>0</v>
      </c>
      <c r="CYO19">
        <f t="shared" si="2021"/>
        <v>0</v>
      </c>
      <c r="CYP19">
        <f t="shared" si="2022"/>
        <v>0</v>
      </c>
      <c r="CYQ19">
        <f t="shared" si="2023"/>
        <v>0</v>
      </c>
      <c r="CYR19">
        <f t="shared" si="2024"/>
        <v>0</v>
      </c>
      <c r="CYS19">
        <f t="shared" si="2025"/>
        <v>0</v>
      </c>
      <c r="CYT19">
        <f t="shared" si="2026"/>
        <v>0</v>
      </c>
      <c r="CYU19">
        <f t="shared" si="2027"/>
        <v>0</v>
      </c>
      <c r="CYV19">
        <f t="shared" si="2028"/>
        <v>0</v>
      </c>
      <c r="CYW19">
        <f t="shared" si="2029"/>
        <v>0</v>
      </c>
      <c r="CYX19">
        <f t="shared" si="2030"/>
        <v>0</v>
      </c>
      <c r="CYY19">
        <f t="shared" si="2031"/>
        <v>0</v>
      </c>
      <c r="CYZ19">
        <f t="shared" si="2032"/>
        <v>0</v>
      </c>
      <c r="CZA19">
        <f t="shared" si="2033"/>
        <v>0</v>
      </c>
      <c r="CZB19">
        <f t="shared" si="2034"/>
        <v>0</v>
      </c>
      <c r="CZC19">
        <f t="shared" si="2035"/>
        <v>0</v>
      </c>
      <c r="CZD19">
        <f t="shared" si="2036"/>
        <v>0</v>
      </c>
      <c r="CZE19">
        <f t="shared" si="2037"/>
        <v>0</v>
      </c>
      <c r="CZF19">
        <f t="shared" si="2038"/>
        <v>0</v>
      </c>
      <c r="CZG19">
        <f t="shared" si="2039"/>
        <v>0</v>
      </c>
      <c r="CZH19">
        <f t="shared" si="2040"/>
        <v>0</v>
      </c>
      <c r="CZI19">
        <f t="shared" si="2041"/>
        <v>0</v>
      </c>
      <c r="CZJ19">
        <f t="shared" si="2042"/>
        <v>0</v>
      </c>
      <c r="CZK19">
        <f t="shared" si="2043"/>
        <v>0</v>
      </c>
      <c r="CZL19">
        <f t="shared" si="2044"/>
        <v>0</v>
      </c>
      <c r="CZM19">
        <f t="shared" si="2045"/>
        <v>0</v>
      </c>
      <c r="CZN19">
        <f t="shared" si="2046"/>
        <v>0</v>
      </c>
      <c r="CZO19">
        <f t="shared" si="2047"/>
        <v>0</v>
      </c>
      <c r="CZP19">
        <f t="shared" si="2048"/>
        <v>0</v>
      </c>
      <c r="CZQ19">
        <f t="shared" si="2049"/>
        <v>0</v>
      </c>
      <c r="CZR19">
        <f t="shared" si="2050"/>
        <v>0</v>
      </c>
      <c r="CZS19">
        <f t="shared" si="2051"/>
        <v>0</v>
      </c>
      <c r="CZT19">
        <f t="shared" si="2052"/>
        <v>0</v>
      </c>
      <c r="CZU19">
        <f t="shared" si="2053"/>
        <v>0</v>
      </c>
      <c r="CZV19">
        <f t="shared" si="2054"/>
        <v>0</v>
      </c>
      <c r="CZW19">
        <f t="shared" si="2055"/>
        <v>0</v>
      </c>
      <c r="CZX19">
        <f t="shared" si="2056"/>
        <v>0</v>
      </c>
      <c r="CZY19">
        <f t="shared" si="2057"/>
        <v>0</v>
      </c>
      <c r="CZZ19">
        <f t="shared" si="2058"/>
        <v>0</v>
      </c>
      <c r="DAA19">
        <f t="shared" si="2059"/>
        <v>0</v>
      </c>
      <c r="DAB19">
        <f t="shared" si="2060"/>
        <v>0</v>
      </c>
      <c r="DAC19">
        <f t="shared" si="2061"/>
        <v>0</v>
      </c>
      <c r="DAD19">
        <f t="shared" si="2062"/>
        <v>0</v>
      </c>
      <c r="DAE19">
        <f t="shared" si="2063"/>
        <v>0</v>
      </c>
      <c r="DAF19">
        <f t="shared" si="2064"/>
        <v>0</v>
      </c>
      <c r="DAG19">
        <f t="shared" si="2065"/>
        <v>0</v>
      </c>
      <c r="DAH19">
        <f t="shared" si="2066"/>
        <v>0</v>
      </c>
      <c r="DAI19">
        <f t="shared" si="2067"/>
        <v>0</v>
      </c>
      <c r="DAJ19">
        <f t="shared" si="2068"/>
        <v>0</v>
      </c>
      <c r="DAK19">
        <f t="shared" si="2069"/>
        <v>0</v>
      </c>
      <c r="DAL19">
        <f t="shared" si="2070"/>
        <v>0</v>
      </c>
      <c r="DAM19">
        <f t="shared" si="2071"/>
        <v>0</v>
      </c>
      <c r="DAN19">
        <f t="shared" si="2072"/>
        <v>0</v>
      </c>
      <c r="DAO19">
        <f t="shared" si="2073"/>
        <v>0</v>
      </c>
      <c r="DAP19">
        <f t="shared" si="2074"/>
        <v>0</v>
      </c>
      <c r="DAQ19">
        <f t="shared" si="2075"/>
        <v>0</v>
      </c>
      <c r="DAR19">
        <f t="shared" si="2076"/>
        <v>0</v>
      </c>
      <c r="DAS19">
        <f t="shared" si="2077"/>
        <v>0</v>
      </c>
      <c r="DAT19">
        <f t="shared" si="2078"/>
        <v>0</v>
      </c>
      <c r="DAU19">
        <f t="shared" si="2079"/>
        <v>0</v>
      </c>
      <c r="DAV19">
        <f t="shared" si="2080"/>
        <v>0</v>
      </c>
      <c r="DAW19">
        <f t="shared" si="2081"/>
        <v>0</v>
      </c>
      <c r="DAX19">
        <f t="shared" si="65"/>
        <v>0</v>
      </c>
      <c r="DAY19">
        <f t="shared" si="2142"/>
        <v>0</v>
      </c>
      <c r="DAZ19">
        <f t="shared" si="2143"/>
        <v>0</v>
      </c>
      <c r="DBA19">
        <f t="shared" si="2144"/>
        <v>0</v>
      </c>
      <c r="DBB19">
        <f t="shared" si="2082"/>
        <v>0</v>
      </c>
      <c r="DBC19">
        <f t="shared" si="2083"/>
        <v>0</v>
      </c>
      <c r="DBD19">
        <f t="shared" si="2084"/>
        <v>0</v>
      </c>
      <c r="DBE19">
        <f t="shared" si="2085"/>
        <v>0</v>
      </c>
      <c r="DBF19">
        <f t="shared" si="2086"/>
        <v>0</v>
      </c>
      <c r="DBG19">
        <f t="shared" si="2087"/>
        <v>0</v>
      </c>
      <c r="DBH19">
        <f t="shared" si="2088"/>
        <v>0</v>
      </c>
      <c r="DBI19">
        <f t="shared" si="2089"/>
        <v>0</v>
      </c>
      <c r="DBJ19">
        <f t="shared" si="2090"/>
        <v>0</v>
      </c>
      <c r="DBK19">
        <f t="shared" si="2091"/>
        <v>0</v>
      </c>
      <c r="DBL19">
        <f t="shared" si="2092"/>
        <v>0</v>
      </c>
      <c r="DBM19">
        <f t="shared" si="2093"/>
        <v>0</v>
      </c>
      <c r="DBN19">
        <f t="shared" si="2094"/>
        <v>0</v>
      </c>
      <c r="DBO19">
        <f t="shared" si="2095"/>
        <v>0</v>
      </c>
      <c r="DBP19">
        <f t="shared" si="2096"/>
        <v>0</v>
      </c>
      <c r="DBQ19">
        <f t="shared" si="2097"/>
        <v>0</v>
      </c>
      <c r="DBR19">
        <f t="shared" si="2098"/>
        <v>0</v>
      </c>
      <c r="DBS19">
        <f t="shared" si="2099"/>
        <v>0</v>
      </c>
      <c r="DBT19">
        <f t="shared" si="2100"/>
        <v>0</v>
      </c>
      <c r="DBU19">
        <f t="shared" si="2101"/>
        <v>0</v>
      </c>
      <c r="DBV19">
        <f t="shared" si="2102"/>
        <v>0</v>
      </c>
      <c r="DBW19">
        <f t="shared" si="2103"/>
        <v>0</v>
      </c>
      <c r="DBX19">
        <f t="shared" si="2104"/>
        <v>0</v>
      </c>
      <c r="DBY19">
        <f t="shared" si="2105"/>
        <v>0</v>
      </c>
      <c r="DBZ19">
        <f t="shared" si="2106"/>
        <v>0</v>
      </c>
      <c r="DCA19">
        <f t="shared" si="2107"/>
        <v>0</v>
      </c>
      <c r="DCB19">
        <f t="shared" si="2108"/>
        <v>0</v>
      </c>
      <c r="DCC19">
        <f t="shared" si="2109"/>
        <v>0</v>
      </c>
      <c r="DCD19">
        <f t="shared" si="2110"/>
        <v>0</v>
      </c>
      <c r="DCE19">
        <f t="shared" si="2111"/>
        <v>0</v>
      </c>
      <c r="DCF19">
        <f t="shared" si="2112"/>
        <v>0</v>
      </c>
      <c r="DCG19">
        <f t="shared" si="2113"/>
        <v>0</v>
      </c>
      <c r="DCH19">
        <f t="shared" si="2114"/>
        <v>0</v>
      </c>
      <c r="DCI19">
        <f t="shared" si="2115"/>
        <v>0</v>
      </c>
      <c r="DCJ19">
        <f t="shared" si="2116"/>
        <v>0</v>
      </c>
      <c r="DCK19">
        <f t="shared" si="2117"/>
        <v>0</v>
      </c>
      <c r="DCL19">
        <f t="shared" si="2118"/>
        <v>0</v>
      </c>
      <c r="DCM19">
        <f t="shared" si="2119"/>
        <v>0</v>
      </c>
      <c r="DCN19">
        <f t="shared" si="2120"/>
        <v>0</v>
      </c>
      <c r="DCO19">
        <f t="shared" si="2121"/>
        <v>0</v>
      </c>
      <c r="DCP19">
        <f t="shared" si="2122"/>
        <v>0</v>
      </c>
      <c r="DCQ19">
        <f t="shared" si="2123"/>
        <v>0</v>
      </c>
      <c r="DCR19">
        <f t="shared" si="2124"/>
        <v>0</v>
      </c>
      <c r="DCS19">
        <f t="shared" si="2125"/>
        <v>0</v>
      </c>
      <c r="DCT19">
        <f t="shared" si="2126"/>
        <v>0</v>
      </c>
      <c r="DCU19">
        <f t="shared" si="2127"/>
        <v>0</v>
      </c>
      <c r="DCV19">
        <f t="shared" si="2128"/>
        <v>0</v>
      </c>
      <c r="DCW19">
        <f t="shared" si="2129"/>
        <v>0</v>
      </c>
      <c r="DCX19">
        <f t="shared" si="2130"/>
        <v>0</v>
      </c>
      <c r="DCY19">
        <f t="shared" si="2131"/>
        <v>0</v>
      </c>
      <c r="DCZ19">
        <f t="shared" si="2132"/>
        <v>0</v>
      </c>
      <c r="DDA19">
        <f t="shared" si="2133"/>
        <v>0</v>
      </c>
      <c r="DDB19">
        <f t="shared" si="2134"/>
        <v>0</v>
      </c>
      <c r="DDC19">
        <f t="shared" si="2135"/>
        <v>0</v>
      </c>
      <c r="DDD19">
        <f t="shared" si="2136"/>
        <v>0</v>
      </c>
      <c r="DDE19">
        <f t="shared" si="2137"/>
        <v>0</v>
      </c>
      <c r="DDF19">
        <f t="shared" si="2138"/>
        <v>0</v>
      </c>
      <c r="DDG19">
        <f t="shared" si="2139"/>
        <v>0</v>
      </c>
      <c r="DDH19">
        <f t="shared" si="2140"/>
        <v>0</v>
      </c>
      <c r="DDI19">
        <f t="shared" si="2141"/>
        <v>0</v>
      </c>
    </row>
    <row r="20" spans="1:2817" x14ac:dyDescent="0.2">
      <c r="A20" s="1">
        <v>14</v>
      </c>
      <c r="B20">
        <f>'Demand Stage 2'!B19</f>
        <v>0</v>
      </c>
      <c r="C20">
        <f>'Demand Stage 2'!C19</f>
        <v>0</v>
      </c>
      <c r="D20">
        <f>'Demand Stage 2'!D19</f>
        <v>0</v>
      </c>
      <c r="E20">
        <f>'Demand Stage 2'!E19</f>
        <v>0</v>
      </c>
      <c r="F20">
        <f>'Demand Stage 2'!F19</f>
        <v>0</v>
      </c>
      <c r="G20">
        <f>'Demand Stage 2'!G19</f>
        <v>0</v>
      </c>
      <c r="H20">
        <f>'Demand Stage 2'!H19</f>
        <v>0</v>
      </c>
      <c r="I20">
        <f>'Demand Stage 2'!I19</f>
        <v>0</v>
      </c>
      <c r="J20">
        <f>'Demand Stage 2'!J19</f>
        <v>0</v>
      </c>
      <c r="K20">
        <f>'Demand Stage 2'!K19</f>
        <v>0</v>
      </c>
      <c r="L20">
        <f>'Demand Stage 2'!L19</f>
        <v>0</v>
      </c>
      <c r="M20">
        <f>'Demand Stage 2'!M19</f>
        <v>0</v>
      </c>
      <c r="N20">
        <f>'Demand Stage 2'!N19</f>
        <v>0</v>
      </c>
      <c r="O20">
        <f>'Demand Stage 2'!O19</f>
        <v>0</v>
      </c>
      <c r="P20">
        <f>'Demand Stage 2'!P19</f>
        <v>0</v>
      </c>
      <c r="Q20">
        <f>'Demand Stage 2'!Q19</f>
        <v>0</v>
      </c>
      <c r="R20">
        <f>'Demand Stage 2'!R19</f>
        <v>0</v>
      </c>
      <c r="S20">
        <f>'Demand Stage 2'!S19</f>
        <v>0</v>
      </c>
      <c r="T20">
        <f>'Demand Stage 2'!T19</f>
        <v>0</v>
      </c>
      <c r="U20">
        <f>'Demand Stage 2'!U19</f>
        <v>0</v>
      </c>
      <c r="V20">
        <f>'Demand Stage 2'!V19</f>
        <v>0</v>
      </c>
      <c r="W20">
        <f>'Demand Stage 2'!W19</f>
        <v>0</v>
      </c>
      <c r="X20">
        <f>'Demand Stage 2'!X19</f>
        <v>0</v>
      </c>
      <c r="Y20">
        <f>'Demand Stage 2'!Y19</f>
        <v>0</v>
      </c>
      <c r="Z20">
        <f>'Demand Stage 2'!Z19</f>
        <v>0</v>
      </c>
      <c r="AA20">
        <f>'Demand Stage 2'!AA19</f>
        <v>0</v>
      </c>
      <c r="AB20">
        <f>'Demand Stage 2'!AB19</f>
        <v>0</v>
      </c>
      <c r="AC20">
        <f>'Demand Stage 2'!AC19</f>
        <v>0</v>
      </c>
      <c r="AD20">
        <f>'Demand Stage 2'!AD19</f>
        <v>0</v>
      </c>
      <c r="AE20">
        <f>'Demand Stage 2'!AE19</f>
        <v>0</v>
      </c>
      <c r="AF20">
        <f>'Demand Stage 2'!AF19</f>
        <v>0</v>
      </c>
      <c r="AG20">
        <f>'Demand Stage 2'!AG19</f>
        <v>0</v>
      </c>
      <c r="AH20">
        <f>'Demand Stage 2'!AH19</f>
        <v>0</v>
      </c>
      <c r="AI20">
        <f>'Demand Stage 2'!AI19</f>
        <v>0</v>
      </c>
      <c r="AJ20">
        <f>'Demand Stage 2'!AJ19</f>
        <v>0</v>
      </c>
      <c r="AK20">
        <f>'Demand Stage 2'!AK19</f>
        <v>0</v>
      </c>
      <c r="AL20">
        <f>'Demand Stage 2'!AL19</f>
        <v>0</v>
      </c>
      <c r="AM20">
        <f>'Demand Stage 2'!AM19</f>
        <v>0</v>
      </c>
      <c r="AN20">
        <f>'Demand Stage 2'!AN19</f>
        <v>0</v>
      </c>
      <c r="AO20">
        <f>'Demand Stage 2'!AO19</f>
        <v>0</v>
      </c>
      <c r="AP20">
        <f>'Demand Stage 2'!AP19</f>
        <v>0</v>
      </c>
      <c r="AQ20">
        <f>'Demand Stage 2'!AQ19</f>
        <v>0</v>
      </c>
      <c r="AR20">
        <f>'Demand Stage 2'!AR19</f>
        <v>0</v>
      </c>
      <c r="AS20">
        <f>'Demand Stage 2'!AS19</f>
        <v>0</v>
      </c>
      <c r="AT20">
        <f>'Demand Stage 2'!AT19</f>
        <v>0</v>
      </c>
      <c r="AU20">
        <f>'Demand Stage 2'!AU19</f>
        <v>0</v>
      </c>
      <c r="AV20">
        <f>'Demand Stage 2'!AV19</f>
        <v>0</v>
      </c>
      <c r="AW20">
        <f>'Demand Stage 2'!AW19</f>
        <v>0</v>
      </c>
      <c r="AX20">
        <f>'Demand Stage 2'!AX19</f>
        <v>0</v>
      </c>
      <c r="AY20">
        <f>'Demand Stage 2'!AY19</f>
        <v>0</v>
      </c>
      <c r="AZ20">
        <f>'Demand Stage 2'!AZ19</f>
        <v>0</v>
      </c>
      <c r="BA20">
        <f>'Demand Stage 2'!BA19</f>
        <v>0</v>
      </c>
      <c r="BB20">
        <f>'Demand Stage 2'!BB19</f>
        <v>0</v>
      </c>
      <c r="BC20">
        <f>'Demand Stage 2'!BC19</f>
        <v>0</v>
      </c>
      <c r="BD20">
        <f>'Demand Stage 2'!BD19</f>
        <v>0</v>
      </c>
      <c r="BE20">
        <f>'Demand Stage 2'!BE19</f>
        <v>0</v>
      </c>
      <c r="BF20">
        <f>'Demand Stage 2'!BF19</f>
        <v>0</v>
      </c>
      <c r="BG20">
        <f>'Demand Stage 2'!BG19</f>
        <v>0</v>
      </c>
      <c r="BH20">
        <f>'Demand Stage 2'!BH19</f>
        <v>0</v>
      </c>
      <c r="BI20">
        <f>'Demand Stage 2'!BI19</f>
        <v>0</v>
      </c>
      <c r="BJ20">
        <f>'Demand Stage 2'!BJ19</f>
        <v>0</v>
      </c>
      <c r="BK20">
        <f>'Demand Stage 2'!BK19</f>
        <v>0</v>
      </c>
      <c r="BL20">
        <f>'Demand Stage 2'!BL19</f>
        <v>0</v>
      </c>
      <c r="BM20">
        <f>'Demand Stage 2'!BM19</f>
        <v>0</v>
      </c>
      <c r="BN20">
        <f>'Demand Stage 2'!BN19</f>
        <v>0</v>
      </c>
      <c r="BO20">
        <f>'Demand Stage 2'!BO19</f>
        <v>0</v>
      </c>
      <c r="BP20">
        <f>'Demand Stage 2'!BP19</f>
        <v>0</v>
      </c>
      <c r="BQ20">
        <f>'Demand Stage 2'!BQ19</f>
        <v>0</v>
      </c>
      <c r="BR20">
        <f>'Demand Stage 2'!BR19</f>
        <v>0</v>
      </c>
      <c r="BS20">
        <f>'Demand Stage 2'!BS19</f>
        <v>0</v>
      </c>
      <c r="BT20">
        <f>'Demand Stage 2'!BT19</f>
        <v>0</v>
      </c>
      <c r="BU20">
        <f>'Demand Stage 2'!BU19</f>
        <v>0</v>
      </c>
      <c r="BV20">
        <f>'Demand Stage 2'!BV19</f>
        <v>0</v>
      </c>
      <c r="BW20">
        <f>'Demand Stage 2'!BW19</f>
        <v>0</v>
      </c>
      <c r="BX20">
        <f>'Demand Stage 2'!BX19</f>
        <v>0</v>
      </c>
      <c r="BY20">
        <f>'Demand Stage 2'!BY19</f>
        <v>0</v>
      </c>
      <c r="BZ20">
        <f>'Demand Stage 2'!BZ19</f>
        <v>0</v>
      </c>
      <c r="CA20">
        <f>'Demand Stage 2'!CA19</f>
        <v>0</v>
      </c>
      <c r="CB20">
        <f>'Demand Stage 2'!CB19</f>
        <v>0</v>
      </c>
      <c r="CC20">
        <f>'Demand Stage 2'!CC19</f>
        <v>0</v>
      </c>
      <c r="CD20">
        <f>'Demand Stage 2'!CD19</f>
        <v>0</v>
      </c>
      <c r="CE20">
        <f>'Demand Stage 2'!CE19</f>
        <v>0</v>
      </c>
      <c r="CF20">
        <f>'Demand Stage 2'!CF19</f>
        <v>0</v>
      </c>
      <c r="CG20">
        <f>'Demand Stage 2'!CG19</f>
        <v>0</v>
      </c>
      <c r="CH20">
        <f>'Demand Stage 2'!CH19</f>
        <v>0</v>
      </c>
      <c r="CI20">
        <f>'Demand Stage 2'!CI19</f>
        <v>0</v>
      </c>
      <c r="CJ20">
        <f>'Demand Stage 2'!CJ19</f>
        <v>0</v>
      </c>
      <c r="CK20">
        <f>'Demand Stage 2'!CK19</f>
        <v>0</v>
      </c>
      <c r="CL20">
        <f>'Demand Stage 2'!CL19</f>
        <v>0</v>
      </c>
      <c r="CM20">
        <f>'Demand Stage 2'!CM19</f>
        <v>0</v>
      </c>
      <c r="CN20">
        <f>'Demand Stage 2'!CN19</f>
        <v>0</v>
      </c>
      <c r="CO20">
        <f>'Demand Stage 2'!CO19</f>
        <v>0</v>
      </c>
      <c r="CP20">
        <f>'Demand Stage 2'!CP19</f>
        <v>0</v>
      </c>
      <c r="CQ20">
        <f>'Demand Stage 2'!CQ19</f>
        <v>0</v>
      </c>
      <c r="CR20">
        <f>'Demand Stage 2'!CR19</f>
        <v>0</v>
      </c>
      <c r="CS20">
        <f>'Demand Stage 2'!CS19</f>
        <v>0</v>
      </c>
      <c r="CT20">
        <f>'Demand Stage 2'!CT19</f>
        <v>0</v>
      </c>
      <c r="CU20">
        <f>'Demand Stage 2'!CU19</f>
        <v>0</v>
      </c>
      <c r="CV20">
        <f>'Demand Stage 2'!CV19</f>
        <v>0</v>
      </c>
      <c r="CW20">
        <f>'Demand Stage 2'!CW19</f>
        <v>0</v>
      </c>
      <c r="CX20">
        <f>'Demand Stage 2'!CX19</f>
        <v>0</v>
      </c>
      <c r="CY20">
        <f>'Demand Stage 2'!CY19</f>
        <v>0</v>
      </c>
      <c r="CZ20">
        <f>'Demand Stage 2'!CZ19</f>
        <v>0</v>
      </c>
      <c r="DA20">
        <f>'Demand Stage 2'!DA19</f>
        <v>0</v>
      </c>
      <c r="DB20">
        <f>'Demand Stage 2'!DB19</f>
        <v>0</v>
      </c>
      <c r="DC20">
        <f>'Demand Stage 2'!DC19</f>
        <v>0</v>
      </c>
      <c r="DD20">
        <f>'Demand Stage 2'!DD19</f>
        <v>0</v>
      </c>
      <c r="DE20">
        <f>'Demand Stage 2'!DE19</f>
        <v>0</v>
      </c>
      <c r="DF20">
        <f>'Demand Stage 2'!DF19</f>
        <v>0</v>
      </c>
      <c r="DG20">
        <f>'Demand Stage 2'!DG19</f>
        <v>0</v>
      </c>
      <c r="DH20">
        <f>'Demand Stage 2'!DH19</f>
        <v>0</v>
      </c>
      <c r="DI20">
        <f>'Demand Stage 2'!DI19</f>
        <v>0</v>
      </c>
      <c r="DJ20">
        <f>'Demand Stage 2'!DJ19</f>
        <v>0</v>
      </c>
      <c r="DK20">
        <f>'Demand Stage 2'!DK19</f>
        <v>0</v>
      </c>
      <c r="DL20">
        <f>'Demand Stage 2'!DL19</f>
        <v>0</v>
      </c>
      <c r="DM20">
        <f>'Demand Stage 2'!DM19</f>
        <v>0</v>
      </c>
      <c r="DN20">
        <f>'Demand Stage 2'!DN19</f>
        <v>0</v>
      </c>
      <c r="DO20">
        <f>'Demand Stage 2'!DO19</f>
        <v>0</v>
      </c>
      <c r="DP20">
        <f>'Demand Stage 2'!DP19</f>
        <v>0</v>
      </c>
      <c r="DQ20">
        <f>'Demand Stage 2'!DQ19</f>
        <v>0</v>
      </c>
      <c r="DR20">
        <f>'Demand Stage 2'!DR19</f>
        <v>0</v>
      </c>
      <c r="DS20">
        <f>'Demand Stage 2'!DS19</f>
        <v>0</v>
      </c>
      <c r="DT20">
        <f>'Demand Stage 2'!DT19</f>
        <v>0</v>
      </c>
      <c r="DU20">
        <f>'Demand Stage 2'!DU19</f>
        <v>0</v>
      </c>
      <c r="DV20">
        <f>'Demand Stage 2'!DV19</f>
        <v>0</v>
      </c>
      <c r="DW20">
        <f>'Demand Stage 2'!DW19</f>
        <v>0</v>
      </c>
      <c r="DX20">
        <f>'Demand Stage 2'!DX19</f>
        <v>0</v>
      </c>
      <c r="DY20">
        <f>'Demand Stage 2'!DY19</f>
        <v>0</v>
      </c>
      <c r="DZ20">
        <f>'Demand Stage 2'!DZ19</f>
        <v>0</v>
      </c>
      <c r="EA20">
        <f>'Demand Stage 2'!EA19</f>
        <v>0</v>
      </c>
      <c r="EB20">
        <f>'Demand Stage 2'!EB19</f>
        <v>0</v>
      </c>
      <c r="EC20">
        <f>'Demand Stage 2'!EC19</f>
        <v>0</v>
      </c>
      <c r="ED20">
        <f>'Demand Stage 2'!ED19</f>
        <v>0</v>
      </c>
      <c r="EE20">
        <f>'Demand Stage 2'!EE19</f>
        <v>0</v>
      </c>
      <c r="EF20">
        <f>'Demand Stage 2'!EF19</f>
        <v>0</v>
      </c>
      <c r="EG20">
        <f>'Demand Stage 2'!EG19</f>
        <v>0</v>
      </c>
      <c r="EH20">
        <f>'Demand Stage 2'!EH19</f>
        <v>0</v>
      </c>
      <c r="EI20">
        <f>'Demand Stage 2'!EI19</f>
        <v>0</v>
      </c>
      <c r="EJ20">
        <f>'Demand Stage 2'!EJ19</f>
        <v>0</v>
      </c>
      <c r="EK20">
        <f>'Demand Stage 2'!EK19</f>
        <v>0</v>
      </c>
      <c r="EL20">
        <f>'Demand Stage 2'!EL19</f>
        <v>0</v>
      </c>
      <c r="EM20">
        <f>'Demand Stage 2'!EM19</f>
        <v>0</v>
      </c>
      <c r="EN20">
        <f>'Demand Stage 2'!EN19</f>
        <v>0</v>
      </c>
      <c r="EO20">
        <f>'Demand Stage 2'!EO19</f>
        <v>0</v>
      </c>
      <c r="EP20">
        <f>'Demand Stage 2'!EP19</f>
        <v>0</v>
      </c>
      <c r="EQ20">
        <f>'Demand Stage 2'!EQ19</f>
        <v>0</v>
      </c>
      <c r="ER20">
        <f>'Demand Stage 2'!ER19</f>
        <v>0</v>
      </c>
      <c r="ES20">
        <f>'Demand Stage 2'!ES19</f>
        <v>0</v>
      </c>
      <c r="ET20">
        <f>'Demand Stage 2'!ET19</f>
        <v>0</v>
      </c>
      <c r="EU20">
        <f>'Demand Stage 2'!EU19</f>
        <v>0</v>
      </c>
      <c r="EV20">
        <f>'Demand Stage 2'!EV19</f>
        <v>0</v>
      </c>
      <c r="EW20">
        <f>'Demand Stage 2'!EW19</f>
        <v>0</v>
      </c>
      <c r="EX20">
        <f>'Demand Stage 2'!EX19</f>
        <v>0</v>
      </c>
      <c r="EY20">
        <f>'Demand Stage 2'!EY19</f>
        <v>0</v>
      </c>
      <c r="EZ20">
        <f>'Demand Stage 2'!EZ19</f>
        <v>0</v>
      </c>
      <c r="FA20">
        <f>'Demand Stage 2'!FA19</f>
        <v>0</v>
      </c>
      <c r="FB20">
        <f>'Demand Stage 2'!FB19</f>
        <v>0</v>
      </c>
      <c r="FC20">
        <f>'Demand Stage 2'!FC19</f>
        <v>0</v>
      </c>
      <c r="FD20">
        <f>'Demand Stage 2'!FD19</f>
        <v>0</v>
      </c>
      <c r="FE20">
        <f>'Demand Stage 2'!FE19</f>
        <v>0</v>
      </c>
      <c r="FF20">
        <f>'Demand Stage 2'!FF19</f>
        <v>0</v>
      </c>
      <c r="FG20">
        <f>'Demand Stage 2'!FG19</f>
        <v>0</v>
      </c>
      <c r="FH20">
        <f>'Demand Stage 2'!FH19</f>
        <v>0</v>
      </c>
      <c r="FI20">
        <f>'Demand Stage 2'!FI19</f>
        <v>0</v>
      </c>
      <c r="FJ20">
        <f>'Demand Stage 2'!FJ19</f>
        <v>0</v>
      </c>
      <c r="FK20">
        <f>'Demand Stage 2'!FK19</f>
        <v>0</v>
      </c>
      <c r="FL20">
        <f>'Demand Stage 2'!FL19</f>
        <v>0</v>
      </c>
      <c r="FM20">
        <f>'Demand Stage 2'!FM19</f>
        <v>0</v>
      </c>
      <c r="FN20">
        <f>'Demand Stage 2'!FN19</f>
        <v>0</v>
      </c>
      <c r="FO20">
        <f>'Demand Stage 2'!FO19</f>
        <v>0</v>
      </c>
      <c r="FP20">
        <f>'Demand Stage 2'!FP19</f>
        <v>0</v>
      </c>
      <c r="FQ20">
        <f>'Demand Stage 2'!FQ19</f>
        <v>0</v>
      </c>
      <c r="FR20">
        <f>'Demand Stage 2'!FR19</f>
        <v>0</v>
      </c>
      <c r="FS20">
        <f>'Demand Stage 2'!FS19</f>
        <v>0</v>
      </c>
      <c r="FT20">
        <f>'Demand Stage 2'!FT19</f>
        <v>0</v>
      </c>
      <c r="FU20">
        <f>'Demand Stage 2'!FU19</f>
        <v>0</v>
      </c>
      <c r="FV20">
        <f>'Demand Stage 2'!FV19</f>
        <v>0</v>
      </c>
      <c r="FW20">
        <f>'Demand Stage 2'!FW19</f>
        <v>0</v>
      </c>
      <c r="FX20">
        <f>'Demand Stage 2'!FX19</f>
        <v>0</v>
      </c>
      <c r="FY20">
        <f>'Demand Stage 2'!FY19</f>
        <v>0</v>
      </c>
      <c r="FZ20">
        <f>'Demand Stage 2'!FZ19</f>
        <v>0</v>
      </c>
      <c r="GA20">
        <f>'Demand Stage 2'!GA19</f>
        <v>0</v>
      </c>
      <c r="GB20">
        <f>'Demand Stage 2'!GB19</f>
        <v>0</v>
      </c>
      <c r="GC20">
        <f>'Demand Stage 2'!GC19</f>
        <v>0</v>
      </c>
      <c r="GD20">
        <f>'Demand Stage 2'!GD19</f>
        <v>0</v>
      </c>
      <c r="GE20">
        <f>'Demand Stage 2'!GE19</f>
        <v>0</v>
      </c>
      <c r="GF20">
        <f>'Demand Stage 2'!GF19</f>
        <v>0</v>
      </c>
      <c r="GG20">
        <f>'Demand Stage 2'!GG19</f>
        <v>0</v>
      </c>
      <c r="GH20">
        <f>'Demand Stage 2'!GH19</f>
        <v>0</v>
      </c>
      <c r="GI20">
        <f>'Demand Stage 2'!GI19</f>
        <v>0</v>
      </c>
      <c r="GJ20">
        <f>'Demand Stage 2'!GJ19</f>
        <v>0</v>
      </c>
      <c r="GK20">
        <f>'Demand Stage 2'!GK19</f>
        <v>0</v>
      </c>
      <c r="GL20">
        <f>'Demand Stage 2'!GL19</f>
        <v>0</v>
      </c>
      <c r="GM20">
        <f>'Demand Stage 2'!GM19</f>
        <v>0</v>
      </c>
      <c r="GN20">
        <f>'Demand Stage 2'!GN19</f>
        <v>0</v>
      </c>
      <c r="GO20">
        <f>'Demand Stage 2'!GO19</f>
        <v>0</v>
      </c>
      <c r="GP20">
        <f>'Demand Stage 2'!GP19</f>
        <v>0</v>
      </c>
      <c r="GQ20">
        <f>'Demand Stage 2'!GQ19</f>
        <v>0</v>
      </c>
      <c r="GR20">
        <f>'Demand Stage 2'!GR19</f>
        <v>0</v>
      </c>
      <c r="GS20">
        <f>'Demand Stage 2'!GS19</f>
        <v>0</v>
      </c>
      <c r="GT20">
        <f>'Demand Stage 2'!GT19</f>
        <v>0</v>
      </c>
      <c r="GU20">
        <f>'Demand Stage 2'!GU19</f>
        <v>0</v>
      </c>
      <c r="GV20">
        <f>'Demand Stage 2'!GV19</f>
        <v>0</v>
      </c>
      <c r="GW20">
        <f>'Demand Stage 2'!GW19</f>
        <v>0</v>
      </c>
      <c r="GX20">
        <f>'Demand Stage 2'!GX19</f>
        <v>0</v>
      </c>
      <c r="GY20">
        <f>'Demand Stage 2'!GY19</f>
        <v>0</v>
      </c>
      <c r="GZ20">
        <f>'Demand Stage 2'!GZ19</f>
        <v>0</v>
      </c>
      <c r="HA20">
        <f>'Demand Stage 2'!HA19</f>
        <v>0</v>
      </c>
      <c r="HB20">
        <f>'Demand Stage 2'!HB19</f>
        <v>0</v>
      </c>
      <c r="HC20">
        <f>'Demand Stage 2'!HC19</f>
        <v>0</v>
      </c>
      <c r="HD20">
        <f>'Demand Stage 2'!HD19</f>
        <v>0</v>
      </c>
      <c r="HE20">
        <f>'Demand Stage 2'!HE19</f>
        <v>0</v>
      </c>
      <c r="HF20">
        <f>'Demand Stage 2'!HF19</f>
        <v>0</v>
      </c>
      <c r="HG20">
        <f>'Demand Stage 2'!HG19</f>
        <v>0</v>
      </c>
      <c r="HH20">
        <f>'Demand Stage 2'!HH19</f>
        <v>0</v>
      </c>
      <c r="HI20">
        <f>'Demand Stage 2'!HI19</f>
        <v>0</v>
      </c>
      <c r="HJ20">
        <f>'Demand Stage 2'!HJ19</f>
        <v>0</v>
      </c>
      <c r="HK20">
        <f>'Demand Stage 2'!HK19</f>
        <v>0</v>
      </c>
      <c r="HL20">
        <f>'Demand Stage 2'!HL19</f>
        <v>0</v>
      </c>
      <c r="HM20">
        <f>'Demand Stage 2'!HM19</f>
        <v>0</v>
      </c>
      <c r="HN20">
        <f>'Demand Stage 2'!HN19</f>
        <v>0</v>
      </c>
      <c r="HO20">
        <f>'Demand Stage 2'!HO19</f>
        <v>0</v>
      </c>
      <c r="HP20">
        <f>'Demand Stage 2'!HP19</f>
        <v>0</v>
      </c>
      <c r="HQ20">
        <f>'Demand Stage 2'!HQ19</f>
        <v>0</v>
      </c>
      <c r="HR20">
        <f>'Demand Stage 2'!HR19</f>
        <v>0</v>
      </c>
      <c r="HS20">
        <f>'Demand Stage 2'!HS19</f>
        <v>0</v>
      </c>
      <c r="HT20">
        <f>'Demand Stage 2'!HT19</f>
        <v>0</v>
      </c>
      <c r="HU20">
        <f>'Demand Stage 2'!HU19</f>
        <v>0</v>
      </c>
      <c r="HV20">
        <f>'Demand Stage 2'!HV19</f>
        <v>0</v>
      </c>
      <c r="HW20">
        <f>'Demand Stage 2'!HW19</f>
        <v>0</v>
      </c>
      <c r="HX20">
        <f>'Demand Stage 2'!HX19</f>
        <v>0</v>
      </c>
      <c r="HY20">
        <f>'Demand Stage 2'!HY19</f>
        <v>0</v>
      </c>
      <c r="HZ20">
        <f>'Demand Stage 2'!HZ19</f>
        <v>0</v>
      </c>
      <c r="IA20">
        <f>'Demand Stage 2'!IA19</f>
        <v>0</v>
      </c>
      <c r="IB20">
        <f>'Demand Stage 2'!IB19</f>
        <v>0</v>
      </c>
      <c r="IC20">
        <f>'Demand Stage 2'!IC19</f>
        <v>0</v>
      </c>
      <c r="ID20">
        <f>'Demand Stage 2'!ID19</f>
        <v>0</v>
      </c>
      <c r="IE20">
        <f>'Demand Stage 2'!IE19</f>
        <v>0</v>
      </c>
      <c r="IF20">
        <f>'Demand Stage 2'!IF19</f>
        <v>0</v>
      </c>
      <c r="IG20">
        <f>'Demand Stage 2'!IG19</f>
        <v>0</v>
      </c>
      <c r="IH20">
        <f>'Demand Stage 2'!IH19</f>
        <v>0</v>
      </c>
      <c r="II20">
        <f>'Demand Stage 2'!II19</f>
        <v>0</v>
      </c>
      <c r="IJ20">
        <f>'Demand Stage 2'!IJ19</f>
        <v>0</v>
      </c>
      <c r="IK20">
        <f>'Demand Stage 2'!IK19</f>
        <v>0</v>
      </c>
      <c r="IL20">
        <f>'Demand Stage 2'!IL19</f>
        <v>0</v>
      </c>
      <c r="IM20">
        <f>'Demand Stage 2'!IM19</f>
        <v>0</v>
      </c>
      <c r="IN20">
        <f>'Demand Stage 2'!IN19</f>
        <v>0</v>
      </c>
      <c r="IO20">
        <f>'Demand Stage 2'!IO19</f>
        <v>0</v>
      </c>
      <c r="IP20">
        <f>'Demand Stage 2'!IP19</f>
        <v>0</v>
      </c>
      <c r="IQ20">
        <f>'Demand Stage 2'!IQ19</f>
        <v>0</v>
      </c>
      <c r="IR20">
        <f>'Demand Stage 2'!IR19</f>
        <v>0</v>
      </c>
      <c r="IS20">
        <f>'Demand Stage 2'!IS19</f>
        <v>0</v>
      </c>
      <c r="IT20">
        <f>'Demand Stage 2'!IT19</f>
        <v>0</v>
      </c>
      <c r="IU20">
        <f>'Demand Stage 2'!IU19</f>
        <v>0</v>
      </c>
      <c r="IV20">
        <f>'Demand Stage 2'!IV19</f>
        <v>0</v>
      </c>
      <c r="IW20">
        <f>'Demand Stage 2'!IW19</f>
        <v>0</v>
      </c>
      <c r="IX20">
        <f>'Demand Stage 2'!IX19</f>
        <v>0</v>
      </c>
      <c r="IY20">
        <f>'Demand Stage 2'!IY19</f>
        <v>0</v>
      </c>
      <c r="IZ20">
        <f>'Demand Stage 2'!IZ19</f>
        <v>0</v>
      </c>
      <c r="JA20">
        <f>'Demand Stage 2'!JA19</f>
        <v>0</v>
      </c>
      <c r="JB20">
        <f>'Demand Stage 2'!JB19</f>
        <v>0</v>
      </c>
      <c r="JC20">
        <f>'Demand Stage 2'!JC19</f>
        <v>0</v>
      </c>
      <c r="JD20">
        <f>'Demand Stage 2'!JD19</f>
        <v>0</v>
      </c>
      <c r="JE20">
        <f>'Demand Stage 2'!JE19</f>
        <v>0</v>
      </c>
      <c r="JF20">
        <f>'Demand Stage 2'!JF19</f>
        <v>0</v>
      </c>
      <c r="JG20">
        <f>'Demand Stage 2'!JG19</f>
        <v>0</v>
      </c>
      <c r="JH20">
        <f>'Demand Stage 2'!JH19</f>
        <v>0</v>
      </c>
      <c r="JI20">
        <f>'Demand Stage 2'!JI19</f>
        <v>0</v>
      </c>
      <c r="JJ20">
        <f>'Demand Stage 2'!JJ19</f>
        <v>0</v>
      </c>
      <c r="JK20">
        <f>'Demand Stage 2'!JK19</f>
        <v>0</v>
      </c>
      <c r="JL20">
        <f>'Demand Stage 2'!JL19</f>
        <v>0</v>
      </c>
      <c r="JM20">
        <f>'Demand Stage 2'!JM19</f>
        <v>0</v>
      </c>
      <c r="JN20">
        <f>'Demand Stage 2'!JN19</f>
        <v>0</v>
      </c>
      <c r="JO20">
        <f>'Demand Stage 2'!JO19</f>
        <v>0</v>
      </c>
      <c r="JP20">
        <f>'Demand Stage 2'!JP19</f>
        <v>0</v>
      </c>
      <c r="JQ20">
        <f>'Demand Stage 2'!JQ19</f>
        <v>0</v>
      </c>
      <c r="JR20">
        <f>'Demand Stage 2'!JR19</f>
        <v>0</v>
      </c>
      <c r="JS20">
        <f>'Demand Stage 2'!JS19</f>
        <v>0</v>
      </c>
      <c r="JT20">
        <f>'Demand Stage 2'!JT19</f>
        <v>0</v>
      </c>
      <c r="JU20">
        <f>'Demand Stage 2'!JU19</f>
        <v>0</v>
      </c>
      <c r="JV20">
        <f>'Demand Stage 2'!JV19</f>
        <v>0</v>
      </c>
      <c r="JW20">
        <f>'Demand Stage 2'!JW19</f>
        <v>0</v>
      </c>
      <c r="JX20">
        <f>'Demand Stage 2'!JX19</f>
        <v>0</v>
      </c>
      <c r="JY20">
        <f>'Demand Stage 2'!JY19</f>
        <v>0</v>
      </c>
      <c r="JZ20">
        <f>'Demand Stage 2'!JZ19</f>
        <v>0</v>
      </c>
      <c r="KA20">
        <f>'Demand Stage 2'!KA19</f>
        <v>0</v>
      </c>
      <c r="KB20">
        <f>'Demand Stage 2'!KB19</f>
        <v>0</v>
      </c>
      <c r="KC20">
        <f>'Demand Stage 2'!KC19</f>
        <v>0</v>
      </c>
      <c r="KD20">
        <f>'Demand Stage 2'!KD19</f>
        <v>0</v>
      </c>
      <c r="KE20">
        <f>'Demand Stage 2'!KE19</f>
        <v>0</v>
      </c>
      <c r="KF20">
        <f>'Demand Stage 2'!KF19</f>
        <v>0</v>
      </c>
      <c r="KG20">
        <f>'Demand Stage 2'!KG19</f>
        <v>0</v>
      </c>
      <c r="KH20">
        <f>'Demand Stage 2'!KH19</f>
        <v>0</v>
      </c>
      <c r="KI20">
        <f>'Demand Stage 2'!KI19</f>
        <v>0</v>
      </c>
      <c r="KJ20">
        <f>'Demand Stage 2'!KJ19</f>
        <v>0</v>
      </c>
      <c r="KK20">
        <f>'Demand Stage 2'!KK19</f>
        <v>0</v>
      </c>
      <c r="KL20">
        <f>'Demand Stage 2'!KL19</f>
        <v>0</v>
      </c>
      <c r="KM20">
        <f>'Demand Stage 2'!KM19</f>
        <v>0</v>
      </c>
      <c r="KN20">
        <f>'Demand Stage 2'!KN19</f>
        <v>0</v>
      </c>
      <c r="KO20">
        <f>'Demand Stage 2'!KO19</f>
        <v>0</v>
      </c>
      <c r="KP20">
        <f>'Demand Stage 2'!KP19</f>
        <v>0</v>
      </c>
      <c r="KQ20">
        <f>'Demand Stage 2'!KQ19</f>
        <v>0</v>
      </c>
      <c r="KR20">
        <f>'Demand Stage 2'!KR19</f>
        <v>0</v>
      </c>
      <c r="KS20">
        <f>'Demand Stage 2'!KS19</f>
        <v>0</v>
      </c>
      <c r="KT20">
        <f>'Demand Stage 2'!KT19</f>
        <v>0</v>
      </c>
      <c r="KU20">
        <f>'Demand Stage 2'!KU19</f>
        <v>0</v>
      </c>
      <c r="KV20">
        <f>'Demand Stage 2'!KV19</f>
        <v>0</v>
      </c>
      <c r="KW20">
        <f>'Demand Stage 2'!KW19</f>
        <v>0</v>
      </c>
      <c r="KX20">
        <f>'Demand Stage 2'!KX19</f>
        <v>0</v>
      </c>
      <c r="KY20">
        <f>'Demand Stage 2'!KY19</f>
        <v>0</v>
      </c>
      <c r="KZ20">
        <f>'Demand Stage 2'!KZ19</f>
        <v>0</v>
      </c>
      <c r="LA20">
        <f>'Demand Stage 2'!LA19</f>
        <v>0</v>
      </c>
      <c r="LB20">
        <f>'Demand Stage 2'!LB19</f>
        <v>0</v>
      </c>
      <c r="LC20">
        <f>'Demand Stage 2'!LC19</f>
        <v>0</v>
      </c>
      <c r="LD20">
        <f>'Demand Stage 2'!LD19</f>
        <v>0</v>
      </c>
      <c r="LE20">
        <f>'Demand Stage 2'!LE19</f>
        <v>0</v>
      </c>
      <c r="LF20">
        <f>'Demand Stage 2'!LF19</f>
        <v>0</v>
      </c>
      <c r="LG20">
        <f>'Demand Stage 2'!LG19</f>
        <v>0</v>
      </c>
      <c r="LH20">
        <f>'Demand Stage 2'!LH19</f>
        <v>0</v>
      </c>
      <c r="LI20">
        <f>'Demand Stage 2'!LI19</f>
        <v>0</v>
      </c>
      <c r="LJ20">
        <f>'Demand Stage 2'!LJ19</f>
        <v>0</v>
      </c>
      <c r="LK20">
        <f>'Demand Stage 2'!LK19</f>
        <v>0</v>
      </c>
      <c r="LL20">
        <f>'Demand Stage 2'!LL19</f>
        <v>0</v>
      </c>
      <c r="LM20">
        <f>'Demand Stage 2'!LM19</f>
        <v>0</v>
      </c>
      <c r="LN20">
        <f>'Demand Stage 2'!LN19</f>
        <v>0</v>
      </c>
      <c r="LO20">
        <f>'Demand Stage 2'!LO19</f>
        <v>0</v>
      </c>
      <c r="LP20">
        <f>'Demand Stage 2'!LP19</f>
        <v>0</v>
      </c>
      <c r="LQ20">
        <f>'Demand Stage 2'!LQ19</f>
        <v>0</v>
      </c>
      <c r="LR20">
        <f>'Demand Stage 2'!LR19</f>
        <v>0</v>
      </c>
      <c r="LS20">
        <f>'Demand Stage 2'!LS19</f>
        <v>0</v>
      </c>
      <c r="LT20">
        <f>'Demand Stage 2'!LT19</f>
        <v>0</v>
      </c>
      <c r="LU20">
        <f>'Demand Stage 2'!LU19</f>
        <v>0</v>
      </c>
      <c r="LV20">
        <f>'Demand Stage 2'!LV19</f>
        <v>0</v>
      </c>
      <c r="LW20">
        <f>'Demand Stage 2'!LW19</f>
        <v>0</v>
      </c>
      <c r="LX20">
        <f>'Demand Stage 2'!LX19</f>
        <v>0</v>
      </c>
      <c r="LY20">
        <f>'Demand Stage 2'!LY19</f>
        <v>0</v>
      </c>
      <c r="LZ20">
        <f>'Demand Stage 2'!LZ19</f>
        <v>0</v>
      </c>
      <c r="MA20">
        <f>'Demand Stage 2'!MA19</f>
        <v>0</v>
      </c>
      <c r="MB20">
        <f>'Demand Stage 2'!MB19</f>
        <v>0</v>
      </c>
      <c r="MC20">
        <f>'Demand Stage 2'!MC19</f>
        <v>0</v>
      </c>
      <c r="MD20">
        <f>'Demand Stage 2'!MD19</f>
        <v>0</v>
      </c>
      <c r="ME20">
        <f>'Demand Stage 2'!ME19</f>
        <v>0</v>
      </c>
      <c r="MF20">
        <f>'Demand Stage 2'!MF19</f>
        <v>0</v>
      </c>
      <c r="MG20">
        <f>'Demand Stage 2'!MG19</f>
        <v>0</v>
      </c>
      <c r="MH20">
        <f>'Demand Stage 2'!MH19</f>
        <v>0</v>
      </c>
      <c r="MI20">
        <f>'Demand Stage 2'!MI19</f>
        <v>0</v>
      </c>
      <c r="MJ20">
        <f>'Demand Stage 2'!MJ19</f>
        <v>0</v>
      </c>
      <c r="MK20">
        <f>'Demand Stage 2'!MK19</f>
        <v>0</v>
      </c>
      <c r="ML20">
        <f>'Demand Stage 2'!ML19</f>
        <v>0</v>
      </c>
      <c r="MM20">
        <f>'Demand Stage 2'!MM19</f>
        <v>0</v>
      </c>
      <c r="MN20">
        <f>'Demand Stage 2'!MN19</f>
        <v>0</v>
      </c>
      <c r="MO20">
        <f>'Demand Stage 2'!MO19</f>
        <v>0</v>
      </c>
      <c r="MP20">
        <f>'Demand Stage 2'!MP19</f>
        <v>0</v>
      </c>
      <c r="MQ20">
        <f>'Demand Stage 2'!MQ19</f>
        <v>0</v>
      </c>
      <c r="MR20">
        <f>'Demand Stage 2'!MR19</f>
        <v>0</v>
      </c>
      <c r="MS20">
        <f>'Demand Stage 2'!MS19</f>
        <v>0</v>
      </c>
      <c r="MT20">
        <f>'Demand Stage 2'!MT19</f>
        <v>0</v>
      </c>
      <c r="MU20">
        <f>'Demand Stage 2'!MU19</f>
        <v>0</v>
      </c>
      <c r="MV20">
        <f>'Demand Stage 2'!MV19</f>
        <v>0</v>
      </c>
      <c r="MW20">
        <f>'Demand Stage 2'!MW19</f>
        <v>0</v>
      </c>
      <c r="MX20">
        <f>'Demand Stage 2'!MX19</f>
        <v>0</v>
      </c>
      <c r="MY20">
        <f>'Demand Stage 2'!MY19</f>
        <v>0</v>
      </c>
      <c r="MZ20">
        <f>'Demand Stage 2'!MZ19</f>
        <v>0</v>
      </c>
      <c r="NA20">
        <f>'Demand Stage 2'!NA19</f>
        <v>0</v>
      </c>
      <c r="NB20">
        <f>'Demand Stage 2'!NB19</f>
        <v>0</v>
      </c>
      <c r="NC20">
        <f>'Demand Stage 2'!NC19</f>
        <v>0</v>
      </c>
      <c r="ND20">
        <f>'Demand Stage 2'!ND19</f>
        <v>0</v>
      </c>
      <c r="NE20">
        <f>'Demand Stage 2'!NE19</f>
        <v>0</v>
      </c>
      <c r="NF20">
        <f>'Demand Stage 2'!NF19</f>
        <v>0</v>
      </c>
      <c r="NG20">
        <f>'Demand Stage 2'!NG19</f>
        <v>0</v>
      </c>
      <c r="NH20">
        <f>'Demand Stage 2'!NH19</f>
        <v>0</v>
      </c>
      <c r="NI20">
        <f>'Demand Stage 2'!NI19</f>
        <v>0</v>
      </c>
      <c r="NJ20">
        <f>'Demand Stage 2'!NJ19</f>
        <v>0</v>
      </c>
      <c r="NK20">
        <f>'Demand Stage 2'!NK19</f>
        <v>0</v>
      </c>
      <c r="NL20">
        <f>'Demand Stage 2'!NL19</f>
        <v>0</v>
      </c>
      <c r="NM20">
        <f>'Demand Stage 2'!NM19</f>
        <v>0</v>
      </c>
      <c r="NN20">
        <f>'Demand Stage 2'!NN19</f>
        <v>0</v>
      </c>
      <c r="NO20">
        <f>'Demand Stage 2'!NO19</f>
        <v>0</v>
      </c>
      <c r="NP20">
        <f>'Demand Stage 2'!NP19</f>
        <v>0</v>
      </c>
      <c r="NQ20">
        <f>'Demand Stage 2'!NQ19</f>
        <v>0</v>
      </c>
      <c r="NR20">
        <f>'Demand Stage 2'!NR19</f>
        <v>0</v>
      </c>
      <c r="NS20">
        <f>'Demand Stage 2'!NS19</f>
        <v>0</v>
      </c>
      <c r="NT20">
        <f>'Demand Stage 2'!NT19</f>
        <v>0</v>
      </c>
      <c r="NU20">
        <f>'Demand Stage 2'!NU19</f>
        <v>0</v>
      </c>
      <c r="NV20">
        <f>'Demand Stage 2'!NV19</f>
        <v>0</v>
      </c>
      <c r="NW20">
        <f>'Demand Stage 2'!NW19</f>
        <v>0</v>
      </c>
      <c r="NX20">
        <f>'Demand Stage 2'!NX19</f>
        <v>0</v>
      </c>
      <c r="NY20">
        <f>'Demand Stage 2'!NY19</f>
        <v>0</v>
      </c>
      <c r="NZ20">
        <f>'Demand Stage 2'!NZ19</f>
        <v>0</v>
      </c>
      <c r="OA20">
        <f>'Demand Stage 2'!OA19</f>
        <v>0</v>
      </c>
      <c r="OB20">
        <f>'Demand Stage 2'!OB19</f>
        <v>0</v>
      </c>
      <c r="OC20">
        <f>'Demand Stage 2'!OC19</f>
        <v>0</v>
      </c>
      <c r="OD20">
        <f>'Demand Stage 2'!OD19</f>
        <v>0</v>
      </c>
      <c r="OE20">
        <f>'Demand Stage 2'!OE19</f>
        <v>0</v>
      </c>
      <c r="OF20">
        <f>'Demand Stage 2'!OF19</f>
        <v>0</v>
      </c>
      <c r="OG20">
        <f>'Demand Stage 2'!OG19</f>
        <v>0</v>
      </c>
      <c r="OH20">
        <f>'Demand Stage 2'!OH19</f>
        <v>0</v>
      </c>
      <c r="OI20">
        <f>'Demand Stage 2'!OI19</f>
        <v>0</v>
      </c>
      <c r="OJ20">
        <f>'Demand Stage 2'!OJ19</f>
        <v>0</v>
      </c>
      <c r="OK20">
        <f>'Demand Stage 2'!OK19</f>
        <v>0</v>
      </c>
      <c r="OL20">
        <f>'Demand Stage 2'!OL19</f>
        <v>0</v>
      </c>
      <c r="OM20">
        <f>'Demand Stage 2'!OM19</f>
        <v>0</v>
      </c>
      <c r="ON20">
        <f>'Demand Stage 2'!ON19</f>
        <v>0</v>
      </c>
      <c r="OO20">
        <f>'Demand Stage 2'!OO19</f>
        <v>0</v>
      </c>
      <c r="OP20">
        <f>'Demand Stage 2'!OP19</f>
        <v>0</v>
      </c>
      <c r="OQ20">
        <f>'Demand Stage 2'!OQ19</f>
        <v>0</v>
      </c>
      <c r="OR20">
        <f>'Demand Stage 2'!OR19</f>
        <v>0</v>
      </c>
      <c r="OS20">
        <f>'Demand Stage 2'!OS19</f>
        <v>0</v>
      </c>
      <c r="OT20">
        <f>'Demand Stage 2'!OT19</f>
        <v>0</v>
      </c>
      <c r="OU20">
        <f>'Demand Stage 2'!OU19</f>
        <v>0</v>
      </c>
      <c r="OV20">
        <f>'Demand Stage 2'!OV19</f>
        <v>0</v>
      </c>
      <c r="OW20">
        <f>'Demand Stage 2'!OW19</f>
        <v>0</v>
      </c>
      <c r="OX20">
        <f>'Demand Stage 2'!OX19</f>
        <v>0</v>
      </c>
      <c r="OY20">
        <f>'Demand Stage 2'!OY19</f>
        <v>0</v>
      </c>
      <c r="OZ20">
        <f>'Demand Stage 2'!OZ19</f>
        <v>0</v>
      </c>
      <c r="PA20">
        <f>'Demand Stage 2'!PA19</f>
        <v>0</v>
      </c>
      <c r="PB20">
        <f>'Demand Stage 2'!PB19</f>
        <v>0</v>
      </c>
      <c r="PC20">
        <f>'Demand Stage 2'!PC19</f>
        <v>0</v>
      </c>
      <c r="PD20">
        <f>'Demand Stage 2'!PD19</f>
        <v>0</v>
      </c>
      <c r="PE20">
        <f>'Demand Stage 2'!PE19</f>
        <v>0</v>
      </c>
      <c r="PF20">
        <f>'Demand Stage 2'!PF19</f>
        <v>0</v>
      </c>
      <c r="PG20">
        <f>'Demand Stage 2'!PG19</f>
        <v>0</v>
      </c>
      <c r="PH20">
        <f>'Demand Stage 2'!PH19</f>
        <v>0</v>
      </c>
      <c r="PI20">
        <f>'Demand Stage 2'!PI19</f>
        <v>0</v>
      </c>
      <c r="PJ20">
        <f>'Demand Stage 2'!PJ19</f>
        <v>0</v>
      </c>
      <c r="PK20">
        <f>'Demand Stage 2'!PK19</f>
        <v>0</v>
      </c>
      <c r="PL20">
        <f>'Demand Stage 2'!PL19</f>
        <v>0</v>
      </c>
      <c r="PM20">
        <f>'Demand Stage 2'!PM19</f>
        <v>0</v>
      </c>
      <c r="PN20">
        <f>'Demand Stage 2'!PN19</f>
        <v>0</v>
      </c>
      <c r="PO20">
        <f>'Demand Stage 2'!PO19</f>
        <v>0</v>
      </c>
      <c r="PP20">
        <f>'Demand Stage 2'!PP19</f>
        <v>0</v>
      </c>
      <c r="PQ20">
        <f>'Demand Stage 2'!PQ19</f>
        <v>0</v>
      </c>
      <c r="PR20">
        <f>'Demand Stage 2'!PR19</f>
        <v>0</v>
      </c>
      <c r="PS20">
        <f>'Demand Stage 2'!PS19</f>
        <v>0</v>
      </c>
      <c r="PT20">
        <f>'Demand Stage 2'!PT19</f>
        <v>0</v>
      </c>
      <c r="PU20">
        <f>'Demand Stage 2'!PU19</f>
        <v>0</v>
      </c>
      <c r="PV20">
        <f>'Demand Stage 2'!PV19</f>
        <v>0</v>
      </c>
      <c r="PW20">
        <f>'Demand Stage 2'!PW19</f>
        <v>0</v>
      </c>
      <c r="PX20">
        <f>'Demand Stage 2'!PX19</f>
        <v>0</v>
      </c>
      <c r="PY20">
        <f>'Demand Stage 2'!PY19</f>
        <v>0</v>
      </c>
      <c r="PZ20">
        <f>'Demand Stage 2'!PZ19</f>
        <v>0</v>
      </c>
      <c r="QA20">
        <f>'Demand Stage 2'!QA19</f>
        <v>0</v>
      </c>
      <c r="QB20">
        <f>'Demand Stage 2'!QB19</f>
        <v>0</v>
      </c>
      <c r="QC20">
        <f>'Demand Stage 2'!QC19</f>
        <v>0</v>
      </c>
      <c r="QD20">
        <f>'Demand Stage 2'!QD19</f>
        <v>0</v>
      </c>
      <c r="QE20">
        <f>'Demand Stage 2'!QE19</f>
        <v>0</v>
      </c>
      <c r="QF20">
        <f>'Demand Stage 2'!QF19</f>
        <v>0</v>
      </c>
      <c r="QG20">
        <f>'Demand Stage 2'!QG19</f>
        <v>0</v>
      </c>
      <c r="QH20">
        <f>'Demand Stage 2'!QH19</f>
        <v>0</v>
      </c>
      <c r="QI20">
        <f>'Demand Stage 2'!QI19</f>
        <v>0</v>
      </c>
      <c r="QJ20">
        <f>'Demand Stage 2'!QJ19</f>
        <v>0</v>
      </c>
      <c r="QK20">
        <f>'Demand Stage 2'!QK19</f>
        <v>0</v>
      </c>
      <c r="QL20">
        <f>'Demand Stage 2'!QL19</f>
        <v>0</v>
      </c>
      <c r="QM20">
        <f>'Demand Stage 2'!QM19</f>
        <v>0</v>
      </c>
      <c r="QN20">
        <f>'Demand Stage 2'!QN19</f>
        <v>0</v>
      </c>
      <c r="QO20">
        <f>'Demand Stage 2'!QO19</f>
        <v>0</v>
      </c>
      <c r="QP20">
        <f>'Demand Stage 2'!QP19</f>
        <v>0</v>
      </c>
      <c r="QQ20">
        <f>'Demand Stage 2'!QQ19</f>
        <v>0</v>
      </c>
      <c r="QR20">
        <f>'Demand Stage 2'!QR19</f>
        <v>0</v>
      </c>
      <c r="QS20">
        <f>'Demand Stage 2'!QS19</f>
        <v>0</v>
      </c>
      <c r="QT20">
        <f>'Demand Stage 2'!QT19</f>
        <v>0</v>
      </c>
      <c r="QU20">
        <f>'Demand Stage 2'!QU19</f>
        <v>0</v>
      </c>
      <c r="QV20">
        <f>'Demand Stage 2'!QV19</f>
        <v>0</v>
      </c>
      <c r="QW20">
        <f>'Demand Stage 2'!QW19</f>
        <v>0</v>
      </c>
      <c r="QX20">
        <f>'Demand Stage 2'!QX19</f>
        <v>0</v>
      </c>
      <c r="QY20">
        <f>'Demand Stage 2'!QY19</f>
        <v>0</v>
      </c>
      <c r="QZ20">
        <f>'Demand Stage 2'!QZ19</f>
        <v>0</v>
      </c>
      <c r="RA20">
        <f>'Demand Stage 2'!RA19</f>
        <v>0</v>
      </c>
      <c r="RB20">
        <f>'Demand Stage 2'!RB19</f>
        <v>0</v>
      </c>
      <c r="RC20">
        <f>'Demand Stage 2'!RC19</f>
        <v>0</v>
      </c>
      <c r="RD20">
        <f>'Demand Stage 2'!RD19</f>
        <v>0</v>
      </c>
      <c r="RE20">
        <f>'Demand Stage 2'!RE19</f>
        <v>0</v>
      </c>
      <c r="RF20">
        <f>'Demand Stage 2'!RF19</f>
        <v>0</v>
      </c>
      <c r="RG20">
        <f>'Demand Stage 2'!RG19</f>
        <v>0</v>
      </c>
      <c r="RH20">
        <f>'Demand Stage 2'!RH19</f>
        <v>0</v>
      </c>
      <c r="RI20">
        <f>'Demand Stage 2'!RI19</f>
        <v>0</v>
      </c>
      <c r="RJ20">
        <f>'Demand Stage 2'!RJ19</f>
        <v>0</v>
      </c>
      <c r="RK20">
        <f>'Demand Stage 2'!RK19</f>
        <v>0</v>
      </c>
      <c r="RL20">
        <f>'Demand Stage 2'!RL19</f>
        <v>0</v>
      </c>
      <c r="RM20">
        <f>'Demand Stage 2'!RM19</f>
        <v>0</v>
      </c>
      <c r="RN20">
        <f>'Demand Stage 2'!RN19</f>
        <v>0</v>
      </c>
      <c r="RO20">
        <f>'Demand Stage 2'!RO19</f>
        <v>0</v>
      </c>
      <c r="RP20">
        <f>'Demand Stage 2'!RP19</f>
        <v>0</v>
      </c>
      <c r="RQ20">
        <f>'Demand Stage 2'!RQ19</f>
        <v>0</v>
      </c>
      <c r="RR20">
        <f>'Demand Stage 2'!RR19</f>
        <v>0</v>
      </c>
      <c r="RS20">
        <f>'Demand Stage 2'!RS19</f>
        <v>0</v>
      </c>
      <c r="RT20">
        <f>'Demand Stage 2'!RT19</f>
        <v>0</v>
      </c>
      <c r="RU20">
        <f>'Demand Stage 2'!RU19</f>
        <v>0</v>
      </c>
      <c r="RV20">
        <f>'Demand Stage 2'!RV19</f>
        <v>0</v>
      </c>
      <c r="RW20">
        <f>'Demand Stage 2'!RW19</f>
        <v>0</v>
      </c>
      <c r="RX20">
        <f>'Demand Stage 2'!RX19</f>
        <v>0</v>
      </c>
      <c r="RY20">
        <f>'Demand Stage 2'!RY19</f>
        <v>0</v>
      </c>
      <c r="RZ20">
        <f>'Demand Stage 2'!RZ19</f>
        <v>0</v>
      </c>
      <c r="SA20">
        <f>'Demand Stage 2'!SA19</f>
        <v>0</v>
      </c>
      <c r="SB20">
        <f>'Demand Stage 2'!SB19</f>
        <v>0</v>
      </c>
      <c r="SC20">
        <f>'Demand Stage 2'!SC19</f>
        <v>0</v>
      </c>
      <c r="SD20">
        <f>'Demand Stage 2'!SD19</f>
        <v>0</v>
      </c>
      <c r="SE20">
        <f>'Demand Stage 2'!SE19</f>
        <v>0</v>
      </c>
      <c r="SF20">
        <f>'Demand Stage 2'!SF19</f>
        <v>0</v>
      </c>
      <c r="SG20">
        <f>'Demand Stage 2'!SG19</f>
        <v>0</v>
      </c>
      <c r="SH20">
        <f>'Demand Stage 2'!SH19</f>
        <v>0</v>
      </c>
      <c r="SI20">
        <f>'Demand Stage 2'!SI19</f>
        <v>0</v>
      </c>
      <c r="SJ20">
        <f>'Demand Stage 2'!SJ19</f>
        <v>0</v>
      </c>
      <c r="SK20">
        <f>'Demand Stage 2'!SK19</f>
        <v>0</v>
      </c>
      <c r="SL20">
        <f>'Demand Stage 2'!SL19</f>
        <v>0</v>
      </c>
      <c r="SM20">
        <f>'Demand Stage 2'!SM19</f>
        <v>0</v>
      </c>
      <c r="SN20">
        <f>'Demand Stage 2'!SN19</f>
        <v>0</v>
      </c>
      <c r="SO20">
        <f>'Demand Stage 2'!SO19</f>
        <v>0</v>
      </c>
      <c r="SP20">
        <f>'Demand Stage 2'!SP19</f>
        <v>0</v>
      </c>
      <c r="SQ20">
        <f>'Demand Stage 2'!SQ19</f>
        <v>0</v>
      </c>
      <c r="SR20">
        <f>'Demand Stage 2'!SR19</f>
        <v>0</v>
      </c>
      <c r="SS20">
        <f>'Demand Stage 2'!SS19</f>
        <v>0</v>
      </c>
      <c r="ST20">
        <f>'Demand Stage 2'!ST19</f>
        <v>0</v>
      </c>
      <c r="SU20">
        <f>'Demand Stage 2'!SU19</f>
        <v>0</v>
      </c>
      <c r="SV20">
        <f>'Demand Stage 2'!SV19</f>
        <v>0</v>
      </c>
      <c r="SW20">
        <f>'Demand Stage 2'!SW19</f>
        <v>0</v>
      </c>
      <c r="SX20">
        <f>'Demand Stage 2'!SX19</f>
        <v>0</v>
      </c>
      <c r="SY20">
        <f>'Demand Stage 2'!SY19</f>
        <v>0</v>
      </c>
      <c r="SZ20">
        <f>'Demand Stage 2'!SZ19</f>
        <v>0</v>
      </c>
      <c r="TA20">
        <f>'Demand Stage 2'!TA19</f>
        <v>0</v>
      </c>
      <c r="TB20">
        <f>'Demand Stage 2'!TB19</f>
        <v>0</v>
      </c>
      <c r="TC20">
        <f>'Demand Stage 2'!TC19</f>
        <v>0</v>
      </c>
      <c r="TD20">
        <f>'Demand Stage 2'!TD19</f>
        <v>0</v>
      </c>
      <c r="TE20">
        <f>'Demand Stage 2'!TE19</f>
        <v>0</v>
      </c>
      <c r="TF20">
        <f>'Demand Stage 2'!TF19</f>
        <v>0</v>
      </c>
      <c r="TG20">
        <f>'Demand Stage 2'!TG19</f>
        <v>0</v>
      </c>
      <c r="TH20">
        <f>'Demand Stage 2'!TH19</f>
        <v>0</v>
      </c>
      <c r="TI20">
        <f>'Demand Stage 2'!TI19</f>
        <v>0</v>
      </c>
      <c r="TJ20">
        <f>'Demand Stage 2'!TJ19</f>
        <v>0</v>
      </c>
      <c r="TK20">
        <f>'Demand Stage 2'!TK19</f>
        <v>0</v>
      </c>
      <c r="TL20">
        <f>'Demand Stage 2'!TL19</f>
        <v>0</v>
      </c>
      <c r="TM20">
        <f>'Demand Stage 2'!TM19</f>
        <v>0</v>
      </c>
      <c r="TN20">
        <f>'Demand Stage 2'!TN19</f>
        <v>0</v>
      </c>
      <c r="TO20">
        <f>'Demand Stage 2'!TO19</f>
        <v>0</v>
      </c>
      <c r="TP20">
        <f>'Demand Stage 2'!TP19</f>
        <v>0</v>
      </c>
      <c r="TQ20">
        <f>'Demand Stage 2'!TQ19</f>
        <v>0</v>
      </c>
      <c r="TR20">
        <f>'Demand Stage 2'!TR19</f>
        <v>0</v>
      </c>
      <c r="TS20">
        <f>'Demand Stage 2'!TS19</f>
        <v>0</v>
      </c>
      <c r="TT20">
        <f>'Demand Stage 2'!TT19</f>
        <v>0</v>
      </c>
      <c r="TU20">
        <f>'Demand Stage 2'!TU19</f>
        <v>0</v>
      </c>
      <c r="TV20">
        <f>'Demand Stage 2'!TV19</f>
        <v>0</v>
      </c>
      <c r="TW20">
        <f>'Demand Stage 2'!TW19</f>
        <v>0</v>
      </c>
      <c r="TX20">
        <f>'Demand Stage 2'!TX19</f>
        <v>0</v>
      </c>
      <c r="TY20">
        <f>'Demand Stage 2'!TY19</f>
        <v>0</v>
      </c>
      <c r="TZ20">
        <f>'Demand Stage 2'!TZ19</f>
        <v>0</v>
      </c>
      <c r="UA20">
        <f>'Demand Stage 2'!UA19</f>
        <v>0</v>
      </c>
      <c r="UB20">
        <f>'Demand Stage 2'!UB19</f>
        <v>0</v>
      </c>
      <c r="UC20">
        <f>'Demand Stage 2'!UC19</f>
        <v>0</v>
      </c>
      <c r="UD20">
        <f>'Demand Stage 2'!UD19</f>
        <v>0</v>
      </c>
      <c r="UE20">
        <f>'Demand Stage 2'!UE19</f>
        <v>0</v>
      </c>
      <c r="UF20">
        <f>'Demand Stage 2'!UF19</f>
        <v>0</v>
      </c>
      <c r="UG20">
        <f>'Demand Stage 2'!UG19</f>
        <v>0</v>
      </c>
      <c r="UH20">
        <f>'Demand Stage 2'!UH19</f>
        <v>0</v>
      </c>
      <c r="UI20">
        <f>'Demand Stage 2'!UI19</f>
        <v>0</v>
      </c>
      <c r="UJ20">
        <f>'Demand Stage 2'!UJ19</f>
        <v>0</v>
      </c>
      <c r="UK20">
        <f>'Demand Stage 2'!UK19</f>
        <v>0</v>
      </c>
      <c r="UL20">
        <f>'Demand Stage 2'!UL19</f>
        <v>0</v>
      </c>
      <c r="UM20">
        <f>'Demand Stage 2'!UM19</f>
        <v>0</v>
      </c>
      <c r="UN20">
        <f>'Demand Stage 2'!UN19</f>
        <v>0</v>
      </c>
      <c r="UO20">
        <f>'Demand Stage 2'!UO19</f>
        <v>0</v>
      </c>
      <c r="UP20">
        <f>'Demand Stage 2'!UP19</f>
        <v>0</v>
      </c>
      <c r="UQ20">
        <f>'Demand Stage 2'!UQ19</f>
        <v>0</v>
      </c>
      <c r="UR20">
        <f>'Demand Stage 2'!UR19</f>
        <v>0</v>
      </c>
      <c r="US20">
        <f>'Demand Stage 2'!US19</f>
        <v>0</v>
      </c>
      <c r="UT20">
        <f>'Demand Stage 2'!UT19</f>
        <v>0</v>
      </c>
      <c r="UU20">
        <f>'Demand Stage 2'!UU19</f>
        <v>0</v>
      </c>
      <c r="UV20">
        <f>'Demand Stage 2'!UV19</f>
        <v>0</v>
      </c>
      <c r="UW20">
        <f>'Demand Stage 2'!UW19</f>
        <v>0</v>
      </c>
      <c r="UX20">
        <f>'Demand Stage 2'!UX19</f>
        <v>0</v>
      </c>
      <c r="UY20">
        <f>'Demand Stage 2'!UY19</f>
        <v>0</v>
      </c>
      <c r="UZ20">
        <f>'Demand Stage 2'!UZ19</f>
        <v>0</v>
      </c>
      <c r="VA20">
        <f>'Demand Stage 2'!VA19</f>
        <v>0</v>
      </c>
      <c r="VB20">
        <f>'Demand Stage 2'!VB19</f>
        <v>0</v>
      </c>
      <c r="VC20">
        <f>'Demand Stage 2'!VC19</f>
        <v>0</v>
      </c>
      <c r="VD20">
        <f>'Demand Stage 2'!VD19</f>
        <v>0</v>
      </c>
      <c r="VE20">
        <f>'Demand Stage 2'!VE19</f>
        <v>0</v>
      </c>
      <c r="VF20">
        <f>'Demand Stage 2'!VF19</f>
        <v>0</v>
      </c>
      <c r="VG20">
        <f>'Demand Stage 2'!VG19</f>
        <v>0</v>
      </c>
      <c r="VH20">
        <f>'Demand Stage 2'!VH19</f>
        <v>0</v>
      </c>
      <c r="VI20">
        <f>'Demand Stage 2'!VI19</f>
        <v>0</v>
      </c>
      <c r="VJ20">
        <f>'Demand Stage 2'!VJ19</f>
        <v>0</v>
      </c>
      <c r="VK20">
        <f>'Demand Stage 2'!VK19</f>
        <v>0</v>
      </c>
      <c r="VL20">
        <f>'Demand Stage 2'!VL19</f>
        <v>0</v>
      </c>
      <c r="VM20">
        <f>'Demand Stage 2'!VM19</f>
        <v>0</v>
      </c>
      <c r="VN20">
        <f>'Demand Stage 2'!VN19</f>
        <v>0</v>
      </c>
      <c r="VO20">
        <f>'Demand Stage 2'!VO19</f>
        <v>0</v>
      </c>
      <c r="VP20">
        <f>'Demand Stage 2'!VP19</f>
        <v>0</v>
      </c>
      <c r="VQ20">
        <f>'Demand Stage 2'!VQ19</f>
        <v>0</v>
      </c>
      <c r="VR20">
        <f>'Demand Stage 2'!VR19</f>
        <v>0</v>
      </c>
      <c r="VS20">
        <f>'Demand Stage 2'!VS19</f>
        <v>0</v>
      </c>
      <c r="VT20">
        <f>'Demand Stage 2'!VT19</f>
        <v>0</v>
      </c>
      <c r="VU20">
        <f>'Demand Stage 2'!VU19</f>
        <v>0</v>
      </c>
      <c r="VV20">
        <f>'Demand Stage 2'!VV19</f>
        <v>0</v>
      </c>
      <c r="VW20">
        <f>'Demand Stage 2'!VW19</f>
        <v>0</v>
      </c>
      <c r="VX20">
        <f>'Demand Stage 2'!VX19</f>
        <v>0</v>
      </c>
      <c r="VY20">
        <f>'Demand Stage 2'!VY19</f>
        <v>0</v>
      </c>
      <c r="VZ20">
        <f>'Demand Stage 2'!VZ19</f>
        <v>0</v>
      </c>
      <c r="WA20">
        <f>'Demand Stage 2'!WA19</f>
        <v>0</v>
      </c>
      <c r="WB20">
        <f>'Demand Stage 2'!WB19</f>
        <v>0</v>
      </c>
      <c r="WC20">
        <f>'Demand Stage 2'!WC19</f>
        <v>0</v>
      </c>
      <c r="WD20">
        <f>'Demand Stage 2'!WD19</f>
        <v>0</v>
      </c>
      <c r="WE20">
        <f>'Demand Stage 2'!WE19</f>
        <v>0</v>
      </c>
      <c r="WF20">
        <f>'Demand Stage 2'!WF19</f>
        <v>0</v>
      </c>
      <c r="WG20">
        <f>'Demand Stage 2'!WG19</f>
        <v>0</v>
      </c>
      <c r="WH20">
        <f>'Demand Stage 2'!WH19</f>
        <v>0</v>
      </c>
      <c r="WI20">
        <f>'Demand Stage 2'!WI19</f>
        <v>0</v>
      </c>
      <c r="WJ20">
        <f>'Demand Stage 2'!WJ19</f>
        <v>0</v>
      </c>
      <c r="WK20">
        <f>'Demand Stage 2'!WK19</f>
        <v>0</v>
      </c>
      <c r="WL20">
        <f>'Demand Stage 2'!WL19</f>
        <v>0</v>
      </c>
      <c r="WM20">
        <f>'Demand Stage 2'!WM19</f>
        <v>0</v>
      </c>
      <c r="WN20">
        <f>'Demand Stage 2'!WN19</f>
        <v>0</v>
      </c>
      <c r="WO20">
        <f>'Demand Stage 2'!WO19</f>
        <v>0</v>
      </c>
      <c r="WP20">
        <f>'Demand Stage 2'!WP19</f>
        <v>0</v>
      </c>
      <c r="WQ20">
        <f>'Demand Stage 2'!WQ19</f>
        <v>0</v>
      </c>
      <c r="WR20">
        <f>'Demand Stage 2'!WR19</f>
        <v>0</v>
      </c>
      <c r="WS20">
        <f>'Demand Stage 2'!WS19</f>
        <v>0</v>
      </c>
      <c r="WT20">
        <f>'Demand Stage 2'!WT19</f>
        <v>0</v>
      </c>
      <c r="WU20">
        <f>'Demand Stage 2'!WU19</f>
        <v>0</v>
      </c>
      <c r="WV20">
        <f>'Demand Stage 2'!WV19</f>
        <v>0</v>
      </c>
      <c r="WW20">
        <f>'Demand Stage 2'!WW19</f>
        <v>0</v>
      </c>
      <c r="WX20">
        <f>'Demand Stage 2'!WX19</f>
        <v>0</v>
      </c>
      <c r="WY20">
        <f>'Demand Stage 2'!WY19</f>
        <v>0</v>
      </c>
      <c r="WZ20">
        <f>'Demand Stage 2'!WZ19</f>
        <v>0</v>
      </c>
      <c r="XA20">
        <f>'Demand Stage 2'!XA19</f>
        <v>0</v>
      </c>
      <c r="XB20">
        <f>'Demand Stage 2'!XB19</f>
        <v>0</v>
      </c>
      <c r="XC20">
        <f>'Demand Stage 2'!XC19</f>
        <v>0</v>
      </c>
      <c r="XD20">
        <f>'Demand Stage 2'!XD19</f>
        <v>0</v>
      </c>
      <c r="XE20">
        <f>'Demand Stage 2'!XE19</f>
        <v>0</v>
      </c>
      <c r="XF20">
        <f>'Demand Stage 2'!XF19</f>
        <v>0</v>
      </c>
      <c r="XG20">
        <f>'Demand Stage 2'!XG19</f>
        <v>0</v>
      </c>
      <c r="XH20">
        <f>'Demand Stage 2'!XH19</f>
        <v>0</v>
      </c>
      <c r="XI20">
        <f>'Demand Stage 2'!XI19</f>
        <v>0</v>
      </c>
      <c r="XJ20">
        <f>'Demand Stage 2'!XJ19</f>
        <v>0</v>
      </c>
      <c r="XK20">
        <f>'Demand Stage 2'!XK19</f>
        <v>0</v>
      </c>
      <c r="XL20">
        <f>'Demand Stage 2'!XL19</f>
        <v>0</v>
      </c>
      <c r="XM20">
        <f>'Demand Stage 2'!XM19</f>
        <v>0</v>
      </c>
      <c r="XN20">
        <f>'Demand Stage 2'!XN19</f>
        <v>0</v>
      </c>
      <c r="XO20">
        <f>'Demand Stage 2'!XO19</f>
        <v>0</v>
      </c>
      <c r="XP20">
        <f>'Demand Stage 2'!XP19</f>
        <v>0</v>
      </c>
      <c r="XQ20">
        <f>'Demand Stage 2'!XQ19</f>
        <v>0</v>
      </c>
      <c r="XR20">
        <f>'Demand Stage 2'!XR19</f>
        <v>0</v>
      </c>
      <c r="XS20">
        <f>'Demand Stage 2'!XS19</f>
        <v>0</v>
      </c>
      <c r="XT20">
        <f>'Demand Stage 2'!XT19</f>
        <v>0</v>
      </c>
      <c r="XU20">
        <f>'Demand Stage 2'!XU19</f>
        <v>0</v>
      </c>
      <c r="XV20">
        <f>'Demand Stage 2'!XV19</f>
        <v>0</v>
      </c>
      <c r="XW20">
        <f>'Demand Stage 2'!XW19</f>
        <v>0</v>
      </c>
      <c r="XX20">
        <f>'Demand Stage 2'!XX19</f>
        <v>0</v>
      </c>
      <c r="XY20">
        <f>'Demand Stage 2'!XY19</f>
        <v>0</v>
      </c>
      <c r="XZ20">
        <f>'Demand Stage 2'!XZ19</f>
        <v>0</v>
      </c>
      <c r="YA20">
        <f>'Demand Stage 2'!YA19</f>
        <v>0</v>
      </c>
      <c r="YB20">
        <f>'Demand Stage 2'!YB19</f>
        <v>0</v>
      </c>
      <c r="YC20">
        <f>'Demand Stage 2'!YC19</f>
        <v>0</v>
      </c>
      <c r="YD20">
        <f>'Demand Stage 2'!YD19</f>
        <v>0</v>
      </c>
      <c r="YE20">
        <f>'Demand Stage 2'!YE19</f>
        <v>0</v>
      </c>
      <c r="YF20">
        <f>'Demand Stage 2'!YF19</f>
        <v>0</v>
      </c>
      <c r="YG20">
        <f>'Demand Stage 2'!YG19</f>
        <v>0</v>
      </c>
      <c r="YH20">
        <f>'Demand Stage 2'!YH19</f>
        <v>0</v>
      </c>
      <c r="YI20">
        <f>'Demand Stage 2'!YI19</f>
        <v>0</v>
      </c>
      <c r="YJ20">
        <f>'Demand Stage 2'!YJ19</f>
        <v>0</v>
      </c>
      <c r="YK20">
        <f>'Demand Stage 2'!YK19</f>
        <v>0</v>
      </c>
      <c r="YL20">
        <f>'Demand Stage 2'!YL19</f>
        <v>0</v>
      </c>
      <c r="YM20">
        <f>'Demand Stage 2'!YM19</f>
        <v>0</v>
      </c>
      <c r="YN20">
        <f>'Demand Stage 2'!YN19</f>
        <v>0</v>
      </c>
      <c r="YO20">
        <f>'Demand Stage 2'!YO19</f>
        <v>0</v>
      </c>
      <c r="YP20">
        <f>'Demand Stage 2'!YP19</f>
        <v>0</v>
      </c>
      <c r="YQ20">
        <f>'Demand Stage 2'!YQ19</f>
        <v>0</v>
      </c>
      <c r="YR20">
        <f>'Demand Stage 2'!YR19</f>
        <v>0</v>
      </c>
      <c r="YS20">
        <f>'Demand Stage 2'!YS19</f>
        <v>0</v>
      </c>
      <c r="YT20">
        <f>'Demand Stage 2'!YT19</f>
        <v>0</v>
      </c>
      <c r="YU20">
        <f>'Demand Stage 2'!YU19</f>
        <v>0</v>
      </c>
      <c r="YV20">
        <f>'Demand Stage 2'!YV19</f>
        <v>0</v>
      </c>
      <c r="YW20">
        <f>'Demand Stage 2'!YW19</f>
        <v>0</v>
      </c>
      <c r="YX20">
        <f>'Demand Stage 2'!YX19</f>
        <v>0</v>
      </c>
      <c r="YY20">
        <f>'Demand Stage 2'!YY19</f>
        <v>0</v>
      </c>
      <c r="YZ20">
        <f>'Demand Stage 2'!YZ19</f>
        <v>0</v>
      </c>
      <c r="ZA20">
        <f>'Demand Stage 2'!ZA19</f>
        <v>0</v>
      </c>
      <c r="ZB20">
        <f>'Demand Stage 2'!ZB19</f>
        <v>0</v>
      </c>
      <c r="ZC20">
        <f>'Demand Stage 2'!ZC19</f>
        <v>0</v>
      </c>
      <c r="ZD20">
        <f>'Demand Stage 2'!ZD19</f>
        <v>0</v>
      </c>
      <c r="ZE20">
        <f>'Demand Stage 2'!ZE19</f>
        <v>0</v>
      </c>
      <c r="ZF20">
        <f>'Demand Stage 2'!ZF19</f>
        <v>0</v>
      </c>
      <c r="ZG20">
        <f>'Demand Stage 2'!ZG19</f>
        <v>0</v>
      </c>
      <c r="ZH20">
        <f>'Demand Stage 2'!ZH19</f>
        <v>0</v>
      </c>
      <c r="ZI20">
        <f>'Demand Stage 2'!ZI19</f>
        <v>0</v>
      </c>
      <c r="ZJ20">
        <f>'Demand Stage 2'!ZJ19</f>
        <v>0</v>
      </c>
      <c r="ZK20">
        <f>'Demand Stage 2'!ZK19</f>
        <v>0</v>
      </c>
      <c r="ZL20">
        <f>'Demand Stage 2'!ZL19</f>
        <v>0</v>
      </c>
      <c r="ZM20">
        <f>'Demand Stage 2'!ZM19</f>
        <v>0</v>
      </c>
      <c r="ZN20">
        <f>'Demand Stage 2'!ZN19</f>
        <v>0</v>
      </c>
      <c r="ZO20">
        <f>'Demand Stage 2'!ZO19</f>
        <v>0</v>
      </c>
      <c r="ZP20">
        <f>'Demand Stage 2'!ZP19</f>
        <v>0</v>
      </c>
      <c r="ZQ20">
        <f>'Demand Stage 2'!ZQ19</f>
        <v>0</v>
      </c>
      <c r="ZR20">
        <f>'Demand Stage 2'!ZR19</f>
        <v>0</v>
      </c>
      <c r="ZS20">
        <f>'Demand Stage 2'!ZS19</f>
        <v>0</v>
      </c>
      <c r="ZT20">
        <f>'Demand Stage 2'!ZT19</f>
        <v>0</v>
      </c>
      <c r="ZU20">
        <f>'Demand Stage 2'!ZU19</f>
        <v>0</v>
      </c>
      <c r="ZV20">
        <f>'Demand Stage 2'!ZV19</f>
        <v>0</v>
      </c>
      <c r="ZW20">
        <f>'Demand Stage 2'!ZW19</f>
        <v>0</v>
      </c>
      <c r="ZX20">
        <f>'Demand Stage 2'!ZX19</f>
        <v>0</v>
      </c>
      <c r="ZY20">
        <f>'Demand Stage 2'!ZY19</f>
        <v>0</v>
      </c>
      <c r="ZZ20">
        <f>'Demand Stage 2'!ZZ19</f>
        <v>0</v>
      </c>
      <c r="AAA20">
        <f>'Demand Stage 2'!AAA19</f>
        <v>0</v>
      </c>
      <c r="AAB20">
        <f>'Demand Stage 2'!AAB19</f>
        <v>0</v>
      </c>
      <c r="AAC20">
        <f>'Demand Stage 2'!AAC19</f>
        <v>0</v>
      </c>
      <c r="AAD20">
        <f t="shared" si="33"/>
        <v>0</v>
      </c>
      <c r="AAE20">
        <f t="shared" si="66"/>
        <v>0</v>
      </c>
      <c r="AAF20">
        <f t="shared" si="67"/>
        <v>0</v>
      </c>
      <c r="AAG20">
        <f t="shared" si="68"/>
        <v>0</v>
      </c>
      <c r="AAH20">
        <f t="shared" si="69"/>
        <v>0</v>
      </c>
      <c r="AAI20">
        <f t="shared" si="70"/>
        <v>0</v>
      </c>
      <c r="AAJ20">
        <f t="shared" si="71"/>
        <v>0</v>
      </c>
      <c r="AAK20">
        <f t="shared" si="72"/>
        <v>0</v>
      </c>
      <c r="AAL20">
        <f t="shared" si="73"/>
        <v>0</v>
      </c>
      <c r="AAM20">
        <f t="shared" si="74"/>
        <v>0</v>
      </c>
      <c r="AAN20">
        <f t="shared" si="75"/>
        <v>0</v>
      </c>
      <c r="AAO20">
        <f t="shared" si="76"/>
        <v>0</v>
      </c>
      <c r="AAP20">
        <f t="shared" si="77"/>
        <v>0</v>
      </c>
      <c r="AAQ20">
        <f t="shared" si="78"/>
        <v>0</v>
      </c>
      <c r="AAR20">
        <f t="shared" si="79"/>
        <v>0</v>
      </c>
      <c r="AAS20">
        <f t="shared" si="80"/>
        <v>0</v>
      </c>
      <c r="AAT20">
        <f t="shared" si="81"/>
        <v>0</v>
      </c>
      <c r="AAU20">
        <f t="shared" si="82"/>
        <v>0</v>
      </c>
      <c r="AAV20">
        <f t="shared" si="83"/>
        <v>0</v>
      </c>
      <c r="AAW20">
        <f t="shared" si="84"/>
        <v>0</v>
      </c>
      <c r="AAX20">
        <f t="shared" si="85"/>
        <v>0</v>
      </c>
      <c r="AAY20">
        <f t="shared" si="86"/>
        <v>0</v>
      </c>
      <c r="AAZ20">
        <f t="shared" si="87"/>
        <v>0</v>
      </c>
      <c r="ABA20">
        <f t="shared" si="88"/>
        <v>0</v>
      </c>
      <c r="ABB20">
        <f t="shared" si="89"/>
        <v>0</v>
      </c>
      <c r="ABC20">
        <f t="shared" si="90"/>
        <v>0</v>
      </c>
      <c r="ABD20">
        <f t="shared" si="91"/>
        <v>0</v>
      </c>
      <c r="ABE20">
        <f t="shared" si="92"/>
        <v>0</v>
      </c>
      <c r="ABF20">
        <f t="shared" si="93"/>
        <v>0</v>
      </c>
      <c r="ABG20">
        <f t="shared" si="94"/>
        <v>0</v>
      </c>
      <c r="ABH20">
        <f t="shared" si="95"/>
        <v>0</v>
      </c>
      <c r="ABI20">
        <f t="shared" si="96"/>
        <v>0</v>
      </c>
      <c r="ABJ20">
        <f t="shared" si="97"/>
        <v>0</v>
      </c>
      <c r="ABK20">
        <f t="shared" si="98"/>
        <v>0</v>
      </c>
      <c r="ABL20">
        <f t="shared" si="99"/>
        <v>0</v>
      </c>
      <c r="ABM20">
        <f t="shared" si="100"/>
        <v>0</v>
      </c>
      <c r="ABN20">
        <f t="shared" si="101"/>
        <v>0</v>
      </c>
      <c r="ABO20">
        <f t="shared" si="102"/>
        <v>0</v>
      </c>
      <c r="ABP20">
        <f t="shared" si="103"/>
        <v>0</v>
      </c>
      <c r="ABQ20">
        <f t="shared" si="104"/>
        <v>0</v>
      </c>
      <c r="ABR20">
        <f t="shared" si="105"/>
        <v>0</v>
      </c>
      <c r="ABS20">
        <f t="shared" si="106"/>
        <v>0</v>
      </c>
      <c r="ABT20">
        <f t="shared" si="107"/>
        <v>0</v>
      </c>
      <c r="ABU20">
        <f t="shared" si="108"/>
        <v>0</v>
      </c>
      <c r="ABV20">
        <f t="shared" si="109"/>
        <v>0</v>
      </c>
      <c r="ABW20">
        <f t="shared" si="110"/>
        <v>0</v>
      </c>
      <c r="ABX20">
        <f t="shared" si="111"/>
        <v>0</v>
      </c>
      <c r="ABY20">
        <f t="shared" si="112"/>
        <v>0</v>
      </c>
      <c r="ABZ20">
        <f t="shared" si="113"/>
        <v>0</v>
      </c>
      <c r="ACA20">
        <f t="shared" si="114"/>
        <v>0</v>
      </c>
      <c r="ACB20">
        <f t="shared" si="115"/>
        <v>0</v>
      </c>
      <c r="ACC20">
        <f t="shared" si="116"/>
        <v>0</v>
      </c>
      <c r="ACD20">
        <f t="shared" si="117"/>
        <v>0</v>
      </c>
      <c r="ACE20">
        <f t="shared" si="118"/>
        <v>0</v>
      </c>
      <c r="ACF20">
        <f t="shared" si="119"/>
        <v>0</v>
      </c>
      <c r="ACG20">
        <f t="shared" si="120"/>
        <v>0</v>
      </c>
      <c r="ACH20">
        <f t="shared" si="121"/>
        <v>0</v>
      </c>
      <c r="ACI20">
        <f t="shared" si="122"/>
        <v>0</v>
      </c>
      <c r="ACJ20">
        <f t="shared" si="123"/>
        <v>0</v>
      </c>
      <c r="ACK20">
        <f t="shared" si="124"/>
        <v>0</v>
      </c>
      <c r="ACL20">
        <f t="shared" si="125"/>
        <v>0</v>
      </c>
      <c r="ACM20">
        <f t="shared" si="126"/>
        <v>0</v>
      </c>
      <c r="ACN20">
        <f t="shared" si="127"/>
        <v>0</v>
      </c>
      <c r="ACO20">
        <f t="shared" si="128"/>
        <v>0</v>
      </c>
      <c r="ACP20">
        <f t="shared" si="34"/>
        <v>0</v>
      </c>
      <c r="ACQ20">
        <f t="shared" si="129"/>
        <v>0</v>
      </c>
      <c r="ACR20">
        <f t="shared" si="130"/>
        <v>0</v>
      </c>
      <c r="ACS20">
        <f t="shared" si="131"/>
        <v>0</v>
      </c>
      <c r="ACT20">
        <f t="shared" si="132"/>
        <v>0</v>
      </c>
      <c r="ACU20">
        <f t="shared" si="133"/>
        <v>0</v>
      </c>
      <c r="ACV20">
        <f t="shared" si="134"/>
        <v>0</v>
      </c>
      <c r="ACW20">
        <f t="shared" si="135"/>
        <v>0</v>
      </c>
      <c r="ACX20">
        <f t="shared" si="136"/>
        <v>0</v>
      </c>
      <c r="ACY20">
        <f t="shared" si="137"/>
        <v>0</v>
      </c>
      <c r="ACZ20">
        <f t="shared" si="138"/>
        <v>0</v>
      </c>
      <c r="ADA20">
        <f t="shared" si="139"/>
        <v>0</v>
      </c>
      <c r="ADB20">
        <f t="shared" si="140"/>
        <v>0</v>
      </c>
      <c r="ADC20">
        <f t="shared" si="141"/>
        <v>0</v>
      </c>
      <c r="ADD20">
        <f t="shared" si="142"/>
        <v>0</v>
      </c>
      <c r="ADE20">
        <f t="shared" si="143"/>
        <v>0</v>
      </c>
      <c r="ADF20">
        <f t="shared" si="144"/>
        <v>0</v>
      </c>
      <c r="ADG20">
        <f t="shared" si="145"/>
        <v>0</v>
      </c>
      <c r="ADH20">
        <f t="shared" si="146"/>
        <v>0</v>
      </c>
      <c r="ADI20">
        <f t="shared" si="147"/>
        <v>0</v>
      </c>
      <c r="ADJ20">
        <f t="shared" si="148"/>
        <v>0</v>
      </c>
      <c r="ADK20">
        <f t="shared" si="149"/>
        <v>0</v>
      </c>
      <c r="ADL20">
        <f t="shared" si="150"/>
        <v>0</v>
      </c>
      <c r="ADM20">
        <f t="shared" si="151"/>
        <v>0</v>
      </c>
      <c r="ADN20">
        <f t="shared" si="152"/>
        <v>0</v>
      </c>
      <c r="ADO20">
        <f t="shared" si="153"/>
        <v>0</v>
      </c>
      <c r="ADP20">
        <f t="shared" si="154"/>
        <v>0</v>
      </c>
      <c r="ADQ20">
        <f t="shared" si="155"/>
        <v>0</v>
      </c>
      <c r="ADR20">
        <f t="shared" si="156"/>
        <v>0</v>
      </c>
      <c r="ADS20">
        <f t="shared" si="157"/>
        <v>0</v>
      </c>
      <c r="ADT20">
        <f t="shared" si="158"/>
        <v>0</v>
      </c>
      <c r="ADU20">
        <f t="shared" si="159"/>
        <v>0</v>
      </c>
      <c r="ADV20">
        <f t="shared" si="160"/>
        <v>0</v>
      </c>
      <c r="ADW20">
        <f t="shared" si="161"/>
        <v>0</v>
      </c>
      <c r="ADX20">
        <f t="shared" si="162"/>
        <v>0</v>
      </c>
      <c r="ADY20">
        <f t="shared" si="163"/>
        <v>0</v>
      </c>
      <c r="ADZ20">
        <f t="shared" si="164"/>
        <v>0</v>
      </c>
      <c r="AEA20">
        <f t="shared" si="165"/>
        <v>0</v>
      </c>
      <c r="AEB20">
        <f t="shared" si="166"/>
        <v>0</v>
      </c>
      <c r="AEC20">
        <f t="shared" si="167"/>
        <v>0</v>
      </c>
      <c r="AED20">
        <f t="shared" si="168"/>
        <v>0</v>
      </c>
      <c r="AEE20">
        <f t="shared" si="169"/>
        <v>0</v>
      </c>
      <c r="AEF20">
        <f t="shared" si="170"/>
        <v>0</v>
      </c>
      <c r="AEG20">
        <f t="shared" si="171"/>
        <v>0</v>
      </c>
      <c r="AEH20">
        <f t="shared" si="172"/>
        <v>0</v>
      </c>
      <c r="AEI20">
        <f t="shared" si="173"/>
        <v>0</v>
      </c>
      <c r="AEJ20">
        <f t="shared" si="174"/>
        <v>0</v>
      </c>
      <c r="AEK20">
        <f t="shared" si="175"/>
        <v>0</v>
      </c>
      <c r="AEL20">
        <f t="shared" si="176"/>
        <v>0</v>
      </c>
      <c r="AEM20">
        <f t="shared" si="177"/>
        <v>0</v>
      </c>
      <c r="AEN20">
        <f t="shared" si="178"/>
        <v>0</v>
      </c>
      <c r="AEO20">
        <f t="shared" si="179"/>
        <v>0</v>
      </c>
      <c r="AEP20">
        <f t="shared" si="180"/>
        <v>0</v>
      </c>
      <c r="AEQ20">
        <f t="shared" si="181"/>
        <v>0</v>
      </c>
      <c r="AER20">
        <f t="shared" si="182"/>
        <v>0</v>
      </c>
      <c r="AES20">
        <f t="shared" si="183"/>
        <v>0</v>
      </c>
      <c r="AET20">
        <f t="shared" si="184"/>
        <v>0</v>
      </c>
      <c r="AEU20">
        <f t="shared" si="185"/>
        <v>0</v>
      </c>
      <c r="AEV20">
        <f t="shared" si="186"/>
        <v>0</v>
      </c>
      <c r="AEW20">
        <f t="shared" si="187"/>
        <v>0</v>
      </c>
      <c r="AEX20">
        <f t="shared" si="188"/>
        <v>0</v>
      </c>
      <c r="AEY20">
        <f t="shared" si="189"/>
        <v>0</v>
      </c>
      <c r="AEZ20">
        <f t="shared" si="190"/>
        <v>0</v>
      </c>
      <c r="AFA20">
        <f t="shared" si="191"/>
        <v>0</v>
      </c>
      <c r="AFB20">
        <f t="shared" si="35"/>
        <v>0</v>
      </c>
      <c r="AFC20">
        <f t="shared" si="192"/>
        <v>0</v>
      </c>
      <c r="AFD20">
        <f t="shared" si="193"/>
        <v>0</v>
      </c>
      <c r="AFE20">
        <f t="shared" si="194"/>
        <v>0</v>
      </c>
      <c r="AFF20">
        <f t="shared" si="195"/>
        <v>0</v>
      </c>
      <c r="AFG20">
        <f t="shared" si="196"/>
        <v>0</v>
      </c>
      <c r="AFH20">
        <f t="shared" si="197"/>
        <v>0</v>
      </c>
      <c r="AFI20">
        <f t="shared" si="198"/>
        <v>0</v>
      </c>
      <c r="AFJ20">
        <f t="shared" si="199"/>
        <v>0</v>
      </c>
      <c r="AFK20">
        <f t="shared" si="200"/>
        <v>0</v>
      </c>
      <c r="AFL20">
        <f t="shared" si="201"/>
        <v>0</v>
      </c>
      <c r="AFM20">
        <f t="shared" si="202"/>
        <v>0</v>
      </c>
      <c r="AFN20">
        <f t="shared" si="203"/>
        <v>0</v>
      </c>
      <c r="AFO20">
        <f t="shared" si="204"/>
        <v>0</v>
      </c>
      <c r="AFP20">
        <f t="shared" si="205"/>
        <v>0</v>
      </c>
      <c r="AFQ20">
        <f t="shared" si="206"/>
        <v>0</v>
      </c>
      <c r="AFR20">
        <f t="shared" si="207"/>
        <v>0</v>
      </c>
      <c r="AFS20">
        <f t="shared" si="208"/>
        <v>0</v>
      </c>
      <c r="AFT20">
        <f t="shared" si="209"/>
        <v>0</v>
      </c>
      <c r="AFU20">
        <f t="shared" si="210"/>
        <v>0</v>
      </c>
      <c r="AFV20">
        <f t="shared" si="211"/>
        <v>0</v>
      </c>
      <c r="AFW20">
        <f t="shared" si="212"/>
        <v>0</v>
      </c>
      <c r="AFX20">
        <f t="shared" si="213"/>
        <v>0</v>
      </c>
      <c r="AFY20">
        <f t="shared" si="214"/>
        <v>0</v>
      </c>
      <c r="AFZ20">
        <f t="shared" si="215"/>
        <v>0</v>
      </c>
      <c r="AGA20">
        <f t="shared" si="216"/>
        <v>0</v>
      </c>
      <c r="AGB20">
        <f t="shared" si="217"/>
        <v>0</v>
      </c>
      <c r="AGC20">
        <f t="shared" si="218"/>
        <v>0</v>
      </c>
      <c r="AGD20">
        <f t="shared" si="219"/>
        <v>0</v>
      </c>
      <c r="AGE20">
        <f t="shared" si="220"/>
        <v>0</v>
      </c>
      <c r="AGF20">
        <f t="shared" si="221"/>
        <v>0</v>
      </c>
      <c r="AGG20">
        <f t="shared" si="222"/>
        <v>0</v>
      </c>
      <c r="AGH20">
        <f t="shared" si="223"/>
        <v>0</v>
      </c>
      <c r="AGI20">
        <f t="shared" si="224"/>
        <v>0</v>
      </c>
      <c r="AGJ20">
        <f t="shared" si="225"/>
        <v>0</v>
      </c>
      <c r="AGK20">
        <f t="shared" si="226"/>
        <v>0</v>
      </c>
      <c r="AGL20">
        <f t="shared" si="227"/>
        <v>0</v>
      </c>
      <c r="AGM20">
        <f t="shared" si="228"/>
        <v>0</v>
      </c>
      <c r="AGN20">
        <f t="shared" si="229"/>
        <v>0</v>
      </c>
      <c r="AGO20">
        <f t="shared" si="230"/>
        <v>0</v>
      </c>
      <c r="AGP20">
        <f t="shared" si="231"/>
        <v>0</v>
      </c>
      <c r="AGQ20">
        <f t="shared" si="232"/>
        <v>0</v>
      </c>
      <c r="AGR20">
        <f t="shared" si="233"/>
        <v>0</v>
      </c>
      <c r="AGS20">
        <f t="shared" si="234"/>
        <v>0</v>
      </c>
      <c r="AGT20">
        <f t="shared" si="235"/>
        <v>0</v>
      </c>
      <c r="AGU20">
        <f t="shared" si="236"/>
        <v>0</v>
      </c>
      <c r="AGV20">
        <f t="shared" si="237"/>
        <v>0</v>
      </c>
      <c r="AGW20">
        <f t="shared" si="238"/>
        <v>0</v>
      </c>
      <c r="AGX20">
        <f t="shared" si="239"/>
        <v>0</v>
      </c>
      <c r="AGY20">
        <f t="shared" si="240"/>
        <v>0</v>
      </c>
      <c r="AGZ20">
        <f t="shared" si="241"/>
        <v>0</v>
      </c>
      <c r="AHA20">
        <f t="shared" si="242"/>
        <v>0</v>
      </c>
      <c r="AHB20">
        <f t="shared" si="243"/>
        <v>0</v>
      </c>
      <c r="AHC20">
        <f t="shared" si="244"/>
        <v>0</v>
      </c>
      <c r="AHD20">
        <f t="shared" si="245"/>
        <v>0</v>
      </c>
      <c r="AHE20">
        <f t="shared" si="246"/>
        <v>0</v>
      </c>
      <c r="AHF20">
        <f t="shared" si="247"/>
        <v>0</v>
      </c>
      <c r="AHG20">
        <f t="shared" si="248"/>
        <v>0</v>
      </c>
      <c r="AHH20">
        <f t="shared" si="249"/>
        <v>0</v>
      </c>
      <c r="AHI20">
        <f t="shared" si="250"/>
        <v>0</v>
      </c>
      <c r="AHJ20">
        <f t="shared" si="251"/>
        <v>0</v>
      </c>
      <c r="AHK20">
        <f t="shared" si="252"/>
        <v>0</v>
      </c>
      <c r="AHL20">
        <f t="shared" si="253"/>
        <v>0</v>
      </c>
      <c r="AHM20">
        <f t="shared" si="254"/>
        <v>0</v>
      </c>
      <c r="AHN20">
        <f t="shared" si="36"/>
        <v>0</v>
      </c>
      <c r="AHO20">
        <f t="shared" si="255"/>
        <v>0</v>
      </c>
      <c r="AHP20">
        <f t="shared" si="256"/>
        <v>0</v>
      </c>
      <c r="AHQ20">
        <f t="shared" si="257"/>
        <v>0</v>
      </c>
      <c r="AHR20">
        <f t="shared" si="258"/>
        <v>0</v>
      </c>
      <c r="AHS20">
        <f t="shared" si="259"/>
        <v>0</v>
      </c>
      <c r="AHT20">
        <f t="shared" si="260"/>
        <v>0</v>
      </c>
      <c r="AHU20">
        <f t="shared" si="261"/>
        <v>0</v>
      </c>
      <c r="AHV20">
        <f t="shared" si="262"/>
        <v>0</v>
      </c>
      <c r="AHW20">
        <f t="shared" si="263"/>
        <v>0</v>
      </c>
      <c r="AHX20">
        <f t="shared" si="264"/>
        <v>0</v>
      </c>
      <c r="AHY20">
        <f t="shared" si="265"/>
        <v>0</v>
      </c>
      <c r="AHZ20">
        <f t="shared" si="266"/>
        <v>0</v>
      </c>
      <c r="AIA20">
        <f t="shared" si="267"/>
        <v>0</v>
      </c>
      <c r="AIB20">
        <f t="shared" si="268"/>
        <v>0</v>
      </c>
      <c r="AIC20">
        <f t="shared" si="269"/>
        <v>0</v>
      </c>
      <c r="AID20">
        <f t="shared" si="270"/>
        <v>0</v>
      </c>
      <c r="AIE20">
        <f t="shared" si="271"/>
        <v>0</v>
      </c>
      <c r="AIF20">
        <f t="shared" si="272"/>
        <v>0</v>
      </c>
      <c r="AIG20">
        <f t="shared" si="273"/>
        <v>0</v>
      </c>
      <c r="AIH20">
        <f t="shared" si="274"/>
        <v>0</v>
      </c>
      <c r="AII20">
        <f t="shared" si="275"/>
        <v>0</v>
      </c>
      <c r="AIJ20">
        <f t="shared" si="276"/>
        <v>0</v>
      </c>
      <c r="AIK20">
        <f t="shared" si="277"/>
        <v>0</v>
      </c>
      <c r="AIL20">
        <f t="shared" si="278"/>
        <v>0</v>
      </c>
      <c r="AIM20">
        <f t="shared" si="279"/>
        <v>0</v>
      </c>
      <c r="AIN20">
        <f t="shared" si="280"/>
        <v>0</v>
      </c>
      <c r="AIO20">
        <f t="shared" si="281"/>
        <v>0</v>
      </c>
      <c r="AIP20">
        <f t="shared" si="282"/>
        <v>0</v>
      </c>
      <c r="AIQ20">
        <f t="shared" si="283"/>
        <v>0</v>
      </c>
      <c r="AIR20">
        <f t="shared" si="284"/>
        <v>0</v>
      </c>
      <c r="AIS20">
        <f t="shared" si="285"/>
        <v>0</v>
      </c>
      <c r="AIT20">
        <f t="shared" si="286"/>
        <v>0</v>
      </c>
      <c r="AIU20">
        <f t="shared" si="287"/>
        <v>0</v>
      </c>
      <c r="AIV20">
        <f t="shared" si="288"/>
        <v>0</v>
      </c>
      <c r="AIW20">
        <f t="shared" si="289"/>
        <v>0</v>
      </c>
      <c r="AIX20">
        <f t="shared" si="290"/>
        <v>0</v>
      </c>
      <c r="AIY20">
        <f t="shared" si="291"/>
        <v>0</v>
      </c>
      <c r="AIZ20">
        <f t="shared" si="292"/>
        <v>0</v>
      </c>
      <c r="AJA20">
        <f t="shared" si="293"/>
        <v>0</v>
      </c>
      <c r="AJB20">
        <f t="shared" si="294"/>
        <v>0</v>
      </c>
      <c r="AJC20">
        <f t="shared" si="295"/>
        <v>0</v>
      </c>
      <c r="AJD20">
        <f t="shared" si="296"/>
        <v>0</v>
      </c>
      <c r="AJE20">
        <f t="shared" si="297"/>
        <v>0</v>
      </c>
      <c r="AJF20">
        <f t="shared" si="298"/>
        <v>0</v>
      </c>
      <c r="AJG20">
        <f t="shared" si="299"/>
        <v>0</v>
      </c>
      <c r="AJH20">
        <f t="shared" si="300"/>
        <v>0</v>
      </c>
      <c r="AJI20">
        <f t="shared" si="301"/>
        <v>0</v>
      </c>
      <c r="AJJ20">
        <f t="shared" si="302"/>
        <v>0</v>
      </c>
      <c r="AJK20">
        <f t="shared" si="303"/>
        <v>0</v>
      </c>
      <c r="AJL20">
        <f t="shared" si="304"/>
        <v>0</v>
      </c>
      <c r="AJM20">
        <f t="shared" si="305"/>
        <v>0</v>
      </c>
      <c r="AJN20">
        <f t="shared" si="306"/>
        <v>0</v>
      </c>
      <c r="AJO20">
        <f t="shared" si="307"/>
        <v>0</v>
      </c>
      <c r="AJP20">
        <f t="shared" si="308"/>
        <v>0</v>
      </c>
      <c r="AJQ20">
        <f t="shared" si="309"/>
        <v>0</v>
      </c>
      <c r="AJR20">
        <f t="shared" si="310"/>
        <v>0</v>
      </c>
      <c r="AJS20">
        <f t="shared" si="311"/>
        <v>0</v>
      </c>
      <c r="AJT20">
        <f t="shared" si="312"/>
        <v>0</v>
      </c>
      <c r="AJU20">
        <f t="shared" si="313"/>
        <v>0</v>
      </c>
      <c r="AJV20">
        <f t="shared" si="314"/>
        <v>0</v>
      </c>
      <c r="AJW20">
        <f t="shared" si="315"/>
        <v>0</v>
      </c>
      <c r="AJX20">
        <f t="shared" si="316"/>
        <v>0</v>
      </c>
      <c r="AJY20">
        <f t="shared" si="317"/>
        <v>0</v>
      </c>
      <c r="AJZ20">
        <f t="shared" si="37"/>
        <v>0</v>
      </c>
      <c r="AKA20">
        <f t="shared" si="318"/>
        <v>0</v>
      </c>
      <c r="AKB20">
        <f t="shared" si="319"/>
        <v>0</v>
      </c>
      <c r="AKC20">
        <f t="shared" si="320"/>
        <v>0</v>
      </c>
      <c r="AKD20">
        <f t="shared" si="321"/>
        <v>0</v>
      </c>
      <c r="AKE20">
        <f t="shared" si="322"/>
        <v>0</v>
      </c>
      <c r="AKF20">
        <f t="shared" si="323"/>
        <v>0</v>
      </c>
      <c r="AKG20">
        <f t="shared" si="324"/>
        <v>0</v>
      </c>
      <c r="AKH20">
        <f t="shared" si="325"/>
        <v>0</v>
      </c>
      <c r="AKI20">
        <f t="shared" si="326"/>
        <v>0</v>
      </c>
      <c r="AKJ20">
        <f t="shared" si="327"/>
        <v>0</v>
      </c>
      <c r="AKK20">
        <f t="shared" si="328"/>
        <v>0</v>
      </c>
      <c r="AKL20">
        <f t="shared" si="329"/>
        <v>0</v>
      </c>
      <c r="AKM20">
        <f t="shared" si="330"/>
        <v>0</v>
      </c>
      <c r="AKN20">
        <f t="shared" si="331"/>
        <v>0</v>
      </c>
      <c r="AKO20">
        <f t="shared" si="332"/>
        <v>0</v>
      </c>
      <c r="AKP20">
        <f t="shared" si="333"/>
        <v>0</v>
      </c>
      <c r="AKQ20">
        <f t="shared" si="334"/>
        <v>0</v>
      </c>
      <c r="AKR20">
        <f t="shared" si="335"/>
        <v>0</v>
      </c>
      <c r="AKS20">
        <f t="shared" si="336"/>
        <v>0</v>
      </c>
      <c r="AKT20">
        <f t="shared" si="337"/>
        <v>0</v>
      </c>
      <c r="AKU20">
        <f t="shared" si="338"/>
        <v>0</v>
      </c>
      <c r="AKV20">
        <f t="shared" si="339"/>
        <v>0</v>
      </c>
      <c r="AKW20">
        <f t="shared" si="340"/>
        <v>0</v>
      </c>
      <c r="AKX20">
        <f t="shared" si="341"/>
        <v>0</v>
      </c>
      <c r="AKY20">
        <f t="shared" si="342"/>
        <v>0</v>
      </c>
      <c r="AKZ20">
        <f t="shared" si="343"/>
        <v>0</v>
      </c>
      <c r="ALA20">
        <f t="shared" si="344"/>
        <v>0</v>
      </c>
      <c r="ALB20">
        <f t="shared" si="345"/>
        <v>0</v>
      </c>
      <c r="ALC20">
        <f t="shared" si="346"/>
        <v>0</v>
      </c>
      <c r="ALD20">
        <f t="shared" si="347"/>
        <v>0</v>
      </c>
      <c r="ALE20">
        <f t="shared" si="348"/>
        <v>0</v>
      </c>
      <c r="ALF20">
        <f t="shared" si="349"/>
        <v>0</v>
      </c>
      <c r="ALG20">
        <f t="shared" si="350"/>
        <v>0</v>
      </c>
      <c r="ALH20">
        <f t="shared" si="351"/>
        <v>0</v>
      </c>
      <c r="ALI20">
        <f t="shared" si="352"/>
        <v>0</v>
      </c>
      <c r="ALJ20">
        <f t="shared" si="353"/>
        <v>0</v>
      </c>
      <c r="ALK20">
        <f t="shared" si="354"/>
        <v>0</v>
      </c>
      <c r="ALL20">
        <f t="shared" si="355"/>
        <v>0</v>
      </c>
      <c r="ALM20">
        <f t="shared" si="356"/>
        <v>0</v>
      </c>
      <c r="ALN20">
        <f t="shared" si="357"/>
        <v>0</v>
      </c>
      <c r="ALO20">
        <f t="shared" si="358"/>
        <v>0</v>
      </c>
      <c r="ALP20">
        <f t="shared" si="359"/>
        <v>0</v>
      </c>
      <c r="ALQ20">
        <f t="shared" si="360"/>
        <v>0</v>
      </c>
      <c r="ALR20">
        <f t="shared" si="361"/>
        <v>0</v>
      </c>
      <c r="ALS20">
        <f t="shared" si="362"/>
        <v>0</v>
      </c>
      <c r="ALT20">
        <f t="shared" si="363"/>
        <v>0</v>
      </c>
      <c r="ALU20">
        <f t="shared" si="364"/>
        <v>0</v>
      </c>
      <c r="ALV20">
        <f t="shared" si="365"/>
        <v>0</v>
      </c>
      <c r="ALW20">
        <f t="shared" si="366"/>
        <v>0</v>
      </c>
      <c r="ALX20">
        <f t="shared" si="367"/>
        <v>0</v>
      </c>
      <c r="ALY20">
        <f t="shared" si="368"/>
        <v>0</v>
      </c>
      <c r="ALZ20">
        <f t="shared" si="369"/>
        <v>0</v>
      </c>
      <c r="AMA20">
        <f t="shared" si="370"/>
        <v>0</v>
      </c>
      <c r="AMB20">
        <f t="shared" si="371"/>
        <v>0</v>
      </c>
      <c r="AMC20">
        <f t="shared" si="372"/>
        <v>0</v>
      </c>
      <c r="AMD20">
        <f t="shared" si="373"/>
        <v>0</v>
      </c>
      <c r="AME20">
        <f t="shared" si="374"/>
        <v>0</v>
      </c>
      <c r="AMF20">
        <f t="shared" si="375"/>
        <v>0</v>
      </c>
      <c r="AMG20">
        <f t="shared" si="376"/>
        <v>0</v>
      </c>
      <c r="AMH20">
        <f t="shared" si="377"/>
        <v>0</v>
      </c>
      <c r="AMI20">
        <f t="shared" si="378"/>
        <v>0</v>
      </c>
      <c r="AMJ20">
        <f t="shared" si="379"/>
        <v>0</v>
      </c>
      <c r="AMK20">
        <f t="shared" si="380"/>
        <v>0</v>
      </c>
      <c r="AML20">
        <f t="shared" si="38"/>
        <v>0</v>
      </c>
      <c r="AMM20">
        <f t="shared" si="381"/>
        <v>0</v>
      </c>
      <c r="AMN20">
        <f t="shared" si="382"/>
        <v>0</v>
      </c>
      <c r="AMO20">
        <f t="shared" si="383"/>
        <v>0</v>
      </c>
      <c r="AMP20">
        <f t="shared" si="384"/>
        <v>0</v>
      </c>
      <c r="AMQ20">
        <f t="shared" si="385"/>
        <v>0</v>
      </c>
      <c r="AMR20">
        <f t="shared" si="386"/>
        <v>0</v>
      </c>
      <c r="AMS20">
        <f t="shared" si="387"/>
        <v>0</v>
      </c>
      <c r="AMT20">
        <f t="shared" si="388"/>
        <v>0</v>
      </c>
      <c r="AMU20">
        <f t="shared" si="389"/>
        <v>0</v>
      </c>
      <c r="AMV20">
        <f t="shared" si="390"/>
        <v>0</v>
      </c>
      <c r="AMW20">
        <f t="shared" si="391"/>
        <v>0</v>
      </c>
      <c r="AMX20">
        <f t="shared" si="392"/>
        <v>0</v>
      </c>
      <c r="AMY20">
        <f t="shared" si="393"/>
        <v>0</v>
      </c>
      <c r="AMZ20">
        <f t="shared" si="394"/>
        <v>0</v>
      </c>
      <c r="ANA20">
        <f t="shared" si="395"/>
        <v>0</v>
      </c>
      <c r="ANB20">
        <f t="shared" si="396"/>
        <v>0</v>
      </c>
      <c r="ANC20">
        <f t="shared" si="397"/>
        <v>0</v>
      </c>
      <c r="AND20">
        <f t="shared" si="398"/>
        <v>0</v>
      </c>
      <c r="ANE20">
        <f t="shared" si="399"/>
        <v>0</v>
      </c>
      <c r="ANF20">
        <f t="shared" si="400"/>
        <v>0</v>
      </c>
      <c r="ANG20">
        <f t="shared" si="401"/>
        <v>0</v>
      </c>
      <c r="ANH20">
        <f t="shared" si="402"/>
        <v>0</v>
      </c>
      <c r="ANI20">
        <f t="shared" si="403"/>
        <v>0</v>
      </c>
      <c r="ANJ20">
        <f t="shared" si="404"/>
        <v>0</v>
      </c>
      <c r="ANK20">
        <f t="shared" si="405"/>
        <v>0</v>
      </c>
      <c r="ANL20">
        <f t="shared" si="406"/>
        <v>0</v>
      </c>
      <c r="ANM20">
        <f t="shared" si="407"/>
        <v>0</v>
      </c>
      <c r="ANN20">
        <f t="shared" si="408"/>
        <v>0</v>
      </c>
      <c r="ANO20">
        <f t="shared" si="409"/>
        <v>0</v>
      </c>
      <c r="ANP20">
        <f t="shared" si="410"/>
        <v>0</v>
      </c>
      <c r="ANQ20">
        <f t="shared" si="411"/>
        <v>0</v>
      </c>
      <c r="ANR20">
        <f t="shared" si="412"/>
        <v>0</v>
      </c>
      <c r="ANS20">
        <f t="shared" si="413"/>
        <v>0</v>
      </c>
      <c r="ANT20">
        <f t="shared" si="414"/>
        <v>0</v>
      </c>
      <c r="ANU20">
        <f t="shared" si="415"/>
        <v>0</v>
      </c>
      <c r="ANV20">
        <f t="shared" si="416"/>
        <v>0</v>
      </c>
      <c r="ANW20">
        <f t="shared" si="417"/>
        <v>0</v>
      </c>
      <c r="ANX20">
        <f t="shared" si="418"/>
        <v>0</v>
      </c>
      <c r="ANY20">
        <f t="shared" si="419"/>
        <v>0</v>
      </c>
      <c r="ANZ20">
        <f t="shared" si="420"/>
        <v>0</v>
      </c>
      <c r="AOA20">
        <f t="shared" si="421"/>
        <v>0</v>
      </c>
      <c r="AOB20">
        <f t="shared" si="422"/>
        <v>0</v>
      </c>
      <c r="AOC20">
        <f t="shared" si="423"/>
        <v>0</v>
      </c>
      <c r="AOD20">
        <f t="shared" si="424"/>
        <v>0</v>
      </c>
      <c r="AOE20">
        <f t="shared" si="425"/>
        <v>0</v>
      </c>
      <c r="AOF20">
        <f t="shared" si="426"/>
        <v>0</v>
      </c>
      <c r="AOG20">
        <f t="shared" si="427"/>
        <v>0</v>
      </c>
      <c r="AOH20">
        <f t="shared" si="428"/>
        <v>0</v>
      </c>
      <c r="AOI20">
        <f t="shared" si="429"/>
        <v>0</v>
      </c>
      <c r="AOJ20">
        <f t="shared" si="430"/>
        <v>0</v>
      </c>
      <c r="AOK20">
        <f t="shared" si="431"/>
        <v>0</v>
      </c>
      <c r="AOL20">
        <f t="shared" si="432"/>
        <v>0</v>
      </c>
      <c r="AOM20">
        <f t="shared" si="433"/>
        <v>0</v>
      </c>
      <c r="AON20">
        <f t="shared" si="434"/>
        <v>0</v>
      </c>
      <c r="AOO20">
        <f t="shared" si="435"/>
        <v>0</v>
      </c>
      <c r="AOP20">
        <f t="shared" si="436"/>
        <v>0</v>
      </c>
      <c r="AOQ20">
        <f t="shared" si="437"/>
        <v>0</v>
      </c>
      <c r="AOR20">
        <f t="shared" si="438"/>
        <v>0</v>
      </c>
      <c r="AOS20">
        <f t="shared" si="439"/>
        <v>0</v>
      </c>
      <c r="AOT20">
        <f t="shared" si="440"/>
        <v>0</v>
      </c>
      <c r="AOU20">
        <f t="shared" si="441"/>
        <v>0</v>
      </c>
      <c r="AOV20">
        <f t="shared" si="442"/>
        <v>0</v>
      </c>
      <c r="AOW20">
        <f t="shared" si="443"/>
        <v>0</v>
      </c>
      <c r="AOX20">
        <f t="shared" si="39"/>
        <v>0</v>
      </c>
      <c r="AOY20">
        <f t="shared" si="444"/>
        <v>0</v>
      </c>
      <c r="AOZ20">
        <f t="shared" si="445"/>
        <v>0</v>
      </c>
      <c r="APA20">
        <f t="shared" si="446"/>
        <v>0</v>
      </c>
      <c r="APB20">
        <f t="shared" si="447"/>
        <v>0</v>
      </c>
      <c r="APC20">
        <f t="shared" si="448"/>
        <v>0</v>
      </c>
      <c r="APD20">
        <f t="shared" si="449"/>
        <v>0</v>
      </c>
      <c r="APE20">
        <f t="shared" si="450"/>
        <v>0</v>
      </c>
      <c r="APF20">
        <f t="shared" si="451"/>
        <v>0</v>
      </c>
      <c r="APG20">
        <f t="shared" si="452"/>
        <v>0</v>
      </c>
      <c r="APH20">
        <f t="shared" si="453"/>
        <v>0</v>
      </c>
      <c r="API20">
        <f t="shared" si="454"/>
        <v>0</v>
      </c>
      <c r="APJ20">
        <f t="shared" si="455"/>
        <v>0</v>
      </c>
      <c r="APK20">
        <f t="shared" si="456"/>
        <v>0</v>
      </c>
      <c r="APL20">
        <f t="shared" si="457"/>
        <v>0</v>
      </c>
      <c r="APM20">
        <f t="shared" si="458"/>
        <v>0</v>
      </c>
      <c r="APN20">
        <f t="shared" si="459"/>
        <v>0</v>
      </c>
      <c r="APO20">
        <f t="shared" si="460"/>
        <v>0</v>
      </c>
      <c r="APP20">
        <f t="shared" si="461"/>
        <v>0</v>
      </c>
      <c r="APQ20">
        <f t="shared" si="462"/>
        <v>0</v>
      </c>
      <c r="APR20">
        <f t="shared" si="463"/>
        <v>0</v>
      </c>
      <c r="APS20">
        <f t="shared" si="464"/>
        <v>0</v>
      </c>
      <c r="APT20">
        <f t="shared" si="465"/>
        <v>0</v>
      </c>
      <c r="APU20">
        <f t="shared" si="466"/>
        <v>0</v>
      </c>
      <c r="APV20">
        <f t="shared" si="467"/>
        <v>0</v>
      </c>
      <c r="APW20">
        <f t="shared" si="468"/>
        <v>0</v>
      </c>
      <c r="APX20">
        <f t="shared" si="469"/>
        <v>0</v>
      </c>
      <c r="APY20">
        <f t="shared" si="470"/>
        <v>0</v>
      </c>
      <c r="APZ20">
        <f t="shared" si="471"/>
        <v>0</v>
      </c>
      <c r="AQA20">
        <f t="shared" si="472"/>
        <v>0</v>
      </c>
      <c r="AQB20">
        <f t="shared" si="473"/>
        <v>0</v>
      </c>
      <c r="AQC20">
        <f t="shared" si="474"/>
        <v>0</v>
      </c>
      <c r="AQD20">
        <f t="shared" si="475"/>
        <v>0</v>
      </c>
      <c r="AQE20">
        <f t="shared" si="476"/>
        <v>0</v>
      </c>
      <c r="AQF20">
        <f t="shared" si="477"/>
        <v>0</v>
      </c>
      <c r="AQG20">
        <f t="shared" si="478"/>
        <v>0</v>
      </c>
      <c r="AQH20">
        <f t="shared" si="479"/>
        <v>0</v>
      </c>
      <c r="AQI20">
        <f t="shared" si="480"/>
        <v>0</v>
      </c>
      <c r="AQJ20">
        <f t="shared" si="481"/>
        <v>0</v>
      </c>
      <c r="AQK20">
        <f t="shared" si="482"/>
        <v>0</v>
      </c>
      <c r="AQL20">
        <f t="shared" si="483"/>
        <v>0</v>
      </c>
      <c r="AQM20">
        <f t="shared" si="484"/>
        <v>0</v>
      </c>
      <c r="AQN20">
        <f t="shared" si="485"/>
        <v>0</v>
      </c>
      <c r="AQO20">
        <f t="shared" si="486"/>
        <v>0</v>
      </c>
      <c r="AQP20">
        <f t="shared" si="487"/>
        <v>0</v>
      </c>
      <c r="AQQ20">
        <f t="shared" si="488"/>
        <v>0</v>
      </c>
      <c r="AQR20">
        <f t="shared" si="489"/>
        <v>0</v>
      </c>
      <c r="AQS20">
        <f t="shared" si="490"/>
        <v>0</v>
      </c>
      <c r="AQT20">
        <f t="shared" si="491"/>
        <v>0</v>
      </c>
      <c r="AQU20">
        <f t="shared" si="492"/>
        <v>0</v>
      </c>
      <c r="AQV20">
        <f t="shared" si="493"/>
        <v>0</v>
      </c>
      <c r="AQW20">
        <f t="shared" si="494"/>
        <v>0</v>
      </c>
      <c r="AQX20">
        <f t="shared" si="495"/>
        <v>0</v>
      </c>
      <c r="AQY20">
        <f t="shared" si="496"/>
        <v>0</v>
      </c>
      <c r="AQZ20">
        <f t="shared" si="497"/>
        <v>0</v>
      </c>
      <c r="ARA20">
        <f t="shared" si="498"/>
        <v>0</v>
      </c>
      <c r="ARB20">
        <f t="shared" si="499"/>
        <v>0</v>
      </c>
      <c r="ARC20">
        <f t="shared" si="500"/>
        <v>0</v>
      </c>
      <c r="ARD20">
        <f t="shared" si="501"/>
        <v>0</v>
      </c>
      <c r="ARE20">
        <f t="shared" si="502"/>
        <v>0</v>
      </c>
      <c r="ARF20">
        <f t="shared" si="503"/>
        <v>0</v>
      </c>
      <c r="ARG20">
        <f t="shared" si="504"/>
        <v>0</v>
      </c>
      <c r="ARH20">
        <f t="shared" si="505"/>
        <v>0</v>
      </c>
      <c r="ARI20">
        <f t="shared" si="506"/>
        <v>0</v>
      </c>
      <c r="ARJ20">
        <f t="shared" si="40"/>
        <v>0</v>
      </c>
      <c r="ARK20">
        <f t="shared" si="507"/>
        <v>0</v>
      </c>
      <c r="ARL20">
        <f t="shared" si="508"/>
        <v>0</v>
      </c>
      <c r="ARM20">
        <f t="shared" si="509"/>
        <v>0</v>
      </c>
      <c r="ARN20">
        <f t="shared" si="510"/>
        <v>0</v>
      </c>
      <c r="ARO20">
        <f t="shared" si="511"/>
        <v>0</v>
      </c>
      <c r="ARP20">
        <f t="shared" si="512"/>
        <v>0</v>
      </c>
      <c r="ARQ20">
        <f t="shared" si="513"/>
        <v>0</v>
      </c>
      <c r="ARR20">
        <f t="shared" si="514"/>
        <v>0</v>
      </c>
      <c r="ARS20">
        <f t="shared" si="515"/>
        <v>0</v>
      </c>
      <c r="ART20">
        <f t="shared" si="516"/>
        <v>0</v>
      </c>
      <c r="ARU20">
        <f t="shared" si="517"/>
        <v>0</v>
      </c>
      <c r="ARV20">
        <f t="shared" si="518"/>
        <v>0</v>
      </c>
      <c r="ARW20">
        <f t="shared" si="519"/>
        <v>0</v>
      </c>
      <c r="ARX20">
        <f t="shared" si="520"/>
        <v>0</v>
      </c>
      <c r="ARY20">
        <f t="shared" si="521"/>
        <v>0</v>
      </c>
      <c r="ARZ20">
        <f t="shared" si="522"/>
        <v>0</v>
      </c>
      <c r="ASA20">
        <f t="shared" si="523"/>
        <v>0</v>
      </c>
      <c r="ASB20">
        <f t="shared" si="524"/>
        <v>0</v>
      </c>
      <c r="ASC20">
        <f t="shared" si="525"/>
        <v>0</v>
      </c>
      <c r="ASD20">
        <f t="shared" si="526"/>
        <v>0</v>
      </c>
      <c r="ASE20">
        <f t="shared" si="527"/>
        <v>0</v>
      </c>
      <c r="ASF20">
        <f t="shared" si="528"/>
        <v>0</v>
      </c>
      <c r="ASG20">
        <f t="shared" si="529"/>
        <v>0</v>
      </c>
      <c r="ASH20">
        <f t="shared" si="530"/>
        <v>0</v>
      </c>
      <c r="ASI20">
        <f t="shared" si="531"/>
        <v>0</v>
      </c>
      <c r="ASJ20">
        <f t="shared" si="532"/>
        <v>0</v>
      </c>
      <c r="ASK20">
        <f t="shared" si="533"/>
        <v>0</v>
      </c>
      <c r="ASL20">
        <f t="shared" si="534"/>
        <v>0</v>
      </c>
      <c r="ASM20">
        <f t="shared" si="535"/>
        <v>0</v>
      </c>
      <c r="ASN20">
        <f t="shared" si="536"/>
        <v>0</v>
      </c>
      <c r="ASO20">
        <f t="shared" si="537"/>
        <v>0</v>
      </c>
      <c r="ASP20">
        <f t="shared" si="538"/>
        <v>0</v>
      </c>
      <c r="ASQ20">
        <f t="shared" si="539"/>
        <v>0</v>
      </c>
      <c r="ASR20">
        <f t="shared" si="540"/>
        <v>0</v>
      </c>
      <c r="ASS20">
        <f t="shared" si="541"/>
        <v>0</v>
      </c>
      <c r="AST20">
        <f t="shared" si="542"/>
        <v>0</v>
      </c>
      <c r="ASU20">
        <f t="shared" si="543"/>
        <v>0</v>
      </c>
      <c r="ASV20">
        <f t="shared" si="544"/>
        <v>0</v>
      </c>
      <c r="ASW20">
        <f t="shared" si="545"/>
        <v>0</v>
      </c>
      <c r="ASX20">
        <f t="shared" si="546"/>
        <v>0</v>
      </c>
      <c r="ASY20">
        <f t="shared" si="547"/>
        <v>0</v>
      </c>
      <c r="ASZ20">
        <f t="shared" si="548"/>
        <v>0</v>
      </c>
      <c r="ATA20">
        <f t="shared" si="549"/>
        <v>0</v>
      </c>
      <c r="ATB20">
        <f t="shared" si="550"/>
        <v>0</v>
      </c>
      <c r="ATC20">
        <f t="shared" si="551"/>
        <v>0</v>
      </c>
      <c r="ATD20">
        <f t="shared" si="552"/>
        <v>0</v>
      </c>
      <c r="ATE20">
        <f t="shared" si="553"/>
        <v>0</v>
      </c>
      <c r="ATF20">
        <f t="shared" si="554"/>
        <v>0</v>
      </c>
      <c r="ATG20">
        <f t="shared" si="555"/>
        <v>0</v>
      </c>
      <c r="ATH20">
        <f t="shared" si="556"/>
        <v>0</v>
      </c>
      <c r="ATI20">
        <f t="shared" si="557"/>
        <v>0</v>
      </c>
      <c r="ATJ20">
        <f t="shared" si="558"/>
        <v>0</v>
      </c>
      <c r="ATK20">
        <f t="shared" si="559"/>
        <v>0</v>
      </c>
      <c r="ATL20">
        <f t="shared" si="560"/>
        <v>0</v>
      </c>
      <c r="ATM20">
        <f t="shared" si="561"/>
        <v>0</v>
      </c>
      <c r="ATN20">
        <f t="shared" si="562"/>
        <v>0</v>
      </c>
      <c r="ATO20">
        <f t="shared" si="563"/>
        <v>0</v>
      </c>
      <c r="ATP20">
        <f t="shared" si="564"/>
        <v>0</v>
      </c>
      <c r="ATQ20">
        <f t="shared" si="565"/>
        <v>0</v>
      </c>
      <c r="ATR20">
        <f t="shared" si="566"/>
        <v>0</v>
      </c>
      <c r="ATS20">
        <f t="shared" si="567"/>
        <v>0</v>
      </c>
      <c r="ATT20">
        <f t="shared" si="568"/>
        <v>0</v>
      </c>
      <c r="ATU20">
        <f t="shared" si="569"/>
        <v>0</v>
      </c>
      <c r="ATV20">
        <f t="shared" si="41"/>
        <v>0</v>
      </c>
      <c r="ATW20">
        <f t="shared" si="570"/>
        <v>0</v>
      </c>
      <c r="ATX20">
        <f t="shared" si="571"/>
        <v>0</v>
      </c>
      <c r="ATY20">
        <f t="shared" si="572"/>
        <v>0</v>
      </c>
      <c r="ATZ20">
        <f t="shared" si="573"/>
        <v>0</v>
      </c>
      <c r="AUA20">
        <f t="shared" si="574"/>
        <v>0</v>
      </c>
      <c r="AUB20">
        <f t="shared" si="575"/>
        <v>0</v>
      </c>
      <c r="AUC20">
        <f t="shared" si="576"/>
        <v>0</v>
      </c>
      <c r="AUD20">
        <f t="shared" si="577"/>
        <v>0</v>
      </c>
      <c r="AUE20">
        <f t="shared" si="578"/>
        <v>0</v>
      </c>
      <c r="AUF20">
        <f t="shared" si="579"/>
        <v>0</v>
      </c>
      <c r="AUG20">
        <f t="shared" si="580"/>
        <v>0</v>
      </c>
      <c r="AUH20">
        <f t="shared" si="581"/>
        <v>0</v>
      </c>
      <c r="AUI20">
        <f t="shared" si="582"/>
        <v>0</v>
      </c>
      <c r="AUJ20">
        <f t="shared" si="583"/>
        <v>0</v>
      </c>
      <c r="AUK20">
        <f t="shared" si="584"/>
        <v>0</v>
      </c>
      <c r="AUL20">
        <f t="shared" si="585"/>
        <v>0</v>
      </c>
      <c r="AUM20">
        <f t="shared" si="586"/>
        <v>0</v>
      </c>
      <c r="AUN20">
        <f t="shared" si="587"/>
        <v>0</v>
      </c>
      <c r="AUO20">
        <f t="shared" si="588"/>
        <v>0</v>
      </c>
      <c r="AUP20">
        <f t="shared" si="589"/>
        <v>0</v>
      </c>
      <c r="AUQ20">
        <f t="shared" si="590"/>
        <v>0</v>
      </c>
      <c r="AUR20">
        <f t="shared" si="591"/>
        <v>0</v>
      </c>
      <c r="AUS20">
        <f t="shared" si="592"/>
        <v>0</v>
      </c>
      <c r="AUT20">
        <f t="shared" si="593"/>
        <v>0</v>
      </c>
      <c r="AUU20">
        <f t="shared" si="594"/>
        <v>0</v>
      </c>
      <c r="AUV20">
        <f t="shared" si="595"/>
        <v>0</v>
      </c>
      <c r="AUW20">
        <f t="shared" si="596"/>
        <v>0</v>
      </c>
      <c r="AUX20">
        <f t="shared" si="597"/>
        <v>0</v>
      </c>
      <c r="AUY20">
        <f t="shared" si="598"/>
        <v>0</v>
      </c>
      <c r="AUZ20">
        <f t="shared" si="599"/>
        <v>0</v>
      </c>
      <c r="AVA20">
        <f t="shared" si="600"/>
        <v>0</v>
      </c>
      <c r="AVB20">
        <f t="shared" si="601"/>
        <v>0</v>
      </c>
      <c r="AVC20">
        <f t="shared" si="602"/>
        <v>0</v>
      </c>
      <c r="AVD20">
        <f t="shared" si="603"/>
        <v>0</v>
      </c>
      <c r="AVE20">
        <f t="shared" si="604"/>
        <v>0</v>
      </c>
      <c r="AVF20">
        <f t="shared" si="605"/>
        <v>0</v>
      </c>
      <c r="AVG20">
        <f t="shared" si="606"/>
        <v>0</v>
      </c>
      <c r="AVH20">
        <f t="shared" si="607"/>
        <v>0</v>
      </c>
      <c r="AVI20">
        <f t="shared" si="608"/>
        <v>0</v>
      </c>
      <c r="AVJ20">
        <f t="shared" si="609"/>
        <v>0</v>
      </c>
      <c r="AVK20">
        <f t="shared" si="610"/>
        <v>0</v>
      </c>
      <c r="AVL20">
        <f t="shared" si="611"/>
        <v>0</v>
      </c>
      <c r="AVM20">
        <f t="shared" si="612"/>
        <v>0</v>
      </c>
      <c r="AVN20">
        <f t="shared" si="613"/>
        <v>0</v>
      </c>
      <c r="AVO20">
        <f t="shared" si="614"/>
        <v>0</v>
      </c>
      <c r="AVP20">
        <f t="shared" si="615"/>
        <v>0</v>
      </c>
      <c r="AVQ20">
        <f t="shared" si="616"/>
        <v>0</v>
      </c>
      <c r="AVR20">
        <f t="shared" si="617"/>
        <v>0</v>
      </c>
      <c r="AVS20">
        <f t="shared" si="618"/>
        <v>0</v>
      </c>
      <c r="AVT20">
        <f t="shared" si="619"/>
        <v>0</v>
      </c>
      <c r="AVU20">
        <f t="shared" si="620"/>
        <v>0</v>
      </c>
      <c r="AVV20">
        <f t="shared" si="621"/>
        <v>0</v>
      </c>
      <c r="AVW20">
        <f t="shared" si="622"/>
        <v>0</v>
      </c>
      <c r="AVX20">
        <f t="shared" si="623"/>
        <v>0</v>
      </c>
      <c r="AVY20">
        <f t="shared" si="624"/>
        <v>0</v>
      </c>
      <c r="AVZ20">
        <f t="shared" si="625"/>
        <v>0</v>
      </c>
      <c r="AWA20">
        <f t="shared" si="626"/>
        <v>0</v>
      </c>
      <c r="AWB20">
        <f t="shared" si="627"/>
        <v>0</v>
      </c>
      <c r="AWC20">
        <f t="shared" si="628"/>
        <v>0</v>
      </c>
      <c r="AWD20">
        <f t="shared" si="629"/>
        <v>0</v>
      </c>
      <c r="AWE20">
        <f t="shared" si="630"/>
        <v>0</v>
      </c>
      <c r="AWF20">
        <f t="shared" si="631"/>
        <v>0</v>
      </c>
      <c r="AWG20">
        <f t="shared" si="632"/>
        <v>0</v>
      </c>
      <c r="AWH20">
        <f t="shared" si="42"/>
        <v>0</v>
      </c>
      <c r="AWI20">
        <f t="shared" si="633"/>
        <v>0</v>
      </c>
      <c r="AWJ20">
        <f t="shared" si="634"/>
        <v>0</v>
      </c>
      <c r="AWK20">
        <f t="shared" si="635"/>
        <v>0</v>
      </c>
      <c r="AWL20">
        <f t="shared" si="636"/>
        <v>0</v>
      </c>
      <c r="AWM20">
        <f t="shared" si="637"/>
        <v>0</v>
      </c>
      <c r="AWN20">
        <f t="shared" si="638"/>
        <v>0</v>
      </c>
      <c r="AWO20">
        <f t="shared" si="639"/>
        <v>0</v>
      </c>
      <c r="AWP20">
        <f t="shared" si="640"/>
        <v>0</v>
      </c>
      <c r="AWQ20">
        <f t="shared" si="641"/>
        <v>0</v>
      </c>
      <c r="AWR20">
        <f t="shared" si="642"/>
        <v>0</v>
      </c>
      <c r="AWS20">
        <f t="shared" si="643"/>
        <v>0</v>
      </c>
      <c r="AWT20">
        <f t="shared" si="644"/>
        <v>0</v>
      </c>
      <c r="AWU20">
        <f t="shared" si="645"/>
        <v>0</v>
      </c>
      <c r="AWV20">
        <f t="shared" si="646"/>
        <v>0</v>
      </c>
      <c r="AWW20">
        <f t="shared" si="647"/>
        <v>0</v>
      </c>
      <c r="AWX20">
        <f t="shared" si="648"/>
        <v>0</v>
      </c>
      <c r="AWY20">
        <f t="shared" si="649"/>
        <v>0</v>
      </c>
      <c r="AWZ20">
        <f t="shared" si="650"/>
        <v>0</v>
      </c>
      <c r="AXA20">
        <f t="shared" si="651"/>
        <v>0</v>
      </c>
      <c r="AXB20">
        <f t="shared" si="652"/>
        <v>0</v>
      </c>
      <c r="AXC20">
        <f t="shared" si="653"/>
        <v>0</v>
      </c>
      <c r="AXD20">
        <f t="shared" si="654"/>
        <v>0</v>
      </c>
      <c r="AXE20">
        <f t="shared" si="655"/>
        <v>0</v>
      </c>
      <c r="AXF20">
        <f t="shared" si="656"/>
        <v>0</v>
      </c>
      <c r="AXG20">
        <f t="shared" si="657"/>
        <v>0</v>
      </c>
      <c r="AXH20">
        <f t="shared" si="658"/>
        <v>0</v>
      </c>
      <c r="AXI20">
        <f t="shared" si="659"/>
        <v>0</v>
      </c>
      <c r="AXJ20">
        <f t="shared" si="660"/>
        <v>0</v>
      </c>
      <c r="AXK20">
        <f t="shared" si="661"/>
        <v>0</v>
      </c>
      <c r="AXL20">
        <f t="shared" si="662"/>
        <v>0</v>
      </c>
      <c r="AXM20">
        <f t="shared" si="663"/>
        <v>0</v>
      </c>
      <c r="AXN20">
        <f t="shared" si="664"/>
        <v>0</v>
      </c>
      <c r="AXO20">
        <f t="shared" si="665"/>
        <v>0</v>
      </c>
      <c r="AXP20">
        <f t="shared" si="666"/>
        <v>0</v>
      </c>
      <c r="AXQ20">
        <f t="shared" si="667"/>
        <v>0</v>
      </c>
      <c r="AXR20">
        <f t="shared" si="668"/>
        <v>0</v>
      </c>
      <c r="AXS20">
        <f t="shared" si="669"/>
        <v>0</v>
      </c>
      <c r="AXT20">
        <f t="shared" si="670"/>
        <v>0</v>
      </c>
      <c r="AXU20">
        <f t="shared" si="671"/>
        <v>0</v>
      </c>
      <c r="AXV20">
        <f t="shared" si="672"/>
        <v>0</v>
      </c>
      <c r="AXW20">
        <f t="shared" si="673"/>
        <v>0</v>
      </c>
      <c r="AXX20">
        <f t="shared" si="674"/>
        <v>0</v>
      </c>
      <c r="AXY20">
        <f t="shared" si="675"/>
        <v>0</v>
      </c>
      <c r="AXZ20">
        <f t="shared" si="676"/>
        <v>0</v>
      </c>
      <c r="AYA20">
        <f t="shared" si="677"/>
        <v>0</v>
      </c>
      <c r="AYB20">
        <f t="shared" si="678"/>
        <v>0</v>
      </c>
      <c r="AYC20">
        <f t="shared" si="679"/>
        <v>0</v>
      </c>
      <c r="AYD20">
        <f t="shared" si="680"/>
        <v>0</v>
      </c>
      <c r="AYE20">
        <f t="shared" si="681"/>
        <v>0</v>
      </c>
      <c r="AYF20">
        <f t="shared" si="682"/>
        <v>0</v>
      </c>
      <c r="AYG20">
        <f t="shared" si="683"/>
        <v>0</v>
      </c>
      <c r="AYH20">
        <f t="shared" si="684"/>
        <v>0</v>
      </c>
      <c r="AYI20">
        <f t="shared" si="685"/>
        <v>0</v>
      </c>
      <c r="AYJ20">
        <f t="shared" si="686"/>
        <v>0</v>
      </c>
      <c r="AYK20">
        <f t="shared" si="687"/>
        <v>0</v>
      </c>
      <c r="AYL20">
        <f t="shared" si="688"/>
        <v>0</v>
      </c>
      <c r="AYM20">
        <f t="shared" si="689"/>
        <v>0</v>
      </c>
      <c r="AYN20">
        <f t="shared" si="690"/>
        <v>0</v>
      </c>
      <c r="AYO20">
        <f t="shared" si="691"/>
        <v>0</v>
      </c>
      <c r="AYP20">
        <f t="shared" si="692"/>
        <v>0</v>
      </c>
      <c r="AYQ20">
        <f t="shared" si="693"/>
        <v>0</v>
      </c>
      <c r="AYR20">
        <f t="shared" si="694"/>
        <v>0</v>
      </c>
      <c r="AYS20">
        <f t="shared" si="695"/>
        <v>0</v>
      </c>
      <c r="AYT20">
        <f t="shared" si="43"/>
        <v>0</v>
      </c>
      <c r="AYU20">
        <f t="shared" si="696"/>
        <v>0</v>
      </c>
      <c r="AYV20">
        <f t="shared" si="697"/>
        <v>0</v>
      </c>
      <c r="AYW20">
        <f t="shared" si="698"/>
        <v>0</v>
      </c>
      <c r="AYX20">
        <f t="shared" si="699"/>
        <v>0</v>
      </c>
      <c r="AYY20">
        <f t="shared" si="700"/>
        <v>0</v>
      </c>
      <c r="AYZ20">
        <f t="shared" si="701"/>
        <v>0</v>
      </c>
      <c r="AZA20">
        <f t="shared" si="702"/>
        <v>0</v>
      </c>
      <c r="AZB20">
        <f t="shared" si="703"/>
        <v>0</v>
      </c>
      <c r="AZC20">
        <f t="shared" si="704"/>
        <v>0</v>
      </c>
      <c r="AZD20">
        <f t="shared" si="705"/>
        <v>0</v>
      </c>
      <c r="AZE20">
        <f t="shared" si="706"/>
        <v>0</v>
      </c>
      <c r="AZF20">
        <f t="shared" si="707"/>
        <v>0</v>
      </c>
      <c r="AZG20">
        <f t="shared" si="708"/>
        <v>0</v>
      </c>
      <c r="AZH20">
        <f t="shared" si="709"/>
        <v>0</v>
      </c>
      <c r="AZI20">
        <f t="shared" si="710"/>
        <v>0</v>
      </c>
      <c r="AZJ20">
        <f t="shared" si="711"/>
        <v>0</v>
      </c>
      <c r="AZK20">
        <f t="shared" si="712"/>
        <v>0</v>
      </c>
      <c r="AZL20">
        <f t="shared" si="713"/>
        <v>0</v>
      </c>
      <c r="AZM20">
        <f t="shared" si="714"/>
        <v>0</v>
      </c>
      <c r="AZN20">
        <f t="shared" si="715"/>
        <v>0</v>
      </c>
      <c r="AZO20">
        <f t="shared" si="716"/>
        <v>0</v>
      </c>
      <c r="AZP20">
        <f t="shared" si="717"/>
        <v>0</v>
      </c>
      <c r="AZQ20">
        <f t="shared" si="718"/>
        <v>0</v>
      </c>
      <c r="AZR20">
        <f t="shared" si="719"/>
        <v>0</v>
      </c>
      <c r="AZS20">
        <f t="shared" si="720"/>
        <v>0</v>
      </c>
      <c r="AZT20">
        <f t="shared" si="721"/>
        <v>0</v>
      </c>
      <c r="AZU20">
        <f t="shared" si="722"/>
        <v>0</v>
      </c>
      <c r="AZV20">
        <f t="shared" si="723"/>
        <v>0</v>
      </c>
      <c r="AZW20">
        <f t="shared" si="724"/>
        <v>0</v>
      </c>
      <c r="AZX20">
        <f t="shared" si="725"/>
        <v>0</v>
      </c>
      <c r="AZY20">
        <f t="shared" si="726"/>
        <v>0</v>
      </c>
      <c r="AZZ20">
        <f t="shared" si="727"/>
        <v>0</v>
      </c>
      <c r="BAA20">
        <f t="shared" si="728"/>
        <v>0</v>
      </c>
      <c r="BAB20">
        <f t="shared" si="729"/>
        <v>0</v>
      </c>
      <c r="BAC20">
        <f t="shared" si="730"/>
        <v>0</v>
      </c>
      <c r="BAD20">
        <f t="shared" si="731"/>
        <v>0</v>
      </c>
      <c r="BAE20">
        <f t="shared" si="732"/>
        <v>0</v>
      </c>
      <c r="BAF20">
        <f t="shared" si="733"/>
        <v>0</v>
      </c>
      <c r="BAG20">
        <f t="shared" si="734"/>
        <v>0</v>
      </c>
      <c r="BAH20">
        <f t="shared" si="735"/>
        <v>0</v>
      </c>
      <c r="BAI20">
        <f t="shared" si="736"/>
        <v>0</v>
      </c>
      <c r="BAJ20">
        <f t="shared" si="737"/>
        <v>0</v>
      </c>
      <c r="BAK20">
        <f t="shared" si="738"/>
        <v>0</v>
      </c>
      <c r="BAL20">
        <f t="shared" si="739"/>
        <v>0</v>
      </c>
      <c r="BAM20">
        <f t="shared" si="740"/>
        <v>0</v>
      </c>
      <c r="BAN20">
        <f t="shared" si="741"/>
        <v>0</v>
      </c>
      <c r="BAO20">
        <f t="shared" si="742"/>
        <v>0</v>
      </c>
      <c r="BAP20">
        <f t="shared" si="743"/>
        <v>0</v>
      </c>
      <c r="BAQ20">
        <f t="shared" si="744"/>
        <v>0</v>
      </c>
      <c r="BAR20">
        <f t="shared" si="745"/>
        <v>0</v>
      </c>
      <c r="BAS20">
        <f t="shared" si="746"/>
        <v>0</v>
      </c>
      <c r="BAT20">
        <f t="shared" si="747"/>
        <v>0</v>
      </c>
      <c r="BAU20">
        <f t="shared" si="748"/>
        <v>0</v>
      </c>
      <c r="BAV20">
        <f t="shared" si="749"/>
        <v>0</v>
      </c>
      <c r="BAW20">
        <f t="shared" si="750"/>
        <v>0</v>
      </c>
      <c r="BAX20">
        <f t="shared" si="751"/>
        <v>0</v>
      </c>
      <c r="BAY20">
        <f t="shared" si="752"/>
        <v>0</v>
      </c>
      <c r="BAZ20">
        <f t="shared" si="753"/>
        <v>0</v>
      </c>
      <c r="BBA20">
        <f t="shared" si="754"/>
        <v>0</v>
      </c>
      <c r="BBB20">
        <f t="shared" si="755"/>
        <v>0</v>
      </c>
      <c r="BBC20">
        <f t="shared" si="756"/>
        <v>0</v>
      </c>
      <c r="BBD20">
        <f t="shared" si="757"/>
        <v>0</v>
      </c>
      <c r="BBE20">
        <f t="shared" si="758"/>
        <v>0</v>
      </c>
      <c r="BBF20">
        <f t="shared" si="44"/>
        <v>0</v>
      </c>
      <c r="BBG20">
        <f t="shared" si="759"/>
        <v>0</v>
      </c>
      <c r="BBH20">
        <f t="shared" si="760"/>
        <v>0</v>
      </c>
      <c r="BBI20">
        <f t="shared" si="761"/>
        <v>0</v>
      </c>
      <c r="BBJ20">
        <f t="shared" si="762"/>
        <v>0</v>
      </c>
      <c r="BBK20">
        <f t="shared" si="763"/>
        <v>0</v>
      </c>
      <c r="BBL20">
        <f t="shared" si="764"/>
        <v>0</v>
      </c>
      <c r="BBM20">
        <f t="shared" si="765"/>
        <v>0</v>
      </c>
      <c r="BBN20">
        <f t="shared" si="766"/>
        <v>0</v>
      </c>
      <c r="BBO20">
        <f t="shared" si="767"/>
        <v>0</v>
      </c>
      <c r="BBP20">
        <f t="shared" si="768"/>
        <v>0</v>
      </c>
      <c r="BBQ20">
        <f t="shared" si="769"/>
        <v>0</v>
      </c>
      <c r="BBR20">
        <f t="shared" si="770"/>
        <v>0</v>
      </c>
      <c r="BBS20">
        <f t="shared" si="771"/>
        <v>0</v>
      </c>
      <c r="BBT20">
        <f t="shared" si="772"/>
        <v>0</v>
      </c>
      <c r="BBU20">
        <f t="shared" si="773"/>
        <v>0</v>
      </c>
      <c r="BBV20">
        <f t="shared" si="774"/>
        <v>0</v>
      </c>
      <c r="BBW20">
        <f t="shared" si="775"/>
        <v>0</v>
      </c>
      <c r="BBX20">
        <f t="shared" si="776"/>
        <v>0</v>
      </c>
      <c r="BBY20">
        <f t="shared" si="777"/>
        <v>0</v>
      </c>
      <c r="BBZ20">
        <f t="shared" si="778"/>
        <v>0</v>
      </c>
      <c r="BCA20">
        <f t="shared" si="779"/>
        <v>0</v>
      </c>
      <c r="BCB20">
        <f t="shared" si="780"/>
        <v>0</v>
      </c>
      <c r="BCC20">
        <f t="shared" si="781"/>
        <v>0</v>
      </c>
      <c r="BCD20">
        <f t="shared" si="782"/>
        <v>0</v>
      </c>
      <c r="BCE20">
        <f t="shared" si="783"/>
        <v>0</v>
      </c>
      <c r="BCF20">
        <f t="shared" si="784"/>
        <v>0</v>
      </c>
      <c r="BCG20">
        <f t="shared" si="785"/>
        <v>0</v>
      </c>
      <c r="BCH20">
        <f t="shared" si="786"/>
        <v>0</v>
      </c>
      <c r="BCI20">
        <f t="shared" si="787"/>
        <v>0</v>
      </c>
      <c r="BCJ20">
        <f t="shared" si="788"/>
        <v>0</v>
      </c>
      <c r="BCK20">
        <f t="shared" si="789"/>
        <v>0</v>
      </c>
      <c r="BCL20">
        <f t="shared" si="790"/>
        <v>0</v>
      </c>
      <c r="BCM20">
        <f t="shared" si="791"/>
        <v>0</v>
      </c>
      <c r="BCN20">
        <f t="shared" si="792"/>
        <v>0</v>
      </c>
      <c r="BCO20">
        <f t="shared" si="793"/>
        <v>0</v>
      </c>
      <c r="BCP20">
        <f t="shared" si="794"/>
        <v>0</v>
      </c>
      <c r="BCQ20">
        <f t="shared" si="795"/>
        <v>0</v>
      </c>
      <c r="BCR20">
        <f t="shared" si="796"/>
        <v>0</v>
      </c>
      <c r="BCS20">
        <f t="shared" si="797"/>
        <v>0</v>
      </c>
      <c r="BCT20">
        <f t="shared" si="798"/>
        <v>0</v>
      </c>
      <c r="BCU20">
        <f t="shared" si="799"/>
        <v>0</v>
      </c>
      <c r="BCV20">
        <f t="shared" si="800"/>
        <v>0</v>
      </c>
      <c r="BCW20">
        <f t="shared" si="801"/>
        <v>0</v>
      </c>
      <c r="BCX20">
        <f t="shared" si="802"/>
        <v>0</v>
      </c>
      <c r="BCY20">
        <f t="shared" si="803"/>
        <v>0</v>
      </c>
      <c r="BCZ20">
        <f t="shared" si="804"/>
        <v>0</v>
      </c>
      <c r="BDA20">
        <f t="shared" si="805"/>
        <v>0</v>
      </c>
      <c r="BDB20">
        <f t="shared" si="806"/>
        <v>0</v>
      </c>
      <c r="BDC20">
        <f t="shared" si="807"/>
        <v>0</v>
      </c>
      <c r="BDD20">
        <f t="shared" si="808"/>
        <v>0</v>
      </c>
      <c r="BDE20">
        <f t="shared" si="809"/>
        <v>0</v>
      </c>
      <c r="BDF20">
        <f t="shared" si="810"/>
        <v>0</v>
      </c>
      <c r="BDG20">
        <f t="shared" si="811"/>
        <v>0</v>
      </c>
      <c r="BDH20">
        <f t="shared" si="812"/>
        <v>0</v>
      </c>
      <c r="BDI20">
        <f t="shared" si="813"/>
        <v>0</v>
      </c>
      <c r="BDJ20">
        <f t="shared" si="814"/>
        <v>0</v>
      </c>
      <c r="BDK20">
        <f t="shared" si="815"/>
        <v>0</v>
      </c>
      <c r="BDL20">
        <f t="shared" si="816"/>
        <v>0</v>
      </c>
      <c r="BDM20">
        <f t="shared" si="817"/>
        <v>0</v>
      </c>
      <c r="BDN20">
        <f t="shared" si="818"/>
        <v>0</v>
      </c>
      <c r="BDO20">
        <f t="shared" si="819"/>
        <v>0</v>
      </c>
      <c r="BDP20">
        <f t="shared" si="820"/>
        <v>0</v>
      </c>
      <c r="BDQ20">
        <f t="shared" si="821"/>
        <v>0</v>
      </c>
      <c r="BDR20">
        <f t="shared" si="45"/>
        <v>0</v>
      </c>
      <c r="BDS20">
        <f t="shared" si="822"/>
        <v>0</v>
      </c>
      <c r="BDT20">
        <f t="shared" si="823"/>
        <v>0</v>
      </c>
      <c r="BDU20">
        <f t="shared" si="824"/>
        <v>0</v>
      </c>
      <c r="BDV20">
        <f t="shared" si="825"/>
        <v>0</v>
      </c>
      <c r="BDW20">
        <f t="shared" si="826"/>
        <v>0</v>
      </c>
      <c r="BDX20">
        <f t="shared" si="827"/>
        <v>0</v>
      </c>
      <c r="BDY20">
        <f t="shared" si="828"/>
        <v>0</v>
      </c>
      <c r="BDZ20">
        <f t="shared" si="829"/>
        <v>0</v>
      </c>
      <c r="BEA20">
        <f t="shared" si="830"/>
        <v>0</v>
      </c>
      <c r="BEB20">
        <f t="shared" si="831"/>
        <v>0</v>
      </c>
      <c r="BEC20">
        <f t="shared" si="832"/>
        <v>0</v>
      </c>
      <c r="BED20">
        <f t="shared" si="833"/>
        <v>0</v>
      </c>
      <c r="BEE20">
        <f t="shared" si="834"/>
        <v>0</v>
      </c>
      <c r="BEF20">
        <f t="shared" si="835"/>
        <v>0</v>
      </c>
      <c r="BEG20">
        <f t="shared" si="836"/>
        <v>0</v>
      </c>
      <c r="BEH20">
        <f t="shared" si="837"/>
        <v>0</v>
      </c>
      <c r="BEI20">
        <f t="shared" si="838"/>
        <v>0</v>
      </c>
      <c r="BEJ20">
        <f t="shared" si="839"/>
        <v>0</v>
      </c>
      <c r="BEK20">
        <f t="shared" si="840"/>
        <v>0</v>
      </c>
      <c r="BEL20">
        <f t="shared" si="841"/>
        <v>0</v>
      </c>
      <c r="BEM20">
        <f t="shared" si="842"/>
        <v>0</v>
      </c>
      <c r="BEN20">
        <f t="shared" si="843"/>
        <v>0</v>
      </c>
      <c r="BEO20">
        <f t="shared" si="844"/>
        <v>0</v>
      </c>
      <c r="BEP20">
        <f t="shared" si="845"/>
        <v>0</v>
      </c>
      <c r="BEQ20">
        <f t="shared" si="846"/>
        <v>0</v>
      </c>
      <c r="BER20">
        <f t="shared" si="847"/>
        <v>0</v>
      </c>
      <c r="BES20">
        <f t="shared" si="848"/>
        <v>0</v>
      </c>
      <c r="BET20">
        <f t="shared" si="849"/>
        <v>0</v>
      </c>
      <c r="BEU20">
        <f t="shared" si="850"/>
        <v>0</v>
      </c>
      <c r="BEV20">
        <f t="shared" si="851"/>
        <v>0</v>
      </c>
      <c r="BEW20">
        <f t="shared" si="852"/>
        <v>0</v>
      </c>
      <c r="BEX20">
        <f t="shared" si="853"/>
        <v>0</v>
      </c>
      <c r="BEY20">
        <f t="shared" si="854"/>
        <v>0</v>
      </c>
      <c r="BEZ20">
        <f t="shared" si="855"/>
        <v>0</v>
      </c>
      <c r="BFA20">
        <f t="shared" si="856"/>
        <v>0</v>
      </c>
      <c r="BFB20">
        <f t="shared" si="857"/>
        <v>0</v>
      </c>
      <c r="BFC20">
        <f t="shared" si="858"/>
        <v>0</v>
      </c>
      <c r="BFD20">
        <f t="shared" si="859"/>
        <v>0</v>
      </c>
      <c r="BFE20">
        <f t="shared" si="860"/>
        <v>0</v>
      </c>
      <c r="BFF20">
        <f t="shared" si="861"/>
        <v>0</v>
      </c>
      <c r="BFG20">
        <f t="shared" si="862"/>
        <v>0</v>
      </c>
      <c r="BFH20">
        <f t="shared" si="863"/>
        <v>0</v>
      </c>
      <c r="BFI20">
        <f t="shared" si="864"/>
        <v>0</v>
      </c>
      <c r="BFJ20">
        <f t="shared" si="865"/>
        <v>0</v>
      </c>
      <c r="BFK20">
        <f t="shared" si="866"/>
        <v>0</v>
      </c>
      <c r="BFL20">
        <f t="shared" si="867"/>
        <v>0</v>
      </c>
      <c r="BFM20">
        <f t="shared" si="868"/>
        <v>0</v>
      </c>
      <c r="BFN20">
        <f t="shared" si="869"/>
        <v>0</v>
      </c>
      <c r="BFO20">
        <f t="shared" si="870"/>
        <v>0</v>
      </c>
      <c r="BFP20">
        <f t="shared" si="871"/>
        <v>0</v>
      </c>
      <c r="BFQ20">
        <f t="shared" si="872"/>
        <v>0</v>
      </c>
      <c r="BFR20">
        <f t="shared" si="873"/>
        <v>0</v>
      </c>
      <c r="BFS20">
        <f t="shared" si="874"/>
        <v>0</v>
      </c>
      <c r="BFT20">
        <f t="shared" si="875"/>
        <v>0</v>
      </c>
      <c r="BFU20">
        <f t="shared" si="876"/>
        <v>0</v>
      </c>
      <c r="BFV20">
        <f t="shared" si="877"/>
        <v>0</v>
      </c>
      <c r="BFW20">
        <f t="shared" si="878"/>
        <v>0</v>
      </c>
      <c r="BFX20">
        <f t="shared" si="879"/>
        <v>0</v>
      </c>
      <c r="BFY20">
        <f t="shared" si="880"/>
        <v>0</v>
      </c>
      <c r="BFZ20">
        <f t="shared" si="881"/>
        <v>0</v>
      </c>
      <c r="BGA20">
        <f t="shared" si="882"/>
        <v>0</v>
      </c>
      <c r="BGB20">
        <f t="shared" si="883"/>
        <v>0</v>
      </c>
      <c r="BGC20">
        <f t="shared" si="884"/>
        <v>0</v>
      </c>
      <c r="BGD20">
        <f t="shared" si="46"/>
        <v>0</v>
      </c>
      <c r="BGE20">
        <f t="shared" si="885"/>
        <v>0</v>
      </c>
      <c r="BGF20">
        <f t="shared" si="886"/>
        <v>0</v>
      </c>
      <c r="BGG20">
        <f t="shared" si="887"/>
        <v>0</v>
      </c>
      <c r="BGH20">
        <f t="shared" si="888"/>
        <v>0</v>
      </c>
      <c r="BGI20">
        <f t="shared" si="889"/>
        <v>0</v>
      </c>
      <c r="BGJ20">
        <f t="shared" si="890"/>
        <v>0</v>
      </c>
      <c r="BGK20">
        <f t="shared" si="891"/>
        <v>0</v>
      </c>
      <c r="BGL20">
        <f t="shared" si="892"/>
        <v>0</v>
      </c>
      <c r="BGM20">
        <f t="shared" si="893"/>
        <v>0</v>
      </c>
      <c r="BGN20">
        <f t="shared" si="894"/>
        <v>0</v>
      </c>
      <c r="BGO20">
        <f t="shared" si="895"/>
        <v>0</v>
      </c>
      <c r="BGP20">
        <f t="shared" si="896"/>
        <v>0</v>
      </c>
      <c r="BGQ20">
        <f t="shared" si="897"/>
        <v>0</v>
      </c>
      <c r="BGR20">
        <f t="shared" si="898"/>
        <v>0</v>
      </c>
      <c r="BGS20">
        <f t="shared" si="899"/>
        <v>0</v>
      </c>
      <c r="BGT20">
        <f t="shared" si="900"/>
        <v>0</v>
      </c>
      <c r="BGU20">
        <f t="shared" si="901"/>
        <v>0</v>
      </c>
      <c r="BGV20">
        <f t="shared" si="902"/>
        <v>0</v>
      </c>
      <c r="BGW20">
        <f t="shared" si="903"/>
        <v>0</v>
      </c>
      <c r="BGX20">
        <f t="shared" si="904"/>
        <v>0</v>
      </c>
      <c r="BGY20">
        <f t="shared" si="905"/>
        <v>0</v>
      </c>
      <c r="BGZ20">
        <f t="shared" si="906"/>
        <v>0</v>
      </c>
      <c r="BHA20">
        <f t="shared" si="907"/>
        <v>0</v>
      </c>
      <c r="BHB20">
        <f t="shared" si="908"/>
        <v>0</v>
      </c>
      <c r="BHC20">
        <f t="shared" si="909"/>
        <v>0</v>
      </c>
      <c r="BHD20">
        <f t="shared" si="910"/>
        <v>0</v>
      </c>
      <c r="BHE20">
        <f t="shared" si="911"/>
        <v>0</v>
      </c>
      <c r="BHF20">
        <f t="shared" si="912"/>
        <v>0</v>
      </c>
      <c r="BHG20">
        <f t="shared" si="913"/>
        <v>0</v>
      </c>
      <c r="BHH20">
        <f t="shared" si="914"/>
        <v>0</v>
      </c>
      <c r="BHI20">
        <f t="shared" si="915"/>
        <v>0</v>
      </c>
      <c r="BHJ20">
        <f t="shared" si="916"/>
        <v>0</v>
      </c>
      <c r="BHK20">
        <f t="shared" si="917"/>
        <v>0</v>
      </c>
      <c r="BHL20">
        <f t="shared" si="918"/>
        <v>0</v>
      </c>
      <c r="BHM20">
        <f t="shared" si="919"/>
        <v>0</v>
      </c>
      <c r="BHN20">
        <f t="shared" si="920"/>
        <v>0</v>
      </c>
      <c r="BHO20">
        <f t="shared" si="921"/>
        <v>0</v>
      </c>
      <c r="BHP20">
        <f t="shared" si="922"/>
        <v>0</v>
      </c>
      <c r="BHQ20">
        <f t="shared" si="923"/>
        <v>0</v>
      </c>
      <c r="BHR20">
        <f t="shared" si="924"/>
        <v>0</v>
      </c>
      <c r="BHS20">
        <f t="shared" si="925"/>
        <v>0</v>
      </c>
      <c r="BHT20">
        <f t="shared" si="926"/>
        <v>0</v>
      </c>
      <c r="BHU20">
        <f t="shared" si="927"/>
        <v>0</v>
      </c>
      <c r="BHV20">
        <f t="shared" si="928"/>
        <v>0</v>
      </c>
      <c r="BHW20">
        <f t="shared" si="929"/>
        <v>0</v>
      </c>
      <c r="BHX20">
        <f t="shared" si="930"/>
        <v>0</v>
      </c>
      <c r="BHY20">
        <f t="shared" si="931"/>
        <v>0</v>
      </c>
      <c r="BHZ20">
        <f t="shared" si="932"/>
        <v>0</v>
      </c>
      <c r="BIA20">
        <f t="shared" si="933"/>
        <v>0</v>
      </c>
      <c r="BIB20">
        <f t="shared" si="934"/>
        <v>0</v>
      </c>
      <c r="BIC20">
        <f t="shared" si="935"/>
        <v>0</v>
      </c>
      <c r="BID20">
        <f t="shared" si="936"/>
        <v>0</v>
      </c>
      <c r="BIE20">
        <f t="shared" si="937"/>
        <v>0</v>
      </c>
      <c r="BIF20">
        <f t="shared" si="938"/>
        <v>0</v>
      </c>
      <c r="BIG20">
        <f t="shared" si="939"/>
        <v>0</v>
      </c>
      <c r="BIH20">
        <f t="shared" si="940"/>
        <v>0</v>
      </c>
      <c r="BII20">
        <f t="shared" si="941"/>
        <v>0</v>
      </c>
      <c r="BIJ20">
        <f t="shared" si="942"/>
        <v>0</v>
      </c>
      <c r="BIK20">
        <f t="shared" si="943"/>
        <v>0</v>
      </c>
      <c r="BIL20">
        <f t="shared" si="944"/>
        <v>0</v>
      </c>
      <c r="BIM20">
        <f t="shared" si="945"/>
        <v>0</v>
      </c>
      <c r="BIN20">
        <f t="shared" si="946"/>
        <v>0</v>
      </c>
      <c r="BIO20">
        <f t="shared" si="947"/>
        <v>0</v>
      </c>
      <c r="BIP20">
        <f t="shared" si="47"/>
        <v>0</v>
      </c>
      <c r="BIQ20">
        <f t="shared" si="948"/>
        <v>0</v>
      </c>
      <c r="BIR20">
        <f t="shared" si="949"/>
        <v>0</v>
      </c>
      <c r="BIS20">
        <f t="shared" si="950"/>
        <v>0</v>
      </c>
      <c r="BIT20">
        <f t="shared" si="951"/>
        <v>0</v>
      </c>
      <c r="BIU20">
        <f t="shared" si="952"/>
        <v>0</v>
      </c>
      <c r="BIV20">
        <f t="shared" si="953"/>
        <v>0</v>
      </c>
      <c r="BIW20">
        <f t="shared" si="954"/>
        <v>0</v>
      </c>
      <c r="BIX20">
        <f t="shared" si="955"/>
        <v>0</v>
      </c>
      <c r="BIY20">
        <f t="shared" si="956"/>
        <v>0</v>
      </c>
      <c r="BIZ20">
        <f t="shared" si="957"/>
        <v>0</v>
      </c>
      <c r="BJA20">
        <f t="shared" si="958"/>
        <v>0</v>
      </c>
      <c r="BJB20">
        <f t="shared" si="959"/>
        <v>0</v>
      </c>
      <c r="BJC20">
        <f t="shared" si="960"/>
        <v>0</v>
      </c>
      <c r="BJD20">
        <f t="shared" si="961"/>
        <v>0</v>
      </c>
      <c r="BJE20">
        <f t="shared" si="962"/>
        <v>0</v>
      </c>
      <c r="BJF20">
        <f t="shared" si="963"/>
        <v>0</v>
      </c>
      <c r="BJG20">
        <f t="shared" si="964"/>
        <v>0</v>
      </c>
      <c r="BJH20">
        <f t="shared" si="965"/>
        <v>0</v>
      </c>
      <c r="BJI20">
        <f t="shared" si="966"/>
        <v>0</v>
      </c>
      <c r="BJJ20">
        <f t="shared" si="967"/>
        <v>0</v>
      </c>
      <c r="BJK20">
        <f t="shared" si="968"/>
        <v>0</v>
      </c>
      <c r="BJL20">
        <f t="shared" si="969"/>
        <v>0</v>
      </c>
      <c r="BJM20">
        <f t="shared" si="970"/>
        <v>0</v>
      </c>
      <c r="BJN20">
        <f t="shared" si="971"/>
        <v>0</v>
      </c>
      <c r="BJO20">
        <f t="shared" si="972"/>
        <v>0</v>
      </c>
      <c r="BJP20">
        <f t="shared" si="973"/>
        <v>0</v>
      </c>
      <c r="BJQ20">
        <f t="shared" si="974"/>
        <v>0</v>
      </c>
      <c r="BJR20">
        <f t="shared" si="975"/>
        <v>0</v>
      </c>
      <c r="BJS20">
        <f t="shared" si="976"/>
        <v>0</v>
      </c>
      <c r="BJT20">
        <f t="shared" si="977"/>
        <v>0</v>
      </c>
      <c r="BJU20">
        <f t="shared" si="978"/>
        <v>0</v>
      </c>
      <c r="BJV20">
        <f t="shared" si="979"/>
        <v>0</v>
      </c>
      <c r="BJW20">
        <f t="shared" si="980"/>
        <v>0</v>
      </c>
      <c r="BJX20">
        <f t="shared" si="981"/>
        <v>0</v>
      </c>
      <c r="BJY20">
        <f t="shared" si="982"/>
        <v>0</v>
      </c>
      <c r="BJZ20">
        <f t="shared" si="983"/>
        <v>0</v>
      </c>
      <c r="BKA20">
        <f t="shared" si="984"/>
        <v>0</v>
      </c>
      <c r="BKB20">
        <f t="shared" si="985"/>
        <v>0</v>
      </c>
      <c r="BKC20">
        <f t="shared" si="986"/>
        <v>0</v>
      </c>
      <c r="BKD20">
        <f t="shared" si="987"/>
        <v>0</v>
      </c>
      <c r="BKE20">
        <f t="shared" si="988"/>
        <v>0</v>
      </c>
      <c r="BKF20">
        <f t="shared" si="989"/>
        <v>0</v>
      </c>
      <c r="BKG20">
        <f t="shared" si="990"/>
        <v>0</v>
      </c>
      <c r="BKH20">
        <f t="shared" si="991"/>
        <v>0</v>
      </c>
      <c r="BKI20">
        <f t="shared" si="992"/>
        <v>0</v>
      </c>
      <c r="BKJ20">
        <f t="shared" si="993"/>
        <v>0</v>
      </c>
      <c r="BKK20">
        <f t="shared" si="994"/>
        <v>0</v>
      </c>
      <c r="BKL20">
        <f t="shared" si="995"/>
        <v>0</v>
      </c>
      <c r="BKM20">
        <f t="shared" si="996"/>
        <v>0</v>
      </c>
      <c r="BKN20">
        <f t="shared" si="997"/>
        <v>0</v>
      </c>
      <c r="BKO20">
        <f t="shared" si="998"/>
        <v>0</v>
      </c>
      <c r="BKP20">
        <f t="shared" si="999"/>
        <v>0</v>
      </c>
      <c r="BKQ20">
        <f t="shared" si="1000"/>
        <v>0</v>
      </c>
      <c r="BKR20">
        <f t="shared" si="1001"/>
        <v>0</v>
      </c>
      <c r="BKS20">
        <f t="shared" si="1002"/>
        <v>0</v>
      </c>
      <c r="BKT20">
        <f t="shared" si="1003"/>
        <v>0</v>
      </c>
      <c r="BKU20">
        <f t="shared" si="1004"/>
        <v>0</v>
      </c>
      <c r="BKV20">
        <f t="shared" si="1005"/>
        <v>0</v>
      </c>
      <c r="BKW20">
        <f t="shared" si="1006"/>
        <v>0</v>
      </c>
      <c r="BKX20">
        <f t="shared" si="1007"/>
        <v>0</v>
      </c>
      <c r="BKY20">
        <f t="shared" si="1008"/>
        <v>0</v>
      </c>
      <c r="BKZ20">
        <f t="shared" si="1009"/>
        <v>0</v>
      </c>
      <c r="BLA20">
        <f t="shared" si="1010"/>
        <v>0</v>
      </c>
      <c r="BLB20">
        <f t="shared" si="48"/>
        <v>0</v>
      </c>
      <c r="BLC20">
        <f t="shared" si="1011"/>
        <v>0</v>
      </c>
      <c r="BLD20">
        <f t="shared" si="1012"/>
        <v>0</v>
      </c>
      <c r="BLE20">
        <f t="shared" si="1013"/>
        <v>0</v>
      </c>
      <c r="BLF20">
        <f t="shared" si="1014"/>
        <v>0</v>
      </c>
      <c r="BLG20">
        <f t="shared" si="1015"/>
        <v>0</v>
      </c>
      <c r="BLH20">
        <f t="shared" si="1016"/>
        <v>0</v>
      </c>
      <c r="BLI20">
        <f t="shared" si="1017"/>
        <v>0</v>
      </c>
      <c r="BLJ20">
        <f t="shared" si="1018"/>
        <v>0</v>
      </c>
      <c r="BLK20">
        <f t="shared" si="1019"/>
        <v>0</v>
      </c>
      <c r="BLL20">
        <f t="shared" si="1020"/>
        <v>0</v>
      </c>
      <c r="BLM20">
        <f t="shared" si="1021"/>
        <v>0</v>
      </c>
      <c r="BLN20">
        <f t="shared" si="1022"/>
        <v>0</v>
      </c>
      <c r="BLO20">
        <f t="shared" si="1023"/>
        <v>0</v>
      </c>
      <c r="BLP20">
        <f t="shared" si="1024"/>
        <v>0</v>
      </c>
      <c r="BLQ20">
        <f t="shared" si="1025"/>
        <v>0</v>
      </c>
      <c r="BLR20">
        <f t="shared" si="1026"/>
        <v>0</v>
      </c>
      <c r="BLS20">
        <f t="shared" si="1027"/>
        <v>0</v>
      </c>
      <c r="BLT20">
        <f t="shared" si="1028"/>
        <v>0</v>
      </c>
      <c r="BLU20">
        <f t="shared" si="1029"/>
        <v>0</v>
      </c>
      <c r="BLV20">
        <f t="shared" si="1030"/>
        <v>0</v>
      </c>
      <c r="BLW20">
        <f t="shared" si="1031"/>
        <v>0</v>
      </c>
      <c r="BLX20">
        <f t="shared" si="1032"/>
        <v>0</v>
      </c>
      <c r="BLY20">
        <f t="shared" si="1033"/>
        <v>0</v>
      </c>
      <c r="BLZ20">
        <f t="shared" si="1034"/>
        <v>0</v>
      </c>
      <c r="BMA20">
        <f t="shared" si="1035"/>
        <v>0</v>
      </c>
      <c r="BMB20">
        <f t="shared" si="1036"/>
        <v>0</v>
      </c>
      <c r="BMC20">
        <f t="shared" si="1037"/>
        <v>0</v>
      </c>
      <c r="BMD20">
        <f t="shared" si="1038"/>
        <v>0</v>
      </c>
      <c r="BME20">
        <f t="shared" si="1039"/>
        <v>0</v>
      </c>
      <c r="BMF20">
        <f t="shared" si="1040"/>
        <v>0</v>
      </c>
      <c r="BMG20">
        <f t="shared" si="1041"/>
        <v>0</v>
      </c>
      <c r="BMH20">
        <f t="shared" si="1042"/>
        <v>0</v>
      </c>
      <c r="BMI20">
        <f t="shared" si="1043"/>
        <v>0</v>
      </c>
      <c r="BMJ20">
        <f t="shared" si="1044"/>
        <v>0</v>
      </c>
      <c r="BMK20">
        <f t="shared" si="1045"/>
        <v>0</v>
      </c>
      <c r="BML20">
        <f t="shared" si="1046"/>
        <v>0</v>
      </c>
      <c r="BMM20">
        <f t="shared" si="1047"/>
        <v>0</v>
      </c>
      <c r="BMN20">
        <f t="shared" si="1048"/>
        <v>0</v>
      </c>
      <c r="BMO20">
        <f t="shared" si="1049"/>
        <v>0</v>
      </c>
      <c r="BMP20">
        <f t="shared" si="1050"/>
        <v>0</v>
      </c>
      <c r="BMQ20">
        <f t="shared" si="1051"/>
        <v>0</v>
      </c>
      <c r="BMR20">
        <f t="shared" si="1052"/>
        <v>0</v>
      </c>
      <c r="BMS20">
        <f t="shared" si="1053"/>
        <v>0</v>
      </c>
      <c r="BMT20">
        <f t="shared" si="1054"/>
        <v>0</v>
      </c>
      <c r="BMU20">
        <f t="shared" si="1055"/>
        <v>0</v>
      </c>
      <c r="BMV20">
        <f t="shared" si="1056"/>
        <v>0</v>
      </c>
      <c r="BMW20">
        <f t="shared" si="1057"/>
        <v>0</v>
      </c>
      <c r="BMX20">
        <f t="shared" si="1058"/>
        <v>0</v>
      </c>
      <c r="BMY20">
        <f t="shared" si="1059"/>
        <v>0</v>
      </c>
      <c r="BMZ20">
        <f t="shared" si="1060"/>
        <v>0</v>
      </c>
      <c r="BNA20">
        <f t="shared" si="1061"/>
        <v>0</v>
      </c>
      <c r="BNB20">
        <f t="shared" si="1062"/>
        <v>0</v>
      </c>
      <c r="BNC20">
        <f t="shared" si="1063"/>
        <v>0</v>
      </c>
      <c r="BND20">
        <f t="shared" si="1064"/>
        <v>0</v>
      </c>
      <c r="BNE20">
        <f t="shared" si="1065"/>
        <v>0</v>
      </c>
      <c r="BNF20">
        <f t="shared" si="1066"/>
        <v>0</v>
      </c>
      <c r="BNG20">
        <f t="shared" si="1067"/>
        <v>0</v>
      </c>
      <c r="BNH20">
        <f t="shared" si="1068"/>
        <v>0</v>
      </c>
      <c r="BNI20">
        <f t="shared" si="1069"/>
        <v>0</v>
      </c>
      <c r="BNJ20">
        <f t="shared" si="1070"/>
        <v>0</v>
      </c>
      <c r="BNK20">
        <f t="shared" si="1071"/>
        <v>0</v>
      </c>
      <c r="BNL20">
        <f t="shared" si="1072"/>
        <v>0</v>
      </c>
      <c r="BNM20">
        <f t="shared" si="1073"/>
        <v>0</v>
      </c>
      <c r="BNN20">
        <f t="shared" si="49"/>
        <v>0</v>
      </c>
      <c r="BNO20">
        <f t="shared" si="1074"/>
        <v>0</v>
      </c>
      <c r="BNP20">
        <f t="shared" si="1075"/>
        <v>0</v>
      </c>
      <c r="BNQ20">
        <f t="shared" si="1076"/>
        <v>0</v>
      </c>
      <c r="BNR20">
        <f t="shared" si="1077"/>
        <v>0</v>
      </c>
      <c r="BNS20">
        <f t="shared" si="1078"/>
        <v>0</v>
      </c>
      <c r="BNT20">
        <f t="shared" si="1079"/>
        <v>0</v>
      </c>
      <c r="BNU20">
        <f t="shared" si="1080"/>
        <v>0</v>
      </c>
      <c r="BNV20">
        <f t="shared" si="1081"/>
        <v>0</v>
      </c>
      <c r="BNW20">
        <f t="shared" si="1082"/>
        <v>0</v>
      </c>
      <c r="BNX20">
        <f t="shared" si="1083"/>
        <v>0</v>
      </c>
      <c r="BNY20">
        <f t="shared" si="1084"/>
        <v>0</v>
      </c>
      <c r="BNZ20">
        <f t="shared" si="1085"/>
        <v>0</v>
      </c>
      <c r="BOA20">
        <f t="shared" si="1086"/>
        <v>0</v>
      </c>
      <c r="BOB20">
        <f t="shared" si="1087"/>
        <v>0</v>
      </c>
      <c r="BOC20">
        <f t="shared" si="1088"/>
        <v>0</v>
      </c>
      <c r="BOD20">
        <f t="shared" si="1089"/>
        <v>0</v>
      </c>
      <c r="BOE20">
        <f t="shared" si="1090"/>
        <v>0</v>
      </c>
      <c r="BOF20">
        <f t="shared" si="1091"/>
        <v>0</v>
      </c>
      <c r="BOG20">
        <f t="shared" si="1092"/>
        <v>0</v>
      </c>
      <c r="BOH20">
        <f t="shared" si="1093"/>
        <v>0</v>
      </c>
      <c r="BOI20">
        <f t="shared" si="1094"/>
        <v>0</v>
      </c>
      <c r="BOJ20">
        <f t="shared" si="1095"/>
        <v>0</v>
      </c>
      <c r="BOK20">
        <f t="shared" si="1096"/>
        <v>0</v>
      </c>
      <c r="BOL20">
        <f t="shared" si="1097"/>
        <v>0</v>
      </c>
      <c r="BOM20">
        <f t="shared" si="1098"/>
        <v>0</v>
      </c>
      <c r="BON20">
        <f t="shared" si="1099"/>
        <v>0</v>
      </c>
      <c r="BOO20">
        <f t="shared" si="1100"/>
        <v>0</v>
      </c>
      <c r="BOP20">
        <f t="shared" si="1101"/>
        <v>0</v>
      </c>
      <c r="BOQ20">
        <f t="shared" si="1102"/>
        <v>0</v>
      </c>
      <c r="BOR20">
        <f t="shared" si="1103"/>
        <v>0</v>
      </c>
      <c r="BOS20">
        <f t="shared" si="1104"/>
        <v>0</v>
      </c>
      <c r="BOT20">
        <f t="shared" si="1105"/>
        <v>0</v>
      </c>
      <c r="BOU20">
        <f t="shared" si="1106"/>
        <v>0</v>
      </c>
      <c r="BOV20">
        <f t="shared" si="1107"/>
        <v>0</v>
      </c>
      <c r="BOW20">
        <f t="shared" si="1108"/>
        <v>0</v>
      </c>
      <c r="BOX20">
        <f t="shared" si="1109"/>
        <v>0</v>
      </c>
      <c r="BOY20">
        <f t="shared" si="1110"/>
        <v>0</v>
      </c>
      <c r="BOZ20">
        <f t="shared" si="1111"/>
        <v>0</v>
      </c>
      <c r="BPA20">
        <f t="shared" si="1112"/>
        <v>0</v>
      </c>
      <c r="BPB20">
        <f t="shared" si="1113"/>
        <v>0</v>
      </c>
      <c r="BPC20">
        <f t="shared" si="1114"/>
        <v>0</v>
      </c>
      <c r="BPD20">
        <f t="shared" si="1115"/>
        <v>0</v>
      </c>
      <c r="BPE20">
        <f t="shared" si="1116"/>
        <v>0</v>
      </c>
      <c r="BPF20">
        <f t="shared" si="1117"/>
        <v>0</v>
      </c>
      <c r="BPG20">
        <f t="shared" si="1118"/>
        <v>0</v>
      </c>
      <c r="BPH20">
        <f t="shared" si="1119"/>
        <v>0</v>
      </c>
      <c r="BPI20">
        <f t="shared" si="1120"/>
        <v>0</v>
      </c>
      <c r="BPJ20">
        <f t="shared" si="1121"/>
        <v>0</v>
      </c>
      <c r="BPK20">
        <f t="shared" si="1122"/>
        <v>0</v>
      </c>
      <c r="BPL20">
        <f t="shared" si="1123"/>
        <v>0</v>
      </c>
      <c r="BPM20">
        <f t="shared" si="1124"/>
        <v>0</v>
      </c>
      <c r="BPN20">
        <f t="shared" si="1125"/>
        <v>0</v>
      </c>
      <c r="BPO20">
        <f t="shared" si="1126"/>
        <v>0</v>
      </c>
      <c r="BPP20">
        <f t="shared" si="1127"/>
        <v>0</v>
      </c>
      <c r="BPQ20">
        <f t="shared" si="1128"/>
        <v>0</v>
      </c>
      <c r="BPR20">
        <f t="shared" si="1129"/>
        <v>0</v>
      </c>
      <c r="BPS20">
        <f t="shared" si="1130"/>
        <v>0</v>
      </c>
      <c r="BPT20">
        <f t="shared" si="1131"/>
        <v>0</v>
      </c>
      <c r="BPU20">
        <f t="shared" si="1132"/>
        <v>0</v>
      </c>
      <c r="BPV20">
        <f t="shared" si="1133"/>
        <v>0</v>
      </c>
      <c r="BPW20">
        <f t="shared" si="1134"/>
        <v>0</v>
      </c>
      <c r="BPX20">
        <f t="shared" si="1135"/>
        <v>0</v>
      </c>
      <c r="BPY20">
        <f t="shared" si="1136"/>
        <v>0</v>
      </c>
      <c r="BPZ20">
        <f t="shared" si="50"/>
        <v>0</v>
      </c>
      <c r="BQA20">
        <f t="shared" si="1137"/>
        <v>0</v>
      </c>
      <c r="BQB20">
        <f t="shared" si="1138"/>
        <v>0</v>
      </c>
      <c r="BQC20">
        <f t="shared" si="1139"/>
        <v>0</v>
      </c>
      <c r="BQD20">
        <f t="shared" si="1140"/>
        <v>0</v>
      </c>
      <c r="BQE20">
        <f t="shared" si="1141"/>
        <v>0</v>
      </c>
      <c r="BQF20">
        <f t="shared" si="1142"/>
        <v>0</v>
      </c>
      <c r="BQG20">
        <f t="shared" si="1143"/>
        <v>0</v>
      </c>
      <c r="BQH20">
        <f t="shared" si="1144"/>
        <v>0</v>
      </c>
      <c r="BQI20">
        <f t="shared" si="1145"/>
        <v>0</v>
      </c>
      <c r="BQJ20">
        <f t="shared" si="1146"/>
        <v>0</v>
      </c>
      <c r="BQK20">
        <f t="shared" si="1147"/>
        <v>0</v>
      </c>
      <c r="BQL20">
        <f t="shared" si="1148"/>
        <v>0</v>
      </c>
      <c r="BQM20">
        <f t="shared" si="1149"/>
        <v>0</v>
      </c>
      <c r="BQN20">
        <f t="shared" si="1150"/>
        <v>0</v>
      </c>
      <c r="BQO20">
        <f t="shared" si="1151"/>
        <v>0</v>
      </c>
      <c r="BQP20">
        <f t="shared" si="1152"/>
        <v>0</v>
      </c>
      <c r="BQQ20">
        <f t="shared" si="1153"/>
        <v>0</v>
      </c>
      <c r="BQR20">
        <f t="shared" si="1154"/>
        <v>0</v>
      </c>
      <c r="BQS20">
        <f t="shared" si="1155"/>
        <v>0</v>
      </c>
      <c r="BQT20">
        <f t="shared" si="1156"/>
        <v>0</v>
      </c>
      <c r="BQU20">
        <f t="shared" si="1157"/>
        <v>0</v>
      </c>
      <c r="BQV20">
        <f t="shared" si="1158"/>
        <v>0</v>
      </c>
      <c r="BQW20">
        <f t="shared" si="1159"/>
        <v>0</v>
      </c>
      <c r="BQX20">
        <f t="shared" si="1160"/>
        <v>0</v>
      </c>
      <c r="BQY20">
        <f t="shared" si="1161"/>
        <v>0</v>
      </c>
      <c r="BQZ20">
        <f t="shared" si="1162"/>
        <v>0</v>
      </c>
      <c r="BRA20">
        <f t="shared" si="1163"/>
        <v>0</v>
      </c>
      <c r="BRB20">
        <f t="shared" si="1164"/>
        <v>0</v>
      </c>
      <c r="BRC20">
        <f t="shared" si="1165"/>
        <v>0</v>
      </c>
      <c r="BRD20">
        <f t="shared" si="1166"/>
        <v>0</v>
      </c>
      <c r="BRE20">
        <f t="shared" si="1167"/>
        <v>0</v>
      </c>
      <c r="BRF20">
        <f t="shared" si="1168"/>
        <v>0</v>
      </c>
      <c r="BRG20">
        <f t="shared" si="1169"/>
        <v>0</v>
      </c>
      <c r="BRH20">
        <f t="shared" si="1170"/>
        <v>0</v>
      </c>
      <c r="BRI20">
        <f t="shared" si="1171"/>
        <v>0</v>
      </c>
      <c r="BRJ20">
        <f t="shared" si="1172"/>
        <v>0</v>
      </c>
      <c r="BRK20">
        <f t="shared" si="1173"/>
        <v>0</v>
      </c>
      <c r="BRL20">
        <f t="shared" si="1174"/>
        <v>0</v>
      </c>
      <c r="BRM20">
        <f t="shared" si="1175"/>
        <v>0</v>
      </c>
      <c r="BRN20">
        <f t="shared" si="1176"/>
        <v>0</v>
      </c>
      <c r="BRO20">
        <f t="shared" si="1177"/>
        <v>0</v>
      </c>
      <c r="BRP20">
        <f t="shared" si="1178"/>
        <v>0</v>
      </c>
      <c r="BRQ20">
        <f t="shared" si="1179"/>
        <v>0</v>
      </c>
      <c r="BRR20">
        <f t="shared" si="1180"/>
        <v>0</v>
      </c>
      <c r="BRS20">
        <f t="shared" si="1181"/>
        <v>0</v>
      </c>
      <c r="BRT20">
        <f t="shared" si="1182"/>
        <v>0</v>
      </c>
      <c r="BRU20">
        <f t="shared" si="1183"/>
        <v>0</v>
      </c>
      <c r="BRV20">
        <f t="shared" si="1184"/>
        <v>0</v>
      </c>
      <c r="BRW20">
        <f t="shared" si="1185"/>
        <v>0</v>
      </c>
      <c r="BRX20">
        <f t="shared" si="1186"/>
        <v>0</v>
      </c>
      <c r="BRY20">
        <f t="shared" si="1187"/>
        <v>0</v>
      </c>
      <c r="BRZ20">
        <f t="shared" si="1188"/>
        <v>0</v>
      </c>
      <c r="BSA20">
        <f t="shared" si="1189"/>
        <v>0</v>
      </c>
      <c r="BSB20">
        <f t="shared" si="1190"/>
        <v>0</v>
      </c>
      <c r="BSC20">
        <f t="shared" si="1191"/>
        <v>0</v>
      </c>
      <c r="BSD20">
        <f t="shared" si="1192"/>
        <v>0</v>
      </c>
      <c r="BSE20">
        <f t="shared" si="1193"/>
        <v>0</v>
      </c>
      <c r="BSF20">
        <f t="shared" si="1194"/>
        <v>0</v>
      </c>
      <c r="BSG20">
        <f t="shared" si="1195"/>
        <v>0</v>
      </c>
      <c r="BSH20">
        <f t="shared" si="1196"/>
        <v>0</v>
      </c>
      <c r="BSI20">
        <f t="shared" si="1197"/>
        <v>0</v>
      </c>
      <c r="BSJ20">
        <f t="shared" si="1198"/>
        <v>0</v>
      </c>
      <c r="BSK20">
        <f t="shared" si="1199"/>
        <v>0</v>
      </c>
      <c r="BSL20">
        <f t="shared" si="51"/>
        <v>0</v>
      </c>
      <c r="BSM20">
        <f t="shared" si="1200"/>
        <v>0</v>
      </c>
      <c r="BSN20">
        <f t="shared" si="1201"/>
        <v>0</v>
      </c>
      <c r="BSO20">
        <f t="shared" si="1202"/>
        <v>0</v>
      </c>
      <c r="BSP20">
        <f t="shared" si="1203"/>
        <v>0</v>
      </c>
      <c r="BSQ20">
        <f t="shared" si="1204"/>
        <v>0</v>
      </c>
      <c r="BSR20">
        <f t="shared" si="1205"/>
        <v>0</v>
      </c>
      <c r="BSS20">
        <f t="shared" si="1206"/>
        <v>0</v>
      </c>
      <c r="BST20">
        <f t="shared" si="1207"/>
        <v>0</v>
      </c>
      <c r="BSU20">
        <f t="shared" si="1208"/>
        <v>0</v>
      </c>
      <c r="BSV20">
        <f t="shared" si="1209"/>
        <v>0</v>
      </c>
      <c r="BSW20">
        <f t="shared" si="1210"/>
        <v>0</v>
      </c>
      <c r="BSX20">
        <f t="shared" si="1211"/>
        <v>0</v>
      </c>
      <c r="BSY20">
        <f t="shared" si="1212"/>
        <v>0</v>
      </c>
      <c r="BSZ20">
        <f t="shared" si="1213"/>
        <v>0</v>
      </c>
      <c r="BTA20">
        <f t="shared" si="1214"/>
        <v>0</v>
      </c>
      <c r="BTB20">
        <f t="shared" si="1215"/>
        <v>0</v>
      </c>
      <c r="BTC20">
        <f t="shared" si="1216"/>
        <v>0</v>
      </c>
      <c r="BTD20">
        <f t="shared" si="1217"/>
        <v>0</v>
      </c>
      <c r="BTE20">
        <f t="shared" si="1218"/>
        <v>0</v>
      </c>
      <c r="BTF20">
        <f t="shared" si="1219"/>
        <v>0</v>
      </c>
      <c r="BTG20">
        <f t="shared" si="1220"/>
        <v>0</v>
      </c>
      <c r="BTH20">
        <f t="shared" si="1221"/>
        <v>0</v>
      </c>
      <c r="BTI20">
        <f t="shared" si="1222"/>
        <v>0</v>
      </c>
      <c r="BTJ20">
        <f t="shared" si="1223"/>
        <v>0</v>
      </c>
      <c r="BTK20">
        <f t="shared" si="1224"/>
        <v>0</v>
      </c>
      <c r="BTL20">
        <f t="shared" si="1225"/>
        <v>0</v>
      </c>
      <c r="BTM20">
        <f t="shared" si="1226"/>
        <v>0</v>
      </c>
      <c r="BTN20">
        <f t="shared" si="1227"/>
        <v>0</v>
      </c>
      <c r="BTO20">
        <f t="shared" si="1228"/>
        <v>0</v>
      </c>
      <c r="BTP20">
        <f t="shared" si="1229"/>
        <v>0</v>
      </c>
      <c r="BTQ20">
        <f t="shared" si="1230"/>
        <v>0</v>
      </c>
      <c r="BTR20">
        <f t="shared" si="1231"/>
        <v>0</v>
      </c>
      <c r="BTS20">
        <f t="shared" si="1232"/>
        <v>0</v>
      </c>
      <c r="BTT20">
        <f t="shared" si="1233"/>
        <v>0</v>
      </c>
      <c r="BTU20">
        <f t="shared" si="1234"/>
        <v>0</v>
      </c>
      <c r="BTV20">
        <f t="shared" si="1235"/>
        <v>0</v>
      </c>
      <c r="BTW20">
        <f t="shared" si="1236"/>
        <v>0</v>
      </c>
      <c r="BTX20">
        <f t="shared" si="1237"/>
        <v>0</v>
      </c>
      <c r="BTY20">
        <f t="shared" si="1238"/>
        <v>0</v>
      </c>
      <c r="BTZ20">
        <f t="shared" si="1239"/>
        <v>0</v>
      </c>
      <c r="BUA20">
        <f t="shared" si="1240"/>
        <v>0</v>
      </c>
      <c r="BUB20">
        <f t="shared" si="1241"/>
        <v>0</v>
      </c>
      <c r="BUC20">
        <f t="shared" si="1242"/>
        <v>0</v>
      </c>
      <c r="BUD20">
        <f t="shared" si="1243"/>
        <v>0</v>
      </c>
      <c r="BUE20">
        <f t="shared" si="1244"/>
        <v>0</v>
      </c>
      <c r="BUF20">
        <f t="shared" si="1245"/>
        <v>0</v>
      </c>
      <c r="BUG20">
        <f t="shared" si="1246"/>
        <v>0</v>
      </c>
      <c r="BUH20">
        <f t="shared" si="1247"/>
        <v>0</v>
      </c>
      <c r="BUI20">
        <f t="shared" si="1248"/>
        <v>0</v>
      </c>
      <c r="BUJ20">
        <f t="shared" si="1249"/>
        <v>0</v>
      </c>
      <c r="BUK20">
        <f t="shared" si="1250"/>
        <v>0</v>
      </c>
      <c r="BUL20">
        <f t="shared" si="1251"/>
        <v>0</v>
      </c>
      <c r="BUM20">
        <f t="shared" si="1252"/>
        <v>0</v>
      </c>
      <c r="BUN20">
        <f t="shared" si="1253"/>
        <v>0</v>
      </c>
      <c r="BUO20">
        <f t="shared" si="1254"/>
        <v>0</v>
      </c>
      <c r="BUP20">
        <f t="shared" si="1255"/>
        <v>0</v>
      </c>
      <c r="BUQ20">
        <f t="shared" si="1256"/>
        <v>0</v>
      </c>
      <c r="BUR20">
        <f t="shared" si="1257"/>
        <v>0</v>
      </c>
      <c r="BUS20">
        <f t="shared" si="1258"/>
        <v>0</v>
      </c>
      <c r="BUT20">
        <f t="shared" si="1259"/>
        <v>0</v>
      </c>
      <c r="BUU20">
        <f t="shared" si="1260"/>
        <v>0</v>
      </c>
      <c r="BUV20">
        <f t="shared" si="1261"/>
        <v>0</v>
      </c>
      <c r="BUW20">
        <f t="shared" si="1262"/>
        <v>0</v>
      </c>
      <c r="BUX20">
        <f t="shared" si="52"/>
        <v>0</v>
      </c>
      <c r="BUY20">
        <f t="shared" si="1263"/>
        <v>0</v>
      </c>
      <c r="BUZ20">
        <f t="shared" si="1264"/>
        <v>0</v>
      </c>
      <c r="BVA20">
        <f t="shared" si="1265"/>
        <v>0</v>
      </c>
      <c r="BVB20">
        <f t="shared" si="1266"/>
        <v>0</v>
      </c>
      <c r="BVC20">
        <f t="shared" si="1267"/>
        <v>0</v>
      </c>
      <c r="BVD20">
        <f t="shared" si="1268"/>
        <v>0</v>
      </c>
      <c r="BVE20">
        <f t="shared" si="1269"/>
        <v>0</v>
      </c>
      <c r="BVF20">
        <f t="shared" si="1270"/>
        <v>0</v>
      </c>
      <c r="BVG20">
        <f t="shared" si="1271"/>
        <v>0</v>
      </c>
      <c r="BVH20">
        <f t="shared" si="1272"/>
        <v>0</v>
      </c>
      <c r="BVI20">
        <f t="shared" si="1273"/>
        <v>0</v>
      </c>
      <c r="BVJ20">
        <f t="shared" si="1274"/>
        <v>0</v>
      </c>
      <c r="BVK20">
        <f t="shared" si="1275"/>
        <v>0</v>
      </c>
      <c r="BVL20">
        <f t="shared" si="1276"/>
        <v>0</v>
      </c>
      <c r="BVM20">
        <f t="shared" si="1277"/>
        <v>0</v>
      </c>
      <c r="BVN20">
        <f t="shared" si="1278"/>
        <v>0</v>
      </c>
      <c r="BVO20">
        <f t="shared" si="1279"/>
        <v>0</v>
      </c>
      <c r="BVP20">
        <f t="shared" si="1280"/>
        <v>0</v>
      </c>
      <c r="BVQ20">
        <f t="shared" si="1281"/>
        <v>0</v>
      </c>
      <c r="BVR20">
        <f t="shared" si="1282"/>
        <v>0</v>
      </c>
      <c r="BVS20">
        <f t="shared" si="1283"/>
        <v>0</v>
      </c>
      <c r="BVT20">
        <f t="shared" si="1284"/>
        <v>0</v>
      </c>
      <c r="BVU20">
        <f t="shared" si="1285"/>
        <v>0</v>
      </c>
      <c r="BVV20">
        <f t="shared" si="1286"/>
        <v>0</v>
      </c>
      <c r="BVW20">
        <f t="shared" si="1287"/>
        <v>0</v>
      </c>
      <c r="BVX20">
        <f t="shared" si="1288"/>
        <v>0</v>
      </c>
      <c r="BVY20">
        <f t="shared" si="1289"/>
        <v>0</v>
      </c>
      <c r="BVZ20">
        <f t="shared" si="1290"/>
        <v>0</v>
      </c>
      <c r="BWA20">
        <f t="shared" si="1291"/>
        <v>0</v>
      </c>
      <c r="BWB20">
        <f t="shared" si="1292"/>
        <v>0</v>
      </c>
      <c r="BWC20">
        <f t="shared" si="1293"/>
        <v>0</v>
      </c>
      <c r="BWD20">
        <f t="shared" si="1294"/>
        <v>0</v>
      </c>
      <c r="BWE20">
        <f t="shared" si="1295"/>
        <v>0</v>
      </c>
      <c r="BWF20">
        <f t="shared" si="1296"/>
        <v>0</v>
      </c>
      <c r="BWG20">
        <f t="shared" si="1297"/>
        <v>0</v>
      </c>
      <c r="BWH20">
        <f t="shared" si="1298"/>
        <v>0</v>
      </c>
      <c r="BWI20">
        <f t="shared" si="1299"/>
        <v>0</v>
      </c>
      <c r="BWJ20">
        <f t="shared" si="1300"/>
        <v>0</v>
      </c>
      <c r="BWK20">
        <f t="shared" si="1301"/>
        <v>0</v>
      </c>
      <c r="BWL20">
        <f t="shared" si="1302"/>
        <v>0</v>
      </c>
      <c r="BWM20">
        <f t="shared" si="1303"/>
        <v>0</v>
      </c>
      <c r="BWN20">
        <f t="shared" si="1304"/>
        <v>0</v>
      </c>
      <c r="BWO20">
        <f t="shared" si="1305"/>
        <v>0</v>
      </c>
      <c r="BWP20">
        <f t="shared" si="1306"/>
        <v>0</v>
      </c>
      <c r="BWQ20">
        <f t="shared" si="1307"/>
        <v>0</v>
      </c>
      <c r="BWR20">
        <f t="shared" si="1308"/>
        <v>0</v>
      </c>
      <c r="BWS20">
        <f t="shared" si="1309"/>
        <v>0</v>
      </c>
      <c r="BWT20">
        <f t="shared" si="1310"/>
        <v>0</v>
      </c>
      <c r="BWU20">
        <f t="shared" si="1311"/>
        <v>0</v>
      </c>
      <c r="BWV20">
        <f t="shared" si="1312"/>
        <v>0</v>
      </c>
      <c r="BWW20">
        <f t="shared" si="1313"/>
        <v>0</v>
      </c>
      <c r="BWX20">
        <f t="shared" si="1314"/>
        <v>0</v>
      </c>
      <c r="BWY20">
        <f t="shared" si="1315"/>
        <v>0</v>
      </c>
      <c r="BWZ20">
        <f t="shared" si="1316"/>
        <v>0</v>
      </c>
      <c r="BXA20">
        <f t="shared" si="1317"/>
        <v>0</v>
      </c>
      <c r="BXB20">
        <f t="shared" si="1318"/>
        <v>0</v>
      </c>
      <c r="BXC20">
        <f t="shared" si="1319"/>
        <v>0</v>
      </c>
      <c r="BXD20">
        <f t="shared" si="1320"/>
        <v>0</v>
      </c>
      <c r="BXE20">
        <f t="shared" si="1321"/>
        <v>0</v>
      </c>
      <c r="BXF20">
        <f t="shared" si="1322"/>
        <v>0</v>
      </c>
      <c r="BXG20">
        <f t="shared" si="1323"/>
        <v>0</v>
      </c>
      <c r="BXH20">
        <f t="shared" si="1324"/>
        <v>0</v>
      </c>
      <c r="BXI20">
        <f t="shared" si="1325"/>
        <v>0</v>
      </c>
      <c r="BXJ20">
        <f t="shared" si="53"/>
        <v>0</v>
      </c>
      <c r="BXK20">
        <f t="shared" si="1326"/>
        <v>0</v>
      </c>
      <c r="BXL20">
        <f t="shared" si="1327"/>
        <v>0</v>
      </c>
      <c r="BXM20">
        <f t="shared" si="1328"/>
        <v>0</v>
      </c>
      <c r="BXN20">
        <f t="shared" si="1329"/>
        <v>0</v>
      </c>
      <c r="BXO20">
        <f t="shared" si="1330"/>
        <v>0</v>
      </c>
      <c r="BXP20">
        <f t="shared" si="1331"/>
        <v>0</v>
      </c>
      <c r="BXQ20">
        <f t="shared" si="1332"/>
        <v>0</v>
      </c>
      <c r="BXR20">
        <f t="shared" si="1333"/>
        <v>0</v>
      </c>
      <c r="BXS20">
        <f t="shared" si="1334"/>
        <v>0</v>
      </c>
      <c r="BXT20">
        <f t="shared" si="1335"/>
        <v>0</v>
      </c>
      <c r="BXU20">
        <f t="shared" si="1336"/>
        <v>0</v>
      </c>
      <c r="BXV20">
        <f t="shared" si="1337"/>
        <v>0</v>
      </c>
      <c r="BXW20">
        <f t="shared" si="1338"/>
        <v>0</v>
      </c>
      <c r="BXX20">
        <f t="shared" si="1339"/>
        <v>0</v>
      </c>
      <c r="BXY20">
        <f t="shared" si="1340"/>
        <v>0</v>
      </c>
      <c r="BXZ20">
        <f t="shared" si="1341"/>
        <v>0</v>
      </c>
      <c r="BYA20">
        <f t="shared" si="1342"/>
        <v>0</v>
      </c>
      <c r="BYB20">
        <f t="shared" si="1343"/>
        <v>0</v>
      </c>
      <c r="BYC20">
        <f t="shared" si="1344"/>
        <v>0</v>
      </c>
      <c r="BYD20">
        <f t="shared" si="1345"/>
        <v>0</v>
      </c>
      <c r="BYE20">
        <f t="shared" si="1346"/>
        <v>0</v>
      </c>
      <c r="BYF20">
        <f t="shared" si="1347"/>
        <v>0</v>
      </c>
      <c r="BYG20">
        <f t="shared" si="1348"/>
        <v>0</v>
      </c>
      <c r="BYH20">
        <f t="shared" si="1349"/>
        <v>0</v>
      </c>
      <c r="BYI20">
        <f t="shared" si="1350"/>
        <v>0</v>
      </c>
      <c r="BYJ20">
        <f t="shared" si="1351"/>
        <v>0</v>
      </c>
      <c r="BYK20">
        <f t="shared" si="1352"/>
        <v>0</v>
      </c>
      <c r="BYL20">
        <f t="shared" si="1353"/>
        <v>0</v>
      </c>
      <c r="BYM20">
        <f t="shared" si="1354"/>
        <v>0</v>
      </c>
      <c r="BYN20">
        <f t="shared" si="1355"/>
        <v>0</v>
      </c>
      <c r="BYO20">
        <f t="shared" si="1356"/>
        <v>0</v>
      </c>
      <c r="BYP20">
        <f t="shared" si="1357"/>
        <v>0</v>
      </c>
      <c r="BYQ20">
        <f t="shared" si="1358"/>
        <v>0</v>
      </c>
      <c r="BYR20">
        <f t="shared" si="1359"/>
        <v>0</v>
      </c>
      <c r="BYS20">
        <f t="shared" si="1360"/>
        <v>0</v>
      </c>
      <c r="BYT20">
        <f t="shared" si="1361"/>
        <v>0</v>
      </c>
      <c r="BYU20">
        <f t="shared" si="1362"/>
        <v>0</v>
      </c>
      <c r="BYV20">
        <f t="shared" si="1363"/>
        <v>0</v>
      </c>
      <c r="BYW20">
        <f t="shared" si="1364"/>
        <v>0</v>
      </c>
      <c r="BYX20">
        <f t="shared" si="1365"/>
        <v>0</v>
      </c>
      <c r="BYY20">
        <f t="shared" si="1366"/>
        <v>0</v>
      </c>
      <c r="BYZ20">
        <f t="shared" si="1367"/>
        <v>0</v>
      </c>
      <c r="BZA20">
        <f t="shared" si="1368"/>
        <v>0</v>
      </c>
      <c r="BZB20">
        <f t="shared" si="1369"/>
        <v>0</v>
      </c>
      <c r="BZC20">
        <f t="shared" si="1370"/>
        <v>0</v>
      </c>
      <c r="BZD20">
        <f t="shared" si="1371"/>
        <v>0</v>
      </c>
      <c r="BZE20">
        <f t="shared" si="1372"/>
        <v>0</v>
      </c>
      <c r="BZF20">
        <f t="shared" si="1373"/>
        <v>0</v>
      </c>
      <c r="BZG20">
        <f t="shared" si="1374"/>
        <v>0</v>
      </c>
      <c r="BZH20">
        <f t="shared" si="1375"/>
        <v>0</v>
      </c>
      <c r="BZI20">
        <f t="shared" si="1376"/>
        <v>0</v>
      </c>
      <c r="BZJ20">
        <f t="shared" si="1377"/>
        <v>0</v>
      </c>
      <c r="BZK20">
        <f t="shared" si="1378"/>
        <v>0</v>
      </c>
      <c r="BZL20">
        <f t="shared" si="1379"/>
        <v>0</v>
      </c>
      <c r="BZM20">
        <f t="shared" si="1380"/>
        <v>0</v>
      </c>
      <c r="BZN20">
        <f t="shared" si="1381"/>
        <v>0</v>
      </c>
      <c r="BZO20">
        <f t="shared" si="1382"/>
        <v>0</v>
      </c>
      <c r="BZP20">
        <f t="shared" si="1383"/>
        <v>0</v>
      </c>
      <c r="BZQ20">
        <f t="shared" si="1384"/>
        <v>0</v>
      </c>
      <c r="BZR20">
        <f t="shared" si="1385"/>
        <v>0</v>
      </c>
      <c r="BZS20">
        <f t="shared" si="1386"/>
        <v>0</v>
      </c>
      <c r="BZT20">
        <f t="shared" si="1387"/>
        <v>0</v>
      </c>
      <c r="BZU20">
        <f t="shared" si="1388"/>
        <v>0</v>
      </c>
      <c r="BZV20">
        <f t="shared" si="54"/>
        <v>0</v>
      </c>
      <c r="BZW20">
        <f t="shared" si="1389"/>
        <v>0</v>
      </c>
      <c r="BZX20">
        <f t="shared" si="1390"/>
        <v>0</v>
      </c>
      <c r="BZY20">
        <f t="shared" si="1391"/>
        <v>0</v>
      </c>
      <c r="BZZ20">
        <f t="shared" si="1392"/>
        <v>0</v>
      </c>
      <c r="CAA20">
        <f t="shared" si="1393"/>
        <v>0</v>
      </c>
      <c r="CAB20">
        <f t="shared" si="1394"/>
        <v>0</v>
      </c>
      <c r="CAC20">
        <f t="shared" si="1395"/>
        <v>0</v>
      </c>
      <c r="CAD20">
        <f t="shared" si="1396"/>
        <v>0</v>
      </c>
      <c r="CAE20">
        <f t="shared" si="1397"/>
        <v>0</v>
      </c>
      <c r="CAF20">
        <f t="shared" si="1398"/>
        <v>0</v>
      </c>
      <c r="CAG20">
        <f t="shared" si="1399"/>
        <v>0</v>
      </c>
      <c r="CAH20">
        <f t="shared" si="1400"/>
        <v>0</v>
      </c>
      <c r="CAI20">
        <f t="shared" si="1401"/>
        <v>0</v>
      </c>
      <c r="CAJ20">
        <f t="shared" si="1402"/>
        <v>0</v>
      </c>
      <c r="CAK20">
        <f t="shared" si="1403"/>
        <v>0</v>
      </c>
      <c r="CAL20">
        <f t="shared" si="1404"/>
        <v>0</v>
      </c>
      <c r="CAM20">
        <f t="shared" si="1405"/>
        <v>0</v>
      </c>
      <c r="CAN20">
        <f t="shared" si="1406"/>
        <v>0</v>
      </c>
      <c r="CAO20">
        <f t="shared" si="1407"/>
        <v>0</v>
      </c>
      <c r="CAP20">
        <f t="shared" si="1408"/>
        <v>0</v>
      </c>
      <c r="CAQ20">
        <f t="shared" si="1409"/>
        <v>0</v>
      </c>
      <c r="CAR20">
        <f t="shared" si="1410"/>
        <v>0</v>
      </c>
      <c r="CAS20">
        <f t="shared" si="1411"/>
        <v>0</v>
      </c>
      <c r="CAT20">
        <f t="shared" si="1412"/>
        <v>0</v>
      </c>
      <c r="CAU20">
        <f t="shared" si="1413"/>
        <v>0</v>
      </c>
      <c r="CAV20">
        <f t="shared" si="1414"/>
        <v>0</v>
      </c>
      <c r="CAW20">
        <f t="shared" si="1415"/>
        <v>0</v>
      </c>
      <c r="CAX20">
        <f t="shared" si="1416"/>
        <v>0</v>
      </c>
      <c r="CAY20">
        <f t="shared" si="1417"/>
        <v>0</v>
      </c>
      <c r="CAZ20">
        <f t="shared" si="1418"/>
        <v>0</v>
      </c>
      <c r="CBA20">
        <f t="shared" si="1419"/>
        <v>0</v>
      </c>
      <c r="CBB20">
        <f t="shared" si="1420"/>
        <v>0</v>
      </c>
      <c r="CBC20">
        <f t="shared" si="1421"/>
        <v>0</v>
      </c>
      <c r="CBD20">
        <f t="shared" si="1422"/>
        <v>0</v>
      </c>
      <c r="CBE20">
        <f t="shared" si="1423"/>
        <v>0</v>
      </c>
      <c r="CBF20">
        <f t="shared" si="1424"/>
        <v>0</v>
      </c>
      <c r="CBG20">
        <f t="shared" si="1425"/>
        <v>0</v>
      </c>
      <c r="CBH20">
        <f t="shared" si="1426"/>
        <v>0</v>
      </c>
      <c r="CBI20">
        <f t="shared" si="1427"/>
        <v>0</v>
      </c>
      <c r="CBJ20">
        <f t="shared" si="1428"/>
        <v>0</v>
      </c>
      <c r="CBK20">
        <f t="shared" si="1429"/>
        <v>0</v>
      </c>
      <c r="CBL20">
        <f t="shared" si="1430"/>
        <v>0</v>
      </c>
      <c r="CBM20">
        <f t="shared" si="1431"/>
        <v>0</v>
      </c>
      <c r="CBN20">
        <f t="shared" si="1432"/>
        <v>0</v>
      </c>
      <c r="CBO20">
        <f t="shared" si="1433"/>
        <v>0</v>
      </c>
      <c r="CBP20">
        <f t="shared" si="1434"/>
        <v>0</v>
      </c>
      <c r="CBQ20">
        <f t="shared" si="1435"/>
        <v>0</v>
      </c>
      <c r="CBR20">
        <f t="shared" si="1436"/>
        <v>0</v>
      </c>
      <c r="CBS20">
        <f t="shared" si="1437"/>
        <v>0</v>
      </c>
      <c r="CBT20">
        <f t="shared" si="1438"/>
        <v>0</v>
      </c>
      <c r="CBU20">
        <f t="shared" si="1439"/>
        <v>0</v>
      </c>
      <c r="CBV20">
        <f t="shared" si="1440"/>
        <v>0</v>
      </c>
      <c r="CBW20">
        <f t="shared" si="1441"/>
        <v>0</v>
      </c>
      <c r="CBX20">
        <f t="shared" si="1442"/>
        <v>0</v>
      </c>
      <c r="CBY20">
        <f t="shared" si="1443"/>
        <v>0</v>
      </c>
      <c r="CBZ20">
        <f t="shared" si="1444"/>
        <v>0</v>
      </c>
      <c r="CCA20">
        <f t="shared" si="1445"/>
        <v>0</v>
      </c>
      <c r="CCB20">
        <f t="shared" si="1446"/>
        <v>0</v>
      </c>
      <c r="CCC20">
        <f t="shared" si="1447"/>
        <v>0</v>
      </c>
      <c r="CCD20">
        <f t="shared" si="1448"/>
        <v>0</v>
      </c>
      <c r="CCE20">
        <f t="shared" si="1449"/>
        <v>0</v>
      </c>
      <c r="CCF20">
        <f t="shared" si="1450"/>
        <v>0</v>
      </c>
      <c r="CCG20">
        <f t="shared" si="1451"/>
        <v>0</v>
      </c>
      <c r="CCH20">
        <f t="shared" si="55"/>
        <v>0</v>
      </c>
      <c r="CCI20">
        <f t="shared" si="1452"/>
        <v>0</v>
      </c>
      <c r="CCJ20">
        <f t="shared" si="1453"/>
        <v>0</v>
      </c>
      <c r="CCK20">
        <f t="shared" si="1454"/>
        <v>0</v>
      </c>
      <c r="CCL20">
        <f t="shared" si="1455"/>
        <v>0</v>
      </c>
      <c r="CCM20">
        <f t="shared" si="1456"/>
        <v>0</v>
      </c>
      <c r="CCN20">
        <f t="shared" si="1457"/>
        <v>0</v>
      </c>
      <c r="CCO20">
        <f t="shared" si="1458"/>
        <v>0</v>
      </c>
      <c r="CCP20">
        <f t="shared" si="1459"/>
        <v>0</v>
      </c>
      <c r="CCQ20">
        <f t="shared" si="1460"/>
        <v>0</v>
      </c>
      <c r="CCR20">
        <f t="shared" si="1461"/>
        <v>0</v>
      </c>
      <c r="CCS20">
        <f t="shared" si="1462"/>
        <v>0</v>
      </c>
      <c r="CCT20">
        <f t="shared" si="1463"/>
        <v>0</v>
      </c>
      <c r="CCU20">
        <f t="shared" si="1464"/>
        <v>0</v>
      </c>
      <c r="CCV20">
        <f t="shared" si="1465"/>
        <v>0</v>
      </c>
      <c r="CCW20">
        <f t="shared" si="1466"/>
        <v>0</v>
      </c>
      <c r="CCX20">
        <f t="shared" si="1467"/>
        <v>0</v>
      </c>
      <c r="CCY20">
        <f t="shared" si="1468"/>
        <v>0</v>
      </c>
      <c r="CCZ20">
        <f t="shared" si="1469"/>
        <v>0</v>
      </c>
      <c r="CDA20">
        <f t="shared" si="1470"/>
        <v>0</v>
      </c>
      <c r="CDB20">
        <f t="shared" si="1471"/>
        <v>0</v>
      </c>
      <c r="CDC20">
        <f t="shared" si="1472"/>
        <v>0</v>
      </c>
      <c r="CDD20">
        <f t="shared" si="1473"/>
        <v>0</v>
      </c>
      <c r="CDE20">
        <f t="shared" si="1474"/>
        <v>0</v>
      </c>
      <c r="CDF20">
        <f t="shared" si="1475"/>
        <v>0</v>
      </c>
      <c r="CDG20">
        <f t="shared" si="1476"/>
        <v>0</v>
      </c>
      <c r="CDH20">
        <f t="shared" si="1477"/>
        <v>0</v>
      </c>
      <c r="CDI20">
        <f t="shared" si="1478"/>
        <v>0</v>
      </c>
      <c r="CDJ20">
        <f t="shared" si="1479"/>
        <v>0</v>
      </c>
      <c r="CDK20">
        <f t="shared" si="1480"/>
        <v>0</v>
      </c>
      <c r="CDL20">
        <f t="shared" si="1481"/>
        <v>0</v>
      </c>
      <c r="CDM20">
        <f t="shared" si="1482"/>
        <v>0</v>
      </c>
      <c r="CDN20">
        <f t="shared" si="1483"/>
        <v>0</v>
      </c>
      <c r="CDO20">
        <f t="shared" si="1484"/>
        <v>0</v>
      </c>
      <c r="CDP20">
        <f t="shared" si="1485"/>
        <v>0</v>
      </c>
      <c r="CDQ20">
        <f t="shared" si="1486"/>
        <v>0</v>
      </c>
      <c r="CDR20">
        <f t="shared" si="1487"/>
        <v>0</v>
      </c>
      <c r="CDS20">
        <f t="shared" si="1488"/>
        <v>0</v>
      </c>
      <c r="CDT20">
        <f t="shared" si="1489"/>
        <v>0</v>
      </c>
      <c r="CDU20">
        <f t="shared" si="1490"/>
        <v>0</v>
      </c>
      <c r="CDV20">
        <f t="shared" si="1491"/>
        <v>0</v>
      </c>
      <c r="CDW20">
        <f t="shared" si="1492"/>
        <v>0</v>
      </c>
      <c r="CDX20">
        <f t="shared" si="1493"/>
        <v>0</v>
      </c>
      <c r="CDY20">
        <f t="shared" si="1494"/>
        <v>0</v>
      </c>
      <c r="CDZ20">
        <f t="shared" si="1495"/>
        <v>0</v>
      </c>
      <c r="CEA20">
        <f t="shared" si="1496"/>
        <v>0</v>
      </c>
      <c r="CEB20">
        <f t="shared" si="1497"/>
        <v>0</v>
      </c>
      <c r="CEC20">
        <f t="shared" si="1498"/>
        <v>0</v>
      </c>
      <c r="CED20">
        <f t="shared" si="1499"/>
        <v>0</v>
      </c>
      <c r="CEE20">
        <f t="shared" si="1500"/>
        <v>0</v>
      </c>
      <c r="CEF20">
        <f t="shared" si="1501"/>
        <v>0</v>
      </c>
      <c r="CEG20">
        <f t="shared" si="1502"/>
        <v>0</v>
      </c>
      <c r="CEH20">
        <f t="shared" si="1503"/>
        <v>0</v>
      </c>
      <c r="CEI20">
        <f t="shared" si="1504"/>
        <v>0</v>
      </c>
      <c r="CEJ20">
        <f t="shared" si="1505"/>
        <v>0</v>
      </c>
      <c r="CEK20">
        <f t="shared" si="1506"/>
        <v>0</v>
      </c>
      <c r="CEL20">
        <f t="shared" si="1507"/>
        <v>0</v>
      </c>
      <c r="CEM20">
        <f t="shared" si="1508"/>
        <v>0</v>
      </c>
      <c r="CEN20">
        <f t="shared" si="1509"/>
        <v>0</v>
      </c>
      <c r="CEO20">
        <f t="shared" si="1510"/>
        <v>0</v>
      </c>
      <c r="CEP20">
        <f t="shared" si="1511"/>
        <v>0</v>
      </c>
      <c r="CEQ20">
        <f t="shared" si="1512"/>
        <v>0</v>
      </c>
      <c r="CER20">
        <f t="shared" si="1513"/>
        <v>0</v>
      </c>
      <c r="CES20">
        <f t="shared" si="1514"/>
        <v>0</v>
      </c>
      <c r="CET20">
        <f t="shared" si="56"/>
        <v>0</v>
      </c>
      <c r="CEU20">
        <f t="shared" si="1515"/>
        <v>0</v>
      </c>
      <c r="CEV20">
        <f t="shared" si="1516"/>
        <v>0</v>
      </c>
      <c r="CEW20">
        <f t="shared" si="1517"/>
        <v>0</v>
      </c>
      <c r="CEX20">
        <f t="shared" si="1518"/>
        <v>0</v>
      </c>
      <c r="CEY20">
        <f t="shared" si="1519"/>
        <v>0</v>
      </c>
      <c r="CEZ20">
        <f t="shared" si="1520"/>
        <v>0</v>
      </c>
      <c r="CFA20">
        <f t="shared" si="1521"/>
        <v>0</v>
      </c>
      <c r="CFB20">
        <f t="shared" si="1522"/>
        <v>0</v>
      </c>
      <c r="CFC20">
        <f t="shared" si="1523"/>
        <v>0</v>
      </c>
      <c r="CFD20">
        <f t="shared" si="1524"/>
        <v>0</v>
      </c>
      <c r="CFE20">
        <f t="shared" si="1525"/>
        <v>0</v>
      </c>
      <c r="CFF20">
        <f t="shared" si="1526"/>
        <v>0</v>
      </c>
      <c r="CFG20">
        <f t="shared" si="1527"/>
        <v>0</v>
      </c>
      <c r="CFH20">
        <f t="shared" si="1528"/>
        <v>0</v>
      </c>
      <c r="CFI20">
        <f t="shared" si="1529"/>
        <v>0</v>
      </c>
      <c r="CFJ20">
        <f t="shared" si="1530"/>
        <v>0</v>
      </c>
      <c r="CFK20">
        <f t="shared" si="1531"/>
        <v>0</v>
      </c>
      <c r="CFL20">
        <f t="shared" si="1532"/>
        <v>0</v>
      </c>
      <c r="CFM20">
        <f t="shared" si="1533"/>
        <v>0</v>
      </c>
      <c r="CFN20">
        <f t="shared" si="1534"/>
        <v>0</v>
      </c>
      <c r="CFO20">
        <f t="shared" si="1535"/>
        <v>0</v>
      </c>
      <c r="CFP20">
        <f t="shared" si="1536"/>
        <v>0</v>
      </c>
      <c r="CFQ20">
        <f t="shared" si="1537"/>
        <v>0</v>
      </c>
      <c r="CFR20">
        <f t="shared" si="1538"/>
        <v>0</v>
      </c>
      <c r="CFS20">
        <f t="shared" si="1539"/>
        <v>0</v>
      </c>
      <c r="CFT20">
        <f t="shared" si="1540"/>
        <v>0</v>
      </c>
      <c r="CFU20">
        <f t="shared" si="1541"/>
        <v>0</v>
      </c>
      <c r="CFV20">
        <f t="shared" si="1542"/>
        <v>0</v>
      </c>
      <c r="CFW20">
        <f t="shared" si="1543"/>
        <v>0</v>
      </c>
      <c r="CFX20">
        <f t="shared" si="1544"/>
        <v>0</v>
      </c>
      <c r="CFY20">
        <f t="shared" si="1545"/>
        <v>0</v>
      </c>
      <c r="CFZ20">
        <f t="shared" si="1546"/>
        <v>0</v>
      </c>
      <c r="CGA20">
        <f t="shared" si="1547"/>
        <v>0</v>
      </c>
      <c r="CGB20">
        <f t="shared" si="1548"/>
        <v>0</v>
      </c>
      <c r="CGC20">
        <f t="shared" si="1549"/>
        <v>0</v>
      </c>
      <c r="CGD20">
        <f t="shared" si="1550"/>
        <v>0</v>
      </c>
      <c r="CGE20">
        <f t="shared" si="1551"/>
        <v>0</v>
      </c>
      <c r="CGF20">
        <f t="shared" si="1552"/>
        <v>0</v>
      </c>
      <c r="CGG20">
        <f t="shared" si="1553"/>
        <v>0</v>
      </c>
      <c r="CGH20">
        <f t="shared" si="1554"/>
        <v>0</v>
      </c>
      <c r="CGI20">
        <f t="shared" si="1555"/>
        <v>0</v>
      </c>
      <c r="CGJ20">
        <f t="shared" si="1556"/>
        <v>0</v>
      </c>
      <c r="CGK20">
        <f t="shared" si="1557"/>
        <v>0</v>
      </c>
      <c r="CGL20">
        <f t="shared" si="1558"/>
        <v>0</v>
      </c>
      <c r="CGM20">
        <f t="shared" si="1559"/>
        <v>0</v>
      </c>
      <c r="CGN20">
        <f t="shared" si="1560"/>
        <v>0</v>
      </c>
      <c r="CGO20">
        <f t="shared" si="1561"/>
        <v>0</v>
      </c>
      <c r="CGP20">
        <f t="shared" si="1562"/>
        <v>0</v>
      </c>
      <c r="CGQ20">
        <f t="shared" si="1563"/>
        <v>0</v>
      </c>
      <c r="CGR20">
        <f t="shared" si="1564"/>
        <v>0</v>
      </c>
      <c r="CGS20">
        <f t="shared" si="1565"/>
        <v>0</v>
      </c>
      <c r="CGT20">
        <f t="shared" si="1566"/>
        <v>0</v>
      </c>
      <c r="CGU20">
        <f t="shared" si="1567"/>
        <v>0</v>
      </c>
      <c r="CGV20">
        <f t="shared" si="1568"/>
        <v>0</v>
      </c>
      <c r="CGW20">
        <f t="shared" si="1569"/>
        <v>0</v>
      </c>
      <c r="CGX20">
        <f t="shared" si="1570"/>
        <v>0</v>
      </c>
      <c r="CGY20">
        <f t="shared" si="1571"/>
        <v>0</v>
      </c>
      <c r="CGZ20">
        <f t="shared" si="1572"/>
        <v>0</v>
      </c>
      <c r="CHA20">
        <f t="shared" si="1573"/>
        <v>0</v>
      </c>
      <c r="CHB20">
        <f t="shared" si="1574"/>
        <v>0</v>
      </c>
      <c r="CHC20">
        <f t="shared" si="1575"/>
        <v>0</v>
      </c>
      <c r="CHD20">
        <f t="shared" si="1576"/>
        <v>0</v>
      </c>
      <c r="CHE20">
        <f t="shared" si="1577"/>
        <v>0</v>
      </c>
      <c r="CHF20">
        <f t="shared" si="57"/>
        <v>0</v>
      </c>
      <c r="CHG20">
        <f t="shared" si="1578"/>
        <v>0</v>
      </c>
      <c r="CHH20">
        <f t="shared" si="1579"/>
        <v>0</v>
      </c>
      <c r="CHI20">
        <f t="shared" si="1580"/>
        <v>0</v>
      </c>
      <c r="CHJ20">
        <f t="shared" si="1581"/>
        <v>0</v>
      </c>
      <c r="CHK20">
        <f t="shared" si="1582"/>
        <v>0</v>
      </c>
      <c r="CHL20">
        <f t="shared" si="1583"/>
        <v>0</v>
      </c>
      <c r="CHM20">
        <f t="shared" si="1584"/>
        <v>0</v>
      </c>
      <c r="CHN20">
        <f t="shared" si="1585"/>
        <v>0</v>
      </c>
      <c r="CHO20">
        <f t="shared" si="1586"/>
        <v>0</v>
      </c>
      <c r="CHP20">
        <f t="shared" si="1587"/>
        <v>0</v>
      </c>
      <c r="CHQ20">
        <f t="shared" si="1588"/>
        <v>0</v>
      </c>
      <c r="CHR20">
        <f t="shared" si="1589"/>
        <v>0</v>
      </c>
      <c r="CHS20">
        <f t="shared" si="1590"/>
        <v>0</v>
      </c>
      <c r="CHT20">
        <f t="shared" si="1591"/>
        <v>0</v>
      </c>
      <c r="CHU20">
        <f t="shared" si="1592"/>
        <v>0</v>
      </c>
      <c r="CHV20">
        <f t="shared" si="1593"/>
        <v>0</v>
      </c>
      <c r="CHW20">
        <f t="shared" si="1594"/>
        <v>0</v>
      </c>
      <c r="CHX20">
        <f t="shared" si="1595"/>
        <v>0</v>
      </c>
      <c r="CHY20">
        <f t="shared" si="1596"/>
        <v>0</v>
      </c>
      <c r="CHZ20">
        <f t="shared" si="1597"/>
        <v>0</v>
      </c>
      <c r="CIA20">
        <f t="shared" si="1598"/>
        <v>0</v>
      </c>
      <c r="CIB20">
        <f t="shared" si="1599"/>
        <v>0</v>
      </c>
      <c r="CIC20">
        <f t="shared" si="1600"/>
        <v>0</v>
      </c>
      <c r="CID20">
        <f t="shared" si="1601"/>
        <v>0</v>
      </c>
      <c r="CIE20">
        <f t="shared" si="1602"/>
        <v>0</v>
      </c>
      <c r="CIF20">
        <f t="shared" si="1603"/>
        <v>0</v>
      </c>
      <c r="CIG20">
        <f t="shared" si="1604"/>
        <v>0</v>
      </c>
      <c r="CIH20">
        <f t="shared" si="1605"/>
        <v>0</v>
      </c>
      <c r="CII20">
        <f t="shared" si="1606"/>
        <v>0</v>
      </c>
      <c r="CIJ20">
        <f t="shared" si="1607"/>
        <v>0</v>
      </c>
      <c r="CIK20">
        <f t="shared" si="1608"/>
        <v>0</v>
      </c>
      <c r="CIL20">
        <f t="shared" si="1609"/>
        <v>0</v>
      </c>
      <c r="CIM20">
        <f t="shared" si="1610"/>
        <v>0</v>
      </c>
      <c r="CIN20">
        <f t="shared" si="1611"/>
        <v>0</v>
      </c>
      <c r="CIO20">
        <f t="shared" si="1612"/>
        <v>0</v>
      </c>
      <c r="CIP20">
        <f t="shared" si="1613"/>
        <v>0</v>
      </c>
      <c r="CIQ20">
        <f t="shared" si="1614"/>
        <v>0</v>
      </c>
      <c r="CIR20">
        <f t="shared" si="1615"/>
        <v>0</v>
      </c>
      <c r="CIS20">
        <f t="shared" si="1616"/>
        <v>0</v>
      </c>
      <c r="CIT20">
        <f t="shared" si="1617"/>
        <v>0</v>
      </c>
      <c r="CIU20">
        <f t="shared" si="1618"/>
        <v>0</v>
      </c>
      <c r="CIV20">
        <f t="shared" si="1619"/>
        <v>0</v>
      </c>
      <c r="CIW20">
        <f t="shared" si="1620"/>
        <v>0</v>
      </c>
      <c r="CIX20">
        <f t="shared" si="1621"/>
        <v>0</v>
      </c>
      <c r="CIY20">
        <f t="shared" si="1622"/>
        <v>0</v>
      </c>
      <c r="CIZ20">
        <f t="shared" si="1623"/>
        <v>0</v>
      </c>
      <c r="CJA20">
        <f t="shared" si="1624"/>
        <v>0</v>
      </c>
      <c r="CJB20">
        <f t="shared" si="1625"/>
        <v>0</v>
      </c>
      <c r="CJC20">
        <f t="shared" si="1626"/>
        <v>0</v>
      </c>
      <c r="CJD20">
        <f t="shared" si="1627"/>
        <v>0</v>
      </c>
      <c r="CJE20">
        <f t="shared" si="1628"/>
        <v>0</v>
      </c>
      <c r="CJF20">
        <f t="shared" si="1629"/>
        <v>0</v>
      </c>
      <c r="CJG20">
        <f t="shared" si="1630"/>
        <v>0</v>
      </c>
      <c r="CJH20">
        <f t="shared" si="1631"/>
        <v>0</v>
      </c>
      <c r="CJI20">
        <f t="shared" si="1632"/>
        <v>0</v>
      </c>
      <c r="CJJ20">
        <f t="shared" si="1633"/>
        <v>0</v>
      </c>
      <c r="CJK20">
        <f t="shared" si="1634"/>
        <v>0</v>
      </c>
      <c r="CJL20">
        <f t="shared" si="1635"/>
        <v>0</v>
      </c>
      <c r="CJM20">
        <f t="shared" si="1636"/>
        <v>0</v>
      </c>
      <c r="CJN20">
        <f t="shared" si="1637"/>
        <v>0</v>
      </c>
      <c r="CJO20">
        <f t="shared" si="1638"/>
        <v>0</v>
      </c>
      <c r="CJP20">
        <f t="shared" si="1639"/>
        <v>0</v>
      </c>
      <c r="CJQ20">
        <f t="shared" si="1640"/>
        <v>0</v>
      </c>
      <c r="CJR20">
        <f t="shared" si="58"/>
        <v>0</v>
      </c>
      <c r="CJS20">
        <f t="shared" si="1641"/>
        <v>0</v>
      </c>
      <c r="CJT20">
        <f t="shared" si="1642"/>
        <v>0</v>
      </c>
      <c r="CJU20">
        <f t="shared" si="1643"/>
        <v>0</v>
      </c>
      <c r="CJV20">
        <f t="shared" si="1644"/>
        <v>0</v>
      </c>
      <c r="CJW20">
        <f t="shared" si="1645"/>
        <v>0</v>
      </c>
      <c r="CJX20">
        <f t="shared" si="1646"/>
        <v>0</v>
      </c>
      <c r="CJY20">
        <f t="shared" si="1647"/>
        <v>0</v>
      </c>
      <c r="CJZ20">
        <f t="shared" si="1648"/>
        <v>0</v>
      </c>
      <c r="CKA20">
        <f t="shared" si="1649"/>
        <v>0</v>
      </c>
      <c r="CKB20">
        <f t="shared" si="1650"/>
        <v>0</v>
      </c>
      <c r="CKC20">
        <f t="shared" si="1651"/>
        <v>0</v>
      </c>
      <c r="CKD20">
        <f t="shared" si="1652"/>
        <v>0</v>
      </c>
      <c r="CKE20">
        <f t="shared" si="1653"/>
        <v>0</v>
      </c>
      <c r="CKF20">
        <f t="shared" si="1654"/>
        <v>0</v>
      </c>
      <c r="CKG20">
        <f t="shared" si="1655"/>
        <v>0</v>
      </c>
      <c r="CKH20">
        <f t="shared" si="1656"/>
        <v>0</v>
      </c>
      <c r="CKI20">
        <f t="shared" si="1657"/>
        <v>0</v>
      </c>
      <c r="CKJ20">
        <f t="shared" si="1658"/>
        <v>0</v>
      </c>
      <c r="CKK20">
        <f t="shared" si="1659"/>
        <v>0</v>
      </c>
      <c r="CKL20">
        <f t="shared" si="1660"/>
        <v>0</v>
      </c>
      <c r="CKM20">
        <f t="shared" si="1661"/>
        <v>0</v>
      </c>
      <c r="CKN20">
        <f t="shared" si="1662"/>
        <v>0</v>
      </c>
      <c r="CKO20">
        <f t="shared" si="1663"/>
        <v>0</v>
      </c>
      <c r="CKP20">
        <f t="shared" si="1664"/>
        <v>0</v>
      </c>
      <c r="CKQ20">
        <f t="shared" si="1665"/>
        <v>0</v>
      </c>
      <c r="CKR20">
        <f t="shared" si="1666"/>
        <v>0</v>
      </c>
      <c r="CKS20">
        <f t="shared" si="1667"/>
        <v>0</v>
      </c>
      <c r="CKT20">
        <f t="shared" si="1668"/>
        <v>0</v>
      </c>
      <c r="CKU20">
        <f t="shared" si="1669"/>
        <v>0</v>
      </c>
      <c r="CKV20">
        <f t="shared" si="1670"/>
        <v>0</v>
      </c>
      <c r="CKW20">
        <f t="shared" si="1671"/>
        <v>0</v>
      </c>
      <c r="CKX20">
        <f t="shared" si="1672"/>
        <v>0</v>
      </c>
      <c r="CKY20">
        <f t="shared" si="1673"/>
        <v>0</v>
      </c>
      <c r="CKZ20">
        <f t="shared" si="1674"/>
        <v>0</v>
      </c>
      <c r="CLA20">
        <f t="shared" si="1675"/>
        <v>0</v>
      </c>
      <c r="CLB20">
        <f t="shared" si="1676"/>
        <v>0</v>
      </c>
      <c r="CLC20">
        <f t="shared" si="1677"/>
        <v>0</v>
      </c>
      <c r="CLD20">
        <f t="shared" si="1678"/>
        <v>0</v>
      </c>
      <c r="CLE20">
        <f t="shared" si="1679"/>
        <v>0</v>
      </c>
      <c r="CLF20">
        <f t="shared" si="1680"/>
        <v>0</v>
      </c>
      <c r="CLG20">
        <f t="shared" si="1681"/>
        <v>0</v>
      </c>
      <c r="CLH20">
        <f t="shared" si="1682"/>
        <v>0</v>
      </c>
      <c r="CLI20">
        <f t="shared" si="1683"/>
        <v>0</v>
      </c>
      <c r="CLJ20">
        <f t="shared" si="1684"/>
        <v>0</v>
      </c>
      <c r="CLK20">
        <f t="shared" si="1685"/>
        <v>0</v>
      </c>
      <c r="CLL20">
        <f t="shared" si="1686"/>
        <v>0</v>
      </c>
      <c r="CLM20">
        <f t="shared" si="1687"/>
        <v>0</v>
      </c>
      <c r="CLN20">
        <f t="shared" si="1688"/>
        <v>0</v>
      </c>
      <c r="CLO20">
        <f t="shared" si="1689"/>
        <v>0</v>
      </c>
      <c r="CLP20">
        <f t="shared" si="1690"/>
        <v>0</v>
      </c>
      <c r="CLQ20">
        <f t="shared" si="1691"/>
        <v>0</v>
      </c>
      <c r="CLR20">
        <f t="shared" si="1692"/>
        <v>0</v>
      </c>
      <c r="CLS20">
        <f t="shared" si="1693"/>
        <v>0</v>
      </c>
      <c r="CLT20">
        <f t="shared" si="1694"/>
        <v>0</v>
      </c>
      <c r="CLU20">
        <f t="shared" si="1695"/>
        <v>0</v>
      </c>
      <c r="CLV20">
        <f t="shared" si="1696"/>
        <v>0</v>
      </c>
      <c r="CLW20">
        <f t="shared" si="1697"/>
        <v>0</v>
      </c>
      <c r="CLX20">
        <f t="shared" si="1698"/>
        <v>0</v>
      </c>
      <c r="CLY20">
        <f t="shared" si="1699"/>
        <v>0</v>
      </c>
      <c r="CLZ20">
        <f t="shared" si="1700"/>
        <v>0</v>
      </c>
      <c r="CMA20">
        <f t="shared" si="1701"/>
        <v>0</v>
      </c>
      <c r="CMB20">
        <f t="shared" si="1702"/>
        <v>0</v>
      </c>
      <c r="CMC20">
        <f t="shared" si="1703"/>
        <v>0</v>
      </c>
      <c r="CMD20">
        <f t="shared" si="59"/>
        <v>0</v>
      </c>
      <c r="CME20">
        <f t="shared" si="1704"/>
        <v>0</v>
      </c>
      <c r="CMF20">
        <f t="shared" si="1705"/>
        <v>0</v>
      </c>
      <c r="CMG20">
        <f t="shared" si="1706"/>
        <v>0</v>
      </c>
      <c r="CMH20">
        <f t="shared" si="1707"/>
        <v>0</v>
      </c>
      <c r="CMI20">
        <f t="shared" si="1708"/>
        <v>0</v>
      </c>
      <c r="CMJ20">
        <f t="shared" si="1709"/>
        <v>0</v>
      </c>
      <c r="CMK20">
        <f t="shared" si="1710"/>
        <v>0</v>
      </c>
      <c r="CML20">
        <f t="shared" si="1711"/>
        <v>0</v>
      </c>
      <c r="CMM20">
        <f t="shared" si="1712"/>
        <v>0</v>
      </c>
      <c r="CMN20">
        <f t="shared" si="1713"/>
        <v>0</v>
      </c>
      <c r="CMO20">
        <f t="shared" si="1714"/>
        <v>0</v>
      </c>
      <c r="CMP20">
        <f t="shared" si="1715"/>
        <v>0</v>
      </c>
      <c r="CMQ20">
        <f t="shared" si="1716"/>
        <v>0</v>
      </c>
      <c r="CMR20">
        <f t="shared" si="1717"/>
        <v>0</v>
      </c>
      <c r="CMS20">
        <f t="shared" si="1718"/>
        <v>0</v>
      </c>
      <c r="CMT20">
        <f t="shared" si="1719"/>
        <v>0</v>
      </c>
      <c r="CMU20">
        <f t="shared" si="1720"/>
        <v>0</v>
      </c>
      <c r="CMV20">
        <f t="shared" si="1721"/>
        <v>0</v>
      </c>
      <c r="CMW20">
        <f t="shared" si="1722"/>
        <v>0</v>
      </c>
      <c r="CMX20">
        <f t="shared" si="1723"/>
        <v>0</v>
      </c>
      <c r="CMY20">
        <f t="shared" si="1724"/>
        <v>0</v>
      </c>
      <c r="CMZ20">
        <f t="shared" si="1725"/>
        <v>0</v>
      </c>
      <c r="CNA20">
        <f t="shared" si="1726"/>
        <v>0</v>
      </c>
      <c r="CNB20">
        <f t="shared" si="1727"/>
        <v>0</v>
      </c>
      <c r="CNC20">
        <f t="shared" si="1728"/>
        <v>0</v>
      </c>
      <c r="CND20">
        <f t="shared" si="1729"/>
        <v>0</v>
      </c>
      <c r="CNE20">
        <f t="shared" si="1730"/>
        <v>0</v>
      </c>
      <c r="CNF20">
        <f t="shared" si="1731"/>
        <v>0</v>
      </c>
      <c r="CNG20">
        <f t="shared" si="1732"/>
        <v>0</v>
      </c>
      <c r="CNH20">
        <f t="shared" si="1733"/>
        <v>0</v>
      </c>
      <c r="CNI20">
        <f t="shared" si="1734"/>
        <v>0</v>
      </c>
      <c r="CNJ20">
        <f t="shared" si="1735"/>
        <v>0</v>
      </c>
      <c r="CNK20">
        <f t="shared" si="1736"/>
        <v>0</v>
      </c>
      <c r="CNL20">
        <f t="shared" si="1737"/>
        <v>0</v>
      </c>
      <c r="CNM20">
        <f t="shared" si="1738"/>
        <v>0</v>
      </c>
      <c r="CNN20">
        <f t="shared" si="1739"/>
        <v>0</v>
      </c>
      <c r="CNO20">
        <f t="shared" si="1740"/>
        <v>0</v>
      </c>
      <c r="CNP20">
        <f t="shared" si="1741"/>
        <v>0</v>
      </c>
      <c r="CNQ20">
        <f t="shared" si="1742"/>
        <v>0</v>
      </c>
      <c r="CNR20">
        <f t="shared" si="1743"/>
        <v>0</v>
      </c>
      <c r="CNS20">
        <f t="shared" si="1744"/>
        <v>0</v>
      </c>
      <c r="CNT20">
        <f t="shared" si="1745"/>
        <v>0</v>
      </c>
      <c r="CNU20">
        <f t="shared" si="1746"/>
        <v>0</v>
      </c>
      <c r="CNV20">
        <f t="shared" si="1747"/>
        <v>0</v>
      </c>
      <c r="CNW20">
        <f t="shared" si="1748"/>
        <v>0</v>
      </c>
      <c r="CNX20">
        <f t="shared" si="1749"/>
        <v>0</v>
      </c>
      <c r="CNY20">
        <f t="shared" si="1750"/>
        <v>0</v>
      </c>
      <c r="CNZ20">
        <f t="shared" si="1751"/>
        <v>0</v>
      </c>
      <c r="COA20">
        <f t="shared" si="1752"/>
        <v>0</v>
      </c>
      <c r="COB20">
        <f t="shared" si="1753"/>
        <v>0</v>
      </c>
      <c r="COC20">
        <f t="shared" si="1754"/>
        <v>0</v>
      </c>
      <c r="COD20">
        <f t="shared" si="1755"/>
        <v>0</v>
      </c>
      <c r="COE20">
        <f t="shared" si="1756"/>
        <v>0</v>
      </c>
      <c r="COF20">
        <f t="shared" si="1757"/>
        <v>0</v>
      </c>
      <c r="COG20">
        <f t="shared" si="1758"/>
        <v>0</v>
      </c>
      <c r="COH20">
        <f t="shared" si="1759"/>
        <v>0</v>
      </c>
      <c r="COI20">
        <f t="shared" si="1760"/>
        <v>0</v>
      </c>
      <c r="COJ20">
        <f t="shared" si="1761"/>
        <v>0</v>
      </c>
      <c r="COK20">
        <f t="shared" si="1762"/>
        <v>0</v>
      </c>
      <c r="COL20">
        <f t="shared" si="1763"/>
        <v>0</v>
      </c>
      <c r="COM20">
        <f t="shared" si="1764"/>
        <v>0</v>
      </c>
      <c r="CON20">
        <f t="shared" si="1765"/>
        <v>0</v>
      </c>
      <c r="COO20">
        <f t="shared" si="1766"/>
        <v>0</v>
      </c>
      <c r="COP20">
        <f t="shared" si="60"/>
        <v>0</v>
      </c>
      <c r="COQ20">
        <f t="shared" si="1767"/>
        <v>0</v>
      </c>
      <c r="COR20">
        <f t="shared" si="1768"/>
        <v>0</v>
      </c>
      <c r="COS20">
        <f t="shared" si="1769"/>
        <v>0</v>
      </c>
      <c r="COT20">
        <f t="shared" si="1770"/>
        <v>0</v>
      </c>
      <c r="COU20">
        <f t="shared" si="1771"/>
        <v>0</v>
      </c>
      <c r="COV20">
        <f t="shared" si="1772"/>
        <v>0</v>
      </c>
      <c r="COW20">
        <f t="shared" si="1773"/>
        <v>0</v>
      </c>
      <c r="COX20">
        <f t="shared" si="1774"/>
        <v>0</v>
      </c>
      <c r="COY20">
        <f t="shared" si="1775"/>
        <v>0</v>
      </c>
      <c r="COZ20">
        <f t="shared" si="1776"/>
        <v>0</v>
      </c>
      <c r="CPA20">
        <f t="shared" si="1777"/>
        <v>0</v>
      </c>
      <c r="CPB20">
        <f t="shared" si="1778"/>
        <v>0</v>
      </c>
      <c r="CPC20">
        <f t="shared" si="1779"/>
        <v>0</v>
      </c>
      <c r="CPD20">
        <f t="shared" si="1780"/>
        <v>0</v>
      </c>
      <c r="CPE20">
        <f t="shared" si="1781"/>
        <v>0</v>
      </c>
      <c r="CPF20">
        <f t="shared" si="1782"/>
        <v>0</v>
      </c>
      <c r="CPG20">
        <f t="shared" si="1783"/>
        <v>0</v>
      </c>
      <c r="CPH20">
        <f t="shared" si="1784"/>
        <v>0</v>
      </c>
      <c r="CPI20">
        <f t="shared" si="1785"/>
        <v>0</v>
      </c>
      <c r="CPJ20">
        <f t="shared" si="1786"/>
        <v>0</v>
      </c>
      <c r="CPK20">
        <f t="shared" si="1787"/>
        <v>0</v>
      </c>
      <c r="CPL20">
        <f t="shared" si="1788"/>
        <v>0</v>
      </c>
      <c r="CPM20">
        <f t="shared" si="1789"/>
        <v>0</v>
      </c>
      <c r="CPN20">
        <f t="shared" si="1790"/>
        <v>0</v>
      </c>
      <c r="CPO20">
        <f t="shared" si="1791"/>
        <v>0</v>
      </c>
      <c r="CPP20">
        <f t="shared" si="1792"/>
        <v>0</v>
      </c>
      <c r="CPQ20">
        <f t="shared" si="1793"/>
        <v>0</v>
      </c>
      <c r="CPR20">
        <f t="shared" si="1794"/>
        <v>0</v>
      </c>
      <c r="CPS20">
        <f t="shared" si="1795"/>
        <v>0</v>
      </c>
      <c r="CPT20">
        <f t="shared" si="1796"/>
        <v>0</v>
      </c>
      <c r="CPU20">
        <f t="shared" si="1797"/>
        <v>0</v>
      </c>
      <c r="CPV20">
        <f t="shared" si="1798"/>
        <v>0</v>
      </c>
      <c r="CPW20">
        <f t="shared" si="1799"/>
        <v>0</v>
      </c>
      <c r="CPX20">
        <f t="shared" si="1800"/>
        <v>0</v>
      </c>
      <c r="CPY20">
        <f t="shared" si="1801"/>
        <v>0</v>
      </c>
      <c r="CPZ20">
        <f t="shared" si="1802"/>
        <v>0</v>
      </c>
      <c r="CQA20">
        <f t="shared" si="1803"/>
        <v>0</v>
      </c>
      <c r="CQB20">
        <f t="shared" si="1804"/>
        <v>0</v>
      </c>
      <c r="CQC20">
        <f t="shared" si="1805"/>
        <v>0</v>
      </c>
      <c r="CQD20">
        <f t="shared" si="1806"/>
        <v>0</v>
      </c>
      <c r="CQE20">
        <f t="shared" si="1807"/>
        <v>0</v>
      </c>
      <c r="CQF20">
        <f t="shared" si="1808"/>
        <v>0</v>
      </c>
      <c r="CQG20">
        <f t="shared" si="1809"/>
        <v>0</v>
      </c>
      <c r="CQH20">
        <f t="shared" si="1810"/>
        <v>0</v>
      </c>
      <c r="CQI20">
        <f t="shared" si="1811"/>
        <v>0</v>
      </c>
      <c r="CQJ20">
        <f t="shared" si="1812"/>
        <v>0</v>
      </c>
      <c r="CQK20">
        <f t="shared" si="1813"/>
        <v>0</v>
      </c>
      <c r="CQL20">
        <f t="shared" si="1814"/>
        <v>0</v>
      </c>
      <c r="CQM20">
        <f t="shared" si="1815"/>
        <v>0</v>
      </c>
      <c r="CQN20">
        <f t="shared" si="1816"/>
        <v>0</v>
      </c>
      <c r="CQO20">
        <f t="shared" si="1817"/>
        <v>0</v>
      </c>
      <c r="CQP20">
        <f t="shared" si="1818"/>
        <v>0</v>
      </c>
      <c r="CQQ20">
        <f t="shared" si="1819"/>
        <v>0</v>
      </c>
      <c r="CQR20">
        <f t="shared" si="1820"/>
        <v>0</v>
      </c>
      <c r="CQS20">
        <f t="shared" si="1821"/>
        <v>0</v>
      </c>
      <c r="CQT20">
        <f t="shared" si="1822"/>
        <v>0</v>
      </c>
      <c r="CQU20">
        <f t="shared" si="1823"/>
        <v>0</v>
      </c>
      <c r="CQV20">
        <f t="shared" si="1824"/>
        <v>0</v>
      </c>
      <c r="CQW20">
        <f t="shared" si="1825"/>
        <v>0</v>
      </c>
      <c r="CQX20">
        <f t="shared" si="1826"/>
        <v>0</v>
      </c>
      <c r="CQY20">
        <f t="shared" si="1827"/>
        <v>0</v>
      </c>
      <c r="CQZ20">
        <f t="shared" si="1828"/>
        <v>0</v>
      </c>
      <c r="CRA20">
        <f t="shared" si="1829"/>
        <v>0</v>
      </c>
      <c r="CRB20">
        <f t="shared" si="61"/>
        <v>0</v>
      </c>
      <c r="CRC20">
        <f t="shared" si="1830"/>
        <v>0</v>
      </c>
      <c r="CRD20">
        <f t="shared" si="1831"/>
        <v>0</v>
      </c>
      <c r="CRE20">
        <f t="shared" si="1832"/>
        <v>0</v>
      </c>
      <c r="CRF20">
        <f t="shared" si="1833"/>
        <v>0</v>
      </c>
      <c r="CRG20">
        <f t="shared" si="1834"/>
        <v>0</v>
      </c>
      <c r="CRH20">
        <f t="shared" si="1835"/>
        <v>0</v>
      </c>
      <c r="CRI20">
        <f t="shared" si="1836"/>
        <v>0</v>
      </c>
      <c r="CRJ20">
        <f t="shared" si="1837"/>
        <v>0</v>
      </c>
      <c r="CRK20">
        <f t="shared" si="1838"/>
        <v>0</v>
      </c>
      <c r="CRL20">
        <f t="shared" si="1839"/>
        <v>0</v>
      </c>
      <c r="CRM20">
        <f t="shared" si="1840"/>
        <v>0</v>
      </c>
      <c r="CRN20">
        <f t="shared" si="1841"/>
        <v>0</v>
      </c>
      <c r="CRO20">
        <f t="shared" si="1842"/>
        <v>0</v>
      </c>
      <c r="CRP20">
        <f t="shared" si="1843"/>
        <v>0</v>
      </c>
      <c r="CRQ20">
        <f t="shared" si="1844"/>
        <v>0</v>
      </c>
      <c r="CRR20">
        <f t="shared" si="1845"/>
        <v>0</v>
      </c>
      <c r="CRS20">
        <f t="shared" si="1846"/>
        <v>0</v>
      </c>
      <c r="CRT20">
        <f t="shared" si="1847"/>
        <v>0</v>
      </c>
      <c r="CRU20">
        <f t="shared" si="1848"/>
        <v>0</v>
      </c>
      <c r="CRV20">
        <f t="shared" si="1849"/>
        <v>0</v>
      </c>
      <c r="CRW20">
        <f t="shared" si="1850"/>
        <v>0</v>
      </c>
      <c r="CRX20">
        <f t="shared" si="1851"/>
        <v>0</v>
      </c>
      <c r="CRY20">
        <f t="shared" si="1852"/>
        <v>0</v>
      </c>
      <c r="CRZ20">
        <f t="shared" si="1853"/>
        <v>0</v>
      </c>
      <c r="CSA20">
        <f t="shared" si="1854"/>
        <v>0</v>
      </c>
      <c r="CSB20">
        <f t="shared" si="1855"/>
        <v>0</v>
      </c>
      <c r="CSC20">
        <f t="shared" si="1856"/>
        <v>0</v>
      </c>
      <c r="CSD20">
        <f t="shared" si="1857"/>
        <v>0</v>
      </c>
      <c r="CSE20">
        <f t="shared" si="1858"/>
        <v>0</v>
      </c>
      <c r="CSF20">
        <f t="shared" si="1859"/>
        <v>0</v>
      </c>
      <c r="CSG20">
        <f t="shared" si="1860"/>
        <v>0</v>
      </c>
      <c r="CSH20">
        <f t="shared" si="1861"/>
        <v>0</v>
      </c>
      <c r="CSI20">
        <f t="shared" si="1862"/>
        <v>0</v>
      </c>
      <c r="CSJ20">
        <f t="shared" si="1863"/>
        <v>0</v>
      </c>
      <c r="CSK20">
        <f t="shared" si="1864"/>
        <v>0</v>
      </c>
      <c r="CSL20">
        <f t="shared" si="1865"/>
        <v>0</v>
      </c>
      <c r="CSM20">
        <f t="shared" si="1866"/>
        <v>0</v>
      </c>
      <c r="CSN20">
        <f t="shared" si="1867"/>
        <v>0</v>
      </c>
      <c r="CSO20">
        <f t="shared" si="1868"/>
        <v>0</v>
      </c>
      <c r="CSP20">
        <f t="shared" si="1869"/>
        <v>0</v>
      </c>
      <c r="CSQ20">
        <f t="shared" si="1870"/>
        <v>0</v>
      </c>
      <c r="CSR20">
        <f t="shared" si="1871"/>
        <v>0</v>
      </c>
      <c r="CSS20">
        <f t="shared" si="1872"/>
        <v>0</v>
      </c>
      <c r="CST20">
        <f t="shared" si="1873"/>
        <v>0</v>
      </c>
      <c r="CSU20">
        <f t="shared" si="1874"/>
        <v>0</v>
      </c>
      <c r="CSV20">
        <f t="shared" si="1875"/>
        <v>0</v>
      </c>
      <c r="CSW20">
        <f t="shared" si="1876"/>
        <v>0</v>
      </c>
      <c r="CSX20">
        <f t="shared" si="1877"/>
        <v>0</v>
      </c>
      <c r="CSY20">
        <f t="shared" si="1878"/>
        <v>0</v>
      </c>
      <c r="CSZ20">
        <f t="shared" si="1879"/>
        <v>0</v>
      </c>
      <c r="CTA20">
        <f t="shared" si="1880"/>
        <v>0</v>
      </c>
      <c r="CTB20">
        <f t="shared" si="1881"/>
        <v>0</v>
      </c>
      <c r="CTC20">
        <f t="shared" si="1882"/>
        <v>0</v>
      </c>
      <c r="CTD20">
        <f t="shared" si="1883"/>
        <v>0</v>
      </c>
      <c r="CTE20">
        <f t="shared" si="1884"/>
        <v>0</v>
      </c>
      <c r="CTF20">
        <f t="shared" si="1885"/>
        <v>0</v>
      </c>
      <c r="CTG20">
        <f t="shared" si="1886"/>
        <v>0</v>
      </c>
      <c r="CTH20">
        <f t="shared" si="1887"/>
        <v>0</v>
      </c>
      <c r="CTI20">
        <f t="shared" si="1888"/>
        <v>0</v>
      </c>
      <c r="CTJ20">
        <f t="shared" si="1889"/>
        <v>0</v>
      </c>
      <c r="CTK20">
        <f t="shared" si="1890"/>
        <v>0</v>
      </c>
      <c r="CTL20">
        <f t="shared" si="1891"/>
        <v>0</v>
      </c>
      <c r="CTM20">
        <f t="shared" si="1892"/>
        <v>0</v>
      </c>
      <c r="CTN20">
        <f t="shared" si="62"/>
        <v>0</v>
      </c>
      <c r="CTO20">
        <f t="shared" si="1893"/>
        <v>0</v>
      </c>
      <c r="CTP20">
        <f t="shared" si="1894"/>
        <v>0</v>
      </c>
      <c r="CTQ20">
        <f t="shared" si="1895"/>
        <v>0</v>
      </c>
      <c r="CTR20">
        <f t="shared" si="1896"/>
        <v>0</v>
      </c>
      <c r="CTS20">
        <f t="shared" si="1897"/>
        <v>0</v>
      </c>
      <c r="CTT20">
        <f t="shared" si="1898"/>
        <v>0</v>
      </c>
      <c r="CTU20">
        <f t="shared" si="1899"/>
        <v>0</v>
      </c>
      <c r="CTV20">
        <f t="shared" si="1900"/>
        <v>0</v>
      </c>
      <c r="CTW20">
        <f t="shared" si="1901"/>
        <v>0</v>
      </c>
      <c r="CTX20">
        <f t="shared" si="1902"/>
        <v>0</v>
      </c>
      <c r="CTY20">
        <f t="shared" si="1903"/>
        <v>0</v>
      </c>
      <c r="CTZ20">
        <f t="shared" si="1904"/>
        <v>0</v>
      </c>
      <c r="CUA20">
        <f t="shared" si="1905"/>
        <v>0</v>
      </c>
      <c r="CUB20">
        <f t="shared" si="1906"/>
        <v>0</v>
      </c>
      <c r="CUC20">
        <f t="shared" si="1907"/>
        <v>0</v>
      </c>
      <c r="CUD20">
        <f t="shared" si="1908"/>
        <v>0</v>
      </c>
      <c r="CUE20">
        <f t="shared" si="1909"/>
        <v>0</v>
      </c>
      <c r="CUF20">
        <f t="shared" si="1910"/>
        <v>0</v>
      </c>
      <c r="CUG20">
        <f t="shared" si="1911"/>
        <v>0</v>
      </c>
      <c r="CUH20">
        <f t="shared" si="1912"/>
        <v>0</v>
      </c>
      <c r="CUI20">
        <f t="shared" si="1913"/>
        <v>0</v>
      </c>
      <c r="CUJ20">
        <f t="shared" si="1914"/>
        <v>0</v>
      </c>
      <c r="CUK20">
        <f t="shared" si="1915"/>
        <v>0</v>
      </c>
      <c r="CUL20">
        <f t="shared" si="1916"/>
        <v>0</v>
      </c>
      <c r="CUM20">
        <f t="shared" si="1917"/>
        <v>0</v>
      </c>
      <c r="CUN20">
        <f t="shared" si="1918"/>
        <v>0</v>
      </c>
      <c r="CUO20">
        <f t="shared" si="1919"/>
        <v>0</v>
      </c>
      <c r="CUP20">
        <f t="shared" si="1920"/>
        <v>0</v>
      </c>
      <c r="CUQ20">
        <f t="shared" si="1921"/>
        <v>0</v>
      </c>
      <c r="CUR20">
        <f t="shared" si="1922"/>
        <v>0</v>
      </c>
      <c r="CUS20">
        <f t="shared" si="1923"/>
        <v>0</v>
      </c>
      <c r="CUT20">
        <f t="shared" si="1924"/>
        <v>0</v>
      </c>
      <c r="CUU20">
        <f t="shared" si="1925"/>
        <v>0</v>
      </c>
      <c r="CUV20">
        <f t="shared" si="1926"/>
        <v>0</v>
      </c>
      <c r="CUW20">
        <f t="shared" si="1927"/>
        <v>0</v>
      </c>
      <c r="CUX20">
        <f t="shared" si="1928"/>
        <v>0</v>
      </c>
      <c r="CUY20">
        <f t="shared" si="1929"/>
        <v>0</v>
      </c>
      <c r="CUZ20">
        <f t="shared" si="1930"/>
        <v>0</v>
      </c>
      <c r="CVA20">
        <f t="shared" si="1931"/>
        <v>0</v>
      </c>
      <c r="CVB20">
        <f t="shared" si="1932"/>
        <v>0</v>
      </c>
      <c r="CVC20">
        <f t="shared" si="1933"/>
        <v>0</v>
      </c>
      <c r="CVD20">
        <f t="shared" si="1934"/>
        <v>0</v>
      </c>
      <c r="CVE20">
        <f t="shared" si="1935"/>
        <v>0</v>
      </c>
      <c r="CVF20">
        <f t="shared" si="1936"/>
        <v>0</v>
      </c>
      <c r="CVG20">
        <f t="shared" si="1937"/>
        <v>0</v>
      </c>
      <c r="CVH20">
        <f t="shared" si="1938"/>
        <v>0</v>
      </c>
      <c r="CVI20">
        <f t="shared" si="1939"/>
        <v>0</v>
      </c>
      <c r="CVJ20">
        <f t="shared" si="1940"/>
        <v>0</v>
      </c>
      <c r="CVK20">
        <f t="shared" si="1941"/>
        <v>0</v>
      </c>
      <c r="CVL20">
        <f t="shared" si="1942"/>
        <v>0</v>
      </c>
      <c r="CVM20">
        <f t="shared" si="1943"/>
        <v>0</v>
      </c>
      <c r="CVN20">
        <f t="shared" si="1944"/>
        <v>0</v>
      </c>
      <c r="CVO20">
        <f t="shared" si="1945"/>
        <v>0</v>
      </c>
      <c r="CVP20">
        <f t="shared" si="1946"/>
        <v>0</v>
      </c>
      <c r="CVQ20">
        <f t="shared" si="1947"/>
        <v>0</v>
      </c>
      <c r="CVR20">
        <f t="shared" si="1948"/>
        <v>0</v>
      </c>
      <c r="CVS20">
        <f t="shared" si="1949"/>
        <v>0</v>
      </c>
      <c r="CVT20">
        <f t="shared" si="1950"/>
        <v>0</v>
      </c>
      <c r="CVU20">
        <f t="shared" si="1951"/>
        <v>0</v>
      </c>
      <c r="CVV20">
        <f t="shared" si="1952"/>
        <v>0</v>
      </c>
      <c r="CVW20">
        <f t="shared" si="1953"/>
        <v>0</v>
      </c>
      <c r="CVX20">
        <f t="shared" si="1954"/>
        <v>0</v>
      </c>
      <c r="CVY20">
        <f t="shared" si="1955"/>
        <v>0</v>
      </c>
      <c r="CVZ20">
        <f t="shared" si="63"/>
        <v>0</v>
      </c>
      <c r="CWA20">
        <f t="shared" si="1956"/>
        <v>0</v>
      </c>
      <c r="CWB20">
        <f t="shared" si="1957"/>
        <v>0</v>
      </c>
      <c r="CWC20">
        <f t="shared" si="1958"/>
        <v>0</v>
      </c>
      <c r="CWD20">
        <f t="shared" si="1959"/>
        <v>0</v>
      </c>
      <c r="CWE20">
        <f t="shared" si="1960"/>
        <v>0</v>
      </c>
      <c r="CWF20">
        <f t="shared" si="1961"/>
        <v>0</v>
      </c>
      <c r="CWG20">
        <f t="shared" si="1962"/>
        <v>0</v>
      </c>
      <c r="CWH20">
        <f t="shared" si="1963"/>
        <v>0</v>
      </c>
      <c r="CWI20">
        <f t="shared" si="1964"/>
        <v>0</v>
      </c>
      <c r="CWJ20">
        <f t="shared" si="1965"/>
        <v>0</v>
      </c>
      <c r="CWK20">
        <f t="shared" si="1966"/>
        <v>0</v>
      </c>
      <c r="CWL20">
        <f t="shared" si="1967"/>
        <v>0</v>
      </c>
      <c r="CWM20">
        <f t="shared" si="1968"/>
        <v>0</v>
      </c>
      <c r="CWN20">
        <f t="shared" si="1969"/>
        <v>0</v>
      </c>
      <c r="CWO20">
        <f t="shared" si="1970"/>
        <v>0</v>
      </c>
      <c r="CWP20">
        <f t="shared" si="1971"/>
        <v>0</v>
      </c>
      <c r="CWQ20">
        <f t="shared" si="1972"/>
        <v>0</v>
      </c>
      <c r="CWR20">
        <f t="shared" si="1973"/>
        <v>0</v>
      </c>
      <c r="CWS20">
        <f t="shared" si="1974"/>
        <v>0</v>
      </c>
      <c r="CWT20">
        <f t="shared" si="1975"/>
        <v>0</v>
      </c>
      <c r="CWU20">
        <f t="shared" si="1976"/>
        <v>0</v>
      </c>
      <c r="CWV20">
        <f t="shared" si="1977"/>
        <v>0</v>
      </c>
      <c r="CWW20">
        <f t="shared" si="1978"/>
        <v>0</v>
      </c>
      <c r="CWX20">
        <f t="shared" si="1979"/>
        <v>0</v>
      </c>
      <c r="CWY20">
        <f t="shared" si="1980"/>
        <v>0</v>
      </c>
      <c r="CWZ20">
        <f t="shared" si="1981"/>
        <v>0</v>
      </c>
      <c r="CXA20">
        <f t="shared" si="1982"/>
        <v>0</v>
      </c>
      <c r="CXB20">
        <f t="shared" si="1983"/>
        <v>0</v>
      </c>
      <c r="CXC20">
        <f t="shared" si="1984"/>
        <v>0</v>
      </c>
      <c r="CXD20">
        <f t="shared" si="1985"/>
        <v>0</v>
      </c>
      <c r="CXE20">
        <f t="shared" si="1986"/>
        <v>0</v>
      </c>
      <c r="CXF20">
        <f t="shared" si="1987"/>
        <v>0</v>
      </c>
      <c r="CXG20">
        <f t="shared" si="1988"/>
        <v>0</v>
      </c>
      <c r="CXH20">
        <f t="shared" si="1989"/>
        <v>0</v>
      </c>
      <c r="CXI20">
        <f t="shared" si="1990"/>
        <v>0</v>
      </c>
      <c r="CXJ20">
        <f t="shared" si="1991"/>
        <v>0</v>
      </c>
      <c r="CXK20">
        <f t="shared" si="1992"/>
        <v>0</v>
      </c>
      <c r="CXL20">
        <f t="shared" si="1993"/>
        <v>0</v>
      </c>
      <c r="CXM20">
        <f t="shared" si="1994"/>
        <v>0</v>
      </c>
      <c r="CXN20">
        <f t="shared" si="1995"/>
        <v>0</v>
      </c>
      <c r="CXO20">
        <f t="shared" si="1996"/>
        <v>0</v>
      </c>
      <c r="CXP20">
        <f t="shared" si="1997"/>
        <v>0</v>
      </c>
      <c r="CXQ20">
        <f t="shared" si="1998"/>
        <v>0</v>
      </c>
      <c r="CXR20">
        <f t="shared" si="1999"/>
        <v>0</v>
      </c>
      <c r="CXS20">
        <f t="shared" si="2000"/>
        <v>0</v>
      </c>
      <c r="CXT20">
        <f t="shared" si="2001"/>
        <v>0</v>
      </c>
      <c r="CXU20">
        <f t="shared" si="2002"/>
        <v>0</v>
      </c>
      <c r="CXV20">
        <f t="shared" si="2003"/>
        <v>0</v>
      </c>
      <c r="CXW20">
        <f t="shared" si="2004"/>
        <v>0</v>
      </c>
      <c r="CXX20">
        <f t="shared" si="2005"/>
        <v>0</v>
      </c>
      <c r="CXY20">
        <f t="shared" si="2006"/>
        <v>0</v>
      </c>
      <c r="CXZ20">
        <f t="shared" si="2007"/>
        <v>0</v>
      </c>
      <c r="CYA20">
        <f t="shared" si="2008"/>
        <v>0</v>
      </c>
      <c r="CYB20">
        <f t="shared" si="2009"/>
        <v>0</v>
      </c>
      <c r="CYC20">
        <f t="shared" si="2010"/>
        <v>0</v>
      </c>
      <c r="CYD20">
        <f t="shared" si="2011"/>
        <v>0</v>
      </c>
      <c r="CYE20">
        <f t="shared" si="2012"/>
        <v>0</v>
      </c>
      <c r="CYF20">
        <f t="shared" si="2013"/>
        <v>0</v>
      </c>
      <c r="CYG20">
        <f t="shared" si="2014"/>
        <v>0</v>
      </c>
      <c r="CYH20">
        <f t="shared" si="2015"/>
        <v>0</v>
      </c>
      <c r="CYI20">
        <f t="shared" si="2016"/>
        <v>0</v>
      </c>
      <c r="CYJ20">
        <f t="shared" si="2017"/>
        <v>0</v>
      </c>
      <c r="CYK20">
        <f t="shared" si="2018"/>
        <v>0</v>
      </c>
      <c r="CYL20">
        <f t="shared" si="64"/>
        <v>0</v>
      </c>
      <c r="CYM20">
        <f t="shared" si="2019"/>
        <v>0</v>
      </c>
      <c r="CYN20">
        <f t="shared" si="2020"/>
        <v>0</v>
      </c>
      <c r="CYO20">
        <f t="shared" si="2021"/>
        <v>0</v>
      </c>
      <c r="CYP20">
        <f t="shared" si="2022"/>
        <v>0</v>
      </c>
      <c r="CYQ20">
        <f t="shared" si="2023"/>
        <v>0</v>
      </c>
      <c r="CYR20">
        <f t="shared" si="2024"/>
        <v>0</v>
      </c>
      <c r="CYS20">
        <f t="shared" si="2025"/>
        <v>0</v>
      </c>
      <c r="CYT20">
        <f t="shared" si="2026"/>
        <v>0</v>
      </c>
      <c r="CYU20">
        <f t="shared" si="2027"/>
        <v>0</v>
      </c>
      <c r="CYV20">
        <f t="shared" si="2028"/>
        <v>0</v>
      </c>
      <c r="CYW20">
        <f t="shared" si="2029"/>
        <v>0</v>
      </c>
      <c r="CYX20">
        <f t="shared" si="2030"/>
        <v>0</v>
      </c>
      <c r="CYY20">
        <f t="shared" si="2031"/>
        <v>0</v>
      </c>
      <c r="CYZ20">
        <f t="shared" si="2032"/>
        <v>0</v>
      </c>
      <c r="CZA20">
        <f t="shared" si="2033"/>
        <v>0</v>
      </c>
      <c r="CZB20">
        <f t="shared" si="2034"/>
        <v>0</v>
      </c>
      <c r="CZC20">
        <f t="shared" si="2035"/>
        <v>0</v>
      </c>
      <c r="CZD20">
        <f t="shared" si="2036"/>
        <v>0</v>
      </c>
      <c r="CZE20">
        <f t="shared" si="2037"/>
        <v>0</v>
      </c>
      <c r="CZF20">
        <f t="shared" si="2038"/>
        <v>0</v>
      </c>
      <c r="CZG20">
        <f t="shared" si="2039"/>
        <v>0</v>
      </c>
      <c r="CZH20">
        <f t="shared" si="2040"/>
        <v>0</v>
      </c>
      <c r="CZI20">
        <f t="shared" si="2041"/>
        <v>0</v>
      </c>
      <c r="CZJ20">
        <f t="shared" si="2042"/>
        <v>0</v>
      </c>
      <c r="CZK20">
        <f t="shared" si="2043"/>
        <v>0</v>
      </c>
      <c r="CZL20">
        <f t="shared" si="2044"/>
        <v>0</v>
      </c>
      <c r="CZM20">
        <f t="shared" si="2045"/>
        <v>0</v>
      </c>
      <c r="CZN20">
        <f t="shared" si="2046"/>
        <v>0</v>
      </c>
      <c r="CZO20">
        <f t="shared" si="2047"/>
        <v>0</v>
      </c>
      <c r="CZP20">
        <f t="shared" si="2048"/>
        <v>0</v>
      </c>
      <c r="CZQ20">
        <f t="shared" si="2049"/>
        <v>0</v>
      </c>
      <c r="CZR20">
        <f t="shared" si="2050"/>
        <v>0</v>
      </c>
      <c r="CZS20">
        <f t="shared" si="2051"/>
        <v>0</v>
      </c>
      <c r="CZT20">
        <f t="shared" si="2052"/>
        <v>0</v>
      </c>
      <c r="CZU20">
        <f t="shared" si="2053"/>
        <v>0</v>
      </c>
      <c r="CZV20">
        <f t="shared" si="2054"/>
        <v>0</v>
      </c>
      <c r="CZW20">
        <f t="shared" si="2055"/>
        <v>0</v>
      </c>
      <c r="CZX20">
        <f t="shared" si="2056"/>
        <v>0</v>
      </c>
      <c r="CZY20">
        <f t="shared" si="2057"/>
        <v>0</v>
      </c>
      <c r="CZZ20">
        <f t="shared" si="2058"/>
        <v>0</v>
      </c>
      <c r="DAA20">
        <f t="shared" si="2059"/>
        <v>0</v>
      </c>
      <c r="DAB20">
        <f t="shared" si="2060"/>
        <v>0</v>
      </c>
      <c r="DAC20">
        <f t="shared" si="2061"/>
        <v>0</v>
      </c>
      <c r="DAD20">
        <f t="shared" si="2062"/>
        <v>0</v>
      </c>
      <c r="DAE20">
        <f t="shared" si="2063"/>
        <v>0</v>
      </c>
      <c r="DAF20">
        <f t="shared" si="2064"/>
        <v>0</v>
      </c>
      <c r="DAG20">
        <f t="shared" si="2065"/>
        <v>0</v>
      </c>
      <c r="DAH20">
        <f t="shared" si="2066"/>
        <v>0</v>
      </c>
      <c r="DAI20">
        <f t="shared" si="2067"/>
        <v>0</v>
      </c>
      <c r="DAJ20">
        <f t="shared" si="2068"/>
        <v>0</v>
      </c>
      <c r="DAK20">
        <f t="shared" si="2069"/>
        <v>0</v>
      </c>
      <c r="DAL20">
        <f t="shared" si="2070"/>
        <v>0</v>
      </c>
      <c r="DAM20">
        <f t="shared" si="2071"/>
        <v>0</v>
      </c>
      <c r="DAN20">
        <f t="shared" si="2072"/>
        <v>0</v>
      </c>
      <c r="DAO20">
        <f t="shared" si="2073"/>
        <v>0</v>
      </c>
      <c r="DAP20">
        <f t="shared" si="2074"/>
        <v>0</v>
      </c>
      <c r="DAQ20">
        <f t="shared" si="2075"/>
        <v>0</v>
      </c>
      <c r="DAR20">
        <f t="shared" si="2076"/>
        <v>0</v>
      </c>
      <c r="DAS20">
        <f t="shared" si="2077"/>
        <v>0</v>
      </c>
      <c r="DAT20">
        <f t="shared" si="2078"/>
        <v>0</v>
      </c>
      <c r="DAU20">
        <f t="shared" si="2079"/>
        <v>0</v>
      </c>
      <c r="DAV20">
        <f t="shared" si="2080"/>
        <v>0</v>
      </c>
      <c r="DAW20">
        <f t="shared" si="2081"/>
        <v>0</v>
      </c>
      <c r="DAX20">
        <f t="shared" si="65"/>
        <v>0</v>
      </c>
      <c r="DAY20">
        <f t="shared" si="2142"/>
        <v>0</v>
      </c>
      <c r="DAZ20">
        <f t="shared" si="2143"/>
        <v>0</v>
      </c>
      <c r="DBA20">
        <f t="shared" si="2144"/>
        <v>0</v>
      </c>
      <c r="DBB20">
        <f t="shared" si="2082"/>
        <v>0</v>
      </c>
      <c r="DBC20">
        <f t="shared" si="2083"/>
        <v>0</v>
      </c>
      <c r="DBD20">
        <f t="shared" si="2084"/>
        <v>0</v>
      </c>
      <c r="DBE20">
        <f t="shared" si="2085"/>
        <v>0</v>
      </c>
      <c r="DBF20">
        <f t="shared" si="2086"/>
        <v>0</v>
      </c>
      <c r="DBG20">
        <f t="shared" si="2087"/>
        <v>0</v>
      </c>
      <c r="DBH20">
        <f t="shared" si="2088"/>
        <v>0</v>
      </c>
      <c r="DBI20">
        <f t="shared" si="2089"/>
        <v>0</v>
      </c>
      <c r="DBJ20">
        <f t="shared" si="2090"/>
        <v>0</v>
      </c>
      <c r="DBK20">
        <f t="shared" si="2091"/>
        <v>0</v>
      </c>
      <c r="DBL20">
        <f t="shared" si="2092"/>
        <v>0</v>
      </c>
      <c r="DBM20">
        <f t="shared" si="2093"/>
        <v>0</v>
      </c>
      <c r="DBN20">
        <f t="shared" si="2094"/>
        <v>0</v>
      </c>
      <c r="DBO20">
        <f t="shared" si="2095"/>
        <v>0</v>
      </c>
      <c r="DBP20">
        <f t="shared" si="2096"/>
        <v>0</v>
      </c>
      <c r="DBQ20">
        <f t="shared" si="2097"/>
        <v>0</v>
      </c>
      <c r="DBR20">
        <f t="shared" si="2098"/>
        <v>0</v>
      </c>
      <c r="DBS20">
        <f t="shared" si="2099"/>
        <v>0</v>
      </c>
      <c r="DBT20">
        <f t="shared" si="2100"/>
        <v>0</v>
      </c>
      <c r="DBU20">
        <f t="shared" si="2101"/>
        <v>0</v>
      </c>
      <c r="DBV20">
        <f t="shared" si="2102"/>
        <v>0</v>
      </c>
      <c r="DBW20">
        <f t="shared" si="2103"/>
        <v>0</v>
      </c>
      <c r="DBX20">
        <f t="shared" si="2104"/>
        <v>0</v>
      </c>
      <c r="DBY20">
        <f t="shared" si="2105"/>
        <v>0</v>
      </c>
      <c r="DBZ20">
        <f t="shared" si="2106"/>
        <v>0</v>
      </c>
      <c r="DCA20">
        <f t="shared" si="2107"/>
        <v>0</v>
      </c>
      <c r="DCB20">
        <f t="shared" si="2108"/>
        <v>0</v>
      </c>
      <c r="DCC20">
        <f t="shared" si="2109"/>
        <v>0</v>
      </c>
      <c r="DCD20">
        <f t="shared" si="2110"/>
        <v>0</v>
      </c>
      <c r="DCE20">
        <f t="shared" si="2111"/>
        <v>0</v>
      </c>
      <c r="DCF20">
        <f t="shared" si="2112"/>
        <v>0</v>
      </c>
      <c r="DCG20">
        <f t="shared" si="2113"/>
        <v>0</v>
      </c>
      <c r="DCH20">
        <f t="shared" si="2114"/>
        <v>0</v>
      </c>
      <c r="DCI20">
        <f t="shared" si="2115"/>
        <v>0</v>
      </c>
      <c r="DCJ20">
        <f t="shared" si="2116"/>
        <v>0</v>
      </c>
      <c r="DCK20">
        <f t="shared" si="2117"/>
        <v>0</v>
      </c>
      <c r="DCL20">
        <f t="shared" si="2118"/>
        <v>0</v>
      </c>
      <c r="DCM20">
        <f t="shared" si="2119"/>
        <v>0</v>
      </c>
      <c r="DCN20">
        <f t="shared" si="2120"/>
        <v>0</v>
      </c>
      <c r="DCO20">
        <f t="shared" si="2121"/>
        <v>0</v>
      </c>
      <c r="DCP20">
        <f t="shared" si="2122"/>
        <v>0</v>
      </c>
      <c r="DCQ20">
        <f t="shared" si="2123"/>
        <v>0</v>
      </c>
      <c r="DCR20">
        <f t="shared" si="2124"/>
        <v>0</v>
      </c>
      <c r="DCS20">
        <f t="shared" si="2125"/>
        <v>0</v>
      </c>
      <c r="DCT20">
        <f t="shared" si="2126"/>
        <v>0</v>
      </c>
      <c r="DCU20">
        <f t="shared" si="2127"/>
        <v>0</v>
      </c>
      <c r="DCV20">
        <f t="shared" si="2128"/>
        <v>0</v>
      </c>
      <c r="DCW20">
        <f t="shared" si="2129"/>
        <v>0</v>
      </c>
      <c r="DCX20">
        <f t="shared" si="2130"/>
        <v>0</v>
      </c>
      <c r="DCY20">
        <f t="shared" si="2131"/>
        <v>0</v>
      </c>
      <c r="DCZ20">
        <f t="shared" si="2132"/>
        <v>0</v>
      </c>
      <c r="DDA20">
        <f t="shared" si="2133"/>
        <v>0</v>
      </c>
      <c r="DDB20">
        <f t="shared" si="2134"/>
        <v>0</v>
      </c>
      <c r="DDC20">
        <f t="shared" si="2135"/>
        <v>0</v>
      </c>
      <c r="DDD20">
        <f t="shared" si="2136"/>
        <v>0</v>
      </c>
      <c r="DDE20">
        <f t="shared" si="2137"/>
        <v>0</v>
      </c>
      <c r="DDF20">
        <f t="shared" si="2138"/>
        <v>0</v>
      </c>
      <c r="DDG20">
        <f t="shared" si="2139"/>
        <v>0</v>
      </c>
      <c r="DDH20">
        <f t="shared" si="2140"/>
        <v>0</v>
      </c>
      <c r="DDI20">
        <f t="shared" si="2141"/>
        <v>0</v>
      </c>
    </row>
    <row r="21" spans="1:2817" x14ac:dyDescent="0.2">
      <c r="A21" s="1">
        <v>15</v>
      </c>
      <c r="B21">
        <f>'Demand Stage 2'!B20</f>
        <v>0</v>
      </c>
      <c r="C21">
        <f>'Demand Stage 2'!C20</f>
        <v>0</v>
      </c>
      <c r="D21">
        <f>'Demand Stage 2'!D20</f>
        <v>0</v>
      </c>
      <c r="E21">
        <f>'Demand Stage 2'!E20</f>
        <v>0</v>
      </c>
      <c r="F21">
        <f>'Demand Stage 2'!F20</f>
        <v>0</v>
      </c>
      <c r="G21">
        <f>'Demand Stage 2'!G20</f>
        <v>0</v>
      </c>
      <c r="H21">
        <f>'Demand Stage 2'!H20</f>
        <v>0</v>
      </c>
      <c r="I21">
        <f>'Demand Stage 2'!I20</f>
        <v>0</v>
      </c>
      <c r="J21">
        <f>'Demand Stage 2'!J20</f>
        <v>0</v>
      </c>
      <c r="K21">
        <f>'Demand Stage 2'!K20</f>
        <v>0</v>
      </c>
      <c r="L21">
        <f>'Demand Stage 2'!L20</f>
        <v>0</v>
      </c>
      <c r="M21">
        <f>'Demand Stage 2'!M20</f>
        <v>0</v>
      </c>
      <c r="N21">
        <f>'Demand Stage 2'!N20</f>
        <v>0</v>
      </c>
      <c r="O21">
        <f>'Demand Stage 2'!O20</f>
        <v>0</v>
      </c>
      <c r="P21">
        <f>'Demand Stage 2'!P20</f>
        <v>0</v>
      </c>
      <c r="Q21">
        <f>'Demand Stage 2'!Q20</f>
        <v>0</v>
      </c>
      <c r="R21">
        <f>'Demand Stage 2'!R20</f>
        <v>0</v>
      </c>
      <c r="S21">
        <f>'Demand Stage 2'!S20</f>
        <v>0</v>
      </c>
      <c r="T21">
        <f>'Demand Stage 2'!T20</f>
        <v>0</v>
      </c>
      <c r="U21">
        <f>'Demand Stage 2'!U20</f>
        <v>0</v>
      </c>
      <c r="V21">
        <f>'Demand Stage 2'!V20</f>
        <v>0</v>
      </c>
      <c r="W21">
        <f>'Demand Stage 2'!W20</f>
        <v>0</v>
      </c>
      <c r="X21">
        <f>'Demand Stage 2'!X20</f>
        <v>0</v>
      </c>
      <c r="Y21">
        <f>'Demand Stage 2'!Y20</f>
        <v>0</v>
      </c>
      <c r="Z21">
        <f>'Demand Stage 2'!Z20</f>
        <v>0</v>
      </c>
      <c r="AA21">
        <f>'Demand Stage 2'!AA20</f>
        <v>0</v>
      </c>
      <c r="AB21">
        <f>'Demand Stage 2'!AB20</f>
        <v>0</v>
      </c>
      <c r="AC21">
        <f>'Demand Stage 2'!AC20</f>
        <v>0</v>
      </c>
      <c r="AD21">
        <f>'Demand Stage 2'!AD20</f>
        <v>0</v>
      </c>
      <c r="AE21">
        <f>'Demand Stage 2'!AE20</f>
        <v>0</v>
      </c>
      <c r="AF21">
        <f>'Demand Stage 2'!AF20</f>
        <v>0</v>
      </c>
      <c r="AG21">
        <f>'Demand Stage 2'!AG20</f>
        <v>0</v>
      </c>
      <c r="AH21">
        <f>'Demand Stage 2'!AH20</f>
        <v>0</v>
      </c>
      <c r="AI21">
        <f>'Demand Stage 2'!AI20</f>
        <v>0</v>
      </c>
      <c r="AJ21">
        <f>'Demand Stage 2'!AJ20</f>
        <v>0</v>
      </c>
      <c r="AK21">
        <f>'Demand Stage 2'!AK20</f>
        <v>0</v>
      </c>
      <c r="AL21">
        <f>'Demand Stage 2'!AL20</f>
        <v>0</v>
      </c>
      <c r="AM21">
        <f>'Demand Stage 2'!AM20</f>
        <v>0</v>
      </c>
      <c r="AN21">
        <f>'Demand Stage 2'!AN20</f>
        <v>0</v>
      </c>
      <c r="AO21">
        <f>'Demand Stage 2'!AO20</f>
        <v>0</v>
      </c>
      <c r="AP21">
        <f>'Demand Stage 2'!AP20</f>
        <v>0</v>
      </c>
      <c r="AQ21">
        <f>'Demand Stage 2'!AQ20</f>
        <v>0</v>
      </c>
      <c r="AR21">
        <f>'Demand Stage 2'!AR20</f>
        <v>0</v>
      </c>
      <c r="AS21">
        <f>'Demand Stage 2'!AS20</f>
        <v>0</v>
      </c>
      <c r="AT21">
        <f>'Demand Stage 2'!AT20</f>
        <v>0</v>
      </c>
      <c r="AU21">
        <f>'Demand Stage 2'!AU20</f>
        <v>0</v>
      </c>
      <c r="AV21">
        <f>'Demand Stage 2'!AV20</f>
        <v>0</v>
      </c>
      <c r="AW21">
        <f>'Demand Stage 2'!AW20</f>
        <v>0</v>
      </c>
      <c r="AX21">
        <f>'Demand Stage 2'!AX20</f>
        <v>0</v>
      </c>
      <c r="AY21">
        <f>'Demand Stage 2'!AY20</f>
        <v>0</v>
      </c>
      <c r="AZ21">
        <f>'Demand Stage 2'!AZ20</f>
        <v>0</v>
      </c>
      <c r="BA21">
        <f>'Demand Stage 2'!BA20</f>
        <v>0</v>
      </c>
      <c r="BB21">
        <f>'Demand Stage 2'!BB20</f>
        <v>0</v>
      </c>
      <c r="BC21">
        <f>'Demand Stage 2'!BC20</f>
        <v>0</v>
      </c>
      <c r="BD21">
        <f>'Demand Stage 2'!BD20</f>
        <v>0</v>
      </c>
      <c r="BE21">
        <f>'Demand Stage 2'!BE20</f>
        <v>0</v>
      </c>
      <c r="BF21">
        <f>'Demand Stage 2'!BF20</f>
        <v>0</v>
      </c>
      <c r="BG21">
        <f>'Demand Stage 2'!BG20</f>
        <v>0</v>
      </c>
      <c r="BH21">
        <f>'Demand Stage 2'!BH20</f>
        <v>0</v>
      </c>
      <c r="BI21">
        <f>'Demand Stage 2'!BI20</f>
        <v>0</v>
      </c>
      <c r="BJ21">
        <f>'Demand Stage 2'!BJ20</f>
        <v>0</v>
      </c>
      <c r="BK21">
        <f>'Demand Stage 2'!BK20</f>
        <v>0</v>
      </c>
      <c r="BL21">
        <f>'Demand Stage 2'!BL20</f>
        <v>0</v>
      </c>
      <c r="BM21">
        <f>'Demand Stage 2'!BM20</f>
        <v>0</v>
      </c>
      <c r="BN21">
        <f>'Demand Stage 2'!BN20</f>
        <v>0</v>
      </c>
      <c r="BO21">
        <f>'Demand Stage 2'!BO20</f>
        <v>0</v>
      </c>
      <c r="BP21">
        <f>'Demand Stage 2'!BP20</f>
        <v>0</v>
      </c>
      <c r="BQ21">
        <f>'Demand Stage 2'!BQ20</f>
        <v>0</v>
      </c>
      <c r="BR21">
        <f>'Demand Stage 2'!BR20</f>
        <v>0</v>
      </c>
      <c r="BS21">
        <f>'Demand Stage 2'!BS20</f>
        <v>0</v>
      </c>
      <c r="BT21">
        <f>'Demand Stage 2'!BT20</f>
        <v>0</v>
      </c>
      <c r="BU21">
        <f>'Demand Stage 2'!BU20</f>
        <v>0</v>
      </c>
      <c r="BV21">
        <f>'Demand Stage 2'!BV20</f>
        <v>0</v>
      </c>
      <c r="BW21">
        <f>'Demand Stage 2'!BW20</f>
        <v>0</v>
      </c>
      <c r="BX21">
        <f>'Demand Stage 2'!BX20</f>
        <v>0</v>
      </c>
      <c r="BY21">
        <f>'Demand Stage 2'!BY20</f>
        <v>0</v>
      </c>
      <c r="BZ21">
        <f>'Demand Stage 2'!BZ20</f>
        <v>0</v>
      </c>
      <c r="CA21">
        <f>'Demand Stage 2'!CA20</f>
        <v>0</v>
      </c>
      <c r="CB21">
        <f>'Demand Stage 2'!CB20</f>
        <v>0</v>
      </c>
      <c r="CC21">
        <f>'Demand Stage 2'!CC20</f>
        <v>0</v>
      </c>
      <c r="CD21">
        <f>'Demand Stage 2'!CD20</f>
        <v>0</v>
      </c>
      <c r="CE21">
        <f>'Demand Stage 2'!CE20</f>
        <v>0</v>
      </c>
      <c r="CF21">
        <f>'Demand Stage 2'!CF20</f>
        <v>0</v>
      </c>
      <c r="CG21">
        <f>'Demand Stage 2'!CG20</f>
        <v>0</v>
      </c>
      <c r="CH21">
        <f>'Demand Stage 2'!CH20</f>
        <v>0</v>
      </c>
      <c r="CI21">
        <f>'Demand Stage 2'!CI20</f>
        <v>0</v>
      </c>
      <c r="CJ21">
        <f>'Demand Stage 2'!CJ20</f>
        <v>0</v>
      </c>
      <c r="CK21">
        <f>'Demand Stage 2'!CK20</f>
        <v>0</v>
      </c>
      <c r="CL21">
        <f>'Demand Stage 2'!CL20</f>
        <v>0</v>
      </c>
      <c r="CM21">
        <f>'Demand Stage 2'!CM20</f>
        <v>0</v>
      </c>
      <c r="CN21">
        <f>'Demand Stage 2'!CN20</f>
        <v>0</v>
      </c>
      <c r="CO21">
        <f>'Demand Stage 2'!CO20</f>
        <v>0</v>
      </c>
      <c r="CP21">
        <f>'Demand Stage 2'!CP20</f>
        <v>0</v>
      </c>
      <c r="CQ21">
        <f>'Demand Stage 2'!CQ20</f>
        <v>0</v>
      </c>
      <c r="CR21">
        <f>'Demand Stage 2'!CR20</f>
        <v>0</v>
      </c>
      <c r="CS21">
        <f>'Demand Stage 2'!CS20</f>
        <v>0</v>
      </c>
      <c r="CT21">
        <f>'Demand Stage 2'!CT20</f>
        <v>0</v>
      </c>
      <c r="CU21">
        <f>'Demand Stage 2'!CU20</f>
        <v>0</v>
      </c>
      <c r="CV21">
        <f>'Demand Stage 2'!CV20</f>
        <v>0</v>
      </c>
      <c r="CW21">
        <f>'Demand Stage 2'!CW20</f>
        <v>0</v>
      </c>
      <c r="CX21">
        <f>'Demand Stage 2'!CX20</f>
        <v>0</v>
      </c>
      <c r="CY21">
        <f>'Demand Stage 2'!CY20</f>
        <v>0</v>
      </c>
      <c r="CZ21">
        <f>'Demand Stage 2'!CZ20</f>
        <v>0</v>
      </c>
      <c r="DA21">
        <f>'Demand Stage 2'!DA20</f>
        <v>0</v>
      </c>
      <c r="DB21">
        <f>'Demand Stage 2'!DB20</f>
        <v>0</v>
      </c>
      <c r="DC21">
        <f>'Demand Stage 2'!DC20</f>
        <v>0</v>
      </c>
      <c r="DD21">
        <f>'Demand Stage 2'!DD20</f>
        <v>0</v>
      </c>
      <c r="DE21">
        <f>'Demand Stage 2'!DE20</f>
        <v>0</v>
      </c>
      <c r="DF21">
        <f>'Demand Stage 2'!DF20</f>
        <v>0</v>
      </c>
      <c r="DG21">
        <f>'Demand Stage 2'!DG20</f>
        <v>0</v>
      </c>
      <c r="DH21">
        <f>'Demand Stage 2'!DH20</f>
        <v>0</v>
      </c>
      <c r="DI21">
        <f>'Demand Stage 2'!DI20</f>
        <v>0</v>
      </c>
      <c r="DJ21">
        <f>'Demand Stage 2'!DJ20</f>
        <v>0</v>
      </c>
      <c r="DK21">
        <f>'Demand Stage 2'!DK20</f>
        <v>0</v>
      </c>
      <c r="DL21">
        <f>'Demand Stage 2'!DL20</f>
        <v>0</v>
      </c>
      <c r="DM21">
        <f>'Demand Stage 2'!DM20</f>
        <v>0</v>
      </c>
      <c r="DN21">
        <f>'Demand Stage 2'!DN20</f>
        <v>0</v>
      </c>
      <c r="DO21">
        <f>'Demand Stage 2'!DO20</f>
        <v>0</v>
      </c>
      <c r="DP21">
        <f>'Demand Stage 2'!DP20</f>
        <v>0</v>
      </c>
      <c r="DQ21">
        <f>'Demand Stage 2'!DQ20</f>
        <v>0</v>
      </c>
      <c r="DR21">
        <f>'Demand Stage 2'!DR20</f>
        <v>0</v>
      </c>
      <c r="DS21">
        <f>'Demand Stage 2'!DS20</f>
        <v>0</v>
      </c>
      <c r="DT21">
        <f>'Demand Stage 2'!DT20</f>
        <v>0</v>
      </c>
      <c r="DU21">
        <f>'Demand Stage 2'!DU20</f>
        <v>0</v>
      </c>
      <c r="DV21">
        <f>'Demand Stage 2'!DV20</f>
        <v>0</v>
      </c>
      <c r="DW21">
        <f>'Demand Stage 2'!DW20</f>
        <v>0</v>
      </c>
      <c r="DX21">
        <f>'Demand Stage 2'!DX20</f>
        <v>0</v>
      </c>
      <c r="DY21">
        <f>'Demand Stage 2'!DY20</f>
        <v>0</v>
      </c>
      <c r="DZ21">
        <f>'Demand Stage 2'!DZ20</f>
        <v>0</v>
      </c>
      <c r="EA21">
        <f>'Demand Stage 2'!EA20</f>
        <v>0</v>
      </c>
      <c r="EB21">
        <f>'Demand Stage 2'!EB20</f>
        <v>0</v>
      </c>
      <c r="EC21">
        <f>'Demand Stage 2'!EC20</f>
        <v>0</v>
      </c>
      <c r="ED21">
        <f>'Demand Stage 2'!ED20</f>
        <v>0</v>
      </c>
      <c r="EE21">
        <f>'Demand Stage 2'!EE20</f>
        <v>0</v>
      </c>
      <c r="EF21">
        <f>'Demand Stage 2'!EF20</f>
        <v>0</v>
      </c>
      <c r="EG21">
        <f>'Demand Stage 2'!EG20</f>
        <v>0</v>
      </c>
      <c r="EH21">
        <f>'Demand Stage 2'!EH20</f>
        <v>0</v>
      </c>
      <c r="EI21">
        <f>'Demand Stage 2'!EI20</f>
        <v>0</v>
      </c>
      <c r="EJ21">
        <f>'Demand Stage 2'!EJ20</f>
        <v>0</v>
      </c>
      <c r="EK21">
        <f>'Demand Stage 2'!EK20</f>
        <v>0</v>
      </c>
      <c r="EL21">
        <f>'Demand Stage 2'!EL20</f>
        <v>0</v>
      </c>
      <c r="EM21">
        <f>'Demand Stage 2'!EM20</f>
        <v>0</v>
      </c>
      <c r="EN21">
        <f>'Demand Stage 2'!EN20</f>
        <v>0</v>
      </c>
      <c r="EO21">
        <f>'Demand Stage 2'!EO20</f>
        <v>0</v>
      </c>
      <c r="EP21">
        <f>'Demand Stage 2'!EP20</f>
        <v>0</v>
      </c>
      <c r="EQ21">
        <f>'Demand Stage 2'!EQ20</f>
        <v>0</v>
      </c>
      <c r="ER21">
        <f>'Demand Stage 2'!ER20</f>
        <v>0</v>
      </c>
      <c r="ES21">
        <f>'Demand Stage 2'!ES20</f>
        <v>0</v>
      </c>
      <c r="ET21">
        <f>'Demand Stage 2'!ET20</f>
        <v>0</v>
      </c>
      <c r="EU21">
        <f>'Demand Stage 2'!EU20</f>
        <v>0</v>
      </c>
      <c r="EV21">
        <f>'Demand Stage 2'!EV20</f>
        <v>0</v>
      </c>
      <c r="EW21">
        <f>'Demand Stage 2'!EW20</f>
        <v>0</v>
      </c>
      <c r="EX21">
        <f>'Demand Stage 2'!EX20</f>
        <v>0</v>
      </c>
      <c r="EY21">
        <f>'Demand Stage 2'!EY20</f>
        <v>0</v>
      </c>
      <c r="EZ21">
        <f>'Demand Stage 2'!EZ20</f>
        <v>0</v>
      </c>
      <c r="FA21">
        <f>'Demand Stage 2'!FA20</f>
        <v>0</v>
      </c>
      <c r="FB21">
        <f>'Demand Stage 2'!FB20</f>
        <v>0</v>
      </c>
      <c r="FC21">
        <f>'Demand Stage 2'!FC20</f>
        <v>0</v>
      </c>
      <c r="FD21">
        <f>'Demand Stage 2'!FD20</f>
        <v>0</v>
      </c>
      <c r="FE21">
        <f>'Demand Stage 2'!FE20</f>
        <v>0</v>
      </c>
      <c r="FF21">
        <f>'Demand Stage 2'!FF20</f>
        <v>0</v>
      </c>
      <c r="FG21">
        <f>'Demand Stage 2'!FG20</f>
        <v>0</v>
      </c>
      <c r="FH21">
        <f>'Demand Stage 2'!FH20</f>
        <v>0</v>
      </c>
      <c r="FI21">
        <f>'Demand Stage 2'!FI20</f>
        <v>0</v>
      </c>
      <c r="FJ21">
        <f>'Demand Stage 2'!FJ20</f>
        <v>0</v>
      </c>
      <c r="FK21">
        <f>'Demand Stage 2'!FK20</f>
        <v>0</v>
      </c>
      <c r="FL21">
        <f>'Demand Stage 2'!FL20</f>
        <v>0</v>
      </c>
      <c r="FM21">
        <f>'Demand Stage 2'!FM20</f>
        <v>0</v>
      </c>
      <c r="FN21">
        <f>'Demand Stage 2'!FN20</f>
        <v>0</v>
      </c>
      <c r="FO21">
        <f>'Demand Stage 2'!FO20</f>
        <v>0</v>
      </c>
      <c r="FP21">
        <f>'Demand Stage 2'!FP20</f>
        <v>0</v>
      </c>
      <c r="FQ21">
        <f>'Demand Stage 2'!FQ20</f>
        <v>0</v>
      </c>
      <c r="FR21">
        <f>'Demand Stage 2'!FR20</f>
        <v>0</v>
      </c>
      <c r="FS21">
        <f>'Demand Stage 2'!FS20</f>
        <v>0</v>
      </c>
      <c r="FT21">
        <f>'Demand Stage 2'!FT20</f>
        <v>0</v>
      </c>
      <c r="FU21">
        <f>'Demand Stage 2'!FU20</f>
        <v>0</v>
      </c>
      <c r="FV21">
        <f>'Demand Stage 2'!FV20</f>
        <v>0</v>
      </c>
      <c r="FW21">
        <f>'Demand Stage 2'!FW20</f>
        <v>0</v>
      </c>
      <c r="FX21">
        <f>'Demand Stage 2'!FX20</f>
        <v>0</v>
      </c>
      <c r="FY21">
        <f>'Demand Stage 2'!FY20</f>
        <v>0</v>
      </c>
      <c r="FZ21">
        <f>'Demand Stage 2'!FZ20</f>
        <v>0</v>
      </c>
      <c r="GA21">
        <f>'Demand Stage 2'!GA20</f>
        <v>0</v>
      </c>
      <c r="GB21">
        <f>'Demand Stage 2'!GB20</f>
        <v>0</v>
      </c>
      <c r="GC21">
        <f>'Demand Stage 2'!GC20</f>
        <v>0</v>
      </c>
      <c r="GD21">
        <f>'Demand Stage 2'!GD20</f>
        <v>0</v>
      </c>
      <c r="GE21">
        <f>'Demand Stage 2'!GE20</f>
        <v>0</v>
      </c>
      <c r="GF21">
        <f>'Demand Stage 2'!GF20</f>
        <v>0</v>
      </c>
      <c r="GG21">
        <f>'Demand Stage 2'!GG20</f>
        <v>0</v>
      </c>
      <c r="GH21">
        <f>'Demand Stage 2'!GH20</f>
        <v>0</v>
      </c>
      <c r="GI21">
        <f>'Demand Stage 2'!GI20</f>
        <v>0</v>
      </c>
      <c r="GJ21">
        <f>'Demand Stage 2'!GJ20</f>
        <v>0</v>
      </c>
      <c r="GK21">
        <f>'Demand Stage 2'!GK20</f>
        <v>0</v>
      </c>
      <c r="GL21">
        <f>'Demand Stage 2'!GL20</f>
        <v>0</v>
      </c>
      <c r="GM21">
        <f>'Demand Stage 2'!GM20</f>
        <v>0</v>
      </c>
      <c r="GN21">
        <f>'Demand Stage 2'!GN20</f>
        <v>0</v>
      </c>
      <c r="GO21">
        <f>'Demand Stage 2'!GO20</f>
        <v>0</v>
      </c>
      <c r="GP21">
        <f>'Demand Stage 2'!GP20</f>
        <v>0</v>
      </c>
      <c r="GQ21">
        <f>'Demand Stage 2'!GQ20</f>
        <v>0</v>
      </c>
      <c r="GR21">
        <f>'Demand Stage 2'!GR20</f>
        <v>0</v>
      </c>
      <c r="GS21">
        <f>'Demand Stage 2'!GS20</f>
        <v>0</v>
      </c>
      <c r="GT21">
        <f>'Demand Stage 2'!GT20</f>
        <v>0</v>
      </c>
      <c r="GU21">
        <f>'Demand Stage 2'!GU20</f>
        <v>0</v>
      </c>
      <c r="GV21">
        <f>'Demand Stage 2'!GV20</f>
        <v>0</v>
      </c>
      <c r="GW21">
        <f>'Demand Stage 2'!GW20</f>
        <v>0</v>
      </c>
      <c r="GX21">
        <f>'Demand Stage 2'!GX20</f>
        <v>0</v>
      </c>
      <c r="GY21">
        <f>'Demand Stage 2'!GY20</f>
        <v>0</v>
      </c>
      <c r="GZ21">
        <f>'Demand Stage 2'!GZ20</f>
        <v>0</v>
      </c>
      <c r="HA21">
        <f>'Demand Stage 2'!HA20</f>
        <v>0</v>
      </c>
      <c r="HB21">
        <f>'Demand Stage 2'!HB20</f>
        <v>0</v>
      </c>
      <c r="HC21">
        <f>'Demand Stage 2'!HC20</f>
        <v>0</v>
      </c>
      <c r="HD21">
        <f>'Demand Stage 2'!HD20</f>
        <v>0</v>
      </c>
      <c r="HE21">
        <f>'Demand Stage 2'!HE20</f>
        <v>0</v>
      </c>
      <c r="HF21">
        <f>'Demand Stage 2'!HF20</f>
        <v>0</v>
      </c>
      <c r="HG21">
        <f>'Demand Stage 2'!HG20</f>
        <v>0</v>
      </c>
      <c r="HH21">
        <f>'Demand Stage 2'!HH20</f>
        <v>0</v>
      </c>
      <c r="HI21">
        <f>'Demand Stage 2'!HI20</f>
        <v>0</v>
      </c>
      <c r="HJ21">
        <f>'Demand Stage 2'!HJ20</f>
        <v>0</v>
      </c>
      <c r="HK21">
        <f>'Demand Stage 2'!HK20</f>
        <v>0</v>
      </c>
      <c r="HL21">
        <f>'Demand Stage 2'!HL20</f>
        <v>0</v>
      </c>
      <c r="HM21">
        <f>'Demand Stage 2'!HM20</f>
        <v>0</v>
      </c>
      <c r="HN21">
        <f>'Demand Stage 2'!HN20</f>
        <v>0</v>
      </c>
      <c r="HO21">
        <f>'Demand Stage 2'!HO20</f>
        <v>0</v>
      </c>
      <c r="HP21">
        <f>'Demand Stage 2'!HP20</f>
        <v>0</v>
      </c>
      <c r="HQ21">
        <f>'Demand Stage 2'!HQ20</f>
        <v>0</v>
      </c>
      <c r="HR21">
        <f>'Demand Stage 2'!HR20</f>
        <v>0</v>
      </c>
      <c r="HS21">
        <f>'Demand Stage 2'!HS20</f>
        <v>0</v>
      </c>
      <c r="HT21">
        <f>'Demand Stage 2'!HT20</f>
        <v>0</v>
      </c>
      <c r="HU21">
        <f>'Demand Stage 2'!HU20</f>
        <v>0</v>
      </c>
      <c r="HV21">
        <f>'Demand Stage 2'!HV20</f>
        <v>0</v>
      </c>
      <c r="HW21">
        <f>'Demand Stage 2'!HW20</f>
        <v>0</v>
      </c>
      <c r="HX21">
        <f>'Demand Stage 2'!HX20</f>
        <v>0</v>
      </c>
      <c r="HY21">
        <f>'Demand Stage 2'!HY20</f>
        <v>0</v>
      </c>
      <c r="HZ21">
        <f>'Demand Stage 2'!HZ20</f>
        <v>0</v>
      </c>
      <c r="IA21">
        <f>'Demand Stage 2'!IA20</f>
        <v>0</v>
      </c>
      <c r="IB21">
        <f>'Demand Stage 2'!IB20</f>
        <v>0</v>
      </c>
      <c r="IC21">
        <f>'Demand Stage 2'!IC20</f>
        <v>0</v>
      </c>
      <c r="ID21">
        <f>'Demand Stage 2'!ID20</f>
        <v>0</v>
      </c>
      <c r="IE21">
        <f>'Demand Stage 2'!IE20</f>
        <v>0</v>
      </c>
      <c r="IF21">
        <f>'Demand Stage 2'!IF20</f>
        <v>0</v>
      </c>
      <c r="IG21">
        <f>'Demand Stage 2'!IG20</f>
        <v>0</v>
      </c>
      <c r="IH21">
        <f>'Demand Stage 2'!IH20</f>
        <v>0</v>
      </c>
      <c r="II21">
        <f>'Demand Stage 2'!II20</f>
        <v>0</v>
      </c>
      <c r="IJ21">
        <f>'Demand Stage 2'!IJ20</f>
        <v>0</v>
      </c>
      <c r="IK21">
        <f>'Demand Stage 2'!IK20</f>
        <v>0</v>
      </c>
      <c r="IL21">
        <f>'Demand Stage 2'!IL20</f>
        <v>0</v>
      </c>
      <c r="IM21">
        <f>'Demand Stage 2'!IM20</f>
        <v>0</v>
      </c>
      <c r="IN21">
        <f>'Demand Stage 2'!IN20</f>
        <v>0</v>
      </c>
      <c r="IO21">
        <f>'Demand Stage 2'!IO20</f>
        <v>0</v>
      </c>
      <c r="IP21">
        <f>'Demand Stage 2'!IP20</f>
        <v>0</v>
      </c>
      <c r="IQ21">
        <f>'Demand Stage 2'!IQ20</f>
        <v>0</v>
      </c>
      <c r="IR21">
        <f>'Demand Stage 2'!IR20</f>
        <v>0</v>
      </c>
      <c r="IS21">
        <f>'Demand Stage 2'!IS20</f>
        <v>0</v>
      </c>
      <c r="IT21">
        <f>'Demand Stage 2'!IT20</f>
        <v>0</v>
      </c>
      <c r="IU21">
        <f>'Demand Stage 2'!IU20</f>
        <v>0</v>
      </c>
      <c r="IV21">
        <f>'Demand Stage 2'!IV20</f>
        <v>0</v>
      </c>
      <c r="IW21">
        <f>'Demand Stage 2'!IW20</f>
        <v>0</v>
      </c>
      <c r="IX21">
        <f>'Demand Stage 2'!IX20</f>
        <v>0</v>
      </c>
      <c r="IY21">
        <f>'Demand Stage 2'!IY20</f>
        <v>0</v>
      </c>
      <c r="IZ21">
        <f>'Demand Stage 2'!IZ20</f>
        <v>0</v>
      </c>
      <c r="JA21">
        <f>'Demand Stage 2'!JA20</f>
        <v>0</v>
      </c>
      <c r="JB21">
        <f>'Demand Stage 2'!JB20</f>
        <v>0</v>
      </c>
      <c r="JC21">
        <f>'Demand Stage 2'!JC20</f>
        <v>0</v>
      </c>
      <c r="JD21">
        <f>'Demand Stage 2'!JD20</f>
        <v>0</v>
      </c>
      <c r="JE21">
        <f>'Demand Stage 2'!JE20</f>
        <v>0</v>
      </c>
      <c r="JF21">
        <f>'Demand Stage 2'!JF20</f>
        <v>0</v>
      </c>
      <c r="JG21">
        <f>'Demand Stage 2'!JG20</f>
        <v>0</v>
      </c>
      <c r="JH21">
        <f>'Demand Stage 2'!JH20</f>
        <v>0</v>
      </c>
      <c r="JI21">
        <f>'Demand Stage 2'!JI20</f>
        <v>0</v>
      </c>
      <c r="JJ21">
        <f>'Demand Stage 2'!JJ20</f>
        <v>0</v>
      </c>
      <c r="JK21">
        <f>'Demand Stage 2'!JK20</f>
        <v>0</v>
      </c>
      <c r="JL21">
        <f>'Demand Stage 2'!JL20</f>
        <v>0</v>
      </c>
      <c r="JM21">
        <f>'Demand Stage 2'!JM20</f>
        <v>0</v>
      </c>
      <c r="JN21">
        <f>'Demand Stage 2'!JN20</f>
        <v>0</v>
      </c>
      <c r="JO21">
        <f>'Demand Stage 2'!JO20</f>
        <v>0</v>
      </c>
      <c r="JP21">
        <f>'Demand Stage 2'!JP20</f>
        <v>0</v>
      </c>
      <c r="JQ21">
        <f>'Demand Stage 2'!JQ20</f>
        <v>0</v>
      </c>
      <c r="JR21">
        <f>'Demand Stage 2'!JR20</f>
        <v>0</v>
      </c>
      <c r="JS21">
        <f>'Demand Stage 2'!JS20</f>
        <v>0</v>
      </c>
      <c r="JT21">
        <f>'Demand Stage 2'!JT20</f>
        <v>0</v>
      </c>
      <c r="JU21">
        <f>'Demand Stage 2'!JU20</f>
        <v>0</v>
      </c>
      <c r="JV21">
        <f>'Demand Stage 2'!JV20</f>
        <v>0</v>
      </c>
      <c r="JW21">
        <f>'Demand Stage 2'!JW20</f>
        <v>0</v>
      </c>
      <c r="JX21">
        <f>'Demand Stage 2'!JX20</f>
        <v>0</v>
      </c>
      <c r="JY21">
        <f>'Demand Stage 2'!JY20</f>
        <v>0</v>
      </c>
      <c r="JZ21">
        <f>'Demand Stage 2'!JZ20</f>
        <v>0</v>
      </c>
      <c r="KA21">
        <f>'Demand Stage 2'!KA20</f>
        <v>0</v>
      </c>
      <c r="KB21">
        <f>'Demand Stage 2'!KB20</f>
        <v>0</v>
      </c>
      <c r="KC21">
        <f>'Demand Stage 2'!KC20</f>
        <v>0</v>
      </c>
      <c r="KD21">
        <f>'Demand Stage 2'!KD20</f>
        <v>0</v>
      </c>
      <c r="KE21">
        <f>'Demand Stage 2'!KE20</f>
        <v>0</v>
      </c>
      <c r="KF21">
        <f>'Demand Stage 2'!KF20</f>
        <v>0</v>
      </c>
      <c r="KG21">
        <f>'Demand Stage 2'!KG20</f>
        <v>0</v>
      </c>
      <c r="KH21">
        <f>'Demand Stage 2'!KH20</f>
        <v>0</v>
      </c>
      <c r="KI21">
        <f>'Demand Stage 2'!KI20</f>
        <v>0</v>
      </c>
      <c r="KJ21">
        <f>'Demand Stage 2'!KJ20</f>
        <v>0</v>
      </c>
      <c r="KK21">
        <f>'Demand Stage 2'!KK20</f>
        <v>0</v>
      </c>
      <c r="KL21">
        <f>'Demand Stage 2'!KL20</f>
        <v>0</v>
      </c>
      <c r="KM21">
        <f>'Demand Stage 2'!KM20</f>
        <v>0</v>
      </c>
      <c r="KN21">
        <f>'Demand Stage 2'!KN20</f>
        <v>0</v>
      </c>
      <c r="KO21">
        <f>'Demand Stage 2'!KO20</f>
        <v>0</v>
      </c>
      <c r="KP21">
        <f>'Demand Stage 2'!KP20</f>
        <v>0</v>
      </c>
      <c r="KQ21">
        <f>'Demand Stage 2'!KQ20</f>
        <v>0</v>
      </c>
      <c r="KR21">
        <f>'Demand Stage 2'!KR20</f>
        <v>0</v>
      </c>
      <c r="KS21">
        <f>'Demand Stage 2'!KS20</f>
        <v>0</v>
      </c>
      <c r="KT21">
        <f>'Demand Stage 2'!KT20</f>
        <v>0</v>
      </c>
      <c r="KU21">
        <f>'Demand Stage 2'!KU20</f>
        <v>0</v>
      </c>
      <c r="KV21">
        <f>'Demand Stage 2'!KV20</f>
        <v>0</v>
      </c>
      <c r="KW21">
        <f>'Demand Stage 2'!KW20</f>
        <v>0</v>
      </c>
      <c r="KX21">
        <f>'Demand Stage 2'!KX20</f>
        <v>0</v>
      </c>
      <c r="KY21">
        <f>'Demand Stage 2'!KY20</f>
        <v>0</v>
      </c>
      <c r="KZ21">
        <f>'Demand Stage 2'!KZ20</f>
        <v>0</v>
      </c>
      <c r="LA21">
        <f>'Demand Stage 2'!LA20</f>
        <v>0</v>
      </c>
      <c r="LB21">
        <f>'Demand Stage 2'!LB20</f>
        <v>0</v>
      </c>
      <c r="LC21">
        <f>'Demand Stage 2'!LC20</f>
        <v>0</v>
      </c>
      <c r="LD21">
        <f>'Demand Stage 2'!LD20</f>
        <v>0</v>
      </c>
      <c r="LE21">
        <f>'Demand Stage 2'!LE20</f>
        <v>0</v>
      </c>
      <c r="LF21">
        <f>'Demand Stage 2'!LF20</f>
        <v>0</v>
      </c>
      <c r="LG21">
        <f>'Demand Stage 2'!LG20</f>
        <v>0</v>
      </c>
      <c r="LH21">
        <f>'Demand Stage 2'!LH20</f>
        <v>0</v>
      </c>
      <c r="LI21">
        <f>'Demand Stage 2'!LI20</f>
        <v>0</v>
      </c>
      <c r="LJ21">
        <f>'Demand Stage 2'!LJ20</f>
        <v>0</v>
      </c>
      <c r="LK21">
        <f>'Demand Stage 2'!LK20</f>
        <v>0</v>
      </c>
      <c r="LL21">
        <f>'Demand Stage 2'!LL20</f>
        <v>0</v>
      </c>
      <c r="LM21">
        <f>'Demand Stage 2'!LM20</f>
        <v>0</v>
      </c>
      <c r="LN21">
        <f>'Demand Stage 2'!LN20</f>
        <v>0</v>
      </c>
      <c r="LO21">
        <f>'Demand Stage 2'!LO20</f>
        <v>0</v>
      </c>
      <c r="LP21">
        <f>'Demand Stage 2'!LP20</f>
        <v>0</v>
      </c>
      <c r="LQ21">
        <f>'Demand Stage 2'!LQ20</f>
        <v>0</v>
      </c>
      <c r="LR21">
        <f>'Demand Stage 2'!LR20</f>
        <v>0</v>
      </c>
      <c r="LS21">
        <f>'Demand Stage 2'!LS20</f>
        <v>0</v>
      </c>
      <c r="LT21">
        <f>'Demand Stage 2'!LT20</f>
        <v>0</v>
      </c>
      <c r="LU21">
        <f>'Demand Stage 2'!LU20</f>
        <v>0</v>
      </c>
      <c r="LV21">
        <f>'Demand Stage 2'!LV20</f>
        <v>0</v>
      </c>
      <c r="LW21">
        <f>'Demand Stage 2'!LW20</f>
        <v>0</v>
      </c>
      <c r="LX21">
        <f>'Demand Stage 2'!LX20</f>
        <v>0</v>
      </c>
      <c r="LY21">
        <f>'Demand Stage 2'!LY20</f>
        <v>0</v>
      </c>
      <c r="LZ21">
        <f>'Demand Stage 2'!LZ20</f>
        <v>0</v>
      </c>
      <c r="MA21">
        <f>'Demand Stage 2'!MA20</f>
        <v>0</v>
      </c>
      <c r="MB21">
        <f>'Demand Stage 2'!MB20</f>
        <v>0</v>
      </c>
      <c r="MC21">
        <f>'Demand Stage 2'!MC20</f>
        <v>0</v>
      </c>
      <c r="MD21">
        <f>'Demand Stage 2'!MD20</f>
        <v>0</v>
      </c>
      <c r="ME21">
        <f>'Demand Stage 2'!ME20</f>
        <v>0</v>
      </c>
      <c r="MF21">
        <f>'Demand Stage 2'!MF20</f>
        <v>0</v>
      </c>
      <c r="MG21">
        <f>'Demand Stage 2'!MG20</f>
        <v>0</v>
      </c>
      <c r="MH21">
        <f>'Demand Stage 2'!MH20</f>
        <v>0</v>
      </c>
      <c r="MI21">
        <f>'Demand Stage 2'!MI20</f>
        <v>0</v>
      </c>
      <c r="MJ21">
        <f>'Demand Stage 2'!MJ20</f>
        <v>0</v>
      </c>
      <c r="MK21">
        <f>'Demand Stage 2'!MK20</f>
        <v>0</v>
      </c>
      <c r="ML21">
        <f>'Demand Stage 2'!ML20</f>
        <v>0</v>
      </c>
      <c r="MM21">
        <f>'Demand Stage 2'!MM20</f>
        <v>0</v>
      </c>
      <c r="MN21">
        <f>'Demand Stage 2'!MN20</f>
        <v>0</v>
      </c>
      <c r="MO21">
        <f>'Demand Stage 2'!MO20</f>
        <v>0</v>
      </c>
      <c r="MP21">
        <f>'Demand Stage 2'!MP20</f>
        <v>0</v>
      </c>
      <c r="MQ21">
        <f>'Demand Stage 2'!MQ20</f>
        <v>0</v>
      </c>
      <c r="MR21">
        <f>'Demand Stage 2'!MR20</f>
        <v>0</v>
      </c>
      <c r="MS21">
        <f>'Demand Stage 2'!MS20</f>
        <v>0</v>
      </c>
      <c r="MT21">
        <f>'Demand Stage 2'!MT20</f>
        <v>0</v>
      </c>
      <c r="MU21">
        <f>'Demand Stage 2'!MU20</f>
        <v>0</v>
      </c>
      <c r="MV21">
        <f>'Demand Stage 2'!MV20</f>
        <v>0</v>
      </c>
      <c r="MW21">
        <f>'Demand Stage 2'!MW20</f>
        <v>0</v>
      </c>
      <c r="MX21">
        <f>'Demand Stage 2'!MX20</f>
        <v>0</v>
      </c>
      <c r="MY21">
        <f>'Demand Stage 2'!MY20</f>
        <v>0</v>
      </c>
      <c r="MZ21">
        <f>'Demand Stage 2'!MZ20</f>
        <v>0</v>
      </c>
      <c r="NA21">
        <f>'Demand Stage 2'!NA20</f>
        <v>0</v>
      </c>
      <c r="NB21">
        <f>'Demand Stage 2'!NB20</f>
        <v>0</v>
      </c>
      <c r="NC21">
        <f>'Demand Stage 2'!NC20</f>
        <v>0</v>
      </c>
      <c r="ND21">
        <f>'Demand Stage 2'!ND20</f>
        <v>0</v>
      </c>
      <c r="NE21">
        <f>'Demand Stage 2'!NE20</f>
        <v>0</v>
      </c>
      <c r="NF21">
        <f>'Demand Stage 2'!NF20</f>
        <v>0</v>
      </c>
      <c r="NG21">
        <f>'Demand Stage 2'!NG20</f>
        <v>0</v>
      </c>
      <c r="NH21">
        <f>'Demand Stage 2'!NH20</f>
        <v>0</v>
      </c>
      <c r="NI21">
        <f>'Demand Stage 2'!NI20</f>
        <v>0</v>
      </c>
      <c r="NJ21">
        <f>'Demand Stage 2'!NJ20</f>
        <v>0</v>
      </c>
      <c r="NK21">
        <f>'Demand Stage 2'!NK20</f>
        <v>0</v>
      </c>
      <c r="NL21">
        <f>'Demand Stage 2'!NL20</f>
        <v>0</v>
      </c>
      <c r="NM21">
        <f>'Demand Stage 2'!NM20</f>
        <v>0</v>
      </c>
      <c r="NN21">
        <f>'Demand Stage 2'!NN20</f>
        <v>0</v>
      </c>
      <c r="NO21">
        <f>'Demand Stage 2'!NO20</f>
        <v>0</v>
      </c>
      <c r="NP21">
        <f>'Demand Stage 2'!NP20</f>
        <v>0</v>
      </c>
      <c r="NQ21">
        <f>'Demand Stage 2'!NQ20</f>
        <v>0</v>
      </c>
      <c r="NR21">
        <f>'Demand Stage 2'!NR20</f>
        <v>0</v>
      </c>
      <c r="NS21">
        <f>'Demand Stage 2'!NS20</f>
        <v>0</v>
      </c>
      <c r="NT21">
        <f>'Demand Stage 2'!NT20</f>
        <v>0</v>
      </c>
      <c r="NU21">
        <f>'Demand Stage 2'!NU20</f>
        <v>0</v>
      </c>
      <c r="NV21">
        <f>'Demand Stage 2'!NV20</f>
        <v>0</v>
      </c>
      <c r="NW21">
        <f>'Demand Stage 2'!NW20</f>
        <v>0</v>
      </c>
      <c r="NX21">
        <f>'Demand Stage 2'!NX20</f>
        <v>0</v>
      </c>
      <c r="NY21">
        <f>'Demand Stage 2'!NY20</f>
        <v>0</v>
      </c>
      <c r="NZ21">
        <f>'Demand Stage 2'!NZ20</f>
        <v>0</v>
      </c>
      <c r="OA21">
        <f>'Demand Stage 2'!OA20</f>
        <v>0</v>
      </c>
      <c r="OB21">
        <f>'Demand Stage 2'!OB20</f>
        <v>0</v>
      </c>
      <c r="OC21">
        <f>'Demand Stage 2'!OC20</f>
        <v>0</v>
      </c>
      <c r="OD21">
        <f>'Demand Stage 2'!OD20</f>
        <v>0</v>
      </c>
      <c r="OE21">
        <f>'Demand Stage 2'!OE20</f>
        <v>0</v>
      </c>
      <c r="OF21">
        <f>'Demand Stage 2'!OF20</f>
        <v>0</v>
      </c>
      <c r="OG21">
        <f>'Demand Stage 2'!OG20</f>
        <v>0</v>
      </c>
      <c r="OH21">
        <f>'Demand Stage 2'!OH20</f>
        <v>0</v>
      </c>
      <c r="OI21">
        <f>'Demand Stage 2'!OI20</f>
        <v>0</v>
      </c>
      <c r="OJ21">
        <f>'Demand Stage 2'!OJ20</f>
        <v>0</v>
      </c>
      <c r="OK21">
        <f>'Demand Stage 2'!OK20</f>
        <v>0</v>
      </c>
      <c r="OL21">
        <f>'Demand Stage 2'!OL20</f>
        <v>0</v>
      </c>
      <c r="OM21">
        <f>'Demand Stage 2'!OM20</f>
        <v>0</v>
      </c>
      <c r="ON21">
        <f>'Demand Stage 2'!ON20</f>
        <v>0</v>
      </c>
      <c r="OO21">
        <f>'Demand Stage 2'!OO20</f>
        <v>0</v>
      </c>
      <c r="OP21">
        <f>'Demand Stage 2'!OP20</f>
        <v>0</v>
      </c>
      <c r="OQ21">
        <f>'Demand Stage 2'!OQ20</f>
        <v>0</v>
      </c>
      <c r="OR21">
        <f>'Demand Stage 2'!OR20</f>
        <v>0</v>
      </c>
      <c r="OS21">
        <f>'Demand Stage 2'!OS20</f>
        <v>0</v>
      </c>
      <c r="OT21">
        <f>'Demand Stage 2'!OT20</f>
        <v>0</v>
      </c>
      <c r="OU21">
        <f>'Demand Stage 2'!OU20</f>
        <v>0</v>
      </c>
      <c r="OV21">
        <f>'Demand Stage 2'!OV20</f>
        <v>0</v>
      </c>
      <c r="OW21">
        <f>'Demand Stage 2'!OW20</f>
        <v>0</v>
      </c>
      <c r="OX21">
        <f>'Demand Stage 2'!OX20</f>
        <v>0</v>
      </c>
      <c r="OY21">
        <f>'Demand Stage 2'!OY20</f>
        <v>0</v>
      </c>
      <c r="OZ21">
        <f>'Demand Stage 2'!OZ20</f>
        <v>0</v>
      </c>
      <c r="PA21">
        <f>'Demand Stage 2'!PA20</f>
        <v>0</v>
      </c>
      <c r="PB21">
        <f>'Demand Stage 2'!PB20</f>
        <v>0</v>
      </c>
      <c r="PC21">
        <f>'Demand Stage 2'!PC20</f>
        <v>0</v>
      </c>
      <c r="PD21">
        <f>'Demand Stage 2'!PD20</f>
        <v>0</v>
      </c>
      <c r="PE21">
        <f>'Demand Stage 2'!PE20</f>
        <v>0</v>
      </c>
      <c r="PF21">
        <f>'Demand Stage 2'!PF20</f>
        <v>0</v>
      </c>
      <c r="PG21">
        <f>'Demand Stage 2'!PG20</f>
        <v>0</v>
      </c>
      <c r="PH21">
        <f>'Demand Stage 2'!PH20</f>
        <v>0</v>
      </c>
      <c r="PI21">
        <f>'Demand Stage 2'!PI20</f>
        <v>0</v>
      </c>
      <c r="PJ21">
        <f>'Demand Stage 2'!PJ20</f>
        <v>0</v>
      </c>
      <c r="PK21">
        <f>'Demand Stage 2'!PK20</f>
        <v>0</v>
      </c>
      <c r="PL21">
        <f>'Demand Stage 2'!PL20</f>
        <v>0</v>
      </c>
      <c r="PM21">
        <f>'Demand Stage 2'!PM20</f>
        <v>0</v>
      </c>
      <c r="PN21">
        <f>'Demand Stage 2'!PN20</f>
        <v>0</v>
      </c>
      <c r="PO21">
        <f>'Demand Stage 2'!PO20</f>
        <v>0</v>
      </c>
      <c r="PP21">
        <f>'Demand Stage 2'!PP20</f>
        <v>0</v>
      </c>
      <c r="PQ21">
        <f>'Demand Stage 2'!PQ20</f>
        <v>0</v>
      </c>
      <c r="PR21">
        <f>'Demand Stage 2'!PR20</f>
        <v>0</v>
      </c>
      <c r="PS21">
        <f>'Demand Stage 2'!PS20</f>
        <v>0</v>
      </c>
      <c r="PT21">
        <f>'Demand Stage 2'!PT20</f>
        <v>0</v>
      </c>
      <c r="PU21">
        <f>'Demand Stage 2'!PU20</f>
        <v>0</v>
      </c>
      <c r="PV21">
        <f>'Demand Stage 2'!PV20</f>
        <v>0</v>
      </c>
      <c r="PW21">
        <f>'Demand Stage 2'!PW20</f>
        <v>0</v>
      </c>
      <c r="PX21">
        <f>'Demand Stage 2'!PX20</f>
        <v>0</v>
      </c>
      <c r="PY21">
        <f>'Demand Stage 2'!PY20</f>
        <v>0</v>
      </c>
      <c r="PZ21">
        <f>'Demand Stage 2'!PZ20</f>
        <v>0</v>
      </c>
      <c r="QA21">
        <f>'Demand Stage 2'!QA20</f>
        <v>0</v>
      </c>
      <c r="QB21">
        <f>'Demand Stage 2'!QB20</f>
        <v>0</v>
      </c>
      <c r="QC21">
        <f>'Demand Stage 2'!QC20</f>
        <v>0</v>
      </c>
      <c r="QD21">
        <f>'Demand Stage 2'!QD20</f>
        <v>0</v>
      </c>
      <c r="QE21">
        <f>'Demand Stage 2'!QE20</f>
        <v>0</v>
      </c>
      <c r="QF21">
        <f>'Demand Stage 2'!QF20</f>
        <v>0</v>
      </c>
      <c r="QG21">
        <f>'Demand Stage 2'!QG20</f>
        <v>0</v>
      </c>
      <c r="QH21">
        <f>'Demand Stage 2'!QH20</f>
        <v>0</v>
      </c>
      <c r="QI21">
        <f>'Demand Stage 2'!QI20</f>
        <v>0</v>
      </c>
      <c r="QJ21">
        <f>'Demand Stage 2'!QJ20</f>
        <v>0</v>
      </c>
      <c r="QK21">
        <f>'Demand Stage 2'!QK20</f>
        <v>0</v>
      </c>
      <c r="QL21">
        <f>'Demand Stage 2'!QL20</f>
        <v>0</v>
      </c>
      <c r="QM21">
        <f>'Demand Stage 2'!QM20</f>
        <v>0</v>
      </c>
      <c r="QN21">
        <f>'Demand Stage 2'!QN20</f>
        <v>0</v>
      </c>
      <c r="QO21">
        <f>'Demand Stage 2'!QO20</f>
        <v>0</v>
      </c>
      <c r="QP21">
        <f>'Demand Stage 2'!QP20</f>
        <v>0</v>
      </c>
      <c r="QQ21">
        <f>'Demand Stage 2'!QQ20</f>
        <v>0</v>
      </c>
      <c r="QR21">
        <f>'Demand Stage 2'!QR20</f>
        <v>0</v>
      </c>
      <c r="QS21">
        <f>'Demand Stage 2'!QS20</f>
        <v>0</v>
      </c>
      <c r="QT21">
        <f>'Demand Stage 2'!QT20</f>
        <v>0</v>
      </c>
      <c r="QU21">
        <f>'Demand Stage 2'!QU20</f>
        <v>0</v>
      </c>
      <c r="QV21">
        <f>'Demand Stage 2'!QV20</f>
        <v>0</v>
      </c>
      <c r="QW21">
        <f>'Demand Stage 2'!QW20</f>
        <v>0</v>
      </c>
      <c r="QX21">
        <f>'Demand Stage 2'!QX20</f>
        <v>0</v>
      </c>
      <c r="QY21">
        <f>'Demand Stage 2'!QY20</f>
        <v>0</v>
      </c>
      <c r="QZ21">
        <f>'Demand Stage 2'!QZ20</f>
        <v>0</v>
      </c>
      <c r="RA21">
        <f>'Demand Stage 2'!RA20</f>
        <v>0</v>
      </c>
      <c r="RB21">
        <f>'Demand Stage 2'!RB20</f>
        <v>0</v>
      </c>
      <c r="RC21">
        <f>'Demand Stage 2'!RC20</f>
        <v>0</v>
      </c>
      <c r="RD21">
        <f>'Demand Stage 2'!RD20</f>
        <v>0</v>
      </c>
      <c r="RE21">
        <f>'Demand Stage 2'!RE20</f>
        <v>0</v>
      </c>
      <c r="RF21">
        <f>'Demand Stage 2'!RF20</f>
        <v>0</v>
      </c>
      <c r="RG21">
        <f>'Demand Stage 2'!RG20</f>
        <v>0</v>
      </c>
      <c r="RH21">
        <f>'Demand Stage 2'!RH20</f>
        <v>0</v>
      </c>
      <c r="RI21">
        <f>'Demand Stage 2'!RI20</f>
        <v>0</v>
      </c>
      <c r="RJ21">
        <f>'Demand Stage 2'!RJ20</f>
        <v>0</v>
      </c>
      <c r="RK21">
        <f>'Demand Stage 2'!RK20</f>
        <v>0</v>
      </c>
      <c r="RL21">
        <f>'Demand Stage 2'!RL20</f>
        <v>0</v>
      </c>
      <c r="RM21">
        <f>'Demand Stage 2'!RM20</f>
        <v>0</v>
      </c>
      <c r="RN21">
        <f>'Demand Stage 2'!RN20</f>
        <v>0</v>
      </c>
      <c r="RO21">
        <f>'Demand Stage 2'!RO20</f>
        <v>0</v>
      </c>
      <c r="RP21">
        <f>'Demand Stage 2'!RP20</f>
        <v>0</v>
      </c>
      <c r="RQ21">
        <f>'Demand Stage 2'!RQ20</f>
        <v>0</v>
      </c>
      <c r="RR21">
        <f>'Demand Stage 2'!RR20</f>
        <v>0</v>
      </c>
      <c r="RS21">
        <f>'Demand Stage 2'!RS20</f>
        <v>0</v>
      </c>
      <c r="RT21">
        <f>'Demand Stage 2'!RT20</f>
        <v>0</v>
      </c>
      <c r="RU21">
        <f>'Demand Stage 2'!RU20</f>
        <v>0</v>
      </c>
      <c r="RV21">
        <f>'Demand Stage 2'!RV20</f>
        <v>0</v>
      </c>
      <c r="RW21">
        <f>'Demand Stage 2'!RW20</f>
        <v>0</v>
      </c>
      <c r="RX21">
        <f>'Demand Stage 2'!RX20</f>
        <v>0</v>
      </c>
      <c r="RY21">
        <f>'Demand Stage 2'!RY20</f>
        <v>0</v>
      </c>
      <c r="RZ21">
        <f>'Demand Stage 2'!RZ20</f>
        <v>0</v>
      </c>
      <c r="SA21">
        <f>'Demand Stage 2'!SA20</f>
        <v>0</v>
      </c>
      <c r="SB21">
        <f>'Demand Stage 2'!SB20</f>
        <v>0</v>
      </c>
      <c r="SC21">
        <f>'Demand Stage 2'!SC20</f>
        <v>0</v>
      </c>
      <c r="SD21">
        <f>'Demand Stage 2'!SD20</f>
        <v>0</v>
      </c>
      <c r="SE21">
        <f>'Demand Stage 2'!SE20</f>
        <v>0</v>
      </c>
      <c r="SF21">
        <f>'Demand Stage 2'!SF20</f>
        <v>0</v>
      </c>
      <c r="SG21">
        <f>'Demand Stage 2'!SG20</f>
        <v>0</v>
      </c>
      <c r="SH21">
        <f>'Demand Stage 2'!SH20</f>
        <v>0</v>
      </c>
      <c r="SI21">
        <f>'Demand Stage 2'!SI20</f>
        <v>0</v>
      </c>
      <c r="SJ21">
        <f>'Demand Stage 2'!SJ20</f>
        <v>0</v>
      </c>
      <c r="SK21">
        <f>'Demand Stage 2'!SK20</f>
        <v>0</v>
      </c>
      <c r="SL21">
        <f>'Demand Stage 2'!SL20</f>
        <v>0</v>
      </c>
      <c r="SM21">
        <f>'Demand Stage 2'!SM20</f>
        <v>0</v>
      </c>
      <c r="SN21">
        <f>'Demand Stage 2'!SN20</f>
        <v>0</v>
      </c>
      <c r="SO21">
        <f>'Demand Stage 2'!SO20</f>
        <v>0</v>
      </c>
      <c r="SP21">
        <f>'Demand Stage 2'!SP20</f>
        <v>0</v>
      </c>
      <c r="SQ21">
        <f>'Demand Stage 2'!SQ20</f>
        <v>0</v>
      </c>
      <c r="SR21">
        <f>'Demand Stage 2'!SR20</f>
        <v>0</v>
      </c>
      <c r="SS21">
        <f>'Demand Stage 2'!SS20</f>
        <v>0</v>
      </c>
      <c r="ST21">
        <f>'Demand Stage 2'!ST20</f>
        <v>0</v>
      </c>
      <c r="SU21">
        <f>'Demand Stage 2'!SU20</f>
        <v>0</v>
      </c>
      <c r="SV21">
        <f>'Demand Stage 2'!SV20</f>
        <v>0</v>
      </c>
      <c r="SW21">
        <f>'Demand Stage 2'!SW20</f>
        <v>0</v>
      </c>
      <c r="SX21">
        <f>'Demand Stage 2'!SX20</f>
        <v>0</v>
      </c>
      <c r="SY21">
        <f>'Demand Stage 2'!SY20</f>
        <v>0</v>
      </c>
      <c r="SZ21">
        <f>'Demand Stage 2'!SZ20</f>
        <v>0</v>
      </c>
      <c r="TA21">
        <f>'Demand Stage 2'!TA20</f>
        <v>0</v>
      </c>
      <c r="TB21">
        <f>'Demand Stage 2'!TB20</f>
        <v>0</v>
      </c>
      <c r="TC21">
        <f>'Demand Stage 2'!TC20</f>
        <v>0</v>
      </c>
      <c r="TD21">
        <f>'Demand Stage 2'!TD20</f>
        <v>0</v>
      </c>
      <c r="TE21">
        <f>'Demand Stage 2'!TE20</f>
        <v>0</v>
      </c>
      <c r="TF21">
        <f>'Demand Stage 2'!TF20</f>
        <v>0</v>
      </c>
      <c r="TG21">
        <f>'Demand Stage 2'!TG20</f>
        <v>0</v>
      </c>
      <c r="TH21">
        <f>'Demand Stage 2'!TH20</f>
        <v>0</v>
      </c>
      <c r="TI21">
        <f>'Demand Stage 2'!TI20</f>
        <v>0</v>
      </c>
      <c r="TJ21">
        <f>'Demand Stage 2'!TJ20</f>
        <v>0</v>
      </c>
      <c r="TK21">
        <f>'Demand Stage 2'!TK20</f>
        <v>0</v>
      </c>
      <c r="TL21">
        <f>'Demand Stage 2'!TL20</f>
        <v>0</v>
      </c>
      <c r="TM21">
        <f>'Demand Stage 2'!TM20</f>
        <v>0</v>
      </c>
      <c r="TN21">
        <f>'Demand Stage 2'!TN20</f>
        <v>0</v>
      </c>
      <c r="TO21">
        <f>'Demand Stage 2'!TO20</f>
        <v>0</v>
      </c>
      <c r="TP21">
        <f>'Demand Stage 2'!TP20</f>
        <v>0</v>
      </c>
      <c r="TQ21">
        <f>'Demand Stage 2'!TQ20</f>
        <v>0</v>
      </c>
      <c r="TR21">
        <f>'Demand Stage 2'!TR20</f>
        <v>0</v>
      </c>
      <c r="TS21">
        <f>'Demand Stage 2'!TS20</f>
        <v>0</v>
      </c>
      <c r="TT21">
        <f>'Demand Stage 2'!TT20</f>
        <v>0</v>
      </c>
      <c r="TU21">
        <f>'Demand Stage 2'!TU20</f>
        <v>0</v>
      </c>
      <c r="TV21">
        <f>'Demand Stage 2'!TV20</f>
        <v>0</v>
      </c>
      <c r="TW21">
        <f>'Demand Stage 2'!TW20</f>
        <v>0</v>
      </c>
      <c r="TX21">
        <f>'Demand Stage 2'!TX20</f>
        <v>0</v>
      </c>
      <c r="TY21">
        <f>'Demand Stage 2'!TY20</f>
        <v>0</v>
      </c>
      <c r="TZ21">
        <f>'Demand Stage 2'!TZ20</f>
        <v>0</v>
      </c>
      <c r="UA21">
        <f>'Demand Stage 2'!UA20</f>
        <v>0</v>
      </c>
      <c r="UB21">
        <f>'Demand Stage 2'!UB20</f>
        <v>0</v>
      </c>
      <c r="UC21">
        <f>'Demand Stage 2'!UC20</f>
        <v>0</v>
      </c>
      <c r="UD21">
        <f>'Demand Stage 2'!UD20</f>
        <v>0</v>
      </c>
      <c r="UE21">
        <f>'Demand Stage 2'!UE20</f>
        <v>0</v>
      </c>
      <c r="UF21">
        <f>'Demand Stage 2'!UF20</f>
        <v>0</v>
      </c>
      <c r="UG21">
        <f>'Demand Stage 2'!UG20</f>
        <v>0</v>
      </c>
      <c r="UH21">
        <f>'Demand Stage 2'!UH20</f>
        <v>0</v>
      </c>
      <c r="UI21">
        <f>'Demand Stage 2'!UI20</f>
        <v>0</v>
      </c>
      <c r="UJ21">
        <f>'Demand Stage 2'!UJ20</f>
        <v>0</v>
      </c>
      <c r="UK21">
        <f>'Demand Stage 2'!UK20</f>
        <v>0</v>
      </c>
      <c r="UL21">
        <f>'Demand Stage 2'!UL20</f>
        <v>0</v>
      </c>
      <c r="UM21">
        <f>'Demand Stage 2'!UM20</f>
        <v>0</v>
      </c>
      <c r="UN21">
        <f>'Demand Stage 2'!UN20</f>
        <v>0</v>
      </c>
      <c r="UO21">
        <f>'Demand Stage 2'!UO20</f>
        <v>0</v>
      </c>
      <c r="UP21">
        <f>'Demand Stage 2'!UP20</f>
        <v>0</v>
      </c>
      <c r="UQ21">
        <f>'Demand Stage 2'!UQ20</f>
        <v>0</v>
      </c>
      <c r="UR21">
        <f>'Demand Stage 2'!UR20</f>
        <v>0</v>
      </c>
      <c r="US21">
        <f>'Demand Stage 2'!US20</f>
        <v>0</v>
      </c>
      <c r="UT21">
        <f>'Demand Stage 2'!UT20</f>
        <v>0</v>
      </c>
      <c r="UU21">
        <f>'Demand Stage 2'!UU20</f>
        <v>0</v>
      </c>
      <c r="UV21">
        <f>'Demand Stage 2'!UV20</f>
        <v>0</v>
      </c>
      <c r="UW21">
        <f>'Demand Stage 2'!UW20</f>
        <v>0</v>
      </c>
      <c r="UX21">
        <f>'Demand Stage 2'!UX20</f>
        <v>0</v>
      </c>
      <c r="UY21">
        <f>'Demand Stage 2'!UY20</f>
        <v>0</v>
      </c>
      <c r="UZ21">
        <f>'Demand Stage 2'!UZ20</f>
        <v>0</v>
      </c>
      <c r="VA21">
        <f>'Demand Stage 2'!VA20</f>
        <v>0</v>
      </c>
      <c r="VB21">
        <f>'Demand Stage 2'!VB20</f>
        <v>0</v>
      </c>
      <c r="VC21">
        <f>'Demand Stage 2'!VC20</f>
        <v>0</v>
      </c>
      <c r="VD21">
        <f>'Demand Stage 2'!VD20</f>
        <v>0</v>
      </c>
      <c r="VE21">
        <f>'Demand Stage 2'!VE20</f>
        <v>0</v>
      </c>
      <c r="VF21">
        <f>'Demand Stage 2'!VF20</f>
        <v>0</v>
      </c>
      <c r="VG21">
        <f>'Demand Stage 2'!VG20</f>
        <v>0</v>
      </c>
      <c r="VH21">
        <f>'Demand Stage 2'!VH20</f>
        <v>0</v>
      </c>
      <c r="VI21">
        <f>'Demand Stage 2'!VI20</f>
        <v>0</v>
      </c>
      <c r="VJ21">
        <f>'Demand Stage 2'!VJ20</f>
        <v>0</v>
      </c>
      <c r="VK21">
        <f>'Demand Stage 2'!VK20</f>
        <v>0</v>
      </c>
      <c r="VL21">
        <f>'Demand Stage 2'!VL20</f>
        <v>0</v>
      </c>
      <c r="VM21">
        <f>'Demand Stage 2'!VM20</f>
        <v>0</v>
      </c>
      <c r="VN21">
        <f>'Demand Stage 2'!VN20</f>
        <v>0</v>
      </c>
      <c r="VO21">
        <f>'Demand Stage 2'!VO20</f>
        <v>0</v>
      </c>
      <c r="VP21">
        <f>'Demand Stage 2'!VP20</f>
        <v>0</v>
      </c>
      <c r="VQ21">
        <f>'Demand Stage 2'!VQ20</f>
        <v>0</v>
      </c>
      <c r="VR21">
        <f>'Demand Stage 2'!VR20</f>
        <v>0</v>
      </c>
      <c r="VS21">
        <f>'Demand Stage 2'!VS20</f>
        <v>0</v>
      </c>
      <c r="VT21">
        <f>'Demand Stage 2'!VT20</f>
        <v>0</v>
      </c>
      <c r="VU21">
        <f>'Demand Stage 2'!VU20</f>
        <v>0</v>
      </c>
      <c r="VV21">
        <f>'Demand Stage 2'!VV20</f>
        <v>0</v>
      </c>
      <c r="VW21">
        <f>'Demand Stage 2'!VW20</f>
        <v>0</v>
      </c>
      <c r="VX21">
        <f>'Demand Stage 2'!VX20</f>
        <v>0</v>
      </c>
      <c r="VY21">
        <f>'Demand Stage 2'!VY20</f>
        <v>0</v>
      </c>
      <c r="VZ21">
        <f>'Demand Stage 2'!VZ20</f>
        <v>0</v>
      </c>
      <c r="WA21">
        <f>'Demand Stage 2'!WA20</f>
        <v>0</v>
      </c>
      <c r="WB21">
        <f>'Demand Stage 2'!WB20</f>
        <v>0</v>
      </c>
      <c r="WC21">
        <f>'Demand Stage 2'!WC20</f>
        <v>0</v>
      </c>
      <c r="WD21">
        <f>'Demand Stage 2'!WD20</f>
        <v>0</v>
      </c>
      <c r="WE21">
        <f>'Demand Stage 2'!WE20</f>
        <v>0</v>
      </c>
      <c r="WF21">
        <f>'Demand Stage 2'!WF20</f>
        <v>0</v>
      </c>
      <c r="WG21">
        <f>'Demand Stage 2'!WG20</f>
        <v>0</v>
      </c>
      <c r="WH21">
        <f>'Demand Stage 2'!WH20</f>
        <v>0</v>
      </c>
      <c r="WI21">
        <f>'Demand Stage 2'!WI20</f>
        <v>0</v>
      </c>
      <c r="WJ21">
        <f>'Demand Stage 2'!WJ20</f>
        <v>0</v>
      </c>
      <c r="WK21">
        <f>'Demand Stage 2'!WK20</f>
        <v>0</v>
      </c>
      <c r="WL21">
        <f>'Demand Stage 2'!WL20</f>
        <v>0</v>
      </c>
      <c r="WM21">
        <f>'Demand Stage 2'!WM20</f>
        <v>0</v>
      </c>
      <c r="WN21">
        <f>'Demand Stage 2'!WN20</f>
        <v>0</v>
      </c>
      <c r="WO21">
        <f>'Demand Stage 2'!WO20</f>
        <v>0</v>
      </c>
      <c r="WP21">
        <f>'Demand Stage 2'!WP20</f>
        <v>0</v>
      </c>
      <c r="WQ21">
        <f>'Demand Stage 2'!WQ20</f>
        <v>0</v>
      </c>
      <c r="WR21">
        <f>'Demand Stage 2'!WR20</f>
        <v>0</v>
      </c>
      <c r="WS21">
        <f>'Demand Stage 2'!WS20</f>
        <v>0</v>
      </c>
      <c r="WT21">
        <f>'Demand Stage 2'!WT20</f>
        <v>0</v>
      </c>
      <c r="WU21">
        <f>'Demand Stage 2'!WU20</f>
        <v>0</v>
      </c>
      <c r="WV21">
        <f>'Demand Stage 2'!WV20</f>
        <v>0</v>
      </c>
      <c r="WW21">
        <f>'Demand Stage 2'!WW20</f>
        <v>0</v>
      </c>
      <c r="WX21">
        <f>'Demand Stage 2'!WX20</f>
        <v>0</v>
      </c>
      <c r="WY21">
        <f>'Demand Stage 2'!WY20</f>
        <v>0</v>
      </c>
      <c r="WZ21">
        <f>'Demand Stage 2'!WZ20</f>
        <v>0</v>
      </c>
      <c r="XA21">
        <f>'Demand Stage 2'!XA20</f>
        <v>0</v>
      </c>
      <c r="XB21">
        <f>'Demand Stage 2'!XB20</f>
        <v>0</v>
      </c>
      <c r="XC21">
        <f>'Demand Stage 2'!XC20</f>
        <v>0</v>
      </c>
      <c r="XD21">
        <f>'Demand Stage 2'!XD20</f>
        <v>0</v>
      </c>
      <c r="XE21">
        <f>'Demand Stage 2'!XE20</f>
        <v>0</v>
      </c>
      <c r="XF21">
        <f>'Demand Stage 2'!XF20</f>
        <v>0</v>
      </c>
      <c r="XG21">
        <f>'Demand Stage 2'!XG20</f>
        <v>0</v>
      </c>
      <c r="XH21">
        <f>'Demand Stage 2'!XH20</f>
        <v>0</v>
      </c>
      <c r="XI21">
        <f>'Demand Stage 2'!XI20</f>
        <v>0</v>
      </c>
      <c r="XJ21">
        <f>'Demand Stage 2'!XJ20</f>
        <v>0</v>
      </c>
      <c r="XK21">
        <f>'Demand Stage 2'!XK20</f>
        <v>0</v>
      </c>
      <c r="XL21">
        <f>'Demand Stage 2'!XL20</f>
        <v>0</v>
      </c>
      <c r="XM21">
        <f>'Demand Stage 2'!XM20</f>
        <v>0</v>
      </c>
      <c r="XN21">
        <f>'Demand Stage 2'!XN20</f>
        <v>0</v>
      </c>
      <c r="XO21">
        <f>'Demand Stage 2'!XO20</f>
        <v>0</v>
      </c>
      <c r="XP21">
        <f>'Demand Stage 2'!XP20</f>
        <v>0</v>
      </c>
      <c r="XQ21">
        <f>'Demand Stage 2'!XQ20</f>
        <v>0</v>
      </c>
      <c r="XR21">
        <f>'Demand Stage 2'!XR20</f>
        <v>0</v>
      </c>
      <c r="XS21">
        <f>'Demand Stage 2'!XS20</f>
        <v>0</v>
      </c>
      <c r="XT21">
        <f>'Demand Stage 2'!XT20</f>
        <v>0</v>
      </c>
      <c r="XU21">
        <f>'Demand Stage 2'!XU20</f>
        <v>0</v>
      </c>
      <c r="XV21">
        <f>'Demand Stage 2'!XV20</f>
        <v>0</v>
      </c>
      <c r="XW21">
        <f>'Demand Stage 2'!XW20</f>
        <v>0</v>
      </c>
      <c r="XX21">
        <f>'Demand Stage 2'!XX20</f>
        <v>0</v>
      </c>
      <c r="XY21">
        <f>'Demand Stage 2'!XY20</f>
        <v>0</v>
      </c>
      <c r="XZ21">
        <f>'Demand Stage 2'!XZ20</f>
        <v>0</v>
      </c>
      <c r="YA21">
        <f>'Demand Stage 2'!YA20</f>
        <v>0</v>
      </c>
      <c r="YB21">
        <f>'Demand Stage 2'!YB20</f>
        <v>0</v>
      </c>
      <c r="YC21">
        <f>'Demand Stage 2'!YC20</f>
        <v>0</v>
      </c>
      <c r="YD21">
        <f>'Demand Stage 2'!YD20</f>
        <v>0</v>
      </c>
      <c r="YE21">
        <f>'Demand Stage 2'!YE20</f>
        <v>0</v>
      </c>
      <c r="YF21">
        <f>'Demand Stage 2'!YF20</f>
        <v>0</v>
      </c>
      <c r="YG21">
        <f>'Demand Stage 2'!YG20</f>
        <v>0</v>
      </c>
      <c r="YH21">
        <f>'Demand Stage 2'!YH20</f>
        <v>0</v>
      </c>
      <c r="YI21">
        <f>'Demand Stage 2'!YI20</f>
        <v>0</v>
      </c>
      <c r="YJ21">
        <f>'Demand Stage 2'!YJ20</f>
        <v>0</v>
      </c>
      <c r="YK21">
        <f>'Demand Stage 2'!YK20</f>
        <v>0</v>
      </c>
      <c r="YL21">
        <f>'Demand Stage 2'!YL20</f>
        <v>0</v>
      </c>
      <c r="YM21">
        <f>'Demand Stage 2'!YM20</f>
        <v>0</v>
      </c>
      <c r="YN21">
        <f>'Demand Stage 2'!YN20</f>
        <v>0</v>
      </c>
      <c r="YO21">
        <f>'Demand Stage 2'!YO20</f>
        <v>0</v>
      </c>
      <c r="YP21">
        <f>'Demand Stage 2'!YP20</f>
        <v>0</v>
      </c>
      <c r="YQ21">
        <f>'Demand Stage 2'!YQ20</f>
        <v>0</v>
      </c>
      <c r="YR21">
        <f>'Demand Stage 2'!YR20</f>
        <v>0</v>
      </c>
      <c r="YS21">
        <f>'Demand Stage 2'!YS20</f>
        <v>0</v>
      </c>
      <c r="YT21">
        <f>'Demand Stage 2'!YT20</f>
        <v>0</v>
      </c>
      <c r="YU21">
        <f>'Demand Stage 2'!YU20</f>
        <v>0</v>
      </c>
      <c r="YV21">
        <f>'Demand Stage 2'!YV20</f>
        <v>0</v>
      </c>
      <c r="YW21">
        <f>'Demand Stage 2'!YW20</f>
        <v>0</v>
      </c>
      <c r="YX21">
        <f>'Demand Stage 2'!YX20</f>
        <v>0</v>
      </c>
      <c r="YY21">
        <f>'Demand Stage 2'!YY20</f>
        <v>0</v>
      </c>
      <c r="YZ21">
        <f>'Demand Stage 2'!YZ20</f>
        <v>0</v>
      </c>
      <c r="ZA21">
        <f>'Demand Stage 2'!ZA20</f>
        <v>0</v>
      </c>
      <c r="ZB21">
        <f>'Demand Stage 2'!ZB20</f>
        <v>0</v>
      </c>
      <c r="ZC21">
        <f>'Demand Stage 2'!ZC20</f>
        <v>0</v>
      </c>
      <c r="ZD21">
        <f>'Demand Stage 2'!ZD20</f>
        <v>0</v>
      </c>
      <c r="ZE21">
        <f>'Demand Stage 2'!ZE20</f>
        <v>0</v>
      </c>
      <c r="ZF21">
        <f>'Demand Stage 2'!ZF20</f>
        <v>0</v>
      </c>
      <c r="ZG21">
        <f>'Demand Stage 2'!ZG20</f>
        <v>0</v>
      </c>
      <c r="ZH21">
        <f>'Demand Stage 2'!ZH20</f>
        <v>0</v>
      </c>
      <c r="ZI21">
        <f>'Demand Stage 2'!ZI20</f>
        <v>0</v>
      </c>
      <c r="ZJ21">
        <f>'Demand Stage 2'!ZJ20</f>
        <v>0</v>
      </c>
      <c r="ZK21">
        <f>'Demand Stage 2'!ZK20</f>
        <v>0</v>
      </c>
      <c r="ZL21">
        <f>'Demand Stage 2'!ZL20</f>
        <v>0</v>
      </c>
      <c r="ZM21">
        <f>'Demand Stage 2'!ZM20</f>
        <v>0</v>
      </c>
      <c r="ZN21">
        <f>'Demand Stage 2'!ZN20</f>
        <v>0</v>
      </c>
      <c r="ZO21">
        <f>'Demand Stage 2'!ZO20</f>
        <v>0</v>
      </c>
      <c r="ZP21">
        <f>'Demand Stage 2'!ZP20</f>
        <v>0</v>
      </c>
      <c r="ZQ21">
        <f>'Demand Stage 2'!ZQ20</f>
        <v>0</v>
      </c>
      <c r="ZR21">
        <f>'Demand Stage 2'!ZR20</f>
        <v>0</v>
      </c>
      <c r="ZS21">
        <f>'Demand Stage 2'!ZS20</f>
        <v>0</v>
      </c>
      <c r="ZT21">
        <f>'Demand Stage 2'!ZT20</f>
        <v>0</v>
      </c>
      <c r="ZU21">
        <f>'Demand Stage 2'!ZU20</f>
        <v>0</v>
      </c>
      <c r="ZV21">
        <f>'Demand Stage 2'!ZV20</f>
        <v>0</v>
      </c>
      <c r="ZW21">
        <f>'Demand Stage 2'!ZW20</f>
        <v>0</v>
      </c>
      <c r="ZX21">
        <f>'Demand Stage 2'!ZX20</f>
        <v>0</v>
      </c>
      <c r="ZY21">
        <f>'Demand Stage 2'!ZY20</f>
        <v>0</v>
      </c>
      <c r="ZZ21">
        <f>'Demand Stage 2'!ZZ20</f>
        <v>0</v>
      </c>
      <c r="AAA21">
        <f>'Demand Stage 2'!AAA20</f>
        <v>0</v>
      </c>
      <c r="AAB21">
        <f>'Demand Stage 2'!AAB20</f>
        <v>0</v>
      </c>
      <c r="AAC21">
        <f>'Demand Stage 2'!AAC20</f>
        <v>0</v>
      </c>
      <c r="AAD21">
        <f t="shared" si="33"/>
        <v>0</v>
      </c>
      <c r="AAE21">
        <f t="shared" si="66"/>
        <v>0</v>
      </c>
      <c r="AAF21">
        <f t="shared" si="67"/>
        <v>0</v>
      </c>
      <c r="AAG21">
        <f t="shared" si="68"/>
        <v>0</v>
      </c>
      <c r="AAH21">
        <f t="shared" si="69"/>
        <v>0</v>
      </c>
      <c r="AAI21">
        <f t="shared" si="70"/>
        <v>0</v>
      </c>
      <c r="AAJ21">
        <f t="shared" si="71"/>
        <v>0</v>
      </c>
      <c r="AAK21">
        <f t="shared" si="72"/>
        <v>0</v>
      </c>
      <c r="AAL21">
        <f t="shared" si="73"/>
        <v>0</v>
      </c>
      <c r="AAM21">
        <f t="shared" si="74"/>
        <v>0</v>
      </c>
      <c r="AAN21">
        <f t="shared" si="75"/>
        <v>0</v>
      </c>
      <c r="AAO21">
        <f t="shared" si="76"/>
        <v>0</v>
      </c>
      <c r="AAP21">
        <f t="shared" si="77"/>
        <v>0</v>
      </c>
      <c r="AAQ21">
        <f t="shared" si="78"/>
        <v>0</v>
      </c>
      <c r="AAR21">
        <f t="shared" si="79"/>
        <v>0</v>
      </c>
      <c r="AAS21">
        <f t="shared" si="80"/>
        <v>0</v>
      </c>
      <c r="AAT21">
        <f t="shared" si="81"/>
        <v>0</v>
      </c>
      <c r="AAU21">
        <f t="shared" si="82"/>
        <v>0</v>
      </c>
      <c r="AAV21">
        <f t="shared" si="83"/>
        <v>0</v>
      </c>
      <c r="AAW21">
        <f t="shared" si="84"/>
        <v>0</v>
      </c>
      <c r="AAX21">
        <f t="shared" si="85"/>
        <v>0</v>
      </c>
      <c r="AAY21">
        <f t="shared" si="86"/>
        <v>0</v>
      </c>
      <c r="AAZ21">
        <f t="shared" si="87"/>
        <v>0</v>
      </c>
      <c r="ABA21">
        <f t="shared" si="88"/>
        <v>0</v>
      </c>
      <c r="ABB21">
        <f t="shared" si="89"/>
        <v>0</v>
      </c>
      <c r="ABC21">
        <f t="shared" si="90"/>
        <v>0</v>
      </c>
      <c r="ABD21">
        <f t="shared" si="91"/>
        <v>0</v>
      </c>
      <c r="ABE21">
        <f t="shared" si="92"/>
        <v>0</v>
      </c>
      <c r="ABF21">
        <f t="shared" si="93"/>
        <v>0</v>
      </c>
      <c r="ABG21">
        <f t="shared" si="94"/>
        <v>0</v>
      </c>
      <c r="ABH21">
        <f t="shared" si="95"/>
        <v>0</v>
      </c>
      <c r="ABI21">
        <f t="shared" si="96"/>
        <v>0</v>
      </c>
      <c r="ABJ21">
        <f t="shared" si="97"/>
        <v>0</v>
      </c>
      <c r="ABK21">
        <f t="shared" si="98"/>
        <v>0</v>
      </c>
      <c r="ABL21">
        <f t="shared" si="99"/>
        <v>0</v>
      </c>
      <c r="ABM21">
        <f t="shared" si="100"/>
        <v>0</v>
      </c>
      <c r="ABN21">
        <f t="shared" si="101"/>
        <v>0</v>
      </c>
      <c r="ABO21">
        <f t="shared" si="102"/>
        <v>0</v>
      </c>
      <c r="ABP21">
        <f t="shared" si="103"/>
        <v>0</v>
      </c>
      <c r="ABQ21">
        <f t="shared" si="104"/>
        <v>0</v>
      </c>
      <c r="ABR21">
        <f t="shared" si="105"/>
        <v>0</v>
      </c>
      <c r="ABS21">
        <f t="shared" si="106"/>
        <v>0</v>
      </c>
      <c r="ABT21">
        <f t="shared" si="107"/>
        <v>0</v>
      </c>
      <c r="ABU21">
        <f t="shared" si="108"/>
        <v>0</v>
      </c>
      <c r="ABV21">
        <f t="shared" si="109"/>
        <v>0</v>
      </c>
      <c r="ABW21">
        <f t="shared" si="110"/>
        <v>0</v>
      </c>
      <c r="ABX21">
        <f t="shared" si="111"/>
        <v>0</v>
      </c>
      <c r="ABY21">
        <f t="shared" si="112"/>
        <v>0</v>
      </c>
      <c r="ABZ21">
        <f t="shared" si="113"/>
        <v>0</v>
      </c>
      <c r="ACA21">
        <f t="shared" si="114"/>
        <v>0</v>
      </c>
      <c r="ACB21">
        <f t="shared" si="115"/>
        <v>0</v>
      </c>
      <c r="ACC21">
        <f t="shared" si="116"/>
        <v>0</v>
      </c>
      <c r="ACD21">
        <f t="shared" si="117"/>
        <v>0</v>
      </c>
      <c r="ACE21">
        <f t="shared" si="118"/>
        <v>0</v>
      </c>
      <c r="ACF21">
        <f t="shared" si="119"/>
        <v>0</v>
      </c>
      <c r="ACG21">
        <f t="shared" si="120"/>
        <v>0</v>
      </c>
      <c r="ACH21">
        <f t="shared" si="121"/>
        <v>0</v>
      </c>
      <c r="ACI21">
        <f t="shared" si="122"/>
        <v>0</v>
      </c>
      <c r="ACJ21">
        <f t="shared" si="123"/>
        <v>0</v>
      </c>
      <c r="ACK21">
        <f t="shared" si="124"/>
        <v>0</v>
      </c>
      <c r="ACL21">
        <f t="shared" si="125"/>
        <v>0</v>
      </c>
      <c r="ACM21">
        <f t="shared" si="126"/>
        <v>0</v>
      </c>
      <c r="ACN21">
        <f t="shared" si="127"/>
        <v>0</v>
      </c>
      <c r="ACO21">
        <f t="shared" si="128"/>
        <v>0</v>
      </c>
      <c r="ACP21">
        <f t="shared" si="34"/>
        <v>0</v>
      </c>
      <c r="ACQ21">
        <f t="shared" si="129"/>
        <v>0</v>
      </c>
      <c r="ACR21">
        <f t="shared" si="130"/>
        <v>0</v>
      </c>
      <c r="ACS21">
        <f t="shared" si="131"/>
        <v>0</v>
      </c>
      <c r="ACT21">
        <f t="shared" si="132"/>
        <v>0</v>
      </c>
      <c r="ACU21">
        <f t="shared" si="133"/>
        <v>0</v>
      </c>
      <c r="ACV21">
        <f t="shared" si="134"/>
        <v>0</v>
      </c>
      <c r="ACW21">
        <f t="shared" si="135"/>
        <v>0</v>
      </c>
      <c r="ACX21">
        <f t="shared" si="136"/>
        <v>0</v>
      </c>
      <c r="ACY21">
        <f t="shared" si="137"/>
        <v>0</v>
      </c>
      <c r="ACZ21">
        <f t="shared" si="138"/>
        <v>0</v>
      </c>
      <c r="ADA21">
        <f t="shared" si="139"/>
        <v>0</v>
      </c>
      <c r="ADB21">
        <f t="shared" si="140"/>
        <v>0</v>
      </c>
      <c r="ADC21">
        <f t="shared" si="141"/>
        <v>0</v>
      </c>
      <c r="ADD21">
        <f t="shared" si="142"/>
        <v>0</v>
      </c>
      <c r="ADE21">
        <f t="shared" si="143"/>
        <v>0</v>
      </c>
      <c r="ADF21">
        <f t="shared" si="144"/>
        <v>0</v>
      </c>
      <c r="ADG21">
        <f t="shared" si="145"/>
        <v>0</v>
      </c>
      <c r="ADH21">
        <f t="shared" si="146"/>
        <v>0</v>
      </c>
      <c r="ADI21">
        <f t="shared" si="147"/>
        <v>0</v>
      </c>
      <c r="ADJ21">
        <f t="shared" si="148"/>
        <v>0</v>
      </c>
      <c r="ADK21">
        <f t="shared" si="149"/>
        <v>0</v>
      </c>
      <c r="ADL21">
        <f t="shared" si="150"/>
        <v>0</v>
      </c>
      <c r="ADM21">
        <f t="shared" si="151"/>
        <v>0</v>
      </c>
      <c r="ADN21">
        <f t="shared" si="152"/>
        <v>0</v>
      </c>
      <c r="ADO21">
        <f t="shared" si="153"/>
        <v>0</v>
      </c>
      <c r="ADP21">
        <f t="shared" si="154"/>
        <v>0</v>
      </c>
      <c r="ADQ21">
        <f t="shared" si="155"/>
        <v>0</v>
      </c>
      <c r="ADR21">
        <f t="shared" si="156"/>
        <v>0</v>
      </c>
      <c r="ADS21">
        <f t="shared" si="157"/>
        <v>0</v>
      </c>
      <c r="ADT21">
        <f t="shared" si="158"/>
        <v>0</v>
      </c>
      <c r="ADU21">
        <f t="shared" si="159"/>
        <v>0</v>
      </c>
      <c r="ADV21">
        <f t="shared" si="160"/>
        <v>0</v>
      </c>
      <c r="ADW21">
        <f t="shared" si="161"/>
        <v>0</v>
      </c>
      <c r="ADX21">
        <f t="shared" si="162"/>
        <v>0</v>
      </c>
      <c r="ADY21">
        <f t="shared" si="163"/>
        <v>0</v>
      </c>
      <c r="ADZ21">
        <f t="shared" si="164"/>
        <v>0</v>
      </c>
      <c r="AEA21">
        <f t="shared" si="165"/>
        <v>0</v>
      </c>
      <c r="AEB21">
        <f t="shared" si="166"/>
        <v>0</v>
      </c>
      <c r="AEC21">
        <f t="shared" si="167"/>
        <v>0</v>
      </c>
      <c r="AED21">
        <f t="shared" si="168"/>
        <v>0</v>
      </c>
      <c r="AEE21">
        <f t="shared" si="169"/>
        <v>0</v>
      </c>
      <c r="AEF21">
        <f t="shared" si="170"/>
        <v>0</v>
      </c>
      <c r="AEG21">
        <f t="shared" si="171"/>
        <v>0</v>
      </c>
      <c r="AEH21">
        <f t="shared" si="172"/>
        <v>0</v>
      </c>
      <c r="AEI21">
        <f t="shared" si="173"/>
        <v>0</v>
      </c>
      <c r="AEJ21">
        <f t="shared" si="174"/>
        <v>0</v>
      </c>
      <c r="AEK21">
        <f t="shared" si="175"/>
        <v>0</v>
      </c>
      <c r="AEL21">
        <f t="shared" si="176"/>
        <v>0</v>
      </c>
      <c r="AEM21">
        <f t="shared" si="177"/>
        <v>0</v>
      </c>
      <c r="AEN21">
        <f t="shared" si="178"/>
        <v>0</v>
      </c>
      <c r="AEO21">
        <f t="shared" si="179"/>
        <v>0</v>
      </c>
      <c r="AEP21">
        <f t="shared" si="180"/>
        <v>0</v>
      </c>
      <c r="AEQ21">
        <f t="shared" si="181"/>
        <v>0</v>
      </c>
      <c r="AER21">
        <f t="shared" si="182"/>
        <v>0</v>
      </c>
      <c r="AES21">
        <f t="shared" si="183"/>
        <v>0</v>
      </c>
      <c r="AET21">
        <f t="shared" si="184"/>
        <v>0</v>
      </c>
      <c r="AEU21">
        <f t="shared" si="185"/>
        <v>0</v>
      </c>
      <c r="AEV21">
        <f t="shared" si="186"/>
        <v>0</v>
      </c>
      <c r="AEW21">
        <f t="shared" si="187"/>
        <v>0</v>
      </c>
      <c r="AEX21">
        <f t="shared" si="188"/>
        <v>0</v>
      </c>
      <c r="AEY21">
        <f t="shared" si="189"/>
        <v>0</v>
      </c>
      <c r="AEZ21">
        <f t="shared" si="190"/>
        <v>0</v>
      </c>
      <c r="AFA21">
        <f t="shared" si="191"/>
        <v>0</v>
      </c>
      <c r="AFB21">
        <f t="shared" si="35"/>
        <v>0</v>
      </c>
      <c r="AFC21">
        <f t="shared" si="192"/>
        <v>0</v>
      </c>
      <c r="AFD21">
        <f t="shared" si="193"/>
        <v>0</v>
      </c>
      <c r="AFE21">
        <f t="shared" si="194"/>
        <v>0</v>
      </c>
      <c r="AFF21">
        <f t="shared" si="195"/>
        <v>0</v>
      </c>
      <c r="AFG21">
        <f t="shared" si="196"/>
        <v>0</v>
      </c>
      <c r="AFH21">
        <f t="shared" si="197"/>
        <v>0</v>
      </c>
      <c r="AFI21">
        <f t="shared" si="198"/>
        <v>0</v>
      </c>
      <c r="AFJ21">
        <f t="shared" si="199"/>
        <v>0</v>
      </c>
      <c r="AFK21">
        <f t="shared" si="200"/>
        <v>0</v>
      </c>
      <c r="AFL21">
        <f t="shared" si="201"/>
        <v>0</v>
      </c>
      <c r="AFM21">
        <f t="shared" si="202"/>
        <v>0</v>
      </c>
      <c r="AFN21">
        <f t="shared" si="203"/>
        <v>0</v>
      </c>
      <c r="AFO21">
        <f t="shared" si="204"/>
        <v>0</v>
      </c>
      <c r="AFP21">
        <f t="shared" si="205"/>
        <v>0</v>
      </c>
      <c r="AFQ21">
        <f t="shared" si="206"/>
        <v>0</v>
      </c>
      <c r="AFR21">
        <f t="shared" si="207"/>
        <v>0</v>
      </c>
      <c r="AFS21">
        <f t="shared" si="208"/>
        <v>0</v>
      </c>
      <c r="AFT21">
        <f t="shared" si="209"/>
        <v>0</v>
      </c>
      <c r="AFU21">
        <f t="shared" si="210"/>
        <v>0</v>
      </c>
      <c r="AFV21">
        <f t="shared" si="211"/>
        <v>0</v>
      </c>
      <c r="AFW21">
        <f t="shared" si="212"/>
        <v>0</v>
      </c>
      <c r="AFX21">
        <f t="shared" si="213"/>
        <v>0</v>
      </c>
      <c r="AFY21">
        <f t="shared" si="214"/>
        <v>0</v>
      </c>
      <c r="AFZ21">
        <f t="shared" si="215"/>
        <v>0</v>
      </c>
      <c r="AGA21">
        <f t="shared" si="216"/>
        <v>0</v>
      </c>
      <c r="AGB21">
        <f t="shared" si="217"/>
        <v>0</v>
      </c>
      <c r="AGC21">
        <f t="shared" si="218"/>
        <v>0</v>
      </c>
      <c r="AGD21">
        <f t="shared" si="219"/>
        <v>0</v>
      </c>
      <c r="AGE21">
        <f t="shared" si="220"/>
        <v>0</v>
      </c>
      <c r="AGF21">
        <f t="shared" si="221"/>
        <v>0</v>
      </c>
      <c r="AGG21">
        <f t="shared" si="222"/>
        <v>0</v>
      </c>
      <c r="AGH21">
        <f t="shared" si="223"/>
        <v>0</v>
      </c>
      <c r="AGI21">
        <f t="shared" si="224"/>
        <v>0</v>
      </c>
      <c r="AGJ21">
        <f t="shared" si="225"/>
        <v>0</v>
      </c>
      <c r="AGK21">
        <f t="shared" si="226"/>
        <v>0</v>
      </c>
      <c r="AGL21">
        <f t="shared" si="227"/>
        <v>0</v>
      </c>
      <c r="AGM21">
        <f t="shared" si="228"/>
        <v>0</v>
      </c>
      <c r="AGN21">
        <f t="shared" si="229"/>
        <v>0</v>
      </c>
      <c r="AGO21">
        <f t="shared" si="230"/>
        <v>0</v>
      </c>
      <c r="AGP21">
        <f t="shared" si="231"/>
        <v>0</v>
      </c>
      <c r="AGQ21">
        <f t="shared" si="232"/>
        <v>0</v>
      </c>
      <c r="AGR21">
        <f t="shared" si="233"/>
        <v>0</v>
      </c>
      <c r="AGS21">
        <f t="shared" si="234"/>
        <v>0</v>
      </c>
      <c r="AGT21">
        <f t="shared" si="235"/>
        <v>0</v>
      </c>
      <c r="AGU21">
        <f t="shared" si="236"/>
        <v>0</v>
      </c>
      <c r="AGV21">
        <f t="shared" si="237"/>
        <v>0</v>
      </c>
      <c r="AGW21">
        <f t="shared" si="238"/>
        <v>0</v>
      </c>
      <c r="AGX21">
        <f t="shared" si="239"/>
        <v>0</v>
      </c>
      <c r="AGY21">
        <f t="shared" si="240"/>
        <v>0</v>
      </c>
      <c r="AGZ21">
        <f t="shared" si="241"/>
        <v>0</v>
      </c>
      <c r="AHA21">
        <f t="shared" si="242"/>
        <v>0</v>
      </c>
      <c r="AHB21">
        <f t="shared" si="243"/>
        <v>0</v>
      </c>
      <c r="AHC21">
        <f t="shared" si="244"/>
        <v>0</v>
      </c>
      <c r="AHD21">
        <f t="shared" si="245"/>
        <v>0</v>
      </c>
      <c r="AHE21">
        <f t="shared" si="246"/>
        <v>0</v>
      </c>
      <c r="AHF21">
        <f t="shared" si="247"/>
        <v>0</v>
      </c>
      <c r="AHG21">
        <f t="shared" si="248"/>
        <v>0</v>
      </c>
      <c r="AHH21">
        <f t="shared" si="249"/>
        <v>0</v>
      </c>
      <c r="AHI21">
        <f t="shared" si="250"/>
        <v>0</v>
      </c>
      <c r="AHJ21">
        <f t="shared" si="251"/>
        <v>0</v>
      </c>
      <c r="AHK21">
        <f t="shared" si="252"/>
        <v>0</v>
      </c>
      <c r="AHL21">
        <f t="shared" si="253"/>
        <v>0</v>
      </c>
      <c r="AHM21">
        <f t="shared" si="254"/>
        <v>0</v>
      </c>
      <c r="AHN21">
        <f t="shared" si="36"/>
        <v>0</v>
      </c>
      <c r="AHO21">
        <f t="shared" si="255"/>
        <v>0</v>
      </c>
      <c r="AHP21">
        <f t="shared" si="256"/>
        <v>0</v>
      </c>
      <c r="AHQ21">
        <f t="shared" si="257"/>
        <v>0</v>
      </c>
      <c r="AHR21">
        <f t="shared" si="258"/>
        <v>0</v>
      </c>
      <c r="AHS21">
        <f t="shared" si="259"/>
        <v>0</v>
      </c>
      <c r="AHT21">
        <f t="shared" si="260"/>
        <v>0</v>
      </c>
      <c r="AHU21">
        <f t="shared" si="261"/>
        <v>0</v>
      </c>
      <c r="AHV21">
        <f t="shared" si="262"/>
        <v>0</v>
      </c>
      <c r="AHW21">
        <f t="shared" si="263"/>
        <v>0</v>
      </c>
      <c r="AHX21">
        <f t="shared" si="264"/>
        <v>0</v>
      </c>
      <c r="AHY21">
        <f t="shared" si="265"/>
        <v>0</v>
      </c>
      <c r="AHZ21">
        <f t="shared" si="266"/>
        <v>0</v>
      </c>
      <c r="AIA21">
        <f t="shared" si="267"/>
        <v>0</v>
      </c>
      <c r="AIB21">
        <f t="shared" si="268"/>
        <v>0</v>
      </c>
      <c r="AIC21">
        <f t="shared" si="269"/>
        <v>0</v>
      </c>
      <c r="AID21">
        <f t="shared" si="270"/>
        <v>0</v>
      </c>
      <c r="AIE21">
        <f t="shared" si="271"/>
        <v>0</v>
      </c>
      <c r="AIF21">
        <f t="shared" si="272"/>
        <v>0</v>
      </c>
      <c r="AIG21">
        <f t="shared" si="273"/>
        <v>0</v>
      </c>
      <c r="AIH21">
        <f t="shared" si="274"/>
        <v>0</v>
      </c>
      <c r="AII21">
        <f t="shared" si="275"/>
        <v>0</v>
      </c>
      <c r="AIJ21">
        <f t="shared" si="276"/>
        <v>0</v>
      </c>
      <c r="AIK21">
        <f t="shared" si="277"/>
        <v>0</v>
      </c>
      <c r="AIL21">
        <f t="shared" si="278"/>
        <v>0</v>
      </c>
      <c r="AIM21">
        <f t="shared" si="279"/>
        <v>0</v>
      </c>
      <c r="AIN21">
        <f t="shared" si="280"/>
        <v>0</v>
      </c>
      <c r="AIO21">
        <f t="shared" si="281"/>
        <v>0</v>
      </c>
      <c r="AIP21">
        <f t="shared" si="282"/>
        <v>0</v>
      </c>
      <c r="AIQ21">
        <f t="shared" si="283"/>
        <v>0</v>
      </c>
      <c r="AIR21">
        <f t="shared" si="284"/>
        <v>0</v>
      </c>
      <c r="AIS21">
        <f t="shared" si="285"/>
        <v>0</v>
      </c>
      <c r="AIT21">
        <f t="shared" si="286"/>
        <v>0</v>
      </c>
      <c r="AIU21">
        <f t="shared" si="287"/>
        <v>0</v>
      </c>
      <c r="AIV21">
        <f t="shared" si="288"/>
        <v>0</v>
      </c>
      <c r="AIW21">
        <f t="shared" si="289"/>
        <v>0</v>
      </c>
      <c r="AIX21">
        <f t="shared" si="290"/>
        <v>0</v>
      </c>
      <c r="AIY21">
        <f t="shared" si="291"/>
        <v>0</v>
      </c>
      <c r="AIZ21">
        <f t="shared" si="292"/>
        <v>0</v>
      </c>
      <c r="AJA21">
        <f t="shared" si="293"/>
        <v>0</v>
      </c>
      <c r="AJB21">
        <f t="shared" si="294"/>
        <v>0</v>
      </c>
      <c r="AJC21">
        <f t="shared" si="295"/>
        <v>0</v>
      </c>
      <c r="AJD21">
        <f t="shared" si="296"/>
        <v>0</v>
      </c>
      <c r="AJE21">
        <f t="shared" si="297"/>
        <v>0</v>
      </c>
      <c r="AJF21">
        <f t="shared" si="298"/>
        <v>0</v>
      </c>
      <c r="AJG21">
        <f t="shared" si="299"/>
        <v>0</v>
      </c>
      <c r="AJH21">
        <f t="shared" si="300"/>
        <v>0</v>
      </c>
      <c r="AJI21">
        <f t="shared" si="301"/>
        <v>0</v>
      </c>
      <c r="AJJ21">
        <f t="shared" si="302"/>
        <v>0</v>
      </c>
      <c r="AJK21">
        <f t="shared" si="303"/>
        <v>0</v>
      </c>
      <c r="AJL21">
        <f t="shared" si="304"/>
        <v>0</v>
      </c>
      <c r="AJM21">
        <f t="shared" si="305"/>
        <v>0</v>
      </c>
      <c r="AJN21">
        <f t="shared" si="306"/>
        <v>0</v>
      </c>
      <c r="AJO21">
        <f t="shared" si="307"/>
        <v>0</v>
      </c>
      <c r="AJP21">
        <f t="shared" si="308"/>
        <v>0</v>
      </c>
      <c r="AJQ21">
        <f t="shared" si="309"/>
        <v>0</v>
      </c>
      <c r="AJR21">
        <f t="shared" si="310"/>
        <v>0</v>
      </c>
      <c r="AJS21">
        <f t="shared" si="311"/>
        <v>0</v>
      </c>
      <c r="AJT21">
        <f t="shared" si="312"/>
        <v>0</v>
      </c>
      <c r="AJU21">
        <f t="shared" si="313"/>
        <v>0</v>
      </c>
      <c r="AJV21">
        <f t="shared" si="314"/>
        <v>0</v>
      </c>
      <c r="AJW21">
        <f t="shared" si="315"/>
        <v>0</v>
      </c>
      <c r="AJX21">
        <f t="shared" si="316"/>
        <v>0</v>
      </c>
      <c r="AJY21">
        <f t="shared" si="317"/>
        <v>0</v>
      </c>
      <c r="AJZ21">
        <f t="shared" si="37"/>
        <v>0</v>
      </c>
      <c r="AKA21">
        <f t="shared" si="318"/>
        <v>0</v>
      </c>
      <c r="AKB21">
        <f t="shared" si="319"/>
        <v>0</v>
      </c>
      <c r="AKC21">
        <f t="shared" si="320"/>
        <v>0</v>
      </c>
      <c r="AKD21">
        <f t="shared" si="321"/>
        <v>0</v>
      </c>
      <c r="AKE21">
        <f t="shared" si="322"/>
        <v>0</v>
      </c>
      <c r="AKF21">
        <f t="shared" si="323"/>
        <v>0</v>
      </c>
      <c r="AKG21">
        <f t="shared" si="324"/>
        <v>0</v>
      </c>
      <c r="AKH21">
        <f t="shared" si="325"/>
        <v>0</v>
      </c>
      <c r="AKI21">
        <f t="shared" si="326"/>
        <v>0</v>
      </c>
      <c r="AKJ21">
        <f t="shared" si="327"/>
        <v>0</v>
      </c>
      <c r="AKK21">
        <f t="shared" si="328"/>
        <v>0</v>
      </c>
      <c r="AKL21">
        <f t="shared" si="329"/>
        <v>0</v>
      </c>
      <c r="AKM21">
        <f t="shared" si="330"/>
        <v>0</v>
      </c>
      <c r="AKN21">
        <f t="shared" si="331"/>
        <v>0</v>
      </c>
      <c r="AKO21">
        <f t="shared" si="332"/>
        <v>0</v>
      </c>
      <c r="AKP21">
        <f t="shared" si="333"/>
        <v>0</v>
      </c>
      <c r="AKQ21">
        <f t="shared" si="334"/>
        <v>0</v>
      </c>
      <c r="AKR21">
        <f t="shared" si="335"/>
        <v>0</v>
      </c>
      <c r="AKS21">
        <f t="shared" si="336"/>
        <v>0</v>
      </c>
      <c r="AKT21">
        <f t="shared" si="337"/>
        <v>0</v>
      </c>
      <c r="AKU21">
        <f t="shared" si="338"/>
        <v>0</v>
      </c>
      <c r="AKV21">
        <f t="shared" si="339"/>
        <v>0</v>
      </c>
      <c r="AKW21">
        <f t="shared" si="340"/>
        <v>0</v>
      </c>
      <c r="AKX21">
        <f t="shared" si="341"/>
        <v>0</v>
      </c>
      <c r="AKY21">
        <f t="shared" si="342"/>
        <v>0</v>
      </c>
      <c r="AKZ21">
        <f t="shared" si="343"/>
        <v>0</v>
      </c>
      <c r="ALA21">
        <f t="shared" si="344"/>
        <v>0</v>
      </c>
      <c r="ALB21">
        <f t="shared" si="345"/>
        <v>0</v>
      </c>
      <c r="ALC21">
        <f t="shared" si="346"/>
        <v>0</v>
      </c>
      <c r="ALD21">
        <f t="shared" si="347"/>
        <v>0</v>
      </c>
      <c r="ALE21">
        <f t="shared" si="348"/>
        <v>0</v>
      </c>
      <c r="ALF21">
        <f t="shared" si="349"/>
        <v>0</v>
      </c>
      <c r="ALG21">
        <f t="shared" si="350"/>
        <v>0</v>
      </c>
      <c r="ALH21">
        <f t="shared" si="351"/>
        <v>0</v>
      </c>
      <c r="ALI21">
        <f t="shared" si="352"/>
        <v>0</v>
      </c>
      <c r="ALJ21">
        <f t="shared" si="353"/>
        <v>0</v>
      </c>
      <c r="ALK21">
        <f t="shared" si="354"/>
        <v>0</v>
      </c>
      <c r="ALL21">
        <f t="shared" si="355"/>
        <v>0</v>
      </c>
      <c r="ALM21">
        <f t="shared" si="356"/>
        <v>0</v>
      </c>
      <c r="ALN21">
        <f t="shared" si="357"/>
        <v>0</v>
      </c>
      <c r="ALO21">
        <f t="shared" si="358"/>
        <v>0</v>
      </c>
      <c r="ALP21">
        <f t="shared" si="359"/>
        <v>0</v>
      </c>
      <c r="ALQ21">
        <f t="shared" si="360"/>
        <v>0</v>
      </c>
      <c r="ALR21">
        <f t="shared" si="361"/>
        <v>0</v>
      </c>
      <c r="ALS21">
        <f t="shared" si="362"/>
        <v>0</v>
      </c>
      <c r="ALT21">
        <f t="shared" si="363"/>
        <v>0</v>
      </c>
      <c r="ALU21">
        <f t="shared" si="364"/>
        <v>0</v>
      </c>
      <c r="ALV21">
        <f t="shared" si="365"/>
        <v>0</v>
      </c>
      <c r="ALW21">
        <f t="shared" si="366"/>
        <v>0</v>
      </c>
      <c r="ALX21">
        <f t="shared" si="367"/>
        <v>0</v>
      </c>
      <c r="ALY21">
        <f t="shared" si="368"/>
        <v>0</v>
      </c>
      <c r="ALZ21">
        <f t="shared" si="369"/>
        <v>0</v>
      </c>
      <c r="AMA21">
        <f t="shared" si="370"/>
        <v>0</v>
      </c>
      <c r="AMB21">
        <f t="shared" si="371"/>
        <v>0</v>
      </c>
      <c r="AMC21">
        <f t="shared" si="372"/>
        <v>0</v>
      </c>
      <c r="AMD21">
        <f t="shared" si="373"/>
        <v>0</v>
      </c>
      <c r="AME21">
        <f t="shared" si="374"/>
        <v>0</v>
      </c>
      <c r="AMF21">
        <f t="shared" si="375"/>
        <v>0</v>
      </c>
      <c r="AMG21">
        <f t="shared" si="376"/>
        <v>0</v>
      </c>
      <c r="AMH21">
        <f t="shared" si="377"/>
        <v>0</v>
      </c>
      <c r="AMI21">
        <f t="shared" si="378"/>
        <v>0</v>
      </c>
      <c r="AMJ21">
        <f t="shared" si="379"/>
        <v>0</v>
      </c>
      <c r="AMK21">
        <f t="shared" si="380"/>
        <v>0</v>
      </c>
      <c r="AML21">
        <f t="shared" si="38"/>
        <v>0</v>
      </c>
      <c r="AMM21">
        <f t="shared" si="381"/>
        <v>0</v>
      </c>
      <c r="AMN21">
        <f t="shared" si="382"/>
        <v>0</v>
      </c>
      <c r="AMO21">
        <f t="shared" si="383"/>
        <v>0</v>
      </c>
      <c r="AMP21">
        <f t="shared" si="384"/>
        <v>0</v>
      </c>
      <c r="AMQ21">
        <f t="shared" si="385"/>
        <v>0</v>
      </c>
      <c r="AMR21">
        <f t="shared" si="386"/>
        <v>0</v>
      </c>
      <c r="AMS21">
        <f t="shared" si="387"/>
        <v>0</v>
      </c>
      <c r="AMT21">
        <f t="shared" si="388"/>
        <v>0</v>
      </c>
      <c r="AMU21">
        <f t="shared" si="389"/>
        <v>0</v>
      </c>
      <c r="AMV21">
        <f t="shared" si="390"/>
        <v>0</v>
      </c>
      <c r="AMW21">
        <f t="shared" si="391"/>
        <v>0</v>
      </c>
      <c r="AMX21">
        <f t="shared" si="392"/>
        <v>0</v>
      </c>
      <c r="AMY21">
        <f t="shared" si="393"/>
        <v>0</v>
      </c>
      <c r="AMZ21">
        <f t="shared" si="394"/>
        <v>0</v>
      </c>
      <c r="ANA21">
        <f t="shared" si="395"/>
        <v>0</v>
      </c>
      <c r="ANB21">
        <f t="shared" si="396"/>
        <v>0</v>
      </c>
      <c r="ANC21">
        <f t="shared" si="397"/>
        <v>0</v>
      </c>
      <c r="AND21">
        <f t="shared" si="398"/>
        <v>0</v>
      </c>
      <c r="ANE21">
        <f t="shared" si="399"/>
        <v>0</v>
      </c>
      <c r="ANF21">
        <f t="shared" si="400"/>
        <v>0</v>
      </c>
      <c r="ANG21">
        <f t="shared" si="401"/>
        <v>0</v>
      </c>
      <c r="ANH21">
        <f t="shared" si="402"/>
        <v>0</v>
      </c>
      <c r="ANI21">
        <f t="shared" si="403"/>
        <v>0</v>
      </c>
      <c r="ANJ21">
        <f t="shared" si="404"/>
        <v>0</v>
      </c>
      <c r="ANK21">
        <f t="shared" si="405"/>
        <v>0</v>
      </c>
      <c r="ANL21">
        <f t="shared" si="406"/>
        <v>0</v>
      </c>
      <c r="ANM21">
        <f t="shared" si="407"/>
        <v>0</v>
      </c>
      <c r="ANN21">
        <f t="shared" si="408"/>
        <v>0</v>
      </c>
      <c r="ANO21">
        <f t="shared" si="409"/>
        <v>0</v>
      </c>
      <c r="ANP21">
        <f t="shared" si="410"/>
        <v>0</v>
      </c>
      <c r="ANQ21">
        <f t="shared" si="411"/>
        <v>0</v>
      </c>
      <c r="ANR21">
        <f t="shared" si="412"/>
        <v>0</v>
      </c>
      <c r="ANS21">
        <f t="shared" si="413"/>
        <v>0</v>
      </c>
      <c r="ANT21">
        <f t="shared" si="414"/>
        <v>0</v>
      </c>
      <c r="ANU21">
        <f t="shared" si="415"/>
        <v>0</v>
      </c>
      <c r="ANV21">
        <f t="shared" si="416"/>
        <v>0</v>
      </c>
      <c r="ANW21">
        <f t="shared" si="417"/>
        <v>0</v>
      </c>
      <c r="ANX21">
        <f t="shared" si="418"/>
        <v>0</v>
      </c>
      <c r="ANY21">
        <f t="shared" si="419"/>
        <v>0</v>
      </c>
      <c r="ANZ21">
        <f t="shared" si="420"/>
        <v>0</v>
      </c>
      <c r="AOA21">
        <f t="shared" si="421"/>
        <v>0</v>
      </c>
      <c r="AOB21">
        <f t="shared" si="422"/>
        <v>0</v>
      </c>
      <c r="AOC21">
        <f t="shared" si="423"/>
        <v>0</v>
      </c>
      <c r="AOD21">
        <f t="shared" si="424"/>
        <v>0</v>
      </c>
      <c r="AOE21">
        <f t="shared" si="425"/>
        <v>0</v>
      </c>
      <c r="AOF21">
        <f t="shared" si="426"/>
        <v>0</v>
      </c>
      <c r="AOG21">
        <f t="shared" si="427"/>
        <v>0</v>
      </c>
      <c r="AOH21">
        <f t="shared" si="428"/>
        <v>0</v>
      </c>
      <c r="AOI21">
        <f t="shared" si="429"/>
        <v>0</v>
      </c>
      <c r="AOJ21">
        <f t="shared" si="430"/>
        <v>0</v>
      </c>
      <c r="AOK21">
        <f t="shared" si="431"/>
        <v>0</v>
      </c>
      <c r="AOL21">
        <f t="shared" si="432"/>
        <v>0</v>
      </c>
      <c r="AOM21">
        <f t="shared" si="433"/>
        <v>0</v>
      </c>
      <c r="AON21">
        <f t="shared" si="434"/>
        <v>0</v>
      </c>
      <c r="AOO21">
        <f t="shared" si="435"/>
        <v>0</v>
      </c>
      <c r="AOP21">
        <f t="shared" si="436"/>
        <v>0</v>
      </c>
      <c r="AOQ21">
        <f t="shared" si="437"/>
        <v>0</v>
      </c>
      <c r="AOR21">
        <f t="shared" si="438"/>
        <v>0</v>
      </c>
      <c r="AOS21">
        <f t="shared" si="439"/>
        <v>0</v>
      </c>
      <c r="AOT21">
        <f t="shared" si="440"/>
        <v>0</v>
      </c>
      <c r="AOU21">
        <f t="shared" si="441"/>
        <v>0</v>
      </c>
      <c r="AOV21">
        <f t="shared" si="442"/>
        <v>0</v>
      </c>
      <c r="AOW21">
        <f t="shared" si="443"/>
        <v>0</v>
      </c>
      <c r="AOX21">
        <f t="shared" si="39"/>
        <v>0</v>
      </c>
      <c r="AOY21">
        <f t="shared" si="444"/>
        <v>0</v>
      </c>
      <c r="AOZ21">
        <f t="shared" si="445"/>
        <v>0</v>
      </c>
      <c r="APA21">
        <f t="shared" si="446"/>
        <v>0</v>
      </c>
      <c r="APB21">
        <f t="shared" si="447"/>
        <v>0</v>
      </c>
      <c r="APC21">
        <f t="shared" si="448"/>
        <v>0</v>
      </c>
      <c r="APD21">
        <f t="shared" si="449"/>
        <v>0</v>
      </c>
      <c r="APE21">
        <f t="shared" si="450"/>
        <v>0</v>
      </c>
      <c r="APF21">
        <f t="shared" si="451"/>
        <v>0</v>
      </c>
      <c r="APG21">
        <f t="shared" si="452"/>
        <v>0</v>
      </c>
      <c r="APH21">
        <f t="shared" si="453"/>
        <v>0</v>
      </c>
      <c r="API21">
        <f t="shared" si="454"/>
        <v>0</v>
      </c>
      <c r="APJ21">
        <f t="shared" si="455"/>
        <v>0</v>
      </c>
      <c r="APK21">
        <f t="shared" si="456"/>
        <v>0</v>
      </c>
      <c r="APL21">
        <f t="shared" si="457"/>
        <v>0</v>
      </c>
      <c r="APM21">
        <f t="shared" si="458"/>
        <v>0</v>
      </c>
      <c r="APN21">
        <f t="shared" si="459"/>
        <v>0</v>
      </c>
      <c r="APO21">
        <f t="shared" si="460"/>
        <v>0</v>
      </c>
      <c r="APP21">
        <f t="shared" si="461"/>
        <v>0</v>
      </c>
      <c r="APQ21">
        <f t="shared" si="462"/>
        <v>0</v>
      </c>
      <c r="APR21">
        <f t="shared" si="463"/>
        <v>0</v>
      </c>
      <c r="APS21">
        <f t="shared" si="464"/>
        <v>0</v>
      </c>
      <c r="APT21">
        <f t="shared" si="465"/>
        <v>0</v>
      </c>
      <c r="APU21">
        <f t="shared" si="466"/>
        <v>0</v>
      </c>
      <c r="APV21">
        <f t="shared" si="467"/>
        <v>0</v>
      </c>
      <c r="APW21">
        <f t="shared" si="468"/>
        <v>0</v>
      </c>
      <c r="APX21">
        <f t="shared" si="469"/>
        <v>0</v>
      </c>
      <c r="APY21">
        <f t="shared" si="470"/>
        <v>0</v>
      </c>
      <c r="APZ21">
        <f t="shared" si="471"/>
        <v>0</v>
      </c>
      <c r="AQA21">
        <f t="shared" si="472"/>
        <v>0</v>
      </c>
      <c r="AQB21">
        <f t="shared" si="473"/>
        <v>0</v>
      </c>
      <c r="AQC21">
        <f t="shared" si="474"/>
        <v>0</v>
      </c>
      <c r="AQD21">
        <f t="shared" si="475"/>
        <v>0</v>
      </c>
      <c r="AQE21">
        <f t="shared" si="476"/>
        <v>0</v>
      </c>
      <c r="AQF21">
        <f t="shared" si="477"/>
        <v>0</v>
      </c>
      <c r="AQG21">
        <f t="shared" si="478"/>
        <v>0</v>
      </c>
      <c r="AQH21">
        <f t="shared" si="479"/>
        <v>0</v>
      </c>
      <c r="AQI21">
        <f t="shared" si="480"/>
        <v>0</v>
      </c>
      <c r="AQJ21">
        <f t="shared" si="481"/>
        <v>0</v>
      </c>
      <c r="AQK21">
        <f t="shared" si="482"/>
        <v>0</v>
      </c>
      <c r="AQL21">
        <f t="shared" si="483"/>
        <v>0</v>
      </c>
      <c r="AQM21">
        <f t="shared" si="484"/>
        <v>0</v>
      </c>
      <c r="AQN21">
        <f t="shared" si="485"/>
        <v>0</v>
      </c>
      <c r="AQO21">
        <f t="shared" si="486"/>
        <v>0</v>
      </c>
      <c r="AQP21">
        <f t="shared" si="487"/>
        <v>0</v>
      </c>
      <c r="AQQ21">
        <f t="shared" si="488"/>
        <v>0</v>
      </c>
      <c r="AQR21">
        <f t="shared" si="489"/>
        <v>0</v>
      </c>
      <c r="AQS21">
        <f t="shared" si="490"/>
        <v>0</v>
      </c>
      <c r="AQT21">
        <f t="shared" si="491"/>
        <v>0</v>
      </c>
      <c r="AQU21">
        <f t="shared" si="492"/>
        <v>0</v>
      </c>
      <c r="AQV21">
        <f t="shared" si="493"/>
        <v>0</v>
      </c>
      <c r="AQW21">
        <f t="shared" si="494"/>
        <v>0</v>
      </c>
      <c r="AQX21">
        <f t="shared" si="495"/>
        <v>0</v>
      </c>
      <c r="AQY21">
        <f t="shared" si="496"/>
        <v>0</v>
      </c>
      <c r="AQZ21">
        <f t="shared" si="497"/>
        <v>0</v>
      </c>
      <c r="ARA21">
        <f t="shared" si="498"/>
        <v>0</v>
      </c>
      <c r="ARB21">
        <f t="shared" si="499"/>
        <v>0</v>
      </c>
      <c r="ARC21">
        <f t="shared" si="500"/>
        <v>0</v>
      </c>
      <c r="ARD21">
        <f t="shared" si="501"/>
        <v>0</v>
      </c>
      <c r="ARE21">
        <f t="shared" si="502"/>
        <v>0</v>
      </c>
      <c r="ARF21">
        <f t="shared" si="503"/>
        <v>0</v>
      </c>
      <c r="ARG21">
        <f t="shared" si="504"/>
        <v>0</v>
      </c>
      <c r="ARH21">
        <f t="shared" si="505"/>
        <v>0</v>
      </c>
      <c r="ARI21">
        <f t="shared" si="506"/>
        <v>0</v>
      </c>
      <c r="ARJ21">
        <f t="shared" si="40"/>
        <v>0</v>
      </c>
      <c r="ARK21">
        <f t="shared" si="507"/>
        <v>0</v>
      </c>
      <c r="ARL21">
        <f t="shared" si="508"/>
        <v>0</v>
      </c>
      <c r="ARM21">
        <f t="shared" si="509"/>
        <v>0</v>
      </c>
      <c r="ARN21">
        <f t="shared" si="510"/>
        <v>0</v>
      </c>
      <c r="ARO21">
        <f t="shared" si="511"/>
        <v>0</v>
      </c>
      <c r="ARP21">
        <f t="shared" si="512"/>
        <v>0</v>
      </c>
      <c r="ARQ21">
        <f t="shared" si="513"/>
        <v>0</v>
      </c>
      <c r="ARR21">
        <f t="shared" si="514"/>
        <v>0</v>
      </c>
      <c r="ARS21">
        <f t="shared" si="515"/>
        <v>0</v>
      </c>
      <c r="ART21">
        <f t="shared" si="516"/>
        <v>0</v>
      </c>
      <c r="ARU21">
        <f t="shared" si="517"/>
        <v>0</v>
      </c>
      <c r="ARV21">
        <f t="shared" si="518"/>
        <v>0</v>
      </c>
      <c r="ARW21">
        <f t="shared" si="519"/>
        <v>0</v>
      </c>
      <c r="ARX21">
        <f t="shared" si="520"/>
        <v>0</v>
      </c>
      <c r="ARY21">
        <f t="shared" si="521"/>
        <v>0</v>
      </c>
      <c r="ARZ21">
        <f t="shared" si="522"/>
        <v>0</v>
      </c>
      <c r="ASA21">
        <f t="shared" si="523"/>
        <v>0</v>
      </c>
      <c r="ASB21">
        <f t="shared" si="524"/>
        <v>0</v>
      </c>
      <c r="ASC21">
        <f t="shared" si="525"/>
        <v>0</v>
      </c>
      <c r="ASD21">
        <f t="shared" si="526"/>
        <v>0</v>
      </c>
      <c r="ASE21">
        <f t="shared" si="527"/>
        <v>0</v>
      </c>
      <c r="ASF21">
        <f t="shared" si="528"/>
        <v>0</v>
      </c>
      <c r="ASG21">
        <f t="shared" si="529"/>
        <v>0</v>
      </c>
      <c r="ASH21">
        <f t="shared" si="530"/>
        <v>0</v>
      </c>
      <c r="ASI21">
        <f t="shared" si="531"/>
        <v>0</v>
      </c>
      <c r="ASJ21">
        <f t="shared" si="532"/>
        <v>0</v>
      </c>
      <c r="ASK21">
        <f t="shared" si="533"/>
        <v>0</v>
      </c>
      <c r="ASL21">
        <f t="shared" si="534"/>
        <v>0</v>
      </c>
      <c r="ASM21">
        <f t="shared" si="535"/>
        <v>0</v>
      </c>
      <c r="ASN21">
        <f t="shared" si="536"/>
        <v>0</v>
      </c>
      <c r="ASO21">
        <f t="shared" si="537"/>
        <v>0</v>
      </c>
      <c r="ASP21">
        <f t="shared" si="538"/>
        <v>0</v>
      </c>
      <c r="ASQ21">
        <f t="shared" si="539"/>
        <v>0</v>
      </c>
      <c r="ASR21">
        <f t="shared" si="540"/>
        <v>0</v>
      </c>
      <c r="ASS21">
        <f t="shared" si="541"/>
        <v>0</v>
      </c>
      <c r="AST21">
        <f t="shared" si="542"/>
        <v>0</v>
      </c>
      <c r="ASU21">
        <f t="shared" si="543"/>
        <v>0</v>
      </c>
      <c r="ASV21">
        <f t="shared" si="544"/>
        <v>0</v>
      </c>
      <c r="ASW21">
        <f t="shared" si="545"/>
        <v>0</v>
      </c>
      <c r="ASX21">
        <f t="shared" si="546"/>
        <v>0</v>
      </c>
      <c r="ASY21">
        <f t="shared" si="547"/>
        <v>0</v>
      </c>
      <c r="ASZ21">
        <f t="shared" si="548"/>
        <v>0</v>
      </c>
      <c r="ATA21">
        <f t="shared" si="549"/>
        <v>0</v>
      </c>
      <c r="ATB21">
        <f t="shared" si="550"/>
        <v>0</v>
      </c>
      <c r="ATC21">
        <f t="shared" si="551"/>
        <v>0</v>
      </c>
      <c r="ATD21">
        <f t="shared" si="552"/>
        <v>0</v>
      </c>
      <c r="ATE21">
        <f t="shared" si="553"/>
        <v>0</v>
      </c>
      <c r="ATF21">
        <f t="shared" si="554"/>
        <v>0</v>
      </c>
      <c r="ATG21">
        <f t="shared" si="555"/>
        <v>0</v>
      </c>
      <c r="ATH21">
        <f t="shared" si="556"/>
        <v>0</v>
      </c>
      <c r="ATI21">
        <f t="shared" si="557"/>
        <v>0</v>
      </c>
      <c r="ATJ21">
        <f t="shared" si="558"/>
        <v>0</v>
      </c>
      <c r="ATK21">
        <f t="shared" si="559"/>
        <v>0</v>
      </c>
      <c r="ATL21">
        <f t="shared" si="560"/>
        <v>0</v>
      </c>
      <c r="ATM21">
        <f t="shared" si="561"/>
        <v>0</v>
      </c>
      <c r="ATN21">
        <f t="shared" si="562"/>
        <v>0</v>
      </c>
      <c r="ATO21">
        <f t="shared" si="563"/>
        <v>0</v>
      </c>
      <c r="ATP21">
        <f t="shared" si="564"/>
        <v>0</v>
      </c>
      <c r="ATQ21">
        <f t="shared" si="565"/>
        <v>0</v>
      </c>
      <c r="ATR21">
        <f t="shared" si="566"/>
        <v>0</v>
      </c>
      <c r="ATS21">
        <f t="shared" si="567"/>
        <v>0</v>
      </c>
      <c r="ATT21">
        <f t="shared" si="568"/>
        <v>0</v>
      </c>
      <c r="ATU21">
        <f t="shared" si="569"/>
        <v>0</v>
      </c>
      <c r="ATV21">
        <f t="shared" si="41"/>
        <v>0</v>
      </c>
      <c r="ATW21">
        <f t="shared" si="570"/>
        <v>0</v>
      </c>
      <c r="ATX21">
        <f t="shared" si="571"/>
        <v>0</v>
      </c>
      <c r="ATY21">
        <f t="shared" si="572"/>
        <v>0</v>
      </c>
      <c r="ATZ21">
        <f t="shared" si="573"/>
        <v>0</v>
      </c>
      <c r="AUA21">
        <f t="shared" si="574"/>
        <v>0</v>
      </c>
      <c r="AUB21">
        <f t="shared" si="575"/>
        <v>0</v>
      </c>
      <c r="AUC21">
        <f t="shared" si="576"/>
        <v>0</v>
      </c>
      <c r="AUD21">
        <f t="shared" si="577"/>
        <v>0</v>
      </c>
      <c r="AUE21">
        <f t="shared" si="578"/>
        <v>0</v>
      </c>
      <c r="AUF21">
        <f t="shared" si="579"/>
        <v>0</v>
      </c>
      <c r="AUG21">
        <f t="shared" si="580"/>
        <v>0</v>
      </c>
      <c r="AUH21">
        <f t="shared" si="581"/>
        <v>0</v>
      </c>
      <c r="AUI21">
        <f t="shared" si="582"/>
        <v>0</v>
      </c>
      <c r="AUJ21">
        <f t="shared" si="583"/>
        <v>0</v>
      </c>
      <c r="AUK21">
        <f t="shared" si="584"/>
        <v>0</v>
      </c>
      <c r="AUL21">
        <f t="shared" si="585"/>
        <v>0</v>
      </c>
      <c r="AUM21">
        <f t="shared" si="586"/>
        <v>0</v>
      </c>
      <c r="AUN21">
        <f t="shared" si="587"/>
        <v>0</v>
      </c>
      <c r="AUO21">
        <f t="shared" si="588"/>
        <v>0</v>
      </c>
      <c r="AUP21">
        <f t="shared" si="589"/>
        <v>0</v>
      </c>
      <c r="AUQ21">
        <f t="shared" si="590"/>
        <v>0</v>
      </c>
      <c r="AUR21">
        <f t="shared" si="591"/>
        <v>0</v>
      </c>
      <c r="AUS21">
        <f t="shared" si="592"/>
        <v>0</v>
      </c>
      <c r="AUT21">
        <f t="shared" si="593"/>
        <v>0</v>
      </c>
      <c r="AUU21">
        <f t="shared" si="594"/>
        <v>0</v>
      </c>
      <c r="AUV21">
        <f t="shared" si="595"/>
        <v>0</v>
      </c>
      <c r="AUW21">
        <f t="shared" si="596"/>
        <v>0</v>
      </c>
      <c r="AUX21">
        <f t="shared" si="597"/>
        <v>0</v>
      </c>
      <c r="AUY21">
        <f t="shared" si="598"/>
        <v>0</v>
      </c>
      <c r="AUZ21">
        <f t="shared" si="599"/>
        <v>0</v>
      </c>
      <c r="AVA21">
        <f t="shared" si="600"/>
        <v>0</v>
      </c>
      <c r="AVB21">
        <f t="shared" si="601"/>
        <v>0</v>
      </c>
      <c r="AVC21">
        <f t="shared" si="602"/>
        <v>0</v>
      </c>
      <c r="AVD21">
        <f t="shared" si="603"/>
        <v>0</v>
      </c>
      <c r="AVE21">
        <f t="shared" si="604"/>
        <v>0</v>
      </c>
      <c r="AVF21">
        <f t="shared" si="605"/>
        <v>0</v>
      </c>
      <c r="AVG21">
        <f t="shared" si="606"/>
        <v>0</v>
      </c>
      <c r="AVH21">
        <f t="shared" si="607"/>
        <v>0</v>
      </c>
      <c r="AVI21">
        <f t="shared" si="608"/>
        <v>0</v>
      </c>
      <c r="AVJ21">
        <f t="shared" si="609"/>
        <v>0</v>
      </c>
      <c r="AVK21">
        <f t="shared" si="610"/>
        <v>0</v>
      </c>
      <c r="AVL21">
        <f t="shared" si="611"/>
        <v>0</v>
      </c>
      <c r="AVM21">
        <f t="shared" si="612"/>
        <v>0</v>
      </c>
      <c r="AVN21">
        <f t="shared" si="613"/>
        <v>0</v>
      </c>
      <c r="AVO21">
        <f t="shared" si="614"/>
        <v>0</v>
      </c>
      <c r="AVP21">
        <f t="shared" si="615"/>
        <v>0</v>
      </c>
      <c r="AVQ21">
        <f t="shared" si="616"/>
        <v>0</v>
      </c>
      <c r="AVR21">
        <f t="shared" si="617"/>
        <v>0</v>
      </c>
      <c r="AVS21">
        <f t="shared" si="618"/>
        <v>0</v>
      </c>
      <c r="AVT21">
        <f t="shared" si="619"/>
        <v>0</v>
      </c>
      <c r="AVU21">
        <f t="shared" si="620"/>
        <v>0</v>
      </c>
      <c r="AVV21">
        <f t="shared" si="621"/>
        <v>0</v>
      </c>
      <c r="AVW21">
        <f t="shared" si="622"/>
        <v>0</v>
      </c>
      <c r="AVX21">
        <f t="shared" si="623"/>
        <v>0</v>
      </c>
      <c r="AVY21">
        <f t="shared" si="624"/>
        <v>0</v>
      </c>
      <c r="AVZ21">
        <f t="shared" si="625"/>
        <v>0</v>
      </c>
      <c r="AWA21">
        <f t="shared" si="626"/>
        <v>0</v>
      </c>
      <c r="AWB21">
        <f t="shared" si="627"/>
        <v>0</v>
      </c>
      <c r="AWC21">
        <f t="shared" si="628"/>
        <v>0</v>
      </c>
      <c r="AWD21">
        <f t="shared" si="629"/>
        <v>0</v>
      </c>
      <c r="AWE21">
        <f t="shared" si="630"/>
        <v>0</v>
      </c>
      <c r="AWF21">
        <f t="shared" si="631"/>
        <v>0</v>
      </c>
      <c r="AWG21">
        <f t="shared" si="632"/>
        <v>0</v>
      </c>
      <c r="AWH21">
        <f t="shared" si="42"/>
        <v>0</v>
      </c>
      <c r="AWI21">
        <f t="shared" si="633"/>
        <v>0</v>
      </c>
      <c r="AWJ21">
        <f t="shared" si="634"/>
        <v>0</v>
      </c>
      <c r="AWK21">
        <f t="shared" si="635"/>
        <v>0</v>
      </c>
      <c r="AWL21">
        <f t="shared" si="636"/>
        <v>0</v>
      </c>
      <c r="AWM21">
        <f t="shared" si="637"/>
        <v>0</v>
      </c>
      <c r="AWN21">
        <f t="shared" si="638"/>
        <v>0</v>
      </c>
      <c r="AWO21">
        <f t="shared" si="639"/>
        <v>0</v>
      </c>
      <c r="AWP21">
        <f t="shared" si="640"/>
        <v>0</v>
      </c>
      <c r="AWQ21">
        <f t="shared" si="641"/>
        <v>0</v>
      </c>
      <c r="AWR21">
        <f t="shared" si="642"/>
        <v>0</v>
      </c>
      <c r="AWS21">
        <f t="shared" si="643"/>
        <v>0</v>
      </c>
      <c r="AWT21">
        <f t="shared" si="644"/>
        <v>0</v>
      </c>
      <c r="AWU21">
        <f t="shared" si="645"/>
        <v>0</v>
      </c>
      <c r="AWV21">
        <f t="shared" si="646"/>
        <v>0</v>
      </c>
      <c r="AWW21">
        <f t="shared" si="647"/>
        <v>0</v>
      </c>
      <c r="AWX21">
        <f t="shared" si="648"/>
        <v>0</v>
      </c>
      <c r="AWY21">
        <f t="shared" si="649"/>
        <v>0</v>
      </c>
      <c r="AWZ21">
        <f t="shared" si="650"/>
        <v>0</v>
      </c>
      <c r="AXA21">
        <f t="shared" si="651"/>
        <v>0</v>
      </c>
      <c r="AXB21">
        <f t="shared" si="652"/>
        <v>0</v>
      </c>
      <c r="AXC21">
        <f t="shared" si="653"/>
        <v>0</v>
      </c>
      <c r="AXD21">
        <f t="shared" si="654"/>
        <v>0</v>
      </c>
      <c r="AXE21">
        <f t="shared" si="655"/>
        <v>0</v>
      </c>
      <c r="AXF21">
        <f t="shared" si="656"/>
        <v>0</v>
      </c>
      <c r="AXG21">
        <f t="shared" si="657"/>
        <v>0</v>
      </c>
      <c r="AXH21">
        <f t="shared" si="658"/>
        <v>0</v>
      </c>
      <c r="AXI21">
        <f t="shared" si="659"/>
        <v>0</v>
      </c>
      <c r="AXJ21">
        <f t="shared" si="660"/>
        <v>0</v>
      </c>
      <c r="AXK21">
        <f t="shared" si="661"/>
        <v>0</v>
      </c>
      <c r="AXL21">
        <f t="shared" si="662"/>
        <v>0</v>
      </c>
      <c r="AXM21">
        <f t="shared" si="663"/>
        <v>0</v>
      </c>
      <c r="AXN21">
        <f t="shared" si="664"/>
        <v>0</v>
      </c>
      <c r="AXO21">
        <f t="shared" si="665"/>
        <v>0</v>
      </c>
      <c r="AXP21">
        <f t="shared" si="666"/>
        <v>0</v>
      </c>
      <c r="AXQ21">
        <f t="shared" si="667"/>
        <v>0</v>
      </c>
      <c r="AXR21">
        <f t="shared" si="668"/>
        <v>0</v>
      </c>
      <c r="AXS21">
        <f t="shared" si="669"/>
        <v>0</v>
      </c>
      <c r="AXT21">
        <f t="shared" si="670"/>
        <v>0</v>
      </c>
      <c r="AXU21">
        <f t="shared" si="671"/>
        <v>0</v>
      </c>
      <c r="AXV21">
        <f t="shared" si="672"/>
        <v>0</v>
      </c>
      <c r="AXW21">
        <f t="shared" si="673"/>
        <v>0</v>
      </c>
      <c r="AXX21">
        <f t="shared" si="674"/>
        <v>0</v>
      </c>
      <c r="AXY21">
        <f t="shared" si="675"/>
        <v>0</v>
      </c>
      <c r="AXZ21">
        <f t="shared" si="676"/>
        <v>0</v>
      </c>
      <c r="AYA21">
        <f t="shared" si="677"/>
        <v>0</v>
      </c>
      <c r="AYB21">
        <f t="shared" si="678"/>
        <v>0</v>
      </c>
      <c r="AYC21">
        <f t="shared" si="679"/>
        <v>0</v>
      </c>
      <c r="AYD21">
        <f t="shared" si="680"/>
        <v>0</v>
      </c>
      <c r="AYE21">
        <f t="shared" si="681"/>
        <v>0</v>
      </c>
      <c r="AYF21">
        <f t="shared" si="682"/>
        <v>0</v>
      </c>
      <c r="AYG21">
        <f t="shared" si="683"/>
        <v>0</v>
      </c>
      <c r="AYH21">
        <f t="shared" si="684"/>
        <v>0</v>
      </c>
      <c r="AYI21">
        <f t="shared" si="685"/>
        <v>0</v>
      </c>
      <c r="AYJ21">
        <f t="shared" si="686"/>
        <v>0</v>
      </c>
      <c r="AYK21">
        <f t="shared" si="687"/>
        <v>0</v>
      </c>
      <c r="AYL21">
        <f t="shared" si="688"/>
        <v>0</v>
      </c>
      <c r="AYM21">
        <f t="shared" si="689"/>
        <v>0</v>
      </c>
      <c r="AYN21">
        <f t="shared" si="690"/>
        <v>0</v>
      </c>
      <c r="AYO21">
        <f t="shared" si="691"/>
        <v>0</v>
      </c>
      <c r="AYP21">
        <f t="shared" si="692"/>
        <v>0</v>
      </c>
      <c r="AYQ21">
        <f t="shared" si="693"/>
        <v>0</v>
      </c>
      <c r="AYR21">
        <f t="shared" si="694"/>
        <v>0</v>
      </c>
      <c r="AYS21">
        <f t="shared" si="695"/>
        <v>0</v>
      </c>
      <c r="AYT21">
        <f t="shared" si="43"/>
        <v>0</v>
      </c>
      <c r="AYU21">
        <f t="shared" si="696"/>
        <v>0</v>
      </c>
      <c r="AYV21">
        <f t="shared" si="697"/>
        <v>0</v>
      </c>
      <c r="AYW21">
        <f t="shared" si="698"/>
        <v>0</v>
      </c>
      <c r="AYX21">
        <f t="shared" si="699"/>
        <v>0</v>
      </c>
      <c r="AYY21">
        <f t="shared" si="700"/>
        <v>0</v>
      </c>
      <c r="AYZ21">
        <f t="shared" si="701"/>
        <v>0</v>
      </c>
      <c r="AZA21">
        <f t="shared" si="702"/>
        <v>0</v>
      </c>
      <c r="AZB21">
        <f t="shared" si="703"/>
        <v>0</v>
      </c>
      <c r="AZC21">
        <f t="shared" si="704"/>
        <v>0</v>
      </c>
      <c r="AZD21">
        <f t="shared" si="705"/>
        <v>0</v>
      </c>
      <c r="AZE21">
        <f t="shared" si="706"/>
        <v>0</v>
      </c>
      <c r="AZF21">
        <f t="shared" si="707"/>
        <v>0</v>
      </c>
      <c r="AZG21">
        <f t="shared" si="708"/>
        <v>0</v>
      </c>
      <c r="AZH21">
        <f t="shared" si="709"/>
        <v>0</v>
      </c>
      <c r="AZI21">
        <f t="shared" si="710"/>
        <v>0</v>
      </c>
      <c r="AZJ21">
        <f t="shared" si="711"/>
        <v>0</v>
      </c>
      <c r="AZK21">
        <f t="shared" si="712"/>
        <v>0</v>
      </c>
      <c r="AZL21">
        <f t="shared" si="713"/>
        <v>0</v>
      </c>
      <c r="AZM21">
        <f t="shared" si="714"/>
        <v>0</v>
      </c>
      <c r="AZN21">
        <f t="shared" si="715"/>
        <v>0</v>
      </c>
      <c r="AZO21">
        <f t="shared" si="716"/>
        <v>0</v>
      </c>
      <c r="AZP21">
        <f t="shared" si="717"/>
        <v>0</v>
      </c>
      <c r="AZQ21">
        <f t="shared" si="718"/>
        <v>0</v>
      </c>
      <c r="AZR21">
        <f t="shared" si="719"/>
        <v>0</v>
      </c>
      <c r="AZS21">
        <f t="shared" si="720"/>
        <v>0</v>
      </c>
      <c r="AZT21">
        <f t="shared" si="721"/>
        <v>0</v>
      </c>
      <c r="AZU21">
        <f t="shared" si="722"/>
        <v>0</v>
      </c>
      <c r="AZV21">
        <f t="shared" si="723"/>
        <v>0</v>
      </c>
      <c r="AZW21">
        <f t="shared" si="724"/>
        <v>0</v>
      </c>
      <c r="AZX21">
        <f t="shared" si="725"/>
        <v>0</v>
      </c>
      <c r="AZY21">
        <f t="shared" si="726"/>
        <v>0</v>
      </c>
      <c r="AZZ21">
        <f t="shared" si="727"/>
        <v>0</v>
      </c>
      <c r="BAA21">
        <f t="shared" si="728"/>
        <v>0</v>
      </c>
      <c r="BAB21">
        <f t="shared" si="729"/>
        <v>0</v>
      </c>
      <c r="BAC21">
        <f t="shared" si="730"/>
        <v>0</v>
      </c>
      <c r="BAD21">
        <f t="shared" si="731"/>
        <v>0</v>
      </c>
      <c r="BAE21">
        <f t="shared" si="732"/>
        <v>0</v>
      </c>
      <c r="BAF21">
        <f t="shared" si="733"/>
        <v>0</v>
      </c>
      <c r="BAG21">
        <f t="shared" si="734"/>
        <v>0</v>
      </c>
      <c r="BAH21">
        <f t="shared" si="735"/>
        <v>0</v>
      </c>
      <c r="BAI21">
        <f t="shared" si="736"/>
        <v>0</v>
      </c>
      <c r="BAJ21">
        <f t="shared" si="737"/>
        <v>0</v>
      </c>
      <c r="BAK21">
        <f t="shared" si="738"/>
        <v>0</v>
      </c>
      <c r="BAL21">
        <f t="shared" si="739"/>
        <v>0</v>
      </c>
      <c r="BAM21">
        <f t="shared" si="740"/>
        <v>0</v>
      </c>
      <c r="BAN21">
        <f t="shared" si="741"/>
        <v>0</v>
      </c>
      <c r="BAO21">
        <f t="shared" si="742"/>
        <v>0</v>
      </c>
      <c r="BAP21">
        <f t="shared" si="743"/>
        <v>0</v>
      </c>
      <c r="BAQ21">
        <f t="shared" si="744"/>
        <v>0</v>
      </c>
      <c r="BAR21">
        <f t="shared" si="745"/>
        <v>0</v>
      </c>
      <c r="BAS21">
        <f t="shared" si="746"/>
        <v>0</v>
      </c>
      <c r="BAT21">
        <f t="shared" si="747"/>
        <v>0</v>
      </c>
      <c r="BAU21">
        <f t="shared" si="748"/>
        <v>0</v>
      </c>
      <c r="BAV21">
        <f t="shared" si="749"/>
        <v>0</v>
      </c>
      <c r="BAW21">
        <f t="shared" si="750"/>
        <v>0</v>
      </c>
      <c r="BAX21">
        <f t="shared" si="751"/>
        <v>0</v>
      </c>
      <c r="BAY21">
        <f t="shared" si="752"/>
        <v>0</v>
      </c>
      <c r="BAZ21">
        <f t="shared" si="753"/>
        <v>0</v>
      </c>
      <c r="BBA21">
        <f t="shared" si="754"/>
        <v>0</v>
      </c>
      <c r="BBB21">
        <f t="shared" si="755"/>
        <v>0</v>
      </c>
      <c r="BBC21">
        <f t="shared" si="756"/>
        <v>0</v>
      </c>
      <c r="BBD21">
        <f t="shared" si="757"/>
        <v>0</v>
      </c>
      <c r="BBE21">
        <f t="shared" si="758"/>
        <v>0</v>
      </c>
      <c r="BBF21">
        <f t="shared" si="44"/>
        <v>0</v>
      </c>
      <c r="BBG21">
        <f t="shared" si="759"/>
        <v>0</v>
      </c>
      <c r="BBH21">
        <f t="shared" si="760"/>
        <v>0</v>
      </c>
      <c r="BBI21">
        <f t="shared" si="761"/>
        <v>0</v>
      </c>
      <c r="BBJ21">
        <f t="shared" si="762"/>
        <v>0</v>
      </c>
      <c r="BBK21">
        <f t="shared" si="763"/>
        <v>0</v>
      </c>
      <c r="BBL21">
        <f t="shared" si="764"/>
        <v>0</v>
      </c>
      <c r="BBM21">
        <f t="shared" si="765"/>
        <v>0</v>
      </c>
      <c r="BBN21">
        <f t="shared" si="766"/>
        <v>0</v>
      </c>
      <c r="BBO21">
        <f t="shared" si="767"/>
        <v>0</v>
      </c>
      <c r="BBP21">
        <f t="shared" si="768"/>
        <v>0</v>
      </c>
      <c r="BBQ21">
        <f t="shared" si="769"/>
        <v>0</v>
      </c>
      <c r="BBR21">
        <f t="shared" si="770"/>
        <v>0</v>
      </c>
      <c r="BBS21">
        <f t="shared" si="771"/>
        <v>0</v>
      </c>
      <c r="BBT21">
        <f t="shared" si="772"/>
        <v>0</v>
      </c>
      <c r="BBU21">
        <f t="shared" si="773"/>
        <v>0</v>
      </c>
      <c r="BBV21">
        <f t="shared" si="774"/>
        <v>0</v>
      </c>
      <c r="BBW21">
        <f t="shared" si="775"/>
        <v>0</v>
      </c>
      <c r="BBX21">
        <f t="shared" si="776"/>
        <v>0</v>
      </c>
      <c r="BBY21">
        <f t="shared" si="777"/>
        <v>0</v>
      </c>
      <c r="BBZ21">
        <f t="shared" si="778"/>
        <v>0</v>
      </c>
      <c r="BCA21">
        <f t="shared" si="779"/>
        <v>0</v>
      </c>
      <c r="BCB21">
        <f t="shared" si="780"/>
        <v>0</v>
      </c>
      <c r="BCC21">
        <f t="shared" si="781"/>
        <v>0</v>
      </c>
      <c r="BCD21">
        <f t="shared" si="782"/>
        <v>0</v>
      </c>
      <c r="BCE21">
        <f t="shared" si="783"/>
        <v>0</v>
      </c>
      <c r="BCF21">
        <f t="shared" si="784"/>
        <v>0</v>
      </c>
      <c r="BCG21">
        <f t="shared" si="785"/>
        <v>0</v>
      </c>
      <c r="BCH21">
        <f t="shared" si="786"/>
        <v>0</v>
      </c>
      <c r="BCI21">
        <f t="shared" si="787"/>
        <v>0</v>
      </c>
      <c r="BCJ21">
        <f t="shared" si="788"/>
        <v>0</v>
      </c>
      <c r="BCK21">
        <f t="shared" si="789"/>
        <v>0</v>
      </c>
      <c r="BCL21">
        <f t="shared" si="790"/>
        <v>0</v>
      </c>
      <c r="BCM21">
        <f t="shared" si="791"/>
        <v>0</v>
      </c>
      <c r="BCN21">
        <f t="shared" si="792"/>
        <v>0</v>
      </c>
      <c r="BCO21">
        <f t="shared" si="793"/>
        <v>0</v>
      </c>
      <c r="BCP21">
        <f t="shared" si="794"/>
        <v>0</v>
      </c>
      <c r="BCQ21">
        <f t="shared" si="795"/>
        <v>0</v>
      </c>
      <c r="BCR21">
        <f t="shared" si="796"/>
        <v>0</v>
      </c>
      <c r="BCS21">
        <f t="shared" si="797"/>
        <v>0</v>
      </c>
      <c r="BCT21">
        <f t="shared" si="798"/>
        <v>0</v>
      </c>
      <c r="BCU21">
        <f t="shared" si="799"/>
        <v>0</v>
      </c>
      <c r="BCV21">
        <f t="shared" si="800"/>
        <v>0</v>
      </c>
      <c r="BCW21">
        <f t="shared" si="801"/>
        <v>0</v>
      </c>
      <c r="BCX21">
        <f t="shared" si="802"/>
        <v>0</v>
      </c>
      <c r="BCY21">
        <f t="shared" si="803"/>
        <v>0</v>
      </c>
      <c r="BCZ21">
        <f t="shared" si="804"/>
        <v>0</v>
      </c>
      <c r="BDA21">
        <f t="shared" si="805"/>
        <v>0</v>
      </c>
      <c r="BDB21">
        <f t="shared" si="806"/>
        <v>0</v>
      </c>
      <c r="BDC21">
        <f t="shared" si="807"/>
        <v>0</v>
      </c>
      <c r="BDD21">
        <f t="shared" si="808"/>
        <v>0</v>
      </c>
      <c r="BDE21">
        <f t="shared" si="809"/>
        <v>0</v>
      </c>
      <c r="BDF21">
        <f t="shared" si="810"/>
        <v>0</v>
      </c>
      <c r="BDG21">
        <f t="shared" si="811"/>
        <v>0</v>
      </c>
      <c r="BDH21">
        <f t="shared" si="812"/>
        <v>0</v>
      </c>
      <c r="BDI21">
        <f t="shared" si="813"/>
        <v>0</v>
      </c>
      <c r="BDJ21">
        <f t="shared" si="814"/>
        <v>0</v>
      </c>
      <c r="BDK21">
        <f t="shared" si="815"/>
        <v>0</v>
      </c>
      <c r="BDL21">
        <f t="shared" si="816"/>
        <v>0</v>
      </c>
      <c r="BDM21">
        <f t="shared" si="817"/>
        <v>0</v>
      </c>
      <c r="BDN21">
        <f t="shared" si="818"/>
        <v>0</v>
      </c>
      <c r="BDO21">
        <f t="shared" si="819"/>
        <v>0</v>
      </c>
      <c r="BDP21">
        <f t="shared" si="820"/>
        <v>0</v>
      </c>
      <c r="BDQ21">
        <f t="shared" si="821"/>
        <v>0</v>
      </c>
      <c r="BDR21">
        <f t="shared" si="45"/>
        <v>0</v>
      </c>
      <c r="BDS21">
        <f t="shared" si="822"/>
        <v>0</v>
      </c>
      <c r="BDT21">
        <f t="shared" si="823"/>
        <v>0</v>
      </c>
      <c r="BDU21">
        <f t="shared" si="824"/>
        <v>0</v>
      </c>
      <c r="BDV21">
        <f t="shared" si="825"/>
        <v>0</v>
      </c>
      <c r="BDW21">
        <f t="shared" si="826"/>
        <v>0</v>
      </c>
      <c r="BDX21">
        <f t="shared" si="827"/>
        <v>0</v>
      </c>
      <c r="BDY21">
        <f t="shared" si="828"/>
        <v>0</v>
      </c>
      <c r="BDZ21">
        <f t="shared" si="829"/>
        <v>0</v>
      </c>
      <c r="BEA21">
        <f t="shared" si="830"/>
        <v>0</v>
      </c>
      <c r="BEB21">
        <f t="shared" si="831"/>
        <v>0</v>
      </c>
      <c r="BEC21">
        <f t="shared" si="832"/>
        <v>0</v>
      </c>
      <c r="BED21">
        <f t="shared" si="833"/>
        <v>0</v>
      </c>
      <c r="BEE21">
        <f t="shared" si="834"/>
        <v>0</v>
      </c>
      <c r="BEF21">
        <f t="shared" si="835"/>
        <v>0</v>
      </c>
      <c r="BEG21">
        <f t="shared" si="836"/>
        <v>0</v>
      </c>
      <c r="BEH21">
        <f t="shared" si="837"/>
        <v>0</v>
      </c>
      <c r="BEI21">
        <f t="shared" si="838"/>
        <v>0</v>
      </c>
      <c r="BEJ21">
        <f t="shared" si="839"/>
        <v>0</v>
      </c>
      <c r="BEK21">
        <f t="shared" si="840"/>
        <v>0</v>
      </c>
      <c r="BEL21">
        <f t="shared" si="841"/>
        <v>0</v>
      </c>
      <c r="BEM21">
        <f t="shared" si="842"/>
        <v>0</v>
      </c>
      <c r="BEN21">
        <f t="shared" si="843"/>
        <v>0</v>
      </c>
      <c r="BEO21">
        <f t="shared" si="844"/>
        <v>0</v>
      </c>
      <c r="BEP21">
        <f t="shared" si="845"/>
        <v>0</v>
      </c>
      <c r="BEQ21">
        <f t="shared" si="846"/>
        <v>0</v>
      </c>
      <c r="BER21">
        <f t="shared" si="847"/>
        <v>0</v>
      </c>
      <c r="BES21">
        <f t="shared" si="848"/>
        <v>0</v>
      </c>
      <c r="BET21">
        <f t="shared" si="849"/>
        <v>0</v>
      </c>
      <c r="BEU21">
        <f t="shared" si="850"/>
        <v>0</v>
      </c>
      <c r="BEV21">
        <f t="shared" si="851"/>
        <v>0</v>
      </c>
      <c r="BEW21">
        <f t="shared" si="852"/>
        <v>0</v>
      </c>
      <c r="BEX21">
        <f t="shared" si="853"/>
        <v>0</v>
      </c>
      <c r="BEY21">
        <f t="shared" si="854"/>
        <v>0</v>
      </c>
      <c r="BEZ21">
        <f t="shared" si="855"/>
        <v>0</v>
      </c>
      <c r="BFA21">
        <f t="shared" si="856"/>
        <v>0</v>
      </c>
      <c r="BFB21">
        <f t="shared" si="857"/>
        <v>0</v>
      </c>
      <c r="BFC21">
        <f t="shared" si="858"/>
        <v>0</v>
      </c>
      <c r="BFD21">
        <f t="shared" si="859"/>
        <v>0</v>
      </c>
      <c r="BFE21">
        <f t="shared" si="860"/>
        <v>0</v>
      </c>
      <c r="BFF21">
        <f t="shared" si="861"/>
        <v>0</v>
      </c>
      <c r="BFG21">
        <f t="shared" si="862"/>
        <v>0</v>
      </c>
      <c r="BFH21">
        <f t="shared" si="863"/>
        <v>0</v>
      </c>
      <c r="BFI21">
        <f t="shared" si="864"/>
        <v>0</v>
      </c>
      <c r="BFJ21">
        <f t="shared" si="865"/>
        <v>0</v>
      </c>
      <c r="BFK21">
        <f t="shared" si="866"/>
        <v>0</v>
      </c>
      <c r="BFL21">
        <f t="shared" si="867"/>
        <v>0</v>
      </c>
      <c r="BFM21">
        <f t="shared" si="868"/>
        <v>0</v>
      </c>
      <c r="BFN21">
        <f t="shared" si="869"/>
        <v>0</v>
      </c>
      <c r="BFO21">
        <f t="shared" si="870"/>
        <v>0</v>
      </c>
      <c r="BFP21">
        <f t="shared" si="871"/>
        <v>0</v>
      </c>
      <c r="BFQ21">
        <f t="shared" si="872"/>
        <v>0</v>
      </c>
      <c r="BFR21">
        <f t="shared" si="873"/>
        <v>0</v>
      </c>
      <c r="BFS21">
        <f t="shared" si="874"/>
        <v>0</v>
      </c>
      <c r="BFT21">
        <f t="shared" si="875"/>
        <v>0</v>
      </c>
      <c r="BFU21">
        <f t="shared" si="876"/>
        <v>0</v>
      </c>
      <c r="BFV21">
        <f t="shared" si="877"/>
        <v>0</v>
      </c>
      <c r="BFW21">
        <f t="shared" si="878"/>
        <v>0</v>
      </c>
      <c r="BFX21">
        <f t="shared" si="879"/>
        <v>0</v>
      </c>
      <c r="BFY21">
        <f t="shared" si="880"/>
        <v>0</v>
      </c>
      <c r="BFZ21">
        <f t="shared" si="881"/>
        <v>0</v>
      </c>
      <c r="BGA21">
        <f t="shared" si="882"/>
        <v>0</v>
      </c>
      <c r="BGB21">
        <f t="shared" si="883"/>
        <v>0</v>
      </c>
      <c r="BGC21">
        <f t="shared" si="884"/>
        <v>0</v>
      </c>
      <c r="BGD21">
        <f t="shared" si="46"/>
        <v>0</v>
      </c>
      <c r="BGE21">
        <f t="shared" si="885"/>
        <v>0</v>
      </c>
      <c r="BGF21">
        <f t="shared" si="886"/>
        <v>0</v>
      </c>
      <c r="BGG21">
        <f t="shared" si="887"/>
        <v>0</v>
      </c>
      <c r="BGH21">
        <f t="shared" si="888"/>
        <v>0</v>
      </c>
      <c r="BGI21">
        <f t="shared" si="889"/>
        <v>0</v>
      </c>
      <c r="BGJ21">
        <f t="shared" si="890"/>
        <v>0</v>
      </c>
      <c r="BGK21">
        <f t="shared" si="891"/>
        <v>0</v>
      </c>
      <c r="BGL21">
        <f t="shared" si="892"/>
        <v>0</v>
      </c>
      <c r="BGM21">
        <f t="shared" si="893"/>
        <v>0</v>
      </c>
      <c r="BGN21">
        <f t="shared" si="894"/>
        <v>0</v>
      </c>
      <c r="BGO21">
        <f t="shared" si="895"/>
        <v>0</v>
      </c>
      <c r="BGP21">
        <f t="shared" si="896"/>
        <v>0</v>
      </c>
      <c r="BGQ21">
        <f t="shared" si="897"/>
        <v>0</v>
      </c>
      <c r="BGR21">
        <f t="shared" si="898"/>
        <v>0</v>
      </c>
      <c r="BGS21">
        <f t="shared" si="899"/>
        <v>0</v>
      </c>
      <c r="BGT21">
        <f t="shared" si="900"/>
        <v>0</v>
      </c>
      <c r="BGU21">
        <f t="shared" si="901"/>
        <v>0</v>
      </c>
      <c r="BGV21">
        <f t="shared" si="902"/>
        <v>0</v>
      </c>
      <c r="BGW21">
        <f t="shared" si="903"/>
        <v>0</v>
      </c>
      <c r="BGX21">
        <f t="shared" si="904"/>
        <v>0</v>
      </c>
      <c r="BGY21">
        <f t="shared" si="905"/>
        <v>0</v>
      </c>
      <c r="BGZ21">
        <f t="shared" si="906"/>
        <v>0</v>
      </c>
      <c r="BHA21">
        <f t="shared" si="907"/>
        <v>0</v>
      </c>
      <c r="BHB21">
        <f t="shared" si="908"/>
        <v>0</v>
      </c>
      <c r="BHC21">
        <f t="shared" si="909"/>
        <v>0</v>
      </c>
      <c r="BHD21">
        <f t="shared" si="910"/>
        <v>0</v>
      </c>
      <c r="BHE21">
        <f t="shared" si="911"/>
        <v>0</v>
      </c>
      <c r="BHF21">
        <f t="shared" si="912"/>
        <v>0</v>
      </c>
      <c r="BHG21">
        <f t="shared" si="913"/>
        <v>0</v>
      </c>
      <c r="BHH21">
        <f t="shared" si="914"/>
        <v>0</v>
      </c>
      <c r="BHI21">
        <f t="shared" si="915"/>
        <v>0</v>
      </c>
      <c r="BHJ21">
        <f t="shared" si="916"/>
        <v>0</v>
      </c>
      <c r="BHK21">
        <f t="shared" si="917"/>
        <v>0</v>
      </c>
      <c r="BHL21">
        <f t="shared" si="918"/>
        <v>0</v>
      </c>
      <c r="BHM21">
        <f t="shared" si="919"/>
        <v>0</v>
      </c>
      <c r="BHN21">
        <f t="shared" si="920"/>
        <v>0</v>
      </c>
      <c r="BHO21">
        <f t="shared" si="921"/>
        <v>0</v>
      </c>
      <c r="BHP21">
        <f t="shared" si="922"/>
        <v>0</v>
      </c>
      <c r="BHQ21">
        <f t="shared" si="923"/>
        <v>0</v>
      </c>
      <c r="BHR21">
        <f t="shared" si="924"/>
        <v>0</v>
      </c>
      <c r="BHS21">
        <f t="shared" si="925"/>
        <v>0</v>
      </c>
      <c r="BHT21">
        <f t="shared" si="926"/>
        <v>0</v>
      </c>
      <c r="BHU21">
        <f t="shared" si="927"/>
        <v>0</v>
      </c>
      <c r="BHV21">
        <f t="shared" si="928"/>
        <v>0</v>
      </c>
      <c r="BHW21">
        <f t="shared" si="929"/>
        <v>0</v>
      </c>
      <c r="BHX21">
        <f t="shared" si="930"/>
        <v>0</v>
      </c>
      <c r="BHY21">
        <f t="shared" si="931"/>
        <v>0</v>
      </c>
      <c r="BHZ21">
        <f t="shared" si="932"/>
        <v>0</v>
      </c>
      <c r="BIA21">
        <f t="shared" si="933"/>
        <v>0</v>
      </c>
      <c r="BIB21">
        <f t="shared" si="934"/>
        <v>0</v>
      </c>
      <c r="BIC21">
        <f t="shared" si="935"/>
        <v>0</v>
      </c>
      <c r="BID21">
        <f t="shared" si="936"/>
        <v>0</v>
      </c>
      <c r="BIE21">
        <f t="shared" si="937"/>
        <v>0</v>
      </c>
      <c r="BIF21">
        <f t="shared" si="938"/>
        <v>0</v>
      </c>
      <c r="BIG21">
        <f t="shared" si="939"/>
        <v>0</v>
      </c>
      <c r="BIH21">
        <f t="shared" si="940"/>
        <v>0</v>
      </c>
      <c r="BII21">
        <f t="shared" si="941"/>
        <v>0</v>
      </c>
      <c r="BIJ21">
        <f t="shared" si="942"/>
        <v>0</v>
      </c>
      <c r="BIK21">
        <f t="shared" si="943"/>
        <v>0</v>
      </c>
      <c r="BIL21">
        <f t="shared" si="944"/>
        <v>0</v>
      </c>
      <c r="BIM21">
        <f t="shared" si="945"/>
        <v>0</v>
      </c>
      <c r="BIN21">
        <f t="shared" si="946"/>
        <v>0</v>
      </c>
      <c r="BIO21">
        <f t="shared" si="947"/>
        <v>0</v>
      </c>
      <c r="BIP21">
        <f t="shared" si="47"/>
        <v>0</v>
      </c>
      <c r="BIQ21">
        <f t="shared" si="948"/>
        <v>0</v>
      </c>
      <c r="BIR21">
        <f t="shared" si="949"/>
        <v>0</v>
      </c>
      <c r="BIS21">
        <f t="shared" si="950"/>
        <v>0</v>
      </c>
      <c r="BIT21">
        <f t="shared" si="951"/>
        <v>0</v>
      </c>
      <c r="BIU21">
        <f t="shared" si="952"/>
        <v>0</v>
      </c>
      <c r="BIV21">
        <f t="shared" si="953"/>
        <v>0</v>
      </c>
      <c r="BIW21">
        <f t="shared" si="954"/>
        <v>0</v>
      </c>
      <c r="BIX21">
        <f t="shared" si="955"/>
        <v>0</v>
      </c>
      <c r="BIY21">
        <f t="shared" si="956"/>
        <v>0</v>
      </c>
      <c r="BIZ21">
        <f t="shared" si="957"/>
        <v>0</v>
      </c>
      <c r="BJA21">
        <f t="shared" si="958"/>
        <v>0</v>
      </c>
      <c r="BJB21">
        <f t="shared" si="959"/>
        <v>0</v>
      </c>
      <c r="BJC21">
        <f t="shared" si="960"/>
        <v>0</v>
      </c>
      <c r="BJD21">
        <f t="shared" si="961"/>
        <v>0</v>
      </c>
      <c r="BJE21">
        <f t="shared" si="962"/>
        <v>0</v>
      </c>
      <c r="BJF21">
        <f t="shared" si="963"/>
        <v>0</v>
      </c>
      <c r="BJG21">
        <f t="shared" si="964"/>
        <v>0</v>
      </c>
      <c r="BJH21">
        <f t="shared" si="965"/>
        <v>0</v>
      </c>
      <c r="BJI21">
        <f t="shared" si="966"/>
        <v>0</v>
      </c>
      <c r="BJJ21">
        <f t="shared" si="967"/>
        <v>0</v>
      </c>
      <c r="BJK21">
        <f t="shared" si="968"/>
        <v>0</v>
      </c>
      <c r="BJL21">
        <f t="shared" si="969"/>
        <v>0</v>
      </c>
      <c r="BJM21">
        <f t="shared" si="970"/>
        <v>0</v>
      </c>
      <c r="BJN21">
        <f t="shared" si="971"/>
        <v>0</v>
      </c>
      <c r="BJO21">
        <f t="shared" si="972"/>
        <v>0</v>
      </c>
      <c r="BJP21">
        <f t="shared" si="973"/>
        <v>0</v>
      </c>
      <c r="BJQ21">
        <f t="shared" si="974"/>
        <v>0</v>
      </c>
      <c r="BJR21">
        <f t="shared" si="975"/>
        <v>0</v>
      </c>
      <c r="BJS21">
        <f t="shared" si="976"/>
        <v>0</v>
      </c>
      <c r="BJT21">
        <f t="shared" si="977"/>
        <v>0</v>
      </c>
      <c r="BJU21">
        <f t="shared" si="978"/>
        <v>0</v>
      </c>
      <c r="BJV21">
        <f t="shared" si="979"/>
        <v>0</v>
      </c>
      <c r="BJW21">
        <f t="shared" si="980"/>
        <v>0</v>
      </c>
      <c r="BJX21">
        <f t="shared" si="981"/>
        <v>0</v>
      </c>
      <c r="BJY21">
        <f t="shared" si="982"/>
        <v>0</v>
      </c>
      <c r="BJZ21">
        <f t="shared" si="983"/>
        <v>0</v>
      </c>
      <c r="BKA21">
        <f t="shared" si="984"/>
        <v>0</v>
      </c>
      <c r="BKB21">
        <f t="shared" si="985"/>
        <v>0</v>
      </c>
      <c r="BKC21">
        <f t="shared" si="986"/>
        <v>0</v>
      </c>
      <c r="BKD21">
        <f t="shared" si="987"/>
        <v>0</v>
      </c>
      <c r="BKE21">
        <f t="shared" si="988"/>
        <v>0</v>
      </c>
      <c r="BKF21">
        <f t="shared" si="989"/>
        <v>0</v>
      </c>
      <c r="BKG21">
        <f t="shared" si="990"/>
        <v>0</v>
      </c>
      <c r="BKH21">
        <f t="shared" si="991"/>
        <v>0</v>
      </c>
      <c r="BKI21">
        <f t="shared" si="992"/>
        <v>0</v>
      </c>
      <c r="BKJ21">
        <f t="shared" si="993"/>
        <v>0</v>
      </c>
      <c r="BKK21">
        <f t="shared" si="994"/>
        <v>0</v>
      </c>
      <c r="BKL21">
        <f t="shared" si="995"/>
        <v>0</v>
      </c>
      <c r="BKM21">
        <f t="shared" si="996"/>
        <v>0</v>
      </c>
      <c r="BKN21">
        <f t="shared" si="997"/>
        <v>0</v>
      </c>
      <c r="BKO21">
        <f t="shared" si="998"/>
        <v>0</v>
      </c>
      <c r="BKP21">
        <f t="shared" si="999"/>
        <v>0</v>
      </c>
      <c r="BKQ21">
        <f t="shared" si="1000"/>
        <v>0</v>
      </c>
      <c r="BKR21">
        <f t="shared" si="1001"/>
        <v>0</v>
      </c>
      <c r="BKS21">
        <f t="shared" si="1002"/>
        <v>0</v>
      </c>
      <c r="BKT21">
        <f t="shared" si="1003"/>
        <v>0</v>
      </c>
      <c r="BKU21">
        <f t="shared" si="1004"/>
        <v>0</v>
      </c>
      <c r="BKV21">
        <f t="shared" si="1005"/>
        <v>0</v>
      </c>
      <c r="BKW21">
        <f t="shared" si="1006"/>
        <v>0</v>
      </c>
      <c r="BKX21">
        <f t="shared" si="1007"/>
        <v>0</v>
      </c>
      <c r="BKY21">
        <f t="shared" si="1008"/>
        <v>0</v>
      </c>
      <c r="BKZ21">
        <f t="shared" si="1009"/>
        <v>0</v>
      </c>
      <c r="BLA21">
        <f t="shared" si="1010"/>
        <v>0</v>
      </c>
      <c r="BLB21">
        <f t="shared" si="48"/>
        <v>0</v>
      </c>
      <c r="BLC21">
        <f t="shared" si="1011"/>
        <v>0</v>
      </c>
      <c r="BLD21">
        <f t="shared" si="1012"/>
        <v>0</v>
      </c>
      <c r="BLE21">
        <f t="shared" si="1013"/>
        <v>0</v>
      </c>
      <c r="BLF21">
        <f t="shared" si="1014"/>
        <v>0</v>
      </c>
      <c r="BLG21">
        <f t="shared" si="1015"/>
        <v>0</v>
      </c>
      <c r="BLH21">
        <f t="shared" si="1016"/>
        <v>0</v>
      </c>
      <c r="BLI21">
        <f t="shared" si="1017"/>
        <v>0</v>
      </c>
      <c r="BLJ21">
        <f t="shared" si="1018"/>
        <v>0</v>
      </c>
      <c r="BLK21">
        <f t="shared" si="1019"/>
        <v>0</v>
      </c>
      <c r="BLL21">
        <f t="shared" si="1020"/>
        <v>0</v>
      </c>
      <c r="BLM21">
        <f t="shared" si="1021"/>
        <v>0</v>
      </c>
      <c r="BLN21">
        <f t="shared" si="1022"/>
        <v>0</v>
      </c>
      <c r="BLO21">
        <f t="shared" si="1023"/>
        <v>0</v>
      </c>
      <c r="BLP21">
        <f t="shared" si="1024"/>
        <v>0</v>
      </c>
      <c r="BLQ21">
        <f t="shared" si="1025"/>
        <v>0</v>
      </c>
      <c r="BLR21">
        <f t="shared" si="1026"/>
        <v>0</v>
      </c>
      <c r="BLS21">
        <f t="shared" si="1027"/>
        <v>0</v>
      </c>
      <c r="BLT21">
        <f t="shared" si="1028"/>
        <v>0</v>
      </c>
      <c r="BLU21">
        <f t="shared" si="1029"/>
        <v>0</v>
      </c>
      <c r="BLV21">
        <f t="shared" si="1030"/>
        <v>0</v>
      </c>
      <c r="BLW21">
        <f t="shared" si="1031"/>
        <v>0</v>
      </c>
      <c r="BLX21">
        <f t="shared" si="1032"/>
        <v>0</v>
      </c>
      <c r="BLY21">
        <f t="shared" si="1033"/>
        <v>0</v>
      </c>
      <c r="BLZ21">
        <f t="shared" si="1034"/>
        <v>0</v>
      </c>
      <c r="BMA21">
        <f t="shared" si="1035"/>
        <v>0</v>
      </c>
      <c r="BMB21">
        <f t="shared" si="1036"/>
        <v>0</v>
      </c>
      <c r="BMC21">
        <f t="shared" si="1037"/>
        <v>0</v>
      </c>
      <c r="BMD21">
        <f t="shared" si="1038"/>
        <v>0</v>
      </c>
      <c r="BME21">
        <f t="shared" si="1039"/>
        <v>0</v>
      </c>
      <c r="BMF21">
        <f t="shared" si="1040"/>
        <v>0</v>
      </c>
      <c r="BMG21">
        <f t="shared" si="1041"/>
        <v>0</v>
      </c>
      <c r="BMH21">
        <f t="shared" si="1042"/>
        <v>0</v>
      </c>
      <c r="BMI21">
        <f t="shared" si="1043"/>
        <v>0</v>
      </c>
      <c r="BMJ21">
        <f t="shared" si="1044"/>
        <v>0</v>
      </c>
      <c r="BMK21">
        <f t="shared" si="1045"/>
        <v>0</v>
      </c>
      <c r="BML21">
        <f t="shared" si="1046"/>
        <v>0</v>
      </c>
      <c r="BMM21">
        <f t="shared" si="1047"/>
        <v>0</v>
      </c>
      <c r="BMN21">
        <f t="shared" si="1048"/>
        <v>0</v>
      </c>
      <c r="BMO21">
        <f t="shared" si="1049"/>
        <v>0</v>
      </c>
      <c r="BMP21">
        <f t="shared" si="1050"/>
        <v>0</v>
      </c>
      <c r="BMQ21">
        <f t="shared" si="1051"/>
        <v>0</v>
      </c>
      <c r="BMR21">
        <f t="shared" si="1052"/>
        <v>0</v>
      </c>
      <c r="BMS21">
        <f t="shared" si="1053"/>
        <v>0</v>
      </c>
      <c r="BMT21">
        <f t="shared" si="1054"/>
        <v>0</v>
      </c>
      <c r="BMU21">
        <f t="shared" si="1055"/>
        <v>0</v>
      </c>
      <c r="BMV21">
        <f t="shared" si="1056"/>
        <v>0</v>
      </c>
      <c r="BMW21">
        <f t="shared" si="1057"/>
        <v>0</v>
      </c>
      <c r="BMX21">
        <f t="shared" si="1058"/>
        <v>0</v>
      </c>
      <c r="BMY21">
        <f t="shared" si="1059"/>
        <v>0</v>
      </c>
      <c r="BMZ21">
        <f t="shared" si="1060"/>
        <v>0</v>
      </c>
      <c r="BNA21">
        <f t="shared" si="1061"/>
        <v>0</v>
      </c>
      <c r="BNB21">
        <f t="shared" si="1062"/>
        <v>0</v>
      </c>
      <c r="BNC21">
        <f t="shared" si="1063"/>
        <v>0</v>
      </c>
      <c r="BND21">
        <f t="shared" si="1064"/>
        <v>0</v>
      </c>
      <c r="BNE21">
        <f t="shared" si="1065"/>
        <v>0</v>
      </c>
      <c r="BNF21">
        <f t="shared" si="1066"/>
        <v>0</v>
      </c>
      <c r="BNG21">
        <f t="shared" si="1067"/>
        <v>0</v>
      </c>
      <c r="BNH21">
        <f t="shared" si="1068"/>
        <v>0</v>
      </c>
      <c r="BNI21">
        <f t="shared" si="1069"/>
        <v>0</v>
      </c>
      <c r="BNJ21">
        <f t="shared" si="1070"/>
        <v>0</v>
      </c>
      <c r="BNK21">
        <f t="shared" si="1071"/>
        <v>0</v>
      </c>
      <c r="BNL21">
        <f t="shared" si="1072"/>
        <v>0</v>
      </c>
      <c r="BNM21">
        <f t="shared" si="1073"/>
        <v>0</v>
      </c>
      <c r="BNN21">
        <f t="shared" si="49"/>
        <v>0</v>
      </c>
      <c r="BNO21">
        <f t="shared" si="1074"/>
        <v>0</v>
      </c>
      <c r="BNP21">
        <f t="shared" si="1075"/>
        <v>0</v>
      </c>
      <c r="BNQ21">
        <f t="shared" si="1076"/>
        <v>0</v>
      </c>
      <c r="BNR21">
        <f t="shared" si="1077"/>
        <v>0</v>
      </c>
      <c r="BNS21">
        <f t="shared" si="1078"/>
        <v>0</v>
      </c>
      <c r="BNT21">
        <f t="shared" si="1079"/>
        <v>0</v>
      </c>
      <c r="BNU21">
        <f t="shared" si="1080"/>
        <v>0</v>
      </c>
      <c r="BNV21">
        <f t="shared" si="1081"/>
        <v>0</v>
      </c>
      <c r="BNW21">
        <f t="shared" si="1082"/>
        <v>0</v>
      </c>
      <c r="BNX21">
        <f t="shared" si="1083"/>
        <v>0</v>
      </c>
      <c r="BNY21">
        <f t="shared" si="1084"/>
        <v>0</v>
      </c>
      <c r="BNZ21">
        <f t="shared" si="1085"/>
        <v>0</v>
      </c>
      <c r="BOA21">
        <f t="shared" si="1086"/>
        <v>0</v>
      </c>
      <c r="BOB21">
        <f t="shared" si="1087"/>
        <v>0</v>
      </c>
      <c r="BOC21">
        <f t="shared" si="1088"/>
        <v>0</v>
      </c>
      <c r="BOD21">
        <f t="shared" si="1089"/>
        <v>0</v>
      </c>
      <c r="BOE21">
        <f t="shared" si="1090"/>
        <v>0</v>
      </c>
      <c r="BOF21">
        <f t="shared" si="1091"/>
        <v>0</v>
      </c>
      <c r="BOG21">
        <f t="shared" si="1092"/>
        <v>0</v>
      </c>
      <c r="BOH21">
        <f t="shared" si="1093"/>
        <v>0</v>
      </c>
      <c r="BOI21">
        <f t="shared" si="1094"/>
        <v>0</v>
      </c>
      <c r="BOJ21">
        <f t="shared" si="1095"/>
        <v>0</v>
      </c>
      <c r="BOK21">
        <f t="shared" si="1096"/>
        <v>0</v>
      </c>
      <c r="BOL21">
        <f t="shared" si="1097"/>
        <v>0</v>
      </c>
      <c r="BOM21">
        <f t="shared" si="1098"/>
        <v>0</v>
      </c>
      <c r="BON21">
        <f t="shared" si="1099"/>
        <v>0</v>
      </c>
      <c r="BOO21">
        <f t="shared" si="1100"/>
        <v>0</v>
      </c>
      <c r="BOP21">
        <f t="shared" si="1101"/>
        <v>0</v>
      </c>
      <c r="BOQ21">
        <f t="shared" si="1102"/>
        <v>0</v>
      </c>
      <c r="BOR21">
        <f t="shared" si="1103"/>
        <v>0</v>
      </c>
      <c r="BOS21">
        <f t="shared" si="1104"/>
        <v>0</v>
      </c>
      <c r="BOT21">
        <f t="shared" si="1105"/>
        <v>0</v>
      </c>
      <c r="BOU21">
        <f t="shared" si="1106"/>
        <v>0</v>
      </c>
      <c r="BOV21">
        <f t="shared" si="1107"/>
        <v>0</v>
      </c>
      <c r="BOW21">
        <f t="shared" si="1108"/>
        <v>0</v>
      </c>
      <c r="BOX21">
        <f t="shared" si="1109"/>
        <v>0</v>
      </c>
      <c r="BOY21">
        <f t="shared" si="1110"/>
        <v>0</v>
      </c>
      <c r="BOZ21">
        <f t="shared" si="1111"/>
        <v>0</v>
      </c>
      <c r="BPA21">
        <f t="shared" si="1112"/>
        <v>0</v>
      </c>
      <c r="BPB21">
        <f t="shared" si="1113"/>
        <v>0</v>
      </c>
      <c r="BPC21">
        <f t="shared" si="1114"/>
        <v>0</v>
      </c>
      <c r="BPD21">
        <f t="shared" si="1115"/>
        <v>0</v>
      </c>
      <c r="BPE21">
        <f t="shared" si="1116"/>
        <v>0</v>
      </c>
      <c r="BPF21">
        <f t="shared" si="1117"/>
        <v>0</v>
      </c>
      <c r="BPG21">
        <f t="shared" si="1118"/>
        <v>0</v>
      </c>
      <c r="BPH21">
        <f t="shared" si="1119"/>
        <v>0</v>
      </c>
      <c r="BPI21">
        <f t="shared" si="1120"/>
        <v>0</v>
      </c>
      <c r="BPJ21">
        <f t="shared" si="1121"/>
        <v>0</v>
      </c>
      <c r="BPK21">
        <f t="shared" si="1122"/>
        <v>0</v>
      </c>
      <c r="BPL21">
        <f t="shared" si="1123"/>
        <v>0</v>
      </c>
      <c r="BPM21">
        <f t="shared" si="1124"/>
        <v>0</v>
      </c>
      <c r="BPN21">
        <f t="shared" si="1125"/>
        <v>0</v>
      </c>
      <c r="BPO21">
        <f t="shared" si="1126"/>
        <v>0</v>
      </c>
      <c r="BPP21">
        <f t="shared" si="1127"/>
        <v>0</v>
      </c>
      <c r="BPQ21">
        <f t="shared" si="1128"/>
        <v>0</v>
      </c>
      <c r="BPR21">
        <f t="shared" si="1129"/>
        <v>0</v>
      </c>
      <c r="BPS21">
        <f t="shared" si="1130"/>
        <v>0</v>
      </c>
      <c r="BPT21">
        <f t="shared" si="1131"/>
        <v>0</v>
      </c>
      <c r="BPU21">
        <f t="shared" si="1132"/>
        <v>0</v>
      </c>
      <c r="BPV21">
        <f t="shared" si="1133"/>
        <v>0</v>
      </c>
      <c r="BPW21">
        <f t="shared" si="1134"/>
        <v>0</v>
      </c>
      <c r="BPX21">
        <f t="shared" si="1135"/>
        <v>0</v>
      </c>
      <c r="BPY21">
        <f t="shared" si="1136"/>
        <v>0</v>
      </c>
      <c r="BPZ21">
        <f t="shared" si="50"/>
        <v>0</v>
      </c>
      <c r="BQA21">
        <f t="shared" si="1137"/>
        <v>0</v>
      </c>
      <c r="BQB21">
        <f t="shared" si="1138"/>
        <v>0</v>
      </c>
      <c r="BQC21">
        <f t="shared" si="1139"/>
        <v>0</v>
      </c>
      <c r="BQD21">
        <f t="shared" si="1140"/>
        <v>0</v>
      </c>
      <c r="BQE21">
        <f t="shared" si="1141"/>
        <v>0</v>
      </c>
      <c r="BQF21">
        <f t="shared" si="1142"/>
        <v>0</v>
      </c>
      <c r="BQG21">
        <f t="shared" si="1143"/>
        <v>0</v>
      </c>
      <c r="BQH21">
        <f t="shared" si="1144"/>
        <v>0</v>
      </c>
      <c r="BQI21">
        <f t="shared" si="1145"/>
        <v>0</v>
      </c>
      <c r="BQJ21">
        <f t="shared" si="1146"/>
        <v>0</v>
      </c>
      <c r="BQK21">
        <f t="shared" si="1147"/>
        <v>0</v>
      </c>
      <c r="BQL21">
        <f t="shared" si="1148"/>
        <v>0</v>
      </c>
      <c r="BQM21">
        <f t="shared" si="1149"/>
        <v>0</v>
      </c>
      <c r="BQN21">
        <f t="shared" si="1150"/>
        <v>0</v>
      </c>
      <c r="BQO21">
        <f t="shared" si="1151"/>
        <v>0</v>
      </c>
      <c r="BQP21">
        <f t="shared" si="1152"/>
        <v>0</v>
      </c>
      <c r="BQQ21">
        <f t="shared" si="1153"/>
        <v>0</v>
      </c>
      <c r="BQR21">
        <f t="shared" si="1154"/>
        <v>0</v>
      </c>
      <c r="BQS21">
        <f t="shared" si="1155"/>
        <v>0</v>
      </c>
      <c r="BQT21">
        <f t="shared" si="1156"/>
        <v>0</v>
      </c>
      <c r="BQU21">
        <f t="shared" si="1157"/>
        <v>0</v>
      </c>
      <c r="BQV21">
        <f t="shared" si="1158"/>
        <v>0</v>
      </c>
      <c r="BQW21">
        <f t="shared" si="1159"/>
        <v>0</v>
      </c>
      <c r="BQX21">
        <f t="shared" si="1160"/>
        <v>0</v>
      </c>
      <c r="BQY21">
        <f t="shared" si="1161"/>
        <v>0</v>
      </c>
      <c r="BQZ21">
        <f t="shared" si="1162"/>
        <v>0</v>
      </c>
      <c r="BRA21">
        <f t="shared" si="1163"/>
        <v>0</v>
      </c>
      <c r="BRB21">
        <f t="shared" si="1164"/>
        <v>0</v>
      </c>
      <c r="BRC21">
        <f t="shared" si="1165"/>
        <v>0</v>
      </c>
      <c r="BRD21">
        <f t="shared" si="1166"/>
        <v>0</v>
      </c>
      <c r="BRE21">
        <f t="shared" si="1167"/>
        <v>0</v>
      </c>
      <c r="BRF21">
        <f t="shared" si="1168"/>
        <v>0</v>
      </c>
      <c r="BRG21">
        <f t="shared" si="1169"/>
        <v>0</v>
      </c>
      <c r="BRH21">
        <f t="shared" si="1170"/>
        <v>0</v>
      </c>
      <c r="BRI21">
        <f t="shared" si="1171"/>
        <v>0</v>
      </c>
      <c r="BRJ21">
        <f t="shared" si="1172"/>
        <v>0</v>
      </c>
      <c r="BRK21">
        <f t="shared" si="1173"/>
        <v>0</v>
      </c>
      <c r="BRL21">
        <f t="shared" si="1174"/>
        <v>0</v>
      </c>
      <c r="BRM21">
        <f t="shared" si="1175"/>
        <v>0</v>
      </c>
      <c r="BRN21">
        <f t="shared" si="1176"/>
        <v>0</v>
      </c>
      <c r="BRO21">
        <f t="shared" si="1177"/>
        <v>0</v>
      </c>
      <c r="BRP21">
        <f t="shared" si="1178"/>
        <v>0</v>
      </c>
      <c r="BRQ21">
        <f t="shared" si="1179"/>
        <v>0</v>
      </c>
      <c r="BRR21">
        <f t="shared" si="1180"/>
        <v>0</v>
      </c>
      <c r="BRS21">
        <f t="shared" si="1181"/>
        <v>0</v>
      </c>
      <c r="BRT21">
        <f t="shared" si="1182"/>
        <v>0</v>
      </c>
      <c r="BRU21">
        <f t="shared" si="1183"/>
        <v>0</v>
      </c>
      <c r="BRV21">
        <f t="shared" si="1184"/>
        <v>0</v>
      </c>
      <c r="BRW21">
        <f t="shared" si="1185"/>
        <v>0</v>
      </c>
      <c r="BRX21">
        <f t="shared" si="1186"/>
        <v>0</v>
      </c>
      <c r="BRY21">
        <f t="shared" si="1187"/>
        <v>0</v>
      </c>
      <c r="BRZ21">
        <f t="shared" si="1188"/>
        <v>0</v>
      </c>
      <c r="BSA21">
        <f t="shared" si="1189"/>
        <v>0</v>
      </c>
      <c r="BSB21">
        <f t="shared" si="1190"/>
        <v>0</v>
      </c>
      <c r="BSC21">
        <f t="shared" si="1191"/>
        <v>0</v>
      </c>
      <c r="BSD21">
        <f t="shared" si="1192"/>
        <v>0</v>
      </c>
      <c r="BSE21">
        <f t="shared" si="1193"/>
        <v>0</v>
      </c>
      <c r="BSF21">
        <f t="shared" si="1194"/>
        <v>0</v>
      </c>
      <c r="BSG21">
        <f t="shared" si="1195"/>
        <v>0</v>
      </c>
      <c r="BSH21">
        <f t="shared" si="1196"/>
        <v>0</v>
      </c>
      <c r="BSI21">
        <f t="shared" si="1197"/>
        <v>0</v>
      </c>
      <c r="BSJ21">
        <f t="shared" si="1198"/>
        <v>0</v>
      </c>
      <c r="BSK21">
        <f t="shared" si="1199"/>
        <v>0</v>
      </c>
      <c r="BSL21">
        <f t="shared" si="51"/>
        <v>0</v>
      </c>
      <c r="BSM21">
        <f t="shared" si="1200"/>
        <v>0</v>
      </c>
      <c r="BSN21">
        <f t="shared" si="1201"/>
        <v>0</v>
      </c>
      <c r="BSO21">
        <f t="shared" si="1202"/>
        <v>0</v>
      </c>
      <c r="BSP21">
        <f t="shared" si="1203"/>
        <v>0</v>
      </c>
      <c r="BSQ21">
        <f t="shared" si="1204"/>
        <v>0</v>
      </c>
      <c r="BSR21">
        <f t="shared" si="1205"/>
        <v>0</v>
      </c>
      <c r="BSS21">
        <f t="shared" si="1206"/>
        <v>0</v>
      </c>
      <c r="BST21">
        <f t="shared" si="1207"/>
        <v>0</v>
      </c>
      <c r="BSU21">
        <f t="shared" si="1208"/>
        <v>0</v>
      </c>
      <c r="BSV21">
        <f t="shared" si="1209"/>
        <v>0</v>
      </c>
      <c r="BSW21">
        <f t="shared" si="1210"/>
        <v>0</v>
      </c>
      <c r="BSX21">
        <f t="shared" si="1211"/>
        <v>0</v>
      </c>
      <c r="BSY21">
        <f t="shared" si="1212"/>
        <v>0</v>
      </c>
      <c r="BSZ21">
        <f t="shared" si="1213"/>
        <v>0</v>
      </c>
      <c r="BTA21">
        <f t="shared" si="1214"/>
        <v>0</v>
      </c>
      <c r="BTB21">
        <f t="shared" si="1215"/>
        <v>0</v>
      </c>
      <c r="BTC21">
        <f t="shared" si="1216"/>
        <v>0</v>
      </c>
      <c r="BTD21">
        <f t="shared" si="1217"/>
        <v>0</v>
      </c>
      <c r="BTE21">
        <f t="shared" si="1218"/>
        <v>0</v>
      </c>
      <c r="BTF21">
        <f t="shared" si="1219"/>
        <v>0</v>
      </c>
      <c r="BTG21">
        <f t="shared" si="1220"/>
        <v>0</v>
      </c>
      <c r="BTH21">
        <f t="shared" si="1221"/>
        <v>0</v>
      </c>
      <c r="BTI21">
        <f t="shared" si="1222"/>
        <v>0</v>
      </c>
      <c r="BTJ21">
        <f t="shared" si="1223"/>
        <v>0</v>
      </c>
      <c r="BTK21">
        <f t="shared" si="1224"/>
        <v>0</v>
      </c>
      <c r="BTL21">
        <f t="shared" si="1225"/>
        <v>0</v>
      </c>
      <c r="BTM21">
        <f t="shared" si="1226"/>
        <v>0</v>
      </c>
      <c r="BTN21">
        <f t="shared" si="1227"/>
        <v>0</v>
      </c>
      <c r="BTO21">
        <f t="shared" si="1228"/>
        <v>0</v>
      </c>
      <c r="BTP21">
        <f t="shared" si="1229"/>
        <v>0</v>
      </c>
      <c r="BTQ21">
        <f t="shared" si="1230"/>
        <v>0</v>
      </c>
      <c r="BTR21">
        <f t="shared" si="1231"/>
        <v>0</v>
      </c>
      <c r="BTS21">
        <f t="shared" si="1232"/>
        <v>0</v>
      </c>
      <c r="BTT21">
        <f t="shared" si="1233"/>
        <v>0</v>
      </c>
      <c r="BTU21">
        <f t="shared" si="1234"/>
        <v>0</v>
      </c>
      <c r="BTV21">
        <f t="shared" si="1235"/>
        <v>0</v>
      </c>
      <c r="BTW21">
        <f t="shared" si="1236"/>
        <v>0</v>
      </c>
      <c r="BTX21">
        <f t="shared" si="1237"/>
        <v>0</v>
      </c>
      <c r="BTY21">
        <f t="shared" si="1238"/>
        <v>0</v>
      </c>
      <c r="BTZ21">
        <f t="shared" si="1239"/>
        <v>0</v>
      </c>
      <c r="BUA21">
        <f t="shared" si="1240"/>
        <v>0</v>
      </c>
      <c r="BUB21">
        <f t="shared" si="1241"/>
        <v>0</v>
      </c>
      <c r="BUC21">
        <f t="shared" si="1242"/>
        <v>0</v>
      </c>
      <c r="BUD21">
        <f t="shared" si="1243"/>
        <v>0</v>
      </c>
      <c r="BUE21">
        <f t="shared" si="1244"/>
        <v>0</v>
      </c>
      <c r="BUF21">
        <f t="shared" si="1245"/>
        <v>0</v>
      </c>
      <c r="BUG21">
        <f t="shared" si="1246"/>
        <v>0</v>
      </c>
      <c r="BUH21">
        <f t="shared" si="1247"/>
        <v>0</v>
      </c>
      <c r="BUI21">
        <f t="shared" si="1248"/>
        <v>0</v>
      </c>
      <c r="BUJ21">
        <f t="shared" si="1249"/>
        <v>0</v>
      </c>
      <c r="BUK21">
        <f t="shared" si="1250"/>
        <v>0</v>
      </c>
      <c r="BUL21">
        <f t="shared" si="1251"/>
        <v>0</v>
      </c>
      <c r="BUM21">
        <f t="shared" si="1252"/>
        <v>0</v>
      </c>
      <c r="BUN21">
        <f t="shared" si="1253"/>
        <v>0</v>
      </c>
      <c r="BUO21">
        <f t="shared" si="1254"/>
        <v>0</v>
      </c>
      <c r="BUP21">
        <f t="shared" si="1255"/>
        <v>0</v>
      </c>
      <c r="BUQ21">
        <f t="shared" si="1256"/>
        <v>0</v>
      </c>
      <c r="BUR21">
        <f t="shared" si="1257"/>
        <v>0</v>
      </c>
      <c r="BUS21">
        <f t="shared" si="1258"/>
        <v>0</v>
      </c>
      <c r="BUT21">
        <f t="shared" si="1259"/>
        <v>0</v>
      </c>
      <c r="BUU21">
        <f t="shared" si="1260"/>
        <v>0</v>
      </c>
      <c r="BUV21">
        <f t="shared" si="1261"/>
        <v>0</v>
      </c>
      <c r="BUW21">
        <f t="shared" si="1262"/>
        <v>0</v>
      </c>
      <c r="BUX21">
        <f t="shared" si="52"/>
        <v>0</v>
      </c>
      <c r="BUY21">
        <f t="shared" si="1263"/>
        <v>0</v>
      </c>
      <c r="BUZ21">
        <f t="shared" si="1264"/>
        <v>0</v>
      </c>
      <c r="BVA21">
        <f t="shared" si="1265"/>
        <v>0</v>
      </c>
      <c r="BVB21">
        <f t="shared" si="1266"/>
        <v>0</v>
      </c>
      <c r="BVC21">
        <f t="shared" si="1267"/>
        <v>0</v>
      </c>
      <c r="BVD21">
        <f t="shared" si="1268"/>
        <v>0</v>
      </c>
      <c r="BVE21">
        <f t="shared" si="1269"/>
        <v>0</v>
      </c>
      <c r="BVF21">
        <f t="shared" si="1270"/>
        <v>0</v>
      </c>
      <c r="BVG21">
        <f t="shared" si="1271"/>
        <v>0</v>
      </c>
      <c r="BVH21">
        <f t="shared" si="1272"/>
        <v>0</v>
      </c>
      <c r="BVI21">
        <f t="shared" si="1273"/>
        <v>0</v>
      </c>
      <c r="BVJ21">
        <f t="shared" si="1274"/>
        <v>0</v>
      </c>
      <c r="BVK21">
        <f t="shared" si="1275"/>
        <v>0</v>
      </c>
      <c r="BVL21">
        <f t="shared" si="1276"/>
        <v>0</v>
      </c>
      <c r="BVM21">
        <f t="shared" si="1277"/>
        <v>0</v>
      </c>
      <c r="BVN21">
        <f t="shared" si="1278"/>
        <v>0</v>
      </c>
      <c r="BVO21">
        <f t="shared" si="1279"/>
        <v>0</v>
      </c>
      <c r="BVP21">
        <f t="shared" si="1280"/>
        <v>0</v>
      </c>
      <c r="BVQ21">
        <f t="shared" si="1281"/>
        <v>0</v>
      </c>
      <c r="BVR21">
        <f t="shared" si="1282"/>
        <v>0</v>
      </c>
      <c r="BVS21">
        <f t="shared" si="1283"/>
        <v>0</v>
      </c>
      <c r="BVT21">
        <f t="shared" si="1284"/>
        <v>0</v>
      </c>
      <c r="BVU21">
        <f t="shared" si="1285"/>
        <v>0</v>
      </c>
      <c r="BVV21">
        <f t="shared" si="1286"/>
        <v>0</v>
      </c>
      <c r="BVW21">
        <f t="shared" si="1287"/>
        <v>0</v>
      </c>
      <c r="BVX21">
        <f t="shared" si="1288"/>
        <v>0</v>
      </c>
      <c r="BVY21">
        <f t="shared" si="1289"/>
        <v>0</v>
      </c>
      <c r="BVZ21">
        <f t="shared" si="1290"/>
        <v>0</v>
      </c>
      <c r="BWA21">
        <f t="shared" si="1291"/>
        <v>0</v>
      </c>
      <c r="BWB21">
        <f t="shared" si="1292"/>
        <v>0</v>
      </c>
      <c r="BWC21">
        <f t="shared" si="1293"/>
        <v>0</v>
      </c>
      <c r="BWD21">
        <f t="shared" si="1294"/>
        <v>0</v>
      </c>
      <c r="BWE21">
        <f t="shared" si="1295"/>
        <v>0</v>
      </c>
      <c r="BWF21">
        <f t="shared" si="1296"/>
        <v>0</v>
      </c>
      <c r="BWG21">
        <f t="shared" si="1297"/>
        <v>0</v>
      </c>
      <c r="BWH21">
        <f t="shared" si="1298"/>
        <v>0</v>
      </c>
      <c r="BWI21">
        <f t="shared" si="1299"/>
        <v>0</v>
      </c>
      <c r="BWJ21">
        <f t="shared" si="1300"/>
        <v>0</v>
      </c>
      <c r="BWK21">
        <f t="shared" si="1301"/>
        <v>0</v>
      </c>
      <c r="BWL21">
        <f t="shared" si="1302"/>
        <v>0</v>
      </c>
      <c r="BWM21">
        <f t="shared" si="1303"/>
        <v>0</v>
      </c>
      <c r="BWN21">
        <f t="shared" si="1304"/>
        <v>0</v>
      </c>
      <c r="BWO21">
        <f t="shared" si="1305"/>
        <v>0</v>
      </c>
      <c r="BWP21">
        <f t="shared" si="1306"/>
        <v>0</v>
      </c>
      <c r="BWQ21">
        <f t="shared" si="1307"/>
        <v>0</v>
      </c>
      <c r="BWR21">
        <f t="shared" si="1308"/>
        <v>0</v>
      </c>
      <c r="BWS21">
        <f t="shared" si="1309"/>
        <v>0</v>
      </c>
      <c r="BWT21">
        <f t="shared" si="1310"/>
        <v>0</v>
      </c>
      <c r="BWU21">
        <f t="shared" si="1311"/>
        <v>0</v>
      </c>
      <c r="BWV21">
        <f t="shared" si="1312"/>
        <v>0</v>
      </c>
      <c r="BWW21">
        <f t="shared" si="1313"/>
        <v>0</v>
      </c>
      <c r="BWX21">
        <f t="shared" si="1314"/>
        <v>0</v>
      </c>
      <c r="BWY21">
        <f t="shared" si="1315"/>
        <v>0</v>
      </c>
      <c r="BWZ21">
        <f t="shared" si="1316"/>
        <v>0</v>
      </c>
      <c r="BXA21">
        <f t="shared" si="1317"/>
        <v>0</v>
      </c>
      <c r="BXB21">
        <f t="shared" si="1318"/>
        <v>0</v>
      </c>
      <c r="BXC21">
        <f t="shared" si="1319"/>
        <v>0</v>
      </c>
      <c r="BXD21">
        <f t="shared" si="1320"/>
        <v>0</v>
      </c>
      <c r="BXE21">
        <f t="shared" si="1321"/>
        <v>0</v>
      </c>
      <c r="BXF21">
        <f t="shared" si="1322"/>
        <v>0</v>
      </c>
      <c r="BXG21">
        <f t="shared" si="1323"/>
        <v>0</v>
      </c>
      <c r="BXH21">
        <f t="shared" si="1324"/>
        <v>0</v>
      </c>
      <c r="BXI21">
        <f t="shared" si="1325"/>
        <v>0</v>
      </c>
      <c r="BXJ21">
        <f t="shared" si="53"/>
        <v>0</v>
      </c>
      <c r="BXK21">
        <f t="shared" si="1326"/>
        <v>0</v>
      </c>
      <c r="BXL21">
        <f t="shared" si="1327"/>
        <v>0</v>
      </c>
      <c r="BXM21">
        <f t="shared" si="1328"/>
        <v>0</v>
      </c>
      <c r="BXN21">
        <f t="shared" si="1329"/>
        <v>0</v>
      </c>
      <c r="BXO21">
        <f t="shared" si="1330"/>
        <v>0</v>
      </c>
      <c r="BXP21">
        <f t="shared" si="1331"/>
        <v>0</v>
      </c>
      <c r="BXQ21">
        <f t="shared" si="1332"/>
        <v>0</v>
      </c>
      <c r="BXR21">
        <f t="shared" si="1333"/>
        <v>0</v>
      </c>
      <c r="BXS21">
        <f t="shared" si="1334"/>
        <v>0</v>
      </c>
      <c r="BXT21">
        <f t="shared" si="1335"/>
        <v>0</v>
      </c>
      <c r="BXU21">
        <f t="shared" si="1336"/>
        <v>0</v>
      </c>
      <c r="BXV21">
        <f t="shared" si="1337"/>
        <v>0</v>
      </c>
      <c r="BXW21">
        <f t="shared" si="1338"/>
        <v>0</v>
      </c>
      <c r="BXX21">
        <f t="shared" si="1339"/>
        <v>0</v>
      </c>
      <c r="BXY21">
        <f t="shared" si="1340"/>
        <v>0</v>
      </c>
      <c r="BXZ21">
        <f t="shared" si="1341"/>
        <v>0</v>
      </c>
      <c r="BYA21">
        <f t="shared" si="1342"/>
        <v>0</v>
      </c>
      <c r="BYB21">
        <f t="shared" si="1343"/>
        <v>0</v>
      </c>
      <c r="BYC21">
        <f t="shared" si="1344"/>
        <v>0</v>
      </c>
      <c r="BYD21">
        <f t="shared" si="1345"/>
        <v>0</v>
      </c>
      <c r="BYE21">
        <f t="shared" si="1346"/>
        <v>0</v>
      </c>
      <c r="BYF21">
        <f t="shared" si="1347"/>
        <v>0</v>
      </c>
      <c r="BYG21">
        <f t="shared" si="1348"/>
        <v>0</v>
      </c>
      <c r="BYH21">
        <f t="shared" si="1349"/>
        <v>0</v>
      </c>
      <c r="BYI21">
        <f t="shared" si="1350"/>
        <v>0</v>
      </c>
      <c r="BYJ21">
        <f t="shared" si="1351"/>
        <v>0</v>
      </c>
      <c r="BYK21">
        <f t="shared" si="1352"/>
        <v>0</v>
      </c>
      <c r="BYL21">
        <f t="shared" si="1353"/>
        <v>0</v>
      </c>
      <c r="BYM21">
        <f t="shared" si="1354"/>
        <v>0</v>
      </c>
      <c r="BYN21">
        <f t="shared" si="1355"/>
        <v>0</v>
      </c>
      <c r="BYO21">
        <f t="shared" si="1356"/>
        <v>0</v>
      </c>
      <c r="BYP21">
        <f t="shared" si="1357"/>
        <v>0</v>
      </c>
      <c r="BYQ21">
        <f t="shared" si="1358"/>
        <v>0</v>
      </c>
      <c r="BYR21">
        <f t="shared" si="1359"/>
        <v>0</v>
      </c>
      <c r="BYS21">
        <f t="shared" si="1360"/>
        <v>0</v>
      </c>
      <c r="BYT21">
        <f t="shared" si="1361"/>
        <v>0</v>
      </c>
      <c r="BYU21">
        <f t="shared" si="1362"/>
        <v>0</v>
      </c>
      <c r="BYV21">
        <f t="shared" si="1363"/>
        <v>0</v>
      </c>
      <c r="BYW21">
        <f t="shared" si="1364"/>
        <v>0</v>
      </c>
      <c r="BYX21">
        <f t="shared" si="1365"/>
        <v>0</v>
      </c>
      <c r="BYY21">
        <f t="shared" si="1366"/>
        <v>0</v>
      </c>
      <c r="BYZ21">
        <f t="shared" si="1367"/>
        <v>0</v>
      </c>
      <c r="BZA21">
        <f t="shared" si="1368"/>
        <v>0</v>
      </c>
      <c r="BZB21">
        <f t="shared" si="1369"/>
        <v>0</v>
      </c>
      <c r="BZC21">
        <f t="shared" si="1370"/>
        <v>0</v>
      </c>
      <c r="BZD21">
        <f t="shared" si="1371"/>
        <v>0</v>
      </c>
      <c r="BZE21">
        <f t="shared" si="1372"/>
        <v>0</v>
      </c>
      <c r="BZF21">
        <f t="shared" si="1373"/>
        <v>0</v>
      </c>
      <c r="BZG21">
        <f t="shared" si="1374"/>
        <v>0</v>
      </c>
      <c r="BZH21">
        <f t="shared" si="1375"/>
        <v>0</v>
      </c>
      <c r="BZI21">
        <f t="shared" si="1376"/>
        <v>0</v>
      </c>
      <c r="BZJ21">
        <f t="shared" si="1377"/>
        <v>0</v>
      </c>
      <c r="BZK21">
        <f t="shared" si="1378"/>
        <v>0</v>
      </c>
      <c r="BZL21">
        <f t="shared" si="1379"/>
        <v>0</v>
      </c>
      <c r="BZM21">
        <f t="shared" si="1380"/>
        <v>0</v>
      </c>
      <c r="BZN21">
        <f t="shared" si="1381"/>
        <v>0</v>
      </c>
      <c r="BZO21">
        <f t="shared" si="1382"/>
        <v>0</v>
      </c>
      <c r="BZP21">
        <f t="shared" si="1383"/>
        <v>0</v>
      </c>
      <c r="BZQ21">
        <f t="shared" si="1384"/>
        <v>0</v>
      </c>
      <c r="BZR21">
        <f t="shared" si="1385"/>
        <v>0</v>
      </c>
      <c r="BZS21">
        <f t="shared" si="1386"/>
        <v>0</v>
      </c>
      <c r="BZT21">
        <f t="shared" si="1387"/>
        <v>0</v>
      </c>
      <c r="BZU21">
        <f t="shared" si="1388"/>
        <v>0</v>
      </c>
      <c r="BZV21">
        <f t="shared" si="54"/>
        <v>0</v>
      </c>
      <c r="BZW21">
        <f t="shared" si="1389"/>
        <v>0</v>
      </c>
      <c r="BZX21">
        <f t="shared" si="1390"/>
        <v>0</v>
      </c>
      <c r="BZY21">
        <f t="shared" si="1391"/>
        <v>0</v>
      </c>
      <c r="BZZ21">
        <f t="shared" si="1392"/>
        <v>0</v>
      </c>
      <c r="CAA21">
        <f t="shared" si="1393"/>
        <v>0</v>
      </c>
      <c r="CAB21">
        <f t="shared" si="1394"/>
        <v>0</v>
      </c>
      <c r="CAC21">
        <f t="shared" si="1395"/>
        <v>0</v>
      </c>
      <c r="CAD21">
        <f t="shared" si="1396"/>
        <v>0</v>
      </c>
      <c r="CAE21">
        <f t="shared" si="1397"/>
        <v>0</v>
      </c>
      <c r="CAF21">
        <f t="shared" si="1398"/>
        <v>0</v>
      </c>
      <c r="CAG21">
        <f t="shared" si="1399"/>
        <v>0</v>
      </c>
      <c r="CAH21">
        <f t="shared" si="1400"/>
        <v>0</v>
      </c>
      <c r="CAI21">
        <f t="shared" si="1401"/>
        <v>0</v>
      </c>
      <c r="CAJ21">
        <f t="shared" si="1402"/>
        <v>0</v>
      </c>
      <c r="CAK21">
        <f t="shared" si="1403"/>
        <v>0</v>
      </c>
      <c r="CAL21">
        <f t="shared" si="1404"/>
        <v>0</v>
      </c>
      <c r="CAM21">
        <f t="shared" si="1405"/>
        <v>0</v>
      </c>
      <c r="CAN21">
        <f t="shared" si="1406"/>
        <v>0</v>
      </c>
      <c r="CAO21">
        <f t="shared" si="1407"/>
        <v>0</v>
      </c>
      <c r="CAP21">
        <f t="shared" si="1408"/>
        <v>0</v>
      </c>
      <c r="CAQ21">
        <f t="shared" si="1409"/>
        <v>0</v>
      </c>
      <c r="CAR21">
        <f t="shared" si="1410"/>
        <v>0</v>
      </c>
      <c r="CAS21">
        <f t="shared" si="1411"/>
        <v>0</v>
      </c>
      <c r="CAT21">
        <f t="shared" si="1412"/>
        <v>0</v>
      </c>
      <c r="CAU21">
        <f t="shared" si="1413"/>
        <v>0</v>
      </c>
      <c r="CAV21">
        <f t="shared" si="1414"/>
        <v>0</v>
      </c>
      <c r="CAW21">
        <f t="shared" si="1415"/>
        <v>0</v>
      </c>
      <c r="CAX21">
        <f t="shared" si="1416"/>
        <v>0</v>
      </c>
      <c r="CAY21">
        <f t="shared" si="1417"/>
        <v>0</v>
      </c>
      <c r="CAZ21">
        <f t="shared" si="1418"/>
        <v>0</v>
      </c>
      <c r="CBA21">
        <f t="shared" si="1419"/>
        <v>0</v>
      </c>
      <c r="CBB21">
        <f t="shared" si="1420"/>
        <v>0</v>
      </c>
      <c r="CBC21">
        <f t="shared" si="1421"/>
        <v>0</v>
      </c>
      <c r="CBD21">
        <f t="shared" si="1422"/>
        <v>0</v>
      </c>
      <c r="CBE21">
        <f t="shared" si="1423"/>
        <v>0</v>
      </c>
      <c r="CBF21">
        <f t="shared" si="1424"/>
        <v>0</v>
      </c>
      <c r="CBG21">
        <f t="shared" si="1425"/>
        <v>0</v>
      </c>
      <c r="CBH21">
        <f t="shared" si="1426"/>
        <v>0</v>
      </c>
      <c r="CBI21">
        <f t="shared" si="1427"/>
        <v>0</v>
      </c>
      <c r="CBJ21">
        <f t="shared" si="1428"/>
        <v>0</v>
      </c>
      <c r="CBK21">
        <f t="shared" si="1429"/>
        <v>0</v>
      </c>
      <c r="CBL21">
        <f t="shared" si="1430"/>
        <v>0</v>
      </c>
      <c r="CBM21">
        <f t="shared" si="1431"/>
        <v>0</v>
      </c>
      <c r="CBN21">
        <f t="shared" si="1432"/>
        <v>0</v>
      </c>
      <c r="CBO21">
        <f t="shared" si="1433"/>
        <v>0</v>
      </c>
      <c r="CBP21">
        <f t="shared" si="1434"/>
        <v>0</v>
      </c>
      <c r="CBQ21">
        <f t="shared" si="1435"/>
        <v>0</v>
      </c>
      <c r="CBR21">
        <f t="shared" si="1436"/>
        <v>0</v>
      </c>
      <c r="CBS21">
        <f t="shared" si="1437"/>
        <v>0</v>
      </c>
      <c r="CBT21">
        <f t="shared" si="1438"/>
        <v>0</v>
      </c>
      <c r="CBU21">
        <f t="shared" si="1439"/>
        <v>0</v>
      </c>
      <c r="CBV21">
        <f t="shared" si="1440"/>
        <v>0</v>
      </c>
      <c r="CBW21">
        <f t="shared" si="1441"/>
        <v>0</v>
      </c>
      <c r="CBX21">
        <f t="shared" si="1442"/>
        <v>0</v>
      </c>
      <c r="CBY21">
        <f t="shared" si="1443"/>
        <v>0</v>
      </c>
      <c r="CBZ21">
        <f t="shared" si="1444"/>
        <v>0</v>
      </c>
      <c r="CCA21">
        <f t="shared" si="1445"/>
        <v>0</v>
      </c>
      <c r="CCB21">
        <f t="shared" si="1446"/>
        <v>0</v>
      </c>
      <c r="CCC21">
        <f t="shared" si="1447"/>
        <v>0</v>
      </c>
      <c r="CCD21">
        <f t="shared" si="1448"/>
        <v>0</v>
      </c>
      <c r="CCE21">
        <f t="shared" si="1449"/>
        <v>0</v>
      </c>
      <c r="CCF21">
        <f t="shared" si="1450"/>
        <v>0</v>
      </c>
      <c r="CCG21">
        <f t="shared" si="1451"/>
        <v>0</v>
      </c>
      <c r="CCH21">
        <f t="shared" si="55"/>
        <v>0</v>
      </c>
      <c r="CCI21">
        <f t="shared" si="1452"/>
        <v>0</v>
      </c>
      <c r="CCJ21">
        <f t="shared" si="1453"/>
        <v>0</v>
      </c>
      <c r="CCK21">
        <f t="shared" si="1454"/>
        <v>0</v>
      </c>
      <c r="CCL21">
        <f t="shared" si="1455"/>
        <v>0</v>
      </c>
      <c r="CCM21">
        <f t="shared" si="1456"/>
        <v>0</v>
      </c>
      <c r="CCN21">
        <f t="shared" si="1457"/>
        <v>0</v>
      </c>
      <c r="CCO21">
        <f t="shared" si="1458"/>
        <v>0</v>
      </c>
      <c r="CCP21">
        <f t="shared" si="1459"/>
        <v>0</v>
      </c>
      <c r="CCQ21">
        <f t="shared" si="1460"/>
        <v>0</v>
      </c>
      <c r="CCR21">
        <f t="shared" si="1461"/>
        <v>0</v>
      </c>
      <c r="CCS21">
        <f t="shared" si="1462"/>
        <v>0</v>
      </c>
      <c r="CCT21">
        <f t="shared" si="1463"/>
        <v>0</v>
      </c>
      <c r="CCU21">
        <f t="shared" si="1464"/>
        <v>0</v>
      </c>
      <c r="CCV21">
        <f t="shared" si="1465"/>
        <v>0</v>
      </c>
      <c r="CCW21">
        <f t="shared" si="1466"/>
        <v>0</v>
      </c>
      <c r="CCX21">
        <f t="shared" si="1467"/>
        <v>0</v>
      </c>
      <c r="CCY21">
        <f t="shared" si="1468"/>
        <v>0</v>
      </c>
      <c r="CCZ21">
        <f t="shared" si="1469"/>
        <v>0</v>
      </c>
      <c r="CDA21">
        <f t="shared" si="1470"/>
        <v>0</v>
      </c>
      <c r="CDB21">
        <f t="shared" si="1471"/>
        <v>0</v>
      </c>
      <c r="CDC21">
        <f t="shared" si="1472"/>
        <v>0</v>
      </c>
      <c r="CDD21">
        <f t="shared" si="1473"/>
        <v>0</v>
      </c>
      <c r="CDE21">
        <f t="shared" si="1474"/>
        <v>0</v>
      </c>
      <c r="CDF21">
        <f t="shared" si="1475"/>
        <v>0</v>
      </c>
      <c r="CDG21">
        <f t="shared" si="1476"/>
        <v>0</v>
      </c>
      <c r="CDH21">
        <f t="shared" si="1477"/>
        <v>0</v>
      </c>
      <c r="CDI21">
        <f t="shared" si="1478"/>
        <v>0</v>
      </c>
      <c r="CDJ21">
        <f t="shared" si="1479"/>
        <v>0</v>
      </c>
      <c r="CDK21">
        <f t="shared" si="1480"/>
        <v>0</v>
      </c>
      <c r="CDL21">
        <f t="shared" si="1481"/>
        <v>0</v>
      </c>
      <c r="CDM21">
        <f t="shared" si="1482"/>
        <v>0</v>
      </c>
      <c r="CDN21">
        <f t="shared" si="1483"/>
        <v>0</v>
      </c>
      <c r="CDO21">
        <f t="shared" si="1484"/>
        <v>0</v>
      </c>
      <c r="CDP21">
        <f t="shared" si="1485"/>
        <v>0</v>
      </c>
      <c r="CDQ21">
        <f t="shared" si="1486"/>
        <v>0</v>
      </c>
      <c r="CDR21">
        <f t="shared" si="1487"/>
        <v>0</v>
      </c>
      <c r="CDS21">
        <f t="shared" si="1488"/>
        <v>0</v>
      </c>
      <c r="CDT21">
        <f t="shared" si="1489"/>
        <v>0</v>
      </c>
      <c r="CDU21">
        <f t="shared" si="1490"/>
        <v>0</v>
      </c>
      <c r="CDV21">
        <f t="shared" si="1491"/>
        <v>0</v>
      </c>
      <c r="CDW21">
        <f t="shared" si="1492"/>
        <v>0</v>
      </c>
      <c r="CDX21">
        <f t="shared" si="1493"/>
        <v>0</v>
      </c>
      <c r="CDY21">
        <f t="shared" si="1494"/>
        <v>0</v>
      </c>
      <c r="CDZ21">
        <f t="shared" si="1495"/>
        <v>0</v>
      </c>
      <c r="CEA21">
        <f t="shared" si="1496"/>
        <v>0</v>
      </c>
      <c r="CEB21">
        <f t="shared" si="1497"/>
        <v>0</v>
      </c>
      <c r="CEC21">
        <f t="shared" si="1498"/>
        <v>0</v>
      </c>
      <c r="CED21">
        <f t="shared" si="1499"/>
        <v>0</v>
      </c>
      <c r="CEE21">
        <f t="shared" si="1500"/>
        <v>0</v>
      </c>
      <c r="CEF21">
        <f t="shared" si="1501"/>
        <v>0</v>
      </c>
      <c r="CEG21">
        <f t="shared" si="1502"/>
        <v>0</v>
      </c>
      <c r="CEH21">
        <f t="shared" si="1503"/>
        <v>0</v>
      </c>
      <c r="CEI21">
        <f t="shared" si="1504"/>
        <v>0</v>
      </c>
      <c r="CEJ21">
        <f t="shared" si="1505"/>
        <v>0</v>
      </c>
      <c r="CEK21">
        <f t="shared" si="1506"/>
        <v>0</v>
      </c>
      <c r="CEL21">
        <f t="shared" si="1507"/>
        <v>0</v>
      </c>
      <c r="CEM21">
        <f t="shared" si="1508"/>
        <v>0</v>
      </c>
      <c r="CEN21">
        <f t="shared" si="1509"/>
        <v>0</v>
      </c>
      <c r="CEO21">
        <f t="shared" si="1510"/>
        <v>0</v>
      </c>
      <c r="CEP21">
        <f t="shared" si="1511"/>
        <v>0</v>
      </c>
      <c r="CEQ21">
        <f t="shared" si="1512"/>
        <v>0</v>
      </c>
      <c r="CER21">
        <f t="shared" si="1513"/>
        <v>0</v>
      </c>
      <c r="CES21">
        <f t="shared" si="1514"/>
        <v>0</v>
      </c>
      <c r="CET21">
        <f t="shared" si="56"/>
        <v>0</v>
      </c>
      <c r="CEU21">
        <f t="shared" si="1515"/>
        <v>0</v>
      </c>
      <c r="CEV21">
        <f t="shared" si="1516"/>
        <v>0</v>
      </c>
      <c r="CEW21">
        <f t="shared" si="1517"/>
        <v>0</v>
      </c>
      <c r="CEX21">
        <f t="shared" si="1518"/>
        <v>0</v>
      </c>
      <c r="CEY21">
        <f t="shared" si="1519"/>
        <v>0</v>
      </c>
      <c r="CEZ21">
        <f t="shared" si="1520"/>
        <v>0</v>
      </c>
      <c r="CFA21">
        <f t="shared" si="1521"/>
        <v>0</v>
      </c>
      <c r="CFB21">
        <f t="shared" si="1522"/>
        <v>0</v>
      </c>
      <c r="CFC21">
        <f t="shared" si="1523"/>
        <v>0</v>
      </c>
      <c r="CFD21">
        <f t="shared" si="1524"/>
        <v>0</v>
      </c>
      <c r="CFE21">
        <f t="shared" si="1525"/>
        <v>0</v>
      </c>
      <c r="CFF21">
        <f t="shared" si="1526"/>
        <v>0</v>
      </c>
      <c r="CFG21">
        <f t="shared" si="1527"/>
        <v>0</v>
      </c>
      <c r="CFH21">
        <f t="shared" si="1528"/>
        <v>0</v>
      </c>
      <c r="CFI21">
        <f t="shared" si="1529"/>
        <v>0</v>
      </c>
      <c r="CFJ21">
        <f t="shared" si="1530"/>
        <v>0</v>
      </c>
      <c r="CFK21">
        <f t="shared" si="1531"/>
        <v>0</v>
      </c>
      <c r="CFL21">
        <f t="shared" si="1532"/>
        <v>0</v>
      </c>
      <c r="CFM21">
        <f t="shared" si="1533"/>
        <v>0</v>
      </c>
      <c r="CFN21">
        <f t="shared" si="1534"/>
        <v>0</v>
      </c>
      <c r="CFO21">
        <f t="shared" si="1535"/>
        <v>0</v>
      </c>
      <c r="CFP21">
        <f t="shared" si="1536"/>
        <v>0</v>
      </c>
      <c r="CFQ21">
        <f t="shared" si="1537"/>
        <v>0</v>
      </c>
      <c r="CFR21">
        <f t="shared" si="1538"/>
        <v>0</v>
      </c>
      <c r="CFS21">
        <f t="shared" si="1539"/>
        <v>0</v>
      </c>
      <c r="CFT21">
        <f t="shared" si="1540"/>
        <v>0</v>
      </c>
      <c r="CFU21">
        <f t="shared" si="1541"/>
        <v>0</v>
      </c>
      <c r="CFV21">
        <f t="shared" si="1542"/>
        <v>0</v>
      </c>
      <c r="CFW21">
        <f t="shared" si="1543"/>
        <v>0</v>
      </c>
      <c r="CFX21">
        <f t="shared" si="1544"/>
        <v>0</v>
      </c>
      <c r="CFY21">
        <f t="shared" si="1545"/>
        <v>0</v>
      </c>
      <c r="CFZ21">
        <f t="shared" si="1546"/>
        <v>0</v>
      </c>
      <c r="CGA21">
        <f t="shared" si="1547"/>
        <v>0</v>
      </c>
      <c r="CGB21">
        <f t="shared" si="1548"/>
        <v>0</v>
      </c>
      <c r="CGC21">
        <f t="shared" si="1549"/>
        <v>0</v>
      </c>
      <c r="CGD21">
        <f t="shared" si="1550"/>
        <v>0</v>
      </c>
      <c r="CGE21">
        <f t="shared" si="1551"/>
        <v>0</v>
      </c>
      <c r="CGF21">
        <f t="shared" si="1552"/>
        <v>0</v>
      </c>
      <c r="CGG21">
        <f t="shared" si="1553"/>
        <v>0</v>
      </c>
      <c r="CGH21">
        <f t="shared" si="1554"/>
        <v>0</v>
      </c>
      <c r="CGI21">
        <f t="shared" si="1555"/>
        <v>0</v>
      </c>
      <c r="CGJ21">
        <f t="shared" si="1556"/>
        <v>0</v>
      </c>
      <c r="CGK21">
        <f t="shared" si="1557"/>
        <v>0</v>
      </c>
      <c r="CGL21">
        <f t="shared" si="1558"/>
        <v>0</v>
      </c>
      <c r="CGM21">
        <f t="shared" si="1559"/>
        <v>0</v>
      </c>
      <c r="CGN21">
        <f t="shared" si="1560"/>
        <v>0</v>
      </c>
      <c r="CGO21">
        <f t="shared" si="1561"/>
        <v>0</v>
      </c>
      <c r="CGP21">
        <f t="shared" si="1562"/>
        <v>0</v>
      </c>
      <c r="CGQ21">
        <f t="shared" si="1563"/>
        <v>0</v>
      </c>
      <c r="CGR21">
        <f t="shared" si="1564"/>
        <v>0</v>
      </c>
      <c r="CGS21">
        <f t="shared" si="1565"/>
        <v>0</v>
      </c>
      <c r="CGT21">
        <f t="shared" si="1566"/>
        <v>0</v>
      </c>
      <c r="CGU21">
        <f t="shared" si="1567"/>
        <v>0</v>
      </c>
      <c r="CGV21">
        <f t="shared" si="1568"/>
        <v>0</v>
      </c>
      <c r="CGW21">
        <f t="shared" si="1569"/>
        <v>0</v>
      </c>
      <c r="CGX21">
        <f t="shared" si="1570"/>
        <v>0</v>
      </c>
      <c r="CGY21">
        <f t="shared" si="1571"/>
        <v>0</v>
      </c>
      <c r="CGZ21">
        <f t="shared" si="1572"/>
        <v>0</v>
      </c>
      <c r="CHA21">
        <f t="shared" si="1573"/>
        <v>0</v>
      </c>
      <c r="CHB21">
        <f t="shared" si="1574"/>
        <v>0</v>
      </c>
      <c r="CHC21">
        <f t="shared" si="1575"/>
        <v>0</v>
      </c>
      <c r="CHD21">
        <f t="shared" si="1576"/>
        <v>0</v>
      </c>
      <c r="CHE21">
        <f t="shared" si="1577"/>
        <v>0</v>
      </c>
      <c r="CHF21">
        <f t="shared" si="57"/>
        <v>0</v>
      </c>
      <c r="CHG21">
        <f t="shared" si="1578"/>
        <v>0</v>
      </c>
      <c r="CHH21">
        <f t="shared" si="1579"/>
        <v>0</v>
      </c>
      <c r="CHI21">
        <f t="shared" si="1580"/>
        <v>0</v>
      </c>
      <c r="CHJ21">
        <f t="shared" si="1581"/>
        <v>0</v>
      </c>
      <c r="CHK21">
        <f t="shared" si="1582"/>
        <v>0</v>
      </c>
      <c r="CHL21">
        <f t="shared" si="1583"/>
        <v>0</v>
      </c>
      <c r="CHM21">
        <f t="shared" si="1584"/>
        <v>0</v>
      </c>
      <c r="CHN21">
        <f t="shared" si="1585"/>
        <v>0</v>
      </c>
      <c r="CHO21">
        <f t="shared" si="1586"/>
        <v>0</v>
      </c>
      <c r="CHP21">
        <f t="shared" si="1587"/>
        <v>0</v>
      </c>
      <c r="CHQ21">
        <f t="shared" si="1588"/>
        <v>0</v>
      </c>
      <c r="CHR21">
        <f t="shared" si="1589"/>
        <v>0</v>
      </c>
      <c r="CHS21">
        <f t="shared" si="1590"/>
        <v>0</v>
      </c>
      <c r="CHT21">
        <f t="shared" si="1591"/>
        <v>0</v>
      </c>
      <c r="CHU21">
        <f t="shared" si="1592"/>
        <v>0</v>
      </c>
      <c r="CHV21">
        <f t="shared" si="1593"/>
        <v>0</v>
      </c>
      <c r="CHW21">
        <f t="shared" si="1594"/>
        <v>0</v>
      </c>
      <c r="CHX21">
        <f t="shared" si="1595"/>
        <v>0</v>
      </c>
      <c r="CHY21">
        <f t="shared" si="1596"/>
        <v>0</v>
      </c>
      <c r="CHZ21">
        <f t="shared" si="1597"/>
        <v>0</v>
      </c>
      <c r="CIA21">
        <f t="shared" si="1598"/>
        <v>0</v>
      </c>
      <c r="CIB21">
        <f t="shared" si="1599"/>
        <v>0</v>
      </c>
      <c r="CIC21">
        <f t="shared" si="1600"/>
        <v>0</v>
      </c>
      <c r="CID21">
        <f t="shared" si="1601"/>
        <v>0</v>
      </c>
      <c r="CIE21">
        <f t="shared" si="1602"/>
        <v>0</v>
      </c>
      <c r="CIF21">
        <f t="shared" si="1603"/>
        <v>0</v>
      </c>
      <c r="CIG21">
        <f t="shared" si="1604"/>
        <v>0</v>
      </c>
      <c r="CIH21">
        <f t="shared" si="1605"/>
        <v>0</v>
      </c>
      <c r="CII21">
        <f t="shared" si="1606"/>
        <v>0</v>
      </c>
      <c r="CIJ21">
        <f t="shared" si="1607"/>
        <v>0</v>
      </c>
      <c r="CIK21">
        <f t="shared" si="1608"/>
        <v>0</v>
      </c>
      <c r="CIL21">
        <f t="shared" si="1609"/>
        <v>0</v>
      </c>
      <c r="CIM21">
        <f t="shared" si="1610"/>
        <v>0</v>
      </c>
      <c r="CIN21">
        <f t="shared" si="1611"/>
        <v>0</v>
      </c>
      <c r="CIO21">
        <f t="shared" si="1612"/>
        <v>0</v>
      </c>
      <c r="CIP21">
        <f t="shared" si="1613"/>
        <v>0</v>
      </c>
      <c r="CIQ21">
        <f t="shared" si="1614"/>
        <v>0</v>
      </c>
      <c r="CIR21">
        <f t="shared" si="1615"/>
        <v>0</v>
      </c>
      <c r="CIS21">
        <f t="shared" si="1616"/>
        <v>0</v>
      </c>
      <c r="CIT21">
        <f t="shared" si="1617"/>
        <v>0</v>
      </c>
      <c r="CIU21">
        <f t="shared" si="1618"/>
        <v>0</v>
      </c>
      <c r="CIV21">
        <f t="shared" si="1619"/>
        <v>0</v>
      </c>
      <c r="CIW21">
        <f t="shared" si="1620"/>
        <v>0</v>
      </c>
      <c r="CIX21">
        <f t="shared" si="1621"/>
        <v>0</v>
      </c>
      <c r="CIY21">
        <f t="shared" si="1622"/>
        <v>0</v>
      </c>
      <c r="CIZ21">
        <f t="shared" si="1623"/>
        <v>0</v>
      </c>
      <c r="CJA21">
        <f t="shared" si="1624"/>
        <v>0</v>
      </c>
      <c r="CJB21">
        <f t="shared" si="1625"/>
        <v>0</v>
      </c>
      <c r="CJC21">
        <f t="shared" si="1626"/>
        <v>0</v>
      </c>
      <c r="CJD21">
        <f t="shared" si="1627"/>
        <v>0</v>
      </c>
      <c r="CJE21">
        <f t="shared" si="1628"/>
        <v>0</v>
      </c>
      <c r="CJF21">
        <f t="shared" si="1629"/>
        <v>0</v>
      </c>
      <c r="CJG21">
        <f t="shared" si="1630"/>
        <v>0</v>
      </c>
      <c r="CJH21">
        <f t="shared" si="1631"/>
        <v>0</v>
      </c>
      <c r="CJI21">
        <f t="shared" si="1632"/>
        <v>0</v>
      </c>
      <c r="CJJ21">
        <f t="shared" si="1633"/>
        <v>0</v>
      </c>
      <c r="CJK21">
        <f t="shared" si="1634"/>
        <v>0</v>
      </c>
      <c r="CJL21">
        <f t="shared" si="1635"/>
        <v>0</v>
      </c>
      <c r="CJM21">
        <f t="shared" si="1636"/>
        <v>0</v>
      </c>
      <c r="CJN21">
        <f t="shared" si="1637"/>
        <v>0</v>
      </c>
      <c r="CJO21">
        <f t="shared" si="1638"/>
        <v>0</v>
      </c>
      <c r="CJP21">
        <f t="shared" si="1639"/>
        <v>0</v>
      </c>
      <c r="CJQ21">
        <f t="shared" si="1640"/>
        <v>0</v>
      </c>
      <c r="CJR21">
        <f t="shared" si="58"/>
        <v>0</v>
      </c>
      <c r="CJS21">
        <f t="shared" si="1641"/>
        <v>0</v>
      </c>
      <c r="CJT21">
        <f t="shared" si="1642"/>
        <v>0</v>
      </c>
      <c r="CJU21">
        <f t="shared" si="1643"/>
        <v>0</v>
      </c>
      <c r="CJV21">
        <f t="shared" si="1644"/>
        <v>0</v>
      </c>
      <c r="CJW21">
        <f t="shared" si="1645"/>
        <v>0</v>
      </c>
      <c r="CJX21">
        <f t="shared" si="1646"/>
        <v>0</v>
      </c>
      <c r="CJY21">
        <f t="shared" si="1647"/>
        <v>0</v>
      </c>
      <c r="CJZ21">
        <f t="shared" si="1648"/>
        <v>0</v>
      </c>
      <c r="CKA21">
        <f t="shared" si="1649"/>
        <v>0</v>
      </c>
      <c r="CKB21">
        <f t="shared" si="1650"/>
        <v>0</v>
      </c>
      <c r="CKC21">
        <f t="shared" si="1651"/>
        <v>0</v>
      </c>
      <c r="CKD21">
        <f t="shared" si="1652"/>
        <v>0</v>
      </c>
      <c r="CKE21">
        <f t="shared" si="1653"/>
        <v>0</v>
      </c>
      <c r="CKF21">
        <f t="shared" si="1654"/>
        <v>0</v>
      </c>
      <c r="CKG21">
        <f t="shared" si="1655"/>
        <v>0</v>
      </c>
      <c r="CKH21">
        <f t="shared" si="1656"/>
        <v>0</v>
      </c>
      <c r="CKI21">
        <f t="shared" si="1657"/>
        <v>0</v>
      </c>
      <c r="CKJ21">
        <f t="shared" si="1658"/>
        <v>0</v>
      </c>
      <c r="CKK21">
        <f t="shared" si="1659"/>
        <v>0</v>
      </c>
      <c r="CKL21">
        <f t="shared" si="1660"/>
        <v>0</v>
      </c>
      <c r="CKM21">
        <f t="shared" si="1661"/>
        <v>0</v>
      </c>
      <c r="CKN21">
        <f t="shared" si="1662"/>
        <v>0</v>
      </c>
      <c r="CKO21">
        <f t="shared" si="1663"/>
        <v>0</v>
      </c>
      <c r="CKP21">
        <f t="shared" si="1664"/>
        <v>0</v>
      </c>
      <c r="CKQ21">
        <f t="shared" si="1665"/>
        <v>0</v>
      </c>
      <c r="CKR21">
        <f t="shared" si="1666"/>
        <v>0</v>
      </c>
      <c r="CKS21">
        <f t="shared" si="1667"/>
        <v>0</v>
      </c>
      <c r="CKT21">
        <f t="shared" si="1668"/>
        <v>0</v>
      </c>
      <c r="CKU21">
        <f t="shared" si="1669"/>
        <v>0</v>
      </c>
      <c r="CKV21">
        <f t="shared" si="1670"/>
        <v>0</v>
      </c>
      <c r="CKW21">
        <f t="shared" si="1671"/>
        <v>0</v>
      </c>
      <c r="CKX21">
        <f t="shared" si="1672"/>
        <v>0</v>
      </c>
      <c r="CKY21">
        <f t="shared" si="1673"/>
        <v>0</v>
      </c>
      <c r="CKZ21">
        <f t="shared" si="1674"/>
        <v>0</v>
      </c>
      <c r="CLA21">
        <f t="shared" si="1675"/>
        <v>0</v>
      </c>
      <c r="CLB21">
        <f t="shared" si="1676"/>
        <v>0</v>
      </c>
      <c r="CLC21">
        <f t="shared" si="1677"/>
        <v>0</v>
      </c>
      <c r="CLD21">
        <f t="shared" si="1678"/>
        <v>0</v>
      </c>
      <c r="CLE21">
        <f t="shared" si="1679"/>
        <v>0</v>
      </c>
      <c r="CLF21">
        <f t="shared" si="1680"/>
        <v>0</v>
      </c>
      <c r="CLG21">
        <f t="shared" si="1681"/>
        <v>0</v>
      </c>
      <c r="CLH21">
        <f t="shared" si="1682"/>
        <v>0</v>
      </c>
      <c r="CLI21">
        <f t="shared" si="1683"/>
        <v>0</v>
      </c>
      <c r="CLJ21">
        <f t="shared" si="1684"/>
        <v>0</v>
      </c>
      <c r="CLK21">
        <f t="shared" si="1685"/>
        <v>0</v>
      </c>
      <c r="CLL21">
        <f t="shared" si="1686"/>
        <v>0</v>
      </c>
      <c r="CLM21">
        <f t="shared" si="1687"/>
        <v>0</v>
      </c>
      <c r="CLN21">
        <f t="shared" si="1688"/>
        <v>0</v>
      </c>
      <c r="CLO21">
        <f t="shared" si="1689"/>
        <v>0</v>
      </c>
      <c r="CLP21">
        <f t="shared" si="1690"/>
        <v>0</v>
      </c>
      <c r="CLQ21">
        <f t="shared" si="1691"/>
        <v>0</v>
      </c>
      <c r="CLR21">
        <f t="shared" si="1692"/>
        <v>0</v>
      </c>
      <c r="CLS21">
        <f t="shared" si="1693"/>
        <v>0</v>
      </c>
      <c r="CLT21">
        <f t="shared" si="1694"/>
        <v>0</v>
      </c>
      <c r="CLU21">
        <f t="shared" si="1695"/>
        <v>0</v>
      </c>
      <c r="CLV21">
        <f t="shared" si="1696"/>
        <v>0</v>
      </c>
      <c r="CLW21">
        <f t="shared" si="1697"/>
        <v>0</v>
      </c>
      <c r="CLX21">
        <f t="shared" si="1698"/>
        <v>0</v>
      </c>
      <c r="CLY21">
        <f t="shared" si="1699"/>
        <v>0</v>
      </c>
      <c r="CLZ21">
        <f t="shared" si="1700"/>
        <v>0</v>
      </c>
      <c r="CMA21">
        <f t="shared" si="1701"/>
        <v>0</v>
      </c>
      <c r="CMB21">
        <f t="shared" si="1702"/>
        <v>0</v>
      </c>
      <c r="CMC21">
        <f t="shared" si="1703"/>
        <v>0</v>
      </c>
      <c r="CMD21">
        <f t="shared" si="59"/>
        <v>0</v>
      </c>
      <c r="CME21">
        <f t="shared" si="1704"/>
        <v>0</v>
      </c>
      <c r="CMF21">
        <f t="shared" si="1705"/>
        <v>0</v>
      </c>
      <c r="CMG21">
        <f t="shared" si="1706"/>
        <v>0</v>
      </c>
      <c r="CMH21">
        <f t="shared" si="1707"/>
        <v>0</v>
      </c>
      <c r="CMI21">
        <f t="shared" si="1708"/>
        <v>0</v>
      </c>
      <c r="CMJ21">
        <f t="shared" si="1709"/>
        <v>0</v>
      </c>
      <c r="CMK21">
        <f t="shared" si="1710"/>
        <v>0</v>
      </c>
      <c r="CML21">
        <f t="shared" si="1711"/>
        <v>0</v>
      </c>
      <c r="CMM21">
        <f t="shared" si="1712"/>
        <v>0</v>
      </c>
      <c r="CMN21">
        <f t="shared" si="1713"/>
        <v>0</v>
      </c>
      <c r="CMO21">
        <f t="shared" si="1714"/>
        <v>0</v>
      </c>
      <c r="CMP21">
        <f t="shared" si="1715"/>
        <v>0</v>
      </c>
      <c r="CMQ21">
        <f t="shared" si="1716"/>
        <v>0</v>
      </c>
      <c r="CMR21">
        <f t="shared" si="1717"/>
        <v>0</v>
      </c>
      <c r="CMS21">
        <f t="shared" si="1718"/>
        <v>0</v>
      </c>
      <c r="CMT21">
        <f t="shared" si="1719"/>
        <v>0</v>
      </c>
      <c r="CMU21">
        <f t="shared" si="1720"/>
        <v>0</v>
      </c>
      <c r="CMV21">
        <f t="shared" si="1721"/>
        <v>0</v>
      </c>
      <c r="CMW21">
        <f t="shared" si="1722"/>
        <v>0</v>
      </c>
      <c r="CMX21">
        <f t="shared" si="1723"/>
        <v>0</v>
      </c>
      <c r="CMY21">
        <f t="shared" si="1724"/>
        <v>0</v>
      </c>
      <c r="CMZ21">
        <f t="shared" si="1725"/>
        <v>0</v>
      </c>
      <c r="CNA21">
        <f t="shared" si="1726"/>
        <v>0</v>
      </c>
      <c r="CNB21">
        <f t="shared" si="1727"/>
        <v>0</v>
      </c>
      <c r="CNC21">
        <f t="shared" si="1728"/>
        <v>0</v>
      </c>
      <c r="CND21">
        <f t="shared" si="1729"/>
        <v>0</v>
      </c>
      <c r="CNE21">
        <f t="shared" si="1730"/>
        <v>0</v>
      </c>
      <c r="CNF21">
        <f t="shared" si="1731"/>
        <v>0</v>
      </c>
      <c r="CNG21">
        <f t="shared" si="1732"/>
        <v>0</v>
      </c>
      <c r="CNH21">
        <f t="shared" si="1733"/>
        <v>0</v>
      </c>
      <c r="CNI21">
        <f t="shared" si="1734"/>
        <v>0</v>
      </c>
      <c r="CNJ21">
        <f t="shared" si="1735"/>
        <v>0</v>
      </c>
      <c r="CNK21">
        <f t="shared" si="1736"/>
        <v>0</v>
      </c>
      <c r="CNL21">
        <f t="shared" si="1737"/>
        <v>0</v>
      </c>
      <c r="CNM21">
        <f t="shared" si="1738"/>
        <v>0</v>
      </c>
      <c r="CNN21">
        <f t="shared" si="1739"/>
        <v>0</v>
      </c>
      <c r="CNO21">
        <f t="shared" si="1740"/>
        <v>0</v>
      </c>
      <c r="CNP21">
        <f t="shared" si="1741"/>
        <v>0</v>
      </c>
      <c r="CNQ21">
        <f t="shared" si="1742"/>
        <v>0</v>
      </c>
      <c r="CNR21">
        <f t="shared" si="1743"/>
        <v>0</v>
      </c>
      <c r="CNS21">
        <f t="shared" si="1744"/>
        <v>0</v>
      </c>
      <c r="CNT21">
        <f t="shared" si="1745"/>
        <v>0</v>
      </c>
      <c r="CNU21">
        <f t="shared" si="1746"/>
        <v>0</v>
      </c>
      <c r="CNV21">
        <f t="shared" si="1747"/>
        <v>0</v>
      </c>
      <c r="CNW21">
        <f t="shared" si="1748"/>
        <v>0</v>
      </c>
      <c r="CNX21">
        <f t="shared" si="1749"/>
        <v>0</v>
      </c>
      <c r="CNY21">
        <f t="shared" si="1750"/>
        <v>0</v>
      </c>
      <c r="CNZ21">
        <f t="shared" si="1751"/>
        <v>0</v>
      </c>
      <c r="COA21">
        <f t="shared" si="1752"/>
        <v>0</v>
      </c>
      <c r="COB21">
        <f t="shared" si="1753"/>
        <v>0</v>
      </c>
      <c r="COC21">
        <f t="shared" si="1754"/>
        <v>0</v>
      </c>
      <c r="COD21">
        <f t="shared" si="1755"/>
        <v>0</v>
      </c>
      <c r="COE21">
        <f t="shared" si="1756"/>
        <v>0</v>
      </c>
      <c r="COF21">
        <f t="shared" si="1757"/>
        <v>0</v>
      </c>
      <c r="COG21">
        <f t="shared" si="1758"/>
        <v>0</v>
      </c>
      <c r="COH21">
        <f t="shared" si="1759"/>
        <v>0</v>
      </c>
      <c r="COI21">
        <f t="shared" si="1760"/>
        <v>0</v>
      </c>
      <c r="COJ21">
        <f t="shared" si="1761"/>
        <v>0</v>
      </c>
      <c r="COK21">
        <f t="shared" si="1762"/>
        <v>0</v>
      </c>
      <c r="COL21">
        <f t="shared" si="1763"/>
        <v>0</v>
      </c>
      <c r="COM21">
        <f t="shared" si="1764"/>
        <v>0</v>
      </c>
      <c r="CON21">
        <f t="shared" si="1765"/>
        <v>0</v>
      </c>
      <c r="COO21">
        <f t="shared" si="1766"/>
        <v>0</v>
      </c>
      <c r="COP21">
        <f t="shared" si="60"/>
        <v>0</v>
      </c>
      <c r="COQ21">
        <f t="shared" si="1767"/>
        <v>0</v>
      </c>
      <c r="COR21">
        <f t="shared" si="1768"/>
        <v>0</v>
      </c>
      <c r="COS21">
        <f t="shared" si="1769"/>
        <v>0</v>
      </c>
      <c r="COT21">
        <f t="shared" si="1770"/>
        <v>0</v>
      </c>
      <c r="COU21">
        <f t="shared" si="1771"/>
        <v>0</v>
      </c>
      <c r="COV21">
        <f t="shared" si="1772"/>
        <v>0</v>
      </c>
      <c r="COW21">
        <f t="shared" si="1773"/>
        <v>0</v>
      </c>
      <c r="COX21">
        <f t="shared" si="1774"/>
        <v>0</v>
      </c>
      <c r="COY21">
        <f t="shared" si="1775"/>
        <v>0</v>
      </c>
      <c r="COZ21">
        <f t="shared" si="1776"/>
        <v>0</v>
      </c>
      <c r="CPA21">
        <f t="shared" si="1777"/>
        <v>0</v>
      </c>
      <c r="CPB21">
        <f t="shared" si="1778"/>
        <v>0</v>
      </c>
      <c r="CPC21">
        <f t="shared" si="1779"/>
        <v>0</v>
      </c>
      <c r="CPD21">
        <f t="shared" si="1780"/>
        <v>0</v>
      </c>
      <c r="CPE21">
        <f t="shared" si="1781"/>
        <v>0</v>
      </c>
      <c r="CPF21">
        <f t="shared" si="1782"/>
        <v>0</v>
      </c>
      <c r="CPG21">
        <f t="shared" si="1783"/>
        <v>0</v>
      </c>
      <c r="CPH21">
        <f t="shared" si="1784"/>
        <v>0</v>
      </c>
      <c r="CPI21">
        <f t="shared" si="1785"/>
        <v>0</v>
      </c>
      <c r="CPJ21">
        <f t="shared" si="1786"/>
        <v>0</v>
      </c>
      <c r="CPK21">
        <f t="shared" si="1787"/>
        <v>0</v>
      </c>
      <c r="CPL21">
        <f t="shared" si="1788"/>
        <v>0</v>
      </c>
      <c r="CPM21">
        <f t="shared" si="1789"/>
        <v>0</v>
      </c>
      <c r="CPN21">
        <f t="shared" si="1790"/>
        <v>0</v>
      </c>
      <c r="CPO21">
        <f t="shared" si="1791"/>
        <v>0</v>
      </c>
      <c r="CPP21">
        <f t="shared" si="1792"/>
        <v>0</v>
      </c>
      <c r="CPQ21">
        <f t="shared" si="1793"/>
        <v>0</v>
      </c>
      <c r="CPR21">
        <f t="shared" si="1794"/>
        <v>0</v>
      </c>
      <c r="CPS21">
        <f t="shared" si="1795"/>
        <v>0</v>
      </c>
      <c r="CPT21">
        <f t="shared" si="1796"/>
        <v>0</v>
      </c>
      <c r="CPU21">
        <f t="shared" si="1797"/>
        <v>0</v>
      </c>
      <c r="CPV21">
        <f t="shared" si="1798"/>
        <v>0</v>
      </c>
      <c r="CPW21">
        <f t="shared" si="1799"/>
        <v>0</v>
      </c>
      <c r="CPX21">
        <f t="shared" si="1800"/>
        <v>0</v>
      </c>
      <c r="CPY21">
        <f t="shared" si="1801"/>
        <v>0</v>
      </c>
      <c r="CPZ21">
        <f t="shared" si="1802"/>
        <v>0</v>
      </c>
      <c r="CQA21">
        <f t="shared" si="1803"/>
        <v>0</v>
      </c>
      <c r="CQB21">
        <f t="shared" si="1804"/>
        <v>0</v>
      </c>
      <c r="CQC21">
        <f t="shared" si="1805"/>
        <v>0</v>
      </c>
      <c r="CQD21">
        <f t="shared" si="1806"/>
        <v>0</v>
      </c>
      <c r="CQE21">
        <f t="shared" si="1807"/>
        <v>0</v>
      </c>
      <c r="CQF21">
        <f t="shared" si="1808"/>
        <v>0</v>
      </c>
      <c r="CQG21">
        <f t="shared" si="1809"/>
        <v>0</v>
      </c>
      <c r="CQH21">
        <f t="shared" si="1810"/>
        <v>0</v>
      </c>
      <c r="CQI21">
        <f t="shared" si="1811"/>
        <v>0</v>
      </c>
      <c r="CQJ21">
        <f t="shared" si="1812"/>
        <v>0</v>
      </c>
      <c r="CQK21">
        <f t="shared" si="1813"/>
        <v>0</v>
      </c>
      <c r="CQL21">
        <f t="shared" si="1814"/>
        <v>0</v>
      </c>
      <c r="CQM21">
        <f t="shared" si="1815"/>
        <v>0</v>
      </c>
      <c r="CQN21">
        <f t="shared" si="1816"/>
        <v>0</v>
      </c>
      <c r="CQO21">
        <f t="shared" si="1817"/>
        <v>0</v>
      </c>
      <c r="CQP21">
        <f t="shared" si="1818"/>
        <v>0</v>
      </c>
      <c r="CQQ21">
        <f t="shared" si="1819"/>
        <v>0</v>
      </c>
      <c r="CQR21">
        <f t="shared" si="1820"/>
        <v>0</v>
      </c>
      <c r="CQS21">
        <f t="shared" si="1821"/>
        <v>0</v>
      </c>
      <c r="CQT21">
        <f t="shared" si="1822"/>
        <v>0</v>
      </c>
      <c r="CQU21">
        <f t="shared" si="1823"/>
        <v>0</v>
      </c>
      <c r="CQV21">
        <f t="shared" si="1824"/>
        <v>0</v>
      </c>
      <c r="CQW21">
        <f t="shared" si="1825"/>
        <v>0</v>
      </c>
      <c r="CQX21">
        <f t="shared" si="1826"/>
        <v>0</v>
      </c>
      <c r="CQY21">
        <f t="shared" si="1827"/>
        <v>0</v>
      </c>
      <c r="CQZ21">
        <f t="shared" si="1828"/>
        <v>0</v>
      </c>
      <c r="CRA21">
        <f t="shared" si="1829"/>
        <v>0</v>
      </c>
      <c r="CRB21">
        <f t="shared" si="61"/>
        <v>0</v>
      </c>
      <c r="CRC21">
        <f t="shared" si="1830"/>
        <v>0</v>
      </c>
      <c r="CRD21">
        <f t="shared" si="1831"/>
        <v>0</v>
      </c>
      <c r="CRE21">
        <f t="shared" si="1832"/>
        <v>0</v>
      </c>
      <c r="CRF21">
        <f t="shared" si="1833"/>
        <v>0</v>
      </c>
      <c r="CRG21">
        <f t="shared" si="1834"/>
        <v>0</v>
      </c>
      <c r="CRH21">
        <f t="shared" si="1835"/>
        <v>0</v>
      </c>
      <c r="CRI21">
        <f t="shared" si="1836"/>
        <v>0</v>
      </c>
      <c r="CRJ21">
        <f t="shared" si="1837"/>
        <v>0</v>
      </c>
      <c r="CRK21">
        <f t="shared" si="1838"/>
        <v>0</v>
      </c>
      <c r="CRL21">
        <f t="shared" si="1839"/>
        <v>0</v>
      </c>
      <c r="CRM21">
        <f t="shared" si="1840"/>
        <v>0</v>
      </c>
      <c r="CRN21">
        <f t="shared" si="1841"/>
        <v>0</v>
      </c>
      <c r="CRO21">
        <f t="shared" si="1842"/>
        <v>0</v>
      </c>
      <c r="CRP21">
        <f t="shared" si="1843"/>
        <v>0</v>
      </c>
      <c r="CRQ21">
        <f t="shared" si="1844"/>
        <v>0</v>
      </c>
      <c r="CRR21">
        <f t="shared" si="1845"/>
        <v>0</v>
      </c>
      <c r="CRS21">
        <f t="shared" si="1846"/>
        <v>0</v>
      </c>
      <c r="CRT21">
        <f t="shared" si="1847"/>
        <v>0</v>
      </c>
      <c r="CRU21">
        <f t="shared" si="1848"/>
        <v>0</v>
      </c>
      <c r="CRV21">
        <f t="shared" si="1849"/>
        <v>0</v>
      </c>
      <c r="CRW21">
        <f t="shared" si="1850"/>
        <v>0</v>
      </c>
      <c r="CRX21">
        <f t="shared" si="1851"/>
        <v>0</v>
      </c>
      <c r="CRY21">
        <f t="shared" si="1852"/>
        <v>0</v>
      </c>
      <c r="CRZ21">
        <f t="shared" si="1853"/>
        <v>0</v>
      </c>
      <c r="CSA21">
        <f t="shared" si="1854"/>
        <v>0</v>
      </c>
      <c r="CSB21">
        <f t="shared" si="1855"/>
        <v>0</v>
      </c>
      <c r="CSC21">
        <f t="shared" si="1856"/>
        <v>0</v>
      </c>
      <c r="CSD21">
        <f t="shared" si="1857"/>
        <v>0</v>
      </c>
      <c r="CSE21">
        <f t="shared" si="1858"/>
        <v>0</v>
      </c>
      <c r="CSF21">
        <f t="shared" si="1859"/>
        <v>0</v>
      </c>
      <c r="CSG21">
        <f t="shared" si="1860"/>
        <v>0</v>
      </c>
      <c r="CSH21">
        <f t="shared" si="1861"/>
        <v>0</v>
      </c>
      <c r="CSI21">
        <f t="shared" si="1862"/>
        <v>0</v>
      </c>
      <c r="CSJ21">
        <f t="shared" si="1863"/>
        <v>0</v>
      </c>
      <c r="CSK21">
        <f t="shared" si="1864"/>
        <v>0</v>
      </c>
      <c r="CSL21">
        <f t="shared" si="1865"/>
        <v>0</v>
      </c>
      <c r="CSM21">
        <f t="shared" si="1866"/>
        <v>0</v>
      </c>
      <c r="CSN21">
        <f t="shared" si="1867"/>
        <v>0</v>
      </c>
      <c r="CSO21">
        <f t="shared" si="1868"/>
        <v>0</v>
      </c>
      <c r="CSP21">
        <f t="shared" si="1869"/>
        <v>0</v>
      </c>
      <c r="CSQ21">
        <f t="shared" si="1870"/>
        <v>0</v>
      </c>
      <c r="CSR21">
        <f t="shared" si="1871"/>
        <v>0</v>
      </c>
      <c r="CSS21">
        <f t="shared" si="1872"/>
        <v>0</v>
      </c>
      <c r="CST21">
        <f t="shared" si="1873"/>
        <v>0</v>
      </c>
      <c r="CSU21">
        <f t="shared" si="1874"/>
        <v>0</v>
      </c>
      <c r="CSV21">
        <f t="shared" si="1875"/>
        <v>0</v>
      </c>
      <c r="CSW21">
        <f t="shared" si="1876"/>
        <v>0</v>
      </c>
      <c r="CSX21">
        <f t="shared" si="1877"/>
        <v>0</v>
      </c>
      <c r="CSY21">
        <f t="shared" si="1878"/>
        <v>0</v>
      </c>
      <c r="CSZ21">
        <f t="shared" si="1879"/>
        <v>0</v>
      </c>
      <c r="CTA21">
        <f t="shared" si="1880"/>
        <v>0</v>
      </c>
      <c r="CTB21">
        <f t="shared" si="1881"/>
        <v>0</v>
      </c>
      <c r="CTC21">
        <f t="shared" si="1882"/>
        <v>0</v>
      </c>
      <c r="CTD21">
        <f t="shared" si="1883"/>
        <v>0</v>
      </c>
      <c r="CTE21">
        <f t="shared" si="1884"/>
        <v>0</v>
      </c>
      <c r="CTF21">
        <f t="shared" si="1885"/>
        <v>0</v>
      </c>
      <c r="CTG21">
        <f t="shared" si="1886"/>
        <v>0</v>
      </c>
      <c r="CTH21">
        <f t="shared" si="1887"/>
        <v>0</v>
      </c>
      <c r="CTI21">
        <f t="shared" si="1888"/>
        <v>0</v>
      </c>
      <c r="CTJ21">
        <f t="shared" si="1889"/>
        <v>0</v>
      </c>
      <c r="CTK21">
        <f t="shared" si="1890"/>
        <v>0</v>
      </c>
      <c r="CTL21">
        <f t="shared" si="1891"/>
        <v>0</v>
      </c>
      <c r="CTM21">
        <f t="shared" si="1892"/>
        <v>0</v>
      </c>
      <c r="CTN21">
        <f t="shared" si="62"/>
        <v>0</v>
      </c>
      <c r="CTO21">
        <f t="shared" si="1893"/>
        <v>0</v>
      </c>
      <c r="CTP21">
        <f t="shared" si="1894"/>
        <v>0</v>
      </c>
      <c r="CTQ21">
        <f t="shared" si="1895"/>
        <v>0</v>
      </c>
      <c r="CTR21">
        <f t="shared" si="1896"/>
        <v>0</v>
      </c>
      <c r="CTS21">
        <f t="shared" si="1897"/>
        <v>0</v>
      </c>
      <c r="CTT21">
        <f t="shared" si="1898"/>
        <v>0</v>
      </c>
      <c r="CTU21">
        <f t="shared" si="1899"/>
        <v>0</v>
      </c>
      <c r="CTV21">
        <f t="shared" si="1900"/>
        <v>0</v>
      </c>
      <c r="CTW21">
        <f t="shared" si="1901"/>
        <v>0</v>
      </c>
      <c r="CTX21">
        <f t="shared" si="1902"/>
        <v>0</v>
      </c>
      <c r="CTY21">
        <f t="shared" si="1903"/>
        <v>0</v>
      </c>
      <c r="CTZ21">
        <f t="shared" si="1904"/>
        <v>0</v>
      </c>
      <c r="CUA21">
        <f t="shared" si="1905"/>
        <v>0</v>
      </c>
      <c r="CUB21">
        <f t="shared" si="1906"/>
        <v>0</v>
      </c>
      <c r="CUC21">
        <f t="shared" si="1907"/>
        <v>0</v>
      </c>
      <c r="CUD21">
        <f t="shared" si="1908"/>
        <v>0</v>
      </c>
      <c r="CUE21">
        <f t="shared" si="1909"/>
        <v>0</v>
      </c>
      <c r="CUF21">
        <f t="shared" si="1910"/>
        <v>0</v>
      </c>
      <c r="CUG21">
        <f t="shared" si="1911"/>
        <v>0</v>
      </c>
      <c r="CUH21">
        <f t="shared" si="1912"/>
        <v>0</v>
      </c>
      <c r="CUI21">
        <f t="shared" si="1913"/>
        <v>0</v>
      </c>
      <c r="CUJ21">
        <f t="shared" si="1914"/>
        <v>0</v>
      </c>
      <c r="CUK21">
        <f t="shared" si="1915"/>
        <v>0</v>
      </c>
      <c r="CUL21">
        <f t="shared" si="1916"/>
        <v>0</v>
      </c>
      <c r="CUM21">
        <f t="shared" si="1917"/>
        <v>0</v>
      </c>
      <c r="CUN21">
        <f t="shared" si="1918"/>
        <v>0</v>
      </c>
      <c r="CUO21">
        <f t="shared" si="1919"/>
        <v>0</v>
      </c>
      <c r="CUP21">
        <f t="shared" si="1920"/>
        <v>0</v>
      </c>
      <c r="CUQ21">
        <f t="shared" si="1921"/>
        <v>0</v>
      </c>
      <c r="CUR21">
        <f t="shared" si="1922"/>
        <v>0</v>
      </c>
      <c r="CUS21">
        <f t="shared" si="1923"/>
        <v>0</v>
      </c>
      <c r="CUT21">
        <f t="shared" si="1924"/>
        <v>0</v>
      </c>
      <c r="CUU21">
        <f t="shared" si="1925"/>
        <v>0</v>
      </c>
      <c r="CUV21">
        <f t="shared" si="1926"/>
        <v>0</v>
      </c>
      <c r="CUW21">
        <f t="shared" si="1927"/>
        <v>0</v>
      </c>
      <c r="CUX21">
        <f t="shared" si="1928"/>
        <v>0</v>
      </c>
      <c r="CUY21">
        <f t="shared" si="1929"/>
        <v>0</v>
      </c>
      <c r="CUZ21">
        <f t="shared" si="1930"/>
        <v>0</v>
      </c>
      <c r="CVA21">
        <f t="shared" si="1931"/>
        <v>0</v>
      </c>
      <c r="CVB21">
        <f t="shared" si="1932"/>
        <v>0</v>
      </c>
      <c r="CVC21">
        <f t="shared" si="1933"/>
        <v>0</v>
      </c>
      <c r="CVD21">
        <f t="shared" si="1934"/>
        <v>0</v>
      </c>
      <c r="CVE21">
        <f t="shared" si="1935"/>
        <v>0</v>
      </c>
      <c r="CVF21">
        <f t="shared" si="1936"/>
        <v>0</v>
      </c>
      <c r="CVG21">
        <f t="shared" si="1937"/>
        <v>0</v>
      </c>
      <c r="CVH21">
        <f t="shared" si="1938"/>
        <v>0</v>
      </c>
      <c r="CVI21">
        <f t="shared" si="1939"/>
        <v>0</v>
      </c>
      <c r="CVJ21">
        <f t="shared" si="1940"/>
        <v>0</v>
      </c>
      <c r="CVK21">
        <f t="shared" si="1941"/>
        <v>0</v>
      </c>
      <c r="CVL21">
        <f t="shared" si="1942"/>
        <v>0</v>
      </c>
      <c r="CVM21">
        <f t="shared" si="1943"/>
        <v>0</v>
      </c>
      <c r="CVN21">
        <f t="shared" si="1944"/>
        <v>0</v>
      </c>
      <c r="CVO21">
        <f t="shared" si="1945"/>
        <v>0</v>
      </c>
      <c r="CVP21">
        <f t="shared" si="1946"/>
        <v>0</v>
      </c>
      <c r="CVQ21">
        <f t="shared" si="1947"/>
        <v>0</v>
      </c>
      <c r="CVR21">
        <f t="shared" si="1948"/>
        <v>0</v>
      </c>
      <c r="CVS21">
        <f t="shared" si="1949"/>
        <v>0</v>
      </c>
      <c r="CVT21">
        <f t="shared" si="1950"/>
        <v>0</v>
      </c>
      <c r="CVU21">
        <f t="shared" si="1951"/>
        <v>0</v>
      </c>
      <c r="CVV21">
        <f t="shared" si="1952"/>
        <v>0</v>
      </c>
      <c r="CVW21">
        <f t="shared" si="1953"/>
        <v>0</v>
      </c>
      <c r="CVX21">
        <f t="shared" si="1954"/>
        <v>0</v>
      </c>
      <c r="CVY21">
        <f t="shared" si="1955"/>
        <v>0</v>
      </c>
      <c r="CVZ21">
        <f t="shared" si="63"/>
        <v>0</v>
      </c>
      <c r="CWA21">
        <f t="shared" si="1956"/>
        <v>0</v>
      </c>
      <c r="CWB21">
        <f t="shared" si="1957"/>
        <v>0</v>
      </c>
      <c r="CWC21">
        <f t="shared" si="1958"/>
        <v>0</v>
      </c>
      <c r="CWD21">
        <f t="shared" si="1959"/>
        <v>0</v>
      </c>
      <c r="CWE21">
        <f t="shared" si="1960"/>
        <v>0</v>
      </c>
      <c r="CWF21">
        <f t="shared" si="1961"/>
        <v>0</v>
      </c>
      <c r="CWG21">
        <f t="shared" si="1962"/>
        <v>0</v>
      </c>
      <c r="CWH21">
        <f t="shared" si="1963"/>
        <v>0</v>
      </c>
      <c r="CWI21">
        <f t="shared" si="1964"/>
        <v>0</v>
      </c>
      <c r="CWJ21">
        <f t="shared" si="1965"/>
        <v>0</v>
      </c>
      <c r="CWK21">
        <f t="shared" si="1966"/>
        <v>0</v>
      </c>
      <c r="CWL21">
        <f t="shared" si="1967"/>
        <v>0</v>
      </c>
      <c r="CWM21">
        <f t="shared" si="1968"/>
        <v>0</v>
      </c>
      <c r="CWN21">
        <f t="shared" si="1969"/>
        <v>0</v>
      </c>
      <c r="CWO21">
        <f t="shared" si="1970"/>
        <v>0</v>
      </c>
      <c r="CWP21">
        <f t="shared" si="1971"/>
        <v>0</v>
      </c>
      <c r="CWQ21">
        <f t="shared" si="1972"/>
        <v>0</v>
      </c>
      <c r="CWR21">
        <f t="shared" si="1973"/>
        <v>0</v>
      </c>
      <c r="CWS21">
        <f t="shared" si="1974"/>
        <v>0</v>
      </c>
      <c r="CWT21">
        <f t="shared" si="1975"/>
        <v>0</v>
      </c>
      <c r="CWU21">
        <f t="shared" si="1976"/>
        <v>0</v>
      </c>
      <c r="CWV21">
        <f t="shared" si="1977"/>
        <v>0</v>
      </c>
      <c r="CWW21">
        <f t="shared" si="1978"/>
        <v>0</v>
      </c>
      <c r="CWX21">
        <f t="shared" si="1979"/>
        <v>0</v>
      </c>
      <c r="CWY21">
        <f t="shared" si="1980"/>
        <v>0</v>
      </c>
      <c r="CWZ21">
        <f t="shared" si="1981"/>
        <v>0</v>
      </c>
      <c r="CXA21">
        <f t="shared" si="1982"/>
        <v>0</v>
      </c>
      <c r="CXB21">
        <f t="shared" si="1983"/>
        <v>0</v>
      </c>
      <c r="CXC21">
        <f t="shared" si="1984"/>
        <v>0</v>
      </c>
      <c r="CXD21">
        <f t="shared" si="1985"/>
        <v>0</v>
      </c>
      <c r="CXE21">
        <f t="shared" si="1986"/>
        <v>0</v>
      </c>
      <c r="CXF21">
        <f t="shared" si="1987"/>
        <v>0</v>
      </c>
      <c r="CXG21">
        <f t="shared" si="1988"/>
        <v>0</v>
      </c>
      <c r="CXH21">
        <f t="shared" si="1989"/>
        <v>0</v>
      </c>
      <c r="CXI21">
        <f t="shared" si="1990"/>
        <v>0</v>
      </c>
      <c r="CXJ21">
        <f t="shared" si="1991"/>
        <v>0</v>
      </c>
      <c r="CXK21">
        <f t="shared" si="1992"/>
        <v>0</v>
      </c>
      <c r="CXL21">
        <f t="shared" si="1993"/>
        <v>0</v>
      </c>
      <c r="CXM21">
        <f t="shared" si="1994"/>
        <v>0</v>
      </c>
      <c r="CXN21">
        <f t="shared" si="1995"/>
        <v>0</v>
      </c>
      <c r="CXO21">
        <f t="shared" si="1996"/>
        <v>0</v>
      </c>
      <c r="CXP21">
        <f t="shared" si="1997"/>
        <v>0</v>
      </c>
      <c r="CXQ21">
        <f t="shared" si="1998"/>
        <v>0</v>
      </c>
      <c r="CXR21">
        <f t="shared" si="1999"/>
        <v>0</v>
      </c>
      <c r="CXS21">
        <f t="shared" si="2000"/>
        <v>0</v>
      </c>
      <c r="CXT21">
        <f t="shared" si="2001"/>
        <v>0</v>
      </c>
      <c r="CXU21">
        <f t="shared" si="2002"/>
        <v>0</v>
      </c>
      <c r="CXV21">
        <f t="shared" si="2003"/>
        <v>0</v>
      </c>
      <c r="CXW21">
        <f t="shared" si="2004"/>
        <v>0</v>
      </c>
      <c r="CXX21">
        <f t="shared" si="2005"/>
        <v>0</v>
      </c>
      <c r="CXY21">
        <f t="shared" si="2006"/>
        <v>0</v>
      </c>
      <c r="CXZ21">
        <f t="shared" si="2007"/>
        <v>0</v>
      </c>
      <c r="CYA21">
        <f t="shared" si="2008"/>
        <v>0</v>
      </c>
      <c r="CYB21">
        <f t="shared" si="2009"/>
        <v>0</v>
      </c>
      <c r="CYC21">
        <f t="shared" si="2010"/>
        <v>0</v>
      </c>
      <c r="CYD21">
        <f t="shared" si="2011"/>
        <v>0</v>
      </c>
      <c r="CYE21">
        <f t="shared" si="2012"/>
        <v>0</v>
      </c>
      <c r="CYF21">
        <f t="shared" si="2013"/>
        <v>0</v>
      </c>
      <c r="CYG21">
        <f t="shared" si="2014"/>
        <v>0</v>
      </c>
      <c r="CYH21">
        <f t="shared" si="2015"/>
        <v>0</v>
      </c>
      <c r="CYI21">
        <f t="shared" si="2016"/>
        <v>0</v>
      </c>
      <c r="CYJ21">
        <f t="shared" si="2017"/>
        <v>0</v>
      </c>
      <c r="CYK21">
        <f t="shared" si="2018"/>
        <v>0</v>
      </c>
      <c r="CYL21">
        <f t="shared" si="64"/>
        <v>0</v>
      </c>
      <c r="CYM21">
        <f t="shared" si="2019"/>
        <v>0</v>
      </c>
      <c r="CYN21">
        <f t="shared" si="2020"/>
        <v>0</v>
      </c>
      <c r="CYO21">
        <f t="shared" si="2021"/>
        <v>0</v>
      </c>
      <c r="CYP21">
        <f t="shared" si="2022"/>
        <v>0</v>
      </c>
      <c r="CYQ21">
        <f t="shared" si="2023"/>
        <v>0</v>
      </c>
      <c r="CYR21">
        <f t="shared" si="2024"/>
        <v>0</v>
      </c>
      <c r="CYS21">
        <f t="shared" si="2025"/>
        <v>0</v>
      </c>
      <c r="CYT21">
        <f t="shared" si="2026"/>
        <v>0</v>
      </c>
      <c r="CYU21">
        <f t="shared" si="2027"/>
        <v>0</v>
      </c>
      <c r="CYV21">
        <f t="shared" si="2028"/>
        <v>0</v>
      </c>
      <c r="CYW21">
        <f t="shared" si="2029"/>
        <v>0</v>
      </c>
      <c r="CYX21">
        <f t="shared" si="2030"/>
        <v>0</v>
      </c>
      <c r="CYY21">
        <f t="shared" si="2031"/>
        <v>0</v>
      </c>
      <c r="CYZ21">
        <f t="shared" si="2032"/>
        <v>0</v>
      </c>
      <c r="CZA21">
        <f t="shared" si="2033"/>
        <v>0</v>
      </c>
      <c r="CZB21">
        <f t="shared" si="2034"/>
        <v>0</v>
      </c>
      <c r="CZC21">
        <f t="shared" si="2035"/>
        <v>0</v>
      </c>
      <c r="CZD21">
        <f t="shared" si="2036"/>
        <v>0</v>
      </c>
      <c r="CZE21">
        <f t="shared" si="2037"/>
        <v>0</v>
      </c>
      <c r="CZF21">
        <f t="shared" si="2038"/>
        <v>0</v>
      </c>
      <c r="CZG21">
        <f t="shared" si="2039"/>
        <v>0</v>
      </c>
      <c r="CZH21">
        <f t="shared" si="2040"/>
        <v>0</v>
      </c>
      <c r="CZI21">
        <f t="shared" si="2041"/>
        <v>0</v>
      </c>
      <c r="CZJ21">
        <f t="shared" si="2042"/>
        <v>0</v>
      </c>
      <c r="CZK21">
        <f t="shared" si="2043"/>
        <v>0</v>
      </c>
      <c r="CZL21">
        <f t="shared" si="2044"/>
        <v>0</v>
      </c>
      <c r="CZM21">
        <f t="shared" si="2045"/>
        <v>0</v>
      </c>
      <c r="CZN21">
        <f t="shared" si="2046"/>
        <v>0</v>
      </c>
      <c r="CZO21">
        <f t="shared" si="2047"/>
        <v>0</v>
      </c>
      <c r="CZP21">
        <f t="shared" si="2048"/>
        <v>0</v>
      </c>
      <c r="CZQ21">
        <f t="shared" si="2049"/>
        <v>0</v>
      </c>
      <c r="CZR21">
        <f t="shared" si="2050"/>
        <v>0</v>
      </c>
      <c r="CZS21">
        <f t="shared" si="2051"/>
        <v>0</v>
      </c>
      <c r="CZT21">
        <f t="shared" si="2052"/>
        <v>0</v>
      </c>
      <c r="CZU21">
        <f t="shared" si="2053"/>
        <v>0</v>
      </c>
      <c r="CZV21">
        <f t="shared" si="2054"/>
        <v>0</v>
      </c>
      <c r="CZW21">
        <f t="shared" si="2055"/>
        <v>0</v>
      </c>
      <c r="CZX21">
        <f t="shared" si="2056"/>
        <v>0</v>
      </c>
      <c r="CZY21">
        <f t="shared" si="2057"/>
        <v>0</v>
      </c>
      <c r="CZZ21">
        <f t="shared" si="2058"/>
        <v>0</v>
      </c>
      <c r="DAA21">
        <f t="shared" si="2059"/>
        <v>0</v>
      </c>
      <c r="DAB21">
        <f t="shared" si="2060"/>
        <v>0</v>
      </c>
      <c r="DAC21">
        <f t="shared" si="2061"/>
        <v>0</v>
      </c>
      <c r="DAD21">
        <f t="shared" si="2062"/>
        <v>0</v>
      </c>
      <c r="DAE21">
        <f t="shared" si="2063"/>
        <v>0</v>
      </c>
      <c r="DAF21">
        <f t="shared" si="2064"/>
        <v>0</v>
      </c>
      <c r="DAG21">
        <f t="shared" si="2065"/>
        <v>0</v>
      </c>
      <c r="DAH21">
        <f t="shared" si="2066"/>
        <v>0</v>
      </c>
      <c r="DAI21">
        <f t="shared" si="2067"/>
        <v>0</v>
      </c>
      <c r="DAJ21">
        <f t="shared" si="2068"/>
        <v>0</v>
      </c>
      <c r="DAK21">
        <f t="shared" si="2069"/>
        <v>0</v>
      </c>
      <c r="DAL21">
        <f t="shared" si="2070"/>
        <v>0</v>
      </c>
      <c r="DAM21">
        <f t="shared" si="2071"/>
        <v>0</v>
      </c>
      <c r="DAN21">
        <f t="shared" si="2072"/>
        <v>0</v>
      </c>
      <c r="DAO21">
        <f t="shared" si="2073"/>
        <v>0</v>
      </c>
      <c r="DAP21">
        <f t="shared" si="2074"/>
        <v>0</v>
      </c>
      <c r="DAQ21">
        <f t="shared" si="2075"/>
        <v>0</v>
      </c>
      <c r="DAR21">
        <f t="shared" si="2076"/>
        <v>0</v>
      </c>
      <c r="DAS21">
        <f t="shared" si="2077"/>
        <v>0</v>
      </c>
      <c r="DAT21">
        <f t="shared" si="2078"/>
        <v>0</v>
      </c>
      <c r="DAU21">
        <f t="shared" si="2079"/>
        <v>0</v>
      </c>
      <c r="DAV21">
        <f t="shared" si="2080"/>
        <v>0</v>
      </c>
      <c r="DAW21">
        <f t="shared" si="2081"/>
        <v>0</v>
      </c>
      <c r="DAX21">
        <f t="shared" si="65"/>
        <v>0</v>
      </c>
      <c r="DAY21">
        <f t="shared" si="2142"/>
        <v>0</v>
      </c>
      <c r="DAZ21">
        <f t="shared" si="2143"/>
        <v>0</v>
      </c>
      <c r="DBA21">
        <f t="shared" si="2144"/>
        <v>0</v>
      </c>
      <c r="DBB21">
        <f t="shared" si="2082"/>
        <v>0</v>
      </c>
      <c r="DBC21">
        <f t="shared" si="2083"/>
        <v>0</v>
      </c>
      <c r="DBD21">
        <f t="shared" si="2084"/>
        <v>0</v>
      </c>
      <c r="DBE21">
        <f t="shared" si="2085"/>
        <v>0</v>
      </c>
      <c r="DBF21">
        <f t="shared" si="2086"/>
        <v>0</v>
      </c>
      <c r="DBG21">
        <f t="shared" si="2087"/>
        <v>0</v>
      </c>
      <c r="DBH21">
        <f t="shared" si="2088"/>
        <v>0</v>
      </c>
      <c r="DBI21">
        <f t="shared" si="2089"/>
        <v>0</v>
      </c>
      <c r="DBJ21">
        <f t="shared" si="2090"/>
        <v>0</v>
      </c>
      <c r="DBK21">
        <f t="shared" si="2091"/>
        <v>0</v>
      </c>
      <c r="DBL21">
        <f t="shared" si="2092"/>
        <v>0</v>
      </c>
      <c r="DBM21">
        <f t="shared" si="2093"/>
        <v>0</v>
      </c>
      <c r="DBN21">
        <f t="shared" si="2094"/>
        <v>0</v>
      </c>
      <c r="DBO21">
        <f t="shared" si="2095"/>
        <v>0</v>
      </c>
      <c r="DBP21">
        <f t="shared" si="2096"/>
        <v>0</v>
      </c>
      <c r="DBQ21">
        <f t="shared" si="2097"/>
        <v>0</v>
      </c>
      <c r="DBR21">
        <f t="shared" si="2098"/>
        <v>0</v>
      </c>
      <c r="DBS21">
        <f t="shared" si="2099"/>
        <v>0</v>
      </c>
      <c r="DBT21">
        <f t="shared" si="2100"/>
        <v>0</v>
      </c>
      <c r="DBU21">
        <f t="shared" si="2101"/>
        <v>0</v>
      </c>
      <c r="DBV21">
        <f t="shared" si="2102"/>
        <v>0</v>
      </c>
      <c r="DBW21">
        <f t="shared" si="2103"/>
        <v>0</v>
      </c>
      <c r="DBX21">
        <f t="shared" si="2104"/>
        <v>0</v>
      </c>
      <c r="DBY21">
        <f t="shared" si="2105"/>
        <v>0</v>
      </c>
      <c r="DBZ21">
        <f t="shared" si="2106"/>
        <v>0</v>
      </c>
      <c r="DCA21">
        <f t="shared" si="2107"/>
        <v>0</v>
      </c>
      <c r="DCB21">
        <f t="shared" si="2108"/>
        <v>0</v>
      </c>
      <c r="DCC21">
        <f t="shared" si="2109"/>
        <v>0</v>
      </c>
      <c r="DCD21">
        <f t="shared" si="2110"/>
        <v>0</v>
      </c>
      <c r="DCE21">
        <f t="shared" si="2111"/>
        <v>0</v>
      </c>
      <c r="DCF21">
        <f t="shared" si="2112"/>
        <v>0</v>
      </c>
      <c r="DCG21">
        <f t="shared" si="2113"/>
        <v>0</v>
      </c>
      <c r="DCH21">
        <f t="shared" si="2114"/>
        <v>0</v>
      </c>
      <c r="DCI21">
        <f t="shared" si="2115"/>
        <v>0</v>
      </c>
      <c r="DCJ21">
        <f t="shared" si="2116"/>
        <v>0</v>
      </c>
      <c r="DCK21">
        <f t="shared" si="2117"/>
        <v>0</v>
      </c>
      <c r="DCL21">
        <f t="shared" si="2118"/>
        <v>0</v>
      </c>
      <c r="DCM21">
        <f t="shared" si="2119"/>
        <v>0</v>
      </c>
      <c r="DCN21">
        <f t="shared" si="2120"/>
        <v>0</v>
      </c>
      <c r="DCO21">
        <f t="shared" si="2121"/>
        <v>0</v>
      </c>
      <c r="DCP21">
        <f t="shared" si="2122"/>
        <v>0</v>
      </c>
      <c r="DCQ21">
        <f t="shared" si="2123"/>
        <v>0</v>
      </c>
      <c r="DCR21">
        <f t="shared" si="2124"/>
        <v>0</v>
      </c>
      <c r="DCS21">
        <f t="shared" si="2125"/>
        <v>0</v>
      </c>
      <c r="DCT21">
        <f t="shared" si="2126"/>
        <v>0</v>
      </c>
      <c r="DCU21">
        <f t="shared" si="2127"/>
        <v>0</v>
      </c>
      <c r="DCV21">
        <f t="shared" si="2128"/>
        <v>0</v>
      </c>
      <c r="DCW21">
        <f t="shared" si="2129"/>
        <v>0</v>
      </c>
      <c r="DCX21">
        <f t="shared" si="2130"/>
        <v>0</v>
      </c>
      <c r="DCY21">
        <f t="shared" si="2131"/>
        <v>0</v>
      </c>
      <c r="DCZ21">
        <f t="shared" si="2132"/>
        <v>0</v>
      </c>
      <c r="DDA21">
        <f t="shared" si="2133"/>
        <v>0</v>
      </c>
      <c r="DDB21">
        <f t="shared" si="2134"/>
        <v>0</v>
      </c>
      <c r="DDC21">
        <f t="shared" si="2135"/>
        <v>0</v>
      </c>
      <c r="DDD21">
        <f t="shared" si="2136"/>
        <v>0</v>
      </c>
      <c r="DDE21">
        <f t="shared" si="2137"/>
        <v>0</v>
      </c>
      <c r="DDF21">
        <f t="shared" si="2138"/>
        <v>0</v>
      </c>
      <c r="DDG21">
        <f t="shared" si="2139"/>
        <v>0</v>
      </c>
      <c r="DDH21">
        <f t="shared" si="2140"/>
        <v>0</v>
      </c>
      <c r="DDI21">
        <f t="shared" si="2141"/>
        <v>0</v>
      </c>
    </row>
    <row r="22" spans="1:2817" x14ac:dyDescent="0.2">
      <c r="A22" s="1">
        <v>16</v>
      </c>
      <c r="B22">
        <f>'Demand Stage 2'!B21</f>
        <v>0</v>
      </c>
      <c r="C22">
        <f>'Demand Stage 2'!C21</f>
        <v>0</v>
      </c>
      <c r="D22">
        <f>'Demand Stage 2'!D21</f>
        <v>0</v>
      </c>
      <c r="E22">
        <f>'Demand Stage 2'!E21</f>
        <v>0</v>
      </c>
      <c r="F22">
        <f>'Demand Stage 2'!F21</f>
        <v>0</v>
      </c>
      <c r="G22">
        <f>'Demand Stage 2'!G21</f>
        <v>0</v>
      </c>
      <c r="H22">
        <f>'Demand Stage 2'!H21</f>
        <v>0</v>
      </c>
      <c r="I22">
        <f>'Demand Stage 2'!I21</f>
        <v>0</v>
      </c>
      <c r="J22">
        <f>'Demand Stage 2'!J21</f>
        <v>0</v>
      </c>
      <c r="K22">
        <f>'Demand Stage 2'!K21</f>
        <v>0</v>
      </c>
      <c r="L22">
        <f>'Demand Stage 2'!L21</f>
        <v>0</v>
      </c>
      <c r="M22">
        <f>'Demand Stage 2'!M21</f>
        <v>0</v>
      </c>
      <c r="N22">
        <f>'Demand Stage 2'!N21</f>
        <v>0</v>
      </c>
      <c r="O22">
        <f>'Demand Stage 2'!O21</f>
        <v>0</v>
      </c>
      <c r="P22">
        <f>'Demand Stage 2'!P21</f>
        <v>0</v>
      </c>
      <c r="Q22">
        <f>'Demand Stage 2'!Q21</f>
        <v>0</v>
      </c>
      <c r="R22">
        <f>'Demand Stage 2'!R21</f>
        <v>0</v>
      </c>
      <c r="S22">
        <f>'Demand Stage 2'!S21</f>
        <v>0</v>
      </c>
      <c r="T22">
        <f>'Demand Stage 2'!T21</f>
        <v>0</v>
      </c>
      <c r="U22">
        <f>'Demand Stage 2'!U21</f>
        <v>0</v>
      </c>
      <c r="V22">
        <f>'Demand Stage 2'!V21</f>
        <v>0</v>
      </c>
      <c r="W22">
        <f>'Demand Stage 2'!W21</f>
        <v>0</v>
      </c>
      <c r="X22">
        <f>'Demand Stage 2'!X21</f>
        <v>0</v>
      </c>
      <c r="Y22">
        <f>'Demand Stage 2'!Y21</f>
        <v>0</v>
      </c>
      <c r="Z22">
        <f>'Demand Stage 2'!Z21</f>
        <v>0</v>
      </c>
      <c r="AA22">
        <f>'Demand Stage 2'!AA21</f>
        <v>0</v>
      </c>
      <c r="AB22">
        <f>'Demand Stage 2'!AB21</f>
        <v>0</v>
      </c>
      <c r="AC22">
        <f>'Demand Stage 2'!AC21</f>
        <v>0</v>
      </c>
      <c r="AD22">
        <f>'Demand Stage 2'!AD21</f>
        <v>0</v>
      </c>
      <c r="AE22">
        <f>'Demand Stage 2'!AE21</f>
        <v>0</v>
      </c>
      <c r="AF22">
        <f>'Demand Stage 2'!AF21</f>
        <v>0</v>
      </c>
      <c r="AG22">
        <f>'Demand Stage 2'!AG21</f>
        <v>0</v>
      </c>
      <c r="AH22">
        <f>'Demand Stage 2'!AH21</f>
        <v>0</v>
      </c>
      <c r="AI22">
        <f>'Demand Stage 2'!AI21</f>
        <v>0</v>
      </c>
      <c r="AJ22">
        <f>'Demand Stage 2'!AJ21</f>
        <v>0</v>
      </c>
      <c r="AK22">
        <f>'Demand Stage 2'!AK21</f>
        <v>0</v>
      </c>
      <c r="AL22">
        <f>'Demand Stage 2'!AL21</f>
        <v>0</v>
      </c>
      <c r="AM22">
        <f>'Demand Stage 2'!AM21</f>
        <v>0</v>
      </c>
      <c r="AN22">
        <f>'Demand Stage 2'!AN21</f>
        <v>0</v>
      </c>
      <c r="AO22">
        <f>'Demand Stage 2'!AO21</f>
        <v>0</v>
      </c>
      <c r="AP22">
        <f>'Demand Stage 2'!AP21</f>
        <v>0</v>
      </c>
      <c r="AQ22">
        <f>'Demand Stage 2'!AQ21</f>
        <v>0</v>
      </c>
      <c r="AR22">
        <f>'Demand Stage 2'!AR21</f>
        <v>0</v>
      </c>
      <c r="AS22">
        <f>'Demand Stage 2'!AS21</f>
        <v>0</v>
      </c>
      <c r="AT22">
        <f>'Demand Stage 2'!AT21</f>
        <v>0</v>
      </c>
      <c r="AU22">
        <f>'Demand Stage 2'!AU21</f>
        <v>0</v>
      </c>
      <c r="AV22">
        <f>'Demand Stage 2'!AV21</f>
        <v>0</v>
      </c>
      <c r="AW22">
        <f>'Demand Stage 2'!AW21</f>
        <v>0</v>
      </c>
      <c r="AX22">
        <f>'Demand Stage 2'!AX21</f>
        <v>0</v>
      </c>
      <c r="AY22">
        <f>'Demand Stage 2'!AY21</f>
        <v>0</v>
      </c>
      <c r="AZ22">
        <f>'Demand Stage 2'!AZ21</f>
        <v>0</v>
      </c>
      <c r="BA22">
        <f>'Demand Stage 2'!BA21</f>
        <v>0</v>
      </c>
      <c r="BB22">
        <f>'Demand Stage 2'!BB21</f>
        <v>0</v>
      </c>
      <c r="BC22">
        <f>'Demand Stage 2'!BC21</f>
        <v>0</v>
      </c>
      <c r="BD22">
        <f>'Demand Stage 2'!BD21</f>
        <v>0</v>
      </c>
      <c r="BE22">
        <f>'Demand Stage 2'!BE21</f>
        <v>0</v>
      </c>
      <c r="BF22">
        <f>'Demand Stage 2'!BF21</f>
        <v>0</v>
      </c>
      <c r="BG22">
        <f>'Demand Stage 2'!BG21</f>
        <v>0</v>
      </c>
      <c r="BH22">
        <f>'Demand Stage 2'!BH21</f>
        <v>0</v>
      </c>
      <c r="BI22">
        <f>'Demand Stage 2'!BI21</f>
        <v>0</v>
      </c>
      <c r="BJ22">
        <f>'Demand Stage 2'!BJ21</f>
        <v>0</v>
      </c>
      <c r="BK22">
        <f>'Demand Stage 2'!BK21</f>
        <v>0</v>
      </c>
      <c r="BL22">
        <f>'Demand Stage 2'!BL21</f>
        <v>0</v>
      </c>
      <c r="BM22">
        <f>'Demand Stage 2'!BM21</f>
        <v>0</v>
      </c>
      <c r="BN22">
        <f>'Demand Stage 2'!BN21</f>
        <v>0</v>
      </c>
      <c r="BO22">
        <f>'Demand Stage 2'!BO21</f>
        <v>0</v>
      </c>
      <c r="BP22">
        <f>'Demand Stage 2'!BP21</f>
        <v>0</v>
      </c>
      <c r="BQ22">
        <f>'Demand Stage 2'!BQ21</f>
        <v>0</v>
      </c>
      <c r="BR22">
        <f>'Demand Stage 2'!BR21</f>
        <v>0</v>
      </c>
      <c r="BS22">
        <f>'Demand Stage 2'!BS21</f>
        <v>0</v>
      </c>
      <c r="BT22">
        <f>'Demand Stage 2'!BT21</f>
        <v>0</v>
      </c>
      <c r="BU22">
        <f>'Demand Stage 2'!BU21</f>
        <v>0</v>
      </c>
      <c r="BV22">
        <f>'Demand Stage 2'!BV21</f>
        <v>0</v>
      </c>
      <c r="BW22">
        <f>'Demand Stage 2'!BW21</f>
        <v>0</v>
      </c>
      <c r="BX22">
        <f>'Demand Stage 2'!BX21</f>
        <v>0</v>
      </c>
      <c r="BY22">
        <f>'Demand Stage 2'!BY21</f>
        <v>0</v>
      </c>
      <c r="BZ22">
        <f>'Demand Stage 2'!BZ21</f>
        <v>0</v>
      </c>
      <c r="CA22">
        <f>'Demand Stage 2'!CA21</f>
        <v>0</v>
      </c>
      <c r="CB22">
        <f>'Demand Stage 2'!CB21</f>
        <v>0</v>
      </c>
      <c r="CC22">
        <f>'Demand Stage 2'!CC21</f>
        <v>0</v>
      </c>
      <c r="CD22">
        <f>'Demand Stage 2'!CD21</f>
        <v>0</v>
      </c>
      <c r="CE22">
        <f>'Demand Stage 2'!CE21</f>
        <v>0</v>
      </c>
      <c r="CF22">
        <f>'Demand Stage 2'!CF21</f>
        <v>0</v>
      </c>
      <c r="CG22">
        <f>'Demand Stage 2'!CG21</f>
        <v>0</v>
      </c>
      <c r="CH22">
        <f>'Demand Stage 2'!CH21</f>
        <v>0</v>
      </c>
      <c r="CI22">
        <f>'Demand Stage 2'!CI21</f>
        <v>0</v>
      </c>
      <c r="CJ22">
        <f>'Demand Stage 2'!CJ21</f>
        <v>0</v>
      </c>
      <c r="CK22">
        <f>'Demand Stage 2'!CK21</f>
        <v>0</v>
      </c>
      <c r="CL22">
        <f>'Demand Stage 2'!CL21</f>
        <v>0</v>
      </c>
      <c r="CM22">
        <f>'Demand Stage 2'!CM21</f>
        <v>0</v>
      </c>
      <c r="CN22">
        <f>'Demand Stage 2'!CN21</f>
        <v>0</v>
      </c>
      <c r="CO22">
        <f>'Demand Stage 2'!CO21</f>
        <v>0</v>
      </c>
      <c r="CP22">
        <f>'Demand Stage 2'!CP21</f>
        <v>0</v>
      </c>
      <c r="CQ22">
        <f>'Demand Stage 2'!CQ21</f>
        <v>0</v>
      </c>
      <c r="CR22">
        <f>'Demand Stage 2'!CR21</f>
        <v>0</v>
      </c>
      <c r="CS22">
        <f>'Demand Stage 2'!CS21</f>
        <v>0</v>
      </c>
      <c r="CT22">
        <f>'Demand Stage 2'!CT21</f>
        <v>0</v>
      </c>
      <c r="CU22">
        <f>'Demand Stage 2'!CU21</f>
        <v>0</v>
      </c>
      <c r="CV22">
        <f>'Demand Stage 2'!CV21</f>
        <v>0</v>
      </c>
      <c r="CW22">
        <f>'Demand Stage 2'!CW21</f>
        <v>0</v>
      </c>
      <c r="CX22">
        <f>'Demand Stage 2'!CX21</f>
        <v>0</v>
      </c>
      <c r="CY22">
        <f>'Demand Stage 2'!CY21</f>
        <v>0</v>
      </c>
      <c r="CZ22">
        <f>'Demand Stage 2'!CZ21</f>
        <v>0</v>
      </c>
      <c r="DA22">
        <f>'Demand Stage 2'!DA21</f>
        <v>0</v>
      </c>
      <c r="DB22">
        <f>'Demand Stage 2'!DB21</f>
        <v>0</v>
      </c>
      <c r="DC22">
        <f>'Demand Stage 2'!DC21</f>
        <v>0</v>
      </c>
      <c r="DD22">
        <f>'Demand Stage 2'!DD21</f>
        <v>0</v>
      </c>
      <c r="DE22">
        <f>'Demand Stage 2'!DE21</f>
        <v>0</v>
      </c>
      <c r="DF22">
        <f>'Demand Stage 2'!DF21</f>
        <v>0</v>
      </c>
      <c r="DG22">
        <f>'Demand Stage 2'!DG21</f>
        <v>0</v>
      </c>
      <c r="DH22">
        <f>'Demand Stage 2'!DH21</f>
        <v>0</v>
      </c>
      <c r="DI22">
        <f>'Demand Stage 2'!DI21</f>
        <v>0</v>
      </c>
      <c r="DJ22">
        <f>'Demand Stage 2'!DJ21</f>
        <v>0</v>
      </c>
      <c r="DK22">
        <f>'Demand Stage 2'!DK21</f>
        <v>0</v>
      </c>
      <c r="DL22">
        <f>'Demand Stage 2'!DL21</f>
        <v>0</v>
      </c>
      <c r="DM22">
        <f>'Demand Stage 2'!DM21</f>
        <v>0</v>
      </c>
      <c r="DN22">
        <f>'Demand Stage 2'!DN21</f>
        <v>0</v>
      </c>
      <c r="DO22">
        <f>'Demand Stage 2'!DO21</f>
        <v>0</v>
      </c>
      <c r="DP22">
        <f>'Demand Stage 2'!DP21</f>
        <v>0</v>
      </c>
      <c r="DQ22">
        <f>'Demand Stage 2'!DQ21</f>
        <v>0</v>
      </c>
      <c r="DR22">
        <f>'Demand Stage 2'!DR21</f>
        <v>0</v>
      </c>
      <c r="DS22">
        <f>'Demand Stage 2'!DS21</f>
        <v>0</v>
      </c>
      <c r="DT22">
        <f>'Demand Stage 2'!DT21</f>
        <v>0</v>
      </c>
      <c r="DU22">
        <f>'Demand Stage 2'!DU21</f>
        <v>0</v>
      </c>
      <c r="DV22">
        <f>'Demand Stage 2'!DV21</f>
        <v>0</v>
      </c>
      <c r="DW22">
        <f>'Demand Stage 2'!DW21</f>
        <v>0</v>
      </c>
      <c r="DX22">
        <f>'Demand Stage 2'!DX21</f>
        <v>0</v>
      </c>
      <c r="DY22">
        <f>'Demand Stage 2'!DY21</f>
        <v>0</v>
      </c>
      <c r="DZ22">
        <f>'Demand Stage 2'!DZ21</f>
        <v>0</v>
      </c>
      <c r="EA22">
        <f>'Demand Stage 2'!EA21</f>
        <v>0</v>
      </c>
      <c r="EB22">
        <f>'Demand Stage 2'!EB21</f>
        <v>0</v>
      </c>
      <c r="EC22">
        <f>'Demand Stage 2'!EC21</f>
        <v>0</v>
      </c>
      <c r="ED22">
        <f>'Demand Stage 2'!ED21</f>
        <v>0</v>
      </c>
      <c r="EE22">
        <f>'Demand Stage 2'!EE21</f>
        <v>0</v>
      </c>
      <c r="EF22">
        <f>'Demand Stage 2'!EF21</f>
        <v>0</v>
      </c>
      <c r="EG22">
        <f>'Demand Stage 2'!EG21</f>
        <v>0</v>
      </c>
      <c r="EH22">
        <f>'Demand Stage 2'!EH21</f>
        <v>0</v>
      </c>
      <c r="EI22">
        <f>'Demand Stage 2'!EI21</f>
        <v>0</v>
      </c>
      <c r="EJ22">
        <f>'Demand Stage 2'!EJ21</f>
        <v>0</v>
      </c>
      <c r="EK22">
        <f>'Demand Stage 2'!EK21</f>
        <v>0</v>
      </c>
      <c r="EL22">
        <f>'Demand Stage 2'!EL21</f>
        <v>0</v>
      </c>
      <c r="EM22">
        <f>'Demand Stage 2'!EM21</f>
        <v>0</v>
      </c>
      <c r="EN22">
        <f>'Demand Stage 2'!EN21</f>
        <v>0</v>
      </c>
      <c r="EO22">
        <f>'Demand Stage 2'!EO21</f>
        <v>0</v>
      </c>
      <c r="EP22">
        <f>'Demand Stage 2'!EP21</f>
        <v>0</v>
      </c>
      <c r="EQ22">
        <f>'Demand Stage 2'!EQ21</f>
        <v>0</v>
      </c>
      <c r="ER22">
        <f>'Demand Stage 2'!ER21</f>
        <v>0</v>
      </c>
      <c r="ES22">
        <f>'Demand Stage 2'!ES21</f>
        <v>0</v>
      </c>
      <c r="ET22">
        <f>'Demand Stage 2'!ET21</f>
        <v>0</v>
      </c>
      <c r="EU22">
        <f>'Demand Stage 2'!EU21</f>
        <v>0</v>
      </c>
      <c r="EV22">
        <f>'Demand Stage 2'!EV21</f>
        <v>0</v>
      </c>
      <c r="EW22">
        <f>'Demand Stage 2'!EW21</f>
        <v>0</v>
      </c>
      <c r="EX22">
        <f>'Demand Stage 2'!EX21</f>
        <v>0</v>
      </c>
      <c r="EY22">
        <f>'Demand Stage 2'!EY21</f>
        <v>0</v>
      </c>
      <c r="EZ22">
        <f>'Demand Stage 2'!EZ21</f>
        <v>0</v>
      </c>
      <c r="FA22">
        <f>'Demand Stage 2'!FA21</f>
        <v>0</v>
      </c>
      <c r="FB22">
        <f>'Demand Stage 2'!FB21</f>
        <v>0</v>
      </c>
      <c r="FC22">
        <f>'Demand Stage 2'!FC21</f>
        <v>0</v>
      </c>
      <c r="FD22">
        <f>'Demand Stage 2'!FD21</f>
        <v>0</v>
      </c>
      <c r="FE22">
        <f>'Demand Stage 2'!FE21</f>
        <v>0</v>
      </c>
      <c r="FF22">
        <f>'Demand Stage 2'!FF21</f>
        <v>0</v>
      </c>
      <c r="FG22">
        <f>'Demand Stage 2'!FG21</f>
        <v>0</v>
      </c>
      <c r="FH22">
        <f>'Demand Stage 2'!FH21</f>
        <v>0</v>
      </c>
      <c r="FI22">
        <f>'Demand Stage 2'!FI21</f>
        <v>0</v>
      </c>
      <c r="FJ22">
        <f>'Demand Stage 2'!FJ21</f>
        <v>0</v>
      </c>
      <c r="FK22">
        <f>'Demand Stage 2'!FK21</f>
        <v>0</v>
      </c>
      <c r="FL22">
        <f>'Demand Stage 2'!FL21</f>
        <v>0</v>
      </c>
      <c r="FM22">
        <f>'Demand Stage 2'!FM21</f>
        <v>0</v>
      </c>
      <c r="FN22">
        <f>'Demand Stage 2'!FN21</f>
        <v>0</v>
      </c>
      <c r="FO22">
        <f>'Demand Stage 2'!FO21</f>
        <v>0</v>
      </c>
      <c r="FP22">
        <f>'Demand Stage 2'!FP21</f>
        <v>0</v>
      </c>
      <c r="FQ22">
        <f>'Demand Stage 2'!FQ21</f>
        <v>0</v>
      </c>
      <c r="FR22">
        <f>'Demand Stage 2'!FR21</f>
        <v>0</v>
      </c>
      <c r="FS22">
        <f>'Demand Stage 2'!FS21</f>
        <v>0</v>
      </c>
      <c r="FT22">
        <f>'Demand Stage 2'!FT21</f>
        <v>0</v>
      </c>
      <c r="FU22">
        <f>'Demand Stage 2'!FU21</f>
        <v>0</v>
      </c>
      <c r="FV22">
        <f>'Demand Stage 2'!FV21</f>
        <v>0</v>
      </c>
      <c r="FW22">
        <f>'Demand Stage 2'!FW21</f>
        <v>0</v>
      </c>
      <c r="FX22">
        <f>'Demand Stage 2'!FX21</f>
        <v>0</v>
      </c>
      <c r="FY22">
        <f>'Demand Stage 2'!FY21</f>
        <v>0</v>
      </c>
      <c r="FZ22">
        <f>'Demand Stage 2'!FZ21</f>
        <v>0</v>
      </c>
      <c r="GA22">
        <f>'Demand Stage 2'!GA21</f>
        <v>0</v>
      </c>
      <c r="GB22">
        <f>'Demand Stage 2'!GB21</f>
        <v>0</v>
      </c>
      <c r="GC22">
        <f>'Demand Stage 2'!GC21</f>
        <v>0</v>
      </c>
      <c r="GD22">
        <f>'Demand Stage 2'!GD21</f>
        <v>0</v>
      </c>
      <c r="GE22">
        <f>'Demand Stage 2'!GE21</f>
        <v>0</v>
      </c>
      <c r="GF22">
        <f>'Demand Stage 2'!GF21</f>
        <v>0</v>
      </c>
      <c r="GG22">
        <f>'Demand Stage 2'!GG21</f>
        <v>0</v>
      </c>
      <c r="GH22">
        <f>'Demand Stage 2'!GH21</f>
        <v>0</v>
      </c>
      <c r="GI22">
        <f>'Demand Stage 2'!GI21</f>
        <v>0</v>
      </c>
      <c r="GJ22">
        <f>'Demand Stage 2'!GJ21</f>
        <v>0</v>
      </c>
      <c r="GK22">
        <f>'Demand Stage 2'!GK21</f>
        <v>0</v>
      </c>
      <c r="GL22">
        <f>'Demand Stage 2'!GL21</f>
        <v>0</v>
      </c>
      <c r="GM22">
        <f>'Demand Stage 2'!GM21</f>
        <v>0</v>
      </c>
      <c r="GN22">
        <f>'Demand Stage 2'!GN21</f>
        <v>0</v>
      </c>
      <c r="GO22">
        <f>'Demand Stage 2'!GO21</f>
        <v>0</v>
      </c>
      <c r="GP22">
        <f>'Demand Stage 2'!GP21</f>
        <v>0</v>
      </c>
      <c r="GQ22">
        <f>'Demand Stage 2'!GQ21</f>
        <v>0</v>
      </c>
      <c r="GR22">
        <f>'Demand Stage 2'!GR21</f>
        <v>0</v>
      </c>
      <c r="GS22">
        <f>'Demand Stage 2'!GS21</f>
        <v>0</v>
      </c>
      <c r="GT22">
        <f>'Demand Stage 2'!GT21</f>
        <v>0</v>
      </c>
      <c r="GU22">
        <f>'Demand Stage 2'!GU21</f>
        <v>0</v>
      </c>
      <c r="GV22">
        <f>'Demand Stage 2'!GV21</f>
        <v>0</v>
      </c>
      <c r="GW22">
        <f>'Demand Stage 2'!GW21</f>
        <v>0</v>
      </c>
      <c r="GX22">
        <f>'Demand Stage 2'!GX21</f>
        <v>0</v>
      </c>
      <c r="GY22">
        <f>'Demand Stage 2'!GY21</f>
        <v>0</v>
      </c>
      <c r="GZ22">
        <f>'Demand Stage 2'!GZ21</f>
        <v>0</v>
      </c>
      <c r="HA22">
        <f>'Demand Stage 2'!HA21</f>
        <v>0</v>
      </c>
      <c r="HB22">
        <f>'Demand Stage 2'!HB21</f>
        <v>0</v>
      </c>
      <c r="HC22">
        <f>'Demand Stage 2'!HC21</f>
        <v>0</v>
      </c>
      <c r="HD22">
        <f>'Demand Stage 2'!HD21</f>
        <v>0</v>
      </c>
      <c r="HE22">
        <f>'Demand Stage 2'!HE21</f>
        <v>0</v>
      </c>
      <c r="HF22">
        <f>'Demand Stage 2'!HF21</f>
        <v>0</v>
      </c>
      <c r="HG22">
        <f>'Demand Stage 2'!HG21</f>
        <v>0</v>
      </c>
      <c r="HH22">
        <f>'Demand Stage 2'!HH21</f>
        <v>0</v>
      </c>
      <c r="HI22">
        <f>'Demand Stage 2'!HI21</f>
        <v>0</v>
      </c>
      <c r="HJ22">
        <f>'Demand Stage 2'!HJ21</f>
        <v>0</v>
      </c>
      <c r="HK22">
        <f>'Demand Stage 2'!HK21</f>
        <v>0</v>
      </c>
      <c r="HL22">
        <f>'Demand Stage 2'!HL21</f>
        <v>0</v>
      </c>
      <c r="HM22">
        <f>'Demand Stage 2'!HM21</f>
        <v>0</v>
      </c>
      <c r="HN22">
        <f>'Demand Stage 2'!HN21</f>
        <v>0</v>
      </c>
      <c r="HO22">
        <f>'Demand Stage 2'!HO21</f>
        <v>0</v>
      </c>
      <c r="HP22">
        <f>'Demand Stage 2'!HP21</f>
        <v>0</v>
      </c>
      <c r="HQ22">
        <f>'Demand Stage 2'!HQ21</f>
        <v>0</v>
      </c>
      <c r="HR22">
        <f>'Demand Stage 2'!HR21</f>
        <v>0</v>
      </c>
      <c r="HS22">
        <f>'Demand Stage 2'!HS21</f>
        <v>0</v>
      </c>
      <c r="HT22">
        <f>'Demand Stage 2'!HT21</f>
        <v>0</v>
      </c>
      <c r="HU22">
        <f>'Demand Stage 2'!HU21</f>
        <v>0</v>
      </c>
      <c r="HV22">
        <f>'Demand Stage 2'!HV21</f>
        <v>0</v>
      </c>
      <c r="HW22">
        <f>'Demand Stage 2'!HW21</f>
        <v>0</v>
      </c>
      <c r="HX22">
        <f>'Demand Stage 2'!HX21</f>
        <v>0</v>
      </c>
      <c r="HY22">
        <f>'Demand Stage 2'!HY21</f>
        <v>0</v>
      </c>
      <c r="HZ22">
        <f>'Demand Stage 2'!HZ21</f>
        <v>0</v>
      </c>
      <c r="IA22">
        <f>'Demand Stage 2'!IA21</f>
        <v>0</v>
      </c>
      <c r="IB22">
        <f>'Demand Stage 2'!IB21</f>
        <v>0</v>
      </c>
      <c r="IC22">
        <f>'Demand Stage 2'!IC21</f>
        <v>0</v>
      </c>
      <c r="ID22">
        <f>'Demand Stage 2'!ID21</f>
        <v>0</v>
      </c>
      <c r="IE22">
        <f>'Demand Stage 2'!IE21</f>
        <v>0</v>
      </c>
      <c r="IF22">
        <f>'Demand Stage 2'!IF21</f>
        <v>0</v>
      </c>
      <c r="IG22">
        <f>'Demand Stage 2'!IG21</f>
        <v>0</v>
      </c>
      <c r="IH22">
        <f>'Demand Stage 2'!IH21</f>
        <v>0</v>
      </c>
      <c r="II22">
        <f>'Demand Stage 2'!II21</f>
        <v>0</v>
      </c>
      <c r="IJ22">
        <f>'Demand Stage 2'!IJ21</f>
        <v>0</v>
      </c>
      <c r="IK22">
        <f>'Demand Stage 2'!IK21</f>
        <v>0</v>
      </c>
      <c r="IL22">
        <f>'Demand Stage 2'!IL21</f>
        <v>0</v>
      </c>
      <c r="IM22">
        <f>'Demand Stage 2'!IM21</f>
        <v>0</v>
      </c>
      <c r="IN22">
        <f>'Demand Stage 2'!IN21</f>
        <v>0</v>
      </c>
      <c r="IO22">
        <f>'Demand Stage 2'!IO21</f>
        <v>0</v>
      </c>
      <c r="IP22">
        <f>'Demand Stage 2'!IP21</f>
        <v>0</v>
      </c>
      <c r="IQ22">
        <f>'Demand Stage 2'!IQ21</f>
        <v>0</v>
      </c>
      <c r="IR22">
        <f>'Demand Stage 2'!IR21</f>
        <v>0</v>
      </c>
      <c r="IS22">
        <f>'Demand Stage 2'!IS21</f>
        <v>0</v>
      </c>
      <c r="IT22">
        <f>'Demand Stage 2'!IT21</f>
        <v>0</v>
      </c>
      <c r="IU22">
        <f>'Demand Stage 2'!IU21</f>
        <v>0</v>
      </c>
      <c r="IV22">
        <f>'Demand Stage 2'!IV21</f>
        <v>0</v>
      </c>
      <c r="IW22">
        <f>'Demand Stage 2'!IW21</f>
        <v>0</v>
      </c>
      <c r="IX22">
        <f>'Demand Stage 2'!IX21</f>
        <v>0</v>
      </c>
      <c r="IY22">
        <f>'Demand Stage 2'!IY21</f>
        <v>0</v>
      </c>
      <c r="IZ22">
        <f>'Demand Stage 2'!IZ21</f>
        <v>0</v>
      </c>
      <c r="JA22">
        <f>'Demand Stage 2'!JA21</f>
        <v>0</v>
      </c>
      <c r="JB22">
        <f>'Demand Stage 2'!JB21</f>
        <v>0</v>
      </c>
      <c r="JC22">
        <f>'Demand Stage 2'!JC21</f>
        <v>0</v>
      </c>
      <c r="JD22">
        <f>'Demand Stage 2'!JD21</f>
        <v>0</v>
      </c>
      <c r="JE22">
        <f>'Demand Stage 2'!JE21</f>
        <v>0</v>
      </c>
      <c r="JF22">
        <f>'Demand Stage 2'!JF21</f>
        <v>0</v>
      </c>
      <c r="JG22">
        <f>'Demand Stage 2'!JG21</f>
        <v>0</v>
      </c>
      <c r="JH22">
        <f>'Demand Stage 2'!JH21</f>
        <v>0</v>
      </c>
      <c r="JI22">
        <f>'Demand Stage 2'!JI21</f>
        <v>0</v>
      </c>
      <c r="JJ22">
        <f>'Demand Stage 2'!JJ21</f>
        <v>0</v>
      </c>
      <c r="JK22">
        <f>'Demand Stage 2'!JK21</f>
        <v>0</v>
      </c>
      <c r="JL22">
        <f>'Demand Stage 2'!JL21</f>
        <v>0</v>
      </c>
      <c r="JM22">
        <f>'Demand Stage 2'!JM21</f>
        <v>0</v>
      </c>
      <c r="JN22">
        <f>'Demand Stage 2'!JN21</f>
        <v>0</v>
      </c>
      <c r="JO22">
        <f>'Demand Stage 2'!JO21</f>
        <v>0</v>
      </c>
      <c r="JP22">
        <f>'Demand Stage 2'!JP21</f>
        <v>0</v>
      </c>
      <c r="JQ22">
        <f>'Demand Stage 2'!JQ21</f>
        <v>0</v>
      </c>
      <c r="JR22">
        <f>'Demand Stage 2'!JR21</f>
        <v>0</v>
      </c>
      <c r="JS22">
        <f>'Demand Stage 2'!JS21</f>
        <v>0</v>
      </c>
      <c r="JT22">
        <f>'Demand Stage 2'!JT21</f>
        <v>0</v>
      </c>
      <c r="JU22">
        <f>'Demand Stage 2'!JU21</f>
        <v>0</v>
      </c>
      <c r="JV22">
        <f>'Demand Stage 2'!JV21</f>
        <v>0</v>
      </c>
      <c r="JW22">
        <f>'Demand Stage 2'!JW21</f>
        <v>0</v>
      </c>
      <c r="JX22">
        <f>'Demand Stage 2'!JX21</f>
        <v>0</v>
      </c>
      <c r="JY22">
        <f>'Demand Stage 2'!JY21</f>
        <v>0</v>
      </c>
      <c r="JZ22">
        <f>'Demand Stage 2'!JZ21</f>
        <v>0</v>
      </c>
      <c r="KA22">
        <f>'Demand Stage 2'!KA21</f>
        <v>0</v>
      </c>
      <c r="KB22">
        <f>'Demand Stage 2'!KB21</f>
        <v>0</v>
      </c>
      <c r="KC22">
        <f>'Demand Stage 2'!KC21</f>
        <v>0</v>
      </c>
      <c r="KD22">
        <f>'Demand Stage 2'!KD21</f>
        <v>0</v>
      </c>
      <c r="KE22">
        <f>'Demand Stage 2'!KE21</f>
        <v>0</v>
      </c>
      <c r="KF22">
        <f>'Demand Stage 2'!KF21</f>
        <v>0</v>
      </c>
      <c r="KG22">
        <f>'Demand Stage 2'!KG21</f>
        <v>0</v>
      </c>
      <c r="KH22">
        <f>'Demand Stage 2'!KH21</f>
        <v>0</v>
      </c>
      <c r="KI22">
        <f>'Demand Stage 2'!KI21</f>
        <v>0</v>
      </c>
      <c r="KJ22">
        <f>'Demand Stage 2'!KJ21</f>
        <v>0</v>
      </c>
      <c r="KK22">
        <f>'Demand Stage 2'!KK21</f>
        <v>0</v>
      </c>
      <c r="KL22">
        <f>'Demand Stage 2'!KL21</f>
        <v>0</v>
      </c>
      <c r="KM22">
        <f>'Demand Stage 2'!KM21</f>
        <v>0</v>
      </c>
      <c r="KN22">
        <f>'Demand Stage 2'!KN21</f>
        <v>0</v>
      </c>
      <c r="KO22">
        <f>'Demand Stage 2'!KO21</f>
        <v>0</v>
      </c>
      <c r="KP22">
        <f>'Demand Stage 2'!KP21</f>
        <v>0</v>
      </c>
      <c r="KQ22">
        <f>'Demand Stage 2'!KQ21</f>
        <v>0</v>
      </c>
      <c r="KR22">
        <f>'Demand Stage 2'!KR21</f>
        <v>0</v>
      </c>
      <c r="KS22">
        <f>'Demand Stage 2'!KS21</f>
        <v>0</v>
      </c>
      <c r="KT22">
        <f>'Demand Stage 2'!KT21</f>
        <v>0</v>
      </c>
      <c r="KU22">
        <f>'Demand Stage 2'!KU21</f>
        <v>0</v>
      </c>
      <c r="KV22">
        <f>'Demand Stage 2'!KV21</f>
        <v>0</v>
      </c>
      <c r="KW22">
        <f>'Demand Stage 2'!KW21</f>
        <v>0</v>
      </c>
      <c r="KX22">
        <f>'Demand Stage 2'!KX21</f>
        <v>0</v>
      </c>
      <c r="KY22">
        <f>'Demand Stage 2'!KY21</f>
        <v>0</v>
      </c>
      <c r="KZ22">
        <f>'Demand Stage 2'!KZ21</f>
        <v>0</v>
      </c>
      <c r="LA22">
        <f>'Demand Stage 2'!LA21</f>
        <v>0</v>
      </c>
      <c r="LB22">
        <f>'Demand Stage 2'!LB21</f>
        <v>0</v>
      </c>
      <c r="LC22">
        <f>'Demand Stage 2'!LC21</f>
        <v>0</v>
      </c>
      <c r="LD22">
        <f>'Demand Stage 2'!LD21</f>
        <v>0</v>
      </c>
      <c r="LE22">
        <f>'Demand Stage 2'!LE21</f>
        <v>0</v>
      </c>
      <c r="LF22">
        <f>'Demand Stage 2'!LF21</f>
        <v>0</v>
      </c>
      <c r="LG22">
        <f>'Demand Stage 2'!LG21</f>
        <v>0</v>
      </c>
      <c r="LH22">
        <f>'Demand Stage 2'!LH21</f>
        <v>0</v>
      </c>
      <c r="LI22">
        <f>'Demand Stage 2'!LI21</f>
        <v>0</v>
      </c>
      <c r="LJ22">
        <f>'Demand Stage 2'!LJ21</f>
        <v>0</v>
      </c>
      <c r="LK22">
        <f>'Demand Stage 2'!LK21</f>
        <v>0</v>
      </c>
      <c r="LL22">
        <f>'Demand Stage 2'!LL21</f>
        <v>0</v>
      </c>
      <c r="LM22">
        <f>'Demand Stage 2'!LM21</f>
        <v>0</v>
      </c>
      <c r="LN22">
        <f>'Demand Stage 2'!LN21</f>
        <v>0</v>
      </c>
      <c r="LO22">
        <f>'Demand Stage 2'!LO21</f>
        <v>0</v>
      </c>
      <c r="LP22">
        <f>'Demand Stage 2'!LP21</f>
        <v>0</v>
      </c>
      <c r="LQ22">
        <f>'Demand Stage 2'!LQ21</f>
        <v>0</v>
      </c>
      <c r="LR22">
        <f>'Demand Stage 2'!LR21</f>
        <v>0</v>
      </c>
      <c r="LS22">
        <f>'Demand Stage 2'!LS21</f>
        <v>0</v>
      </c>
      <c r="LT22">
        <f>'Demand Stage 2'!LT21</f>
        <v>0</v>
      </c>
      <c r="LU22">
        <f>'Demand Stage 2'!LU21</f>
        <v>0</v>
      </c>
      <c r="LV22">
        <f>'Demand Stage 2'!LV21</f>
        <v>0</v>
      </c>
      <c r="LW22">
        <f>'Demand Stage 2'!LW21</f>
        <v>0</v>
      </c>
      <c r="LX22">
        <f>'Demand Stage 2'!LX21</f>
        <v>0</v>
      </c>
      <c r="LY22">
        <f>'Demand Stage 2'!LY21</f>
        <v>0</v>
      </c>
      <c r="LZ22">
        <f>'Demand Stage 2'!LZ21</f>
        <v>0</v>
      </c>
      <c r="MA22">
        <f>'Demand Stage 2'!MA21</f>
        <v>0</v>
      </c>
      <c r="MB22">
        <f>'Demand Stage 2'!MB21</f>
        <v>0</v>
      </c>
      <c r="MC22">
        <f>'Demand Stage 2'!MC21</f>
        <v>0</v>
      </c>
      <c r="MD22">
        <f>'Demand Stage 2'!MD21</f>
        <v>0</v>
      </c>
      <c r="ME22">
        <f>'Demand Stage 2'!ME21</f>
        <v>0</v>
      </c>
      <c r="MF22">
        <f>'Demand Stage 2'!MF21</f>
        <v>0</v>
      </c>
      <c r="MG22">
        <f>'Demand Stage 2'!MG21</f>
        <v>0</v>
      </c>
      <c r="MH22">
        <f>'Demand Stage 2'!MH21</f>
        <v>0</v>
      </c>
      <c r="MI22">
        <f>'Demand Stage 2'!MI21</f>
        <v>0</v>
      </c>
      <c r="MJ22">
        <f>'Demand Stage 2'!MJ21</f>
        <v>0</v>
      </c>
      <c r="MK22">
        <f>'Demand Stage 2'!MK21</f>
        <v>0</v>
      </c>
      <c r="ML22">
        <f>'Demand Stage 2'!ML21</f>
        <v>0</v>
      </c>
      <c r="MM22">
        <f>'Demand Stage 2'!MM21</f>
        <v>0</v>
      </c>
      <c r="MN22">
        <f>'Demand Stage 2'!MN21</f>
        <v>0</v>
      </c>
      <c r="MO22">
        <f>'Demand Stage 2'!MO21</f>
        <v>0</v>
      </c>
      <c r="MP22">
        <f>'Demand Stage 2'!MP21</f>
        <v>0</v>
      </c>
      <c r="MQ22">
        <f>'Demand Stage 2'!MQ21</f>
        <v>0</v>
      </c>
      <c r="MR22">
        <f>'Demand Stage 2'!MR21</f>
        <v>0</v>
      </c>
      <c r="MS22">
        <f>'Demand Stage 2'!MS21</f>
        <v>0</v>
      </c>
      <c r="MT22">
        <f>'Demand Stage 2'!MT21</f>
        <v>0</v>
      </c>
      <c r="MU22">
        <f>'Demand Stage 2'!MU21</f>
        <v>0</v>
      </c>
      <c r="MV22">
        <f>'Demand Stage 2'!MV21</f>
        <v>0</v>
      </c>
      <c r="MW22">
        <f>'Demand Stage 2'!MW21</f>
        <v>0</v>
      </c>
      <c r="MX22">
        <f>'Demand Stage 2'!MX21</f>
        <v>0</v>
      </c>
      <c r="MY22">
        <f>'Demand Stage 2'!MY21</f>
        <v>0</v>
      </c>
      <c r="MZ22">
        <f>'Demand Stage 2'!MZ21</f>
        <v>0</v>
      </c>
      <c r="NA22">
        <f>'Demand Stage 2'!NA21</f>
        <v>0</v>
      </c>
      <c r="NB22">
        <f>'Demand Stage 2'!NB21</f>
        <v>0</v>
      </c>
      <c r="NC22">
        <f>'Demand Stage 2'!NC21</f>
        <v>0</v>
      </c>
      <c r="ND22">
        <f>'Demand Stage 2'!ND21</f>
        <v>0</v>
      </c>
      <c r="NE22">
        <f>'Demand Stage 2'!NE21</f>
        <v>0</v>
      </c>
      <c r="NF22">
        <f>'Demand Stage 2'!NF21</f>
        <v>0</v>
      </c>
      <c r="NG22">
        <f>'Demand Stage 2'!NG21</f>
        <v>0</v>
      </c>
      <c r="NH22">
        <f>'Demand Stage 2'!NH21</f>
        <v>0</v>
      </c>
      <c r="NI22">
        <f>'Demand Stage 2'!NI21</f>
        <v>0</v>
      </c>
      <c r="NJ22">
        <f>'Demand Stage 2'!NJ21</f>
        <v>0</v>
      </c>
      <c r="NK22">
        <f>'Demand Stage 2'!NK21</f>
        <v>0</v>
      </c>
      <c r="NL22">
        <f>'Demand Stage 2'!NL21</f>
        <v>0</v>
      </c>
      <c r="NM22">
        <f>'Demand Stage 2'!NM21</f>
        <v>0</v>
      </c>
      <c r="NN22">
        <f>'Demand Stage 2'!NN21</f>
        <v>0</v>
      </c>
      <c r="NO22">
        <f>'Demand Stage 2'!NO21</f>
        <v>0</v>
      </c>
      <c r="NP22">
        <f>'Demand Stage 2'!NP21</f>
        <v>0</v>
      </c>
      <c r="NQ22">
        <f>'Demand Stage 2'!NQ21</f>
        <v>0</v>
      </c>
      <c r="NR22">
        <f>'Demand Stage 2'!NR21</f>
        <v>0</v>
      </c>
      <c r="NS22">
        <f>'Demand Stage 2'!NS21</f>
        <v>0</v>
      </c>
      <c r="NT22">
        <f>'Demand Stage 2'!NT21</f>
        <v>0</v>
      </c>
      <c r="NU22">
        <f>'Demand Stage 2'!NU21</f>
        <v>0</v>
      </c>
      <c r="NV22">
        <f>'Demand Stage 2'!NV21</f>
        <v>0</v>
      </c>
      <c r="NW22">
        <f>'Demand Stage 2'!NW21</f>
        <v>0</v>
      </c>
      <c r="NX22">
        <f>'Demand Stage 2'!NX21</f>
        <v>0</v>
      </c>
      <c r="NY22">
        <f>'Demand Stage 2'!NY21</f>
        <v>0</v>
      </c>
      <c r="NZ22">
        <f>'Demand Stage 2'!NZ21</f>
        <v>0</v>
      </c>
      <c r="OA22">
        <f>'Demand Stage 2'!OA21</f>
        <v>0</v>
      </c>
      <c r="OB22">
        <f>'Demand Stage 2'!OB21</f>
        <v>0</v>
      </c>
      <c r="OC22">
        <f>'Demand Stage 2'!OC21</f>
        <v>0</v>
      </c>
      <c r="OD22">
        <f>'Demand Stage 2'!OD21</f>
        <v>0</v>
      </c>
      <c r="OE22">
        <f>'Demand Stage 2'!OE21</f>
        <v>0</v>
      </c>
      <c r="OF22">
        <f>'Demand Stage 2'!OF21</f>
        <v>0</v>
      </c>
      <c r="OG22">
        <f>'Demand Stage 2'!OG21</f>
        <v>0</v>
      </c>
      <c r="OH22">
        <f>'Demand Stage 2'!OH21</f>
        <v>0</v>
      </c>
      <c r="OI22">
        <f>'Demand Stage 2'!OI21</f>
        <v>0</v>
      </c>
      <c r="OJ22">
        <f>'Demand Stage 2'!OJ21</f>
        <v>0</v>
      </c>
      <c r="OK22">
        <f>'Demand Stage 2'!OK21</f>
        <v>0</v>
      </c>
      <c r="OL22">
        <f>'Demand Stage 2'!OL21</f>
        <v>0</v>
      </c>
      <c r="OM22">
        <f>'Demand Stage 2'!OM21</f>
        <v>0</v>
      </c>
      <c r="ON22">
        <f>'Demand Stage 2'!ON21</f>
        <v>0</v>
      </c>
      <c r="OO22">
        <f>'Demand Stage 2'!OO21</f>
        <v>0</v>
      </c>
      <c r="OP22">
        <f>'Demand Stage 2'!OP21</f>
        <v>0</v>
      </c>
      <c r="OQ22">
        <f>'Demand Stage 2'!OQ21</f>
        <v>0</v>
      </c>
      <c r="OR22">
        <f>'Demand Stage 2'!OR21</f>
        <v>0</v>
      </c>
      <c r="OS22">
        <f>'Demand Stage 2'!OS21</f>
        <v>0</v>
      </c>
      <c r="OT22">
        <f>'Demand Stage 2'!OT21</f>
        <v>0</v>
      </c>
      <c r="OU22">
        <f>'Demand Stage 2'!OU21</f>
        <v>0</v>
      </c>
      <c r="OV22">
        <f>'Demand Stage 2'!OV21</f>
        <v>0</v>
      </c>
      <c r="OW22">
        <f>'Demand Stage 2'!OW21</f>
        <v>0</v>
      </c>
      <c r="OX22">
        <f>'Demand Stage 2'!OX21</f>
        <v>0</v>
      </c>
      <c r="OY22">
        <f>'Demand Stage 2'!OY21</f>
        <v>0</v>
      </c>
      <c r="OZ22">
        <f>'Demand Stage 2'!OZ21</f>
        <v>0</v>
      </c>
      <c r="PA22">
        <f>'Demand Stage 2'!PA21</f>
        <v>0</v>
      </c>
      <c r="PB22">
        <f>'Demand Stage 2'!PB21</f>
        <v>0</v>
      </c>
      <c r="PC22">
        <f>'Demand Stage 2'!PC21</f>
        <v>0</v>
      </c>
      <c r="PD22">
        <f>'Demand Stage 2'!PD21</f>
        <v>0</v>
      </c>
      <c r="PE22">
        <f>'Demand Stage 2'!PE21</f>
        <v>0</v>
      </c>
      <c r="PF22">
        <f>'Demand Stage 2'!PF21</f>
        <v>0</v>
      </c>
      <c r="PG22">
        <f>'Demand Stage 2'!PG21</f>
        <v>0</v>
      </c>
      <c r="PH22">
        <f>'Demand Stage 2'!PH21</f>
        <v>0</v>
      </c>
      <c r="PI22">
        <f>'Demand Stage 2'!PI21</f>
        <v>0</v>
      </c>
      <c r="PJ22">
        <f>'Demand Stage 2'!PJ21</f>
        <v>0</v>
      </c>
      <c r="PK22">
        <f>'Demand Stage 2'!PK21</f>
        <v>0</v>
      </c>
      <c r="PL22">
        <f>'Demand Stage 2'!PL21</f>
        <v>0</v>
      </c>
      <c r="PM22">
        <f>'Demand Stage 2'!PM21</f>
        <v>0</v>
      </c>
      <c r="PN22">
        <f>'Demand Stage 2'!PN21</f>
        <v>0</v>
      </c>
      <c r="PO22">
        <f>'Demand Stage 2'!PO21</f>
        <v>0</v>
      </c>
      <c r="PP22">
        <f>'Demand Stage 2'!PP21</f>
        <v>0</v>
      </c>
      <c r="PQ22">
        <f>'Demand Stage 2'!PQ21</f>
        <v>0</v>
      </c>
      <c r="PR22">
        <f>'Demand Stage 2'!PR21</f>
        <v>0</v>
      </c>
      <c r="PS22">
        <f>'Demand Stage 2'!PS21</f>
        <v>0</v>
      </c>
      <c r="PT22">
        <f>'Demand Stage 2'!PT21</f>
        <v>0</v>
      </c>
      <c r="PU22">
        <f>'Demand Stage 2'!PU21</f>
        <v>0</v>
      </c>
      <c r="PV22">
        <f>'Demand Stage 2'!PV21</f>
        <v>0</v>
      </c>
      <c r="PW22">
        <f>'Demand Stage 2'!PW21</f>
        <v>0</v>
      </c>
      <c r="PX22">
        <f>'Demand Stage 2'!PX21</f>
        <v>0</v>
      </c>
      <c r="PY22">
        <f>'Demand Stage 2'!PY21</f>
        <v>0</v>
      </c>
      <c r="PZ22">
        <f>'Demand Stage 2'!PZ21</f>
        <v>0</v>
      </c>
      <c r="QA22">
        <f>'Demand Stage 2'!QA21</f>
        <v>0</v>
      </c>
      <c r="QB22">
        <f>'Demand Stage 2'!QB21</f>
        <v>0</v>
      </c>
      <c r="QC22">
        <f>'Demand Stage 2'!QC21</f>
        <v>0</v>
      </c>
      <c r="QD22">
        <f>'Demand Stage 2'!QD21</f>
        <v>0</v>
      </c>
      <c r="QE22">
        <f>'Demand Stage 2'!QE21</f>
        <v>0</v>
      </c>
      <c r="QF22">
        <f>'Demand Stage 2'!QF21</f>
        <v>0</v>
      </c>
      <c r="QG22">
        <f>'Demand Stage 2'!QG21</f>
        <v>0</v>
      </c>
      <c r="QH22">
        <f>'Demand Stage 2'!QH21</f>
        <v>0</v>
      </c>
      <c r="QI22">
        <f>'Demand Stage 2'!QI21</f>
        <v>0</v>
      </c>
      <c r="QJ22">
        <f>'Demand Stage 2'!QJ21</f>
        <v>0</v>
      </c>
      <c r="QK22">
        <f>'Demand Stage 2'!QK21</f>
        <v>0</v>
      </c>
      <c r="QL22">
        <f>'Demand Stage 2'!QL21</f>
        <v>0</v>
      </c>
      <c r="QM22">
        <f>'Demand Stage 2'!QM21</f>
        <v>0</v>
      </c>
      <c r="QN22">
        <f>'Demand Stage 2'!QN21</f>
        <v>0</v>
      </c>
      <c r="QO22">
        <f>'Demand Stage 2'!QO21</f>
        <v>0</v>
      </c>
      <c r="QP22">
        <f>'Demand Stage 2'!QP21</f>
        <v>0</v>
      </c>
      <c r="QQ22">
        <f>'Demand Stage 2'!QQ21</f>
        <v>0</v>
      </c>
      <c r="QR22">
        <f>'Demand Stage 2'!QR21</f>
        <v>0</v>
      </c>
      <c r="QS22">
        <f>'Demand Stage 2'!QS21</f>
        <v>0</v>
      </c>
      <c r="QT22">
        <f>'Demand Stage 2'!QT21</f>
        <v>0</v>
      </c>
      <c r="QU22">
        <f>'Demand Stage 2'!QU21</f>
        <v>0</v>
      </c>
      <c r="QV22">
        <f>'Demand Stage 2'!QV21</f>
        <v>0</v>
      </c>
      <c r="QW22">
        <f>'Demand Stage 2'!QW21</f>
        <v>0</v>
      </c>
      <c r="QX22">
        <f>'Demand Stage 2'!QX21</f>
        <v>0</v>
      </c>
      <c r="QY22">
        <f>'Demand Stage 2'!QY21</f>
        <v>0</v>
      </c>
      <c r="QZ22">
        <f>'Demand Stage 2'!QZ21</f>
        <v>0</v>
      </c>
      <c r="RA22">
        <f>'Demand Stage 2'!RA21</f>
        <v>0</v>
      </c>
      <c r="RB22">
        <f>'Demand Stage 2'!RB21</f>
        <v>0</v>
      </c>
      <c r="RC22">
        <f>'Demand Stage 2'!RC21</f>
        <v>0</v>
      </c>
      <c r="RD22">
        <f>'Demand Stage 2'!RD21</f>
        <v>0</v>
      </c>
      <c r="RE22">
        <f>'Demand Stage 2'!RE21</f>
        <v>0</v>
      </c>
      <c r="RF22">
        <f>'Demand Stage 2'!RF21</f>
        <v>0</v>
      </c>
      <c r="RG22">
        <f>'Demand Stage 2'!RG21</f>
        <v>0</v>
      </c>
      <c r="RH22">
        <f>'Demand Stage 2'!RH21</f>
        <v>0</v>
      </c>
      <c r="RI22">
        <f>'Demand Stage 2'!RI21</f>
        <v>0</v>
      </c>
      <c r="RJ22">
        <f>'Demand Stage 2'!RJ21</f>
        <v>0</v>
      </c>
      <c r="RK22">
        <f>'Demand Stage 2'!RK21</f>
        <v>0</v>
      </c>
      <c r="RL22">
        <f>'Demand Stage 2'!RL21</f>
        <v>0</v>
      </c>
      <c r="RM22">
        <f>'Demand Stage 2'!RM21</f>
        <v>0</v>
      </c>
      <c r="RN22">
        <f>'Demand Stage 2'!RN21</f>
        <v>0</v>
      </c>
      <c r="RO22">
        <f>'Demand Stage 2'!RO21</f>
        <v>0</v>
      </c>
      <c r="RP22">
        <f>'Demand Stage 2'!RP21</f>
        <v>0</v>
      </c>
      <c r="RQ22">
        <f>'Demand Stage 2'!RQ21</f>
        <v>0</v>
      </c>
      <c r="RR22">
        <f>'Demand Stage 2'!RR21</f>
        <v>0</v>
      </c>
      <c r="RS22">
        <f>'Demand Stage 2'!RS21</f>
        <v>0</v>
      </c>
      <c r="RT22">
        <f>'Demand Stage 2'!RT21</f>
        <v>0</v>
      </c>
      <c r="RU22">
        <f>'Demand Stage 2'!RU21</f>
        <v>0</v>
      </c>
      <c r="RV22">
        <f>'Demand Stage 2'!RV21</f>
        <v>0</v>
      </c>
      <c r="RW22">
        <f>'Demand Stage 2'!RW21</f>
        <v>0</v>
      </c>
      <c r="RX22">
        <f>'Demand Stage 2'!RX21</f>
        <v>0</v>
      </c>
      <c r="RY22">
        <f>'Demand Stage 2'!RY21</f>
        <v>0</v>
      </c>
      <c r="RZ22">
        <f>'Demand Stage 2'!RZ21</f>
        <v>0</v>
      </c>
      <c r="SA22">
        <f>'Demand Stage 2'!SA21</f>
        <v>0</v>
      </c>
      <c r="SB22">
        <f>'Demand Stage 2'!SB21</f>
        <v>0</v>
      </c>
      <c r="SC22">
        <f>'Demand Stage 2'!SC21</f>
        <v>0</v>
      </c>
      <c r="SD22">
        <f>'Demand Stage 2'!SD21</f>
        <v>0</v>
      </c>
      <c r="SE22">
        <f>'Demand Stage 2'!SE21</f>
        <v>0</v>
      </c>
      <c r="SF22">
        <f>'Demand Stage 2'!SF21</f>
        <v>0</v>
      </c>
      <c r="SG22">
        <f>'Demand Stage 2'!SG21</f>
        <v>0</v>
      </c>
      <c r="SH22">
        <f>'Demand Stage 2'!SH21</f>
        <v>0</v>
      </c>
      <c r="SI22">
        <f>'Demand Stage 2'!SI21</f>
        <v>0</v>
      </c>
      <c r="SJ22">
        <f>'Demand Stage 2'!SJ21</f>
        <v>0</v>
      </c>
      <c r="SK22">
        <f>'Demand Stage 2'!SK21</f>
        <v>0</v>
      </c>
      <c r="SL22">
        <f>'Demand Stage 2'!SL21</f>
        <v>0</v>
      </c>
      <c r="SM22">
        <f>'Demand Stage 2'!SM21</f>
        <v>0</v>
      </c>
      <c r="SN22">
        <f>'Demand Stage 2'!SN21</f>
        <v>0</v>
      </c>
      <c r="SO22">
        <f>'Demand Stage 2'!SO21</f>
        <v>0</v>
      </c>
      <c r="SP22">
        <f>'Demand Stage 2'!SP21</f>
        <v>0</v>
      </c>
      <c r="SQ22">
        <f>'Demand Stage 2'!SQ21</f>
        <v>0</v>
      </c>
      <c r="SR22">
        <f>'Demand Stage 2'!SR21</f>
        <v>0</v>
      </c>
      <c r="SS22">
        <f>'Demand Stage 2'!SS21</f>
        <v>0</v>
      </c>
      <c r="ST22">
        <f>'Demand Stage 2'!ST21</f>
        <v>0</v>
      </c>
      <c r="SU22">
        <f>'Demand Stage 2'!SU21</f>
        <v>0</v>
      </c>
      <c r="SV22">
        <f>'Demand Stage 2'!SV21</f>
        <v>0</v>
      </c>
      <c r="SW22">
        <f>'Demand Stage 2'!SW21</f>
        <v>0</v>
      </c>
      <c r="SX22">
        <f>'Demand Stage 2'!SX21</f>
        <v>0</v>
      </c>
      <c r="SY22">
        <f>'Demand Stage 2'!SY21</f>
        <v>0</v>
      </c>
      <c r="SZ22">
        <f>'Demand Stage 2'!SZ21</f>
        <v>0</v>
      </c>
      <c r="TA22">
        <f>'Demand Stage 2'!TA21</f>
        <v>0</v>
      </c>
      <c r="TB22">
        <f>'Demand Stage 2'!TB21</f>
        <v>0</v>
      </c>
      <c r="TC22">
        <f>'Demand Stage 2'!TC21</f>
        <v>0</v>
      </c>
      <c r="TD22">
        <f>'Demand Stage 2'!TD21</f>
        <v>0</v>
      </c>
      <c r="TE22">
        <f>'Demand Stage 2'!TE21</f>
        <v>0</v>
      </c>
      <c r="TF22">
        <f>'Demand Stage 2'!TF21</f>
        <v>0</v>
      </c>
      <c r="TG22">
        <f>'Demand Stage 2'!TG21</f>
        <v>0</v>
      </c>
      <c r="TH22">
        <f>'Demand Stage 2'!TH21</f>
        <v>0</v>
      </c>
      <c r="TI22">
        <f>'Demand Stage 2'!TI21</f>
        <v>0</v>
      </c>
      <c r="TJ22">
        <f>'Demand Stage 2'!TJ21</f>
        <v>0</v>
      </c>
      <c r="TK22">
        <f>'Demand Stage 2'!TK21</f>
        <v>0</v>
      </c>
      <c r="TL22">
        <f>'Demand Stage 2'!TL21</f>
        <v>0</v>
      </c>
      <c r="TM22">
        <f>'Demand Stage 2'!TM21</f>
        <v>0</v>
      </c>
      <c r="TN22">
        <f>'Demand Stage 2'!TN21</f>
        <v>0</v>
      </c>
      <c r="TO22">
        <f>'Demand Stage 2'!TO21</f>
        <v>0</v>
      </c>
      <c r="TP22">
        <f>'Demand Stage 2'!TP21</f>
        <v>0</v>
      </c>
      <c r="TQ22">
        <f>'Demand Stage 2'!TQ21</f>
        <v>0</v>
      </c>
      <c r="TR22">
        <f>'Demand Stage 2'!TR21</f>
        <v>0</v>
      </c>
      <c r="TS22">
        <f>'Demand Stage 2'!TS21</f>
        <v>0</v>
      </c>
      <c r="TT22">
        <f>'Demand Stage 2'!TT21</f>
        <v>0</v>
      </c>
      <c r="TU22">
        <f>'Demand Stage 2'!TU21</f>
        <v>0</v>
      </c>
      <c r="TV22">
        <f>'Demand Stage 2'!TV21</f>
        <v>0</v>
      </c>
      <c r="TW22">
        <f>'Demand Stage 2'!TW21</f>
        <v>0</v>
      </c>
      <c r="TX22">
        <f>'Demand Stage 2'!TX21</f>
        <v>0</v>
      </c>
      <c r="TY22">
        <f>'Demand Stage 2'!TY21</f>
        <v>0</v>
      </c>
      <c r="TZ22">
        <f>'Demand Stage 2'!TZ21</f>
        <v>0</v>
      </c>
      <c r="UA22">
        <f>'Demand Stage 2'!UA21</f>
        <v>0</v>
      </c>
      <c r="UB22">
        <f>'Demand Stage 2'!UB21</f>
        <v>0</v>
      </c>
      <c r="UC22">
        <f>'Demand Stage 2'!UC21</f>
        <v>0</v>
      </c>
      <c r="UD22">
        <f>'Demand Stage 2'!UD21</f>
        <v>0</v>
      </c>
      <c r="UE22">
        <f>'Demand Stage 2'!UE21</f>
        <v>0</v>
      </c>
      <c r="UF22">
        <f>'Demand Stage 2'!UF21</f>
        <v>0</v>
      </c>
      <c r="UG22">
        <f>'Demand Stage 2'!UG21</f>
        <v>0</v>
      </c>
      <c r="UH22">
        <f>'Demand Stage 2'!UH21</f>
        <v>0</v>
      </c>
      <c r="UI22">
        <f>'Demand Stage 2'!UI21</f>
        <v>0</v>
      </c>
      <c r="UJ22">
        <f>'Demand Stage 2'!UJ21</f>
        <v>0</v>
      </c>
      <c r="UK22">
        <f>'Demand Stage 2'!UK21</f>
        <v>0</v>
      </c>
      <c r="UL22">
        <f>'Demand Stage 2'!UL21</f>
        <v>0</v>
      </c>
      <c r="UM22">
        <f>'Demand Stage 2'!UM21</f>
        <v>0</v>
      </c>
      <c r="UN22">
        <f>'Demand Stage 2'!UN21</f>
        <v>0</v>
      </c>
      <c r="UO22">
        <f>'Demand Stage 2'!UO21</f>
        <v>0</v>
      </c>
      <c r="UP22">
        <f>'Demand Stage 2'!UP21</f>
        <v>0</v>
      </c>
      <c r="UQ22">
        <f>'Demand Stage 2'!UQ21</f>
        <v>0</v>
      </c>
      <c r="UR22">
        <f>'Demand Stage 2'!UR21</f>
        <v>0</v>
      </c>
      <c r="US22">
        <f>'Demand Stage 2'!US21</f>
        <v>0</v>
      </c>
      <c r="UT22">
        <f>'Demand Stage 2'!UT21</f>
        <v>0</v>
      </c>
      <c r="UU22">
        <f>'Demand Stage 2'!UU21</f>
        <v>0</v>
      </c>
      <c r="UV22">
        <f>'Demand Stage 2'!UV21</f>
        <v>0</v>
      </c>
      <c r="UW22">
        <f>'Demand Stage 2'!UW21</f>
        <v>0</v>
      </c>
      <c r="UX22">
        <f>'Demand Stage 2'!UX21</f>
        <v>0</v>
      </c>
      <c r="UY22">
        <f>'Demand Stage 2'!UY21</f>
        <v>0</v>
      </c>
      <c r="UZ22">
        <f>'Demand Stage 2'!UZ21</f>
        <v>0</v>
      </c>
      <c r="VA22">
        <f>'Demand Stage 2'!VA21</f>
        <v>0</v>
      </c>
      <c r="VB22">
        <f>'Demand Stage 2'!VB21</f>
        <v>0</v>
      </c>
      <c r="VC22">
        <f>'Demand Stage 2'!VC21</f>
        <v>0</v>
      </c>
      <c r="VD22">
        <f>'Demand Stage 2'!VD21</f>
        <v>0</v>
      </c>
      <c r="VE22">
        <f>'Demand Stage 2'!VE21</f>
        <v>0</v>
      </c>
      <c r="VF22">
        <f>'Demand Stage 2'!VF21</f>
        <v>0</v>
      </c>
      <c r="VG22">
        <f>'Demand Stage 2'!VG21</f>
        <v>0</v>
      </c>
      <c r="VH22">
        <f>'Demand Stage 2'!VH21</f>
        <v>0</v>
      </c>
      <c r="VI22">
        <f>'Demand Stage 2'!VI21</f>
        <v>0</v>
      </c>
      <c r="VJ22">
        <f>'Demand Stage 2'!VJ21</f>
        <v>0</v>
      </c>
      <c r="VK22">
        <f>'Demand Stage 2'!VK21</f>
        <v>0</v>
      </c>
      <c r="VL22">
        <f>'Demand Stage 2'!VL21</f>
        <v>0</v>
      </c>
      <c r="VM22">
        <f>'Demand Stage 2'!VM21</f>
        <v>0</v>
      </c>
      <c r="VN22">
        <f>'Demand Stage 2'!VN21</f>
        <v>0</v>
      </c>
      <c r="VO22">
        <f>'Demand Stage 2'!VO21</f>
        <v>0</v>
      </c>
      <c r="VP22">
        <f>'Demand Stage 2'!VP21</f>
        <v>0</v>
      </c>
      <c r="VQ22">
        <f>'Demand Stage 2'!VQ21</f>
        <v>0</v>
      </c>
      <c r="VR22">
        <f>'Demand Stage 2'!VR21</f>
        <v>0</v>
      </c>
      <c r="VS22">
        <f>'Demand Stage 2'!VS21</f>
        <v>0</v>
      </c>
      <c r="VT22">
        <f>'Demand Stage 2'!VT21</f>
        <v>0</v>
      </c>
      <c r="VU22">
        <f>'Demand Stage 2'!VU21</f>
        <v>0</v>
      </c>
      <c r="VV22">
        <f>'Demand Stage 2'!VV21</f>
        <v>0</v>
      </c>
      <c r="VW22">
        <f>'Demand Stage 2'!VW21</f>
        <v>0</v>
      </c>
      <c r="VX22">
        <f>'Demand Stage 2'!VX21</f>
        <v>0</v>
      </c>
      <c r="VY22">
        <f>'Demand Stage 2'!VY21</f>
        <v>0</v>
      </c>
      <c r="VZ22">
        <f>'Demand Stage 2'!VZ21</f>
        <v>0</v>
      </c>
      <c r="WA22">
        <f>'Demand Stage 2'!WA21</f>
        <v>0</v>
      </c>
      <c r="WB22">
        <f>'Demand Stage 2'!WB21</f>
        <v>0</v>
      </c>
      <c r="WC22">
        <f>'Demand Stage 2'!WC21</f>
        <v>0</v>
      </c>
      <c r="WD22">
        <f>'Demand Stage 2'!WD21</f>
        <v>0</v>
      </c>
      <c r="WE22">
        <f>'Demand Stage 2'!WE21</f>
        <v>0</v>
      </c>
      <c r="WF22">
        <f>'Demand Stage 2'!WF21</f>
        <v>0</v>
      </c>
      <c r="WG22">
        <f>'Demand Stage 2'!WG21</f>
        <v>0</v>
      </c>
      <c r="WH22">
        <f>'Demand Stage 2'!WH21</f>
        <v>0</v>
      </c>
      <c r="WI22">
        <f>'Demand Stage 2'!WI21</f>
        <v>0</v>
      </c>
      <c r="WJ22">
        <f>'Demand Stage 2'!WJ21</f>
        <v>0</v>
      </c>
      <c r="WK22">
        <f>'Demand Stage 2'!WK21</f>
        <v>0</v>
      </c>
      <c r="WL22">
        <f>'Demand Stage 2'!WL21</f>
        <v>0</v>
      </c>
      <c r="WM22">
        <f>'Demand Stage 2'!WM21</f>
        <v>0</v>
      </c>
      <c r="WN22">
        <f>'Demand Stage 2'!WN21</f>
        <v>0</v>
      </c>
      <c r="WO22">
        <f>'Demand Stage 2'!WO21</f>
        <v>0</v>
      </c>
      <c r="WP22">
        <f>'Demand Stage 2'!WP21</f>
        <v>0</v>
      </c>
      <c r="WQ22">
        <f>'Demand Stage 2'!WQ21</f>
        <v>0</v>
      </c>
      <c r="WR22">
        <f>'Demand Stage 2'!WR21</f>
        <v>0</v>
      </c>
      <c r="WS22">
        <f>'Demand Stage 2'!WS21</f>
        <v>0</v>
      </c>
      <c r="WT22">
        <f>'Demand Stage 2'!WT21</f>
        <v>0</v>
      </c>
      <c r="WU22">
        <f>'Demand Stage 2'!WU21</f>
        <v>0</v>
      </c>
      <c r="WV22">
        <f>'Demand Stage 2'!WV21</f>
        <v>0</v>
      </c>
      <c r="WW22">
        <f>'Demand Stage 2'!WW21</f>
        <v>0</v>
      </c>
      <c r="WX22">
        <f>'Demand Stage 2'!WX21</f>
        <v>0</v>
      </c>
      <c r="WY22">
        <f>'Demand Stage 2'!WY21</f>
        <v>0</v>
      </c>
      <c r="WZ22">
        <f>'Demand Stage 2'!WZ21</f>
        <v>0</v>
      </c>
      <c r="XA22">
        <f>'Demand Stage 2'!XA21</f>
        <v>0</v>
      </c>
      <c r="XB22">
        <f>'Demand Stage 2'!XB21</f>
        <v>0</v>
      </c>
      <c r="XC22">
        <f>'Demand Stage 2'!XC21</f>
        <v>0</v>
      </c>
      <c r="XD22">
        <f>'Demand Stage 2'!XD21</f>
        <v>0</v>
      </c>
      <c r="XE22">
        <f>'Demand Stage 2'!XE21</f>
        <v>0</v>
      </c>
      <c r="XF22">
        <f>'Demand Stage 2'!XF21</f>
        <v>0</v>
      </c>
      <c r="XG22">
        <f>'Demand Stage 2'!XG21</f>
        <v>0</v>
      </c>
      <c r="XH22">
        <f>'Demand Stage 2'!XH21</f>
        <v>0</v>
      </c>
      <c r="XI22">
        <f>'Demand Stage 2'!XI21</f>
        <v>0</v>
      </c>
      <c r="XJ22">
        <f>'Demand Stage 2'!XJ21</f>
        <v>0</v>
      </c>
      <c r="XK22">
        <f>'Demand Stage 2'!XK21</f>
        <v>0</v>
      </c>
      <c r="XL22">
        <f>'Demand Stage 2'!XL21</f>
        <v>0</v>
      </c>
      <c r="XM22">
        <f>'Demand Stage 2'!XM21</f>
        <v>0</v>
      </c>
      <c r="XN22">
        <f>'Demand Stage 2'!XN21</f>
        <v>0</v>
      </c>
      <c r="XO22">
        <f>'Demand Stage 2'!XO21</f>
        <v>0</v>
      </c>
      <c r="XP22">
        <f>'Demand Stage 2'!XP21</f>
        <v>0</v>
      </c>
      <c r="XQ22">
        <f>'Demand Stage 2'!XQ21</f>
        <v>0</v>
      </c>
      <c r="XR22">
        <f>'Demand Stage 2'!XR21</f>
        <v>0</v>
      </c>
      <c r="XS22">
        <f>'Demand Stage 2'!XS21</f>
        <v>0</v>
      </c>
      <c r="XT22">
        <f>'Demand Stage 2'!XT21</f>
        <v>0</v>
      </c>
      <c r="XU22">
        <f>'Demand Stage 2'!XU21</f>
        <v>0</v>
      </c>
      <c r="XV22">
        <f>'Demand Stage 2'!XV21</f>
        <v>0</v>
      </c>
      <c r="XW22">
        <f>'Demand Stage 2'!XW21</f>
        <v>0</v>
      </c>
      <c r="XX22">
        <f>'Demand Stage 2'!XX21</f>
        <v>0</v>
      </c>
      <c r="XY22">
        <f>'Demand Stage 2'!XY21</f>
        <v>0</v>
      </c>
      <c r="XZ22">
        <f>'Demand Stage 2'!XZ21</f>
        <v>0</v>
      </c>
      <c r="YA22">
        <f>'Demand Stage 2'!YA21</f>
        <v>0</v>
      </c>
      <c r="YB22">
        <f>'Demand Stage 2'!YB21</f>
        <v>0</v>
      </c>
      <c r="YC22">
        <f>'Demand Stage 2'!YC21</f>
        <v>0</v>
      </c>
      <c r="YD22">
        <f>'Demand Stage 2'!YD21</f>
        <v>0</v>
      </c>
      <c r="YE22">
        <f>'Demand Stage 2'!YE21</f>
        <v>0</v>
      </c>
      <c r="YF22">
        <f>'Demand Stage 2'!YF21</f>
        <v>0</v>
      </c>
      <c r="YG22">
        <f>'Demand Stage 2'!YG21</f>
        <v>0</v>
      </c>
      <c r="YH22">
        <f>'Demand Stage 2'!YH21</f>
        <v>0</v>
      </c>
      <c r="YI22">
        <f>'Demand Stage 2'!YI21</f>
        <v>0</v>
      </c>
      <c r="YJ22">
        <f>'Demand Stage 2'!YJ21</f>
        <v>0</v>
      </c>
      <c r="YK22">
        <f>'Demand Stage 2'!YK21</f>
        <v>0</v>
      </c>
      <c r="YL22">
        <f>'Demand Stage 2'!YL21</f>
        <v>0</v>
      </c>
      <c r="YM22">
        <f>'Demand Stage 2'!YM21</f>
        <v>0</v>
      </c>
      <c r="YN22">
        <f>'Demand Stage 2'!YN21</f>
        <v>0</v>
      </c>
      <c r="YO22">
        <f>'Demand Stage 2'!YO21</f>
        <v>0</v>
      </c>
      <c r="YP22">
        <f>'Demand Stage 2'!YP21</f>
        <v>0</v>
      </c>
      <c r="YQ22">
        <f>'Demand Stage 2'!YQ21</f>
        <v>0</v>
      </c>
      <c r="YR22">
        <f>'Demand Stage 2'!YR21</f>
        <v>0</v>
      </c>
      <c r="YS22">
        <f>'Demand Stage 2'!YS21</f>
        <v>0</v>
      </c>
      <c r="YT22">
        <f>'Demand Stage 2'!YT21</f>
        <v>0</v>
      </c>
      <c r="YU22">
        <f>'Demand Stage 2'!YU21</f>
        <v>0</v>
      </c>
      <c r="YV22">
        <f>'Demand Stage 2'!YV21</f>
        <v>0</v>
      </c>
      <c r="YW22">
        <f>'Demand Stage 2'!YW21</f>
        <v>0</v>
      </c>
      <c r="YX22">
        <f>'Demand Stage 2'!YX21</f>
        <v>0</v>
      </c>
      <c r="YY22">
        <f>'Demand Stage 2'!YY21</f>
        <v>0</v>
      </c>
      <c r="YZ22">
        <f>'Demand Stage 2'!YZ21</f>
        <v>0</v>
      </c>
      <c r="ZA22">
        <f>'Demand Stage 2'!ZA21</f>
        <v>0</v>
      </c>
      <c r="ZB22">
        <f>'Demand Stage 2'!ZB21</f>
        <v>0</v>
      </c>
      <c r="ZC22">
        <f>'Demand Stage 2'!ZC21</f>
        <v>0</v>
      </c>
      <c r="ZD22">
        <f>'Demand Stage 2'!ZD21</f>
        <v>0</v>
      </c>
      <c r="ZE22">
        <f>'Demand Stage 2'!ZE21</f>
        <v>0</v>
      </c>
      <c r="ZF22">
        <f>'Demand Stage 2'!ZF21</f>
        <v>0</v>
      </c>
      <c r="ZG22">
        <f>'Demand Stage 2'!ZG21</f>
        <v>0</v>
      </c>
      <c r="ZH22">
        <f>'Demand Stage 2'!ZH21</f>
        <v>0</v>
      </c>
      <c r="ZI22">
        <f>'Demand Stage 2'!ZI21</f>
        <v>0</v>
      </c>
      <c r="ZJ22">
        <f>'Demand Stage 2'!ZJ21</f>
        <v>0</v>
      </c>
      <c r="ZK22">
        <f>'Demand Stage 2'!ZK21</f>
        <v>0</v>
      </c>
      <c r="ZL22">
        <f>'Demand Stage 2'!ZL21</f>
        <v>0</v>
      </c>
      <c r="ZM22">
        <f>'Demand Stage 2'!ZM21</f>
        <v>0</v>
      </c>
      <c r="ZN22">
        <f>'Demand Stage 2'!ZN21</f>
        <v>0</v>
      </c>
      <c r="ZO22">
        <f>'Demand Stage 2'!ZO21</f>
        <v>0</v>
      </c>
      <c r="ZP22">
        <f>'Demand Stage 2'!ZP21</f>
        <v>0</v>
      </c>
      <c r="ZQ22">
        <f>'Demand Stage 2'!ZQ21</f>
        <v>0</v>
      </c>
      <c r="ZR22">
        <f>'Demand Stage 2'!ZR21</f>
        <v>0</v>
      </c>
      <c r="ZS22">
        <f>'Demand Stage 2'!ZS21</f>
        <v>0</v>
      </c>
      <c r="ZT22">
        <f>'Demand Stage 2'!ZT21</f>
        <v>0</v>
      </c>
      <c r="ZU22">
        <f>'Demand Stage 2'!ZU21</f>
        <v>0</v>
      </c>
      <c r="ZV22">
        <f>'Demand Stage 2'!ZV21</f>
        <v>0</v>
      </c>
      <c r="ZW22">
        <f>'Demand Stage 2'!ZW21</f>
        <v>0</v>
      </c>
      <c r="ZX22">
        <f>'Demand Stage 2'!ZX21</f>
        <v>0</v>
      </c>
      <c r="ZY22">
        <f>'Demand Stage 2'!ZY21</f>
        <v>0</v>
      </c>
      <c r="ZZ22">
        <f>'Demand Stage 2'!ZZ21</f>
        <v>0</v>
      </c>
      <c r="AAA22">
        <f>'Demand Stage 2'!AAA21</f>
        <v>0</v>
      </c>
      <c r="AAB22">
        <f>'Demand Stage 2'!AAB21</f>
        <v>0</v>
      </c>
      <c r="AAC22">
        <f>'Demand Stage 2'!AAC21</f>
        <v>0</v>
      </c>
      <c r="AAD22">
        <f t="shared" si="33"/>
        <v>0</v>
      </c>
      <c r="AAE22">
        <f t="shared" si="66"/>
        <v>0</v>
      </c>
      <c r="AAF22">
        <f t="shared" si="67"/>
        <v>0</v>
      </c>
      <c r="AAG22">
        <f t="shared" si="68"/>
        <v>0</v>
      </c>
      <c r="AAH22">
        <f t="shared" si="69"/>
        <v>0</v>
      </c>
      <c r="AAI22">
        <f t="shared" si="70"/>
        <v>0</v>
      </c>
      <c r="AAJ22">
        <f t="shared" si="71"/>
        <v>0</v>
      </c>
      <c r="AAK22">
        <f t="shared" si="72"/>
        <v>0</v>
      </c>
      <c r="AAL22">
        <f t="shared" si="73"/>
        <v>0</v>
      </c>
      <c r="AAM22">
        <f t="shared" si="74"/>
        <v>0</v>
      </c>
      <c r="AAN22">
        <f t="shared" si="75"/>
        <v>0</v>
      </c>
      <c r="AAO22">
        <f t="shared" si="76"/>
        <v>0</v>
      </c>
      <c r="AAP22">
        <f t="shared" si="77"/>
        <v>0</v>
      </c>
      <c r="AAQ22">
        <f t="shared" si="78"/>
        <v>0</v>
      </c>
      <c r="AAR22">
        <f t="shared" si="79"/>
        <v>0</v>
      </c>
      <c r="AAS22">
        <f t="shared" si="80"/>
        <v>0</v>
      </c>
      <c r="AAT22">
        <f t="shared" si="81"/>
        <v>0</v>
      </c>
      <c r="AAU22">
        <f t="shared" si="82"/>
        <v>0</v>
      </c>
      <c r="AAV22">
        <f t="shared" si="83"/>
        <v>0</v>
      </c>
      <c r="AAW22">
        <f t="shared" si="84"/>
        <v>0</v>
      </c>
      <c r="AAX22">
        <f t="shared" si="85"/>
        <v>0</v>
      </c>
      <c r="AAY22">
        <f t="shared" si="86"/>
        <v>0</v>
      </c>
      <c r="AAZ22">
        <f t="shared" si="87"/>
        <v>0</v>
      </c>
      <c r="ABA22">
        <f t="shared" si="88"/>
        <v>0</v>
      </c>
      <c r="ABB22">
        <f t="shared" si="89"/>
        <v>0</v>
      </c>
      <c r="ABC22">
        <f t="shared" si="90"/>
        <v>0</v>
      </c>
      <c r="ABD22">
        <f t="shared" si="91"/>
        <v>0</v>
      </c>
      <c r="ABE22">
        <f t="shared" si="92"/>
        <v>0</v>
      </c>
      <c r="ABF22">
        <f t="shared" si="93"/>
        <v>0</v>
      </c>
      <c r="ABG22">
        <f t="shared" si="94"/>
        <v>0</v>
      </c>
      <c r="ABH22">
        <f t="shared" si="95"/>
        <v>0</v>
      </c>
      <c r="ABI22">
        <f t="shared" si="96"/>
        <v>0</v>
      </c>
      <c r="ABJ22">
        <f t="shared" si="97"/>
        <v>0</v>
      </c>
      <c r="ABK22">
        <f t="shared" si="98"/>
        <v>0</v>
      </c>
      <c r="ABL22">
        <f t="shared" si="99"/>
        <v>0</v>
      </c>
      <c r="ABM22">
        <f t="shared" si="100"/>
        <v>0</v>
      </c>
      <c r="ABN22">
        <f t="shared" si="101"/>
        <v>0</v>
      </c>
      <c r="ABO22">
        <f t="shared" si="102"/>
        <v>0</v>
      </c>
      <c r="ABP22">
        <f t="shared" si="103"/>
        <v>0</v>
      </c>
      <c r="ABQ22">
        <f t="shared" si="104"/>
        <v>0</v>
      </c>
      <c r="ABR22">
        <f t="shared" si="105"/>
        <v>0</v>
      </c>
      <c r="ABS22">
        <f t="shared" si="106"/>
        <v>0</v>
      </c>
      <c r="ABT22">
        <f t="shared" si="107"/>
        <v>0</v>
      </c>
      <c r="ABU22">
        <f t="shared" si="108"/>
        <v>0</v>
      </c>
      <c r="ABV22">
        <f t="shared" si="109"/>
        <v>0</v>
      </c>
      <c r="ABW22">
        <f t="shared" si="110"/>
        <v>0</v>
      </c>
      <c r="ABX22">
        <f t="shared" si="111"/>
        <v>0</v>
      </c>
      <c r="ABY22">
        <f t="shared" si="112"/>
        <v>0</v>
      </c>
      <c r="ABZ22">
        <f t="shared" si="113"/>
        <v>0</v>
      </c>
      <c r="ACA22">
        <f t="shared" si="114"/>
        <v>0</v>
      </c>
      <c r="ACB22">
        <f t="shared" si="115"/>
        <v>0</v>
      </c>
      <c r="ACC22">
        <f t="shared" si="116"/>
        <v>0</v>
      </c>
      <c r="ACD22">
        <f t="shared" si="117"/>
        <v>0</v>
      </c>
      <c r="ACE22">
        <f t="shared" si="118"/>
        <v>0</v>
      </c>
      <c r="ACF22">
        <f t="shared" si="119"/>
        <v>0</v>
      </c>
      <c r="ACG22">
        <f t="shared" si="120"/>
        <v>0</v>
      </c>
      <c r="ACH22">
        <f t="shared" si="121"/>
        <v>0</v>
      </c>
      <c r="ACI22">
        <f t="shared" si="122"/>
        <v>0</v>
      </c>
      <c r="ACJ22">
        <f t="shared" si="123"/>
        <v>0</v>
      </c>
      <c r="ACK22">
        <f t="shared" si="124"/>
        <v>0</v>
      </c>
      <c r="ACL22">
        <f t="shared" si="125"/>
        <v>0</v>
      </c>
      <c r="ACM22">
        <f t="shared" si="126"/>
        <v>0</v>
      </c>
      <c r="ACN22">
        <f t="shared" si="127"/>
        <v>0</v>
      </c>
      <c r="ACO22">
        <f t="shared" si="128"/>
        <v>0</v>
      </c>
      <c r="ACP22">
        <f t="shared" si="34"/>
        <v>0</v>
      </c>
      <c r="ACQ22">
        <f t="shared" si="129"/>
        <v>0</v>
      </c>
      <c r="ACR22">
        <f t="shared" si="130"/>
        <v>0</v>
      </c>
      <c r="ACS22">
        <f t="shared" si="131"/>
        <v>0</v>
      </c>
      <c r="ACT22">
        <f t="shared" si="132"/>
        <v>0</v>
      </c>
      <c r="ACU22">
        <f t="shared" si="133"/>
        <v>0</v>
      </c>
      <c r="ACV22">
        <f t="shared" si="134"/>
        <v>0</v>
      </c>
      <c r="ACW22">
        <f t="shared" si="135"/>
        <v>0</v>
      </c>
      <c r="ACX22">
        <f t="shared" si="136"/>
        <v>0</v>
      </c>
      <c r="ACY22">
        <f t="shared" si="137"/>
        <v>0</v>
      </c>
      <c r="ACZ22">
        <f t="shared" si="138"/>
        <v>0</v>
      </c>
      <c r="ADA22">
        <f t="shared" si="139"/>
        <v>0</v>
      </c>
      <c r="ADB22">
        <f t="shared" si="140"/>
        <v>0</v>
      </c>
      <c r="ADC22">
        <f t="shared" si="141"/>
        <v>0</v>
      </c>
      <c r="ADD22">
        <f t="shared" si="142"/>
        <v>0</v>
      </c>
      <c r="ADE22">
        <f t="shared" si="143"/>
        <v>0</v>
      </c>
      <c r="ADF22">
        <f t="shared" si="144"/>
        <v>0</v>
      </c>
      <c r="ADG22">
        <f t="shared" si="145"/>
        <v>0</v>
      </c>
      <c r="ADH22">
        <f t="shared" si="146"/>
        <v>0</v>
      </c>
      <c r="ADI22">
        <f t="shared" si="147"/>
        <v>0</v>
      </c>
      <c r="ADJ22">
        <f t="shared" si="148"/>
        <v>0</v>
      </c>
      <c r="ADK22">
        <f t="shared" si="149"/>
        <v>0</v>
      </c>
      <c r="ADL22">
        <f t="shared" si="150"/>
        <v>0</v>
      </c>
      <c r="ADM22">
        <f t="shared" si="151"/>
        <v>0</v>
      </c>
      <c r="ADN22">
        <f t="shared" si="152"/>
        <v>0</v>
      </c>
      <c r="ADO22">
        <f t="shared" si="153"/>
        <v>0</v>
      </c>
      <c r="ADP22">
        <f t="shared" si="154"/>
        <v>0</v>
      </c>
      <c r="ADQ22">
        <f t="shared" si="155"/>
        <v>0</v>
      </c>
      <c r="ADR22">
        <f t="shared" si="156"/>
        <v>0</v>
      </c>
      <c r="ADS22">
        <f t="shared" si="157"/>
        <v>0</v>
      </c>
      <c r="ADT22">
        <f t="shared" si="158"/>
        <v>0</v>
      </c>
      <c r="ADU22">
        <f t="shared" si="159"/>
        <v>0</v>
      </c>
      <c r="ADV22">
        <f t="shared" si="160"/>
        <v>0</v>
      </c>
      <c r="ADW22">
        <f t="shared" si="161"/>
        <v>0</v>
      </c>
      <c r="ADX22">
        <f t="shared" si="162"/>
        <v>0</v>
      </c>
      <c r="ADY22">
        <f t="shared" si="163"/>
        <v>0</v>
      </c>
      <c r="ADZ22">
        <f t="shared" si="164"/>
        <v>0</v>
      </c>
      <c r="AEA22">
        <f t="shared" si="165"/>
        <v>0</v>
      </c>
      <c r="AEB22">
        <f t="shared" si="166"/>
        <v>0</v>
      </c>
      <c r="AEC22">
        <f t="shared" si="167"/>
        <v>0</v>
      </c>
      <c r="AED22">
        <f t="shared" si="168"/>
        <v>0</v>
      </c>
      <c r="AEE22">
        <f t="shared" si="169"/>
        <v>0</v>
      </c>
      <c r="AEF22">
        <f t="shared" si="170"/>
        <v>0</v>
      </c>
      <c r="AEG22">
        <f t="shared" si="171"/>
        <v>0</v>
      </c>
      <c r="AEH22">
        <f t="shared" si="172"/>
        <v>0</v>
      </c>
      <c r="AEI22">
        <f t="shared" si="173"/>
        <v>0</v>
      </c>
      <c r="AEJ22">
        <f t="shared" si="174"/>
        <v>0</v>
      </c>
      <c r="AEK22">
        <f t="shared" si="175"/>
        <v>0</v>
      </c>
      <c r="AEL22">
        <f t="shared" si="176"/>
        <v>0</v>
      </c>
      <c r="AEM22">
        <f t="shared" si="177"/>
        <v>0</v>
      </c>
      <c r="AEN22">
        <f t="shared" si="178"/>
        <v>0</v>
      </c>
      <c r="AEO22">
        <f t="shared" si="179"/>
        <v>0</v>
      </c>
      <c r="AEP22">
        <f t="shared" si="180"/>
        <v>0</v>
      </c>
      <c r="AEQ22">
        <f t="shared" si="181"/>
        <v>0</v>
      </c>
      <c r="AER22">
        <f t="shared" si="182"/>
        <v>0</v>
      </c>
      <c r="AES22">
        <f t="shared" si="183"/>
        <v>0</v>
      </c>
      <c r="AET22">
        <f t="shared" si="184"/>
        <v>0</v>
      </c>
      <c r="AEU22">
        <f t="shared" si="185"/>
        <v>0</v>
      </c>
      <c r="AEV22">
        <f t="shared" si="186"/>
        <v>0</v>
      </c>
      <c r="AEW22">
        <f t="shared" si="187"/>
        <v>0</v>
      </c>
      <c r="AEX22">
        <f t="shared" si="188"/>
        <v>0</v>
      </c>
      <c r="AEY22">
        <f t="shared" si="189"/>
        <v>0</v>
      </c>
      <c r="AEZ22">
        <f t="shared" si="190"/>
        <v>0</v>
      </c>
      <c r="AFA22">
        <f t="shared" si="191"/>
        <v>0</v>
      </c>
      <c r="AFB22">
        <f t="shared" si="35"/>
        <v>0</v>
      </c>
      <c r="AFC22">
        <f t="shared" si="192"/>
        <v>0</v>
      </c>
      <c r="AFD22">
        <f t="shared" si="193"/>
        <v>0</v>
      </c>
      <c r="AFE22">
        <f t="shared" si="194"/>
        <v>0</v>
      </c>
      <c r="AFF22">
        <f t="shared" si="195"/>
        <v>0</v>
      </c>
      <c r="AFG22">
        <f t="shared" si="196"/>
        <v>0</v>
      </c>
      <c r="AFH22">
        <f t="shared" si="197"/>
        <v>0</v>
      </c>
      <c r="AFI22">
        <f t="shared" si="198"/>
        <v>0</v>
      </c>
      <c r="AFJ22">
        <f t="shared" si="199"/>
        <v>0</v>
      </c>
      <c r="AFK22">
        <f t="shared" si="200"/>
        <v>0</v>
      </c>
      <c r="AFL22">
        <f t="shared" si="201"/>
        <v>0</v>
      </c>
      <c r="AFM22">
        <f t="shared" si="202"/>
        <v>0</v>
      </c>
      <c r="AFN22">
        <f t="shared" si="203"/>
        <v>0</v>
      </c>
      <c r="AFO22">
        <f t="shared" si="204"/>
        <v>0</v>
      </c>
      <c r="AFP22">
        <f t="shared" si="205"/>
        <v>0</v>
      </c>
      <c r="AFQ22">
        <f t="shared" si="206"/>
        <v>0</v>
      </c>
      <c r="AFR22">
        <f t="shared" si="207"/>
        <v>0</v>
      </c>
      <c r="AFS22">
        <f t="shared" si="208"/>
        <v>0</v>
      </c>
      <c r="AFT22">
        <f t="shared" si="209"/>
        <v>0</v>
      </c>
      <c r="AFU22">
        <f t="shared" si="210"/>
        <v>0</v>
      </c>
      <c r="AFV22">
        <f t="shared" si="211"/>
        <v>0</v>
      </c>
      <c r="AFW22">
        <f t="shared" si="212"/>
        <v>0</v>
      </c>
      <c r="AFX22">
        <f t="shared" si="213"/>
        <v>0</v>
      </c>
      <c r="AFY22">
        <f t="shared" si="214"/>
        <v>0</v>
      </c>
      <c r="AFZ22">
        <f t="shared" si="215"/>
        <v>0</v>
      </c>
      <c r="AGA22">
        <f t="shared" si="216"/>
        <v>0</v>
      </c>
      <c r="AGB22">
        <f t="shared" si="217"/>
        <v>0</v>
      </c>
      <c r="AGC22">
        <f t="shared" si="218"/>
        <v>0</v>
      </c>
      <c r="AGD22">
        <f t="shared" si="219"/>
        <v>0</v>
      </c>
      <c r="AGE22">
        <f t="shared" si="220"/>
        <v>0</v>
      </c>
      <c r="AGF22">
        <f t="shared" si="221"/>
        <v>0</v>
      </c>
      <c r="AGG22">
        <f t="shared" si="222"/>
        <v>0</v>
      </c>
      <c r="AGH22">
        <f t="shared" si="223"/>
        <v>0</v>
      </c>
      <c r="AGI22">
        <f t="shared" si="224"/>
        <v>0</v>
      </c>
      <c r="AGJ22">
        <f t="shared" si="225"/>
        <v>0</v>
      </c>
      <c r="AGK22">
        <f t="shared" si="226"/>
        <v>0</v>
      </c>
      <c r="AGL22">
        <f t="shared" si="227"/>
        <v>0</v>
      </c>
      <c r="AGM22">
        <f t="shared" si="228"/>
        <v>0</v>
      </c>
      <c r="AGN22">
        <f t="shared" si="229"/>
        <v>0</v>
      </c>
      <c r="AGO22">
        <f t="shared" si="230"/>
        <v>0</v>
      </c>
      <c r="AGP22">
        <f t="shared" si="231"/>
        <v>0</v>
      </c>
      <c r="AGQ22">
        <f t="shared" si="232"/>
        <v>0</v>
      </c>
      <c r="AGR22">
        <f t="shared" si="233"/>
        <v>0</v>
      </c>
      <c r="AGS22">
        <f t="shared" si="234"/>
        <v>0</v>
      </c>
      <c r="AGT22">
        <f t="shared" si="235"/>
        <v>0</v>
      </c>
      <c r="AGU22">
        <f t="shared" si="236"/>
        <v>0</v>
      </c>
      <c r="AGV22">
        <f t="shared" si="237"/>
        <v>0</v>
      </c>
      <c r="AGW22">
        <f t="shared" si="238"/>
        <v>0</v>
      </c>
      <c r="AGX22">
        <f t="shared" si="239"/>
        <v>0</v>
      </c>
      <c r="AGY22">
        <f t="shared" si="240"/>
        <v>0</v>
      </c>
      <c r="AGZ22">
        <f t="shared" si="241"/>
        <v>0</v>
      </c>
      <c r="AHA22">
        <f t="shared" si="242"/>
        <v>0</v>
      </c>
      <c r="AHB22">
        <f t="shared" si="243"/>
        <v>0</v>
      </c>
      <c r="AHC22">
        <f t="shared" si="244"/>
        <v>0</v>
      </c>
      <c r="AHD22">
        <f t="shared" si="245"/>
        <v>0</v>
      </c>
      <c r="AHE22">
        <f t="shared" si="246"/>
        <v>0</v>
      </c>
      <c r="AHF22">
        <f t="shared" si="247"/>
        <v>0</v>
      </c>
      <c r="AHG22">
        <f t="shared" si="248"/>
        <v>0</v>
      </c>
      <c r="AHH22">
        <f t="shared" si="249"/>
        <v>0</v>
      </c>
      <c r="AHI22">
        <f t="shared" si="250"/>
        <v>0</v>
      </c>
      <c r="AHJ22">
        <f t="shared" si="251"/>
        <v>0</v>
      </c>
      <c r="AHK22">
        <f t="shared" si="252"/>
        <v>0</v>
      </c>
      <c r="AHL22">
        <f t="shared" si="253"/>
        <v>0</v>
      </c>
      <c r="AHM22">
        <f t="shared" si="254"/>
        <v>0</v>
      </c>
      <c r="AHN22">
        <f t="shared" si="36"/>
        <v>0</v>
      </c>
      <c r="AHO22">
        <f t="shared" si="255"/>
        <v>0</v>
      </c>
      <c r="AHP22">
        <f t="shared" si="256"/>
        <v>0</v>
      </c>
      <c r="AHQ22">
        <f t="shared" si="257"/>
        <v>0</v>
      </c>
      <c r="AHR22">
        <f t="shared" si="258"/>
        <v>0</v>
      </c>
      <c r="AHS22">
        <f t="shared" si="259"/>
        <v>0</v>
      </c>
      <c r="AHT22">
        <f t="shared" si="260"/>
        <v>0</v>
      </c>
      <c r="AHU22">
        <f t="shared" si="261"/>
        <v>0</v>
      </c>
      <c r="AHV22">
        <f t="shared" si="262"/>
        <v>0</v>
      </c>
      <c r="AHW22">
        <f t="shared" si="263"/>
        <v>0</v>
      </c>
      <c r="AHX22">
        <f t="shared" si="264"/>
        <v>0</v>
      </c>
      <c r="AHY22">
        <f t="shared" si="265"/>
        <v>0</v>
      </c>
      <c r="AHZ22">
        <f t="shared" si="266"/>
        <v>0</v>
      </c>
      <c r="AIA22">
        <f t="shared" si="267"/>
        <v>0</v>
      </c>
      <c r="AIB22">
        <f t="shared" si="268"/>
        <v>0</v>
      </c>
      <c r="AIC22">
        <f t="shared" si="269"/>
        <v>0</v>
      </c>
      <c r="AID22">
        <f t="shared" si="270"/>
        <v>0</v>
      </c>
      <c r="AIE22">
        <f t="shared" si="271"/>
        <v>0</v>
      </c>
      <c r="AIF22">
        <f t="shared" si="272"/>
        <v>0</v>
      </c>
      <c r="AIG22">
        <f t="shared" si="273"/>
        <v>0</v>
      </c>
      <c r="AIH22">
        <f t="shared" si="274"/>
        <v>0</v>
      </c>
      <c r="AII22">
        <f t="shared" si="275"/>
        <v>0</v>
      </c>
      <c r="AIJ22">
        <f t="shared" si="276"/>
        <v>0</v>
      </c>
      <c r="AIK22">
        <f t="shared" si="277"/>
        <v>0</v>
      </c>
      <c r="AIL22">
        <f t="shared" si="278"/>
        <v>0</v>
      </c>
      <c r="AIM22">
        <f t="shared" si="279"/>
        <v>0</v>
      </c>
      <c r="AIN22">
        <f t="shared" si="280"/>
        <v>0</v>
      </c>
      <c r="AIO22">
        <f t="shared" si="281"/>
        <v>0</v>
      </c>
      <c r="AIP22">
        <f t="shared" si="282"/>
        <v>0</v>
      </c>
      <c r="AIQ22">
        <f t="shared" si="283"/>
        <v>0</v>
      </c>
      <c r="AIR22">
        <f t="shared" si="284"/>
        <v>0</v>
      </c>
      <c r="AIS22">
        <f t="shared" si="285"/>
        <v>0</v>
      </c>
      <c r="AIT22">
        <f t="shared" si="286"/>
        <v>0</v>
      </c>
      <c r="AIU22">
        <f t="shared" si="287"/>
        <v>0</v>
      </c>
      <c r="AIV22">
        <f t="shared" si="288"/>
        <v>0</v>
      </c>
      <c r="AIW22">
        <f t="shared" si="289"/>
        <v>0</v>
      </c>
      <c r="AIX22">
        <f t="shared" si="290"/>
        <v>0</v>
      </c>
      <c r="AIY22">
        <f t="shared" si="291"/>
        <v>0</v>
      </c>
      <c r="AIZ22">
        <f t="shared" si="292"/>
        <v>0</v>
      </c>
      <c r="AJA22">
        <f t="shared" si="293"/>
        <v>0</v>
      </c>
      <c r="AJB22">
        <f t="shared" si="294"/>
        <v>0</v>
      </c>
      <c r="AJC22">
        <f t="shared" si="295"/>
        <v>0</v>
      </c>
      <c r="AJD22">
        <f t="shared" si="296"/>
        <v>0</v>
      </c>
      <c r="AJE22">
        <f t="shared" si="297"/>
        <v>0</v>
      </c>
      <c r="AJF22">
        <f t="shared" si="298"/>
        <v>0</v>
      </c>
      <c r="AJG22">
        <f t="shared" si="299"/>
        <v>0</v>
      </c>
      <c r="AJH22">
        <f t="shared" si="300"/>
        <v>0</v>
      </c>
      <c r="AJI22">
        <f t="shared" si="301"/>
        <v>0</v>
      </c>
      <c r="AJJ22">
        <f t="shared" si="302"/>
        <v>0</v>
      </c>
      <c r="AJK22">
        <f t="shared" si="303"/>
        <v>0</v>
      </c>
      <c r="AJL22">
        <f t="shared" si="304"/>
        <v>0</v>
      </c>
      <c r="AJM22">
        <f t="shared" si="305"/>
        <v>0</v>
      </c>
      <c r="AJN22">
        <f t="shared" si="306"/>
        <v>0</v>
      </c>
      <c r="AJO22">
        <f t="shared" si="307"/>
        <v>0</v>
      </c>
      <c r="AJP22">
        <f t="shared" si="308"/>
        <v>0</v>
      </c>
      <c r="AJQ22">
        <f t="shared" si="309"/>
        <v>0</v>
      </c>
      <c r="AJR22">
        <f t="shared" si="310"/>
        <v>0</v>
      </c>
      <c r="AJS22">
        <f t="shared" si="311"/>
        <v>0</v>
      </c>
      <c r="AJT22">
        <f t="shared" si="312"/>
        <v>0</v>
      </c>
      <c r="AJU22">
        <f t="shared" si="313"/>
        <v>0</v>
      </c>
      <c r="AJV22">
        <f t="shared" si="314"/>
        <v>0</v>
      </c>
      <c r="AJW22">
        <f t="shared" si="315"/>
        <v>0</v>
      </c>
      <c r="AJX22">
        <f t="shared" si="316"/>
        <v>0</v>
      </c>
      <c r="AJY22">
        <f t="shared" si="317"/>
        <v>0</v>
      </c>
      <c r="AJZ22">
        <f t="shared" si="37"/>
        <v>0</v>
      </c>
      <c r="AKA22">
        <f t="shared" si="318"/>
        <v>0</v>
      </c>
      <c r="AKB22">
        <f t="shared" si="319"/>
        <v>0</v>
      </c>
      <c r="AKC22">
        <f t="shared" si="320"/>
        <v>0</v>
      </c>
      <c r="AKD22">
        <f t="shared" si="321"/>
        <v>0</v>
      </c>
      <c r="AKE22">
        <f t="shared" si="322"/>
        <v>0</v>
      </c>
      <c r="AKF22">
        <f t="shared" si="323"/>
        <v>0</v>
      </c>
      <c r="AKG22">
        <f t="shared" si="324"/>
        <v>0</v>
      </c>
      <c r="AKH22">
        <f t="shared" si="325"/>
        <v>0</v>
      </c>
      <c r="AKI22">
        <f t="shared" si="326"/>
        <v>0</v>
      </c>
      <c r="AKJ22">
        <f t="shared" si="327"/>
        <v>0</v>
      </c>
      <c r="AKK22">
        <f t="shared" si="328"/>
        <v>0</v>
      </c>
      <c r="AKL22">
        <f t="shared" si="329"/>
        <v>0</v>
      </c>
      <c r="AKM22">
        <f t="shared" si="330"/>
        <v>0</v>
      </c>
      <c r="AKN22">
        <f t="shared" si="331"/>
        <v>0</v>
      </c>
      <c r="AKO22">
        <f t="shared" si="332"/>
        <v>0</v>
      </c>
      <c r="AKP22">
        <f t="shared" si="333"/>
        <v>0</v>
      </c>
      <c r="AKQ22">
        <f t="shared" si="334"/>
        <v>0</v>
      </c>
      <c r="AKR22">
        <f t="shared" si="335"/>
        <v>0</v>
      </c>
      <c r="AKS22">
        <f t="shared" si="336"/>
        <v>0</v>
      </c>
      <c r="AKT22">
        <f t="shared" si="337"/>
        <v>0</v>
      </c>
      <c r="AKU22">
        <f t="shared" si="338"/>
        <v>0</v>
      </c>
      <c r="AKV22">
        <f t="shared" si="339"/>
        <v>0</v>
      </c>
      <c r="AKW22">
        <f t="shared" si="340"/>
        <v>0</v>
      </c>
      <c r="AKX22">
        <f t="shared" si="341"/>
        <v>0</v>
      </c>
      <c r="AKY22">
        <f t="shared" si="342"/>
        <v>0</v>
      </c>
      <c r="AKZ22">
        <f t="shared" si="343"/>
        <v>0</v>
      </c>
      <c r="ALA22">
        <f t="shared" si="344"/>
        <v>0</v>
      </c>
      <c r="ALB22">
        <f t="shared" si="345"/>
        <v>0</v>
      </c>
      <c r="ALC22">
        <f t="shared" si="346"/>
        <v>0</v>
      </c>
      <c r="ALD22">
        <f t="shared" si="347"/>
        <v>0</v>
      </c>
      <c r="ALE22">
        <f t="shared" si="348"/>
        <v>0</v>
      </c>
      <c r="ALF22">
        <f t="shared" si="349"/>
        <v>0</v>
      </c>
      <c r="ALG22">
        <f t="shared" si="350"/>
        <v>0</v>
      </c>
      <c r="ALH22">
        <f t="shared" si="351"/>
        <v>0</v>
      </c>
      <c r="ALI22">
        <f t="shared" si="352"/>
        <v>0</v>
      </c>
      <c r="ALJ22">
        <f t="shared" si="353"/>
        <v>0</v>
      </c>
      <c r="ALK22">
        <f t="shared" si="354"/>
        <v>0</v>
      </c>
      <c r="ALL22">
        <f t="shared" si="355"/>
        <v>0</v>
      </c>
      <c r="ALM22">
        <f t="shared" si="356"/>
        <v>0</v>
      </c>
      <c r="ALN22">
        <f t="shared" si="357"/>
        <v>0</v>
      </c>
      <c r="ALO22">
        <f t="shared" si="358"/>
        <v>0</v>
      </c>
      <c r="ALP22">
        <f t="shared" si="359"/>
        <v>0</v>
      </c>
      <c r="ALQ22">
        <f t="shared" si="360"/>
        <v>0</v>
      </c>
      <c r="ALR22">
        <f t="shared" si="361"/>
        <v>0</v>
      </c>
      <c r="ALS22">
        <f t="shared" si="362"/>
        <v>0</v>
      </c>
      <c r="ALT22">
        <f t="shared" si="363"/>
        <v>0</v>
      </c>
      <c r="ALU22">
        <f t="shared" si="364"/>
        <v>0</v>
      </c>
      <c r="ALV22">
        <f t="shared" si="365"/>
        <v>0</v>
      </c>
      <c r="ALW22">
        <f t="shared" si="366"/>
        <v>0</v>
      </c>
      <c r="ALX22">
        <f t="shared" si="367"/>
        <v>0</v>
      </c>
      <c r="ALY22">
        <f t="shared" si="368"/>
        <v>0</v>
      </c>
      <c r="ALZ22">
        <f t="shared" si="369"/>
        <v>0</v>
      </c>
      <c r="AMA22">
        <f t="shared" si="370"/>
        <v>0</v>
      </c>
      <c r="AMB22">
        <f t="shared" si="371"/>
        <v>0</v>
      </c>
      <c r="AMC22">
        <f t="shared" si="372"/>
        <v>0</v>
      </c>
      <c r="AMD22">
        <f t="shared" si="373"/>
        <v>0</v>
      </c>
      <c r="AME22">
        <f t="shared" si="374"/>
        <v>0</v>
      </c>
      <c r="AMF22">
        <f t="shared" si="375"/>
        <v>0</v>
      </c>
      <c r="AMG22">
        <f t="shared" si="376"/>
        <v>0</v>
      </c>
      <c r="AMH22">
        <f t="shared" si="377"/>
        <v>0</v>
      </c>
      <c r="AMI22">
        <f t="shared" si="378"/>
        <v>0</v>
      </c>
      <c r="AMJ22">
        <f t="shared" si="379"/>
        <v>0</v>
      </c>
      <c r="AMK22">
        <f t="shared" si="380"/>
        <v>0</v>
      </c>
      <c r="AML22">
        <f t="shared" si="38"/>
        <v>0</v>
      </c>
      <c r="AMM22">
        <f t="shared" si="381"/>
        <v>0</v>
      </c>
      <c r="AMN22">
        <f t="shared" si="382"/>
        <v>0</v>
      </c>
      <c r="AMO22">
        <f t="shared" si="383"/>
        <v>0</v>
      </c>
      <c r="AMP22">
        <f t="shared" si="384"/>
        <v>0</v>
      </c>
      <c r="AMQ22">
        <f t="shared" si="385"/>
        <v>0</v>
      </c>
      <c r="AMR22">
        <f t="shared" si="386"/>
        <v>0</v>
      </c>
      <c r="AMS22">
        <f t="shared" si="387"/>
        <v>0</v>
      </c>
      <c r="AMT22">
        <f t="shared" si="388"/>
        <v>0</v>
      </c>
      <c r="AMU22">
        <f t="shared" si="389"/>
        <v>0</v>
      </c>
      <c r="AMV22">
        <f t="shared" si="390"/>
        <v>0</v>
      </c>
      <c r="AMW22">
        <f t="shared" si="391"/>
        <v>0</v>
      </c>
      <c r="AMX22">
        <f t="shared" si="392"/>
        <v>0</v>
      </c>
      <c r="AMY22">
        <f t="shared" si="393"/>
        <v>0</v>
      </c>
      <c r="AMZ22">
        <f t="shared" si="394"/>
        <v>0</v>
      </c>
      <c r="ANA22">
        <f t="shared" si="395"/>
        <v>0</v>
      </c>
      <c r="ANB22">
        <f t="shared" si="396"/>
        <v>0</v>
      </c>
      <c r="ANC22">
        <f t="shared" si="397"/>
        <v>0</v>
      </c>
      <c r="AND22">
        <f t="shared" si="398"/>
        <v>0</v>
      </c>
      <c r="ANE22">
        <f t="shared" si="399"/>
        <v>0</v>
      </c>
      <c r="ANF22">
        <f t="shared" si="400"/>
        <v>0</v>
      </c>
      <c r="ANG22">
        <f t="shared" si="401"/>
        <v>0</v>
      </c>
      <c r="ANH22">
        <f t="shared" si="402"/>
        <v>0</v>
      </c>
      <c r="ANI22">
        <f t="shared" si="403"/>
        <v>0</v>
      </c>
      <c r="ANJ22">
        <f t="shared" si="404"/>
        <v>0</v>
      </c>
      <c r="ANK22">
        <f t="shared" si="405"/>
        <v>0</v>
      </c>
      <c r="ANL22">
        <f t="shared" si="406"/>
        <v>0</v>
      </c>
      <c r="ANM22">
        <f t="shared" si="407"/>
        <v>0</v>
      </c>
      <c r="ANN22">
        <f t="shared" si="408"/>
        <v>0</v>
      </c>
      <c r="ANO22">
        <f t="shared" si="409"/>
        <v>0</v>
      </c>
      <c r="ANP22">
        <f t="shared" si="410"/>
        <v>0</v>
      </c>
      <c r="ANQ22">
        <f t="shared" si="411"/>
        <v>0</v>
      </c>
      <c r="ANR22">
        <f t="shared" si="412"/>
        <v>0</v>
      </c>
      <c r="ANS22">
        <f t="shared" si="413"/>
        <v>0</v>
      </c>
      <c r="ANT22">
        <f t="shared" si="414"/>
        <v>0</v>
      </c>
      <c r="ANU22">
        <f t="shared" si="415"/>
        <v>0</v>
      </c>
      <c r="ANV22">
        <f t="shared" si="416"/>
        <v>0</v>
      </c>
      <c r="ANW22">
        <f t="shared" si="417"/>
        <v>0</v>
      </c>
      <c r="ANX22">
        <f t="shared" si="418"/>
        <v>0</v>
      </c>
      <c r="ANY22">
        <f t="shared" si="419"/>
        <v>0</v>
      </c>
      <c r="ANZ22">
        <f t="shared" si="420"/>
        <v>0</v>
      </c>
      <c r="AOA22">
        <f t="shared" si="421"/>
        <v>0</v>
      </c>
      <c r="AOB22">
        <f t="shared" si="422"/>
        <v>0</v>
      </c>
      <c r="AOC22">
        <f t="shared" si="423"/>
        <v>0</v>
      </c>
      <c r="AOD22">
        <f t="shared" si="424"/>
        <v>0</v>
      </c>
      <c r="AOE22">
        <f t="shared" si="425"/>
        <v>0</v>
      </c>
      <c r="AOF22">
        <f t="shared" si="426"/>
        <v>0</v>
      </c>
      <c r="AOG22">
        <f t="shared" si="427"/>
        <v>0</v>
      </c>
      <c r="AOH22">
        <f t="shared" si="428"/>
        <v>0</v>
      </c>
      <c r="AOI22">
        <f t="shared" si="429"/>
        <v>0</v>
      </c>
      <c r="AOJ22">
        <f t="shared" si="430"/>
        <v>0</v>
      </c>
      <c r="AOK22">
        <f t="shared" si="431"/>
        <v>0</v>
      </c>
      <c r="AOL22">
        <f t="shared" si="432"/>
        <v>0</v>
      </c>
      <c r="AOM22">
        <f t="shared" si="433"/>
        <v>0</v>
      </c>
      <c r="AON22">
        <f t="shared" si="434"/>
        <v>0</v>
      </c>
      <c r="AOO22">
        <f t="shared" si="435"/>
        <v>0</v>
      </c>
      <c r="AOP22">
        <f t="shared" si="436"/>
        <v>0</v>
      </c>
      <c r="AOQ22">
        <f t="shared" si="437"/>
        <v>0</v>
      </c>
      <c r="AOR22">
        <f t="shared" si="438"/>
        <v>0</v>
      </c>
      <c r="AOS22">
        <f t="shared" si="439"/>
        <v>0</v>
      </c>
      <c r="AOT22">
        <f t="shared" si="440"/>
        <v>0</v>
      </c>
      <c r="AOU22">
        <f t="shared" si="441"/>
        <v>0</v>
      </c>
      <c r="AOV22">
        <f t="shared" si="442"/>
        <v>0</v>
      </c>
      <c r="AOW22">
        <f t="shared" si="443"/>
        <v>0</v>
      </c>
      <c r="AOX22">
        <f t="shared" si="39"/>
        <v>0</v>
      </c>
      <c r="AOY22">
        <f t="shared" si="444"/>
        <v>0</v>
      </c>
      <c r="AOZ22">
        <f t="shared" si="445"/>
        <v>0</v>
      </c>
      <c r="APA22">
        <f t="shared" si="446"/>
        <v>0</v>
      </c>
      <c r="APB22">
        <f t="shared" si="447"/>
        <v>0</v>
      </c>
      <c r="APC22">
        <f t="shared" si="448"/>
        <v>0</v>
      </c>
      <c r="APD22">
        <f t="shared" si="449"/>
        <v>0</v>
      </c>
      <c r="APE22">
        <f t="shared" si="450"/>
        <v>0</v>
      </c>
      <c r="APF22">
        <f t="shared" si="451"/>
        <v>0</v>
      </c>
      <c r="APG22">
        <f t="shared" si="452"/>
        <v>0</v>
      </c>
      <c r="APH22">
        <f t="shared" si="453"/>
        <v>0</v>
      </c>
      <c r="API22">
        <f t="shared" si="454"/>
        <v>0</v>
      </c>
      <c r="APJ22">
        <f t="shared" si="455"/>
        <v>0</v>
      </c>
      <c r="APK22">
        <f t="shared" si="456"/>
        <v>0</v>
      </c>
      <c r="APL22">
        <f t="shared" si="457"/>
        <v>0</v>
      </c>
      <c r="APM22">
        <f t="shared" si="458"/>
        <v>0</v>
      </c>
      <c r="APN22">
        <f t="shared" si="459"/>
        <v>0</v>
      </c>
      <c r="APO22">
        <f t="shared" si="460"/>
        <v>0</v>
      </c>
      <c r="APP22">
        <f t="shared" si="461"/>
        <v>0</v>
      </c>
      <c r="APQ22">
        <f t="shared" si="462"/>
        <v>0</v>
      </c>
      <c r="APR22">
        <f t="shared" si="463"/>
        <v>0</v>
      </c>
      <c r="APS22">
        <f t="shared" si="464"/>
        <v>0</v>
      </c>
      <c r="APT22">
        <f t="shared" si="465"/>
        <v>0</v>
      </c>
      <c r="APU22">
        <f t="shared" si="466"/>
        <v>0</v>
      </c>
      <c r="APV22">
        <f t="shared" si="467"/>
        <v>0</v>
      </c>
      <c r="APW22">
        <f t="shared" si="468"/>
        <v>0</v>
      </c>
      <c r="APX22">
        <f t="shared" si="469"/>
        <v>0</v>
      </c>
      <c r="APY22">
        <f t="shared" si="470"/>
        <v>0</v>
      </c>
      <c r="APZ22">
        <f t="shared" si="471"/>
        <v>0</v>
      </c>
      <c r="AQA22">
        <f t="shared" si="472"/>
        <v>0</v>
      </c>
      <c r="AQB22">
        <f t="shared" si="473"/>
        <v>0</v>
      </c>
      <c r="AQC22">
        <f t="shared" si="474"/>
        <v>0</v>
      </c>
      <c r="AQD22">
        <f t="shared" si="475"/>
        <v>0</v>
      </c>
      <c r="AQE22">
        <f t="shared" si="476"/>
        <v>0</v>
      </c>
      <c r="AQF22">
        <f t="shared" si="477"/>
        <v>0</v>
      </c>
      <c r="AQG22">
        <f t="shared" si="478"/>
        <v>0</v>
      </c>
      <c r="AQH22">
        <f t="shared" si="479"/>
        <v>0</v>
      </c>
      <c r="AQI22">
        <f t="shared" si="480"/>
        <v>0</v>
      </c>
      <c r="AQJ22">
        <f t="shared" si="481"/>
        <v>0</v>
      </c>
      <c r="AQK22">
        <f t="shared" si="482"/>
        <v>0</v>
      </c>
      <c r="AQL22">
        <f t="shared" si="483"/>
        <v>0</v>
      </c>
      <c r="AQM22">
        <f t="shared" si="484"/>
        <v>0</v>
      </c>
      <c r="AQN22">
        <f t="shared" si="485"/>
        <v>0</v>
      </c>
      <c r="AQO22">
        <f t="shared" si="486"/>
        <v>0</v>
      </c>
      <c r="AQP22">
        <f t="shared" si="487"/>
        <v>0</v>
      </c>
      <c r="AQQ22">
        <f t="shared" si="488"/>
        <v>0</v>
      </c>
      <c r="AQR22">
        <f t="shared" si="489"/>
        <v>0</v>
      </c>
      <c r="AQS22">
        <f t="shared" si="490"/>
        <v>0</v>
      </c>
      <c r="AQT22">
        <f t="shared" si="491"/>
        <v>0</v>
      </c>
      <c r="AQU22">
        <f t="shared" si="492"/>
        <v>0</v>
      </c>
      <c r="AQV22">
        <f t="shared" si="493"/>
        <v>0</v>
      </c>
      <c r="AQW22">
        <f t="shared" si="494"/>
        <v>0</v>
      </c>
      <c r="AQX22">
        <f t="shared" si="495"/>
        <v>0</v>
      </c>
      <c r="AQY22">
        <f t="shared" si="496"/>
        <v>0</v>
      </c>
      <c r="AQZ22">
        <f t="shared" si="497"/>
        <v>0</v>
      </c>
      <c r="ARA22">
        <f t="shared" si="498"/>
        <v>0</v>
      </c>
      <c r="ARB22">
        <f t="shared" si="499"/>
        <v>0</v>
      </c>
      <c r="ARC22">
        <f t="shared" si="500"/>
        <v>0</v>
      </c>
      <c r="ARD22">
        <f t="shared" si="501"/>
        <v>0</v>
      </c>
      <c r="ARE22">
        <f t="shared" si="502"/>
        <v>0</v>
      </c>
      <c r="ARF22">
        <f t="shared" si="503"/>
        <v>0</v>
      </c>
      <c r="ARG22">
        <f t="shared" si="504"/>
        <v>0</v>
      </c>
      <c r="ARH22">
        <f t="shared" si="505"/>
        <v>0</v>
      </c>
      <c r="ARI22">
        <f t="shared" si="506"/>
        <v>0</v>
      </c>
      <c r="ARJ22">
        <f t="shared" si="40"/>
        <v>0</v>
      </c>
      <c r="ARK22">
        <f t="shared" si="507"/>
        <v>0</v>
      </c>
      <c r="ARL22">
        <f t="shared" si="508"/>
        <v>0</v>
      </c>
      <c r="ARM22">
        <f t="shared" si="509"/>
        <v>0</v>
      </c>
      <c r="ARN22">
        <f t="shared" si="510"/>
        <v>0</v>
      </c>
      <c r="ARO22">
        <f t="shared" si="511"/>
        <v>0</v>
      </c>
      <c r="ARP22">
        <f t="shared" si="512"/>
        <v>0</v>
      </c>
      <c r="ARQ22">
        <f t="shared" si="513"/>
        <v>0</v>
      </c>
      <c r="ARR22">
        <f t="shared" si="514"/>
        <v>0</v>
      </c>
      <c r="ARS22">
        <f t="shared" si="515"/>
        <v>0</v>
      </c>
      <c r="ART22">
        <f t="shared" si="516"/>
        <v>0</v>
      </c>
      <c r="ARU22">
        <f t="shared" si="517"/>
        <v>0</v>
      </c>
      <c r="ARV22">
        <f t="shared" si="518"/>
        <v>0</v>
      </c>
      <c r="ARW22">
        <f t="shared" si="519"/>
        <v>0</v>
      </c>
      <c r="ARX22">
        <f t="shared" si="520"/>
        <v>0</v>
      </c>
      <c r="ARY22">
        <f t="shared" si="521"/>
        <v>0</v>
      </c>
      <c r="ARZ22">
        <f t="shared" si="522"/>
        <v>0</v>
      </c>
      <c r="ASA22">
        <f t="shared" si="523"/>
        <v>0</v>
      </c>
      <c r="ASB22">
        <f t="shared" si="524"/>
        <v>0</v>
      </c>
      <c r="ASC22">
        <f t="shared" si="525"/>
        <v>0</v>
      </c>
      <c r="ASD22">
        <f t="shared" si="526"/>
        <v>0</v>
      </c>
      <c r="ASE22">
        <f t="shared" si="527"/>
        <v>0</v>
      </c>
      <c r="ASF22">
        <f t="shared" si="528"/>
        <v>0</v>
      </c>
      <c r="ASG22">
        <f t="shared" si="529"/>
        <v>0</v>
      </c>
      <c r="ASH22">
        <f t="shared" si="530"/>
        <v>0</v>
      </c>
      <c r="ASI22">
        <f t="shared" si="531"/>
        <v>0</v>
      </c>
      <c r="ASJ22">
        <f t="shared" si="532"/>
        <v>0</v>
      </c>
      <c r="ASK22">
        <f t="shared" si="533"/>
        <v>0</v>
      </c>
      <c r="ASL22">
        <f t="shared" si="534"/>
        <v>0</v>
      </c>
      <c r="ASM22">
        <f t="shared" si="535"/>
        <v>0</v>
      </c>
      <c r="ASN22">
        <f t="shared" si="536"/>
        <v>0</v>
      </c>
      <c r="ASO22">
        <f t="shared" si="537"/>
        <v>0</v>
      </c>
      <c r="ASP22">
        <f t="shared" si="538"/>
        <v>0</v>
      </c>
      <c r="ASQ22">
        <f t="shared" si="539"/>
        <v>0</v>
      </c>
      <c r="ASR22">
        <f t="shared" si="540"/>
        <v>0</v>
      </c>
      <c r="ASS22">
        <f t="shared" si="541"/>
        <v>0</v>
      </c>
      <c r="AST22">
        <f t="shared" si="542"/>
        <v>0</v>
      </c>
      <c r="ASU22">
        <f t="shared" si="543"/>
        <v>0</v>
      </c>
      <c r="ASV22">
        <f t="shared" si="544"/>
        <v>0</v>
      </c>
      <c r="ASW22">
        <f t="shared" si="545"/>
        <v>0</v>
      </c>
      <c r="ASX22">
        <f t="shared" si="546"/>
        <v>0</v>
      </c>
      <c r="ASY22">
        <f t="shared" si="547"/>
        <v>0</v>
      </c>
      <c r="ASZ22">
        <f t="shared" si="548"/>
        <v>0</v>
      </c>
      <c r="ATA22">
        <f t="shared" si="549"/>
        <v>0</v>
      </c>
      <c r="ATB22">
        <f t="shared" si="550"/>
        <v>0</v>
      </c>
      <c r="ATC22">
        <f t="shared" si="551"/>
        <v>0</v>
      </c>
      <c r="ATD22">
        <f t="shared" si="552"/>
        <v>0</v>
      </c>
      <c r="ATE22">
        <f t="shared" si="553"/>
        <v>0</v>
      </c>
      <c r="ATF22">
        <f t="shared" si="554"/>
        <v>0</v>
      </c>
      <c r="ATG22">
        <f t="shared" si="555"/>
        <v>0</v>
      </c>
      <c r="ATH22">
        <f t="shared" si="556"/>
        <v>0</v>
      </c>
      <c r="ATI22">
        <f t="shared" si="557"/>
        <v>0</v>
      </c>
      <c r="ATJ22">
        <f t="shared" si="558"/>
        <v>0</v>
      </c>
      <c r="ATK22">
        <f t="shared" si="559"/>
        <v>0</v>
      </c>
      <c r="ATL22">
        <f t="shared" si="560"/>
        <v>0</v>
      </c>
      <c r="ATM22">
        <f t="shared" si="561"/>
        <v>0</v>
      </c>
      <c r="ATN22">
        <f t="shared" si="562"/>
        <v>0</v>
      </c>
      <c r="ATO22">
        <f t="shared" si="563"/>
        <v>0</v>
      </c>
      <c r="ATP22">
        <f t="shared" si="564"/>
        <v>0</v>
      </c>
      <c r="ATQ22">
        <f t="shared" si="565"/>
        <v>0</v>
      </c>
      <c r="ATR22">
        <f t="shared" si="566"/>
        <v>0</v>
      </c>
      <c r="ATS22">
        <f t="shared" si="567"/>
        <v>0</v>
      </c>
      <c r="ATT22">
        <f t="shared" si="568"/>
        <v>0</v>
      </c>
      <c r="ATU22">
        <f t="shared" si="569"/>
        <v>0</v>
      </c>
      <c r="ATV22">
        <f t="shared" si="41"/>
        <v>0</v>
      </c>
      <c r="ATW22">
        <f t="shared" si="570"/>
        <v>0</v>
      </c>
      <c r="ATX22">
        <f t="shared" si="571"/>
        <v>0</v>
      </c>
      <c r="ATY22">
        <f t="shared" si="572"/>
        <v>0</v>
      </c>
      <c r="ATZ22">
        <f t="shared" si="573"/>
        <v>0</v>
      </c>
      <c r="AUA22">
        <f t="shared" si="574"/>
        <v>0</v>
      </c>
      <c r="AUB22">
        <f t="shared" si="575"/>
        <v>0</v>
      </c>
      <c r="AUC22">
        <f t="shared" si="576"/>
        <v>0</v>
      </c>
      <c r="AUD22">
        <f t="shared" si="577"/>
        <v>0</v>
      </c>
      <c r="AUE22">
        <f t="shared" si="578"/>
        <v>0</v>
      </c>
      <c r="AUF22">
        <f t="shared" si="579"/>
        <v>0</v>
      </c>
      <c r="AUG22">
        <f t="shared" si="580"/>
        <v>0</v>
      </c>
      <c r="AUH22">
        <f t="shared" si="581"/>
        <v>0</v>
      </c>
      <c r="AUI22">
        <f t="shared" si="582"/>
        <v>0</v>
      </c>
      <c r="AUJ22">
        <f t="shared" si="583"/>
        <v>0</v>
      </c>
      <c r="AUK22">
        <f t="shared" si="584"/>
        <v>0</v>
      </c>
      <c r="AUL22">
        <f t="shared" si="585"/>
        <v>0</v>
      </c>
      <c r="AUM22">
        <f t="shared" si="586"/>
        <v>0</v>
      </c>
      <c r="AUN22">
        <f t="shared" si="587"/>
        <v>0</v>
      </c>
      <c r="AUO22">
        <f t="shared" si="588"/>
        <v>0</v>
      </c>
      <c r="AUP22">
        <f t="shared" si="589"/>
        <v>0</v>
      </c>
      <c r="AUQ22">
        <f t="shared" si="590"/>
        <v>0</v>
      </c>
      <c r="AUR22">
        <f t="shared" si="591"/>
        <v>0</v>
      </c>
      <c r="AUS22">
        <f t="shared" si="592"/>
        <v>0</v>
      </c>
      <c r="AUT22">
        <f t="shared" si="593"/>
        <v>0</v>
      </c>
      <c r="AUU22">
        <f t="shared" si="594"/>
        <v>0</v>
      </c>
      <c r="AUV22">
        <f t="shared" si="595"/>
        <v>0</v>
      </c>
      <c r="AUW22">
        <f t="shared" si="596"/>
        <v>0</v>
      </c>
      <c r="AUX22">
        <f t="shared" si="597"/>
        <v>0</v>
      </c>
      <c r="AUY22">
        <f t="shared" si="598"/>
        <v>0</v>
      </c>
      <c r="AUZ22">
        <f t="shared" si="599"/>
        <v>0</v>
      </c>
      <c r="AVA22">
        <f t="shared" si="600"/>
        <v>0</v>
      </c>
      <c r="AVB22">
        <f t="shared" si="601"/>
        <v>0</v>
      </c>
      <c r="AVC22">
        <f t="shared" si="602"/>
        <v>0</v>
      </c>
      <c r="AVD22">
        <f t="shared" si="603"/>
        <v>0</v>
      </c>
      <c r="AVE22">
        <f t="shared" si="604"/>
        <v>0</v>
      </c>
      <c r="AVF22">
        <f t="shared" si="605"/>
        <v>0</v>
      </c>
      <c r="AVG22">
        <f t="shared" si="606"/>
        <v>0</v>
      </c>
      <c r="AVH22">
        <f t="shared" si="607"/>
        <v>0</v>
      </c>
      <c r="AVI22">
        <f t="shared" si="608"/>
        <v>0</v>
      </c>
      <c r="AVJ22">
        <f t="shared" si="609"/>
        <v>0</v>
      </c>
      <c r="AVK22">
        <f t="shared" si="610"/>
        <v>0</v>
      </c>
      <c r="AVL22">
        <f t="shared" si="611"/>
        <v>0</v>
      </c>
      <c r="AVM22">
        <f t="shared" si="612"/>
        <v>0</v>
      </c>
      <c r="AVN22">
        <f t="shared" si="613"/>
        <v>0</v>
      </c>
      <c r="AVO22">
        <f t="shared" si="614"/>
        <v>0</v>
      </c>
      <c r="AVP22">
        <f t="shared" si="615"/>
        <v>0</v>
      </c>
      <c r="AVQ22">
        <f t="shared" si="616"/>
        <v>0</v>
      </c>
      <c r="AVR22">
        <f t="shared" si="617"/>
        <v>0</v>
      </c>
      <c r="AVS22">
        <f t="shared" si="618"/>
        <v>0</v>
      </c>
      <c r="AVT22">
        <f t="shared" si="619"/>
        <v>0</v>
      </c>
      <c r="AVU22">
        <f t="shared" si="620"/>
        <v>0</v>
      </c>
      <c r="AVV22">
        <f t="shared" si="621"/>
        <v>0</v>
      </c>
      <c r="AVW22">
        <f t="shared" si="622"/>
        <v>0</v>
      </c>
      <c r="AVX22">
        <f t="shared" si="623"/>
        <v>0</v>
      </c>
      <c r="AVY22">
        <f t="shared" si="624"/>
        <v>0</v>
      </c>
      <c r="AVZ22">
        <f t="shared" si="625"/>
        <v>0</v>
      </c>
      <c r="AWA22">
        <f t="shared" si="626"/>
        <v>0</v>
      </c>
      <c r="AWB22">
        <f t="shared" si="627"/>
        <v>0</v>
      </c>
      <c r="AWC22">
        <f t="shared" si="628"/>
        <v>0</v>
      </c>
      <c r="AWD22">
        <f t="shared" si="629"/>
        <v>0</v>
      </c>
      <c r="AWE22">
        <f t="shared" si="630"/>
        <v>0</v>
      </c>
      <c r="AWF22">
        <f t="shared" si="631"/>
        <v>0</v>
      </c>
      <c r="AWG22">
        <f t="shared" si="632"/>
        <v>0</v>
      </c>
      <c r="AWH22">
        <f t="shared" si="42"/>
        <v>0</v>
      </c>
      <c r="AWI22">
        <f t="shared" si="633"/>
        <v>0</v>
      </c>
      <c r="AWJ22">
        <f t="shared" si="634"/>
        <v>0</v>
      </c>
      <c r="AWK22">
        <f t="shared" si="635"/>
        <v>0</v>
      </c>
      <c r="AWL22">
        <f t="shared" si="636"/>
        <v>0</v>
      </c>
      <c r="AWM22">
        <f t="shared" si="637"/>
        <v>0</v>
      </c>
      <c r="AWN22">
        <f t="shared" si="638"/>
        <v>0</v>
      </c>
      <c r="AWO22">
        <f t="shared" si="639"/>
        <v>0</v>
      </c>
      <c r="AWP22">
        <f t="shared" si="640"/>
        <v>0</v>
      </c>
      <c r="AWQ22">
        <f t="shared" si="641"/>
        <v>0</v>
      </c>
      <c r="AWR22">
        <f t="shared" si="642"/>
        <v>0</v>
      </c>
      <c r="AWS22">
        <f t="shared" si="643"/>
        <v>0</v>
      </c>
      <c r="AWT22">
        <f t="shared" si="644"/>
        <v>0</v>
      </c>
      <c r="AWU22">
        <f t="shared" si="645"/>
        <v>0</v>
      </c>
      <c r="AWV22">
        <f t="shared" si="646"/>
        <v>0</v>
      </c>
      <c r="AWW22">
        <f t="shared" si="647"/>
        <v>0</v>
      </c>
      <c r="AWX22">
        <f t="shared" si="648"/>
        <v>0</v>
      </c>
      <c r="AWY22">
        <f t="shared" si="649"/>
        <v>0</v>
      </c>
      <c r="AWZ22">
        <f t="shared" si="650"/>
        <v>0</v>
      </c>
      <c r="AXA22">
        <f t="shared" si="651"/>
        <v>0</v>
      </c>
      <c r="AXB22">
        <f t="shared" si="652"/>
        <v>0</v>
      </c>
      <c r="AXC22">
        <f t="shared" si="653"/>
        <v>0</v>
      </c>
      <c r="AXD22">
        <f t="shared" si="654"/>
        <v>0</v>
      </c>
      <c r="AXE22">
        <f t="shared" si="655"/>
        <v>0</v>
      </c>
      <c r="AXF22">
        <f t="shared" si="656"/>
        <v>0</v>
      </c>
      <c r="AXG22">
        <f t="shared" si="657"/>
        <v>0</v>
      </c>
      <c r="AXH22">
        <f t="shared" si="658"/>
        <v>0</v>
      </c>
      <c r="AXI22">
        <f t="shared" si="659"/>
        <v>0</v>
      </c>
      <c r="AXJ22">
        <f t="shared" si="660"/>
        <v>0</v>
      </c>
      <c r="AXK22">
        <f t="shared" si="661"/>
        <v>0</v>
      </c>
      <c r="AXL22">
        <f t="shared" si="662"/>
        <v>0</v>
      </c>
      <c r="AXM22">
        <f t="shared" si="663"/>
        <v>0</v>
      </c>
      <c r="AXN22">
        <f t="shared" si="664"/>
        <v>0</v>
      </c>
      <c r="AXO22">
        <f t="shared" si="665"/>
        <v>0</v>
      </c>
      <c r="AXP22">
        <f t="shared" si="666"/>
        <v>0</v>
      </c>
      <c r="AXQ22">
        <f t="shared" si="667"/>
        <v>0</v>
      </c>
      <c r="AXR22">
        <f t="shared" si="668"/>
        <v>0</v>
      </c>
      <c r="AXS22">
        <f t="shared" si="669"/>
        <v>0</v>
      </c>
      <c r="AXT22">
        <f t="shared" si="670"/>
        <v>0</v>
      </c>
      <c r="AXU22">
        <f t="shared" si="671"/>
        <v>0</v>
      </c>
      <c r="AXV22">
        <f t="shared" si="672"/>
        <v>0</v>
      </c>
      <c r="AXW22">
        <f t="shared" si="673"/>
        <v>0</v>
      </c>
      <c r="AXX22">
        <f t="shared" si="674"/>
        <v>0</v>
      </c>
      <c r="AXY22">
        <f t="shared" si="675"/>
        <v>0</v>
      </c>
      <c r="AXZ22">
        <f t="shared" si="676"/>
        <v>0</v>
      </c>
      <c r="AYA22">
        <f t="shared" si="677"/>
        <v>0</v>
      </c>
      <c r="AYB22">
        <f t="shared" si="678"/>
        <v>0</v>
      </c>
      <c r="AYC22">
        <f t="shared" si="679"/>
        <v>0</v>
      </c>
      <c r="AYD22">
        <f t="shared" si="680"/>
        <v>0</v>
      </c>
      <c r="AYE22">
        <f t="shared" si="681"/>
        <v>0</v>
      </c>
      <c r="AYF22">
        <f t="shared" si="682"/>
        <v>0</v>
      </c>
      <c r="AYG22">
        <f t="shared" si="683"/>
        <v>0</v>
      </c>
      <c r="AYH22">
        <f t="shared" si="684"/>
        <v>0</v>
      </c>
      <c r="AYI22">
        <f t="shared" si="685"/>
        <v>0</v>
      </c>
      <c r="AYJ22">
        <f t="shared" si="686"/>
        <v>0</v>
      </c>
      <c r="AYK22">
        <f t="shared" si="687"/>
        <v>0</v>
      </c>
      <c r="AYL22">
        <f t="shared" si="688"/>
        <v>0</v>
      </c>
      <c r="AYM22">
        <f t="shared" si="689"/>
        <v>0</v>
      </c>
      <c r="AYN22">
        <f t="shared" si="690"/>
        <v>0</v>
      </c>
      <c r="AYO22">
        <f t="shared" si="691"/>
        <v>0</v>
      </c>
      <c r="AYP22">
        <f t="shared" si="692"/>
        <v>0</v>
      </c>
      <c r="AYQ22">
        <f t="shared" si="693"/>
        <v>0</v>
      </c>
      <c r="AYR22">
        <f t="shared" si="694"/>
        <v>0</v>
      </c>
      <c r="AYS22">
        <f t="shared" si="695"/>
        <v>0</v>
      </c>
      <c r="AYT22">
        <f t="shared" si="43"/>
        <v>0</v>
      </c>
      <c r="AYU22">
        <f t="shared" si="696"/>
        <v>0</v>
      </c>
      <c r="AYV22">
        <f t="shared" si="697"/>
        <v>0</v>
      </c>
      <c r="AYW22">
        <f t="shared" si="698"/>
        <v>0</v>
      </c>
      <c r="AYX22">
        <f t="shared" si="699"/>
        <v>0</v>
      </c>
      <c r="AYY22">
        <f t="shared" si="700"/>
        <v>0</v>
      </c>
      <c r="AYZ22">
        <f t="shared" si="701"/>
        <v>0</v>
      </c>
      <c r="AZA22">
        <f t="shared" si="702"/>
        <v>0</v>
      </c>
      <c r="AZB22">
        <f t="shared" si="703"/>
        <v>0</v>
      </c>
      <c r="AZC22">
        <f t="shared" si="704"/>
        <v>0</v>
      </c>
      <c r="AZD22">
        <f t="shared" si="705"/>
        <v>0</v>
      </c>
      <c r="AZE22">
        <f t="shared" si="706"/>
        <v>0</v>
      </c>
      <c r="AZF22">
        <f t="shared" si="707"/>
        <v>0</v>
      </c>
      <c r="AZG22">
        <f t="shared" si="708"/>
        <v>0</v>
      </c>
      <c r="AZH22">
        <f t="shared" si="709"/>
        <v>0</v>
      </c>
      <c r="AZI22">
        <f t="shared" si="710"/>
        <v>0</v>
      </c>
      <c r="AZJ22">
        <f t="shared" si="711"/>
        <v>0</v>
      </c>
      <c r="AZK22">
        <f t="shared" si="712"/>
        <v>0</v>
      </c>
      <c r="AZL22">
        <f t="shared" si="713"/>
        <v>0</v>
      </c>
      <c r="AZM22">
        <f t="shared" si="714"/>
        <v>0</v>
      </c>
      <c r="AZN22">
        <f t="shared" si="715"/>
        <v>0</v>
      </c>
      <c r="AZO22">
        <f t="shared" si="716"/>
        <v>0</v>
      </c>
      <c r="AZP22">
        <f t="shared" si="717"/>
        <v>0</v>
      </c>
      <c r="AZQ22">
        <f t="shared" si="718"/>
        <v>0</v>
      </c>
      <c r="AZR22">
        <f t="shared" si="719"/>
        <v>0</v>
      </c>
      <c r="AZS22">
        <f t="shared" si="720"/>
        <v>0</v>
      </c>
      <c r="AZT22">
        <f t="shared" si="721"/>
        <v>0</v>
      </c>
      <c r="AZU22">
        <f t="shared" si="722"/>
        <v>0</v>
      </c>
      <c r="AZV22">
        <f t="shared" si="723"/>
        <v>0</v>
      </c>
      <c r="AZW22">
        <f t="shared" si="724"/>
        <v>0</v>
      </c>
      <c r="AZX22">
        <f t="shared" si="725"/>
        <v>0</v>
      </c>
      <c r="AZY22">
        <f t="shared" si="726"/>
        <v>0</v>
      </c>
      <c r="AZZ22">
        <f t="shared" si="727"/>
        <v>0</v>
      </c>
      <c r="BAA22">
        <f t="shared" si="728"/>
        <v>0</v>
      </c>
      <c r="BAB22">
        <f t="shared" si="729"/>
        <v>0</v>
      </c>
      <c r="BAC22">
        <f t="shared" si="730"/>
        <v>0</v>
      </c>
      <c r="BAD22">
        <f t="shared" si="731"/>
        <v>0</v>
      </c>
      <c r="BAE22">
        <f t="shared" si="732"/>
        <v>0</v>
      </c>
      <c r="BAF22">
        <f t="shared" si="733"/>
        <v>0</v>
      </c>
      <c r="BAG22">
        <f t="shared" si="734"/>
        <v>0</v>
      </c>
      <c r="BAH22">
        <f t="shared" si="735"/>
        <v>0</v>
      </c>
      <c r="BAI22">
        <f t="shared" si="736"/>
        <v>0</v>
      </c>
      <c r="BAJ22">
        <f t="shared" si="737"/>
        <v>0</v>
      </c>
      <c r="BAK22">
        <f t="shared" si="738"/>
        <v>0</v>
      </c>
      <c r="BAL22">
        <f t="shared" si="739"/>
        <v>0</v>
      </c>
      <c r="BAM22">
        <f t="shared" si="740"/>
        <v>0</v>
      </c>
      <c r="BAN22">
        <f t="shared" si="741"/>
        <v>0</v>
      </c>
      <c r="BAO22">
        <f t="shared" si="742"/>
        <v>0</v>
      </c>
      <c r="BAP22">
        <f t="shared" si="743"/>
        <v>0</v>
      </c>
      <c r="BAQ22">
        <f t="shared" si="744"/>
        <v>0</v>
      </c>
      <c r="BAR22">
        <f t="shared" si="745"/>
        <v>0</v>
      </c>
      <c r="BAS22">
        <f t="shared" si="746"/>
        <v>0</v>
      </c>
      <c r="BAT22">
        <f t="shared" si="747"/>
        <v>0</v>
      </c>
      <c r="BAU22">
        <f t="shared" si="748"/>
        <v>0</v>
      </c>
      <c r="BAV22">
        <f t="shared" si="749"/>
        <v>0</v>
      </c>
      <c r="BAW22">
        <f t="shared" si="750"/>
        <v>0</v>
      </c>
      <c r="BAX22">
        <f t="shared" si="751"/>
        <v>0</v>
      </c>
      <c r="BAY22">
        <f t="shared" si="752"/>
        <v>0</v>
      </c>
      <c r="BAZ22">
        <f t="shared" si="753"/>
        <v>0</v>
      </c>
      <c r="BBA22">
        <f t="shared" si="754"/>
        <v>0</v>
      </c>
      <c r="BBB22">
        <f t="shared" si="755"/>
        <v>0</v>
      </c>
      <c r="BBC22">
        <f t="shared" si="756"/>
        <v>0</v>
      </c>
      <c r="BBD22">
        <f t="shared" si="757"/>
        <v>0</v>
      </c>
      <c r="BBE22">
        <f t="shared" si="758"/>
        <v>0</v>
      </c>
      <c r="BBF22">
        <f t="shared" si="44"/>
        <v>0</v>
      </c>
      <c r="BBG22">
        <f t="shared" si="759"/>
        <v>0</v>
      </c>
      <c r="BBH22">
        <f t="shared" si="760"/>
        <v>0</v>
      </c>
      <c r="BBI22">
        <f t="shared" si="761"/>
        <v>0</v>
      </c>
      <c r="BBJ22">
        <f t="shared" si="762"/>
        <v>0</v>
      </c>
      <c r="BBK22">
        <f t="shared" si="763"/>
        <v>0</v>
      </c>
      <c r="BBL22">
        <f t="shared" si="764"/>
        <v>0</v>
      </c>
      <c r="BBM22">
        <f t="shared" si="765"/>
        <v>0</v>
      </c>
      <c r="BBN22">
        <f t="shared" si="766"/>
        <v>0</v>
      </c>
      <c r="BBO22">
        <f t="shared" si="767"/>
        <v>0</v>
      </c>
      <c r="BBP22">
        <f t="shared" si="768"/>
        <v>0</v>
      </c>
      <c r="BBQ22">
        <f t="shared" si="769"/>
        <v>0</v>
      </c>
      <c r="BBR22">
        <f t="shared" si="770"/>
        <v>0</v>
      </c>
      <c r="BBS22">
        <f t="shared" si="771"/>
        <v>0</v>
      </c>
      <c r="BBT22">
        <f t="shared" si="772"/>
        <v>0</v>
      </c>
      <c r="BBU22">
        <f t="shared" si="773"/>
        <v>0</v>
      </c>
      <c r="BBV22">
        <f t="shared" si="774"/>
        <v>0</v>
      </c>
      <c r="BBW22">
        <f t="shared" si="775"/>
        <v>0</v>
      </c>
      <c r="BBX22">
        <f t="shared" si="776"/>
        <v>0</v>
      </c>
      <c r="BBY22">
        <f t="shared" si="777"/>
        <v>0</v>
      </c>
      <c r="BBZ22">
        <f t="shared" si="778"/>
        <v>0</v>
      </c>
      <c r="BCA22">
        <f t="shared" si="779"/>
        <v>0</v>
      </c>
      <c r="BCB22">
        <f t="shared" si="780"/>
        <v>0</v>
      </c>
      <c r="BCC22">
        <f t="shared" si="781"/>
        <v>0</v>
      </c>
      <c r="BCD22">
        <f t="shared" si="782"/>
        <v>0</v>
      </c>
      <c r="BCE22">
        <f t="shared" si="783"/>
        <v>0</v>
      </c>
      <c r="BCF22">
        <f t="shared" si="784"/>
        <v>0</v>
      </c>
      <c r="BCG22">
        <f t="shared" si="785"/>
        <v>0</v>
      </c>
      <c r="BCH22">
        <f t="shared" si="786"/>
        <v>0</v>
      </c>
      <c r="BCI22">
        <f t="shared" si="787"/>
        <v>0</v>
      </c>
      <c r="BCJ22">
        <f t="shared" si="788"/>
        <v>0</v>
      </c>
      <c r="BCK22">
        <f t="shared" si="789"/>
        <v>0</v>
      </c>
      <c r="BCL22">
        <f t="shared" si="790"/>
        <v>0</v>
      </c>
      <c r="BCM22">
        <f t="shared" si="791"/>
        <v>0</v>
      </c>
      <c r="BCN22">
        <f t="shared" si="792"/>
        <v>0</v>
      </c>
      <c r="BCO22">
        <f t="shared" si="793"/>
        <v>0</v>
      </c>
      <c r="BCP22">
        <f t="shared" si="794"/>
        <v>0</v>
      </c>
      <c r="BCQ22">
        <f t="shared" si="795"/>
        <v>0</v>
      </c>
      <c r="BCR22">
        <f t="shared" si="796"/>
        <v>0</v>
      </c>
      <c r="BCS22">
        <f t="shared" si="797"/>
        <v>0</v>
      </c>
      <c r="BCT22">
        <f t="shared" si="798"/>
        <v>0</v>
      </c>
      <c r="BCU22">
        <f t="shared" si="799"/>
        <v>0</v>
      </c>
      <c r="BCV22">
        <f t="shared" si="800"/>
        <v>0</v>
      </c>
      <c r="BCW22">
        <f t="shared" si="801"/>
        <v>0</v>
      </c>
      <c r="BCX22">
        <f t="shared" si="802"/>
        <v>0</v>
      </c>
      <c r="BCY22">
        <f t="shared" si="803"/>
        <v>0</v>
      </c>
      <c r="BCZ22">
        <f t="shared" si="804"/>
        <v>0</v>
      </c>
      <c r="BDA22">
        <f t="shared" si="805"/>
        <v>0</v>
      </c>
      <c r="BDB22">
        <f t="shared" si="806"/>
        <v>0</v>
      </c>
      <c r="BDC22">
        <f t="shared" si="807"/>
        <v>0</v>
      </c>
      <c r="BDD22">
        <f t="shared" si="808"/>
        <v>0</v>
      </c>
      <c r="BDE22">
        <f t="shared" si="809"/>
        <v>0</v>
      </c>
      <c r="BDF22">
        <f t="shared" si="810"/>
        <v>0</v>
      </c>
      <c r="BDG22">
        <f t="shared" si="811"/>
        <v>0</v>
      </c>
      <c r="BDH22">
        <f t="shared" si="812"/>
        <v>0</v>
      </c>
      <c r="BDI22">
        <f t="shared" si="813"/>
        <v>0</v>
      </c>
      <c r="BDJ22">
        <f t="shared" si="814"/>
        <v>0</v>
      </c>
      <c r="BDK22">
        <f t="shared" si="815"/>
        <v>0</v>
      </c>
      <c r="BDL22">
        <f t="shared" si="816"/>
        <v>0</v>
      </c>
      <c r="BDM22">
        <f t="shared" si="817"/>
        <v>0</v>
      </c>
      <c r="BDN22">
        <f t="shared" si="818"/>
        <v>0</v>
      </c>
      <c r="BDO22">
        <f t="shared" si="819"/>
        <v>0</v>
      </c>
      <c r="BDP22">
        <f t="shared" si="820"/>
        <v>0</v>
      </c>
      <c r="BDQ22">
        <f t="shared" si="821"/>
        <v>0</v>
      </c>
      <c r="BDR22">
        <f t="shared" si="45"/>
        <v>0</v>
      </c>
      <c r="BDS22">
        <f t="shared" si="822"/>
        <v>0</v>
      </c>
      <c r="BDT22">
        <f t="shared" si="823"/>
        <v>0</v>
      </c>
      <c r="BDU22">
        <f t="shared" si="824"/>
        <v>0</v>
      </c>
      <c r="BDV22">
        <f t="shared" si="825"/>
        <v>0</v>
      </c>
      <c r="BDW22">
        <f t="shared" si="826"/>
        <v>0</v>
      </c>
      <c r="BDX22">
        <f t="shared" si="827"/>
        <v>0</v>
      </c>
      <c r="BDY22">
        <f t="shared" si="828"/>
        <v>0</v>
      </c>
      <c r="BDZ22">
        <f t="shared" si="829"/>
        <v>0</v>
      </c>
      <c r="BEA22">
        <f t="shared" si="830"/>
        <v>0</v>
      </c>
      <c r="BEB22">
        <f t="shared" si="831"/>
        <v>0</v>
      </c>
      <c r="BEC22">
        <f t="shared" si="832"/>
        <v>0</v>
      </c>
      <c r="BED22">
        <f t="shared" si="833"/>
        <v>0</v>
      </c>
      <c r="BEE22">
        <f t="shared" si="834"/>
        <v>0</v>
      </c>
      <c r="BEF22">
        <f t="shared" si="835"/>
        <v>0</v>
      </c>
      <c r="BEG22">
        <f t="shared" si="836"/>
        <v>0</v>
      </c>
      <c r="BEH22">
        <f t="shared" si="837"/>
        <v>0</v>
      </c>
      <c r="BEI22">
        <f t="shared" si="838"/>
        <v>0</v>
      </c>
      <c r="BEJ22">
        <f t="shared" si="839"/>
        <v>0</v>
      </c>
      <c r="BEK22">
        <f t="shared" si="840"/>
        <v>0</v>
      </c>
      <c r="BEL22">
        <f t="shared" si="841"/>
        <v>0</v>
      </c>
      <c r="BEM22">
        <f t="shared" si="842"/>
        <v>0</v>
      </c>
      <c r="BEN22">
        <f t="shared" si="843"/>
        <v>0</v>
      </c>
      <c r="BEO22">
        <f t="shared" si="844"/>
        <v>0</v>
      </c>
      <c r="BEP22">
        <f t="shared" si="845"/>
        <v>0</v>
      </c>
      <c r="BEQ22">
        <f t="shared" si="846"/>
        <v>0</v>
      </c>
      <c r="BER22">
        <f t="shared" si="847"/>
        <v>0</v>
      </c>
      <c r="BES22">
        <f t="shared" si="848"/>
        <v>0</v>
      </c>
      <c r="BET22">
        <f t="shared" si="849"/>
        <v>0</v>
      </c>
      <c r="BEU22">
        <f t="shared" si="850"/>
        <v>0</v>
      </c>
      <c r="BEV22">
        <f t="shared" si="851"/>
        <v>0</v>
      </c>
      <c r="BEW22">
        <f t="shared" si="852"/>
        <v>0</v>
      </c>
      <c r="BEX22">
        <f t="shared" si="853"/>
        <v>0</v>
      </c>
      <c r="BEY22">
        <f t="shared" si="854"/>
        <v>0</v>
      </c>
      <c r="BEZ22">
        <f t="shared" si="855"/>
        <v>0</v>
      </c>
      <c r="BFA22">
        <f t="shared" si="856"/>
        <v>0</v>
      </c>
      <c r="BFB22">
        <f t="shared" si="857"/>
        <v>0</v>
      </c>
      <c r="BFC22">
        <f t="shared" si="858"/>
        <v>0</v>
      </c>
      <c r="BFD22">
        <f t="shared" si="859"/>
        <v>0</v>
      </c>
      <c r="BFE22">
        <f t="shared" si="860"/>
        <v>0</v>
      </c>
      <c r="BFF22">
        <f t="shared" si="861"/>
        <v>0</v>
      </c>
      <c r="BFG22">
        <f t="shared" si="862"/>
        <v>0</v>
      </c>
      <c r="BFH22">
        <f t="shared" si="863"/>
        <v>0</v>
      </c>
      <c r="BFI22">
        <f t="shared" si="864"/>
        <v>0</v>
      </c>
      <c r="BFJ22">
        <f t="shared" si="865"/>
        <v>0</v>
      </c>
      <c r="BFK22">
        <f t="shared" si="866"/>
        <v>0</v>
      </c>
      <c r="BFL22">
        <f t="shared" si="867"/>
        <v>0</v>
      </c>
      <c r="BFM22">
        <f t="shared" si="868"/>
        <v>0</v>
      </c>
      <c r="BFN22">
        <f t="shared" si="869"/>
        <v>0</v>
      </c>
      <c r="BFO22">
        <f t="shared" si="870"/>
        <v>0</v>
      </c>
      <c r="BFP22">
        <f t="shared" si="871"/>
        <v>0</v>
      </c>
      <c r="BFQ22">
        <f t="shared" si="872"/>
        <v>0</v>
      </c>
      <c r="BFR22">
        <f t="shared" si="873"/>
        <v>0</v>
      </c>
      <c r="BFS22">
        <f t="shared" si="874"/>
        <v>0</v>
      </c>
      <c r="BFT22">
        <f t="shared" si="875"/>
        <v>0</v>
      </c>
      <c r="BFU22">
        <f t="shared" si="876"/>
        <v>0</v>
      </c>
      <c r="BFV22">
        <f t="shared" si="877"/>
        <v>0</v>
      </c>
      <c r="BFW22">
        <f t="shared" si="878"/>
        <v>0</v>
      </c>
      <c r="BFX22">
        <f t="shared" si="879"/>
        <v>0</v>
      </c>
      <c r="BFY22">
        <f t="shared" si="880"/>
        <v>0</v>
      </c>
      <c r="BFZ22">
        <f t="shared" si="881"/>
        <v>0</v>
      </c>
      <c r="BGA22">
        <f t="shared" si="882"/>
        <v>0</v>
      </c>
      <c r="BGB22">
        <f t="shared" si="883"/>
        <v>0</v>
      </c>
      <c r="BGC22">
        <f t="shared" si="884"/>
        <v>0</v>
      </c>
      <c r="BGD22">
        <f t="shared" si="46"/>
        <v>0</v>
      </c>
      <c r="BGE22">
        <f t="shared" si="885"/>
        <v>0</v>
      </c>
      <c r="BGF22">
        <f t="shared" si="886"/>
        <v>0</v>
      </c>
      <c r="BGG22">
        <f t="shared" si="887"/>
        <v>0</v>
      </c>
      <c r="BGH22">
        <f t="shared" si="888"/>
        <v>0</v>
      </c>
      <c r="BGI22">
        <f t="shared" si="889"/>
        <v>0</v>
      </c>
      <c r="BGJ22">
        <f t="shared" si="890"/>
        <v>0</v>
      </c>
      <c r="BGK22">
        <f t="shared" si="891"/>
        <v>0</v>
      </c>
      <c r="BGL22">
        <f t="shared" si="892"/>
        <v>0</v>
      </c>
      <c r="BGM22">
        <f t="shared" si="893"/>
        <v>0</v>
      </c>
      <c r="BGN22">
        <f t="shared" si="894"/>
        <v>0</v>
      </c>
      <c r="BGO22">
        <f t="shared" si="895"/>
        <v>0</v>
      </c>
      <c r="BGP22">
        <f t="shared" si="896"/>
        <v>0</v>
      </c>
      <c r="BGQ22">
        <f t="shared" si="897"/>
        <v>0</v>
      </c>
      <c r="BGR22">
        <f t="shared" si="898"/>
        <v>0</v>
      </c>
      <c r="BGS22">
        <f t="shared" si="899"/>
        <v>0</v>
      </c>
      <c r="BGT22">
        <f t="shared" si="900"/>
        <v>0</v>
      </c>
      <c r="BGU22">
        <f t="shared" si="901"/>
        <v>0</v>
      </c>
      <c r="BGV22">
        <f t="shared" si="902"/>
        <v>0</v>
      </c>
      <c r="BGW22">
        <f t="shared" si="903"/>
        <v>0</v>
      </c>
      <c r="BGX22">
        <f t="shared" si="904"/>
        <v>0</v>
      </c>
      <c r="BGY22">
        <f t="shared" si="905"/>
        <v>0</v>
      </c>
      <c r="BGZ22">
        <f t="shared" si="906"/>
        <v>0</v>
      </c>
      <c r="BHA22">
        <f t="shared" si="907"/>
        <v>0</v>
      </c>
      <c r="BHB22">
        <f t="shared" si="908"/>
        <v>0</v>
      </c>
      <c r="BHC22">
        <f t="shared" si="909"/>
        <v>0</v>
      </c>
      <c r="BHD22">
        <f t="shared" si="910"/>
        <v>0</v>
      </c>
      <c r="BHE22">
        <f t="shared" si="911"/>
        <v>0</v>
      </c>
      <c r="BHF22">
        <f t="shared" si="912"/>
        <v>0</v>
      </c>
      <c r="BHG22">
        <f t="shared" si="913"/>
        <v>0</v>
      </c>
      <c r="BHH22">
        <f t="shared" si="914"/>
        <v>0</v>
      </c>
      <c r="BHI22">
        <f t="shared" si="915"/>
        <v>0</v>
      </c>
      <c r="BHJ22">
        <f t="shared" si="916"/>
        <v>0</v>
      </c>
      <c r="BHK22">
        <f t="shared" si="917"/>
        <v>0</v>
      </c>
      <c r="BHL22">
        <f t="shared" si="918"/>
        <v>0</v>
      </c>
      <c r="BHM22">
        <f t="shared" si="919"/>
        <v>0</v>
      </c>
      <c r="BHN22">
        <f t="shared" si="920"/>
        <v>0</v>
      </c>
      <c r="BHO22">
        <f t="shared" si="921"/>
        <v>0</v>
      </c>
      <c r="BHP22">
        <f t="shared" si="922"/>
        <v>0</v>
      </c>
      <c r="BHQ22">
        <f t="shared" si="923"/>
        <v>0</v>
      </c>
      <c r="BHR22">
        <f t="shared" si="924"/>
        <v>0</v>
      </c>
      <c r="BHS22">
        <f t="shared" si="925"/>
        <v>0</v>
      </c>
      <c r="BHT22">
        <f t="shared" si="926"/>
        <v>0</v>
      </c>
      <c r="BHU22">
        <f t="shared" si="927"/>
        <v>0</v>
      </c>
      <c r="BHV22">
        <f t="shared" si="928"/>
        <v>0</v>
      </c>
      <c r="BHW22">
        <f t="shared" si="929"/>
        <v>0</v>
      </c>
      <c r="BHX22">
        <f t="shared" si="930"/>
        <v>0</v>
      </c>
      <c r="BHY22">
        <f t="shared" si="931"/>
        <v>0</v>
      </c>
      <c r="BHZ22">
        <f t="shared" si="932"/>
        <v>0</v>
      </c>
      <c r="BIA22">
        <f t="shared" si="933"/>
        <v>0</v>
      </c>
      <c r="BIB22">
        <f t="shared" si="934"/>
        <v>0</v>
      </c>
      <c r="BIC22">
        <f t="shared" si="935"/>
        <v>0</v>
      </c>
      <c r="BID22">
        <f t="shared" si="936"/>
        <v>0</v>
      </c>
      <c r="BIE22">
        <f t="shared" si="937"/>
        <v>0</v>
      </c>
      <c r="BIF22">
        <f t="shared" si="938"/>
        <v>0</v>
      </c>
      <c r="BIG22">
        <f t="shared" si="939"/>
        <v>0</v>
      </c>
      <c r="BIH22">
        <f t="shared" si="940"/>
        <v>0</v>
      </c>
      <c r="BII22">
        <f t="shared" si="941"/>
        <v>0</v>
      </c>
      <c r="BIJ22">
        <f t="shared" si="942"/>
        <v>0</v>
      </c>
      <c r="BIK22">
        <f t="shared" si="943"/>
        <v>0</v>
      </c>
      <c r="BIL22">
        <f t="shared" si="944"/>
        <v>0</v>
      </c>
      <c r="BIM22">
        <f t="shared" si="945"/>
        <v>0</v>
      </c>
      <c r="BIN22">
        <f t="shared" si="946"/>
        <v>0</v>
      </c>
      <c r="BIO22">
        <f t="shared" si="947"/>
        <v>0</v>
      </c>
      <c r="BIP22">
        <f t="shared" si="47"/>
        <v>0</v>
      </c>
      <c r="BIQ22">
        <f t="shared" si="948"/>
        <v>0</v>
      </c>
      <c r="BIR22">
        <f t="shared" si="949"/>
        <v>0</v>
      </c>
      <c r="BIS22">
        <f t="shared" si="950"/>
        <v>0</v>
      </c>
      <c r="BIT22">
        <f t="shared" si="951"/>
        <v>0</v>
      </c>
      <c r="BIU22">
        <f t="shared" si="952"/>
        <v>0</v>
      </c>
      <c r="BIV22">
        <f t="shared" si="953"/>
        <v>0</v>
      </c>
      <c r="BIW22">
        <f t="shared" si="954"/>
        <v>0</v>
      </c>
      <c r="BIX22">
        <f t="shared" si="955"/>
        <v>0</v>
      </c>
      <c r="BIY22">
        <f t="shared" si="956"/>
        <v>0</v>
      </c>
      <c r="BIZ22">
        <f t="shared" si="957"/>
        <v>0</v>
      </c>
      <c r="BJA22">
        <f t="shared" si="958"/>
        <v>0</v>
      </c>
      <c r="BJB22">
        <f t="shared" si="959"/>
        <v>0</v>
      </c>
      <c r="BJC22">
        <f t="shared" si="960"/>
        <v>0</v>
      </c>
      <c r="BJD22">
        <f t="shared" si="961"/>
        <v>0</v>
      </c>
      <c r="BJE22">
        <f t="shared" si="962"/>
        <v>0</v>
      </c>
      <c r="BJF22">
        <f t="shared" si="963"/>
        <v>0</v>
      </c>
      <c r="BJG22">
        <f t="shared" si="964"/>
        <v>0</v>
      </c>
      <c r="BJH22">
        <f t="shared" si="965"/>
        <v>0</v>
      </c>
      <c r="BJI22">
        <f t="shared" si="966"/>
        <v>0</v>
      </c>
      <c r="BJJ22">
        <f t="shared" si="967"/>
        <v>0</v>
      </c>
      <c r="BJK22">
        <f t="shared" si="968"/>
        <v>0</v>
      </c>
      <c r="BJL22">
        <f t="shared" si="969"/>
        <v>0</v>
      </c>
      <c r="BJM22">
        <f t="shared" si="970"/>
        <v>0</v>
      </c>
      <c r="BJN22">
        <f t="shared" si="971"/>
        <v>0</v>
      </c>
      <c r="BJO22">
        <f t="shared" si="972"/>
        <v>0</v>
      </c>
      <c r="BJP22">
        <f t="shared" si="973"/>
        <v>0</v>
      </c>
      <c r="BJQ22">
        <f t="shared" si="974"/>
        <v>0</v>
      </c>
      <c r="BJR22">
        <f t="shared" si="975"/>
        <v>0</v>
      </c>
      <c r="BJS22">
        <f t="shared" si="976"/>
        <v>0</v>
      </c>
      <c r="BJT22">
        <f t="shared" si="977"/>
        <v>0</v>
      </c>
      <c r="BJU22">
        <f t="shared" si="978"/>
        <v>0</v>
      </c>
      <c r="BJV22">
        <f t="shared" si="979"/>
        <v>0</v>
      </c>
      <c r="BJW22">
        <f t="shared" si="980"/>
        <v>0</v>
      </c>
      <c r="BJX22">
        <f t="shared" si="981"/>
        <v>0</v>
      </c>
      <c r="BJY22">
        <f t="shared" si="982"/>
        <v>0</v>
      </c>
      <c r="BJZ22">
        <f t="shared" si="983"/>
        <v>0</v>
      </c>
      <c r="BKA22">
        <f t="shared" si="984"/>
        <v>0</v>
      </c>
      <c r="BKB22">
        <f t="shared" si="985"/>
        <v>0</v>
      </c>
      <c r="BKC22">
        <f t="shared" si="986"/>
        <v>0</v>
      </c>
      <c r="BKD22">
        <f t="shared" si="987"/>
        <v>0</v>
      </c>
      <c r="BKE22">
        <f t="shared" si="988"/>
        <v>0</v>
      </c>
      <c r="BKF22">
        <f t="shared" si="989"/>
        <v>0</v>
      </c>
      <c r="BKG22">
        <f t="shared" si="990"/>
        <v>0</v>
      </c>
      <c r="BKH22">
        <f t="shared" si="991"/>
        <v>0</v>
      </c>
      <c r="BKI22">
        <f t="shared" si="992"/>
        <v>0</v>
      </c>
      <c r="BKJ22">
        <f t="shared" si="993"/>
        <v>0</v>
      </c>
      <c r="BKK22">
        <f t="shared" si="994"/>
        <v>0</v>
      </c>
      <c r="BKL22">
        <f t="shared" si="995"/>
        <v>0</v>
      </c>
      <c r="BKM22">
        <f t="shared" si="996"/>
        <v>0</v>
      </c>
      <c r="BKN22">
        <f t="shared" si="997"/>
        <v>0</v>
      </c>
      <c r="BKO22">
        <f t="shared" si="998"/>
        <v>0</v>
      </c>
      <c r="BKP22">
        <f t="shared" si="999"/>
        <v>0</v>
      </c>
      <c r="BKQ22">
        <f t="shared" si="1000"/>
        <v>0</v>
      </c>
      <c r="BKR22">
        <f t="shared" si="1001"/>
        <v>0</v>
      </c>
      <c r="BKS22">
        <f t="shared" si="1002"/>
        <v>0</v>
      </c>
      <c r="BKT22">
        <f t="shared" si="1003"/>
        <v>0</v>
      </c>
      <c r="BKU22">
        <f t="shared" si="1004"/>
        <v>0</v>
      </c>
      <c r="BKV22">
        <f t="shared" si="1005"/>
        <v>0</v>
      </c>
      <c r="BKW22">
        <f t="shared" si="1006"/>
        <v>0</v>
      </c>
      <c r="BKX22">
        <f t="shared" si="1007"/>
        <v>0</v>
      </c>
      <c r="BKY22">
        <f t="shared" si="1008"/>
        <v>0</v>
      </c>
      <c r="BKZ22">
        <f t="shared" si="1009"/>
        <v>0</v>
      </c>
      <c r="BLA22">
        <f t="shared" si="1010"/>
        <v>0</v>
      </c>
      <c r="BLB22">
        <f t="shared" si="48"/>
        <v>0</v>
      </c>
      <c r="BLC22">
        <f t="shared" si="1011"/>
        <v>0</v>
      </c>
      <c r="BLD22">
        <f t="shared" si="1012"/>
        <v>0</v>
      </c>
      <c r="BLE22">
        <f t="shared" si="1013"/>
        <v>0</v>
      </c>
      <c r="BLF22">
        <f t="shared" si="1014"/>
        <v>0</v>
      </c>
      <c r="BLG22">
        <f t="shared" si="1015"/>
        <v>0</v>
      </c>
      <c r="BLH22">
        <f t="shared" si="1016"/>
        <v>0</v>
      </c>
      <c r="BLI22">
        <f t="shared" si="1017"/>
        <v>0</v>
      </c>
      <c r="BLJ22">
        <f t="shared" si="1018"/>
        <v>0</v>
      </c>
      <c r="BLK22">
        <f t="shared" si="1019"/>
        <v>0</v>
      </c>
      <c r="BLL22">
        <f t="shared" si="1020"/>
        <v>0</v>
      </c>
      <c r="BLM22">
        <f t="shared" si="1021"/>
        <v>0</v>
      </c>
      <c r="BLN22">
        <f t="shared" si="1022"/>
        <v>0</v>
      </c>
      <c r="BLO22">
        <f t="shared" si="1023"/>
        <v>0</v>
      </c>
      <c r="BLP22">
        <f t="shared" si="1024"/>
        <v>0</v>
      </c>
      <c r="BLQ22">
        <f t="shared" si="1025"/>
        <v>0</v>
      </c>
      <c r="BLR22">
        <f t="shared" si="1026"/>
        <v>0</v>
      </c>
      <c r="BLS22">
        <f t="shared" si="1027"/>
        <v>0</v>
      </c>
      <c r="BLT22">
        <f t="shared" si="1028"/>
        <v>0</v>
      </c>
      <c r="BLU22">
        <f t="shared" si="1029"/>
        <v>0</v>
      </c>
      <c r="BLV22">
        <f t="shared" si="1030"/>
        <v>0</v>
      </c>
      <c r="BLW22">
        <f t="shared" si="1031"/>
        <v>0</v>
      </c>
      <c r="BLX22">
        <f t="shared" si="1032"/>
        <v>0</v>
      </c>
      <c r="BLY22">
        <f t="shared" si="1033"/>
        <v>0</v>
      </c>
      <c r="BLZ22">
        <f t="shared" si="1034"/>
        <v>0</v>
      </c>
      <c r="BMA22">
        <f t="shared" si="1035"/>
        <v>0</v>
      </c>
      <c r="BMB22">
        <f t="shared" si="1036"/>
        <v>0</v>
      </c>
      <c r="BMC22">
        <f t="shared" si="1037"/>
        <v>0</v>
      </c>
      <c r="BMD22">
        <f t="shared" si="1038"/>
        <v>0</v>
      </c>
      <c r="BME22">
        <f t="shared" si="1039"/>
        <v>0</v>
      </c>
      <c r="BMF22">
        <f t="shared" si="1040"/>
        <v>0</v>
      </c>
      <c r="BMG22">
        <f t="shared" si="1041"/>
        <v>0</v>
      </c>
      <c r="BMH22">
        <f t="shared" si="1042"/>
        <v>0</v>
      </c>
      <c r="BMI22">
        <f t="shared" si="1043"/>
        <v>0</v>
      </c>
      <c r="BMJ22">
        <f t="shared" si="1044"/>
        <v>0</v>
      </c>
      <c r="BMK22">
        <f t="shared" si="1045"/>
        <v>0</v>
      </c>
      <c r="BML22">
        <f t="shared" si="1046"/>
        <v>0</v>
      </c>
      <c r="BMM22">
        <f t="shared" si="1047"/>
        <v>0</v>
      </c>
      <c r="BMN22">
        <f t="shared" si="1048"/>
        <v>0</v>
      </c>
      <c r="BMO22">
        <f t="shared" si="1049"/>
        <v>0</v>
      </c>
      <c r="BMP22">
        <f t="shared" si="1050"/>
        <v>0</v>
      </c>
      <c r="BMQ22">
        <f t="shared" si="1051"/>
        <v>0</v>
      </c>
      <c r="BMR22">
        <f t="shared" si="1052"/>
        <v>0</v>
      </c>
      <c r="BMS22">
        <f t="shared" si="1053"/>
        <v>0</v>
      </c>
      <c r="BMT22">
        <f t="shared" si="1054"/>
        <v>0</v>
      </c>
      <c r="BMU22">
        <f t="shared" si="1055"/>
        <v>0</v>
      </c>
      <c r="BMV22">
        <f t="shared" si="1056"/>
        <v>0</v>
      </c>
      <c r="BMW22">
        <f t="shared" si="1057"/>
        <v>0</v>
      </c>
      <c r="BMX22">
        <f t="shared" si="1058"/>
        <v>0</v>
      </c>
      <c r="BMY22">
        <f t="shared" si="1059"/>
        <v>0</v>
      </c>
      <c r="BMZ22">
        <f t="shared" si="1060"/>
        <v>0</v>
      </c>
      <c r="BNA22">
        <f t="shared" si="1061"/>
        <v>0</v>
      </c>
      <c r="BNB22">
        <f t="shared" si="1062"/>
        <v>0</v>
      </c>
      <c r="BNC22">
        <f t="shared" si="1063"/>
        <v>0</v>
      </c>
      <c r="BND22">
        <f t="shared" si="1064"/>
        <v>0</v>
      </c>
      <c r="BNE22">
        <f t="shared" si="1065"/>
        <v>0</v>
      </c>
      <c r="BNF22">
        <f t="shared" si="1066"/>
        <v>0</v>
      </c>
      <c r="BNG22">
        <f t="shared" si="1067"/>
        <v>0</v>
      </c>
      <c r="BNH22">
        <f t="shared" si="1068"/>
        <v>0</v>
      </c>
      <c r="BNI22">
        <f t="shared" si="1069"/>
        <v>0</v>
      </c>
      <c r="BNJ22">
        <f t="shared" si="1070"/>
        <v>0</v>
      </c>
      <c r="BNK22">
        <f t="shared" si="1071"/>
        <v>0</v>
      </c>
      <c r="BNL22">
        <f t="shared" si="1072"/>
        <v>0</v>
      </c>
      <c r="BNM22">
        <f t="shared" si="1073"/>
        <v>0</v>
      </c>
      <c r="BNN22">
        <f t="shared" si="49"/>
        <v>0</v>
      </c>
      <c r="BNO22">
        <f t="shared" si="1074"/>
        <v>0</v>
      </c>
      <c r="BNP22">
        <f t="shared" si="1075"/>
        <v>0</v>
      </c>
      <c r="BNQ22">
        <f t="shared" si="1076"/>
        <v>0</v>
      </c>
      <c r="BNR22">
        <f t="shared" si="1077"/>
        <v>0</v>
      </c>
      <c r="BNS22">
        <f t="shared" si="1078"/>
        <v>0</v>
      </c>
      <c r="BNT22">
        <f t="shared" si="1079"/>
        <v>0</v>
      </c>
      <c r="BNU22">
        <f t="shared" si="1080"/>
        <v>0</v>
      </c>
      <c r="BNV22">
        <f t="shared" si="1081"/>
        <v>0</v>
      </c>
      <c r="BNW22">
        <f t="shared" si="1082"/>
        <v>0</v>
      </c>
      <c r="BNX22">
        <f t="shared" si="1083"/>
        <v>0</v>
      </c>
      <c r="BNY22">
        <f t="shared" si="1084"/>
        <v>0</v>
      </c>
      <c r="BNZ22">
        <f t="shared" si="1085"/>
        <v>0</v>
      </c>
      <c r="BOA22">
        <f t="shared" si="1086"/>
        <v>0</v>
      </c>
      <c r="BOB22">
        <f t="shared" si="1087"/>
        <v>0</v>
      </c>
      <c r="BOC22">
        <f t="shared" si="1088"/>
        <v>0</v>
      </c>
      <c r="BOD22">
        <f t="shared" si="1089"/>
        <v>0</v>
      </c>
      <c r="BOE22">
        <f t="shared" si="1090"/>
        <v>0</v>
      </c>
      <c r="BOF22">
        <f t="shared" si="1091"/>
        <v>0</v>
      </c>
      <c r="BOG22">
        <f t="shared" si="1092"/>
        <v>0</v>
      </c>
      <c r="BOH22">
        <f t="shared" si="1093"/>
        <v>0</v>
      </c>
      <c r="BOI22">
        <f t="shared" si="1094"/>
        <v>0</v>
      </c>
      <c r="BOJ22">
        <f t="shared" si="1095"/>
        <v>0</v>
      </c>
      <c r="BOK22">
        <f t="shared" si="1096"/>
        <v>0</v>
      </c>
      <c r="BOL22">
        <f t="shared" si="1097"/>
        <v>0</v>
      </c>
      <c r="BOM22">
        <f t="shared" si="1098"/>
        <v>0</v>
      </c>
      <c r="BON22">
        <f t="shared" si="1099"/>
        <v>0</v>
      </c>
      <c r="BOO22">
        <f t="shared" si="1100"/>
        <v>0</v>
      </c>
      <c r="BOP22">
        <f t="shared" si="1101"/>
        <v>0</v>
      </c>
      <c r="BOQ22">
        <f t="shared" si="1102"/>
        <v>0</v>
      </c>
      <c r="BOR22">
        <f t="shared" si="1103"/>
        <v>0</v>
      </c>
      <c r="BOS22">
        <f t="shared" si="1104"/>
        <v>0</v>
      </c>
      <c r="BOT22">
        <f t="shared" si="1105"/>
        <v>0</v>
      </c>
      <c r="BOU22">
        <f t="shared" si="1106"/>
        <v>0</v>
      </c>
      <c r="BOV22">
        <f t="shared" si="1107"/>
        <v>0</v>
      </c>
      <c r="BOW22">
        <f t="shared" si="1108"/>
        <v>0</v>
      </c>
      <c r="BOX22">
        <f t="shared" si="1109"/>
        <v>0</v>
      </c>
      <c r="BOY22">
        <f t="shared" si="1110"/>
        <v>0</v>
      </c>
      <c r="BOZ22">
        <f t="shared" si="1111"/>
        <v>0</v>
      </c>
      <c r="BPA22">
        <f t="shared" si="1112"/>
        <v>0</v>
      </c>
      <c r="BPB22">
        <f t="shared" si="1113"/>
        <v>0</v>
      </c>
      <c r="BPC22">
        <f t="shared" si="1114"/>
        <v>0</v>
      </c>
      <c r="BPD22">
        <f t="shared" si="1115"/>
        <v>0</v>
      </c>
      <c r="BPE22">
        <f t="shared" si="1116"/>
        <v>0</v>
      </c>
      <c r="BPF22">
        <f t="shared" si="1117"/>
        <v>0</v>
      </c>
      <c r="BPG22">
        <f t="shared" si="1118"/>
        <v>0</v>
      </c>
      <c r="BPH22">
        <f t="shared" si="1119"/>
        <v>0</v>
      </c>
      <c r="BPI22">
        <f t="shared" si="1120"/>
        <v>0</v>
      </c>
      <c r="BPJ22">
        <f t="shared" si="1121"/>
        <v>0</v>
      </c>
      <c r="BPK22">
        <f t="shared" si="1122"/>
        <v>0</v>
      </c>
      <c r="BPL22">
        <f t="shared" si="1123"/>
        <v>0</v>
      </c>
      <c r="BPM22">
        <f t="shared" si="1124"/>
        <v>0</v>
      </c>
      <c r="BPN22">
        <f t="shared" si="1125"/>
        <v>0</v>
      </c>
      <c r="BPO22">
        <f t="shared" si="1126"/>
        <v>0</v>
      </c>
      <c r="BPP22">
        <f t="shared" si="1127"/>
        <v>0</v>
      </c>
      <c r="BPQ22">
        <f t="shared" si="1128"/>
        <v>0</v>
      </c>
      <c r="BPR22">
        <f t="shared" si="1129"/>
        <v>0</v>
      </c>
      <c r="BPS22">
        <f t="shared" si="1130"/>
        <v>0</v>
      </c>
      <c r="BPT22">
        <f t="shared" si="1131"/>
        <v>0</v>
      </c>
      <c r="BPU22">
        <f t="shared" si="1132"/>
        <v>0</v>
      </c>
      <c r="BPV22">
        <f t="shared" si="1133"/>
        <v>0</v>
      </c>
      <c r="BPW22">
        <f t="shared" si="1134"/>
        <v>0</v>
      </c>
      <c r="BPX22">
        <f t="shared" si="1135"/>
        <v>0</v>
      </c>
      <c r="BPY22">
        <f t="shared" si="1136"/>
        <v>0</v>
      </c>
      <c r="BPZ22">
        <f t="shared" si="50"/>
        <v>0</v>
      </c>
      <c r="BQA22">
        <f t="shared" si="1137"/>
        <v>0</v>
      </c>
      <c r="BQB22">
        <f t="shared" si="1138"/>
        <v>0</v>
      </c>
      <c r="BQC22">
        <f t="shared" si="1139"/>
        <v>0</v>
      </c>
      <c r="BQD22">
        <f t="shared" si="1140"/>
        <v>0</v>
      </c>
      <c r="BQE22">
        <f t="shared" si="1141"/>
        <v>0</v>
      </c>
      <c r="BQF22">
        <f t="shared" si="1142"/>
        <v>0</v>
      </c>
      <c r="BQG22">
        <f t="shared" si="1143"/>
        <v>0</v>
      </c>
      <c r="BQH22">
        <f t="shared" si="1144"/>
        <v>0</v>
      </c>
      <c r="BQI22">
        <f t="shared" si="1145"/>
        <v>0</v>
      </c>
      <c r="BQJ22">
        <f t="shared" si="1146"/>
        <v>0</v>
      </c>
      <c r="BQK22">
        <f t="shared" si="1147"/>
        <v>0</v>
      </c>
      <c r="BQL22">
        <f t="shared" si="1148"/>
        <v>0</v>
      </c>
      <c r="BQM22">
        <f t="shared" si="1149"/>
        <v>0</v>
      </c>
      <c r="BQN22">
        <f t="shared" si="1150"/>
        <v>0</v>
      </c>
      <c r="BQO22">
        <f t="shared" si="1151"/>
        <v>0</v>
      </c>
      <c r="BQP22">
        <f t="shared" si="1152"/>
        <v>0</v>
      </c>
      <c r="BQQ22">
        <f t="shared" si="1153"/>
        <v>0</v>
      </c>
      <c r="BQR22">
        <f t="shared" si="1154"/>
        <v>0</v>
      </c>
      <c r="BQS22">
        <f t="shared" si="1155"/>
        <v>0</v>
      </c>
      <c r="BQT22">
        <f t="shared" si="1156"/>
        <v>0</v>
      </c>
      <c r="BQU22">
        <f t="shared" si="1157"/>
        <v>0</v>
      </c>
      <c r="BQV22">
        <f t="shared" si="1158"/>
        <v>0</v>
      </c>
      <c r="BQW22">
        <f t="shared" si="1159"/>
        <v>0</v>
      </c>
      <c r="BQX22">
        <f t="shared" si="1160"/>
        <v>0</v>
      </c>
      <c r="BQY22">
        <f t="shared" si="1161"/>
        <v>0</v>
      </c>
      <c r="BQZ22">
        <f t="shared" si="1162"/>
        <v>0</v>
      </c>
      <c r="BRA22">
        <f t="shared" si="1163"/>
        <v>0</v>
      </c>
      <c r="BRB22">
        <f t="shared" si="1164"/>
        <v>0</v>
      </c>
      <c r="BRC22">
        <f t="shared" si="1165"/>
        <v>0</v>
      </c>
      <c r="BRD22">
        <f t="shared" si="1166"/>
        <v>0</v>
      </c>
      <c r="BRE22">
        <f t="shared" si="1167"/>
        <v>0</v>
      </c>
      <c r="BRF22">
        <f t="shared" si="1168"/>
        <v>0</v>
      </c>
      <c r="BRG22">
        <f t="shared" si="1169"/>
        <v>0</v>
      </c>
      <c r="BRH22">
        <f t="shared" si="1170"/>
        <v>0</v>
      </c>
      <c r="BRI22">
        <f t="shared" si="1171"/>
        <v>0</v>
      </c>
      <c r="BRJ22">
        <f t="shared" si="1172"/>
        <v>0</v>
      </c>
      <c r="BRK22">
        <f t="shared" si="1173"/>
        <v>0</v>
      </c>
      <c r="BRL22">
        <f t="shared" si="1174"/>
        <v>0</v>
      </c>
      <c r="BRM22">
        <f t="shared" si="1175"/>
        <v>0</v>
      </c>
      <c r="BRN22">
        <f t="shared" si="1176"/>
        <v>0</v>
      </c>
      <c r="BRO22">
        <f t="shared" si="1177"/>
        <v>0</v>
      </c>
      <c r="BRP22">
        <f t="shared" si="1178"/>
        <v>0</v>
      </c>
      <c r="BRQ22">
        <f t="shared" si="1179"/>
        <v>0</v>
      </c>
      <c r="BRR22">
        <f t="shared" si="1180"/>
        <v>0</v>
      </c>
      <c r="BRS22">
        <f t="shared" si="1181"/>
        <v>0</v>
      </c>
      <c r="BRT22">
        <f t="shared" si="1182"/>
        <v>0</v>
      </c>
      <c r="BRU22">
        <f t="shared" si="1183"/>
        <v>0</v>
      </c>
      <c r="BRV22">
        <f t="shared" si="1184"/>
        <v>0</v>
      </c>
      <c r="BRW22">
        <f t="shared" si="1185"/>
        <v>0</v>
      </c>
      <c r="BRX22">
        <f t="shared" si="1186"/>
        <v>0</v>
      </c>
      <c r="BRY22">
        <f t="shared" si="1187"/>
        <v>0</v>
      </c>
      <c r="BRZ22">
        <f t="shared" si="1188"/>
        <v>0</v>
      </c>
      <c r="BSA22">
        <f t="shared" si="1189"/>
        <v>0</v>
      </c>
      <c r="BSB22">
        <f t="shared" si="1190"/>
        <v>0</v>
      </c>
      <c r="BSC22">
        <f t="shared" si="1191"/>
        <v>0</v>
      </c>
      <c r="BSD22">
        <f t="shared" si="1192"/>
        <v>0</v>
      </c>
      <c r="BSE22">
        <f t="shared" si="1193"/>
        <v>0</v>
      </c>
      <c r="BSF22">
        <f t="shared" si="1194"/>
        <v>0</v>
      </c>
      <c r="BSG22">
        <f t="shared" si="1195"/>
        <v>0</v>
      </c>
      <c r="BSH22">
        <f t="shared" si="1196"/>
        <v>0</v>
      </c>
      <c r="BSI22">
        <f t="shared" si="1197"/>
        <v>0</v>
      </c>
      <c r="BSJ22">
        <f t="shared" si="1198"/>
        <v>0</v>
      </c>
      <c r="BSK22">
        <f t="shared" si="1199"/>
        <v>0</v>
      </c>
      <c r="BSL22">
        <f t="shared" si="51"/>
        <v>0</v>
      </c>
      <c r="BSM22">
        <f t="shared" si="1200"/>
        <v>0</v>
      </c>
      <c r="BSN22">
        <f t="shared" si="1201"/>
        <v>0</v>
      </c>
      <c r="BSO22">
        <f t="shared" si="1202"/>
        <v>0</v>
      </c>
      <c r="BSP22">
        <f t="shared" si="1203"/>
        <v>0</v>
      </c>
      <c r="BSQ22">
        <f t="shared" si="1204"/>
        <v>0</v>
      </c>
      <c r="BSR22">
        <f t="shared" si="1205"/>
        <v>0</v>
      </c>
      <c r="BSS22">
        <f t="shared" si="1206"/>
        <v>0</v>
      </c>
      <c r="BST22">
        <f t="shared" si="1207"/>
        <v>0</v>
      </c>
      <c r="BSU22">
        <f t="shared" si="1208"/>
        <v>0</v>
      </c>
      <c r="BSV22">
        <f t="shared" si="1209"/>
        <v>0</v>
      </c>
      <c r="BSW22">
        <f t="shared" si="1210"/>
        <v>0</v>
      </c>
      <c r="BSX22">
        <f t="shared" si="1211"/>
        <v>0</v>
      </c>
      <c r="BSY22">
        <f t="shared" si="1212"/>
        <v>0</v>
      </c>
      <c r="BSZ22">
        <f t="shared" si="1213"/>
        <v>0</v>
      </c>
      <c r="BTA22">
        <f t="shared" si="1214"/>
        <v>0</v>
      </c>
      <c r="BTB22">
        <f t="shared" si="1215"/>
        <v>0</v>
      </c>
      <c r="BTC22">
        <f t="shared" si="1216"/>
        <v>0</v>
      </c>
      <c r="BTD22">
        <f t="shared" si="1217"/>
        <v>0</v>
      </c>
      <c r="BTE22">
        <f t="shared" si="1218"/>
        <v>0</v>
      </c>
      <c r="BTF22">
        <f t="shared" si="1219"/>
        <v>0</v>
      </c>
      <c r="BTG22">
        <f t="shared" si="1220"/>
        <v>0</v>
      </c>
      <c r="BTH22">
        <f t="shared" si="1221"/>
        <v>0</v>
      </c>
      <c r="BTI22">
        <f t="shared" si="1222"/>
        <v>0</v>
      </c>
      <c r="BTJ22">
        <f t="shared" si="1223"/>
        <v>0</v>
      </c>
      <c r="BTK22">
        <f t="shared" si="1224"/>
        <v>0</v>
      </c>
      <c r="BTL22">
        <f t="shared" si="1225"/>
        <v>0</v>
      </c>
      <c r="BTM22">
        <f t="shared" si="1226"/>
        <v>0</v>
      </c>
      <c r="BTN22">
        <f t="shared" si="1227"/>
        <v>0</v>
      </c>
      <c r="BTO22">
        <f t="shared" si="1228"/>
        <v>0</v>
      </c>
      <c r="BTP22">
        <f t="shared" si="1229"/>
        <v>0</v>
      </c>
      <c r="BTQ22">
        <f t="shared" si="1230"/>
        <v>0</v>
      </c>
      <c r="BTR22">
        <f t="shared" si="1231"/>
        <v>0</v>
      </c>
      <c r="BTS22">
        <f t="shared" si="1232"/>
        <v>0</v>
      </c>
      <c r="BTT22">
        <f t="shared" si="1233"/>
        <v>0</v>
      </c>
      <c r="BTU22">
        <f t="shared" si="1234"/>
        <v>0</v>
      </c>
      <c r="BTV22">
        <f t="shared" si="1235"/>
        <v>0</v>
      </c>
      <c r="BTW22">
        <f t="shared" si="1236"/>
        <v>0</v>
      </c>
      <c r="BTX22">
        <f t="shared" si="1237"/>
        <v>0</v>
      </c>
      <c r="BTY22">
        <f t="shared" si="1238"/>
        <v>0</v>
      </c>
      <c r="BTZ22">
        <f t="shared" si="1239"/>
        <v>0</v>
      </c>
      <c r="BUA22">
        <f t="shared" si="1240"/>
        <v>0</v>
      </c>
      <c r="BUB22">
        <f t="shared" si="1241"/>
        <v>0</v>
      </c>
      <c r="BUC22">
        <f t="shared" si="1242"/>
        <v>0</v>
      </c>
      <c r="BUD22">
        <f t="shared" si="1243"/>
        <v>0</v>
      </c>
      <c r="BUE22">
        <f t="shared" si="1244"/>
        <v>0</v>
      </c>
      <c r="BUF22">
        <f t="shared" si="1245"/>
        <v>0</v>
      </c>
      <c r="BUG22">
        <f t="shared" si="1246"/>
        <v>0</v>
      </c>
      <c r="BUH22">
        <f t="shared" si="1247"/>
        <v>0</v>
      </c>
      <c r="BUI22">
        <f t="shared" si="1248"/>
        <v>0</v>
      </c>
      <c r="BUJ22">
        <f t="shared" si="1249"/>
        <v>0</v>
      </c>
      <c r="BUK22">
        <f t="shared" si="1250"/>
        <v>0</v>
      </c>
      <c r="BUL22">
        <f t="shared" si="1251"/>
        <v>0</v>
      </c>
      <c r="BUM22">
        <f t="shared" si="1252"/>
        <v>0</v>
      </c>
      <c r="BUN22">
        <f t="shared" si="1253"/>
        <v>0</v>
      </c>
      <c r="BUO22">
        <f t="shared" si="1254"/>
        <v>0</v>
      </c>
      <c r="BUP22">
        <f t="shared" si="1255"/>
        <v>0</v>
      </c>
      <c r="BUQ22">
        <f t="shared" si="1256"/>
        <v>0</v>
      </c>
      <c r="BUR22">
        <f t="shared" si="1257"/>
        <v>0</v>
      </c>
      <c r="BUS22">
        <f t="shared" si="1258"/>
        <v>0</v>
      </c>
      <c r="BUT22">
        <f t="shared" si="1259"/>
        <v>0</v>
      </c>
      <c r="BUU22">
        <f t="shared" si="1260"/>
        <v>0</v>
      </c>
      <c r="BUV22">
        <f t="shared" si="1261"/>
        <v>0</v>
      </c>
      <c r="BUW22">
        <f t="shared" si="1262"/>
        <v>0</v>
      </c>
      <c r="BUX22">
        <f t="shared" si="52"/>
        <v>0</v>
      </c>
      <c r="BUY22">
        <f t="shared" si="1263"/>
        <v>0</v>
      </c>
      <c r="BUZ22">
        <f t="shared" si="1264"/>
        <v>0</v>
      </c>
      <c r="BVA22">
        <f t="shared" si="1265"/>
        <v>0</v>
      </c>
      <c r="BVB22">
        <f t="shared" si="1266"/>
        <v>0</v>
      </c>
      <c r="BVC22">
        <f t="shared" si="1267"/>
        <v>0</v>
      </c>
      <c r="BVD22">
        <f t="shared" si="1268"/>
        <v>0</v>
      </c>
      <c r="BVE22">
        <f t="shared" si="1269"/>
        <v>0</v>
      </c>
      <c r="BVF22">
        <f t="shared" si="1270"/>
        <v>0</v>
      </c>
      <c r="BVG22">
        <f t="shared" si="1271"/>
        <v>0</v>
      </c>
      <c r="BVH22">
        <f t="shared" si="1272"/>
        <v>0</v>
      </c>
      <c r="BVI22">
        <f t="shared" si="1273"/>
        <v>0</v>
      </c>
      <c r="BVJ22">
        <f t="shared" si="1274"/>
        <v>0</v>
      </c>
      <c r="BVK22">
        <f t="shared" si="1275"/>
        <v>0</v>
      </c>
      <c r="BVL22">
        <f t="shared" si="1276"/>
        <v>0</v>
      </c>
      <c r="BVM22">
        <f t="shared" si="1277"/>
        <v>0</v>
      </c>
      <c r="BVN22">
        <f t="shared" si="1278"/>
        <v>0</v>
      </c>
      <c r="BVO22">
        <f t="shared" si="1279"/>
        <v>0</v>
      </c>
      <c r="BVP22">
        <f t="shared" si="1280"/>
        <v>0</v>
      </c>
      <c r="BVQ22">
        <f t="shared" si="1281"/>
        <v>0</v>
      </c>
      <c r="BVR22">
        <f t="shared" si="1282"/>
        <v>0</v>
      </c>
      <c r="BVS22">
        <f t="shared" si="1283"/>
        <v>0</v>
      </c>
      <c r="BVT22">
        <f t="shared" si="1284"/>
        <v>0</v>
      </c>
      <c r="BVU22">
        <f t="shared" si="1285"/>
        <v>0</v>
      </c>
      <c r="BVV22">
        <f t="shared" si="1286"/>
        <v>0</v>
      </c>
      <c r="BVW22">
        <f t="shared" si="1287"/>
        <v>0</v>
      </c>
      <c r="BVX22">
        <f t="shared" si="1288"/>
        <v>0</v>
      </c>
      <c r="BVY22">
        <f t="shared" si="1289"/>
        <v>0</v>
      </c>
      <c r="BVZ22">
        <f t="shared" si="1290"/>
        <v>0</v>
      </c>
      <c r="BWA22">
        <f t="shared" si="1291"/>
        <v>0</v>
      </c>
      <c r="BWB22">
        <f t="shared" si="1292"/>
        <v>0</v>
      </c>
      <c r="BWC22">
        <f t="shared" si="1293"/>
        <v>0</v>
      </c>
      <c r="BWD22">
        <f t="shared" si="1294"/>
        <v>0</v>
      </c>
      <c r="BWE22">
        <f t="shared" si="1295"/>
        <v>0</v>
      </c>
      <c r="BWF22">
        <f t="shared" si="1296"/>
        <v>0</v>
      </c>
      <c r="BWG22">
        <f t="shared" si="1297"/>
        <v>0</v>
      </c>
      <c r="BWH22">
        <f t="shared" si="1298"/>
        <v>0</v>
      </c>
      <c r="BWI22">
        <f t="shared" si="1299"/>
        <v>0</v>
      </c>
      <c r="BWJ22">
        <f t="shared" si="1300"/>
        <v>0</v>
      </c>
      <c r="BWK22">
        <f t="shared" si="1301"/>
        <v>0</v>
      </c>
      <c r="BWL22">
        <f t="shared" si="1302"/>
        <v>0</v>
      </c>
      <c r="BWM22">
        <f t="shared" si="1303"/>
        <v>0</v>
      </c>
      <c r="BWN22">
        <f t="shared" si="1304"/>
        <v>0</v>
      </c>
      <c r="BWO22">
        <f t="shared" si="1305"/>
        <v>0</v>
      </c>
      <c r="BWP22">
        <f t="shared" si="1306"/>
        <v>0</v>
      </c>
      <c r="BWQ22">
        <f t="shared" si="1307"/>
        <v>0</v>
      </c>
      <c r="BWR22">
        <f t="shared" si="1308"/>
        <v>0</v>
      </c>
      <c r="BWS22">
        <f t="shared" si="1309"/>
        <v>0</v>
      </c>
      <c r="BWT22">
        <f t="shared" si="1310"/>
        <v>0</v>
      </c>
      <c r="BWU22">
        <f t="shared" si="1311"/>
        <v>0</v>
      </c>
      <c r="BWV22">
        <f t="shared" si="1312"/>
        <v>0</v>
      </c>
      <c r="BWW22">
        <f t="shared" si="1313"/>
        <v>0</v>
      </c>
      <c r="BWX22">
        <f t="shared" si="1314"/>
        <v>0</v>
      </c>
      <c r="BWY22">
        <f t="shared" si="1315"/>
        <v>0</v>
      </c>
      <c r="BWZ22">
        <f t="shared" si="1316"/>
        <v>0</v>
      </c>
      <c r="BXA22">
        <f t="shared" si="1317"/>
        <v>0</v>
      </c>
      <c r="BXB22">
        <f t="shared" si="1318"/>
        <v>0</v>
      </c>
      <c r="BXC22">
        <f t="shared" si="1319"/>
        <v>0</v>
      </c>
      <c r="BXD22">
        <f t="shared" si="1320"/>
        <v>0</v>
      </c>
      <c r="BXE22">
        <f t="shared" si="1321"/>
        <v>0</v>
      </c>
      <c r="BXF22">
        <f t="shared" si="1322"/>
        <v>0</v>
      </c>
      <c r="BXG22">
        <f t="shared" si="1323"/>
        <v>0</v>
      </c>
      <c r="BXH22">
        <f t="shared" si="1324"/>
        <v>0</v>
      </c>
      <c r="BXI22">
        <f t="shared" si="1325"/>
        <v>0</v>
      </c>
      <c r="BXJ22">
        <f t="shared" si="53"/>
        <v>0</v>
      </c>
      <c r="BXK22">
        <f t="shared" si="1326"/>
        <v>0</v>
      </c>
      <c r="BXL22">
        <f t="shared" si="1327"/>
        <v>0</v>
      </c>
      <c r="BXM22">
        <f t="shared" si="1328"/>
        <v>0</v>
      </c>
      <c r="BXN22">
        <f t="shared" si="1329"/>
        <v>0</v>
      </c>
      <c r="BXO22">
        <f t="shared" si="1330"/>
        <v>0</v>
      </c>
      <c r="BXP22">
        <f t="shared" si="1331"/>
        <v>0</v>
      </c>
      <c r="BXQ22">
        <f t="shared" si="1332"/>
        <v>0</v>
      </c>
      <c r="BXR22">
        <f t="shared" si="1333"/>
        <v>0</v>
      </c>
      <c r="BXS22">
        <f t="shared" si="1334"/>
        <v>0</v>
      </c>
      <c r="BXT22">
        <f t="shared" si="1335"/>
        <v>0</v>
      </c>
      <c r="BXU22">
        <f t="shared" si="1336"/>
        <v>0</v>
      </c>
      <c r="BXV22">
        <f t="shared" si="1337"/>
        <v>0</v>
      </c>
      <c r="BXW22">
        <f t="shared" si="1338"/>
        <v>0</v>
      </c>
      <c r="BXX22">
        <f t="shared" si="1339"/>
        <v>0</v>
      </c>
      <c r="BXY22">
        <f t="shared" si="1340"/>
        <v>0</v>
      </c>
      <c r="BXZ22">
        <f t="shared" si="1341"/>
        <v>0</v>
      </c>
      <c r="BYA22">
        <f t="shared" si="1342"/>
        <v>0</v>
      </c>
      <c r="BYB22">
        <f t="shared" si="1343"/>
        <v>0</v>
      </c>
      <c r="BYC22">
        <f t="shared" si="1344"/>
        <v>0</v>
      </c>
      <c r="BYD22">
        <f t="shared" si="1345"/>
        <v>0</v>
      </c>
      <c r="BYE22">
        <f t="shared" si="1346"/>
        <v>0</v>
      </c>
      <c r="BYF22">
        <f t="shared" si="1347"/>
        <v>0</v>
      </c>
      <c r="BYG22">
        <f t="shared" si="1348"/>
        <v>0</v>
      </c>
      <c r="BYH22">
        <f t="shared" si="1349"/>
        <v>0</v>
      </c>
      <c r="BYI22">
        <f t="shared" si="1350"/>
        <v>0</v>
      </c>
      <c r="BYJ22">
        <f t="shared" si="1351"/>
        <v>0</v>
      </c>
      <c r="BYK22">
        <f t="shared" si="1352"/>
        <v>0</v>
      </c>
      <c r="BYL22">
        <f t="shared" si="1353"/>
        <v>0</v>
      </c>
      <c r="BYM22">
        <f t="shared" si="1354"/>
        <v>0</v>
      </c>
      <c r="BYN22">
        <f t="shared" si="1355"/>
        <v>0</v>
      </c>
      <c r="BYO22">
        <f t="shared" si="1356"/>
        <v>0</v>
      </c>
      <c r="BYP22">
        <f t="shared" si="1357"/>
        <v>0</v>
      </c>
      <c r="BYQ22">
        <f t="shared" si="1358"/>
        <v>0</v>
      </c>
      <c r="BYR22">
        <f t="shared" si="1359"/>
        <v>0</v>
      </c>
      <c r="BYS22">
        <f t="shared" si="1360"/>
        <v>0</v>
      </c>
      <c r="BYT22">
        <f t="shared" si="1361"/>
        <v>0</v>
      </c>
      <c r="BYU22">
        <f t="shared" si="1362"/>
        <v>0</v>
      </c>
      <c r="BYV22">
        <f t="shared" si="1363"/>
        <v>0</v>
      </c>
      <c r="BYW22">
        <f t="shared" si="1364"/>
        <v>0</v>
      </c>
      <c r="BYX22">
        <f t="shared" si="1365"/>
        <v>0</v>
      </c>
      <c r="BYY22">
        <f t="shared" si="1366"/>
        <v>0</v>
      </c>
      <c r="BYZ22">
        <f t="shared" si="1367"/>
        <v>0</v>
      </c>
      <c r="BZA22">
        <f t="shared" si="1368"/>
        <v>0</v>
      </c>
      <c r="BZB22">
        <f t="shared" si="1369"/>
        <v>0</v>
      </c>
      <c r="BZC22">
        <f t="shared" si="1370"/>
        <v>0</v>
      </c>
      <c r="BZD22">
        <f t="shared" si="1371"/>
        <v>0</v>
      </c>
      <c r="BZE22">
        <f t="shared" si="1372"/>
        <v>0</v>
      </c>
      <c r="BZF22">
        <f t="shared" si="1373"/>
        <v>0</v>
      </c>
      <c r="BZG22">
        <f t="shared" si="1374"/>
        <v>0</v>
      </c>
      <c r="BZH22">
        <f t="shared" si="1375"/>
        <v>0</v>
      </c>
      <c r="BZI22">
        <f t="shared" si="1376"/>
        <v>0</v>
      </c>
      <c r="BZJ22">
        <f t="shared" si="1377"/>
        <v>0</v>
      </c>
      <c r="BZK22">
        <f t="shared" si="1378"/>
        <v>0</v>
      </c>
      <c r="BZL22">
        <f t="shared" si="1379"/>
        <v>0</v>
      </c>
      <c r="BZM22">
        <f t="shared" si="1380"/>
        <v>0</v>
      </c>
      <c r="BZN22">
        <f t="shared" si="1381"/>
        <v>0</v>
      </c>
      <c r="BZO22">
        <f t="shared" si="1382"/>
        <v>0</v>
      </c>
      <c r="BZP22">
        <f t="shared" si="1383"/>
        <v>0</v>
      </c>
      <c r="BZQ22">
        <f t="shared" si="1384"/>
        <v>0</v>
      </c>
      <c r="BZR22">
        <f t="shared" si="1385"/>
        <v>0</v>
      </c>
      <c r="BZS22">
        <f t="shared" si="1386"/>
        <v>0</v>
      </c>
      <c r="BZT22">
        <f t="shared" si="1387"/>
        <v>0</v>
      </c>
      <c r="BZU22">
        <f t="shared" si="1388"/>
        <v>0</v>
      </c>
      <c r="BZV22">
        <f t="shared" si="54"/>
        <v>0</v>
      </c>
      <c r="BZW22">
        <f t="shared" si="1389"/>
        <v>0</v>
      </c>
      <c r="BZX22">
        <f t="shared" si="1390"/>
        <v>0</v>
      </c>
      <c r="BZY22">
        <f t="shared" si="1391"/>
        <v>0</v>
      </c>
      <c r="BZZ22">
        <f t="shared" si="1392"/>
        <v>0</v>
      </c>
      <c r="CAA22">
        <f t="shared" si="1393"/>
        <v>0</v>
      </c>
      <c r="CAB22">
        <f t="shared" si="1394"/>
        <v>0</v>
      </c>
      <c r="CAC22">
        <f t="shared" si="1395"/>
        <v>0</v>
      </c>
      <c r="CAD22">
        <f t="shared" si="1396"/>
        <v>0</v>
      </c>
      <c r="CAE22">
        <f t="shared" si="1397"/>
        <v>0</v>
      </c>
      <c r="CAF22">
        <f t="shared" si="1398"/>
        <v>0</v>
      </c>
      <c r="CAG22">
        <f t="shared" si="1399"/>
        <v>0</v>
      </c>
      <c r="CAH22">
        <f t="shared" si="1400"/>
        <v>0</v>
      </c>
      <c r="CAI22">
        <f t="shared" si="1401"/>
        <v>0</v>
      </c>
      <c r="CAJ22">
        <f t="shared" si="1402"/>
        <v>0</v>
      </c>
      <c r="CAK22">
        <f t="shared" si="1403"/>
        <v>0</v>
      </c>
      <c r="CAL22">
        <f t="shared" si="1404"/>
        <v>0</v>
      </c>
      <c r="CAM22">
        <f t="shared" si="1405"/>
        <v>0</v>
      </c>
      <c r="CAN22">
        <f t="shared" si="1406"/>
        <v>0</v>
      </c>
      <c r="CAO22">
        <f t="shared" si="1407"/>
        <v>0</v>
      </c>
      <c r="CAP22">
        <f t="shared" si="1408"/>
        <v>0</v>
      </c>
      <c r="CAQ22">
        <f t="shared" si="1409"/>
        <v>0</v>
      </c>
      <c r="CAR22">
        <f t="shared" si="1410"/>
        <v>0</v>
      </c>
      <c r="CAS22">
        <f t="shared" si="1411"/>
        <v>0</v>
      </c>
      <c r="CAT22">
        <f t="shared" si="1412"/>
        <v>0</v>
      </c>
      <c r="CAU22">
        <f t="shared" si="1413"/>
        <v>0</v>
      </c>
      <c r="CAV22">
        <f t="shared" si="1414"/>
        <v>0</v>
      </c>
      <c r="CAW22">
        <f t="shared" si="1415"/>
        <v>0</v>
      </c>
      <c r="CAX22">
        <f t="shared" si="1416"/>
        <v>0</v>
      </c>
      <c r="CAY22">
        <f t="shared" si="1417"/>
        <v>0</v>
      </c>
      <c r="CAZ22">
        <f t="shared" si="1418"/>
        <v>0</v>
      </c>
      <c r="CBA22">
        <f t="shared" si="1419"/>
        <v>0</v>
      </c>
      <c r="CBB22">
        <f t="shared" si="1420"/>
        <v>0</v>
      </c>
      <c r="CBC22">
        <f t="shared" si="1421"/>
        <v>0</v>
      </c>
      <c r="CBD22">
        <f t="shared" si="1422"/>
        <v>0</v>
      </c>
      <c r="CBE22">
        <f t="shared" si="1423"/>
        <v>0</v>
      </c>
      <c r="CBF22">
        <f t="shared" si="1424"/>
        <v>0</v>
      </c>
      <c r="CBG22">
        <f t="shared" si="1425"/>
        <v>0</v>
      </c>
      <c r="CBH22">
        <f t="shared" si="1426"/>
        <v>0</v>
      </c>
      <c r="CBI22">
        <f t="shared" si="1427"/>
        <v>0</v>
      </c>
      <c r="CBJ22">
        <f t="shared" si="1428"/>
        <v>0</v>
      </c>
      <c r="CBK22">
        <f t="shared" si="1429"/>
        <v>0</v>
      </c>
      <c r="CBL22">
        <f t="shared" si="1430"/>
        <v>0</v>
      </c>
      <c r="CBM22">
        <f t="shared" si="1431"/>
        <v>0</v>
      </c>
      <c r="CBN22">
        <f t="shared" si="1432"/>
        <v>0</v>
      </c>
      <c r="CBO22">
        <f t="shared" si="1433"/>
        <v>0</v>
      </c>
      <c r="CBP22">
        <f t="shared" si="1434"/>
        <v>0</v>
      </c>
      <c r="CBQ22">
        <f t="shared" si="1435"/>
        <v>0</v>
      </c>
      <c r="CBR22">
        <f t="shared" si="1436"/>
        <v>0</v>
      </c>
      <c r="CBS22">
        <f t="shared" si="1437"/>
        <v>0</v>
      </c>
      <c r="CBT22">
        <f t="shared" si="1438"/>
        <v>0</v>
      </c>
      <c r="CBU22">
        <f t="shared" si="1439"/>
        <v>0</v>
      </c>
      <c r="CBV22">
        <f t="shared" si="1440"/>
        <v>0</v>
      </c>
      <c r="CBW22">
        <f t="shared" si="1441"/>
        <v>0</v>
      </c>
      <c r="CBX22">
        <f t="shared" si="1442"/>
        <v>0</v>
      </c>
      <c r="CBY22">
        <f t="shared" si="1443"/>
        <v>0</v>
      </c>
      <c r="CBZ22">
        <f t="shared" si="1444"/>
        <v>0</v>
      </c>
      <c r="CCA22">
        <f t="shared" si="1445"/>
        <v>0</v>
      </c>
      <c r="CCB22">
        <f t="shared" si="1446"/>
        <v>0</v>
      </c>
      <c r="CCC22">
        <f t="shared" si="1447"/>
        <v>0</v>
      </c>
      <c r="CCD22">
        <f t="shared" si="1448"/>
        <v>0</v>
      </c>
      <c r="CCE22">
        <f t="shared" si="1449"/>
        <v>0</v>
      </c>
      <c r="CCF22">
        <f t="shared" si="1450"/>
        <v>0</v>
      </c>
      <c r="CCG22">
        <f t="shared" si="1451"/>
        <v>0</v>
      </c>
      <c r="CCH22">
        <f t="shared" si="55"/>
        <v>0</v>
      </c>
      <c r="CCI22">
        <f t="shared" si="1452"/>
        <v>0</v>
      </c>
      <c r="CCJ22">
        <f t="shared" si="1453"/>
        <v>0</v>
      </c>
      <c r="CCK22">
        <f t="shared" si="1454"/>
        <v>0</v>
      </c>
      <c r="CCL22">
        <f t="shared" si="1455"/>
        <v>0</v>
      </c>
      <c r="CCM22">
        <f t="shared" si="1456"/>
        <v>0</v>
      </c>
      <c r="CCN22">
        <f t="shared" si="1457"/>
        <v>0</v>
      </c>
      <c r="CCO22">
        <f t="shared" si="1458"/>
        <v>0</v>
      </c>
      <c r="CCP22">
        <f t="shared" si="1459"/>
        <v>0</v>
      </c>
      <c r="CCQ22">
        <f t="shared" si="1460"/>
        <v>0</v>
      </c>
      <c r="CCR22">
        <f t="shared" si="1461"/>
        <v>0</v>
      </c>
      <c r="CCS22">
        <f t="shared" si="1462"/>
        <v>0</v>
      </c>
      <c r="CCT22">
        <f t="shared" si="1463"/>
        <v>0</v>
      </c>
      <c r="CCU22">
        <f t="shared" si="1464"/>
        <v>0</v>
      </c>
      <c r="CCV22">
        <f t="shared" si="1465"/>
        <v>0</v>
      </c>
      <c r="CCW22">
        <f t="shared" si="1466"/>
        <v>0</v>
      </c>
      <c r="CCX22">
        <f t="shared" si="1467"/>
        <v>0</v>
      </c>
      <c r="CCY22">
        <f t="shared" si="1468"/>
        <v>0</v>
      </c>
      <c r="CCZ22">
        <f t="shared" si="1469"/>
        <v>0</v>
      </c>
      <c r="CDA22">
        <f t="shared" si="1470"/>
        <v>0</v>
      </c>
      <c r="CDB22">
        <f t="shared" si="1471"/>
        <v>0</v>
      </c>
      <c r="CDC22">
        <f t="shared" si="1472"/>
        <v>0</v>
      </c>
      <c r="CDD22">
        <f t="shared" si="1473"/>
        <v>0</v>
      </c>
      <c r="CDE22">
        <f t="shared" si="1474"/>
        <v>0</v>
      </c>
      <c r="CDF22">
        <f t="shared" si="1475"/>
        <v>0</v>
      </c>
      <c r="CDG22">
        <f t="shared" si="1476"/>
        <v>0</v>
      </c>
      <c r="CDH22">
        <f t="shared" si="1477"/>
        <v>0</v>
      </c>
      <c r="CDI22">
        <f t="shared" si="1478"/>
        <v>0</v>
      </c>
      <c r="CDJ22">
        <f t="shared" si="1479"/>
        <v>0</v>
      </c>
      <c r="CDK22">
        <f t="shared" si="1480"/>
        <v>0</v>
      </c>
      <c r="CDL22">
        <f t="shared" si="1481"/>
        <v>0</v>
      </c>
      <c r="CDM22">
        <f t="shared" si="1482"/>
        <v>0</v>
      </c>
      <c r="CDN22">
        <f t="shared" si="1483"/>
        <v>0</v>
      </c>
      <c r="CDO22">
        <f t="shared" si="1484"/>
        <v>0</v>
      </c>
      <c r="CDP22">
        <f t="shared" si="1485"/>
        <v>0</v>
      </c>
      <c r="CDQ22">
        <f t="shared" si="1486"/>
        <v>0</v>
      </c>
      <c r="CDR22">
        <f t="shared" si="1487"/>
        <v>0</v>
      </c>
      <c r="CDS22">
        <f t="shared" si="1488"/>
        <v>0</v>
      </c>
      <c r="CDT22">
        <f t="shared" si="1489"/>
        <v>0</v>
      </c>
      <c r="CDU22">
        <f t="shared" si="1490"/>
        <v>0</v>
      </c>
      <c r="CDV22">
        <f t="shared" si="1491"/>
        <v>0</v>
      </c>
      <c r="CDW22">
        <f t="shared" si="1492"/>
        <v>0</v>
      </c>
      <c r="CDX22">
        <f t="shared" si="1493"/>
        <v>0</v>
      </c>
      <c r="CDY22">
        <f t="shared" si="1494"/>
        <v>0</v>
      </c>
      <c r="CDZ22">
        <f t="shared" si="1495"/>
        <v>0</v>
      </c>
      <c r="CEA22">
        <f t="shared" si="1496"/>
        <v>0</v>
      </c>
      <c r="CEB22">
        <f t="shared" si="1497"/>
        <v>0</v>
      </c>
      <c r="CEC22">
        <f t="shared" si="1498"/>
        <v>0</v>
      </c>
      <c r="CED22">
        <f t="shared" si="1499"/>
        <v>0</v>
      </c>
      <c r="CEE22">
        <f t="shared" si="1500"/>
        <v>0</v>
      </c>
      <c r="CEF22">
        <f t="shared" si="1501"/>
        <v>0</v>
      </c>
      <c r="CEG22">
        <f t="shared" si="1502"/>
        <v>0</v>
      </c>
      <c r="CEH22">
        <f t="shared" si="1503"/>
        <v>0</v>
      </c>
      <c r="CEI22">
        <f t="shared" si="1504"/>
        <v>0</v>
      </c>
      <c r="CEJ22">
        <f t="shared" si="1505"/>
        <v>0</v>
      </c>
      <c r="CEK22">
        <f t="shared" si="1506"/>
        <v>0</v>
      </c>
      <c r="CEL22">
        <f t="shared" si="1507"/>
        <v>0</v>
      </c>
      <c r="CEM22">
        <f t="shared" si="1508"/>
        <v>0</v>
      </c>
      <c r="CEN22">
        <f t="shared" si="1509"/>
        <v>0</v>
      </c>
      <c r="CEO22">
        <f t="shared" si="1510"/>
        <v>0</v>
      </c>
      <c r="CEP22">
        <f t="shared" si="1511"/>
        <v>0</v>
      </c>
      <c r="CEQ22">
        <f t="shared" si="1512"/>
        <v>0</v>
      </c>
      <c r="CER22">
        <f t="shared" si="1513"/>
        <v>0</v>
      </c>
      <c r="CES22">
        <f t="shared" si="1514"/>
        <v>0</v>
      </c>
      <c r="CET22">
        <f t="shared" si="56"/>
        <v>0</v>
      </c>
      <c r="CEU22">
        <f t="shared" si="1515"/>
        <v>0</v>
      </c>
      <c r="CEV22">
        <f t="shared" si="1516"/>
        <v>0</v>
      </c>
      <c r="CEW22">
        <f t="shared" si="1517"/>
        <v>0</v>
      </c>
      <c r="CEX22">
        <f t="shared" si="1518"/>
        <v>0</v>
      </c>
      <c r="CEY22">
        <f t="shared" si="1519"/>
        <v>0</v>
      </c>
      <c r="CEZ22">
        <f t="shared" si="1520"/>
        <v>0</v>
      </c>
      <c r="CFA22">
        <f t="shared" si="1521"/>
        <v>0</v>
      </c>
      <c r="CFB22">
        <f t="shared" si="1522"/>
        <v>0</v>
      </c>
      <c r="CFC22">
        <f t="shared" si="1523"/>
        <v>0</v>
      </c>
      <c r="CFD22">
        <f t="shared" si="1524"/>
        <v>0</v>
      </c>
      <c r="CFE22">
        <f t="shared" si="1525"/>
        <v>0</v>
      </c>
      <c r="CFF22">
        <f t="shared" si="1526"/>
        <v>0</v>
      </c>
      <c r="CFG22">
        <f t="shared" si="1527"/>
        <v>0</v>
      </c>
      <c r="CFH22">
        <f t="shared" si="1528"/>
        <v>0</v>
      </c>
      <c r="CFI22">
        <f t="shared" si="1529"/>
        <v>0</v>
      </c>
      <c r="CFJ22">
        <f t="shared" si="1530"/>
        <v>0</v>
      </c>
      <c r="CFK22">
        <f t="shared" si="1531"/>
        <v>0</v>
      </c>
      <c r="CFL22">
        <f t="shared" si="1532"/>
        <v>0</v>
      </c>
      <c r="CFM22">
        <f t="shared" si="1533"/>
        <v>0</v>
      </c>
      <c r="CFN22">
        <f t="shared" si="1534"/>
        <v>0</v>
      </c>
      <c r="CFO22">
        <f t="shared" si="1535"/>
        <v>0</v>
      </c>
      <c r="CFP22">
        <f t="shared" si="1536"/>
        <v>0</v>
      </c>
      <c r="CFQ22">
        <f t="shared" si="1537"/>
        <v>0</v>
      </c>
      <c r="CFR22">
        <f t="shared" si="1538"/>
        <v>0</v>
      </c>
      <c r="CFS22">
        <f t="shared" si="1539"/>
        <v>0</v>
      </c>
      <c r="CFT22">
        <f t="shared" si="1540"/>
        <v>0</v>
      </c>
      <c r="CFU22">
        <f t="shared" si="1541"/>
        <v>0</v>
      </c>
      <c r="CFV22">
        <f t="shared" si="1542"/>
        <v>0</v>
      </c>
      <c r="CFW22">
        <f t="shared" si="1543"/>
        <v>0</v>
      </c>
      <c r="CFX22">
        <f t="shared" si="1544"/>
        <v>0</v>
      </c>
      <c r="CFY22">
        <f t="shared" si="1545"/>
        <v>0</v>
      </c>
      <c r="CFZ22">
        <f t="shared" si="1546"/>
        <v>0</v>
      </c>
      <c r="CGA22">
        <f t="shared" si="1547"/>
        <v>0</v>
      </c>
      <c r="CGB22">
        <f t="shared" si="1548"/>
        <v>0</v>
      </c>
      <c r="CGC22">
        <f t="shared" si="1549"/>
        <v>0</v>
      </c>
      <c r="CGD22">
        <f t="shared" si="1550"/>
        <v>0</v>
      </c>
      <c r="CGE22">
        <f t="shared" si="1551"/>
        <v>0</v>
      </c>
      <c r="CGF22">
        <f t="shared" si="1552"/>
        <v>0</v>
      </c>
      <c r="CGG22">
        <f t="shared" si="1553"/>
        <v>0</v>
      </c>
      <c r="CGH22">
        <f t="shared" si="1554"/>
        <v>0</v>
      </c>
      <c r="CGI22">
        <f t="shared" si="1555"/>
        <v>0</v>
      </c>
      <c r="CGJ22">
        <f t="shared" si="1556"/>
        <v>0</v>
      </c>
      <c r="CGK22">
        <f t="shared" si="1557"/>
        <v>0</v>
      </c>
      <c r="CGL22">
        <f t="shared" si="1558"/>
        <v>0</v>
      </c>
      <c r="CGM22">
        <f t="shared" si="1559"/>
        <v>0</v>
      </c>
      <c r="CGN22">
        <f t="shared" si="1560"/>
        <v>0</v>
      </c>
      <c r="CGO22">
        <f t="shared" si="1561"/>
        <v>0</v>
      </c>
      <c r="CGP22">
        <f t="shared" si="1562"/>
        <v>0</v>
      </c>
      <c r="CGQ22">
        <f t="shared" si="1563"/>
        <v>0</v>
      </c>
      <c r="CGR22">
        <f t="shared" si="1564"/>
        <v>0</v>
      </c>
      <c r="CGS22">
        <f t="shared" si="1565"/>
        <v>0</v>
      </c>
      <c r="CGT22">
        <f t="shared" si="1566"/>
        <v>0</v>
      </c>
      <c r="CGU22">
        <f t="shared" si="1567"/>
        <v>0</v>
      </c>
      <c r="CGV22">
        <f t="shared" si="1568"/>
        <v>0</v>
      </c>
      <c r="CGW22">
        <f t="shared" si="1569"/>
        <v>0</v>
      </c>
      <c r="CGX22">
        <f t="shared" si="1570"/>
        <v>0</v>
      </c>
      <c r="CGY22">
        <f t="shared" si="1571"/>
        <v>0</v>
      </c>
      <c r="CGZ22">
        <f t="shared" si="1572"/>
        <v>0</v>
      </c>
      <c r="CHA22">
        <f t="shared" si="1573"/>
        <v>0</v>
      </c>
      <c r="CHB22">
        <f t="shared" si="1574"/>
        <v>0</v>
      </c>
      <c r="CHC22">
        <f t="shared" si="1575"/>
        <v>0</v>
      </c>
      <c r="CHD22">
        <f t="shared" si="1576"/>
        <v>0</v>
      </c>
      <c r="CHE22">
        <f t="shared" si="1577"/>
        <v>0</v>
      </c>
      <c r="CHF22">
        <f t="shared" si="57"/>
        <v>0</v>
      </c>
      <c r="CHG22">
        <f t="shared" si="1578"/>
        <v>0</v>
      </c>
      <c r="CHH22">
        <f t="shared" si="1579"/>
        <v>0</v>
      </c>
      <c r="CHI22">
        <f t="shared" si="1580"/>
        <v>0</v>
      </c>
      <c r="CHJ22">
        <f t="shared" si="1581"/>
        <v>0</v>
      </c>
      <c r="CHK22">
        <f t="shared" si="1582"/>
        <v>0</v>
      </c>
      <c r="CHL22">
        <f t="shared" si="1583"/>
        <v>0</v>
      </c>
      <c r="CHM22">
        <f t="shared" si="1584"/>
        <v>0</v>
      </c>
      <c r="CHN22">
        <f t="shared" si="1585"/>
        <v>0</v>
      </c>
      <c r="CHO22">
        <f t="shared" si="1586"/>
        <v>0</v>
      </c>
      <c r="CHP22">
        <f t="shared" si="1587"/>
        <v>0</v>
      </c>
      <c r="CHQ22">
        <f t="shared" si="1588"/>
        <v>0</v>
      </c>
      <c r="CHR22">
        <f t="shared" si="1589"/>
        <v>0</v>
      </c>
      <c r="CHS22">
        <f t="shared" si="1590"/>
        <v>0</v>
      </c>
      <c r="CHT22">
        <f t="shared" si="1591"/>
        <v>0</v>
      </c>
      <c r="CHU22">
        <f t="shared" si="1592"/>
        <v>0</v>
      </c>
      <c r="CHV22">
        <f t="shared" si="1593"/>
        <v>0</v>
      </c>
      <c r="CHW22">
        <f t="shared" si="1594"/>
        <v>0</v>
      </c>
      <c r="CHX22">
        <f t="shared" si="1595"/>
        <v>0</v>
      </c>
      <c r="CHY22">
        <f t="shared" si="1596"/>
        <v>0</v>
      </c>
      <c r="CHZ22">
        <f t="shared" si="1597"/>
        <v>0</v>
      </c>
      <c r="CIA22">
        <f t="shared" si="1598"/>
        <v>0</v>
      </c>
      <c r="CIB22">
        <f t="shared" si="1599"/>
        <v>0</v>
      </c>
      <c r="CIC22">
        <f t="shared" si="1600"/>
        <v>0</v>
      </c>
      <c r="CID22">
        <f t="shared" si="1601"/>
        <v>0</v>
      </c>
      <c r="CIE22">
        <f t="shared" si="1602"/>
        <v>0</v>
      </c>
      <c r="CIF22">
        <f t="shared" si="1603"/>
        <v>0</v>
      </c>
      <c r="CIG22">
        <f t="shared" si="1604"/>
        <v>0</v>
      </c>
      <c r="CIH22">
        <f t="shared" si="1605"/>
        <v>0</v>
      </c>
      <c r="CII22">
        <f t="shared" si="1606"/>
        <v>0</v>
      </c>
      <c r="CIJ22">
        <f t="shared" si="1607"/>
        <v>0</v>
      </c>
      <c r="CIK22">
        <f t="shared" si="1608"/>
        <v>0</v>
      </c>
      <c r="CIL22">
        <f t="shared" si="1609"/>
        <v>0</v>
      </c>
      <c r="CIM22">
        <f t="shared" si="1610"/>
        <v>0</v>
      </c>
      <c r="CIN22">
        <f t="shared" si="1611"/>
        <v>0</v>
      </c>
      <c r="CIO22">
        <f t="shared" si="1612"/>
        <v>0</v>
      </c>
      <c r="CIP22">
        <f t="shared" si="1613"/>
        <v>0</v>
      </c>
      <c r="CIQ22">
        <f t="shared" si="1614"/>
        <v>0</v>
      </c>
      <c r="CIR22">
        <f t="shared" si="1615"/>
        <v>0</v>
      </c>
      <c r="CIS22">
        <f t="shared" si="1616"/>
        <v>0</v>
      </c>
      <c r="CIT22">
        <f t="shared" si="1617"/>
        <v>0</v>
      </c>
      <c r="CIU22">
        <f t="shared" si="1618"/>
        <v>0</v>
      </c>
      <c r="CIV22">
        <f t="shared" si="1619"/>
        <v>0</v>
      </c>
      <c r="CIW22">
        <f t="shared" si="1620"/>
        <v>0</v>
      </c>
      <c r="CIX22">
        <f t="shared" si="1621"/>
        <v>0</v>
      </c>
      <c r="CIY22">
        <f t="shared" si="1622"/>
        <v>0</v>
      </c>
      <c r="CIZ22">
        <f t="shared" si="1623"/>
        <v>0</v>
      </c>
      <c r="CJA22">
        <f t="shared" si="1624"/>
        <v>0</v>
      </c>
      <c r="CJB22">
        <f t="shared" si="1625"/>
        <v>0</v>
      </c>
      <c r="CJC22">
        <f t="shared" si="1626"/>
        <v>0</v>
      </c>
      <c r="CJD22">
        <f t="shared" si="1627"/>
        <v>0</v>
      </c>
      <c r="CJE22">
        <f t="shared" si="1628"/>
        <v>0</v>
      </c>
      <c r="CJF22">
        <f t="shared" si="1629"/>
        <v>0</v>
      </c>
      <c r="CJG22">
        <f t="shared" si="1630"/>
        <v>0</v>
      </c>
      <c r="CJH22">
        <f t="shared" si="1631"/>
        <v>0</v>
      </c>
      <c r="CJI22">
        <f t="shared" si="1632"/>
        <v>0</v>
      </c>
      <c r="CJJ22">
        <f t="shared" si="1633"/>
        <v>0</v>
      </c>
      <c r="CJK22">
        <f t="shared" si="1634"/>
        <v>0</v>
      </c>
      <c r="CJL22">
        <f t="shared" si="1635"/>
        <v>0</v>
      </c>
      <c r="CJM22">
        <f t="shared" si="1636"/>
        <v>0</v>
      </c>
      <c r="CJN22">
        <f t="shared" si="1637"/>
        <v>0</v>
      </c>
      <c r="CJO22">
        <f t="shared" si="1638"/>
        <v>0</v>
      </c>
      <c r="CJP22">
        <f t="shared" si="1639"/>
        <v>0</v>
      </c>
      <c r="CJQ22">
        <f t="shared" si="1640"/>
        <v>0</v>
      </c>
      <c r="CJR22">
        <f t="shared" si="58"/>
        <v>0</v>
      </c>
      <c r="CJS22">
        <f t="shared" si="1641"/>
        <v>0</v>
      </c>
      <c r="CJT22">
        <f t="shared" si="1642"/>
        <v>0</v>
      </c>
      <c r="CJU22">
        <f t="shared" si="1643"/>
        <v>0</v>
      </c>
      <c r="CJV22">
        <f t="shared" si="1644"/>
        <v>0</v>
      </c>
      <c r="CJW22">
        <f t="shared" si="1645"/>
        <v>0</v>
      </c>
      <c r="CJX22">
        <f t="shared" si="1646"/>
        <v>0</v>
      </c>
      <c r="CJY22">
        <f t="shared" si="1647"/>
        <v>0</v>
      </c>
      <c r="CJZ22">
        <f t="shared" si="1648"/>
        <v>0</v>
      </c>
      <c r="CKA22">
        <f t="shared" si="1649"/>
        <v>0</v>
      </c>
      <c r="CKB22">
        <f t="shared" si="1650"/>
        <v>0</v>
      </c>
      <c r="CKC22">
        <f t="shared" si="1651"/>
        <v>0</v>
      </c>
      <c r="CKD22">
        <f t="shared" si="1652"/>
        <v>0</v>
      </c>
      <c r="CKE22">
        <f t="shared" si="1653"/>
        <v>0</v>
      </c>
      <c r="CKF22">
        <f t="shared" si="1654"/>
        <v>0</v>
      </c>
      <c r="CKG22">
        <f t="shared" si="1655"/>
        <v>0</v>
      </c>
      <c r="CKH22">
        <f t="shared" si="1656"/>
        <v>0</v>
      </c>
      <c r="CKI22">
        <f t="shared" si="1657"/>
        <v>0</v>
      </c>
      <c r="CKJ22">
        <f t="shared" si="1658"/>
        <v>0</v>
      </c>
      <c r="CKK22">
        <f t="shared" si="1659"/>
        <v>0</v>
      </c>
      <c r="CKL22">
        <f t="shared" si="1660"/>
        <v>0</v>
      </c>
      <c r="CKM22">
        <f t="shared" si="1661"/>
        <v>0</v>
      </c>
      <c r="CKN22">
        <f t="shared" si="1662"/>
        <v>0</v>
      </c>
      <c r="CKO22">
        <f t="shared" si="1663"/>
        <v>0</v>
      </c>
      <c r="CKP22">
        <f t="shared" si="1664"/>
        <v>0</v>
      </c>
      <c r="CKQ22">
        <f t="shared" si="1665"/>
        <v>0</v>
      </c>
      <c r="CKR22">
        <f t="shared" si="1666"/>
        <v>0</v>
      </c>
      <c r="CKS22">
        <f t="shared" si="1667"/>
        <v>0</v>
      </c>
      <c r="CKT22">
        <f t="shared" si="1668"/>
        <v>0</v>
      </c>
      <c r="CKU22">
        <f t="shared" si="1669"/>
        <v>0</v>
      </c>
      <c r="CKV22">
        <f t="shared" si="1670"/>
        <v>0</v>
      </c>
      <c r="CKW22">
        <f t="shared" si="1671"/>
        <v>0</v>
      </c>
      <c r="CKX22">
        <f t="shared" si="1672"/>
        <v>0</v>
      </c>
      <c r="CKY22">
        <f t="shared" si="1673"/>
        <v>0</v>
      </c>
      <c r="CKZ22">
        <f t="shared" si="1674"/>
        <v>0</v>
      </c>
      <c r="CLA22">
        <f t="shared" si="1675"/>
        <v>0</v>
      </c>
      <c r="CLB22">
        <f t="shared" si="1676"/>
        <v>0</v>
      </c>
      <c r="CLC22">
        <f t="shared" si="1677"/>
        <v>0</v>
      </c>
      <c r="CLD22">
        <f t="shared" si="1678"/>
        <v>0</v>
      </c>
      <c r="CLE22">
        <f t="shared" si="1679"/>
        <v>0</v>
      </c>
      <c r="CLF22">
        <f t="shared" si="1680"/>
        <v>0</v>
      </c>
      <c r="CLG22">
        <f t="shared" si="1681"/>
        <v>0</v>
      </c>
      <c r="CLH22">
        <f t="shared" si="1682"/>
        <v>0</v>
      </c>
      <c r="CLI22">
        <f t="shared" si="1683"/>
        <v>0</v>
      </c>
      <c r="CLJ22">
        <f t="shared" si="1684"/>
        <v>0</v>
      </c>
      <c r="CLK22">
        <f t="shared" si="1685"/>
        <v>0</v>
      </c>
      <c r="CLL22">
        <f t="shared" si="1686"/>
        <v>0</v>
      </c>
      <c r="CLM22">
        <f t="shared" si="1687"/>
        <v>0</v>
      </c>
      <c r="CLN22">
        <f t="shared" si="1688"/>
        <v>0</v>
      </c>
      <c r="CLO22">
        <f t="shared" si="1689"/>
        <v>0</v>
      </c>
      <c r="CLP22">
        <f t="shared" si="1690"/>
        <v>0</v>
      </c>
      <c r="CLQ22">
        <f t="shared" si="1691"/>
        <v>0</v>
      </c>
      <c r="CLR22">
        <f t="shared" si="1692"/>
        <v>0</v>
      </c>
      <c r="CLS22">
        <f t="shared" si="1693"/>
        <v>0</v>
      </c>
      <c r="CLT22">
        <f t="shared" si="1694"/>
        <v>0</v>
      </c>
      <c r="CLU22">
        <f t="shared" si="1695"/>
        <v>0</v>
      </c>
      <c r="CLV22">
        <f t="shared" si="1696"/>
        <v>0</v>
      </c>
      <c r="CLW22">
        <f t="shared" si="1697"/>
        <v>0</v>
      </c>
      <c r="CLX22">
        <f t="shared" si="1698"/>
        <v>0</v>
      </c>
      <c r="CLY22">
        <f t="shared" si="1699"/>
        <v>0</v>
      </c>
      <c r="CLZ22">
        <f t="shared" si="1700"/>
        <v>0</v>
      </c>
      <c r="CMA22">
        <f t="shared" si="1701"/>
        <v>0</v>
      </c>
      <c r="CMB22">
        <f t="shared" si="1702"/>
        <v>0</v>
      </c>
      <c r="CMC22">
        <f t="shared" si="1703"/>
        <v>0</v>
      </c>
      <c r="CMD22">
        <f t="shared" si="59"/>
        <v>0</v>
      </c>
      <c r="CME22">
        <f t="shared" si="1704"/>
        <v>0</v>
      </c>
      <c r="CMF22">
        <f t="shared" si="1705"/>
        <v>0</v>
      </c>
      <c r="CMG22">
        <f t="shared" si="1706"/>
        <v>0</v>
      </c>
      <c r="CMH22">
        <f t="shared" si="1707"/>
        <v>0</v>
      </c>
      <c r="CMI22">
        <f t="shared" si="1708"/>
        <v>0</v>
      </c>
      <c r="CMJ22">
        <f t="shared" si="1709"/>
        <v>0</v>
      </c>
      <c r="CMK22">
        <f t="shared" si="1710"/>
        <v>0</v>
      </c>
      <c r="CML22">
        <f t="shared" si="1711"/>
        <v>0</v>
      </c>
      <c r="CMM22">
        <f t="shared" si="1712"/>
        <v>0</v>
      </c>
      <c r="CMN22">
        <f t="shared" si="1713"/>
        <v>0</v>
      </c>
      <c r="CMO22">
        <f t="shared" si="1714"/>
        <v>0</v>
      </c>
      <c r="CMP22">
        <f t="shared" si="1715"/>
        <v>0</v>
      </c>
      <c r="CMQ22">
        <f t="shared" si="1716"/>
        <v>0</v>
      </c>
      <c r="CMR22">
        <f t="shared" si="1717"/>
        <v>0</v>
      </c>
      <c r="CMS22">
        <f t="shared" si="1718"/>
        <v>0</v>
      </c>
      <c r="CMT22">
        <f t="shared" si="1719"/>
        <v>0</v>
      </c>
      <c r="CMU22">
        <f t="shared" si="1720"/>
        <v>0</v>
      </c>
      <c r="CMV22">
        <f t="shared" si="1721"/>
        <v>0</v>
      </c>
      <c r="CMW22">
        <f t="shared" si="1722"/>
        <v>0</v>
      </c>
      <c r="CMX22">
        <f t="shared" si="1723"/>
        <v>0</v>
      </c>
      <c r="CMY22">
        <f t="shared" si="1724"/>
        <v>0</v>
      </c>
      <c r="CMZ22">
        <f t="shared" si="1725"/>
        <v>0</v>
      </c>
      <c r="CNA22">
        <f t="shared" si="1726"/>
        <v>0</v>
      </c>
      <c r="CNB22">
        <f t="shared" si="1727"/>
        <v>0</v>
      </c>
      <c r="CNC22">
        <f t="shared" si="1728"/>
        <v>0</v>
      </c>
      <c r="CND22">
        <f t="shared" si="1729"/>
        <v>0</v>
      </c>
      <c r="CNE22">
        <f t="shared" si="1730"/>
        <v>0</v>
      </c>
      <c r="CNF22">
        <f t="shared" si="1731"/>
        <v>0</v>
      </c>
      <c r="CNG22">
        <f t="shared" si="1732"/>
        <v>0</v>
      </c>
      <c r="CNH22">
        <f t="shared" si="1733"/>
        <v>0</v>
      </c>
      <c r="CNI22">
        <f t="shared" si="1734"/>
        <v>0</v>
      </c>
      <c r="CNJ22">
        <f t="shared" si="1735"/>
        <v>0</v>
      </c>
      <c r="CNK22">
        <f t="shared" si="1736"/>
        <v>0</v>
      </c>
      <c r="CNL22">
        <f t="shared" si="1737"/>
        <v>0</v>
      </c>
      <c r="CNM22">
        <f t="shared" si="1738"/>
        <v>0</v>
      </c>
      <c r="CNN22">
        <f t="shared" si="1739"/>
        <v>0</v>
      </c>
      <c r="CNO22">
        <f t="shared" si="1740"/>
        <v>0</v>
      </c>
      <c r="CNP22">
        <f t="shared" si="1741"/>
        <v>0</v>
      </c>
      <c r="CNQ22">
        <f t="shared" si="1742"/>
        <v>0</v>
      </c>
      <c r="CNR22">
        <f t="shared" si="1743"/>
        <v>0</v>
      </c>
      <c r="CNS22">
        <f t="shared" si="1744"/>
        <v>0</v>
      </c>
      <c r="CNT22">
        <f t="shared" si="1745"/>
        <v>0</v>
      </c>
      <c r="CNU22">
        <f t="shared" si="1746"/>
        <v>0</v>
      </c>
      <c r="CNV22">
        <f t="shared" si="1747"/>
        <v>0</v>
      </c>
      <c r="CNW22">
        <f t="shared" si="1748"/>
        <v>0</v>
      </c>
      <c r="CNX22">
        <f t="shared" si="1749"/>
        <v>0</v>
      </c>
      <c r="CNY22">
        <f t="shared" si="1750"/>
        <v>0</v>
      </c>
      <c r="CNZ22">
        <f t="shared" si="1751"/>
        <v>0</v>
      </c>
      <c r="COA22">
        <f t="shared" si="1752"/>
        <v>0</v>
      </c>
      <c r="COB22">
        <f t="shared" si="1753"/>
        <v>0</v>
      </c>
      <c r="COC22">
        <f t="shared" si="1754"/>
        <v>0</v>
      </c>
      <c r="COD22">
        <f t="shared" si="1755"/>
        <v>0</v>
      </c>
      <c r="COE22">
        <f t="shared" si="1756"/>
        <v>0</v>
      </c>
      <c r="COF22">
        <f t="shared" si="1757"/>
        <v>0</v>
      </c>
      <c r="COG22">
        <f t="shared" si="1758"/>
        <v>0</v>
      </c>
      <c r="COH22">
        <f t="shared" si="1759"/>
        <v>0</v>
      </c>
      <c r="COI22">
        <f t="shared" si="1760"/>
        <v>0</v>
      </c>
      <c r="COJ22">
        <f t="shared" si="1761"/>
        <v>0</v>
      </c>
      <c r="COK22">
        <f t="shared" si="1762"/>
        <v>0</v>
      </c>
      <c r="COL22">
        <f t="shared" si="1763"/>
        <v>0</v>
      </c>
      <c r="COM22">
        <f t="shared" si="1764"/>
        <v>0</v>
      </c>
      <c r="CON22">
        <f t="shared" si="1765"/>
        <v>0</v>
      </c>
      <c r="COO22">
        <f t="shared" si="1766"/>
        <v>0</v>
      </c>
      <c r="COP22">
        <f t="shared" si="60"/>
        <v>0</v>
      </c>
      <c r="COQ22">
        <f t="shared" si="1767"/>
        <v>0</v>
      </c>
      <c r="COR22">
        <f t="shared" si="1768"/>
        <v>0</v>
      </c>
      <c r="COS22">
        <f t="shared" si="1769"/>
        <v>0</v>
      </c>
      <c r="COT22">
        <f t="shared" si="1770"/>
        <v>0</v>
      </c>
      <c r="COU22">
        <f t="shared" si="1771"/>
        <v>0</v>
      </c>
      <c r="COV22">
        <f t="shared" si="1772"/>
        <v>0</v>
      </c>
      <c r="COW22">
        <f t="shared" si="1773"/>
        <v>0</v>
      </c>
      <c r="COX22">
        <f t="shared" si="1774"/>
        <v>0</v>
      </c>
      <c r="COY22">
        <f t="shared" si="1775"/>
        <v>0</v>
      </c>
      <c r="COZ22">
        <f t="shared" si="1776"/>
        <v>0</v>
      </c>
      <c r="CPA22">
        <f t="shared" si="1777"/>
        <v>0</v>
      </c>
      <c r="CPB22">
        <f t="shared" si="1778"/>
        <v>0</v>
      </c>
      <c r="CPC22">
        <f t="shared" si="1779"/>
        <v>0</v>
      </c>
      <c r="CPD22">
        <f t="shared" si="1780"/>
        <v>0</v>
      </c>
      <c r="CPE22">
        <f t="shared" si="1781"/>
        <v>0</v>
      </c>
      <c r="CPF22">
        <f t="shared" si="1782"/>
        <v>0</v>
      </c>
      <c r="CPG22">
        <f t="shared" si="1783"/>
        <v>0</v>
      </c>
      <c r="CPH22">
        <f t="shared" si="1784"/>
        <v>0</v>
      </c>
      <c r="CPI22">
        <f t="shared" si="1785"/>
        <v>0</v>
      </c>
      <c r="CPJ22">
        <f t="shared" si="1786"/>
        <v>0</v>
      </c>
      <c r="CPK22">
        <f t="shared" si="1787"/>
        <v>0</v>
      </c>
      <c r="CPL22">
        <f t="shared" si="1788"/>
        <v>0</v>
      </c>
      <c r="CPM22">
        <f t="shared" si="1789"/>
        <v>0</v>
      </c>
      <c r="CPN22">
        <f t="shared" si="1790"/>
        <v>0</v>
      </c>
      <c r="CPO22">
        <f t="shared" si="1791"/>
        <v>0</v>
      </c>
      <c r="CPP22">
        <f t="shared" si="1792"/>
        <v>0</v>
      </c>
      <c r="CPQ22">
        <f t="shared" si="1793"/>
        <v>0</v>
      </c>
      <c r="CPR22">
        <f t="shared" si="1794"/>
        <v>0</v>
      </c>
      <c r="CPS22">
        <f t="shared" si="1795"/>
        <v>0</v>
      </c>
      <c r="CPT22">
        <f t="shared" si="1796"/>
        <v>0</v>
      </c>
      <c r="CPU22">
        <f t="shared" si="1797"/>
        <v>0</v>
      </c>
      <c r="CPV22">
        <f t="shared" si="1798"/>
        <v>0</v>
      </c>
      <c r="CPW22">
        <f t="shared" si="1799"/>
        <v>0</v>
      </c>
      <c r="CPX22">
        <f t="shared" si="1800"/>
        <v>0</v>
      </c>
      <c r="CPY22">
        <f t="shared" si="1801"/>
        <v>0</v>
      </c>
      <c r="CPZ22">
        <f t="shared" si="1802"/>
        <v>0</v>
      </c>
      <c r="CQA22">
        <f t="shared" si="1803"/>
        <v>0</v>
      </c>
      <c r="CQB22">
        <f t="shared" si="1804"/>
        <v>0</v>
      </c>
      <c r="CQC22">
        <f t="shared" si="1805"/>
        <v>0</v>
      </c>
      <c r="CQD22">
        <f t="shared" si="1806"/>
        <v>0</v>
      </c>
      <c r="CQE22">
        <f t="shared" si="1807"/>
        <v>0</v>
      </c>
      <c r="CQF22">
        <f t="shared" si="1808"/>
        <v>0</v>
      </c>
      <c r="CQG22">
        <f t="shared" si="1809"/>
        <v>0</v>
      </c>
      <c r="CQH22">
        <f t="shared" si="1810"/>
        <v>0</v>
      </c>
      <c r="CQI22">
        <f t="shared" si="1811"/>
        <v>0</v>
      </c>
      <c r="CQJ22">
        <f t="shared" si="1812"/>
        <v>0</v>
      </c>
      <c r="CQK22">
        <f t="shared" si="1813"/>
        <v>0</v>
      </c>
      <c r="CQL22">
        <f t="shared" si="1814"/>
        <v>0</v>
      </c>
      <c r="CQM22">
        <f t="shared" si="1815"/>
        <v>0</v>
      </c>
      <c r="CQN22">
        <f t="shared" si="1816"/>
        <v>0</v>
      </c>
      <c r="CQO22">
        <f t="shared" si="1817"/>
        <v>0</v>
      </c>
      <c r="CQP22">
        <f t="shared" si="1818"/>
        <v>0</v>
      </c>
      <c r="CQQ22">
        <f t="shared" si="1819"/>
        <v>0</v>
      </c>
      <c r="CQR22">
        <f t="shared" si="1820"/>
        <v>0</v>
      </c>
      <c r="CQS22">
        <f t="shared" si="1821"/>
        <v>0</v>
      </c>
      <c r="CQT22">
        <f t="shared" si="1822"/>
        <v>0</v>
      </c>
      <c r="CQU22">
        <f t="shared" si="1823"/>
        <v>0</v>
      </c>
      <c r="CQV22">
        <f t="shared" si="1824"/>
        <v>0</v>
      </c>
      <c r="CQW22">
        <f t="shared" si="1825"/>
        <v>0</v>
      </c>
      <c r="CQX22">
        <f t="shared" si="1826"/>
        <v>0</v>
      </c>
      <c r="CQY22">
        <f t="shared" si="1827"/>
        <v>0</v>
      </c>
      <c r="CQZ22">
        <f t="shared" si="1828"/>
        <v>0</v>
      </c>
      <c r="CRA22">
        <f t="shared" si="1829"/>
        <v>0</v>
      </c>
      <c r="CRB22">
        <f t="shared" si="61"/>
        <v>0</v>
      </c>
      <c r="CRC22">
        <f t="shared" si="1830"/>
        <v>0</v>
      </c>
      <c r="CRD22">
        <f t="shared" si="1831"/>
        <v>0</v>
      </c>
      <c r="CRE22">
        <f t="shared" si="1832"/>
        <v>0</v>
      </c>
      <c r="CRF22">
        <f t="shared" si="1833"/>
        <v>0</v>
      </c>
      <c r="CRG22">
        <f t="shared" si="1834"/>
        <v>0</v>
      </c>
      <c r="CRH22">
        <f t="shared" si="1835"/>
        <v>0</v>
      </c>
      <c r="CRI22">
        <f t="shared" si="1836"/>
        <v>0</v>
      </c>
      <c r="CRJ22">
        <f t="shared" si="1837"/>
        <v>0</v>
      </c>
      <c r="CRK22">
        <f t="shared" si="1838"/>
        <v>0</v>
      </c>
      <c r="CRL22">
        <f t="shared" si="1839"/>
        <v>0</v>
      </c>
      <c r="CRM22">
        <f t="shared" si="1840"/>
        <v>0</v>
      </c>
      <c r="CRN22">
        <f t="shared" si="1841"/>
        <v>0</v>
      </c>
      <c r="CRO22">
        <f t="shared" si="1842"/>
        <v>0</v>
      </c>
      <c r="CRP22">
        <f t="shared" si="1843"/>
        <v>0</v>
      </c>
      <c r="CRQ22">
        <f t="shared" si="1844"/>
        <v>0</v>
      </c>
      <c r="CRR22">
        <f t="shared" si="1845"/>
        <v>0</v>
      </c>
      <c r="CRS22">
        <f t="shared" si="1846"/>
        <v>0</v>
      </c>
      <c r="CRT22">
        <f t="shared" si="1847"/>
        <v>0</v>
      </c>
      <c r="CRU22">
        <f t="shared" si="1848"/>
        <v>0</v>
      </c>
      <c r="CRV22">
        <f t="shared" si="1849"/>
        <v>0</v>
      </c>
      <c r="CRW22">
        <f t="shared" si="1850"/>
        <v>0</v>
      </c>
      <c r="CRX22">
        <f t="shared" si="1851"/>
        <v>0</v>
      </c>
      <c r="CRY22">
        <f t="shared" si="1852"/>
        <v>0</v>
      </c>
      <c r="CRZ22">
        <f t="shared" si="1853"/>
        <v>0</v>
      </c>
      <c r="CSA22">
        <f t="shared" si="1854"/>
        <v>0</v>
      </c>
      <c r="CSB22">
        <f t="shared" si="1855"/>
        <v>0</v>
      </c>
      <c r="CSC22">
        <f t="shared" si="1856"/>
        <v>0</v>
      </c>
      <c r="CSD22">
        <f t="shared" si="1857"/>
        <v>0</v>
      </c>
      <c r="CSE22">
        <f t="shared" si="1858"/>
        <v>0</v>
      </c>
      <c r="CSF22">
        <f t="shared" si="1859"/>
        <v>0</v>
      </c>
      <c r="CSG22">
        <f t="shared" si="1860"/>
        <v>0</v>
      </c>
      <c r="CSH22">
        <f t="shared" si="1861"/>
        <v>0</v>
      </c>
      <c r="CSI22">
        <f t="shared" si="1862"/>
        <v>0</v>
      </c>
      <c r="CSJ22">
        <f t="shared" si="1863"/>
        <v>0</v>
      </c>
      <c r="CSK22">
        <f t="shared" si="1864"/>
        <v>0</v>
      </c>
      <c r="CSL22">
        <f t="shared" si="1865"/>
        <v>0</v>
      </c>
      <c r="CSM22">
        <f t="shared" si="1866"/>
        <v>0</v>
      </c>
      <c r="CSN22">
        <f t="shared" si="1867"/>
        <v>0</v>
      </c>
      <c r="CSO22">
        <f t="shared" si="1868"/>
        <v>0</v>
      </c>
      <c r="CSP22">
        <f t="shared" si="1869"/>
        <v>0</v>
      </c>
      <c r="CSQ22">
        <f t="shared" si="1870"/>
        <v>0</v>
      </c>
      <c r="CSR22">
        <f t="shared" si="1871"/>
        <v>0</v>
      </c>
      <c r="CSS22">
        <f t="shared" si="1872"/>
        <v>0</v>
      </c>
      <c r="CST22">
        <f t="shared" si="1873"/>
        <v>0</v>
      </c>
      <c r="CSU22">
        <f t="shared" si="1874"/>
        <v>0</v>
      </c>
      <c r="CSV22">
        <f t="shared" si="1875"/>
        <v>0</v>
      </c>
      <c r="CSW22">
        <f t="shared" si="1876"/>
        <v>0</v>
      </c>
      <c r="CSX22">
        <f t="shared" si="1877"/>
        <v>0</v>
      </c>
      <c r="CSY22">
        <f t="shared" si="1878"/>
        <v>0</v>
      </c>
      <c r="CSZ22">
        <f t="shared" si="1879"/>
        <v>0</v>
      </c>
      <c r="CTA22">
        <f t="shared" si="1880"/>
        <v>0</v>
      </c>
      <c r="CTB22">
        <f t="shared" si="1881"/>
        <v>0</v>
      </c>
      <c r="CTC22">
        <f t="shared" si="1882"/>
        <v>0</v>
      </c>
      <c r="CTD22">
        <f t="shared" si="1883"/>
        <v>0</v>
      </c>
      <c r="CTE22">
        <f t="shared" si="1884"/>
        <v>0</v>
      </c>
      <c r="CTF22">
        <f t="shared" si="1885"/>
        <v>0</v>
      </c>
      <c r="CTG22">
        <f t="shared" si="1886"/>
        <v>0</v>
      </c>
      <c r="CTH22">
        <f t="shared" si="1887"/>
        <v>0</v>
      </c>
      <c r="CTI22">
        <f t="shared" si="1888"/>
        <v>0</v>
      </c>
      <c r="CTJ22">
        <f t="shared" si="1889"/>
        <v>0</v>
      </c>
      <c r="CTK22">
        <f t="shared" si="1890"/>
        <v>0</v>
      </c>
      <c r="CTL22">
        <f t="shared" si="1891"/>
        <v>0</v>
      </c>
      <c r="CTM22">
        <f t="shared" si="1892"/>
        <v>0</v>
      </c>
      <c r="CTN22">
        <f t="shared" si="62"/>
        <v>0</v>
      </c>
      <c r="CTO22">
        <f t="shared" si="1893"/>
        <v>0</v>
      </c>
      <c r="CTP22">
        <f t="shared" si="1894"/>
        <v>0</v>
      </c>
      <c r="CTQ22">
        <f t="shared" si="1895"/>
        <v>0</v>
      </c>
      <c r="CTR22">
        <f t="shared" si="1896"/>
        <v>0</v>
      </c>
      <c r="CTS22">
        <f t="shared" si="1897"/>
        <v>0</v>
      </c>
      <c r="CTT22">
        <f t="shared" si="1898"/>
        <v>0</v>
      </c>
      <c r="CTU22">
        <f t="shared" si="1899"/>
        <v>0</v>
      </c>
      <c r="CTV22">
        <f t="shared" si="1900"/>
        <v>0</v>
      </c>
      <c r="CTW22">
        <f t="shared" si="1901"/>
        <v>0</v>
      </c>
      <c r="CTX22">
        <f t="shared" si="1902"/>
        <v>0</v>
      </c>
      <c r="CTY22">
        <f t="shared" si="1903"/>
        <v>0</v>
      </c>
      <c r="CTZ22">
        <f t="shared" si="1904"/>
        <v>0</v>
      </c>
      <c r="CUA22">
        <f t="shared" si="1905"/>
        <v>0</v>
      </c>
      <c r="CUB22">
        <f t="shared" si="1906"/>
        <v>0</v>
      </c>
      <c r="CUC22">
        <f t="shared" si="1907"/>
        <v>0</v>
      </c>
      <c r="CUD22">
        <f t="shared" si="1908"/>
        <v>0</v>
      </c>
      <c r="CUE22">
        <f t="shared" si="1909"/>
        <v>0</v>
      </c>
      <c r="CUF22">
        <f t="shared" si="1910"/>
        <v>0</v>
      </c>
      <c r="CUG22">
        <f t="shared" si="1911"/>
        <v>0</v>
      </c>
      <c r="CUH22">
        <f t="shared" si="1912"/>
        <v>0</v>
      </c>
      <c r="CUI22">
        <f t="shared" si="1913"/>
        <v>0</v>
      </c>
      <c r="CUJ22">
        <f t="shared" si="1914"/>
        <v>0</v>
      </c>
      <c r="CUK22">
        <f t="shared" si="1915"/>
        <v>0</v>
      </c>
      <c r="CUL22">
        <f t="shared" si="1916"/>
        <v>0</v>
      </c>
      <c r="CUM22">
        <f t="shared" si="1917"/>
        <v>0</v>
      </c>
      <c r="CUN22">
        <f t="shared" si="1918"/>
        <v>0</v>
      </c>
      <c r="CUO22">
        <f t="shared" si="1919"/>
        <v>0</v>
      </c>
      <c r="CUP22">
        <f t="shared" si="1920"/>
        <v>0</v>
      </c>
      <c r="CUQ22">
        <f t="shared" si="1921"/>
        <v>0</v>
      </c>
      <c r="CUR22">
        <f t="shared" si="1922"/>
        <v>0</v>
      </c>
      <c r="CUS22">
        <f t="shared" si="1923"/>
        <v>0</v>
      </c>
      <c r="CUT22">
        <f t="shared" si="1924"/>
        <v>0</v>
      </c>
      <c r="CUU22">
        <f t="shared" si="1925"/>
        <v>0</v>
      </c>
      <c r="CUV22">
        <f t="shared" si="1926"/>
        <v>0</v>
      </c>
      <c r="CUW22">
        <f t="shared" si="1927"/>
        <v>0</v>
      </c>
      <c r="CUX22">
        <f t="shared" si="1928"/>
        <v>0</v>
      </c>
      <c r="CUY22">
        <f t="shared" si="1929"/>
        <v>0</v>
      </c>
      <c r="CUZ22">
        <f t="shared" si="1930"/>
        <v>0</v>
      </c>
      <c r="CVA22">
        <f t="shared" si="1931"/>
        <v>0</v>
      </c>
      <c r="CVB22">
        <f t="shared" si="1932"/>
        <v>0</v>
      </c>
      <c r="CVC22">
        <f t="shared" si="1933"/>
        <v>0</v>
      </c>
      <c r="CVD22">
        <f t="shared" si="1934"/>
        <v>0</v>
      </c>
      <c r="CVE22">
        <f t="shared" si="1935"/>
        <v>0</v>
      </c>
      <c r="CVF22">
        <f t="shared" si="1936"/>
        <v>0</v>
      </c>
      <c r="CVG22">
        <f t="shared" si="1937"/>
        <v>0</v>
      </c>
      <c r="CVH22">
        <f t="shared" si="1938"/>
        <v>0</v>
      </c>
      <c r="CVI22">
        <f t="shared" si="1939"/>
        <v>0</v>
      </c>
      <c r="CVJ22">
        <f t="shared" si="1940"/>
        <v>0</v>
      </c>
      <c r="CVK22">
        <f t="shared" si="1941"/>
        <v>0</v>
      </c>
      <c r="CVL22">
        <f t="shared" si="1942"/>
        <v>0</v>
      </c>
      <c r="CVM22">
        <f t="shared" si="1943"/>
        <v>0</v>
      </c>
      <c r="CVN22">
        <f t="shared" si="1944"/>
        <v>0</v>
      </c>
      <c r="CVO22">
        <f t="shared" si="1945"/>
        <v>0</v>
      </c>
      <c r="CVP22">
        <f t="shared" si="1946"/>
        <v>0</v>
      </c>
      <c r="CVQ22">
        <f t="shared" si="1947"/>
        <v>0</v>
      </c>
      <c r="CVR22">
        <f t="shared" si="1948"/>
        <v>0</v>
      </c>
      <c r="CVS22">
        <f t="shared" si="1949"/>
        <v>0</v>
      </c>
      <c r="CVT22">
        <f t="shared" si="1950"/>
        <v>0</v>
      </c>
      <c r="CVU22">
        <f t="shared" si="1951"/>
        <v>0</v>
      </c>
      <c r="CVV22">
        <f t="shared" si="1952"/>
        <v>0</v>
      </c>
      <c r="CVW22">
        <f t="shared" si="1953"/>
        <v>0</v>
      </c>
      <c r="CVX22">
        <f t="shared" si="1954"/>
        <v>0</v>
      </c>
      <c r="CVY22">
        <f t="shared" si="1955"/>
        <v>0</v>
      </c>
      <c r="CVZ22">
        <f t="shared" si="63"/>
        <v>0</v>
      </c>
      <c r="CWA22">
        <f t="shared" si="1956"/>
        <v>0</v>
      </c>
      <c r="CWB22">
        <f t="shared" si="1957"/>
        <v>0</v>
      </c>
      <c r="CWC22">
        <f t="shared" si="1958"/>
        <v>0</v>
      </c>
      <c r="CWD22">
        <f t="shared" si="1959"/>
        <v>0</v>
      </c>
      <c r="CWE22">
        <f t="shared" si="1960"/>
        <v>0</v>
      </c>
      <c r="CWF22">
        <f t="shared" si="1961"/>
        <v>0</v>
      </c>
      <c r="CWG22">
        <f t="shared" si="1962"/>
        <v>0</v>
      </c>
      <c r="CWH22">
        <f t="shared" si="1963"/>
        <v>0</v>
      </c>
      <c r="CWI22">
        <f t="shared" si="1964"/>
        <v>0</v>
      </c>
      <c r="CWJ22">
        <f t="shared" si="1965"/>
        <v>0</v>
      </c>
      <c r="CWK22">
        <f t="shared" si="1966"/>
        <v>0</v>
      </c>
      <c r="CWL22">
        <f t="shared" si="1967"/>
        <v>0</v>
      </c>
      <c r="CWM22">
        <f t="shared" si="1968"/>
        <v>0</v>
      </c>
      <c r="CWN22">
        <f t="shared" si="1969"/>
        <v>0</v>
      </c>
      <c r="CWO22">
        <f t="shared" si="1970"/>
        <v>0</v>
      </c>
      <c r="CWP22">
        <f t="shared" si="1971"/>
        <v>0</v>
      </c>
      <c r="CWQ22">
        <f t="shared" si="1972"/>
        <v>0</v>
      </c>
      <c r="CWR22">
        <f t="shared" si="1973"/>
        <v>0</v>
      </c>
      <c r="CWS22">
        <f t="shared" si="1974"/>
        <v>0</v>
      </c>
      <c r="CWT22">
        <f t="shared" si="1975"/>
        <v>0</v>
      </c>
      <c r="CWU22">
        <f t="shared" si="1976"/>
        <v>0</v>
      </c>
      <c r="CWV22">
        <f t="shared" si="1977"/>
        <v>0</v>
      </c>
      <c r="CWW22">
        <f t="shared" si="1978"/>
        <v>0</v>
      </c>
      <c r="CWX22">
        <f t="shared" si="1979"/>
        <v>0</v>
      </c>
      <c r="CWY22">
        <f t="shared" si="1980"/>
        <v>0</v>
      </c>
      <c r="CWZ22">
        <f t="shared" si="1981"/>
        <v>0</v>
      </c>
      <c r="CXA22">
        <f t="shared" si="1982"/>
        <v>0</v>
      </c>
      <c r="CXB22">
        <f t="shared" si="1983"/>
        <v>0</v>
      </c>
      <c r="CXC22">
        <f t="shared" si="1984"/>
        <v>0</v>
      </c>
      <c r="CXD22">
        <f t="shared" si="1985"/>
        <v>0</v>
      </c>
      <c r="CXE22">
        <f t="shared" si="1986"/>
        <v>0</v>
      </c>
      <c r="CXF22">
        <f t="shared" si="1987"/>
        <v>0</v>
      </c>
      <c r="CXG22">
        <f t="shared" si="1988"/>
        <v>0</v>
      </c>
      <c r="CXH22">
        <f t="shared" si="1989"/>
        <v>0</v>
      </c>
      <c r="CXI22">
        <f t="shared" si="1990"/>
        <v>0</v>
      </c>
      <c r="CXJ22">
        <f t="shared" si="1991"/>
        <v>0</v>
      </c>
      <c r="CXK22">
        <f t="shared" si="1992"/>
        <v>0</v>
      </c>
      <c r="CXL22">
        <f t="shared" si="1993"/>
        <v>0</v>
      </c>
      <c r="CXM22">
        <f t="shared" si="1994"/>
        <v>0</v>
      </c>
      <c r="CXN22">
        <f t="shared" si="1995"/>
        <v>0</v>
      </c>
      <c r="CXO22">
        <f t="shared" si="1996"/>
        <v>0</v>
      </c>
      <c r="CXP22">
        <f t="shared" si="1997"/>
        <v>0</v>
      </c>
      <c r="CXQ22">
        <f t="shared" si="1998"/>
        <v>0</v>
      </c>
      <c r="CXR22">
        <f t="shared" si="1999"/>
        <v>0</v>
      </c>
      <c r="CXS22">
        <f t="shared" si="2000"/>
        <v>0</v>
      </c>
      <c r="CXT22">
        <f t="shared" si="2001"/>
        <v>0</v>
      </c>
      <c r="CXU22">
        <f t="shared" si="2002"/>
        <v>0</v>
      </c>
      <c r="CXV22">
        <f t="shared" si="2003"/>
        <v>0</v>
      </c>
      <c r="CXW22">
        <f t="shared" si="2004"/>
        <v>0</v>
      </c>
      <c r="CXX22">
        <f t="shared" si="2005"/>
        <v>0</v>
      </c>
      <c r="CXY22">
        <f t="shared" si="2006"/>
        <v>0</v>
      </c>
      <c r="CXZ22">
        <f t="shared" si="2007"/>
        <v>0</v>
      </c>
      <c r="CYA22">
        <f t="shared" si="2008"/>
        <v>0</v>
      </c>
      <c r="CYB22">
        <f t="shared" si="2009"/>
        <v>0</v>
      </c>
      <c r="CYC22">
        <f t="shared" si="2010"/>
        <v>0</v>
      </c>
      <c r="CYD22">
        <f t="shared" si="2011"/>
        <v>0</v>
      </c>
      <c r="CYE22">
        <f t="shared" si="2012"/>
        <v>0</v>
      </c>
      <c r="CYF22">
        <f t="shared" si="2013"/>
        <v>0</v>
      </c>
      <c r="CYG22">
        <f t="shared" si="2014"/>
        <v>0</v>
      </c>
      <c r="CYH22">
        <f t="shared" si="2015"/>
        <v>0</v>
      </c>
      <c r="CYI22">
        <f t="shared" si="2016"/>
        <v>0</v>
      </c>
      <c r="CYJ22">
        <f t="shared" si="2017"/>
        <v>0</v>
      </c>
      <c r="CYK22">
        <f t="shared" si="2018"/>
        <v>0</v>
      </c>
      <c r="CYL22">
        <f t="shared" si="64"/>
        <v>0</v>
      </c>
      <c r="CYM22">
        <f t="shared" si="2019"/>
        <v>0</v>
      </c>
      <c r="CYN22">
        <f t="shared" si="2020"/>
        <v>0</v>
      </c>
      <c r="CYO22">
        <f t="shared" si="2021"/>
        <v>0</v>
      </c>
      <c r="CYP22">
        <f t="shared" si="2022"/>
        <v>0</v>
      </c>
      <c r="CYQ22">
        <f t="shared" si="2023"/>
        <v>0</v>
      </c>
      <c r="CYR22">
        <f t="shared" si="2024"/>
        <v>0</v>
      </c>
      <c r="CYS22">
        <f t="shared" si="2025"/>
        <v>0</v>
      </c>
      <c r="CYT22">
        <f t="shared" si="2026"/>
        <v>0</v>
      </c>
      <c r="CYU22">
        <f t="shared" si="2027"/>
        <v>0</v>
      </c>
      <c r="CYV22">
        <f t="shared" si="2028"/>
        <v>0</v>
      </c>
      <c r="CYW22">
        <f t="shared" si="2029"/>
        <v>0</v>
      </c>
      <c r="CYX22">
        <f t="shared" si="2030"/>
        <v>0</v>
      </c>
      <c r="CYY22">
        <f t="shared" si="2031"/>
        <v>0</v>
      </c>
      <c r="CYZ22">
        <f t="shared" si="2032"/>
        <v>0</v>
      </c>
      <c r="CZA22">
        <f t="shared" si="2033"/>
        <v>0</v>
      </c>
      <c r="CZB22">
        <f t="shared" si="2034"/>
        <v>0</v>
      </c>
      <c r="CZC22">
        <f t="shared" si="2035"/>
        <v>0</v>
      </c>
      <c r="CZD22">
        <f t="shared" si="2036"/>
        <v>0</v>
      </c>
      <c r="CZE22">
        <f t="shared" si="2037"/>
        <v>0</v>
      </c>
      <c r="CZF22">
        <f t="shared" si="2038"/>
        <v>0</v>
      </c>
      <c r="CZG22">
        <f t="shared" si="2039"/>
        <v>0</v>
      </c>
      <c r="CZH22">
        <f t="shared" si="2040"/>
        <v>0</v>
      </c>
      <c r="CZI22">
        <f t="shared" si="2041"/>
        <v>0</v>
      </c>
      <c r="CZJ22">
        <f t="shared" si="2042"/>
        <v>0</v>
      </c>
      <c r="CZK22">
        <f t="shared" si="2043"/>
        <v>0</v>
      </c>
      <c r="CZL22">
        <f t="shared" si="2044"/>
        <v>0</v>
      </c>
      <c r="CZM22">
        <f t="shared" si="2045"/>
        <v>0</v>
      </c>
      <c r="CZN22">
        <f t="shared" si="2046"/>
        <v>0</v>
      </c>
      <c r="CZO22">
        <f t="shared" si="2047"/>
        <v>0</v>
      </c>
      <c r="CZP22">
        <f t="shared" si="2048"/>
        <v>0</v>
      </c>
      <c r="CZQ22">
        <f t="shared" si="2049"/>
        <v>0</v>
      </c>
      <c r="CZR22">
        <f t="shared" si="2050"/>
        <v>0</v>
      </c>
      <c r="CZS22">
        <f t="shared" si="2051"/>
        <v>0</v>
      </c>
      <c r="CZT22">
        <f t="shared" si="2052"/>
        <v>0</v>
      </c>
      <c r="CZU22">
        <f t="shared" si="2053"/>
        <v>0</v>
      </c>
      <c r="CZV22">
        <f t="shared" si="2054"/>
        <v>0</v>
      </c>
      <c r="CZW22">
        <f t="shared" si="2055"/>
        <v>0</v>
      </c>
      <c r="CZX22">
        <f t="shared" si="2056"/>
        <v>0</v>
      </c>
      <c r="CZY22">
        <f t="shared" si="2057"/>
        <v>0</v>
      </c>
      <c r="CZZ22">
        <f t="shared" si="2058"/>
        <v>0</v>
      </c>
      <c r="DAA22">
        <f t="shared" si="2059"/>
        <v>0</v>
      </c>
      <c r="DAB22">
        <f t="shared" si="2060"/>
        <v>0</v>
      </c>
      <c r="DAC22">
        <f t="shared" si="2061"/>
        <v>0</v>
      </c>
      <c r="DAD22">
        <f t="shared" si="2062"/>
        <v>0</v>
      </c>
      <c r="DAE22">
        <f t="shared" si="2063"/>
        <v>0</v>
      </c>
      <c r="DAF22">
        <f t="shared" si="2064"/>
        <v>0</v>
      </c>
      <c r="DAG22">
        <f t="shared" si="2065"/>
        <v>0</v>
      </c>
      <c r="DAH22">
        <f t="shared" si="2066"/>
        <v>0</v>
      </c>
      <c r="DAI22">
        <f t="shared" si="2067"/>
        <v>0</v>
      </c>
      <c r="DAJ22">
        <f t="shared" si="2068"/>
        <v>0</v>
      </c>
      <c r="DAK22">
        <f t="shared" si="2069"/>
        <v>0</v>
      </c>
      <c r="DAL22">
        <f t="shared" si="2070"/>
        <v>0</v>
      </c>
      <c r="DAM22">
        <f t="shared" si="2071"/>
        <v>0</v>
      </c>
      <c r="DAN22">
        <f t="shared" si="2072"/>
        <v>0</v>
      </c>
      <c r="DAO22">
        <f t="shared" si="2073"/>
        <v>0</v>
      </c>
      <c r="DAP22">
        <f t="shared" si="2074"/>
        <v>0</v>
      </c>
      <c r="DAQ22">
        <f t="shared" si="2075"/>
        <v>0</v>
      </c>
      <c r="DAR22">
        <f t="shared" si="2076"/>
        <v>0</v>
      </c>
      <c r="DAS22">
        <f t="shared" si="2077"/>
        <v>0</v>
      </c>
      <c r="DAT22">
        <f t="shared" si="2078"/>
        <v>0</v>
      </c>
      <c r="DAU22">
        <f t="shared" si="2079"/>
        <v>0</v>
      </c>
      <c r="DAV22">
        <f t="shared" si="2080"/>
        <v>0</v>
      </c>
      <c r="DAW22">
        <f t="shared" si="2081"/>
        <v>0</v>
      </c>
      <c r="DAX22">
        <f t="shared" si="65"/>
        <v>0</v>
      </c>
      <c r="DAY22">
        <f t="shared" si="2142"/>
        <v>0</v>
      </c>
      <c r="DAZ22">
        <f t="shared" si="2143"/>
        <v>0</v>
      </c>
      <c r="DBA22">
        <f t="shared" si="2144"/>
        <v>0</v>
      </c>
      <c r="DBB22">
        <f t="shared" si="2082"/>
        <v>0</v>
      </c>
      <c r="DBC22">
        <f t="shared" si="2083"/>
        <v>0</v>
      </c>
      <c r="DBD22">
        <f t="shared" si="2084"/>
        <v>0</v>
      </c>
      <c r="DBE22">
        <f t="shared" si="2085"/>
        <v>0</v>
      </c>
      <c r="DBF22">
        <f t="shared" si="2086"/>
        <v>0</v>
      </c>
      <c r="DBG22">
        <f t="shared" si="2087"/>
        <v>0</v>
      </c>
      <c r="DBH22">
        <f t="shared" si="2088"/>
        <v>0</v>
      </c>
      <c r="DBI22">
        <f t="shared" si="2089"/>
        <v>0</v>
      </c>
      <c r="DBJ22">
        <f t="shared" si="2090"/>
        <v>0</v>
      </c>
      <c r="DBK22">
        <f t="shared" si="2091"/>
        <v>0</v>
      </c>
      <c r="DBL22">
        <f t="shared" si="2092"/>
        <v>0</v>
      </c>
      <c r="DBM22">
        <f t="shared" si="2093"/>
        <v>0</v>
      </c>
      <c r="DBN22">
        <f t="shared" si="2094"/>
        <v>0</v>
      </c>
      <c r="DBO22">
        <f t="shared" si="2095"/>
        <v>0</v>
      </c>
      <c r="DBP22">
        <f t="shared" si="2096"/>
        <v>0</v>
      </c>
      <c r="DBQ22">
        <f t="shared" si="2097"/>
        <v>0</v>
      </c>
      <c r="DBR22">
        <f t="shared" si="2098"/>
        <v>0</v>
      </c>
      <c r="DBS22">
        <f t="shared" si="2099"/>
        <v>0</v>
      </c>
      <c r="DBT22">
        <f t="shared" si="2100"/>
        <v>0</v>
      </c>
      <c r="DBU22">
        <f t="shared" si="2101"/>
        <v>0</v>
      </c>
      <c r="DBV22">
        <f t="shared" si="2102"/>
        <v>0</v>
      </c>
      <c r="DBW22">
        <f t="shared" si="2103"/>
        <v>0</v>
      </c>
      <c r="DBX22">
        <f t="shared" si="2104"/>
        <v>0</v>
      </c>
      <c r="DBY22">
        <f t="shared" si="2105"/>
        <v>0</v>
      </c>
      <c r="DBZ22">
        <f t="shared" si="2106"/>
        <v>0</v>
      </c>
      <c r="DCA22">
        <f t="shared" si="2107"/>
        <v>0</v>
      </c>
      <c r="DCB22">
        <f t="shared" si="2108"/>
        <v>0</v>
      </c>
      <c r="DCC22">
        <f t="shared" si="2109"/>
        <v>0</v>
      </c>
      <c r="DCD22">
        <f t="shared" si="2110"/>
        <v>0</v>
      </c>
      <c r="DCE22">
        <f t="shared" si="2111"/>
        <v>0</v>
      </c>
      <c r="DCF22">
        <f t="shared" si="2112"/>
        <v>0</v>
      </c>
      <c r="DCG22">
        <f t="shared" si="2113"/>
        <v>0</v>
      </c>
      <c r="DCH22">
        <f t="shared" si="2114"/>
        <v>0</v>
      </c>
      <c r="DCI22">
        <f t="shared" si="2115"/>
        <v>0</v>
      </c>
      <c r="DCJ22">
        <f t="shared" si="2116"/>
        <v>0</v>
      </c>
      <c r="DCK22">
        <f t="shared" si="2117"/>
        <v>0</v>
      </c>
      <c r="DCL22">
        <f t="shared" si="2118"/>
        <v>0</v>
      </c>
      <c r="DCM22">
        <f t="shared" si="2119"/>
        <v>0</v>
      </c>
      <c r="DCN22">
        <f t="shared" si="2120"/>
        <v>0</v>
      </c>
      <c r="DCO22">
        <f t="shared" si="2121"/>
        <v>0</v>
      </c>
      <c r="DCP22">
        <f t="shared" si="2122"/>
        <v>0</v>
      </c>
      <c r="DCQ22">
        <f t="shared" si="2123"/>
        <v>0</v>
      </c>
      <c r="DCR22">
        <f t="shared" si="2124"/>
        <v>0</v>
      </c>
      <c r="DCS22">
        <f t="shared" si="2125"/>
        <v>0</v>
      </c>
      <c r="DCT22">
        <f t="shared" si="2126"/>
        <v>0</v>
      </c>
      <c r="DCU22">
        <f t="shared" si="2127"/>
        <v>0</v>
      </c>
      <c r="DCV22">
        <f t="shared" si="2128"/>
        <v>0</v>
      </c>
      <c r="DCW22">
        <f t="shared" si="2129"/>
        <v>0</v>
      </c>
      <c r="DCX22">
        <f t="shared" si="2130"/>
        <v>0</v>
      </c>
      <c r="DCY22">
        <f t="shared" si="2131"/>
        <v>0</v>
      </c>
      <c r="DCZ22">
        <f t="shared" si="2132"/>
        <v>0</v>
      </c>
      <c r="DDA22">
        <f t="shared" si="2133"/>
        <v>0</v>
      </c>
      <c r="DDB22">
        <f t="shared" si="2134"/>
        <v>0</v>
      </c>
      <c r="DDC22">
        <f t="shared" si="2135"/>
        <v>0</v>
      </c>
      <c r="DDD22">
        <f t="shared" si="2136"/>
        <v>0</v>
      </c>
      <c r="DDE22">
        <f t="shared" si="2137"/>
        <v>0</v>
      </c>
      <c r="DDF22">
        <f t="shared" si="2138"/>
        <v>0</v>
      </c>
      <c r="DDG22">
        <f t="shared" si="2139"/>
        <v>0</v>
      </c>
      <c r="DDH22">
        <f t="shared" si="2140"/>
        <v>0</v>
      </c>
      <c r="DDI22">
        <f t="shared" si="2141"/>
        <v>0</v>
      </c>
    </row>
    <row r="23" spans="1:2817" x14ac:dyDescent="0.2">
      <c r="A23" s="1">
        <v>17</v>
      </c>
      <c r="B23">
        <f>'Demand Stage 2'!B22</f>
        <v>0</v>
      </c>
      <c r="C23">
        <f>'Demand Stage 2'!C22</f>
        <v>0</v>
      </c>
      <c r="D23">
        <f>'Demand Stage 2'!D22</f>
        <v>0</v>
      </c>
      <c r="E23">
        <f>'Demand Stage 2'!E22</f>
        <v>0</v>
      </c>
      <c r="F23">
        <f>'Demand Stage 2'!F22</f>
        <v>0</v>
      </c>
      <c r="G23">
        <f>'Demand Stage 2'!G22</f>
        <v>0</v>
      </c>
      <c r="H23">
        <f>'Demand Stage 2'!H22</f>
        <v>0</v>
      </c>
      <c r="I23">
        <f>'Demand Stage 2'!I22</f>
        <v>0</v>
      </c>
      <c r="J23">
        <f>'Demand Stage 2'!J22</f>
        <v>0</v>
      </c>
      <c r="K23">
        <f>'Demand Stage 2'!K22</f>
        <v>0</v>
      </c>
      <c r="L23">
        <f>'Demand Stage 2'!L22</f>
        <v>0</v>
      </c>
      <c r="M23">
        <f>'Demand Stage 2'!M22</f>
        <v>0</v>
      </c>
      <c r="N23">
        <f>'Demand Stage 2'!N22</f>
        <v>0</v>
      </c>
      <c r="O23">
        <f>'Demand Stage 2'!O22</f>
        <v>0</v>
      </c>
      <c r="P23">
        <f>'Demand Stage 2'!P22</f>
        <v>0</v>
      </c>
      <c r="Q23">
        <f>'Demand Stage 2'!Q22</f>
        <v>0</v>
      </c>
      <c r="R23">
        <f>'Demand Stage 2'!R22</f>
        <v>0</v>
      </c>
      <c r="S23">
        <f>'Demand Stage 2'!S22</f>
        <v>0</v>
      </c>
      <c r="T23">
        <f>'Demand Stage 2'!T22</f>
        <v>0</v>
      </c>
      <c r="U23">
        <f>'Demand Stage 2'!U22</f>
        <v>0</v>
      </c>
      <c r="V23">
        <f>'Demand Stage 2'!V22</f>
        <v>0</v>
      </c>
      <c r="W23">
        <f>'Demand Stage 2'!W22</f>
        <v>0</v>
      </c>
      <c r="X23">
        <f>'Demand Stage 2'!X22</f>
        <v>0</v>
      </c>
      <c r="Y23">
        <f>'Demand Stage 2'!Y22</f>
        <v>0</v>
      </c>
      <c r="Z23">
        <f>'Demand Stage 2'!Z22</f>
        <v>0</v>
      </c>
      <c r="AA23">
        <f>'Demand Stage 2'!AA22</f>
        <v>0</v>
      </c>
      <c r="AB23">
        <f>'Demand Stage 2'!AB22</f>
        <v>0</v>
      </c>
      <c r="AC23">
        <f>'Demand Stage 2'!AC22</f>
        <v>0</v>
      </c>
      <c r="AD23">
        <f>'Demand Stage 2'!AD22</f>
        <v>0</v>
      </c>
      <c r="AE23">
        <f>'Demand Stage 2'!AE22</f>
        <v>0</v>
      </c>
      <c r="AF23">
        <f>'Demand Stage 2'!AF22</f>
        <v>0</v>
      </c>
      <c r="AG23">
        <f>'Demand Stage 2'!AG22</f>
        <v>0</v>
      </c>
      <c r="AH23">
        <f>'Demand Stage 2'!AH22</f>
        <v>0</v>
      </c>
      <c r="AI23">
        <f>'Demand Stage 2'!AI22</f>
        <v>0</v>
      </c>
      <c r="AJ23">
        <f>'Demand Stage 2'!AJ22</f>
        <v>0</v>
      </c>
      <c r="AK23">
        <f>'Demand Stage 2'!AK22</f>
        <v>0</v>
      </c>
      <c r="AL23">
        <f>'Demand Stage 2'!AL22</f>
        <v>0</v>
      </c>
      <c r="AM23">
        <f>'Demand Stage 2'!AM22</f>
        <v>0</v>
      </c>
      <c r="AN23">
        <f>'Demand Stage 2'!AN22</f>
        <v>0</v>
      </c>
      <c r="AO23">
        <f>'Demand Stage 2'!AO22</f>
        <v>0</v>
      </c>
      <c r="AP23">
        <f>'Demand Stage 2'!AP22</f>
        <v>0</v>
      </c>
      <c r="AQ23">
        <f>'Demand Stage 2'!AQ22</f>
        <v>0</v>
      </c>
      <c r="AR23">
        <f>'Demand Stage 2'!AR22</f>
        <v>0</v>
      </c>
      <c r="AS23">
        <f>'Demand Stage 2'!AS22</f>
        <v>0</v>
      </c>
      <c r="AT23">
        <f>'Demand Stage 2'!AT22</f>
        <v>0</v>
      </c>
      <c r="AU23">
        <f>'Demand Stage 2'!AU22</f>
        <v>0</v>
      </c>
      <c r="AV23">
        <f>'Demand Stage 2'!AV22</f>
        <v>0</v>
      </c>
      <c r="AW23">
        <f>'Demand Stage 2'!AW22</f>
        <v>0</v>
      </c>
      <c r="AX23">
        <f>'Demand Stage 2'!AX22</f>
        <v>0</v>
      </c>
      <c r="AY23">
        <f>'Demand Stage 2'!AY22</f>
        <v>0</v>
      </c>
      <c r="AZ23">
        <f>'Demand Stage 2'!AZ22</f>
        <v>0</v>
      </c>
      <c r="BA23">
        <f>'Demand Stage 2'!BA22</f>
        <v>0</v>
      </c>
      <c r="BB23">
        <f>'Demand Stage 2'!BB22</f>
        <v>0</v>
      </c>
      <c r="BC23">
        <f>'Demand Stage 2'!BC22</f>
        <v>0</v>
      </c>
      <c r="BD23">
        <f>'Demand Stage 2'!BD22</f>
        <v>0</v>
      </c>
      <c r="BE23">
        <f>'Demand Stage 2'!BE22</f>
        <v>0</v>
      </c>
      <c r="BF23">
        <f>'Demand Stage 2'!BF22</f>
        <v>0</v>
      </c>
      <c r="BG23">
        <f>'Demand Stage 2'!BG22</f>
        <v>0</v>
      </c>
      <c r="BH23">
        <f>'Demand Stage 2'!BH22</f>
        <v>0</v>
      </c>
      <c r="BI23">
        <f>'Demand Stage 2'!BI22</f>
        <v>0</v>
      </c>
      <c r="BJ23">
        <f>'Demand Stage 2'!BJ22</f>
        <v>0</v>
      </c>
      <c r="BK23">
        <f>'Demand Stage 2'!BK22</f>
        <v>0</v>
      </c>
      <c r="BL23">
        <f>'Demand Stage 2'!BL22</f>
        <v>0</v>
      </c>
      <c r="BM23">
        <f>'Demand Stage 2'!BM22</f>
        <v>0</v>
      </c>
      <c r="BN23">
        <f>'Demand Stage 2'!BN22</f>
        <v>0</v>
      </c>
      <c r="BO23">
        <f>'Demand Stage 2'!BO22</f>
        <v>0</v>
      </c>
      <c r="BP23">
        <f>'Demand Stage 2'!BP22</f>
        <v>0</v>
      </c>
      <c r="BQ23">
        <f>'Demand Stage 2'!BQ22</f>
        <v>0</v>
      </c>
      <c r="BR23">
        <f>'Demand Stage 2'!BR22</f>
        <v>0</v>
      </c>
      <c r="BS23">
        <f>'Demand Stage 2'!BS22</f>
        <v>0</v>
      </c>
      <c r="BT23">
        <f>'Demand Stage 2'!BT22</f>
        <v>0</v>
      </c>
      <c r="BU23">
        <f>'Demand Stage 2'!BU22</f>
        <v>0</v>
      </c>
      <c r="BV23">
        <f>'Demand Stage 2'!BV22</f>
        <v>0</v>
      </c>
      <c r="BW23">
        <f>'Demand Stage 2'!BW22</f>
        <v>0</v>
      </c>
      <c r="BX23">
        <f>'Demand Stage 2'!BX22</f>
        <v>0</v>
      </c>
      <c r="BY23">
        <f>'Demand Stage 2'!BY22</f>
        <v>0</v>
      </c>
      <c r="BZ23">
        <f>'Demand Stage 2'!BZ22</f>
        <v>0</v>
      </c>
      <c r="CA23">
        <f>'Demand Stage 2'!CA22</f>
        <v>0</v>
      </c>
      <c r="CB23">
        <f>'Demand Stage 2'!CB22</f>
        <v>0</v>
      </c>
      <c r="CC23">
        <f>'Demand Stage 2'!CC22</f>
        <v>0</v>
      </c>
      <c r="CD23">
        <f>'Demand Stage 2'!CD22</f>
        <v>0</v>
      </c>
      <c r="CE23">
        <f>'Demand Stage 2'!CE22</f>
        <v>0</v>
      </c>
      <c r="CF23">
        <f>'Demand Stage 2'!CF22</f>
        <v>0</v>
      </c>
      <c r="CG23">
        <f>'Demand Stage 2'!CG22</f>
        <v>0</v>
      </c>
      <c r="CH23">
        <f>'Demand Stage 2'!CH22</f>
        <v>0</v>
      </c>
      <c r="CI23">
        <f>'Demand Stage 2'!CI22</f>
        <v>0</v>
      </c>
      <c r="CJ23">
        <f>'Demand Stage 2'!CJ22</f>
        <v>0</v>
      </c>
      <c r="CK23">
        <f>'Demand Stage 2'!CK22</f>
        <v>0</v>
      </c>
      <c r="CL23">
        <f>'Demand Stage 2'!CL22</f>
        <v>0</v>
      </c>
      <c r="CM23">
        <f>'Demand Stage 2'!CM22</f>
        <v>0</v>
      </c>
      <c r="CN23">
        <f>'Demand Stage 2'!CN22</f>
        <v>0</v>
      </c>
      <c r="CO23">
        <f>'Demand Stage 2'!CO22</f>
        <v>0</v>
      </c>
      <c r="CP23">
        <f>'Demand Stage 2'!CP22</f>
        <v>0</v>
      </c>
      <c r="CQ23">
        <f>'Demand Stage 2'!CQ22</f>
        <v>0</v>
      </c>
      <c r="CR23">
        <f>'Demand Stage 2'!CR22</f>
        <v>0</v>
      </c>
      <c r="CS23">
        <f>'Demand Stage 2'!CS22</f>
        <v>0</v>
      </c>
      <c r="CT23">
        <f>'Demand Stage 2'!CT22</f>
        <v>0</v>
      </c>
      <c r="CU23">
        <f>'Demand Stage 2'!CU22</f>
        <v>0</v>
      </c>
      <c r="CV23">
        <f>'Demand Stage 2'!CV22</f>
        <v>0</v>
      </c>
      <c r="CW23">
        <f>'Demand Stage 2'!CW22</f>
        <v>0</v>
      </c>
      <c r="CX23">
        <f>'Demand Stage 2'!CX22</f>
        <v>0</v>
      </c>
      <c r="CY23">
        <f>'Demand Stage 2'!CY22</f>
        <v>0</v>
      </c>
      <c r="CZ23">
        <f>'Demand Stage 2'!CZ22</f>
        <v>0</v>
      </c>
      <c r="DA23">
        <f>'Demand Stage 2'!DA22</f>
        <v>0</v>
      </c>
      <c r="DB23">
        <f>'Demand Stage 2'!DB22</f>
        <v>0</v>
      </c>
      <c r="DC23">
        <f>'Demand Stage 2'!DC22</f>
        <v>0</v>
      </c>
      <c r="DD23">
        <f>'Demand Stage 2'!DD22</f>
        <v>0</v>
      </c>
      <c r="DE23">
        <f>'Demand Stage 2'!DE22</f>
        <v>0</v>
      </c>
      <c r="DF23">
        <f>'Demand Stage 2'!DF22</f>
        <v>0</v>
      </c>
      <c r="DG23">
        <f>'Demand Stage 2'!DG22</f>
        <v>0</v>
      </c>
      <c r="DH23">
        <f>'Demand Stage 2'!DH22</f>
        <v>0</v>
      </c>
      <c r="DI23">
        <f>'Demand Stage 2'!DI22</f>
        <v>0</v>
      </c>
      <c r="DJ23">
        <f>'Demand Stage 2'!DJ22</f>
        <v>0</v>
      </c>
      <c r="DK23">
        <f>'Demand Stage 2'!DK22</f>
        <v>0</v>
      </c>
      <c r="DL23">
        <f>'Demand Stage 2'!DL22</f>
        <v>0</v>
      </c>
      <c r="DM23">
        <f>'Demand Stage 2'!DM22</f>
        <v>0</v>
      </c>
      <c r="DN23">
        <f>'Demand Stage 2'!DN22</f>
        <v>0</v>
      </c>
      <c r="DO23">
        <f>'Demand Stage 2'!DO22</f>
        <v>0</v>
      </c>
      <c r="DP23">
        <f>'Demand Stage 2'!DP22</f>
        <v>0</v>
      </c>
      <c r="DQ23">
        <f>'Demand Stage 2'!DQ22</f>
        <v>0</v>
      </c>
      <c r="DR23">
        <f>'Demand Stage 2'!DR22</f>
        <v>0</v>
      </c>
      <c r="DS23">
        <f>'Demand Stage 2'!DS22</f>
        <v>0</v>
      </c>
      <c r="DT23">
        <f>'Demand Stage 2'!DT22</f>
        <v>0</v>
      </c>
      <c r="DU23">
        <f>'Demand Stage 2'!DU22</f>
        <v>0</v>
      </c>
      <c r="DV23">
        <f>'Demand Stage 2'!DV22</f>
        <v>0</v>
      </c>
      <c r="DW23">
        <f>'Demand Stage 2'!DW22</f>
        <v>0</v>
      </c>
      <c r="DX23">
        <f>'Demand Stage 2'!DX22</f>
        <v>0</v>
      </c>
      <c r="DY23">
        <f>'Demand Stage 2'!DY22</f>
        <v>0</v>
      </c>
      <c r="DZ23">
        <f>'Demand Stage 2'!DZ22</f>
        <v>0</v>
      </c>
      <c r="EA23">
        <f>'Demand Stage 2'!EA22</f>
        <v>0</v>
      </c>
      <c r="EB23">
        <f>'Demand Stage 2'!EB22</f>
        <v>0</v>
      </c>
      <c r="EC23">
        <f>'Demand Stage 2'!EC22</f>
        <v>0</v>
      </c>
      <c r="ED23">
        <f>'Demand Stage 2'!ED22</f>
        <v>0</v>
      </c>
      <c r="EE23">
        <f>'Demand Stage 2'!EE22</f>
        <v>0</v>
      </c>
      <c r="EF23">
        <f>'Demand Stage 2'!EF22</f>
        <v>0</v>
      </c>
      <c r="EG23">
        <f>'Demand Stage 2'!EG22</f>
        <v>0</v>
      </c>
      <c r="EH23">
        <f>'Demand Stage 2'!EH22</f>
        <v>0</v>
      </c>
      <c r="EI23">
        <f>'Demand Stage 2'!EI22</f>
        <v>0</v>
      </c>
      <c r="EJ23">
        <f>'Demand Stage 2'!EJ22</f>
        <v>0</v>
      </c>
      <c r="EK23">
        <f>'Demand Stage 2'!EK22</f>
        <v>0</v>
      </c>
      <c r="EL23">
        <f>'Demand Stage 2'!EL22</f>
        <v>0</v>
      </c>
      <c r="EM23">
        <f>'Demand Stage 2'!EM22</f>
        <v>0</v>
      </c>
      <c r="EN23">
        <f>'Demand Stage 2'!EN22</f>
        <v>0</v>
      </c>
      <c r="EO23">
        <f>'Demand Stage 2'!EO22</f>
        <v>0</v>
      </c>
      <c r="EP23">
        <f>'Demand Stage 2'!EP22</f>
        <v>0</v>
      </c>
      <c r="EQ23">
        <f>'Demand Stage 2'!EQ22</f>
        <v>0</v>
      </c>
      <c r="ER23">
        <f>'Demand Stage 2'!ER22</f>
        <v>0</v>
      </c>
      <c r="ES23">
        <f>'Demand Stage 2'!ES22</f>
        <v>0</v>
      </c>
      <c r="ET23">
        <f>'Demand Stage 2'!ET22</f>
        <v>0</v>
      </c>
      <c r="EU23">
        <f>'Demand Stage 2'!EU22</f>
        <v>0</v>
      </c>
      <c r="EV23">
        <f>'Demand Stage 2'!EV22</f>
        <v>0</v>
      </c>
      <c r="EW23">
        <f>'Demand Stage 2'!EW22</f>
        <v>0</v>
      </c>
      <c r="EX23">
        <f>'Demand Stage 2'!EX22</f>
        <v>0</v>
      </c>
      <c r="EY23">
        <f>'Demand Stage 2'!EY22</f>
        <v>0</v>
      </c>
      <c r="EZ23">
        <f>'Demand Stage 2'!EZ22</f>
        <v>0</v>
      </c>
      <c r="FA23">
        <f>'Demand Stage 2'!FA22</f>
        <v>0</v>
      </c>
      <c r="FB23">
        <f>'Demand Stage 2'!FB22</f>
        <v>0</v>
      </c>
      <c r="FC23">
        <f>'Demand Stage 2'!FC22</f>
        <v>0</v>
      </c>
      <c r="FD23">
        <f>'Demand Stage 2'!FD22</f>
        <v>0</v>
      </c>
      <c r="FE23">
        <f>'Demand Stage 2'!FE22</f>
        <v>0</v>
      </c>
      <c r="FF23">
        <f>'Demand Stage 2'!FF22</f>
        <v>0</v>
      </c>
      <c r="FG23">
        <f>'Demand Stage 2'!FG22</f>
        <v>0</v>
      </c>
      <c r="FH23">
        <f>'Demand Stage 2'!FH22</f>
        <v>0</v>
      </c>
      <c r="FI23">
        <f>'Demand Stage 2'!FI22</f>
        <v>0</v>
      </c>
      <c r="FJ23">
        <f>'Demand Stage 2'!FJ22</f>
        <v>0</v>
      </c>
      <c r="FK23">
        <f>'Demand Stage 2'!FK22</f>
        <v>0</v>
      </c>
      <c r="FL23">
        <f>'Demand Stage 2'!FL22</f>
        <v>0</v>
      </c>
      <c r="FM23">
        <f>'Demand Stage 2'!FM22</f>
        <v>0</v>
      </c>
      <c r="FN23">
        <f>'Demand Stage 2'!FN22</f>
        <v>0</v>
      </c>
      <c r="FO23">
        <f>'Demand Stage 2'!FO22</f>
        <v>0</v>
      </c>
      <c r="FP23">
        <f>'Demand Stage 2'!FP22</f>
        <v>0</v>
      </c>
      <c r="FQ23">
        <f>'Demand Stage 2'!FQ22</f>
        <v>0</v>
      </c>
      <c r="FR23">
        <f>'Demand Stage 2'!FR22</f>
        <v>0</v>
      </c>
      <c r="FS23">
        <f>'Demand Stage 2'!FS22</f>
        <v>0</v>
      </c>
      <c r="FT23">
        <f>'Demand Stage 2'!FT22</f>
        <v>0</v>
      </c>
      <c r="FU23">
        <f>'Demand Stage 2'!FU22</f>
        <v>0</v>
      </c>
      <c r="FV23">
        <f>'Demand Stage 2'!FV22</f>
        <v>0</v>
      </c>
      <c r="FW23">
        <f>'Demand Stage 2'!FW22</f>
        <v>0</v>
      </c>
      <c r="FX23">
        <f>'Demand Stage 2'!FX22</f>
        <v>0</v>
      </c>
      <c r="FY23">
        <f>'Demand Stage 2'!FY22</f>
        <v>0</v>
      </c>
      <c r="FZ23">
        <f>'Demand Stage 2'!FZ22</f>
        <v>0</v>
      </c>
      <c r="GA23">
        <f>'Demand Stage 2'!GA22</f>
        <v>0</v>
      </c>
      <c r="GB23">
        <f>'Demand Stage 2'!GB22</f>
        <v>0</v>
      </c>
      <c r="GC23">
        <f>'Demand Stage 2'!GC22</f>
        <v>0</v>
      </c>
      <c r="GD23">
        <f>'Demand Stage 2'!GD22</f>
        <v>0</v>
      </c>
      <c r="GE23">
        <f>'Demand Stage 2'!GE22</f>
        <v>0</v>
      </c>
      <c r="GF23">
        <f>'Demand Stage 2'!GF22</f>
        <v>0</v>
      </c>
      <c r="GG23">
        <f>'Demand Stage 2'!GG22</f>
        <v>0</v>
      </c>
      <c r="GH23">
        <f>'Demand Stage 2'!GH22</f>
        <v>0</v>
      </c>
      <c r="GI23">
        <f>'Demand Stage 2'!GI22</f>
        <v>0</v>
      </c>
      <c r="GJ23">
        <f>'Demand Stage 2'!GJ22</f>
        <v>0</v>
      </c>
      <c r="GK23">
        <f>'Demand Stage 2'!GK22</f>
        <v>0</v>
      </c>
      <c r="GL23">
        <f>'Demand Stage 2'!GL22</f>
        <v>0</v>
      </c>
      <c r="GM23">
        <f>'Demand Stage 2'!GM22</f>
        <v>0</v>
      </c>
      <c r="GN23">
        <f>'Demand Stage 2'!GN22</f>
        <v>0</v>
      </c>
      <c r="GO23">
        <f>'Demand Stage 2'!GO22</f>
        <v>0</v>
      </c>
      <c r="GP23">
        <f>'Demand Stage 2'!GP22</f>
        <v>0</v>
      </c>
      <c r="GQ23">
        <f>'Demand Stage 2'!GQ22</f>
        <v>0</v>
      </c>
      <c r="GR23">
        <f>'Demand Stage 2'!GR22</f>
        <v>0</v>
      </c>
      <c r="GS23">
        <f>'Demand Stage 2'!GS22</f>
        <v>0</v>
      </c>
      <c r="GT23">
        <f>'Demand Stage 2'!GT22</f>
        <v>0</v>
      </c>
      <c r="GU23">
        <f>'Demand Stage 2'!GU22</f>
        <v>0</v>
      </c>
      <c r="GV23">
        <f>'Demand Stage 2'!GV22</f>
        <v>0</v>
      </c>
      <c r="GW23">
        <f>'Demand Stage 2'!GW22</f>
        <v>0</v>
      </c>
      <c r="GX23">
        <f>'Demand Stage 2'!GX22</f>
        <v>0</v>
      </c>
      <c r="GY23">
        <f>'Demand Stage 2'!GY22</f>
        <v>0</v>
      </c>
      <c r="GZ23">
        <f>'Demand Stage 2'!GZ22</f>
        <v>0</v>
      </c>
      <c r="HA23">
        <f>'Demand Stage 2'!HA22</f>
        <v>0</v>
      </c>
      <c r="HB23">
        <f>'Demand Stage 2'!HB22</f>
        <v>0</v>
      </c>
      <c r="HC23">
        <f>'Demand Stage 2'!HC22</f>
        <v>0</v>
      </c>
      <c r="HD23">
        <f>'Demand Stage 2'!HD22</f>
        <v>0</v>
      </c>
      <c r="HE23">
        <f>'Demand Stage 2'!HE22</f>
        <v>0</v>
      </c>
      <c r="HF23">
        <f>'Demand Stage 2'!HF22</f>
        <v>0</v>
      </c>
      <c r="HG23">
        <f>'Demand Stage 2'!HG22</f>
        <v>0</v>
      </c>
      <c r="HH23">
        <f>'Demand Stage 2'!HH22</f>
        <v>0</v>
      </c>
      <c r="HI23">
        <f>'Demand Stage 2'!HI22</f>
        <v>0</v>
      </c>
      <c r="HJ23">
        <f>'Demand Stage 2'!HJ22</f>
        <v>0</v>
      </c>
      <c r="HK23">
        <f>'Demand Stage 2'!HK22</f>
        <v>0</v>
      </c>
      <c r="HL23">
        <f>'Demand Stage 2'!HL22</f>
        <v>0</v>
      </c>
      <c r="HM23">
        <f>'Demand Stage 2'!HM22</f>
        <v>0</v>
      </c>
      <c r="HN23">
        <f>'Demand Stage 2'!HN22</f>
        <v>0</v>
      </c>
      <c r="HO23">
        <f>'Demand Stage 2'!HO22</f>
        <v>0</v>
      </c>
      <c r="HP23">
        <f>'Demand Stage 2'!HP22</f>
        <v>0</v>
      </c>
      <c r="HQ23">
        <f>'Demand Stage 2'!HQ22</f>
        <v>0</v>
      </c>
      <c r="HR23">
        <f>'Demand Stage 2'!HR22</f>
        <v>0</v>
      </c>
      <c r="HS23">
        <f>'Demand Stage 2'!HS22</f>
        <v>0</v>
      </c>
      <c r="HT23">
        <f>'Demand Stage 2'!HT22</f>
        <v>0</v>
      </c>
      <c r="HU23">
        <f>'Demand Stage 2'!HU22</f>
        <v>0</v>
      </c>
      <c r="HV23">
        <f>'Demand Stage 2'!HV22</f>
        <v>0</v>
      </c>
      <c r="HW23">
        <f>'Demand Stage 2'!HW22</f>
        <v>0</v>
      </c>
      <c r="HX23">
        <f>'Demand Stage 2'!HX22</f>
        <v>0</v>
      </c>
      <c r="HY23">
        <f>'Demand Stage 2'!HY22</f>
        <v>0</v>
      </c>
      <c r="HZ23">
        <f>'Demand Stage 2'!HZ22</f>
        <v>0</v>
      </c>
      <c r="IA23">
        <f>'Demand Stage 2'!IA22</f>
        <v>0</v>
      </c>
      <c r="IB23">
        <f>'Demand Stage 2'!IB22</f>
        <v>0</v>
      </c>
      <c r="IC23">
        <f>'Demand Stage 2'!IC22</f>
        <v>0</v>
      </c>
      <c r="ID23">
        <f>'Demand Stage 2'!ID22</f>
        <v>0</v>
      </c>
      <c r="IE23">
        <f>'Demand Stage 2'!IE22</f>
        <v>0</v>
      </c>
      <c r="IF23">
        <f>'Demand Stage 2'!IF22</f>
        <v>0</v>
      </c>
      <c r="IG23">
        <f>'Demand Stage 2'!IG22</f>
        <v>0</v>
      </c>
      <c r="IH23">
        <f>'Demand Stage 2'!IH22</f>
        <v>0</v>
      </c>
      <c r="II23">
        <f>'Demand Stage 2'!II22</f>
        <v>0</v>
      </c>
      <c r="IJ23">
        <f>'Demand Stage 2'!IJ22</f>
        <v>0</v>
      </c>
      <c r="IK23">
        <f>'Demand Stage 2'!IK22</f>
        <v>0</v>
      </c>
      <c r="IL23">
        <f>'Demand Stage 2'!IL22</f>
        <v>0</v>
      </c>
      <c r="IM23">
        <f>'Demand Stage 2'!IM22</f>
        <v>0</v>
      </c>
      <c r="IN23">
        <f>'Demand Stage 2'!IN22</f>
        <v>0</v>
      </c>
      <c r="IO23">
        <f>'Demand Stage 2'!IO22</f>
        <v>0</v>
      </c>
      <c r="IP23">
        <f>'Demand Stage 2'!IP22</f>
        <v>0</v>
      </c>
      <c r="IQ23">
        <f>'Demand Stage 2'!IQ22</f>
        <v>0</v>
      </c>
      <c r="IR23">
        <f>'Demand Stage 2'!IR22</f>
        <v>0</v>
      </c>
      <c r="IS23">
        <f>'Demand Stage 2'!IS22</f>
        <v>0</v>
      </c>
      <c r="IT23">
        <f>'Demand Stage 2'!IT22</f>
        <v>0</v>
      </c>
      <c r="IU23">
        <f>'Demand Stage 2'!IU22</f>
        <v>0</v>
      </c>
      <c r="IV23">
        <f>'Demand Stage 2'!IV22</f>
        <v>0</v>
      </c>
      <c r="IW23">
        <f>'Demand Stage 2'!IW22</f>
        <v>0</v>
      </c>
      <c r="IX23">
        <f>'Demand Stage 2'!IX22</f>
        <v>0</v>
      </c>
      <c r="IY23">
        <f>'Demand Stage 2'!IY22</f>
        <v>0</v>
      </c>
      <c r="IZ23">
        <f>'Demand Stage 2'!IZ22</f>
        <v>0</v>
      </c>
      <c r="JA23">
        <f>'Demand Stage 2'!JA22</f>
        <v>0</v>
      </c>
      <c r="JB23">
        <f>'Demand Stage 2'!JB22</f>
        <v>0</v>
      </c>
      <c r="JC23">
        <f>'Demand Stage 2'!JC22</f>
        <v>0</v>
      </c>
      <c r="JD23">
        <f>'Demand Stage 2'!JD22</f>
        <v>0</v>
      </c>
      <c r="JE23">
        <f>'Demand Stage 2'!JE22</f>
        <v>0</v>
      </c>
      <c r="JF23">
        <f>'Demand Stage 2'!JF22</f>
        <v>0</v>
      </c>
      <c r="JG23">
        <f>'Demand Stage 2'!JG22</f>
        <v>0</v>
      </c>
      <c r="JH23">
        <f>'Demand Stage 2'!JH22</f>
        <v>0</v>
      </c>
      <c r="JI23">
        <f>'Demand Stage 2'!JI22</f>
        <v>0</v>
      </c>
      <c r="JJ23">
        <f>'Demand Stage 2'!JJ22</f>
        <v>0</v>
      </c>
      <c r="JK23">
        <f>'Demand Stage 2'!JK22</f>
        <v>0</v>
      </c>
      <c r="JL23">
        <f>'Demand Stage 2'!JL22</f>
        <v>0</v>
      </c>
      <c r="JM23">
        <f>'Demand Stage 2'!JM22</f>
        <v>0</v>
      </c>
      <c r="JN23">
        <f>'Demand Stage 2'!JN22</f>
        <v>0</v>
      </c>
      <c r="JO23">
        <f>'Demand Stage 2'!JO22</f>
        <v>0</v>
      </c>
      <c r="JP23">
        <f>'Demand Stage 2'!JP22</f>
        <v>0</v>
      </c>
      <c r="JQ23">
        <f>'Demand Stage 2'!JQ22</f>
        <v>0</v>
      </c>
      <c r="JR23">
        <f>'Demand Stage 2'!JR22</f>
        <v>0</v>
      </c>
      <c r="JS23">
        <f>'Demand Stage 2'!JS22</f>
        <v>0</v>
      </c>
      <c r="JT23">
        <f>'Demand Stage 2'!JT22</f>
        <v>0</v>
      </c>
      <c r="JU23">
        <f>'Demand Stage 2'!JU22</f>
        <v>0</v>
      </c>
      <c r="JV23">
        <f>'Demand Stage 2'!JV22</f>
        <v>0</v>
      </c>
      <c r="JW23">
        <f>'Demand Stage 2'!JW22</f>
        <v>0</v>
      </c>
      <c r="JX23">
        <f>'Demand Stage 2'!JX22</f>
        <v>0</v>
      </c>
      <c r="JY23">
        <f>'Demand Stage 2'!JY22</f>
        <v>0</v>
      </c>
      <c r="JZ23">
        <f>'Demand Stage 2'!JZ22</f>
        <v>0</v>
      </c>
      <c r="KA23">
        <f>'Demand Stage 2'!KA22</f>
        <v>0</v>
      </c>
      <c r="KB23">
        <f>'Demand Stage 2'!KB22</f>
        <v>0</v>
      </c>
      <c r="KC23">
        <f>'Demand Stage 2'!KC22</f>
        <v>0</v>
      </c>
      <c r="KD23">
        <f>'Demand Stage 2'!KD22</f>
        <v>0</v>
      </c>
      <c r="KE23">
        <f>'Demand Stage 2'!KE22</f>
        <v>0</v>
      </c>
      <c r="KF23">
        <f>'Demand Stage 2'!KF22</f>
        <v>0</v>
      </c>
      <c r="KG23">
        <f>'Demand Stage 2'!KG22</f>
        <v>0</v>
      </c>
      <c r="KH23">
        <f>'Demand Stage 2'!KH22</f>
        <v>0</v>
      </c>
      <c r="KI23">
        <f>'Demand Stage 2'!KI22</f>
        <v>0</v>
      </c>
      <c r="KJ23">
        <f>'Demand Stage 2'!KJ22</f>
        <v>0</v>
      </c>
      <c r="KK23">
        <f>'Demand Stage 2'!KK22</f>
        <v>0</v>
      </c>
      <c r="KL23">
        <f>'Demand Stage 2'!KL22</f>
        <v>0</v>
      </c>
      <c r="KM23">
        <f>'Demand Stage 2'!KM22</f>
        <v>0</v>
      </c>
      <c r="KN23">
        <f>'Demand Stage 2'!KN22</f>
        <v>0</v>
      </c>
      <c r="KO23">
        <f>'Demand Stage 2'!KO22</f>
        <v>0</v>
      </c>
      <c r="KP23">
        <f>'Demand Stage 2'!KP22</f>
        <v>0</v>
      </c>
      <c r="KQ23">
        <f>'Demand Stage 2'!KQ22</f>
        <v>0</v>
      </c>
      <c r="KR23">
        <f>'Demand Stage 2'!KR22</f>
        <v>0</v>
      </c>
      <c r="KS23">
        <f>'Demand Stage 2'!KS22</f>
        <v>0</v>
      </c>
      <c r="KT23">
        <f>'Demand Stage 2'!KT22</f>
        <v>0</v>
      </c>
      <c r="KU23">
        <f>'Demand Stage 2'!KU22</f>
        <v>0</v>
      </c>
      <c r="KV23">
        <f>'Demand Stage 2'!KV22</f>
        <v>0</v>
      </c>
      <c r="KW23">
        <f>'Demand Stage 2'!KW22</f>
        <v>0</v>
      </c>
      <c r="KX23">
        <f>'Demand Stage 2'!KX22</f>
        <v>0</v>
      </c>
      <c r="KY23">
        <f>'Demand Stage 2'!KY22</f>
        <v>0</v>
      </c>
      <c r="KZ23">
        <f>'Demand Stage 2'!KZ22</f>
        <v>0</v>
      </c>
      <c r="LA23">
        <f>'Demand Stage 2'!LA22</f>
        <v>0</v>
      </c>
      <c r="LB23">
        <f>'Demand Stage 2'!LB22</f>
        <v>0</v>
      </c>
      <c r="LC23">
        <f>'Demand Stage 2'!LC22</f>
        <v>0</v>
      </c>
      <c r="LD23">
        <f>'Demand Stage 2'!LD22</f>
        <v>0</v>
      </c>
      <c r="LE23">
        <f>'Demand Stage 2'!LE22</f>
        <v>0</v>
      </c>
      <c r="LF23">
        <f>'Demand Stage 2'!LF22</f>
        <v>0</v>
      </c>
      <c r="LG23">
        <f>'Demand Stage 2'!LG22</f>
        <v>0</v>
      </c>
      <c r="LH23">
        <f>'Demand Stage 2'!LH22</f>
        <v>0</v>
      </c>
      <c r="LI23">
        <f>'Demand Stage 2'!LI22</f>
        <v>0</v>
      </c>
      <c r="LJ23">
        <f>'Demand Stage 2'!LJ22</f>
        <v>0</v>
      </c>
      <c r="LK23">
        <f>'Demand Stage 2'!LK22</f>
        <v>0</v>
      </c>
      <c r="LL23">
        <f>'Demand Stage 2'!LL22</f>
        <v>0</v>
      </c>
      <c r="LM23">
        <f>'Demand Stage 2'!LM22</f>
        <v>0</v>
      </c>
      <c r="LN23">
        <f>'Demand Stage 2'!LN22</f>
        <v>0</v>
      </c>
      <c r="LO23">
        <f>'Demand Stage 2'!LO22</f>
        <v>0</v>
      </c>
      <c r="LP23">
        <f>'Demand Stage 2'!LP22</f>
        <v>0</v>
      </c>
      <c r="LQ23">
        <f>'Demand Stage 2'!LQ22</f>
        <v>0</v>
      </c>
      <c r="LR23">
        <f>'Demand Stage 2'!LR22</f>
        <v>0</v>
      </c>
      <c r="LS23">
        <f>'Demand Stage 2'!LS22</f>
        <v>0</v>
      </c>
      <c r="LT23">
        <f>'Demand Stage 2'!LT22</f>
        <v>0</v>
      </c>
      <c r="LU23">
        <f>'Demand Stage 2'!LU22</f>
        <v>0</v>
      </c>
      <c r="LV23">
        <f>'Demand Stage 2'!LV22</f>
        <v>0</v>
      </c>
      <c r="LW23">
        <f>'Demand Stage 2'!LW22</f>
        <v>0</v>
      </c>
      <c r="LX23">
        <f>'Demand Stage 2'!LX22</f>
        <v>0</v>
      </c>
      <c r="LY23">
        <f>'Demand Stage 2'!LY22</f>
        <v>0</v>
      </c>
      <c r="LZ23">
        <f>'Demand Stage 2'!LZ22</f>
        <v>0</v>
      </c>
      <c r="MA23">
        <f>'Demand Stage 2'!MA22</f>
        <v>0</v>
      </c>
      <c r="MB23">
        <f>'Demand Stage 2'!MB22</f>
        <v>0</v>
      </c>
      <c r="MC23">
        <f>'Demand Stage 2'!MC22</f>
        <v>0</v>
      </c>
      <c r="MD23">
        <f>'Demand Stage 2'!MD22</f>
        <v>0</v>
      </c>
      <c r="ME23">
        <f>'Demand Stage 2'!ME22</f>
        <v>0</v>
      </c>
      <c r="MF23">
        <f>'Demand Stage 2'!MF22</f>
        <v>0</v>
      </c>
      <c r="MG23">
        <f>'Demand Stage 2'!MG22</f>
        <v>0</v>
      </c>
      <c r="MH23">
        <f>'Demand Stage 2'!MH22</f>
        <v>0</v>
      </c>
      <c r="MI23">
        <f>'Demand Stage 2'!MI22</f>
        <v>0</v>
      </c>
      <c r="MJ23">
        <f>'Demand Stage 2'!MJ22</f>
        <v>0</v>
      </c>
      <c r="MK23">
        <f>'Demand Stage 2'!MK22</f>
        <v>0</v>
      </c>
      <c r="ML23">
        <f>'Demand Stage 2'!ML22</f>
        <v>0</v>
      </c>
      <c r="MM23">
        <f>'Demand Stage 2'!MM22</f>
        <v>0</v>
      </c>
      <c r="MN23">
        <f>'Demand Stage 2'!MN22</f>
        <v>0</v>
      </c>
      <c r="MO23">
        <f>'Demand Stage 2'!MO22</f>
        <v>0</v>
      </c>
      <c r="MP23">
        <f>'Demand Stage 2'!MP22</f>
        <v>0</v>
      </c>
      <c r="MQ23">
        <f>'Demand Stage 2'!MQ22</f>
        <v>0</v>
      </c>
      <c r="MR23">
        <f>'Demand Stage 2'!MR22</f>
        <v>0</v>
      </c>
      <c r="MS23">
        <f>'Demand Stage 2'!MS22</f>
        <v>0</v>
      </c>
      <c r="MT23">
        <f>'Demand Stage 2'!MT22</f>
        <v>0</v>
      </c>
      <c r="MU23">
        <f>'Demand Stage 2'!MU22</f>
        <v>0</v>
      </c>
      <c r="MV23">
        <f>'Demand Stage 2'!MV22</f>
        <v>0</v>
      </c>
      <c r="MW23">
        <f>'Demand Stage 2'!MW22</f>
        <v>0</v>
      </c>
      <c r="MX23">
        <f>'Demand Stage 2'!MX22</f>
        <v>0</v>
      </c>
      <c r="MY23">
        <f>'Demand Stage 2'!MY22</f>
        <v>0</v>
      </c>
      <c r="MZ23">
        <f>'Demand Stage 2'!MZ22</f>
        <v>0</v>
      </c>
      <c r="NA23">
        <f>'Demand Stage 2'!NA22</f>
        <v>0</v>
      </c>
      <c r="NB23">
        <f>'Demand Stage 2'!NB22</f>
        <v>0</v>
      </c>
      <c r="NC23">
        <f>'Demand Stage 2'!NC22</f>
        <v>0</v>
      </c>
      <c r="ND23">
        <f>'Demand Stage 2'!ND22</f>
        <v>0</v>
      </c>
      <c r="NE23">
        <f>'Demand Stage 2'!NE22</f>
        <v>0</v>
      </c>
      <c r="NF23">
        <f>'Demand Stage 2'!NF22</f>
        <v>0</v>
      </c>
      <c r="NG23">
        <f>'Demand Stage 2'!NG22</f>
        <v>0</v>
      </c>
      <c r="NH23">
        <f>'Demand Stage 2'!NH22</f>
        <v>0</v>
      </c>
      <c r="NI23">
        <f>'Demand Stage 2'!NI22</f>
        <v>0</v>
      </c>
      <c r="NJ23">
        <f>'Demand Stage 2'!NJ22</f>
        <v>0</v>
      </c>
      <c r="NK23">
        <f>'Demand Stage 2'!NK22</f>
        <v>0</v>
      </c>
      <c r="NL23">
        <f>'Demand Stage 2'!NL22</f>
        <v>0</v>
      </c>
      <c r="NM23">
        <f>'Demand Stage 2'!NM22</f>
        <v>0</v>
      </c>
      <c r="NN23">
        <f>'Demand Stage 2'!NN22</f>
        <v>0</v>
      </c>
      <c r="NO23">
        <f>'Demand Stage 2'!NO22</f>
        <v>0</v>
      </c>
      <c r="NP23">
        <f>'Demand Stage 2'!NP22</f>
        <v>0</v>
      </c>
      <c r="NQ23">
        <f>'Demand Stage 2'!NQ22</f>
        <v>0</v>
      </c>
      <c r="NR23">
        <f>'Demand Stage 2'!NR22</f>
        <v>0</v>
      </c>
      <c r="NS23">
        <f>'Demand Stage 2'!NS22</f>
        <v>0</v>
      </c>
      <c r="NT23">
        <f>'Demand Stage 2'!NT22</f>
        <v>0</v>
      </c>
      <c r="NU23">
        <f>'Demand Stage 2'!NU22</f>
        <v>0</v>
      </c>
      <c r="NV23">
        <f>'Demand Stage 2'!NV22</f>
        <v>0</v>
      </c>
      <c r="NW23">
        <f>'Demand Stage 2'!NW22</f>
        <v>0</v>
      </c>
      <c r="NX23">
        <f>'Demand Stage 2'!NX22</f>
        <v>0</v>
      </c>
      <c r="NY23">
        <f>'Demand Stage 2'!NY22</f>
        <v>0</v>
      </c>
      <c r="NZ23">
        <f>'Demand Stage 2'!NZ22</f>
        <v>0</v>
      </c>
      <c r="OA23">
        <f>'Demand Stage 2'!OA22</f>
        <v>0</v>
      </c>
      <c r="OB23">
        <f>'Demand Stage 2'!OB22</f>
        <v>0</v>
      </c>
      <c r="OC23">
        <f>'Demand Stage 2'!OC22</f>
        <v>0</v>
      </c>
      <c r="OD23">
        <f>'Demand Stage 2'!OD22</f>
        <v>0</v>
      </c>
      <c r="OE23">
        <f>'Demand Stage 2'!OE22</f>
        <v>0</v>
      </c>
      <c r="OF23">
        <f>'Demand Stage 2'!OF22</f>
        <v>0</v>
      </c>
      <c r="OG23">
        <f>'Demand Stage 2'!OG22</f>
        <v>0</v>
      </c>
      <c r="OH23">
        <f>'Demand Stage 2'!OH22</f>
        <v>0</v>
      </c>
      <c r="OI23">
        <f>'Demand Stage 2'!OI22</f>
        <v>0</v>
      </c>
      <c r="OJ23">
        <f>'Demand Stage 2'!OJ22</f>
        <v>0</v>
      </c>
      <c r="OK23">
        <f>'Demand Stage 2'!OK22</f>
        <v>0</v>
      </c>
      <c r="OL23">
        <f>'Demand Stage 2'!OL22</f>
        <v>0</v>
      </c>
      <c r="OM23">
        <f>'Demand Stage 2'!OM22</f>
        <v>0</v>
      </c>
      <c r="ON23">
        <f>'Demand Stage 2'!ON22</f>
        <v>0</v>
      </c>
      <c r="OO23">
        <f>'Demand Stage 2'!OO22</f>
        <v>0</v>
      </c>
      <c r="OP23">
        <f>'Demand Stage 2'!OP22</f>
        <v>0</v>
      </c>
      <c r="OQ23">
        <f>'Demand Stage 2'!OQ22</f>
        <v>0</v>
      </c>
      <c r="OR23">
        <f>'Demand Stage 2'!OR22</f>
        <v>0</v>
      </c>
      <c r="OS23">
        <f>'Demand Stage 2'!OS22</f>
        <v>0</v>
      </c>
      <c r="OT23">
        <f>'Demand Stage 2'!OT22</f>
        <v>0</v>
      </c>
      <c r="OU23">
        <f>'Demand Stage 2'!OU22</f>
        <v>0</v>
      </c>
      <c r="OV23">
        <f>'Demand Stage 2'!OV22</f>
        <v>0</v>
      </c>
      <c r="OW23">
        <f>'Demand Stage 2'!OW22</f>
        <v>0</v>
      </c>
      <c r="OX23">
        <f>'Demand Stage 2'!OX22</f>
        <v>0</v>
      </c>
      <c r="OY23">
        <f>'Demand Stage 2'!OY22</f>
        <v>0</v>
      </c>
      <c r="OZ23">
        <f>'Demand Stage 2'!OZ22</f>
        <v>0</v>
      </c>
      <c r="PA23">
        <f>'Demand Stage 2'!PA22</f>
        <v>0</v>
      </c>
      <c r="PB23">
        <f>'Demand Stage 2'!PB22</f>
        <v>0</v>
      </c>
      <c r="PC23">
        <f>'Demand Stage 2'!PC22</f>
        <v>0</v>
      </c>
      <c r="PD23">
        <f>'Demand Stage 2'!PD22</f>
        <v>0</v>
      </c>
      <c r="PE23">
        <f>'Demand Stage 2'!PE22</f>
        <v>0</v>
      </c>
      <c r="PF23">
        <f>'Demand Stage 2'!PF22</f>
        <v>0</v>
      </c>
      <c r="PG23">
        <f>'Demand Stage 2'!PG22</f>
        <v>0</v>
      </c>
      <c r="PH23">
        <f>'Demand Stage 2'!PH22</f>
        <v>0</v>
      </c>
      <c r="PI23">
        <f>'Demand Stage 2'!PI22</f>
        <v>0</v>
      </c>
      <c r="PJ23">
        <f>'Demand Stage 2'!PJ22</f>
        <v>0</v>
      </c>
      <c r="PK23">
        <f>'Demand Stage 2'!PK22</f>
        <v>0</v>
      </c>
      <c r="PL23">
        <f>'Demand Stage 2'!PL22</f>
        <v>0</v>
      </c>
      <c r="PM23">
        <f>'Demand Stage 2'!PM22</f>
        <v>0</v>
      </c>
      <c r="PN23">
        <f>'Demand Stage 2'!PN22</f>
        <v>0</v>
      </c>
      <c r="PO23">
        <f>'Demand Stage 2'!PO22</f>
        <v>0</v>
      </c>
      <c r="PP23">
        <f>'Demand Stage 2'!PP22</f>
        <v>0</v>
      </c>
      <c r="PQ23">
        <f>'Demand Stage 2'!PQ22</f>
        <v>0</v>
      </c>
      <c r="PR23">
        <f>'Demand Stage 2'!PR22</f>
        <v>0</v>
      </c>
      <c r="PS23">
        <f>'Demand Stage 2'!PS22</f>
        <v>0</v>
      </c>
      <c r="PT23">
        <f>'Demand Stage 2'!PT22</f>
        <v>0</v>
      </c>
      <c r="PU23">
        <f>'Demand Stage 2'!PU22</f>
        <v>0</v>
      </c>
      <c r="PV23">
        <f>'Demand Stage 2'!PV22</f>
        <v>0</v>
      </c>
      <c r="PW23">
        <f>'Demand Stage 2'!PW22</f>
        <v>0</v>
      </c>
      <c r="PX23">
        <f>'Demand Stage 2'!PX22</f>
        <v>0</v>
      </c>
      <c r="PY23">
        <f>'Demand Stage 2'!PY22</f>
        <v>0</v>
      </c>
      <c r="PZ23">
        <f>'Demand Stage 2'!PZ22</f>
        <v>0</v>
      </c>
      <c r="QA23">
        <f>'Demand Stage 2'!QA22</f>
        <v>0</v>
      </c>
      <c r="QB23">
        <f>'Demand Stage 2'!QB22</f>
        <v>0</v>
      </c>
      <c r="QC23">
        <f>'Demand Stage 2'!QC22</f>
        <v>0</v>
      </c>
      <c r="QD23">
        <f>'Demand Stage 2'!QD22</f>
        <v>0</v>
      </c>
      <c r="QE23">
        <f>'Demand Stage 2'!QE22</f>
        <v>0</v>
      </c>
      <c r="QF23">
        <f>'Demand Stage 2'!QF22</f>
        <v>0</v>
      </c>
      <c r="QG23">
        <f>'Demand Stage 2'!QG22</f>
        <v>0</v>
      </c>
      <c r="QH23">
        <f>'Demand Stage 2'!QH22</f>
        <v>0</v>
      </c>
      <c r="QI23">
        <f>'Demand Stage 2'!QI22</f>
        <v>0</v>
      </c>
      <c r="QJ23">
        <f>'Demand Stage 2'!QJ22</f>
        <v>0</v>
      </c>
      <c r="QK23">
        <f>'Demand Stage 2'!QK22</f>
        <v>0</v>
      </c>
      <c r="QL23">
        <f>'Demand Stage 2'!QL22</f>
        <v>0</v>
      </c>
      <c r="QM23">
        <f>'Demand Stage 2'!QM22</f>
        <v>0</v>
      </c>
      <c r="QN23">
        <f>'Demand Stage 2'!QN22</f>
        <v>0</v>
      </c>
      <c r="QO23">
        <f>'Demand Stage 2'!QO22</f>
        <v>0</v>
      </c>
      <c r="QP23">
        <f>'Demand Stage 2'!QP22</f>
        <v>0</v>
      </c>
      <c r="QQ23">
        <f>'Demand Stage 2'!QQ22</f>
        <v>0</v>
      </c>
      <c r="QR23">
        <f>'Demand Stage 2'!QR22</f>
        <v>0</v>
      </c>
      <c r="QS23">
        <f>'Demand Stage 2'!QS22</f>
        <v>0</v>
      </c>
      <c r="QT23">
        <f>'Demand Stage 2'!QT22</f>
        <v>0</v>
      </c>
      <c r="QU23">
        <f>'Demand Stage 2'!QU22</f>
        <v>0</v>
      </c>
      <c r="QV23">
        <f>'Demand Stage 2'!QV22</f>
        <v>0</v>
      </c>
      <c r="QW23">
        <f>'Demand Stage 2'!QW22</f>
        <v>0</v>
      </c>
      <c r="QX23">
        <f>'Demand Stage 2'!QX22</f>
        <v>0</v>
      </c>
      <c r="QY23">
        <f>'Demand Stage 2'!QY22</f>
        <v>0</v>
      </c>
      <c r="QZ23">
        <f>'Demand Stage 2'!QZ22</f>
        <v>0</v>
      </c>
      <c r="RA23">
        <f>'Demand Stage 2'!RA22</f>
        <v>0</v>
      </c>
      <c r="RB23">
        <f>'Demand Stage 2'!RB22</f>
        <v>0</v>
      </c>
      <c r="RC23">
        <f>'Demand Stage 2'!RC22</f>
        <v>0</v>
      </c>
      <c r="RD23">
        <f>'Demand Stage 2'!RD22</f>
        <v>0</v>
      </c>
      <c r="RE23">
        <f>'Demand Stage 2'!RE22</f>
        <v>0</v>
      </c>
      <c r="RF23">
        <f>'Demand Stage 2'!RF22</f>
        <v>0</v>
      </c>
      <c r="RG23">
        <f>'Demand Stage 2'!RG22</f>
        <v>0</v>
      </c>
      <c r="RH23">
        <f>'Demand Stage 2'!RH22</f>
        <v>0</v>
      </c>
      <c r="RI23">
        <f>'Demand Stage 2'!RI22</f>
        <v>0</v>
      </c>
      <c r="RJ23">
        <f>'Demand Stage 2'!RJ22</f>
        <v>0</v>
      </c>
      <c r="RK23">
        <f>'Demand Stage 2'!RK22</f>
        <v>0</v>
      </c>
      <c r="RL23">
        <f>'Demand Stage 2'!RL22</f>
        <v>0</v>
      </c>
      <c r="RM23">
        <f>'Demand Stage 2'!RM22</f>
        <v>0</v>
      </c>
      <c r="RN23">
        <f>'Demand Stage 2'!RN22</f>
        <v>0</v>
      </c>
      <c r="RO23">
        <f>'Demand Stage 2'!RO22</f>
        <v>0</v>
      </c>
      <c r="RP23">
        <f>'Demand Stage 2'!RP22</f>
        <v>0</v>
      </c>
      <c r="RQ23">
        <f>'Demand Stage 2'!RQ22</f>
        <v>0</v>
      </c>
      <c r="RR23">
        <f>'Demand Stage 2'!RR22</f>
        <v>0</v>
      </c>
      <c r="RS23">
        <f>'Demand Stage 2'!RS22</f>
        <v>0</v>
      </c>
      <c r="RT23">
        <f>'Demand Stage 2'!RT22</f>
        <v>0</v>
      </c>
      <c r="RU23">
        <f>'Demand Stage 2'!RU22</f>
        <v>0</v>
      </c>
      <c r="RV23">
        <f>'Demand Stage 2'!RV22</f>
        <v>0</v>
      </c>
      <c r="RW23">
        <f>'Demand Stage 2'!RW22</f>
        <v>0</v>
      </c>
      <c r="RX23">
        <f>'Demand Stage 2'!RX22</f>
        <v>0</v>
      </c>
      <c r="RY23">
        <f>'Demand Stage 2'!RY22</f>
        <v>0</v>
      </c>
      <c r="RZ23">
        <f>'Demand Stage 2'!RZ22</f>
        <v>0</v>
      </c>
      <c r="SA23">
        <f>'Demand Stage 2'!SA22</f>
        <v>0</v>
      </c>
      <c r="SB23">
        <f>'Demand Stage 2'!SB22</f>
        <v>0</v>
      </c>
      <c r="SC23">
        <f>'Demand Stage 2'!SC22</f>
        <v>0</v>
      </c>
      <c r="SD23">
        <f>'Demand Stage 2'!SD22</f>
        <v>0</v>
      </c>
      <c r="SE23">
        <f>'Demand Stage 2'!SE22</f>
        <v>0</v>
      </c>
      <c r="SF23">
        <f>'Demand Stage 2'!SF22</f>
        <v>0</v>
      </c>
      <c r="SG23">
        <f>'Demand Stage 2'!SG22</f>
        <v>0</v>
      </c>
      <c r="SH23">
        <f>'Demand Stage 2'!SH22</f>
        <v>0</v>
      </c>
      <c r="SI23">
        <f>'Demand Stage 2'!SI22</f>
        <v>0</v>
      </c>
      <c r="SJ23">
        <f>'Demand Stage 2'!SJ22</f>
        <v>0</v>
      </c>
      <c r="SK23">
        <f>'Demand Stage 2'!SK22</f>
        <v>0</v>
      </c>
      <c r="SL23">
        <f>'Demand Stage 2'!SL22</f>
        <v>0</v>
      </c>
      <c r="SM23">
        <f>'Demand Stage 2'!SM22</f>
        <v>0</v>
      </c>
      <c r="SN23">
        <f>'Demand Stage 2'!SN22</f>
        <v>0</v>
      </c>
      <c r="SO23">
        <f>'Demand Stage 2'!SO22</f>
        <v>0</v>
      </c>
      <c r="SP23">
        <f>'Demand Stage 2'!SP22</f>
        <v>0</v>
      </c>
      <c r="SQ23">
        <f>'Demand Stage 2'!SQ22</f>
        <v>0</v>
      </c>
      <c r="SR23">
        <f>'Demand Stage 2'!SR22</f>
        <v>0</v>
      </c>
      <c r="SS23">
        <f>'Demand Stage 2'!SS22</f>
        <v>0</v>
      </c>
      <c r="ST23">
        <f>'Demand Stage 2'!ST22</f>
        <v>0</v>
      </c>
      <c r="SU23">
        <f>'Demand Stage 2'!SU22</f>
        <v>0</v>
      </c>
      <c r="SV23">
        <f>'Demand Stage 2'!SV22</f>
        <v>0</v>
      </c>
      <c r="SW23">
        <f>'Demand Stage 2'!SW22</f>
        <v>0</v>
      </c>
      <c r="SX23">
        <f>'Demand Stage 2'!SX22</f>
        <v>0</v>
      </c>
      <c r="SY23">
        <f>'Demand Stage 2'!SY22</f>
        <v>0</v>
      </c>
      <c r="SZ23">
        <f>'Demand Stage 2'!SZ22</f>
        <v>0</v>
      </c>
      <c r="TA23">
        <f>'Demand Stage 2'!TA22</f>
        <v>0</v>
      </c>
      <c r="TB23">
        <f>'Demand Stage 2'!TB22</f>
        <v>0</v>
      </c>
      <c r="TC23">
        <f>'Demand Stage 2'!TC22</f>
        <v>0</v>
      </c>
      <c r="TD23">
        <f>'Demand Stage 2'!TD22</f>
        <v>0</v>
      </c>
      <c r="TE23">
        <f>'Demand Stage 2'!TE22</f>
        <v>0</v>
      </c>
      <c r="TF23">
        <f>'Demand Stage 2'!TF22</f>
        <v>0</v>
      </c>
      <c r="TG23">
        <f>'Demand Stage 2'!TG22</f>
        <v>0</v>
      </c>
      <c r="TH23">
        <f>'Demand Stage 2'!TH22</f>
        <v>0</v>
      </c>
      <c r="TI23">
        <f>'Demand Stage 2'!TI22</f>
        <v>0</v>
      </c>
      <c r="TJ23">
        <f>'Demand Stage 2'!TJ22</f>
        <v>0</v>
      </c>
      <c r="TK23">
        <f>'Demand Stage 2'!TK22</f>
        <v>0</v>
      </c>
      <c r="TL23">
        <f>'Demand Stage 2'!TL22</f>
        <v>0</v>
      </c>
      <c r="TM23">
        <f>'Demand Stage 2'!TM22</f>
        <v>0</v>
      </c>
      <c r="TN23">
        <f>'Demand Stage 2'!TN22</f>
        <v>0</v>
      </c>
      <c r="TO23">
        <f>'Demand Stage 2'!TO22</f>
        <v>0</v>
      </c>
      <c r="TP23">
        <f>'Demand Stage 2'!TP22</f>
        <v>0</v>
      </c>
      <c r="TQ23">
        <f>'Demand Stage 2'!TQ22</f>
        <v>0</v>
      </c>
      <c r="TR23">
        <f>'Demand Stage 2'!TR22</f>
        <v>0</v>
      </c>
      <c r="TS23">
        <f>'Demand Stage 2'!TS22</f>
        <v>0</v>
      </c>
      <c r="TT23">
        <f>'Demand Stage 2'!TT22</f>
        <v>0</v>
      </c>
      <c r="TU23">
        <f>'Demand Stage 2'!TU22</f>
        <v>0</v>
      </c>
      <c r="TV23">
        <f>'Demand Stage 2'!TV22</f>
        <v>0</v>
      </c>
      <c r="TW23">
        <f>'Demand Stage 2'!TW22</f>
        <v>0</v>
      </c>
      <c r="TX23">
        <f>'Demand Stage 2'!TX22</f>
        <v>0</v>
      </c>
      <c r="TY23">
        <f>'Demand Stage 2'!TY22</f>
        <v>0</v>
      </c>
      <c r="TZ23">
        <f>'Demand Stage 2'!TZ22</f>
        <v>0</v>
      </c>
      <c r="UA23">
        <f>'Demand Stage 2'!UA22</f>
        <v>0</v>
      </c>
      <c r="UB23">
        <f>'Demand Stage 2'!UB22</f>
        <v>0</v>
      </c>
      <c r="UC23">
        <f>'Demand Stage 2'!UC22</f>
        <v>0</v>
      </c>
      <c r="UD23">
        <f>'Demand Stage 2'!UD22</f>
        <v>0</v>
      </c>
      <c r="UE23">
        <f>'Demand Stage 2'!UE22</f>
        <v>0</v>
      </c>
      <c r="UF23">
        <f>'Demand Stage 2'!UF22</f>
        <v>0</v>
      </c>
      <c r="UG23">
        <f>'Demand Stage 2'!UG22</f>
        <v>0</v>
      </c>
      <c r="UH23">
        <f>'Demand Stage 2'!UH22</f>
        <v>0</v>
      </c>
      <c r="UI23">
        <f>'Demand Stage 2'!UI22</f>
        <v>0</v>
      </c>
      <c r="UJ23">
        <f>'Demand Stage 2'!UJ22</f>
        <v>0</v>
      </c>
      <c r="UK23">
        <f>'Demand Stage 2'!UK22</f>
        <v>0</v>
      </c>
      <c r="UL23">
        <f>'Demand Stage 2'!UL22</f>
        <v>0</v>
      </c>
      <c r="UM23">
        <f>'Demand Stage 2'!UM22</f>
        <v>0</v>
      </c>
      <c r="UN23">
        <f>'Demand Stage 2'!UN22</f>
        <v>0</v>
      </c>
      <c r="UO23">
        <f>'Demand Stage 2'!UO22</f>
        <v>0</v>
      </c>
      <c r="UP23">
        <f>'Demand Stage 2'!UP22</f>
        <v>0</v>
      </c>
      <c r="UQ23">
        <f>'Demand Stage 2'!UQ22</f>
        <v>0</v>
      </c>
      <c r="UR23">
        <f>'Demand Stage 2'!UR22</f>
        <v>0</v>
      </c>
      <c r="US23">
        <f>'Demand Stage 2'!US22</f>
        <v>0</v>
      </c>
      <c r="UT23">
        <f>'Demand Stage 2'!UT22</f>
        <v>0</v>
      </c>
      <c r="UU23">
        <f>'Demand Stage 2'!UU22</f>
        <v>0</v>
      </c>
      <c r="UV23">
        <f>'Demand Stage 2'!UV22</f>
        <v>0</v>
      </c>
      <c r="UW23">
        <f>'Demand Stage 2'!UW22</f>
        <v>0</v>
      </c>
      <c r="UX23">
        <f>'Demand Stage 2'!UX22</f>
        <v>0</v>
      </c>
      <c r="UY23">
        <f>'Demand Stage 2'!UY22</f>
        <v>0</v>
      </c>
      <c r="UZ23">
        <f>'Demand Stage 2'!UZ22</f>
        <v>0</v>
      </c>
      <c r="VA23">
        <f>'Demand Stage 2'!VA22</f>
        <v>0</v>
      </c>
      <c r="VB23">
        <f>'Demand Stage 2'!VB22</f>
        <v>0</v>
      </c>
      <c r="VC23">
        <f>'Demand Stage 2'!VC22</f>
        <v>0</v>
      </c>
      <c r="VD23">
        <f>'Demand Stage 2'!VD22</f>
        <v>0</v>
      </c>
      <c r="VE23">
        <f>'Demand Stage 2'!VE22</f>
        <v>0</v>
      </c>
      <c r="VF23">
        <f>'Demand Stage 2'!VF22</f>
        <v>0</v>
      </c>
      <c r="VG23">
        <f>'Demand Stage 2'!VG22</f>
        <v>0</v>
      </c>
      <c r="VH23">
        <f>'Demand Stage 2'!VH22</f>
        <v>0</v>
      </c>
      <c r="VI23">
        <f>'Demand Stage 2'!VI22</f>
        <v>0</v>
      </c>
      <c r="VJ23">
        <f>'Demand Stage 2'!VJ22</f>
        <v>0</v>
      </c>
      <c r="VK23">
        <f>'Demand Stage 2'!VK22</f>
        <v>0</v>
      </c>
      <c r="VL23">
        <f>'Demand Stage 2'!VL22</f>
        <v>0</v>
      </c>
      <c r="VM23">
        <f>'Demand Stage 2'!VM22</f>
        <v>0</v>
      </c>
      <c r="VN23">
        <f>'Demand Stage 2'!VN22</f>
        <v>0</v>
      </c>
      <c r="VO23">
        <f>'Demand Stage 2'!VO22</f>
        <v>0</v>
      </c>
      <c r="VP23">
        <f>'Demand Stage 2'!VP22</f>
        <v>0</v>
      </c>
      <c r="VQ23">
        <f>'Demand Stage 2'!VQ22</f>
        <v>0</v>
      </c>
      <c r="VR23">
        <f>'Demand Stage 2'!VR22</f>
        <v>0</v>
      </c>
      <c r="VS23">
        <f>'Demand Stage 2'!VS22</f>
        <v>0</v>
      </c>
      <c r="VT23">
        <f>'Demand Stage 2'!VT22</f>
        <v>0</v>
      </c>
      <c r="VU23">
        <f>'Demand Stage 2'!VU22</f>
        <v>0</v>
      </c>
      <c r="VV23">
        <f>'Demand Stage 2'!VV22</f>
        <v>0</v>
      </c>
      <c r="VW23">
        <f>'Demand Stage 2'!VW22</f>
        <v>0</v>
      </c>
      <c r="VX23">
        <f>'Demand Stage 2'!VX22</f>
        <v>0</v>
      </c>
      <c r="VY23">
        <f>'Demand Stage 2'!VY22</f>
        <v>0</v>
      </c>
      <c r="VZ23">
        <f>'Demand Stage 2'!VZ22</f>
        <v>0</v>
      </c>
      <c r="WA23">
        <f>'Demand Stage 2'!WA22</f>
        <v>0</v>
      </c>
      <c r="WB23">
        <f>'Demand Stage 2'!WB22</f>
        <v>0</v>
      </c>
      <c r="WC23">
        <f>'Demand Stage 2'!WC22</f>
        <v>0</v>
      </c>
      <c r="WD23">
        <f>'Demand Stage 2'!WD22</f>
        <v>0</v>
      </c>
      <c r="WE23">
        <f>'Demand Stage 2'!WE22</f>
        <v>0</v>
      </c>
      <c r="WF23">
        <f>'Demand Stage 2'!WF22</f>
        <v>0</v>
      </c>
      <c r="WG23">
        <f>'Demand Stage 2'!WG22</f>
        <v>0</v>
      </c>
      <c r="WH23">
        <f>'Demand Stage 2'!WH22</f>
        <v>0</v>
      </c>
      <c r="WI23">
        <f>'Demand Stage 2'!WI22</f>
        <v>0</v>
      </c>
      <c r="WJ23">
        <f>'Demand Stage 2'!WJ22</f>
        <v>0</v>
      </c>
      <c r="WK23">
        <f>'Demand Stage 2'!WK22</f>
        <v>0</v>
      </c>
      <c r="WL23">
        <f>'Demand Stage 2'!WL22</f>
        <v>0</v>
      </c>
      <c r="WM23">
        <f>'Demand Stage 2'!WM22</f>
        <v>0</v>
      </c>
      <c r="WN23">
        <f>'Demand Stage 2'!WN22</f>
        <v>0</v>
      </c>
      <c r="WO23">
        <f>'Demand Stage 2'!WO22</f>
        <v>0</v>
      </c>
      <c r="WP23">
        <f>'Demand Stage 2'!WP22</f>
        <v>0</v>
      </c>
      <c r="WQ23">
        <f>'Demand Stage 2'!WQ22</f>
        <v>0</v>
      </c>
      <c r="WR23">
        <f>'Demand Stage 2'!WR22</f>
        <v>0</v>
      </c>
      <c r="WS23">
        <f>'Demand Stage 2'!WS22</f>
        <v>0</v>
      </c>
      <c r="WT23">
        <f>'Demand Stage 2'!WT22</f>
        <v>0</v>
      </c>
      <c r="WU23">
        <f>'Demand Stage 2'!WU22</f>
        <v>0</v>
      </c>
      <c r="WV23">
        <f>'Demand Stage 2'!WV22</f>
        <v>0</v>
      </c>
      <c r="WW23">
        <f>'Demand Stage 2'!WW22</f>
        <v>0</v>
      </c>
      <c r="WX23">
        <f>'Demand Stage 2'!WX22</f>
        <v>0</v>
      </c>
      <c r="WY23">
        <f>'Demand Stage 2'!WY22</f>
        <v>0</v>
      </c>
      <c r="WZ23">
        <f>'Demand Stage 2'!WZ22</f>
        <v>0</v>
      </c>
      <c r="XA23">
        <f>'Demand Stage 2'!XA22</f>
        <v>0</v>
      </c>
      <c r="XB23">
        <f>'Demand Stage 2'!XB22</f>
        <v>0</v>
      </c>
      <c r="XC23">
        <f>'Demand Stage 2'!XC22</f>
        <v>0</v>
      </c>
      <c r="XD23">
        <f>'Demand Stage 2'!XD22</f>
        <v>0</v>
      </c>
      <c r="XE23">
        <f>'Demand Stage 2'!XE22</f>
        <v>0</v>
      </c>
      <c r="XF23">
        <f>'Demand Stage 2'!XF22</f>
        <v>0</v>
      </c>
      <c r="XG23">
        <f>'Demand Stage 2'!XG22</f>
        <v>0</v>
      </c>
      <c r="XH23">
        <f>'Demand Stage 2'!XH22</f>
        <v>0</v>
      </c>
      <c r="XI23">
        <f>'Demand Stage 2'!XI22</f>
        <v>0</v>
      </c>
      <c r="XJ23">
        <f>'Demand Stage 2'!XJ22</f>
        <v>0</v>
      </c>
      <c r="XK23">
        <f>'Demand Stage 2'!XK22</f>
        <v>0</v>
      </c>
      <c r="XL23">
        <f>'Demand Stage 2'!XL22</f>
        <v>0</v>
      </c>
      <c r="XM23">
        <f>'Demand Stage 2'!XM22</f>
        <v>0</v>
      </c>
      <c r="XN23">
        <f>'Demand Stage 2'!XN22</f>
        <v>0</v>
      </c>
      <c r="XO23">
        <f>'Demand Stage 2'!XO22</f>
        <v>0</v>
      </c>
      <c r="XP23">
        <f>'Demand Stage 2'!XP22</f>
        <v>0</v>
      </c>
      <c r="XQ23">
        <f>'Demand Stage 2'!XQ22</f>
        <v>0</v>
      </c>
      <c r="XR23">
        <f>'Demand Stage 2'!XR22</f>
        <v>0</v>
      </c>
      <c r="XS23">
        <f>'Demand Stage 2'!XS22</f>
        <v>0</v>
      </c>
      <c r="XT23">
        <f>'Demand Stage 2'!XT22</f>
        <v>0</v>
      </c>
      <c r="XU23">
        <f>'Demand Stage 2'!XU22</f>
        <v>0</v>
      </c>
      <c r="XV23">
        <f>'Demand Stage 2'!XV22</f>
        <v>0</v>
      </c>
      <c r="XW23">
        <f>'Demand Stage 2'!XW22</f>
        <v>0</v>
      </c>
      <c r="XX23">
        <f>'Demand Stage 2'!XX22</f>
        <v>0</v>
      </c>
      <c r="XY23">
        <f>'Demand Stage 2'!XY22</f>
        <v>0</v>
      </c>
      <c r="XZ23">
        <f>'Demand Stage 2'!XZ22</f>
        <v>0</v>
      </c>
      <c r="YA23">
        <f>'Demand Stage 2'!YA22</f>
        <v>0</v>
      </c>
      <c r="YB23">
        <f>'Demand Stage 2'!YB22</f>
        <v>0</v>
      </c>
      <c r="YC23">
        <f>'Demand Stage 2'!YC22</f>
        <v>0</v>
      </c>
      <c r="YD23">
        <f>'Demand Stage 2'!YD22</f>
        <v>0</v>
      </c>
      <c r="YE23">
        <f>'Demand Stage 2'!YE22</f>
        <v>0</v>
      </c>
      <c r="YF23">
        <f>'Demand Stage 2'!YF22</f>
        <v>0</v>
      </c>
      <c r="YG23">
        <f>'Demand Stage 2'!YG22</f>
        <v>0</v>
      </c>
      <c r="YH23">
        <f>'Demand Stage 2'!YH22</f>
        <v>0</v>
      </c>
      <c r="YI23">
        <f>'Demand Stage 2'!YI22</f>
        <v>0</v>
      </c>
      <c r="YJ23">
        <f>'Demand Stage 2'!YJ22</f>
        <v>0</v>
      </c>
      <c r="YK23">
        <f>'Demand Stage 2'!YK22</f>
        <v>0</v>
      </c>
      <c r="YL23">
        <f>'Demand Stage 2'!YL22</f>
        <v>0</v>
      </c>
      <c r="YM23">
        <f>'Demand Stage 2'!YM22</f>
        <v>0</v>
      </c>
      <c r="YN23">
        <f>'Demand Stage 2'!YN22</f>
        <v>0</v>
      </c>
      <c r="YO23">
        <f>'Demand Stage 2'!YO22</f>
        <v>0</v>
      </c>
      <c r="YP23">
        <f>'Demand Stage 2'!YP22</f>
        <v>0</v>
      </c>
      <c r="YQ23">
        <f>'Demand Stage 2'!YQ22</f>
        <v>0</v>
      </c>
      <c r="YR23">
        <f>'Demand Stage 2'!YR22</f>
        <v>0</v>
      </c>
      <c r="YS23">
        <f>'Demand Stage 2'!YS22</f>
        <v>0</v>
      </c>
      <c r="YT23">
        <f>'Demand Stage 2'!YT22</f>
        <v>0</v>
      </c>
      <c r="YU23">
        <f>'Demand Stage 2'!YU22</f>
        <v>0</v>
      </c>
      <c r="YV23">
        <f>'Demand Stage 2'!YV22</f>
        <v>0</v>
      </c>
      <c r="YW23">
        <f>'Demand Stage 2'!YW22</f>
        <v>0</v>
      </c>
      <c r="YX23">
        <f>'Demand Stage 2'!YX22</f>
        <v>0</v>
      </c>
      <c r="YY23">
        <f>'Demand Stage 2'!YY22</f>
        <v>0</v>
      </c>
      <c r="YZ23">
        <f>'Demand Stage 2'!YZ22</f>
        <v>0</v>
      </c>
      <c r="ZA23">
        <f>'Demand Stage 2'!ZA22</f>
        <v>0</v>
      </c>
      <c r="ZB23">
        <f>'Demand Stage 2'!ZB22</f>
        <v>0</v>
      </c>
      <c r="ZC23">
        <f>'Demand Stage 2'!ZC22</f>
        <v>0</v>
      </c>
      <c r="ZD23">
        <f>'Demand Stage 2'!ZD22</f>
        <v>0</v>
      </c>
      <c r="ZE23">
        <f>'Demand Stage 2'!ZE22</f>
        <v>0</v>
      </c>
      <c r="ZF23">
        <f>'Demand Stage 2'!ZF22</f>
        <v>0</v>
      </c>
      <c r="ZG23">
        <f>'Demand Stage 2'!ZG22</f>
        <v>0</v>
      </c>
      <c r="ZH23">
        <f>'Demand Stage 2'!ZH22</f>
        <v>0</v>
      </c>
      <c r="ZI23">
        <f>'Demand Stage 2'!ZI22</f>
        <v>0</v>
      </c>
      <c r="ZJ23">
        <f>'Demand Stage 2'!ZJ22</f>
        <v>0</v>
      </c>
      <c r="ZK23">
        <f>'Demand Stage 2'!ZK22</f>
        <v>0</v>
      </c>
      <c r="ZL23">
        <f>'Demand Stage 2'!ZL22</f>
        <v>0</v>
      </c>
      <c r="ZM23">
        <f>'Demand Stage 2'!ZM22</f>
        <v>0</v>
      </c>
      <c r="ZN23">
        <f>'Demand Stage 2'!ZN22</f>
        <v>0</v>
      </c>
      <c r="ZO23">
        <f>'Demand Stage 2'!ZO22</f>
        <v>0</v>
      </c>
      <c r="ZP23">
        <f>'Demand Stage 2'!ZP22</f>
        <v>0</v>
      </c>
      <c r="ZQ23">
        <f>'Demand Stage 2'!ZQ22</f>
        <v>0</v>
      </c>
      <c r="ZR23">
        <f>'Demand Stage 2'!ZR22</f>
        <v>0</v>
      </c>
      <c r="ZS23">
        <f>'Demand Stage 2'!ZS22</f>
        <v>0</v>
      </c>
      <c r="ZT23">
        <f>'Demand Stage 2'!ZT22</f>
        <v>0</v>
      </c>
      <c r="ZU23">
        <f>'Demand Stage 2'!ZU22</f>
        <v>0</v>
      </c>
      <c r="ZV23">
        <f>'Demand Stage 2'!ZV22</f>
        <v>0</v>
      </c>
      <c r="ZW23">
        <f>'Demand Stage 2'!ZW22</f>
        <v>0</v>
      </c>
      <c r="ZX23">
        <f>'Demand Stage 2'!ZX22</f>
        <v>0</v>
      </c>
      <c r="ZY23">
        <f>'Demand Stage 2'!ZY22</f>
        <v>0</v>
      </c>
      <c r="ZZ23">
        <f>'Demand Stage 2'!ZZ22</f>
        <v>0</v>
      </c>
      <c r="AAA23">
        <f>'Demand Stage 2'!AAA22</f>
        <v>0</v>
      </c>
      <c r="AAB23">
        <f>'Demand Stage 2'!AAB22</f>
        <v>0</v>
      </c>
      <c r="AAC23">
        <f>'Demand Stage 2'!AAC22</f>
        <v>0</v>
      </c>
      <c r="AAD23">
        <f t="shared" si="33"/>
        <v>0</v>
      </c>
      <c r="AAE23">
        <f t="shared" si="66"/>
        <v>0</v>
      </c>
      <c r="AAF23">
        <f t="shared" si="67"/>
        <v>0</v>
      </c>
      <c r="AAG23">
        <f t="shared" si="68"/>
        <v>0</v>
      </c>
      <c r="AAH23">
        <f t="shared" si="69"/>
        <v>0</v>
      </c>
      <c r="AAI23">
        <f t="shared" si="70"/>
        <v>0</v>
      </c>
      <c r="AAJ23">
        <f t="shared" si="71"/>
        <v>0</v>
      </c>
      <c r="AAK23">
        <f t="shared" si="72"/>
        <v>0</v>
      </c>
      <c r="AAL23">
        <f t="shared" si="73"/>
        <v>0</v>
      </c>
      <c r="AAM23">
        <f t="shared" si="74"/>
        <v>0</v>
      </c>
      <c r="AAN23">
        <f t="shared" si="75"/>
        <v>0</v>
      </c>
      <c r="AAO23">
        <f t="shared" si="76"/>
        <v>0</v>
      </c>
      <c r="AAP23">
        <f t="shared" si="77"/>
        <v>0</v>
      </c>
      <c r="AAQ23">
        <f t="shared" si="78"/>
        <v>0</v>
      </c>
      <c r="AAR23">
        <f t="shared" si="79"/>
        <v>0</v>
      </c>
      <c r="AAS23">
        <f t="shared" si="80"/>
        <v>0</v>
      </c>
      <c r="AAT23">
        <f t="shared" si="81"/>
        <v>0</v>
      </c>
      <c r="AAU23">
        <f t="shared" si="82"/>
        <v>0</v>
      </c>
      <c r="AAV23">
        <f t="shared" si="83"/>
        <v>0</v>
      </c>
      <c r="AAW23">
        <f t="shared" si="84"/>
        <v>0</v>
      </c>
      <c r="AAX23">
        <f t="shared" si="85"/>
        <v>0</v>
      </c>
      <c r="AAY23">
        <f t="shared" si="86"/>
        <v>0</v>
      </c>
      <c r="AAZ23">
        <f t="shared" si="87"/>
        <v>0</v>
      </c>
      <c r="ABA23">
        <f t="shared" si="88"/>
        <v>0</v>
      </c>
      <c r="ABB23">
        <f t="shared" si="89"/>
        <v>0</v>
      </c>
      <c r="ABC23">
        <f t="shared" si="90"/>
        <v>0</v>
      </c>
      <c r="ABD23">
        <f t="shared" si="91"/>
        <v>0</v>
      </c>
      <c r="ABE23">
        <f t="shared" si="92"/>
        <v>0</v>
      </c>
      <c r="ABF23">
        <f t="shared" si="93"/>
        <v>0</v>
      </c>
      <c r="ABG23">
        <f t="shared" si="94"/>
        <v>0</v>
      </c>
      <c r="ABH23">
        <f t="shared" si="95"/>
        <v>0</v>
      </c>
      <c r="ABI23">
        <f t="shared" si="96"/>
        <v>0</v>
      </c>
      <c r="ABJ23">
        <f t="shared" si="97"/>
        <v>0</v>
      </c>
      <c r="ABK23">
        <f t="shared" si="98"/>
        <v>0</v>
      </c>
      <c r="ABL23">
        <f t="shared" si="99"/>
        <v>0</v>
      </c>
      <c r="ABM23">
        <f t="shared" si="100"/>
        <v>0</v>
      </c>
      <c r="ABN23">
        <f t="shared" si="101"/>
        <v>0</v>
      </c>
      <c r="ABO23">
        <f t="shared" si="102"/>
        <v>0</v>
      </c>
      <c r="ABP23">
        <f t="shared" si="103"/>
        <v>0</v>
      </c>
      <c r="ABQ23">
        <f t="shared" si="104"/>
        <v>0</v>
      </c>
      <c r="ABR23">
        <f t="shared" si="105"/>
        <v>0</v>
      </c>
      <c r="ABS23">
        <f t="shared" si="106"/>
        <v>0</v>
      </c>
      <c r="ABT23">
        <f t="shared" si="107"/>
        <v>0</v>
      </c>
      <c r="ABU23">
        <f t="shared" si="108"/>
        <v>0</v>
      </c>
      <c r="ABV23">
        <f t="shared" si="109"/>
        <v>0</v>
      </c>
      <c r="ABW23">
        <f t="shared" si="110"/>
        <v>0</v>
      </c>
      <c r="ABX23">
        <f t="shared" si="111"/>
        <v>0</v>
      </c>
      <c r="ABY23">
        <f t="shared" si="112"/>
        <v>0</v>
      </c>
      <c r="ABZ23">
        <f t="shared" si="113"/>
        <v>0</v>
      </c>
      <c r="ACA23">
        <f t="shared" si="114"/>
        <v>0</v>
      </c>
      <c r="ACB23">
        <f t="shared" si="115"/>
        <v>0</v>
      </c>
      <c r="ACC23">
        <f t="shared" si="116"/>
        <v>0</v>
      </c>
      <c r="ACD23">
        <f t="shared" si="117"/>
        <v>0</v>
      </c>
      <c r="ACE23">
        <f t="shared" si="118"/>
        <v>0</v>
      </c>
      <c r="ACF23">
        <f t="shared" si="119"/>
        <v>0</v>
      </c>
      <c r="ACG23">
        <f t="shared" si="120"/>
        <v>0</v>
      </c>
      <c r="ACH23">
        <f t="shared" si="121"/>
        <v>0</v>
      </c>
      <c r="ACI23">
        <f t="shared" si="122"/>
        <v>0</v>
      </c>
      <c r="ACJ23">
        <f t="shared" si="123"/>
        <v>0</v>
      </c>
      <c r="ACK23">
        <f t="shared" si="124"/>
        <v>0</v>
      </c>
      <c r="ACL23">
        <f t="shared" si="125"/>
        <v>0</v>
      </c>
      <c r="ACM23">
        <f t="shared" si="126"/>
        <v>0</v>
      </c>
      <c r="ACN23">
        <f t="shared" si="127"/>
        <v>0</v>
      </c>
      <c r="ACO23">
        <f t="shared" si="128"/>
        <v>0</v>
      </c>
      <c r="ACP23">
        <f t="shared" si="34"/>
        <v>0</v>
      </c>
      <c r="ACQ23">
        <f t="shared" si="129"/>
        <v>0</v>
      </c>
      <c r="ACR23">
        <f t="shared" si="130"/>
        <v>0</v>
      </c>
      <c r="ACS23">
        <f t="shared" si="131"/>
        <v>0</v>
      </c>
      <c r="ACT23">
        <f t="shared" si="132"/>
        <v>0</v>
      </c>
      <c r="ACU23">
        <f t="shared" si="133"/>
        <v>0</v>
      </c>
      <c r="ACV23">
        <f t="shared" si="134"/>
        <v>0</v>
      </c>
      <c r="ACW23">
        <f t="shared" si="135"/>
        <v>0</v>
      </c>
      <c r="ACX23">
        <f t="shared" si="136"/>
        <v>0</v>
      </c>
      <c r="ACY23">
        <f t="shared" si="137"/>
        <v>0</v>
      </c>
      <c r="ACZ23">
        <f t="shared" si="138"/>
        <v>0</v>
      </c>
      <c r="ADA23">
        <f t="shared" si="139"/>
        <v>0</v>
      </c>
      <c r="ADB23">
        <f t="shared" si="140"/>
        <v>0</v>
      </c>
      <c r="ADC23">
        <f t="shared" si="141"/>
        <v>0</v>
      </c>
      <c r="ADD23">
        <f t="shared" si="142"/>
        <v>0</v>
      </c>
      <c r="ADE23">
        <f t="shared" si="143"/>
        <v>0</v>
      </c>
      <c r="ADF23">
        <f t="shared" si="144"/>
        <v>0</v>
      </c>
      <c r="ADG23">
        <f t="shared" si="145"/>
        <v>0</v>
      </c>
      <c r="ADH23">
        <f t="shared" si="146"/>
        <v>0</v>
      </c>
      <c r="ADI23">
        <f t="shared" si="147"/>
        <v>0</v>
      </c>
      <c r="ADJ23">
        <f t="shared" si="148"/>
        <v>0</v>
      </c>
      <c r="ADK23">
        <f t="shared" si="149"/>
        <v>0</v>
      </c>
      <c r="ADL23">
        <f t="shared" si="150"/>
        <v>0</v>
      </c>
      <c r="ADM23">
        <f t="shared" si="151"/>
        <v>0</v>
      </c>
      <c r="ADN23">
        <f t="shared" si="152"/>
        <v>0</v>
      </c>
      <c r="ADO23">
        <f t="shared" si="153"/>
        <v>0</v>
      </c>
      <c r="ADP23">
        <f t="shared" si="154"/>
        <v>0</v>
      </c>
      <c r="ADQ23">
        <f t="shared" si="155"/>
        <v>0</v>
      </c>
      <c r="ADR23">
        <f t="shared" si="156"/>
        <v>0</v>
      </c>
      <c r="ADS23">
        <f t="shared" si="157"/>
        <v>0</v>
      </c>
      <c r="ADT23">
        <f t="shared" si="158"/>
        <v>0</v>
      </c>
      <c r="ADU23">
        <f t="shared" si="159"/>
        <v>0</v>
      </c>
      <c r="ADV23">
        <f t="shared" si="160"/>
        <v>0</v>
      </c>
      <c r="ADW23">
        <f t="shared" si="161"/>
        <v>0</v>
      </c>
      <c r="ADX23">
        <f t="shared" si="162"/>
        <v>0</v>
      </c>
      <c r="ADY23">
        <f t="shared" si="163"/>
        <v>0</v>
      </c>
      <c r="ADZ23">
        <f t="shared" si="164"/>
        <v>0</v>
      </c>
      <c r="AEA23">
        <f t="shared" si="165"/>
        <v>0</v>
      </c>
      <c r="AEB23">
        <f t="shared" si="166"/>
        <v>0</v>
      </c>
      <c r="AEC23">
        <f t="shared" si="167"/>
        <v>0</v>
      </c>
      <c r="AED23">
        <f t="shared" si="168"/>
        <v>0</v>
      </c>
      <c r="AEE23">
        <f t="shared" si="169"/>
        <v>0</v>
      </c>
      <c r="AEF23">
        <f t="shared" si="170"/>
        <v>0</v>
      </c>
      <c r="AEG23">
        <f t="shared" si="171"/>
        <v>0</v>
      </c>
      <c r="AEH23">
        <f t="shared" si="172"/>
        <v>0</v>
      </c>
      <c r="AEI23">
        <f t="shared" si="173"/>
        <v>0</v>
      </c>
      <c r="AEJ23">
        <f t="shared" si="174"/>
        <v>0</v>
      </c>
      <c r="AEK23">
        <f t="shared" si="175"/>
        <v>0</v>
      </c>
      <c r="AEL23">
        <f t="shared" si="176"/>
        <v>0</v>
      </c>
      <c r="AEM23">
        <f t="shared" si="177"/>
        <v>0</v>
      </c>
      <c r="AEN23">
        <f t="shared" si="178"/>
        <v>0</v>
      </c>
      <c r="AEO23">
        <f t="shared" si="179"/>
        <v>0</v>
      </c>
      <c r="AEP23">
        <f t="shared" si="180"/>
        <v>0</v>
      </c>
      <c r="AEQ23">
        <f t="shared" si="181"/>
        <v>0</v>
      </c>
      <c r="AER23">
        <f t="shared" si="182"/>
        <v>0</v>
      </c>
      <c r="AES23">
        <f t="shared" si="183"/>
        <v>0</v>
      </c>
      <c r="AET23">
        <f t="shared" si="184"/>
        <v>0</v>
      </c>
      <c r="AEU23">
        <f t="shared" si="185"/>
        <v>0</v>
      </c>
      <c r="AEV23">
        <f t="shared" si="186"/>
        <v>0</v>
      </c>
      <c r="AEW23">
        <f t="shared" si="187"/>
        <v>0</v>
      </c>
      <c r="AEX23">
        <f t="shared" si="188"/>
        <v>0</v>
      </c>
      <c r="AEY23">
        <f t="shared" si="189"/>
        <v>0</v>
      </c>
      <c r="AEZ23">
        <f t="shared" si="190"/>
        <v>0</v>
      </c>
      <c r="AFA23">
        <f t="shared" si="191"/>
        <v>0</v>
      </c>
      <c r="AFB23">
        <f t="shared" si="35"/>
        <v>0</v>
      </c>
      <c r="AFC23">
        <f t="shared" si="192"/>
        <v>0</v>
      </c>
      <c r="AFD23">
        <f t="shared" si="193"/>
        <v>0</v>
      </c>
      <c r="AFE23">
        <f t="shared" si="194"/>
        <v>0</v>
      </c>
      <c r="AFF23">
        <f t="shared" si="195"/>
        <v>0</v>
      </c>
      <c r="AFG23">
        <f t="shared" si="196"/>
        <v>0</v>
      </c>
      <c r="AFH23">
        <f t="shared" si="197"/>
        <v>0</v>
      </c>
      <c r="AFI23">
        <f t="shared" si="198"/>
        <v>0</v>
      </c>
      <c r="AFJ23">
        <f t="shared" si="199"/>
        <v>0</v>
      </c>
      <c r="AFK23">
        <f t="shared" si="200"/>
        <v>0</v>
      </c>
      <c r="AFL23">
        <f t="shared" si="201"/>
        <v>0</v>
      </c>
      <c r="AFM23">
        <f t="shared" si="202"/>
        <v>0</v>
      </c>
      <c r="AFN23">
        <f t="shared" si="203"/>
        <v>0</v>
      </c>
      <c r="AFO23">
        <f t="shared" si="204"/>
        <v>0</v>
      </c>
      <c r="AFP23">
        <f t="shared" si="205"/>
        <v>0</v>
      </c>
      <c r="AFQ23">
        <f t="shared" si="206"/>
        <v>0</v>
      </c>
      <c r="AFR23">
        <f t="shared" si="207"/>
        <v>0</v>
      </c>
      <c r="AFS23">
        <f t="shared" si="208"/>
        <v>0</v>
      </c>
      <c r="AFT23">
        <f t="shared" si="209"/>
        <v>0</v>
      </c>
      <c r="AFU23">
        <f t="shared" si="210"/>
        <v>0</v>
      </c>
      <c r="AFV23">
        <f t="shared" si="211"/>
        <v>0</v>
      </c>
      <c r="AFW23">
        <f t="shared" si="212"/>
        <v>0</v>
      </c>
      <c r="AFX23">
        <f t="shared" si="213"/>
        <v>0</v>
      </c>
      <c r="AFY23">
        <f t="shared" si="214"/>
        <v>0</v>
      </c>
      <c r="AFZ23">
        <f t="shared" si="215"/>
        <v>0</v>
      </c>
      <c r="AGA23">
        <f t="shared" si="216"/>
        <v>0</v>
      </c>
      <c r="AGB23">
        <f t="shared" si="217"/>
        <v>0</v>
      </c>
      <c r="AGC23">
        <f t="shared" si="218"/>
        <v>0</v>
      </c>
      <c r="AGD23">
        <f t="shared" si="219"/>
        <v>0</v>
      </c>
      <c r="AGE23">
        <f t="shared" si="220"/>
        <v>0</v>
      </c>
      <c r="AGF23">
        <f t="shared" si="221"/>
        <v>0</v>
      </c>
      <c r="AGG23">
        <f t="shared" si="222"/>
        <v>0</v>
      </c>
      <c r="AGH23">
        <f t="shared" si="223"/>
        <v>0</v>
      </c>
      <c r="AGI23">
        <f t="shared" si="224"/>
        <v>0</v>
      </c>
      <c r="AGJ23">
        <f t="shared" si="225"/>
        <v>0</v>
      </c>
      <c r="AGK23">
        <f t="shared" si="226"/>
        <v>0</v>
      </c>
      <c r="AGL23">
        <f t="shared" si="227"/>
        <v>0</v>
      </c>
      <c r="AGM23">
        <f t="shared" si="228"/>
        <v>0</v>
      </c>
      <c r="AGN23">
        <f t="shared" si="229"/>
        <v>0</v>
      </c>
      <c r="AGO23">
        <f t="shared" si="230"/>
        <v>0</v>
      </c>
      <c r="AGP23">
        <f t="shared" si="231"/>
        <v>0</v>
      </c>
      <c r="AGQ23">
        <f t="shared" si="232"/>
        <v>0</v>
      </c>
      <c r="AGR23">
        <f t="shared" si="233"/>
        <v>0</v>
      </c>
      <c r="AGS23">
        <f t="shared" si="234"/>
        <v>0</v>
      </c>
      <c r="AGT23">
        <f t="shared" si="235"/>
        <v>0</v>
      </c>
      <c r="AGU23">
        <f t="shared" si="236"/>
        <v>0</v>
      </c>
      <c r="AGV23">
        <f t="shared" si="237"/>
        <v>0</v>
      </c>
      <c r="AGW23">
        <f t="shared" si="238"/>
        <v>0</v>
      </c>
      <c r="AGX23">
        <f t="shared" si="239"/>
        <v>0</v>
      </c>
      <c r="AGY23">
        <f t="shared" si="240"/>
        <v>0</v>
      </c>
      <c r="AGZ23">
        <f t="shared" si="241"/>
        <v>0</v>
      </c>
      <c r="AHA23">
        <f t="shared" si="242"/>
        <v>0</v>
      </c>
      <c r="AHB23">
        <f t="shared" si="243"/>
        <v>0</v>
      </c>
      <c r="AHC23">
        <f t="shared" si="244"/>
        <v>0</v>
      </c>
      <c r="AHD23">
        <f t="shared" si="245"/>
        <v>0</v>
      </c>
      <c r="AHE23">
        <f t="shared" si="246"/>
        <v>0</v>
      </c>
      <c r="AHF23">
        <f t="shared" si="247"/>
        <v>0</v>
      </c>
      <c r="AHG23">
        <f t="shared" si="248"/>
        <v>0</v>
      </c>
      <c r="AHH23">
        <f t="shared" si="249"/>
        <v>0</v>
      </c>
      <c r="AHI23">
        <f t="shared" si="250"/>
        <v>0</v>
      </c>
      <c r="AHJ23">
        <f t="shared" si="251"/>
        <v>0</v>
      </c>
      <c r="AHK23">
        <f t="shared" si="252"/>
        <v>0</v>
      </c>
      <c r="AHL23">
        <f t="shared" si="253"/>
        <v>0</v>
      </c>
      <c r="AHM23">
        <f t="shared" si="254"/>
        <v>0</v>
      </c>
      <c r="AHN23">
        <f t="shared" si="36"/>
        <v>0</v>
      </c>
      <c r="AHO23">
        <f t="shared" si="255"/>
        <v>0</v>
      </c>
      <c r="AHP23">
        <f t="shared" si="256"/>
        <v>0</v>
      </c>
      <c r="AHQ23">
        <f t="shared" si="257"/>
        <v>0</v>
      </c>
      <c r="AHR23">
        <f t="shared" si="258"/>
        <v>0</v>
      </c>
      <c r="AHS23">
        <f t="shared" si="259"/>
        <v>0</v>
      </c>
      <c r="AHT23">
        <f t="shared" si="260"/>
        <v>0</v>
      </c>
      <c r="AHU23">
        <f t="shared" si="261"/>
        <v>0</v>
      </c>
      <c r="AHV23">
        <f t="shared" si="262"/>
        <v>0</v>
      </c>
      <c r="AHW23">
        <f t="shared" si="263"/>
        <v>0</v>
      </c>
      <c r="AHX23">
        <f t="shared" si="264"/>
        <v>0</v>
      </c>
      <c r="AHY23">
        <f t="shared" si="265"/>
        <v>0</v>
      </c>
      <c r="AHZ23">
        <f t="shared" si="266"/>
        <v>0</v>
      </c>
      <c r="AIA23">
        <f t="shared" si="267"/>
        <v>0</v>
      </c>
      <c r="AIB23">
        <f t="shared" si="268"/>
        <v>0</v>
      </c>
      <c r="AIC23">
        <f t="shared" si="269"/>
        <v>0</v>
      </c>
      <c r="AID23">
        <f t="shared" si="270"/>
        <v>0</v>
      </c>
      <c r="AIE23">
        <f t="shared" si="271"/>
        <v>0</v>
      </c>
      <c r="AIF23">
        <f t="shared" si="272"/>
        <v>0</v>
      </c>
      <c r="AIG23">
        <f t="shared" si="273"/>
        <v>0</v>
      </c>
      <c r="AIH23">
        <f t="shared" si="274"/>
        <v>0</v>
      </c>
      <c r="AII23">
        <f t="shared" si="275"/>
        <v>0</v>
      </c>
      <c r="AIJ23">
        <f t="shared" si="276"/>
        <v>0</v>
      </c>
      <c r="AIK23">
        <f t="shared" si="277"/>
        <v>0</v>
      </c>
      <c r="AIL23">
        <f t="shared" si="278"/>
        <v>0</v>
      </c>
      <c r="AIM23">
        <f t="shared" si="279"/>
        <v>0</v>
      </c>
      <c r="AIN23">
        <f t="shared" si="280"/>
        <v>0</v>
      </c>
      <c r="AIO23">
        <f t="shared" si="281"/>
        <v>0</v>
      </c>
      <c r="AIP23">
        <f t="shared" si="282"/>
        <v>0</v>
      </c>
      <c r="AIQ23">
        <f t="shared" si="283"/>
        <v>0</v>
      </c>
      <c r="AIR23">
        <f t="shared" si="284"/>
        <v>0</v>
      </c>
      <c r="AIS23">
        <f t="shared" si="285"/>
        <v>0</v>
      </c>
      <c r="AIT23">
        <f t="shared" si="286"/>
        <v>0</v>
      </c>
      <c r="AIU23">
        <f t="shared" si="287"/>
        <v>0</v>
      </c>
      <c r="AIV23">
        <f t="shared" si="288"/>
        <v>0</v>
      </c>
      <c r="AIW23">
        <f t="shared" si="289"/>
        <v>0</v>
      </c>
      <c r="AIX23">
        <f t="shared" si="290"/>
        <v>0</v>
      </c>
      <c r="AIY23">
        <f t="shared" si="291"/>
        <v>0</v>
      </c>
      <c r="AIZ23">
        <f t="shared" si="292"/>
        <v>0</v>
      </c>
      <c r="AJA23">
        <f t="shared" si="293"/>
        <v>0</v>
      </c>
      <c r="AJB23">
        <f t="shared" si="294"/>
        <v>0</v>
      </c>
      <c r="AJC23">
        <f t="shared" si="295"/>
        <v>0</v>
      </c>
      <c r="AJD23">
        <f t="shared" si="296"/>
        <v>0</v>
      </c>
      <c r="AJE23">
        <f t="shared" si="297"/>
        <v>0</v>
      </c>
      <c r="AJF23">
        <f t="shared" si="298"/>
        <v>0</v>
      </c>
      <c r="AJG23">
        <f t="shared" si="299"/>
        <v>0</v>
      </c>
      <c r="AJH23">
        <f t="shared" si="300"/>
        <v>0</v>
      </c>
      <c r="AJI23">
        <f t="shared" si="301"/>
        <v>0</v>
      </c>
      <c r="AJJ23">
        <f t="shared" si="302"/>
        <v>0</v>
      </c>
      <c r="AJK23">
        <f t="shared" si="303"/>
        <v>0</v>
      </c>
      <c r="AJL23">
        <f t="shared" si="304"/>
        <v>0</v>
      </c>
      <c r="AJM23">
        <f t="shared" si="305"/>
        <v>0</v>
      </c>
      <c r="AJN23">
        <f t="shared" si="306"/>
        <v>0</v>
      </c>
      <c r="AJO23">
        <f t="shared" si="307"/>
        <v>0</v>
      </c>
      <c r="AJP23">
        <f t="shared" si="308"/>
        <v>0</v>
      </c>
      <c r="AJQ23">
        <f t="shared" si="309"/>
        <v>0</v>
      </c>
      <c r="AJR23">
        <f t="shared" si="310"/>
        <v>0</v>
      </c>
      <c r="AJS23">
        <f t="shared" si="311"/>
        <v>0</v>
      </c>
      <c r="AJT23">
        <f t="shared" si="312"/>
        <v>0</v>
      </c>
      <c r="AJU23">
        <f t="shared" si="313"/>
        <v>0</v>
      </c>
      <c r="AJV23">
        <f t="shared" si="314"/>
        <v>0</v>
      </c>
      <c r="AJW23">
        <f t="shared" si="315"/>
        <v>0</v>
      </c>
      <c r="AJX23">
        <f t="shared" si="316"/>
        <v>0</v>
      </c>
      <c r="AJY23">
        <f t="shared" si="317"/>
        <v>0</v>
      </c>
      <c r="AJZ23">
        <f t="shared" si="37"/>
        <v>0</v>
      </c>
      <c r="AKA23">
        <f t="shared" si="318"/>
        <v>0</v>
      </c>
      <c r="AKB23">
        <f t="shared" si="319"/>
        <v>0</v>
      </c>
      <c r="AKC23">
        <f t="shared" si="320"/>
        <v>0</v>
      </c>
      <c r="AKD23">
        <f t="shared" si="321"/>
        <v>0</v>
      </c>
      <c r="AKE23">
        <f t="shared" si="322"/>
        <v>0</v>
      </c>
      <c r="AKF23">
        <f t="shared" si="323"/>
        <v>0</v>
      </c>
      <c r="AKG23">
        <f t="shared" si="324"/>
        <v>0</v>
      </c>
      <c r="AKH23">
        <f t="shared" si="325"/>
        <v>0</v>
      </c>
      <c r="AKI23">
        <f t="shared" si="326"/>
        <v>0</v>
      </c>
      <c r="AKJ23">
        <f t="shared" si="327"/>
        <v>0</v>
      </c>
      <c r="AKK23">
        <f t="shared" si="328"/>
        <v>0</v>
      </c>
      <c r="AKL23">
        <f t="shared" si="329"/>
        <v>0</v>
      </c>
      <c r="AKM23">
        <f t="shared" si="330"/>
        <v>0</v>
      </c>
      <c r="AKN23">
        <f t="shared" si="331"/>
        <v>0</v>
      </c>
      <c r="AKO23">
        <f t="shared" si="332"/>
        <v>0</v>
      </c>
      <c r="AKP23">
        <f t="shared" si="333"/>
        <v>0</v>
      </c>
      <c r="AKQ23">
        <f t="shared" si="334"/>
        <v>0</v>
      </c>
      <c r="AKR23">
        <f t="shared" si="335"/>
        <v>0</v>
      </c>
      <c r="AKS23">
        <f t="shared" si="336"/>
        <v>0</v>
      </c>
      <c r="AKT23">
        <f t="shared" si="337"/>
        <v>0</v>
      </c>
      <c r="AKU23">
        <f t="shared" si="338"/>
        <v>0</v>
      </c>
      <c r="AKV23">
        <f t="shared" si="339"/>
        <v>0</v>
      </c>
      <c r="AKW23">
        <f t="shared" si="340"/>
        <v>0</v>
      </c>
      <c r="AKX23">
        <f t="shared" si="341"/>
        <v>0</v>
      </c>
      <c r="AKY23">
        <f t="shared" si="342"/>
        <v>0</v>
      </c>
      <c r="AKZ23">
        <f t="shared" si="343"/>
        <v>0</v>
      </c>
      <c r="ALA23">
        <f t="shared" si="344"/>
        <v>0</v>
      </c>
      <c r="ALB23">
        <f t="shared" si="345"/>
        <v>0</v>
      </c>
      <c r="ALC23">
        <f t="shared" si="346"/>
        <v>0</v>
      </c>
      <c r="ALD23">
        <f t="shared" si="347"/>
        <v>0</v>
      </c>
      <c r="ALE23">
        <f t="shared" si="348"/>
        <v>0</v>
      </c>
      <c r="ALF23">
        <f t="shared" si="349"/>
        <v>0</v>
      </c>
      <c r="ALG23">
        <f t="shared" si="350"/>
        <v>0</v>
      </c>
      <c r="ALH23">
        <f t="shared" si="351"/>
        <v>0</v>
      </c>
      <c r="ALI23">
        <f t="shared" si="352"/>
        <v>0</v>
      </c>
      <c r="ALJ23">
        <f t="shared" si="353"/>
        <v>0</v>
      </c>
      <c r="ALK23">
        <f t="shared" si="354"/>
        <v>0</v>
      </c>
      <c r="ALL23">
        <f t="shared" si="355"/>
        <v>0</v>
      </c>
      <c r="ALM23">
        <f t="shared" si="356"/>
        <v>0</v>
      </c>
      <c r="ALN23">
        <f t="shared" si="357"/>
        <v>0</v>
      </c>
      <c r="ALO23">
        <f t="shared" si="358"/>
        <v>0</v>
      </c>
      <c r="ALP23">
        <f t="shared" si="359"/>
        <v>0</v>
      </c>
      <c r="ALQ23">
        <f t="shared" si="360"/>
        <v>0</v>
      </c>
      <c r="ALR23">
        <f t="shared" si="361"/>
        <v>0</v>
      </c>
      <c r="ALS23">
        <f t="shared" si="362"/>
        <v>0</v>
      </c>
      <c r="ALT23">
        <f t="shared" si="363"/>
        <v>0</v>
      </c>
      <c r="ALU23">
        <f t="shared" si="364"/>
        <v>0</v>
      </c>
      <c r="ALV23">
        <f t="shared" si="365"/>
        <v>0</v>
      </c>
      <c r="ALW23">
        <f t="shared" si="366"/>
        <v>0</v>
      </c>
      <c r="ALX23">
        <f t="shared" si="367"/>
        <v>0</v>
      </c>
      <c r="ALY23">
        <f t="shared" si="368"/>
        <v>0</v>
      </c>
      <c r="ALZ23">
        <f t="shared" si="369"/>
        <v>0</v>
      </c>
      <c r="AMA23">
        <f t="shared" si="370"/>
        <v>0</v>
      </c>
      <c r="AMB23">
        <f t="shared" si="371"/>
        <v>0</v>
      </c>
      <c r="AMC23">
        <f t="shared" si="372"/>
        <v>0</v>
      </c>
      <c r="AMD23">
        <f t="shared" si="373"/>
        <v>0</v>
      </c>
      <c r="AME23">
        <f t="shared" si="374"/>
        <v>0</v>
      </c>
      <c r="AMF23">
        <f t="shared" si="375"/>
        <v>0</v>
      </c>
      <c r="AMG23">
        <f t="shared" si="376"/>
        <v>0</v>
      </c>
      <c r="AMH23">
        <f t="shared" si="377"/>
        <v>0</v>
      </c>
      <c r="AMI23">
        <f t="shared" si="378"/>
        <v>0</v>
      </c>
      <c r="AMJ23">
        <f t="shared" si="379"/>
        <v>0</v>
      </c>
      <c r="AMK23">
        <f t="shared" si="380"/>
        <v>0</v>
      </c>
      <c r="AML23">
        <f t="shared" si="38"/>
        <v>0</v>
      </c>
      <c r="AMM23">
        <f t="shared" si="381"/>
        <v>0</v>
      </c>
      <c r="AMN23">
        <f t="shared" si="382"/>
        <v>0</v>
      </c>
      <c r="AMO23">
        <f t="shared" si="383"/>
        <v>0</v>
      </c>
      <c r="AMP23">
        <f t="shared" si="384"/>
        <v>0</v>
      </c>
      <c r="AMQ23">
        <f t="shared" si="385"/>
        <v>0</v>
      </c>
      <c r="AMR23">
        <f t="shared" si="386"/>
        <v>0</v>
      </c>
      <c r="AMS23">
        <f t="shared" si="387"/>
        <v>0</v>
      </c>
      <c r="AMT23">
        <f t="shared" si="388"/>
        <v>0</v>
      </c>
      <c r="AMU23">
        <f t="shared" si="389"/>
        <v>0</v>
      </c>
      <c r="AMV23">
        <f t="shared" si="390"/>
        <v>0</v>
      </c>
      <c r="AMW23">
        <f t="shared" si="391"/>
        <v>0</v>
      </c>
      <c r="AMX23">
        <f t="shared" si="392"/>
        <v>0</v>
      </c>
      <c r="AMY23">
        <f t="shared" si="393"/>
        <v>0</v>
      </c>
      <c r="AMZ23">
        <f t="shared" si="394"/>
        <v>0</v>
      </c>
      <c r="ANA23">
        <f t="shared" si="395"/>
        <v>0</v>
      </c>
      <c r="ANB23">
        <f t="shared" si="396"/>
        <v>0</v>
      </c>
      <c r="ANC23">
        <f t="shared" si="397"/>
        <v>0</v>
      </c>
      <c r="AND23">
        <f t="shared" si="398"/>
        <v>0</v>
      </c>
      <c r="ANE23">
        <f t="shared" si="399"/>
        <v>0</v>
      </c>
      <c r="ANF23">
        <f t="shared" si="400"/>
        <v>0</v>
      </c>
      <c r="ANG23">
        <f t="shared" si="401"/>
        <v>0</v>
      </c>
      <c r="ANH23">
        <f t="shared" si="402"/>
        <v>0</v>
      </c>
      <c r="ANI23">
        <f t="shared" si="403"/>
        <v>0</v>
      </c>
      <c r="ANJ23">
        <f t="shared" si="404"/>
        <v>0</v>
      </c>
      <c r="ANK23">
        <f t="shared" si="405"/>
        <v>0</v>
      </c>
      <c r="ANL23">
        <f t="shared" si="406"/>
        <v>0</v>
      </c>
      <c r="ANM23">
        <f t="shared" si="407"/>
        <v>0</v>
      </c>
      <c r="ANN23">
        <f t="shared" si="408"/>
        <v>0</v>
      </c>
      <c r="ANO23">
        <f t="shared" si="409"/>
        <v>0</v>
      </c>
      <c r="ANP23">
        <f t="shared" si="410"/>
        <v>0</v>
      </c>
      <c r="ANQ23">
        <f t="shared" si="411"/>
        <v>0</v>
      </c>
      <c r="ANR23">
        <f t="shared" si="412"/>
        <v>0</v>
      </c>
      <c r="ANS23">
        <f t="shared" si="413"/>
        <v>0</v>
      </c>
      <c r="ANT23">
        <f t="shared" si="414"/>
        <v>0</v>
      </c>
      <c r="ANU23">
        <f t="shared" si="415"/>
        <v>0</v>
      </c>
      <c r="ANV23">
        <f t="shared" si="416"/>
        <v>0</v>
      </c>
      <c r="ANW23">
        <f t="shared" si="417"/>
        <v>0</v>
      </c>
      <c r="ANX23">
        <f t="shared" si="418"/>
        <v>0</v>
      </c>
      <c r="ANY23">
        <f t="shared" si="419"/>
        <v>0</v>
      </c>
      <c r="ANZ23">
        <f t="shared" si="420"/>
        <v>0</v>
      </c>
      <c r="AOA23">
        <f t="shared" si="421"/>
        <v>0</v>
      </c>
      <c r="AOB23">
        <f t="shared" si="422"/>
        <v>0</v>
      </c>
      <c r="AOC23">
        <f t="shared" si="423"/>
        <v>0</v>
      </c>
      <c r="AOD23">
        <f t="shared" si="424"/>
        <v>0</v>
      </c>
      <c r="AOE23">
        <f t="shared" si="425"/>
        <v>0</v>
      </c>
      <c r="AOF23">
        <f t="shared" si="426"/>
        <v>0</v>
      </c>
      <c r="AOG23">
        <f t="shared" si="427"/>
        <v>0</v>
      </c>
      <c r="AOH23">
        <f t="shared" si="428"/>
        <v>0</v>
      </c>
      <c r="AOI23">
        <f t="shared" si="429"/>
        <v>0</v>
      </c>
      <c r="AOJ23">
        <f t="shared" si="430"/>
        <v>0</v>
      </c>
      <c r="AOK23">
        <f t="shared" si="431"/>
        <v>0</v>
      </c>
      <c r="AOL23">
        <f t="shared" si="432"/>
        <v>0</v>
      </c>
      <c r="AOM23">
        <f t="shared" si="433"/>
        <v>0</v>
      </c>
      <c r="AON23">
        <f t="shared" si="434"/>
        <v>0</v>
      </c>
      <c r="AOO23">
        <f t="shared" si="435"/>
        <v>0</v>
      </c>
      <c r="AOP23">
        <f t="shared" si="436"/>
        <v>0</v>
      </c>
      <c r="AOQ23">
        <f t="shared" si="437"/>
        <v>0</v>
      </c>
      <c r="AOR23">
        <f t="shared" si="438"/>
        <v>0</v>
      </c>
      <c r="AOS23">
        <f t="shared" si="439"/>
        <v>0</v>
      </c>
      <c r="AOT23">
        <f t="shared" si="440"/>
        <v>0</v>
      </c>
      <c r="AOU23">
        <f t="shared" si="441"/>
        <v>0</v>
      </c>
      <c r="AOV23">
        <f t="shared" si="442"/>
        <v>0</v>
      </c>
      <c r="AOW23">
        <f t="shared" si="443"/>
        <v>0</v>
      </c>
      <c r="AOX23">
        <f t="shared" si="39"/>
        <v>0</v>
      </c>
      <c r="AOY23">
        <f t="shared" si="444"/>
        <v>0</v>
      </c>
      <c r="AOZ23">
        <f t="shared" si="445"/>
        <v>0</v>
      </c>
      <c r="APA23">
        <f t="shared" si="446"/>
        <v>0</v>
      </c>
      <c r="APB23">
        <f t="shared" si="447"/>
        <v>0</v>
      </c>
      <c r="APC23">
        <f t="shared" si="448"/>
        <v>0</v>
      </c>
      <c r="APD23">
        <f t="shared" si="449"/>
        <v>0</v>
      </c>
      <c r="APE23">
        <f t="shared" si="450"/>
        <v>0</v>
      </c>
      <c r="APF23">
        <f t="shared" si="451"/>
        <v>0</v>
      </c>
      <c r="APG23">
        <f t="shared" si="452"/>
        <v>0</v>
      </c>
      <c r="APH23">
        <f t="shared" si="453"/>
        <v>0</v>
      </c>
      <c r="API23">
        <f t="shared" si="454"/>
        <v>0</v>
      </c>
      <c r="APJ23">
        <f t="shared" si="455"/>
        <v>0</v>
      </c>
      <c r="APK23">
        <f t="shared" si="456"/>
        <v>0</v>
      </c>
      <c r="APL23">
        <f t="shared" si="457"/>
        <v>0</v>
      </c>
      <c r="APM23">
        <f t="shared" si="458"/>
        <v>0</v>
      </c>
      <c r="APN23">
        <f t="shared" si="459"/>
        <v>0</v>
      </c>
      <c r="APO23">
        <f t="shared" si="460"/>
        <v>0</v>
      </c>
      <c r="APP23">
        <f t="shared" si="461"/>
        <v>0</v>
      </c>
      <c r="APQ23">
        <f t="shared" si="462"/>
        <v>0</v>
      </c>
      <c r="APR23">
        <f t="shared" si="463"/>
        <v>0</v>
      </c>
      <c r="APS23">
        <f t="shared" si="464"/>
        <v>0</v>
      </c>
      <c r="APT23">
        <f t="shared" si="465"/>
        <v>0</v>
      </c>
      <c r="APU23">
        <f t="shared" si="466"/>
        <v>0</v>
      </c>
      <c r="APV23">
        <f t="shared" si="467"/>
        <v>0</v>
      </c>
      <c r="APW23">
        <f t="shared" si="468"/>
        <v>0</v>
      </c>
      <c r="APX23">
        <f t="shared" si="469"/>
        <v>0</v>
      </c>
      <c r="APY23">
        <f t="shared" si="470"/>
        <v>0</v>
      </c>
      <c r="APZ23">
        <f t="shared" si="471"/>
        <v>0</v>
      </c>
      <c r="AQA23">
        <f t="shared" si="472"/>
        <v>0</v>
      </c>
      <c r="AQB23">
        <f t="shared" si="473"/>
        <v>0</v>
      </c>
      <c r="AQC23">
        <f t="shared" si="474"/>
        <v>0</v>
      </c>
      <c r="AQD23">
        <f t="shared" si="475"/>
        <v>0</v>
      </c>
      <c r="AQE23">
        <f t="shared" si="476"/>
        <v>0</v>
      </c>
      <c r="AQF23">
        <f t="shared" si="477"/>
        <v>0</v>
      </c>
      <c r="AQG23">
        <f t="shared" si="478"/>
        <v>0</v>
      </c>
      <c r="AQH23">
        <f t="shared" si="479"/>
        <v>0</v>
      </c>
      <c r="AQI23">
        <f t="shared" si="480"/>
        <v>0</v>
      </c>
      <c r="AQJ23">
        <f t="shared" si="481"/>
        <v>0</v>
      </c>
      <c r="AQK23">
        <f t="shared" si="482"/>
        <v>0</v>
      </c>
      <c r="AQL23">
        <f t="shared" si="483"/>
        <v>0</v>
      </c>
      <c r="AQM23">
        <f t="shared" si="484"/>
        <v>0</v>
      </c>
      <c r="AQN23">
        <f t="shared" si="485"/>
        <v>0</v>
      </c>
      <c r="AQO23">
        <f t="shared" si="486"/>
        <v>0</v>
      </c>
      <c r="AQP23">
        <f t="shared" si="487"/>
        <v>0</v>
      </c>
      <c r="AQQ23">
        <f t="shared" si="488"/>
        <v>0</v>
      </c>
      <c r="AQR23">
        <f t="shared" si="489"/>
        <v>0</v>
      </c>
      <c r="AQS23">
        <f t="shared" si="490"/>
        <v>0</v>
      </c>
      <c r="AQT23">
        <f t="shared" si="491"/>
        <v>0</v>
      </c>
      <c r="AQU23">
        <f t="shared" si="492"/>
        <v>0</v>
      </c>
      <c r="AQV23">
        <f t="shared" si="493"/>
        <v>0</v>
      </c>
      <c r="AQW23">
        <f t="shared" si="494"/>
        <v>0</v>
      </c>
      <c r="AQX23">
        <f t="shared" si="495"/>
        <v>0</v>
      </c>
      <c r="AQY23">
        <f t="shared" si="496"/>
        <v>0</v>
      </c>
      <c r="AQZ23">
        <f t="shared" si="497"/>
        <v>0</v>
      </c>
      <c r="ARA23">
        <f t="shared" si="498"/>
        <v>0</v>
      </c>
      <c r="ARB23">
        <f t="shared" si="499"/>
        <v>0</v>
      </c>
      <c r="ARC23">
        <f t="shared" si="500"/>
        <v>0</v>
      </c>
      <c r="ARD23">
        <f t="shared" si="501"/>
        <v>0</v>
      </c>
      <c r="ARE23">
        <f t="shared" si="502"/>
        <v>0</v>
      </c>
      <c r="ARF23">
        <f t="shared" si="503"/>
        <v>0</v>
      </c>
      <c r="ARG23">
        <f t="shared" si="504"/>
        <v>0</v>
      </c>
      <c r="ARH23">
        <f t="shared" si="505"/>
        <v>0</v>
      </c>
      <c r="ARI23">
        <f t="shared" si="506"/>
        <v>0</v>
      </c>
      <c r="ARJ23">
        <f t="shared" si="40"/>
        <v>0</v>
      </c>
      <c r="ARK23">
        <f t="shared" si="507"/>
        <v>0</v>
      </c>
      <c r="ARL23">
        <f t="shared" si="508"/>
        <v>0</v>
      </c>
      <c r="ARM23">
        <f t="shared" si="509"/>
        <v>0</v>
      </c>
      <c r="ARN23">
        <f t="shared" si="510"/>
        <v>0</v>
      </c>
      <c r="ARO23">
        <f t="shared" si="511"/>
        <v>0</v>
      </c>
      <c r="ARP23">
        <f t="shared" si="512"/>
        <v>0</v>
      </c>
      <c r="ARQ23">
        <f t="shared" si="513"/>
        <v>0</v>
      </c>
      <c r="ARR23">
        <f t="shared" si="514"/>
        <v>0</v>
      </c>
      <c r="ARS23">
        <f t="shared" si="515"/>
        <v>0</v>
      </c>
      <c r="ART23">
        <f t="shared" si="516"/>
        <v>0</v>
      </c>
      <c r="ARU23">
        <f t="shared" si="517"/>
        <v>0</v>
      </c>
      <c r="ARV23">
        <f t="shared" si="518"/>
        <v>0</v>
      </c>
      <c r="ARW23">
        <f t="shared" si="519"/>
        <v>0</v>
      </c>
      <c r="ARX23">
        <f t="shared" si="520"/>
        <v>0</v>
      </c>
      <c r="ARY23">
        <f t="shared" si="521"/>
        <v>0</v>
      </c>
      <c r="ARZ23">
        <f t="shared" si="522"/>
        <v>0</v>
      </c>
      <c r="ASA23">
        <f t="shared" si="523"/>
        <v>0</v>
      </c>
      <c r="ASB23">
        <f t="shared" si="524"/>
        <v>0</v>
      </c>
      <c r="ASC23">
        <f t="shared" si="525"/>
        <v>0</v>
      </c>
      <c r="ASD23">
        <f t="shared" si="526"/>
        <v>0</v>
      </c>
      <c r="ASE23">
        <f t="shared" si="527"/>
        <v>0</v>
      </c>
      <c r="ASF23">
        <f t="shared" si="528"/>
        <v>0</v>
      </c>
      <c r="ASG23">
        <f t="shared" si="529"/>
        <v>0</v>
      </c>
      <c r="ASH23">
        <f t="shared" si="530"/>
        <v>0</v>
      </c>
      <c r="ASI23">
        <f t="shared" si="531"/>
        <v>0</v>
      </c>
      <c r="ASJ23">
        <f t="shared" si="532"/>
        <v>0</v>
      </c>
      <c r="ASK23">
        <f t="shared" si="533"/>
        <v>0</v>
      </c>
      <c r="ASL23">
        <f t="shared" si="534"/>
        <v>0</v>
      </c>
      <c r="ASM23">
        <f t="shared" si="535"/>
        <v>0</v>
      </c>
      <c r="ASN23">
        <f t="shared" si="536"/>
        <v>0</v>
      </c>
      <c r="ASO23">
        <f t="shared" si="537"/>
        <v>0</v>
      </c>
      <c r="ASP23">
        <f t="shared" si="538"/>
        <v>0</v>
      </c>
      <c r="ASQ23">
        <f t="shared" si="539"/>
        <v>0</v>
      </c>
      <c r="ASR23">
        <f t="shared" si="540"/>
        <v>0</v>
      </c>
      <c r="ASS23">
        <f t="shared" si="541"/>
        <v>0</v>
      </c>
      <c r="AST23">
        <f t="shared" si="542"/>
        <v>0</v>
      </c>
      <c r="ASU23">
        <f t="shared" si="543"/>
        <v>0</v>
      </c>
      <c r="ASV23">
        <f t="shared" si="544"/>
        <v>0</v>
      </c>
      <c r="ASW23">
        <f t="shared" si="545"/>
        <v>0</v>
      </c>
      <c r="ASX23">
        <f t="shared" si="546"/>
        <v>0</v>
      </c>
      <c r="ASY23">
        <f t="shared" si="547"/>
        <v>0</v>
      </c>
      <c r="ASZ23">
        <f t="shared" si="548"/>
        <v>0</v>
      </c>
      <c r="ATA23">
        <f t="shared" si="549"/>
        <v>0</v>
      </c>
      <c r="ATB23">
        <f t="shared" si="550"/>
        <v>0</v>
      </c>
      <c r="ATC23">
        <f t="shared" si="551"/>
        <v>0</v>
      </c>
      <c r="ATD23">
        <f t="shared" si="552"/>
        <v>0</v>
      </c>
      <c r="ATE23">
        <f t="shared" si="553"/>
        <v>0</v>
      </c>
      <c r="ATF23">
        <f t="shared" si="554"/>
        <v>0</v>
      </c>
      <c r="ATG23">
        <f t="shared" si="555"/>
        <v>0</v>
      </c>
      <c r="ATH23">
        <f t="shared" si="556"/>
        <v>0</v>
      </c>
      <c r="ATI23">
        <f t="shared" si="557"/>
        <v>0</v>
      </c>
      <c r="ATJ23">
        <f t="shared" si="558"/>
        <v>0</v>
      </c>
      <c r="ATK23">
        <f t="shared" si="559"/>
        <v>0</v>
      </c>
      <c r="ATL23">
        <f t="shared" si="560"/>
        <v>0</v>
      </c>
      <c r="ATM23">
        <f t="shared" si="561"/>
        <v>0</v>
      </c>
      <c r="ATN23">
        <f t="shared" si="562"/>
        <v>0</v>
      </c>
      <c r="ATO23">
        <f t="shared" si="563"/>
        <v>0</v>
      </c>
      <c r="ATP23">
        <f t="shared" si="564"/>
        <v>0</v>
      </c>
      <c r="ATQ23">
        <f t="shared" si="565"/>
        <v>0</v>
      </c>
      <c r="ATR23">
        <f t="shared" si="566"/>
        <v>0</v>
      </c>
      <c r="ATS23">
        <f t="shared" si="567"/>
        <v>0</v>
      </c>
      <c r="ATT23">
        <f t="shared" si="568"/>
        <v>0</v>
      </c>
      <c r="ATU23">
        <f t="shared" si="569"/>
        <v>0</v>
      </c>
      <c r="ATV23">
        <f t="shared" si="41"/>
        <v>0</v>
      </c>
      <c r="ATW23">
        <f t="shared" si="570"/>
        <v>0</v>
      </c>
      <c r="ATX23">
        <f t="shared" si="571"/>
        <v>0</v>
      </c>
      <c r="ATY23">
        <f t="shared" si="572"/>
        <v>0</v>
      </c>
      <c r="ATZ23">
        <f t="shared" si="573"/>
        <v>0</v>
      </c>
      <c r="AUA23">
        <f t="shared" si="574"/>
        <v>0</v>
      </c>
      <c r="AUB23">
        <f t="shared" si="575"/>
        <v>0</v>
      </c>
      <c r="AUC23">
        <f t="shared" si="576"/>
        <v>0</v>
      </c>
      <c r="AUD23">
        <f t="shared" si="577"/>
        <v>0</v>
      </c>
      <c r="AUE23">
        <f t="shared" si="578"/>
        <v>0</v>
      </c>
      <c r="AUF23">
        <f t="shared" si="579"/>
        <v>0</v>
      </c>
      <c r="AUG23">
        <f t="shared" si="580"/>
        <v>0</v>
      </c>
      <c r="AUH23">
        <f t="shared" si="581"/>
        <v>0</v>
      </c>
      <c r="AUI23">
        <f t="shared" si="582"/>
        <v>0</v>
      </c>
      <c r="AUJ23">
        <f t="shared" si="583"/>
        <v>0</v>
      </c>
      <c r="AUK23">
        <f t="shared" si="584"/>
        <v>0</v>
      </c>
      <c r="AUL23">
        <f t="shared" si="585"/>
        <v>0</v>
      </c>
      <c r="AUM23">
        <f t="shared" si="586"/>
        <v>0</v>
      </c>
      <c r="AUN23">
        <f t="shared" si="587"/>
        <v>0</v>
      </c>
      <c r="AUO23">
        <f t="shared" si="588"/>
        <v>0</v>
      </c>
      <c r="AUP23">
        <f t="shared" si="589"/>
        <v>0</v>
      </c>
      <c r="AUQ23">
        <f t="shared" si="590"/>
        <v>0</v>
      </c>
      <c r="AUR23">
        <f t="shared" si="591"/>
        <v>0</v>
      </c>
      <c r="AUS23">
        <f t="shared" si="592"/>
        <v>0</v>
      </c>
      <c r="AUT23">
        <f t="shared" si="593"/>
        <v>0</v>
      </c>
      <c r="AUU23">
        <f t="shared" si="594"/>
        <v>0</v>
      </c>
      <c r="AUV23">
        <f t="shared" si="595"/>
        <v>0</v>
      </c>
      <c r="AUW23">
        <f t="shared" si="596"/>
        <v>0</v>
      </c>
      <c r="AUX23">
        <f t="shared" si="597"/>
        <v>0</v>
      </c>
      <c r="AUY23">
        <f t="shared" si="598"/>
        <v>0</v>
      </c>
      <c r="AUZ23">
        <f t="shared" si="599"/>
        <v>0</v>
      </c>
      <c r="AVA23">
        <f t="shared" si="600"/>
        <v>0</v>
      </c>
      <c r="AVB23">
        <f t="shared" si="601"/>
        <v>0</v>
      </c>
      <c r="AVC23">
        <f t="shared" si="602"/>
        <v>0</v>
      </c>
      <c r="AVD23">
        <f t="shared" si="603"/>
        <v>0</v>
      </c>
      <c r="AVE23">
        <f t="shared" si="604"/>
        <v>0</v>
      </c>
      <c r="AVF23">
        <f t="shared" si="605"/>
        <v>0</v>
      </c>
      <c r="AVG23">
        <f t="shared" si="606"/>
        <v>0</v>
      </c>
      <c r="AVH23">
        <f t="shared" si="607"/>
        <v>0</v>
      </c>
      <c r="AVI23">
        <f t="shared" si="608"/>
        <v>0</v>
      </c>
      <c r="AVJ23">
        <f t="shared" si="609"/>
        <v>0</v>
      </c>
      <c r="AVK23">
        <f t="shared" si="610"/>
        <v>0</v>
      </c>
      <c r="AVL23">
        <f t="shared" si="611"/>
        <v>0</v>
      </c>
      <c r="AVM23">
        <f t="shared" si="612"/>
        <v>0</v>
      </c>
      <c r="AVN23">
        <f t="shared" si="613"/>
        <v>0</v>
      </c>
      <c r="AVO23">
        <f t="shared" si="614"/>
        <v>0</v>
      </c>
      <c r="AVP23">
        <f t="shared" si="615"/>
        <v>0</v>
      </c>
      <c r="AVQ23">
        <f t="shared" si="616"/>
        <v>0</v>
      </c>
      <c r="AVR23">
        <f t="shared" si="617"/>
        <v>0</v>
      </c>
      <c r="AVS23">
        <f t="shared" si="618"/>
        <v>0</v>
      </c>
      <c r="AVT23">
        <f t="shared" si="619"/>
        <v>0</v>
      </c>
      <c r="AVU23">
        <f t="shared" si="620"/>
        <v>0</v>
      </c>
      <c r="AVV23">
        <f t="shared" si="621"/>
        <v>0</v>
      </c>
      <c r="AVW23">
        <f t="shared" si="622"/>
        <v>0</v>
      </c>
      <c r="AVX23">
        <f t="shared" si="623"/>
        <v>0</v>
      </c>
      <c r="AVY23">
        <f t="shared" si="624"/>
        <v>0</v>
      </c>
      <c r="AVZ23">
        <f t="shared" si="625"/>
        <v>0</v>
      </c>
      <c r="AWA23">
        <f t="shared" si="626"/>
        <v>0</v>
      </c>
      <c r="AWB23">
        <f t="shared" si="627"/>
        <v>0</v>
      </c>
      <c r="AWC23">
        <f t="shared" si="628"/>
        <v>0</v>
      </c>
      <c r="AWD23">
        <f t="shared" si="629"/>
        <v>0</v>
      </c>
      <c r="AWE23">
        <f t="shared" si="630"/>
        <v>0</v>
      </c>
      <c r="AWF23">
        <f t="shared" si="631"/>
        <v>0</v>
      </c>
      <c r="AWG23">
        <f t="shared" si="632"/>
        <v>0</v>
      </c>
      <c r="AWH23">
        <f t="shared" si="42"/>
        <v>0</v>
      </c>
      <c r="AWI23">
        <f t="shared" si="633"/>
        <v>0</v>
      </c>
      <c r="AWJ23">
        <f t="shared" si="634"/>
        <v>0</v>
      </c>
      <c r="AWK23">
        <f t="shared" si="635"/>
        <v>0</v>
      </c>
      <c r="AWL23">
        <f t="shared" si="636"/>
        <v>0</v>
      </c>
      <c r="AWM23">
        <f t="shared" si="637"/>
        <v>0</v>
      </c>
      <c r="AWN23">
        <f t="shared" si="638"/>
        <v>0</v>
      </c>
      <c r="AWO23">
        <f t="shared" si="639"/>
        <v>0</v>
      </c>
      <c r="AWP23">
        <f t="shared" si="640"/>
        <v>0</v>
      </c>
      <c r="AWQ23">
        <f t="shared" si="641"/>
        <v>0</v>
      </c>
      <c r="AWR23">
        <f t="shared" si="642"/>
        <v>0</v>
      </c>
      <c r="AWS23">
        <f t="shared" si="643"/>
        <v>0</v>
      </c>
      <c r="AWT23">
        <f t="shared" si="644"/>
        <v>0</v>
      </c>
      <c r="AWU23">
        <f t="shared" si="645"/>
        <v>0</v>
      </c>
      <c r="AWV23">
        <f t="shared" si="646"/>
        <v>0</v>
      </c>
      <c r="AWW23">
        <f t="shared" si="647"/>
        <v>0</v>
      </c>
      <c r="AWX23">
        <f t="shared" si="648"/>
        <v>0</v>
      </c>
      <c r="AWY23">
        <f t="shared" si="649"/>
        <v>0</v>
      </c>
      <c r="AWZ23">
        <f t="shared" si="650"/>
        <v>0</v>
      </c>
      <c r="AXA23">
        <f t="shared" si="651"/>
        <v>0</v>
      </c>
      <c r="AXB23">
        <f t="shared" si="652"/>
        <v>0</v>
      </c>
      <c r="AXC23">
        <f t="shared" si="653"/>
        <v>0</v>
      </c>
      <c r="AXD23">
        <f t="shared" si="654"/>
        <v>0</v>
      </c>
      <c r="AXE23">
        <f t="shared" si="655"/>
        <v>0</v>
      </c>
      <c r="AXF23">
        <f t="shared" si="656"/>
        <v>0</v>
      </c>
      <c r="AXG23">
        <f t="shared" si="657"/>
        <v>0</v>
      </c>
      <c r="AXH23">
        <f t="shared" si="658"/>
        <v>0</v>
      </c>
      <c r="AXI23">
        <f t="shared" si="659"/>
        <v>0</v>
      </c>
      <c r="AXJ23">
        <f t="shared" si="660"/>
        <v>0</v>
      </c>
      <c r="AXK23">
        <f t="shared" si="661"/>
        <v>0</v>
      </c>
      <c r="AXL23">
        <f t="shared" si="662"/>
        <v>0</v>
      </c>
      <c r="AXM23">
        <f t="shared" si="663"/>
        <v>0</v>
      </c>
      <c r="AXN23">
        <f t="shared" si="664"/>
        <v>0</v>
      </c>
      <c r="AXO23">
        <f t="shared" si="665"/>
        <v>0</v>
      </c>
      <c r="AXP23">
        <f t="shared" si="666"/>
        <v>0</v>
      </c>
      <c r="AXQ23">
        <f t="shared" si="667"/>
        <v>0</v>
      </c>
      <c r="AXR23">
        <f t="shared" si="668"/>
        <v>0</v>
      </c>
      <c r="AXS23">
        <f t="shared" si="669"/>
        <v>0</v>
      </c>
      <c r="AXT23">
        <f t="shared" si="670"/>
        <v>0</v>
      </c>
      <c r="AXU23">
        <f t="shared" si="671"/>
        <v>0</v>
      </c>
      <c r="AXV23">
        <f t="shared" si="672"/>
        <v>0</v>
      </c>
      <c r="AXW23">
        <f t="shared" si="673"/>
        <v>0</v>
      </c>
      <c r="AXX23">
        <f t="shared" si="674"/>
        <v>0</v>
      </c>
      <c r="AXY23">
        <f t="shared" si="675"/>
        <v>0</v>
      </c>
      <c r="AXZ23">
        <f t="shared" si="676"/>
        <v>0</v>
      </c>
      <c r="AYA23">
        <f t="shared" si="677"/>
        <v>0</v>
      </c>
      <c r="AYB23">
        <f t="shared" si="678"/>
        <v>0</v>
      </c>
      <c r="AYC23">
        <f t="shared" si="679"/>
        <v>0</v>
      </c>
      <c r="AYD23">
        <f t="shared" si="680"/>
        <v>0</v>
      </c>
      <c r="AYE23">
        <f t="shared" si="681"/>
        <v>0</v>
      </c>
      <c r="AYF23">
        <f t="shared" si="682"/>
        <v>0</v>
      </c>
      <c r="AYG23">
        <f t="shared" si="683"/>
        <v>0</v>
      </c>
      <c r="AYH23">
        <f t="shared" si="684"/>
        <v>0</v>
      </c>
      <c r="AYI23">
        <f t="shared" si="685"/>
        <v>0</v>
      </c>
      <c r="AYJ23">
        <f t="shared" si="686"/>
        <v>0</v>
      </c>
      <c r="AYK23">
        <f t="shared" si="687"/>
        <v>0</v>
      </c>
      <c r="AYL23">
        <f t="shared" si="688"/>
        <v>0</v>
      </c>
      <c r="AYM23">
        <f t="shared" si="689"/>
        <v>0</v>
      </c>
      <c r="AYN23">
        <f t="shared" si="690"/>
        <v>0</v>
      </c>
      <c r="AYO23">
        <f t="shared" si="691"/>
        <v>0</v>
      </c>
      <c r="AYP23">
        <f t="shared" si="692"/>
        <v>0</v>
      </c>
      <c r="AYQ23">
        <f t="shared" si="693"/>
        <v>0</v>
      </c>
      <c r="AYR23">
        <f t="shared" si="694"/>
        <v>0</v>
      </c>
      <c r="AYS23">
        <f t="shared" si="695"/>
        <v>0</v>
      </c>
      <c r="AYT23">
        <f t="shared" si="43"/>
        <v>0</v>
      </c>
      <c r="AYU23">
        <f t="shared" si="696"/>
        <v>0</v>
      </c>
      <c r="AYV23">
        <f t="shared" si="697"/>
        <v>0</v>
      </c>
      <c r="AYW23">
        <f t="shared" si="698"/>
        <v>0</v>
      </c>
      <c r="AYX23">
        <f t="shared" si="699"/>
        <v>0</v>
      </c>
      <c r="AYY23">
        <f t="shared" si="700"/>
        <v>0</v>
      </c>
      <c r="AYZ23">
        <f t="shared" si="701"/>
        <v>0</v>
      </c>
      <c r="AZA23">
        <f t="shared" si="702"/>
        <v>0</v>
      </c>
      <c r="AZB23">
        <f t="shared" si="703"/>
        <v>0</v>
      </c>
      <c r="AZC23">
        <f t="shared" si="704"/>
        <v>0</v>
      </c>
      <c r="AZD23">
        <f t="shared" si="705"/>
        <v>0</v>
      </c>
      <c r="AZE23">
        <f t="shared" si="706"/>
        <v>0</v>
      </c>
      <c r="AZF23">
        <f t="shared" si="707"/>
        <v>0</v>
      </c>
      <c r="AZG23">
        <f t="shared" si="708"/>
        <v>0</v>
      </c>
      <c r="AZH23">
        <f t="shared" si="709"/>
        <v>0</v>
      </c>
      <c r="AZI23">
        <f t="shared" si="710"/>
        <v>0</v>
      </c>
      <c r="AZJ23">
        <f t="shared" si="711"/>
        <v>0</v>
      </c>
      <c r="AZK23">
        <f t="shared" si="712"/>
        <v>0</v>
      </c>
      <c r="AZL23">
        <f t="shared" si="713"/>
        <v>0</v>
      </c>
      <c r="AZM23">
        <f t="shared" si="714"/>
        <v>0</v>
      </c>
      <c r="AZN23">
        <f t="shared" si="715"/>
        <v>0</v>
      </c>
      <c r="AZO23">
        <f t="shared" si="716"/>
        <v>0</v>
      </c>
      <c r="AZP23">
        <f t="shared" si="717"/>
        <v>0</v>
      </c>
      <c r="AZQ23">
        <f t="shared" si="718"/>
        <v>0</v>
      </c>
      <c r="AZR23">
        <f t="shared" si="719"/>
        <v>0</v>
      </c>
      <c r="AZS23">
        <f t="shared" si="720"/>
        <v>0</v>
      </c>
      <c r="AZT23">
        <f t="shared" si="721"/>
        <v>0</v>
      </c>
      <c r="AZU23">
        <f t="shared" si="722"/>
        <v>0</v>
      </c>
      <c r="AZV23">
        <f t="shared" si="723"/>
        <v>0</v>
      </c>
      <c r="AZW23">
        <f t="shared" si="724"/>
        <v>0</v>
      </c>
      <c r="AZX23">
        <f t="shared" si="725"/>
        <v>0</v>
      </c>
      <c r="AZY23">
        <f t="shared" si="726"/>
        <v>0</v>
      </c>
      <c r="AZZ23">
        <f t="shared" si="727"/>
        <v>0</v>
      </c>
      <c r="BAA23">
        <f t="shared" si="728"/>
        <v>0</v>
      </c>
      <c r="BAB23">
        <f t="shared" si="729"/>
        <v>0</v>
      </c>
      <c r="BAC23">
        <f t="shared" si="730"/>
        <v>0</v>
      </c>
      <c r="BAD23">
        <f t="shared" si="731"/>
        <v>0</v>
      </c>
      <c r="BAE23">
        <f t="shared" si="732"/>
        <v>0</v>
      </c>
      <c r="BAF23">
        <f t="shared" si="733"/>
        <v>0</v>
      </c>
      <c r="BAG23">
        <f t="shared" si="734"/>
        <v>0</v>
      </c>
      <c r="BAH23">
        <f t="shared" si="735"/>
        <v>0</v>
      </c>
      <c r="BAI23">
        <f t="shared" si="736"/>
        <v>0</v>
      </c>
      <c r="BAJ23">
        <f t="shared" si="737"/>
        <v>0</v>
      </c>
      <c r="BAK23">
        <f t="shared" si="738"/>
        <v>0</v>
      </c>
      <c r="BAL23">
        <f t="shared" si="739"/>
        <v>0</v>
      </c>
      <c r="BAM23">
        <f t="shared" si="740"/>
        <v>0</v>
      </c>
      <c r="BAN23">
        <f t="shared" si="741"/>
        <v>0</v>
      </c>
      <c r="BAO23">
        <f t="shared" si="742"/>
        <v>0</v>
      </c>
      <c r="BAP23">
        <f t="shared" si="743"/>
        <v>0</v>
      </c>
      <c r="BAQ23">
        <f t="shared" si="744"/>
        <v>0</v>
      </c>
      <c r="BAR23">
        <f t="shared" si="745"/>
        <v>0</v>
      </c>
      <c r="BAS23">
        <f t="shared" si="746"/>
        <v>0</v>
      </c>
      <c r="BAT23">
        <f t="shared" si="747"/>
        <v>0</v>
      </c>
      <c r="BAU23">
        <f t="shared" si="748"/>
        <v>0</v>
      </c>
      <c r="BAV23">
        <f t="shared" si="749"/>
        <v>0</v>
      </c>
      <c r="BAW23">
        <f t="shared" si="750"/>
        <v>0</v>
      </c>
      <c r="BAX23">
        <f t="shared" si="751"/>
        <v>0</v>
      </c>
      <c r="BAY23">
        <f t="shared" si="752"/>
        <v>0</v>
      </c>
      <c r="BAZ23">
        <f t="shared" si="753"/>
        <v>0</v>
      </c>
      <c r="BBA23">
        <f t="shared" si="754"/>
        <v>0</v>
      </c>
      <c r="BBB23">
        <f t="shared" si="755"/>
        <v>0</v>
      </c>
      <c r="BBC23">
        <f t="shared" si="756"/>
        <v>0</v>
      </c>
      <c r="BBD23">
        <f t="shared" si="757"/>
        <v>0</v>
      </c>
      <c r="BBE23">
        <f t="shared" si="758"/>
        <v>0</v>
      </c>
      <c r="BBF23">
        <f t="shared" si="44"/>
        <v>0</v>
      </c>
      <c r="BBG23">
        <f t="shared" si="759"/>
        <v>0</v>
      </c>
      <c r="BBH23">
        <f t="shared" si="760"/>
        <v>0</v>
      </c>
      <c r="BBI23">
        <f t="shared" si="761"/>
        <v>0</v>
      </c>
      <c r="BBJ23">
        <f t="shared" si="762"/>
        <v>0</v>
      </c>
      <c r="BBK23">
        <f t="shared" si="763"/>
        <v>0</v>
      </c>
      <c r="BBL23">
        <f t="shared" si="764"/>
        <v>0</v>
      </c>
      <c r="BBM23">
        <f t="shared" si="765"/>
        <v>0</v>
      </c>
      <c r="BBN23">
        <f t="shared" si="766"/>
        <v>0</v>
      </c>
      <c r="BBO23">
        <f t="shared" si="767"/>
        <v>0</v>
      </c>
      <c r="BBP23">
        <f t="shared" si="768"/>
        <v>0</v>
      </c>
      <c r="BBQ23">
        <f t="shared" si="769"/>
        <v>0</v>
      </c>
      <c r="BBR23">
        <f t="shared" si="770"/>
        <v>0</v>
      </c>
      <c r="BBS23">
        <f t="shared" si="771"/>
        <v>0</v>
      </c>
      <c r="BBT23">
        <f t="shared" si="772"/>
        <v>0</v>
      </c>
      <c r="BBU23">
        <f t="shared" si="773"/>
        <v>0</v>
      </c>
      <c r="BBV23">
        <f t="shared" si="774"/>
        <v>0</v>
      </c>
      <c r="BBW23">
        <f t="shared" si="775"/>
        <v>0</v>
      </c>
      <c r="BBX23">
        <f t="shared" si="776"/>
        <v>0</v>
      </c>
      <c r="BBY23">
        <f t="shared" si="777"/>
        <v>0</v>
      </c>
      <c r="BBZ23">
        <f t="shared" si="778"/>
        <v>0</v>
      </c>
      <c r="BCA23">
        <f t="shared" si="779"/>
        <v>0</v>
      </c>
      <c r="BCB23">
        <f t="shared" si="780"/>
        <v>0</v>
      </c>
      <c r="BCC23">
        <f t="shared" si="781"/>
        <v>0</v>
      </c>
      <c r="BCD23">
        <f t="shared" si="782"/>
        <v>0</v>
      </c>
      <c r="BCE23">
        <f t="shared" si="783"/>
        <v>0</v>
      </c>
      <c r="BCF23">
        <f t="shared" si="784"/>
        <v>0</v>
      </c>
      <c r="BCG23">
        <f t="shared" si="785"/>
        <v>0</v>
      </c>
      <c r="BCH23">
        <f t="shared" si="786"/>
        <v>0</v>
      </c>
      <c r="BCI23">
        <f t="shared" si="787"/>
        <v>0</v>
      </c>
      <c r="BCJ23">
        <f t="shared" si="788"/>
        <v>0</v>
      </c>
      <c r="BCK23">
        <f t="shared" si="789"/>
        <v>0</v>
      </c>
      <c r="BCL23">
        <f t="shared" si="790"/>
        <v>0</v>
      </c>
      <c r="BCM23">
        <f t="shared" si="791"/>
        <v>0</v>
      </c>
      <c r="BCN23">
        <f t="shared" si="792"/>
        <v>0</v>
      </c>
      <c r="BCO23">
        <f t="shared" si="793"/>
        <v>0</v>
      </c>
      <c r="BCP23">
        <f t="shared" si="794"/>
        <v>0</v>
      </c>
      <c r="BCQ23">
        <f t="shared" si="795"/>
        <v>0</v>
      </c>
      <c r="BCR23">
        <f t="shared" si="796"/>
        <v>0</v>
      </c>
      <c r="BCS23">
        <f t="shared" si="797"/>
        <v>0</v>
      </c>
      <c r="BCT23">
        <f t="shared" si="798"/>
        <v>0</v>
      </c>
      <c r="BCU23">
        <f t="shared" si="799"/>
        <v>0</v>
      </c>
      <c r="BCV23">
        <f t="shared" si="800"/>
        <v>0</v>
      </c>
      <c r="BCW23">
        <f t="shared" si="801"/>
        <v>0</v>
      </c>
      <c r="BCX23">
        <f t="shared" si="802"/>
        <v>0</v>
      </c>
      <c r="BCY23">
        <f t="shared" si="803"/>
        <v>0</v>
      </c>
      <c r="BCZ23">
        <f t="shared" si="804"/>
        <v>0</v>
      </c>
      <c r="BDA23">
        <f t="shared" si="805"/>
        <v>0</v>
      </c>
      <c r="BDB23">
        <f t="shared" si="806"/>
        <v>0</v>
      </c>
      <c r="BDC23">
        <f t="shared" si="807"/>
        <v>0</v>
      </c>
      <c r="BDD23">
        <f t="shared" si="808"/>
        <v>0</v>
      </c>
      <c r="BDE23">
        <f t="shared" si="809"/>
        <v>0</v>
      </c>
      <c r="BDF23">
        <f t="shared" si="810"/>
        <v>0</v>
      </c>
      <c r="BDG23">
        <f t="shared" si="811"/>
        <v>0</v>
      </c>
      <c r="BDH23">
        <f t="shared" si="812"/>
        <v>0</v>
      </c>
      <c r="BDI23">
        <f t="shared" si="813"/>
        <v>0</v>
      </c>
      <c r="BDJ23">
        <f t="shared" si="814"/>
        <v>0</v>
      </c>
      <c r="BDK23">
        <f t="shared" si="815"/>
        <v>0</v>
      </c>
      <c r="BDL23">
        <f t="shared" si="816"/>
        <v>0</v>
      </c>
      <c r="BDM23">
        <f t="shared" si="817"/>
        <v>0</v>
      </c>
      <c r="BDN23">
        <f t="shared" si="818"/>
        <v>0</v>
      </c>
      <c r="BDO23">
        <f t="shared" si="819"/>
        <v>0</v>
      </c>
      <c r="BDP23">
        <f t="shared" si="820"/>
        <v>0</v>
      </c>
      <c r="BDQ23">
        <f t="shared" si="821"/>
        <v>0</v>
      </c>
      <c r="BDR23">
        <f t="shared" si="45"/>
        <v>0</v>
      </c>
      <c r="BDS23">
        <f t="shared" si="822"/>
        <v>0</v>
      </c>
      <c r="BDT23">
        <f t="shared" si="823"/>
        <v>0</v>
      </c>
      <c r="BDU23">
        <f t="shared" si="824"/>
        <v>0</v>
      </c>
      <c r="BDV23">
        <f t="shared" si="825"/>
        <v>0</v>
      </c>
      <c r="BDW23">
        <f t="shared" si="826"/>
        <v>0</v>
      </c>
      <c r="BDX23">
        <f t="shared" si="827"/>
        <v>0</v>
      </c>
      <c r="BDY23">
        <f t="shared" si="828"/>
        <v>0</v>
      </c>
      <c r="BDZ23">
        <f t="shared" si="829"/>
        <v>0</v>
      </c>
      <c r="BEA23">
        <f t="shared" si="830"/>
        <v>0</v>
      </c>
      <c r="BEB23">
        <f t="shared" si="831"/>
        <v>0</v>
      </c>
      <c r="BEC23">
        <f t="shared" si="832"/>
        <v>0</v>
      </c>
      <c r="BED23">
        <f t="shared" si="833"/>
        <v>0</v>
      </c>
      <c r="BEE23">
        <f t="shared" si="834"/>
        <v>0</v>
      </c>
      <c r="BEF23">
        <f t="shared" si="835"/>
        <v>0</v>
      </c>
      <c r="BEG23">
        <f t="shared" si="836"/>
        <v>0</v>
      </c>
      <c r="BEH23">
        <f t="shared" si="837"/>
        <v>0</v>
      </c>
      <c r="BEI23">
        <f t="shared" si="838"/>
        <v>0</v>
      </c>
      <c r="BEJ23">
        <f t="shared" si="839"/>
        <v>0</v>
      </c>
      <c r="BEK23">
        <f t="shared" si="840"/>
        <v>0</v>
      </c>
      <c r="BEL23">
        <f t="shared" si="841"/>
        <v>0</v>
      </c>
      <c r="BEM23">
        <f t="shared" si="842"/>
        <v>0</v>
      </c>
      <c r="BEN23">
        <f t="shared" si="843"/>
        <v>0</v>
      </c>
      <c r="BEO23">
        <f t="shared" si="844"/>
        <v>0</v>
      </c>
      <c r="BEP23">
        <f t="shared" si="845"/>
        <v>0</v>
      </c>
      <c r="BEQ23">
        <f t="shared" si="846"/>
        <v>0</v>
      </c>
      <c r="BER23">
        <f t="shared" si="847"/>
        <v>0</v>
      </c>
      <c r="BES23">
        <f t="shared" si="848"/>
        <v>0</v>
      </c>
      <c r="BET23">
        <f t="shared" si="849"/>
        <v>0</v>
      </c>
      <c r="BEU23">
        <f t="shared" si="850"/>
        <v>0</v>
      </c>
      <c r="BEV23">
        <f t="shared" si="851"/>
        <v>0</v>
      </c>
      <c r="BEW23">
        <f t="shared" si="852"/>
        <v>0</v>
      </c>
      <c r="BEX23">
        <f t="shared" si="853"/>
        <v>0</v>
      </c>
      <c r="BEY23">
        <f t="shared" si="854"/>
        <v>0</v>
      </c>
      <c r="BEZ23">
        <f t="shared" si="855"/>
        <v>0</v>
      </c>
      <c r="BFA23">
        <f t="shared" si="856"/>
        <v>0</v>
      </c>
      <c r="BFB23">
        <f t="shared" si="857"/>
        <v>0</v>
      </c>
      <c r="BFC23">
        <f t="shared" si="858"/>
        <v>0</v>
      </c>
      <c r="BFD23">
        <f t="shared" si="859"/>
        <v>0</v>
      </c>
      <c r="BFE23">
        <f t="shared" si="860"/>
        <v>0</v>
      </c>
      <c r="BFF23">
        <f t="shared" si="861"/>
        <v>0</v>
      </c>
      <c r="BFG23">
        <f t="shared" si="862"/>
        <v>0</v>
      </c>
      <c r="BFH23">
        <f t="shared" si="863"/>
        <v>0</v>
      </c>
      <c r="BFI23">
        <f t="shared" si="864"/>
        <v>0</v>
      </c>
      <c r="BFJ23">
        <f t="shared" si="865"/>
        <v>0</v>
      </c>
      <c r="BFK23">
        <f t="shared" si="866"/>
        <v>0</v>
      </c>
      <c r="BFL23">
        <f t="shared" si="867"/>
        <v>0</v>
      </c>
      <c r="BFM23">
        <f t="shared" si="868"/>
        <v>0</v>
      </c>
      <c r="BFN23">
        <f t="shared" si="869"/>
        <v>0</v>
      </c>
      <c r="BFO23">
        <f t="shared" si="870"/>
        <v>0</v>
      </c>
      <c r="BFP23">
        <f t="shared" si="871"/>
        <v>0</v>
      </c>
      <c r="BFQ23">
        <f t="shared" si="872"/>
        <v>0</v>
      </c>
      <c r="BFR23">
        <f t="shared" si="873"/>
        <v>0</v>
      </c>
      <c r="BFS23">
        <f t="shared" si="874"/>
        <v>0</v>
      </c>
      <c r="BFT23">
        <f t="shared" si="875"/>
        <v>0</v>
      </c>
      <c r="BFU23">
        <f t="shared" si="876"/>
        <v>0</v>
      </c>
      <c r="BFV23">
        <f t="shared" si="877"/>
        <v>0</v>
      </c>
      <c r="BFW23">
        <f t="shared" si="878"/>
        <v>0</v>
      </c>
      <c r="BFX23">
        <f t="shared" si="879"/>
        <v>0</v>
      </c>
      <c r="BFY23">
        <f t="shared" si="880"/>
        <v>0</v>
      </c>
      <c r="BFZ23">
        <f t="shared" si="881"/>
        <v>0</v>
      </c>
      <c r="BGA23">
        <f t="shared" si="882"/>
        <v>0</v>
      </c>
      <c r="BGB23">
        <f t="shared" si="883"/>
        <v>0</v>
      </c>
      <c r="BGC23">
        <f t="shared" si="884"/>
        <v>0</v>
      </c>
      <c r="BGD23">
        <f t="shared" si="46"/>
        <v>0</v>
      </c>
      <c r="BGE23">
        <f t="shared" si="885"/>
        <v>0</v>
      </c>
      <c r="BGF23">
        <f t="shared" si="886"/>
        <v>0</v>
      </c>
      <c r="BGG23">
        <f t="shared" si="887"/>
        <v>0</v>
      </c>
      <c r="BGH23">
        <f t="shared" si="888"/>
        <v>0</v>
      </c>
      <c r="BGI23">
        <f t="shared" si="889"/>
        <v>0</v>
      </c>
      <c r="BGJ23">
        <f t="shared" si="890"/>
        <v>0</v>
      </c>
      <c r="BGK23">
        <f t="shared" si="891"/>
        <v>0</v>
      </c>
      <c r="BGL23">
        <f t="shared" si="892"/>
        <v>0</v>
      </c>
      <c r="BGM23">
        <f t="shared" si="893"/>
        <v>0</v>
      </c>
      <c r="BGN23">
        <f t="shared" si="894"/>
        <v>0</v>
      </c>
      <c r="BGO23">
        <f t="shared" si="895"/>
        <v>0</v>
      </c>
      <c r="BGP23">
        <f t="shared" si="896"/>
        <v>0</v>
      </c>
      <c r="BGQ23">
        <f t="shared" si="897"/>
        <v>0</v>
      </c>
      <c r="BGR23">
        <f t="shared" si="898"/>
        <v>0</v>
      </c>
      <c r="BGS23">
        <f t="shared" si="899"/>
        <v>0</v>
      </c>
      <c r="BGT23">
        <f t="shared" si="900"/>
        <v>0</v>
      </c>
      <c r="BGU23">
        <f t="shared" si="901"/>
        <v>0</v>
      </c>
      <c r="BGV23">
        <f t="shared" si="902"/>
        <v>0</v>
      </c>
      <c r="BGW23">
        <f t="shared" si="903"/>
        <v>0</v>
      </c>
      <c r="BGX23">
        <f t="shared" si="904"/>
        <v>0</v>
      </c>
      <c r="BGY23">
        <f t="shared" si="905"/>
        <v>0</v>
      </c>
      <c r="BGZ23">
        <f t="shared" si="906"/>
        <v>0</v>
      </c>
      <c r="BHA23">
        <f t="shared" si="907"/>
        <v>0</v>
      </c>
      <c r="BHB23">
        <f t="shared" si="908"/>
        <v>0</v>
      </c>
      <c r="BHC23">
        <f t="shared" si="909"/>
        <v>0</v>
      </c>
      <c r="BHD23">
        <f t="shared" si="910"/>
        <v>0</v>
      </c>
      <c r="BHE23">
        <f t="shared" si="911"/>
        <v>0</v>
      </c>
      <c r="BHF23">
        <f t="shared" si="912"/>
        <v>0</v>
      </c>
      <c r="BHG23">
        <f t="shared" si="913"/>
        <v>0</v>
      </c>
      <c r="BHH23">
        <f t="shared" si="914"/>
        <v>0</v>
      </c>
      <c r="BHI23">
        <f t="shared" si="915"/>
        <v>0</v>
      </c>
      <c r="BHJ23">
        <f t="shared" si="916"/>
        <v>0</v>
      </c>
      <c r="BHK23">
        <f t="shared" si="917"/>
        <v>0</v>
      </c>
      <c r="BHL23">
        <f t="shared" si="918"/>
        <v>0</v>
      </c>
      <c r="BHM23">
        <f t="shared" si="919"/>
        <v>0</v>
      </c>
      <c r="BHN23">
        <f t="shared" si="920"/>
        <v>0</v>
      </c>
      <c r="BHO23">
        <f t="shared" si="921"/>
        <v>0</v>
      </c>
      <c r="BHP23">
        <f t="shared" si="922"/>
        <v>0</v>
      </c>
      <c r="BHQ23">
        <f t="shared" si="923"/>
        <v>0</v>
      </c>
      <c r="BHR23">
        <f t="shared" si="924"/>
        <v>0</v>
      </c>
      <c r="BHS23">
        <f t="shared" si="925"/>
        <v>0</v>
      </c>
      <c r="BHT23">
        <f t="shared" si="926"/>
        <v>0</v>
      </c>
      <c r="BHU23">
        <f t="shared" si="927"/>
        <v>0</v>
      </c>
      <c r="BHV23">
        <f t="shared" si="928"/>
        <v>0</v>
      </c>
      <c r="BHW23">
        <f t="shared" si="929"/>
        <v>0</v>
      </c>
      <c r="BHX23">
        <f t="shared" si="930"/>
        <v>0</v>
      </c>
      <c r="BHY23">
        <f t="shared" si="931"/>
        <v>0</v>
      </c>
      <c r="BHZ23">
        <f t="shared" si="932"/>
        <v>0</v>
      </c>
      <c r="BIA23">
        <f t="shared" si="933"/>
        <v>0</v>
      </c>
      <c r="BIB23">
        <f t="shared" si="934"/>
        <v>0</v>
      </c>
      <c r="BIC23">
        <f t="shared" si="935"/>
        <v>0</v>
      </c>
      <c r="BID23">
        <f t="shared" si="936"/>
        <v>0</v>
      </c>
      <c r="BIE23">
        <f t="shared" si="937"/>
        <v>0</v>
      </c>
      <c r="BIF23">
        <f t="shared" si="938"/>
        <v>0</v>
      </c>
      <c r="BIG23">
        <f t="shared" si="939"/>
        <v>0</v>
      </c>
      <c r="BIH23">
        <f t="shared" si="940"/>
        <v>0</v>
      </c>
      <c r="BII23">
        <f t="shared" si="941"/>
        <v>0</v>
      </c>
      <c r="BIJ23">
        <f t="shared" si="942"/>
        <v>0</v>
      </c>
      <c r="BIK23">
        <f t="shared" si="943"/>
        <v>0</v>
      </c>
      <c r="BIL23">
        <f t="shared" si="944"/>
        <v>0</v>
      </c>
      <c r="BIM23">
        <f t="shared" si="945"/>
        <v>0</v>
      </c>
      <c r="BIN23">
        <f t="shared" si="946"/>
        <v>0</v>
      </c>
      <c r="BIO23">
        <f t="shared" si="947"/>
        <v>0</v>
      </c>
      <c r="BIP23">
        <f t="shared" si="47"/>
        <v>0</v>
      </c>
      <c r="BIQ23">
        <f t="shared" si="948"/>
        <v>0</v>
      </c>
      <c r="BIR23">
        <f t="shared" si="949"/>
        <v>0</v>
      </c>
      <c r="BIS23">
        <f t="shared" si="950"/>
        <v>0</v>
      </c>
      <c r="BIT23">
        <f t="shared" si="951"/>
        <v>0</v>
      </c>
      <c r="BIU23">
        <f t="shared" si="952"/>
        <v>0</v>
      </c>
      <c r="BIV23">
        <f t="shared" si="953"/>
        <v>0</v>
      </c>
      <c r="BIW23">
        <f t="shared" si="954"/>
        <v>0</v>
      </c>
      <c r="BIX23">
        <f t="shared" si="955"/>
        <v>0</v>
      </c>
      <c r="BIY23">
        <f t="shared" si="956"/>
        <v>0</v>
      </c>
      <c r="BIZ23">
        <f t="shared" si="957"/>
        <v>0</v>
      </c>
      <c r="BJA23">
        <f t="shared" si="958"/>
        <v>0</v>
      </c>
      <c r="BJB23">
        <f t="shared" si="959"/>
        <v>0</v>
      </c>
      <c r="BJC23">
        <f t="shared" si="960"/>
        <v>0</v>
      </c>
      <c r="BJD23">
        <f t="shared" si="961"/>
        <v>0</v>
      </c>
      <c r="BJE23">
        <f t="shared" si="962"/>
        <v>0</v>
      </c>
      <c r="BJF23">
        <f t="shared" si="963"/>
        <v>0</v>
      </c>
      <c r="BJG23">
        <f t="shared" si="964"/>
        <v>0</v>
      </c>
      <c r="BJH23">
        <f t="shared" si="965"/>
        <v>0</v>
      </c>
      <c r="BJI23">
        <f t="shared" si="966"/>
        <v>0</v>
      </c>
      <c r="BJJ23">
        <f t="shared" si="967"/>
        <v>0</v>
      </c>
      <c r="BJK23">
        <f t="shared" si="968"/>
        <v>0</v>
      </c>
      <c r="BJL23">
        <f t="shared" si="969"/>
        <v>0</v>
      </c>
      <c r="BJM23">
        <f t="shared" si="970"/>
        <v>0</v>
      </c>
      <c r="BJN23">
        <f t="shared" si="971"/>
        <v>0</v>
      </c>
      <c r="BJO23">
        <f t="shared" si="972"/>
        <v>0</v>
      </c>
      <c r="BJP23">
        <f t="shared" si="973"/>
        <v>0</v>
      </c>
      <c r="BJQ23">
        <f t="shared" si="974"/>
        <v>0</v>
      </c>
      <c r="BJR23">
        <f t="shared" si="975"/>
        <v>0</v>
      </c>
      <c r="BJS23">
        <f t="shared" si="976"/>
        <v>0</v>
      </c>
      <c r="BJT23">
        <f t="shared" si="977"/>
        <v>0</v>
      </c>
      <c r="BJU23">
        <f t="shared" si="978"/>
        <v>0</v>
      </c>
      <c r="BJV23">
        <f t="shared" si="979"/>
        <v>0</v>
      </c>
      <c r="BJW23">
        <f t="shared" si="980"/>
        <v>0</v>
      </c>
      <c r="BJX23">
        <f t="shared" si="981"/>
        <v>0</v>
      </c>
      <c r="BJY23">
        <f t="shared" si="982"/>
        <v>0</v>
      </c>
      <c r="BJZ23">
        <f t="shared" si="983"/>
        <v>0</v>
      </c>
      <c r="BKA23">
        <f t="shared" si="984"/>
        <v>0</v>
      </c>
      <c r="BKB23">
        <f t="shared" si="985"/>
        <v>0</v>
      </c>
      <c r="BKC23">
        <f t="shared" si="986"/>
        <v>0</v>
      </c>
      <c r="BKD23">
        <f t="shared" si="987"/>
        <v>0</v>
      </c>
      <c r="BKE23">
        <f t="shared" si="988"/>
        <v>0</v>
      </c>
      <c r="BKF23">
        <f t="shared" si="989"/>
        <v>0</v>
      </c>
      <c r="BKG23">
        <f t="shared" si="990"/>
        <v>0</v>
      </c>
      <c r="BKH23">
        <f t="shared" si="991"/>
        <v>0</v>
      </c>
      <c r="BKI23">
        <f t="shared" si="992"/>
        <v>0</v>
      </c>
      <c r="BKJ23">
        <f t="shared" si="993"/>
        <v>0</v>
      </c>
      <c r="BKK23">
        <f t="shared" si="994"/>
        <v>0</v>
      </c>
      <c r="BKL23">
        <f t="shared" si="995"/>
        <v>0</v>
      </c>
      <c r="BKM23">
        <f t="shared" si="996"/>
        <v>0</v>
      </c>
      <c r="BKN23">
        <f t="shared" si="997"/>
        <v>0</v>
      </c>
      <c r="BKO23">
        <f t="shared" si="998"/>
        <v>0</v>
      </c>
      <c r="BKP23">
        <f t="shared" si="999"/>
        <v>0</v>
      </c>
      <c r="BKQ23">
        <f t="shared" si="1000"/>
        <v>0</v>
      </c>
      <c r="BKR23">
        <f t="shared" si="1001"/>
        <v>0</v>
      </c>
      <c r="BKS23">
        <f t="shared" si="1002"/>
        <v>0</v>
      </c>
      <c r="BKT23">
        <f t="shared" si="1003"/>
        <v>0</v>
      </c>
      <c r="BKU23">
        <f t="shared" si="1004"/>
        <v>0</v>
      </c>
      <c r="BKV23">
        <f t="shared" si="1005"/>
        <v>0</v>
      </c>
      <c r="BKW23">
        <f t="shared" si="1006"/>
        <v>0</v>
      </c>
      <c r="BKX23">
        <f t="shared" si="1007"/>
        <v>0</v>
      </c>
      <c r="BKY23">
        <f t="shared" si="1008"/>
        <v>0</v>
      </c>
      <c r="BKZ23">
        <f t="shared" si="1009"/>
        <v>0</v>
      </c>
      <c r="BLA23">
        <f t="shared" si="1010"/>
        <v>0</v>
      </c>
      <c r="BLB23">
        <f t="shared" si="48"/>
        <v>0</v>
      </c>
      <c r="BLC23">
        <f t="shared" si="1011"/>
        <v>0</v>
      </c>
      <c r="BLD23">
        <f t="shared" si="1012"/>
        <v>0</v>
      </c>
      <c r="BLE23">
        <f t="shared" si="1013"/>
        <v>0</v>
      </c>
      <c r="BLF23">
        <f t="shared" si="1014"/>
        <v>0</v>
      </c>
      <c r="BLG23">
        <f t="shared" si="1015"/>
        <v>0</v>
      </c>
      <c r="BLH23">
        <f t="shared" si="1016"/>
        <v>0</v>
      </c>
      <c r="BLI23">
        <f t="shared" si="1017"/>
        <v>0</v>
      </c>
      <c r="BLJ23">
        <f t="shared" si="1018"/>
        <v>0</v>
      </c>
      <c r="BLK23">
        <f t="shared" si="1019"/>
        <v>0</v>
      </c>
      <c r="BLL23">
        <f t="shared" si="1020"/>
        <v>0</v>
      </c>
      <c r="BLM23">
        <f t="shared" si="1021"/>
        <v>0</v>
      </c>
      <c r="BLN23">
        <f t="shared" si="1022"/>
        <v>0</v>
      </c>
      <c r="BLO23">
        <f t="shared" si="1023"/>
        <v>0</v>
      </c>
      <c r="BLP23">
        <f t="shared" si="1024"/>
        <v>0</v>
      </c>
      <c r="BLQ23">
        <f t="shared" si="1025"/>
        <v>0</v>
      </c>
      <c r="BLR23">
        <f t="shared" si="1026"/>
        <v>0</v>
      </c>
      <c r="BLS23">
        <f t="shared" si="1027"/>
        <v>0</v>
      </c>
      <c r="BLT23">
        <f t="shared" si="1028"/>
        <v>0</v>
      </c>
      <c r="BLU23">
        <f t="shared" si="1029"/>
        <v>0</v>
      </c>
      <c r="BLV23">
        <f t="shared" si="1030"/>
        <v>0</v>
      </c>
      <c r="BLW23">
        <f t="shared" si="1031"/>
        <v>0</v>
      </c>
      <c r="BLX23">
        <f t="shared" si="1032"/>
        <v>0</v>
      </c>
      <c r="BLY23">
        <f t="shared" si="1033"/>
        <v>0</v>
      </c>
      <c r="BLZ23">
        <f t="shared" si="1034"/>
        <v>0</v>
      </c>
      <c r="BMA23">
        <f t="shared" si="1035"/>
        <v>0</v>
      </c>
      <c r="BMB23">
        <f t="shared" si="1036"/>
        <v>0</v>
      </c>
      <c r="BMC23">
        <f t="shared" si="1037"/>
        <v>0</v>
      </c>
      <c r="BMD23">
        <f t="shared" si="1038"/>
        <v>0</v>
      </c>
      <c r="BME23">
        <f t="shared" si="1039"/>
        <v>0</v>
      </c>
      <c r="BMF23">
        <f t="shared" si="1040"/>
        <v>0</v>
      </c>
      <c r="BMG23">
        <f t="shared" si="1041"/>
        <v>0</v>
      </c>
      <c r="BMH23">
        <f t="shared" si="1042"/>
        <v>0</v>
      </c>
      <c r="BMI23">
        <f t="shared" si="1043"/>
        <v>0</v>
      </c>
      <c r="BMJ23">
        <f t="shared" si="1044"/>
        <v>0</v>
      </c>
      <c r="BMK23">
        <f t="shared" si="1045"/>
        <v>0</v>
      </c>
      <c r="BML23">
        <f t="shared" si="1046"/>
        <v>0</v>
      </c>
      <c r="BMM23">
        <f t="shared" si="1047"/>
        <v>0</v>
      </c>
      <c r="BMN23">
        <f t="shared" si="1048"/>
        <v>0</v>
      </c>
      <c r="BMO23">
        <f t="shared" si="1049"/>
        <v>0</v>
      </c>
      <c r="BMP23">
        <f t="shared" si="1050"/>
        <v>0</v>
      </c>
      <c r="BMQ23">
        <f t="shared" si="1051"/>
        <v>0</v>
      </c>
      <c r="BMR23">
        <f t="shared" si="1052"/>
        <v>0</v>
      </c>
      <c r="BMS23">
        <f t="shared" si="1053"/>
        <v>0</v>
      </c>
      <c r="BMT23">
        <f t="shared" si="1054"/>
        <v>0</v>
      </c>
      <c r="BMU23">
        <f t="shared" si="1055"/>
        <v>0</v>
      </c>
      <c r="BMV23">
        <f t="shared" si="1056"/>
        <v>0</v>
      </c>
      <c r="BMW23">
        <f t="shared" si="1057"/>
        <v>0</v>
      </c>
      <c r="BMX23">
        <f t="shared" si="1058"/>
        <v>0</v>
      </c>
      <c r="BMY23">
        <f t="shared" si="1059"/>
        <v>0</v>
      </c>
      <c r="BMZ23">
        <f t="shared" si="1060"/>
        <v>0</v>
      </c>
      <c r="BNA23">
        <f t="shared" si="1061"/>
        <v>0</v>
      </c>
      <c r="BNB23">
        <f t="shared" si="1062"/>
        <v>0</v>
      </c>
      <c r="BNC23">
        <f t="shared" si="1063"/>
        <v>0</v>
      </c>
      <c r="BND23">
        <f t="shared" si="1064"/>
        <v>0</v>
      </c>
      <c r="BNE23">
        <f t="shared" si="1065"/>
        <v>0</v>
      </c>
      <c r="BNF23">
        <f t="shared" si="1066"/>
        <v>0</v>
      </c>
      <c r="BNG23">
        <f t="shared" si="1067"/>
        <v>0</v>
      </c>
      <c r="BNH23">
        <f t="shared" si="1068"/>
        <v>0</v>
      </c>
      <c r="BNI23">
        <f t="shared" si="1069"/>
        <v>0</v>
      </c>
      <c r="BNJ23">
        <f t="shared" si="1070"/>
        <v>0</v>
      </c>
      <c r="BNK23">
        <f t="shared" si="1071"/>
        <v>0</v>
      </c>
      <c r="BNL23">
        <f t="shared" si="1072"/>
        <v>0</v>
      </c>
      <c r="BNM23">
        <f t="shared" si="1073"/>
        <v>0</v>
      </c>
      <c r="BNN23">
        <f t="shared" si="49"/>
        <v>0</v>
      </c>
      <c r="BNO23">
        <f t="shared" si="1074"/>
        <v>0</v>
      </c>
      <c r="BNP23">
        <f t="shared" si="1075"/>
        <v>0</v>
      </c>
      <c r="BNQ23">
        <f t="shared" si="1076"/>
        <v>0</v>
      </c>
      <c r="BNR23">
        <f t="shared" si="1077"/>
        <v>0</v>
      </c>
      <c r="BNS23">
        <f t="shared" si="1078"/>
        <v>0</v>
      </c>
      <c r="BNT23">
        <f t="shared" si="1079"/>
        <v>0</v>
      </c>
      <c r="BNU23">
        <f t="shared" si="1080"/>
        <v>0</v>
      </c>
      <c r="BNV23">
        <f t="shared" si="1081"/>
        <v>0</v>
      </c>
      <c r="BNW23">
        <f t="shared" si="1082"/>
        <v>0</v>
      </c>
      <c r="BNX23">
        <f t="shared" si="1083"/>
        <v>0</v>
      </c>
      <c r="BNY23">
        <f t="shared" si="1084"/>
        <v>0</v>
      </c>
      <c r="BNZ23">
        <f t="shared" si="1085"/>
        <v>0</v>
      </c>
      <c r="BOA23">
        <f t="shared" si="1086"/>
        <v>0</v>
      </c>
      <c r="BOB23">
        <f t="shared" si="1087"/>
        <v>0</v>
      </c>
      <c r="BOC23">
        <f t="shared" si="1088"/>
        <v>0</v>
      </c>
      <c r="BOD23">
        <f t="shared" si="1089"/>
        <v>0</v>
      </c>
      <c r="BOE23">
        <f t="shared" si="1090"/>
        <v>0</v>
      </c>
      <c r="BOF23">
        <f t="shared" si="1091"/>
        <v>0</v>
      </c>
      <c r="BOG23">
        <f t="shared" si="1092"/>
        <v>0</v>
      </c>
      <c r="BOH23">
        <f t="shared" si="1093"/>
        <v>0</v>
      </c>
      <c r="BOI23">
        <f t="shared" si="1094"/>
        <v>0</v>
      </c>
      <c r="BOJ23">
        <f t="shared" si="1095"/>
        <v>0</v>
      </c>
      <c r="BOK23">
        <f t="shared" si="1096"/>
        <v>0</v>
      </c>
      <c r="BOL23">
        <f t="shared" si="1097"/>
        <v>0</v>
      </c>
      <c r="BOM23">
        <f t="shared" si="1098"/>
        <v>0</v>
      </c>
      <c r="BON23">
        <f t="shared" si="1099"/>
        <v>0</v>
      </c>
      <c r="BOO23">
        <f t="shared" si="1100"/>
        <v>0</v>
      </c>
      <c r="BOP23">
        <f t="shared" si="1101"/>
        <v>0</v>
      </c>
      <c r="BOQ23">
        <f t="shared" si="1102"/>
        <v>0</v>
      </c>
      <c r="BOR23">
        <f t="shared" si="1103"/>
        <v>0</v>
      </c>
      <c r="BOS23">
        <f t="shared" si="1104"/>
        <v>0</v>
      </c>
      <c r="BOT23">
        <f t="shared" si="1105"/>
        <v>0</v>
      </c>
      <c r="BOU23">
        <f t="shared" si="1106"/>
        <v>0</v>
      </c>
      <c r="BOV23">
        <f t="shared" si="1107"/>
        <v>0</v>
      </c>
      <c r="BOW23">
        <f t="shared" si="1108"/>
        <v>0</v>
      </c>
      <c r="BOX23">
        <f t="shared" si="1109"/>
        <v>0</v>
      </c>
      <c r="BOY23">
        <f t="shared" si="1110"/>
        <v>0</v>
      </c>
      <c r="BOZ23">
        <f t="shared" si="1111"/>
        <v>0</v>
      </c>
      <c r="BPA23">
        <f t="shared" si="1112"/>
        <v>0</v>
      </c>
      <c r="BPB23">
        <f t="shared" si="1113"/>
        <v>0</v>
      </c>
      <c r="BPC23">
        <f t="shared" si="1114"/>
        <v>0</v>
      </c>
      <c r="BPD23">
        <f t="shared" si="1115"/>
        <v>0</v>
      </c>
      <c r="BPE23">
        <f t="shared" si="1116"/>
        <v>0</v>
      </c>
      <c r="BPF23">
        <f t="shared" si="1117"/>
        <v>0</v>
      </c>
      <c r="BPG23">
        <f t="shared" si="1118"/>
        <v>0</v>
      </c>
      <c r="BPH23">
        <f t="shared" si="1119"/>
        <v>0</v>
      </c>
      <c r="BPI23">
        <f t="shared" si="1120"/>
        <v>0</v>
      </c>
      <c r="BPJ23">
        <f t="shared" si="1121"/>
        <v>0</v>
      </c>
      <c r="BPK23">
        <f t="shared" si="1122"/>
        <v>0</v>
      </c>
      <c r="BPL23">
        <f t="shared" si="1123"/>
        <v>0</v>
      </c>
      <c r="BPM23">
        <f t="shared" si="1124"/>
        <v>0</v>
      </c>
      <c r="BPN23">
        <f t="shared" si="1125"/>
        <v>0</v>
      </c>
      <c r="BPO23">
        <f t="shared" si="1126"/>
        <v>0</v>
      </c>
      <c r="BPP23">
        <f t="shared" si="1127"/>
        <v>0</v>
      </c>
      <c r="BPQ23">
        <f t="shared" si="1128"/>
        <v>0</v>
      </c>
      <c r="BPR23">
        <f t="shared" si="1129"/>
        <v>0</v>
      </c>
      <c r="BPS23">
        <f t="shared" si="1130"/>
        <v>0</v>
      </c>
      <c r="BPT23">
        <f t="shared" si="1131"/>
        <v>0</v>
      </c>
      <c r="BPU23">
        <f t="shared" si="1132"/>
        <v>0</v>
      </c>
      <c r="BPV23">
        <f t="shared" si="1133"/>
        <v>0</v>
      </c>
      <c r="BPW23">
        <f t="shared" si="1134"/>
        <v>0</v>
      </c>
      <c r="BPX23">
        <f t="shared" si="1135"/>
        <v>0</v>
      </c>
      <c r="BPY23">
        <f t="shared" si="1136"/>
        <v>0</v>
      </c>
      <c r="BPZ23">
        <f t="shared" si="50"/>
        <v>0</v>
      </c>
      <c r="BQA23">
        <f t="shared" si="1137"/>
        <v>0</v>
      </c>
      <c r="BQB23">
        <f t="shared" si="1138"/>
        <v>0</v>
      </c>
      <c r="BQC23">
        <f t="shared" si="1139"/>
        <v>0</v>
      </c>
      <c r="BQD23">
        <f t="shared" si="1140"/>
        <v>0</v>
      </c>
      <c r="BQE23">
        <f t="shared" si="1141"/>
        <v>0</v>
      </c>
      <c r="BQF23">
        <f t="shared" si="1142"/>
        <v>0</v>
      </c>
      <c r="BQG23">
        <f t="shared" si="1143"/>
        <v>0</v>
      </c>
      <c r="BQH23">
        <f t="shared" si="1144"/>
        <v>0</v>
      </c>
      <c r="BQI23">
        <f t="shared" si="1145"/>
        <v>0</v>
      </c>
      <c r="BQJ23">
        <f t="shared" si="1146"/>
        <v>0</v>
      </c>
      <c r="BQK23">
        <f t="shared" si="1147"/>
        <v>0</v>
      </c>
      <c r="BQL23">
        <f t="shared" si="1148"/>
        <v>0</v>
      </c>
      <c r="BQM23">
        <f t="shared" si="1149"/>
        <v>0</v>
      </c>
      <c r="BQN23">
        <f t="shared" si="1150"/>
        <v>0</v>
      </c>
      <c r="BQO23">
        <f t="shared" si="1151"/>
        <v>0</v>
      </c>
      <c r="BQP23">
        <f t="shared" si="1152"/>
        <v>0</v>
      </c>
      <c r="BQQ23">
        <f t="shared" si="1153"/>
        <v>0</v>
      </c>
      <c r="BQR23">
        <f t="shared" si="1154"/>
        <v>0</v>
      </c>
      <c r="BQS23">
        <f t="shared" si="1155"/>
        <v>0</v>
      </c>
      <c r="BQT23">
        <f t="shared" si="1156"/>
        <v>0</v>
      </c>
      <c r="BQU23">
        <f t="shared" si="1157"/>
        <v>0</v>
      </c>
      <c r="BQV23">
        <f t="shared" si="1158"/>
        <v>0</v>
      </c>
      <c r="BQW23">
        <f t="shared" si="1159"/>
        <v>0</v>
      </c>
      <c r="BQX23">
        <f t="shared" si="1160"/>
        <v>0</v>
      </c>
      <c r="BQY23">
        <f t="shared" si="1161"/>
        <v>0</v>
      </c>
      <c r="BQZ23">
        <f t="shared" si="1162"/>
        <v>0</v>
      </c>
      <c r="BRA23">
        <f t="shared" si="1163"/>
        <v>0</v>
      </c>
      <c r="BRB23">
        <f t="shared" si="1164"/>
        <v>0</v>
      </c>
      <c r="BRC23">
        <f t="shared" si="1165"/>
        <v>0</v>
      </c>
      <c r="BRD23">
        <f t="shared" si="1166"/>
        <v>0</v>
      </c>
      <c r="BRE23">
        <f t="shared" si="1167"/>
        <v>0</v>
      </c>
      <c r="BRF23">
        <f t="shared" si="1168"/>
        <v>0</v>
      </c>
      <c r="BRG23">
        <f t="shared" si="1169"/>
        <v>0</v>
      </c>
      <c r="BRH23">
        <f t="shared" si="1170"/>
        <v>0</v>
      </c>
      <c r="BRI23">
        <f t="shared" si="1171"/>
        <v>0</v>
      </c>
      <c r="BRJ23">
        <f t="shared" si="1172"/>
        <v>0</v>
      </c>
      <c r="BRK23">
        <f t="shared" si="1173"/>
        <v>0</v>
      </c>
      <c r="BRL23">
        <f t="shared" si="1174"/>
        <v>0</v>
      </c>
      <c r="BRM23">
        <f t="shared" si="1175"/>
        <v>0</v>
      </c>
      <c r="BRN23">
        <f t="shared" si="1176"/>
        <v>0</v>
      </c>
      <c r="BRO23">
        <f t="shared" si="1177"/>
        <v>0</v>
      </c>
      <c r="BRP23">
        <f t="shared" si="1178"/>
        <v>0</v>
      </c>
      <c r="BRQ23">
        <f t="shared" si="1179"/>
        <v>0</v>
      </c>
      <c r="BRR23">
        <f t="shared" si="1180"/>
        <v>0</v>
      </c>
      <c r="BRS23">
        <f t="shared" si="1181"/>
        <v>0</v>
      </c>
      <c r="BRT23">
        <f t="shared" si="1182"/>
        <v>0</v>
      </c>
      <c r="BRU23">
        <f t="shared" si="1183"/>
        <v>0</v>
      </c>
      <c r="BRV23">
        <f t="shared" si="1184"/>
        <v>0</v>
      </c>
      <c r="BRW23">
        <f t="shared" si="1185"/>
        <v>0</v>
      </c>
      <c r="BRX23">
        <f t="shared" si="1186"/>
        <v>0</v>
      </c>
      <c r="BRY23">
        <f t="shared" si="1187"/>
        <v>0</v>
      </c>
      <c r="BRZ23">
        <f t="shared" si="1188"/>
        <v>0</v>
      </c>
      <c r="BSA23">
        <f t="shared" si="1189"/>
        <v>0</v>
      </c>
      <c r="BSB23">
        <f t="shared" si="1190"/>
        <v>0</v>
      </c>
      <c r="BSC23">
        <f t="shared" si="1191"/>
        <v>0</v>
      </c>
      <c r="BSD23">
        <f t="shared" si="1192"/>
        <v>0</v>
      </c>
      <c r="BSE23">
        <f t="shared" si="1193"/>
        <v>0</v>
      </c>
      <c r="BSF23">
        <f t="shared" si="1194"/>
        <v>0</v>
      </c>
      <c r="BSG23">
        <f t="shared" si="1195"/>
        <v>0</v>
      </c>
      <c r="BSH23">
        <f t="shared" si="1196"/>
        <v>0</v>
      </c>
      <c r="BSI23">
        <f t="shared" si="1197"/>
        <v>0</v>
      </c>
      <c r="BSJ23">
        <f t="shared" si="1198"/>
        <v>0</v>
      </c>
      <c r="BSK23">
        <f t="shared" si="1199"/>
        <v>0</v>
      </c>
      <c r="BSL23">
        <f t="shared" si="51"/>
        <v>0</v>
      </c>
      <c r="BSM23">
        <f t="shared" si="1200"/>
        <v>0</v>
      </c>
      <c r="BSN23">
        <f t="shared" si="1201"/>
        <v>0</v>
      </c>
      <c r="BSO23">
        <f t="shared" si="1202"/>
        <v>0</v>
      </c>
      <c r="BSP23">
        <f t="shared" si="1203"/>
        <v>0</v>
      </c>
      <c r="BSQ23">
        <f t="shared" si="1204"/>
        <v>0</v>
      </c>
      <c r="BSR23">
        <f t="shared" si="1205"/>
        <v>0</v>
      </c>
      <c r="BSS23">
        <f t="shared" si="1206"/>
        <v>0</v>
      </c>
      <c r="BST23">
        <f t="shared" si="1207"/>
        <v>0</v>
      </c>
      <c r="BSU23">
        <f t="shared" si="1208"/>
        <v>0</v>
      </c>
      <c r="BSV23">
        <f t="shared" si="1209"/>
        <v>0</v>
      </c>
      <c r="BSW23">
        <f t="shared" si="1210"/>
        <v>0</v>
      </c>
      <c r="BSX23">
        <f t="shared" si="1211"/>
        <v>0</v>
      </c>
      <c r="BSY23">
        <f t="shared" si="1212"/>
        <v>0</v>
      </c>
      <c r="BSZ23">
        <f t="shared" si="1213"/>
        <v>0</v>
      </c>
      <c r="BTA23">
        <f t="shared" si="1214"/>
        <v>0</v>
      </c>
      <c r="BTB23">
        <f t="shared" si="1215"/>
        <v>0</v>
      </c>
      <c r="BTC23">
        <f t="shared" si="1216"/>
        <v>0</v>
      </c>
      <c r="BTD23">
        <f t="shared" si="1217"/>
        <v>0</v>
      </c>
      <c r="BTE23">
        <f t="shared" si="1218"/>
        <v>0</v>
      </c>
      <c r="BTF23">
        <f t="shared" si="1219"/>
        <v>0</v>
      </c>
      <c r="BTG23">
        <f t="shared" si="1220"/>
        <v>0</v>
      </c>
      <c r="BTH23">
        <f t="shared" si="1221"/>
        <v>0</v>
      </c>
      <c r="BTI23">
        <f t="shared" si="1222"/>
        <v>0</v>
      </c>
      <c r="BTJ23">
        <f t="shared" si="1223"/>
        <v>0</v>
      </c>
      <c r="BTK23">
        <f t="shared" si="1224"/>
        <v>0</v>
      </c>
      <c r="BTL23">
        <f t="shared" si="1225"/>
        <v>0</v>
      </c>
      <c r="BTM23">
        <f t="shared" si="1226"/>
        <v>0</v>
      </c>
      <c r="BTN23">
        <f t="shared" si="1227"/>
        <v>0</v>
      </c>
      <c r="BTO23">
        <f t="shared" si="1228"/>
        <v>0</v>
      </c>
      <c r="BTP23">
        <f t="shared" si="1229"/>
        <v>0</v>
      </c>
      <c r="BTQ23">
        <f t="shared" si="1230"/>
        <v>0</v>
      </c>
      <c r="BTR23">
        <f t="shared" si="1231"/>
        <v>0</v>
      </c>
      <c r="BTS23">
        <f t="shared" si="1232"/>
        <v>0</v>
      </c>
      <c r="BTT23">
        <f t="shared" si="1233"/>
        <v>0</v>
      </c>
      <c r="BTU23">
        <f t="shared" si="1234"/>
        <v>0</v>
      </c>
      <c r="BTV23">
        <f t="shared" si="1235"/>
        <v>0</v>
      </c>
      <c r="BTW23">
        <f t="shared" si="1236"/>
        <v>0</v>
      </c>
      <c r="BTX23">
        <f t="shared" si="1237"/>
        <v>0</v>
      </c>
      <c r="BTY23">
        <f t="shared" si="1238"/>
        <v>0</v>
      </c>
      <c r="BTZ23">
        <f t="shared" si="1239"/>
        <v>0</v>
      </c>
      <c r="BUA23">
        <f t="shared" si="1240"/>
        <v>0</v>
      </c>
      <c r="BUB23">
        <f t="shared" si="1241"/>
        <v>0</v>
      </c>
      <c r="BUC23">
        <f t="shared" si="1242"/>
        <v>0</v>
      </c>
      <c r="BUD23">
        <f t="shared" si="1243"/>
        <v>0</v>
      </c>
      <c r="BUE23">
        <f t="shared" si="1244"/>
        <v>0</v>
      </c>
      <c r="BUF23">
        <f t="shared" si="1245"/>
        <v>0</v>
      </c>
      <c r="BUG23">
        <f t="shared" si="1246"/>
        <v>0</v>
      </c>
      <c r="BUH23">
        <f t="shared" si="1247"/>
        <v>0</v>
      </c>
      <c r="BUI23">
        <f t="shared" si="1248"/>
        <v>0</v>
      </c>
      <c r="BUJ23">
        <f t="shared" si="1249"/>
        <v>0</v>
      </c>
      <c r="BUK23">
        <f t="shared" si="1250"/>
        <v>0</v>
      </c>
      <c r="BUL23">
        <f t="shared" si="1251"/>
        <v>0</v>
      </c>
      <c r="BUM23">
        <f t="shared" si="1252"/>
        <v>0</v>
      </c>
      <c r="BUN23">
        <f t="shared" si="1253"/>
        <v>0</v>
      </c>
      <c r="BUO23">
        <f t="shared" si="1254"/>
        <v>0</v>
      </c>
      <c r="BUP23">
        <f t="shared" si="1255"/>
        <v>0</v>
      </c>
      <c r="BUQ23">
        <f t="shared" si="1256"/>
        <v>0</v>
      </c>
      <c r="BUR23">
        <f t="shared" si="1257"/>
        <v>0</v>
      </c>
      <c r="BUS23">
        <f t="shared" si="1258"/>
        <v>0</v>
      </c>
      <c r="BUT23">
        <f t="shared" si="1259"/>
        <v>0</v>
      </c>
      <c r="BUU23">
        <f t="shared" si="1260"/>
        <v>0</v>
      </c>
      <c r="BUV23">
        <f t="shared" si="1261"/>
        <v>0</v>
      </c>
      <c r="BUW23">
        <f t="shared" si="1262"/>
        <v>0</v>
      </c>
      <c r="BUX23">
        <f t="shared" si="52"/>
        <v>0</v>
      </c>
      <c r="BUY23">
        <f t="shared" si="1263"/>
        <v>0</v>
      </c>
      <c r="BUZ23">
        <f t="shared" si="1264"/>
        <v>0</v>
      </c>
      <c r="BVA23">
        <f t="shared" si="1265"/>
        <v>0</v>
      </c>
      <c r="BVB23">
        <f t="shared" si="1266"/>
        <v>0</v>
      </c>
      <c r="BVC23">
        <f t="shared" si="1267"/>
        <v>0</v>
      </c>
      <c r="BVD23">
        <f t="shared" si="1268"/>
        <v>0</v>
      </c>
      <c r="BVE23">
        <f t="shared" si="1269"/>
        <v>0</v>
      </c>
      <c r="BVF23">
        <f t="shared" si="1270"/>
        <v>0</v>
      </c>
      <c r="BVG23">
        <f t="shared" si="1271"/>
        <v>0</v>
      </c>
      <c r="BVH23">
        <f t="shared" si="1272"/>
        <v>0</v>
      </c>
      <c r="BVI23">
        <f t="shared" si="1273"/>
        <v>0</v>
      </c>
      <c r="BVJ23">
        <f t="shared" si="1274"/>
        <v>0</v>
      </c>
      <c r="BVK23">
        <f t="shared" si="1275"/>
        <v>0</v>
      </c>
      <c r="BVL23">
        <f t="shared" si="1276"/>
        <v>0</v>
      </c>
      <c r="BVM23">
        <f t="shared" si="1277"/>
        <v>0</v>
      </c>
      <c r="BVN23">
        <f t="shared" si="1278"/>
        <v>0</v>
      </c>
      <c r="BVO23">
        <f t="shared" si="1279"/>
        <v>0</v>
      </c>
      <c r="BVP23">
        <f t="shared" si="1280"/>
        <v>0</v>
      </c>
      <c r="BVQ23">
        <f t="shared" si="1281"/>
        <v>0</v>
      </c>
      <c r="BVR23">
        <f t="shared" si="1282"/>
        <v>0</v>
      </c>
      <c r="BVS23">
        <f t="shared" si="1283"/>
        <v>0</v>
      </c>
      <c r="BVT23">
        <f t="shared" si="1284"/>
        <v>0</v>
      </c>
      <c r="BVU23">
        <f t="shared" si="1285"/>
        <v>0</v>
      </c>
      <c r="BVV23">
        <f t="shared" si="1286"/>
        <v>0</v>
      </c>
      <c r="BVW23">
        <f t="shared" si="1287"/>
        <v>0</v>
      </c>
      <c r="BVX23">
        <f t="shared" si="1288"/>
        <v>0</v>
      </c>
      <c r="BVY23">
        <f t="shared" si="1289"/>
        <v>0</v>
      </c>
      <c r="BVZ23">
        <f t="shared" si="1290"/>
        <v>0</v>
      </c>
      <c r="BWA23">
        <f t="shared" si="1291"/>
        <v>0</v>
      </c>
      <c r="BWB23">
        <f t="shared" si="1292"/>
        <v>0</v>
      </c>
      <c r="BWC23">
        <f t="shared" si="1293"/>
        <v>0</v>
      </c>
      <c r="BWD23">
        <f t="shared" si="1294"/>
        <v>0</v>
      </c>
      <c r="BWE23">
        <f t="shared" si="1295"/>
        <v>0</v>
      </c>
      <c r="BWF23">
        <f t="shared" si="1296"/>
        <v>0</v>
      </c>
      <c r="BWG23">
        <f t="shared" si="1297"/>
        <v>0</v>
      </c>
      <c r="BWH23">
        <f t="shared" si="1298"/>
        <v>0</v>
      </c>
      <c r="BWI23">
        <f t="shared" si="1299"/>
        <v>0</v>
      </c>
      <c r="BWJ23">
        <f t="shared" si="1300"/>
        <v>0</v>
      </c>
      <c r="BWK23">
        <f t="shared" si="1301"/>
        <v>0</v>
      </c>
      <c r="BWL23">
        <f t="shared" si="1302"/>
        <v>0</v>
      </c>
      <c r="BWM23">
        <f t="shared" si="1303"/>
        <v>0</v>
      </c>
      <c r="BWN23">
        <f t="shared" si="1304"/>
        <v>0</v>
      </c>
      <c r="BWO23">
        <f t="shared" si="1305"/>
        <v>0</v>
      </c>
      <c r="BWP23">
        <f t="shared" si="1306"/>
        <v>0</v>
      </c>
      <c r="BWQ23">
        <f t="shared" si="1307"/>
        <v>0</v>
      </c>
      <c r="BWR23">
        <f t="shared" si="1308"/>
        <v>0</v>
      </c>
      <c r="BWS23">
        <f t="shared" si="1309"/>
        <v>0</v>
      </c>
      <c r="BWT23">
        <f t="shared" si="1310"/>
        <v>0</v>
      </c>
      <c r="BWU23">
        <f t="shared" si="1311"/>
        <v>0</v>
      </c>
      <c r="BWV23">
        <f t="shared" si="1312"/>
        <v>0</v>
      </c>
      <c r="BWW23">
        <f t="shared" si="1313"/>
        <v>0</v>
      </c>
      <c r="BWX23">
        <f t="shared" si="1314"/>
        <v>0</v>
      </c>
      <c r="BWY23">
        <f t="shared" si="1315"/>
        <v>0</v>
      </c>
      <c r="BWZ23">
        <f t="shared" si="1316"/>
        <v>0</v>
      </c>
      <c r="BXA23">
        <f t="shared" si="1317"/>
        <v>0</v>
      </c>
      <c r="BXB23">
        <f t="shared" si="1318"/>
        <v>0</v>
      </c>
      <c r="BXC23">
        <f t="shared" si="1319"/>
        <v>0</v>
      </c>
      <c r="BXD23">
        <f t="shared" si="1320"/>
        <v>0</v>
      </c>
      <c r="BXE23">
        <f t="shared" si="1321"/>
        <v>0</v>
      </c>
      <c r="BXF23">
        <f t="shared" si="1322"/>
        <v>0</v>
      </c>
      <c r="BXG23">
        <f t="shared" si="1323"/>
        <v>0</v>
      </c>
      <c r="BXH23">
        <f t="shared" si="1324"/>
        <v>0</v>
      </c>
      <c r="BXI23">
        <f t="shared" si="1325"/>
        <v>0</v>
      </c>
      <c r="BXJ23">
        <f t="shared" si="53"/>
        <v>0</v>
      </c>
      <c r="BXK23">
        <f t="shared" si="1326"/>
        <v>0</v>
      </c>
      <c r="BXL23">
        <f t="shared" si="1327"/>
        <v>0</v>
      </c>
      <c r="BXM23">
        <f t="shared" si="1328"/>
        <v>0</v>
      </c>
      <c r="BXN23">
        <f t="shared" si="1329"/>
        <v>0</v>
      </c>
      <c r="BXO23">
        <f t="shared" si="1330"/>
        <v>0</v>
      </c>
      <c r="BXP23">
        <f t="shared" si="1331"/>
        <v>0</v>
      </c>
      <c r="BXQ23">
        <f t="shared" si="1332"/>
        <v>0</v>
      </c>
      <c r="BXR23">
        <f t="shared" si="1333"/>
        <v>0</v>
      </c>
      <c r="BXS23">
        <f t="shared" si="1334"/>
        <v>0</v>
      </c>
      <c r="BXT23">
        <f t="shared" si="1335"/>
        <v>0</v>
      </c>
      <c r="BXU23">
        <f t="shared" si="1336"/>
        <v>0</v>
      </c>
      <c r="BXV23">
        <f t="shared" si="1337"/>
        <v>0</v>
      </c>
      <c r="BXW23">
        <f t="shared" si="1338"/>
        <v>0</v>
      </c>
      <c r="BXX23">
        <f t="shared" si="1339"/>
        <v>0</v>
      </c>
      <c r="BXY23">
        <f t="shared" si="1340"/>
        <v>0</v>
      </c>
      <c r="BXZ23">
        <f t="shared" si="1341"/>
        <v>0</v>
      </c>
      <c r="BYA23">
        <f t="shared" si="1342"/>
        <v>0</v>
      </c>
      <c r="BYB23">
        <f t="shared" si="1343"/>
        <v>0</v>
      </c>
      <c r="BYC23">
        <f t="shared" si="1344"/>
        <v>0</v>
      </c>
      <c r="BYD23">
        <f t="shared" si="1345"/>
        <v>0</v>
      </c>
      <c r="BYE23">
        <f t="shared" si="1346"/>
        <v>0</v>
      </c>
      <c r="BYF23">
        <f t="shared" si="1347"/>
        <v>0</v>
      </c>
      <c r="BYG23">
        <f t="shared" si="1348"/>
        <v>0</v>
      </c>
      <c r="BYH23">
        <f t="shared" si="1349"/>
        <v>0</v>
      </c>
      <c r="BYI23">
        <f t="shared" si="1350"/>
        <v>0</v>
      </c>
      <c r="BYJ23">
        <f t="shared" si="1351"/>
        <v>0</v>
      </c>
      <c r="BYK23">
        <f t="shared" si="1352"/>
        <v>0</v>
      </c>
      <c r="BYL23">
        <f t="shared" si="1353"/>
        <v>0</v>
      </c>
      <c r="BYM23">
        <f t="shared" si="1354"/>
        <v>0</v>
      </c>
      <c r="BYN23">
        <f t="shared" si="1355"/>
        <v>0</v>
      </c>
      <c r="BYO23">
        <f t="shared" si="1356"/>
        <v>0</v>
      </c>
      <c r="BYP23">
        <f t="shared" si="1357"/>
        <v>0</v>
      </c>
      <c r="BYQ23">
        <f t="shared" si="1358"/>
        <v>0</v>
      </c>
      <c r="BYR23">
        <f t="shared" si="1359"/>
        <v>0</v>
      </c>
      <c r="BYS23">
        <f t="shared" si="1360"/>
        <v>0</v>
      </c>
      <c r="BYT23">
        <f t="shared" si="1361"/>
        <v>0</v>
      </c>
      <c r="BYU23">
        <f t="shared" si="1362"/>
        <v>0</v>
      </c>
      <c r="BYV23">
        <f t="shared" si="1363"/>
        <v>0</v>
      </c>
      <c r="BYW23">
        <f t="shared" si="1364"/>
        <v>0</v>
      </c>
      <c r="BYX23">
        <f t="shared" si="1365"/>
        <v>0</v>
      </c>
      <c r="BYY23">
        <f t="shared" si="1366"/>
        <v>0</v>
      </c>
      <c r="BYZ23">
        <f t="shared" si="1367"/>
        <v>0</v>
      </c>
      <c r="BZA23">
        <f t="shared" si="1368"/>
        <v>0</v>
      </c>
      <c r="BZB23">
        <f t="shared" si="1369"/>
        <v>0</v>
      </c>
      <c r="BZC23">
        <f t="shared" si="1370"/>
        <v>0</v>
      </c>
      <c r="BZD23">
        <f t="shared" si="1371"/>
        <v>0</v>
      </c>
      <c r="BZE23">
        <f t="shared" si="1372"/>
        <v>0</v>
      </c>
      <c r="BZF23">
        <f t="shared" si="1373"/>
        <v>0</v>
      </c>
      <c r="BZG23">
        <f t="shared" si="1374"/>
        <v>0</v>
      </c>
      <c r="BZH23">
        <f t="shared" si="1375"/>
        <v>0</v>
      </c>
      <c r="BZI23">
        <f t="shared" si="1376"/>
        <v>0</v>
      </c>
      <c r="BZJ23">
        <f t="shared" si="1377"/>
        <v>0</v>
      </c>
      <c r="BZK23">
        <f t="shared" si="1378"/>
        <v>0</v>
      </c>
      <c r="BZL23">
        <f t="shared" si="1379"/>
        <v>0</v>
      </c>
      <c r="BZM23">
        <f t="shared" si="1380"/>
        <v>0</v>
      </c>
      <c r="BZN23">
        <f t="shared" si="1381"/>
        <v>0</v>
      </c>
      <c r="BZO23">
        <f t="shared" si="1382"/>
        <v>0</v>
      </c>
      <c r="BZP23">
        <f t="shared" si="1383"/>
        <v>0</v>
      </c>
      <c r="BZQ23">
        <f t="shared" si="1384"/>
        <v>0</v>
      </c>
      <c r="BZR23">
        <f t="shared" si="1385"/>
        <v>0</v>
      </c>
      <c r="BZS23">
        <f t="shared" si="1386"/>
        <v>0</v>
      </c>
      <c r="BZT23">
        <f t="shared" si="1387"/>
        <v>0</v>
      </c>
      <c r="BZU23">
        <f t="shared" si="1388"/>
        <v>0</v>
      </c>
      <c r="BZV23">
        <f t="shared" si="54"/>
        <v>0</v>
      </c>
      <c r="BZW23">
        <f t="shared" si="1389"/>
        <v>0</v>
      </c>
      <c r="BZX23">
        <f t="shared" si="1390"/>
        <v>0</v>
      </c>
      <c r="BZY23">
        <f t="shared" si="1391"/>
        <v>0</v>
      </c>
      <c r="BZZ23">
        <f t="shared" si="1392"/>
        <v>0</v>
      </c>
      <c r="CAA23">
        <f t="shared" si="1393"/>
        <v>0</v>
      </c>
      <c r="CAB23">
        <f t="shared" si="1394"/>
        <v>0</v>
      </c>
      <c r="CAC23">
        <f t="shared" si="1395"/>
        <v>0</v>
      </c>
      <c r="CAD23">
        <f t="shared" si="1396"/>
        <v>0</v>
      </c>
      <c r="CAE23">
        <f t="shared" si="1397"/>
        <v>0</v>
      </c>
      <c r="CAF23">
        <f t="shared" si="1398"/>
        <v>0</v>
      </c>
      <c r="CAG23">
        <f t="shared" si="1399"/>
        <v>0</v>
      </c>
      <c r="CAH23">
        <f t="shared" si="1400"/>
        <v>0</v>
      </c>
      <c r="CAI23">
        <f t="shared" si="1401"/>
        <v>0</v>
      </c>
      <c r="CAJ23">
        <f t="shared" si="1402"/>
        <v>0</v>
      </c>
      <c r="CAK23">
        <f t="shared" si="1403"/>
        <v>0</v>
      </c>
      <c r="CAL23">
        <f t="shared" si="1404"/>
        <v>0</v>
      </c>
      <c r="CAM23">
        <f t="shared" si="1405"/>
        <v>0</v>
      </c>
      <c r="CAN23">
        <f t="shared" si="1406"/>
        <v>0</v>
      </c>
      <c r="CAO23">
        <f t="shared" si="1407"/>
        <v>0</v>
      </c>
      <c r="CAP23">
        <f t="shared" si="1408"/>
        <v>0</v>
      </c>
      <c r="CAQ23">
        <f t="shared" si="1409"/>
        <v>0</v>
      </c>
      <c r="CAR23">
        <f t="shared" si="1410"/>
        <v>0</v>
      </c>
      <c r="CAS23">
        <f t="shared" si="1411"/>
        <v>0</v>
      </c>
      <c r="CAT23">
        <f t="shared" si="1412"/>
        <v>0</v>
      </c>
      <c r="CAU23">
        <f t="shared" si="1413"/>
        <v>0</v>
      </c>
      <c r="CAV23">
        <f t="shared" si="1414"/>
        <v>0</v>
      </c>
      <c r="CAW23">
        <f t="shared" si="1415"/>
        <v>0</v>
      </c>
      <c r="CAX23">
        <f t="shared" si="1416"/>
        <v>0</v>
      </c>
      <c r="CAY23">
        <f t="shared" si="1417"/>
        <v>0</v>
      </c>
      <c r="CAZ23">
        <f t="shared" si="1418"/>
        <v>0</v>
      </c>
      <c r="CBA23">
        <f t="shared" si="1419"/>
        <v>0</v>
      </c>
      <c r="CBB23">
        <f t="shared" si="1420"/>
        <v>0</v>
      </c>
      <c r="CBC23">
        <f t="shared" si="1421"/>
        <v>0</v>
      </c>
      <c r="CBD23">
        <f t="shared" si="1422"/>
        <v>0</v>
      </c>
      <c r="CBE23">
        <f t="shared" si="1423"/>
        <v>0</v>
      </c>
      <c r="CBF23">
        <f t="shared" si="1424"/>
        <v>0</v>
      </c>
      <c r="CBG23">
        <f t="shared" si="1425"/>
        <v>0</v>
      </c>
      <c r="CBH23">
        <f t="shared" si="1426"/>
        <v>0</v>
      </c>
      <c r="CBI23">
        <f t="shared" si="1427"/>
        <v>0</v>
      </c>
      <c r="CBJ23">
        <f t="shared" si="1428"/>
        <v>0</v>
      </c>
      <c r="CBK23">
        <f t="shared" si="1429"/>
        <v>0</v>
      </c>
      <c r="CBL23">
        <f t="shared" si="1430"/>
        <v>0</v>
      </c>
      <c r="CBM23">
        <f t="shared" si="1431"/>
        <v>0</v>
      </c>
      <c r="CBN23">
        <f t="shared" si="1432"/>
        <v>0</v>
      </c>
      <c r="CBO23">
        <f t="shared" si="1433"/>
        <v>0</v>
      </c>
      <c r="CBP23">
        <f t="shared" si="1434"/>
        <v>0</v>
      </c>
      <c r="CBQ23">
        <f t="shared" si="1435"/>
        <v>0</v>
      </c>
      <c r="CBR23">
        <f t="shared" si="1436"/>
        <v>0</v>
      </c>
      <c r="CBS23">
        <f t="shared" si="1437"/>
        <v>0</v>
      </c>
      <c r="CBT23">
        <f t="shared" si="1438"/>
        <v>0</v>
      </c>
      <c r="CBU23">
        <f t="shared" si="1439"/>
        <v>0</v>
      </c>
      <c r="CBV23">
        <f t="shared" si="1440"/>
        <v>0</v>
      </c>
      <c r="CBW23">
        <f t="shared" si="1441"/>
        <v>0</v>
      </c>
      <c r="CBX23">
        <f t="shared" si="1442"/>
        <v>0</v>
      </c>
      <c r="CBY23">
        <f t="shared" si="1443"/>
        <v>0</v>
      </c>
      <c r="CBZ23">
        <f t="shared" si="1444"/>
        <v>0</v>
      </c>
      <c r="CCA23">
        <f t="shared" si="1445"/>
        <v>0</v>
      </c>
      <c r="CCB23">
        <f t="shared" si="1446"/>
        <v>0</v>
      </c>
      <c r="CCC23">
        <f t="shared" si="1447"/>
        <v>0</v>
      </c>
      <c r="CCD23">
        <f t="shared" si="1448"/>
        <v>0</v>
      </c>
      <c r="CCE23">
        <f t="shared" si="1449"/>
        <v>0</v>
      </c>
      <c r="CCF23">
        <f t="shared" si="1450"/>
        <v>0</v>
      </c>
      <c r="CCG23">
        <f t="shared" si="1451"/>
        <v>0</v>
      </c>
      <c r="CCH23">
        <f t="shared" si="55"/>
        <v>0</v>
      </c>
      <c r="CCI23">
        <f t="shared" si="1452"/>
        <v>0</v>
      </c>
      <c r="CCJ23">
        <f t="shared" si="1453"/>
        <v>0</v>
      </c>
      <c r="CCK23">
        <f t="shared" si="1454"/>
        <v>0</v>
      </c>
      <c r="CCL23">
        <f t="shared" si="1455"/>
        <v>0</v>
      </c>
      <c r="CCM23">
        <f t="shared" si="1456"/>
        <v>0</v>
      </c>
      <c r="CCN23">
        <f t="shared" si="1457"/>
        <v>0</v>
      </c>
      <c r="CCO23">
        <f t="shared" si="1458"/>
        <v>0</v>
      </c>
      <c r="CCP23">
        <f t="shared" si="1459"/>
        <v>0</v>
      </c>
      <c r="CCQ23">
        <f t="shared" si="1460"/>
        <v>0</v>
      </c>
      <c r="CCR23">
        <f t="shared" si="1461"/>
        <v>0</v>
      </c>
      <c r="CCS23">
        <f t="shared" si="1462"/>
        <v>0</v>
      </c>
      <c r="CCT23">
        <f t="shared" si="1463"/>
        <v>0</v>
      </c>
      <c r="CCU23">
        <f t="shared" si="1464"/>
        <v>0</v>
      </c>
      <c r="CCV23">
        <f t="shared" si="1465"/>
        <v>0</v>
      </c>
      <c r="CCW23">
        <f t="shared" si="1466"/>
        <v>0</v>
      </c>
      <c r="CCX23">
        <f t="shared" si="1467"/>
        <v>0</v>
      </c>
      <c r="CCY23">
        <f t="shared" si="1468"/>
        <v>0</v>
      </c>
      <c r="CCZ23">
        <f t="shared" si="1469"/>
        <v>0</v>
      </c>
      <c r="CDA23">
        <f t="shared" si="1470"/>
        <v>0</v>
      </c>
      <c r="CDB23">
        <f t="shared" si="1471"/>
        <v>0</v>
      </c>
      <c r="CDC23">
        <f t="shared" si="1472"/>
        <v>0</v>
      </c>
      <c r="CDD23">
        <f t="shared" si="1473"/>
        <v>0</v>
      </c>
      <c r="CDE23">
        <f t="shared" si="1474"/>
        <v>0</v>
      </c>
      <c r="CDF23">
        <f t="shared" si="1475"/>
        <v>0</v>
      </c>
      <c r="CDG23">
        <f t="shared" si="1476"/>
        <v>0</v>
      </c>
      <c r="CDH23">
        <f t="shared" si="1477"/>
        <v>0</v>
      </c>
      <c r="CDI23">
        <f t="shared" si="1478"/>
        <v>0</v>
      </c>
      <c r="CDJ23">
        <f t="shared" si="1479"/>
        <v>0</v>
      </c>
      <c r="CDK23">
        <f t="shared" si="1480"/>
        <v>0</v>
      </c>
      <c r="CDL23">
        <f t="shared" si="1481"/>
        <v>0</v>
      </c>
      <c r="CDM23">
        <f t="shared" si="1482"/>
        <v>0</v>
      </c>
      <c r="CDN23">
        <f t="shared" si="1483"/>
        <v>0</v>
      </c>
      <c r="CDO23">
        <f t="shared" si="1484"/>
        <v>0</v>
      </c>
      <c r="CDP23">
        <f t="shared" si="1485"/>
        <v>0</v>
      </c>
      <c r="CDQ23">
        <f t="shared" si="1486"/>
        <v>0</v>
      </c>
      <c r="CDR23">
        <f t="shared" si="1487"/>
        <v>0</v>
      </c>
      <c r="CDS23">
        <f t="shared" si="1488"/>
        <v>0</v>
      </c>
      <c r="CDT23">
        <f t="shared" si="1489"/>
        <v>0</v>
      </c>
      <c r="CDU23">
        <f t="shared" si="1490"/>
        <v>0</v>
      </c>
      <c r="CDV23">
        <f t="shared" si="1491"/>
        <v>0</v>
      </c>
      <c r="CDW23">
        <f t="shared" si="1492"/>
        <v>0</v>
      </c>
      <c r="CDX23">
        <f t="shared" si="1493"/>
        <v>0</v>
      </c>
      <c r="CDY23">
        <f t="shared" si="1494"/>
        <v>0</v>
      </c>
      <c r="CDZ23">
        <f t="shared" si="1495"/>
        <v>0</v>
      </c>
      <c r="CEA23">
        <f t="shared" si="1496"/>
        <v>0</v>
      </c>
      <c r="CEB23">
        <f t="shared" si="1497"/>
        <v>0</v>
      </c>
      <c r="CEC23">
        <f t="shared" si="1498"/>
        <v>0</v>
      </c>
      <c r="CED23">
        <f t="shared" si="1499"/>
        <v>0</v>
      </c>
      <c r="CEE23">
        <f t="shared" si="1500"/>
        <v>0</v>
      </c>
      <c r="CEF23">
        <f t="shared" si="1501"/>
        <v>0</v>
      </c>
      <c r="CEG23">
        <f t="shared" si="1502"/>
        <v>0</v>
      </c>
      <c r="CEH23">
        <f t="shared" si="1503"/>
        <v>0</v>
      </c>
      <c r="CEI23">
        <f t="shared" si="1504"/>
        <v>0</v>
      </c>
      <c r="CEJ23">
        <f t="shared" si="1505"/>
        <v>0</v>
      </c>
      <c r="CEK23">
        <f t="shared" si="1506"/>
        <v>0</v>
      </c>
      <c r="CEL23">
        <f t="shared" si="1507"/>
        <v>0</v>
      </c>
      <c r="CEM23">
        <f t="shared" si="1508"/>
        <v>0</v>
      </c>
      <c r="CEN23">
        <f t="shared" si="1509"/>
        <v>0</v>
      </c>
      <c r="CEO23">
        <f t="shared" si="1510"/>
        <v>0</v>
      </c>
      <c r="CEP23">
        <f t="shared" si="1511"/>
        <v>0</v>
      </c>
      <c r="CEQ23">
        <f t="shared" si="1512"/>
        <v>0</v>
      </c>
      <c r="CER23">
        <f t="shared" si="1513"/>
        <v>0</v>
      </c>
      <c r="CES23">
        <f t="shared" si="1514"/>
        <v>0</v>
      </c>
      <c r="CET23">
        <f t="shared" si="56"/>
        <v>0</v>
      </c>
      <c r="CEU23">
        <f t="shared" si="1515"/>
        <v>0</v>
      </c>
      <c r="CEV23">
        <f t="shared" si="1516"/>
        <v>0</v>
      </c>
      <c r="CEW23">
        <f t="shared" si="1517"/>
        <v>0</v>
      </c>
      <c r="CEX23">
        <f t="shared" si="1518"/>
        <v>0</v>
      </c>
      <c r="CEY23">
        <f t="shared" si="1519"/>
        <v>0</v>
      </c>
      <c r="CEZ23">
        <f t="shared" si="1520"/>
        <v>0</v>
      </c>
      <c r="CFA23">
        <f t="shared" si="1521"/>
        <v>0</v>
      </c>
      <c r="CFB23">
        <f t="shared" si="1522"/>
        <v>0</v>
      </c>
      <c r="CFC23">
        <f t="shared" si="1523"/>
        <v>0</v>
      </c>
      <c r="CFD23">
        <f t="shared" si="1524"/>
        <v>0</v>
      </c>
      <c r="CFE23">
        <f t="shared" si="1525"/>
        <v>0</v>
      </c>
      <c r="CFF23">
        <f t="shared" si="1526"/>
        <v>0</v>
      </c>
      <c r="CFG23">
        <f t="shared" si="1527"/>
        <v>0</v>
      </c>
      <c r="CFH23">
        <f t="shared" si="1528"/>
        <v>0</v>
      </c>
      <c r="CFI23">
        <f t="shared" si="1529"/>
        <v>0</v>
      </c>
      <c r="CFJ23">
        <f t="shared" si="1530"/>
        <v>0</v>
      </c>
      <c r="CFK23">
        <f t="shared" si="1531"/>
        <v>0</v>
      </c>
      <c r="CFL23">
        <f t="shared" si="1532"/>
        <v>0</v>
      </c>
      <c r="CFM23">
        <f t="shared" si="1533"/>
        <v>0</v>
      </c>
      <c r="CFN23">
        <f t="shared" si="1534"/>
        <v>0</v>
      </c>
      <c r="CFO23">
        <f t="shared" si="1535"/>
        <v>0</v>
      </c>
      <c r="CFP23">
        <f t="shared" si="1536"/>
        <v>0</v>
      </c>
      <c r="CFQ23">
        <f t="shared" si="1537"/>
        <v>0</v>
      </c>
      <c r="CFR23">
        <f t="shared" si="1538"/>
        <v>0</v>
      </c>
      <c r="CFS23">
        <f t="shared" si="1539"/>
        <v>0</v>
      </c>
      <c r="CFT23">
        <f t="shared" si="1540"/>
        <v>0</v>
      </c>
      <c r="CFU23">
        <f t="shared" si="1541"/>
        <v>0</v>
      </c>
      <c r="CFV23">
        <f t="shared" si="1542"/>
        <v>0</v>
      </c>
      <c r="CFW23">
        <f t="shared" si="1543"/>
        <v>0</v>
      </c>
      <c r="CFX23">
        <f t="shared" si="1544"/>
        <v>0</v>
      </c>
      <c r="CFY23">
        <f t="shared" si="1545"/>
        <v>0</v>
      </c>
      <c r="CFZ23">
        <f t="shared" si="1546"/>
        <v>0</v>
      </c>
      <c r="CGA23">
        <f t="shared" si="1547"/>
        <v>0</v>
      </c>
      <c r="CGB23">
        <f t="shared" si="1548"/>
        <v>0</v>
      </c>
      <c r="CGC23">
        <f t="shared" si="1549"/>
        <v>0</v>
      </c>
      <c r="CGD23">
        <f t="shared" si="1550"/>
        <v>0</v>
      </c>
      <c r="CGE23">
        <f t="shared" si="1551"/>
        <v>0</v>
      </c>
      <c r="CGF23">
        <f t="shared" si="1552"/>
        <v>0</v>
      </c>
      <c r="CGG23">
        <f t="shared" si="1553"/>
        <v>0</v>
      </c>
      <c r="CGH23">
        <f t="shared" si="1554"/>
        <v>0</v>
      </c>
      <c r="CGI23">
        <f t="shared" si="1555"/>
        <v>0</v>
      </c>
      <c r="CGJ23">
        <f t="shared" si="1556"/>
        <v>0</v>
      </c>
      <c r="CGK23">
        <f t="shared" si="1557"/>
        <v>0</v>
      </c>
      <c r="CGL23">
        <f t="shared" si="1558"/>
        <v>0</v>
      </c>
      <c r="CGM23">
        <f t="shared" si="1559"/>
        <v>0</v>
      </c>
      <c r="CGN23">
        <f t="shared" si="1560"/>
        <v>0</v>
      </c>
      <c r="CGO23">
        <f t="shared" si="1561"/>
        <v>0</v>
      </c>
      <c r="CGP23">
        <f t="shared" si="1562"/>
        <v>0</v>
      </c>
      <c r="CGQ23">
        <f t="shared" si="1563"/>
        <v>0</v>
      </c>
      <c r="CGR23">
        <f t="shared" si="1564"/>
        <v>0</v>
      </c>
      <c r="CGS23">
        <f t="shared" si="1565"/>
        <v>0</v>
      </c>
      <c r="CGT23">
        <f t="shared" si="1566"/>
        <v>0</v>
      </c>
      <c r="CGU23">
        <f t="shared" si="1567"/>
        <v>0</v>
      </c>
      <c r="CGV23">
        <f t="shared" si="1568"/>
        <v>0</v>
      </c>
      <c r="CGW23">
        <f t="shared" si="1569"/>
        <v>0</v>
      </c>
      <c r="CGX23">
        <f t="shared" si="1570"/>
        <v>0</v>
      </c>
      <c r="CGY23">
        <f t="shared" si="1571"/>
        <v>0</v>
      </c>
      <c r="CGZ23">
        <f t="shared" si="1572"/>
        <v>0</v>
      </c>
      <c r="CHA23">
        <f t="shared" si="1573"/>
        <v>0</v>
      </c>
      <c r="CHB23">
        <f t="shared" si="1574"/>
        <v>0</v>
      </c>
      <c r="CHC23">
        <f t="shared" si="1575"/>
        <v>0</v>
      </c>
      <c r="CHD23">
        <f t="shared" si="1576"/>
        <v>0</v>
      </c>
      <c r="CHE23">
        <f t="shared" si="1577"/>
        <v>0</v>
      </c>
      <c r="CHF23">
        <f t="shared" si="57"/>
        <v>0</v>
      </c>
      <c r="CHG23">
        <f t="shared" si="1578"/>
        <v>0</v>
      </c>
      <c r="CHH23">
        <f t="shared" si="1579"/>
        <v>0</v>
      </c>
      <c r="CHI23">
        <f t="shared" si="1580"/>
        <v>0</v>
      </c>
      <c r="CHJ23">
        <f t="shared" si="1581"/>
        <v>0</v>
      </c>
      <c r="CHK23">
        <f t="shared" si="1582"/>
        <v>0</v>
      </c>
      <c r="CHL23">
        <f t="shared" si="1583"/>
        <v>0</v>
      </c>
      <c r="CHM23">
        <f t="shared" si="1584"/>
        <v>0</v>
      </c>
      <c r="CHN23">
        <f t="shared" si="1585"/>
        <v>0</v>
      </c>
      <c r="CHO23">
        <f t="shared" si="1586"/>
        <v>0</v>
      </c>
      <c r="CHP23">
        <f t="shared" si="1587"/>
        <v>0</v>
      </c>
      <c r="CHQ23">
        <f t="shared" si="1588"/>
        <v>0</v>
      </c>
      <c r="CHR23">
        <f t="shared" si="1589"/>
        <v>0</v>
      </c>
      <c r="CHS23">
        <f t="shared" si="1590"/>
        <v>0</v>
      </c>
      <c r="CHT23">
        <f t="shared" si="1591"/>
        <v>0</v>
      </c>
      <c r="CHU23">
        <f t="shared" si="1592"/>
        <v>0</v>
      </c>
      <c r="CHV23">
        <f t="shared" si="1593"/>
        <v>0</v>
      </c>
      <c r="CHW23">
        <f t="shared" si="1594"/>
        <v>0</v>
      </c>
      <c r="CHX23">
        <f t="shared" si="1595"/>
        <v>0</v>
      </c>
      <c r="CHY23">
        <f t="shared" si="1596"/>
        <v>0</v>
      </c>
      <c r="CHZ23">
        <f t="shared" si="1597"/>
        <v>0</v>
      </c>
      <c r="CIA23">
        <f t="shared" si="1598"/>
        <v>0</v>
      </c>
      <c r="CIB23">
        <f t="shared" si="1599"/>
        <v>0</v>
      </c>
      <c r="CIC23">
        <f t="shared" si="1600"/>
        <v>0</v>
      </c>
      <c r="CID23">
        <f t="shared" si="1601"/>
        <v>0</v>
      </c>
      <c r="CIE23">
        <f t="shared" si="1602"/>
        <v>0</v>
      </c>
      <c r="CIF23">
        <f t="shared" si="1603"/>
        <v>0</v>
      </c>
      <c r="CIG23">
        <f t="shared" si="1604"/>
        <v>0</v>
      </c>
      <c r="CIH23">
        <f t="shared" si="1605"/>
        <v>0</v>
      </c>
      <c r="CII23">
        <f t="shared" si="1606"/>
        <v>0</v>
      </c>
      <c r="CIJ23">
        <f t="shared" si="1607"/>
        <v>0</v>
      </c>
      <c r="CIK23">
        <f t="shared" si="1608"/>
        <v>0</v>
      </c>
      <c r="CIL23">
        <f t="shared" si="1609"/>
        <v>0</v>
      </c>
      <c r="CIM23">
        <f t="shared" si="1610"/>
        <v>0</v>
      </c>
      <c r="CIN23">
        <f t="shared" si="1611"/>
        <v>0</v>
      </c>
      <c r="CIO23">
        <f t="shared" si="1612"/>
        <v>0</v>
      </c>
      <c r="CIP23">
        <f t="shared" si="1613"/>
        <v>0</v>
      </c>
      <c r="CIQ23">
        <f t="shared" si="1614"/>
        <v>0</v>
      </c>
      <c r="CIR23">
        <f t="shared" si="1615"/>
        <v>0</v>
      </c>
      <c r="CIS23">
        <f t="shared" si="1616"/>
        <v>0</v>
      </c>
      <c r="CIT23">
        <f t="shared" si="1617"/>
        <v>0</v>
      </c>
      <c r="CIU23">
        <f t="shared" si="1618"/>
        <v>0</v>
      </c>
      <c r="CIV23">
        <f t="shared" si="1619"/>
        <v>0</v>
      </c>
      <c r="CIW23">
        <f t="shared" si="1620"/>
        <v>0</v>
      </c>
      <c r="CIX23">
        <f t="shared" si="1621"/>
        <v>0</v>
      </c>
      <c r="CIY23">
        <f t="shared" si="1622"/>
        <v>0</v>
      </c>
      <c r="CIZ23">
        <f t="shared" si="1623"/>
        <v>0</v>
      </c>
      <c r="CJA23">
        <f t="shared" si="1624"/>
        <v>0</v>
      </c>
      <c r="CJB23">
        <f t="shared" si="1625"/>
        <v>0</v>
      </c>
      <c r="CJC23">
        <f t="shared" si="1626"/>
        <v>0</v>
      </c>
      <c r="CJD23">
        <f t="shared" si="1627"/>
        <v>0</v>
      </c>
      <c r="CJE23">
        <f t="shared" si="1628"/>
        <v>0</v>
      </c>
      <c r="CJF23">
        <f t="shared" si="1629"/>
        <v>0</v>
      </c>
      <c r="CJG23">
        <f t="shared" si="1630"/>
        <v>0</v>
      </c>
      <c r="CJH23">
        <f t="shared" si="1631"/>
        <v>0</v>
      </c>
      <c r="CJI23">
        <f t="shared" si="1632"/>
        <v>0</v>
      </c>
      <c r="CJJ23">
        <f t="shared" si="1633"/>
        <v>0</v>
      </c>
      <c r="CJK23">
        <f t="shared" si="1634"/>
        <v>0</v>
      </c>
      <c r="CJL23">
        <f t="shared" si="1635"/>
        <v>0</v>
      </c>
      <c r="CJM23">
        <f t="shared" si="1636"/>
        <v>0</v>
      </c>
      <c r="CJN23">
        <f t="shared" si="1637"/>
        <v>0</v>
      </c>
      <c r="CJO23">
        <f t="shared" si="1638"/>
        <v>0</v>
      </c>
      <c r="CJP23">
        <f t="shared" si="1639"/>
        <v>0</v>
      </c>
      <c r="CJQ23">
        <f t="shared" si="1640"/>
        <v>0</v>
      </c>
      <c r="CJR23">
        <f t="shared" si="58"/>
        <v>0</v>
      </c>
      <c r="CJS23">
        <f t="shared" si="1641"/>
        <v>0</v>
      </c>
      <c r="CJT23">
        <f t="shared" si="1642"/>
        <v>0</v>
      </c>
      <c r="CJU23">
        <f t="shared" si="1643"/>
        <v>0</v>
      </c>
      <c r="CJV23">
        <f t="shared" si="1644"/>
        <v>0</v>
      </c>
      <c r="CJW23">
        <f t="shared" si="1645"/>
        <v>0</v>
      </c>
      <c r="CJX23">
        <f t="shared" si="1646"/>
        <v>0</v>
      </c>
      <c r="CJY23">
        <f t="shared" si="1647"/>
        <v>0</v>
      </c>
      <c r="CJZ23">
        <f t="shared" si="1648"/>
        <v>0</v>
      </c>
      <c r="CKA23">
        <f t="shared" si="1649"/>
        <v>0</v>
      </c>
      <c r="CKB23">
        <f t="shared" si="1650"/>
        <v>0</v>
      </c>
      <c r="CKC23">
        <f t="shared" si="1651"/>
        <v>0</v>
      </c>
      <c r="CKD23">
        <f t="shared" si="1652"/>
        <v>0</v>
      </c>
      <c r="CKE23">
        <f t="shared" si="1653"/>
        <v>0</v>
      </c>
      <c r="CKF23">
        <f t="shared" si="1654"/>
        <v>0</v>
      </c>
      <c r="CKG23">
        <f t="shared" si="1655"/>
        <v>0</v>
      </c>
      <c r="CKH23">
        <f t="shared" si="1656"/>
        <v>0</v>
      </c>
      <c r="CKI23">
        <f t="shared" si="1657"/>
        <v>0</v>
      </c>
      <c r="CKJ23">
        <f t="shared" si="1658"/>
        <v>0</v>
      </c>
      <c r="CKK23">
        <f t="shared" si="1659"/>
        <v>0</v>
      </c>
      <c r="CKL23">
        <f t="shared" si="1660"/>
        <v>0</v>
      </c>
      <c r="CKM23">
        <f t="shared" si="1661"/>
        <v>0</v>
      </c>
      <c r="CKN23">
        <f t="shared" si="1662"/>
        <v>0</v>
      </c>
      <c r="CKO23">
        <f t="shared" si="1663"/>
        <v>0</v>
      </c>
      <c r="CKP23">
        <f t="shared" si="1664"/>
        <v>0</v>
      </c>
      <c r="CKQ23">
        <f t="shared" si="1665"/>
        <v>0</v>
      </c>
      <c r="CKR23">
        <f t="shared" si="1666"/>
        <v>0</v>
      </c>
      <c r="CKS23">
        <f t="shared" si="1667"/>
        <v>0</v>
      </c>
      <c r="CKT23">
        <f t="shared" si="1668"/>
        <v>0</v>
      </c>
      <c r="CKU23">
        <f t="shared" si="1669"/>
        <v>0</v>
      </c>
      <c r="CKV23">
        <f t="shared" si="1670"/>
        <v>0</v>
      </c>
      <c r="CKW23">
        <f t="shared" si="1671"/>
        <v>0</v>
      </c>
      <c r="CKX23">
        <f t="shared" si="1672"/>
        <v>0</v>
      </c>
      <c r="CKY23">
        <f t="shared" si="1673"/>
        <v>0</v>
      </c>
      <c r="CKZ23">
        <f t="shared" si="1674"/>
        <v>0</v>
      </c>
      <c r="CLA23">
        <f t="shared" si="1675"/>
        <v>0</v>
      </c>
      <c r="CLB23">
        <f t="shared" si="1676"/>
        <v>0</v>
      </c>
      <c r="CLC23">
        <f t="shared" si="1677"/>
        <v>0</v>
      </c>
      <c r="CLD23">
        <f t="shared" si="1678"/>
        <v>0</v>
      </c>
      <c r="CLE23">
        <f t="shared" si="1679"/>
        <v>0</v>
      </c>
      <c r="CLF23">
        <f t="shared" si="1680"/>
        <v>0</v>
      </c>
      <c r="CLG23">
        <f t="shared" si="1681"/>
        <v>0</v>
      </c>
      <c r="CLH23">
        <f t="shared" si="1682"/>
        <v>0</v>
      </c>
      <c r="CLI23">
        <f t="shared" si="1683"/>
        <v>0</v>
      </c>
      <c r="CLJ23">
        <f t="shared" si="1684"/>
        <v>0</v>
      </c>
      <c r="CLK23">
        <f t="shared" si="1685"/>
        <v>0</v>
      </c>
      <c r="CLL23">
        <f t="shared" si="1686"/>
        <v>0</v>
      </c>
      <c r="CLM23">
        <f t="shared" si="1687"/>
        <v>0</v>
      </c>
      <c r="CLN23">
        <f t="shared" si="1688"/>
        <v>0</v>
      </c>
      <c r="CLO23">
        <f t="shared" si="1689"/>
        <v>0</v>
      </c>
      <c r="CLP23">
        <f t="shared" si="1690"/>
        <v>0</v>
      </c>
      <c r="CLQ23">
        <f t="shared" si="1691"/>
        <v>0</v>
      </c>
      <c r="CLR23">
        <f t="shared" si="1692"/>
        <v>0</v>
      </c>
      <c r="CLS23">
        <f t="shared" si="1693"/>
        <v>0</v>
      </c>
      <c r="CLT23">
        <f t="shared" si="1694"/>
        <v>0</v>
      </c>
      <c r="CLU23">
        <f t="shared" si="1695"/>
        <v>0</v>
      </c>
      <c r="CLV23">
        <f t="shared" si="1696"/>
        <v>0</v>
      </c>
      <c r="CLW23">
        <f t="shared" si="1697"/>
        <v>0</v>
      </c>
      <c r="CLX23">
        <f t="shared" si="1698"/>
        <v>0</v>
      </c>
      <c r="CLY23">
        <f t="shared" si="1699"/>
        <v>0</v>
      </c>
      <c r="CLZ23">
        <f t="shared" si="1700"/>
        <v>0</v>
      </c>
      <c r="CMA23">
        <f t="shared" si="1701"/>
        <v>0</v>
      </c>
      <c r="CMB23">
        <f t="shared" si="1702"/>
        <v>0</v>
      </c>
      <c r="CMC23">
        <f t="shared" si="1703"/>
        <v>0</v>
      </c>
      <c r="CMD23">
        <f t="shared" si="59"/>
        <v>0</v>
      </c>
      <c r="CME23">
        <f t="shared" si="1704"/>
        <v>0</v>
      </c>
      <c r="CMF23">
        <f t="shared" si="1705"/>
        <v>0</v>
      </c>
      <c r="CMG23">
        <f t="shared" si="1706"/>
        <v>0</v>
      </c>
      <c r="CMH23">
        <f t="shared" si="1707"/>
        <v>0</v>
      </c>
      <c r="CMI23">
        <f t="shared" si="1708"/>
        <v>0</v>
      </c>
      <c r="CMJ23">
        <f t="shared" si="1709"/>
        <v>0</v>
      </c>
      <c r="CMK23">
        <f t="shared" si="1710"/>
        <v>0</v>
      </c>
      <c r="CML23">
        <f t="shared" si="1711"/>
        <v>0</v>
      </c>
      <c r="CMM23">
        <f t="shared" si="1712"/>
        <v>0</v>
      </c>
      <c r="CMN23">
        <f t="shared" si="1713"/>
        <v>0</v>
      </c>
      <c r="CMO23">
        <f t="shared" si="1714"/>
        <v>0</v>
      </c>
      <c r="CMP23">
        <f t="shared" si="1715"/>
        <v>0</v>
      </c>
      <c r="CMQ23">
        <f t="shared" si="1716"/>
        <v>0</v>
      </c>
      <c r="CMR23">
        <f t="shared" si="1717"/>
        <v>0</v>
      </c>
      <c r="CMS23">
        <f t="shared" si="1718"/>
        <v>0</v>
      </c>
      <c r="CMT23">
        <f t="shared" si="1719"/>
        <v>0</v>
      </c>
      <c r="CMU23">
        <f t="shared" si="1720"/>
        <v>0</v>
      </c>
      <c r="CMV23">
        <f t="shared" si="1721"/>
        <v>0</v>
      </c>
      <c r="CMW23">
        <f t="shared" si="1722"/>
        <v>0</v>
      </c>
      <c r="CMX23">
        <f t="shared" si="1723"/>
        <v>0</v>
      </c>
      <c r="CMY23">
        <f t="shared" si="1724"/>
        <v>0</v>
      </c>
      <c r="CMZ23">
        <f t="shared" si="1725"/>
        <v>0</v>
      </c>
      <c r="CNA23">
        <f t="shared" si="1726"/>
        <v>0</v>
      </c>
      <c r="CNB23">
        <f t="shared" si="1727"/>
        <v>0</v>
      </c>
      <c r="CNC23">
        <f t="shared" si="1728"/>
        <v>0</v>
      </c>
      <c r="CND23">
        <f t="shared" si="1729"/>
        <v>0</v>
      </c>
      <c r="CNE23">
        <f t="shared" si="1730"/>
        <v>0</v>
      </c>
      <c r="CNF23">
        <f t="shared" si="1731"/>
        <v>0</v>
      </c>
      <c r="CNG23">
        <f t="shared" si="1732"/>
        <v>0</v>
      </c>
      <c r="CNH23">
        <f t="shared" si="1733"/>
        <v>0</v>
      </c>
      <c r="CNI23">
        <f t="shared" si="1734"/>
        <v>0</v>
      </c>
      <c r="CNJ23">
        <f t="shared" si="1735"/>
        <v>0</v>
      </c>
      <c r="CNK23">
        <f t="shared" si="1736"/>
        <v>0</v>
      </c>
      <c r="CNL23">
        <f t="shared" si="1737"/>
        <v>0</v>
      </c>
      <c r="CNM23">
        <f t="shared" si="1738"/>
        <v>0</v>
      </c>
      <c r="CNN23">
        <f t="shared" si="1739"/>
        <v>0</v>
      </c>
      <c r="CNO23">
        <f t="shared" si="1740"/>
        <v>0</v>
      </c>
      <c r="CNP23">
        <f t="shared" si="1741"/>
        <v>0</v>
      </c>
      <c r="CNQ23">
        <f t="shared" si="1742"/>
        <v>0</v>
      </c>
      <c r="CNR23">
        <f t="shared" si="1743"/>
        <v>0</v>
      </c>
      <c r="CNS23">
        <f t="shared" si="1744"/>
        <v>0</v>
      </c>
      <c r="CNT23">
        <f t="shared" si="1745"/>
        <v>0</v>
      </c>
      <c r="CNU23">
        <f t="shared" si="1746"/>
        <v>0</v>
      </c>
      <c r="CNV23">
        <f t="shared" si="1747"/>
        <v>0</v>
      </c>
      <c r="CNW23">
        <f t="shared" si="1748"/>
        <v>0</v>
      </c>
      <c r="CNX23">
        <f t="shared" si="1749"/>
        <v>0</v>
      </c>
      <c r="CNY23">
        <f t="shared" si="1750"/>
        <v>0</v>
      </c>
      <c r="CNZ23">
        <f t="shared" si="1751"/>
        <v>0</v>
      </c>
      <c r="COA23">
        <f t="shared" si="1752"/>
        <v>0</v>
      </c>
      <c r="COB23">
        <f t="shared" si="1753"/>
        <v>0</v>
      </c>
      <c r="COC23">
        <f t="shared" si="1754"/>
        <v>0</v>
      </c>
      <c r="COD23">
        <f t="shared" si="1755"/>
        <v>0</v>
      </c>
      <c r="COE23">
        <f t="shared" si="1756"/>
        <v>0</v>
      </c>
      <c r="COF23">
        <f t="shared" si="1757"/>
        <v>0</v>
      </c>
      <c r="COG23">
        <f t="shared" si="1758"/>
        <v>0</v>
      </c>
      <c r="COH23">
        <f t="shared" si="1759"/>
        <v>0</v>
      </c>
      <c r="COI23">
        <f t="shared" si="1760"/>
        <v>0</v>
      </c>
      <c r="COJ23">
        <f t="shared" si="1761"/>
        <v>0</v>
      </c>
      <c r="COK23">
        <f t="shared" si="1762"/>
        <v>0</v>
      </c>
      <c r="COL23">
        <f t="shared" si="1763"/>
        <v>0</v>
      </c>
      <c r="COM23">
        <f t="shared" si="1764"/>
        <v>0</v>
      </c>
      <c r="CON23">
        <f t="shared" si="1765"/>
        <v>0</v>
      </c>
      <c r="COO23">
        <f t="shared" si="1766"/>
        <v>0</v>
      </c>
      <c r="COP23">
        <f t="shared" si="60"/>
        <v>0</v>
      </c>
      <c r="COQ23">
        <f t="shared" si="1767"/>
        <v>0</v>
      </c>
      <c r="COR23">
        <f t="shared" si="1768"/>
        <v>0</v>
      </c>
      <c r="COS23">
        <f t="shared" si="1769"/>
        <v>0</v>
      </c>
      <c r="COT23">
        <f t="shared" si="1770"/>
        <v>0</v>
      </c>
      <c r="COU23">
        <f t="shared" si="1771"/>
        <v>0</v>
      </c>
      <c r="COV23">
        <f t="shared" si="1772"/>
        <v>0</v>
      </c>
      <c r="COW23">
        <f t="shared" si="1773"/>
        <v>0</v>
      </c>
      <c r="COX23">
        <f t="shared" si="1774"/>
        <v>0</v>
      </c>
      <c r="COY23">
        <f t="shared" si="1775"/>
        <v>0</v>
      </c>
      <c r="COZ23">
        <f t="shared" si="1776"/>
        <v>0</v>
      </c>
      <c r="CPA23">
        <f t="shared" si="1777"/>
        <v>0</v>
      </c>
      <c r="CPB23">
        <f t="shared" si="1778"/>
        <v>0</v>
      </c>
      <c r="CPC23">
        <f t="shared" si="1779"/>
        <v>0</v>
      </c>
      <c r="CPD23">
        <f t="shared" si="1780"/>
        <v>0</v>
      </c>
      <c r="CPE23">
        <f t="shared" si="1781"/>
        <v>0</v>
      </c>
      <c r="CPF23">
        <f t="shared" si="1782"/>
        <v>0</v>
      </c>
      <c r="CPG23">
        <f t="shared" si="1783"/>
        <v>0</v>
      </c>
      <c r="CPH23">
        <f t="shared" si="1784"/>
        <v>0</v>
      </c>
      <c r="CPI23">
        <f t="shared" si="1785"/>
        <v>0</v>
      </c>
      <c r="CPJ23">
        <f t="shared" si="1786"/>
        <v>0</v>
      </c>
      <c r="CPK23">
        <f t="shared" si="1787"/>
        <v>0</v>
      </c>
      <c r="CPL23">
        <f t="shared" si="1788"/>
        <v>0</v>
      </c>
      <c r="CPM23">
        <f t="shared" si="1789"/>
        <v>0</v>
      </c>
      <c r="CPN23">
        <f t="shared" si="1790"/>
        <v>0</v>
      </c>
      <c r="CPO23">
        <f t="shared" si="1791"/>
        <v>0</v>
      </c>
      <c r="CPP23">
        <f t="shared" si="1792"/>
        <v>0</v>
      </c>
      <c r="CPQ23">
        <f t="shared" si="1793"/>
        <v>0</v>
      </c>
      <c r="CPR23">
        <f t="shared" si="1794"/>
        <v>0</v>
      </c>
      <c r="CPS23">
        <f t="shared" si="1795"/>
        <v>0</v>
      </c>
      <c r="CPT23">
        <f t="shared" si="1796"/>
        <v>0</v>
      </c>
      <c r="CPU23">
        <f t="shared" si="1797"/>
        <v>0</v>
      </c>
      <c r="CPV23">
        <f t="shared" si="1798"/>
        <v>0</v>
      </c>
      <c r="CPW23">
        <f t="shared" si="1799"/>
        <v>0</v>
      </c>
      <c r="CPX23">
        <f t="shared" si="1800"/>
        <v>0</v>
      </c>
      <c r="CPY23">
        <f t="shared" si="1801"/>
        <v>0</v>
      </c>
      <c r="CPZ23">
        <f t="shared" si="1802"/>
        <v>0</v>
      </c>
      <c r="CQA23">
        <f t="shared" si="1803"/>
        <v>0</v>
      </c>
      <c r="CQB23">
        <f t="shared" si="1804"/>
        <v>0</v>
      </c>
      <c r="CQC23">
        <f t="shared" si="1805"/>
        <v>0</v>
      </c>
      <c r="CQD23">
        <f t="shared" si="1806"/>
        <v>0</v>
      </c>
      <c r="CQE23">
        <f t="shared" si="1807"/>
        <v>0</v>
      </c>
      <c r="CQF23">
        <f t="shared" si="1808"/>
        <v>0</v>
      </c>
      <c r="CQG23">
        <f t="shared" si="1809"/>
        <v>0</v>
      </c>
      <c r="CQH23">
        <f t="shared" si="1810"/>
        <v>0</v>
      </c>
      <c r="CQI23">
        <f t="shared" si="1811"/>
        <v>0</v>
      </c>
      <c r="CQJ23">
        <f t="shared" si="1812"/>
        <v>0</v>
      </c>
      <c r="CQK23">
        <f t="shared" si="1813"/>
        <v>0</v>
      </c>
      <c r="CQL23">
        <f t="shared" si="1814"/>
        <v>0</v>
      </c>
      <c r="CQM23">
        <f t="shared" si="1815"/>
        <v>0</v>
      </c>
      <c r="CQN23">
        <f t="shared" si="1816"/>
        <v>0</v>
      </c>
      <c r="CQO23">
        <f t="shared" si="1817"/>
        <v>0</v>
      </c>
      <c r="CQP23">
        <f t="shared" si="1818"/>
        <v>0</v>
      </c>
      <c r="CQQ23">
        <f t="shared" si="1819"/>
        <v>0</v>
      </c>
      <c r="CQR23">
        <f t="shared" si="1820"/>
        <v>0</v>
      </c>
      <c r="CQS23">
        <f t="shared" si="1821"/>
        <v>0</v>
      </c>
      <c r="CQT23">
        <f t="shared" si="1822"/>
        <v>0</v>
      </c>
      <c r="CQU23">
        <f t="shared" si="1823"/>
        <v>0</v>
      </c>
      <c r="CQV23">
        <f t="shared" si="1824"/>
        <v>0</v>
      </c>
      <c r="CQW23">
        <f t="shared" si="1825"/>
        <v>0</v>
      </c>
      <c r="CQX23">
        <f t="shared" si="1826"/>
        <v>0</v>
      </c>
      <c r="CQY23">
        <f t="shared" si="1827"/>
        <v>0</v>
      </c>
      <c r="CQZ23">
        <f t="shared" si="1828"/>
        <v>0</v>
      </c>
      <c r="CRA23">
        <f t="shared" si="1829"/>
        <v>0</v>
      </c>
      <c r="CRB23">
        <f t="shared" si="61"/>
        <v>0</v>
      </c>
      <c r="CRC23">
        <f t="shared" si="1830"/>
        <v>0</v>
      </c>
      <c r="CRD23">
        <f t="shared" si="1831"/>
        <v>0</v>
      </c>
      <c r="CRE23">
        <f t="shared" si="1832"/>
        <v>0</v>
      </c>
      <c r="CRF23">
        <f t="shared" si="1833"/>
        <v>0</v>
      </c>
      <c r="CRG23">
        <f t="shared" si="1834"/>
        <v>0</v>
      </c>
      <c r="CRH23">
        <f t="shared" si="1835"/>
        <v>0</v>
      </c>
      <c r="CRI23">
        <f t="shared" si="1836"/>
        <v>0</v>
      </c>
      <c r="CRJ23">
        <f t="shared" si="1837"/>
        <v>0</v>
      </c>
      <c r="CRK23">
        <f t="shared" si="1838"/>
        <v>0</v>
      </c>
      <c r="CRL23">
        <f t="shared" si="1839"/>
        <v>0</v>
      </c>
      <c r="CRM23">
        <f t="shared" si="1840"/>
        <v>0</v>
      </c>
      <c r="CRN23">
        <f t="shared" si="1841"/>
        <v>0</v>
      </c>
      <c r="CRO23">
        <f t="shared" si="1842"/>
        <v>0</v>
      </c>
      <c r="CRP23">
        <f t="shared" si="1843"/>
        <v>0</v>
      </c>
      <c r="CRQ23">
        <f t="shared" si="1844"/>
        <v>0</v>
      </c>
      <c r="CRR23">
        <f t="shared" si="1845"/>
        <v>0</v>
      </c>
      <c r="CRS23">
        <f t="shared" si="1846"/>
        <v>0</v>
      </c>
      <c r="CRT23">
        <f t="shared" si="1847"/>
        <v>0</v>
      </c>
      <c r="CRU23">
        <f t="shared" si="1848"/>
        <v>0</v>
      </c>
      <c r="CRV23">
        <f t="shared" si="1849"/>
        <v>0</v>
      </c>
      <c r="CRW23">
        <f t="shared" si="1850"/>
        <v>0</v>
      </c>
      <c r="CRX23">
        <f t="shared" si="1851"/>
        <v>0</v>
      </c>
      <c r="CRY23">
        <f t="shared" si="1852"/>
        <v>0</v>
      </c>
      <c r="CRZ23">
        <f t="shared" si="1853"/>
        <v>0</v>
      </c>
      <c r="CSA23">
        <f t="shared" si="1854"/>
        <v>0</v>
      </c>
      <c r="CSB23">
        <f t="shared" si="1855"/>
        <v>0</v>
      </c>
      <c r="CSC23">
        <f t="shared" si="1856"/>
        <v>0</v>
      </c>
      <c r="CSD23">
        <f t="shared" si="1857"/>
        <v>0</v>
      </c>
      <c r="CSE23">
        <f t="shared" si="1858"/>
        <v>0</v>
      </c>
      <c r="CSF23">
        <f t="shared" si="1859"/>
        <v>0</v>
      </c>
      <c r="CSG23">
        <f t="shared" si="1860"/>
        <v>0</v>
      </c>
      <c r="CSH23">
        <f t="shared" si="1861"/>
        <v>0</v>
      </c>
      <c r="CSI23">
        <f t="shared" si="1862"/>
        <v>0</v>
      </c>
      <c r="CSJ23">
        <f t="shared" si="1863"/>
        <v>0</v>
      </c>
      <c r="CSK23">
        <f t="shared" si="1864"/>
        <v>0</v>
      </c>
      <c r="CSL23">
        <f t="shared" si="1865"/>
        <v>0</v>
      </c>
      <c r="CSM23">
        <f t="shared" si="1866"/>
        <v>0</v>
      </c>
      <c r="CSN23">
        <f t="shared" si="1867"/>
        <v>0</v>
      </c>
      <c r="CSO23">
        <f t="shared" si="1868"/>
        <v>0</v>
      </c>
      <c r="CSP23">
        <f t="shared" si="1869"/>
        <v>0</v>
      </c>
      <c r="CSQ23">
        <f t="shared" si="1870"/>
        <v>0</v>
      </c>
      <c r="CSR23">
        <f t="shared" si="1871"/>
        <v>0</v>
      </c>
      <c r="CSS23">
        <f t="shared" si="1872"/>
        <v>0</v>
      </c>
      <c r="CST23">
        <f t="shared" si="1873"/>
        <v>0</v>
      </c>
      <c r="CSU23">
        <f t="shared" si="1874"/>
        <v>0</v>
      </c>
      <c r="CSV23">
        <f t="shared" si="1875"/>
        <v>0</v>
      </c>
      <c r="CSW23">
        <f t="shared" si="1876"/>
        <v>0</v>
      </c>
      <c r="CSX23">
        <f t="shared" si="1877"/>
        <v>0</v>
      </c>
      <c r="CSY23">
        <f t="shared" si="1878"/>
        <v>0</v>
      </c>
      <c r="CSZ23">
        <f t="shared" si="1879"/>
        <v>0</v>
      </c>
      <c r="CTA23">
        <f t="shared" si="1880"/>
        <v>0</v>
      </c>
      <c r="CTB23">
        <f t="shared" si="1881"/>
        <v>0</v>
      </c>
      <c r="CTC23">
        <f t="shared" si="1882"/>
        <v>0</v>
      </c>
      <c r="CTD23">
        <f t="shared" si="1883"/>
        <v>0</v>
      </c>
      <c r="CTE23">
        <f t="shared" si="1884"/>
        <v>0</v>
      </c>
      <c r="CTF23">
        <f t="shared" si="1885"/>
        <v>0</v>
      </c>
      <c r="CTG23">
        <f t="shared" si="1886"/>
        <v>0</v>
      </c>
      <c r="CTH23">
        <f t="shared" si="1887"/>
        <v>0</v>
      </c>
      <c r="CTI23">
        <f t="shared" si="1888"/>
        <v>0</v>
      </c>
      <c r="CTJ23">
        <f t="shared" si="1889"/>
        <v>0</v>
      </c>
      <c r="CTK23">
        <f t="shared" si="1890"/>
        <v>0</v>
      </c>
      <c r="CTL23">
        <f t="shared" si="1891"/>
        <v>0</v>
      </c>
      <c r="CTM23">
        <f t="shared" si="1892"/>
        <v>0</v>
      </c>
      <c r="CTN23">
        <f t="shared" si="62"/>
        <v>0</v>
      </c>
      <c r="CTO23">
        <f t="shared" si="1893"/>
        <v>0</v>
      </c>
      <c r="CTP23">
        <f t="shared" si="1894"/>
        <v>0</v>
      </c>
      <c r="CTQ23">
        <f t="shared" si="1895"/>
        <v>0</v>
      </c>
      <c r="CTR23">
        <f t="shared" si="1896"/>
        <v>0</v>
      </c>
      <c r="CTS23">
        <f t="shared" si="1897"/>
        <v>0</v>
      </c>
      <c r="CTT23">
        <f t="shared" si="1898"/>
        <v>0</v>
      </c>
      <c r="CTU23">
        <f t="shared" si="1899"/>
        <v>0</v>
      </c>
      <c r="CTV23">
        <f t="shared" si="1900"/>
        <v>0</v>
      </c>
      <c r="CTW23">
        <f t="shared" si="1901"/>
        <v>0</v>
      </c>
      <c r="CTX23">
        <f t="shared" si="1902"/>
        <v>0</v>
      </c>
      <c r="CTY23">
        <f t="shared" si="1903"/>
        <v>0</v>
      </c>
      <c r="CTZ23">
        <f t="shared" si="1904"/>
        <v>0</v>
      </c>
      <c r="CUA23">
        <f t="shared" si="1905"/>
        <v>0</v>
      </c>
      <c r="CUB23">
        <f t="shared" si="1906"/>
        <v>0</v>
      </c>
      <c r="CUC23">
        <f t="shared" si="1907"/>
        <v>0</v>
      </c>
      <c r="CUD23">
        <f t="shared" si="1908"/>
        <v>0</v>
      </c>
      <c r="CUE23">
        <f t="shared" si="1909"/>
        <v>0</v>
      </c>
      <c r="CUF23">
        <f t="shared" si="1910"/>
        <v>0</v>
      </c>
      <c r="CUG23">
        <f t="shared" si="1911"/>
        <v>0</v>
      </c>
      <c r="CUH23">
        <f t="shared" si="1912"/>
        <v>0</v>
      </c>
      <c r="CUI23">
        <f t="shared" si="1913"/>
        <v>0</v>
      </c>
      <c r="CUJ23">
        <f t="shared" si="1914"/>
        <v>0</v>
      </c>
      <c r="CUK23">
        <f t="shared" si="1915"/>
        <v>0</v>
      </c>
      <c r="CUL23">
        <f t="shared" si="1916"/>
        <v>0</v>
      </c>
      <c r="CUM23">
        <f t="shared" si="1917"/>
        <v>0</v>
      </c>
      <c r="CUN23">
        <f t="shared" si="1918"/>
        <v>0</v>
      </c>
      <c r="CUO23">
        <f t="shared" si="1919"/>
        <v>0</v>
      </c>
      <c r="CUP23">
        <f t="shared" si="1920"/>
        <v>0</v>
      </c>
      <c r="CUQ23">
        <f t="shared" si="1921"/>
        <v>0</v>
      </c>
      <c r="CUR23">
        <f t="shared" si="1922"/>
        <v>0</v>
      </c>
      <c r="CUS23">
        <f t="shared" si="1923"/>
        <v>0</v>
      </c>
      <c r="CUT23">
        <f t="shared" si="1924"/>
        <v>0</v>
      </c>
      <c r="CUU23">
        <f t="shared" si="1925"/>
        <v>0</v>
      </c>
      <c r="CUV23">
        <f t="shared" si="1926"/>
        <v>0</v>
      </c>
      <c r="CUW23">
        <f t="shared" si="1927"/>
        <v>0</v>
      </c>
      <c r="CUX23">
        <f t="shared" si="1928"/>
        <v>0</v>
      </c>
      <c r="CUY23">
        <f t="shared" si="1929"/>
        <v>0</v>
      </c>
      <c r="CUZ23">
        <f t="shared" si="1930"/>
        <v>0</v>
      </c>
      <c r="CVA23">
        <f t="shared" si="1931"/>
        <v>0</v>
      </c>
      <c r="CVB23">
        <f t="shared" si="1932"/>
        <v>0</v>
      </c>
      <c r="CVC23">
        <f t="shared" si="1933"/>
        <v>0</v>
      </c>
      <c r="CVD23">
        <f t="shared" si="1934"/>
        <v>0</v>
      </c>
      <c r="CVE23">
        <f t="shared" si="1935"/>
        <v>0</v>
      </c>
      <c r="CVF23">
        <f t="shared" si="1936"/>
        <v>0</v>
      </c>
      <c r="CVG23">
        <f t="shared" si="1937"/>
        <v>0</v>
      </c>
      <c r="CVH23">
        <f t="shared" si="1938"/>
        <v>0</v>
      </c>
      <c r="CVI23">
        <f t="shared" si="1939"/>
        <v>0</v>
      </c>
      <c r="CVJ23">
        <f t="shared" si="1940"/>
        <v>0</v>
      </c>
      <c r="CVK23">
        <f t="shared" si="1941"/>
        <v>0</v>
      </c>
      <c r="CVL23">
        <f t="shared" si="1942"/>
        <v>0</v>
      </c>
      <c r="CVM23">
        <f t="shared" si="1943"/>
        <v>0</v>
      </c>
      <c r="CVN23">
        <f t="shared" si="1944"/>
        <v>0</v>
      </c>
      <c r="CVO23">
        <f t="shared" si="1945"/>
        <v>0</v>
      </c>
      <c r="CVP23">
        <f t="shared" si="1946"/>
        <v>0</v>
      </c>
      <c r="CVQ23">
        <f t="shared" si="1947"/>
        <v>0</v>
      </c>
      <c r="CVR23">
        <f t="shared" si="1948"/>
        <v>0</v>
      </c>
      <c r="CVS23">
        <f t="shared" si="1949"/>
        <v>0</v>
      </c>
      <c r="CVT23">
        <f t="shared" si="1950"/>
        <v>0</v>
      </c>
      <c r="CVU23">
        <f t="shared" si="1951"/>
        <v>0</v>
      </c>
      <c r="CVV23">
        <f t="shared" si="1952"/>
        <v>0</v>
      </c>
      <c r="CVW23">
        <f t="shared" si="1953"/>
        <v>0</v>
      </c>
      <c r="CVX23">
        <f t="shared" si="1954"/>
        <v>0</v>
      </c>
      <c r="CVY23">
        <f t="shared" si="1955"/>
        <v>0</v>
      </c>
      <c r="CVZ23">
        <f t="shared" si="63"/>
        <v>0</v>
      </c>
      <c r="CWA23">
        <f t="shared" si="1956"/>
        <v>0</v>
      </c>
      <c r="CWB23">
        <f t="shared" si="1957"/>
        <v>0</v>
      </c>
      <c r="CWC23">
        <f t="shared" si="1958"/>
        <v>0</v>
      </c>
      <c r="CWD23">
        <f t="shared" si="1959"/>
        <v>0</v>
      </c>
      <c r="CWE23">
        <f t="shared" si="1960"/>
        <v>0</v>
      </c>
      <c r="CWF23">
        <f t="shared" si="1961"/>
        <v>0</v>
      </c>
      <c r="CWG23">
        <f t="shared" si="1962"/>
        <v>0</v>
      </c>
      <c r="CWH23">
        <f t="shared" si="1963"/>
        <v>0</v>
      </c>
      <c r="CWI23">
        <f t="shared" si="1964"/>
        <v>0</v>
      </c>
      <c r="CWJ23">
        <f t="shared" si="1965"/>
        <v>0</v>
      </c>
      <c r="CWK23">
        <f t="shared" si="1966"/>
        <v>0</v>
      </c>
      <c r="CWL23">
        <f t="shared" si="1967"/>
        <v>0</v>
      </c>
      <c r="CWM23">
        <f t="shared" si="1968"/>
        <v>0</v>
      </c>
      <c r="CWN23">
        <f t="shared" si="1969"/>
        <v>0</v>
      </c>
      <c r="CWO23">
        <f t="shared" si="1970"/>
        <v>0</v>
      </c>
      <c r="CWP23">
        <f t="shared" si="1971"/>
        <v>0</v>
      </c>
      <c r="CWQ23">
        <f t="shared" si="1972"/>
        <v>0</v>
      </c>
      <c r="CWR23">
        <f t="shared" si="1973"/>
        <v>0</v>
      </c>
      <c r="CWS23">
        <f t="shared" si="1974"/>
        <v>0</v>
      </c>
      <c r="CWT23">
        <f t="shared" si="1975"/>
        <v>0</v>
      </c>
      <c r="CWU23">
        <f t="shared" si="1976"/>
        <v>0</v>
      </c>
      <c r="CWV23">
        <f t="shared" si="1977"/>
        <v>0</v>
      </c>
      <c r="CWW23">
        <f t="shared" si="1978"/>
        <v>0</v>
      </c>
      <c r="CWX23">
        <f t="shared" si="1979"/>
        <v>0</v>
      </c>
      <c r="CWY23">
        <f t="shared" si="1980"/>
        <v>0</v>
      </c>
      <c r="CWZ23">
        <f t="shared" si="1981"/>
        <v>0</v>
      </c>
      <c r="CXA23">
        <f t="shared" si="1982"/>
        <v>0</v>
      </c>
      <c r="CXB23">
        <f t="shared" si="1983"/>
        <v>0</v>
      </c>
      <c r="CXC23">
        <f t="shared" si="1984"/>
        <v>0</v>
      </c>
      <c r="CXD23">
        <f t="shared" si="1985"/>
        <v>0</v>
      </c>
      <c r="CXE23">
        <f t="shared" si="1986"/>
        <v>0</v>
      </c>
      <c r="CXF23">
        <f t="shared" si="1987"/>
        <v>0</v>
      </c>
      <c r="CXG23">
        <f t="shared" si="1988"/>
        <v>0</v>
      </c>
      <c r="CXH23">
        <f t="shared" si="1989"/>
        <v>0</v>
      </c>
      <c r="CXI23">
        <f t="shared" si="1990"/>
        <v>0</v>
      </c>
      <c r="CXJ23">
        <f t="shared" si="1991"/>
        <v>0</v>
      </c>
      <c r="CXK23">
        <f t="shared" si="1992"/>
        <v>0</v>
      </c>
      <c r="CXL23">
        <f t="shared" si="1993"/>
        <v>0</v>
      </c>
      <c r="CXM23">
        <f t="shared" si="1994"/>
        <v>0</v>
      </c>
      <c r="CXN23">
        <f t="shared" si="1995"/>
        <v>0</v>
      </c>
      <c r="CXO23">
        <f t="shared" si="1996"/>
        <v>0</v>
      </c>
      <c r="CXP23">
        <f t="shared" si="1997"/>
        <v>0</v>
      </c>
      <c r="CXQ23">
        <f t="shared" si="1998"/>
        <v>0</v>
      </c>
      <c r="CXR23">
        <f t="shared" si="1999"/>
        <v>0</v>
      </c>
      <c r="CXS23">
        <f t="shared" si="2000"/>
        <v>0</v>
      </c>
      <c r="CXT23">
        <f t="shared" si="2001"/>
        <v>0</v>
      </c>
      <c r="CXU23">
        <f t="shared" si="2002"/>
        <v>0</v>
      </c>
      <c r="CXV23">
        <f t="shared" si="2003"/>
        <v>0</v>
      </c>
      <c r="CXW23">
        <f t="shared" si="2004"/>
        <v>0</v>
      </c>
      <c r="CXX23">
        <f t="shared" si="2005"/>
        <v>0</v>
      </c>
      <c r="CXY23">
        <f t="shared" si="2006"/>
        <v>0</v>
      </c>
      <c r="CXZ23">
        <f t="shared" si="2007"/>
        <v>0</v>
      </c>
      <c r="CYA23">
        <f t="shared" si="2008"/>
        <v>0</v>
      </c>
      <c r="CYB23">
        <f t="shared" si="2009"/>
        <v>0</v>
      </c>
      <c r="CYC23">
        <f t="shared" si="2010"/>
        <v>0</v>
      </c>
      <c r="CYD23">
        <f t="shared" si="2011"/>
        <v>0</v>
      </c>
      <c r="CYE23">
        <f t="shared" si="2012"/>
        <v>0</v>
      </c>
      <c r="CYF23">
        <f t="shared" si="2013"/>
        <v>0</v>
      </c>
      <c r="CYG23">
        <f t="shared" si="2014"/>
        <v>0</v>
      </c>
      <c r="CYH23">
        <f t="shared" si="2015"/>
        <v>0</v>
      </c>
      <c r="CYI23">
        <f t="shared" si="2016"/>
        <v>0</v>
      </c>
      <c r="CYJ23">
        <f t="shared" si="2017"/>
        <v>0</v>
      </c>
      <c r="CYK23">
        <f t="shared" si="2018"/>
        <v>0</v>
      </c>
      <c r="CYL23">
        <f t="shared" si="64"/>
        <v>0</v>
      </c>
      <c r="CYM23">
        <f t="shared" si="2019"/>
        <v>0</v>
      </c>
      <c r="CYN23">
        <f t="shared" si="2020"/>
        <v>0</v>
      </c>
      <c r="CYO23">
        <f t="shared" si="2021"/>
        <v>0</v>
      </c>
      <c r="CYP23">
        <f t="shared" si="2022"/>
        <v>0</v>
      </c>
      <c r="CYQ23">
        <f t="shared" si="2023"/>
        <v>0</v>
      </c>
      <c r="CYR23">
        <f t="shared" si="2024"/>
        <v>0</v>
      </c>
      <c r="CYS23">
        <f t="shared" si="2025"/>
        <v>0</v>
      </c>
      <c r="CYT23">
        <f t="shared" si="2026"/>
        <v>0</v>
      </c>
      <c r="CYU23">
        <f t="shared" si="2027"/>
        <v>0</v>
      </c>
      <c r="CYV23">
        <f t="shared" si="2028"/>
        <v>0</v>
      </c>
      <c r="CYW23">
        <f t="shared" si="2029"/>
        <v>0</v>
      </c>
      <c r="CYX23">
        <f t="shared" si="2030"/>
        <v>0</v>
      </c>
      <c r="CYY23">
        <f t="shared" si="2031"/>
        <v>0</v>
      </c>
      <c r="CYZ23">
        <f t="shared" si="2032"/>
        <v>0</v>
      </c>
      <c r="CZA23">
        <f t="shared" si="2033"/>
        <v>0</v>
      </c>
      <c r="CZB23">
        <f t="shared" si="2034"/>
        <v>0</v>
      </c>
      <c r="CZC23">
        <f t="shared" si="2035"/>
        <v>0</v>
      </c>
      <c r="CZD23">
        <f t="shared" si="2036"/>
        <v>0</v>
      </c>
      <c r="CZE23">
        <f t="shared" si="2037"/>
        <v>0</v>
      </c>
      <c r="CZF23">
        <f t="shared" si="2038"/>
        <v>0</v>
      </c>
      <c r="CZG23">
        <f t="shared" si="2039"/>
        <v>0</v>
      </c>
      <c r="CZH23">
        <f t="shared" si="2040"/>
        <v>0</v>
      </c>
      <c r="CZI23">
        <f t="shared" si="2041"/>
        <v>0</v>
      </c>
      <c r="CZJ23">
        <f t="shared" si="2042"/>
        <v>0</v>
      </c>
      <c r="CZK23">
        <f t="shared" si="2043"/>
        <v>0</v>
      </c>
      <c r="CZL23">
        <f t="shared" si="2044"/>
        <v>0</v>
      </c>
      <c r="CZM23">
        <f t="shared" si="2045"/>
        <v>0</v>
      </c>
      <c r="CZN23">
        <f t="shared" si="2046"/>
        <v>0</v>
      </c>
      <c r="CZO23">
        <f t="shared" si="2047"/>
        <v>0</v>
      </c>
      <c r="CZP23">
        <f t="shared" si="2048"/>
        <v>0</v>
      </c>
      <c r="CZQ23">
        <f t="shared" si="2049"/>
        <v>0</v>
      </c>
      <c r="CZR23">
        <f t="shared" si="2050"/>
        <v>0</v>
      </c>
      <c r="CZS23">
        <f t="shared" si="2051"/>
        <v>0</v>
      </c>
      <c r="CZT23">
        <f t="shared" si="2052"/>
        <v>0</v>
      </c>
      <c r="CZU23">
        <f t="shared" si="2053"/>
        <v>0</v>
      </c>
      <c r="CZV23">
        <f t="shared" si="2054"/>
        <v>0</v>
      </c>
      <c r="CZW23">
        <f t="shared" si="2055"/>
        <v>0</v>
      </c>
      <c r="CZX23">
        <f t="shared" si="2056"/>
        <v>0</v>
      </c>
      <c r="CZY23">
        <f t="shared" si="2057"/>
        <v>0</v>
      </c>
      <c r="CZZ23">
        <f t="shared" si="2058"/>
        <v>0</v>
      </c>
      <c r="DAA23">
        <f t="shared" si="2059"/>
        <v>0</v>
      </c>
      <c r="DAB23">
        <f t="shared" si="2060"/>
        <v>0</v>
      </c>
      <c r="DAC23">
        <f t="shared" si="2061"/>
        <v>0</v>
      </c>
      <c r="DAD23">
        <f t="shared" si="2062"/>
        <v>0</v>
      </c>
      <c r="DAE23">
        <f t="shared" si="2063"/>
        <v>0</v>
      </c>
      <c r="DAF23">
        <f t="shared" si="2064"/>
        <v>0</v>
      </c>
      <c r="DAG23">
        <f t="shared" si="2065"/>
        <v>0</v>
      </c>
      <c r="DAH23">
        <f t="shared" si="2066"/>
        <v>0</v>
      </c>
      <c r="DAI23">
        <f t="shared" si="2067"/>
        <v>0</v>
      </c>
      <c r="DAJ23">
        <f t="shared" si="2068"/>
        <v>0</v>
      </c>
      <c r="DAK23">
        <f t="shared" si="2069"/>
        <v>0</v>
      </c>
      <c r="DAL23">
        <f t="shared" si="2070"/>
        <v>0</v>
      </c>
      <c r="DAM23">
        <f t="shared" si="2071"/>
        <v>0</v>
      </c>
      <c r="DAN23">
        <f t="shared" si="2072"/>
        <v>0</v>
      </c>
      <c r="DAO23">
        <f t="shared" si="2073"/>
        <v>0</v>
      </c>
      <c r="DAP23">
        <f t="shared" si="2074"/>
        <v>0</v>
      </c>
      <c r="DAQ23">
        <f t="shared" si="2075"/>
        <v>0</v>
      </c>
      <c r="DAR23">
        <f t="shared" si="2076"/>
        <v>0</v>
      </c>
      <c r="DAS23">
        <f t="shared" si="2077"/>
        <v>0</v>
      </c>
      <c r="DAT23">
        <f t="shared" si="2078"/>
        <v>0</v>
      </c>
      <c r="DAU23">
        <f t="shared" si="2079"/>
        <v>0</v>
      </c>
      <c r="DAV23">
        <f t="shared" si="2080"/>
        <v>0</v>
      </c>
      <c r="DAW23">
        <f t="shared" si="2081"/>
        <v>0</v>
      </c>
      <c r="DAX23">
        <f t="shared" si="65"/>
        <v>0</v>
      </c>
      <c r="DAY23">
        <f t="shared" si="2142"/>
        <v>0</v>
      </c>
      <c r="DAZ23">
        <f t="shared" si="2143"/>
        <v>0</v>
      </c>
      <c r="DBA23">
        <f t="shared" si="2144"/>
        <v>0</v>
      </c>
      <c r="DBB23">
        <f t="shared" si="2082"/>
        <v>0</v>
      </c>
      <c r="DBC23">
        <f t="shared" si="2083"/>
        <v>0</v>
      </c>
      <c r="DBD23">
        <f t="shared" si="2084"/>
        <v>0</v>
      </c>
      <c r="DBE23">
        <f t="shared" si="2085"/>
        <v>0</v>
      </c>
      <c r="DBF23">
        <f t="shared" si="2086"/>
        <v>0</v>
      </c>
      <c r="DBG23">
        <f t="shared" si="2087"/>
        <v>0</v>
      </c>
      <c r="DBH23">
        <f t="shared" si="2088"/>
        <v>0</v>
      </c>
      <c r="DBI23">
        <f t="shared" si="2089"/>
        <v>0</v>
      </c>
      <c r="DBJ23">
        <f t="shared" si="2090"/>
        <v>0</v>
      </c>
      <c r="DBK23">
        <f t="shared" si="2091"/>
        <v>0</v>
      </c>
      <c r="DBL23">
        <f t="shared" si="2092"/>
        <v>0</v>
      </c>
      <c r="DBM23">
        <f t="shared" si="2093"/>
        <v>0</v>
      </c>
      <c r="DBN23">
        <f t="shared" si="2094"/>
        <v>0</v>
      </c>
      <c r="DBO23">
        <f t="shared" si="2095"/>
        <v>0</v>
      </c>
      <c r="DBP23">
        <f t="shared" si="2096"/>
        <v>0</v>
      </c>
      <c r="DBQ23">
        <f t="shared" si="2097"/>
        <v>0</v>
      </c>
      <c r="DBR23">
        <f t="shared" si="2098"/>
        <v>0</v>
      </c>
      <c r="DBS23">
        <f t="shared" si="2099"/>
        <v>0</v>
      </c>
      <c r="DBT23">
        <f t="shared" si="2100"/>
        <v>0</v>
      </c>
      <c r="DBU23">
        <f t="shared" si="2101"/>
        <v>0</v>
      </c>
      <c r="DBV23">
        <f t="shared" si="2102"/>
        <v>0</v>
      </c>
      <c r="DBW23">
        <f t="shared" si="2103"/>
        <v>0</v>
      </c>
      <c r="DBX23">
        <f t="shared" si="2104"/>
        <v>0</v>
      </c>
      <c r="DBY23">
        <f t="shared" si="2105"/>
        <v>0</v>
      </c>
      <c r="DBZ23">
        <f t="shared" si="2106"/>
        <v>0</v>
      </c>
      <c r="DCA23">
        <f t="shared" si="2107"/>
        <v>0</v>
      </c>
      <c r="DCB23">
        <f t="shared" si="2108"/>
        <v>0</v>
      </c>
      <c r="DCC23">
        <f t="shared" si="2109"/>
        <v>0</v>
      </c>
      <c r="DCD23">
        <f t="shared" si="2110"/>
        <v>0</v>
      </c>
      <c r="DCE23">
        <f t="shared" si="2111"/>
        <v>0</v>
      </c>
      <c r="DCF23">
        <f t="shared" si="2112"/>
        <v>0</v>
      </c>
      <c r="DCG23">
        <f t="shared" si="2113"/>
        <v>0</v>
      </c>
      <c r="DCH23">
        <f t="shared" si="2114"/>
        <v>0</v>
      </c>
      <c r="DCI23">
        <f t="shared" si="2115"/>
        <v>0</v>
      </c>
      <c r="DCJ23">
        <f t="shared" si="2116"/>
        <v>0</v>
      </c>
      <c r="DCK23">
        <f t="shared" si="2117"/>
        <v>0</v>
      </c>
      <c r="DCL23">
        <f t="shared" si="2118"/>
        <v>0</v>
      </c>
      <c r="DCM23">
        <f t="shared" si="2119"/>
        <v>0</v>
      </c>
      <c r="DCN23">
        <f t="shared" si="2120"/>
        <v>0</v>
      </c>
      <c r="DCO23">
        <f t="shared" si="2121"/>
        <v>0</v>
      </c>
      <c r="DCP23">
        <f t="shared" si="2122"/>
        <v>0</v>
      </c>
      <c r="DCQ23">
        <f t="shared" si="2123"/>
        <v>0</v>
      </c>
      <c r="DCR23">
        <f t="shared" si="2124"/>
        <v>0</v>
      </c>
      <c r="DCS23">
        <f t="shared" si="2125"/>
        <v>0</v>
      </c>
      <c r="DCT23">
        <f t="shared" si="2126"/>
        <v>0</v>
      </c>
      <c r="DCU23">
        <f t="shared" si="2127"/>
        <v>0</v>
      </c>
      <c r="DCV23">
        <f t="shared" si="2128"/>
        <v>0</v>
      </c>
      <c r="DCW23">
        <f t="shared" si="2129"/>
        <v>0</v>
      </c>
      <c r="DCX23">
        <f t="shared" si="2130"/>
        <v>0</v>
      </c>
      <c r="DCY23">
        <f t="shared" si="2131"/>
        <v>0</v>
      </c>
      <c r="DCZ23">
        <f t="shared" si="2132"/>
        <v>0</v>
      </c>
      <c r="DDA23">
        <f t="shared" si="2133"/>
        <v>0</v>
      </c>
      <c r="DDB23">
        <f t="shared" si="2134"/>
        <v>0</v>
      </c>
      <c r="DDC23">
        <f t="shared" si="2135"/>
        <v>0</v>
      </c>
      <c r="DDD23">
        <f t="shared" si="2136"/>
        <v>0</v>
      </c>
      <c r="DDE23">
        <f t="shared" si="2137"/>
        <v>0</v>
      </c>
      <c r="DDF23">
        <f t="shared" si="2138"/>
        <v>0</v>
      </c>
      <c r="DDG23">
        <f t="shared" si="2139"/>
        <v>0</v>
      </c>
      <c r="DDH23">
        <f t="shared" si="2140"/>
        <v>0</v>
      </c>
      <c r="DDI23">
        <f t="shared" si="2141"/>
        <v>0</v>
      </c>
    </row>
    <row r="24" spans="1:2817" x14ac:dyDescent="0.2">
      <c r="A24" s="1">
        <v>18</v>
      </c>
      <c r="B24">
        <f>'Demand Stage 2'!B23</f>
        <v>0</v>
      </c>
      <c r="C24">
        <f>'Demand Stage 2'!C23</f>
        <v>0</v>
      </c>
      <c r="D24">
        <f>'Demand Stage 2'!D23</f>
        <v>0</v>
      </c>
      <c r="E24">
        <f>'Demand Stage 2'!E23</f>
        <v>0</v>
      </c>
      <c r="F24">
        <f>'Demand Stage 2'!F23</f>
        <v>0</v>
      </c>
      <c r="G24">
        <f>'Demand Stage 2'!G23</f>
        <v>0</v>
      </c>
      <c r="H24">
        <f>'Demand Stage 2'!H23</f>
        <v>0</v>
      </c>
      <c r="I24">
        <f>'Demand Stage 2'!I23</f>
        <v>0</v>
      </c>
      <c r="J24">
        <f>'Demand Stage 2'!J23</f>
        <v>0</v>
      </c>
      <c r="K24">
        <f>'Demand Stage 2'!K23</f>
        <v>0</v>
      </c>
      <c r="L24">
        <f>'Demand Stage 2'!L23</f>
        <v>0</v>
      </c>
      <c r="M24">
        <f>'Demand Stage 2'!M23</f>
        <v>0</v>
      </c>
      <c r="N24">
        <f>'Demand Stage 2'!N23</f>
        <v>0</v>
      </c>
      <c r="O24">
        <f>'Demand Stage 2'!O23</f>
        <v>0</v>
      </c>
      <c r="P24">
        <f>'Demand Stage 2'!P23</f>
        <v>0</v>
      </c>
      <c r="Q24">
        <f>'Demand Stage 2'!Q23</f>
        <v>0</v>
      </c>
      <c r="R24">
        <f>'Demand Stage 2'!R23</f>
        <v>0</v>
      </c>
      <c r="S24">
        <f>'Demand Stage 2'!S23</f>
        <v>0</v>
      </c>
      <c r="T24">
        <f>'Demand Stage 2'!T23</f>
        <v>0</v>
      </c>
      <c r="U24">
        <f>'Demand Stage 2'!U23</f>
        <v>0</v>
      </c>
      <c r="V24">
        <f>'Demand Stage 2'!V23</f>
        <v>0</v>
      </c>
      <c r="W24">
        <f>'Demand Stage 2'!W23</f>
        <v>0</v>
      </c>
      <c r="X24">
        <f>'Demand Stage 2'!X23</f>
        <v>0</v>
      </c>
      <c r="Y24">
        <f>'Demand Stage 2'!Y23</f>
        <v>0</v>
      </c>
      <c r="Z24">
        <f>'Demand Stage 2'!Z23</f>
        <v>0</v>
      </c>
      <c r="AA24">
        <f>'Demand Stage 2'!AA23</f>
        <v>0</v>
      </c>
      <c r="AB24">
        <f>'Demand Stage 2'!AB23</f>
        <v>0</v>
      </c>
      <c r="AC24">
        <f>'Demand Stage 2'!AC23</f>
        <v>0</v>
      </c>
      <c r="AD24">
        <f>'Demand Stage 2'!AD23</f>
        <v>0</v>
      </c>
      <c r="AE24">
        <f>'Demand Stage 2'!AE23</f>
        <v>0</v>
      </c>
      <c r="AF24">
        <f>'Demand Stage 2'!AF23</f>
        <v>0</v>
      </c>
      <c r="AG24">
        <f>'Demand Stage 2'!AG23</f>
        <v>0</v>
      </c>
      <c r="AH24">
        <f>'Demand Stage 2'!AH23</f>
        <v>0</v>
      </c>
      <c r="AI24">
        <f>'Demand Stage 2'!AI23</f>
        <v>0</v>
      </c>
      <c r="AJ24">
        <f>'Demand Stage 2'!AJ23</f>
        <v>0</v>
      </c>
      <c r="AK24">
        <f>'Demand Stage 2'!AK23</f>
        <v>0</v>
      </c>
      <c r="AL24">
        <f>'Demand Stage 2'!AL23</f>
        <v>0</v>
      </c>
      <c r="AM24">
        <f>'Demand Stage 2'!AM23</f>
        <v>0</v>
      </c>
      <c r="AN24">
        <f>'Demand Stage 2'!AN23</f>
        <v>0</v>
      </c>
      <c r="AO24">
        <f>'Demand Stage 2'!AO23</f>
        <v>0</v>
      </c>
      <c r="AP24">
        <f>'Demand Stage 2'!AP23</f>
        <v>0</v>
      </c>
      <c r="AQ24">
        <f>'Demand Stage 2'!AQ23</f>
        <v>0</v>
      </c>
      <c r="AR24">
        <f>'Demand Stage 2'!AR23</f>
        <v>0</v>
      </c>
      <c r="AS24">
        <f>'Demand Stage 2'!AS23</f>
        <v>0</v>
      </c>
      <c r="AT24">
        <f>'Demand Stage 2'!AT23</f>
        <v>0</v>
      </c>
      <c r="AU24">
        <f>'Demand Stage 2'!AU23</f>
        <v>0</v>
      </c>
      <c r="AV24">
        <f>'Demand Stage 2'!AV23</f>
        <v>0</v>
      </c>
      <c r="AW24">
        <f>'Demand Stage 2'!AW23</f>
        <v>0</v>
      </c>
      <c r="AX24">
        <f>'Demand Stage 2'!AX23</f>
        <v>0</v>
      </c>
      <c r="AY24">
        <f>'Demand Stage 2'!AY23</f>
        <v>0</v>
      </c>
      <c r="AZ24">
        <f>'Demand Stage 2'!AZ23</f>
        <v>0</v>
      </c>
      <c r="BA24">
        <f>'Demand Stage 2'!BA23</f>
        <v>0</v>
      </c>
      <c r="BB24">
        <f>'Demand Stage 2'!BB23</f>
        <v>0</v>
      </c>
      <c r="BC24">
        <f>'Demand Stage 2'!BC23</f>
        <v>0</v>
      </c>
      <c r="BD24">
        <f>'Demand Stage 2'!BD23</f>
        <v>0</v>
      </c>
      <c r="BE24">
        <f>'Demand Stage 2'!BE23</f>
        <v>0</v>
      </c>
      <c r="BF24">
        <f>'Demand Stage 2'!BF23</f>
        <v>0</v>
      </c>
      <c r="BG24">
        <f>'Demand Stage 2'!BG23</f>
        <v>0</v>
      </c>
      <c r="BH24">
        <f>'Demand Stage 2'!BH23</f>
        <v>0</v>
      </c>
      <c r="BI24">
        <f>'Demand Stage 2'!BI23</f>
        <v>0</v>
      </c>
      <c r="BJ24">
        <f>'Demand Stage 2'!BJ23</f>
        <v>0</v>
      </c>
      <c r="BK24">
        <f>'Demand Stage 2'!BK23</f>
        <v>0</v>
      </c>
      <c r="BL24">
        <f>'Demand Stage 2'!BL23</f>
        <v>0</v>
      </c>
      <c r="BM24">
        <f>'Demand Stage 2'!BM23</f>
        <v>0</v>
      </c>
      <c r="BN24">
        <f>'Demand Stage 2'!BN23</f>
        <v>0</v>
      </c>
      <c r="BO24">
        <f>'Demand Stage 2'!BO23</f>
        <v>0</v>
      </c>
      <c r="BP24">
        <f>'Demand Stage 2'!BP23</f>
        <v>0</v>
      </c>
      <c r="BQ24">
        <f>'Demand Stage 2'!BQ23</f>
        <v>0</v>
      </c>
      <c r="BR24">
        <f>'Demand Stage 2'!BR23</f>
        <v>0</v>
      </c>
      <c r="BS24">
        <f>'Demand Stage 2'!BS23</f>
        <v>0</v>
      </c>
      <c r="BT24">
        <f>'Demand Stage 2'!BT23</f>
        <v>0</v>
      </c>
      <c r="BU24">
        <f>'Demand Stage 2'!BU23</f>
        <v>0</v>
      </c>
      <c r="BV24">
        <f>'Demand Stage 2'!BV23</f>
        <v>0</v>
      </c>
      <c r="BW24">
        <f>'Demand Stage 2'!BW23</f>
        <v>0</v>
      </c>
      <c r="BX24">
        <f>'Demand Stage 2'!BX23</f>
        <v>0</v>
      </c>
      <c r="BY24">
        <f>'Demand Stage 2'!BY23</f>
        <v>0</v>
      </c>
      <c r="BZ24">
        <f>'Demand Stage 2'!BZ23</f>
        <v>0</v>
      </c>
      <c r="CA24">
        <f>'Demand Stage 2'!CA23</f>
        <v>0</v>
      </c>
      <c r="CB24">
        <f>'Demand Stage 2'!CB23</f>
        <v>0</v>
      </c>
      <c r="CC24">
        <f>'Demand Stage 2'!CC23</f>
        <v>0</v>
      </c>
      <c r="CD24">
        <f>'Demand Stage 2'!CD23</f>
        <v>0</v>
      </c>
      <c r="CE24">
        <f>'Demand Stage 2'!CE23</f>
        <v>0</v>
      </c>
      <c r="CF24">
        <f>'Demand Stage 2'!CF23</f>
        <v>0</v>
      </c>
      <c r="CG24">
        <f>'Demand Stage 2'!CG23</f>
        <v>0</v>
      </c>
      <c r="CH24">
        <f>'Demand Stage 2'!CH23</f>
        <v>0</v>
      </c>
      <c r="CI24">
        <f>'Demand Stage 2'!CI23</f>
        <v>0</v>
      </c>
      <c r="CJ24">
        <f>'Demand Stage 2'!CJ23</f>
        <v>0</v>
      </c>
      <c r="CK24">
        <f>'Demand Stage 2'!CK23</f>
        <v>0</v>
      </c>
      <c r="CL24">
        <f>'Demand Stage 2'!CL23</f>
        <v>0</v>
      </c>
      <c r="CM24">
        <f>'Demand Stage 2'!CM23</f>
        <v>0</v>
      </c>
      <c r="CN24">
        <f>'Demand Stage 2'!CN23</f>
        <v>0</v>
      </c>
      <c r="CO24">
        <f>'Demand Stage 2'!CO23</f>
        <v>0</v>
      </c>
      <c r="CP24">
        <f>'Demand Stage 2'!CP23</f>
        <v>0</v>
      </c>
      <c r="CQ24">
        <f>'Demand Stage 2'!CQ23</f>
        <v>0</v>
      </c>
      <c r="CR24">
        <f>'Demand Stage 2'!CR23</f>
        <v>0</v>
      </c>
      <c r="CS24">
        <f>'Demand Stage 2'!CS23</f>
        <v>0</v>
      </c>
      <c r="CT24">
        <f>'Demand Stage 2'!CT23</f>
        <v>0</v>
      </c>
      <c r="CU24">
        <f>'Demand Stage 2'!CU23</f>
        <v>0</v>
      </c>
      <c r="CV24">
        <f>'Demand Stage 2'!CV23</f>
        <v>0</v>
      </c>
      <c r="CW24">
        <f>'Demand Stage 2'!CW23</f>
        <v>0</v>
      </c>
      <c r="CX24">
        <f>'Demand Stage 2'!CX23</f>
        <v>0</v>
      </c>
      <c r="CY24">
        <f>'Demand Stage 2'!CY23</f>
        <v>0</v>
      </c>
      <c r="CZ24">
        <f>'Demand Stage 2'!CZ23</f>
        <v>0</v>
      </c>
      <c r="DA24">
        <f>'Demand Stage 2'!DA23</f>
        <v>0</v>
      </c>
      <c r="DB24">
        <f>'Demand Stage 2'!DB23</f>
        <v>0</v>
      </c>
      <c r="DC24">
        <f>'Demand Stage 2'!DC23</f>
        <v>0</v>
      </c>
      <c r="DD24">
        <f>'Demand Stage 2'!DD23</f>
        <v>0</v>
      </c>
      <c r="DE24">
        <f>'Demand Stage 2'!DE23</f>
        <v>0</v>
      </c>
      <c r="DF24">
        <f>'Demand Stage 2'!DF23</f>
        <v>0</v>
      </c>
      <c r="DG24">
        <f>'Demand Stage 2'!DG23</f>
        <v>0</v>
      </c>
      <c r="DH24">
        <f>'Demand Stage 2'!DH23</f>
        <v>0</v>
      </c>
      <c r="DI24">
        <f>'Demand Stage 2'!DI23</f>
        <v>0</v>
      </c>
      <c r="DJ24">
        <f>'Demand Stage 2'!DJ23</f>
        <v>0</v>
      </c>
      <c r="DK24">
        <f>'Demand Stage 2'!DK23</f>
        <v>0</v>
      </c>
      <c r="DL24">
        <f>'Demand Stage 2'!DL23</f>
        <v>0</v>
      </c>
      <c r="DM24">
        <f>'Demand Stage 2'!DM23</f>
        <v>0</v>
      </c>
      <c r="DN24">
        <f>'Demand Stage 2'!DN23</f>
        <v>0</v>
      </c>
      <c r="DO24">
        <f>'Demand Stage 2'!DO23</f>
        <v>0</v>
      </c>
      <c r="DP24">
        <f>'Demand Stage 2'!DP23</f>
        <v>0</v>
      </c>
      <c r="DQ24">
        <f>'Demand Stage 2'!DQ23</f>
        <v>0</v>
      </c>
      <c r="DR24">
        <f>'Demand Stage 2'!DR23</f>
        <v>0</v>
      </c>
      <c r="DS24">
        <f>'Demand Stage 2'!DS23</f>
        <v>0</v>
      </c>
      <c r="DT24">
        <f>'Demand Stage 2'!DT23</f>
        <v>0</v>
      </c>
      <c r="DU24">
        <f>'Demand Stage 2'!DU23</f>
        <v>0</v>
      </c>
      <c r="DV24">
        <f>'Demand Stage 2'!DV23</f>
        <v>0</v>
      </c>
      <c r="DW24">
        <f>'Demand Stage 2'!DW23</f>
        <v>0</v>
      </c>
      <c r="DX24">
        <f>'Demand Stage 2'!DX23</f>
        <v>0</v>
      </c>
      <c r="DY24">
        <f>'Demand Stage 2'!DY23</f>
        <v>0</v>
      </c>
      <c r="DZ24">
        <f>'Demand Stage 2'!DZ23</f>
        <v>0</v>
      </c>
      <c r="EA24">
        <f>'Demand Stage 2'!EA23</f>
        <v>0</v>
      </c>
      <c r="EB24">
        <f>'Demand Stage 2'!EB23</f>
        <v>0</v>
      </c>
      <c r="EC24">
        <f>'Demand Stage 2'!EC23</f>
        <v>0</v>
      </c>
      <c r="ED24">
        <f>'Demand Stage 2'!ED23</f>
        <v>0</v>
      </c>
      <c r="EE24">
        <f>'Demand Stage 2'!EE23</f>
        <v>0</v>
      </c>
      <c r="EF24">
        <f>'Demand Stage 2'!EF23</f>
        <v>0</v>
      </c>
      <c r="EG24">
        <f>'Demand Stage 2'!EG23</f>
        <v>0</v>
      </c>
      <c r="EH24">
        <f>'Demand Stage 2'!EH23</f>
        <v>0</v>
      </c>
      <c r="EI24">
        <f>'Demand Stage 2'!EI23</f>
        <v>0</v>
      </c>
      <c r="EJ24">
        <f>'Demand Stage 2'!EJ23</f>
        <v>0</v>
      </c>
      <c r="EK24">
        <f>'Demand Stage 2'!EK23</f>
        <v>0</v>
      </c>
      <c r="EL24">
        <f>'Demand Stage 2'!EL23</f>
        <v>0</v>
      </c>
      <c r="EM24">
        <f>'Demand Stage 2'!EM23</f>
        <v>0</v>
      </c>
      <c r="EN24">
        <f>'Demand Stage 2'!EN23</f>
        <v>0</v>
      </c>
      <c r="EO24">
        <f>'Demand Stage 2'!EO23</f>
        <v>0</v>
      </c>
      <c r="EP24">
        <f>'Demand Stage 2'!EP23</f>
        <v>0</v>
      </c>
      <c r="EQ24">
        <f>'Demand Stage 2'!EQ23</f>
        <v>0</v>
      </c>
      <c r="ER24">
        <f>'Demand Stage 2'!ER23</f>
        <v>0</v>
      </c>
      <c r="ES24">
        <f>'Demand Stage 2'!ES23</f>
        <v>0</v>
      </c>
      <c r="ET24">
        <f>'Demand Stage 2'!ET23</f>
        <v>0</v>
      </c>
      <c r="EU24">
        <f>'Demand Stage 2'!EU23</f>
        <v>0</v>
      </c>
      <c r="EV24">
        <f>'Demand Stage 2'!EV23</f>
        <v>0</v>
      </c>
      <c r="EW24">
        <f>'Demand Stage 2'!EW23</f>
        <v>0</v>
      </c>
      <c r="EX24">
        <f>'Demand Stage 2'!EX23</f>
        <v>0</v>
      </c>
      <c r="EY24">
        <f>'Demand Stage 2'!EY23</f>
        <v>0</v>
      </c>
      <c r="EZ24">
        <f>'Demand Stage 2'!EZ23</f>
        <v>0</v>
      </c>
      <c r="FA24">
        <f>'Demand Stage 2'!FA23</f>
        <v>0</v>
      </c>
      <c r="FB24">
        <f>'Demand Stage 2'!FB23</f>
        <v>0</v>
      </c>
      <c r="FC24">
        <f>'Demand Stage 2'!FC23</f>
        <v>0</v>
      </c>
      <c r="FD24">
        <f>'Demand Stage 2'!FD23</f>
        <v>0</v>
      </c>
      <c r="FE24">
        <f>'Demand Stage 2'!FE23</f>
        <v>0</v>
      </c>
      <c r="FF24">
        <f>'Demand Stage 2'!FF23</f>
        <v>0</v>
      </c>
      <c r="FG24">
        <f>'Demand Stage 2'!FG23</f>
        <v>0</v>
      </c>
      <c r="FH24">
        <f>'Demand Stage 2'!FH23</f>
        <v>0</v>
      </c>
      <c r="FI24">
        <f>'Demand Stage 2'!FI23</f>
        <v>0</v>
      </c>
      <c r="FJ24">
        <f>'Demand Stage 2'!FJ23</f>
        <v>0</v>
      </c>
      <c r="FK24">
        <f>'Demand Stage 2'!FK23</f>
        <v>0</v>
      </c>
      <c r="FL24">
        <f>'Demand Stage 2'!FL23</f>
        <v>0</v>
      </c>
      <c r="FM24">
        <f>'Demand Stage 2'!FM23</f>
        <v>0</v>
      </c>
      <c r="FN24">
        <f>'Demand Stage 2'!FN23</f>
        <v>0</v>
      </c>
      <c r="FO24">
        <f>'Demand Stage 2'!FO23</f>
        <v>0</v>
      </c>
      <c r="FP24">
        <f>'Demand Stage 2'!FP23</f>
        <v>0</v>
      </c>
      <c r="FQ24">
        <f>'Demand Stage 2'!FQ23</f>
        <v>0</v>
      </c>
      <c r="FR24">
        <f>'Demand Stage 2'!FR23</f>
        <v>0</v>
      </c>
      <c r="FS24">
        <f>'Demand Stage 2'!FS23</f>
        <v>0</v>
      </c>
      <c r="FT24">
        <f>'Demand Stage 2'!FT23</f>
        <v>0</v>
      </c>
      <c r="FU24">
        <f>'Demand Stage 2'!FU23</f>
        <v>0</v>
      </c>
      <c r="FV24">
        <f>'Demand Stage 2'!FV23</f>
        <v>0</v>
      </c>
      <c r="FW24">
        <f>'Demand Stage 2'!FW23</f>
        <v>0</v>
      </c>
      <c r="FX24">
        <f>'Demand Stage 2'!FX23</f>
        <v>0</v>
      </c>
      <c r="FY24">
        <f>'Demand Stage 2'!FY23</f>
        <v>0</v>
      </c>
      <c r="FZ24">
        <f>'Demand Stage 2'!FZ23</f>
        <v>0</v>
      </c>
      <c r="GA24">
        <f>'Demand Stage 2'!GA23</f>
        <v>0</v>
      </c>
      <c r="GB24">
        <f>'Demand Stage 2'!GB23</f>
        <v>0</v>
      </c>
      <c r="GC24">
        <f>'Demand Stage 2'!GC23</f>
        <v>0</v>
      </c>
      <c r="GD24">
        <f>'Demand Stage 2'!GD23</f>
        <v>0</v>
      </c>
      <c r="GE24">
        <f>'Demand Stage 2'!GE23</f>
        <v>0</v>
      </c>
      <c r="GF24">
        <f>'Demand Stage 2'!GF23</f>
        <v>0</v>
      </c>
      <c r="GG24">
        <f>'Demand Stage 2'!GG23</f>
        <v>0</v>
      </c>
      <c r="GH24">
        <f>'Demand Stage 2'!GH23</f>
        <v>0</v>
      </c>
      <c r="GI24">
        <f>'Demand Stage 2'!GI23</f>
        <v>0</v>
      </c>
      <c r="GJ24">
        <f>'Demand Stage 2'!GJ23</f>
        <v>0</v>
      </c>
      <c r="GK24">
        <f>'Demand Stage 2'!GK23</f>
        <v>0</v>
      </c>
      <c r="GL24">
        <f>'Demand Stage 2'!GL23</f>
        <v>0</v>
      </c>
      <c r="GM24">
        <f>'Demand Stage 2'!GM23</f>
        <v>0</v>
      </c>
      <c r="GN24">
        <f>'Demand Stage 2'!GN23</f>
        <v>0</v>
      </c>
      <c r="GO24">
        <f>'Demand Stage 2'!GO23</f>
        <v>0</v>
      </c>
      <c r="GP24">
        <f>'Demand Stage 2'!GP23</f>
        <v>0</v>
      </c>
      <c r="GQ24">
        <f>'Demand Stage 2'!GQ23</f>
        <v>0</v>
      </c>
      <c r="GR24">
        <f>'Demand Stage 2'!GR23</f>
        <v>0</v>
      </c>
      <c r="GS24">
        <f>'Demand Stage 2'!GS23</f>
        <v>0</v>
      </c>
      <c r="GT24">
        <f>'Demand Stage 2'!GT23</f>
        <v>0</v>
      </c>
      <c r="GU24">
        <f>'Demand Stage 2'!GU23</f>
        <v>0</v>
      </c>
      <c r="GV24">
        <f>'Demand Stage 2'!GV23</f>
        <v>0</v>
      </c>
      <c r="GW24">
        <f>'Demand Stage 2'!GW23</f>
        <v>0</v>
      </c>
      <c r="GX24">
        <f>'Demand Stage 2'!GX23</f>
        <v>0</v>
      </c>
      <c r="GY24">
        <f>'Demand Stage 2'!GY23</f>
        <v>0</v>
      </c>
      <c r="GZ24">
        <f>'Demand Stage 2'!GZ23</f>
        <v>0</v>
      </c>
      <c r="HA24">
        <f>'Demand Stage 2'!HA23</f>
        <v>0</v>
      </c>
      <c r="HB24">
        <f>'Demand Stage 2'!HB23</f>
        <v>0</v>
      </c>
      <c r="HC24">
        <f>'Demand Stage 2'!HC23</f>
        <v>0</v>
      </c>
      <c r="HD24">
        <f>'Demand Stage 2'!HD23</f>
        <v>0</v>
      </c>
      <c r="HE24">
        <f>'Demand Stage 2'!HE23</f>
        <v>0</v>
      </c>
      <c r="HF24">
        <f>'Demand Stage 2'!HF23</f>
        <v>0</v>
      </c>
      <c r="HG24">
        <f>'Demand Stage 2'!HG23</f>
        <v>0</v>
      </c>
      <c r="HH24">
        <f>'Demand Stage 2'!HH23</f>
        <v>0</v>
      </c>
      <c r="HI24">
        <f>'Demand Stage 2'!HI23</f>
        <v>0</v>
      </c>
      <c r="HJ24">
        <f>'Demand Stage 2'!HJ23</f>
        <v>0</v>
      </c>
      <c r="HK24">
        <f>'Demand Stage 2'!HK23</f>
        <v>0</v>
      </c>
      <c r="HL24">
        <f>'Demand Stage 2'!HL23</f>
        <v>0</v>
      </c>
      <c r="HM24">
        <f>'Demand Stage 2'!HM23</f>
        <v>0</v>
      </c>
      <c r="HN24">
        <f>'Demand Stage 2'!HN23</f>
        <v>0</v>
      </c>
      <c r="HO24">
        <f>'Demand Stage 2'!HO23</f>
        <v>0</v>
      </c>
      <c r="HP24">
        <f>'Demand Stage 2'!HP23</f>
        <v>0</v>
      </c>
      <c r="HQ24">
        <f>'Demand Stage 2'!HQ23</f>
        <v>0</v>
      </c>
      <c r="HR24">
        <f>'Demand Stage 2'!HR23</f>
        <v>0</v>
      </c>
      <c r="HS24">
        <f>'Demand Stage 2'!HS23</f>
        <v>0</v>
      </c>
      <c r="HT24">
        <f>'Demand Stage 2'!HT23</f>
        <v>0</v>
      </c>
      <c r="HU24">
        <f>'Demand Stage 2'!HU23</f>
        <v>0</v>
      </c>
      <c r="HV24">
        <f>'Demand Stage 2'!HV23</f>
        <v>0</v>
      </c>
      <c r="HW24">
        <f>'Demand Stage 2'!HW23</f>
        <v>0</v>
      </c>
      <c r="HX24">
        <f>'Demand Stage 2'!HX23</f>
        <v>0</v>
      </c>
      <c r="HY24">
        <f>'Demand Stage 2'!HY23</f>
        <v>0</v>
      </c>
      <c r="HZ24">
        <f>'Demand Stage 2'!HZ23</f>
        <v>0</v>
      </c>
      <c r="IA24">
        <f>'Demand Stage 2'!IA23</f>
        <v>0</v>
      </c>
      <c r="IB24">
        <f>'Demand Stage 2'!IB23</f>
        <v>0</v>
      </c>
      <c r="IC24">
        <f>'Demand Stage 2'!IC23</f>
        <v>0</v>
      </c>
      <c r="ID24">
        <f>'Demand Stage 2'!ID23</f>
        <v>0</v>
      </c>
      <c r="IE24">
        <f>'Demand Stage 2'!IE23</f>
        <v>0</v>
      </c>
      <c r="IF24">
        <f>'Demand Stage 2'!IF23</f>
        <v>0</v>
      </c>
      <c r="IG24">
        <f>'Demand Stage 2'!IG23</f>
        <v>0</v>
      </c>
      <c r="IH24">
        <f>'Demand Stage 2'!IH23</f>
        <v>0</v>
      </c>
      <c r="II24">
        <f>'Demand Stage 2'!II23</f>
        <v>0</v>
      </c>
      <c r="IJ24">
        <f>'Demand Stage 2'!IJ23</f>
        <v>0</v>
      </c>
      <c r="IK24">
        <f>'Demand Stage 2'!IK23</f>
        <v>0</v>
      </c>
      <c r="IL24">
        <f>'Demand Stage 2'!IL23</f>
        <v>0</v>
      </c>
      <c r="IM24">
        <f>'Demand Stage 2'!IM23</f>
        <v>0</v>
      </c>
      <c r="IN24">
        <f>'Demand Stage 2'!IN23</f>
        <v>0</v>
      </c>
      <c r="IO24">
        <f>'Demand Stage 2'!IO23</f>
        <v>0</v>
      </c>
      <c r="IP24">
        <f>'Demand Stage 2'!IP23</f>
        <v>0</v>
      </c>
      <c r="IQ24">
        <f>'Demand Stage 2'!IQ23</f>
        <v>0</v>
      </c>
      <c r="IR24">
        <f>'Demand Stage 2'!IR23</f>
        <v>0</v>
      </c>
      <c r="IS24">
        <f>'Demand Stage 2'!IS23</f>
        <v>0</v>
      </c>
      <c r="IT24">
        <f>'Demand Stage 2'!IT23</f>
        <v>0</v>
      </c>
      <c r="IU24">
        <f>'Demand Stage 2'!IU23</f>
        <v>0</v>
      </c>
      <c r="IV24">
        <f>'Demand Stage 2'!IV23</f>
        <v>0</v>
      </c>
      <c r="IW24">
        <f>'Demand Stage 2'!IW23</f>
        <v>0</v>
      </c>
      <c r="IX24">
        <f>'Demand Stage 2'!IX23</f>
        <v>0</v>
      </c>
      <c r="IY24">
        <f>'Demand Stage 2'!IY23</f>
        <v>0</v>
      </c>
      <c r="IZ24">
        <f>'Demand Stage 2'!IZ23</f>
        <v>0</v>
      </c>
      <c r="JA24">
        <f>'Demand Stage 2'!JA23</f>
        <v>0</v>
      </c>
      <c r="JB24">
        <f>'Demand Stage 2'!JB23</f>
        <v>0</v>
      </c>
      <c r="JC24">
        <f>'Demand Stage 2'!JC23</f>
        <v>0</v>
      </c>
      <c r="JD24">
        <f>'Demand Stage 2'!JD23</f>
        <v>0</v>
      </c>
      <c r="JE24">
        <f>'Demand Stage 2'!JE23</f>
        <v>0</v>
      </c>
      <c r="JF24">
        <f>'Demand Stage 2'!JF23</f>
        <v>0</v>
      </c>
      <c r="JG24">
        <f>'Demand Stage 2'!JG23</f>
        <v>0</v>
      </c>
      <c r="JH24">
        <f>'Demand Stage 2'!JH23</f>
        <v>0</v>
      </c>
      <c r="JI24">
        <f>'Demand Stage 2'!JI23</f>
        <v>0</v>
      </c>
      <c r="JJ24">
        <f>'Demand Stage 2'!JJ23</f>
        <v>0</v>
      </c>
      <c r="JK24">
        <f>'Demand Stage 2'!JK23</f>
        <v>0</v>
      </c>
      <c r="JL24">
        <f>'Demand Stage 2'!JL23</f>
        <v>0</v>
      </c>
      <c r="JM24">
        <f>'Demand Stage 2'!JM23</f>
        <v>0</v>
      </c>
      <c r="JN24">
        <f>'Demand Stage 2'!JN23</f>
        <v>0</v>
      </c>
      <c r="JO24">
        <f>'Demand Stage 2'!JO23</f>
        <v>0</v>
      </c>
      <c r="JP24">
        <f>'Demand Stage 2'!JP23</f>
        <v>0</v>
      </c>
      <c r="JQ24">
        <f>'Demand Stage 2'!JQ23</f>
        <v>0</v>
      </c>
      <c r="JR24">
        <f>'Demand Stage 2'!JR23</f>
        <v>0</v>
      </c>
      <c r="JS24">
        <f>'Demand Stage 2'!JS23</f>
        <v>0</v>
      </c>
      <c r="JT24">
        <f>'Demand Stage 2'!JT23</f>
        <v>0</v>
      </c>
      <c r="JU24">
        <f>'Demand Stage 2'!JU23</f>
        <v>0</v>
      </c>
      <c r="JV24">
        <f>'Demand Stage 2'!JV23</f>
        <v>0</v>
      </c>
      <c r="JW24">
        <f>'Demand Stage 2'!JW23</f>
        <v>0</v>
      </c>
      <c r="JX24">
        <f>'Demand Stage 2'!JX23</f>
        <v>0</v>
      </c>
      <c r="JY24">
        <f>'Demand Stage 2'!JY23</f>
        <v>0</v>
      </c>
      <c r="JZ24">
        <f>'Demand Stage 2'!JZ23</f>
        <v>0</v>
      </c>
      <c r="KA24">
        <f>'Demand Stage 2'!KA23</f>
        <v>0</v>
      </c>
      <c r="KB24">
        <f>'Demand Stage 2'!KB23</f>
        <v>0</v>
      </c>
      <c r="KC24">
        <f>'Demand Stage 2'!KC23</f>
        <v>0</v>
      </c>
      <c r="KD24">
        <f>'Demand Stage 2'!KD23</f>
        <v>0</v>
      </c>
      <c r="KE24">
        <f>'Demand Stage 2'!KE23</f>
        <v>0</v>
      </c>
      <c r="KF24">
        <f>'Demand Stage 2'!KF23</f>
        <v>0</v>
      </c>
      <c r="KG24">
        <f>'Demand Stage 2'!KG23</f>
        <v>0</v>
      </c>
      <c r="KH24">
        <f>'Demand Stage 2'!KH23</f>
        <v>0</v>
      </c>
      <c r="KI24">
        <f>'Demand Stage 2'!KI23</f>
        <v>0</v>
      </c>
      <c r="KJ24">
        <f>'Demand Stage 2'!KJ23</f>
        <v>0</v>
      </c>
      <c r="KK24">
        <f>'Demand Stage 2'!KK23</f>
        <v>0</v>
      </c>
      <c r="KL24">
        <f>'Demand Stage 2'!KL23</f>
        <v>0</v>
      </c>
      <c r="KM24">
        <f>'Demand Stage 2'!KM23</f>
        <v>0</v>
      </c>
      <c r="KN24">
        <f>'Demand Stage 2'!KN23</f>
        <v>0</v>
      </c>
      <c r="KO24">
        <f>'Demand Stage 2'!KO23</f>
        <v>0</v>
      </c>
      <c r="KP24">
        <f>'Demand Stage 2'!KP23</f>
        <v>0</v>
      </c>
      <c r="KQ24">
        <f>'Demand Stage 2'!KQ23</f>
        <v>0</v>
      </c>
      <c r="KR24">
        <f>'Demand Stage 2'!KR23</f>
        <v>0</v>
      </c>
      <c r="KS24">
        <f>'Demand Stage 2'!KS23</f>
        <v>0</v>
      </c>
      <c r="KT24">
        <f>'Demand Stage 2'!KT23</f>
        <v>0</v>
      </c>
      <c r="KU24">
        <f>'Demand Stage 2'!KU23</f>
        <v>0</v>
      </c>
      <c r="KV24">
        <f>'Demand Stage 2'!KV23</f>
        <v>0</v>
      </c>
      <c r="KW24">
        <f>'Demand Stage 2'!KW23</f>
        <v>0</v>
      </c>
      <c r="KX24">
        <f>'Demand Stage 2'!KX23</f>
        <v>0</v>
      </c>
      <c r="KY24">
        <f>'Demand Stage 2'!KY23</f>
        <v>0</v>
      </c>
      <c r="KZ24">
        <f>'Demand Stage 2'!KZ23</f>
        <v>0</v>
      </c>
      <c r="LA24">
        <f>'Demand Stage 2'!LA23</f>
        <v>0</v>
      </c>
      <c r="LB24">
        <f>'Demand Stage 2'!LB23</f>
        <v>0</v>
      </c>
      <c r="LC24">
        <f>'Demand Stage 2'!LC23</f>
        <v>0</v>
      </c>
      <c r="LD24">
        <f>'Demand Stage 2'!LD23</f>
        <v>0</v>
      </c>
      <c r="LE24">
        <f>'Demand Stage 2'!LE23</f>
        <v>0</v>
      </c>
      <c r="LF24">
        <f>'Demand Stage 2'!LF23</f>
        <v>0</v>
      </c>
      <c r="LG24">
        <f>'Demand Stage 2'!LG23</f>
        <v>0</v>
      </c>
      <c r="LH24">
        <f>'Demand Stage 2'!LH23</f>
        <v>0</v>
      </c>
      <c r="LI24">
        <f>'Demand Stage 2'!LI23</f>
        <v>0</v>
      </c>
      <c r="LJ24">
        <f>'Demand Stage 2'!LJ23</f>
        <v>0</v>
      </c>
      <c r="LK24">
        <f>'Demand Stage 2'!LK23</f>
        <v>0</v>
      </c>
      <c r="LL24">
        <f>'Demand Stage 2'!LL23</f>
        <v>0</v>
      </c>
      <c r="LM24">
        <f>'Demand Stage 2'!LM23</f>
        <v>0</v>
      </c>
      <c r="LN24">
        <f>'Demand Stage 2'!LN23</f>
        <v>0</v>
      </c>
      <c r="LO24">
        <f>'Demand Stage 2'!LO23</f>
        <v>0</v>
      </c>
      <c r="LP24">
        <f>'Demand Stage 2'!LP23</f>
        <v>0</v>
      </c>
      <c r="LQ24">
        <f>'Demand Stage 2'!LQ23</f>
        <v>0</v>
      </c>
      <c r="LR24">
        <f>'Demand Stage 2'!LR23</f>
        <v>0</v>
      </c>
      <c r="LS24">
        <f>'Demand Stage 2'!LS23</f>
        <v>0</v>
      </c>
      <c r="LT24">
        <f>'Demand Stage 2'!LT23</f>
        <v>0</v>
      </c>
      <c r="LU24">
        <f>'Demand Stage 2'!LU23</f>
        <v>0</v>
      </c>
      <c r="LV24">
        <f>'Demand Stage 2'!LV23</f>
        <v>0</v>
      </c>
      <c r="LW24">
        <f>'Demand Stage 2'!LW23</f>
        <v>0</v>
      </c>
      <c r="LX24">
        <f>'Demand Stage 2'!LX23</f>
        <v>0</v>
      </c>
      <c r="LY24">
        <f>'Demand Stage 2'!LY23</f>
        <v>0</v>
      </c>
      <c r="LZ24">
        <f>'Demand Stage 2'!LZ23</f>
        <v>0</v>
      </c>
      <c r="MA24">
        <f>'Demand Stage 2'!MA23</f>
        <v>0</v>
      </c>
      <c r="MB24">
        <f>'Demand Stage 2'!MB23</f>
        <v>0</v>
      </c>
      <c r="MC24">
        <f>'Demand Stage 2'!MC23</f>
        <v>0</v>
      </c>
      <c r="MD24">
        <f>'Demand Stage 2'!MD23</f>
        <v>0</v>
      </c>
      <c r="ME24">
        <f>'Demand Stage 2'!ME23</f>
        <v>0</v>
      </c>
      <c r="MF24">
        <f>'Demand Stage 2'!MF23</f>
        <v>0</v>
      </c>
      <c r="MG24">
        <f>'Demand Stage 2'!MG23</f>
        <v>0</v>
      </c>
      <c r="MH24">
        <f>'Demand Stage 2'!MH23</f>
        <v>0</v>
      </c>
      <c r="MI24">
        <f>'Demand Stage 2'!MI23</f>
        <v>0</v>
      </c>
      <c r="MJ24">
        <f>'Demand Stage 2'!MJ23</f>
        <v>0</v>
      </c>
      <c r="MK24">
        <f>'Demand Stage 2'!MK23</f>
        <v>0</v>
      </c>
      <c r="ML24">
        <f>'Demand Stage 2'!ML23</f>
        <v>0</v>
      </c>
      <c r="MM24">
        <f>'Demand Stage 2'!MM23</f>
        <v>0</v>
      </c>
      <c r="MN24">
        <f>'Demand Stage 2'!MN23</f>
        <v>0</v>
      </c>
      <c r="MO24">
        <f>'Demand Stage 2'!MO23</f>
        <v>0</v>
      </c>
      <c r="MP24">
        <f>'Demand Stage 2'!MP23</f>
        <v>0</v>
      </c>
      <c r="MQ24">
        <f>'Demand Stage 2'!MQ23</f>
        <v>0</v>
      </c>
      <c r="MR24">
        <f>'Demand Stage 2'!MR23</f>
        <v>0</v>
      </c>
      <c r="MS24">
        <f>'Demand Stage 2'!MS23</f>
        <v>0</v>
      </c>
      <c r="MT24">
        <f>'Demand Stage 2'!MT23</f>
        <v>0</v>
      </c>
      <c r="MU24">
        <f>'Demand Stage 2'!MU23</f>
        <v>0</v>
      </c>
      <c r="MV24">
        <f>'Demand Stage 2'!MV23</f>
        <v>0</v>
      </c>
      <c r="MW24">
        <f>'Demand Stage 2'!MW23</f>
        <v>0</v>
      </c>
      <c r="MX24">
        <f>'Demand Stage 2'!MX23</f>
        <v>0</v>
      </c>
      <c r="MY24">
        <f>'Demand Stage 2'!MY23</f>
        <v>0</v>
      </c>
      <c r="MZ24">
        <f>'Demand Stage 2'!MZ23</f>
        <v>0</v>
      </c>
      <c r="NA24">
        <f>'Demand Stage 2'!NA23</f>
        <v>0</v>
      </c>
      <c r="NB24">
        <f>'Demand Stage 2'!NB23</f>
        <v>0</v>
      </c>
      <c r="NC24">
        <f>'Demand Stage 2'!NC23</f>
        <v>0</v>
      </c>
      <c r="ND24">
        <f>'Demand Stage 2'!ND23</f>
        <v>0</v>
      </c>
      <c r="NE24">
        <f>'Demand Stage 2'!NE23</f>
        <v>0</v>
      </c>
      <c r="NF24">
        <f>'Demand Stage 2'!NF23</f>
        <v>0</v>
      </c>
      <c r="NG24">
        <f>'Demand Stage 2'!NG23</f>
        <v>0</v>
      </c>
      <c r="NH24">
        <f>'Demand Stage 2'!NH23</f>
        <v>0</v>
      </c>
      <c r="NI24">
        <f>'Demand Stage 2'!NI23</f>
        <v>0</v>
      </c>
      <c r="NJ24">
        <f>'Demand Stage 2'!NJ23</f>
        <v>0</v>
      </c>
      <c r="NK24">
        <f>'Demand Stage 2'!NK23</f>
        <v>0</v>
      </c>
      <c r="NL24">
        <f>'Demand Stage 2'!NL23</f>
        <v>0</v>
      </c>
      <c r="NM24">
        <f>'Demand Stage 2'!NM23</f>
        <v>0</v>
      </c>
      <c r="NN24">
        <f>'Demand Stage 2'!NN23</f>
        <v>0</v>
      </c>
      <c r="NO24">
        <f>'Demand Stage 2'!NO23</f>
        <v>0</v>
      </c>
      <c r="NP24">
        <f>'Demand Stage 2'!NP23</f>
        <v>0</v>
      </c>
      <c r="NQ24">
        <f>'Demand Stage 2'!NQ23</f>
        <v>0</v>
      </c>
      <c r="NR24">
        <f>'Demand Stage 2'!NR23</f>
        <v>0</v>
      </c>
      <c r="NS24">
        <f>'Demand Stage 2'!NS23</f>
        <v>0</v>
      </c>
      <c r="NT24">
        <f>'Demand Stage 2'!NT23</f>
        <v>0</v>
      </c>
      <c r="NU24">
        <f>'Demand Stage 2'!NU23</f>
        <v>0</v>
      </c>
      <c r="NV24">
        <f>'Demand Stage 2'!NV23</f>
        <v>0</v>
      </c>
      <c r="NW24">
        <f>'Demand Stage 2'!NW23</f>
        <v>0</v>
      </c>
      <c r="NX24">
        <f>'Demand Stage 2'!NX23</f>
        <v>0</v>
      </c>
      <c r="NY24">
        <f>'Demand Stage 2'!NY23</f>
        <v>0</v>
      </c>
      <c r="NZ24">
        <f>'Demand Stage 2'!NZ23</f>
        <v>0</v>
      </c>
      <c r="OA24">
        <f>'Demand Stage 2'!OA23</f>
        <v>0</v>
      </c>
      <c r="OB24">
        <f>'Demand Stage 2'!OB23</f>
        <v>0</v>
      </c>
      <c r="OC24">
        <f>'Demand Stage 2'!OC23</f>
        <v>0</v>
      </c>
      <c r="OD24">
        <f>'Demand Stage 2'!OD23</f>
        <v>0</v>
      </c>
      <c r="OE24">
        <f>'Demand Stage 2'!OE23</f>
        <v>0</v>
      </c>
      <c r="OF24">
        <f>'Demand Stage 2'!OF23</f>
        <v>0</v>
      </c>
      <c r="OG24">
        <f>'Demand Stage 2'!OG23</f>
        <v>0</v>
      </c>
      <c r="OH24">
        <f>'Demand Stage 2'!OH23</f>
        <v>0</v>
      </c>
      <c r="OI24">
        <f>'Demand Stage 2'!OI23</f>
        <v>0</v>
      </c>
      <c r="OJ24">
        <f>'Demand Stage 2'!OJ23</f>
        <v>0</v>
      </c>
      <c r="OK24">
        <f>'Demand Stage 2'!OK23</f>
        <v>0</v>
      </c>
      <c r="OL24">
        <f>'Demand Stage 2'!OL23</f>
        <v>0</v>
      </c>
      <c r="OM24">
        <f>'Demand Stage 2'!OM23</f>
        <v>0</v>
      </c>
      <c r="ON24">
        <f>'Demand Stage 2'!ON23</f>
        <v>0</v>
      </c>
      <c r="OO24">
        <f>'Demand Stage 2'!OO23</f>
        <v>0</v>
      </c>
      <c r="OP24">
        <f>'Demand Stage 2'!OP23</f>
        <v>0</v>
      </c>
      <c r="OQ24">
        <f>'Demand Stage 2'!OQ23</f>
        <v>0</v>
      </c>
      <c r="OR24">
        <f>'Demand Stage 2'!OR23</f>
        <v>0</v>
      </c>
      <c r="OS24">
        <f>'Demand Stage 2'!OS23</f>
        <v>0</v>
      </c>
      <c r="OT24">
        <f>'Demand Stage 2'!OT23</f>
        <v>0</v>
      </c>
      <c r="OU24">
        <f>'Demand Stage 2'!OU23</f>
        <v>0</v>
      </c>
      <c r="OV24">
        <f>'Demand Stage 2'!OV23</f>
        <v>0</v>
      </c>
      <c r="OW24">
        <f>'Demand Stage 2'!OW23</f>
        <v>0</v>
      </c>
      <c r="OX24">
        <f>'Demand Stage 2'!OX23</f>
        <v>0</v>
      </c>
      <c r="OY24">
        <f>'Demand Stage 2'!OY23</f>
        <v>0</v>
      </c>
      <c r="OZ24">
        <f>'Demand Stage 2'!OZ23</f>
        <v>0</v>
      </c>
      <c r="PA24">
        <f>'Demand Stage 2'!PA23</f>
        <v>0</v>
      </c>
      <c r="PB24">
        <f>'Demand Stage 2'!PB23</f>
        <v>0</v>
      </c>
      <c r="PC24">
        <f>'Demand Stage 2'!PC23</f>
        <v>0</v>
      </c>
      <c r="PD24">
        <f>'Demand Stage 2'!PD23</f>
        <v>0</v>
      </c>
      <c r="PE24">
        <f>'Demand Stage 2'!PE23</f>
        <v>0</v>
      </c>
      <c r="PF24">
        <f>'Demand Stage 2'!PF23</f>
        <v>0</v>
      </c>
      <c r="PG24">
        <f>'Demand Stage 2'!PG23</f>
        <v>0</v>
      </c>
      <c r="PH24">
        <f>'Demand Stage 2'!PH23</f>
        <v>0</v>
      </c>
      <c r="PI24">
        <f>'Demand Stage 2'!PI23</f>
        <v>0</v>
      </c>
      <c r="PJ24">
        <f>'Demand Stage 2'!PJ23</f>
        <v>0</v>
      </c>
      <c r="PK24">
        <f>'Demand Stage 2'!PK23</f>
        <v>0</v>
      </c>
      <c r="PL24">
        <f>'Demand Stage 2'!PL23</f>
        <v>0</v>
      </c>
      <c r="PM24">
        <f>'Demand Stage 2'!PM23</f>
        <v>0</v>
      </c>
      <c r="PN24">
        <f>'Demand Stage 2'!PN23</f>
        <v>0</v>
      </c>
      <c r="PO24">
        <f>'Demand Stage 2'!PO23</f>
        <v>0</v>
      </c>
      <c r="PP24">
        <f>'Demand Stage 2'!PP23</f>
        <v>0</v>
      </c>
      <c r="PQ24">
        <f>'Demand Stage 2'!PQ23</f>
        <v>0</v>
      </c>
      <c r="PR24">
        <f>'Demand Stage 2'!PR23</f>
        <v>0</v>
      </c>
      <c r="PS24">
        <f>'Demand Stage 2'!PS23</f>
        <v>0</v>
      </c>
      <c r="PT24">
        <f>'Demand Stage 2'!PT23</f>
        <v>0</v>
      </c>
      <c r="PU24">
        <f>'Demand Stage 2'!PU23</f>
        <v>0</v>
      </c>
      <c r="PV24">
        <f>'Demand Stage 2'!PV23</f>
        <v>0</v>
      </c>
      <c r="PW24">
        <f>'Demand Stage 2'!PW23</f>
        <v>0</v>
      </c>
      <c r="PX24">
        <f>'Demand Stage 2'!PX23</f>
        <v>0</v>
      </c>
      <c r="PY24">
        <f>'Demand Stage 2'!PY23</f>
        <v>0</v>
      </c>
      <c r="PZ24">
        <f>'Demand Stage 2'!PZ23</f>
        <v>0</v>
      </c>
      <c r="QA24">
        <f>'Demand Stage 2'!QA23</f>
        <v>0</v>
      </c>
      <c r="QB24">
        <f>'Demand Stage 2'!QB23</f>
        <v>0</v>
      </c>
      <c r="QC24">
        <f>'Demand Stage 2'!QC23</f>
        <v>0</v>
      </c>
      <c r="QD24">
        <f>'Demand Stage 2'!QD23</f>
        <v>0</v>
      </c>
      <c r="QE24">
        <f>'Demand Stage 2'!QE23</f>
        <v>0</v>
      </c>
      <c r="QF24">
        <f>'Demand Stage 2'!QF23</f>
        <v>0</v>
      </c>
      <c r="QG24">
        <f>'Demand Stage 2'!QG23</f>
        <v>0</v>
      </c>
      <c r="QH24">
        <f>'Demand Stage 2'!QH23</f>
        <v>0</v>
      </c>
      <c r="QI24">
        <f>'Demand Stage 2'!QI23</f>
        <v>0</v>
      </c>
      <c r="QJ24">
        <f>'Demand Stage 2'!QJ23</f>
        <v>0</v>
      </c>
      <c r="QK24">
        <f>'Demand Stage 2'!QK23</f>
        <v>0</v>
      </c>
      <c r="QL24">
        <f>'Demand Stage 2'!QL23</f>
        <v>0</v>
      </c>
      <c r="QM24">
        <f>'Demand Stage 2'!QM23</f>
        <v>0</v>
      </c>
      <c r="QN24">
        <f>'Demand Stage 2'!QN23</f>
        <v>0</v>
      </c>
      <c r="QO24">
        <f>'Demand Stage 2'!QO23</f>
        <v>0</v>
      </c>
      <c r="QP24">
        <f>'Demand Stage 2'!QP23</f>
        <v>0</v>
      </c>
      <c r="QQ24">
        <f>'Demand Stage 2'!QQ23</f>
        <v>0</v>
      </c>
      <c r="QR24">
        <f>'Demand Stage 2'!QR23</f>
        <v>0</v>
      </c>
      <c r="QS24">
        <f>'Demand Stage 2'!QS23</f>
        <v>0</v>
      </c>
      <c r="QT24">
        <f>'Demand Stage 2'!QT23</f>
        <v>0</v>
      </c>
      <c r="QU24">
        <f>'Demand Stage 2'!QU23</f>
        <v>0</v>
      </c>
      <c r="QV24">
        <f>'Demand Stage 2'!QV23</f>
        <v>0</v>
      </c>
      <c r="QW24">
        <f>'Demand Stage 2'!QW23</f>
        <v>0</v>
      </c>
      <c r="QX24">
        <f>'Demand Stage 2'!QX23</f>
        <v>0</v>
      </c>
      <c r="QY24">
        <f>'Demand Stage 2'!QY23</f>
        <v>0</v>
      </c>
      <c r="QZ24">
        <f>'Demand Stage 2'!QZ23</f>
        <v>0</v>
      </c>
      <c r="RA24">
        <f>'Demand Stage 2'!RA23</f>
        <v>0</v>
      </c>
      <c r="RB24">
        <f>'Demand Stage 2'!RB23</f>
        <v>0</v>
      </c>
      <c r="RC24">
        <f>'Demand Stage 2'!RC23</f>
        <v>0</v>
      </c>
      <c r="RD24">
        <f>'Demand Stage 2'!RD23</f>
        <v>0</v>
      </c>
      <c r="RE24">
        <f>'Demand Stage 2'!RE23</f>
        <v>0</v>
      </c>
      <c r="RF24">
        <f>'Demand Stage 2'!RF23</f>
        <v>0</v>
      </c>
      <c r="RG24">
        <f>'Demand Stage 2'!RG23</f>
        <v>0</v>
      </c>
      <c r="RH24">
        <f>'Demand Stage 2'!RH23</f>
        <v>0</v>
      </c>
      <c r="RI24">
        <f>'Demand Stage 2'!RI23</f>
        <v>0</v>
      </c>
      <c r="RJ24">
        <f>'Demand Stage 2'!RJ23</f>
        <v>0</v>
      </c>
      <c r="RK24">
        <f>'Demand Stage 2'!RK23</f>
        <v>0</v>
      </c>
      <c r="RL24">
        <f>'Demand Stage 2'!RL23</f>
        <v>0</v>
      </c>
      <c r="RM24">
        <f>'Demand Stage 2'!RM23</f>
        <v>0</v>
      </c>
      <c r="RN24">
        <f>'Demand Stage 2'!RN23</f>
        <v>0</v>
      </c>
      <c r="RO24">
        <f>'Demand Stage 2'!RO23</f>
        <v>0</v>
      </c>
      <c r="RP24">
        <f>'Demand Stage 2'!RP23</f>
        <v>0</v>
      </c>
      <c r="RQ24">
        <f>'Demand Stage 2'!RQ23</f>
        <v>0</v>
      </c>
      <c r="RR24">
        <f>'Demand Stage 2'!RR23</f>
        <v>0</v>
      </c>
      <c r="RS24">
        <f>'Demand Stage 2'!RS23</f>
        <v>0</v>
      </c>
      <c r="RT24">
        <f>'Demand Stage 2'!RT23</f>
        <v>0</v>
      </c>
      <c r="RU24">
        <f>'Demand Stage 2'!RU23</f>
        <v>0</v>
      </c>
      <c r="RV24">
        <f>'Demand Stage 2'!RV23</f>
        <v>0</v>
      </c>
      <c r="RW24">
        <f>'Demand Stage 2'!RW23</f>
        <v>0</v>
      </c>
      <c r="RX24">
        <f>'Demand Stage 2'!RX23</f>
        <v>0</v>
      </c>
      <c r="RY24">
        <f>'Demand Stage 2'!RY23</f>
        <v>0</v>
      </c>
      <c r="RZ24">
        <f>'Demand Stage 2'!RZ23</f>
        <v>0</v>
      </c>
      <c r="SA24">
        <f>'Demand Stage 2'!SA23</f>
        <v>0</v>
      </c>
      <c r="SB24">
        <f>'Demand Stage 2'!SB23</f>
        <v>0</v>
      </c>
      <c r="SC24">
        <f>'Demand Stage 2'!SC23</f>
        <v>0</v>
      </c>
      <c r="SD24">
        <f>'Demand Stage 2'!SD23</f>
        <v>0</v>
      </c>
      <c r="SE24">
        <f>'Demand Stage 2'!SE23</f>
        <v>0</v>
      </c>
      <c r="SF24">
        <f>'Demand Stage 2'!SF23</f>
        <v>0</v>
      </c>
      <c r="SG24">
        <f>'Demand Stage 2'!SG23</f>
        <v>0</v>
      </c>
      <c r="SH24">
        <f>'Demand Stage 2'!SH23</f>
        <v>0</v>
      </c>
      <c r="SI24">
        <f>'Demand Stage 2'!SI23</f>
        <v>0</v>
      </c>
      <c r="SJ24">
        <f>'Demand Stage 2'!SJ23</f>
        <v>0</v>
      </c>
      <c r="SK24">
        <f>'Demand Stage 2'!SK23</f>
        <v>0</v>
      </c>
      <c r="SL24">
        <f>'Demand Stage 2'!SL23</f>
        <v>0</v>
      </c>
      <c r="SM24">
        <f>'Demand Stage 2'!SM23</f>
        <v>0</v>
      </c>
      <c r="SN24">
        <f>'Demand Stage 2'!SN23</f>
        <v>0</v>
      </c>
      <c r="SO24">
        <f>'Demand Stage 2'!SO23</f>
        <v>0</v>
      </c>
      <c r="SP24">
        <f>'Demand Stage 2'!SP23</f>
        <v>0</v>
      </c>
      <c r="SQ24">
        <f>'Demand Stage 2'!SQ23</f>
        <v>0</v>
      </c>
      <c r="SR24">
        <f>'Demand Stage 2'!SR23</f>
        <v>0</v>
      </c>
      <c r="SS24">
        <f>'Demand Stage 2'!SS23</f>
        <v>0</v>
      </c>
      <c r="ST24">
        <f>'Demand Stage 2'!ST23</f>
        <v>0</v>
      </c>
      <c r="SU24">
        <f>'Demand Stage 2'!SU23</f>
        <v>0</v>
      </c>
      <c r="SV24">
        <f>'Demand Stage 2'!SV23</f>
        <v>0</v>
      </c>
      <c r="SW24">
        <f>'Demand Stage 2'!SW23</f>
        <v>0</v>
      </c>
      <c r="SX24">
        <f>'Demand Stage 2'!SX23</f>
        <v>0</v>
      </c>
      <c r="SY24">
        <f>'Demand Stage 2'!SY23</f>
        <v>0</v>
      </c>
      <c r="SZ24">
        <f>'Demand Stage 2'!SZ23</f>
        <v>0</v>
      </c>
      <c r="TA24">
        <f>'Demand Stage 2'!TA23</f>
        <v>0</v>
      </c>
      <c r="TB24">
        <f>'Demand Stage 2'!TB23</f>
        <v>0</v>
      </c>
      <c r="TC24">
        <f>'Demand Stage 2'!TC23</f>
        <v>0</v>
      </c>
      <c r="TD24">
        <f>'Demand Stage 2'!TD23</f>
        <v>0</v>
      </c>
      <c r="TE24">
        <f>'Demand Stage 2'!TE23</f>
        <v>0</v>
      </c>
      <c r="TF24">
        <f>'Demand Stage 2'!TF23</f>
        <v>0</v>
      </c>
      <c r="TG24">
        <f>'Demand Stage 2'!TG23</f>
        <v>0</v>
      </c>
      <c r="TH24">
        <f>'Demand Stage 2'!TH23</f>
        <v>0</v>
      </c>
      <c r="TI24">
        <f>'Demand Stage 2'!TI23</f>
        <v>0</v>
      </c>
      <c r="TJ24">
        <f>'Demand Stage 2'!TJ23</f>
        <v>0</v>
      </c>
      <c r="TK24">
        <f>'Demand Stage 2'!TK23</f>
        <v>0</v>
      </c>
      <c r="TL24">
        <f>'Demand Stage 2'!TL23</f>
        <v>0</v>
      </c>
      <c r="TM24">
        <f>'Demand Stage 2'!TM23</f>
        <v>0</v>
      </c>
      <c r="TN24">
        <f>'Demand Stage 2'!TN23</f>
        <v>0</v>
      </c>
      <c r="TO24">
        <f>'Demand Stage 2'!TO23</f>
        <v>0</v>
      </c>
      <c r="TP24">
        <f>'Demand Stage 2'!TP23</f>
        <v>0</v>
      </c>
      <c r="TQ24">
        <f>'Demand Stage 2'!TQ23</f>
        <v>0</v>
      </c>
      <c r="TR24">
        <f>'Demand Stage 2'!TR23</f>
        <v>0</v>
      </c>
      <c r="TS24">
        <f>'Demand Stage 2'!TS23</f>
        <v>0</v>
      </c>
      <c r="TT24">
        <f>'Demand Stage 2'!TT23</f>
        <v>0</v>
      </c>
      <c r="TU24">
        <f>'Demand Stage 2'!TU23</f>
        <v>0</v>
      </c>
      <c r="TV24">
        <f>'Demand Stage 2'!TV23</f>
        <v>0</v>
      </c>
      <c r="TW24">
        <f>'Demand Stage 2'!TW23</f>
        <v>0</v>
      </c>
      <c r="TX24">
        <f>'Demand Stage 2'!TX23</f>
        <v>0</v>
      </c>
      <c r="TY24">
        <f>'Demand Stage 2'!TY23</f>
        <v>0</v>
      </c>
      <c r="TZ24">
        <f>'Demand Stage 2'!TZ23</f>
        <v>0</v>
      </c>
      <c r="UA24">
        <f>'Demand Stage 2'!UA23</f>
        <v>0</v>
      </c>
      <c r="UB24">
        <f>'Demand Stage 2'!UB23</f>
        <v>0</v>
      </c>
      <c r="UC24">
        <f>'Demand Stage 2'!UC23</f>
        <v>0</v>
      </c>
      <c r="UD24">
        <f>'Demand Stage 2'!UD23</f>
        <v>0</v>
      </c>
      <c r="UE24">
        <f>'Demand Stage 2'!UE23</f>
        <v>0</v>
      </c>
      <c r="UF24">
        <f>'Demand Stage 2'!UF23</f>
        <v>0</v>
      </c>
      <c r="UG24">
        <f>'Demand Stage 2'!UG23</f>
        <v>0</v>
      </c>
      <c r="UH24">
        <f>'Demand Stage 2'!UH23</f>
        <v>0</v>
      </c>
      <c r="UI24">
        <f>'Demand Stage 2'!UI23</f>
        <v>0</v>
      </c>
      <c r="UJ24">
        <f>'Demand Stage 2'!UJ23</f>
        <v>0</v>
      </c>
      <c r="UK24">
        <f>'Demand Stage 2'!UK23</f>
        <v>0</v>
      </c>
      <c r="UL24">
        <f>'Demand Stage 2'!UL23</f>
        <v>0</v>
      </c>
      <c r="UM24">
        <f>'Demand Stage 2'!UM23</f>
        <v>0</v>
      </c>
      <c r="UN24">
        <f>'Demand Stage 2'!UN23</f>
        <v>0</v>
      </c>
      <c r="UO24">
        <f>'Demand Stage 2'!UO23</f>
        <v>0</v>
      </c>
      <c r="UP24">
        <f>'Demand Stage 2'!UP23</f>
        <v>0</v>
      </c>
      <c r="UQ24">
        <f>'Demand Stage 2'!UQ23</f>
        <v>0</v>
      </c>
      <c r="UR24">
        <f>'Demand Stage 2'!UR23</f>
        <v>0</v>
      </c>
      <c r="US24">
        <f>'Demand Stage 2'!US23</f>
        <v>0</v>
      </c>
      <c r="UT24">
        <f>'Demand Stage 2'!UT23</f>
        <v>0</v>
      </c>
      <c r="UU24">
        <f>'Demand Stage 2'!UU23</f>
        <v>0</v>
      </c>
      <c r="UV24">
        <f>'Demand Stage 2'!UV23</f>
        <v>0</v>
      </c>
      <c r="UW24">
        <f>'Demand Stage 2'!UW23</f>
        <v>0</v>
      </c>
      <c r="UX24">
        <f>'Demand Stage 2'!UX23</f>
        <v>0</v>
      </c>
      <c r="UY24">
        <f>'Demand Stage 2'!UY23</f>
        <v>0</v>
      </c>
      <c r="UZ24">
        <f>'Demand Stage 2'!UZ23</f>
        <v>0</v>
      </c>
      <c r="VA24">
        <f>'Demand Stage 2'!VA23</f>
        <v>0</v>
      </c>
      <c r="VB24">
        <f>'Demand Stage 2'!VB23</f>
        <v>0</v>
      </c>
      <c r="VC24">
        <f>'Demand Stage 2'!VC23</f>
        <v>0</v>
      </c>
      <c r="VD24">
        <f>'Demand Stage 2'!VD23</f>
        <v>0</v>
      </c>
      <c r="VE24">
        <f>'Demand Stage 2'!VE23</f>
        <v>0</v>
      </c>
      <c r="VF24">
        <f>'Demand Stage 2'!VF23</f>
        <v>0</v>
      </c>
      <c r="VG24">
        <f>'Demand Stage 2'!VG23</f>
        <v>0</v>
      </c>
      <c r="VH24">
        <f>'Demand Stage 2'!VH23</f>
        <v>0</v>
      </c>
      <c r="VI24">
        <f>'Demand Stage 2'!VI23</f>
        <v>0</v>
      </c>
      <c r="VJ24">
        <f>'Demand Stage 2'!VJ23</f>
        <v>0</v>
      </c>
      <c r="VK24">
        <f>'Demand Stage 2'!VK23</f>
        <v>0</v>
      </c>
      <c r="VL24">
        <f>'Demand Stage 2'!VL23</f>
        <v>0</v>
      </c>
      <c r="VM24">
        <f>'Demand Stage 2'!VM23</f>
        <v>0</v>
      </c>
      <c r="VN24">
        <f>'Demand Stage 2'!VN23</f>
        <v>0</v>
      </c>
      <c r="VO24">
        <f>'Demand Stage 2'!VO23</f>
        <v>0</v>
      </c>
      <c r="VP24">
        <f>'Demand Stage 2'!VP23</f>
        <v>0</v>
      </c>
      <c r="VQ24">
        <f>'Demand Stage 2'!VQ23</f>
        <v>0</v>
      </c>
      <c r="VR24">
        <f>'Demand Stage 2'!VR23</f>
        <v>0</v>
      </c>
      <c r="VS24">
        <f>'Demand Stage 2'!VS23</f>
        <v>0</v>
      </c>
      <c r="VT24">
        <f>'Demand Stage 2'!VT23</f>
        <v>0</v>
      </c>
      <c r="VU24">
        <f>'Demand Stage 2'!VU23</f>
        <v>0</v>
      </c>
      <c r="VV24">
        <f>'Demand Stage 2'!VV23</f>
        <v>0</v>
      </c>
      <c r="VW24">
        <f>'Demand Stage 2'!VW23</f>
        <v>0</v>
      </c>
      <c r="VX24">
        <f>'Demand Stage 2'!VX23</f>
        <v>0</v>
      </c>
      <c r="VY24">
        <f>'Demand Stage 2'!VY23</f>
        <v>0</v>
      </c>
      <c r="VZ24">
        <f>'Demand Stage 2'!VZ23</f>
        <v>0</v>
      </c>
      <c r="WA24">
        <f>'Demand Stage 2'!WA23</f>
        <v>0</v>
      </c>
      <c r="WB24">
        <f>'Demand Stage 2'!WB23</f>
        <v>0</v>
      </c>
      <c r="WC24">
        <f>'Demand Stage 2'!WC23</f>
        <v>0</v>
      </c>
      <c r="WD24">
        <f>'Demand Stage 2'!WD23</f>
        <v>0</v>
      </c>
      <c r="WE24">
        <f>'Demand Stage 2'!WE23</f>
        <v>0</v>
      </c>
      <c r="WF24">
        <f>'Demand Stage 2'!WF23</f>
        <v>0</v>
      </c>
      <c r="WG24">
        <f>'Demand Stage 2'!WG23</f>
        <v>0</v>
      </c>
      <c r="WH24">
        <f>'Demand Stage 2'!WH23</f>
        <v>0</v>
      </c>
      <c r="WI24">
        <f>'Demand Stage 2'!WI23</f>
        <v>0</v>
      </c>
      <c r="WJ24">
        <f>'Demand Stage 2'!WJ23</f>
        <v>0</v>
      </c>
      <c r="WK24">
        <f>'Demand Stage 2'!WK23</f>
        <v>0</v>
      </c>
      <c r="WL24">
        <f>'Demand Stage 2'!WL23</f>
        <v>0</v>
      </c>
      <c r="WM24">
        <f>'Demand Stage 2'!WM23</f>
        <v>0</v>
      </c>
      <c r="WN24">
        <f>'Demand Stage 2'!WN23</f>
        <v>0</v>
      </c>
      <c r="WO24">
        <f>'Demand Stage 2'!WO23</f>
        <v>0</v>
      </c>
      <c r="WP24">
        <f>'Demand Stage 2'!WP23</f>
        <v>0</v>
      </c>
      <c r="WQ24">
        <f>'Demand Stage 2'!WQ23</f>
        <v>0</v>
      </c>
      <c r="WR24">
        <f>'Demand Stage 2'!WR23</f>
        <v>0</v>
      </c>
      <c r="WS24">
        <f>'Demand Stage 2'!WS23</f>
        <v>0</v>
      </c>
      <c r="WT24">
        <f>'Demand Stage 2'!WT23</f>
        <v>0</v>
      </c>
      <c r="WU24">
        <f>'Demand Stage 2'!WU23</f>
        <v>0</v>
      </c>
      <c r="WV24">
        <f>'Demand Stage 2'!WV23</f>
        <v>0</v>
      </c>
      <c r="WW24">
        <f>'Demand Stage 2'!WW23</f>
        <v>0</v>
      </c>
      <c r="WX24">
        <f>'Demand Stage 2'!WX23</f>
        <v>0</v>
      </c>
      <c r="WY24">
        <f>'Demand Stage 2'!WY23</f>
        <v>0</v>
      </c>
      <c r="WZ24">
        <f>'Demand Stage 2'!WZ23</f>
        <v>0</v>
      </c>
      <c r="XA24">
        <f>'Demand Stage 2'!XA23</f>
        <v>0</v>
      </c>
      <c r="XB24">
        <f>'Demand Stage 2'!XB23</f>
        <v>0</v>
      </c>
      <c r="XC24">
        <f>'Demand Stage 2'!XC23</f>
        <v>0</v>
      </c>
      <c r="XD24">
        <f>'Demand Stage 2'!XD23</f>
        <v>0</v>
      </c>
      <c r="XE24">
        <f>'Demand Stage 2'!XE23</f>
        <v>0</v>
      </c>
      <c r="XF24">
        <f>'Demand Stage 2'!XF23</f>
        <v>0</v>
      </c>
      <c r="XG24">
        <f>'Demand Stage 2'!XG23</f>
        <v>0</v>
      </c>
      <c r="XH24">
        <f>'Demand Stage 2'!XH23</f>
        <v>0</v>
      </c>
      <c r="XI24">
        <f>'Demand Stage 2'!XI23</f>
        <v>0</v>
      </c>
      <c r="XJ24">
        <f>'Demand Stage 2'!XJ23</f>
        <v>0</v>
      </c>
      <c r="XK24">
        <f>'Demand Stage 2'!XK23</f>
        <v>0</v>
      </c>
      <c r="XL24">
        <f>'Demand Stage 2'!XL23</f>
        <v>0</v>
      </c>
      <c r="XM24">
        <f>'Demand Stage 2'!XM23</f>
        <v>0</v>
      </c>
      <c r="XN24">
        <f>'Demand Stage 2'!XN23</f>
        <v>0</v>
      </c>
      <c r="XO24">
        <f>'Demand Stage 2'!XO23</f>
        <v>0</v>
      </c>
      <c r="XP24">
        <f>'Demand Stage 2'!XP23</f>
        <v>0</v>
      </c>
      <c r="XQ24">
        <f>'Demand Stage 2'!XQ23</f>
        <v>0</v>
      </c>
      <c r="XR24">
        <f>'Demand Stage 2'!XR23</f>
        <v>0</v>
      </c>
      <c r="XS24">
        <f>'Demand Stage 2'!XS23</f>
        <v>0</v>
      </c>
      <c r="XT24">
        <f>'Demand Stage 2'!XT23</f>
        <v>0</v>
      </c>
      <c r="XU24">
        <f>'Demand Stage 2'!XU23</f>
        <v>0</v>
      </c>
      <c r="XV24">
        <f>'Demand Stage 2'!XV23</f>
        <v>0</v>
      </c>
      <c r="XW24">
        <f>'Demand Stage 2'!XW23</f>
        <v>0</v>
      </c>
      <c r="XX24">
        <f>'Demand Stage 2'!XX23</f>
        <v>0</v>
      </c>
      <c r="XY24">
        <f>'Demand Stage 2'!XY23</f>
        <v>0</v>
      </c>
      <c r="XZ24">
        <f>'Demand Stage 2'!XZ23</f>
        <v>0</v>
      </c>
      <c r="YA24">
        <f>'Demand Stage 2'!YA23</f>
        <v>0</v>
      </c>
      <c r="YB24">
        <f>'Demand Stage 2'!YB23</f>
        <v>0</v>
      </c>
      <c r="YC24">
        <f>'Demand Stage 2'!YC23</f>
        <v>0</v>
      </c>
      <c r="YD24">
        <f>'Demand Stage 2'!YD23</f>
        <v>0</v>
      </c>
      <c r="YE24">
        <f>'Demand Stage 2'!YE23</f>
        <v>0</v>
      </c>
      <c r="YF24">
        <f>'Demand Stage 2'!YF23</f>
        <v>0</v>
      </c>
      <c r="YG24">
        <f>'Demand Stage 2'!YG23</f>
        <v>0</v>
      </c>
      <c r="YH24">
        <f>'Demand Stage 2'!YH23</f>
        <v>0</v>
      </c>
      <c r="YI24">
        <f>'Demand Stage 2'!YI23</f>
        <v>0</v>
      </c>
      <c r="YJ24">
        <f>'Demand Stage 2'!YJ23</f>
        <v>0</v>
      </c>
      <c r="YK24">
        <f>'Demand Stage 2'!YK23</f>
        <v>0</v>
      </c>
      <c r="YL24">
        <f>'Demand Stage 2'!YL23</f>
        <v>0</v>
      </c>
      <c r="YM24">
        <f>'Demand Stage 2'!YM23</f>
        <v>0</v>
      </c>
      <c r="YN24">
        <f>'Demand Stage 2'!YN23</f>
        <v>0</v>
      </c>
      <c r="YO24">
        <f>'Demand Stage 2'!YO23</f>
        <v>0</v>
      </c>
      <c r="YP24">
        <f>'Demand Stage 2'!YP23</f>
        <v>0</v>
      </c>
      <c r="YQ24">
        <f>'Demand Stage 2'!YQ23</f>
        <v>0</v>
      </c>
      <c r="YR24">
        <f>'Demand Stage 2'!YR23</f>
        <v>0</v>
      </c>
      <c r="YS24">
        <f>'Demand Stage 2'!YS23</f>
        <v>0</v>
      </c>
      <c r="YT24">
        <f>'Demand Stage 2'!YT23</f>
        <v>0</v>
      </c>
      <c r="YU24">
        <f>'Demand Stage 2'!YU23</f>
        <v>0</v>
      </c>
      <c r="YV24">
        <f>'Demand Stage 2'!YV23</f>
        <v>0</v>
      </c>
      <c r="YW24">
        <f>'Demand Stage 2'!YW23</f>
        <v>0</v>
      </c>
      <c r="YX24">
        <f>'Demand Stage 2'!YX23</f>
        <v>0</v>
      </c>
      <c r="YY24">
        <f>'Demand Stage 2'!YY23</f>
        <v>0</v>
      </c>
      <c r="YZ24">
        <f>'Demand Stage 2'!YZ23</f>
        <v>0</v>
      </c>
      <c r="ZA24">
        <f>'Demand Stage 2'!ZA23</f>
        <v>0</v>
      </c>
      <c r="ZB24">
        <f>'Demand Stage 2'!ZB23</f>
        <v>0</v>
      </c>
      <c r="ZC24">
        <f>'Demand Stage 2'!ZC23</f>
        <v>0</v>
      </c>
      <c r="ZD24">
        <f>'Demand Stage 2'!ZD23</f>
        <v>0</v>
      </c>
      <c r="ZE24">
        <f>'Demand Stage 2'!ZE23</f>
        <v>0</v>
      </c>
      <c r="ZF24">
        <f>'Demand Stage 2'!ZF23</f>
        <v>0</v>
      </c>
      <c r="ZG24">
        <f>'Demand Stage 2'!ZG23</f>
        <v>0</v>
      </c>
      <c r="ZH24">
        <f>'Demand Stage 2'!ZH23</f>
        <v>0</v>
      </c>
      <c r="ZI24">
        <f>'Demand Stage 2'!ZI23</f>
        <v>0</v>
      </c>
      <c r="ZJ24">
        <f>'Demand Stage 2'!ZJ23</f>
        <v>0</v>
      </c>
      <c r="ZK24">
        <f>'Demand Stage 2'!ZK23</f>
        <v>0</v>
      </c>
      <c r="ZL24">
        <f>'Demand Stage 2'!ZL23</f>
        <v>0</v>
      </c>
      <c r="ZM24">
        <f>'Demand Stage 2'!ZM23</f>
        <v>0</v>
      </c>
      <c r="ZN24">
        <f>'Demand Stage 2'!ZN23</f>
        <v>0</v>
      </c>
      <c r="ZO24">
        <f>'Demand Stage 2'!ZO23</f>
        <v>0</v>
      </c>
      <c r="ZP24">
        <f>'Demand Stage 2'!ZP23</f>
        <v>0</v>
      </c>
      <c r="ZQ24">
        <f>'Demand Stage 2'!ZQ23</f>
        <v>0</v>
      </c>
      <c r="ZR24">
        <f>'Demand Stage 2'!ZR23</f>
        <v>0</v>
      </c>
      <c r="ZS24">
        <f>'Demand Stage 2'!ZS23</f>
        <v>0</v>
      </c>
      <c r="ZT24">
        <f>'Demand Stage 2'!ZT23</f>
        <v>0</v>
      </c>
      <c r="ZU24">
        <f>'Demand Stage 2'!ZU23</f>
        <v>0</v>
      </c>
      <c r="ZV24">
        <f>'Demand Stage 2'!ZV23</f>
        <v>0</v>
      </c>
      <c r="ZW24">
        <f>'Demand Stage 2'!ZW23</f>
        <v>0</v>
      </c>
      <c r="ZX24">
        <f>'Demand Stage 2'!ZX23</f>
        <v>0</v>
      </c>
      <c r="ZY24">
        <f>'Demand Stage 2'!ZY23</f>
        <v>0</v>
      </c>
      <c r="ZZ24">
        <f>'Demand Stage 2'!ZZ23</f>
        <v>0</v>
      </c>
      <c r="AAA24">
        <f>'Demand Stage 2'!AAA23</f>
        <v>0</v>
      </c>
      <c r="AAB24">
        <f>'Demand Stage 2'!AAB23</f>
        <v>0</v>
      </c>
      <c r="AAC24">
        <f>'Demand Stage 2'!AAC23</f>
        <v>0</v>
      </c>
      <c r="AAD24">
        <f t="shared" si="33"/>
        <v>0</v>
      </c>
      <c r="AAE24">
        <f t="shared" si="66"/>
        <v>0</v>
      </c>
      <c r="AAF24">
        <f t="shared" si="67"/>
        <v>0</v>
      </c>
      <c r="AAG24">
        <f t="shared" si="68"/>
        <v>0</v>
      </c>
      <c r="AAH24">
        <f t="shared" si="69"/>
        <v>0</v>
      </c>
      <c r="AAI24">
        <f t="shared" si="70"/>
        <v>0</v>
      </c>
      <c r="AAJ24">
        <f t="shared" si="71"/>
        <v>0</v>
      </c>
      <c r="AAK24">
        <f t="shared" si="72"/>
        <v>0</v>
      </c>
      <c r="AAL24">
        <f t="shared" si="73"/>
        <v>0</v>
      </c>
      <c r="AAM24">
        <f t="shared" si="74"/>
        <v>0</v>
      </c>
      <c r="AAN24">
        <f t="shared" si="75"/>
        <v>0</v>
      </c>
      <c r="AAO24">
        <f t="shared" si="76"/>
        <v>0</v>
      </c>
      <c r="AAP24">
        <f t="shared" si="77"/>
        <v>0</v>
      </c>
      <c r="AAQ24">
        <f t="shared" si="78"/>
        <v>0</v>
      </c>
      <c r="AAR24">
        <f t="shared" si="79"/>
        <v>0</v>
      </c>
      <c r="AAS24">
        <f t="shared" si="80"/>
        <v>0</v>
      </c>
      <c r="AAT24">
        <f t="shared" si="81"/>
        <v>0</v>
      </c>
      <c r="AAU24">
        <f t="shared" si="82"/>
        <v>0</v>
      </c>
      <c r="AAV24">
        <f t="shared" si="83"/>
        <v>0</v>
      </c>
      <c r="AAW24">
        <f t="shared" si="84"/>
        <v>0</v>
      </c>
      <c r="AAX24">
        <f t="shared" si="85"/>
        <v>0</v>
      </c>
      <c r="AAY24">
        <f t="shared" si="86"/>
        <v>0</v>
      </c>
      <c r="AAZ24">
        <f t="shared" si="87"/>
        <v>0</v>
      </c>
      <c r="ABA24">
        <f t="shared" si="88"/>
        <v>0</v>
      </c>
      <c r="ABB24">
        <f t="shared" si="89"/>
        <v>0</v>
      </c>
      <c r="ABC24">
        <f t="shared" si="90"/>
        <v>0</v>
      </c>
      <c r="ABD24">
        <f t="shared" si="91"/>
        <v>0</v>
      </c>
      <c r="ABE24">
        <f t="shared" si="92"/>
        <v>0</v>
      </c>
      <c r="ABF24">
        <f t="shared" si="93"/>
        <v>0</v>
      </c>
      <c r="ABG24">
        <f t="shared" si="94"/>
        <v>0</v>
      </c>
      <c r="ABH24">
        <f t="shared" si="95"/>
        <v>0</v>
      </c>
      <c r="ABI24">
        <f t="shared" si="96"/>
        <v>0</v>
      </c>
      <c r="ABJ24">
        <f t="shared" si="97"/>
        <v>0</v>
      </c>
      <c r="ABK24">
        <f t="shared" si="98"/>
        <v>0</v>
      </c>
      <c r="ABL24">
        <f t="shared" si="99"/>
        <v>0</v>
      </c>
      <c r="ABM24">
        <f t="shared" si="100"/>
        <v>0</v>
      </c>
      <c r="ABN24">
        <f t="shared" si="101"/>
        <v>0</v>
      </c>
      <c r="ABO24">
        <f t="shared" si="102"/>
        <v>0</v>
      </c>
      <c r="ABP24">
        <f t="shared" si="103"/>
        <v>0</v>
      </c>
      <c r="ABQ24">
        <f t="shared" si="104"/>
        <v>0</v>
      </c>
      <c r="ABR24">
        <f t="shared" si="105"/>
        <v>0</v>
      </c>
      <c r="ABS24">
        <f t="shared" si="106"/>
        <v>0</v>
      </c>
      <c r="ABT24">
        <f t="shared" si="107"/>
        <v>0</v>
      </c>
      <c r="ABU24">
        <f t="shared" si="108"/>
        <v>0</v>
      </c>
      <c r="ABV24">
        <f t="shared" si="109"/>
        <v>0</v>
      </c>
      <c r="ABW24">
        <f t="shared" si="110"/>
        <v>0</v>
      </c>
      <c r="ABX24">
        <f t="shared" si="111"/>
        <v>0</v>
      </c>
      <c r="ABY24">
        <f t="shared" si="112"/>
        <v>0</v>
      </c>
      <c r="ABZ24">
        <f t="shared" si="113"/>
        <v>0</v>
      </c>
      <c r="ACA24">
        <f t="shared" si="114"/>
        <v>0</v>
      </c>
      <c r="ACB24">
        <f t="shared" si="115"/>
        <v>0</v>
      </c>
      <c r="ACC24">
        <f t="shared" si="116"/>
        <v>0</v>
      </c>
      <c r="ACD24">
        <f t="shared" si="117"/>
        <v>0</v>
      </c>
      <c r="ACE24">
        <f t="shared" si="118"/>
        <v>0</v>
      </c>
      <c r="ACF24">
        <f t="shared" si="119"/>
        <v>0</v>
      </c>
      <c r="ACG24">
        <f t="shared" si="120"/>
        <v>0</v>
      </c>
      <c r="ACH24">
        <f t="shared" si="121"/>
        <v>0</v>
      </c>
      <c r="ACI24">
        <f t="shared" si="122"/>
        <v>0</v>
      </c>
      <c r="ACJ24">
        <f t="shared" si="123"/>
        <v>0</v>
      </c>
      <c r="ACK24">
        <f t="shared" si="124"/>
        <v>0</v>
      </c>
      <c r="ACL24">
        <f t="shared" si="125"/>
        <v>0</v>
      </c>
      <c r="ACM24">
        <f t="shared" si="126"/>
        <v>0</v>
      </c>
      <c r="ACN24">
        <f t="shared" si="127"/>
        <v>0</v>
      </c>
      <c r="ACO24">
        <f t="shared" si="128"/>
        <v>0</v>
      </c>
      <c r="ACP24">
        <f t="shared" si="34"/>
        <v>0</v>
      </c>
      <c r="ACQ24">
        <f t="shared" si="129"/>
        <v>0</v>
      </c>
      <c r="ACR24">
        <f t="shared" si="130"/>
        <v>0</v>
      </c>
      <c r="ACS24">
        <f t="shared" si="131"/>
        <v>0</v>
      </c>
      <c r="ACT24">
        <f t="shared" si="132"/>
        <v>0</v>
      </c>
      <c r="ACU24">
        <f t="shared" si="133"/>
        <v>0</v>
      </c>
      <c r="ACV24">
        <f t="shared" si="134"/>
        <v>0</v>
      </c>
      <c r="ACW24">
        <f t="shared" si="135"/>
        <v>0</v>
      </c>
      <c r="ACX24">
        <f t="shared" si="136"/>
        <v>0</v>
      </c>
      <c r="ACY24">
        <f t="shared" si="137"/>
        <v>0</v>
      </c>
      <c r="ACZ24">
        <f t="shared" si="138"/>
        <v>0</v>
      </c>
      <c r="ADA24">
        <f t="shared" si="139"/>
        <v>0</v>
      </c>
      <c r="ADB24">
        <f t="shared" si="140"/>
        <v>0</v>
      </c>
      <c r="ADC24">
        <f t="shared" si="141"/>
        <v>0</v>
      </c>
      <c r="ADD24">
        <f t="shared" si="142"/>
        <v>0</v>
      </c>
      <c r="ADE24">
        <f t="shared" si="143"/>
        <v>0</v>
      </c>
      <c r="ADF24">
        <f t="shared" si="144"/>
        <v>0</v>
      </c>
      <c r="ADG24">
        <f t="shared" si="145"/>
        <v>0</v>
      </c>
      <c r="ADH24">
        <f t="shared" si="146"/>
        <v>0</v>
      </c>
      <c r="ADI24">
        <f t="shared" si="147"/>
        <v>0</v>
      </c>
      <c r="ADJ24">
        <f t="shared" si="148"/>
        <v>0</v>
      </c>
      <c r="ADK24">
        <f t="shared" si="149"/>
        <v>0</v>
      </c>
      <c r="ADL24">
        <f t="shared" si="150"/>
        <v>0</v>
      </c>
      <c r="ADM24">
        <f t="shared" si="151"/>
        <v>0</v>
      </c>
      <c r="ADN24">
        <f t="shared" si="152"/>
        <v>0</v>
      </c>
      <c r="ADO24">
        <f t="shared" si="153"/>
        <v>0</v>
      </c>
      <c r="ADP24">
        <f t="shared" si="154"/>
        <v>0</v>
      </c>
      <c r="ADQ24">
        <f t="shared" si="155"/>
        <v>0</v>
      </c>
      <c r="ADR24">
        <f t="shared" si="156"/>
        <v>0</v>
      </c>
      <c r="ADS24">
        <f t="shared" si="157"/>
        <v>0</v>
      </c>
      <c r="ADT24">
        <f t="shared" si="158"/>
        <v>0</v>
      </c>
      <c r="ADU24">
        <f t="shared" si="159"/>
        <v>0</v>
      </c>
      <c r="ADV24">
        <f t="shared" si="160"/>
        <v>0</v>
      </c>
      <c r="ADW24">
        <f t="shared" si="161"/>
        <v>0</v>
      </c>
      <c r="ADX24">
        <f t="shared" si="162"/>
        <v>0</v>
      </c>
      <c r="ADY24">
        <f t="shared" si="163"/>
        <v>0</v>
      </c>
      <c r="ADZ24">
        <f t="shared" si="164"/>
        <v>0</v>
      </c>
      <c r="AEA24">
        <f t="shared" si="165"/>
        <v>0</v>
      </c>
      <c r="AEB24">
        <f t="shared" si="166"/>
        <v>0</v>
      </c>
      <c r="AEC24">
        <f t="shared" si="167"/>
        <v>0</v>
      </c>
      <c r="AED24">
        <f t="shared" si="168"/>
        <v>0</v>
      </c>
      <c r="AEE24">
        <f t="shared" si="169"/>
        <v>0</v>
      </c>
      <c r="AEF24">
        <f t="shared" si="170"/>
        <v>0</v>
      </c>
      <c r="AEG24">
        <f t="shared" si="171"/>
        <v>0</v>
      </c>
      <c r="AEH24">
        <f t="shared" si="172"/>
        <v>0</v>
      </c>
      <c r="AEI24">
        <f t="shared" si="173"/>
        <v>0</v>
      </c>
      <c r="AEJ24">
        <f t="shared" si="174"/>
        <v>0</v>
      </c>
      <c r="AEK24">
        <f t="shared" si="175"/>
        <v>0</v>
      </c>
      <c r="AEL24">
        <f t="shared" si="176"/>
        <v>0</v>
      </c>
      <c r="AEM24">
        <f t="shared" si="177"/>
        <v>0</v>
      </c>
      <c r="AEN24">
        <f t="shared" si="178"/>
        <v>0</v>
      </c>
      <c r="AEO24">
        <f t="shared" si="179"/>
        <v>0</v>
      </c>
      <c r="AEP24">
        <f t="shared" si="180"/>
        <v>0</v>
      </c>
      <c r="AEQ24">
        <f t="shared" si="181"/>
        <v>0</v>
      </c>
      <c r="AER24">
        <f t="shared" si="182"/>
        <v>0</v>
      </c>
      <c r="AES24">
        <f t="shared" si="183"/>
        <v>0</v>
      </c>
      <c r="AET24">
        <f t="shared" si="184"/>
        <v>0</v>
      </c>
      <c r="AEU24">
        <f t="shared" si="185"/>
        <v>0</v>
      </c>
      <c r="AEV24">
        <f t="shared" si="186"/>
        <v>0</v>
      </c>
      <c r="AEW24">
        <f t="shared" si="187"/>
        <v>0</v>
      </c>
      <c r="AEX24">
        <f t="shared" si="188"/>
        <v>0</v>
      </c>
      <c r="AEY24">
        <f t="shared" si="189"/>
        <v>0</v>
      </c>
      <c r="AEZ24">
        <f t="shared" si="190"/>
        <v>0</v>
      </c>
      <c r="AFA24">
        <f t="shared" si="191"/>
        <v>0</v>
      </c>
      <c r="AFB24">
        <f t="shared" si="35"/>
        <v>0</v>
      </c>
      <c r="AFC24">
        <f t="shared" si="192"/>
        <v>0</v>
      </c>
      <c r="AFD24">
        <f t="shared" si="193"/>
        <v>0</v>
      </c>
      <c r="AFE24">
        <f t="shared" si="194"/>
        <v>0</v>
      </c>
      <c r="AFF24">
        <f t="shared" si="195"/>
        <v>0</v>
      </c>
      <c r="AFG24">
        <f t="shared" si="196"/>
        <v>0</v>
      </c>
      <c r="AFH24">
        <f t="shared" si="197"/>
        <v>0</v>
      </c>
      <c r="AFI24">
        <f t="shared" si="198"/>
        <v>0</v>
      </c>
      <c r="AFJ24">
        <f t="shared" si="199"/>
        <v>0</v>
      </c>
      <c r="AFK24">
        <f t="shared" si="200"/>
        <v>0</v>
      </c>
      <c r="AFL24">
        <f t="shared" si="201"/>
        <v>0</v>
      </c>
      <c r="AFM24">
        <f t="shared" si="202"/>
        <v>0</v>
      </c>
      <c r="AFN24">
        <f t="shared" si="203"/>
        <v>0</v>
      </c>
      <c r="AFO24">
        <f t="shared" si="204"/>
        <v>0</v>
      </c>
      <c r="AFP24">
        <f t="shared" si="205"/>
        <v>0</v>
      </c>
      <c r="AFQ24">
        <f t="shared" si="206"/>
        <v>0</v>
      </c>
      <c r="AFR24">
        <f t="shared" si="207"/>
        <v>0</v>
      </c>
      <c r="AFS24">
        <f t="shared" si="208"/>
        <v>0</v>
      </c>
      <c r="AFT24">
        <f t="shared" si="209"/>
        <v>0</v>
      </c>
      <c r="AFU24">
        <f t="shared" si="210"/>
        <v>0</v>
      </c>
      <c r="AFV24">
        <f t="shared" si="211"/>
        <v>0</v>
      </c>
      <c r="AFW24">
        <f t="shared" si="212"/>
        <v>0</v>
      </c>
      <c r="AFX24">
        <f t="shared" si="213"/>
        <v>0</v>
      </c>
      <c r="AFY24">
        <f t="shared" si="214"/>
        <v>0</v>
      </c>
      <c r="AFZ24">
        <f t="shared" si="215"/>
        <v>0</v>
      </c>
      <c r="AGA24">
        <f t="shared" si="216"/>
        <v>0</v>
      </c>
      <c r="AGB24">
        <f t="shared" si="217"/>
        <v>0</v>
      </c>
      <c r="AGC24">
        <f t="shared" si="218"/>
        <v>0</v>
      </c>
      <c r="AGD24">
        <f t="shared" si="219"/>
        <v>0</v>
      </c>
      <c r="AGE24">
        <f t="shared" si="220"/>
        <v>0</v>
      </c>
      <c r="AGF24">
        <f t="shared" si="221"/>
        <v>0</v>
      </c>
      <c r="AGG24">
        <f t="shared" si="222"/>
        <v>0</v>
      </c>
      <c r="AGH24">
        <f t="shared" si="223"/>
        <v>0</v>
      </c>
      <c r="AGI24">
        <f t="shared" si="224"/>
        <v>0</v>
      </c>
      <c r="AGJ24">
        <f t="shared" si="225"/>
        <v>0</v>
      </c>
      <c r="AGK24">
        <f t="shared" si="226"/>
        <v>0</v>
      </c>
      <c r="AGL24">
        <f t="shared" si="227"/>
        <v>0</v>
      </c>
      <c r="AGM24">
        <f t="shared" si="228"/>
        <v>0</v>
      </c>
      <c r="AGN24">
        <f t="shared" si="229"/>
        <v>0</v>
      </c>
      <c r="AGO24">
        <f t="shared" si="230"/>
        <v>0</v>
      </c>
      <c r="AGP24">
        <f t="shared" si="231"/>
        <v>0</v>
      </c>
      <c r="AGQ24">
        <f t="shared" si="232"/>
        <v>0</v>
      </c>
      <c r="AGR24">
        <f t="shared" si="233"/>
        <v>0</v>
      </c>
      <c r="AGS24">
        <f t="shared" si="234"/>
        <v>0</v>
      </c>
      <c r="AGT24">
        <f t="shared" si="235"/>
        <v>0</v>
      </c>
      <c r="AGU24">
        <f t="shared" si="236"/>
        <v>0</v>
      </c>
      <c r="AGV24">
        <f t="shared" si="237"/>
        <v>0</v>
      </c>
      <c r="AGW24">
        <f t="shared" si="238"/>
        <v>0</v>
      </c>
      <c r="AGX24">
        <f t="shared" si="239"/>
        <v>0</v>
      </c>
      <c r="AGY24">
        <f t="shared" si="240"/>
        <v>0</v>
      </c>
      <c r="AGZ24">
        <f t="shared" si="241"/>
        <v>0</v>
      </c>
      <c r="AHA24">
        <f t="shared" si="242"/>
        <v>0</v>
      </c>
      <c r="AHB24">
        <f t="shared" si="243"/>
        <v>0</v>
      </c>
      <c r="AHC24">
        <f t="shared" si="244"/>
        <v>0</v>
      </c>
      <c r="AHD24">
        <f t="shared" si="245"/>
        <v>0</v>
      </c>
      <c r="AHE24">
        <f t="shared" si="246"/>
        <v>0</v>
      </c>
      <c r="AHF24">
        <f t="shared" si="247"/>
        <v>0</v>
      </c>
      <c r="AHG24">
        <f t="shared" si="248"/>
        <v>0</v>
      </c>
      <c r="AHH24">
        <f t="shared" si="249"/>
        <v>0</v>
      </c>
      <c r="AHI24">
        <f t="shared" si="250"/>
        <v>0</v>
      </c>
      <c r="AHJ24">
        <f t="shared" si="251"/>
        <v>0</v>
      </c>
      <c r="AHK24">
        <f t="shared" si="252"/>
        <v>0</v>
      </c>
      <c r="AHL24">
        <f t="shared" si="253"/>
        <v>0</v>
      </c>
      <c r="AHM24">
        <f t="shared" si="254"/>
        <v>0</v>
      </c>
      <c r="AHN24">
        <f t="shared" si="36"/>
        <v>0</v>
      </c>
      <c r="AHO24">
        <f t="shared" si="255"/>
        <v>0</v>
      </c>
      <c r="AHP24">
        <f t="shared" si="256"/>
        <v>0</v>
      </c>
      <c r="AHQ24">
        <f t="shared" si="257"/>
        <v>0</v>
      </c>
      <c r="AHR24">
        <f t="shared" si="258"/>
        <v>0</v>
      </c>
      <c r="AHS24">
        <f t="shared" si="259"/>
        <v>0</v>
      </c>
      <c r="AHT24">
        <f t="shared" si="260"/>
        <v>0</v>
      </c>
      <c r="AHU24">
        <f t="shared" si="261"/>
        <v>0</v>
      </c>
      <c r="AHV24">
        <f t="shared" si="262"/>
        <v>0</v>
      </c>
      <c r="AHW24">
        <f t="shared" si="263"/>
        <v>0</v>
      </c>
      <c r="AHX24">
        <f t="shared" si="264"/>
        <v>0</v>
      </c>
      <c r="AHY24">
        <f t="shared" si="265"/>
        <v>0</v>
      </c>
      <c r="AHZ24">
        <f t="shared" si="266"/>
        <v>0</v>
      </c>
      <c r="AIA24">
        <f t="shared" si="267"/>
        <v>0</v>
      </c>
      <c r="AIB24">
        <f t="shared" si="268"/>
        <v>0</v>
      </c>
      <c r="AIC24">
        <f t="shared" si="269"/>
        <v>0</v>
      </c>
      <c r="AID24">
        <f t="shared" si="270"/>
        <v>0</v>
      </c>
      <c r="AIE24">
        <f t="shared" si="271"/>
        <v>0</v>
      </c>
      <c r="AIF24">
        <f t="shared" si="272"/>
        <v>0</v>
      </c>
      <c r="AIG24">
        <f t="shared" si="273"/>
        <v>0</v>
      </c>
      <c r="AIH24">
        <f t="shared" si="274"/>
        <v>0</v>
      </c>
      <c r="AII24">
        <f t="shared" si="275"/>
        <v>0</v>
      </c>
      <c r="AIJ24">
        <f t="shared" si="276"/>
        <v>0</v>
      </c>
      <c r="AIK24">
        <f t="shared" si="277"/>
        <v>0</v>
      </c>
      <c r="AIL24">
        <f t="shared" si="278"/>
        <v>0</v>
      </c>
      <c r="AIM24">
        <f t="shared" si="279"/>
        <v>0</v>
      </c>
      <c r="AIN24">
        <f t="shared" si="280"/>
        <v>0</v>
      </c>
      <c r="AIO24">
        <f t="shared" si="281"/>
        <v>0</v>
      </c>
      <c r="AIP24">
        <f t="shared" si="282"/>
        <v>0</v>
      </c>
      <c r="AIQ24">
        <f t="shared" si="283"/>
        <v>0</v>
      </c>
      <c r="AIR24">
        <f t="shared" si="284"/>
        <v>0</v>
      </c>
      <c r="AIS24">
        <f t="shared" si="285"/>
        <v>0</v>
      </c>
      <c r="AIT24">
        <f t="shared" si="286"/>
        <v>0</v>
      </c>
      <c r="AIU24">
        <f t="shared" si="287"/>
        <v>0</v>
      </c>
      <c r="AIV24">
        <f t="shared" si="288"/>
        <v>0</v>
      </c>
      <c r="AIW24">
        <f t="shared" si="289"/>
        <v>0</v>
      </c>
      <c r="AIX24">
        <f t="shared" si="290"/>
        <v>0</v>
      </c>
      <c r="AIY24">
        <f t="shared" si="291"/>
        <v>0</v>
      </c>
      <c r="AIZ24">
        <f t="shared" si="292"/>
        <v>0</v>
      </c>
      <c r="AJA24">
        <f t="shared" si="293"/>
        <v>0</v>
      </c>
      <c r="AJB24">
        <f t="shared" si="294"/>
        <v>0</v>
      </c>
      <c r="AJC24">
        <f t="shared" si="295"/>
        <v>0</v>
      </c>
      <c r="AJD24">
        <f t="shared" si="296"/>
        <v>0</v>
      </c>
      <c r="AJE24">
        <f t="shared" si="297"/>
        <v>0</v>
      </c>
      <c r="AJF24">
        <f t="shared" si="298"/>
        <v>0</v>
      </c>
      <c r="AJG24">
        <f t="shared" si="299"/>
        <v>0</v>
      </c>
      <c r="AJH24">
        <f t="shared" si="300"/>
        <v>0</v>
      </c>
      <c r="AJI24">
        <f t="shared" si="301"/>
        <v>0</v>
      </c>
      <c r="AJJ24">
        <f t="shared" si="302"/>
        <v>0</v>
      </c>
      <c r="AJK24">
        <f t="shared" si="303"/>
        <v>0</v>
      </c>
      <c r="AJL24">
        <f t="shared" si="304"/>
        <v>0</v>
      </c>
      <c r="AJM24">
        <f t="shared" si="305"/>
        <v>0</v>
      </c>
      <c r="AJN24">
        <f t="shared" si="306"/>
        <v>0</v>
      </c>
      <c r="AJO24">
        <f t="shared" si="307"/>
        <v>0</v>
      </c>
      <c r="AJP24">
        <f t="shared" si="308"/>
        <v>0</v>
      </c>
      <c r="AJQ24">
        <f t="shared" si="309"/>
        <v>0</v>
      </c>
      <c r="AJR24">
        <f t="shared" si="310"/>
        <v>0</v>
      </c>
      <c r="AJS24">
        <f t="shared" si="311"/>
        <v>0</v>
      </c>
      <c r="AJT24">
        <f t="shared" si="312"/>
        <v>0</v>
      </c>
      <c r="AJU24">
        <f t="shared" si="313"/>
        <v>0</v>
      </c>
      <c r="AJV24">
        <f t="shared" si="314"/>
        <v>0</v>
      </c>
      <c r="AJW24">
        <f t="shared" si="315"/>
        <v>0</v>
      </c>
      <c r="AJX24">
        <f t="shared" si="316"/>
        <v>0</v>
      </c>
      <c r="AJY24">
        <f t="shared" si="317"/>
        <v>0</v>
      </c>
      <c r="AJZ24">
        <f t="shared" si="37"/>
        <v>0</v>
      </c>
      <c r="AKA24">
        <f t="shared" si="318"/>
        <v>0</v>
      </c>
      <c r="AKB24">
        <f t="shared" si="319"/>
        <v>0</v>
      </c>
      <c r="AKC24">
        <f t="shared" si="320"/>
        <v>0</v>
      </c>
      <c r="AKD24">
        <f t="shared" si="321"/>
        <v>0</v>
      </c>
      <c r="AKE24">
        <f t="shared" si="322"/>
        <v>0</v>
      </c>
      <c r="AKF24">
        <f t="shared" si="323"/>
        <v>0</v>
      </c>
      <c r="AKG24">
        <f t="shared" si="324"/>
        <v>0</v>
      </c>
      <c r="AKH24">
        <f t="shared" si="325"/>
        <v>0</v>
      </c>
      <c r="AKI24">
        <f t="shared" si="326"/>
        <v>0</v>
      </c>
      <c r="AKJ24">
        <f t="shared" si="327"/>
        <v>0</v>
      </c>
      <c r="AKK24">
        <f t="shared" si="328"/>
        <v>0</v>
      </c>
      <c r="AKL24">
        <f t="shared" si="329"/>
        <v>0</v>
      </c>
      <c r="AKM24">
        <f t="shared" si="330"/>
        <v>0</v>
      </c>
      <c r="AKN24">
        <f t="shared" si="331"/>
        <v>0</v>
      </c>
      <c r="AKO24">
        <f t="shared" si="332"/>
        <v>0</v>
      </c>
      <c r="AKP24">
        <f t="shared" si="333"/>
        <v>0</v>
      </c>
      <c r="AKQ24">
        <f t="shared" si="334"/>
        <v>0</v>
      </c>
      <c r="AKR24">
        <f t="shared" si="335"/>
        <v>0</v>
      </c>
      <c r="AKS24">
        <f t="shared" si="336"/>
        <v>0</v>
      </c>
      <c r="AKT24">
        <f t="shared" si="337"/>
        <v>0</v>
      </c>
      <c r="AKU24">
        <f t="shared" si="338"/>
        <v>0</v>
      </c>
      <c r="AKV24">
        <f t="shared" si="339"/>
        <v>0</v>
      </c>
      <c r="AKW24">
        <f t="shared" si="340"/>
        <v>0</v>
      </c>
      <c r="AKX24">
        <f t="shared" si="341"/>
        <v>0</v>
      </c>
      <c r="AKY24">
        <f t="shared" si="342"/>
        <v>0</v>
      </c>
      <c r="AKZ24">
        <f t="shared" si="343"/>
        <v>0</v>
      </c>
      <c r="ALA24">
        <f t="shared" si="344"/>
        <v>0</v>
      </c>
      <c r="ALB24">
        <f t="shared" si="345"/>
        <v>0</v>
      </c>
      <c r="ALC24">
        <f t="shared" si="346"/>
        <v>0</v>
      </c>
      <c r="ALD24">
        <f t="shared" si="347"/>
        <v>0</v>
      </c>
      <c r="ALE24">
        <f t="shared" si="348"/>
        <v>0</v>
      </c>
      <c r="ALF24">
        <f t="shared" si="349"/>
        <v>0</v>
      </c>
      <c r="ALG24">
        <f t="shared" si="350"/>
        <v>0</v>
      </c>
      <c r="ALH24">
        <f t="shared" si="351"/>
        <v>0</v>
      </c>
      <c r="ALI24">
        <f t="shared" si="352"/>
        <v>0</v>
      </c>
      <c r="ALJ24">
        <f t="shared" si="353"/>
        <v>0</v>
      </c>
      <c r="ALK24">
        <f t="shared" si="354"/>
        <v>0</v>
      </c>
      <c r="ALL24">
        <f t="shared" si="355"/>
        <v>0</v>
      </c>
      <c r="ALM24">
        <f t="shared" si="356"/>
        <v>0</v>
      </c>
      <c r="ALN24">
        <f t="shared" si="357"/>
        <v>0</v>
      </c>
      <c r="ALO24">
        <f t="shared" si="358"/>
        <v>0</v>
      </c>
      <c r="ALP24">
        <f t="shared" si="359"/>
        <v>0</v>
      </c>
      <c r="ALQ24">
        <f t="shared" si="360"/>
        <v>0</v>
      </c>
      <c r="ALR24">
        <f t="shared" si="361"/>
        <v>0</v>
      </c>
      <c r="ALS24">
        <f t="shared" si="362"/>
        <v>0</v>
      </c>
      <c r="ALT24">
        <f t="shared" si="363"/>
        <v>0</v>
      </c>
      <c r="ALU24">
        <f t="shared" si="364"/>
        <v>0</v>
      </c>
      <c r="ALV24">
        <f t="shared" si="365"/>
        <v>0</v>
      </c>
      <c r="ALW24">
        <f t="shared" si="366"/>
        <v>0</v>
      </c>
      <c r="ALX24">
        <f t="shared" si="367"/>
        <v>0</v>
      </c>
      <c r="ALY24">
        <f t="shared" si="368"/>
        <v>0</v>
      </c>
      <c r="ALZ24">
        <f t="shared" si="369"/>
        <v>0</v>
      </c>
      <c r="AMA24">
        <f t="shared" si="370"/>
        <v>0</v>
      </c>
      <c r="AMB24">
        <f t="shared" si="371"/>
        <v>0</v>
      </c>
      <c r="AMC24">
        <f t="shared" si="372"/>
        <v>0</v>
      </c>
      <c r="AMD24">
        <f t="shared" si="373"/>
        <v>0</v>
      </c>
      <c r="AME24">
        <f t="shared" si="374"/>
        <v>0</v>
      </c>
      <c r="AMF24">
        <f t="shared" si="375"/>
        <v>0</v>
      </c>
      <c r="AMG24">
        <f t="shared" si="376"/>
        <v>0</v>
      </c>
      <c r="AMH24">
        <f t="shared" si="377"/>
        <v>0</v>
      </c>
      <c r="AMI24">
        <f t="shared" si="378"/>
        <v>0</v>
      </c>
      <c r="AMJ24">
        <f t="shared" si="379"/>
        <v>0</v>
      </c>
      <c r="AMK24">
        <f t="shared" si="380"/>
        <v>0</v>
      </c>
      <c r="AML24">
        <f t="shared" si="38"/>
        <v>0</v>
      </c>
      <c r="AMM24">
        <f t="shared" si="381"/>
        <v>0</v>
      </c>
      <c r="AMN24">
        <f t="shared" si="382"/>
        <v>0</v>
      </c>
      <c r="AMO24">
        <f t="shared" si="383"/>
        <v>0</v>
      </c>
      <c r="AMP24">
        <f t="shared" si="384"/>
        <v>0</v>
      </c>
      <c r="AMQ24">
        <f t="shared" si="385"/>
        <v>0</v>
      </c>
      <c r="AMR24">
        <f t="shared" si="386"/>
        <v>0</v>
      </c>
      <c r="AMS24">
        <f t="shared" si="387"/>
        <v>0</v>
      </c>
      <c r="AMT24">
        <f t="shared" si="388"/>
        <v>0</v>
      </c>
      <c r="AMU24">
        <f t="shared" si="389"/>
        <v>0</v>
      </c>
      <c r="AMV24">
        <f t="shared" si="390"/>
        <v>0</v>
      </c>
      <c r="AMW24">
        <f t="shared" si="391"/>
        <v>0</v>
      </c>
      <c r="AMX24">
        <f t="shared" si="392"/>
        <v>0</v>
      </c>
      <c r="AMY24">
        <f t="shared" si="393"/>
        <v>0</v>
      </c>
      <c r="AMZ24">
        <f t="shared" si="394"/>
        <v>0</v>
      </c>
      <c r="ANA24">
        <f t="shared" si="395"/>
        <v>0</v>
      </c>
      <c r="ANB24">
        <f t="shared" si="396"/>
        <v>0</v>
      </c>
      <c r="ANC24">
        <f t="shared" si="397"/>
        <v>0</v>
      </c>
      <c r="AND24">
        <f t="shared" si="398"/>
        <v>0</v>
      </c>
      <c r="ANE24">
        <f t="shared" si="399"/>
        <v>0</v>
      </c>
      <c r="ANF24">
        <f t="shared" si="400"/>
        <v>0</v>
      </c>
      <c r="ANG24">
        <f t="shared" si="401"/>
        <v>0</v>
      </c>
      <c r="ANH24">
        <f t="shared" si="402"/>
        <v>0</v>
      </c>
      <c r="ANI24">
        <f t="shared" si="403"/>
        <v>0</v>
      </c>
      <c r="ANJ24">
        <f t="shared" si="404"/>
        <v>0</v>
      </c>
      <c r="ANK24">
        <f t="shared" si="405"/>
        <v>0</v>
      </c>
      <c r="ANL24">
        <f t="shared" si="406"/>
        <v>0</v>
      </c>
      <c r="ANM24">
        <f t="shared" si="407"/>
        <v>0</v>
      </c>
      <c r="ANN24">
        <f t="shared" si="408"/>
        <v>0</v>
      </c>
      <c r="ANO24">
        <f t="shared" si="409"/>
        <v>0</v>
      </c>
      <c r="ANP24">
        <f t="shared" si="410"/>
        <v>0</v>
      </c>
      <c r="ANQ24">
        <f t="shared" si="411"/>
        <v>0</v>
      </c>
      <c r="ANR24">
        <f t="shared" si="412"/>
        <v>0</v>
      </c>
      <c r="ANS24">
        <f t="shared" si="413"/>
        <v>0</v>
      </c>
      <c r="ANT24">
        <f t="shared" si="414"/>
        <v>0</v>
      </c>
      <c r="ANU24">
        <f t="shared" si="415"/>
        <v>0</v>
      </c>
      <c r="ANV24">
        <f t="shared" si="416"/>
        <v>0</v>
      </c>
      <c r="ANW24">
        <f t="shared" si="417"/>
        <v>0</v>
      </c>
      <c r="ANX24">
        <f t="shared" si="418"/>
        <v>0</v>
      </c>
      <c r="ANY24">
        <f t="shared" si="419"/>
        <v>0</v>
      </c>
      <c r="ANZ24">
        <f t="shared" si="420"/>
        <v>0</v>
      </c>
      <c r="AOA24">
        <f t="shared" si="421"/>
        <v>0</v>
      </c>
      <c r="AOB24">
        <f t="shared" si="422"/>
        <v>0</v>
      </c>
      <c r="AOC24">
        <f t="shared" si="423"/>
        <v>0</v>
      </c>
      <c r="AOD24">
        <f t="shared" si="424"/>
        <v>0</v>
      </c>
      <c r="AOE24">
        <f t="shared" si="425"/>
        <v>0</v>
      </c>
      <c r="AOF24">
        <f t="shared" si="426"/>
        <v>0</v>
      </c>
      <c r="AOG24">
        <f t="shared" si="427"/>
        <v>0</v>
      </c>
      <c r="AOH24">
        <f t="shared" si="428"/>
        <v>0</v>
      </c>
      <c r="AOI24">
        <f t="shared" si="429"/>
        <v>0</v>
      </c>
      <c r="AOJ24">
        <f t="shared" si="430"/>
        <v>0</v>
      </c>
      <c r="AOK24">
        <f t="shared" si="431"/>
        <v>0</v>
      </c>
      <c r="AOL24">
        <f t="shared" si="432"/>
        <v>0</v>
      </c>
      <c r="AOM24">
        <f t="shared" si="433"/>
        <v>0</v>
      </c>
      <c r="AON24">
        <f t="shared" si="434"/>
        <v>0</v>
      </c>
      <c r="AOO24">
        <f t="shared" si="435"/>
        <v>0</v>
      </c>
      <c r="AOP24">
        <f t="shared" si="436"/>
        <v>0</v>
      </c>
      <c r="AOQ24">
        <f t="shared" si="437"/>
        <v>0</v>
      </c>
      <c r="AOR24">
        <f t="shared" si="438"/>
        <v>0</v>
      </c>
      <c r="AOS24">
        <f t="shared" si="439"/>
        <v>0</v>
      </c>
      <c r="AOT24">
        <f t="shared" si="440"/>
        <v>0</v>
      </c>
      <c r="AOU24">
        <f t="shared" si="441"/>
        <v>0</v>
      </c>
      <c r="AOV24">
        <f t="shared" si="442"/>
        <v>0</v>
      </c>
      <c r="AOW24">
        <f t="shared" si="443"/>
        <v>0</v>
      </c>
      <c r="AOX24">
        <f t="shared" si="39"/>
        <v>0</v>
      </c>
      <c r="AOY24">
        <f t="shared" si="444"/>
        <v>0</v>
      </c>
      <c r="AOZ24">
        <f t="shared" si="445"/>
        <v>0</v>
      </c>
      <c r="APA24">
        <f t="shared" si="446"/>
        <v>0</v>
      </c>
      <c r="APB24">
        <f t="shared" si="447"/>
        <v>0</v>
      </c>
      <c r="APC24">
        <f t="shared" si="448"/>
        <v>0</v>
      </c>
      <c r="APD24">
        <f t="shared" si="449"/>
        <v>0</v>
      </c>
      <c r="APE24">
        <f t="shared" si="450"/>
        <v>0</v>
      </c>
      <c r="APF24">
        <f t="shared" si="451"/>
        <v>0</v>
      </c>
      <c r="APG24">
        <f t="shared" si="452"/>
        <v>0</v>
      </c>
      <c r="APH24">
        <f t="shared" si="453"/>
        <v>0</v>
      </c>
      <c r="API24">
        <f t="shared" si="454"/>
        <v>0</v>
      </c>
      <c r="APJ24">
        <f t="shared" si="455"/>
        <v>0</v>
      </c>
      <c r="APK24">
        <f t="shared" si="456"/>
        <v>0</v>
      </c>
      <c r="APL24">
        <f t="shared" si="457"/>
        <v>0</v>
      </c>
      <c r="APM24">
        <f t="shared" si="458"/>
        <v>0</v>
      </c>
      <c r="APN24">
        <f t="shared" si="459"/>
        <v>0</v>
      </c>
      <c r="APO24">
        <f t="shared" si="460"/>
        <v>0</v>
      </c>
      <c r="APP24">
        <f t="shared" si="461"/>
        <v>0</v>
      </c>
      <c r="APQ24">
        <f t="shared" si="462"/>
        <v>0</v>
      </c>
      <c r="APR24">
        <f t="shared" si="463"/>
        <v>0</v>
      </c>
      <c r="APS24">
        <f t="shared" si="464"/>
        <v>0</v>
      </c>
      <c r="APT24">
        <f t="shared" si="465"/>
        <v>0</v>
      </c>
      <c r="APU24">
        <f t="shared" si="466"/>
        <v>0</v>
      </c>
      <c r="APV24">
        <f t="shared" si="467"/>
        <v>0</v>
      </c>
      <c r="APW24">
        <f t="shared" si="468"/>
        <v>0</v>
      </c>
      <c r="APX24">
        <f t="shared" si="469"/>
        <v>0</v>
      </c>
      <c r="APY24">
        <f t="shared" si="470"/>
        <v>0</v>
      </c>
      <c r="APZ24">
        <f t="shared" si="471"/>
        <v>0</v>
      </c>
      <c r="AQA24">
        <f t="shared" si="472"/>
        <v>0</v>
      </c>
      <c r="AQB24">
        <f t="shared" si="473"/>
        <v>0</v>
      </c>
      <c r="AQC24">
        <f t="shared" si="474"/>
        <v>0</v>
      </c>
      <c r="AQD24">
        <f t="shared" si="475"/>
        <v>0</v>
      </c>
      <c r="AQE24">
        <f t="shared" si="476"/>
        <v>0</v>
      </c>
      <c r="AQF24">
        <f t="shared" si="477"/>
        <v>0</v>
      </c>
      <c r="AQG24">
        <f t="shared" si="478"/>
        <v>0</v>
      </c>
      <c r="AQH24">
        <f t="shared" si="479"/>
        <v>0</v>
      </c>
      <c r="AQI24">
        <f t="shared" si="480"/>
        <v>0</v>
      </c>
      <c r="AQJ24">
        <f t="shared" si="481"/>
        <v>0</v>
      </c>
      <c r="AQK24">
        <f t="shared" si="482"/>
        <v>0</v>
      </c>
      <c r="AQL24">
        <f t="shared" si="483"/>
        <v>0</v>
      </c>
      <c r="AQM24">
        <f t="shared" si="484"/>
        <v>0</v>
      </c>
      <c r="AQN24">
        <f t="shared" si="485"/>
        <v>0</v>
      </c>
      <c r="AQO24">
        <f t="shared" si="486"/>
        <v>0</v>
      </c>
      <c r="AQP24">
        <f t="shared" si="487"/>
        <v>0</v>
      </c>
      <c r="AQQ24">
        <f t="shared" si="488"/>
        <v>0</v>
      </c>
      <c r="AQR24">
        <f t="shared" si="489"/>
        <v>0</v>
      </c>
      <c r="AQS24">
        <f t="shared" si="490"/>
        <v>0</v>
      </c>
      <c r="AQT24">
        <f t="shared" si="491"/>
        <v>0</v>
      </c>
      <c r="AQU24">
        <f t="shared" si="492"/>
        <v>0</v>
      </c>
      <c r="AQV24">
        <f t="shared" si="493"/>
        <v>0</v>
      </c>
      <c r="AQW24">
        <f t="shared" si="494"/>
        <v>0</v>
      </c>
      <c r="AQX24">
        <f t="shared" si="495"/>
        <v>0</v>
      </c>
      <c r="AQY24">
        <f t="shared" si="496"/>
        <v>0</v>
      </c>
      <c r="AQZ24">
        <f t="shared" si="497"/>
        <v>0</v>
      </c>
      <c r="ARA24">
        <f t="shared" si="498"/>
        <v>0</v>
      </c>
      <c r="ARB24">
        <f t="shared" si="499"/>
        <v>0</v>
      </c>
      <c r="ARC24">
        <f t="shared" si="500"/>
        <v>0</v>
      </c>
      <c r="ARD24">
        <f t="shared" si="501"/>
        <v>0</v>
      </c>
      <c r="ARE24">
        <f t="shared" si="502"/>
        <v>0</v>
      </c>
      <c r="ARF24">
        <f t="shared" si="503"/>
        <v>0</v>
      </c>
      <c r="ARG24">
        <f t="shared" si="504"/>
        <v>0</v>
      </c>
      <c r="ARH24">
        <f t="shared" si="505"/>
        <v>0</v>
      </c>
      <c r="ARI24">
        <f t="shared" si="506"/>
        <v>0</v>
      </c>
      <c r="ARJ24">
        <f t="shared" si="40"/>
        <v>0</v>
      </c>
      <c r="ARK24">
        <f t="shared" si="507"/>
        <v>0</v>
      </c>
      <c r="ARL24">
        <f t="shared" si="508"/>
        <v>0</v>
      </c>
      <c r="ARM24">
        <f t="shared" si="509"/>
        <v>0</v>
      </c>
      <c r="ARN24">
        <f t="shared" si="510"/>
        <v>0</v>
      </c>
      <c r="ARO24">
        <f t="shared" si="511"/>
        <v>0</v>
      </c>
      <c r="ARP24">
        <f t="shared" si="512"/>
        <v>0</v>
      </c>
      <c r="ARQ24">
        <f t="shared" si="513"/>
        <v>0</v>
      </c>
      <c r="ARR24">
        <f t="shared" si="514"/>
        <v>0</v>
      </c>
      <c r="ARS24">
        <f t="shared" si="515"/>
        <v>0</v>
      </c>
      <c r="ART24">
        <f t="shared" si="516"/>
        <v>0</v>
      </c>
      <c r="ARU24">
        <f t="shared" si="517"/>
        <v>0</v>
      </c>
      <c r="ARV24">
        <f t="shared" si="518"/>
        <v>0</v>
      </c>
      <c r="ARW24">
        <f t="shared" si="519"/>
        <v>0</v>
      </c>
      <c r="ARX24">
        <f t="shared" si="520"/>
        <v>0</v>
      </c>
      <c r="ARY24">
        <f t="shared" si="521"/>
        <v>0</v>
      </c>
      <c r="ARZ24">
        <f t="shared" si="522"/>
        <v>0</v>
      </c>
      <c r="ASA24">
        <f t="shared" si="523"/>
        <v>0</v>
      </c>
      <c r="ASB24">
        <f t="shared" si="524"/>
        <v>0</v>
      </c>
      <c r="ASC24">
        <f t="shared" si="525"/>
        <v>0</v>
      </c>
      <c r="ASD24">
        <f t="shared" si="526"/>
        <v>0</v>
      </c>
      <c r="ASE24">
        <f t="shared" si="527"/>
        <v>0</v>
      </c>
      <c r="ASF24">
        <f t="shared" si="528"/>
        <v>0</v>
      </c>
      <c r="ASG24">
        <f t="shared" si="529"/>
        <v>0</v>
      </c>
      <c r="ASH24">
        <f t="shared" si="530"/>
        <v>0</v>
      </c>
      <c r="ASI24">
        <f t="shared" si="531"/>
        <v>0</v>
      </c>
      <c r="ASJ24">
        <f t="shared" si="532"/>
        <v>0</v>
      </c>
      <c r="ASK24">
        <f t="shared" si="533"/>
        <v>0</v>
      </c>
      <c r="ASL24">
        <f t="shared" si="534"/>
        <v>0</v>
      </c>
      <c r="ASM24">
        <f t="shared" si="535"/>
        <v>0</v>
      </c>
      <c r="ASN24">
        <f t="shared" si="536"/>
        <v>0</v>
      </c>
      <c r="ASO24">
        <f t="shared" si="537"/>
        <v>0</v>
      </c>
      <c r="ASP24">
        <f t="shared" si="538"/>
        <v>0</v>
      </c>
      <c r="ASQ24">
        <f t="shared" si="539"/>
        <v>0</v>
      </c>
      <c r="ASR24">
        <f t="shared" si="540"/>
        <v>0</v>
      </c>
      <c r="ASS24">
        <f t="shared" si="541"/>
        <v>0</v>
      </c>
      <c r="AST24">
        <f t="shared" si="542"/>
        <v>0</v>
      </c>
      <c r="ASU24">
        <f t="shared" si="543"/>
        <v>0</v>
      </c>
      <c r="ASV24">
        <f t="shared" si="544"/>
        <v>0</v>
      </c>
      <c r="ASW24">
        <f t="shared" si="545"/>
        <v>0</v>
      </c>
      <c r="ASX24">
        <f t="shared" si="546"/>
        <v>0</v>
      </c>
      <c r="ASY24">
        <f t="shared" si="547"/>
        <v>0</v>
      </c>
      <c r="ASZ24">
        <f t="shared" si="548"/>
        <v>0</v>
      </c>
      <c r="ATA24">
        <f t="shared" si="549"/>
        <v>0</v>
      </c>
      <c r="ATB24">
        <f t="shared" si="550"/>
        <v>0</v>
      </c>
      <c r="ATC24">
        <f t="shared" si="551"/>
        <v>0</v>
      </c>
      <c r="ATD24">
        <f t="shared" si="552"/>
        <v>0</v>
      </c>
      <c r="ATE24">
        <f t="shared" si="553"/>
        <v>0</v>
      </c>
      <c r="ATF24">
        <f t="shared" si="554"/>
        <v>0</v>
      </c>
      <c r="ATG24">
        <f t="shared" si="555"/>
        <v>0</v>
      </c>
      <c r="ATH24">
        <f t="shared" si="556"/>
        <v>0</v>
      </c>
      <c r="ATI24">
        <f t="shared" si="557"/>
        <v>0</v>
      </c>
      <c r="ATJ24">
        <f t="shared" si="558"/>
        <v>0</v>
      </c>
      <c r="ATK24">
        <f t="shared" si="559"/>
        <v>0</v>
      </c>
      <c r="ATL24">
        <f t="shared" si="560"/>
        <v>0</v>
      </c>
      <c r="ATM24">
        <f t="shared" si="561"/>
        <v>0</v>
      </c>
      <c r="ATN24">
        <f t="shared" si="562"/>
        <v>0</v>
      </c>
      <c r="ATO24">
        <f t="shared" si="563"/>
        <v>0</v>
      </c>
      <c r="ATP24">
        <f t="shared" si="564"/>
        <v>0</v>
      </c>
      <c r="ATQ24">
        <f t="shared" si="565"/>
        <v>0</v>
      </c>
      <c r="ATR24">
        <f t="shared" si="566"/>
        <v>0</v>
      </c>
      <c r="ATS24">
        <f t="shared" si="567"/>
        <v>0</v>
      </c>
      <c r="ATT24">
        <f t="shared" si="568"/>
        <v>0</v>
      </c>
      <c r="ATU24">
        <f t="shared" si="569"/>
        <v>0</v>
      </c>
      <c r="ATV24">
        <f t="shared" si="41"/>
        <v>0</v>
      </c>
      <c r="ATW24">
        <f t="shared" si="570"/>
        <v>0</v>
      </c>
      <c r="ATX24">
        <f t="shared" si="571"/>
        <v>0</v>
      </c>
      <c r="ATY24">
        <f t="shared" si="572"/>
        <v>0</v>
      </c>
      <c r="ATZ24">
        <f t="shared" si="573"/>
        <v>0</v>
      </c>
      <c r="AUA24">
        <f t="shared" si="574"/>
        <v>0</v>
      </c>
      <c r="AUB24">
        <f t="shared" si="575"/>
        <v>0</v>
      </c>
      <c r="AUC24">
        <f t="shared" si="576"/>
        <v>0</v>
      </c>
      <c r="AUD24">
        <f t="shared" si="577"/>
        <v>0</v>
      </c>
      <c r="AUE24">
        <f t="shared" si="578"/>
        <v>0</v>
      </c>
      <c r="AUF24">
        <f t="shared" si="579"/>
        <v>0</v>
      </c>
      <c r="AUG24">
        <f t="shared" si="580"/>
        <v>0</v>
      </c>
      <c r="AUH24">
        <f t="shared" si="581"/>
        <v>0</v>
      </c>
      <c r="AUI24">
        <f t="shared" si="582"/>
        <v>0</v>
      </c>
      <c r="AUJ24">
        <f t="shared" si="583"/>
        <v>0</v>
      </c>
      <c r="AUK24">
        <f t="shared" si="584"/>
        <v>0</v>
      </c>
      <c r="AUL24">
        <f t="shared" si="585"/>
        <v>0</v>
      </c>
      <c r="AUM24">
        <f t="shared" si="586"/>
        <v>0</v>
      </c>
      <c r="AUN24">
        <f t="shared" si="587"/>
        <v>0</v>
      </c>
      <c r="AUO24">
        <f t="shared" si="588"/>
        <v>0</v>
      </c>
      <c r="AUP24">
        <f t="shared" si="589"/>
        <v>0</v>
      </c>
      <c r="AUQ24">
        <f t="shared" si="590"/>
        <v>0</v>
      </c>
      <c r="AUR24">
        <f t="shared" si="591"/>
        <v>0</v>
      </c>
      <c r="AUS24">
        <f t="shared" si="592"/>
        <v>0</v>
      </c>
      <c r="AUT24">
        <f t="shared" si="593"/>
        <v>0</v>
      </c>
      <c r="AUU24">
        <f t="shared" si="594"/>
        <v>0</v>
      </c>
      <c r="AUV24">
        <f t="shared" si="595"/>
        <v>0</v>
      </c>
      <c r="AUW24">
        <f t="shared" si="596"/>
        <v>0</v>
      </c>
      <c r="AUX24">
        <f t="shared" si="597"/>
        <v>0</v>
      </c>
      <c r="AUY24">
        <f t="shared" si="598"/>
        <v>0</v>
      </c>
      <c r="AUZ24">
        <f t="shared" si="599"/>
        <v>0</v>
      </c>
      <c r="AVA24">
        <f t="shared" si="600"/>
        <v>0</v>
      </c>
      <c r="AVB24">
        <f t="shared" si="601"/>
        <v>0</v>
      </c>
      <c r="AVC24">
        <f t="shared" si="602"/>
        <v>0</v>
      </c>
      <c r="AVD24">
        <f t="shared" si="603"/>
        <v>0</v>
      </c>
      <c r="AVE24">
        <f t="shared" si="604"/>
        <v>0</v>
      </c>
      <c r="AVF24">
        <f t="shared" si="605"/>
        <v>0</v>
      </c>
      <c r="AVG24">
        <f t="shared" si="606"/>
        <v>0</v>
      </c>
      <c r="AVH24">
        <f t="shared" si="607"/>
        <v>0</v>
      </c>
      <c r="AVI24">
        <f t="shared" si="608"/>
        <v>0</v>
      </c>
      <c r="AVJ24">
        <f t="shared" si="609"/>
        <v>0</v>
      </c>
      <c r="AVK24">
        <f t="shared" si="610"/>
        <v>0</v>
      </c>
      <c r="AVL24">
        <f t="shared" si="611"/>
        <v>0</v>
      </c>
      <c r="AVM24">
        <f t="shared" si="612"/>
        <v>0</v>
      </c>
      <c r="AVN24">
        <f t="shared" si="613"/>
        <v>0</v>
      </c>
      <c r="AVO24">
        <f t="shared" si="614"/>
        <v>0</v>
      </c>
      <c r="AVP24">
        <f t="shared" si="615"/>
        <v>0</v>
      </c>
      <c r="AVQ24">
        <f t="shared" si="616"/>
        <v>0</v>
      </c>
      <c r="AVR24">
        <f t="shared" si="617"/>
        <v>0</v>
      </c>
      <c r="AVS24">
        <f t="shared" si="618"/>
        <v>0</v>
      </c>
      <c r="AVT24">
        <f t="shared" si="619"/>
        <v>0</v>
      </c>
      <c r="AVU24">
        <f t="shared" si="620"/>
        <v>0</v>
      </c>
      <c r="AVV24">
        <f t="shared" si="621"/>
        <v>0</v>
      </c>
      <c r="AVW24">
        <f t="shared" si="622"/>
        <v>0</v>
      </c>
      <c r="AVX24">
        <f t="shared" si="623"/>
        <v>0</v>
      </c>
      <c r="AVY24">
        <f t="shared" si="624"/>
        <v>0</v>
      </c>
      <c r="AVZ24">
        <f t="shared" si="625"/>
        <v>0</v>
      </c>
      <c r="AWA24">
        <f t="shared" si="626"/>
        <v>0</v>
      </c>
      <c r="AWB24">
        <f t="shared" si="627"/>
        <v>0</v>
      </c>
      <c r="AWC24">
        <f t="shared" si="628"/>
        <v>0</v>
      </c>
      <c r="AWD24">
        <f t="shared" si="629"/>
        <v>0</v>
      </c>
      <c r="AWE24">
        <f t="shared" si="630"/>
        <v>0</v>
      </c>
      <c r="AWF24">
        <f t="shared" si="631"/>
        <v>0</v>
      </c>
      <c r="AWG24">
        <f t="shared" si="632"/>
        <v>0</v>
      </c>
      <c r="AWH24">
        <f t="shared" si="42"/>
        <v>0</v>
      </c>
      <c r="AWI24">
        <f t="shared" si="633"/>
        <v>0</v>
      </c>
      <c r="AWJ24">
        <f t="shared" si="634"/>
        <v>0</v>
      </c>
      <c r="AWK24">
        <f t="shared" si="635"/>
        <v>0</v>
      </c>
      <c r="AWL24">
        <f t="shared" si="636"/>
        <v>0</v>
      </c>
      <c r="AWM24">
        <f t="shared" si="637"/>
        <v>0</v>
      </c>
      <c r="AWN24">
        <f t="shared" si="638"/>
        <v>0</v>
      </c>
      <c r="AWO24">
        <f t="shared" si="639"/>
        <v>0</v>
      </c>
      <c r="AWP24">
        <f t="shared" si="640"/>
        <v>0</v>
      </c>
      <c r="AWQ24">
        <f t="shared" si="641"/>
        <v>0</v>
      </c>
      <c r="AWR24">
        <f t="shared" si="642"/>
        <v>0</v>
      </c>
      <c r="AWS24">
        <f t="shared" si="643"/>
        <v>0</v>
      </c>
      <c r="AWT24">
        <f t="shared" si="644"/>
        <v>0</v>
      </c>
      <c r="AWU24">
        <f t="shared" si="645"/>
        <v>0</v>
      </c>
      <c r="AWV24">
        <f t="shared" si="646"/>
        <v>0</v>
      </c>
      <c r="AWW24">
        <f t="shared" si="647"/>
        <v>0</v>
      </c>
      <c r="AWX24">
        <f t="shared" si="648"/>
        <v>0</v>
      </c>
      <c r="AWY24">
        <f t="shared" si="649"/>
        <v>0</v>
      </c>
      <c r="AWZ24">
        <f t="shared" si="650"/>
        <v>0</v>
      </c>
      <c r="AXA24">
        <f t="shared" si="651"/>
        <v>0</v>
      </c>
      <c r="AXB24">
        <f t="shared" si="652"/>
        <v>0</v>
      </c>
      <c r="AXC24">
        <f t="shared" si="653"/>
        <v>0</v>
      </c>
      <c r="AXD24">
        <f t="shared" si="654"/>
        <v>0</v>
      </c>
      <c r="AXE24">
        <f t="shared" si="655"/>
        <v>0</v>
      </c>
      <c r="AXF24">
        <f t="shared" si="656"/>
        <v>0</v>
      </c>
      <c r="AXG24">
        <f t="shared" si="657"/>
        <v>0</v>
      </c>
      <c r="AXH24">
        <f t="shared" si="658"/>
        <v>0</v>
      </c>
      <c r="AXI24">
        <f t="shared" si="659"/>
        <v>0</v>
      </c>
      <c r="AXJ24">
        <f t="shared" si="660"/>
        <v>0</v>
      </c>
      <c r="AXK24">
        <f t="shared" si="661"/>
        <v>0</v>
      </c>
      <c r="AXL24">
        <f t="shared" si="662"/>
        <v>0</v>
      </c>
      <c r="AXM24">
        <f t="shared" si="663"/>
        <v>0</v>
      </c>
      <c r="AXN24">
        <f t="shared" si="664"/>
        <v>0</v>
      </c>
      <c r="AXO24">
        <f t="shared" si="665"/>
        <v>0</v>
      </c>
      <c r="AXP24">
        <f t="shared" si="666"/>
        <v>0</v>
      </c>
      <c r="AXQ24">
        <f t="shared" si="667"/>
        <v>0</v>
      </c>
      <c r="AXR24">
        <f t="shared" si="668"/>
        <v>0</v>
      </c>
      <c r="AXS24">
        <f t="shared" si="669"/>
        <v>0</v>
      </c>
      <c r="AXT24">
        <f t="shared" si="670"/>
        <v>0</v>
      </c>
      <c r="AXU24">
        <f t="shared" si="671"/>
        <v>0</v>
      </c>
      <c r="AXV24">
        <f t="shared" si="672"/>
        <v>0</v>
      </c>
      <c r="AXW24">
        <f t="shared" si="673"/>
        <v>0</v>
      </c>
      <c r="AXX24">
        <f t="shared" si="674"/>
        <v>0</v>
      </c>
      <c r="AXY24">
        <f t="shared" si="675"/>
        <v>0</v>
      </c>
      <c r="AXZ24">
        <f t="shared" si="676"/>
        <v>0</v>
      </c>
      <c r="AYA24">
        <f t="shared" si="677"/>
        <v>0</v>
      </c>
      <c r="AYB24">
        <f t="shared" si="678"/>
        <v>0</v>
      </c>
      <c r="AYC24">
        <f t="shared" si="679"/>
        <v>0</v>
      </c>
      <c r="AYD24">
        <f t="shared" si="680"/>
        <v>0</v>
      </c>
      <c r="AYE24">
        <f t="shared" si="681"/>
        <v>0</v>
      </c>
      <c r="AYF24">
        <f t="shared" si="682"/>
        <v>0</v>
      </c>
      <c r="AYG24">
        <f t="shared" si="683"/>
        <v>0</v>
      </c>
      <c r="AYH24">
        <f t="shared" si="684"/>
        <v>0</v>
      </c>
      <c r="AYI24">
        <f t="shared" si="685"/>
        <v>0</v>
      </c>
      <c r="AYJ24">
        <f t="shared" si="686"/>
        <v>0</v>
      </c>
      <c r="AYK24">
        <f t="shared" si="687"/>
        <v>0</v>
      </c>
      <c r="AYL24">
        <f t="shared" si="688"/>
        <v>0</v>
      </c>
      <c r="AYM24">
        <f t="shared" si="689"/>
        <v>0</v>
      </c>
      <c r="AYN24">
        <f t="shared" si="690"/>
        <v>0</v>
      </c>
      <c r="AYO24">
        <f t="shared" si="691"/>
        <v>0</v>
      </c>
      <c r="AYP24">
        <f t="shared" si="692"/>
        <v>0</v>
      </c>
      <c r="AYQ24">
        <f t="shared" si="693"/>
        <v>0</v>
      </c>
      <c r="AYR24">
        <f t="shared" si="694"/>
        <v>0</v>
      </c>
      <c r="AYS24">
        <f t="shared" si="695"/>
        <v>0</v>
      </c>
      <c r="AYT24">
        <f t="shared" si="43"/>
        <v>0</v>
      </c>
      <c r="AYU24">
        <f t="shared" si="696"/>
        <v>0</v>
      </c>
      <c r="AYV24">
        <f t="shared" si="697"/>
        <v>0</v>
      </c>
      <c r="AYW24">
        <f t="shared" si="698"/>
        <v>0</v>
      </c>
      <c r="AYX24">
        <f t="shared" si="699"/>
        <v>0</v>
      </c>
      <c r="AYY24">
        <f t="shared" si="700"/>
        <v>0</v>
      </c>
      <c r="AYZ24">
        <f t="shared" si="701"/>
        <v>0</v>
      </c>
      <c r="AZA24">
        <f t="shared" si="702"/>
        <v>0</v>
      </c>
      <c r="AZB24">
        <f t="shared" si="703"/>
        <v>0</v>
      </c>
      <c r="AZC24">
        <f t="shared" si="704"/>
        <v>0</v>
      </c>
      <c r="AZD24">
        <f t="shared" si="705"/>
        <v>0</v>
      </c>
      <c r="AZE24">
        <f t="shared" si="706"/>
        <v>0</v>
      </c>
      <c r="AZF24">
        <f t="shared" si="707"/>
        <v>0</v>
      </c>
      <c r="AZG24">
        <f t="shared" si="708"/>
        <v>0</v>
      </c>
      <c r="AZH24">
        <f t="shared" si="709"/>
        <v>0</v>
      </c>
      <c r="AZI24">
        <f t="shared" si="710"/>
        <v>0</v>
      </c>
      <c r="AZJ24">
        <f t="shared" si="711"/>
        <v>0</v>
      </c>
      <c r="AZK24">
        <f t="shared" si="712"/>
        <v>0</v>
      </c>
      <c r="AZL24">
        <f t="shared" si="713"/>
        <v>0</v>
      </c>
      <c r="AZM24">
        <f t="shared" si="714"/>
        <v>0</v>
      </c>
      <c r="AZN24">
        <f t="shared" si="715"/>
        <v>0</v>
      </c>
      <c r="AZO24">
        <f t="shared" si="716"/>
        <v>0</v>
      </c>
      <c r="AZP24">
        <f t="shared" si="717"/>
        <v>0</v>
      </c>
      <c r="AZQ24">
        <f t="shared" si="718"/>
        <v>0</v>
      </c>
      <c r="AZR24">
        <f t="shared" si="719"/>
        <v>0</v>
      </c>
      <c r="AZS24">
        <f t="shared" si="720"/>
        <v>0</v>
      </c>
      <c r="AZT24">
        <f t="shared" si="721"/>
        <v>0</v>
      </c>
      <c r="AZU24">
        <f t="shared" si="722"/>
        <v>0</v>
      </c>
      <c r="AZV24">
        <f t="shared" si="723"/>
        <v>0</v>
      </c>
      <c r="AZW24">
        <f t="shared" si="724"/>
        <v>0</v>
      </c>
      <c r="AZX24">
        <f t="shared" si="725"/>
        <v>0</v>
      </c>
      <c r="AZY24">
        <f t="shared" si="726"/>
        <v>0</v>
      </c>
      <c r="AZZ24">
        <f t="shared" si="727"/>
        <v>0</v>
      </c>
      <c r="BAA24">
        <f t="shared" si="728"/>
        <v>0</v>
      </c>
      <c r="BAB24">
        <f t="shared" si="729"/>
        <v>0</v>
      </c>
      <c r="BAC24">
        <f t="shared" si="730"/>
        <v>0</v>
      </c>
      <c r="BAD24">
        <f t="shared" si="731"/>
        <v>0</v>
      </c>
      <c r="BAE24">
        <f t="shared" si="732"/>
        <v>0</v>
      </c>
      <c r="BAF24">
        <f t="shared" si="733"/>
        <v>0</v>
      </c>
      <c r="BAG24">
        <f t="shared" si="734"/>
        <v>0</v>
      </c>
      <c r="BAH24">
        <f t="shared" si="735"/>
        <v>0</v>
      </c>
      <c r="BAI24">
        <f t="shared" si="736"/>
        <v>0</v>
      </c>
      <c r="BAJ24">
        <f t="shared" si="737"/>
        <v>0</v>
      </c>
      <c r="BAK24">
        <f t="shared" si="738"/>
        <v>0</v>
      </c>
      <c r="BAL24">
        <f t="shared" si="739"/>
        <v>0</v>
      </c>
      <c r="BAM24">
        <f t="shared" si="740"/>
        <v>0</v>
      </c>
      <c r="BAN24">
        <f t="shared" si="741"/>
        <v>0</v>
      </c>
      <c r="BAO24">
        <f t="shared" si="742"/>
        <v>0</v>
      </c>
      <c r="BAP24">
        <f t="shared" si="743"/>
        <v>0</v>
      </c>
      <c r="BAQ24">
        <f t="shared" si="744"/>
        <v>0</v>
      </c>
      <c r="BAR24">
        <f t="shared" si="745"/>
        <v>0</v>
      </c>
      <c r="BAS24">
        <f t="shared" si="746"/>
        <v>0</v>
      </c>
      <c r="BAT24">
        <f t="shared" si="747"/>
        <v>0</v>
      </c>
      <c r="BAU24">
        <f t="shared" si="748"/>
        <v>0</v>
      </c>
      <c r="BAV24">
        <f t="shared" si="749"/>
        <v>0</v>
      </c>
      <c r="BAW24">
        <f t="shared" si="750"/>
        <v>0</v>
      </c>
      <c r="BAX24">
        <f t="shared" si="751"/>
        <v>0</v>
      </c>
      <c r="BAY24">
        <f t="shared" si="752"/>
        <v>0</v>
      </c>
      <c r="BAZ24">
        <f t="shared" si="753"/>
        <v>0</v>
      </c>
      <c r="BBA24">
        <f t="shared" si="754"/>
        <v>0</v>
      </c>
      <c r="BBB24">
        <f t="shared" si="755"/>
        <v>0</v>
      </c>
      <c r="BBC24">
        <f t="shared" si="756"/>
        <v>0</v>
      </c>
      <c r="BBD24">
        <f t="shared" si="757"/>
        <v>0</v>
      </c>
      <c r="BBE24">
        <f t="shared" si="758"/>
        <v>0</v>
      </c>
      <c r="BBF24">
        <f t="shared" si="44"/>
        <v>0</v>
      </c>
      <c r="BBG24">
        <f t="shared" si="759"/>
        <v>0</v>
      </c>
      <c r="BBH24">
        <f t="shared" si="760"/>
        <v>0</v>
      </c>
      <c r="BBI24">
        <f t="shared" si="761"/>
        <v>0</v>
      </c>
      <c r="BBJ24">
        <f t="shared" si="762"/>
        <v>0</v>
      </c>
      <c r="BBK24">
        <f t="shared" si="763"/>
        <v>0</v>
      </c>
      <c r="BBL24">
        <f t="shared" si="764"/>
        <v>0</v>
      </c>
      <c r="BBM24">
        <f t="shared" si="765"/>
        <v>0</v>
      </c>
      <c r="BBN24">
        <f t="shared" si="766"/>
        <v>0</v>
      </c>
      <c r="BBO24">
        <f t="shared" si="767"/>
        <v>0</v>
      </c>
      <c r="BBP24">
        <f t="shared" si="768"/>
        <v>0</v>
      </c>
      <c r="BBQ24">
        <f t="shared" si="769"/>
        <v>0</v>
      </c>
      <c r="BBR24">
        <f t="shared" si="770"/>
        <v>0</v>
      </c>
      <c r="BBS24">
        <f t="shared" si="771"/>
        <v>0</v>
      </c>
      <c r="BBT24">
        <f t="shared" si="772"/>
        <v>0</v>
      </c>
      <c r="BBU24">
        <f t="shared" si="773"/>
        <v>0</v>
      </c>
      <c r="BBV24">
        <f t="shared" si="774"/>
        <v>0</v>
      </c>
      <c r="BBW24">
        <f t="shared" si="775"/>
        <v>0</v>
      </c>
      <c r="BBX24">
        <f t="shared" si="776"/>
        <v>0</v>
      </c>
      <c r="BBY24">
        <f t="shared" si="777"/>
        <v>0</v>
      </c>
      <c r="BBZ24">
        <f t="shared" si="778"/>
        <v>0</v>
      </c>
      <c r="BCA24">
        <f t="shared" si="779"/>
        <v>0</v>
      </c>
      <c r="BCB24">
        <f t="shared" si="780"/>
        <v>0</v>
      </c>
      <c r="BCC24">
        <f t="shared" si="781"/>
        <v>0</v>
      </c>
      <c r="BCD24">
        <f t="shared" si="782"/>
        <v>0</v>
      </c>
      <c r="BCE24">
        <f t="shared" si="783"/>
        <v>0</v>
      </c>
      <c r="BCF24">
        <f t="shared" si="784"/>
        <v>0</v>
      </c>
      <c r="BCG24">
        <f t="shared" si="785"/>
        <v>0</v>
      </c>
      <c r="BCH24">
        <f t="shared" si="786"/>
        <v>0</v>
      </c>
      <c r="BCI24">
        <f t="shared" si="787"/>
        <v>0</v>
      </c>
      <c r="BCJ24">
        <f t="shared" si="788"/>
        <v>0</v>
      </c>
      <c r="BCK24">
        <f t="shared" si="789"/>
        <v>0</v>
      </c>
      <c r="BCL24">
        <f t="shared" si="790"/>
        <v>0</v>
      </c>
      <c r="BCM24">
        <f t="shared" si="791"/>
        <v>0</v>
      </c>
      <c r="BCN24">
        <f t="shared" si="792"/>
        <v>0</v>
      </c>
      <c r="BCO24">
        <f t="shared" si="793"/>
        <v>0</v>
      </c>
      <c r="BCP24">
        <f t="shared" si="794"/>
        <v>0</v>
      </c>
      <c r="BCQ24">
        <f t="shared" si="795"/>
        <v>0</v>
      </c>
      <c r="BCR24">
        <f t="shared" si="796"/>
        <v>0</v>
      </c>
      <c r="BCS24">
        <f t="shared" si="797"/>
        <v>0</v>
      </c>
      <c r="BCT24">
        <f t="shared" si="798"/>
        <v>0</v>
      </c>
      <c r="BCU24">
        <f t="shared" si="799"/>
        <v>0</v>
      </c>
      <c r="BCV24">
        <f t="shared" si="800"/>
        <v>0</v>
      </c>
      <c r="BCW24">
        <f t="shared" si="801"/>
        <v>0</v>
      </c>
      <c r="BCX24">
        <f t="shared" si="802"/>
        <v>0</v>
      </c>
      <c r="BCY24">
        <f t="shared" si="803"/>
        <v>0</v>
      </c>
      <c r="BCZ24">
        <f t="shared" si="804"/>
        <v>0</v>
      </c>
      <c r="BDA24">
        <f t="shared" si="805"/>
        <v>0</v>
      </c>
      <c r="BDB24">
        <f t="shared" si="806"/>
        <v>0</v>
      </c>
      <c r="BDC24">
        <f t="shared" si="807"/>
        <v>0</v>
      </c>
      <c r="BDD24">
        <f t="shared" si="808"/>
        <v>0</v>
      </c>
      <c r="BDE24">
        <f t="shared" si="809"/>
        <v>0</v>
      </c>
      <c r="BDF24">
        <f t="shared" si="810"/>
        <v>0</v>
      </c>
      <c r="BDG24">
        <f t="shared" si="811"/>
        <v>0</v>
      </c>
      <c r="BDH24">
        <f t="shared" si="812"/>
        <v>0</v>
      </c>
      <c r="BDI24">
        <f t="shared" si="813"/>
        <v>0</v>
      </c>
      <c r="BDJ24">
        <f t="shared" si="814"/>
        <v>0</v>
      </c>
      <c r="BDK24">
        <f t="shared" si="815"/>
        <v>0</v>
      </c>
      <c r="BDL24">
        <f t="shared" si="816"/>
        <v>0</v>
      </c>
      <c r="BDM24">
        <f t="shared" si="817"/>
        <v>0</v>
      </c>
      <c r="BDN24">
        <f t="shared" si="818"/>
        <v>0</v>
      </c>
      <c r="BDO24">
        <f t="shared" si="819"/>
        <v>0</v>
      </c>
      <c r="BDP24">
        <f t="shared" si="820"/>
        <v>0</v>
      </c>
      <c r="BDQ24">
        <f t="shared" si="821"/>
        <v>0</v>
      </c>
      <c r="BDR24">
        <f t="shared" si="45"/>
        <v>0</v>
      </c>
      <c r="BDS24">
        <f t="shared" si="822"/>
        <v>0</v>
      </c>
      <c r="BDT24">
        <f t="shared" si="823"/>
        <v>0</v>
      </c>
      <c r="BDU24">
        <f t="shared" si="824"/>
        <v>0</v>
      </c>
      <c r="BDV24">
        <f t="shared" si="825"/>
        <v>0</v>
      </c>
      <c r="BDW24">
        <f t="shared" si="826"/>
        <v>0</v>
      </c>
      <c r="BDX24">
        <f t="shared" si="827"/>
        <v>0</v>
      </c>
      <c r="BDY24">
        <f t="shared" si="828"/>
        <v>0</v>
      </c>
      <c r="BDZ24">
        <f t="shared" si="829"/>
        <v>0</v>
      </c>
      <c r="BEA24">
        <f t="shared" si="830"/>
        <v>0</v>
      </c>
      <c r="BEB24">
        <f t="shared" si="831"/>
        <v>0</v>
      </c>
      <c r="BEC24">
        <f t="shared" si="832"/>
        <v>0</v>
      </c>
      <c r="BED24">
        <f t="shared" si="833"/>
        <v>0</v>
      </c>
      <c r="BEE24">
        <f t="shared" si="834"/>
        <v>0</v>
      </c>
      <c r="BEF24">
        <f t="shared" si="835"/>
        <v>0</v>
      </c>
      <c r="BEG24">
        <f t="shared" si="836"/>
        <v>0</v>
      </c>
      <c r="BEH24">
        <f t="shared" si="837"/>
        <v>0</v>
      </c>
      <c r="BEI24">
        <f t="shared" si="838"/>
        <v>0</v>
      </c>
      <c r="BEJ24">
        <f t="shared" si="839"/>
        <v>0</v>
      </c>
      <c r="BEK24">
        <f t="shared" si="840"/>
        <v>0</v>
      </c>
      <c r="BEL24">
        <f t="shared" si="841"/>
        <v>0</v>
      </c>
      <c r="BEM24">
        <f t="shared" si="842"/>
        <v>0</v>
      </c>
      <c r="BEN24">
        <f t="shared" si="843"/>
        <v>0</v>
      </c>
      <c r="BEO24">
        <f t="shared" si="844"/>
        <v>0</v>
      </c>
      <c r="BEP24">
        <f t="shared" si="845"/>
        <v>0</v>
      </c>
      <c r="BEQ24">
        <f t="shared" si="846"/>
        <v>0</v>
      </c>
      <c r="BER24">
        <f t="shared" si="847"/>
        <v>0</v>
      </c>
      <c r="BES24">
        <f t="shared" si="848"/>
        <v>0</v>
      </c>
      <c r="BET24">
        <f t="shared" si="849"/>
        <v>0</v>
      </c>
      <c r="BEU24">
        <f t="shared" si="850"/>
        <v>0</v>
      </c>
      <c r="BEV24">
        <f t="shared" si="851"/>
        <v>0</v>
      </c>
      <c r="BEW24">
        <f t="shared" si="852"/>
        <v>0</v>
      </c>
      <c r="BEX24">
        <f t="shared" si="853"/>
        <v>0</v>
      </c>
      <c r="BEY24">
        <f t="shared" si="854"/>
        <v>0</v>
      </c>
      <c r="BEZ24">
        <f t="shared" si="855"/>
        <v>0</v>
      </c>
      <c r="BFA24">
        <f t="shared" si="856"/>
        <v>0</v>
      </c>
      <c r="BFB24">
        <f t="shared" si="857"/>
        <v>0</v>
      </c>
      <c r="BFC24">
        <f t="shared" si="858"/>
        <v>0</v>
      </c>
      <c r="BFD24">
        <f t="shared" si="859"/>
        <v>0</v>
      </c>
      <c r="BFE24">
        <f t="shared" si="860"/>
        <v>0</v>
      </c>
      <c r="BFF24">
        <f t="shared" si="861"/>
        <v>0</v>
      </c>
      <c r="BFG24">
        <f t="shared" si="862"/>
        <v>0</v>
      </c>
      <c r="BFH24">
        <f t="shared" si="863"/>
        <v>0</v>
      </c>
      <c r="BFI24">
        <f t="shared" si="864"/>
        <v>0</v>
      </c>
      <c r="BFJ24">
        <f t="shared" si="865"/>
        <v>0</v>
      </c>
      <c r="BFK24">
        <f t="shared" si="866"/>
        <v>0</v>
      </c>
      <c r="BFL24">
        <f t="shared" si="867"/>
        <v>0</v>
      </c>
      <c r="BFM24">
        <f t="shared" si="868"/>
        <v>0</v>
      </c>
      <c r="BFN24">
        <f t="shared" si="869"/>
        <v>0</v>
      </c>
      <c r="BFO24">
        <f t="shared" si="870"/>
        <v>0</v>
      </c>
      <c r="BFP24">
        <f t="shared" si="871"/>
        <v>0</v>
      </c>
      <c r="BFQ24">
        <f t="shared" si="872"/>
        <v>0</v>
      </c>
      <c r="BFR24">
        <f t="shared" si="873"/>
        <v>0</v>
      </c>
      <c r="BFS24">
        <f t="shared" si="874"/>
        <v>0</v>
      </c>
      <c r="BFT24">
        <f t="shared" si="875"/>
        <v>0</v>
      </c>
      <c r="BFU24">
        <f t="shared" si="876"/>
        <v>0</v>
      </c>
      <c r="BFV24">
        <f t="shared" si="877"/>
        <v>0</v>
      </c>
      <c r="BFW24">
        <f t="shared" si="878"/>
        <v>0</v>
      </c>
      <c r="BFX24">
        <f t="shared" si="879"/>
        <v>0</v>
      </c>
      <c r="BFY24">
        <f t="shared" si="880"/>
        <v>0</v>
      </c>
      <c r="BFZ24">
        <f t="shared" si="881"/>
        <v>0</v>
      </c>
      <c r="BGA24">
        <f t="shared" si="882"/>
        <v>0</v>
      </c>
      <c r="BGB24">
        <f t="shared" si="883"/>
        <v>0</v>
      </c>
      <c r="BGC24">
        <f t="shared" si="884"/>
        <v>0</v>
      </c>
      <c r="BGD24">
        <f t="shared" si="46"/>
        <v>0</v>
      </c>
      <c r="BGE24">
        <f t="shared" si="885"/>
        <v>0</v>
      </c>
      <c r="BGF24">
        <f t="shared" si="886"/>
        <v>0</v>
      </c>
      <c r="BGG24">
        <f t="shared" si="887"/>
        <v>0</v>
      </c>
      <c r="BGH24">
        <f t="shared" si="888"/>
        <v>0</v>
      </c>
      <c r="BGI24">
        <f t="shared" si="889"/>
        <v>0</v>
      </c>
      <c r="BGJ24">
        <f t="shared" si="890"/>
        <v>0</v>
      </c>
      <c r="BGK24">
        <f t="shared" si="891"/>
        <v>0</v>
      </c>
      <c r="BGL24">
        <f t="shared" si="892"/>
        <v>0</v>
      </c>
      <c r="BGM24">
        <f t="shared" si="893"/>
        <v>0</v>
      </c>
      <c r="BGN24">
        <f t="shared" si="894"/>
        <v>0</v>
      </c>
      <c r="BGO24">
        <f t="shared" si="895"/>
        <v>0</v>
      </c>
      <c r="BGP24">
        <f t="shared" si="896"/>
        <v>0</v>
      </c>
      <c r="BGQ24">
        <f t="shared" si="897"/>
        <v>0</v>
      </c>
      <c r="BGR24">
        <f t="shared" si="898"/>
        <v>0</v>
      </c>
      <c r="BGS24">
        <f t="shared" si="899"/>
        <v>0</v>
      </c>
      <c r="BGT24">
        <f t="shared" si="900"/>
        <v>0</v>
      </c>
      <c r="BGU24">
        <f t="shared" si="901"/>
        <v>0</v>
      </c>
      <c r="BGV24">
        <f t="shared" si="902"/>
        <v>0</v>
      </c>
      <c r="BGW24">
        <f t="shared" si="903"/>
        <v>0</v>
      </c>
      <c r="BGX24">
        <f t="shared" si="904"/>
        <v>0</v>
      </c>
      <c r="BGY24">
        <f t="shared" si="905"/>
        <v>0</v>
      </c>
      <c r="BGZ24">
        <f t="shared" si="906"/>
        <v>0</v>
      </c>
      <c r="BHA24">
        <f t="shared" si="907"/>
        <v>0</v>
      </c>
      <c r="BHB24">
        <f t="shared" si="908"/>
        <v>0</v>
      </c>
      <c r="BHC24">
        <f t="shared" si="909"/>
        <v>0</v>
      </c>
      <c r="BHD24">
        <f t="shared" si="910"/>
        <v>0</v>
      </c>
      <c r="BHE24">
        <f t="shared" si="911"/>
        <v>0</v>
      </c>
      <c r="BHF24">
        <f t="shared" si="912"/>
        <v>0</v>
      </c>
      <c r="BHG24">
        <f t="shared" si="913"/>
        <v>0</v>
      </c>
      <c r="BHH24">
        <f t="shared" si="914"/>
        <v>0</v>
      </c>
      <c r="BHI24">
        <f t="shared" si="915"/>
        <v>0</v>
      </c>
      <c r="BHJ24">
        <f t="shared" si="916"/>
        <v>0</v>
      </c>
      <c r="BHK24">
        <f t="shared" si="917"/>
        <v>0</v>
      </c>
      <c r="BHL24">
        <f t="shared" si="918"/>
        <v>0</v>
      </c>
      <c r="BHM24">
        <f t="shared" si="919"/>
        <v>0</v>
      </c>
      <c r="BHN24">
        <f t="shared" si="920"/>
        <v>0</v>
      </c>
      <c r="BHO24">
        <f t="shared" si="921"/>
        <v>0</v>
      </c>
      <c r="BHP24">
        <f t="shared" si="922"/>
        <v>0</v>
      </c>
      <c r="BHQ24">
        <f t="shared" si="923"/>
        <v>0</v>
      </c>
      <c r="BHR24">
        <f t="shared" si="924"/>
        <v>0</v>
      </c>
      <c r="BHS24">
        <f t="shared" si="925"/>
        <v>0</v>
      </c>
      <c r="BHT24">
        <f t="shared" si="926"/>
        <v>0</v>
      </c>
      <c r="BHU24">
        <f t="shared" si="927"/>
        <v>0</v>
      </c>
      <c r="BHV24">
        <f t="shared" si="928"/>
        <v>0</v>
      </c>
      <c r="BHW24">
        <f t="shared" si="929"/>
        <v>0</v>
      </c>
      <c r="BHX24">
        <f t="shared" si="930"/>
        <v>0</v>
      </c>
      <c r="BHY24">
        <f t="shared" si="931"/>
        <v>0</v>
      </c>
      <c r="BHZ24">
        <f t="shared" si="932"/>
        <v>0</v>
      </c>
      <c r="BIA24">
        <f t="shared" si="933"/>
        <v>0</v>
      </c>
      <c r="BIB24">
        <f t="shared" si="934"/>
        <v>0</v>
      </c>
      <c r="BIC24">
        <f t="shared" si="935"/>
        <v>0</v>
      </c>
      <c r="BID24">
        <f t="shared" si="936"/>
        <v>0</v>
      </c>
      <c r="BIE24">
        <f t="shared" si="937"/>
        <v>0</v>
      </c>
      <c r="BIF24">
        <f t="shared" si="938"/>
        <v>0</v>
      </c>
      <c r="BIG24">
        <f t="shared" si="939"/>
        <v>0</v>
      </c>
      <c r="BIH24">
        <f t="shared" si="940"/>
        <v>0</v>
      </c>
      <c r="BII24">
        <f t="shared" si="941"/>
        <v>0</v>
      </c>
      <c r="BIJ24">
        <f t="shared" si="942"/>
        <v>0</v>
      </c>
      <c r="BIK24">
        <f t="shared" si="943"/>
        <v>0</v>
      </c>
      <c r="BIL24">
        <f t="shared" si="944"/>
        <v>0</v>
      </c>
      <c r="BIM24">
        <f t="shared" si="945"/>
        <v>0</v>
      </c>
      <c r="BIN24">
        <f t="shared" si="946"/>
        <v>0</v>
      </c>
      <c r="BIO24">
        <f t="shared" si="947"/>
        <v>0</v>
      </c>
      <c r="BIP24">
        <f t="shared" si="47"/>
        <v>0</v>
      </c>
      <c r="BIQ24">
        <f t="shared" si="948"/>
        <v>0</v>
      </c>
      <c r="BIR24">
        <f t="shared" si="949"/>
        <v>0</v>
      </c>
      <c r="BIS24">
        <f t="shared" si="950"/>
        <v>0</v>
      </c>
      <c r="BIT24">
        <f t="shared" si="951"/>
        <v>0</v>
      </c>
      <c r="BIU24">
        <f t="shared" si="952"/>
        <v>0</v>
      </c>
      <c r="BIV24">
        <f t="shared" si="953"/>
        <v>0</v>
      </c>
      <c r="BIW24">
        <f t="shared" si="954"/>
        <v>0</v>
      </c>
      <c r="BIX24">
        <f t="shared" si="955"/>
        <v>0</v>
      </c>
      <c r="BIY24">
        <f t="shared" si="956"/>
        <v>0</v>
      </c>
      <c r="BIZ24">
        <f t="shared" si="957"/>
        <v>0</v>
      </c>
      <c r="BJA24">
        <f t="shared" si="958"/>
        <v>0</v>
      </c>
      <c r="BJB24">
        <f t="shared" si="959"/>
        <v>0</v>
      </c>
      <c r="BJC24">
        <f t="shared" si="960"/>
        <v>0</v>
      </c>
      <c r="BJD24">
        <f t="shared" si="961"/>
        <v>0</v>
      </c>
      <c r="BJE24">
        <f t="shared" si="962"/>
        <v>0</v>
      </c>
      <c r="BJF24">
        <f t="shared" si="963"/>
        <v>0</v>
      </c>
      <c r="BJG24">
        <f t="shared" si="964"/>
        <v>0</v>
      </c>
      <c r="BJH24">
        <f t="shared" si="965"/>
        <v>0</v>
      </c>
      <c r="BJI24">
        <f t="shared" si="966"/>
        <v>0</v>
      </c>
      <c r="BJJ24">
        <f t="shared" si="967"/>
        <v>0</v>
      </c>
      <c r="BJK24">
        <f t="shared" si="968"/>
        <v>0</v>
      </c>
      <c r="BJL24">
        <f t="shared" si="969"/>
        <v>0</v>
      </c>
      <c r="BJM24">
        <f t="shared" si="970"/>
        <v>0</v>
      </c>
      <c r="BJN24">
        <f t="shared" si="971"/>
        <v>0</v>
      </c>
      <c r="BJO24">
        <f t="shared" si="972"/>
        <v>0</v>
      </c>
      <c r="BJP24">
        <f t="shared" si="973"/>
        <v>0</v>
      </c>
      <c r="BJQ24">
        <f t="shared" si="974"/>
        <v>0</v>
      </c>
      <c r="BJR24">
        <f t="shared" si="975"/>
        <v>0</v>
      </c>
      <c r="BJS24">
        <f t="shared" si="976"/>
        <v>0</v>
      </c>
      <c r="BJT24">
        <f t="shared" si="977"/>
        <v>0</v>
      </c>
      <c r="BJU24">
        <f t="shared" si="978"/>
        <v>0</v>
      </c>
      <c r="BJV24">
        <f t="shared" si="979"/>
        <v>0</v>
      </c>
      <c r="BJW24">
        <f t="shared" si="980"/>
        <v>0</v>
      </c>
      <c r="BJX24">
        <f t="shared" si="981"/>
        <v>0</v>
      </c>
      <c r="BJY24">
        <f t="shared" si="982"/>
        <v>0</v>
      </c>
      <c r="BJZ24">
        <f t="shared" si="983"/>
        <v>0</v>
      </c>
      <c r="BKA24">
        <f t="shared" si="984"/>
        <v>0</v>
      </c>
      <c r="BKB24">
        <f t="shared" si="985"/>
        <v>0</v>
      </c>
      <c r="BKC24">
        <f t="shared" si="986"/>
        <v>0</v>
      </c>
      <c r="BKD24">
        <f t="shared" si="987"/>
        <v>0</v>
      </c>
      <c r="BKE24">
        <f t="shared" si="988"/>
        <v>0</v>
      </c>
      <c r="BKF24">
        <f t="shared" si="989"/>
        <v>0</v>
      </c>
      <c r="BKG24">
        <f t="shared" si="990"/>
        <v>0</v>
      </c>
      <c r="BKH24">
        <f t="shared" si="991"/>
        <v>0</v>
      </c>
      <c r="BKI24">
        <f t="shared" si="992"/>
        <v>0</v>
      </c>
      <c r="BKJ24">
        <f t="shared" si="993"/>
        <v>0</v>
      </c>
      <c r="BKK24">
        <f t="shared" si="994"/>
        <v>0</v>
      </c>
      <c r="BKL24">
        <f t="shared" si="995"/>
        <v>0</v>
      </c>
      <c r="BKM24">
        <f t="shared" si="996"/>
        <v>0</v>
      </c>
      <c r="BKN24">
        <f t="shared" si="997"/>
        <v>0</v>
      </c>
      <c r="BKO24">
        <f t="shared" si="998"/>
        <v>0</v>
      </c>
      <c r="BKP24">
        <f t="shared" si="999"/>
        <v>0</v>
      </c>
      <c r="BKQ24">
        <f t="shared" si="1000"/>
        <v>0</v>
      </c>
      <c r="BKR24">
        <f t="shared" si="1001"/>
        <v>0</v>
      </c>
      <c r="BKS24">
        <f t="shared" si="1002"/>
        <v>0</v>
      </c>
      <c r="BKT24">
        <f t="shared" si="1003"/>
        <v>0</v>
      </c>
      <c r="BKU24">
        <f t="shared" si="1004"/>
        <v>0</v>
      </c>
      <c r="BKV24">
        <f t="shared" si="1005"/>
        <v>0</v>
      </c>
      <c r="BKW24">
        <f t="shared" si="1006"/>
        <v>0</v>
      </c>
      <c r="BKX24">
        <f t="shared" si="1007"/>
        <v>0</v>
      </c>
      <c r="BKY24">
        <f t="shared" si="1008"/>
        <v>0</v>
      </c>
      <c r="BKZ24">
        <f t="shared" si="1009"/>
        <v>0</v>
      </c>
      <c r="BLA24">
        <f t="shared" si="1010"/>
        <v>0</v>
      </c>
      <c r="BLB24">
        <f t="shared" si="48"/>
        <v>0</v>
      </c>
      <c r="BLC24">
        <f t="shared" si="1011"/>
        <v>0</v>
      </c>
      <c r="BLD24">
        <f t="shared" si="1012"/>
        <v>0</v>
      </c>
      <c r="BLE24">
        <f t="shared" si="1013"/>
        <v>0</v>
      </c>
      <c r="BLF24">
        <f t="shared" si="1014"/>
        <v>0</v>
      </c>
      <c r="BLG24">
        <f t="shared" si="1015"/>
        <v>0</v>
      </c>
      <c r="BLH24">
        <f t="shared" si="1016"/>
        <v>0</v>
      </c>
      <c r="BLI24">
        <f t="shared" si="1017"/>
        <v>0</v>
      </c>
      <c r="BLJ24">
        <f t="shared" si="1018"/>
        <v>0</v>
      </c>
      <c r="BLK24">
        <f t="shared" si="1019"/>
        <v>0</v>
      </c>
      <c r="BLL24">
        <f t="shared" si="1020"/>
        <v>0</v>
      </c>
      <c r="BLM24">
        <f t="shared" si="1021"/>
        <v>0</v>
      </c>
      <c r="BLN24">
        <f t="shared" si="1022"/>
        <v>0</v>
      </c>
      <c r="BLO24">
        <f t="shared" si="1023"/>
        <v>0</v>
      </c>
      <c r="BLP24">
        <f t="shared" si="1024"/>
        <v>0</v>
      </c>
      <c r="BLQ24">
        <f t="shared" si="1025"/>
        <v>0</v>
      </c>
      <c r="BLR24">
        <f t="shared" si="1026"/>
        <v>0</v>
      </c>
      <c r="BLS24">
        <f t="shared" si="1027"/>
        <v>0</v>
      </c>
      <c r="BLT24">
        <f t="shared" si="1028"/>
        <v>0</v>
      </c>
      <c r="BLU24">
        <f t="shared" si="1029"/>
        <v>0</v>
      </c>
      <c r="BLV24">
        <f t="shared" si="1030"/>
        <v>0</v>
      </c>
      <c r="BLW24">
        <f t="shared" si="1031"/>
        <v>0</v>
      </c>
      <c r="BLX24">
        <f t="shared" si="1032"/>
        <v>0</v>
      </c>
      <c r="BLY24">
        <f t="shared" si="1033"/>
        <v>0</v>
      </c>
      <c r="BLZ24">
        <f t="shared" si="1034"/>
        <v>0</v>
      </c>
      <c r="BMA24">
        <f t="shared" si="1035"/>
        <v>0</v>
      </c>
      <c r="BMB24">
        <f t="shared" si="1036"/>
        <v>0</v>
      </c>
      <c r="BMC24">
        <f t="shared" si="1037"/>
        <v>0</v>
      </c>
      <c r="BMD24">
        <f t="shared" si="1038"/>
        <v>0</v>
      </c>
      <c r="BME24">
        <f t="shared" si="1039"/>
        <v>0</v>
      </c>
      <c r="BMF24">
        <f t="shared" si="1040"/>
        <v>0</v>
      </c>
      <c r="BMG24">
        <f t="shared" si="1041"/>
        <v>0</v>
      </c>
      <c r="BMH24">
        <f t="shared" si="1042"/>
        <v>0</v>
      </c>
      <c r="BMI24">
        <f t="shared" si="1043"/>
        <v>0</v>
      </c>
      <c r="BMJ24">
        <f t="shared" si="1044"/>
        <v>0</v>
      </c>
      <c r="BMK24">
        <f t="shared" si="1045"/>
        <v>0</v>
      </c>
      <c r="BML24">
        <f t="shared" si="1046"/>
        <v>0</v>
      </c>
      <c r="BMM24">
        <f t="shared" si="1047"/>
        <v>0</v>
      </c>
      <c r="BMN24">
        <f t="shared" si="1048"/>
        <v>0</v>
      </c>
      <c r="BMO24">
        <f t="shared" si="1049"/>
        <v>0</v>
      </c>
      <c r="BMP24">
        <f t="shared" si="1050"/>
        <v>0</v>
      </c>
      <c r="BMQ24">
        <f t="shared" si="1051"/>
        <v>0</v>
      </c>
      <c r="BMR24">
        <f t="shared" si="1052"/>
        <v>0</v>
      </c>
      <c r="BMS24">
        <f t="shared" si="1053"/>
        <v>0</v>
      </c>
      <c r="BMT24">
        <f t="shared" si="1054"/>
        <v>0</v>
      </c>
      <c r="BMU24">
        <f t="shared" si="1055"/>
        <v>0</v>
      </c>
      <c r="BMV24">
        <f t="shared" si="1056"/>
        <v>0</v>
      </c>
      <c r="BMW24">
        <f t="shared" si="1057"/>
        <v>0</v>
      </c>
      <c r="BMX24">
        <f t="shared" si="1058"/>
        <v>0</v>
      </c>
      <c r="BMY24">
        <f t="shared" si="1059"/>
        <v>0</v>
      </c>
      <c r="BMZ24">
        <f t="shared" si="1060"/>
        <v>0</v>
      </c>
      <c r="BNA24">
        <f t="shared" si="1061"/>
        <v>0</v>
      </c>
      <c r="BNB24">
        <f t="shared" si="1062"/>
        <v>0</v>
      </c>
      <c r="BNC24">
        <f t="shared" si="1063"/>
        <v>0</v>
      </c>
      <c r="BND24">
        <f t="shared" si="1064"/>
        <v>0</v>
      </c>
      <c r="BNE24">
        <f t="shared" si="1065"/>
        <v>0</v>
      </c>
      <c r="BNF24">
        <f t="shared" si="1066"/>
        <v>0</v>
      </c>
      <c r="BNG24">
        <f t="shared" si="1067"/>
        <v>0</v>
      </c>
      <c r="BNH24">
        <f t="shared" si="1068"/>
        <v>0</v>
      </c>
      <c r="BNI24">
        <f t="shared" si="1069"/>
        <v>0</v>
      </c>
      <c r="BNJ24">
        <f t="shared" si="1070"/>
        <v>0</v>
      </c>
      <c r="BNK24">
        <f t="shared" si="1071"/>
        <v>0</v>
      </c>
      <c r="BNL24">
        <f t="shared" si="1072"/>
        <v>0</v>
      </c>
      <c r="BNM24">
        <f t="shared" si="1073"/>
        <v>0</v>
      </c>
      <c r="BNN24">
        <f t="shared" si="49"/>
        <v>0</v>
      </c>
      <c r="BNO24">
        <f t="shared" si="1074"/>
        <v>0</v>
      </c>
      <c r="BNP24">
        <f t="shared" si="1075"/>
        <v>0</v>
      </c>
      <c r="BNQ24">
        <f t="shared" si="1076"/>
        <v>0</v>
      </c>
      <c r="BNR24">
        <f t="shared" si="1077"/>
        <v>0</v>
      </c>
      <c r="BNS24">
        <f t="shared" si="1078"/>
        <v>0</v>
      </c>
      <c r="BNT24">
        <f t="shared" si="1079"/>
        <v>0</v>
      </c>
      <c r="BNU24">
        <f t="shared" si="1080"/>
        <v>0</v>
      </c>
      <c r="BNV24">
        <f t="shared" si="1081"/>
        <v>0</v>
      </c>
      <c r="BNW24">
        <f t="shared" si="1082"/>
        <v>0</v>
      </c>
      <c r="BNX24">
        <f t="shared" si="1083"/>
        <v>0</v>
      </c>
      <c r="BNY24">
        <f t="shared" si="1084"/>
        <v>0</v>
      </c>
      <c r="BNZ24">
        <f t="shared" si="1085"/>
        <v>0</v>
      </c>
      <c r="BOA24">
        <f t="shared" si="1086"/>
        <v>0</v>
      </c>
      <c r="BOB24">
        <f t="shared" si="1087"/>
        <v>0</v>
      </c>
      <c r="BOC24">
        <f t="shared" si="1088"/>
        <v>0</v>
      </c>
      <c r="BOD24">
        <f t="shared" si="1089"/>
        <v>0</v>
      </c>
      <c r="BOE24">
        <f t="shared" si="1090"/>
        <v>0</v>
      </c>
      <c r="BOF24">
        <f t="shared" si="1091"/>
        <v>0</v>
      </c>
      <c r="BOG24">
        <f t="shared" si="1092"/>
        <v>0</v>
      </c>
      <c r="BOH24">
        <f t="shared" si="1093"/>
        <v>0</v>
      </c>
      <c r="BOI24">
        <f t="shared" si="1094"/>
        <v>0</v>
      </c>
      <c r="BOJ24">
        <f t="shared" si="1095"/>
        <v>0</v>
      </c>
      <c r="BOK24">
        <f t="shared" si="1096"/>
        <v>0</v>
      </c>
      <c r="BOL24">
        <f t="shared" si="1097"/>
        <v>0</v>
      </c>
      <c r="BOM24">
        <f t="shared" si="1098"/>
        <v>0</v>
      </c>
      <c r="BON24">
        <f t="shared" si="1099"/>
        <v>0</v>
      </c>
      <c r="BOO24">
        <f t="shared" si="1100"/>
        <v>0</v>
      </c>
      <c r="BOP24">
        <f t="shared" si="1101"/>
        <v>0</v>
      </c>
      <c r="BOQ24">
        <f t="shared" si="1102"/>
        <v>0</v>
      </c>
      <c r="BOR24">
        <f t="shared" si="1103"/>
        <v>0</v>
      </c>
      <c r="BOS24">
        <f t="shared" si="1104"/>
        <v>0</v>
      </c>
      <c r="BOT24">
        <f t="shared" si="1105"/>
        <v>0</v>
      </c>
      <c r="BOU24">
        <f t="shared" si="1106"/>
        <v>0</v>
      </c>
      <c r="BOV24">
        <f t="shared" si="1107"/>
        <v>0</v>
      </c>
      <c r="BOW24">
        <f t="shared" si="1108"/>
        <v>0</v>
      </c>
      <c r="BOX24">
        <f t="shared" si="1109"/>
        <v>0</v>
      </c>
      <c r="BOY24">
        <f t="shared" si="1110"/>
        <v>0</v>
      </c>
      <c r="BOZ24">
        <f t="shared" si="1111"/>
        <v>0</v>
      </c>
      <c r="BPA24">
        <f t="shared" si="1112"/>
        <v>0</v>
      </c>
      <c r="BPB24">
        <f t="shared" si="1113"/>
        <v>0</v>
      </c>
      <c r="BPC24">
        <f t="shared" si="1114"/>
        <v>0</v>
      </c>
      <c r="BPD24">
        <f t="shared" si="1115"/>
        <v>0</v>
      </c>
      <c r="BPE24">
        <f t="shared" si="1116"/>
        <v>0</v>
      </c>
      <c r="BPF24">
        <f t="shared" si="1117"/>
        <v>0</v>
      </c>
      <c r="BPG24">
        <f t="shared" si="1118"/>
        <v>0</v>
      </c>
      <c r="BPH24">
        <f t="shared" si="1119"/>
        <v>0</v>
      </c>
      <c r="BPI24">
        <f t="shared" si="1120"/>
        <v>0</v>
      </c>
      <c r="BPJ24">
        <f t="shared" si="1121"/>
        <v>0</v>
      </c>
      <c r="BPK24">
        <f t="shared" si="1122"/>
        <v>0</v>
      </c>
      <c r="BPL24">
        <f t="shared" si="1123"/>
        <v>0</v>
      </c>
      <c r="BPM24">
        <f t="shared" si="1124"/>
        <v>0</v>
      </c>
      <c r="BPN24">
        <f t="shared" si="1125"/>
        <v>0</v>
      </c>
      <c r="BPO24">
        <f t="shared" si="1126"/>
        <v>0</v>
      </c>
      <c r="BPP24">
        <f t="shared" si="1127"/>
        <v>0</v>
      </c>
      <c r="BPQ24">
        <f t="shared" si="1128"/>
        <v>0</v>
      </c>
      <c r="BPR24">
        <f t="shared" si="1129"/>
        <v>0</v>
      </c>
      <c r="BPS24">
        <f t="shared" si="1130"/>
        <v>0</v>
      </c>
      <c r="BPT24">
        <f t="shared" si="1131"/>
        <v>0</v>
      </c>
      <c r="BPU24">
        <f t="shared" si="1132"/>
        <v>0</v>
      </c>
      <c r="BPV24">
        <f t="shared" si="1133"/>
        <v>0</v>
      </c>
      <c r="BPW24">
        <f t="shared" si="1134"/>
        <v>0</v>
      </c>
      <c r="BPX24">
        <f t="shared" si="1135"/>
        <v>0</v>
      </c>
      <c r="BPY24">
        <f t="shared" si="1136"/>
        <v>0</v>
      </c>
      <c r="BPZ24">
        <f t="shared" si="50"/>
        <v>0</v>
      </c>
      <c r="BQA24">
        <f t="shared" si="1137"/>
        <v>0</v>
      </c>
      <c r="BQB24">
        <f t="shared" si="1138"/>
        <v>0</v>
      </c>
      <c r="BQC24">
        <f t="shared" si="1139"/>
        <v>0</v>
      </c>
      <c r="BQD24">
        <f t="shared" si="1140"/>
        <v>0</v>
      </c>
      <c r="BQE24">
        <f t="shared" si="1141"/>
        <v>0</v>
      </c>
      <c r="BQF24">
        <f t="shared" si="1142"/>
        <v>0</v>
      </c>
      <c r="BQG24">
        <f t="shared" si="1143"/>
        <v>0</v>
      </c>
      <c r="BQH24">
        <f t="shared" si="1144"/>
        <v>0</v>
      </c>
      <c r="BQI24">
        <f t="shared" si="1145"/>
        <v>0</v>
      </c>
      <c r="BQJ24">
        <f t="shared" si="1146"/>
        <v>0</v>
      </c>
      <c r="BQK24">
        <f t="shared" si="1147"/>
        <v>0</v>
      </c>
      <c r="BQL24">
        <f t="shared" si="1148"/>
        <v>0</v>
      </c>
      <c r="BQM24">
        <f t="shared" si="1149"/>
        <v>0</v>
      </c>
      <c r="BQN24">
        <f t="shared" si="1150"/>
        <v>0</v>
      </c>
      <c r="BQO24">
        <f t="shared" si="1151"/>
        <v>0</v>
      </c>
      <c r="BQP24">
        <f t="shared" si="1152"/>
        <v>0</v>
      </c>
      <c r="BQQ24">
        <f t="shared" si="1153"/>
        <v>0</v>
      </c>
      <c r="BQR24">
        <f t="shared" si="1154"/>
        <v>0</v>
      </c>
      <c r="BQS24">
        <f t="shared" si="1155"/>
        <v>0</v>
      </c>
      <c r="BQT24">
        <f t="shared" si="1156"/>
        <v>0</v>
      </c>
      <c r="BQU24">
        <f t="shared" si="1157"/>
        <v>0</v>
      </c>
      <c r="BQV24">
        <f t="shared" si="1158"/>
        <v>0</v>
      </c>
      <c r="BQW24">
        <f t="shared" si="1159"/>
        <v>0</v>
      </c>
      <c r="BQX24">
        <f t="shared" si="1160"/>
        <v>0</v>
      </c>
      <c r="BQY24">
        <f t="shared" si="1161"/>
        <v>0</v>
      </c>
      <c r="BQZ24">
        <f t="shared" si="1162"/>
        <v>0</v>
      </c>
      <c r="BRA24">
        <f t="shared" si="1163"/>
        <v>0</v>
      </c>
      <c r="BRB24">
        <f t="shared" si="1164"/>
        <v>0</v>
      </c>
      <c r="BRC24">
        <f t="shared" si="1165"/>
        <v>0</v>
      </c>
      <c r="BRD24">
        <f t="shared" si="1166"/>
        <v>0</v>
      </c>
      <c r="BRE24">
        <f t="shared" si="1167"/>
        <v>0</v>
      </c>
      <c r="BRF24">
        <f t="shared" si="1168"/>
        <v>0</v>
      </c>
      <c r="BRG24">
        <f t="shared" si="1169"/>
        <v>0</v>
      </c>
      <c r="BRH24">
        <f t="shared" si="1170"/>
        <v>0</v>
      </c>
      <c r="BRI24">
        <f t="shared" si="1171"/>
        <v>0</v>
      </c>
      <c r="BRJ24">
        <f t="shared" si="1172"/>
        <v>0</v>
      </c>
      <c r="BRK24">
        <f t="shared" si="1173"/>
        <v>0</v>
      </c>
      <c r="BRL24">
        <f t="shared" si="1174"/>
        <v>0</v>
      </c>
      <c r="BRM24">
        <f t="shared" si="1175"/>
        <v>0</v>
      </c>
      <c r="BRN24">
        <f t="shared" si="1176"/>
        <v>0</v>
      </c>
      <c r="BRO24">
        <f t="shared" si="1177"/>
        <v>0</v>
      </c>
      <c r="BRP24">
        <f t="shared" si="1178"/>
        <v>0</v>
      </c>
      <c r="BRQ24">
        <f t="shared" si="1179"/>
        <v>0</v>
      </c>
      <c r="BRR24">
        <f t="shared" si="1180"/>
        <v>0</v>
      </c>
      <c r="BRS24">
        <f t="shared" si="1181"/>
        <v>0</v>
      </c>
      <c r="BRT24">
        <f t="shared" si="1182"/>
        <v>0</v>
      </c>
      <c r="BRU24">
        <f t="shared" si="1183"/>
        <v>0</v>
      </c>
      <c r="BRV24">
        <f t="shared" si="1184"/>
        <v>0</v>
      </c>
      <c r="BRW24">
        <f t="shared" si="1185"/>
        <v>0</v>
      </c>
      <c r="BRX24">
        <f t="shared" si="1186"/>
        <v>0</v>
      </c>
      <c r="BRY24">
        <f t="shared" si="1187"/>
        <v>0</v>
      </c>
      <c r="BRZ24">
        <f t="shared" si="1188"/>
        <v>0</v>
      </c>
      <c r="BSA24">
        <f t="shared" si="1189"/>
        <v>0</v>
      </c>
      <c r="BSB24">
        <f t="shared" si="1190"/>
        <v>0</v>
      </c>
      <c r="BSC24">
        <f t="shared" si="1191"/>
        <v>0</v>
      </c>
      <c r="BSD24">
        <f t="shared" si="1192"/>
        <v>0</v>
      </c>
      <c r="BSE24">
        <f t="shared" si="1193"/>
        <v>0</v>
      </c>
      <c r="BSF24">
        <f t="shared" si="1194"/>
        <v>0</v>
      </c>
      <c r="BSG24">
        <f t="shared" si="1195"/>
        <v>0</v>
      </c>
      <c r="BSH24">
        <f t="shared" si="1196"/>
        <v>0</v>
      </c>
      <c r="BSI24">
        <f t="shared" si="1197"/>
        <v>0</v>
      </c>
      <c r="BSJ24">
        <f t="shared" si="1198"/>
        <v>0</v>
      </c>
      <c r="BSK24">
        <f t="shared" si="1199"/>
        <v>0</v>
      </c>
      <c r="BSL24">
        <f t="shared" si="51"/>
        <v>0</v>
      </c>
      <c r="BSM24">
        <f t="shared" si="1200"/>
        <v>0</v>
      </c>
      <c r="BSN24">
        <f t="shared" si="1201"/>
        <v>0</v>
      </c>
      <c r="BSO24">
        <f t="shared" si="1202"/>
        <v>0</v>
      </c>
      <c r="BSP24">
        <f t="shared" si="1203"/>
        <v>0</v>
      </c>
      <c r="BSQ24">
        <f t="shared" si="1204"/>
        <v>0</v>
      </c>
      <c r="BSR24">
        <f t="shared" si="1205"/>
        <v>0</v>
      </c>
      <c r="BSS24">
        <f t="shared" si="1206"/>
        <v>0</v>
      </c>
      <c r="BST24">
        <f t="shared" si="1207"/>
        <v>0</v>
      </c>
      <c r="BSU24">
        <f t="shared" si="1208"/>
        <v>0</v>
      </c>
      <c r="BSV24">
        <f t="shared" si="1209"/>
        <v>0</v>
      </c>
      <c r="BSW24">
        <f t="shared" si="1210"/>
        <v>0</v>
      </c>
      <c r="BSX24">
        <f t="shared" si="1211"/>
        <v>0</v>
      </c>
      <c r="BSY24">
        <f t="shared" si="1212"/>
        <v>0</v>
      </c>
      <c r="BSZ24">
        <f t="shared" si="1213"/>
        <v>0</v>
      </c>
      <c r="BTA24">
        <f t="shared" si="1214"/>
        <v>0</v>
      </c>
      <c r="BTB24">
        <f t="shared" si="1215"/>
        <v>0</v>
      </c>
      <c r="BTC24">
        <f t="shared" si="1216"/>
        <v>0</v>
      </c>
      <c r="BTD24">
        <f t="shared" si="1217"/>
        <v>0</v>
      </c>
      <c r="BTE24">
        <f t="shared" si="1218"/>
        <v>0</v>
      </c>
      <c r="BTF24">
        <f t="shared" si="1219"/>
        <v>0</v>
      </c>
      <c r="BTG24">
        <f t="shared" si="1220"/>
        <v>0</v>
      </c>
      <c r="BTH24">
        <f t="shared" si="1221"/>
        <v>0</v>
      </c>
      <c r="BTI24">
        <f t="shared" si="1222"/>
        <v>0</v>
      </c>
      <c r="BTJ24">
        <f t="shared" si="1223"/>
        <v>0</v>
      </c>
      <c r="BTK24">
        <f t="shared" si="1224"/>
        <v>0</v>
      </c>
      <c r="BTL24">
        <f t="shared" si="1225"/>
        <v>0</v>
      </c>
      <c r="BTM24">
        <f t="shared" si="1226"/>
        <v>0</v>
      </c>
      <c r="BTN24">
        <f t="shared" si="1227"/>
        <v>0</v>
      </c>
      <c r="BTO24">
        <f t="shared" si="1228"/>
        <v>0</v>
      </c>
      <c r="BTP24">
        <f t="shared" si="1229"/>
        <v>0</v>
      </c>
      <c r="BTQ24">
        <f t="shared" si="1230"/>
        <v>0</v>
      </c>
      <c r="BTR24">
        <f t="shared" si="1231"/>
        <v>0</v>
      </c>
      <c r="BTS24">
        <f t="shared" si="1232"/>
        <v>0</v>
      </c>
      <c r="BTT24">
        <f t="shared" si="1233"/>
        <v>0</v>
      </c>
      <c r="BTU24">
        <f t="shared" si="1234"/>
        <v>0</v>
      </c>
      <c r="BTV24">
        <f t="shared" si="1235"/>
        <v>0</v>
      </c>
      <c r="BTW24">
        <f t="shared" si="1236"/>
        <v>0</v>
      </c>
      <c r="BTX24">
        <f t="shared" si="1237"/>
        <v>0</v>
      </c>
      <c r="BTY24">
        <f t="shared" si="1238"/>
        <v>0</v>
      </c>
      <c r="BTZ24">
        <f t="shared" si="1239"/>
        <v>0</v>
      </c>
      <c r="BUA24">
        <f t="shared" si="1240"/>
        <v>0</v>
      </c>
      <c r="BUB24">
        <f t="shared" si="1241"/>
        <v>0</v>
      </c>
      <c r="BUC24">
        <f t="shared" si="1242"/>
        <v>0</v>
      </c>
      <c r="BUD24">
        <f t="shared" si="1243"/>
        <v>0</v>
      </c>
      <c r="BUE24">
        <f t="shared" si="1244"/>
        <v>0</v>
      </c>
      <c r="BUF24">
        <f t="shared" si="1245"/>
        <v>0</v>
      </c>
      <c r="BUG24">
        <f t="shared" si="1246"/>
        <v>0</v>
      </c>
      <c r="BUH24">
        <f t="shared" si="1247"/>
        <v>0</v>
      </c>
      <c r="BUI24">
        <f t="shared" si="1248"/>
        <v>0</v>
      </c>
      <c r="BUJ24">
        <f t="shared" si="1249"/>
        <v>0</v>
      </c>
      <c r="BUK24">
        <f t="shared" si="1250"/>
        <v>0</v>
      </c>
      <c r="BUL24">
        <f t="shared" si="1251"/>
        <v>0</v>
      </c>
      <c r="BUM24">
        <f t="shared" si="1252"/>
        <v>0</v>
      </c>
      <c r="BUN24">
        <f t="shared" si="1253"/>
        <v>0</v>
      </c>
      <c r="BUO24">
        <f t="shared" si="1254"/>
        <v>0</v>
      </c>
      <c r="BUP24">
        <f t="shared" si="1255"/>
        <v>0</v>
      </c>
      <c r="BUQ24">
        <f t="shared" si="1256"/>
        <v>0</v>
      </c>
      <c r="BUR24">
        <f t="shared" si="1257"/>
        <v>0</v>
      </c>
      <c r="BUS24">
        <f t="shared" si="1258"/>
        <v>0</v>
      </c>
      <c r="BUT24">
        <f t="shared" si="1259"/>
        <v>0</v>
      </c>
      <c r="BUU24">
        <f t="shared" si="1260"/>
        <v>0</v>
      </c>
      <c r="BUV24">
        <f t="shared" si="1261"/>
        <v>0</v>
      </c>
      <c r="BUW24">
        <f t="shared" si="1262"/>
        <v>0</v>
      </c>
      <c r="BUX24">
        <f t="shared" si="52"/>
        <v>0</v>
      </c>
      <c r="BUY24">
        <f t="shared" si="1263"/>
        <v>0</v>
      </c>
      <c r="BUZ24">
        <f t="shared" si="1264"/>
        <v>0</v>
      </c>
      <c r="BVA24">
        <f t="shared" si="1265"/>
        <v>0</v>
      </c>
      <c r="BVB24">
        <f t="shared" si="1266"/>
        <v>0</v>
      </c>
      <c r="BVC24">
        <f t="shared" si="1267"/>
        <v>0</v>
      </c>
      <c r="BVD24">
        <f t="shared" si="1268"/>
        <v>0</v>
      </c>
      <c r="BVE24">
        <f t="shared" si="1269"/>
        <v>0</v>
      </c>
      <c r="BVF24">
        <f t="shared" si="1270"/>
        <v>0</v>
      </c>
      <c r="BVG24">
        <f t="shared" si="1271"/>
        <v>0</v>
      </c>
      <c r="BVH24">
        <f t="shared" si="1272"/>
        <v>0</v>
      </c>
      <c r="BVI24">
        <f t="shared" si="1273"/>
        <v>0</v>
      </c>
      <c r="BVJ24">
        <f t="shared" si="1274"/>
        <v>0</v>
      </c>
      <c r="BVK24">
        <f t="shared" si="1275"/>
        <v>0</v>
      </c>
      <c r="BVL24">
        <f t="shared" si="1276"/>
        <v>0</v>
      </c>
      <c r="BVM24">
        <f t="shared" si="1277"/>
        <v>0</v>
      </c>
      <c r="BVN24">
        <f t="shared" si="1278"/>
        <v>0</v>
      </c>
      <c r="BVO24">
        <f t="shared" si="1279"/>
        <v>0</v>
      </c>
      <c r="BVP24">
        <f t="shared" si="1280"/>
        <v>0</v>
      </c>
      <c r="BVQ24">
        <f t="shared" si="1281"/>
        <v>0</v>
      </c>
      <c r="BVR24">
        <f t="shared" si="1282"/>
        <v>0</v>
      </c>
      <c r="BVS24">
        <f t="shared" si="1283"/>
        <v>0</v>
      </c>
      <c r="BVT24">
        <f t="shared" si="1284"/>
        <v>0</v>
      </c>
      <c r="BVU24">
        <f t="shared" si="1285"/>
        <v>0</v>
      </c>
      <c r="BVV24">
        <f t="shared" si="1286"/>
        <v>0</v>
      </c>
      <c r="BVW24">
        <f t="shared" si="1287"/>
        <v>0</v>
      </c>
      <c r="BVX24">
        <f t="shared" si="1288"/>
        <v>0</v>
      </c>
      <c r="BVY24">
        <f t="shared" si="1289"/>
        <v>0</v>
      </c>
      <c r="BVZ24">
        <f t="shared" si="1290"/>
        <v>0</v>
      </c>
      <c r="BWA24">
        <f t="shared" si="1291"/>
        <v>0</v>
      </c>
      <c r="BWB24">
        <f t="shared" si="1292"/>
        <v>0</v>
      </c>
      <c r="BWC24">
        <f t="shared" si="1293"/>
        <v>0</v>
      </c>
      <c r="BWD24">
        <f t="shared" si="1294"/>
        <v>0</v>
      </c>
      <c r="BWE24">
        <f t="shared" si="1295"/>
        <v>0</v>
      </c>
      <c r="BWF24">
        <f t="shared" si="1296"/>
        <v>0</v>
      </c>
      <c r="BWG24">
        <f t="shared" si="1297"/>
        <v>0</v>
      </c>
      <c r="BWH24">
        <f t="shared" si="1298"/>
        <v>0</v>
      </c>
      <c r="BWI24">
        <f t="shared" si="1299"/>
        <v>0</v>
      </c>
      <c r="BWJ24">
        <f t="shared" si="1300"/>
        <v>0</v>
      </c>
      <c r="BWK24">
        <f t="shared" si="1301"/>
        <v>0</v>
      </c>
      <c r="BWL24">
        <f t="shared" si="1302"/>
        <v>0</v>
      </c>
      <c r="BWM24">
        <f t="shared" si="1303"/>
        <v>0</v>
      </c>
      <c r="BWN24">
        <f t="shared" si="1304"/>
        <v>0</v>
      </c>
      <c r="BWO24">
        <f t="shared" si="1305"/>
        <v>0</v>
      </c>
      <c r="BWP24">
        <f t="shared" si="1306"/>
        <v>0</v>
      </c>
      <c r="BWQ24">
        <f t="shared" si="1307"/>
        <v>0</v>
      </c>
      <c r="BWR24">
        <f t="shared" si="1308"/>
        <v>0</v>
      </c>
      <c r="BWS24">
        <f t="shared" si="1309"/>
        <v>0</v>
      </c>
      <c r="BWT24">
        <f t="shared" si="1310"/>
        <v>0</v>
      </c>
      <c r="BWU24">
        <f t="shared" si="1311"/>
        <v>0</v>
      </c>
      <c r="BWV24">
        <f t="shared" si="1312"/>
        <v>0</v>
      </c>
      <c r="BWW24">
        <f t="shared" si="1313"/>
        <v>0</v>
      </c>
      <c r="BWX24">
        <f t="shared" si="1314"/>
        <v>0</v>
      </c>
      <c r="BWY24">
        <f t="shared" si="1315"/>
        <v>0</v>
      </c>
      <c r="BWZ24">
        <f t="shared" si="1316"/>
        <v>0</v>
      </c>
      <c r="BXA24">
        <f t="shared" si="1317"/>
        <v>0</v>
      </c>
      <c r="BXB24">
        <f t="shared" si="1318"/>
        <v>0</v>
      </c>
      <c r="BXC24">
        <f t="shared" si="1319"/>
        <v>0</v>
      </c>
      <c r="BXD24">
        <f t="shared" si="1320"/>
        <v>0</v>
      </c>
      <c r="BXE24">
        <f t="shared" si="1321"/>
        <v>0</v>
      </c>
      <c r="BXF24">
        <f t="shared" si="1322"/>
        <v>0</v>
      </c>
      <c r="BXG24">
        <f t="shared" si="1323"/>
        <v>0</v>
      </c>
      <c r="BXH24">
        <f t="shared" si="1324"/>
        <v>0</v>
      </c>
      <c r="BXI24">
        <f t="shared" si="1325"/>
        <v>0</v>
      </c>
      <c r="BXJ24">
        <f t="shared" si="53"/>
        <v>0</v>
      </c>
      <c r="BXK24">
        <f t="shared" si="1326"/>
        <v>0</v>
      </c>
      <c r="BXL24">
        <f t="shared" si="1327"/>
        <v>0</v>
      </c>
      <c r="BXM24">
        <f t="shared" si="1328"/>
        <v>0</v>
      </c>
      <c r="BXN24">
        <f t="shared" si="1329"/>
        <v>0</v>
      </c>
      <c r="BXO24">
        <f t="shared" si="1330"/>
        <v>0</v>
      </c>
      <c r="BXP24">
        <f t="shared" si="1331"/>
        <v>0</v>
      </c>
      <c r="BXQ24">
        <f t="shared" si="1332"/>
        <v>0</v>
      </c>
      <c r="BXR24">
        <f t="shared" si="1333"/>
        <v>0</v>
      </c>
      <c r="BXS24">
        <f t="shared" si="1334"/>
        <v>0</v>
      </c>
      <c r="BXT24">
        <f t="shared" si="1335"/>
        <v>0</v>
      </c>
      <c r="BXU24">
        <f t="shared" si="1336"/>
        <v>0</v>
      </c>
      <c r="BXV24">
        <f t="shared" si="1337"/>
        <v>0</v>
      </c>
      <c r="BXW24">
        <f t="shared" si="1338"/>
        <v>0</v>
      </c>
      <c r="BXX24">
        <f t="shared" si="1339"/>
        <v>0</v>
      </c>
      <c r="BXY24">
        <f t="shared" si="1340"/>
        <v>0</v>
      </c>
      <c r="BXZ24">
        <f t="shared" si="1341"/>
        <v>0</v>
      </c>
      <c r="BYA24">
        <f t="shared" si="1342"/>
        <v>0</v>
      </c>
      <c r="BYB24">
        <f t="shared" si="1343"/>
        <v>0</v>
      </c>
      <c r="BYC24">
        <f t="shared" si="1344"/>
        <v>0</v>
      </c>
      <c r="BYD24">
        <f t="shared" si="1345"/>
        <v>0</v>
      </c>
      <c r="BYE24">
        <f t="shared" si="1346"/>
        <v>0</v>
      </c>
      <c r="BYF24">
        <f t="shared" si="1347"/>
        <v>0</v>
      </c>
      <c r="BYG24">
        <f t="shared" si="1348"/>
        <v>0</v>
      </c>
      <c r="BYH24">
        <f t="shared" si="1349"/>
        <v>0</v>
      </c>
      <c r="BYI24">
        <f t="shared" si="1350"/>
        <v>0</v>
      </c>
      <c r="BYJ24">
        <f t="shared" si="1351"/>
        <v>0</v>
      </c>
      <c r="BYK24">
        <f t="shared" si="1352"/>
        <v>0</v>
      </c>
      <c r="BYL24">
        <f t="shared" si="1353"/>
        <v>0</v>
      </c>
      <c r="BYM24">
        <f t="shared" si="1354"/>
        <v>0</v>
      </c>
      <c r="BYN24">
        <f t="shared" si="1355"/>
        <v>0</v>
      </c>
      <c r="BYO24">
        <f t="shared" si="1356"/>
        <v>0</v>
      </c>
      <c r="BYP24">
        <f t="shared" si="1357"/>
        <v>0</v>
      </c>
      <c r="BYQ24">
        <f t="shared" si="1358"/>
        <v>0</v>
      </c>
      <c r="BYR24">
        <f t="shared" si="1359"/>
        <v>0</v>
      </c>
      <c r="BYS24">
        <f t="shared" si="1360"/>
        <v>0</v>
      </c>
      <c r="BYT24">
        <f t="shared" si="1361"/>
        <v>0</v>
      </c>
      <c r="BYU24">
        <f t="shared" si="1362"/>
        <v>0</v>
      </c>
      <c r="BYV24">
        <f t="shared" si="1363"/>
        <v>0</v>
      </c>
      <c r="BYW24">
        <f t="shared" si="1364"/>
        <v>0</v>
      </c>
      <c r="BYX24">
        <f t="shared" si="1365"/>
        <v>0</v>
      </c>
      <c r="BYY24">
        <f t="shared" si="1366"/>
        <v>0</v>
      </c>
      <c r="BYZ24">
        <f t="shared" si="1367"/>
        <v>0</v>
      </c>
      <c r="BZA24">
        <f t="shared" si="1368"/>
        <v>0</v>
      </c>
      <c r="BZB24">
        <f t="shared" si="1369"/>
        <v>0</v>
      </c>
      <c r="BZC24">
        <f t="shared" si="1370"/>
        <v>0</v>
      </c>
      <c r="BZD24">
        <f t="shared" si="1371"/>
        <v>0</v>
      </c>
      <c r="BZE24">
        <f t="shared" si="1372"/>
        <v>0</v>
      </c>
      <c r="BZF24">
        <f t="shared" si="1373"/>
        <v>0</v>
      </c>
      <c r="BZG24">
        <f t="shared" si="1374"/>
        <v>0</v>
      </c>
      <c r="BZH24">
        <f t="shared" si="1375"/>
        <v>0</v>
      </c>
      <c r="BZI24">
        <f t="shared" si="1376"/>
        <v>0</v>
      </c>
      <c r="BZJ24">
        <f t="shared" si="1377"/>
        <v>0</v>
      </c>
      <c r="BZK24">
        <f t="shared" si="1378"/>
        <v>0</v>
      </c>
      <c r="BZL24">
        <f t="shared" si="1379"/>
        <v>0</v>
      </c>
      <c r="BZM24">
        <f t="shared" si="1380"/>
        <v>0</v>
      </c>
      <c r="BZN24">
        <f t="shared" si="1381"/>
        <v>0</v>
      </c>
      <c r="BZO24">
        <f t="shared" si="1382"/>
        <v>0</v>
      </c>
      <c r="BZP24">
        <f t="shared" si="1383"/>
        <v>0</v>
      </c>
      <c r="BZQ24">
        <f t="shared" si="1384"/>
        <v>0</v>
      </c>
      <c r="BZR24">
        <f t="shared" si="1385"/>
        <v>0</v>
      </c>
      <c r="BZS24">
        <f t="shared" si="1386"/>
        <v>0</v>
      </c>
      <c r="BZT24">
        <f t="shared" si="1387"/>
        <v>0</v>
      </c>
      <c r="BZU24">
        <f t="shared" si="1388"/>
        <v>0</v>
      </c>
      <c r="BZV24">
        <f t="shared" si="54"/>
        <v>0</v>
      </c>
      <c r="BZW24">
        <f t="shared" si="1389"/>
        <v>0</v>
      </c>
      <c r="BZX24">
        <f t="shared" si="1390"/>
        <v>0</v>
      </c>
      <c r="BZY24">
        <f t="shared" si="1391"/>
        <v>0</v>
      </c>
      <c r="BZZ24">
        <f t="shared" si="1392"/>
        <v>0</v>
      </c>
      <c r="CAA24">
        <f t="shared" si="1393"/>
        <v>0</v>
      </c>
      <c r="CAB24">
        <f t="shared" si="1394"/>
        <v>0</v>
      </c>
      <c r="CAC24">
        <f t="shared" si="1395"/>
        <v>0</v>
      </c>
      <c r="CAD24">
        <f t="shared" si="1396"/>
        <v>0</v>
      </c>
      <c r="CAE24">
        <f t="shared" si="1397"/>
        <v>0</v>
      </c>
      <c r="CAF24">
        <f t="shared" si="1398"/>
        <v>0</v>
      </c>
      <c r="CAG24">
        <f t="shared" si="1399"/>
        <v>0</v>
      </c>
      <c r="CAH24">
        <f t="shared" si="1400"/>
        <v>0</v>
      </c>
      <c r="CAI24">
        <f t="shared" si="1401"/>
        <v>0</v>
      </c>
      <c r="CAJ24">
        <f t="shared" si="1402"/>
        <v>0</v>
      </c>
      <c r="CAK24">
        <f t="shared" si="1403"/>
        <v>0</v>
      </c>
      <c r="CAL24">
        <f t="shared" si="1404"/>
        <v>0</v>
      </c>
      <c r="CAM24">
        <f t="shared" si="1405"/>
        <v>0</v>
      </c>
      <c r="CAN24">
        <f t="shared" si="1406"/>
        <v>0</v>
      </c>
      <c r="CAO24">
        <f t="shared" si="1407"/>
        <v>0</v>
      </c>
      <c r="CAP24">
        <f t="shared" si="1408"/>
        <v>0</v>
      </c>
      <c r="CAQ24">
        <f t="shared" si="1409"/>
        <v>0</v>
      </c>
      <c r="CAR24">
        <f t="shared" si="1410"/>
        <v>0</v>
      </c>
      <c r="CAS24">
        <f t="shared" si="1411"/>
        <v>0</v>
      </c>
      <c r="CAT24">
        <f t="shared" si="1412"/>
        <v>0</v>
      </c>
      <c r="CAU24">
        <f t="shared" si="1413"/>
        <v>0</v>
      </c>
      <c r="CAV24">
        <f t="shared" si="1414"/>
        <v>0</v>
      </c>
      <c r="CAW24">
        <f t="shared" si="1415"/>
        <v>0</v>
      </c>
      <c r="CAX24">
        <f t="shared" si="1416"/>
        <v>0</v>
      </c>
      <c r="CAY24">
        <f t="shared" si="1417"/>
        <v>0</v>
      </c>
      <c r="CAZ24">
        <f t="shared" si="1418"/>
        <v>0</v>
      </c>
      <c r="CBA24">
        <f t="shared" si="1419"/>
        <v>0</v>
      </c>
      <c r="CBB24">
        <f t="shared" si="1420"/>
        <v>0</v>
      </c>
      <c r="CBC24">
        <f t="shared" si="1421"/>
        <v>0</v>
      </c>
      <c r="CBD24">
        <f t="shared" si="1422"/>
        <v>0</v>
      </c>
      <c r="CBE24">
        <f t="shared" si="1423"/>
        <v>0</v>
      </c>
      <c r="CBF24">
        <f t="shared" si="1424"/>
        <v>0</v>
      </c>
      <c r="CBG24">
        <f t="shared" si="1425"/>
        <v>0</v>
      </c>
      <c r="CBH24">
        <f t="shared" si="1426"/>
        <v>0</v>
      </c>
      <c r="CBI24">
        <f t="shared" si="1427"/>
        <v>0</v>
      </c>
      <c r="CBJ24">
        <f t="shared" si="1428"/>
        <v>0</v>
      </c>
      <c r="CBK24">
        <f t="shared" si="1429"/>
        <v>0</v>
      </c>
      <c r="CBL24">
        <f t="shared" si="1430"/>
        <v>0</v>
      </c>
      <c r="CBM24">
        <f t="shared" si="1431"/>
        <v>0</v>
      </c>
      <c r="CBN24">
        <f t="shared" si="1432"/>
        <v>0</v>
      </c>
      <c r="CBO24">
        <f t="shared" si="1433"/>
        <v>0</v>
      </c>
      <c r="CBP24">
        <f t="shared" si="1434"/>
        <v>0</v>
      </c>
      <c r="CBQ24">
        <f t="shared" si="1435"/>
        <v>0</v>
      </c>
      <c r="CBR24">
        <f t="shared" si="1436"/>
        <v>0</v>
      </c>
      <c r="CBS24">
        <f t="shared" si="1437"/>
        <v>0</v>
      </c>
      <c r="CBT24">
        <f t="shared" si="1438"/>
        <v>0</v>
      </c>
      <c r="CBU24">
        <f t="shared" si="1439"/>
        <v>0</v>
      </c>
      <c r="CBV24">
        <f t="shared" si="1440"/>
        <v>0</v>
      </c>
      <c r="CBW24">
        <f t="shared" si="1441"/>
        <v>0</v>
      </c>
      <c r="CBX24">
        <f t="shared" si="1442"/>
        <v>0</v>
      </c>
      <c r="CBY24">
        <f t="shared" si="1443"/>
        <v>0</v>
      </c>
      <c r="CBZ24">
        <f t="shared" si="1444"/>
        <v>0</v>
      </c>
      <c r="CCA24">
        <f t="shared" si="1445"/>
        <v>0</v>
      </c>
      <c r="CCB24">
        <f t="shared" si="1446"/>
        <v>0</v>
      </c>
      <c r="CCC24">
        <f t="shared" si="1447"/>
        <v>0</v>
      </c>
      <c r="CCD24">
        <f t="shared" si="1448"/>
        <v>0</v>
      </c>
      <c r="CCE24">
        <f t="shared" si="1449"/>
        <v>0</v>
      </c>
      <c r="CCF24">
        <f t="shared" si="1450"/>
        <v>0</v>
      </c>
      <c r="CCG24">
        <f t="shared" si="1451"/>
        <v>0</v>
      </c>
      <c r="CCH24">
        <f t="shared" si="55"/>
        <v>0</v>
      </c>
      <c r="CCI24">
        <f t="shared" si="1452"/>
        <v>0</v>
      </c>
      <c r="CCJ24">
        <f t="shared" si="1453"/>
        <v>0</v>
      </c>
      <c r="CCK24">
        <f t="shared" si="1454"/>
        <v>0</v>
      </c>
      <c r="CCL24">
        <f t="shared" si="1455"/>
        <v>0</v>
      </c>
      <c r="CCM24">
        <f t="shared" si="1456"/>
        <v>0</v>
      </c>
      <c r="CCN24">
        <f t="shared" si="1457"/>
        <v>0</v>
      </c>
      <c r="CCO24">
        <f t="shared" si="1458"/>
        <v>0</v>
      </c>
      <c r="CCP24">
        <f t="shared" si="1459"/>
        <v>0</v>
      </c>
      <c r="CCQ24">
        <f t="shared" si="1460"/>
        <v>0</v>
      </c>
      <c r="CCR24">
        <f t="shared" si="1461"/>
        <v>0</v>
      </c>
      <c r="CCS24">
        <f t="shared" si="1462"/>
        <v>0</v>
      </c>
      <c r="CCT24">
        <f t="shared" si="1463"/>
        <v>0</v>
      </c>
      <c r="CCU24">
        <f t="shared" si="1464"/>
        <v>0</v>
      </c>
      <c r="CCV24">
        <f t="shared" si="1465"/>
        <v>0</v>
      </c>
      <c r="CCW24">
        <f t="shared" si="1466"/>
        <v>0</v>
      </c>
      <c r="CCX24">
        <f t="shared" si="1467"/>
        <v>0</v>
      </c>
      <c r="CCY24">
        <f t="shared" si="1468"/>
        <v>0</v>
      </c>
      <c r="CCZ24">
        <f t="shared" si="1469"/>
        <v>0</v>
      </c>
      <c r="CDA24">
        <f t="shared" si="1470"/>
        <v>0</v>
      </c>
      <c r="CDB24">
        <f t="shared" si="1471"/>
        <v>0</v>
      </c>
      <c r="CDC24">
        <f t="shared" si="1472"/>
        <v>0</v>
      </c>
      <c r="CDD24">
        <f t="shared" si="1473"/>
        <v>0</v>
      </c>
      <c r="CDE24">
        <f t="shared" si="1474"/>
        <v>0</v>
      </c>
      <c r="CDF24">
        <f t="shared" si="1475"/>
        <v>0</v>
      </c>
      <c r="CDG24">
        <f t="shared" si="1476"/>
        <v>0</v>
      </c>
      <c r="CDH24">
        <f t="shared" si="1477"/>
        <v>0</v>
      </c>
      <c r="CDI24">
        <f t="shared" si="1478"/>
        <v>0</v>
      </c>
      <c r="CDJ24">
        <f t="shared" si="1479"/>
        <v>0</v>
      </c>
      <c r="CDK24">
        <f t="shared" si="1480"/>
        <v>0</v>
      </c>
      <c r="CDL24">
        <f t="shared" si="1481"/>
        <v>0</v>
      </c>
      <c r="CDM24">
        <f t="shared" si="1482"/>
        <v>0</v>
      </c>
      <c r="CDN24">
        <f t="shared" si="1483"/>
        <v>0</v>
      </c>
      <c r="CDO24">
        <f t="shared" si="1484"/>
        <v>0</v>
      </c>
      <c r="CDP24">
        <f t="shared" si="1485"/>
        <v>0</v>
      </c>
      <c r="CDQ24">
        <f t="shared" si="1486"/>
        <v>0</v>
      </c>
      <c r="CDR24">
        <f t="shared" si="1487"/>
        <v>0</v>
      </c>
      <c r="CDS24">
        <f t="shared" si="1488"/>
        <v>0</v>
      </c>
      <c r="CDT24">
        <f t="shared" si="1489"/>
        <v>0</v>
      </c>
      <c r="CDU24">
        <f t="shared" si="1490"/>
        <v>0</v>
      </c>
      <c r="CDV24">
        <f t="shared" si="1491"/>
        <v>0</v>
      </c>
      <c r="CDW24">
        <f t="shared" si="1492"/>
        <v>0</v>
      </c>
      <c r="CDX24">
        <f t="shared" si="1493"/>
        <v>0</v>
      </c>
      <c r="CDY24">
        <f t="shared" si="1494"/>
        <v>0</v>
      </c>
      <c r="CDZ24">
        <f t="shared" si="1495"/>
        <v>0</v>
      </c>
      <c r="CEA24">
        <f t="shared" si="1496"/>
        <v>0</v>
      </c>
      <c r="CEB24">
        <f t="shared" si="1497"/>
        <v>0</v>
      </c>
      <c r="CEC24">
        <f t="shared" si="1498"/>
        <v>0</v>
      </c>
      <c r="CED24">
        <f t="shared" si="1499"/>
        <v>0</v>
      </c>
      <c r="CEE24">
        <f t="shared" si="1500"/>
        <v>0</v>
      </c>
      <c r="CEF24">
        <f t="shared" si="1501"/>
        <v>0</v>
      </c>
      <c r="CEG24">
        <f t="shared" si="1502"/>
        <v>0</v>
      </c>
      <c r="CEH24">
        <f t="shared" si="1503"/>
        <v>0</v>
      </c>
      <c r="CEI24">
        <f t="shared" si="1504"/>
        <v>0</v>
      </c>
      <c r="CEJ24">
        <f t="shared" si="1505"/>
        <v>0</v>
      </c>
      <c r="CEK24">
        <f t="shared" si="1506"/>
        <v>0</v>
      </c>
      <c r="CEL24">
        <f t="shared" si="1507"/>
        <v>0</v>
      </c>
      <c r="CEM24">
        <f t="shared" si="1508"/>
        <v>0</v>
      </c>
      <c r="CEN24">
        <f t="shared" si="1509"/>
        <v>0</v>
      </c>
      <c r="CEO24">
        <f t="shared" si="1510"/>
        <v>0</v>
      </c>
      <c r="CEP24">
        <f t="shared" si="1511"/>
        <v>0</v>
      </c>
      <c r="CEQ24">
        <f t="shared" si="1512"/>
        <v>0</v>
      </c>
      <c r="CER24">
        <f t="shared" si="1513"/>
        <v>0</v>
      </c>
      <c r="CES24">
        <f t="shared" si="1514"/>
        <v>0</v>
      </c>
      <c r="CET24">
        <f t="shared" si="56"/>
        <v>0</v>
      </c>
      <c r="CEU24">
        <f t="shared" si="1515"/>
        <v>0</v>
      </c>
      <c r="CEV24">
        <f t="shared" si="1516"/>
        <v>0</v>
      </c>
      <c r="CEW24">
        <f t="shared" si="1517"/>
        <v>0</v>
      </c>
      <c r="CEX24">
        <f t="shared" si="1518"/>
        <v>0</v>
      </c>
      <c r="CEY24">
        <f t="shared" si="1519"/>
        <v>0</v>
      </c>
      <c r="CEZ24">
        <f t="shared" si="1520"/>
        <v>0</v>
      </c>
      <c r="CFA24">
        <f t="shared" si="1521"/>
        <v>0</v>
      </c>
      <c r="CFB24">
        <f t="shared" si="1522"/>
        <v>0</v>
      </c>
      <c r="CFC24">
        <f t="shared" si="1523"/>
        <v>0</v>
      </c>
      <c r="CFD24">
        <f t="shared" si="1524"/>
        <v>0</v>
      </c>
      <c r="CFE24">
        <f t="shared" si="1525"/>
        <v>0</v>
      </c>
      <c r="CFF24">
        <f t="shared" si="1526"/>
        <v>0</v>
      </c>
      <c r="CFG24">
        <f t="shared" si="1527"/>
        <v>0</v>
      </c>
      <c r="CFH24">
        <f t="shared" si="1528"/>
        <v>0</v>
      </c>
      <c r="CFI24">
        <f t="shared" si="1529"/>
        <v>0</v>
      </c>
      <c r="CFJ24">
        <f t="shared" si="1530"/>
        <v>0</v>
      </c>
      <c r="CFK24">
        <f t="shared" si="1531"/>
        <v>0</v>
      </c>
      <c r="CFL24">
        <f t="shared" si="1532"/>
        <v>0</v>
      </c>
      <c r="CFM24">
        <f t="shared" si="1533"/>
        <v>0</v>
      </c>
      <c r="CFN24">
        <f t="shared" si="1534"/>
        <v>0</v>
      </c>
      <c r="CFO24">
        <f t="shared" si="1535"/>
        <v>0</v>
      </c>
      <c r="CFP24">
        <f t="shared" si="1536"/>
        <v>0</v>
      </c>
      <c r="CFQ24">
        <f t="shared" si="1537"/>
        <v>0</v>
      </c>
      <c r="CFR24">
        <f t="shared" si="1538"/>
        <v>0</v>
      </c>
      <c r="CFS24">
        <f t="shared" si="1539"/>
        <v>0</v>
      </c>
      <c r="CFT24">
        <f t="shared" si="1540"/>
        <v>0</v>
      </c>
      <c r="CFU24">
        <f t="shared" si="1541"/>
        <v>0</v>
      </c>
      <c r="CFV24">
        <f t="shared" si="1542"/>
        <v>0</v>
      </c>
      <c r="CFW24">
        <f t="shared" si="1543"/>
        <v>0</v>
      </c>
      <c r="CFX24">
        <f t="shared" si="1544"/>
        <v>0</v>
      </c>
      <c r="CFY24">
        <f t="shared" si="1545"/>
        <v>0</v>
      </c>
      <c r="CFZ24">
        <f t="shared" si="1546"/>
        <v>0</v>
      </c>
      <c r="CGA24">
        <f t="shared" si="1547"/>
        <v>0</v>
      </c>
      <c r="CGB24">
        <f t="shared" si="1548"/>
        <v>0</v>
      </c>
      <c r="CGC24">
        <f t="shared" si="1549"/>
        <v>0</v>
      </c>
      <c r="CGD24">
        <f t="shared" si="1550"/>
        <v>0</v>
      </c>
      <c r="CGE24">
        <f t="shared" si="1551"/>
        <v>0</v>
      </c>
      <c r="CGF24">
        <f t="shared" si="1552"/>
        <v>0</v>
      </c>
      <c r="CGG24">
        <f t="shared" si="1553"/>
        <v>0</v>
      </c>
      <c r="CGH24">
        <f t="shared" si="1554"/>
        <v>0</v>
      </c>
      <c r="CGI24">
        <f t="shared" si="1555"/>
        <v>0</v>
      </c>
      <c r="CGJ24">
        <f t="shared" si="1556"/>
        <v>0</v>
      </c>
      <c r="CGK24">
        <f t="shared" si="1557"/>
        <v>0</v>
      </c>
      <c r="CGL24">
        <f t="shared" si="1558"/>
        <v>0</v>
      </c>
      <c r="CGM24">
        <f t="shared" si="1559"/>
        <v>0</v>
      </c>
      <c r="CGN24">
        <f t="shared" si="1560"/>
        <v>0</v>
      </c>
      <c r="CGO24">
        <f t="shared" si="1561"/>
        <v>0</v>
      </c>
      <c r="CGP24">
        <f t="shared" si="1562"/>
        <v>0</v>
      </c>
      <c r="CGQ24">
        <f t="shared" si="1563"/>
        <v>0</v>
      </c>
      <c r="CGR24">
        <f t="shared" si="1564"/>
        <v>0</v>
      </c>
      <c r="CGS24">
        <f t="shared" si="1565"/>
        <v>0</v>
      </c>
      <c r="CGT24">
        <f t="shared" si="1566"/>
        <v>0</v>
      </c>
      <c r="CGU24">
        <f t="shared" si="1567"/>
        <v>0</v>
      </c>
      <c r="CGV24">
        <f t="shared" si="1568"/>
        <v>0</v>
      </c>
      <c r="CGW24">
        <f t="shared" si="1569"/>
        <v>0</v>
      </c>
      <c r="CGX24">
        <f t="shared" si="1570"/>
        <v>0</v>
      </c>
      <c r="CGY24">
        <f t="shared" si="1571"/>
        <v>0</v>
      </c>
      <c r="CGZ24">
        <f t="shared" si="1572"/>
        <v>0</v>
      </c>
      <c r="CHA24">
        <f t="shared" si="1573"/>
        <v>0</v>
      </c>
      <c r="CHB24">
        <f t="shared" si="1574"/>
        <v>0</v>
      </c>
      <c r="CHC24">
        <f t="shared" si="1575"/>
        <v>0</v>
      </c>
      <c r="CHD24">
        <f t="shared" si="1576"/>
        <v>0</v>
      </c>
      <c r="CHE24">
        <f t="shared" si="1577"/>
        <v>0</v>
      </c>
      <c r="CHF24">
        <f t="shared" si="57"/>
        <v>0</v>
      </c>
      <c r="CHG24">
        <f t="shared" si="1578"/>
        <v>0</v>
      </c>
      <c r="CHH24">
        <f t="shared" si="1579"/>
        <v>0</v>
      </c>
      <c r="CHI24">
        <f t="shared" si="1580"/>
        <v>0</v>
      </c>
      <c r="CHJ24">
        <f t="shared" si="1581"/>
        <v>0</v>
      </c>
      <c r="CHK24">
        <f t="shared" si="1582"/>
        <v>0</v>
      </c>
      <c r="CHL24">
        <f t="shared" si="1583"/>
        <v>0</v>
      </c>
      <c r="CHM24">
        <f t="shared" si="1584"/>
        <v>0</v>
      </c>
      <c r="CHN24">
        <f t="shared" si="1585"/>
        <v>0</v>
      </c>
      <c r="CHO24">
        <f t="shared" si="1586"/>
        <v>0</v>
      </c>
      <c r="CHP24">
        <f t="shared" si="1587"/>
        <v>0</v>
      </c>
      <c r="CHQ24">
        <f t="shared" si="1588"/>
        <v>0</v>
      </c>
      <c r="CHR24">
        <f t="shared" si="1589"/>
        <v>0</v>
      </c>
      <c r="CHS24">
        <f t="shared" si="1590"/>
        <v>0</v>
      </c>
      <c r="CHT24">
        <f t="shared" si="1591"/>
        <v>0</v>
      </c>
      <c r="CHU24">
        <f t="shared" si="1592"/>
        <v>0</v>
      </c>
      <c r="CHV24">
        <f t="shared" si="1593"/>
        <v>0</v>
      </c>
      <c r="CHW24">
        <f t="shared" si="1594"/>
        <v>0</v>
      </c>
      <c r="CHX24">
        <f t="shared" si="1595"/>
        <v>0</v>
      </c>
      <c r="CHY24">
        <f t="shared" si="1596"/>
        <v>0</v>
      </c>
      <c r="CHZ24">
        <f t="shared" si="1597"/>
        <v>0</v>
      </c>
      <c r="CIA24">
        <f t="shared" si="1598"/>
        <v>0</v>
      </c>
      <c r="CIB24">
        <f t="shared" si="1599"/>
        <v>0</v>
      </c>
      <c r="CIC24">
        <f t="shared" si="1600"/>
        <v>0</v>
      </c>
      <c r="CID24">
        <f t="shared" si="1601"/>
        <v>0</v>
      </c>
      <c r="CIE24">
        <f t="shared" si="1602"/>
        <v>0</v>
      </c>
      <c r="CIF24">
        <f t="shared" si="1603"/>
        <v>0</v>
      </c>
      <c r="CIG24">
        <f t="shared" si="1604"/>
        <v>0</v>
      </c>
      <c r="CIH24">
        <f t="shared" si="1605"/>
        <v>0</v>
      </c>
      <c r="CII24">
        <f t="shared" si="1606"/>
        <v>0</v>
      </c>
      <c r="CIJ24">
        <f t="shared" si="1607"/>
        <v>0</v>
      </c>
      <c r="CIK24">
        <f t="shared" si="1608"/>
        <v>0</v>
      </c>
      <c r="CIL24">
        <f t="shared" si="1609"/>
        <v>0</v>
      </c>
      <c r="CIM24">
        <f t="shared" si="1610"/>
        <v>0</v>
      </c>
      <c r="CIN24">
        <f t="shared" si="1611"/>
        <v>0</v>
      </c>
      <c r="CIO24">
        <f t="shared" si="1612"/>
        <v>0</v>
      </c>
      <c r="CIP24">
        <f t="shared" si="1613"/>
        <v>0</v>
      </c>
      <c r="CIQ24">
        <f t="shared" si="1614"/>
        <v>0</v>
      </c>
      <c r="CIR24">
        <f t="shared" si="1615"/>
        <v>0</v>
      </c>
      <c r="CIS24">
        <f t="shared" si="1616"/>
        <v>0</v>
      </c>
      <c r="CIT24">
        <f t="shared" si="1617"/>
        <v>0</v>
      </c>
      <c r="CIU24">
        <f t="shared" si="1618"/>
        <v>0</v>
      </c>
      <c r="CIV24">
        <f t="shared" si="1619"/>
        <v>0</v>
      </c>
      <c r="CIW24">
        <f t="shared" si="1620"/>
        <v>0</v>
      </c>
      <c r="CIX24">
        <f t="shared" si="1621"/>
        <v>0</v>
      </c>
      <c r="CIY24">
        <f t="shared" si="1622"/>
        <v>0</v>
      </c>
      <c r="CIZ24">
        <f t="shared" si="1623"/>
        <v>0</v>
      </c>
      <c r="CJA24">
        <f t="shared" si="1624"/>
        <v>0</v>
      </c>
      <c r="CJB24">
        <f t="shared" si="1625"/>
        <v>0</v>
      </c>
      <c r="CJC24">
        <f t="shared" si="1626"/>
        <v>0</v>
      </c>
      <c r="CJD24">
        <f t="shared" si="1627"/>
        <v>0</v>
      </c>
      <c r="CJE24">
        <f t="shared" si="1628"/>
        <v>0</v>
      </c>
      <c r="CJF24">
        <f t="shared" si="1629"/>
        <v>0</v>
      </c>
      <c r="CJG24">
        <f t="shared" si="1630"/>
        <v>0</v>
      </c>
      <c r="CJH24">
        <f t="shared" si="1631"/>
        <v>0</v>
      </c>
      <c r="CJI24">
        <f t="shared" si="1632"/>
        <v>0</v>
      </c>
      <c r="CJJ24">
        <f t="shared" si="1633"/>
        <v>0</v>
      </c>
      <c r="CJK24">
        <f t="shared" si="1634"/>
        <v>0</v>
      </c>
      <c r="CJL24">
        <f t="shared" si="1635"/>
        <v>0</v>
      </c>
      <c r="CJM24">
        <f t="shared" si="1636"/>
        <v>0</v>
      </c>
      <c r="CJN24">
        <f t="shared" si="1637"/>
        <v>0</v>
      </c>
      <c r="CJO24">
        <f t="shared" si="1638"/>
        <v>0</v>
      </c>
      <c r="CJP24">
        <f t="shared" si="1639"/>
        <v>0</v>
      </c>
      <c r="CJQ24">
        <f t="shared" si="1640"/>
        <v>0</v>
      </c>
      <c r="CJR24">
        <f t="shared" si="58"/>
        <v>0</v>
      </c>
      <c r="CJS24">
        <f t="shared" si="1641"/>
        <v>0</v>
      </c>
      <c r="CJT24">
        <f t="shared" si="1642"/>
        <v>0</v>
      </c>
      <c r="CJU24">
        <f t="shared" si="1643"/>
        <v>0</v>
      </c>
      <c r="CJV24">
        <f t="shared" si="1644"/>
        <v>0</v>
      </c>
      <c r="CJW24">
        <f t="shared" si="1645"/>
        <v>0</v>
      </c>
      <c r="CJX24">
        <f t="shared" si="1646"/>
        <v>0</v>
      </c>
      <c r="CJY24">
        <f t="shared" si="1647"/>
        <v>0</v>
      </c>
      <c r="CJZ24">
        <f t="shared" si="1648"/>
        <v>0</v>
      </c>
      <c r="CKA24">
        <f t="shared" si="1649"/>
        <v>0</v>
      </c>
      <c r="CKB24">
        <f t="shared" si="1650"/>
        <v>0</v>
      </c>
      <c r="CKC24">
        <f t="shared" si="1651"/>
        <v>0</v>
      </c>
      <c r="CKD24">
        <f t="shared" si="1652"/>
        <v>0</v>
      </c>
      <c r="CKE24">
        <f t="shared" si="1653"/>
        <v>0</v>
      </c>
      <c r="CKF24">
        <f t="shared" si="1654"/>
        <v>0</v>
      </c>
      <c r="CKG24">
        <f t="shared" si="1655"/>
        <v>0</v>
      </c>
      <c r="CKH24">
        <f t="shared" si="1656"/>
        <v>0</v>
      </c>
      <c r="CKI24">
        <f t="shared" si="1657"/>
        <v>0</v>
      </c>
      <c r="CKJ24">
        <f t="shared" si="1658"/>
        <v>0</v>
      </c>
      <c r="CKK24">
        <f t="shared" si="1659"/>
        <v>0</v>
      </c>
      <c r="CKL24">
        <f t="shared" si="1660"/>
        <v>0</v>
      </c>
      <c r="CKM24">
        <f t="shared" si="1661"/>
        <v>0</v>
      </c>
      <c r="CKN24">
        <f t="shared" si="1662"/>
        <v>0</v>
      </c>
      <c r="CKO24">
        <f t="shared" si="1663"/>
        <v>0</v>
      </c>
      <c r="CKP24">
        <f t="shared" si="1664"/>
        <v>0</v>
      </c>
      <c r="CKQ24">
        <f t="shared" si="1665"/>
        <v>0</v>
      </c>
      <c r="CKR24">
        <f t="shared" si="1666"/>
        <v>0</v>
      </c>
      <c r="CKS24">
        <f t="shared" si="1667"/>
        <v>0</v>
      </c>
      <c r="CKT24">
        <f t="shared" si="1668"/>
        <v>0</v>
      </c>
      <c r="CKU24">
        <f t="shared" si="1669"/>
        <v>0</v>
      </c>
      <c r="CKV24">
        <f t="shared" si="1670"/>
        <v>0</v>
      </c>
      <c r="CKW24">
        <f t="shared" si="1671"/>
        <v>0</v>
      </c>
      <c r="CKX24">
        <f t="shared" si="1672"/>
        <v>0</v>
      </c>
      <c r="CKY24">
        <f t="shared" si="1673"/>
        <v>0</v>
      </c>
      <c r="CKZ24">
        <f t="shared" si="1674"/>
        <v>0</v>
      </c>
      <c r="CLA24">
        <f t="shared" si="1675"/>
        <v>0</v>
      </c>
      <c r="CLB24">
        <f t="shared" si="1676"/>
        <v>0</v>
      </c>
      <c r="CLC24">
        <f t="shared" si="1677"/>
        <v>0</v>
      </c>
      <c r="CLD24">
        <f t="shared" si="1678"/>
        <v>0</v>
      </c>
      <c r="CLE24">
        <f t="shared" si="1679"/>
        <v>0</v>
      </c>
      <c r="CLF24">
        <f t="shared" si="1680"/>
        <v>0</v>
      </c>
      <c r="CLG24">
        <f t="shared" si="1681"/>
        <v>0</v>
      </c>
      <c r="CLH24">
        <f t="shared" si="1682"/>
        <v>0</v>
      </c>
      <c r="CLI24">
        <f t="shared" si="1683"/>
        <v>0</v>
      </c>
      <c r="CLJ24">
        <f t="shared" si="1684"/>
        <v>0</v>
      </c>
      <c r="CLK24">
        <f t="shared" si="1685"/>
        <v>0</v>
      </c>
      <c r="CLL24">
        <f t="shared" si="1686"/>
        <v>0</v>
      </c>
      <c r="CLM24">
        <f t="shared" si="1687"/>
        <v>0</v>
      </c>
      <c r="CLN24">
        <f t="shared" si="1688"/>
        <v>0</v>
      </c>
      <c r="CLO24">
        <f t="shared" si="1689"/>
        <v>0</v>
      </c>
      <c r="CLP24">
        <f t="shared" si="1690"/>
        <v>0</v>
      </c>
      <c r="CLQ24">
        <f t="shared" si="1691"/>
        <v>0</v>
      </c>
      <c r="CLR24">
        <f t="shared" si="1692"/>
        <v>0</v>
      </c>
      <c r="CLS24">
        <f t="shared" si="1693"/>
        <v>0</v>
      </c>
      <c r="CLT24">
        <f t="shared" si="1694"/>
        <v>0</v>
      </c>
      <c r="CLU24">
        <f t="shared" si="1695"/>
        <v>0</v>
      </c>
      <c r="CLV24">
        <f t="shared" si="1696"/>
        <v>0</v>
      </c>
      <c r="CLW24">
        <f t="shared" si="1697"/>
        <v>0</v>
      </c>
      <c r="CLX24">
        <f t="shared" si="1698"/>
        <v>0</v>
      </c>
      <c r="CLY24">
        <f t="shared" si="1699"/>
        <v>0</v>
      </c>
      <c r="CLZ24">
        <f t="shared" si="1700"/>
        <v>0</v>
      </c>
      <c r="CMA24">
        <f t="shared" si="1701"/>
        <v>0</v>
      </c>
      <c r="CMB24">
        <f t="shared" si="1702"/>
        <v>0</v>
      </c>
      <c r="CMC24">
        <f t="shared" si="1703"/>
        <v>0</v>
      </c>
      <c r="CMD24">
        <f t="shared" si="59"/>
        <v>0</v>
      </c>
      <c r="CME24">
        <f t="shared" si="1704"/>
        <v>0</v>
      </c>
      <c r="CMF24">
        <f t="shared" si="1705"/>
        <v>0</v>
      </c>
      <c r="CMG24">
        <f t="shared" si="1706"/>
        <v>0</v>
      </c>
      <c r="CMH24">
        <f t="shared" si="1707"/>
        <v>0</v>
      </c>
      <c r="CMI24">
        <f t="shared" si="1708"/>
        <v>0</v>
      </c>
      <c r="CMJ24">
        <f t="shared" si="1709"/>
        <v>0</v>
      </c>
      <c r="CMK24">
        <f t="shared" si="1710"/>
        <v>0</v>
      </c>
      <c r="CML24">
        <f t="shared" si="1711"/>
        <v>0</v>
      </c>
      <c r="CMM24">
        <f t="shared" si="1712"/>
        <v>0</v>
      </c>
      <c r="CMN24">
        <f t="shared" si="1713"/>
        <v>0</v>
      </c>
      <c r="CMO24">
        <f t="shared" si="1714"/>
        <v>0</v>
      </c>
      <c r="CMP24">
        <f t="shared" si="1715"/>
        <v>0</v>
      </c>
      <c r="CMQ24">
        <f t="shared" si="1716"/>
        <v>0</v>
      </c>
      <c r="CMR24">
        <f t="shared" si="1717"/>
        <v>0</v>
      </c>
      <c r="CMS24">
        <f t="shared" si="1718"/>
        <v>0</v>
      </c>
      <c r="CMT24">
        <f t="shared" si="1719"/>
        <v>0</v>
      </c>
      <c r="CMU24">
        <f t="shared" si="1720"/>
        <v>0</v>
      </c>
      <c r="CMV24">
        <f t="shared" si="1721"/>
        <v>0</v>
      </c>
      <c r="CMW24">
        <f t="shared" si="1722"/>
        <v>0</v>
      </c>
      <c r="CMX24">
        <f t="shared" si="1723"/>
        <v>0</v>
      </c>
      <c r="CMY24">
        <f t="shared" si="1724"/>
        <v>0</v>
      </c>
      <c r="CMZ24">
        <f t="shared" si="1725"/>
        <v>0</v>
      </c>
      <c r="CNA24">
        <f t="shared" si="1726"/>
        <v>0</v>
      </c>
      <c r="CNB24">
        <f t="shared" si="1727"/>
        <v>0</v>
      </c>
      <c r="CNC24">
        <f t="shared" si="1728"/>
        <v>0</v>
      </c>
      <c r="CND24">
        <f t="shared" si="1729"/>
        <v>0</v>
      </c>
      <c r="CNE24">
        <f t="shared" si="1730"/>
        <v>0</v>
      </c>
      <c r="CNF24">
        <f t="shared" si="1731"/>
        <v>0</v>
      </c>
      <c r="CNG24">
        <f t="shared" si="1732"/>
        <v>0</v>
      </c>
      <c r="CNH24">
        <f t="shared" si="1733"/>
        <v>0</v>
      </c>
      <c r="CNI24">
        <f t="shared" si="1734"/>
        <v>0</v>
      </c>
      <c r="CNJ24">
        <f t="shared" si="1735"/>
        <v>0</v>
      </c>
      <c r="CNK24">
        <f t="shared" si="1736"/>
        <v>0</v>
      </c>
      <c r="CNL24">
        <f t="shared" si="1737"/>
        <v>0</v>
      </c>
      <c r="CNM24">
        <f t="shared" si="1738"/>
        <v>0</v>
      </c>
      <c r="CNN24">
        <f t="shared" si="1739"/>
        <v>0</v>
      </c>
      <c r="CNO24">
        <f t="shared" si="1740"/>
        <v>0</v>
      </c>
      <c r="CNP24">
        <f t="shared" si="1741"/>
        <v>0</v>
      </c>
      <c r="CNQ24">
        <f t="shared" si="1742"/>
        <v>0</v>
      </c>
      <c r="CNR24">
        <f t="shared" si="1743"/>
        <v>0</v>
      </c>
      <c r="CNS24">
        <f t="shared" si="1744"/>
        <v>0</v>
      </c>
      <c r="CNT24">
        <f t="shared" si="1745"/>
        <v>0</v>
      </c>
      <c r="CNU24">
        <f t="shared" si="1746"/>
        <v>0</v>
      </c>
      <c r="CNV24">
        <f t="shared" si="1747"/>
        <v>0</v>
      </c>
      <c r="CNW24">
        <f t="shared" si="1748"/>
        <v>0</v>
      </c>
      <c r="CNX24">
        <f t="shared" si="1749"/>
        <v>0</v>
      </c>
      <c r="CNY24">
        <f t="shared" si="1750"/>
        <v>0</v>
      </c>
      <c r="CNZ24">
        <f t="shared" si="1751"/>
        <v>0</v>
      </c>
      <c r="COA24">
        <f t="shared" si="1752"/>
        <v>0</v>
      </c>
      <c r="COB24">
        <f t="shared" si="1753"/>
        <v>0</v>
      </c>
      <c r="COC24">
        <f t="shared" si="1754"/>
        <v>0</v>
      </c>
      <c r="COD24">
        <f t="shared" si="1755"/>
        <v>0</v>
      </c>
      <c r="COE24">
        <f t="shared" si="1756"/>
        <v>0</v>
      </c>
      <c r="COF24">
        <f t="shared" si="1757"/>
        <v>0</v>
      </c>
      <c r="COG24">
        <f t="shared" si="1758"/>
        <v>0</v>
      </c>
      <c r="COH24">
        <f t="shared" si="1759"/>
        <v>0</v>
      </c>
      <c r="COI24">
        <f t="shared" si="1760"/>
        <v>0</v>
      </c>
      <c r="COJ24">
        <f t="shared" si="1761"/>
        <v>0</v>
      </c>
      <c r="COK24">
        <f t="shared" si="1762"/>
        <v>0</v>
      </c>
      <c r="COL24">
        <f t="shared" si="1763"/>
        <v>0</v>
      </c>
      <c r="COM24">
        <f t="shared" si="1764"/>
        <v>0</v>
      </c>
      <c r="CON24">
        <f t="shared" si="1765"/>
        <v>0</v>
      </c>
      <c r="COO24">
        <f t="shared" si="1766"/>
        <v>0</v>
      </c>
      <c r="COP24">
        <f t="shared" si="60"/>
        <v>0</v>
      </c>
      <c r="COQ24">
        <f t="shared" si="1767"/>
        <v>0</v>
      </c>
      <c r="COR24">
        <f t="shared" si="1768"/>
        <v>0</v>
      </c>
      <c r="COS24">
        <f t="shared" si="1769"/>
        <v>0</v>
      </c>
      <c r="COT24">
        <f t="shared" si="1770"/>
        <v>0</v>
      </c>
      <c r="COU24">
        <f t="shared" si="1771"/>
        <v>0</v>
      </c>
      <c r="COV24">
        <f t="shared" si="1772"/>
        <v>0</v>
      </c>
      <c r="COW24">
        <f t="shared" si="1773"/>
        <v>0</v>
      </c>
      <c r="COX24">
        <f t="shared" si="1774"/>
        <v>0</v>
      </c>
      <c r="COY24">
        <f t="shared" si="1775"/>
        <v>0</v>
      </c>
      <c r="COZ24">
        <f t="shared" si="1776"/>
        <v>0</v>
      </c>
      <c r="CPA24">
        <f t="shared" si="1777"/>
        <v>0</v>
      </c>
      <c r="CPB24">
        <f t="shared" si="1778"/>
        <v>0</v>
      </c>
      <c r="CPC24">
        <f t="shared" si="1779"/>
        <v>0</v>
      </c>
      <c r="CPD24">
        <f t="shared" si="1780"/>
        <v>0</v>
      </c>
      <c r="CPE24">
        <f t="shared" si="1781"/>
        <v>0</v>
      </c>
      <c r="CPF24">
        <f t="shared" si="1782"/>
        <v>0</v>
      </c>
      <c r="CPG24">
        <f t="shared" si="1783"/>
        <v>0</v>
      </c>
      <c r="CPH24">
        <f t="shared" si="1784"/>
        <v>0</v>
      </c>
      <c r="CPI24">
        <f t="shared" si="1785"/>
        <v>0</v>
      </c>
      <c r="CPJ24">
        <f t="shared" si="1786"/>
        <v>0</v>
      </c>
      <c r="CPK24">
        <f t="shared" si="1787"/>
        <v>0</v>
      </c>
      <c r="CPL24">
        <f t="shared" si="1788"/>
        <v>0</v>
      </c>
      <c r="CPM24">
        <f t="shared" si="1789"/>
        <v>0</v>
      </c>
      <c r="CPN24">
        <f t="shared" si="1790"/>
        <v>0</v>
      </c>
      <c r="CPO24">
        <f t="shared" si="1791"/>
        <v>0</v>
      </c>
      <c r="CPP24">
        <f t="shared" si="1792"/>
        <v>0</v>
      </c>
      <c r="CPQ24">
        <f t="shared" si="1793"/>
        <v>0</v>
      </c>
      <c r="CPR24">
        <f t="shared" si="1794"/>
        <v>0</v>
      </c>
      <c r="CPS24">
        <f t="shared" si="1795"/>
        <v>0</v>
      </c>
      <c r="CPT24">
        <f t="shared" si="1796"/>
        <v>0</v>
      </c>
      <c r="CPU24">
        <f t="shared" si="1797"/>
        <v>0</v>
      </c>
      <c r="CPV24">
        <f t="shared" si="1798"/>
        <v>0</v>
      </c>
      <c r="CPW24">
        <f t="shared" si="1799"/>
        <v>0</v>
      </c>
      <c r="CPX24">
        <f t="shared" si="1800"/>
        <v>0</v>
      </c>
      <c r="CPY24">
        <f t="shared" si="1801"/>
        <v>0</v>
      </c>
      <c r="CPZ24">
        <f t="shared" si="1802"/>
        <v>0</v>
      </c>
      <c r="CQA24">
        <f t="shared" si="1803"/>
        <v>0</v>
      </c>
      <c r="CQB24">
        <f t="shared" si="1804"/>
        <v>0</v>
      </c>
      <c r="CQC24">
        <f t="shared" si="1805"/>
        <v>0</v>
      </c>
      <c r="CQD24">
        <f t="shared" si="1806"/>
        <v>0</v>
      </c>
      <c r="CQE24">
        <f t="shared" si="1807"/>
        <v>0</v>
      </c>
      <c r="CQF24">
        <f t="shared" si="1808"/>
        <v>0</v>
      </c>
      <c r="CQG24">
        <f t="shared" si="1809"/>
        <v>0</v>
      </c>
      <c r="CQH24">
        <f t="shared" si="1810"/>
        <v>0</v>
      </c>
      <c r="CQI24">
        <f t="shared" si="1811"/>
        <v>0</v>
      </c>
      <c r="CQJ24">
        <f t="shared" si="1812"/>
        <v>0</v>
      </c>
      <c r="CQK24">
        <f t="shared" si="1813"/>
        <v>0</v>
      </c>
      <c r="CQL24">
        <f t="shared" si="1814"/>
        <v>0</v>
      </c>
      <c r="CQM24">
        <f t="shared" si="1815"/>
        <v>0</v>
      </c>
      <c r="CQN24">
        <f t="shared" si="1816"/>
        <v>0</v>
      </c>
      <c r="CQO24">
        <f t="shared" si="1817"/>
        <v>0</v>
      </c>
      <c r="CQP24">
        <f t="shared" si="1818"/>
        <v>0</v>
      </c>
      <c r="CQQ24">
        <f t="shared" si="1819"/>
        <v>0</v>
      </c>
      <c r="CQR24">
        <f t="shared" si="1820"/>
        <v>0</v>
      </c>
      <c r="CQS24">
        <f t="shared" si="1821"/>
        <v>0</v>
      </c>
      <c r="CQT24">
        <f t="shared" si="1822"/>
        <v>0</v>
      </c>
      <c r="CQU24">
        <f t="shared" si="1823"/>
        <v>0</v>
      </c>
      <c r="CQV24">
        <f t="shared" si="1824"/>
        <v>0</v>
      </c>
      <c r="CQW24">
        <f t="shared" si="1825"/>
        <v>0</v>
      </c>
      <c r="CQX24">
        <f t="shared" si="1826"/>
        <v>0</v>
      </c>
      <c r="CQY24">
        <f t="shared" si="1827"/>
        <v>0</v>
      </c>
      <c r="CQZ24">
        <f t="shared" si="1828"/>
        <v>0</v>
      </c>
      <c r="CRA24">
        <f t="shared" si="1829"/>
        <v>0</v>
      </c>
      <c r="CRB24">
        <f t="shared" si="61"/>
        <v>0</v>
      </c>
      <c r="CRC24">
        <f t="shared" si="1830"/>
        <v>0</v>
      </c>
      <c r="CRD24">
        <f t="shared" si="1831"/>
        <v>0</v>
      </c>
      <c r="CRE24">
        <f t="shared" si="1832"/>
        <v>0</v>
      </c>
      <c r="CRF24">
        <f t="shared" si="1833"/>
        <v>0</v>
      </c>
      <c r="CRG24">
        <f t="shared" si="1834"/>
        <v>0</v>
      </c>
      <c r="CRH24">
        <f t="shared" si="1835"/>
        <v>0</v>
      </c>
      <c r="CRI24">
        <f t="shared" si="1836"/>
        <v>0</v>
      </c>
      <c r="CRJ24">
        <f t="shared" si="1837"/>
        <v>0</v>
      </c>
      <c r="CRK24">
        <f t="shared" si="1838"/>
        <v>0</v>
      </c>
      <c r="CRL24">
        <f t="shared" si="1839"/>
        <v>0</v>
      </c>
      <c r="CRM24">
        <f t="shared" si="1840"/>
        <v>0</v>
      </c>
      <c r="CRN24">
        <f t="shared" si="1841"/>
        <v>0</v>
      </c>
      <c r="CRO24">
        <f t="shared" si="1842"/>
        <v>0</v>
      </c>
      <c r="CRP24">
        <f t="shared" si="1843"/>
        <v>0</v>
      </c>
      <c r="CRQ24">
        <f t="shared" si="1844"/>
        <v>0</v>
      </c>
      <c r="CRR24">
        <f t="shared" si="1845"/>
        <v>0</v>
      </c>
      <c r="CRS24">
        <f t="shared" si="1846"/>
        <v>0</v>
      </c>
      <c r="CRT24">
        <f t="shared" si="1847"/>
        <v>0</v>
      </c>
      <c r="CRU24">
        <f t="shared" si="1848"/>
        <v>0</v>
      </c>
      <c r="CRV24">
        <f t="shared" si="1849"/>
        <v>0</v>
      </c>
      <c r="CRW24">
        <f t="shared" si="1850"/>
        <v>0</v>
      </c>
      <c r="CRX24">
        <f t="shared" si="1851"/>
        <v>0</v>
      </c>
      <c r="CRY24">
        <f t="shared" si="1852"/>
        <v>0</v>
      </c>
      <c r="CRZ24">
        <f t="shared" si="1853"/>
        <v>0</v>
      </c>
      <c r="CSA24">
        <f t="shared" si="1854"/>
        <v>0</v>
      </c>
      <c r="CSB24">
        <f t="shared" si="1855"/>
        <v>0</v>
      </c>
      <c r="CSC24">
        <f t="shared" si="1856"/>
        <v>0</v>
      </c>
      <c r="CSD24">
        <f t="shared" si="1857"/>
        <v>0</v>
      </c>
      <c r="CSE24">
        <f t="shared" si="1858"/>
        <v>0</v>
      </c>
      <c r="CSF24">
        <f t="shared" si="1859"/>
        <v>0</v>
      </c>
      <c r="CSG24">
        <f t="shared" si="1860"/>
        <v>0</v>
      </c>
      <c r="CSH24">
        <f t="shared" si="1861"/>
        <v>0</v>
      </c>
      <c r="CSI24">
        <f t="shared" si="1862"/>
        <v>0</v>
      </c>
      <c r="CSJ24">
        <f t="shared" si="1863"/>
        <v>0</v>
      </c>
      <c r="CSK24">
        <f t="shared" si="1864"/>
        <v>0</v>
      </c>
      <c r="CSL24">
        <f t="shared" si="1865"/>
        <v>0</v>
      </c>
      <c r="CSM24">
        <f t="shared" si="1866"/>
        <v>0</v>
      </c>
      <c r="CSN24">
        <f t="shared" si="1867"/>
        <v>0</v>
      </c>
      <c r="CSO24">
        <f t="shared" si="1868"/>
        <v>0</v>
      </c>
      <c r="CSP24">
        <f t="shared" si="1869"/>
        <v>0</v>
      </c>
      <c r="CSQ24">
        <f t="shared" si="1870"/>
        <v>0</v>
      </c>
      <c r="CSR24">
        <f t="shared" si="1871"/>
        <v>0</v>
      </c>
      <c r="CSS24">
        <f t="shared" si="1872"/>
        <v>0</v>
      </c>
      <c r="CST24">
        <f t="shared" si="1873"/>
        <v>0</v>
      </c>
      <c r="CSU24">
        <f t="shared" si="1874"/>
        <v>0</v>
      </c>
      <c r="CSV24">
        <f t="shared" si="1875"/>
        <v>0</v>
      </c>
      <c r="CSW24">
        <f t="shared" si="1876"/>
        <v>0</v>
      </c>
      <c r="CSX24">
        <f t="shared" si="1877"/>
        <v>0</v>
      </c>
      <c r="CSY24">
        <f t="shared" si="1878"/>
        <v>0</v>
      </c>
      <c r="CSZ24">
        <f t="shared" si="1879"/>
        <v>0</v>
      </c>
      <c r="CTA24">
        <f t="shared" si="1880"/>
        <v>0</v>
      </c>
      <c r="CTB24">
        <f t="shared" si="1881"/>
        <v>0</v>
      </c>
      <c r="CTC24">
        <f t="shared" si="1882"/>
        <v>0</v>
      </c>
      <c r="CTD24">
        <f t="shared" si="1883"/>
        <v>0</v>
      </c>
      <c r="CTE24">
        <f t="shared" si="1884"/>
        <v>0</v>
      </c>
      <c r="CTF24">
        <f t="shared" si="1885"/>
        <v>0</v>
      </c>
      <c r="CTG24">
        <f t="shared" si="1886"/>
        <v>0</v>
      </c>
      <c r="CTH24">
        <f t="shared" si="1887"/>
        <v>0</v>
      </c>
      <c r="CTI24">
        <f t="shared" si="1888"/>
        <v>0</v>
      </c>
      <c r="CTJ24">
        <f t="shared" si="1889"/>
        <v>0</v>
      </c>
      <c r="CTK24">
        <f t="shared" si="1890"/>
        <v>0</v>
      </c>
      <c r="CTL24">
        <f t="shared" si="1891"/>
        <v>0</v>
      </c>
      <c r="CTM24">
        <f t="shared" si="1892"/>
        <v>0</v>
      </c>
      <c r="CTN24">
        <f t="shared" si="62"/>
        <v>0</v>
      </c>
      <c r="CTO24">
        <f t="shared" si="1893"/>
        <v>0</v>
      </c>
      <c r="CTP24">
        <f t="shared" si="1894"/>
        <v>0</v>
      </c>
      <c r="CTQ24">
        <f t="shared" si="1895"/>
        <v>0</v>
      </c>
      <c r="CTR24">
        <f t="shared" si="1896"/>
        <v>0</v>
      </c>
      <c r="CTS24">
        <f t="shared" si="1897"/>
        <v>0</v>
      </c>
      <c r="CTT24">
        <f t="shared" si="1898"/>
        <v>0</v>
      </c>
      <c r="CTU24">
        <f t="shared" si="1899"/>
        <v>0</v>
      </c>
      <c r="CTV24">
        <f t="shared" si="1900"/>
        <v>0</v>
      </c>
      <c r="CTW24">
        <f t="shared" si="1901"/>
        <v>0</v>
      </c>
      <c r="CTX24">
        <f t="shared" si="1902"/>
        <v>0</v>
      </c>
      <c r="CTY24">
        <f t="shared" si="1903"/>
        <v>0</v>
      </c>
      <c r="CTZ24">
        <f t="shared" si="1904"/>
        <v>0</v>
      </c>
      <c r="CUA24">
        <f t="shared" si="1905"/>
        <v>0</v>
      </c>
      <c r="CUB24">
        <f t="shared" si="1906"/>
        <v>0</v>
      </c>
      <c r="CUC24">
        <f t="shared" si="1907"/>
        <v>0</v>
      </c>
      <c r="CUD24">
        <f t="shared" si="1908"/>
        <v>0</v>
      </c>
      <c r="CUE24">
        <f t="shared" si="1909"/>
        <v>0</v>
      </c>
      <c r="CUF24">
        <f t="shared" si="1910"/>
        <v>0</v>
      </c>
      <c r="CUG24">
        <f t="shared" si="1911"/>
        <v>0</v>
      </c>
      <c r="CUH24">
        <f t="shared" si="1912"/>
        <v>0</v>
      </c>
      <c r="CUI24">
        <f t="shared" si="1913"/>
        <v>0</v>
      </c>
      <c r="CUJ24">
        <f t="shared" si="1914"/>
        <v>0</v>
      </c>
      <c r="CUK24">
        <f t="shared" si="1915"/>
        <v>0</v>
      </c>
      <c r="CUL24">
        <f t="shared" si="1916"/>
        <v>0</v>
      </c>
      <c r="CUM24">
        <f t="shared" si="1917"/>
        <v>0</v>
      </c>
      <c r="CUN24">
        <f t="shared" si="1918"/>
        <v>0</v>
      </c>
      <c r="CUO24">
        <f t="shared" si="1919"/>
        <v>0</v>
      </c>
      <c r="CUP24">
        <f t="shared" si="1920"/>
        <v>0</v>
      </c>
      <c r="CUQ24">
        <f t="shared" si="1921"/>
        <v>0</v>
      </c>
      <c r="CUR24">
        <f t="shared" si="1922"/>
        <v>0</v>
      </c>
      <c r="CUS24">
        <f t="shared" si="1923"/>
        <v>0</v>
      </c>
      <c r="CUT24">
        <f t="shared" si="1924"/>
        <v>0</v>
      </c>
      <c r="CUU24">
        <f t="shared" si="1925"/>
        <v>0</v>
      </c>
      <c r="CUV24">
        <f t="shared" si="1926"/>
        <v>0</v>
      </c>
      <c r="CUW24">
        <f t="shared" si="1927"/>
        <v>0</v>
      </c>
      <c r="CUX24">
        <f t="shared" si="1928"/>
        <v>0</v>
      </c>
      <c r="CUY24">
        <f t="shared" si="1929"/>
        <v>0</v>
      </c>
      <c r="CUZ24">
        <f t="shared" si="1930"/>
        <v>0</v>
      </c>
      <c r="CVA24">
        <f t="shared" si="1931"/>
        <v>0</v>
      </c>
      <c r="CVB24">
        <f t="shared" si="1932"/>
        <v>0</v>
      </c>
      <c r="CVC24">
        <f t="shared" si="1933"/>
        <v>0</v>
      </c>
      <c r="CVD24">
        <f t="shared" si="1934"/>
        <v>0</v>
      </c>
      <c r="CVE24">
        <f t="shared" si="1935"/>
        <v>0</v>
      </c>
      <c r="CVF24">
        <f t="shared" si="1936"/>
        <v>0</v>
      </c>
      <c r="CVG24">
        <f t="shared" si="1937"/>
        <v>0</v>
      </c>
      <c r="CVH24">
        <f t="shared" si="1938"/>
        <v>0</v>
      </c>
      <c r="CVI24">
        <f t="shared" si="1939"/>
        <v>0</v>
      </c>
      <c r="CVJ24">
        <f t="shared" si="1940"/>
        <v>0</v>
      </c>
      <c r="CVK24">
        <f t="shared" si="1941"/>
        <v>0</v>
      </c>
      <c r="CVL24">
        <f t="shared" si="1942"/>
        <v>0</v>
      </c>
      <c r="CVM24">
        <f t="shared" si="1943"/>
        <v>0</v>
      </c>
      <c r="CVN24">
        <f t="shared" si="1944"/>
        <v>0</v>
      </c>
      <c r="CVO24">
        <f t="shared" si="1945"/>
        <v>0</v>
      </c>
      <c r="CVP24">
        <f t="shared" si="1946"/>
        <v>0</v>
      </c>
      <c r="CVQ24">
        <f t="shared" si="1947"/>
        <v>0</v>
      </c>
      <c r="CVR24">
        <f t="shared" si="1948"/>
        <v>0</v>
      </c>
      <c r="CVS24">
        <f t="shared" si="1949"/>
        <v>0</v>
      </c>
      <c r="CVT24">
        <f t="shared" si="1950"/>
        <v>0</v>
      </c>
      <c r="CVU24">
        <f t="shared" si="1951"/>
        <v>0</v>
      </c>
      <c r="CVV24">
        <f t="shared" si="1952"/>
        <v>0</v>
      </c>
      <c r="CVW24">
        <f t="shared" si="1953"/>
        <v>0</v>
      </c>
      <c r="CVX24">
        <f t="shared" si="1954"/>
        <v>0</v>
      </c>
      <c r="CVY24">
        <f t="shared" si="1955"/>
        <v>0</v>
      </c>
      <c r="CVZ24">
        <f t="shared" si="63"/>
        <v>0</v>
      </c>
      <c r="CWA24">
        <f t="shared" si="1956"/>
        <v>0</v>
      </c>
      <c r="CWB24">
        <f t="shared" si="1957"/>
        <v>0</v>
      </c>
      <c r="CWC24">
        <f t="shared" si="1958"/>
        <v>0</v>
      </c>
      <c r="CWD24">
        <f t="shared" si="1959"/>
        <v>0</v>
      </c>
      <c r="CWE24">
        <f t="shared" si="1960"/>
        <v>0</v>
      </c>
      <c r="CWF24">
        <f t="shared" si="1961"/>
        <v>0</v>
      </c>
      <c r="CWG24">
        <f t="shared" si="1962"/>
        <v>0</v>
      </c>
      <c r="CWH24">
        <f t="shared" si="1963"/>
        <v>0</v>
      </c>
      <c r="CWI24">
        <f t="shared" si="1964"/>
        <v>0</v>
      </c>
      <c r="CWJ24">
        <f t="shared" si="1965"/>
        <v>0</v>
      </c>
      <c r="CWK24">
        <f t="shared" si="1966"/>
        <v>0</v>
      </c>
      <c r="CWL24">
        <f t="shared" si="1967"/>
        <v>0</v>
      </c>
      <c r="CWM24">
        <f t="shared" si="1968"/>
        <v>0</v>
      </c>
      <c r="CWN24">
        <f t="shared" si="1969"/>
        <v>0</v>
      </c>
      <c r="CWO24">
        <f t="shared" si="1970"/>
        <v>0</v>
      </c>
      <c r="CWP24">
        <f t="shared" si="1971"/>
        <v>0</v>
      </c>
      <c r="CWQ24">
        <f t="shared" si="1972"/>
        <v>0</v>
      </c>
      <c r="CWR24">
        <f t="shared" si="1973"/>
        <v>0</v>
      </c>
      <c r="CWS24">
        <f t="shared" si="1974"/>
        <v>0</v>
      </c>
      <c r="CWT24">
        <f t="shared" si="1975"/>
        <v>0</v>
      </c>
      <c r="CWU24">
        <f t="shared" si="1976"/>
        <v>0</v>
      </c>
      <c r="CWV24">
        <f t="shared" si="1977"/>
        <v>0</v>
      </c>
      <c r="CWW24">
        <f t="shared" si="1978"/>
        <v>0</v>
      </c>
      <c r="CWX24">
        <f t="shared" si="1979"/>
        <v>0</v>
      </c>
      <c r="CWY24">
        <f t="shared" si="1980"/>
        <v>0</v>
      </c>
      <c r="CWZ24">
        <f t="shared" si="1981"/>
        <v>0</v>
      </c>
      <c r="CXA24">
        <f t="shared" si="1982"/>
        <v>0</v>
      </c>
      <c r="CXB24">
        <f t="shared" si="1983"/>
        <v>0</v>
      </c>
      <c r="CXC24">
        <f t="shared" si="1984"/>
        <v>0</v>
      </c>
      <c r="CXD24">
        <f t="shared" si="1985"/>
        <v>0</v>
      </c>
      <c r="CXE24">
        <f t="shared" si="1986"/>
        <v>0</v>
      </c>
      <c r="CXF24">
        <f t="shared" si="1987"/>
        <v>0</v>
      </c>
      <c r="CXG24">
        <f t="shared" si="1988"/>
        <v>0</v>
      </c>
      <c r="CXH24">
        <f t="shared" si="1989"/>
        <v>0</v>
      </c>
      <c r="CXI24">
        <f t="shared" si="1990"/>
        <v>0</v>
      </c>
      <c r="CXJ24">
        <f t="shared" si="1991"/>
        <v>0</v>
      </c>
      <c r="CXK24">
        <f t="shared" si="1992"/>
        <v>0</v>
      </c>
      <c r="CXL24">
        <f t="shared" si="1993"/>
        <v>0</v>
      </c>
      <c r="CXM24">
        <f t="shared" si="1994"/>
        <v>0</v>
      </c>
      <c r="CXN24">
        <f t="shared" si="1995"/>
        <v>0</v>
      </c>
      <c r="CXO24">
        <f t="shared" si="1996"/>
        <v>0</v>
      </c>
      <c r="CXP24">
        <f t="shared" si="1997"/>
        <v>0</v>
      </c>
      <c r="CXQ24">
        <f t="shared" si="1998"/>
        <v>0</v>
      </c>
      <c r="CXR24">
        <f t="shared" si="1999"/>
        <v>0</v>
      </c>
      <c r="CXS24">
        <f t="shared" si="2000"/>
        <v>0</v>
      </c>
      <c r="CXT24">
        <f t="shared" si="2001"/>
        <v>0</v>
      </c>
      <c r="CXU24">
        <f t="shared" si="2002"/>
        <v>0</v>
      </c>
      <c r="CXV24">
        <f t="shared" si="2003"/>
        <v>0</v>
      </c>
      <c r="CXW24">
        <f t="shared" si="2004"/>
        <v>0</v>
      </c>
      <c r="CXX24">
        <f t="shared" si="2005"/>
        <v>0</v>
      </c>
      <c r="CXY24">
        <f t="shared" si="2006"/>
        <v>0</v>
      </c>
      <c r="CXZ24">
        <f t="shared" si="2007"/>
        <v>0</v>
      </c>
      <c r="CYA24">
        <f t="shared" si="2008"/>
        <v>0</v>
      </c>
      <c r="CYB24">
        <f t="shared" si="2009"/>
        <v>0</v>
      </c>
      <c r="CYC24">
        <f t="shared" si="2010"/>
        <v>0</v>
      </c>
      <c r="CYD24">
        <f t="shared" si="2011"/>
        <v>0</v>
      </c>
      <c r="CYE24">
        <f t="shared" si="2012"/>
        <v>0</v>
      </c>
      <c r="CYF24">
        <f t="shared" si="2013"/>
        <v>0</v>
      </c>
      <c r="CYG24">
        <f t="shared" si="2014"/>
        <v>0</v>
      </c>
      <c r="CYH24">
        <f t="shared" si="2015"/>
        <v>0</v>
      </c>
      <c r="CYI24">
        <f t="shared" si="2016"/>
        <v>0</v>
      </c>
      <c r="CYJ24">
        <f t="shared" si="2017"/>
        <v>0</v>
      </c>
      <c r="CYK24">
        <f t="shared" si="2018"/>
        <v>0</v>
      </c>
      <c r="CYL24">
        <f t="shared" si="64"/>
        <v>0</v>
      </c>
      <c r="CYM24">
        <f t="shared" si="2019"/>
        <v>0</v>
      </c>
      <c r="CYN24">
        <f t="shared" si="2020"/>
        <v>0</v>
      </c>
      <c r="CYO24">
        <f t="shared" si="2021"/>
        <v>0</v>
      </c>
      <c r="CYP24">
        <f t="shared" si="2022"/>
        <v>0</v>
      </c>
      <c r="CYQ24">
        <f t="shared" si="2023"/>
        <v>0</v>
      </c>
      <c r="CYR24">
        <f t="shared" si="2024"/>
        <v>0</v>
      </c>
      <c r="CYS24">
        <f t="shared" si="2025"/>
        <v>0</v>
      </c>
      <c r="CYT24">
        <f t="shared" si="2026"/>
        <v>0</v>
      </c>
      <c r="CYU24">
        <f t="shared" si="2027"/>
        <v>0</v>
      </c>
      <c r="CYV24">
        <f t="shared" si="2028"/>
        <v>0</v>
      </c>
      <c r="CYW24">
        <f t="shared" si="2029"/>
        <v>0</v>
      </c>
      <c r="CYX24">
        <f t="shared" si="2030"/>
        <v>0</v>
      </c>
      <c r="CYY24">
        <f t="shared" si="2031"/>
        <v>0</v>
      </c>
      <c r="CYZ24">
        <f t="shared" si="2032"/>
        <v>0</v>
      </c>
      <c r="CZA24">
        <f t="shared" si="2033"/>
        <v>0</v>
      </c>
      <c r="CZB24">
        <f t="shared" si="2034"/>
        <v>0</v>
      </c>
      <c r="CZC24">
        <f t="shared" si="2035"/>
        <v>0</v>
      </c>
      <c r="CZD24">
        <f t="shared" si="2036"/>
        <v>0</v>
      </c>
      <c r="CZE24">
        <f t="shared" si="2037"/>
        <v>0</v>
      </c>
      <c r="CZF24">
        <f t="shared" si="2038"/>
        <v>0</v>
      </c>
      <c r="CZG24">
        <f t="shared" si="2039"/>
        <v>0</v>
      </c>
      <c r="CZH24">
        <f t="shared" si="2040"/>
        <v>0</v>
      </c>
      <c r="CZI24">
        <f t="shared" si="2041"/>
        <v>0</v>
      </c>
      <c r="CZJ24">
        <f t="shared" si="2042"/>
        <v>0</v>
      </c>
      <c r="CZK24">
        <f t="shared" si="2043"/>
        <v>0</v>
      </c>
      <c r="CZL24">
        <f t="shared" si="2044"/>
        <v>0</v>
      </c>
      <c r="CZM24">
        <f t="shared" si="2045"/>
        <v>0</v>
      </c>
      <c r="CZN24">
        <f t="shared" si="2046"/>
        <v>0</v>
      </c>
      <c r="CZO24">
        <f t="shared" si="2047"/>
        <v>0</v>
      </c>
      <c r="CZP24">
        <f t="shared" si="2048"/>
        <v>0</v>
      </c>
      <c r="CZQ24">
        <f t="shared" si="2049"/>
        <v>0</v>
      </c>
      <c r="CZR24">
        <f t="shared" si="2050"/>
        <v>0</v>
      </c>
      <c r="CZS24">
        <f t="shared" si="2051"/>
        <v>0</v>
      </c>
      <c r="CZT24">
        <f t="shared" si="2052"/>
        <v>0</v>
      </c>
      <c r="CZU24">
        <f t="shared" si="2053"/>
        <v>0</v>
      </c>
      <c r="CZV24">
        <f t="shared" si="2054"/>
        <v>0</v>
      </c>
      <c r="CZW24">
        <f t="shared" si="2055"/>
        <v>0</v>
      </c>
      <c r="CZX24">
        <f t="shared" si="2056"/>
        <v>0</v>
      </c>
      <c r="CZY24">
        <f t="shared" si="2057"/>
        <v>0</v>
      </c>
      <c r="CZZ24">
        <f t="shared" si="2058"/>
        <v>0</v>
      </c>
      <c r="DAA24">
        <f t="shared" si="2059"/>
        <v>0</v>
      </c>
      <c r="DAB24">
        <f t="shared" si="2060"/>
        <v>0</v>
      </c>
      <c r="DAC24">
        <f t="shared" si="2061"/>
        <v>0</v>
      </c>
      <c r="DAD24">
        <f t="shared" si="2062"/>
        <v>0</v>
      </c>
      <c r="DAE24">
        <f t="shared" si="2063"/>
        <v>0</v>
      </c>
      <c r="DAF24">
        <f t="shared" si="2064"/>
        <v>0</v>
      </c>
      <c r="DAG24">
        <f t="shared" si="2065"/>
        <v>0</v>
      </c>
      <c r="DAH24">
        <f t="shared" si="2066"/>
        <v>0</v>
      </c>
      <c r="DAI24">
        <f t="shared" si="2067"/>
        <v>0</v>
      </c>
      <c r="DAJ24">
        <f t="shared" si="2068"/>
        <v>0</v>
      </c>
      <c r="DAK24">
        <f t="shared" si="2069"/>
        <v>0</v>
      </c>
      <c r="DAL24">
        <f t="shared" si="2070"/>
        <v>0</v>
      </c>
      <c r="DAM24">
        <f t="shared" si="2071"/>
        <v>0</v>
      </c>
      <c r="DAN24">
        <f t="shared" si="2072"/>
        <v>0</v>
      </c>
      <c r="DAO24">
        <f t="shared" si="2073"/>
        <v>0</v>
      </c>
      <c r="DAP24">
        <f t="shared" si="2074"/>
        <v>0</v>
      </c>
      <c r="DAQ24">
        <f t="shared" si="2075"/>
        <v>0</v>
      </c>
      <c r="DAR24">
        <f t="shared" si="2076"/>
        <v>0</v>
      </c>
      <c r="DAS24">
        <f t="shared" si="2077"/>
        <v>0</v>
      </c>
      <c r="DAT24">
        <f t="shared" si="2078"/>
        <v>0</v>
      </c>
      <c r="DAU24">
        <f t="shared" si="2079"/>
        <v>0</v>
      </c>
      <c r="DAV24">
        <f t="shared" si="2080"/>
        <v>0</v>
      </c>
      <c r="DAW24">
        <f t="shared" si="2081"/>
        <v>0</v>
      </c>
      <c r="DAX24">
        <f t="shared" si="65"/>
        <v>0</v>
      </c>
      <c r="DAY24">
        <f t="shared" si="2142"/>
        <v>0</v>
      </c>
      <c r="DAZ24">
        <f t="shared" si="2143"/>
        <v>0</v>
      </c>
      <c r="DBA24">
        <f t="shared" si="2144"/>
        <v>0</v>
      </c>
      <c r="DBB24">
        <f t="shared" si="2082"/>
        <v>0</v>
      </c>
      <c r="DBC24">
        <f t="shared" si="2083"/>
        <v>0</v>
      </c>
      <c r="DBD24">
        <f t="shared" si="2084"/>
        <v>0</v>
      </c>
      <c r="DBE24">
        <f t="shared" si="2085"/>
        <v>0</v>
      </c>
      <c r="DBF24">
        <f t="shared" si="2086"/>
        <v>0</v>
      </c>
      <c r="DBG24">
        <f t="shared" si="2087"/>
        <v>0</v>
      </c>
      <c r="DBH24">
        <f t="shared" si="2088"/>
        <v>0</v>
      </c>
      <c r="DBI24">
        <f t="shared" si="2089"/>
        <v>0</v>
      </c>
      <c r="DBJ24">
        <f t="shared" si="2090"/>
        <v>0</v>
      </c>
      <c r="DBK24">
        <f t="shared" si="2091"/>
        <v>0</v>
      </c>
      <c r="DBL24">
        <f t="shared" si="2092"/>
        <v>0</v>
      </c>
      <c r="DBM24">
        <f t="shared" si="2093"/>
        <v>0</v>
      </c>
      <c r="DBN24">
        <f t="shared" si="2094"/>
        <v>0</v>
      </c>
      <c r="DBO24">
        <f t="shared" si="2095"/>
        <v>0</v>
      </c>
      <c r="DBP24">
        <f t="shared" si="2096"/>
        <v>0</v>
      </c>
      <c r="DBQ24">
        <f t="shared" si="2097"/>
        <v>0</v>
      </c>
      <c r="DBR24">
        <f t="shared" si="2098"/>
        <v>0</v>
      </c>
      <c r="DBS24">
        <f t="shared" si="2099"/>
        <v>0</v>
      </c>
      <c r="DBT24">
        <f t="shared" si="2100"/>
        <v>0</v>
      </c>
      <c r="DBU24">
        <f t="shared" si="2101"/>
        <v>0</v>
      </c>
      <c r="DBV24">
        <f t="shared" si="2102"/>
        <v>0</v>
      </c>
      <c r="DBW24">
        <f t="shared" si="2103"/>
        <v>0</v>
      </c>
      <c r="DBX24">
        <f t="shared" si="2104"/>
        <v>0</v>
      </c>
      <c r="DBY24">
        <f t="shared" si="2105"/>
        <v>0</v>
      </c>
      <c r="DBZ24">
        <f t="shared" si="2106"/>
        <v>0</v>
      </c>
      <c r="DCA24">
        <f t="shared" si="2107"/>
        <v>0</v>
      </c>
      <c r="DCB24">
        <f t="shared" si="2108"/>
        <v>0</v>
      </c>
      <c r="DCC24">
        <f t="shared" si="2109"/>
        <v>0</v>
      </c>
      <c r="DCD24">
        <f t="shared" si="2110"/>
        <v>0</v>
      </c>
      <c r="DCE24">
        <f t="shared" si="2111"/>
        <v>0</v>
      </c>
      <c r="DCF24">
        <f t="shared" si="2112"/>
        <v>0</v>
      </c>
      <c r="DCG24">
        <f t="shared" si="2113"/>
        <v>0</v>
      </c>
      <c r="DCH24">
        <f t="shared" si="2114"/>
        <v>0</v>
      </c>
      <c r="DCI24">
        <f t="shared" si="2115"/>
        <v>0</v>
      </c>
      <c r="DCJ24">
        <f t="shared" si="2116"/>
        <v>0</v>
      </c>
      <c r="DCK24">
        <f t="shared" si="2117"/>
        <v>0</v>
      </c>
      <c r="DCL24">
        <f t="shared" si="2118"/>
        <v>0</v>
      </c>
      <c r="DCM24">
        <f t="shared" si="2119"/>
        <v>0</v>
      </c>
      <c r="DCN24">
        <f t="shared" si="2120"/>
        <v>0</v>
      </c>
      <c r="DCO24">
        <f t="shared" si="2121"/>
        <v>0</v>
      </c>
      <c r="DCP24">
        <f t="shared" si="2122"/>
        <v>0</v>
      </c>
      <c r="DCQ24">
        <f t="shared" si="2123"/>
        <v>0</v>
      </c>
      <c r="DCR24">
        <f t="shared" si="2124"/>
        <v>0</v>
      </c>
      <c r="DCS24">
        <f t="shared" si="2125"/>
        <v>0</v>
      </c>
      <c r="DCT24">
        <f t="shared" si="2126"/>
        <v>0</v>
      </c>
      <c r="DCU24">
        <f t="shared" si="2127"/>
        <v>0</v>
      </c>
      <c r="DCV24">
        <f t="shared" si="2128"/>
        <v>0</v>
      </c>
      <c r="DCW24">
        <f t="shared" si="2129"/>
        <v>0</v>
      </c>
      <c r="DCX24">
        <f t="shared" si="2130"/>
        <v>0</v>
      </c>
      <c r="DCY24">
        <f t="shared" si="2131"/>
        <v>0</v>
      </c>
      <c r="DCZ24">
        <f t="shared" si="2132"/>
        <v>0</v>
      </c>
      <c r="DDA24">
        <f t="shared" si="2133"/>
        <v>0</v>
      </c>
      <c r="DDB24">
        <f t="shared" si="2134"/>
        <v>0</v>
      </c>
      <c r="DDC24">
        <f t="shared" si="2135"/>
        <v>0</v>
      </c>
      <c r="DDD24">
        <f t="shared" si="2136"/>
        <v>0</v>
      </c>
      <c r="DDE24">
        <f t="shared" si="2137"/>
        <v>0</v>
      </c>
      <c r="DDF24">
        <f t="shared" si="2138"/>
        <v>0</v>
      </c>
      <c r="DDG24">
        <f t="shared" si="2139"/>
        <v>0</v>
      </c>
      <c r="DDH24">
        <f t="shared" si="2140"/>
        <v>0</v>
      </c>
      <c r="DDI24">
        <f t="shared" si="2141"/>
        <v>0</v>
      </c>
    </row>
    <row r="25" spans="1:2817" x14ac:dyDescent="0.2">
      <c r="A25" s="1">
        <v>19</v>
      </c>
      <c r="B25">
        <f>'Demand Stage 2'!B24</f>
        <v>0</v>
      </c>
      <c r="C25">
        <f>'Demand Stage 2'!C24</f>
        <v>0</v>
      </c>
      <c r="D25">
        <f>'Demand Stage 2'!D24</f>
        <v>0</v>
      </c>
      <c r="E25">
        <f>'Demand Stage 2'!E24</f>
        <v>0</v>
      </c>
      <c r="F25">
        <f>'Demand Stage 2'!F24</f>
        <v>0</v>
      </c>
      <c r="G25">
        <f>'Demand Stage 2'!G24</f>
        <v>0</v>
      </c>
      <c r="H25">
        <f>'Demand Stage 2'!H24</f>
        <v>0</v>
      </c>
      <c r="I25">
        <f>'Demand Stage 2'!I24</f>
        <v>0</v>
      </c>
      <c r="J25">
        <f>'Demand Stage 2'!J24</f>
        <v>0</v>
      </c>
      <c r="K25">
        <f>'Demand Stage 2'!K24</f>
        <v>0</v>
      </c>
      <c r="L25">
        <f>'Demand Stage 2'!L24</f>
        <v>0</v>
      </c>
      <c r="M25">
        <f>'Demand Stage 2'!M24</f>
        <v>0</v>
      </c>
      <c r="N25">
        <f>'Demand Stage 2'!N24</f>
        <v>0</v>
      </c>
      <c r="O25">
        <f>'Demand Stage 2'!O24</f>
        <v>0</v>
      </c>
      <c r="P25">
        <f>'Demand Stage 2'!P24</f>
        <v>0</v>
      </c>
      <c r="Q25">
        <f>'Demand Stage 2'!Q24</f>
        <v>0</v>
      </c>
      <c r="R25">
        <f>'Demand Stage 2'!R24</f>
        <v>0</v>
      </c>
      <c r="S25">
        <f>'Demand Stage 2'!S24</f>
        <v>0</v>
      </c>
      <c r="T25">
        <f>'Demand Stage 2'!T24</f>
        <v>0</v>
      </c>
      <c r="U25">
        <f>'Demand Stage 2'!U24</f>
        <v>0</v>
      </c>
      <c r="V25">
        <f>'Demand Stage 2'!V24</f>
        <v>0</v>
      </c>
      <c r="W25">
        <f>'Demand Stage 2'!W24</f>
        <v>0</v>
      </c>
      <c r="X25">
        <f>'Demand Stage 2'!X24</f>
        <v>0</v>
      </c>
      <c r="Y25">
        <f>'Demand Stage 2'!Y24</f>
        <v>0</v>
      </c>
      <c r="Z25">
        <f>'Demand Stage 2'!Z24</f>
        <v>0</v>
      </c>
      <c r="AA25">
        <f>'Demand Stage 2'!AA24</f>
        <v>0</v>
      </c>
      <c r="AB25">
        <f>'Demand Stage 2'!AB24</f>
        <v>0</v>
      </c>
      <c r="AC25">
        <f>'Demand Stage 2'!AC24</f>
        <v>0</v>
      </c>
      <c r="AD25">
        <f>'Demand Stage 2'!AD24</f>
        <v>0</v>
      </c>
      <c r="AE25">
        <f>'Demand Stage 2'!AE24</f>
        <v>0</v>
      </c>
      <c r="AF25">
        <f>'Demand Stage 2'!AF24</f>
        <v>0</v>
      </c>
      <c r="AG25">
        <f>'Demand Stage 2'!AG24</f>
        <v>0</v>
      </c>
      <c r="AH25">
        <f>'Demand Stage 2'!AH24</f>
        <v>0</v>
      </c>
      <c r="AI25">
        <f>'Demand Stage 2'!AI24</f>
        <v>0</v>
      </c>
      <c r="AJ25">
        <f>'Demand Stage 2'!AJ24</f>
        <v>0</v>
      </c>
      <c r="AK25">
        <f>'Demand Stage 2'!AK24</f>
        <v>0</v>
      </c>
      <c r="AL25">
        <f>'Demand Stage 2'!AL24</f>
        <v>0</v>
      </c>
      <c r="AM25">
        <f>'Demand Stage 2'!AM24</f>
        <v>0</v>
      </c>
      <c r="AN25">
        <f>'Demand Stage 2'!AN24</f>
        <v>0</v>
      </c>
      <c r="AO25">
        <f>'Demand Stage 2'!AO24</f>
        <v>0</v>
      </c>
      <c r="AP25">
        <f>'Demand Stage 2'!AP24</f>
        <v>0</v>
      </c>
      <c r="AQ25">
        <f>'Demand Stage 2'!AQ24</f>
        <v>0</v>
      </c>
      <c r="AR25">
        <f>'Demand Stage 2'!AR24</f>
        <v>0</v>
      </c>
      <c r="AS25">
        <f>'Demand Stage 2'!AS24</f>
        <v>0</v>
      </c>
      <c r="AT25">
        <f>'Demand Stage 2'!AT24</f>
        <v>0</v>
      </c>
      <c r="AU25">
        <f>'Demand Stage 2'!AU24</f>
        <v>0</v>
      </c>
      <c r="AV25">
        <f>'Demand Stage 2'!AV24</f>
        <v>0</v>
      </c>
      <c r="AW25">
        <f>'Demand Stage 2'!AW24</f>
        <v>0</v>
      </c>
      <c r="AX25">
        <f>'Demand Stage 2'!AX24</f>
        <v>0</v>
      </c>
      <c r="AY25">
        <f>'Demand Stage 2'!AY24</f>
        <v>0</v>
      </c>
      <c r="AZ25">
        <f>'Demand Stage 2'!AZ24</f>
        <v>0</v>
      </c>
      <c r="BA25">
        <f>'Demand Stage 2'!BA24</f>
        <v>0</v>
      </c>
      <c r="BB25">
        <f>'Demand Stage 2'!BB24</f>
        <v>0</v>
      </c>
      <c r="BC25">
        <f>'Demand Stage 2'!BC24</f>
        <v>0</v>
      </c>
      <c r="BD25">
        <f>'Demand Stage 2'!BD24</f>
        <v>0</v>
      </c>
      <c r="BE25">
        <f>'Demand Stage 2'!BE24</f>
        <v>0</v>
      </c>
      <c r="BF25">
        <f>'Demand Stage 2'!BF24</f>
        <v>0</v>
      </c>
      <c r="BG25">
        <f>'Demand Stage 2'!BG24</f>
        <v>0</v>
      </c>
      <c r="BH25">
        <f>'Demand Stage 2'!BH24</f>
        <v>0</v>
      </c>
      <c r="BI25">
        <f>'Demand Stage 2'!BI24</f>
        <v>0</v>
      </c>
      <c r="BJ25">
        <f>'Demand Stage 2'!BJ24</f>
        <v>0</v>
      </c>
      <c r="BK25">
        <f>'Demand Stage 2'!BK24</f>
        <v>0</v>
      </c>
      <c r="BL25">
        <f>'Demand Stage 2'!BL24</f>
        <v>0</v>
      </c>
      <c r="BM25">
        <f>'Demand Stage 2'!BM24</f>
        <v>0</v>
      </c>
      <c r="BN25">
        <f>'Demand Stage 2'!BN24</f>
        <v>0</v>
      </c>
      <c r="BO25">
        <f>'Demand Stage 2'!BO24</f>
        <v>0</v>
      </c>
      <c r="BP25">
        <f>'Demand Stage 2'!BP24</f>
        <v>0</v>
      </c>
      <c r="BQ25">
        <f>'Demand Stage 2'!BQ24</f>
        <v>0</v>
      </c>
      <c r="BR25">
        <f>'Demand Stage 2'!BR24</f>
        <v>0</v>
      </c>
      <c r="BS25">
        <f>'Demand Stage 2'!BS24</f>
        <v>0</v>
      </c>
      <c r="BT25">
        <f>'Demand Stage 2'!BT24</f>
        <v>0</v>
      </c>
      <c r="BU25">
        <f>'Demand Stage 2'!BU24</f>
        <v>0</v>
      </c>
      <c r="BV25">
        <f>'Demand Stage 2'!BV24</f>
        <v>0</v>
      </c>
      <c r="BW25">
        <f>'Demand Stage 2'!BW24</f>
        <v>0</v>
      </c>
      <c r="BX25">
        <f>'Demand Stage 2'!BX24</f>
        <v>0</v>
      </c>
      <c r="BY25">
        <f>'Demand Stage 2'!BY24</f>
        <v>0</v>
      </c>
      <c r="BZ25">
        <f>'Demand Stage 2'!BZ24</f>
        <v>0</v>
      </c>
      <c r="CA25">
        <f>'Demand Stage 2'!CA24</f>
        <v>0</v>
      </c>
      <c r="CB25">
        <f>'Demand Stage 2'!CB24</f>
        <v>0</v>
      </c>
      <c r="CC25">
        <f>'Demand Stage 2'!CC24</f>
        <v>0</v>
      </c>
      <c r="CD25">
        <f>'Demand Stage 2'!CD24</f>
        <v>0</v>
      </c>
      <c r="CE25">
        <f>'Demand Stage 2'!CE24</f>
        <v>0</v>
      </c>
      <c r="CF25">
        <f>'Demand Stage 2'!CF24</f>
        <v>0</v>
      </c>
      <c r="CG25">
        <f>'Demand Stage 2'!CG24</f>
        <v>0</v>
      </c>
      <c r="CH25">
        <f>'Demand Stage 2'!CH24</f>
        <v>0</v>
      </c>
      <c r="CI25">
        <f>'Demand Stage 2'!CI24</f>
        <v>0</v>
      </c>
      <c r="CJ25">
        <f>'Demand Stage 2'!CJ24</f>
        <v>0</v>
      </c>
      <c r="CK25">
        <f>'Demand Stage 2'!CK24</f>
        <v>0</v>
      </c>
      <c r="CL25">
        <f>'Demand Stage 2'!CL24</f>
        <v>0</v>
      </c>
      <c r="CM25">
        <f>'Demand Stage 2'!CM24</f>
        <v>0</v>
      </c>
      <c r="CN25">
        <f>'Demand Stage 2'!CN24</f>
        <v>0</v>
      </c>
      <c r="CO25">
        <f>'Demand Stage 2'!CO24</f>
        <v>0</v>
      </c>
      <c r="CP25">
        <f>'Demand Stage 2'!CP24</f>
        <v>0</v>
      </c>
      <c r="CQ25">
        <f>'Demand Stage 2'!CQ24</f>
        <v>0</v>
      </c>
      <c r="CR25">
        <f>'Demand Stage 2'!CR24</f>
        <v>0</v>
      </c>
      <c r="CS25">
        <f>'Demand Stage 2'!CS24</f>
        <v>0</v>
      </c>
      <c r="CT25">
        <f>'Demand Stage 2'!CT24</f>
        <v>0</v>
      </c>
      <c r="CU25">
        <f>'Demand Stage 2'!CU24</f>
        <v>0</v>
      </c>
      <c r="CV25">
        <f>'Demand Stage 2'!CV24</f>
        <v>0</v>
      </c>
      <c r="CW25">
        <f>'Demand Stage 2'!CW24</f>
        <v>0</v>
      </c>
      <c r="CX25">
        <f>'Demand Stage 2'!CX24</f>
        <v>0</v>
      </c>
      <c r="CY25">
        <f>'Demand Stage 2'!CY24</f>
        <v>0</v>
      </c>
      <c r="CZ25">
        <f>'Demand Stage 2'!CZ24</f>
        <v>0</v>
      </c>
      <c r="DA25">
        <f>'Demand Stage 2'!DA24</f>
        <v>0</v>
      </c>
      <c r="DB25">
        <f>'Demand Stage 2'!DB24</f>
        <v>0</v>
      </c>
      <c r="DC25">
        <f>'Demand Stage 2'!DC24</f>
        <v>0</v>
      </c>
      <c r="DD25">
        <f>'Demand Stage 2'!DD24</f>
        <v>0</v>
      </c>
      <c r="DE25">
        <f>'Demand Stage 2'!DE24</f>
        <v>0</v>
      </c>
      <c r="DF25">
        <f>'Demand Stage 2'!DF24</f>
        <v>0</v>
      </c>
      <c r="DG25">
        <f>'Demand Stage 2'!DG24</f>
        <v>0</v>
      </c>
      <c r="DH25">
        <f>'Demand Stage 2'!DH24</f>
        <v>0</v>
      </c>
      <c r="DI25">
        <f>'Demand Stage 2'!DI24</f>
        <v>0</v>
      </c>
      <c r="DJ25">
        <f>'Demand Stage 2'!DJ24</f>
        <v>0</v>
      </c>
      <c r="DK25">
        <f>'Demand Stage 2'!DK24</f>
        <v>0</v>
      </c>
      <c r="DL25">
        <f>'Demand Stage 2'!DL24</f>
        <v>0</v>
      </c>
      <c r="DM25">
        <f>'Demand Stage 2'!DM24</f>
        <v>0</v>
      </c>
      <c r="DN25">
        <f>'Demand Stage 2'!DN24</f>
        <v>0</v>
      </c>
      <c r="DO25">
        <f>'Demand Stage 2'!DO24</f>
        <v>0</v>
      </c>
      <c r="DP25">
        <f>'Demand Stage 2'!DP24</f>
        <v>0</v>
      </c>
      <c r="DQ25">
        <f>'Demand Stage 2'!DQ24</f>
        <v>0</v>
      </c>
      <c r="DR25">
        <f>'Demand Stage 2'!DR24</f>
        <v>0</v>
      </c>
      <c r="DS25">
        <f>'Demand Stage 2'!DS24</f>
        <v>0</v>
      </c>
      <c r="DT25">
        <f>'Demand Stage 2'!DT24</f>
        <v>0</v>
      </c>
      <c r="DU25">
        <f>'Demand Stage 2'!DU24</f>
        <v>0</v>
      </c>
      <c r="DV25">
        <f>'Demand Stage 2'!DV24</f>
        <v>0</v>
      </c>
      <c r="DW25">
        <f>'Demand Stage 2'!DW24</f>
        <v>0</v>
      </c>
      <c r="DX25">
        <f>'Demand Stage 2'!DX24</f>
        <v>0</v>
      </c>
      <c r="DY25">
        <f>'Demand Stage 2'!DY24</f>
        <v>0</v>
      </c>
      <c r="DZ25">
        <f>'Demand Stage 2'!DZ24</f>
        <v>0</v>
      </c>
      <c r="EA25">
        <f>'Demand Stage 2'!EA24</f>
        <v>0</v>
      </c>
      <c r="EB25">
        <f>'Demand Stage 2'!EB24</f>
        <v>0</v>
      </c>
      <c r="EC25">
        <f>'Demand Stage 2'!EC24</f>
        <v>0</v>
      </c>
      <c r="ED25">
        <f>'Demand Stage 2'!ED24</f>
        <v>0</v>
      </c>
      <c r="EE25">
        <f>'Demand Stage 2'!EE24</f>
        <v>0</v>
      </c>
      <c r="EF25">
        <f>'Demand Stage 2'!EF24</f>
        <v>0</v>
      </c>
      <c r="EG25">
        <f>'Demand Stage 2'!EG24</f>
        <v>0</v>
      </c>
      <c r="EH25">
        <f>'Demand Stage 2'!EH24</f>
        <v>0</v>
      </c>
      <c r="EI25">
        <f>'Demand Stage 2'!EI24</f>
        <v>0</v>
      </c>
      <c r="EJ25">
        <f>'Demand Stage 2'!EJ24</f>
        <v>0</v>
      </c>
      <c r="EK25">
        <f>'Demand Stage 2'!EK24</f>
        <v>0</v>
      </c>
      <c r="EL25">
        <f>'Demand Stage 2'!EL24</f>
        <v>0</v>
      </c>
      <c r="EM25">
        <f>'Demand Stage 2'!EM24</f>
        <v>0</v>
      </c>
      <c r="EN25">
        <f>'Demand Stage 2'!EN24</f>
        <v>0</v>
      </c>
      <c r="EO25">
        <f>'Demand Stage 2'!EO24</f>
        <v>0</v>
      </c>
      <c r="EP25">
        <f>'Demand Stage 2'!EP24</f>
        <v>0</v>
      </c>
      <c r="EQ25">
        <f>'Demand Stage 2'!EQ24</f>
        <v>0</v>
      </c>
      <c r="ER25">
        <f>'Demand Stage 2'!ER24</f>
        <v>0</v>
      </c>
      <c r="ES25">
        <f>'Demand Stage 2'!ES24</f>
        <v>0</v>
      </c>
      <c r="ET25">
        <f>'Demand Stage 2'!ET24</f>
        <v>0</v>
      </c>
      <c r="EU25">
        <f>'Demand Stage 2'!EU24</f>
        <v>0</v>
      </c>
      <c r="EV25">
        <f>'Demand Stage 2'!EV24</f>
        <v>0</v>
      </c>
      <c r="EW25">
        <f>'Demand Stage 2'!EW24</f>
        <v>0</v>
      </c>
      <c r="EX25">
        <f>'Demand Stage 2'!EX24</f>
        <v>0</v>
      </c>
      <c r="EY25">
        <f>'Demand Stage 2'!EY24</f>
        <v>0</v>
      </c>
      <c r="EZ25">
        <f>'Demand Stage 2'!EZ24</f>
        <v>0</v>
      </c>
      <c r="FA25">
        <f>'Demand Stage 2'!FA24</f>
        <v>0</v>
      </c>
      <c r="FB25">
        <f>'Demand Stage 2'!FB24</f>
        <v>0</v>
      </c>
      <c r="FC25">
        <f>'Demand Stage 2'!FC24</f>
        <v>0</v>
      </c>
      <c r="FD25">
        <f>'Demand Stage 2'!FD24</f>
        <v>0</v>
      </c>
      <c r="FE25">
        <f>'Demand Stage 2'!FE24</f>
        <v>0</v>
      </c>
      <c r="FF25">
        <f>'Demand Stage 2'!FF24</f>
        <v>0</v>
      </c>
      <c r="FG25">
        <f>'Demand Stage 2'!FG24</f>
        <v>0</v>
      </c>
      <c r="FH25">
        <f>'Demand Stage 2'!FH24</f>
        <v>0</v>
      </c>
      <c r="FI25">
        <f>'Demand Stage 2'!FI24</f>
        <v>0</v>
      </c>
      <c r="FJ25">
        <f>'Demand Stage 2'!FJ24</f>
        <v>0</v>
      </c>
      <c r="FK25">
        <f>'Demand Stage 2'!FK24</f>
        <v>0</v>
      </c>
      <c r="FL25">
        <f>'Demand Stage 2'!FL24</f>
        <v>0</v>
      </c>
      <c r="FM25">
        <f>'Demand Stage 2'!FM24</f>
        <v>0</v>
      </c>
      <c r="FN25">
        <f>'Demand Stage 2'!FN24</f>
        <v>0</v>
      </c>
      <c r="FO25">
        <f>'Demand Stage 2'!FO24</f>
        <v>0</v>
      </c>
      <c r="FP25">
        <f>'Demand Stage 2'!FP24</f>
        <v>0</v>
      </c>
      <c r="FQ25">
        <f>'Demand Stage 2'!FQ24</f>
        <v>0</v>
      </c>
      <c r="FR25">
        <f>'Demand Stage 2'!FR24</f>
        <v>0</v>
      </c>
      <c r="FS25">
        <f>'Demand Stage 2'!FS24</f>
        <v>0</v>
      </c>
      <c r="FT25">
        <f>'Demand Stage 2'!FT24</f>
        <v>0</v>
      </c>
      <c r="FU25">
        <f>'Demand Stage 2'!FU24</f>
        <v>0</v>
      </c>
      <c r="FV25">
        <f>'Demand Stage 2'!FV24</f>
        <v>0</v>
      </c>
      <c r="FW25">
        <f>'Demand Stage 2'!FW24</f>
        <v>0</v>
      </c>
      <c r="FX25">
        <f>'Demand Stage 2'!FX24</f>
        <v>0</v>
      </c>
      <c r="FY25">
        <f>'Demand Stage 2'!FY24</f>
        <v>0</v>
      </c>
      <c r="FZ25">
        <f>'Demand Stage 2'!FZ24</f>
        <v>0</v>
      </c>
      <c r="GA25">
        <f>'Demand Stage 2'!GA24</f>
        <v>0</v>
      </c>
      <c r="GB25">
        <f>'Demand Stage 2'!GB24</f>
        <v>0</v>
      </c>
      <c r="GC25">
        <f>'Demand Stage 2'!GC24</f>
        <v>0</v>
      </c>
      <c r="GD25">
        <f>'Demand Stage 2'!GD24</f>
        <v>0</v>
      </c>
      <c r="GE25">
        <f>'Demand Stage 2'!GE24</f>
        <v>0</v>
      </c>
      <c r="GF25">
        <f>'Demand Stage 2'!GF24</f>
        <v>0</v>
      </c>
      <c r="GG25">
        <f>'Demand Stage 2'!GG24</f>
        <v>0</v>
      </c>
      <c r="GH25">
        <f>'Demand Stage 2'!GH24</f>
        <v>0</v>
      </c>
      <c r="GI25">
        <f>'Demand Stage 2'!GI24</f>
        <v>0</v>
      </c>
      <c r="GJ25">
        <f>'Demand Stage 2'!GJ24</f>
        <v>0</v>
      </c>
      <c r="GK25">
        <f>'Demand Stage 2'!GK24</f>
        <v>0</v>
      </c>
      <c r="GL25">
        <f>'Demand Stage 2'!GL24</f>
        <v>0</v>
      </c>
      <c r="GM25">
        <f>'Demand Stage 2'!GM24</f>
        <v>0</v>
      </c>
      <c r="GN25">
        <f>'Demand Stage 2'!GN24</f>
        <v>0</v>
      </c>
      <c r="GO25">
        <f>'Demand Stage 2'!GO24</f>
        <v>0</v>
      </c>
      <c r="GP25">
        <f>'Demand Stage 2'!GP24</f>
        <v>0</v>
      </c>
      <c r="GQ25">
        <f>'Demand Stage 2'!GQ24</f>
        <v>0</v>
      </c>
      <c r="GR25">
        <f>'Demand Stage 2'!GR24</f>
        <v>0</v>
      </c>
      <c r="GS25">
        <f>'Demand Stage 2'!GS24</f>
        <v>0</v>
      </c>
      <c r="GT25">
        <f>'Demand Stage 2'!GT24</f>
        <v>0</v>
      </c>
      <c r="GU25">
        <f>'Demand Stage 2'!GU24</f>
        <v>0</v>
      </c>
      <c r="GV25">
        <f>'Demand Stage 2'!GV24</f>
        <v>0</v>
      </c>
      <c r="GW25">
        <f>'Demand Stage 2'!GW24</f>
        <v>0</v>
      </c>
      <c r="GX25">
        <f>'Demand Stage 2'!GX24</f>
        <v>0</v>
      </c>
      <c r="GY25">
        <f>'Demand Stage 2'!GY24</f>
        <v>0</v>
      </c>
      <c r="GZ25">
        <f>'Demand Stage 2'!GZ24</f>
        <v>0</v>
      </c>
      <c r="HA25">
        <f>'Demand Stage 2'!HA24</f>
        <v>0</v>
      </c>
      <c r="HB25">
        <f>'Demand Stage 2'!HB24</f>
        <v>0</v>
      </c>
      <c r="HC25">
        <f>'Demand Stage 2'!HC24</f>
        <v>0</v>
      </c>
      <c r="HD25">
        <f>'Demand Stage 2'!HD24</f>
        <v>0</v>
      </c>
      <c r="HE25">
        <f>'Demand Stage 2'!HE24</f>
        <v>0</v>
      </c>
      <c r="HF25">
        <f>'Demand Stage 2'!HF24</f>
        <v>0</v>
      </c>
      <c r="HG25">
        <f>'Demand Stage 2'!HG24</f>
        <v>0</v>
      </c>
      <c r="HH25">
        <f>'Demand Stage 2'!HH24</f>
        <v>0</v>
      </c>
      <c r="HI25">
        <f>'Demand Stage 2'!HI24</f>
        <v>0</v>
      </c>
      <c r="HJ25">
        <f>'Demand Stage 2'!HJ24</f>
        <v>0</v>
      </c>
      <c r="HK25">
        <f>'Demand Stage 2'!HK24</f>
        <v>0</v>
      </c>
      <c r="HL25">
        <f>'Demand Stage 2'!HL24</f>
        <v>0</v>
      </c>
      <c r="HM25">
        <f>'Demand Stage 2'!HM24</f>
        <v>0</v>
      </c>
      <c r="HN25">
        <f>'Demand Stage 2'!HN24</f>
        <v>0</v>
      </c>
      <c r="HO25">
        <f>'Demand Stage 2'!HO24</f>
        <v>0</v>
      </c>
      <c r="HP25">
        <f>'Demand Stage 2'!HP24</f>
        <v>0</v>
      </c>
      <c r="HQ25">
        <f>'Demand Stage 2'!HQ24</f>
        <v>0</v>
      </c>
      <c r="HR25">
        <f>'Demand Stage 2'!HR24</f>
        <v>0</v>
      </c>
      <c r="HS25">
        <f>'Demand Stage 2'!HS24</f>
        <v>0</v>
      </c>
      <c r="HT25">
        <f>'Demand Stage 2'!HT24</f>
        <v>0</v>
      </c>
      <c r="HU25">
        <f>'Demand Stage 2'!HU24</f>
        <v>0</v>
      </c>
      <c r="HV25">
        <f>'Demand Stage 2'!HV24</f>
        <v>0</v>
      </c>
      <c r="HW25">
        <f>'Demand Stage 2'!HW24</f>
        <v>0</v>
      </c>
      <c r="HX25">
        <f>'Demand Stage 2'!HX24</f>
        <v>0</v>
      </c>
      <c r="HY25">
        <f>'Demand Stage 2'!HY24</f>
        <v>0</v>
      </c>
      <c r="HZ25">
        <f>'Demand Stage 2'!HZ24</f>
        <v>0</v>
      </c>
      <c r="IA25">
        <f>'Demand Stage 2'!IA24</f>
        <v>0</v>
      </c>
      <c r="IB25">
        <f>'Demand Stage 2'!IB24</f>
        <v>0</v>
      </c>
      <c r="IC25">
        <f>'Demand Stage 2'!IC24</f>
        <v>0</v>
      </c>
      <c r="ID25">
        <f>'Demand Stage 2'!ID24</f>
        <v>0</v>
      </c>
      <c r="IE25">
        <f>'Demand Stage 2'!IE24</f>
        <v>0</v>
      </c>
      <c r="IF25">
        <f>'Demand Stage 2'!IF24</f>
        <v>0</v>
      </c>
      <c r="IG25">
        <f>'Demand Stage 2'!IG24</f>
        <v>0</v>
      </c>
      <c r="IH25">
        <f>'Demand Stage 2'!IH24</f>
        <v>0</v>
      </c>
      <c r="II25">
        <f>'Demand Stage 2'!II24</f>
        <v>0</v>
      </c>
      <c r="IJ25">
        <f>'Demand Stage 2'!IJ24</f>
        <v>0</v>
      </c>
      <c r="IK25">
        <f>'Demand Stage 2'!IK24</f>
        <v>0</v>
      </c>
      <c r="IL25">
        <f>'Demand Stage 2'!IL24</f>
        <v>0</v>
      </c>
      <c r="IM25">
        <f>'Demand Stage 2'!IM24</f>
        <v>0</v>
      </c>
      <c r="IN25">
        <f>'Demand Stage 2'!IN24</f>
        <v>0</v>
      </c>
      <c r="IO25">
        <f>'Demand Stage 2'!IO24</f>
        <v>0</v>
      </c>
      <c r="IP25">
        <f>'Demand Stage 2'!IP24</f>
        <v>0</v>
      </c>
      <c r="IQ25">
        <f>'Demand Stage 2'!IQ24</f>
        <v>0</v>
      </c>
      <c r="IR25">
        <f>'Demand Stage 2'!IR24</f>
        <v>0</v>
      </c>
      <c r="IS25">
        <f>'Demand Stage 2'!IS24</f>
        <v>0</v>
      </c>
      <c r="IT25">
        <f>'Demand Stage 2'!IT24</f>
        <v>0</v>
      </c>
      <c r="IU25">
        <f>'Demand Stage 2'!IU24</f>
        <v>0</v>
      </c>
      <c r="IV25">
        <f>'Demand Stage 2'!IV24</f>
        <v>0</v>
      </c>
      <c r="IW25">
        <f>'Demand Stage 2'!IW24</f>
        <v>0</v>
      </c>
      <c r="IX25">
        <f>'Demand Stage 2'!IX24</f>
        <v>0</v>
      </c>
      <c r="IY25">
        <f>'Demand Stage 2'!IY24</f>
        <v>0</v>
      </c>
      <c r="IZ25">
        <f>'Demand Stage 2'!IZ24</f>
        <v>0</v>
      </c>
      <c r="JA25">
        <f>'Demand Stage 2'!JA24</f>
        <v>0</v>
      </c>
      <c r="JB25">
        <f>'Demand Stage 2'!JB24</f>
        <v>0</v>
      </c>
      <c r="JC25">
        <f>'Demand Stage 2'!JC24</f>
        <v>0</v>
      </c>
      <c r="JD25">
        <f>'Demand Stage 2'!JD24</f>
        <v>0</v>
      </c>
      <c r="JE25">
        <f>'Demand Stage 2'!JE24</f>
        <v>0</v>
      </c>
      <c r="JF25">
        <f>'Demand Stage 2'!JF24</f>
        <v>0</v>
      </c>
      <c r="JG25">
        <f>'Demand Stage 2'!JG24</f>
        <v>0</v>
      </c>
      <c r="JH25">
        <f>'Demand Stage 2'!JH24</f>
        <v>0</v>
      </c>
      <c r="JI25">
        <f>'Demand Stage 2'!JI24</f>
        <v>0</v>
      </c>
      <c r="JJ25">
        <f>'Demand Stage 2'!JJ24</f>
        <v>0</v>
      </c>
      <c r="JK25">
        <f>'Demand Stage 2'!JK24</f>
        <v>0</v>
      </c>
      <c r="JL25">
        <f>'Demand Stage 2'!JL24</f>
        <v>0</v>
      </c>
      <c r="JM25">
        <f>'Demand Stage 2'!JM24</f>
        <v>0</v>
      </c>
      <c r="JN25">
        <f>'Demand Stage 2'!JN24</f>
        <v>0</v>
      </c>
      <c r="JO25">
        <f>'Demand Stage 2'!JO24</f>
        <v>0</v>
      </c>
      <c r="JP25">
        <f>'Demand Stage 2'!JP24</f>
        <v>0</v>
      </c>
      <c r="JQ25">
        <f>'Demand Stage 2'!JQ24</f>
        <v>0</v>
      </c>
      <c r="JR25">
        <f>'Demand Stage 2'!JR24</f>
        <v>0</v>
      </c>
      <c r="JS25">
        <f>'Demand Stage 2'!JS24</f>
        <v>0</v>
      </c>
      <c r="JT25">
        <f>'Demand Stage 2'!JT24</f>
        <v>0</v>
      </c>
      <c r="JU25">
        <f>'Demand Stage 2'!JU24</f>
        <v>0</v>
      </c>
      <c r="JV25">
        <f>'Demand Stage 2'!JV24</f>
        <v>0</v>
      </c>
      <c r="JW25">
        <f>'Demand Stage 2'!JW24</f>
        <v>0</v>
      </c>
      <c r="JX25">
        <f>'Demand Stage 2'!JX24</f>
        <v>0</v>
      </c>
      <c r="JY25">
        <f>'Demand Stage 2'!JY24</f>
        <v>0</v>
      </c>
      <c r="JZ25">
        <f>'Demand Stage 2'!JZ24</f>
        <v>0</v>
      </c>
      <c r="KA25">
        <f>'Demand Stage 2'!KA24</f>
        <v>0</v>
      </c>
      <c r="KB25">
        <f>'Demand Stage 2'!KB24</f>
        <v>0</v>
      </c>
      <c r="KC25">
        <f>'Demand Stage 2'!KC24</f>
        <v>0</v>
      </c>
      <c r="KD25">
        <f>'Demand Stage 2'!KD24</f>
        <v>0</v>
      </c>
      <c r="KE25">
        <f>'Demand Stage 2'!KE24</f>
        <v>0</v>
      </c>
      <c r="KF25">
        <f>'Demand Stage 2'!KF24</f>
        <v>0</v>
      </c>
      <c r="KG25">
        <f>'Demand Stage 2'!KG24</f>
        <v>0</v>
      </c>
      <c r="KH25">
        <f>'Demand Stage 2'!KH24</f>
        <v>0</v>
      </c>
      <c r="KI25">
        <f>'Demand Stage 2'!KI24</f>
        <v>0</v>
      </c>
      <c r="KJ25">
        <f>'Demand Stage 2'!KJ24</f>
        <v>0</v>
      </c>
      <c r="KK25">
        <f>'Demand Stage 2'!KK24</f>
        <v>0</v>
      </c>
      <c r="KL25">
        <f>'Demand Stage 2'!KL24</f>
        <v>0</v>
      </c>
      <c r="KM25">
        <f>'Demand Stage 2'!KM24</f>
        <v>0</v>
      </c>
      <c r="KN25">
        <f>'Demand Stage 2'!KN24</f>
        <v>0</v>
      </c>
      <c r="KO25">
        <f>'Demand Stage 2'!KO24</f>
        <v>0</v>
      </c>
      <c r="KP25">
        <f>'Demand Stage 2'!KP24</f>
        <v>0</v>
      </c>
      <c r="KQ25">
        <f>'Demand Stage 2'!KQ24</f>
        <v>0</v>
      </c>
      <c r="KR25">
        <f>'Demand Stage 2'!KR24</f>
        <v>0</v>
      </c>
      <c r="KS25">
        <f>'Demand Stage 2'!KS24</f>
        <v>0</v>
      </c>
      <c r="KT25">
        <f>'Demand Stage 2'!KT24</f>
        <v>0</v>
      </c>
      <c r="KU25">
        <f>'Demand Stage 2'!KU24</f>
        <v>0</v>
      </c>
      <c r="KV25">
        <f>'Demand Stage 2'!KV24</f>
        <v>0</v>
      </c>
      <c r="KW25">
        <f>'Demand Stage 2'!KW24</f>
        <v>0</v>
      </c>
      <c r="KX25">
        <f>'Demand Stage 2'!KX24</f>
        <v>0</v>
      </c>
      <c r="KY25">
        <f>'Demand Stage 2'!KY24</f>
        <v>0</v>
      </c>
      <c r="KZ25">
        <f>'Demand Stage 2'!KZ24</f>
        <v>0</v>
      </c>
      <c r="LA25">
        <f>'Demand Stage 2'!LA24</f>
        <v>0</v>
      </c>
      <c r="LB25">
        <f>'Demand Stage 2'!LB24</f>
        <v>0</v>
      </c>
      <c r="LC25">
        <f>'Demand Stage 2'!LC24</f>
        <v>0</v>
      </c>
      <c r="LD25">
        <f>'Demand Stage 2'!LD24</f>
        <v>0</v>
      </c>
      <c r="LE25">
        <f>'Demand Stage 2'!LE24</f>
        <v>0</v>
      </c>
      <c r="LF25">
        <f>'Demand Stage 2'!LF24</f>
        <v>0</v>
      </c>
      <c r="LG25">
        <f>'Demand Stage 2'!LG24</f>
        <v>0</v>
      </c>
      <c r="LH25">
        <f>'Demand Stage 2'!LH24</f>
        <v>0</v>
      </c>
      <c r="LI25">
        <f>'Demand Stage 2'!LI24</f>
        <v>0</v>
      </c>
      <c r="LJ25">
        <f>'Demand Stage 2'!LJ24</f>
        <v>0</v>
      </c>
      <c r="LK25">
        <f>'Demand Stage 2'!LK24</f>
        <v>0</v>
      </c>
      <c r="LL25">
        <f>'Demand Stage 2'!LL24</f>
        <v>0</v>
      </c>
      <c r="LM25">
        <f>'Demand Stage 2'!LM24</f>
        <v>0</v>
      </c>
      <c r="LN25">
        <f>'Demand Stage 2'!LN24</f>
        <v>0</v>
      </c>
      <c r="LO25">
        <f>'Demand Stage 2'!LO24</f>
        <v>0</v>
      </c>
      <c r="LP25">
        <f>'Demand Stage 2'!LP24</f>
        <v>0</v>
      </c>
      <c r="LQ25">
        <f>'Demand Stage 2'!LQ24</f>
        <v>0</v>
      </c>
      <c r="LR25">
        <f>'Demand Stage 2'!LR24</f>
        <v>0</v>
      </c>
      <c r="LS25">
        <f>'Demand Stage 2'!LS24</f>
        <v>0</v>
      </c>
      <c r="LT25">
        <f>'Demand Stage 2'!LT24</f>
        <v>0</v>
      </c>
      <c r="LU25">
        <f>'Demand Stage 2'!LU24</f>
        <v>0</v>
      </c>
      <c r="LV25">
        <f>'Demand Stage 2'!LV24</f>
        <v>0</v>
      </c>
      <c r="LW25">
        <f>'Demand Stage 2'!LW24</f>
        <v>0</v>
      </c>
      <c r="LX25">
        <f>'Demand Stage 2'!LX24</f>
        <v>0</v>
      </c>
      <c r="LY25">
        <f>'Demand Stage 2'!LY24</f>
        <v>0</v>
      </c>
      <c r="LZ25">
        <f>'Demand Stage 2'!LZ24</f>
        <v>0</v>
      </c>
      <c r="MA25">
        <f>'Demand Stage 2'!MA24</f>
        <v>0</v>
      </c>
      <c r="MB25">
        <f>'Demand Stage 2'!MB24</f>
        <v>0</v>
      </c>
      <c r="MC25">
        <f>'Demand Stage 2'!MC24</f>
        <v>0</v>
      </c>
      <c r="MD25">
        <f>'Demand Stage 2'!MD24</f>
        <v>0</v>
      </c>
      <c r="ME25">
        <f>'Demand Stage 2'!ME24</f>
        <v>0</v>
      </c>
      <c r="MF25">
        <f>'Demand Stage 2'!MF24</f>
        <v>0</v>
      </c>
      <c r="MG25">
        <f>'Demand Stage 2'!MG24</f>
        <v>0</v>
      </c>
      <c r="MH25">
        <f>'Demand Stage 2'!MH24</f>
        <v>0</v>
      </c>
      <c r="MI25">
        <f>'Demand Stage 2'!MI24</f>
        <v>0</v>
      </c>
      <c r="MJ25">
        <f>'Demand Stage 2'!MJ24</f>
        <v>0</v>
      </c>
      <c r="MK25">
        <f>'Demand Stage 2'!MK24</f>
        <v>0</v>
      </c>
      <c r="ML25">
        <f>'Demand Stage 2'!ML24</f>
        <v>0</v>
      </c>
      <c r="MM25">
        <f>'Demand Stage 2'!MM24</f>
        <v>0</v>
      </c>
      <c r="MN25">
        <f>'Demand Stage 2'!MN24</f>
        <v>0</v>
      </c>
      <c r="MO25">
        <f>'Demand Stage 2'!MO24</f>
        <v>0</v>
      </c>
      <c r="MP25">
        <f>'Demand Stage 2'!MP24</f>
        <v>0</v>
      </c>
      <c r="MQ25">
        <f>'Demand Stage 2'!MQ24</f>
        <v>0</v>
      </c>
      <c r="MR25">
        <f>'Demand Stage 2'!MR24</f>
        <v>0</v>
      </c>
      <c r="MS25">
        <f>'Demand Stage 2'!MS24</f>
        <v>0</v>
      </c>
      <c r="MT25">
        <f>'Demand Stage 2'!MT24</f>
        <v>0</v>
      </c>
      <c r="MU25">
        <f>'Demand Stage 2'!MU24</f>
        <v>0</v>
      </c>
      <c r="MV25">
        <f>'Demand Stage 2'!MV24</f>
        <v>0</v>
      </c>
      <c r="MW25">
        <f>'Demand Stage 2'!MW24</f>
        <v>0</v>
      </c>
      <c r="MX25">
        <f>'Demand Stage 2'!MX24</f>
        <v>0</v>
      </c>
      <c r="MY25">
        <f>'Demand Stage 2'!MY24</f>
        <v>0</v>
      </c>
      <c r="MZ25">
        <f>'Demand Stage 2'!MZ24</f>
        <v>0</v>
      </c>
      <c r="NA25">
        <f>'Demand Stage 2'!NA24</f>
        <v>0</v>
      </c>
      <c r="NB25">
        <f>'Demand Stage 2'!NB24</f>
        <v>0</v>
      </c>
      <c r="NC25">
        <f>'Demand Stage 2'!NC24</f>
        <v>0</v>
      </c>
      <c r="ND25">
        <f>'Demand Stage 2'!ND24</f>
        <v>0</v>
      </c>
      <c r="NE25">
        <f>'Demand Stage 2'!NE24</f>
        <v>0</v>
      </c>
      <c r="NF25">
        <f>'Demand Stage 2'!NF24</f>
        <v>0</v>
      </c>
      <c r="NG25">
        <f>'Demand Stage 2'!NG24</f>
        <v>0</v>
      </c>
      <c r="NH25">
        <f>'Demand Stage 2'!NH24</f>
        <v>0</v>
      </c>
      <c r="NI25">
        <f>'Demand Stage 2'!NI24</f>
        <v>0</v>
      </c>
      <c r="NJ25">
        <f>'Demand Stage 2'!NJ24</f>
        <v>0</v>
      </c>
      <c r="NK25">
        <f>'Demand Stage 2'!NK24</f>
        <v>0</v>
      </c>
      <c r="NL25">
        <f>'Demand Stage 2'!NL24</f>
        <v>0</v>
      </c>
      <c r="NM25">
        <f>'Demand Stage 2'!NM24</f>
        <v>0</v>
      </c>
      <c r="NN25">
        <f>'Demand Stage 2'!NN24</f>
        <v>0</v>
      </c>
      <c r="NO25">
        <f>'Demand Stage 2'!NO24</f>
        <v>0</v>
      </c>
      <c r="NP25">
        <f>'Demand Stage 2'!NP24</f>
        <v>0</v>
      </c>
      <c r="NQ25">
        <f>'Demand Stage 2'!NQ24</f>
        <v>0</v>
      </c>
      <c r="NR25">
        <f>'Demand Stage 2'!NR24</f>
        <v>0</v>
      </c>
      <c r="NS25">
        <f>'Demand Stage 2'!NS24</f>
        <v>0</v>
      </c>
      <c r="NT25">
        <f>'Demand Stage 2'!NT24</f>
        <v>0</v>
      </c>
      <c r="NU25">
        <f>'Demand Stage 2'!NU24</f>
        <v>0</v>
      </c>
      <c r="NV25">
        <f>'Demand Stage 2'!NV24</f>
        <v>0</v>
      </c>
      <c r="NW25">
        <f>'Demand Stage 2'!NW24</f>
        <v>0</v>
      </c>
      <c r="NX25">
        <f>'Demand Stage 2'!NX24</f>
        <v>0</v>
      </c>
      <c r="NY25">
        <f>'Demand Stage 2'!NY24</f>
        <v>0</v>
      </c>
      <c r="NZ25">
        <f>'Demand Stage 2'!NZ24</f>
        <v>0</v>
      </c>
      <c r="OA25">
        <f>'Demand Stage 2'!OA24</f>
        <v>0</v>
      </c>
      <c r="OB25">
        <f>'Demand Stage 2'!OB24</f>
        <v>0</v>
      </c>
      <c r="OC25">
        <f>'Demand Stage 2'!OC24</f>
        <v>0</v>
      </c>
      <c r="OD25">
        <f>'Demand Stage 2'!OD24</f>
        <v>0</v>
      </c>
      <c r="OE25">
        <f>'Demand Stage 2'!OE24</f>
        <v>0</v>
      </c>
      <c r="OF25">
        <f>'Demand Stage 2'!OF24</f>
        <v>0</v>
      </c>
      <c r="OG25">
        <f>'Demand Stage 2'!OG24</f>
        <v>0</v>
      </c>
      <c r="OH25">
        <f>'Demand Stage 2'!OH24</f>
        <v>0</v>
      </c>
      <c r="OI25">
        <f>'Demand Stage 2'!OI24</f>
        <v>0</v>
      </c>
      <c r="OJ25">
        <f>'Demand Stage 2'!OJ24</f>
        <v>0</v>
      </c>
      <c r="OK25">
        <f>'Demand Stage 2'!OK24</f>
        <v>0</v>
      </c>
      <c r="OL25">
        <f>'Demand Stage 2'!OL24</f>
        <v>0</v>
      </c>
      <c r="OM25">
        <f>'Demand Stage 2'!OM24</f>
        <v>0</v>
      </c>
      <c r="ON25">
        <f>'Demand Stage 2'!ON24</f>
        <v>0</v>
      </c>
      <c r="OO25">
        <f>'Demand Stage 2'!OO24</f>
        <v>0</v>
      </c>
      <c r="OP25">
        <f>'Demand Stage 2'!OP24</f>
        <v>0</v>
      </c>
      <c r="OQ25">
        <f>'Demand Stage 2'!OQ24</f>
        <v>0</v>
      </c>
      <c r="OR25">
        <f>'Demand Stage 2'!OR24</f>
        <v>0</v>
      </c>
      <c r="OS25">
        <f>'Demand Stage 2'!OS24</f>
        <v>0</v>
      </c>
      <c r="OT25">
        <f>'Demand Stage 2'!OT24</f>
        <v>0</v>
      </c>
      <c r="OU25">
        <f>'Demand Stage 2'!OU24</f>
        <v>0</v>
      </c>
      <c r="OV25">
        <f>'Demand Stage 2'!OV24</f>
        <v>0</v>
      </c>
      <c r="OW25">
        <f>'Demand Stage 2'!OW24</f>
        <v>0</v>
      </c>
      <c r="OX25">
        <f>'Demand Stage 2'!OX24</f>
        <v>0</v>
      </c>
      <c r="OY25">
        <f>'Demand Stage 2'!OY24</f>
        <v>0</v>
      </c>
      <c r="OZ25">
        <f>'Demand Stage 2'!OZ24</f>
        <v>0</v>
      </c>
      <c r="PA25">
        <f>'Demand Stage 2'!PA24</f>
        <v>0</v>
      </c>
      <c r="PB25">
        <f>'Demand Stage 2'!PB24</f>
        <v>0</v>
      </c>
      <c r="PC25">
        <f>'Demand Stage 2'!PC24</f>
        <v>0</v>
      </c>
      <c r="PD25">
        <f>'Demand Stage 2'!PD24</f>
        <v>0</v>
      </c>
      <c r="PE25">
        <f>'Demand Stage 2'!PE24</f>
        <v>0</v>
      </c>
      <c r="PF25">
        <f>'Demand Stage 2'!PF24</f>
        <v>0</v>
      </c>
      <c r="PG25">
        <f>'Demand Stage 2'!PG24</f>
        <v>0</v>
      </c>
      <c r="PH25">
        <f>'Demand Stage 2'!PH24</f>
        <v>0</v>
      </c>
      <c r="PI25">
        <f>'Demand Stage 2'!PI24</f>
        <v>0</v>
      </c>
      <c r="PJ25">
        <f>'Demand Stage 2'!PJ24</f>
        <v>0</v>
      </c>
      <c r="PK25">
        <f>'Demand Stage 2'!PK24</f>
        <v>0</v>
      </c>
      <c r="PL25">
        <f>'Demand Stage 2'!PL24</f>
        <v>0</v>
      </c>
      <c r="PM25">
        <f>'Demand Stage 2'!PM24</f>
        <v>0</v>
      </c>
      <c r="PN25">
        <f>'Demand Stage 2'!PN24</f>
        <v>0</v>
      </c>
      <c r="PO25">
        <f>'Demand Stage 2'!PO24</f>
        <v>0</v>
      </c>
      <c r="PP25">
        <f>'Demand Stage 2'!PP24</f>
        <v>0</v>
      </c>
      <c r="PQ25">
        <f>'Demand Stage 2'!PQ24</f>
        <v>0</v>
      </c>
      <c r="PR25">
        <f>'Demand Stage 2'!PR24</f>
        <v>0</v>
      </c>
      <c r="PS25">
        <f>'Demand Stage 2'!PS24</f>
        <v>0</v>
      </c>
      <c r="PT25">
        <f>'Demand Stage 2'!PT24</f>
        <v>0</v>
      </c>
      <c r="PU25">
        <f>'Demand Stage 2'!PU24</f>
        <v>0</v>
      </c>
      <c r="PV25">
        <f>'Demand Stage 2'!PV24</f>
        <v>0</v>
      </c>
      <c r="PW25">
        <f>'Demand Stage 2'!PW24</f>
        <v>0</v>
      </c>
      <c r="PX25">
        <f>'Demand Stage 2'!PX24</f>
        <v>0</v>
      </c>
      <c r="PY25">
        <f>'Demand Stage 2'!PY24</f>
        <v>0</v>
      </c>
      <c r="PZ25">
        <f>'Demand Stage 2'!PZ24</f>
        <v>0</v>
      </c>
      <c r="QA25">
        <f>'Demand Stage 2'!QA24</f>
        <v>0</v>
      </c>
      <c r="QB25">
        <f>'Demand Stage 2'!QB24</f>
        <v>0</v>
      </c>
      <c r="QC25">
        <f>'Demand Stage 2'!QC24</f>
        <v>0</v>
      </c>
      <c r="QD25">
        <f>'Demand Stage 2'!QD24</f>
        <v>0</v>
      </c>
      <c r="QE25">
        <f>'Demand Stage 2'!QE24</f>
        <v>0</v>
      </c>
      <c r="QF25">
        <f>'Demand Stage 2'!QF24</f>
        <v>0</v>
      </c>
      <c r="QG25">
        <f>'Demand Stage 2'!QG24</f>
        <v>0</v>
      </c>
      <c r="QH25">
        <f>'Demand Stage 2'!QH24</f>
        <v>0</v>
      </c>
      <c r="QI25">
        <f>'Demand Stage 2'!QI24</f>
        <v>0</v>
      </c>
      <c r="QJ25">
        <f>'Demand Stage 2'!QJ24</f>
        <v>0</v>
      </c>
      <c r="QK25">
        <f>'Demand Stage 2'!QK24</f>
        <v>0</v>
      </c>
      <c r="QL25">
        <f>'Demand Stage 2'!QL24</f>
        <v>0</v>
      </c>
      <c r="QM25">
        <f>'Demand Stage 2'!QM24</f>
        <v>0</v>
      </c>
      <c r="QN25">
        <f>'Demand Stage 2'!QN24</f>
        <v>0</v>
      </c>
      <c r="QO25">
        <f>'Demand Stage 2'!QO24</f>
        <v>0</v>
      </c>
      <c r="QP25">
        <f>'Demand Stage 2'!QP24</f>
        <v>0</v>
      </c>
      <c r="QQ25">
        <f>'Demand Stage 2'!QQ24</f>
        <v>0</v>
      </c>
      <c r="QR25">
        <f>'Demand Stage 2'!QR24</f>
        <v>0</v>
      </c>
      <c r="QS25">
        <f>'Demand Stage 2'!QS24</f>
        <v>0</v>
      </c>
      <c r="QT25">
        <f>'Demand Stage 2'!QT24</f>
        <v>0</v>
      </c>
      <c r="QU25">
        <f>'Demand Stage 2'!QU24</f>
        <v>0</v>
      </c>
      <c r="QV25">
        <f>'Demand Stage 2'!QV24</f>
        <v>0</v>
      </c>
      <c r="QW25">
        <f>'Demand Stage 2'!QW24</f>
        <v>0</v>
      </c>
      <c r="QX25">
        <f>'Demand Stage 2'!QX24</f>
        <v>0</v>
      </c>
      <c r="QY25">
        <f>'Demand Stage 2'!QY24</f>
        <v>0</v>
      </c>
      <c r="QZ25">
        <f>'Demand Stage 2'!QZ24</f>
        <v>0</v>
      </c>
      <c r="RA25">
        <f>'Demand Stage 2'!RA24</f>
        <v>0</v>
      </c>
      <c r="RB25">
        <f>'Demand Stage 2'!RB24</f>
        <v>0</v>
      </c>
      <c r="RC25">
        <f>'Demand Stage 2'!RC24</f>
        <v>0</v>
      </c>
      <c r="RD25">
        <f>'Demand Stage 2'!RD24</f>
        <v>0</v>
      </c>
      <c r="RE25">
        <f>'Demand Stage 2'!RE24</f>
        <v>0</v>
      </c>
      <c r="RF25">
        <f>'Demand Stage 2'!RF24</f>
        <v>0</v>
      </c>
      <c r="RG25">
        <f>'Demand Stage 2'!RG24</f>
        <v>0</v>
      </c>
      <c r="RH25">
        <f>'Demand Stage 2'!RH24</f>
        <v>0</v>
      </c>
      <c r="RI25">
        <f>'Demand Stage 2'!RI24</f>
        <v>0</v>
      </c>
      <c r="RJ25">
        <f>'Demand Stage 2'!RJ24</f>
        <v>0</v>
      </c>
      <c r="RK25">
        <f>'Demand Stage 2'!RK24</f>
        <v>0</v>
      </c>
      <c r="RL25">
        <f>'Demand Stage 2'!RL24</f>
        <v>0</v>
      </c>
      <c r="RM25">
        <f>'Demand Stage 2'!RM24</f>
        <v>0</v>
      </c>
      <c r="RN25">
        <f>'Demand Stage 2'!RN24</f>
        <v>0</v>
      </c>
      <c r="RO25">
        <f>'Demand Stage 2'!RO24</f>
        <v>0</v>
      </c>
      <c r="RP25">
        <f>'Demand Stage 2'!RP24</f>
        <v>0</v>
      </c>
      <c r="RQ25">
        <f>'Demand Stage 2'!RQ24</f>
        <v>0</v>
      </c>
      <c r="RR25">
        <f>'Demand Stage 2'!RR24</f>
        <v>0</v>
      </c>
      <c r="RS25">
        <f>'Demand Stage 2'!RS24</f>
        <v>0</v>
      </c>
      <c r="RT25">
        <f>'Demand Stage 2'!RT24</f>
        <v>0</v>
      </c>
      <c r="RU25">
        <f>'Demand Stage 2'!RU24</f>
        <v>0</v>
      </c>
      <c r="RV25">
        <f>'Demand Stage 2'!RV24</f>
        <v>0</v>
      </c>
      <c r="RW25">
        <f>'Demand Stage 2'!RW24</f>
        <v>0</v>
      </c>
      <c r="RX25">
        <f>'Demand Stage 2'!RX24</f>
        <v>0</v>
      </c>
      <c r="RY25">
        <f>'Demand Stage 2'!RY24</f>
        <v>0</v>
      </c>
      <c r="RZ25">
        <f>'Demand Stage 2'!RZ24</f>
        <v>0</v>
      </c>
      <c r="SA25">
        <f>'Demand Stage 2'!SA24</f>
        <v>0</v>
      </c>
      <c r="SB25">
        <f>'Demand Stage 2'!SB24</f>
        <v>0</v>
      </c>
      <c r="SC25">
        <f>'Demand Stage 2'!SC24</f>
        <v>0</v>
      </c>
      <c r="SD25">
        <f>'Demand Stage 2'!SD24</f>
        <v>0</v>
      </c>
      <c r="SE25">
        <f>'Demand Stage 2'!SE24</f>
        <v>0</v>
      </c>
      <c r="SF25">
        <f>'Demand Stage 2'!SF24</f>
        <v>0</v>
      </c>
      <c r="SG25">
        <f>'Demand Stage 2'!SG24</f>
        <v>0</v>
      </c>
      <c r="SH25">
        <f>'Demand Stage 2'!SH24</f>
        <v>0</v>
      </c>
      <c r="SI25">
        <f>'Demand Stage 2'!SI24</f>
        <v>0</v>
      </c>
      <c r="SJ25">
        <f>'Demand Stage 2'!SJ24</f>
        <v>0</v>
      </c>
      <c r="SK25">
        <f>'Demand Stage 2'!SK24</f>
        <v>0</v>
      </c>
      <c r="SL25">
        <f>'Demand Stage 2'!SL24</f>
        <v>0</v>
      </c>
      <c r="SM25">
        <f>'Demand Stage 2'!SM24</f>
        <v>0</v>
      </c>
      <c r="SN25">
        <f>'Demand Stage 2'!SN24</f>
        <v>0</v>
      </c>
      <c r="SO25">
        <f>'Demand Stage 2'!SO24</f>
        <v>0</v>
      </c>
      <c r="SP25">
        <f>'Demand Stage 2'!SP24</f>
        <v>0</v>
      </c>
      <c r="SQ25">
        <f>'Demand Stage 2'!SQ24</f>
        <v>0</v>
      </c>
      <c r="SR25">
        <f>'Demand Stage 2'!SR24</f>
        <v>0</v>
      </c>
      <c r="SS25">
        <f>'Demand Stage 2'!SS24</f>
        <v>0</v>
      </c>
      <c r="ST25">
        <f>'Demand Stage 2'!ST24</f>
        <v>0</v>
      </c>
      <c r="SU25">
        <f>'Demand Stage 2'!SU24</f>
        <v>0</v>
      </c>
      <c r="SV25">
        <f>'Demand Stage 2'!SV24</f>
        <v>0</v>
      </c>
      <c r="SW25">
        <f>'Demand Stage 2'!SW24</f>
        <v>0</v>
      </c>
      <c r="SX25">
        <f>'Demand Stage 2'!SX24</f>
        <v>0</v>
      </c>
      <c r="SY25">
        <f>'Demand Stage 2'!SY24</f>
        <v>0</v>
      </c>
      <c r="SZ25">
        <f>'Demand Stage 2'!SZ24</f>
        <v>0</v>
      </c>
      <c r="TA25">
        <f>'Demand Stage 2'!TA24</f>
        <v>0</v>
      </c>
      <c r="TB25">
        <f>'Demand Stage 2'!TB24</f>
        <v>0</v>
      </c>
      <c r="TC25">
        <f>'Demand Stage 2'!TC24</f>
        <v>0</v>
      </c>
      <c r="TD25">
        <f>'Demand Stage 2'!TD24</f>
        <v>0</v>
      </c>
      <c r="TE25">
        <f>'Demand Stage 2'!TE24</f>
        <v>0</v>
      </c>
      <c r="TF25">
        <f>'Demand Stage 2'!TF24</f>
        <v>0</v>
      </c>
      <c r="TG25">
        <f>'Demand Stage 2'!TG24</f>
        <v>0</v>
      </c>
      <c r="TH25">
        <f>'Demand Stage 2'!TH24</f>
        <v>0</v>
      </c>
      <c r="TI25">
        <f>'Demand Stage 2'!TI24</f>
        <v>0</v>
      </c>
      <c r="TJ25">
        <f>'Demand Stage 2'!TJ24</f>
        <v>0</v>
      </c>
      <c r="TK25">
        <f>'Demand Stage 2'!TK24</f>
        <v>0</v>
      </c>
      <c r="TL25">
        <f>'Demand Stage 2'!TL24</f>
        <v>0</v>
      </c>
      <c r="TM25">
        <f>'Demand Stage 2'!TM24</f>
        <v>0</v>
      </c>
      <c r="TN25">
        <f>'Demand Stage 2'!TN24</f>
        <v>0</v>
      </c>
      <c r="TO25">
        <f>'Demand Stage 2'!TO24</f>
        <v>0</v>
      </c>
      <c r="TP25">
        <f>'Demand Stage 2'!TP24</f>
        <v>0</v>
      </c>
      <c r="TQ25">
        <f>'Demand Stage 2'!TQ24</f>
        <v>0</v>
      </c>
      <c r="TR25">
        <f>'Demand Stage 2'!TR24</f>
        <v>0</v>
      </c>
      <c r="TS25">
        <f>'Demand Stage 2'!TS24</f>
        <v>0</v>
      </c>
      <c r="TT25">
        <f>'Demand Stage 2'!TT24</f>
        <v>0</v>
      </c>
      <c r="TU25">
        <f>'Demand Stage 2'!TU24</f>
        <v>0</v>
      </c>
      <c r="TV25">
        <f>'Demand Stage 2'!TV24</f>
        <v>0</v>
      </c>
      <c r="TW25">
        <f>'Demand Stage 2'!TW24</f>
        <v>0</v>
      </c>
      <c r="TX25">
        <f>'Demand Stage 2'!TX24</f>
        <v>0</v>
      </c>
      <c r="TY25">
        <f>'Demand Stage 2'!TY24</f>
        <v>0</v>
      </c>
      <c r="TZ25">
        <f>'Demand Stage 2'!TZ24</f>
        <v>0</v>
      </c>
      <c r="UA25">
        <f>'Demand Stage 2'!UA24</f>
        <v>0</v>
      </c>
      <c r="UB25">
        <f>'Demand Stage 2'!UB24</f>
        <v>0</v>
      </c>
      <c r="UC25">
        <f>'Demand Stage 2'!UC24</f>
        <v>0</v>
      </c>
      <c r="UD25">
        <f>'Demand Stage 2'!UD24</f>
        <v>0</v>
      </c>
      <c r="UE25">
        <f>'Demand Stage 2'!UE24</f>
        <v>0</v>
      </c>
      <c r="UF25">
        <f>'Demand Stage 2'!UF24</f>
        <v>0</v>
      </c>
      <c r="UG25">
        <f>'Demand Stage 2'!UG24</f>
        <v>0</v>
      </c>
      <c r="UH25">
        <f>'Demand Stage 2'!UH24</f>
        <v>0</v>
      </c>
      <c r="UI25">
        <f>'Demand Stage 2'!UI24</f>
        <v>0</v>
      </c>
      <c r="UJ25">
        <f>'Demand Stage 2'!UJ24</f>
        <v>0</v>
      </c>
      <c r="UK25">
        <f>'Demand Stage 2'!UK24</f>
        <v>0</v>
      </c>
      <c r="UL25">
        <f>'Demand Stage 2'!UL24</f>
        <v>0</v>
      </c>
      <c r="UM25">
        <f>'Demand Stage 2'!UM24</f>
        <v>0</v>
      </c>
      <c r="UN25">
        <f>'Demand Stage 2'!UN24</f>
        <v>0</v>
      </c>
      <c r="UO25">
        <f>'Demand Stage 2'!UO24</f>
        <v>0</v>
      </c>
      <c r="UP25">
        <f>'Demand Stage 2'!UP24</f>
        <v>0</v>
      </c>
      <c r="UQ25">
        <f>'Demand Stage 2'!UQ24</f>
        <v>0</v>
      </c>
      <c r="UR25">
        <f>'Demand Stage 2'!UR24</f>
        <v>0</v>
      </c>
      <c r="US25">
        <f>'Demand Stage 2'!US24</f>
        <v>0</v>
      </c>
      <c r="UT25">
        <f>'Demand Stage 2'!UT24</f>
        <v>0</v>
      </c>
      <c r="UU25">
        <f>'Demand Stage 2'!UU24</f>
        <v>0</v>
      </c>
      <c r="UV25">
        <f>'Demand Stage 2'!UV24</f>
        <v>0</v>
      </c>
      <c r="UW25">
        <f>'Demand Stage 2'!UW24</f>
        <v>0</v>
      </c>
      <c r="UX25">
        <f>'Demand Stage 2'!UX24</f>
        <v>0</v>
      </c>
      <c r="UY25">
        <f>'Demand Stage 2'!UY24</f>
        <v>0</v>
      </c>
      <c r="UZ25">
        <f>'Demand Stage 2'!UZ24</f>
        <v>0</v>
      </c>
      <c r="VA25">
        <f>'Demand Stage 2'!VA24</f>
        <v>0</v>
      </c>
      <c r="VB25">
        <f>'Demand Stage 2'!VB24</f>
        <v>0</v>
      </c>
      <c r="VC25">
        <f>'Demand Stage 2'!VC24</f>
        <v>0</v>
      </c>
      <c r="VD25">
        <f>'Demand Stage 2'!VD24</f>
        <v>0</v>
      </c>
      <c r="VE25">
        <f>'Demand Stage 2'!VE24</f>
        <v>0</v>
      </c>
      <c r="VF25">
        <f>'Demand Stage 2'!VF24</f>
        <v>0</v>
      </c>
      <c r="VG25">
        <f>'Demand Stage 2'!VG24</f>
        <v>0</v>
      </c>
      <c r="VH25">
        <f>'Demand Stage 2'!VH24</f>
        <v>0</v>
      </c>
      <c r="VI25">
        <f>'Demand Stage 2'!VI24</f>
        <v>0</v>
      </c>
      <c r="VJ25">
        <f>'Demand Stage 2'!VJ24</f>
        <v>0</v>
      </c>
      <c r="VK25">
        <f>'Demand Stage 2'!VK24</f>
        <v>0</v>
      </c>
      <c r="VL25">
        <f>'Demand Stage 2'!VL24</f>
        <v>0</v>
      </c>
      <c r="VM25">
        <f>'Demand Stage 2'!VM24</f>
        <v>0</v>
      </c>
      <c r="VN25">
        <f>'Demand Stage 2'!VN24</f>
        <v>0</v>
      </c>
      <c r="VO25">
        <f>'Demand Stage 2'!VO24</f>
        <v>0</v>
      </c>
      <c r="VP25">
        <f>'Demand Stage 2'!VP24</f>
        <v>0</v>
      </c>
      <c r="VQ25">
        <f>'Demand Stage 2'!VQ24</f>
        <v>0</v>
      </c>
      <c r="VR25">
        <f>'Demand Stage 2'!VR24</f>
        <v>0</v>
      </c>
      <c r="VS25">
        <f>'Demand Stage 2'!VS24</f>
        <v>0</v>
      </c>
      <c r="VT25">
        <f>'Demand Stage 2'!VT24</f>
        <v>0</v>
      </c>
      <c r="VU25">
        <f>'Demand Stage 2'!VU24</f>
        <v>0</v>
      </c>
      <c r="VV25">
        <f>'Demand Stage 2'!VV24</f>
        <v>0</v>
      </c>
      <c r="VW25">
        <f>'Demand Stage 2'!VW24</f>
        <v>0</v>
      </c>
      <c r="VX25">
        <f>'Demand Stage 2'!VX24</f>
        <v>0</v>
      </c>
      <c r="VY25">
        <f>'Demand Stage 2'!VY24</f>
        <v>0</v>
      </c>
      <c r="VZ25">
        <f>'Demand Stage 2'!VZ24</f>
        <v>0</v>
      </c>
      <c r="WA25">
        <f>'Demand Stage 2'!WA24</f>
        <v>0</v>
      </c>
      <c r="WB25">
        <f>'Demand Stage 2'!WB24</f>
        <v>0</v>
      </c>
      <c r="WC25">
        <f>'Demand Stage 2'!WC24</f>
        <v>0</v>
      </c>
      <c r="WD25">
        <f>'Demand Stage 2'!WD24</f>
        <v>0</v>
      </c>
      <c r="WE25">
        <f>'Demand Stage 2'!WE24</f>
        <v>0</v>
      </c>
      <c r="WF25">
        <f>'Demand Stage 2'!WF24</f>
        <v>0</v>
      </c>
      <c r="WG25">
        <f>'Demand Stage 2'!WG24</f>
        <v>0</v>
      </c>
      <c r="WH25">
        <f>'Demand Stage 2'!WH24</f>
        <v>0</v>
      </c>
      <c r="WI25">
        <f>'Demand Stage 2'!WI24</f>
        <v>0</v>
      </c>
      <c r="WJ25">
        <f>'Demand Stage 2'!WJ24</f>
        <v>0</v>
      </c>
      <c r="WK25">
        <f>'Demand Stage 2'!WK24</f>
        <v>0</v>
      </c>
      <c r="WL25">
        <f>'Demand Stage 2'!WL24</f>
        <v>0</v>
      </c>
      <c r="WM25">
        <f>'Demand Stage 2'!WM24</f>
        <v>0</v>
      </c>
      <c r="WN25">
        <f>'Demand Stage 2'!WN24</f>
        <v>0</v>
      </c>
      <c r="WO25">
        <f>'Demand Stage 2'!WO24</f>
        <v>0</v>
      </c>
      <c r="WP25">
        <f>'Demand Stage 2'!WP24</f>
        <v>0</v>
      </c>
      <c r="WQ25">
        <f>'Demand Stage 2'!WQ24</f>
        <v>0</v>
      </c>
      <c r="WR25">
        <f>'Demand Stage 2'!WR24</f>
        <v>0</v>
      </c>
      <c r="WS25">
        <f>'Demand Stage 2'!WS24</f>
        <v>0</v>
      </c>
      <c r="WT25">
        <f>'Demand Stage 2'!WT24</f>
        <v>0</v>
      </c>
      <c r="WU25">
        <f>'Demand Stage 2'!WU24</f>
        <v>0</v>
      </c>
      <c r="WV25">
        <f>'Demand Stage 2'!WV24</f>
        <v>0</v>
      </c>
      <c r="WW25">
        <f>'Demand Stage 2'!WW24</f>
        <v>0</v>
      </c>
      <c r="WX25">
        <f>'Demand Stage 2'!WX24</f>
        <v>0</v>
      </c>
      <c r="WY25">
        <f>'Demand Stage 2'!WY24</f>
        <v>0</v>
      </c>
      <c r="WZ25">
        <f>'Demand Stage 2'!WZ24</f>
        <v>0</v>
      </c>
      <c r="XA25">
        <f>'Demand Stage 2'!XA24</f>
        <v>0</v>
      </c>
      <c r="XB25">
        <f>'Demand Stage 2'!XB24</f>
        <v>0</v>
      </c>
      <c r="XC25">
        <f>'Demand Stage 2'!XC24</f>
        <v>0</v>
      </c>
      <c r="XD25">
        <f>'Demand Stage 2'!XD24</f>
        <v>0</v>
      </c>
      <c r="XE25">
        <f>'Demand Stage 2'!XE24</f>
        <v>0</v>
      </c>
      <c r="XF25">
        <f>'Demand Stage 2'!XF24</f>
        <v>0</v>
      </c>
      <c r="XG25">
        <f>'Demand Stage 2'!XG24</f>
        <v>0</v>
      </c>
      <c r="XH25">
        <f>'Demand Stage 2'!XH24</f>
        <v>0</v>
      </c>
      <c r="XI25">
        <f>'Demand Stage 2'!XI24</f>
        <v>0</v>
      </c>
      <c r="XJ25">
        <f>'Demand Stage 2'!XJ24</f>
        <v>0</v>
      </c>
      <c r="XK25">
        <f>'Demand Stage 2'!XK24</f>
        <v>0</v>
      </c>
      <c r="XL25">
        <f>'Demand Stage 2'!XL24</f>
        <v>0</v>
      </c>
      <c r="XM25">
        <f>'Demand Stage 2'!XM24</f>
        <v>0</v>
      </c>
      <c r="XN25">
        <f>'Demand Stage 2'!XN24</f>
        <v>0</v>
      </c>
      <c r="XO25">
        <f>'Demand Stage 2'!XO24</f>
        <v>0</v>
      </c>
      <c r="XP25">
        <f>'Demand Stage 2'!XP24</f>
        <v>0</v>
      </c>
      <c r="XQ25">
        <f>'Demand Stage 2'!XQ24</f>
        <v>0</v>
      </c>
      <c r="XR25">
        <f>'Demand Stage 2'!XR24</f>
        <v>0</v>
      </c>
      <c r="XS25">
        <f>'Demand Stage 2'!XS24</f>
        <v>0</v>
      </c>
      <c r="XT25">
        <f>'Demand Stage 2'!XT24</f>
        <v>0</v>
      </c>
      <c r="XU25">
        <f>'Demand Stage 2'!XU24</f>
        <v>0</v>
      </c>
      <c r="XV25">
        <f>'Demand Stage 2'!XV24</f>
        <v>0</v>
      </c>
      <c r="XW25">
        <f>'Demand Stage 2'!XW24</f>
        <v>0</v>
      </c>
      <c r="XX25">
        <f>'Demand Stage 2'!XX24</f>
        <v>0</v>
      </c>
      <c r="XY25">
        <f>'Demand Stage 2'!XY24</f>
        <v>0</v>
      </c>
      <c r="XZ25">
        <f>'Demand Stage 2'!XZ24</f>
        <v>0</v>
      </c>
      <c r="YA25">
        <f>'Demand Stage 2'!YA24</f>
        <v>0</v>
      </c>
      <c r="YB25">
        <f>'Demand Stage 2'!YB24</f>
        <v>0</v>
      </c>
      <c r="YC25">
        <f>'Demand Stage 2'!YC24</f>
        <v>0</v>
      </c>
      <c r="YD25">
        <f>'Demand Stage 2'!YD24</f>
        <v>0</v>
      </c>
      <c r="YE25">
        <f>'Demand Stage 2'!YE24</f>
        <v>0</v>
      </c>
      <c r="YF25">
        <f>'Demand Stage 2'!YF24</f>
        <v>0</v>
      </c>
      <c r="YG25">
        <f>'Demand Stage 2'!YG24</f>
        <v>0</v>
      </c>
      <c r="YH25">
        <f>'Demand Stage 2'!YH24</f>
        <v>0</v>
      </c>
      <c r="YI25">
        <f>'Demand Stage 2'!YI24</f>
        <v>0</v>
      </c>
      <c r="YJ25">
        <f>'Demand Stage 2'!YJ24</f>
        <v>0</v>
      </c>
      <c r="YK25">
        <f>'Demand Stage 2'!YK24</f>
        <v>0</v>
      </c>
      <c r="YL25">
        <f>'Demand Stage 2'!YL24</f>
        <v>0</v>
      </c>
      <c r="YM25">
        <f>'Demand Stage 2'!YM24</f>
        <v>0</v>
      </c>
      <c r="YN25">
        <f>'Demand Stage 2'!YN24</f>
        <v>0</v>
      </c>
      <c r="YO25">
        <f>'Demand Stage 2'!YO24</f>
        <v>0</v>
      </c>
      <c r="YP25">
        <f>'Demand Stage 2'!YP24</f>
        <v>0</v>
      </c>
      <c r="YQ25">
        <f>'Demand Stage 2'!YQ24</f>
        <v>0</v>
      </c>
      <c r="YR25">
        <f>'Demand Stage 2'!YR24</f>
        <v>0</v>
      </c>
      <c r="YS25">
        <f>'Demand Stage 2'!YS24</f>
        <v>0</v>
      </c>
      <c r="YT25">
        <f>'Demand Stage 2'!YT24</f>
        <v>0</v>
      </c>
      <c r="YU25">
        <f>'Demand Stage 2'!YU24</f>
        <v>0</v>
      </c>
      <c r="YV25">
        <f>'Demand Stage 2'!YV24</f>
        <v>0</v>
      </c>
      <c r="YW25">
        <f>'Demand Stage 2'!YW24</f>
        <v>0</v>
      </c>
      <c r="YX25">
        <f>'Demand Stage 2'!YX24</f>
        <v>0</v>
      </c>
      <c r="YY25">
        <f>'Demand Stage 2'!YY24</f>
        <v>0</v>
      </c>
      <c r="YZ25">
        <f>'Demand Stage 2'!YZ24</f>
        <v>0</v>
      </c>
      <c r="ZA25">
        <f>'Demand Stage 2'!ZA24</f>
        <v>0</v>
      </c>
      <c r="ZB25">
        <f>'Demand Stage 2'!ZB24</f>
        <v>0</v>
      </c>
      <c r="ZC25">
        <f>'Demand Stage 2'!ZC24</f>
        <v>0</v>
      </c>
      <c r="ZD25">
        <f>'Demand Stage 2'!ZD24</f>
        <v>0</v>
      </c>
      <c r="ZE25">
        <f>'Demand Stage 2'!ZE24</f>
        <v>0</v>
      </c>
      <c r="ZF25">
        <f>'Demand Stage 2'!ZF24</f>
        <v>0</v>
      </c>
      <c r="ZG25">
        <f>'Demand Stage 2'!ZG24</f>
        <v>0</v>
      </c>
      <c r="ZH25">
        <f>'Demand Stage 2'!ZH24</f>
        <v>0</v>
      </c>
      <c r="ZI25">
        <f>'Demand Stage 2'!ZI24</f>
        <v>0</v>
      </c>
      <c r="ZJ25">
        <f>'Demand Stage 2'!ZJ24</f>
        <v>0</v>
      </c>
      <c r="ZK25">
        <f>'Demand Stage 2'!ZK24</f>
        <v>0</v>
      </c>
      <c r="ZL25">
        <f>'Demand Stage 2'!ZL24</f>
        <v>0</v>
      </c>
      <c r="ZM25">
        <f>'Demand Stage 2'!ZM24</f>
        <v>0</v>
      </c>
      <c r="ZN25">
        <f>'Demand Stage 2'!ZN24</f>
        <v>0</v>
      </c>
      <c r="ZO25">
        <f>'Demand Stage 2'!ZO24</f>
        <v>0</v>
      </c>
      <c r="ZP25">
        <f>'Demand Stage 2'!ZP24</f>
        <v>0</v>
      </c>
      <c r="ZQ25">
        <f>'Demand Stage 2'!ZQ24</f>
        <v>0</v>
      </c>
      <c r="ZR25">
        <f>'Demand Stage 2'!ZR24</f>
        <v>0</v>
      </c>
      <c r="ZS25">
        <f>'Demand Stage 2'!ZS24</f>
        <v>0</v>
      </c>
      <c r="ZT25">
        <f>'Demand Stage 2'!ZT24</f>
        <v>0</v>
      </c>
      <c r="ZU25">
        <f>'Demand Stage 2'!ZU24</f>
        <v>0</v>
      </c>
      <c r="ZV25">
        <f>'Demand Stage 2'!ZV24</f>
        <v>0</v>
      </c>
      <c r="ZW25">
        <f>'Demand Stage 2'!ZW24</f>
        <v>0</v>
      </c>
      <c r="ZX25">
        <f>'Demand Stage 2'!ZX24</f>
        <v>0</v>
      </c>
      <c r="ZY25">
        <f>'Demand Stage 2'!ZY24</f>
        <v>0</v>
      </c>
      <c r="ZZ25">
        <f>'Demand Stage 2'!ZZ24</f>
        <v>0</v>
      </c>
      <c r="AAA25">
        <f>'Demand Stage 2'!AAA24</f>
        <v>0</v>
      </c>
      <c r="AAB25">
        <f>'Demand Stage 2'!AAB24</f>
        <v>0</v>
      </c>
      <c r="AAC25">
        <f>'Demand Stage 2'!AAC24</f>
        <v>0</v>
      </c>
      <c r="AAD25">
        <f t="shared" si="33"/>
        <v>0</v>
      </c>
      <c r="AAE25">
        <f t="shared" si="66"/>
        <v>0</v>
      </c>
      <c r="AAF25">
        <f t="shared" si="67"/>
        <v>0</v>
      </c>
      <c r="AAG25">
        <f t="shared" si="68"/>
        <v>0</v>
      </c>
      <c r="AAH25">
        <f t="shared" si="69"/>
        <v>0</v>
      </c>
      <c r="AAI25">
        <f t="shared" si="70"/>
        <v>0</v>
      </c>
      <c r="AAJ25">
        <f t="shared" si="71"/>
        <v>0</v>
      </c>
      <c r="AAK25">
        <f t="shared" si="72"/>
        <v>0</v>
      </c>
      <c r="AAL25">
        <f t="shared" si="73"/>
        <v>0</v>
      </c>
      <c r="AAM25">
        <f t="shared" si="74"/>
        <v>0</v>
      </c>
      <c r="AAN25">
        <f t="shared" si="75"/>
        <v>0</v>
      </c>
      <c r="AAO25">
        <f t="shared" si="76"/>
        <v>0</v>
      </c>
      <c r="AAP25">
        <f t="shared" si="77"/>
        <v>0</v>
      </c>
      <c r="AAQ25">
        <f t="shared" si="78"/>
        <v>0</v>
      </c>
      <c r="AAR25">
        <f t="shared" si="79"/>
        <v>0</v>
      </c>
      <c r="AAS25">
        <f t="shared" si="80"/>
        <v>0</v>
      </c>
      <c r="AAT25">
        <f t="shared" si="81"/>
        <v>0</v>
      </c>
      <c r="AAU25">
        <f t="shared" si="82"/>
        <v>0</v>
      </c>
      <c r="AAV25">
        <f t="shared" si="83"/>
        <v>0</v>
      </c>
      <c r="AAW25">
        <f t="shared" si="84"/>
        <v>0</v>
      </c>
      <c r="AAX25">
        <f t="shared" si="85"/>
        <v>0</v>
      </c>
      <c r="AAY25">
        <f t="shared" si="86"/>
        <v>0</v>
      </c>
      <c r="AAZ25">
        <f t="shared" si="87"/>
        <v>0</v>
      </c>
      <c r="ABA25">
        <f t="shared" si="88"/>
        <v>0</v>
      </c>
      <c r="ABB25">
        <f t="shared" si="89"/>
        <v>0</v>
      </c>
      <c r="ABC25">
        <f t="shared" si="90"/>
        <v>0</v>
      </c>
      <c r="ABD25">
        <f t="shared" si="91"/>
        <v>0</v>
      </c>
      <c r="ABE25">
        <f t="shared" si="92"/>
        <v>0</v>
      </c>
      <c r="ABF25">
        <f t="shared" si="93"/>
        <v>0</v>
      </c>
      <c r="ABG25">
        <f t="shared" si="94"/>
        <v>0</v>
      </c>
      <c r="ABH25">
        <f t="shared" si="95"/>
        <v>0</v>
      </c>
      <c r="ABI25">
        <f t="shared" si="96"/>
        <v>0</v>
      </c>
      <c r="ABJ25">
        <f t="shared" si="97"/>
        <v>0</v>
      </c>
      <c r="ABK25">
        <f t="shared" si="98"/>
        <v>0</v>
      </c>
      <c r="ABL25">
        <f t="shared" si="99"/>
        <v>0</v>
      </c>
      <c r="ABM25">
        <f t="shared" si="100"/>
        <v>0</v>
      </c>
      <c r="ABN25">
        <f t="shared" si="101"/>
        <v>0</v>
      </c>
      <c r="ABO25">
        <f t="shared" si="102"/>
        <v>0</v>
      </c>
      <c r="ABP25">
        <f t="shared" si="103"/>
        <v>0</v>
      </c>
      <c r="ABQ25">
        <f t="shared" si="104"/>
        <v>0</v>
      </c>
      <c r="ABR25">
        <f t="shared" si="105"/>
        <v>0</v>
      </c>
      <c r="ABS25">
        <f t="shared" si="106"/>
        <v>0</v>
      </c>
      <c r="ABT25">
        <f t="shared" si="107"/>
        <v>0</v>
      </c>
      <c r="ABU25">
        <f t="shared" si="108"/>
        <v>0</v>
      </c>
      <c r="ABV25">
        <f t="shared" si="109"/>
        <v>0</v>
      </c>
      <c r="ABW25">
        <f t="shared" si="110"/>
        <v>0</v>
      </c>
      <c r="ABX25">
        <f t="shared" si="111"/>
        <v>0</v>
      </c>
      <c r="ABY25">
        <f t="shared" si="112"/>
        <v>0</v>
      </c>
      <c r="ABZ25">
        <f t="shared" si="113"/>
        <v>0</v>
      </c>
      <c r="ACA25">
        <f t="shared" si="114"/>
        <v>0</v>
      </c>
      <c r="ACB25">
        <f t="shared" si="115"/>
        <v>0</v>
      </c>
      <c r="ACC25">
        <f t="shared" si="116"/>
        <v>0</v>
      </c>
      <c r="ACD25">
        <f t="shared" si="117"/>
        <v>0</v>
      </c>
      <c r="ACE25">
        <f t="shared" si="118"/>
        <v>0</v>
      </c>
      <c r="ACF25">
        <f t="shared" si="119"/>
        <v>0</v>
      </c>
      <c r="ACG25">
        <f t="shared" si="120"/>
        <v>0</v>
      </c>
      <c r="ACH25">
        <f t="shared" si="121"/>
        <v>0</v>
      </c>
      <c r="ACI25">
        <f t="shared" si="122"/>
        <v>0</v>
      </c>
      <c r="ACJ25">
        <f t="shared" si="123"/>
        <v>0</v>
      </c>
      <c r="ACK25">
        <f t="shared" si="124"/>
        <v>0</v>
      </c>
      <c r="ACL25">
        <f t="shared" si="125"/>
        <v>0</v>
      </c>
      <c r="ACM25">
        <f t="shared" si="126"/>
        <v>0</v>
      </c>
      <c r="ACN25">
        <f t="shared" si="127"/>
        <v>0</v>
      </c>
      <c r="ACO25">
        <f t="shared" si="128"/>
        <v>0</v>
      </c>
      <c r="ACP25">
        <f t="shared" si="34"/>
        <v>0</v>
      </c>
      <c r="ACQ25">
        <f t="shared" si="129"/>
        <v>0</v>
      </c>
      <c r="ACR25">
        <f t="shared" si="130"/>
        <v>0</v>
      </c>
      <c r="ACS25">
        <f t="shared" si="131"/>
        <v>0</v>
      </c>
      <c r="ACT25">
        <f t="shared" si="132"/>
        <v>0</v>
      </c>
      <c r="ACU25">
        <f t="shared" si="133"/>
        <v>0</v>
      </c>
      <c r="ACV25">
        <f t="shared" si="134"/>
        <v>0</v>
      </c>
      <c r="ACW25">
        <f t="shared" si="135"/>
        <v>0</v>
      </c>
      <c r="ACX25">
        <f t="shared" si="136"/>
        <v>0</v>
      </c>
      <c r="ACY25">
        <f t="shared" si="137"/>
        <v>0</v>
      </c>
      <c r="ACZ25">
        <f t="shared" si="138"/>
        <v>0</v>
      </c>
      <c r="ADA25">
        <f t="shared" si="139"/>
        <v>0</v>
      </c>
      <c r="ADB25">
        <f t="shared" si="140"/>
        <v>0</v>
      </c>
      <c r="ADC25">
        <f t="shared" si="141"/>
        <v>0</v>
      </c>
      <c r="ADD25">
        <f t="shared" si="142"/>
        <v>0</v>
      </c>
      <c r="ADE25">
        <f t="shared" si="143"/>
        <v>0</v>
      </c>
      <c r="ADF25">
        <f t="shared" si="144"/>
        <v>0</v>
      </c>
      <c r="ADG25">
        <f t="shared" si="145"/>
        <v>0</v>
      </c>
      <c r="ADH25">
        <f t="shared" si="146"/>
        <v>0</v>
      </c>
      <c r="ADI25">
        <f t="shared" si="147"/>
        <v>0</v>
      </c>
      <c r="ADJ25">
        <f t="shared" si="148"/>
        <v>0</v>
      </c>
      <c r="ADK25">
        <f t="shared" si="149"/>
        <v>0</v>
      </c>
      <c r="ADL25">
        <f t="shared" si="150"/>
        <v>0</v>
      </c>
      <c r="ADM25">
        <f t="shared" si="151"/>
        <v>0</v>
      </c>
      <c r="ADN25">
        <f t="shared" si="152"/>
        <v>0</v>
      </c>
      <c r="ADO25">
        <f t="shared" si="153"/>
        <v>0</v>
      </c>
      <c r="ADP25">
        <f t="shared" si="154"/>
        <v>0</v>
      </c>
      <c r="ADQ25">
        <f t="shared" si="155"/>
        <v>0</v>
      </c>
      <c r="ADR25">
        <f t="shared" si="156"/>
        <v>0</v>
      </c>
      <c r="ADS25">
        <f t="shared" si="157"/>
        <v>0</v>
      </c>
      <c r="ADT25">
        <f t="shared" si="158"/>
        <v>0</v>
      </c>
      <c r="ADU25">
        <f t="shared" si="159"/>
        <v>0</v>
      </c>
      <c r="ADV25">
        <f t="shared" si="160"/>
        <v>0</v>
      </c>
      <c r="ADW25">
        <f t="shared" si="161"/>
        <v>0</v>
      </c>
      <c r="ADX25">
        <f t="shared" si="162"/>
        <v>0</v>
      </c>
      <c r="ADY25">
        <f t="shared" si="163"/>
        <v>0</v>
      </c>
      <c r="ADZ25">
        <f t="shared" si="164"/>
        <v>0</v>
      </c>
      <c r="AEA25">
        <f t="shared" si="165"/>
        <v>0</v>
      </c>
      <c r="AEB25">
        <f t="shared" si="166"/>
        <v>0</v>
      </c>
      <c r="AEC25">
        <f t="shared" si="167"/>
        <v>0</v>
      </c>
      <c r="AED25">
        <f t="shared" si="168"/>
        <v>0</v>
      </c>
      <c r="AEE25">
        <f t="shared" si="169"/>
        <v>0</v>
      </c>
      <c r="AEF25">
        <f t="shared" si="170"/>
        <v>0</v>
      </c>
      <c r="AEG25">
        <f t="shared" si="171"/>
        <v>0</v>
      </c>
      <c r="AEH25">
        <f t="shared" si="172"/>
        <v>0</v>
      </c>
      <c r="AEI25">
        <f t="shared" si="173"/>
        <v>0</v>
      </c>
      <c r="AEJ25">
        <f t="shared" si="174"/>
        <v>0</v>
      </c>
      <c r="AEK25">
        <f t="shared" si="175"/>
        <v>0</v>
      </c>
      <c r="AEL25">
        <f t="shared" si="176"/>
        <v>0</v>
      </c>
      <c r="AEM25">
        <f t="shared" si="177"/>
        <v>0</v>
      </c>
      <c r="AEN25">
        <f t="shared" si="178"/>
        <v>0</v>
      </c>
      <c r="AEO25">
        <f t="shared" si="179"/>
        <v>0</v>
      </c>
      <c r="AEP25">
        <f t="shared" si="180"/>
        <v>0</v>
      </c>
      <c r="AEQ25">
        <f t="shared" si="181"/>
        <v>0</v>
      </c>
      <c r="AER25">
        <f t="shared" si="182"/>
        <v>0</v>
      </c>
      <c r="AES25">
        <f t="shared" si="183"/>
        <v>0</v>
      </c>
      <c r="AET25">
        <f t="shared" si="184"/>
        <v>0</v>
      </c>
      <c r="AEU25">
        <f t="shared" si="185"/>
        <v>0</v>
      </c>
      <c r="AEV25">
        <f t="shared" si="186"/>
        <v>0</v>
      </c>
      <c r="AEW25">
        <f t="shared" si="187"/>
        <v>0</v>
      </c>
      <c r="AEX25">
        <f t="shared" si="188"/>
        <v>0</v>
      </c>
      <c r="AEY25">
        <f t="shared" si="189"/>
        <v>0</v>
      </c>
      <c r="AEZ25">
        <f t="shared" si="190"/>
        <v>0</v>
      </c>
      <c r="AFA25">
        <f t="shared" si="191"/>
        <v>0</v>
      </c>
      <c r="AFB25">
        <f t="shared" si="35"/>
        <v>0</v>
      </c>
      <c r="AFC25">
        <f t="shared" si="192"/>
        <v>0</v>
      </c>
      <c r="AFD25">
        <f t="shared" si="193"/>
        <v>0</v>
      </c>
      <c r="AFE25">
        <f t="shared" si="194"/>
        <v>0</v>
      </c>
      <c r="AFF25">
        <f t="shared" si="195"/>
        <v>0</v>
      </c>
      <c r="AFG25">
        <f t="shared" si="196"/>
        <v>0</v>
      </c>
      <c r="AFH25">
        <f t="shared" si="197"/>
        <v>0</v>
      </c>
      <c r="AFI25">
        <f t="shared" si="198"/>
        <v>0</v>
      </c>
      <c r="AFJ25">
        <f t="shared" si="199"/>
        <v>0</v>
      </c>
      <c r="AFK25">
        <f t="shared" si="200"/>
        <v>0</v>
      </c>
      <c r="AFL25">
        <f t="shared" si="201"/>
        <v>0</v>
      </c>
      <c r="AFM25">
        <f t="shared" si="202"/>
        <v>0</v>
      </c>
      <c r="AFN25">
        <f t="shared" si="203"/>
        <v>0</v>
      </c>
      <c r="AFO25">
        <f t="shared" si="204"/>
        <v>0</v>
      </c>
      <c r="AFP25">
        <f t="shared" si="205"/>
        <v>0</v>
      </c>
      <c r="AFQ25">
        <f t="shared" si="206"/>
        <v>0</v>
      </c>
      <c r="AFR25">
        <f t="shared" si="207"/>
        <v>0</v>
      </c>
      <c r="AFS25">
        <f t="shared" si="208"/>
        <v>0</v>
      </c>
      <c r="AFT25">
        <f t="shared" si="209"/>
        <v>0</v>
      </c>
      <c r="AFU25">
        <f t="shared" si="210"/>
        <v>0</v>
      </c>
      <c r="AFV25">
        <f t="shared" si="211"/>
        <v>0</v>
      </c>
      <c r="AFW25">
        <f t="shared" si="212"/>
        <v>0</v>
      </c>
      <c r="AFX25">
        <f t="shared" si="213"/>
        <v>0</v>
      </c>
      <c r="AFY25">
        <f t="shared" si="214"/>
        <v>0</v>
      </c>
      <c r="AFZ25">
        <f t="shared" si="215"/>
        <v>0</v>
      </c>
      <c r="AGA25">
        <f t="shared" si="216"/>
        <v>0</v>
      </c>
      <c r="AGB25">
        <f t="shared" si="217"/>
        <v>0</v>
      </c>
      <c r="AGC25">
        <f t="shared" si="218"/>
        <v>0</v>
      </c>
      <c r="AGD25">
        <f t="shared" si="219"/>
        <v>0</v>
      </c>
      <c r="AGE25">
        <f t="shared" si="220"/>
        <v>0</v>
      </c>
      <c r="AGF25">
        <f t="shared" si="221"/>
        <v>0</v>
      </c>
      <c r="AGG25">
        <f t="shared" si="222"/>
        <v>0</v>
      </c>
      <c r="AGH25">
        <f t="shared" si="223"/>
        <v>0</v>
      </c>
      <c r="AGI25">
        <f t="shared" si="224"/>
        <v>0</v>
      </c>
      <c r="AGJ25">
        <f t="shared" si="225"/>
        <v>0</v>
      </c>
      <c r="AGK25">
        <f t="shared" si="226"/>
        <v>0</v>
      </c>
      <c r="AGL25">
        <f t="shared" si="227"/>
        <v>0</v>
      </c>
      <c r="AGM25">
        <f t="shared" si="228"/>
        <v>0</v>
      </c>
      <c r="AGN25">
        <f t="shared" si="229"/>
        <v>0</v>
      </c>
      <c r="AGO25">
        <f t="shared" si="230"/>
        <v>0</v>
      </c>
      <c r="AGP25">
        <f t="shared" si="231"/>
        <v>0</v>
      </c>
      <c r="AGQ25">
        <f t="shared" si="232"/>
        <v>0</v>
      </c>
      <c r="AGR25">
        <f t="shared" si="233"/>
        <v>0</v>
      </c>
      <c r="AGS25">
        <f t="shared" si="234"/>
        <v>0</v>
      </c>
      <c r="AGT25">
        <f t="shared" si="235"/>
        <v>0</v>
      </c>
      <c r="AGU25">
        <f t="shared" si="236"/>
        <v>0</v>
      </c>
      <c r="AGV25">
        <f t="shared" si="237"/>
        <v>0</v>
      </c>
      <c r="AGW25">
        <f t="shared" si="238"/>
        <v>0</v>
      </c>
      <c r="AGX25">
        <f t="shared" si="239"/>
        <v>0</v>
      </c>
      <c r="AGY25">
        <f t="shared" si="240"/>
        <v>0</v>
      </c>
      <c r="AGZ25">
        <f t="shared" si="241"/>
        <v>0</v>
      </c>
      <c r="AHA25">
        <f t="shared" si="242"/>
        <v>0</v>
      </c>
      <c r="AHB25">
        <f t="shared" si="243"/>
        <v>0</v>
      </c>
      <c r="AHC25">
        <f t="shared" si="244"/>
        <v>0</v>
      </c>
      <c r="AHD25">
        <f t="shared" si="245"/>
        <v>0</v>
      </c>
      <c r="AHE25">
        <f t="shared" si="246"/>
        <v>0</v>
      </c>
      <c r="AHF25">
        <f t="shared" si="247"/>
        <v>0</v>
      </c>
      <c r="AHG25">
        <f t="shared" si="248"/>
        <v>0</v>
      </c>
      <c r="AHH25">
        <f t="shared" si="249"/>
        <v>0</v>
      </c>
      <c r="AHI25">
        <f t="shared" si="250"/>
        <v>0</v>
      </c>
      <c r="AHJ25">
        <f t="shared" si="251"/>
        <v>0</v>
      </c>
      <c r="AHK25">
        <f t="shared" si="252"/>
        <v>0</v>
      </c>
      <c r="AHL25">
        <f t="shared" si="253"/>
        <v>0</v>
      </c>
      <c r="AHM25">
        <f t="shared" si="254"/>
        <v>0</v>
      </c>
      <c r="AHN25">
        <f t="shared" si="36"/>
        <v>0</v>
      </c>
      <c r="AHO25">
        <f t="shared" si="255"/>
        <v>0</v>
      </c>
      <c r="AHP25">
        <f t="shared" si="256"/>
        <v>0</v>
      </c>
      <c r="AHQ25">
        <f t="shared" si="257"/>
        <v>0</v>
      </c>
      <c r="AHR25">
        <f t="shared" si="258"/>
        <v>0</v>
      </c>
      <c r="AHS25">
        <f t="shared" si="259"/>
        <v>0</v>
      </c>
      <c r="AHT25">
        <f t="shared" si="260"/>
        <v>0</v>
      </c>
      <c r="AHU25">
        <f t="shared" si="261"/>
        <v>0</v>
      </c>
      <c r="AHV25">
        <f t="shared" si="262"/>
        <v>0</v>
      </c>
      <c r="AHW25">
        <f t="shared" si="263"/>
        <v>0</v>
      </c>
      <c r="AHX25">
        <f t="shared" si="264"/>
        <v>0</v>
      </c>
      <c r="AHY25">
        <f t="shared" si="265"/>
        <v>0</v>
      </c>
      <c r="AHZ25">
        <f t="shared" si="266"/>
        <v>0</v>
      </c>
      <c r="AIA25">
        <f t="shared" si="267"/>
        <v>0</v>
      </c>
      <c r="AIB25">
        <f t="shared" si="268"/>
        <v>0</v>
      </c>
      <c r="AIC25">
        <f t="shared" si="269"/>
        <v>0</v>
      </c>
      <c r="AID25">
        <f t="shared" si="270"/>
        <v>0</v>
      </c>
      <c r="AIE25">
        <f t="shared" si="271"/>
        <v>0</v>
      </c>
      <c r="AIF25">
        <f t="shared" si="272"/>
        <v>0</v>
      </c>
      <c r="AIG25">
        <f t="shared" si="273"/>
        <v>0</v>
      </c>
      <c r="AIH25">
        <f t="shared" si="274"/>
        <v>0</v>
      </c>
      <c r="AII25">
        <f t="shared" si="275"/>
        <v>0</v>
      </c>
      <c r="AIJ25">
        <f t="shared" si="276"/>
        <v>0</v>
      </c>
      <c r="AIK25">
        <f t="shared" si="277"/>
        <v>0</v>
      </c>
      <c r="AIL25">
        <f t="shared" si="278"/>
        <v>0</v>
      </c>
      <c r="AIM25">
        <f t="shared" si="279"/>
        <v>0</v>
      </c>
      <c r="AIN25">
        <f t="shared" si="280"/>
        <v>0</v>
      </c>
      <c r="AIO25">
        <f t="shared" si="281"/>
        <v>0</v>
      </c>
      <c r="AIP25">
        <f t="shared" si="282"/>
        <v>0</v>
      </c>
      <c r="AIQ25">
        <f t="shared" si="283"/>
        <v>0</v>
      </c>
      <c r="AIR25">
        <f t="shared" si="284"/>
        <v>0</v>
      </c>
      <c r="AIS25">
        <f t="shared" si="285"/>
        <v>0</v>
      </c>
      <c r="AIT25">
        <f t="shared" si="286"/>
        <v>0</v>
      </c>
      <c r="AIU25">
        <f t="shared" si="287"/>
        <v>0</v>
      </c>
      <c r="AIV25">
        <f t="shared" si="288"/>
        <v>0</v>
      </c>
      <c r="AIW25">
        <f t="shared" si="289"/>
        <v>0</v>
      </c>
      <c r="AIX25">
        <f t="shared" si="290"/>
        <v>0</v>
      </c>
      <c r="AIY25">
        <f t="shared" si="291"/>
        <v>0</v>
      </c>
      <c r="AIZ25">
        <f t="shared" si="292"/>
        <v>0</v>
      </c>
      <c r="AJA25">
        <f t="shared" si="293"/>
        <v>0</v>
      </c>
      <c r="AJB25">
        <f t="shared" si="294"/>
        <v>0</v>
      </c>
      <c r="AJC25">
        <f t="shared" si="295"/>
        <v>0</v>
      </c>
      <c r="AJD25">
        <f t="shared" si="296"/>
        <v>0</v>
      </c>
      <c r="AJE25">
        <f t="shared" si="297"/>
        <v>0</v>
      </c>
      <c r="AJF25">
        <f t="shared" si="298"/>
        <v>0</v>
      </c>
      <c r="AJG25">
        <f t="shared" si="299"/>
        <v>0</v>
      </c>
      <c r="AJH25">
        <f t="shared" si="300"/>
        <v>0</v>
      </c>
      <c r="AJI25">
        <f t="shared" si="301"/>
        <v>0</v>
      </c>
      <c r="AJJ25">
        <f t="shared" si="302"/>
        <v>0</v>
      </c>
      <c r="AJK25">
        <f t="shared" si="303"/>
        <v>0</v>
      </c>
      <c r="AJL25">
        <f t="shared" si="304"/>
        <v>0</v>
      </c>
      <c r="AJM25">
        <f t="shared" si="305"/>
        <v>0</v>
      </c>
      <c r="AJN25">
        <f t="shared" si="306"/>
        <v>0</v>
      </c>
      <c r="AJO25">
        <f t="shared" si="307"/>
        <v>0</v>
      </c>
      <c r="AJP25">
        <f t="shared" si="308"/>
        <v>0</v>
      </c>
      <c r="AJQ25">
        <f t="shared" si="309"/>
        <v>0</v>
      </c>
      <c r="AJR25">
        <f t="shared" si="310"/>
        <v>0</v>
      </c>
      <c r="AJS25">
        <f t="shared" si="311"/>
        <v>0</v>
      </c>
      <c r="AJT25">
        <f t="shared" si="312"/>
        <v>0</v>
      </c>
      <c r="AJU25">
        <f t="shared" si="313"/>
        <v>0</v>
      </c>
      <c r="AJV25">
        <f t="shared" si="314"/>
        <v>0</v>
      </c>
      <c r="AJW25">
        <f t="shared" si="315"/>
        <v>0</v>
      </c>
      <c r="AJX25">
        <f t="shared" si="316"/>
        <v>0</v>
      </c>
      <c r="AJY25">
        <f t="shared" si="317"/>
        <v>0</v>
      </c>
      <c r="AJZ25">
        <f t="shared" si="37"/>
        <v>0</v>
      </c>
      <c r="AKA25">
        <f t="shared" si="318"/>
        <v>0</v>
      </c>
      <c r="AKB25">
        <f t="shared" si="319"/>
        <v>0</v>
      </c>
      <c r="AKC25">
        <f t="shared" si="320"/>
        <v>0</v>
      </c>
      <c r="AKD25">
        <f t="shared" si="321"/>
        <v>0</v>
      </c>
      <c r="AKE25">
        <f t="shared" si="322"/>
        <v>0</v>
      </c>
      <c r="AKF25">
        <f t="shared" si="323"/>
        <v>0</v>
      </c>
      <c r="AKG25">
        <f t="shared" si="324"/>
        <v>0</v>
      </c>
      <c r="AKH25">
        <f t="shared" si="325"/>
        <v>0</v>
      </c>
      <c r="AKI25">
        <f t="shared" si="326"/>
        <v>0</v>
      </c>
      <c r="AKJ25">
        <f t="shared" si="327"/>
        <v>0</v>
      </c>
      <c r="AKK25">
        <f t="shared" si="328"/>
        <v>0</v>
      </c>
      <c r="AKL25">
        <f t="shared" si="329"/>
        <v>0</v>
      </c>
      <c r="AKM25">
        <f t="shared" si="330"/>
        <v>0</v>
      </c>
      <c r="AKN25">
        <f t="shared" si="331"/>
        <v>0</v>
      </c>
      <c r="AKO25">
        <f t="shared" si="332"/>
        <v>0</v>
      </c>
      <c r="AKP25">
        <f t="shared" si="333"/>
        <v>0</v>
      </c>
      <c r="AKQ25">
        <f t="shared" si="334"/>
        <v>0</v>
      </c>
      <c r="AKR25">
        <f t="shared" si="335"/>
        <v>0</v>
      </c>
      <c r="AKS25">
        <f t="shared" si="336"/>
        <v>0</v>
      </c>
      <c r="AKT25">
        <f t="shared" si="337"/>
        <v>0</v>
      </c>
      <c r="AKU25">
        <f t="shared" si="338"/>
        <v>0</v>
      </c>
      <c r="AKV25">
        <f t="shared" si="339"/>
        <v>0</v>
      </c>
      <c r="AKW25">
        <f t="shared" si="340"/>
        <v>0</v>
      </c>
      <c r="AKX25">
        <f t="shared" si="341"/>
        <v>0</v>
      </c>
      <c r="AKY25">
        <f t="shared" si="342"/>
        <v>0</v>
      </c>
      <c r="AKZ25">
        <f t="shared" si="343"/>
        <v>0</v>
      </c>
      <c r="ALA25">
        <f t="shared" si="344"/>
        <v>0</v>
      </c>
      <c r="ALB25">
        <f t="shared" si="345"/>
        <v>0</v>
      </c>
      <c r="ALC25">
        <f t="shared" si="346"/>
        <v>0</v>
      </c>
      <c r="ALD25">
        <f t="shared" si="347"/>
        <v>0</v>
      </c>
      <c r="ALE25">
        <f t="shared" si="348"/>
        <v>0</v>
      </c>
      <c r="ALF25">
        <f t="shared" si="349"/>
        <v>0</v>
      </c>
      <c r="ALG25">
        <f t="shared" si="350"/>
        <v>0</v>
      </c>
      <c r="ALH25">
        <f t="shared" si="351"/>
        <v>0</v>
      </c>
      <c r="ALI25">
        <f t="shared" si="352"/>
        <v>0</v>
      </c>
      <c r="ALJ25">
        <f t="shared" si="353"/>
        <v>0</v>
      </c>
      <c r="ALK25">
        <f t="shared" si="354"/>
        <v>0</v>
      </c>
      <c r="ALL25">
        <f t="shared" si="355"/>
        <v>0</v>
      </c>
      <c r="ALM25">
        <f t="shared" si="356"/>
        <v>0</v>
      </c>
      <c r="ALN25">
        <f t="shared" si="357"/>
        <v>0</v>
      </c>
      <c r="ALO25">
        <f t="shared" si="358"/>
        <v>0</v>
      </c>
      <c r="ALP25">
        <f t="shared" si="359"/>
        <v>0</v>
      </c>
      <c r="ALQ25">
        <f t="shared" si="360"/>
        <v>0</v>
      </c>
      <c r="ALR25">
        <f t="shared" si="361"/>
        <v>0</v>
      </c>
      <c r="ALS25">
        <f t="shared" si="362"/>
        <v>0</v>
      </c>
      <c r="ALT25">
        <f t="shared" si="363"/>
        <v>0</v>
      </c>
      <c r="ALU25">
        <f t="shared" si="364"/>
        <v>0</v>
      </c>
      <c r="ALV25">
        <f t="shared" si="365"/>
        <v>0</v>
      </c>
      <c r="ALW25">
        <f t="shared" si="366"/>
        <v>0</v>
      </c>
      <c r="ALX25">
        <f t="shared" si="367"/>
        <v>0</v>
      </c>
      <c r="ALY25">
        <f t="shared" si="368"/>
        <v>0</v>
      </c>
      <c r="ALZ25">
        <f t="shared" si="369"/>
        <v>0</v>
      </c>
      <c r="AMA25">
        <f t="shared" si="370"/>
        <v>0</v>
      </c>
      <c r="AMB25">
        <f t="shared" si="371"/>
        <v>0</v>
      </c>
      <c r="AMC25">
        <f t="shared" si="372"/>
        <v>0</v>
      </c>
      <c r="AMD25">
        <f t="shared" si="373"/>
        <v>0</v>
      </c>
      <c r="AME25">
        <f t="shared" si="374"/>
        <v>0</v>
      </c>
      <c r="AMF25">
        <f t="shared" si="375"/>
        <v>0</v>
      </c>
      <c r="AMG25">
        <f t="shared" si="376"/>
        <v>0</v>
      </c>
      <c r="AMH25">
        <f t="shared" si="377"/>
        <v>0</v>
      </c>
      <c r="AMI25">
        <f t="shared" si="378"/>
        <v>0</v>
      </c>
      <c r="AMJ25">
        <f t="shared" si="379"/>
        <v>0</v>
      </c>
      <c r="AMK25">
        <f t="shared" si="380"/>
        <v>0</v>
      </c>
      <c r="AML25">
        <f t="shared" si="38"/>
        <v>0</v>
      </c>
      <c r="AMM25">
        <f t="shared" si="381"/>
        <v>0</v>
      </c>
      <c r="AMN25">
        <f t="shared" si="382"/>
        <v>0</v>
      </c>
      <c r="AMO25">
        <f t="shared" si="383"/>
        <v>0</v>
      </c>
      <c r="AMP25">
        <f t="shared" si="384"/>
        <v>0</v>
      </c>
      <c r="AMQ25">
        <f t="shared" si="385"/>
        <v>0</v>
      </c>
      <c r="AMR25">
        <f t="shared" si="386"/>
        <v>0</v>
      </c>
      <c r="AMS25">
        <f t="shared" si="387"/>
        <v>0</v>
      </c>
      <c r="AMT25">
        <f t="shared" si="388"/>
        <v>0</v>
      </c>
      <c r="AMU25">
        <f t="shared" si="389"/>
        <v>0</v>
      </c>
      <c r="AMV25">
        <f t="shared" si="390"/>
        <v>0</v>
      </c>
      <c r="AMW25">
        <f t="shared" si="391"/>
        <v>0</v>
      </c>
      <c r="AMX25">
        <f t="shared" si="392"/>
        <v>0</v>
      </c>
      <c r="AMY25">
        <f t="shared" si="393"/>
        <v>0</v>
      </c>
      <c r="AMZ25">
        <f t="shared" si="394"/>
        <v>0</v>
      </c>
      <c r="ANA25">
        <f t="shared" si="395"/>
        <v>0</v>
      </c>
      <c r="ANB25">
        <f t="shared" si="396"/>
        <v>0</v>
      </c>
      <c r="ANC25">
        <f t="shared" si="397"/>
        <v>0</v>
      </c>
      <c r="AND25">
        <f t="shared" si="398"/>
        <v>0</v>
      </c>
      <c r="ANE25">
        <f t="shared" si="399"/>
        <v>0</v>
      </c>
      <c r="ANF25">
        <f t="shared" si="400"/>
        <v>0</v>
      </c>
      <c r="ANG25">
        <f t="shared" si="401"/>
        <v>0</v>
      </c>
      <c r="ANH25">
        <f t="shared" si="402"/>
        <v>0</v>
      </c>
      <c r="ANI25">
        <f t="shared" si="403"/>
        <v>0</v>
      </c>
      <c r="ANJ25">
        <f t="shared" si="404"/>
        <v>0</v>
      </c>
      <c r="ANK25">
        <f t="shared" si="405"/>
        <v>0</v>
      </c>
      <c r="ANL25">
        <f t="shared" si="406"/>
        <v>0</v>
      </c>
      <c r="ANM25">
        <f t="shared" si="407"/>
        <v>0</v>
      </c>
      <c r="ANN25">
        <f t="shared" si="408"/>
        <v>0</v>
      </c>
      <c r="ANO25">
        <f t="shared" si="409"/>
        <v>0</v>
      </c>
      <c r="ANP25">
        <f t="shared" si="410"/>
        <v>0</v>
      </c>
      <c r="ANQ25">
        <f t="shared" si="411"/>
        <v>0</v>
      </c>
      <c r="ANR25">
        <f t="shared" si="412"/>
        <v>0</v>
      </c>
      <c r="ANS25">
        <f t="shared" si="413"/>
        <v>0</v>
      </c>
      <c r="ANT25">
        <f t="shared" si="414"/>
        <v>0</v>
      </c>
      <c r="ANU25">
        <f t="shared" si="415"/>
        <v>0</v>
      </c>
      <c r="ANV25">
        <f t="shared" si="416"/>
        <v>0</v>
      </c>
      <c r="ANW25">
        <f t="shared" si="417"/>
        <v>0</v>
      </c>
      <c r="ANX25">
        <f t="shared" si="418"/>
        <v>0</v>
      </c>
      <c r="ANY25">
        <f t="shared" si="419"/>
        <v>0</v>
      </c>
      <c r="ANZ25">
        <f t="shared" si="420"/>
        <v>0</v>
      </c>
      <c r="AOA25">
        <f t="shared" si="421"/>
        <v>0</v>
      </c>
      <c r="AOB25">
        <f t="shared" si="422"/>
        <v>0</v>
      </c>
      <c r="AOC25">
        <f t="shared" si="423"/>
        <v>0</v>
      </c>
      <c r="AOD25">
        <f t="shared" si="424"/>
        <v>0</v>
      </c>
      <c r="AOE25">
        <f t="shared" si="425"/>
        <v>0</v>
      </c>
      <c r="AOF25">
        <f t="shared" si="426"/>
        <v>0</v>
      </c>
      <c r="AOG25">
        <f t="shared" si="427"/>
        <v>0</v>
      </c>
      <c r="AOH25">
        <f t="shared" si="428"/>
        <v>0</v>
      </c>
      <c r="AOI25">
        <f t="shared" si="429"/>
        <v>0</v>
      </c>
      <c r="AOJ25">
        <f t="shared" si="430"/>
        <v>0</v>
      </c>
      <c r="AOK25">
        <f t="shared" si="431"/>
        <v>0</v>
      </c>
      <c r="AOL25">
        <f t="shared" si="432"/>
        <v>0</v>
      </c>
      <c r="AOM25">
        <f t="shared" si="433"/>
        <v>0</v>
      </c>
      <c r="AON25">
        <f t="shared" si="434"/>
        <v>0</v>
      </c>
      <c r="AOO25">
        <f t="shared" si="435"/>
        <v>0</v>
      </c>
      <c r="AOP25">
        <f t="shared" si="436"/>
        <v>0</v>
      </c>
      <c r="AOQ25">
        <f t="shared" si="437"/>
        <v>0</v>
      </c>
      <c r="AOR25">
        <f t="shared" si="438"/>
        <v>0</v>
      </c>
      <c r="AOS25">
        <f t="shared" si="439"/>
        <v>0</v>
      </c>
      <c r="AOT25">
        <f t="shared" si="440"/>
        <v>0</v>
      </c>
      <c r="AOU25">
        <f t="shared" si="441"/>
        <v>0</v>
      </c>
      <c r="AOV25">
        <f t="shared" si="442"/>
        <v>0</v>
      </c>
      <c r="AOW25">
        <f t="shared" si="443"/>
        <v>0</v>
      </c>
      <c r="AOX25">
        <f t="shared" si="39"/>
        <v>0</v>
      </c>
      <c r="AOY25">
        <f t="shared" si="444"/>
        <v>0</v>
      </c>
      <c r="AOZ25">
        <f t="shared" si="445"/>
        <v>0</v>
      </c>
      <c r="APA25">
        <f t="shared" si="446"/>
        <v>0</v>
      </c>
      <c r="APB25">
        <f t="shared" si="447"/>
        <v>0</v>
      </c>
      <c r="APC25">
        <f t="shared" si="448"/>
        <v>0</v>
      </c>
      <c r="APD25">
        <f t="shared" si="449"/>
        <v>0</v>
      </c>
      <c r="APE25">
        <f t="shared" si="450"/>
        <v>0</v>
      </c>
      <c r="APF25">
        <f t="shared" si="451"/>
        <v>0</v>
      </c>
      <c r="APG25">
        <f t="shared" si="452"/>
        <v>0</v>
      </c>
      <c r="APH25">
        <f t="shared" si="453"/>
        <v>0</v>
      </c>
      <c r="API25">
        <f t="shared" si="454"/>
        <v>0</v>
      </c>
      <c r="APJ25">
        <f t="shared" si="455"/>
        <v>0</v>
      </c>
      <c r="APK25">
        <f t="shared" si="456"/>
        <v>0</v>
      </c>
      <c r="APL25">
        <f t="shared" si="457"/>
        <v>0</v>
      </c>
      <c r="APM25">
        <f t="shared" si="458"/>
        <v>0</v>
      </c>
      <c r="APN25">
        <f t="shared" si="459"/>
        <v>0</v>
      </c>
      <c r="APO25">
        <f t="shared" si="460"/>
        <v>0</v>
      </c>
      <c r="APP25">
        <f t="shared" si="461"/>
        <v>0</v>
      </c>
      <c r="APQ25">
        <f t="shared" si="462"/>
        <v>0</v>
      </c>
      <c r="APR25">
        <f t="shared" si="463"/>
        <v>0</v>
      </c>
      <c r="APS25">
        <f t="shared" si="464"/>
        <v>0</v>
      </c>
      <c r="APT25">
        <f t="shared" si="465"/>
        <v>0</v>
      </c>
      <c r="APU25">
        <f t="shared" si="466"/>
        <v>0</v>
      </c>
      <c r="APV25">
        <f t="shared" si="467"/>
        <v>0</v>
      </c>
      <c r="APW25">
        <f t="shared" si="468"/>
        <v>0</v>
      </c>
      <c r="APX25">
        <f t="shared" si="469"/>
        <v>0</v>
      </c>
      <c r="APY25">
        <f t="shared" si="470"/>
        <v>0</v>
      </c>
      <c r="APZ25">
        <f t="shared" si="471"/>
        <v>0</v>
      </c>
      <c r="AQA25">
        <f t="shared" si="472"/>
        <v>0</v>
      </c>
      <c r="AQB25">
        <f t="shared" si="473"/>
        <v>0</v>
      </c>
      <c r="AQC25">
        <f t="shared" si="474"/>
        <v>0</v>
      </c>
      <c r="AQD25">
        <f t="shared" si="475"/>
        <v>0</v>
      </c>
      <c r="AQE25">
        <f t="shared" si="476"/>
        <v>0</v>
      </c>
      <c r="AQF25">
        <f t="shared" si="477"/>
        <v>0</v>
      </c>
      <c r="AQG25">
        <f t="shared" si="478"/>
        <v>0</v>
      </c>
      <c r="AQH25">
        <f t="shared" si="479"/>
        <v>0</v>
      </c>
      <c r="AQI25">
        <f t="shared" si="480"/>
        <v>0</v>
      </c>
      <c r="AQJ25">
        <f t="shared" si="481"/>
        <v>0</v>
      </c>
      <c r="AQK25">
        <f t="shared" si="482"/>
        <v>0</v>
      </c>
      <c r="AQL25">
        <f t="shared" si="483"/>
        <v>0</v>
      </c>
      <c r="AQM25">
        <f t="shared" si="484"/>
        <v>0</v>
      </c>
      <c r="AQN25">
        <f t="shared" si="485"/>
        <v>0</v>
      </c>
      <c r="AQO25">
        <f t="shared" si="486"/>
        <v>0</v>
      </c>
      <c r="AQP25">
        <f t="shared" si="487"/>
        <v>0</v>
      </c>
      <c r="AQQ25">
        <f t="shared" si="488"/>
        <v>0</v>
      </c>
      <c r="AQR25">
        <f t="shared" si="489"/>
        <v>0</v>
      </c>
      <c r="AQS25">
        <f t="shared" si="490"/>
        <v>0</v>
      </c>
      <c r="AQT25">
        <f t="shared" si="491"/>
        <v>0</v>
      </c>
      <c r="AQU25">
        <f t="shared" si="492"/>
        <v>0</v>
      </c>
      <c r="AQV25">
        <f t="shared" si="493"/>
        <v>0</v>
      </c>
      <c r="AQW25">
        <f t="shared" si="494"/>
        <v>0</v>
      </c>
      <c r="AQX25">
        <f t="shared" si="495"/>
        <v>0</v>
      </c>
      <c r="AQY25">
        <f t="shared" si="496"/>
        <v>0</v>
      </c>
      <c r="AQZ25">
        <f t="shared" si="497"/>
        <v>0</v>
      </c>
      <c r="ARA25">
        <f t="shared" si="498"/>
        <v>0</v>
      </c>
      <c r="ARB25">
        <f t="shared" si="499"/>
        <v>0</v>
      </c>
      <c r="ARC25">
        <f t="shared" si="500"/>
        <v>0</v>
      </c>
      <c r="ARD25">
        <f t="shared" si="501"/>
        <v>0</v>
      </c>
      <c r="ARE25">
        <f t="shared" si="502"/>
        <v>0</v>
      </c>
      <c r="ARF25">
        <f t="shared" si="503"/>
        <v>0</v>
      </c>
      <c r="ARG25">
        <f t="shared" si="504"/>
        <v>0</v>
      </c>
      <c r="ARH25">
        <f t="shared" si="505"/>
        <v>0</v>
      </c>
      <c r="ARI25">
        <f t="shared" si="506"/>
        <v>0</v>
      </c>
      <c r="ARJ25">
        <f t="shared" si="40"/>
        <v>0</v>
      </c>
      <c r="ARK25">
        <f t="shared" si="507"/>
        <v>0</v>
      </c>
      <c r="ARL25">
        <f t="shared" si="508"/>
        <v>0</v>
      </c>
      <c r="ARM25">
        <f t="shared" si="509"/>
        <v>0</v>
      </c>
      <c r="ARN25">
        <f t="shared" si="510"/>
        <v>0</v>
      </c>
      <c r="ARO25">
        <f t="shared" si="511"/>
        <v>0</v>
      </c>
      <c r="ARP25">
        <f t="shared" si="512"/>
        <v>0</v>
      </c>
      <c r="ARQ25">
        <f t="shared" si="513"/>
        <v>0</v>
      </c>
      <c r="ARR25">
        <f t="shared" si="514"/>
        <v>0</v>
      </c>
      <c r="ARS25">
        <f t="shared" si="515"/>
        <v>0</v>
      </c>
      <c r="ART25">
        <f t="shared" si="516"/>
        <v>0</v>
      </c>
      <c r="ARU25">
        <f t="shared" si="517"/>
        <v>0</v>
      </c>
      <c r="ARV25">
        <f t="shared" si="518"/>
        <v>0</v>
      </c>
      <c r="ARW25">
        <f t="shared" si="519"/>
        <v>0</v>
      </c>
      <c r="ARX25">
        <f t="shared" si="520"/>
        <v>0</v>
      </c>
      <c r="ARY25">
        <f t="shared" si="521"/>
        <v>0</v>
      </c>
      <c r="ARZ25">
        <f t="shared" si="522"/>
        <v>0</v>
      </c>
      <c r="ASA25">
        <f t="shared" si="523"/>
        <v>0</v>
      </c>
      <c r="ASB25">
        <f t="shared" si="524"/>
        <v>0</v>
      </c>
      <c r="ASC25">
        <f t="shared" si="525"/>
        <v>0</v>
      </c>
      <c r="ASD25">
        <f t="shared" si="526"/>
        <v>0</v>
      </c>
      <c r="ASE25">
        <f t="shared" si="527"/>
        <v>0</v>
      </c>
      <c r="ASF25">
        <f t="shared" si="528"/>
        <v>0</v>
      </c>
      <c r="ASG25">
        <f t="shared" si="529"/>
        <v>0</v>
      </c>
      <c r="ASH25">
        <f t="shared" si="530"/>
        <v>0</v>
      </c>
      <c r="ASI25">
        <f t="shared" si="531"/>
        <v>0</v>
      </c>
      <c r="ASJ25">
        <f t="shared" si="532"/>
        <v>0</v>
      </c>
      <c r="ASK25">
        <f t="shared" si="533"/>
        <v>0</v>
      </c>
      <c r="ASL25">
        <f t="shared" si="534"/>
        <v>0</v>
      </c>
      <c r="ASM25">
        <f t="shared" si="535"/>
        <v>0</v>
      </c>
      <c r="ASN25">
        <f t="shared" si="536"/>
        <v>0</v>
      </c>
      <c r="ASO25">
        <f t="shared" si="537"/>
        <v>0</v>
      </c>
      <c r="ASP25">
        <f t="shared" si="538"/>
        <v>0</v>
      </c>
      <c r="ASQ25">
        <f t="shared" si="539"/>
        <v>0</v>
      </c>
      <c r="ASR25">
        <f t="shared" si="540"/>
        <v>0</v>
      </c>
      <c r="ASS25">
        <f t="shared" si="541"/>
        <v>0</v>
      </c>
      <c r="AST25">
        <f t="shared" si="542"/>
        <v>0</v>
      </c>
      <c r="ASU25">
        <f t="shared" si="543"/>
        <v>0</v>
      </c>
      <c r="ASV25">
        <f t="shared" si="544"/>
        <v>0</v>
      </c>
      <c r="ASW25">
        <f t="shared" si="545"/>
        <v>0</v>
      </c>
      <c r="ASX25">
        <f t="shared" si="546"/>
        <v>0</v>
      </c>
      <c r="ASY25">
        <f t="shared" si="547"/>
        <v>0</v>
      </c>
      <c r="ASZ25">
        <f t="shared" si="548"/>
        <v>0</v>
      </c>
      <c r="ATA25">
        <f t="shared" si="549"/>
        <v>0</v>
      </c>
      <c r="ATB25">
        <f t="shared" si="550"/>
        <v>0</v>
      </c>
      <c r="ATC25">
        <f t="shared" si="551"/>
        <v>0</v>
      </c>
      <c r="ATD25">
        <f t="shared" si="552"/>
        <v>0</v>
      </c>
      <c r="ATE25">
        <f t="shared" si="553"/>
        <v>0</v>
      </c>
      <c r="ATF25">
        <f t="shared" si="554"/>
        <v>0</v>
      </c>
      <c r="ATG25">
        <f t="shared" si="555"/>
        <v>0</v>
      </c>
      <c r="ATH25">
        <f t="shared" si="556"/>
        <v>0</v>
      </c>
      <c r="ATI25">
        <f t="shared" si="557"/>
        <v>0</v>
      </c>
      <c r="ATJ25">
        <f t="shared" si="558"/>
        <v>0</v>
      </c>
      <c r="ATK25">
        <f t="shared" si="559"/>
        <v>0</v>
      </c>
      <c r="ATL25">
        <f t="shared" si="560"/>
        <v>0</v>
      </c>
      <c r="ATM25">
        <f t="shared" si="561"/>
        <v>0</v>
      </c>
      <c r="ATN25">
        <f t="shared" si="562"/>
        <v>0</v>
      </c>
      <c r="ATO25">
        <f t="shared" si="563"/>
        <v>0</v>
      </c>
      <c r="ATP25">
        <f t="shared" si="564"/>
        <v>0</v>
      </c>
      <c r="ATQ25">
        <f t="shared" si="565"/>
        <v>0</v>
      </c>
      <c r="ATR25">
        <f t="shared" si="566"/>
        <v>0</v>
      </c>
      <c r="ATS25">
        <f t="shared" si="567"/>
        <v>0</v>
      </c>
      <c r="ATT25">
        <f t="shared" si="568"/>
        <v>0</v>
      </c>
      <c r="ATU25">
        <f t="shared" si="569"/>
        <v>0</v>
      </c>
      <c r="ATV25">
        <f t="shared" si="41"/>
        <v>0</v>
      </c>
      <c r="ATW25">
        <f t="shared" si="570"/>
        <v>0</v>
      </c>
      <c r="ATX25">
        <f t="shared" si="571"/>
        <v>0</v>
      </c>
      <c r="ATY25">
        <f t="shared" si="572"/>
        <v>0</v>
      </c>
      <c r="ATZ25">
        <f t="shared" si="573"/>
        <v>0</v>
      </c>
      <c r="AUA25">
        <f t="shared" si="574"/>
        <v>0</v>
      </c>
      <c r="AUB25">
        <f t="shared" si="575"/>
        <v>0</v>
      </c>
      <c r="AUC25">
        <f t="shared" si="576"/>
        <v>0</v>
      </c>
      <c r="AUD25">
        <f t="shared" si="577"/>
        <v>0</v>
      </c>
      <c r="AUE25">
        <f t="shared" si="578"/>
        <v>0</v>
      </c>
      <c r="AUF25">
        <f t="shared" si="579"/>
        <v>0</v>
      </c>
      <c r="AUG25">
        <f t="shared" si="580"/>
        <v>0</v>
      </c>
      <c r="AUH25">
        <f t="shared" si="581"/>
        <v>0</v>
      </c>
      <c r="AUI25">
        <f t="shared" si="582"/>
        <v>0</v>
      </c>
      <c r="AUJ25">
        <f t="shared" si="583"/>
        <v>0</v>
      </c>
      <c r="AUK25">
        <f t="shared" si="584"/>
        <v>0</v>
      </c>
      <c r="AUL25">
        <f t="shared" si="585"/>
        <v>0</v>
      </c>
      <c r="AUM25">
        <f t="shared" si="586"/>
        <v>0</v>
      </c>
      <c r="AUN25">
        <f t="shared" si="587"/>
        <v>0</v>
      </c>
      <c r="AUO25">
        <f t="shared" si="588"/>
        <v>0</v>
      </c>
      <c r="AUP25">
        <f t="shared" si="589"/>
        <v>0</v>
      </c>
      <c r="AUQ25">
        <f t="shared" si="590"/>
        <v>0</v>
      </c>
      <c r="AUR25">
        <f t="shared" si="591"/>
        <v>0</v>
      </c>
      <c r="AUS25">
        <f t="shared" si="592"/>
        <v>0</v>
      </c>
      <c r="AUT25">
        <f t="shared" si="593"/>
        <v>0</v>
      </c>
      <c r="AUU25">
        <f t="shared" si="594"/>
        <v>0</v>
      </c>
      <c r="AUV25">
        <f t="shared" si="595"/>
        <v>0</v>
      </c>
      <c r="AUW25">
        <f t="shared" si="596"/>
        <v>0</v>
      </c>
      <c r="AUX25">
        <f t="shared" si="597"/>
        <v>0</v>
      </c>
      <c r="AUY25">
        <f t="shared" si="598"/>
        <v>0</v>
      </c>
      <c r="AUZ25">
        <f t="shared" si="599"/>
        <v>0</v>
      </c>
      <c r="AVA25">
        <f t="shared" si="600"/>
        <v>0</v>
      </c>
      <c r="AVB25">
        <f t="shared" si="601"/>
        <v>0</v>
      </c>
      <c r="AVC25">
        <f t="shared" si="602"/>
        <v>0</v>
      </c>
      <c r="AVD25">
        <f t="shared" si="603"/>
        <v>0</v>
      </c>
      <c r="AVE25">
        <f t="shared" si="604"/>
        <v>0</v>
      </c>
      <c r="AVF25">
        <f t="shared" si="605"/>
        <v>0</v>
      </c>
      <c r="AVG25">
        <f t="shared" si="606"/>
        <v>0</v>
      </c>
      <c r="AVH25">
        <f t="shared" si="607"/>
        <v>0</v>
      </c>
      <c r="AVI25">
        <f t="shared" si="608"/>
        <v>0</v>
      </c>
      <c r="AVJ25">
        <f t="shared" si="609"/>
        <v>0</v>
      </c>
      <c r="AVK25">
        <f t="shared" si="610"/>
        <v>0</v>
      </c>
      <c r="AVL25">
        <f t="shared" si="611"/>
        <v>0</v>
      </c>
      <c r="AVM25">
        <f t="shared" si="612"/>
        <v>0</v>
      </c>
      <c r="AVN25">
        <f t="shared" si="613"/>
        <v>0</v>
      </c>
      <c r="AVO25">
        <f t="shared" si="614"/>
        <v>0</v>
      </c>
      <c r="AVP25">
        <f t="shared" si="615"/>
        <v>0</v>
      </c>
      <c r="AVQ25">
        <f t="shared" si="616"/>
        <v>0</v>
      </c>
      <c r="AVR25">
        <f t="shared" si="617"/>
        <v>0</v>
      </c>
      <c r="AVS25">
        <f t="shared" si="618"/>
        <v>0</v>
      </c>
      <c r="AVT25">
        <f t="shared" si="619"/>
        <v>0</v>
      </c>
      <c r="AVU25">
        <f t="shared" si="620"/>
        <v>0</v>
      </c>
      <c r="AVV25">
        <f t="shared" si="621"/>
        <v>0</v>
      </c>
      <c r="AVW25">
        <f t="shared" si="622"/>
        <v>0</v>
      </c>
      <c r="AVX25">
        <f t="shared" si="623"/>
        <v>0</v>
      </c>
      <c r="AVY25">
        <f t="shared" si="624"/>
        <v>0</v>
      </c>
      <c r="AVZ25">
        <f t="shared" si="625"/>
        <v>0</v>
      </c>
      <c r="AWA25">
        <f t="shared" si="626"/>
        <v>0</v>
      </c>
      <c r="AWB25">
        <f t="shared" si="627"/>
        <v>0</v>
      </c>
      <c r="AWC25">
        <f t="shared" si="628"/>
        <v>0</v>
      </c>
      <c r="AWD25">
        <f t="shared" si="629"/>
        <v>0</v>
      </c>
      <c r="AWE25">
        <f t="shared" si="630"/>
        <v>0</v>
      </c>
      <c r="AWF25">
        <f t="shared" si="631"/>
        <v>0</v>
      </c>
      <c r="AWG25">
        <f t="shared" si="632"/>
        <v>0</v>
      </c>
      <c r="AWH25">
        <f t="shared" si="42"/>
        <v>0</v>
      </c>
      <c r="AWI25">
        <f t="shared" si="633"/>
        <v>0</v>
      </c>
      <c r="AWJ25">
        <f t="shared" si="634"/>
        <v>0</v>
      </c>
      <c r="AWK25">
        <f t="shared" si="635"/>
        <v>0</v>
      </c>
      <c r="AWL25">
        <f t="shared" si="636"/>
        <v>0</v>
      </c>
      <c r="AWM25">
        <f t="shared" si="637"/>
        <v>0</v>
      </c>
      <c r="AWN25">
        <f t="shared" si="638"/>
        <v>0</v>
      </c>
      <c r="AWO25">
        <f t="shared" si="639"/>
        <v>0</v>
      </c>
      <c r="AWP25">
        <f t="shared" si="640"/>
        <v>0</v>
      </c>
      <c r="AWQ25">
        <f t="shared" si="641"/>
        <v>0</v>
      </c>
      <c r="AWR25">
        <f t="shared" si="642"/>
        <v>0</v>
      </c>
      <c r="AWS25">
        <f t="shared" si="643"/>
        <v>0</v>
      </c>
      <c r="AWT25">
        <f t="shared" si="644"/>
        <v>0</v>
      </c>
      <c r="AWU25">
        <f t="shared" si="645"/>
        <v>0</v>
      </c>
      <c r="AWV25">
        <f t="shared" si="646"/>
        <v>0</v>
      </c>
      <c r="AWW25">
        <f t="shared" si="647"/>
        <v>0</v>
      </c>
      <c r="AWX25">
        <f t="shared" si="648"/>
        <v>0</v>
      </c>
      <c r="AWY25">
        <f t="shared" si="649"/>
        <v>0</v>
      </c>
      <c r="AWZ25">
        <f t="shared" si="650"/>
        <v>0</v>
      </c>
      <c r="AXA25">
        <f t="shared" si="651"/>
        <v>0</v>
      </c>
      <c r="AXB25">
        <f t="shared" si="652"/>
        <v>0</v>
      </c>
      <c r="AXC25">
        <f t="shared" si="653"/>
        <v>0</v>
      </c>
      <c r="AXD25">
        <f t="shared" si="654"/>
        <v>0</v>
      </c>
      <c r="AXE25">
        <f t="shared" si="655"/>
        <v>0</v>
      </c>
      <c r="AXF25">
        <f t="shared" si="656"/>
        <v>0</v>
      </c>
      <c r="AXG25">
        <f t="shared" si="657"/>
        <v>0</v>
      </c>
      <c r="AXH25">
        <f t="shared" si="658"/>
        <v>0</v>
      </c>
      <c r="AXI25">
        <f t="shared" si="659"/>
        <v>0</v>
      </c>
      <c r="AXJ25">
        <f t="shared" si="660"/>
        <v>0</v>
      </c>
      <c r="AXK25">
        <f t="shared" si="661"/>
        <v>0</v>
      </c>
      <c r="AXL25">
        <f t="shared" si="662"/>
        <v>0</v>
      </c>
      <c r="AXM25">
        <f t="shared" si="663"/>
        <v>0</v>
      </c>
      <c r="AXN25">
        <f t="shared" si="664"/>
        <v>0</v>
      </c>
      <c r="AXO25">
        <f t="shared" si="665"/>
        <v>0</v>
      </c>
      <c r="AXP25">
        <f t="shared" si="666"/>
        <v>0</v>
      </c>
      <c r="AXQ25">
        <f t="shared" si="667"/>
        <v>0</v>
      </c>
      <c r="AXR25">
        <f t="shared" si="668"/>
        <v>0</v>
      </c>
      <c r="AXS25">
        <f t="shared" si="669"/>
        <v>0</v>
      </c>
      <c r="AXT25">
        <f t="shared" si="670"/>
        <v>0</v>
      </c>
      <c r="AXU25">
        <f t="shared" si="671"/>
        <v>0</v>
      </c>
      <c r="AXV25">
        <f t="shared" si="672"/>
        <v>0</v>
      </c>
      <c r="AXW25">
        <f t="shared" si="673"/>
        <v>0</v>
      </c>
      <c r="AXX25">
        <f t="shared" si="674"/>
        <v>0</v>
      </c>
      <c r="AXY25">
        <f t="shared" si="675"/>
        <v>0</v>
      </c>
      <c r="AXZ25">
        <f t="shared" si="676"/>
        <v>0</v>
      </c>
      <c r="AYA25">
        <f t="shared" si="677"/>
        <v>0</v>
      </c>
      <c r="AYB25">
        <f t="shared" si="678"/>
        <v>0</v>
      </c>
      <c r="AYC25">
        <f t="shared" si="679"/>
        <v>0</v>
      </c>
      <c r="AYD25">
        <f t="shared" si="680"/>
        <v>0</v>
      </c>
      <c r="AYE25">
        <f t="shared" si="681"/>
        <v>0</v>
      </c>
      <c r="AYF25">
        <f t="shared" si="682"/>
        <v>0</v>
      </c>
      <c r="AYG25">
        <f t="shared" si="683"/>
        <v>0</v>
      </c>
      <c r="AYH25">
        <f t="shared" si="684"/>
        <v>0</v>
      </c>
      <c r="AYI25">
        <f t="shared" si="685"/>
        <v>0</v>
      </c>
      <c r="AYJ25">
        <f t="shared" si="686"/>
        <v>0</v>
      </c>
      <c r="AYK25">
        <f t="shared" si="687"/>
        <v>0</v>
      </c>
      <c r="AYL25">
        <f t="shared" si="688"/>
        <v>0</v>
      </c>
      <c r="AYM25">
        <f t="shared" si="689"/>
        <v>0</v>
      </c>
      <c r="AYN25">
        <f t="shared" si="690"/>
        <v>0</v>
      </c>
      <c r="AYO25">
        <f t="shared" si="691"/>
        <v>0</v>
      </c>
      <c r="AYP25">
        <f t="shared" si="692"/>
        <v>0</v>
      </c>
      <c r="AYQ25">
        <f t="shared" si="693"/>
        <v>0</v>
      </c>
      <c r="AYR25">
        <f t="shared" si="694"/>
        <v>0</v>
      </c>
      <c r="AYS25">
        <f t="shared" si="695"/>
        <v>0</v>
      </c>
      <c r="AYT25">
        <f t="shared" si="43"/>
        <v>0</v>
      </c>
      <c r="AYU25">
        <f t="shared" si="696"/>
        <v>0</v>
      </c>
      <c r="AYV25">
        <f t="shared" si="697"/>
        <v>0</v>
      </c>
      <c r="AYW25">
        <f t="shared" si="698"/>
        <v>0</v>
      </c>
      <c r="AYX25">
        <f t="shared" si="699"/>
        <v>0</v>
      </c>
      <c r="AYY25">
        <f t="shared" si="700"/>
        <v>0</v>
      </c>
      <c r="AYZ25">
        <f t="shared" si="701"/>
        <v>0</v>
      </c>
      <c r="AZA25">
        <f t="shared" si="702"/>
        <v>0</v>
      </c>
      <c r="AZB25">
        <f t="shared" si="703"/>
        <v>0</v>
      </c>
      <c r="AZC25">
        <f t="shared" si="704"/>
        <v>0</v>
      </c>
      <c r="AZD25">
        <f t="shared" si="705"/>
        <v>0</v>
      </c>
      <c r="AZE25">
        <f t="shared" si="706"/>
        <v>0</v>
      </c>
      <c r="AZF25">
        <f t="shared" si="707"/>
        <v>0</v>
      </c>
      <c r="AZG25">
        <f t="shared" si="708"/>
        <v>0</v>
      </c>
      <c r="AZH25">
        <f t="shared" si="709"/>
        <v>0</v>
      </c>
      <c r="AZI25">
        <f t="shared" si="710"/>
        <v>0</v>
      </c>
      <c r="AZJ25">
        <f t="shared" si="711"/>
        <v>0</v>
      </c>
      <c r="AZK25">
        <f t="shared" si="712"/>
        <v>0</v>
      </c>
      <c r="AZL25">
        <f t="shared" si="713"/>
        <v>0</v>
      </c>
      <c r="AZM25">
        <f t="shared" si="714"/>
        <v>0</v>
      </c>
      <c r="AZN25">
        <f t="shared" si="715"/>
        <v>0</v>
      </c>
      <c r="AZO25">
        <f t="shared" si="716"/>
        <v>0</v>
      </c>
      <c r="AZP25">
        <f t="shared" si="717"/>
        <v>0</v>
      </c>
      <c r="AZQ25">
        <f t="shared" si="718"/>
        <v>0</v>
      </c>
      <c r="AZR25">
        <f t="shared" si="719"/>
        <v>0</v>
      </c>
      <c r="AZS25">
        <f t="shared" si="720"/>
        <v>0</v>
      </c>
      <c r="AZT25">
        <f t="shared" si="721"/>
        <v>0</v>
      </c>
      <c r="AZU25">
        <f t="shared" si="722"/>
        <v>0</v>
      </c>
      <c r="AZV25">
        <f t="shared" si="723"/>
        <v>0</v>
      </c>
      <c r="AZW25">
        <f t="shared" si="724"/>
        <v>0</v>
      </c>
      <c r="AZX25">
        <f t="shared" si="725"/>
        <v>0</v>
      </c>
      <c r="AZY25">
        <f t="shared" si="726"/>
        <v>0</v>
      </c>
      <c r="AZZ25">
        <f t="shared" si="727"/>
        <v>0</v>
      </c>
      <c r="BAA25">
        <f t="shared" si="728"/>
        <v>0</v>
      </c>
      <c r="BAB25">
        <f t="shared" si="729"/>
        <v>0</v>
      </c>
      <c r="BAC25">
        <f t="shared" si="730"/>
        <v>0</v>
      </c>
      <c r="BAD25">
        <f t="shared" si="731"/>
        <v>0</v>
      </c>
      <c r="BAE25">
        <f t="shared" si="732"/>
        <v>0</v>
      </c>
      <c r="BAF25">
        <f t="shared" si="733"/>
        <v>0</v>
      </c>
      <c r="BAG25">
        <f t="shared" si="734"/>
        <v>0</v>
      </c>
      <c r="BAH25">
        <f t="shared" si="735"/>
        <v>0</v>
      </c>
      <c r="BAI25">
        <f t="shared" si="736"/>
        <v>0</v>
      </c>
      <c r="BAJ25">
        <f t="shared" si="737"/>
        <v>0</v>
      </c>
      <c r="BAK25">
        <f t="shared" si="738"/>
        <v>0</v>
      </c>
      <c r="BAL25">
        <f t="shared" si="739"/>
        <v>0</v>
      </c>
      <c r="BAM25">
        <f t="shared" si="740"/>
        <v>0</v>
      </c>
      <c r="BAN25">
        <f t="shared" si="741"/>
        <v>0</v>
      </c>
      <c r="BAO25">
        <f t="shared" si="742"/>
        <v>0</v>
      </c>
      <c r="BAP25">
        <f t="shared" si="743"/>
        <v>0</v>
      </c>
      <c r="BAQ25">
        <f t="shared" si="744"/>
        <v>0</v>
      </c>
      <c r="BAR25">
        <f t="shared" si="745"/>
        <v>0</v>
      </c>
      <c r="BAS25">
        <f t="shared" si="746"/>
        <v>0</v>
      </c>
      <c r="BAT25">
        <f t="shared" si="747"/>
        <v>0</v>
      </c>
      <c r="BAU25">
        <f t="shared" si="748"/>
        <v>0</v>
      </c>
      <c r="BAV25">
        <f t="shared" si="749"/>
        <v>0</v>
      </c>
      <c r="BAW25">
        <f t="shared" si="750"/>
        <v>0</v>
      </c>
      <c r="BAX25">
        <f t="shared" si="751"/>
        <v>0</v>
      </c>
      <c r="BAY25">
        <f t="shared" si="752"/>
        <v>0</v>
      </c>
      <c r="BAZ25">
        <f t="shared" si="753"/>
        <v>0</v>
      </c>
      <c r="BBA25">
        <f t="shared" si="754"/>
        <v>0</v>
      </c>
      <c r="BBB25">
        <f t="shared" si="755"/>
        <v>0</v>
      </c>
      <c r="BBC25">
        <f t="shared" si="756"/>
        <v>0</v>
      </c>
      <c r="BBD25">
        <f t="shared" si="757"/>
        <v>0</v>
      </c>
      <c r="BBE25">
        <f t="shared" si="758"/>
        <v>0</v>
      </c>
      <c r="BBF25">
        <f t="shared" si="44"/>
        <v>0</v>
      </c>
      <c r="BBG25">
        <f t="shared" si="759"/>
        <v>0</v>
      </c>
      <c r="BBH25">
        <f t="shared" si="760"/>
        <v>0</v>
      </c>
      <c r="BBI25">
        <f t="shared" si="761"/>
        <v>0</v>
      </c>
      <c r="BBJ25">
        <f t="shared" si="762"/>
        <v>0</v>
      </c>
      <c r="BBK25">
        <f t="shared" si="763"/>
        <v>0</v>
      </c>
      <c r="BBL25">
        <f t="shared" si="764"/>
        <v>0</v>
      </c>
      <c r="BBM25">
        <f t="shared" si="765"/>
        <v>0</v>
      </c>
      <c r="BBN25">
        <f t="shared" si="766"/>
        <v>0</v>
      </c>
      <c r="BBO25">
        <f t="shared" si="767"/>
        <v>0</v>
      </c>
      <c r="BBP25">
        <f t="shared" si="768"/>
        <v>0</v>
      </c>
      <c r="BBQ25">
        <f t="shared" si="769"/>
        <v>0</v>
      </c>
      <c r="BBR25">
        <f t="shared" si="770"/>
        <v>0</v>
      </c>
      <c r="BBS25">
        <f t="shared" si="771"/>
        <v>0</v>
      </c>
      <c r="BBT25">
        <f t="shared" si="772"/>
        <v>0</v>
      </c>
      <c r="BBU25">
        <f t="shared" si="773"/>
        <v>0</v>
      </c>
      <c r="BBV25">
        <f t="shared" si="774"/>
        <v>0</v>
      </c>
      <c r="BBW25">
        <f t="shared" si="775"/>
        <v>0</v>
      </c>
      <c r="BBX25">
        <f t="shared" si="776"/>
        <v>0</v>
      </c>
      <c r="BBY25">
        <f t="shared" si="777"/>
        <v>0</v>
      </c>
      <c r="BBZ25">
        <f t="shared" si="778"/>
        <v>0</v>
      </c>
      <c r="BCA25">
        <f t="shared" si="779"/>
        <v>0</v>
      </c>
      <c r="BCB25">
        <f t="shared" si="780"/>
        <v>0</v>
      </c>
      <c r="BCC25">
        <f t="shared" si="781"/>
        <v>0</v>
      </c>
      <c r="BCD25">
        <f t="shared" si="782"/>
        <v>0</v>
      </c>
      <c r="BCE25">
        <f t="shared" si="783"/>
        <v>0</v>
      </c>
      <c r="BCF25">
        <f t="shared" si="784"/>
        <v>0</v>
      </c>
      <c r="BCG25">
        <f t="shared" si="785"/>
        <v>0</v>
      </c>
      <c r="BCH25">
        <f t="shared" si="786"/>
        <v>0</v>
      </c>
      <c r="BCI25">
        <f t="shared" si="787"/>
        <v>0</v>
      </c>
      <c r="BCJ25">
        <f t="shared" si="788"/>
        <v>0</v>
      </c>
      <c r="BCK25">
        <f t="shared" si="789"/>
        <v>0</v>
      </c>
      <c r="BCL25">
        <f t="shared" si="790"/>
        <v>0</v>
      </c>
      <c r="BCM25">
        <f t="shared" si="791"/>
        <v>0</v>
      </c>
      <c r="BCN25">
        <f t="shared" si="792"/>
        <v>0</v>
      </c>
      <c r="BCO25">
        <f t="shared" si="793"/>
        <v>0</v>
      </c>
      <c r="BCP25">
        <f t="shared" si="794"/>
        <v>0</v>
      </c>
      <c r="BCQ25">
        <f t="shared" si="795"/>
        <v>0</v>
      </c>
      <c r="BCR25">
        <f t="shared" si="796"/>
        <v>0</v>
      </c>
      <c r="BCS25">
        <f t="shared" si="797"/>
        <v>0</v>
      </c>
      <c r="BCT25">
        <f t="shared" si="798"/>
        <v>0</v>
      </c>
      <c r="BCU25">
        <f t="shared" si="799"/>
        <v>0</v>
      </c>
      <c r="BCV25">
        <f t="shared" si="800"/>
        <v>0</v>
      </c>
      <c r="BCW25">
        <f t="shared" si="801"/>
        <v>0</v>
      </c>
      <c r="BCX25">
        <f t="shared" si="802"/>
        <v>0</v>
      </c>
      <c r="BCY25">
        <f t="shared" si="803"/>
        <v>0</v>
      </c>
      <c r="BCZ25">
        <f t="shared" si="804"/>
        <v>0</v>
      </c>
      <c r="BDA25">
        <f t="shared" si="805"/>
        <v>0</v>
      </c>
      <c r="BDB25">
        <f t="shared" si="806"/>
        <v>0</v>
      </c>
      <c r="BDC25">
        <f t="shared" si="807"/>
        <v>0</v>
      </c>
      <c r="BDD25">
        <f t="shared" si="808"/>
        <v>0</v>
      </c>
      <c r="BDE25">
        <f t="shared" si="809"/>
        <v>0</v>
      </c>
      <c r="BDF25">
        <f t="shared" si="810"/>
        <v>0</v>
      </c>
      <c r="BDG25">
        <f t="shared" si="811"/>
        <v>0</v>
      </c>
      <c r="BDH25">
        <f t="shared" si="812"/>
        <v>0</v>
      </c>
      <c r="BDI25">
        <f t="shared" si="813"/>
        <v>0</v>
      </c>
      <c r="BDJ25">
        <f t="shared" si="814"/>
        <v>0</v>
      </c>
      <c r="BDK25">
        <f t="shared" si="815"/>
        <v>0</v>
      </c>
      <c r="BDL25">
        <f t="shared" si="816"/>
        <v>0</v>
      </c>
      <c r="BDM25">
        <f t="shared" si="817"/>
        <v>0</v>
      </c>
      <c r="BDN25">
        <f t="shared" si="818"/>
        <v>0</v>
      </c>
      <c r="BDO25">
        <f t="shared" si="819"/>
        <v>0</v>
      </c>
      <c r="BDP25">
        <f t="shared" si="820"/>
        <v>0</v>
      </c>
      <c r="BDQ25">
        <f t="shared" si="821"/>
        <v>0</v>
      </c>
      <c r="BDR25">
        <f t="shared" si="45"/>
        <v>0</v>
      </c>
      <c r="BDS25">
        <f t="shared" si="822"/>
        <v>0</v>
      </c>
      <c r="BDT25">
        <f t="shared" si="823"/>
        <v>0</v>
      </c>
      <c r="BDU25">
        <f t="shared" si="824"/>
        <v>0</v>
      </c>
      <c r="BDV25">
        <f t="shared" si="825"/>
        <v>0</v>
      </c>
      <c r="BDW25">
        <f t="shared" si="826"/>
        <v>0</v>
      </c>
      <c r="BDX25">
        <f t="shared" si="827"/>
        <v>0</v>
      </c>
      <c r="BDY25">
        <f t="shared" si="828"/>
        <v>0</v>
      </c>
      <c r="BDZ25">
        <f t="shared" si="829"/>
        <v>0</v>
      </c>
      <c r="BEA25">
        <f t="shared" si="830"/>
        <v>0</v>
      </c>
      <c r="BEB25">
        <f t="shared" si="831"/>
        <v>0</v>
      </c>
      <c r="BEC25">
        <f t="shared" si="832"/>
        <v>0</v>
      </c>
      <c r="BED25">
        <f t="shared" si="833"/>
        <v>0</v>
      </c>
      <c r="BEE25">
        <f t="shared" si="834"/>
        <v>0</v>
      </c>
      <c r="BEF25">
        <f t="shared" si="835"/>
        <v>0</v>
      </c>
      <c r="BEG25">
        <f t="shared" si="836"/>
        <v>0</v>
      </c>
      <c r="BEH25">
        <f t="shared" si="837"/>
        <v>0</v>
      </c>
      <c r="BEI25">
        <f t="shared" si="838"/>
        <v>0</v>
      </c>
      <c r="BEJ25">
        <f t="shared" si="839"/>
        <v>0</v>
      </c>
      <c r="BEK25">
        <f t="shared" si="840"/>
        <v>0</v>
      </c>
      <c r="BEL25">
        <f t="shared" si="841"/>
        <v>0</v>
      </c>
      <c r="BEM25">
        <f t="shared" si="842"/>
        <v>0</v>
      </c>
      <c r="BEN25">
        <f t="shared" si="843"/>
        <v>0</v>
      </c>
      <c r="BEO25">
        <f t="shared" si="844"/>
        <v>0</v>
      </c>
      <c r="BEP25">
        <f t="shared" si="845"/>
        <v>0</v>
      </c>
      <c r="BEQ25">
        <f t="shared" si="846"/>
        <v>0</v>
      </c>
      <c r="BER25">
        <f t="shared" si="847"/>
        <v>0</v>
      </c>
      <c r="BES25">
        <f t="shared" si="848"/>
        <v>0</v>
      </c>
      <c r="BET25">
        <f t="shared" si="849"/>
        <v>0</v>
      </c>
      <c r="BEU25">
        <f t="shared" si="850"/>
        <v>0</v>
      </c>
      <c r="BEV25">
        <f t="shared" si="851"/>
        <v>0</v>
      </c>
      <c r="BEW25">
        <f t="shared" si="852"/>
        <v>0</v>
      </c>
      <c r="BEX25">
        <f t="shared" si="853"/>
        <v>0</v>
      </c>
      <c r="BEY25">
        <f t="shared" si="854"/>
        <v>0</v>
      </c>
      <c r="BEZ25">
        <f t="shared" si="855"/>
        <v>0</v>
      </c>
      <c r="BFA25">
        <f t="shared" si="856"/>
        <v>0</v>
      </c>
      <c r="BFB25">
        <f t="shared" si="857"/>
        <v>0</v>
      </c>
      <c r="BFC25">
        <f t="shared" si="858"/>
        <v>0</v>
      </c>
      <c r="BFD25">
        <f t="shared" si="859"/>
        <v>0</v>
      </c>
      <c r="BFE25">
        <f t="shared" si="860"/>
        <v>0</v>
      </c>
      <c r="BFF25">
        <f t="shared" si="861"/>
        <v>0</v>
      </c>
      <c r="BFG25">
        <f t="shared" si="862"/>
        <v>0</v>
      </c>
      <c r="BFH25">
        <f t="shared" si="863"/>
        <v>0</v>
      </c>
      <c r="BFI25">
        <f t="shared" si="864"/>
        <v>0</v>
      </c>
      <c r="BFJ25">
        <f t="shared" si="865"/>
        <v>0</v>
      </c>
      <c r="BFK25">
        <f t="shared" si="866"/>
        <v>0</v>
      </c>
      <c r="BFL25">
        <f t="shared" si="867"/>
        <v>0</v>
      </c>
      <c r="BFM25">
        <f t="shared" si="868"/>
        <v>0</v>
      </c>
      <c r="BFN25">
        <f t="shared" si="869"/>
        <v>0</v>
      </c>
      <c r="BFO25">
        <f t="shared" si="870"/>
        <v>0</v>
      </c>
      <c r="BFP25">
        <f t="shared" si="871"/>
        <v>0</v>
      </c>
      <c r="BFQ25">
        <f t="shared" si="872"/>
        <v>0</v>
      </c>
      <c r="BFR25">
        <f t="shared" si="873"/>
        <v>0</v>
      </c>
      <c r="BFS25">
        <f t="shared" si="874"/>
        <v>0</v>
      </c>
      <c r="BFT25">
        <f t="shared" si="875"/>
        <v>0</v>
      </c>
      <c r="BFU25">
        <f t="shared" si="876"/>
        <v>0</v>
      </c>
      <c r="BFV25">
        <f t="shared" si="877"/>
        <v>0</v>
      </c>
      <c r="BFW25">
        <f t="shared" si="878"/>
        <v>0</v>
      </c>
      <c r="BFX25">
        <f t="shared" si="879"/>
        <v>0</v>
      </c>
      <c r="BFY25">
        <f t="shared" si="880"/>
        <v>0</v>
      </c>
      <c r="BFZ25">
        <f t="shared" si="881"/>
        <v>0</v>
      </c>
      <c r="BGA25">
        <f t="shared" si="882"/>
        <v>0</v>
      </c>
      <c r="BGB25">
        <f t="shared" si="883"/>
        <v>0</v>
      </c>
      <c r="BGC25">
        <f t="shared" si="884"/>
        <v>0</v>
      </c>
      <c r="BGD25">
        <f t="shared" si="46"/>
        <v>0</v>
      </c>
      <c r="BGE25">
        <f t="shared" si="885"/>
        <v>0</v>
      </c>
      <c r="BGF25">
        <f t="shared" si="886"/>
        <v>0</v>
      </c>
      <c r="BGG25">
        <f t="shared" si="887"/>
        <v>0</v>
      </c>
      <c r="BGH25">
        <f t="shared" si="888"/>
        <v>0</v>
      </c>
      <c r="BGI25">
        <f t="shared" si="889"/>
        <v>0</v>
      </c>
      <c r="BGJ25">
        <f t="shared" si="890"/>
        <v>0</v>
      </c>
      <c r="BGK25">
        <f t="shared" si="891"/>
        <v>0</v>
      </c>
      <c r="BGL25">
        <f t="shared" si="892"/>
        <v>0</v>
      </c>
      <c r="BGM25">
        <f t="shared" si="893"/>
        <v>0</v>
      </c>
      <c r="BGN25">
        <f t="shared" si="894"/>
        <v>0</v>
      </c>
      <c r="BGO25">
        <f t="shared" si="895"/>
        <v>0</v>
      </c>
      <c r="BGP25">
        <f t="shared" si="896"/>
        <v>0</v>
      </c>
      <c r="BGQ25">
        <f t="shared" si="897"/>
        <v>0</v>
      </c>
      <c r="BGR25">
        <f t="shared" si="898"/>
        <v>0</v>
      </c>
      <c r="BGS25">
        <f t="shared" si="899"/>
        <v>0</v>
      </c>
      <c r="BGT25">
        <f t="shared" si="900"/>
        <v>0</v>
      </c>
      <c r="BGU25">
        <f t="shared" si="901"/>
        <v>0</v>
      </c>
      <c r="BGV25">
        <f t="shared" si="902"/>
        <v>0</v>
      </c>
      <c r="BGW25">
        <f t="shared" si="903"/>
        <v>0</v>
      </c>
      <c r="BGX25">
        <f t="shared" si="904"/>
        <v>0</v>
      </c>
      <c r="BGY25">
        <f t="shared" si="905"/>
        <v>0</v>
      </c>
      <c r="BGZ25">
        <f t="shared" si="906"/>
        <v>0</v>
      </c>
      <c r="BHA25">
        <f t="shared" si="907"/>
        <v>0</v>
      </c>
      <c r="BHB25">
        <f t="shared" si="908"/>
        <v>0</v>
      </c>
      <c r="BHC25">
        <f t="shared" si="909"/>
        <v>0</v>
      </c>
      <c r="BHD25">
        <f t="shared" si="910"/>
        <v>0</v>
      </c>
      <c r="BHE25">
        <f t="shared" si="911"/>
        <v>0</v>
      </c>
      <c r="BHF25">
        <f t="shared" si="912"/>
        <v>0</v>
      </c>
      <c r="BHG25">
        <f t="shared" si="913"/>
        <v>0</v>
      </c>
      <c r="BHH25">
        <f t="shared" si="914"/>
        <v>0</v>
      </c>
      <c r="BHI25">
        <f t="shared" si="915"/>
        <v>0</v>
      </c>
      <c r="BHJ25">
        <f t="shared" si="916"/>
        <v>0</v>
      </c>
      <c r="BHK25">
        <f t="shared" si="917"/>
        <v>0</v>
      </c>
      <c r="BHL25">
        <f t="shared" si="918"/>
        <v>0</v>
      </c>
      <c r="BHM25">
        <f t="shared" si="919"/>
        <v>0</v>
      </c>
      <c r="BHN25">
        <f t="shared" si="920"/>
        <v>0</v>
      </c>
      <c r="BHO25">
        <f t="shared" si="921"/>
        <v>0</v>
      </c>
      <c r="BHP25">
        <f t="shared" si="922"/>
        <v>0</v>
      </c>
      <c r="BHQ25">
        <f t="shared" si="923"/>
        <v>0</v>
      </c>
      <c r="BHR25">
        <f t="shared" si="924"/>
        <v>0</v>
      </c>
      <c r="BHS25">
        <f t="shared" si="925"/>
        <v>0</v>
      </c>
      <c r="BHT25">
        <f t="shared" si="926"/>
        <v>0</v>
      </c>
      <c r="BHU25">
        <f t="shared" si="927"/>
        <v>0</v>
      </c>
      <c r="BHV25">
        <f t="shared" si="928"/>
        <v>0</v>
      </c>
      <c r="BHW25">
        <f t="shared" si="929"/>
        <v>0</v>
      </c>
      <c r="BHX25">
        <f t="shared" si="930"/>
        <v>0</v>
      </c>
      <c r="BHY25">
        <f t="shared" si="931"/>
        <v>0</v>
      </c>
      <c r="BHZ25">
        <f t="shared" si="932"/>
        <v>0</v>
      </c>
      <c r="BIA25">
        <f t="shared" si="933"/>
        <v>0</v>
      </c>
      <c r="BIB25">
        <f t="shared" si="934"/>
        <v>0</v>
      </c>
      <c r="BIC25">
        <f t="shared" si="935"/>
        <v>0</v>
      </c>
      <c r="BID25">
        <f t="shared" si="936"/>
        <v>0</v>
      </c>
      <c r="BIE25">
        <f t="shared" si="937"/>
        <v>0</v>
      </c>
      <c r="BIF25">
        <f t="shared" si="938"/>
        <v>0</v>
      </c>
      <c r="BIG25">
        <f t="shared" si="939"/>
        <v>0</v>
      </c>
      <c r="BIH25">
        <f t="shared" si="940"/>
        <v>0</v>
      </c>
      <c r="BII25">
        <f t="shared" si="941"/>
        <v>0</v>
      </c>
      <c r="BIJ25">
        <f t="shared" si="942"/>
        <v>0</v>
      </c>
      <c r="BIK25">
        <f t="shared" si="943"/>
        <v>0</v>
      </c>
      <c r="BIL25">
        <f t="shared" si="944"/>
        <v>0</v>
      </c>
      <c r="BIM25">
        <f t="shared" si="945"/>
        <v>0</v>
      </c>
      <c r="BIN25">
        <f t="shared" si="946"/>
        <v>0</v>
      </c>
      <c r="BIO25">
        <f t="shared" si="947"/>
        <v>0</v>
      </c>
      <c r="BIP25">
        <f t="shared" si="47"/>
        <v>0</v>
      </c>
      <c r="BIQ25">
        <f t="shared" si="948"/>
        <v>0</v>
      </c>
      <c r="BIR25">
        <f t="shared" si="949"/>
        <v>0</v>
      </c>
      <c r="BIS25">
        <f t="shared" si="950"/>
        <v>0</v>
      </c>
      <c r="BIT25">
        <f t="shared" si="951"/>
        <v>0</v>
      </c>
      <c r="BIU25">
        <f t="shared" si="952"/>
        <v>0</v>
      </c>
      <c r="BIV25">
        <f t="shared" si="953"/>
        <v>0</v>
      </c>
      <c r="BIW25">
        <f t="shared" si="954"/>
        <v>0</v>
      </c>
      <c r="BIX25">
        <f t="shared" si="955"/>
        <v>0</v>
      </c>
      <c r="BIY25">
        <f t="shared" si="956"/>
        <v>0</v>
      </c>
      <c r="BIZ25">
        <f t="shared" si="957"/>
        <v>0</v>
      </c>
      <c r="BJA25">
        <f t="shared" si="958"/>
        <v>0</v>
      </c>
      <c r="BJB25">
        <f t="shared" si="959"/>
        <v>0</v>
      </c>
      <c r="BJC25">
        <f t="shared" si="960"/>
        <v>0</v>
      </c>
      <c r="BJD25">
        <f t="shared" si="961"/>
        <v>0</v>
      </c>
      <c r="BJE25">
        <f t="shared" si="962"/>
        <v>0</v>
      </c>
      <c r="BJF25">
        <f t="shared" si="963"/>
        <v>0</v>
      </c>
      <c r="BJG25">
        <f t="shared" si="964"/>
        <v>0</v>
      </c>
      <c r="BJH25">
        <f t="shared" si="965"/>
        <v>0</v>
      </c>
      <c r="BJI25">
        <f t="shared" si="966"/>
        <v>0</v>
      </c>
      <c r="BJJ25">
        <f t="shared" si="967"/>
        <v>0</v>
      </c>
      <c r="BJK25">
        <f t="shared" si="968"/>
        <v>0</v>
      </c>
      <c r="BJL25">
        <f t="shared" si="969"/>
        <v>0</v>
      </c>
      <c r="BJM25">
        <f t="shared" si="970"/>
        <v>0</v>
      </c>
      <c r="BJN25">
        <f t="shared" si="971"/>
        <v>0</v>
      </c>
      <c r="BJO25">
        <f t="shared" si="972"/>
        <v>0</v>
      </c>
      <c r="BJP25">
        <f t="shared" si="973"/>
        <v>0</v>
      </c>
      <c r="BJQ25">
        <f t="shared" si="974"/>
        <v>0</v>
      </c>
      <c r="BJR25">
        <f t="shared" si="975"/>
        <v>0</v>
      </c>
      <c r="BJS25">
        <f t="shared" si="976"/>
        <v>0</v>
      </c>
      <c r="BJT25">
        <f t="shared" si="977"/>
        <v>0</v>
      </c>
      <c r="BJU25">
        <f t="shared" si="978"/>
        <v>0</v>
      </c>
      <c r="BJV25">
        <f t="shared" si="979"/>
        <v>0</v>
      </c>
      <c r="BJW25">
        <f t="shared" si="980"/>
        <v>0</v>
      </c>
      <c r="BJX25">
        <f t="shared" si="981"/>
        <v>0</v>
      </c>
      <c r="BJY25">
        <f t="shared" si="982"/>
        <v>0</v>
      </c>
      <c r="BJZ25">
        <f t="shared" si="983"/>
        <v>0</v>
      </c>
      <c r="BKA25">
        <f t="shared" si="984"/>
        <v>0</v>
      </c>
      <c r="BKB25">
        <f t="shared" si="985"/>
        <v>0</v>
      </c>
      <c r="BKC25">
        <f t="shared" si="986"/>
        <v>0</v>
      </c>
      <c r="BKD25">
        <f t="shared" si="987"/>
        <v>0</v>
      </c>
      <c r="BKE25">
        <f t="shared" si="988"/>
        <v>0</v>
      </c>
      <c r="BKF25">
        <f t="shared" si="989"/>
        <v>0</v>
      </c>
      <c r="BKG25">
        <f t="shared" si="990"/>
        <v>0</v>
      </c>
      <c r="BKH25">
        <f t="shared" si="991"/>
        <v>0</v>
      </c>
      <c r="BKI25">
        <f t="shared" si="992"/>
        <v>0</v>
      </c>
      <c r="BKJ25">
        <f t="shared" si="993"/>
        <v>0</v>
      </c>
      <c r="BKK25">
        <f t="shared" si="994"/>
        <v>0</v>
      </c>
      <c r="BKL25">
        <f t="shared" si="995"/>
        <v>0</v>
      </c>
      <c r="BKM25">
        <f t="shared" si="996"/>
        <v>0</v>
      </c>
      <c r="BKN25">
        <f t="shared" si="997"/>
        <v>0</v>
      </c>
      <c r="BKO25">
        <f t="shared" si="998"/>
        <v>0</v>
      </c>
      <c r="BKP25">
        <f t="shared" si="999"/>
        <v>0</v>
      </c>
      <c r="BKQ25">
        <f t="shared" si="1000"/>
        <v>0</v>
      </c>
      <c r="BKR25">
        <f t="shared" si="1001"/>
        <v>0</v>
      </c>
      <c r="BKS25">
        <f t="shared" si="1002"/>
        <v>0</v>
      </c>
      <c r="BKT25">
        <f t="shared" si="1003"/>
        <v>0</v>
      </c>
      <c r="BKU25">
        <f t="shared" si="1004"/>
        <v>0</v>
      </c>
      <c r="BKV25">
        <f t="shared" si="1005"/>
        <v>0</v>
      </c>
      <c r="BKW25">
        <f t="shared" si="1006"/>
        <v>0</v>
      </c>
      <c r="BKX25">
        <f t="shared" si="1007"/>
        <v>0</v>
      </c>
      <c r="BKY25">
        <f t="shared" si="1008"/>
        <v>0</v>
      </c>
      <c r="BKZ25">
        <f t="shared" si="1009"/>
        <v>0</v>
      </c>
      <c r="BLA25">
        <f t="shared" si="1010"/>
        <v>0</v>
      </c>
      <c r="BLB25">
        <f t="shared" si="48"/>
        <v>0</v>
      </c>
      <c r="BLC25">
        <f t="shared" si="1011"/>
        <v>0</v>
      </c>
      <c r="BLD25">
        <f t="shared" si="1012"/>
        <v>0</v>
      </c>
      <c r="BLE25">
        <f t="shared" si="1013"/>
        <v>0</v>
      </c>
      <c r="BLF25">
        <f t="shared" si="1014"/>
        <v>0</v>
      </c>
      <c r="BLG25">
        <f t="shared" si="1015"/>
        <v>0</v>
      </c>
      <c r="BLH25">
        <f t="shared" si="1016"/>
        <v>0</v>
      </c>
      <c r="BLI25">
        <f t="shared" si="1017"/>
        <v>0</v>
      </c>
      <c r="BLJ25">
        <f t="shared" si="1018"/>
        <v>0</v>
      </c>
      <c r="BLK25">
        <f t="shared" si="1019"/>
        <v>0</v>
      </c>
      <c r="BLL25">
        <f t="shared" si="1020"/>
        <v>0</v>
      </c>
      <c r="BLM25">
        <f t="shared" si="1021"/>
        <v>0</v>
      </c>
      <c r="BLN25">
        <f t="shared" si="1022"/>
        <v>0</v>
      </c>
      <c r="BLO25">
        <f t="shared" si="1023"/>
        <v>0</v>
      </c>
      <c r="BLP25">
        <f t="shared" si="1024"/>
        <v>0</v>
      </c>
      <c r="BLQ25">
        <f t="shared" si="1025"/>
        <v>0</v>
      </c>
      <c r="BLR25">
        <f t="shared" si="1026"/>
        <v>0</v>
      </c>
      <c r="BLS25">
        <f t="shared" si="1027"/>
        <v>0</v>
      </c>
      <c r="BLT25">
        <f t="shared" si="1028"/>
        <v>0</v>
      </c>
      <c r="BLU25">
        <f t="shared" si="1029"/>
        <v>0</v>
      </c>
      <c r="BLV25">
        <f t="shared" si="1030"/>
        <v>0</v>
      </c>
      <c r="BLW25">
        <f t="shared" si="1031"/>
        <v>0</v>
      </c>
      <c r="BLX25">
        <f t="shared" si="1032"/>
        <v>0</v>
      </c>
      <c r="BLY25">
        <f t="shared" si="1033"/>
        <v>0</v>
      </c>
      <c r="BLZ25">
        <f t="shared" si="1034"/>
        <v>0</v>
      </c>
      <c r="BMA25">
        <f t="shared" si="1035"/>
        <v>0</v>
      </c>
      <c r="BMB25">
        <f t="shared" si="1036"/>
        <v>0</v>
      </c>
      <c r="BMC25">
        <f t="shared" si="1037"/>
        <v>0</v>
      </c>
      <c r="BMD25">
        <f t="shared" si="1038"/>
        <v>0</v>
      </c>
      <c r="BME25">
        <f t="shared" si="1039"/>
        <v>0</v>
      </c>
      <c r="BMF25">
        <f t="shared" si="1040"/>
        <v>0</v>
      </c>
      <c r="BMG25">
        <f t="shared" si="1041"/>
        <v>0</v>
      </c>
      <c r="BMH25">
        <f t="shared" si="1042"/>
        <v>0</v>
      </c>
      <c r="BMI25">
        <f t="shared" si="1043"/>
        <v>0</v>
      </c>
      <c r="BMJ25">
        <f t="shared" si="1044"/>
        <v>0</v>
      </c>
      <c r="BMK25">
        <f t="shared" si="1045"/>
        <v>0</v>
      </c>
      <c r="BML25">
        <f t="shared" si="1046"/>
        <v>0</v>
      </c>
      <c r="BMM25">
        <f t="shared" si="1047"/>
        <v>0</v>
      </c>
      <c r="BMN25">
        <f t="shared" si="1048"/>
        <v>0</v>
      </c>
      <c r="BMO25">
        <f t="shared" si="1049"/>
        <v>0</v>
      </c>
      <c r="BMP25">
        <f t="shared" si="1050"/>
        <v>0</v>
      </c>
      <c r="BMQ25">
        <f t="shared" si="1051"/>
        <v>0</v>
      </c>
      <c r="BMR25">
        <f t="shared" si="1052"/>
        <v>0</v>
      </c>
      <c r="BMS25">
        <f t="shared" si="1053"/>
        <v>0</v>
      </c>
      <c r="BMT25">
        <f t="shared" si="1054"/>
        <v>0</v>
      </c>
      <c r="BMU25">
        <f t="shared" si="1055"/>
        <v>0</v>
      </c>
      <c r="BMV25">
        <f t="shared" si="1056"/>
        <v>0</v>
      </c>
      <c r="BMW25">
        <f t="shared" si="1057"/>
        <v>0</v>
      </c>
      <c r="BMX25">
        <f t="shared" si="1058"/>
        <v>0</v>
      </c>
      <c r="BMY25">
        <f t="shared" si="1059"/>
        <v>0</v>
      </c>
      <c r="BMZ25">
        <f t="shared" si="1060"/>
        <v>0</v>
      </c>
      <c r="BNA25">
        <f t="shared" si="1061"/>
        <v>0</v>
      </c>
      <c r="BNB25">
        <f t="shared" si="1062"/>
        <v>0</v>
      </c>
      <c r="BNC25">
        <f t="shared" si="1063"/>
        <v>0</v>
      </c>
      <c r="BND25">
        <f t="shared" si="1064"/>
        <v>0</v>
      </c>
      <c r="BNE25">
        <f t="shared" si="1065"/>
        <v>0</v>
      </c>
      <c r="BNF25">
        <f t="shared" si="1066"/>
        <v>0</v>
      </c>
      <c r="BNG25">
        <f t="shared" si="1067"/>
        <v>0</v>
      </c>
      <c r="BNH25">
        <f t="shared" si="1068"/>
        <v>0</v>
      </c>
      <c r="BNI25">
        <f t="shared" si="1069"/>
        <v>0</v>
      </c>
      <c r="BNJ25">
        <f t="shared" si="1070"/>
        <v>0</v>
      </c>
      <c r="BNK25">
        <f t="shared" si="1071"/>
        <v>0</v>
      </c>
      <c r="BNL25">
        <f t="shared" si="1072"/>
        <v>0</v>
      </c>
      <c r="BNM25">
        <f t="shared" si="1073"/>
        <v>0</v>
      </c>
      <c r="BNN25">
        <f t="shared" si="49"/>
        <v>0</v>
      </c>
      <c r="BNO25">
        <f t="shared" si="1074"/>
        <v>0</v>
      </c>
      <c r="BNP25">
        <f t="shared" si="1075"/>
        <v>0</v>
      </c>
      <c r="BNQ25">
        <f t="shared" si="1076"/>
        <v>0</v>
      </c>
      <c r="BNR25">
        <f t="shared" si="1077"/>
        <v>0</v>
      </c>
      <c r="BNS25">
        <f t="shared" si="1078"/>
        <v>0</v>
      </c>
      <c r="BNT25">
        <f t="shared" si="1079"/>
        <v>0</v>
      </c>
      <c r="BNU25">
        <f t="shared" si="1080"/>
        <v>0</v>
      </c>
      <c r="BNV25">
        <f t="shared" si="1081"/>
        <v>0</v>
      </c>
      <c r="BNW25">
        <f t="shared" si="1082"/>
        <v>0</v>
      </c>
      <c r="BNX25">
        <f t="shared" si="1083"/>
        <v>0</v>
      </c>
      <c r="BNY25">
        <f t="shared" si="1084"/>
        <v>0</v>
      </c>
      <c r="BNZ25">
        <f t="shared" si="1085"/>
        <v>0</v>
      </c>
      <c r="BOA25">
        <f t="shared" si="1086"/>
        <v>0</v>
      </c>
      <c r="BOB25">
        <f t="shared" si="1087"/>
        <v>0</v>
      </c>
      <c r="BOC25">
        <f t="shared" si="1088"/>
        <v>0</v>
      </c>
      <c r="BOD25">
        <f t="shared" si="1089"/>
        <v>0</v>
      </c>
      <c r="BOE25">
        <f t="shared" si="1090"/>
        <v>0</v>
      </c>
      <c r="BOF25">
        <f t="shared" si="1091"/>
        <v>0</v>
      </c>
      <c r="BOG25">
        <f t="shared" si="1092"/>
        <v>0</v>
      </c>
      <c r="BOH25">
        <f t="shared" si="1093"/>
        <v>0</v>
      </c>
      <c r="BOI25">
        <f t="shared" si="1094"/>
        <v>0</v>
      </c>
      <c r="BOJ25">
        <f t="shared" si="1095"/>
        <v>0</v>
      </c>
      <c r="BOK25">
        <f t="shared" si="1096"/>
        <v>0</v>
      </c>
      <c r="BOL25">
        <f t="shared" si="1097"/>
        <v>0</v>
      </c>
      <c r="BOM25">
        <f t="shared" si="1098"/>
        <v>0</v>
      </c>
      <c r="BON25">
        <f t="shared" si="1099"/>
        <v>0</v>
      </c>
      <c r="BOO25">
        <f t="shared" si="1100"/>
        <v>0</v>
      </c>
      <c r="BOP25">
        <f t="shared" si="1101"/>
        <v>0</v>
      </c>
      <c r="BOQ25">
        <f t="shared" si="1102"/>
        <v>0</v>
      </c>
      <c r="BOR25">
        <f t="shared" si="1103"/>
        <v>0</v>
      </c>
      <c r="BOS25">
        <f t="shared" si="1104"/>
        <v>0</v>
      </c>
      <c r="BOT25">
        <f t="shared" si="1105"/>
        <v>0</v>
      </c>
      <c r="BOU25">
        <f t="shared" si="1106"/>
        <v>0</v>
      </c>
      <c r="BOV25">
        <f t="shared" si="1107"/>
        <v>0</v>
      </c>
      <c r="BOW25">
        <f t="shared" si="1108"/>
        <v>0</v>
      </c>
      <c r="BOX25">
        <f t="shared" si="1109"/>
        <v>0</v>
      </c>
      <c r="BOY25">
        <f t="shared" si="1110"/>
        <v>0</v>
      </c>
      <c r="BOZ25">
        <f t="shared" si="1111"/>
        <v>0</v>
      </c>
      <c r="BPA25">
        <f t="shared" si="1112"/>
        <v>0</v>
      </c>
      <c r="BPB25">
        <f t="shared" si="1113"/>
        <v>0</v>
      </c>
      <c r="BPC25">
        <f t="shared" si="1114"/>
        <v>0</v>
      </c>
      <c r="BPD25">
        <f t="shared" si="1115"/>
        <v>0</v>
      </c>
      <c r="BPE25">
        <f t="shared" si="1116"/>
        <v>0</v>
      </c>
      <c r="BPF25">
        <f t="shared" si="1117"/>
        <v>0</v>
      </c>
      <c r="BPG25">
        <f t="shared" si="1118"/>
        <v>0</v>
      </c>
      <c r="BPH25">
        <f t="shared" si="1119"/>
        <v>0</v>
      </c>
      <c r="BPI25">
        <f t="shared" si="1120"/>
        <v>0</v>
      </c>
      <c r="BPJ25">
        <f t="shared" si="1121"/>
        <v>0</v>
      </c>
      <c r="BPK25">
        <f t="shared" si="1122"/>
        <v>0</v>
      </c>
      <c r="BPL25">
        <f t="shared" si="1123"/>
        <v>0</v>
      </c>
      <c r="BPM25">
        <f t="shared" si="1124"/>
        <v>0</v>
      </c>
      <c r="BPN25">
        <f t="shared" si="1125"/>
        <v>0</v>
      </c>
      <c r="BPO25">
        <f t="shared" si="1126"/>
        <v>0</v>
      </c>
      <c r="BPP25">
        <f t="shared" si="1127"/>
        <v>0</v>
      </c>
      <c r="BPQ25">
        <f t="shared" si="1128"/>
        <v>0</v>
      </c>
      <c r="BPR25">
        <f t="shared" si="1129"/>
        <v>0</v>
      </c>
      <c r="BPS25">
        <f t="shared" si="1130"/>
        <v>0</v>
      </c>
      <c r="BPT25">
        <f t="shared" si="1131"/>
        <v>0</v>
      </c>
      <c r="BPU25">
        <f t="shared" si="1132"/>
        <v>0</v>
      </c>
      <c r="BPV25">
        <f t="shared" si="1133"/>
        <v>0</v>
      </c>
      <c r="BPW25">
        <f t="shared" si="1134"/>
        <v>0</v>
      </c>
      <c r="BPX25">
        <f t="shared" si="1135"/>
        <v>0</v>
      </c>
      <c r="BPY25">
        <f t="shared" si="1136"/>
        <v>0</v>
      </c>
      <c r="BPZ25">
        <f t="shared" si="50"/>
        <v>0</v>
      </c>
      <c r="BQA25">
        <f t="shared" si="1137"/>
        <v>0</v>
      </c>
      <c r="BQB25">
        <f t="shared" si="1138"/>
        <v>0</v>
      </c>
      <c r="BQC25">
        <f t="shared" si="1139"/>
        <v>0</v>
      </c>
      <c r="BQD25">
        <f t="shared" si="1140"/>
        <v>0</v>
      </c>
      <c r="BQE25">
        <f t="shared" si="1141"/>
        <v>0</v>
      </c>
      <c r="BQF25">
        <f t="shared" si="1142"/>
        <v>0</v>
      </c>
      <c r="BQG25">
        <f t="shared" si="1143"/>
        <v>0</v>
      </c>
      <c r="BQH25">
        <f t="shared" si="1144"/>
        <v>0</v>
      </c>
      <c r="BQI25">
        <f t="shared" si="1145"/>
        <v>0</v>
      </c>
      <c r="BQJ25">
        <f t="shared" si="1146"/>
        <v>0</v>
      </c>
      <c r="BQK25">
        <f t="shared" si="1147"/>
        <v>0</v>
      </c>
      <c r="BQL25">
        <f t="shared" si="1148"/>
        <v>0</v>
      </c>
      <c r="BQM25">
        <f t="shared" si="1149"/>
        <v>0</v>
      </c>
      <c r="BQN25">
        <f t="shared" si="1150"/>
        <v>0</v>
      </c>
      <c r="BQO25">
        <f t="shared" si="1151"/>
        <v>0</v>
      </c>
      <c r="BQP25">
        <f t="shared" si="1152"/>
        <v>0</v>
      </c>
      <c r="BQQ25">
        <f t="shared" si="1153"/>
        <v>0</v>
      </c>
      <c r="BQR25">
        <f t="shared" si="1154"/>
        <v>0</v>
      </c>
      <c r="BQS25">
        <f t="shared" si="1155"/>
        <v>0</v>
      </c>
      <c r="BQT25">
        <f t="shared" si="1156"/>
        <v>0</v>
      </c>
      <c r="BQU25">
        <f t="shared" si="1157"/>
        <v>0</v>
      </c>
      <c r="BQV25">
        <f t="shared" si="1158"/>
        <v>0</v>
      </c>
      <c r="BQW25">
        <f t="shared" si="1159"/>
        <v>0</v>
      </c>
      <c r="BQX25">
        <f t="shared" si="1160"/>
        <v>0</v>
      </c>
      <c r="BQY25">
        <f t="shared" si="1161"/>
        <v>0</v>
      </c>
      <c r="BQZ25">
        <f t="shared" si="1162"/>
        <v>0</v>
      </c>
      <c r="BRA25">
        <f t="shared" si="1163"/>
        <v>0</v>
      </c>
      <c r="BRB25">
        <f t="shared" si="1164"/>
        <v>0</v>
      </c>
      <c r="BRC25">
        <f t="shared" si="1165"/>
        <v>0</v>
      </c>
      <c r="BRD25">
        <f t="shared" si="1166"/>
        <v>0</v>
      </c>
      <c r="BRE25">
        <f t="shared" si="1167"/>
        <v>0</v>
      </c>
      <c r="BRF25">
        <f t="shared" si="1168"/>
        <v>0</v>
      </c>
      <c r="BRG25">
        <f t="shared" si="1169"/>
        <v>0</v>
      </c>
      <c r="BRH25">
        <f t="shared" si="1170"/>
        <v>0</v>
      </c>
      <c r="BRI25">
        <f t="shared" si="1171"/>
        <v>0</v>
      </c>
      <c r="BRJ25">
        <f t="shared" si="1172"/>
        <v>0</v>
      </c>
      <c r="BRK25">
        <f t="shared" si="1173"/>
        <v>0</v>
      </c>
      <c r="BRL25">
        <f t="shared" si="1174"/>
        <v>0</v>
      </c>
      <c r="BRM25">
        <f t="shared" si="1175"/>
        <v>0</v>
      </c>
      <c r="BRN25">
        <f t="shared" si="1176"/>
        <v>0</v>
      </c>
      <c r="BRO25">
        <f t="shared" si="1177"/>
        <v>0</v>
      </c>
      <c r="BRP25">
        <f t="shared" si="1178"/>
        <v>0</v>
      </c>
      <c r="BRQ25">
        <f t="shared" si="1179"/>
        <v>0</v>
      </c>
      <c r="BRR25">
        <f t="shared" si="1180"/>
        <v>0</v>
      </c>
      <c r="BRS25">
        <f t="shared" si="1181"/>
        <v>0</v>
      </c>
      <c r="BRT25">
        <f t="shared" si="1182"/>
        <v>0</v>
      </c>
      <c r="BRU25">
        <f t="shared" si="1183"/>
        <v>0</v>
      </c>
      <c r="BRV25">
        <f t="shared" si="1184"/>
        <v>0</v>
      </c>
      <c r="BRW25">
        <f t="shared" si="1185"/>
        <v>0</v>
      </c>
      <c r="BRX25">
        <f t="shared" si="1186"/>
        <v>0</v>
      </c>
      <c r="BRY25">
        <f t="shared" si="1187"/>
        <v>0</v>
      </c>
      <c r="BRZ25">
        <f t="shared" si="1188"/>
        <v>0</v>
      </c>
      <c r="BSA25">
        <f t="shared" si="1189"/>
        <v>0</v>
      </c>
      <c r="BSB25">
        <f t="shared" si="1190"/>
        <v>0</v>
      </c>
      <c r="BSC25">
        <f t="shared" si="1191"/>
        <v>0</v>
      </c>
      <c r="BSD25">
        <f t="shared" si="1192"/>
        <v>0</v>
      </c>
      <c r="BSE25">
        <f t="shared" si="1193"/>
        <v>0</v>
      </c>
      <c r="BSF25">
        <f t="shared" si="1194"/>
        <v>0</v>
      </c>
      <c r="BSG25">
        <f t="shared" si="1195"/>
        <v>0</v>
      </c>
      <c r="BSH25">
        <f t="shared" si="1196"/>
        <v>0</v>
      </c>
      <c r="BSI25">
        <f t="shared" si="1197"/>
        <v>0</v>
      </c>
      <c r="BSJ25">
        <f t="shared" si="1198"/>
        <v>0</v>
      </c>
      <c r="BSK25">
        <f t="shared" si="1199"/>
        <v>0</v>
      </c>
      <c r="BSL25">
        <f t="shared" si="51"/>
        <v>0</v>
      </c>
      <c r="BSM25">
        <f t="shared" si="1200"/>
        <v>0</v>
      </c>
      <c r="BSN25">
        <f t="shared" si="1201"/>
        <v>0</v>
      </c>
      <c r="BSO25">
        <f t="shared" si="1202"/>
        <v>0</v>
      </c>
      <c r="BSP25">
        <f t="shared" si="1203"/>
        <v>0</v>
      </c>
      <c r="BSQ25">
        <f t="shared" si="1204"/>
        <v>0</v>
      </c>
      <c r="BSR25">
        <f t="shared" si="1205"/>
        <v>0</v>
      </c>
      <c r="BSS25">
        <f t="shared" si="1206"/>
        <v>0</v>
      </c>
      <c r="BST25">
        <f t="shared" si="1207"/>
        <v>0</v>
      </c>
      <c r="BSU25">
        <f t="shared" si="1208"/>
        <v>0</v>
      </c>
      <c r="BSV25">
        <f t="shared" si="1209"/>
        <v>0</v>
      </c>
      <c r="BSW25">
        <f t="shared" si="1210"/>
        <v>0</v>
      </c>
      <c r="BSX25">
        <f t="shared" si="1211"/>
        <v>0</v>
      </c>
      <c r="BSY25">
        <f t="shared" si="1212"/>
        <v>0</v>
      </c>
      <c r="BSZ25">
        <f t="shared" si="1213"/>
        <v>0</v>
      </c>
      <c r="BTA25">
        <f t="shared" si="1214"/>
        <v>0</v>
      </c>
      <c r="BTB25">
        <f t="shared" si="1215"/>
        <v>0</v>
      </c>
      <c r="BTC25">
        <f t="shared" si="1216"/>
        <v>0</v>
      </c>
      <c r="BTD25">
        <f t="shared" si="1217"/>
        <v>0</v>
      </c>
      <c r="BTE25">
        <f t="shared" si="1218"/>
        <v>0</v>
      </c>
      <c r="BTF25">
        <f t="shared" si="1219"/>
        <v>0</v>
      </c>
      <c r="BTG25">
        <f t="shared" si="1220"/>
        <v>0</v>
      </c>
      <c r="BTH25">
        <f t="shared" si="1221"/>
        <v>0</v>
      </c>
      <c r="BTI25">
        <f t="shared" si="1222"/>
        <v>0</v>
      </c>
      <c r="BTJ25">
        <f t="shared" si="1223"/>
        <v>0</v>
      </c>
      <c r="BTK25">
        <f t="shared" si="1224"/>
        <v>0</v>
      </c>
      <c r="BTL25">
        <f t="shared" si="1225"/>
        <v>0</v>
      </c>
      <c r="BTM25">
        <f t="shared" si="1226"/>
        <v>0</v>
      </c>
      <c r="BTN25">
        <f t="shared" si="1227"/>
        <v>0</v>
      </c>
      <c r="BTO25">
        <f t="shared" si="1228"/>
        <v>0</v>
      </c>
      <c r="BTP25">
        <f t="shared" si="1229"/>
        <v>0</v>
      </c>
      <c r="BTQ25">
        <f t="shared" si="1230"/>
        <v>0</v>
      </c>
      <c r="BTR25">
        <f t="shared" si="1231"/>
        <v>0</v>
      </c>
      <c r="BTS25">
        <f t="shared" si="1232"/>
        <v>0</v>
      </c>
      <c r="BTT25">
        <f t="shared" si="1233"/>
        <v>0</v>
      </c>
      <c r="BTU25">
        <f t="shared" si="1234"/>
        <v>0</v>
      </c>
      <c r="BTV25">
        <f t="shared" si="1235"/>
        <v>0</v>
      </c>
      <c r="BTW25">
        <f t="shared" si="1236"/>
        <v>0</v>
      </c>
      <c r="BTX25">
        <f t="shared" si="1237"/>
        <v>0</v>
      </c>
      <c r="BTY25">
        <f t="shared" si="1238"/>
        <v>0</v>
      </c>
      <c r="BTZ25">
        <f t="shared" si="1239"/>
        <v>0</v>
      </c>
      <c r="BUA25">
        <f t="shared" si="1240"/>
        <v>0</v>
      </c>
      <c r="BUB25">
        <f t="shared" si="1241"/>
        <v>0</v>
      </c>
      <c r="BUC25">
        <f t="shared" si="1242"/>
        <v>0</v>
      </c>
      <c r="BUD25">
        <f t="shared" si="1243"/>
        <v>0</v>
      </c>
      <c r="BUE25">
        <f t="shared" si="1244"/>
        <v>0</v>
      </c>
      <c r="BUF25">
        <f t="shared" si="1245"/>
        <v>0</v>
      </c>
      <c r="BUG25">
        <f t="shared" si="1246"/>
        <v>0</v>
      </c>
      <c r="BUH25">
        <f t="shared" si="1247"/>
        <v>0</v>
      </c>
      <c r="BUI25">
        <f t="shared" si="1248"/>
        <v>0</v>
      </c>
      <c r="BUJ25">
        <f t="shared" si="1249"/>
        <v>0</v>
      </c>
      <c r="BUK25">
        <f t="shared" si="1250"/>
        <v>0</v>
      </c>
      <c r="BUL25">
        <f t="shared" si="1251"/>
        <v>0</v>
      </c>
      <c r="BUM25">
        <f t="shared" si="1252"/>
        <v>0</v>
      </c>
      <c r="BUN25">
        <f t="shared" si="1253"/>
        <v>0</v>
      </c>
      <c r="BUO25">
        <f t="shared" si="1254"/>
        <v>0</v>
      </c>
      <c r="BUP25">
        <f t="shared" si="1255"/>
        <v>0</v>
      </c>
      <c r="BUQ25">
        <f t="shared" si="1256"/>
        <v>0</v>
      </c>
      <c r="BUR25">
        <f t="shared" si="1257"/>
        <v>0</v>
      </c>
      <c r="BUS25">
        <f t="shared" si="1258"/>
        <v>0</v>
      </c>
      <c r="BUT25">
        <f t="shared" si="1259"/>
        <v>0</v>
      </c>
      <c r="BUU25">
        <f t="shared" si="1260"/>
        <v>0</v>
      </c>
      <c r="BUV25">
        <f t="shared" si="1261"/>
        <v>0</v>
      </c>
      <c r="BUW25">
        <f t="shared" si="1262"/>
        <v>0</v>
      </c>
      <c r="BUX25">
        <f t="shared" si="52"/>
        <v>0</v>
      </c>
      <c r="BUY25">
        <f t="shared" si="1263"/>
        <v>0</v>
      </c>
      <c r="BUZ25">
        <f t="shared" si="1264"/>
        <v>0</v>
      </c>
      <c r="BVA25">
        <f t="shared" si="1265"/>
        <v>0</v>
      </c>
      <c r="BVB25">
        <f t="shared" si="1266"/>
        <v>0</v>
      </c>
      <c r="BVC25">
        <f t="shared" si="1267"/>
        <v>0</v>
      </c>
      <c r="BVD25">
        <f t="shared" si="1268"/>
        <v>0</v>
      </c>
      <c r="BVE25">
        <f t="shared" si="1269"/>
        <v>0</v>
      </c>
      <c r="BVF25">
        <f t="shared" si="1270"/>
        <v>0</v>
      </c>
      <c r="BVG25">
        <f t="shared" si="1271"/>
        <v>0</v>
      </c>
      <c r="BVH25">
        <f t="shared" si="1272"/>
        <v>0</v>
      </c>
      <c r="BVI25">
        <f t="shared" si="1273"/>
        <v>0</v>
      </c>
      <c r="BVJ25">
        <f t="shared" si="1274"/>
        <v>0</v>
      </c>
      <c r="BVK25">
        <f t="shared" si="1275"/>
        <v>0</v>
      </c>
      <c r="BVL25">
        <f t="shared" si="1276"/>
        <v>0</v>
      </c>
      <c r="BVM25">
        <f t="shared" si="1277"/>
        <v>0</v>
      </c>
      <c r="BVN25">
        <f t="shared" si="1278"/>
        <v>0</v>
      </c>
      <c r="BVO25">
        <f t="shared" si="1279"/>
        <v>0</v>
      </c>
      <c r="BVP25">
        <f t="shared" si="1280"/>
        <v>0</v>
      </c>
      <c r="BVQ25">
        <f t="shared" si="1281"/>
        <v>0</v>
      </c>
      <c r="BVR25">
        <f t="shared" si="1282"/>
        <v>0</v>
      </c>
      <c r="BVS25">
        <f t="shared" si="1283"/>
        <v>0</v>
      </c>
      <c r="BVT25">
        <f t="shared" si="1284"/>
        <v>0</v>
      </c>
      <c r="BVU25">
        <f t="shared" si="1285"/>
        <v>0</v>
      </c>
      <c r="BVV25">
        <f t="shared" si="1286"/>
        <v>0</v>
      </c>
      <c r="BVW25">
        <f t="shared" si="1287"/>
        <v>0</v>
      </c>
      <c r="BVX25">
        <f t="shared" si="1288"/>
        <v>0</v>
      </c>
      <c r="BVY25">
        <f t="shared" si="1289"/>
        <v>0</v>
      </c>
      <c r="BVZ25">
        <f t="shared" si="1290"/>
        <v>0</v>
      </c>
      <c r="BWA25">
        <f t="shared" si="1291"/>
        <v>0</v>
      </c>
      <c r="BWB25">
        <f t="shared" si="1292"/>
        <v>0</v>
      </c>
      <c r="BWC25">
        <f t="shared" si="1293"/>
        <v>0</v>
      </c>
      <c r="BWD25">
        <f t="shared" si="1294"/>
        <v>0</v>
      </c>
      <c r="BWE25">
        <f t="shared" si="1295"/>
        <v>0</v>
      </c>
      <c r="BWF25">
        <f t="shared" si="1296"/>
        <v>0</v>
      </c>
      <c r="BWG25">
        <f t="shared" si="1297"/>
        <v>0</v>
      </c>
      <c r="BWH25">
        <f t="shared" si="1298"/>
        <v>0</v>
      </c>
      <c r="BWI25">
        <f t="shared" si="1299"/>
        <v>0</v>
      </c>
      <c r="BWJ25">
        <f t="shared" si="1300"/>
        <v>0</v>
      </c>
      <c r="BWK25">
        <f t="shared" si="1301"/>
        <v>0</v>
      </c>
      <c r="BWL25">
        <f t="shared" si="1302"/>
        <v>0</v>
      </c>
      <c r="BWM25">
        <f t="shared" si="1303"/>
        <v>0</v>
      </c>
      <c r="BWN25">
        <f t="shared" si="1304"/>
        <v>0</v>
      </c>
      <c r="BWO25">
        <f t="shared" si="1305"/>
        <v>0</v>
      </c>
      <c r="BWP25">
        <f t="shared" si="1306"/>
        <v>0</v>
      </c>
      <c r="BWQ25">
        <f t="shared" si="1307"/>
        <v>0</v>
      </c>
      <c r="BWR25">
        <f t="shared" si="1308"/>
        <v>0</v>
      </c>
      <c r="BWS25">
        <f t="shared" si="1309"/>
        <v>0</v>
      </c>
      <c r="BWT25">
        <f t="shared" si="1310"/>
        <v>0</v>
      </c>
      <c r="BWU25">
        <f t="shared" si="1311"/>
        <v>0</v>
      </c>
      <c r="BWV25">
        <f t="shared" si="1312"/>
        <v>0</v>
      </c>
      <c r="BWW25">
        <f t="shared" si="1313"/>
        <v>0</v>
      </c>
      <c r="BWX25">
        <f t="shared" si="1314"/>
        <v>0</v>
      </c>
      <c r="BWY25">
        <f t="shared" si="1315"/>
        <v>0</v>
      </c>
      <c r="BWZ25">
        <f t="shared" si="1316"/>
        <v>0</v>
      </c>
      <c r="BXA25">
        <f t="shared" si="1317"/>
        <v>0</v>
      </c>
      <c r="BXB25">
        <f t="shared" si="1318"/>
        <v>0</v>
      </c>
      <c r="BXC25">
        <f t="shared" si="1319"/>
        <v>0</v>
      </c>
      <c r="BXD25">
        <f t="shared" si="1320"/>
        <v>0</v>
      </c>
      <c r="BXE25">
        <f t="shared" si="1321"/>
        <v>0</v>
      </c>
      <c r="BXF25">
        <f t="shared" si="1322"/>
        <v>0</v>
      </c>
      <c r="BXG25">
        <f t="shared" si="1323"/>
        <v>0</v>
      </c>
      <c r="BXH25">
        <f t="shared" si="1324"/>
        <v>0</v>
      </c>
      <c r="BXI25">
        <f t="shared" si="1325"/>
        <v>0</v>
      </c>
      <c r="BXJ25">
        <f t="shared" si="53"/>
        <v>0</v>
      </c>
      <c r="BXK25">
        <f t="shared" si="1326"/>
        <v>0</v>
      </c>
      <c r="BXL25">
        <f t="shared" si="1327"/>
        <v>0</v>
      </c>
      <c r="BXM25">
        <f t="shared" si="1328"/>
        <v>0</v>
      </c>
      <c r="BXN25">
        <f t="shared" si="1329"/>
        <v>0</v>
      </c>
      <c r="BXO25">
        <f t="shared" si="1330"/>
        <v>0</v>
      </c>
      <c r="BXP25">
        <f t="shared" si="1331"/>
        <v>0</v>
      </c>
      <c r="BXQ25">
        <f t="shared" si="1332"/>
        <v>0</v>
      </c>
      <c r="BXR25">
        <f t="shared" si="1333"/>
        <v>0</v>
      </c>
      <c r="BXS25">
        <f t="shared" si="1334"/>
        <v>0</v>
      </c>
      <c r="BXT25">
        <f t="shared" si="1335"/>
        <v>0</v>
      </c>
      <c r="BXU25">
        <f t="shared" si="1336"/>
        <v>0</v>
      </c>
      <c r="BXV25">
        <f t="shared" si="1337"/>
        <v>0</v>
      </c>
      <c r="BXW25">
        <f t="shared" si="1338"/>
        <v>0</v>
      </c>
      <c r="BXX25">
        <f t="shared" si="1339"/>
        <v>0</v>
      </c>
      <c r="BXY25">
        <f t="shared" si="1340"/>
        <v>0</v>
      </c>
      <c r="BXZ25">
        <f t="shared" si="1341"/>
        <v>0</v>
      </c>
      <c r="BYA25">
        <f t="shared" si="1342"/>
        <v>0</v>
      </c>
      <c r="BYB25">
        <f t="shared" si="1343"/>
        <v>0</v>
      </c>
      <c r="BYC25">
        <f t="shared" si="1344"/>
        <v>0</v>
      </c>
      <c r="BYD25">
        <f t="shared" si="1345"/>
        <v>0</v>
      </c>
      <c r="BYE25">
        <f t="shared" si="1346"/>
        <v>0</v>
      </c>
      <c r="BYF25">
        <f t="shared" si="1347"/>
        <v>0</v>
      </c>
      <c r="BYG25">
        <f t="shared" si="1348"/>
        <v>0</v>
      </c>
      <c r="BYH25">
        <f t="shared" si="1349"/>
        <v>0</v>
      </c>
      <c r="BYI25">
        <f t="shared" si="1350"/>
        <v>0</v>
      </c>
      <c r="BYJ25">
        <f t="shared" si="1351"/>
        <v>0</v>
      </c>
      <c r="BYK25">
        <f t="shared" si="1352"/>
        <v>0</v>
      </c>
      <c r="BYL25">
        <f t="shared" si="1353"/>
        <v>0</v>
      </c>
      <c r="BYM25">
        <f t="shared" si="1354"/>
        <v>0</v>
      </c>
      <c r="BYN25">
        <f t="shared" si="1355"/>
        <v>0</v>
      </c>
      <c r="BYO25">
        <f t="shared" si="1356"/>
        <v>0</v>
      </c>
      <c r="BYP25">
        <f t="shared" si="1357"/>
        <v>0</v>
      </c>
      <c r="BYQ25">
        <f t="shared" si="1358"/>
        <v>0</v>
      </c>
      <c r="BYR25">
        <f t="shared" si="1359"/>
        <v>0</v>
      </c>
      <c r="BYS25">
        <f t="shared" si="1360"/>
        <v>0</v>
      </c>
      <c r="BYT25">
        <f t="shared" si="1361"/>
        <v>0</v>
      </c>
      <c r="BYU25">
        <f t="shared" si="1362"/>
        <v>0</v>
      </c>
      <c r="BYV25">
        <f t="shared" si="1363"/>
        <v>0</v>
      </c>
      <c r="BYW25">
        <f t="shared" si="1364"/>
        <v>0</v>
      </c>
      <c r="BYX25">
        <f t="shared" si="1365"/>
        <v>0</v>
      </c>
      <c r="BYY25">
        <f t="shared" si="1366"/>
        <v>0</v>
      </c>
      <c r="BYZ25">
        <f t="shared" si="1367"/>
        <v>0</v>
      </c>
      <c r="BZA25">
        <f t="shared" si="1368"/>
        <v>0</v>
      </c>
      <c r="BZB25">
        <f t="shared" si="1369"/>
        <v>0</v>
      </c>
      <c r="BZC25">
        <f t="shared" si="1370"/>
        <v>0</v>
      </c>
      <c r="BZD25">
        <f t="shared" si="1371"/>
        <v>0</v>
      </c>
      <c r="BZE25">
        <f t="shared" si="1372"/>
        <v>0</v>
      </c>
      <c r="BZF25">
        <f t="shared" si="1373"/>
        <v>0</v>
      </c>
      <c r="BZG25">
        <f t="shared" si="1374"/>
        <v>0</v>
      </c>
      <c r="BZH25">
        <f t="shared" si="1375"/>
        <v>0</v>
      </c>
      <c r="BZI25">
        <f t="shared" si="1376"/>
        <v>0</v>
      </c>
      <c r="BZJ25">
        <f t="shared" si="1377"/>
        <v>0</v>
      </c>
      <c r="BZK25">
        <f t="shared" si="1378"/>
        <v>0</v>
      </c>
      <c r="BZL25">
        <f t="shared" si="1379"/>
        <v>0</v>
      </c>
      <c r="BZM25">
        <f t="shared" si="1380"/>
        <v>0</v>
      </c>
      <c r="BZN25">
        <f t="shared" si="1381"/>
        <v>0</v>
      </c>
      <c r="BZO25">
        <f t="shared" si="1382"/>
        <v>0</v>
      </c>
      <c r="BZP25">
        <f t="shared" si="1383"/>
        <v>0</v>
      </c>
      <c r="BZQ25">
        <f t="shared" si="1384"/>
        <v>0</v>
      </c>
      <c r="BZR25">
        <f t="shared" si="1385"/>
        <v>0</v>
      </c>
      <c r="BZS25">
        <f t="shared" si="1386"/>
        <v>0</v>
      </c>
      <c r="BZT25">
        <f t="shared" si="1387"/>
        <v>0</v>
      </c>
      <c r="BZU25">
        <f t="shared" si="1388"/>
        <v>0</v>
      </c>
      <c r="BZV25">
        <f t="shared" si="54"/>
        <v>0</v>
      </c>
      <c r="BZW25">
        <f t="shared" si="1389"/>
        <v>0</v>
      </c>
      <c r="BZX25">
        <f t="shared" si="1390"/>
        <v>0</v>
      </c>
      <c r="BZY25">
        <f t="shared" si="1391"/>
        <v>0</v>
      </c>
      <c r="BZZ25">
        <f t="shared" si="1392"/>
        <v>0</v>
      </c>
      <c r="CAA25">
        <f t="shared" si="1393"/>
        <v>0</v>
      </c>
      <c r="CAB25">
        <f t="shared" si="1394"/>
        <v>0</v>
      </c>
      <c r="CAC25">
        <f t="shared" si="1395"/>
        <v>0</v>
      </c>
      <c r="CAD25">
        <f t="shared" si="1396"/>
        <v>0</v>
      </c>
      <c r="CAE25">
        <f t="shared" si="1397"/>
        <v>0</v>
      </c>
      <c r="CAF25">
        <f t="shared" si="1398"/>
        <v>0</v>
      </c>
      <c r="CAG25">
        <f t="shared" si="1399"/>
        <v>0</v>
      </c>
      <c r="CAH25">
        <f t="shared" si="1400"/>
        <v>0</v>
      </c>
      <c r="CAI25">
        <f t="shared" si="1401"/>
        <v>0</v>
      </c>
      <c r="CAJ25">
        <f t="shared" si="1402"/>
        <v>0</v>
      </c>
      <c r="CAK25">
        <f t="shared" si="1403"/>
        <v>0</v>
      </c>
      <c r="CAL25">
        <f t="shared" si="1404"/>
        <v>0</v>
      </c>
      <c r="CAM25">
        <f t="shared" si="1405"/>
        <v>0</v>
      </c>
      <c r="CAN25">
        <f t="shared" si="1406"/>
        <v>0</v>
      </c>
      <c r="CAO25">
        <f t="shared" si="1407"/>
        <v>0</v>
      </c>
      <c r="CAP25">
        <f t="shared" si="1408"/>
        <v>0</v>
      </c>
      <c r="CAQ25">
        <f t="shared" si="1409"/>
        <v>0</v>
      </c>
      <c r="CAR25">
        <f t="shared" si="1410"/>
        <v>0</v>
      </c>
      <c r="CAS25">
        <f t="shared" si="1411"/>
        <v>0</v>
      </c>
      <c r="CAT25">
        <f t="shared" si="1412"/>
        <v>0</v>
      </c>
      <c r="CAU25">
        <f t="shared" si="1413"/>
        <v>0</v>
      </c>
      <c r="CAV25">
        <f t="shared" si="1414"/>
        <v>0</v>
      </c>
      <c r="CAW25">
        <f t="shared" si="1415"/>
        <v>0</v>
      </c>
      <c r="CAX25">
        <f t="shared" si="1416"/>
        <v>0</v>
      </c>
      <c r="CAY25">
        <f t="shared" si="1417"/>
        <v>0</v>
      </c>
      <c r="CAZ25">
        <f t="shared" si="1418"/>
        <v>0</v>
      </c>
      <c r="CBA25">
        <f t="shared" si="1419"/>
        <v>0</v>
      </c>
      <c r="CBB25">
        <f t="shared" si="1420"/>
        <v>0</v>
      </c>
      <c r="CBC25">
        <f t="shared" si="1421"/>
        <v>0</v>
      </c>
      <c r="CBD25">
        <f t="shared" si="1422"/>
        <v>0</v>
      </c>
      <c r="CBE25">
        <f t="shared" si="1423"/>
        <v>0</v>
      </c>
      <c r="CBF25">
        <f t="shared" si="1424"/>
        <v>0</v>
      </c>
      <c r="CBG25">
        <f t="shared" si="1425"/>
        <v>0</v>
      </c>
      <c r="CBH25">
        <f t="shared" si="1426"/>
        <v>0</v>
      </c>
      <c r="CBI25">
        <f t="shared" si="1427"/>
        <v>0</v>
      </c>
      <c r="CBJ25">
        <f t="shared" si="1428"/>
        <v>0</v>
      </c>
      <c r="CBK25">
        <f t="shared" si="1429"/>
        <v>0</v>
      </c>
      <c r="CBL25">
        <f t="shared" si="1430"/>
        <v>0</v>
      </c>
      <c r="CBM25">
        <f t="shared" si="1431"/>
        <v>0</v>
      </c>
      <c r="CBN25">
        <f t="shared" si="1432"/>
        <v>0</v>
      </c>
      <c r="CBO25">
        <f t="shared" si="1433"/>
        <v>0</v>
      </c>
      <c r="CBP25">
        <f t="shared" si="1434"/>
        <v>0</v>
      </c>
      <c r="CBQ25">
        <f t="shared" si="1435"/>
        <v>0</v>
      </c>
      <c r="CBR25">
        <f t="shared" si="1436"/>
        <v>0</v>
      </c>
      <c r="CBS25">
        <f t="shared" si="1437"/>
        <v>0</v>
      </c>
      <c r="CBT25">
        <f t="shared" si="1438"/>
        <v>0</v>
      </c>
      <c r="CBU25">
        <f t="shared" si="1439"/>
        <v>0</v>
      </c>
      <c r="CBV25">
        <f t="shared" si="1440"/>
        <v>0</v>
      </c>
      <c r="CBW25">
        <f t="shared" si="1441"/>
        <v>0</v>
      </c>
      <c r="CBX25">
        <f t="shared" si="1442"/>
        <v>0</v>
      </c>
      <c r="CBY25">
        <f t="shared" si="1443"/>
        <v>0</v>
      </c>
      <c r="CBZ25">
        <f t="shared" si="1444"/>
        <v>0</v>
      </c>
      <c r="CCA25">
        <f t="shared" si="1445"/>
        <v>0</v>
      </c>
      <c r="CCB25">
        <f t="shared" si="1446"/>
        <v>0</v>
      </c>
      <c r="CCC25">
        <f t="shared" si="1447"/>
        <v>0</v>
      </c>
      <c r="CCD25">
        <f t="shared" si="1448"/>
        <v>0</v>
      </c>
      <c r="CCE25">
        <f t="shared" si="1449"/>
        <v>0</v>
      </c>
      <c r="CCF25">
        <f t="shared" si="1450"/>
        <v>0</v>
      </c>
      <c r="CCG25">
        <f t="shared" si="1451"/>
        <v>0</v>
      </c>
      <c r="CCH25">
        <f t="shared" si="55"/>
        <v>0</v>
      </c>
      <c r="CCI25">
        <f t="shared" si="1452"/>
        <v>0</v>
      </c>
      <c r="CCJ25">
        <f t="shared" si="1453"/>
        <v>0</v>
      </c>
      <c r="CCK25">
        <f t="shared" si="1454"/>
        <v>0</v>
      </c>
      <c r="CCL25">
        <f t="shared" si="1455"/>
        <v>0</v>
      </c>
      <c r="CCM25">
        <f t="shared" si="1456"/>
        <v>0</v>
      </c>
      <c r="CCN25">
        <f t="shared" si="1457"/>
        <v>0</v>
      </c>
      <c r="CCO25">
        <f t="shared" si="1458"/>
        <v>0</v>
      </c>
      <c r="CCP25">
        <f t="shared" si="1459"/>
        <v>0</v>
      </c>
      <c r="CCQ25">
        <f t="shared" si="1460"/>
        <v>0</v>
      </c>
      <c r="CCR25">
        <f t="shared" si="1461"/>
        <v>0</v>
      </c>
      <c r="CCS25">
        <f t="shared" si="1462"/>
        <v>0</v>
      </c>
      <c r="CCT25">
        <f t="shared" si="1463"/>
        <v>0</v>
      </c>
      <c r="CCU25">
        <f t="shared" si="1464"/>
        <v>0</v>
      </c>
      <c r="CCV25">
        <f t="shared" si="1465"/>
        <v>0</v>
      </c>
      <c r="CCW25">
        <f t="shared" si="1466"/>
        <v>0</v>
      </c>
      <c r="CCX25">
        <f t="shared" si="1467"/>
        <v>0</v>
      </c>
      <c r="CCY25">
        <f t="shared" si="1468"/>
        <v>0</v>
      </c>
      <c r="CCZ25">
        <f t="shared" si="1469"/>
        <v>0</v>
      </c>
      <c r="CDA25">
        <f t="shared" si="1470"/>
        <v>0</v>
      </c>
      <c r="CDB25">
        <f t="shared" si="1471"/>
        <v>0</v>
      </c>
      <c r="CDC25">
        <f t="shared" si="1472"/>
        <v>0</v>
      </c>
      <c r="CDD25">
        <f t="shared" si="1473"/>
        <v>0</v>
      </c>
      <c r="CDE25">
        <f t="shared" si="1474"/>
        <v>0</v>
      </c>
      <c r="CDF25">
        <f t="shared" si="1475"/>
        <v>0</v>
      </c>
      <c r="CDG25">
        <f t="shared" si="1476"/>
        <v>0</v>
      </c>
      <c r="CDH25">
        <f t="shared" si="1477"/>
        <v>0</v>
      </c>
      <c r="CDI25">
        <f t="shared" si="1478"/>
        <v>0</v>
      </c>
      <c r="CDJ25">
        <f t="shared" si="1479"/>
        <v>0</v>
      </c>
      <c r="CDK25">
        <f t="shared" si="1480"/>
        <v>0</v>
      </c>
      <c r="CDL25">
        <f t="shared" si="1481"/>
        <v>0</v>
      </c>
      <c r="CDM25">
        <f t="shared" si="1482"/>
        <v>0</v>
      </c>
      <c r="CDN25">
        <f t="shared" si="1483"/>
        <v>0</v>
      </c>
      <c r="CDO25">
        <f t="shared" si="1484"/>
        <v>0</v>
      </c>
      <c r="CDP25">
        <f t="shared" si="1485"/>
        <v>0</v>
      </c>
      <c r="CDQ25">
        <f t="shared" si="1486"/>
        <v>0</v>
      </c>
      <c r="CDR25">
        <f t="shared" si="1487"/>
        <v>0</v>
      </c>
      <c r="CDS25">
        <f t="shared" si="1488"/>
        <v>0</v>
      </c>
      <c r="CDT25">
        <f t="shared" si="1489"/>
        <v>0</v>
      </c>
      <c r="CDU25">
        <f t="shared" si="1490"/>
        <v>0</v>
      </c>
      <c r="CDV25">
        <f t="shared" si="1491"/>
        <v>0</v>
      </c>
      <c r="CDW25">
        <f t="shared" si="1492"/>
        <v>0</v>
      </c>
      <c r="CDX25">
        <f t="shared" si="1493"/>
        <v>0</v>
      </c>
      <c r="CDY25">
        <f t="shared" si="1494"/>
        <v>0</v>
      </c>
      <c r="CDZ25">
        <f t="shared" si="1495"/>
        <v>0</v>
      </c>
      <c r="CEA25">
        <f t="shared" si="1496"/>
        <v>0</v>
      </c>
      <c r="CEB25">
        <f t="shared" si="1497"/>
        <v>0</v>
      </c>
      <c r="CEC25">
        <f t="shared" si="1498"/>
        <v>0</v>
      </c>
      <c r="CED25">
        <f t="shared" si="1499"/>
        <v>0</v>
      </c>
      <c r="CEE25">
        <f t="shared" si="1500"/>
        <v>0</v>
      </c>
      <c r="CEF25">
        <f t="shared" si="1501"/>
        <v>0</v>
      </c>
      <c r="CEG25">
        <f t="shared" si="1502"/>
        <v>0</v>
      </c>
      <c r="CEH25">
        <f t="shared" si="1503"/>
        <v>0</v>
      </c>
      <c r="CEI25">
        <f t="shared" si="1504"/>
        <v>0</v>
      </c>
      <c r="CEJ25">
        <f t="shared" si="1505"/>
        <v>0</v>
      </c>
      <c r="CEK25">
        <f t="shared" si="1506"/>
        <v>0</v>
      </c>
      <c r="CEL25">
        <f t="shared" si="1507"/>
        <v>0</v>
      </c>
      <c r="CEM25">
        <f t="shared" si="1508"/>
        <v>0</v>
      </c>
      <c r="CEN25">
        <f t="shared" si="1509"/>
        <v>0</v>
      </c>
      <c r="CEO25">
        <f t="shared" si="1510"/>
        <v>0</v>
      </c>
      <c r="CEP25">
        <f t="shared" si="1511"/>
        <v>0</v>
      </c>
      <c r="CEQ25">
        <f t="shared" si="1512"/>
        <v>0</v>
      </c>
      <c r="CER25">
        <f t="shared" si="1513"/>
        <v>0</v>
      </c>
      <c r="CES25">
        <f t="shared" si="1514"/>
        <v>0</v>
      </c>
      <c r="CET25">
        <f t="shared" si="56"/>
        <v>0</v>
      </c>
      <c r="CEU25">
        <f t="shared" si="1515"/>
        <v>0</v>
      </c>
      <c r="CEV25">
        <f t="shared" si="1516"/>
        <v>0</v>
      </c>
      <c r="CEW25">
        <f t="shared" si="1517"/>
        <v>0</v>
      </c>
      <c r="CEX25">
        <f t="shared" si="1518"/>
        <v>0</v>
      </c>
      <c r="CEY25">
        <f t="shared" si="1519"/>
        <v>0</v>
      </c>
      <c r="CEZ25">
        <f t="shared" si="1520"/>
        <v>0</v>
      </c>
      <c r="CFA25">
        <f t="shared" si="1521"/>
        <v>0</v>
      </c>
      <c r="CFB25">
        <f t="shared" si="1522"/>
        <v>0</v>
      </c>
      <c r="CFC25">
        <f t="shared" si="1523"/>
        <v>0</v>
      </c>
      <c r="CFD25">
        <f t="shared" si="1524"/>
        <v>0</v>
      </c>
      <c r="CFE25">
        <f t="shared" si="1525"/>
        <v>0</v>
      </c>
      <c r="CFF25">
        <f t="shared" si="1526"/>
        <v>0</v>
      </c>
      <c r="CFG25">
        <f t="shared" si="1527"/>
        <v>0</v>
      </c>
      <c r="CFH25">
        <f t="shared" si="1528"/>
        <v>0</v>
      </c>
      <c r="CFI25">
        <f t="shared" si="1529"/>
        <v>0</v>
      </c>
      <c r="CFJ25">
        <f t="shared" si="1530"/>
        <v>0</v>
      </c>
      <c r="CFK25">
        <f t="shared" si="1531"/>
        <v>0</v>
      </c>
      <c r="CFL25">
        <f t="shared" si="1532"/>
        <v>0</v>
      </c>
      <c r="CFM25">
        <f t="shared" si="1533"/>
        <v>0</v>
      </c>
      <c r="CFN25">
        <f t="shared" si="1534"/>
        <v>0</v>
      </c>
      <c r="CFO25">
        <f t="shared" si="1535"/>
        <v>0</v>
      </c>
      <c r="CFP25">
        <f t="shared" si="1536"/>
        <v>0</v>
      </c>
      <c r="CFQ25">
        <f t="shared" si="1537"/>
        <v>0</v>
      </c>
      <c r="CFR25">
        <f t="shared" si="1538"/>
        <v>0</v>
      </c>
      <c r="CFS25">
        <f t="shared" si="1539"/>
        <v>0</v>
      </c>
      <c r="CFT25">
        <f t="shared" si="1540"/>
        <v>0</v>
      </c>
      <c r="CFU25">
        <f t="shared" si="1541"/>
        <v>0</v>
      </c>
      <c r="CFV25">
        <f t="shared" si="1542"/>
        <v>0</v>
      </c>
      <c r="CFW25">
        <f t="shared" si="1543"/>
        <v>0</v>
      </c>
      <c r="CFX25">
        <f t="shared" si="1544"/>
        <v>0</v>
      </c>
      <c r="CFY25">
        <f t="shared" si="1545"/>
        <v>0</v>
      </c>
      <c r="CFZ25">
        <f t="shared" si="1546"/>
        <v>0</v>
      </c>
      <c r="CGA25">
        <f t="shared" si="1547"/>
        <v>0</v>
      </c>
      <c r="CGB25">
        <f t="shared" si="1548"/>
        <v>0</v>
      </c>
      <c r="CGC25">
        <f t="shared" si="1549"/>
        <v>0</v>
      </c>
      <c r="CGD25">
        <f t="shared" si="1550"/>
        <v>0</v>
      </c>
      <c r="CGE25">
        <f t="shared" si="1551"/>
        <v>0</v>
      </c>
      <c r="CGF25">
        <f t="shared" si="1552"/>
        <v>0</v>
      </c>
      <c r="CGG25">
        <f t="shared" si="1553"/>
        <v>0</v>
      </c>
      <c r="CGH25">
        <f t="shared" si="1554"/>
        <v>0</v>
      </c>
      <c r="CGI25">
        <f t="shared" si="1555"/>
        <v>0</v>
      </c>
      <c r="CGJ25">
        <f t="shared" si="1556"/>
        <v>0</v>
      </c>
      <c r="CGK25">
        <f t="shared" si="1557"/>
        <v>0</v>
      </c>
      <c r="CGL25">
        <f t="shared" si="1558"/>
        <v>0</v>
      </c>
      <c r="CGM25">
        <f t="shared" si="1559"/>
        <v>0</v>
      </c>
      <c r="CGN25">
        <f t="shared" si="1560"/>
        <v>0</v>
      </c>
      <c r="CGO25">
        <f t="shared" si="1561"/>
        <v>0</v>
      </c>
      <c r="CGP25">
        <f t="shared" si="1562"/>
        <v>0</v>
      </c>
      <c r="CGQ25">
        <f t="shared" si="1563"/>
        <v>0</v>
      </c>
      <c r="CGR25">
        <f t="shared" si="1564"/>
        <v>0</v>
      </c>
      <c r="CGS25">
        <f t="shared" si="1565"/>
        <v>0</v>
      </c>
      <c r="CGT25">
        <f t="shared" si="1566"/>
        <v>0</v>
      </c>
      <c r="CGU25">
        <f t="shared" si="1567"/>
        <v>0</v>
      </c>
      <c r="CGV25">
        <f t="shared" si="1568"/>
        <v>0</v>
      </c>
      <c r="CGW25">
        <f t="shared" si="1569"/>
        <v>0</v>
      </c>
      <c r="CGX25">
        <f t="shared" si="1570"/>
        <v>0</v>
      </c>
      <c r="CGY25">
        <f t="shared" si="1571"/>
        <v>0</v>
      </c>
      <c r="CGZ25">
        <f t="shared" si="1572"/>
        <v>0</v>
      </c>
      <c r="CHA25">
        <f t="shared" si="1573"/>
        <v>0</v>
      </c>
      <c r="CHB25">
        <f t="shared" si="1574"/>
        <v>0</v>
      </c>
      <c r="CHC25">
        <f t="shared" si="1575"/>
        <v>0</v>
      </c>
      <c r="CHD25">
        <f t="shared" si="1576"/>
        <v>0</v>
      </c>
      <c r="CHE25">
        <f t="shared" si="1577"/>
        <v>0</v>
      </c>
      <c r="CHF25">
        <f t="shared" si="57"/>
        <v>0</v>
      </c>
      <c r="CHG25">
        <f t="shared" si="1578"/>
        <v>0</v>
      </c>
      <c r="CHH25">
        <f t="shared" si="1579"/>
        <v>0</v>
      </c>
      <c r="CHI25">
        <f t="shared" si="1580"/>
        <v>0</v>
      </c>
      <c r="CHJ25">
        <f t="shared" si="1581"/>
        <v>0</v>
      </c>
      <c r="CHK25">
        <f t="shared" si="1582"/>
        <v>0</v>
      </c>
      <c r="CHL25">
        <f t="shared" si="1583"/>
        <v>0</v>
      </c>
      <c r="CHM25">
        <f t="shared" si="1584"/>
        <v>0</v>
      </c>
      <c r="CHN25">
        <f t="shared" si="1585"/>
        <v>0</v>
      </c>
      <c r="CHO25">
        <f t="shared" si="1586"/>
        <v>0</v>
      </c>
      <c r="CHP25">
        <f t="shared" si="1587"/>
        <v>0</v>
      </c>
      <c r="CHQ25">
        <f t="shared" si="1588"/>
        <v>0</v>
      </c>
      <c r="CHR25">
        <f t="shared" si="1589"/>
        <v>0</v>
      </c>
      <c r="CHS25">
        <f t="shared" si="1590"/>
        <v>0</v>
      </c>
      <c r="CHT25">
        <f t="shared" si="1591"/>
        <v>0</v>
      </c>
      <c r="CHU25">
        <f t="shared" si="1592"/>
        <v>0</v>
      </c>
      <c r="CHV25">
        <f t="shared" si="1593"/>
        <v>0</v>
      </c>
      <c r="CHW25">
        <f t="shared" si="1594"/>
        <v>0</v>
      </c>
      <c r="CHX25">
        <f t="shared" si="1595"/>
        <v>0</v>
      </c>
      <c r="CHY25">
        <f t="shared" si="1596"/>
        <v>0</v>
      </c>
      <c r="CHZ25">
        <f t="shared" si="1597"/>
        <v>0</v>
      </c>
      <c r="CIA25">
        <f t="shared" si="1598"/>
        <v>0</v>
      </c>
      <c r="CIB25">
        <f t="shared" si="1599"/>
        <v>0</v>
      </c>
      <c r="CIC25">
        <f t="shared" si="1600"/>
        <v>0</v>
      </c>
      <c r="CID25">
        <f t="shared" si="1601"/>
        <v>0</v>
      </c>
      <c r="CIE25">
        <f t="shared" si="1602"/>
        <v>0</v>
      </c>
      <c r="CIF25">
        <f t="shared" si="1603"/>
        <v>0</v>
      </c>
      <c r="CIG25">
        <f t="shared" si="1604"/>
        <v>0</v>
      </c>
      <c r="CIH25">
        <f t="shared" si="1605"/>
        <v>0</v>
      </c>
      <c r="CII25">
        <f t="shared" si="1606"/>
        <v>0</v>
      </c>
      <c r="CIJ25">
        <f t="shared" si="1607"/>
        <v>0</v>
      </c>
      <c r="CIK25">
        <f t="shared" si="1608"/>
        <v>0</v>
      </c>
      <c r="CIL25">
        <f t="shared" si="1609"/>
        <v>0</v>
      </c>
      <c r="CIM25">
        <f t="shared" si="1610"/>
        <v>0</v>
      </c>
      <c r="CIN25">
        <f t="shared" si="1611"/>
        <v>0</v>
      </c>
      <c r="CIO25">
        <f t="shared" si="1612"/>
        <v>0</v>
      </c>
      <c r="CIP25">
        <f t="shared" si="1613"/>
        <v>0</v>
      </c>
      <c r="CIQ25">
        <f t="shared" si="1614"/>
        <v>0</v>
      </c>
      <c r="CIR25">
        <f t="shared" si="1615"/>
        <v>0</v>
      </c>
      <c r="CIS25">
        <f t="shared" si="1616"/>
        <v>0</v>
      </c>
      <c r="CIT25">
        <f t="shared" si="1617"/>
        <v>0</v>
      </c>
      <c r="CIU25">
        <f t="shared" si="1618"/>
        <v>0</v>
      </c>
      <c r="CIV25">
        <f t="shared" si="1619"/>
        <v>0</v>
      </c>
      <c r="CIW25">
        <f t="shared" si="1620"/>
        <v>0</v>
      </c>
      <c r="CIX25">
        <f t="shared" si="1621"/>
        <v>0</v>
      </c>
      <c r="CIY25">
        <f t="shared" si="1622"/>
        <v>0</v>
      </c>
      <c r="CIZ25">
        <f t="shared" si="1623"/>
        <v>0</v>
      </c>
      <c r="CJA25">
        <f t="shared" si="1624"/>
        <v>0</v>
      </c>
      <c r="CJB25">
        <f t="shared" si="1625"/>
        <v>0</v>
      </c>
      <c r="CJC25">
        <f t="shared" si="1626"/>
        <v>0</v>
      </c>
      <c r="CJD25">
        <f t="shared" si="1627"/>
        <v>0</v>
      </c>
      <c r="CJE25">
        <f t="shared" si="1628"/>
        <v>0</v>
      </c>
      <c r="CJF25">
        <f t="shared" si="1629"/>
        <v>0</v>
      </c>
      <c r="CJG25">
        <f t="shared" si="1630"/>
        <v>0</v>
      </c>
      <c r="CJH25">
        <f t="shared" si="1631"/>
        <v>0</v>
      </c>
      <c r="CJI25">
        <f t="shared" si="1632"/>
        <v>0</v>
      </c>
      <c r="CJJ25">
        <f t="shared" si="1633"/>
        <v>0</v>
      </c>
      <c r="CJK25">
        <f t="shared" si="1634"/>
        <v>0</v>
      </c>
      <c r="CJL25">
        <f t="shared" si="1635"/>
        <v>0</v>
      </c>
      <c r="CJM25">
        <f t="shared" si="1636"/>
        <v>0</v>
      </c>
      <c r="CJN25">
        <f t="shared" si="1637"/>
        <v>0</v>
      </c>
      <c r="CJO25">
        <f t="shared" si="1638"/>
        <v>0</v>
      </c>
      <c r="CJP25">
        <f t="shared" si="1639"/>
        <v>0</v>
      </c>
      <c r="CJQ25">
        <f t="shared" si="1640"/>
        <v>0</v>
      </c>
      <c r="CJR25">
        <f t="shared" si="58"/>
        <v>0</v>
      </c>
      <c r="CJS25">
        <f t="shared" si="1641"/>
        <v>0</v>
      </c>
      <c r="CJT25">
        <f t="shared" si="1642"/>
        <v>0</v>
      </c>
      <c r="CJU25">
        <f t="shared" si="1643"/>
        <v>0</v>
      </c>
      <c r="CJV25">
        <f t="shared" si="1644"/>
        <v>0</v>
      </c>
      <c r="CJW25">
        <f t="shared" si="1645"/>
        <v>0</v>
      </c>
      <c r="CJX25">
        <f t="shared" si="1646"/>
        <v>0</v>
      </c>
      <c r="CJY25">
        <f t="shared" si="1647"/>
        <v>0</v>
      </c>
      <c r="CJZ25">
        <f t="shared" si="1648"/>
        <v>0</v>
      </c>
      <c r="CKA25">
        <f t="shared" si="1649"/>
        <v>0</v>
      </c>
      <c r="CKB25">
        <f t="shared" si="1650"/>
        <v>0</v>
      </c>
      <c r="CKC25">
        <f t="shared" si="1651"/>
        <v>0</v>
      </c>
      <c r="CKD25">
        <f t="shared" si="1652"/>
        <v>0</v>
      </c>
      <c r="CKE25">
        <f t="shared" si="1653"/>
        <v>0</v>
      </c>
      <c r="CKF25">
        <f t="shared" si="1654"/>
        <v>0</v>
      </c>
      <c r="CKG25">
        <f t="shared" si="1655"/>
        <v>0</v>
      </c>
      <c r="CKH25">
        <f t="shared" si="1656"/>
        <v>0</v>
      </c>
      <c r="CKI25">
        <f t="shared" si="1657"/>
        <v>0</v>
      </c>
      <c r="CKJ25">
        <f t="shared" si="1658"/>
        <v>0</v>
      </c>
      <c r="CKK25">
        <f t="shared" si="1659"/>
        <v>0</v>
      </c>
      <c r="CKL25">
        <f t="shared" si="1660"/>
        <v>0</v>
      </c>
      <c r="CKM25">
        <f t="shared" si="1661"/>
        <v>0</v>
      </c>
      <c r="CKN25">
        <f t="shared" si="1662"/>
        <v>0</v>
      </c>
      <c r="CKO25">
        <f t="shared" si="1663"/>
        <v>0</v>
      </c>
      <c r="CKP25">
        <f t="shared" si="1664"/>
        <v>0</v>
      </c>
      <c r="CKQ25">
        <f t="shared" si="1665"/>
        <v>0</v>
      </c>
      <c r="CKR25">
        <f t="shared" si="1666"/>
        <v>0</v>
      </c>
      <c r="CKS25">
        <f t="shared" si="1667"/>
        <v>0</v>
      </c>
      <c r="CKT25">
        <f t="shared" si="1668"/>
        <v>0</v>
      </c>
      <c r="CKU25">
        <f t="shared" si="1669"/>
        <v>0</v>
      </c>
      <c r="CKV25">
        <f t="shared" si="1670"/>
        <v>0</v>
      </c>
      <c r="CKW25">
        <f t="shared" si="1671"/>
        <v>0</v>
      </c>
      <c r="CKX25">
        <f t="shared" si="1672"/>
        <v>0</v>
      </c>
      <c r="CKY25">
        <f t="shared" si="1673"/>
        <v>0</v>
      </c>
      <c r="CKZ25">
        <f t="shared" si="1674"/>
        <v>0</v>
      </c>
      <c r="CLA25">
        <f t="shared" si="1675"/>
        <v>0</v>
      </c>
      <c r="CLB25">
        <f t="shared" si="1676"/>
        <v>0</v>
      </c>
      <c r="CLC25">
        <f t="shared" si="1677"/>
        <v>0</v>
      </c>
      <c r="CLD25">
        <f t="shared" si="1678"/>
        <v>0</v>
      </c>
      <c r="CLE25">
        <f t="shared" si="1679"/>
        <v>0</v>
      </c>
      <c r="CLF25">
        <f t="shared" si="1680"/>
        <v>0</v>
      </c>
      <c r="CLG25">
        <f t="shared" si="1681"/>
        <v>0</v>
      </c>
      <c r="CLH25">
        <f t="shared" si="1682"/>
        <v>0</v>
      </c>
      <c r="CLI25">
        <f t="shared" si="1683"/>
        <v>0</v>
      </c>
      <c r="CLJ25">
        <f t="shared" si="1684"/>
        <v>0</v>
      </c>
      <c r="CLK25">
        <f t="shared" si="1685"/>
        <v>0</v>
      </c>
      <c r="CLL25">
        <f t="shared" si="1686"/>
        <v>0</v>
      </c>
      <c r="CLM25">
        <f t="shared" si="1687"/>
        <v>0</v>
      </c>
      <c r="CLN25">
        <f t="shared" si="1688"/>
        <v>0</v>
      </c>
      <c r="CLO25">
        <f t="shared" si="1689"/>
        <v>0</v>
      </c>
      <c r="CLP25">
        <f t="shared" si="1690"/>
        <v>0</v>
      </c>
      <c r="CLQ25">
        <f t="shared" si="1691"/>
        <v>0</v>
      </c>
      <c r="CLR25">
        <f t="shared" si="1692"/>
        <v>0</v>
      </c>
      <c r="CLS25">
        <f t="shared" si="1693"/>
        <v>0</v>
      </c>
      <c r="CLT25">
        <f t="shared" si="1694"/>
        <v>0</v>
      </c>
      <c r="CLU25">
        <f t="shared" si="1695"/>
        <v>0</v>
      </c>
      <c r="CLV25">
        <f t="shared" si="1696"/>
        <v>0</v>
      </c>
      <c r="CLW25">
        <f t="shared" si="1697"/>
        <v>0</v>
      </c>
      <c r="CLX25">
        <f t="shared" si="1698"/>
        <v>0</v>
      </c>
      <c r="CLY25">
        <f t="shared" si="1699"/>
        <v>0</v>
      </c>
      <c r="CLZ25">
        <f t="shared" si="1700"/>
        <v>0</v>
      </c>
      <c r="CMA25">
        <f t="shared" si="1701"/>
        <v>0</v>
      </c>
      <c r="CMB25">
        <f t="shared" si="1702"/>
        <v>0</v>
      </c>
      <c r="CMC25">
        <f t="shared" si="1703"/>
        <v>0</v>
      </c>
      <c r="CMD25">
        <f t="shared" si="59"/>
        <v>0</v>
      </c>
      <c r="CME25">
        <f t="shared" si="1704"/>
        <v>0</v>
      </c>
      <c r="CMF25">
        <f t="shared" si="1705"/>
        <v>0</v>
      </c>
      <c r="CMG25">
        <f t="shared" si="1706"/>
        <v>0</v>
      </c>
      <c r="CMH25">
        <f t="shared" si="1707"/>
        <v>0</v>
      </c>
      <c r="CMI25">
        <f t="shared" si="1708"/>
        <v>0</v>
      </c>
      <c r="CMJ25">
        <f t="shared" si="1709"/>
        <v>0</v>
      </c>
      <c r="CMK25">
        <f t="shared" si="1710"/>
        <v>0</v>
      </c>
      <c r="CML25">
        <f t="shared" si="1711"/>
        <v>0</v>
      </c>
      <c r="CMM25">
        <f t="shared" si="1712"/>
        <v>0</v>
      </c>
      <c r="CMN25">
        <f t="shared" si="1713"/>
        <v>0</v>
      </c>
      <c r="CMO25">
        <f t="shared" si="1714"/>
        <v>0</v>
      </c>
      <c r="CMP25">
        <f t="shared" si="1715"/>
        <v>0</v>
      </c>
      <c r="CMQ25">
        <f t="shared" si="1716"/>
        <v>0</v>
      </c>
      <c r="CMR25">
        <f t="shared" si="1717"/>
        <v>0</v>
      </c>
      <c r="CMS25">
        <f t="shared" si="1718"/>
        <v>0</v>
      </c>
      <c r="CMT25">
        <f t="shared" si="1719"/>
        <v>0</v>
      </c>
      <c r="CMU25">
        <f t="shared" si="1720"/>
        <v>0</v>
      </c>
      <c r="CMV25">
        <f t="shared" si="1721"/>
        <v>0</v>
      </c>
      <c r="CMW25">
        <f t="shared" si="1722"/>
        <v>0</v>
      </c>
      <c r="CMX25">
        <f t="shared" si="1723"/>
        <v>0</v>
      </c>
      <c r="CMY25">
        <f t="shared" si="1724"/>
        <v>0</v>
      </c>
      <c r="CMZ25">
        <f t="shared" si="1725"/>
        <v>0</v>
      </c>
      <c r="CNA25">
        <f t="shared" si="1726"/>
        <v>0</v>
      </c>
      <c r="CNB25">
        <f t="shared" si="1727"/>
        <v>0</v>
      </c>
      <c r="CNC25">
        <f t="shared" si="1728"/>
        <v>0</v>
      </c>
      <c r="CND25">
        <f t="shared" si="1729"/>
        <v>0</v>
      </c>
      <c r="CNE25">
        <f t="shared" si="1730"/>
        <v>0</v>
      </c>
      <c r="CNF25">
        <f t="shared" si="1731"/>
        <v>0</v>
      </c>
      <c r="CNG25">
        <f t="shared" si="1732"/>
        <v>0</v>
      </c>
      <c r="CNH25">
        <f t="shared" si="1733"/>
        <v>0</v>
      </c>
      <c r="CNI25">
        <f t="shared" si="1734"/>
        <v>0</v>
      </c>
      <c r="CNJ25">
        <f t="shared" si="1735"/>
        <v>0</v>
      </c>
      <c r="CNK25">
        <f t="shared" si="1736"/>
        <v>0</v>
      </c>
      <c r="CNL25">
        <f t="shared" si="1737"/>
        <v>0</v>
      </c>
      <c r="CNM25">
        <f t="shared" si="1738"/>
        <v>0</v>
      </c>
      <c r="CNN25">
        <f t="shared" si="1739"/>
        <v>0</v>
      </c>
      <c r="CNO25">
        <f t="shared" si="1740"/>
        <v>0</v>
      </c>
      <c r="CNP25">
        <f t="shared" si="1741"/>
        <v>0</v>
      </c>
      <c r="CNQ25">
        <f t="shared" si="1742"/>
        <v>0</v>
      </c>
      <c r="CNR25">
        <f t="shared" si="1743"/>
        <v>0</v>
      </c>
      <c r="CNS25">
        <f t="shared" si="1744"/>
        <v>0</v>
      </c>
      <c r="CNT25">
        <f t="shared" si="1745"/>
        <v>0</v>
      </c>
      <c r="CNU25">
        <f t="shared" si="1746"/>
        <v>0</v>
      </c>
      <c r="CNV25">
        <f t="shared" si="1747"/>
        <v>0</v>
      </c>
      <c r="CNW25">
        <f t="shared" si="1748"/>
        <v>0</v>
      </c>
      <c r="CNX25">
        <f t="shared" si="1749"/>
        <v>0</v>
      </c>
      <c r="CNY25">
        <f t="shared" si="1750"/>
        <v>0</v>
      </c>
      <c r="CNZ25">
        <f t="shared" si="1751"/>
        <v>0</v>
      </c>
      <c r="COA25">
        <f t="shared" si="1752"/>
        <v>0</v>
      </c>
      <c r="COB25">
        <f t="shared" si="1753"/>
        <v>0</v>
      </c>
      <c r="COC25">
        <f t="shared" si="1754"/>
        <v>0</v>
      </c>
      <c r="COD25">
        <f t="shared" si="1755"/>
        <v>0</v>
      </c>
      <c r="COE25">
        <f t="shared" si="1756"/>
        <v>0</v>
      </c>
      <c r="COF25">
        <f t="shared" si="1757"/>
        <v>0</v>
      </c>
      <c r="COG25">
        <f t="shared" si="1758"/>
        <v>0</v>
      </c>
      <c r="COH25">
        <f t="shared" si="1759"/>
        <v>0</v>
      </c>
      <c r="COI25">
        <f t="shared" si="1760"/>
        <v>0</v>
      </c>
      <c r="COJ25">
        <f t="shared" si="1761"/>
        <v>0</v>
      </c>
      <c r="COK25">
        <f t="shared" si="1762"/>
        <v>0</v>
      </c>
      <c r="COL25">
        <f t="shared" si="1763"/>
        <v>0</v>
      </c>
      <c r="COM25">
        <f t="shared" si="1764"/>
        <v>0</v>
      </c>
      <c r="CON25">
        <f t="shared" si="1765"/>
        <v>0</v>
      </c>
      <c r="COO25">
        <f t="shared" si="1766"/>
        <v>0</v>
      </c>
      <c r="COP25">
        <f t="shared" si="60"/>
        <v>0</v>
      </c>
      <c r="COQ25">
        <f t="shared" si="1767"/>
        <v>0</v>
      </c>
      <c r="COR25">
        <f t="shared" si="1768"/>
        <v>0</v>
      </c>
      <c r="COS25">
        <f t="shared" si="1769"/>
        <v>0</v>
      </c>
      <c r="COT25">
        <f t="shared" si="1770"/>
        <v>0</v>
      </c>
      <c r="COU25">
        <f t="shared" si="1771"/>
        <v>0</v>
      </c>
      <c r="COV25">
        <f t="shared" si="1772"/>
        <v>0</v>
      </c>
      <c r="COW25">
        <f t="shared" si="1773"/>
        <v>0</v>
      </c>
      <c r="COX25">
        <f t="shared" si="1774"/>
        <v>0</v>
      </c>
      <c r="COY25">
        <f t="shared" si="1775"/>
        <v>0</v>
      </c>
      <c r="COZ25">
        <f t="shared" si="1776"/>
        <v>0</v>
      </c>
      <c r="CPA25">
        <f t="shared" si="1777"/>
        <v>0</v>
      </c>
      <c r="CPB25">
        <f t="shared" si="1778"/>
        <v>0</v>
      </c>
      <c r="CPC25">
        <f t="shared" si="1779"/>
        <v>0</v>
      </c>
      <c r="CPD25">
        <f t="shared" si="1780"/>
        <v>0</v>
      </c>
      <c r="CPE25">
        <f t="shared" si="1781"/>
        <v>0</v>
      </c>
      <c r="CPF25">
        <f t="shared" si="1782"/>
        <v>0</v>
      </c>
      <c r="CPG25">
        <f t="shared" si="1783"/>
        <v>0</v>
      </c>
      <c r="CPH25">
        <f t="shared" si="1784"/>
        <v>0</v>
      </c>
      <c r="CPI25">
        <f t="shared" si="1785"/>
        <v>0</v>
      </c>
      <c r="CPJ25">
        <f t="shared" si="1786"/>
        <v>0</v>
      </c>
      <c r="CPK25">
        <f t="shared" si="1787"/>
        <v>0</v>
      </c>
      <c r="CPL25">
        <f t="shared" si="1788"/>
        <v>0</v>
      </c>
      <c r="CPM25">
        <f t="shared" si="1789"/>
        <v>0</v>
      </c>
      <c r="CPN25">
        <f t="shared" si="1790"/>
        <v>0</v>
      </c>
      <c r="CPO25">
        <f t="shared" si="1791"/>
        <v>0</v>
      </c>
      <c r="CPP25">
        <f t="shared" si="1792"/>
        <v>0</v>
      </c>
      <c r="CPQ25">
        <f t="shared" si="1793"/>
        <v>0</v>
      </c>
      <c r="CPR25">
        <f t="shared" si="1794"/>
        <v>0</v>
      </c>
      <c r="CPS25">
        <f t="shared" si="1795"/>
        <v>0</v>
      </c>
      <c r="CPT25">
        <f t="shared" si="1796"/>
        <v>0</v>
      </c>
      <c r="CPU25">
        <f t="shared" si="1797"/>
        <v>0</v>
      </c>
      <c r="CPV25">
        <f t="shared" si="1798"/>
        <v>0</v>
      </c>
      <c r="CPW25">
        <f t="shared" si="1799"/>
        <v>0</v>
      </c>
      <c r="CPX25">
        <f t="shared" si="1800"/>
        <v>0</v>
      </c>
      <c r="CPY25">
        <f t="shared" si="1801"/>
        <v>0</v>
      </c>
      <c r="CPZ25">
        <f t="shared" si="1802"/>
        <v>0</v>
      </c>
      <c r="CQA25">
        <f t="shared" si="1803"/>
        <v>0</v>
      </c>
      <c r="CQB25">
        <f t="shared" si="1804"/>
        <v>0</v>
      </c>
      <c r="CQC25">
        <f t="shared" si="1805"/>
        <v>0</v>
      </c>
      <c r="CQD25">
        <f t="shared" si="1806"/>
        <v>0</v>
      </c>
      <c r="CQE25">
        <f t="shared" si="1807"/>
        <v>0</v>
      </c>
      <c r="CQF25">
        <f t="shared" si="1808"/>
        <v>0</v>
      </c>
      <c r="CQG25">
        <f t="shared" si="1809"/>
        <v>0</v>
      </c>
      <c r="CQH25">
        <f t="shared" si="1810"/>
        <v>0</v>
      </c>
      <c r="CQI25">
        <f t="shared" si="1811"/>
        <v>0</v>
      </c>
      <c r="CQJ25">
        <f t="shared" si="1812"/>
        <v>0</v>
      </c>
      <c r="CQK25">
        <f t="shared" si="1813"/>
        <v>0</v>
      </c>
      <c r="CQL25">
        <f t="shared" si="1814"/>
        <v>0</v>
      </c>
      <c r="CQM25">
        <f t="shared" si="1815"/>
        <v>0</v>
      </c>
      <c r="CQN25">
        <f t="shared" si="1816"/>
        <v>0</v>
      </c>
      <c r="CQO25">
        <f t="shared" si="1817"/>
        <v>0</v>
      </c>
      <c r="CQP25">
        <f t="shared" si="1818"/>
        <v>0</v>
      </c>
      <c r="CQQ25">
        <f t="shared" si="1819"/>
        <v>0</v>
      </c>
      <c r="CQR25">
        <f t="shared" si="1820"/>
        <v>0</v>
      </c>
      <c r="CQS25">
        <f t="shared" si="1821"/>
        <v>0</v>
      </c>
      <c r="CQT25">
        <f t="shared" si="1822"/>
        <v>0</v>
      </c>
      <c r="CQU25">
        <f t="shared" si="1823"/>
        <v>0</v>
      </c>
      <c r="CQV25">
        <f t="shared" si="1824"/>
        <v>0</v>
      </c>
      <c r="CQW25">
        <f t="shared" si="1825"/>
        <v>0</v>
      </c>
      <c r="CQX25">
        <f t="shared" si="1826"/>
        <v>0</v>
      </c>
      <c r="CQY25">
        <f t="shared" si="1827"/>
        <v>0</v>
      </c>
      <c r="CQZ25">
        <f t="shared" si="1828"/>
        <v>0</v>
      </c>
      <c r="CRA25">
        <f t="shared" si="1829"/>
        <v>0</v>
      </c>
      <c r="CRB25">
        <f t="shared" si="61"/>
        <v>0</v>
      </c>
      <c r="CRC25">
        <f t="shared" si="1830"/>
        <v>0</v>
      </c>
      <c r="CRD25">
        <f t="shared" si="1831"/>
        <v>0</v>
      </c>
      <c r="CRE25">
        <f t="shared" si="1832"/>
        <v>0</v>
      </c>
      <c r="CRF25">
        <f t="shared" si="1833"/>
        <v>0</v>
      </c>
      <c r="CRG25">
        <f t="shared" si="1834"/>
        <v>0</v>
      </c>
      <c r="CRH25">
        <f t="shared" si="1835"/>
        <v>0</v>
      </c>
      <c r="CRI25">
        <f t="shared" si="1836"/>
        <v>0</v>
      </c>
      <c r="CRJ25">
        <f t="shared" si="1837"/>
        <v>0</v>
      </c>
      <c r="CRK25">
        <f t="shared" si="1838"/>
        <v>0</v>
      </c>
      <c r="CRL25">
        <f t="shared" si="1839"/>
        <v>0</v>
      </c>
      <c r="CRM25">
        <f t="shared" si="1840"/>
        <v>0</v>
      </c>
      <c r="CRN25">
        <f t="shared" si="1841"/>
        <v>0</v>
      </c>
      <c r="CRO25">
        <f t="shared" si="1842"/>
        <v>0</v>
      </c>
      <c r="CRP25">
        <f t="shared" si="1843"/>
        <v>0</v>
      </c>
      <c r="CRQ25">
        <f t="shared" si="1844"/>
        <v>0</v>
      </c>
      <c r="CRR25">
        <f t="shared" si="1845"/>
        <v>0</v>
      </c>
      <c r="CRS25">
        <f t="shared" si="1846"/>
        <v>0</v>
      </c>
      <c r="CRT25">
        <f t="shared" si="1847"/>
        <v>0</v>
      </c>
      <c r="CRU25">
        <f t="shared" si="1848"/>
        <v>0</v>
      </c>
      <c r="CRV25">
        <f t="shared" si="1849"/>
        <v>0</v>
      </c>
      <c r="CRW25">
        <f t="shared" si="1850"/>
        <v>0</v>
      </c>
      <c r="CRX25">
        <f t="shared" si="1851"/>
        <v>0</v>
      </c>
      <c r="CRY25">
        <f t="shared" si="1852"/>
        <v>0</v>
      </c>
      <c r="CRZ25">
        <f t="shared" si="1853"/>
        <v>0</v>
      </c>
      <c r="CSA25">
        <f t="shared" si="1854"/>
        <v>0</v>
      </c>
      <c r="CSB25">
        <f t="shared" si="1855"/>
        <v>0</v>
      </c>
      <c r="CSC25">
        <f t="shared" si="1856"/>
        <v>0</v>
      </c>
      <c r="CSD25">
        <f t="shared" si="1857"/>
        <v>0</v>
      </c>
      <c r="CSE25">
        <f t="shared" si="1858"/>
        <v>0</v>
      </c>
      <c r="CSF25">
        <f t="shared" si="1859"/>
        <v>0</v>
      </c>
      <c r="CSG25">
        <f t="shared" si="1860"/>
        <v>0</v>
      </c>
      <c r="CSH25">
        <f t="shared" si="1861"/>
        <v>0</v>
      </c>
      <c r="CSI25">
        <f t="shared" si="1862"/>
        <v>0</v>
      </c>
      <c r="CSJ25">
        <f t="shared" si="1863"/>
        <v>0</v>
      </c>
      <c r="CSK25">
        <f t="shared" si="1864"/>
        <v>0</v>
      </c>
      <c r="CSL25">
        <f t="shared" si="1865"/>
        <v>0</v>
      </c>
      <c r="CSM25">
        <f t="shared" si="1866"/>
        <v>0</v>
      </c>
      <c r="CSN25">
        <f t="shared" si="1867"/>
        <v>0</v>
      </c>
      <c r="CSO25">
        <f t="shared" si="1868"/>
        <v>0</v>
      </c>
      <c r="CSP25">
        <f t="shared" si="1869"/>
        <v>0</v>
      </c>
      <c r="CSQ25">
        <f t="shared" si="1870"/>
        <v>0</v>
      </c>
      <c r="CSR25">
        <f t="shared" si="1871"/>
        <v>0</v>
      </c>
      <c r="CSS25">
        <f t="shared" si="1872"/>
        <v>0</v>
      </c>
      <c r="CST25">
        <f t="shared" si="1873"/>
        <v>0</v>
      </c>
      <c r="CSU25">
        <f t="shared" si="1874"/>
        <v>0</v>
      </c>
      <c r="CSV25">
        <f t="shared" si="1875"/>
        <v>0</v>
      </c>
      <c r="CSW25">
        <f t="shared" si="1876"/>
        <v>0</v>
      </c>
      <c r="CSX25">
        <f t="shared" si="1877"/>
        <v>0</v>
      </c>
      <c r="CSY25">
        <f t="shared" si="1878"/>
        <v>0</v>
      </c>
      <c r="CSZ25">
        <f t="shared" si="1879"/>
        <v>0</v>
      </c>
      <c r="CTA25">
        <f t="shared" si="1880"/>
        <v>0</v>
      </c>
      <c r="CTB25">
        <f t="shared" si="1881"/>
        <v>0</v>
      </c>
      <c r="CTC25">
        <f t="shared" si="1882"/>
        <v>0</v>
      </c>
      <c r="CTD25">
        <f t="shared" si="1883"/>
        <v>0</v>
      </c>
      <c r="CTE25">
        <f t="shared" si="1884"/>
        <v>0</v>
      </c>
      <c r="CTF25">
        <f t="shared" si="1885"/>
        <v>0</v>
      </c>
      <c r="CTG25">
        <f t="shared" si="1886"/>
        <v>0</v>
      </c>
      <c r="CTH25">
        <f t="shared" si="1887"/>
        <v>0</v>
      </c>
      <c r="CTI25">
        <f t="shared" si="1888"/>
        <v>0</v>
      </c>
      <c r="CTJ25">
        <f t="shared" si="1889"/>
        <v>0</v>
      </c>
      <c r="CTK25">
        <f t="shared" si="1890"/>
        <v>0</v>
      </c>
      <c r="CTL25">
        <f t="shared" si="1891"/>
        <v>0</v>
      </c>
      <c r="CTM25">
        <f t="shared" si="1892"/>
        <v>0</v>
      </c>
      <c r="CTN25">
        <f t="shared" si="62"/>
        <v>0</v>
      </c>
      <c r="CTO25">
        <f t="shared" si="1893"/>
        <v>0</v>
      </c>
      <c r="CTP25">
        <f t="shared" si="1894"/>
        <v>0</v>
      </c>
      <c r="CTQ25">
        <f t="shared" si="1895"/>
        <v>0</v>
      </c>
      <c r="CTR25">
        <f t="shared" si="1896"/>
        <v>0</v>
      </c>
      <c r="CTS25">
        <f t="shared" si="1897"/>
        <v>0</v>
      </c>
      <c r="CTT25">
        <f t="shared" si="1898"/>
        <v>0</v>
      </c>
      <c r="CTU25">
        <f t="shared" si="1899"/>
        <v>0</v>
      </c>
      <c r="CTV25">
        <f t="shared" si="1900"/>
        <v>0</v>
      </c>
      <c r="CTW25">
        <f t="shared" si="1901"/>
        <v>0</v>
      </c>
      <c r="CTX25">
        <f t="shared" si="1902"/>
        <v>0</v>
      </c>
      <c r="CTY25">
        <f t="shared" si="1903"/>
        <v>0</v>
      </c>
      <c r="CTZ25">
        <f t="shared" si="1904"/>
        <v>0</v>
      </c>
      <c r="CUA25">
        <f t="shared" si="1905"/>
        <v>0</v>
      </c>
      <c r="CUB25">
        <f t="shared" si="1906"/>
        <v>0</v>
      </c>
      <c r="CUC25">
        <f t="shared" si="1907"/>
        <v>0</v>
      </c>
      <c r="CUD25">
        <f t="shared" si="1908"/>
        <v>0</v>
      </c>
      <c r="CUE25">
        <f t="shared" si="1909"/>
        <v>0</v>
      </c>
      <c r="CUF25">
        <f t="shared" si="1910"/>
        <v>0</v>
      </c>
      <c r="CUG25">
        <f t="shared" si="1911"/>
        <v>0</v>
      </c>
      <c r="CUH25">
        <f t="shared" si="1912"/>
        <v>0</v>
      </c>
      <c r="CUI25">
        <f t="shared" si="1913"/>
        <v>0</v>
      </c>
      <c r="CUJ25">
        <f t="shared" si="1914"/>
        <v>0</v>
      </c>
      <c r="CUK25">
        <f t="shared" si="1915"/>
        <v>0</v>
      </c>
      <c r="CUL25">
        <f t="shared" si="1916"/>
        <v>0</v>
      </c>
      <c r="CUM25">
        <f t="shared" si="1917"/>
        <v>0</v>
      </c>
      <c r="CUN25">
        <f t="shared" si="1918"/>
        <v>0</v>
      </c>
      <c r="CUO25">
        <f t="shared" si="1919"/>
        <v>0</v>
      </c>
      <c r="CUP25">
        <f t="shared" si="1920"/>
        <v>0</v>
      </c>
      <c r="CUQ25">
        <f t="shared" si="1921"/>
        <v>0</v>
      </c>
      <c r="CUR25">
        <f t="shared" si="1922"/>
        <v>0</v>
      </c>
      <c r="CUS25">
        <f t="shared" si="1923"/>
        <v>0</v>
      </c>
      <c r="CUT25">
        <f t="shared" si="1924"/>
        <v>0</v>
      </c>
      <c r="CUU25">
        <f t="shared" si="1925"/>
        <v>0</v>
      </c>
      <c r="CUV25">
        <f t="shared" si="1926"/>
        <v>0</v>
      </c>
      <c r="CUW25">
        <f t="shared" si="1927"/>
        <v>0</v>
      </c>
      <c r="CUX25">
        <f t="shared" si="1928"/>
        <v>0</v>
      </c>
      <c r="CUY25">
        <f t="shared" si="1929"/>
        <v>0</v>
      </c>
      <c r="CUZ25">
        <f t="shared" si="1930"/>
        <v>0</v>
      </c>
      <c r="CVA25">
        <f t="shared" si="1931"/>
        <v>0</v>
      </c>
      <c r="CVB25">
        <f t="shared" si="1932"/>
        <v>0</v>
      </c>
      <c r="CVC25">
        <f t="shared" si="1933"/>
        <v>0</v>
      </c>
      <c r="CVD25">
        <f t="shared" si="1934"/>
        <v>0</v>
      </c>
      <c r="CVE25">
        <f t="shared" si="1935"/>
        <v>0</v>
      </c>
      <c r="CVF25">
        <f t="shared" si="1936"/>
        <v>0</v>
      </c>
      <c r="CVG25">
        <f t="shared" si="1937"/>
        <v>0</v>
      </c>
      <c r="CVH25">
        <f t="shared" si="1938"/>
        <v>0</v>
      </c>
      <c r="CVI25">
        <f t="shared" si="1939"/>
        <v>0</v>
      </c>
      <c r="CVJ25">
        <f t="shared" si="1940"/>
        <v>0</v>
      </c>
      <c r="CVK25">
        <f t="shared" si="1941"/>
        <v>0</v>
      </c>
      <c r="CVL25">
        <f t="shared" si="1942"/>
        <v>0</v>
      </c>
      <c r="CVM25">
        <f t="shared" si="1943"/>
        <v>0</v>
      </c>
      <c r="CVN25">
        <f t="shared" si="1944"/>
        <v>0</v>
      </c>
      <c r="CVO25">
        <f t="shared" si="1945"/>
        <v>0</v>
      </c>
      <c r="CVP25">
        <f t="shared" si="1946"/>
        <v>0</v>
      </c>
      <c r="CVQ25">
        <f t="shared" si="1947"/>
        <v>0</v>
      </c>
      <c r="CVR25">
        <f t="shared" si="1948"/>
        <v>0</v>
      </c>
      <c r="CVS25">
        <f t="shared" si="1949"/>
        <v>0</v>
      </c>
      <c r="CVT25">
        <f t="shared" si="1950"/>
        <v>0</v>
      </c>
      <c r="CVU25">
        <f t="shared" si="1951"/>
        <v>0</v>
      </c>
      <c r="CVV25">
        <f t="shared" si="1952"/>
        <v>0</v>
      </c>
      <c r="CVW25">
        <f t="shared" si="1953"/>
        <v>0</v>
      </c>
      <c r="CVX25">
        <f t="shared" si="1954"/>
        <v>0</v>
      </c>
      <c r="CVY25">
        <f t="shared" si="1955"/>
        <v>0</v>
      </c>
      <c r="CVZ25">
        <f t="shared" si="63"/>
        <v>0</v>
      </c>
      <c r="CWA25">
        <f t="shared" si="1956"/>
        <v>0</v>
      </c>
      <c r="CWB25">
        <f t="shared" si="1957"/>
        <v>0</v>
      </c>
      <c r="CWC25">
        <f t="shared" si="1958"/>
        <v>0</v>
      </c>
      <c r="CWD25">
        <f t="shared" si="1959"/>
        <v>0</v>
      </c>
      <c r="CWE25">
        <f t="shared" si="1960"/>
        <v>0</v>
      </c>
      <c r="CWF25">
        <f t="shared" si="1961"/>
        <v>0</v>
      </c>
      <c r="CWG25">
        <f t="shared" si="1962"/>
        <v>0</v>
      </c>
      <c r="CWH25">
        <f t="shared" si="1963"/>
        <v>0</v>
      </c>
      <c r="CWI25">
        <f t="shared" si="1964"/>
        <v>0</v>
      </c>
      <c r="CWJ25">
        <f t="shared" si="1965"/>
        <v>0</v>
      </c>
      <c r="CWK25">
        <f t="shared" si="1966"/>
        <v>0</v>
      </c>
      <c r="CWL25">
        <f t="shared" si="1967"/>
        <v>0</v>
      </c>
      <c r="CWM25">
        <f t="shared" si="1968"/>
        <v>0</v>
      </c>
      <c r="CWN25">
        <f t="shared" si="1969"/>
        <v>0</v>
      </c>
      <c r="CWO25">
        <f t="shared" si="1970"/>
        <v>0</v>
      </c>
      <c r="CWP25">
        <f t="shared" si="1971"/>
        <v>0</v>
      </c>
      <c r="CWQ25">
        <f t="shared" si="1972"/>
        <v>0</v>
      </c>
      <c r="CWR25">
        <f t="shared" si="1973"/>
        <v>0</v>
      </c>
      <c r="CWS25">
        <f t="shared" si="1974"/>
        <v>0</v>
      </c>
      <c r="CWT25">
        <f t="shared" si="1975"/>
        <v>0</v>
      </c>
      <c r="CWU25">
        <f t="shared" si="1976"/>
        <v>0</v>
      </c>
      <c r="CWV25">
        <f t="shared" si="1977"/>
        <v>0</v>
      </c>
      <c r="CWW25">
        <f t="shared" si="1978"/>
        <v>0</v>
      </c>
      <c r="CWX25">
        <f t="shared" si="1979"/>
        <v>0</v>
      </c>
      <c r="CWY25">
        <f t="shared" si="1980"/>
        <v>0</v>
      </c>
      <c r="CWZ25">
        <f t="shared" si="1981"/>
        <v>0</v>
      </c>
      <c r="CXA25">
        <f t="shared" si="1982"/>
        <v>0</v>
      </c>
      <c r="CXB25">
        <f t="shared" si="1983"/>
        <v>0</v>
      </c>
      <c r="CXC25">
        <f t="shared" si="1984"/>
        <v>0</v>
      </c>
      <c r="CXD25">
        <f t="shared" si="1985"/>
        <v>0</v>
      </c>
      <c r="CXE25">
        <f t="shared" si="1986"/>
        <v>0</v>
      </c>
      <c r="CXF25">
        <f t="shared" si="1987"/>
        <v>0</v>
      </c>
      <c r="CXG25">
        <f t="shared" si="1988"/>
        <v>0</v>
      </c>
      <c r="CXH25">
        <f t="shared" si="1989"/>
        <v>0</v>
      </c>
      <c r="CXI25">
        <f t="shared" si="1990"/>
        <v>0</v>
      </c>
      <c r="CXJ25">
        <f t="shared" si="1991"/>
        <v>0</v>
      </c>
      <c r="CXK25">
        <f t="shared" si="1992"/>
        <v>0</v>
      </c>
      <c r="CXL25">
        <f t="shared" si="1993"/>
        <v>0</v>
      </c>
      <c r="CXM25">
        <f t="shared" si="1994"/>
        <v>0</v>
      </c>
      <c r="CXN25">
        <f t="shared" si="1995"/>
        <v>0</v>
      </c>
      <c r="CXO25">
        <f t="shared" si="1996"/>
        <v>0</v>
      </c>
      <c r="CXP25">
        <f t="shared" si="1997"/>
        <v>0</v>
      </c>
      <c r="CXQ25">
        <f t="shared" si="1998"/>
        <v>0</v>
      </c>
      <c r="CXR25">
        <f t="shared" si="1999"/>
        <v>0</v>
      </c>
      <c r="CXS25">
        <f t="shared" si="2000"/>
        <v>0</v>
      </c>
      <c r="CXT25">
        <f t="shared" si="2001"/>
        <v>0</v>
      </c>
      <c r="CXU25">
        <f t="shared" si="2002"/>
        <v>0</v>
      </c>
      <c r="CXV25">
        <f t="shared" si="2003"/>
        <v>0</v>
      </c>
      <c r="CXW25">
        <f t="shared" si="2004"/>
        <v>0</v>
      </c>
      <c r="CXX25">
        <f t="shared" si="2005"/>
        <v>0</v>
      </c>
      <c r="CXY25">
        <f t="shared" si="2006"/>
        <v>0</v>
      </c>
      <c r="CXZ25">
        <f t="shared" si="2007"/>
        <v>0</v>
      </c>
      <c r="CYA25">
        <f t="shared" si="2008"/>
        <v>0</v>
      </c>
      <c r="CYB25">
        <f t="shared" si="2009"/>
        <v>0</v>
      </c>
      <c r="CYC25">
        <f t="shared" si="2010"/>
        <v>0</v>
      </c>
      <c r="CYD25">
        <f t="shared" si="2011"/>
        <v>0</v>
      </c>
      <c r="CYE25">
        <f t="shared" si="2012"/>
        <v>0</v>
      </c>
      <c r="CYF25">
        <f t="shared" si="2013"/>
        <v>0</v>
      </c>
      <c r="CYG25">
        <f t="shared" si="2014"/>
        <v>0</v>
      </c>
      <c r="CYH25">
        <f t="shared" si="2015"/>
        <v>0</v>
      </c>
      <c r="CYI25">
        <f t="shared" si="2016"/>
        <v>0</v>
      </c>
      <c r="CYJ25">
        <f t="shared" si="2017"/>
        <v>0</v>
      </c>
      <c r="CYK25">
        <f t="shared" si="2018"/>
        <v>0</v>
      </c>
      <c r="CYL25">
        <f t="shared" si="64"/>
        <v>0</v>
      </c>
      <c r="CYM25">
        <f t="shared" si="2019"/>
        <v>0</v>
      </c>
      <c r="CYN25">
        <f t="shared" si="2020"/>
        <v>0</v>
      </c>
      <c r="CYO25">
        <f t="shared" si="2021"/>
        <v>0</v>
      </c>
      <c r="CYP25">
        <f t="shared" si="2022"/>
        <v>0</v>
      </c>
      <c r="CYQ25">
        <f t="shared" si="2023"/>
        <v>0</v>
      </c>
      <c r="CYR25">
        <f t="shared" si="2024"/>
        <v>0</v>
      </c>
      <c r="CYS25">
        <f t="shared" si="2025"/>
        <v>0</v>
      </c>
      <c r="CYT25">
        <f t="shared" si="2026"/>
        <v>0</v>
      </c>
      <c r="CYU25">
        <f t="shared" si="2027"/>
        <v>0</v>
      </c>
      <c r="CYV25">
        <f t="shared" si="2028"/>
        <v>0</v>
      </c>
      <c r="CYW25">
        <f t="shared" si="2029"/>
        <v>0</v>
      </c>
      <c r="CYX25">
        <f t="shared" si="2030"/>
        <v>0</v>
      </c>
      <c r="CYY25">
        <f t="shared" si="2031"/>
        <v>0</v>
      </c>
      <c r="CYZ25">
        <f t="shared" si="2032"/>
        <v>0</v>
      </c>
      <c r="CZA25">
        <f t="shared" si="2033"/>
        <v>0</v>
      </c>
      <c r="CZB25">
        <f t="shared" si="2034"/>
        <v>0</v>
      </c>
      <c r="CZC25">
        <f t="shared" si="2035"/>
        <v>0</v>
      </c>
      <c r="CZD25">
        <f t="shared" si="2036"/>
        <v>0</v>
      </c>
      <c r="CZE25">
        <f t="shared" si="2037"/>
        <v>0</v>
      </c>
      <c r="CZF25">
        <f t="shared" si="2038"/>
        <v>0</v>
      </c>
      <c r="CZG25">
        <f t="shared" si="2039"/>
        <v>0</v>
      </c>
      <c r="CZH25">
        <f t="shared" si="2040"/>
        <v>0</v>
      </c>
      <c r="CZI25">
        <f t="shared" si="2041"/>
        <v>0</v>
      </c>
      <c r="CZJ25">
        <f t="shared" si="2042"/>
        <v>0</v>
      </c>
      <c r="CZK25">
        <f t="shared" si="2043"/>
        <v>0</v>
      </c>
      <c r="CZL25">
        <f t="shared" si="2044"/>
        <v>0</v>
      </c>
      <c r="CZM25">
        <f t="shared" si="2045"/>
        <v>0</v>
      </c>
      <c r="CZN25">
        <f t="shared" si="2046"/>
        <v>0</v>
      </c>
      <c r="CZO25">
        <f t="shared" si="2047"/>
        <v>0</v>
      </c>
      <c r="CZP25">
        <f t="shared" si="2048"/>
        <v>0</v>
      </c>
      <c r="CZQ25">
        <f t="shared" si="2049"/>
        <v>0</v>
      </c>
      <c r="CZR25">
        <f t="shared" si="2050"/>
        <v>0</v>
      </c>
      <c r="CZS25">
        <f t="shared" si="2051"/>
        <v>0</v>
      </c>
      <c r="CZT25">
        <f t="shared" si="2052"/>
        <v>0</v>
      </c>
      <c r="CZU25">
        <f t="shared" si="2053"/>
        <v>0</v>
      </c>
      <c r="CZV25">
        <f t="shared" si="2054"/>
        <v>0</v>
      </c>
      <c r="CZW25">
        <f t="shared" si="2055"/>
        <v>0</v>
      </c>
      <c r="CZX25">
        <f t="shared" si="2056"/>
        <v>0</v>
      </c>
      <c r="CZY25">
        <f t="shared" si="2057"/>
        <v>0</v>
      </c>
      <c r="CZZ25">
        <f t="shared" si="2058"/>
        <v>0</v>
      </c>
      <c r="DAA25">
        <f t="shared" si="2059"/>
        <v>0</v>
      </c>
      <c r="DAB25">
        <f t="shared" si="2060"/>
        <v>0</v>
      </c>
      <c r="DAC25">
        <f t="shared" si="2061"/>
        <v>0</v>
      </c>
      <c r="DAD25">
        <f t="shared" si="2062"/>
        <v>0</v>
      </c>
      <c r="DAE25">
        <f t="shared" si="2063"/>
        <v>0</v>
      </c>
      <c r="DAF25">
        <f t="shared" si="2064"/>
        <v>0</v>
      </c>
      <c r="DAG25">
        <f t="shared" si="2065"/>
        <v>0</v>
      </c>
      <c r="DAH25">
        <f t="shared" si="2066"/>
        <v>0</v>
      </c>
      <c r="DAI25">
        <f t="shared" si="2067"/>
        <v>0</v>
      </c>
      <c r="DAJ25">
        <f t="shared" si="2068"/>
        <v>0</v>
      </c>
      <c r="DAK25">
        <f t="shared" si="2069"/>
        <v>0</v>
      </c>
      <c r="DAL25">
        <f t="shared" si="2070"/>
        <v>0</v>
      </c>
      <c r="DAM25">
        <f t="shared" si="2071"/>
        <v>0</v>
      </c>
      <c r="DAN25">
        <f t="shared" si="2072"/>
        <v>0</v>
      </c>
      <c r="DAO25">
        <f t="shared" si="2073"/>
        <v>0</v>
      </c>
      <c r="DAP25">
        <f t="shared" si="2074"/>
        <v>0</v>
      </c>
      <c r="DAQ25">
        <f t="shared" si="2075"/>
        <v>0</v>
      </c>
      <c r="DAR25">
        <f t="shared" si="2076"/>
        <v>0</v>
      </c>
      <c r="DAS25">
        <f t="shared" si="2077"/>
        <v>0</v>
      </c>
      <c r="DAT25">
        <f t="shared" si="2078"/>
        <v>0</v>
      </c>
      <c r="DAU25">
        <f t="shared" si="2079"/>
        <v>0</v>
      </c>
      <c r="DAV25">
        <f t="shared" si="2080"/>
        <v>0</v>
      </c>
      <c r="DAW25">
        <f t="shared" si="2081"/>
        <v>0</v>
      </c>
      <c r="DAX25">
        <f t="shared" si="65"/>
        <v>0</v>
      </c>
      <c r="DAY25">
        <f t="shared" si="2142"/>
        <v>0</v>
      </c>
      <c r="DAZ25">
        <f t="shared" si="2143"/>
        <v>0</v>
      </c>
      <c r="DBA25">
        <f t="shared" si="2144"/>
        <v>0</v>
      </c>
      <c r="DBB25">
        <f t="shared" si="2082"/>
        <v>0</v>
      </c>
      <c r="DBC25">
        <f t="shared" si="2083"/>
        <v>0</v>
      </c>
      <c r="DBD25">
        <f t="shared" si="2084"/>
        <v>0</v>
      </c>
      <c r="DBE25">
        <f t="shared" si="2085"/>
        <v>0</v>
      </c>
      <c r="DBF25">
        <f t="shared" si="2086"/>
        <v>0</v>
      </c>
      <c r="DBG25">
        <f t="shared" si="2087"/>
        <v>0</v>
      </c>
      <c r="DBH25">
        <f t="shared" si="2088"/>
        <v>0</v>
      </c>
      <c r="DBI25">
        <f t="shared" si="2089"/>
        <v>0</v>
      </c>
      <c r="DBJ25">
        <f t="shared" si="2090"/>
        <v>0</v>
      </c>
      <c r="DBK25">
        <f t="shared" si="2091"/>
        <v>0</v>
      </c>
      <c r="DBL25">
        <f t="shared" si="2092"/>
        <v>0</v>
      </c>
      <c r="DBM25">
        <f t="shared" si="2093"/>
        <v>0</v>
      </c>
      <c r="DBN25">
        <f t="shared" si="2094"/>
        <v>0</v>
      </c>
      <c r="DBO25">
        <f t="shared" si="2095"/>
        <v>0</v>
      </c>
      <c r="DBP25">
        <f t="shared" si="2096"/>
        <v>0</v>
      </c>
      <c r="DBQ25">
        <f t="shared" si="2097"/>
        <v>0</v>
      </c>
      <c r="DBR25">
        <f t="shared" si="2098"/>
        <v>0</v>
      </c>
      <c r="DBS25">
        <f t="shared" si="2099"/>
        <v>0</v>
      </c>
      <c r="DBT25">
        <f t="shared" si="2100"/>
        <v>0</v>
      </c>
      <c r="DBU25">
        <f t="shared" si="2101"/>
        <v>0</v>
      </c>
      <c r="DBV25">
        <f t="shared" si="2102"/>
        <v>0</v>
      </c>
      <c r="DBW25">
        <f t="shared" si="2103"/>
        <v>0</v>
      </c>
      <c r="DBX25">
        <f t="shared" si="2104"/>
        <v>0</v>
      </c>
      <c r="DBY25">
        <f t="shared" si="2105"/>
        <v>0</v>
      </c>
      <c r="DBZ25">
        <f t="shared" si="2106"/>
        <v>0</v>
      </c>
      <c r="DCA25">
        <f t="shared" si="2107"/>
        <v>0</v>
      </c>
      <c r="DCB25">
        <f t="shared" si="2108"/>
        <v>0</v>
      </c>
      <c r="DCC25">
        <f t="shared" si="2109"/>
        <v>0</v>
      </c>
      <c r="DCD25">
        <f t="shared" si="2110"/>
        <v>0</v>
      </c>
      <c r="DCE25">
        <f t="shared" si="2111"/>
        <v>0</v>
      </c>
      <c r="DCF25">
        <f t="shared" si="2112"/>
        <v>0</v>
      </c>
      <c r="DCG25">
        <f t="shared" si="2113"/>
        <v>0</v>
      </c>
      <c r="DCH25">
        <f t="shared" si="2114"/>
        <v>0</v>
      </c>
      <c r="DCI25">
        <f t="shared" si="2115"/>
        <v>0</v>
      </c>
      <c r="DCJ25">
        <f t="shared" si="2116"/>
        <v>0</v>
      </c>
      <c r="DCK25">
        <f t="shared" si="2117"/>
        <v>0</v>
      </c>
      <c r="DCL25">
        <f t="shared" si="2118"/>
        <v>0</v>
      </c>
      <c r="DCM25">
        <f t="shared" si="2119"/>
        <v>0</v>
      </c>
      <c r="DCN25">
        <f t="shared" si="2120"/>
        <v>0</v>
      </c>
      <c r="DCO25">
        <f t="shared" si="2121"/>
        <v>0</v>
      </c>
      <c r="DCP25">
        <f t="shared" si="2122"/>
        <v>0</v>
      </c>
      <c r="DCQ25">
        <f t="shared" si="2123"/>
        <v>0</v>
      </c>
      <c r="DCR25">
        <f t="shared" si="2124"/>
        <v>0</v>
      </c>
      <c r="DCS25">
        <f t="shared" si="2125"/>
        <v>0</v>
      </c>
      <c r="DCT25">
        <f t="shared" si="2126"/>
        <v>0</v>
      </c>
      <c r="DCU25">
        <f t="shared" si="2127"/>
        <v>0</v>
      </c>
      <c r="DCV25">
        <f t="shared" si="2128"/>
        <v>0</v>
      </c>
      <c r="DCW25">
        <f t="shared" si="2129"/>
        <v>0</v>
      </c>
      <c r="DCX25">
        <f t="shared" si="2130"/>
        <v>0</v>
      </c>
      <c r="DCY25">
        <f t="shared" si="2131"/>
        <v>0</v>
      </c>
      <c r="DCZ25">
        <f t="shared" si="2132"/>
        <v>0</v>
      </c>
      <c r="DDA25">
        <f t="shared" si="2133"/>
        <v>0</v>
      </c>
      <c r="DDB25">
        <f t="shared" si="2134"/>
        <v>0</v>
      </c>
      <c r="DDC25">
        <f t="shared" si="2135"/>
        <v>0</v>
      </c>
      <c r="DDD25">
        <f t="shared" si="2136"/>
        <v>0</v>
      </c>
      <c r="DDE25">
        <f t="shared" si="2137"/>
        <v>0</v>
      </c>
      <c r="DDF25">
        <f t="shared" si="2138"/>
        <v>0</v>
      </c>
      <c r="DDG25">
        <f t="shared" si="2139"/>
        <v>0</v>
      </c>
      <c r="DDH25">
        <f t="shared" si="2140"/>
        <v>0</v>
      </c>
      <c r="DDI25">
        <f t="shared" si="2141"/>
        <v>0</v>
      </c>
    </row>
    <row r="26" spans="1:2817" x14ac:dyDescent="0.2">
      <c r="A26" s="1">
        <v>20</v>
      </c>
      <c r="B26">
        <f>'Demand Stage 2'!B25</f>
        <v>0</v>
      </c>
      <c r="C26">
        <f>'Demand Stage 2'!C25</f>
        <v>0</v>
      </c>
      <c r="D26">
        <f>'Demand Stage 2'!D25</f>
        <v>0</v>
      </c>
      <c r="E26">
        <f>'Demand Stage 2'!E25</f>
        <v>0</v>
      </c>
      <c r="F26">
        <f>'Demand Stage 2'!F25</f>
        <v>0</v>
      </c>
      <c r="G26">
        <f>'Demand Stage 2'!G25</f>
        <v>0</v>
      </c>
      <c r="H26">
        <f>'Demand Stage 2'!H25</f>
        <v>0</v>
      </c>
      <c r="I26">
        <f>'Demand Stage 2'!I25</f>
        <v>0</v>
      </c>
      <c r="J26">
        <f>'Demand Stage 2'!J25</f>
        <v>0</v>
      </c>
      <c r="K26">
        <f>'Demand Stage 2'!K25</f>
        <v>0</v>
      </c>
      <c r="L26">
        <f>'Demand Stage 2'!L25</f>
        <v>0</v>
      </c>
      <c r="M26">
        <f>'Demand Stage 2'!M25</f>
        <v>0</v>
      </c>
      <c r="N26">
        <f>'Demand Stage 2'!N25</f>
        <v>0</v>
      </c>
      <c r="O26">
        <f>'Demand Stage 2'!O25</f>
        <v>0</v>
      </c>
      <c r="P26">
        <f>'Demand Stage 2'!P25</f>
        <v>0</v>
      </c>
      <c r="Q26">
        <f>'Demand Stage 2'!Q25</f>
        <v>0</v>
      </c>
      <c r="R26">
        <f>'Demand Stage 2'!R25</f>
        <v>0</v>
      </c>
      <c r="S26">
        <f>'Demand Stage 2'!S25</f>
        <v>0</v>
      </c>
      <c r="T26">
        <f>'Demand Stage 2'!T25</f>
        <v>0</v>
      </c>
      <c r="U26">
        <f>'Demand Stage 2'!U25</f>
        <v>0</v>
      </c>
      <c r="V26">
        <f>'Demand Stage 2'!V25</f>
        <v>0</v>
      </c>
      <c r="W26">
        <f>'Demand Stage 2'!W25</f>
        <v>0</v>
      </c>
      <c r="X26">
        <f>'Demand Stage 2'!X25</f>
        <v>0</v>
      </c>
      <c r="Y26">
        <f>'Demand Stage 2'!Y25</f>
        <v>0</v>
      </c>
      <c r="Z26">
        <f>'Demand Stage 2'!Z25</f>
        <v>0</v>
      </c>
      <c r="AA26">
        <f>'Demand Stage 2'!AA25</f>
        <v>0</v>
      </c>
      <c r="AB26">
        <f>'Demand Stage 2'!AB25</f>
        <v>0</v>
      </c>
      <c r="AC26">
        <f>'Demand Stage 2'!AC25</f>
        <v>0</v>
      </c>
      <c r="AD26">
        <f>'Demand Stage 2'!AD25</f>
        <v>0</v>
      </c>
      <c r="AE26">
        <f>'Demand Stage 2'!AE25</f>
        <v>0</v>
      </c>
      <c r="AF26">
        <f>'Demand Stage 2'!AF25</f>
        <v>0</v>
      </c>
      <c r="AG26">
        <f>'Demand Stage 2'!AG25</f>
        <v>0</v>
      </c>
      <c r="AH26">
        <f>'Demand Stage 2'!AH25</f>
        <v>0</v>
      </c>
      <c r="AI26">
        <f>'Demand Stage 2'!AI25</f>
        <v>0</v>
      </c>
      <c r="AJ26">
        <f>'Demand Stage 2'!AJ25</f>
        <v>0</v>
      </c>
      <c r="AK26">
        <f>'Demand Stage 2'!AK25</f>
        <v>0</v>
      </c>
      <c r="AL26">
        <f>'Demand Stage 2'!AL25</f>
        <v>0</v>
      </c>
      <c r="AM26">
        <f>'Demand Stage 2'!AM25</f>
        <v>0</v>
      </c>
      <c r="AN26">
        <f>'Demand Stage 2'!AN25</f>
        <v>0</v>
      </c>
      <c r="AO26">
        <f>'Demand Stage 2'!AO25</f>
        <v>0</v>
      </c>
      <c r="AP26">
        <f>'Demand Stage 2'!AP25</f>
        <v>0</v>
      </c>
      <c r="AQ26">
        <f>'Demand Stage 2'!AQ25</f>
        <v>0</v>
      </c>
      <c r="AR26">
        <f>'Demand Stage 2'!AR25</f>
        <v>0</v>
      </c>
      <c r="AS26">
        <f>'Demand Stage 2'!AS25</f>
        <v>0</v>
      </c>
      <c r="AT26">
        <f>'Demand Stage 2'!AT25</f>
        <v>0</v>
      </c>
      <c r="AU26">
        <f>'Demand Stage 2'!AU25</f>
        <v>0</v>
      </c>
      <c r="AV26">
        <f>'Demand Stage 2'!AV25</f>
        <v>0</v>
      </c>
      <c r="AW26">
        <f>'Demand Stage 2'!AW25</f>
        <v>0</v>
      </c>
      <c r="AX26">
        <f>'Demand Stage 2'!AX25</f>
        <v>0</v>
      </c>
      <c r="AY26">
        <f>'Demand Stage 2'!AY25</f>
        <v>0</v>
      </c>
      <c r="AZ26">
        <f>'Demand Stage 2'!AZ25</f>
        <v>0</v>
      </c>
      <c r="BA26">
        <f>'Demand Stage 2'!BA25</f>
        <v>0</v>
      </c>
      <c r="BB26">
        <f>'Demand Stage 2'!BB25</f>
        <v>0</v>
      </c>
      <c r="BC26">
        <f>'Demand Stage 2'!BC25</f>
        <v>0</v>
      </c>
      <c r="BD26">
        <f>'Demand Stage 2'!BD25</f>
        <v>0</v>
      </c>
      <c r="BE26">
        <f>'Demand Stage 2'!BE25</f>
        <v>0</v>
      </c>
      <c r="BF26">
        <f>'Demand Stage 2'!BF25</f>
        <v>0</v>
      </c>
      <c r="BG26">
        <f>'Demand Stage 2'!BG25</f>
        <v>0</v>
      </c>
      <c r="BH26">
        <f>'Demand Stage 2'!BH25</f>
        <v>0</v>
      </c>
      <c r="BI26">
        <f>'Demand Stage 2'!BI25</f>
        <v>0</v>
      </c>
      <c r="BJ26">
        <f>'Demand Stage 2'!BJ25</f>
        <v>0</v>
      </c>
      <c r="BK26">
        <f>'Demand Stage 2'!BK25</f>
        <v>0</v>
      </c>
      <c r="BL26">
        <f>'Demand Stage 2'!BL25</f>
        <v>0</v>
      </c>
      <c r="BM26">
        <f>'Demand Stage 2'!BM25</f>
        <v>0</v>
      </c>
      <c r="BN26">
        <f>'Demand Stage 2'!BN25</f>
        <v>0</v>
      </c>
      <c r="BO26">
        <f>'Demand Stage 2'!BO25</f>
        <v>0</v>
      </c>
      <c r="BP26">
        <f>'Demand Stage 2'!BP25</f>
        <v>0</v>
      </c>
      <c r="BQ26">
        <f>'Demand Stage 2'!BQ25</f>
        <v>0</v>
      </c>
      <c r="BR26">
        <f>'Demand Stage 2'!BR25</f>
        <v>0</v>
      </c>
      <c r="BS26">
        <f>'Demand Stage 2'!BS25</f>
        <v>0</v>
      </c>
      <c r="BT26">
        <f>'Demand Stage 2'!BT25</f>
        <v>0</v>
      </c>
      <c r="BU26">
        <f>'Demand Stage 2'!BU25</f>
        <v>0</v>
      </c>
      <c r="BV26">
        <f>'Demand Stage 2'!BV25</f>
        <v>0</v>
      </c>
      <c r="BW26">
        <f>'Demand Stage 2'!BW25</f>
        <v>0</v>
      </c>
      <c r="BX26">
        <f>'Demand Stage 2'!BX25</f>
        <v>0</v>
      </c>
      <c r="BY26">
        <f>'Demand Stage 2'!BY25</f>
        <v>0</v>
      </c>
      <c r="BZ26">
        <f>'Demand Stage 2'!BZ25</f>
        <v>0</v>
      </c>
      <c r="CA26">
        <f>'Demand Stage 2'!CA25</f>
        <v>0</v>
      </c>
      <c r="CB26">
        <f>'Demand Stage 2'!CB25</f>
        <v>0</v>
      </c>
      <c r="CC26">
        <f>'Demand Stage 2'!CC25</f>
        <v>0</v>
      </c>
      <c r="CD26">
        <f>'Demand Stage 2'!CD25</f>
        <v>0</v>
      </c>
      <c r="CE26">
        <f>'Demand Stage 2'!CE25</f>
        <v>0</v>
      </c>
      <c r="CF26">
        <f>'Demand Stage 2'!CF25</f>
        <v>0</v>
      </c>
      <c r="CG26">
        <f>'Demand Stage 2'!CG25</f>
        <v>0</v>
      </c>
      <c r="CH26">
        <f>'Demand Stage 2'!CH25</f>
        <v>0</v>
      </c>
      <c r="CI26">
        <f>'Demand Stage 2'!CI25</f>
        <v>0</v>
      </c>
      <c r="CJ26">
        <f>'Demand Stage 2'!CJ25</f>
        <v>0</v>
      </c>
      <c r="CK26">
        <f>'Demand Stage 2'!CK25</f>
        <v>0</v>
      </c>
      <c r="CL26">
        <f>'Demand Stage 2'!CL25</f>
        <v>0</v>
      </c>
      <c r="CM26">
        <f>'Demand Stage 2'!CM25</f>
        <v>0</v>
      </c>
      <c r="CN26">
        <f>'Demand Stage 2'!CN25</f>
        <v>0</v>
      </c>
      <c r="CO26">
        <f>'Demand Stage 2'!CO25</f>
        <v>0</v>
      </c>
      <c r="CP26">
        <f>'Demand Stage 2'!CP25</f>
        <v>0</v>
      </c>
      <c r="CQ26">
        <f>'Demand Stage 2'!CQ25</f>
        <v>0</v>
      </c>
      <c r="CR26">
        <f>'Demand Stage 2'!CR25</f>
        <v>0</v>
      </c>
      <c r="CS26">
        <f>'Demand Stage 2'!CS25</f>
        <v>0</v>
      </c>
      <c r="CT26">
        <f>'Demand Stage 2'!CT25</f>
        <v>0</v>
      </c>
      <c r="CU26">
        <f>'Demand Stage 2'!CU25</f>
        <v>0</v>
      </c>
      <c r="CV26">
        <f>'Demand Stage 2'!CV25</f>
        <v>0</v>
      </c>
      <c r="CW26">
        <f>'Demand Stage 2'!CW25</f>
        <v>0</v>
      </c>
      <c r="CX26">
        <f>'Demand Stage 2'!CX25</f>
        <v>0</v>
      </c>
      <c r="CY26">
        <f>'Demand Stage 2'!CY25</f>
        <v>0</v>
      </c>
      <c r="CZ26">
        <f>'Demand Stage 2'!CZ25</f>
        <v>0</v>
      </c>
      <c r="DA26">
        <f>'Demand Stage 2'!DA25</f>
        <v>0</v>
      </c>
      <c r="DB26">
        <f>'Demand Stage 2'!DB25</f>
        <v>0</v>
      </c>
      <c r="DC26">
        <f>'Demand Stage 2'!DC25</f>
        <v>0</v>
      </c>
      <c r="DD26">
        <f>'Demand Stage 2'!DD25</f>
        <v>0</v>
      </c>
      <c r="DE26">
        <f>'Demand Stage 2'!DE25</f>
        <v>0</v>
      </c>
      <c r="DF26">
        <f>'Demand Stage 2'!DF25</f>
        <v>0</v>
      </c>
      <c r="DG26">
        <f>'Demand Stage 2'!DG25</f>
        <v>0</v>
      </c>
      <c r="DH26">
        <f>'Demand Stage 2'!DH25</f>
        <v>0</v>
      </c>
      <c r="DI26">
        <f>'Demand Stage 2'!DI25</f>
        <v>0</v>
      </c>
      <c r="DJ26">
        <f>'Demand Stage 2'!DJ25</f>
        <v>0</v>
      </c>
      <c r="DK26">
        <f>'Demand Stage 2'!DK25</f>
        <v>0</v>
      </c>
      <c r="DL26">
        <f>'Demand Stage 2'!DL25</f>
        <v>0</v>
      </c>
      <c r="DM26">
        <f>'Demand Stage 2'!DM25</f>
        <v>0</v>
      </c>
      <c r="DN26">
        <f>'Demand Stage 2'!DN25</f>
        <v>0</v>
      </c>
      <c r="DO26">
        <f>'Demand Stage 2'!DO25</f>
        <v>0</v>
      </c>
      <c r="DP26">
        <f>'Demand Stage 2'!DP25</f>
        <v>0</v>
      </c>
      <c r="DQ26">
        <f>'Demand Stage 2'!DQ25</f>
        <v>0</v>
      </c>
      <c r="DR26">
        <f>'Demand Stage 2'!DR25</f>
        <v>0</v>
      </c>
      <c r="DS26">
        <f>'Demand Stage 2'!DS25</f>
        <v>0</v>
      </c>
      <c r="DT26">
        <f>'Demand Stage 2'!DT25</f>
        <v>0</v>
      </c>
      <c r="DU26">
        <f>'Demand Stage 2'!DU25</f>
        <v>0</v>
      </c>
      <c r="DV26">
        <f>'Demand Stage 2'!DV25</f>
        <v>0</v>
      </c>
      <c r="DW26">
        <f>'Demand Stage 2'!DW25</f>
        <v>0</v>
      </c>
      <c r="DX26">
        <f>'Demand Stage 2'!DX25</f>
        <v>0</v>
      </c>
      <c r="DY26">
        <f>'Demand Stage 2'!DY25</f>
        <v>0</v>
      </c>
      <c r="DZ26">
        <f>'Demand Stage 2'!DZ25</f>
        <v>0</v>
      </c>
      <c r="EA26">
        <f>'Demand Stage 2'!EA25</f>
        <v>0</v>
      </c>
      <c r="EB26">
        <f>'Demand Stage 2'!EB25</f>
        <v>0</v>
      </c>
      <c r="EC26">
        <f>'Demand Stage 2'!EC25</f>
        <v>0</v>
      </c>
      <c r="ED26">
        <f>'Demand Stage 2'!ED25</f>
        <v>0</v>
      </c>
      <c r="EE26">
        <f>'Demand Stage 2'!EE25</f>
        <v>0</v>
      </c>
      <c r="EF26">
        <f>'Demand Stage 2'!EF25</f>
        <v>0</v>
      </c>
      <c r="EG26">
        <f>'Demand Stage 2'!EG25</f>
        <v>0</v>
      </c>
      <c r="EH26">
        <f>'Demand Stage 2'!EH25</f>
        <v>0</v>
      </c>
      <c r="EI26">
        <f>'Demand Stage 2'!EI25</f>
        <v>0</v>
      </c>
      <c r="EJ26">
        <f>'Demand Stage 2'!EJ25</f>
        <v>0</v>
      </c>
      <c r="EK26">
        <f>'Demand Stage 2'!EK25</f>
        <v>0</v>
      </c>
      <c r="EL26">
        <f>'Demand Stage 2'!EL25</f>
        <v>0</v>
      </c>
      <c r="EM26">
        <f>'Demand Stage 2'!EM25</f>
        <v>0</v>
      </c>
      <c r="EN26">
        <f>'Demand Stage 2'!EN25</f>
        <v>0</v>
      </c>
      <c r="EO26">
        <f>'Demand Stage 2'!EO25</f>
        <v>0</v>
      </c>
      <c r="EP26">
        <f>'Demand Stage 2'!EP25</f>
        <v>0</v>
      </c>
      <c r="EQ26">
        <f>'Demand Stage 2'!EQ25</f>
        <v>0</v>
      </c>
      <c r="ER26">
        <f>'Demand Stage 2'!ER25</f>
        <v>0</v>
      </c>
      <c r="ES26">
        <f>'Demand Stage 2'!ES25</f>
        <v>0</v>
      </c>
      <c r="ET26">
        <f>'Demand Stage 2'!ET25</f>
        <v>0</v>
      </c>
      <c r="EU26">
        <f>'Demand Stage 2'!EU25</f>
        <v>0</v>
      </c>
      <c r="EV26">
        <f>'Demand Stage 2'!EV25</f>
        <v>0</v>
      </c>
      <c r="EW26">
        <f>'Demand Stage 2'!EW25</f>
        <v>0</v>
      </c>
      <c r="EX26">
        <f>'Demand Stage 2'!EX25</f>
        <v>0</v>
      </c>
      <c r="EY26">
        <f>'Demand Stage 2'!EY25</f>
        <v>0</v>
      </c>
      <c r="EZ26">
        <f>'Demand Stage 2'!EZ25</f>
        <v>0</v>
      </c>
      <c r="FA26">
        <f>'Demand Stage 2'!FA25</f>
        <v>0</v>
      </c>
      <c r="FB26">
        <f>'Demand Stage 2'!FB25</f>
        <v>0</v>
      </c>
      <c r="FC26">
        <f>'Demand Stage 2'!FC25</f>
        <v>0</v>
      </c>
      <c r="FD26">
        <f>'Demand Stage 2'!FD25</f>
        <v>0</v>
      </c>
      <c r="FE26">
        <f>'Demand Stage 2'!FE25</f>
        <v>0</v>
      </c>
      <c r="FF26">
        <f>'Demand Stage 2'!FF25</f>
        <v>0</v>
      </c>
      <c r="FG26">
        <f>'Demand Stage 2'!FG25</f>
        <v>0</v>
      </c>
      <c r="FH26">
        <f>'Demand Stage 2'!FH25</f>
        <v>0</v>
      </c>
      <c r="FI26">
        <f>'Demand Stage 2'!FI25</f>
        <v>0</v>
      </c>
      <c r="FJ26">
        <f>'Demand Stage 2'!FJ25</f>
        <v>0</v>
      </c>
      <c r="FK26">
        <f>'Demand Stage 2'!FK25</f>
        <v>0</v>
      </c>
      <c r="FL26">
        <f>'Demand Stage 2'!FL25</f>
        <v>0</v>
      </c>
      <c r="FM26">
        <f>'Demand Stage 2'!FM25</f>
        <v>0</v>
      </c>
      <c r="FN26">
        <f>'Demand Stage 2'!FN25</f>
        <v>0</v>
      </c>
      <c r="FO26">
        <f>'Demand Stage 2'!FO25</f>
        <v>0</v>
      </c>
      <c r="FP26">
        <f>'Demand Stage 2'!FP25</f>
        <v>0</v>
      </c>
      <c r="FQ26">
        <f>'Demand Stage 2'!FQ25</f>
        <v>0</v>
      </c>
      <c r="FR26">
        <f>'Demand Stage 2'!FR25</f>
        <v>0</v>
      </c>
      <c r="FS26">
        <f>'Demand Stage 2'!FS25</f>
        <v>0</v>
      </c>
      <c r="FT26">
        <f>'Demand Stage 2'!FT25</f>
        <v>0</v>
      </c>
      <c r="FU26">
        <f>'Demand Stage 2'!FU25</f>
        <v>0</v>
      </c>
      <c r="FV26">
        <f>'Demand Stage 2'!FV25</f>
        <v>0</v>
      </c>
      <c r="FW26">
        <f>'Demand Stage 2'!FW25</f>
        <v>0</v>
      </c>
      <c r="FX26">
        <f>'Demand Stage 2'!FX25</f>
        <v>0</v>
      </c>
      <c r="FY26">
        <f>'Demand Stage 2'!FY25</f>
        <v>0</v>
      </c>
      <c r="FZ26">
        <f>'Demand Stage 2'!FZ25</f>
        <v>0</v>
      </c>
      <c r="GA26">
        <f>'Demand Stage 2'!GA25</f>
        <v>0</v>
      </c>
      <c r="GB26">
        <f>'Demand Stage 2'!GB25</f>
        <v>0</v>
      </c>
      <c r="GC26">
        <f>'Demand Stage 2'!GC25</f>
        <v>0</v>
      </c>
      <c r="GD26">
        <f>'Demand Stage 2'!GD25</f>
        <v>0</v>
      </c>
      <c r="GE26">
        <f>'Demand Stage 2'!GE25</f>
        <v>0</v>
      </c>
      <c r="GF26">
        <f>'Demand Stage 2'!GF25</f>
        <v>0</v>
      </c>
      <c r="GG26">
        <f>'Demand Stage 2'!GG25</f>
        <v>0</v>
      </c>
      <c r="GH26">
        <f>'Demand Stage 2'!GH25</f>
        <v>0</v>
      </c>
      <c r="GI26">
        <f>'Demand Stage 2'!GI25</f>
        <v>0</v>
      </c>
      <c r="GJ26">
        <f>'Demand Stage 2'!GJ25</f>
        <v>0</v>
      </c>
      <c r="GK26">
        <f>'Demand Stage 2'!GK25</f>
        <v>0</v>
      </c>
      <c r="GL26">
        <f>'Demand Stage 2'!GL25</f>
        <v>0</v>
      </c>
      <c r="GM26">
        <f>'Demand Stage 2'!GM25</f>
        <v>0</v>
      </c>
      <c r="GN26">
        <f>'Demand Stage 2'!GN25</f>
        <v>0</v>
      </c>
      <c r="GO26">
        <f>'Demand Stage 2'!GO25</f>
        <v>0</v>
      </c>
      <c r="GP26">
        <f>'Demand Stage 2'!GP25</f>
        <v>0</v>
      </c>
      <c r="GQ26">
        <f>'Demand Stage 2'!GQ25</f>
        <v>0</v>
      </c>
      <c r="GR26">
        <f>'Demand Stage 2'!GR25</f>
        <v>0</v>
      </c>
      <c r="GS26">
        <f>'Demand Stage 2'!GS25</f>
        <v>0</v>
      </c>
      <c r="GT26">
        <f>'Demand Stage 2'!GT25</f>
        <v>0</v>
      </c>
      <c r="GU26">
        <f>'Demand Stage 2'!GU25</f>
        <v>0</v>
      </c>
      <c r="GV26">
        <f>'Demand Stage 2'!GV25</f>
        <v>0</v>
      </c>
      <c r="GW26">
        <f>'Demand Stage 2'!GW25</f>
        <v>0</v>
      </c>
      <c r="GX26">
        <f>'Demand Stage 2'!GX25</f>
        <v>0</v>
      </c>
      <c r="GY26">
        <f>'Demand Stage 2'!GY25</f>
        <v>0</v>
      </c>
      <c r="GZ26">
        <f>'Demand Stage 2'!GZ25</f>
        <v>0</v>
      </c>
      <c r="HA26">
        <f>'Demand Stage 2'!HA25</f>
        <v>0</v>
      </c>
      <c r="HB26">
        <f>'Demand Stage 2'!HB25</f>
        <v>0</v>
      </c>
      <c r="HC26">
        <f>'Demand Stage 2'!HC25</f>
        <v>0</v>
      </c>
      <c r="HD26">
        <f>'Demand Stage 2'!HD25</f>
        <v>0</v>
      </c>
      <c r="HE26">
        <f>'Demand Stage 2'!HE25</f>
        <v>0</v>
      </c>
      <c r="HF26">
        <f>'Demand Stage 2'!HF25</f>
        <v>0</v>
      </c>
      <c r="HG26">
        <f>'Demand Stage 2'!HG25</f>
        <v>0</v>
      </c>
      <c r="HH26">
        <f>'Demand Stage 2'!HH25</f>
        <v>0</v>
      </c>
      <c r="HI26">
        <f>'Demand Stage 2'!HI25</f>
        <v>0</v>
      </c>
      <c r="HJ26">
        <f>'Demand Stage 2'!HJ25</f>
        <v>0</v>
      </c>
      <c r="HK26">
        <f>'Demand Stage 2'!HK25</f>
        <v>0</v>
      </c>
      <c r="HL26">
        <f>'Demand Stage 2'!HL25</f>
        <v>0</v>
      </c>
      <c r="HM26">
        <f>'Demand Stage 2'!HM25</f>
        <v>0</v>
      </c>
      <c r="HN26">
        <f>'Demand Stage 2'!HN25</f>
        <v>0</v>
      </c>
      <c r="HO26">
        <f>'Demand Stage 2'!HO25</f>
        <v>0</v>
      </c>
      <c r="HP26">
        <f>'Demand Stage 2'!HP25</f>
        <v>0</v>
      </c>
      <c r="HQ26">
        <f>'Demand Stage 2'!HQ25</f>
        <v>0</v>
      </c>
      <c r="HR26">
        <f>'Demand Stage 2'!HR25</f>
        <v>0</v>
      </c>
      <c r="HS26">
        <f>'Demand Stage 2'!HS25</f>
        <v>0</v>
      </c>
      <c r="HT26">
        <f>'Demand Stage 2'!HT25</f>
        <v>0</v>
      </c>
      <c r="HU26">
        <f>'Demand Stage 2'!HU25</f>
        <v>0</v>
      </c>
      <c r="HV26">
        <f>'Demand Stage 2'!HV25</f>
        <v>0</v>
      </c>
      <c r="HW26">
        <f>'Demand Stage 2'!HW25</f>
        <v>0</v>
      </c>
      <c r="HX26">
        <f>'Demand Stage 2'!HX25</f>
        <v>0</v>
      </c>
      <c r="HY26">
        <f>'Demand Stage 2'!HY25</f>
        <v>0</v>
      </c>
      <c r="HZ26">
        <f>'Demand Stage 2'!HZ25</f>
        <v>0</v>
      </c>
      <c r="IA26">
        <f>'Demand Stage 2'!IA25</f>
        <v>0</v>
      </c>
      <c r="IB26">
        <f>'Demand Stage 2'!IB25</f>
        <v>0</v>
      </c>
      <c r="IC26">
        <f>'Demand Stage 2'!IC25</f>
        <v>0</v>
      </c>
      <c r="ID26">
        <f>'Demand Stage 2'!ID25</f>
        <v>0</v>
      </c>
      <c r="IE26">
        <f>'Demand Stage 2'!IE25</f>
        <v>0</v>
      </c>
      <c r="IF26">
        <f>'Demand Stage 2'!IF25</f>
        <v>0</v>
      </c>
      <c r="IG26">
        <f>'Demand Stage 2'!IG25</f>
        <v>0</v>
      </c>
      <c r="IH26">
        <f>'Demand Stage 2'!IH25</f>
        <v>0</v>
      </c>
      <c r="II26">
        <f>'Demand Stage 2'!II25</f>
        <v>0</v>
      </c>
      <c r="IJ26">
        <f>'Demand Stage 2'!IJ25</f>
        <v>0</v>
      </c>
      <c r="IK26">
        <f>'Demand Stage 2'!IK25</f>
        <v>0</v>
      </c>
      <c r="IL26">
        <f>'Demand Stage 2'!IL25</f>
        <v>0</v>
      </c>
      <c r="IM26">
        <f>'Demand Stage 2'!IM25</f>
        <v>0</v>
      </c>
      <c r="IN26">
        <f>'Demand Stage 2'!IN25</f>
        <v>0</v>
      </c>
      <c r="IO26">
        <f>'Demand Stage 2'!IO25</f>
        <v>0</v>
      </c>
      <c r="IP26">
        <f>'Demand Stage 2'!IP25</f>
        <v>0</v>
      </c>
      <c r="IQ26">
        <f>'Demand Stage 2'!IQ25</f>
        <v>0</v>
      </c>
      <c r="IR26">
        <f>'Demand Stage 2'!IR25</f>
        <v>0</v>
      </c>
      <c r="IS26">
        <f>'Demand Stage 2'!IS25</f>
        <v>0</v>
      </c>
      <c r="IT26">
        <f>'Demand Stage 2'!IT25</f>
        <v>0</v>
      </c>
      <c r="IU26">
        <f>'Demand Stage 2'!IU25</f>
        <v>0</v>
      </c>
      <c r="IV26">
        <f>'Demand Stage 2'!IV25</f>
        <v>0</v>
      </c>
      <c r="IW26">
        <f>'Demand Stage 2'!IW25</f>
        <v>0</v>
      </c>
      <c r="IX26">
        <f>'Demand Stage 2'!IX25</f>
        <v>0</v>
      </c>
      <c r="IY26">
        <f>'Demand Stage 2'!IY25</f>
        <v>0</v>
      </c>
      <c r="IZ26">
        <f>'Demand Stage 2'!IZ25</f>
        <v>0</v>
      </c>
      <c r="JA26">
        <f>'Demand Stage 2'!JA25</f>
        <v>0</v>
      </c>
      <c r="JB26">
        <f>'Demand Stage 2'!JB25</f>
        <v>0</v>
      </c>
      <c r="JC26">
        <f>'Demand Stage 2'!JC25</f>
        <v>0</v>
      </c>
      <c r="JD26">
        <f>'Demand Stage 2'!JD25</f>
        <v>0</v>
      </c>
      <c r="JE26">
        <f>'Demand Stage 2'!JE25</f>
        <v>0</v>
      </c>
      <c r="JF26">
        <f>'Demand Stage 2'!JF25</f>
        <v>0</v>
      </c>
      <c r="JG26">
        <f>'Demand Stage 2'!JG25</f>
        <v>0</v>
      </c>
      <c r="JH26">
        <f>'Demand Stage 2'!JH25</f>
        <v>0</v>
      </c>
      <c r="JI26">
        <f>'Demand Stage 2'!JI25</f>
        <v>0</v>
      </c>
      <c r="JJ26">
        <f>'Demand Stage 2'!JJ25</f>
        <v>0</v>
      </c>
      <c r="JK26">
        <f>'Demand Stage 2'!JK25</f>
        <v>0</v>
      </c>
      <c r="JL26">
        <f>'Demand Stage 2'!JL25</f>
        <v>0</v>
      </c>
      <c r="JM26">
        <f>'Demand Stage 2'!JM25</f>
        <v>0</v>
      </c>
      <c r="JN26">
        <f>'Demand Stage 2'!JN25</f>
        <v>0</v>
      </c>
      <c r="JO26">
        <f>'Demand Stage 2'!JO25</f>
        <v>0</v>
      </c>
      <c r="JP26">
        <f>'Demand Stage 2'!JP25</f>
        <v>0</v>
      </c>
      <c r="JQ26">
        <f>'Demand Stage 2'!JQ25</f>
        <v>0</v>
      </c>
      <c r="JR26">
        <f>'Demand Stage 2'!JR25</f>
        <v>0</v>
      </c>
      <c r="JS26">
        <f>'Demand Stage 2'!JS25</f>
        <v>0</v>
      </c>
      <c r="JT26">
        <f>'Demand Stage 2'!JT25</f>
        <v>0</v>
      </c>
      <c r="JU26">
        <f>'Demand Stage 2'!JU25</f>
        <v>0</v>
      </c>
      <c r="JV26">
        <f>'Demand Stage 2'!JV25</f>
        <v>0</v>
      </c>
      <c r="JW26">
        <f>'Demand Stage 2'!JW25</f>
        <v>0</v>
      </c>
      <c r="JX26">
        <f>'Demand Stage 2'!JX25</f>
        <v>0</v>
      </c>
      <c r="JY26">
        <f>'Demand Stage 2'!JY25</f>
        <v>0</v>
      </c>
      <c r="JZ26">
        <f>'Demand Stage 2'!JZ25</f>
        <v>0</v>
      </c>
      <c r="KA26">
        <f>'Demand Stage 2'!KA25</f>
        <v>0</v>
      </c>
      <c r="KB26">
        <f>'Demand Stage 2'!KB25</f>
        <v>0</v>
      </c>
      <c r="KC26">
        <f>'Demand Stage 2'!KC25</f>
        <v>0</v>
      </c>
      <c r="KD26">
        <f>'Demand Stage 2'!KD25</f>
        <v>0</v>
      </c>
      <c r="KE26">
        <f>'Demand Stage 2'!KE25</f>
        <v>0</v>
      </c>
      <c r="KF26">
        <f>'Demand Stage 2'!KF25</f>
        <v>0</v>
      </c>
      <c r="KG26">
        <f>'Demand Stage 2'!KG25</f>
        <v>0</v>
      </c>
      <c r="KH26">
        <f>'Demand Stage 2'!KH25</f>
        <v>0</v>
      </c>
      <c r="KI26">
        <f>'Demand Stage 2'!KI25</f>
        <v>0</v>
      </c>
      <c r="KJ26">
        <f>'Demand Stage 2'!KJ25</f>
        <v>0</v>
      </c>
      <c r="KK26">
        <f>'Demand Stage 2'!KK25</f>
        <v>0</v>
      </c>
      <c r="KL26">
        <f>'Demand Stage 2'!KL25</f>
        <v>0</v>
      </c>
      <c r="KM26">
        <f>'Demand Stage 2'!KM25</f>
        <v>0</v>
      </c>
      <c r="KN26">
        <f>'Demand Stage 2'!KN25</f>
        <v>0</v>
      </c>
      <c r="KO26">
        <f>'Demand Stage 2'!KO25</f>
        <v>0</v>
      </c>
      <c r="KP26">
        <f>'Demand Stage 2'!KP25</f>
        <v>0</v>
      </c>
      <c r="KQ26">
        <f>'Demand Stage 2'!KQ25</f>
        <v>0</v>
      </c>
      <c r="KR26">
        <f>'Demand Stage 2'!KR25</f>
        <v>0</v>
      </c>
      <c r="KS26">
        <f>'Demand Stage 2'!KS25</f>
        <v>0</v>
      </c>
      <c r="KT26">
        <f>'Demand Stage 2'!KT25</f>
        <v>0</v>
      </c>
      <c r="KU26">
        <f>'Demand Stage 2'!KU25</f>
        <v>0</v>
      </c>
      <c r="KV26">
        <f>'Demand Stage 2'!KV25</f>
        <v>0</v>
      </c>
      <c r="KW26">
        <f>'Demand Stage 2'!KW25</f>
        <v>0</v>
      </c>
      <c r="KX26">
        <f>'Demand Stage 2'!KX25</f>
        <v>0</v>
      </c>
      <c r="KY26">
        <f>'Demand Stage 2'!KY25</f>
        <v>0</v>
      </c>
      <c r="KZ26">
        <f>'Demand Stage 2'!KZ25</f>
        <v>0</v>
      </c>
      <c r="LA26">
        <f>'Demand Stage 2'!LA25</f>
        <v>0</v>
      </c>
      <c r="LB26">
        <f>'Demand Stage 2'!LB25</f>
        <v>0</v>
      </c>
      <c r="LC26">
        <f>'Demand Stage 2'!LC25</f>
        <v>0</v>
      </c>
      <c r="LD26">
        <f>'Demand Stage 2'!LD25</f>
        <v>0</v>
      </c>
      <c r="LE26">
        <f>'Demand Stage 2'!LE25</f>
        <v>0</v>
      </c>
      <c r="LF26">
        <f>'Demand Stage 2'!LF25</f>
        <v>0</v>
      </c>
      <c r="LG26">
        <f>'Demand Stage 2'!LG25</f>
        <v>0</v>
      </c>
      <c r="LH26">
        <f>'Demand Stage 2'!LH25</f>
        <v>0</v>
      </c>
      <c r="LI26">
        <f>'Demand Stage 2'!LI25</f>
        <v>0</v>
      </c>
      <c r="LJ26">
        <f>'Demand Stage 2'!LJ25</f>
        <v>0</v>
      </c>
      <c r="LK26">
        <f>'Demand Stage 2'!LK25</f>
        <v>0</v>
      </c>
      <c r="LL26">
        <f>'Demand Stage 2'!LL25</f>
        <v>0</v>
      </c>
      <c r="LM26">
        <f>'Demand Stage 2'!LM25</f>
        <v>0</v>
      </c>
      <c r="LN26">
        <f>'Demand Stage 2'!LN25</f>
        <v>0</v>
      </c>
      <c r="LO26">
        <f>'Demand Stage 2'!LO25</f>
        <v>0</v>
      </c>
      <c r="LP26">
        <f>'Demand Stage 2'!LP25</f>
        <v>0</v>
      </c>
      <c r="LQ26">
        <f>'Demand Stage 2'!LQ25</f>
        <v>0</v>
      </c>
      <c r="LR26">
        <f>'Demand Stage 2'!LR25</f>
        <v>0</v>
      </c>
      <c r="LS26">
        <f>'Demand Stage 2'!LS25</f>
        <v>0</v>
      </c>
      <c r="LT26">
        <f>'Demand Stage 2'!LT25</f>
        <v>0</v>
      </c>
      <c r="LU26">
        <f>'Demand Stage 2'!LU25</f>
        <v>0</v>
      </c>
      <c r="LV26">
        <f>'Demand Stage 2'!LV25</f>
        <v>0</v>
      </c>
      <c r="LW26">
        <f>'Demand Stage 2'!LW25</f>
        <v>0</v>
      </c>
      <c r="LX26">
        <f>'Demand Stage 2'!LX25</f>
        <v>0</v>
      </c>
      <c r="LY26">
        <f>'Demand Stage 2'!LY25</f>
        <v>0</v>
      </c>
      <c r="LZ26">
        <f>'Demand Stage 2'!LZ25</f>
        <v>0</v>
      </c>
      <c r="MA26">
        <f>'Demand Stage 2'!MA25</f>
        <v>0</v>
      </c>
      <c r="MB26">
        <f>'Demand Stage 2'!MB25</f>
        <v>0</v>
      </c>
      <c r="MC26">
        <f>'Demand Stage 2'!MC25</f>
        <v>0</v>
      </c>
      <c r="MD26">
        <f>'Demand Stage 2'!MD25</f>
        <v>0</v>
      </c>
      <c r="ME26">
        <f>'Demand Stage 2'!ME25</f>
        <v>0</v>
      </c>
      <c r="MF26">
        <f>'Demand Stage 2'!MF25</f>
        <v>0</v>
      </c>
      <c r="MG26">
        <f>'Demand Stage 2'!MG25</f>
        <v>0</v>
      </c>
      <c r="MH26">
        <f>'Demand Stage 2'!MH25</f>
        <v>0</v>
      </c>
      <c r="MI26">
        <f>'Demand Stage 2'!MI25</f>
        <v>0</v>
      </c>
      <c r="MJ26">
        <f>'Demand Stage 2'!MJ25</f>
        <v>0</v>
      </c>
      <c r="MK26">
        <f>'Demand Stage 2'!MK25</f>
        <v>0</v>
      </c>
      <c r="ML26">
        <f>'Demand Stage 2'!ML25</f>
        <v>0</v>
      </c>
      <c r="MM26">
        <f>'Demand Stage 2'!MM25</f>
        <v>0</v>
      </c>
      <c r="MN26">
        <f>'Demand Stage 2'!MN25</f>
        <v>0</v>
      </c>
      <c r="MO26">
        <f>'Demand Stage 2'!MO25</f>
        <v>0</v>
      </c>
      <c r="MP26">
        <f>'Demand Stage 2'!MP25</f>
        <v>0</v>
      </c>
      <c r="MQ26">
        <f>'Demand Stage 2'!MQ25</f>
        <v>0</v>
      </c>
      <c r="MR26">
        <f>'Demand Stage 2'!MR25</f>
        <v>0</v>
      </c>
      <c r="MS26">
        <f>'Demand Stage 2'!MS25</f>
        <v>0</v>
      </c>
      <c r="MT26">
        <f>'Demand Stage 2'!MT25</f>
        <v>0</v>
      </c>
      <c r="MU26">
        <f>'Demand Stage 2'!MU25</f>
        <v>0</v>
      </c>
      <c r="MV26">
        <f>'Demand Stage 2'!MV25</f>
        <v>0</v>
      </c>
      <c r="MW26">
        <f>'Demand Stage 2'!MW25</f>
        <v>0</v>
      </c>
      <c r="MX26">
        <f>'Demand Stage 2'!MX25</f>
        <v>0</v>
      </c>
      <c r="MY26">
        <f>'Demand Stage 2'!MY25</f>
        <v>0</v>
      </c>
      <c r="MZ26">
        <f>'Demand Stage 2'!MZ25</f>
        <v>0</v>
      </c>
      <c r="NA26">
        <f>'Demand Stage 2'!NA25</f>
        <v>0</v>
      </c>
      <c r="NB26">
        <f>'Demand Stage 2'!NB25</f>
        <v>0</v>
      </c>
      <c r="NC26">
        <f>'Demand Stage 2'!NC25</f>
        <v>0</v>
      </c>
      <c r="ND26">
        <f>'Demand Stage 2'!ND25</f>
        <v>0</v>
      </c>
      <c r="NE26">
        <f>'Demand Stage 2'!NE25</f>
        <v>0</v>
      </c>
      <c r="NF26">
        <f>'Demand Stage 2'!NF25</f>
        <v>0</v>
      </c>
      <c r="NG26">
        <f>'Demand Stage 2'!NG25</f>
        <v>0</v>
      </c>
      <c r="NH26">
        <f>'Demand Stage 2'!NH25</f>
        <v>0</v>
      </c>
      <c r="NI26">
        <f>'Demand Stage 2'!NI25</f>
        <v>0</v>
      </c>
      <c r="NJ26">
        <f>'Demand Stage 2'!NJ25</f>
        <v>0</v>
      </c>
      <c r="NK26">
        <f>'Demand Stage 2'!NK25</f>
        <v>0</v>
      </c>
      <c r="NL26">
        <f>'Demand Stage 2'!NL25</f>
        <v>0</v>
      </c>
      <c r="NM26">
        <f>'Demand Stage 2'!NM25</f>
        <v>0</v>
      </c>
      <c r="NN26">
        <f>'Demand Stage 2'!NN25</f>
        <v>0</v>
      </c>
      <c r="NO26">
        <f>'Demand Stage 2'!NO25</f>
        <v>0</v>
      </c>
      <c r="NP26">
        <f>'Demand Stage 2'!NP25</f>
        <v>0</v>
      </c>
      <c r="NQ26">
        <f>'Demand Stage 2'!NQ25</f>
        <v>0</v>
      </c>
      <c r="NR26">
        <f>'Demand Stage 2'!NR25</f>
        <v>0</v>
      </c>
      <c r="NS26">
        <f>'Demand Stage 2'!NS25</f>
        <v>0</v>
      </c>
      <c r="NT26">
        <f>'Demand Stage 2'!NT25</f>
        <v>0</v>
      </c>
      <c r="NU26">
        <f>'Demand Stage 2'!NU25</f>
        <v>0</v>
      </c>
      <c r="NV26">
        <f>'Demand Stage 2'!NV25</f>
        <v>0</v>
      </c>
      <c r="NW26">
        <f>'Demand Stage 2'!NW25</f>
        <v>0</v>
      </c>
      <c r="NX26">
        <f>'Demand Stage 2'!NX25</f>
        <v>0</v>
      </c>
      <c r="NY26">
        <f>'Demand Stage 2'!NY25</f>
        <v>0</v>
      </c>
      <c r="NZ26">
        <f>'Demand Stage 2'!NZ25</f>
        <v>0</v>
      </c>
      <c r="OA26">
        <f>'Demand Stage 2'!OA25</f>
        <v>0</v>
      </c>
      <c r="OB26">
        <f>'Demand Stage 2'!OB25</f>
        <v>0</v>
      </c>
      <c r="OC26">
        <f>'Demand Stage 2'!OC25</f>
        <v>0</v>
      </c>
      <c r="OD26">
        <f>'Demand Stage 2'!OD25</f>
        <v>0</v>
      </c>
      <c r="OE26">
        <f>'Demand Stage 2'!OE25</f>
        <v>0</v>
      </c>
      <c r="OF26">
        <f>'Demand Stage 2'!OF25</f>
        <v>0</v>
      </c>
      <c r="OG26">
        <f>'Demand Stage 2'!OG25</f>
        <v>0</v>
      </c>
      <c r="OH26">
        <f>'Demand Stage 2'!OH25</f>
        <v>0</v>
      </c>
      <c r="OI26">
        <f>'Demand Stage 2'!OI25</f>
        <v>0</v>
      </c>
      <c r="OJ26">
        <f>'Demand Stage 2'!OJ25</f>
        <v>0</v>
      </c>
      <c r="OK26">
        <f>'Demand Stage 2'!OK25</f>
        <v>0</v>
      </c>
      <c r="OL26">
        <f>'Demand Stage 2'!OL25</f>
        <v>0</v>
      </c>
      <c r="OM26">
        <f>'Demand Stage 2'!OM25</f>
        <v>0</v>
      </c>
      <c r="ON26">
        <f>'Demand Stage 2'!ON25</f>
        <v>0</v>
      </c>
      <c r="OO26">
        <f>'Demand Stage 2'!OO25</f>
        <v>0</v>
      </c>
      <c r="OP26">
        <f>'Demand Stage 2'!OP25</f>
        <v>0</v>
      </c>
      <c r="OQ26">
        <f>'Demand Stage 2'!OQ25</f>
        <v>0</v>
      </c>
      <c r="OR26">
        <f>'Demand Stage 2'!OR25</f>
        <v>0</v>
      </c>
      <c r="OS26">
        <f>'Demand Stage 2'!OS25</f>
        <v>0</v>
      </c>
      <c r="OT26">
        <f>'Demand Stage 2'!OT25</f>
        <v>0</v>
      </c>
      <c r="OU26">
        <f>'Demand Stage 2'!OU25</f>
        <v>0</v>
      </c>
      <c r="OV26">
        <f>'Demand Stage 2'!OV25</f>
        <v>0</v>
      </c>
      <c r="OW26">
        <f>'Demand Stage 2'!OW25</f>
        <v>0</v>
      </c>
      <c r="OX26">
        <f>'Demand Stage 2'!OX25</f>
        <v>0</v>
      </c>
      <c r="OY26">
        <f>'Demand Stage 2'!OY25</f>
        <v>0</v>
      </c>
      <c r="OZ26">
        <f>'Demand Stage 2'!OZ25</f>
        <v>0</v>
      </c>
      <c r="PA26">
        <f>'Demand Stage 2'!PA25</f>
        <v>0</v>
      </c>
      <c r="PB26">
        <f>'Demand Stage 2'!PB25</f>
        <v>0</v>
      </c>
      <c r="PC26">
        <f>'Demand Stage 2'!PC25</f>
        <v>0</v>
      </c>
      <c r="PD26">
        <f>'Demand Stage 2'!PD25</f>
        <v>0</v>
      </c>
      <c r="PE26">
        <f>'Demand Stage 2'!PE25</f>
        <v>0</v>
      </c>
      <c r="PF26">
        <f>'Demand Stage 2'!PF25</f>
        <v>0</v>
      </c>
      <c r="PG26">
        <f>'Demand Stage 2'!PG25</f>
        <v>0</v>
      </c>
      <c r="PH26">
        <f>'Demand Stage 2'!PH25</f>
        <v>0</v>
      </c>
      <c r="PI26">
        <f>'Demand Stage 2'!PI25</f>
        <v>0</v>
      </c>
      <c r="PJ26">
        <f>'Demand Stage 2'!PJ25</f>
        <v>0</v>
      </c>
      <c r="PK26">
        <f>'Demand Stage 2'!PK25</f>
        <v>0</v>
      </c>
      <c r="PL26">
        <f>'Demand Stage 2'!PL25</f>
        <v>0</v>
      </c>
      <c r="PM26">
        <f>'Demand Stage 2'!PM25</f>
        <v>0</v>
      </c>
      <c r="PN26">
        <f>'Demand Stage 2'!PN25</f>
        <v>0</v>
      </c>
      <c r="PO26">
        <f>'Demand Stage 2'!PO25</f>
        <v>0</v>
      </c>
      <c r="PP26">
        <f>'Demand Stage 2'!PP25</f>
        <v>0</v>
      </c>
      <c r="PQ26">
        <f>'Demand Stage 2'!PQ25</f>
        <v>0</v>
      </c>
      <c r="PR26">
        <f>'Demand Stage 2'!PR25</f>
        <v>0</v>
      </c>
      <c r="PS26">
        <f>'Demand Stage 2'!PS25</f>
        <v>0</v>
      </c>
      <c r="PT26">
        <f>'Demand Stage 2'!PT25</f>
        <v>0</v>
      </c>
      <c r="PU26">
        <f>'Demand Stage 2'!PU25</f>
        <v>0</v>
      </c>
      <c r="PV26">
        <f>'Demand Stage 2'!PV25</f>
        <v>0</v>
      </c>
      <c r="PW26">
        <f>'Demand Stage 2'!PW25</f>
        <v>0</v>
      </c>
      <c r="PX26">
        <f>'Demand Stage 2'!PX25</f>
        <v>0</v>
      </c>
      <c r="PY26">
        <f>'Demand Stage 2'!PY25</f>
        <v>0</v>
      </c>
      <c r="PZ26">
        <f>'Demand Stage 2'!PZ25</f>
        <v>0</v>
      </c>
      <c r="QA26">
        <f>'Demand Stage 2'!QA25</f>
        <v>0</v>
      </c>
      <c r="QB26">
        <f>'Demand Stage 2'!QB25</f>
        <v>0</v>
      </c>
      <c r="QC26">
        <f>'Demand Stage 2'!QC25</f>
        <v>0</v>
      </c>
      <c r="QD26">
        <f>'Demand Stage 2'!QD25</f>
        <v>0</v>
      </c>
      <c r="QE26">
        <f>'Demand Stage 2'!QE25</f>
        <v>0</v>
      </c>
      <c r="QF26">
        <f>'Demand Stage 2'!QF25</f>
        <v>0</v>
      </c>
      <c r="QG26">
        <f>'Demand Stage 2'!QG25</f>
        <v>0</v>
      </c>
      <c r="QH26">
        <f>'Demand Stage 2'!QH25</f>
        <v>0</v>
      </c>
      <c r="QI26">
        <f>'Demand Stage 2'!QI25</f>
        <v>0</v>
      </c>
      <c r="QJ26">
        <f>'Demand Stage 2'!QJ25</f>
        <v>0</v>
      </c>
      <c r="QK26">
        <f>'Demand Stage 2'!QK25</f>
        <v>0</v>
      </c>
      <c r="QL26">
        <f>'Demand Stage 2'!QL25</f>
        <v>0</v>
      </c>
      <c r="QM26">
        <f>'Demand Stage 2'!QM25</f>
        <v>0</v>
      </c>
      <c r="QN26">
        <f>'Demand Stage 2'!QN25</f>
        <v>0</v>
      </c>
      <c r="QO26">
        <f>'Demand Stage 2'!QO25</f>
        <v>0</v>
      </c>
      <c r="QP26">
        <f>'Demand Stage 2'!QP25</f>
        <v>0</v>
      </c>
      <c r="QQ26">
        <f>'Demand Stage 2'!QQ25</f>
        <v>0</v>
      </c>
      <c r="QR26">
        <f>'Demand Stage 2'!QR25</f>
        <v>0</v>
      </c>
      <c r="QS26">
        <f>'Demand Stage 2'!QS25</f>
        <v>0</v>
      </c>
      <c r="QT26">
        <f>'Demand Stage 2'!QT25</f>
        <v>0</v>
      </c>
      <c r="QU26">
        <f>'Demand Stage 2'!QU25</f>
        <v>0</v>
      </c>
      <c r="QV26">
        <f>'Demand Stage 2'!QV25</f>
        <v>0</v>
      </c>
      <c r="QW26">
        <f>'Demand Stage 2'!QW25</f>
        <v>0</v>
      </c>
      <c r="QX26">
        <f>'Demand Stage 2'!QX25</f>
        <v>0</v>
      </c>
      <c r="QY26">
        <f>'Demand Stage 2'!QY25</f>
        <v>0</v>
      </c>
      <c r="QZ26">
        <f>'Demand Stage 2'!QZ25</f>
        <v>0</v>
      </c>
      <c r="RA26">
        <f>'Demand Stage 2'!RA25</f>
        <v>0</v>
      </c>
      <c r="RB26">
        <f>'Demand Stage 2'!RB25</f>
        <v>0</v>
      </c>
      <c r="RC26">
        <f>'Demand Stage 2'!RC25</f>
        <v>0</v>
      </c>
      <c r="RD26">
        <f>'Demand Stage 2'!RD25</f>
        <v>0</v>
      </c>
      <c r="RE26">
        <f>'Demand Stage 2'!RE25</f>
        <v>0</v>
      </c>
      <c r="RF26">
        <f>'Demand Stage 2'!RF25</f>
        <v>0</v>
      </c>
      <c r="RG26">
        <f>'Demand Stage 2'!RG25</f>
        <v>0</v>
      </c>
      <c r="RH26">
        <f>'Demand Stage 2'!RH25</f>
        <v>0</v>
      </c>
      <c r="RI26">
        <f>'Demand Stage 2'!RI25</f>
        <v>0</v>
      </c>
      <c r="RJ26">
        <f>'Demand Stage 2'!RJ25</f>
        <v>0</v>
      </c>
      <c r="RK26">
        <f>'Demand Stage 2'!RK25</f>
        <v>0</v>
      </c>
      <c r="RL26">
        <f>'Demand Stage 2'!RL25</f>
        <v>0</v>
      </c>
      <c r="RM26">
        <f>'Demand Stage 2'!RM25</f>
        <v>0</v>
      </c>
      <c r="RN26">
        <f>'Demand Stage 2'!RN25</f>
        <v>0</v>
      </c>
      <c r="RO26">
        <f>'Demand Stage 2'!RO25</f>
        <v>0</v>
      </c>
      <c r="RP26">
        <f>'Demand Stage 2'!RP25</f>
        <v>0</v>
      </c>
      <c r="RQ26">
        <f>'Demand Stage 2'!RQ25</f>
        <v>0</v>
      </c>
      <c r="RR26">
        <f>'Demand Stage 2'!RR25</f>
        <v>0</v>
      </c>
      <c r="RS26">
        <f>'Demand Stage 2'!RS25</f>
        <v>0</v>
      </c>
      <c r="RT26">
        <f>'Demand Stage 2'!RT25</f>
        <v>0</v>
      </c>
      <c r="RU26">
        <f>'Demand Stage 2'!RU25</f>
        <v>0</v>
      </c>
      <c r="RV26">
        <f>'Demand Stage 2'!RV25</f>
        <v>0</v>
      </c>
      <c r="RW26">
        <f>'Demand Stage 2'!RW25</f>
        <v>0</v>
      </c>
      <c r="RX26">
        <f>'Demand Stage 2'!RX25</f>
        <v>0</v>
      </c>
      <c r="RY26">
        <f>'Demand Stage 2'!RY25</f>
        <v>0</v>
      </c>
      <c r="RZ26">
        <f>'Demand Stage 2'!RZ25</f>
        <v>0</v>
      </c>
      <c r="SA26">
        <f>'Demand Stage 2'!SA25</f>
        <v>0</v>
      </c>
      <c r="SB26">
        <f>'Demand Stage 2'!SB25</f>
        <v>0</v>
      </c>
      <c r="SC26">
        <f>'Demand Stage 2'!SC25</f>
        <v>0</v>
      </c>
      <c r="SD26">
        <f>'Demand Stage 2'!SD25</f>
        <v>0</v>
      </c>
      <c r="SE26">
        <f>'Demand Stage 2'!SE25</f>
        <v>0</v>
      </c>
      <c r="SF26">
        <f>'Demand Stage 2'!SF25</f>
        <v>0</v>
      </c>
      <c r="SG26">
        <f>'Demand Stage 2'!SG25</f>
        <v>0</v>
      </c>
      <c r="SH26">
        <f>'Demand Stage 2'!SH25</f>
        <v>0</v>
      </c>
      <c r="SI26">
        <f>'Demand Stage 2'!SI25</f>
        <v>0</v>
      </c>
      <c r="SJ26">
        <f>'Demand Stage 2'!SJ25</f>
        <v>0</v>
      </c>
      <c r="SK26">
        <f>'Demand Stage 2'!SK25</f>
        <v>0</v>
      </c>
      <c r="SL26">
        <f>'Demand Stage 2'!SL25</f>
        <v>0</v>
      </c>
      <c r="SM26">
        <f>'Demand Stage 2'!SM25</f>
        <v>0</v>
      </c>
      <c r="SN26">
        <f>'Demand Stage 2'!SN25</f>
        <v>0</v>
      </c>
      <c r="SO26">
        <f>'Demand Stage 2'!SO25</f>
        <v>0</v>
      </c>
      <c r="SP26">
        <f>'Demand Stage 2'!SP25</f>
        <v>0</v>
      </c>
      <c r="SQ26">
        <f>'Demand Stage 2'!SQ25</f>
        <v>0</v>
      </c>
      <c r="SR26">
        <f>'Demand Stage 2'!SR25</f>
        <v>0</v>
      </c>
      <c r="SS26">
        <f>'Demand Stage 2'!SS25</f>
        <v>0</v>
      </c>
      <c r="ST26">
        <f>'Demand Stage 2'!ST25</f>
        <v>0</v>
      </c>
      <c r="SU26">
        <f>'Demand Stage 2'!SU25</f>
        <v>0</v>
      </c>
      <c r="SV26">
        <f>'Demand Stage 2'!SV25</f>
        <v>0</v>
      </c>
      <c r="SW26">
        <f>'Demand Stage 2'!SW25</f>
        <v>0</v>
      </c>
      <c r="SX26">
        <f>'Demand Stage 2'!SX25</f>
        <v>0</v>
      </c>
      <c r="SY26">
        <f>'Demand Stage 2'!SY25</f>
        <v>0</v>
      </c>
      <c r="SZ26">
        <f>'Demand Stage 2'!SZ25</f>
        <v>0</v>
      </c>
      <c r="TA26">
        <f>'Demand Stage 2'!TA25</f>
        <v>0</v>
      </c>
      <c r="TB26">
        <f>'Demand Stage 2'!TB25</f>
        <v>0</v>
      </c>
      <c r="TC26">
        <f>'Demand Stage 2'!TC25</f>
        <v>0</v>
      </c>
      <c r="TD26">
        <f>'Demand Stage 2'!TD25</f>
        <v>0</v>
      </c>
      <c r="TE26">
        <f>'Demand Stage 2'!TE25</f>
        <v>0</v>
      </c>
      <c r="TF26">
        <f>'Demand Stage 2'!TF25</f>
        <v>0</v>
      </c>
      <c r="TG26">
        <f>'Demand Stage 2'!TG25</f>
        <v>0</v>
      </c>
      <c r="TH26">
        <f>'Demand Stage 2'!TH25</f>
        <v>0</v>
      </c>
      <c r="TI26">
        <f>'Demand Stage 2'!TI25</f>
        <v>0</v>
      </c>
      <c r="TJ26">
        <f>'Demand Stage 2'!TJ25</f>
        <v>0</v>
      </c>
      <c r="TK26">
        <f>'Demand Stage 2'!TK25</f>
        <v>0</v>
      </c>
      <c r="TL26">
        <f>'Demand Stage 2'!TL25</f>
        <v>0</v>
      </c>
      <c r="TM26">
        <f>'Demand Stage 2'!TM25</f>
        <v>0</v>
      </c>
      <c r="TN26">
        <f>'Demand Stage 2'!TN25</f>
        <v>0</v>
      </c>
      <c r="TO26">
        <f>'Demand Stage 2'!TO25</f>
        <v>0</v>
      </c>
      <c r="TP26">
        <f>'Demand Stage 2'!TP25</f>
        <v>0</v>
      </c>
      <c r="TQ26">
        <f>'Demand Stage 2'!TQ25</f>
        <v>0</v>
      </c>
      <c r="TR26">
        <f>'Demand Stage 2'!TR25</f>
        <v>0</v>
      </c>
      <c r="TS26">
        <f>'Demand Stage 2'!TS25</f>
        <v>0</v>
      </c>
      <c r="TT26">
        <f>'Demand Stage 2'!TT25</f>
        <v>0</v>
      </c>
      <c r="TU26">
        <f>'Demand Stage 2'!TU25</f>
        <v>0</v>
      </c>
      <c r="TV26">
        <f>'Demand Stage 2'!TV25</f>
        <v>0</v>
      </c>
      <c r="TW26">
        <f>'Demand Stage 2'!TW25</f>
        <v>0</v>
      </c>
      <c r="TX26">
        <f>'Demand Stage 2'!TX25</f>
        <v>0</v>
      </c>
      <c r="TY26">
        <f>'Demand Stage 2'!TY25</f>
        <v>0</v>
      </c>
      <c r="TZ26">
        <f>'Demand Stage 2'!TZ25</f>
        <v>0</v>
      </c>
      <c r="UA26">
        <f>'Demand Stage 2'!UA25</f>
        <v>0</v>
      </c>
      <c r="UB26">
        <f>'Demand Stage 2'!UB25</f>
        <v>0</v>
      </c>
      <c r="UC26">
        <f>'Demand Stage 2'!UC25</f>
        <v>0</v>
      </c>
      <c r="UD26">
        <f>'Demand Stage 2'!UD25</f>
        <v>0</v>
      </c>
      <c r="UE26">
        <f>'Demand Stage 2'!UE25</f>
        <v>0</v>
      </c>
      <c r="UF26">
        <f>'Demand Stage 2'!UF25</f>
        <v>0</v>
      </c>
      <c r="UG26">
        <f>'Demand Stage 2'!UG25</f>
        <v>0</v>
      </c>
      <c r="UH26">
        <f>'Demand Stage 2'!UH25</f>
        <v>0</v>
      </c>
      <c r="UI26">
        <f>'Demand Stage 2'!UI25</f>
        <v>0</v>
      </c>
      <c r="UJ26">
        <f>'Demand Stage 2'!UJ25</f>
        <v>0</v>
      </c>
      <c r="UK26">
        <f>'Demand Stage 2'!UK25</f>
        <v>0</v>
      </c>
      <c r="UL26">
        <f>'Demand Stage 2'!UL25</f>
        <v>0</v>
      </c>
      <c r="UM26">
        <f>'Demand Stage 2'!UM25</f>
        <v>0</v>
      </c>
      <c r="UN26">
        <f>'Demand Stage 2'!UN25</f>
        <v>0</v>
      </c>
      <c r="UO26">
        <f>'Demand Stage 2'!UO25</f>
        <v>0</v>
      </c>
      <c r="UP26">
        <f>'Demand Stage 2'!UP25</f>
        <v>0</v>
      </c>
      <c r="UQ26">
        <f>'Demand Stage 2'!UQ25</f>
        <v>0</v>
      </c>
      <c r="UR26">
        <f>'Demand Stage 2'!UR25</f>
        <v>0</v>
      </c>
      <c r="US26">
        <f>'Demand Stage 2'!US25</f>
        <v>0</v>
      </c>
      <c r="UT26">
        <f>'Demand Stage 2'!UT25</f>
        <v>0</v>
      </c>
      <c r="UU26">
        <f>'Demand Stage 2'!UU25</f>
        <v>0</v>
      </c>
      <c r="UV26">
        <f>'Demand Stage 2'!UV25</f>
        <v>0</v>
      </c>
      <c r="UW26">
        <f>'Demand Stage 2'!UW25</f>
        <v>0</v>
      </c>
      <c r="UX26">
        <f>'Demand Stage 2'!UX25</f>
        <v>0</v>
      </c>
      <c r="UY26">
        <f>'Demand Stage 2'!UY25</f>
        <v>0</v>
      </c>
      <c r="UZ26">
        <f>'Demand Stage 2'!UZ25</f>
        <v>0</v>
      </c>
      <c r="VA26">
        <f>'Demand Stage 2'!VA25</f>
        <v>0</v>
      </c>
      <c r="VB26">
        <f>'Demand Stage 2'!VB25</f>
        <v>0</v>
      </c>
      <c r="VC26">
        <f>'Demand Stage 2'!VC25</f>
        <v>0</v>
      </c>
      <c r="VD26">
        <f>'Demand Stage 2'!VD25</f>
        <v>0</v>
      </c>
      <c r="VE26">
        <f>'Demand Stage 2'!VE25</f>
        <v>0</v>
      </c>
      <c r="VF26">
        <f>'Demand Stage 2'!VF25</f>
        <v>0</v>
      </c>
      <c r="VG26">
        <f>'Demand Stage 2'!VG25</f>
        <v>0</v>
      </c>
      <c r="VH26">
        <f>'Demand Stage 2'!VH25</f>
        <v>0</v>
      </c>
      <c r="VI26">
        <f>'Demand Stage 2'!VI25</f>
        <v>0</v>
      </c>
      <c r="VJ26">
        <f>'Demand Stage 2'!VJ25</f>
        <v>0</v>
      </c>
      <c r="VK26">
        <f>'Demand Stage 2'!VK25</f>
        <v>0</v>
      </c>
      <c r="VL26">
        <f>'Demand Stage 2'!VL25</f>
        <v>0</v>
      </c>
      <c r="VM26">
        <f>'Demand Stage 2'!VM25</f>
        <v>0</v>
      </c>
      <c r="VN26">
        <f>'Demand Stage 2'!VN25</f>
        <v>0</v>
      </c>
      <c r="VO26">
        <f>'Demand Stage 2'!VO25</f>
        <v>0</v>
      </c>
      <c r="VP26">
        <f>'Demand Stage 2'!VP25</f>
        <v>0</v>
      </c>
      <c r="VQ26">
        <f>'Demand Stage 2'!VQ25</f>
        <v>0</v>
      </c>
      <c r="VR26">
        <f>'Demand Stage 2'!VR25</f>
        <v>0</v>
      </c>
      <c r="VS26">
        <f>'Demand Stage 2'!VS25</f>
        <v>0</v>
      </c>
      <c r="VT26">
        <f>'Demand Stage 2'!VT25</f>
        <v>0</v>
      </c>
      <c r="VU26">
        <f>'Demand Stage 2'!VU25</f>
        <v>0</v>
      </c>
      <c r="VV26">
        <f>'Demand Stage 2'!VV25</f>
        <v>0</v>
      </c>
      <c r="VW26">
        <f>'Demand Stage 2'!VW25</f>
        <v>0</v>
      </c>
      <c r="VX26">
        <f>'Demand Stage 2'!VX25</f>
        <v>0</v>
      </c>
      <c r="VY26">
        <f>'Demand Stage 2'!VY25</f>
        <v>0</v>
      </c>
      <c r="VZ26">
        <f>'Demand Stage 2'!VZ25</f>
        <v>0</v>
      </c>
      <c r="WA26">
        <f>'Demand Stage 2'!WA25</f>
        <v>0</v>
      </c>
      <c r="WB26">
        <f>'Demand Stage 2'!WB25</f>
        <v>0</v>
      </c>
      <c r="WC26">
        <f>'Demand Stage 2'!WC25</f>
        <v>0</v>
      </c>
      <c r="WD26">
        <f>'Demand Stage 2'!WD25</f>
        <v>0</v>
      </c>
      <c r="WE26">
        <f>'Demand Stage 2'!WE25</f>
        <v>0</v>
      </c>
      <c r="WF26">
        <f>'Demand Stage 2'!WF25</f>
        <v>0</v>
      </c>
      <c r="WG26">
        <f>'Demand Stage 2'!WG25</f>
        <v>0</v>
      </c>
      <c r="WH26">
        <f>'Demand Stage 2'!WH25</f>
        <v>0</v>
      </c>
      <c r="WI26">
        <f>'Demand Stage 2'!WI25</f>
        <v>0</v>
      </c>
      <c r="WJ26">
        <f>'Demand Stage 2'!WJ25</f>
        <v>0</v>
      </c>
      <c r="WK26">
        <f>'Demand Stage 2'!WK25</f>
        <v>0</v>
      </c>
      <c r="WL26">
        <f>'Demand Stage 2'!WL25</f>
        <v>0</v>
      </c>
      <c r="WM26">
        <f>'Demand Stage 2'!WM25</f>
        <v>0</v>
      </c>
      <c r="WN26">
        <f>'Demand Stage 2'!WN25</f>
        <v>0</v>
      </c>
      <c r="WO26">
        <f>'Demand Stage 2'!WO25</f>
        <v>0</v>
      </c>
      <c r="WP26">
        <f>'Demand Stage 2'!WP25</f>
        <v>0</v>
      </c>
      <c r="WQ26">
        <f>'Demand Stage 2'!WQ25</f>
        <v>0</v>
      </c>
      <c r="WR26">
        <f>'Demand Stage 2'!WR25</f>
        <v>0</v>
      </c>
      <c r="WS26">
        <f>'Demand Stage 2'!WS25</f>
        <v>0</v>
      </c>
      <c r="WT26">
        <f>'Demand Stage 2'!WT25</f>
        <v>0</v>
      </c>
      <c r="WU26">
        <f>'Demand Stage 2'!WU25</f>
        <v>0</v>
      </c>
      <c r="WV26">
        <f>'Demand Stage 2'!WV25</f>
        <v>0</v>
      </c>
      <c r="WW26">
        <f>'Demand Stage 2'!WW25</f>
        <v>0</v>
      </c>
      <c r="WX26">
        <f>'Demand Stage 2'!WX25</f>
        <v>0</v>
      </c>
      <c r="WY26">
        <f>'Demand Stage 2'!WY25</f>
        <v>0</v>
      </c>
      <c r="WZ26">
        <f>'Demand Stage 2'!WZ25</f>
        <v>0</v>
      </c>
      <c r="XA26">
        <f>'Demand Stage 2'!XA25</f>
        <v>0</v>
      </c>
      <c r="XB26">
        <f>'Demand Stage 2'!XB25</f>
        <v>0</v>
      </c>
      <c r="XC26">
        <f>'Demand Stage 2'!XC25</f>
        <v>0</v>
      </c>
      <c r="XD26">
        <f>'Demand Stage 2'!XD25</f>
        <v>0</v>
      </c>
      <c r="XE26">
        <f>'Demand Stage 2'!XE25</f>
        <v>0</v>
      </c>
      <c r="XF26">
        <f>'Demand Stage 2'!XF25</f>
        <v>0</v>
      </c>
      <c r="XG26">
        <f>'Demand Stage 2'!XG25</f>
        <v>0</v>
      </c>
      <c r="XH26">
        <f>'Demand Stage 2'!XH25</f>
        <v>0</v>
      </c>
      <c r="XI26">
        <f>'Demand Stage 2'!XI25</f>
        <v>0</v>
      </c>
      <c r="XJ26">
        <f>'Demand Stage 2'!XJ25</f>
        <v>0</v>
      </c>
      <c r="XK26">
        <f>'Demand Stage 2'!XK25</f>
        <v>0</v>
      </c>
      <c r="XL26">
        <f>'Demand Stage 2'!XL25</f>
        <v>0</v>
      </c>
      <c r="XM26">
        <f>'Demand Stage 2'!XM25</f>
        <v>0</v>
      </c>
      <c r="XN26">
        <f>'Demand Stage 2'!XN25</f>
        <v>0</v>
      </c>
      <c r="XO26">
        <f>'Demand Stage 2'!XO25</f>
        <v>0</v>
      </c>
      <c r="XP26">
        <f>'Demand Stage 2'!XP25</f>
        <v>0</v>
      </c>
      <c r="XQ26">
        <f>'Demand Stage 2'!XQ25</f>
        <v>0</v>
      </c>
      <c r="XR26">
        <f>'Demand Stage 2'!XR25</f>
        <v>0</v>
      </c>
      <c r="XS26">
        <f>'Demand Stage 2'!XS25</f>
        <v>0</v>
      </c>
      <c r="XT26">
        <f>'Demand Stage 2'!XT25</f>
        <v>0</v>
      </c>
      <c r="XU26">
        <f>'Demand Stage 2'!XU25</f>
        <v>0</v>
      </c>
      <c r="XV26">
        <f>'Demand Stage 2'!XV25</f>
        <v>0</v>
      </c>
      <c r="XW26">
        <f>'Demand Stage 2'!XW25</f>
        <v>0</v>
      </c>
      <c r="XX26">
        <f>'Demand Stage 2'!XX25</f>
        <v>0</v>
      </c>
      <c r="XY26">
        <f>'Demand Stage 2'!XY25</f>
        <v>0</v>
      </c>
      <c r="XZ26">
        <f>'Demand Stage 2'!XZ25</f>
        <v>0</v>
      </c>
      <c r="YA26">
        <f>'Demand Stage 2'!YA25</f>
        <v>0</v>
      </c>
      <c r="YB26">
        <f>'Demand Stage 2'!YB25</f>
        <v>0</v>
      </c>
      <c r="YC26">
        <f>'Demand Stage 2'!YC25</f>
        <v>0</v>
      </c>
      <c r="YD26">
        <f>'Demand Stage 2'!YD25</f>
        <v>0</v>
      </c>
      <c r="YE26">
        <f>'Demand Stage 2'!YE25</f>
        <v>0</v>
      </c>
      <c r="YF26">
        <f>'Demand Stage 2'!YF25</f>
        <v>0</v>
      </c>
      <c r="YG26">
        <f>'Demand Stage 2'!YG25</f>
        <v>0</v>
      </c>
      <c r="YH26">
        <f>'Demand Stage 2'!YH25</f>
        <v>0</v>
      </c>
      <c r="YI26">
        <f>'Demand Stage 2'!YI25</f>
        <v>0</v>
      </c>
      <c r="YJ26">
        <f>'Demand Stage 2'!YJ25</f>
        <v>0</v>
      </c>
      <c r="YK26">
        <f>'Demand Stage 2'!YK25</f>
        <v>0</v>
      </c>
      <c r="YL26">
        <f>'Demand Stage 2'!YL25</f>
        <v>0</v>
      </c>
      <c r="YM26">
        <f>'Demand Stage 2'!YM25</f>
        <v>0</v>
      </c>
      <c r="YN26">
        <f>'Demand Stage 2'!YN25</f>
        <v>0</v>
      </c>
      <c r="YO26">
        <f>'Demand Stage 2'!YO25</f>
        <v>0</v>
      </c>
      <c r="YP26">
        <f>'Demand Stage 2'!YP25</f>
        <v>0</v>
      </c>
      <c r="YQ26">
        <f>'Demand Stage 2'!YQ25</f>
        <v>0</v>
      </c>
      <c r="YR26">
        <f>'Demand Stage 2'!YR25</f>
        <v>0</v>
      </c>
      <c r="YS26">
        <f>'Demand Stage 2'!YS25</f>
        <v>0</v>
      </c>
      <c r="YT26">
        <f>'Demand Stage 2'!YT25</f>
        <v>0</v>
      </c>
      <c r="YU26">
        <f>'Demand Stage 2'!YU25</f>
        <v>0</v>
      </c>
      <c r="YV26">
        <f>'Demand Stage 2'!YV25</f>
        <v>0</v>
      </c>
      <c r="YW26">
        <f>'Demand Stage 2'!YW25</f>
        <v>0</v>
      </c>
      <c r="YX26">
        <f>'Demand Stage 2'!YX25</f>
        <v>0</v>
      </c>
      <c r="YY26">
        <f>'Demand Stage 2'!YY25</f>
        <v>0</v>
      </c>
      <c r="YZ26">
        <f>'Demand Stage 2'!YZ25</f>
        <v>0</v>
      </c>
      <c r="ZA26">
        <f>'Demand Stage 2'!ZA25</f>
        <v>0</v>
      </c>
      <c r="ZB26">
        <f>'Demand Stage 2'!ZB25</f>
        <v>0</v>
      </c>
      <c r="ZC26">
        <f>'Demand Stage 2'!ZC25</f>
        <v>0</v>
      </c>
      <c r="ZD26">
        <f>'Demand Stage 2'!ZD25</f>
        <v>0</v>
      </c>
      <c r="ZE26">
        <f>'Demand Stage 2'!ZE25</f>
        <v>0</v>
      </c>
      <c r="ZF26">
        <f>'Demand Stage 2'!ZF25</f>
        <v>0</v>
      </c>
      <c r="ZG26">
        <f>'Demand Stage 2'!ZG25</f>
        <v>0</v>
      </c>
      <c r="ZH26">
        <f>'Demand Stage 2'!ZH25</f>
        <v>0</v>
      </c>
      <c r="ZI26">
        <f>'Demand Stage 2'!ZI25</f>
        <v>0</v>
      </c>
      <c r="ZJ26">
        <f>'Demand Stage 2'!ZJ25</f>
        <v>0</v>
      </c>
      <c r="ZK26">
        <f>'Demand Stage 2'!ZK25</f>
        <v>0</v>
      </c>
      <c r="ZL26">
        <f>'Demand Stage 2'!ZL25</f>
        <v>0</v>
      </c>
      <c r="ZM26">
        <f>'Demand Stage 2'!ZM25</f>
        <v>0</v>
      </c>
      <c r="ZN26">
        <f>'Demand Stage 2'!ZN25</f>
        <v>0</v>
      </c>
      <c r="ZO26">
        <f>'Demand Stage 2'!ZO25</f>
        <v>0</v>
      </c>
      <c r="ZP26">
        <f>'Demand Stage 2'!ZP25</f>
        <v>0</v>
      </c>
      <c r="ZQ26">
        <f>'Demand Stage 2'!ZQ25</f>
        <v>0</v>
      </c>
      <c r="ZR26">
        <f>'Demand Stage 2'!ZR25</f>
        <v>0</v>
      </c>
      <c r="ZS26">
        <f>'Demand Stage 2'!ZS25</f>
        <v>0</v>
      </c>
      <c r="ZT26">
        <f>'Demand Stage 2'!ZT25</f>
        <v>0</v>
      </c>
      <c r="ZU26">
        <f>'Demand Stage 2'!ZU25</f>
        <v>0</v>
      </c>
      <c r="ZV26">
        <f>'Demand Stage 2'!ZV25</f>
        <v>0</v>
      </c>
      <c r="ZW26">
        <f>'Demand Stage 2'!ZW25</f>
        <v>0</v>
      </c>
      <c r="ZX26">
        <f>'Demand Stage 2'!ZX25</f>
        <v>0</v>
      </c>
      <c r="ZY26">
        <f>'Demand Stage 2'!ZY25</f>
        <v>0</v>
      </c>
      <c r="ZZ26">
        <f>'Demand Stage 2'!ZZ25</f>
        <v>0</v>
      </c>
      <c r="AAA26">
        <f>'Demand Stage 2'!AAA25</f>
        <v>0</v>
      </c>
      <c r="AAB26">
        <f>'Demand Stage 2'!AAB25</f>
        <v>0</v>
      </c>
      <c r="AAC26">
        <f>'Demand Stage 2'!AAC25</f>
        <v>0</v>
      </c>
      <c r="AAD26">
        <f t="shared" si="33"/>
        <v>0</v>
      </c>
      <c r="AAE26">
        <f t="shared" si="66"/>
        <v>0</v>
      </c>
      <c r="AAF26">
        <f t="shared" si="67"/>
        <v>0</v>
      </c>
      <c r="AAG26">
        <f t="shared" si="68"/>
        <v>0</v>
      </c>
      <c r="AAH26">
        <f t="shared" si="69"/>
        <v>0</v>
      </c>
      <c r="AAI26">
        <f t="shared" si="70"/>
        <v>0</v>
      </c>
      <c r="AAJ26">
        <f t="shared" si="71"/>
        <v>0</v>
      </c>
      <c r="AAK26">
        <f t="shared" si="72"/>
        <v>0</v>
      </c>
      <c r="AAL26">
        <f t="shared" si="73"/>
        <v>0</v>
      </c>
      <c r="AAM26">
        <f t="shared" si="74"/>
        <v>0</v>
      </c>
      <c r="AAN26">
        <f t="shared" si="75"/>
        <v>0</v>
      </c>
      <c r="AAO26">
        <f t="shared" si="76"/>
        <v>0</v>
      </c>
      <c r="AAP26">
        <f t="shared" si="77"/>
        <v>0</v>
      </c>
      <c r="AAQ26">
        <f t="shared" si="78"/>
        <v>0</v>
      </c>
      <c r="AAR26">
        <f t="shared" si="79"/>
        <v>0</v>
      </c>
      <c r="AAS26">
        <f t="shared" si="80"/>
        <v>0</v>
      </c>
      <c r="AAT26">
        <f t="shared" si="81"/>
        <v>0</v>
      </c>
      <c r="AAU26">
        <f t="shared" si="82"/>
        <v>0</v>
      </c>
      <c r="AAV26">
        <f t="shared" si="83"/>
        <v>0</v>
      </c>
      <c r="AAW26">
        <f t="shared" si="84"/>
        <v>0</v>
      </c>
      <c r="AAX26">
        <f t="shared" si="85"/>
        <v>0</v>
      </c>
      <c r="AAY26">
        <f t="shared" si="86"/>
        <v>0</v>
      </c>
      <c r="AAZ26">
        <f t="shared" si="87"/>
        <v>0</v>
      </c>
      <c r="ABA26">
        <f t="shared" si="88"/>
        <v>0</v>
      </c>
      <c r="ABB26">
        <f t="shared" si="89"/>
        <v>0</v>
      </c>
      <c r="ABC26">
        <f t="shared" si="90"/>
        <v>0</v>
      </c>
      <c r="ABD26">
        <f t="shared" si="91"/>
        <v>0</v>
      </c>
      <c r="ABE26">
        <f t="shared" si="92"/>
        <v>0</v>
      </c>
      <c r="ABF26">
        <f t="shared" si="93"/>
        <v>0</v>
      </c>
      <c r="ABG26">
        <f t="shared" si="94"/>
        <v>0</v>
      </c>
      <c r="ABH26">
        <f t="shared" si="95"/>
        <v>0</v>
      </c>
      <c r="ABI26">
        <f t="shared" si="96"/>
        <v>0</v>
      </c>
      <c r="ABJ26">
        <f t="shared" si="97"/>
        <v>0</v>
      </c>
      <c r="ABK26">
        <f t="shared" si="98"/>
        <v>0</v>
      </c>
      <c r="ABL26">
        <f t="shared" si="99"/>
        <v>0</v>
      </c>
      <c r="ABM26">
        <f t="shared" si="100"/>
        <v>0</v>
      </c>
      <c r="ABN26">
        <f t="shared" si="101"/>
        <v>0</v>
      </c>
      <c r="ABO26">
        <f t="shared" si="102"/>
        <v>0</v>
      </c>
      <c r="ABP26">
        <f t="shared" si="103"/>
        <v>0</v>
      </c>
      <c r="ABQ26">
        <f t="shared" si="104"/>
        <v>0</v>
      </c>
      <c r="ABR26">
        <f t="shared" si="105"/>
        <v>0</v>
      </c>
      <c r="ABS26">
        <f t="shared" si="106"/>
        <v>0</v>
      </c>
      <c r="ABT26">
        <f t="shared" si="107"/>
        <v>0</v>
      </c>
      <c r="ABU26">
        <f t="shared" si="108"/>
        <v>0</v>
      </c>
      <c r="ABV26">
        <f t="shared" si="109"/>
        <v>0</v>
      </c>
      <c r="ABW26">
        <f t="shared" si="110"/>
        <v>0</v>
      </c>
      <c r="ABX26">
        <f t="shared" si="111"/>
        <v>0</v>
      </c>
      <c r="ABY26">
        <f t="shared" si="112"/>
        <v>0</v>
      </c>
      <c r="ABZ26">
        <f t="shared" si="113"/>
        <v>0</v>
      </c>
      <c r="ACA26">
        <f t="shared" si="114"/>
        <v>0</v>
      </c>
      <c r="ACB26">
        <f t="shared" si="115"/>
        <v>0</v>
      </c>
      <c r="ACC26">
        <f t="shared" si="116"/>
        <v>0</v>
      </c>
      <c r="ACD26">
        <f t="shared" si="117"/>
        <v>0</v>
      </c>
      <c r="ACE26">
        <f t="shared" si="118"/>
        <v>0</v>
      </c>
      <c r="ACF26">
        <f t="shared" si="119"/>
        <v>0</v>
      </c>
      <c r="ACG26">
        <f t="shared" si="120"/>
        <v>0</v>
      </c>
      <c r="ACH26">
        <f t="shared" si="121"/>
        <v>0</v>
      </c>
      <c r="ACI26">
        <f t="shared" si="122"/>
        <v>0</v>
      </c>
      <c r="ACJ26">
        <f t="shared" si="123"/>
        <v>0</v>
      </c>
      <c r="ACK26">
        <f t="shared" si="124"/>
        <v>0</v>
      </c>
      <c r="ACL26">
        <f t="shared" si="125"/>
        <v>0</v>
      </c>
      <c r="ACM26">
        <f t="shared" si="126"/>
        <v>0</v>
      </c>
      <c r="ACN26">
        <f t="shared" si="127"/>
        <v>0</v>
      </c>
      <c r="ACO26">
        <f t="shared" si="128"/>
        <v>0</v>
      </c>
      <c r="ACP26">
        <f t="shared" si="34"/>
        <v>0</v>
      </c>
      <c r="ACQ26">
        <f t="shared" si="129"/>
        <v>0</v>
      </c>
      <c r="ACR26">
        <f t="shared" si="130"/>
        <v>0</v>
      </c>
      <c r="ACS26">
        <f t="shared" si="131"/>
        <v>0</v>
      </c>
      <c r="ACT26">
        <f t="shared" si="132"/>
        <v>0</v>
      </c>
      <c r="ACU26">
        <f t="shared" si="133"/>
        <v>0</v>
      </c>
      <c r="ACV26">
        <f t="shared" si="134"/>
        <v>0</v>
      </c>
      <c r="ACW26">
        <f t="shared" si="135"/>
        <v>0</v>
      </c>
      <c r="ACX26">
        <f t="shared" si="136"/>
        <v>0</v>
      </c>
      <c r="ACY26">
        <f t="shared" si="137"/>
        <v>0</v>
      </c>
      <c r="ACZ26">
        <f t="shared" si="138"/>
        <v>0</v>
      </c>
      <c r="ADA26">
        <f t="shared" si="139"/>
        <v>0</v>
      </c>
      <c r="ADB26">
        <f t="shared" si="140"/>
        <v>0</v>
      </c>
      <c r="ADC26">
        <f t="shared" si="141"/>
        <v>0</v>
      </c>
      <c r="ADD26">
        <f t="shared" si="142"/>
        <v>0</v>
      </c>
      <c r="ADE26">
        <f t="shared" si="143"/>
        <v>0</v>
      </c>
      <c r="ADF26">
        <f t="shared" si="144"/>
        <v>0</v>
      </c>
      <c r="ADG26">
        <f t="shared" si="145"/>
        <v>0</v>
      </c>
      <c r="ADH26">
        <f t="shared" si="146"/>
        <v>0</v>
      </c>
      <c r="ADI26">
        <f t="shared" si="147"/>
        <v>0</v>
      </c>
      <c r="ADJ26">
        <f t="shared" si="148"/>
        <v>0</v>
      </c>
      <c r="ADK26">
        <f t="shared" si="149"/>
        <v>0</v>
      </c>
      <c r="ADL26">
        <f t="shared" si="150"/>
        <v>0</v>
      </c>
      <c r="ADM26">
        <f t="shared" si="151"/>
        <v>0</v>
      </c>
      <c r="ADN26">
        <f t="shared" si="152"/>
        <v>0</v>
      </c>
      <c r="ADO26">
        <f t="shared" si="153"/>
        <v>0</v>
      </c>
      <c r="ADP26">
        <f t="shared" si="154"/>
        <v>0</v>
      </c>
      <c r="ADQ26">
        <f t="shared" si="155"/>
        <v>0</v>
      </c>
      <c r="ADR26">
        <f t="shared" si="156"/>
        <v>0</v>
      </c>
      <c r="ADS26">
        <f t="shared" si="157"/>
        <v>0</v>
      </c>
      <c r="ADT26">
        <f t="shared" si="158"/>
        <v>0</v>
      </c>
      <c r="ADU26">
        <f t="shared" si="159"/>
        <v>0</v>
      </c>
      <c r="ADV26">
        <f t="shared" si="160"/>
        <v>0</v>
      </c>
      <c r="ADW26">
        <f t="shared" si="161"/>
        <v>0</v>
      </c>
      <c r="ADX26">
        <f t="shared" si="162"/>
        <v>0</v>
      </c>
      <c r="ADY26">
        <f t="shared" si="163"/>
        <v>0</v>
      </c>
      <c r="ADZ26">
        <f t="shared" si="164"/>
        <v>0</v>
      </c>
      <c r="AEA26">
        <f t="shared" si="165"/>
        <v>0</v>
      </c>
      <c r="AEB26">
        <f t="shared" si="166"/>
        <v>0</v>
      </c>
      <c r="AEC26">
        <f t="shared" si="167"/>
        <v>0</v>
      </c>
      <c r="AED26">
        <f t="shared" si="168"/>
        <v>0</v>
      </c>
      <c r="AEE26">
        <f t="shared" si="169"/>
        <v>0</v>
      </c>
      <c r="AEF26">
        <f t="shared" si="170"/>
        <v>0</v>
      </c>
      <c r="AEG26">
        <f t="shared" si="171"/>
        <v>0</v>
      </c>
      <c r="AEH26">
        <f t="shared" si="172"/>
        <v>0</v>
      </c>
      <c r="AEI26">
        <f t="shared" si="173"/>
        <v>0</v>
      </c>
      <c r="AEJ26">
        <f t="shared" si="174"/>
        <v>0</v>
      </c>
      <c r="AEK26">
        <f t="shared" si="175"/>
        <v>0</v>
      </c>
      <c r="AEL26">
        <f t="shared" si="176"/>
        <v>0</v>
      </c>
      <c r="AEM26">
        <f t="shared" si="177"/>
        <v>0</v>
      </c>
      <c r="AEN26">
        <f t="shared" si="178"/>
        <v>0</v>
      </c>
      <c r="AEO26">
        <f t="shared" si="179"/>
        <v>0</v>
      </c>
      <c r="AEP26">
        <f t="shared" si="180"/>
        <v>0</v>
      </c>
      <c r="AEQ26">
        <f t="shared" si="181"/>
        <v>0</v>
      </c>
      <c r="AER26">
        <f t="shared" si="182"/>
        <v>0</v>
      </c>
      <c r="AES26">
        <f t="shared" si="183"/>
        <v>0</v>
      </c>
      <c r="AET26">
        <f t="shared" si="184"/>
        <v>0</v>
      </c>
      <c r="AEU26">
        <f t="shared" si="185"/>
        <v>0</v>
      </c>
      <c r="AEV26">
        <f t="shared" si="186"/>
        <v>0</v>
      </c>
      <c r="AEW26">
        <f t="shared" si="187"/>
        <v>0</v>
      </c>
      <c r="AEX26">
        <f t="shared" si="188"/>
        <v>0</v>
      </c>
      <c r="AEY26">
        <f t="shared" si="189"/>
        <v>0</v>
      </c>
      <c r="AEZ26">
        <f t="shared" si="190"/>
        <v>0</v>
      </c>
      <c r="AFA26">
        <f t="shared" si="191"/>
        <v>0</v>
      </c>
      <c r="AFB26">
        <f t="shared" si="35"/>
        <v>0</v>
      </c>
      <c r="AFC26">
        <f t="shared" si="192"/>
        <v>0</v>
      </c>
      <c r="AFD26">
        <f t="shared" si="193"/>
        <v>0</v>
      </c>
      <c r="AFE26">
        <f t="shared" si="194"/>
        <v>0</v>
      </c>
      <c r="AFF26">
        <f t="shared" si="195"/>
        <v>0</v>
      </c>
      <c r="AFG26">
        <f t="shared" si="196"/>
        <v>0</v>
      </c>
      <c r="AFH26">
        <f t="shared" si="197"/>
        <v>0</v>
      </c>
      <c r="AFI26">
        <f t="shared" si="198"/>
        <v>0</v>
      </c>
      <c r="AFJ26">
        <f t="shared" si="199"/>
        <v>0</v>
      </c>
      <c r="AFK26">
        <f t="shared" si="200"/>
        <v>0</v>
      </c>
      <c r="AFL26">
        <f t="shared" si="201"/>
        <v>0</v>
      </c>
      <c r="AFM26">
        <f t="shared" si="202"/>
        <v>0</v>
      </c>
      <c r="AFN26">
        <f t="shared" si="203"/>
        <v>0</v>
      </c>
      <c r="AFO26">
        <f t="shared" si="204"/>
        <v>0</v>
      </c>
      <c r="AFP26">
        <f t="shared" si="205"/>
        <v>0</v>
      </c>
      <c r="AFQ26">
        <f t="shared" si="206"/>
        <v>0</v>
      </c>
      <c r="AFR26">
        <f t="shared" si="207"/>
        <v>0</v>
      </c>
      <c r="AFS26">
        <f t="shared" si="208"/>
        <v>0</v>
      </c>
      <c r="AFT26">
        <f t="shared" si="209"/>
        <v>0</v>
      </c>
      <c r="AFU26">
        <f t="shared" si="210"/>
        <v>0</v>
      </c>
      <c r="AFV26">
        <f t="shared" si="211"/>
        <v>0</v>
      </c>
      <c r="AFW26">
        <f t="shared" si="212"/>
        <v>0</v>
      </c>
      <c r="AFX26">
        <f t="shared" si="213"/>
        <v>0</v>
      </c>
      <c r="AFY26">
        <f t="shared" si="214"/>
        <v>0</v>
      </c>
      <c r="AFZ26">
        <f t="shared" si="215"/>
        <v>0</v>
      </c>
      <c r="AGA26">
        <f t="shared" si="216"/>
        <v>0</v>
      </c>
      <c r="AGB26">
        <f t="shared" si="217"/>
        <v>0</v>
      </c>
      <c r="AGC26">
        <f t="shared" si="218"/>
        <v>0</v>
      </c>
      <c r="AGD26">
        <f t="shared" si="219"/>
        <v>0</v>
      </c>
      <c r="AGE26">
        <f t="shared" si="220"/>
        <v>0</v>
      </c>
      <c r="AGF26">
        <f t="shared" si="221"/>
        <v>0</v>
      </c>
      <c r="AGG26">
        <f t="shared" si="222"/>
        <v>0</v>
      </c>
      <c r="AGH26">
        <f t="shared" si="223"/>
        <v>0</v>
      </c>
      <c r="AGI26">
        <f t="shared" si="224"/>
        <v>0</v>
      </c>
      <c r="AGJ26">
        <f t="shared" si="225"/>
        <v>0</v>
      </c>
      <c r="AGK26">
        <f t="shared" si="226"/>
        <v>0</v>
      </c>
      <c r="AGL26">
        <f t="shared" si="227"/>
        <v>0</v>
      </c>
      <c r="AGM26">
        <f t="shared" si="228"/>
        <v>0</v>
      </c>
      <c r="AGN26">
        <f t="shared" si="229"/>
        <v>0</v>
      </c>
      <c r="AGO26">
        <f t="shared" si="230"/>
        <v>0</v>
      </c>
      <c r="AGP26">
        <f t="shared" si="231"/>
        <v>0</v>
      </c>
      <c r="AGQ26">
        <f t="shared" si="232"/>
        <v>0</v>
      </c>
      <c r="AGR26">
        <f t="shared" si="233"/>
        <v>0</v>
      </c>
      <c r="AGS26">
        <f t="shared" si="234"/>
        <v>0</v>
      </c>
      <c r="AGT26">
        <f t="shared" si="235"/>
        <v>0</v>
      </c>
      <c r="AGU26">
        <f t="shared" si="236"/>
        <v>0</v>
      </c>
      <c r="AGV26">
        <f t="shared" si="237"/>
        <v>0</v>
      </c>
      <c r="AGW26">
        <f t="shared" si="238"/>
        <v>0</v>
      </c>
      <c r="AGX26">
        <f t="shared" si="239"/>
        <v>0</v>
      </c>
      <c r="AGY26">
        <f t="shared" si="240"/>
        <v>0</v>
      </c>
      <c r="AGZ26">
        <f t="shared" si="241"/>
        <v>0</v>
      </c>
      <c r="AHA26">
        <f t="shared" si="242"/>
        <v>0</v>
      </c>
      <c r="AHB26">
        <f t="shared" si="243"/>
        <v>0</v>
      </c>
      <c r="AHC26">
        <f t="shared" si="244"/>
        <v>0</v>
      </c>
      <c r="AHD26">
        <f t="shared" si="245"/>
        <v>0</v>
      </c>
      <c r="AHE26">
        <f t="shared" si="246"/>
        <v>0</v>
      </c>
      <c r="AHF26">
        <f t="shared" si="247"/>
        <v>0</v>
      </c>
      <c r="AHG26">
        <f t="shared" si="248"/>
        <v>0</v>
      </c>
      <c r="AHH26">
        <f t="shared" si="249"/>
        <v>0</v>
      </c>
      <c r="AHI26">
        <f t="shared" si="250"/>
        <v>0</v>
      </c>
      <c r="AHJ26">
        <f t="shared" si="251"/>
        <v>0</v>
      </c>
      <c r="AHK26">
        <f t="shared" si="252"/>
        <v>0</v>
      </c>
      <c r="AHL26">
        <f t="shared" si="253"/>
        <v>0</v>
      </c>
      <c r="AHM26">
        <f t="shared" si="254"/>
        <v>0</v>
      </c>
      <c r="AHN26">
        <f t="shared" si="36"/>
        <v>0</v>
      </c>
      <c r="AHO26">
        <f t="shared" si="255"/>
        <v>0</v>
      </c>
      <c r="AHP26">
        <f t="shared" si="256"/>
        <v>0</v>
      </c>
      <c r="AHQ26">
        <f t="shared" si="257"/>
        <v>0</v>
      </c>
      <c r="AHR26">
        <f t="shared" si="258"/>
        <v>0</v>
      </c>
      <c r="AHS26">
        <f t="shared" si="259"/>
        <v>0</v>
      </c>
      <c r="AHT26">
        <f t="shared" si="260"/>
        <v>0</v>
      </c>
      <c r="AHU26">
        <f t="shared" si="261"/>
        <v>0</v>
      </c>
      <c r="AHV26">
        <f t="shared" si="262"/>
        <v>0</v>
      </c>
      <c r="AHW26">
        <f t="shared" si="263"/>
        <v>0</v>
      </c>
      <c r="AHX26">
        <f t="shared" si="264"/>
        <v>0</v>
      </c>
      <c r="AHY26">
        <f t="shared" si="265"/>
        <v>0</v>
      </c>
      <c r="AHZ26">
        <f t="shared" si="266"/>
        <v>0</v>
      </c>
      <c r="AIA26">
        <f t="shared" si="267"/>
        <v>0</v>
      </c>
      <c r="AIB26">
        <f t="shared" si="268"/>
        <v>0</v>
      </c>
      <c r="AIC26">
        <f t="shared" si="269"/>
        <v>0</v>
      </c>
      <c r="AID26">
        <f t="shared" si="270"/>
        <v>0</v>
      </c>
      <c r="AIE26">
        <f t="shared" si="271"/>
        <v>0</v>
      </c>
      <c r="AIF26">
        <f t="shared" si="272"/>
        <v>0</v>
      </c>
      <c r="AIG26">
        <f t="shared" si="273"/>
        <v>0</v>
      </c>
      <c r="AIH26">
        <f t="shared" si="274"/>
        <v>0</v>
      </c>
      <c r="AII26">
        <f t="shared" si="275"/>
        <v>0</v>
      </c>
      <c r="AIJ26">
        <f t="shared" si="276"/>
        <v>0</v>
      </c>
      <c r="AIK26">
        <f t="shared" si="277"/>
        <v>0</v>
      </c>
      <c r="AIL26">
        <f t="shared" si="278"/>
        <v>0</v>
      </c>
      <c r="AIM26">
        <f t="shared" si="279"/>
        <v>0</v>
      </c>
      <c r="AIN26">
        <f t="shared" si="280"/>
        <v>0</v>
      </c>
      <c r="AIO26">
        <f t="shared" si="281"/>
        <v>0</v>
      </c>
      <c r="AIP26">
        <f t="shared" si="282"/>
        <v>0</v>
      </c>
      <c r="AIQ26">
        <f t="shared" si="283"/>
        <v>0</v>
      </c>
      <c r="AIR26">
        <f t="shared" si="284"/>
        <v>0</v>
      </c>
      <c r="AIS26">
        <f t="shared" si="285"/>
        <v>0</v>
      </c>
      <c r="AIT26">
        <f t="shared" si="286"/>
        <v>0</v>
      </c>
      <c r="AIU26">
        <f t="shared" si="287"/>
        <v>0</v>
      </c>
      <c r="AIV26">
        <f t="shared" si="288"/>
        <v>0</v>
      </c>
      <c r="AIW26">
        <f t="shared" si="289"/>
        <v>0</v>
      </c>
      <c r="AIX26">
        <f t="shared" si="290"/>
        <v>0</v>
      </c>
      <c r="AIY26">
        <f t="shared" si="291"/>
        <v>0</v>
      </c>
      <c r="AIZ26">
        <f t="shared" si="292"/>
        <v>0</v>
      </c>
      <c r="AJA26">
        <f t="shared" si="293"/>
        <v>0</v>
      </c>
      <c r="AJB26">
        <f t="shared" si="294"/>
        <v>0</v>
      </c>
      <c r="AJC26">
        <f t="shared" si="295"/>
        <v>0</v>
      </c>
      <c r="AJD26">
        <f t="shared" si="296"/>
        <v>0</v>
      </c>
      <c r="AJE26">
        <f t="shared" si="297"/>
        <v>0</v>
      </c>
      <c r="AJF26">
        <f t="shared" si="298"/>
        <v>0</v>
      </c>
      <c r="AJG26">
        <f t="shared" si="299"/>
        <v>0</v>
      </c>
      <c r="AJH26">
        <f t="shared" si="300"/>
        <v>0</v>
      </c>
      <c r="AJI26">
        <f t="shared" si="301"/>
        <v>0</v>
      </c>
      <c r="AJJ26">
        <f t="shared" si="302"/>
        <v>0</v>
      </c>
      <c r="AJK26">
        <f t="shared" si="303"/>
        <v>0</v>
      </c>
      <c r="AJL26">
        <f t="shared" si="304"/>
        <v>0</v>
      </c>
      <c r="AJM26">
        <f t="shared" si="305"/>
        <v>0</v>
      </c>
      <c r="AJN26">
        <f t="shared" si="306"/>
        <v>0</v>
      </c>
      <c r="AJO26">
        <f t="shared" si="307"/>
        <v>0</v>
      </c>
      <c r="AJP26">
        <f t="shared" si="308"/>
        <v>0</v>
      </c>
      <c r="AJQ26">
        <f t="shared" si="309"/>
        <v>0</v>
      </c>
      <c r="AJR26">
        <f t="shared" si="310"/>
        <v>0</v>
      </c>
      <c r="AJS26">
        <f t="shared" si="311"/>
        <v>0</v>
      </c>
      <c r="AJT26">
        <f t="shared" si="312"/>
        <v>0</v>
      </c>
      <c r="AJU26">
        <f t="shared" si="313"/>
        <v>0</v>
      </c>
      <c r="AJV26">
        <f t="shared" si="314"/>
        <v>0</v>
      </c>
      <c r="AJW26">
        <f t="shared" si="315"/>
        <v>0</v>
      </c>
      <c r="AJX26">
        <f t="shared" si="316"/>
        <v>0</v>
      </c>
      <c r="AJY26">
        <f t="shared" si="317"/>
        <v>0</v>
      </c>
      <c r="AJZ26">
        <f t="shared" si="37"/>
        <v>0</v>
      </c>
      <c r="AKA26">
        <f t="shared" si="318"/>
        <v>0</v>
      </c>
      <c r="AKB26">
        <f t="shared" si="319"/>
        <v>0</v>
      </c>
      <c r="AKC26">
        <f t="shared" si="320"/>
        <v>0</v>
      </c>
      <c r="AKD26">
        <f t="shared" si="321"/>
        <v>0</v>
      </c>
      <c r="AKE26">
        <f t="shared" si="322"/>
        <v>0</v>
      </c>
      <c r="AKF26">
        <f t="shared" si="323"/>
        <v>0</v>
      </c>
      <c r="AKG26">
        <f t="shared" si="324"/>
        <v>0</v>
      </c>
      <c r="AKH26">
        <f t="shared" si="325"/>
        <v>0</v>
      </c>
      <c r="AKI26">
        <f t="shared" si="326"/>
        <v>0</v>
      </c>
      <c r="AKJ26">
        <f t="shared" si="327"/>
        <v>0</v>
      </c>
      <c r="AKK26">
        <f t="shared" si="328"/>
        <v>0</v>
      </c>
      <c r="AKL26">
        <f t="shared" si="329"/>
        <v>0</v>
      </c>
      <c r="AKM26">
        <f t="shared" si="330"/>
        <v>0</v>
      </c>
      <c r="AKN26">
        <f t="shared" si="331"/>
        <v>0</v>
      </c>
      <c r="AKO26">
        <f t="shared" si="332"/>
        <v>0</v>
      </c>
      <c r="AKP26">
        <f t="shared" si="333"/>
        <v>0</v>
      </c>
      <c r="AKQ26">
        <f t="shared" si="334"/>
        <v>0</v>
      </c>
      <c r="AKR26">
        <f t="shared" si="335"/>
        <v>0</v>
      </c>
      <c r="AKS26">
        <f t="shared" si="336"/>
        <v>0</v>
      </c>
      <c r="AKT26">
        <f t="shared" si="337"/>
        <v>0</v>
      </c>
      <c r="AKU26">
        <f t="shared" si="338"/>
        <v>0</v>
      </c>
      <c r="AKV26">
        <f t="shared" si="339"/>
        <v>0</v>
      </c>
      <c r="AKW26">
        <f t="shared" si="340"/>
        <v>0</v>
      </c>
      <c r="AKX26">
        <f t="shared" si="341"/>
        <v>0</v>
      </c>
      <c r="AKY26">
        <f t="shared" si="342"/>
        <v>0</v>
      </c>
      <c r="AKZ26">
        <f t="shared" si="343"/>
        <v>0</v>
      </c>
      <c r="ALA26">
        <f t="shared" si="344"/>
        <v>0</v>
      </c>
      <c r="ALB26">
        <f t="shared" si="345"/>
        <v>0</v>
      </c>
      <c r="ALC26">
        <f t="shared" si="346"/>
        <v>0</v>
      </c>
      <c r="ALD26">
        <f t="shared" si="347"/>
        <v>0</v>
      </c>
      <c r="ALE26">
        <f t="shared" si="348"/>
        <v>0</v>
      </c>
      <c r="ALF26">
        <f t="shared" si="349"/>
        <v>0</v>
      </c>
      <c r="ALG26">
        <f t="shared" si="350"/>
        <v>0</v>
      </c>
      <c r="ALH26">
        <f t="shared" si="351"/>
        <v>0</v>
      </c>
      <c r="ALI26">
        <f t="shared" si="352"/>
        <v>0</v>
      </c>
      <c r="ALJ26">
        <f t="shared" si="353"/>
        <v>0</v>
      </c>
      <c r="ALK26">
        <f t="shared" si="354"/>
        <v>0</v>
      </c>
      <c r="ALL26">
        <f t="shared" si="355"/>
        <v>0</v>
      </c>
      <c r="ALM26">
        <f t="shared" si="356"/>
        <v>0</v>
      </c>
      <c r="ALN26">
        <f t="shared" si="357"/>
        <v>0</v>
      </c>
      <c r="ALO26">
        <f t="shared" si="358"/>
        <v>0</v>
      </c>
      <c r="ALP26">
        <f t="shared" si="359"/>
        <v>0</v>
      </c>
      <c r="ALQ26">
        <f t="shared" si="360"/>
        <v>0</v>
      </c>
      <c r="ALR26">
        <f t="shared" si="361"/>
        <v>0</v>
      </c>
      <c r="ALS26">
        <f t="shared" si="362"/>
        <v>0</v>
      </c>
      <c r="ALT26">
        <f t="shared" si="363"/>
        <v>0</v>
      </c>
      <c r="ALU26">
        <f t="shared" si="364"/>
        <v>0</v>
      </c>
      <c r="ALV26">
        <f t="shared" si="365"/>
        <v>0</v>
      </c>
      <c r="ALW26">
        <f t="shared" si="366"/>
        <v>0</v>
      </c>
      <c r="ALX26">
        <f t="shared" si="367"/>
        <v>0</v>
      </c>
      <c r="ALY26">
        <f t="shared" si="368"/>
        <v>0</v>
      </c>
      <c r="ALZ26">
        <f t="shared" si="369"/>
        <v>0</v>
      </c>
      <c r="AMA26">
        <f t="shared" si="370"/>
        <v>0</v>
      </c>
      <c r="AMB26">
        <f t="shared" si="371"/>
        <v>0</v>
      </c>
      <c r="AMC26">
        <f t="shared" si="372"/>
        <v>0</v>
      </c>
      <c r="AMD26">
        <f t="shared" si="373"/>
        <v>0</v>
      </c>
      <c r="AME26">
        <f t="shared" si="374"/>
        <v>0</v>
      </c>
      <c r="AMF26">
        <f t="shared" si="375"/>
        <v>0</v>
      </c>
      <c r="AMG26">
        <f t="shared" si="376"/>
        <v>0</v>
      </c>
      <c r="AMH26">
        <f t="shared" si="377"/>
        <v>0</v>
      </c>
      <c r="AMI26">
        <f t="shared" si="378"/>
        <v>0</v>
      </c>
      <c r="AMJ26">
        <f t="shared" si="379"/>
        <v>0</v>
      </c>
      <c r="AMK26">
        <f t="shared" si="380"/>
        <v>0</v>
      </c>
      <c r="AML26">
        <f t="shared" si="38"/>
        <v>0</v>
      </c>
      <c r="AMM26">
        <f t="shared" si="381"/>
        <v>0</v>
      </c>
      <c r="AMN26">
        <f t="shared" si="382"/>
        <v>0</v>
      </c>
      <c r="AMO26">
        <f t="shared" si="383"/>
        <v>0</v>
      </c>
      <c r="AMP26">
        <f t="shared" si="384"/>
        <v>0</v>
      </c>
      <c r="AMQ26">
        <f t="shared" si="385"/>
        <v>0</v>
      </c>
      <c r="AMR26">
        <f t="shared" si="386"/>
        <v>0</v>
      </c>
      <c r="AMS26">
        <f t="shared" si="387"/>
        <v>0</v>
      </c>
      <c r="AMT26">
        <f t="shared" si="388"/>
        <v>0</v>
      </c>
      <c r="AMU26">
        <f t="shared" si="389"/>
        <v>0</v>
      </c>
      <c r="AMV26">
        <f t="shared" si="390"/>
        <v>0</v>
      </c>
      <c r="AMW26">
        <f t="shared" si="391"/>
        <v>0</v>
      </c>
      <c r="AMX26">
        <f t="shared" si="392"/>
        <v>0</v>
      </c>
      <c r="AMY26">
        <f t="shared" si="393"/>
        <v>0</v>
      </c>
      <c r="AMZ26">
        <f t="shared" si="394"/>
        <v>0</v>
      </c>
      <c r="ANA26">
        <f t="shared" si="395"/>
        <v>0</v>
      </c>
      <c r="ANB26">
        <f t="shared" si="396"/>
        <v>0</v>
      </c>
      <c r="ANC26">
        <f t="shared" si="397"/>
        <v>0</v>
      </c>
      <c r="AND26">
        <f t="shared" si="398"/>
        <v>0</v>
      </c>
      <c r="ANE26">
        <f t="shared" si="399"/>
        <v>0</v>
      </c>
      <c r="ANF26">
        <f t="shared" si="400"/>
        <v>0</v>
      </c>
      <c r="ANG26">
        <f t="shared" si="401"/>
        <v>0</v>
      </c>
      <c r="ANH26">
        <f t="shared" si="402"/>
        <v>0</v>
      </c>
      <c r="ANI26">
        <f t="shared" si="403"/>
        <v>0</v>
      </c>
      <c r="ANJ26">
        <f t="shared" si="404"/>
        <v>0</v>
      </c>
      <c r="ANK26">
        <f t="shared" si="405"/>
        <v>0</v>
      </c>
      <c r="ANL26">
        <f t="shared" si="406"/>
        <v>0</v>
      </c>
      <c r="ANM26">
        <f t="shared" si="407"/>
        <v>0</v>
      </c>
      <c r="ANN26">
        <f t="shared" si="408"/>
        <v>0</v>
      </c>
      <c r="ANO26">
        <f t="shared" si="409"/>
        <v>0</v>
      </c>
      <c r="ANP26">
        <f t="shared" si="410"/>
        <v>0</v>
      </c>
      <c r="ANQ26">
        <f t="shared" si="411"/>
        <v>0</v>
      </c>
      <c r="ANR26">
        <f t="shared" si="412"/>
        <v>0</v>
      </c>
      <c r="ANS26">
        <f t="shared" si="413"/>
        <v>0</v>
      </c>
      <c r="ANT26">
        <f t="shared" si="414"/>
        <v>0</v>
      </c>
      <c r="ANU26">
        <f t="shared" si="415"/>
        <v>0</v>
      </c>
      <c r="ANV26">
        <f t="shared" si="416"/>
        <v>0</v>
      </c>
      <c r="ANW26">
        <f t="shared" si="417"/>
        <v>0</v>
      </c>
      <c r="ANX26">
        <f t="shared" si="418"/>
        <v>0</v>
      </c>
      <c r="ANY26">
        <f t="shared" si="419"/>
        <v>0</v>
      </c>
      <c r="ANZ26">
        <f t="shared" si="420"/>
        <v>0</v>
      </c>
      <c r="AOA26">
        <f t="shared" si="421"/>
        <v>0</v>
      </c>
      <c r="AOB26">
        <f t="shared" si="422"/>
        <v>0</v>
      </c>
      <c r="AOC26">
        <f t="shared" si="423"/>
        <v>0</v>
      </c>
      <c r="AOD26">
        <f t="shared" si="424"/>
        <v>0</v>
      </c>
      <c r="AOE26">
        <f t="shared" si="425"/>
        <v>0</v>
      </c>
      <c r="AOF26">
        <f t="shared" si="426"/>
        <v>0</v>
      </c>
      <c r="AOG26">
        <f t="shared" si="427"/>
        <v>0</v>
      </c>
      <c r="AOH26">
        <f t="shared" si="428"/>
        <v>0</v>
      </c>
      <c r="AOI26">
        <f t="shared" si="429"/>
        <v>0</v>
      </c>
      <c r="AOJ26">
        <f t="shared" si="430"/>
        <v>0</v>
      </c>
      <c r="AOK26">
        <f t="shared" si="431"/>
        <v>0</v>
      </c>
      <c r="AOL26">
        <f t="shared" si="432"/>
        <v>0</v>
      </c>
      <c r="AOM26">
        <f t="shared" si="433"/>
        <v>0</v>
      </c>
      <c r="AON26">
        <f t="shared" si="434"/>
        <v>0</v>
      </c>
      <c r="AOO26">
        <f t="shared" si="435"/>
        <v>0</v>
      </c>
      <c r="AOP26">
        <f t="shared" si="436"/>
        <v>0</v>
      </c>
      <c r="AOQ26">
        <f t="shared" si="437"/>
        <v>0</v>
      </c>
      <c r="AOR26">
        <f t="shared" si="438"/>
        <v>0</v>
      </c>
      <c r="AOS26">
        <f t="shared" si="439"/>
        <v>0</v>
      </c>
      <c r="AOT26">
        <f t="shared" si="440"/>
        <v>0</v>
      </c>
      <c r="AOU26">
        <f t="shared" si="441"/>
        <v>0</v>
      </c>
      <c r="AOV26">
        <f t="shared" si="442"/>
        <v>0</v>
      </c>
      <c r="AOW26">
        <f t="shared" si="443"/>
        <v>0</v>
      </c>
      <c r="AOX26">
        <f t="shared" si="39"/>
        <v>0</v>
      </c>
      <c r="AOY26">
        <f t="shared" si="444"/>
        <v>0</v>
      </c>
      <c r="AOZ26">
        <f t="shared" si="445"/>
        <v>0</v>
      </c>
      <c r="APA26">
        <f t="shared" si="446"/>
        <v>0</v>
      </c>
      <c r="APB26">
        <f t="shared" si="447"/>
        <v>0</v>
      </c>
      <c r="APC26">
        <f t="shared" si="448"/>
        <v>0</v>
      </c>
      <c r="APD26">
        <f t="shared" si="449"/>
        <v>0</v>
      </c>
      <c r="APE26">
        <f t="shared" si="450"/>
        <v>0</v>
      </c>
      <c r="APF26">
        <f t="shared" si="451"/>
        <v>0</v>
      </c>
      <c r="APG26">
        <f t="shared" si="452"/>
        <v>0</v>
      </c>
      <c r="APH26">
        <f t="shared" si="453"/>
        <v>0</v>
      </c>
      <c r="API26">
        <f t="shared" si="454"/>
        <v>0</v>
      </c>
      <c r="APJ26">
        <f t="shared" si="455"/>
        <v>0</v>
      </c>
      <c r="APK26">
        <f t="shared" si="456"/>
        <v>0</v>
      </c>
      <c r="APL26">
        <f t="shared" si="457"/>
        <v>0</v>
      </c>
      <c r="APM26">
        <f t="shared" si="458"/>
        <v>0</v>
      </c>
      <c r="APN26">
        <f t="shared" si="459"/>
        <v>0</v>
      </c>
      <c r="APO26">
        <f t="shared" si="460"/>
        <v>0</v>
      </c>
      <c r="APP26">
        <f t="shared" si="461"/>
        <v>0</v>
      </c>
      <c r="APQ26">
        <f t="shared" si="462"/>
        <v>0</v>
      </c>
      <c r="APR26">
        <f t="shared" si="463"/>
        <v>0</v>
      </c>
      <c r="APS26">
        <f t="shared" si="464"/>
        <v>0</v>
      </c>
      <c r="APT26">
        <f t="shared" si="465"/>
        <v>0</v>
      </c>
      <c r="APU26">
        <f t="shared" si="466"/>
        <v>0</v>
      </c>
      <c r="APV26">
        <f t="shared" si="467"/>
        <v>0</v>
      </c>
      <c r="APW26">
        <f t="shared" si="468"/>
        <v>0</v>
      </c>
      <c r="APX26">
        <f t="shared" si="469"/>
        <v>0</v>
      </c>
      <c r="APY26">
        <f t="shared" si="470"/>
        <v>0</v>
      </c>
      <c r="APZ26">
        <f t="shared" si="471"/>
        <v>0</v>
      </c>
      <c r="AQA26">
        <f t="shared" si="472"/>
        <v>0</v>
      </c>
      <c r="AQB26">
        <f t="shared" si="473"/>
        <v>0</v>
      </c>
      <c r="AQC26">
        <f t="shared" si="474"/>
        <v>0</v>
      </c>
      <c r="AQD26">
        <f t="shared" si="475"/>
        <v>0</v>
      </c>
      <c r="AQE26">
        <f t="shared" si="476"/>
        <v>0</v>
      </c>
      <c r="AQF26">
        <f t="shared" si="477"/>
        <v>0</v>
      </c>
      <c r="AQG26">
        <f t="shared" si="478"/>
        <v>0</v>
      </c>
      <c r="AQH26">
        <f t="shared" si="479"/>
        <v>0</v>
      </c>
      <c r="AQI26">
        <f t="shared" si="480"/>
        <v>0</v>
      </c>
      <c r="AQJ26">
        <f t="shared" si="481"/>
        <v>0</v>
      </c>
      <c r="AQK26">
        <f t="shared" si="482"/>
        <v>0</v>
      </c>
      <c r="AQL26">
        <f t="shared" si="483"/>
        <v>0</v>
      </c>
      <c r="AQM26">
        <f t="shared" si="484"/>
        <v>0</v>
      </c>
      <c r="AQN26">
        <f t="shared" si="485"/>
        <v>0</v>
      </c>
      <c r="AQO26">
        <f t="shared" si="486"/>
        <v>0</v>
      </c>
      <c r="AQP26">
        <f t="shared" si="487"/>
        <v>0</v>
      </c>
      <c r="AQQ26">
        <f t="shared" si="488"/>
        <v>0</v>
      </c>
      <c r="AQR26">
        <f t="shared" si="489"/>
        <v>0</v>
      </c>
      <c r="AQS26">
        <f t="shared" si="490"/>
        <v>0</v>
      </c>
      <c r="AQT26">
        <f t="shared" si="491"/>
        <v>0</v>
      </c>
      <c r="AQU26">
        <f t="shared" si="492"/>
        <v>0</v>
      </c>
      <c r="AQV26">
        <f t="shared" si="493"/>
        <v>0</v>
      </c>
      <c r="AQW26">
        <f t="shared" si="494"/>
        <v>0</v>
      </c>
      <c r="AQX26">
        <f t="shared" si="495"/>
        <v>0</v>
      </c>
      <c r="AQY26">
        <f t="shared" si="496"/>
        <v>0</v>
      </c>
      <c r="AQZ26">
        <f t="shared" si="497"/>
        <v>0</v>
      </c>
      <c r="ARA26">
        <f t="shared" si="498"/>
        <v>0</v>
      </c>
      <c r="ARB26">
        <f t="shared" si="499"/>
        <v>0</v>
      </c>
      <c r="ARC26">
        <f t="shared" si="500"/>
        <v>0</v>
      </c>
      <c r="ARD26">
        <f t="shared" si="501"/>
        <v>0</v>
      </c>
      <c r="ARE26">
        <f t="shared" si="502"/>
        <v>0</v>
      </c>
      <c r="ARF26">
        <f t="shared" si="503"/>
        <v>0</v>
      </c>
      <c r="ARG26">
        <f t="shared" si="504"/>
        <v>0</v>
      </c>
      <c r="ARH26">
        <f t="shared" si="505"/>
        <v>0</v>
      </c>
      <c r="ARI26">
        <f t="shared" si="506"/>
        <v>0</v>
      </c>
      <c r="ARJ26">
        <f t="shared" si="40"/>
        <v>0</v>
      </c>
      <c r="ARK26">
        <f t="shared" si="507"/>
        <v>0</v>
      </c>
      <c r="ARL26">
        <f t="shared" si="508"/>
        <v>0</v>
      </c>
      <c r="ARM26">
        <f t="shared" si="509"/>
        <v>0</v>
      </c>
      <c r="ARN26">
        <f t="shared" si="510"/>
        <v>0</v>
      </c>
      <c r="ARO26">
        <f t="shared" si="511"/>
        <v>0</v>
      </c>
      <c r="ARP26">
        <f t="shared" si="512"/>
        <v>0</v>
      </c>
      <c r="ARQ26">
        <f t="shared" si="513"/>
        <v>0</v>
      </c>
      <c r="ARR26">
        <f t="shared" si="514"/>
        <v>0</v>
      </c>
      <c r="ARS26">
        <f t="shared" si="515"/>
        <v>0</v>
      </c>
      <c r="ART26">
        <f t="shared" si="516"/>
        <v>0</v>
      </c>
      <c r="ARU26">
        <f t="shared" si="517"/>
        <v>0</v>
      </c>
      <c r="ARV26">
        <f t="shared" si="518"/>
        <v>0</v>
      </c>
      <c r="ARW26">
        <f t="shared" si="519"/>
        <v>0</v>
      </c>
      <c r="ARX26">
        <f t="shared" si="520"/>
        <v>0</v>
      </c>
      <c r="ARY26">
        <f t="shared" si="521"/>
        <v>0</v>
      </c>
      <c r="ARZ26">
        <f t="shared" si="522"/>
        <v>0</v>
      </c>
      <c r="ASA26">
        <f t="shared" si="523"/>
        <v>0</v>
      </c>
      <c r="ASB26">
        <f t="shared" si="524"/>
        <v>0</v>
      </c>
      <c r="ASC26">
        <f t="shared" si="525"/>
        <v>0</v>
      </c>
      <c r="ASD26">
        <f t="shared" si="526"/>
        <v>0</v>
      </c>
      <c r="ASE26">
        <f t="shared" si="527"/>
        <v>0</v>
      </c>
      <c r="ASF26">
        <f t="shared" si="528"/>
        <v>0</v>
      </c>
      <c r="ASG26">
        <f t="shared" si="529"/>
        <v>0</v>
      </c>
      <c r="ASH26">
        <f t="shared" si="530"/>
        <v>0</v>
      </c>
      <c r="ASI26">
        <f t="shared" si="531"/>
        <v>0</v>
      </c>
      <c r="ASJ26">
        <f t="shared" si="532"/>
        <v>0</v>
      </c>
      <c r="ASK26">
        <f t="shared" si="533"/>
        <v>0</v>
      </c>
      <c r="ASL26">
        <f t="shared" si="534"/>
        <v>0</v>
      </c>
      <c r="ASM26">
        <f t="shared" si="535"/>
        <v>0</v>
      </c>
      <c r="ASN26">
        <f t="shared" si="536"/>
        <v>0</v>
      </c>
      <c r="ASO26">
        <f t="shared" si="537"/>
        <v>0</v>
      </c>
      <c r="ASP26">
        <f t="shared" si="538"/>
        <v>0</v>
      </c>
      <c r="ASQ26">
        <f t="shared" si="539"/>
        <v>0</v>
      </c>
      <c r="ASR26">
        <f t="shared" si="540"/>
        <v>0</v>
      </c>
      <c r="ASS26">
        <f t="shared" si="541"/>
        <v>0</v>
      </c>
      <c r="AST26">
        <f t="shared" si="542"/>
        <v>0</v>
      </c>
      <c r="ASU26">
        <f t="shared" si="543"/>
        <v>0</v>
      </c>
      <c r="ASV26">
        <f t="shared" si="544"/>
        <v>0</v>
      </c>
      <c r="ASW26">
        <f t="shared" si="545"/>
        <v>0</v>
      </c>
      <c r="ASX26">
        <f t="shared" si="546"/>
        <v>0</v>
      </c>
      <c r="ASY26">
        <f t="shared" si="547"/>
        <v>0</v>
      </c>
      <c r="ASZ26">
        <f t="shared" si="548"/>
        <v>0</v>
      </c>
      <c r="ATA26">
        <f t="shared" si="549"/>
        <v>0</v>
      </c>
      <c r="ATB26">
        <f t="shared" si="550"/>
        <v>0</v>
      </c>
      <c r="ATC26">
        <f t="shared" si="551"/>
        <v>0</v>
      </c>
      <c r="ATD26">
        <f t="shared" si="552"/>
        <v>0</v>
      </c>
      <c r="ATE26">
        <f t="shared" si="553"/>
        <v>0</v>
      </c>
      <c r="ATF26">
        <f t="shared" si="554"/>
        <v>0</v>
      </c>
      <c r="ATG26">
        <f t="shared" si="555"/>
        <v>0</v>
      </c>
      <c r="ATH26">
        <f t="shared" si="556"/>
        <v>0</v>
      </c>
      <c r="ATI26">
        <f t="shared" si="557"/>
        <v>0</v>
      </c>
      <c r="ATJ26">
        <f t="shared" si="558"/>
        <v>0</v>
      </c>
      <c r="ATK26">
        <f t="shared" si="559"/>
        <v>0</v>
      </c>
      <c r="ATL26">
        <f t="shared" si="560"/>
        <v>0</v>
      </c>
      <c r="ATM26">
        <f t="shared" si="561"/>
        <v>0</v>
      </c>
      <c r="ATN26">
        <f t="shared" si="562"/>
        <v>0</v>
      </c>
      <c r="ATO26">
        <f t="shared" si="563"/>
        <v>0</v>
      </c>
      <c r="ATP26">
        <f t="shared" si="564"/>
        <v>0</v>
      </c>
      <c r="ATQ26">
        <f t="shared" si="565"/>
        <v>0</v>
      </c>
      <c r="ATR26">
        <f t="shared" si="566"/>
        <v>0</v>
      </c>
      <c r="ATS26">
        <f t="shared" si="567"/>
        <v>0</v>
      </c>
      <c r="ATT26">
        <f t="shared" si="568"/>
        <v>0</v>
      </c>
      <c r="ATU26">
        <f t="shared" si="569"/>
        <v>0</v>
      </c>
      <c r="ATV26">
        <f t="shared" si="41"/>
        <v>0</v>
      </c>
      <c r="ATW26">
        <f t="shared" si="570"/>
        <v>0</v>
      </c>
      <c r="ATX26">
        <f t="shared" si="571"/>
        <v>0</v>
      </c>
      <c r="ATY26">
        <f t="shared" si="572"/>
        <v>0</v>
      </c>
      <c r="ATZ26">
        <f t="shared" si="573"/>
        <v>0</v>
      </c>
      <c r="AUA26">
        <f t="shared" si="574"/>
        <v>0</v>
      </c>
      <c r="AUB26">
        <f t="shared" si="575"/>
        <v>0</v>
      </c>
      <c r="AUC26">
        <f t="shared" si="576"/>
        <v>0</v>
      </c>
      <c r="AUD26">
        <f t="shared" si="577"/>
        <v>0</v>
      </c>
      <c r="AUE26">
        <f t="shared" si="578"/>
        <v>0</v>
      </c>
      <c r="AUF26">
        <f t="shared" si="579"/>
        <v>0</v>
      </c>
      <c r="AUG26">
        <f t="shared" si="580"/>
        <v>0</v>
      </c>
      <c r="AUH26">
        <f t="shared" si="581"/>
        <v>0</v>
      </c>
      <c r="AUI26">
        <f t="shared" si="582"/>
        <v>0</v>
      </c>
      <c r="AUJ26">
        <f t="shared" si="583"/>
        <v>0</v>
      </c>
      <c r="AUK26">
        <f t="shared" si="584"/>
        <v>0</v>
      </c>
      <c r="AUL26">
        <f t="shared" si="585"/>
        <v>0</v>
      </c>
      <c r="AUM26">
        <f t="shared" si="586"/>
        <v>0</v>
      </c>
      <c r="AUN26">
        <f t="shared" si="587"/>
        <v>0</v>
      </c>
      <c r="AUO26">
        <f t="shared" si="588"/>
        <v>0</v>
      </c>
      <c r="AUP26">
        <f t="shared" si="589"/>
        <v>0</v>
      </c>
      <c r="AUQ26">
        <f t="shared" si="590"/>
        <v>0</v>
      </c>
      <c r="AUR26">
        <f t="shared" si="591"/>
        <v>0</v>
      </c>
      <c r="AUS26">
        <f t="shared" si="592"/>
        <v>0</v>
      </c>
      <c r="AUT26">
        <f t="shared" si="593"/>
        <v>0</v>
      </c>
      <c r="AUU26">
        <f t="shared" si="594"/>
        <v>0</v>
      </c>
      <c r="AUV26">
        <f t="shared" si="595"/>
        <v>0</v>
      </c>
      <c r="AUW26">
        <f t="shared" si="596"/>
        <v>0</v>
      </c>
      <c r="AUX26">
        <f t="shared" si="597"/>
        <v>0</v>
      </c>
      <c r="AUY26">
        <f t="shared" si="598"/>
        <v>0</v>
      </c>
      <c r="AUZ26">
        <f t="shared" si="599"/>
        <v>0</v>
      </c>
      <c r="AVA26">
        <f t="shared" si="600"/>
        <v>0</v>
      </c>
      <c r="AVB26">
        <f t="shared" si="601"/>
        <v>0</v>
      </c>
      <c r="AVC26">
        <f t="shared" si="602"/>
        <v>0</v>
      </c>
      <c r="AVD26">
        <f t="shared" si="603"/>
        <v>0</v>
      </c>
      <c r="AVE26">
        <f t="shared" si="604"/>
        <v>0</v>
      </c>
      <c r="AVF26">
        <f t="shared" si="605"/>
        <v>0</v>
      </c>
      <c r="AVG26">
        <f t="shared" si="606"/>
        <v>0</v>
      </c>
      <c r="AVH26">
        <f t="shared" si="607"/>
        <v>0</v>
      </c>
      <c r="AVI26">
        <f t="shared" si="608"/>
        <v>0</v>
      </c>
      <c r="AVJ26">
        <f t="shared" si="609"/>
        <v>0</v>
      </c>
      <c r="AVK26">
        <f t="shared" si="610"/>
        <v>0</v>
      </c>
      <c r="AVL26">
        <f t="shared" si="611"/>
        <v>0</v>
      </c>
      <c r="AVM26">
        <f t="shared" si="612"/>
        <v>0</v>
      </c>
      <c r="AVN26">
        <f t="shared" si="613"/>
        <v>0</v>
      </c>
      <c r="AVO26">
        <f t="shared" si="614"/>
        <v>0</v>
      </c>
      <c r="AVP26">
        <f t="shared" si="615"/>
        <v>0</v>
      </c>
      <c r="AVQ26">
        <f t="shared" si="616"/>
        <v>0</v>
      </c>
      <c r="AVR26">
        <f t="shared" si="617"/>
        <v>0</v>
      </c>
      <c r="AVS26">
        <f t="shared" si="618"/>
        <v>0</v>
      </c>
      <c r="AVT26">
        <f t="shared" si="619"/>
        <v>0</v>
      </c>
      <c r="AVU26">
        <f t="shared" si="620"/>
        <v>0</v>
      </c>
      <c r="AVV26">
        <f t="shared" si="621"/>
        <v>0</v>
      </c>
      <c r="AVW26">
        <f t="shared" si="622"/>
        <v>0</v>
      </c>
      <c r="AVX26">
        <f t="shared" si="623"/>
        <v>0</v>
      </c>
      <c r="AVY26">
        <f t="shared" si="624"/>
        <v>0</v>
      </c>
      <c r="AVZ26">
        <f t="shared" si="625"/>
        <v>0</v>
      </c>
      <c r="AWA26">
        <f t="shared" si="626"/>
        <v>0</v>
      </c>
      <c r="AWB26">
        <f t="shared" si="627"/>
        <v>0</v>
      </c>
      <c r="AWC26">
        <f t="shared" si="628"/>
        <v>0</v>
      </c>
      <c r="AWD26">
        <f t="shared" si="629"/>
        <v>0</v>
      </c>
      <c r="AWE26">
        <f t="shared" si="630"/>
        <v>0</v>
      </c>
      <c r="AWF26">
        <f t="shared" si="631"/>
        <v>0</v>
      </c>
      <c r="AWG26">
        <f t="shared" si="632"/>
        <v>0</v>
      </c>
      <c r="AWH26">
        <f t="shared" si="42"/>
        <v>0</v>
      </c>
      <c r="AWI26">
        <f t="shared" si="633"/>
        <v>0</v>
      </c>
      <c r="AWJ26">
        <f t="shared" si="634"/>
        <v>0</v>
      </c>
      <c r="AWK26">
        <f t="shared" si="635"/>
        <v>0</v>
      </c>
      <c r="AWL26">
        <f t="shared" si="636"/>
        <v>0</v>
      </c>
      <c r="AWM26">
        <f t="shared" si="637"/>
        <v>0</v>
      </c>
      <c r="AWN26">
        <f t="shared" si="638"/>
        <v>0</v>
      </c>
      <c r="AWO26">
        <f t="shared" si="639"/>
        <v>0</v>
      </c>
      <c r="AWP26">
        <f t="shared" si="640"/>
        <v>0</v>
      </c>
      <c r="AWQ26">
        <f t="shared" si="641"/>
        <v>0</v>
      </c>
      <c r="AWR26">
        <f t="shared" si="642"/>
        <v>0</v>
      </c>
      <c r="AWS26">
        <f t="shared" si="643"/>
        <v>0</v>
      </c>
      <c r="AWT26">
        <f t="shared" si="644"/>
        <v>0</v>
      </c>
      <c r="AWU26">
        <f t="shared" si="645"/>
        <v>0</v>
      </c>
      <c r="AWV26">
        <f t="shared" si="646"/>
        <v>0</v>
      </c>
      <c r="AWW26">
        <f t="shared" si="647"/>
        <v>0</v>
      </c>
      <c r="AWX26">
        <f t="shared" si="648"/>
        <v>0</v>
      </c>
      <c r="AWY26">
        <f t="shared" si="649"/>
        <v>0</v>
      </c>
      <c r="AWZ26">
        <f t="shared" si="650"/>
        <v>0</v>
      </c>
      <c r="AXA26">
        <f t="shared" si="651"/>
        <v>0</v>
      </c>
      <c r="AXB26">
        <f t="shared" si="652"/>
        <v>0</v>
      </c>
      <c r="AXC26">
        <f t="shared" si="653"/>
        <v>0</v>
      </c>
      <c r="AXD26">
        <f t="shared" si="654"/>
        <v>0</v>
      </c>
      <c r="AXE26">
        <f t="shared" si="655"/>
        <v>0</v>
      </c>
      <c r="AXF26">
        <f t="shared" si="656"/>
        <v>0</v>
      </c>
      <c r="AXG26">
        <f t="shared" si="657"/>
        <v>0</v>
      </c>
      <c r="AXH26">
        <f t="shared" si="658"/>
        <v>0</v>
      </c>
      <c r="AXI26">
        <f t="shared" si="659"/>
        <v>0</v>
      </c>
      <c r="AXJ26">
        <f t="shared" si="660"/>
        <v>0</v>
      </c>
      <c r="AXK26">
        <f t="shared" si="661"/>
        <v>0</v>
      </c>
      <c r="AXL26">
        <f t="shared" si="662"/>
        <v>0</v>
      </c>
      <c r="AXM26">
        <f t="shared" si="663"/>
        <v>0</v>
      </c>
      <c r="AXN26">
        <f t="shared" si="664"/>
        <v>0</v>
      </c>
      <c r="AXO26">
        <f t="shared" si="665"/>
        <v>0</v>
      </c>
      <c r="AXP26">
        <f t="shared" si="666"/>
        <v>0</v>
      </c>
      <c r="AXQ26">
        <f t="shared" si="667"/>
        <v>0</v>
      </c>
      <c r="AXR26">
        <f t="shared" si="668"/>
        <v>0</v>
      </c>
      <c r="AXS26">
        <f t="shared" si="669"/>
        <v>0</v>
      </c>
      <c r="AXT26">
        <f t="shared" si="670"/>
        <v>0</v>
      </c>
      <c r="AXU26">
        <f t="shared" si="671"/>
        <v>0</v>
      </c>
      <c r="AXV26">
        <f t="shared" si="672"/>
        <v>0</v>
      </c>
      <c r="AXW26">
        <f t="shared" si="673"/>
        <v>0</v>
      </c>
      <c r="AXX26">
        <f t="shared" si="674"/>
        <v>0</v>
      </c>
      <c r="AXY26">
        <f t="shared" si="675"/>
        <v>0</v>
      </c>
      <c r="AXZ26">
        <f t="shared" si="676"/>
        <v>0</v>
      </c>
      <c r="AYA26">
        <f t="shared" si="677"/>
        <v>0</v>
      </c>
      <c r="AYB26">
        <f t="shared" si="678"/>
        <v>0</v>
      </c>
      <c r="AYC26">
        <f t="shared" si="679"/>
        <v>0</v>
      </c>
      <c r="AYD26">
        <f t="shared" si="680"/>
        <v>0</v>
      </c>
      <c r="AYE26">
        <f t="shared" si="681"/>
        <v>0</v>
      </c>
      <c r="AYF26">
        <f t="shared" si="682"/>
        <v>0</v>
      </c>
      <c r="AYG26">
        <f t="shared" si="683"/>
        <v>0</v>
      </c>
      <c r="AYH26">
        <f t="shared" si="684"/>
        <v>0</v>
      </c>
      <c r="AYI26">
        <f t="shared" si="685"/>
        <v>0</v>
      </c>
      <c r="AYJ26">
        <f t="shared" si="686"/>
        <v>0</v>
      </c>
      <c r="AYK26">
        <f t="shared" si="687"/>
        <v>0</v>
      </c>
      <c r="AYL26">
        <f t="shared" si="688"/>
        <v>0</v>
      </c>
      <c r="AYM26">
        <f t="shared" si="689"/>
        <v>0</v>
      </c>
      <c r="AYN26">
        <f t="shared" si="690"/>
        <v>0</v>
      </c>
      <c r="AYO26">
        <f t="shared" si="691"/>
        <v>0</v>
      </c>
      <c r="AYP26">
        <f t="shared" si="692"/>
        <v>0</v>
      </c>
      <c r="AYQ26">
        <f t="shared" si="693"/>
        <v>0</v>
      </c>
      <c r="AYR26">
        <f t="shared" si="694"/>
        <v>0</v>
      </c>
      <c r="AYS26">
        <f t="shared" si="695"/>
        <v>0</v>
      </c>
      <c r="AYT26">
        <f t="shared" si="43"/>
        <v>0</v>
      </c>
      <c r="AYU26">
        <f t="shared" si="696"/>
        <v>0</v>
      </c>
      <c r="AYV26">
        <f t="shared" si="697"/>
        <v>0</v>
      </c>
      <c r="AYW26">
        <f t="shared" si="698"/>
        <v>0</v>
      </c>
      <c r="AYX26">
        <f t="shared" si="699"/>
        <v>0</v>
      </c>
      <c r="AYY26">
        <f t="shared" si="700"/>
        <v>0</v>
      </c>
      <c r="AYZ26">
        <f t="shared" si="701"/>
        <v>0</v>
      </c>
      <c r="AZA26">
        <f t="shared" si="702"/>
        <v>0</v>
      </c>
      <c r="AZB26">
        <f t="shared" si="703"/>
        <v>0</v>
      </c>
      <c r="AZC26">
        <f t="shared" si="704"/>
        <v>0</v>
      </c>
      <c r="AZD26">
        <f t="shared" si="705"/>
        <v>0</v>
      </c>
      <c r="AZE26">
        <f t="shared" si="706"/>
        <v>0</v>
      </c>
      <c r="AZF26">
        <f t="shared" si="707"/>
        <v>0</v>
      </c>
      <c r="AZG26">
        <f t="shared" si="708"/>
        <v>0</v>
      </c>
      <c r="AZH26">
        <f t="shared" si="709"/>
        <v>0</v>
      </c>
      <c r="AZI26">
        <f t="shared" si="710"/>
        <v>0</v>
      </c>
      <c r="AZJ26">
        <f t="shared" si="711"/>
        <v>0</v>
      </c>
      <c r="AZK26">
        <f t="shared" si="712"/>
        <v>0</v>
      </c>
      <c r="AZL26">
        <f t="shared" si="713"/>
        <v>0</v>
      </c>
      <c r="AZM26">
        <f t="shared" si="714"/>
        <v>0</v>
      </c>
      <c r="AZN26">
        <f t="shared" si="715"/>
        <v>0</v>
      </c>
      <c r="AZO26">
        <f t="shared" si="716"/>
        <v>0</v>
      </c>
      <c r="AZP26">
        <f t="shared" si="717"/>
        <v>0</v>
      </c>
      <c r="AZQ26">
        <f t="shared" si="718"/>
        <v>0</v>
      </c>
      <c r="AZR26">
        <f t="shared" si="719"/>
        <v>0</v>
      </c>
      <c r="AZS26">
        <f t="shared" si="720"/>
        <v>0</v>
      </c>
      <c r="AZT26">
        <f t="shared" si="721"/>
        <v>0</v>
      </c>
      <c r="AZU26">
        <f t="shared" si="722"/>
        <v>0</v>
      </c>
      <c r="AZV26">
        <f t="shared" si="723"/>
        <v>0</v>
      </c>
      <c r="AZW26">
        <f t="shared" si="724"/>
        <v>0</v>
      </c>
      <c r="AZX26">
        <f t="shared" si="725"/>
        <v>0</v>
      </c>
      <c r="AZY26">
        <f t="shared" si="726"/>
        <v>0</v>
      </c>
      <c r="AZZ26">
        <f t="shared" si="727"/>
        <v>0</v>
      </c>
      <c r="BAA26">
        <f t="shared" si="728"/>
        <v>0</v>
      </c>
      <c r="BAB26">
        <f t="shared" si="729"/>
        <v>0</v>
      </c>
      <c r="BAC26">
        <f t="shared" si="730"/>
        <v>0</v>
      </c>
      <c r="BAD26">
        <f t="shared" si="731"/>
        <v>0</v>
      </c>
      <c r="BAE26">
        <f t="shared" si="732"/>
        <v>0</v>
      </c>
      <c r="BAF26">
        <f t="shared" si="733"/>
        <v>0</v>
      </c>
      <c r="BAG26">
        <f t="shared" si="734"/>
        <v>0</v>
      </c>
      <c r="BAH26">
        <f t="shared" si="735"/>
        <v>0</v>
      </c>
      <c r="BAI26">
        <f t="shared" si="736"/>
        <v>0</v>
      </c>
      <c r="BAJ26">
        <f t="shared" si="737"/>
        <v>0</v>
      </c>
      <c r="BAK26">
        <f t="shared" si="738"/>
        <v>0</v>
      </c>
      <c r="BAL26">
        <f t="shared" si="739"/>
        <v>0</v>
      </c>
      <c r="BAM26">
        <f t="shared" si="740"/>
        <v>0</v>
      </c>
      <c r="BAN26">
        <f t="shared" si="741"/>
        <v>0</v>
      </c>
      <c r="BAO26">
        <f t="shared" si="742"/>
        <v>0</v>
      </c>
      <c r="BAP26">
        <f t="shared" si="743"/>
        <v>0</v>
      </c>
      <c r="BAQ26">
        <f t="shared" si="744"/>
        <v>0</v>
      </c>
      <c r="BAR26">
        <f t="shared" si="745"/>
        <v>0</v>
      </c>
      <c r="BAS26">
        <f t="shared" si="746"/>
        <v>0</v>
      </c>
      <c r="BAT26">
        <f t="shared" si="747"/>
        <v>0</v>
      </c>
      <c r="BAU26">
        <f t="shared" si="748"/>
        <v>0</v>
      </c>
      <c r="BAV26">
        <f t="shared" si="749"/>
        <v>0</v>
      </c>
      <c r="BAW26">
        <f t="shared" si="750"/>
        <v>0</v>
      </c>
      <c r="BAX26">
        <f t="shared" si="751"/>
        <v>0</v>
      </c>
      <c r="BAY26">
        <f t="shared" si="752"/>
        <v>0</v>
      </c>
      <c r="BAZ26">
        <f t="shared" si="753"/>
        <v>0</v>
      </c>
      <c r="BBA26">
        <f t="shared" si="754"/>
        <v>0</v>
      </c>
      <c r="BBB26">
        <f t="shared" si="755"/>
        <v>0</v>
      </c>
      <c r="BBC26">
        <f t="shared" si="756"/>
        <v>0</v>
      </c>
      <c r="BBD26">
        <f t="shared" si="757"/>
        <v>0</v>
      </c>
      <c r="BBE26">
        <f t="shared" si="758"/>
        <v>0</v>
      </c>
      <c r="BBF26">
        <f t="shared" si="44"/>
        <v>0</v>
      </c>
      <c r="BBG26">
        <f t="shared" si="759"/>
        <v>0</v>
      </c>
      <c r="BBH26">
        <f t="shared" si="760"/>
        <v>0</v>
      </c>
      <c r="BBI26">
        <f t="shared" si="761"/>
        <v>0</v>
      </c>
      <c r="BBJ26">
        <f t="shared" si="762"/>
        <v>0</v>
      </c>
      <c r="BBK26">
        <f t="shared" si="763"/>
        <v>0</v>
      </c>
      <c r="BBL26">
        <f t="shared" si="764"/>
        <v>0</v>
      </c>
      <c r="BBM26">
        <f t="shared" si="765"/>
        <v>0</v>
      </c>
      <c r="BBN26">
        <f t="shared" si="766"/>
        <v>0</v>
      </c>
      <c r="BBO26">
        <f t="shared" si="767"/>
        <v>0</v>
      </c>
      <c r="BBP26">
        <f t="shared" si="768"/>
        <v>0</v>
      </c>
      <c r="BBQ26">
        <f t="shared" si="769"/>
        <v>0</v>
      </c>
      <c r="BBR26">
        <f t="shared" si="770"/>
        <v>0</v>
      </c>
      <c r="BBS26">
        <f t="shared" si="771"/>
        <v>0</v>
      </c>
      <c r="BBT26">
        <f t="shared" si="772"/>
        <v>0</v>
      </c>
      <c r="BBU26">
        <f t="shared" si="773"/>
        <v>0</v>
      </c>
      <c r="BBV26">
        <f t="shared" si="774"/>
        <v>0</v>
      </c>
      <c r="BBW26">
        <f t="shared" si="775"/>
        <v>0</v>
      </c>
      <c r="BBX26">
        <f t="shared" si="776"/>
        <v>0</v>
      </c>
      <c r="BBY26">
        <f t="shared" si="777"/>
        <v>0</v>
      </c>
      <c r="BBZ26">
        <f t="shared" si="778"/>
        <v>0</v>
      </c>
      <c r="BCA26">
        <f t="shared" si="779"/>
        <v>0</v>
      </c>
      <c r="BCB26">
        <f t="shared" si="780"/>
        <v>0</v>
      </c>
      <c r="BCC26">
        <f t="shared" si="781"/>
        <v>0</v>
      </c>
      <c r="BCD26">
        <f t="shared" si="782"/>
        <v>0</v>
      </c>
      <c r="BCE26">
        <f t="shared" si="783"/>
        <v>0</v>
      </c>
      <c r="BCF26">
        <f t="shared" si="784"/>
        <v>0</v>
      </c>
      <c r="BCG26">
        <f t="shared" si="785"/>
        <v>0</v>
      </c>
      <c r="BCH26">
        <f t="shared" si="786"/>
        <v>0</v>
      </c>
      <c r="BCI26">
        <f t="shared" si="787"/>
        <v>0</v>
      </c>
      <c r="BCJ26">
        <f t="shared" si="788"/>
        <v>0</v>
      </c>
      <c r="BCK26">
        <f t="shared" si="789"/>
        <v>0</v>
      </c>
      <c r="BCL26">
        <f t="shared" si="790"/>
        <v>0</v>
      </c>
      <c r="BCM26">
        <f t="shared" si="791"/>
        <v>0</v>
      </c>
      <c r="BCN26">
        <f t="shared" si="792"/>
        <v>0</v>
      </c>
      <c r="BCO26">
        <f t="shared" si="793"/>
        <v>0</v>
      </c>
      <c r="BCP26">
        <f t="shared" si="794"/>
        <v>0</v>
      </c>
      <c r="BCQ26">
        <f t="shared" si="795"/>
        <v>0</v>
      </c>
      <c r="BCR26">
        <f t="shared" si="796"/>
        <v>0</v>
      </c>
      <c r="BCS26">
        <f t="shared" si="797"/>
        <v>0</v>
      </c>
      <c r="BCT26">
        <f t="shared" si="798"/>
        <v>0</v>
      </c>
      <c r="BCU26">
        <f t="shared" si="799"/>
        <v>0</v>
      </c>
      <c r="BCV26">
        <f t="shared" si="800"/>
        <v>0</v>
      </c>
      <c r="BCW26">
        <f t="shared" si="801"/>
        <v>0</v>
      </c>
      <c r="BCX26">
        <f t="shared" si="802"/>
        <v>0</v>
      </c>
      <c r="BCY26">
        <f t="shared" si="803"/>
        <v>0</v>
      </c>
      <c r="BCZ26">
        <f t="shared" si="804"/>
        <v>0</v>
      </c>
      <c r="BDA26">
        <f t="shared" si="805"/>
        <v>0</v>
      </c>
      <c r="BDB26">
        <f t="shared" si="806"/>
        <v>0</v>
      </c>
      <c r="BDC26">
        <f t="shared" si="807"/>
        <v>0</v>
      </c>
      <c r="BDD26">
        <f t="shared" si="808"/>
        <v>0</v>
      </c>
      <c r="BDE26">
        <f t="shared" si="809"/>
        <v>0</v>
      </c>
      <c r="BDF26">
        <f t="shared" si="810"/>
        <v>0</v>
      </c>
      <c r="BDG26">
        <f t="shared" si="811"/>
        <v>0</v>
      </c>
      <c r="BDH26">
        <f t="shared" si="812"/>
        <v>0</v>
      </c>
      <c r="BDI26">
        <f t="shared" si="813"/>
        <v>0</v>
      </c>
      <c r="BDJ26">
        <f t="shared" si="814"/>
        <v>0</v>
      </c>
      <c r="BDK26">
        <f t="shared" si="815"/>
        <v>0</v>
      </c>
      <c r="BDL26">
        <f t="shared" si="816"/>
        <v>0</v>
      </c>
      <c r="BDM26">
        <f t="shared" si="817"/>
        <v>0</v>
      </c>
      <c r="BDN26">
        <f t="shared" si="818"/>
        <v>0</v>
      </c>
      <c r="BDO26">
        <f t="shared" si="819"/>
        <v>0</v>
      </c>
      <c r="BDP26">
        <f t="shared" si="820"/>
        <v>0</v>
      </c>
      <c r="BDQ26">
        <f t="shared" si="821"/>
        <v>0</v>
      </c>
      <c r="BDR26">
        <f t="shared" si="45"/>
        <v>0</v>
      </c>
      <c r="BDS26">
        <f t="shared" si="822"/>
        <v>0</v>
      </c>
      <c r="BDT26">
        <f t="shared" si="823"/>
        <v>0</v>
      </c>
      <c r="BDU26">
        <f t="shared" si="824"/>
        <v>0</v>
      </c>
      <c r="BDV26">
        <f t="shared" si="825"/>
        <v>0</v>
      </c>
      <c r="BDW26">
        <f t="shared" si="826"/>
        <v>0</v>
      </c>
      <c r="BDX26">
        <f t="shared" si="827"/>
        <v>0</v>
      </c>
      <c r="BDY26">
        <f t="shared" si="828"/>
        <v>0</v>
      </c>
      <c r="BDZ26">
        <f t="shared" si="829"/>
        <v>0</v>
      </c>
      <c r="BEA26">
        <f t="shared" si="830"/>
        <v>0</v>
      </c>
      <c r="BEB26">
        <f t="shared" si="831"/>
        <v>0</v>
      </c>
      <c r="BEC26">
        <f t="shared" si="832"/>
        <v>0</v>
      </c>
      <c r="BED26">
        <f t="shared" si="833"/>
        <v>0</v>
      </c>
      <c r="BEE26">
        <f t="shared" si="834"/>
        <v>0</v>
      </c>
      <c r="BEF26">
        <f t="shared" si="835"/>
        <v>0</v>
      </c>
      <c r="BEG26">
        <f t="shared" si="836"/>
        <v>0</v>
      </c>
      <c r="BEH26">
        <f t="shared" si="837"/>
        <v>0</v>
      </c>
      <c r="BEI26">
        <f t="shared" si="838"/>
        <v>0</v>
      </c>
      <c r="BEJ26">
        <f t="shared" si="839"/>
        <v>0</v>
      </c>
      <c r="BEK26">
        <f t="shared" si="840"/>
        <v>0</v>
      </c>
      <c r="BEL26">
        <f t="shared" si="841"/>
        <v>0</v>
      </c>
      <c r="BEM26">
        <f t="shared" si="842"/>
        <v>0</v>
      </c>
      <c r="BEN26">
        <f t="shared" si="843"/>
        <v>0</v>
      </c>
      <c r="BEO26">
        <f t="shared" si="844"/>
        <v>0</v>
      </c>
      <c r="BEP26">
        <f t="shared" si="845"/>
        <v>0</v>
      </c>
      <c r="BEQ26">
        <f t="shared" si="846"/>
        <v>0</v>
      </c>
      <c r="BER26">
        <f t="shared" si="847"/>
        <v>0</v>
      </c>
      <c r="BES26">
        <f t="shared" si="848"/>
        <v>0</v>
      </c>
      <c r="BET26">
        <f t="shared" si="849"/>
        <v>0</v>
      </c>
      <c r="BEU26">
        <f t="shared" si="850"/>
        <v>0</v>
      </c>
      <c r="BEV26">
        <f t="shared" si="851"/>
        <v>0</v>
      </c>
      <c r="BEW26">
        <f t="shared" si="852"/>
        <v>0</v>
      </c>
      <c r="BEX26">
        <f t="shared" si="853"/>
        <v>0</v>
      </c>
      <c r="BEY26">
        <f t="shared" si="854"/>
        <v>0</v>
      </c>
      <c r="BEZ26">
        <f t="shared" si="855"/>
        <v>0</v>
      </c>
      <c r="BFA26">
        <f t="shared" si="856"/>
        <v>0</v>
      </c>
      <c r="BFB26">
        <f t="shared" si="857"/>
        <v>0</v>
      </c>
      <c r="BFC26">
        <f t="shared" si="858"/>
        <v>0</v>
      </c>
      <c r="BFD26">
        <f t="shared" si="859"/>
        <v>0</v>
      </c>
      <c r="BFE26">
        <f t="shared" si="860"/>
        <v>0</v>
      </c>
      <c r="BFF26">
        <f t="shared" si="861"/>
        <v>0</v>
      </c>
      <c r="BFG26">
        <f t="shared" si="862"/>
        <v>0</v>
      </c>
      <c r="BFH26">
        <f t="shared" si="863"/>
        <v>0</v>
      </c>
      <c r="BFI26">
        <f t="shared" si="864"/>
        <v>0</v>
      </c>
      <c r="BFJ26">
        <f t="shared" si="865"/>
        <v>0</v>
      </c>
      <c r="BFK26">
        <f t="shared" si="866"/>
        <v>0</v>
      </c>
      <c r="BFL26">
        <f t="shared" si="867"/>
        <v>0</v>
      </c>
      <c r="BFM26">
        <f t="shared" si="868"/>
        <v>0</v>
      </c>
      <c r="BFN26">
        <f t="shared" si="869"/>
        <v>0</v>
      </c>
      <c r="BFO26">
        <f t="shared" si="870"/>
        <v>0</v>
      </c>
      <c r="BFP26">
        <f t="shared" si="871"/>
        <v>0</v>
      </c>
      <c r="BFQ26">
        <f t="shared" si="872"/>
        <v>0</v>
      </c>
      <c r="BFR26">
        <f t="shared" si="873"/>
        <v>0</v>
      </c>
      <c r="BFS26">
        <f t="shared" si="874"/>
        <v>0</v>
      </c>
      <c r="BFT26">
        <f t="shared" si="875"/>
        <v>0</v>
      </c>
      <c r="BFU26">
        <f t="shared" si="876"/>
        <v>0</v>
      </c>
      <c r="BFV26">
        <f t="shared" si="877"/>
        <v>0</v>
      </c>
      <c r="BFW26">
        <f t="shared" si="878"/>
        <v>0</v>
      </c>
      <c r="BFX26">
        <f t="shared" si="879"/>
        <v>0</v>
      </c>
      <c r="BFY26">
        <f t="shared" si="880"/>
        <v>0</v>
      </c>
      <c r="BFZ26">
        <f t="shared" si="881"/>
        <v>0</v>
      </c>
      <c r="BGA26">
        <f t="shared" si="882"/>
        <v>0</v>
      </c>
      <c r="BGB26">
        <f t="shared" si="883"/>
        <v>0</v>
      </c>
      <c r="BGC26">
        <f t="shared" si="884"/>
        <v>0</v>
      </c>
      <c r="BGD26">
        <f t="shared" si="46"/>
        <v>0</v>
      </c>
      <c r="BGE26">
        <f t="shared" si="885"/>
        <v>0</v>
      </c>
      <c r="BGF26">
        <f t="shared" si="886"/>
        <v>0</v>
      </c>
      <c r="BGG26">
        <f t="shared" si="887"/>
        <v>0</v>
      </c>
      <c r="BGH26">
        <f t="shared" si="888"/>
        <v>0</v>
      </c>
      <c r="BGI26">
        <f t="shared" si="889"/>
        <v>0</v>
      </c>
      <c r="BGJ26">
        <f t="shared" si="890"/>
        <v>0</v>
      </c>
      <c r="BGK26">
        <f t="shared" si="891"/>
        <v>0</v>
      </c>
      <c r="BGL26">
        <f t="shared" si="892"/>
        <v>0</v>
      </c>
      <c r="BGM26">
        <f t="shared" si="893"/>
        <v>0</v>
      </c>
      <c r="BGN26">
        <f t="shared" si="894"/>
        <v>0</v>
      </c>
      <c r="BGO26">
        <f t="shared" si="895"/>
        <v>0</v>
      </c>
      <c r="BGP26">
        <f t="shared" si="896"/>
        <v>0</v>
      </c>
      <c r="BGQ26">
        <f t="shared" si="897"/>
        <v>0</v>
      </c>
      <c r="BGR26">
        <f t="shared" si="898"/>
        <v>0</v>
      </c>
      <c r="BGS26">
        <f t="shared" si="899"/>
        <v>0</v>
      </c>
      <c r="BGT26">
        <f t="shared" si="900"/>
        <v>0</v>
      </c>
      <c r="BGU26">
        <f t="shared" si="901"/>
        <v>0</v>
      </c>
      <c r="BGV26">
        <f t="shared" si="902"/>
        <v>0</v>
      </c>
      <c r="BGW26">
        <f t="shared" si="903"/>
        <v>0</v>
      </c>
      <c r="BGX26">
        <f t="shared" si="904"/>
        <v>0</v>
      </c>
      <c r="BGY26">
        <f t="shared" si="905"/>
        <v>0</v>
      </c>
      <c r="BGZ26">
        <f t="shared" si="906"/>
        <v>0</v>
      </c>
      <c r="BHA26">
        <f t="shared" si="907"/>
        <v>0</v>
      </c>
      <c r="BHB26">
        <f t="shared" si="908"/>
        <v>0</v>
      </c>
      <c r="BHC26">
        <f t="shared" si="909"/>
        <v>0</v>
      </c>
      <c r="BHD26">
        <f t="shared" si="910"/>
        <v>0</v>
      </c>
      <c r="BHE26">
        <f t="shared" si="911"/>
        <v>0</v>
      </c>
      <c r="BHF26">
        <f t="shared" si="912"/>
        <v>0</v>
      </c>
      <c r="BHG26">
        <f t="shared" si="913"/>
        <v>0</v>
      </c>
      <c r="BHH26">
        <f t="shared" si="914"/>
        <v>0</v>
      </c>
      <c r="BHI26">
        <f t="shared" si="915"/>
        <v>0</v>
      </c>
      <c r="BHJ26">
        <f t="shared" si="916"/>
        <v>0</v>
      </c>
      <c r="BHK26">
        <f t="shared" si="917"/>
        <v>0</v>
      </c>
      <c r="BHL26">
        <f t="shared" si="918"/>
        <v>0</v>
      </c>
      <c r="BHM26">
        <f t="shared" si="919"/>
        <v>0</v>
      </c>
      <c r="BHN26">
        <f t="shared" si="920"/>
        <v>0</v>
      </c>
      <c r="BHO26">
        <f t="shared" si="921"/>
        <v>0</v>
      </c>
      <c r="BHP26">
        <f t="shared" si="922"/>
        <v>0</v>
      </c>
      <c r="BHQ26">
        <f t="shared" si="923"/>
        <v>0</v>
      </c>
      <c r="BHR26">
        <f t="shared" si="924"/>
        <v>0</v>
      </c>
      <c r="BHS26">
        <f t="shared" si="925"/>
        <v>0</v>
      </c>
      <c r="BHT26">
        <f t="shared" si="926"/>
        <v>0</v>
      </c>
      <c r="BHU26">
        <f t="shared" si="927"/>
        <v>0</v>
      </c>
      <c r="BHV26">
        <f t="shared" si="928"/>
        <v>0</v>
      </c>
      <c r="BHW26">
        <f t="shared" si="929"/>
        <v>0</v>
      </c>
      <c r="BHX26">
        <f t="shared" si="930"/>
        <v>0</v>
      </c>
      <c r="BHY26">
        <f t="shared" si="931"/>
        <v>0</v>
      </c>
      <c r="BHZ26">
        <f t="shared" si="932"/>
        <v>0</v>
      </c>
      <c r="BIA26">
        <f t="shared" si="933"/>
        <v>0</v>
      </c>
      <c r="BIB26">
        <f t="shared" si="934"/>
        <v>0</v>
      </c>
      <c r="BIC26">
        <f t="shared" si="935"/>
        <v>0</v>
      </c>
      <c r="BID26">
        <f t="shared" si="936"/>
        <v>0</v>
      </c>
      <c r="BIE26">
        <f t="shared" si="937"/>
        <v>0</v>
      </c>
      <c r="BIF26">
        <f t="shared" si="938"/>
        <v>0</v>
      </c>
      <c r="BIG26">
        <f t="shared" si="939"/>
        <v>0</v>
      </c>
      <c r="BIH26">
        <f t="shared" si="940"/>
        <v>0</v>
      </c>
      <c r="BII26">
        <f t="shared" si="941"/>
        <v>0</v>
      </c>
      <c r="BIJ26">
        <f t="shared" si="942"/>
        <v>0</v>
      </c>
      <c r="BIK26">
        <f t="shared" si="943"/>
        <v>0</v>
      </c>
      <c r="BIL26">
        <f t="shared" si="944"/>
        <v>0</v>
      </c>
      <c r="BIM26">
        <f t="shared" si="945"/>
        <v>0</v>
      </c>
      <c r="BIN26">
        <f t="shared" si="946"/>
        <v>0</v>
      </c>
      <c r="BIO26">
        <f t="shared" si="947"/>
        <v>0</v>
      </c>
      <c r="BIP26">
        <f t="shared" si="47"/>
        <v>0</v>
      </c>
      <c r="BIQ26">
        <f t="shared" si="948"/>
        <v>0</v>
      </c>
      <c r="BIR26">
        <f t="shared" si="949"/>
        <v>0</v>
      </c>
      <c r="BIS26">
        <f t="shared" si="950"/>
        <v>0</v>
      </c>
      <c r="BIT26">
        <f t="shared" si="951"/>
        <v>0</v>
      </c>
      <c r="BIU26">
        <f t="shared" si="952"/>
        <v>0</v>
      </c>
      <c r="BIV26">
        <f t="shared" si="953"/>
        <v>0</v>
      </c>
      <c r="BIW26">
        <f t="shared" si="954"/>
        <v>0</v>
      </c>
      <c r="BIX26">
        <f t="shared" si="955"/>
        <v>0</v>
      </c>
      <c r="BIY26">
        <f t="shared" si="956"/>
        <v>0</v>
      </c>
      <c r="BIZ26">
        <f t="shared" si="957"/>
        <v>0</v>
      </c>
      <c r="BJA26">
        <f t="shared" si="958"/>
        <v>0</v>
      </c>
      <c r="BJB26">
        <f t="shared" si="959"/>
        <v>0</v>
      </c>
      <c r="BJC26">
        <f t="shared" si="960"/>
        <v>0</v>
      </c>
      <c r="BJD26">
        <f t="shared" si="961"/>
        <v>0</v>
      </c>
      <c r="BJE26">
        <f t="shared" si="962"/>
        <v>0</v>
      </c>
      <c r="BJF26">
        <f t="shared" si="963"/>
        <v>0</v>
      </c>
      <c r="BJG26">
        <f t="shared" si="964"/>
        <v>0</v>
      </c>
      <c r="BJH26">
        <f t="shared" si="965"/>
        <v>0</v>
      </c>
      <c r="BJI26">
        <f t="shared" si="966"/>
        <v>0</v>
      </c>
      <c r="BJJ26">
        <f t="shared" si="967"/>
        <v>0</v>
      </c>
      <c r="BJK26">
        <f t="shared" si="968"/>
        <v>0</v>
      </c>
      <c r="BJL26">
        <f t="shared" si="969"/>
        <v>0</v>
      </c>
      <c r="BJM26">
        <f t="shared" si="970"/>
        <v>0</v>
      </c>
      <c r="BJN26">
        <f t="shared" si="971"/>
        <v>0</v>
      </c>
      <c r="BJO26">
        <f t="shared" si="972"/>
        <v>0</v>
      </c>
      <c r="BJP26">
        <f t="shared" si="973"/>
        <v>0</v>
      </c>
      <c r="BJQ26">
        <f t="shared" si="974"/>
        <v>0</v>
      </c>
      <c r="BJR26">
        <f t="shared" si="975"/>
        <v>0</v>
      </c>
      <c r="BJS26">
        <f t="shared" si="976"/>
        <v>0</v>
      </c>
      <c r="BJT26">
        <f t="shared" si="977"/>
        <v>0</v>
      </c>
      <c r="BJU26">
        <f t="shared" si="978"/>
        <v>0</v>
      </c>
      <c r="BJV26">
        <f t="shared" si="979"/>
        <v>0</v>
      </c>
      <c r="BJW26">
        <f t="shared" si="980"/>
        <v>0</v>
      </c>
      <c r="BJX26">
        <f t="shared" si="981"/>
        <v>0</v>
      </c>
      <c r="BJY26">
        <f t="shared" si="982"/>
        <v>0</v>
      </c>
      <c r="BJZ26">
        <f t="shared" si="983"/>
        <v>0</v>
      </c>
      <c r="BKA26">
        <f t="shared" si="984"/>
        <v>0</v>
      </c>
      <c r="BKB26">
        <f t="shared" si="985"/>
        <v>0</v>
      </c>
      <c r="BKC26">
        <f t="shared" si="986"/>
        <v>0</v>
      </c>
      <c r="BKD26">
        <f t="shared" si="987"/>
        <v>0</v>
      </c>
      <c r="BKE26">
        <f t="shared" si="988"/>
        <v>0</v>
      </c>
      <c r="BKF26">
        <f t="shared" si="989"/>
        <v>0</v>
      </c>
      <c r="BKG26">
        <f t="shared" si="990"/>
        <v>0</v>
      </c>
      <c r="BKH26">
        <f t="shared" si="991"/>
        <v>0</v>
      </c>
      <c r="BKI26">
        <f t="shared" si="992"/>
        <v>0</v>
      </c>
      <c r="BKJ26">
        <f t="shared" si="993"/>
        <v>0</v>
      </c>
      <c r="BKK26">
        <f t="shared" si="994"/>
        <v>0</v>
      </c>
      <c r="BKL26">
        <f t="shared" si="995"/>
        <v>0</v>
      </c>
      <c r="BKM26">
        <f t="shared" si="996"/>
        <v>0</v>
      </c>
      <c r="BKN26">
        <f t="shared" si="997"/>
        <v>0</v>
      </c>
      <c r="BKO26">
        <f t="shared" si="998"/>
        <v>0</v>
      </c>
      <c r="BKP26">
        <f t="shared" si="999"/>
        <v>0</v>
      </c>
      <c r="BKQ26">
        <f t="shared" si="1000"/>
        <v>0</v>
      </c>
      <c r="BKR26">
        <f t="shared" si="1001"/>
        <v>0</v>
      </c>
      <c r="BKS26">
        <f t="shared" si="1002"/>
        <v>0</v>
      </c>
      <c r="BKT26">
        <f t="shared" si="1003"/>
        <v>0</v>
      </c>
      <c r="BKU26">
        <f t="shared" si="1004"/>
        <v>0</v>
      </c>
      <c r="BKV26">
        <f t="shared" si="1005"/>
        <v>0</v>
      </c>
      <c r="BKW26">
        <f t="shared" si="1006"/>
        <v>0</v>
      </c>
      <c r="BKX26">
        <f t="shared" si="1007"/>
        <v>0</v>
      </c>
      <c r="BKY26">
        <f t="shared" si="1008"/>
        <v>0</v>
      </c>
      <c r="BKZ26">
        <f t="shared" si="1009"/>
        <v>0</v>
      </c>
      <c r="BLA26">
        <f t="shared" si="1010"/>
        <v>0</v>
      </c>
      <c r="BLB26">
        <f t="shared" si="48"/>
        <v>0</v>
      </c>
      <c r="BLC26">
        <f t="shared" si="1011"/>
        <v>0</v>
      </c>
      <c r="BLD26">
        <f t="shared" si="1012"/>
        <v>0</v>
      </c>
      <c r="BLE26">
        <f t="shared" si="1013"/>
        <v>0</v>
      </c>
      <c r="BLF26">
        <f t="shared" si="1014"/>
        <v>0</v>
      </c>
      <c r="BLG26">
        <f t="shared" si="1015"/>
        <v>0</v>
      </c>
      <c r="BLH26">
        <f t="shared" si="1016"/>
        <v>0</v>
      </c>
      <c r="BLI26">
        <f t="shared" si="1017"/>
        <v>0</v>
      </c>
      <c r="BLJ26">
        <f t="shared" si="1018"/>
        <v>0</v>
      </c>
      <c r="BLK26">
        <f t="shared" si="1019"/>
        <v>0</v>
      </c>
      <c r="BLL26">
        <f t="shared" si="1020"/>
        <v>0</v>
      </c>
      <c r="BLM26">
        <f t="shared" si="1021"/>
        <v>0</v>
      </c>
      <c r="BLN26">
        <f t="shared" si="1022"/>
        <v>0</v>
      </c>
      <c r="BLO26">
        <f t="shared" si="1023"/>
        <v>0</v>
      </c>
      <c r="BLP26">
        <f t="shared" si="1024"/>
        <v>0</v>
      </c>
      <c r="BLQ26">
        <f t="shared" si="1025"/>
        <v>0</v>
      </c>
      <c r="BLR26">
        <f t="shared" si="1026"/>
        <v>0</v>
      </c>
      <c r="BLS26">
        <f t="shared" si="1027"/>
        <v>0</v>
      </c>
      <c r="BLT26">
        <f t="shared" si="1028"/>
        <v>0</v>
      </c>
      <c r="BLU26">
        <f t="shared" si="1029"/>
        <v>0</v>
      </c>
      <c r="BLV26">
        <f t="shared" si="1030"/>
        <v>0</v>
      </c>
      <c r="BLW26">
        <f t="shared" si="1031"/>
        <v>0</v>
      </c>
      <c r="BLX26">
        <f t="shared" si="1032"/>
        <v>0</v>
      </c>
      <c r="BLY26">
        <f t="shared" si="1033"/>
        <v>0</v>
      </c>
      <c r="BLZ26">
        <f t="shared" si="1034"/>
        <v>0</v>
      </c>
      <c r="BMA26">
        <f t="shared" si="1035"/>
        <v>0</v>
      </c>
      <c r="BMB26">
        <f t="shared" si="1036"/>
        <v>0</v>
      </c>
      <c r="BMC26">
        <f t="shared" si="1037"/>
        <v>0</v>
      </c>
      <c r="BMD26">
        <f t="shared" si="1038"/>
        <v>0</v>
      </c>
      <c r="BME26">
        <f t="shared" si="1039"/>
        <v>0</v>
      </c>
      <c r="BMF26">
        <f t="shared" si="1040"/>
        <v>0</v>
      </c>
      <c r="BMG26">
        <f t="shared" si="1041"/>
        <v>0</v>
      </c>
      <c r="BMH26">
        <f t="shared" si="1042"/>
        <v>0</v>
      </c>
      <c r="BMI26">
        <f t="shared" si="1043"/>
        <v>0</v>
      </c>
      <c r="BMJ26">
        <f t="shared" si="1044"/>
        <v>0</v>
      </c>
      <c r="BMK26">
        <f t="shared" si="1045"/>
        <v>0</v>
      </c>
      <c r="BML26">
        <f t="shared" si="1046"/>
        <v>0</v>
      </c>
      <c r="BMM26">
        <f t="shared" si="1047"/>
        <v>0</v>
      </c>
      <c r="BMN26">
        <f t="shared" si="1048"/>
        <v>0</v>
      </c>
      <c r="BMO26">
        <f t="shared" si="1049"/>
        <v>0</v>
      </c>
      <c r="BMP26">
        <f t="shared" si="1050"/>
        <v>0</v>
      </c>
      <c r="BMQ26">
        <f t="shared" si="1051"/>
        <v>0</v>
      </c>
      <c r="BMR26">
        <f t="shared" si="1052"/>
        <v>0</v>
      </c>
      <c r="BMS26">
        <f t="shared" si="1053"/>
        <v>0</v>
      </c>
      <c r="BMT26">
        <f t="shared" si="1054"/>
        <v>0</v>
      </c>
      <c r="BMU26">
        <f t="shared" si="1055"/>
        <v>0</v>
      </c>
      <c r="BMV26">
        <f t="shared" si="1056"/>
        <v>0</v>
      </c>
      <c r="BMW26">
        <f t="shared" si="1057"/>
        <v>0</v>
      </c>
      <c r="BMX26">
        <f t="shared" si="1058"/>
        <v>0</v>
      </c>
      <c r="BMY26">
        <f t="shared" si="1059"/>
        <v>0</v>
      </c>
      <c r="BMZ26">
        <f t="shared" si="1060"/>
        <v>0</v>
      </c>
      <c r="BNA26">
        <f t="shared" si="1061"/>
        <v>0</v>
      </c>
      <c r="BNB26">
        <f t="shared" si="1062"/>
        <v>0</v>
      </c>
      <c r="BNC26">
        <f t="shared" si="1063"/>
        <v>0</v>
      </c>
      <c r="BND26">
        <f t="shared" si="1064"/>
        <v>0</v>
      </c>
      <c r="BNE26">
        <f t="shared" si="1065"/>
        <v>0</v>
      </c>
      <c r="BNF26">
        <f t="shared" si="1066"/>
        <v>0</v>
      </c>
      <c r="BNG26">
        <f t="shared" si="1067"/>
        <v>0</v>
      </c>
      <c r="BNH26">
        <f t="shared" si="1068"/>
        <v>0</v>
      </c>
      <c r="BNI26">
        <f t="shared" si="1069"/>
        <v>0</v>
      </c>
      <c r="BNJ26">
        <f t="shared" si="1070"/>
        <v>0</v>
      </c>
      <c r="BNK26">
        <f t="shared" si="1071"/>
        <v>0</v>
      </c>
      <c r="BNL26">
        <f t="shared" si="1072"/>
        <v>0</v>
      </c>
      <c r="BNM26">
        <f t="shared" si="1073"/>
        <v>0</v>
      </c>
      <c r="BNN26">
        <f t="shared" si="49"/>
        <v>0</v>
      </c>
      <c r="BNO26">
        <f t="shared" si="1074"/>
        <v>0</v>
      </c>
      <c r="BNP26">
        <f t="shared" si="1075"/>
        <v>0</v>
      </c>
      <c r="BNQ26">
        <f t="shared" si="1076"/>
        <v>0</v>
      </c>
      <c r="BNR26">
        <f t="shared" si="1077"/>
        <v>0</v>
      </c>
      <c r="BNS26">
        <f t="shared" si="1078"/>
        <v>0</v>
      </c>
      <c r="BNT26">
        <f t="shared" si="1079"/>
        <v>0</v>
      </c>
      <c r="BNU26">
        <f t="shared" si="1080"/>
        <v>0</v>
      </c>
      <c r="BNV26">
        <f t="shared" si="1081"/>
        <v>0</v>
      </c>
      <c r="BNW26">
        <f t="shared" si="1082"/>
        <v>0</v>
      </c>
      <c r="BNX26">
        <f t="shared" si="1083"/>
        <v>0</v>
      </c>
      <c r="BNY26">
        <f t="shared" si="1084"/>
        <v>0</v>
      </c>
      <c r="BNZ26">
        <f t="shared" si="1085"/>
        <v>0</v>
      </c>
      <c r="BOA26">
        <f t="shared" si="1086"/>
        <v>0</v>
      </c>
      <c r="BOB26">
        <f t="shared" si="1087"/>
        <v>0</v>
      </c>
      <c r="BOC26">
        <f t="shared" si="1088"/>
        <v>0</v>
      </c>
      <c r="BOD26">
        <f t="shared" si="1089"/>
        <v>0</v>
      </c>
      <c r="BOE26">
        <f t="shared" si="1090"/>
        <v>0</v>
      </c>
      <c r="BOF26">
        <f t="shared" si="1091"/>
        <v>0</v>
      </c>
      <c r="BOG26">
        <f t="shared" si="1092"/>
        <v>0</v>
      </c>
      <c r="BOH26">
        <f t="shared" si="1093"/>
        <v>0</v>
      </c>
      <c r="BOI26">
        <f t="shared" si="1094"/>
        <v>0</v>
      </c>
      <c r="BOJ26">
        <f t="shared" si="1095"/>
        <v>0</v>
      </c>
      <c r="BOK26">
        <f t="shared" si="1096"/>
        <v>0</v>
      </c>
      <c r="BOL26">
        <f t="shared" si="1097"/>
        <v>0</v>
      </c>
      <c r="BOM26">
        <f t="shared" si="1098"/>
        <v>0</v>
      </c>
      <c r="BON26">
        <f t="shared" si="1099"/>
        <v>0</v>
      </c>
      <c r="BOO26">
        <f t="shared" si="1100"/>
        <v>0</v>
      </c>
      <c r="BOP26">
        <f t="shared" si="1101"/>
        <v>0</v>
      </c>
      <c r="BOQ26">
        <f t="shared" si="1102"/>
        <v>0</v>
      </c>
      <c r="BOR26">
        <f t="shared" si="1103"/>
        <v>0</v>
      </c>
      <c r="BOS26">
        <f t="shared" si="1104"/>
        <v>0</v>
      </c>
      <c r="BOT26">
        <f t="shared" si="1105"/>
        <v>0</v>
      </c>
      <c r="BOU26">
        <f t="shared" si="1106"/>
        <v>0</v>
      </c>
      <c r="BOV26">
        <f t="shared" si="1107"/>
        <v>0</v>
      </c>
      <c r="BOW26">
        <f t="shared" si="1108"/>
        <v>0</v>
      </c>
      <c r="BOX26">
        <f t="shared" si="1109"/>
        <v>0</v>
      </c>
      <c r="BOY26">
        <f t="shared" si="1110"/>
        <v>0</v>
      </c>
      <c r="BOZ26">
        <f t="shared" si="1111"/>
        <v>0</v>
      </c>
      <c r="BPA26">
        <f t="shared" si="1112"/>
        <v>0</v>
      </c>
      <c r="BPB26">
        <f t="shared" si="1113"/>
        <v>0</v>
      </c>
      <c r="BPC26">
        <f t="shared" si="1114"/>
        <v>0</v>
      </c>
      <c r="BPD26">
        <f t="shared" si="1115"/>
        <v>0</v>
      </c>
      <c r="BPE26">
        <f t="shared" si="1116"/>
        <v>0</v>
      </c>
      <c r="BPF26">
        <f t="shared" si="1117"/>
        <v>0</v>
      </c>
      <c r="BPG26">
        <f t="shared" si="1118"/>
        <v>0</v>
      </c>
      <c r="BPH26">
        <f t="shared" si="1119"/>
        <v>0</v>
      </c>
      <c r="BPI26">
        <f t="shared" si="1120"/>
        <v>0</v>
      </c>
      <c r="BPJ26">
        <f t="shared" si="1121"/>
        <v>0</v>
      </c>
      <c r="BPK26">
        <f t="shared" si="1122"/>
        <v>0</v>
      </c>
      <c r="BPL26">
        <f t="shared" si="1123"/>
        <v>0</v>
      </c>
      <c r="BPM26">
        <f t="shared" si="1124"/>
        <v>0</v>
      </c>
      <c r="BPN26">
        <f t="shared" si="1125"/>
        <v>0</v>
      </c>
      <c r="BPO26">
        <f t="shared" si="1126"/>
        <v>0</v>
      </c>
      <c r="BPP26">
        <f t="shared" si="1127"/>
        <v>0</v>
      </c>
      <c r="BPQ26">
        <f t="shared" si="1128"/>
        <v>0</v>
      </c>
      <c r="BPR26">
        <f t="shared" si="1129"/>
        <v>0</v>
      </c>
      <c r="BPS26">
        <f t="shared" si="1130"/>
        <v>0</v>
      </c>
      <c r="BPT26">
        <f t="shared" si="1131"/>
        <v>0</v>
      </c>
      <c r="BPU26">
        <f t="shared" si="1132"/>
        <v>0</v>
      </c>
      <c r="BPV26">
        <f t="shared" si="1133"/>
        <v>0</v>
      </c>
      <c r="BPW26">
        <f t="shared" si="1134"/>
        <v>0</v>
      </c>
      <c r="BPX26">
        <f t="shared" si="1135"/>
        <v>0</v>
      </c>
      <c r="BPY26">
        <f t="shared" si="1136"/>
        <v>0</v>
      </c>
      <c r="BPZ26">
        <f t="shared" si="50"/>
        <v>0</v>
      </c>
      <c r="BQA26">
        <f t="shared" si="1137"/>
        <v>0</v>
      </c>
      <c r="BQB26">
        <f t="shared" si="1138"/>
        <v>0</v>
      </c>
      <c r="BQC26">
        <f t="shared" si="1139"/>
        <v>0</v>
      </c>
      <c r="BQD26">
        <f t="shared" si="1140"/>
        <v>0</v>
      </c>
      <c r="BQE26">
        <f t="shared" si="1141"/>
        <v>0</v>
      </c>
      <c r="BQF26">
        <f t="shared" si="1142"/>
        <v>0</v>
      </c>
      <c r="BQG26">
        <f t="shared" si="1143"/>
        <v>0</v>
      </c>
      <c r="BQH26">
        <f t="shared" si="1144"/>
        <v>0</v>
      </c>
      <c r="BQI26">
        <f t="shared" si="1145"/>
        <v>0</v>
      </c>
      <c r="BQJ26">
        <f t="shared" si="1146"/>
        <v>0</v>
      </c>
      <c r="BQK26">
        <f t="shared" si="1147"/>
        <v>0</v>
      </c>
      <c r="BQL26">
        <f t="shared" si="1148"/>
        <v>0</v>
      </c>
      <c r="BQM26">
        <f t="shared" si="1149"/>
        <v>0</v>
      </c>
      <c r="BQN26">
        <f t="shared" si="1150"/>
        <v>0</v>
      </c>
      <c r="BQO26">
        <f t="shared" si="1151"/>
        <v>0</v>
      </c>
      <c r="BQP26">
        <f t="shared" si="1152"/>
        <v>0</v>
      </c>
      <c r="BQQ26">
        <f t="shared" si="1153"/>
        <v>0</v>
      </c>
      <c r="BQR26">
        <f t="shared" si="1154"/>
        <v>0</v>
      </c>
      <c r="BQS26">
        <f t="shared" si="1155"/>
        <v>0</v>
      </c>
      <c r="BQT26">
        <f t="shared" si="1156"/>
        <v>0</v>
      </c>
      <c r="BQU26">
        <f t="shared" si="1157"/>
        <v>0</v>
      </c>
      <c r="BQV26">
        <f t="shared" si="1158"/>
        <v>0</v>
      </c>
      <c r="BQW26">
        <f t="shared" si="1159"/>
        <v>0</v>
      </c>
      <c r="BQX26">
        <f t="shared" si="1160"/>
        <v>0</v>
      </c>
      <c r="BQY26">
        <f t="shared" si="1161"/>
        <v>0</v>
      </c>
      <c r="BQZ26">
        <f t="shared" si="1162"/>
        <v>0</v>
      </c>
      <c r="BRA26">
        <f t="shared" si="1163"/>
        <v>0</v>
      </c>
      <c r="BRB26">
        <f t="shared" si="1164"/>
        <v>0</v>
      </c>
      <c r="BRC26">
        <f t="shared" si="1165"/>
        <v>0</v>
      </c>
      <c r="BRD26">
        <f t="shared" si="1166"/>
        <v>0</v>
      </c>
      <c r="BRE26">
        <f t="shared" si="1167"/>
        <v>0</v>
      </c>
      <c r="BRF26">
        <f t="shared" si="1168"/>
        <v>0</v>
      </c>
      <c r="BRG26">
        <f t="shared" si="1169"/>
        <v>0</v>
      </c>
      <c r="BRH26">
        <f t="shared" si="1170"/>
        <v>0</v>
      </c>
      <c r="BRI26">
        <f t="shared" si="1171"/>
        <v>0</v>
      </c>
      <c r="BRJ26">
        <f t="shared" si="1172"/>
        <v>0</v>
      </c>
      <c r="BRK26">
        <f t="shared" si="1173"/>
        <v>0</v>
      </c>
      <c r="BRL26">
        <f t="shared" si="1174"/>
        <v>0</v>
      </c>
      <c r="BRM26">
        <f t="shared" si="1175"/>
        <v>0</v>
      </c>
      <c r="BRN26">
        <f t="shared" si="1176"/>
        <v>0</v>
      </c>
      <c r="BRO26">
        <f t="shared" si="1177"/>
        <v>0</v>
      </c>
      <c r="BRP26">
        <f t="shared" si="1178"/>
        <v>0</v>
      </c>
      <c r="BRQ26">
        <f t="shared" si="1179"/>
        <v>0</v>
      </c>
      <c r="BRR26">
        <f t="shared" si="1180"/>
        <v>0</v>
      </c>
      <c r="BRS26">
        <f t="shared" si="1181"/>
        <v>0</v>
      </c>
      <c r="BRT26">
        <f t="shared" si="1182"/>
        <v>0</v>
      </c>
      <c r="BRU26">
        <f t="shared" si="1183"/>
        <v>0</v>
      </c>
      <c r="BRV26">
        <f t="shared" si="1184"/>
        <v>0</v>
      </c>
      <c r="BRW26">
        <f t="shared" si="1185"/>
        <v>0</v>
      </c>
      <c r="BRX26">
        <f t="shared" si="1186"/>
        <v>0</v>
      </c>
      <c r="BRY26">
        <f t="shared" si="1187"/>
        <v>0</v>
      </c>
      <c r="BRZ26">
        <f t="shared" si="1188"/>
        <v>0</v>
      </c>
      <c r="BSA26">
        <f t="shared" si="1189"/>
        <v>0</v>
      </c>
      <c r="BSB26">
        <f t="shared" si="1190"/>
        <v>0</v>
      </c>
      <c r="BSC26">
        <f t="shared" si="1191"/>
        <v>0</v>
      </c>
      <c r="BSD26">
        <f t="shared" si="1192"/>
        <v>0</v>
      </c>
      <c r="BSE26">
        <f t="shared" si="1193"/>
        <v>0</v>
      </c>
      <c r="BSF26">
        <f t="shared" si="1194"/>
        <v>0</v>
      </c>
      <c r="BSG26">
        <f t="shared" si="1195"/>
        <v>0</v>
      </c>
      <c r="BSH26">
        <f t="shared" si="1196"/>
        <v>0</v>
      </c>
      <c r="BSI26">
        <f t="shared" si="1197"/>
        <v>0</v>
      </c>
      <c r="BSJ26">
        <f t="shared" si="1198"/>
        <v>0</v>
      </c>
      <c r="BSK26">
        <f t="shared" si="1199"/>
        <v>0</v>
      </c>
      <c r="BSL26">
        <f t="shared" si="51"/>
        <v>0</v>
      </c>
      <c r="BSM26">
        <f t="shared" si="1200"/>
        <v>0</v>
      </c>
      <c r="BSN26">
        <f t="shared" si="1201"/>
        <v>0</v>
      </c>
      <c r="BSO26">
        <f t="shared" si="1202"/>
        <v>0</v>
      </c>
      <c r="BSP26">
        <f t="shared" si="1203"/>
        <v>0</v>
      </c>
      <c r="BSQ26">
        <f t="shared" si="1204"/>
        <v>0</v>
      </c>
      <c r="BSR26">
        <f t="shared" si="1205"/>
        <v>0</v>
      </c>
      <c r="BSS26">
        <f t="shared" si="1206"/>
        <v>0</v>
      </c>
      <c r="BST26">
        <f t="shared" si="1207"/>
        <v>0</v>
      </c>
      <c r="BSU26">
        <f t="shared" si="1208"/>
        <v>0</v>
      </c>
      <c r="BSV26">
        <f t="shared" si="1209"/>
        <v>0</v>
      </c>
      <c r="BSW26">
        <f t="shared" si="1210"/>
        <v>0</v>
      </c>
      <c r="BSX26">
        <f t="shared" si="1211"/>
        <v>0</v>
      </c>
      <c r="BSY26">
        <f t="shared" si="1212"/>
        <v>0</v>
      </c>
      <c r="BSZ26">
        <f t="shared" si="1213"/>
        <v>0</v>
      </c>
      <c r="BTA26">
        <f t="shared" si="1214"/>
        <v>0</v>
      </c>
      <c r="BTB26">
        <f t="shared" si="1215"/>
        <v>0</v>
      </c>
      <c r="BTC26">
        <f t="shared" si="1216"/>
        <v>0</v>
      </c>
      <c r="BTD26">
        <f t="shared" si="1217"/>
        <v>0</v>
      </c>
      <c r="BTE26">
        <f t="shared" si="1218"/>
        <v>0</v>
      </c>
      <c r="BTF26">
        <f t="shared" si="1219"/>
        <v>0</v>
      </c>
      <c r="BTG26">
        <f t="shared" si="1220"/>
        <v>0</v>
      </c>
      <c r="BTH26">
        <f t="shared" si="1221"/>
        <v>0</v>
      </c>
      <c r="BTI26">
        <f t="shared" si="1222"/>
        <v>0</v>
      </c>
      <c r="BTJ26">
        <f t="shared" si="1223"/>
        <v>0</v>
      </c>
      <c r="BTK26">
        <f t="shared" si="1224"/>
        <v>0</v>
      </c>
      <c r="BTL26">
        <f t="shared" si="1225"/>
        <v>0</v>
      </c>
      <c r="BTM26">
        <f t="shared" si="1226"/>
        <v>0</v>
      </c>
      <c r="BTN26">
        <f t="shared" si="1227"/>
        <v>0</v>
      </c>
      <c r="BTO26">
        <f t="shared" si="1228"/>
        <v>0</v>
      </c>
      <c r="BTP26">
        <f t="shared" si="1229"/>
        <v>0</v>
      </c>
      <c r="BTQ26">
        <f t="shared" si="1230"/>
        <v>0</v>
      </c>
      <c r="BTR26">
        <f t="shared" si="1231"/>
        <v>0</v>
      </c>
      <c r="BTS26">
        <f t="shared" si="1232"/>
        <v>0</v>
      </c>
      <c r="BTT26">
        <f t="shared" si="1233"/>
        <v>0</v>
      </c>
      <c r="BTU26">
        <f t="shared" si="1234"/>
        <v>0</v>
      </c>
      <c r="BTV26">
        <f t="shared" si="1235"/>
        <v>0</v>
      </c>
      <c r="BTW26">
        <f t="shared" si="1236"/>
        <v>0</v>
      </c>
      <c r="BTX26">
        <f t="shared" si="1237"/>
        <v>0</v>
      </c>
      <c r="BTY26">
        <f t="shared" si="1238"/>
        <v>0</v>
      </c>
      <c r="BTZ26">
        <f t="shared" si="1239"/>
        <v>0</v>
      </c>
      <c r="BUA26">
        <f t="shared" si="1240"/>
        <v>0</v>
      </c>
      <c r="BUB26">
        <f t="shared" si="1241"/>
        <v>0</v>
      </c>
      <c r="BUC26">
        <f t="shared" si="1242"/>
        <v>0</v>
      </c>
      <c r="BUD26">
        <f t="shared" si="1243"/>
        <v>0</v>
      </c>
      <c r="BUE26">
        <f t="shared" si="1244"/>
        <v>0</v>
      </c>
      <c r="BUF26">
        <f t="shared" si="1245"/>
        <v>0</v>
      </c>
      <c r="BUG26">
        <f t="shared" si="1246"/>
        <v>0</v>
      </c>
      <c r="BUH26">
        <f t="shared" si="1247"/>
        <v>0</v>
      </c>
      <c r="BUI26">
        <f t="shared" si="1248"/>
        <v>0</v>
      </c>
      <c r="BUJ26">
        <f t="shared" si="1249"/>
        <v>0</v>
      </c>
      <c r="BUK26">
        <f t="shared" si="1250"/>
        <v>0</v>
      </c>
      <c r="BUL26">
        <f t="shared" si="1251"/>
        <v>0</v>
      </c>
      <c r="BUM26">
        <f t="shared" si="1252"/>
        <v>0</v>
      </c>
      <c r="BUN26">
        <f t="shared" si="1253"/>
        <v>0</v>
      </c>
      <c r="BUO26">
        <f t="shared" si="1254"/>
        <v>0</v>
      </c>
      <c r="BUP26">
        <f t="shared" si="1255"/>
        <v>0</v>
      </c>
      <c r="BUQ26">
        <f t="shared" si="1256"/>
        <v>0</v>
      </c>
      <c r="BUR26">
        <f t="shared" si="1257"/>
        <v>0</v>
      </c>
      <c r="BUS26">
        <f t="shared" si="1258"/>
        <v>0</v>
      </c>
      <c r="BUT26">
        <f t="shared" si="1259"/>
        <v>0</v>
      </c>
      <c r="BUU26">
        <f t="shared" si="1260"/>
        <v>0</v>
      </c>
      <c r="BUV26">
        <f t="shared" si="1261"/>
        <v>0</v>
      </c>
      <c r="BUW26">
        <f t="shared" si="1262"/>
        <v>0</v>
      </c>
      <c r="BUX26">
        <f t="shared" si="52"/>
        <v>0</v>
      </c>
      <c r="BUY26">
        <f t="shared" si="1263"/>
        <v>0</v>
      </c>
      <c r="BUZ26">
        <f t="shared" si="1264"/>
        <v>0</v>
      </c>
      <c r="BVA26">
        <f t="shared" si="1265"/>
        <v>0</v>
      </c>
      <c r="BVB26">
        <f t="shared" si="1266"/>
        <v>0</v>
      </c>
      <c r="BVC26">
        <f t="shared" si="1267"/>
        <v>0</v>
      </c>
      <c r="BVD26">
        <f t="shared" si="1268"/>
        <v>0</v>
      </c>
      <c r="BVE26">
        <f t="shared" si="1269"/>
        <v>0</v>
      </c>
      <c r="BVF26">
        <f t="shared" si="1270"/>
        <v>0</v>
      </c>
      <c r="BVG26">
        <f t="shared" si="1271"/>
        <v>0</v>
      </c>
      <c r="BVH26">
        <f t="shared" si="1272"/>
        <v>0</v>
      </c>
      <c r="BVI26">
        <f t="shared" si="1273"/>
        <v>0</v>
      </c>
      <c r="BVJ26">
        <f t="shared" si="1274"/>
        <v>0</v>
      </c>
      <c r="BVK26">
        <f t="shared" si="1275"/>
        <v>0</v>
      </c>
      <c r="BVL26">
        <f t="shared" si="1276"/>
        <v>0</v>
      </c>
      <c r="BVM26">
        <f t="shared" si="1277"/>
        <v>0</v>
      </c>
      <c r="BVN26">
        <f t="shared" si="1278"/>
        <v>0</v>
      </c>
      <c r="BVO26">
        <f t="shared" si="1279"/>
        <v>0</v>
      </c>
      <c r="BVP26">
        <f t="shared" si="1280"/>
        <v>0</v>
      </c>
      <c r="BVQ26">
        <f t="shared" si="1281"/>
        <v>0</v>
      </c>
      <c r="BVR26">
        <f t="shared" si="1282"/>
        <v>0</v>
      </c>
      <c r="BVS26">
        <f t="shared" si="1283"/>
        <v>0</v>
      </c>
      <c r="BVT26">
        <f t="shared" si="1284"/>
        <v>0</v>
      </c>
      <c r="BVU26">
        <f t="shared" si="1285"/>
        <v>0</v>
      </c>
      <c r="BVV26">
        <f t="shared" si="1286"/>
        <v>0</v>
      </c>
      <c r="BVW26">
        <f t="shared" si="1287"/>
        <v>0</v>
      </c>
      <c r="BVX26">
        <f t="shared" si="1288"/>
        <v>0</v>
      </c>
      <c r="BVY26">
        <f t="shared" si="1289"/>
        <v>0</v>
      </c>
      <c r="BVZ26">
        <f t="shared" si="1290"/>
        <v>0</v>
      </c>
      <c r="BWA26">
        <f t="shared" si="1291"/>
        <v>0</v>
      </c>
      <c r="BWB26">
        <f t="shared" si="1292"/>
        <v>0</v>
      </c>
      <c r="BWC26">
        <f t="shared" si="1293"/>
        <v>0</v>
      </c>
      <c r="BWD26">
        <f t="shared" si="1294"/>
        <v>0</v>
      </c>
      <c r="BWE26">
        <f t="shared" si="1295"/>
        <v>0</v>
      </c>
      <c r="BWF26">
        <f t="shared" si="1296"/>
        <v>0</v>
      </c>
      <c r="BWG26">
        <f t="shared" si="1297"/>
        <v>0</v>
      </c>
      <c r="BWH26">
        <f t="shared" si="1298"/>
        <v>0</v>
      </c>
      <c r="BWI26">
        <f t="shared" si="1299"/>
        <v>0</v>
      </c>
      <c r="BWJ26">
        <f t="shared" si="1300"/>
        <v>0</v>
      </c>
      <c r="BWK26">
        <f t="shared" si="1301"/>
        <v>0</v>
      </c>
      <c r="BWL26">
        <f t="shared" si="1302"/>
        <v>0</v>
      </c>
      <c r="BWM26">
        <f t="shared" si="1303"/>
        <v>0</v>
      </c>
      <c r="BWN26">
        <f t="shared" si="1304"/>
        <v>0</v>
      </c>
      <c r="BWO26">
        <f t="shared" si="1305"/>
        <v>0</v>
      </c>
      <c r="BWP26">
        <f t="shared" si="1306"/>
        <v>0</v>
      </c>
      <c r="BWQ26">
        <f t="shared" si="1307"/>
        <v>0</v>
      </c>
      <c r="BWR26">
        <f t="shared" si="1308"/>
        <v>0</v>
      </c>
      <c r="BWS26">
        <f t="shared" si="1309"/>
        <v>0</v>
      </c>
      <c r="BWT26">
        <f t="shared" si="1310"/>
        <v>0</v>
      </c>
      <c r="BWU26">
        <f t="shared" si="1311"/>
        <v>0</v>
      </c>
      <c r="BWV26">
        <f t="shared" si="1312"/>
        <v>0</v>
      </c>
      <c r="BWW26">
        <f t="shared" si="1313"/>
        <v>0</v>
      </c>
      <c r="BWX26">
        <f t="shared" si="1314"/>
        <v>0</v>
      </c>
      <c r="BWY26">
        <f t="shared" si="1315"/>
        <v>0</v>
      </c>
      <c r="BWZ26">
        <f t="shared" si="1316"/>
        <v>0</v>
      </c>
      <c r="BXA26">
        <f t="shared" si="1317"/>
        <v>0</v>
      </c>
      <c r="BXB26">
        <f t="shared" si="1318"/>
        <v>0</v>
      </c>
      <c r="BXC26">
        <f t="shared" si="1319"/>
        <v>0</v>
      </c>
      <c r="BXD26">
        <f t="shared" si="1320"/>
        <v>0</v>
      </c>
      <c r="BXE26">
        <f t="shared" si="1321"/>
        <v>0</v>
      </c>
      <c r="BXF26">
        <f t="shared" si="1322"/>
        <v>0</v>
      </c>
      <c r="BXG26">
        <f t="shared" si="1323"/>
        <v>0</v>
      </c>
      <c r="BXH26">
        <f t="shared" si="1324"/>
        <v>0</v>
      </c>
      <c r="BXI26">
        <f t="shared" si="1325"/>
        <v>0</v>
      </c>
      <c r="BXJ26">
        <f t="shared" si="53"/>
        <v>0</v>
      </c>
      <c r="BXK26">
        <f t="shared" si="1326"/>
        <v>0</v>
      </c>
      <c r="BXL26">
        <f t="shared" si="1327"/>
        <v>0</v>
      </c>
      <c r="BXM26">
        <f t="shared" si="1328"/>
        <v>0</v>
      </c>
      <c r="BXN26">
        <f t="shared" si="1329"/>
        <v>0</v>
      </c>
      <c r="BXO26">
        <f t="shared" si="1330"/>
        <v>0</v>
      </c>
      <c r="BXP26">
        <f t="shared" si="1331"/>
        <v>0</v>
      </c>
      <c r="BXQ26">
        <f t="shared" si="1332"/>
        <v>0</v>
      </c>
      <c r="BXR26">
        <f t="shared" si="1333"/>
        <v>0</v>
      </c>
      <c r="BXS26">
        <f t="shared" si="1334"/>
        <v>0</v>
      </c>
      <c r="BXT26">
        <f t="shared" si="1335"/>
        <v>0</v>
      </c>
      <c r="BXU26">
        <f t="shared" si="1336"/>
        <v>0</v>
      </c>
      <c r="BXV26">
        <f t="shared" si="1337"/>
        <v>0</v>
      </c>
      <c r="BXW26">
        <f t="shared" si="1338"/>
        <v>0</v>
      </c>
      <c r="BXX26">
        <f t="shared" si="1339"/>
        <v>0</v>
      </c>
      <c r="BXY26">
        <f t="shared" si="1340"/>
        <v>0</v>
      </c>
      <c r="BXZ26">
        <f t="shared" si="1341"/>
        <v>0</v>
      </c>
      <c r="BYA26">
        <f t="shared" si="1342"/>
        <v>0</v>
      </c>
      <c r="BYB26">
        <f t="shared" si="1343"/>
        <v>0</v>
      </c>
      <c r="BYC26">
        <f t="shared" si="1344"/>
        <v>0</v>
      </c>
      <c r="BYD26">
        <f t="shared" si="1345"/>
        <v>0</v>
      </c>
      <c r="BYE26">
        <f t="shared" si="1346"/>
        <v>0</v>
      </c>
      <c r="BYF26">
        <f t="shared" si="1347"/>
        <v>0</v>
      </c>
      <c r="BYG26">
        <f t="shared" si="1348"/>
        <v>0</v>
      </c>
      <c r="BYH26">
        <f t="shared" si="1349"/>
        <v>0</v>
      </c>
      <c r="BYI26">
        <f t="shared" si="1350"/>
        <v>0</v>
      </c>
      <c r="BYJ26">
        <f t="shared" si="1351"/>
        <v>0</v>
      </c>
      <c r="BYK26">
        <f t="shared" si="1352"/>
        <v>0</v>
      </c>
      <c r="BYL26">
        <f t="shared" si="1353"/>
        <v>0</v>
      </c>
      <c r="BYM26">
        <f t="shared" si="1354"/>
        <v>0</v>
      </c>
      <c r="BYN26">
        <f t="shared" si="1355"/>
        <v>0</v>
      </c>
      <c r="BYO26">
        <f t="shared" si="1356"/>
        <v>0</v>
      </c>
      <c r="BYP26">
        <f t="shared" si="1357"/>
        <v>0</v>
      </c>
      <c r="BYQ26">
        <f t="shared" si="1358"/>
        <v>0</v>
      </c>
      <c r="BYR26">
        <f t="shared" si="1359"/>
        <v>0</v>
      </c>
      <c r="BYS26">
        <f t="shared" si="1360"/>
        <v>0</v>
      </c>
      <c r="BYT26">
        <f t="shared" si="1361"/>
        <v>0</v>
      </c>
      <c r="BYU26">
        <f t="shared" si="1362"/>
        <v>0</v>
      </c>
      <c r="BYV26">
        <f t="shared" si="1363"/>
        <v>0</v>
      </c>
      <c r="BYW26">
        <f t="shared" si="1364"/>
        <v>0</v>
      </c>
      <c r="BYX26">
        <f t="shared" si="1365"/>
        <v>0</v>
      </c>
      <c r="BYY26">
        <f t="shared" si="1366"/>
        <v>0</v>
      </c>
      <c r="BYZ26">
        <f t="shared" si="1367"/>
        <v>0</v>
      </c>
      <c r="BZA26">
        <f t="shared" si="1368"/>
        <v>0</v>
      </c>
      <c r="BZB26">
        <f t="shared" si="1369"/>
        <v>0</v>
      </c>
      <c r="BZC26">
        <f t="shared" si="1370"/>
        <v>0</v>
      </c>
      <c r="BZD26">
        <f t="shared" si="1371"/>
        <v>0</v>
      </c>
      <c r="BZE26">
        <f t="shared" si="1372"/>
        <v>0</v>
      </c>
      <c r="BZF26">
        <f t="shared" si="1373"/>
        <v>0</v>
      </c>
      <c r="BZG26">
        <f t="shared" si="1374"/>
        <v>0</v>
      </c>
      <c r="BZH26">
        <f t="shared" si="1375"/>
        <v>0</v>
      </c>
      <c r="BZI26">
        <f t="shared" si="1376"/>
        <v>0</v>
      </c>
      <c r="BZJ26">
        <f t="shared" si="1377"/>
        <v>0</v>
      </c>
      <c r="BZK26">
        <f t="shared" si="1378"/>
        <v>0</v>
      </c>
      <c r="BZL26">
        <f t="shared" si="1379"/>
        <v>0</v>
      </c>
      <c r="BZM26">
        <f t="shared" si="1380"/>
        <v>0</v>
      </c>
      <c r="BZN26">
        <f t="shared" si="1381"/>
        <v>0</v>
      </c>
      <c r="BZO26">
        <f t="shared" si="1382"/>
        <v>0</v>
      </c>
      <c r="BZP26">
        <f t="shared" si="1383"/>
        <v>0</v>
      </c>
      <c r="BZQ26">
        <f t="shared" si="1384"/>
        <v>0</v>
      </c>
      <c r="BZR26">
        <f t="shared" si="1385"/>
        <v>0</v>
      </c>
      <c r="BZS26">
        <f t="shared" si="1386"/>
        <v>0</v>
      </c>
      <c r="BZT26">
        <f t="shared" si="1387"/>
        <v>0</v>
      </c>
      <c r="BZU26">
        <f t="shared" si="1388"/>
        <v>0</v>
      </c>
      <c r="BZV26">
        <f t="shared" si="54"/>
        <v>0</v>
      </c>
      <c r="BZW26">
        <f t="shared" si="1389"/>
        <v>0</v>
      </c>
      <c r="BZX26">
        <f t="shared" si="1390"/>
        <v>0</v>
      </c>
      <c r="BZY26">
        <f t="shared" si="1391"/>
        <v>0</v>
      </c>
      <c r="BZZ26">
        <f t="shared" si="1392"/>
        <v>0</v>
      </c>
      <c r="CAA26">
        <f t="shared" si="1393"/>
        <v>0</v>
      </c>
      <c r="CAB26">
        <f t="shared" si="1394"/>
        <v>0</v>
      </c>
      <c r="CAC26">
        <f t="shared" si="1395"/>
        <v>0</v>
      </c>
      <c r="CAD26">
        <f t="shared" si="1396"/>
        <v>0</v>
      </c>
      <c r="CAE26">
        <f t="shared" si="1397"/>
        <v>0</v>
      </c>
      <c r="CAF26">
        <f t="shared" si="1398"/>
        <v>0</v>
      </c>
      <c r="CAG26">
        <f t="shared" si="1399"/>
        <v>0</v>
      </c>
      <c r="CAH26">
        <f t="shared" si="1400"/>
        <v>0</v>
      </c>
      <c r="CAI26">
        <f t="shared" si="1401"/>
        <v>0</v>
      </c>
      <c r="CAJ26">
        <f t="shared" si="1402"/>
        <v>0</v>
      </c>
      <c r="CAK26">
        <f t="shared" si="1403"/>
        <v>0</v>
      </c>
      <c r="CAL26">
        <f t="shared" si="1404"/>
        <v>0</v>
      </c>
      <c r="CAM26">
        <f t="shared" si="1405"/>
        <v>0</v>
      </c>
      <c r="CAN26">
        <f t="shared" si="1406"/>
        <v>0</v>
      </c>
      <c r="CAO26">
        <f t="shared" si="1407"/>
        <v>0</v>
      </c>
      <c r="CAP26">
        <f t="shared" si="1408"/>
        <v>0</v>
      </c>
      <c r="CAQ26">
        <f t="shared" si="1409"/>
        <v>0</v>
      </c>
      <c r="CAR26">
        <f t="shared" si="1410"/>
        <v>0</v>
      </c>
      <c r="CAS26">
        <f t="shared" si="1411"/>
        <v>0</v>
      </c>
      <c r="CAT26">
        <f t="shared" si="1412"/>
        <v>0</v>
      </c>
      <c r="CAU26">
        <f t="shared" si="1413"/>
        <v>0</v>
      </c>
      <c r="CAV26">
        <f t="shared" si="1414"/>
        <v>0</v>
      </c>
      <c r="CAW26">
        <f t="shared" si="1415"/>
        <v>0</v>
      </c>
      <c r="CAX26">
        <f t="shared" si="1416"/>
        <v>0</v>
      </c>
      <c r="CAY26">
        <f t="shared" si="1417"/>
        <v>0</v>
      </c>
      <c r="CAZ26">
        <f t="shared" si="1418"/>
        <v>0</v>
      </c>
      <c r="CBA26">
        <f t="shared" si="1419"/>
        <v>0</v>
      </c>
      <c r="CBB26">
        <f t="shared" si="1420"/>
        <v>0</v>
      </c>
      <c r="CBC26">
        <f t="shared" si="1421"/>
        <v>0</v>
      </c>
      <c r="CBD26">
        <f t="shared" si="1422"/>
        <v>0</v>
      </c>
      <c r="CBE26">
        <f t="shared" si="1423"/>
        <v>0</v>
      </c>
      <c r="CBF26">
        <f t="shared" si="1424"/>
        <v>0</v>
      </c>
      <c r="CBG26">
        <f t="shared" si="1425"/>
        <v>0</v>
      </c>
      <c r="CBH26">
        <f t="shared" si="1426"/>
        <v>0</v>
      </c>
      <c r="CBI26">
        <f t="shared" si="1427"/>
        <v>0</v>
      </c>
      <c r="CBJ26">
        <f t="shared" si="1428"/>
        <v>0</v>
      </c>
      <c r="CBK26">
        <f t="shared" si="1429"/>
        <v>0</v>
      </c>
      <c r="CBL26">
        <f t="shared" si="1430"/>
        <v>0</v>
      </c>
      <c r="CBM26">
        <f t="shared" si="1431"/>
        <v>0</v>
      </c>
      <c r="CBN26">
        <f t="shared" si="1432"/>
        <v>0</v>
      </c>
      <c r="CBO26">
        <f t="shared" si="1433"/>
        <v>0</v>
      </c>
      <c r="CBP26">
        <f t="shared" si="1434"/>
        <v>0</v>
      </c>
      <c r="CBQ26">
        <f t="shared" si="1435"/>
        <v>0</v>
      </c>
      <c r="CBR26">
        <f t="shared" si="1436"/>
        <v>0</v>
      </c>
      <c r="CBS26">
        <f t="shared" si="1437"/>
        <v>0</v>
      </c>
      <c r="CBT26">
        <f t="shared" si="1438"/>
        <v>0</v>
      </c>
      <c r="CBU26">
        <f t="shared" si="1439"/>
        <v>0</v>
      </c>
      <c r="CBV26">
        <f t="shared" si="1440"/>
        <v>0</v>
      </c>
      <c r="CBW26">
        <f t="shared" si="1441"/>
        <v>0</v>
      </c>
      <c r="CBX26">
        <f t="shared" si="1442"/>
        <v>0</v>
      </c>
      <c r="CBY26">
        <f t="shared" si="1443"/>
        <v>0</v>
      </c>
      <c r="CBZ26">
        <f t="shared" si="1444"/>
        <v>0</v>
      </c>
      <c r="CCA26">
        <f t="shared" si="1445"/>
        <v>0</v>
      </c>
      <c r="CCB26">
        <f t="shared" si="1446"/>
        <v>0</v>
      </c>
      <c r="CCC26">
        <f t="shared" si="1447"/>
        <v>0</v>
      </c>
      <c r="CCD26">
        <f t="shared" si="1448"/>
        <v>0</v>
      </c>
      <c r="CCE26">
        <f t="shared" si="1449"/>
        <v>0</v>
      </c>
      <c r="CCF26">
        <f t="shared" si="1450"/>
        <v>0</v>
      </c>
      <c r="CCG26">
        <f t="shared" si="1451"/>
        <v>0</v>
      </c>
      <c r="CCH26">
        <f t="shared" si="55"/>
        <v>0</v>
      </c>
      <c r="CCI26">
        <f t="shared" si="1452"/>
        <v>0</v>
      </c>
      <c r="CCJ26">
        <f t="shared" si="1453"/>
        <v>0</v>
      </c>
      <c r="CCK26">
        <f t="shared" si="1454"/>
        <v>0</v>
      </c>
      <c r="CCL26">
        <f t="shared" si="1455"/>
        <v>0</v>
      </c>
      <c r="CCM26">
        <f t="shared" si="1456"/>
        <v>0</v>
      </c>
      <c r="CCN26">
        <f t="shared" si="1457"/>
        <v>0</v>
      </c>
      <c r="CCO26">
        <f t="shared" si="1458"/>
        <v>0</v>
      </c>
      <c r="CCP26">
        <f t="shared" si="1459"/>
        <v>0</v>
      </c>
      <c r="CCQ26">
        <f t="shared" si="1460"/>
        <v>0</v>
      </c>
      <c r="CCR26">
        <f t="shared" si="1461"/>
        <v>0</v>
      </c>
      <c r="CCS26">
        <f t="shared" si="1462"/>
        <v>0</v>
      </c>
      <c r="CCT26">
        <f t="shared" si="1463"/>
        <v>0</v>
      </c>
      <c r="CCU26">
        <f t="shared" si="1464"/>
        <v>0</v>
      </c>
      <c r="CCV26">
        <f t="shared" si="1465"/>
        <v>0</v>
      </c>
      <c r="CCW26">
        <f t="shared" si="1466"/>
        <v>0</v>
      </c>
      <c r="CCX26">
        <f t="shared" si="1467"/>
        <v>0</v>
      </c>
      <c r="CCY26">
        <f t="shared" si="1468"/>
        <v>0</v>
      </c>
      <c r="CCZ26">
        <f t="shared" si="1469"/>
        <v>0</v>
      </c>
      <c r="CDA26">
        <f t="shared" si="1470"/>
        <v>0</v>
      </c>
      <c r="CDB26">
        <f t="shared" si="1471"/>
        <v>0</v>
      </c>
      <c r="CDC26">
        <f t="shared" si="1472"/>
        <v>0</v>
      </c>
      <c r="CDD26">
        <f t="shared" si="1473"/>
        <v>0</v>
      </c>
      <c r="CDE26">
        <f t="shared" si="1474"/>
        <v>0</v>
      </c>
      <c r="CDF26">
        <f t="shared" si="1475"/>
        <v>0</v>
      </c>
      <c r="CDG26">
        <f t="shared" si="1476"/>
        <v>0</v>
      </c>
      <c r="CDH26">
        <f t="shared" si="1477"/>
        <v>0</v>
      </c>
      <c r="CDI26">
        <f t="shared" si="1478"/>
        <v>0</v>
      </c>
      <c r="CDJ26">
        <f t="shared" si="1479"/>
        <v>0</v>
      </c>
      <c r="CDK26">
        <f t="shared" si="1480"/>
        <v>0</v>
      </c>
      <c r="CDL26">
        <f t="shared" si="1481"/>
        <v>0</v>
      </c>
      <c r="CDM26">
        <f t="shared" si="1482"/>
        <v>0</v>
      </c>
      <c r="CDN26">
        <f t="shared" si="1483"/>
        <v>0</v>
      </c>
      <c r="CDO26">
        <f t="shared" si="1484"/>
        <v>0</v>
      </c>
      <c r="CDP26">
        <f t="shared" si="1485"/>
        <v>0</v>
      </c>
      <c r="CDQ26">
        <f t="shared" si="1486"/>
        <v>0</v>
      </c>
      <c r="CDR26">
        <f t="shared" si="1487"/>
        <v>0</v>
      </c>
      <c r="CDS26">
        <f t="shared" si="1488"/>
        <v>0</v>
      </c>
      <c r="CDT26">
        <f t="shared" si="1489"/>
        <v>0</v>
      </c>
      <c r="CDU26">
        <f t="shared" si="1490"/>
        <v>0</v>
      </c>
      <c r="CDV26">
        <f t="shared" si="1491"/>
        <v>0</v>
      </c>
      <c r="CDW26">
        <f t="shared" si="1492"/>
        <v>0</v>
      </c>
      <c r="CDX26">
        <f t="shared" si="1493"/>
        <v>0</v>
      </c>
      <c r="CDY26">
        <f t="shared" si="1494"/>
        <v>0</v>
      </c>
      <c r="CDZ26">
        <f t="shared" si="1495"/>
        <v>0</v>
      </c>
      <c r="CEA26">
        <f t="shared" si="1496"/>
        <v>0</v>
      </c>
      <c r="CEB26">
        <f t="shared" si="1497"/>
        <v>0</v>
      </c>
      <c r="CEC26">
        <f t="shared" si="1498"/>
        <v>0</v>
      </c>
      <c r="CED26">
        <f t="shared" si="1499"/>
        <v>0</v>
      </c>
      <c r="CEE26">
        <f t="shared" si="1500"/>
        <v>0</v>
      </c>
      <c r="CEF26">
        <f t="shared" si="1501"/>
        <v>0</v>
      </c>
      <c r="CEG26">
        <f t="shared" si="1502"/>
        <v>0</v>
      </c>
      <c r="CEH26">
        <f t="shared" si="1503"/>
        <v>0</v>
      </c>
      <c r="CEI26">
        <f t="shared" si="1504"/>
        <v>0</v>
      </c>
      <c r="CEJ26">
        <f t="shared" si="1505"/>
        <v>0</v>
      </c>
      <c r="CEK26">
        <f t="shared" si="1506"/>
        <v>0</v>
      </c>
      <c r="CEL26">
        <f t="shared" si="1507"/>
        <v>0</v>
      </c>
      <c r="CEM26">
        <f t="shared" si="1508"/>
        <v>0</v>
      </c>
      <c r="CEN26">
        <f t="shared" si="1509"/>
        <v>0</v>
      </c>
      <c r="CEO26">
        <f t="shared" si="1510"/>
        <v>0</v>
      </c>
      <c r="CEP26">
        <f t="shared" si="1511"/>
        <v>0</v>
      </c>
      <c r="CEQ26">
        <f t="shared" si="1512"/>
        <v>0</v>
      </c>
      <c r="CER26">
        <f t="shared" si="1513"/>
        <v>0</v>
      </c>
      <c r="CES26">
        <f t="shared" si="1514"/>
        <v>0</v>
      </c>
      <c r="CET26">
        <f t="shared" si="56"/>
        <v>0</v>
      </c>
      <c r="CEU26">
        <f t="shared" si="1515"/>
        <v>0</v>
      </c>
      <c r="CEV26">
        <f t="shared" si="1516"/>
        <v>0</v>
      </c>
      <c r="CEW26">
        <f t="shared" si="1517"/>
        <v>0</v>
      </c>
      <c r="CEX26">
        <f t="shared" si="1518"/>
        <v>0</v>
      </c>
      <c r="CEY26">
        <f t="shared" si="1519"/>
        <v>0</v>
      </c>
      <c r="CEZ26">
        <f t="shared" si="1520"/>
        <v>0</v>
      </c>
      <c r="CFA26">
        <f t="shared" si="1521"/>
        <v>0</v>
      </c>
      <c r="CFB26">
        <f t="shared" si="1522"/>
        <v>0</v>
      </c>
      <c r="CFC26">
        <f t="shared" si="1523"/>
        <v>0</v>
      </c>
      <c r="CFD26">
        <f t="shared" si="1524"/>
        <v>0</v>
      </c>
      <c r="CFE26">
        <f t="shared" si="1525"/>
        <v>0</v>
      </c>
      <c r="CFF26">
        <f t="shared" si="1526"/>
        <v>0</v>
      </c>
      <c r="CFG26">
        <f t="shared" si="1527"/>
        <v>0</v>
      </c>
      <c r="CFH26">
        <f t="shared" si="1528"/>
        <v>0</v>
      </c>
      <c r="CFI26">
        <f t="shared" si="1529"/>
        <v>0</v>
      </c>
      <c r="CFJ26">
        <f t="shared" si="1530"/>
        <v>0</v>
      </c>
      <c r="CFK26">
        <f t="shared" si="1531"/>
        <v>0</v>
      </c>
      <c r="CFL26">
        <f t="shared" si="1532"/>
        <v>0</v>
      </c>
      <c r="CFM26">
        <f t="shared" si="1533"/>
        <v>0</v>
      </c>
      <c r="CFN26">
        <f t="shared" si="1534"/>
        <v>0</v>
      </c>
      <c r="CFO26">
        <f t="shared" si="1535"/>
        <v>0</v>
      </c>
      <c r="CFP26">
        <f t="shared" si="1536"/>
        <v>0</v>
      </c>
      <c r="CFQ26">
        <f t="shared" si="1537"/>
        <v>0</v>
      </c>
      <c r="CFR26">
        <f t="shared" si="1538"/>
        <v>0</v>
      </c>
      <c r="CFS26">
        <f t="shared" si="1539"/>
        <v>0</v>
      </c>
      <c r="CFT26">
        <f t="shared" si="1540"/>
        <v>0</v>
      </c>
      <c r="CFU26">
        <f t="shared" si="1541"/>
        <v>0</v>
      </c>
      <c r="CFV26">
        <f t="shared" si="1542"/>
        <v>0</v>
      </c>
      <c r="CFW26">
        <f t="shared" si="1543"/>
        <v>0</v>
      </c>
      <c r="CFX26">
        <f t="shared" si="1544"/>
        <v>0</v>
      </c>
      <c r="CFY26">
        <f t="shared" si="1545"/>
        <v>0</v>
      </c>
      <c r="CFZ26">
        <f t="shared" si="1546"/>
        <v>0</v>
      </c>
      <c r="CGA26">
        <f t="shared" si="1547"/>
        <v>0</v>
      </c>
      <c r="CGB26">
        <f t="shared" si="1548"/>
        <v>0</v>
      </c>
      <c r="CGC26">
        <f t="shared" si="1549"/>
        <v>0</v>
      </c>
      <c r="CGD26">
        <f t="shared" si="1550"/>
        <v>0</v>
      </c>
      <c r="CGE26">
        <f t="shared" si="1551"/>
        <v>0</v>
      </c>
      <c r="CGF26">
        <f t="shared" si="1552"/>
        <v>0</v>
      </c>
      <c r="CGG26">
        <f t="shared" si="1553"/>
        <v>0</v>
      </c>
      <c r="CGH26">
        <f t="shared" si="1554"/>
        <v>0</v>
      </c>
      <c r="CGI26">
        <f t="shared" si="1555"/>
        <v>0</v>
      </c>
      <c r="CGJ26">
        <f t="shared" si="1556"/>
        <v>0</v>
      </c>
      <c r="CGK26">
        <f t="shared" si="1557"/>
        <v>0</v>
      </c>
      <c r="CGL26">
        <f t="shared" si="1558"/>
        <v>0</v>
      </c>
      <c r="CGM26">
        <f t="shared" si="1559"/>
        <v>0</v>
      </c>
      <c r="CGN26">
        <f t="shared" si="1560"/>
        <v>0</v>
      </c>
      <c r="CGO26">
        <f t="shared" si="1561"/>
        <v>0</v>
      </c>
      <c r="CGP26">
        <f t="shared" si="1562"/>
        <v>0</v>
      </c>
      <c r="CGQ26">
        <f t="shared" si="1563"/>
        <v>0</v>
      </c>
      <c r="CGR26">
        <f t="shared" si="1564"/>
        <v>0</v>
      </c>
      <c r="CGS26">
        <f t="shared" si="1565"/>
        <v>0</v>
      </c>
      <c r="CGT26">
        <f t="shared" si="1566"/>
        <v>0</v>
      </c>
      <c r="CGU26">
        <f t="shared" si="1567"/>
        <v>0</v>
      </c>
      <c r="CGV26">
        <f t="shared" si="1568"/>
        <v>0</v>
      </c>
      <c r="CGW26">
        <f t="shared" si="1569"/>
        <v>0</v>
      </c>
      <c r="CGX26">
        <f t="shared" si="1570"/>
        <v>0</v>
      </c>
      <c r="CGY26">
        <f t="shared" si="1571"/>
        <v>0</v>
      </c>
      <c r="CGZ26">
        <f t="shared" si="1572"/>
        <v>0</v>
      </c>
      <c r="CHA26">
        <f t="shared" si="1573"/>
        <v>0</v>
      </c>
      <c r="CHB26">
        <f t="shared" si="1574"/>
        <v>0</v>
      </c>
      <c r="CHC26">
        <f t="shared" si="1575"/>
        <v>0</v>
      </c>
      <c r="CHD26">
        <f t="shared" si="1576"/>
        <v>0</v>
      </c>
      <c r="CHE26">
        <f t="shared" si="1577"/>
        <v>0</v>
      </c>
      <c r="CHF26">
        <f t="shared" si="57"/>
        <v>0</v>
      </c>
      <c r="CHG26">
        <f t="shared" si="1578"/>
        <v>0</v>
      </c>
      <c r="CHH26">
        <f t="shared" si="1579"/>
        <v>0</v>
      </c>
      <c r="CHI26">
        <f t="shared" si="1580"/>
        <v>0</v>
      </c>
      <c r="CHJ26">
        <f t="shared" si="1581"/>
        <v>0</v>
      </c>
      <c r="CHK26">
        <f t="shared" si="1582"/>
        <v>0</v>
      </c>
      <c r="CHL26">
        <f t="shared" si="1583"/>
        <v>0</v>
      </c>
      <c r="CHM26">
        <f t="shared" si="1584"/>
        <v>0</v>
      </c>
      <c r="CHN26">
        <f t="shared" si="1585"/>
        <v>0</v>
      </c>
      <c r="CHO26">
        <f t="shared" si="1586"/>
        <v>0</v>
      </c>
      <c r="CHP26">
        <f t="shared" si="1587"/>
        <v>0</v>
      </c>
      <c r="CHQ26">
        <f t="shared" si="1588"/>
        <v>0</v>
      </c>
      <c r="CHR26">
        <f t="shared" si="1589"/>
        <v>0</v>
      </c>
      <c r="CHS26">
        <f t="shared" si="1590"/>
        <v>0</v>
      </c>
      <c r="CHT26">
        <f t="shared" si="1591"/>
        <v>0</v>
      </c>
      <c r="CHU26">
        <f t="shared" si="1592"/>
        <v>0</v>
      </c>
      <c r="CHV26">
        <f t="shared" si="1593"/>
        <v>0</v>
      </c>
      <c r="CHW26">
        <f t="shared" si="1594"/>
        <v>0</v>
      </c>
      <c r="CHX26">
        <f t="shared" si="1595"/>
        <v>0</v>
      </c>
      <c r="CHY26">
        <f t="shared" si="1596"/>
        <v>0</v>
      </c>
      <c r="CHZ26">
        <f t="shared" si="1597"/>
        <v>0</v>
      </c>
      <c r="CIA26">
        <f t="shared" si="1598"/>
        <v>0</v>
      </c>
      <c r="CIB26">
        <f t="shared" si="1599"/>
        <v>0</v>
      </c>
      <c r="CIC26">
        <f t="shared" si="1600"/>
        <v>0</v>
      </c>
      <c r="CID26">
        <f t="shared" si="1601"/>
        <v>0</v>
      </c>
      <c r="CIE26">
        <f t="shared" si="1602"/>
        <v>0</v>
      </c>
      <c r="CIF26">
        <f t="shared" si="1603"/>
        <v>0</v>
      </c>
      <c r="CIG26">
        <f t="shared" si="1604"/>
        <v>0</v>
      </c>
      <c r="CIH26">
        <f t="shared" si="1605"/>
        <v>0</v>
      </c>
      <c r="CII26">
        <f t="shared" si="1606"/>
        <v>0</v>
      </c>
      <c r="CIJ26">
        <f t="shared" si="1607"/>
        <v>0</v>
      </c>
      <c r="CIK26">
        <f t="shared" si="1608"/>
        <v>0</v>
      </c>
      <c r="CIL26">
        <f t="shared" si="1609"/>
        <v>0</v>
      </c>
      <c r="CIM26">
        <f t="shared" si="1610"/>
        <v>0</v>
      </c>
      <c r="CIN26">
        <f t="shared" si="1611"/>
        <v>0</v>
      </c>
      <c r="CIO26">
        <f t="shared" si="1612"/>
        <v>0</v>
      </c>
      <c r="CIP26">
        <f t="shared" si="1613"/>
        <v>0</v>
      </c>
      <c r="CIQ26">
        <f t="shared" si="1614"/>
        <v>0</v>
      </c>
      <c r="CIR26">
        <f t="shared" si="1615"/>
        <v>0</v>
      </c>
      <c r="CIS26">
        <f t="shared" si="1616"/>
        <v>0</v>
      </c>
      <c r="CIT26">
        <f t="shared" si="1617"/>
        <v>0</v>
      </c>
      <c r="CIU26">
        <f t="shared" si="1618"/>
        <v>0</v>
      </c>
      <c r="CIV26">
        <f t="shared" si="1619"/>
        <v>0</v>
      </c>
      <c r="CIW26">
        <f t="shared" si="1620"/>
        <v>0</v>
      </c>
      <c r="CIX26">
        <f t="shared" si="1621"/>
        <v>0</v>
      </c>
      <c r="CIY26">
        <f t="shared" si="1622"/>
        <v>0</v>
      </c>
      <c r="CIZ26">
        <f t="shared" si="1623"/>
        <v>0</v>
      </c>
      <c r="CJA26">
        <f t="shared" si="1624"/>
        <v>0</v>
      </c>
      <c r="CJB26">
        <f t="shared" si="1625"/>
        <v>0</v>
      </c>
      <c r="CJC26">
        <f t="shared" si="1626"/>
        <v>0</v>
      </c>
      <c r="CJD26">
        <f t="shared" si="1627"/>
        <v>0</v>
      </c>
      <c r="CJE26">
        <f t="shared" si="1628"/>
        <v>0</v>
      </c>
      <c r="CJF26">
        <f t="shared" si="1629"/>
        <v>0</v>
      </c>
      <c r="CJG26">
        <f t="shared" si="1630"/>
        <v>0</v>
      </c>
      <c r="CJH26">
        <f t="shared" si="1631"/>
        <v>0</v>
      </c>
      <c r="CJI26">
        <f t="shared" si="1632"/>
        <v>0</v>
      </c>
      <c r="CJJ26">
        <f t="shared" si="1633"/>
        <v>0</v>
      </c>
      <c r="CJK26">
        <f t="shared" si="1634"/>
        <v>0</v>
      </c>
      <c r="CJL26">
        <f t="shared" si="1635"/>
        <v>0</v>
      </c>
      <c r="CJM26">
        <f t="shared" si="1636"/>
        <v>0</v>
      </c>
      <c r="CJN26">
        <f t="shared" si="1637"/>
        <v>0</v>
      </c>
      <c r="CJO26">
        <f t="shared" si="1638"/>
        <v>0</v>
      </c>
      <c r="CJP26">
        <f t="shared" si="1639"/>
        <v>0</v>
      </c>
      <c r="CJQ26">
        <f t="shared" si="1640"/>
        <v>0</v>
      </c>
      <c r="CJR26">
        <f t="shared" si="58"/>
        <v>0</v>
      </c>
      <c r="CJS26">
        <f t="shared" si="1641"/>
        <v>0</v>
      </c>
      <c r="CJT26">
        <f t="shared" si="1642"/>
        <v>0</v>
      </c>
      <c r="CJU26">
        <f t="shared" si="1643"/>
        <v>0</v>
      </c>
      <c r="CJV26">
        <f t="shared" si="1644"/>
        <v>0</v>
      </c>
      <c r="CJW26">
        <f t="shared" si="1645"/>
        <v>0</v>
      </c>
      <c r="CJX26">
        <f t="shared" si="1646"/>
        <v>0</v>
      </c>
      <c r="CJY26">
        <f t="shared" si="1647"/>
        <v>0</v>
      </c>
      <c r="CJZ26">
        <f t="shared" si="1648"/>
        <v>0</v>
      </c>
      <c r="CKA26">
        <f t="shared" si="1649"/>
        <v>0</v>
      </c>
      <c r="CKB26">
        <f t="shared" si="1650"/>
        <v>0</v>
      </c>
      <c r="CKC26">
        <f t="shared" si="1651"/>
        <v>0</v>
      </c>
      <c r="CKD26">
        <f t="shared" si="1652"/>
        <v>0</v>
      </c>
      <c r="CKE26">
        <f t="shared" si="1653"/>
        <v>0</v>
      </c>
      <c r="CKF26">
        <f t="shared" si="1654"/>
        <v>0</v>
      </c>
      <c r="CKG26">
        <f t="shared" si="1655"/>
        <v>0</v>
      </c>
      <c r="CKH26">
        <f t="shared" si="1656"/>
        <v>0</v>
      </c>
      <c r="CKI26">
        <f t="shared" si="1657"/>
        <v>0</v>
      </c>
      <c r="CKJ26">
        <f t="shared" si="1658"/>
        <v>0</v>
      </c>
      <c r="CKK26">
        <f t="shared" si="1659"/>
        <v>0</v>
      </c>
      <c r="CKL26">
        <f t="shared" si="1660"/>
        <v>0</v>
      </c>
      <c r="CKM26">
        <f t="shared" si="1661"/>
        <v>0</v>
      </c>
      <c r="CKN26">
        <f t="shared" si="1662"/>
        <v>0</v>
      </c>
      <c r="CKO26">
        <f t="shared" si="1663"/>
        <v>0</v>
      </c>
      <c r="CKP26">
        <f t="shared" si="1664"/>
        <v>0</v>
      </c>
      <c r="CKQ26">
        <f t="shared" si="1665"/>
        <v>0</v>
      </c>
      <c r="CKR26">
        <f t="shared" si="1666"/>
        <v>0</v>
      </c>
      <c r="CKS26">
        <f t="shared" si="1667"/>
        <v>0</v>
      </c>
      <c r="CKT26">
        <f t="shared" si="1668"/>
        <v>0</v>
      </c>
      <c r="CKU26">
        <f t="shared" si="1669"/>
        <v>0</v>
      </c>
      <c r="CKV26">
        <f t="shared" si="1670"/>
        <v>0</v>
      </c>
      <c r="CKW26">
        <f t="shared" si="1671"/>
        <v>0</v>
      </c>
      <c r="CKX26">
        <f t="shared" si="1672"/>
        <v>0</v>
      </c>
      <c r="CKY26">
        <f t="shared" si="1673"/>
        <v>0</v>
      </c>
      <c r="CKZ26">
        <f t="shared" si="1674"/>
        <v>0</v>
      </c>
      <c r="CLA26">
        <f t="shared" si="1675"/>
        <v>0</v>
      </c>
      <c r="CLB26">
        <f t="shared" si="1676"/>
        <v>0</v>
      </c>
      <c r="CLC26">
        <f t="shared" si="1677"/>
        <v>0</v>
      </c>
      <c r="CLD26">
        <f t="shared" si="1678"/>
        <v>0</v>
      </c>
      <c r="CLE26">
        <f t="shared" si="1679"/>
        <v>0</v>
      </c>
      <c r="CLF26">
        <f t="shared" si="1680"/>
        <v>0</v>
      </c>
      <c r="CLG26">
        <f t="shared" si="1681"/>
        <v>0</v>
      </c>
      <c r="CLH26">
        <f t="shared" si="1682"/>
        <v>0</v>
      </c>
      <c r="CLI26">
        <f t="shared" si="1683"/>
        <v>0</v>
      </c>
      <c r="CLJ26">
        <f t="shared" si="1684"/>
        <v>0</v>
      </c>
      <c r="CLK26">
        <f t="shared" si="1685"/>
        <v>0</v>
      </c>
      <c r="CLL26">
        <f t="shared" si="1686"/>
        <v>0</v>
      </c>
      <c r="CLM26">
        <f t="shared" si="1687"/>
        <v>0</v>
      </c>
      <c r="CLN26">
        <f t="shared" si="1688"/>
        <v>0</v>
      </c>
      <c r="CLO26">
        <f t="shared" si="1689"/>
        <v>0</v>
      </c>
      <c r="CLP26">
        <f t="shared" si="1690"/>
        <v>0</v>
      </c>
      <c r="CLQ26">
        <f t="shared" si="1691"/>
        <v>0</v>
      </c>
      <c r="CLR26">
        <f t="shared" si="1692"/>
        <v>0</v>
      </c>
      <c r="CLS26">
        <f t="shared" si="1693"/>
        <v>0</v>
      </c>
      <c r="CLT26">
        <f t="shared" si="1694"/>
        <v>0</v>
      </c>
      <c r="CLU26">
        <f t="shared" si="1695"/>
        <v>0</v>
      </c>
      <c r="CLV26">
        <f t="shared" si="1696"/>
        <v>0</v>
      </c>
      <c r="CLW26">
        <f t="shared" si="1697"/>
        <v>0</v>
      </c>
      <c r="CLX26">
        <f t="shared" si="1698"/>
        <v>0</v>
      </c>
      <c r="CLY26">
        <f t="shared" si="1699"/>
        <v>0</v>
      </c>
      <c r="CLZ26">
        <f t="shared" si="1700"/>
        <v>0</v>
      </c>
      <c r="CMA26">
        <f t="shared" si="1701"/>
        <v>0</v>
      </c>
      <c r="CMB26">
        <f t="shared" si="1702"/>
        <v>0</v>
      </c>
      <c r="CMC26">
        <f t="shared" si="1703"/>
        <v>0</v>
      </c>
      <c r="CMD26">
        <f t="shared" si="59"/>
        <v>0</v>
      </c>
      <c r="CME26">
        <f t="shared" si="1704"/>
        <v>0</v>
      </c>
      <c r="CMF26">
        <f t="shared" si="1705"/>
        <v>0</v>
      </c>
      <c r="CMG26">
        <f t="shared" si="1706"/>
        <v>0</v>
      </c>
      <c r="CMH26">
        <f t="shared" si="1707"/>
        <v>0</v>
      </c>
      <c r="CMI26">
        <f t="shared" si="1708"/>
        <v>0</v>
      </c>
      <c r="CMJ26">
        <f t="shared" si="1709"/>
        <v>0</v>
      </c>
      <c r="CMK26">
        <f t="shared" si="1710"/>
        <v>0</v>
      </c>
      <c r="CML26">
        <f t="shared" si="1711"/>
        <v>0</v>
      </c>
      <c r="CMM26">
        <f t="shared" si="1712"/>
        <v>0</v>
      </c>
      <c r="CMN26">
        <f t="shared" si="1713"/>
        <v>0</v>
      </c>
      <c r="CMO26">
        <f t="shared" si="1714"/>
        <v>0</v>
      </c>
      <c r="CMP26">
        <f t="shared" si="1715"/>
        <v>0</v>
      </c>
      <c r="CMQ26">
        <f t="shared" si="1716"/>
        <v>0</v>
      </c>
      <c r="CMR26">
        <f t="shared" si="1717"/>
        <v>0</v>
      </c>
      <c r="CMS26">
        <f t="shared" si="1718"/>
        <v>0</v>
      </c>
      <c r="CMT26">
        <f t="shared" si="1719"/>
        <v>0</v>
      </c>
      <c r="CMU26">
        <f t="shared" si="1720"/>
        <v>0</v>
      </c>
      <c r="CMV26">
        <f t="shared" si="1721"/>
        <v>0</v>
      </c>
      <c r="CMW26">
        <f t="shared" si="1722"/>
        <v>0</v>
      </c>
      <c r="CMX26">
        <f t="shared" si="1723"/>
        <v>0</v>
      </c>
      <c r="CMY26">
        <f t="shared" si="1724"/>
        <v>0</v>
      </c>
      <c r="CMZ26">
        <f t="shared" si="1725"/>
        <v>0</v>
      </c>
      <c r="CNA26">
        <f t="shared" si="1726"/>
        <v>0</v>
      </c>
      <c r="CNB26">
        <f t="shared" si="1727"/>
        <v>0</v>
      </c>
      <c r="CNC26">
        <f t="shared" si="1728"/>
        <v>0</v>
      </c>
      <c r="CND26">
        <f t="shared" si="1729"/>
        <v>0</v>
      </c>
      <c r="CNE26">
        <f t="shared" si="1730"/>
        <v>0</v>
      </c>
      <c r="CNF26">
        <f t="shared" si="1731"/>
        <v>0</v>
      </c>
      <c r="CNG26">
        <f t="shared" si="1732"/>
        <v>0</v>
      </c>
      <c r="CNH26">
        <f t="shared" si="1733"/>
        <v>0</v>
      </c>
      <c r="CNI26">
        <f t="shared" si="1734"/>
        <v>0</v>
      </c>
      <c r="CNJ26">
        <f t="shared" si="1735"/>
        <v>0</v>
      </c>
      <c r="CNK26">
        <f t="shared" si="1736"/>
        <v>0</v>
      </c>
      <c r="CNL26">
        <f t="shared" si="1737"/>
        <v>0</v>
      </c>
      <c r="CNM26">
        <f t="shared" si="1738"/>
        <v>0</v>
      </c>
      <c r="CNN26">
        <f t="shared" si="1739"/>
        <v>0</v>
      </c>
      <c r="CNO26">
        <f t="shared" si="1740"/>
        <v>0</v>
      </c>
      <c r="CNP26">
        <f t="shared" si="1741"/>
        <v>0</v>
      </c>
      <c r="CNQ26">
        <f t="shared" si="1742"/>
        <v>0</v>
      </c>
      <c r="CNR26">
        <f t="shared" si="1743"/>
        <v>0</v>
      </c>
      <c r="CNS26">
        <f t="shared" si="1744"/>
        <v>0</v>
      </c>
      <c r="CNT26">
        <f t="shared" si="1745"/>
        <v>0</v>
      </c>
      <c r="CNU26">
        <f t="shared" si="1746"/>
        <v>0</v>
      </c>
      <c r="CNV26">
        <f t="shared" si="1747"/>
        <v>0</v>
      </c>
      <c r="CNW26">
        <f t="shared" si="1748"/>
        <v>0</v>
      </c>
      <c r="CNX26">
        <f t="shared" si="1749"/>
        <v>0</v>
      </c>
      <c r="CNY26">
        <f t="shared" si="1750"/>
        <v>0</v>
      </c>
      <c r="CNZ26">
        <f t="shared" si="1751"/>
        <v>0</v>
      </c>
      <c r="COA26">
        <f t="shared" si="1752"/>
        <v>0</v>
      </c>
      <c r="COB26">
        <f t="shared" si="1753"/>
        <v>0</v>
      </c>
      <c r="COC26">
        <f t="shared" si="1754"/>
        <v>0</v>
      </c>
      <c r="COD26">
        <f t="shared" si="1755"/>
        <v>0</v>
      </c>
      <c r="COE26">
        <f t="shared" si="1756"/>
        <v>0</v>
      </c>
      <c r="COF26">
        <f t="shared" si="1757"/>
        <v>0</v>
      </c>
      <c r="COG26">
        <f t="shared" si="1758"/>
        <v>0</v>
      </c>
      <c r="COH26">
        <f t="shared" si="1759"/>
        <v>0</v>
      </c>
      <c r="COI26">
        <f t="shared" si="1760"/>
        <v>0</v>
      </c>
      <c r="COJ26">
        <f t="shared" si="1761"/>
        <v>0</v>
      </c>
      <c r="COK26">
        <f t="shared" si="1762"/>
        <v>0</v>
      </c>
      <c r="COL26">
        <f t="shared" si="1763"/>
        <v>0</v>
      </c>
      <c r="COM26">
        <f t="shared" si="1764"/>
        <v>0</v>
      </c>
      <c r="CON26">
        <f t="shared" si="1765"/>
        <v>0</v>
      </c>
      <c r="COO26">
        <f t="shared" si="1766"/>
        <v>0</v>
      </c>
      <c r="COP26">
        <f t="shared" si="60"/>
        <v>0</v>
      </c>
      <c r="COQ26">
        <f t="shared" si="1767"/>
        <v>0</v>
      </c>
      <c r="COR26">
        <f t="shared" si="1768"/>
        <v>0</v>
      </c>
      <c r="COS26">
        <f t="shared" si="1769"/>
        <v>0</v>
      </c>
      <c r="COT26">
        <f t="shared" si="1770"/>
        <v>0</v>
      </c>
      <c r="COU26">
        <f t="shared" si="1771"/>
        <v>0</v>
      </c>
      <c r="COV26">
        <f t="shared" si="1772"/>
        <v>0</v>
      </c>
      <c r="COW26">
        <f t="shared" si="1773"/>
        <v>0</v>
      </c>
      <c r="COX26">
        <f t="shared" si="1774"/>
        <v>0</v>
      </c>
      <c r="COY26">
        <f t="shared" si="1775"/>
        <v>0</v>
      </c>
      <c r="COZ26">
        <f t="shared" si="1776"/>
        <v>0</v>
      </c>
      <c r="CPA26">
        <f t="shared" si="1777"/>
        <v>0</v>
      </c>
      <c r="CPB26">
        <f t="shared" si="1778"/>
        <v>0</v>
      </c>
      <c r="CPC26">
        <f t="shared" si="1779"/>
        <v>0</v>
      </c>
      <c r="CPD26">
        <f t="shared" si="1780"/>
        <v>0</v>
      </c>
      <c r="CPE26">
        <f t="shared" si="1781"/>
        <v>0</v>
      </c>
      <c r="CPF26">
        <f t="shared" si="1782"/>
        <v>0</v>
      </c>
      <c r="CPG26">
        <f t="shared" si="1783"/>
        <v>0</v>
      </c>
      <c r="CPH26">
        <f t="shared" si="1784"/>
        <v>0</v>
      </c>
      <c r="CPI26">
        <f t="shared" si="1785"/>
        <v>0</v>
      </c>
      <c r="CPJ26">
        <f t="shared" si="1786"/>
        <v>0</v>
      </c>
      <c r="CPK26">
        <f t="shared" si="1787"/>
        <v>0</v>
      </c>
      <c r="CPL26">
        <f t="shared" si="1788"/>
        <v>0</v>
      </c>
      <c r="CPM26">
        <f t="shared" si="1789"/>
        <v>0</v>
      </c>
      <c r="CPN26">
        <f t="shared" si="1790"/>
        <v>0</v>
      </c>
      <c r="CPO26">
        <f t="shared" si="1791"/>
        <v>0</v>
      </c>
      <c r="CPP26">
        <f t="shared" si="1792"/>
        <v>0</v>
      </c>
      <c r="CPQ26">
        <f t="shared" si="1793"/>
        <v>0</v>
      </c>
      <c r="CPR26">
        <f t="shared" si="1794"/>
        <v>0</v>
      </c>
      <c r="CPS26">
        <f t="shared" si="1795"/>
        <v>0</v>
      </c>
      <c r="CPT26">
        <f t="shared" si="1796"/>
        <v>0</v>
      </c>
      <c r="CPU26">
        <f t="shared" si="1797"/>
        <v>0</v>
      </c>
      <c r="CPV26">
        <f t="shared" si="1798"/>
        <v>0</v>
      </c>
      <c r="CPW26">
        <f t="shared" si="1799"/>
        <v>0</v>
      </c>
      <c r="CPX26">
        <f t="shared" si="1800"/>
        <v>0</v>
      </c>
      <c r="CPY26">
        <f t="shared" si="1801"/>
        <v>0</v>
      </c>
      <c r="CPZ26">
        <f t="shared" si="1802"/>
        <v>0</v>
      </c>
      <c r="CQA26">
        <f t="shared" si="1803"/>
        <v>0</v>
      </c>
      <c r="CQB26">
        <f t="shared" si="1804"/>
        <v>0</v>
      </c>
      <c r="CQC26">
        <f t="shared" si="1805"/>
        <v>0</v>
      </c>
      <c r="CQD26">
        <f t="shared" si="1806"/>
        <v>0</v>
      </c>
      <c r="CQE26">
        <f t="shared" si="1807"/>
        <v>0</v>
      </c>
      <c r="CQF26">
        <f t="shared" si="1808"/>
        <v>0</v>
      </c>
      <c r="CQG26">
        <f t="shared" si="1809"/>
        <v>0</v>
      </c>
      <c r="CQH26">
        <f t="shared" si="1810"/>
        <v>0</v>
      </c>
      <c r="CQI26">
        <f t="shared" si="1811"/>
        <v>0</v>
      </c>
      <c r="CQJ26">
        <f t="shared" si="1812"/>
        <v>0</v>
      </c>
      <c r="CQK26">
        <f t="shared" si="1813"/>
        <v>0</v>
      </c>
      <c r="CQL26">
        <f t="shared" si="1814"/>
        <v>0</v>
      </c>
      <c r="CQM26">
        <f t="shared" si="1815"/>
        <v>0</v>
      </c>
      <c r="CQN26">
        <f t="shared" si="1816"/>
        <v>0</v>
      </c>
      <c r="CQO26">
        <f t="shared" si="1817"/>
        <v>0</v>
      </c>
      <c r="CQP26">
        <f t="shared" si="1818"/>
        <v>0</v>
      </c>
      <c r="CQQ26">
        <f t="shared" si="1819"/>
        <v>0</v>
      </c>
      <c r="CQR26">
        <f t="shared" si="1820"/>
        <v>0</v>
      </c>
      <c r="CQS26">
        <f t="shared" si="1821"/>
        <v>0</v>
      </c>
      <c r="CQT26">
        <f t="shared" si="1822"/>
        <v>0</v>
      </c>
      <c r="CQU26">
        <f t="shared" si="1823"/>
        <v>0</v>
      </c>
      <c r="CQV26">
        <f t="shared" si="1824"/>
        <v>0</v>
      </c>
      <c r="CQW26">
        <f t="shared" si="1825"/>
        <v>0</v>
      </c>
      <c r="CQX26">
        <f t="shared" si="1826"/>
        <v>0</v>
      </c>
      <c r="CQY26">
        <f t="shared" si="1827"/>
        <v>0</v>
      </c>
      <c r="CQZ26">
        <f t="shared" si="1828"/>
        <v>0</v>
      </c>
      <c r="CRA26">
        <f t="shared" si="1829"/>
        <v>0</v>
      </c>
      <c r="CRB26">
        <f t="shared" si="61"/>
        <v>0</v>
      </c>
      <c r="CRC26">
        <f t="shared" si="1830"/>
        <v>0</v>
      </c>
      <c r="CRD26">
        <f t="shared" si="1831"/>
        <v>0</v>
      </c>
      <c r="CRE26">
        <f t="shared" si="1832"/>
        <v>0</v>
      </c>
      <c r="CRF26">
        <f t="shared" si="1833"/>
        <v>0</v>
      </c>
      <c r="CRG26">
        <f t="shared" si="1834"/>
        <v>0</v>
      </c>
      <c r="CRH26">
        <f t="shared" si="1835"/>
        <v>0</v>
      </c>
      <c r="CRI26">
        <f t="shared" si="1836"/>
        <v>0</v>
      </c>
      <c r="CRJ26">
        <f t="shared" si="1837"/>
        <v>0</v>
      </c>
      <c r="CRK26">
        <f t="shared" si="1838"/>
        <v>0</v>
      </c>
      <c r="CRL26">
        <f t="shared" si="1839"/>
        <v>0</v>
      </c>
      <c r="CRM26">
        <f t="shared" si="1840"/>
        <v>0</v>
      </c>
      <c r="CRN26">
        <f t="shared" si="1841"/>
        <v>0</v>
      </c>
      <c r="CRO26">
        <f t="shared" si="1842"/>
        <v>0</v>
      </c>
      <c r="CRP26">
        <f t="shared" si="1843"/>
        <v>0</v>
      </c>
      <c r="CRQ26">
        <f t="shared" si="1844"/>
        <v>0</v>
      </c>
      <c r="CRR26">
        <f t="shared" si="1845"/>
        <v>0</v>
      </c>
      <c r="CRS26">
        <f t="shared" si="1846"/>
        <v>0</v>
      </c>
      <c r="CRT26">
        <f t="shared" si="1847"/>
        <v>0</v>
      </c>
      <c r="CRU26">
        <f t="shared" si="1848"/>
        <v>0</v>
      </c>
      <c r="CRV26">
        <f t="shared" si="1849"/>
        <v>0</v>
      </c>
      <c r="CRW26">
        <f t="shared" si="1850"/>
        <v>0</v>
      </c>
      <c r="CRX26">
        <f t="shared" si="1851"/>
        <v>0</v>
      </c>
      <c r="CRY26">
        <f t="shared" si="1852"/>
        <v>0</v>
      </c>
      <c r="CRZ26">
        <f t="shared" si="1853"/>
        <v>0</v>
      </c>
      <c r="CSA26">
        <f t="shared" si="1854"/>
        <v>0</v>
      </c>
      <c r="CSB26">
        <f t="shared" si="1855"/>
        <v>0</v>
      </c>
      <c r="CSC26">
        <f t="shared" si="1856"/>
        <v>0</v>
      </c>
      <c r="CSD26">
        <f t="shared" si="1857"/>
        <v>0</v>
      </c>
      <c r="CSE26">
        <f t="shared" si="1858"/>
        <v>0</v>
      </c>
      <c r="CSF26">
        <f t="shared" si="1859"/>
        <v>0</v>
      </c>
      <c r="CSG26">
        <f t="shared" si="1860"/>
        <v>0</v>
      </c>
      <c r="CSH26">
        <f t="shared" si="1861"/>
        <v>0</v>
      </c>
      <c r="CSI26">
        <f t="shared" si="1862"/>
        <v>0</v>
      </c>
      <c r="CSJ26">
        <f t="shared" si="1863"/>
        <v>0</v>
      </c>
      <c r="CSK26">
        <f t="shared" si="1864"/>
        <v>0</v>
      </c>
      <c r="CSL26">
        <f t="shared" si="1865"/>
        <v>0</v>
      </c>
      <c r="CSM26">
        <f t="shared" si="1866"/>
        <v>0</v>
      </c>
      <c r="CSN26">
        <f t="shared" si="1867"/>
        <v>0</v>
      </c>
      <c r="CSO26">
        <f t="shared" si="1868"/>
        <v>0</v>
      </c>
      <c r="CSP26">
        <f t="shared" si="1869"/>
        <v>0</v>
      </c>
      <c r="CSQ26">
        <f t="shared" si="1870"/>
        <v>0</v>
      </c>
      <c r="CSR26">
        <f t="shared" si="1871"/>
        <v>0</v>
      </c>
      <c r="CSS26">
        <f t="shared" si="1872"/>
        <v>0</v>
      </c>
      <c r="CST26">
        <f t="shared" si="1873"/>
        <v>0</v>
      </c>
      <c r="CSU26">
        <f t="shared" si="1874"/>
        <v>0</v>
      </c>
      <c r="CSV26">
        <f t="shared" si="1875"/>
        <v>0</v>
      </c>
      <c r="CSW26">
        <f t="shared" si="1876"/>
        <v>0</v>
      </c>
      <c r="CSX26">
        <f t="shared" si="1877"/>
        <v>0</v>
      </c>
      <c r="CSY26">
        <f t="shared" si="1878"/>
        <v>0</v>
      </c>
      <c r="CSZ26">
        <f t="shared" si="1879"/>
        <v>0</v>
      </c>
      <c r="CTA26">
        <f t="shared" si="1880"/>
        <v>0</v>
      </c>
      <c r="CTB26">
        <f t="shared" si="1881"/>
        <v>0</v>
      </c>
      <c r="CTC26">
        <f t="shared" si="1882"/>
        <v>0</v>
      </c>
      <c r="CTD26">
        <f t="shared" si="1883"/>
        <v>0</v>
      </c>
      <c r="CTE26">
        <f t="shared" si="1884"/>
        <v>0</v>
      </c>
      <c r="CTF26">
        <f t="shared" si="1885"/>
        <v>0</v>
      </c>
      <c r="CTG26">
        <f t="shared" si="1886"/>
        <v>0</v>
      </c>
      <c r="CTH26">
        <f t="shared" si="1887"/>
        <v>0</v>
      </c>
      <c r="CTI26">
        <f t="shared" si="1888"/>
        <v>0</v>
      </c>
      <c r="CTJ26">
        <f t="shared" si="1889"/>
        <v>0</v>
      </c>
      <c r="CTK26">
        <f t="shared" si="1890"/>
        <v>0</v>
      </c>
      <c r="CTL26">
        <f t="shared" si="1891"/>
        <v>0</v>
      </c>
      <c r="CTM26">
        <f t="shared" si="1892"/>
        <v>0</v>
      </c>
      <c r="CTN26">
        <f t="shared" si="62"/>
        <v>0</v>
      </c>
      <c r="CTO26">
        <f t="shared" si="1893"/>
        <v>0</v>
      </c>
      <c r="CTP26">
        <f t="shared" si="1894"/>
        <v>0</v>
      </c>
      <c r="CTQ26">
        <f t="shared" si="1895"/>
        <v>0</v>
      </c>
      <c r="CTR26">
        <f t="shared" si="1896"/>
        <v>0</v>
      </c>
      <c r="CTS26">
        <f t="shared" si="1897"/>
        <v>0</v>
      </c>
      <c r="CTT26">
        <f t="shared" si="1898"/>
        <v>0</v>
      </c>
      <c r="CTU26">
        <f t="shared" si="1899"/>
        <v>0</v>
      </c>
      <c r="CTV26">
        <f t="shared" si="1900"/>
        <v>0</v>
      </c>
      <c r="CTW26">
        <f t="shared" si="1901"/>
        <v>0</v>
      </c>
      <c r="CTX26">
        <f t="shared" si="1902"/>
        <v>0</v>
      </c>
      <c r="CTY26">
        <f t="shared" si="1903"/>
        <v>0</v>
      </c>
      <c r="CTZ26">
        <f t="shared" si="1904"/>
        <v>0</v>
      </c>
      <c r="CUA26">
        <f t="shared" si="1905"/>
        <v>0</v>
      </c>
      <c r="CUB26">
        <f t="shared" si="1906"/>
        <v>0</v>
      </c>
      <c r="CUC26">
        <f t="shared" si="1907"/>
        <v>0</v>
      </c>
      <c r="CUD26">
        <f t="shared" si="1908"/>
        <v>0</v>
      </c>
      <c r="CUE26">
        <f t="shared" si="1909"/>
        <v>0</v>
      </c>
      <c r="CUF26">
        <f t="shared" si="1910"/>
        <v>0</v>
      </c>
      <c r="CUG26">
        <f t="shared" si="1911"/>
        <v>0</v>
      </c>
      <c r="CUH26">
        <f t="shared" si="1912"/>
        <v>0</v>
      </c>
      <c r="CUI26">
        <f t="shared" si="1913"/>
        <v>0</v>
      </c>
      <c r="CUJ26">
        <f t="shared" si="1914"/>
        <v>0</v>
      </c>
      <c r="CUK26">
        <f t="shared" si="1915"/>
        <v>0</v>
      </c>
      <c r="CUL26">
        <f t="shared" si="1916"/>
        <v>0</v>
      </c>
      <c r="CUM26">
        <f t="shared" si="1917"/>
        <v>0</v>
      </c>
      <c r="CUN26">
        <f t="shared" si="1918"/>
        <v>0</v>
      </c>
      <c r="CUO26">
        <f t="shared" si="1919"/>
        <v>0</v>
      </c>
      <c r="CUP26">
        <f t="shared" si="1920"/>
        <v>0</v>
      </c>
      <c r="CUQ26">
        <f t="shared" si="1921"/>
        <v>0</v>
      </c>
      <c r="CUR26">
        <f t="shared" si="1922"/>
        <v>0</v>
      </c>
      <c r="CUS26">
        <f t="shared" si="1923"/>
        <v>0</v>
      </c>
      <c r="CUT26">
        <f t="shared" si="1924"/>
        <v>0</v>
      </c>
      <c r="CUU26">
        <f t="shared" si="1925"/>
        <v>0</v>
      </c>
      <c r="CUV26">
        <f t="shared" si="1926"/>
        <v>0</v>
      </c>
      <c r="CUW26">
        <f t="shared" si="1927"/>
        <v>0</v>
      </c>
      <c r="CUX26">
        <f t="shared" si="1928"/>
        <v>0</v>
      </c>
      <c r="CUY26">
        <f t="shared" si="1929"/>
        <v>0</v>
      </c>
      <c r="CUZ26">
        <f t="shared" si="1930"/>
        <v>0</v>
      </c>
      <c r="CVA26">
        <f t="shared" si="1931"/>
        <v>0</v>
      </c>
      <c r="CVB26">
        <f t="shared" si="1932"/>
        <v>0</v>
      </c>
      <c r="CVC26">
        <f t="shared" si="1933"/>
        <v>0</v>
      </c>
      <c r="CVD26">
        <f t="shared" si="1934"/>
        <v>0</v>
      </c>
      <c r="CVE26">
        <f t="shared" si="1935"/>
        <v>0</v>
      </c>
      <c r="CVF26">
        <f t="shared" si="1936"/>
        <v>0</v>
      </c>
      <c r="CVG26">
        <f t="shared" si="1937"/>
        <v>0</v>
      </c>
      <c r="CVH26">
        <f t="shared" si="1938"/>
        <v>0</v>
      </c>
      <c r="CVI26">
        <f t="shared" si="1939"/>
        <v>0</v>
      </c>
      <c r="CVJ26">
        <f t="shared" si="1940"/>
        <v>0</v>
      </c>
      <c r="CVK26">
        <f t="shared" si="1941"/>
        <v>0</v>
      </c>
      <c r="CVL26">
        <f t="shared" si="1942"/>
        <v>0</v>
      </c>
      <c r="CVM26">
        <f t="shared" si="1943"/>
        <v>0</v>
      </c>
      <c r="CVN26">
        <f t="shared" si="1944"/>
        <v>0</v>
      </c>
      <c r="CVO26">
        <f t="shared" si="1945"/>
        <v>0</v>
      </c>
      <c r="CVP26">
        <f t="shared" si="1946"/>
        <v>0</v>
      </c>
      <c r="CVQ26">
        <f t="shared" si="1947"/>
        <v>0</v>
      </c>
      <c r="CVR26">
        <f t="shared" si="1948"/>
        <v>0</v>
      </c>
      <c r="CVS26">
        <f t="shared" si="1949"/>
        <v>0</v>
      </c>
      <c r="CVT26">
        <f t="shared" si="1950"/>
        <v>0</v>
      </c>
      <c r="CVU26">
        <f t="shared" si="1951"/>
        <v>0</v>
      </c>
      <c r="CVV26">
        <f t="shared" si="1952"/>
        <v>0</v>
      </c>
      <c r="CVW26">
        <f t="shared" si="1953"/>
        <v>0</v>
      </c>
      <c r="CVX26">
        <f t="shared" si="1954"/>
        <v>0</v>
      </c>
      <c r="CVY26">
        <f t="shared" si="1955"/>
        <v>0</v>
      </c>
      <c r="CVZ26">
        <f t="shared" si="63"/>
        <v>0</v>
      </c>
      <c r="CWA26">
        <f t="shared" si="1956"/>
        <v>0</v>
      </c>
      <c r="CWB26">
        <f t="shared" si="1957"/>
        <v>0</v>
      </c>
      <c r="CWC26">
        <f t="shared" si="1958"/>
        <v>0</v>
      </c>
      <c r="CWD26">
        <f t="shared" si="1959"/>
        <v>0</v>
      </c>
      <c r="CWE26">
        <f t="shared" si="1960"/>
        <v>0</v>
      </c>
      <c r="CWF26">
        <f t="shared" si="1961"/>
        <v>0</v>
      </c>
      <c r="CWG26">
        <f t="shared" si="1962"/>
        <v>0</v>
      </c>
      <c r="CWH26">
        <f t="shared" si="1963"/>
        <v>0</v>
      </c>
      <c r="CWI26">
        <f t="shared" si="1964"/>
        <v>0</v>
      </c>
      <c r="CWJ26">
        <f t="shared" si="1965"/>
        <v>0</v>
      </c>
      <c r="CWK26">
        <f t="shared" si="1966"/>
        <v>0</v>
      </c>
      <c r="CWL26">
        <f t="shared" si="1967"/>
        <v>0</v>
      </c>
      <c r="CWM26">
        <f t="shared" si="1968"/>
        <v>0</v>
      </c>
      <c r="CWN26">
        <f t="shared" si="1969"/>
        <v>0</v>
      </c>
      <c r="CWO26">
        <f t="shared" si="1970"/>
        <v>0</v>
      </c>
      <c r="CWP26">
        <f t="shared" si="1971"/>
        <v>0</v>
      </c>
      <c r="CWQ26">
        <f t="shared" si="1972"/>
        <v>0</v>
      </c>
      <c r="CWR26">
        <f t="shared" si="1973"/>
        <v>0</v>
      </c>
      <c r="CWS26">
        <f t="shared" si="1974"/>
        <v>0</v>
      </c>
      <c r="CWT26">
        <f t="shared" si="1975"/>
        <v>0</v>
      </c>
      <c r="CWU26">
        <f t="shared" si="1976"/>
        <v>0</v>
      </c>
      <c r="CWV26">
        <f t="shared" si="1977"/>
        <v>0</v>
      </c>
      <c r="CWW26">
        <f t="shared" si="1978"/>
        <v>0</v>
      </c>
      <c r="CWX26">
        <f t="shared" si="1979"/>
        <v>0</v>
      </c>
      <c r="CWY26">
        <f t="shared" si="1980"/>
        <v>0</v>
      </c>
      <c r="CWZ26">
        <f t="shared" si="1981"/>
        <v>0</v>
      </c>
      <c r="CXA26">
        <f t="shared" si="1982"/>
        <v>0</v>
      </c>
      <c r="CXB26">
        <f t="shared" si="1983"/>
        <v>0</v>
      </c>
      <c r="CXC26">
        <f t="shared" si="1984"/>
        <v>0</v>
      </c>
      <c r="CXD26">
        <f t="shared" si="1985"/>
        <v>0</v>
      </c>
      <c r="CXE26">
        <f t="shared" si="1986"/>
        <v>0</v>
      </c>
      <c r="CXF26">
        <f t="shared" si="1987"/>
        <v>0</v>
      </c>
      <c r="CXG26">
        <f t="shared" si="1988"/>
        <v>0</v>
      </c>
      <c r="CXH26">
        <f t="shared" si="1989"/>
        <v>0</v>
      </c>
      <c r="CXI26">
        <f t="shared" si="1990"/>
        <v>0</v>
      </c>
      <c r="CXJ26">
        <f t="shared" si="1991"/>
        <v>0</v>
      </c>
      <c r="CXK26">
        <f t="shared" si="1992"/>
        <v>0</v>
      </c>
      <c r="CXL26">
        <f t="shared" si="1993"/>
        <v>0</v>
      </c>
      <c r="CXM26">
        <f t="shared" si="1994"/>
        <v>0</v>
      </c>
      <c r="CXN26">
        <f t="shared" si="1995"/>
        <v>0</v>
      </c>
      <c r="CXO26">
        <f t="shared" si="1996"/>
        <v>0</v>
      </c>
      <c r="CXP26">
        <f t="shared" si="1997"/>
        <v>0</v>
      </c>
      <c r="CXQ26">
        <f t="shared" si="1998"/>
        <v>0</v>
      </c>
      <c r="CXR26">
        <f t="shared" si="1999"/>
        <v>0</v>
      </c>
      <c r="CXS26">
        <f t="shared" si="2000"/>
        <v>0</v>
      </c>
      <c r="CXT26">
        <f t="shared" si="2001"/>
        <v>0</v>
      </c>
      <c r="CXU26">
        <f t="shared" si="2002"/>
        <v>0</v>
      </c>
      <c r="CXV26">
        <f t="shared" si="2003"/>
        <v>0</v>
      </c>
      <c r="CXW26">
        <f t="shared" si="2004"/>
        <v>0</v>
      </c>
      <c r="CXX26">
        <f t="shared" si="2005"/>
        <v>0</v>
      </c>
      <c r="CXY26">
        <f t="shared" si="2006"/>
        <v>0</v>
      </c>
      <c r="CXZ26">
        <f t="shared" si="2007"/>
        <v>0</v>
      </c>
      <c r="CYA26">
        <f t="shared" si="2008"/>
        <v>0</v>
      </c>
      <c r="CYB26">
        <f t="shared" si="2009"/>
        <v>0</v>
      </c>
      <c r="CYC26">
        <f t="shared" si="2010"/>
        <v>0</v>
      </c>
      <c r="CYD26">
        <f t="shared" si="2011"/>
        <v>0</v>
      </c>
      <c r="CYE26">
        <f t="shared" si="2012"/>
        <v>0</v>
      </c>
      <c r="CYF26">
        <f t="shared" si="2013"/>
        <v>0</v>
      </c>
      <c r="CYG26">
        <f t="shared" si="2014"/>
        <v>0</v>
      </c>
      <c r="CYH26">
        <f t="shared" si="2015"/>
        <v>0</v>
      </c>
      <c r="CYI26">
        <f t="shared" si="2016"/>
        <v>0</v>
      </c>
      <c r="CYJ26">
        <f t="shared" si="2017"/>
        <v>0</v>
      </c>
      <c r="CYK26">
        <f t="shared" si="2018"/>
        <v>0</v>
      </c>
      <c r="CYL26">
        <f t="shared" si="64"/>
        <v>0</v>
      </c>
      <c r="CYM26">
        <f t="shared" si="2019"/>
        <v>0</v>
      </c>
      <c r="CYN26">
        <f t="shared" si="2020"/>
        <v>0</v>
      </c>
      <c r="CYO26">
        <f t="shared" si="2021"/>
        <v>0</v>
      </c>
      <c r="CYP26">
        <f t="shared" si="2022"/>
        <v>0</v>
      </c>
      <c r="CYQ26">
        <f t="shared" si="2023"/>
        <v>0</v>
      </c>
      <c r="CYR26">
        <f t="shared" si="2024"/>
        <v>0</v>
      </c>
      <c r="CYS26">
        <f t="shared" si="2025"/>
        <v>0</v>
      </c>
      <c r="CYT26">
        <f t="shared" si="2026"/>
        <v>0</v>
      </c>
      <c r="CYU26">
        <f t="shared" si="2027"/>
        <v>0</v>
      </c>
      <c r="CYV26">
        <f t="shared" si="2028"/>
        <v>0</v>
      </c>
      <c r="CYW26">
        <f t="shared" si="2029"/>
        <v>0</v>
      </c>
      <c r="CYX26">
        <f t="shared" si="2030"/>
        <v>0</v>
      </c>
      <c r="CYY26">
        <f t="shared" si="2031"/>
        <v>0</v>
      </c>
      <c r="CYZ26">
        <f t="shared" si="2032"/>
        <v>0</v>
      </c>
      <c r="CZA26">
        <f t="shared" si="2033"/>
        <v>0</v>
      </c>
      <c r="CZB26">
        <f t="shared" si="2034"/>
        <v>0</v>
      </c>
      <c r="CZC26">
        <f t="shared" si="2035"/>
        <v>0</v>
      </c>
      <c r="CZD26">
        <f t="shared" si="2036"/>
        <v>0</v>
      </c>
      <c r="CZE26">
        <f t="shared" si="2037"/>
        <v>0</v>
      </c>
      <c r="CZF26">
        <f t="shared" si="2038"/>
        <v>0</v>
      </c>
      <c r="CZG26">
        <f t="shared" si="2039"/>
        <v>0</v>
      </c>
      <c r="CZH26">
        <f t="shared" si="2040"/>
        <v>0</v>
      </c>
      <c r="CZI26">
        <f t="shared" si="2041"/>
        <v>0</v>
      </c>
      <c r="CZJ26">
        <f t="shared" si="2042"/>
        <v>0</v>
      </c>
      <c r="CZK26">
        <f t="shared" si="2043"/>
        <v>0</v>
      </c>
      <c r="CZL26">
        <f t="shared" si="2044"/>
        <v>0</v>
      </c>
      <c r="CZM26">
        <f t="shared" si="2045"/>
        <v>0</v>
      </c>
      <c r="CZN26">
        <f t="shared" si="2046"/>
        <v>0</v>
      </c>
      <c r="CZO26">
        <f t="shared" si="2047"/>
        <v>0</v>
      </c>
      <c r="CZP26">
        <f t="shared" si="2048"/>
        <v>0</v>
      </c>
      <c r="CZQ26">
        <f t="shared" si="2049"/>
        <v>0</v>
      </c>
      <c r="CZR26">
        <f t="shared" si="2050"/>
        <v>0</v>
      </c>
      <c r="CZS26">
        <f t="shared" si="2051"/>
        <v>0</v>
      </c>
      <c r="CZT26">
        <f t="shared" si="2052"/>
        <v>0</v>
      </c>
      <c r="CZU26">
        <f t="shared" si="2053"/>
        <v>0</v>
      </c>
      <c r="CZV26">
        <f t="shared" si="2054"/>
        <v>0</v>
      </c>
      <c r="CZW26">
        <f t="shared" si="2055"/>
        <v>0</v>
      </c>
      <c r="CZX26">
        <f t="shared" si="2056"/>
        <v>0</v>
      </c>
      <c r="CZY26">
        <f t="shared" si="2057"/>
        <v>0</v>
      </c>
      <c r="CZZ26">
        <f t="shared" si="2058"/>
        <v>0</v>
      </c>
      <c r="DAA26">
        <f t="shared" si="2059"/>
        <v>0</v>
      </c>
      <c r="DAB26">
        <f t="shared" si="2060"/>
        <v>0</v>
      </c>
      <c r="DAC26">
        <f t="shared" si="2061"/>
        <v>0</v>
      </c>
      <c r="DAD26">
        <f t="shared" si="2062"/>
        <v>0</v>
      </c>
      <c r="DAE26">
        <f t="shared" si="2063"/>
        <v>0</v>
      </c>
      <c r="DAF26">
        <f t="shared" si="2064"/>
        <v>0</v>
      </c>
      <c r="DAG26">
        <f t="shared" si="2065"/>
        <v>0</v>
      </c>
      <c r="DAH26">
        <f t="shared" si="2066"/>
        <v>0</v>
      </c>
      <c r="DAI26">
        <f t="shared" si="2067"/>
        <v>0</v>
      </c>
      <c r="DAJ26">
        <f t="shared" si="2068"/>
        <v>0</v>
      </c>
      <c r="DAK26">
        <f t="shared" si="2069"/>
        <v>0</v>
      </c>
      <c r="DAL26">
        <f t="shared" si="2070"/>
        <v>0</v>
      </c>
      <c r="DAM26">
        <f t="shared" si="2071"/>
        <v>0</v>
      </c>
      <c r="DAN26">
        <f t="shared" si="2072"/>
        <v>0</v>
      </c>
      <c r="DAO26">
        <f t="shared" si="2073"/>
        <v>0</v>
      </c>
      <c r="DAP26">
        <f t="shared" si="2074"/>
        <v>0</v>
      </c>
      <c r="DAQ26">
        <f t="shared" si="2075"/>
        <v>0</v>
      </c>
      <c r="DAR26">
        <f t="shared" si="2076"/>
        <v>0</v>
      </c>
      <c r="DAS26">
        <f t="shared" si="2077"/>
        <v>0</v>
      </c>
      <c r="DAT26">
        <f t="shared" si="2078"/>
        <v>0</v>
      </c>
      <c r="DAU26">
        <f t="shared" si="2079"/>
        <v>0</v>
      </c>
      <c r="DAV26">
        <f t="shared" si="2080"/>
        <v>0</v>
      </c>
      <c r="DAW26">
        <f t="shared" si="2081"/>
        <v>0</v>
      </c>
      <c r="DAX26">
        <f t="shared" si="65"/>
        <v>0</v>
      </c>
      <c r="DAY26">
        <f t="shared" si="2142"/>
        <v>0</v>
      </c>
      <c r="DAZ26">
        <f t="shared" si="2143"/>
        <v>0</v>
      </c>
      <c r="DBA26">
        <f t="shared" si="2144"/>
        <v>0</v>
      </c>
      <c r="DBB26">
        <f t="shared" si="2082"/>
        <v>0</v>
      </c>
      <c r="DBC26">
        <f t="shared" si="2083"/>
        <v>0</v>
      </c>
      <c r="DBD26">
        <f t="shared" si="2084"/>
        <v>0</v>
      </c>
      <c r="DBE26">
        <f t="shared" si="2085"/>
        <v>0</v>
      </c>
      <c r="DBF26">
        <f t="shared" si="2086"/>
        <v>0</v>
      </c>
      <c r="DBG26">
        <f t="shared" si="2087"/>
        <v>0</v>
      </c>
      <c r="DBH26">
        <f t="shared" si="2088"/>
        <v>0</v>
      </c>
      <c r="DBI26">
        <f t="shared" si="2089"/>
        <v>0</v>
      </c>
      <c r="DBJ26">
        <f t="shared" si="2090"/>
        <v>0</v>
      </c>
      <c r="DBK26">
        <f t="shared" si="2091"/>
        <v>0</v>
      </c>
      <c r="DBL26">
        <f t="shared" si="2092"/>
        <v>0</v>
      </c>
      <c r="DBM26">
        <f t="shared" si="2093"/>
        <v>0</v>
      </c>
      <c r="DBN26">
        <f t="shared" si="2094"/>
        <v>0</v>
      </c>
      <c r="DBO26">
        <f t="shared" si="2095"/>
        <v>0</v>
      </c>
      <c r="DBP26">
        <f t="shared" si="2096"/>
        <v>0</v>
      </c>
      <c r="DBQ26">
        <f t="shared" si="2097"/>
        <v>0</v>
      </c>
      <c r="DBR26">
        <f t="shared" si="2098"/>
        <v>0</v>
      </c>
      <c r="DBS26">
        <f t="shared" si="2099"/>
        <v>0</v>
      </c>
      <c r="DBT26">
        <f t="shared" si="2100"/>
        <v>0</v>
      </c>
      <c r="DBU26">
        <f t="shared" si="2101"/>
        <v>0</v>
      </c>
      <c r="DBV26">
        <f t="shared" si="2102"/>
        <v>0</v>
      </c>
      <c r="DBW26">
        <f t="shared" si="2103"/>
        <v>0</v>
      </c>
      <c r="DBX26">
        <f t="shared" si="2104"/>
        <v>0</v>
      </c>
      <c r="DBY26">
        <f t="shared" si="2105"/>
        <v>0</v>
      </c>
      <c r="DBZ26">
        <f t="shared" si="2106"/>
        <v>0</v>
      </c>
      <c r="DCA26">
        <f t="shared" si="2107"/>
        <v>0</v>
      </c>
      <c r="DCB26">
        <f t="shared" si="2108"/>
        <v>0</v>
      </c>
      <c r="DCC26">
        <f t="shared" si="2109"/>
        <v>0</v>
      </c>
      <c r="DCD26">
        <f t="shared" si="2110"/>
        <v>0</v>
      </c>
      <c r="DCE26">
        <f t="shared" si="2111"/>
        <v>0</v>
      </c>
      <c r="DCF26">
        <f t="shared" si="2112"/>
        <v>0</v>
      </c>
      <c r="DCG26">
        <f t="shared" si="2113"/>
        <v>0</v>
      </c>
      <c r="DCH26">
        <f t="shared" si="2114"/>
        <v>0</v>
      </c>
      <c r="DCI26">
        <f t="shared" si="2115"/>
        <v>0</v>
      </c>
      <c r="DCJ26">
        <f t="shared" si="2116"/>
        <v>0</v>
      </c>
      <c r="DCK26">
        <f t="shared" si="2117"/>
        <v>0</v>
      </c>
      <c r="DCL26">
        <f t="shared" si="2118"/>
        <v>0</v>
      </c>
      <c r="DCM26">
        <f t="shared" si="2119"/>
        <v>0</v>
      </c>
      <c r="DCN26">
        <f t="shared" si="2120"/>
        <v>0</v>
      </c>
      <c r="DCO26">
        <f t="shared" si="2121"/>
        <v>0</v>
      </c>
      <c r="DCP26">
        <f t="shared" si="2122"/>
        <v>0</v>
      </c>
      <c r="DCQ26">
        <f t="shared" si="2123"/>
        <v>0</v>
      </c>
      <c r="DCR26">
        <f t="shared" si="2124"/>
        <v>0</v>
      </c>
      <c r="DCS26">
        <f t="shared" si="2125"/>
        <v>0</v>
      </c>
      <c r="DCT26">
        <f t="shared" si="2126"/>
        <v>0</v>
      </c>
      <c r="DCU26">
        <f t="shared" si="2127"/>
        <v>0</v>
      </c>
      <c r="DCV26">
        <f t="shared" si="2128"/>
        <v>0</v>
      </c>
      <c r="DCW26">
        <f t="shared" si="2129"/>
        <v>0</v>
      </c>
      <c r="DCX26">
        <f t="shared" si="2130"/>
        <v>0</v>
      </c>
      <c r="DCY26">
        <f t="shared" si="2131"/>
        <v>0</v>
      </c>
      <c r="DCZ26">
        <f t="shared" si="2132"/>
        <v>0</v>
      </c>
      <c r="DDA26">
        <f t="shared" si="2133"/>
        <v>0</v>
      </c>
      <c r="DDB26">
        <f t="shared" si="2134"/>
        <v>0</v>
      </c>
      <c r="DDC26">
        <f t="shared" si="2135"/>
        <v>0</v>
      </c>
      <c r="DDD26">
        <f t="shared" si="2136"/>
        <v>0</v>
      </c>
      <c r="DDE26">
        <f t="shared" si="2137"/>
        <v>0</v>
      </c>
      <c r="DDF26">
        <f t="shared" si="2138"/>
        <v>0</v>
      </c>
      <c r="DDG26">
        <f t="shared" si="2139"/>
        <v>0</v>
      </c>
      <c r="DDH26">
        <f t="shared" si="2140"/>
        <v>0</v>
      </c>
      <c r="DDI26">
        <f t="shared" si="2141"/>
        <v>0</v>
      </c>
    </row>
    <row r="27" spans="1:2817" x14ac:dyDescent="0.2">
      <c r="A27" s="1">
        <v>21</v>
      </c>
      <c r="B27">
        <f>'Demand Stage 2'!B26</f>
        <v>0</v>
      </c>
      <c r="C27">
        <f>'Demand Stage 2'!C26</f>
        <v>0</v>
      </c>
      <c r="D27">
        <f>'Demand Stage 2'!D26</f>
        <v>0</v>
      </c>
      <c r="E27">
        <f>'Demand Stage 2'!E26</f>
        <v>0</v>
      </c>
      <c r="F27">
        <f>'Demand Stage 2'!F26</f>
        <v>0</v>
      </c>
      <c r="G27">
        <f>'Demand Stage 2'!G26</f>
        <v>0</v>
      </c>
      <c r="H27">
        <f>'Demand Stage 2'!H26</f>
        <v>0</v>
      </c>
      <c r="I27">
        <f>'Demand Stage 2'!I26</f>
        <v>0</v>
      </c>
      <c r="J27">
        <f>'Demand Stage 2'!J26</f>
        <v>0</v>
      </c>
      <c r="K27">
        <f>'Demand Stage 2'!K26</f>
        <v>0</v>
      </c>
      <c r="L27">
        <f>'Demand Stage 2'!L26</f>
        <v>0</v>
      </c>
      <c r="M27">
        <f>'Demand Stage 2'!M26</f>
        <v>0</v>
      </c>
      <c r="N27">
        <f>'Demand Stage 2'!N26</f>
        <v>0</v>
      </c>
      <c r="O27">
        <f>'Demand Stage 2'!O26</f>
        <v>0</v>
      </c>
      <c r="P27">
        <f>'Demand Stage 2'!P26</f>
        <v>0</v>
      </c>
      <c r="Q27">
        <f>'Demand Stage 2'!Q26</f>
        <v>0</v>
      </c>
      <c r="R27">
        <f>'Demand Stage 2'!R26</f>
        <v>0</v>
      </c>
      <c r="S27">
        <f>'Demand Stage 2'!S26</f>
        <v>0</v>
      </c>
      <c r="T27">
        <f>'Demand Stage 2'!T26</f>
        <v>0</v>
      </c>
      <c r="U27">
        <f>'Demand Stage 2'!U26</f>
        <v>0</v>
      </c>
      <c r="V27">
        <f>'Demand Stage 2'!V26</f>
        <v>0</v>
      </c>
      <c r="W27">
        <f>'Demand Stage 2'!W26</f>
        <v>0</v>
      </c>
      <c r="X27">
        <f>'Demand Stage 2'!X26</f>
        <v>0</v>
      </c>
      <c r="Y27">
        <f>'Demand Stage 2'!Y26</f>
        <v>0</v>
      </c>
      <c r="Z27">
        <f>'Demand Stage 2'!Z26</f>
        <v>0</v>
      </c>
      <c r="AA27">
        <f>'Demand Stage 2'!AA26</f>
        <v>0</v>
      </c>
      <c r="AB27">
        <f>'Demand Stage 2'!AB26</f>
        <v>0</v>
      </c>
      <c r="AC27">
        <f>'Demand Stage 2'!AC26</f>
        <v>0</v>
      </c>
      <c r="AD27">
        <f>'Demand Stage 2'!AD26</f>
        <v>0</v>
      </c>
      <c r="AE27">
        <f>'Demand Stage 2'!AE26</f>
        <v>0</v>
      </c>
      <c r="AF27">
        <f>'Demand Stage 2'!AF26</f>
        <v>0</v>
      </c>
      <c r="AG27">
        <f>'Demand Stage 2'!AG26</f>
        <v>0</v>
      </c>
      <c r="AH27">
        <f>'Demand Stage 2'!AH26</f>
        <v>0</v>
      </c>
      <c r="AI27">
        <f>'Demand Stage 2'!AI26</f>
        <v>0</v>
      </c>
      <c r="AJ27">
        <f>'Demand Stage 2'!AJ26</f>
        <v>0</v>
      </c>
      <c r="AK27">
        <f>'Demand Stage 2'!AK26</f>
        <v>0</v>
      </c>
      <c r="AL27">
        <f>'Demand Stage 2'!AL26</f>
        <v>0</v>
      </c>
      <c r="AM27">
        <f>'Demand Stage 2'!AM26</f>
        <v>0</v>
      </c>
      <c r="AN27">
        <f>'Demand Stage 2'!AN26</f>
        <v>0</v>
      </c>
      <c r="AO27">
        <f>'Demand Stage 2'!AO26</f>
        <v>0</v>
      </c>
      <c r="AP27">
        <f>'Demand Stage 2'!AP26</f>
        <v>0</v>
      </c>
      <c r="AQ27">
        <f>'Demand Stage 2'!AQ26</f>
        <v>0</v>
      </c>
      <c r="AR27">
        <f>'Demand Stage 2'!AR26</f>
        <v>0</v>
      </c>
      <c r="AS27">
        <f>'Demand Stage 2'!AS26</f>
        <v>0</v>
      </c>
      <c r="AT27">
        <f>'Demand Stage 2'!AT26</f>
        <v>0</v>
      </c>
      <c r="AU27">
        <f>'Demand Stage 2'!AU26</f>
        <v>0</v>
      </c>
      <c r="AV27">
        <f>'Demand Stage 2'!AV26</f>
        <v>0</v>
      </c>
      <c r="AW27">
        <f>'Demand Stage 2'!AW26</f>
        <v>0</v>
      </c>
      <c r="AX27">
        <f>'Demand Stage 2'!AX26</f>
        <v>0</v>
      </c>
      <c r="AY27">
        <f>'Demand Stage 2'!AY26</f>
        <v>0</v>
      </c>
      <c r="AZ27">
        <f>'Demand Stage 2'!AZ26</f>
        <v>0</v>
      </c>
      <c r="BA27">
        <f>'Demand Stage 2'!BA26</f>
        <v>0</v>
      </c>
      <c r="BB27">
        <f>'Demand Stage 2'!BB26</f>
        <v>0</v>
      </c>
      <c r="BC27">
        <f>'Demand Stage 2'!BC26</f>
        <v>0</v>
      </c>
      <c r="BD27">
        <f>'Demand Stage 2'!BD26</f>
        <v>0</v>
      </c>
      <c r="BE27">
        <f>'Demand Stage 2'!BE26</f>
        <v>0</v>
      </c>
      <c r="BF27">
        <f>'Demand Stage 2'!BF26</f>
        <v>0</v>
      </c>
      <c r="BG27">
        <f>'Demand Stage 2'!BG26</f>
        <v>0</v>
      </c>
      <c r="BH27">
        <f>'Demand Stage 2'!BH26</f>
        <v>0</v>
      </c>
      <c r="BI27">
        <f>'Demand Stage 2'!BI26</f>
        <v>0</v>
      </c>
      <c r="BJ27">
        <f>'Demand Stage 2'!BJ26</f>
        <v>0</v>
      </c>
      <c r="BK27">
        <f>'Demand Stage 2'!BK26</f>
        <v>0</v>
      </c>
      <c r="BL27">
        <f>'Demand Stage 2'!BL26</f>
        <v>0</v>
      </c>
      <c r="BM27">
        <f>'Demand Stage 2'!BM26</f>
        <v>0</v>
      </c>
      <c r="BN27">
        <f>'Demand Stage 2'!BN26</f>
        <v>0</v>
      </c>
      <c r="BO27">
        <f>'Demand Stage 2'!BO26</f>
        <v>0</v>
      </c>
      <c r="BP27">
        <f>'Demand Stage 2'!BP26</f>
        <v>0</v>
      </c>
      <c r="BQ27">
        <f>'Demand Stage 2'!BQ26</f>
        <v>0</v>
      </c>
      <c r="BR27">
        <f>'Demand Stage 2'!BR26</f>
        <v>0</v>
      </c>
      <c r="BS27">
        <f>'Demand Stage 2'!BS26</f>
        <v>0</v>
      </c>
      <c r="BT27">
        <f>'Demand Stage 2'!BT26</f>
        <v>0</v>
      </c>
      <c r="BU27">
        <f>'Demand Stage 2'!BU26</f>
        <v>0</v>
      </c>
      <c r="BV27">
        <f>'Demand Stage 2'!BV26</f>
        <v>0</v>
      </c>
      <c r="BW27">
        <f>'Demand Stage 2'!BW26</f>
        <v>0</v>
      </c>
      <c r="BX27">
        <f>'Demand Stage 2'!BX26</f>
        <v>0</v>
      </c>
      <c r="BY27">
        <f>'Demand Stage 2'!BY26</f>
        <v>0</v>
      </c>
      <c r="BZ27">
        <f>'Demand Stage 2'!BZ26</f>
        <v>0</v>
      </c>
      <c r="CA27">
        <f>'Demand Stage 2'!CA26</f>
        <v>0</v>
      </c>
      <c r="CB27">
        <f>'Demand Stage 2'!CB26</f>
        <v>0</v>
      </c>
      <c r="CC27">
        <f>'Demand Stage 2'!CC26</f>
        <v>0</v>
      </c>
      <c r="CD27">
        <f>'Demand Stage 2'!CD26</f>
        <v>0</v>
      </c>
      <c r="CE27">
        <f>'Demand Stage 2'!CE26</f>
        <v>0</v>
      </c>
      <c r="CF27">
        <f>'Demand Stage 2'!CF26</f>
        <v>0</v>
      </c>
      <c r="CG27">
        <f>'Demand Stage 2'!CG26</f>
        <v>0</v>
      </c>
      <c r="CH27">
        <f>'Demand Stage 2'!CH26</f>
        <v>0</v>
      </c>
      <c r="CI27">
        <f>'Demand Stage 2'!CI26</f>
        <v>0</v>
      </c>
      <c r="CJ27">
        <f>'Demand Stage 2'!CJ26</f>
        <v>0</v>
      </c>
      <c r="CK27">
        <f>'Demand Stage 2'!CK26</f>
        <v>0</v>
      </c>
      <c r="CL27">
        <f>'Demand Stage 2'!CL26</f>
        <v>0</v>
      </c>
      <c r="CM27">
        <f>'Demand Stage 2'!CM26</f>
        <v>0</v>
      </c>
      <c r="CN27">
        <f>'Demand Stage 2'!CN26</f>
        <v>0</v>
      </c>
      <c r="CO27">
        <f>'Demand Stage 2'!CO26</f>
        <v>0</v>
      </c>
      <c r="CP27">
        <f>'Demand Stage 2'!CP26</f>
        <v>0</v>
      </c>
      <c r="CQ27">
        <f>'Demand Stage 2'!CQ26</f>
        <v>0</v>
      </c>
      <c r="CR27">
        <f>'Demand Stage 2'!CR26</f>
        <v>0</v>
      </c>
      <c r="CS27">
        <f>'Demand Stage 2'!CS26</f>
        <v>0</v>
      </c>
      <c r="CT27">
        <f>'Demand Stage 2'!CT26</f>
        <v>0</v>
      </c>
      <c r="CU27">
        <f>'Demand Stage 2'!CU26</f>
        <v>0</v>
      </c>
      <c r="CV27">
        <f>'Demand Stage 2'!CV26</f>
        <v>0</v>
      </c>
      <c r="CW27">
        <f>'Demand Stage 2'!CW26</f>
        <v>0</v>
      </c>
      <c r="CX27">
        <f>'Demand Stage 2'!CX26</f>
        <v>0</v>
      </c>
      <c r="CY27">
        <f>'Demand Stage 2'!CY26</f>
        <v>0</v>
      </c>
      <c r="CZ27">
        <f>'Demand Stage 2'!CZ26</f>
        <v>0</v>
      </c>
      <c r="DA27">
        <f>'Demand Stage 2'!DA26</f>
        <v>0</v>
      </c>
      <c r="DB27">
        <f>'Demand Stage 2'!DB26</f>
        <v>0</v>
      </c>
      <c r="DC27">
        <f>'Demand Stage 2'!DC26</f>
        <v>0</v>
      </c>
      <c r="DD27">
        <f>'Demand Stage 2'!DD26</f>
        <v>0</v>
      </c>
      <c r="DE27">
        <f>'Demand Stage 2'!DE26</f>
        <v>0</v>
      </c>
      <c r="DF27">
        <f>'Demand Stage 2'!DF26</f>
        <v>0</v>
      </c>
      <c r="DG27">
        <f>'Demand Stage 2'!DG26</f>
        <v>0</v>
      </c>
      <c r="DH27">
        <f>'Demand Stage 2'!DH26</f>
        <v>0</v>
      </c>
      <c r="DI27">
        <f>'Demand Stage 2'!DI26</f>
        <v>0</v>
      </c>
      <c r="DJ27">
        <f>'Demand Stage 2'!DJ26</f>
        <v>0</v>
      </c>
      <c r="DK27">
        <f>'Demand Stage 2'!DK26</f>
        <v>0</v>
      </c>
      <c r="DL27">
        <f>'Demand Stage 2'!DL26</f>
        <v>0</v>
      </c>
      <c r="DM27">
        <f>'Demand Stage 2'!DM26</f>
        <v>0</v>
      </c>
      <c r="DN27">
        <f>'Demand Stage 2'!DN26</f>
        <v>0</v>
      </c>
      <c r="DO27">
        <f>'Demand Stage 2'!DO26</f>
        <v>0</v>
      </c>
      <c r="DP27">
        <f>'Demand Stage 2'!DP26</f>
        <v>0</v>
      </c>
      <c r="DQ27">
        <f>'Demand Stage 2'!DQ26</f>
        <v>0</v>
      </c>
      <c r="DR27">
        <f>'Demand Stage 2'!DR26</f>
        <v>0</v>
      </c>
      <c r="DS27">
        <f>'Demand Stage 2'!DS26</f>
        <v>0</v>
      </c>
      <c r="DT27">
        <f>'Demand Stage 2'!DT26</f>
        <v>0</v>
      </c>
      <c r="DU27">
        <f>'Demand Stage 2'!DU26</f>
        <v>0</v>
      </c>
      <c r="DV27">
        <f>'Demand Stage 2'!DV26</f>
        <v>0</v>
      </c>
      <c r="DW27">
        <f>'Demand Stage 2'!DW26</f>
        <v>0</v>
      </c>
      <c r="DX27">
        <f>'Demand Stage 2'!DX26</f>
        <v>0</v>
      </c>
      <c r="DY27">
        <f>'Demand Stage 2'!DY26</f>
        <v>0</v>
      </c>
      <c r="DZ27">
        <f>'Demand Stage 2'!DZ26</f>
        <v>0</v>
      </c>
      <c r="EA27">
        <f>'Demand Stage 2'!EA26</f>
        <v>0</v>
      </c>
      <c r="EB27">
        <f>'Demand Stage 2'!EB26</f>
        <v>0</v>
      </c>
      <c r="EC27">
        <f>'Demand Stage 2'!EC26</f>
        <v>0</v>
      </c>
      <c r="ED27">
        <f>'Demand Stage 2'!ED26</f>
        <v>0</v>
      </c>
      <c r="EE27">
        <f>'Demand Stage 2'!EE26</f>
        <v>0</v>
      </c>
      <c r="EF27">
        <f>'Demand Stage 2'!EF26</f>
        <v>0</v>
      </c>
      <c r="EG27">
        <f>'Demand Stage 2'!EG26</f>
        <v>0</v>
      </c>
      <c r="EH27">
        <f>'Demand Stage 2'!EH26</f>
        <v>0</v>
      </c>
      <c r="EI27">
        <f>'Demand Stage 2'!EI26</f>
        <v>0</v>
      </c>
      <c r="EJ27">
        <f>'Demand Stage 2'!EJ26</f>
        <v>0</v>
      </c>
      <c r="EK27">
        <f>'Demand Stage 2'!EK26</f>
        <v>0</v>
      </c>
      <c r="EL27">
        <f>'Demand Stage 2'!EL26</f>
        <v>0</v>
      </c>
      <c r="EM27">
        <f>'Demand Stage 2'!EM26</f>
        <v>0</v>
      </c>
      <c r="EN27">
        <f>'Demand Stage 2'!EN26</f>
        <v>0</v>
      </c>
      <c r="EO27">
        <f>'Demand Stage 2'!EO26</f>
        <v>0</v>
      </c>
      <c r="EP27">
        <f>'Demand Stage 2'!EP26</f>
        <v>0</v>
      </c>
      <c r="EQ27">
        <f>'Demand Stage 2'!EQ26</f>
        <v>0</v>
      </c>
      <c r="ER27">
        <f>'Demand Stage 2'!ER26</f>
        <v>0</v>
      </c>
      <c r="ES27">
        <f>'Demand Stage 2'!ES26</f>
        <v>0</v>
      </c>
      <c r="ET27">
        <f>'Demand Stage 2'!ET26</f>
        <v>0</v>
      </c>
      <c r="EU27">
        <f>'Demand Stage 2'!EU26</f>
        <v>0</v>
      </c>
      <c r="EV27">
        <f>'Demand Stage 2'!EV26</f>
        <v>0</v>
      </c>
      <c r="EW27">
        <f>'Demand Stage 2'!EW26</f>
        <v>0</v>
      </c>
      <c r="EX27">
        <f>'Demand Stage 2'!EX26</f>
        <v>0</v>
      </c>
      <c r="EY27">
        <f>'Demand Stage 2'!EY26</f>
        <v>0</v>
      </c>
      <c r="EZ27">
        <f>'Demand Stage 2'!EZ26</f>
        <v>0</v>
      </c>
      <c r="FA27">
        <f>'Demand Stage 2'!FA26</f>
        <v>0</v>
      </c>
      <c r="FB27">
        <f>'Demand Stage 2'!FB26</f>
        <v>0</v>
      </c>
      <c r="FC27">
        <f>'Demand Stage 2'!FC26</f>
        <v>0</v>
      </c>
      <c r="FD27">
        <f>'Demand Stage 2'!FD26</f>
        <v>0</v>
      </c>
      <c r="FE27">
        <f>'Demand Stage 2'!FE26</f>
        <v>0</v>
      </c>
      <c r="FF27">
        <f>'Demand Stage 2'!FF26</f>
        <v>0</v>
      </c>
      <c r="FG27">
        <f>'Demand Stage 2'!FG26</f>
        <v>0</v>
      </c>
      <c r="FH27">
        <f>'Demand Stage 2'!FH26</f>
        <v>0</v>
      </c>
      <c r="FI27">
        <f>'Demand Stage 2'!FI26</f>
        <v>0</v>
      </c>
      <c r="FJ27">
        <f>'Demand Stage 2'!FJ26</f>
        <v>0</v>
      </c>
      <c r="FK27">
        <f>'Demand Stage 2'!FK26</f>
        <v>0</v>
      </c>
      <c r="FL27">
        <f>'Demand Stage 2'!FL26</f>
        <v>0</v>
      </c>
      <c r="FM27">
        <f>'Demand Stage 2'!FM26</f>
        <v>0</v>
      </c>
      <c r="FN27">
        <f>'Demand Stage 2'!FN26</f>
        <v>0</v>
      </c>
      <c r="FO27">
        <f>'Demand Stage 2'!FO26</f>
        <v>0</v>
      </c>
      <c r="FP27">
        <f>'Demand Stage 2'!FP26</f>
        <v>0</v>
      </c>
      <c r="FQ27">
        <f>'Demand Stage 2'!FQ26</f>
        <v>0</v>
      </c>
      <c r="FR27">
        <f>'Demand Stage 2'!FR26</f>
        <v>0</v>
      </c>
      <c r="FS27">
        <f>'Demand Stage 2'!FS26</f>
        <v>0</v>
      </c>
      <c r="FT27">
        <f>'Demand Stage 2'!FT26</f>
        <v>0</v>
      </c>
      <c r="FU27">
        <f>'Demand Stage 2'!FU26</f>
        <v>0</v>
      </c>
      <c r="FV27">
        <f>'Demand Stage 2'!FV26</f>
        <v>0</v>
      </c>
      <c r="FW27">
        <f>'Demand Stage 2'!FW26</f>
        <v>0</v>
      </c>
      <c r="FX27">
        <f>'Demand Stage 2'!FX26</f>
        <v>0</v>
      </c>
      <c r="FY27">
        <f>'Demand Stage 2'!FY26</f>
        <v>0</v>
      </c>
      <c r="FZ27">
        <f>'Demand Stage 2'!FZ26</f>
        <v>0</v>
      </c>
      <c r="GA27">
        <f>'Demand Stage 2'!GA26</f>
        <v>0</v>
      </c>
      <c r="GB27">
        <f>'Demand Stage 2'!GB26</f>
        <v>0</v>
      </c>
      <c r="GC27">
        <f>'Demand Stage 2'!GC26</f>
        <v>0</v>
      </c>
      <c r="GD27">
        <f>'Demand Stage 2'!GD26</f>
        <v>0</v>
      </c>
      <c r="GE27">
        <f>'Demand Stage 2'!GE26</f>
        <v>0</v>
      </c>
      <c r="GF27">
        <f>'Demand Stage 2'!GF26</f>
        <v>0</v>
      </c>
      <c r="GG27">
        <f>'Demand Stage 2'!GG26</f>
        <v>0</v>
      </c>
      <c r="GH27">
        <f>'Demand Stage 2'!GH26</f>
        <v>0</v>
      </c>
      <c r="GI27">
        <f>'Demand Stage 2'!GI26</f>
        <v>0</v>
      </c>
      <c r="GJ27">
        <f>'Demand Stage 2'!GJ26</f>
        <v>0</v>
      </c>
      <c r="GK27">
        <f>'Demand Stage 2'!GK26</f>
        <v>0</v>
      </c>
      <c r="GL27">
        <f>'Demand Stage 2'!GL26</f>
        <v>0</v>
      </c>
      <c r="GM27">
        <f>'Demand Stage 2'!GM26</f>
        <v>0</v>
      </c>
      <c r="GN27">
        <f>'Demand Stage 2'!GN26</f>
        <v>0</v>
      </c>
      <c r="GO27">
        <f>'Demand Stage 2'!GO26</f>
        <v>0</v>
      </c>
      <c r="GP27">
        <f>'Demand Stage 2'!GP26</f>
        <v>0</v>
      </c>
      <c r="GQ27">
        <f>'Demand Stage 2'!GQ26</f>
        <v>0</v>
      </c>
      <c r="GR27">
        <f>'Demand Stage 2'!GR26</f>
        <v>0</v>
      </c>
      <c r="GS27">
        <f>'Demand Stage 2'!GS26</f>
        <v>0</v>
      </c>
      <c r="GT27">
        <f>'Demand Stage 2'!GT26</f>
        <v>0</v>
      </c>
      <c r="GU27">
        <f>'Demand Stage 2'!GU26</f>
        <v>0</v>
      </c>
      <c r="GV27">
        <f>'Demand Stage 2'!GV26</f>
        <v>0</v>
      </c>
      <c r="GW27">
        <f>'Demand Stage 2'!GW26</f>
        <v>0</v>
      </c>
      <c r="GX27">
        <f>'Demand Stage 2'!GX26</f>
        <v>0</v>
      </c>
      <c r="GY27">
        <f>'Demand Stage 2'!GY26</f>
        <v>0</v>
      </c>
      <c r="GZ27">
        <f>'Demand Stage 2'!GZ26</f>
        <v>0</v>
      </c>
      <c r="HA27">
        <f>'Demand Stage 2'!HA26</f>
        <v>0</v>
      </c>
      <c r="HB27">
        <f>'Demand Stage 2'!HB26</f>
        <v>0</v>
      </c>
      <c r="HC27">
        <f>'Demand Stage 2'!HC26</f>
        <v>0</v>
      </c>
      <c r="HD27">
        <f>'Demand Stage 2'!HD26</f>
        <v>0</v>
      </c>
      <c r="HE27">
        <f>'Demand Stage 2'!HE26</f>
        <v>0</v>
      </c>
      <c r="HF27">
        <f>'Demand Stage 2'!HF26</f>
        <v>0</v>
      </c>
      <c r="HG27">
        <f>'Demand Stage 2'!HG26</f>
        <v>0</v>
      </c>
      <c r="HH27">
        <f>'Demand Stage 2'!HH26</f>
        <v>0</v>
      </c>
      <c r="HI27">
        <f>'Demand Stage 2'!HI26</f>
        <v>0</v>
      </c>
      <c r="HJ27">
        <f>'Demand Stage 2'!HJ26</f>
        <v>0</v>
      </c>
      <c r="HK27">
        <f>'Demand Stage 2'!HK26</f>
        <v>0</v>
      </c>
      <c r="HL27">
        <f>'Demand Stage 2'!HL26</f>
        <v>0</v>
      </c>
      <c r="HM27">
        <f>'Demand Stage 2'!HM26</f>
        <v>0</v>
      </c>
      <c r="HN27">
        <f>'Demand Stage 2'!HN26</f>
        <v>0</v>
      </c>
      <c r="HO27">
        <f>'Demand Stage 2'!HO26</f>
        <v>0</v>
      </c>
      <c r="HP27">
        <f>'Demand Stage 2'!HP26</f>
        <v>0</v>
      </c>
      <c r="HQ27">
        <f>'Demand Stage 2'!HQ26</f>
        <v>0</v>
      </c>
      <c r="HR27">
        <f>'Demand Stage 2'!HR26</f>
        <v>0</v>
      </c>
      <c r="HS27">
        <f>'Demand Stage 2'!HS26</f>
        <v>0</v>
      </c>
      <c r="HT27">
        <f>'Demand Stage 2'!HT26</f>
        <v>0</v>
      </c>
      <c r="HU27">
        <f>'Demand Stage 2'!HU26</f>
        <v>0</v>
      </c>
      <c r="HV27">
        <f>'Demand Stage 2'!HV26</f>
        <v>0</v>
      </c>
      <c r="HW27">
        <f>'Demand Stage 2'!HW26</f>
        <v>0</v>
      </c>
      <c r="HX27">
        <f>'Demand Stage 2'!HX26</f>
        <v>0</v>
      </c>
      <c r="HY27">
        <f>'Demand Stage 2'!HY26</f>
        <v>0</v>
      </c>
      <c r="HZ27">
        <f>'Demand Stage 2'!HZ26</f>
        <v>0</v>
      </c>
      <c r="IA27">
        <f>'Demand Stage 2'!IA26</f>
        <v>0</v>
      </c>
      <c r="IB27">
        <f>'Demand Stage 2'!IB26</f>
        <v>0</v>
      </c>
      <c r="IC27">
        <f>'Demand Stage 2'!IC26</f>
        <v>0</v>
      </c>
      <c r="ID27">
        <f>'Demand Stage 2'!ID26</f>
        <v>0</v>
      </c>
      <c r="IE27">
        <f>'Demand Stage 2'!IE26</f>
        <v>0</v>
      </c>
      <c r="IF27">
        <f>'Demand Stage 2'!IF26</f>
        <v>0</v>
      </c>
      <c r="IG27">
        <f>'Demand Stage 2'!IG26</f>
        <v>0</v>
      </c>
      <c r="IH27">
        <f>'Demand Stage 2'!IH26</f>
        <v>0</v>
      </c>
      <c r="II27">
        <f>'Demand Stage 2'!II26</f>
        <v>0</v>
      </c>
      <c r="IJ27">
        <f>'Demand Stage 2'!IJ26</f>
        <v>0</v>
      </c>
      <c r="IK27">
        <f>'Demand Stage 2'!IK26</f>
        <v>0</v>
      </c>
      <c r="IL27">
        <f>'Demand Stage 2'!IL26</f>
        <v>0</v>
      </c>
      <c r="IM27">
        <f>'Demand Stage 2'!IM26</f>
        <v>0</v>
      </c>
      <c r="IN27">
        <f>'Demand Stage 2'!IN26</f>
        <v>0</v>
      </c>
      <c r="IO27">
        <f>'Demand Stage 2'!IO26</f>
        <v>0</v>
      </c>
      <c r="IP27">
        <f>'Demand Stage 2'!IP26</f>
        <v>0</v>
      </c>
      <c r="IQ27">
        <f>'Demand Stage 2'!IQ26</f>
        <v>0</v>
      </c>
      <c r="IR27">
        <f>'Demand Stage 2'!IR26</f>
        <v>0</v>
      </c>
      <c r="IS27">
        <f>'Demand Stage 2'!IS26</f>
        <v>0</v>
      </c>
      <c r="IT27">
        <f>'Demand Stage 2'!IT26</f>
        <v>0</v>
      </c>
      <c r="IU27">
        <f>'Demand Stage 2'!IU26</f>
        <v>0</v>
      </c>
      <c r="IV27">
        <f>'Demand Stage 2'!IV26</f>
        <v>0</v>
      </c>
      <c r="IW27">
        <f>'Demand Stage 2'!IW26</f>
        <v>0</v>
      </c>
      <c r="IX27">
        <f>'Demand Stage 2'!IX26</f>
        <v>0</v>
      </c>
      <c r="IY27">
        <f>'Demand Stage 2'!IY26</f>
        <v>0</v>
      </c>
      <c r="IZ27">
        <f>'Demand Stage 2'!IZ26</f>
        <v>0</v>
      </c>
      <c r="JA27">
        <f>'Demand Stage 2'!JA26</f>
        <v>0</v>
      </c>
      <c r="JB27">
        <f>'Demand Stage 2'!JB26</f>
        <v>0</v>
      </c>
      <c r="JC27">
        <f>'Demand Stage 2'!JC26</f>
        <v>0</v>
      </c>
      <c r="JD27">
        <f>'Demand Stage 2'!JD26</f>
        <v>0</v>
      </c>
      <c r="JE27">
        <f>'Demand Stage 2'!JE26</f>
        <v>0</v>
      </c>
      <c r="JF27">
        <f>'Demand Stage 2'!JF26</f>
        <v>0</v>
      </c>
      <c r="JG27">
        <f>'Demand Stage 2'!JG26</f>
        <v>0</v>
      </c>
      <c r="JH27">
        <f>'Demand Stage 2'!JH26</f>
        <v>0</v>
      </c>
      <c r="JI27">
        <f>'Demand Stage 2'!JI26</f>
        <v>0</v>
      </c>
      <c r="JJ27">
        <f>'Demand Stage 2'!JJ26</f>
        <v>0</v>
      </c>
      <c r="JK27">
        <f>'Demand Stage 2'!JK26</f>
        <v>0</v>
      </c>
      <c r="JL27">
        <f>'Demand Stage 2'!JL26</f>
        <v>0</v>
      </c>
      <c r="JM27">
        <f>'Demand Stage 2'!JM26</f>
        <v>0</v>
      </c>
      <c r="JN27">
        <f>'Demand Stage 2'!JN26</f>
        <v>0</v>
      </c>
      <c r="JO27">
        <f>'Demand Stage 2'!JO26</f>
        <v>0</v>
      </c>
      <c r="JP27">
        <f>'Demand Stage 2'!JP26</f>
        <v>0</v>
      </c>
      <c r="JQ27">
        <f>'Demand Stage 2'!JQ26</f>
        <v>0</v>
      </c>
      <c r="JR27">
        <f>'Demand Stage 2'!JR26</f>
        <v>0</v>
      </c>
      <c r="JS27">
        <f>'Demand Stage 2'!JS26</f>
        <v>0</v>
      </c>
      <c r="JT27">
        <f>'Demand Stage 2'!JT26</f>
        <v>0</v>
      </c>
      <c r="JU27">
        <f>'Demand Stage 2'!JU26</f>
        <v>0</v>
      </c>
      <c r="JV27">
        <f>'Demand Stage 2'!JV26</f>
        <v>0</v>
      </c>
      <c r="JW27">
        <f>'Demand Stage 2'!JW26</f>
        <v>0</v>
      </c>
      <c r="JX27">
        <f>'Demand Stage 2'!JX26</f>
        <v>0</v>
      </c>
      <c r="JY27">
        <f>'Demand Stage 2'!JY26</f>
        <v>0</v>
      </c>
      <c r="JZ27">
        <f>'Demand Stage 2'!JZ26</f>
        <v>0</v>
      </c>
      <c r="KA27">
        <f>'Demand Stage 2'!KA26</f>
        <v>0</v>
      </c>
      <c r="KB27">
        <f>'Demand Stage 2'!KB26</f>
        <v>0</v>
      </c>
      <c r="KC27">
        <f>'Demand Stage 2'!KC26</f>
        <v>0</v>
      </c>
      <c r="KD27">
        <f>'Demand Stage 2'!KD26</f>
        <v>0</v>
      </c>
      <c r="KE27">
        <f>'Demand Stage 2'!KE26</f>
        <v>0</v>
      </c>
      <c r="KF27">
        <f>'Demand Stage 2'!KF26</f>
        <v>0</v>
      </c>
      <c r="KG27">
        <f>'Demand Stage 2'!KG26</f>
        <v>0</v>
      </c>
      <c r="KH27">
        <f>'Demand Stage 2'!KH26</f>
        <v>0</v>
      </c>
      <c r="KI27">
        <f>'Demand Stage 2'!KI26</f>
        <v>0</v>
      </c>
      <c r="KJ27">
        <f>'Demand Stage 2'!KJ26</f>
        <v>0</v>
      </c>
      <c r="KK27">
        <f>'Demand Stage 2'!KK26</f>
        <v>0</v>
      </c>
      <c r="KL27">
        <f>'Demand Stage 2'!KL26</f>
        <v>0</v>
      </c>
      <c r="KM27">
        <f>'Demand Stage 2'!KM26</f>
        <v>0</v>
      </c>
      <c r="KN27">
        <f>'Demand Stage 2'!KN26</f>
        <v>0</v>
      </c>
      <c r="KO27">
        <f>'Demand Stage 2'!KO26</f>
        <v>0</v>
      </c>
      <c r="KP27">
        <f>'Demand Stage 2'!KP26</f>
        <v>0</v>
      </c>
      <c r="KQ27">
        <f>'Demand Stage 2'!KQ26</f>
        <v>0</v>
      </c>
      <c r="KR27">
        <f>'Demand Stage 2'!KR26</f>
        <v>0</v>
      </c>
      <c r="KS27">
        <f>'Demand Stage 2'!KS26</f>
        <v>0</v>
      </c>
      <c r="KT27">
        <f>'Demand Stage 2'!KT26</f>
        <v>0</v>
      </c>
      <c r="KU27">
        <f>'Demand Stage 2'!KU26</f>
        <v>0</v>
      </c>
      <c r="KV27">
        <f>'Demand Stage 2'!KV26</f>
        <v>0</v>
      </c>
      <c r="KW27">
        <f>'Demand Stage 2'!KW26</f>
        <v>0</v>
      </c>
      <c r="KX27">
        <f>'Demand Stage 2'!KX26</f>
        <v>0</v>
      </c>
      <c r="KY27">
        <f>'Demand Stage 2'!KY26</f>
        <v>0</v>
      </c>
      <c r="KZ27">
        <f>'Demand Stage 2'!KZ26</f>
        <v>0</v>
      </c>
      <c r="LA27">
        <f>'Demand Stage 2'!LA26</f>
        <v>0</v>
      </c>
      <c r="LB27">
        <f>'Demand Stage 2'!LB26</f>
        <v>0</v>
      </c>
      <c r="LC27">
        <f>'Demand Stage 2'!LC26</f>
        <v>0</v>
      </c>
      <c r="LD27">
        <f>'Demand Stage 2'!LD26</f>
        <v>0</v>
      </c>
      <c r="LE27">
        <f>'Demand Stage 2'!LE26</f>
        <v>0</v>
      </c>
      <c r="LF27">
        <f>'Demand Stage 2'!LF26</f>
        <v>0</v>
      </c>
      <c r="LG27">
        <f>'Demand Stage 2'!LG26</f>
        <v>0</v>
      </c>
      <c r="LH27">
        <f>'Demand Stage 2'!LH26</f>
        <v>0</v>
      </c>
      <c r="LI27">
        <f>'Demand Stage 2'!LI26</f>
        <v>0</v>
      </c>
      <c r="LJ27">
        <f>'Demand Stage 2'!LJ26</f>
        <v>0</v>
      </c>
      <c r="LK27">
        <f>'Demand Stage 2'!LK26</f>
        <v>0</v>
      </c>
      <c r="LL27">
        <f>'Demand Stage 2'!LL26</f>
        <v>0</v>
      </c>
      <c r="LM27">
        <f>'Demand Stage 2'!LM26</f>
        <v>0</v>
      </c>
      <c r="LN27">
        <f>'Demand Stage 2'!LN26</f>
        <v>0</v>
      </c>
      <c r="LO27">
        <f>'Demand Stage 2'!LO26</f>
        <v>0</v>
      </c>
      <c r="LP27">
        <f>'Demand Stage 2'!LP26</f>
        <v>0</v>
      </c>
      <c r="LQ27">
        <f>'Demand Stage 2'!LQ26</f>
        <v>0</v>
      </c>
      <c r="LR27">
        <f>'Demand Stage 2'!LR26</f>
        <v>0</v>
      </c>
      <c r="LS27">
        <f>'Demand Stage 2'!LS26</f>
        <v>0</v>
      </c>
      <c r="LT27">
        <f>'Demand Stage 2'!LT26</f>
        <v>0</v>
      </c>
      <c r="LU27">
        <f>'Demand Stage 2'!LU26</f>
        <v>0</v>
      </c>
      <c r="LV27">
        <f>'Demand Stage 2'!LV26</f>
        <v>0</v>
      </c>
      <c r="LW27">
        <f>'Demand Stage 2'!LW26</f>
        <v>0</v>
      </c>
      <c r="LX27">
        <f>'Demand Stage 2'!LX26</f>
        <v>0</v>
      </c>
      <c r="LY27">
        <f>'Demand Stage 2'!LY26</f>
        <v>0</v>
      </c>
      <c r="LZ27">
        <f>'Demand Stage 2'!LZ26</f>
        <v>0</v>
      </c>
      <c r="MA27">
        <f>'Demand Stage 2'!MA26</f>
        <v>0</v>
      </c>
      <c r="MB27">
        <f>'Demand Stage 2'!MB26</f>
        <v>0</v>
      </c>
      <c r="MC27">
        <f>'Demand Stage 2'!MC26</f>
        <v>0</v>
      </c>
      <c r="MD27">
        <f>'Demand Stage 2'!MD26</f>
        <v>0</v>
      </c>
      <c r="ME27">
        <f>'Demand Stage 2'!ME26</f>
        <v>0</v>
      </c>
      <c r="MF27">
        <f>'Demand Stage 2'!MF26</f>
        <v>0</v>
      </c>
      <c r="MG27">
        <f>'Demand Stage 2'!MG26</f>
        <v>0</v>
      </c>
      <c r="MH27">
        <f>'Demand Stage 2'!MH26</f>
        <v>0</v>
      </c>
      <c r="MI27">
        <f>'Demand Stage 2'!MI26</f>
        <v>0</v>
      </c>
      <c r="MJ27">
        <f>'Demand Stage 2'!MJ26</f>
        <v>0</v>
      </c>
      <c r="MK27">
        <f>'Demand Stage 2'!MK26</f>
        <v>0</v>
      </c>
      <c r="ML27">
        <f>'Demand Stage 2'!ML26</f>
        <v>0</v>
      </c>
      <c r="MM27">
        <f>'Demand Stage 2'!MM26</f>
        <v>0</v>
      </c>
      <c r="MN27">
        <f>'Demand Stage 2'!MN26</f>
        <v>0</v>
      </c>
      <c r="MO27">
        <f>'Demand Stage 2'!MO26</f>
        <v>0</v>
      </c>
      <c r="MP27">
        <f>'Demand Stage 2'!MP26</f>
        <v>0</v>
      </c>
      <c r="MQ27">
        <f>'Demand Stage 2'!MQ26</f>
        <v>0</v>
      </c>
      <c r="MR27">
        <f>'Demand Stage 2'!MR26</f>
        <v>0</v>
      </c>
      <c r="MS27">
        <f>'Demand Stage 2'!MS26</f>
        <v>0</v>
      </c>
      <c r="MT27">
        <f>'Demand Stage 2'!MT26</f>
        <v>0</v>
      </c>
      <c r="MU27">
        <f>'Demand Stage 2'!MU26</f>
        <v>0</v>
      </c>
      <c r="MV27">
        <f>'Demand Stage 2'!MV26</f>
        <v>0</v>
      </c>
      <c r="MW27">
        <f>'Demand Stage 2'!MW26</f>
        <v>0</v>
      </c>
      <c r="MX27">
        <f>'Demand Stage 2'!MX26</f>
        <v>0</v>
      </c>
      <c r="MY27">
        <f>'Demand Stage 2'!MY26</f>
        <v>0</v>
      </c>
      <c r="MZ27">
        <f>'Demand Stage 2'!MZ26</f>
        <v>0</v>
      </c>
      <c r="NA27">
        <f>'Demand Stage 2'!NA26</f>
        <v>0</v>
      </c>
      <c r="NB27">
        <f>'Demand Stage 2'!NB26</f>
        <v>0</v>
      </c>
      <c r="NC27">
        <f>'Demand Stage 2'!NC26</f>
        <v>0</v>
      </c>
      <c r="ND27">
        <f>'Demand Stage 2'!ND26</f>
        <v>0</v>
      </c>
      <c r="NE27">
        <f>'Demand Stage 2'!NE26</f>
        <v>0</v>
      </c>
      <c r="NF27">
        <f>'Demand Stage 2'!NF26</f>
        <v>0</v>
      </c>
      <c r="NG27">
        <f>'Demand Stage 2'!NG26</f>
        <v>0</v>
      </c>
      <c r="NH27">
        <f>'Demand Stage 2'!NH26</f>
        <v>0</v>
      </c>
      <c r="NI27">
        <f>'Demand Stage 2'!NI26</f>
        <v>0</v>
      </c>
      <c r="NJ27">
        <f>'Demand Stage 2'!NJ26</f>
        <v>0</v>
      </c>
      <c r="NK27">
        <f>'Demand Stage 2'!NK26</f>
        <v>0</v>
      </c>
      <c r="NL27">
        <f>'Demand Stage 2'!NL26</f>
        <v>0</v>
      </c>
      <c r="NM27">
        <f>'Demand Stage 2'!NM26</f>
        <v>0</v>
      </c>
      <c r="NN27">
        <f>'Demand Stage 2'!NN26</f>
        <v>0</v>
      </c>
      <c r="NO27">
        <f>'Demand Stage 2'!NO26</f>
        <v>0</v>
      </c>
      <c r="NP27">
        <f>'Demand Stage 2'!NP26</f>
        <v>0</v>
      </c>
      <c r="NQ27">
        <f>'Demand Stage 2'!NQ26</f>
        <v>0</v>
      </c>
      <c r="NR27">
        <f>'Demand Stage 2'!NR26</f>
        <v>0</v>
      </c>
      <c r="NS27">
        <f>'Demand Stage 2'!NS26</f>
        <v>0</v>
      </c>
      <c r="NT27">
        <f>'Demand Stage 2'!NT26</f>
        <v>0</v>
      </c>
      <c r="NU27">
        <f>'Demand Stage 2'!NU26</f>
        <v>0</v>
      </c>
      <c r="NV27">
        <f>'Demand Stage 2'!NV26</f>
        <v>0</v>
      </c>
      <c r="NW27">
        <f>'Demand Stage 2'!NW26</f>
        <v>0</v>
      </c>
      <c r="NX27">
        <f>'Demand Stage 2'!NX26</f>
        <v>0</v>
      </c>
      <c r="NY27">
        <f>'Demand Stage 2'!NY26</f>
        <v>0</v>
      </c>
      <c r="NZ27">
        <f>'Demand Stage 2'!NZ26</f>
        <v>0</v>
      </c>
      <c r="OA27">
        <f>'Demand Stage 2'!OA26</f>
        <v>0</v>
      </c>
      <c r="OB27">
        <f>'Demand Stage 2'!OB26</f>
        <v>0</v>
      </c>
      <c r="OC27">
        <f>'Demand Stage 2'!OC26</f>
        <v>0</v>
      </c>
      <c r="OD27">
        <f>'Demand Stage 2'!OD26</f>
        <v>0</v>
      </c>
      <c r="OE27">
        <f>'Demand Stage 2'!OE26</f>
        <v>0</v>
      </c>
      <c r="OF27">
        <f>'Demand Stage 2'!OF26</f>
        <v>0</v>
      </c>
      <c r="OG27">
        <f>'Demand Stage 2'!OG26</f>
        <v>0</v>
      </c>
      <c r="OH27">
        <f>'Demand Stage 2'!OH26</f>
        <v>0</v>
      </c>
      <c r="OI27">
        <f>'Demand Stage 2'!OI26</f>
        <v>0</v>
      </c>
      <c r="OJ27">
        <f>'Demand Stage 2'!OJ26</f>
        <v>0</v>
      </c>
      <c r="OK27">
        <f>'Demand Stage 2'!OK26</f>
        <v>0</v>
      </c>
      <c r="OL27">
        <f>'Demand Stage 2'!OL26</f>
        <v>0</v>
      </c>
      <c r="OM27">
        <f>'Demand Stage 2'!OM26</f>
        <v>0</v>
      </c>
      <c r="ON27">
        <f>'Demand Stage 2'!ON26</f>
        <v>0</v>
      </c>
      <c r="OO27">
        <f>'Demand Stage 2'!OO26</f>
        <v>0</v>
      </c>
      <c r="OP27">
        <f>'Demand Stage 2'!OP26</f>
        <v>0</v>
      </c>
      <c r="OQ27">
        <f>'Demand Stage 2'!OQ26</f>
        <v>0</v>
      </c>
      <c r="OR27">
        <f>'Demand Stage 2'!OR26</f>
        <v>0</v>
      </c>
      <c r="OS27">
        <f>'Demand Stage 2'!OS26</f>
        <v>0</v>
      </c>
      <c r="OT27">
        <f>'Demand Stage 2'!OT26</f>
        <v>0</v>
      </c>
      <c r="OU27">
        <f>'Demand Stage 2'!OU26</f>
        <v>0</v>
      </c>
      <c r="OV27">
        <f>'Demand Stage 2'!OV26</f>
        <v>0</v>
      </c>
      <c r="OW27">
        <f>'Demand Stage 2'!OW26</f>
        <v>0</v>
      </c>
      <c r="OX27">
        <f>'Demand Stage 2'!OX26</f>
        <v>0</v>
      </c>
      <c r="OY27">
        <f>'Demand Stage 2'!OY26</f>
        <v>0</v>
      </c>
      <c r="OZ27">
        <f>'Demand Stage 2'!OZ26</f>
        <v>0</v>
      </c>
      <c r="PA27">
        <f>'Demand Stage 2'!PA26</f>
        <v>0</v>
      </c>
      <c r="PB27">
        <f>'Demand Stage 2'!PB26</f>
        <v>0</v>
      </c>
      <c r="PC27">
        <f>'Demand Stage 2'!PC26</f>
        <v>0</v>
      </c>
      <c r="PD27">
        <f>'Demand Stage 2'!PD26</f>
        <v>0</v>
      </c>
      <c r="PE27">
        <f>'Demand Stage 2'!PE26</f>
        <v>0</v>
      </c>
      <c r="PF27">
        <f>'Demand Stage 2'!PF26</f>
        <v>0</v>
      </c>
      <c r="PG27">
        <f>'Demand Stage 2'!PG26</f>
        <v>0</v>
      </c>
      <c r="PH27">
        <f>'Demand Stage 2'!PH26</f>
        <v>0</v>
      </c>
      <c r="PI27">
        <f>'Demand Stage 2'!PI26</f>
        <v>0</v>
      </c>
      <c r="PJ27">
        <f>'Demand Stage 2'!PJ26</f>
        <v>0</v>
      </c>
      <c r="PK27">
        <f>'Demand Stage 2'!PK26</f>
        <v>0</v>
      </c>
      <c r="PL27">
        <f>'Demand Stage 2'!PL26</f>
        <v>0</v>
      </c>
      <c r="PM27">
        <f>'Demand Stage 2'!PM26</f>
        <v>0</v>
      </c>
      <c r="PN27">
        <f>'Demand Stage 2'!PN26</f>
        <v>0</v>
      </c>
      <c r="PO27">
        <f>'Demand Stage 2'!PO26</f>
        <v>0</v>
      </c>
      <c r="PP27">
        <f>'Demand Stage 2'!PP26</f>
        <v>0</v>
      </c>
      <c r="PQ27">
        <f>'Demand Stage 2'!PQ26</f>
        <v>0</v>
      </c>
      <c r="PR27">
        <f>'Demand Stage 2'!PR26</f>
        <v>0</v>
      </c>
      <c r="PS27">
        <f>'Demand Stage 2'!PS26</f>
        <v>0</v>
      </c>
      <c r="PT27">
        <f>'Demand Stage 2'!PT26</f>
        <v>0</v>
      </c>
      <c r="PU27">
        <f>'Demand Stage 2'!PU26</f>
        <v>0</v>
      </c>
      <c r="PV27">
        <f>'Demand Stage 2'!PV26</f>
        <v>0</v>
      </c>
      <c r="PW27">
        <f>'Demand Stage 2'!PW26</f>
        <v>0</v>
      </c>
      <c r="PX27">
        <f>'Demand Stage 2'!PX26</f>
        <v>0</v>
      </c>
      <c r="PY27">
        <f>'Demand Stage 2'!PY26</f>
        <v>0</v>
      </c>
      <c r="PZ27">
        <f>'Demand Stage 2'!PZ26</f>
        <v>0</v>
      </c>
      <c r="QA27">
        <f>'Demand Stage 2'!QA26</f>
        <v>0</v>
      </c>
      <c r="QB27">
        <f>'Demand Stage 2'!QB26</f>
        <v>0</v>
      </c>
      <c r="QC27">
        <f>'Demand Stage 2'!QC26</f>
        <v>0</v>
      </c>
      <c r="QD27">
        <f>'Demand Stage 2'!QD26</f>
        <v>0</v>
      </c>
      <c r="QE27">
        <f>'Demand Stage 2'!QE26</f>
        <v>0</v>
      </c>
      <c r="QF27">
        <f>'Demand Stage 2'!QF26</f>
        <v>0</v>
      </c>
      <c r="QG27">
        <f>'Demand Stage 2'!QG26</f>
        <v>0</v>
      </c>
      <c r="QH27">
        <f>'Demand Stage 2'!QH26</f>
        <v>0</v>
      </c>
      <c r="QI27">
        <f>'Demand Stage 2'!QI26</f>
        <v>0</v>
      </c>
      <c r="QJ27">
        <f>'Demand Stage 2'!QJ26</f>
        <v>0</v>
      </c>
      <c r="QK27">
        <f>'Demand Stage 2'!QK26</f>
        <v>0</v>
      </c>
      <c r="QL27">
        <f>'Demand Stage 2'!QL26</f>
        <v>0</v>
      </c>
      <c r="QM27">
        <f>'Demand Stage 2'!QM26</f>
        <v>0</v>
      </c>
      <c r="QN27">
        <f>'Demand Stage 2'!QN26</f>
        <v>0</v>
      </c>
      <c r="QO27">
        <f>'Demand Stage 2'!QO26</f>
        <v>0</v>
      </c>
      <c r="QP27">
        <f>'Demand Stage 2'!QP26</f>
        <v>0</v>
      </c>
      <c r="QQ27">
        <f>'Demand Stage 2'!QQ26</f>
        <v>0</v>
      </c>
      <c r="QR27">
        <f>'Demand Stage 2'!QR26</f>
        <v>0</v>
      </c>
      <c r="QS27">
        <f>'Demand Stage 2'!QS26</f>
        <v>0</v>
      </c>
      <c r="QT27">
        <f>'Demand Stage 2'!QT26</f>
        <v>0</v>
      </c>
      <c r="QU27">
        <f>'Demand Stage 2'!QU26</f>
        <v>0</v>
      </c>
      <c r="QV27">
        <f>'Demand Stage 2'!QV26</f>
        <v>0</v>
      </c>
      <c r="QW27">
        <f>'Demand Stage 2'!QW26</f>
        <v>0</v>
      </c>
      <c r="QX27">
        <f>'Demand Stage 2'!QX26</f>
        <v>0</v>
      </c>
      <c r="QY27">
        <f>'Demand Stage 2'!QY26</f>
        <v>0</v>
      </c>
      <c r="QZ27">
        <f>'Demand Stage 2'!QZ26</f>
        <v>0</v>
      </c>
      <c r="RA27">
        <f>'Demand Stage 2'!RA26</f>
        <v>0</v>
      </c>
      <c r="RB27">
        <f>'Demand Stage 2'!RB26</f>
        <v>0</v>
      </c>
      <c r="RC27">
        <f>'Demand Stage 2'!RC26</f>
        <v>0</v>
      </c>
      <c r="RD27">
        <f>'Demand Stage 2'!RD26</f>
        <v>0</v>
      </c>
      <c r="RE27">
        <f>'Demand Stage 2'!RE26</f>
        <v>0</v>
      </c>
      <c r="RF27">
        <f>'Demand Stage 2'!RF26</f>
        <v>0</v>
      </c>
      <c r="RG27">
        <f>'Demand Stage 2'!RG26</f>
        <v>0</v>
      </c>
      <c r="RH27">
        <f>'Demand Stage 2'!RH26</f>
        <v>0</v>
      </c>
      <c r="RI27">
        <f>'Demand Stage 2'!RI26</f>
        <v>0</v>
      </c>
      <c r="RJ27">
        <f>'Demand Stage 2'!RJ26</f>
        <v>0</v>
      </c>
      <c r="RK27">
        <f>'Demand Stage 2'!RK26</f>
        <v>0</v>
      </c>
      <c r="RL27">
        <f>'Demand Stage 2'!RL26</f>
        <v>0</v>
      </c>
      <c r="RM27">
        <f>'Demand Stage 2'!RM26</f>
        <v>0</v>
      </c>
      <c r="RN27">
        <f>'Demand Stage 2'!RN26</f>
        <v>0</v>
      </c>
      <c r="RO27">
        <f>'Demand Stage 2'!RO26</f>
        <v>0</v>
      </c>
      <c r="RP27">
        <f>'Demand Stage 2'!RP26</f>
        <v>0</v>
      </c>
      <c r="RQ27">
        <f>'Demand Stage 2'!RQ26</f>
        <v>0</v>
      </c>
      <c r="RR27">
        <f>'Demand Stage 2'!RR26</f>
        <v>0</v>
      </c>
      <c r="RS27">
        <f>'Demand Stage 2'!RS26</f>
        <v>0</v>
      </c>
      <c r="RT27">
        <f>'Demand Stage 2'!RT26</f>
        <v>0</v>
      </c>
      <c r="RU27">
        <f>'Demand Stage 2'!RU26</f>
        <v>0</v>
      </c>
      <c r="RV27">
        <f>'Demand Stage 2'!RV26</f>
        <v>0</v>
      </c>
      <c r="RW27">
        <f>'Demand Stage 2'!RW26</f>
        <v>0</v>
      </c>
      <c r="RX27">
        <f>'Demand Stage 2'!RX26</f>
        <v>0</v>
      </c>
      <c r="RY27">
        <f>'Demand Stage 2'!RY26</f>
        <v>0</v>
      </c>
      <c r="RZ27">
        <f>'Demand Stage 2'!RZ26</f>
        <v>0</v>
      </c>
      <c r="SA27">
        <f>'Demand Stage 2'!SA26</f>
        <v>0</v>
      </c>
      <c r="SB27">
        <f>'Demand Stage 2'!SB26</f>
        <v>0</v>
      </c>
      <c r="SC27">
        <f>'Demand Stage 2'!SC26</f>
        <v>0</v>
      </c>
      <c r="SD27">
        <f>'Demand Stage 2'!SD26</f>
        <v>0</v>
      </c>
      <c r="SE27">
        <f>'Demand Stage 2'!SE26</f>
        <v>0</v>
      </c>
      <c r="SF27">
        <f>'Demand Stage 2'!SF26</f>
        <v>0</v>
      </c>
      <c r="SG27">
        <f>'Demand Stage 2'!SG26</f>
        <v>0</v>
      </c>
      <c r="SH27">
        <f>'Demand Stage 2'!SH26</f>
        <v>0</v>
      </c>
      <c r="SI27">
        <f>'Demand Stage 2'!SI26</f>
        <v>0</v>
      </c>
      <c r="SJ27">
        <f>'Demand Stage 2'!SJ26</f>
        <v>0</v>
      </c>
      <c r="SK27">
        <f>'Demand Stage 2'!SK26</f>
        <v>0</v>
      </c>
      <c r="SL27">
        <f>'Demand Stage 2'!SL26</f>
        <v>0</v>
      </c>
      <c r="SM27">
        <f>'Demand Stage 2'!SM26</f>
        <v>0</v>
      </c>
      <c r="SN27">
        <f>'Demand Stage 2'!SN26</f>
        <v>0</v>
      </c>
      <c r="SO27">
        <f>'Demand Stage 2'!SO26</f>
        <v>0</v>
      </c>
      <c r="SP27">
        <f>'Demand Stage 2'!SP26</f>
        <v>0</v>
      </c>
      <c r="SQ27">
        <f>'Demand Stage 2'!SQ26</f>
        <v>0</v>
      </c>
      <c r="SR27">
        <f>'Demand Stage 2'!SR26</f>
        <v>0</v>
      </c>
      <c r="SS27">
        <f>'Demand Stage 2'!SS26</f>
        <v>0</v>
      </c>
      <c r="ST27">
        <f>'Demand Stage 2'!ST26</f>
        <v>0</v>
      </c>
      <c r="SU27">
        <f>'Demand Stage 2'!SU26</f>
        <v>0</v>
      </c>
      <c r="SV27">
        <f>'Demand Stage 2'!SV26</f>
        <v>0</v>
      </c>
      <c r="SW27">
        <f>'Demand Stage 2'!SW26</f>
        <v>0</v>
      </c>
      <c r="SX27">
        <f>'Demand Stage 2'!SX26</f>
        <v>0</v>
      </c>
      <c r="SY27">
        <f>'Demand Stage 2'!SY26</f>
        <v>0</v>
      </c>
      <c r="SZ27">
        <f>'Demand Stage 2'!SZ26</f>
        <v>0</v>
      </c>
      <c r="TA27">
        <f>'Demand Stage 2'!TA26</f>
        <v>0</v>
      </c>
      <c r="TB27">
        <f>'Demand Stage 2'!TB26</f>
        <v>0</v>
      </c>
      <c r="TC27">
        <f>'Demand Stage 2'!TC26</f>
        <v>0</v>
      </c>
      <c r="TD27">
        <f>'Demand Stage 2'!TD26</f>
        <v>0</v>
      </c>
      <c r="TE27">
        <f>'Demand Stage 2'!TE26</f>
        <v>0</v>
      </c>
      <c r="TF27">
        <f>'Demand Stage 2'!TF26</f>
        <v>0</v>
      </c>
      <c r="TG27">
        <f>'Demand Stage 2'!TG26</f>
        <v>0</v>
      </c>
      <c r="TH27">
        <f>'Demand Stage 2'!TH26</f>
        <v>0</v>
      </c>
      <c r="TI27">
        <f>'Demand Stage 2'!TI26</f>
        <v>0</v>
      </c>
      <c r="TJ27">
        <f>'Demand Stage 2'!TJ26</f>
        <v>0</v>
      </c>
      <c r="TK27">
        <f>'Demand Stage 2'!TK26</f>
        <v>0</v>
      </c>
      <c r="TL27">
        <f>'Demand Stage 2'!TL26</f>
        <v>0</v>
      </c>
      <c r="TM27">
        <f>'Demand Stage 2'!TM26</f>
        <v>0</v>
      </c>
      <c r="TN27">
        <f>'Demand Stage 2'!TN26</f>
        <v>0</v>
      </c>
      <c r="TO27">
        <f>'Demand Stage 2'!TO26</f>
        <v>0</v>
      </c>
      <c r="TP27">
        <f>'Demand Stage 2'!TP26</f>
        <v>0</v>
      </c>
      <c r="TQ27">
        <f>'Demand Stage 2'!TQ26</f>
        <v>0</v>
      </c>
      <c r="TR27">
        <f>'Demand Stage 2'!TR26</f>
        <v>0</v>
      </c>
      <c r="TS27">
        <f>'Demand Stage 2'!TS26</f>
        <v>0</v>
      </c>
      <c r="TT27">
        <f>'Demand Stage 2'!TT26</f>
        <v>0</v>
      </c>
      <c r="TU27">
        <f>'Demand Stage 2'!TU26</f>
        <v>0</v>
      </c>
      <c r="TV27">
        <f>'Demand Stage 2'!TV26</f>
        <v>0</v>
      </c>
      <c r="TW27">
        <f>'Demand Stage 2'!TW26</f>
        <v>0</v>
      </c>
      <c r="TX27">
        <f>'Demand Stage 2'!TX26</f>
        <v>0</v>
      </c>
      <c r="TY27">
        <f>'Demand Stage 2'!TY26</f>
        <v>0</v>
      </c>
      <c r="TZ27">
        <f>'Demand Stage 2'!TZ26</f>
        <v>0</v>
      </c>
      <c r="UA27">
        <f>'Demand Stage 2'!UA26</f>
        <v>0</v>
      </c>
      <c r="UB27">
        <f>'Demand Stage 2'!UB26</f>
        <v>0</v>
      </c>
      <c r="UC27">
        <f>'Demand Stage 2'!UC26</f>
        <v>0</v>
      </c>
      <c r="UD27">
        <f>'Demand Stage 2'!UD26</f>
        <v>0</v>
      </c>
      <c r="UE27">
        <f>'Demand Stage 2'!UE26</f>
        <v>0</v>
      </c>
      <c r="UF27">
        <f>'Demand Stage 2'!UF26</f>
        <v>0</v>
      </c>
      <c r="UG27">
        <f>'Demand Stage 2'!UG26</f>
        <v>0</v>
      </c>
      <c r="UH27">
        <f>'Demand Stage 2'!UH26</f>
        <v>0</v>
      </c>
      <c r="UI27">
        <f>'Demand Stage 2'!UI26</f>
        <v>0</v>
      </c>
      <c r="UJ27">
        <f>'Demand Stage 2'!UJ26</f>
        <v>0</v>
      </c>
      <c r="UK27">
        <f>'Demand Stage 2'!UK26</f>
        <v>0</v>
      </c>
      <c r="UL27">
        <f>'Demand Stage 2'!UL26</f>
        <v>0</v>
      </c>
      <c r="UM27">
        <f>'Demand Stage 2'!UM26</f>
        <v>0</v>
      </c>
      <c r="UN27">
        <f>'Demand Stage 2'!UN26</f>
        <v>0</v>
      </c>
      <c r="UO27">
        <f>'Demand Stage 2'!UO26</f>
        <v>0</v>
      </c>
      <c r="UP27">
        <f>'Demand Stage 2'!UP26</f>
        <v>0</v>
      </c>
      <c r="UQ27">
        <f>'Demand Stage 2'!UQ26</f>
        <v>0</v>
      </c>
      <c r="UR27">
        <f>'Demand Stage 2'!UR26</f>
        <v>0</v>
      </c>
      <c r="US27">
        <f>'Demand Stage 2'!US26</f>
        <v>0</v>
      </c>
      <c r="UT27">
        <f>'Demand Stage 2'!UT26</f>
        <v>0</v>
      </c>
      <c r="UU27">
        <f>'Demand Stage 2'!UU26</f>
        <v>0</v>
      </c>
      <c r="UV27">
        <f>'Demand Stage 2'!UV26</f>
        <v>0</v>
      </c>
      <c r="UW27">
        <f>'Demand Stage 2'!UW26</f>
        <v>0</v>
      </c>
      <c r="UX27">
        <f>'Demand Stage 2'!UX26</f>
        <v>0</v>
      </c>
      <c r="UY27">
        <f>'Demand Stage 2'!UY26</f>
        <v>0</v>
      </c>
      <c r="UZ27">
        <f>'Demand Stage 2'!UZ26</f>
        <v>0</v>
      </c>
      <c r="VA27">
        <f>'Demand Stage 2'!VA26</f>
        <v>0</v>
      </c>
      <c r="VB27">
        <f>'Demand Stage 2'!VB26</f>
        <v>0</v>
      </c>
      <c r="VC27">
        <f>'Demand Stage 2'!VC26</f>
        <v>0</v>
      </c>
      <c r="VD27">
        <f>'Demand Stage 2'!VD26</f>
        <v>0</v>
      </c>
      <c r="VE27">
        <f>'Demand Stage 2'!VE26</f>
        <v>0</v>
      </c>
      <c r="VF27">
        <f>'Demand Stage 2'!VF26</f>
        <v>0</v>
      </c>
      <c r="VG27">
        <f>'Demand Stage 2'!VG26</f>
        <v>0</v>
      </c>
      <c r="VH27">
        <f>'Demand Stage 2'!VH26</f>
        <v>0</v>
      </c>
      <c r="VI27">
        <f>'Demand Stage 2'!VI26</f>
        <v>0</v>
      </c>
      <c r="VJ27">
        <f>'Demand Stage 2'!VJ26</f>
        <v>0</v>
      </c>
      <c r="VK27">
        <f>'Demand Stage 2'!VK26</f>
        <v>0</v>
      </c>
      <c r="VL27">
        <f>'Demand Stage 2'!VL26</f>
        <v>0</v>
      </c>
      <c r="VM27">
        <f>'Demand Stage 2'!VM26</f>
        <v>0</v>
      </c>
      <c r="VN27">
        <f>'Demand Stage 2'!VN26</f>
        <v>0</v>
      </c>
      <c r="VO27">
        <f>'Demand Stage 2'!VO26</f>
        <v>0</v>
      </c>
      <c r="VP27">
        <f>'Demand Stage 2'!VP26</f>
        <v>0</v>
      </c>
      <c r="VQ27">
        <f>'Demand Stage 2'!VQ26</f>
        <v>0</v>
      </c>
      <c r="VR27">
        <f>'Demand Stage 2'!VR26</f>
        <v>0</v>
      </c>
      <c r="VS27">
        <f>'Demand Stage 2'!VS26</f>
        <v>0</v>
      </c>
      <c r="VT27">
        <f>'Demand Stage 2'!VT26</f>
        <v>0</v>
      </c>
      <c r="VU27">
        <f>'Demand Stage 2'!VU26</f>
        <v>0</v>
      </c>
      <c r="VV27">
        <f>'Demand Stage 2'!VV26</f>
        <v>0</v>
      </c>
      <c r="VW27">
        <f>'Demand Stage 2'!VW26</f>
        <v>0</v>
      </c>
      <c r="VX27">
        <f>'Demand Stage 2'!VX26</f>
        <v>0</v>
      </c>
      <c r="VY27">
        <f>'Demand Stage 2'!VY26</f>
        <v>0</v>
      </c>
      <c r="VZ27">
        <f>'Demand Stage 2'!VZ26</f>
        <v>0</v>
      </c>
      <c r="WA27">
        <f>'Demand Stage 2'!WA26</f>
        <v>0</v>
      </c>
      <c r="WB27">
        <f>'Demand Stage 2'!WB26</f>
        <v>0</v>
      </c>
      <c r="WC27">
        <f>'Demand Stage 2'!WC26</f>
        <v>0</v>
      </c>
      <c r="WD27">
        <f>'Demand Stage 2'!WD26</f>
        <v>0</v>
      </c>
      <c r="WE27">
        <f>'Demand Stage 2'!WE26</f>
        <v>0</v>
      </c>
      <c r="WF27">
        <f>'Demand Stage 2'!WF26</f>
        <v>0</v>
      </c>
      <c r="WG27">
        <f>'Demand Stage 2'!WG26</f>
        <v>0</v>
      </c>
      <c r="WH27">
        <f>'Demand Stage 2'!WH26</f>
        <v>0</v>
      </c>
      <c r="WI27">
        <f>'Demand Stage 2'!WI26</f>
        <v>0</v>
      </c>
      <c r="WJ27">
        <f>'Demand Stage 2'!WJ26</f>
        <v>0</v>
      </c>
      <c r="WK27">
        <f>'Demand Stage 2'!WK26</f>
        <v>0</v>
      </c>
      <c r="WL27">
        <f>'Demand Stage 2'!WL26</f>
        <v>0</v>
      </c>
      <c r="WM27">
        <f>'Demand Stage 2'!WM26</f>
        <v>0</v>
      </c>
      <c r="WN27">
        <f>'Demand Stage 2'!WN26</f>
        <v>0</v>
      </c>
      <c r="WO27">
        <f>'Demand Stage 2'!WO26</f>
        <v>0</v>
      </c>
      <c r="WP27">
        <f>'Demand Stage 2'!WP26</f>
        <v>0</v>
      </c>
      <c r="WQ27">
        <f>'Demand Stage 2'!WQ26</f>
        <v>0</v>
      </c>
      <c r="WR27">
        <f>'Demand Stage 2'!WR26</f>
        <v>0</v>
      </c>
      <c r="WS27">
        <f>'Demand Stage 2'!WS26</f>
        <v>0</v>
      </c>
      <c r="WT27">
        <f>'Demand Stage 2'!WT26</f>
        <v>0</v>
      </c>
      <c r="WU27">
        <f>'Demand Stage 2'!WU26</f>
        <v>0</v>
      </c>
      <c r="WV27">
        <f>'Demand Stage 2'!WV26</f>
        <v>0</v>
      </c>
      <c r="WW27">
        <f>'Demand Stage 2'!WW26</f>
        <v>0</v>
      </c>
      <c r="WX27">
        <f>'Demand Stage 2'!WX26</f>
        <v>0</v>
      </c>
      <c r="WY27">
        <f>'Demand Stage 2'!WY26</f>
        <v>0</v>
      </c>
      <c r="WZ27">
        <f>'Demand Stage 2'!WZ26</f>
        <v>0</v>
      </c>
      <c r="XA27">
        <f>'Demand Stage 2'!XA26</f>
        <v>0</v>
      </c>
      <c r="XB27">
        <f>'Demand Stage 2'!XB26</f>
        <v>0</v>
      </c>
      <c r="XC27">
        <f>'Demand Stage 2'!XC26</f>
        <v>0</v>
      </c>
      <c r="XD27">
        <f>'Demand Stage 2'!XD26</f>
        <v>0</v>
      </c>
      <c r="XE27">
        <f>'Demand Stage 2'!XE26</f>
        <v>0</v>
      </c>
      <c r="XF27">
        <f>'Demand Stage 2'!XF26</f>
        <v>0</v>
      </c>
      <c r="XG27">
        <f>'Demand Stage 2'!XG26</f>
        <v>0</v>
      </c>
      <c r="XH27">
        <f>'Demand Stage 2'!XH26</f>
        <v>0</v>
      </c>
      <c r="XI27">
        <f>'Demand Stage 2'!XI26</f>
        <v>0</v>
      </c>
      <c r="XJ27">
        <f>'Demand Stage 2'!XJ26</f>
        <v>0</v>
      </c>
      <c r="XK27">
        <f>'Demand Stage 2'!XK26</f>
        <v>0</v>
      </c>
      <c r="XL27">
        <f>'Demand Stage 2'!XL26</f>
        <v>0</v>
      </c>
      <c r="XM27">
        <f>'Demand Stage 2'!XM26</f>
        <v>0</v>
      </c>
      <c r="XN27">
        <f>'Demand Stage 2'!XN26</f>
        <v>0</v>
      </c>
      <c r="XO27">
        <f>'Demand Stage 2'!XO26</f>
        <v>0</v>
      </c>
      <c r="XP27">
        <f>'Demand Stage 2'!XP26</f>
        <v>0</v>
      </c>
      <c r="XQ27">
        <f>'Demand Stage 2'!XQ26</f>
        <v>0</v>
      </c>
      <c r="XR27">
        <f>'Demand Stage 2'!XR26</f>
        <v>0</v>
      </c>
      <c r="XS27">
        <f>'Demand Stage 2'!XS26</f>
        <v>0</v>
      </c>
      <c r="XT27">
        <f>'Demand Stage 2'!XT26</f>
        <v>0</v>
      </c>
      <c r="XU27">
        <f>'Demand Stage 2'!XU26</f>
        <v>0</v>
      </c>
      <c r="XV27">
        <f>'Demand Stage 2'!XV26</f>
        <v>0</v>
      </c>
      <c r="XW27">
        <f>'Demand Stage 2'!XW26</f>
        <v>0</v>
      </c>
      <c r="XX27">
        <f>'Demand Stage 2'!XX26</f>
        <v>0</v>
      </c>
      <c r="XY27">
        <f>'Demand Stage 2'!XY26</f>
        <v>0</v>
      </c>
      <c r="XZ27">
        <f>'Demand Stage 2'!XZ26</f>
        <v>0</v>
      </c>
      <c r="YA27">
        <f>'Demand Stage 2'!YA26</f>
        <v>0</v>
      </c>
      <c r="YB27">
        <f>'Demand Stage 2'!YB26</f>
        <v>0</v>
      </c>
      <c r="YC27">
        <f>'Demand Stage 2'!YC26</f>
        <v>0</v>
      </c>
      <c r="YD27">
        <f>'Demand Stage 2'!YD26</f>
        <v>0</v>
      </c>
      <c r="YE27">
        <f>'Demand Stage 2'!YE26</f>
        <v>0</v>
      </c>
      <c r="YF27">
        <f>'Demand Stage 2'!YF26</f>
        <v>0</v>
      </c>
      <c r="YG27">
        <f>'Demand Stage 2'!YG26</f>
        <v>0</v>
      </c>
      <c r="YH27">
        <f>'Demand Stage 2'!YH26</f>
        <v>0</v>
      </c>
      <c r="YI27">
        <f>'Demand Stage 2'!YI26</f>
        <v>0</v>
      </c>
      <c r="YJ27">
        <f>'Demand Stage 2'!YJ26</f>
        <v>0</v>
      </c>
      <c r="YK27">
        <f>'Demand Stage 2'!YK26</f>
        <v>0</v>
      </c>
      <c r="YL27">
        <f>'Demand Stage 2'!YL26</f>
        <v>0</v>
      </c>
      <c r="YM27">
        <f>'Demand Stage 2'!YM26</f>
        <v>0</v>
      </c>
      <c r="YN27">
        <f>'Demand Stage 2'!YN26</f>
        <v>0</v>
      </c>
      <c r="YO27">
        <f>'Demand Stage 2'!YO26</f>
        <v>0</v>
      </c>
      <c r="YP27">
        <f>'Demand Stage 2'!YP26</f>
        <v>0</v>
      </c>
      <c r="YQ27">
        <f>'Demand Stage 2'!YQ26</f>
        <v>0</v>
      </c>
      <c r="YR27">
        <f>'Demand Stage 2'!YR26</f>
        <v>0</v>
      </c>
      <c r="YS27">
        <f>'Demand Stage 2'!YS26</f>
        <v>0</v>
      </c>
      <c r="YT27">
        <f>'Demand Stage 2'!YT26</f>
        <v>0</v>
      </c>
      <c r="YU27">
        <f>'Demand Stage 2'!YU26</f>
        <v>0</v>
      </c>
      <c r="YV27">
        <f>'Demand Stage 2'!YV26</f>
        <v>0</v>
      </c>
      <c r="YW27">
        <f>'Demand Stage 2'!YW26</f>
        <v>0</v>
      </c>
      <c r="YX27">
        <f>'Demand Stage 2'!YX26</f>
        <v>0</v>
      </c>
      <c r="YY27">
        <f>'Demand Stage 2'!YY26</f>
        <v>0</v>
      </c>
      <c r="YZ27">
        <f>'Demand Stage 2'!YZ26</f>
        <v>0</v>
      </c>
      <c r="ZA27">
        <f>'Demand Stage 2'!ZA26</f>
        <v>0</v>
      </c>
      <c r="ZB27">
        <f>'Demand Stage 2'!ZB26</f>
        <v>0</v>
      </c>
      <c r="ZC27">
        <f>'Demand Stage 2'!ZC26</f>
        <v>0</v>
      </c>
      <c r="ZD27">
        <f>'Demand Stage 2'!ZD26</f>
        <v>0</v>
      </c>
      <c r="ZE27">
        <f>'Demand Stage 2'!ZE26</f>
        <v>0</v>
      </c>
      <c r="ZF27">
        <f>'Demand Stage 2'!ZF26</f>
        <v>0</v>
      </c>
      <c r="ZG27">
        <f>'Demand Stage 2'!ZG26</f>
        <v>0</v>
      </c>
      <c r="ZH27">
        <f>'Demand Stage 2'!ZH26</f>
        <v>0</v>
      </c>
      <c r="ZI27">
        <f>'Demand Stage 2'!ZI26</f>
        <v>0</v>
      </c>
      <c r="ZJ27">
        <f>'Demand Stage 2'!ZJ26</f>
        <v>0</v>
      </c>
      <c r="ZK27">
        <f>'Demand Stage 2'!ZK26</f>
        <v>0</v>
      </c>
      <c r="ZL27">
        <f>'Demand Stage 2'!ZL26</f>
        <v>0</v>
      </c>
      <c r="ZM27">
        <f>'Demand Stage 2'!ZM26</f>
        <v>0</v>
      </c>
      <c r="ZN27">
        <f>'Demand Stage 2'!ZN26</f>
        <v>0</v>
      </c>
      <c r="ZO27">
        <f>'Demand Stage 2'!ZO26</f>
        <v>0</v>
      </c>
      <c r="ZP27">
        <f>'Demand Stage 2'!ZP26</f>
        <v>0</v>
      </c>
      <c r="ZQ27">
        <f>'Demand Stage 2'!ZQ26</f>
        <v>0</v>
      </c>
      <c r="ZR27">
        <f>'Demand Stage 2'!ZR26</f>
        <v>0</v>
      </c>
      <c r="ZS27">
        <f>'Demand Stage 2'!ZS26</f>
        <v>0</v>
      </c>
      <c r="ZT27">
        <f>'Demand Stage 2'!ZT26</f>
        <v>0</v>
      </c>
      <c r="ZU27">
        <f>'Demand Stage 2'!ZU26</f>
        <v>0</v>
      </c>
      <c r="ZV27">
        <f>'Demand Stage 2'!ZV26</f>
        <v>0</v>
      </c>
      <c r="ZW27">
        <f>'Demand Stage 2'!ZW26</f>
        <v>0</v>
      </c>
      <c r="ZX27">
        <f>'Demand Stage 2'!ZX26</f>
        <v>0</v>
      </c>
      <c r="ZY27">
        <f>'Demand Stage 2'!ZY26</f>
        <v>0</v>
      </c>
      <c r="ZZ27">
        <f>'Demand Stage 2'!ZZ26</f>
        <v>0</v>
      </c>
      <c r="AAA27">
        <f>'Demand Stage 2'!AAA26</f>
        <v>0</v>
      </c>
      <c r="AAB27">
        <f>'Demand Stage 2'!AAB26</f>
        <v>0</v>
      </c>
      <c r="AAC27">
        <f>'Demand Stage 2'!AAC26</f>
        <v>0</v>
      </c>
      <c r="AAD27">
        <f t="shared" si="33"/>
        <v>0</v>
      </c>
      <c r="AAE27">
        <f t="shared" si="66"/>
        <v>0</v>
      </c>
      <c r="AAF27">
        <f t="shared" si="67"/>
        <v>0</v>
      </c>
      <c r="AAG27">
        <f t="shared" si="68"/>
        <v>0</v>
      </c>
      <c r="AAH27">
        <f t="shared" si="69"/>
        <v>0</v>
      </c>
      <c r="AAI27">
        <f t="shared" si="70"/>
        <v>0</v>
      </c>
      <c r="AAJ27">
        <f t="shared" si="71"/>
        <v>0</v>
      </c>
      <c r="AAK27">
        <f t="shared" si="72"/>
        <v>0</v>
      </c>
      <c r="AAL27">
        <f t="shared" si="73"/>
        <v>0</v>
      </c>
      <c r="AAM27">
        <f t="shared" si="74"/>
        <v>0</v>
      </c>
      <c r="AAN27">
        <f t="shared" si="75"/>
        <v>0</v>
      </c>
      <c r="AAO27">
        <f t="shared" si="76"/>
        <v>0</v>
      </c>
      <c r="AAP27">
        <f t="shared" si="77"/>
        <v>0</v>
      </c>
      <c r="AAQ27">
        <f t="shared" si="78"/>
        <v>0</v>
      </c>
      <c r="AAR27">
        <f t="shared" si="79"/>
        <v>0</v>
      </c>
      <c r="AAS27">
        <f t="shared" si="80"/>
        <v>0</v>
      </c>
      <c r="AAT27">
        <f t="shared" si="81"/>
        <v>0</v>
      </c>
      <c r="AAU27">
        <f t="shared" si="82"/>
        <v>0</v>
      </c>
      <c r="AAV27">
        <f t="shared" si="83"/>
        <v>0</v>
      </c>
      <c r="AAW27">
        <f t="shared" si="84"/>
        <v>0</v>
      </c>
      <c r="AAX27">
        <f t="shared" si="85"/>
        <v>0</v>
      </c>
      <c r="AAY27">
        <f t="shared" si="86"/>
        <v>0</v>
      </c>
      <c r="AAZ27">
        <f t="shared" si="87"/>
        <v>0</v>
      </c>
      <c r="ABA27">
        <f t="shared" si="88"/>
        <v>0</v>
      </c>
      <c r="ABB27">
        <f t="shared" si="89"/>
        <v>0</v>
      </c>
      <c r="ABC27">
        <f t="shared" si="90"/>
        <v>0</v>
      </c>
      <c r="ABD27">
        <f t="shared" si="91"/>
        <v>0</v>
      </c>
      <c r="ABE27">
        <f t="shared" si="92"/>
        <v>0</v>
      </c>
      <c r="ABF27">
        <f t="shared" si="93"/>
        <v>0</v>
      </c>
      <c r="ABG27">
        <f t="shared" si="94"/>
        <v>0</v>
      </c>
      <c r="ABH27">
        <f t="shared" si="95"/>
        <v>0</v>
      </c>
      <c r="ABI27">
        <f t="shared" si="96"/>
        <v>0</v>
      </c>
      <c r="ABJ27">
        <f t="shared" si="97"/>
        <v>0</v>
      </c>
      <c r="ABK27">
        <f t="shared" si="98"/>
        <v>0</v>
      </c>
      <c r="ABL27">
        <f t="shared" si="99"/>
        <v>0</v>
      </c>
      <c r="ABM27">
        <f t="shared" si="100"/>
        <v>0</v>
      </c>
      <c r="ABN27">
        <f t="shared" si="101"/>
        <v>0</v>
      </c>
      <c r="ABO27">
        <f t="shared" si="102"/>
        <v>0</v>
      </c>
      <c r="ABP27">
        <f t="shared" si="103"/>
        <v>0</v>
      </c>
      <c r="ABQ27">
        <f t="shared" si="104"/>
        <v>0</v>
      </c>
      <c r="ABR27">
        <f t="shared" si="105"/>
        <v>0</v>
      </c>
      <c r="ABS27">
        <f t="shared" si="106"/>
        <v>0</v>
      </c>
      <c r="ABT27">
        <f t="shared" si="107"/>
        <v>0</v>
      </c>
      <c r="ABU27">
        <f t="shared" si="108"/>
        <v>0</v>
      </c>
      <c r="ABV27">
        <f t="shared" si="109"/>
        <v>0</v>
      </c>
      <c r="ABW27">
        <f t="shared" si="110"/>
        <v>0</v>
      </c>
      <c r="ABX27">
        <f t="shared" si="111"/>
        <v>0</v>
      </c>
      <c r="ABY27">
        <f t="shared" si="112"/>
        <v>0</v>
      </c>
      <c r="ABZ27">
        <f t="shared" si="113"/>
        <v>0</v>
      </c>
      <c r="ACA27">
        <f t="shared" si="114"/>
        <v>0</v>
      </c>
      <c r="ACB27">
        <f t="shared" si="115"/>
        <v>0</v>
      </c>
      <c r="ACC27">
        <f t="shared" si="116"/>
        <v>0</v>
      </c>
      <c r="ACD27">
        <f t="shared" si="117"/>
        <v>0</v>
      </c>
      <c r="ACE27">
        <f t="shared" si="118"/>
        <v>0</v>
      </c>
      <c r="ACF27">
        <f t="shared" si="119"/>
        <v>0</v>
      </c>
      <c r="ACG27">
        <f t="shared" si="120"/>
        <v>0</v>
      </c>
      <c r="ACH27">
        <f t="shared" si="121"/>
        <v>0</v>
      </c>
      <c r="ACI27">
        <f t="shared" si="122"/>
        <v>0</v>
      </c>
      <c r="ACJ27">
        <f t="shared" si="123"/>
        <v>0</v>
      </c>
      <c r="ACK27">
        <f t="shared" si="124"/>
        <v>0</v>
      </c>
      <c r="ACL27">
        <f t="shared" si="125"/>
        <v>0</v>
      </c>
      <c r="ACM27">
        <f t="shared" si="126"/>
        <v>0</v>
      </c>
      <c r="ACN27">
        <f t="shared" si="127"/>
        <v>0</v>
      </c>
      <c r="ACO27">
        <f t="shared" si="128"/>
        <v>0</v>
      </c>
      <c r="ACP27">
        <f t="shared" si="34"/>
        <v>0</v>
      </c>
      <c r="ACQ27">
        <f t="shared" si="129"/>
        <v>0</v>
      </c>
      <c r="ACR27">
        <f t="shared" si="130"/>
        <v>0</v>
      </c>
      <c r="ACS27">
        <f t="shared" si="131"/>
        <v>0</v>
      </c>
      <c r="ACT27">
        <f t="shared" si="132"/>
        <v>0</v>
      </c>
      <c r="ACU27">
        <f t="shared" si="133"/>
        <v>0</v>
      </c>
      <c r="ACV27">
        <f t="shared" si="134"/>
        <v>0</v>
      </c>
      <c r="ACW27">
        <f t="shared" si="135"/>
        <v>0</v>
      </c>
      <c r="ACX27">
        <f t="shared" si="136"/>
        <v>0</v>
      </c>
      <c r="ACY27">
        <f t="shared" si="137"/>
        <v>0</v>
      </c>
      <c r="ACZ27">
        <f t="shared" si="138"/>
        <v>0</v>
      </c>
      <c r="ADA27">
        <f t="shared" si="139"/>
        <v>0</v>
      </c>
      <c r="ADB27">
        <f t="shared" si="140"/>
        <v>0</v>
      </c>
      <c r="ADC27">
        <f t="shared" si="141"/>
        <v>0</v>
      </c>
      <c r="ADD27">
        <f t="shared" si="142"/>
        <v>0</v>
      </c>
      <c r="ADE27">
        <f t="shared" si="143"/>
        <v>0</v>
      </c>
      <c r="ADF27">
        <f t="shared" si="144"/>
        <v>0</v>
      </c>
      <c r="ADG27">
        <f t="shared" si="145"/>
        <v>0</v>
      </c>
      <c r="ADH27">
        <f t="shared" si="146"/>
        <v>0</v>
      </c>
      <c r="ADI27">
        <f t="shared" si="147"/>
        <v>0</v>
      </c>
      <c r="ADJ27">
        <f t="shared" si="148"/>
        <v>0</v>
      </c>
      <c r="ADK27">
        <f t="shared" si="149"/>
        <v>0</v>
      </c>
      <c r="ADL27">
        <f t="shared" si="150"/>
        <v>0</v>
      </c>
      <c r="ADM27">
        <f t="shared" si="151"/>
        <v>0</v>
      </c>
      <c r="ADN27">
        <f t="shared" si="152"/>
        <v>0</v>
      </c>
      <c r="ADO27">
        <f t="shared" si="153"/>
        <v>0</v>
      </c>
      <c r="ADP27">
        <f t="shared" si="154"/>
        <v>0</v>
      </c>
      <c r="ADQ27">
        <f t="shared" si="155"/>
        <v>0</v>
      </c>
      <c r="ADR27">
        <f t="shared" si="156"/>
        <v>0</v>
      </c>
      <c r="ADS27">
        <f t="shared" si="157"/>
        <v>0</v>
      </c>
      <c r="ADT27">
        <f t="shared" si="158"/>
        <v>0</v>
      </c>
      <c r="ADU27">
        <f t="shared" si="159"/>
        <v>0</v>
      </c>
      <c r="ADV27">
        <f t="shared" si="160"/>
        <v>0</v>
      </c>
      <c r="ADW27">
        <f t="shared" si="161"/>
        <v>0</v>
      </c>
      <c r="ADX27">
        <f t="shared" si="162"/>
        <v>0</v>
      </c>
      <c r="ADY27">
        <f t="shared" si="163"/>
        <v>0</v>
      </c>
      <c r="ADZ27">
        <f t="shared" si="164"/>
        <v>0</v>
      </c>
      <c r="AEA27">
        <f t="shared" si="165"/>
        <v>0</v>
      </c>
      <c r="AEB27">
        <f t="shared" si="166"/>
        <v>0</v>
      </c>
      <c r="AEC27">
        <f t="shared" si="167"/>
        <v>0</v>
      </c>
      <c r="AED27">
        <f t="shared" si="168"/>
        <v>0</v>
      </c>
      <c r="AEE27">
        <f t="shared" si="169"/>
        <v>0</v>
      </c>
      <c r="AEF27">
        <f t="shared" si="170"/>
        <v>0</v>
      </c>
      <c r="AEG27">
        <f t="shared" si="171"/>
        <v>0</v>
      </c>
      <c r="AEH27">
        <f t="shared" si="172"/>
        <v>0</v>
      </c>
      <c r="AEI27">
        <f t="shared" si="173"/>
        <v>0</v>
      </c>
      <c r="AEJ27">
        <f t="shared" si="174"/>
        <v>0</v>
      </c>
      <c r="AEK27">
        <f t="shared" si="175"/>
        <v>0</v>
      </c>
      <c r="AEL27">
        <f t="shared" si="176"/>
        <v>0</v>
      </c>
      <c r="AEM27">
        <f t="shared" si="177"/>
        <v>0</v>
      </c>
      <c r="AEN27">
        <f t="shared" si="178"/>
        <v>0</v>
      </c>
      <c r="AEO27">
        <f t="shared" si="179"/>
        <v>0</v>
      </c>
      <c r="AEP27">
        <f t="shared" si="180"/>
        <v>0</v>
      </c>
      <c r="AEQ27">
        <f t="shared" si="181"/>
        <v>0</v>
      </c>
      <c r="AER27">
        <f t="shared" si="182"/>
        <v>0</v>
      </c>
      <c r="AES27">
        <f t="shared" si="183"/>
        <v>0</v>
      </c>
      <c r="AET27">
        <f t="shared" si="184"/>
        <v>0</v>
      </c>
      <c r="AEU27">
        <f t="shared" si="185"/>
        <v>0</v>
      </c>
      <c r="AEV27">
        <f t="shared" si="186"/>
        <v>0</v>
      </c>
      <c r="AEW27">
        <f t="shared" si="187"/>
        <v>0</v>
      </c>
      <c r="AEX27">
        <f t="shared" si="188"/>
        <v>0</v>
      </c>
      <c r="AEY27">
        <f t="shared" si="189"/>
        <v>0</v>
      </c>
      <c r="AEZ27">
        <f t="shared" si="190"/>
        <v>0</v>
      </c>
      <c r="AFA27">
        <f t="shared" si="191"/>
        <v>0</v>
      </c>
      <c r="AFB27">
        <f t="shared" si="35"/>
        <v>0</v>
      </c>
      <c r="AFC27">
        <f t="shared" si="192"/>
        <v>0</v>
      </c>
      <c r="AFD27">
        <f t="shared" si="193"/>
        <v>0</v>
      </c>
      <c r="AFE27">
        <f t="shared" si="194"/>
        <v>0</v>
      </c>
      <c r="AFF27">
        <f t="shared" si="195"/>
        <v>0</v>
      </c>
      <c r="AFG27">
        <f t="shared" si="196"/>
        <v>0</v>
      </c>
      <c r="AFH27">
        <f t="shared" si="197"/>
        <v>0</v>
      </c>
      <c r="AFI27">
        <f t="shared" si="198"/>
        <v>0</v>
      </c>
      <c r="AFJ27">
        <f t="shared" si="199"/>
        <v>0</v>
      </c>
      <c r="AFK27">
        <f t="shared" si="200"/>
        <v>0</v>
      </c>
      <c r="AFL27">
        <f t="shared" si="201"/>
        <v>0</v>
      </c>
      <c r="AFM27">
        <f t="shared" si="202"/>
        <v>0</v>
      </c>
      <c r="AFN27">
        <f t="shared" si="203"/>
        <v>0</v>
      </c>
      <c r="AFO27">
        <f t="shared" si="204"/>
        <v>0</v>
      </c>
      <c r="AFP27">
        <f t="shared" si="205"/>
        <v>0</v>
      </c>
      <c r="AFQ27">
        <f t="shared" si="206"/>
        <v>0</v>
      </c>
      <c r="AFR27">
        <f t="shared" si="207"/>
        <v>0</v>
      </c>
      <c r="AFS27">
        <f t="shared" si="208"/>
        <v>0</v>
      </c>
      <c r="AFT27">
        <f t="shared" si="209"/>
        <v>0</v>
      </c>
      <c r="AFU27">
        <f t="shared" si="210"/>
        <v>0</v>
      </c>
      <c r="AFV27">
        <f t="shared" si="211"/>
        <v>0</v>
      </c>
      <c r="AFW27">
        <f t="shared" si="212"/>
        <v>0</v>
      </c>
      <c r="AFX27">
        <f t="shared" si="213"/>
        <v>0</v>
      </c>
      <c r="AFY27">
        <f t="shared" si="214"/>
        <v>0</v>
      </c>
      <c r="AFZ27">
        <f t="shared" si="215"/>
        <v>0</v>
      </c>
      <c r="AGA27">
        <f t="shared" si="216"/>
        <v>0</v>
      </c>
      <c r="AGB27">
        <f t="shared" si="217"/>
        <v>0</v>
      </c>
      <c r="AGC27">
        <f t="shared" si="218"/>
        <v>0</v>
      </c>
      <c r="AGD27">
        <f t="shared" si="219"/>
        <v>0</v>
      </c>
      <c r="AGE27">
        <f t="shared" si="220"/>
        <v>0</v>
      </c>
      <c r="AGF27">
        <f t="shared" si="221"/>
        <v>0</v>
      </c>
      <c r="AGG27">
        <f t="shared" si="222"/>
        <v>0</v>
      </c>
      <c r="AGH27">
        <f t="shared" si="223"/>
        <v>0</v>
      </c>
      <c r="AGI27">
        <f t="shared" si="224"/>
        <v>0</v>
      </c>
      <c r="AGJ27">
        <f t="shared" si="225"/>
        <v>0</v>
      </c>
      <c r="AGK27">
        <f t="shared" si="226"/>
        <v>0</v>
      </c>
      <c r="AGL27">
        <f t="shared" si="227"/>
        <v>0</v>
      </c>
      <c r="AGM27">
        <f t="shared" si="228"/>
        <v>0</v>
      </c>
      <c r="AGN27">
        <f t="shared" si="229"/>
        <v>0</v>
      </c>
      <c r="AGO27">
        <f t="shared" si="230"/>
        <v>0</v>
      </c>
      <c r="AGP27">
        <f t="shared" si="231"/>
        <v>0</v>
      </c>
      <c r="AGQ27">
        <f t="shared" si="232"/>
        <v>0</v>
      </c>
      <c r="AGR27">
        <f t="shared" si="233"/>
        <v>0</v>
      </c>
      <c r="AGS27">
        <f t="shared" si="234"/>
        <v>0</v>
      </c>
      <c r="AGT27">
        <f t="shared" si="235"/>
        <v>0</v>
      </c>
      <c r="AGU27">
        <f t="shared" si="236"/>
        <v>0</v>
      </c>
      <c r="AGV27">
        <f t="shared" si="237"/>
        <v>0</v>
      </c>
      <c r="AGW27">
        <f t="shared" si="238"/>
        <v>0</v>
      </c>
      <c r="AGX27">
        <f t="shared" si="239"/>
        <v>0</v>
      </c>
      <c r="AGY27">
        <f t="shared" si="240"/>
        <v>0</v>
      </c>
      <c r="AGZ27">
        <f t="shared" si="241"/>
        <v>0</v>
      </c>
      <c r="AHA27">
        <f t="shared" si="242"/>
        <v>0</v>
      </c>
      <c r="AHB27">
        <f t="shared" si="243"/>
        <v>0</v>
      </c>
      <c r="AHC27">
        <f t="shared" si="244"/>
        <v>0</v>
      </c>
      <c r="AHD27">
        <f t="shared" si="245"/>
        <v>0</v>
      </c>
      <c r="AHE27">
        <f t="shared" si="246"/>
        <v>0</v>
      </c>
      <c r="AHF27">
        <f t="shared" si="247"/>
        <v>0</v>
      </c>
      <c r="AHG27">
        <f t="shared" si="248"/>
        <v>0</v>
      </c>
      <c r="AHH27">
        <f t="shared" si="249"/>
        <v>0</v>
      </c>
      <c r="AHI27">
        <f t="shared" si="250"/>
        <v>0</v>
      </c>
      <c r="AHJ27">
        <f t="shared" si="251"/>
        <v>0</v>
      </c>
      <c r="AHK27">
        <f t="shared" si="252"/>
        <v>0</v>
      </c>
      <c r="AHL27">
        <f t="shared" si="253"/>
        <v>0</v>
      </c>
      <c r="AHM27">
        <f t="shared" si="254"/>
        <v>0</v>
      </c>
      <c r="AHN27">
        <f t="shared" si="36"/>
        <v>0</v>
      </c>
      <c r="AHO27">
        <f t="shared" si="255"/>
        <v>0</v>
      </c>
      <c r="AHP27">
        <f t="shared" si="256"/>
        <v>0</v>
      </c>
      <c r="AHQ27">
        <f t="shared" si="257"/>
        <v>0</v>
      </c>
      <c r="AHR27">
        <f t="shared" si="258"/>
        <v>0</v>
      </c>
      <c r="AHS27">
        <f t="shared" si="259"/>
        <v>0</v>
      </c>
      <c r="AHT27">
        <f t="shared" si="260"/>
        <v>0</v>
      </c>
      <c r="AHU27">
        <f t="shared" si="261"/>
        <v>0</v>
      </c>
      <c r="AHV27">
        <f t="shared" si="262"/>
        <v>0</v>
      </c>
      <c r="AHW27">
        <f t="shared" si="263"/>
        <v>0</v>
      </c>
      <c r="AHX27">
        <f t="shared" si="264"/>
        <v>0</v>
      </c>
      <c r="AHY27">
        <f t="shared" si="265"/>
        <v>0</v>
      </c>
      <c r="AHZ27">
        <f t="shared" si="266"/>
        <v>0</v>
      </c>
      <c r="AIA27">
        <f t="shared" si="267"/>
        <v>0</v>
      </c>
      <c r="AIB27">
        <f t="shared" si="268"/>
        <v>0</v>
      </c>
      <c r="AIC27">
        <f t="shared" si="269"/>
        <v>0</v>
      </c>
      <c r="AID27">
        <f t="shared" si="270"/>
        <v>0</v>
      </c>
      <c r="AIE27">
        <f t="shared" si="271"/>
        <v>0</v>
      </c>
      <c r="AIF27">
        <f t="shared" si="272"/>
        <v>0</v>
      </c>
      <c r="AIG27">
        <f t="shared" si="273"/>
        <v>0</v>
      </c>
      <c r="AIH27">
        <f t="shared" si="274"/>
        <v>0</v>
      </c>
      <c r="AII27">
        <f t="shared" si="275"/>
        <v>0</v>
      </c>
      <c r="AIJ27">
        <f t="shared" si="276"/>
        <v>0</v>
      </c>
      <c r="AIK27">
        <f t="shared" si="277"/>
        <v>0</v>
      </c>
      <c r="AIL27">
        <f t="shared" si="278"/>
        <v>0</v>
      </c>
      <c r="AIM27">
        <f t="shared" si="279"/>
        <v>0</v>
      </c>
      <c r="AIN27">
        <f t="shared" si="280"/>
        <v>0</v>
      </c>
      <c r="AIO27">
        <f t="shared" si="281"/>
        <v>0</v>
      </c>
      <c r="AIP27">
        <f t="shared" si="282"/>
        <v>0</v>
      </c>
      <c r="AIQ27">
        <f t="shared" si="283"/>
        <v>0</v>
      </c>
      <c r="AIR27">
        <f t="shared" si="284"/>
        <v>0</v>
      </c>
      <c r="AIS27">
        <f t="shared" si="285"/>
        <v>0</v>
      </c>
      <c r="AIT27">
        <f t="shared" si="286"/>
        <v>0</v>
      </c>
      <c r="AIU27">
        <f t="shared" si="287"/>
        <v>0</v>
      </c>
      <c r="AIV27">
        <f t="shared" si="288"/>
        <v>0</v>
      </c>
      <c r="AIW27">
        <f t="shared" si="289"/>
        <v>0</v>
      </c>
      <c r="AIX27">
        <f t="shared" si="290"/>
        <v>0</v>
      </c>
      <c r="AIY27">
        <f t="shared" si="291"/>
        <v>0</v>
      </c>
      <c r="AIZ27">
        <f t="shared" si="292"/>
        <v>0</v>
      </c>
      <c r="AJA27">
        <f t="shared" si="293"/>
        <v>0</v>
      </c>
      <c r="AJB27">
        <f t="shared" si="294"/>
        <v>0</v>
      </c>
      <c r="AJC27">
        <f t="shared" si="295"/>
        <v>0</v>
      </c>
      <c r="AJD27">
        <f t="shared" si="296"/>
        <v>0</v>
      </c>
      <c r="AJE27">
        <f t="shared" si="297"/>
        <v>0</v>
      </c>
      <c r="AJF27">
        <f t="shared" si="298"/>
        <v>0</v>
      </c>
      <c r="AJG27">
        <f t="shared" si="299"/>
        <v>0</v>
      </c>
      <c r="AJH27">
        <f t="shared" si="300"/>
        <v>0</v>
      </c>
      <c r="AJI27">
        <f t="shared" si="301"/>
        <v>0</v>
      </c>
      <c r="AJJ27">
        <f t="shared" si="302"/>
        <v>0</v>
      </c>
      <c r="AJK27">
        <f t="shared" si="303"/>
        <v>0</v>
      </c>
      <c r="AJL27">
        <f t="shared" si="304"/>
        <v>0</v>
      </c>
      <c r="AJM27">
        <f t="shared" si="305"/>
        <v>0</v>
      </c>
      <c r="AJN27">
        <f t="shared" si="306"/>
        <v>0</v>
      </c>
      <c r="AJO27">
        <f t="shared" si="307"/>
        <v>0</v>
      </c>
      <c r="AJP27">
        <f t="shared" si="308"/>
        <v>0</v>
      </c>
      <c r="AJQ27">
        <f t="shared" si="309"/>
        <v>0</v>
      </c>
      <c r="AJR27">
        <f t="shared" si="310"/>
        <v>0</v>
      </c>
      <c r="AJS27">
        <f t="shared" si="311"/>
        <v>0</v>
      </c>
      <c r="AJT27">
        <f t="shared" si="312"/>
        <v>0</v>
      </c>
      <c r="AJU27">
        <f t="shared" si="313"/>
        <v>0</v>
      </c>
      <c r="AJV27">
        <f t="shared" si="314"/>
        <v>0</v>
      </c>
      <c r="AJW27">
        <f t="shared" si="315"/>
        <v>0</v>
      </c>
      <c r="AJX27">
        <f t="shared" si="316"/>
        <v>0</v>
      </c>
      <c r="AJY27">
        <f t="shared" si="317"/>
        <v>0</v>
      </c>
      <c r="AJZ27">
        <f t="shared" si="37"/>
        <v>0</v>
      </c>
      <c r="AKA27">
        <f t="shared" si="318"/>
        <v>0</v>
      </c>
      <c r="AKB27">
        <f t="shared" si="319"/>
        <v>0</v>
      </c>
      <c r="AKC27">
        <f t="shared" si="320"/>
        <v>0</v>
      </c>
      <c r="AKD27">
        <f t="shared" si="321"/>
        <v>0</v>
      </c>
      <c r="AKE27">
        <f t="shared" si="322"/>
        <v>0</v>
      </c>
      <c r="AKF27">
        <f t="shared" si="323"/>
        <v>0</v>
      </c>
      <c r="AKG27">
        <f t="shared" si="324"/>
        <v>0</v>
      </c>
      <c r="AKH27">
        <f t="shared" si="325"/>
        <v>0</v>
      </c>
      <c r="AKI27">
        <f t="shared" si="326"/>
        <v>0</v>
      </c>
      <c r="AKJ27">
        <f t="shared" si="327"/>
        <v>0</v>
      </c>
      <c r="AKK27">
        <f t="shared" si="328"/>
        <v>0</v>
      </c>
      <c r="AKL27">
        <f t="shared" si="329"/>
        <v>0</v>
      </c>
      <c r="AKM27">
        <f t="shared" si="330"/>
        <v>0</v>
      </c>
      <c r="AKN27">
        <f t="shared" si="331"/>
        <v>0</v>
      </c>
      <c r="AKO27">
        <f t="shared" si="332"/>
        <v>0</v>
      </c>
      <c r="AKP27">
        <f t="shared" si="333"/>
        <v>0</v>
      </c>
      <c r="AKQ27">
        <f t="shared" si="334"/>
        <v>0</v>
      </c>
      <c r="AKR27">
        <f t="shared" si="335"/>
        <v>0</v>
      </c>
      <c r="AKS27">
        <f t="shared" si="336"/>
        <v>0</v>
      </c>
      <c r="AKT27">
        <f t="shared" si="337"/>
        <v>0</v>
      </c>
      <c r="AKU27">
        <f t="shared" si="338"/>
        <v>0</v>
      </c>
      <c r="AKV27">
        <f t="shared" si="339"/>
        <v>0</v>
      </c>
      <c r="AKW27">
        <f t="shared" si="340"/>
        <v>0</v>
      </c>
      <c r="AKX27">
        <f t="shared" si="341"/>
        <v>0</v>
      </c>
      <c r="AKY27">
        <f t="shared" si="342"/>
        <v>0</v>
      </c>
      <c r="AKZ27">
        <f t="shared" si="343"/>
        <v>0</v>
      </c>
      <c r="ALA27">
        <f t="shared" si="344"/>
        <v>0</v>
      </c>
      <c r="ALB27">
        <f t="shared" si="345"/>
        <v>0</v>
      </c>
      <c r="ALC27">
        <f t="shared" si="346"/>
        <v>0</v>
      </c>
      <c r="ALD27">
        <f t="shared" si="347"/>
        <v>0</v>
      </c>
      <c r="ALE27">
        <f t="shared" si="348"/>
        <v>0</v>
      </c>
      <c r="ALF27">
        <f t="shared" si="349"/>
        <v>0</v>
      </c>
      <c r="ALG27">
        <f t="shared" si="350"/>
        <v>0</v>
      </c>
      <c r="ALH27">
        <f t="shared" si="351"/>
        <v>0</v>
      </c>
      <c r="ALI27">
        <f t="shared" si="352"/>
        <v>0</v>
      </c>
      <c r="ALJ27">
        <f t="shared" si="353"/>
        <v>0</v>
      </c>
      <c r="ALK27">
        <f t="shared" si="354"/>
        <v>0</v>
      </c>
      <c r="ALL27">
        <f t="shared" si="355"/>
        <v>0</v>
      </c>
      <c r="ALM27">
        <f t="shared" si="356"/>
        <v>0</v>
      </c>
      <c r="ALN27">
        <f t="shared" si="357"/>
        <v>0</v>
      </c>
      <c r="ALO27">
        <f t="shared" si="358"/>
        <v>0</v>
      </c>
      <c r="ALP27">
        <f t="shared" si="359"/>
        <v>0</v>
      </c>
      <c r="ALQ27">
        <f t="shared" si="360"/>
        <v>0</v>
      </c>
      <c r="ALR27">
        <f t="shared" si="361"/>
        <v>0</v>
      </c>
      <c r="ALS27">
        <f t="shared" si="362"/>
        <v>0</v>
      </c>
      <c r="ALT27">
        <f t="shared" si="363"/>
        <v>0</v>
      </c>
      <c r="ALU27">
        <f t="shared" si="364"/>
        <v>0</v>
      </c>
      <c r="ALV27">
        <f t="shared" si="365"/>
        <v>0</v>
      </c>
      <c r="ALW27">
        <f t="shared" si="366"/>
        <v>0</v>
      </c>
      <c r="ALX27">
        <f t="shared" si="367"/>
        <v>0</v>
      </c>
      <c r="ALY27">
        <f t="shared" si="368"/>
        <v>0</v>
      </c>
      <c r="ALZ27">
        <f t="shared" si="369"/>
        <v>0</v>
      </c>
      <c r="AMA27">
        <f t="shared" si="370"/>
        <v>0</v>
      </c>
      <c r="AMB27">
        <f t="shared" si="371"/>
        <v>0</v>
      </c>
      <c r="AMC27">
        <f t="shared" si="372"/>
        <v>0</v>
      </c>
      <c r="AMD27">
        <f t="shared" si="373"/>
        <v>0</v>
      </c>
      <c r="AME27">
        <f t="shared" si="374"/>
        <v>0</v>
      </c>
      <c r="AMF27">
        <f t="shared" si="375"/>
        <v>0</v>
      </c>
      <c r="AMG27">
        <f t="shared" si="376"/>
        <v>0</v>
      </c>
      <c r="AMH27">
        <f t="shared" si="377"/>
        <v>0</v>
      </c>
      <c r="AMI27">
        <f t="shared" si="378"/>
        <v>0</v>
      </c>
      <c r="AMJ27">
        <f t="shared" si="379"/>
        <v>0</v>
      </c>
      <c r="AMK27">
        <f t="shared" si="380"/>
        <v>0</v>
      </c>
      <c r="AML27">
        <f t="shared" si="38"/>
        <v>0</v>
      </c>
      <c r="AMM27">
        <f t="shared" si="381"/>
        <v>0</v>
      </c>
      <c r="AMN27">
        <f t="shared" si="382"/>
        <v>0</v>
      </c>
      <c r="AMO27">
        <f t="shared" si="383"/>
        <v>0</v>
      </c>
      <c r="AMP27">
        <f t="shared" si="384"/>
        <v>0</v>
      </c>
      <c r="AMQ27">
        <f t="shared" si="385"/>
        <v>0</v>
      </c>
      <c r="AMR27">
        <f t="shared" si="386"/>
        <v>0</v>
      </c>
      <c r="AMS27">
        <f t="shared" si="387"/>
        <v>0</v>
      </c>
      <c r="AMT27">
        <f t="shared" si="388"/>
        <v>0</v>
      </c>
      <c r="AMU27">
        <f t="shared" si="389"/>
        <v>0</v>
      </c>
      <c r="AMV27">
        <f t="shared" si="390"/>
        <v>0</v>
      </c>
      <c r="AMW27">
        <f t="shared" si="391"/>
        <v>0</v>
      </c>
      <c r="AMX27">
        <f t="shared" si="392"/>
        <v>0</v>
      </c>
      <c r="AMY27">
        <f t="shared" si="393"/>
        <v>0</v>
      </c>
      <c r="AMZ27">
        <f t="shared" si="394"/>
        <v>0</v>
      </c>
      <c r="ANA27">
        <f t="shared" si="395"/>
        <v>0</v>
      </c>
      <c r="ANB27">
        <f t="shared" si="396"/>
        <v>0</v>
      </c>
      <c r="ANC27">
        <f t="shared" si="397"/>
        <v>0</v>
      </c>
      <c r="AND27">
        <f t="shared" si="398"/>
        <v>0</v>
      </c>
      <c r="ANE27">
        <f t="shared" si="399"/>
        <v>0</v>
      </c>
      <c r="ANF27">
        <f t="shared" si="400"/>
        <v>0</v>
      </c>
      <c r="ANG27">
        <f t="shared" si="401"/>
        <v>0</v>
      </c>
      <c r="ANH27">
        <f t="shared" si="402"/>
        <v>0</v>
      </c>
      <c r="ANI27">
        <f t="shared" si="403"/>
        <v>0</v>
      </c>
      <c r="ANJ27">
        <f t="shared" si="404"/>
        <v>0</v>
      </c>
      <c r="ANK27">
        <f t="shared" si="405"/>
        <v>0</v>
      </c>
      <c r="ANL27">
        <f t="shared" si="406"/>
        <v>0</v>
      </c>
      <c r="ANM27">
        <f t="shared" si="407"/>
        <v>0</v>
      </c>
      <c r="ANN27">
        <f t="shared" si="408"/>
        <v>0</v>
      </c>
      <c r="ANO27">
        <f t="shared" si="409"/>
        <v>0</v>
      </c>
      <c r="ANP27">
        <f t="shared" si="410"/>
        <v>0</v>
      </c>
      <c r="ANQ27">
        <f t="shared" si="411"/>
        <v>0</v>
      </c>
      <c r="ANR27">
        <f t="shared" si="412"/>
        <v>0</v>
      </c>
      <c r="ANS27">
        <f t="shared" si="413"/>
        <v>0</v>
      </c>
      <c r="ANT27">
        <f t="shared" si="414"/>
        <v>0</v>
      </c>
      <c r="ANU27">
        <f t="shared" si="415"/>
        <v>0</v>
      </c>
      <c r="ANV27">
        <f t="shared" si="416"/>
        <v>0</v>
      </c>
      <c r="ANW27">
        <f t="shared" si="417"/>
        <v>0</v>
      </c>
      <c r="ANX27">
        <f t="shared" si="418"/>
        <v>0</v>
      </c>
      <c r="ANY27">
        <f t="shared" si="419"/>
        <v>0</v>
      </c>
      <c r="ANZ27">
        <f t="shared" si="420"/>
        <v>0</v>
      </c>
      <c r="AOA27">
        <f t="shared" si="421"/>
        <v>0</v>
      </c>
      <c r="AOB27">
        <f t="shared" si="422"/>
        <v>0</v>
      </c>
      <c r="AOC27">
        <f t="shared" si="423"/>
        <v>0</v>
      </c>
      <c r="AOD27">
        <f t="shared" si="424"/>
        <v>0</v>
      </c>
      <c r="AOE27">
        <f t="shared" si="425"/>
        <v>0</v>
      </c>
      <c r="AOF27">
        <f t="shared" si="426"/>
        <v>0</v>
      </c>
      <c r="AOG27">
        <f t="shared" si="427"/>
        <v>0</v>
      </c>
      <c r="AOH27">
        <f t="shared" si="428"/>
        <v>0</v>
      </c>
      <c r="AOI27">
        <f t="shared" si="429"/>
        <v>0</v>
      </c>
      <c r="AOJ27">
        <f t="shared" si="430"/>
        <v>0</v>
      </c>
      <c r="AOK27">
        <f t="shared" si="431"/>
        <v>0</v>
      </c>
      <c r="AOL27">
        <f t="shared" si="432"/>
        <v>0</v>
      </c>
      <c r="AOM27">
        <f t="shared" si="433"/>
        <v>0</v>
      </c>
      <c r="AON27">
        <f t="shared" si="434"/>
        <v>0</v>
      </c>
      <c r="AOO27">
        <f t="shared" si="435"/>
        <v>0</v>
      </c>
      <c r="AOP27">
        <f t="shared" si="436"/>
        <v>0</v>
      </c>
      <c r="AOQ27">
        <f t="shared" si="437"/>
        <v>0</v>
      </c>
      <c r="AOR27">
        <f t="shared" si="438"/>
        <v>0</v>
      </c>
      <c r="AOS27">
        <f t="shared" si="439"/>
        <v>0</v>
      </c>
      <c r="AOT27">
        <f t="shared" si="440"/>
        <v>0</v>
      </c>
      <c r="AOU27">
        <f t="shared" si="441"/>
        <v>0</v>
      </c>
      <c r="AOV27">
        <f t="shared" si="442"/>
        <v>0</v>
      </c>
      <c r="AOW27">
        <f t="shared" si="443"/>
        <v>0</v>
      </c>
      <c r="AOX27">
        <f t="shared" si="39"/>
        <v>0</v>
      </c>
      <c r="AOY27">
        <f t="shared" si="444"/>
        <v>0</v>
      </c>
      <c r="AOZ27">
        <f t="shared" si="445"/>
        <v>0</v>
      </c>
      <c r="APA27">
        <f t="shared" si="446"/>
        <v>0</v>
      </c>
      <c r="APB27">
        <f t="shared" si="447"/>
        <v>0</v>
      </c>
      <c r="APC27">
        <f t="shared" si="448"/>
        <v>0</v>
      </c>
      <c r="APD27">
        <f t="shared" si="449"/>
        <v>0</v>
      </c>
      <c r="APE27">
        <f t="shared" si="450"/>
        <v>0</v>
      </c>
      <c r="APF27">
        <f t="shared" si="451"/>
        <v>0</v>
      </c>
      <c r="APG27">
        <f t="shared" si="452"/>
        <v>0</v>
      </c>
      <c r="APH27">
        <f t="shared" si="453"/>
        <v>0</v>
      </c>
      <c r="API27">
        <f t="shared" si="454"/>
        <v>0</v>
      </c>
      <c r="APJ27">
        <f t="shared" si="455"/>
        <v>0</v>
      </c>
      <c r="APK27">
        <f t="shared" si="456"/>
        <v>0</v>
      </c>
      <c r="APL27">
        <f t="shared" si="457"/>
        <v>0</v>
      </c>
      <c r="APM27">
        <f t="shared" si="458"/>
        <v>0</v>
      </c>
      <c r="APN27">
        <f t="shared" si="459"/>
        <v>0</v>
      </c>
      <c r="APO27">
        <f t="shared" si="460"/>
        <v>0</v>
      </c>
      <c r="APP27">
        <f t="shared" si="461"/>
        <v>0</v>
      </c>
      <c r="APQ27">
        <f t="shared" si="462"/>
        <v>0</v>
      </c>
      <c r="APR27">
        <f t="shared" si="463"/>
        <v>0</v>
      </c>
      <c r="APS27">
        <f t="shared" si="464"/>
        <v>0</v>
      </c>
      <c r="APT27">
        <f t="shared" si="465"/>
        <v>0</v>
      </c>
      <c r="APU27">
        <f t="shared" si="466"/>
        <v>0</v>
      </c>
      <c r="APV27">
        <f t="shared" si="467"/>
        <v>0</v>
      </c>
      <c r="APW27">
        <f t="shared" si="468"/>
        <v>0</v>
      </c>
      <c r="APX27">
        <f t="shared" si="469"/>
        <v>0</v>
      </c>
      <c r="APY27">
        <f t="shared" si="470"/>
        <v>0</v>
      </c>
      <c r="APZ27">
        <f t="shared" si="471"/>
        <v>0</v>
      </c>
      <c r="AQA27">
        <f t="shared" si="472"/>
        <v>0</v>
      </c>
      <c r="AQB27">
        <f t="shared" si="473"/>
        <v>0</v>
      </c>
      <c r="AQC27">
        <f t="shared" si="474"/>
        <v>0</v>
      </c>
      <c r="AQD27">
        <f t="shared" si="475"/>
        <v>0</v>
      </c>
      <c r="AQE27">
        <f t="shared" si="476"/>
        <v>0</v>
      </c>
      <c r="AQF27">
        <f t="shared" si="477"/>
        <v>0</v>
      </c>
      <c r="AQG27">
        <f t="shared" si="478"/>
        <v>0</v>
      </c>
      <c r="AQH27">
        <f t="shared" si="479"/>
        <v>0</v>
      </c>
      <c r="AQI27">
        <f t="shared" si="480"/>
        <v>0</v>
      </c>
      <c r="AQJ27">
        <f t="shared" si="481"/>
        <v>0</v>
      </c>
      <c r="AQK27">
        <f t="shared" si="482"/>
        <v>0</v>
      </c>
      <c r="AQL27">
        <f t="shared" si="483"/>
        <v>0</v>
      </c>
      <c r="AQM27">
        <f t="shared" si="484"/>
        <v>0</v>
      </c>
      <c r="AQN27">
        <f t="shared" si="485"/>
        <v>0</v>
      </c>
      <c r="AQO27">
        <f t="shared" si="486"/>
        <v>0</v>
      </c>
      <c r="AQP27">
        <f t="shared" si="487"/>
        <v>0</v>
      </c>
      <c r="AQQ27">
        <f t="shared" si="488"/>
        <v>0</v>
      </c>
      <c r="AQR27">
        <f t="shared" si="489"/>
        <v>0</v>
      </c>
      <c r="AQS27">
        <f t="shared" si="490"/>
        <v>0</v>
      </c>
      <c r="AQT27">
        <f t="shared" si="491"/>
        <v>0</v>
      </c>
      <c r="AQU27">
        <f t="shared" si="492"/>
        <v>0</v>
      </c>
      <c r="AQV27">
        <f t="shared" si="493"/>
        <v>0</v>
      </c>
      <c r="AQW27">
        <f t="shared" si="494"/>
        <v>0</v>
      </c>
      <c r="AQX27">
        <f t="shared" si="495"/>
        <v>0</v>
      </c>
      <c r="AQY27">
        <f t="shared" si="496"/>
        <v>0</v>
      </c>
      <c r="AQZ27">
        <f t="shared" si="497"/>
        <v>0</v>
      </c>
      <c r="ARA27">
        <f t="shared" si="498"/>
        <v>0</v>
      </c>
      <c r="ARB27">
        <f t="shared" si="499"/>
        <v>0</v>
      </c>
      <c r="ARC27">
        <f t="shared" si="500"/>
        <v>0</v>
      </c>
      <c r="ARD27">
        <f t="shared" si="501"/>
        <v>0</v>
      </c>
      <c r="ARE27">
        <f t="shared" si="502"/>
        <v>0</v>
      </c>
      <c r="ARF27">
        <f t="shared" si="503"/>
        <v>0</v>
      </c>
      <c r="ARG27">
        <f t="shared" si="504"/>
        <v>0</v>
      </c>
      <c r="ARH27">
        <f t="shared" si="505"/>
        <v>0</v>
      </c>
      <c r="ARI27">
        <f t="shared" si="506"/>
        <v>0</v>
      </c>
      <c r="ARJ27">
        <f t="shared" si="40"/>
        <v>0</v>
      </c>
      <c r="ARK27">
        <f t="shared" si="507"/>
        <v>0</v>
      </c>
      <c r="ARL27">
        <f t="shared" si="508"/>
        <v>0</v>
      </c>
      <c r="ARM27">
        <f t="shared" si="509"/>
        <v>0</v>
      </c>
      <c r="ARN27">
        <f t="shared" si="510"/>
        <v>0</v>
      </c>
      <c r="ARO27">
        <f t="shared" si="511"/>
        <v>0</v>
      </c>
      <c r="ARP27">
        <f t="shared" si="512"/>
        <v>0</v>
      </c>
      <c r="ARQ27">
        <f t="shared" si="513"/>
        <v>0</v>
      </c>
      <c r="ARR27">
        <f t="shared" si="514"/>
        <v>0</v>
      </c>
      <c r="ARS27">
        <f t="shared" si="515"/>
        <v>0</v>
      </c>
      <c r="ART27">
        <f t="shared" si="516"/>
        <v>0</v>
      </c>
      <c r="ARU27">
        <f t="shared" si="517"/>
        <v>0</v>
      </c>
      <c r="ARV27">
        <f t="shared" si="518"/>
        <v>0</v>
      </c>
      <c r="ARW27">
        <f t="shared" si="519"/>
        <v>0</v>
      </c>
      <c r="ARX27">
        <f t="shared" si="520"/>
        <v>0</v>
      </c>
      <c r="ARY27">
        <f t="shared" si="521"/>
        <v>0</v>
      </c>
      <c r="ARZ27">
        <f t="shared" si="522"/>
        <v>0</v>
      </c>
      <c r="ASA27">
        <f t="shared" si="523"/>
        <v>0</v>
      </c>
      <c r="ASB27">
        <f t="shared" si="524"/>
        <v>0</v>
      </c>
      <c r="ASC27">
        <f t="shared" si="525"/>
        <v>0</v>
      </c>
      <c r="ASD27">
        <f t="shared" si="526"/>
        <v>0</v>
      </c>
      <c r="ASE27">
        <f t="shared" si="527"/>
        <v>0</v>
      </c>
      <c r="ASF27">
        <f t="shared" si="528"/>
        <v>0</v>
      </c>
      <c r="ASG27">
        <f t="shared" si="529"/>
        <v>0</v>
      </c>
      <c r="ASH27">
        <f t="shared" si="530"/>
        <v>0</v>
      </c>
      <c r="ASI27">
        <f t="shared" si="531"/>
        <v>0</v>
      </c>
      <c r="ASJ27">
        <f t="shared" si="532"/>
        <v>0</v>
      </c>
      <c r="ASK27">
        <f t="shared" si="533"/>
        <v>0</v>
      </c>
      <c r="ASL27">
        <f t="shared" si="534"/>
        <v>0</v>
      </c>
      <c r="ASM27">
        <f t="shared" si="535"/>
        <v>0</v>
      </c>
      <c r="ASN27">
        <f t="shared" si="536"/>
        <v>0</v>
      </c>
      <c r="ASO27">
        <f t="shared" si="537"/>
        <v>0</v>
      </c>
      <c r="ASP27">
        <f t="shared" si="538"/>
        <v>0</v>
      </c>
      <c r="ASQ27">
        <f t="shared" si="539"/>
        <v>0</v>
      </c>
      <c r="ASR27">
        <f t="shared" si="540"/>
        <v>0</v>
      </c>
      <c r="ASS27">
        <f t="shared" si="541"/>
        <v>0</v>
      </c>
      <c r="AST27">
        <f t="shared" si="542"/>
        <v>0</v>
      </c>
      <c r="ASU27">
        <f t="shared" si="543"/>
        <v>0</v>
      </c>
      <c r="ASV27">
        <f t="shared" si="544"/>
        <v>0</v>
      </c>
      <c r="ASW27">
        <f t="shared" si="545"/>
        <v>0</v>
      </c>
      <c r="ASX27">
        <f t="shared" si="546"/>
        <v>0</v>
      </c>
      <c r="ASY27">
        <f t="shared" si="547"/>
        <v>0</v>
      </c>
      <c r="ASZ27">
        <f t="shared" si="548"/>
        <v>0</v>
      </c>
      <c r="ATA27">
        <f t="shared" si="549"/>
        <v>0</v>
      </c>
      <c r="ATB27">
        <f t="shared" si="550"/>
        <v>0</v>
      </c>
      <c r="ATC27">
        <f t="shared" si="551"/>
        <v>0</v>
      </c>
      <c r="ATD27">
        <f t="shared" si="552"/>
        <v>0</v>
      </c>
      <c r="ATE27">
        <f t="shared" si="553"/>
        <v>0</v>
      </c>
      <c r="ATF27">
        <f t="shared" si="554"/>
        <v>0</v>
      </c>
      <c r="ATG27">
        <f t="shared" si="555"/>
        <v>0</v>
      </c>
      <c r="ATH27">
        <f t="shared" si="556"/>
        <v>0</v>
      </c>
      <c r="ATI27">
        <f t="shared" si="557"/>
        <v>0</v>
      </c>
      <c r="ATJ27">
        <f t="shared" si="558"/>
        <v>0</v>
      </c>
      <c r="ATK27">
        <f t="shared" si="559"/>
        <v>0</v>
      </c>
      <c r="ATL27">
        <f t="shared" si="560"/>
        <v>0</v>
      </c>
      <c r="ATM27">
        <f t="shared" si="561"/>
        <v>0</v>
      </c>
      <c r="ATN27">
        <f t="shared" si="562"/>
        <v>0</v>
      </c>
      <c r="ATO27">
        <f t="shared" si="563"/>
        <v>0</v>
      </c>
      <c r="ATP27">
        <f t="shared" si="564"/>
        <v>0</v>
      </c>
      <c r="ATQ27">
        <f t="shared" si="565"/>
        <v>0</v>
      </c>
      <c r="ATR27">
        <f t="shared" si="566"/>
        <v>0</v>
      </c>
      <c r="ATS27">
        <f t="shared" si="567"/>
        <v>0</v>
      </c>
      <c r="ATT27">
        <f t="shared" si="568"/>
        <v>0</v>
      </c>
      <c r="ATU27">
        <f t="shared" si="569"/>
        <v>0</v>
      </c>
      <c r="ATV27">
        <f t="shared" si="41"/>
        <v>0</v>
      </c>
      <c r="ATW27">
        <f t="shared" si="570"/>
        <v>0</v>
      </c>
      <c r="ATX27">
        <f t="shared" si="571"/>
        <v>0</v>
      </c>
      <c r="ATY27">
        <f t="shared" si="572"/>
        <v>0</v>
      </c>
      <c r="ATZ27">
        <f t="shared" si="573"/>
        <v>0</v>
      </c>
      <c r="AUA27">
        <f t="shared" si="574"/>
        <v>0</v>
      </c>
      <c r="AUB27">
        <f t="shared" si="575"/>
        <v>0</v>
      </c>
      <c r="AUC27">
        <f t="shared" si="576"/>
        <v>0</v>
      </c>
      <c r="AUD27">
        <f t="shared" si="577"/>
        <v>0</v>
      </c>
      <c r="AUE27">
        <f t="shared" si="578"/>
        <v>0</v>
      </c>
      <c r="AUF27">
        <f t="shared" si="579"/>
        <v>0</v>
      </c>
      <c r="AUG27">
        <f t="shared" si="580"/>
        <v>0</v>
      </c>
      <c r="AUH27">
        <f t="shared" si="581"/>
        <v>0</v>
      </c>
      <c r="AUI27">
        <f t="shared" si="582"/>
        <v>0</v>
      </c>
      <c r="AUJ27">
        <f t="shared" si="583"/>
        <v>0</v>
      </c>
      <c r="AUK27">
        <f t="shared" si="584"/>
        <v>0</v>
      </c>
      <c r="AUL27">
        <f t="shared" si="585"/>
        <v>0</v>
      </c>
      <c r="AUM27">
        <f t="shared" si="586"/>
        <v>0</v>
      </c>
      <c r="AUN27">
        <f t="shared" si="587"/>
        <v>0</v>
      </c>
      <c r="AUO27">
        <f t="shared" si="588"/>
        <v>0</v>
      </c>
      <c r="AUP27">
        <f t="shared" si="589"/>
        <v>0</v>
      </c>
      <c r="AUQ27">
        <f t="shared" si="590"/>
        <v>0</v>
      </c>
      <c r="AUR27">
        <f t="shared" si="591"/>
        <v>0</v>
      </c>
      <c r="AUS27">
        <f t="shared" si="592"/>
        <v>0</v>
      </c>
      <c r="AUT27">
        <f t="shared" si="593"/>
        <v>0</v>
      </c>
      <c r="AUU27">
        <f t="shared" si="594"/>
        <v>0</v>
      </c>
      <c r="AUV27">
        <f t="shared" si="595"/>
        <v>0</v>
      </c>
      <c r="AUW27">
        <f t="shared" si="596"/>
        <v>0</v>
      </c>
      <c r="AUX27">
        <f t="shared" si="597"/>
        <v>0</v>
      </c>
      <c r="AUY27">
        <f t="shared" si="598"/>
        <v>0</v>
      </c>
      <c r="AUZ27">
        <f t="shared" si="599"/>
        <v>0</v>
      </c>
      <c r="AVA27">
        <f t="shared" si="600"/>
        <v>0</v>
      </c>
      <c r="AVB27">
        <f t="shared" si="601"/>
        <v>0</v>
      </c>
      <c r="AVC27">
        <f t="shared" si="602"/>
        <v>0</v>
      </c>
      <c r="AVD27">
        <f t="shared" si="603"/>
        <v>0</v>
      </c>
      <c r="AVE27">
        <f t="shared" si="604"/>
        <v>0</v>
      </c>
      <c r="AVF27">
        <f t="shared" si="605"/>
        <v>0</v>
      </c>
      <c r="AVG27">
        <f t="shared" si="606"/>
        <v>0</v>
      </c>
      <c r="AVH27">
        <f t="shared" si="607"/>
        <v>0</v>
      </c>
      <c r="AVI27">
        <f t="shared" si="608"/>
        <v>0</v>
      </c>
      <c r="AVJ27">
        <f t="shared" si="609"/>
        <v>0</v>
      </c>
      <c r="AVK27">
        <f t="shared" si="610"/>
        <v>0</v>
      </c>
      <c r="AVL27">
        <f t="shared" si="611"/>
        <v>0</v>
      </c>
      <c r="AVM27">
        <f t="shared" si="612"/>
        <v>0</v>
      </c>
      <c r="AVN27">
        <f t="shared" si="613"/>
        <v>0</v>
      </c>
      <c r="AVO27">
        <f t="shared" si="614"/>
        <v>0</v>
      </c>
      <c r="AVP27">
        <f t="shared" si="615"/>
        <v>0</v>
      </c>
      <c r="AVQ27">
        <f t="shared" si="616"/>
        <v>0</v>
      </c>
      <c r="AVR27">
        <f t="shared" si="617"/>
        <v>0</v>
      </c>
      <c r="AVS27">
        <f t="shared" si="618"/>
        <v>0</v>
      </c>
      <c r="AVT27">
        <f t="shared" si="619"/>
        <v>0</v>
      </c>
      <c r="AVU27">
        <f t="shared" si="620"/>
        <v>0</v>
      </c>
      <c r="AVV27">
        <f t="shared" si="621"/>
        <v>0</v>
      </c>
      <c r="AVW27">
        <f t="shared" si="622"/>
        <v>0</v>
      </c>
      <c r="AVX27">
        <f t="shared" si="623"/>
        <v>0</v>
      </c>
      <c r="AVY27">
        <f t="shared" si="624"/>
        <v>0</v>
      </c>
      <c r="AVZ27">
        <f t="shared" si="625"/>
        <v>0</v>
      </c>
      <c r="AWA27">
        <f t="shared" si="626"/>
        <v>0</v>
      </c>
      <c r="AWB27">
        <f t="shared" si="627"/>
        <v>0</v>
      </c>
      <c r="AWC27">
        <f t="shared" si="628"/>
        <v>0</v>
      </c>
      <c r="AWD27">
        <f t="shared" si="629"/>
        <v>0</v>
      </c>
      <c r="AWE27">
        <f t="shared" si="630"/>
        <v>0</v>
      </c>
      <c r="AWF27">
        <f t="shared" si="631"/>
        <v>0</v>
      </c>
      <c r="AWG27">
        <f t="shared" si="632"/>
        <v>0</v>
      </c>
      <c r="AWH27">
        <f t="shared" si="42"/>
        <v>0</v>
      </c>
      <c r="AWI27">
        <f t="shared" si="633"/>
        <v>0</v>
      </c>
      <c r="AWJ27">
        <f t="shared" si="634"/>
        <v>0</v>
      </c>
      <c r="AWK27">
        <f t="shared" si="635"/>
        <v>0</v>
      </c>
      <c r="AWL27">
        <f t="shared" si="636"/>
        <v>0</v>
      </c>
      <c r="AWM27">
        <f t="shared" si="637"/>
        <v>0</v>
      </c>
      <c r="AWN27">
        <f t="shared" si="638"/>
        <v>0</v>
      </c>
      <c r="AWO27">
        <f t="shared" si="639"/>
        <v>0</v>
      </c>
      <c r="AWP27">
        <f t="shared" si="640"/>
        <v>0</v>
      </c>
      <c r="AWQ27">
        <f t="shared" si="641"/>
        <v>0</v>
      </c>
      <c r="AWR27">
        <f t="shared" si="642"/>
        <v>0</v>
      </c>
      <c r="AWS27">
        <f t="shared" si="643"/>
        <v>0</v>
      </c>
      <c r="AWT27">
        <f t="shared" si="644"/>
        <v>0</v>
      </c>
      <c r="AWU27">
        <f t="shared" si="645"/>
        <v>0</v>
      </c>
      <c r="AWV27">
        <f t="shared" si="646"/>
        <v>0</v>
      </c>
      <c r="AWW27">
        <f t="shared" si="647"/>
        <v>0</v>
      </c>
      <c r="AWX27">
        <f t="shared" si="648"/>
        <v>0</v>
      </c>
      <c r="AWY27">
        <f t="shared" si="649"/>
        <v>0</v>
      </c>
      <c r="AWZ27">
        <f t="shared" si="650"/>
        <v>0</v>
      </c>
      <c r="AXA27">
        <f t="shared" si="651"/>
        <v>0</v>
      </c>
      <c r="AXB27">
        <f t="shared" si="652"/>
        <v>0</v>
      </c>
      <c r="AXC27">
        <f t="shared" si="653"/>
        <v>0</v>
      </c>
      <c r="AXD27">
        <f t="shared" si="654"/>
        <v>0</v>
      </c>
      <c r="AXE27">
        <f t="shared" si="655"/>
        <v>0</v>
      </c>
      <c r="AXF27">
        <f t="shared" si="656"/>
        <v>0</v>
      </c>
      <c r="AXG27">
        <f t="shared" si="657"/>
        <v>0</v>
      </c>
      <c r="AXH27">
        <f t="shared" si="658"/>
        <v>0</v>
      </c>
      <c r="AXI27">
        <f t="shared" si="659"/>
        <v>0</v>
      </c>
      <c r="AXJ27">
        <f t="shared" si="660"/>
        <v>0</v>
      </c>
      <c r="AXK27">
        <f t="shared" si="661"/>
        <v>0</v>
      </c>
      <c r="AXL27">
        <f t="shared" si="662"/>
        <v>0</v>
      </c>
      <c r="AXM27">
        <f t="shared" si="663"/>
        <v>0</v>
      </c>
      <c r="AXN27">
        <f t="shared" si="664"/>
        <v>0</v>
      </c>
      <c r="AXO27">
        <f t="shared" si="665"/>
        <v>0</v>
      </c>
      <c r="AXP27">
        <f t="shared" si="666"/>
        <v>0</v>
      </c>
      <c r="AXQ27">
        <f t="shared" si="667"/>
        <v>0</v>
      </c>
      <c r="AXR27">
        <f t="shared" si="668"/>
        <v>0</v>
      </c>
      <c r="AXS27">
        <f t="shared" si="669"/>
        <v>0</v>
      </c>
      <c r="AXT27">
        <f t="shared" si="670"/>
        <v>0</v>
      </c>
      <c r="AXU27">
        <f t="shared" si="671"/>
        <v>0</v>
      </c>
      <c r="AXV27">
        <f t="shared" si="672"/>
        <v>0</v>
      </c>
      <c r="AXW27">
        <f t="shared" si="673"/>
        <v>0</v>
      </c>
      <c r="AXX27">
        <f t="shared" si="674"/>
        <v>0</v>
      </c>
      <c r="AXY27">
        <f t="shared" si="675"/>
        <v>0</v>
      </c>
      <c r="AXZ27">
        <f t="shared" si="676"/>
        <v>0</v>
      </c>
      <c r="AYA27">
        <f t="shared" si="677"/>
        <v>0</v>
      </c>
      <c r="AYB27">
        <f t="shared" si="678"/>
        <v>0</v>
      </c>
      <c r="AYC27">
        <f t="shared" si="679"/>
        <v>0</v>
      </c>
      <c r="AYD27">
        <f t="shared" si="680"/>
        <v>0</v>
      </c>
      <c r="AYE27">
        <f t="shared" si="681"/>
        <v>0</v>
      </c>
      <c r="AYF27">
        <f t="shared" si="682"/>
        <v>0</v>
      </c>
      <c r="AYG27">
        <f t="shared" si="683"/>
        <v>0</v>
      </c>
      <c r="AYH27">
        <f t="shared" si="684"/>
        <v>0</v>
      </c>
      <c r="AYI27">
        <f t="shared" si="685"/>
        <v>0</v>
      </c>
      <c r="AYJ27">
        <f t="shared" si="686"/>
        <v>0</v>
      </c>
      <c r="AYK27">
        <f t="shared" si="687"/>
        <v>0</v>
      </c>
      <c r="AYL27">
        <f t="shared" si="688"/>
        <v>0</v>
      </c>
      <c r="AYM27">
        <f t="shared" si="689"/>
        <v>0</v>
      </c>
      <c r="AYN27">
        <f t="shared" si="690"/>
        <v>0</v>
      </c>
      <c r="AYO27">
        <f t="shared" si="691"/>
        <v>0</v>
      </c>
      <c r="AYP27">
        <f t="shared" si="692"/>
        <v>0</v>
      </c>
      <c r="AYQ27">
        <f t="shared" si="693"/>
        <v>0</v>
      </c>
      <c r="AYR27">
        <f t="shared" si="694"/>
        <v>0</v>
      </c>
      <c r="AYS27">
        <f t="shared" si="695"/>
        <v>0</v>
      </c>
      <c r="AYT27">
        <f t="shared" si="43"/>
        <v>0</v>
      </c>
      <c r="AYU27">
        <f t="shared" si="696"/>
        <v>0</v>
      </c>
      <c r="AYV27">
        <f t="shared" si="697"/>
        <v>0</v>
      </c>
      <c r="AYW27">
        <f t="shared" si="698"/>
        <v>0</v>
      </c>
      <c r="AYX27">
        <f t="shared" si="699"/>
        <v>0</v>
      </c>
      <c r="AYY27">
        <f t="shared" si="700"/>
        <v>0</v>
      </c>
      <c r="AYZ27">
        <f t="shared" si="701"/>
        <v>0</v>
      </c>
      <c r="AZA27">
        <f t="shared" si="702"/>
        <v>0</v>
      </c>
      <c r="AZB27">
        <f t="shared" si="703"/>
        <v>0</v>
      </c>
      <c r="AZC27">
        <f t="shared" si="704"/>
        <v>0</v>
      </c>
      <c r="AZD27">
        <f t="shared" si="705"/>
        <v>0</v>
      </c>
      <c r="AZE27">
        <f t="shared" si="706"/>
        <v>0</v>
      </c>
      <c r="AZF27">
        <f t="shared" si="707"/>
        <v>0</v>
      </c>
      <c r="AZG27">
        <f t="shared" si="708"/>
        <v>0</v>
      </c>
      <c r="AZH27">
        <f t="shared" si="709"/>
        <v>0</v>
      </c>
      <c r="AZI27">
        <f t="shared" si="710"/>
        <v>0</v>
      </c>
      <c r="AZJ27">
        <f t="shared" si="711"/>
        <v>0</v>
      </c>
      <c r="AZK27">
        <f t="shared" si="712"/>
        <v>0</v>
      </c>
      <c r="AZL27">
        <f t="shared" si="713"/>
        <v>0</v>
      </c>
      <c r="AZM27">
        <f t="shared" si="714"/>
        <v>0</v>
      </c>
      <c r="AZN27">
        <f t="shared" si="715"/>
        <v>0</v>
      </c>
      <c r="AZO27">
        <f t="shared" si="716"/>
        <v>0</v>
      </c>
      <c r="AZP27">
        <f t="shared" si="717"/>
        <v>0</v>
      </c>
      <c r="AZQ27">
        <f t="shared" si="718"/>
        <v>0</v>
      </c>
      <c r="AZR27">
        <f t="shared" si="719"/>
        <v>0</v>
      </c>
      <c r="AZS27">
        <f t="shared" si="720"/>
        <v>0</v>
      </c>
      <c r="AZT27">
        <f t="shared" si="721"/>
        <v>0</v>
      </c>
      <c r="AZU27">
        <f t="shared" si="722"/>
        <v>0</v>
      </c>
      <c r="AZV27">
        <f t="shared" si="723"/>
        <v>0</v>
      </c>
      <c r="AZW27">
        <f t="shared" si="724"/>
        <v>0</v>
      </c>
      <c r="AZX27">
        <f t="shared" si="725"/>
        <v>0</v>
      </c>
      <c r="AZY27">
        <f t="shared" si="726"/>
        <v>0</v>
      </c>
      <c r="AZZ27">
        <f t="shared" si="727"/>
        <v>0</v>
      </c>
      <c r="BAA27">
        <f t="shared" si="728"/>
        <v>0</v>
      </c>
      <c r="BAB27">
        <f t="shared" si="729"/>
        <v>0</v>
      </c>
      <c r="BAC27">
        <f t="shared" si="730"/>
        <v>0</v>
      </c>
      <c r="BAD27">
        <f t="shared" si="731"/>
        <v>0</v>
      </c>
      <c r="BAE27">
        <f t="shared" si="732"/>
        <v>0</v>
      </c>
      <c r="BAF27">
        <f t="shared" si="733"/>
        <v>0</v>
      </c>
      <c r="BAG27">
        <f t="shared" si="734"/>
        <v>0</v>
      </c>
      <c r="BAH27">
        <f t="shared" si="735"/>
        <v>0</v>
      </c>
      <c r="BAI27">
        <f t="shared" si="736"/>
        <v>0</v>
      </c>
      <c r="BAJ27">
        <f t="shared" si="737"/>
        <v>0</v>
      </c>
      <c r="BAK27">
        <f t="shared" si="738"/>
        <v>0</v>
      </c>
      <c r="BAL27">
        <f t="shared" si="739"/>
        <v>0</v>
      </c>
      <c r="BAM27">
        <f t="shared" si="740"/>
        <v>0</v>
      </c>
      <c r="BAN27">
        <f t="shared" si="741"/>
        <v>0</v>
      </c>
      <c r="BAO27">
        <f t="shared" si="742"/>
        <v>0</v>
      </c>
      <c r="BAP27">
        <f t="shared" si="743"/>
        <v>0</v>
      </c>
      <c r="BAQ27">
        <f t="shared" si="744"/>
        <v>0</v>
      </c>
      <c r="BAR27">
        <f t="shared" si="745"/>
        <v>0</v>
      </c>
      <c r="BAS27">
        <f t="shared" si="746"/>
        <v>0</v>
      </c>
      <c r="BAT27">
        <f t="shared" si="747"/>
        <v>0</v>
      </c>
      <c r="BAU27">
        <f t="shared" si="748"/>
        <v>0</v>
      </c>
      <c r="BAV27">
        <f t="shared" si="749"/>
        <v>0</v>
      </c>
      <c r="BAW27">
        <f t="shared" si="750"/>
        <v>0</v>
      </c>
      <c r="BAX27">
        <f t="shared" si="751"/>
        <v>0</v>
      </c>
      <c r="BAY27">
        <f t="shared" si="752"/>
        <v>0</v>
      </c>
      <c r="BAZ27">
        <f t="shared" si="753"/>
        <v>0</v>
      </c>
      <c r="BBA27">
        <f t="shared" si="754"/>
        <v>0</v>
      </c>
      <c r="BBB27">
        <f t="shared" si="755"/>
        <v>0</v>
      </c>
      <c r="BBC27">
        <f t="shared" si="756"/>
        <v>0</v>
      </c>
      <c r="BBD27">
        <f t="shared" si="757"/>
        <v>0</v>
      </c>
      <c r="BBE27">
        <f t="shared" si="758"/>
        <v>0</v>
      </c>
      <c r="BBF27">
        <f t="shared" si="44"/>
        <v>0</v>
      </c>
      <c r="BBG27">
        <f t="shared" si="759"/>
        <v>0</v>
      </c>
      <c r="BBH27">
        <f t="shared" si="760"/>
        <v>0</v>
      </c>
      <c r="BBI27">
        <f t="shared" si="761"/>
        <v>0</v>
      </c>
      <c r="BBJ27">
        <f t="shared" si="762"/>
        <v>0</v>
      </c>
      <c r="BBK27">
        <f t="shared" si="763"/>
        <v>0</v>
      </c>
      <c r="BBL27">
        <f t="shared" si="764"/>
        <v>0</v>
      </c>
      <c r="BBM27">
        <f t="shared" si="765"/>
        <v>0</v>
      </c>
      <c r="BBN27">
        <f t="shared" si="766"/>
        <v>0</v>
      </c>
      <c r="BBO27">
        <f t="shared" si="767"/>
        <v>0</v>
      </c>
      <c r="BBP27">
        <f t="shared" si="768"/>
        <v>0</v>
      </c>
      <c r="BBQ27">
        <f t="shared" si="769"/>
        <v>0</v>
      </c>
      <c r="BBR27">
        <f t="shared" si="770"/>
        <v>0</v>
      </c>
      <c r="BBS27">
        <f t="shared" si="771"/>
        <v>0</v>
      </c>
      <c r="BBT27">
        <f t="shared" si="772"/>
        <v>0</v>
      </c>
      <c r="BBU27">
        <f t="shared" si="773"/>
        <v>0</v>
      </c>
      <c r="BBV27">
        <f t="shared" si="774"/>
        <v>0</v>
      </c>
      <c r="BBW27">
        <f t="shared" si="775"/>
        <v>0</v>
      </c>
      <c r="BBX27">
        <f t="shared" si="776"/>
        <v>0</v>
      </c>
      <c r="BBY27">
        <f t="shared" si="777"/>
        <v>0</v>
      </c>
      <c r="BBZ27">
        <f t="shared" si="778"/>
        <v>0</v>
      </c>
      <c r="BCA27">
        <f t="shared" si="779"/>
        <v>0</v>
      </c>
      <c r="BCB27">
        <f t="shared" si="780"/>
        <v>0</v>
      </c>
      <c r="BCC27">
        <f t="shared" si="781"/>
        <v>0</v>
      </c>
      <c r="BCD27">
        <f t="shared" si="782"/>
        <v>0</v>
      </c>
      <c r="BCE27">
        <f t="shared" si="783"/>
        <v>0</v>
      </c>
      <c r="BCF27">
        <f t="shared" si="784"/>
        <v>0</v>
      </c>
      <c r="BCG27">
        <f t="shared" si="785"/>
        <v>0</v>
      </c>
      <c r="BCH27">
        <f t="shared" si="786"/>
        <v>0</v>
      </c>
      <c r="BCI27">
        <f t="shared" si="787"/>
        <v>0</v>
      </c>
      <c r="BCJ27">
        <f t="shared" si="788"/>
        <v>0</v>
      </c>
      <c r="BCK27">
        <f t="shared" si="789"/>
        <v>0</v>
      </c>
      <c r="BCL27">
        <f t="shared" si="790"/>
        <v>0</v>
      </c>
      <c r="BCM27">
        <f t="shared" si="791"/>
        <v>0</v>
      </c>
      <c r="BCN27">
        <f t="shared" si="792"/>
        <v>0</v>
      </c>
      <c r="BCO27">
        <f t="shared" si="793"/>
        <v>0</v>
      </c>
      <c r="BCP27">
        <f t="shared" si="794"/>
        <v>0</v>
      </c>
      <c r="BCQ27">
        <f t="shared" si="795"/>
        <v>0</v>
      </c>
      <c r="BCR27">
        <f t="shared" si="796"/>
        <v>0</v>
      </c>
      <c r="BCS27">
        <f t="shared" si="797"/>
        <v>0</v>
      </c>
      <c r="BCT27">
        <f t="shared" si="798"/>
        <v>0</v>
      </c>
      <c r="BCU27">
        <f t="shared" si="799"/>
        <v>0</v>
      </c>
      <c r="BCV27">
        <f t="shared" si="800"/>
        <v>0</v>
      </c>
      <c r="BCW27">
        <f t="shared" si="801"/>
        <v>0</v>
      </c>
      <c r="BCX27">
        <f t="shared" si="802"/>
        <v>0</v>
      </c>
      <c r="BCY27">
        <f t="shared" si="803"/>
        <v>0</v>
      </c>
      <c r="BCZ27">
        <f t="shared" si="804"/>
        <v>0</v>
      </c>
      <c r="BDA27">
        <f t="shared" si="805"/>
        <v>0</v>
      </c>
      <c r="BDB27">
        <f t="shared" si="806"/>
        <v>0</v>
      </c>
      <c r="BDC27">
        <f t="shared" si="807"/>
        <v>0</v>
      </c>
      <c r="BDD27">
        <f t="shared" si="808"/>
        <v>0</v>
      </c>
      <c r="BDE27">
        <f t="shared" si="809"/>
        <v>0</v>
      </c>
      <c r="BDF27">
        <f t="shared" si="810"/>
        <v>0</v>
      </c>
      <c r="BDG27">
        <f t="shared" si="811"/>
        <v>0</v>
      </c>
      <c r="BDH27">
        <f t="shared" si="812"/>
        <v>0</v>
      </c>
      <c r="BDI27">
        <f t="shared" si="813"/>
        <v>0</v>
      </c>
      <c r="BDJ27">
        <f t="shared" si="814"/>
        <v>0</v>
      </c>
      <c r="BDK27">
        <f t="shared" si="815"/>
        <v>0</v>
      </c>
      <c r="BDL27">
        <f t="shared" si="816"/>
        <v>0</v>
      </c>
      <c r="BDM27">
        <f t="shared" si="817"/>
        <v>0</v>
      </c>
      <c r="BDN27">
        <f t="shared" si="818"/>
        <v>0</v>
      </c>
      <c r="BDO27">
        <f t="shared" si="819"/>
        <v>0</v>
      </c>
      <c r="BDP27">
        <f t="shared" si="820"/>
        <v>0</v>
      </c>
      <c r="BDQ27">
        <f t="shared" si="821"/>
        <v>0</v>
      </c>
      <c r="BDR27">
        <f t="shared" si="45"/>
        <v>0</v>
      </c>
      <c r="BDS27">
        <f t="shared" si="822"/>
        <v>0</v>
      </c>
      <c r="BDT27">
        <f t="shared" si="823"/>
        <v>0</v>
      </c>
      <c r="BDU27">
        <f t="shared" si="824"/>
        <v>0</v>
      </c>
      <c r="BDV27">
        <f t="shared" si="825"/>
        <v>0</v>
      </c>
      <c r="BDW27">
        <f t="shared" si="826"/>
        <v>0</v>
      </c>
      <c r="BDX27">
        <f t="shared" si="827"/>
        <v>0</v>
      </c>
      <c r="BDY27">
        <f t="shared" si="828"/>
        <v>0</v>
      </c>
      <c r="BDZ27">
        <f t="shared" si="829"/>
        <v>0</v>
      </c>
      <c r="BEA27">
        <f t="shared" si="830"/>
        <v>0</v>
      </c>
      <c r="BEB27">
        <f t="shared" si="831"/>
        <v>0</v>
      </c>
      <c r="BEC27">
        <f t="shared" si="832"/>
        <v>0</v>
      </c>
      <c r="BED27">
        <f t="shared" si="833"/>
        <v>0</v>
      </c>
      <c r="BEE27">
        <f t="shared" si="834"/>
        <v>0</v>
      </c>
      <c r="BEF27">
        <f t="shared" si="835"/>
        <v>0</v>
      </c>
      <c r="BEG27">
        <f t="shared" si="836"/>
        <v>0</v>
      </c>
      <c r="BEH27">
        <f t="shared" si="837"/>
        <v>0</v>
      </c>
      <c r="BEI27">
        <f t="shared" si="838"/>
        <v>0</v>
      </c>
      <c r="BEJ27">
        <f t="shared" si="839"/>
        <v>0</v>
      </c>
      <c r="BEK27">
        <f t="shared" si="840"/>
        <v>0</v>
      </c>
      <c r="BEL27">
        <f t="shared" si="841"/>
        <v>0</v>
      </c>
      <c r="BEM27">
        <f t="shared" si="842"/>
        <v>0</v>
      </c>
      <c r="BEN27">
        <f t="shared" si="843"/>
        <v>0</v>
      </c>
      <c r="BEO27">
        <f t="shared" si="844"/>
        <v>0</v>
      </c>
      <c r="BEP27">
        <f t="shared" si="845"/>
        <v>0</v>
      </c>
      <c r="BEQ27">
        <f t="shared" si="846"/>
        <v>0</v>
      </c>
      <c r="BER27">
        <f t="shared" si="847"/>
        <v>0</v>
      </c>
      <c r="BES27">
        <f t="shared" si="848"/>
        <v>0</v>
      </c>
      <c r="BET27">
        <f t="shared" si="849"/>
        <v>0</v>
      </c>
      <c r="BEU27">
        <f t="shared" si="850"/>
        <v>0</v>
      </c>
      <c r="BEV27">
        <f t="shared" si="851"/>
        <v>0</v>
      </c>
      <c r="BEW27">
        <f t="shared" si="852"/>
        <v>0</v>
      </c>
      <c r="BEX27">
        <f t="shared" si="853"/>
        <v>0</v>
      </c>
      <c r="BEY27">
        <f t="shared" si="854"/>
        <v>0</v>
      </c>
      <c r="BEZ27">
        <f t="shared" si="855"/>
        <v>0</v>
      </c>
      <c r="BFA27">
        <f t="shared" si="856"/>
        <v>0</v>
      </c>
      <c r="BFB27">
        <f t="shared" si="857"/>
        <v>0</v>
      </c>
      <c r="BFC27">
        <f t="shared" si="858"/>
        <v>0</v>
      </c>
      <c r="BFD27">
        <f t="shared" si="859"/>
        <v>0</v>
      </c>
      <c r="BFE27">
        <f t="shared" si="860"/>
        <v>0</v>
      </c>
      <c r="BFF27">
        <f t="shared" si="861"/>
        <v>0</v>
      </c>
      <c r="BFG27">
        <f t="shared" si="862"/>
        <v>0</v>
      </c>
      <c r="BFH27">
        <f t="shared" si="863"/>
        <v>0</v>
      </c>
      <c r="BFI27">
        <f t="shared" si="864"/>
        <v>0</v>
      </c>
      <c r="BFJ27">
        <f t="shared" si="865"/>
        <v>0</v>
      </c>
      <c r="BFK27">
        <f t="shared" si="866"/>
        <v>0</v>
      </c>
      <c r="BFL27">
        <f t="shared" si="867"/>
        <v>0</v>
      </c>
      <c r="BFM27">
        <f t="shared" si="868"/>
        <v>0</v>
      </c>
      <c r="BFN27">
        <f t="shared" si="869"/>
        <v>0</v>
      </c>
      <c r="BFO27">
        <f t="shared" si="870"/>
        <v>0</v>
      </c>
      <c r="BFP27">
        <f t="shared" si="871"/>
        <v>0</v>
      </c>
      <c r="BFQ27">
        <f t="shared" si="872"/>
        <v>0</v>
      </c>
      <c r="BFR27">
        <f t="shared" si="873"/>
        <v>0</v>
      </c>
      <c r="BFS27">
        <f t="shared" si="874"/>
        <v>0</v>
      </c>
      <c r="BFT27">
        <f t="shared" si="875"/>
        <v>0</v>
      </c>
      <c r="BFU27">
        <f t="shared" si="876"/>
        <v>0</v>
      </c>
      <c r="BFV27">
        <f t="shared" si="877"/>
        <v>0</v>
      </c>
      <c r="BFW27">
        <f t="shared" si="878"/>
        <v>0</v>
      </c>
      <c r="BFX27">
        <f t="shared" si="879"/>
        <v>0</v>
      </c>
      <c r="BFY27">
        <f t="shared" si="880"/>
        <v>0</v>
      </c>
      <c r="BFZ27">
        <f t="shared" si="881"/>
        <v>0</v>
      </c>
      <c r="BGA27">
        <f t="shared" si="882"/>
        <v>0</v>
      </c>
      <c r="BGB27">
        <f t="shared" si="883"/>
        <v>0</v>
      </c>
      <c r="BGC27">
        <f t="shared" si="884"/>
        <v>0</v>
      </c>
      <c r="BGD27">
        <f t="shared" si="46"/>
        <v>0</v>
      </c>
      <c r="BGE27">
        <f t="shared" si="885"/>
        <v>0</v>
      </c>
      <c r="BGF27">
        <f t="shared" si="886"/>
        <v>0</v>
      </c>
      <c r="BGG27">
        <f t="shared" si="887"/>
        <v>0</v>
      </c>
      <c r="BGH27">
        <f t="shared" si="888"/>
        <v>0</v>
      </c>
      <c r="BGI27">
        <f t="shared" si="889"/>
        <v>0</v>
      </c>
      <c r="BGJ27">
        <f t="shared" si="890"/>
        <v>0</v>
      </c>
      <c r="BGK27">
        <f t="shared" si="891"/>
        <v>0</v>
      </c>
      <c r="BGL27">
        <f t="shared" si="892"/>
        <v>0</v>
      </c>
      <c r="BGM27">
        <f t="shared" si="893"/>
        <v>0</v>
      </c>
      <c r="BGN27">
        <f t="shared" si="894"/>
        <v>0</v>
      </c>
      <c r="BGO27">
        <f t="shared" si="895"/>
        <v>0</v>
      </c>
      <c r="BGP27">
        <f t="shared" si="896"/>
        <v>0</v>
      </c>
      <c r="BGQ27">
        <f t="shared" si="897"/>
        <v>0</v>
      </c>
      <c r="BGR27">
        <f t="shared" si="898"/>
        <v>0</v>
      </c>
      <c r="BGS27">
        <f t="shared" si="899"/>
        <v>0</v>
      </c>
      <c r="BGT27">
        <f t="shared" si="900"/>
        <v>0</v>
      </c>
      <c r="BGU27">
        <f t="shared" si="901"/>
        <v>0</v>
      </c>
      <c r="BGV27">
        <f t="shared" si="902"/>
        <v>0</v>
      </c>
      <c r="BGW27">
        <f t="shared" si="903"/>
        <v>0</v>
      </c>
      <c r="BGX27">
        <f t="shared" si="904"/>
        <v>0</v>
      </c>
      <c r="BGY27">
        <f t="shared" si="905"/>
        <v>0</v>
      </c>
      <c r="BGZ27">
        <f t="shared" si="906"/>
        <v>0</v>
      </c>
      <c r="BHA27">
        <f t="shared" si="907"/>
        <v>0</v>
      </c>
      <c r="BHB27">
        <f t="shared" si="908"/>
        <v>0</v>
      </c>
      <c r="BHC27">
        <f t="shared" si="909"/>
        <v>0</v>
      </c>
      <c r="BHD27">
        <f t="shared" si="910"/>
        <v>0</v>
      </c>
      <c r="BHE27">
        <f t="shared" si="911"/>
        <v>0</v>
      </c>
      <c r="BHF27">
        <f t="shared" si="912"/>
        <v>0</v>
      </c>
      <c r="BHG27">
        <f t="shared" si="913"/>
        <v>0</v>
      </c>
      <c r="BHH27">
        <f t="shared" si="914"/>
        <v>0</v>
      </c>
      <c r="BHI27">
        <f t="shared" si="915"/>
        <v>0</v>
      </c>
      <c r="BHJ27">
        <f t="shared" si="916"/>
        <v>0</v>
      </c>
      <c r="BHK27">
        <f t="shared" si="917"/>
        <v>0</v>
      </c>
      <c r="BHL27">
        <f t="shared" si="918"/>
        <v>0</v>
      </c>
      <c r="BHM27">
        <f t="shared" si="919"/>
        <v>0</v>
      </c>
      <c r="BHN27">
        <f t="shared" si="920"/>
        <v>0</v>
      </c>
      <c r="BHO27">
        <f t="shared" si="921"/>
        <v>0</v>
      </c>
      <c r="BHP27">
        <f t="shared" si="922"/>
        <v>0</v>
      </c>
      <c r="BHQ27">
        <f t="shared" si="923"/>
        <v>0</v>
      </c>
      <c r="BHR27">
        <f t="shared" si="924"/>
        <v>0</v>
      </c>
      <c r="BHS27">
        <f t="shared" si="925"/>
        <v>0</v>
      </c>
      <c r="BHT27">
        <f t="shared" si="926"/>
        <v>0</v>
      </c>
      <c r="BHU27">
        <f t="shared" si="927"/>
        <v>0</v>
      </c>
      <c r="BHV27">
        <f t="shared" si="928"/>
        <v>0</v>
      </c>
      <c r="BHW27">
        <f t="shared" si="929"/>
        <v>0</v>
      </c>
      <c r="BHX27">
        <f t="shared" si="930"/>
        <v>0</v>
      </c>
      <c r="BHY27">
        <f t="shared" si="931"/>
        <v>0</v>
      </c>
      <c r="BHZ27">
        <f t="shared" si="932"/>
        <v>0</v>
      </c>
      <c r="BIA27">
        <f t="shared" si="933"/>
        <v>0</v>
      </c>
      <c r="BIB27">
        <f t="shared" si="934"/>
        <v>0</v>
      </c>
      <c r="BIC27">
        <f t="shared" si="935"/>
        <v>0</v>
      </c>
      <c r="BID27">
        <f t="shared" si="936"/>
        <v>0</v>
      </c>
      <c r="BIE27">
        <f t="shared" si="937"/>
        <v>0</v>
      </c>
      <c r="BIF27">
        <f t="shared" si="938"/>
        <v>0</v>
      </c>
      <c r="BIG27">
        <f t="shared" si="939"/>
        <v>0</v>
      </c>
      <c r="BIH27">
        <f t="shared" si="940"/>
        <v>0</v>
      </c>
      <c r="BII27">
        <f t="shared" si="941"/>
        <v>0</v>
      </c>
      <c r="BIJ27">
        <f t="shared" si="942"/>
        <v>0</v>
      </c>
      <c r="BIK27">
        <f t="shared" si="943"/>
        <v>0</v>
      </c>
      <c r="BIL27">
        <f t="shared" si="944"/>
        <v>0</v>
      </c>
      <c r="BIM27">
        <f t="shared" si="945"/>
        <v>0</v>
      </c>
      <c r="BIN27">
        <f t="shared" si="946"/>
        <v>0</v>
      </c>
      <c r="BIO27">
        <f t="shared" si="947"/>
        <v>0</v>
      </c>
      <c r="BIP27">
        <f t="shared" si="47"/>
        <v>0</v>
      </c>
      <c r="BIQ27">
        <f t="shared" si="948"/>
        <v>0</v>
      </c>
      <c r="BIR27">
        <f t="shared" si="949"/>
        <v>0</v>
      </c>
      <c r="BIS27">
        <f t="shared" si="950"/>
        <v>0</v>
      </c>
      <c r="BIT27">
        <f t="shared" si="951"/>
        <v>0</v>
      </c>
      <c r="BIU27">
        <f t="shared" si="952"/>
        <v>0</v>
      </c>
      <c r="BIV27">
        <f t="shared" si="953"/>
        <v>0</v>
      </c>
      <c r="BIW27">
        <f t="shared" si="954"/>
        <v>0</v>
      </c>
      <c r="BIX27">
        <f t="shared" si="955"/>
        <v>0</v>
      </c>
      <c r="BIY27">
        <f t="shared" si="956"/>
        <v>0</v>
      </c>
      <c r="BIZ27">
        <f t="shared" si="957"/>
        <v>0</v>
      </c>
      <c r="BJA27">
        <f t="shared" si="958"/>
        <v>0</v>
      </c>
      <c r="BJB27">
        <f t="shared" si="959"/>
        <v>0</v>
      </c>
      <c r="BJC27">
        <f t="shared" si="960"/>
        <v>0</v>
      </c>
      <c r="BJD27">
        <f t="shared" si="961"/>
        <v>0</v>
      </c>
      <c r="BJE27">
        <f t="shared" si="962"/>
        <v>0</v>
      </c>
      <c r="BJF27">
        <f t="shared" si="963"/>
        <v>0</v>
      </c>
      <c r="BJG27">
        <f t="shared" si="964"/>
        <v>0</v>
      </c>
      <c r="BJH27">
        <f t="shared" si="965"/>
        <v>0</v>
      </c>
      <c r="BJI27">
        <f t="shared" si="966"/>
        <v>0</v>
      </c>
      <c r="BJJ27">
        <f t="shared" si="967"/>
        <v>0</v>
      </c>
      <c r="BJK27">
        <f t="shared" si="968"/>
        <v>0</v>
      </c>
      <c r="BJL27">
        <f t="shared" si="969"/>
        <v>0</v>
      </c>
      <c r="BJM27">
        <f t="shared" si="970"/>
        <v>0</v>
      </c>
      <c r="BJN27">
        <f t="shared" si="971"/>
        <v>0</v>
      </c>
      <c r="BJO27">
        <f t="shared" si="972"/>
        <v>0</v>
      </c>
      <c r="BJP27">
        <f t="shared" si="973"/>
        <v>0</v>
      </c>
      <c r="BJQ27">
        <f t="shared" si="974"/>
        <v>0</v>
      </c>
      <c r="BJR27">
        <f t="shared" si="975"/>
        <v>0</v>
      </c>
      <c r="BJS27">
        <f t="shared" si="976"/>
        <v>0</v>
      </c>
      <c r="BJT27">
        <f t="shared" si="977"/>
        <v>0</v>
      </c>
      <c r="BJU27">
        <f t="shared" si="978"/>
        <v>0</v>
      </c>
      <c r="BJV27">
        <f t="shared" si="979"/>
        <v>0</v>
      </c>
      <c r="BJW27">
        <f t="shared" si="980"/>
        <v>0</v>
      </c>
      <c r="BJX27">
        <f t="shared" si="981"/>
        <v>0</v>
      </c>
      <c r="BJY27">
        <f t="shared" si="982"/>
        <v>0</v>
      </c>
      <c r="BJZ27">
        <f t="shared" si="983"/>
        <v>0</v>
      </c>
      <c r="BKA27">
        <f t="shared" si="984"/>
        <v>0</v>
      </c>
      <c r="BKB27">
        <f t="shared" si="985"/>
        <v>0</v>
      </c>
      <c r="BKC27">
        <f t="shared" si="986"/>
        <v>0</v>
      </c>
      <c r="BKD27">
        <f t="shared" si="987"/>
        <v>0</v>
      </c>
      <c r="BKE27">
        <f t="shared" si="988"/>
        <v>0</v>
      </c>
      <c r="BKF27">
        <f t="shared" si="989"/>
        <v>0</v>
      </c>
      <c r="BKG27">
        <f t="shared" si="990"/>
        <v>0</v>
      </c>
      <c r="BKH27">
        <f t="shared" si="991"/>
        <v>0</v>
      </c>
      <c r="BKI27">
        <f t="shared" si="992"/>
        <v>0</v>
      </c>
      <c r="BKJ27">
        <f t="shared" si="993"/>
        <v>0</v>
      </c>
      <c r="BKK27">
        <f t="shared" si="994"/>
        <v>0</v>
      </c>
      <c r="BKL27">
        <f t="shared" si="995"/>
        <v>0</v>
      </c>
      <c r="BKM27">
        <f t="shared" si="996"/>
        <v>0</v>
      </c>
      <c r="BKN27">
        <f t="shared" si="997"/>
        <v>0</v>
      </c>
      <c r="BKO27">
        <f t="shared" si="998"/>
        <v>0</v>
      </c>
      <c r="BKP27">
        <f t="shared" si="999"/>
        <v>0</v>
      </c>
      <c r="BKQ27">
        <f t="shared" si="1000"/>
        <v>0</v>
      </c>
      <c r="BKR27">
        <f t="shared" si="1001"/>
        <v>0</v>
      </c>
      <c r="BKS27">
        <f t="shared" si="1002"/>
        <v>0</v>
      </c>
      <c r="BKT27">
        <f t="shared" si="1003"/>
        <v>0</v>
      </c>
      <c r="BKU27">
        <f t="shared" si="1004"/>
        <v>0</v>
      </c>
      <c r="BKV27">
        <f t="shared" si="1005"/>
        <v>0</v>
      </c>
      <c r="BKW27">
        <f t="shared" si="1006"/>
        <v>0</v>
      </c>
      <c r="BKX27">
        <f t="shared" si="1007"/>
        <v>0</v>
      </c>
      <c r="BKY27">
        <f t="shared" si="1008"/>
        <v>0</v>
      </c>
      <c r="BKZ27">
        <f t="shared" si="1009"/>
        <v>0</v>
      </c>
      <c r="BLA27">
        <f t="shared" si="1010"/>
        <v>0</v>
      </c>
      <c r="BLB27">
        <f t="shared" si="48"/>
        <v>0</v>
      </c>
      <c r="BLC27">
        <f t="shared" si="1011"/>
        <v>0</v>
      </c>
      <c r="BLD27">
        <f t="shared" si="1012"/>
        <v>0</v>
      </c>
      <c r="BLE27">
        <f t="shared" si="1013"/>
        <v>0</v>
      </c>
      <c r="BLF27">
        <f t="shared" si="1014"/>
        <v>0</v>
      </c>
      <c r="BLG27">
        <f t="shared" si="1015"/>
        <v>0</v>
      </c>
      <c r="BLH27">
        <f t="shared" si="1016"/>
        <v>0</v>
      </c>
      <c r="BLI27">
        <f t="shared" si="1017"/>
        <v>0</v>
      </c>
      <c r="BLJ27">
        <f t="shared" si="1018"/>
        <v>0</v>
      </c>
      <c r="BLK27">
        <f t="shared" si="1019"/>
        <v>0</v>
      </c>
      <c r="BLL27">
        <f t="shared" si="1020"/>
        <v>0</v>
      </c>
      <c r="BLM27">
        <f t="shared" si="1021"/>
        <v>0</v>
      </c>
      <c r="BLN27">
        <f t="shared" si="1022"/>
        <v>0</v>
      </c>
      <c r="BLO27">
        <f t="shared" si="1023"/>
        <v>0</v>
      </c>
      <c r="BLP27">
        <f t="shared" si="1024"/>
        <v>0</v>
      </c>
      <c r="BLQ27">
        <f t="shared" si="1025"/>
        <v>0</v>
      </c>
      <c r="BLR27">
        <f t="shared" si="1026"/>
        <v>0</v>
      </c>
      <c r="BLS27">
        <f t="shared" si="1027"/>
        <v>0</v>
      </c>
      <c r="BLT27">
        <f t="shared" si="1028"/>
        <v>0</v>
      </c>
      <c r="BLU27">
        <f t="shared" si="1029"/>
        <v>0</v>
      </c>
      <c r="BLV27">
        <f t="shared" si="1030"/>
        <v>0</v>
      </c>
      <c r="BLW27">
        <f t="shared" si="1031"/>
        <v>0</v>
      </c>
      <c r="BLX27">
        <f t="shared" si="1032"/>
        <v>0</v>
      </c>
      <c r="BLY27">
        <f t="shared" si="1033"/>
        <v>0</v>
      </c>
      <c r="BLZ27">
        <f t="shared" si="1034"/>
        <v>0</v>
      </c>
      <c r="BMA27">
        <f t="shared" si="1035"/>
        <v>0</v>
      </c>
      <c r="BMB27">
        <f t="shared" si="1036"/>
        <v>0</v>
      </c>
      <c r="BMC27">
        <f t="shared" si="1037"/>
        <v>0</v>
      </c>
      <c r="BMD27">
        <f t="shared" si="1038"/>
        <v>0</v>
      </c>
      <c r="BME27">
        <f t="shared" si="1039"/>
        <v>0</v>
      </c>
      <c r="BMF27">
        <f t="shared" si="1040"/>
        <v>0</v>
      </c>
      <c r="BMG27">
        <f t="shared" si="1041"/>
        <v>0</v>
      </c>
      <c r="BMH27">
        <f t="shared" si="1042"/>
        <v>0</v>
      </c>
      <c r="BMI27">
        <f t="shared" si="1043"/>
        <v>0</v>
      </c>
      <c r="BMJ27">
        <f t="shared" si="1044"/>
        <v>0</v>
      </c>
      <c r="BMK27">
        <f t="shared" si="1045"/>
        <v>0</v>
      </c>
      <c r="BML27">
        <f t="shared" si="1046"/>
        <v>0</v>
      </c>
      <c r="BMM27">
        <f t="shared" si="1047"/>
        <v>0</v>
      </c>
      <c r="BMN27">
        <f t="shared" si="1048"/>
        <v>0</v>
      </c>
      <c r="BMO27">
        <f t="shared" si="1049"/>
        <v>0</v>
      </c>
      <c r="BMP27">
        <f t="shared" si="1050"/>
        <v>0</v>
      </c>
      <c r="BMQ27">
        <f t="shared" si="1051"/>
        <v>0</v>
      </c>
      <c r="BMR27">
        <f t="shared" si="1052"/>
        <v>0</v>
      </c>
      <c r="BMS27">
        <f t="shared" si="1053"/>
        <v>0</v>
      </c>
      <c r="BMT27">
        <f t="shared" si="1054"/>
        <v>0</v>
      </c>
      <c r="BMU27">
        <f t="shared" si="1055"/>
        <v>0</v>
      </c>
      <c r="BMV27">
        <f t="shared" si="1056"/>
        <v>0</v>
      </c>
      <c r="BMW27">
        <f t="shared" si="1057"/>
        <v>0</v>
      </c>
      <c r="BMX27">
        <f t="shared" si="1058"/>
        <v>0</v>
      </c>
      <c r="BMY27">
        <f t="shared" si="1059"/>
        <v>0</v>
      </c>
      <c r="BMZ27">
        <f t="shared" si="1060"/>
        <v>0</v>
      </c>
      <c r="BNA27">
        <f t="shared" si="1061"/>
        <v>0</v>
      </c>
      <c r="BNB27">
        <f t="shared" si="1062"/>
        <v>0</v>
      </c>
      <c r="BNC27">
        <f t="shared" si="1063"/>
        <v>0</v>
      </c>
      <c r="BND27">
        <f t="shared" si="1064"/>
        <v>0</v>
      </c>
      <c r="BNE27">
        <f t="shared" si="1065"/>
        <v>0</v>
      </c>
      <c r="BNF27">
        <f t="shared" si="1066"/>
        <v>0</v>
      </c>
      <c r="BNG27">
        <f t="shared" si="1067"/>
        <v>0</v>
      </c>
      <c r="BNH27">
        <f t="shared" si="1068"/>
        <v>0</v>
      </c>
      <c r="BNI27">
        <f t="shared" si="1069"/>
        <v>0</v>
      </c>
      <c r="BNJ27">
        <f t="shared" si="1070"/>
        <v>0</v>
      </c>
      <c r="BNK27">
        <f t="shared" si="1071"/>
        <v>0</v>
      </c>
      <c r="BNL27">
        <f t="shared" si="1072"/>
        <v>0</v>
      </c>
      <c r="BNM27">
        <f t="shared" si="1073"/>
        <v>0</v>
      </c>
      <c r="BNN27">
        <f t="shared" si="49"/>
        <v>0</v>
      </c>
      <c r="BNO27">
        <f t="shared" si="1074"/>
        <v>0</v>
      </c>
      <c r="BNP27">
        <f t="shared" si="1075"/>
        <v>0</v>
      </c>
      <c r="BNQ27">
        <f t="shared" si="1076"/>
        <v>0</v>
      </c>
      <c r="BNR27">
        <f t="shared" si="1077"/>
        <v>0</v>
      </c>
      <c r="BNS27">
        <f t="shared" si="1078"/>
        <v>0</v>
      </c>
      <c r="BNT27">
        <f t="shared" si="1079"/>
        <v>0</v>
      </c>
      <c r="BNU27">
        <f t="shared" si="1080"/>
        <v>0</v>
      </c>
      <c r="BNV27">
        <f t="shared" si="1081"/>
        <v>0</v>
      </c>
      <c r="BNW27">
        <f t="shared" si="1082"/>
        <v>0</v>
      </c>
      <c r="BNX27">
        <f t="shared" si="1083"/>
        <v>0</v>
      </c>
      <c r="BNY27">
        <f t="shared" si="1084"/>
        <v>0</v>
      </c>
      <c r="BNZ27">
        <f t="shared" si="1085"/>
        <v>0</v>
      </c>
      <c r="BOA27">
        <f t="shared" si="1086"/>
        <v>0</v>
      </c>
      <c r="BOB27">
        <f t="shared" si="1087"/>
        <v>0</v>
      </c>
      <c r="BOC27">
        <f t="shared" si="1088"/>
        <v>0</v>
      </c>
      <c r="BOD27">
        <f t="shared" si="1089"/>
        <v>0</v>
      </c>
      <c r="BOE27">
        <f t="shared" si="1090"/>
        <v>0</v>
      </c>
      <c r="BOF27">
        <f t="shared" si="1091"/>
        <v>0</v>
      </c>
      <c r="BOG27">
        <f t="shared" si="1092"/>
        <v>0</v>
      </c>
      <c r="BOH27">
        <f t="shared" si="1093"/>
        <v>0</v>
      </c>
      <c r="BOI27">
        <f t="shared" si="1094"/>
        <v>0</v>
      </c>
      <c r="BOJ27">
        <f t="shared" si="1095"/>
        <v>0</v>
      </c>
      <c r="BOK27">
        <f t="shared" si="1096"/>
        <v>0</v>
      </c>
      <c r="BOL27">
        <f t="shared" si="1097"/>
        <v>0</v>
      </c>
      <c r="BOM27">
        <f t="shared" si="1098"/>
        <v>0</v>
      </c>
      <c r="BON27">
        <f t="shared" si="1099"/>
        <v>0</v>
      </c>
      <c r="BOO27">
        <f t="shared" si="1100"/>
        <v>0</v>
      </c>
      <c r="BOP27">
        <f t="shared" si="1101"/>
        <v>0</v>
      </c>
      <c r="BOQ27">
        <f t="shared" si="1102"/>
        <v>0</v>
      </c>
      <c r="BOR27">
        <f t="shared" si="1103"/>
        <v>0</v>
      </c>
      <c r="BOS27">
        <f t="shared" si="1104"/>
        <v>0</v>
      </c>
      <c r="BOT27">
        <f t="shared" si="1105"/>
        <v>0</v>
      </c>
      <c r="BOU27">
        <f t="shared" si="1106"/>
        <v>0</v>
      </c>
      <c r="BOV27">
        <f t="shared" si="1107"/>
        <v>0</v>
      </c>
      <c r="BOW27">
        <f t="shared" si="1108"/>
        <v>0</v>
      </c>
      <c r="BOX27">
        <f t="shared" si="1109"/>
        <v>0</v>
      </c>
      <c r="BOY27">
        <f t="shared" si="1110"/>
        <v>0</v>
      </c>
      <c r="BOZ27">
        <f t="shared" si="1111"/>
        <v>0</v>
      </c>
      <c r="BPA27">
        <f t="shared" si="1112"/>
        <v>0</v>
      </c>
      <c r="BPB27">
        <f t="shared" si="1113"/>
        <v>0</v>
      </c>
      <c r="BPC27">
        <f t="shared" si="1114"/>
        <v>0</v>
      </c>
      <c r="BPD27">
        <f t="shared" si="1115"/>
        <v>0</v>
      </c>
      <c r="BPE27">
        <f t="shared" si="1116"/>
        <v>0</v>
      </c>
      <c r="BPF27">
        <f t="shared" si="1117"/>
        <v>0</v>
      </c>
      <c r="BPG27">
        <f t="shared" si="1118"/>
        <v>0</v>
      </c>
      <c r="BPH27">
        <f t="shared" si="1119"/>
        <v>0</v>
      </c>
      <c r="BPI27">
        <f t="shared" si="1120"/>
        <v>0</v>
      </c>
      <c r="BPJ27">
        <f t="shared" si="1121"/>
        <v>0</v>
      </c>
      <c r="BPK27">
        <f t="shared" si="1122"/>
        <v>0</v>
      </c>
      <c r="BPL27">
        <f t="shared" si="1123"/>
        <v>0</v>
      </c>
      <c r="BPM27">
        <f t="shared" si="1124"/>
        <v>0</v>
      </c>
      <c r="BPN27">
        <f t="shared" si="1125"/>
        <v>0</v>
      </c>
      <c r="BPO27">
        <f t="shared" si="1126"/>
        <v>0</v>
      </c>
      <c r="BPP27">
        <f t="shared" si="1127"/>
        <v>0</v>
      </c>
      <c r="BPQ27">
        <f t="shared" si="1128"/>
        <v>0</v>
      </c>
      <c r="BPR27">
        <f t="shared" si="1129"/>
        <v>0</v>
      </c>
      <c r="BPS27">
        <f t="shared" si="1130"/>
        <v>0</v>
      </c>
      <c r="BPT27">
        <f t="shared" si="1131"/>
        <v>0</v>
      </c>
      <c r="BPU27">
        <f t="shared" si="1132"/>
        <v>0</v>
      </c>
      <c r="BPV27">
        <f t="shared" si="1133"/>
        <v>0</v>
      </c>
      <c r="BPW27">
        <f t="shared" si="1134"/>
        <v>0</v>
      </c>
      <c r="BPX27">
        <f t="shared" si="1135"/>
        <v>0</v>
      </c>
      <c r="BPY27">
        <f t="shared" si="1136"/>
        <v>0</v>
      </c>
      <c r="BPZ27">
        <f t="shared" si="50"/>
        <v>0</v>
      </c>
      <c r="BQA27">
        <f t="shared" si="1137"/>
        <v>0</v>
      </c>
      <c r="BQB27">
        <f t="shared" si="1138"/>
        <v>0</v>
      </c>
      <c r="BQC27">
        <f t="shared" si="1139"/>
        <v>0</v>
      </c>
      <c r="BQD27">
        <f t="shared" si="1140"/>
        <v>0</v>
      </c>
      <c r="BQE27">
        <f t="shared" si="1141"/>
        <v>0</v>
      </c>
      <c r="BQF27">
        <f t="shared" si="1142"/>
        <v>0</v>
      </c>
      <c r="BQG27">
        <f t="shared" si="1143"/>
        <v>0</v>
      </c>
      <c r="BQH27">
        <f t="shared" si="1144"/>
        <v>0</v>
      </c>
      <c r="BQI27">
        <f t="shared" si="1145"/>
        <v>0</v>
      </c>
      <c r="BQJ27">
        <f t="shared" si="1146"/>
        <v>0</v>
      </c>
      <c r="BQK27">
        <f t="shared" si="1147"/>
        <v>0</v>
      </c>
      <c r="BQL27">
        <f t="shared" si="1148"/>
        <v>0</v>
      </c>
      <c r="BQM27">
        <f t="shared" si="1149"/>
        <v>0</v>
      </c>
      <c r="BQN27">
        <f t="shared" si="1150"/>
        <v>0</v>
      </c>
      <c r="BQO27">
        <f t="shared" si="1151"/>
        <v>0</v>
      </c>
      <c r="BQP27">
        <f t="shared" si="1152"/>
        <v>0</v>
      </c>
      <c r="BQQ27">
        <f t="shared" si="1153"/>
        <v>0</v>
      </c>
      <c r="BQR27">
        <f t="shared" si="1154"/>
        <v>0</v>
      </c>
      <c r="BQS27">
        <f t="shared" si="1155"/>
        <v>0</v>
      </c>
      <c r="BQT27">
        <f t="shared" si="1156"/>
        <v>0</v>
      </c>
      <c r="BQU27">
        <f t="shared" si="1157"/>
        <v>0</v>
      </c>
      <c r="BQV27">
        <f t="shared" si="1158"/>
        <v>0</v>
      </c>
      <c r="BQW27">
        <f t="shared" si="1159"/>
        <v>0</v>
      </c>
      <c r="BQX27">
        <f t="shared" si="1160"/>
        <v>0</v>
      </c>
      <c r="BQY27">
        <f t="shared" si="1161"/>
        <v>0</v>
      </c>
      <c r="BQZ27">
        <f t="shared" si="1162"/>
        <v>0</v>
      </c>
      <c r="BRA27">
        <f t="shared" si="1163"/>
        <v>0</v>
      </c>
      <c r="BRB27">
        <f t="shared" si="1164"/>
        <v>0</v>
      </c>
      <c r="BRC27">
        <f t="shared" si="1165"/>
        <v>0</v>
      </c>
      <c r="BRD27">
        <f t="shared" si="1166"/>
        <v>0</v>
      </c>
      <c r="BRE27">
        <f t="shared" si="1167"/>
        <v>0</v>
      </c>
      <c r="BRF27">
        <f t="shared" si="1168"/>
        <v>0</v>
      </c>
      <c r="BRG27">
        <f t="shared" si="1169"/>
        <v>0</v>
      </c>
      <c r="BRH27">
        <f t="shared" si="1170"/>
        <v>0</v>
      </c>
      <c r="BRI27">
        <f t="shared" si="1171"/>
        <v>0</v>
      </c>
      <c r="BRJ27">
        <f t="shared" si="1172"/>
        <v>0</v>
      </c>
      <c r="BRK27">
        <f t="shared" si="1173"/>
        <v>0</v>
      </c>
      <c r="BRL27">
        <f t="shared" si="1174"/>
        <v>0</v>
      </c>
      <c r="BRM27">
        <f t="shared" si="1175"/>
        <v>0</v>
      </c>
      <c r="BRN27">
        <f t="shared" si="1176"/>
        <v>0</v>
      </c>
      <c r="BRO27">
        <f t="shared" si="1177"/>
        <v>0</v>
      </c>
      <c r="BRP27">
        <f t="shared" si="1178"/>
        <v>0</v>
      </c>
      <c r="BRQ27">
        <f t="shared" si="1179"/>
        <v>0</v>
      </c>
      <c r="BRR27">
        <f t="shared" si="1180"/>
        <v>0</v>
      </c>
      <c r="BRS27">
        <f t="shared" si="1181"/>
        <v>0</v>
      </c>
      <c r="BRT27">
        <f t="shared" si="1182"/>
        <v>0</v>
      </c>
      <c r="BRU27">
        <f t="shared" si="1183"/>
        <v>0</v>
      </c>
      <c r="BRV27">
        <f t="shared" si="1184"/>
        <v>0</v>
      </c>
      <c r="BRW27">
        <f t="shared" si="1185"/>
        <v>0</v>
      </c>
      <c r="BRX27">
        <f t="shared" si="1186"/>
        <v>0</v>
      </c>
      <c r="BRY27">
        <f t="shared" si="1187"/>
        <v>0</v>
      </c>
      <c r="BRZ27">
        <f t="shared" si="1188"/>
        <v>0</v>
      </c>
      <c r="BSA27">
        <f t="shared" si="1189"/>
        <v>0</v>
      </c>
      <c r="BSB27">
        <f t="shared" si="1190"/>
        <v>0</v>
      </c>
      <c r="BSC27">
        <f t="shared" si="1191"/>
        <v>0</v>
      </c>
      <c r="BSD27">
        <f t="shared" si="1192"/>
        <v>0</v>
      </c>
      <c r="BSE27">
        <f t="shared" si="1193"/>
        <v>0</v>
      </c>
      <c r="BSF27">
        <f t="shared" si="1194"/>
        <v>0</v>
      </c>
      <c r="BSG27">
        <f t="shared" si="1195"/>
        <v>0</v>
      </c>
      <c r="BSH27">
        <f t="shared" si="1196"/>
        <v>0</v>
      </c>
      <c r="BSI27">
        <f t="shared" si="1197"/>
        <v>0</v>
      </c>
      <c r="BSJ27">
        <f t="shared" si="1198"/>
        <v>0</v>
      </c>
      <c r="BSK27">
        <f t="shared" si="1199"/>
        <v>0</v>
      </c>
      <c r="BSL27">
        <f t="shared" si="51"/>
        <v>0</v>
      </c>
      <c r="BSM27">
        <f t="shared" si="1200"/>
        <v>0</v>
      </c>
      <c r="BSN27">
        <f t="shared" si="1201"/>
        <v>0</v>
      </c>
      <c r="BSO27">
        <f t="shared" si="1202"/>
        <v>0</v>
      </c>
      <c r="BSP27">
        <f t="shared" si="1203"/>
        <v>0</v>
      </c>
      <c r="BSQ27">
        <f t="shared" si="1204"/>
        <v>0</v>
      </c>
      <c r="BSR27">
        <f t="shared" si="1205"/>
        <v>0</v>
      </c>
      <c r="BSS27">
        <f t="shared" si="1206"/>
        <v>0</v>
      </c>
      <c r="BST27">
        <f t="shared" si="1207"/>
        <v>0</v>
      </c>
      <c r="BSU27">
        <f t="shared" si="1208"/>
        <v>0</v>
      </c>
      <c r="BSV27">
        <f t="shared" si="1209"/>
        <v>0</v>
      </c>
      <c r="BSW27">
        <f t="shared" si="1210"/>
        <v>0</v>
      </c>
      <c r="BSX27">
        <f t="shared" si="1211"/>
        <v>0</v>
      </c>
      <c r="BSY27">
        <f t="shared" si="1212"/>
        <v>0</v>
      </c>
      <c r="BSZ27">
        <f t="shared" si="1213"/>
        <v>0</v>
      </c>
      <c r="BTA27">
        <f t="shared" si="1214"/>
        <v>0</v>
      </c>
      <c r="BTB27">
        <f t="shared" si="1215"/>
        <v>0</v>
      </c>
      <c r="BTC27">
        <f t="shared" si="1216"/>
        <v>0</v>
      </c>
      <c r="BTD27">
        <f t="shared" si="1217"/>
        <v>0</v>
      </c>
      <c r="BTE27">
        <f t="shared" si="1218"/>
        <v>0</v>
      </c>
      <c r="BTF27">
        <f t="shared" si="1219"/>
        <v>0</v>
      </c>
      <c r="BTG27">
        <f t="shared" si="1220"/>
        <v>0</v>
      </c>
      <c r="BTH27">
        <f t="shared" si="1221"/>
        <v>0</v>
      </c>
      <c r="BTI27">
        <f t="shared" si="1222"/>
        <v>0</v>
      </c>
      <c r="BTJ27">
        <f t="shared" si="1223"/>
        <v>0</v>
      </c>
      <c r="BTK27">
        <f t="shared" si="1224"/>
        <v>0</v>
      </c>
      <c r="BTL27">
        <f t="shared" si="1225"/>
        <v>0</v>
      </c>
      <c r="BTM27">
        <f t="shared" si="1226"/>
        <v>0</v>
      </c>
      <c r="BTN27">
        <f t="shared" si="1227"/>
        <v>0</v>
      </c>
      <c r="BTO27">
        <f t="shared" si="1228"/>
        <v>0</v>
      </c>
      <c r="BTP27">
        <f t="shared" si="1229"/>
        <v>0</v>
      </c>
      <c r="BTQ27">
        <f t="shared" si="1230"/>
        <v>0</v>
      </c>
      <c r="BTR27">
        <f t="shared" si="1231"/>
        <v>0</v>
      </c>
      <c r="BTS27">
        <f t="shared" si="1232"/>
        <v>0</v>
      </c>
      <c r="BTT27">
        <f t="shared" si="1233"/>
        <v>0</v>
      </c>
      <c r="BTU27">
        <f t="shared" si="1234"/>
        <v>0</v>
      </c>
      <c r="BTV27">
        <f t="shared" si="1235"/>
        <v>0</v>
      </c>
      <c r="BTW27">
        <f t="shared" si="1236"/>
        <v>0</v>
      </c>
      <c r="BTX27">
        <f t="shared" si="1237"/>
        <v>0</v>
      </c>
      <c r="BTY27">
        <f t="shared" si="1238"/>
        <v>0</v>
      </c>
      <c r="BTZ27">
        <f t="shared" si="1239"/>
        <v>0</v>
      </c>
      <c r="BUA27">
        <f t="shared" si="1240"/>
        <v>0</v>
      </c>
      <c r="BUB27">
        <f t="shared" si="1241"/>
        <v>0</v>
      </c>
      <c r="BUC27">
        <f t="shared" si="1242"/>
        <v>0</v>
      </c>
      <c r="BUD27">
        <f t="shared" si="1243"/>
        <v>0</v>
      </c>
      <c r="BUE27">
        <f t="shared" si="1244"/>
        <v>0</v>
      </c>
      <c r="BUF27">
        <f t="shared" si="1245"/>
        <v>0</v>
      </c>
      <c r="BUG27">
        <f t="shared" si="1246"/>
        <v>0</v>
      </c>
      <c r="BUH27">
        <f t="shared" si="1247"/>
        <v>0</v>
      </c>
      <c r="BUI27">
        <f t="shared" si="1248"/>
        <v>0</v>
      </c>
      <c r="BUJ27">
        <f t="shared" si="1249"/>
        <v>0</v>
      </c>
      <c r="BUK27">
        <f t="shared" si="1250"/>
        <v>0</v>
      </c>
      <c r="BUL27">
        <f t="shared" si="1251"/>
        <v>0</v>
      </c>
      <c r="BUM27">
        <f t="shared" si="1252"/>
        <v>0</v>
      </c>
      <c r="BUN27">
        <f t="shared" si="1253"/>
        <v>0</v>
      </c>
      <c r="BUO27">
        <f t="shared" si="1254"/>
        <v>0</v>
      </c>
      <c r="BUP27">
        <f t="shared" si="1255"/>
        <v>0</v>
      </c>
      <c r="BUQ27">
        <f t="shared" si="1256"/>
        <v>0</v>
      </c>
      <c r="BUR27">
        <f t="shared" si="1257"/>
        <v>0</v>
      </c>
      <c r="BUS27">
        <f t="shared" si="1258"/>
        <v>0</v>
      </c>
      <c r="BUT27">
        <f t="shared" si="1259"/>
        <v>0</v>
      </c>
      <c r="BUU27">
        <f t="shared" si="1260"/>
        <v>0</v>
      </c>
      <c r="BUV27">
        <f t="shared" si="1261"/>
        <v>0</v>
      </c>
      <c r="BUW27">
        <f t="shared" si="1262"/>
        <v>0</v>
      </c>
      <c r="BUX27">
        <f t="shared" si="52"/>
        <v>0</v>
      </c>
      <c r="BUY27">
        <f t="shared" si="1263"/>
        <v>0</v>
      </c>
      <c r="BUZ27">
        <f t="shared" si="1264"/>
        <v>0</v>
      </c>
      <c r="BVA27">
        <f t="shared" si="1265"/>
        <v>0</v>
      </c>
      <c r="BVB27">
        <f t="shared" si="1266"/>
        <v>0</v>
      </c>
      <c r="BVC27">
        <f t="shared" si="1267"/>
        <v>0</v>
      </c>
      <c r="BVD27">
        <f t="shared" si="1268"/>
        <v>0</v>
      </c>
      <c r="BVE27">
        <f t="shared" si="1269"/>
        <v>0</v>
      </c>
      <c r="BVF27">
        <f t="shared" si="1270"/>
        <v>0</v>
      </c>
      <c r="BVG27">
        <f t="shared" si="1271"/>
        <v>0</v>
      </c>
      <c r="BVH27">
        <f t="shared" si="1272"/>
        <v>0</v>
      </c>
      <c r="BVI27">
        <f t="shared" si="1273"/>
        <v>0</v>
      </c>
      <c r="BVJ27">
        <f t="shared" si="1274"/>
        <v>0</v>
      </c>
      <c r="BVK27">
        <f t="shared" si="1275"/>
        <v>0</v>
      </c>
      <c r="BVL27">
        <f t="shared" si="1276"/>
        <v>0</v>
      </c>
      <c r="BVM27">
        <f t="shared" si="1277"/>
        <v>0</v>
      </c>
      <c r="BVN27">
        <f t="shared" si="1278"/>
        <v>0</v>
      </c>
      <c r="BVO27">
        <f t="shared" si="1279"/>
        <v>0</v>
      </c>
      <c r="BVP27">
        <f t="shared" si="1280"/>
        <v>0</v>
      </c>
      <c r="BVQ27">
        <f t="shared" si="1281"/>
        <v>0</v>
      </c>
      <c r="BVR27">
        <f t="shared" si="1282"/>
        <v>0</v>
      </c>
      <c r="BVS27">
        <f t="shared" si="1283"/>
        <v>0</v>
      </c>
      <c r="BVT27">
        <f t="shared" si="1284"/>
        <v>0</v>
      </c>
      <c r="BVU27">
        <f t="shared" si="1285"/>
        <v>0</v>
      </c>
      <c r="BVV27">
        <f t="shared" si="1286"/>
        <v>0</v>
      </c>
      <c r="BVW27">
        <f t="shared" si="1287"/>
        <v>0</v>
      </c>
      <c r="BVX27">
        <f t="shared" si="1288"/>
        <v>0</v>
      </c>
      <c r="BVY27">
        <f t="shared" si="1289"/>
        <v>0</v>
      </c>
      <c r="BVZ27">
        <f t="shared" si="1290"/>
        <v>0</v>
      </c>
      <c r="BWA27">
        <f t="shared" si="1291"/>
        <v>0</v>
      </c>
      <c r="BWB27">
        <f t="shared" si="1292"/>
        <v>0</v>
      </c>
      <c r="BWC27">
        <f t="shared" si="1293"/>
        <v>0</v>
      </c>
      <c r="BWD27">
        <f t="shared" si="1294"/>
        <v>0</v>
      </c>
      <c r="BWE27">
        <f t="shared" si="1295"/>
        <v>0</v>
      </c>
      <c r="BWF27">
        <f t="shared" si="1296"/>
        <v>0</v>
      </c>
      <c r="BWG27">
        <f t="shared" si="1297"/>
        <v>0</v>
      </c>
      <c r="BWH27">
        <f t="shared" si="1298"/>
        <v>0</v>
      </c>
      <c r="BWI27">
        <f t="shared" si="1299"/>
        <v>0</v>
      </c>
      <c r="BWJ27">
        <f t="shared" si="1300"/>
        <v>0</v>
      </c>
      <c r="BWK27">
        <f t="shared" si="1301"/>
        <v>0</v>
      </c>
      <c r="BWL27">
        <f t="shared" si="1302"/>
        <v>0</v>
      </c>
      <c r="BWM27">
        <f t="shared" si="1303"/>
        <v>0</v>
      </c>
      <c r="BWN27">
        <f t="shared" si="1304"/>
        <v>0</v>
      </c>
      <c r="BWO27">
        <f t="shared" si="1305"/>
        <v>0</v>
      </c>
      <c r="BWP27">
        <f t="shared" si="1306"/>
        <v>0</v>
      </c>
      <c r="BWQ27">
        <f t="shared" si="1307"/>
        <v>0</v>
      </c>
      <c r="BWR27">
        <f t="shared" si="1308"/>
        <v>0</v>
      </c>
      <c r="BWS27">
        <f t="shared" si="1309"/>
        <v>0</v>
      </c>
      <c r="BWT27">
        <f t="shared" si="1310"/>
        <v>0</v>
      </c>
      <c r="BWU27">
        <f t="shared" si="1311"/>
        <v>0</v>
      </c>
      <c r="BWV27">
        <f t="shared" si="1312"/>
        <v>0</v>
      </c>
      <c r="BWW27">
        <f t="shared" si="1313"/>
        <v>0</v>
      </c>
      <c r="BWX27">
        <f t="shared" si="1314"/>
        <v>0</v>
      </c>
      <c r="BWY27">
        <f t="shared" si="1315"/>
        <v>0</v>
      </c>
      <c r="BWZ27">
        <f t="shared" si="1316"/>
        <v>0</v>
      </c>
      <c r="BXA27">
        <f t="shared" si="1317"/>
        <v>0</v>
      </c>
      <c r="BXB27">
        <f t="shared" si="1318"/>
        <v>0</v>
      </c>
      <c r="BXC27">
        <f t="shared" si="1319"/>
        <v>0</v>
      </c>
      <c r="BXD27">
        <f t="shared" si="1320"/>
        <v>0</v>
      </c>
      <c r="BXE27">
        <f t="shared" si="1321"/>
        <v>0</v>
      </c>
      <c r="BXF27">
        <f t="shared" si="1322"/>
        <v>0</v>
      </c>
      <c r="BXG27">
        <f t="shared" si="1323"/>
        <v>0</v>
      </c>
      <c r="BXH27">
        <f t="shared" si="1324"/>
        <v>0</v>
      </c>
      <c r="BXI27">
        <f t="shared" si="1325"/>
        <v>0</v>
      </c>
      <c r="BXJ27">
        <f t="shared" si="53"/>
        <v>0</v>
      </c>
      <c r="BXK27">
        <f t="shared" si="1326"/>
        <v>0</v>
      </c>
      <c r="BXL27">
        <f t="shared" si="1327"/>
        <v>0</v>
      </c>
      <c r="BXM27">
        <f t="shared" si="1328"/>
        <v>0</v>
      </c>
      <c r="BXN27">
        <f t="shared" si="1329"/>
        <v>0</v>
      </c>
      <c r="BXO27">
        <f t="shared" si="1330"/>
        <v>0</v>
      </c>
      <c r="BXP27">
        <f t="shared" si="1331"/>
        <v>0</v>
      </c>
      <c r="BXQ27">
        <f t="shared" si="1332"/>
        <v>0</v>
      </c>
      <c r="BXR27">
        <f t="shared" si="1333"/>
        <v>0</v>
      </c>
      <c r="BXS27">
        <f t="shared" si="1334"/>
        <v>0</v>
      </c>
      <c r="BXT27">
        <f t="shared" si="1335"/>
        <v>0</v>
      </c>
      <c r="BXU27">
        <f t="shared" si="1336"/>
        <v>0</v>
      </c>
      <c r="BXV27">
        <f t="shared" si="1337"/>
        <v>0</v>
      </c>
      <c r="BXW27">
        <f t="shared" si="1338"/>
        <v>0</v>
      </c>
      <c r="BXX27">
        <f t="shared" si="1339"/>
        <v>0</v>
      </c>
      <c r="BXY27">
        <f t="shared" si="1340"/>
        <v>0</v>
      </c>
      <c r="BXZ27">
        <f t="shared" si="1341"/>
        <v>0</v>
      </c>
      <c r="BYA27">
        <f t="shared" si="1342"/>
        <v>0</v>
      </c>
      <c r="BYB27">
        <f t="shared" si="1343"/>
        <v>0</v>
      </c>
      <c r="BYC27">
        <f t="shared" si="1344"/>
        <v>0</v>
      </c>
      <c r="BYD27">
        <f t="shared" si="1345"/>
        <v>0</v>
      </c>
      <c r="BYE27">
        <f t="shared" si="1346"/>
        <v>0</v>
      </c>
      <c r="BYF27">
        <f t="shared" si="1347"/>
        <v>0</v>
      </c>
      <c r="BYG27">
        <f t="shared" si="1348"/>
        <v>0</v>
      </c>
      <c r="BYH27">
        <f t="shared" si="1349"/>
        <v>0</v>
      </c>
      <c r="BYI27">
        <f t="shared" si="1350"/>
        <v>0</v>
      </c>
      <c r="BYJ27">
        <f t="shared" si="1351"/>
        <v>0</v>
      </c>
      <c r="BYK27">
        <f t="shared" si="1352"/>
        <v>0</v>
      </c>
      <c r="BYL27">
        <f t="shared" si="1353"/>
        <v>0</v>
      </c>
      <c r="BYM27">
        <f t="shared" si="1354"/>
        <v>0</v>
      </c>
      <c r="BYN27">
        <f t="shared" si="1355"/>
        <v>0</v>
      </c>
      <c r="BYO27">
        <f t="shared" si="1356"/>
        <v>0</v>
      </c>
      <c r="BYP27">
        <f t="shared" si="1357"/>
        <v>0</v>
      </c>
      <c r="BYQ27">
        <f t="shared" si="1358"/>
        <v>0</v>
      </c>
      <c r="BYR27">
        <f t="shared" si="1359"/>
        <v>0</v>
      </c>
      <c r="BYS27">
        <f t="shared" si="1360"/>
        <v>0</v>
      </c>
      <c r="BYT27">
        <f t="shared" si="1361"/>
        <v>0</v>
      </c>
      <c r="BYU27">
        <f t="shared" si="1362"/>
        <v>0</v>
      </c>
      <c r="BYV27">
        <f t="shared" si="1363"/>
        <v>0</v>
      </c>
      <c r="BYW27">
        <f t="shared" si="1364"/>
        <v>0</v>
      </c>
      <c r="BYX27">
        <f t="shared" si="1365"/>
        <v>0</v>
      </c>
      <c r="BYY27">
        <f t="shared" si="1366"/>
        <v>0</v>
      </c>
      <c r="BYZ27">
        <f t="shared" si="1367"/>
        <v>0</v>
      </c>
      <c r="BZA27">
        <f t="shared" si="1368"/>
        <v>0</v>
      </c>
      <c r="BZB27">
        <f t="shared" si="1369"/>
        <v>0</v>
      </c>
      <c r="BZC27">
        <f t="shared" si="1370"/>
        <v>0</v>
      </c>
      <c r="BZD27">
        <f t="shared" si="1371"/>
        <v>0</v>
      </c>
      <c r="BZE27">
        <f t="shared" si="1372"/>
        <v>0</v>
      </c>
      <c r="BZF27">
        <f t="shared" si="1373"/>
        <v>0</v>
      </c>
      <c r="BZG27">
        <f t="shared" si="1374"/>
        <v>0</v>
      </c>
      <c r="BZH27">
        <f t="shared" si="1375"/>
        <v>0</v>
      </c>
      <c r="BZI27">
        <f t="shared" si="1376"/>
        <v>0</v>
      </c>
      <c r="BZJ27">
        <f t="shared" si="1377"/>
        <v>0</v>
      </c>
      <c r="BZK27">
        <f t="shared" si="1378"/>
        <v>0</v>
      </c>
      <c r="BZL27">
        <f t="shared" si="1379"/>
        <v>0</v>
      </c>
      <c r="BZM27">
        <f t="shared" si="1380"/>
        <v>0</v>
      </c>
      <c r="BZN27">
        <f t="shared" si="1381"/>
        <v>0</v>
      </c>
      <c r="BZO27">
        <f t="shared" si="1382"/>
        <v>0</v>
      </c>
      <c r="BZP27">
        <f t="shared" si="1383"/>
        <v>0</v>
      </c>
      <c r="BZQ27">
        <f t="shared" si="1384"/>
        <v>0</v>
      </c>
      <c r="BZR27">
        <f t="shared" si="1385"/>
        <v>0</v>
      </c>
      <c r="BZS27">
        <f t="shared" si="1386"/>
        <v>0</v>
      </c>
      <c r="BZT27">
        <f t="shared" si="1387"/>
        <v>0</v>
      </c>
      <c r="BZU27">
        <f t="shared" si="1388"/>
        <v>0</v>
      </c>
      <c r="BZV27">
        <f t="shared" si="54"/>
        <v>0</v>
      </c>
      <c r="BZW27">
        <f t="shared" si="1389"/>
        <v>0</v>
      </c>
      <c r="BZX27">
        <f t="shared" si="1390"/>
        <v>0</v>
      </c>
      <c r="BZY27">
        <f t="shared" si="1391"/>
        <v>0</v>
      </c>
      <c r="BZZ27">
        <f t="shared" si="1392"/>
        <v>0</v>
      </c>
      <c r="CAA27">
        <f t="shared" si="1393"/>
        <v>0</v>
      </c>
      <c r="CAB27">
        <f t="shared" si="1394"/>
        <v>0</v>
      </c>
      <c r="CAC27">
        <f t="shared" si="1395"/>
        <v>0</v>
      </c>
      <c r="CAD27">
        <f t="shared" si="1396"/>
        <v>0</v>
      </c>
      <c r="CAE27">
        <f t="shared" si="1397"/>
        <v>0</v>
      </c>
      <c r="CAF27">
        <f t="shared" si="1398"/>
        <v>0</v>
      </c>
      <c r="CAG27">
        <f t="shared" si="1399"/>
        <v>0</v>
      </c>
      <c r="CAH27">
        <f t="shared" si="1400"/>
        <v>0</v>
      </c>
      <c r="CAI27">
        <f t="shared" si="1401"/>
        <v>0</v>
      </c>
      <c r="CAJ27">
        <f t="shared" si="1402"/>
        <v>0</v>
      </c>
      <c r="CAK27">
        <f t="shared" si="1403"/>
        <v>0</v>
      </c>
      <c r="CAL27">
        <f t="shared" si="1404"/>
        <v>0</v>
      </c>
      <c r="CAM27">
        <f t="shared" si="1405"/>
        <v>0</v>
      </c>
      <c r="CAN27">
        <f t="shared" si="1406"/>
        <v>0</v>
      </c>
      <c r="CAO27">
        <f t="shared" si="1407"/>
        <v>0</v>
      </c>
      <c r="CAP27">
        <f t="shared" si="1408"/>
        <v>0</v>
      </c>
      <c r="CAQ27">
        <f t="shared" si="1409"/>
        <v>0</v>
      </c>
      <c r="CAR27">
        <f t="shared" si="1410"/>
        <v>0</v>
      </c>
      <c r="CAS27">
        <f t="shared" si="1411"/>
        <v>0</v>
      </c>
      <c r="CAT27">
        <f t="shared" si="1412"/>
        <v>0</v>
      </c>
      <c r="CAU27">
        <f t="shared" si="1413"/>
        <v>0</v>
      </c>
      <c r="CAV27">
        <f t="shared" si="1414"/>
        <v>0</v>
      </c>
      <c r="CAW27">
        <f t="shared" si="1415"/>
        <v>0</v>
      </c>
      <c r="CAX27">
        <f t="shared" si="1416"/>
        <v>0</v>
      </c>
      <c r="CAY27">
        <f t="shared" si="1417"/>
        <v>0</v>
      </c>
      <c r="CAZ27">
        <f t="shared" si="1418"/>
        <v>0</v>
      </c>
      <c r="CBA27">
        <f t="shared" si="1419"/>
        <v>0</v>
      </c>
      <c r="CBB27">
        <f t="shared" si="1420"/>
        <v>0</v>
      </c>
      <c r="CBC27">
        <f t="shared" si="1421"/>
        <v>0</v>
      </c>
      <c r="CBD27">
        <f t="shared" si="1422"/>
        <v>0</v>
      </c>
      <c r="CBE27">
        <f t="shared" si="1423"/>
        <v>0</v>
      </c>
      <c r="CBF27">
        <f t="shared" si="1424"/>
        <v>0</v>
      </c>
      <c r="CBG27">
        <f t="shared" si="1425"/>
        <v>0</v>
      </c>
      <c r="CBH27">
        <f t="shared" si="1426"/>
        <v>0</v>
      </c>
      <c r="CBI27">
        <f t="shared" si="1427"/>
        <v>0</v>
      </c>
      <c r="CBJ27">
        <f t="shared" si="1428"/>
        <v>0</v>
      </c>
      <c r="CBK27">
        <f t="shared" si="1429"/>
        <v>0</v>
      </c>
      <c r="CBL27">
        <f t="shared" si="1430"/>
        <v>0</v>
      </c>
      <c r="CBM27">
        <f t="shared" si="1431"/>
        <v>0</v>
      </c>
      <c r="CBN27">
        <f t="shared" si="1432"/>
        <v>0</v>
      </c>
      <c r="CBO27">
        <f t="shared" si="1433"/>
        <v>0</v>
      </c>
      <c r="CBP27">
        <f t="shared" si="1434"/>
        <v>0</v>
      </c>
      <c r="CBQ27">
        <f t="shared" si="1435"/>
        <v>0</v>
      </c>
      <c r="CBR27">
        <f t="shared" si="1436"/>
        <v>0</v>
      </c>
      <c r="CBS27">
        <f t="shared" si="1437"/>
        <v>0</v>
      </c>
      <c r="CBT27">
        <f t="shared" si="1438"/>
        <v>0</v>
      </c>
      <c r="CBU27">
        <f t="shared" si="1439"/>
        <v>0</v>
      </c>
      <c r="CBV27">
        <f t="shared" si="1440"/>
        <v>0</v>
      </c>
      <c r="CBW27">
        <f t="shared" si="1441"/>
        <v>0</v>
      </c>
      <c r="CBX27">
        <f t="shared" si="1442"/>
        <v>0</v>
      </c>
      <c r="CBY27">
        <f t="shared" si="1443"/>
        <v>0</v>
      </c>
      <c r="CBZ27">
        <f t="shared" si="1444"/>
        <v>0</v>
      </c>
      <c r="CCA27">
        <f t="shared" si="1445"/>
        <v>0</v>
      </c>
      <c r="CCB27">
        <f t="shared" si="1446"/>
        <v>0</v>
      </c>
      <c r="CCC27">
        <f t="shared" si="1447"/>
        <v>0</v>
      </c>
      <c r="CCD27">
        <f t="shared" si="1448"/>
        <v>0</v>
      </c>
      <c r="CCE27">
        <f t="shared" si="1449"/>
        <v>0</v>
      </c>
      <c r="CCF27">
        <f t="shared" si="1450"/>
        <v>0</v>
      </c>
      <c r="CCG27">
        <f t="shared" si="1451"/>
        <v>0</v>
      </c>
      <c r="CCH27">
        <f t="shared" si="55"/>
        <v>0</v>
      </c>
      <c r="CCI27">
        <f t="shared" si="1452"/>
        <v>0</v>
      </c>
      <c r="CCJ27">
        <f t="shared" si="1453"/>
        <v>0</v>
      </c>
      <c r="CCK27">
        <f t="shared" si="1454"/>
        <v>0</v>
      </c>
      <c r="CCL27">
        <f t="shared" si="1455"/>
        <v>0</v>
      </c>
      <c r="CCM27">
        <f t="shared" si="1456"/>
        <v>0</v>
      </c>
      <c r="CCN27">
        <f t="shared" si="1457"/>
        <v>0</v>
      </c>
      <c r="CCO27">
        <f t="shared" si="1458"/>
        <v>0</v>
      </c>
      <c r="CCP27">
        <f t="shared" si="1459"/>
        <v>0</v>
      </c>
      <c r="CCQ27">
        <f t="shared" si="1460"/>
        <v>0</v>
      </c>
      <c r="CCR27">
        <f t="shared" si="1461"/>
        <v>0</v>
      </c>
      <c r="CCS27">
        <f t="shared" si="1462"/>
        <v>0</v>
      </c>
      <c r="CCT27">
        <f t="shared" si="1463"/>
        <v>0</v>
      </c>
      <c r="CCU27">
        <f t="shared" si="1464"/>
        <v>0</v>
      </c>
      <c r="CCV27">
        <f t="shared" si="1465"/>
        <v>0</v>
      </c>
      <c r="CCW27">
        <f t="shared" si="1466"/>
        <v>0</v>
      </c>
      <c r="CCX27">
        <f t="shared" si="1467"/>
        <v>0</v>
      </c>
      <c r="CCY27">
        <f t="shared" si="1468"/>
        <v>0</v>
      </c>
      <c r="CCZ27">
        <f t="shared" si="1469"/>
        <v>0</v>
      </c>
      <c r="CDA27">
        <f t="shared" si="1470"/>
        <v>0</v>
      </c>
      <c r="CDB27">
        <f t="shared" si="1471"/>
        <v>0</v>
      </c>
      <c r="CDC27">
        <f t="shared" si="1472"/>
        <v>0</v>
      </c>
      <c r="CDD27">
        <f t="shared" si="1473"/>
        <v>0</v>
      </c>
      <c r="CDE27">
        <f t="shared" si="1474"/>
        <v>0</v>
      </c>
      <c r="CDF27">
        <f t="shared" si="1475"/>
        <v>0</v>
      </c>
      <c r="CDG27">
        <f t="shared" si="1476"/>
        <v>0</v>
      </c>
      <c r="CDH27">
        <f t="shared" si="1477"/>
        <v>0</v>
      </c>
      <c r="CDI27">
        <f t="shared" si="1478"/>
        <v>0</v>
      </c>
      <c r="CDJ27">
        <f t="shared" si="1479"/>
        <v>0</v>
      </c>
      <c r="CDK27">
        <f t="shared" si="1480"/>
        <v>0</v>
      </c>
      <c r="CDL27">
        <f t="shared" si="1481"/>
        <v>0</v>
      </c>
      <c r="CDM27">
        <f t="shared" si="1482"/>
        <v>0</v>
      </c>
      <c r="CDN27">
        <f t="shared" si="1483"/>
        <v>0</v>
      </c>
      <c r="CDO27">
        <f t="shared" si="1484"/>
        <v>0</v>
      </c>
      <c r="CDP27">
        <f t="shared" si="1485"/>
        <v>0</v>
      </c>
      <c r="CDQ27">
        <f t="shared" si="1486"/>
        <v>0</v>
      </c>
      <c r="CDR27">
        <f t="shared" si="1487"/>
        <v>0</v>
      </c>
      <c r="CDS27">
        <f t="shared" si="1488"/>
        <v>0</v>
      </c>
      <c r="CDT27">
        <f t="shared" si="1489"/>
        <v>0</v>
      </c>
      <c r="CDU27">
        <f t="shared" si="1490"/>
        <v>0</v>
      </c>
      <c r="CDV27">
        <f t="shared" si="1491"/>
        <v>0</v>
      </c>
      <c r="CDW27">
        <f t="shared" si="1492"/>
        <v>0</v>
      </c>
      <c r="CDX27">
        <f t="shared" si="1493"/>
        <v>0</v>
      </c>
      <c r="CDY27">
        <f t="shared" si="1494"/>
        <v>0</v>
      </c>
      <c r="CDZ27">
        <f t="shared" si="1495"/>
        <v>0</v>
      </c>
      <c r="CEA27">
        <f t="shared" si="1496"/>
        <v>0</v>
      </c>
      <c r="CEB27">
        <f t="shared" si="1497"/>
        <v>0</v>
      </c>
      <c r="CEC27">
        <f t="shared" si="1498"/>
        <v>0</v>
      </c>
      <c r="CED27">
        <f t="shared" si="1499"/>
        <v>0</v>
      </c>
      <c r="CEE27">
        <f t="shared" si="1500"/>
        <v>0</v>
      </c>
      <c r="CEF27">
        <f t="shared" si="1501"/>
        <v>0</v>
      </c>
      <c r="CEG27">
        <f t="shared" si="1502"/>
        <v>0</v>
      </c>
      <c r="CEH27">
        <f t="shared" si="1503"/>
        <v>0</v>
      </c>
      <c r="CEI27">
        <f t="shared" si="1504"/>
        <v>0</v>
      </c>
      <c r="CEJ27">
        <f t="shared" si="1505"/>
        <v>0</v>
      </c>
      <c r="CEK27">
        <f t="shared" si="1506"/>
        <v>0</v>
      </c>
      <c r="CEL27">
        <f t="shared" si="1507"/>
        <v>0</v>
      </c>
      <c r="CEM27">
        <f t="shared" si="1508"/>
        <v>0</v>
      </c>
      <c r="CEN27">
        <f t="shared" si="1509"/>
        <v>0</v>
      </c>
      <c r="CEO27">
        <f t="shared" si="1510"/>
        <v>0</v>
      </c>
      <c r="CEP27">
        <f t="shared" si="1511"/>
        <v>0</v>
      </c>
      <c r="CEQ27">
        <f t="shared" si="1512"/>
        <v>0</v>
      </c>
      <c r="CER27">
        <f t="shared" si="1513"/>
        <v>0</v>
      </c>
      <c r="CES27">
        <f t="shared" si="1514"/>
        <v>0</v>
      </c>
      <c r="CET27">
        <f t="shared" si="56"/>
        <v>0</v>
      </c>
      <c r="CEU27">
        <f t="shared" si="1515"/>
        <v>0</v>
      </c>
      <c r="CEV27">
        <f t="shared" si="1516"/>
        <v>0</v>
      </c>
      <c r="CEW27">
        <f t="shared" si="1517"/>
        <v>0</v>
      </c>
      <c r="CEX27">
        <f t="shared" si="1518"/>
        <v>0</v>
      </c>
      <c r="CEY27">
        <f t="shared" si="1519"/>
        <v>0</v>
      </c>
      <c r="CEZ27">
        <f t="shared" si="1520"/>
        <v>0</v>
      </c>
      <c r="CFA27">
        <f t="shared" si="1521"/>
        <v>0</v>
      </c>
      <c r="CFB27">
        <f t="shared" si="1522"/>
        <v>0</v>
      </c>
      <c r="CFC27">
        <f t="shared" si="1523"/>
        <v>0</v>
      </c>
      <c r="CFD27">
        <f t="shared" si="1524"/>
        <v>0</v>
      </c>
      <c r="CFE27">
        <f t="shared" si="1525"/>
        <v>0</v>
      </c>
      <c r="CFF27">
        <f t="shared" si="1526"/>
        <v>0</v>
      </c>
      <c r="CFG27">
        <f t="shared" si="1527"/>
        <v>0</v>
      </c>
      <c r="CFH27">
        <f t="shared" si="1528"/>
        <v>0</v>
      </c>
      <c r="CFI27">
        <f t="shared" si="1529"/>
        <v>0</v>
      </c>
      <c r="CFJ27">
        <f t="shared" si="1530"/>
        <v>0</v>
      </c>
      <c r="CFK27">
        <f t="shared" si="1531"/>
        <v>0</v>
      </c>
      <c r="CFL27">
        <f t="shared" si="1532"/>
        <v>0</v>
      </c>
      <c r="CFM27">
        <f t="shared" si="1533"/>
        <v>0</v>
      </c>
      <c r="CFN27">
        <f t="shared" si="1534"/>
        <v>0</v>
      </c>
      <c r="CFO27">
        <f t="shared" si="1535"/>
        <v>0</v>
      </c>
      <c r="CFP27">
        <f t="shared" si="1536"/>
        <v>0</v>
      </c>
      <c r="CFQ27">
        <f t="shared" si="1537"/>
        <v>0</v>
      </c>
      <c r="CFR27">
        <f t="shared" si="1538"/>
        <v>0</v>
      </c>
      <c r="CFS27">
        <f t="shared" si="1539"/>
        <v>0</v>
      </c>
      <c r="CFT27">
        <f t="shared" si="1540"/>
        <v>0</v>
      </c>
      <c r="CFU27">
        <f t="shared" si="1541"/>
        <v>0</v>
      </c>
      <c r="CFV27">
        <f t="shared" si="1542"/>
        <v>0</v>
      </c>
      <c r="CFW27">
        <f t="shared" si="1543"/>
        <v>0</v>
      </c>
      <c r="CFX27">
        <f t="shared" si="1544"/>
        <v>0</v>
      </c>
      <c r="CFY27">
        <f t="shared" si="1545"/>
        <v>0</v>
      </c>
      <c r="CFZ27">
        <f t="shared" si="1546"/>
        <v>0</v>
      </c>
      <c r="CGA27">
        <f t="shared" si="1547"/>
        <v>0</v>
      </c>
      <c r="CGB27">
        <f t="shared" si="1548"/>
        <v>0</v>
      </c>
      <c r="CGC27">
        <f t="shared" si="1549"/>
        <v>0</v>
      </c>
      <c r="CGD27">
        <f t="shared" si="1550"/>
        <v>0</v>
      </c>
      <c r="CGE27">
        <f t="shared" si="1551"/>
        <v>0</v>
      </c>
      <c r="CGF27">
        <f t="shared" si="1552"/>
        <v>0</v>
      </c>
      <c r="CGG27">
        <f t="shared" si="1553"/>
        <v>0</v>
      </c>
      <c r="CGH27">
        <f t="shared" si="1554"/>
        <v>0</v>
      </c>
      <c r="CGI27">
        <f t="shared" si="1555"/>
        <v>0</v>
      </c>
      <c r="CGJ27">
        <f t="shared" si="1556"/>
        <v>0</v>
      </c>
      <c r="CGK27">
        <f t="shared" si="1557"/>
        <v>0</v>
      </c>
      <c r="CGL27">
        <f t="shared" si="1558"/>
        <v>0</v>
      </c>
      <c r="CGM27">
        <f t="shared" si="1559"/>
        <v>0</v>
      </c>
      <c r="CGN27">
        <f t="shared" si="1560"/>
        <v>0</v>
      </c>
      <c r="CGO27">
        <f t="shared" si="1561"/>
        <v>0</v>
      </c>
      <c r="CGP27">
        <f t="shared" si="1562"/>
        <v>0</v>
      </c>
      <c r="CGQ27">
        <f t="shared" si="1563"/>
        <v>0</v>
      </c>
      <c r="CGR27">
        <f t="shared" si="1564"/>
        <v>0</v>
      </c>
      <c r="CGS27">
        <f t="shared" si="1565"/>
        <v>0</v>
      </c>
      <c r="CGT27">
        <f t="shared" si="1566"/>
        <v>0</v>
      </c>
      <c r="CGU27">
        <f t="shared" si="1567"/>
        <v>0</v>
      </c>
      <c r="CGV27">
        <f t="shared" si="1568"/>
        <v>0</v>
      </c>
      <c r="CGW27">
        <f t="shared" si="1569"/>
        <v>0</v>
      </c>
      <c r="CGX27">
        <f t="shared" si="1570"/>
        <v>0</v>
      </c>
      <c r="CGY27">
        <f t="shared" si="1571"/>
        <v>0</v>
      </c>
      <c r="CGZ27">
        <f t="shared" si="1572"/>
        <v>0</v>
      </c>
      <c r="CHA27">
        <f t="shared" si="1573"/>
        <v>0</v>
      </c>
      <c r="CHB27">
        <f t="shared" si="1574"/>
        <v>0</v>
      </c>
      <c r="CHC27">
        <f t="shared" si="1575"/>
        <v>0</v>
      </c>
      <c r="CHD27">
        <f t="shared" si="1576"/>
        <v>0</v>
      </c>
      <c r="CHE27">
        <f t="shared" si="1577"/>
        <v>0</v>
      </c>
      <c r="CHF27">
        <f t="shared" si="57"/>
        <v>0</v>
      </c>
      <c r="CHG27">
        <f t="shared" si="1578"/>
        <v>0</v>
      </c>
      <c r="CHH27">
        <f t="shared" si="1579"/>
        <v>0</v>
      </c>
      <c r="CHI27">
        <f t="shared" si="1580"/>
        <v>0</v>
      </c>
      <c r="CHJ27">
        <f t="shared" si="1581"/>
        <v>0</v>
      </c>
      <c r="CHK27">
        <f t="shared" si="1582"/>
        <v>0</v>
      </c>
      <c r="CHL27">
        <f t="shared" si="1583"/>
        <v>0</v>
      </c>
      <c r="CHM27">
        <f t="shared" si="1584"/>
        <v>0</v>
      </c>
      <c r="CHN27">
        <f t="shared" si="1585"/>
        <v>0</v>
      </c>
      <c r="CHO27">
        <f t="shared" si="1586"/>
        <v>0</v>
      </c>
      <c r="CHP27">
        <f t="shared" si="1587"/>
        <v>0</v>
      </c>
      <c r="CHQ27">
        <f t="shared" si="1588"/>
        <v>0</v>
      </c>
      <c r="CHR27">
        <f t="shared" si="1589"/>
        <v>0</v>
      </c>
      <c r="CHS27">
        <f t="shared" si="1590"/>
        <v>0</v>
      </c>
      <c r="CHT27">
        <f t="shared" si="1591"/>
        <v>0</v>
      </c>
      <c r="CHU27">
        <f t="shared" si="1592"/>
        <v>0</v>
      </c>
      <c r="CHV27">
        <f t="shared" si="1593"/>
        <v>0</v>
      </c>
      <c r="CHW27">
        <f t="shared" si="1594"/>
        <v>0</v>
      </c>
      <c r="CHX27">
        <f t="shared" si="1595"/>
        <v>0</v>
      </c>
      <c r="CHY27">
        <f t="shared" si="1596"/>
        <v>0</v>
      </c>
      <c r="CHZ27">
        <f t="shared" si="1597"/>
        <v>0</v>
      </c>
      <c r="CIA27">
        <f t="shared" si="1598"/>
        <v>0</v>
      </c>
      <c r="CIB27">
        <f t="shared" si="1599"/>
        <v>0</v>
      </c>
      <c r="CIC27">
        <f t="shared" si="1600"/>
        <v>0</v>
      </c>
      <c r="CID27">
        <f t="shared" si="1601"/>
        <v>0</v>
      </c>
      <c r="CIE27">
        <f t="shared" si="1602"/>
        <v>0</v>
      </c>
      <c r="CIF27">
        <f t="shared" si="1603"/>
        <v>0</v>
      </c>
      <c r="CIG27">
        <f t="shared" si="1604"/>
        <v>0</v>
      </c>
      <c r="CIH27">
        <f t="shared" si="1605"/>
        <v>0</v>
      </c>
      <c r="CII27">
        <f t="shared" si="1606"/>
        <v>0</v>
      </c>
      <c r="CIJ27">
        <f t="shared" si="1607"/>
        <v>0</v>
      </c>
      <c r="CIK27">
        <f t="shared" si="1608"/>
        <v>0</v>
      </c>
      <c r="CIL27">
        <f t="shared" si="1609"/>
        <v>0</v>
      </c>
      <c r="CIM27">
        <f t="shared" si="1610"/>
        <v>0</v>
      </c>
      <c r="CIN27">
        <f t="shared" si="1611"/>
        <v>0</v>
      </c>
      <c r="CIO27">
        <f t="shared" si="1612"/>
        <v>0</v>
      </c>
      <c r="CIP27">
        <f t="shared" si="1613"/>
        <v>0</v>
      </c>
      <c r="CIQ27">
        <f t="shared" si="1614"/>
        <v>0</v>
      </c>
      <c r="CIR27">
        <f t="shared" si="1615"/>
        <v>0</v>
      </c>
      <c r="CIS27">
        <f t="shared" si="1616"/>
        <v>0</v>
      </c>
      <c r="CIT27">
        <f t="shared" si="1617"/>
        <v>0</v>
      </c>
      <c r="CIU27">
        <f t="shared" si="1618"/>
        <v>0</v>
      </c>
      <c r="CIV27">
        <f t="shared" si="1619"/>
        <v>0</v>
      </c>
      <c r="CIW27">
        <f t="shared" si="1620"/>
        <v>0</v>
      </c>
      <c r="CIX27">
        <f t="shared" si="1621"/>
        <v>0</v>
      </c>
      <c r="CIY27">
        <f t="shared" si="1622"/>
        <v>0</v>
      </c>
      <c r="CIZ27">
        <f t="shared" si="1623"/>
        <v>0</v>
      </c>
      <c r="CJA27">
        <f t="shared" si="1624"/>
        <v>0</v>
      </c>
      <c r="CJB27">
        <f t="shared" si="1625"/>
        <v>0</v>
      </c>
      <c r="CJC27">
        <f t="shared" si="1626"/>
        <v>0</v>
      </c>
      <c r="CJD27">
        <f t="shared" si="1627"/>
        <v>0</v>
      </c>
      <c r="CJE27">
        <f t="shared" si="1628"/>
        <v>0</v>
      </c>
      <c r="CJF27">
        <f t="shared" si="1629"/>
        <v>0</v>
      </c>
      <c r="CJG27">
        <f t="shared" si="1630"/>
        <v>0</v>
      </c>
      <c r="CJH27">
        <f t="shared" si="1631"/>
        <v>0</v>
      </c>
      <c r="CJI27">
        <f t="shared" si="1632"/>
        <v>0</v>
      </c>
      <c r="CJJ27">
        <f t="shared" si="1633"/>
        <v>0</v>
      </c>
      <c r="CJK27">
        <f t="shared" si="1634"/>
        <v>0</v>
      </c>
      <c r="CJL27">
        <f t="shared" si="1635"/>
        <v>0</v>
      </c>
      <c r="CJM27">
        <f t="shared" si="1636"/>
        <v>0</v>
      </c>
      <c r="CJN27">
        <f t="shared" si="1637"/>
        <v>0</v>
      </c>
      <c r="CJO27">
        <f t="shared" si="1638"/>
        <v>0</v>
      </c>
      <c r="CJP27">
        <f t="shared" si="1639"/>
        <v>0</v>
      </c>
      <c r="CJQ27">
        <f t="shared" si="1640"/>
        <v>0</v>
      </c>
      <c r="CJR27">
        <f t="shared" si="58"/>
        <v>0</v>
      </c>
      <c r="CJS27">
        <f t="shared" si="1641"/>
        <v>0</v>
      </c>
      <c r="CJT27">
        <f t="shared" si="1642"/>
        <v>0</v>
      </c>
      <c r="CJU27">
        <f t="shared" si="1643"/>
        <v>0</v>
      </c>
      <c r="CJV27">
        <f t="shared" si="1644"/>
        <v>0</v>
      </c>
      <c r="CJW27">
        <f t="shared" si="1645"/>
        <v>0</v>
      </c>
      <c r="CJX27">
        <f t="shared" si="1646"/>
        <v>0</v>
      </c>
      <c r="CJY27">
        <f t="shared" si="1647"/>
        <v>0</v>
      </c>
      <c r="CJZ27">
        <f t="shared" si="1648"/>
        <v>0</v>
      </c>
      <c r="CKA27">
        <f t="shared" si="1649"/>
        <v>0</v>
      </c>
      <c r="CKB27">
        <f t="shared" si="1650"/>
        <v>0</v>
      </c>
      <c r="CKC27">
        <f t="shared" si="1651"/>
        <v>0</v>
      </c>
      <c r="CKD27">
        <f t="shared" si="1652"/>
        <v>0</v>
      </c>
      <c r="CKE27">
        <f t="shared" si="1653"/>
        <v>0</v>
      </c>
      <c r="CKF27">
        <f t="shared" si="1654"/>
        <v>0</v>
      </c>
      <c r="CKG27">
        <f t="shared" si="1655"/>
        <v>0</v>
      </c>
      <c r="CKH27">
        <f t="shared" si="1656"/>
        <v>0</v>
      </c>
      <c r="CKI27">
        <f t="shared" si="1657"/>
        <v>0</v>
      </c>
      <c r="CKJ27">
        <f t="shared" si="1658"/>
        <v>0</v>
      </c>
      <c r="CKK27">
        <f t="shared" si="1659"/>
        <v>0</v>
      </c>
      <c r="CKL27">
        <f t="shared" si="1660"/>
        <v>0</v>
      </c>
      <c r="CKM27">
        <f t="shared" si="1661"/>
        <v>0</v>
      </c>
      <c r="CKN27">
        <f t="shared" si="1662"/>
        <v>0</v>
      </c>
      <c r="CKO27">
        <f t="shared" si="1663"/>
        <v>0</v>
      </c>
      <c r="CKP27">
        <f t="shared" si="1664"/>
        <v>0</v>
      </c>
      <c r="CKQ27">
        <f t="shared" si="1665"/>
        <v>0</v>
      </c>
      <c r="CKR27">
        <f t="shared" si="1666"/>
        <v>0</v>
      </c>
      <c r="CKS27">
        <f t="shared" si="1667"/>
        <v>0</v>
      </c>
      <c r="CKT27">
        <f t="shared" si="1668"/>
        <v>0</v>
      </c>
      <c r="CKU27">
        <f t="shared" si="1669"/>
        <v>0</v>
      </c>
      <c r="CKV27">
        <f t="shared" si="1670"/>
        <v>0</v>
      </c>
      <c r="CKW27">
        <f t="shared" si="1671"/>
        <v>0</v>
      </c>
      <c r="CKX27">
        <f t="shared" si="1672"/>
        <v>0</v>
      </c>
      <c r="CKY27">
        <f t="shared" si="1673"/>
        <v>0</v>
      </c>
      <c r="CKZ27">
        <f t="shared" si="1674"/>
        <v>0</v>
      </c>
      <c r="CLA27">
        <f t="shared" si="1675"/>
        <v>0</v>
      </c>
      <c r="CLB27">
        <f t="shared" si="1676"/>
        <v>0</v>
      </c>
      <c r="CLC27">
        <f t="shared" si="1677"/>
        <v>0</v>
      </c>
      <c r="CLD27">
        <f t="shared" si="1678"/>
        <v>0</v>
      </c>
      <c r="CLE27">
        <f t="shared" si="1679"/>
        <v>0</v>
      </c>
      <c r="CLF27">
        <f t="shared" si="1680"/>
        <v>0</v>
      </c>
      <c r="CLG27">
        <f t="shared" si="1681"/>
        <v>0</v>
      </c>
      <c r="CLH27">
        <f t="shared" si="1682"/>
        <v>0</v>
      </c>
      <c r="CLI27">
        <f t="shared" si="1683"/>
        <v>0</v>
      </c>
      <c r="CLJ27">
        <f t="shared" si="1684"/>
        <v>0</v>
      </c>
      <c r="CLK27">
        <f t="shared" si="1685"/>
        <v>0</v>
      </c>
      <c r="CLL27">
        <f t="shared" si="1686"/>
        <v>0</v>
      </c>
      <c r="CLM27">
        <f t="shared" si="1687"/>
        <v>0</v>
      </c>
      <c r="CLN27">
        <f t="shared" si="1688"/>
        <v>0</v>
      </c>
      <c r="CLO27">
        <f t="shared" si="1689"/>
        <v>0</v>
      </c>
      <c r="CLP27">
        <f t="shared" si="1690"/>
        <v>0</v>
      </c>
      <c r="CLQ27">
        <f t="shared" si="1691"/>
        <v>0</v>
      </c>
      <c r="CLR27">
        <f t="shared" si="1692"/>
        <v>0</v>
      </c>
      <c r="CLS27">
        <f t="shared" si="1693"/>
        <v>0</v>
      </c>
      <c r="CLT27">
        <f t="shared" si="1694"/>
        <v>0</v>
      </c>
      <c r="CLU27">
        <f t="shared" si="1695"/>
        <v>0</v>
      </c>
      <c r="CLV27">
        <f t="shared" si="1696"/>
        <v>0</v>
      </c>
      <c r="CLW27">
        <f t="shared" si="1697"/>
        <v>0</v>
      </c>
      <c r="CLX27">
        <f t="shared" si="1698"/>
        <v>0</v>
      </c>
      <c r="CLY27">
        <f t="shared" si="1699"/>
        <v>0</v>
      </c>
      <c r="CLZ27">
        <f t="shared" si="1700"/>
        <v>0</v>
      </c>
      <c r="CMA27">
        <f t="shared" si="1701"/>
        <v>0</v>
      </c>
      <c r="CMB27">
        <f t="shared" si="1702"/>
        <v>0</v>
      </c>
      <c r="CMC27">
        <f t="shared" si="1703"/>
        <v>0</v>
      </c>
      <c r="CMD27">
        <f t="shared" si="59"/>
        <v>0</v>
      </c>
      <c r="CME27">
        <f t="shared" si="1704"/>
        <v>0</v>
      </c>
      <c r="CMF27">
        <f t="shared" si="1705"/>
        <v>0</v>
      </c>
      <c r="CMG27">
        <f t="shared" si="1706"/>
        <v>0</v>
      </c>
      <c r="CMH27">
        <f t="shared" si="1707"/>
        <v>0</v>
      </c>
      <c r="CMI27">
        <f t="shared" si="1708"/>
        <v>0</v>
      </c>
      <c r="CMJ27">
        <f t="shared" si="1709"/>
        <v>0</v>
      </c>
      <c r="CMK27">
        <f t="shared" si="1710"/>
        <v>0</v>
      </c>
      <c r="CML27">
        <f t="shared" si="1711"/>
        <v>0</v>
      </c>
      <c r="CMM27">
        <f t="shared" si="1712"/>
        <v>0</v>
      </c>
      <c r="CMN27">
        <f t="shared" si="1713"/>
        <v>0</v>
      </c>
      <c r="CMO27">
        <f t="shared" si="1714"/>
        <v>0</v>
      </c>
      <c r="CMP27">
        <f t="shared" si="1715"/>
        <v>0</v>
      </c>
      <c r="CMQ27">
        <f t="shared" si="1716"/>
        <v>0</v>
      </c>
      <c r="CMR27">
        <f t="shared" si="1717"/>
        <v>0</v>
      </c>
      <c r="CMS27">
        <f t="shared" si="1718"/>
        <v>0</v>
      </c>
      <c r="CMT27">
        <f t="shared" si="1719"/>
        <v>0</v>
      </c>
      <c r="CMU27">
        <f t="shared" si="1720"/>
        <v>0</v>
      </c>
      <c r="CMV27">
        <f t="shared" si="1721"/>
        <v>0</v>
      </c>
      <c r="CMW27">
        <f t="shared" si="1722"/>
        <v>0</v>
      </c>
      <c r="CMX27">
        <f t="shared" si="1723"/>
        <v>0</v>
      </c>
      <c r="CMY27">
        <f t="shared" si="1724"/>
        <v>0</v>
      </c>
      <c r="CMZ27">
        <f t="shared" si="1725"/>
        <v>0</v>
      </c>
      <c r="CNA27">
        <f t="shared" si="1726"/>
        <v>0</v>
      </c>
      <c r="CNB27">
        <f t="shared" si="1727"/>
        <v>0</v>
      </c>
      <c r="CNC27">
        <f t="shared" si="1728"/>
        <v>0</v>
      </c>
      <c r="CND27">
        <f t="shared" si="1729"/>
        <v>0</v>
      </c>
      <c r="CNE27">
        <f t="shared" si="1730"/>
        <v>0</v>
      </c>
      <c r="CNF27">
        <f t="shared" si="1731"/>
        <v>0</v>
      </c>
      <c r="CNG27">
        <f t="shared" si="1732"/>
        <v>0</v>
      </c>
      <c r="CNH27">
        <f t="shared" si="1733"/>
        <v>0</v>
      </c>
      <c r="CNI27">
        <f t="shared" si="1734"/>
        <v>0</v>
      </c>
      <c r="CNJ27">
        <f t="shared" si="1735"/>
        <v>0</v>
      </c>
      <c r="CNK27">
        <f t="shared" si="1736"/>
        <v>0</v>
      </c>
      <c r="CNL27">
        <f t="shared" si="1737"/>
        <v>0</v>
      </c>
      <c r="CNM27">
        <f t="shared" si="1738"/>
        <v>0</v>
      </c>
      <c r="CNN27">
        <f t="shared" si="1739"/>
        <v>0</v>
      </c>
      <c r="CNO27">
        <f t="shared" si="1740"/>
        <v>0</v>
      </c>
      <c r="CNP27">
        <f t="shared" si="1741"/>
        <v>0</v>
      </c>
      <c r="CNQ27">
        <f t="shared" si="1742"/>
        <v>0</v>
      </c>
      <c r="CNR27">
        <f t="shared" si="1743"/>
        <v>0</v>
      </c>
      <c r="CNS27">
        <f t="shared" si="1744"/>
        <v>0</v>
      </c>
      <c r="CNT27">
        <f t="shared" si="1745"/>
        <v>0</v>
      </c>
      <c r="CNU27">
        <f t="shared" si="1746"/>
        <v>0</v>
      </c>
      <c r="CNV27">
        <f t="shared" si="1747"/>
        <v>0</v>
      </c>
      <c r="CNW27">
        <f t="shared" si="1748"/>
        <v>0</v>
      </c>
      <c r="CNX27">
        <f t="shared" si="1749"/>
        <v>0</v>
      </c>
      <c r="CNY27">
        <f t="shared" si="1750"/>
        <v>0</v>
      </c>
      <c r="CNZ27">
        <f t="shared" si="1751"/>
        <v>0</v>
      </c>
      <c r="COA27">
        <f t="shared" si="1752"/>
        <v>0</v>
      </c>
      <c r="COB27">
        <f t="shared" si="1753"/>
        <v>0</v>
      </c>
      <c r="COC27">
        <f t="shared" si="1754"/>
        <v>0</v>
      </c>
      <c r="COD27">
        <f t="shared" si="1755"/>
        <v>0</v>
      </c>
      <c r="COE27">
        <f t="shared" si="1756"/>
        <v>0</v>
      </c>
      <c r="COF27">
        <f t="shared" si="1757"/>
        <v>0</v>
      </c>
      <c r="COG27">
        <f t="shared" si="1758"/>
        <v>0</v>
      </c>
      <c r="COH27">
        <f t="shared" si="1759"/>
        <v>0</v>
      </c>
      <c r="COI27">
        <f t="shared" si="1760"/>
        <v>0</v>
      </c>
      <c r="COJ27">
        <f t="shared" si="1761"/>
        <v>0</v>
      </c>
      <c r="COK27">
        <f t="shared" si="1762"/>
        <v>0</v>
      </c>
      <c r="COL27">
        <f t="shared" si="1763"/>
        <v>0</v>
      </c>
      <c r="COM27">
        <f t="shared" si="1764"/>
        <v>0</v>
      </c>
      <c r="CON27">
        <f t="shared" si="1765"/>
        <v>0</v>
      </c>
      <c r="COO27">
        <f t="shared" si="1766"/>
        <v>0</v>
      </c>
      <c r="COP27">
        <f t="shared" si="60"/>
        <v>0</v>
      </c>
      <c r="COQ27">
        <f t="shared" si="1767"/>
        <v>0</v>
      </c>
      <c r="COR27">
        <f t="shared" si="1768"/>
        <v>0</v>
      </c>
      <c r="COS27">
        <f t="shared" si="1769"/>
        <v>0</v>
      </c>
      <c r="COT27">
        <f t="shared" si="1770"/>
        <v>0</v>
      </c>
      <c r="COU27">
        <f t="shared" si="1771"/>
        <v>0</v>
      </c>
      <c r="COV27">
        <f t="shared" si="1772"/>
        <v>0</v>
      </c>
      <c r="COW27">
        <f t="shared" si="1773"/>
        <v>0</v>
      </c>
      <c r="COX27">
        <f t="shared" si="1774"/>
        <v>0</v>
      </c>
      <c r="COY27">
        <f t="shared" si="1775"/>
        <v>0</v>
      </c>
      <c r="COZ27">
        <f t="shared" si="1776"/>
        <v>0</v>
      </c>
      <c r="CPA27">
        <f t="shared" si="1777"/>
        <v>0</v>
      </c>
      <c r="CPB27">
        <f t="shared" si="1778"/>
        <v>0</v>
      </c>
      <c r="CPC27">
        <f t="shared" si="1779"/>
        <v>0</v>
      </c>
      <c r="CPD27">
        <f t="shared" si="1780"/>
        <v>0</v>
      </c>
      <c r="CPE27">
        <f t="shared" si="1781"/>
        <v>0</v>
      </c>
      <c r="CPF27">
        <f t="shared" si="1782"/>
        <v>0</v>
      </c>
      <c r="CPG27">
        <f t="shared" si="1783"/>
        <v>0</v>
      </c>
      <c r="CPH27">
        <f t="shared" si="1784"/>
        <v>0</v>
      </c>
      <c r="CPI27">
        <f t="shared" si="1785"/>
        <v>0</v>
      </c>
      <c r="CPJ27">
        <f t="shared" si="1786"/>
        <v>0</v>
      </c>
      <c r="CPK27">
        <f t="shared" si="1787"/>
        <v>0</v>
      </c>
      <c r="CPL27">
        <f t="shared" si="1788"/>
        <v>0</v>
      </c>
      <c r="CPM27">
        <f t="shared" si="1789"/>
        <v>0</v>
      </c>
      <c r="CPN27">
        <f t="shared" si="1790"/>
        <v>0</v>
      </c>
      <c r="CPO27">
        <f t="shared" si="1791"/>
        <v>0</v>
      </c>
      <c r="CPP27">
        <f t="shared" si="1792"/>
        <v>0</v>
      </c>
      <c r="CPQ27">
        <f t="shared" si="1793"/>
        <v>0</v>
      </c>
      <c r="CPR27">
        <f t="shared" si="1794"/>
        <v>0</v>
      </c>
      <c r="CPS27">
        <f t="shared" si="1795"/>
        <v>0</v>
      </c>
      <c r="CPT27">
        <f t="shared" si="1796"/>
        <v>0</v>
      </c>
      <c r="CPU27">
        <f t="shared" si="1797"/>
        <v>0</v>
      </c>
      <c r="CPV27">
        <f t="shared" si="1798"/>
        <v>0</v>
      </c>
      <c r="CPW27">
        <f t="shared" si="1799"/>
        <v>0</v>
      </c>
      <c r="CPX27">
        <f t="shared" si="1800"/>
        <v>0</v>
      </c>
      <c r="CPY27">
        <f t="shared" si="1801"/>
        <v>0</v>
      </c>
      <c r="CPZ27">
        <f t="shared" si="1802"/>
        <v>0</v>
      </c>
      <c r="CQA27">
        <f t="shared" si="1803"/>
        <v>0</v>
      </c>
      <c r="CQB27">
        <f t="shared" si="1804"/>
        <v>0</v>
      </c>
      <c r="CQC27">
        <f t="shared" si="1805"/>
        <v>0</v>
      </c>
      <c r="CQD27">
        <f t="shared" si="1806"/>
        <v>0</v>
      </c>
      <c r="CQE27">
        <f t="shared" si="1807"/>
        <v>0</v>
      </c>
      <c r="CQF27">
        <f t="shared" si="1808"/>
        <v>0</v>
      </c>
      <c r="CQG27">
        <f t="shared" si="1809"/>
        <v>0</v>
      </c>
      <c r="CQH27">
        <f t="shared" si="1810"/>
        <v>0</v>
      </c>
      <c r="CQI27">
        <f t="shared" si="1811"/>
        <v>0</v>
      </c>
      <c r="CQJ27">
        <f t="shared" si="1812"/>
        <v>0</v>
      </c>
      <c r="CQK27">
        <f t="shared" si="1813"/>
        <v>0</v>
      </c>
      <c r="CQL27">
        <f t="shared" si="1814"/>
        <v>0</v>
      </c>
      <c r="CQM27">
        <f t="shared" si="1815"/>
        <v>0</v>
      </c>
      <c r="CQN27">
        <f t="shared" si="1816"/>
        <v>0</v>
      </c>
      <c r="CQO27">
        <f t="shared" si="1817"/>
        <v>0</v>
      </c>
      <c r="CQP27">
        <f t="shared" si="1818"/>
        <v>0</v>
      </c>
      <c r="CQQ27">
        <f t="shared" si="1819"/>
        <v>0</v>
      </c>
      <c r="CQR27">
        <f t="shared" si="1820"/>
        <v>0</v>
      </c>
      <c r="CQS27">
        <f t="shared" si="1821"/>
        <v>0</v>
      </c>
      <c r="CQT27">
        <f t="shared" si="1822"/>
        <v>0</v>
      </c>
      <c r="CQU27">
        <f t="shared" si="1823"/>
        <v>0</v>
      </c>
      <c r="CQV27">
        <f t="shared" si="1824"/>
        <v>0</v>
      </c>
      <c r="CQW27">
        <f t="shared" si="1825"/>
        <v>0</v>
      </c>
      <c r="CQX27">
        <f t="shared" si="1826"/>
        <v>0</v>
      </c>
      <c r="CQY27">
        <f t="shared" si="1827"/>
        <v>0</v>
      </c>
      <c r="CQZ27">
        <f t="shared" si="1828"/>
        <v>0</v>
      </c>
      <c r="CRA27">
        <f t="shared" si="1829"/>
        <v>0</v>
      </c>
      <c r="CRB27">
        <f t="shared" si="61"/>
        <v>0</v>
      </c>
      <c r="CRC27">
        <f t="shared" si="1830"/>
        <v>0</v>
      </c>
      <c r="CRD27">
        <f t="shared" si="1831"/>
        <v>0</v>
      </c>
      <c r="CRE27">
        <f t="shared" si="1832"/>
        <v>0</v>
      </c>
      <c r="CRF27">
        <f t="shared" si="1833"/>
        <v>0</v>
      </c>
      <c r="CRG27">
        <f t="shared" si="1834"/>
        <v>0</v>
      </c>
      <c r="CRH27">
        <f t="shared" si="1835"/>
        <v>0</v>
      </c>
      <c r="CRI27">
        <f t="shared" si="1836"/>
        <v>0</v>
      </c>
      <c r="CRJ27">
        <f t="shared" si="1837"/>
        <v>0</v>
      </c>
      <c r="CRK27">
        <f t="shared" si="1838"/>
        <v>0</v>
      </c>
      <c r="CRL27">
        <f t="shared" si="1839"/>
        <v>0</v>
      </c>
      <c r="CRM27">
        <f t="shared" si="1840"/>
        <v>0</v>
      </c>
      <c r="CRN27">
        <f t="shared" si="1841"/>
        <v>0</v>
      </c>
      <c r="CRO27">
        <f t="shared" si="1842"/>
        <v>0</v>
      </c>
      <c r="CRP27">
        <f t="shared" si="1843"/>
        <v>0</v>
      </c>
      <c r="CRQ27">
        <f t="shared" si="1844"/>
        <v>0</v>
      </c>
      <c r="CRR27">
        <f t="shared" si="1845"/>
        <v>0</v>
      </c>
      <c r="CRS27">
        <f t="shared" si="1846"/>
        <v>0</v>
      </c>
      <c r="CRT27">
        <f t="shared" si="1847"/>
        <v>0</v>
      </c>
      <c r="CRU27">
        <f t="shared" si="1848"/>
        <v>0</v>
      </c>
      <c r="CRV27">
        <f t="shared" si="1849"/>
        <v>0</v>
      </c>
      <c r="CRW27">
        <f t="shared" si="1850"/>
        <v>0</v>
      </c>
      <c r="CRX27">
        <f t="shared" si="1851"/>
        <v>0</v>
      </c>
      <c r="CRY27">
        <f t="shared" si="1852"/>
        <v>0</v>
      </c>
      <c r="CRZ27">
        <f t="shared" si="1853"/>
        <v>0</v>
      </c>
      <c r="CSA27">
        <f t="shared" si="1854"/>
        <v>0</v>
      </c>
      <c r="CSB27">
        <f t="shared" si="1855"/>
        <v>0</v>
      </c>
      <c r="CSC27">
        <f t="shared" si="1856"/>
        <v>0</v>
      </c>
      <c r="CSD27">
        <f t="shared" si="1857"/>
        <v>0</v>
      </c>
      <c r="CSE27">
        <f t="shared" si="1858"/>
        <v>0</v>
      </c>
      <c r="CSF27">
        <f t="shared" si="1859"/>
        <v>0</v>
      </c>
      <c r="CSG27">
        <f t="shared" si="1860"/>
        <v>0</v>
      </c>
      <c r="CSH27">
        <f t="shared" si="1861"/>
        <v>0</v>
      </c>
      <c r="CSI27">
        <f t="shared" si="1862"/>
        <v>0</v>
      </c>
      <c r="CSJ27">
        <f t="shared" si="1863"/>
        <v>0</v>
      </c>
      <c r="CSK27">
        <f t="shared" si="1864"/>
        <v>0</v>
      </c>
      <c r="CSL27">
        <f t="shared" si="1865"/>
        <v>0</v>
      </c>
      <c r="CSM27">
        <f t="shared" si="1866"/>
        <v>0</v>
      </c>
      <c r="CSN27">
        <f t="shared" si="1867"/>
        <v>0</v>
      </c>
      <c r="CSO27">
        <f t="shared" si="1868"/>
        <v>0</v>
      </c>
      <c r="CSP27">
        <f t="shared" si="1869"/>
        <v>0</v>
      </c>
      <c r="CSQ27">
        <f t="shared" si="1870"/>
        <v>0</v>
      </c>
      <c r="CSR27">
        <f t="shared" si="1871"/>
        <v>0</v>
      </c>
      <c r="CSS27">
        <f t="shared" si="1872"/>
        <v>0</v>
      </c>
      <c r="CST27">
        <f t="shared" si="1873"/>
        <v>0</v>
      </c>
      <c r="CSU27">
        <f t="shared" si="1874"/>
        <v>0</v>
      </c>
      <c r="CSV27">
        <f t="shared" si="1875"/>
        <v>0</v>
      </c>
      <c r="CSW27">
        <f t="shared" si="1876"/>
        <v>0</v>
      </c>
      <c r="CSX27">
        <f t="shared" si="1877"/>
        <v>0</v>
      </c>
      <c r="CSY27">
        <f t="shared" si="1878"/>
        <v>0</v>
      </c>
      <c r="CSZ27">
        <f t="shared" si="1879"/>
        <v>0</v>
      </c>
      <c r="CTA27">
        <f t="shared" si="1880"/>
        <v>0</v>
      </c>
      <c r="CTB27">
        <f t="shared" si="1881"/>
        <v>0</v>
      </c>
      <c r="CTC27">
        <f t="shared" si="1882"/>
        <v>0</v>
      </c>
      <c r="CTD27">
        <f t="shared" si="1883"/>
        <v>0</v>
      </c>
      <c r="CTE27">
        <f t="shared" si="1884"/>
        <v>0</v>
      </c>
      <c r="CTF27">
        <f t="shared" si="1885"/>
        <v>0</v>
      </c>
      <c r="CTG27">
        <f t="shared" si="1886"/>
        <v>0</v>
      </c>
      <c r="CTH27">
        <f t="shared" si="1887"/>
        <v>0</v>
      </c>
      <c r="CTI27">
        <f t="shared" si="1888"/>
        <v>0</v>
      </c>
      <c r="CTJ27">
        <f t="shared" si="1889"/>
        <v>0</v>
      </c>
      <c r="CTK27">
        <f t="shared" si="1890"/>
        <v>0</v>
      </c>
      <c r="CTL27">
        <f t="shared" si="1891"/>
        <v>0</v>
      </c>
      <c r="CTM27">
        <f t="shared" si="1892"/>
        <v>0</v>
      </c>
      <c r="CTN27">
        <f t="shared" si="62"/>
        <v>0</v>
      </c>
      <c r="CTO27">
        <f t="shared" si="1893"/>
        <v>0</v>
      </c>
      <c r="CTP27">
        <f t="shared" si="1894"/>
        <v>0</v>
      </c>
      <c r="CTQ27">
        <f t="shared" si="1895"/>
        <v>0</v>
      </c>
      <c r="CTR27">
        <f t="shared" si="1896"/>
        <v>0</v>
      </c>
      <c r="CTS27">
        <f t="shared" si="1897"/>
        <v>0</v>
      </c>
      <c r="CTT27">
        <f t="shared" si="1898"/>
        <v>0</v>
      </c>
      <c r="CTU27">
        <f t="shared" si="1899"/>
        <v>0</v>
      </c>
      <c r="CTV27">
        <f t="shared" si="1900"/>
        <v>0</v>
      </c>
      <c r="CTW27">
        <f t="shared" si="1901"/>
        <v>0</v>
      </c>
      <c r="CTX27">
        <f t="shared" si="1902"/>
        <v>0</v>
      </c>
      <c r="CTY27">
        <f t="shared" si="1903"/>
        <v>0</v>
      </c>
      <c r="CTZ27">
        <f t="shared" si="1904"/>
        <v>0</v>
      </c>
      <c r="CUA27">
        <f t="shared" si="1905"/>
        <v>0</v>
      </c>
      <c r="CUB27">
        <f t="shared" si="1906"/>
        <v>0</v>
      </c>
      <c r="CUC27">
        <f t="shared" si="1907"/>
        <v>0</v>
      </c>
      <c r="CUD27">
        <f t="shared" si="1908"/>
        <v>0</v>
      </c>
      <c r="CUE27">
        <f t="shared" si="1909"/>
        <v>0</v>
      </c>
      <c r="CUF27">
        <f t="shared" si="1910"/>
        <v>0</v>
      </c>
      <c r="CUG27">
        <f t="shared" si="1911"/>
        <v>0</v>
      </c>
      <c r="CUH27">
        <f t="shared" si="1912"/>
        <v>0</v>
      </c>
      <c r="CUI27">
        <f t="shared" si="1913"/>
        <v>0</v>
      </c>
      <c r="CUJ27">
        <f t="shared" si="1914"/>
        <v>0</v>
      </c>
      <c r="CUK27">
        <f t="shared" si="1915"/>
        <v>0</v>
      </c>
      <c r="CUL27">
        <f t="shared" si="1916"/>
        <v>0</v>
      </c>
      <c r="CUM27">
        <f t="shared" si="1917"/>
        <v>0</v>
      </c>
      <c r="CUN27">
        <f t="shared" si="1918"/>
        <v>0</v>
      </c>
      <c r="CUO27">
        <f t="shared" si="1919"/>
        <v>0</v>
      </c>
      <c r="CUP27">
        <f t="shared" si="1920"/>
        <v>0</v>
      </c>
      <c r="CUQ27">
        <f t="shared" si="1921"/>
        <v>0</v>
      </c>
      <c r="CUR27">
        <f t="shared" si="1922"/>
        <v>0</v>
      </c>
      <c r="CUS27">
        <f t="shared" si="1923"/>
        <v>0</v>
      </c>
      <c r="CUT27">
        <f t="shared" si="1924"/>
        <v>0</v>
      </c>
      <c r="CUU27">
        <f t="shared" si="1925"/>
        <v>0</v>
      </c>
      <c r="CUV27">
        <f t="shared" si="1926"/>
        <v>0</v>
      </c>
      <c r="CUW27">
        <f t="shared" si="1927"/>
        <v>0</v>
      </c>
      <c r="CUX27">
        <f t="shared" si="1928"/>
        <v>0</v>
      </c>
      <c r="CUY27">
        <f t="shared" si="1929"/>
        <v>0</v>
      </c>
      <c r="CUZ27">
        <f t="shared" si="1930"/>
        <v>0</v>
      </c>
      <c r="CVA27">
        <f t="shared" si="1931"/>
        <v>0</v>
      </c>
      <c r="CVB27">
        <f t="shared" si="1932"/>
        <v>0</v>
      </c>
      <c r="CVC27">
        <f t="shared" si="1933"/>
        <v>0</v>
      </c>
      <c r="CVD27">
        <f t="shared" si="1934"/>
        <v>0</v>
      </c>
      <c r="CVE27">
        <f t="shared" si="1935"/>
        <v>0</v>
      </c>
      <c r="CVF27">
        <f t="shared" si="1936"/>
        <v>0</v>
      </c>
      <c r="CVG27">
        <f t="shared" si="1937"/>
        <v>0</v>
      </c>
      <c r="CVH27">
        <f t="shared" si="1938"/>
        <v>0</v>
      </c>
      <c r="CVI27">
        <f t="shared" si="1939"/>
        <v>0</v>
      </c>
      <c r="CVJ27">
        <f t="shared" si="1940"/>
        <v>0</v>
      </c>
      <c r="CVK27">
        <f t="shared" si="1941"/>
        <v>0</v>
      </c>
      <c r="CVL27">
        <f t="shared" si="1942"/>
        <v>0</v>
      </c>
      <c r="CVM27">
        <f t="shared" si="1943"/>
        <v>0</v>
      </c>
      <c r="CVN27">
        <f t="shared" si="1944"/>
        <v>0</v>
      </c>
      <c r="CVO27">
        <f t="shared" si="1945"/>
        <v>0</v>
      </c>
      <c r="CVP27">
        <f t="shared" si="1946"/>
        <v>0</v>
      </c>
      <c r="CVQ27">
        <f t="shared" si="1947"/>
        <v>0</v>
      </c>
      <c r="CVR27">
        <f t="shared" si="1948"/>
        <v>0</v>
      </c>
      <c r="CVS27">
        <f t="shared" si="1949"/>
        <v>0</v>
      </c>
      <c r="CVT27">
        <f t="shared" si="1950"/>
        <v>0</v>
      </c>
      <c r="CVU27">
        <f t="shared" si="1951"/>
        <v>0</v>
      </c>
      <c r="CVV27">
        <f t="shared" si="1952"/>
        <v>0</v>
      </c>
      <c r="CVW27">
        <f t="shared" si="1953"/>
        <v>0</v>
      </c>
      <c r="CVX27">
        <f t="shared" si="1954"/>
        <v>0</v>
      </c>
      <c r="CVY27">
        <f t="shared" si="1955"/>
        <v>0</v>
      </c>
      <c r="CVZ27">
        <f t="shared" si="63"/>
        <v>0</v>
      </c>
      <c r="CWA27">
        <f t="shared" si="1956"/>
        <v>0</v>
      </c>
      <c r="CWB27">
        <f t="shared" si="1957"/>
        <v>0</v>
      </c>
      <c r="CWC27">
        <f t="shared" si="1958"/>
        <v>0</v>
      </c>
      <c r="CWD27">
        <f t="shared" si="1959"/>
        <v>0</v>
      </c>
      <c r="CWE27">
        <f t="shared" si="1960"/>
        <v>0</v>
      </c>
      <c r="CWF27">
        <f t="shared" si="1961"/>
        <v>0</v>
      </c>
      <c r="CWG27">
        <f t="shared" si="1962"/>
        <v>0</v>
      </c>
      <c r="CWH27">
        <f t="shared" si="1963"/>
        <v>0</v>
      </c>
      <c r="CWI27">
        <f t="shared" si="1964"/>
        <v>0</v>
      </c>
      <c r="CWJ27">
        <f t="shared" si="1965"/>
        <v>0</v>
      </c>
      <c r="CWK27">
        <f t="shared" si="1966"/>
        <v>0</v>
      </c>
      <c r="CWL27">
        <f t="shared" si="1967"/>
        <v>0</v>
      </c>
      <c r="CWM27">
        <f t="shared" si="1968"/>
        <v>0</v>
      </c>
      <c r="CWN27">
        <f t="shared" si="1969"/>
        <v>0</v>
      </c>
      <c r="CWO27">
        <f t="shared" si="1970"/>
        <v>0</v>
      </c>
      <c r="CWP27">
        <f t="shared" si="1971"/>
        <v>0</v>
      </c>
      <c r="CWQ27">
        <f t="shared" si="1972"/>
        <v>0</v>
      </c>
      <c r="CWR27">
        <f t="shared" si="1973"/>
        <v>0</v>
      </c>
      <c r="CWS27">
        <f t="shared" si="1974"/>
        <v>0</v>
      </c>
      <c r="CWT27">
        <f t="shared" si="1975"/>
        <v>0</v>
      </c>
      <c r="CWU27">
        <f t="shared" si="1976"/>
        <v>0</v>
      </c>
      <c r="CWV27">
        <f t="shared" si="1977"/>
        <v>0</v>
      </c>
      <c r="CWW27">
        <f t="shared" si="1978"/>
        <v>0</v>
      </c>
      <c r="CWX27">
        <f t="shared" si="1979"/>
        <v>0</v>
      </c>
      <c r="CWY27">
        <f t="shared" si="1980"/>
        <v>0</v>
      </c>
      <c r="CWZ27">
        <f t="shared" si="1981"/>
        <v>0</v>
      </c>
      <c r="CXA27">
        <f t="shared" si="1982"/>
        <v>0</v>
      </c>
      <c r="CXB27">
        <f t="shared" si="1983"/>
        <v>0</v>
      </c>
      <c r="CXC27">
        <f t="shared" si="1984"/>
        <v>0</v>
      </c>
      <c r="CXD27">
        <f t="shared" si="1985"/>
        <v>0</v>
      </c>
      <c r="CXE27">
        <f t="shared" si="1986"/>
        <v>0</v>
      </c>
      <c r="CXF27">
        <f t="shared" si="1987"/>
        <v>0</v>
      </c>
      <c r="CXG27">
        <f t="shared" si="1988"/>
        <v>0</v>
      </c>
      <c r="CXH27">
        <f t="shared" si="1989"/>
        <v>0</v>
      </c>
      <c r="CXI27">
        <f t="shared" si="1990"/>
        <v>0</v>
      </c>
      <c r="CXJ27">
        <f t="shared" si="1991"/>
        <v>0</v>
      </c>
      <c r="CXK27">
        <f t="shared" si="1992"/>
        <v>0</v>
      </c>
      <c r="CXL27">
        <f t="shared" si="1993"/>
        <v>0</v>
      </c>
      <c r="CXM27">
        <f t="shared" si="1994"/>
        <v>0</v>
      </c>
      <c r="CXN27">
        <f t="shared" si="1995"/>
        <v>0</v>
      </c>
      <c r="CXO27">
        <f t="shared" si="1996"/>
        <v>0</v>
      </c>
      <c r="CXP27">
        <f t="shared" si="1997"/>
        <v>0</v>
      </c>
      <c r="CXQ27">
        <f t="shared" si="1998"/>
        <v>0</v>
      </c>
      <c r="CXR27">
        <f t="shared" si="1999"/>
        <v>0</v>
      </c>
      <c r="CXS27">
        <f t="shared" si="2000"/>
        <v>0</v>
      </c>
      <c r="CXT27">
        <f t="shared" si="2001"/>
        <v>0</v>
      </c>
      <c r="CXU27">
        <f t="shared" si="2002"/>
        <v>0</v>
      </c>
      <c r="CXV27">
        <f t="shared" si="2003"/>
        <v>0</v>
      </c>
      <c r="CXW27">
        <f t="shared" si="2004"/>
        <v>0</v>
      </c>
      <c r="CXX27">
        <f t="shared" si="2005"/>
        <v>0</v>
      </c>
      <c r="CXY27">
        <f t="shared" si="2006"/>
        <v>0</v>
      </c>
      <c r="CXZ27">
        <f t="shared" si="2007"/>
        <v>0</v>
      </c>
      <c r="CYA27">
        <f t="shared" si="2008"/>
        <v>0</v>
      </c>
      <c r="CYB27">
        <f t="shared" si="2009"/>
        <v>0</v>
      </c>
      <c r="CYC27">
        <f t="shared" si="2010"/>
        <v>0</v>
      </c>
      <c r="CYD27">
        <f t="shared" si="2011"/>
        <v>0</v>
      </c>
      <c r="CYE27">
        <f t="shared" si="2012"/>
        <v>0</v>
      </c>
      <c r="CYF27">
        <f t="shared" si="2013"/>
        <v>0</v>
      </c>
      <c r="CYG27">
        <f t="shared" si="2014"/>
        <v>0</v>
      </c>
      <c r="CYH27">
        <f t="shared" si="2015"/>
        <v>0</v>
      </c>
      <c r="CYI27">
        <f t="shared" si="2016"/>
        <v>0</v>
      </c>
      <c r="CYJ27">
        <f t="shared" si="2017"/>
        <v>0</v>
      </c>
      <c r="CYK27">
        <f t="shared" si="2018"/>
        <v>0</v>
      </c>
      <c r="CYL27">
        <f t="shared" si="64"/>
        <v>0</v>
      </c>
      <c r="CYM27">
        <f t="shared" si="2019"/>
        <v>0</v>
      </c>
      <c r="CYN27">
        <f t="shared" si="2020"/>
        <v>0</v>
      </c>
      <c r="CYO27">
        <f t="shared" si="2021"/>
        <v>0</v>
      </c>
      <c r="CYP27">
        <f t="shared" si="2022"/>
        <v>0</v>
      </c>
      <c r="CYQ27">
        <f t="shared" si="2023"/>
        <v>0</v>
      </c>
      <c r="CYR27">
        <f t="shared" si="2024"/>
        <v>0</v>
      </c>
      <c r="CYS27">
        <f t="shared" si="2025"/>
        <v>0</v>
      </c>
      <c r="CYT27">
        <f t="shared" si="2026"/>
        <v>0</v>
      </c>
      <c r="CYU27">
        <f t="shared" si="2027"/>
        <v>0</v>
      </c>
      <c r="CYV27">
        <f t="shared" si="2028"/>
        <v>0</v>
      </c>
      <c r="CYW27">
        <f t="shared" si="2029"/>
        <v>0</v>
      </c>
      <c r="CYX27">
        <f t="shared" si="2030"/>
        <v>0</v>
      </c>
      <c r="CYY27">
        <f t="shared" si="2031"/>
        <v>0</v>
      </c>
      <c r="CYZ27">
        <f t="shared" si="2032"/>
        <v>0</v>
      </c>
      <c r="CZA27">
        <f t="shared" si="2033"/>
        <v>0</v>
      </c>
      <c r="CZB27">
        <f t="shared" si="2034"/>
        <v>0</v>
      </c>
      <c r="CZC27">
        <f t="shared" si="2035"/>
        <v>0</v>
      </c>
      <c r="CZD27">
        <f t="shared" si="2036"/>
        <v>0</v>
      </c>
      <c r="CZE27">
        <f t="shared" si="2037"/>
        <v>0</v>
      </c>
      <c r="CZF27">
        <f t="shared" si="2038"/>
        <v>0</v>
      </c>
      <c r="CZG27">
        <f t="shared" si="2039"/>
        <v>0</v>
      </c>
      <c r="CZH27">
        <f t="shared" si="2040"/>
        <v>0</v>
      </c>
      <c r="CZI27">
        <f t="shared" si="2041"/>
        <v>0</v>
      </c>
      <c r="CZJ27">
        <f t="shared" si="2042"/>
        <v>0</v>
      </c>
      <c r="CZK27">
        <f t="shared" si="2043"/>
        <v>0</v>
      </c>
      <c r="CZL27">
        <f t="shared" si="2044"/>
        <v>0</v>
      </c>
      <c r="CZM27">
        <f t="shared" si="2045"/>
        <v>0</v>
      </c>
      <c r="CZN27">
        <f t="shared" si="2046"/>
        <v>0</v>
      </c>
      <c r="CZO27">
        <f t="shared" si="2047"/>
        <v>0</v>
      </c>
      <c r="CZP27">
        <f t="shared" si="2048"/>
        <v>0</v>
      </c>
      <c r="CZQ27">
        <f t="shared" si="2049"/>
        <v>0</v>
      </c>
      <c r="CZR27">
        <f t="shared" si="2050"/>
        <v>0</v>
      </c>
      <c r="CZS27">
        <f t="shared" si="2051"/>
        <v>0</v>
      </c>
      <c r="CZT27">
        <f t="shared" si="2052"/>
        <v>0</v>
      </c>
      <c r="CZU27">
        <f t="shared" si="2053"/>
        <v>0</v>
      </c>
      <c r="CZV27">
        <f t="shared" si="2054"/>
        <v>0</v>
      </c>
      <c r="CZW27">
        <f t="shared" si="2055"/>
        <v>0</v>
      </c>
      <c r="CZX27">
        <f t="shared" si="2056"/>
        <v>0</v>
      </c>
      <c r="CZY27">
        <f t="shared" si="2057"/>
        <v>0</v>
      </c>
      <c r="CZZ27">
        <f t="shared" si="2058"/>
        <v>0</v>
      </c>
      <c r="DAA27">
        <f t="shared" si="2059"/>
        <v>0</v>
      </c>
      <c r="DAB27">
        <f t="shared" si="2060"/>
        <v>0</v>
      </c>
      <c r="DAC27">
        <f t="shared" si="2061"/>
        <v>0</v>
      </c>
      <c r="DAD27">
        <f t="shared" si="2062"/>
        <v>0</v>
      </c>
      <c r="DAE27">
        <f t="shared" si="2063"/>
        <v>0</v>
      </c>
      <c r="DAF27">
        <f t="shared" si="2064"/>
        <v>0</v>
      </c>
      <c r="DAG27">
        <f t="shared" si="2065"/>
        <v>0</v>
      </c>
      <c r="DAH27">
        <f t="shared" si="2066"/>
        <v>0</v>
      </c>
      <c r="DAI27">
        <f t="shared" si="2067"/>
        <v>0</v>
      </c>
      <c r="DAJ27">
        <f t="shared" si="2068"/>
        <v>0</v>
      </c>
      <c r="DAK27">
        <f t="shared" si="2069"/>
        <v>0</v>
      </c>
      <c r="DAL27">
        <f t="shared" si="2070"/>
        <v>0</v>
      </c>
      <c r="DAM27">
        <f t="shared" si="2071"/>
        <v>0</v>
      </c>
      <c r="DAN27">
        <f t="shared" si="2072"/>
        <v>0</v>
      </c>
      <c r="DAO27">
        <f t="shared" si="2073"/>
        <v>0</v>
      </c>
      <c r="DAP27">
        <f t="shared" si="2074"/>
        <v>0</v>
      </c>
      <c r="DAQ27">
        <f t="shared" si="2075"/>
        <v>0</v>
      </c>
      <c r="DAR27">
        <f t="shared" si="2076"/>
        <v>0</v>
      </c>
      <c r="DAS27">
        <f t="shared" si="2077"/>
        <v>0</v>
      </c>
      <c r="DAT27">
        <f t="shared" si="2078"/>
        <v>0</v>
      </c>
      <c r="DAU27">
        <f t="shared" si="2079"/>
        <v>0</v>
      </c>
      <c r="DAV27">
        <f t="shared" si="2080"/>
        <v>0</v>
      </c>
      <c r="DAW27">
        <f t="shared" si="2081"/>
        <v>0</v>
      </c>
      <c r="DAX27">
        <f t="shared" si="65"/>
        <v>0</v>
      </c>
      <c r="DAY27">
        <f t="shared" si="2142"/>
        <v>0</v>
      </c>
      <c r="DAZ27">
        <f t="shared" si="2143"/>
        <v>0</v>
      </c>
      <c r="DBA27">
        <f t="shared" si="2144"/>
        <v>0</v>
      </c>
      <c r="DBB27">
        <f t="shared" si="2082"/>
        <v>0</v>
      </c>
      <c r="DBC27">
        <f t="shared" si="2083"/>
        <v>0</v>
      </c>
      <c r="DBD27">
        <f t="shared" si="2084"/>
        <v>0</v>
      </c>
      <c r="DBE27">
        <f t="shared" si="2085"/>
        <v>0</v>
      </c>
      <c r="DBF27">
        <f t="shared" si="2086"/>
        <v>0</v>
      </c>
      <c r="DBG27">
        <f t="shared" si="2087"/>
        <v>0</v>
      </c>
      <c r="DBH27">
        <f t="shared" si="2088"/>
        <v>0</v>
      </c>
      <c r="DBI27">
        <f t="shared" si="2089"/>
        <v>0</v>
      </c>
      <c r="DBJ27">
        <f t="shared" si="2090"/>
        <v>0</v>
      </c>
      <c r="DBK27">
        <f t="shared" si="2091"/>
        <v>0</v>
      </c>
      <c r="DBL27">
        <f t="shared" si="2092"/>
        <v>0</v>
      </c>
      <c r="DBM27">
        <f t="shared" si="2093"/>
        <v>0</v>
      </c>
      <c r="DBN27">
        <f t="shared" si="2094"/>
        <v>0</v>
      </c>
      <c r="DBO27">
        <f t="shared" si="2095"/>
        <v>0</v>
      </c>
      <c r="DBP27">
        <f t="shared" si="2096"/>
        <v>0</v>
      </c>
      <c r="DBQ27">
        <f t="shared" si="2097"/>
        <v>0</v>
      </c>
      <c r="DBR27">
        <f t="shared" si="2098"/>
        <v>0</v>
      </c>
      <c r="DBS27">
        <f t="shared" si="2099"/>
        <v>0</v>
      </c>
      <c r="DBT27">
        <f t="shared" si="2100"/>
        <v>0</v>
      </c>
      <c r="DBU27">
        <f t="shared" si="2101"/>
        <v>0</v>
      </c>
      <c r="DBV27">
        <f t="shared" si="2102"/>
        <v>0</v>
      </c>
      <c r="DBW27">
        <f t="shared" si="2103"/>
        <v>0</v>
      </c>
      <c r="DBX27">
        <f t="shared" si="2104"/>
        <v>0</v>
      </c>
      <c r="DBY27">
        <f t="shared" si="2105"/>
        <v>0</v>
      </c>
      <c r="DBZ27">
        <f t="shared" si="2106"/>
        <v>0</v>
      </c>
      <c r="DCA27">
        <f t="shared" si="2107"/>
        <v>0</v>
      </c>
      <c r="DCB27">
        <f t="shared" si="2108"/>
        <v>0</v>
      </c>
      <c r="DCC27">
        <f t="shared" si="2109"/>
        <v>0</v>
      </c>
      <c r="DCD27">
        <f t="shared" si="2110"/>
        <v>0</v>
      </c>
      <c r="DCE27">
        <f t="shared" si="2111"/>
        <v>0</v>
      </c>
      <c r="DCF27">
        <f t="shared" si="2112"/>
        <v>0</v>
      </c>
      <c r="DCG27">
        <f t="shared" si="2113"/>
        <v>0</v>
      </c>
      <c r="DCH27">
        <f t="shared" si="2114"/>
        <v>0</v>
      </c>
      <c r="DCI27">
        <f t="shared" si="2115"/>
        <v>0</v>
      </c>
      <c r="DCJ27">
        <f t="shared" si="2116"/>
        <v>0</v>
      </c>
      <c r="DCK27">
        <f t="shared" si="2117"/>
        <v>0</v>
      </c>
      <c r="DCL27">
        <f t="shared" si="2118"/>
        <v>0</v>
      </c>
      <c r="DCM27">
        <f t="shared" si="2119"/>
        <v>0</v>
      </c>
      <c r="DCN27">
        <f t="shared" si="2120"/>
        <v>0</v>
      </c>
      <c r="DCO27">
        <f t="shared" si="2121"/>
        <v>0</v>
      </c>
      <c r="DCP27">
        <f t="shared" si="2122"/>
        <v>0</v>
      </c>
      <c r="DCQ27">
        <f t="shared" si="2123"/>
        <v>0</v>
      </c>
      <c r="DCR27">
        <f t="shared" si="2124"/>
        <v>0</v>
      </c>
      <c r="DCS27">
        <f t="shared" si="2125"/>
        <v>0</v>
      </c>
      <c r="DCT27">
        <f t="shared" si="2126"/>
        <v>0</v>
      </c>
      <c r="DCU27">
        <f t="shared" si="2127"/>
        <v>0</v>
      </c>
      <c r="DCV27">
        <f t="shared" si="2128"/>
        <v>0</v>
      </c>
      <c r="DCW27">
        <f t="shared" si="2129"/>
        <v>0</v>
      </c>
      <c r="DCX27">
        <f t="shared" si="2130"/>
        <v>0</v>
      </c>
      <c r="DCY27">
        <f t="shared" si="2131"/>
        <v>0</v>
      </c>
      <c r="DCZ27">
        <f t="shared" si="2132"/>
        <v>0</v>
      </c>
      <c r="DDA27">
        <f t="shared" si="2133"/>
        <v>0</v>
      </c>
      <c r="DDB27">
        <f t="shared" si="2134"/>
        <v>0</v>
      </c>
      <c r="DDC27">
        <f t="shared" si="2135"/>
        <v>0</v>
      </c>
      <c r="DDD27">
        <f t="shared" si="2136"/>
        <v>0</v>
      </c>
      <c r="DDE27">
        <f t="shared" si="2137"/>
        <v>0</v>
      </c>
      <c r="DDF27">
        <f t="shared" si="2138"/>
        <v>0</v>
      </c>
      <c r="DDG27">
        <f t="shared" si="2139"/>
        <v>0</v>
      </c>
      <c r="DDH27">
        <f t="shared" si="2140"/>
        <v>0</v>
      </c>
      <c r="DDI27">
        <f t="shared" si="2141"/>
        <v>0</v>
      </c>
    </row>
    <row r="28" spans="1:2817" x14ac:dyDescent="0.2">
      <c r="A28" s="1">
        <v>22</v>
      </c>
      <c r="B28">
        <f>'Demand Stage 2'!B27</f>
        <v>0</v>
      </c>
      <c r="C28">
        <f>'Demand Stage 2'!C27</f>
        <v>0</v>
      </c>
      <c r="D28">
        <f>'Demand Stage 2'!D27</f>
        <v>0</v>
      </c>
      <c r="E28">
        <f>'Demand Stage 2'!E27</f>
        <v>0</v>
      </c>
      <c r="F28">
        <f>'Demand Stage 2'!F27</f>
        <v>0</v>
      </c>
      <c r="G28">
        <f>'Demand Stage 2'!G27</f>
        <v>0</v>
      </c>
      <c r="H28">
        <f>'Demand Stage 2'!H27</f>
        <v>0</v>
      </c>
      <c r="I28">
        <f>'Demand Stage 2'!I27</f>
        <v>0</v>
      </c>
      <c r="J28">
        <f>'Demand Stage 2'!J27</f>
        <v>0</v>
      </c>
      <c r="K28">
        <f>'Demand Stage 2'!K27</f>
        <v>0</v>
      </c>
      <c r="L28">
        <f>'Demand Stage 2'!L27</f>
        <v>0</v>
      </c>
      <c r="M28">
        <f>'Demand Stage 2'!M27</f>
        <v>0</v>
      </c>
      <c r="N28">
        <f>'Demand Stage 2'!N27</f>
        <v>0</v>
      </c>
      <c r="O28">
        <f>'Demand Stage 2'!O27</f>
        <v>0</v>
      </c>
      <c r="P28">
        <f>'Demand Stage 2'!P27</f>
        <v>0</v>
      </c>
      <c r="Q28">
        <f>'Demand Stage 2'!Q27</f>
        <v>0</v>
      </c>
      <c r="R28">
        <f>'Demand Stage 2'!R27</f>
        <v>0</v>
      </c>
      <c r="S28">
        <f>'Demand Stage 2'!S27</f>
        <v>0</v>
      </c>
      <c r="T28">
        <f>'Demand Stage 2'!T27</f>
        <v>0</v>
      </c>
      <c r="U28">
        <f>'Demand Stage 2'!U27</f>
        <v>0</v>
      </c>
      <c r="V28">
        <f>'Demand Stage 2'!V27</f>
        <v>0</v>
      </c>
      <c r="W28">
        <f>'Demand Stage 2'!W27</f>
        <v>0</v>
      </c>
      <c r="X28">
        <f>'Demand Stage 2'!X27</f>
        <v>0</v>
      </c>
      <c r="Y28">
        <f>'Demand Stage 2'!Y27</f>
        <v>0</v>
      </c>
      <c r="Z28">
        <f>'Demand Stage 2'!Z27</f>
        <v>0</v>
      </c>
      <c r="AA28">
        <f>'Demand Stage 2'!AA27</f>
        <v>0</v>
      </c>
      <c r="AB28">
        <f>'Demand Stage 2'!AB27</f>
        <v>0</v>
      </c>
      <c r="AC28">
        <f>'Demand Stage 2'!AC27</f>
        <v>0</v>
      </c>
      <c r="AD28">
        <f>'Demand Stage 2'!AD27</f>
        <v>0</v>
      </c>
      <c r="AE28">
        <f>'Demand Stage 2'!AE27</f>
        <v>0</v>
      </c>
      <c r="AF28">
        <f>'Demand Stage 2'!AF27</f>
        <v>0</v>
      </c>
      <c r="AG28">
        <f>'Demand Stage 2'!AG27</f>
        <v>0</v>
      </c>
      <c r="AH28">
        <f>'Demand Stage 2'!AH27</f>
        <v>0</v>
      </c>
      <c r="AI28">
        <f>'Demand Stage 2'!AI27</f>
        <v>0</v>
      </c>
      <c r="AJ28">
        <f>'Demand Stage 2'!AJ27</f>
        <v>0</v>
      </c>
      <c r="AK28">
        <f>'Demand Stage 2'!AK27</f>
        <v>0</v>
      </c>
      <c r="AL28">
        <f>'Demand Stage 2'!AL27</f>
        <v>0</v>
      </c>
      <c r="AM28">
        <f>'Demand Stage 2'!AM27</f>
        <v>0</v>
      </c>
      <c r="AN28">
        <f>'Demand Stage 2'!AN27</f>
        <v>0</v>
      </c>
      <c r="AO28">
        <f>'Demand Stage 2'!AO27</f>
        <v>0</v>
      </c>
      <c r="AP28">
        <f>'Demand Stage 2'!AP27</f>
        <v>0</v>
      </c>
      <c r="AQ28">
        <f>'Demand Stage 2'!AQ27</f>
        <v>0</v>
      </c>
      <c r="AR28">
        <f>'Demand Stage 2'!AR27</f>
        <v>0</v>
      </c>
      <c r="AS28">
        <f>'Demand Stage 2'!AS27</f>
        <v>0</v>
      </c>
      <c r="AT28">
        <f>'Demand Stage 2'!AT27</f>
        <v>0</v>
      </c>
      <c r="AU28">
        <f>'Demand Stage 2'!AU27</f>
        <v>0</v>
      </c>
      <c r="AV28">
        <f>'Demand Stage 2'!AV27</f>
        <v>0</v>
      </c>
      <c r="AW28">
        <f>'Demand Stage 2'!AW27</f>
        <v>0</v>
      </c>
      <c r="AX28">
        <f>'Demand Stage 2'!AX27</f>
        <v>0</v>
      </c>
      <c r="AY28">
        <f>'Demand Stage 2'!AY27</f>
        <v>0</v>
      </c>
      <c r="AZ28">
        <f>'Demand Stage 2'!AZ27</f>
        <v>0</v>
      </c>
      <c r="BA28">
        <f>'Demand Stage 2'!BA27</f>
        <v>0</v>
      </c>
      <c r="BB28">
        <f>'Demand Stage 2'!BB27</f>
        <v>0</v>
      </c>
      <c r="BC28">
        <f>'Demand Stage 2'!BC27</f>
        <v>0</v>
      </c>
      <c r="BD28">
        <f>'Demand Stage 2'!BD27</f>
        <v>0</v>
      </c>
      <c r="BE28">
        <f>'Demand Stage 2'!BE27</f>
        <v>0</v>
      </c>
      <c r="BF28">
        <f>'Demand Stage 2'!BF27</f>
        <v>0</v>
      </c>
      <c r="BG28">
        <f>'Demand Stage 2'!BG27</f>
        <v>0</v>
      </c>
      <c r="BH28">
        <f>'Demand Stage 2'!BH27</f>
        <v>0</v>
      </c>
      <c r="BI28">
        <f>'Demand Stage 2'!BI27</f>
        <v>0</v>
      </c>
      <c r="BJ28">
        <f>'Demand Stage 2'!BJ27</f>
        <v>0</v>
      </c>
      <c r="BK28">
        <f>'Demand Stage 2'!BK27</f>
        <v>0</v>
      </c>
      <c r="BL28">
        <f>'Demand Stage 2'!BL27</f>
        <v>0</v>
      </c>
      <c r="BM28">
        <f>'Demand Stage 2'!BM27</f>
        <v>0</v>
      </c>
      <c r="BN28">
        <f>'Demand Stage 2'!BN27</f>
        <v>0</v>
      </c>
      <c r="BO28">
        <f>'Demand Stage 2'!BO27</f>
        <v>0</v>
      </c>
      <c r="BP28">
        <f>'Demand Stage 2'!BP27</f>
        <v>0</v>
      </c>
      <c r="BQ28">
        <f>'Demand Stage 2'!BQ27</f>
        <v>0</v>
      </c>
      <c r="BR28">
        <f>'Demand Stage 2'!BR27</f>
        <v>0</v>
      </c>
      <c r="BS28">
        <f>'Demand Stage 2'!BS27</f>
        <v>0</v>
      </c>
      <c r="BT28">
        <f>'Demand Stage 2'!BT27</f>
        <v>0</v>
      </c>
      <c r="BU28">
        <f>'Demand Stage 2'!BU27</f>
        <v>0</v>
      </c>
      <c r="BV28">
        <f>'Demand Stage 2'!BV27</f>
        <v>0</v>
      </c>
      <c r="BW28">
        <f>'Demand Stage 2'!BW27</f>
        <v>0</v>
      </c>
      <c r="BX28">
        <f>'Demand Stage 2'!BX27</f>
        <v>0</v>
      </c>
      <c r="BY28">
        <f>'Demand Stage 2'!BY27</f>
        <v>0</v>
      </c>
      <c r="BZ28">
        <f>'Demand Stage 2'!BZ27</f>
        <v>0</v>
      </c>
      <c r="CA28">
        <f>'Demand Stage 2'!CA27</f>
        <v>0</v>
      </c>
      <c r="CB28">
        <f>'Demand Stage 2'!CB27</f>
        <v>0</v>
      </c>
      <c r="CC28">
        <f>'Demand Stage 2'!CC27</f>
        <v>0</v>
      </c>
      <c r="CD28">
        <f>'Demand Stage 2'!CD27</f>
        <v>0</v>
      </c>
      <c r="CE28">
        <f>'Demand Stage 2'!CE27</f>
        <v>0</v>
      </c>
      <c r="CF28">
        <f>'Demand Stage 2'!CF27</f>
        <v>0</v>
      </c>
      <c r="CG28">
        <f>'Demand Stage 2'!CG27</f>
        <v>0</v>
      </c>
      <c r="CH28">
        <f>'Demand Stage 2'!CH27</f>
        <v>0</v>
      </c>
      <c r="CI28">
        <f>'Demand Stage 2'!CI27</f>
        <v>0</v>
      </c>
      <c r="CJ28">
        <f>'Demand Stage 2'!CJ27</f>
        <v>0</v>
      </c>
      <c r="CK28">
        <f>'Demand Stage 2'!CK27</f>
        <v>0</v>
      </c>
      <c r="CL28">
        <f>'Demand Stage 2'!CL27</f>
        <v>0</v>
      </c>
      <c r="CM28">
        <f>'Demand Stage 2'!CM27</f>
        <v>0</v>
      </c>
      <c r="CN28">
        <f>'Demand Stage 2'!CN27</f>
        <v>0</v>
      </c>
      <c r="CO28">
        <f>'Demand Stage 2'!CO27</f>
        <v>0</v>
      </c>
      <c r="CP28">
        <f>'Demand Stage 2'!CP27</f>
        <v>0</v>
      </c>
      <c r="CQ28">
        <f>'Demand Stage 2'!CQ27</f>
        <v>0</v>
      </c>
      <c r="CR28">
        <f>'Demand Stage 2'!CR27</f>
        <v>0</v>
      </c>
      <c r="CS28">
        <f>'Demand Stage 2'!CS27</f>
        <v>0</v>
      </c>
      <c r="CT28">
        <f>'Demand Stage 2'!CT27</f>
        <v>0</v>
      </c>
      <c r="CU28">
        <f>'Demand Stage 2'!CU27</f>
        <v>0</v>
      </c>
      <c r="CV28">
        <f>'Demand Stage 2'!CV27</f>
        <v>0</v>
      </c>
      <c r="CW28">
        <f>'Demand Stage 2'!CW27</f>
        <v>0</v>
      </c>
      <c r="CX28">
        <f>'Demand Stage 2'!CX27</f>
        <v>0</v>
      </c>
      <c r="CY28">
        <f>'Demand Stage 2'!CY27</f>
        <v>0</v>
      </c>
      <c r="CZ28">
        <f>'Demand Stage 2'!CZ27</f>
        <v>0</v>
      </c>
      <c r="DA28">
        <f>'Demand Stage 2'!DA27</f>
        <v>0</v>
      </c>
      <c r="DB28">
        <f>'Demand Stage 2'!DB27</f>
        <v>0</v>
      </c>
      <c r="DC28">
        <f>'Demand Stage 2'!DC27</f>
        <v>0</v>
      </c>
      <c r="DD28">
        <f>'Demand Stage 2'!DD27</f>
        <v>0</v>
      </c>
      <c r="DE28">
        <f>'Demand Stage 2'!DE27</f>
        <v>0</v>
      </c>
      <c r="DF28">
        <f>'Demand Stage 2'!DF27</f>
        <v>0</v>
      </c>
      <c r="DG28">
        <f>'Demand Stage 2'!DG27</f>
        <v>0</v>
      </c>
      <c r="DH28">
        <f>'Demand Stage 2'!DH27</f>
        <v>0</v>
      </c>
      <c r="DI28">
        <f>'Demand Stage 2'!DI27</f>
        <v>0</v>
      </c>
      <c r="DJ28">
        <f>'Demand Stage 2'!DJ27</f>
        <v>0</v>
      </c>
      <c r="DK28">
        <f>'Demand Stage 2'!DK27</f>
        <v>0</v>
      </c>
      <c r="DL28">
        <f>'Demand Stage 2'!DL27</f>
        <v>0</v>
      </c>
      <c r="DM28">
        <f>'Demand Stage 2'!DM27</f>
        <v>0</v>
      </c>
      <c r="DN28">
        <f>'Demand Stage 2'!DN27</f>
        <v>0</v>
      </c>
      <c r="DO28">
        <f>'Demand Stage 2'!DO27</f>
        <v>0</v>
      </c>
      <c r="DP28">
        <f>'Demand Stage 2'!DP27</f>
        <v>0</v>
      </c>
      <c r="DQ28">
        <f>'Demand Stage 2'!DQ27</f>
        <v>0</v>
      </c>
      <c r="DR28">
        <f>'Demand Stage 2'!DR27</f>
        <v>0</v>
      </c>
      <c r="DS28">
        <f>'Demand Stage 2'!DS27</f>
        <v>0</v>
      </c>
      <c r="DT28">
        <f>'Demand Stage 2'!DT27</f>
        <v>0</v>
      </c>
      <c r="DU28">
        <f>'Demand Stage 2'!DU27</f>
        <v>0</v>
      </c>
      <c r="DV28">
        <f>'Demand Stage 2'!DV27</f>
        <v>0</v>
      </c>
      <c r="DW28">
        <f>'Demand Stage 2'!DW27</f>
        <v>0</v>
      </c>
      <c r="DX28">
        <f>'Demand Stage 2'!DX27</f>
        <v>0</v>
      </c>
      <c r="DY28">
        <f>'Demand Stage 2'!DY27</f>
        <v>0</v>
      </c>
      <c r="DZ28">
        <f>'Demand Stage 2'!DZ27</f>
        <v>0</v>
      </c>
      <c r="EA28">
        <f>'Demand Stage 2'!EA27</f>
        <v>0</v>
      </c>
      <c r="EB28">
        <f>'Demand Stage 2'!EB27</f>
        <v>0</v>
      </c>
      <c r="EC28">
        <f>'Demand Stage 2'!EC27</f>
        <v>0</v>
      </c>
      <c r="ED28">
        <f>'Demand Stage 2'!ED27</f>
        <v>0</v>
      </c>
      <c r="EE28">
        <f>'Demand Stage 2'!EE27</f>
        <v>0</v>
      </c>
      <c r="EF28">
        <f>'Demand Stage 2'!EF27</f>
        <v>0</v>
      </c>
      <c r="EG28">
        <f>'Demand Stage 2'!EG27</f>
        <v>0</v>
      </c>
      <c r="EH28">
        <f>'Demand Stage 2'!EH27</f>
        <v>0</v>
      </c>
      <c r="EI28">
        <f>'Demand Stage 2'!EI27</f>
        <v>0</v>
      </c>
      <c r="EJ28">
        <f>'Demand Stage 2'!EJ27</f>
        <v>0</v>
      </c>
      <c r="EK28">
        <f>'Demand Stage 2'!EK27</f>
        <v>0</v>
      </c>
      <c r="EL28">
        <f>'Demand Stage 2'!EL27</f>
        <v>0</v>
      </c>
      <c r="EM28">
        <f>'Demand Stage 2'!EM27</f>
        <v>0</v>
      </c>
      <c r="EN28">
        <f>'Demand Stage 2'!EN27</f>
        <v>0</v>
      </c>
      <c r="EO28">
        <f>'Demand Stage 2'!EO27</f>
        <v>0</v>
      </c>
      <c r="EP28">
        <f>'Demand Stage 2'!EP27</f>
        <v>0</v>
      </c>
      <c r="EQ28">
        <f>'Demand Stage 2'!EQ27</f>
        <v>0</v>
      </c>
      <c r="ER28">
        <f>'Demand Stage 2'!ER27</f>
        <v>0</v>
      </c>
      <c r="ES28">
        <f>'Demand Stage 2'!ES27</f>
        <v>0</v>
      </c>
      <c r="ET28">
        <f>'Demand Stage 2'!ET27</f>
        <v>0</v>
      </c>
      <c r="EU28">
        <f>'Demand Stage 2'!EU27</f>
        <v>0</v>
      </c>
      <c r="EV28">
        <f>'Demand Stage 2'!EV27</f>
        <v>0</v>
      </c>
      <c r="EW28">
        <f>'Demand Stage 2'!EW27</f>
        <v>0</v>
      </c>
      <c r="EX28">
        <f>'Demand Stage 2'!EX27</f>
        <v>0</v>
      </c>
      <c r="EY28">
        <f>'Demand Stage 2'!EY27</f>
        <v>0</v>
      </c>
      <c r="EZ28">
        <f>'Demand Stage 2'!EZ27</f>
        <v>0</v>
      </c>
      <c r="FA28">
        <f>'Demand Stage 2'!FA27</f>
        <v>0</v>
      </c>
      <c r="FB28">
        <f>'Demand Stage 2'!FB27</f>
        <v>0</v>
      </c>
      <c r="FC28">
        <f>'Demand Stage 2'!FC27</f>
        <v>0</v>
      </c>
      <c r="FD28">
        <f>'Demand Stage 2'!FD27</f>
        <v>0</v>
      </c>
      <c r="FE28">
        <f>'Demand Stage 2'!FE27</f>
        <v>0</v>
      </c>
      <c r="FF28">
        <f>'Demand Stage 2'!FF27</f>
        <v>0</v>
      </c>
      <c r="FG28">
        <f>'Demand Stage 2'!FG27</f>
        <v>0</v>
      </c>
      <c r="FH28">
        <f>'Demand Stage 2'!FH27</f>
        <v>0</v>
      </c>
      <c r="FI28">
        <f>'Demand Stage 2'!FI27</f>
        <v>0</v>
      </c>
      <c r="FJ28">
        <f>'Demand Stage 2'!FJ27</f>
        <v>0</v>
      </c>
      <c r="FK28">
        <f>'Demand Stage 2'!FK27</f>
        <v>0</v>
      </c>
      <c r="FL28">
        <f>'Demand Stage 2'!FL27</f>
        <v>0</v>
      </c>
      <c r="FM28">
        <f>'Demand Stage 2'!FM27</f>
        <v>0</v>
      </c>
      <c r="FN28">
        <f>'Demand Stage 2'!FN27</f>
        <v>0</v>
      </c>
      <c r="FO28">
        <f>'Demand Stage 2'!FO27</f>
        <v>0</v>
      </c>
      <c r="FP28">
        <f>'Demand Stage 2'!FP27</f>
        <v>0</v>
      </c>
      <c r="FQ28">
        <f>'Demand Stage 2'!FQ27</f>
        <v>0</v>
      </c>
      <c r="FR28">
        <f>'Demand Stage 2'!FR27</f>
        <v>0</v>
      </c>
      <c r="FS28">
        <f>'Demand Stage 2'!FS27</f>
        <v>0</v>
      </c>
      <c r="FT28">
        <f>'Demand Stage 2'!FT27</f>
        <v>0</v>
      </c>
      <c r="FU28">
        <f>'Demand Stage 2'!FU27</f>
        <v>0</v>
      </c>
      <c r="FV28">
        <f>'Demand Stage 2'!FV27</f>
        <v>0</v>
      </c>
      <c r="FW28">
        <f>'Demand Stage 2'!FW27</f>
        <v>0</v>
      </c>
      <c r="FX28">
        <f>'Demand Stage 2'!FX27</f>
        <v>0</v>
      </c>
      <c r="FY28">
        <f>'Demand Stage 2'!FY27</f>
        <v>0</v>
      </c>
      <c r="FZ28">
        <f>'Demand Stage 2'!FZ27</f>
        <v>0</v>
      </c>
      <c r="GA28">
        <f>'Demand Stage 2'!GA27</f>
        <v>0</v>
      </c>
      <c r="GB28">
        <f>'Demand Stage 2'!GB27</f>
        <v>0</v>
      </c>
      <c r="GC28">
        <f>'Demand Stage 2'!GC27</f>
        <v>0</v>
      </c>
      <c r="GD28">
        <f>'Demand Stage 2'!GD27</f>
        <v>0</v>
      </c>
      <c r="GE28">
        <f>'Demand Stage 2'!GE27</f>
        <v>0</v>
      </c>
      <c r="GF28">
        <f>'Demand Stage 2'!GF27</f>
        <v>0</v>
      </c>
      <c r="GG28">
        <f>'Demand Stage 2'!GG27</f>
        <v>0</v>
      </c>
      <c r="GH28">
        <f>'Demand Stage 2'!GH27</f>
        <v>0</v>
      </c>
      <c r="GI28">
        <f>'Demand Stage 2'!GI27</f>
        <v>0</v>
      </c>
      <c r="GJ28">
        <f>'Demand Stage 2'!GJ27</f>
        <v>0</v>
      </c>
      <c r="GK28">
        <f>'Demand Stage 2'!GK27</f>
        <v>0</v>
      </c>
      <c r="GL28">
        <f>'Demand Stage 2'!GL27</f>
        <v>0</v>
      </c>
      <c r="GM28">
        <f>'Demand Stage 2'!GM27</f>
        <v>0</v>
      </c>
      <c r="GN28">
        <f>'Demand Stage 2'!GN27</f>
        <v>0</v>
      </c>
      <c r="GO28">
        <f>'Demand Stage 2'!GO27</f>
        <v>0</v>
      </c>
      <c r="GP28">
        <f>'Demand Stage 2'!GP27</f>
        <v>0</v>
      </c>
      <c r="GQ28">
        <f>'Demand Stage 2'!GQ27</f>
        <v>0</v>
      </c>
      <c r="GR28">
        <f>'Demand Stage 2'!GR27</f>
        <v>0</v>
      </c>
      <c r="GS28">
        <f>'Demand Stage 2'!GS27</f>
        <v>0</v>
      </c>
      <c r="GT28">
        <f>'Demand Stage 2'!GT27</f>
        <v>0</v>
      </c>
      <c r="GU28">
        <f>'Demand Stage 2'!GU27</f>
        <v>0</v>
      </c>
      <c r="GV28">
        <f>'Demand Stage 2'!GV27</f>
        <v>0</v>
      </c>
      <c r="GW28">
        <f>'Demand Stage 2'!GW27</f>
        <v>0</v>
      </c>
      <c r="GX28">
        <f>'Demand Stage 2'!GX27</f>
        <v>0</v>
      </c>
      <c r="GY28">
        <f>'Demand Stage 2'!GY27</f>
        <v>0</v>
      </c>
      <c r="GZ28">
        <f>'Demand Stage 2'!GZ27</f>
        <v>0</v>
      </c>
      <c r="HA28">
        <f>'Demand Stage 2'!HA27</f>
        <v>0</v>
      </c>
      <c r="HB28">
        <f>'Demand Stage 2'!HB27</f>
        <v>0</v>
      </c>
      <c r="HC28">
        <f>'Demand Stage 2'!HC27</f>
        <v>0</v>
      </c>
      <c r="HD28">
        <f>'Demand Stage 2'!HD27</f>
        <v>0</v>
      </c>
      <c r="HE28">
        <f>'Demand Stage 2'!HE27</f>
        <v>0</v>
      </c>
      <c r="HF28">
        <f>'Demand Stage 2'!HF27</f>
        <v>0</v>
      </c>
      <c r="HG28">
        <f>'Demand Stage 2'!HG27</f>
        <v>0</v>
      </c>
      <c r="HH28">
        <f>'Demand Stage 2'!HH27</f>
        <v>0</v>
      </c>
      <c r="HI28">
        <f>'Demand Stage 2'!HI27</f>
        <v>0</v>
      </c>
      <c r="HJ28">
        <f>'Demand Stage 2'!HJ27</f>
        <v>0</v>
      </c>
      <c r="HK28">
        <f>'Demand Stage 2'!HK27</f>
        <v>0</v>
      </c>
      <c r="HL28">
        <f>'Demand Stage 2'!HL27</f>
        <v>0</v>
      </c>
      <c r="HM28">
        <f>'Demand Stage 2'!HM27</f>
        <v>0</v>
      </c>
      <c r="HN28">
        <f>'Demand Stage 2'!HN27</f>
        <v>0</v>
      </c>
      <c r="HO28">
        <f>'Demand Stage 2'!HO27</f>
        <v>0</v>
      </c>
      <c r="HP28">
        <f>'Demand Stage 2'!HP27</f>
        <v>0</v>
      </c>
      <c r="HQ28">
        <f>'Demand Stage 2'!HQ27</f>
        <v>0</v>
      </c>
      <c r="HR28">
        <f>'Demand Stage 2'!HR27</f>
        <v>0</v>
      </c>
      <c r="HS28">
        <f>'Demand Stage 2'!HS27</f>
        <v>0</v>
      </c>
      <c r="HT28">
        <f>'Demand Stage 2'!HT27</f>
        <v>0</v>
      </c>
      <c r="HU28">
        <f>'Demand Stage 2'!HU27</f>
        <v>0</v>
      </c>
      <c r="HV28">
        <f>'Demand Stage 2'!HV27</f>
        <v>0</v>
      </c>
      <c r="HW28">
        <f>'Demand Stage 2'!HW27</f>
        <v>0</v>
      </c>
      <c r="HX28">
        <f>'Demand Stage 2'!HX27</f>
        <v>0</v>
      </c>
      <c r="HY28">
        <f>'Demand Stage 2'!HY27</f>
        <v>0</v>
      </c>
      <c r="HZ28">
        <f>'Demand Stage 2'!HZ27</f>
        <v>0</v>
      </c>
      <c r="IA28">
        <f>'Demand Stage 2'!IA27</f>
        <v>0</v>
      </c>
      <c r="IB28">
        <f>'Demand Stage 2'!IB27</f>
        <v>0</v>
      </c>
      <c r="IC28">
        <f>'Demand Stage 2'!IC27</f>
        <v>0</v>
      </c>
      <c r="ID28">
        <f>'Demand Stage 2'!ID27</f>
        <v>0</v>
      </c>
      <c r="IE28">
        <f>'Demand Stage 2'!IE27</f>
        <v>0</v>
      </c>
      <c r="IF28">
        <f>'Demand Stage 2'!IF27</f>
        <v>0</v>
      </c>
      <c r="IG28">
        <f>'Demand Stage 2'!IG27</f>
        <v>0</v>
      </c>
      <c r="IH28">
        <f>'Demand Stage 2'!IH27</f>
        <v>0</v>
      </c>
      <c r="II28">
        <f>'Demand Stage 2'!II27</f>
        <v>0</v>
      </c>
      <c r="IJ28">
        <f>'Demand Stage 2'!IJ27</f>
        <v>0</v>
      </c>
      <c r="IK28">
        <f>'Demand Stage 2'!IK27</f>
        <v>0</v>
      </c>
      <c r="IL28">
        <f>'Demand Stage 2'!IL27</f>
        <v>0</v>
      </c>
      <c r="IM28">
        <f>'Demand Stage 2'!IM27</f>
        <v>0</v>
      </c>
      <c r="IN28">
        <f>'Demand Stage 2'!IN27</f>
        <v>0</v>
      </c>
      <c r="IO28">
        <f>'Demand Stage 2'!IO27</f>
        <v>0</v>
      </c>
      <c r="IP28">
        <f>'Demand Stage 2'!IP27</f>
        <v>0</v>
      </c>
      <c r="IQ28">
        <f>'Demand Stage 2'!IQ27</f>
        <v>0</v>
      </c>
      <c r="IR28">
        <f>'Demand Stage 2'!IR27</f>
        <v>0</v>
      </c>
      <c r="IS28">
        <f>'Demand Stage 2'!IS27</f>
        <v>0</v>
      </c>
      <c r="IT28">
        <f>'Demand Stage 2'!IT27</f>
        <v>0</v>
      </c>
      <c r="IU28">
        <f>'Demand Stage 2'!IU27</f>
        <v>0</v>
      </c>
      <c r="IV28">
        <f>'Demand Stage 2'!IV27</f>
        <v>0</v>
      </c>
      <c r="IW28">
        <f>'Demand Stage 2'!IW27</f>
        <v>0</v>
      </c>
      <c r="IX28">
        <f>'Demand Stage 2'!IX27</f>
        <v>0</v>
      </c>
      <c r="IY28">
        <f>'Demand Stage 2'!IY27</f>
        <v>0</v>
      </c>
      <c r="IZ28">
        <f>'Demand Stage 2'!IZ27</f>
        <v>0</v>
      </c>
      <c r="JA28">
        <f>'Demand Stage 2'!JA27</f>
        <v>0</v>
      </c>
      <c r="JB28">
        <f>'Demand Stage 2'!JB27</f>
        <v>0</v>
      </c>
      <c r="JC28">
        <f>'Demand Stage 2'!JC27</f>
        <v>0</v>
      </c>
      <c r="JD28">
        <f>'Demand Stage 2'!JD27</f>
        <v>0</v>
      </c>
      <c r="JE28">
        <f>'Demand Stage 2'!JE27</f>
        <v>0</v>
      </c>
      <c r="JF28">
        <f>'Demand Stage 2'!JF27</f>
        <v>0</v>
      </c>
      <c r="JG28">
        <f>'Demand Stage 2'!JG27</f>
        <v>0</v>
      </c>
      <c r="JH28">
        <f>'Demand Stage 2'!JH27</f>
        <v>0</v>
      </c>
      <c r="JI28">
        <f>'Demand Stage 2'!JI27</f>
        <v>0</v>
      </c>
      <c r="JJ28">
        <f>'Demand Stage 2'!JJ27</f>
        <v>0</v>
      </c>
      <c r="JK28">
        <f>'Demand Stage 2'!JK27</f>
        <v>0</v>
      </c>
      <c r="JL28">
        <f>'Demand Stage 2'!JL27</f>
        <v>0</v>
      </c>
      <c r="JM28">
        <f>'Demand Stage 2'!JM27</f>
        <v>0</v>
      </c>
      <c r="JN28">
        <f>'Demand Stage 2'!JN27</f>
        <v>0</v>
      </c>
      <c r="JO28">
        <f>'Demand Stage 2'!JO27</f>
        <v>0</v>
      </c>
      <c r="JP28">
        <f>'Demand Stage 2'!JP27</f>
        <v>0</v>
      </c>
      <c r="JQ28">
        <f>'Demand Stage 2'!JQ27</f>
        <v>0</v>
      </c>
      <c r="JR28">
        <f>'Demand Stage 2'!JR27</f>
        <v>0</v>
      </c>
      <c r="JS28">
        <f>'Demand Stage 2'!JS27</f>
        <v>0</v>
      </c>
      <c r="JT28">
        <f>'Demand Stage 2'!JT27</f>
        <v>0</v>
      </c>
      <c r="JU28">
        <f>'Demand Stage 2'!JU27</f>
        <v>0</v>
      </c>
      <c r="JV28">
        <f>'Demand Stage 2'!JV27</f>
        <v>0</v>
      </c>
      <c r="JW28">
        <f>'Demand Stage 2'!JW27</f>
        <v>0</v>
      </c>
      <c r="JX28">
        <f>'Demand Stage 2'!JX27</f>
        <v>0</v>
      </c>
      <c r="JY28">
        <f>'Demand Stage 2'!JY27</f>
        <v>0</v>
      </c>
      <c r="JZ28">
        <f>'Demand Stage 2'!JZ27</f>
        <v>0</v>
      </c>
      <c r="KA28">
        <f>'Demand Stage 2'!KA27</f>
        <v>0</v>
      </c>
      <c r="KB28">
        <f>'Demand Stage 2'!KB27</f>
        <v>0</v>
      </c>
      <c r="KC28">
        <f>'Demand Stage 2'!KC27</f>
        <v>0</v>
      </c>
      <c r="KD28">
        <f>'Demand Stage 2'!KD27</f>
        <v>0</v>
      </c>
      <c r="KE28">
        <f>'Demand Stage 2'!KE27</f>
        <v>0</v>
      </c>
      <c r="KF28">
        <f>'Demand Stage 2'!KF27</f>
        <v>0</v>
      </c>
      <c r="KG28">
        <f>'Demand Stage 2'!KG27</f>
        <v>0</v>
      </c>
      <c r="KH28">
        <f>'Demand Stage 2'!KH27</f>
        <v>0</v>
      </c>
      <c r="KI28">
        <f>'Demand Stage 2'!KI27</f>
        <v>0</v>
      </c>
      <c r="KJ28">
        <f>'Demand Stage 2'!KJ27</f>
        <v>0</v>
      </c>
      <c r="KK28">
        <f>'Demand Stage 2'!KK27</f>
        <v>0</v>
      </c>
      <c r="KL28">
        <f>'Demand Stage 2'!KL27</f>
        <v>0</v>
      </c>
      <c r="KM28">
        <f>'Demand Stage 2'!KM27</f>
        <v>0</v>
      </c>
      <c r="KN28">
        <f>'Demand Stage 2'!KN27</f>
        <v>0</v>
      </c>
      <c r="KO28">
        <f>'Demand Stage 2'!KO27</f>
        <v>0</v>
      </c>
      <c r="KP28">
        <f>'Demand Stage 2'!KP27</f>
        <v>0</v>
      </c>
      <c r="KQ28">
        <f>'Demand Stage 2'!KQ27</f>
        <v>0</v>
      </c>
      <c r="KR28">
        <f>'Demand Stage 2'!KR27</f>
        <v>0</v>
      </c>
      <c r="KS28">
        <f>'Demand Stage 2'!KS27</f>
        <v>0</v>
      </c>
      <c r="KT28">
        <f>'Demand Stage 2'!KT27</f>
        <v>0</v>
      </c>
      <c r="KU28">
        <f>'Demand Stage 2'!KU27</f>
        <v>0</v>
      </c>
      <c r="KV28">
        <f>'Demand Stage 2'!KV27</f>
        <v>0</v>
      </c>
      <c r="KW28">
        <f>'Demand Stage 2'!KW27</f>
        <v>0</v>
      </c>
      <c r="KX28">
        <f>'Demand Stage 2'!KX27</f>
        <v>0</v>
      </c>
      <c r="KY28">
        <f>'Demand Stage 2'!KY27</f>
        <v>0</v>
      </c>
      <c r="KZ28">
        <f>'Demand Stage 2'!KZ27</f>
        <v>0</v>
      </c>
      <c r="LA28">
        <f>'Demand Stage 2'!LA27</f>
        <v>0</v>
      </c>
      <c r="LB28">
        <f>'Demand Stage 2'!LB27</f>
        <v>0</v>
      </c>
      <c r="LC28">
        <f>'Demand Stage 2'!LC27</f>
        <v>0</v>
      </c>
      <c r="LD28">
        <f>'Demand Stage 2'!LD27</f>
        <v>0</v>
      </c>
      <c r="LE28">
        <f>'Demand Stage 2'!LE27</f>
        <v>0</v>
      </c>
      <c r="LF28">
        <f>'Demand Stage 2'!LF27</f>
        <v>0</v>
      </c>
      <c r="LG28">
        <f>'Demand Stage 2'!LG27</f>
        <v>0</v>
      </c>
      <c r="LH28">
        <f>'Demand Stage 2'!LH27</f>
        <v>0</v>
      </c>
      <c r="LI28">
        <f>'Demand Stage 2'!LI27</f>
        <v>0</v>
      </c>
      <c r="LJ28">
        <f>'Demand Stage 2'!LJ27</f>
        <v>0</v>
      </c>
      <c r="LK28">
        <f>'Demand Stage 2'!LK27</f>
        <v>0</v>
      </c>
      <c r="LL28">
        <f>'Demand Stage 2'!LL27</f>
        <v>0</v>
      </c>
      <c r="LM28">
        <f>'Demand Stage 2'!LM27</f>
        <v>0</v>
      </c>
      <c r="LN28">
        <f>'Demand Stage 2'!LN27</f>
        <v>0</v>
      </c>
      <c r="LO28">
        <f>'Demand Stage 2'!LO27</f>
        <v>0</v>
      </c>
      <c r="LP28">
        <f>'Demand Stage 2'!LP27</f>
        <v>0</v>
      </c>
      <c r="LQ28">
        <f>'Demand Stage 2'!LQ27</f>
        <v>0</v>
      </c>
      <c r="LR28">
        <f>'Demand Stage 2'!LR27</f>
        <v>0</v>
      </c>
      <c r="LS28">
        <f>'Demand Stage 2'!LS27</f>
        <v>0</v>
      </c>
      <c r="LT28">
        <f>'Demand Stage 2'!LT27</f>
        <v>0</v>
      </c>
      <c r="LU28">
        <f>'Demand Stage 2'!LU27</f>
        <v>0</v>
      </c>
      <c r="LV28">
        <f>'Demand Stage 2'!LV27</f>
        <v>0</v>
      </c>
      <c r="LW28">
        <f>'Demand Stage 2'!LW27</f>
        <v>0</v>
      </c>
      <c r="LX28">
        <f>'Demand Stage 2'!LX27</f>
        <v>0</v>
      </c>
      <c r="LY28">
        <f>'Demand Stage 2'!LY27</f>
        <v>0</v>
      </c>
      <c r="LZ28">
        <f>'Demand Stage 2'!LZ27</f>
        <v>0</v>
      </c>
      <c r="MA28">
        <f>'Demand Stage 2'!MA27</f>
        <v>0</v>
      </c>
      <c r="MB28">
        <f>'Demand Stage 2'!MB27</f>
        <v>0</v>
      </c>
      <c r="MC28">
        <f>'Demand Stage 2'!MC27</f>
        <v>0</v>
      </c>
      <c r="MD28">
        <f>'Demand Stage 2'!MD27</f>
        <v>0</v>
      </c>
      <c r="ME28">
        <f>'Demand Stage 2'!ME27</f>
        <v>0</v>
      </c>
      <c r="MF28">
        <f>'Demand Stage 2'!MF27</f>
        <v>0</v>
      </c>
      <c r="MG28">
        <f>'Demand Stage 2'!MG27</f>
        <v>0</v>
      </c>
      <c r="MH28">
        <f>'Demand Stage 2'!MH27</f>
        <v>0</v>
      </c>
      <c r="MI28">
        <f>'Demand Stage 2'!MI27</f>
        <v>0</v>
      </c>
      <c r="MJ28">
        <f>'Demand Stage 2'!MJ27</f>
        <v>0</v>
      </c>
      <c r="MK28">
        <f>'Demand Stage 2'!MK27</f>
        <v>0</v>
      </c>
      <c r="ML28">
        <f>'Demand Stage 2'!ML27</f>
        <v>0</v>
      </c>
      <c r="MM28">
        <f>'Demand Stage 2'!MM27</f>
        <v>0</v>
      </c>
      <c r="MN28">
        <f>'Demand Stage 2'!MN27</f>
        <v>0</v>
      </c>
      <c r="MO28">
        <f>'Demand Stage 2'!MO27</f>
        <v>0</v>
      </c>
      <c r="MP28">
        <f>'Demand Stage 2'!MP27</f>
        <v>0</v>
      </c>
      <c r="MQ28">
        <f>'Demand Stage 2'!MQ27</f>
        <v>0</v>
      </c>
      <c r="MR28">
        <f>'Demand Stage 2'!MR27</f>
        <v>0</v>
      </c>
      <c r="MS28">
        <f>'Demand Stage 2'!MS27</f>
        <v>0</v>
      </c>
      <c r="MT28">
        <f>'Demand Stage 2'!MT27</f>
        <v>0</v>
      </c>
      <c r="MU28">
        <f>'Demand Stage 2'!MU27</f>
        <v>0</v>
      </c>
      <c r="MV28">
        <f>'Demand Stage 2'!MV27</f>
        <v>0</v>
      </c>
      <c r="MW28">
        <f>'Demand Stage 2'!MW27</f>
        <v>0</v>
      </c>
      <c r="MX28">
        <f>'Demand Stage 2'!MX27</f>
        <v>0</v>
      </c>
      <c r="MY28">
        <f>'Demand Stage 2'!MY27</f>
        <v>0</v>
      </c>
      <c r="MZ28">
        <f>'Demand Stage 2'!MZ27</f>
        <v>0</v>
      </c>
      <c r="NA28">
        <f>'Demand Stage 2'!NA27</f>
        <v>0</v>
      </c>
      <c r="NB28">
        <f>'Demand Stage 2'!NB27</f>
        <v>0</v>
      </c>
      <c r="NC28">
        <f>'Demand Stage 2'!NC27</f>
        <v>0</v>
      </c>
      <c r="ND28">
        <f>'Demand Stage 2'!ND27</f>
        <v>0</v>
      </c>
      <c r="NE28">
        <f>'Demand Stage 2'!NE27</f>
        <v>0</v>
      </c>
      <c r="NF28">
        <f>'Demand Stage 2'!NF27</f>
        <v>0</v>
      </c>
      <c r="NG28">
        <f>'Demand Stage 2'!NG27</f>
        <v>0</v>
      </c>
      <c r="NH28">
        <f>'Demand Stage 2'!NH27</f>
        <v>0</v>
      </c>
      <c r="NI28">
        <f>'Demand Stage 2'!NI27</f>
        <v>0</v>
      </c>
      <c r="NJ28">
        <f>'Demand Stage 2'!NJ27</f>
        <v>0</v>
      </c>
      <c r="NK28">
        <f>'Demand Stage 2'!NK27</f>
        <v>0</v>
      </c>
      <c r="NL28">
        <f>'Demand Stage 2'!NL27</f>
        <v>0</v>
      </c>
      <c r="NM28">
        <f>'Demand Stage 2'!NM27</f>
        <v>0</v>
      </c>
      <c r="NN28">
        <f>'Demand Stage 2'!NN27</f>
        <v>0</v>
      </c>
      <c r="NO28">
        <f>'Demand Stage 2'!NO27</f>
        <v>0</v>
      </c>
      <c r="NP28">
        <f>'Demand Stage 2'!NP27</f>
        <v>0</v>
      </c>
      <c r="NQ28">
        <f>'Demand Stage 2'!NQ27</f>
        <v>0</v>
      </c>
      <c r="NR28">
        <f>'Demand Stage 2'!NR27</f>
        <v>0</v>
      </c>
      <c r="NS28">
        <f>'Demand Stage 2'!NS27</f>
        <v>0</v>
      </c>
      <c r="NT28">
        <f>'Demand Stage 2'!NT27</f>
        <v>0</v>
      </c>
      <c r="NU28">
        <f>'Demand Stage 2'!NU27</f>
        <v>0</v>
      </c>
      <c r="NV28">
        <f>'Demand Stage 2'!NV27</f>
        <v>0</v>
      </c>
      <c r="NW28">
        <f>'Demand Stage 2'!NW27</f>
        <v>0</v>
      </c>
      <c r="NX28">
        <f>'Demand Stage 2'!NX27</f>
        <v>0</v>
      </c>
      <c r="NY28">
        <f>'Demand Stage 2'!NY27</f>
        <v>0</v>
      </c>
      <c r="NZ28">
        <f>'Demand Stage 2'!NZ27</f>
        <v>0</v>
      </c>
      <c r="OA28">
        <f>'Demand Stage 2'!OA27</f>
        <v>0</v>
      </c>
      <c r="OB28">
        <f>'Demand Stage 2'!OB27</f>
        <v>0</v>
      </c>
      <c r="OC28">
        <f>'Demand Stage 2'!OC27</f>
        <v>0</v>
      </c>
      <c r="OD28">
        <f>'Demand Stage 2'!OD27</f>
        <v>0</v>
      </c>
      <c r="OE28">
        <f>'Demand Stage 2'!OE27</f>
        <v>0</v>
      </c>
      <c r="OF28">
        <f>'Demand Stage 2'!OF27</f>
        <v>0</v>
      </c>
      <c r="OG28">
        <f>'Demand Stage 2'!OG27</f>
        <v>0</v>
      </c>
      <c r="OH28">
        <f>'Demand Stage 2'!OH27</f>
        <v>0</v>
      </c>
      <c r="OI28">
        <f>'Demand Stage 2'!OI27</f>
        <v>0</v>
      </c>
      <c r="OJ28">
        <f>'Demand Stage 2'!OJ27</f>
        <v>0</v>
      </c>
      <c r="OK28">
        <f>'Demand Stage 2'!OK27</f>
        <v>0</v>
      </c>
      <c r="OL28">
        <f>'Demand Stage 2'!OL27</f>
        <v>0</v>
      </c>
      <c r="OM28">
        <f>'Demand Stage 2'!OM27</f>
        <v>0</v>
      </c>
      <c r="ON28">
        <f>'Demand Stage 2'!ON27</f>
        <v>0</v>
      </c>
      <c r="OO28">
        <f>'Demand Stage 2'!OO27</f>
        <v>0</v>
      </c>
      <c r="OP28">
        <f>'Demand Stage 2'!OP27</f>
        <v>0</v>
      </c>
      <c r="OQ28">
        <f>'Demand Stage 2'!OQ27</f>
        <v>0</v>
      </c>
      <c r="OR28">
        <f>'Demand Stage 2'!OR27</f>
        <v>0</v>
      </c>
      <c r="OS28">
        <f>'Demand Stage 2'!OS27</f>
        <v>0</v>
      </c>
      <c r="OT28">
        <f>'Demand Stage 2'!OT27</f>
        <v>0</v>
      </c>
      <c r="OU28">
        <f>'Demand Stage 2'!OU27</f>
        <v>0</v>
      </c>
      <c r="OV28">
        <f>'Demand Stage 2'!OV27</f>
        <v>0</v>
      </c>
      <c r="OW28">
        <f>'Demand Stage 2'!OW27</f>
        <v>0</v>
      </c>
      <c r="OX28">
        <f>'Demand Stage 2'!OX27</f>
        <v>0</v>
      </c>
      <c r="OY28">
        <f>'Demand Stage 2'!OY27</f>
        <v>0</v>
      </c>
      <c r="OZ28">
        <f>'Demand Stage 2'!OZ27</f>
        <v>0</v>
      </c>
      <c r="PA28">
        <f>'Demand Stage 2'!PA27</f>
        <v>0</v>
      </c>
      <c r="PB28">
        <f>'Demand Stage 2'!PB27</f>
        <v>0</v>
      </c>
      <c r="PC28">
        <f>'Demand Stage 2'!PC27</f>
        <v>0</v>
      </c>
      <c r="PD28">
        <f>'Demand Stage 2'!PD27</f>
        <v>0</v>
      </c>
      <c r="PE28">
        <f>'Demand Stage 2'!PE27</f>
        <v>0</v>
      </c>
      <c r="PF28">
        <f>'Demand Stage 2'!PF27</f>
        <v>0</v>
      </c>
      <c r="PG28">
        <f>'Demand Stage 2'!PG27</f>
        <v>0</v>
      </c>
      <c r="PH28">
        <f>'Demand Stage 2'!PH27</f>
        <v>0</v>
      </c>
      <c r="PI28">
        <f>'Demand Stage 2'!PI27</f>
        <v>0</v>
      </c>
      <c r="PJ28">
        <f>'Demand Stage 2'!PJ27</f>
        <v>0</v>
      </c>
      <c r="PK28">
        <f>'Demand Stage 2'!PK27</f>
        <v>0</v>
      </c>
      <c r="PL28">
        <f>'Demand Stage 2'!PL27</f>
        <v>0</v>
      </c>
      <c r="PM28">
        <f>'Demand Stage 2'!PM27</f>
        <v>0</v>
      </c>
      <c r="PN28">
        <f>'Demand Stage 2'!PN27</f>
        <v>0</v>
      </c>
      <c r="PO28">
        <f>'Demand Stage 2'!PO27</f>
        <v>0</v>
      </c>
      <c r="PP28">
        <f>'Demand Stage 2'!PP27</f>
        <v>0</v>
      </c>
      <c r="PQ28">
        <f>'Demand Stage 2'!PQ27</f>
        <v>0</v>
      </c>
      <c r="PR28">
        <f>'Demand Stage 2'!PR27</f>
        <v>0</v>
      </c>
      <c r="PS28">
        <f>'Demand Stage 2'!PS27</f>
        <v>0</v>
      </c>
      <c r="PT28">
        <f>'Demand Stage 2'!PT27</f>
        <v>0</v>
      </c>
      <c r="PU28">
        <f>'Demand Stage 2'!PU27</f>
        <v>0</v>
      </c>
      <c r="PV28">
        <f>'Demand Stage 2'!PV27</f>
        <v>0</v>
      </c>
      <c r="PW28">
        <f>'Demand Stage 2'!PW27</f>
        <v>0</v>
      </c>
      <c r="PX28">
        <f>'Demand Stage 2'!PX27</f>
        <v>0</v>
      </c>
      <c r="PY28">
        <f>'Demand Stage 2'!PY27</f>
        <v>0</v>
      </c>
      <c r="PZ28">
        <f>'Demand Stage 2'!PZ27</f>
        <v>0</v>
      </c>
      <c r="QA28">
        <f>'Demand Stage 2'!QA27</f>
        <v>0</v>
      </c>
      <c r="QB28">
        <f>'Demand Stage 2'!QB27</f>
        <v>0</v>
      </c>
      <c r="QC28">
        <f>'Demand Stage 2'!QC27</f>
        <v>0</v>
      </c>
      <c r="QD28">
        <f>'Demand Stage 2'!QD27</f>
        <v>0</v>
      </c>
      <c r="QE28">
        <f>'Demand Stage 2'!QE27</f>
        <v>0</v>
      </c>
      <c r="QF28">
        <f>'Demand Stage 2'!QF27</f>
        <v>0</v>
      </c>
      <c r="QG28">
        <f>'Demand Stage 2'!QG27</f>
        <v>0</v>
      </c>
      <c r="QH28">
        <f>'Demand Stage 2'!QH27</f>
        <v>0</v>
      </c>
      <c r="QI28">
        <f>'Demand Stage 2'!QI27</f>
        <v>0</v>
      </c>
      <c r="QJ28">
        <f>'Demand Stage 2'!QJ27</f>
        <v>0</v>
      </c>
      <c r="QK28">
        <f>'Demand Stage 2'!QK27</f>
        <v>0</v>
      </c>
      <c r="QL28">
        <f>'Demand Stage 2'!QL27</f>
        <v>0</v>
      </c>
      <c r="QM28">
        <f>'Demand Stage 2'!QM27</f>
        <v>0</v>
      </c>
      <c r="QN28">
        <f>'Demand Stage 2'!QN27</f>
        <v>0</v>
      </c>
      <c r="QO28">
        <f>'Demand Stage 2'!QO27</f>
        <v>0</v>
      </c>
      <c r="QP28">
        <f>'Demand Stage 2'!QP27</f>
        <v>0</v>
      </c>
      <c r="QQ28">
        <f>'Demand Stage 2'!QQ27</f>
        <v>0</v>
      </c>
      <c r="QR28">
        <f>'Demand Stage 2'!QR27</f>
        <v>0</v>
      </c>
      <c r="QS28">
        <f>'Demand Stage 2'!QS27</f>
        <v>0</v>
      </c>
      <c r="QT28">
        <f>'Demand Stage 2'!QT27</f>
        <v>0</v>
      </c>
      <c r="QU28">
        <f>'Demand Stage 2'!QU27</f>
        <v>0</v>
      </c>
      <c r="QV28">
        <f>'Demand Stage 2'!QV27</f>
        <v>0</v>
      </c>
      <c r="QW28">
        <f>'Demand Stage 2'!QW27</f>
        <v>0</v>
      </c>
      <c r="QX28">
        <f>'Demand Stage 2'!QX27</f>
        <v>0</v>
      </c>
      <c r="QY28">
        <f>'Demand Stage 2'!QY27</f>
        <v>0</v>
      </c>
      <c r="QZ28">
        <f>'Demand Stage 2'!QZ27</f>
        <v>0</v>
      </c>
      <c r="RA28">
        <f>'Demand Stage 2'!RA27</f>
        <v>0</v>
      </c>
      <c r="RB28">
        <f>'Demand Stage 2'!RB27</f>
        <v>0</v>
      </c>
      <c r="RC28">
        <f>'Demand Stage 2'!RC27</f>
        <v>0</v>
      </c>
      <c r="RD28">
        <f>'Demand Stage 2'!RD27</f>
        <v>0</v>
      </c>
      <c r="RE28">
        <f>'Demand Stage 2'!RE27</f>
        <v>0</v>
      </c>
      <c r="RF28">
        <f>'Demand Stage 2'!RF27</f>
        <v>0</v>
      </c>
      <c r="RG28">
        <f>'Demand Stage 2'!RG27</f>
        <v>0</v>
      </c>
      <c r="RH28">
        <f>'Demand Stage 2'!RH27</f>
        <v>0</v>
      </c>
      <c r="RI28">
        <f>'Demand Stage 2'!RI27</f>
        <v>0</v>
      </c>
      <c r="RJ28">
        <f>'Demand Stage 2'!RJ27</f>
        <v>0</v>
      </c>
      <c r="RK28">
        <f>'Demand Stage 2'!RK27</f>
        <v>0</v>
      </c>
      <c r="RL28">
        <f>'Demand Stage 2'!RL27</f>
        <v>0</v>
      </c>
      <c r="RM28">
        <f>'Demand Stage 2'!RM27</f>
        <v>0</v>
      </c>
      <c r="RN28">
        <f>'Demand Stage 2'!RN27</f>
        <v>0</v>
      </c>
      <c r="RO28">
        <f>'Demand Stage 2'!RO27</f>
        <v>0</v>
      </c>
      <c r="RP28">
        <f>'Demand Stage 2'!RP27</f>
        <v>0</v>
      </c>
      <c r="RQ28">
        <f>'Demand Stage 2'!RQ27</f>
        <v>0</v>
      </c>
      <c r="RR28">
        <f>'Demand Stage 2'!RR27</f>
        <v>0</v>
      </c>
      <c r="RS28">
        <f>'Demand Stage 2'!RS27</f>
        <v>0</v>
      </c>
      <c r="RT28">
        <f>'Demand Stage 2'!RT27</f>
        <v>0</v>
      </c>
      <c r="RU28">
        <f>'Demand Stage 2'!RU27</f>
        <v>0</v>
      </c>
      <c r="RV28">
        <f>'Demand Stage 2'!RV27</f>
        <v>0</v>
      </c>
      <c r="RW28">
        <f>'Demand Stage 2'!RW27</f>
        <v>0</v>
      </c>
      <c r="RX28">
        <f>'Demand Stage 2'!RX27</f>
        <v>0</v>
      </c>
      <c r="RY28">
        <f>'Demand Stage 2'!RY27</f>
        <v>0</v>
      </c>
      <c r="RZ28">
        <f>'Demand Stage 2'!RZ27</f>
        <v>0</v>
      </c>
      <c r="SA28">
        <f>'Demand Stage 2'!SA27</f>
        <v>0</v>
      </c>
      <c r="SB28">
        <f>'Demand Stage 2'!SB27</f>
        <v>0</v>
      </c>
      <c r="SC28">
        <f>'Demand Stage 2'!SC27</f>
        <v>0</v>
      </c>
      <c r="SD28">
        <f>'Demand Stage 2'!SD27</f>
        <v>0</v>
      </c>
      <c r="SE28">
        <f>'Demand Stage 2'!SE27</f>
        <v>0</v>
      </c>
      <c r="SF28">
        <f>'Demand Stage 2'!SF27</f>
        <v>0</v>
      </c>
      <c r="SG28">
        <f>'Demand Stage 2'!SG27</f>
        <v>0</v>
      </c>
      <c r="SH28">
        <f>'Demand Stage 2'!SH27</f>
        <v>0</v>
      </c>
      <c r="SI28">
        <f>'Demand Stage 2'!SI27</f>
        <v>0</v>
      </c>
      <c r="SJ28">
        <f>'Demand Stage 2'!SJ27</f>
        <v>0</v>
      </c>
      <c r="SK28">
        <f>'Demand Stage 2'!SK27</f>
        <v>0</v>
      </c>
      <c r="SL28">
        <f>'Demand Stage 2'!SL27</f>
        <v>0</v>
      </c>
      <c r="SM28">
        <f>'Demand Stage 2'!SM27</f>
        <v>0</v>
      </c>
      <c r="SN28">
        <f>'Demand Stage 2'!SN27</f>
        <v>0</v>
      </c>
      <c r="SO28">
        <f>'Demand Stage 2'!SO27</f>
        <v>0</v>
      </c>
      <c r="SP28">
        <f>'Demand Stage 2'!SP27</f>
        <v>0</v>
      </c>
      <c r="SQ28">
        <f>'Demand Stage 2'!SQ27</f>
        <v>0</v>
      </c>
      <c r="SR28">
        <f>'Demand Stage 2'!SR27</f>
        <v>0</v>
      </c>
      <c r="SS28">
        <f>'Demand Stage 2'!SS27</f>
        <v>0</v>
      </c>
      <c r="ST28">
        <f>'Demand Stage 2'!ST27</f>
        <v>0</v>
      </c>
      <c r="SU28">
        <f>'Demand Stage 2'!SU27</f>
        <v>0</v>
      </c>
      <c r="SV28">
        <f>'Demand Stage 2'!SV27</f>
        <v>0</v>
      </c>
      <c r="SW28">
        <f>'Demand Stage 2'!SW27</f>
        <v>0</v>
      </c>
      <c r="SX28">
        <f>'Demand Stage 2'!SX27</f>
        <v>0</v>
      </c>
      <c r="SY28">
        <f>'Demand Stage 2'!SY27</f>
        <v>0</v>
      </c>
      <c r="SZ28">
        <f>'Demand Stage 2'!SZ27</f>
        <v>0</v>
      </c>
      <c r="TA28">
        <f>'Demand Stage 2'!TA27</f>
        <v>0</v>
      </c>
      <c r="TB28">
        <f>'Demand Stage 2'!TB27</f>
        <v>0</v>
      </c>
      <c r="TC28">
        <f>'Demand Stage 2'!TC27</f>
        <v>0</v>
      </c>
      <c r="TD28">
        <f>'Demand Stage 2'!TD27</f>
        <v>0</v>
      </c>
      <c r="TE28">
        <f>'Demand Stage 2'!TE27</f>
        <v>0</v>
      </c>
      <c r="TF28">
        <f>'Demand Stage 2'!TF27</f>
        <v>0</v>
      </c>
      <c r="TG28">
        <f>'Demand Stage 2'!TG27</f>
        <v>0</v>
      </c>
      <c r="TH28">
        <f>'Demand Stage 2'!TH27</f>
        <v>0</v>
      </c>
      <c r="TI28">
        <f>'Demand Stage 2'!TI27</f>
        <v>0</v>
      </c>
      <c r="TJ28">
        <f>'Demand Stage 2'!TJ27</f>
        <v>0</v>
      </c>
      <c r="TK28">
        <f>'Demand Stage 2'!TK27</f>
        <v>0</v>
      </c>
      <c r="TL28">
        <f>'Demand Stage 2'!TL27</f>
        <v>0</v>
      </c>
      <c r="TM28">
        <f>'Demand Stage 2'!TM27</f>
        <v>0</v>
      </c>
      <c r="TN28">
        <f>'Demand Stage 2'!TN27</f>
        <v>0</v>
      </c>
      <c r="TO28">
        <f>'Demand Stage 2'!TO27</f>
        <v>0</v>
      </c>
      <c r="TP28">
        <f>'Demand Stage 2'!TP27</f>
        <v>0</v>
      </c>
      <c r="TQ28">
        <f>'Demand Stage 2'!TQ27</f>
        <v>0</v>
      </c>
      <c r="TR28">
        <f>'Demand Stage 2'!TR27</f>
        <v>0</v>
      </c>
      <c r="TS28">
        <f>'Demand Stage 2'!TS27</f>
        <v>0</v>
      </c>
      <c r="TT28">
        <f>'Demand Stage 2'!TT27</f>
        <v>0</v>
      </c>
      <c r="TU28">
        <f>'Demand Stage 2'!TU27</f>
        <v>0</v>
      </c>
      <c r="TV28">
        <f>'Demand Stage 2'!TV27</f>
        <v>0</v>
      </c>
      <c r="TW28">
        <f>'Demand Stage 2'!TW27</f>
        <v>0</v>
      </c>
      <c r="TX28">
        <f>'Demand Stage 2'!TX27</f>
        <v>0</v>
      </c>
      <c r="TY28">
        <f>'Demand Stage 2'!TY27</f>
        <v>0</v>
      </c>
      <c r="TZ28">
        <f>'Demand Stage 2'!TZ27</f>
        <v>0</v>
      </c>
      <c r="UA28">
        <f>'Demand Stage 2'!UA27</f>
        <v>0</v>
      </c>
      <c r="UB28">
        <f>'Demand Stage 2'!UB27</f>
        <v>0</v>
      </c>
      <c r="UC28">
        <f>'Demand Stage 2'!UC27</f>
        <v>0</v>
      </c>
      <c r="UD28">
        <f>'Demand Stage 2'!UD27</f>
        <v>0</v>
      </c>
      <c r="UE28">
        <f>'Demand Stage 2'!UE27</f>
        <v>0</v>
      </c>
      <c r="UF28">
        <f>'Demand Stage 2'!UF27</f>
        <v>0</v>
      </c>
      <c r="UG28">
        <f>'Demand Stage 2'!UG27</f>
        <v>0</v>
      </c>
      <c r="UH28">
        <f>'Demand Stage 2'!UH27</f>
        <v>0</v>
      </c>
      <c r="UI28">
        <f>'Demand Stage 2'!UI27</f>
        <v>0</v>
      </c>
      <c r="UJ28">
        <f>'Demand Stage 2'!UJ27</f>
        <v>0</v>
      </c>
      <c r="UK28">
        <f>'Demand Stage 2'!UK27</f>
        <v>0</v>
      </c>
      <c r="UL28">
        <f>'Demand Stage 2'!UL27</f>
        <v>0</v>
      </c>
      <c r="UM28">
        <f>'Demand Stage 2'!UM27</f>
        <v>0</v>
      </c>
      <c r="UN28">
        <f>'Demand Stage 2'!UN27</f>
        <v>0</v>
      </c>
      <c r="UO28">
        <f>'Demand Stage 2'!UO27</f>
        <v>0</v>
      </c>
      <c r="UP28">
        <f>'Demand Stage 2'!UP27</f>
        <v>0</v>
      </c>
      <c r="UQ28">
        <f>'Demand Stage 2'!UQ27</f>
        <v>0</v>
      </c>
      <c r="UR28">
        <f>'Demand Stage 2'!UR27</f>
        <v>0</v>
      </c>
      <c r="US28">
        <f>'Demand Stage 2'!US27</f>
        <v>0</v>
      </c>
      <c r="UT28">
        <f>'Demand Stage 2'!UT27</f>
        <v>0</v>
      </c>
      <c r="UU28">
        <f>'Demand Stage 2'!UU27</f>
        <v>0</v>
      </c>
      <c r="UV28">
        <f>'Demand Stage 2'!UV27</f>
        <v>0</v>
      </c>
      <c r="UW28">
        <f>'Demand Stage 2'!UW27</f>
        <v>0</v>
      </c>
      <c r="UX28">
        <f>'Demand Stage 2'!UX27</f>
        <v>0</v>
      </c>
      <c r="UY28">
        <f>'Demand Stage 2'!UY27</f>
        <v>0</v>
      </c>
      <c r="UZ28">
        <f>'Demand Stage 2'!UZ27</f>
        <v>0</v>
      </c>
      <c r="VA28">
        <f>'Demand Stage 2'!VA27</f>
        <v>0</v>
      </c>
      <c r="VB28">
        <f>'Demand Stage 2'!VB27</f>
        <v>0</v>
      </c>
      <c r="VC28">
        <f>'Demand Stage 2'!VC27</f>
        <v>0</v>
      </c>
      <c r="VD28">
        <f>'Demand Stage 2'!VD27</f>
        <v>0</v>
      </c>
      <c r="VE28">
        <f>'Demand Stage 2'!VE27</f>
        <v>0</v>
      </c>
      <c r="VF28">
        <f>'Demand Stage 2'!VF27</f>
        <v>0</v>
      </c>
      <c r="VG28">
        <f>'Demand Stage 2'!VG27</f>
        <v>0</v>
      </c>
      <c r="VH28">
        <f>'Demand Stage 2'!VH27</f>
        <v>0</v>
      </c>
      <c r="VI28">
        <f>'Demand Stage 2'!VI27</f>
        <v>0</v>
      </c>
      <c r="VJ28">
        <f>'Demand Stage 2'!VJ27</f>
        <v>0</v>
      </c>
      <c r="VK28">
        <f>'Demand Stage 2'!VK27</f>
        <v>0</v>
      </c>
      <c r="VL28">
        <f>'Demand Stage 2'!VL27</f>
        <v>0</v>
      </c>
      <c r="VM28">
        <f>'Demand Stage 2'!VM27</f>
        <v>0</v>
      </c>
      <c r="VN28">
        <f>'Demand Stage 2'!VN27</f>
        <v>0</v>
      </c>
      <c r="VO28">
        <f>'Demand Stage 2'!VO27</f>
        <v>0</v>
      </c>
      <c r="VP28">
        <f>'Demand Stage 2'!VP27</f>
        <v>0</v>
      </c>
      <c r="VQ28">
        <f>'Demand Stage 2'!VQ27</f>
        <v>0</v>
      </c>
      <c r="VR28">
        <f>'Demand Stage 2'!VR27</f>
        <v>0</v>
      </c>
      <c r="VS28">
        <f>'Demand Stage 2'!VS27</f>
        <v>0</v>
      </c>
      <c r="VT28">
        <f>'Demand Stage 2'!VT27</f>
        <v>0</v>
      </c>
      <c r="VU28">
        <f>'Demand Stage 2'!VU27</f>
        <v>0</v>
      </c>
      <c r="VV28">
        <f>'Demand Stage 2'!VV27</f>
        <v>0</v>
      </c>
      <c r="VW28">
        <f>'Demand Stage 2'!VW27</f>
        <v>0</v>
      </c>
      <c r="VX28">
        <f>'Demand Stage 2'!VX27</f>
        <v>0</v>
      </c>
      <c r="VY28">
        <f>'Demand Stage 2'!VY27</f>
        <v>0</v>
      </c>
      <c r="VZ28">
        <f>'Demand Stage 2'!VZ27</f>
        <v>0</v>
      </c>
      <c r="WA28">
        <f>'Demand Stage 2'!WA27</f>
        <v>0</v>
      </c>
      <c r="WB28">
        <f>'Demand Stage 2'!WB27</f>
        <v>0</v>
      </c>
      <c r="WC28">
        <f>'Demand Stage 2'!WC27</f>
        <v>0</v>
      </c>
      <c r="WD28">
        <f>'Demand Stage 2'!WD27</f>
        <v>0</v>
      </c>
      <c r="WE28">
        <f>'Demand Stage 2'!WE27</f>
        <v>0</v>
      </c>
      <c r="WF28">
        <f>'Demand Stage 2'!WF27</f>
        <v>0</v>
      </c>
      <c r="WG28">
        <f>'Demand Stage 2'!WG27</f>
        <v>0</v>
      </c>
      <c r="WH28">
        <f>'Demand Stage 2'!WH27</f>
        <v>0</v>
      </c>
      <c r="WI28">
        <f>'Demand Stage 2'!WI27</f>
        <v>0</v>
      </c>
      <c r="WJ28">
        <f>'Demand Stage 2'!WJ27</f>
        <v>0</v>
      </c>
      <c r="WK28">
        <f>'Demand Stage 2'!WK27</f>
        <v>0</v>
      </c>
      <c r="WL28">
        <f>'Demand Stage 2'!WL27</f>
        <v>0</v>
      </c>
      <c r="WM28">
        <f>'Demand Stage 2'!WM27</f>
        <v>0</v>
      </c>
      <c r="WN28">
        <f>'Demand Stage 2'!WN27</f>
        <v>0</v>
      </c>
      <c r="WO28">
        <f>'Demand Stage 2'!WO27</f>
        <v>0</v>
      </c>
      <c r="WP28">
        <f>'Demand Stage 2'!WP27</f>
        <v>0</v>
      </c>
      <c r="WQ28">
        <f>'Demand Stage 2'!WQ27</f>
        <v>0</v>
      </c>
      <c r="WR28">
        <f>'Demand Stage 2'!WR27</f>
        <v>0</v>
      </c>
      <c r="WS28">
        <f>'Demand Stage 2'!WS27</f>
        <v>0</v>
      </c>
      <c r="WT28">
        <f>'Demand Stage 2'!WT27</f>
        <v>0</v>
      </c>
      <c r="WU28">
        <f>'Demand Stage 2'!WU27</f>
        <v>0</v>
      </c>
      <c r="WV28">
        <f>'Demand Stage 2'!WV27</f>
        <v>0</v>
      </c>
      <c r="WW28">
        <f>'Demand Stage 2'!WW27</f>
        <v>0</v>
      </c>
      <c r="WX28">
        <f>'Demand Stage 2'!WX27</f>
        <v>0</v>
      </c>
      <c r="WY28">
        <f>'Demand Stage 2'!WY27</f>
        <v>0</v>
      </c>
      <c r="WZ28">
        <f>'Demand Stage 2'!WZ27</f>
        <v>0</v>
      </c>
      <c r="XA28">
        <f>'Demand Stage 2'!XA27</f>
        <v>0</v>
      </c>
      <c r="XB28">
        <f>'Demand Stage 2'!XB27</f>
        <v>0</v>
      </c>
      <c r="XC28">
        <f>'Demand Stage 2'!XC27</f>
        <v>0</v>
      </c>
      <c r="XD28">
        <f>'Demand Stage 2'!XD27</f>
        <v>0</v>
      </c>
      <c r="XE28">
        <f>'Demand Stage 2'!XE27</f>
        <v>0</v>
      </c>
      <c r="XF28">
        <f>'Demand Stage 2'!XF27</f>
        <v>0</v>
      </c>
      <c r="XG28">
        <f>'Demand Stage 2'!XG27</f>
        <v>0</v>
      </c>
      <c r="XH28">
        <f>'Demand Stage 2'!XH27</f>
        <v>0</v>
      </c>
      <c r="XI28">
        <f>'Demand Stage 2'!XI27</f>
        <v>0</v>
      </c>
      <c r="XJ28">
        <f>'Demand Stage 2'!XJ27</f>
        <v>0</v>
      </c>
      <c r="XK28">
        <f>'Demand Stage 2'!XK27</f>
        <v>0</v>
      </c>
      <c r="XL28">
        <f>'Demand Stage 2'!XL27</f>
        <v>0</v>
      </c>
      <c r="XM28">
        <f>'Demand Stage 2'!XM27</f>
        <v>0</v>
      </c>
      <c r="XN28">
        <f>'Demand Stage 2'!XN27</f>
        <v>0</v>
      </c>
      <c r="XO28">
        <f>'Demand Stage 2'!XO27</f>
        <v>0</v>
      </c>
      <c r="XP28">
        <f>'Demand Stage 2'!XP27</f>
        <v>0</v>
      </c>
      <c r="XQ28">
        <f>'Demand Stage 2'!XQ27</f>
        <v>0</v>
      </c>
      <c r="XR28">
        <f>'Demand Stage 2'!XR27</f>
        <v>0</v>
      </c>
      <c r="XS28">
        <f>'Demand Stage 2'!XS27</f>
        <v>0</v>
      </c>
      <c r="XT28">
        <f>'Demand Stage 2'!XT27</f>
        <v>0</v>
      </c>
      <c r="XU28">
        <f>'Demand Stage 2'!XU27</f>
        <v>0</v>
      </c>
      <c r="XV28">
        <f>'Demand Stage 2'!XV27</f>
        <v>0</v>
      </c>
      <c r="XW28">
        <f>'Demand Stage 2'!XW27</f>
        <v>0</v>
      </c>
      <c r="XX28">
        <f>'Demand Stage 2'!XX27</f>
        <v>0</v>
      </c>
      <c r="XY28">
        <f>'Demand Stage 2'!XY27</f>
        <v>0</v>
      </c>
      <c r="XZ28">
        <f>'Demand Stage 2'!XZ27</f>
        <v>0</v>
      </c>
      <c r="YA28">
        <f>'Demand Stage 2'!YA27</f>
        <v>0</v>
      </c>
      <c r="YB28">
        <f>'Demand Stage 2'!YB27</f>
        <v>0</v>
      </c>
      <c r="YC28">
        <f>'Demand Stage 2'!YC27</f>
        <v>0</v>
      </c>
      <c r="YD28">
        <f>'Demand Stage 2'!YD27</f>
        <v>0</v>
      </c>
      <c r="YE28">
        <f>'Demand Stage 2'!YE27</f>
        <v>0</v>
      </c>
      <c r="YF28">
        <f>'Demand Stage 2'!YF27</f>
        <v>0</v>
      </c>
      <c r="YG28">
        <f>'Demand Stage 2'!YG27</f>
        <v>0</v>
      </c>
      <c r="YH28">
        <f>'Demand Stage 2'!YH27</f>
        <v>0</v>
      </c>
      <c r="YI28">
        <f>'Demand Stage 2'!YI27</f>
        <v>0</v>
      </c>
      <c r="YJ28">
        <f>'Demand Stage 2'!YJ27</f>
        <v>0</v>
      </c>
      <c r="YK28">
        <f>'Demand Stage 2'!YK27</f>
        <v>0</v>
      </c>
      <c r="YL28">
        <f>'Demand Stage 2'!YL27</f>
        <v>0</v>
      </c>
      <c r="YM28">
        <f>'Demand Stage 2'!YM27</f>
        <v>0</v>
      </c>
      <c r="YN28">
        <f>'Demand Stage 2'!YN27</f>
        <v>0</v>
      </c>
      <c r="YO28">
        <f>'Demand Stage 2'!YO27</f>
        <v>0</v>
      </c>
      <c r="YP28">
        <f>'Demand Stage 2'!YP27</f>
        <v>0</v>
      </c>
      <c r="YQ28">
        <f>'Demand Stage 2'!YQ27</f>
        <v>0</v>
      </c>
      <c r="YR28">
        <f>'Demand Stage 2'!YR27</f>
        <v>0</v>
      </c>
      <c r="YS28">
        <f>'Demand Stage 2'!YS27</f>
        <v>0</v>
      </c>
      <c r="YT28">
        <f>'Demand Stage 2'!YT27</f>
        <v>0</v>
      </c>
      <c r="YU28">
        <f>'Demand Stage 2'!YU27</f>
        <v>0</v>
      </c>
      <c r="YV28">
        <f>'Demand Stage 2'!YV27</f>
        <v>0</v>
      </c>
      <c r="YW28">
        <f>'Demand Stage 2'!YW27</f>
        <v>0</v>
      </c>
      <c r="YX28">
        <f>'Demand Stage 2'!YX27</f>
        <v>0</v>
      </c>
      <c r="YY28">
        <f>'Demand Stage 2'!YY27</f>
        <v>0</v>
      </c>
      <c r="YZ28">
        <f>'Demand Stage 2'!YZ27</f>
        <v>0</v>
      </c>
      <c r="ZA28">
        <f>'Demand Stage 2'!ZA27</f>
        <v>0</v>
      </c>
      <c r="ZB28">
        <f>'Demand Stage 2'!ZB27</f>
        <v>0</v>
      </c>
      <c r="ZC28">
        <f>'Demand Stage 2'!ZC27</f>
        <v>0</v>
      </c>
      <c r="ZD28">
        <f>'Demand Stage 2'!ZD27</f>
        <v>0</v>
      </c>
      <c r="ZE28">
        <f>'Demand Stage 2'!ZE27</f>
        <v>0</v>
      </c>
      <c r="ZF28">
        <f>'Demand Stage 2'!ZF27</f>
        <v>0</v>
      </c>
      <c r="ZG28">
        <f>'Demand Stage 2'!ZG27</f>
        <v>0</v>
      </c>
      <c r="ZH28">
        <f>'Demand Stage 2'!ZH27</f>
        <v>0</v>
      </c>
      <c r="ZI28">
        <f>'Demand Stage 2'!ZI27</f>
        <v>0</v>
      </c>
      <c r="ZJ28">
        <f>'Demand Stage 2'!ZJ27</f>
        <v>0</v>
      </c>
      <c r="ZK28">
        <f>'Demand Stage 2'!ZK27</f>
        <v>0</v>
      </c>
      <c r="ZL28">
        <f>'Demand Stage 2'!ZL27</f>
        <v>0</v>
      </c>
      <c r="ZM28">
        <f>'Demand Stage 2'!ZM27</f>
        <v>0</v>
      </c>
      <c r="ZN28">
        <f>'Demand Stage 2'!ZN27</f>
        <v>0</v>
      </c>
      <c r="ZO28">
        <f>'Demand Stage 2'!ZO27</f>
        <v>0</v>
      </c>
      <c r="ZP28">
        <f>'Demand Stage 2'!ZP27</f>
        <v>0</v>
      </c>
      <c r="ZQ28">
        <f>'Demand Stage 2'!ZQ27</f>
        <v>0</v>
      </c>
      <c r="ZR28">
        <f>'Demand Stage 2'!ZR27</f>
        <v>0</v>
      </c>
      <c r="ZS28">
        <f>'Demand Stage 2'!ZS27</f>
        <v>0</v>
      </c>
      <c r="ZT28">
        <f>'Demand Stage 2'!ZT27</f>
        <v>0</v>
      </c>
      <c r="ZU28">
        <f>'Demand Stage 2'!ZU27</f>
        <v>0</v>
      </c>
      <c r="ZV28">
        <f>'Demand Stage 2'!ZV27</f>
        <v>0</v>
      </c>
      <c r="ZW28">
        <f>'Demand Stage 2'!ZW27</f>
        <v>0</v>
      </c>
      <c r="ZX28">
        <f>'Demand Stage 2'!ZX27</f>
        <v>0</v>
      </c>
      <c r="ZY28">
        <f>'Demand Stage 2'!ZY27</f>
        <v>0</v>
      </c>
      <c r="ZZ28">
        <f>'Demand Stage 2'!ZZ27</f>
        <v>0</v>
      </c>
      <c r="AAA28">
        <f>'Demand Stage 2'!AAA27</f>
        <v>0</v>
      </c>
      <c r="AAB28">
        <f>'Demand Stage 2'!AAB27</f>
        <v>0</v>
      </c>
      <c r="AAC28">
        <f>'Demand Stage 2'!AAC27</f>
        <v>0</v>
      </c>
      <c r="AAD28">
        <f t="shared" si="33"/>
        <v>0</v>
      </c>
      <c r="AAE28">
        <f t="shared" si="66"/>
        <v>0</v>
      </c>
      <c r="AAF28">
        <f t="shared" si="67"/>
        <v>0</v>
      </c>
      <c r="AAG28">
        <f t="shared" si="68"/>
        <v>0</v>
      </c>
      <c r="AAH28">
        <f t="shared" si="69"/>
        <v>0</v>
      </c>
      <c r="AAI28">
        <f t="shared" si="70"/>
        <v>0</v>
      </c>
      <c r="AAJ28">
        <f t="shared" si="71"/>
        <v>0</v>
      </c>
      <c r="AAK28">
        <f t="shared" si="72"/>
        <v>0</v>
      </c>
      <c r="AAL28">
        <f t="shared" si="73"/>
        <v>0</v>
      </c>
      <c r="AAM28">
        <f t="shared" si="74"/>
        <v>0</v>
      </c>
      <c r="AAN28">
        <f t="shared" si="75"/>
        <v>0</v>
      </c>
      <c r="AAO28">
        <f t="shared" si="76"/>
        <v>0</v>
      </c>
      <c r="AAP28">
        <f t="shared" si="77"/>
        <v>0</v>
      </c>
      <c r="AAQ28">
        <f t="shared" si="78"/>
        <v>0</v>
      </c>
      <c r="AAR28">
        <f t="shared" si="79"/>
        <v>0</v>
      </c>
      <c r="AAS28">
        <f t="shared" si="80"/>
        <v>0</v>
      </c>
      <c r="AAT28">
        <f t="shared" si="81"/>
        <v>0</v>
      </c>
      <c r="AAU28">
        <f t="shared" si="82"/>
        <v>0</v>
      </c>
      <c r="AAV28">
        <f t="shared" si="83"/>
        <v>0</v>
      </c>
      <c r="AAW28">
        <f t="shared" si="84"/>
        <v>0</v>
      </c>
      <c r="AAX28">
        <f t="shared" si="85"/>
        <v>0</v>
      </c>
      <c r="AAY28">
        <f t="shared" si="86"/>
        <v>0</v>
      </c>
      <c r="AAZ28">
        <f t="shared" si="87"/>
        <v>0</v>
      </c>
      <c r="ABA28">
        <f t="shared" si="88"/>
        <v>0</v>
      </c>
      <c r="ABB28">
        <f t="shared" si="89"/>
        <v>0</v>
      </c>
      <c r="ABC28">
        <f t="shared" si="90"/>
        <v>0</v>
      </c>
      <c r="ABD28">
        <f t="shared" si="91"/>
        <v>0</v>
      </c>
      <c r="ABE28">
        <f t="shared" si="92"/>
        <v>0</v>
      </c>
      <c r="ABF28">
        <f t="shared" si="93"/>
        <v>0</v>
      </c>
      <c r="ABG28">
        <f t="shared" si="94"/>
        <v>0</v>
      </c>
      <c r="ABH28">
        <f t="shared" si="95"/>
        <v>0</v>
      </c>
      <c r="ABI28">
        <f t="shared" si="96"/>
        <v>0</v>
      </c>
      <c r="ABJ28">
        <f t="shared" si="97"/>
        <v>0</v>
      </c>
      <c r="ABK28">
        <f t="shared" si="98"/>
        <v>0</v>
      </c>
      <c r="ABL28">
        <f t="shared" si="99"/>
        <v>0</v>
      </c>
      <c r="ABM28">
        <f t="shared" si="100"/>
        <v>0</v>
      </c>
      <c r="ABN28">
        <f t="shared" si="101"/>
        <v>0</v>
      </c>
      <c r="ABO28">
        <f t="shared" si="102"/>
        <v>0</v>
      </c>
      <c r="ABP28">
        <f t="shared" si="103"/>
        <v>0</v>
      </c>
      <c r="ABQ28">
        <f t="shared" si="104"/>
        <v>0</v>
      </c>
      <c r="ABR28">
        <f t="shared" si="105"/>
        <v>0</v>
      </c>
      <c r="ABS28">
        <f t="shared" si="106"/>
        <v>0</v>
      </c>
      <c r="ABT28">
        <f t="shared" si="107"/>
        <v>0</v>
      </c>
      <c r="ABU28">
        <f t="shared" si="108"/>
        <v>0</v>
      </c>
      <c r="ABV28">
        <f t="shared" si="109"/>
        <v>0</v>
      </c>
      <c r="ABW28">
        <f t="shared" si="110"/>
        <v>0</v>
      </c>
      <c r="ABX28">
        <f t="shared" si="111"/>
        <v>0</v>
      </c>
      <c r="ABY28">
        <f t="shared" si="112"/>
        <v>0</v>
      </c>
      <c r="ABZ28">
        <f t="shared" si="113"/>
        <v>0</v>
      </c>
      <c r="ACA28">
        <f t="shared" si="114"/>
        <v>0</v>
      </c>
      <c r="ACB28">
        <f t="shared" si="115"/>
        <v>0</v>
      </c>
      <c r="ACC28">
        <f t="shared" si="116"/>
        <v>0</v>
      </c>
      <c r="ACD28">
        <f t="shared" si="117"/>
        <v>0</v>
      </c>
      <c r="ACE28">
        <f t="shared" si="118"/>
        <v>0</v>
      </c>
      <c r="ACF28">
        <f t="shared" si="119"/>
        <v>0</v>
      </c>
      <c r="ACG28">
        <f t="shared" si="120"/>
        <v>0</v>
      </c>
      <c r="ACH28">
        <f t="shared" si="121"/>
        <v>0</v>
      </c>
      <c r="ACI28">
        <f t="shared" si="122"/>
        <v>0</v>
      </c>
      <c r="ACJ28">
        <f t="shared" si="123"/>
        <v>0</v>
      </c>
      <c r="ACK28">
        <f t="shared" si="124"/>
        <v>0</v>
      </c>
      <c r="ACL28">
        <f t="shared" si="125"/>
        <v>0</v>
      </c>
      <c r="ACM28">
        <f t="shared" si="126"/>
        <v>0</v>
      </c>
      <c r="ACN28">
        <f t="shared" si="127"/>
        <v>0</v>
      </c>
      <c r="ACO28">
        <f t="shared" si="128"/>
        <v>0</v>
      </c>
      <c r="ACP28">
        <f t="shared" si="34"/>
        <v>0</v>
      </c>
      <c r="ACQ28">
        <f t="shared" si="129"/>
        <v>0</v>
      </c>
      <c r="ACR28">
        <f t="shared" si="130"/>
        <v>0</v>
      </c>
      <c r="ACS28">
        <f t="shared" si="131"/>
        <v>0</v>
      </c>
      <c r="ACT28">
        <f t="shared" si="132"/>
        <v>0</v>
      </c>
      <c r="ACU28">
        <f t="shared" si="133"/>
        <v>0</v>
      </c>
      <c r="ACV28">
        <f t="shared" si="134"/>
        <v>0</v>
      </c>
      <c r="ACW28">
        <f t="shared" si="135"/>
        <v>0</v>
      </c>
      <c r="ACX28">
        <f t="shared" si="136"/>
        <v>0</v>
      </c>
      <c r="ACY28">
        <f t="shared" si="137"/>
        <v>0</v>
      </c>
      <c r="ACZ28">
        <f t="shared" si="138"/>
        <v>0</v>
      </c>
      <c r="ADA28">
        <f t="shared" si="139"/>
        <v>0</v>
      </c>
      <c r="ADB28">
        <f t="shared" si="140"/>
        <v>0</v>
      </c>
      <c r="ADC28">
        <f t="shared" si="141"/>
        <v>0</v>
      </c>
      <c r="ADD28">
        <f t="shared" si="142"/>
        <v>0</v>
      </c>
      <c r="ADE28">
        <f t="shared" si="143"/>
        <v>0</v>
      </c>
      <c r="ADF28">
        <f t="shared" si="144"/>
        <v>0</v>
      </c>
      <c r="ADG28">
        <f t="shared" si="145"/>
        <v>0</v>
      </c>
      <c r="ADH28">
        <f t="shared" si="146"/>
        <v>0</v>
      </c>
      <c r="ADI28">
        <f t="shared" si="147"/>
        <v>0</v>
      </c>
      <c r="ADJ28">
        <f t="shared" si="148"/>
        <v>0</v>
      </c>
      <c r="ADK28">
        <f t="shared" si="149"/>
        <v>0</v>
      </c>
      <c r="ADL28">
        <f t="shared" si="150"/>
        <v>0</v>
      </c>
      <c r="ADM28">
        <f t="shared" si="151"/>
        <v>0</v>
      </c>
      <c r="ADN28">
        <f t="shared" si="152"/>
        <v>0</v>
      </c>
      <c r="ADO28">
        <f t="shared" si="153"/>
        <v>0</v>
      </c>
      <c r="ADP28">
        <f t="shared" si="154"/>
        <v>0</v>
      </c>
      <c r="ADQ28">
        <f t="shared" si="155"/>
        <v>0</v>
      </c>
      <c r="ADR28">
        <f t="shared" si="156"/>
        <v>0</v>
      </c>
      <c r="ADS28">
        <f t="shared" si="157"/>
        <v>0</v>
      </c>
      <c r="ADT28">
        <f t="shared" si="158"/>
        <v>0</v>
      </c>
      <c r="ADU28">
        <f t="shared" si="159"/>
        <v>0</v>
      </c>
      <c r="ADV28">
        <f t="shared" si="160"/>
        <v>0</v>
      </c>
      <c r="ADW28">
        <f t="shared" si="161"/>
        <v>0</v>
      </c>
      <c r="ADX28">
        <f t="shared" si="162"/>
        <v>0</v>
      </c>
      <c r="ADY28">
        <f t="shared" si="163"/>
        <v>0</v>
      </c>
      <c r="ADZ28">
        <f t="shared" si="164"/>
        <v>0</v>
      </c>
      <c r="AEA28">
        <f t="shared" si="165"/>
        <v>0</v>
      </c>
      <c r="AEB28">
        <f t="shared" si="166"/>
        <v>0</v>
      </c>
      <c r="AEC28">
        <f t="shared" si="167"/>
        <v>0</v>
      </c>
      <c r="AED28">
        <f t="shared" si="168"/>
        <v>0</v>
      </c>
      <c r="AEE28">
        <f t="shared" si="169"/>
        <v>0</v>
      </c>
      <c r="AEF28">
        <f t="shared" si="170"/>
        <v>0</v>
      </c>
      <c r="AEG28">
        <f t="shared" si="171"/>
        <v>0</v>
      </c>
      <c r="AEH28">
        <f t="shared" si="172"/>
        <v>0</v>
      </c>
      <c r="AEI28">
        <f t="shared" si="173"/>
        <v>0</v>
      </c>
      <c r="AEJ28">
        <f t="shared" si="174"/>
        <v>0</v>
      </c>
      <c r="AEK28">
        <f t="shared" si="175"/>
        <v>0</v>
      </c>
      <c r="AEL28">
        <f t="shared" si="176"/>
        <v>0</v>
      </c>
      <c r="AEM28">
        <f t="shared" si="177"/>
        <v>0</v>
      </c>
      <c r="AEN28">
        <f t="shared" si="178"/>
        <v>0</v>
      </c>
      <c r="AEO28">
        <f t="shared" si="179"/>
        <v>0</v>
      </c>
      <c r="AEP28">
        <f t="shared" si="180"/>
        <v>0</v>
      </c>
      <c r="AEQ28">
        <f t="shared" si="181"/>
        <v>0</v>
      </c>
      <c r="AER28">
        <f t="shared" si="182"/>
        <v>0</v>
      </c>
      <c r="AES28">
        <f t="shared" si="183"/>
        <v>0</v>
      </c>
      <c r="AET28">
        <f t="shared" si="184"/>
        <v>0</v>
      </c>
      <c r="AEU28">
        <f t="shared" si="185"/>
        <v>0</v>
      </c>
      <c r="AEV28">
        <f t="shared" si="186"/>
        <v>0</v>
      </c>
      <c r="AEW28">
        <f t="shared" si="187"/>
        <v>0</v>
      </c>
      <c r="AEX28">
        <f t="shared" si="188"/>
        <v>0</v>
      </c>
      <c r="AEY28">
        <f t="shared" si="189"/>
        <v>0</v>
      </c>
      <c r="AEZ28">
        <f t="shared" si="190"/>
        <v>0</v>
      </c>
      <c r="AFA28">
        <f t="shared" si="191"/>
        <v>0</v>
      </c>
      <c r="AFB28">
        <f t="shared" si="35"/>
        <v>0</v>
      </c>
      <c r="AFC28">
        <f t="shared" si="192"/>
        <v>0</v>
      </c>
      <c r="AFD28">
        <f t="shared" si="193"/>
        <v>0</v>
      </c>
      <c r="AFE28">
        <f t="shared" si="194"/>
        <v>0</v>
      </c>
      <c r="AFF28">
        <f t="shared" si="195"/>
        <v>0</v>
      </c>
      <c r="AFG28">
        <f t="shared" si="196"/>
        <v>0</v>
      </c>
      <c r="AFH28">
        <f t="shared" si="197"/>
        <v>0</v>
      </c>
      <c r="AFI28">
        <f t="shared" si="198"/>
        <v>0</v>
      </c>
      <c r="AFJ28">
        <f t="shared" si="199"/>
        <v>0</v>
      </c>
      <c r="AFK28">
        <f t="shared" si="200"/>
        <v>0</v>
      </c>
      <c r="AFL28">
        <f t="shared" si="201"/>
        <v>0</v>
      </c>
      <c r="AFM28">
        <f t="shared" si="202"/>
        <v>0</v>
      </c>
      <c r="AFN28">
        <f t="shared" si="203"/>
        <v>0</v>
      </c>
      <c r="AFO28">
        <f t="shared" si="204"/>
        <v>0</v>
      </c>
      <c r="AFP28">
        <f t="shared" si="205"/>
        <v>0</v>
      </c>
      <c r="AFQ28">
        <f t="shared" si="206"/>
        <v>0</v>
      </c>
      <c r="AFR28">
        <f t="shared" si="207"/>
        <v>0</v>
      </c>
      <c r="AFS28">
        <f t="shared" si="208"/>
        <v>0</v>
      </c>
      <c r="AFT28">
        <f t="shared" si="209"/>
        <v>0</v>
      </c>
      <c r="AFU28">
        <f t="shared" si="210"/>
        <v>0</v>
      </c>
      <c r="AFV28">
        <f t="shared" si="211"/>
        <v>0</v>
      </c>
      <c r="AFW28">
        <f t="shared" si="212"/>
        <v>0</v>
      </c>
      <c r="AFX28">
        <f t="shared" si="213"/>
        <v>0</v>
      </c>
      <c r="AFY28">
        <f t="shared" si="214"/>
        <v>0</v>
      </c>
      <c r="AFZ28">
        <f t="shared" si="215"/>
        <v>0</v>
      </c>
      <c r="AGA28">
        <f t="shared" si="216"/>
        <v>0</v>
      </c>
      <c r="AGB28">
        <f t="shared" si="217"/>
        <v>0</v>
      </c>
      <c r="AGC28">
        <f t="shared" si="218"/>
        <v>0</v>
      </c>
      <c r="AGD28">
        <f t="shared" si="219"/>
        <v>0</v>
      </c>
      <c r="AGE28">
        <f t="shared" si="220"/>
        <v>0</v>
      </c>
      <c r="AGF28">
        <f t="shared" si="221"/>
        <v>0</v>
      </c>
      <c r="AGG28">
        <f t="shared" si="222"/>
        <v>0</v>
      </c>
      <c r="AGH28">
        <f t="shared" si="223"/>
        <v>0</v>
      </c>
      <c r="AGI28">
        <f t="shared" si="224"/>
        <v>0</v>
      </c>
      <c r="AGJ28">
        <f t="shared" si="225"/>
        <v>0</v>
      </c>
      <c r="AGK28">
        <f t="shared" si="226"/>
        <v>0</v>
      </c>
      <c r="AGL28">
        <f t="shared" si="227"/>
        <v>0</v>
      </c>
      <c r="AGM28">
        <f t="shared" si="228"/>
        <v>0</v>
      </c>
      <c r="AGN28">
        <f t="shared" si="229"/>
        <v>0</v>
      </c>
      <c r="AGO28">
        <f t="shared" si="230"/>
        <v>0</v>
      </c>
      <c r="AGP28">
        <f t="shared" si="231"/>
        <v>0</v>
      </c>
      <c r="AGQ28">
        <f t="shared" si="232"/>
        <v>0</v>
      </c>
      <c r="AGR28">
        <f t="shared" si="233"/>
        <v>0</v>
      </c>
      <c r="AGS28">
        <f t="shared" si="234"/>
        <v>0</v>
      </c>
      <c r="AGT28">
        <f t="shared" si="235"/>
        <v>0</v>
      </c>
      <c r="AGU28">
        <f t="shared" si="236"/>
        <v>0</v>
      </c>
      <c r="AGV28">
        <f t="shared" si="237"/>
        <v>0</v>
      </c>
      <c r="AGW28">
        <f t="shared" si="238"/>
        <v>0</v>
      </c>
      <c r="AGX28">
        <f t="shared" si="239"/>
        <v>0</v>
      </c>
      <c r="AGY28">
        <f t="shared" si="240"/>
        <v>0</v>
      </c>
      <c r="AGZ28">
        <f t="shared" si="241"/>
        <v>0</v>
      </c>
      <c r="AHA28">
        <f t="shared" si="242"/>
        <v>0</v>
      </c>
      <c r="AHB28">
        <f t="shared" si="243"/>
        <v>0</v>
      </c>
      <c r="AHC28">
        <f t="shared" si="244"/>
        <v>0</v>
      </c>
      <c r="AHD28">
        <f t="shared" si="245"/>
        <v>0</v>
      </c>
      <c r="AHE28">
        <f t="shared" si="246"/>
        <v>0</v>
      </c>
      <c r="AHF28">
        <f t="shared" si="247"/>
        <v>0</v>
      </c>
      <c r="AHG28">
        <f t="shared" si="248"/>
        <v>0</v>
      </c>
      <c r="AHH28">
        <f t="shared" si="249"/>
        <v>0</v>
      </c>
      <c r="AHI28">
        <f t="shared" si="250"/>
        <v>0</v>
      </c>
      <c r="AHJ28">
        <f t="shared" si="251"/>
        <v>0</v>
      </c>
      <c r="AHK28">
        <f t="shared" si="252"/>
        <v>0</v>
      </c>
      <c r="AHL28">
        <f t="shared" si="253"/>
        <v>0</v>
      </c>
      <c r="AHM28">
        <f t="shared" si="254"/>
        <v>0</v>
      </c>
      <c r="AHN28">
        <f t="shared" si="36"/>
        <v>0</v>
      </c>
      <c r="AHO28">
        <f t="shared" si="255"/>
        <v>0</v>
      </c>
      <c r="AHP28">
        <f t="shared" si="256"/>
        <v>0</v>
      </c>
      <c r="AHQ28">
        <f t="shared" si="257"/>
        <v>0</v>
      </c>
      <c r="AHR28">
        <f t="shared" si="258"/>
        <v>0</v>
      </c>
      <c r="AHS28">
        <f t="shared" si="259"/>
        <v>0</v>
      </c>
      <c r="AHT28">
        <f t="shared" si="260"/>
        <v>0</v>
      </c>
      <c r="AHU28">
        <f t="shared" si="261"/>
        <v>0</v>
      </c>
      <c r="AHV28">
        <f t="shared" si="262"/>
        <v>0</v>
      </c>
      <c r="AHW28">
        <f t="shared" si="263"/>
        <v>0</v>
      </c>
      <c r="AHX28">
        <f t="shared" si="264"/>
        <v>0</v>
      </c>
      <c r="AHY28">
        <f t="shared" si="265"/>
        <v>0</v>
      </c>
      <c r="AHZ28">
        <f t="shared" si="266"/>
        <v>0</v>
      </c>
      <c r="AIA28">
        <f t="shared" si="267"/>
        <v>0</v>
      </c>
      <c r="AIB28">
        <f t="shared" si="268"/>
        <v>0</v>
      </c>
      <c r="AIC28">
        <f t="shared" si="269"/>
        <v>0</v>
      </c>
      <c r="AID28">
        <f t="shared" si="270"/>
        <v>0</v>
      </c>
      <c r="AIE28">
        <f t="shared" si="271"/>
        <v>0</v>
      </c>
      <c r="AIF28">
        <f t="shared" si="272"/>
        <v>0</v>
      </c>
      <c r="AIG28">
        <f t="shared" si="273"/>
        <v>0</v>
      </c>
      <c r="AIH28">
        <f t="shared" si="274"/>
        <v>0</v>
      </c>
      <c r="AII28">
        <f t="shared" si="275"/>
        <v>0</v>
      </c>
      <c r="AIJ28">
        <f t="shared" si="276"/>
        <v>0</v>
      </c>
      <c r="AIK28">
        <f t="shared" si="277"/>
        <v>0</v>
      </c>
      <c r="AIL28">
        <f t="shared" si="278"/>
        <v>0</v>
      </c>
      <c r="AIM28">
        <f t="shared" si="279"/>
        <v>0</v>
      </c>
      <c r="AIN28">
        <f t="shared" si="280"/>
        <v>0</v>
      </c>
      <c r="AIO28">
        <f t="shared" si="281"/>
        <v>0</v>
      </c>
      <c r="AIP28">
        <f t="shared" si="282"/>
        <v>0</v>
      </c>
      <c r="AIQ28">
        <f t="shared" si="283"/>
        <v>0</v>
      </c>
      <c r="AIR28">
        <f t="shared" si="284"/>
        <v>0</v>
      </c>
      <c r="AIS28">
        <f t="shared" si="285"/>
        <v>0</v>
      </c>
      <c r="AIT28">
        <f t="shared" si="286"/>
        <v>0</v>
      </c>
      <c r="AIU28">
        <f t="shared" si="287"/>
        <v>0</v>
      </c>
      <c r="AIV28">
        <f t="shared" si="288"/>
        <v>0</v>
      </c>
      <c r="AIW28">
        <f t="shared" si="289"/>
        <v>0</v>
      </c>
      <c r="AIX28">
        <f t="shared" si="290"/>
        <v>0</v>
      </c>
      <c r="AIY28">
        <f t="shared" si="291"/>
        <v>0</v>
      </c>
      <c r="AIZ28">
        <f t="shared" si="292"/>
        <v>0</v>
      </c>
      <c r="AJA28">
        <f t="shared" si="293"/>
        <v>0</v>
      </c>
      <c r="AJB28">
        <f t="shared" si="294"/>
        <v>0</v>
      </c>
      <c r="AJC28">
        <f t="shared" si="295"/>
        <v>0</v>
      </c>
      <c r="AJD28">
        <f t="shared" si="296"/>
        <v>0</v>
      </c>
      <c r="AJE28">
        <f t="shared" si="297"/>
        <v>0</v>
      </c>
      <c r="AJF28">
        <f t="shared" si="298"/>
        <v>0</v>
      </c>
      <c r="AJG28">
        <f t="shared" si="299"/>
        <v>0</v>
      </c>
      <c r="AJH28">
        <f t="shared" si="300"/>
        <v>0</v>
      </c>
      <c r="AJI28">
        <f t="shared" si="301"/>
        <v>0</v>
      </c>
      <c r="AJJ28">
        <f t="shared" si="302"/>
        <v>0</v>
      </c>
      <c r="AJK28">
        <f t="shared" si="303"/>
        <v>0</v>
      </c>
      <c r="AJL28">
        <f t="shared" si="304"/>
        <v>0</v>
      </c>
      <c r="AJM28">
        <f t="shared" si="305"/>
        <v>0</v>
      </c>
      <c r="AJN28">
        <f t="shared" si="306"/>
        <v>0</v>
      </c>
      <c r="AJO28">
        <f t="shared" si="307"/>
        <v>0</v>
      </c>
      <c r="AJP28">
        <f t="shared" si="308"/>
        <v>0</v>
      </c>
      <c r="AJQ28">
        <f t="shared" si="309"/>
        <v>0</v>
      </c>
      <c r="AJR28">
        <f t="shared" si="310"/>
        <v>0</v>
      </c>
      <c r="AJS28">
        <f t="shared" si="311"/>
        <v>0</v>
      </c>
      <c r="AJT28">
        <f t="shared" si="312"/>
        <v>0</v>
      </c>
      <c r="AJU28">
        <f t="shared" si="313"/>
        <v>0</v>
      </c>
      <c r="AJV28">
        <f t="shared" si="314"/>
        <v>0</v>
      </c>
      <c r="AJW28">
        <f t="shared" si="315"/>
        <v>0</v>
      </c>
      <c r="AJX28">
        <f t="shared" si="316"/>
        <v>0</v>
      </c>
      <c r="AJY28">
        <f t="shared" si="317"/>
        <v>0</v>
      </c>
      <c r="AJZ28">
        <f t="shared" si="37"/>
        <v>0</v>
      </c>
      <c r="AKA28">
        <f t="shared" si="318"/>
        <v>0</v>
      </c>
      <c r="AKB28">
        <f t="shared" si="319"/>
        <v>0</v>
      </c>
      <c r="AKC28">
        <f t="shared" si="320"/>
        <v>0</v>
      </c>
      <c r="AKD28">
        <f t="shared" si="321"/>
        <v>0</v>
      </c>
      <c r="AKE28">
        <f t="shared" si="322"/>
        <v>0</v>
      </c>
      <c r="AKF28">
        <f t="shared" si="323"/>
        <v>0</v>
      </c>
      <c r="AKG28">
        <f t="shared" si="324"/>
        <v>0</v>
      </c>
      <c r="AKH28">
        <f t="shared" si="325"/>
        <v>0</v>
      </c>
      <c r="AKI28">
        <f t="shared" si="326"/>
        <v>0</v>
      </c>
      <c r="AKJ28">
        <f t="shared" si="327"/>
        <v>0</v>
      </c>
      <c r="AKK28">
        <f t="shared" si="328"/>
        <v>0</v>
      </c>
      <c r="AKL28">
        <f t="shared" si="329"/>
        <v>0</v>
      </c>
      <c r="AKM28">
        <f t="shared" si="330"/>
        <v>0</v>
      </c>
      <c r="AKN28">
        <f t="shared" si="331"/>
        <v>0</v>
      </c>
      <c r="AKO28">
        <f t="shared" si="332"/>
        <v>0</v>
      </c>
      <c r="AKP28">
        <f t="shared" si="333"/>
        <v>0</v>
      </c>
      <c r="AKQ28">
        <f t="shared" si="334"/>
        <v>0</v>
      </c>
      <c r="AKR28">
        <f t="shared" si="335"/>
        <v>0</v>
      </c>
      <c r="AKS28">
        <f t="shared" si="336"/>
        <v>0</v>
      </c>
      <c r="AKT28">
        <f t="shared" si="337"/>
        <v>0</v>
      </c>
      <c r="AKU28">
        <f t="shared" si="338"/>
        <v>0</v>
      </c>
      <c r="AKV28">
        <f t="shared" si="339"/>
        <v>0</v>
      </c>
      <c r="AKW28">
        <f t="shared" si="340"/>
        <v>0</v>
      </c>
      <c r="AKX28">
        <f t="shared" si="341"/>
        <v>0</v>
      </c>
      <c r="AKY28">
        <f t="shared" si="342"/>
        <v>0</v>
      </c>
      <c r="AKZ28">
        <f t="shared" si="343"/>
        <v>0</v>
      </c>
      <c r="ALA28">
        <f t="shared" si="344"/>
        <v>0</v>
      </c>
      <c r="ALB28">
        <f t="shared" si="345"/>
        <v>0</v>
      </c>
      <c r="ALC28">
        <f t="shared" si="346"/>
        <v>0</v>
      </c>
      <c r="ALD28">
        <f t="shared" si="347"/>
        <v>0</v>
      </c>
      <c r="ALE28">
        <f t="shared" si="348"/>
        <v>0</v>
      </c>
      <c r="ALF28">
        <f t="shared" si="349"/>
        <v>0</v>
      </c>
      <c r="ALG28">
        <f t="shared" si="350"/>
        <v>0</v>
      </c>
      <c r="ALH28">
        <f t="shared" si="351"/>
        <v>0</v>
      </c>
      <c r="ALI28">
        <f t="shared" si="352"/>
        <v>0</v>
      </c>
      <c r="ALJ28">
        <f t="shared" si="353"/>
        <v>0</v>
      </c>
      <c r="ALK28">
        <f t="shared" si="354"/>
        <v>0</v>
      </c>
      <c r="ALL28">
        <f t="shared" si="355"/>
        <v>0</v>
      </c>
      <c r="ALM28">
        <f t="shared" si="356"/>
        <v>0</v>
      </c>
      <c r="ALN28">
        <f t="shared" si="357"/>
        <v>0</v>
      </c>
      <c r="ALO28">
        <f t="shared" si="358"/>
        <v>0</v>
      </c>
      <c r="ALP28">
        <f t="shared" si="359"/>
        <v>0</v>
      </c>
      <c r="ALQ28">
        <f t="shared" si="360"/>
        <v>0</v>
      </c>
      <c r="ALR28">
        <f t="shared" si="361"/>
        <v>0</v>
      </c>
      <c r="ALS28">
        <f t="shared" si="362"/>
        <v>0</v>
      </c>
      <c r="ALT28">
        <f t="shared" si="363"/>
        <v>0</v>
      </c>
      <c r="ALU28">
        <f t="shared" si="364"/>
        <v>0</v>
      </c>
      <c r="ALV28">
        <f t="shared" si="365"/>
        <v>0</v>
      </c>
      <c r="ALW28">
        <f t="shared" si="366"/>
        <v>0</v>
      </c>
      <c r="ALX28">
        <f t="shared" si="367"/>
        <v>0</v>
      </c>
      <c r="ALY28">
        <f t="shared" si="368"/>
        <v>0</v>
      </c>
      <c r="ALZ28">
        <f t="shared" si="369"/>
        <v>0</v>
      </c>
      <c r="AMA28">
        <f t="shared" si="370"/>
        <v>0</v>
      </c>
      <c r="AMB28">
        <f t="shared" si="371"/>
        <v>0</v>
      </c>
      <c r="AMC28">
        <f t="shared" si="372"/>
        <v>0</v>
      </c>
      <c r="AMD28">
        <f t="shared" si="373"/>
        <v>0</v>
      </c>
      <c r="AME28">
        <f t="shared" si="374"/>
        <v>0</v>
      </c>
      <c r="AMF28">
        <f t="shared" si="375"/>
        <v>0</v>
      </c>
      <c r="AMG28">
        <f t="shared" si="376"/>
        <v>0</v>
      </c>
      <c r="AMH28">
        <f t="shared" si="377"/>
        <v>0</v>
      </c>
      <c r="AMI28">
        <f t="shared" si="378"/>
        <v>0</v>
      </c>
      <c r="AMJ28">
        <f t="shared" si="379"/>
        <v>0</v>
      </c>
      <c r="AMK28">
        <f t="shared" si="380"/>
        <v>0</v>
      </c>
      <c r="AML28">
        <f t="shared" si="38"/>
        <v>0</v>
      </c>
      <c r="AMM28">
        <f t="shared" si="381"/>
        <v>0</v>
      </c>
      <c r="AMN28">
        <f t="shared" si="382"/>
        <v>0</v>
      </c>
      <c r="AMO28">
        <f t="shared" si="383"/>
        <v>0</v>
      </c>
      <c r="AMP28">
        <f t="shared" si="384"/>
        <v>0</v>
      </c>
      <c r="AMQ28">
        <f t="shared" si="385"/>
        <v>0</v>
      </c>
      <c r="AMR28">
        <f t="shared" si="386"/>
        <v>0</v>
      </c>
      <c r="AMS28">
        <f t="shared" si="387"/>
        <v>0</v>
      </c>
      <c r="AMT28">
        <f t="shared" si="388"/>
        <v>0</v>
      </c>
      <c r="AMU28">
        <f t="shared" si="389"/>
        <v>0</v>
      </c>
      <c r="AMV28">
        <f t="shared" si="390"/>
        <v>0</v>
      </c>
      <c r="AMW28">
        <f t="shared" si="391"/>
        <v>0</v>
      </c>
      <c r="AMX28">
        <f t="shared" si="392"/>
        <v>0</v>
      </c>
      <c r="AMY28">
        <f t="shared" si="393"/>
        <v>0</v>
      </c>
      <c r="AMZ28">
        <f t="shared" si="394"/>
        <v>0</v>
      </c>
      <c r="ANA28">
        <f t="shared" si="395"/>
        <v>0</v>
      </c>
      <c r="ANB28">
        <f t="shared" si="396"/>
        <v>0</v>
      </c>
      <c r="ANC28">
        <f t="shared" si="397"/>
        <v>0</v>
      </c>
      <c r="AND28">
        <f t="shared" si="398"/>
        <v>0</v>
      </c>
      <c r="ANE28">
        <f t="shared" si="399"/>
        <v>0</v>
      </c>
      <c r="ANF28">
        <f t="shared" si="400"/>
        <v>0</v>
      </c>
      <c r="ANG28">
        <f t="shared" si="401"/>
        <v>0</v>
      </c>
      <c r="ANH28">
        <f t="shared" si="402"/>
        <v>0</v>
      </c>
      <c r="ANI28">
        <f t="shared" si="403"/>
        <v>0</v>
      </c>
      <c r="ANJ28">
        <f t="shared" si="404"/>
        <v>0</v>
      </c>
      <c r="ANK28">
        <f t="shared" si="405"/>
        <v>0</v>
      </c>
      <c r="ANL28">
        <f t="shared" si="406"/>
        <v>0</v>
      </c>
      <c r="ANM28">
        <f t="shared" si="407"/>
        <v>0</v>
      </c>
      <c r="ANN28">
        <f t="shared" si="408"/>
        <v>0</v>
      </c>
      <c r="ANO28">
        <f t="shared" si="409"/>
        <v>0</v>
      </c>
      <c r="ANP28">
        <f t="shared" si="410"/>
        <v>0</v>
      </c>
      <c r="ANQ28">
        <f t="shared" si="411"/>
        <v>0</v>
      </c>
      <c r="ANR28">
        <f t="shared" si="412"/>
        <v>0</v>
      </c>
      <c r="ANS28">
        <f t="shared" si="413"/>
        <v>0</v>
      </c>
      <c r="ANT28">
        <f t="shared" si="414"/>
        <v>0</v>
      </c>
      <c r="ANU28">
        <f t="shared" si="415"/>
        <v>0</v>
      </c>
      <c r="ANV28">
        <f t="shared" si="416"/>
        <v>0</v>
      </c>
      <c r="ANW28">
        <f t="shared" si="417"/>
        <v>0</v>
      </c>
      <c r="ANX28">
        <f t="shared" si="418"/>
        <v>0</v>
      </c>
      <c r="ANY28">
        <f t="shared" si="419"/>
        <v>0</v>
      </c>
      <c r="ANZ28">
        <f t="shared" si="420"/>
        <v>0</v>
      </c>
      <c r="AOA28">
        <f t="shared" si="421"/>
        <v>0</v>
      </c>
      <c r="AOB28">
        <f t="shared" si="422"/>
        <v>0</v>
      </c>
      <c r="AOC28">
        <f t="shared" si="423"/>
        <v>0</v>
      </c>
      <c r="AOD28">
        <f t="shared" si="424"/>
        <v>0</v>
      </c>
      <c r="AOE28">
        <f t="shared" si="425"/>
        <v>0</v>
      </c>
      <c r="AOF28">
        <f t="shared" si="426"/>
        <v>0</v>
      </c>
      <c r="AOG28">
        <f t="shared" si="427"/>
        <v>0</v>
      </c>
      <c r="AOH28">
        <f t="shared" si="428"/>
        <v>0</v>
      </c>
      <c r="AOI28">
        <f t="shared" si="429"/>
        <v>0</v>
      </c>
      <c r="AOJ28">
        <f t="shared" si="430"/>
        <v>0</v>
      </c>
      <c r="AOK28">
        <f t="shared" si="431"/>
        <v>0</v>
      </c>
      <c r="AOL28">
        <f t="shared" si="432"/>
        <v>0</v>
      </c>
      <c r="AOM28">
        <f t="shared" si="433"/>
        <v>0</v>
      </c>
      <c r="AON28">
        <f t="shared" si="434"/>
        <v>0</v>
      </c>
      <c r="AOO28">
        <f t="shared" si="435"/>
        <v>0</v>
      </c>
      <c r="AOP28">
        <f t="shared" si="436"/>
        <v>0</v>
      </c>
      <c r="AOQ28">
        <f t="shared" si="437"/>
        <v>0</v>
      </c>
      <c r="AOR28">
        <f t="shared" si="438"/>
        <v>0</v>
      </c>
      <c r="AOS28">
        <f t="shared" si="439"/>
        <v>0</v>
      </c>
      <c r="AOT28">
        <f t="shared" si="440"/>
        <v>0</v>
      </c>
      <c r="AOU28">
        <f t="shared" si="441"/>
        <v>0</v>
      </c>
      <c r="AOV28">
        <f t="shared" si="442"/>
        <v>0</v>
      </c>
      <c r="AOW28">
        <f t="shared" si="443"/>
        <v>0</v>
      </c>
      <c r="AOX28">
        <f t="shared" si="39"/>
        <v>0</v>
      </c>
      <c r="AOY28">
        <f t="shared" si="444"/>
        <v>0</v>
      </c>
      <c r="AOZ28">
        <f t="shared" si="445"/>
        <v>0</v>
      </c>
      <c r="APA28">
        <f t="shared" si="446"/>
        <v>0</v>
      </c>
      <c r="APB28">
        <f t="shared" si="447"/>
        <v>0</v>
      </c>
      <c r="APC28">
        <f t="shared" si="448"/>
        <v>0</v>
      </c>
      <c r="APD28">
        <f t="shared" si="449"/>
        <v>0</v>
      </c>
      <c r="APE28">
        <f t="shared" si="450"/>
        <v>0</v>
      </c>
      <c r="APF28">
        <f t="shared" si="451"/>
        <v>0</v>
      </c>
      <c r="APG28">
        <f t="shared" si="452"/>
        <v>0</v>
      </c>
      <c r="APH28">
        <f t="shared" si="453"/>
        <v>0</v>
      </c>
      <c r="API28">
        <f t="shared" si="454"/>
        <v>0</v>
      </c>
      <c r="APJ28">
        <f t="shared" si="455"/>
        <v>0</v>
      </c>
      <c r="APK28">
        <f t="shared" si="456"/>
        <v>0</v>
      </c>
      <c r="APL28">
        <f t="shared" si="457"/>
        <v>0</v>
      </c>
      <c r="APM28">
        <f t="shared" si="458"/>
        <v>0</v>
      </c>
      <c r="APN28">
        <f t="shared" si="459"/>
        <v>0</v>
      </c>
      <c r="APO28">
        <f t="shared" si="460"/>
        <v>0</v>
      </c>
      <c r="APP28">
        <f t="shared" si="461"/>
        <v>0</v>
      </c>
      <c r="APQ28">
        <f t="shared" si="462"/>
        <v>0</v>
      </c>
      <c r="APR28">
        <f t="shared" si="463"/>
        <v>0</v>
      </c>
      <c r="APS28">
        <f t="shared" si="464"/>
        <v>0</v>
      </c>
      <c r="APT28">
        <f t="shared" si="465"/>
        <v>0</v>
      </c>
      <c r="APU28">
        <f t="shared" si="466"/>
        <v>0</v>
      </c>
      <c r="APV28">
        <f t="shared" si="467"/>
        <v>0</v>
      </c>
      <c r="APW28">
        <f t="shared" si="468"/>
        <v>0</v>
      </c>
      <c r="APX28">
        <f t="shared" si="469"/>
        <v>0</v>
      </c>
      <c r="APY28">
        <f t="shared" si="470"/>
        <v>0</v>
      </c>
      <c r="APZ28">
        <f t="shared" si="471"/>
        <v>0</v>
      </c>
      <c r="AQA28">
        <f t="shared" si="472"/>
        <v>0</v>
      </c>
      <c r="AQB28">
        <f t="shared" si="473"/>
        <v>0</v>
      </c>
      <c r="AQC28">
        <f t="shared" si="474"/>
        <v>0</v>
      </c>
      <c r="AQD28">
        <f t="shared" si="475"/>
        <v>0</v>
      </c>
      <c r="AQE28">
        <f t="shared" si="476"/>
        <v>0</v>
      </c>
      <c r="AQF28">
        <f t="shared" si="477"/>
        <v>0</v>
      </c>
      <c r="AQG28">
        <f t="shared" si="478"/>
        <v>0</v>
      </c>
      <c r="AQH28">
        <f t="shared" si="479"/>
        <v>0</v>
      </c>
      <c r="AQI28">
        <f t="shared" si="480"/>
        <v>0</v>
      </c>
      <c r="AQJ28">
        <f t="shared" si="481"/>
        <v>0</v>
      </c>
      <c r="AQK28">
        <f t="shared" si="482"/>
        <v>0</v>
      </c>
      <c r="AQL28">
        <f t="shared" si="483"/>
        <v>0</v>
      </c>
      <c r="AQM28">
        <f t="shared" si="484"/>
        <v>0</v>
      </c>
      <c r="AQN28">
        <f t="shared" si="485"/>
        <v>0</v>
      </c>
      <c r="AQO28">
        <f t="shared" si="486"/>
        <v>0</v>
      </c>
      <c r="AQP28">
        <f t="shared" si="487"/>
        <v>0</v>
      </c>
      <c r="AQQ28">
        <f t="shared" si="488"/>
        <v>0</v>
      </c>
      <c r="AQR28">
        <f t="shared" si="489"/>
        <v>0</v>
      </c>
      <c r="AQS28">
        <f t="shared" si="490"/>
        <v>0</v>
      </c>
      <c r="AQT28">
        <f t="shared" si="491"/>
        <v>0</v>
      </c>
      <c r="AQU28">
        <f t="shared" si="492"/>
        <v>0</v>
      </c>
      <c r="AQV28">
        <f t="shared" si="493"/>
        <v>0</v>
      </c>
      <c r="AQW28">
        <f t="shared" si="494"/>
        <v>0</v>
      </c>
      <c r="AQX28">
        <f t="shared" si="495"/>
        <v>0</v>
      </c>
      <c r="AQY28">
        <f t="shared" si="496"/>
        <v>0</v>
      </c>
      <c r="AQZ28">
        <f t="shared" si="497"/>
        <v>0</v>
      </c>
      <c r="ARA28">
        <f t="shared" si="498"/>
        <v>0</v>
      </c>
      <c r="ARB28">
        <f t="shared" si="499"/>
        <v>0</v>
      </c>
      <c r="ARC28">
        <f t="shared" si="500"/>
        <v>0</v>
      </c>
      <c r="ARD28">
        <f t="shared" si="501"/>
        <v>0</v>
      </c>
      <c r="ARE28">
        <f t="shared" si="502"/>
        <v>0</v>
      </c>
      <c r="ARF28">
        <f t="shared" si="503"/>
        <v>0</v>
      </c>
      <c r="ARG28">
        <f t="shared" si="504"/>
        <v>0</v>
      </c>
      <c r="ARH28">
        <f t="shared" si="505"/>
        <v>0</v>
      </c>
      <c r="ARI28">
        <f t="shared" si="506"/>
        <v>0</v>
      </c>
      <c r="ARJ28">
        <f t="shared" si="40"/>
        <v>0</v>
      </c>
      <c r="ARK28">
        <f t="shared" si="507"/>
        <v>0</v>
      </c>
      <c r="ARL28">
        <f t="shared" si="508"/>
        <v>0</v>
      </c>
      <c r="ARM28">
        <f t="shared" si="509"/>
        <v>0</v>
      </c>
      <c r="ARN28">
        <f t="shared" si="510"/>
        <v>0</v>
      </c>
      <c r="ARO28">
        <f t="shared" si="511"/>
        <v>0</v>
      </c>
      <c r="ARP28">
        <f t="shared" si="512"/>
        <v>0</v>
      </c>
      <c r="ARQ28">
        <f t="shared" si="513"/>
        <v>0</v>
      </c>
      <c r="ARR28">
        <f t="shared" si="514"/>
        <v>0</v>
      </c>
      <c r="ARS28">
        <f t="shared" si="515"/>
        <v>0</v>
      </c>
      <c r="ART28">
        <f t="shared" si="516"/>
        <v>0</v>
      </c>
      <c r="ARU28">
        <f t="shared" si="517"/>
        <v>0</v>
      </c>
      <c r="ARV28">
        <f t="shared" si="518"/>
        <v>0</v>
      </c>
      <c r="ARW28">
        <f t="shared" si="519"/>
        <v>0</v>
      </c>
      <c r="ARX28">
        <f t="shared" si="520"/>
        <v>0</v>
      </c>
      <c r="ARY28">
        <f t="shared" si="521"/>
        <v>0</v>
      </c>
      <c r="ARZ28">
        <f t="shared" si="522"/>
        <v>0</v>
      </c>
      <c r="ASA28">
        <f t="shared" si="523"/>
        <v>0</v>
      </c>
      <c r="ASB28">
        <f t="shared" si="524"/>
        <v>0</v>
      </c>
      <c r="ASC28">
        <f t="shared" si="525"/>
        <v>0</v>
      </c>
      <c r="ASD28">
        <f t="shared" si="526"/>
        <v>0</v>
      </c>
      <c r="ASE28">
        <f t="shared" si="527"/>
        <v>0</v>
      </c>
      <c r="ASF28">
        <f t="shared" si="528"/>
        <v>0</v>
      </c>
      <c r="ASG28">
        <f t="shared" si="529"/>
        <v>0</v>
      </c>
      <c r="ASH28">
        <f t="shared" si="530"/>
        <v>0</v>
      </c>
      <c r="ASI28">
        <f t="shared" si="531"/>
        <v>0</v>
      </c>
      <c r="ASJ28">
        <f t="shared" si="532"/>
        <v>0</v>
      </c>
      <c r="ASK28">
        <f t="shared" si="533"/>
        <v>0</v>
      </c>
      <c r="ASL28">
        <f t="shared" si="534"/>
        <v>0</v>
      </c>
      <c r="ASM28">
        <f t="shared" si="535"/>
        <v>0</v>
      </c>
      <c r="ASN28">
        <f t="shared" si="536"/>
        <v>0</v>
      </c>
      <c r="ASO28">
        <f t="shared" si="537"/>
        <v>0</v>
      </c>
      <c r="ASP28">
        <f t="shared" si="538"/>
        <v>0</v>
      </c>
      <c r="ASQ28">
        <f t="shared" si="539"/>
        <v>0</v>
      </c>
      <c r="ASR28">
        <f t="shared" si="540"/>
        <v>0</v>
      </c>
      <c r="ASS28">
        <f t="shared" si="541"/>
        <v>0</v>
      </c>
      <c r="AST28">
        <f t="shared" si="542"/>
        <v>0</v>
      </c>
      <c r="ASU28">
        <f t="shared" si="543"/>
        <v>0</v>
      </c>
      <c r="ASV28">
        <f t="shared" si="544"/>
        <v>0</v>
      </c>
      <c r="ASW28">
        <f t="shared" si="545"/>
        <v>0</v>
      </c>
      <c r="ASX28">
        <f t="shared" si="546"/>
        <v>0</v>
      </c>
      <c r="ASY28">
        <f t="shared" si="547"/>
        <v>0</v>
      </c>
      <c r="ASZ28">
        <f t="shared" si="548"/>
        <v>0</v>
      </c>
      <c r="ATA28">
        <f t="shared" si="549"/>
        <v>0</v>
      </c>
      <c r="ATB28">
        <f t="shared" si="550"/>
        <v>0</v>
      </c>
      <c r="ATC28">
        <f t="shared" si="551"/>
        <v>0</v>
      </c>
      <c r="ATD28">
        <f t="shared" si="552"/>
        <v>0</v>
      </c>
      <c r="ATE28">
        <f t="shared" si="553"/>
        <v>0</v>
      </c>
      <c r="ATF28">
        <f t="shared" si="554"/>
        <v>0</v>
      </c>
      <c r="ATG28">
        <f t="shared" si="555"/>
        <v>0</v>
      </c>
      <c r="ATH28">
        <f t="shared" si="556"/>
        <v>0</v>
      </c>
      <c r="ATI28">
        <f t="shared" si="557"/>
        <v>0</v>
      </c>
      <c r="ATJ28">
        <f t="shared" si="558"/>
        <v>0</v>
      </c>
      <c r="ATK28">
        <f t="shared" si="559"/>
        <v>0</v>
      </c>
      <c r="ATL28">
        <f t="shared" si="560"/>
        <v>0</v>
      </c>
      <c r="ATM28">
        <f t="shared" si="561"/>
        <v>0</v>
      </c>
      <c r="ATN28">
        <f t="shared" si="562"/>
        <v>0</v>
      </c>
      <c r="ATO28">
        <f t="shared" si="563"/>
        <v>0</v>
      </c>
      <c r="ATP28">
        <f t="shared" si="564"/>
        <v>0</v>
      </c>
      <c r="ATQ28">
        <f t="shared" si="565"/>
        <v>0</v>
      </c>
      <c r="ATR28">
        <f t="shared" si="566"/>
        <v>0</v>
      </c>
      <c r="ATS28">
        <f t="shared" si="567"/>
        <v>0</v>
      </c>
      <c r="ATT28">
        <f t="shared" si="568"/>
        <v>0</v>
      </c>
      <c r="ATU28">
        <f t="shared" si="569"/>
        <v>0</v>
      </c>
      <c r="ATV28">
        <f t="shared" si="41"/>
        <v>0</v>
      </c>
      <c r="ATW28">
        <f t="shared" si="570"/>
        <v>0</v>
      </c>
      <c r="ATX28">
        <f t="shared" si="571"/>
        <v>0</v>
      </c>
      <c r="ATY28">
        <f t="shared" si="572"/>
        <v>0</v>
      </c>
      <c r="ATZ28">
        <f t="shared" si="573"/>
        <v>0</v>
      </c>
      <c r="AUA28">
        <f t="shared" si="574"/>
        <v>0</v>
      </c>
      <c r="AUB28">
        <f t="shared" si="575"/>
        <v>0</v>
      </c>
      <c r="AUC28">
        <f t="shared" si="576"/>
        <v>0</v>
      </c>
      <c r="AUD28">
        <f t="shared" si="577"/>
        <v>0</v>
      </c>
      <c r="AUE28">
        <f t="shared" si="578"/>
        <v>0</v>
      </c>
      <c r="AUF28">
        <f t="shared" si="579"/>
        <v>0</v>
      </c>
      <c r="AUG28">
        <f t="shared" si="580"/>
        <v>0</v>
      </c>
      <c r="AUH28">
        <f t="shared" si="581"/>
        <v>0</v>
      </c>
      <c r="AUI28">
        <f t="shared" si="582"/>
        <v>0</v>
      </c>
      <c r="AUJ28">
        <f t="shared" si="583"/>
        <v>0</v>
      </c>
      <c r="AUK28">
        <f t="shared" si="584"/>
        <v>0</v>
      </c>
      <c r="AUL28">
        <f t="shared" si="585"/>
        <v>0</v>
      </c>
      <c r="AUM28">
        <f t="shared" si="586"/>
        <v>0</v>
      </c>
      <c r="AUN28">
        <f t="shared" si="587"/>
        <v>0</v>
      </c>
      <c r="AUO28">
        <f t="shared" si="588"/>
        <v>0</v>
      </c>
      <c r="AUP28">
        <f t="shared" si="589"/>
        <v>0</v>
      </c>
      <c r="AUQ28">
        <f t="shared" si="590"/>
        <v>0</v>
      </c>
      <c r="AUR28">
        <f t="shared" si="591"/>
        <v>0</v>
      </c>
      <c r="AUS28">
        <f t="shared" si="592"/>
        <v>0</v>
      </c>
      <c r="AUT28">
        <f t="shared" si="593"/>
        <v>0</v>
      </c>
      <c r="AUU28">
        <f t="shared" si="594"/>
        <v>0</v>
      </c>
      <c r="AUV28">
        <f t="shared" si="595"/>
        <v>0</v>
      </c>
      <c r="AUW28">
        <f t="shared" si="596"/>
        <v>0</v>
      </c>
      <c r="AUX28">
        <f t="shared" si="597"/>
        <v>0</v>
      </c>
      <c r="AUY28">
        <f t="shared" si="598"/>
        <v>0</v>
      </c>
      <c r="AUZ28">
        <f t="shared" si="599"/>
        <v>0</v>
      </c>
      <c r="AVA28">
        <f t="shared" si="600"/>
        <v>0</v>
      </c>
      <c r="AVB28">
        <f t="shared" si="601"/>
        <v>0</v>
      </c>
      <c r="AVC28">
        <f t="shared" si="602"/>
        <v>0</v>
      </c>
      <c r="AVD28">
        <f t="shared" si="603"/>
        <v>0</v>
      </c>
      <c r="AVE28">
        <f t="shared" si="604"/>
        <v>0</v>
      </c>
      <c r="AVF28">
        <f t="shared" si="605"/>
        <v>0</v>
      </c>
      <c r="AVG28">
        <f t="shared" si="606"/>
        <v>0</v>
      </c>
      <c r="AVH28">
        <f t="shared" si="607"/>
        <v>0</v>
      </c>
      <c r="AVI28">
        <f t="shared" si="608"/>
        <v>0</v>
      </c>
      <c r="AVJ28">
        <f t="shared" si="609"/>
        <v>0</v>
      </c>
      <c r="AVK28">
        <f t="shared" si="610"/>
        <v>0</v>
      </c>
      <c r="AVL28">
        <f t="shared" si="611"/>
        <v>0</v>
      </c>
      <c r="AVM28">
        <f t="shared" si="612"/>
        <v>0</v>
      </c>
      <c r="AVN28">
        <f t="shared" si="613"/>
        <v>0</v>
      </c>
      <c r="AVO28">
        <f t="shared" si="614"/>
        <v>0</v>
      </c>
      <c r="AVP28">
        <f t="shared" si="615"/>
        <v>0</v>
      </c>
      <c r="AVQ28">
        <f t="shared" si="616"/>
        <v>0</v>
      </c>
      <c r="AVR28">
        <f t="shared" si="617"/>
        <v>0</v>
      </c>
      <c r="AVS28">
        <f t="shared" si="618"/>
        <v>0</v>
      </c>
      <c r="AVT28">
        <f t="shared" si="619"/>
        <v>0</v>
      </c>
      <c r="AVU28">
        <f t="shared" si="620"/>
        <v>0</v>
      </c>
      <c r="AVV28">
        <f t="shared" si="621"/>
        <v>0</v>
      </c>
      <c r="AVW28">
        <f t="shared" si="622"/>
        <v>0</v>
      </c>
      <c r="AVX28">
        <f t="shared" si="623"/>
        <v>0</v>
      </c>
      <c r="AVY28">
        <f t="shared" si="624"/>
        <v>0</v>
      </c>
      <c r="AVZ28">
        <f t="shared" si="625"/>
        <v>0</v>
      </c>
      <c r="AWA28">
        <f t="shared" si="626"/>
        <v>0</v>
      </c>
      <c r="AWB28">
        <f t="shared" si="627"/>
        <v>0</v>
      </c>
      <c r="AWC28">
        <f t="shared" si="628"/>
        <v>0</v>
      </c>
      <c r="AWD28">
        <f t="shared" si="629"/>
        <v>0</v>
      </c>
      <c r="AWE28">
        <f t="shared" si="630"/>
        <v>0</v>
      </c>
      <c r="AWF28">
        <f t="shared" si="631"/>
        <v>0</v>
      </c>
      <c r="AWG28">
        <f t="shared" si="632"/>
        <v>0</v>
      </c>
      <c r="AWH28">
        <f t="shared" si="42"/>
        <v>0</v>
      </c>
      <c r="AWI28">
        <f t="shared" si="633"/>
        <v>0</v>
      </c>
      <c r="AWJ28">
        <f t="shared" si="634"/>
        <v>0</v>
      </c>
      <c r="AWK28">
        <f t="shared" si="635"/>
        <v>0</v>
      </c>
      <c r="AWL28">
        <f t="shared" si="636"/>
        <v>0</v>
      </c>
      <c r="AWM28">
        <f t="shared" si="637"/>
        <v>0</v>
      </c>
      <c r="AWN28">
        <f t="shared" si="638"/>
        <v>0</v>
      </c>
      <c r="AWO28">
        <f t="shared" si="639"/>
        <v>0</v>
      </c>
      <c r="AWP28">
        <f t="shared" si="640"/>
        <v>0</v>
      </c>
      <c r="AWQ28">
        <f t="shared" si="641"/>
        <v>0</v>
      </c>
      <c r="AWR28">
        <f t="shared" si="642"/>
        <v>0</v>
      </c>
      <c r="AWS28">
        <f t="shared" si="643"/>
        <v>0</v>
      </c>
      <c r="AWT28">
        <f t="shared" si="644"/>
        <v>0</v>
      </c>
      <c r="AWU28">
        <f t="shared" si="645"/>
        <v>0</v>
      </c>
      <c r="AWV28">
        <f t="shared" si="646"/>
        <v>0</v>
      </c>
      <c r="AWW28">
        <f t="shared" si="647"/>
        <v>0</v>
      </c>
      <c r="AWX28">
        <f t="shared" si="648"/>
        <v>0</v>
      </c>
      <c r="AWY28">
        <f t="shared" si="649"/>
        <v>0</v>
      </c>
      <c r="AWZ28">
        <f t="shared" si="650"/>
        <v>0</v>
      </c>
      <c r="AXA28">
        <f t="shared" si="651"/>
        <v>0</v>
      </c>
      <c r="AXB28">
        <f t="shared" si="652"/>
        <v>0</v>
      </c>
      <c r="AXC28">
        <f t="shared" si="653"/>
        <v>0</v>
      </c>
      <c r="AXD28">
        <f t="shared" si="654"/>
        <v>0</v>
      </c>
      <c r="AXE28">
        <f t="shared" si="655"/>
        <v>0</v>
      </c>
      <c r="AXF28">
        <f t="shared" si="656"/>
        <v>0</v>
      </c>
      <c r="AXG28">
        <f t="shared" si="657"/>
        <v>0</v>
      </c>
      <c r="AXH28">
        <f t="shared" si="658"/>
        <v>0</v>
      </c>
      <c r="AXI28">
        <f t="shared" si="659"/>
        <v>0</v>
      </c>
      <c r="AXJ28">
        <f t="shared" si="660"/>
        <v>0</v>
      </c>
      <c r="AXK28">
        <f t="shared" si="661"/>
        <v>0</v>
      </c>
      <c r="AXL28">
        <f t="shared" si="662"/>
        <v>0</v>
      </c>
      <c r="AXM28">
        <f t="shared" si="663"/>
        <v>0</v>
      </c>
      <c r="AXN28">
        <f t="shared" si="664"/>
        <v>0</v>
      </c>
      <c r="AXO28">
        <f t="shared" si="665"/>
        <v>0</v>
      </c>
      <c r="AXP28">
        <f t="shared" si="666"/>
        <v>0</v>
      </c>
      <c r="AXQ28">
        <f t="shared" si="667"/>
        <v>0</v>
      </c>
      <c r="AXR28">
        <f t="shared" si="668"/>
        <v>0</v>
      </c>
      <c r="AXS28">
        <f t="shared" si="669"/>
        <v>0</v>
      </c>
      <c r="AXT28">
        <f t="shared" si="670"/>
        <v>0</v>
      </c>
      <c r="AXU28">
        <f t="shared" si="671"/>
        <v>0</v>
      </c>
      <c r="AXV28">
        <f t="shared" si="672"/>
        <v>0</v>
      </c>
      <c r="AXW28">
        <f t="shared" si="673"/>
        <v>0</v>
      </c>
      <c r="AXX28">
        <f t="shared" si="674"/>
        <v>0</v>
      </c>
      <c r="AXY28">
        <f t="shared" si="675"/>
        <v>0</v>
      </c>
      <c r="AXZ28">
        <f t="shared" si="676"/>
        <v>0</v>
      </c>
      <c r="AYA28">
        <f t="shared" si="677"/>
        <v>0</v>
      </c>
      <c r="AYB28">
        <f t="shared" si="678"/>
        <v>0</v>
      </c>
      <c r="AYC28">
        <f t="shared" si="679"/>
        <v>0</v>
      </c>
      <c r="AYD28">
        <f t="shared" si="680"/>
        <v>0</v>
      </c>
      <c r="AYE28">
        <f t="shared" si="681"/>
        <v>0</v>
      </c>
      <c r="AYF28">
        <f t="shared" si="682"/>
        <v>0</v>
      </c>
      <c r="AYG28">
        <f t="shared" si="683"/>
        <v>0</v>
      </c>
      <c r="AYH28">
        <f t="shared" si="684"/>
        <v>0</v>
      </c>
      <c r="AYI28">
        <f t="shared" si="685"/>
        <v>0</v>
      </c>
      <c r="AYJ28">
        <f t="shared" si="686"/>
        <v>0</v>
      </c>
      <c r="AYK28">
        <f t="shared" si="687"/>
        <v>0</v>
      </c>
      <c r="AYL28">
        <f t="shared" si="688"/>
        <v>0</v>
      </c>
      <c r="AYM28">
        <f t="shared" si="689"/>
        <v>0</v>
      </c>
      <c r="AYN28">
        <f t="shared" si="690"/>
        <v>0</v>
      </c>
      <c r="AYO28">
        <f t="shared" si="691"/>
        <v>0</v>
      </c>
      <c r="AYP28">
        <f t="shared" si="692"/>
        <v>0</v>
      </c>
      <c r="AYQ28">
        <f t="shared" si="693"/>
        <v>0</v>
      </c>
      <c r="AYR28">
        <f t="shared" si="694"/>
        <v>0</v>
      </c>
      <c r="AYS28">
        <f t="shared" si="695"/>
        <v>0</v>
      </c>
      <c r="AYT28">
        <f t="shared" si="43"/>
        <v>0</v>
      </c>
      <c r="AYU28">
        <f t="shared" si="696"/>
        <v>0</v>
      </c>
      <c r="AYV28">
        <f t="shared" si="697"/>
        <v>0</v>
      </c>
      <c r="AYW28">
        <f t="shared" si="698"/>
        <v>0</v>
      </c>
      <c r="AYX28">
        <f t="shared" si="699"/>
        <v>0</v>
      </c>
      <c r="AYY28">
        <f t="shared" si="700"/>
        <v>0</v>
      </c>
      <c r="AYZ28">
        <f t="shared" si="701"/>
        <v>0</v>
      </c>
      <c r="AZA28">
        <f t="shared" si="702"/>
        <v>0</v>
      </c>
      <c r="AZB28">
        <f t="shared" si="703"/>
        <v>0</v>
      </c>
      <c r="AZC28">
        <f t="shared" si="704"/>
        <v>0</v>
      </c>
      <c r="AZD28">
        <f t="shared" si="705"/>
        <v>0</v>
      </c>
      <c r="AZE28">
        <f t="shared" si="706"/>
        <v>0</v>
      </c>
      <c r="AZF28">
        <f t="shared" si="707"/>
        <v>0</v>
      </c>
      <c r="AZG28">
        <f t="shared" si="708"/>
        <v>0</v>
      </c>
      <c r="AZH28">
        <f t="shared" si="709"/>
        <v>0</v>
      </c>
      <c r="AZI28">
        <f t="shared" si="710"/>
        <v>0</v>
      </c>
      <c r="AZJ28">
        <f t="shared" si="711"/>
        <v>0</v>
      </c>
      <c r="AZK28">
        <f t="shared" si="712"/>
        <v>0</v>
      </c>
      <c r="AZL28">
        <f t="shared" si="713"/>
        <v>0</v>
      </c>
      <c r="AZM28">
        <f t="shared" si="714"/>
        <v>0</v>
      </c>
      <c r="AZN28">
        <f t="shared" si="715"/>
        <v>0</v>
      </c>
      <c r="AZO28">
        <f t="shared" si="716"/>
        <v>0</v>
      </c>
      <c r="AZP28">
        <f t="shared" si="717"/>
        <v>0</v>
      </c>
      <c r="AZQ28">
        <f t="shared" si="718"/>
        <v>0</v>
      </c>
      <c r="AZR28">
        <f t="shared" si="719"/>
        <v>0</v>
      </c>
      <c r="AZS28">
        <f t="shared" si="720"/>
        <v>0</v>
      </c>
      <c r="AZT28">
        <f t="shared" si="721"/>
        <v>0</v>
      </c>
      <c r="AZU28">
        <f t="shared" si="722"/>
        <v>0</v>
      </c>
      <c r="AZV28">
        <f t="shared" si="723"/>
        <v>0</v>
      </c>
      <c r="AZW28">
        <f t="shared" si="724"/>
        <v>0</v>
      </c>
      <c r="AZX28">
        <f t="shared" si="725"/>
        <v>0</v>
      </c>
      <c r="AZY28">
        <f t="shared" si="726"/>
        <v>0</v>
      </c>
      <c r="AZZ28">
        <f t="shared" si="727"/>
        <v>0</v>
      </c>
      <c r="BAA28">
        <f t="shared" si="728"/>
        <v>0</v>
      </c>
      <c r="BAB28">
        <f t="shared" si="729"/>
        <v>0</v>
      </c>
      <c r="BAC28">
        <f t="shared" si="730"/>
        <v>0</v>
      </c>
      <c r="BAD28">
        <f t="shared" si="731"/>
        <v>0</v>
      </c>
      <c r="BAE28">
        <f t="shared" si="732"/>
        <v>0</v>
      </c>
      <c r="BAF28">
        <f t="shared" si="733"/>
        <v>0</v>
      </c>
      <c r="BAG28">
        <f t="shared" si="734"/>
        <v>0</v>
      </c>
      <c r="BAH28">
        <f t="shared" si="735"/>
        <v>0</v>
      </c>
      <c r="BAI28">
        <f t="shared" si="736"/>
        <v>0</v>
      </c>
      <c r="BAJ28">
        <f t="shared" si="737"/>
        <v>0</v>
      </c>
      <c r="BAK28">
        <f t="shared" si="738"/>
        <v>0</v>
      </c>
      <c r="BAL28">
        <f t="shared" si="739"/>
        <v>0</v>
      </c>
      <c r="BAM28">
        <f t="shared" si="740"/>
        <v>0</v>
      </c>
      <c r="BAN28">
        <f t="shared" si="741"/>
        <v>0</v>
      </c>
      <c r="BAO28">
        <f t="shared" si="742"/>
        <v>0</v>
      </c>
      <c r="BAP28">
        <f t="shared" si="743"/>
        <v>0</v>
      </c>
      <c r="BAQ28">
        <f t="shared" si="744"/>
        <v>0</v>
      </c>
      <c r="BAR28">
        <f t="shared" si="745"/>
        <v>0</v>
      </c>
      <c r="BAS28">
        <f t="shared" si="746"/>
        <v>0</v>
      </c>
      <c r="BAT28">
        <f t="shared" si="747"/>
        <v>0</v>
      </c>
      <c r="BAU28">
        <f t="shared" si="748"/>
        <v>0</v>
      </c>
      <c r="BAV28">
        <f t="shared" si="749"/>
        <v>0</v>
      </c>
      <c r="BAW28">
        <f t="shared" si="750"/>
        <v>0</v>
      </c>
      <c r="BAX28">
        <f t="shared" si="751"/>
        <v>0</v>
      </c>
      <c r="BAY28">
        <f t="shared" si="752"/>
        <v>0</v>
      </c>
      <c r="BAZ28">
        <f t="shared" si="753"/>
        <v>0</v>
      </c>
      <c r="BBA28">
        <f t="shared" si="754"/>
        <v>0</v>
      </c>
      <c r="BBB28">
        <f t="shared" si="755"/>
        <v>0</v>
      </c>
      <c r="BBC28">
        <f t="shared" si="756"/>
        <v>0</v>
      </c>
      <c r="BBD28">
        <f t="shared" si="757"/>
        <v>0</v>
      </c>
      <c r="BBE28">
        <f t="shared" si="758"/>
        <v>0</v>
      </c>
      <c r="BBF28">
        <f t="shared" si="44"/>
        <v>0</v>
      </c>
      <c r="BBG28">
        <f t="shared" si="759"/>
        <v>0</v>
      </c>
      <c r="BBH28">
        <f t="shared" si="760"/>
        <v>0</v>
      </c>
      <c r="BBI28">
        <f t="shared" si="761"/>
        <v>0</v>
      </c>
      <c r="BBJ28">
        <f t="shared" si="762"/>
        <v>0</v>
      </c>
      <c r="BBK28">
        <f t="shared" si="763"/>
        <v>0</v>
      </c>
      <c r="BBL28">
        <f t="shared" si="764"/>
        <v>0</v>
      </c>
      <c r="BBM28">
        <f t="shared" si="765"/>
        <v>0</v>
      </c>
      <c r="BBN28">
        <f t="shared" si="766"/>
        <v>0</v>
      </c>
      <c r="BBO28">
        <f t="shared" si="767"/>
        <v>0</v>
      </c>
      <c r="BBP28">
        <f t="shared" si="768"/>
        <v>0</v>
      </c>
      <c r="BBQ28">
        <f t="shared" si="769"/>
        <v>0</v>
      </c>
      <c r="BBR28">
        <f t="shared" si="770"/>
        <v>0</v>
      </c>
      <c r="BBS28">
        <f t="shared" si="771"/>
        <v>0</v>
      </c>
      <c r="BBT28">
        <f t="shared" si="772"/>
        <v>0</v>
      </c>
      <c r="BBU28">
        <f t="shared" si="773"/>
        <v>0</v>
      </c>
      <c r="BBV28">
        <f t="shared" si="774"/>
        <v>0</v>
      </c>
      <c r="BBW28">
        <f t="shared" si="775"/>
        <v>0</v>
      </c>
      <c r="BBX28">
        <f t="shared" si="776"/>
        <v>0</v>
      </c>
      <c r="BBY28">
        <f t="shared" si="777"/>
        <v>0</v>
      </c>
      <c r="BBZ28">
        <f t="shared" si="778"/>
        <v>0</v>
      </c>
      <c r="BCA28">
        <f t="shared" si="779"/>
        <v>0</v>
      </c>
      <c r="BCB28">
        <f t="shared" si="780"/>
        <v>0</v>
      </c>
      <c r="BCC28">
        <f t="shared" si="781"/>
        <v>0</v>
      </c>
      <c r="BCD28">
        <f t="shared" si="782"/>
        <v>0</v>
      </c>
      <c r="BCE28">
        <f t="shared" si="783"/>
        <v>0</v>
      </c>
      <c r="BCF28">
        <f t="shared" si="784"/>
        <v>0</v>
      </c>
      <c r="BCG28">
        <f t="shared" si="785"/>
        <v>0</v>
      </c>
      <c r="BCH28">
        <f t="shared" si="786"/>
        <v>0</v>
      </c>
      <c r="BCI28">
        <f t="shared" si="787"/>
        <v>0</v>
      </c>
      <c r="BCJ28">
        <f t="shared" si="788"/>
        <v>0</v>
      </c>
      <c r="BCK28">
        <f t="shared" si="789"/>
        <v>0</v>
      </c>
      <c r="BCL28">
        <f t="shared" si="790"/>
        <v>0</v>
      </c>
      <c r="BCM28">
        <f t="shared" si="791"/>
        <v>0</v>
      </c>
      <c r="BCN28">
        <f t="shared" si="792"/>
        <v>0</v>
      </c>
      <c r="BCO28">
        <f t="shared" si="793"/>
        <v>0</v>
      </c>
      <c r="BCP28">
        <f t="shared" si="794"/>
        <v>0</v>
      </c>
      <c r="BCQ28">
        <f t="shared" si="795"/>
        <v>0</v>
      </c>
      <c r="BCR28">
        <f t="shared" si="796"/>
        <v>0</v>
      </c>
      <c r="BCS28">
        <f t="shared" si="797"/>
        <v>0</v>
      </c>
      <c r="BCT28">
        <f t="shared" si="798"/>
        <v>0</v>
      </c>
      <c r="BCU28">
        <f t="shared" si="799"/>
        <v>0</v>
      </c>
      <c r="BCV28">
        <f t="shared" si="800"/>
        <v>0</v>
      </c>
      <c r="BCW28">
        <f t="shared" si="801"/>
        <v>0</v>
      </c>
      <c r="BCX28">
        <f t="shared" si="802"/>
        <v>0</v>
      </c>
      <c r="BCY28">
        <f t="shared" si="803"/>
        <v>0</v>
      </c>
      <c r="BCZ28">
        <f t="shared" si="804"/>
        <v>0</v>
      </c>
      <c r="BDA28">
        <f t="shared" si="805"/>
        <v>0</v>
      </c>
      <c r="BDB28">
        <f t="shared" si="806"/>
        <v>0</v>
      </c>
      <c r="BDC28">
        <f t="shared" si="807"/>
        <v>0</v>
      </c>
      <c r="BDD28">
        <f t="shared" si="808"/>
        <v>0</v>
      </c>
      <c r="BDE28">
        <f t="shared" si="809"/>
        <v>0</v>
      </c>
      <c r="BDF28">
        <f t="shared" si="810"/>
        <v>0</v>
      </c>
      <c r="BDG28">
        <f t="shared" si="811"/>
        <v>0</v>
      </c>
      <c r="BDH28">
        <f t="shared" si="812"/>
        <v>0</v>
      </c>
      <c r="BDI28">
        <f t="shared" si="813"/>
        <v>0</v>
      </c>
      <c r="BDJ28">
        <f t="shared" si="814"/>
        <v>0</v>
      </c>
      <c r="BDK28">
        <f t="shared" si="815"/>
        <v>0</v>
      </c>
      <c r="BDL28">
        <f t="shared" si="816"/>
        <v>0</v>
      </c>
      <c r="BDM28">
        <f t="shared" si="817"/>
        <v>0</v>
      </c>
      <c r="BDN28">
        <f t="shared" si="818"/>
        <v>0</v>
      </c>
      <c r="BDO28">
        <f t="shared" si="819"/>
        <v>0</v>
      </c>
      <c r="BDP28">
        <f t="shared" si="820"/>
        <v>0</v>
      </c>
      <c r="BDQ28">
        <f t="shared" si="821"/>
        <v>0</v>
      </c>
      <c r="BDR28">
        <f t="shared" si="45"/>
        <v>0</v>
      </c>
      <c r="BDS28">
        <f t="shared" si="822"/>
        <v>0</v>
      </c>
      <c r="BDT28">
        <f t="shared" si="823"/>
        <v>0</v>
      </c>
      <c r="BDU28">
        <f t="shared" si="824"/>
        <v>0</v>
      </c>
      <c r="BDV28">
        <f t="shared" si="825"/>
        <v>0</v>
      </c>
      <c r="BDW28">
        <f t="shared" si="826"/>
        <v>0</v>
      </c>
      <c r="BDX28">
        <f t="shared" si="827"/>
        <v>0</v>
      </c>
      <c r="BDY28">
        <f t="shared" si="828"/>
        <v>0</v>
      </c>
      <c r="BDZ28">
        <f t="shared" si="829"/>
        <v>0</v>
      </c>
      <c r="BEA28">
        <f t="shared" si="830"/>
        <v>0</v>
      </c>
      <c r="BEB28">
        <f t="shared" si="831"/>
        <v>0</v>
      </c>
      <c r="BEC28">
        <f t="shared" si="832"/>
        <v>0</v>
      </c>
      <c r="BED28">
        <f t="shared" si="833"/>
        <v>0</v>
      </c>
      <c r="BEE28">
        <f t="shared" si="834"/>
        <v>0</v>
      </c>
      <c r="BEF28">
        <f t="shared" si="835"/>
        <v>0</v>
      </c>
      <c r="BEG28">
        <f t="shared" si="836"/>
        <v>0</v>
      </c>
      <c r="BEH28">
        <f t="shared" si="837"/>
        <v>0</v>
      </c>
      <c r="BEI28">
        <f t="shared" si="838"/>
        <v>0</v>
      </c>
      <c r="BEJ28">
        <f t="shared" si="839"/>
        <v>0</v>
      </c>
      <c r="BEK28">
        <f t="shared" si="840"/>
        <v>0</v>
      </c>
      <c r="BEL28">
        <f t="shared" si="841"/>
        <v>0</v>
      </c>
      <c r="BEM28">
        <f t="shared" si="842"/>
        <v>0</v>
      </c>
      <c r="BEN28">
        <f t="shared" si="843"/>
        <v>0</v>
      </c>
      <c r="BEO28">
        <f t="shared" si="844"/>
        <v>0</v>
      </c>
      <c r="BEP28">
        <f t="shared" si="845"/>
        <v>0</v>
      </c>
      <c r="BEQ28">
        <f t="shared" si="846"/>
        <v>0</v>
      </c>
      <c r="BER28">
        <f t="shared" si="847"/>
        <v>0</v>
      </c>
      <c r="BES28">
        <f t="shared" si="848"/>
        <v>0</v>
      </c>
      <c r="BET28">
        <f t="shared" si="849"/>
        <v>0</v>
      </c>
      <c r="BEU28">
        <f t="shared" si="850"/>
        <v>0</v>
      </c>
      <c r="BEV28">
        <f t="shared" si="851"/>
        <v>0</v>
      </c>
      <c r="BEW28">
        <f t="shared" si="852"/>
        <v>0</v>
      </c>
      <c r="BEX28">
        <f t="shared" si="853"/>
        <v>0</v>
      </c>
      <c r="BEY28">
        <f t="shared" si="854"/>
        <v>0</v>
      </c>
      <c r="BEZ28">
        <f t="shared" si="855"/>
        <v>0</v>
      </c>
      <c r="BFA28">
        <f t="shared" si="856"/>
        <v>0</v>
      </c>
      <c r="BFB28">
        <f t="shared" si="857"/>
        <v>0</v>
      </c>
      <c r="BFC28">
        <f t="shared" si="858"/>
        <v>0</v>
      </c>
      <c r="BFD28">
        <f t="shared" si="859"/>
        <v>0</v>
      </c>
      <c r="BFE28">
        <f t="shared" si="860"/>
        <v>0</v>
      </c>
      <c r="BFF28">
        <f t="shared" si="861"/>
        <v>0</v>
      </c>
      <c r="BFG28">
        <f t="shared" si="862"/>
        <v>0</v>
      </c>
      <c r="BFH28">
        <f t="shared" si="863"/>
        <v>0</v>
      </c>
      <c r="BFI28">
        <f t="shared" si="864"/>
        <v>0</v>
      </c>
      <c r="BFJ28">
        <f t="shared" si="865"/>
        <v>0</v>
      </c>
      <c r="BFK28">
        <f t="shared" si="866"/>
        <v>0</v>
      </c>
      <c r="BFL28">
        <f t="shared" si="867"/>
        <v>0</v>
      </c>
      <c r="BFM28">
        <f t="shared" si="868"/>
        <v>0</v>
      </c>
      <c r="BFN28">
        <f t="shared" si="869"/>
        <v>0</v>
      </c>
      <c r="BFO28">
        <f t="shared" si="870"/>
        <v>0</v>
      </c>
      <c r="BFP28">
        <f t="shared" si="871"/>
        <v>0</v>
      </c>
      <c r="BFQ28">
        <f t="shared" si="872"/>
        <v>0</v>
      </c>
      <c r="BFR28">
        <f t="shared" si="873"/>
        <v>0</v>
      </c>
      <c r="BFS28">
        <f t="shared" si="874"/>
        <v>0</v>
      </c>
      <c r="BFT28">
        <f t="shared" si="875"/>
        <v>0</v>
      </c>
      <c r="BFU28">
        <f t="shared" si="876"/>
        <v>0</v>
      </c>
      <c r="BFV28">
        <f t="shared" si="877"/>
        <v>0</v>
      </c>
      <c r="BFW28">
        <f t="shared" si="878"/>
        <v>0</v>
      </c>
      <c r="BFX28">
        <f t="shared" si="879"/>
        <v>0</v>
      </c>
      <c r="BFY28">
        <f t="shared" si="880"/>
        <v>0</v>
      </c>
      <c r="BFZ28">
        <f t="shared" si="881"/>
        <v>0</v>
      </c>
      <c r="BGA28">
        <f t="shared" si="882"/>
        <v>0</v>
      </c>
      <c r="BGB28">
        <f t="shared" si="883"/>
        <v>0</v>
      </c>
      <c r="BGC28">
        <f t="shared" si="884"/>
        <v>0</v>
      </c>
      <c r="BGD28">
        <f t="shared" si="46"/>
        <v>0</v>
      </c>
      <c r="BGE28">
        <f t="shared" si="885"/>
        <v>0</v>
      </c>
      <c r="BGF28">
        <f t="shared" si="886"/>
        <v>0</v>
      </c>
      <c r="BGG28">
        <f t="shared" si="887"/>
        <v>0</v>
      </c>
      <c r="BGH28">
        <f t="shared" si="888"/>
        <v>0</v>
      </c>
      <c r="BGI28">
        <f t="shared" si="889"/>
        <v>0</v>
      </c>
      <c r="BGJ28">
        <f t="shared" si="890"/>
        <v>0</v>
      </c>
      <c r="BGK28">
        <f t="shared" si="891"/>
        <v>0</v>
      </c>
      <c r="BGL28">
        <f t="shared" si="892"/>
        <v>0</v>
      </c>
      <c r="BGM28">
        <f t="shared" si="893"/>
        <v>0</v>
      </c>
      <c r="BGN28">
        <f t="shared" si="894"/>
        <v>0</v>
      </c>
      <c r="BGO28">
        <f t="shared" si="895"/>
        <v>0</v>
      </c>
      <c r="BGP28">
        <f t="shared" si="896"/>
        <v>0</v>
      </c>
      <c r="BGQ28">
        <f t="shared" si="897"/>
        <v>0</v>
      </c>
      <c r="BGR28">
        <f t="shared" si="898"/>
        <v>0</v>
      </c>
      <c r="BGS28">
        <f t="shared" si="899"/>
        <v>0</v>
      </c>
      <c r="BGT28">
        <f t="shared" si="900"/>
        <v>0</v>
      </c>
      <c r="BGU28">
        <f t="shared" si="901"/>
        <v>0</v>
      </c>
      <c r="BGV28">
        <f t="shared" si="902"/>
        <v>0</v>
      </c>
      <c r="BGW28">
        <f t="shared" si="903"/>
        <v>0</v>
      </c>
      <c r="BGX28">
        <f t="shared" si="904"/>
        <v>0</v>
      </c>
      <c r="BGY28">
        <f t="shared" si="905"/>
        <v>0</v>
      </c>
      <c r="BGZ28">
        <f t="shared" si="906"/>
        <v>0</v>
      </c>
      <c r="BHA28">
        <f t="shared" si="907"/>
        <v>0</v>
      </c>
      <c r="BHB28">
        <f t="shared" si="908"/>
        <v>0</v>
      </c>
      <c r="BHC28">
        <f t="shared" si="909"/>
        <v>0</v>
      </c>
      <c r="BHD28">
        <f t="shared" si="910"/>
        <v>0</v>
      </c>
      <c r="BHE28">
        <f t="shared" si="911"/>
        <v>0</v>
      </c>
      <c r="BHF28">
        <f t="shared" si="912"/>
        <v>0</v>
      </c>
      <c r="BHG28">
        <f t="shared" si="913"/>
        <v>0</v>
      </c>
      <c r="BHH28">
        <f t="shared" si="914"/>
        <v>0</v>
      </c>
      <c r="BHI28">
        <f t="shared" si="915"/>
        <v>0</v>
      </c>
      <c r="BHJ28">
        <f t="shared" si="916"/>
        <v>0</v>
      </c>
      <c r="BHK28">
        <f t="shared" si="917"/>
        <v>0</v>
      </c>
      <c r="BHL28">
        <f t="shared" si="918"/>
        <v>0</v>
      </c>
      <c r="BHM28">
        <f t="shared" si="919"/>
        <v>0</v>
      </c>
      <c r="BHN28">
        <f t="shared" si="920"/>
        <v>0</v>
      </c>
      <c r="BHO28">
        <f t="shared" si="921"/>
        <v>0</v>
      </c>
      <c r="BHP28">
        <f t="shared" si="922"/>
        <v>0</v>
      </c>
      <c r="BHQ28">
        <f t="shared" si="923"/>
        <v>0</v>
      </c>
      <c r="BHR28">
        <f t="shared" si="924"/>
        <v>0</v>
      </c>
      <c r="BHS28">
        <f t="shared" si="925"/>
        <v>0</v>
      </c>
      <c r="BHT28">
        <f t="shared" si="926"/>
        <v>0</v>
      </c>
      <c r="BHU28">
        <f t="shared" si="927"/>
        <v>0</v>
      </c>
      <c r="BHV28">
        <f t="shared" si="928"/>
        <v>0</v>
      </c>
      <c r="BHW28">
        <f t="shared" si="929"/>
        <v>0</v>
      </c>
      <c r="BHX28">
        <f t="shared" si="930"/>
        <v>0</v>
      </c>
      <c r="BHY28">
        <f t="shared" si="931"/>
        <v>0</v>
      </c>
      <c r="BHZ28">
        <f t="shared" si="932"/>
        <v>0</v>
      </c>
      <c r="BIA28">
        <f t="shared" si="933"/>
        <v>0</v>
      </c>
      <c r="BIB28">
        <f t="shared" si="934"/>
        <v>0</v>
      </c>
      <c r="BIC28">
        <f t="shared" si="935"/>
        <v>0</v>
      </c>
      <c r="BID28">
        <f t="shared" si="936"/>
        <v>0</v>
      </c>
      <c r="BIE28">
        <f t="shared" si="937"/>
        <v>0</v>
      </c>
      <c r="BIF28">
        <f t="shared" si="938"/>
        <v>0</v>
      </c>
      <c r="BIG28">
        <f t="shared" si="939"/>
        <v>0</v>
      </c>
      <c r="BIH28">
        <f t="shared" si="940"/>
        <v>0</v>
      </c>
      <c r="BII28">
        <f t="shared" si="941"/>
        <v>0</v>
      </c>
      <c r="BIJ28">
        <f t="shared" si="942"/>
        <v>0</v>
      </c>
      <c r="BIK28">
        <f t="shared" si="943"/>
        <v>0</v>
      </c>
      <c r="BIL28">
        <f t="shared" si="944"/>
        <v>0</v>
      </c>
      <c r="BIM28">
        <f t="shared" si="945"/>
        <v>0</v>
      </c>
      <c r="BIN28">
        <f t="shared" si="946"/>
        <v>0</v>
      </c>
      <c r="BIO28">
        <f t="shared" si="947"/>
        <v>0</v>
      </c>
      <c r="BIP28">
        <f t="shared" si="47"/>
        <v>0</v>
      </c>
      <c r="BIQ28">
        <f t="shared" si="948"/>
        <v>0</v>
      </c>
      <c r="BIR28">
        <f t="shared" si="949"/>
        <v>0</v>
      </c>
      <c r="BIS28">
        <f t="shared" si="950"/>
        <v>0</v>
      </c>
      <c r="BIT28">
        <f t="shared" si="951"/>
        <v>0</v>
      </c>
      <c r="BIU28">
        <f t="shared" si="952"/>
        <v>0</v>
      </c>
      <c r="BIV28">
        <f t="shared" si="953"/>
        <v>0</v>
      </c>
      <c r="BIW28">
        <f t="shared" si="954"/>
        <v>0</v>
      </c>
      <c r="BIX28">
        <f t="shared" si="955"/>
        <v>0</v>
      </c>
      <c r="BIY28">
        <f t="shared" si="956"/>
        <v>0</v>
      </c>
      <c r="BIZ28">
        <f t="shared" si="957"/>
        <v>0</v>
      </c>
      <c r="BJA28">
        <f t="shared" si="958"/>
        <v>0</v>
      </c>
      <c r="BJB28">
        <f t="shared" si="959"/>
        <v>0</v>
      </c>
      <c r="BJC28">
        <f t="shared" si="960"/>
        <v>0</v>
      </c>
      <c r="BJD28">
        <f t="shared" si="961"/>
        <v>0</v>
      </c>
      <c r="BJE28">
        <f t="shared" si="962"/>
        <v>0</v>
      </c>
      <c r="BJF28">
        <f t="shared" si="963"/>
        <v>0</v>
      </c>
      <c r="BJG28">
        <f t="shared" si="964"/>
        <v>0</v>
      </c>
      <c r="BJH28">
        <f t="shared" si="965"/>
        <v>0</v>
      </c>
      <c r="BJI28">
        <f t="shared" si="966"/>
        <v>0</v>
      </c>
      <c r="BJJ28">
        <f t="shared" si="967"/>
        <v>0</v>
      </c>
      <c r="BJK28">
        <f t="shared" si="968"/>
        <v>0</v>
      </c>
      <c r="BJL28">
        <f t="shared" si="969"/>
        <v>0</v>
      </c>
      <c r="BJM28">
        <f t="shared" si="970"/>
        <v>0</v>
      </c>
      <c r="BJN28">
        <f t="shared" si="971"/>
        <v>0</v>
      </c>
      <c r="BJO28">
        <f t="shared" si="972"/>
        <v>0</v>
      </c>
      <c r="BJP28">
        <f t="shared" si="973"/>
        <v>0</v>
      </c>
      <c r="BJQ28">
        <f t="shared" si="974"/>
        <v>0</v>
      </c>
      <c r="BJR28">
        <f t="shared" si="975"/>
        <v>0</v>
      </c>
      <c r="BJS28">
        <f t="shared" si="976"/>
        <v>0</v>
      </c>
      <c r="BJT28">
        <f t="shared" si="977"/>
        <v>0</v>
      </c>
      <c r="BJU28">
        <f t="shared" si="978"/>
        <v>0</v>
      </c>
      <c r="BJV28">
        <f t="shared" si="979"/>
        <v>0</v>
      </c>
      <c r="BJW28">
        <f t="shared" si="980"/>
        <v>0</v>
      </c>
      <c r="BJX28">
        <f t="shared" si="981"/>
        <v>0</v>
      </c>
      <c r="BJY28">
        <f t="shared" si="982"/>
        <v>0</v>
      </c>
      <c r="BJZ28">
        <f t="shared" si="983"/>
        <v>0</v>
      </c>
      <c r="BKA28">
        <f t="shared" si="984"/>
        <v>0</v>
      </c>
      <c r="BKB28">
        <f t="shared" si="985"/>
        <v>0</v>
      </c>
      <c r="BKC28">
        <f t="shared" si="986"/>
        <v>0</v>
      </c>
      <c r="BKD28">
        <f t="shared" si="987"/>
        <v>0</v>
      </c>
      <c r="BKE28">
        <f t="shared" si="988"/>
        <v>0</v>
      </c>
      <c r="BKF28">
        <f t="shared" si="989"/>
        <v>0</v>
      </c>
      <c r="BKG28">
        <f t="shared" si="990"/>
        <v>0</v>
      </c>
      <c r="BKH28">
        <f t="shared" si="991"/>
        <v>0</v>
      </c>
      <c r="BKI28">
        <f t="shared" si="992"/>
        <v>0</v>
      </c>
      <c r="BKJ28">
        <f t="shared" si="993"/>
        <v>0</v>
      </c>
      <c r="BKK28">
        <f t="shared" si="994"/>
        <v>0</v>
      </c>
      <c r="BKL28">
        <f t="shared" si="995"/>
        <v>0</v>
      </c>
      <c r="BKM28">
        <f t="shared" si="996"/>
        <v>0</v>
      </c>
      <c r="BKN28">
        <f t="shared" si="997"/>
        <v>0</v>
      </c>
      <c r="BKO28">
        <f t="shared" si="998"/>
        <v>0</v>
      </c>
      <c r="BKP28">
        <f t="shared" si="999"/>
        <v>0</v>
      </c>
      <c r="BKQ28">
        <f t="shared" si="1000"/>
        <v>0</v>
      </c>
      <c r="BKR28">
        <f t="shared" si="1001"/>
        <v>0</v>
      </c>
      <c r="BKS28">
        <f t="shared" si="1002"/>
        <v>0</v>
      </c>
      <c r="BKT28">
        <f t="shared" si="1003"/>
        <v>0</v>
      </c>
      <c r="BKU28">
        <f t="shared" si="1004"/>
        <v>0</v>
      </c>
      <c r="BKV28">
        <f t="shared" si="1005"/>
        <v>0</v>
      </c>
      <c r="BKW28">
        <f t="shared" si="1006"/>
        <v>0</v>
      </c>
      <c r="BKX28">
        <f t="shared" si="1007"/>
        <v>0</v>
      </c>
      <c r="BKY28">
        <f t="shared" si="1008"/>
        <v>0</v>
      </c>
      <c r="BKZ28">
        <f t="shared" si="1009"/>
        <v>0</v>
      </c>
      <c r="BLA28">
        <f t="shared" si="1010"/>
        <v>0</v>
      </c>
      <c r="BLB28">
        <f t="shared" si="48"/>
        <v>0</v>
      </c>
      <c r="BLC28">
        <f t="shared" si="1011"/>
        <v>0</v>
      </c>
      <c r="BLD28">
        <f t="shared" si="1012"/>
        <v>0</v>
      </c>
      <c r="BLE28">
        <f t="shared" si="1013"/>
        <v>0</v>
      </c>
      <c r="BLF28">
        <f t="shared" si="1014"/>
        <v>0</v>
      </c>
      <c r="BLG28">
        <f t="shared" si="1015"/>
        <v>0</v>
      </c>
      <c r="BLH28">
        <f t="shared" si="1016"/>
        <v>0</v>
      </c>
      <c r="BLI28">
        <f t="shared" si="1017"/>
        <v>0</v>
      </c>
      <c r="BLJ28">
        <f t="shared" si="1018"/>
        <v>0</v>
      </c>
      <c r="BLK28">
        <f t="shared" si="1019"/>
        <v>0</v>
      </c>
      <c r="BLL28">
        <f t="shared" si="1020"/>
        <v>0</v>
      </c>
      <c r="BLM28">
        <f t="shared" si="1021"/>
        <v>0</v>
      </c>
      <c r="BLN28">
        <f t="shared" si="1022"/>
        <v>0</v>
      </c>
      <c r="BLO28">
        <f t="shared" si="1023"/>
        <v>0</v>
      </c>
      <c r="BLP28">
        <f t="shared" si="1024"/>
        <v>0</v>
      </c>
      <c r="BLQ28">
        <f t="shared" si="1025"/>
        <v>0</v>
      </c>
      <c r="BLR28">
        <f t="shared" si="1026"/>
        <v>0</v>
      </c>
      <c r="BLS28">
        <f t="shared" si="1027"/>
        <v>0</v>
      </c>
      <c r="BLT28">
        <f t="shared" si="1028"/>
        <v>0</v>
      </c>
      <c r="BLU28">
        <f t="shared" si="1029"/>
        <v>0</v>
      </c>
      <c r="BLV28">
        <f t="shared" si="1030"/>
        <v>0</v>
      </c>
      <c r="BLW28">
        <f t="shared" si="1031"/>
        <v>0</v>
      </c>
      <c r="BLX28">
        <f t="shared" si="1032"/>
        <v>0</v>
      </c>
      <c r="BLY28">
        <f t="shared" si="1033"/>
        <v>0</v>
      </c>
      <c r="BLZ28">
        <f t="shared" si="1034"/>
        <v>0</v>
      </c>
      <c r="BMA28">
        <f t="shared" si="1035"/>
        <v>0</v>
      </c>
      <c r="BMB28">
        <f t="shared" si="1036"/>
        <v>0</v>
      </c>
      <c r="BMC28">
        <f t="shared" si="1037"/>
        <v>0</v>
      </c>
      <c r="BMD28">
        <f t="shared" si="1038"/>
        <v>0</v>
      </c>
      <c r="BME28">
        <f t="shared" si="1039"/>
        <v>0</v>
      </c>
      <c r="BMF28">
        <f t="shared" si="1040"/>
        <v>0</v>
      </c>
      <c r="BMG28">
        <f t="shared" si="1041"/>
        <v>0</v>
      </c>
      <c r="BMH28">
        <f t="shared" si="1042"/>
        <v>0</v>
      </c>
      <c r="BMI28">
        <f t="shared" si="1043"/>
        <v>0</v>
      </c>
      <c r="BMJ28">
        <f t="shared" si="1044"/>
        <v>0</v>
      </c>
      <c r="BMK28">
        <f t="shared" si="1045"/>
        <v>0</v>
      </c>
      <c r="BML28">
        <f t="shared" si="1046"/>
        <v>0</v>
      </c>
      <c r="BMM28">
        <f t="shared" si="1047"/>
        <v>0</v>
      </c>
      <c r="BMN28">
        <f t="shared" si="1048"/>
        <v>0</v>
      </c>
      <c r="BMO28">
        <f t="shared" si="1049"/>
        <v>0</v>
      </c>
      <c r="BMP28">
        <f t="shared" si="1050"/>
        <v>0</v>
      </c>
      <c r="BMQ28">
        <f t="shared" si="1051"/>
        <v>0</v>
      </c>
      <c r="BMR28">
        <f t="shared" si="1052"/>
        <v>0</v>
      </c>
      <c r="BMS28">
        <f t="shared" si="1053"/>
        <v>0</v>
      </c>
      <c r="BMT28">
        <f t="shared" si="1054"/>
        <v>0</v>
      </c>
      <c r="BMU28">
        <f t="shared" si="1055"/>
        <v>0</v>
      </c>
      <c r="BMV28">
        <f t="shared" si="1056"/>
        <v>0</v>
      </c>
      <c r="BMW28">
        <f t="shared" si="1057"/>
        <v>0</v>
      </c>
      <c r="BMX28">
        <f t="shared" si="1058"/>
        <v>0</v>
      </c>
      <c r="BMY28">
        <f t="shared" si="1059"/>
        <v>0</v>
      </c>
      <c r="BMZ28">
        <f t="shared" si="1060"/>
        <v>0</v>
      </c>
      <c r="BNA28">
        <f t="shared" si="1061"/>
        <v>0</v>
      </c>
      <c r="BNB28">
        <f t="shared" si="1062"/>
        <v>0</v>
      </c>
      <c r="BNC28">
        <f t="shared" si="1063"/>
        <v>0</v>
      </c>
      <c r="BND28">
        <f t="shared" si="1064"/>
        <v>0</v>
      </c>
      <c r="BNE28">
        <f t="shared" si="1065"/>
        <v>0</v>
      </c>
      <c r="BNF28">
        <f t="shared" si="1066"/>
        <v>0</v>
      </c>
      <c r="BNG28">
        <f t="shared" si="1067"/>
        <v>0</v>
      </c>
      <c r="BNH28">
        <f t="shared" si="1068"/>
        <v>0</v>
      </c>
      <c r="BNI28">
        <f t="shared" si="1069"/>
        <v>0</v>
      </c>
      <c r="BNJ28">
        <f t="shared" si="1070"/>
        <v>0</v>
      </c>
      <c r="BNK28">
        <f t="shared" si="1071"/>
        <v>0</v>
      </c>
      <c r="BNL28">
        <f t="shared" si="1072"/>
        <v>0</v>
      </c>
      <c r="BNM28">
        <f t="shared" si="1073"/>
        <v>0</v>
      </c>
      <c r="BNN28">
        <f t="shared" si="49"/>
        <v>0</v>
      </c>
      <c r="BNO28">
        <f t="shared" si="1074"/>
        <v>0</v>
      </c>
      <c r="BNP28">
        <f t="shared" si="1075"/>
        <v>0</v>
      </c>
      <c r="BNQ28">
        <f t="shared" si="1076"/>
        <v>0</v>
      </c>
      <c r="BNR28">
        <f t="shared" si="1077"/>
        <v>0</v>
      </c>
      <c r="BNS28">
        <f t="shared" si="1078"/>
        <v>0</v>
      </c>
      <c r="BNT28">
        <f t="shared" si="1079"/>
        <v>0</v>
      </c>
      <c r="BNU28">
        <f t="shared" si="1080"/>
        <v>0</v>
      </c>
      <c r="BNV28">
        <f t="shared" si="1081"/>
        <v>0</v>
      </c>
      <c r="BNW28">
        <f t="shared" si="1082"/>
        <v>0</v>
      </c>
      <c r="BNX28">
        <f t="shared" si="1083"/>
        <v>0</v>
      </c>
      <c r="BNY28">
        <f t="shared" si="1084"/>
        <v>0</v>
      </c>
      <c r="BNZ28">
        <f t="shared" si="1085"/>
        <v>0</v>
      </c>
      <c r="BOA28">
        <f t="shared" si="1086"/>
        <v>0</v>
      </c>
      <c r="BOB28">
        <f t="shared" si="1087"/>
        <v>0</v>
      </c>
      <c r="BOC28">
        <f t="shared" si="1088"/>
        <v>0</v>
      </c>
      <c r="BOD28">
        <f t="shared" si="1089"/>
        <v>0</v>
      </c>
      <c r="BOE28">
        <f t="shared" si="1090"/>
        <v>0</v>
      </c>
      <c r="BOF28">
        <f t="shared" si="1091"/>
        <v>0</v>
      </c>
      <c r="BOG28">
        <f t="shared" si="1092"/>
        <v>0</v>
      </c>
      <c r="BOH28">
        <f t="shared" si="1093"/>
        <v>0</v>
      </c>
      <c r="BOI28">
        <f t="shared" si="1094"/>
        <v>0</v>
      </c>
      <c r="BOJ28">
        <f t="shared" si="1095"/>
        <v>0</v>
      </c>
      <c r="BOK28">
        <f t="shared" si="1096"/>
        <v>0</v>
      </c>
      <c r="BOL28">
        <f t="shared" si="1097"/>
        <v>0</v>
      </c>
      <c r="BOM28">
        <f t="shared" si="1098"/>
        <v>0</v>
      </c>
      <c r="BON28">
        <f t="shared" si="1099"/>
        <v>0</v>
      </c>
      <c r="BOO28">
        <f t="shared" si="1100"/>
        <v>0</v>
      </c>
      <c r="BOP28">
        <f t="shared" si="1101"/>
        <v>0</v>
      </c>
      <c r="BOQ28">
        <f t="shared" si="1102"/>
        <v>0</v>
      </c>
      <c r="BOR28">
        <f t="shared" si="1103"/>
        <v>0</v>
      </c>
      <c r="BOS28">
        <f t="shared" si="1104"/>
        <v>0</v>
      </c>
      <c r="BOT28">
        <f t="shared" si="1105"/>
        <v>0</v>
      </c>
      <c r="BOU28">
        <f t="shared" si="1106"/>
        <v>0</v>
      </c>
      <c r="BOV28">
        <f t="shared" si="1107"/>
        <v>0</v>
      </c>
      <c r="BOW28">
        <f t="shared" si="1108"/>
        <v>0</v>
      </c>
      <c r="BOX28">
        <f t="shared" si="1109"/>
        <v>0</v>
      </c>
      <c r="BOY28">
        <f t="shared" si="1110"/>
        <v>0</v>
      </c>
      <c r="BOZ28">
        <f t="shared" si="1111"/>
        <v>0</v>
      </c>
      <c r="BPA28">
        <f t="shared" si="1112"/>
        <v>0</v>
      </c>
      <c r="BPB28">
        <f t="shared" si="1113"/>
        <v>0</v>
      </c>
      <c r="BPC28">
        <f t="shared" si="1114"/>
        <v>0</v>
      </c>
      <c r="BPD28">
        <f t="shared" si="1115"/>
        <v>0</v>
      </c>
      <c r="BPE28">
        <f t="shared" si="1116"/>
        <v>0</v>
      </c>
      <c r="BPF28">
        <f t="shared" si="1117"/>
        <v>0</v>
      </c>
      <c r="BPG28">
        <f t="shared" si="1118"/>
        <v>0</v>
      </c>
      <c r="BPH28">
        <f t="shared" si="1119"/>
        <v>0</v>
      </c>
      <c r="BPI28">
        <f t="shared" si="1120"/>
        <v>0</v>
      </c>
      <c r="BPJ28">
        <f t="shared" si="1121"/>
        <v>0</v>
      </c>
      <c r="BPK28">
        <f t="shared" si="1122"/>
        <v>0</v>
      </c>
      <c r="BPL28">
        <f t="shared" si="1123"/>
        <v>0</v>
      </c>
      <c r="BPM28">
        <f t="shared" si="1124"/>
        <v>0</v>
      </c>
      <c r="BPN28">
        <f t="shared" si="1125"/>
        <v>0</v>
      </c>
      <c r="BPO28">
        <f t="shared" si="1126"/>
        <v>0</v>
      </c>
      <c r="BPP28">
        <f t="shared" si="1127"/>
        <v>0</v>
      </c>
      <c r="BPQ28">
        <f t="shared" si="1128"/>
        <v>0</v>
      </c>
      <c r="BPR28">
        <f t="shared" si="1129"/>
        <v>0</v>
      </c>
      <c r="BPS28">
        <f t="shared" si="1130"/>
        <v>0</v>
      </c>
      <c r="BPT28">
        <f t="shared" si="1131"/>
        <v>0</v>
      </c>
      <c r="BPU28">
        <f t="shared" si="1132"/>
        <v>0</v>
      </c>
      <c r="BPV28">
        <f t="shared" si="1133"/>
        <v>0</v>
      </c>
      <c r="BPW28">
        <f t="shared" si="1134"/>
        <v>0</v>
      </c>
      <c r="BPX28">
        <f t="shared" si="1135"/>
        <v>0</v>
      </c>
      <c r="BPY28">
        <f t="shared" si="1136"/>
        <v>0</v>
      </c>
      <c r="BPZ28">
        <f t="shared" si="50"/>
        <v>0</v>
      </c>
      <c r="BQA28">
        <f t="shared" si="1137"/>
        <v>0</v>
      </c>
      <c r="BQB28">
        <f t="shared" si="1138"/>
        <v>0</v>
      </c>
      <c r="BQC28">
        <f t="shared" si="1139"/>
        <v>0</v>
      </c>
      <c r="BQD28">
        <f t="shared" si="1140"/>
        <v>0</v>
      </c>
      <c r="BQE28">
        <f t="shared" si="1141"/>
        <v>0</v>
      </c>
      <c r="BQF28">
        <f t="shared" si="1142"/>
        <v>0</v>
      </c>
      <c r="BQG28">
        <f t="shared" si="1143"/>
        <v>0</v>
      </c>
      <c r="BQH28">
        <f t="shared" si="1144"/>
        <v>0</v>
      </c>
      <c r="BQI28">
        <f t="shared" si="1145"/>
        <v>0</v>
      </c>
      <c r="BQJ28">
        <f t="shared" si="1146"/>
        <v>0</v>
      </c>
      <c r="BQK28">
        <f t="shared" si="1147"/>
        <v>0</v>
      </c>
      <c r="BQL28">
        <f t="shared" si="1148"/>
        <v>0</v>
      </c>
      <c r="BQM28">
        <f t="shared" si="1149"/>
        <v>0</v>
      </c>
      <c r="BQN28">
        <f t="shared" si="1150"/>
        <v>0</v>
      </c>
      <c r="BQO28">
        <f t="shared" si="1151"/>
        <v>0</v>
      </c>
      <c r="BQP28">
        <f t="shared" si="1152"/>
        <v>0</v>
      </c>
      <c r="BQQ28">
        <f t="shared" si="1153"/>
        <v>0</v>
      </c>
      <c r="BQR28">
        <f t="shared" si="1154"/>
        <v>0</v>
      </c>
      <c r="BQS28">
        <f t="shared" si="1155"/>
        <v>0</v>
      </c>
      <c r="BQT28">
        <f t="shared" si="1156"/>
        <v>0</v>
      </c>
      <c r="BQU28">
        <f t="shared" si="1157"/>
        <v>0</v>
      </c>
      <c r="BQV28">
        <f t="shared" si="1158"/>
        <v>0</v>
      </c>
      <c r="BQW28">
        <f t="shared" si="1159"/>
        <v>0</v>
      </c>
      <c r="BQX28">
        <f t="shared" si="1160"/>
        <v>0</v>
      </c>
      <c r="BQY28">
        <f t="shared" si="1161"/>
        <v>0</v>
      </c>
      <c r="BQZ28">
        <f t="shared" si="1162"/>
        <v>0</v>
      </c>
      <c r="BRA28">
        <f t="shared" si="1163"/>
        <v>0</v>
      </c>
      <c r="BRB28">
        <f t="shared" si="1164"/>
        <v>0</v>
      </c>
      <c r="BRC28">
        <f t="shared" si="1165"/>
        <v>0</v>
      </c>
      <c r="BRD28">
        <f t="shared" si="1166"/>
        <v>0</v>
      </c>
      <c r="BRE28">
        <f t="shared" si="1167"/>
        <v>0</v>
      </c>
      <c r="BRF28">
        <f t="shared" si="1168"/>
        <v>0</v>
      </c>
      <c r="BRG28">
        <f t="shared" si="1169"/>
        <v>0</v>
      </c>
      <c r="BRH28">
        <f t="shared" si="1170"/>
        <v>0</v>
      </c>
      <c r="BRI28">
        <f t="shared" si="1171"/>
        <v>0</v>
      </c>
      <c r="BRJ28">
        <f t="shared" si="1172"/>
        <v>0</v>
      </c>
      <c r="BRK28">
        <f t="shared" si="1173"/>
        <v>0</v>
      </c>
      <c r="BRL28">
        <f t="shared" si="1174"/>
        <v>0</v>
      </c>
      <c r="BRM28">
        <f t="shared" si="1175"/>
        <v>0</v>
      </c>
      <c r="BRN28">
        <f t="shared" si="1176"/>
        <v>0</v>
      </c>
      <c r="BRO28">
        <f t="shared" si="1177"/>
        <v>0</v>
      </c>
      <c r="BRP28">
        <f t="shared" si="1178"/>
        <v>0</v>
      </c>
      <c r="BRQ28">
        <f t="shared" si="1179"/>
        <v>0</v>
      </c>
      <c r="BRR28">
        <f t="shared" si="1180"/>
        <v>0</v>
      </c>
      <c r="BRS28">
        <f t="shared" si="1181"/>
        <v>0</v>
      </c>
      <c r="BRT28">
        <f t="shared" si="1182"/>
        <v>0</v>
      </c>
      <c r="BRU28">
        <f t="shared" si="1183"/>
        <v>0</v>
      </c>
      <c r="BRV28">
        <f t="shared" si="1184"/>
        <v>0</v>
      </c>
      <c r="BRW28">
        <f t="shared" si="1185"/>
        <v>0</v>
      </c>
      <c r="BRX28">
        <f t="shared" si="1186"/>
        <v>0</v>
      </c>
      <c r="BRY28">
        <f t="shared" si="1187"/>
        <v>0</v>
      </c>
      <c r="BRZ28">
        <f t="shared" si="1188"/>
        <v>0</v>
      </c>
      <c r="BSA28">
        <f t="shared" si="1189"/>
        <v>0</v>
      </c>
      <c r="BSB28">
        <f t="shared" si="1190"/>
        <v>0</v>
      </c>
      <c r="BSC28">
        <f t="shared" si="1191"/>
        <v>0</v>
      </c>
      <c r="BSD28">
        <f t="shared" si="1192"/>
        <v>0</v>
      </c>
      <c r="BSE28">
        <f t="shared" si="1193"/>
        <v>0</v>
      </c>
      <c r="BSF28">
        <f t="shared" si="1194"/>
        <v>0</v>
      </c>
      <c r="BSG28">
        <f t="shared" si="1195"/>
        <v>0</v>
      </c>
      <c r="BSH28">
        <f t="shared" si="1196"/>
        <v>0</v>
      </c>
      <c r="BSI28">
        <f t="shared" si="1197"/>
        <v>0</v>
      </c>
      <c r="BSJ28">
        <f t="shared" si="1198"/>
        <v>0</v>
      </c>
      <c r="BSK28">
        <f t="shared" si="1199"/>
        <v>0</v>
      </c>
      <c r="BSL28">
        <f t="shared" si="51"/>
        <v>0</v>
      </c>
      <c r="BSM28">
        <f t="shared" si="1200"/>
        <v>0</v>
      </c>
      <c r="BSN28">
        <f t="shared" si="1201"/>
        <v>0</v>
      </c>
      <c r="BSO28">
        <f t="shared" si="1202"/>
        <v>0</v>
      </c>
      <c r="BSP28">
        <f t="shared" si="1203"/>
        <v>0</v>
      </c>
      <c r="BSQ28">
        <f t="shared" si="1204"/>
        <v>0</v>
      </c>
      <c r="BSR28">
        <f t="shared" si="1205"/>
        <v>0</v>
      </c>
      <c r="BSS28">
        <f t="shared" si="1206"/>
        <v>0</v>
      </c>
      <c r="BST28">
        <f t="shared" si="1207"/>
        <v>0</v>
      </c>
      <c r="BSU28">
        <f t="shared" si="1208"/>
        <v>0</v>
      </c>
      <c r="BSV28">
        <f t="shared" si="1209"/>
        <v>0</v>
      </c>
      <c r="BSW28">
        <f t="shared" si="1210"/>
        <v>0</v>
      </c>
      <c r="BSX28">
        <f t="shared" si="1211"/>
        <v>0</v>
      </c>
      <c r="BSY28">
        <f t="shared" si="1212"/>
        <v>0</v>
      </c>
      <c r="BSZ28">
        <f t="shared" si="1213"/>
        <v>0</v>
      </c>
      <c r="BTA28">
        <f t="shared" si="1214"/>
        <v>0</v>
      </c>
      <c r="BTB28">
        <f t="shared" si="1215"/>
        <v>0</v>
      </c>
      <c r="BTC28">
        <f t="shared" si="1216"/>
        <v>0</v>
      </c>
      <c r="BTD28">
        <f t="shared" si="1217"/>
        <v>0</v>
      </c>
      <c r="BTE28">
        <f t="shared" si="1218"/>
        <v>0</v>
      </c>
      <c r="BTF28">
        <f t="shared" si="1219"/>
        <v>0</v>
      </c>
      <c r="BTG28">
        <f t="shared" si="1220"/>
        <v>0</v>
      </c>
      <c r="BTH28">
        <f t="shared" si="1221"/>
        <v>0</v>
      </c>
      <c r="BTI28">
        <f t="shared" si="1222"/>
        <v>0</v>
      </c>
      <c r="BTJ28">
        <f t="shared" si="1223"/>
        <v>0</v>
      </c>
      <c r="BTK28">
        <f t="shared" si="1224"/>
        <v>0</v>
      </c>
      <c r="BTL28">
        <f t="shared" si="1225"/>
        <v>0</v>
      </c>
      <c r="BTM28">
        <f t="shared" si="1226"/>
        <v>0</v>
      </c>
      <c r="BTN28">
        <f t="shared" si="1227"/>
        <v>0</v>
      </c>
      <c r="BTO28">
        <f t="shared" si="1228"/>
        <v>0</v>
      </c>
      <c r="BTP28">
        <f t="shared" si="1229"/>
        <v>0</v>
      </c>
      <c r="BTQ28">
        <f t="shared" si="1230"/>
        <v>0</v>
      </c>
      <c r="BTR28">
        <f t="shared" si="1231"/>
        <v>0</v>
      </c>
      <c r="BTS28">
        <f t="shared" si="1232"/>
        <v>0</v>
      </c>
      <c r="BTT28">
        <f t="shared" si="1233"/>
        <v>0</v>
      </c>
      <c r="BTU28">
        <f t="shared" si="1234"/>
        <v>0</v>
      </c>
      <c r="BTV28">
        <f t="shared" si="1235"/>
        <v>0</v>
      </c>
      <c r="BTW28">
        <f t="shared" si="1236"/>
        <v>0</v>
      </c>
      <c r="BTX28">
        <f t="shared" si="1237"/>
        <v>0</v>
      </c>
      <c r="BTY28">
        <f t="shared" si="1238"/>
        <v>0</v>
      </c>
      <c r="BTZ28">
        <f t="shared" si="1239"/>
        <v>0</v>
      </c>
      <c r="BUA28">
        <f t="shared" si="1240"/>
        <v>0</v>
      </c>
      <c r="BUB28">
        <f t="shared" si="1241"/>
        <v>0</v>
      </c>
      <c r="BUC28">
        <f t="shared" si="1242"/>
        <v>0</v>
      </c>
      <c r="BUD28">
        <f t="shared" si="1243"/>
        <v>0</v>
      </c>
      <c r="BUE28">
        <f t="shared" si="1244"/>
        <v>0</v>
      </c>
      <c r="BUF28">
        <f t="shared" si="1245"/>
        <v>0</v>
      </c>
      <c r="BUG28">
        <f t="shared" si="1246"/>
        <v>0</v>
      </c>
      <c r="BUH28">
        <f t="shared" si="1247"/>
        <v>0</v>
      </c>
      <c r="BUI28">
        <f t="shared" si="1248"/>
        <v>0</v>
      </c>
      <c r="BUJ28">
        <f t="shared" si="1249"/>
        <v>0</v>
      </c>
      <c r="BUK28">
        <f t="shared" si="1250"/>
        <v>0</v>
      </c>
      <c r="BUL28">
        <f t="shared" si="1251"/>
        <v>0</v>
      </c>
      <c r="BUM28">
        <f t="shared" si="1252"/>
        <v>0</v>
      </c>
      <c r="BUN28">
        <f t="shared" si="1253"/>
        <v>0</v>
      </c>
      <c r="BUO28">
        <f t="shared" si="1254"/>
        <v>0</v>
      </c>
      <c r="BUP28">
        <f t="shared" si="1255"/>
        <v>0</v>
      </c>
      <c r="BUQ28">
        <f t="shared" si="1256"/>
        <v>0</v>
      </c>
      <c r="BUR28">
        <f t="shared" si="1257"/>
        <v>0</v>
      </c>
      <c r="BUS28">
        <f t="shared" si="1258"/>
        <v>0</v>
      </c>
      <c r="BUT28">
        <f t="shared" si="1259"/>
        <v>0</v>
      </c>
      <c r="BUU28">
        <f t="shared" si="1260"/>
        <v>0</v>
      </c>
      <c r="BUV28">
        <f t="shared" si="1261"/>
        <v>0</v>
      </c>
      <c r="BUW28">
        <f t="shared" si="1262"/>
        <v>0</v>
      </c>
      <c r="BUX28">
        <f t="shared" si="52"/>
        <v>0</v>
      </c>
      <c r="BUY28">
        <f t="shared" si="1263"/>
        <v>0</v>
      </c>
      <c r="BUZ28">
        <f t="shared" si="1264"/>
        <v>0</v>
      </c>
      <c r="BVA28">
        <f t="shared" si="1265"/>
        <v>0</v>
      </c>
      <c r="BVB28">
        <f t="shared" si="1266"/>
        <v>0</v>
      </c>
      <c r="BVC28">
        <f t="shared" si="1267"/>
        <v>0</v>
      </c>
      <c r="BVD28">
        <f t="shared" si="1268"/>
        <v>0</v>
      </c>
      <c r="BVE28">
        <f t="shared" si="1269"/>
        <v>0</v>
      </c>
      <c r="BVF28">
        <f t="shared" si="1270"/>
        <v>0</v>
      </c>
      <c r="BVG28">
        <f t="shared" si="1271"/>
        <v>0</v>
      </c>
      <c r="BVH28">
        <f t="shared" si="1272"/>
        <v>0</v>
      </c>
      <c r="BVI28">
        <f t="shared" si="1273"/>
        <v>0</v>
      </c>
      <c r="BVJ28">
        <f t="shared" si="1274"/>
        <v>0</v>
      </c>
      <c r="BVK28">
        <f t="shared" si="1275"/>
        <v>0</v>
      </c>
      <c r="BVL28">
        <f t="shared" si="1276"/>
        <v>0</v>
      </c>
      <c r="BVM28">
        <f t="shared" si="1277"/>
        <v>0</v>
      </c>
      <c r="BVN28">
        <f t="shared" si="1278"/>
        <v>0</v>
      </c>
      <c r="BVO28">
        <f t="shared" si="1279"/>
        <v>0</v>
      </c>
      <c r="BVP28">
        <f t="shared" si="1280"/>
        <v>0</v>
      </c>
      <c r="BVQ28">
        <f t="shared" si="1281"/>
        <v>0</v>
      </c>
      <c r="BVR28">
        <f t="shared" si="1282"/>
        <v>0</v>
      </c>
      <c r="BVS28">
        <f t="shared" si="1283"/>
        <v>0</v>
      </c>
      <c r="BVT28">
        <f t="shared" si="1284"/>
        <v>0</v>
      </c>
      <c r="BVU28">
        <f t="shared" si="1285"/>
        <v>0</v>
      </c>
      <c r="BVV28">
        <f t="shared" si="1286"/>
        <v>0</v>
      </c>
      <c r="BVW28">
        <f t="shared" si="1287"/>
        <v>0</v>
      </c>
      <c r="BVX28">
        <f t="shared" si="1288"/>
        <v>0</v>
      </c>
      <c r="BVY28">
        <f t="shared" si="1289"/>
        <v>0</v>
      </c>
      <c r="BVZ28">
        <f t="shared" si="1290"/>
        <v>0</v>
      </c>
      <c r="BWA28">
        <f t="shared" si="1291"/>
        <v>0</v>
      </c>
      <c r="BWB28">
        <f t="shared" si="1292"/>
        <v>0</v>
      </c>
      <c r="BWC28">
        <f t="shared" si="1293"/>
        <v>0</v>
      </c>
      <c r="BWD28">
        <f t="shared" si="1294"/>
        <v>0</v>
      </c>
      <c r="BWE28">
        <f t="shared" si="1295"/>
        <v>0</v>
      </c>
      <c r="BWF28">
        <f t="shared" si="1296"/>
        <v>0</v>
      </c>
      <c r="BWG28">
        <f t="shared" si="1297"/>
        <v>0</v>
      </c>
      <c r="BWH28">
        <f t="shared" si="1298"/>
        <v>0</v>
      </c>
      <c r="BWI28">
        <f t="shared" si="1299"/>
        <v>0</v>
      </c>
      <c r="BWJ28">
        <f t="shared" si="1300"/>
        <v>0</v>
      </c>
      <c r="BWK28">
        <f t="shared" si="1301"/>
        <v>0</v>
      </c>
      <c r="BWL28">
        <f t="shared" si="1302"/>
        <v>0</v>
      </c>
      <c r="BWM28">
        <f t="shared" si="1303"/>
        <v>0</v>
      </c>
      <c r="BWN28">
        <f t="shared" si="1304"/>
        <v>0</v>
      </c>
      <c r="BWO28">
        <f t="shared" si="1305"/>
        <v>0</v>
      </c>
      <c r="BWP28">
        <f t="shared" si="1306"/>
        <v>0</v>
      </c>
      <c r="BWQ28">
        <f t="shared" si="1307"/>
        <v>0</v>
      </c>
      <c r="BWR28">
        <f t="shared" si="1308"/>
        <v>0</v>
      </c>
      <c r="BWS28">
        <f t="shared" si="1309"/>
        <v>0</v>
      </c>
      <c r="BWT28">
        <f t="shared" si="1310"/>
        <v>0</v>
      </c>
      <c r="BWU28">
        <f t="shared" si="1311"/>
        <v>0</v>
      </c>
      <c r="BWV28">
        <f t="shared" si="1312"/>
        <v>0</v>
      </c>
      <c r="BWW28">
        <f t="shared" si="1313"/>
        <v>0</v>
      </c>
      <c r="BWX28">
        <f t="shared" si="1314"/>
        <v>0</v>
      </c>
      <c r="BWY28">
        <f t="shared" si="1315"/>
        <v>0</v>
      </c>
      <c r="BWZ28">
        <f t="shared" si="1316"/>
        <v>0</v>
      </c>
      <c r="BXA28">
        <f t="shared" si="1317"/>
        <v>0</v>
      </c>
      <c r="BXB28">
        <f t="shared" si="1318"/>
        <v>0</v>
      </c>
      <c r="BXC28">
        <f t="shared" si="1319"/>
        <v>0</v>
      </c>
      <c r="BXD28">
        <f t="shared" si="1320"/>
        <v>0</v>
      </c>
      <c r="BXE28">
        <f t="shared" si="1321"/>
        <v>0</v>
      </c>
      <c r="BXF28">
        <f t="shared" si="1322"/>
        <v>0</v>
      </c>
      <c r="BXG28">
        <f t="shared" si="1323"/>
        <v>0</v>
      </c>
      <c r="BXH28">
        <f t="shared" si="1324"/>
        <v>0</v>
      </c>
      <c r="BXI28">
        <f t="shared" si="1325"/>
        <v>0</v>
      </c>
      <c r="BXJ28">
        <f t="shared" si="53"/>
        <v>0</v>
      </c>
      <c r="BXK28">
        <f t="shared" si="1326"/>
        <v>0</v>
      </c>
      <c r="BXL28">
        <f t="shared" si="1327"/>
        <v>0</v>
      </c>
      <c r="BXM28">
        <f t="shared" si="1328"/>
        <v>0</v>
      </c>
      <c r="BXN28">
        <f t="shared" si="1329"/>
        <v>0</v>
      </c>
      <c r="BXO28">
        <f t="shared" si="1330"/>
        <v>0</v>
      </c>
      <c r="BXP28">
        <f t="shared" si="1331"/>
        <v>0</v>
      </c>
      <c r="BXQ28">
        <f t="shared" si="1332"/>
        <v>0</v>
      </c>
      <c r="BXR28">
        <f t="shared" si="1333"/>
        <v>0</v>
      </c>
      <c r="BXS28">
        <f t="shared" si="1334"/>
        <v>0</v>
      </c>
      <c r="BXT28">
        <f t="shared" si="1335"/>
        <v>0</v>
      </c>
      <c r="BXU28">
        <f t="shared" si="1336"/>
        <v>0</v>
      </c>
      <c r="BXV28">
        <f t="shared" si="1337"/>
        <v>0</v>
      </c>
      <c r="BXW28">
        <f t="shared" si="1338"/>
        <v>0</v>
      </c>
      <c r="BXX28">
        <f t="shared" si="1339"/>
        <v>0</v>
      </c>
      <c r="BXY28">
        <f t="shared" si="1340"/>
        <v>0</v>
      </c>
      <c r="BXZ28">
        <f t="shared" si="1341"/>
        <v>0</v>
      </c>
      <c r="BYA28">
        <f t="shared" si="1342"/>
        <v>0</v>
      </c>
      <c r="BYB28">
        <f t="shared" si="1343"/>
        <v>0</v>
      </c>
      <c r="BYC28">
        <f t="shared" si="1344"/>
        <v>0</v>
      </c>
      <c r="BYD28">
        <f t="shared" si="1345"/>
        <v>0</v>
      </c>
      <c r="BYE28">
        <f t="shared" si="1346"/>
        <v>0</v>
      </c>
      <c r="BYF28">
        <f t="shared" si="1347"/>
        <v>0</v>
      </c>
      <c r="BYG28">
        <f t="shared" si="1348"/>
        <v>0</v>
      </c>
      <c r="BYH28">
        <f t="shared" si="1349"/>
        <v>0</v>
      </c>
      <c r="BYI28">
        <f t="shared" si="1350"/>
        <v>0</v>
      </c>
      <c r="BYJ28">
        <f t="shared" si="1351"/>
        <v>0</v>
      </c>
      <c r="BYK28">
        <f t="shared" si="1352"/>
        <v>0</v>
      </c>
      <c r="BYL28">
        <f t="shared" si="1353"/>
        <v>0</v>
      </c>
      <c r="BYM28">
        <f t="shared" si="1354"/>
        <v>0</v>
      </c>
      <c r="BYN28">
        <f t="shared" si="1355"/>
        <v>0</v>
      </c>
      <c r="BYO28">
        <f t="shared" si="1356"/>
        <v>0</v>
      </c>
      <c r="BYP28">
        <f t="shared" si="1357"/>
        <v>0</v>
      </c>
      <c r="BYQ28">
        <f t="shared" si="1358"/>
        <v>0</v>
      </c>
      <c r="BYR28">
        <f t="shared" si="1359"/>
        <v>0</v>
      </c>
      <c r="BYS28">
        <f t="shared" si="1360"/>
        <v>0</v>
      </c>
      <c r="BYT28">
        <f t="shared" si="1361"/>
        <v>0</v>
      </c>
      <c r="BYU28">
        <f t="shared" si="1362"/>
        <v>0</v>
      </c>
      <c r="BYV28">
        <f t="shared" si="1363"/>
        <v>0</v>
      </c>
      <c r="BYW28">
        <f t="shared" si="1364"/>
        <v>0</v>
      </c>
      <c r="BYX28">
        <f t="shared" si="1365"/>
        <v>0</v>
      </c>
      <c r="BYY28">
        <f t="shared" si="1366"/>
        <v>0</v>
      </c>
      <c r="BYZ28">
        <f t="shared" si="1367"/>
        <v>0</v>
      </c>
      <c r="BZA28">
        <f t="shared" si="1368"/>
        <v>0</v>
      </c>
      <c r="BZB28">
        <f t="shared" si="1369"/>
        <v>0</v>
      </c>
      <c r="BZC28">
        <f t="shared" si="1370"/>
        <v>0</v>
      </c>
      <c r="BZD28">
        <f t="shared" si="1371"/>
        <v>0</v>
      </c>
      <c r="BZE28">
        <f t="shared" si="1372"/>
        <v>0</v>
      </c>
      <c r="BZF28">
        <f t="shared" si="1373"/>
        <v>0</v>
      </c>
      <c r="BZG28">
        <f t="shared" si="1374"/>
        <v>0</v>
      </c>
      <c r="BZH28">
        <f t="shared" si="1375"/>
        <v>0</v>
      </c>
      <c r="BZI28">
        <f t="shared" si="1376"/>
        <v>0</v>
      </c>
      <c r="BZJ28">
        <f t="shared" si="1377"/>
        <v>0</v>
      </c>
      <c r="BZK28">
        <f t="shared" si="1378"/>
        <v>0</v>
      </c>
      <c r="BZL28">
        <f t="shared" si="1379"/>
        <v>0</v>
      </c>
      <c r="BZM28">
        <f t="shared" si="1380"/>
        <v>0</v>
      </c>
      <c r="BZN28">
        <f t="shared" si="1381"/>
        <v>0</v>
      </c>
      <c r="BZO28">
        <f t="shared" si="1382"/>
        <v>0</v>
      </c>
      <c r="BZP28">
        <f t="shared" si="1383"/>
        <v>0</v>
      </c>
      <c r="BZQ28">
        <f t="shared" si="1384"/>
        <v>0</v>
      </c>
      <c r="BZR28">
        <f t="shared" si="1385"/>
        <v>0</v>
      </c>
      <c r="BZS28">
        <f t="shared" si="1386"/>
        <v>0</v>
      </c>
      <c r="BZT28">
        <f t="shared" si="1387"/>
        <v>0</v>
      </c>
      <c r="BZU28">
        <f t="shared" si="1388"/>
        <v>0</v>
      </c>
      <c r="BZV28">
        <f t="shared" si="54"/>
        <v>0</v>
      </c>
      <c r="BZW28">
        <f t="shared" si="1389"/>
        <v>0</v>
      </c>
      <c r="BZX28">
        <f t="shared" si="1390"/>
        <v>0</v>
      </c>
      <c r="BZY28">
        <f t="shared" si="1391"/>
        <v>0</v>
      </c>
      <c r="BZZ28">
        <f t="shared" si="1392"/>
        <v>0</v>
      </c>
      <c r="CAA28">
        <f t="shared" si="1393"/>
        <v>0</v>
      </c>
      <c r="CAB28">
        <f t="shared" si="1394"/>
        <v>0</v>
      </c>
      <c r="CAC28">
        <f t="shared" si="1395"/>
        <v>0</v>
      </c>
      <c r="CAD28">
        <f t="shared" si="1396"/>
        <v>0</v>
      </c>
      <c r="CAE28">
        <f t="shared" si="1397"/>
        <v>0</v>
      </c>
      <c r="CAF28">
        <f t="shared" si="1398"/>
        <v>0</v>
      </c>
      <c r="CAG28">
        <f t="shared" si="1399"/>
        <v>0</v>
      </c>
      <c r="CAH28">
        <f t="shared" si="1400"/>
        <v>0</v>
      </c>
      <c r="CAI28">
        <f t="shared" si="1401"/>
        <v>0</v>
      </c>
      <c r="CAJ28">
        <f t="shared" si="1402"/>
        <v>0</v>
      </c>
      <c r="CAK28">
        <f t="shared" si="1403"/>
        <v>0</v>
      </c>
      <c r="CAL28">
        <f t="shared" si="1404"/>
        <v>0</v>
      </c>
      <c r="CAM28">
        <f t="shared" si="1405"/>
        <v>0</v>
      </c>
      <c r="CAN28">
        <f t="shared" si="1406"/>
        <v>0</v>
      </c>
      <c r="CAO28">
        <f t="shared" si="1407"/>
        <v>0</v>
      </c>
      <c r="CAP28">
        <f t="shared" si="1408"/>
        <v>0</v>
      </c>
      <c r="CAQ28">
        <f t="shared" si="1409"/>
        <v>0</v>
      </c>
      <c r="CAR28">
        <f t="shared" si="1410"/>
        <v>0</v>
      </c>
      <c r="CAS28">
        <f t="shared" si="1411"/>
        <v>0</v>
      </c>
      <c r="CAT28">
        <f t="shared" si="1412"/>
        <v>0</v>
      </c>
      <c r="CAU28">
        <f t="shared" si="1413"/>
        <v>0</v>
      </c>
      <c r="CAV28">
        <f t="shared" si="1414"/>
        <v>0</v>
      </c>
      <c r="CAW28">
        <f t="shared" si="1415"/>
        <v>0</v>
      </c>
      <c r="CAX28">
        <f t="shared" si="1416"/>
        <v>0</v>
      </c>
      <c r="CAY28">
        <f t="shared" si="1417"/>
        <v>0</v>
      </c>
      <c r="CAZ28">
        <f t="shared" si="1418"/>
        <v>0</v>
      </c>
      <c r="CBA28">
        <f t="shared" si="1419"/>
        <v>0</v>
      </c>
      <c r="CBB28">
        <f t="shared" si="1420"/>
        <v>0</v>
      </c>
      <c r="CBC28">
        <f t="shared" si="1421"/>
        <v>0</v>
      </c>
      <c r="CBD28">
        <f t="shared" si="1422"/>
        <v>0</v>
      </c>
      <c r="CBE28">
        <f t="shared" si="1423"/>
        <v>0</v>
      </c>
      <c r="CBF28">
        <f t="shared" si="1424"/>
        <v>0</v>
      </c>
      <c r="CBG28">
        <f t="shared" si="1425"/>
        <v>0</v>
      </c>
      <c r="CBH28">
        <f t="shared" si="1426"/>
        <v>0</v>
      </c>
      <c r="CBI28">
        <f t="shared" si="1427"/>
        <v>0</v>
      </c>
      <c r="CBJ28">
        <f t="shared" si="1428"/>
        <v>0</v>
      </c>
      <c r="CBK28">
        <f t="shared" si="1429"/>
        <v>0</v>
      </c>
      <c r="CBL28">
        <f t="shared" si="1430"/>
        <v>0</v>
      </c>
      <c r="CBM28">
        <f t="shared" si="1431"/>
        <v>0</v>
      </c>
      <c r="CBN28">
        <f t="shared" si="1432"/>
        <v>0</v>
      </c>
      <c r="CBO28">
        <f t="shared" si="1433"/>
        <v>0</v>
      </c>
      <c r="CBP28">
        <f t="shared" si="1434"/>
        <v>0</v>
      </c>
      <c r="CBQ28">
        <f t="shared" si="1435"/>
        <v>0</v>
      </c>
      <c r="CBR28">
        <f t="shared" si="1436"/>
        <v>0</v>
      </c>
      <c r="CBS28">
        <f t="shared" si="1437"/>
        <v>0</v>
      </c>
      <c r="CBT28">
        <f t="shared" si="1438"/>
        <v>0</v>
      </c>
      <c r="CBU28">
        <f t="shared" si="1439"/>
        <v>0</v>
      </c>
      <c r="CBV28">
        <f t="shared" si="1440"/>
        <v>0</v>
      </c>
      <c r="CBW28">
        <f t="shared" si="1441"/>
        <v>0</v>
      </c>
      <c r="CBX28">
        <f t="shared" si="1442"/>
        <v>0</v>
      </c>
      <c r="CBY28">
        <f t="shared" si="1443"/>
        <v>0</v>
      </c>
      <c r="CBZ28">
        <f t="shared" si="1444"/>
        <v>0</v>
      </c>
      <c r="CCA28">
        <f t="shared" si="1445"/>
        <v>0</v>
      </c>
      <c r="CCB28">
        <f t="shared" si="1446"/>
        <v>0</v>
      </c>
      <c r="CCC28">
        <f t="shared" si="1447"/>
        <v>0</v>
      </c>
      <c r="CCD28">
        <f t="shared" si="1448"/>
        <v>0</v>
      </c>
      <c r="CCE28">
        <f t="shared" si="1449"/>
        <v>0</v>
      </c>
      <c r="CCF28">
        <f t="shared" si="1450"/>
        <v>0</v>
      </c>
      <c r="CCG28">
        <f t="shared" si="1451"/>
        <v>0</v>
      </c>
      <c r="CCH28">
        <f t="shared" si="55"/>
        <v>0</v>
      </c>
      <c r="CCI28">
        <f t="shared" si="1452"/>
        <v>0</v>
      </c>
      <c r="CCJ28">
        <f t="shared" si="1453"/>
        <v>0</v>
      </c>
      <c r="CCK28">
        <f t="shared" si="1454"/>
        <v>0</v>
      </c>
      <c r="CCL28">
        <f t="shared" si="1455"/>
        <v>0</v>
      </c>
      <c r="CCM28">
        <f t="shared" si="1456"/>
        <v>0</v>
      </c>
      <c r="CCN28">
        <f t="shared" si="1457"/>
        <v>0</v>
      </c>
      <c r="CCO28">
        <f t="shared" si="1458"/>
        <v>0</v>
      </c>
      <c r="CCP28">
        <f t="shared" si="1459"/>
        <v>0</v>
      </c>
      <c r="CCQ28">
        <f t="shared" si="1460"/>
        <v>0</v>
      </c>
      <c r="CCR28">
        <f t="shared" si="1461"/>
        <v>0</v>
      </c>
      <c r="CCS28">
        <f t="shared" si="1462"/>
        <v>0</v>
      </c>
      <c r="CCT28">
        <f t="shared" si="1463"/>
        <v>0</v>
      </c>
      <c r="CCU28">
        <f t="shared" si="1464"/>
        <v>0</v>
      </c>
      <c r="CCV28">
        <f t="shared" si="1465"/>
        <v>0</v>
      </c>
      <c r="CCW28">
        <f t="shared" si="1466"/>
        <v>0</v>
      </c>
      <c r="CCX28">
        <f t="shared" si="1467"/>
        <v>0</v>
      </c>
      <c r="CCY28">
        <f t="shared" si="1468"/>
        <v>0</v>
      </c>
      <c r="CCZ28">
        <f t="shared" si="1469"/>
        <v>0</v>
      </c>
      <c r="CDA28">
        <f t="shared" si="1470"/>
        <v>0</v>
      </c>
      <c r="CDB28">
        <f t="shared" si="1471"/>
        <v>0</v>
      </c>
      <c r="CDC28">
        <f t="shared" si="1472"/>
        <v>0</v>
      </c>
      <c r="CDD28">
        <f t="shared" si="1473"/>
        <v>0</v>
      </c>
      <c r="CDE28">
        <f t="shared" si="1474"/>
        <v>0</v>
      </c>
      <c r="CDF28">
        <f t="shared" si="1475"/>
        <v>0</v>
      </c>
      <c r="CDG28">
        <f t="shared" si="1476"/>
        <v>0</v>
      </c>
      <c r="CDH28">
        <f t="shared" si="1477"/>
        <v>0</v>
      </c>
      <c r="CDI28">
        <f t="shared" si="1478"/>
        <v>0</v>
      </c>
      <c r="CDJ28">
        <f t="shared" si="1479"/>
        <v>0</v>
      </c>
      <c r="CDK28">
        <f t="shared" si="1480"/>
        <v>0</v>
      </c>
      <c r="CDL28">
        <f t="shared" si="1481"/>
        <v>0</v>
      </c>
      <c r="CDM28">
        <f t="shared" si="1482"/>
        <v>0</v>
      </c>
      <c r="CDN28">
        <f t="shared" si="1483"/>
        <v>0</v>
      </c>
      <c r="CDO28">
        <f t="shared" si="1484"/>
        <v>0</v>
      </c>
      <c r="CDP28">
        <f t="shared" si="1485"/>
        <v>0</v>
      </c>
      <c r="CDQ28">
        <f t="shared" si="1486"/>
        <v>0</v>
      </c>
      <c r="CDR28">
        <f t="shared" si="1487"/>
        <v>0</v>
      </c>
      <c r="CDS28">
        <f t="shared" si="1488"/>
        <v>0</v>
      </c>
      <c r="CDT28">
        <f t="shared" si="1489"/>
        <v>0</v>
      </c>
      <c r="CDU28">
        <f t="shared" si="1490"/>
        <v>0</v>
      </c>
      <c r="CDV28">
        <f t="shared" si="1491"/>
        <v>0</v>
      </c>
      <c r="CDW28">
        <f t="shared" si="1492"/>
        <v>0</v>
      </c>
      <c r="CDX28">
        <f t="shared" si="1493"/>
        <v>0</v>
      </c>
      <c r="CDY28">
        <f t="shared" si="1494"/>
        <v>0</v>
      </c>
      <c r="CDZ28">
        <f t="shared" si="1495"/>
        <v>0</v>
      </c>
      <c r="CEA28">
        <f t="shared" si="1496"/>
        <v>0</v>
      </c>
      <c r="CEB28">
        <f t="shared" si="1497"/>
        <v>0</v>
      </c>
      <c r="CEC28">
        <f t="shared" si="1498"/>
        <v>0</v>
      </c>
      <c r="CED28">
        <f t="shared" si="1499"/>
        <v>0</v>
      </c>
      <c r="CEE28">
        <f t="shared" si="1500"/>
        <v>0</v>
      </c>
      <c r="CEF28">
        <f t="shared" si="1501"/>
        <v>0</v>
      </c>
      <c r="CEG28">
        <f t="shared" si="1502"/>
        <v>0</v>
      </c>
      <c r="CEH28">
        <f t="shared" si="1503"/>
        <v>0</v>
      </c>
      <c r="CEI28">
        <f t="shared" si="1504"/>
        <v>0</v>
      </c>
      <c r="CEJ28">
        <f t="shared" si="1505"/>
        <v>0</v>
      </c>
      <c r="CEK28">
        <f t="shared" si="1506"/>
        <v>0</v>
      </c>
      <c r="CEL28">
        <f t="shared" si="1507"/>
        <v>0</v>
      </c>
      <c r="CEM28">
        <f t="shared" si="1508"/>
        <v>0</v>
      </c>
      <c r="CEN28">
        <f t="shared" si="1509"/>
        <v>0</v>
      </c>
      <c r="CEO28">
        <f t="shared" si="1510"/>
        <v>0</v>
      </c>
      <c r="CEP28">
        <f t="shared" si="1511"/>
        <v>0</v>
      </c>
      <c r="CEQ28">
        <f t="shared" si="1512"/>
        <v>0</v>
      </c>
      <c r="CER28">
        <f t="shared" si="1513"/>
        <v>0</v>
      </c>
      <c r="CES28">
        <f t="shared" si="1514"/>
        <v>0</v>
      </c>
      <c r="CET28">
        <f t="shared" si="56"/>
        <v>0</v>
      </c>
      <c r="CEU28">
        <f t="shared" si="1515"/>
        <v>0</v>
      </c>
      <c r="CEV28">
        <f t="shared" si="1516"/>
        <v>0</v>
      </c>
      <c r="CEW28">
        <f t="shared" si="1517"/>
        <v>0</v>
      </c>
      <c r="CEX28">
        <f t="shared" si="1518"/>
        <v>0</v>
      </c>
      <c r="CEY28">
        <f t="shared" si="1519"/>
        <v>0</v>
      </c>
      <c r="CEZ28">
        <f t="shared" si="1520"/>
        <v>0</v>
      </c>
      <c r="CFA28">
        <f t="shared" si="1521"/>
        <v>0</v>
      </c>
      <c r="CFB28">
        <f t="shared" si="1522"/>
        <v>0</v>
      </c>
      <c r="CFC28">
        <f t="shared" si="1523"/>
        <v>0</v>
      </c>
      <c r="CFD28">
        <f t="shared" si="1524"/>
        <v>0</v>
      </c>
      <c r="CFE28">
        <f t="shared" si="1525"/>
        <v>0</v>
      </c>
      <c r="CFF28">
        <f t="shared" si="1526"/>
        <v>0</v>
      </c>
      <c r="CFG28">
        <f t="shared" si="1527"/>
        <v>0</v>
      </c>
      <c r="CFH28">
        <f t="shared" si="1528"/>
        <v>0</v>
      </c>
      <c r="CFI28">
        <f t="shared" si="1529"/>
        <v>0</v>
      </c>
      <c r="CFJ28">
        <f t="shared" si="1530"/>
        <v>0</v>
      </c>
      <c r="CFK28">
        <f t="shared" si="1531"/>
        <v>0</v>
      </c>
      <c r="CFL28">
        <f t="shared" si="1532"/>
        <v>0</v>
      </c>
      <c r="CFM28">
        <f t="shared" si="1533"/>
        <v>0</v>
      </c>
      <c r="CFN28">
        <f t="shared" si="1534"/>
        <v>0</v>
      </c>
      <c r="CFO28">
        <f t="shared" si="1535"/>
        <v>0</v>
      </c>
      <c r="CFP28">
        <f t="shared" si="1536"/>
        <v>0</v>
      </c>
      <c r="CFQ28">
        <f t="shared" si="1537"/>
        <v>0</v>
      </c>
      <c r="CFR28">
        <f t="shared" si="1538"/>
        <v>0</v>
      </c>
      <c r="CFS28">
        <f t="shared" si="1539"/>
        <v>0</v>
      </c>
      <c r="CFT28">
        <f t="shared" si="1540"/>
        <v>0</v>
      </c>
      <c r="CFU28">
        <f t="shared" si="1541"/>
        <v>0</v>
      </c>
      <c r="CFV28">
        <f t="shared" si="1542"/>
        <v>0</v>
      </c>
      <c r="CFW28">
        <f t="shared" si="1543"/>
        <v>0</v>
      </c>
      <c r="CFX28">
        <f t="shared" si="1544"/>
        <v>0</v>
      </c>
      <c r="CFY28">
        <f t="shared" si="1545"/>
        <v>0</v>
      </c>
      <c r="CFZ28">
        <f t="shared" si="1546"/>
        <v>0</v>
      </c>
      <c r="CGA28">
        <f t="shared" si="1547"/>
        <v>0</v>
      </c>
      <c r="CGB28">
        <f t="shared" si="1548"/>
        <v>0</v>
      </c>
      <c r="CGC28">
        <f t="shared" si="1549"/>
        <v>0</v>
      </c>
      <c r="CGD28">
        <f t="shared" si="1550"/>
        <v>0</v>
      </c>
      <c r="CGE28">
        <f t="shared" si="1551"/>
        <v>0</v>
      </c>
      <c r="CGF28">
        <f t="shared" si="1552"/>
        <v>0</v>
      </c>
      <c r="CGG28">
        <f t="shared" si="1553"/>
        <v>0</v>
      </c>
      <c r="CGH28">
        <f t="shared" si="1554"/>
        <v>0</v>
      </c>
      <c r="CGI28">
        <f t="shared" si="1555"/>
        <v>0</v>
      </c>
      <c r="CGJ28">
        <f t="shared" si="1556"/>
        <v>0</v>
      </c>
      <c r="CGK28">
        <f t="shared" si="1557"/>
        <v>0</v>
      </c>
      <c r="CGL28">
        <f t="shared" si="1558"/>
        <v>0</v>
      </c>
      <c r="CGM28">
        <f t="shared" si="1559"/>
        <v>0</v>
      </c>
      <c r="CGN28">
        <f t="shared" si="1560"/>
        <v>0</v>
      </c>
      <c r="CGO28">
        <f t="shared" si="1561"/>
        <v>0</v>
      </c>
      <c r="CGP28">
        <f t="shared" si="1562"/>
        <v>0</v>
      </c>
      <c r="CGQ28">
        <f t="shared" si="1563"/>
        <v>0</v>
      </c>
      <c r="CGR28">
        <f t="shared" si="1564"/>
        <v>0</v>
      </c>
      <c r="CGS28">
        <f t="shared" si="1565"/>
        <v>0</v>
      </c>
      <c r="CGT28">
        <f t="shared" si="1566"/>
        <v>0</v>
      </c>
      <c r="CGU28">
        <f t="shared" si="1567"/>
        <v>0</v>
      </c>
      <c r="CGV28">
        <f t="shared" si="1568"/>
        <v>0</v>
      </c>
      <c r="CGW28">
        <f t="shared" si="1569"/>
        <v>0</v>
      </c>
      <c r="CGX28">
        <f t="shared" si="1570"/>
        <v>0</v>
      </c>
      <c r="CGY28">
        <f t="shared" si="1571"/>
        <v>0</v>
      </c>
      <c r="CGZ28">
        <f t="shared" si="1572"/>
        <v>0</v>
      </c>
      <c r="CHA28">
        <f t="shared" si="1573"/>
        <v>0</v>
      </c>
      <c r="CHB28">
        <f t="shared" si="1574"/>
        <v>0</v>
      </c>
      <c r="CHC28">
        <f t="shared" si="1575"/>
        <v>0</v>
      </c>
      <c r="CHD28">
        <f t="shared" si="1576"/>
        <v>0</v>
      </c>
      <c r="CHE28">
        <f t="shared" si="1577"/>
        <v>0</v>
      </c>
      <c r="CHF28">
        <f t="shared" si="57"/>
        <v>0</v>
      </c>
      <c r="CHG28">
        <f t="shared" si="1578"/>
        <v>0</v>
      </c>
      <c r="CHH28">
        <f t="shared" si="1579"/>
        <v>0</v>
      </c>
      <c r="CHI28">
        <f t="shared" si="1580"/>
        <v>0</v>
      </c>
      <c r="CHJ28">
        <f t="shared" si="1581"/>
        <v>0</v>
      </c>
      <c r="CHK28">
        <f t="shared" si="1582"/>
        <v>0</v>
      </c>
      <c r="CHL28">
        <f t="shared" si="1583"/>
        <v>0</v>
      </c>
      <c r="CHM28">
        <f t="shared" si="1584"/>
        <v>0</v>
      </c>
      <c r="CHN28">
        <f t="shared" si="1585"/>
        <v>0</v>
      </c>
      <c r="CHO28">
        <f t="shared" si="1586"/>
        <v>0</v>
      </c>
      <c r="CHP28">
        <f t="shared" si="1587"/>
        <v>0</v>
      </c>
      <c r="CHQ28">
        <f t="shared" si="1588"/>
        <v>0</v>
      </c>
      <c r="CHR28">
        <f t="shared" si="1589"/>
        <v>0</v>
      </c>
      <c r="CHS28">
        <f t="shared" si="1590"/>
        <v>0</v>
      </c>
      <c r="CHT28">
        <f t="shared" si="1591"/>
        <v>0</v>
      </c>
      <c r="CHU28">
        <f t="shared" si="1592"/>
        <v>0</v>
      </c>
      <c r="CHV28">
        <f t="shared" si="1593"/>
        <v>0</v>
      </c>
      <c r="CHW28">
        <f t="shared" si="1594"/>
        <v>0</v>
      </c>
      <c r="CHX28">
        <f t="shared" si="1595"/>
        <v>0</v>
      </c>
      <c r="CHY28">
        <f t="shared" si="1596"/>
        <v>0</v>
      </c>
      <c r="CHZ28">
        <f t="shared" si="1597"/>
        <v>0</v>
      </c>
      <c r="CIA28">
        <f t="shared" si="1598"/>
        <v>0</v>
      </c>
      <c r="CIB28">
        <f t="shared" si="1599"/>
        <v>0</v>
      </c>
      <c r="CIC28">
        <f t="shared" si="1600"/>
        <v>0</v>
      </c>
      <c r="CID28">
        <f t="shared" si="1601"/>
        <v>0</v>
      </c>
      <c r="CIE28">
        <f t="shared" si="1602"/>
        <v>0</v>
      </c>
      <c r="CIF28">
        <f t="shared" si="1603"/>
        <v>0</v>
      </c>
      <c r="CIG28">
        <f t="shared" si="1604"/>
        <v>0</v>
      </c>
      <c r="CIH28">
        <f t="shared" si="1605"/>
        <v>0</v>
      </c>
      <c r="CII28">
        <f t="shared" si="1606"/>
        <v>0</v>
      </c>
      <c r="CIJ28">
        <f t="shared" si="1607"/>
        <v>0</v>
      </c>
      <c r="CIK28">
        <f t="shared" si="1608"/>
        <v>0</v>
      </c>
      <c r="CIL28">
        <f t="shared" si="1609"/>
        <v>0</v>
      </c>
      <c r="CIM28">
        <f t="shared" si="1610"/>
        <v>0</v>
      </c>
      <c r="CIN28">
        <f t="shared" si="1611"/>
        <v>0</v>
      </c>
      <c r="CIO28">
        <f t="shared" si="1612"/>
        <v>0</v>
      </c>
      <c r="CIP28">
        <f t="shared" si="1613"/>
        <v>0</v>
      </c>
      <c r="CIQ28">
        <f t="shared" si="1614"/>
        <v>0</v>
      </c>
      <c r="CIR28">
        <f t="shared" si="1615"/>
        <v>0</v>
      </c>
      <c r="CIS28">
        <f t="shared" si="1616"/>
        <v>0</v>
      </c>
      <c r="CIT28">
        <f t="shared" si="1617"/>
        <v>0</v>
      </c>
      <c r="CIU28">
        <f t="shared" si="1618"/>
        <v>0</v>
      </c>
      <c r="CIV28">
        <f t="shared" si="1619"/>
        <v>0</v>
      </c>
      <c r="CIW28">
        <f t="shared" si="1620"/>
        <v>0</v>
      </c>
      <c r="CIX28">
        <f t="shared" si="1621"/>
        <v>0</v>
      </c>
      <c r="CIY28">
        <f t="shared" si="1622"/>
        <v>0</v>
      </c>
      <c r="CIZ28">
        <f t="shared" si="1623"/>
        <v>0</v>
      </c>
      <c r="CJA28">
        <f t="shared" si="1624"/>
        <v>0</v>
      </c>
      <c r="CJB28">
        <f t="shared" si="1625"/>
        <v>0</v>
      </c>
      <c r="CJC28">
        <f t="shared" si="1626"/>
        <v>0</v>
      </c>
      <c r="CJD28">
        <f t="shared" si="1627"/>
        <v>0</v>
      </c>
      <c r="CJE28">
        <f t="shared" si="1628"/>
        <v>0</v>
      </c>
      <c r="CJF28">
        <f t="shared" si="1629"/>
        <v>0</v>
      </c>
      <c r="CJG28">
        <f t="shared" si="1630"/>
        <v>0</v>
      </c>
      <c r="CJH28">
        <f t="shared" si="1631"/>
        <v>0</v>
      </c>
      <c r="CJI28">
        <f t="shared" si="1632"/>
        <v>0</v>
      </c>
      <c r="CJJ28">
        <f t="shared" si="1633"/>
        <v>0</v>
      </c>
      <c r="CJK28">
        <f t="shared" si="1634"/>
        <v>0</v>
      </c>
      <c r="CJL28">
        <f t="shared" si="1635"/>
        <v>0</v>
      </c>
      <c r="CJM28">
        <f t="shared" si="1636"/>
        <v>0</v>
      </c>
      <c r="CJN28">
        <f t="shared" si="1637"/>
        <v>0</v>
      </c>
      <c r="CJO28">
        <f t="shared" si="1638"/>
        <v>0</v>
      </c>
      <c r="CJP28">
        <f t="shared" si="1639"/>
        <v>0</v>
      </c>
      <c r="CJQ28">
        <f t="shared" si="1640"/>
        <v>0</v>
      </c>
      <c r="CJR28">
        <f t="shared" si="58"/>
        <v>0</v>
      </c>
      <c r="CJS28">
        <f t="shared" si="1641"/>
        <v>0</v>
      </c>
      <c r="CJT28">
        <f t="shared" si="1642"/>
        <v>0</v>
      </c>
      <c r="CJU28">
        <f t="shared" si="1643"/>
        <v>0</v>
      </c>
      <c r="CJV28">
        <f t="shared" si="1644"/>
        <v>0</v>
      </c>
      <c r="CJW28">
        <f t="shared" si="1645"/>
        <v>0</v>
      </c>
      <c r="CJX28">
        <f t="shared" si="1646"/>
        <v>0</v>
      </c>
      <c r="CJY28">
        <f t="shared" si="1647"/>
        <v>0</v>
      </c>
      <c r="CJZ28">
        <f t="shared" si="1648"/>
        <v>0</v>
      </c>
      <c r="CKA28">
        <f t="shared" si="1649"/>
        <v>0</v>
      </c>
      <c r="CKB28">
        <f t="shared" si="1650"/>
        <v>0</v>
      </c>
      <c r="CKC28">
        <f t="shared" si="1651"/>
        <v>0</v>
      </c>
      <c r="CKD28">
        <f t="shared" si="1652"/>
        <v>0</v>
      </c>
      <c r="CKE28">
        <f t="shared" si="1653"/>
        <v>0</v>
      </c>
      <c r="CKF28">
        <f t="shared" si="1654"/>
        <v>0</v>
      </c>
      <c r="CKG28">
        <f t="shared" si="1655"/>
        <v>0</v>
      </c>
      <c r="CKH28">
        <f t="shared" si="1656"/>
        <v>0</v>
      </c>
      <c r="CKI28">
        <f t="shared" si="1657"/>
        <v>0</v>
      </c>
      <c r="CKJ28">
        <f t="shared" si="1658"/>
        <v>0</v>
      </c>
      <c r="CKK28">
        <f t="shared" si="1659"/>
        <v>0</v>
      </c>
      <c r="CKL28">
        <f t="shared" si="1660"/>
        <v>0</v>
      </c>
      <c r="CKM28">
        <f t="shared" si="1661"/>
        <v>0</v>
      </c>
      <c r="CKN28">
        <f t="shared" si="1662"/>
        <v>0</v>
      </c>
      <c r="CKO28">
        <f t="shared" si="1663"/>
        <v>0</v>
      </c>
      <c r="CKP28">
        <f t="shared" si="1664"/>
        <v>0</v>
      </c>
      <c r="CKQ28">
        <f t="shared" si="1665"/>
        <v>0</v>
      </c>
      <c r="CKR28">
        <f t="shared" si="1666"/>
        <v>0</v>
      </c>
      <c r="CKS28">
        <f t="shared" si="1667"/>
        <v>0</v>
      </c>
      <c r="CKT28">
        <f t="shared" si="1668"/>
        <v>0</v>
      </c>
      <c r="CKU28">
        <f t="shared" si="1669"/>
        <v>0</v>
      </c>
      <c r="CKV28">
        <f t="shared" si="1670"/>
        <v>0</v>
      </c>
      <c r="CKW28">
        <f t="shared" si="1671"/>
        <v>0</v>
      </c>
      <c r="CKX28">
        <f t="shared" si="1672"/>
        <v>0</v>
      </c>
      <c r="CKY28">
        <f t="shared" si="1673"/>
        <v>0</v>
      </c>
      <c r="CKZ28">
        <f t="shared" si="1674"/>
        <v>0</v>
      </c>
      <c r="CLA28">
        <f t="shared" si="1675"/>
        <v>0</v>
      </c>
      <c r="CLB28">
        <f t="shared" si="1676"/>
        <v>0</v>
      </c>
      <c r="CLC28">
        <f t="shared" si="1677"/>
        <v>0</v>
      </c>
      <c r="CLD28">
        <f t="shared" si="1678"/>
        <v>0</v>
      </c>
      <c r="CLE28">
        <f t="shared" si="1679"/>
        <v>0</v>
      </c>
      <c r="CLF28">
        <f t="shared" si="1680"/>
        <v>0</v>
      </c>
      <c r="CLG28">
        <f t="shared" si="1681"/>
        <v>0</v>
      </c>
      <c r="CLH28">
        <f t="shared" si="1682"/>
        <v>0</v>
      </c>
      <c r="CLI28">
        <f t="shared" si="1683"/>
        <v>0</v>
      </c>
      <c r="CLJ28">
        <f t="shared" si="1684"/>
        <v>0</v>
      </c>
      <c r="CLK28">
        <f t="shared" si="1685"/>
        <v>0</v>
      </c>
      <c r="CLL28">
        <f t="shared" si="1686"/>
        <v>0</v>
      </c>
      <c r="CLM28">
        <f t="shared" si="1687"/>
        <v>0</v>
      </c>
      <c r="CLN28">
        <f t="shared" si="1688"/>
        <v>0</v>
      </c>
      <c r="CLO28">
        <f t="shared" si="1689"/>
        <v>0</v>
      </c>
      <c r="CLP28">
        <f t="shared" si="1690"/>
        <v>0</v>
      </c>
      <c r="CLQ28">
        <f t="shared" si="1691"/>
        <v>0</v>
      </c>
      <c r="CLR28">
        <f t="shared" si="1692"/>
        <v>0</v>
      </c>
      <c r="CLS28">
        <f t="shared" si="1693"/>
        <v>0</v>
      </c>
      <c r="CLT28">
        <f t="shared" si="1694"/>
        <v>0</v>
      </c>
      <c r="CLU28">
        <f t="shared" si="1695"/>
        <v>0</v>
      </c>
      <c r="CLV28">
        <f t="shared" si="1696"/>
        <v>0</v>
      </c>
      <c r="CLW28">
        <f t="shared" si="1697"/>
        <v>0</v>
      </c>
      <c r="CLX28">
        <f t="shared" si="1698"/>
        <v>0</v>
      </c>
      <c r="CLY28">
        <f t="shared" si="1699"/>
        <v>0</v>
      </c>
      <c r="CLZ28">
        <f t="shared" si="1700"/>
        <v>0</v>
      </c>
      <c r="CMA28">
        <f t="shared" si="1701"/>
        <v>0</v>
      </c>
      <c r="CMB28">
        <f t="shared" si="1702"/>
        <v>0</v>
      </c>
      <c r="CMC28">
        <f t="shared" si="1703"/>
        <v>0</v>
      </c>
      <c r="CMD28">
        <f t="shared" si="59"/>
        <v>0</v>
      </c>
      <c r="CME28">
        <f t="shared" si="1704"/>
        <v>0</v>
      </c>
      <c r="CMF28">
        <f t="shared" si="1705"/>
        <v>0</v>
      </c>
      <c r="CMG28">
        <f t="shared" si="1706"/>
        <v>0</v>
      </c>
      <c r="CMH28">
        <f t="shared" si="1707"/>
        <v>0</v>
      </c>
      <c r="CMI28">
        <f t="shared" si="1708"/>
        <v>0</v>
      </c>
      <c r="CMJ28">
        <f t="shared" si="1709"/>
        <v>0</v>
      </c>
      <c r="CMK28">
        <f t="shared" si="1710"/>
        <v>0</v>
      </c>
      <c r="CML28">
        <f t="shared" si="1711"/>
        <v>0</v>
      </c>
      <c r="CMM28">
        <f t="shared" si="1712"/>
        <v>0</v>
      </c>
      <c r="CMN28">
        <f t="shared" si="1713"/>
        <v>0</v>
      </c>
      <c r="CMO28">
        <f t="shared" si="1714"/>
        <v>0</v>
      </c>
      <c r="CMP28">
        <f t="shared" si="1715"/>
        <v>0</v>
      </c>
      <c r="CMQ28">
        <f t="shared" si="1716"/>
        <v>0</v>
      </c>
      <c r="CMR28">
        <f t="shared" si="1717"/>
        <v>0</v>
      </c>
      <c r="CMS28">
        <f t="shared" si="1718"/>
        <v>0</v>
      </c>
      <c r="CMT28">
        <f t="shared" si="1719"/>
        <v>0</v>
      </c>
      <c r="CMU28">
        <f t="shared" si="1720"/>
        <v>0</v>
      </c>
      <c r="CMV28">
        <f t="shared" si="1721"/>
        <v>0</v>
      </c>
      <c r="CMW28">
        <f t="shared" si="1722"/>
        <v>0</v>
      </c>
      <c r="CMX28">
        <f t="shared" si="1723"/>
        <v>0</v>
      </c>
      <c r="CMY28">
        <f t="shared" si="1724"/>
        <v>0</v>
      </c>
      <c r="CMZ28">
        <f t="shared" si="1725"/>
        <v>0</v>
      </c>
      <c r="CNA28">
        <f t="shared" si="1726"/>
        <v>0</v>
      </c>
      <c r="CNB28">
        <f t="shared" si="1727"/>
        <v>0</v>
      </c>
      <c r="CNC28">
        <f t="shared" si="1728"/>
        <v>0</v>
      </c>
      <c r="CND28">
        <f t="shared" si="1729"/>
        <v>0</v>
      </c>
      <c r="CNE28">
        <f t="shared" si="1730"/>
        <v>0</v>
      </c>
      <c r="CNF28">
        <f t="shared" si="1731"/>
        <v>0</v>
      </c>
      <c r="CNG28">
        <f t="shared" si="1732"/>
        <v>0</v>
      </c>
      <c r="CNH28">
        <f t="shared" si="1733"/>
        <v>0</v>
      </c>
      <c r="CNI28">
        <f t="shared" si="1734"/>
        <v>0</v>
      </c>
      <c r="CNJ28">
        <f t="shared" si="1735"/>
        <v>0</v>
      </c>
      <c r="CNK28">
        <f t="shared" si="1736"/>
        <v>0</v>
      </c>
      <c r="CNL28">
        <f t="shared" si="1737"/>
        <v>0</v>
      </c>
      <c r="CNM28">
        <f t="shared" si="1738"/>
        <v>0</v>
      </c>
      <c r="CNN28">
        <f t="shared" si="1739"/>
        <v>0</v>
      </c>
      <c r="CNO28">
        <f t="shared" si="1740"/>
        <v>0</v>
      </c>
      <c r="CNP28">
        <f t="shared" si="1741"/>
        <v>0</v>
      </c>
      <c r="CNQ28">
        <f t="shared" si="1742"/>
        <v>0</v>
      </c>
      <c r="CNR28">
        <f t="shared" si="1743"/>
        <v>0</v>
      </c>
      <c r="CNS28">
        <f t="shared" si="1744"/>
        <v>0</v>
      </c>
      <c r="CNT28">
        <f t="shared" si="1745"/>
        <v>0</v>
      </c>
      <c r="CNU28">
        <f t="shared" si="1746"/>
        <v>0</v>
      </c>
      <c r="CNV28">
        <f t="shared" si="1747"/>
        <v>0</v>
      </c>
      <c r="CNW28">
        <f t="shared" si="1748"/>
        <v>0</v>
      </c>
      <c r="CNX28">
        <f t="shared" si="1749"/>
        <v>0</v>
      </c>
      <c r="CNY28">
        <f t="shared" si="1750"/>
        <v>0</v>
      </c>
      <c r="CNZ28">
        <f t="shared" si="1751"/>
        <v>0</v>
      </c>
      <c r="COA28">
        <f t="shared" si="1752"/>
        <v>0</v>
      </c>
      <c r="COB28">
        <f t="shared" si="1753"/>
        <v>0</v>
      </c>
      <c r="COC28">
        <f t="shared" si="1754"/>
        <v>0</v>
      </c>
      <c r="COD28">
        <f t="shared" si="1755"/>
        <v>0</v>
      </c>
      <c r="COE28">
        <f t="shared" si="1756"/>
        <v>0</v>
      </c>
      <c r="COF28">
        <f t="shared" si="1757"/>
        <v>0</v>
      </c>
      <c r="COG28">
        <f t="shared" si="1758"/>
        <v>0</v>
      </c>
      <c r="COH28">
        <f t="shared" si="1759"/>
        <v>0</v>
      </c>
      <c r="COI28">
        <f t="shared" si="1760"/>
        <v>0</v>
      </c>
      <c r="COJ28">
        <f t="shared" si="1761"/>
        <v>0</v>
      </c>
      <c r="COK28">
        <f t="shared" si="1762"/>
        <v>0</v>
      </c>
      <c r="COL28">
        <f t="shared" si="1763"/>
        <v>0</v>
      </c>
      <c r="COM28">
        <f t="shared" si="1764"/>
        <v>0</v>
      </c>
      <c r="CON28">
        <f t="shared" si="1765"/>
        <v>0</v>
      </c>
      <c r="COO28">
        <f t="shared" si="1766"/>
        <v>0</v>
      </c>
      <c r="COP28">
        <f t="shared" si="60"/>
        <v>0</v>
      </c>
      <c r="COQ28">
        <f t="shared" si="1767"/>
        <v>0</v>
      </c>
      <c r="COR28">
        <f t="shared" si="1768"/>
        <v>0</v>
      </c>
      <c r="COS28">
        <f t="shared" si="1769"/>
        <v>0</v>
      </c>
      <c r="COT28">
        <f t="shared" si="1770"/>
        <v>0</v>
      </c>
      <c r="COU28">
        <f t="shared" si="1771"/>
        <v>0</v>
      </c>
      <c r="COV28">
        <f t="shared" si="1772"/>
        <v>0</v>
      </c>
      <c r="COW28">
        <f t="shared" si="1773"/>
        <v>0</v>
      </c>
      <c r="COX28">
        <f t="shared" si="1774"/>
        <v>0</v>
      </c>
      <c r="COY28">
        <f t="shared" si="1775"/>
        <v>0</v>
      </c>
      <c r="COZ28">
        <f t="shared" si="1776"/>
        <v>0</v>
      </c>
      <c r="CPA28">
        <f t="shared" si="1777"/>
        <v>0</v>
      </c>
      <c r="CPB28">
        <f t="shared" si="1778"/>
        <v>0</v>
      </c>
      <c r="CPC28">
        <f t="shared" si="1779"/>
        <v>0</v>
      </c>
      <c r="CPD28">
        <f t="shared" si="1780"/>
        <v>0</v>
      </c>
      <c r="CPE28">
        <f t="shared" si="1781"/>
        <v>0</v>
      </c>
      <c r="CPF28">
        <f t="shared" si="1782"/>
        <v>0</v>
      </c>
      <c r="CPG28">
        <f t="shared" si="1783"/>
        <v>0</v>
      </c>
      <c r="CPH28">
        <f t="shared" si="1784"/>
        <v>0</v>
      </c>
      <c r="CPI28">
        <f t="shared" si="1785"/>
        <v>0</v>
      </c>
      <c r="CPJ28">
        <f t="shared" si="1786"/>
        <v>0</v>
      </c>
      <c r="CPK28">
        <f t="shared" si="1787"/>
        <v>0</v>
      </c>
      <c r="CPL28">
        <f t="shared" si="1788"/>
        <v>0</v>
      </c>
      <c r="CPM28">
        <f t="shared" si="1789"/>
        <v>0</v>
      </c>
      <c r="CPN28">
        <f t="shared" si="1790"/>
        <v>0</v>
      </c>
      <c r="CPO28">
        <f t="shared" si="1791"/>
        <v>0</v>
      </c>
      <c r="CPP28">
        <f t="shared" si="1792"/>
        <v>0</v>
      </c>
      <c r="CPQ28">
        <f t="shared" si="1793"/>
        <v>0</v>
      </c>
      <c r="CPR28">
        <f t="shared" si="1794"/>
        <v>0</v>
      </c>
      <c r="CPS28">
        <f t="shared" si="1795"/>
        <v>0</v>
      </c>
      <c r="CPT28">
        <f t="shared" si="1796"/>
        <v>0</v>
      </c>
      <c r="CPU28">
        <f t="shared" si="1797"/>
        <v>0</v>
      </c>
      <c r="CPV28">
        <f t="shared" si="1798"/>
        <v>0</v>
      </c>
      <c r="CPW28">
        <f t="shared" si="1799"/>
        <v>0</v>
      </c>
      <c r="CPX28">
        <f t="shared" si="1800"/>
        <v>0</v>
      </c>
      <c r="CPY28">
        <f t="shared" si="1801"/>
        <v>0</v>
      </c>
      <c r="CPZ28">
        <f t="shared" si="1802"/>
        <v>0</v>
      </c>
      <c r="CQA28">
        <f t="shared" si="1803"/>
        <v>0</v>
      </c>
      <c r="CQB28">
        <f t="shared" si="1804"/>
        <v>0</v>
      </c>
      <c r="CQC28">
        <f t="shared" si="1805"/>
        <v>0</v>
      </c>
      <c r="CQD28">
        <f t="shared" si="1806"/>
        <v>0</v>
      </c>
      <c r="CQE28">
        <f t="shared" si="1807"/>
        <v>0</v>
      </c>
      <c r="CQF28">
        <f t="shared" si="1808"/>
        <v>0</v>
      </c>
      <c r="CQG28">
        <f t="shared" si="1809"/>
        <v>0</v>
      </c>
      <c r="CQH28">
        <f t="shared" si="1810"/>
        <v>0</v>
      </c>
      <c r="CQI28">
        <f t="shared" si="1811"/>
        <v>0</v>
      </c>
      <c r="CQJ28">
        <f t="shared" si="1812"/>
        <v>0</v>
      </c>
      <c r="CQK28">
        <f t="shared" si="1813"/>
        <v>0</v>
      </c>
      <c r="CQL28">
        <f t="shared" si="1814"/>
        <v>0</v>
      </c>
      <c r="CQM28">
        <f t="shared" si="1815"/>
        <v>0</v>
      </c>
      <c r="CQN28">
        <f t="shared" si="1816"/>
        <v>0</v>
      </c>
      <c r="CQO28">
        <f t="shared" si="1817"/>
        <v>0</v>
      </c>
      <c r="CQP28">
        <f t="shared" si="1818"/>
        <v>0</v>
      </c>
      <c r="CQQ28">
        <f t="shared" si="1819"/>
        <v>0</v>
      </c>
      <c r="CQR28">
        <f t="shared" si="1820"/>
        <v>0</v>
      </c>
      <c r="CQS28">
        <f t="shared" si="1821"/>
        <v>0</v>
      </c>
      <c r="CQT28">
        <f t="shared" si="1822"/>
        <v>0</v>
      </c>
      <c r="CQU28">
        <f t="shared" si="1823"/>
        <v>0</v>
      </c>
      <c r="CQV28">
        <f t="shared" si="1824"/>
        <v>0</v>
      </c>
      <c r="CQW28">
        <f t="shared" si="1825"/>
        <v>0</v>
      </c>
      <c r="CQX28">
        <f t="shared" si="1826"/>
        <v>0</v>
      </c>
      <c r="CQY28">
        <f t="shared" si="1827"/>
        <v>0</v>
      </c>
      <c r="CQZ28">
        <f t="shared" si="1828"/>
        <v>0</v>
      </c>
      <c r="CRA28">
        <f t="shared" si="1829"/>
        <v>0</v>
      </c>
      <c r="CRB28">
        <f t="shared" si="61"/>
        <v>0</v>
      </c>
      <c r="CRC28">
        <f t="shared" si="1830"/>
        <v>0</v>
      </c>
      <c r="CRD28">
        <f t="shared" si="1831"/>
        <v>0</v>
      </c>
      <c r="CRE28">
        <f t="shared" si="1832"/>
        <v>0</v>
      </c>
      <c r="CRF28">
        <f t="shared" si="1833"/>
        <v>0</v>
      </c>
      <c r="CRG28">
        <f t="shared" si="1834"/>
        <v>0</v>
      </c>
      <c r="CRH28">
        <f t="shared" si="1835"/>
        <v>0</v>
      </c>
      <c r="CRI28">
        <f t="shared" si="1836"/>
        <v>0</v>
      </c>
      <c r="CRJ28">
        <f t="shared" si="1837"/>
        <v>0</v>
      </c>
      <c r="CRK28">
        <f t="shared" si="1838"/>
        <v>0</v>
      </c>
      <c r="CRL28">
        <f t="shared" si="1839"/>
        <v>0</v>
      </c>
      <c r="CRM28">
        <f t="shared" si="1840"/>
        <v>0</v>
      </c>
      <c r="CRN28">
        <f t="shared" si="1841"/>
        <v>0</v>
      </c>
      <c r="CRO28">
        <f t="shared" si="1842"/>
        <v>0</v>
      </c>
      <c r="CRP28">
        <f t="shared" si="1843"/>
        <v>0</v>
      </c>
      <c r="CRQ28">
        <f t="shared" si="1844"/>
        <v>0</v>
      </c>
      <c r="CRR28">
        <f t="shared" si="1845"/>
        <v>0</v>
      </c>
      <c r="CRS28">
        <f t="shared" si="1846"/>
        <v>0</v>
      </c>
      <c r="CRT28">
        <f t="shared" si="1847"/>
        <v>0</v>
      </c>
      <c r="CRU28">
        <f t="shared" si="1848"/>
        <v>0</v>
      </c>
      <c r="CRV28">
        <f t="shared" si="1849"/>
        <v>0</v>
      </c>
      <c r="CRW28">
        <f t="shared" si="1850"/>
        <v>0</v>
      </c>
      <c r="CRX28">
        <f t="shared" si="1851"/>
        <v>0</v>
      </c>
      <c r="CRY28">
        <f t="shared" si="1852"/>
        <v>0</v>
      </c>
      <c r="CRZ28">
        <f t="shared" si="1853"/>
        <v>0</v>
      </c>
      <c r="CSA28">
        <f t="shared" si="1854"/>
        <v>0</v>
      </c>
      <c r="CSB28">
        <f t="shared" si="1855"/>
        <v>0</v>
      </c>
      <c r="CSC28">
        <f t="shared" si="1856"/>
        <v>0</v>
      </c>
      <c r="CSD28">
        <f t="shared" si="1857"/>
        <v>0</v>
      </c>
      <c r="CSE28">
        <f t="shared" si="1858"/>
        <v>0</v>
      </c>
      <c r="CSF28">
        <f t="shared" si="1859"/>
        <v>0</v>
      </c>
      <c r="CSG28">
        <f t="shared" si="1860"/>
        <v>0</v>
      </c>
      <c r="CSH28">
        <f t="shared" si="1861"/>
        <v>0</v>
      </c>
      <c r="CSI28">
        <f t="shared" si="1862"/>
        <v>0</v>
      </c>
      <c r="CSJ28">
        <f t="shared" si="1863"/>
        <v>0</v>
      </c>
      <c r="CSK28">
        <f t="shared" si="1864"/>
        <v>0</v>
      </c>
      <c r="CSL28">
        <f t="shared" si="1865"/>
        <v>0</v>
      </c>
      <c r="CSM28">
        <f t="shared" si="1866"/>
        <v>0</v>
      </c>
      <c r="CSN28">
        <f t="shared" si="1867"/>
        <v>0</v>
      </c>
      <c r="CSO28">
        <f t="shared" si="1868"/>
        <v>0</v>
      </c>
      <c r="CSP28">
        <f t="shared" si="1869"/>
        <v>0</v>
      </c>
      <c r="CSQ28">
        <f t="shared" si="1870"/>
        <v>0</v>
      </c>
      <c r="CSR28">
        <f t="shared" si="1871"/>
        <v>0</v>
      </c>
      <c r="CSS28">
        <f t="shared" si="1872"/>
        <v>0</v>
      </c>
      <c r="CST28">
        <f t="shared" si="1873"/>
        <v>0</v>
      </c>
      <c r="CSU28">
        <f t="shared" si="1874"/>
        <v>0</v>
      </c>
      <c r="CSV28">
        <f t="shared" si="1875"/>
        <v>0</v>
      </c>
      <c r="CSW28">
        <f t="shared" si="1876"/>
        <v>0</v>
      </c>
      <c r="CSX28">
        <f t="shared" si="1877"/>
        <v>0</v>
      </c>
      <c r="CSY28">
        <f t="shared" si="1878"/>
        <v>0</v>
      </c>
      <c r="CSZ28">
        <f t="shared" si="1879"/>
        <v>0</v>
      </c>
      <c r="CTA28">
        <f t="shared" si="1880"/>
        <v>0</v>
      </c>
      <c r="CTB28">
        <f t="shared" si="1881"/>
        <v>0</v>
      </c>
      <c r="CTC28">
        <f t="shared" si="1882"/>
        <v>0</v>
      </c>
      <c r="CTD28">
        <f t="shared" si="1883"/>
        <v>0</v>
      </c>
      <c r="CTE28">
        <f t="shared" si="1884"/>
        <v>0</v>
      </c>
      <c r="CTF28">
        <f t="shared" si="1885"/>
        <v>0</v>
      </c>
      <c r="CTG28">
        <f t="shared" si="1886"/>
        <v>0</v>
      </c>
      <c r="CTH28">
        <f t="shared" si="1887"/>
        <v>0</v>
      </c>
      <c r="CTI28">
        <f t="shared" si="1888"/>
        <v>0</v>
      </c>
      <c r="CTJ28">
        <f t="shared" si="1889"/>
        <v>0</v>
      </c>
      <c r="CTK28">
        <f t="shared" si="1890"/>
        <v>0</v>
      </c>
      <c r="CTL28">
        <f t="shared" si="1891"/>
        <v>0</v>
      </c>
      <c r="CTM28">
        <f t="shared" si="1892"/>
        <v>0</v>
      </c>
      <c r="CTN28">
        <f t="shared" si="62"/>
        <v>0</v>
      </c>
      <c r="CTO28">
        <f t="shared" si="1893"/>
        <v>0</v>
      </c>
      <c r="CTP28">
        <f t="shared" si="1894"/>
        <v>0</v>
      </c>
      <c r="CTQ28">
        <f t="shared" si="1895"/>
        <v>0</v>
      </c>
      <c r="CTR28">
        <f t="shared" si="1896"/>
        <v>0</v>
      </c>
      <c r="CTS28">
        <f t="shared" si="1897"/>
        <v>0</v>
      </c>
      <c r="CTT28">
        <f t="shared" si="1898"/>
        <v>0</v>
      </c>
      <c r="CTU28">
        <f t="shared" si="1899"/>
        <v>0</v>
      </c>
      <c r="CTV28">
        <f t="shared" si="1900"/>
        <v>0</v>
      </c>
      <c r="CTW28">
        <f t="shared" si="1901"/>
        <v>0</v>
      </c>
      <c r="CTX28">
        <f t="shared" si="1902"/>
        <v>0</v>
      </c>
      <c r="CTY28">
        <f t="shared" si="1903"/>
        <v>0</v>
      </c>
      <c r="CTZ28">
        <f t="shared" si="1904"/>
        <v>0</v>
      </c>
      <c r="CUA28">
        <f t="shared" si="1905"/>
        <v>0</v>
      </c>
      <c r="CUB28">
        <f t="shared" si="1906"/>
        <v>0</v>
      </c>
      <c r="CUC28">
        <f t="shared" si="1907"/>
        <v>0</v>
      </c>
      <c r="CUD28">
        <f t="shared" si="1908"/>
        <v>0</v>
      </c>
      <c r="CUE28">
        <f t="shared" si="1909"/>
        <v>0</v>
      </c>
      <c r="CUF28">
        <f t="shared" si="1910"/>
        <v>0</v>
      </c>
      <c r="CUG28">
        <f t="shared" si="1911"/>
        <v>0</v>
      </c>
      <c r="CUH28">
        <f t="shared" si="1912"/>
        <v>0</v>
      </c>
      <c r="CUI28">
        <f t="shared" si="1913"/>
        <v>0</v>
      </c>
      <c r="CUJ28">
        <f t="shared" si="1914"/>
        <v>0</v>
      </c>
      <c r="CUK28">
        <f t="shared" si="1915"/>
        <v>0</v>
      </c>
      <c r="CUL28">
        <f t="shared" si="1916"/>
        <v>0</v>
      </c>
      <c r="CUM28">
        <f t="shared" si="1917"/>
        <v>0</v>
      </c>
      <c r="CUN28">
        <f t="shared" si="1918"/>
        <v>0</v>
      </c>
      <c r="CUO28">
        <f t="shared" si="1919"/>
        <v>0</v>
      </c>
      <c r="CUP28">
        <f t="shared" si="1920"/>
        <v>0</v>
      </c>
      <c r="CUQ28">
        <f t="shared" si="1921"/>
        <v>0</v>
      </c>
      <c r="CUR28">
        <f t="shared" si="1922"/>
        <v>0</v>
      </c>
      <c r="CUS28">
        <f t="shared" si="1923"/>
        <v>0</v>
      </c>
      <c r="CUT28">
        <f t="shared" si="1924"/>
        <v>0</v>
      </c>
      <c r="CUU28">
        <f t="shared" si="1925"/>
        <v>0</v>
      </c>
      <c r="CUV28">
        <f t="shared" si="1926"/>
        <v>0</v>
      </c>
      <c r="CUW28">
        <f t="shared" si="1927"/>
        <v>0</v>
      </c>
      <c r="CUX28">
        <f t="shared" si="1928"/>
        <v>0</v>
      </c>
      <c r="CUY28">
        <f t="shared" si="1929"/>
        <v>0</v>
      </c>
      <c r="CUZ28">
        <f t="shared" si="1930"/>
        <v>0</v>
      </c>
      <c r="CVA28">
        <f t="shared" si="1931"/>
        <v>0</v>
      </c>
      <c r="CVB28">
        <f t="shared" si="1932"/>
        <v>0</v>
      </c>
      <c r="CVC28">
        <f t="shared" si="1933"/>
        <v>0</v>
      </c>
      <c r="CVD28">
        <f t="shared" si="1934"/>
        <v>0</v>
      </c>
      <c r="CVE28">
        <f t="shared" si="1935"/>
        <v>0</v>
      </c>
      <c r="CVF28">
        <f t="shared" si="1936"/>
        <v>0</v>
      </c>
      <c r="CVG28">
        <f t="shared" si="1937"/>
        <v>0</v>
      </c>
      <c r="CVH28">
        <f t="shared" si="1938"/>
        <v>0</v>
      </c>
      <c r="CVI28">
        <f t="shared" si="1939"/>
        <v>0</v>
      </c>
      <c r="CVJ28">
        <f t="shared" si="1940"/>
        <v>0</v>
      </c>
      <c r="CVK28">
        <f t="shared" si="1941"/>
        <v>0</v>
      </c>
      <c r="CVL28">
        <f t="shared" si="1942"/>
        <v>0</v>
      </c>
      <c r="CVM28">
        <f t="shared" si="1943"/>
        <v>0</v>
      </c>
      <c r="CVN28">
        <f t="shared" si="1944"/>
        <v>0</v>
      </c>
      <c r="CVO28">
        <f t="shared" si="1945"/>
        <v>0</v>
      </c>
      <c r="CVP28">
        <f t="shared" si="1946"/>
        <v>0</v>
      </c>
      <c r="CVQ28">
        <f t="shared" si="1947"/>
        <v>0</v>
      </c>
      <c r="CVR28">
        <f t="shared" si="1948"/>
        <v>0</v>
      </c>
      <c r="CVS28">
        <f t="shared" si="1949"/>
        <v>0</v>
      </c>
      <c r="CVT28">
        <f t="shared" si="1950"/>
        <v>0</v>
      </c>
      <c r="CVU28">
        <f t="shared" si="1951"/>
        <v>0</v>
      </c>
      <c r="CVV28">
        <f t="shared" si="1952"/>
        <v>0</v>
      </c>
      <c r="CVW28">
        <f t="shared" si="1953"/>
        <v>0</v>
      </c>
      <c r="CVX28">
        <f t="shared" si="1954"/>
        <v>0</v>
      </c>
      <c r="CVY28">
        <f t="shared" si="1955"/>
        <v>0</v>
      </c>
      <c r="CVZ28">
        <f t="shared" si="63"/>
        <v>0</v>
      </c>
      <c r="CWA28">
        <f t="shared" si="1956"/>
        <v>0</v>
      </c>
      <c r="CWB28">
        <f t="shared" si="1957"/>
        <v>0</v>
      </c>
      <c r="CWC28">
        <f t="shared" si="1958"/>
        <v>0</v>
      </c>
      <c r="CWD28">
        <f t="shared" si="1959"/>
        <v>0</v>
      </c>
      <c r="CWE28">
        <f t="shared" si="1960"/>
        <v>0</v>
      </c>
      <c r="CWF28">
        <f t="shared" si="1961"/>
        <v>0</v>
      </c>
      <c r="CWG28">
        <f t="shared" si="1962"/>
        <v>0</v>
      </c>
      <c r="CWH28">
        <f t="shared" si="1963"/>
        <v>0</v>
      </c>
      <c r="CWI28">
        <f t="shared" si="1964"/>
        <v>0</v>
      </c>
      <c r="CWJ28">
        <f t="shared" si="1965"/>
        <v>0</v>
      </c>
      <c r="CWK28">
        <f t="shared" si="1966"/>
        <v>0</v>
      </c>
      <c r="CWL28">
        <f t="shared" si="1967"/>
        <v>0</v>
      </c>
      <c r="CWM28">
        <f t="shared" si="1968"/>
        <v>0</v>
      </c>
      <c r="CWN28">
        <f t="shared" si="1969"/>
        <v>0</v>
      </c>
      <c r="CWO28">
        <f t="shared" si="1970"/>
        <v>0</v>
      </c>
      <c r="CWP28">
        <f t="shared" si="1971"/>
        <v>0</v>
      </c>
      <c r="CWQ28">
        <f t="shared" si="1972"/>
        <v>0</v>
      </c>
      <c r="CWR28">
        <f t="shared" si="1973"/>
        <v>0</v>
      </c>
      <c r="CWS28">
        <f t="shared" si="1974"/>
        <v>0</v>
      </c>
      <c r="CWT28">
        <f t="shared" si="1975"/>
        <v>0</v>
      </c>
      <c r="CWU28">
        <f t="shared" si="1976"/>
        <v>0</v>
      </c>
      <c r="CWV28">
        <f t="shared" si="1977"/>
        <v>0</v>
      </c>
      <c r="CWW28">
        <f t="shared" si="1978"/>
        <v>0</v>
      </c>
      <c r="CWX28">
        <f t="shared" si="1979"/>
        <v>0</v>
      </c>
      <c r="CWY28">
        <f t="shared" si="1980"/>
        <v>0</v>
      </c>
      <c r="CWZ28">
        <f t="shared" si="1981"/>
        <v>0</v>
      </c>
      <c r="CXA28">
        <f t="shared" si="1982"/>
        <v>0</v>
      </c>
      <c r="CXB28">
        <f t="shared" si="1983"/>
        <v>0</v>
      </c>
      <c r="CXC28">
        <f t="shared" si="1984"/>
        <v>0</v>
      </c>
      <c r="CXD28">
        <f t="shared" si="1985"/>
        <v>0</v>
      </c>
      <c r="CXE28">
        <f t="shared" si="1986"/>
        <v>0</v>
      </c>
      <c r="CXF28">
        <f t="shared" si="1987"/>
        <v>0</v>
      </c>
      <c r="CXG28">
        <f t="shared" si="1988"/>
        <v>0</v>
      </c>
      <c r="CXH28">
        <f t="shared" si="1989"/>
        <v>0</v>
      </c>
      <c r="CXI28">
        <f t="shared" si="1990"/>
        <v>0</v>
      </c>
      <c r="CXJ28">
        <f t="shared" si="1991"/>
        <v>0</v>
      </c>
      <c r="CXK28">
        <f t="shared" si="1992"/>
        <v>0</v>
      </c>
      <c r="CXL28">
        <f t="shared" si="1993"/>
        <v>0</v>
      </c>
      <c r="CXM28">
        <f t="shared" si="1994"/>
        <v>0</v>
      </c>
      <c r="CXN28">
        <f t="shared" si="1995"/>
        <v>0</v>
      </c>
      <c r="CXO28">
        <f t="shared" si="1996"/>
        <v>0</v>
      </c>
      <c r="CXP28">
        <f t="shared" si="1997"/>
        <v>0</v>
      </c>
      <c r="CXQ28">
        <f t="shared" si="1998"/>
        <v>0</v>
      </c>
      <c r="CXR28">
        <f t="shared" si="1999"/>
        <v>0</v>
      </c>
      <c r="CXS28">
        <f t="shared" si="2000"/>
        <v>0</v>
      </c>
      <c r="CXT28">
        <f t="shared" si="2001"/>
        <v>0</v>
      </c>
      <c r="CXU28">
        <f t="shared" si="2002"/>
        <v>0</v>
      </c>
      <c r="CXV28">
        <f t="shared" si="2003"/>
        <v>0</v>
      </c>
      <c r="CXW28">
        <f t="shared" si="2004"/>
        <v>0</v>
      </c>
      <c r="CXX28">
        <f t="shared" si="2005"/>
        <v>0</v>
      </c>
      <c r="CXY28">
        <f t="shared" si="2006"/>
        <v>0</v>
      </c>
      <c r="CXZ28">
        <f t="shared" si="2007"/>
        <v>0</v>
      </c>
      <c r="CYA28">
        <f t="shared" si="2008"/>
        <v>0</v>
      </c>
      <c r="CYB28">
        <f t="shared" si="2009"/>
        <v>0</v>
      </c>
      <c r="CYC28">
        <f t="shared" si="2010"/>
        <v>0</v>
      </c>
      <c r="CYD28">
        <f t="shared" si="2011"/>
        <v>0</v>
      </c>
      <c r="CYE28">
        <f t="shared" si="2012"/>
        <v>0</v>
      </c>
      <c r="CYF28">
        <f t="shared" si="2013"/>
        <v>0</v>
      </c>
      <c r="CYG28">
        <f t="shared" si="2014"/>
        <v>0</v>
      </c>
      <c r="CYH28">
        <f t="shared" si="2015"/>
        <v>0</v>
      </c>
      <c r="CYI28">
        <f t="shared" si="2016"/>
        <v>0</v>
      </c>
      <c r="CYJ28">
        <f t="shared" si="2017"/>
        <v>0</v>
      </c>
      <c r="CYK28">
        <f t="shared" si="2018"/>
        <v>0</v>
      </c>
      <c r="CYL28">
        <f t="shared" si="64"/>
        <v>0</v>
      </c>
      <c r="CYM28">
        <f t="shared" si="2019"/>
        <v>0</v>
      </c>
      <c r="CYN28">
        <f t="shared" si="2020"/>
        <v>0</v>
      </c>
      <c r="CYO28">
        <f t="shared" si="2021"/>
        <v>0</v>
      </c>
      <c r="CYP28">
        <f t="shared" si="2022"/>
        <v>0</v>
      </c>
      <c r="CYQ28">
        <f t="shared" si="2023"/>
        <v>0</v>
      </c>
      <c r="CYR28">
        <f t="shared" si="2024"/>
        <v>0</v>
      </c>
      <c r="CYS28">
        <f t="shared" si="2025"/>
        <v>0</v>
      </c>
      <c r="CYT28">
        <f t="shared" si="2026"/>
        <v>0</v>
      </c>
      <c r="CYU28">
        <f t="shared" si="2027"/>
        <v>0</v>
      </c>
      <c r="CYV28">
        <f t="shared" si="2028"/>
        <v>0</v>
      </c>
      <c r="CYW28">
        <f t="shared" si="2029"/>
        <v>0</v>
      </c>
      <c r="CYX28">
        <f t="shared" si="2030"/>
        <v>0</v>
      </c>
      <c r="CYY28">
        <f t="shared" si="2031"/>
        <v>0</v>
      </c>
      <c r="CYZ28">
        <f t="shared" si="2032"/>
        <v>0</v>
      </c>
      <c r="CZA28">
        <f t="shared" si="2033"/>
        <v>0</v>
      </c>
      <c r="CZB28">
        <f t="shared" si="2034"/>
        <v>0</v>
      </c>
      <c r="CZC28">
        <f t="shared" si="2035"/>
        <v>0</v>
      </c>
      <c r="CZD28">
        <f t="shared" si="2036"/>
        <v>0</v>
      </c>
      <c r="CZE28">
        <f t="shared" si="2037"/>
        <v>0</v>
      </c>
      <c r="CZF28">
        <f t="shared" si="2038"/>
        <v>0</v>
      </c>
      <c r="CZG28">
        <f t="shared" si="2039"/>
        <v>0</v>
      </c>
      <c r="CZH28">
        <f t="shared" si="2040"/>
        <v>0</v>
      </c>
      <c r="CZI28">
        <f t="shared" si="2041"/>
        <v>0</v>
      </c>
      <c r="CZJ28">
        <f t="shared" si="2042"/>
        <v>0</v>
      </c>
      <c r="CZK28">
        <f t="shared" si="2043"/>
        <v>0</v>
      </c>
      <c r="CZL28">
        <f t="shared" si="2044"/>
        <v>0</v>
      </c>
      <c r="CZM28">
        <f t="shared" si="2045"/>
        <v>0</v>
      </c>
      <c r="CZN28">
        <f t="shared" si="2046"/>
        <v>0</v>
      </c>
      <c r="CZO28">
        <f t="shared" si="2047"/>
        <v>0</v>
      </c>
      <c r="CZP28">
        <f t="shared" si="2048"/>
        <v>0</v>
      </c>
      <c r="CZQ28">
        <f t="shared" si="2049"/>
        <v>0</v>
      </c>
      <c r="CZR28">
        <f t="shared" si="2050"/>
        <v>0</v>
      </c>
      <c r="CZS28">
        <f t="shared" si="2051"/>
        <v>0</v>
      </c>
      <c r="CZT28">
        <f t="shared" si="2052"/>
        <v>0</v>
      </c>
      <c r="CZU28">
        <f t="shared" si="2053"/>
        <v>0</v>
      </c>
      <c r="CZV28">
        <f t="shared" si="2054"/>
        <v>0</v>
      </c>
      <c r="CZW28">
        <f t="shared" si="2055"/>
        <v>0</v>
      </c>
      <c r="CZX28">
        <f t="shared" si="2056"/>
        <v>0</v>
      </c>
      <c r="CZY28">
        <f t="shared" si="2057"/>
        <v>0</v>
      </c>
      <c r="CZZ28">
        <f t="shared" si="2058"/>
        <v>0</v>
      </c>
      <c r="DAA28">
        <f t="shared" si="2059"/>
        <v>0</v>
      </c>
      <c r="DAB28">
        <f t="shared" si="2060"/>
        <v>0</v>
      </c>
      <c r="DAC28">
        <f t="shared" si="2061"/>
        <v>0</v>
      </c>
      <c r="DAD28">
        <f t="shared" si="2062"/>
        <v>0</v>
      </c>
      <c r="DAE28">
        <f t="shared" si="2063"/>
        <v>0</v>
      </c>
      <c r="DAF28">
        <f t="shared" si="2064"/>
        <v>0</v>
      </c>
      <c r="DAG28">
        <f t="shared" si="2065"/>
        <v>0</v>
      </c>
      <c r="DAH28">
        <f t="shared" si="2066"/>
        <v>0</v>
      </c>
      <c r="DAI28">
        <f t="shared" si="2067"/>
        <v>0</v>
      </c>
      <c r="DAJ28">
        <f t="shared" si="2068"/>
        <v>0</v>
      </c>
      <c r="DAK28">
        <f t="shared" si="2069"/>
        <v>0</v>
      </c>
      <c r="DAL28">
        <f t="shared" si="2070"/>
        <v>0</v>
      </c>
      <c r="DAM28">
        <f t="shared" si="2071"/>
        <v>0</v>
      </c>
      <c r="DAN28">
        <f t="shared" si="2072"/>
        <v>0</v>
      </c>
      <c r="DAO28">
        <f t="shared" si="2073"/>
        <v>0</v>
      </c>
      <c r="DAP28">
        <f t="shared" si="2074"/>
        <v>0</v>
      </c>
      <c r="DAQ28">
        <f t="shared" si="2075"/>
        <v>0</v>
      </c>
      <c r="DAR28">
        <f t="shared" si="2076"/>
        <v>0</v>
      </c>
      <c r="DAS28">
        <f t="shared" si="2077"/>
        <v>0</v>
      </c>
      <c r="DAT28">
        <f t="shared" si="2078"/>
        <v>0</v>
      </c>
      <c r="DAU28">
        <f t="shared" si="2079"/>
        <v>0</v>
      </c>
      <c r="DAV28">
        <f t="shared" si="2080"/>
        <v>0</v>
      </c>
      <c r="DAW28">
        <f t="shared" si="2081"/>
        <v>0</v>
      </c>
      <c r="DAX28">
        <f t="shared" si="65"/>
        <v>0</v>
      </c>
      <c r="DAY28">
        <f t="shared" si="2142"/>
        <v>0</v>
      </c>
      <c r="DAZ28">
        <f t="shared" si="2143"/>
        <v>0</v>
      </c>
      <c r="DBA28">
        <f t="shared" si="2144"/>
        <v>0</v>
      </c>
      <c r="DBB28">
        <f t="shared" si="2082"/>
        <v>0</v>
      </c>
      <c r="DBC28">
        <f t="shared" si="2083"/>
        <v>0</v>
      </c>
      <c r="DBD28">
        <f t="shared" si="2084"/>
        <v>0</v>
      </c>
      <c r="DBE28">
        <f t="shared" si="2085"/>
        <v>0</v>
      </c>
      <c r="DBF28">
        <f t="shared" si="2086"/>
        <v>0</v>
      </c>
      <c r="DBG28">
        <f t="shared" si="2087"/>
        <v>0</v>
      </c>
      <c r="DBH28">
        <f t="shared" si="2088"/>
        <v>0</v>
      </c>
      <c r="DBI28">
        <f t="shared" si="2089"/>
        <v>0</v>
      </c>
      <c r="DBJ28">
        <f t="shared" si="2090"/>
        <v>0</v>
      </c>
      <c r="DBK28">
        <f t="shared" si="2091"/>
        <v>0</v>
      </c>
      <c r="DBL28">
        <f t="shared" si="2092"/>
        <v>0</v>
      </c>
      <c r="DBM28">
        <f t="shared" si="2093"/>
        <v>0</v>
      </c>
      <c r="DBN28">
        <f t="shared" si="2094"/>
        <v>0</v>
      </c>
      <c r="DBO28">
        <f t="shared" si="2095"/>
        <v>0</v>
      </c>
      <c r="DBP28">
        <f t="shared" si="2096"/>
        <v>0</v>
      </c>
      <c r="DBQ28">
        <f t="shared" si="2097"/>
        <v>0</v>
      </c>
      <c r="DBR28">
        <f t="shared" si="2098"/>
        <v>0</v>
      </c>
      <c r="DBS28">
        <f t="shared" si="2099"/>
        <v>0</v>
      </c>
      <c r="DBT28">
        <f t="shared" si="2100"/>
        <v>0</v>
      </c>
      <c r="DBU28">
        <f t="shared" si="2101"/>
        <v>0</v>
      </c>
      <c r="DBV28">
        <f t="shared" si="2102"/>
        <v>0</v>
      </c>
      <c r="DBW28">
        <f t="shared" si="2103"/>
        <v>0</v>
      </c>
      <c r="DBX28">
        <f t="shared" si="2104"/>
        <v>0</v>
      </c>
      <c r="DBY28">
        <f t="shared" si="2105"/>
        <v>0</v>
      </c>
      <c r="DBZ28">
        <f t="shared" si="2106"/>
        <v>0</v>
      </c>
      <c r="DCA28">
        <f t="shared" si="2107"/>
        <v>0</v>
      </c>
      <c r="DCB28">
        <f t="shared" si="2108"/>
        <v>0</v>
      </c>
      <c r="DCC28">
        <f t="shared" si="2109"/>
        <v>0</v>
      </c>
      <c r="DCD28">
        <f t="shared" si="2110"/>
        <v>0</v>
      </c>
      <c r="DCE28">
        <f t="shared" si="2111"/>
        <v>0</v>
      </c>
      <c r="DCF28">
        <f t="shared" si="2112"/>
        <v>0</v>
      </c>
      <c r="DCG28">
        <f t="shared" si="2113"/>
        <v>0</v>
      </c>
      <c r="DCH28">
        <f t="shared" si="2114"/>
        <v>0</v>
      </c>
      <c r="DCI28">
        <f t="shared" si="2115"/>
        <v>0</v>
      </c>
      <c r="DCJ28">
        <f t="shared" si="2116"/>
        <v>0</v>
      </c>
      <c r="DCK28">
        <f t="shared" si="2117"/>
        <v>0</v>
      </c>
      <c r="DCL28">
        <f t="shared" si="2118"/>
        <v>0</v>
      </c>
      <c r="DCM28">
        <f t="shared" si="2119"/>
        <v>0</v>
      </c>
      <c r="DCN28">
        <f t="shared" si="2120"/>
        <v>0</v>
      </c>
      <c r="DCO28">
        <f t="shared" si="2121"/>
        <v>0</v>
      </c>
      <c r="DCP28">
        <f t="shared" si="2122"/>
        <v>0</v>
      </c>
      <c r="DCQ28">
        <f t="shared" si="2123"/>
        <v>0</v>
      </c>
      <c r="DCR28">
        <f t="shared" si="2124"/>
        <v>0</v>
      </c>
      <c r="DCS28">
        <f t="shared" si="2125"/>
        <v>0</v>
      </c>
      <c r="DCT28">
        <f t="shared" si="2126"/>
        <v>0</v>
      </c>
      <c r="DCU28">
        <f t="shared" si="2127"/>
        <v>0</v>
      </c>
      <c r="DCV28">
        <f t="shared" si="2128"/>
        <v>0</v>
      </c>
      <c r="DCW28">
        <f t="shared" si="2129"/>
        <v>0</v>
      </c>
      <c r="DCX28">
        <f t="shared" si="2130"/>
        <v>0</v>
      </c>
      <c r="DCY28">
        <f t="shared" si="2131"/>
        <v>0</v>
      </c>
      <c r="DCZ28">
        <f t="shared" si="2132"/>
        <v>0</v>
      </c>
      <c r="DDA28">
        <f t="shared" si="2133"/>
        <v>0</v>
      </c>
      <c r="DDB28">
        <f t="shared" si="2134"/>
        <v>0</v>
      </c>
      <c r="DDC28">
        <f t="shared" si="2135"/>
        <v>0</v>
      </c>
      <c r="DDD28">
        <f t="shared" si="2136"/>
        <v>0</v>
      </c>
      <c r="DDE28">
        <f t="shared" si="2137"/>
        <v>0</v>
      </c>
      <c r="DDF28">
        <f t="shared" si="2138"/>
        <v>0</v>
      </c>
      <c r="DDG28">
        <f t="shared" si="2139"/>
        <v>0</v>
      </c>
      <c r="DDH28">
        <f t="shared" si="2140"/>
        <v>0</v>
      </c>
      <c r="DDI28">
        <f t="shared" si="2141"/>
        <v>0</v>
      </c>
    </row>
    <row r="29" spans="1:2817" x14ac:dyDescent="0.2">
      <c r="A29" s="1">
        <v>23</v>
      </c>
      <c r="B29">
        <f>'Demand Stage 2'!B28</f>
        <v>0</v>
      </c>
      <c r="C29">
        <f>'Demand Stage 2'!C28</f>
        <v>0</v>
      </c>
      <c r="D29">
        <f>'Demand Stage 2'!D28</f>
        <v>0</v>
      </c>
      <c r="E29">
        <f>'Demand Stage 2'!E28</f>
        <v>0</v>
      </c>
      <c r="F29">
        <f>'Demand Stage 2'!F28</f>
        <v>0</v>
      </c>
      <c r="G29">
        <f>'Demand Stage 2'!G28</f>
        <v>0</v>
      </c>
      <c r="H29">
        <f>'Demand Stage 2'!H28</f>
        <v>0</v>
      </c>
      <c r="I29">
        <f>'Demand Stage 2'!I28</f>
        <v>0</v>
      </c>
      <c r="J29">
        <f>'Demand Stage 2'!J28</f>
        <v>0</v>
      </c>
      <c r="K29">
        <f>'Demand Stage 2'!K28</f>
        <v>0</v>
      </c>
      <c r="L29">
        <f>'Demand Stage 2'!L28</f>
        <v>0</v>
      </c>
      <c r="M29">
        <f>'Demand Stage 2'!M28</f>
        <v>0</v>
      </c>
      <c r="N29">
        <f>'Demand Stage 2'!N28</f>
        <v>0</v>
      </c>
      <c r="O29">
        <f>'Demand Stage 2'!O28</f>
        <v>0</v>
      </c>
      <c r="P29">
        <f>'Demand Stage 2'!P28</f>
        <v>0</v>
      </c>
      <c r="Q29">
        <f>'Demand Stage 2'!Q28</f>
        <v>0</v>
      </c>
      <c r="R29">
        <f>'Demand Stage 2'!R28</f>
        <v>0</v>
      </c>
      <c r="S29">
        <f>'Demand Stage 2'!S28</f>
        <v>0</v>
      </c>
      <c r="T29">
        <f>'Demand Stage 2'!T28</f>
        <v>0</v>
      </c>
      <c r="U29">
        <f>'Demand Stage 2'!U28</f>
        <v>0</v>
      </c>
      <c r="V29">
        <f>'Demand Stage 2'!V28</f>
        <v>0</v>
      </c>
      <c r="W29">
        <f>'Demand Stage 2'!W28</f>
        <v>0</v>
      </c>
      <c r="X29">
        <f>'Demand Stage 2'!X28</f>
        <v>0</v>
      </c>
      <c r="Y29">
        <f>'Demand Stage 2'!Y28</f>
        <v>0</v>
      </c>
      <c r="Z29">
        <f>'Demand Stage 2'!Z28</f>
        <v>0</v>
      </c>
      <c r="AA29">
        <f>'Demand Stage 2'!AA28</f>
        <v>0</v>
      </c>
      <c r="AB29">
        <f>'Demand Stage 2'!AB28</f>
        <v>0</v>
      </c>
      <c r="AC29">
        <f>'Demand Stage 2'!AC28</f>
        <v>0</v>
      </c>
      <c r="AD29">
        <f>'Demand Stage 2'!AD28</f>
        <v>0</v>
      </c>
      <c r="AE29">
        <f>'Demand Stage 2'!AE28</f>
        <v>0</v>
      </c>
      <c r="AF29">
        <f>'Demand Stage 2'!AF28</f>
        <v>0</v>
      </c>
      <c r="AG29">
        <f>'Demand Stage 2'!AG28</f>
        <v>0</v>
      </c>
      <c r="AH29">
        <f>'Demand Stage 2'!AH28</f>
        <v>0</v>
      </c>
      <c r="AI29">
        <f>'Demand Stage 2'!AI28</f>
        <v>0</v>
      </c>
      <c r="AJ29">
        <f>'Demand Stage 2'!AJ28</f>
        <v>0</v>
      </c>
      <c r="AK29">
        <f>'Demand Stage 2'!AK28</f>
        <v>0</v>
      </c>
      <c r="AL29">
        <f>'Demand Stage 2'!AL28</f>
        <v>0</v>
      </c>
      <c r="AM29">
        <f>'Demand Stage 2'!AM28</f>
        <v>0</v>
      </c>
      <c r="AN29">
        <f>'Demand Stage 2'!AN28</f>
        <v>0</v>
      </c>
      <c r="AO29">
        <f>'Demand Stage 2'!AO28</f>
        <v>0</v>
      </c>
      <c r="AP29">
        <f>'Demand Stage 2'!AP28</f>
        <v>0</v>
      </c>
      <c r="AQ29">
        <f>'Demand Stage 2'!AQ28</f>
        <v>0</v>
      </c>
      <c r="AR29">
        <f>'Demand Stage 2'!AR28</f>
        <v>0</v>
      </c>
      <c r="AS29">
        <f>'Demand Stage 2'!AS28</f>
        <v>0</v>
      </c>
      <c r="AT29">
        <f>'Demand Stage 2'!AT28</f>
        <v>0</v>
      </c>
      <c r="AU29">
        <f>'Demand Stage 2'!AU28</f>
        <v>0</v>
      </c>
      <c r="AV29">
        <f>'Demand Stage 2'!AV28</f>
        <v>0</v>
      </c>
      <c r="AW29">
        <f>'Demand Stage 2'!AW28</f>
        <v>0</v>
      </c>
      <c r="AX29">
        <f>'Demand Stage 2'!AX28</f>
        <v>0</v>
      </c>
      <c r="AY29">
        <f>'Demand Stage 2'!AY28</f>
        <v>0</v>
      </c>
      <c r="AZ29">
        <f>'Demand Stage 2'!AZ28</f>
        <v>0</v>
      </c>
      <c r="BA29">
        <f>'Demand Stage 2'!BA28</f>
        <v>0</v>
      </c>
      <c r="BB29">
        <f>'Demand Stage 2'!BB28</f>
        <v>0</v>
      </c>
      <c r="BC29">
        <f>'Demand Stage 2'!BC28</f>
        <v>0</v>
      </c>
      <c r="BD29">
        <f>'Demand Stage 2'!BD28</f>
        <v>0</v>
      </c>
      <c r="BE29">
        <f>'Demand Stage 2'!BE28</f>
        <v>0</v>
      </c>
      <c r="BF29">
        <f>'Demand Stage 2'!BF28</f>
        <v>0</v>
      </c>
      <c r="BG29">
        <f>'Demand Stage 2'!BG28</f>
        <v>0</v>
      </c>
      <c r="BH29">
        <f>'Demand Stage 2'!BH28</f>
        <v>0</v>
      </c>
      <c r="BI29">
        <f>'Demand Stage 2'!BI28</f>
        <v>0</v>
      </c>
      <c r="BJ29">
        <f>'Demand Stage 2'!BJ28</f>
        <v>0</v>
      </c>
      <c r="BK29">
        <f>'Demand Stage 2'!BK28</f>
        <v>0</v>
      </c>
      <c r="BL29">
        <f>'Demand Stage 2'!BL28</f>
        <v>0</v>
      </c>
      <c r="BM29">
        <f>'Demand Stage 2'!BM28</f>
        <v>0</v>
      </c>
      <c r="BN29">
        <f>'Demand Stage 2'!BN28</f>
        <v>0</v>
      </c>
      <c r="BO29">
        <f>'Demand Stage 2'!BO28</f>
        <v>0</v>
      </c>
      <c r="BP29">
        <f>'Demand Stage 2'!BP28</f>
        <v>0</v>
      </c>
      <c r="BQ29">
        <f>'Demand Stage 2'!BQ28</f>
        <v>0</v>
      </c>
      <c r="BR29">
        <f>'Demand Stage 2'!BR28</f>
        <v>0</v>
      </c>
      <c r="BS29">
        <f>'Demand Stage 2'!BS28</f>
        <v>0</v>
      </c>
      <c r="BT29">
        <f>'Demand Stage 2'!BT28</f>
        <v>0</v>
      </c>
      <c r="BU29">
        <f>'Demand Stage 2'!BU28</f>
        <v>0</v>
      </c>
      <c r="BV29">
        <f>'Demand Stage 2'!BV28</f>
        <v>0</v>
      </c>
      <c r="BW29">
        <f>'Demand Stage 2'!BW28</f>
        <v>0</v>
      </c>
      <c r="BX29">
        <f>'Demand Stage 2'!BX28</f>
        <v>0</v>
      </c>
      <c r="BY29">
        <f>'Demand Stage 2'!BY28</f>
        <v>0</v>
      </c>
      <c r="BZ29">
        <f>'Demand Stage 2'!BZ28</f>
        <v>0</v>
      </c>
      <c r="CA29">
        <f>'Demand Stage 2'!CA28</f>
        <v>0</v>
      </c>
      <c r="CB29">
        <f>'Demand Stage 2'!CB28</f>
        <v>0</v>
      </c>
      <c r="CC29">
        <f>'Demand Stage 2'!CC28</f>
        <v>0</v>
      </c>
      <c r="CD29">
        <f>'Demand Stage 2'!CD28</f>
        <v>0</v>
      </c>
      <c r="CE29">
        <f>'Demand Stage 2'!CE28</f>
        <v>0</v>
      </c>
      <c r="CF29">
        <f>'Demand Stage 2'!CF28</f>
        <v>0</v>
      </c>
      <c r="CG29">
        <f>'Demand Stage 2'!CG28</f>
        <v>0</v>
      </c>
      <c r="CH29">
        <f>'Demand Stage 2'!CH28</f>
        <v>0</v>
      </c>
      <c r="CI29">
        <f>'Demand Stage 2'!CI28</f>
        <v>0</v>
      </c>
      <c r="CJ29">
        <f>'Demand Stage 2'!CJ28</f>
        <v>0</v>
      </c>
      <c r="CK29">
        <f>'Demand Stage 2'!CK28</f>
        <v>0</v>
      </c>
      <c r="CL29">
        <f>'Demand Stage 2'!CL28</f>
        <v>0</v>
      </c>
      <c r="CM29">
        <f>'Demand Stage 2'!CM28</f>
        <v>0</v>
      </c>
      <c r="CN29">
        <f>'Demand Stage 2'!CN28</f>
        <v>0</v>
      </c>
      <c r="CO29">
        <f>'Demand Stage 2'!CO28</f>
        <v>0</v>
      </c>
      <c r="CP29">
        <f>'Demand Stage 2'!CP28</f>
        <v>0</v>
      </c>
      <c r="CQ29">
        <f>'Demand Stage 2'!CQ28</f>
        <v>0</v>
      </c>
      <c r="CR29">
        <f>'Demand Stage 2'!CR28</f>
        <v>0</v>
      </c>
      <c r="CS29">
        <f>'Demand Stage 2'!CS28</f>
        <v>0</v>
      </c>
      <c r="CT29">
        <f>'Demand Stage 2'!CT28</f>
        <v>0</v>
      </c>
      <c r="CU29">
        <f>'Demand Stage 2'!CU28</f>
        <v>0</v>
      </c>
      <c r="CV29">
        <f>'Demand Stage 2'!CV28</f>
        <v>0</v>
      </c>
      <c r="CW29">
        <f>'Demand Stage 2'!CW28</f>
        <v>0</v>
      </c>
      <c r="CX29">
        <f>'Demand Stage 2'!CX28</f>
        <v>0</v>
      </c>
      <c r="CY29">
        <f>'Demand Stage 2'!CY28</f>
        <v>0</v>
      </c>
      <c r="CZ29">
        <f>'Demand Stage 2'!CZ28</f>
        <v>0</v>
      </c>
      <c r="DA29">
        <f>'Demand Stage 2'!DA28</f>
        <v>0</v>
      </c>
      <c r="DB29">
        <f>'Demand Stage 2'!DB28</f>
        <v>0</v>
      </c>
      <c r="DC29">
        <f>'Demand Stage 2'!DC28</f>
        <v>0</v>
      </c>
      <c r="DD29">
        <f>'Demand Stage 2'!DD28</f>
        <v>0</v>
      </c>
      <c r="DE29">
        <f>'Demand Stage 2'!DE28</f>
        <v>0</v>
      </c>
      <c r="DF29">
        <f>'Demand Stage 2'!DF28</f>
        <v>0</v>
      </c>
      <c r="DG29">
        <f>'Demand Stage 2'!DG28</f>
        <v>0</v>
      </c>
      <c r="DH29">
        <f>'Demand Stage 2'!DH28</f>
        <v>0</v>
      </c>
      <c r="DI29">
        <f>'Demand Stage 2'!DI28</f>
        <v>0</v>
      </c>
      <c r="DJ29">
        <f>'Demand Stage 2'!DJ28</f>
        <v>0</v>
      </c>
      <c r="DK29">
        <f>'Demand Stage 2'!DK28</f>
        <v>0</v>
      </c>
      <c r="DL29">
        <f>'Demand Stage 2'!DL28</f>
        <v>0</v>
      </c>
      <c r="DM29">
        <f>'Demand Stage 2'!DM28</f>
        <v>0</v>
      </c>
      <c r="DN29">
        <f>'Demand Stage 2'!DN28</f>
        <v>0</v>
      </c>
      <c r="DO29">
        <f>'Demand Stage 2'!DO28</f>
        <v>0</v>
      </c>
      <c r="DP29">
        <f>'Demand Stage 2'!DP28</f>
        <v>0</v>
      </c>
      <c r="DQ29">
        <f>'Demand Stage 2'!DQ28</f>
        <v>0</v>
      </c>
      <c r="DR29">
        <f>'Demand Stage 2'!DR28</f>
        <v>0</v>
      </c>
      <c r="DS29">
        <f>'Demand Stage 2'!DS28</f>
        <v>0</v>
      </c>
      <c r="DT29">
        <f>'Demand Stage 2'!DT28</f>
        <v>0</v>
      </c>
      <c r="DU29">
        <f>'Demand Stage 2'!DU28</f>
        <v>0</v>
      </c>
      <c r="DV29">
        <f>'Demand Stage 2'!DV28</f>
        <v>0</v>
      </c>
      <c r="DW29">
        <f>'Demand Stage 2'!DW28</f>
        <v>0</v>
      </c>
      <c r="DX29">
        <f>'Demand Stage 2'!DX28</f>
        <v>0</v>
      </c>
      <c r="DY29">
        <f>'Demand Stage 2'!DY28</f>
        <v>0</v>
      </c>
      <c r="DZ29">
        <f>'Demand Stage 2'!DZ28</f>
        <v>0</v>
      </c>
      <c r="EA29">
        <f>'Demand Stage 2'!EA28</f>
        <v>0</v>
      </c>
      <c r="EB29">
        <f>'Demand Stage 2'!EB28</f>
        <v>0</v>
      </c>
      <c r="EC29">
        <f>'Demand Stage 2'!EC28</f>
        <v>0</v>
      </c>
      <c r="ED29">
        <f>'Demand Stage 2'!ED28</f>
        <v>0</v>
      </c>
      <c r="EE29">
        <f>'Demand Stage 2'!EE28</f>
        <v>0</v>
      </c>
      <c r="EF29">
        <f>'Demand Stage 2'!EF28</f>
        <v>0</v>
      </c>
      <c r="EG29">
        <f>'Demand Stage 2'!EG28</f>
        <v>0</v>
      </c>
      <c r="EH29">
        <f>'Demand Stage 2'!EH28</f>
        <v>0</v>
      </c>
      <c r="EI29">
        <f>'Demand Stage 2'!EI28</f>
        <v>0</v>
      </c>
      <c r="EJ29">
        <f>'Demand Stage 2'!EJ28</f>
        <v>0</v>
      </c>
      <c r="EK29">
        <f>'Demand Stage 2'!EK28</f>
        <v>0</v>
      </c>
      <c r="EL29">
        <f>'Demand Stage 2'!EL28</f>
        <v>0</v>
      </c>
      <c r="EM29">
        <f>'Demand Stage 2'!EM28</f>
        <v>0</v>
      </c>
      <c r="EN29">
        <f>'Demand Stage 2'!EN28</f>
        <v>0</v>
      </c>
      <c r="EO29">
        <f>'Demand Stage 2'!EO28</f>
        <v>0</v>
      </c>
      <c r="EP29">
        <f>'Demand Stage 2'!EP28</f>
        <v>0</v>
      </c>
      <c r="EQ29">
        <f>'Demand Stage 2'!EQ28</f>
        <v>0</v>
      </c>
      <c r="ER29">
        <f>'Demand Stage 2'!ER28</f>
        <v>0</v>
      </c>
      <c r="ES29">
        <f>'Demand Stage 2'!ES28</f>
        <v>0</v>
      </c>
      <c r="ET29">
        <f>'Demand Stage 2'!ET28</f>
        <v>0</v>
      </c>
      <c r="EU29">
        <f>'Demand Stage 2'!EU28</f>
        <v>0</v>
      </c>
      <c r="EV29">
        <f>'Demand Stage 2'!EV28</f>
        <v>0</v>
      </c>
      <c r="EW29">
        <f>'Demand Stage 2'!EW28</f>
        <v>0</v>
      </c>
      <c r="EX29">
        <f>'Demand Stage 2'!EX28</f>
        <v>0</v>
      </c>
      <c r="EY29">
        <f>'Demand Stage 2'!EY28</f>
        <v>0</v>
      </c>
      <c r="EZ29">
        <f>'Demand Stage 2'!EZ28</f>
        <v>0</v>
      </c>
      <c r="FA29">
        <f>'Demand Stage 2'!FA28</f>
        <v>0</v>
      </c>
      <c r="FB29">
        <f>'Demand Stage 2'!FB28</f>
        <v>0</v>
      </c>
      <c r="FC29">
        <f>'Demand Stage 2'!FC28</f>
        <v>0</v>
      </c>
      <c r="FD29">
        <f>'Demand Stage 2'!FD28</f>
        <v>0</v>
      </c>
      <c r="FE29">
        <f>'Demand Stage 2'!FE28</f>
        <v>0</v>
      </c>
      <c r="FF29">
        <f>'Demand Stage 2'!FF28</f>
        <v>0</v>
      </c>
      <c r="FG29">
        <f>'Demand Stage 2'!FG28</f>
        <v>0</v>
      </c>
      <c r="FH29">
        <f>'Demand Stage 2'!FH28</f>
        <v>0</v>
      </c>
      <c r="FI29">
        <f>'Demand Stage 2'!FI28</f>
        <v>0</v>
      </c>
      <c r="FJ29">
        <f>'Demand Stage 2'!FJ28</f>
        <v>0</v>
      </c>
      <c r="FK29">
        <f>'Demand Stage 2'!FK28</f>
        <v>0</v>
      </c>
      <c r="FL29">
        <f>'Demand Stage 2'!FL28</f>
        <v>0</v>
      </c>
      <c r="FM29">
        <f>'Demand Stage 2'!FM28</f>
        <v>0</v>
      </c>
      <c r="FN29">
        <f>'Demand Stage 2'!FN28</f>
        <v>0</v>
      </c>
      <c r="FO29">
        <f>'Demand Stage 2'!FO28</f>
        <v>0</v>
      </c>
      <c r="FP29">
        <f>'Demand Stage 2'!FP28</f>
        <v>0</v>
      </c>
      <c r="FQ29">
        <f>'Demand Stage 2'!FQ28</f>
        <v>0</v>
      </c>
      <c r="FR29">
        <f>'Demand Stage 2'!FR28</f>
        <v>0</v>
      </c>
      <c r="FS29">
        <f>'Demand Stage 2'!FS28</f>
        <v>0</v>
      </c>
      <c r="FT29">
        <f>'Demand Stage 2'!FT28</f>
        <v>0</v>
      </c>
      <c r="FU29">
        <f>'Demand Stage 2'!FU28</f>
        <v>0</v>
      </c>
      <c r="FV29">
        <f>'Demand Stage 2'!FV28</f>
        <v>0</v>
      </c>
      <c r="FW29">
        <f>'Demand Stage 2'!FW28</f>
        <v>0</v>
      </c>
      <c r="FX29">
        <f>'Demand Stage 2'!FX28</f>
        <v>0</v>
      </c>
      <c r="FY29">
        <f>'Demand Stage 2'!FY28</f>
        <v>0</v>
      </c>
      <c r="FZ29">
        <f>'Demand Stage 2'!FZ28</f>
        <v>0</v>
      </c>
      <c r="GA29">
        <f>'Demand Stage 2'!GA28</f>
        <v>0</v>
      </c>
      <c r="GB29">
        <f>'Demand Stage 2'!GB28</f>
        <v>0</v>
      </c>
      <c r="GC29">
        <f>'Demand Stage 2'!GC28</f>
        <v>0</v>
      </c>
      <c r="GD29">
        <f>'Demand Stage 2'!GD28</f>
        <v>0</v>
      </c>
      <c r="GE29">
        <f>'Demand Stage 2'!GE28</f>
        <v>0</v>
      </c>
      <c r="GF29">
        <f>'Demand Stage 2'!GF28</f>
        <v>0</v>
      </c>
      <c r="GG29">
        <f>'Demand Stage 2'!GG28</f>
        <v>0</v>
      </c>
      <c r="GH29">
        <f>'Demand Stage 2'!GH28</f>
        <v>0</v>
      </c>
      <c r="GI29">
        <f>'Demand Stage 2'!GI28</f>
        <v>0</v>
      </c>
      <c r="GJ29">
        <f>'Demand Stage 2'!GJ28</f>
        <v>0</v>
      </c>
      <c r="GK29">
        <f>'Demand Stage 2'!GK28</f>
        <v>0</v>
      </c>
      <c r="GL29">
        <f>'Demand Stage 2'!GL28</f>
        <v>0</v>
      </c>
      <c r="GM29">
        <f>'Demand Stage 2'!GM28</f>
        <v>0</v>
      </c>
      <c r="GN29">
        <f>'Demand Stage 2'!GN28</f>
        <v>0</v>
      </c>
      <c r="GO29">
        <f>'Demand Stage 2'!GO28</f>
        <v>0</v>
      </c>
      <c r="GP29">
        <f>'Demand Stage 2'!GP28</f>
        <v>0</v>
      </c>
      <c r="GQ29">
        <f>'Demand Stage 2'!GQ28</f>
        <v>0</v>
      </c>
      <c r="GR29">
        <f>'Demand Stage 2'!GR28</f>
        <v>0</v>
      </c>
      <c r="GS29">
        <f>'Demand Stage 2'!GS28</f>
        <v>0</v>
      </c>
      <c r="GT29">
        <f>'Demand Stage 2'!GT28</f>
        <v>0</v>
      </c>
      <c r="GU29">
        <f>'Demand Stage 2'!GU28</f>
        <v>0</v>
      </c>
      <c r="GV29">
        <f>'Demand Stage 2'!GV28</f>
        <v>0</v>
      </c>
      <c r="GW29">
        <f>'Demand Stage 2'!GW28</f>
        <v>0</v>
      </c>
      <c r="GX29">
        <f>'Demand Stage 2'!GX28</f>
        <v>0</v>
      </c>
      <c r="GY29">
        <f>'Demand Stage 2'!GY28</f>
        <v>0</v>
      </c>
      <c r="GZ29">
        <f>'Demand Stage 2'!GZ28</f>
        <v>0</v>
      </c>
      <c r="HA29">
        <f>'Demand Stage 2'!HA28</f>
        <v>0</v>
      </c>
      <c r="HB29">
        <f>'Demand Stage 2'!HB28</f>
        <v>0</v>
      </c>
      <c r="HC29">
        <f>'Demand Stage 2'!HC28</f>
        <v>0</v>
      </c>
      <c r="HD29">
        <f>'Demand Stage 2'!HD28</f>
        <v>0</v>
      </c>
      <c r="HE29">
        <f>'Demand Stage 2'!HE28</f>
        <v>0</v>
      </c>
      <c r="HF29">
        <f>'Demand Stage 2'!HF28</f>
        <v>0</v>
      </c>
      <c r="HG29">
        <f>'Demand Stage 2'!HG28</f>
        <v>0</v>
      </c>
      <c r="HH29">
        <f>'Demand Stage 2'!HH28</f>
        <v>0</v>
      </c>
      <c r="HI29">
        <f>'Demand Stage 2'!HI28</f>
        <v>0</v>
      </c>
      <c r="HJ29">
        <f>'Demand Stage 2'!HJ28</f>
        <v>0</v>
      </c>
      <c r="HK29">
        <f>'Demand Stage 2'!HK28</f>
        <v>0</v>
      </c>
      <c r="HL29">
        <f>'Demand Stage 2'!HL28</f>
        <v>0</v>
      </c>
      <c r="HM29">
        <f>'Demand Stage 2'!HM28</f>
        <v>0</v>
      </c>
      <c r="HN29">
        <f>'Demand Stage 2'!HN28</f>
        <v>0</v>
      </c>
      <c r="HO29">
        <f>'Demand Stage 2'!HO28</f>
        <v>0</v>
      </c>
      <c r="HP29">
        <f>'Demand Stage 2'!HP28</f>
        <v>0</v>
      </c>
      <c r="HQ29">
        <f>'Demand Stage 2'!HQ28</f>
        <v>0</v>
      </c>
      <c r="HR29">
        <f>'Demand Stage 2'!HR28</f>
        <v>0</v>
      </c>
      <c r="HS29">
        <f>'Demand Stage 2'!HS28</f>
        <v>0</v>
      </c>
      <c r="HT29">
        <f>'Demand Stage 2'!HT28</f>
        <v>0</v>
      </c>
      <c r="HU29">
        <f>'Demand Stage 2'!HU28</f>
        <v>0</v>
      </c>
      <c r="HV29">
        <f>'Demand Stage 2'!HV28</f>
        <v>0</v>
      </c>
      <c r="HW29">
        <f>'Demand Stage 2'!HW28</f>
        <v>0</v>
      </c>
      <c r="HX29">
        <f>'Demand Stage 2'!HX28</f>
        <v>0</v>
      </c>
      <c r="HY29">
        <f>'Demand Stage 2'!HY28</f>
        <v>0</v>
      </c>
      <c r="HZ29">
        <f>'Demand Stage 2'!HZ28</f>
        <v>0</v>
      </c>
      <c r="IA29">
        <f>'Demand Stage 2'!IA28</f>
        <v>0</v>
      </c>
      <c r="IB29">
        <f>'Demand Stage 2'!IB28</f>
        <v>0</v>
      </c>
      <c r="IC29">
        <f>'Demand Stage 2'!IC28</f>
        <v>0</v>
      </c>
      <c r="ID29">
        <f>'Demand Stage 2'!ID28</f>
        <v>0</v>
      </c>
      <c r="IE29">
        <f>'Demand Stage 2'!IE28</f>
        <v>0</v>
      </c>
      <c r="IF29">
        <f>'Demand Stage 2'!IF28</f>
        <v>0</v>
      </c>
      <c r="IG29">
        <f>'Demand Stage 2'!IG28</f>
        <v>0</v>
      </c>
      <c r="IH29">
        <f>'Demand Stage 2'!IH28</f>
        <v>0</v>
      </c>
      <c r="II29">
        <f>'Demand Stage 2'!II28</f>
        <v>0</v>
      </c>
      <c r="IJ29">
        <f>'Demand Stage 2'!IJ28</f>
        <v>0</v>
      </c>
      <c r="IK29">
        <f>'Demand Stage 2'!IK28</f>
        <v>0</v>
      </c>
      <c r="IL29">
        <f>'Demand Stage 2'!IL28</f>
        <v>0</v>
      </c>
      <c r="IM29">
        <f>'Demand Stage 2'!IM28</f>
        <v>0</v>
      </c>
      <c r="IN29">
        <f>'Demand Stage 2'!IN28</f>
        <v>0</v>
      </c>
      <c r="IO29">
        <f>'Demand Stage 2'!IO28</f>
        <v>0</v>
      </c>
      <c r="IP29">
        <f>'Demand Stage 2'!IP28</f>
        <v>0</v>
      </c>
      <c r="IQ29">
        <f>'Demand Stage 2'!IQ28</f>
        <v>0</v>
      </c>
      <c r="IR29">
        <f>'Demand Stage 2'!IR28</f>
        <v>0</v>
      </c>
      <c r="IS29">
        <f>'Demand Stage 2'!IS28</f>
        <v>0</v>
      </c>
      <c r="IT29">
        <f>'Demand Stage 2'!IT28</f>
        <v>0</v>
      </c>
      <c r="IU29">
        <f>'Demand Stage 2'!IU28</f>
        <v>0</v>
      </c>
      <c r="IV29">
        <f>'Demand Stage 2'!IV28</f>
        <v>0</v>
      </c>
      <c r="IW29">
        <f>'Demand Stage 2'!IW28</f>
        <v>0</v>
      </c>
      <c r="IX29">
        <f>'Demand Stage 2'!IX28</f>
        <v>0</v>
      </c>
      <c r="IY29">
        <f>'Demand Stage 2'!IY28</f>
        <v>0</v>
      </c>
      <c r="IZ29">
        <f>'Demand Stage 2'!IZ28</f>
        <v>0</v>
      </c>
      <c r="JA29">
        <f>'Demand Stage 2'!JA28</f>
        <v>0</v>
      </c>
      <c r="JB29">
        <f>'Demand Stage 2'!JB28</f>
        <v>0</v>
      </c>
      <c r="JC29">
        <f>'Demand Stage 2'!JC28</f>
        <v>0</v>
      </c>
      <c r="JD29">
        <f>'Demand Stage 2'!JD28</f>
        <v>0</v>
      </c>
      <c r="JE29">
        <f>'Demand Stage 2'!JE28</f>
        <v>0</v>
      </c>
      <c r="JF29">
        <f>'Demand Stage 2'!JF28</f>
        <v>0</v>
      </c>
      <c r="JG29">
        <f>'Demand Stage 2'!JG28</f>
        <v>0</v>
      </c>
      <c r="JH29">
        <f>'Demand Stage 2'!JH28</f>
        <v>0</v>
      </c>
      <c r="JI29">
        <f>'Demand Stage 2'!JI28</f>
        <v>0</v>
      </c>
      <c r="JJ29">
        <f>'Demand Stage 2'!JJ28</f>
        <v>0</v>
      </c>
      <c r="JK29">
        <f>'Demand Stage 2'!JK28</f>
        <v>0</v>
      </c>
      <c r="JL29">
        <f>'Demand Stage 2'!JL28</f>
        <v>0</v>
      </c>
      <c r="JM29">
        <f>'Demand Stage 2'!JM28</f>
        <v>0</v>
      </c>
      <c r="JN29">
        <f>'Demand Stage 2'!JN28</f>
        <v>0</v>
      </c>
      <c r="JO29">
        <f>'Demand Stage 2'!JO28</f>
        <v>0</v>
      </c>
      <c r="JP29">
        <f>'Demand Stage 2'!JP28</f>
        <v>0</v>
      </c>
      <c r="JQ29">
        <f>'Demand Stage 2'!JQ28</f>
        <v>0</v>
      </c>
      <c r="JR29">
        <f>'Demand Stage 2'!JR28</f>
        <v>0</v>
      </c>
      <c r="JS29">
        <f>'Demand Stage 2'!JS28</f>
        <v>0</v>
      </c>
      <c r="JT29">
        <f>'Demand Stage 2'!JT28</f>
        <v>0</v>
      </c>
      <c r="JU29">
        <f>'Demand Stage 2'!JU28</f>
        <v>0</v>
      </c>
      <c r="JV29">
        <f>'Demand Stage 2'!JV28</f>
        <v>0</v>
      </c>
      <c r="JW29">
        <f>'Demand Stage 2'!JW28</f>
        <v>0</v>
      </c>
      <c r="JX29">
        <f>'Demand Stage 2'!JX28</f>
        <v>0</v>
      </c>
      <c r="JY29">
        <f>'Demand Stage 2'!JY28</f>
        <v>0</v>
      </c>
      <c r="JZ29">
        <f>'Demand Stage 2'!JZ28</f>
        <v>0</v>
      </c>
      <c r="KA29">
        <f>'Demand Stage 2'!KA28</f>
        <v>0</v>
      </c>
      <c r="KB29">
        <f>'Demand Stage 2'!KB28</f>
        <v>0</v>
      </c>
      <c r="KC29">
        <f>'Demand Stage 2'!KC28</f>
        <v>0</v>
      </c>
      <c r="KD29">
        <f>'Demand Stage 2'!KD28</f>
        <v>0</v>
      </c>
      <c r="KE29">
        <f>'Demand Stage 2'!KE28</f>
        <v>0</v>
      </c>
      <c r="KF29">
        <f>'Demand Stage 2'!KF28</f>
        <v>0</v>
      </c>
      <c r="KG29">
        <f>'Demand Stage 2'!KG28</f>
        <v>0</v>
      </c>
      <c r="KH29">
        <f>'Demand Stage 2'!KH28</f>
        <v>0</v>
      </c>
      <c r="KI29">
        <f>'Demand Stage 2'!KI28</f>
        <v>0</v>
      </c>
      <c r="KJ29">
        <f>'Demand Stage 2'!KJ28</f>
        <v>0</v>
      </c>
      <c r="KK29">
        <f>'Demand Stage 2'!KK28</f>
        <v>0</v>
      </c>
      <c r="KL29">
        <f>'Demand Stage 2'!KL28</f>
        <v>0</v>
      </c>
      <c r="KM29">
        <f>'Demand Stage 2'!KM28</f>
        <v>0</v>
      </c>
      <c r="KN29">
        <f>'Demand Stage 2'!KN28</f>
        <v>0</v>
      </c>
      <c r="KO29">
        <f>'Demand Stage 2'!KO28</f>
        <v>0</v>
      </c>
      <c r="KP29">
        <f>'Demand Stage 2'!KP28</f>
        <v>0</v>
      </c>
      <c r="KQ29">
        <f>'Demand Stage 2'!KQ28</f>
        <v>0</v>
      </c>
      <c r="KR29">
        <f>'Demand Stage 2'!KR28</f>
        <v>0</v>
      </c>
      <c r="KS29">
        <f>'Demand Stage 2'!KS28</f>
        <v>0</v>
      </c>
      <c r="KT29">
        <f>'Demand Stage 2'!KT28</f>
        <v>0</v>
      </c>
      <c r="KU29">
        <f>'Demand Stage 2'!KU28</f>
        <v>0</v>
      </c>
      <c r="KV29">
        <f>'Demand Stage 2'!KV28</f>
        <v>0</v>
      </c>
      <c r="KW29">
        <f>'Demand Stage 2'!KW28</f>
        <v>0</v>
      </c>
      <c r="KX29">
        <f>'Demand Stage 2'!KX28</f>
        <v>0</v>
      </c>
      <c r="KY29">
        <f>'Demand Stage 2'!KY28</f>
        <v>0</v>
      </c>
      <c r="KZ29">
        <f>'Demand Stage 2'!KZ28</f>
        <v>0</v>
      </c>
      <c r="LA29">
        <f>'Demand Stage 2'!LA28</f>
        <v>0</v>
      </c>
      <c r="LB29">
        <f>'Demand Stage 2'!LB28</f>
        <v>0</v>
      </c>
      <c r="LC29">
        <f>'Demand Stage 2'!LC28</f>
        <v>0</v>
      </c>
      <c r="LD29">
        <f>'Demand Stage 2'!LD28</f>
        <v>0</v>
      </c>
      <c r="LE29">
        <f>'Demand Stage 2'!LE28</f>
        <v>0</v>
      </c>
      <c r="LF29">
        <f>'Demand Stage 2'!LF28</f>
        <v>0</v>
      </c>
      <c r="LG29">
        <f>'Demand Stage 2'!LG28</f>
        <v>0</v>
      </c>
      <c r="LH29">
        <f>'Demand Stage 2'!LH28</f>
        <v>0</v>
      </c>
      <c r="LI29">
        <f>'Demand Stage 2'!LI28</f>
        <v>0</v>
      </c>
      <c r="LJ29">
        <f>'Demand Stage 2'!LJ28</f>
        <v>0</v>
      </c>
      <c r="LK29">
        <f>'Demand Stage 2'!LK28</f>
        <v>0</v>
      </c>
      <c r="LL29">
        <f>'Demand Stage 2'!LL28</f>
        <v>0</v>
      </c>
      <c r="LM29">
        <f>'Demand Stage 2'!LM28</f>
        <v>0</v>
      </c>
      <c r="LN29">
        <f>'Demand Stage 2'!LN28</f>
        <v>0</v>
      </c>
      <c r="LO29">
        <f>'Demand Stage 2'!LO28</f>
        <v>0</v>
      </c>
      <c r="LP29">
        <f>'Demand Stage 2'!LP28</f>
        <v>0</v>
      </c>
      <c r="LQ29">
        <f>'Demand Stage 2'!LQ28</f>
        <v>0</v>
      </c>
      <c r="LR29">
        <f>'Demand Stage 2'!LR28</f>
        <v>0</v>
      </c>
      <c r="LS29">
        <f>'Demand Stage 2'!LS28</f>
        <v>0</v>
      </c>
      <c r="LT29">
        <f>'Demand Stage 2'!LT28</f>
        <v>0</v>
      </c>
      <c r="LU29">
        <f>'Demand Stage 2'!LU28</f>
        <v>0</v>
      </c>
      <c r="LV29">
        <f>'Demand Stage 2'!LV28</f>
        <v>0</v>
      </c>
      <c r="LW29">
        <f>'Demand Stage 2'!LW28</f>
        <v>0</v>
      </c>
      <c r="LX29">
        <f>'Demand Stage 2'!LX28</f>
        <v>0</v>
      </c>
      <c r="LY29">
        <f>'Demand Stage 2'!LY28</f>
        <v>0</v>
      </c>
      <c r="LZ29">
        <f>'Demand Stage 2'!LZ28</f>
        <v>0</v>
      </c>
      <c r="MA29">
        <f>'Demand Stage 2'!MA28</f>
        <v>0</v>
      </c>
      <c r="MB29">
        <f>'Demand Stage 2'!MB28</f>
        <v>0</v>
      </c>
      <c r="MC29">
        <f>'Demand Stage 2'!MC28</f>
        <v>0</v>
      </c>
      <c r="MD29">
        <f>'Demand Stage 2'!MD28</f>
        <v>0</v>
      </c>
      <c r="ME29">
        <f>'Demand Stage 2'!ME28</f>
        <v>0</v>
      </c>
      <c r="MF29">
        <f>'Demand Stage 2'!MF28</f>
        <v>0</v>
      </c>
      <c r="MG29">
        <f>'Demand Stage 2'!MG28</f>
        <v>0</v>
      </c>
      <c r="MH29">
        <f>'Demand Stage 2'!MH28</f>
        <v>0</v>
      </c>
      <c r="MI29">
        <f>'Demand Stage 2'!MI28</f>
        <v>0</v>
      </c>
      <c r="MJ29">
        <f>'Demand Stage 2'!MJ28</f>
        <v>0</v>
      </c>
      <c r="MK29">
        <f>'Demand Stage 2'!MK28</f>
        <v>0</v>
      </c>
      <c r="ML29">
        <f>'Demand Stage 2'!ML28</f>
        <v>0</v>
      </c>
      <c r="MM29">
        <f>'Demand Stage 2'!MM28</f>
        <v>0</v>
      </c>
      <c r="MN29">
        <f>'Demand Stage 2'!MN28</f>
        <v>0</v>
      </c>
      <c r="MO29">
        <f>'Demand Stage 2'!MO28</f>
        <v>0</v>
      </c>
      <c r="MP29">
        <f>'Demand Stage 2'!MP28</f>
        <v>0</v>
      </c>
      <c r="MQ29">
        <f>'Demand Stage 2'!MQ28</f>
        <v>0</v>
      </c>
      <c r="MR29">
        <f>'Demand Stage 2'!MR28</f>
        <v>0</v>
      </c>
      <c r="MS29">
        <f>'Demand Stage 2'!MS28</f>
        <v>0</v>
      </c>
      <c r="MT29">
        <f>'Demand Stage 2'!MT28</f>
        <v>0</v>
      </c>
      <c r="MU29">
        <f>'Demand Stage 2'!MU28</f>
        <v>0</v>
      </c>
      <c r="MV29">
        <f>'Demand Stage 2'!MV28</f>
        <v>0</v>
      </c>
      <c r="MW29">
        <f>'Demand Stage 2'!MW28</f>
        <v>0</v>
      </c>
      <c r="MX29">
        <f>'Demand Stage 2'!MX28</f>
        <v>0</v>
      </c>
      <c r="MY29">
        <f>'Demand Stage 2'!MY28</f>
        <v>0</v>
      </c>
      <c r="MZ29">
        <f>'Demand Stage 2'!MZ28</f>
        <v>0</v>
      </c>
      <c r="NA29">
        <f>'Demand Stage 2'!NA28</f>
        <v>0</v>
      </c>
      <c r="NB29">
        <f>'Demand Stage 2'!NB28</f>
        <v>0</v>
      </c>
      <c r="NC29">
        <f>'Demand Stage 2'!NC28</f>
        <v>0</v>
      </c>
      <c r="ND29">
        <f>'Demand Stage 2'!ND28</f>
        <v>0</v>
      </c>
      <c r="NE29">
        <f>'Demand Stage 2'!NE28</f>
        <v>0</v>
      </c>
      <c r="NF29">
        <f>'Demand Stage 2'!NF28</f>
        <v>0</v>
      </c>
      <c r="NG29">
        <f>'Demand Stage 2'!NG28</f>
        <v>0</v>
      </c>
      <c r="NH29">
        <f>'Demand Stage 2'!NH28</f>
        <v>0</v>
      </c>
      <c r="NI29">
        <f>'Demand Stage 2'!NI28</f>
        <v>0</v>
      </c>
      <c r="NJ29">
        <f>'Demand Stage 2'!NJ28</f>
        <v>0</v>
      </c>
      <c r="NK29">
        <f>'Demand Stage 2'!NK28</f>
        <v>0</v>
      </c>
      <c r="NL29">
        <f>'Demand Stage 2'!NL28</f>
        <v>0</v>
      </c>
      <c r="NM29">
        <f>'Demand Stage 2'!NM28</f>
        <v>0</v>
      </c>
      <c r="NN29">
        <f>'Demand Stage 2'!NN28</f>
        <v>0</v>
      </c>
      <c r="NO29">
        <f>'Demand Stage 2'!NO28</f>
        <v>0</v>
      </c>
      <c r="NP29">
        <f>'Demand Stage 2'!NP28</f>
        <v>0</v>
      </c>
      <c r="NQ29">
        <f>'Demand Stage 2'!NQ28</f>
        <v>0</v>
      </c>
      <c r="NR29">
        <f>'Demand Stage 2'!NR28</f>
        <v>0</v>
      </c>
      <c r="NS29">
        <f>'Demand Stage 2'!NS28</f>
        <v>0</v>
      </c>
      <c r="NT29">
        <f>'Demand Stage 2'!NT28</f>
        <v>0</v>
      </c>
      <c r="NU29">
        <f>'Demand Stage 2'!NU28</f>
        <v>0</v>
      </c>
      <c r="NV29">
        <f>'Demand Stage 2'!NV28</f>
        <v>0</v>
      </c>
      <c r="NW29">
        <f>'Demand Stage 2'!NW28</f>
        <v>0</v>
      </c>
      <c r="NX29">
        <f>'Demand Stage 2'!NX28</f>
        <v>0</v>
      </c>
      <c r="NY29">
        <f>'Demand Stage 2'!NY28</f>
        <v>0</v>
      </c>
      <c r="NZ29">
        <f>'Demand Stage 2'!NZ28</f>
        <v>0</v>
      </c>
      <c r="OA29">
        <f>'Demand Stage 2'!OA28</f>
        <v>0</v>
      </c>
      <c r="OB29">
        <f>'Demand Stage 2'!OB28</f>
        <v>0</v>
      </c>
      <c r="OC29">
        <f>'Demand Stage 2'!OC28</f>
        <v>0</v>
      </c>
      <c r="OD29">
        <f>'Demand Stage 2'!OD28</f>
        <v>0</v>
      </c>
      <c r="OE29">
        <f>'Demand Stage 2'!OE28</f>
        <v>0</v>
      </c>
      <c r="OF29">
        <f>'Demand Stage 2'!OF28</f>
        <v>0</v>
      </c>
      <c r="OG29">
        <f>'Demand Stage 2'!OG28</f>
        <v>0</v>
      </c>
      <c r="OH29">
        <f>'Demand Stage 2'!OH28</f>
        <v>0</v>
      </c>
      <c r="OI29">
        <f>'Demand Stage 2'!OI28</f>
        <v>0</v>
      </c>
      <c r="OJ29">
        <f>'Demand Stage 2'!OJ28</f>
        <v>0</v>
      </c>
      <c r="OK29">
        <f>'Demand Stage 2'!OK28</f>
        <v>0</v>
      </c>
      <c r="OL29">
        <f>'Demand Stage 2'!OL28</f>
        <v>0</v>
      </c>
      <c r="OM29">
        <f>'Demand Stage 2'!OM28</f>
        <v>0</v>
      </c>
      <c r="ON29">
        <f>'Demand Stage 2'!ON28</f>
        <v>0</v>
      </c>
      <c r="OO29">
        <f>'Demand Stage 2'!OO28</f>
        <v>0</v>
      </c>
      <c r="OP29">
        <f>'Demand Stage 2'!OP28</f>
        <v>0</v>
      </c>
      <c r="OQ29">
        <f>'Demand Stage 2'!OQ28</f>
        <v>0</v>
      </c>
      <c r="OR29">
        <f>'Demand Stage 2'!OR28</f>
        <v>0</v>
      </c>
      <c r="OS29">
        <f>'Demand Stage 2'!OS28</f>
        <v>0</v>
      </c>
      <c r="OT29">
        <f>'Demand Stage 2'!OT28</f>
        <v>0</v>
      </c>
      <c r="OU29">
        <f>'Demand Stage 2'!OU28</f>
        <v>0</v>
      </c>
      <c r="OV29">
        <f>'Demand Stage 2'!OV28</f>
        <v>0</v>
      </c>
      <c r="OW29">
        <f>'Demand Stage 2'!OW28</f>
        <v>0</v>
      </c>
      <c r="OX29">
        <f>'Demand Stage 2'!OX28</f>
        <v>0</v>
      </c>
      <c r="OY29">
        <f>'Demand Stage 2'!OY28</f>
        <v>0</v>
      </c>
      <c r="OZ29">
        <f>'Demand Stage 2'!OZ28</f>
        <v>0</v>
      </c>
      <c r="PA29">
        <f>'Demand Stage 2'!PA28</f>
        <v>0</v>
      </c>
      <c r="PB29">
        <f>'Demand Stage 2'!PB28</f>
        <v>0</v>
      </c>
      <c r="PC29">
        <f>'Demand Stage 2'!PC28</f>
        <v>0</v>
      </c>
      <c r="PD29">
        <f>'Demand Stage 2'!PD28</f>
        <v>0</v>
      </c>
      <c r="PE29">
        <f>'Demand Stage 2'!PE28</f>
        <v>0</v>
      </c>
      <c r="PF29">
        <f>'Demand Stage 2'!PF28</f>
        <v>0</v>
      </c>
      <c r="PG29">
        <f>'Demand Stage 2'!PG28</f>
        <v>0</v>
      </c>
      <c r="PH29">
        <f>'Demand Stage 2'!PH28</f>
        <v>0</v>
      </c>
      <c r="PI29">
        <f>'Demand Stage 2'!PI28</f>
        <v>0</v>
      </c>
      <c r="PJ29">
        <f>'Demand Stage 2'!PJ28</f>
        <v>0</v>
      </c>
      <c r="PK29">
        <f>'Demand Stage 2'!PK28</f>
        <v>0</v>
      </c>
      <c r="PL29">
        <f>'Demand Stage 2'!PL28</f>
        <v>0</v>
      </c>
      <c r="PM29">
        <f>'Demand Stage 2'!PM28</f>
        <v>0</v>
      </c>
      <c r="PN29">
        <f>'Demand Stage 2'!PN28</f>
        <v>0</v>
      </c>
      <c r="PO29">
        <f>'Demand Stage 2'!PO28</f>
        <v>0</v>
      </c>
      <c r="PP29">
        <f>'Demand Stage 2'!PP28</f>
        <v>0</v>
      </c>
      <c r="PQ29">
        <f>'Demand Stage 2'!PQ28</f>
        <v>0</v>
      </c>
      <c r="PR29">
        <f>'Demand Stage 2'!PR28</f>
        <v>0</v>
      </c>
      <c r="PS29">
        <f>'Demand Stage 2'!PS28</f>
        <v>0</v>
      </c>
      <c r="PT29">
        <f>'Demand Stage 2'!PT28</f>
        <v>0</v>
      </c>
      <c r="PU29">
        <f>'Demand Stage 2'!PU28</f>
        <v>0</v>
      </c>
      <c r="PV29">
        <f>'Demand Stage 2'!PV28</f>
        <v>0</v>
      </c>
      <c r="PW29">
        <f>'Demand Stage 2'!PW28</f>
        <v>0</v>
      </c>
      <c r="PX29">
        <f>'Demand Stage 2'!PX28</f>
        <v>0</v>
      </c>
      <c r="PY29">
        <f>'Demand Stage 2'!PY28</f>
        <v>0</v>
      </c>
      <c r="PZ29">
        <f>'Demand Stage 2'!PZ28</f>
        <v>0</v>
      </c>
      <c r="QA29">
        <f>'Demand Stage 2'!QA28</f>
        <v>0</v>
      </c>
      <c r="QB29">
        <f>'Demand Stage 2'!QB28</f>
        <v>0</v>
      </c>
      <c r="QC29">
        <f>'Demand Stage 2'!QC28</f>
        <v>0</v>
      </c>
      <c r="QD29">
        <f>'Demand Stage 2'!QD28</f>
        <v>0</v>
      </c>
      <c r="QE29">
        <f>'Demand Stage 2'!QE28</f>
        <v>0</v>
      </c>
      <c r="QF29">
        <f>'Demand Stage 2'!QF28</f>
        <v>0</v>
      </c>
      <c r="QG29">
        <f>'Demand Stage 2'!QG28</f>
        <v>0</v>
      </c>
      <c r="QH29">
        <f>'Demand Stage 2'!QH28</f>
        <v>0</v>
      </c>
      <c r="QI29">
        <f>'Demand Stage 2'!QI28</f>
        <v>0</v>
      </c>
      <c r="QJ29">
        <f>'Demand Stage 2'!QJ28</f>
        <v>0</v>
      </c>
      <c r="QK29">
        <f>'Demand Stage 2'!QK28</f>
        <v>0</v>
      </c>
      <c r="QL29">
        <f>'Demand Stage 2'!QL28</f>
        <v>0</v>
      </c>
      <c r="QM29">
        <f>'Demand Stage 2'!QM28</f>
        <v>0</v>
      </c>
      <c r="QN29">
        <f>'Demand Stage 2'!QN28</f>
        <v>0</v>
      </c>
      <c r="QO29">
        <f>'Demand Stage 2'!QO28</f>
        <v>0</v>
      </c>
      <c r="QP29">
        <f>'Demand Stage 2'!QP28</f>
        <v>0</v>
      </c>
      <c r="QQ29">
        <f>'Demand Stage 2'!QQ28</f>
        <v>0</v>
      </c>
      <c r="QR29">
        <f>'Demand Stage 2'!QR28</f>
        <v>0</v>
      </c>
      <c r="QS29">
        <f>'Demand Stage 2'!QS28</f>
        <v>0</v>
      </c>
      <c r="QT29">
        <f>'Demand Stage 2'!QT28</f>
        <v>0</v>
      </c>
      <c r="QU29">
        <f>'Demand Stage 2'!QU28</f>
        <v>0</v>
      </c>
      <c r="QV29">
        <f>'Demand Stage 2'!QV28</f>
        <v>0</v>
      </c>
      <c r="QW29">
        <f>'Demand Stage 2'!QW28</f>
        <v>0</v>
      </c>
      <c r="QX29">
        <f>'Demand Stage 2'!QX28</f>
        <v>0</v>
      </c>
      <c r="QY29">
        <f>'Demand Stage 2'!QY28</f>
        <v>0</v>
      </c>
      <c r="QZ29">
        <f>'Demand Stage 2'!QZ28</f>
        <v>0</v>
      </c>
      <c r="RA29">
        <f>'Demand Stage 2'!RA28</f>
        <v>0</v>
      </c>
      <c r="RB29">
        <f>'Demand Stage 2'!RB28</f>
        <v>0</v>
      </c>
      <c r="RC29">
        <f>'Demand Stage 2'!RC28</f>
        <v>0</v>
      </c>
      <c r="RD29">
        <f>'Demand Stage 2'!RD28</f>
        <v>0</v>
      </c>
      <c r="RE29">
        <f>'Demand Stage 2'!RE28</f>
        <v>0</v>
      </c>
      <c r="RF29">
        <f>'Demand Stage 2'!RF28</f>
        <v>0</v>
      </c>
      <c r="RG29">
        <f>'Demand Stage 2'!RG28</f>
        <v>0</v>
      </c>
      <c r="RH29">
        <f>'Demand Stage 2'!RH28</f>
        <v>0</v>
      </c>
      <c r="RI29">
        <f>'Demand Stage 2'!RI28</f>
        <v>0</v>
      </c>
      <c r="RJ29">
        <f>'Demand Stage 2'!RJ28</f>
        <v>0</v>
      </c>
      <c r="RK29">
        <f>'Demand Stage 2'!RK28</f>
        <v>0</v>
      </c>
      <c r="RL29">
        <f>'Demand Stage 2'!RL28</f>
        <v>0</v>
      </c>
      <c r="RM29">
        <f>'Demand Stage 2'!RM28</f>
        <v>0</v>
      </c>
      <c r="RN29">
        <f>'Demand Stage 2'!RN28</f>
        <v>0</v>
      </c>
      <c r="RO29">
        <f>'Demand Stage 2'!RO28</f>
        <v>0</v>
      </c>
      <c r="RP29">
        <f>'Demand Stage 2'!RP28</f>
        <v>0</v>
      </c>
      <c r="RQ29">
        <f>'Demand Stage 2'!RQ28</f>
        <v>0</v>
      </c>
      <c r="RR29">
        <f>'Demand Stage 2'!RR28</f>
        <v>0</v>
      </c>
      <c r="RS29">
        <f>'Demand Stage 2'!RS28</f>
        <v>0</v>
      </c>
      <c r="RT29">
        <f>'Demand Stage 2'!RT28</f>
        <v>0</v>
      </c>
      <c r="RU29">
        <f>'Demand Stage 2'!RU28</f>
        <v>0</v>
      </c>
      <c r="RV29">
        <f>'Demand Stage 2'!RV28</f>
        <v>0</v>
      </c>
      <c r="RW29">
        <f>'Demand Stage 2'!RW28</f>
        <v>0</v>
      </c>
      <c r="RX29">
        <f>'Demand Stage 2'!RX28</f>
        <v>0</v>
      </c>
      <c r="RY29">
        <f>'Demand Stage 2'!RY28</f>
        <v>0</v>
      </c>
      <c r="RZ29">
        <f>'Demand Stage 2'!RZ28</f>
        <v>0</v>
      </c>
      <c r="SA29">
        <f>'Demand Stage 2'!SA28</f>
        <v>0</v>
      </c>
      <c r="SB29">
        <f>'Demand Stage 2'!SB28</f>
        <v>0</v>
      </c>
      <c r="SC29">
        <f>'Demand Stage 2'!SC28</f>
        <v>0</v>
      </c>
      <c r="SD29">
        <f>'Demand Stage 2'!SD28</f>
        <v>0</v>
      </c>
      <c r="SE29">
        <f>'Demand Stage 2'!SE28</f>
        <v>0</v>
      </c>
      <c r="SF29">
        <f>'Demand Stage 2'!SF28</f>
        <v>0</v>
      </c>
      <c r="SG29">
        <f>'Demand Stage 2'!SG28</f>
        <v>0</v>
      </c>
      <c r="SH29">
        <f>'Demand Stage 2'!SH28</f>
        <v>0</v>
      </c>
      <c r="SI29">
        <f>'Demand Stage 2'!SI28</f>
        <v>0</v>
      </c>
      <c r="SJ29">
        <f>'Demand Stage 2'!SJ28</f>
        <v>0</v>
      </c>
      <c r="SK29">
        <f>'Demand Stage 2'!SK28</f>
        <v>0</v>
      </c>
      <c r="SL29">
        <f>'Demand Stage 2'!SL28</f>
        <v>0</v>
      </c>
      <c r="SM29">
        <f>'Demand Stage 2'!SM28</f>
        <v>0</v>
      </c>
      <c r="SN29">
        <f>'Demand Stage 2'!SN28</f>
        <v>0</v>
      </c>
      <c r="SO29">
        <f>'Demand Stage 2'!SO28</f>
        <v>0</v>
      </c>
      <c r="SP29">
        <f>'Demand Stage 2'!SP28</f>
        <v>0</v>
      </c>
      <c r="SQ29">
        <f>'Demand Stage 2'!SQ28</f>
        <v>0</v>
      </c>
      <c r="SR29">
        <f>'Demand Stage 2'!SR28</f>
        <v>0</v>
      </c>
      <c r="SS29">
        <f>'Demand Stage 2'!SS28</f>
        <v>0</v>
      </c>
      <c r="ST29">
        <f>'Demand Stage 2'!ST28</f>
        <v>0</v>
      </c>
      <c r="SU29">
        <f>'Demand Stage 2'!SU28</f>
        <v>0</v>
      </c>
      <c r="SV29">
        <f>'Demand Stage 2'!SV28</f>
        <v>0</v>
      </c>
      <c r="SW29">
        <f>'Demand Stage 2'!SW28</f>
        <v>0</v>
      </c>
      <c r="SX29">
        <f>'Demand Stage 2'!SX28</f>
        <v>0</v>
      </c>
      <c r="SY29">
        <f>'Demand Stage 2'!SY28</f>
        <v>0</v>
      </c>
      <c r="SZ29">
        <f>'Demand Stage 2'!SZ28</f>
        <v>0</v>
      </c>
      <c r="TA29">
        <f>'Demand Stage 2'!TA28</f>
        <v>0</v>
      </c>
      <c r="TB29">
        <f>'Demand Stage 2'!TB28</f>
        <v>0</v>
      </c>
      <c r="TC29">
        <f>'Demand Stage 2'!TC28</f>
        <v>0</v>
      </c>
      <c r="TD29">
        <f>'Demand Stage 2'!TD28</f>
        <v>0</v>
      </c>
      <c r="TE29">
        <f>'Demand Stage 2'!TE28</f>
        <v>0</v>
      </c>
      <c r="TF29">
        <f>'Demand Stage 2'!TF28</f>
        <v>0</v>
      </c>
      <c r="TG29">
        <f>'Demand Stage 2'!TG28</f>
        <v>0</v>
      </c>
      <c r="TH29">
        <f>'Demand Stage 2'!TH28</f>
        <v>0</v>
      </c>
      <c r="TI29">
        <f>'Demand Stage 2'!TI28</f>
        <v>0</v>
      </c>
      <c r="TJ29">
        <f>'Demand Stage 2'!TJ28</f>
        <v>0</v>
      </c>
      <c r="TK29">
        <f>'Demand Stage 2'!TK28</f>
        <v>0</v>
      </c>
      <c r="TL29">
        <f>'Demand Stage 2'!TL28</f>
        <v>0</v>
      </c>
      <c r="TM29">
        <f>'Demand Stage 2'!TM28</f>
        <v>0</v>
      </c>
      <c r="TN29">
        <f>'Demand Stage 2'!TN28</f>
        <v>0</v>
      </c>
      <c r="TO29">
        <f>'Demand Stage 2'!TO28</f>
        <v>0</v>
      </c>
      <c r="TP29">
        <f>'Demand Stage 2'!TP28</f>
        <v>0</v>
      </c>
      <c r="TQ29">
        <f>'Demand Stage 2'!TQ28</f>
        <v>0</v>
      </c>
      <c r="TR29">
        <f>'Demand Stage 2'!TR28</f>
        <v>0</v>
      </c>
      <c r="TS29">
        <f>'Demand Stage 2'!TS28</f>
        <v>0</v>
      </c>
      <c r="TT29">
        <f>'Demand Stage 2'!TT28</f>
        <v>0</v>
      </c>
      <c r="TU29">
        <f>'Demand Stage 2'!TU28</f>
        <v>0</v>
      </c>
      <c r="TV29">
        <f>'Demand Stage 2'!TV28</f>
        <v>0</v>
      </c>
      <c r="TW29">
        <f>'Demand Stage 2'!TW28</f>
        <v>0</v>
      </c>
      <c r="TX29">
        <f>'Demand Stage 2'!TX28</f>
        <v>0</v>
      </c>
      <c r="TY29">
        <f>'Demand Stage 2'!TY28</f>
        <v>0</v>
      </c>
      <c r="TZ29">
        <f>'Demand Stage 2'!TZ28</f>
        <v>0</v>
      </c>
      <c r="UA29">
        <f>'Demand Stage 2'!UA28</f>
        <v>0</v>
      </c>
      <c r="UB29">
        <f>'Demand Stage 2'!UB28</f>
        <v>0</v>
      </c>
      <c r="UC29">
        <f>'Demand Stage 2'!UC28</f>
        <v>0</v>
      </c>
      <c r="UD29">
        <f>'Demand Stage 2'!UD28</f>
        <v>0</v>
      </c>
      <c r="UE29">
        <f>'Demand Stage 2'!UE28</f>
        <v>0</v>
      </c>
      <c r="UF29">
        <f>'Demand Stage 2'!UF28</f>
        <v>0</v>
      </c>
      <c r="UG29">
        <f>'Demand Stage 2'!UG28</f>
        <v>0</v>
      </c>
      <c r="UH29">
        <f>'Demand Stage 2'!UH28</f>
        <v>0</v>
      </c>
      <c r="UI29">
        <f>'Demand Stage 2'!UI28</f>
        <v>0</v>
      </c>
      <c r="UJ29">
        <f>'Demand Stage 2'!UJ28</f>
        <v>0</v>
      </c>
      <c r="UK29">
        <f>'Demand Stage 2'!UK28</f>
        <v>0</v>
      </c>
      <c r="UL29">
        <f>'Demand Stage 2'!UL28</f>
        <v>0</v>
      </c>
      <c r="UM29">
        <f>'Demand Stage 2'!UM28</f>
        <v>0</v>
      </c>
      <c r="UN29">
        <f>'Demand Stage 2'!UN28</f>
        <v>0</v>
      </c>
      <c r="UO29">
        <f>'Demand Stage 2'!UO28</f>
        <v>0</v>
      </c>
      <c r="UP29">
        <f>'Demand Stage 2'!UP28</f>
        <v>0</v>
      </c>
      <c r="UQ29">
        <f>'Demand Stage 2'!UQ28</f>
        <v>0</v>
      </c>
      <c r="UR29">
        <f>'Demand Stage 2'!UR28</f>
        <v>0</v>
      </c>
      <c r="US29">
        <f>'Demand Stage 2'!US28</f>
        <v>0</v>
      </c>
      <c r="UT29">
        <f>'Demand Stage 2'!UT28</f>
        <v>0</v>
      </c>
      <c r="UU29">
        <f>'Demand Stage 2'!UU28</f>
        <v>0</v>
      </c>
      <c r="UV29">
        <f>'Demand Stage 2'!UV28</f>
        <v>0</v>
      </c>
      <c r="UW29">
        <f>'Demand Stage 2'!UW28</f>
        <v>0</v>
      </c>
      <c r="UX29">
        <f>'Demand Stage 2'!UX28</f>
        <v>0</v>
      </c>
      <c r="UY29">
        <f>'Demand Stage 2'!UY28</f>
        <v>0</v>
      </c>
      <c r="UZ29">
        <f>'Demand Stage 2'!UZ28</f>
        <v>0</v>
      </c>
      <c r="VA29">
        <f>'Demand Stage 2'!VA28</f>
        <v>0</v>
      </c>
      <c r="VB29">
        <f>'Demand Stage 2'!VB28</f>
        <v>0</v>
      </c>
      <c r="VC29">
        <f>'Demand Stage 2'!VC28</f>
        <v>0</v>
      </c>
      <c r="VD29">
        <f>'Demand Stage 2'!VD28</f>
        <v>0</v>
      </c>
      <c r="VE29">
        <f>'Demand Stage 2'!VE28</f>
        <v>0</v>
      </c>
      <c r="VF29">
        <f>'Demand Stage 2'!VF28</f>
        <v>0</v>
      </c>
      <c r="VG29">
        <f>'Demand Stage 2'!VG28</f>
        <v>0</v>
      </c>
      <c r="VH29">
        <f>'Demand Stage 2'!VH28</f>
        <v>0</v>
      </c>
      <c r="VI29">
        <f>'Demand Stage 2'!VI28</f>
        <v>0</v>
      </c>
      <c r="VJ29">
        <f>'Demand Stage 2'!VJ28</f>
        <v>0</v>
      </c>
      <c r="VK29">
        <f>'Demand Stage 2'!VK28</f>
        <v>0</v>
      </c>
      <c r="VL29">
        <f>'Demand Stage 2'!VL28</f>
        <v>0</v>
      </c>
      <c r="VM29">
        <f>'Demand Stage 2'!VM28</f>
        <v>0</v>
      </c>
      <c r="VN29">
        <f>'Demand Stage 2'!VN28</f>
        <v>0</v>
      </c>
      <c r="VO29">
        <f>'Demand Stage 2'!VO28</f>
        <v>0</v>
      </c>
      <c r="VP29">
        <f>'Demand Stage 2'!VP28</f>
        <v>0</v>
      </c>
      <c r="VQ29">
        <f>'Demand Stage 2'!VQ28</f>
        <v>0</v>
      </c>
      <c r="VR29">
        <f>'Demand Stage 2'!VR28</f>
        <v>0</v>
      </c>
      <c r="VS29">
        <f>'Demand Stage 2'!VS28</f>
        <v>0</v>
      </c>
      <c r="VT29">
        <f>'Demand Stage 2'!VT28</f>
        <v>0</v>
      </c>
      <c r="VU29">
        <f>'Demand Stage 2'!VU28</f>
        <v>0</v>
      </c>
      <c r="VV29">
        <f>'Demand Stage 2'!VV28</f>
        <v>0</v>
      </c>
      <c r="VW29">
        <f>'Demand Stage 2'!VW28</f>
        <v>0</v>
      </c>
      <c r="VX29">
        <f>'Demand Stage 2'!VX28</f>
        <v>0</v>
      </c>
      <c r="VY29">
        <f>'Demand Stage 2'!VY28</f>
        <v>0</v>
      </c>
      <c r="VZ29">
        <f>'Demand Stage 2'!VZ28</f>
        <v>0</v>
      </c>
      <c r="WA29">
        <f>'Demand Stage 2'!WA28</f>
        <v>0</v>
      </c>
      <c r="WB29">
        <f>'Demand Stage 2'!WB28</f>
        <v>0</v>
      </c>
      <c r="WC29">
        <f>'Demand Stage 2'!WC28</f>
        <v>0</v>
      </c>
      <c r="WD29">
        <f>'Demand Stage 2'!WD28</f>
        <v>0</v>
      </c>
      <c r="WE29">
        <f>'Demand Stage 2'!WE28</f>
        <v>0</v>
      </c>
      <c r="WF29">
        <f>'Demand Stage 2'!WF28</f>
        <v>0</v>
      </c>
      <c r="WG29">
        <f>'Demand Stage 2'!WG28</f>
        <v>0</v>
      </c>
      <c r="WH29">
        <f>'Demand Stage 2'!WH28</f>
        <v>0</v>
      </c>
      <c r="WI29">
        <f>'Demand Stage 2'!WI28</f>
        <v>0</v>
      </c>
      <c r="WJ29">
        <f>'Demand Stage 2'!WJ28</f>
        <v>0</v>
      </c>
      <c r="WK29">
        <f>'Demand Stage 2'!WK28</f>
        <v>0</v>
      </c>
      <c r="WL29">
        <f>'Demand Stage 2'!WL28</f>
        <v>0</v>
      </c>
      <c r="WM29">
        <f>'Demand Stage 2'!WM28</f>
        <v>0</v>
      </c>
      <c r="WN29">
        <f>'Demand Stage 2'!WN28</f>
        <v>0</v>
      </c>
      <c r="WO29">
        <f>'Demand Stage 2'!WO28</f>
        <v>0</v>
      </c>
      <c r="WP29">
        <f>'Demand Stage 2'!WP28</f>
        <v>0</v>
      </c>
      <c r="WQ29">
        <f>'Demand Stage 2'!WQ28</f>
        <v>0</v>
      </c>
      <c r="WR29">
        <f>'Demand Stage 2'!WR28</f>
        <v>0</v>
      </c>
      <c r="WS29">
        <f>'Demand Stage 2'!WS28</f>
        <v>0</v>
      </c>
      <c r="WT29">
        <f>'Demand Stage 2'!WT28</f>
        <v>0</v>
      </c>
      <c r="WU29">
        <f>'Demand Stage 2'!WU28</f>
        <v>0</v>
      </c>
      <c r="WV29">
        <f>'Demand Stage 2'!WV28</f>
        <v>0</v>
      </c>
      <c r="WW29">
        <f>'Demand Stage 2'!WW28</f>
        <v>0</v>
      </c>
      <c r="WX29">
        <f>'Demand Stage 2'!WX28</f>
        <v>0</v>
      </c>
      <c r="WY29">
        <f>'Demand Stage 2'!WY28</f>
        <v>0</v>
      </c>
      <c r="WZ29">
        <f>'Demand Stage 2'!WZ28</f>
        <v>0</v>
      </c>
      <c r="XA29">
        <f>'Demand Stage 2'!XA28</f>
        <v>0</v>
      </c>
      <c r="XB29">
        <f>'Demand Stage 2'!XB28</f>
        <v>0</v>
      </c>
      <c r="XC29">
        <f>'Demand Stage 2'!XC28</f>
        <v>0</v>
      </c>
      <c r="XD29">
        <f>'Demand Stage 2'!XD28</f>
        <v>0</v>
      </c>
      <c r="XE29">
        <f>'Demand Stage 2'!XE28</f>
        <v>0</v>
      </c>
      <c r="XF29">
        <f>'Demand Stage 2'!XF28</f>
        <v>0</v>
      </c>
      <c r="XG29">
        <f>'Demand Stage 2'!XG28</f>
        <v>0</v>
      </c>
      <c r="XH29">
        <f>'Demand Stage 2'!XH28</f>
        <v>0</v>
      </c>
      <c r="XI29">
        <f>'Demand Stage 2'!XI28</f>
        <v>0</v>
      </c>
      <c r="XJ29">
        <f>'Demand Stage 2'!XJ28</f>
        <v>0</v>
      </c>
      <c r="XK29">
        <f>'Demand Stage 2'!XK28</f>
        <v>0</v>
      </c>
      <c r="XL29">
        <f>'Demand Stage 2'!XL28</f>
        <v>0</v>
      </c>
      <c r="XM29">
        <f>'Demand Stage 2'!XM28</f>
        <v>0</v>
      </c>
      <c r="XN29">
        <f>'Demand Stage 2'!XN28</f>
        <v>0</v>
      </c>
      <c r="XO29">
        <f>'Demand Stage 2'!XO28</f>
        <v>0</v>
      </c>
      <c r="XP29">
        <f>'Demand Stage 2'!XP28</f>
        <v>0</v>
      </c>
      <c r="XQ29">
        <f>'Demand Stage 2'!XQ28</f>
        <v>0</v>
      </c>
      <c r="XR29">
        <f>'Demand Stage 2'!XR28</f>
        <v>0</v>
      </c>
      <c r="XS29">
        <f>'Demand Stage 2'!XS28</f>
        <v>0</v>
      </c>
      <c r="XT29">
        <f>'Demand Stage 2'!XT28</f>
        <v>0</v>
      </c>
      <c r="XU29">
        <f>'Demand Stage 2'!XU28</f>
        <v>0</v>
      </c>
      <c r="XV29">
        <f>'Demand Stage 2'!XV28</f>
        <v>0</v>
      </c>
      <c r="XW29">
        <f>'Demand Stage 2'!XW28</f>
        <v>0</v>
      </c>
      <c r="XX29">
        <f>'Demand Stage 2'!XX28</f>
        <v>0</v>
      </c>
      <c r="XY29">
        <f>'Demand Stage 2'!XY28</f>
        <v>0</v>
      </c>
      <c r="XZ29">
        <f>'Demand Stage 2'!XZ28</f>
        <v>0</v>
      </c>
      <c r="YA29">
        <f>'Demand Stage 2'!YA28</f>
        <v>0</v>
      </c>
      <c r="YB29">
        <f>'Demand Stage 2'!YB28</f>
        <v>0</v>
      </c>
      <c r="YC29">
        <f>'Demand Stage 2'!YC28</f>
        <v>0</v>
      </c>
      <c r="YD29">
        <f>'Demand Stage 2'!YD28</f>
        <v>0</v>
      </c>
      <c r="YE29">
        <f>'Demand Stage 2'!YE28</f>
        <v>0</v>
      </c>
      <c r="YF29">
        <f>'Demand Stage 2'!YF28</f>
        <v>0</v>
      </c>
      <c r="YG29">
        <f>'Demand Stage 2'!YG28</f>
        <v>0</v>
      </c>
      <c r="YH29">
        <f>'Demand Stage 2'!YH28</f>
        <v>0</v>
      </c>
      <c r="YI29">
        <f>'Demand Stage 2'!YI28</f>
        <v>0</v>
      </c>
      <c r="YJ29">
        <f>'Demand Stage 2'!YJ28</f>
        <v>0</v>
      </c>
      <c r="YK29">
        <f>'Demand Stage 2'!YK28</f>
        <v>0</v>
      </c>
      <c r="YL29">
        <f>'Demand Stage 2'!YL28</f>
        <v>0</v>
      </c>
      <c r="YM29">
        <f>'Demand Stage 2'!YM28</f>
        <v>0</v>
      </c>
      <c r="YN29">
        <f>'Demand Stage 2'!YN28</f>
        <v>0</v>
      </c>
      <c r="YO29">
        <f>'Demand Stage 2'!YO28</f>
        <v>0</v>
      </c>
      <c r="YP29">
        <f>'Demand Stage 2'!YP28</f>
        <v>0</v>
      </c>
      <c r="YQ29">
        <f>'Demand Stage 2'!YQ28</f>
        <v>0</v>
      </c>
      <c r="YR29">
        <f>'Demand Stage 2'!YR28</f>
        <v>0</v>
      </c>
      <c r="YS29">
        <f>'Demand Stage 2'!YS28</f>
        <v>0</v>
      </c>
      <c r="YT29">
        <f>'Demand Stage 2'!YT28</f>
        <v>0</v>
      </c>
      <c r="YU29">
        <f>'Demand Stage 2'!YU28</f>
        <v>0</v>
      </c>
      <c r="YV29">
        <f>'Demand Stage 2'!YV28</f>
        <v>0</v>
      </c>
      <c r="YW29">
        <f>'Demand Stage 2'!YW28</f>
        <v>0</v>
      </c>
      <c r="YX29">
        <f>'Demand Stage 2'!YX28</f>
        <v>0</v>
      </c>
      <c r="YY29">
        <f>'Demand Stage 2'!YY28</f>
        <v>0</v>
      </c>
      <c r="YZ29">
        <f>'Demand Stage 2'!YZ28</f>
        <v>0</v>
      </c>
      <c r="ZA29">
        <f>'Demand Stage 2'!ZA28</f>
        <v>0</v>
      </c>
      <c r="ZB29">
        <f>'Demand Stage 2'!ZB28</f>
        <v>0</v>
      </c>
      <c r="ZC29">
        <f>'Demand Stage 2'!ZC28</f>
        <v>0</v>
      </c>
      <c r="ZD29">
        <f>'Demand Stage 2'!ZD28</f>
        <v>0</v>
      </c>
      <c r="ZE29">
        <f>'Demand Stage 2'!ZE28</f>
        <v>0</v>
      </c>
      <c r="ZF29">
        <f>'Demand Stage 2'!ZF28</f>
        <v>0</v>
      </c>
      <c r="ZG29">
        <f>'Demand Stage 2'!ZG28</f>
        <v>0</v>
      </c>
      <c r="ZH29">
        <f>'Demand Stage 2'!ZH28</f>
        <v>0</v>
      </c>
      <c r="ZI29">
        <f>'Demand Stage 2'!ZI28</f>
        <v>0</v>
      </c>
      <c r="ZJ29">
        <f>'Demand Stage 2'!ZJ28</f>
        <v>0</v>
      </c>
      <c r="ZK29">
        <f>'Demand Stage 2'!ZK28</f>
        <v>0</v>
      </c>
      <c r="ZL29">
        <f>'Demand Stage 2'!ZL28</f>
        <v>0</v>
      </c>
      <c r="ZM29">
        <f>'Demand Stage 2'!ZM28</f>
        <v>0</v>
      </c>
      <c r="ZN29">
        <f>'Demand Stage 2'!ZN28</f>
        <v>0</v>
      </c>
      <c r="ZO29">
        <f>'Demand Stage 2'!ZO28</f>
        <v>0</v>
      </c>
      <c r="ZP29">
        <f>'Demand Stage 2'!ZP28</f>
        <v>0</v>
      </c>
      <c r="ZQ29">
        <f>'Demand Stage 2'!ZQ28</f>
        <v>0</v>
      </c>
      <c r="ZR29">
        <f>'Demand Stage 2'!ZR28</f>
        <v>0</v>
      </c>
      <c r="ZS29">
        <f>'Demand Stage 2'!ZS28</f>
        <v>0</v>
      </c>
      <c r="ZT29">
        <f>'Demand Stage 2'!ZT28</f>
        <v>0</v>
      </c>
      <c r="ZU29">
        <f>'Demand Stage 2'!ZU28</f>
        <v>0</v>
      </c>
      <c r="ZV29">
        <f>'Demand Stage 2'!ZV28</f>
        <v>0</v>
      </c>
      <c r="ZW29">
        <f>'Demand Stage 2'!ZW28</f>
        <v>0</v>
      </c>
      <c r="ZX29">
        <f>'Demand Stage 2'!ZX28</f>
        <v>0</v>
      </c>
      <c r="ZY29">
        <f>'Demand Stage 2'!ZY28</f>
        <v>0</v>
      </c>
      <c r="ZZ29">
        <f>'Demand Stage 2'!ZZ28</f>
        <v>0</v>
      </c>
      <c r="AAA29">
        <f>'Demand Stage 2'!AAA28</f>
        <v>0</v>
      </c>
      <c r="AAB29">
        <f>'Demand Stage 2'!AAB28</f>
        <v>0</v>
      </c>
      <c r="AAC29">
        <f>'Demand Stage 2'!AAC28</f>
        <v>0</v>
      </c>
      <c r="AAD29">
        <f t="shared" si="33"/>
        <v>0</v>
      </c>
      <c r="AAE29">
        <f t="shared" si="66"/>
        <v>0</v>
      </c>
      <c r="AAF29">
        <f t="shared" si="67"/>
        <v>0</v>
      </c>
      <c r="AAG29">
        <f t="shared" si="68"/>
        <v>0</v>
      </c>
      <c r="AAH29">
        <f t="shared" si="69"/>
        <v>0</v>
      </c>
      <c r="AAI29">
        <f t="shared" si="70"/>
        <v>0</v>
      </c>
      <c r="AAJ29">
        <f t="shared" si="71"/>
        <v>0</v>
      </c>
      <c r="AAK29">
        <f t="shared" si="72"/>
        <v>0</v>
      </c>
      <c r="AAL29">
        <f t="shared" si="73"/>
        <v>0</v>
      </c>
      <c r="AAM29">
        <f t="shared" si="74"/>
        <v>0</v>
      </c>
      <c r="AAN29">
        <f t="shared" si="75"/>
        <v>0</v>
      </c>
      <c r="AAO29">
        <f t="shared" si="76"/>
        <v>0</v>
      </c>
      <c r="AAP29">
        <f t="shared" si="77"/>
        <v>0</v>
      </c>
      <c r="AAQ29">
        <f t="shared" si="78"/>
        <v>0</v>
      </c>
      <c r="AAR29">
        <f t="shared" si="79"/>
        <v>0</v>
      </c>
      <c r="AAS29">
        <f t="shared" si="80"/>
        <v>0</v>
      </c>
      <c r="AAT29">
        <f t="shared" si="81"/>
        <v>0</v>
      </c>
      <c r="AAU29">
        <f t="shared" si="82"/>
        <v>0</v>
      </c>
      <c r="AAV29">
        <f t="shared" si="83"/>
        <v>0</v>
      </c>
      <c r="AAW29">
        <f t="shared" si="84"/>
        <v>0</v>
      </c>
      <c r="AAX29">
        <f t="shared" si="85"/>
        <v>0</v>
      </c>
      <c r="AAY29">
        <f t="shared" si="86"/>
        <v>0</v>
      </c>
      <c r="AAZ29">
        <f t="shared" si="87"/>
        <v>0</v>
      </c>
      <c r="ABA29">
        <f t="shared" si="88"/>
        <v>0</v>
      </c>
      <c r="ABB29">
        <f t="shared" si="89"/>
        <v>0</v>
      </c>
      <c r="ABC29">
        <f t="shared" si="90"/>
        <v>0</v>
      </c>
      <c r="ABD29">
        <f t="shared" si="91"/>
        <v>0</v>
      </c>
      <c r="ABE29">
        <f t="shared" si="92"/>
        <v>0</v>
      </c>
      <c r="ABF29">
        <f t="shared" si="93"/>
        <v>0</v>
      </c>
      <c r="ABG29">
        <f t="shared" si="94"/>
        <v>0</v>
      </c>
      <c r="ABH29">
        <f t="shared" si="95"/>
        <v>0</v>
      </c>
      <c r="ABI29">
        <f t="shared" si="96"/>
        <v>0</v>
      </c>
      <c r="ABJ29">
        <f t="shared" si="97"/>
        <v>0</v>
      </c>
      <c r="ABK29">
        <f t="shared" si="98"/>
        <v>0</v>
      </c>
      <c r="ABL29">
        <f t="shared" si="99"/>
        <v>0</v>
      </c>
      <c r="ABM29">
        <f t="shared" si="100"/>
        <v>0</v>
      </c>
      <c r="ABN29">
        <f t="shared" si="101"/>
        <v>0</v>
      </c>
      <c r="ABO29">
        <f t="shared" si="102"/>
        <v>0</v>
      </c>
      <c r="ABP29">
        <f t="shared" si="103"/>
        <v>0</v>
      </c>
      <c r="ABQ29">
        <f t="shared" si="104"/>
        <v>0</v>
      </c>
      <c r="ABR29">
        <f t="shared" si="105"/>
        <v>0</v>
      </c>
      <c r="ABS29">
        <f t="shared" si="106"/>
        <v>0</v>
      </c>
      <c r="ABT29">
        <f t="shared" si="107"/>
        <v>0</v>
      </c>
      <c r="ABU29">
        <f t="shared" si="108"/>
        <v>0</v>
      </c>
      <c r="ABV29">
        <f t="shared" si="109"/>
        <v>0</v>
      </c>
      <c r="ABW29">
        <f t="shared" si="110"/>
        <v>0</v>
      </c>
      <c r="ABX29">
        <f t="shared" si="111"/>
        <v>0</v>
      </c>
      <c r="ABY29">
        <f t="shared" si="112"/>
        <v>0</v>
      </c>
      <c r="ABZ29">
        <f t="shared" si="113"/>
        <v>0</v>
      </c>
      <c r="ACA29">
        <f t="shared" si="114"/>
        <v>0</v>
      </c>
      <c r="ACB29">
        <f t="shared" si="115"/>
        <v>0</v>
      </c>
      <c r="ACC29">
        <f t="shared" si="116"/>
        <v>0</v>
      </c>
      <c r="ACD29">
        <f t="shared" si="117"/>
        <v>0</v>
      </c>
      <c r="ACE29">
        <f t="shared" si="118"/>
        <v>0</v>
      </c>
      <c r="ACF29">
        <f t="shared" si="119"/>
        <v>0</v>
      </c>
      <c r="ACG29">
        <f t="shared" si="120"/>
        <v>0</v>
      </c>
      <c r="ACH29">
        <f t="shared" si="121"/>
        <v>0</v>
      </c>
      <c r="ACI29">
        <f t="shared" si="122"/>
        <v>0</v>
      </c>
      <c r="ACJ29">
        <f t="shared" si="123"/>
        <v>0</v>
      </c>
      <c r="ACK29">
        <f t="shared" si="124"/>
        <v>0</v>
      </c>
      <c r="ACL29">
        <f t="shared" si="125"/>
        <v>0</v>
      </c>
      <c r="ACM29">
        <f t="shared" si="126"/>
        <v>0</v>
      </c>
      <c r="ACN29">
        <f t="shared" si="127"/>
        <v>0</v>
      </c>
      <c r="ACO29">
        <f t="shared" si="128"/>
        <v>0</v>
      </c>
      <c r="ACP29">
        <f t="shared" si="34"/>
        <v>0</v>
      </c>
      <c r="ACQ29">
        <f t="shared" si="129"/>
        <v>0</v>
      </c>
      <c r="ACR29">
        <f t="shared" si="130"/>
        <v>0</v>
      </c>
      <c r="ACS29">
        <f t="shared" si="131"/>
        <v>0</v>
      </c>
      <c r="ACT29">
        <f t="shared" si="132"/>
        <v>0</v>
      </c>
      <c r="ACU29">
        <f t="shared" si="133"/>
        <v>0</v>
      </c>
      <c r="ACV29">
        <f t="shared" si="134"/>
        <v>0</v>
      </c>
      <c r="ACW29">
        <f t="shared" si="135"/>
        <v>0</v>
      </c>
      <c r="ACX29">
        <f t="shared" si="136"/>
        <v>0</v>
      </c>
      <c r="ACY29">
        <f t="shared" si="137"/>
        <v>0</v>
      </c>
      <c r="ACZ29">
        <f t="shared" si="138"/>
        <v>0</v>
      </c>
      <c r="ADA29">
        <f t="shared" si="139"/>
        <v>0</v>
      </c>
      <c r="ADB29">
        <f t="shared" si="140"/>
        <v>0</v>
      </c>
      <c r="ADC29">
        <f t="shared" si="141"/>
        <v>0</v>
      </c>
      <c r="ADD29">
        <f t="shared" si="142"/>
        <v>0</v>
      </c>
      <c r="ADE29">
        <f t="shared" si="143"/>
        <v>0</v>
      </c>
      <c r="ADF29">
        <f t="shared" si="144"/>
        <v>0</v>
      </c>
      <c r="ADG29">
        <f t="shared" si="145"/>
        <v>0</v>
      </c>
      <c r="ADH29">
        <f t="shared" si="146"/>
        <v>0</v>
      </c>
      <c r="ADI29">
        <f t="shared" si="147"/>
        <v>0</v>
      </c>
      <c r="ADJ29">
        <f t="shared" si="148"/>
        <v>0</v>
      </c>
      <c r="ADK29">
        <f t="shared" si="149"/>
        <v>0</v>
      </c>
      <c r="ADL29">
        <f t="shared" si="150"/>
        <v>0</v>
      </c>
      <c r="ADM29">
        <f t="shared" si="151"/>
        <v>0</v>
      </c>
      <c r="ADN29">
        <f t="shared" si="152"/>
        <v>0</v>
      </c>
      <c r="ADO29">
        <f t="shared" si="153"/>
        <v>0</v>
      </c>
      <c r="ADP29">
        <f t="shared" si="154"/>
        <v>0</v>
      </c>
      <c r="ADQ29">
        <f t="shared" si="155"/>
        <v>0</v>
      </c>
      <c r="ADR29">
        <f t="shared" si="156"/>
        <v>0</v>
      </c>
      <c r="ADS29">
        <f t="shared" si="157"/>
        <v>0</v>
      </c>
      <c r="ADT29">
        <f t="shared" si="158"/>
        <v>0</v>
      </c>
      <c r="ADU29">
        <f t="shared" si="159"/>
        <v>0</v>
      </c>
      <c r="ADV29">
        <f t="shared" si="160"/>
        <v>0</v>
      </c>
      <c r="ADW29">
        <f t="shared" si="161"/>
        <v>0</v>
      </c>
      <c r="ADX29">
        <f t="shared" si="162"/>
        <v>0</v>
      </c>
      <c r="ADY29">
        <f t="shared" si="163"/>
        <v>0</v>
      </c>
      <c r="ADZ29">
        <f t="shared" si="164"/>
        <v>0</v>
      </c>
      <c r="AEA29">
        <f t="shared" si="165"/>
        <v>0</v>
      </c>
      <c r="AEB29">
        <f t="shared" si="166"/>
        <v>0</v>
      </c>
      <c r="AEC29">
        <f t="shared" si="167"/>
        <v>0</v>
      </c>
      <c r="AED29">
        <f t="shared" si="168"/>
        <v>0</v>
      </c>
      <c r="AEE29">
        <f t="shared" si="169"/>
        <v>0</v>
      </c>
      <c r="AEF29">
        <f t="shared" si="170"/>
        <v>0</v>
      </c>
      <c r="AEG29">
        <f t="shared" si="171"/>
        <v>0</v>
      </c>
      <c r="AEH29">
        <f t="shared" si="172"/>
        <v>0</v>
      </c>
      <c r="AEI29">
        <f t="shared" si="173"/>
        <v>0</v>
      </c>
      <c r="AEJ29">
        <f t="shared" si="174"/>
        <v>0</v>
      </c>
      <c r="AEK29">
        <f t="shared" si="175"/>
        <v>0</v>
      </c>
      <c r="AEL29">
        <f t="shared" si="176"/>
        <v>0</v>
      </c>
      <c r="AEM29">
        <f t="shared" si="177"/>
        <v>0</v>
      </c>
      <c r="AEN29">
        <f t="shared" si="178"/>
        <v>0</v>
      </c>
      <c r="AEO29">
        <f t="shared" si="179"/>
        <v>0</v>
      </c>
      <c r="AEP29">
        <f t="shared" si="180"/>
        <v>0</v>
      </c>
      <c r="AEQ29">
        <f t="shared" si="181"/>
        <v>0</v>
      </c>
      <c r="AER29">
        <f t="shared" si="182"/>
        <v>0</v>
      </c>
      <c r="AES29">
        <f t="shared" si="183"/>
        <v>0</v>
      </c>
      <c r="AET29">
        <f t="shared" si="184"/>
        <v>0</v>
      </c>
      <c r="AEU29">
        <f t="shared" si="185"/>
        <v>0</v>
      </c>
      <c r="AEV29">
        <f t="shared" si="186"/>
        <v>0</v>
      </c>
      <c r="AEW29">
        <f t="shared" si="187"/>
        <v>0</v>
      </c>
      <c r="AEX29">
        <f t="shared" si="188"/>
        <v>0</v>
      </c>
      <c r="AEY29">
        <f t="shared" si="189"/>
        <v>0</v>
      </c>
      <c r="AEZ29">
        <f t="shared" si="190"/>
        <v>0</v>
      </c>
      <c r="AFA29">
        <f t="shared" si="191"/>
        <v>0</v>
      </c>
      <c r="AFB29">
        <f t="shared" si="35"/>
        <v>0</v>
      </c>
      <c r="AFC29">
        <f t="shared" si="192"/>
        <v>0</v>
      </c>
      <c r="AFD29">
        <f t="shared" si="193"/>
        <v>0</v>
      </c>
      <c r="AFE29">
        <f t="shared" si="194"/>
        <v>0</v>
      </c>
      <c r="AFF29">
        <f t="shared" si="195"/>
        <v>0</v>
      </c>
      <c r="AFG29">
        <f t="shared" si="196"/>
        <v>0</v>
      </c>
      <c r="AFH29">
        <f t="shared" si="197"/>
        <v>0</v>
      </c>
      <c r="AFI29">
        <f t="shared" si="198"/>
        <v>0</v>
      </c>
      <c r="AFJ29">
        <f t="shared" si="199"/>
        <v>0</v>
      </c>
      <c r="AFK29">
        <f t="shared" si="200"/>
        <v>0</v>
      </c>
      <c r="AFL29">
        <f t="shared" si="201"/>
        <v>0</v>
      </c>
      <c r="AFM29">
        <f t="shared" si="202"/>
        <v>0</v>
      </c>
      <c r="AFN29">
        <f t="shared" si="203"/>
        <v>0</v>
      </c>
      <c r="AFO29">
        <f t="shared" si="204"/>
        <v>0</v>
      </c>
      <c r="AFP29">
        <f t="shared" si="205"/>
        <v>0</v>
      </c>
      <c r="AFQ29">
        <f t="shared" si="206"/>
        <v>0</v>
      </c>
      <c r="AFR29">
        <f t="shared" si="207"/>
        <v>0</v>
      </c>
      <c r="AFS29">
        <f t="shared" si="208"/>
        <v>0</v>
      </c>
      <c r="AFT29">
        <f t="shared" si="209"/>
        <v>0</v>
      </c>
      <c r="AFU29">
        <f t="shared" si="210"/>
        <v>0</v>
      </c>
      <c r="AFV29">
        <f t="shared" si="211"/>
        <v>0</v>
      </c>
      <c r="AFW29">
        <f t="shared" si="212"/>
        <v>0</v>
      </c>
      <c r="AFX29">
        <f t="shared" si="213"/>
        <v>0</v>
      </c>
      <c r="AFY29">
        <f t="shared" si="214"/>
        <v>0</v>
      </c>
      <c r="AFZ29">
        <f t="shared" si="215"/>
        <v>0</v>
      </c>
      <c r="AGA29">
        <f t="shared" si="216"/>
        <v>0</v>
      </c>
      <c r="AGB29">
        <f t="shared" si="217"/>
        <v>0</v>
      </c>
      <c r="AGC29">
        <f t="shared" si="218"/>
        <v>0</v>
      </c>
      <c r="AGD29">
        <f t="shared" si="219"/>
        <v>0</v>
      </c>
      <c r="AGE29">
        <f t="shared" si="220"/>
        <v>0</v>
      </c>
      <c r="AGF29">
        <f t="shared" si="221"/>
        <v>0</v>
      </c>
      <c r="AGG29">
        <f t="shared" si="222"/>
        <v>0</v>
      </c>
      <c r="AGH29">
        <f t="shared" si="223"/>
        <v>0</v>
      </c>
      <c r="AGI29">
        <f t="shared" si="224"/>
        <v>0</v>
      </c>
      <c r="AGJ29">
        <f t="shared" si="225"/>
        <v>0</v>
      </c>
      <c r="AGK29">
        <f t="shared" si="226"/>
        <v>0</v>
      </c>
      <c r="AGL29">
        <f t="shared" si="227"/>
        <v>0</v>
      </c>
      <c r="AGM29">
        <f t="shared" si="228"/>
        <v>0</v>
      </c>
      <c r="AGN29">
        <f t="shared" si="229"/>
        <v>0</v>
      </c>
      <c r="AGO29">
        <f t="shared" si="230"/>
        <v>0</v>
      </c>
      <c r="AGP29">
        <f t="shared" si="231"/>
        <v>0</v>
      </c>
      <c r="AGQ29">
        <f t="shared" si="232"/>
        <v>0</v>
      </c>
      <c r="AGR29">
        <f t="shared" si="233"/>
        <v>0</v>
      </c>
      <c r="AGS29">
        <f t="shared" si="234"/>
        <v>0</v>
      </c>
      <c r="AGT29">
        <f t="shared" si="235"/>
        <v>0</v>
      </c>
      <c r="AGU29">
        <f t="shared" si="236"/>
        <v>0</v>
      </c>
      <c r="AGV29">
        <f t="shared" si="237"/>
        <v>0</v>
      </c>
      <c r="AGW29">
        <f t="shared" si="238"/>
        <v>0</v>
      </c>
      <c r="AGX29">
        <f t="shared" si="239"/>
        <v>0</v>
      </c>
      <c r="AGY29">
        <f t="shared" si="240"/>
        <v>0</v>
      </c>
      <c r="AGZ29">
        <f t="shared" si="241"/>
        <v>0</v>
      </c>
      <c r="AHA29">
        <f t="shared" si="242"/>
        <v>0</v>
      </c>
      <c r="AHB29">
        <f t="shared" si="243"/>
        <v>0</v>
      </c>
      <c r="AHC29">
        <f t="shared" si="244"/>
        <v>0</v>
      </c>
      <c r="AHD29">
        <f t="shared" si="245"/>
        <v>0</v>
      </c>
      <c r="AHE29">
        <f t="shared" si="246"/>
        <v>0</v>
      </c>
      <c r="AHF29">
        <f t="shared" si="247"/>
        <v>0</v>
      </c>
      <c r="AHG29">
        <f t="shared" si="248"/>
        <v>0</v>
      </c>
      <c r="AHH29">
        <f t="shared" si="249"/>
        <v>0</v>
      </c>
      <c r="AHI29">
        <f t="shared" si="250"/>
        <v>0</v>
      </c>
      <c r="AHJ29">
        <f t="shared" si="251"/>
        <v>0</v>
      </c>
      <c r="AHK29">
        <f t="shared" si="252"/>
        <v>0</v>
      </c>
      <c r="AHL29">
        <f t="shared" si="253"/>
        <v>0</v>
      </c>
      <c r="AHM29">
        <f t="shared" si="254"/>
        <v>0</v>
      </c>
      <c r="AHN29">
        <f t="shared" si="36"/>
        <v>0</v>
      </c>
      <c r="AHO29">
        <f t="shared" si="255"/>
        <v>0</v>
      </c>
      <c r="AHP29">
        <f t="shared" si="256"/>
        <v>0</v>
      </c>
      <c r="AHQ29">
        <f t="shared" si="257"/>
        <v>0</v>
      </c>
      <c r="AHR29">
        <f t="shared" si="258"/>
        <v>0</v>
      </c>
      <c r="AHS29">
        <f t="shared" si="259"/>
        <v>0</v>
      </c>
      <c r="AHT29">
        <f t="shared" si="260"/>
        <v>0</v>
      </c>
      <c r="AHU29">
        <f t="shared" si="261"/>
        <v>0</v>
      </c>
      <c r="AHV29">
        <f t="shared" si="262"/>
        <v>0</v>
      </c>
      <c r="AHW29">
        <f t="shared" si="263"/>
        <v>0</v>
      </c>
      <c r="AHX29">
        <f t="shared" si="264"/>
        <v>0</v>
      </c>
      <c r="AHY29">
        <f t="shared" si="265"/>
        <v>0</v>
      </c>
      <c r="AHZ29">
        <f t="shared" si="266"/>
        <v>0</v>
      </c>
      <c r="AIA29">
        <f t="shared" si="267"/>
        <v>0</v>
      </c>
      <c r="AIB29">
        <f t="shared" si="268"/>
        <v>0</v>
      </c>
      <c r="AIC29">
        <f t="shared" si="269"/>
        <v>0</v>
      </c>
      <c r="AID29">
        <f t="shared" si="270"/>
        <v>0</v>
      </c>
      <c r="AIE29">
        <f t="shared" si="271"/>
        <v>0</v>
      </c>
      <c r="AIF29">
        <f t="shared" si="272"/>
        <v>0</v>
      </c>
      <c r="AIG29">
        <f t="shared" si="273"/>
        <v>0</v>
      </c>
      <c r="AIH29">
        <f t="shared" si="274"/>
        <v>0</v>
      </c>
      <c r="AII29">
        <f t="shared" si="275"/>
        <v>0</v>
      </c>
      <c r="AIJ29">
        <f t="shared" si="276"/>
        <v>0</v>
      </c>
      <c r="AIK29">
        <f t="shared" si="277"/>
        <v>0</v>
      </c>
      <c r="AIL29">
        <f t="shared" si="278"/>
        <v>0</v>
      </c>
      <c r="AIM29">
        <f t="shared" si="279"/>
        <v>0</v>
      </c>
      <c r="AIN29">
        <f t="shared" si="280"/>
        <v>0</v>
      </c>
      <c r="AIO29">
        <f t="shared" si="281"/>
        <v>0</v>
      </c>
      <c r="AIP29">
        <f t="shared" si="282"/>
        <v>0</v>
      </c>
      <c r="AIQ29">
        <f t="shared" si="283"/>
        <v>0</v>
      </c>
      <c r="AIR29">
        <f t="shared" si="284"/>
        <v>0</v>
      </c>
      <c r="AIS29">
        <f t="shared" si="285"/>
        <v>0</v>
      </c>
      <c r="AIT29">
        <f t="shared" si="286"/>
        <v>0</v>
      </c>
      <c r="AIU29">
        <f t="shared" si="287"/>
        <v>0</v>
      </c>
      <c r="AIV29">
        <f t="shared" si="288"/>
        <v>0</v>
      </c>
      <c r="AIW29">
        <f t="shared" si="289"/>
        <v>0</v>
      </c>
      <c r="AIX29">
        <f t="shared" si="290"/>
        <v>0</v>
      </c>
      <c r="AIY29">
        <f t="shared" si="291"/>
        <v>0</v>
      </c>
      <c r="AIZ29">
        <f t="shared" si="292"/>
        <v>0</v>
      </c>
      <c r="AJA29">
        <f t="shared" si="293"/>
        <v>0</v>
      </c>
      <c r="AJB29">
        <f t="shared" si="294"/>
        <v>0</v>
      </c>
      <c r="AJC29">
        <f t="shared" si="295"/>
        <v>0</v>
      </c>
      <c r="AJD29">
        <f t="shared" si="296"/>
        <v>0</v>
      </c>
      <c r="AJE29">
        <f t="shared" si="297"/>
        <v>0</v>
      </c>
      <c r="AJF29">
        <f t="shared" si="298"/>
        <v>0</v>
      </c>
      <c r="AJG29">
        <f t="shared" si="299"/>
        <v>0</v>
      </c>
      <c r="AJH29">
        <f t="shared" si="300"/>
        <v>0</v>
      </c>
      <c r="AJI29">
        <f t="shared" si="301"/>
        <v>0</v>
      </c>
      <c r="AJJ29">
        <f t="shared" si="302"/>
        <v>0</v>
      </c>
      <c r="AJK29">
        <f t="shared" si="303"/>
        <v>0</v>
      </c>
      <c r="AJL29">
        <f t="shared" si="304"/>
        <v>0</v>
      </c>
      <c r="AJM29">
        <f t="shared" si="305"/>
        <v>0</v>
      </c>
      <c r="AJN29">
        <f t="shared" si="306"/>
        <v>0</v>
      </c>
      <c r="AJO29">
        <f t="shared" si="307"/>
        <v>0</v>
      </c>
      <c r="AJP29">
        <f t="shared" si="308"/>
        <v>0</v>
      </c>
      <c r="AJQ29">
        <f t="shared" si="309"/>
        <v>0</v>
      </c>
      <c r="AJR29">
        <f t="shared" si="310"/>
        <v>0</v>
      </c>
      <c r="AJS29">
        <f t="shared" si="311"/>
        <v>0</v>
      </c>
      <c r="AJT29">
        <f t="shared" si="312"/>
        <v>0</v>
      </c>
      <c r="AJU29">
        <f t="shared" si="313"/>
        <v>0</v>
      </c>
      <c r="AJV29">
        <f t="shared" si="314"/>
        <v>0</v>
      </c>
      <c r="AJW29">
        <f t="shared" si="315"/>
        <v>0</v>
      </c>
      <c r="AJX29">
        <f t="shared" si="316"/>
        <v>0</v>
      </c>
      <c r="AJY29">
        <f t="shared" si="317"/>
        <v>0</v>
      </c>
      <c r="AJZ29">
        <f t="shared" si="37"/>
        <v>0</v>
      </c>
      <c r="AKA29">
        <f t="shared" si="318"/>
        <v>0</v>
      </c>
      <c r="AKB29">
        <f t="shared" si="319"/>
        <v>0</v>
      </c>
      <c r="AKC29">
        <f t="shared" si="320"/>
        <v>0</v>
      </c>
      <c r="AKD29">
        <f t="shared" si="321"/>
        <v>0</v>
      </c>
      <c r="AKE29">
        <f t="shared" si="322"/>
        <v>0</v>
      </c>
      <c r="AKF29">
        <f t="shared" si="323"/>
        <v>0</v>
      </c>
      <c r="AKG29">
        <f t="shared" si="324"/>
        <v>0</v>
      </c>
      <c r="AKH29">
        <f t="shared" si="325"/>
        <v>0</v>
      </c>
      <c r="AKI29">
        <f t="shared" si="326"/>
        <v>0</v>
      </c>
      <c r="AKJ29">
        <f t="shared" si="327"/>
        <v>0</v>
      </c>
      <c r="AKK29">
        <f t="shared" si="328"/>
        <v>0</v>
      </c>
      <c r="AKL29">
        <f t="shared" si="329"/>
        <v>0</v>
      </c>
      <c r="AKM29">
        <f t="shared" si="330"/>
        <v>0</v>
      </c>
      <c r="AKN29">
        <f t="shared" si="331"/>
        <v>0</v>
      </c>
      <c r="AKO29">
        <f t="shared" si="332"/>
        <v>0</v>
      </c>
      <c r="AKP29">
        <f t="shared" si="333"/>
        <v>0</v>
      </c>
      <c r="AKQ29">
        <f t="shared" si="334"/>
        <v>0</v>
      </c>
      <c r="AKR29">
        <f t="shared" si="335"/>
        <v>0</v>
      </c>
      <c r="AKS29">
        <f t="shared" si="336"/>
        <v>0</v>
      </c>
      <c r="AKT29">
        <f t="shared" si="337"/>
        <v>0</v>
      </c>
      <c r="AKU29">
        <f t="shared" si="338"/>
        <v>0</v>
      </c>
      <c r="AKV29">
        <f t="shared" si="339"/>
        <v>0</v>
      </c>
      <c r="AKW29">
        <f t="shared" si="340"/>
        <v>0</v>
      </c>
      <c r="AKX29">
        <f t="shared" si="341"/>
        <v>0</v>
      </c>
      <c r="AKY29">
        <f t="shared" si="342"/>
        <v>0</v>
      </c>
      <c r="AKZ29">
        <f t="shared" si="343"/>
        <v>0</v>
      </c>
      <c r="ALA29">
        <f t="shared" si="344"/>
        <v>0</v>
      </c>
      <c r="ALB29">
        <f t="shared" si="345"/>
        <v>0</v>
      </c>
      <c r="ALC29">
        <f t="shared" si="346"/>
        <v>0</v>
      </c>
      <c r="ALD29">
        <f t="shared" si="347"/>
        <v>0</v>
      </c>
      <c r="ALE29">
        <f t="shared" si="348"/>
        <v>0</v>
      </c>
      <c r="ALF29">
        <f t="shared" si="349"/>
        <v>0</v>
      </c>
      <c r="ALG29">
        <f t="shared" si="350"/>
        <v>0</v>
      </c>
      <c r="ALH29">
        <f t="shared" si="351"/>
        <v>0</v>
      </c>
      <c r="ALI29">
        <f t="shared" si="352"/>
        <v>0</v>
      </c>
      <c r="ALJ29">
        <f t="shared" si="353"/>
        <v>0</v>
      </c>
      <c r="ALK29">
        <f t="shared" si="354"/>
        <v>0</v>
      </c>
      <c r="ALL29">
        <f t="shared" si="355"/>
        <v>0</v>
      </c>
      <c r="ALM29">
        <f t="shared" si="356"/>
        <v>0</v>
      </c>
      <c r="ALN29">
        <f t="shared" si="357"/>
        <v>0</v>
      </c>
      <c r="ALO29">
        <f t="shared" si="358"/>
        <v>0</v>
      </c>
      <c r="ALP29">
        <f t="shared" si="359"/>
        <v>0</v>
      </c>
      <c r="ALQ29">
        <f t="shared" si="360"/>
        <v>0</v>
      </c>
      <c r="ALR29">
        <f t="shared" si="361"/>
        <v>0</v>
      </c>
      <c r="ALS29">
        <f t="shared" si="362"/>
        <v>0</v>
      </c>
      <c r="ALT29">
        <f t="shared" si="363"/>
        <v>0</v>
      </c>
      <c r="ALU29">
        <f t="shared" si="364"/>
        <v>0</v>
      </c>
      <c r="ALV29">
        <f t="shared" si="365"/>
        <v>0</v>
      </c>
      <c r="ALW29">
        <f t="shared" si="366"/>
        <v>0</v>
      </c>
      <c r="ALX29">
        <f t="shared" si="367"/>
        <v>0</v>
      </c>
      <c r="ALY29">
        <f t="shared" si="368"/>
        <v>0</v>
      </c>
      <c r="ALZ29">
        <f t="shared" si="369"/>
        <v>0</v>
      </c>
      <c r="AMA29">
        <f t="shared" si="370"/>
        <v>0</v>
      </c>
      <c r="AMB29">
        <f t="shared" si="371"/>
        <v>0</v>
      </c>
      <c r="AMC29">
        <f t="shared" si="372"/>
        <v>0</v>
      </c>
      <c r="AMD29">
        <f t="shared" si="373"/>
        <v>0</v>
      </c>
      <c r="AME29">
        <f t="shared" si="374"/>
        <v>0</v>
      </c>
      <c r="AMF29">
        <f t="shared" si="375"/>
        <v>0</v>
      </c>
      <c r="AMG29">
        <f t="shared" si="376"/>
        <v>0</v>
      </c>
      <c r="AMH29">
        <f t="shared" si="377"/>
        <v>0</v>
      </c>
      <c r="AMI29">
        <f t="shared" si="378"/>
        <v>0</v>
      </c>
      <c r="AMJ29">
        <f t="shared" si="379"/>
        <v>0</v>
      </c>
      <c r="AMK29">
        <f t="shared" si="380"/>
        <v>0</v>
      </c>
      <c r="AML29">
        <f t="shared" si="38"/>
        <v>0</v>
      </c>
      <c r="AMM29">
        <f t="shared" si="381"/>
        <v>0</v>
      </c>
      <c r="AMN29">
        <f t="shared" si="382"/>
        <v>0</v>
      </c>
      <c r="AMO29">
        <f t="shared" si="383"/>
        <v>0</v>
      </c>
      <c r="AMP29">
        <f t="shared" si="384"/>
        <v>0</v>
      </c>
      <c r="AMQ29">
        <f t="shared" si="385"/>
        <v>0</v>
      </c>
      <c r="AMR29">
        <f t="shared" si="386"/>
        <v>0</v>
      </c>
      <c r="AMS29">
        <f t="shared" si="387"/>
        <v>0</v>
      </c>
      <c r="AMT29">
        <f t="shared" si="388"/>
        <v>0</v>
      </c>
      <c r="AMU29">
        <f t="shared" si="389"/>
        <v>0</v>
      </c>
      <c r="AMV29">
        <f t="shared" si="390"/>
        <v>0</v>
      </c>
      <c r="AMW29">
        <f t="shared" si="391"/>
        <v>0</v>
      </c>
      <c r="AMX29">
        <f t="shared" si="392"/>
        <v>0</v>
      </c>
      <c r="AMY29">
        <f t="shared" si="393"/>
        <v>0</v>
      </c>
      <c r="AMZ29">
        <f t="shared" si="394"/>
        <v>0</v>
      </c>
      <c r="ANA29">
        <f t="shared" si="395"/>
        <v>0</v>
      </c>
      <c r="ANB29">
        <f t="shared" si="396"/>
        <v>0</v>
      </c>
      <c r="ANC29">
        <f t="shared" si="397"/>
        <v>0</v>
      </c>
      <c r="AND29">
        <f t="shared" si="398"/>
        <v>0</v>
      </c>
      <c r="ANE29">
        <f t="shared" si="399"/>
        <v>0</v>
      </c>
      <c r="ANF29">
        <f t="shared" si="400"/>
        <v>0</v>
      </c>
      <c r="ANG29">
        <f t="shared" si="401"/>
        <v>0</v>
      </c>
      <c r="ANH29">
        <f t="shared" si="402"/>
        <v>0</v>
      </c>
      <c r="ANI29">
        <f t="shared" si="403"/>
        <v>0</v>
      </c>
      <c r="ANJ29">
        <f t="shared" si="404"/>
        <v>0</v>
      </c>
      <c r="ANK29">
        <f t="shared" si="405"/>
        <v>0</v>
      </c>
      <c r="ANL29">
        <f t="shared" si="406"/>
        <v>0</v>
      </c>
      <c r="ANM29">
        <f t="shared" si="407"/>
        <v>0</v>
      </c>
      <c r="ANN29">
        <f t="shared" si="408"/>
        <v>0</v>
      </c>
      <c r="ANO29">
        <f t="shared" si="409"/>
        <v>0</v>
      </c>
      <c r="ANP29">
        <f t="shared" si="410"/>
        <v>0</v>
      </c>
      <c r="ANQ29">
        <f t="shared" si="411"/>
        <v>0</v>
      </c>
      <c r="ANR29">
        <f t="shared" si="412"/>
        <v>0</v>
      </c>
      <c r="ANS29">
        <f t="shared" si="413"/>
        <v>0</v>
      </c>
      <c r="ANT29">
        <f t="shared" si="414"/>
        <v>0</v>
      </c>
      <c r="ANU29">
        <f t="shared" si="415"/>
        <v>0</v>
      </c>
      <c r="ANV29">
        <f t="shared" si="416"/>
        <v>0</v>
      </c>
      <c r="ANW29">
        <f t="shared" si="417"/>
        <v>0</v>
      </c>
      <c r="ANX29">
        <f t="shared" si="418"/>
        <v>0</v>
      </c>
      <c r="ANY29">
        <f t="shared" si="419"/>
        <v>0</v>
      </c>
      <c r="ANZ29">
        <f t="shared" si="420"/>
        <v>0</v>
      </c>
      <c r="AOA29">
        <f t="shared" si="421"/>
        <v>0</v>
      </c>
      <c r="AOB29">
        <f t="shared" si="422"/>
        <v>0</v>
      </c>
      <c r="AOC29">
        <f t="shared" si="423"/>
        <v>0</v>
      </c>
      <c r="AOD29">
        <f t="shared" si="424"/>
        <v>0</v>
      </c>
      <c r="AOE29">
        <f t="shared" si="425"/>
        <v>0</v>
      </c>
      <c r="AOF29">
        <f t="shared" si="426"/>
        <v>0</v>
      </c>
      <c r="AOG29">
        <f t="shared" si="427"/>
        <v>0</v>
      </c>
      <c r="AOH29">
        <f t="shared" si="428"/>
        <v>0</v>
      </c>
      <c r="AOI29">
        <f t="shared" si="429"/>
        <v>0</v>
      </c>
      <c r="AOJ29">
        <f t="shared" si="430"/>
        <v>0</v>
      </c>
      <c r="AOK29">
        <f t="shared" si="431"/>
        <v>0</v>
      </c>
      <c r="AOL29">
        <f t="shared" si="432"/>
        <v>0</v>
      </c>
      <c r="AOM29">
        <f t="shared" si="433"/>
        <v>0</v>
      </c>
      <c r="AON29">
        <f t="shared" si="434"/>
        <v>0</v>
      </c>
      <c r="AOO29">
        <f t="shared" si="435"/>
        <v>0</v>
      </c>
      <c r="AOP29">
        <f t="shared" si="436"/>
        <v>0</v>
      </c>
      <c r="AOQ29">
        <f t="shared" si="437"/>
        <v>0</v>
      </c>
      <c r="AOR29">
        <f t="shared" si="438"/>
        <v>0</v>
      </c>
      <c r="AOS29">
        <f t="shared" si="439"/>
        <v>0</v>
      </c>
      <c r="AOT29">
        <f t="shared" si="440"/>
        <v>0</v>
      </c>
      <c r="AOU29">
        <f t="shared" si="441"/>
        <v>0</v>
      </c>
      <c r="AOV29">
        <f t="shared" si="442"/>
        <v>0</v>
      </c>
      <c r="AOW29">
        <f t="shared" si="443"/>
        <v>0</v>
      </c>
      <c r="AOX29">
        <f t="shared" si="39"/>
        <v>0</v>
      </c>
      <c r="AOY29">
        <f t="shared" si="444"/>
        <v>0</v>
      </c>
      <c r="AOZ29">
        <f t="shared" si="445"/>
        <v>0</v>
      </c>
      <c r="APA29">
        <f t="shared" si="446"/>
        <v>0</v>
      </c>
      <c r="APB29">
        <f t="shared" si="447"/>
        <v>0</v>
      </c>
      <c r="APC29">
        <f t="shared" si="448"/>
        <v>0</v>
      </c>
      <c r="APD29">
        <f t="shared" si="449"/>
        <v>0</v>
      </c>
      <c r="APE29">
        <f t="shared" si="450"/>
        <v>0</v>
      </c>
      <c r="APF29">
        <f t="shared" si="451"/>
        <v>0</v>
      </c>
      <c r="APG29">
        <f t="shared" si="452"/>
        <v>0</v>
      </c>
      <c r="APH29">
        <f t="shared" si="453"/>
        <v>0</v>
      </c>
      <c r="API29">
        <f t="shared" si="454"/>
        <v>0</v>
      </c>
      <c r="APJ29">
        <f t="shared" si="455"/>
        <v>0</v>
      </c>
      <c r="APK29">
        <f t="shared" si="456"/>
        <v>0</v>
      </c>
      <c r="APL29">
        <f t="shared" si="457"/>
        <v>0</v>
      </c>
      <c r="APM29">
        <f t="shared" si="458"/>
        <v>0</v>
      </c>
      <c r="APN29">
        <f t="shared" si="459"/>
        <v>0</v>
      </c>
      <c r="APO29">
        <f t="shared" si="460"/>
        <v>0</v>
      </c>
      <c r="APP29">
        <f t="shared" si="461"/>
        <v>0</v>
      </c>
      <c r="APQ29">
        <f t="shared" si="462"/>
        <v>0</v>
      </c>
      <c r="APR29">
        <f t="shared" si="463"/>
        <v>0</v>
      </c>
      <c r="APS29">
        <f t="shared" si="464"/>
        <v>0</v>
      </c>
      <c r="APT29">
        <f t="shared" si="465"/>
        <v>0</v>
      </c>
      <c r="APU29">
        <f t="shared" si="466"/>
        <v>0</v>
      </c>
      <c r="APV29">
        <f t="shared" si="467"/>
        <v>0</v>
      </c>
      <c r="APW29">
        <f t="shared" si="468"/>
        <v>0</v>
      </c>
      <c r="APX29">
        <f t="shared" si="469"/>
        <v>0</v>
      </c>
      <c r="APY29">
        <f t="shared" si="470"/>
        <v>0</v>
      </c>
      <c r="APZ29">
        <f t="shared" si="471"/>
        <v>0</v>
      </c>
      <c r="AQA29">
        <f t="shared" si="472"/>
        <v>0</v>
      </c>
      <c r="AQB29">
        <f t="shared" si="473"/>
        <v>0</v>
      </c>
      <c r="AQC29">
        <f t="shared" si="474"/>
        <v>0</v>
      </c>
      <c r="AQD29">
        <f t="shared" si="475"/>
        <v>0</v>
      </c>
      <c r="AQE29">
        <f t="shared" si="476"/>
        <v>0</v>
      </c>
      <c r="AQF29">
        <f t="shared" si="477"/>
        <v>0</v>
      </c>
      <c r="AQG29">
        <f t="shared" si="478"/>
        <v>0</v>
      </c>
      <c r="AQH29">
        <f t="shared" si="479"/>
        <v>0</v>
      </c>
      <c r="AQI29">
        <f t="shared" si="480"/>
        <v>0</v>
      </c>
      <c r="AQJ29">
        <f t="shared" si="481"/>
        <v>0</v>
      </c>
      <c r="AQK29">
        <f t="shared" si="482"/>
        <v>0</v>
      </c>
      <c r="AQL29">
        <f t="shared" si="483"/>
        <v>0</v>
      </c>
      <c r="AQM29">
        <f t="shared" si="484"/>
        <v>0</v>
      </c>
      <c r="AQN29">
        <f t="shared" si="485"/>
        <v>0</v>
      </c>
      <c r="AQO29">
        <f t="shared" si="486"/>
        <v>0</v>
      </c>
      <c r="AQP29">
        <f t="shared" si="487"/>
        <v>0</v>
      </c>
      <c r="AQQ29">
        <f t="shared" si="488"/>
        <v>0</v>
      </c>
      <c r="AQR29">
        <f t="shared" si="489"/>
        <v>0</v>
      </c>
      <c r="AQS29">
        <f t="shared" si="490"/>
        <v>0</v>
      </c>
      <c r="AQT29">
        <f t="shared" si="491"/>
        <v>0</v>
      </c>
      <c r="AQU29">
        <f t="shared" si="492"/>
        <v>0</v>
      </c>
      <c r="AQV29">
        <f t="shared" si="493"/>
        <v>0</v>
      </c>
      <c r="AQW29">
        <f t="shared" si="494"/>
        <v>0</v>
      </c>
      <c r="AQX29">
        <f t="shared" si="495"/>
        <v>0</v>
      </c>
      <c r="AQY29">
        <f t="shared" si="496"/>
        <v>0</v>
      </c>
      <c r="AQZ29">
        <f t="shared" si="497"/>
        <v>0</v>
      </c>
      <c r="ARA29">
        <f t="shared" si="498"/>
        <v>0</v>
      </c>
      <c r="ARB29">
        <f t="shared" si="499"/>
        <v>0</v>
      </c>
      <c r="ARC29">
        <f t="shared" si="500"/>
        <v>0</v>
      </c>
      <c r="ARD29">
        <f t="shared" si="501"/>
        <v>0</v>
      </c>
      <c r="ARE29">
        <f t="shared" si="502"/>
        <v>0</v>
      </c>
      <c r="ARF29">
        <f t="shared" si="503"/>
        <v>0</v>
      </c>
      <c r="ARG29">
        <f t="shared" si="504"/>
        <v>0</v>
      </c>
      <c r="ARH29">
        <f t="shared" si="505"/>
        <v>0</v>
      </c>
      <c r="ARI29">
        <f t="shared" si="506"/>
        <v>0</v>
      </c>
      <c r="ARJ29">
        <f t="shared" si="40"/>
        <v>0</v>
      </c>
      <c r="ARK29">
        <f t="shared" si="507"/>
        <v>0</v>
      </c>
      <c r="ARL29">
        <f t="shared" si="508"/>
        <v>0</v>
      </c>
      <c r="ARM29">
        <f t="shared" si="509"/>
        <v>0</v>
      </c>
      <c r="ARN29">
        <f t="shared" si="510"/>
        <v>0</v>
      </c>
      <c r="ARO29">
        <f t="shared" si="511"/>
        <v>0</v>
      </c>
      <c r="ARP29">
        <f t="shared" si="512"/>
        <v>0</v>
      </c>
      <c r="ARQ29">
        <f t="shared" si="513"/>
        <v>0</v>
      </c>
      <c r="ARR29">
        <f t="shared" si="514"/>
        <v>0</v>
      </c>
      <c r="ARS29">
        <f t="shared" si="515"/>
        <v>0</v>
      </c>
      <c r="ART29">
        <f t="shared" si="516"/>
        <v>0</v>
      </c>
      <c r="ARU29">
        <f t="shared" si="517"/>
        <v>0</v>
      </c>
      <c r="ARV29">
        <f t="shared" si="518"/>
        <v>0</v>
      </c>
      <c r="ARW29">
        <f t="shared" si="519"/>
        <v>0</v>
      </c>
      <c r="ARX29">
        <f t="shared" si="520"/>
        <v>0</v>
      </c>
      <c r="ARY29">
        <f t="shared" si="521"/>
        <v>0</v>
      </c>
      <c r="ARZ29">
        <f t="shared" si="522"/>
        <v>0</v>
      </c>
      <c r="ASA29">
        <f t="shared" si="523"/>
        <v>0</v>
      </c>
      <c r="ASB29">
        <f t="shared" si="524"/>
        <v>0</v>
      </c>
      <c r="ASC29">
        <f t="shared" si="525"/>
        <v>0</v>
      </c>
      <c r="ASD29">
        <f t="shared" si="526"/>
        <v>0</v>
      </c>
      <c r="ASE29">
        <f t="shared" si="527"/>
        <v>0</v>
      </c>
      <c r="ASF29">
        <f t="shared" si="528"/>
        <v>0</v>
      </c>
      <c r="ASG29">
        <f t="shared" si="529"/>
        <v>0</v>
      </c>
      <c r="ASH29">
        <f t="shared" si="530"/>
        <v>0</v>
      </c>
      <c r="ASI29">
        <f t="shared" si="531"/>
        <v>0</v>
      </c>
      <c r="ASJ29">
        <f t="shared" si="532"/>
        <v>0</v>
      </c>
      <c r="ASK29">
        <f t="shared" si="533"/>
        <v>0</v>
      </c>
      <c r="ASL29">
        <f t="shared" si="534"/>
        <v>0</v>
      </c>
      <c r="ASM29">
        <f t="shared" si="535"/>
        <v>0</v>
      </c>
      <c r="ASN29">
        <f t="shared" si="536"/>
        <v>0</v>
      </c>
      <c r="ASO29">
        <f t="shared" si="537"/>
        <v>0</v>
      </c>
      <c r="ASP29">
        <f t="shared" si="538"/>
        <v>0</v>
      </c>
      <c r="ASQ29">
        <f t="shared" si="539"/>
        <v>0</v>
      </c>
      <c r="ASR29">
        <f t="shared" si="540"/>
        <v>0</v>
      </c>
      <c r="ASS29">
        <f t="shared" si="541"/>
        <v>0</v>
      </c>
      <c r="AST29">
        <f t="shared" si="542"/>
        <v>0</v>
      </c>
      <c r="ASU29">
        <f t="shared" si="543"/>
        <v>0</v>
      </c>
      <c r="ASV29">
        <f t="shared" si="544"/>
        <v>0</v>
      </c>
      <c r="ASW29">
        <f t="shared" si="545"/>
        <v>0</v>
      </c>
      <c r="ASX29">
        <f t="shared" si="546"/>
        <v>0</v>
      </c>
      <c r="ASY29">
        <f t="shared" si="547"/>
        <v>0</v>
      </c>
      <c r="ASZ29">
        <f t="shared" si="548"/>
        <v>0</v>
      </c>
      <c r="ATA29">
        <f t="shared" si="549"/>
        <v>0</v>
      </c>
      <c r="ATB29">
        <f t="shared" si="550"/>
        <v>0</v>
      </c>
      <c r="ATC29">
        <f t="shared" si="551"/>
        <v>0</v>
      </c>
      <c r="ATD29">
        <f t="shared" si="552"/>
        <v>0</v>
      </c>
      <c r="ATE29">
        <f t="shared" si="553"/>
        <v>0</v>
      </c>
      <c r="ATF29">
        <f t="shared" si="554"/>
        <v>0</v>
      </c>
      <c r="ATG29">
        <f t="shared" si="555"/>
        <v>0</v>
      </c>
      <c r="ATH29">
        <f t="shared" si="556"/>
        <v>0</v>
      </c>
      <c r="ATI29">
        <f t="shared" si="557"/>
        <v>0</v>
      </c>
      <c r="ATJ29">
        <f t="shared" si="558"/>
        <v>0</v>
      </c>
      <c r="ATK29">
        <f t="shared" si="559"/>
        <v>0</v>
      </c>
      <c r="ATL29">
        <f t="shared" si="560"/>
        <v>0</v>
      </c>
      <c r="ATM29">
        <f t="shared" si="561"/>
        <v>0</v>
      </c>
      <c r="ATN29">
        <f t="shared" si="562"/>
        <v>0</v>
      </c>
      <c r="ATO29">
        <f t="shared" si="563"/>
        <v>0</v>
      </c>
      <c r="ATP29">
        <f t="shared" si="564"/>
        <v>0</v>
      </c>
      <c r="ATQ29">
        <f t="shared" si="565"/>
        <v>0</v>
      </c>
      <c r="ATR29">
        <f t="shared" si="566"/>
        <v>0</v>
      </c>
      <c r="ATS29">
        <f t="shared" si="567"/>
        <v>0</v>
      </c>
      <c r="ATT29">
        <f t="shared" si="568"/>
        <v>0</v>
      </c>
      <c r="ATU29">
        <f t="shared" si="569"/>
        <v>0</v>
      </c>
      <c r="ATV29">
        <f t="shared" si="41"/>
        <v>0</v>
      </c>
      <c r="ATW29">
        <f t="shared" si="570"/>
        <v>0</v>
      </c>
      <c r="ATX29">
        <f t="shared" si="571"/>
        <v>0</v>
      </c>
      <c r="ATY29">
        <f t="shared" si="572"/>
        <v>0</v>
      </c>
      <c r="ATZ29">
        <f t="shared" si="573"/>
        <v>0</v>
      </c>
      <c r="AUA29">
        <f t="shared" si="574"/>
        <v>0</v>
      </c>
      <c r="AUB29">
        <f t="shared" si="575"/>
        <v>0</v>
      </c>
      <c r="AUC29">
        <f t="shared" si="576"/>
        <v>0</v>
      </c>
      <c r="AUD29">
        <f t="shared" si="577"/>
        <v>0</v>
      </c>
      <c r="AUE29">
        <f t="shared" si="578"/>
        <v>0</v>
      </c>
      <c r="AUF29">
        <f t="shared" si="579"/>
        <v>0</v>
      </c>
      <c r="AUG29">
        <f t="shared" si="580"/>
        <v>0</v>
      </c>
      <c r="AUH29">
        <f t="shared" si="581"/>
        <v>0</v>
      </c>
      <c r="AUI29">
        <f t="shared" si="582"/>
        <v>0</v>
      </c>
      <c r="AUJ29">
        <f t="shared" si="583"/>
        <v>0</v>
      </c>
      <c r="AUK29">
        <f t="shared" si="584"/>
        <v>0</v>
      </c>
      <c r="AUL29">
        <f t="shared" si="585"/>
        <v>0</v>
      </c>
      <c r="AUM29">
        <f t="shared" si="586"/>
        <v>0</v>
      </c>
      <c r="AUN29">
        <f t="shared" si="587"/>
        <v>0</v>
      </c>
      <c r="AUO29">
        <f t="shared" si="588"/>
        <v>0</v>
      </c>
      <c r="AUP29">
        <f t="shared" si="589"/>
        <v>0</v>
      </c>
      <c r="AUQ29">
        <f t="shared" si="590"/>
        <v>0</v>
      </c>
      <c r="AUR29">
        <f t="shared" si="591"/>
        <v>0</v>
      </c>
      <c r="AUS29">
        <f t="shared" si="592"/>
        <v>0</v>
      </c>
      <c r="AUT29">
        <f t="shared" si="593"/>
        <v>0</v>
      </c>
      <c r="AUU29">
        <f t="shared" si="594"/>
        <v>0</v>
      </c>
      <c r="AUV29">
        <f t="shared" si="595"/>
        <v>0</v>
      </c>
      <c r="AUW29">
        <f t="shared" si="596"/>
        <v>0</v>
      </c>
      <c r="AUX29">
        <f t="shared" si="597"/>
        <v>0</v>
      </c>
      <c r="AUY29">
        <f t="shared" si="598"/>
        <v>0</v>
      </c>
      <c r="AUZ29">
        <f t="shared" si="599"/>
        <v>0</v>
      </c>
      <c r="AVA29">
        <f t="shared" si="600"/>
        <v>0</v>
      </c>
      <c r="AVB29">
        <f t="shared" si="601"/>
        <v>0</v>
      </c>
      <c r="AVC29">
        <f t="shared" si="602"/>
        <v>0</v>
      </c>
      <c r="AVD29">
        <f t="shared" si="603"/>
        <v>0</v>
      </c>
      <c r="AVE29">
        <f t="shared" si="604"/>
        <v>0</v>
      </c>
      <c r="AVF29">
        <f t="shared" si="605"/>
        <v>0</v>
      </c>
      <c r="AVG29">
        <f t="shared" si="606"/>
        <v>0</v>
      </c>
      <c r="AVH29">
        <f t="shared" si="607"/>
        <v>0</v>
      </c>
      <c r="AVI29">
        <f t="shared" si="608"/>
        <v>0</v>
      </c>
      <c r="AVJ29">
        <f t="shared" si="609"/>
        <v>0</v>
      </c>
      <c r="AVK29">
        <f t="shared" si="610"/>
        <v>0</v>
      </c>
      <c r="AVL29">
        <f t="shared" si="611"/>
        <v>0</v>
      </c>
      <c r="AVM29">
        <f t="shared" si="612"/>
        <v>0</v>
      </c>
      <c r="AVN29">
        <f t="shared" si="613"/>
        <v>0</v>
      </c>
      <c r="AVO29">
        <f t="shared" si="614"/>
        <v>0</v>
      </c>
      <c r="AVP29">
        <f t="shared" si="615"/>
        <v>0</v>
      </c>
      <c r="AVQ29">
        <f t="shared" si="616"/>
        <v>0</v>
      </c>
      <c r="AVR29">
        <f t="shared" si="617"/>
        <v>0</v>
      </c>
      <c r="AVS29">
        <f t="shared" si="618"/>
        <v>0</v>
      </c>
      <c r="AVT29">
        <f t="shared" si="619"/>
        <v>0</v>
      </c>
      <c r="AVU29">
        <f t="shared" si="620"/>
        <v>0</v>
      </c>
      <c r="AVV29">
        <f t="shared" si="621"/>
        <v>0</v>
      </c>
      <c r="AVW29">
        <f t="shared" si="622"/>
        <v>0</v>
      </c>
      <c r="AVX29">
        <f t="shared" si="623"/>
        <v>0</v>
      </c>
      <c r="AVY29">
        <f t="shared" si="624"/>
        <v>0</v>
      </c>
      <c r="AVZ29">
        <f t="shared" si="625"/>
        <v>0</v>
      </c>
      <c r="AWA29">
        <f t="shared" si="626"/>
        <v>0</v>
      </c>
      <c r="AWB29">
        <f t="shared" si="627"/>
        <v>0</v>
      </c>
      <c r="AWC29">
        <f t="shared" si="628"/>
        <v>0</v>
      </c>
      <c r="AWD29">
        <f t="shared" si="629"/>
        <v>0</v>
      </c>
      <c r="AWE29">
        <f t="shared" si="630"/>
        <v>0</v>
      </c>
      <c r="AWF29">
        <f t="shared" si="631"/>
        <v>0</v>
      </c>
      <c r="AWG29">
        <f t="shared" si="632"/>
        <v>0</v>
      </c>
      <c r="AWH29">
        <f t="shared" si="42"/>
        <v>0</v>
      </c>
      <c r="AWI29">
        <f t="shared" si="633"/>
        <v>0</v>
      </c>
      <c r="AWJ29">
        <f t="shared" si="634"/>
        <v>0</v>
      </c>
      <c r="AWK29">
        <f t="shared" si="635"/>
        <v>0</v>
      </c>
      <c r="AWL29">
        <f t="shared" si="636"/>
        <v>0</v>
      </c>
      <c r="AWM29">
        <f t="shared" si="637"/>
        <v>0</v>
      </c>
      <c r="AWN29">
        <f t="shared" si="638"/>
        <v>0</v>
      </c>
      <c r="AWO29">
        <f t="shared" si="639"/>
        <v>0</v>
      </c>
      <c r="AWP29">
        <f t="shared" si="640"/>
        <v>0</v>
      </c>
      <c r="AWQ29">
        <f t="shared" si="641"/>
        <v>0</v>
      </c>
      <c r="AWR29">
        <f t="shared" si="642"/>
        <v>0</v>
      </c>
      <c r="AWS29">
        <f t="shared" si="643"/>
        <v>0</v>
      </c>
      <c r="AWT29">
        <f t="shared" si="644"/>
        <v>0</v>
      </c>
      <c r="AWU29">
        <f t="shared" si="645"/>
        <v>0</v>
      </c>
      <c r="AWV29">
        <f t="shared" si="646"/>
        <v>0</v>
      </c>
      <c r="AWW29">
        <f t="shared" si="647"/>
        <v>0</v>
      </c>
      <c r="AWX29">
        <f t="shared" si="648"/>
        <v>0</v>
      </c>
      <c r="AWY29">
        <f t="shared" si="649"/>
        <v>0</v>
      </c>
      <c r="AWZ29">
        <f t="shared" si="650"/>
        <v>0</v>
      </c>
      <c r="AXA29">
        <f t="shared" si="651"/>
        <v>0</v>
      </c>
      <c r="AXB29">
        <f t="shared" si="652"/>
        <v>0</v>
      </c>
      <c r="AXC29">
        <f t="shared" si="653"/>
        <v>0</v>
      </c>
      <c r="AXD29">
        <f t="shared" si="654"/>
        <v>0</v>
      </c>
      <c r="AXE29">
        <f t="shared" si="655"/>
        <v>0</v>
      </c>
      <c r="AXF29">
        <f t="shared" si="656"/>
        <v>0</v>
      </c>
      <c r="AXG29">
        <f t="shared" si="657"/>
        <v>0</v>
      </c>
      <c r="AXH29">
        <f t="shared" si="658"/>
        <v>0</v>
      </c>
      <c r="AXI29">
        <f t="shared" si="659"/>
        <v>0</v>
      </c>
      <c r="AXJ29">
        <f t="shared" si="660"/>
        <v>0</v>
      </c>
      <c r="AXK29">
        <f t="shared" si="661"/>
        <v>0</v>
      </c>
      <c r="AXL29">
        <f t="shared" si="662"/>
        <v>0</v>
      </c>
      <c r="AXM29">
        <f t="shared" si="663"/>
        <v>0</v>
      </c>
      <c r="AXN29">
        <f t="shared" si="664"/>
        <v>0</v>
      </c>
      <c r="AXO29">
        <f t="shared" si="665"/>
        <v>0</v>
      </c>
      <c r="AXP29">
        <f t="shared" si="666"/>
        <v>0</v>
      </c>
      <c r="AXQ29">
        <f t="shared" si="667"/>
        <v>0</v>
      </c>
      <c r="AXR29">
        <f t="shared" si="668"/>
        <v>0</v>
      </c>
      <c r="AXS29">
        <f t="shared" si="669"/>
        <v>0</v>
      </c>
      <c r="AXT29">
        <f t="shared" si="670"/>
        <v>0</v>
      </c>
      <c r="AXU29">
        <f t="shared" si="671"/>
        <v>0</v>
      </c>
      <c r="AXV29">
        <f t="shared" si="672"/>
        <v>0</v>
      </c>
      <c r="AXW29">
        <f t="shared" si="673"/>
        <v>0</v>
      </c>
      <c r="AXX29">
        <f t="shared" si="674"/>
        <v>0</v>
      </c>
      <c r="AXY29">
        <f t="shared" si="675"/>
        <v>0</v>
      </c>
      <c r="AXZ29">
        <f t="shared" si="676"/>
        <v>0</v>
      </c>
      <c r="AYA29">
        <f t="shared" si="677"/>
        <v>0</v>
      </c>
      <c r="AYB29">
        <f t="shared" si="678"/>
        <v>0</v>
      </c>
      <c r="AYC29">
        <f t="shared" si="679"/>
        <v>0</v>
      </c>
      <c r="AYD29">
        <f t="shared" si="680"/>
        <v>0</v>
      </c>
      <c r="AYE29">
        <f t="shared" si="681"/>
        <v>0</v>
      </c>
      <c r="AYF29">
        <f t="shared" si="682"/>
        <v>0</v>
      </c>
      <c r="AYG29">
        <f t="shared" si="683"/>
        <v>0</v>
      </c>
      <c r="AYH29">
        <f t="shared" si="684"/>
        <v>0</v>
      </c>
      <c r="AYI29">
        <f t="shared" si="685"/>
        <v>0</v>
      </c>
      <c r="AYJ29">
        <f t="shared" si="686"/>
        <v>0</v>
      </c>
      <c r="AYK29">
        <f t="shared" si="687"/>
        <v>0</v>
      </c>
      <c r="AYL29">
        <f t="shared" si="688"/>
        <v>0</v>
      </c>
      <c r="AYM29">
        <f t="shared" si="689"/>
        <v>0</v>
      </c>
      <c r="AYN29">
        <f t="shared" si="690"/>
        <v>0</v>
      </c>
      <c r="AYO29">
        <f t="shared" si="691"/>
        <v>0</v>
      </c>
      <c r="AYP29">
        <f t="shared" si="692"/>
        <v>0</v>
      </c>
      <c r="AYQ29">
        <f t="shared" si="693"/>
        <v>0</v>
      </c>
      <c r="AYR29">
        <f t="shared" si="694"/>
        <v>0</v>
      </c>
      <c r="AYS29">
        <f t="shared" si="695"/>
        <v>0</v>
      </c>
      <c r="AYT29">
        <f t="shared" si="43"/>
        <v>0</v>
      </c>
      <c r="AYU29">
        <f t="shared" si="696"/>
        <v>0</v>
      </c>
      <c r="AYV29">
        <f t="shared" si="697"/>
        <v>0</v>
      </c>
      <c r="AYW29">
        <f t="shared" si="698"/>
        <v>0</v>
      </c>
      <c r="AYX29">
        <f t="shared" si="699"/>
        <v>0</v>
      </c>
      <c r="AYY29">
        <f t="shared" si="700"/>
        <v>0</v>
      </c>
      <c r="AYZ29">
        <f t="shared" si="701"/>
        <v>0</v>
      </c>
      <c r="AZA29">
        <f t="shared" si="702"/>
        <v>0</v>
      </c>
      <c r="AZB29">
        <f t="shared" si="703"/>
        <v>0</v>
      </c>
      <c r="AZC29">
        <f t="shared" si="704"/>
        <v>0</v>
      </c>
      <c r="AZD29">
        <f t="shared" si="705"/>
        <v>0</v>
      </c>
      <c r="AZE29">
        <f t="shared" si="706"/>
        <v>0</v>
      </c>
      <c r="AZF29">
        <f t="shared" si="707"/>
        <v>0</v>
      </c>
      <c r="AZG29">
        <f t="shared" si="708"/>
        <v>0</v>
      </c>
      <c r="AZH29">
        <f t="shared" si="709"/>
        <v>0</v>
      </c>
      <c r="AZI29">
        <f t="shared" si="710"/>
        <v>0</v>
      </c>
      <c r="AZJ29">
        <f t="shared" si="711"/>
        <v>0</v>
      </c>
      <c r="AZK29">
        <f t="shared" si="712"/>
        <v>0</v>
      </c>
      <c r="AZL29">
        <f t="shared" si="713"/>
        <v>0</v>
      </c>
      <c r="AZM29">
        <f t="shared" si="714"/>
        <v>0</v>
      </c>
      <c r="AZN29">
        <f t="shared" si="715"/>
        <v>0</v>
      </c>
      <c r="AZO29">
        <f t="shared" si="716"/>
        <v>0</v>
      </c>
      <c r="AZP29">
        <f t="shared" si="717"/>
        <v>0</v>
      </c>
      <c r="AZQ29">
        <f t="shared" si="718"/>
        <v>0</v>
      </c>
      <c r="AZR29">
        <f t="shared" si="719"/>
        <v>0</v>
      </c>
      <c r="AZS29">
        <f t="shared" si="720"/>
        <v>0</v>
      </c>
      <c r="AZT29">
        <f t="shared" si="721"/>
        <v>0</v>
      </c>
      <c r="AZU29">
        <f t="shared" si="722"/>
        <v>0</v>
      </c>
      <c r="AZV29">
        <f t="shared" si="723"/>
        <v>0</v>
      </c>
      <c r="AZW29">
        <f t="shared" si="724"/>
        <v>0</v>
      </c>
      <c r="AZX29">
        <f t="shared" si="725"/>
        <v>0</v>
      </c>
      <c r="AZY29">
        <f t="shared" si="726"/>
        <v>0</v>
      </c>
      <c r="AZZ29">
        <f t="shared" si="727"/>
        <v>0</v>
      </c>
      <c r="BAA29">
        <f t="shared" si="728"/>
        <v>0</v>
      </c>
      <c r="BAB29">
        <f t="shared" si="729"/>
        <v>0</v>
      </c>
      <c r="BAC29">
        <f t="shared" si="730"/>
        <v>0</v>
      </c>
      <c r="BAD29">
        <f t="shared" si="731"/>
        <v>0</v>
      </c>
      <c r="BAE29">
        <f t="shared" si="732"/>
        <v>0</v>
      </c>
      <c r="BAF29">
        <f t="shared" si="733"/>
        <v>0</v>
      </c>
      <c r="BAG29">
        <f t="shared" si="734"/>
        <v>0</v>
      </c>
      <c r="BAH29">
        <f t="shared" si="735"/>
        <v>0</v>
      </c>
      <c r="BAI29">
        <f t="shared" si="736"/>
        <v>0</v>
      </c>
      <c r="BAJ29">
        <f t="shared" si="737"/>
        <v>0</v>
      </c>
      <c r="BAK29">
        <f t="shared" si="738"/>
        <v>0</v>
      </c>
      <c r="BAL29">
        <f t="shared" si="739"/>
        <v>0</v>
      </c>
      <c r="BAM29">
        <f t="shared" si="740"/>
        <v>0</v>
      </c>
      <c r="BAN29">
        <f t="shared" si="741"/>
        <v>0</v>
      </c>
      <c r="BAO29">
        <f t="shared" si="742"/>
        <v>0</v>
      </c>
      <c r="BAP29">
        <f t="shared" si="743"/>
        <v>0</v>
      </c>
      <c r="BAQ29">
        <f t="shared" si="744"/>
        <v>0</v>
      </c>
      <c r="BAR29">
        <f t="shared" si="745"/>
        <v>0</v>
      </c>
      <c r="BAS29">
        <f t="shared" si="746"/>
        <v>0</v>
      </c>
      <c r="BAT29">
        <f t="shared" si="747"/>
        <v>0</v>
      </c>
      <c r="BAU29">
        <f t="shared" si="748"/>
        <v>0</v>
      </c>
      <c r="BAV29">
        <f t="shared" si="749"/>
        <v>0</v>
      </c>
      <c r="BAW29">
        <f t="shared" si="750"/>
        <v>0</v>
      </c>
      <c r="BAX29">
        <f t="shared" si="751"/>
        <v>0</v>
      </c>
      <c r="BAY29">
        <f t="shared" si="752"/>
        <v>0</v>
      </c>
      <c r="BAZ29">
        <f t="shared" si="753"/>
        <v>0</v>
      </c>
      <c r="BBA29">
        <f t="shared" si="754"/>
        <v>0</v>
      </c>
      <c r="BBB29">
        <f t="shared" si="755"/>
        <v>0</v>
      </c>
      <c r="BBC29">
        <f t="shared" si="756"/>
        <v>0</v>
      </c>
      <c r="BBD29">
        <f t="shared" si="757"/>
        <v>0</v>
      </c>
      <c r="BBE29">
        <f t="shared" si="758"/>
        <v>0</v>
      </c>
      <c r="BBF29">
        <f t="shared" si="44"/>
        <v>0</v>
      </c>
      <c r="BBG29">
        <f t="shared" si="759"/>
        <v>0</v>
      </c>
      <c r="BBH29">
        <f t="shared" si="760"/>
        <v>0</v>
      </c>
      <c r="BBI29">
        <f t="shared" si="761"/>
        <v>0</v>
      </c>
      <c r="BBJ29">
        <f t="shared" si="762"/>
        <v>0</v>
      </c>
      <c r="BBK29">
        <f t="shared" si="763"/>
        <v>0</v>
      </c>
      <c r="BBL29">
        <f t="shared" si="764"/>
        <v>0</v>
      </c>
      <c r="BBM29">
        <f t="shared" si="765"/>
        <v>0</v>
      </c>
      <c r="BBN29">
        <f t="shared" si="766"/>
        <v>0</v>
      </c>
      <c r="BBO29">
        <f t="shared" si="767"/>
        <v>0</v>
      </c>
      <c r="BBP29">
        <f t="shared" si="768"/>
        <v>0</v>
      </c>
      <c r="BBQ29">
        <f t="shared" si="769"/>
        <v>0</v>
      </c>
      <c r="BBR29">
        <f t="shared" si="770"/>
        <v>0</v>
      </c>
      <c r="BBS29">
        <f t="shared" si="771"/>
        <v>0</v>
      </c>
      <c r="BBT29">
        <f t="shared" si="772"/>
        <v>0</v>
      </c>
      <c r="BBU29">
        <f t="shared" si="773"/>
        <v>0</v>
      </c>
      <c r="BBV29">
        <f t="shared" si="774"/>
        <v>0</v>
      </c>
      <c r="BBW29">
        <f t="shared" si="775"/>
        <v>0</v>
      </c>
      <c r="BBX29">
        <f t="shared" si="776"/>
        <v>0</v>
      </c>
      <c r="BBY29">
        <f t="shared" si="777"/>
        <v>0</v>
      </c>
      <c r="BBZ29">
        <f t="shared" si="778"/>
        <v>0</v>
      </c>
      <c r="BCA29">
        <f t="shared" si="779"/>
        <v>0</v>
      </c>
      <c r="BCB29">
        <f t="shared" si="780"/>
        <v>0</v>
      </c>
      <c r="BCC29">
        <f t="shared" si="781"/>
        <v>0</v>
      </c>
      <c r="BCD29">
        <f t="shared" si="782"/>
        <v>0</v>
      </c>
      <c r="BCE29">
        <f t="shared" si="783"/>
        <v>0</v>
      </c>
      <c r="BCF29">
        <f t="shared" si="784"/>
        <v>0</v>
      </c>
      <c r="BCG29">
        <f t="shared" si="785"/>
        <v>0</v>
      </c>
      <c r="BCH29">
        <f t="shared" si="786"/>
        <v>0</v>
      </c>
      <c r="BCI29">
        <f t="shared" si="787"/>
        <v>0</v>
      </c>
      <c r="BCJ29">
        <f t="shared" si="788"/>
        <v>0</v>
      </c>
      <c r="BCK29">
        <f t="shared" si="789"/>
        <v>0</v>
      </c>
      <c r="BCL29">
        <f t="shared" si="790"/>
        <v>0</v>
      </c>
      <c r="BCM29">
        <f t="shared" si="791"/>
        <v>0</v>
      </c>
      <c r="BCN29">
        <f t="shared" si="792"/>
        <v>0</v>
      </c>
      <c r="BCO29">
        <f t="shared" si="793"/>
        <v>0</v>
      </c>
      <c r="BCP29">
        <f t="shared" si="794"/>
        <v>0</v>
      </c>
      <c r="BCQ29">
        <f t="shared" si="795"/>
        <v>0</v>
      </c>
      <c r="BCR29">
        <f t="shared" si="796"/>
        <v>0</v>
      </c>
      <c r="BCS29">
        <f t="shared" si="797"/>
        <v>0</v>
      </c>
      <c r="BCT29">
        <f t="shared" si="798"/>
        <v>0</v>
      </c>
      <c r="BCU29">
        <f t="shared" si="799"/>
        <v>0</v>
      </c>
      <c r="BCV29">
        <f t="shared" si="800"/>
        <v>0</v>
      </c>
      <c r="BCW29">
        <f t="shared" si="801"/>
        <v>0</v>
      </c>
      <c r="BCX29">
        <f t="shared" si="802"/>
        <v>0</v>
      </c>
      <c r="BCY29">
        <f t="shared" si="803"/>
        <v>0</v>
      </c>
      <c r="BCZ29">
        <f t="shared" si="804"/>
        <v>0</v>
      </c>
      <c r="BDA29">
        <f t="shared" si="805"/>
        <v>0</v>
      </c>
      <c r="BDB29">
        <f t="shared" si="806"/>
        <v>0</v>
      </c>
      <c r="BDC29">
        <f t="shared" si="807"/>
        <v>0</v>
      </c>
      <c r="BDD29">
        <f t="shared" si="808"/>
        <v>0</v>
      </c>
      <c r="BDE29">
        <f t="shared" si="809"/>
        <v>0</v>
      </c>
      <c r="BDF29">
        <f t="shared" si="810"/>
        <v>0</v>
      </c>
      <c r="BDG29">
        <f t="shared" si="811"/>
        <v>0</v>
      </c>
      <c r="BDH29">
        <f t="shared" si="812"/>
        <v>0</v>
      </c>
      <c r="BDI29">
        <f t="shared" si="813"/>
        <v>0</v>
      </c>
      <c r="BDJ29">
        <f t="shared" si="814"/>
        <v>0</v>
      </c>
      <c r="BDK29">
        <f t="shared" si="815"/>
        <v>0</v>
      </c>
      <c r="BDL29">
        <f t="shared" si="816"/>
        <v>0</v>
      </c>
      <c r="BDM29">
        <f t="shared" si="817"/>
        <v>0</v>
      </c>
      <c r="BDN29">
        <f t="shared" si="818"/>
        <v>0</v>
      </c>
      <c r="BDO29">
        <f t="shared" si="819"/>
        <v>0</v>
      </c>
      <c r="BDP29">
        <f t="shared" si="820"/>
        <v>0</v>
      </c>
      <c r="BDQ29">
        <f t="shared" si="821"/>
        <v>0</v>
      </c>
      <c r="BDR29">
        <f t="shared" si="45"/>
        <v>0</v>
      </c>
      <c r="BDS29">
        <f t="shared" si="822"/>
        <v>0</v>
      </c>
      <c r="BDT29">
        <f t="shared" si="823"/>
        <v>0</v>
      </c>
      <c r="BDU29">
        <f t="shared" si="824"/>
        <v>0</v>
      </c>
      <c r="BDV29">
        <f t="shared" si="825"/>
        <v>0</v>
      </c>
      <c r="BDW29">
        <f t="shared" si="826"/>
        <v>0</v>
      </c>
      <c r="BDX29">
        <f t="shared" si="827"/>
        <v>0</v>
      </c>
      <c r="BDY29">
        <f t="shared" si="828"/>
        <v>0</v>
      </c>
      <c r="BDZ29">
        <f t="shared" si="829"/>
        <v>0</v>
      </c>
      <c r="BEA29">
        <f t="shared" si="830"/>
        <v>0</v>
      </c>
      <c r="BEB29">
        <f t="shared" si="831"/>
        <v>0</v>
      </c>
      <c r="BEC29">
        <f t="shared" si="832"/>
        <v>0</v>
      </c>
      <c r="BED29">
        <f t="shared" si="833"/>
        <v>0</v>
      </c>
      <c r="BEE29">
        <f t="shared" si="834"/>
        <v>0</v>
      </c>
      <c r="BEF29">
        <f t="shared" si="835"/>
        <v>0</v>
      </c>
      <c r="BEG29">
        <f t="shared" si="836"/>
        <v>0</v>
      </c>
      <c r="BEH29">
        <f t="shared" si="837"/>
        <v>0</v>
      </c>
      <c r="BEI29">
        <f t="shared" si="838"/>
        <v>0</v>
      </c>
      <c r="BEJ29">
        <f t="shared" si="839"/>
        <v>0</v>
      </c>
      <c r="BEK29">
        <f t="shared" si="840"/>
        <v>0</v>
      </c>
      <c r="BEL29">
        <f t="shared" si="841"/>
        <v>0</v>
      </c>
      <c r="BEM29">
        <f t="shared" si="842"/>
        <v>0</v>
      </c>
      <c r="BEN29">
        <f t="shared" si="843"/>
        <v>0</v>
      </c>
      <c r="BEO29">
        <f t="shared" si="844"/>
        <v>0</v>
      </c>
      <c r="BEP29">
        <f t="shared" si="845"/>
        <v>0</v>
      </c>
      <c r="BEQ29">
        <f t="shared" si="846"/>
        <v>0</v>
      </c>
      <c r="BER29">
        <f t="shared" si="847"/>
        <v>0</v>
      </c>
      <c r="BES29">
        <f t="shared" si="848"/>
        <v>0</v>
      </c>
      <c r="BET29">
        <f t="shared" si="849"/>
        <v>0</v>
      </c>
      <c r="BEU29">
        <f t="shared" si="850"/>
        <v>0</v>
      </c>
      <c r="BEV29">
        <f t="shared" si="851"/>
        <v>0</v>
      </c>
      <c r="BEW29">
        <f t="shared" si="852"/>
        <v>0</v>
      </c>
      <c r="BEX29">
        <f t="shared" si="853"/>
        <v>0</v>
      </c>
      <c r="BEY29">
        <f t="shared" si="854"/>
        <v>0</v>
      </c>
      <c r="BEZ29">
        <f t="shared" si="855"/>
        <v>0</v>
      </c>
      <c r="BFA29">
        <f t="shared" si="856"/>
        <v>0</v>
      </c>
      <c r="BFB29">
        <f t="shared" si="857"/>
        <v>0</v>
      </c>
      <c r="BFC29">
        <f t="shared" si="858"/>
        <v>0</v>
      </c>
      <c r="BFD29">
        <f t="shared" si="859"/>
        <v>0</v>
      </c>
      <c r="BFE29">
        <f t="shared" si="860"/>
        <v>0</v>
      </c>
      <c r="BFF29">
        <f t="shared" si="861"/>
        <v>0</v>
      </c>
      <c r="BFG29">
        <f t="shared" si="862"/>
        <v>0</v>
      </c>
      <c r="BFH29">
        <f t="shared" si="863"/>
        <v>0</v>
      </c>
      <c r="BFI29">
        <f t="shared" si="864"/>
        <v>0</v>
      </c>
      <c r="BFJ29">
        <f t="shared" si="865"/>
        <v>0</v>
      </c>
      <c r="BFK29">
        <f t="shared" si="866"/>
        <v>0</v>
      </c>
      <c r="BFL29">
        <f t="shared" si="867"/>
        <v>0</v>
      </c>
      <c r="BFM29">
        <f t="shared" si="868"/>
        <v>0</v>
      </c>
      <c r="BFN29">
        <f t="shared" si="869"/>
        <v>0</v>
      </c>
      <c r="BFO29">
        <f t="shared" si="870"/>
        <v>0</v>
      </c>
      <c r="BFP29">
        <f t="shared" si="871"/>
        <v>0</v>
      </c>
      <c r="BFQ29">
        <f t="shared" si="872"/>
        <v>0</v>
      </c>
      <c r="BFR29">
        <f t="shared" si="873"/>
        <v>0</v>
      </c>
      <c r="BFS29">
        <f t="shared" si="874"/>
        <v>0</v>
      </c>
      <c r="BFT29">
        <f t="shared" si="875"/>
        <v>0</v>
      </c>
      <c r="BFU29">
        <f t="shared" si="876"/>
        <v>0</v>
      </c>
      <c r="BFV29">
        <f t="shared" si="877"/>
        <v>0</v>
      </c>
      <c r="BFW29">
        <f t="shared" si="878"/>
        <v>0</v>
      </c>
      <c r="BFX29">
        <f t="shared" si="879"/>
        <v>0</v>
      </c>
      <c r="BFY29">
        <f t="shared" si="880"/>
        <v>0</v>
      </c>
      <c r="BFZ29">
        <f t="shared" si="881"/>
        <v>0</v>
      </c>
      <c r="BGA29">
        <f t="shared" si="882"/>
        <v>0</v>
      </c>
      <c r="BGB29">
        <f t="shared" si="883"/>
        <v>0</v>
      </c>
      <c r="BGC29">
        <f t="shared" si="884"/>
        <v>0</v>
      </c>
      <c r="BGD29">
        <f t="shared" si="46"/>
        <v>0</v>
      </c>
      <c r="BGE29">
        <f t="shared" si="885"/>
        <v>0</v>
      </c>
      <c r="BGF29">
        <f t="shared" si="886"/>
        <v>0</v>
      </c>
      <c r="BGG29">
        <f t="shared" si="887"/>
        <v>0</v>
      </c>
      <c r="BGH29">
        <f t="shared" si="888"/>
        <v>0</v>
      </c>
      <c r="BGI29">
        <f t="shared" si="889"/>
        <v>0</v>
      </c>
      <c r="BGJ29">
        <f t="shared" si="890"/>
        <v>0</v>
      </c>
      <c r="BGK29">
        <f t="shared" si="891"/>
        <v>0</v>
      </c>
      <c r="BGL29">
        <f t="shared" si="892"/>
        <v>0</v>
      </c>
      <c r="BGM29">
        <f t="shared" si="893"/>
        <v>0</v>
      </c>
      <c r="BGN29">
        <f t="shared" si="894"/>
        <v>0</v>
      </c>
      <c r="BGO29">
        <f t="shared" si="895"/>
        <v>0</v>
      </c>
      <c r="BGP29">
        <f t="shared" si="896"/>
        <v>0</v>
      </c>
      <c r="BGQ29">
        <f t="shared" si="897"/>
        <v>0</v>
      </c>
      <c r="BGR29">
        <f t="shared" si="898"/>
        <v>0</v>
      </c>
      <c r="BGS29">
        <f t="shared" si="899"/>
        <v>0</v>
      </c>
      <c r="BGT29">
        <f t="shared" si="900"/>
        <v>0</v>
      </c>
      <c r="BGU29">
        <f t="shared" si="901"/>
        <v>0</v>
      </c>
      <c r="BGV29">
        <f t="shared" si="902"/>
        <v>0</v>
      </c>
      <c r="BGW29">
        <f t="shared" si="903"/>
        <v>0</v>
      </c>
      <c r="BGX29">
        <f t="shared" si="904"/>
        <v>0</v>
      </c>
      <c r="BGY29">
        <f t="shared" si="905"/>
        <v>0</v>
      </c>
      <c r="BGZ29">
        <f t="shared" si="906"/>
        <v>0</v>
      </c>
      <c r="BHA29">
        <f t="shared" si="907"/>
        <v>0</v>
      </c>
      <c r="BHB29">
        <f t="shared" si="908"/>
        <v>0</v>
      </c>
      <c r="BHC29">
        <f t="shared" si="909"/>
        <v>0</v>
      </c>
      <c r="BHD29">
        <f t="shared" si="910"/>
        <v>0</v>
      </c>
      <c r="BHE29">
        <f t="shared" si="911"/>
        <v>0</v>
      </c>
      <c r="BHF29">
        <f t="shared" si="912"/>
        <v>0</v>
      </c>
      <c r="BHG29">
        <f t="shared" si="913"/>
        <v>0</v>
      </c>
      <c r="BHH29">
        <f t="shared" si="914"/>
        <v>0</v>
      </c>
      <c r="BHI29">
        <f t="shared" si="915"/>
        <v>0</v>
      </c>
      <c r="BHJ29">
        <f t="shared" si="916"/>
        <v>0</v>
      </c>
      <c r="BHK29">
        <f t="shared" si="917"/>
        <v>0</v>
      </c>
      <c r="BHL29">
        <f t="shared" si="918"/>
        <v>0</v>
      </c>
      <c r="BHM29">
        <f t="shared" si="919"/>
        <v>0</v>
      </c>
      <c r="BHN29">
        <f t="shared" si="920"/>
        <v>0</v>
      </c>
      <c r="BHO29">
        <f t="shared" si="921"/>
        <v>0</v>
      </c>
      <c r="BHP29">
        <f t="shared" si="922"/>
        <v>0</v>
      </c>
      <c r="BHQ29">
        <f t="shared" si="923"/>
        <v>0</v>
      </c>
      <c r="BHR29">
        <f t="shared" si="924"/>
        <v>0</v>
      </c>
      <c r="BHS29">
        <f t="shared" si="925"/>
        <v>0</v>
      </c>
      <c r="BHT29">
        <f t="shared" si="926"/>
        <v>0</v>
      </c>
      <c r="BHU29">
        <f t="shared" si="927"/>
        <v>0</v>
      </c>
      <c r="BHV29">
        <f t="shared" si="928"/>
        <v>0</v>
      </c>
      <c r="BHW29">
        <f t="shared" si="929"/>
        <v>0</v>
      </c>
      <c r="BHX29">
        <f t="shared" si="930"/>
        <v>0</v>
      </c>
      <c r="BHY29">
        <f t="shared" si="931"/>
        <v>0</v>
      </c>
      <c r="BHZ29">
        <f t="shared" si="932"/>
        <v>0</v>
      </c>
      <c r="BIA29">
        <f t="shared" si="933"/>
        <v>0</v>
      </c>
      <c r="BIB29">
        <f t="shared" si="934"/>
        <v>0</v>
      </c>
      <c r="BIC29">
        <f t="shared" si="935"/>
        <v>0</v>
      </c>
      <c r="BID29">
        <f t="shared" si="936"/>
        <v>0</v>
      </c>
      <c r="BIE29">
        <f t="shared" si="937"/>
        <v>0</v>
      </c>
      <c r="BIF29">
        <f t="shared" si="938"/>
        <v>0</v>
      </c>
      <c r="BIG29">
        <f t="shared" si="939"/>
        <v>0</v>
      </c>
      <c r="BIH29">
        <f t="shared" si="940"/>
        <v>0</v>
      </c>
      <c r="BII29">
        <f t="shared" si="941"/>
        <v>0</v>
      </c>
      <c r="BIJ29">
        <f t="shared" si="942"/>
        <v>0</v>
      </c>
      <c r="BIK29">
        <f t="shared" si="943"/>
        <v>0</v>
      </c>
      <c r="BIL29">
        <f t="shared" si="944"/>
        <v>0</v>
      </c>
      <c r="BIM29">
        <f t="shared" si="945"/>
        <v>0</v>
      </c>
      <c r="BIN29">
        <f t="shared" si="946"/>
        <v>0</v>
      </c>
      <c r="BIO29">
        <f t="shared" si="947"/>
        <v>0</v>
      </c>
      <c r="BIP29">
        <f t="shared" si="47"/>
        <v>0</v>
      </c>
      <c r="BIQ29">
        <f t="shared" si="948"/>
        <v>0</v>
      </c>
      <c r="BIR29">
        <f t="shared" si="949"/>
        <v>0</v>
      </c>
      <c r="BIS29">
        <f t="shared" si="950"/>
        <v>0</v>
      </c>
      <c r="BIT29">
        <f t="shared" si="951"/>
        <v>0</v>
      </c>
      <c r="BIU29">
        <f t="shared" si="952"/>
        <v>0</v>
      </c>
      <c r="BIV29">
        <f t="shared" si="953"/>
        <v>0</v>
      </c>
      <c r="BIW29">
        <f t="shared" si="954"/>
        <v>0</v>
      </c>
      <c r="BIX29">
        <f t="shared" si="955"/>
        <v>0</v>
      </c>
      <c r="BIY29">
        <f t="shared" si="956"/>
        <v>0</v>
      </c>
      <c r="BIZ29">
        <f t="shared" si="957"/>
        <v>0</v>
      </c>
      <c r="BJA29">
        <f t="shared" si="958"/>
        <v>0</v>
      </c>
      <c r="BJB29">
        <f t="shared" si="959"/>
        <v>0</v>
      </c>
      <c r="BJC29">
        <f t="shared" si="960"/>
        <v>0</v>
      </c>
      <c r="BJD29">
        <f t="shared" si="961"/>
        <v>0</v>
      </c>
      <c r="BJE29">
        <f t="shared" si="962"/>
        <v>0</v>
      </c>
      <c r="BJF29">
        <f t="shared" si="963"/>
        <v>0</v>
      </c>
      <c r="BJG29">
        <f t="shared" si="964"/>
        <v>0</v>
      </c>
      <c r="BJH29">
        <f t="shared" si="965"/>
        <v>0</v>
      </c>
      <c r="BJI29">
        <f t="shared" si="966"/>
        <v>0</v>
      </c>
      <c r="BJJ29">
        <f t="shared" si="967"/>
        <v>0</v>
      </c>
      <c r="BJK29">
        <f t="shared" si="968"/>
        <v>0</v>
      </c>
      <c r="BJL29">
        <f t="shared" si="969"/>
        <v>0</v>
      </c>
      <c r="BJM29">
        <f t="shared" si="970"/>
        <v>0</v>
      </c>
      <c r="BJN29">
        <f t="shared" si="971"/>
        <v>0</v>
      </c>
      <c r="BJO29">
        <f t="shared" si="972"/>
        <v>0</v>
      </c>
      <c r="BJP29">
        <f t="shared" si="973"/>
        <v>0</v>
      </c>
      <c r="BJQ29">
        <f t="shared" si="974"/>
        <v>0</v>
      </c>
      <c r="BJR29">
        <f t="shared" si="975"/>
        <v>0</v>
      </c>
      <c r="BJS29">
        <f t="shared" si="976"/>
        <v>0</v>
      </c>
      <c r="BJT29">
        <f t="shared" si="977"/>
        <v>0</v>
      </c>
      <c r="BJU29">
        <f t="shared" si="978"/>
        <v>0</v>
      </c>
      <c r="BJV29">
        <f t="shared" si="979"/>
        <v>0</v>
      </c>
      <c r="BJW29">
        <f t="shared" si="980"/>
        <v>0</v>
      </c>
      <c r="BJX29">
        <f t="shared" si="981"/>
        <v>0</v>
      </c>
      <c r="BJY29">
        <f t="shared" si="982"/>
        <v>0</v>
      </c>
      <c r="BJZ29">
        <f t="shared" si="983"/>
        <v>0</v>
      </c>
      <c r="BKA29">
        <f t="shared" si="984"/>
        <v>0</v>
      </c>
      <c r="BKB29">
        <f t="shared" si="985"/>
        <v>0</v>
      </c>
      <c r="BKC29">
        <f t="shared" si="986"/>
        <v>0</v>
      </c>
      <c r="BKD29">
        <f t="shared" si="987"/>
        <v>0</v>
      </c>
      <c r="BKE29">
        <f t="shared" si="988"/>
        <v>0</v>
      </c>
      <c r="BKF29">
        <f t="shared" si="989"/>
        <v>0</v>
      </c>
      <c r="BKG29">
        <f t="shared" si="990"/>
        <v>0</v>
      </c>
      <c r="BKH29">
        <f t="shared" si="991"/>
        <v>0</v>
      </c>
      <c r="BKI29">
        <f t="shared" si="992"/>
        <v>0</v>
      </c>
      <c r="BKJ29">
        <f t="shared" si="993"/>
        <v>0</v>
      </c>
      <c r="BKK29">
        <f t="shared" si="994"/>
        <v>0</v>
      </c>
      <c r="BKL29">
        <f t="shared" si="995"/>
        <v>0</v>
      </c>
      <c r="BKM29">
        <f t="shared" si="996"/>
        <v>0</v>
      </c>
      <c r="BKN29">
        <f t="shared" si="997"/>
        <v>0</v>
      </c>
      <c r="BKO29">
        <f t="shared" si="998"/>
        <v>0</v>
      </c>
      <c r="BKP29">
        <f t="shared" si="999"/>
        <v>0</v>
      </c>
      <c r="BKQ29">
        <f t="shared" si="1000"/>
        <v>0</v>
      </c>
      <c r="BKR29">
        <f t="shared" si="1001"/>
        <v>0</v>
      </c>
      <c r="BKS29">
        <f t="shared" si="1002"/>
        <v>0</v>
      </c>
      <c r="BKT29">
        <f t="shared" si="1003"/>
        <v>0</v>
      </c>
      <c r="BKU29">
        <f t="shared" si="1004"/>
        <v>0</v>
      </c>
      <c r="BKV29">
        <f t="shared" si="1005"/>
        <v>0</v>
      </c>
      <c r="BKW29">
        <f t="shared" si="1006"/>
        <v>0</v>
      </c>
      <c r="BKX29">
        <f t="shared" si="1007"/>
        <v>0</v>
      </c>
      <c r="BKY29">
        <f t="shared" si="1008"/>
        <v>0</v>
      </c>
      <c r="BKZ29">
        <f t="shared" si="1009"/>
        <v>0</v>
      </c>
      <c r="BLA29">
        <f t="shared" si="1010"/>
        <v>0</v>
      </c>
      <c r="BLB29">
        <f t="shared" si="48"/>
        <v>0</v>
      </c>
      <c r="BLC29">
        <f t="shared" si="1011"/>
        <v>0</v>
      </c>
      <c r="BLD29">
        <f t="shared" si="1012"/>
        <v>0</v>
      </c>
      <c r="BLE29">
        <f t="shared" si="1013"/>
        <v>0</v>
      </c>
      <c r="BLF29">
        <f t="shared" si="1014"/>
        <v>0</v>
      </c>
      <c r="BLG29">
        <f t="shared" si="1015"/>
        <v>0</v>
      </c>
      <c r="BLH29">
        <f t="shared" si="1016"/>
        <v>0</v>
      </c>
      <c r="BLI29">
        <f t="shared" si="1017"/>
        <v>0</v>
      </c>
      <c r="BLJ29">
        <f t="shared" si="1018"/>
        <v>0</v>
      </c>
      <c r="BLK29">
        <f t="shared" si="1019"/>
        <v>0</v>
      </c>
      <c r="BLL29">
        <f t="shared" si="1020"/>
        <v>0</v>
      </c>
      <c r="BLM29">
        <f t="shared" si="1021"/>
        <v>0</v>
      </c>
      <c r="BLN29">
        <f t="shared" si="1022"/>
        <v>0</v>
      </c>
      <c r="BLO29">
        <f t="shared" si="1023"/>
        <v>0</v>
      </c>
      <c r="BLP29">
        <f t="shared" si="1024"/>
        <v>0</v>
      </c>
      <c r="BLQ29">
        <f t="shared" si="1025"/>
        <v>0</v>
      </c>
      <c r="BLR29">
        <f t="shared" si="1026"/>
        <v>0</v>
      </c>
      <c r="BLS29">
        <f t="shared" si="1027"/>
        <v>0</v>
      </c>
      <c r="BLT29">
        <f t="shared" si="1028"/>
        <v>0</v>
      </c>
      <c r="BLU29">
        <f t="shared" si="1029"/>
        <v>0</v>
      </c>
      <c r="BLV29">
        <f t="shared" si="1030"/>
        <v>0</v>
      </c>
      <c r="BLW29">
        <f t="shared" si="1031"/>
        <v>0</v>
      </c>
      <c r="BLX29">
        <f t="shared" si="1032"/>
        <v>0</v>
      </c>
      <c r="BLY29">
        <f t="shared" si="1033"/>
        <v>0</v>
      </c>
      <c r="BLZ29">
        <f t="shared" si="1034"/>
        <v>0</v>
      </c>
      <c r="BMA29">
        <f t="shared" si="1035"/>
        <v>0</v>
      </c>
      <c r="BMB29">
        <f t="shared" si="1036"/>
        <v>0</v>
      </c>
      <c r="BMC29">
        <f t="shared" si="1037"/>
        <v>0</v>
      </c>
      <c r="BMD29">
        <f t="shared" si="1038"/>
        <v>0</v>
      </c>
      <c r="BME29">
        <f t="shared" si="1039"/>
        <v>0</v>
      </c>
      <c r="BMF29">
        <f t="shared" si="1040"/>
        <v>0</v>
      </c>
      <c r="BMG29">
        <f t="shared" si="1041"/>
        <v>0</v>
      </c>
      <c r="BMH29">
        <f t="shared" si="1042"/>
        <v>0</v>
      </c>
      <c r="BMI29">
        <f t="shared" si="1043"/>
        <v>0</v>
      </c>
      <c r="BMJ29">
        <f t="shared" si="1044"/>
        <v>0</v>
      </c>
      <c r="BMK29">
        <f t="shared" si="1045"/>
        <v>0</v>
      </c>
      <c r="BML29">
        <f t="shared" si="1046"/>
        <v>0</v>
      </c>
      <c r="BMM29">
        <f t="shared" si="1047"/>
        <v>0</v>
      </c>
      <c r="BMN29">
        <f t="shared" si="1048"/>
        <v>0</v>
      </c>
      <c r="BMO29">
        <f t="shared" si="1049"/>
        <v>0</v>
      </c>
      <c r="BMP29">
        <f t="shared" si="1050"/>
        <v>0</v>
      </c>
      <c r="BMQ29">
        <f t="shared" si="1051"/>
        <v>0</v>
      </c>
      <c r="BMR29">
        <f t="shared" si="1052"/>
        <v>0</v>
      </c>
      <c r="BMS29">
        <f t="shared" si="1053"/>
        <v>0</v>
      </c>
      <c r="BMT29">
        <f t="shared" si="1054"/>
        <v>0</v>
      </c>
      <c r="BMU29">
        <f t="shared" si="1055"/>
        <v>0</v>
      </c>
      <c r="BMV29">
        <f t="shared" si="1056"/>
        <v>0</v>
      </c>
      <c r="BMW29">
        <f t="shared" si="1057"/>
        <v>0</v>
      </c>
      <c r="BMX29">
        <f t="shared" si="1058"/>
        <v>0</v>
      </c>
      <c r="BMY29">
        <f t="shared" si="1059"/>
        <v>0</v>
      </c>
      <c r="BMZ29">
        <f t="shared" si="1060"/>
        <v>0</v>
      </c>
      <c r="BNA29">
        <f t="shared" si="1061"/>
        <v>0</v>
      </c>
      <c r="BNB29">
        <f t="shared" si="1062"/>
        <v>0</v>
      </c>
      <c r="BNC29">
        <f t="shared" si="1063"/>
        <v>0</v>
      </c>
      <c r="BND29">
        <f t="shared" si="1064"/>
        <v>0</v>
      </c>
      <c r="BNE29">
        <f t="shared" si="1065"/>
        <v>0</v>
      </c>
      <c r="BNF29">
        <f t="shared" si="1066"/>
        <v>0</v>
      </c>
      <c r="BNG29">
        <f t="shared" si="1067"/>
        <v>0</v>
      </c>
      <c r="BNH29">
        <f t="shared" si="1068"/>
        <v>0</v>
      </c>
      <c r="BNI29">
        <f t="shared" si="1069"/>
        <v>0</v>
      </c>
      <c r="BNJ29">
        <f t="shared" si="1070"/>
        <v>0</v>
      </c>
      <c r="BNK29">
        <f t="shared" si="1071"/>
        <v>0</v>
      </c>
      <c r="BNL29">
        <f t="shared" si="1072"/>
        <v>0</v>
      </c>
      <c r="BNM29">
        <f t="shared" si="1073"/>
        <v>0</v>
      </c>
      <c r="BNN29">
        <f t="shared" si="49"/>
        <v>0</v>
      </c>
      <c r="BNO29">
        <f t="shared" si="1074"/>
        <v>0</v>
      </c>
      <c r="BNP29">
        <f t="shared" si="1075"/>
        <v>0</v>
      </c>
      <c r="BNQ29">
        <f t="shared" si="1076"/>
        <v>0</v>
      </c>
      <c r="BNR29">
        <f t="shared" si="1077"/>
        <v>0</v>
      </c>
      <c r="BNS29">
        <f t="shared" si="1078"/>
        <v>0</v>
      </c>
      <c r="BNT29">
        <f t="shared" si="1079"/>
        <v>0</v>
      </c>
      <c r="BNU29">
        <f t="shared" si="1080"/>
        <v>0</v>
      </c>
      <c r="BNV29">
        <f t="shared" si="1081"/>
        <v>0</v>
      </c>
      <c r="BNW29">
        <f t="shared" si="1082"/>
        <v>0</v>
      </c>
      <c r="BNX29">
        <f t="shared" si="1083"/>
        <v>0</v>
      </c>
      <c r="BNY29">
        <f t="shared" si="1084"/>
        <v>0</v>
      </c>
      <c r="BNZ29">
        <f t="shared" si="1085"/>
        <v>0</v>
      </c>
      <c r="BOA29">
        <f t="shared" si="1086"/>
        <v>0</v>
      </c>
      <c r="BOB29">
        <f t="shared" si="1087"/>
        <v>0</v>
      </c>
      <c r="BOC29">
        <f t="shared" si="1088"/>
        <v>0</v>
      </c>
      <c r="BOD29">
        <f t="shared" si="1089"/>
        <v>0</v>
      </c>
      <c r="BOE29">
        <f t="shared" si="1090"/>
        <v>0</v>
      </c>
      <c r="BOF29">
        <f t="shared" si="1091"/>
        <v>0</v>
      </c>
      <c r="BOG29">
        <f t="shared" si="1092"/>
        <v>0</v>
      </c>
      <c r="BOH29">
        <f t="shared" si="1093"/>
        <v>0</v>
      </c>
      <c r="BOI29">
        <f t="shared" si="1094"/>
        <v>0</v>
      </c>
      <c r="BOJ29">
        <f t="shared" si="1095"/>
        <v>0</v>
      </c>
      <c r="BOK29">
        <f t="shared" si="1096"/>
        <v>0</v>
      </c>
      <c r="BOL29">
        <f t="shared" si="1097"/>
        <v>0</v>
      </c>
      <c r="BOM29">
        <f t="shared" si="1098"/>
        <v>0</v>
      </c>
      <c r="BON29">
        <f t="shared" si="1099"/>
        <v>0</v>
      </c>
      <c r="BOO29">
        <f t="shared" si="1100"/>
        <v>0</v>
      </c>
      <c r="BOP29">
        <f t="shared" si="1101"/>
        <v>0</v>
      </c>
      <c r="BOQ29">
        <f t="shared" si="1102"/>
        <v>0</v>
      </c>
      <c r="BOR29">
        <f t="shared" si="1103"/>
        <v>0</v>
      </c>
      <c r="BOS29">
        <f t="shared" si="1104"/>
        <v>0</v>
      </c>
      <c r="BOT29">
        <f t="shared" si="1105"/>
        <v>0</v>
      </c>
      <c r="BOU29">
        <f t="shared" si="1106"/>
        <v>0</v>
      </c>
      <c r="BOV29">
        <f t="shared" si="1107"/>
        <v>0</v>
      </c>
      <c r="BOW29">
        <f t="shared" si="1108"/>
        <v>0</v>
      </c>
      <c r="BOX29">
        <f t="shared" si="1109"/>
        <v>0</v>
      </c>
      <c r="BOY29">
        <f t="shared" si="1110"/>
        <v>0</v>
      </c>
      <c r="BOZ29">
        <f t="shared" si="1111"/>
        <v>0</v>
      </c>
      <c r="BPA29">
        <f t="shared" si="1112"/>
        <v>0</v>
      </c>
      <c r="BPB29">
        <f t="shared" si="1113"/>
        <v>0</v>
      </c>
      <c r="BPC29">
        <f t="shared" si="1114"/>
        <v>0</v>
      </c>
      <c r="BPD29">
        <f t="shared" si="1115"/>
        <v>0</v>
      </c>
      <c r="BPE29">
        <f t="shared" si="1116"/>
        <v>0</v>
      </c>
      <c r="BPF29">
        <f t="shared" si="1117"/>
        <v>0</v>
      </c>
      <c r="BPG29">
        <f t="shared" si="1118"/>
        <v>0</v>
      </c>
      <c r="BPH29">
        <f t="shared" si="1119"/>
        <v>0</v>
      </c>
      <c r="BPI29">
        <f t="shared" si="1120"/>
        <v>0</v>
      </c>
      <c r="BPJ29">
        <f t="shared" si="1121"/>
        <v>0</v>
      </c>
      <c r="BPK29">
        <f t="shared" si="1122"/>
        <v>0</v>
      </c>
      <c r="BPL29">
        <f t="shared" si="1123"/>
        <v>0</v>
      </c>
      <c r="BPM29">
        <f t="shared" si="1124"/>
        <v>0</v>
      </c>
      <c r="BPN29">
        <f t="shared" si="1125"/>
        <v>0</v>
      </c>
      <c r="BPO29">
        <f t="shared" si="1126"/>
        <v>0</v>
      </c>
      <c r="BPP29">
        <f t="shared" si="1127"/>
        <v>0</v>
      </c>
      <c r="BPQ29">
        <f t="shared" si="1128"/>
        <v>0</v>
      </c>
      <c r="BPR29">
        <f t="shared" si="1129"/>
        <v>0</v>
      </c>
      <c r="BPS29">
        <f t="shared" si="1130"/>
        <v>0</v>
      </c>
      <c r="BPT29">
        <f t="shared" si="1131"/>
        <v>0</v>
      </c>
      <c r="BPU29">
        <f t="shared" si="1132"/>
        <v>0</v>
      </c>
      <c r="BPV29">
        <f t="shared" si="1133"/>
        <v>0</v>
      </c>
      <c r="BPW29">
        <f t="shared" si="1134"/>
        <v>0</v>
      </c>
      <c r="BPX29">
        <f t="shared" si="1135"/>
        <v>0</v>
      </c>
      <c r="BPY29">
        <f t="shared" si="1136"/>
        <v>0</v>
      </c>
      <c r="BPZ29">
        <f t="shared" si="50"/>
        <v>0</v>
      </c>
      <c r="BQA29">
        <f t="shared" si="1137"/>
        <v>0</v>
      </c>
      <c r="BQB29">
        <f t="shared" si="1138"/>
        <v>0</v>
      </c>
      <c r="BQC29">
        <f t="shared" si="1139"/>
        <v>0</v>
      </c>
      <c r="BQD29">
        <f t="shared" si="1140"/>
        <v>0</v>
      </c>
      <c r="BQE29">
        <f t="shared" si="1141"/>
        <v>0</v>
      </c>
      <c r="BQF29">
        <f t="shared" si="1142"/>
        <v>0</v>
      </c>
      <c r="BQG29">
        <f t="shared" si="1143"/>
        <v>0</v>
      </c>
      <c r="BQH29">
        <f t="shared" si="1144"/>
        <v>0</v>
      </c>
      <c r="BQI29">
        <f t="shared" si="1145"/>
        <v>0</v>
      </c>
      <c r="BQJ29">
        <f t="shared" si="1146"/>
        <v>0</v>
      </c>
      <c r="BQK29">
        <f t="shared" si="1147"/>
        <v>0</v>
      </c>
      <c r="BQL29">
        <f t="shared" si="1148"/>
        <v>0</v>
      </c>
      <c r="BQM29">
        <f t="shared" si="1149"/>
        <v>0</v>
      </c>
      <c r="BQN29">
        <f t="shared" si="1150"/>
        <v>0</v>
      </c>
      <c r="BQO29">
        <f t="shared" si="1151"/>
        <v>0</v>
      </c>
      <c r="BQP29">
        <f t="shared" si="1152"/>
        <v>0</v>
      </c>
      <c r="BQQ29">
        <f t="shared" si="1153"/>
        <v>0</v>
      </c>
      <c r="BQR29">
        <f t="shared" si="1154"/>
        <v>0</v>
      </c>
      <c r="BQS29">
        <f t="shared" si="1155"/>
        <v>0</v>
      </c>
      <c r="BQT29">
        <f t="shared" si="1156"/>
        <v>0</v>
      </c>
      <c r="BQU29">
        <f t="shared" si="1157"/>
        <v>0</v>
      </c>
      <c r="BQV29">
        <f t="shared" si="1158"/>
        <v>0</v>
      </c>
      <c r="BQW29">
        <f t="shared" si="1159"/>
        <v>0</v>
      </c>
      <c r="BQX29">
        <f t="shared" si="1160"/>
        <v>0</v>
      </c>
      <c r="BQY29">
        <f t="shared" si="1161"/>
        <v>0</v>
      </c>
      <c r="BQZ29">
        <f t="shared" si="1162"/>
        <v>0</v>
      </c>
      <c r="BRA29">
        <f t="shared" si="1163"/>
        <v>0</v>
      </c>
      <c r="BRB29">
        <f t="shared" si="1164"/>
        <v>0</v>
      </c>
      <c r="BRC29">
        <f t="shared" si="1165"/>
        <v>0</v>
      </c>
      <c r="BRD29">
        <f t="shared" si="1166"/>
        <v>0</v>
      </c>
      <c r="BRE29">
        <f t="shared" si="1167"/>
        <v>0</v>
      </c>
      <c r="BRF29">
        <f t="shared" si="1168"/>
        <v>0</v>
      </c>
      <c r="BRG29">
        <f t="shared" si="1169"/>
        <v>0</v>
      </c>
      <c r="BRH29">
        <f t="shared" si="1170"/>
        <v>0</v>
      </c>
      <c r="BRI29">
        <f t="shared" si="1171"/>
        <v>0</v>
      </c>
      <c r="BRJ29">
        <f t="shared" si="1172"/>
        <v>0</v>
      </c>
      <c r="BRK29">
        <f t="shared" si="1173"/>
        <v>0</v>
      </c>
      <c r="BRL29">
        <f t="shared" si="1174"/>
        <v>0</v>
      </c>
      <c r="BRM29">
        <f t="shared" si="1175"/>
        <v>0</v>
      </c>
      <c r="BRN29">
        <f t="shared" si="1176"/>
        <v>0</v>
      </c>
      <c r="BRO29">
        <f t="shared" si="1177"/>
        <v>0</v>
      </c>
      <c r="BRP29">
        <f t="shared" si="1178"/>
        <v>0</v>
      </c>
      <c r="BRQ29">
        <f t="shared" si="1179"/>
        <v>0</v>
      </c>
      <c r="BRR29">
        <f t="shared" si="1180"/>
        <v>0</v>
      </c>
      <c r="BRS29">
        <f t="shared" si="1181"/>
        <v>0</v>
      </c>
      <c r="BRT29">
        <f t="shared" si="1182"/>
        <v>0</v>
      </c>
      <c r="BRU29">
        <f t="shared" si="1183"/>
        <v>0</v>
      </c>
      <c r="BRV29">
        <f t="shared" si="1184"/>
        <v>0</v>
      </c>
      <c r="BRW29">
        <f t="shared" si="1185"/>
        <v>0</v>
      </c>
      <c r="BRX29">
        <f t="shared" si="1186"/>
        <v>0</v>
      </c>
      <c r="BRY29">
        <f t="shared" si="1187"/>
        <v>0</v>
      </c>
      <c r="BRZ29">
        <f t="shared" si="1188"/>
        <v>0</v>
      </c>
      <c r="BSA29">
        <f t="shared" si="1189"/>
        <v>0</v>
      </c>
      <c r="BSB29">
        <f t="shared" si="1190"/>
        <v>0</v>
      </c>
      <c r="BSC29">
        <f t="shared" si="1191"/>
        <v>0</v>
      </c>
      <c r="BSD29">
        <f t="shared" si="1192"/>
        <v>0</v>
      </c>
      <c r="BSE29">
        <f t="shared" si="1193"/>
        <v>0</v>
      </c>
      <c r="BSF29">
        <f t="shared" si="1194"/>
        <v>0</v>
      </c>
      <c r="BSG29">
        <f t="shared" si="1195"/>
        <v>0</v>
      </c>
      <c r="BSH29">
        <f t="shared" si="1196"/>
        <v>0</v>
      </c>
      <c r="BSI29">
        <f t="shared" si="1197"/>
        <v>0</v>
      </c>
      <c r="BSJ29">
        <f t="shared" si="1198"/>
        <v>0</v>
      </c>
      <c r="BSK29">
        <f t="shared" si="1199"/>
        <v>0</v>
      </c>
      <c r="BSL29">
        <f t="shared" si="51"/>
        <v>0</v>
      </c>
      <c r="BSM29">
        <f t="shared" si="1200"/>
        <v>0</v>
      </c>
      <c r="BSN29">
        <f t="shared" si="1201"/>
        <v>0</v>
      </c>
      <c r="BSO29">
        <f t="shared" si="1202"/>
        <v>0</v>
      </c>
      <c r="BSP29">
        <f t="shared" si="1203"/>
        <v>0</v>
      </c>
      <c r="BSQ29">
        <f t="shared" si="1204"/>
        <v>0</v>
      </c>
      <c r="BSR29">
        <f t="shared" si="1205"/>
        <v>0</v>
      </c>
      <c r="BSS29">
        <f t="shared" si="1206"/>
        <v>0</v>
      </c>
      <c r="BST29">
        <f t="shared" si="1207"/>
        <v>0</v>
      </c>
      <c r="BSU29">
        <f t="shared" si="1208"/>
        <v>0</v>
      </c>
      <c r="BSV29">
        <f t="shared" si="1209"/>
        <v>0</v>
      </c>
      <c r="BSW29">
        <f t="shared" si="1210"/>
        <v>0</v>
      </c>
      <c r="BSX29">
        <f t="shared" si="1211"/>
        <v>0</v>
      </c>
      <c r="BSY29">
        <f t="shared" si="1212"/>
        <v>0</v>
      </c>
      <c r="BSZ29">
        <f t="shared" si="1213"/>
        <v>0</v>
      </c>
      <c r="BTA29">
        <f t="shared" si="1214"/>
        <v>0</v>
      </c>
      <c r="BTB29">
        <f t="shared" si="1215"/>
        <v>0</v>
      </c>
      <c r="BTC29">
        <f t="shared" si="1216"/>
        <v>0</v>
      </c>
      <c r="BTD29">
        <f t="shared" si="1217"/>
        <v>0</v>
      </c>
      <c r="BTE29">
        <f t="shared" si="1218"/>
        <v>0</v>
      </c>
      <c r="BTF29">
        <f t="shared" si="1219"/>
        <v>0</v>
      </c>
      <c r="BTG29">
        <f t="shared" si="1220"/>
        <v>0</v>
      </c>
      <c r="BTH29">
        <f t="shared" si="1221"/>
        <v>0</v>
      </c>
      <c r="BTI29">
        <f t="shared" si="1222"/>
        <v>0</v>
      </c>
      <c r="BTJ29">
        <f t="shared" si="1223"/>
        <v>0</v>
      </c>
      <c r="BTK29">
        <f t="shared" si="1224"/>
        <v>0</v>
      </c>
      <c r="BTL29">
        <f t="shared" si="1225"/>
        <v>0</v>
      </c>
      <c r="BTM29">
        <f t="shared" si="1226"/>
        <v>0</v>
      </c>
      <c r="BTN29">
        <f t="shared" si="1227"/>
        <v>0</v>
      </c>
      <c r="BTO29">
        <f t="shared" si="1228"/>
        <v>0</v>
      </c>
      <c r="BTP29">
        <f t="shared" si="1229"/>
        <v>0</v>
      </c>
      <c r="BTQ29">
        <f t="shared" si="1230"/>
        <v>0</v>
      </c>
      <c r="BTR29">
        <f t="shared" si="1231"/>
        <v>0</v>
      </c>
      <c r="BTS29">
        <f t="shared" si="1232"/>
        <v>0</v>
      </c>
      <c r="BTT29">
        <f t="shared" si="1233"/>
        <v>0</v>
      </c>
      <c r="BTU29">
        <f t="shared" si="1234"/>
        <v>0</v>
      </c>
      <c r="BTV29">
        <f t="shared" si="1235"/>
        <v>0</v>
      </c>
      <c r="BTW29">
        <f t="shared" si="1236"/>
        <v>0</v>
      </c>
      <c r="BTX29">
        <f t="shared" si="1237"/>
        <v>0</v>
      </c>
      <c r="BTY29">
        <f t="shared" si="1238"/>
        <v>0</v>
      </c>
      <c r="BTZ29">
        <f t="shared" si="1239"/>
        <v>0</v>
      </c>
      <c r="BUA29">
        <f t="shared" si="1240"/>
        <v>0</v>
      </c>
      <c r="BUB29">
        <f t="shared" si="1241"/>
        <v>0</v>
      </c>
      <c r="BUC29">
        <f t="shared" si="1242"/>
        <v>0</v>
      </c>
      <c r="BUD29">
        <f t="shared" si="1243"/>
        <v>0</v>
      </c>
      <c r="BUE29">
        <f t="shared" si="1244"/>
        <v>0</v>
      </c>
      <c r="BUF29">
        <f t="shared" si="1245"/>
        <v>0</v>
      </c>
      <c r="BUG29">
        <f t="shared" si="1246"/>
        <v>0</v>
      </c>
      <c r="BUH29">
        <f t="shared" si="1247"/>
        <v>0</v>
      </c>
      <c r="BUI29">
        <f t="shared" si="1248"/>
        <v>0</v>
      </c>
      <c r="BUJ29">
        <f t="shared" si="1249"/>
        <v>0</v>
      </c>
      <c r="BUK29">
        <f t="shared" si="1250"/>
        <v>0</v>
      </c>
      <c r="BUL29">
        <f t="shared" si="1251"/>
        <v>0</v>
      </c>
      <c r="BUM29">
        <f t="shared" si="1252"/>
        <v>0</v>
      </c>
      <c r="BUN29">
        <f t="shared" si="1253"/>
        <v>0</v>
      </c>
      <c r="BUO29">
        <f t="shared" si="1254"/>
        <v>0</v>
      </c>
      <c r="BUP29">
        <f t="shared" si="1255"/>
        <v>0</v>
      </c>
      <c r="BUQ29">
        <f t="shared" si="1256"/>
        <v>0</v>
      </c>
      <c r="BUR29">
        <f t="shared" si="1257"/>
        <v>0</v>
      </c>
      <c r="BUS29">
        <f t="shared" si="1258"/>
        <v>0</v>
      </c>
      <c r="BUT29">
        <f t="shared" si="1259"/>
        <v>0</v>
      </c>
      <c r="BUU29">
        <f t="shared" si="1260"/>
        <v>0</v>
      </c>
      <c r="BUV29">
        <f t="shared" si="1261"/>
        <v>0</v>
      </c>
      <c r="BUW29">
        <f t="shared" si="1262"/>
        <v>0</v>
      </c>
      <c r="BUX29">
        <f t="shared" si="52"/>
        <v>0</v>
      </c>
      <c r="BUY29">
        <f t="shared" si="1263"/>
        <v>0</v>
      </c>
      <c r="BUZ29">
        <f t="shared" si="1264"/>
        <v>0</v>
      </c>
      <c r="BVA29">
        <f t="shared" si="1265"/>
        <v>0</v>
      </c>
      <c r="BVB29">
        <f t="shared" si="1266"/>
        <v>0</v>
      </c>
      <c r="BVC29">
        <f t="shared" si="1267"/>
        <v>0</v>
      </c>
      <c r="BVD29">
        <f t="shared" si="1268"/>
        <v>0</v>
      </c>
      <c r="BVE29">
        <f t="shared" si="1269"/>
        <v>0</v>
      </c>
      <c r="BVF29">
        <f t="shared" si="1270"/>
        <v>0</v>
      </c>
      <c r="BVG29">
        <f t="shared" si="1271"/>
        <v>0</v>
      </c>
      <c r="BVH29">
        <f t="shared" si="1272"/>
        <v>0</v>
      </c>
      <c r="BVI29">
        <f t="shared" si="1273"/>
        <v>0</v>
      </c>
      <c r="BVJ29">
        <f t="shared" si="1274"/>
        <v>0</v>
      </c>
      <c r="BVK29">
        <f t="shared" si="1275"/>
        <v>0</v>
      </c>
      <c r="BVL29">
        <f t="shared" si="1276"/>
        <v>0</v>
      </c>
      <c r="BVM29">
        <f t="shared" si="1277"/>
        <v>0</v>
      </c>
      <c r="BVN29">
        <f t="shared" si="1278"/>
        <v>0</v>
      </c>
      <c r="BVO29">
        <f t="shared" si="1279"/>
        <v>0</v>
      </c>
      <c r="BVP29">
        <f t="shared" si="1280"/>
        <v>0</v>
      </c>
      <c r="BVQ29">
        <f t="shared" si="1281"/>
        <v>0</v>
      </c>
      <c r="BVR29">
        <f t="shared" si="1282"/>
        <v>0</v>
      </c>
      <c r="BVS29">
        <f t="shared" si="1283"/>
        <v>0</v>
      </c>
      <c r="BVT29">
        <f t="shared" si="1284"/>
        <v>0</v>
      </c>
      <c r="BVU29">
        <f t="shared" si="1285"/>
        <v>0</v>
      </c>
      <c r="BVV29">
        <f t="shared" si="1286"/>
        <v>0</v>
      </c>
      <c r="BVW29">
        <f t="shared" si="1287"/>
        <v>0</v>
      </c>
      <c r="BVX29">
        <f t="shared" si="1288"/>
        <v>0</v>
      </c>
      <c r="BVY29">
        <f t="shared" si="1289"/>
        <v>0</v>
      </c>
      <c r="BVZ29">
        <f t="shared" si="1290"/>
        <v>0</v>
      </c>
      <c r="BWA29">
        <f t="shared" si="1291"/>
        <v>0</v>
      </c>
      <c r="BWB29">
        <f t="shared" si="1292"/>
        <v>0</v>
      </c>
      <c r="BWC29">
        <f t="shared" si="1293"/>
        <v>0</v>
      </c>
      <c r="BWD29">
        <f t="shared" si="1294"/>
        <v>0</v>
      </c>
      <c r="BWE29">
        <f t="shared" si="1295"/>
        <v>0</v>
      </c>
      <c r="BWF29">
        <f t="shared" si="1296"/>
        <v>0</v>
      </c>
      <c r="BWG29">
        <f t="shared" si="1297"/>
        <v>0</v>
      </c>
      <c r="BWH29">
        <f t="shared" si="1298"/>
        <v>0</v>
      </c>
      <c r="BWI29">
        <f t="shared" si="1299"/>
        <v>0</v>
      </c>
      <c r="BWJ29">
        <f t="shared" si="1300"/>
        <v>0</v>
      </c>
      <c r="BWK29">
        <f t="shared" si="1301"/>
        <v>0</v>
      </c>
      <c r="BWL29">
        <f t="shared" si="1302"/>
        <v>0</v>
      </c>
      <c r="BWM29">
        <f t="shared" si="1303"/>
        <v>0</v>
      </c>
      <c r="BWN29">
        <f t="shared" si="1304"/>
        <v>0</v>
      </c>
      <c r="BWO29">
        <f t="shared" si="1305"/>
        <v>0</v>
      </c>
      <c r="BWP29">
        <f t="shared" si="1306"/>
        <v>0</v>
      </c>
      <c r="BWQ29">
        <f t="shared" si="1307"/>
        <v>0</v>
      </c>
      <c r="BWR29">
        <f t="shared" si="1308"/>
        <v>0</v>
      </c>
      <c r="BWS29">
        <f t="shared" si="1309"/>
        <v>0</v>
      </c>
      <c r="BWT29">
        <f t="shared" si="1310"/>
        <v>0</v>
      </c>
      <c r="BWU29">
        <f t="shared" si="1311"/>
        <v>0</v>
      </c>
      <c r="BWV29">
        <f t="shared" si="1312"/>
        <v>0</v>
      </c>
      <c r="BWW29">
        <f t="shared" si="1313"/>
        <v>0</v>
      </c>
      <c r="BWX29">
        <f t="shared" si="1314"/>
        <v>0</v>
      </c>
      <c r="BWY29">
        <f t="shared" si="1315"/>
        <v>0</v>
      </c>
      <c r="BWZ29">
        <f t="shared" si="1316"/>
        <v>0</v>
      </c>
      <c r="BXA29">
        <f t="shared" si="1317"/>
        <v>0</v>
      </c>
      <c r="BXB29">
        <f t="shared" si="1318"/>
        <v>0</v>
      </c>
      <c r="BXC29">
        <f t="shared" si="1319"/>
        <v>0</v>
      </c>
      <c r="BXD29">
        <f t="shared" si="1320"/>
        <v>0</v>
      </c>
      <c r="BXE29">
        <f t="shared" si="1321"/>
        <v>0</v>
      </c>
      <c r="BXF29">
        <f t="shared" si="1322"/>
        <v>0</v>
      </c>
      <c r="BXG29">
        <f t="shared" si="1323"/>
        <v>0</v>
      </c>
      <c r="BXH29">
        <f t="shared" si="1324"/>
        <v>0</v>
      </c>
      <c r="BXI29">
        <f t="shared" si="1325"/>
        <v>0</v>
      </c>
      <c r="BXJ29">
        <f t="shared" si="53"/>
        <v>0</v>
      </c>
      <c r="BXK29">
        <f t="shared" si="1326"/>
        <v>0</v>
      </c>
      <c r="BXL29">
        <f t="shared" si="1327"/>
        <v>0</v>
      </c>
      <c r="BXM29">
        <f t="shared" si="1328"/>
        <v>0</v>
      </c>
      <c r="BXN29">
        <f t="shared" si="1329"/>
        <v>0</v>
      </c>
      <c r="BXO29">
        <f t="shared" si="1330"/>
        <v>0</v>
      </c>
      <c r="BXP29">
        <f t="shared" si="1331"/>
        <v>0</v>
      </c>
      <c r="BXQ29">
        <f t="shared" si="1332"/>
        <v>0</v>
      </c>
      <c r="BXR29">
        <f t="shared" si="1333"/>
        <v>0</v>
      </c>
      <c r="BXS29">
        <f t="shared" si="1334"/>
        <v>0</v>
      </c>
      <c r="BXT29">
        <f t="shared" si="1335"/>
        <v>0</v>
      </c>
      <c r="BXU29">
        <f t="shared" si="1336"/>
        <v>0</v>
      </c>
      <c r="BXV29">
        <f t="shared" si="1337"/>
        <v>0</v>
      </c>
      <c r="BXW29">
        <f t="shared" si="1338"/>
        <v>0</v>
      </c>
      <c r="BXX29">
        <f t="shared" si="1339"/>
        <v>0</v>
      </c>
      <c r="BXY29">
        <f t="shared" si="1340"/>
        <v>0</v>
      </c>
      <c r="BXZ29">
        <f t="shared" si="1341"/>
        <v>0</v>
      </c>
      <c r="BYA29">
        <f t="shared" si="1342"/>
        <v>0</v>
      </c>
      <c r="BYB29">
        <f t="shared" si="1343"/>
        <v>0</v>
      </c>
      <c r="BYC29">
        <f t="shared" si="1344"/>
        <v>0</v>
      </c>
      <c r="BYD29">
        <f t="shared" si="1345"/>
        <v>0</v>
      </c>
      <c r="BYE29">
        <f t="shared" si="1346"/>
        <v>0</v>
      </c>
      <c r="BYF29">
        <f t="shared" si="1347"/>
        <v>0</v>
      </c>
      <c r="BYG29">
        <f t="shared" si="1348"/>
        <v>0</v>
      </c>
      <c r="BYH29">
        <f t="shared" si="1349"/>
        <v>0</v>
      </c>
      <c r="BYI29">
        <f t="shared" si="1350"/>
        <v>0</v>
      </c>
      <c r="BYJ29">
        <f t="shared" si="1351"/>
        <v>0</v>
      </c>
      <c r="BYK29">
        <f t="shared" si="1352"/>
        <v>0</v>
      </c>
      <c r="BYL29">
        <f t="shared" si="1353"/>
        <v>0</v>
      </c>
      <c r="BYM29">
        <f t="shared" si="1354"/>
        <v>0</v>
      </c>
      <c r="BYN29">
        <f t="shared" si="1355"/>
        <v>0</v>
      </c>
      <c r="BYO29">
        <f t="shared" si="1356"/>
        <v>0</v>
      </c>
      <c r="BYP29">
        <f t="shared" si="1357"/>
        <v>0</v>
      </c>
      <c r="BYQ29">
        <f t="shared" si="1358"/>
        <v>0</v>
      </c>
      <c r="BYR29">
        <f t="shared" si="1359"/>
        <v>0</v>
      </c>
      <c r="BYS29">
        <f t="shared" si="1360"/>
        <v>0</v>
      </c>
      <c r="BYT29">
        <f t="shared" si="1361"/>
        <v>0</v>
      </c>
      <c r="BYU29">
        <f t="shared" si="1362"/>
        <v>0</v>
      </c>
      <c r="BYV29">
        <f t="shared" si="1363"/>
        <v>0</v>
      </c>
      <c r="BYW29">
        <f t="shared" si="1364"/>
        <v>0</v>
      </c>
      <c r="BYX29">
        <f t="shared" si="1365"/>
        <v>0</v>
      </c>
      <c r="BYY29">
        <f t="shared" si="1366"/>
        <v>0</v>
      </c>
      <c r="BYZ29">
        <f t="shared" si="1367"/>
        <v>0</v>
      </c>
      <c r="BZA29">
        <f t="shared" si="1368"/>
        <v>0</v>
      </c>
      <c r="BZB29">
        <f t="shared" si="1369"/>
        <v>0</v>
      </c>
      <c r="BZC29">
        <f t="shared" si="1370"/>
        <v>0</v>
      </c>
      <c r="BZD29">
        <f t="shared" si="1371"/>
        <v>0</v>
      </c>
      <c r="BZE29">
        <f t="shared" si="1372"/>
        <v>0</v>
      </c>
      <c r="BZF29">
        <f t="shared" si="1373"/>
        <v>0</v>
      </c>
      <c r="BZG29">
        <f t="shared" si="1374"/>
        <v>0</v>
      </c>
      <c r="BZH29">
        <f t="shared" si="1375"/>
        <v>0</v>
      </c>
      <c r="BZI29">
        <f t="shared" si="1376"/>
        <v>0</v>
      </c>
      <c r="BZJ29">
        <f t="shared" si="1377"/>
        <v>0</v>
      </c>
      <c r="BZK29">
        <f t="shared" si="1378"/>
        <v>0</v>
      </c>
      <c r="BZL29">
        <f t="shared" si="1379"/>
        <v>0</v>
      </c>
      <c r="BZM29">
        <f t="shared" si="1380"/>
        <v>0</v>
      </c>
      <c r="BZN29">
        <f t="shared" si="1381"/>
        <v>0</v>
      </c>
      <c r="BZO29">
        <f t="shared" si="1382"/>
        <v>0</v>
      </c>
      <c r="BZP29">
        <f t="shared" si="1383"/>
        <v>0</v>
      </c>
      <c r="BZQ29">
        <f t="shared" si="1384"/>
        <v>0</v>
      </c>
      <c r="BZR29">
        <f t="shared" si="1385"/>
        <v>0</v>
      </c>
      <c r="BZS29">
        <f t="shared" si="1386"/>
        <v>0</v>
      </c>
      <c r="BZT29">
        <f t="shared" si="1387"/>
        <v>0</v>
      </c>
      <c r="BZU29">
        <f t="shared" si="1388"/>
        <v>0</v>
      </c>
      <c r="BZV29">
        <f t="shared" si="54"/>
        <v>0</v>
      </c>
      <c r="BZW29">
        <f t="shared" si="1389"/>
        <v>0</v>
      </c>
      <c r="BZX29">
        <f t="shared" si="1390"/>
        <v>0</v>
      </c>
      <c r="BZY29">
        <f t="shared" si="1391"/>
        <v>0</v>
      </c>
      <c r="BZZ29">
        <f t="shared" si="1392"/>
        <v>0</v>
      </c>
      <c r="CAA29">
        <f t="shared" si="1393"/>
        <v>0</v>
      </c>
      <c r="CAB29">
        <f t="shared" si="1394"/>
        <v>0</v>
      </c>
      <c r="CAC29">
        <f t="shared" si="1395"/>
        <v>0</v>
      </c>
      <c r="CAD29">
        <f t="shared" si="1396"/>
        <v>0</v>
      </c>
      <c r="CAE29">
        <f t="shared" si="1397"/>
        <v>0</v>
      </c>
      <c r="CAF29">
        <f t="shared" si="1398"/>
        <v>0</v>
      </c>
      <c r="CAG29">
        <f t="shared" si="1399"/>
        <v>0</v>
      </c>
      <c r="CAH29">
        <f t="shared" si="1400"/>
        <v>0</v>
      </c>
      <c r="CAI29">
        <f t="shared" si="1401"/>
        <v>0</v>
      </c>
      <c r="CAJ29">
        <f t="shared" si="1402"/>
        <v>0</v>
      </c>
      <c r="CAK29">
        <f t="shared" si="1403"/>
        <v>0</v>
      </c>
      <c r="CAL29">
        <f t="shared" si="1404"/>
        <v>0</v>
      </c>
      <c r="CAM29">
        <f t="shared" si="1405"/>
        <v>0</v>
      </c>
      <c r="CAN29">
        <f t="shared" si="1406"/>
        <v>0</v>
      </c>
      <c r="CAO29">
        <f t="shared" si="1407"/>
        <v>0</v>
      </c>
      <c r="CAP29">
        <f t="shared" si="1408"/>
        <v>0</v>
      </c>
      <c r="CAQ29">
        <f t="shared" si="1409"/>
        <v>0</v>
      </c>
      <c r="CAR29">
        <f t="shared" si="1410"/>
        <v>0</v>
      </c>
      <c r="CAS29">
        <f t="shared" si="1411"/>
        <v>0</v>
      </c>
      <c r="CAT29">
        <f t="shared" si="1412"/>
        <v>0</v>
      </c>
      <c r="CAU29">
        <f t="shared" si="1413"/>
        <v>0</v>
      </c>
      <c r="CAV29">
        <f t="shared" si="1414"/>
        <v>0</v>
      </c>
      <c r="CAW29">
        <f t="shared" si="1415"/>
        <v>0</v>
      </c>
      <c r="CAX29">
        <f t="shared" si="1416"/>
        <v>0</v>
      </c>
      <c r="CAY29">
        <f t="shared" si="1417"/>
        <v>0</v>
      </c>
      <c r="CAZ29">
        <f t="shared" si="1418"/>
        <v>0</v>
      </c>
      <c r="CBA29">
        <f t="shared" si="1419"/>
        <v>0</v>
      </c>
      <c r="CBB29">
        <f t="shared" si="1420"/>
        <v>0</v>
      </c>
      <c r="CBC29">
        <f t="shared" si="1421"/>
        <v>0</v>
      </c>
      <c r="CBD29">
        <f t="shared" si="1422"/>
        <v>0</v>
      </c>
      <c r="CBE29">
        <f t="shared" si="1423"/>
        <v>0</v>
      </c>
      <c r="CBF29">
        <f t="shared" si="1424"/>
        <v>0</v>
      </c>
      <c r="CBG29">
        <f t="shared" si="1425"/>
        <v>0</v>
      </c>
      <c r="CBH29">
        <f t="shared" si="1426"/>
        <v>0</v>
      </c>
      <c r="CBI29">
        <f t="shared" si="1427"/>
        <v>0</v>
      </c>
      <c r="CBJ29">
        <f t="shared" si="1428"/>
        <v>0</v>
      </c>
      <c r="CBK29">
        <f t="shared" si="1429"/>
        <v>0</v>
      </c>
      <c r="CBL29">
        <f t="shared" si="1430"/>
        <v>0</v>
      </c>
      <c r="CBM29">
        <f t="shared" si="1431"/>
        <v>0</v>
      </c>
      <c r="CBN29">
        <f t="shared" si="1432"/>
        <v>0</v>
      </c>
      <c r="CBO29">
        <f t="shared" si="1433"/>
        <v>0</v>
      </c>
      <c r="CBP29">
        <f t="shared" si="1434"/>
        <v>0</v>
      </c>
      <c r="CBQ29">
        <f t="shared" si="1435"/>
        <v>0</v>
      </c>
      <c r="CBR29">
        <f t="shared" si="1436"/>
        <v>0</v>
      </c>
      <c r="CBS29">
        <f t="shared" si="1437"/>
        <v>0</v>
      </c>
      <c r="CBT29">
        <f t="shared" si="1438"/>
        <v>0</v>
      </c>
      <c r="CBU29">
        <f t="shared" si="1439"/>
        <v>0</v>
      </c>
      <c r="CBV29">
        <f t="shared" si="1440"/>
        <v>0</v>
      </c>
      <c r="CBW29">
        <f t="shared" si="1441"/>
        <v>0</v>
      </c>
      <c r="CBX29">
        <f t="shared" si="1442"/>
        <v>0</v>
      </c>
      <c r="CBY29">
        <f t="shared" si="1443"/>
        <v>0</v>
      </c>
      <c r="CBZ29">
        <f t="shared" si="1444"/>
        <v>0</v>
      </c>
      <c r="CCA29">
        <f t="shared" si="1445"/>
        <v>0</v>
      </c>
      <c r="CCB29">
        <f t="shared" si="1446"/>
        <v>0</v>
      </c>
      <c r="CCC29">
        <f t="shared" si="1447"/>
        <v>0</v>
      </c>
      <c r="CCD29">
        <f t="shared" si="1448"/>
        <v>0</v>
      </c>
      <c r="CCE29">
        <f t="shared" si="1449"/>
        <v>0</v>
      </c>
      <c r="CCF29">
        <f t="shared" si="1450"/>
        <v>0</v>
      </c>
      <c r="CCG29">
        <f t="shared" si="1451"/>
        <v>0</v>
      </c>
      <c r="CCH29">
        <f t="shared" si="55"/>
        <v>0</v>
      </c>
      <c r="CCI29">
        <f t="shared" si="1452"/>
        <v>0</v>
      </c>
      <c r="CCJ29">
        <f t="shared" si="1453"/>
        <v>0</v>
      </c>
      <c r="CCK29">
        <f t="shared" si="1454"/>
        <v>0</v>
      </c>
      <c r="CCL29">
        <f t="shared" si="1455"/>
        <v>0</v>
      </c>
      <c r="CCM29">
        <f t="shared" si="1456"/>
        <v>0</v>
      </c>
      <c r="CCN29">
        <f t="shared" si="1457"/>
        <v>0</v>
      </c>
      <c r="CCO29">
        <f t="shared" si="1458"/>
        <v>0</v>
      </c>
      <c r="CCP29">
        <f t="shared" si="1459"/>
        <v>0</v>
      </c>
      <c r="CCQ29">
        <f t="shared" si="1460"/>
        <v>0</v>
      </c>
      <c r="CCR29">
        <f t="shared" si="1461"/>
        <v>0</v>
      </c>
      <c r="CCS29">
        <f t="shared" si="1462"/>
        <v>0</v>
      </c>
      <c r="CCT29">
        <f t="shared" si="1463"/>
        <v>0</v>
      </c>
      <c r="CCU29">
        <f t="shared" si="1464"/>
        <v>0</v>
      </c>
      <c r="CCV29">
        <f t="shared" si="1465"/>
        <v>0</v>
      </c>
      <c r="CCW29">
        <f t="shared" si="1466"/>
        <v>0</v>
      </c>
      <c r="CCX29">
        <f t="shared" si="1467"/>
        <v>0</v>
      </c>
      <c r="CCY29">
        <f t="shared" si="1468"/>
        <v>0</v>
      </c>
      <c r="CCZ29">
        <f t="shared" si="1469"/>
        <v>0</v>
      </c>
      <c r="CDA29">
        <f t="shared" si="1470"/>
        <v>0</v>
      </c>
      <c r="CDB29">
        <f t="shared" si="1471"/>
        <v>0</v>
      </c>
      <c r="CDC29">
        <f t="shared" si="1472"/>
        <v>0</v>
      </c>
      <c r="CDD29">
        <f t="shared" si="1473"/>
        <v>0</v>
      </c>
      <c r="CDE29">
        <f t="shared" si="1474"/>
        <v>0</v>
      </c>
      <c r="CDF29">
        <f t="shared" si="1475"/>
        <v>0</v>
      </c>
      <c r="CDG29">
        <f t="shared" si="1476"/>
        <v>0</v>
      </c>
      <c r="CDH29">
        <f t="shared" si="1477"/>
        <v>0</v>
      </c>
      <c r="CDI29">
        <f t="shared" si="1478"/>
        <v>0</v>
      </c>
      <c r="CDJ29">
        <f t="shared" si="1479"/>
        <v>0</v>
      </c>
      <c r="CDK29">
        <f t="shared" si="1480"/>
        <v>0</v>
      </c>
      <c r="CDL29">
        <f t="shared" si="1481"/>
        <v>0</v>
      </c>
      <c r="CDM29">
        <f t="shared" si="1482"/>
        <v>0</v>
      </c>
      <c r="CDN29">
        <f t="shared" si="1483"/>
        <v>0</v>
      </c>
      <c r="CDO29">
        <f t="shared" si="1484"/>
        <v>0</v>
      </c>
      <c r="CDP29">
        <f t="shared" si="1485"/>
        <v>0</v>
      </c>
      <c r="CDQ29">
        <f t="shared" si="1486"/>
        <v>0</v>
      </c>
      <c r="CDR29">
        <f t="shared" si="1487"/>
        <v>0</v>
      </c>
      <c r="CDS29">
        <f t="shared" si="1488"/>
        <v>0</v>
      </c>
      <c r="CDT29">
        <f t="shared" si="1489"/>
        <v>0</v>
      </c>
      <c r="CDU29">
        <f t="shared" si="1490"/>
        <v>0</v>
      </c>
      <c r="CDV29">
        <f t="shared" si="1491"/>
        <v>0</v>
      </c>
      <c r="CDW29">
        <f t="shared" si="1492"/>
        <v>0</v>
      </c>
      <c r="CDX29">
        <f t="shared" si="1493"/>
        <v>0</v>
      </c>
      <c r="CDY29">
        <f t="shared" si="1494"/>
        <v>0</v>
      </c>
      <c r="CDZ29">
        <f t="shared" si="1495"/>
        <v>0</v>
      </c>
      <c r="CEA29">
        <f t="shared" si="1496"/>
        <v>0</v>
      </c>
      <c r="CEB29">
        <f t="shared" si="1497"/>
        <v>0</v>
      </c>
      <c r="CEC29">
        <f t="shared" si="1498"/>
        <v>0</v>
      </c>
      <c r="CED29">
        <f t="shared" si="1499"/>
        <v>0</v>
      </c>
      <c r="CEE29">
        <f t="shared" si="1500"/>
        <v>0</v>
      </c>
      <c r="CEF29">
        <f t="shared" si="1501"/>
        <v>0</v>
      </c>
      <c r="CEG29">
        <f t="shared" si="1502"/>
        <v>0</v>
      </c>
      <c r="CEH29">
        <f t="shared" si="1503"/>
        <v>0</v>
      </c>
      <c r="CEI29">
        <f t="shared" si="1504"/>
        <v>0</v>
      </c>
      <c r="CEJ29">
        <f t="shared" si="1505"/>
        <v>0</v>
      </c>
      <c r="CEK29">
        <f t="shared" si="1506"/>
        <v>0</v>
      </c>
      <c r="CEL29">
        <f t="shared" si="1507"/>
        <v>0</v>
      </c>
      <c r="CEM29">
        <f t="shared" si="1508"/>
        <v>0</v>
      </c>
      <c r="CEN29">
        <f t="shared" si="1509"/>
        <v>0</v>
      </c>
      <c r="CEO29">
        <f t="shared" si="1510"/>
        <v>0</v>
      </c>
      <c r="CEP29">
        <f t="shared" si="1511"/>
        <v>0</v>
      </c>
      <c r="CEQ29">
        <f t="shared" si="1512"/>
        <v>0</v>
      </c>
      <c r="CER29">
        <f t="shared" si="1513"/>
        <v>0</v>
      </c>
      <c r="CES29">
        <f t="shared" si="1514"/>
        <v>0</v>
      </c>
      <c r="CET29">
        <f t="shared" si="56"/>
        <v>0</v>
      </c>
      <c r="CEU29">
        <f t="shared" si="1515"/>
        <v>0</v>
      </c>
      <c r="CEV29">
        <f t="shared" si="1516"/>
        <v>0</v>
      </c>
      <c r="CEW29">
        <f t="shared" si="1517"/>
        <v>0</v>
      </c>
      <c r="CEX29">
        <f t="shared" si="1518"/>
        <v>0</v>
      </c>
      <c r="CEY29">
        <f t="shared" si="1519"/>
        <v>0</v>
      </c>
      <c r="CEZ29">
        <f t="shared" si="1520"/>
        <v>0</v>
      </c>
      <c r="CFA29">
        <f t="shared" si="1521"/>
        <v>0</v>
      </c>
      <c r="CFB29">
        <f t="shared" si="1522"/>
        <v>0</v>
      </c>
      <c r="CFC29">
        <f t="shared" si="1523"/>
        <v>0</v>
      </c>
      <c r="CFD29">
        <f t="shared" si="1524"/>
        <v>0</v>
      </c>
      <c r="CFE29">
        <f t="shared" si="1525"/>
        <v>0</v>
      </c>
      <c r="CFF29">
        <f t="shared" si="1526"/>
        <v>0</v>
      </c>
      <c r="CFG29">
        <f t="shared" si="1527"/>
        <v>0</v>
      </c>
      <c r="CFH29">
        <f t="shared" si="1528"/>
        <v>0</v>
      </c>
      <c r="CFI29">
        <f t="shared" si="1529"/>
        <v>0</v>
      </c>
      <c r="CFJ29">
        <f t="shared" si="1530"/>
        <v>0</v>
      </c>
      <c r="CFK29">
        <f t="shared" si="1531"/>
        <v>0</v>
      </c>
      <c r="CFL29">
        <f t="shared" si="1532"/>
        <v>0</v>
      </c>
      <c r="CFM29">
        <f t="shared" si="1533"/>
        <v>0</v>
      </c>
      <c r="CFN29">
        <f t="shared" si="1534"/>
        <v>0</v>
      </c>
      <c r="CFO29">
        <f t="shared" si="1535"/>
        <v>0</v>
      </c>
      <c r="CFP29">
        <f t="shared" si="1536"/>
        <v>0</v>
      </c>
      <c r="CFQ29">
        <f t="shared" si="1537"/>
        <v>0</v>
      </c>
      <c r="CFR29">
        <f t="shared" si="1538"/>
        <v>0</v>
      </c>
      <c r="CFS29">
        <f t="shared" si="1539"/>
        <v>0</v>
      </c>
      <c r="CFT29">
        <f t="shared" si="1540"/>
        <v>0</v>
      </c>
      <c r="CFU29">
        <f t="shared" si="1541"/>
        <v>0</v>
      </c>
      <c r="CFV29">
        <f t="shared" si="1542"/>
        <v>0</v>
      </c>
      <c r="CFW29">
        <f t="shared" si="1543"/>
        <v>0</v>
      </c>
      <c r="CFX29">
        <f t="shared" si="1544"/>
        <v>0</v>
      </c>
      <c r="CFY29">
        <f t="shared" si="1545"/>
        <v>0</v>
      </c>
      <c r="CFZ29">
        <f t="shared" si="1546"/>
        <v>0</v>
      </c>
      <c r="CGA29">
        <f t="shared" si="1547"/>
        <v>0</v>
      </c>
      <c r="CGB29">
        <f t="shared" si="1548"/>
        <v>0</v>
      </c>
      <c r="CGC29">
        <f t="shared" si="1549"/>
        <v>0</v>
      </c>
      <c r="CGD29">
        <f t="shared" si="1550"/>
        <v>0</v>
      </c>
      <c r="CGE29">
        <f t="shared" si="1551"/>
        <v>0</v>
      </c>
      <c r="CGF29">
        <f t="shared" si="1552"/>
        <v>0</v>
      </c>
      <c r="CGG29">
        <f t="shared" si="1553"/>
        <v>0</v>
      </c>
      <c r="CGH29">
        <f t="shared" si="1554"/>
        <v>0</v>
      </c>
      <c r="CGI29">
        <f t="shared" si="1555"/>
        <v>0</v>
      </c>
      <c r="CGJ29">
        <f t="shared" si="1556"/>
        <v>0</v>
      </c>
      <c r="CGK29">
        <f t="shared" si="1557"/>
        <v>0</v>
      </c>
      <c r="CGL29">
        <f t="shared" si="1558"/>
        <v>0</v>
      </c>
      <c r="CGM29">
        <f t="shared" si="1559"/>
        <v>0</v>
      </c>
      <c r="CGN29">
        <f t="shared" si="1560"/>
        <v>0</v>
      </c>
      <c r="CGO29">
        <f t="shared" si="1561"/>
        <v>0</v>
      </c>
      <c r="CGP29">
        <f t="shared" si="1562"/>
        <v>0</v>
      </c>
      <c r="CGQ29">
        <f t="shared" si="1563"/>
        <v>0</v>
      </c>
      <c r="CGR29">
        <f t="shared" si="1564"/>
        <v>0</v>
      </c>
      <c r="CGS29">
        <f t="shared" si="1565"/>
        <v>0</v>
      </c>
      <c r="CGT29">
        <f t="shared" si="1566"/>
        <v>0</v>
      </c>
      <c r="CGU29">
        <f t="shared" si="1567"/>
        <v>0</v>
      </c>
      <c r="CGV29">
        <f t="shared" si="1568"/>
        <v>0</v>
      </c>
      <c r="CGW29">
        <f t="shared" si="1569"/>
        <v>0</v>
      </c>
      <c r="CGX29">
        <f t="shared" si="1570"/>
        <v>0</v>
      </c>
      <c r="CGY29">
        <f t="shared" si="1571"/>
        <v>0</v>
      </c>
      <c r="CGZ29">
        <f t="shared" si="1572"/>
        <v>0</v>
      </c>
      <c r="CHA29">
        <f t="shared" si="1573"/>
        <v>0</v>
      </c>
      <c r="CHB29">
        <f t="shared" si="1574"/>
        <v>0</v>
      </c>
      <c r="CHC29">
        <f t="shared" si="1575"/>
        <v>0</v>
      </c>
      <c r="CHD29">
        <f t="shared" si="1576"/>
        <v>0</v>
      </c>
      <c r="CHE29">
        <f t="shared" si="1577"/>
        <v>0</v>
      </c>
      <c r="CHF29">
        <f t="shared" si="57"/>
        <v>0</v>
      </c>
      <c r="CHG29">
        <f t="shared" si="1578"/>
        <v>0</v>
      </c>
      <c r="CHH29">
        <f t="shared" si="1579"/>
        <v>0</v>
      </c>
      <c r="CHI29">
        <f t="shared" si="1580"/>
        <v>0</v>
      </c>
      <c r="CHJ29">
        <f t="shared" si="1581"/>
        <v>0</v>
      </c>
      <c r="CHK29">
        <f t="shared" si="1582"/>
        <v>0</v>
      </c>
      <c r="CHL29">
        <f t="shared" si="1583"/>
        <v>0</v>
      </c>
      <c r="CHM29">
        <f t="shared" si="1584"/>
        <v>0</v>
      </c>
      <c r="CHN29">
        <f t="shared" si="1585"/>
        <v>0</v>
      </c>
      <c r="CHO29">
        <f t="shared" si="1586"/>
        <v>0</v>
      </c>
      <c r="CHP29">
        <f t="shared" si="1587"/>
        <v>0</v>
      </c>
      <c r="CHQ29">
        <f t="shared" si="1588"/>
        <v>0</v>
      </c>
      <c r="CHR29">
        <f t="shared" si="1589"/>
        <v>0</v>
      </c>
      <c r="CHS29">
        <f t="shared" si="1590"/>
        <v>0</v>
      </c>
      <c r="CHT29">
        <f t="shared" si="1591"/>
        <v>0</v>
      </c>
      <c r="CHU29">
        <f t="shared" si="1592"/>
        <v>0</v>
      </c>
      <c r="CHV29">
        <f t="shared" si="1593"/>
        <v>0</v>
      </c>
      <c r="CHW29">
        <f t="shared" si="1594"/>
        <v>0</v>
      </c>
      <c r="CHX29">
        <f t="shared" si="1595"/>
        <v>0</v>
      </c>
      <c r="CHY29">
        <f t="shared" si="1596"/>
        <v>0</v>
      </c>
      <c r="CHZ29">
        <f t="shared" si="1597"/>
        <v>0</v>
      </c>
      <c r="CIA29">
        <f t="shared" si="1598"/>
        <v>0</v>
      </c>
      <c r="CIB29">
        <f t="shared" si="1599"/>
        <v>0</v>
      </c>
      <c r="CIC29">
        <f t="shared" si="1600"/>
        <v>0</v>
      </c>
      <c r="CID29">
        <f t="shared" si="1601"/>
        <v>0</v>
      </c>
      <c r="CIE29">
        <f t="shared" si="1602"/>
        <v>0</v>
      </c>
      <c r="CIF29">
        <f t="shared" si="1603"/>
        <v>0</v>
      </c>
      <c r="CIG29">
        <f t="shared" si="1604"/>
        <v>0</v>
      </c>
      <c r="CIH29">
        <f t="shared" si="1605"/>
        <v>0</v>
      </c>
      <c r="CII29">
        <f t="shared" si="1606"/>
        <v>0</v>
      </c>
      <c r="CIJ29">
        <f t="shared" si="1607"/>
        <v>0</v>
      </c>
      <c r="CIK29">
        <f t="shared" si="1608"/>
        <v>0</v>
      </c>
      <c r="CIL29">
        <f t="shared" si="1609"/>
        <v>0</v>
      </c>
      <c r="CIM29">
        <f t="shared" si="1610"/>
        <v>0</v>
      </c>
      <c r="CIN29">
        <f t="shared" si="1611"/>
        <v>0</v>
      </c>
      <c r="CIO29">
        <f t="shared" si="1612"/>
        <v>0</v>
      </c>
      <c r="CIP29">
        <f t="shared" si="1613"/>
        <v>0</v>
      </c>
      <c r="CIQ29">
        <f t="shared" si="1614"/>
        <v>0</v>
      </c>
      <c r="CIR29">
        <f t="shared" si="1615"/>
        <v>0</v>
      </c>
      <c r="CIS29">
        <f t="shared" si="1616"/>
        <v>0</v>
      </c>
      <c r="CIT29">
        <f t="shared" si="1617"/>
        <v>0</v>
      </c>
      <c r="CIU29">
        <f t="shared" si="1618"/>
        <v>0</v>
      </c>
      <c r="CIV29">
        <f t="shared" si="1619"/>
        <v>0</v>
      </c>
      <c r="CIW29">
        <f t="shared" si="1620"/>
        <v>0</v>
      </c>
      <c r="CIX29">
        <f t="shared" si="1621"/>
        <v>0</v>
      </c>
      <c r="CIY29">
        <f t="shared" si="1622"/>
        <v>0</v>
      </c>
      <c r="CIZ29">
        <f t="shared" si="1623"/>
        <v>0</v>
      </c>
      <c r="CJA29">
        <f t="shared" si="1624"/>
        <v>0</v>
      </c>
      <c r="CJB29">
        <f t="shared" si="1625"/>
        <v>0</v>
      </c>
      <c r="CJC29">
        <f t="shared" si="1626"/>
        <v>0</v>
      </c>
      <c r="CJD29">
        <f t="shared" si="1627"/>
        <v>0</v>
      </c>
      <c r="CJE29">
        <f t="shared" si="1628"/>
        <v>0</v>
      </c>
      <c r="CJF29">
        <f t="shared" si="1629"/>
        <v>0</v>
      </c>
      <c r="CJG29">
        <f t="shared" si="1630"/>
        <v>0</v>
      </c>
      <c r="CJH29">
        <f t="shared" si="1631"/>
        <v>0</v>
      </c>
      <c r="CJI29">
        <f t="shared" si="1632"/>
        <v>0</v>
      </c>
      <c r="CJJ29">
        <f t="shared" si="1633"/>
        <v>0</v>
      </c>
      <c r="CJK29">
        <f t="shared" si="1634"/>
        <v>0</v>
      </c>
      <c r="CJL29">
        <f t="shared" si="1635"/>
        <v>0</v>
      </c>
      <c r="CJM29">
        <f t="shared" si="1636"/>
        <v>0</v>
      </c>
      <c r="CJN29">
        <f t="shared" si="1637"/>
        <v>0</v>
      </c>
      <c r="CJO29">
        <f t="shared" si="1638"/>
        <v>0</v>
      </c>
      <c r="CJP29">
        <f t="shared" si="1639"/>
        <v>0</v>
      </c>
      <c r="CJQ29">
        <f t="shared" si="1640"/>
        <v>0</v>
      </c>
      <c r="CJR29">
        <f t="shared" si="58"/>
        <v>0</v>
      </c>
      <c r="CJS29">
        <f t="shared" si="1641"/>
        <v>0</v>
      </c>
      <c r="CJT29">
        <f t="shared" si="1642"/>
        <v>0</v>
      </c>
      <c r="CJU29">
        <f t="shared" si="1643"/>
        <v>0</v>
      </c>
      <c r="CJV29">
        <f t="shared" si="1644"/>
        <v>0</v>
      </c>
      <c r="CJW29">
        <f t="shared" si="1645"/>
        <v>0</v>
      </c>
      <c r="CJX29">
        <f t="shared" si="1646"/>
        <v>0</v>
      </c>
      <c r="CJY29">
        <f t="shared" si="1647"/>
        <v>0</v>
      </c>
      <c r="CJZ29">
        <f t="shared" si="1648"/>
        <v>0</v>
      </c>
      <c r="CKA29">
        <f t="shared" si="1649"/>
        <v>0</v>
      </c>
      <c r="CKB29">
        <f t="shared" si="1650"/>
        <v>0</v>
      </c>
      <c r="CKC29">
        <f t="shared" si="1651"/>
        <v>0</v>
      </c>
      <c r="CKD29">
        <f t="shared" si="1652"/>
        <v>0</v>
      </c>
      <c r="CKE29">
        <f t="shared" si="1653"/>
        <v>0</v>
      </c>
      <c r="CKF29">
        <f t="shared" si="1654"/>
        <v>0</v>
      </c>
      <c r="CKG29">
        <f t="shared" si="1655"/>
        <v>0</v>
      </c>
      <c r="CKH29">
        <f t="shared" si="1656"/>
        <v>0</v>
      </c>
      <c r="CKI29">
        <f t="shared" si="1657"/>
        <v>0</v>
      </c>
      <c r="CKJ29">
        <f t="shared" si="1658"/>
        <v>0</v>
      </c>
      <c r="CKK29">
        <f t="shared" si="1659"/>
        <v>0</v>
      </c>
      <c r="CKL29">
        <f t="shared" si="1660"/>
        <v>0</v>
      </c>
      <c r="CKM29">
        <f t="shared" si="1661"/>
        <v>0</v>
      </c>
      <c r="CKN29">
        <f t="shared" si="1662"/>
        <v>0</v>
      </c>
      <c r="CKO29">
        <f t="shared" si="1663"/>
        <v>0</v>
      </c>
      <c r="CKP29">
        <f t="shared" si="1664"/>
        <v>0</v>
      </c>
      <c r="CKQ29">
        <f t="shared" si="1665"/>
        <v>0</v>
      </c>
      <c r="CKR29">
        <f t="shared" si="1666"/>
        <v>0</v>
      </c>
      <c r="CKS29">
        <f t="shared" si="1667"/>
        <v>0</v>
      </c>
      <c r="CKT29">
        <f t="shared" si="1668"/>
        <v>0</v>
      </c>
      <c r="CKU29">
        <f t="shared" si="1669"/>
        <v>0</v>
      </c>
      <c r="CKV29">
        <f t="shared" si="1670"/>
        <v>0</v>
      </c>
      <c r="CKW29">
        <f t="shared" si="1671"/>
        <v>0</v>
      </c>
      <c r="CKX29">
        <f t="shared" si="1672"/>
        <v>0</v>
      </c>
      <c r="CKY29">
        <f t="shared" si="1673"/>
        <v>0</v>
      </c>
      <c r="CKZ29">
        <f t="shared" si="1674"/>
        <v>0</v>
      </c>
      <c r="CLA29">
        <f t="shared" si="1675"/>
        <v>0</v>
      </c>
      <c r="CLB29">
        <f t="shared" si="1676"/>
        <v>0</v>
      </c>
      <c r="CLC29">
        <f t="shared" si="1677"/>
        <v>0</v>
      </c>
      <c r="CLD29">
        <f t="shared" si="1678"/>
        <v>0</v>
      </c>
      <c r="CLE29">
        <f t="shared" si="1679"/>
        <v>0</v>
      </c>
      <c r="CLF29">
        <f t="shared" si="1680"/>
        <v>0</v>
      </c>
      <c r="CLG29">
        <f t="shared" si="1681"/>
        <v>0</v>
      </c>
      <c r="CLH29">
        <f t="shared" si="1682"/>
        <v>0</v>
      </c>
      <c r="CLI29">
        <f t="shared" si="1683"/>
        <v>0</v>
      </c>
      <c r="CLJ29">
        <f t="shared" si="1684"/>
        <v>0</v>
      </c>
      <c r="CLK29">
        <f t="shared" si="1685"/>
        <v>0</v>
      </c>
      <c r="CLL29">
        <f t="shared" si="1686"/>
        <v>0</v>
      </c>
      <c r="CLM29">
        <f t="shared" si="1687"/>
        <v>0</v>
      </c>
      <c r="CLN29">
        <f t="shared" si="1688"/>
        <v>0</v>
      </c>
      <c r="CLO29">
        <f t="shared" si="1689"/>
        <v>0</v>
      </c>
      <c r="CLP29">
        <f t="shared" si="1690"/>
        <v>0</v>
      </c>
      <c r="CLQ29">
        <f t="shared" si="1691"/>
        <v>0</v>
      </c>
      <c r="CLR29">
        <f t="shared" si="1692"/>
        <v>0</v>
      </c>
      <c r="CLS29">
        <f t="shared" si="1693"/>
        <v>0</v>
      </c>
      <c r="CLT29">
        <f t="shared" si="1694"/>
        <v>0</v>
      </c>
      <c r="CLU29">
        <f t="shared" si="1695"/>
        <v>0</v>
      </c>
      <c r="CLV29">
        <f t="shared" si="1696"/>
        <v>0</v>
      </c>
      <c r="CLW29">
        <f t="shared" si="1697"/>
        <v>0</v>
      </c>
      <c r="CLX29">
        <f t="shared" si="1698"/>
        <v>0</v>
      </c>
      <c r="CLY29">
        <f t="shared" si="1699"/>
        <v>0</v>
      </c>
      <c r="CLZ29">
        <f t="shared" si="1700"/>
        <v>0</v>
      </c>
      <c r="CMA29">
        <f t="shared" si="1701"/>
        <v>0</v>
      </c>
      <c r="CMB29">
        <f t="shared" si="1702"/>
        <v>0</v>
      </c>
      <c r="CMC29">
        <f t="shared" si="1703"/>
        <v>0</v>
      </c>
      <c r="CMD29">
        <f t="shared" si="59"/>
        <v>0</v>
      </c>
      <c r="CME29">
        <f t="shared" si="1704"/>
        <v>0</v>
      </c>
      <c r="CMF29">
        <f t="shared" si="1705"/>
        <v>0</v>
      </c>
      <c r="CMG29">
        <f t="shared" si="1706"/>
        <v>0</v>
      </c>
      <c r="CMH29">
        <f t="shared" si="1707"/>
        <v>0</v>
      </c>
      <c r="CMI29">
        <f t="shared" si="1708"/>
        <v>0</v>
      </c>
      <c r="CMJ29">
        <f t="shared" si="1709"/>
        <v>0</v>
      </c>
      <c r="CMK29">
        <f t="shared" si="1710"/>
        <v>0</v>
      </c>
      <c r="CML29">
        <f t="shared" si="1711"/>
        <v>0</v>
      </c>
      <c r="CMM29">
        <f t="shared" si="1712"/>
        <v>0</v>
      </c>
      <c r="CMN29">
        <f t="shared" si="1713"/>
        <v>0</v>
      </c>
      <c r="CMO29">
        <f t="shared" si="1714"/>
        <v>0</v>
      </c>
      <c r="CMP29">
        <f t="shared" si="1715"/>
        <v>0</v>
      </c>
      <c r="CMQ29">
        <f t="shared" si="1716"/>
        <v>0</v>
      </c>
      <c r="CMR29">
        <f t="shared" si="1717"/>
        <v>0</v>
      </c>
      <c r="CMS29">
        <f t="shared" si="1718"/>
        <v>0</v>
      </c>
      <c r="CMT29">
        <f t="shared" si="1719"/>
        <v>0</v>
      </c>
      <c r="CMU29">
        <f t="shared" si="1720"/>
        <v>0</v>
      </c>
      <c r="CMV29">
        <f t="shared" si="1721"/>
        <v>0</v>
      </c>
      <c r="CMW29">
        <f t="shared" si="1722"/>
        <v>0</v>
      </c>
      <c r="CMX29">
        <f t="shared" si="1723"/>
        <v>0</v>
      </c>
      <c r="CMY29">
        <f t="shared" si="1724"/>
        <v>0</v>
      </c>
      <c r="CMZ29">
        <f t="shared" si="1725"/>
        <v>0</v>
      </c>
      <c r="CNA29">
        <f t="shared" si="1726"/>
        <v>0</v>
      </c>
      <c r="CNB29">
        <f t="shared" si="1727"/>
        <v>0</v>
      </c>
      <c r="CNC29">
        <f t="shared" si="1728"/>
        <v>0</v>
      </c>
      <c r="CND29">
        <f t="shared" si="1729"/>
        <v>0</v>
      </c>
      <c r="CNE29">
        <f t="shared" si="1730"/>
        <v>0</v>
      </c>
      <c r="CNF29">
        <f t="shared" si="1731"/>
        <v>0</v>
      </c>
      <c r="CNG29">
        <f t="shared" si="1732"/>
        <v>0</v>
      </c>
      <c r="CNH29">
        <f t="shared" si="1733"/>
        <v>0</v>
      </c>
      <c r="CNI29">
        <f t="shared" si="1734"/>
        <v>0</v>
      </c>
      <c r="CNJ29">
        <f t="shared" si="1735"/>
        <v>0</v>
      </c>
      <c r="CNK29">
        <f t="shared" si="1736"/>
        <v>0</v>
      </c>
      <c r="CNL29">
        <f t="shared" si="1737"/>
        <v>0</v>
      </c>
      <c r="CNM29">
        <f t="shared" si="1738"/>
        <v>0</v>
      </c>
      <c r="CNN29">
        <f t="shared" si="1739"/>
        <v>0</v>
      </c>
      <c r="CNO29">
        <f t="shared" si="1740"/>
        <v>0</v>
      </c>
      <c r="CNP29">
        <f t="shared" si="1741"/>
        <v>0</v>
      </c>
      <c r="CNQ29">
        <f t="shared" si="1742"/>
        <v>0</v>
      </c>
      <c r="CNR29">
        <f t="shared" si="1743"/>
        <v>0</v>
      </c>
      <c r="CNS29">
        <f t="shared" si="1744"/>
        <v>0</v>
      </c>
      <c r="CNT29">
        <f t="shared" si="1745"/>
        <v>0</v>
      </c>
      <c r="CNU29">
        <f t="shared" si="1746"/>
        <v>0</v>
      </c>
      <c r="CNV29">
        <f t="shared" si="1747"/>
        <v>0</v>
      </c>
      <c r="CNW29">
        <f t="shared" si="1748"/>
        <v>0</v>
      </c>
      <c r="CNX29">
        <f t="shared" si="1749"/>
        <v>0</v>
      </c>
      <c r="CNY29">
        <f t="shared" si="1750"/>
        <v>0</v>
      </c>
      <c r="CNZ29">
        <f t="shared" si="1751"/>
        <v>0</v>
      </c>
      <c r="COA29">
        <f t="shared" si="1752"/>
        <v>0</v>
      </c>
      <c r="COB29">
        <f t="shared" si="1753"/>
        <v>0</v>
      </c>
      <c r="COC29">
        <f t="shared" si="1754"/>
        <v>0</v>
      </c>
      <c r="COD29">
        <f t="shared" si="1755"/>
        <v>0</v>
      </c>
      <c r="COE29">
        <f t="shared" si="1756"/>
        <v>0</v>
      </c>
      <c r="COF29">
        <f t="shared" si="1757"/>
        <v>0</v>
      </c>
      <c r="COG29">
        <f t="shared" si="1758"/>
        <v>0</v>
      </c>
      <c r="COH29">
        <f t="shared" si="1759"/>
        <v>0</v>
      </c>
      <c r="COI29">
        <f t="shared" si="1760"/>
        <v>0</v>
      </c>
      <c r="COJ29">
        <f t="shared" si="1761"/>
        <v>0</v>
      </c>
      <c r="COK29">
        <f t="shared" si="1762"/>
        <v>0</v>
      </c>
      <c r="COL29">
        <f t="shared" si="1763"/>
        <v>0</v>
      </c>
      <c r="COM29">
        <f t="shared" si="1764"/>
        <v>0</v>
      </c>
      <c r="CON29">
        <f t="shared" si="1765"/>
        <v>0</v>
      </c>
      <c r="COO29">
        <f t="shared" si="1766"/>
        <v>0</v>
      </c>
      <c r="COP29">
        <f t="shared" si="60"/>
        <v>0</v>
      </c>
      <c r="COQ29">
        <f t="shared" si="1767"/>
        <v>0</v>
      </c>
      <c r="COR29">
        <f t="shared" si="1768"/>
        <v>0</v>
      </c>
      <c r="COS29">
        <f t="shared" si="1769"/>
        <v>0</v>
      </c>
      <c r="COT29">
        <f t="shared" si="1770"/>
        <v>0</v>
      </c>
      <c r="COU29">
        <f t="shared" si="1771"/>
        <v>0</v>
      </c>
      <c r="COV29">
        <f t="shared" si="1772"/>
        <v>0</v>
      </c>
      <c r="COW29">
        <f t="shared" si="1773"/>
        <v>0</v>
      </c>
      <c r="COX29">
        <f t="shared" si="1774"/>
        <v>0</v>
      </c>
      <c r="COY29">
        <f t="shared" si="1775"/>
        <v>0</v>
      </c>
      <c r="COZ29">
        <f t="shared" si="1776"/>
        <v>0</v>
      </c>
      <c r="CPA29">
        <f t="shared" si="1777"/>
        <v>0</v>
      </c>
      <c r="CPB29">
        <f t="shared" si="1778"/>
        <v>0</v>
      </c>
      <c r="CPC29">
        <f t="shared" si="1779"/>
        <v>0</v>
      </c>
      <c r="CPD29">
        <f t="shared" si="1780"/>
        <v>0</v>
      </c>
      <c r="CPE29">
        <f t="shared" si="1781"/>
        <v>0</v>
      </c>
      <c r="CPF29">
        <f t="shared" si="1782"/>
        <v>0</v>
      </c>
      <c r="CPG29">
        <f t="shared" si="1783"/>
        <v>0</v>
      </c>
      <c r="CPH29">
        <f t="shared" si="1784"/>
        <v>0</v>
      </c>
      <c r="CPI29">
        <f t="shared" si="1785"/>
        <v>0</v>
      </c>
      <c r="CPJ29">
        <f t="shared" si="1786"/>
        <v>0</v>
      </c>
      <c r="CPK29">
        <f t="shared" si="1787"/>
        <v>0</v>
      </c>
      <c r="CPL29">
        <f t="shared" si="1788"/>
        <v>0</v>
      </c>
      <c r="CPM29">
        <f t="shared" si="1789"/>
        <v>0</v>
      </c>
      <c r="CPN29">
        <f t="shared" si="1790"/>
        <v>0</v>
      </c>
      <c r="CPO29">
        <f t="shared" si="1791"/>
        <v>0</v>
      </c>
      <c r="CPP29">
        <f t="shared" si="1792"/>
        <v>0</v>
      </c>
      <c r="CPQ29">
        <f t="shared" si="1793"/>
        <v>0</v>
      </c>
      <c r="CPR29">
        <f t="shared" si="1794"/>
        <v>0</v>
      </c>
      <c r="CPS29">
        <f t="shared" si="1795"/>
        <v>0</v>
      </c>
      <c r="CPT29">
        <f t="shared" si="1796"/>
        <v>0</v>
      </c>
      <c r="CPU29">
        <f t="shared" si="1797"/>
        <v>0</v>
      </c>
      <c r="CPV29">
        <f t="shared" si="1798"/>
        <v>0</v>
      </c>
      <c r="CPW29">
        <f t="shared" si="1799"/>
        <v>0</v>
      </c>
      <c r="CPX29">
        <f t="shared" si="1800"/>
        <v>0</v>
      </c>
      <c r="CPY29">
        <f t="shared" si="1801"/>
        <v>0</v>
      </c>
      <c r="CPZ29">
        <f t="shared" si="1802"/>
        <v>0</v>
      </c>
      <c r="CQA29">
        <f t="shared" si="1803"/>
        <v>0</v>
      </c>
      <c r="CQB29">
        <f t="shared" si="1804"/>
        <v>0</v>
      </c>
      <c r="CQC29">
        <f t="shared" si="1805"/>
        <v>0</v>
      </c>
      <c r="CQD29">
        <f t="shared" si="1806"/>
        <v>0</v>
      </c>
      <c r="CQE29">
        <f t="shared" si="1807"/>
        <v>0</v>
      </c>
      <c r="CQF29">
        <f t="shared" si="1808"/>
        <v>0</v>
      </c>
      <c r="CQG29">
        <f t="shared" si="1809"/>
        <v>0</v>
      </c>
      <c r="CQH29">
        <f t="shared" si="1810"/>
        <v>0</v>
      </c>
      <c r="CQI29">
        <f t="shared" si="1811"/>
        <v>0</v>
      </c>
      <c r="CQJ29">
        <f t="shared" si="1812"/>
        <v>0</v>
      </c>
      <c r="CQK29">
        <f t="shared" si="1813"/>
        <v>0</v>
      </c>
      <c r="CQL29">
        <f t="shared" si="1814"/>
        <v>0</v>
      </c>
      <c r="CQM29">
        <f t="shared" si="1815"/>
        <v>0</v>
      </c>
      <c r="CQN29">
        <f t="shared" si="1816"/>
        <v>0</v>
      </c>
      <c r="CQO29">
        <f t="shared" si="1817"/>
        <v>0</v>
      </c>
      <c r="CQP29">
        <f t="shared" si="1818"/>
        <v>0</v>
      </c>
      <c r="CQQ29">
        <f t="shared" si="1819"/>
        <v>0</v>
      </c>
      <c r="CQR29">
        <f t="shared" si="1820"/>
        <v>0</v>
      </c>
      <c r="CQS29">
        <f t="shared" si="1821"/>
        <v>0</v>
      </c>
      <c r="CQT29">
        <f t="shared" si="1822"/>
        <v>0</v>
      </c>
      <c r="CQU29">
        <f t="shared" si="1823"/>
        <v>0</v>
      </c>
      <c r="CQV29">
        <f t="shared" si="1824"/>
        <v>0</v>
      </c>
      <c r="CQW29">
        <f t="shared" si="1825"/>
        <v>0</v>
      </c>
      <c r="CQX29">
        <f t="shared" si="1826"/>
        <v>0</v>
      </c>
      <c r="CQY29">
        <f t="shared" si="1827"/>
        <v>0</v>
      </c>
      <c r="CQZ29">
        <f t="shared" si="1828"/>
        <v>0</v>
      </c>
      <c r="CRA29">
        <f t="shared" si="1829"/>
        <v>0</v>
      </c>
      <c r="CRB29">
        <f t="shared" si="61"/>
        <v>0</v>
      </c>
      <c r="CRC29">
        <f t="shared" si="1830"/>
        <v>0</v>
      </c>
      <c r="CRD29">
        <f t="shared" si="1831"/>
        <v>0</v>
      </c>
      <c r="CRE29">
        <f t="shared" si="1832"/>
        <v>0</v>
      </c>
      <c r="CRF29">
        <f t="shared" si="1833"/>
        <v>0</v>
      </c>
      <c r="CRG29">
        <f t="shared" si="1834"/>
        <v>0</v>
      </c>
      <c r="CRH29">
        <f t="shared" si="1835"/>
        <v>0</v>
      </c>
      <c r="CRI29">
        <f t="shared" si="1836"/>
        <v>0</v>
      </c>
      <c r="CRJ29">
        <f t="shared" si="1837"/>
        <v>0</v>
      </c>
      <c r="CRK29">
        <f t="shared" si="1838"/>
        <v>0</v>
      </c>
      <c r="CRL29">
        <f t="shared" si="1839"/>
        <v>0</v>
      </c>
      <c r="CRM29">
        <f t="shared" si="1840"/>
        <v>0</v>
      </c>
      <c r="CRN29">
        <f t="shared" si="1841"/>
        <v>0</v>
      </c>
      <c r="CRO29">
        <f t="shared" si="1842"/>
        <v>0</v>
      </c>
      <c r="CRP29">
        <f t="shared" si="1843"/>
        <v>0</v>
      </c>
      <c r="CRQ29">
        <f t="shared" si="1844"/>
        <v>0</v>
      </c>
      <c r="CRR29">
        <f t="shared" si="1845"/>
        <v>0</v>
      </c>
      <c r="CRS29">
        <f t="shared" si="1846"/>
        <v>0</v>
      </c>
      <c r="CRT29">
        <f t="shared" si="1847"/>
        <v>0</v>
      </c>
      <c r="CRU29">
        <f t="shared" si="1848"/>
        <v>0</v>
      </c>
      <c r="CRV29">
        <f t="shared" si="1849"/>
        <v>0</v>
      </c>
      <c r="CRW29">
        <f t="shared" si="1850"/>
        <v>0</v>
      </c>
      <c r="CRX29">
        <f t="shared" si="1851"/>
        <v>0</v>
      </c>
      <c r="CRY29">
        <f t="shared" si="1852"/>
        <v>0</v>
      </c>
      <c r="CRZ29">
        <f t="shared" si="1853"/>
        <v>0</v>
      </c>
      <c r="CSA29">
        <f t="shared" si="1854"/>
        <v>0</v>
      </c>
      <c r="CSB29">
        <f t="shared" si="1855"/>
        <v>0</v>
      </c>
      <c r="CSC29">
        <f t="shared" si="1856"/>
        <v>0</v>
      </c>
      <c r="CSD29">
        <f t="shared" si="1857"/>
        <v>0</v>
      </c>
      <c r="CSE29">
        <f t="shared" si="1858"/>
        <v>0</v>
      </c>
      <c r="CSF29">
        <f t="shared" si="1859"/>
        <v>0</v>
      </c>
      <c r="CSG29">
        <f t="shared" si="1860"/>
        <v>0</v>
      </c>
      <c r="CSH29">
        <f t="shared" si="1861"/>
        <v>0</v>
      </c>
      <c r="CSI29">
        <f t="shared" si="1862"/>
        <v>0</v>
      </c>
      <c r="CSJ29">
        <f t="shared" si="1863"/>
        <v>0</v>
      </c>
      <c r="CSK29">
        <f t="shared" si="1864"/>
        <v>0</v>
      </c>
      <c r="CSL29">
        <f t="shared" si="1865"/>
        <v>0</v>
      </c>
      <c r="CSM29">
        <f t="shared" si="1866"/>
        <v>0</v>
      </c>
      <c r="CSN29">
        <f t="shared" si="1867"/>
        <v>0</v>
      </c>
      <c r="CSO29">
        <f t="shared" si="1868"/>
        <v>0</v>
      </c>
      <c r="CSP29">
        <f t="shared" si="1869"/>
        <v>0</v>
      </c>
      <c r="CSQ29">
        <f t="shared" si="1870"/>
        <v>0</v>
      </c>
      <c r="CSR29">
        <f t="shared" si="1871"/>
        <v>0</v>
      </c>
      <c r="CSS29">
        <f t="shared" si="1872"/>
        <v>0</v>
      </c>
      <c r="CST29">
        <f t="shared" si="1873"/>
        <v>0</v>
      </c>
      <c r="CSU29">
        <f t="shared" si="1874"/>
        <v>0</v>
      </c>
      <c r="CSV29">
        <f t="shared" si="1875"/>
        <v>0</v>
      </c>
      <c r="CSW29">
        <f t="shared" si="1876"/>
        <v>0</v>
      </c>
      <c r="CSX29">
        <f t="shared" si="1877"/>
        <v>0</v>
      </c>
      <c r="CSY29">
        <f t="shared" si="1878"/>
        <v>0</v>
      </c>
      <c r="CSZ29">
        <f t="shared" si="1879"/>
        <v>0</v>
      </c>
      <c r="CTA29">
        <f t="shared" si="1880"/>
        <v>0</v>
      </c>
      <c r="CTB29">
        <f t="shared" si="1881"/>
        <v>0</v>
      </c>
      <c r="CTC29">
        <f t="shared" si="1882"/>
        <v>0</v>
      </c>
      <c r="CTD29">
        <f t="shared" si="1883"/>
        <v>0</v>
      </c>
      <c r="CTE29">
        <f t="shared" si="1884"/>
        <v>0</v>
      </c>
      <c r="CTF29">
        <f t="shared" si="1885"/>
        <v>0</v>
      </c>
      <c r="CTG29">
        <f t="shared" si="1886"/>
        <v>0</v>
      </c>
      <c r="CTH29">
        <f t="shared" si="1887"/>
        <v>0</v>
      </c>
      <c r="CTI29">
        <f t="shared" si="1888"/>
        <v>0</v>
      </c>
      <c r="CTJ29">
        <f t="shared" si="1889"/>
        <v>0</v>
      </c>
      <c r="CTK29">
        <f t="shared" si="1890"/>
        <v>0</v>
      </c>
      <c r="CTL29">
        <f t="shared" si="1891"/>
        <v>0</v>
      </c>
      <c r="CTM29">
        <f t="shared" si="1892"/>
        <v>0</v>
      </c>
      <c r="CTN29">
        <f t="shared" si="62"/>
        <v>0</v>
      </c>
      <c r="CTO29">
        <f t="shared" si="1893"/>
        <v>0</v>
      </c>
      <c r="CTP29">
        <f t="shared" si="1894"/>
        <v>0</v>
      </c>
      <c r="CTQ29">
        <f t="shared" si="1895"/>
        <v>0</v>
      </c>
      <c r="CTR29">
        <f t="shared" si="1896"/>
        <v>0</v>
      </c>
      <c r="CTS29">
        <f t="shared" si="1897"/>
        <v>0</v>
      </c>
      <c r="CTT29">
        <f t="shared" si="1898"/>
        <v>0</v>
      </c>
      <c r="CTU29">
        <f t="shared" si="1899"/>
        <v>0</v>
      </c>
      <c r="CTV29">
        <f t="shared" si="1900"/>
        <v>0</v>
      </c>
      <c r="CTW29">
        <f t="shared" si="1901"/>
        <v>0</v>
      </c>
      <c r="CTX29">
        <f t="shared" si="1902"/>
        <v>0</v>
      </c>
      <c r="CTY29">
        <f t="shared" si="1903"/>
        <v>0</v>
      </c>
      <c r="CTZ29">
        <f t="shared" si="1904"/>
        <v>0</v>
      </c>
      <c r="CUA29">
        <f t="shared" si="1905"/>
        <v>0</v>
      </c>
      <c r="CUB29">
        <f t="shared" si="1906"/>
        <v>0</v>
      </c>
      <c r="CUC29">
        <f t="shared" si="1907"/>
        <v>0</v>
      </c>
      <c r="CUD29">
        <f t="shared" si="1908"/>
        <v>0</v>
      </c>
      <c r="CUE29">
        <f t="shared" si="1909"/>
        <v>0</v>
      </c>
      <c r="CUF29">
        <f t="shared" si="1910"/>
        <v>0</v>
      </c>
      <c r="CUG29">
        <f t="shared" si="1911"/>
        <v>0</v>
      </c>
      <c r="CUH29">
        <f t="shared" si="1912"/>
        <v>0</v>
      </c>
      <c r="CUI29">
        <f t="shared" si="1913"/>
        <v>0</v>
      </c>
      <c r="CUJ29">
        <f t="shared" si="1914"/>
        <v>0</v>
      </c>
      <c r="CUK29">
        <f t="shared" si="1915"/>
        <v>0</v>
      </c>
      <c r="CUL29">
        <f t="shared" si="1916"/>
        <v>0</v>
      </c>
      <c r="CUM29">
        <f t="shared" si="1917"/>
        <v>0</v>
      </c>
      <c r="CUN29">
        <f t="shared" si="1918"/>
        <v>0</v>
      </c>
      <c r="CUO29">
        <f t="shared" si="1919"/>
        <v>0</v>
      </c>
      <c r="CUP29">
        <f t="shared" si="1920"/>
        <v>0</v>
      </c>
      <c r="CUQ29">
        <f t="shared" si="1921"/>
        <v>0</v>
      </c>
      <c r="CUR29">
        <f t="shared" si="1922"/>
        <v>0</v>
      </c>
      <c r="CUS29">
        <f t="shared" si="1923"/>
        <v>0</v>
      </c>
      <c r="CUT29">
        <f t="shared" si="1924"/>
        <v>0</v>
      </c>
      <c r="CUU29">
        <f t="shared" si="1925"/>
        <v>0</v>
      </c>
      <c r="CUV29">
        <f t="shared" si="1926"/>
        <v>0</v>
      </c>
      <c r="CUW29">
        <f t="shared" si="1927"/>
        <v>0</v>
      </c>
      <c r="CUX29">
        <f t="shared" si="1928"/>
        <v>0</v>
      </c>
      <c r="CUY29">
        <f t="shared" si="1929"/>
        <v>0</v>
      </c>
      <c r="CUZ29">
        <f t="shared" si="1930"/>
        <v>0</v>
      </c>
      <c r="CVA29">
        <f t="shared" si="1931"/>
        <v>0</v>
      </c>
      <c r="CVB29">
        <f t="shared" si="1932"/>
        <v>0</v>
      </c>
      <c r="CVC29">
        <f t="shared" si="1933"/>
        <v>0</v>
      </c>
      <c r="CVD29">
        <f t="shared" si="1934"/>
        <v>0</v>
      </c>
      <c r="CVE29">
        <f t="shared" si="1935"/>
        <v>0</v>
      </c>
      <c r="CVF29">
        <f t="shared" si="1936"/>
        <v>0</v>
      </c>
      <c r="CVG29">
        <f t="shared" si="1937"/>
        <v>0</v>
      </c>
      <c r="CVH29">
        <f t="shared" si="1938"/>
        <v>0</v>
      </c>
      <c r="CVI29">
        <f t="shared" si="1939"/>
        <v>0</v>
      </c>
      <c r="CVJ29">
        <f t="shared" si="1940"/>
        <v>0</v>
      </c>
      <c r="CVK29">
        <f t="shared" si="1941"/>
        <v>0</v>
      </c>
      <c r="CVL29">
        <f t="shared" si="1942"/>
        <v>0</v>
      </c>
      <c r="CVM29">
        <f t="shared" si="1943"/>
        <v>0</v>
      </c>
      <c r="CVN29">
        <f t="shared" si="1944"/>
        <v>0</v>
      </c>
      <c r="CVO29">
        <f t="shared" si="1945"/>
        <v>0</v>
      </c>
      <c r="CVP29">
        <f t="shared" si="1946"/>
        <v>0</v>
      </c>
      <c r="CVQ29">
        <f t="shared" si="1947"/>
        <v>0</v>
      </c>
      <c r="CVR29">
        <f t="shared" si="1948"/>
        <v>0</v>
      </c>
      <c r="CVS29">
        <f t="shared" si="1949"/>
        <v>0</v>
      </c>
      <c r="CVT29">
        <f t="shared" si="1950"/>
        <v>0</v>
      </c>
      <c r="CVU29">
        <f t="shared" si="1951"/>
        <v>0</v>
      </c>
      <c r="CVV29">
        <f t="shared" si="1952"/>
        <v>0</v>
      </c>
      <c r="CVW29">
        <f t="shared" si="1953"/>
        <v>0</v>
      </c>
      <c r="CVX29">
        <f t="shared" si="1954"/>
        <v>0</v>
      </c>
      <c r="CVY29">
        <f t="shared" si="1955"/>
        <v>0</v>
      </c>
      <c r="CVZ29">
        <f t="shared" si="63"/>
        <v>0</v>
      </c>
      <c r="CWA29">
        <f t="shared" si="1956"/>
        <v>0</v>
      </c>
      <c r="CWB29">
        <f t="shared" si="1957"/>
        <v>0</v>
      </c>
      <c r="CWC29">
        <f t="shared" si="1958"/>
        <v>0</v>
      </c>
      <c r="CWD29">
        <f t="shared" si="1959"/>
        <v>0</v>
      </c>
      <c r="CWE29">
        <f t="shared" si="1960"/>
        <v>0</v>
      </c>
      <c r="CWF29">
        <f t="shared" si="1961"/>
        <v>0</v>
      </c>
      <c r="CWG29">
        <f t="shared" si="1962"/>
        <v>0</v>
      </c>
      <c r="CWH29">
        <f t="shared" si="1963"/>
        <v>0</v>
      </c>
      <c r="CWI29">
        <f t="shared" si="1964"/>
        <v>0</v>
      </c>
      <c r="CWJ29">
        <f t="shared" si="1965"/>
        <v>0</v>
      </c>
      <c r="CWK29">
        <f t="shared" si="1966"/>
        <v>0</v>
      </c>
      <c r="CWL29">
        <f t="shared" si="1967"/>
        <v>0</v>
      </c>
      <c r="CWM29">
        <f t="shared" si="1968"/>
        <v>0</v>
      </c>
      <c r="CWN29">
        <f t="shared" si="1969"/>
        <v>0</v>
      </c>
      <c r="CWO29">
        <f t="shared" si="1970"/>
        <v>0</v>
      </c>
      <c r="CWP29">
        <f t="shared" si="1971"/>
        <v>0</v>
      </c>
      <c r="CWQ29">
        <f t="shared" si="1972"/>
        <v>0</v>
      </c>
      <c r="CWR29">
        <f t="shared" si="1973"/>
        <v>0</v>
      </c>
      <c r="CWS29">
        <f t="shared" si="1974"/>
        <v>0</v>
      </c>
      <c r="CWT29">
        <f t="shared" si="1975"/>
        <v>0</v>
      </c>
      <c r="CWU29">
        <f t="shared" si="1976"/>
        <v>0</v>
      </c>
      <c r="CWV29">
        <f t="shared" si="1977"/>
        <v>0</v>
      </c>
      <c r="CWW29">
        <f t="shared" si="1978"/>
        <v>0</v>
      </c>
      <c r="CWX29">
        <f t="shared" si="1979"/>
        <v>0</v>
      </c>
      <c r="CWY29">
        <f t="shared" si="1980"/>
        <v>0</v>
      </c>
      <c r="CWZ29">
        <f t="shared" si="1981"/>
        <v>0</v>
      </c>
      <c r="CXA29">
        <f t="shared" si="1982"/>
        <v>0</v>
      </c>
      <c r="CXB29">
        <f t="shared" si="1983"/>
        <v>0</v>
      </c>
      <c r="CXC29">
        <f t="shared" si="1984"/>
        <v>0</v>
      </c>
      <c r="CXD29">
        <f t="shared" si="1985"/>
        <v>0</v>
      </c>
      <c r="CXE29">
        <f t="shared" si="1986"/>
        <v>0</v>
      </c>
      <c r="CXF29">
        <f t="shared" si="1987"/>
        <v>0</v>
      </c>
      <c r="CXG29">
        <f t="shared" si="1988"/>
        <v>0</v>
      </c>
      <c r="CXH29">
        <f t="shared" si="1989"/>
        <v>0</v>
      </c>
      <c r="CXI29">
        <f t="shared" si="1990"/>
        <v>0</v>
      </c>
      <c r="CXJ29">
        <f t="shared" si="1991"/>
        <v>0</v>
      </c>
      <c r="CXK29">
        <f t="shared" si="1992"/>
        <v>0</v>
      </c>
      <c r="CXL29">
        <f t="shared" si="1993"/>
        <v>0</v>
      </c>
      <c r="CXM29">
        <f t="shared" si="1994"/>
        <v>0</v>
      </c>
      <c r="CXN29">
        <f t="shared" si="1995"/>
        <v>0</v>
      </c>
      <c r="CXO29">
        <f t="shared" si="1996"/>
        <v>0</v>
      </c>
      <c r="CXP29">
        <f t="shared" si="1997"/>
        <v>0</v>
      </c>
      <c r="CXQ29">
        <f t="shared" si="1998"/>
        <v>0</v>
      </c>
      <c r="CXR29">
        <f t="shared" si="1999"/>
        <v>0</v>
      </c>
      <c r="CXS29">
        <f t="shared" si="2000"/>
        <v>0</v>
      </c>
      <c r="CXT29">
        <f t="shared" si="2001"/>
        <v>0</v>
      </c>
      <c r="CXU29">
        <f t="shared" si="2002"/>
        <v>0</v>
      </c>
      <c r="CXV29">
        <f t="shared" si="2003"/>
        <v>0</v>
      </c>
      <c r="CXW29">
        <f t="shared" si="2004"/>
        <v>0</v>
      </c>
      <c r="CXX29">
        <f t="shared" si="2005"/>
        <v>0</v>
      </c>
      <c r="CXY29">
        <f t="shared" si="2006"/>
        <v>0</v>
      </c>
      <c r="CXZ29">
        <f t="shared" si="2007"/>
        <v>0</v>
      </c>
      <c r="CYA29">
        <f t="shared" si="2008"/>
        <v>0</v>
      </c>
      <c r="CYB29">
        <f t="shared" si="2009"/>
        <v>0</v>
      </c>
      <c r="CYC29">
        <f t="shared" si="2010"/>
        <v>0</v>
      </c>
      <c r="CYD29">
        <f t="shared" si="2011"/>
        <v>0</v>
      </c>
      <c r="CYE29">
        <f t="shared" si="2012"/>
        <v>0</v>
      </c>
      <c r="CYF29">
        <f t="shared" si="2013"/>
        <v>0</v>
      </c>
      <c r="CYG29">
        <f t="shared" si="2014"/>
        <v>0</v>
      </c>
      <c r="CYH29">
        <f t="shared" si="2015"/>
        <v>0</v>
      </c>
      <c r="CYI29">
        <f t="shared" si="2016"/>
        <v>0</v>
      </c>
      <c r="CYJ29">
        <f t="shared" si="2017"/>
        <v>0</v>
      </c>
      <c r="CYK29">
        <f t="shared" si="2018"/>
        <v>0</v>
      </c>
      <c r="CYL29">
        <f t="shared" si="64"/>
        <v>0</v>
      </c>
      <c r="CYM29">
        <f t="shared" si="2019"/>
        <v>0</v>
      </c>
      <c r="CYN29">
        <f t="shared" si="2020"/>
        <v>0</v>
      </c>
      <c r="CYO29">
        <f t="shared" si="2021"/>
        <v>0</v>
      </c>
      <c r="CYP29">
        <f t="shared" si="2022"/>
        <v>0</v>
      </c>
      <c r="CYQ29">
        <f t="shared" si="2023"/>
        <v>0</v>
      </c>
      <c r="CYR29">
        <f t="shared" si="2024"/>
        <v>0</v>
      </c>
      <c r="CYS29">
        <f t="shared" si="2025"/>
        <v>0</v>
      </c>
      <c r="CYT29">
        <f t="shared" si="2026"/>
        <v>0</v>
      </c>
      <c r="CYU29">
        <f t="shared" si="2027"/>
        <v>0</v>
      </c>
      <c r="CYV29">
        <f t="shared" si="2028"/>
        <v>0</v>
      </c>
      <c r="CYW29">
        <f t="shared" si="2029"/>
        <v>0</v>
      </c>
      <c r="CYX29">
        <f t="shared" si="2030"/>
        <v>0</v>
      </c>
      <c r="CYY29">
        <f t="shared" si="2031"/>
        <v>0</v>
      </c>
      <c r="CYZ29">
        <f t="shared" si="2032"/>
        <v>0</v>
      </c>
      <c r="CZA29">
        <f t="shared" si="2033"/>
        <v>0</v>
      </c>
      <c r="CZB29">
        <f t="shared" si="2034"/>
        <v>0</v>
      </c>
      <c r="CZC29">
        <f t="shared" si="2035"/>
        <v>0</v>
      </c>
      <c r="CZD29">
        <f t="shared" si="2036"/>
        <v>0</v>
      </c>
      <c r="CZE29">
        <f t="shared" si="2037"/>
        <v>0</v>
      </c>
      <c r="CZF29">
        <f t="shared" si="2038"/>
        <v>0</v>
      </c>
      <c r="CZG29">
        <f t="shared" si="2039"/>
        <v>0</v>
      </c>
      <c r="CZH29">
        <f t="shared" si="2040"/>
        <v>0</v>
      </c>
      <c r="CZI29">
        <f t="shared" si="2041"/>
        <v>0</v>
      </c>
      <c r="CZJ29">
        <f t="shared" si="2042"/>
        <v>0</v>
      </c>
      <c r="CZK29">
        <f t="shared" si="2043"/>
        <v>0</v>
      </c>
      <c r="CZL29">
        <f t="shared" si="2044"/>
        <v>0</v>
      </c>
      <c r="CZM29">
        <f t="shared" si="2045"/>
        <v>0</v>
      </c>
      <c r="CZN29">
        <f t="shared" si="2046"/>
        <v>0</v>
      </c>
      <c r="CZO29">
        <f t="shared" si="2047"/>
        <v>0</v>
      </c>
      <c r="CZP29">
        <f t="shared" si="2048"/>
        <v>0</v>
      </c>
      <c r="CZQ29">
        <f t="shared" si="2049"/>
        <v>0</v>
      </c>
      <c r="CZR29">
        <f t="shared" si="2050"/>
        <v>0</v>
      </c>
      <c r="CZS29">
        <f t="shared" si="2051"/>
        <v>0</v>
      </c>
      <c r="CZT29">
        <f t="shared" si="2052"/>
        <v>0</v>
      </c>
      <c r="CZU29">
        <f t="shared" si="2053"/>
        <v>0</v>
      </c>
      <c r="CZV29">
        <f t="shared" si="2054"/>
        <v>0</v>
      </c>
      <c r="CZW29">
        <f t="shared" si="2055"/>
        <v>0</v>
      </c>
      <c r="CZX29">
        <f t="shared" si="2056"/>
        <v>0</v>
      </c>
      <c r="CZY29">
        <f t="shared" si="2057"/>
        <v>0</v>
      </c>
      <c r="CZZ29">
        <f t="shared" si="2058"/>
        <v>0</v>
      </c>
      <c r="DAA29">
        <f t="shared" si="2059"/>
        <v>0</v>
      </c>
      <c r="DAB29">
        <f t="shared" si="2060"/>
        <v>0</v>
      </c>
      <c r="DAC29">
        <f t="shared" si="2061"/>
        <v>0</v>
      </c>
      <c r="DAD29">
        <f t="shared" si="2062"/>
        <v>0</v>
      </c>
      <c r="DAE29">
        <f t="shared" si="2063"/>
        <v>0</v>
      </c>
      <c r="DAF29">
        <f t="shared" si="2064"/>
        <v>0</v>
      </c>
      <c r="DAG29">
        <f t="shared" si="2065"/>
        <v>0</v>
      </c>
      <c r="DAH29">
        <f t="shared" si="2066"/>
        <v>0</v>
      </c>
      <c r="DAI29">
        <f t="shared" si="2067"/>
        <v>0</v>
      </c>
      <c r="DAJ29">
        <f t="shared" si="2068"/>
        <v>0</v>
      </c>
      <c r="DAK29">
        <f t="shared" si="2069"/>
        <v>0</v>
      </c>
      <c r="DAL29">
        <f t="shared" si="2070"/>
        <v>0</v>
      </c>
      <c r="DAM29">
        <f t="shared" si="2071"/>
        <v>0</v>
      </c>
      <c r="DAN29">
        <f t="shared" si="2072"/>
        <v>0</v>
      </c>
      <c r="DAO29">
        <f t="shared" si="2073"/>
        <v>0</v>
      </c>
      <c r="DAP29">
        <f t="shared" si="2074"/>
        <v>0</v>
      </c>
      <c r="DAQ29">
        <f t="shared" si="2075"/>
        <v>0</v>
      </c>
      <c r="DAR29">
        <f t="shared" si="2076"/>
        <v>0</v>
      </c>
      <c r="DAS29">
        <f t="shared" si="2077"/>
        <v>0</v>
      </c>
      <c r="DAT29">
        <f t="shared" si="2078"/>
        <v>0</v>
      </c>
      <c r="DAU29">
        <f t="shared" si="2079"/>
        <v>0</v>
      </c>
      <c r="DAV29">
        <f t="shared" si="2080"/>
        <v>0</v>
      </c>
      <c r="DAW29">
        <f t="shared" si="2081"/>
        <v>0</v>
      </c>
      <c r="DAX29">
        <f t="shared" si="65"/>
        <v>0</v>
      </c>
      <c r="DAY29">
        <f t="shared" si="2142"/>
        <v>0</v>
      </c>
      <c r="DAZ29">
        <f t="shared" si="2143"/>
        <v>0</v>
      </c>
      <c r="DBA29">
        <f t="shared" si="2144"/>
        <v>0</v>
      </c>
      <c r="DBB29">
        <f t="shared" si="2082"/>
        <v>0</v>
      </c>
      <c r="DBC29">
        <f t="shared" si="2083"/>
        <v>0</v>
      </c>
      <c r="DBD29">
        <f t="shared" si="2084"/>
        <v>0</v>
      </c>
      <c r="DBE29">
        <f t="shared" si="2085"/>
        <v>0</v>
      </c>
      <c r="DBF29">
        <f t="shared" si="2086"/>
        <v>0</v>
      </c>
      <c r="DBG29">
        <f t="shared" si="2087"/>
        <v>0</v>
      </c>
      <c r="DBH29">
        <f t="shared" si="2088"/>
        <v>0</v>
      </c>
      <c r="DBI29">
        <f t="shared" si="2089"/>
        <v>0</v>
      </c>
      <c r="DBJ29">
        <f t="shared" si="2090"/>
        <v>0</v>
      </c>
      <c r="DBK29">
        <f t="shared" si="2091"/>
        <v>0</v>
      </c>
      <c r="DBL29">
        <f t="shared" si="2092"/>
        <v>0</v>
      </c>
      <c r="DBM29">
        <f t="shared" si="2093"/>
        <v>0</v>
      </c>
      <c r="DBN29">
        <f t="shared" si="2094"/>
        <v>0</v>
      </c>
      <c r="DBO29">
        <f t="shared" si="2095"/>
        <v>0</v>
      </c>
      <c r="DBP29">
        <f t="shared" si="2096"/>
        <v>0</v>
      </c>
      <c r="DBQ29">
        <f t="shared" si="2097"/>
        <v>0</v>
      </c>
      <c r="DBR29">
        <f t="shared" si="2098"/>
        <v>0</v>
      </c>
      <c r="DBS29">
        <f t="shared" si="2099"/>
        <v>0</v>
      </c>
      <c r="DBT29">
        <f t="shared" si="2100"/>
        <v>0</v>
      </c>
      <c r="DBU29">
        <f t="shared" si="2101"/>
        <v>0</v>
      </c>
      <c r="DBV29">
        <f t="shared" si="2102"/>
        <v>0</v>
      </c>
      <c r="DBW29">
        <f t="shared" si="2103"/>
        <v>0</v>
      </c>
      <c r="DBX29">
        <f t="shared" si="2104"/>
        <v>0</v>
      </c>
      <c r="DBY29">
        <f t="shared" si="2105"/>
        <v>0</v>
      </c>
      <c r="DBZ29">
        <f t="shared" si="2106"/>
        <v>0</v>
      </c>
      <c r="DCA29">
        <f t="shared" si="2107"/>
        <v>0</v>
      </c>
      <c r="DCB29">
        <f t="shared" si="2108"/>
        <v>0</v>
      </c>
      <c r="DCC29">
        <f t="shared" si="2109"/>
        <v>0</v>
      </c>
      <c r="DCD29">
        <f t="shared" si="2110"/>
        <v>0</v>
      </c>
      <c r="DCE29">
        <f t="shared" si="2111"/>
        <v>0</v>
      </c>
      <c r="DCF29">
        <f t="shared" si="2112"/>
        <v>0</v>
      </c>
      <c r="DCG29">
        <f t="shared" si="2113"/>
        <v>0</v>
      </c>
      <c r="DCH29">
        <f t="shared" si="2114"/>
        <v>0</v>
      </c>
      <c r="DCI29">
        <f t="shared" si="2115"/>
        <v>0</v>
      </c>
      <c r="DCJ29">
        <f t="shared" si="2116"/>
        <v>0</v>
      </c>
      <c r="DCK29">
        <f t="shared" si="2117"/>
        <v>0</v>
      </c>
      <c r="DCL29">
        <f t="shared" si="2118"/>
        <v>0</v>
      </c>
      <c r="DCM29">
        <f t="shared" si="2119"/>
        <v>0</v>
      </c>
      <c r="DCN29">
        <f t="shared" si="2120"/>
        <v>0</v>
      </c>
      <c r="DCO29">
        <f t="shared" si="2121"/>
        <v>0</v>
      </c>
      <c r="DCP29">
        <f t="shared" si="2122"/>
        <v>0</v>
      </c>
      <c r="DCQ29">
        <f t="shared" si="2123"/>
        <v>0</v>
      </c>
      <c r="DCR29">
        <f t="shared" si="2124"/>
        <v>0</v>
      </c>
      <c r="DCS29">
        <f t="shared" si="2125"/>
        <v>0</v>
      </c>
      <c r="DCT29">
        <f t="shared" si="2126"/>
        <v>0</v>
      </c>
      <c r="DCU29">
        <f t="shared" si="2127"/>
        <v>0</v>
      </c>
      <c r="DCV29">
        <f t="shared" si="2128"/>
        <v>0</v>
      </c>
      <c r="DCW29">
        <f t="shared" si="2129"/>
        <v>0</v>
      </c>
      <c r="DCX29">
        <f t="shared" si="2130"/>
        <v>0</v>
      </c>
      <c r="DCY29">
        <f t="shared" si="2131"/>
        <v>0</v>
      </c>
      <c r="DCZ29">
        <f t="shared" si="2132"/>
        <v>0</v>
      </c>
      <c r="DDA29">
        <f t="shared" si="2133"/>
        <v>0</v>
      </c>
      <c r="DDB29">
        <f t="shared" si="2134"/>
        <v>0</v>
      </c>
      <c r="DDC29">
        <f t="shared" si="2135"/>
        <v>0</v>
      </c>
      <c r="DDD29">
        <f t="shared" si="2136"/>
        <v>0</v>
      </c>
      <c r="DDE29">
        <f t="shared" si="2137"/>
        <v>0</v>
      </c>
      <c r="DDF29">
        <f t="shared" si="2138"/>
        <v>0</v>
      </c>
      <c r="DDG29">
        <f t="shared" si="2139"/>
        <v>0</v>
      </c>
      <c r="DDH29">
        <f t="shared" si="2140"/>
        <v>0</v>
      </c>
      <c r="DDI29">
        <f t="shared" si="2141"/>
        <v>0</v>
      </c>
    </row>
  </sheetData>
  <mergeCells count="641">
    <mergeCell ref="GR3:HM3"/>
    <mergeCell ref="HN3:II3"/>
    <mergeCell ref="IJ3:JE3"/>
    <mergeCell ref="B4:L4"/>
    <mergeCell ref="M4:W4"/>
    <mergeCell ref="X4:AH4"/>
    <mergeCell ref="AI4:AS4"/>
    <mergeCell ref="AT4:BD4"/>
    <mergeCell ref="BE4:BO4"/>
    <mergeCell ref="ED4:EN4"/>
    <mergeCell ref="EO4:EY4"/>
    <mergeCell ref="EZ4:FJ4"/>
    <mergeCell ref="FK4:FU4"/>
    <mergeCell ref="FV4:GF4"/>
    <mergeCell ref="GG4:GQ4"/>
    <mergeCell ref="BP4:BZ4"/>
    <mergeCell ref="CA4:CK4"/>
    <mergeCell ref="CL4:CV4"/>
    <mergeCell ref="CW4:DG4"/>
    <mergeCell ref="DH4:DR4"/>
    <mergeCell ref="DS4:EC4"/>
    <mergeCell ref="VX3:WS3"/>
    <mergeCell ref="WT3:XO3"/>
    <mergeCell ref="XP3:YK3"/>
    <mergeCell ref="TJ3:UE3"/>
    <mergeCell ref="UF3:VA3"/>
    <mergeCell ref="VB3:VW3"/>
    <mergeCell ref="QV3:RQ3"/>
    <mergeCell ref="RR3:SM3"/>
    <mergeCell ref="SN3:TI3"/>
    <mergeCell ref="OH3:PC3"/>
    <mergeCell ref="PD3:PY3"/>
    <mergeCell ref="PZ3:QU3"/>
    <mergeCell ref="LT3:MO3"/>
    <mergeCell ref="MP3:NK3"/>
    <mergeCell ref="NL3:OG3"/>
    <mergeCell ref="JF3:KA3"/>
    <mergeCell ref="KB3:KW3"/>
    <mergeCell ref="KX3:LS3"/>
    <mergeCell ref="JF4:JP4"/>
    <mergeCell ref="JQ4:KA4"/>
    <mergeCell ref="KB4:KL4"/>
    <mergeCell ref="KM4:KW4"/>
    <mergeCell ref="KX4:LH4"/>
    <mergeCell ref="LI4:LS4"/>
    <mergeCell ref="GR4:HB4"/>
    <mergeCell ref="HC4:HM4"/>
    <mergeCell ref="HN4:HX4"/>
    <mergeCell ref="HY4:II4"/>
    <mergeCell ref="IJ4:IT4"/>
    <mergeCell ref="IU4:JE4"/>
    <mergeCell ref="OH4:OR4"/>
    <mergeCell ref="OS4:PC4"/>
    <mergeCell ref="PD4:PN4"/>
    <mergeCell ref="PO4:PY4"/>
    <mergeCell ref="PZ4:QJ4"/>
    <mergeCell ref="QK4:QU4"/>
    <mergeCell ref="LT4:MD4"/>
    <mergeCell ref="ME4:MO4"/>
    <mergeCell ref="MP4:MZ4"/>
    <mergeCell ref="NA4:NK4"/>
    <mergeCell ref="NL4:NV4"/>
    <mergeCell ref="NW4:OG4"/>
    <mergeCell ref="YL4:YV4"/>
    <mergeCell ref="YW4:ZG4"/>
    <mergeCell ref="ZH4:ZR4"/>
    <mergeCell ref="ZS4:AAC4"/>
    <mergeCell ref="B2:W2"/>
    <mergeCell ref="X2:AS2"/>
    <mergeCell ref="VX4:WH4"/>
    <mergeCell ref="WI4:WS4"/>
    <mergeCell ref="WT4:XD4"/>
    <mergeCell ref="XE4:XO4"/>
    <mergeCell ref="XP4:XZ4"/>
    <mergeCell ref="YA4:YK4"/>
    <mergeCell ref="TJ4:TT4"/>
    <mergeCell ref="TU4:UE4"/>
    <mergeCell ref="UF4:UP4"/>
    <mergeCell ref="UQ4:VA4"/>
    <mergeCell ref="VB4:VL4"/>
    <mergeCell ref="VM4:VW4"/>
    <mergeCell ref="QV4:RF4"/>
    <mergeCell ref="RG4:RQ4"/>
    <mergeCell ref="RR4:SB4"/>
    <mergeCell ref="SC4:SM4"/>
    <mergeCell ref="SN4:SX4"/>
    <mergeCell ref="SY4:TI4"/>
    <mergeCell ref="FV2:GQ2"/>
    <mergeCell ref="GR2:HM2"/>
    <mergeCell ref="HN2:II2"/>
    <mergeCell ref="IJ2:JE2"/>
    <mergeCell ref="JF2:KA2"/>
    <mergeCell ref="KB2:KW2"/>
    <mergeCell ref="AT2:BO2"/>
    <mergeCell ref="BP2:CK2"/>
    <mergeCell ref="CL2:DG2"/>
    <mergeCell ref="DH2:EC2"/>
    <mergeCell ref="ED2:EY2"/>
    <mergeCell ref="EZ2:FU2"/>
    <mergeCell ref="YL2:ZG2"/>
    <mergeCell ref="ZH2:AAC2"/>
    <mergeCell ref="PZ2:QU2"/>
    <mergeCell ref="QV2:RQ2"/>
    <mergeCell ref="RR2:SM2"/>
    <mergeCell ref="SN2:TI2"/>
    <mergeCell ref="TJ2:UE2"/>
    <mergeCell ref="UF2:VA2"/>
    <mergeCell ref="KX2:LS2"/>
    <mergeCell ref="LT2:MO2"/>
    <mergeCell ref="MP2:NK2"/>
    <mergeCell ref="NL2:OG2"/>
    <mergeCell ref="OH2:PC2"/>
    <mergeCell ref="PD2:PY2"/>
    <mergeCell ref="YL3:ZG3"/>
    <mergeCell ref="ZH3:AAC3"/>
    <mergeCell ref="B1:W1"/>
    <mergeCell ref="X1:AS1"/>
    <mergeCell ref="AAZ2:ABU2"/>
    <mergeCell ref="ABV2:ACQ2"/>
    <mergeCell ref="GR1:HM1"/>
    <mergeCell ref="HN1:II1"/>
    <mergeCell ref="IJ1:JE1"/>
    <mergeCell ref="JF1:KA1"/>
    <mergeCell ref="AAD2:AAY2"/>
    <mergeCell ref="B3:W3"/>
    <mergeCell ref="X3:AS3"/>
    <mergeCell ref="AT3:BO3"/>
    <mergeCell ref="BP3:CK3"/>
    <mergeCell ref="CL3:DG3"/>
    <mergeCell ref="DH3:EC3"/>
    <mergeCell ref="ED3:EY3"/>
    <mergeCell ref="EZ3:FU3"/>
    <mergeCell ref="FV3:GQ3"/>
    <mergeCell ref="VB2:VW2"/>
    <mergeCell ref="VX2:WS2"/>
    <mergeCell ref="WT2:XO2"/>
    <mergeCell ref="XP2:YK2"/>
    <mergeCell ref="AJL2:AKG2"/>
    <mergeCell ref="AKH2:ALC2"/>
    <mergeCell ref="ALD2:ALY2"/>
    <mergeCell ref="ALZ2:AMU2"/>
    <mergeCell ref="ACR2:ADM2"/>
    <mergeCell ref="ADN2:AEI2"/>
    <mergeCell ref="AEJ2:AFE2"/>
    <mergeCell ref="AFF2:AGA2"/>
    <mergeCell ref="AGB2:AGW2"/>
    <mergeCell ref="AGX2:AHS2"/>
    <mergeCell ref="AWZ2:AXU2"/>
    <mergeCell ref="AXV2:AYQ2"/>
    <mergeCell ref="AYR2:AZM2"/>
    <mergeCell ref="AZN2:BAI2"/>
    <mergeCell ref="BAJ2:BBE2"/>
    <mergeCell ref="AAD3:AAY3"/>
    <mergeCell ref="AAZ3:ABU3"/>
    <mergeCell ref="ABV3:ACQ3"/>
    <mergeCell ref="ACR3:ADM3"/>
    <mergeCell ref="ADN3:AEI3"/>
    <mergeCell ref="ARX2:ASS2"/>
    <mergeCell ref="AST2:ATO2"/>
    <mergeCell ref="ATP2:AUK2"/>
    <mergeCell ref="AUL2:AVG2"/>
    <mergeCell ref="AVH2:AWC2"/>
    <mergeCell ref="AWD2:AWY2"/>
    <mergeCell ref="AMV2:ANQ2"/>
    <mergeCell ref="ANR2:AOM2"/>
    <mergeCell ref="AON2:API2"/>
    <mergeCell ref="APJ2:AQE2"/>
    <mergeCell ref="AQF2:ARA2"/>
    <mergeCell ref="ARB2:ARW2"/>
    <mergeCell ref="AHT2:AIO2"/>
    <mergeCell ref="AIP2:AJK2"/>
    <mergeCell ref="AVH3:AWC3"/>
    <mergeCell ref="AWD3:AWY3"/>
    <mergeCell ref="AWZ3:AXU3"/>
    <mergeCell ref="AXV3:AYQ3"/>
    <mergeCell ref="AON3:API3"/>
    <mergeCell ref="APJ3:AQE3"/>
    <mergeCell ref="AQF3:ARA3"/>
    <mergeCell ref="ARB3:ARW3"/>
    <mergeCell ref="ARX3:ASS3"/>
    <mergeCell ref="AST3:ATO3"/>
    <mergeCell ref="AAD4:AAN4"/>
    <mergeCell ref="AAO4:AAY4"/>
    <mergeCell ref="AAZ4:ABJ4"/>
    <mergeCell ref="ABK4:ABU4"/>
    <mergeCell ref="ABV4:ACF4"/>
    <mergeCell ref="ACG4:ACQ4"/>
    <mergeCell ref="ACR4:ADB4"/>
    <mergeCell ref="ATP3:AUK3"/>
    <mergeCell ref="AUL3:AVG3"/>
    <mergeCell ref="AJL3:AKG3"/>
    <mergeCell ref="AKH3:ALC3"/>
    <mergeCell ref="ALD3:ALY3"/>
    <mergeCell ref="ALZ3:AMU3"/>
    <mergeCell ref="AMV3:ANQ3"/>
    <mergeCell ref="ANR3:AOM3"/>
    <mergeCell ref="AEJ3:AFE3"/>
    <mergeCell ref="AFF3:AGA3"/>
    <mergeCell ref="AGB3:AGW3"/>
    <mergeCell ref="AGX3:AHS3"/>
    <mergeCell ref="AHT3:AIO3"/>
    <mergeCell ref="AIP3:AJK3"/>
    <mergeCell ref="AFQ4:AGA4"/>
    <mergeCell ref="AGB4:AGL4"/>
    <mergeCell ref="AGM4:AGW4"/>
    <mergeCell ref="AGX4:AHH4"/>
    <mergeCell ref="AHI4:AHS4"/>
    <mergeCell ref="AHT4:AID4"/>
    <mergeCell ref="ADC4:ADM4"/>
    <mergeCell ref="ADN4:ADX4"/>
    <mergeCell ref="ADY4:AEI4"/>
    <mergeCell ref="AEJ4:AET4"/>
    <mergeCell ref="AEU4:AFE4"/>
    <mergeCell ref="AFF4:AFP4"/>
    <mergeCell ref="AKS4:ALC4"/>
    <mergeCell ref="ALD4:ALN4"/>
    <mergeCell ref="ALO4:ALY4"/>
    <mergeCell ref="ALZ4:AMJ4"/>
    <mergeCell ref="AMK4:AMU4"/>
    <mergeCell ref="AMV4:ANF4"/>
    <mergeCell ref="AIE4:AIO4"/>
    <mergeCell ref="AIP4:AIZ4"/>
    <mergeCell ref="AJA4:AJK4"/>
    <mergeCell ref="AJL4:AJV4"/>
    <mergeCell ref="AJW4:AKG4"/>
    <mergeCell ref="AKH4:AKR4"/>
    <mergeCell ref="APU4:AQE4"/>
    <mergeCell ref="AQF4:AQP4"/>
    <mergeCell ref="AQQ4:ARA4"/>
    <mergeCell ref="ARB4:ARL4"/>
    <mergeCell ref="ARM4:ARW4"/>
    <mergeCell ref="ARX4:ASH4"/>
    <mergeCell ref="ANG4:ANQ4"/>
    <mergeCell ref="ANR4:AOB4"/>
    <mergeCell ref="AOC4:AOM4"/>
    <mergeCell ref="AON4:AOX4"/>
    <mergeCell ref="AOY4:API4"/>
    <mergeCell ref="APJ4:APT4"/>
    <mergeCell ref="AUW4:AVG4"/>
    <mergeCell ref="AVH4:AVR4"/>
    <mergeCell ref="AVS4:AWC4"/>
    <mergeCell ref="AWD4:AWN4"/>
    <mergeCell ref="AWO4:AWY4"/>
    <mergeCell ref="AWZ4:AXJ4"/>
    <mergeCell ref="ASI4:ASS4"/>
    <mergeCell ref="AST4:ATD4"/>
    <mergeCell ref="ATE4:ATO4"/>
    <mergeCell ref="ATP4:ATZ4"/>
    <mergeCell ref="AUA4:AUK4"/>
    <mergeCell ref="AUL4:AUV4"/>
    <mergeCell ref="AZY4:BAI4"/>
    <mergeCell ref="BAJ4:BAT4"/>
    <mergeCell ref="BAU4:BBE4"/>
    <mergeCell ref="BBF3:BCA3"/>
    <mergeCell ref="BCB3:BCW3"/>
    <mergeCell ref="BCX3:BDS3"/>
    <mergeCell ref="AXK4:AXU4"/>
    <mergeCell ref="AXV4:AYF4"/>
    <mergeCell ref="AYG4:AYQ4"/>
    <mergeCell ref="AYR4:AZB4"/>
    <mergeCell ref="AZC4:AZM4"/>
    <mergeCell ref="AZN4:AZX4"/>
    <mergeCell ref="AYR3:AZM3"/>
    <mergeCell ref="AZN3:BAI3"/>
    <mergeCell ref="BAJ3:BBE3"/>
    <mergeCell ref="BLJ3:BME3"/>
    <mergeCell ref="BMF3:BNA3"/>
    <mergeCell ref="BNB3:BNW3"/>
    <mergeCell ref="BDT3:BEO3"/>
    <mergeCell ref="BEP3:BFK3"/>
    <mergeCell ref="BFL3:BGG3"/>
    <mergeCell ref="BGH3:BHC3"/>
    <mergeCell ref="BHD3:BHY3"/>
    <mergeCell ref="BHZ3:BIU3"/>
    <mergeCell ref="BHO4:BHY4"/>
    <mergeCell ref="BHZ4:BIJ4"/>
    <mergeCell ref="BIK4:BIU4"/>
    <mergeCell ref="BIV4:BJF4"/>
    <mergeCell ref="BYB3:BYW3"/>
    <mergeCell ref="BYX3:BZS3"/>
    <mergeCell ref="BZT3:CAO3"/>
    <mergeCell ref="CAP3:CBK3"/>
    <mergeCell ref="CBL3:CCG3"/>
    <mergeCell ref="BSZ3:BTU3"/>
    <mergeCell ref="BTV3:BUQ3"/>
    <mergeCell ref="BUR3:BVM3"/>
    <mergeCell ref="BVN3:BWI3"/>
    <mergeCell ref="BWJ3:BXE3"/>
    <mergeCell ref="BXF3:BYA3"/>
    <mergeCell ref="BNX3:BOS3"/>
    <mergeCell ref="BOT3:BPO3"/>
    <mergeCell ref="BPP3:BQK3"/>
    <mergeCell ref="BQL3:BRG3"/>
    <mergeCell ref="BRH3:BSC3"/>
    <mergeCell ref="BSD3:BSY3"/>
    <mergeCell ref="BIV3:BJQ3"/>
    <mergeCell ref="BJR3:BKM3"/>
    <mergeCell ref="BKN3:BLI3"/>
    <mergeCell ref="BWU4:BXE4"/>
    <mergeCell ref="BXF4:BXP4"/>
    <mergeCell ref="BXQ4:BYA4"/>
    <mergeCell ref="BYB4:BYL4"/>
    <mergeCell ref="BQA4:BQK4"/>
    <mergeCell ref="BQL4:BQV4"/>
    <mergeCell ref="BQW4:BRG4"/>
    <mergeCell ref="BRH4:BRR4"/>
    <mergeCell ref="BLU4:BME4"/>
    <mergeCell ref="BMF4:BMP4"/>
    <mergeCell ref="BMQ4:BNA4"/>
    <mergeCell ref="BNB4:BNL4"/>
    <mergeCell ref="BNM4:BNW4"/>
    <mergeCell ref="BNX4:BOH4"/>
    <mergeCell ref="BOI4:BOS4"/>
    <mergeCell ref="BOT4:BPD4"/>
    <mergeCell ref="BPE4:BPO4"/>
    <mergeCell ref="BPP4:BPZ4"/>
    <mergeCell ref="BVN4:BVX4"/>
    <mergeCell ref="BVY4:BWI4"/>
    <mergeCell ref="BWJ4:BWT4"/>
    <mergeCell ref="BHD2:BHY2"/>
    <mergeCell ref="BHZ2:BIU2"/>
    <mergeCell ref="BIV2:BJQ2"/>
    <mergeCell ref="BJR2:BKM2"/>
    <mergeCell ref="BKN2:BLI2"/>
    <mergeCell ref="BLJ2:BME2"/>
    <mergeCell ref="BBF2:BCA2"/>
    <mergeCell ref="BCB2:BCW2"/>
    <mergeCell ref="BCX2:BDS2"/>
    <mergeCell ref="BDT2:BEO2"/>
    <mergeCell ref="BEP2:BFK2"/>
    <mergeCell ref="BFL2:BGG2"/>
    <mergeCell ref="BGH2:BHC2"/>
    <mergeCell ref="BSZ2:BTU2"/>
    <mergeCell ref="BTV2:BUQ2"/>
    <mergeCell ref="BUR2:BVM2"/>
    <mergeCell ref="BVN2:BWI2"/>
    <mergeCell ref="BMF2:BNA2"/>
    <mergeCell ref="BNB2:BNW2"/>
    <mergeCell ref="BNX2:BOS2"/>
    <mergeCell ref="BOT2:BPO2"/>
    <mergeCell ref="BPP2:BQK2"/>
    <mergeCell ref="BQL2:BRG2"/>
    <mergeCell ref="BFA4:BFK4"/>
    <mergeCell ref="BFL4:BFV4"/>
    <mergeCell ref="BFW4:BGG4"/>
    <mergeCell ref="BGH4:BGR4"/>
    <mergeCell ref="BGS4:BHC4"/>
    <mergeCell ref="BHD4:BHN4"/>
    <mergeCell ref="CBL2:CCG2"/>
    <mergeCell ref="BBF4:BBP4"/>
    <mergeCell ref="BBQ4:BCA4"/>
    <mergeCell ref="BCB4:BCL4"/>
    <mergeCell ref="BCM4:BCW4"/>
    <mergeCell ref="BCX4:BDH4"/>
    <mergeCell ref="BDI4:BDS4"/>
    <mergeCell ref="BDT4:BED4"/>
    <mergeCell ref="BEE4:BEO4"/>
    <mergeCell ref="BEP4:BEZ4"/>
    <mergeCell ref="BWJ2:BXE2"/>
    <mergeCell ref="BXF2:BYA2"/>
    <mergeCell ref="BYB2:BYW2"/>
    <mergeCell ref="BYX2:BZS2"/>
    <mergeCell ref="BZT2:CAO2"/>
    <mergeCell ref="CAP2:CBK2"/>
    <mergeCell ref="BRH2:BSC2"/>
    <mergeCell ref="BSD2:BSY2"/>
    <mergeCell ref="BJG4:BJQ4"/>
    <mergeCell ref="BJR4:BKB4"/>
    <mergeCell ref="BKC4:BKM4"/>
    <mergeCell ref="BKN4:BKX4"/>
    <mergeCell ref="BKY4:BLI4"/>
    <mergeCell ref="BLJ4:BLT4"/>
    <mergeCell ref="BUG4:BUQ4"/>
    <mergeCell ref="BUR4:BVB4"/>
    <mergeCell ref="BVC4:BVM4"/>
    <mergeCell ref="BRS4:BSC4"/>
    <mergeCell ref="BSD4:BSN4"/>
    <mergeCell ref="BSO4:BSY4"/>
    <mergeCell ref="BSZ4:BTJ4"/>
    <mergeCell ref="BTK4:BTU4"/>
    <mergeCell ref="BTV4:BUF4"/>
    <mergeCell ref="CBA4:CBK4"/>
    <mergeCell ref="CBL4:CBV4"/>
    <mergeCell ref="CBW4:CCG4"/>
    <mergeCell ref="CCH2:CDC2"/>
    <mergeCell ref="CDD2:CDY2"/>
    <mergeCell ref="CDZ2:CEU2"/>
    <mergeCell ref="BYM4:BYW4"/>
    <mergeCell ref="BYX4:BZH4"/>
    <mergeCell ref="BZI4:BZS4"/>
    <mergeCell ref="BZT4:CAD4"/>
    <mergeCell ref="CAE4:CAO4"/>
    <mergeCell ref="CAP4:CAZ4"/>
    <mergeCell ref="CLP2:CMK2"/>
    <mergeCell ref="CML2:CNG2"/>
    <mergeCell ref="CNH2:COC2"/>
    <mergeCell ref="COD2:COY2"/>
    <mergeCell ref="CEV2:CFQ2"/>
    <mergeCell ref="CFR2:CGM2"/>
    <mergeCell ref="CGN2:CHI2"/>
    <mergeCell ref="CHJ2:CIE2"/>
    <mergeCell ref="CIF2:CJA2"/>
    <mergeCell ref="CJB2:CJW2"/>
    <mergeCell ref="CZD2:CZY2"/>
    <mergeCell ref="CZZ2:DAU2"/>
    <mergeCell ref="DAV2:DBQ2"/>
    <mergeCell ref="DBR2:DCM2"/>
    <mergeCell ref="DCN2:DDI2"/>
    <mergeCell ref="CCH3:CDC3"/>
    <mergeCell ref="CDD3:CDY3"/>
    <mergeCell ref="CDZ3:CEU3"/>
    <mergeCell ref="CEV3:CFQ3"/>
    <mergeCell ref="CFR3:CGM3"/>
    <mergeCell ref="CUB2:CUW2"/>
    <mergeCell ref="CUX2:CVS2"/>
    <mergeCell ref="CVT2:CWO2"/>
    <mergeCell ref="CWP2:CXK2"/>
    <mergeCell ref="CXL2:CYG2"/>
    <mergeCell ref="CYH2:CZC2"/>
    <mergeCell ref="COZ2:CPU2"/>
    <mergeCell ref="CPV2:CQQ2"/>
    <mergeCell ref="CQR2:CRM2"/>
    <mergeCell ref="CRN2:CSI2"/>
    <mergeCell ref="CSJ2:CTE2"/>
    <mergeCell ref="CTF2:CUA2"/>
    <mergeCell ref="CJX2:CKS2"/>
    <mergeCell ref="CKT2:CLO2"/>
    <mergeCell ref="CNH3:COC3"/>
    <mergeCell ref="COD3:COY3"/>
    <mergeCell ref="COZ3:CPU3"/>
    <mergeCell ref="CPV3:CQQ3"/>
    <mergeCell ref="CGN3:CHI3"/>
    <mergeCell ref="CHJ3:CIE3"/>
    <mergeCell ref="CIF3:CJA3"/>
    <mergeCell ref="CJB3:CJW3"/>
    <mergeCell ref="CJX3:CKS3"/>
    <mergeCell ref="CKT3:CLO3"/>
    <mergeCell ref="DAV3:DBQ3"/>
    <mergeCell ref="DBR3:DCM3"/>
    <mergeCell ref="DCN3:DDI3"/>
    <mergeCell ref="CCH4:CCR4"/>
    <mergeCell ref="CCS4:CDC4"/>
    <mergeCell ref="CDD4:CDN4"/>
    <mergeCell ref="CDO4:CDY4"/>
    <mergeCell ref="CDZ4:CEJ4"/>
    <mergeCell ref="CEK4:CEU4"/>
    <mergeCell ref="CEV4:CFF4"/>
    <mergeCell ref="CVT3:CWO3"/>
    <mergeCell ref="CWP3:CXK3"/>
    <mergeCell ref="CXL3:CYG3"/>
    <mergeCell ref="CYH3:CZC3"/>
    <mergeCell ref="CZD3:CZY3"/>
    <mergeCell ref="CZZ3:DAU3"/>
    <mergeCell ref="CQR3:CRM3"/>
    <mergeCell ref="CRN3:CSI3"/>
    <mergeCell ref="CSJ3:CTE3"/>
    <mergeCell ref="CTF3:CUA3"/>
    <mergeCell ref="CUB3:CUW3"/>
    <mergeCell ref="CUX3:CVS3"/>
    <mergeCell ref="CLP3:CMK3"/>
    <mergeCell ref="CML3:CNG3"/>
    <mergeCell ref="CHU4:CIE4"/>
    <mergeCell ref="CIF4:CIP4"/>
    <mergeCell ref="CIQ4:CJA4"/>
    <mergeCell ref="CJB4:CJL4"/>
    <mergeCell ref="CJM4:CJW4"/>
    <mergeCell ref="CJX4:CKH4"/>
    <mergeCell ref="CFG4:CFQ4"/>
    <mergeCell ref="CFR4:CGB4"/>
    <mergeCell ref="CGC4:CGM4"/>
    <mergeCell ref="CGN4:CGX4"/>
    <mergeCell ref="CGY4:CHI4"/>
    <mergeCell ref="CHJ4:CHT4"/>
    <mergeCell ref="CNS4:COC4"/>
    <mergeCell ref="COD4:CON4"/>
    <mergeCell ref="COO4:COY4"/>
    <mergeCell ref="COZ4:CPJ4"/>
    <mergeCell ref="CKI4:CKS4"/>
    <mergeCell ref="CKT4:CLD4"/>
    <mergeCell ref="CLE4:CLO4"/>
    <mergeCell ref="CLP4:CLZ4"/>
    <mergeCell ref="CMA4:CMK4"/>
    <mergeCell ref="CML4:CMV4"/>
    <mergeCell ref="AT1:BO1"/>
    <mergeCell ref="BP1:CK1"/>
    <mergeCell ref="CL1:DG1"/>
    <mergeCell ref="DH1:EC1"/>
    <mergeCell ref="ED1:EY1"/>
    <mergeCell ref="EZ1:FU1"/>
    <mergeCell ref="FV1:GQ1"/>
    <mergeCell ref="CZO4:CZY4"/>
    <mergeCell ref="CZZ4:DAJ4"/>
    <mergeCell ref="CXA4:CXK4"/>
    <mergeCell ref="CXL4:CXV4"/>
    <mergeCell ref="CXW4:CYG4"/>
    <mergeCell ref="CYH4:CYR4"/>
    <mergeCell ref="CYS4:CZC4"/>
    <mergeCell ref="CZD4:CZN4"/>
    <mergeCell ref="CUM4:CUW4"/>
    <mergeCell ref="CUX4:CVH4"/>
    <mergeCell ref="CVI4:CVS4"/>
    <mergeCell ref="CVT4:CWD4"/>
    <mergeCell ref="CWE4:CWO4"/>
    <mergeCell ref="CWP4:CWZ4"/>
    <mergeCell ref="CRY4:CSI4"/>
    <mergeCell ref="CSJ4:CST4"/>
    <mergeCell ref="CSU4:CTE4"/>
    <mergeCell ref="KB1:KW1"/>
    <mergeCell ref="KX1:LS1"/>
    <mergeCell ref="LT1:MO1"/>
    <mergeCell ref="MP1:NK1"/>
    <mergeCell ref="NL1:OG1"/>
    <mergeCell ref="OH1:PC1"/>
    <mergeCell ref="DCC4:DCM4"/>
    <mergeCell ref="DCN4:DCX4"/>
    <mergeCell ref="DCY4:DDI4"/>
    <mergeCell ref="DAK4:DAU4"/>
    <mergeCell ref="DAV4:DBF4"/>
    <mergeCell ref="DBG4:DBQ4"/>
    <mergeCell ref="DBR4:DCB4"/>
    <mergeCell ref="CTF4:CTP4"/>
    <mergeCell ref="CTQ4:CUA4"/>
    <mergeCell ref="CUB4:CUL4"/>
    <mergeCell ref="CPK4:CPU4"/>
    <mergeCell ref="CPV4:CQF4"/>
    <mergeCell ref="CQG4:CQQ4"/>
    <mergeCell ref="CQR4:CRB4"/>
    <mergeCell ref="CRC4:CRM4"/>
    <mergeCell ref="CRN4:CRX4"/>
    <mergeCell ref="CMW4:CNG4"/>
    <mergeCell ref="CNH4:CNR4"/>
    <mergeCell ref="UF1:VA1"/>
    <mergeCell ref="VB1:VW1"/>
    <mergeCell ref="VX1:WS1"/>
    <mergeCell ref="WT1:XO1"/>
    <mergeCell ref="XP1:YK1"/>
    <mergeCell ref="YL1:ZG1"/>
    <mergeCell ref="PD1:PY1"/>
    <mergeCell ref="PZ1:QU1"/>
    <mergeCell ref="QV1:RQ1"/>
    <mergeCell ref="RR1:SM1"/>
    <mergeCell ref="SN1:TI1"/>
    <mergeCell ref="TJ1:UE1"/>
    <mergeCell ref="AEJ1:AFE1"/>
    <mergeCell ref="AFF1:AGA1"/>
    <mergeCell ref="AGB1:AGW1"/>
    <mergeCell ref="AGX1:AHS1"/>
    <mergeCell ref="AHT1:AIO1"/>
    <mergeCell ref="AIP1:AJK1"/>
    <mergeCell ref="ZH1:AAC1"/>
    <mergeCell ref="AAD1:AAY1"/>
    <mergeCell ref="AAZ1:ABU1"/>
    <mergeCell ref="ABV1:ACQ1"/>
    <mergeCell ref="ACR1:ADM1"/>
    <mergeCell ref="ADN1:AEI1"/>
    <mergeCell ref="AON1:API1"/>
    <mergeCell ref="APJ1:AQE1"/>
    <mergeCell ref="AQF1:ARA1"/>
    <mergeCell ref="ARB1:ARW1"/>
    <mergeCell ref="ARX1:ASS1"/>
    <mergeCell ref="AST1:ATO1"/>
    <mergeCell ref="AJL1:AKG1"/>
    <mergeCell ref="AKH1:ALC1"/>
    <mergeCell ref="ALD1:ALY1"/>
    <mergeCell ref="ALZ1:AMU1"/>
    <mergeCell ref="AMV1:ANQ1"/>
    <mergeCell ref="ANR1:AOM1"/>
    <mergeCell ref="AYR1:AZM1"/>
    <mergeCell ref="AZN1:BAI1"/>
    <mergeCell ref="BAJ1:BBE1"/>
    <mergeCell ref="BBF1:BCA1"/>
    <mergeCell ref="BCB1:BCW1"/>
    <mergeCell ref="BCX1:BDS1"/>
    <mergeCell ref="ATP1:AUK1"/>
    <mergeCell ref="AUL1:AVG1"/>
    <mergeCell ref="AVH1:AWC1"/>
    <mergeCell ref="AWD1:AWY1"/>
    <mergeCell ref="AWZ1:AXU1"/>
    <mergeCell ref="AXV1:AYQ1"/>
    <mergeCell ref="BIV1:BJQ1"/>
    <mergeCell ref="BJR1:BKM1"/>
    <mergeCell ref="BKN1:BLI1"/>
    <mergeCell ref="BLJ1:BME1"/>
    <mergeCell ref="BMF1:BNA1"/>
    <mergeCell ref="BNB1:BNW1"/>
    <mergeCell ref="BDT1:BEO1"/>
    <mergeCell ref="BEP1:BFK1"/>
    <mergeCell ref="BFL1:BGG1"/>
    <mergeCell ref="BGH1:BHC1"/>
    <mergeCell ref="BHD1:BHY1"/>
    <mergeCell ref="BHZ1:BIU1"/>
    <mergeCell ref="BSZ1:BTU1"/>
    <mergeCell ref="BTV1:BUQ1"/>
    <mergeCell ref="BUR1:BVM1"/>
    <mergeCell ref="BVN1:BWI1"/>
    <mergeCell ref="BWJ1:BXE1"/>
    <mergeCell ref="BXF1:BYA1"/>
    <mergeCell ref="BNX1:BOS1"/>
    <mergeCell ref="BOT1:BPO1"/>
    <mergeCell ref="BPP1:BQK1"/>
    <mergeCell ref="BQL1:BRG1"/>
    <mergeCell ref="BRH1:BSC1"/>
    <mergeCell ref="BSD1:BSY1"/>
    <mergeCell ref="CDD1:CDY1"/>
    <mergeCell ref="CDZ1:CEU1"/>
    <mergeCell ref="CEV1:CFQ1"/>
    <mergeCell ref="CFR1:CGM1"/>
    <mergeCell ref="CGN1:CHI1"/>
    <mergeCell ref="CHJ1:CIE1"/>
    <mergeCell ref="BYB1:BYW1"/>
    <mergeCell ref="BYX1:BZS1"/>
    <mergeCell ref="BZT1:CAO1"/>
    <mergeCell ref="CAP1:CBK1"/>
    <mergeCell ref="CBL1:CCG1"/>
    <mergeCell ref="CCH1:CDC1"/>
    <mergeCell ref="CNH1:COC1"/>
    <mergeCell ref="COD1:COY1"/>
    <mergeCell ref="COZ1:CPU1"/>
    <mergeCell ref="CPV1:CQQ1"/>
    <mergeCell ref="CQR1:CRM1"/>
    <mergeCell ref="CRN1:CSI1"/>
    <mergeCell ref="CIF1:CJA1"/>
    <mergeCell ref="CJB1:CJW1"/>
    <mergeCell ref="CJX1:CKS1"/>
    <mergeCell ref="CKT1:CLO1"/>
    <mergeCell ref="CLP1:CMK1"/>
    <mergeCell ref="CML1:CNG1"/>
    <mergeCell ref="DCN1:DDI1"/>
    <mergeCell ref="DDJ1:DEE1"/>
    <mergeCell ref="CXL1:CYG1"/>
    <mergeCell ref="CYH1:CZC1"/>
    <mergeCell ref="CZD1:CZY1"/>
    <mergeCell ref="CZZ1:DAU1"/>
    <mergeCell ref="DAV1:DBQ1"/>
    <mergeCell ref="DBR1:DCM1"/>
    <mergeCell ref="CSJ1:CTE1"/>
    <mergeCell ref="CTF1:CUA1"/>
    <mergeCell ref="CUB1:CUW1"/>
    <mergeCell ref="CUX1:CVS1"/>
    <mergeCell ref="CVT1:CWO1"/>
    <mergeCell ref="CWP1:CX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topLeftCell="A17" zoomScale="130" zoomScaleNormal="130" workbookViewId="0">
      <selection activeCell="D36" sqref="D3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24</v>
      </c>
      <c r="B1" s="86">
        <f>(Parameters!B8+1)*Parameters!B7 + 1</f>
        <v>265</v>
      </c>
      <c r="C1" s="86"/>
      <c r="D1" s="86"/>
      <c r="E1" s="86"/>
      <c r="F1" s="86"/>
      <c r="G1" s="86"/>
      <c r="H1" s="86"/>
      <c r="I1" s="86"/>
      <c r="J1" s="86"/>
      <c r="K1" s="86"/>
      <c r="L1" s="86"/>
      <c r="M1" s="86"/>
      <c r="N1" s="86"/>
      <c r="O1" s="86"/>
      <c r="P1" s="86"/>
      <c r="Q1" s="86"/>
      <c r="R1" s="86">
        <f>B1+Parameters!$B$7</f>
        <v>273</v>
      </c>
      <c r="S1" s="86"/>
      <c r="T1" s="86"/>
      <c r="U1" s="86"/>
      <c r="V1" s="86"/>
      <c r="W1" s="86"/>
      <c r="X1" s="86"/>
      <c r="Y1" s="86"/>
      <c r="Z1" s="86"/>
      <c r="AA1" s="86"/>
      <c r="AB1" s="86"/>
      <c r="AC1" s="86"/>
      <c r="AD1" s="86"/>
      <c r="AE1" s="86"/>
      <c r="AF1" s="86"/>
      <c r="AG1" s="86"/>
      <c r="AH1" s="86">
        <f>R1+Parameters!$B$7</f>
        <v>281</v>
      </c>
      <c r="AI1" s="86"/>
      <c r="AJ1" s="86"/>
      <c r="AK1" s="86"/>
      <c r="AL1" s="86"/>
      <c r="AM1" s="86"/>
      <c r="AN1" s="86"/>
      <c r="AO1" s="86"/>
      <c r="AP1" s="86"/>
      <c r="AQ1" s="86"/>
      <c r="AR1" s="86"/>
      <c r="AS1" s="86"/>
      <c r="AT1" s="86"/>
      <c r="AU1" s="86"/>
      <c r="AV1" s="86"/>
      <c r="AW1" s="86"/>
      <c r="AX1" s="86">
        <f>AH1+Parameters!$B$7</f>
        <v>289</v>
      </c>
      <c r="AY1" s="86"/>
      <c r="AZ1" s="86"/>
      <c r="BA1" s="86"/>
      <c r="BB1" s="86"/>
      <c r="BC1" s="86"/>
      <c r="BD1" s="86"/>
      <c r="BE1" s="86"/>
      <c r="BF1" s="86"/>
      <c r="BG1" s="86"/>
      <c r="BH1" s="86"/>
      <c r="BI1" s="86"/>
      <c r="BJ1" s="86"/>
      <c r="BK1" s="86"/>
      <c r="BL1" s="86"/>
      <c r="BM1" s="86"/>
      <c r="BN1" s="86">
        <f>AX1+Parameters!$B$7</f>
        <v>297</v>
      </c>
      <c r="BO1" s="86"/>
      <c r="BP1" s="86"/>
      <c r="BQ1" s="86"/>
      <c r="BR1" s="86"/>
      <c r="BS1" s="86"/>
      <c r="BT1" s="86"/>
      <c r="BU1" s="86"/>
      <c r="BV1" s="86"/>
      <c r="BW1" s="86"/>
      <c r="BX1" s="86"/>
      <c r="BY1" s="86"/>
      <c r="BZ1" s="86"/>
      <c r="CA1" s="86"/>
      <c r="CB1" s="86"/>
      <c r="CC1" s="86"/>
      <c r="CD1" s="86">
        <f>BN1+Parameters!$B$7</f>
        <v>305</v>
      </c>
      <c r="CE1" s="86"/>
      <c r="CF1" s="86"/>
      <c r="CG1" s="86"/>
      <c r="CH1" s="86"/>
      <c r="CI1" s="86"/>
      <c r="CJ1" s="86"/>
      <c r="CK1" s="86"/>
      <c r="CL1" s="86"/>
      <c r="CM1" s="86"/>
      <c r="CN1" s="86"/>
      <c r="CO1" s="86"/>
      <c r="CP1" s="86"/>
      <c r="CQ1" s="86"/>
      <c r="CR1" s="86"/>
      <c r="CS1" s="86"/>
      <c r="CT1" s="86">
        <f>CD1+Parameters!$B$7</f>
        <v>313</v>
      </c>
      <c r="CU1" s="86"/>
      <c r="CV1" s="86"/>
      <c r="CW1" s="86"/>
      <c r="CX1" s="86"/>
      <c r="CY1" s="86"/>
      <c r="CZ1" s="86"/>
      <c r="DA1" s="86"/>
      <c r="DB1" s="86"/>
      <c r="DC1" s="86"/>
      <c r="DD1" s="86"/>
      <c r="DE1" s="86"/>
      <c r="DF1" s="86"/>
      <c r="DG1" s="86"/>
      <c r="DH1" s="86"/>
      <c r="DI1" s="86"/>
      <c r="DJ1" s="86">
        <f>CT1+Parameters!$B$7</f>
        <v>321</v>
      </c>
      <c r="DK1" s="86"/>
      <c r="DL1" s="86"/>
      <c r="DM1" s="86"/>
      <c r="DN1" s="86"/>
      <c r="DO1" s="86"/>
      <c r="DP1" s="86"/>
      <c r="DQ1" s="86"/>
      <c r="DR1" s="86"/>
      <c r="DS1" s="86"/>
      <c r="DT1" s="86"/>
      <c r="DU1" s="86"/>
      <c r="DV1" s="86"/>
      <c r="DW1" s="86"/>
      <c r="DX1" s="86"/>
      <c r="DY1" s="86"/>
      <c r="DZ1" s="86">
        <f>DJ1+Parameters!$B$7</f>
        <v>329</v>
      </c>
      <c r="EA1" s="86"/>
      <c r="EB1" s="86"/>
      <c r="EC1" s="86"/>
      <c r="ED1" s="86"/>
      <c r="EE1" s="86"/>
      <c r="EF1" s="86"/>
      <c r="EG1" s="86"/>
      <c r="EH1" s="86"/>
      <c r="EI1" s="86"/>
      <c r="EJ1" s="86"/>
      <c r="EK1" s="86"/>
      <c r="EL1" s="86"/>
      <c r="EM1" s="86"/>
      <c r="EN1" s="86"/>
      <c r="EO1" s="86"/>
      <c r="EP1" s="86">
        <f>DZ1+Parameters!$B$7</f>
        <v>337</v>
      </c>
      <c r="EQ1" s="86"/>
      <c r="ER1" s="86"/>
      <c r="ES1" s="86"/>
      <c r="ET1" s="86"/>
      <c r="EU1" s="86"/>
      <c r="EV1" s="86"/>
      <c r="EW1" s="86"/>
      <c r="EX1" s="86"/>
      <c r="EY1" s="86"/>
      <c r="EZ1" s="86"/>
      <c r="FA1" s="86"/>
      <c r="FB1" s="86"/>
      <c r="FC1" s="86"/>
      <c r="FD1" s="86"/>
      <c r="FE1" s="86"/>
      <c r="FF1" s="86">
        <f>EP1+Parameters!$B$7</f>
        <v>345</v>
      </c>
      <c r="FG1" s="86"/>
      <c r="FH1" s="86"/>
      <c r="FI1" s="86"/>
      <c r="FJ1" s="86"/>
      <c r="FK1" s="86"/>
      <c r="FL1" s="86"/>
      <c r="FM1" s="86"/>
      <c r="FN1" s="86"/>
      <c r="FO1" s="86"/>
      <c r="FP1" s="86"/>
      <c r="FQ1" s="86"/>
      <c r="FR1" s="86"/>
      <c r="FS1" s="86"/>
      <c r="FT1" s="86"/>
      <c r="FU1" s="86"/>
      <c r="FV1" s="86">
        <f>FF1+Parameters!$B$7</f>
        <v>353</v>
      </c>
      <c r="FW1" s="86"/>
      <c r="FX1" s="86"/>
      <c r="FY1" s="86"/>
      <c r="FZ1" s="86"/>
      <c r="GA1" s="86"/>
      <c r="GB1" s="86"/>
      <c r="GC1" s="86"/>
      <c r="GD1" s="86"/>
      <c r="GE1" s="86"/>
      <c r="GF1" s="86"/>
      <c r="GG1" s="86"/>
      <c r="GH1" s="86"/>
      <c r="GI1" s="86"/>
      <c r="GJ1" s="86"/>
      <c r="GK1" s="86"/>
      <c r="GL1" s="86">
        <f>FV1+Parameters!$B$7</f>
        <v>361</v>
      </c>
      <c r="GM1" s="86"/>
      <c r="GN1" s="86"/>
      <c r="GO1" s="86"/>
      <c r="GP1" s="86"/>
      <c r="GQ1" s="86"/>
      <c r="GR1" s="86"/>
      <c r="GS1" s="86"/>
      <c r="GT1" s="86"/>
      <c r="GU1" s="86"/>
      <c r="GV1" s="86"/>
      <c r="GW1" s="86"/>
      <c r="GX1" s="86"/>
      <c r="GY1" s="86"/>
      <c r="GZ1" s="86"/>
      <c r="HA1" s="86"/>
      <c r="HB1" s="86">
        <f>GL1+Parameters!$B$7</f>
        <v>369</v>
      </c>
      <c r="HC1" s="86"/>
      <c r="HD1" s="86"/>
      <c r="HE1" s="86"/>
      <c r="HF1" s="86"/>
      <c r="HG1" s="86"/>
      <c r="HH1" s="86"/>
      <c r="HI1" s="86"/>
      <c r="HJ1" s="86"/>
      <c r="HK1" s="86"/>
      <c r="HL1" s="86"/>
      <c r="HM1" s="86"/>
      <c r="HN1" s="86"/>
      <c r="HO1" s="86"/>
      <c r="HP1" s="86"/>
      <c r="HQ1" s="86"/>
      <c r="HR1" s="86">
        <f>HB1+Parameters!$B$7</f>
        <v>377</v>
      </c>
      <c r="HS1" s="86"/>
      <c r="HT1" s="86"/>
      <c r="HU1" s="86"/>
      <c r="HV1" s="86"/>
      <c r="HW1" s="86"/>
      <c r="HX1" s="86"/>
      <c r="HY1" s="86"/>
      <c r="HZ1" s="86"/>
      <c r="IA1" s="86"/>
      <c r="IB1" s="86"/>
      <c r="IC1" s="86"/>
      <c r="ID1" s="86"/>
      <c r="IE1" s="86"/>
      <c r="IF1" s="86"/>
      <c r="IG1" s="86"/>
      <c r="IH1" s="86">
        <f>HR1+Parameters!$B$7</f>
        <v>385</v>
      </c>
      <c r="II1" s="86"/>
      <c r="IJ1" s="86"/>
      <c r="IK1" s="86"/>
      <c r="IL1" s="86"/>
      <c r="IM1" s="86"/>
      <c r="IN1" s="86"/>
      <c r="IO1" s="86"/>
      <c r="IP1" s="86"/>
      <c r="IQ1" s="86"/>
      <c r="IR1" s="86"/>
      <c r="IS1" s="86"/>
      <c r="IT1" s="86"/>
      <c r="IU1" s="86"/>
      <c r="IV1" s="86"/>
      <c r="IW1" s="86"/>
    </row>
    <row r="2" spans="1:257" x14ac:dyDescent="0.2">
      <c r="A2" s="4" t="s">
        <v>18</v>
      </c>
      <c r="B2" s="86">
        <f>1/16</f>
        <v>6.25E-2</v>
      </c>
      <c r="C2" s="86"/>
      <c r="D2" s="86"/>
      <c r="E2" s="86"/>
      <c r="F2" s="86"/>
      <c r="G2" s="86"/>
      <c r="H2" s="86"/>
      <c r="I2" s="86"/>
      <c r="J2" s="86"/>
      <c r="K2" s="86"/>
      <c r="L2" s="86"/>
      <c r="M2" s="86"/>
      <c r="N2" s="86"/>
      <c r="O2" s="86"/>
      <c r="P2" s="86"/>
      <c r="Q2" s="86"/>
      <c r="R2" s="86">
        <f>B2</f>
        <v>6.25E-2</v>
      </c>
      <c r="S2" s="86"/>
      <c r="T2" s="86"/>
      <c r="U2" s="86"/>
      <c r="V2" s="86"/>
      <c r="W2" s="86"/>
      <c r="X2" s="86"/>
      <c r="Y2" s="86"/>
      <c r="Z2" s="86"/>
      <c r="AA2" s="86"/>
      <c r="AB2" s="86"/>
      <c r="AC2" s="86"/>
      <c r="AD2" s="86"/>
      <c r="AE2" s="86"/>
      <c r="AF2" s="86"/>
      <c r="AG2" s="86"/>
      <c r="AH2" s="86">
        <f t="shared" ref="AH2" si="0">R2</f>
        <v>6.25E-2</v>
      </c>
      <c r="AI2" s="86"/>
      <c r="AJ2" s="86"/>
      <c r="AK2" s="86"/>
      <c r="AL2" s="86"/>
      <c r="AM2" s="86"/>
      <c r="AN2" s="86"/>
      <c r="AO2" s="86"/>
      <c r="AP2" s="86"/>
      <c r="AQ2" s="86"/>
      <c r="AR2" s="86"/>
      <c r="AS2" s="86"/>
      <c r="AT2" s="86"/>
      <c r="AU2" s="86"/>
      <c r="AV2" s="86"/>
      <c r="AW2" s="86"/>
      <c r="AX2" s="86">
        <f t="shared" ref="AX2" si="1">AH2</f>
        <v>6.25E-2</v>
      </c>
      <c r="AY2" s="86"/>
      <c r="AZ2" s="86"/>
      <c r="BA2" s="86"/>
      <c r="BB2" s="86"/>
      <c r="BC2" s="86"/>
      <c r="BD2" s="86"/>
      <c r="BE2" s="86"/>
      <c r="BF2" s="86"/>
      <c r="BG2" s="86"/>
      <c r="BH2" s="86"/>
      <c r="BI2" s="86"/>
      <c r="BJ2" s="86"/>
      <c r="BK2" s="86"/>
      <c r="BL2" s="86"/>
      <c r="BM2" s="86"/>
      <c r="BN2" s="86">
        <f t="shared" ref="BN2" si="2">AX2</f>
        <v>6.25E-2</v>
      </c>
      <c r="BO2" s="86"/>
      <c r="BP2" s="86"/>
      <c r="BQ2" s="86"/>
      <c r="BR2" s="86"/>
      <c r="BS2" s="86"/>
      <c r="BT2" s="86"/>
      <c r="BU2" s="86"/>
      <c r="BV2" s="86"/>
      <c r="BW2" s="86"/>
      <c r="BX2" s="86"/>
      <c r="BY2" s="86"/>
      <c r="BZ2" s="86"/>
      <c r="CA2" s="86"/>
      <c r="CB2" s="86"/>
      <c r="CC2" s="86"/>
      <c r="CD2" s="86">
        <f t="shared" ref="CD2" si="3">BN2</f>
        <v>6.25E-2</v>
      </c>
      <c r="CE2" s="86"/>
      <c r="CF2" s="86"/>
      <c r="CG2" s="86"/>
      <c r="CH2" s="86"/>
      <c r="CI2" s="86"/>
      <c r="CJ2" s="86"/>
      <c r="CK2" s="86"/>
      <c r="CL2" s="86"/>
      <c r="CM2" s="86"/>
      <c r="CN2" s="86"/>
      <c r="CO2" s="86"/>
      <c r="CP2" s="86"/>
      <c r="CQ2" s="86"/>
      <c r="CR2" s="86"/>
      <c r="CS2" s="86"/>
      <c r="CT2" s="86">
        <f t="shared" ref="CT2" si="4">CD2</f>
        <v>6.25E-2</v>
      </c>
      <c r="CU2" s="86"/>
      <c r="CV2" s="86"/>
      <c r="CW2" s="86"/>
      <c r="CX2" s="86"/>
      <c r="CY2" s="86"/>
      <c r="CZ2" s="86"/>
      <c r="DA2" s="86"/>
      <c r="DB2" s="86"/>
      <c r="DC2" s="86"/>
      <c r="DD2" s="86"/>
      <c r="DE2" s="86"/>
      <c r="DF2" s="86"/>
      <c r="DG2" s="86"/>
      <c r="DH2" s="86"/>
      <c r="DI2" s="86"/>
      <c r="DJ2" s="86">
        <f t="shared" ref="DJ2" si="5">CT2</f>
        <v>6.25E-2</v>
      </c>
      <c r="DK2" s="86"/>
      <c r="DL2" s="86"/>
      <c r="DM2" s="86"/>
      <c r="DN2" s="86"/>
      <c r="DO2" s="86"/>
      <c r="DP2" s="86"/>
      <c r="DQ2" s="86"/>
      <c r="DR2" s="86"/>
      <c r="DS2" s="86"/>
      <c r="DT2" s="86"/>
      <c r="DU2" s="86"/>
      <c r="DV2" s="86"/>
      <c r="DW2" s="86"/>
      <c r="DX2" s="86"/>
      <c r="DY2" s="86"/>
      <c r="DZ2" s="86">
        <f t="shared" ref="DZ2" si="6">DJ2</f>
        <v>6.25E-2</v>
      </c>
      <c r="EA2" s="86"/>
      <c r="EB2" s="86"/>
      <c r="EC2" s="86"/>
      <c r="ED2" s="86"/>
      <c r="EE2" s="86"/>
      <c r="EF2" s="86"/>
      <c r="EG2" s="86"/>
      <c r="EH2" s="86"/>
      <c r="EI2" s="86"/>
      <c r="EJ2" s="86"/>
      <c r="EK2" s="86"/>
      <c r="EL2" s="86"/>
      <c r="EM2" s="86"/>
      <c r="EN2" s="86"/>
      <c r="EO2" s="86"/>
      <c r="EP2" s="86">
        <f t="shared" ref="EP2" si="7">DZ2</f>
        <v>6.25E-2</v>
      </c>
      <c r="EQ2" s="86"/>
      <c r="ER2" s="86"/>
      <c r="ES2" s="86"/>
      <c r="ET2" s="86"/>
      <c r="EU2" s="86"/>
      <c r="EV2" s="86"/>
      <c r="EW2" s="86"/>
      <c r="EX2" s="86"/>
      <c r="EY2" s="86"/>
      <c r="EZ2" s="86"/>
      <c r="FA2" s="86"/>
      <c r="FB2" s="86"/>
      <c r="FC2" s="86"/>
      <c r="FD2" s="86"/>
      <c r="FE2" s="86"/>
      <c r="FF2" s="86">
        <f t="shared" ref="FF2" si="8">EP2</f>
        <v>6.25E-2</v>
      </c>
      <c r="FG2" s="86"/>
      <c r="FH2" s="86"/>
      <c r="FI2" s="86"/>
      <c r="FJ2" s="86"/>
      <c r="FK2" s="86"/>
      <c r="FL2" s="86"/>
      <c r="FM2" s="86"/>
      <c r="FN2" s="86"/>
      <c r="FO2" s="86"/>
      <c r="FP2" s="86"/>
      <c r="FQ2" s="86"/>
      <c r="FR2" s="86"/>
      <c r="FS2" s="86"/>
      <c r="FT2" s="86"/>
      <c r="FU2" s="86"/>
      <c r="FV2" s="86">
        <f t="shared" ref="FV2" si="9">FF2</f>
        <v>6.25E-2</v>
      </c>
      <c r="FW2" s="86"/>
      <c r="FX2" s="86"/>
      <c r="FY2" s="86"/>
      <c r="FZ2" s="86"/>
      <c r="GA2" s="86"/>
      <c r="GB2" s="86"/>
      <c r="GC2" s="86"/>
      <c r="GD2" s="86"/>
      <c r="GE2" s="86"/>
      <c r="GF2" s="86"/>
      <c r="GG2" s="86"/>
      <c r="GH2" s="86"/>
      <c r="GI2" s="86"/>
      <c r="GJ2" s="86"/>
      <c r="GK2" s="86"/>
      <c r="GL2" s="86">
        <f t="shared" ref="GL2" si="10">FV2</f>
        <v>6.25E-2</v>
      </c>
      <c r="GM2" s="86"/>
      <c r="GN2" s="86"/>
      <c r="GO2" s="86"/>
      <c r="GP2" s="86"/>
      <c r="GQ2" s="86"/>
      <c r="GR2" s="86"/>
      <c r="GS2" s="86"/>
      <c r="GT2" s="86"/>
      <c r="GU2" s="86"/>
      <c r="GV2" s="86"/>
      <c r="GW2" s="86"/>
      <c r="GX2" s="86"/>
      <c r="GY2" s="86"/>
      <c r="GZ2" s="86"/>
      <c r="HA2" s="86"/>
      <c r="HB2" s="86">
        <f t="shared" ref="HB2" si="11">GL2</f>
        <v>6.25E-2</v>
      </c>
      <c r="HC2" s="86"/>
      <c r="HD2" s="86"/>
      <c r="HE2" s="86"/>
      <c r="HF2" s="86"/>
      <c r="HG2" s="86"/>
      <c r="HH2" s="86"/>
      <c r="HI2" s="86"/>
      <c r="HJ2" s="86"/>
      <c r="HK2" s="86"/>
      <c r="HL2" s="86"/>
      <c r="HM2" s="86"/>
      <c r="HN2" s="86"/>
      <c r="HO2" s="86"/>
      <c r="HP2" s="86"/>
      <c r="HQ2" s="86"/>
      <c r="HR2" s="86">
        <f t="shared" ref="HR2" si="12">HB2</f>
        <v>6.25E-2</v>
      </c>
      <c r="HS2" s="86"/>
      <c r="HT2" s="86"/>
      <c r="HU2" s="86"/>
      <c r="HV2" s="86"/>
      <c r="HW2" s="86"/>
      <c r="HX2" s="86"/>
      <c r="HY2" s="86"/>
      <c r="HZ2" s="86"/>
      <c r="IA2" s="86"/>
      <c r="IB2" s="86"/>
      <c r="IC2" s="86"/>
      <c r="ID2" s="86"/>
      <c r="IE2" s="86"/>
      <c r="IF2" s="86"/>
      <c r="IG2" s="86"/>
      <c r="IH2" s="86">
        <f t="shared" ref="IH2" si="13">HR2</f>
        <v>6.25E-2</v>
      </c>
      <c r="II2" s="86"/>
      <c r="IJ2" s="86"/>
      <c r="IK2" s="86"/>
      <c r="IL2" s="86"/>
      <c r="IM2" s="86"/>
      <c r="IN2" s="86"/>
      <c r="IO2" s="86"/>
      <c r="IP2" s="86"/>
      <c r="IQ2" s="86"/>
      <c r="IR2" s="86"/>
      <c r="IS2" s="86"/>
      <c r="IT2" s="86"/>
      <c r="IU2" s="86"/>
      <c r="IV2" s="86"/>
      <c r="IW2" s="86"/>
    </row>
    <row r="3" spans="1:257" x14ac:dyDescent="0.2">
      <c r="A3" s="4" t="s">
        <v>25</v>
      </c>
      <c r="B3" s="68">
        <v>9</v>
      </c>
      <c r="C3" s="69"/>
      <c r="D3" s="69"/>
      <c r="E3" s="69"/>
      <c r="F3" s="69"/>
      <c r="G3" s="69"/>
      <c r="H3" s="69"/>
      <c r="I3" s="69"/>
      <c r="J3" s="69"/>
      <c r="K3" s="69"/>
      <c r="L3" s="69"/>
      <c r="M3" s="69"/>
      <c r="N3" s="69"/>
      <c r="O3" s="69"/>
      <c r="P3" s="69"/>
      <c r="Q3" s="70"/>
      <c r="R3" s="68">
        <v>9</v>
      </c>
      <c r="S3" s="69"/>
      <c r="T3" s="69"/>
      <c r="U3" s="69"/>
      <c r="V3" s="69"/>
      <c r="W3" s="69"/>
      <c r="X3" s="69"/>
      <c r="Y3" s="69"/>
      <c r="Z3" s="69"/>
      <c r="AA3" s="69"/>
      <c r="AB3" s="69"/>
      <c r="AC3" s="69"/>
      <c r="AD3" s="69"/>
      <c r="AE3" s="69"/>
      <c r="AF3" s="69"/>
      <c r="AG3" s="70"/>
      <c r="AH3" s="68">
        <v>9</v>
      </c>
      <c r="AI3" s="69"/>
      <c r="AJ3" s="69"/>
      <c r="AK3" s="69"/>
      <c r="AL3" s="69"/>
      <c r="AM3" s="69"/>
      <c r="AN3" s="69"/>
      <c r="AO3" s="69"/>
      <c r="AP3" s="69"/>
      <c r="AQ3" s="69"/>
      <c r="AR3" s="69"/>
      <c r="AS3" s="69"/>
      <c r="AT3" s="69"/>
      <c r="AU3" s="69"/>
      <c r="AV3" s="69"/>
      <c r="AW3" s="70"/>
      <c r="AX3" s="68">
        <v>9</v>
      </c>
      <c r="AY3" s="69"/>
      <c r="AZ3" s="69"/>
      <c r="BA3" s="69"/>
      <c r="BB3" s="69"/>
      <c r="BC3" s="69"/>
      <c r="BD3" s="69"/>
      <c r="BE3" s="69"/>
      <c r="BF3" s="69"/>
      <c r="BG3" s="69"/>
      <c r="BH3" s="69"/>
      <c r="BI3" s="69"/>
      <c r="BJ3" s="69"/>
      <c r="BK3" s="69"/>
      <c r="BL3" s="69"/>
      <c r="BM3" s="70"/>
      <c r="BN3" s="68">
        <v>17</v>
      </c>
      <c r="BO3" s="69"/>
      <c r="BP3" s="69"/>
      <c r="BQ3" s="69"/>
      <c r="BR3" s="69"/>
      <c r="BS3" s="69"/>
      <c r="BT3" s="69"/>
      <c r="BU3" s="69"/>
      <c r="BV3" s="69"/>
      <c r="BW3" s="69"/>
      <c r="BX3" s="69"/>
      <c r="BY3" s="69"/>
      <c r="BZ3" s="69"/>
      <c r="CA3" s="69"/>
      <c r="CB3" s="69"/>
      <c r="CC3" s="70"/>
      <c r="CD3" s="68">
        <v>17</v>
      </c>
      <c r="CE3" s="69"/>
      <c r="CF3" s="69"/>
      <c r="CG3" s="69"/>
      <c r="CH3" s="69"/>
      <c r="CI3" s="69"/>
      <c r="CJ3" s="69"/>
      <c r="CK3" s="69"/>
      <c r="CL3" s="69"/>
      <c r="CM3" s="69"/>
      <c r="CN3" s="69"/>
      <c r="CO3" s="69"/>
      <c r="CP3" s="69"/>
      <c r="CQ3" s="69"/>
      <c r="CR3" s="69"/>
      <c r="CS3" s="70"/>
      <c r="CT3" s="68">
        <v>17</v>
      </c>
      <c r="CU3" s="69"/>
      <c r="CV3" s="69"/>
      <c r="CW3" s="69"/>
      <c r="CX3" s="69"/>
      <c r="CY3" s="69"/>
      <c r="CZ3" s="69"/>
      <c r="DA3" s="69"/>
      <c r="DB3" s="69"/>
      <c r="DC3" s="69"/>
      <c r="DD3" s="69"/>
      <c r="DE3" s="69"/>
      <c r="DF3" s="69"/>
      <c r="DG3" s="69"/>
      <c r="DH3" s="69"/>
      <c r="DI3" s="70"/>
      <c r="DJ3" s="68">
        <v>17</v>
      </c>
      <c r="DK3" s="69"/>
      <c r="DL3" s="69"/>
      <c r="DM3" s="69"/>
      <c r="DN3" s="69"/>
      <c r="DO3" s="69"/>
      <c r="DP3" s="69"/>
      <c r="DQ3" s="69"/>
      <c r="DR3" s="69"/>
      <c r="DS3" s="69"/>
      <c r="DT3" s="69"/>
      <c r="DU3" s="69"/>
      <c r="DV3" s="69"/>
      <c r="DW3" s="69"/>
      <c r="DX3" s="69"/>
      <c r="DY3" s="70"/>
      <c r="DZ3" s="85">
        <v>25</v>
      </c>
      <c r="EA3" s="83"/>
      <c r="EB3" s="83"/>
      <c r="EC3" s="83"/>
      <c r="ED3" s="83"/>
      <c r="EE3" s="83"/>
      <c r="EF3" s="83"/>
      <c r="EG3" s="83"/>
      <c r="EH3" s="83"/>
      <c r="EI3" s="83"/>
      <c r="EJ3" s="83"/>
      <c r="EK3" s="83"/>
      <c r="EL3" s="83"/>
      <c r="EM3" s="83"/>
      <c r="EN3" s="83"/>
      <c r="EO3" s="84"/>
      <c r="EP3" s="82">
        <v>25</v>
      </c>
      <c r="EQ3" s="83"/>
      <c r="ER3" s="83"/>
      <c r="ES3" s="83"/>
      <c r="ET3" s="83"/>
      <c r="EU3" s="83"/>
      <c r="EV3" s="83"/>
      <c r="EW3" s="83"/>
      <c r="EX3" s="83"/>
      <c r="EY3" s="83"/>
      <c r="EZ3" s="83"/>
      <c r="FA3" s="83"/>
      <c r="FB3" s="83"/>
      <c r="FC3" s="83"/>
      <c r="FD3" s="83"/>
      <c r="FE3" s="84"/>
      <c r="FF3" s="82">
        <v>25</v>
      </c>
      <c r="FG3" s="83"/>
      <c r="FH3" s="83"/>
      <c r="FI3" s="83"/>
      <c r="FJ3" s="83"/>
      <c r="FK3" s="83"/>
      <c r="FL3" s="83"/>
      <c r="FM3" s="83"/>
      <c r="FN3" s="83"/>
      <c r="FO3" s="83"/>
      <c r="FP3" s="83"/>
      <c r="FQ3" s="83"/>
      <c r="FR3" s="83"/>
      <c r="FS3" s="83"/>
      <c r="FT3" s="83"/>
      <c r="FU3" s="84"/>
      <c r="FV3" s="82">
        <v>25</v>
      </c>
      <c r="FW3" s="83"/>
      <c r="FX3" s="83"/>
      <c r="FY3" s="83"/>
      <c r="FZ3" s="83"/>
      <c r="GA3" s="83"/>
      <c r="GB3" s="83"/>
      <c r="GC3" s="83"/>
      <c r="GD3" s="83"/>
      <c r="GE3" s="83"/>
      <c r="GF3" s="83"/>
      <c r="GG3" s="83"/>
      <c r="GH3" s="83"/>
      <c r="GI3" s="83"/>
      <c r="GJ3" s="83"/>
      <c r="GK3" s="84"/>
      <c r="GL3" s="82">
        <v>33</v>
      </c>
      <c r="GM3" s="83"/>
      <c r="GN3" s="83"/>
      <c r="GO3" s="83"/>
      <c r="GP3" s="83"/>
      <c r="GQ3" s="83"/>
      <c r="GR3" s="83"/>
      <c r="GS3" s="83"/>
      <c r="GT3" s="83"/>
      <c r="GU3" s="83"/>
      <c r="GV3" s="83"/>
      <c r="GW3" s="83"/>
      <c r="GX3" s="83"/>
      <c r="GY3" s="83"/>
      <c r="GZ3" s="83"/>
      <c r="HA3" s="84"/>
      <c r="HB3" s="82">
        <v>33</v>
      </c>
      <c r="HC3" s="83"/>
      <c r="HD3" s="83"/>
      <c r="HE3" s="83"/>
      <c r="HF3" s="83"/>
      <c r="HG3" s="83"/>
      <c r="HH3" s="83"/>
      <c r="HI3" s="83"/>
      <c r="HJ3" s="83"/>
      <c r="HK3" s="83"/>
      <c r="HL3" s="83"/>
      <c r="HM3" s="83"/>
      <c r="HN3" s="83"/>
      <c r="HO3" s="83"/>
      <c r="HP3" s="83"/>
      <c r="HQ3" s="84"/>
      <c r="HR3" s="82">
        <v>33</v>
      </c>
      <c r="HS3" s="83"/>
      <c r="HT3" s="83"/>
      <c r="HU3" s="83"/>
      <c r="HV3" s="83"/>
      <c r="HW3" s="83"/>
      <c r="HX3" s="83"/>
      <c r="HY3" s="83"/>
      <c r="HZ3" s="83"/>
      <c r="IA3" s="83"/>
      <c r="IB3" s="83"/>
      <c r="IC3" s="83"/>
      <c r="ID3" s="83"/>
      <c r="IE3" s="83"/>
      <c r="IF3" s="83"/>
      <c r="IG3" s="84"/>
      <c r="IH3" s="82">
        <v>33</v>
      </c>
      <c r="II3" s="83"/>
      <c r="IJ3" s="83"/>
      <c r="IK3" s="83"/>
      <c r="IL3" s="83"/>
      <c r="IM3" s="83"/>
      <c r="IN3" s="83"/>
      <c r="IO3" s="83"/>
      <c r="IP3" s="83"/>
      <c r="IQ3" s="83"/>
      <c r="IR3" s="83"/>
      <c r="IS3" s="83"/>
      <c r="IT3" s="83"/>
      <c r="IU3" s="83"/>
      <c r="IV3" s="83"/>
      <c r="IW3" s="84"/>
    </row>
    <row r="4" spans="1:257" x14ac:dyDescent="0.2">
      <c r="A4" s="4"/>
      <c r="B4" s="64" t="str">
        <f>'Demand Stage 2'!B3</f>
        <v>gas or mix</v>
      </c>
      <c r="C4" s="64"/>
      <c r="D4" s="64"/>
      <c r="E4" s="64"/>
      <c r="F4" s="64"/>
      <c r="G4" s="64"/>
      <c r="H4" s="64"/>
      <c r="I4" s="64"/>
      <c r="J4" s="77" t="s">
        <v>20</v>
      </c>
      <c r="K4" s="77"/>
      <c r="L4" s="77"/>
      <c r="M4" s="77"/>
      <c r="N4" s="77"/>
      <c r="O4" s="77"/>
      <c r="P4" s="77"/>
      <c r="Q4" s="77"/>
      <c r="R4" s="64" t="s">
        <v>19</v>
      </c>
      <c r="S4" s="64"/>
      <c r="T4" s="64"/>
      <c r="U4" s="64"/>
      <c r="V4" s="64"/>
      <c r="W4" s="64"/>
      <c r="X4" s="64"/>
      <c r="Y4" s="64"/>
      <c r="Z4" s="77" t="s">
        <v>20</v>
      </c>
      <c r="AA4" s="77"/>
      <c r="AB4" s="77"/>
      <c r="AC4" s="77"/>
      <c r="AD4" s="77"/>
      <c r="AE4" s="77"/>
      <c r="AF4" s="77"/>
      <c r="AG4" s="77"/>
      <c r="AH4" s="64" t="s">
        <v>19</v>
      </c>
      <c r="AI4" s="64"/>
      <c r="AJ4" s="64"/>
      <c r="AK4" s="64"/>
      <c r="AL4" s="64"/>
      <c r="AM4" s="64"/>
      <c r="AN4" s="64"/>
      <c r="AO4" s="64"/>
      <c r="AP4" s="77" t="s">
        <v>20</v>
      </c>
      <c r="AQ4" s="77"/>
      <c r="AR4" s="77"/>
      <c r="AS4" s="77"/>
      <c r="AT4" s="77"/>
      <c r="AU4" s="77"/>
      <c r="AV4" s="77"/>
      <c r="AW4" s="77"/>
      <c r="AX4" s="64" t="s">
        <v>19</v>
      </c>
      <c r="AY4" s="64"/>
      <c r="AZ4" s="64"/>
      <c r="BA4" s="64"/>
      <c r="BB4" s="64"/>
      <c r="BC4" s="64"/>
      <c r="BD4" s="64"/>
      <c r="BE4" s="64"/>
      <c r="BF4" s="77" t="s">
        <v>20</v>
      </c>
      <c r="BG4" s="77"/>
      <c r="BH4" s="77"/>
      <c r="BI4" s="77"/>
      <c r="BJ4" s="77"/>
      <c r="BK4" s="77"/>
      <c r="BL4" s="77"/>
      <c r="BM4" s="77"/>
      <c r="BN4" s="64" t="s">
        <v>19</v>
      </c>
      <c r="BO4" s="64"/>
      <c r="BP4" s="64"/>
      <c r="BQ4" s="64"/>
      <c r="BR4" s="64"/>
      <c r="BS4" s="64"/>
      <c r="BT4" s="64"/>
      <c r="BU4" s="64"/>
      <c r="BV4" s="77" t="s">
        <v>20</v>
      </c>
      <c r="BW4" s="77"/>
      <c r="BX4" s="77"/>
      <c r="BY4" s="77"/>
      <c r="BZ4" s="77"/>
      <c r="CA4" s="77"/>
      <c r="CB4" s="77"/>
      <c r="CC4" s="77"/>
      <c r="CD4" s="64" t="s">
        <v>19</v>
      </c>
      <c r="CE4" s="64"/>
      <c r="CF4" s="64"/>
      <c r="CG4" s="64"/>
      <c r="CH4" s="64"/>
      <c r="CI4" s="64"/>
      <c r="CJ4" s="64"/>
      <c r="CK4" s="64"/>
      <c r="CL4" s="77" t="s">
        <v>20</v>
      </c>
      <c r="CM4" s="77"/>
      <c r="CN4" s="77"/>
      <c r="CO4" s="77"/>
      <c r="CP4" s="77"/>
      <c r="CQ4" s="77"/>
      <c r="CR4" s="77"/>
      <c r="CS4" s="77"/>
      <c r="CT4" s="64" t="s">
        <v>19</v>
      </c>
      <c r="CU4" s="64"/>
      <c r="CV4" s="64"/>
      <c r="CW4" s="64"/>
      <c r="CX4" s="64"/>
      <c r="CY4" s="64"/>
      <c r="CZ4" s="64"/>
      <c r="DA4" s="64"/>
      <c r="DB4" s="77" t="s">
        <v>20</v>
      </c>
      <c r="DC4" s="77"/>
      <c r="DD4" s="77"/>
      <c r="DE4" s="77"/>
      <c r="DF4" s="77"/>
      <c r="DG4" s="77"/>
      <c r="DH4" s="77"/>
      <c r="DI4" s="77"/>
      <c r="DJ4" s="64" t="s">
        <v>19</v>
      </c>
      <c r="DK4" s="64"/>
      <c r="DL4" s="64"/>
      <c r="DM4" s="64"/>
      <c r="DN4" s="64"/>
      <c r="DO4" s="64"/>
      <c r="DP4" s="64"/>
      <c r="DQ4" s="64"/>
      <c r="DR4" s="77" t="s">
        <v>20</v>
      </c>
      <c r="DS4" s="77"/>
      <c r="DT4" s="77"/>
      <c r="DU4" s="77"/>
      <c r="DV4" s="77"/>
      <c r="DW4" s="77"/>
      <c r="DX4" s="77"/>
      <c r="DY4" s="77"/>
      <c r="DZ4" s="64" t="s">
        <v>19</v>
      </c>
      <c r="EA4" s="64"/>
      <c r="EB4" s="64"/>
      <c r="EC4" s="64"/>
      <c r="ED4" s="64"/>
      <c r="EE4" s="64"/>
      <c r="EF4" s="64"/>
      <c r="EG4" s="64"/>
      <c r="EH4" s="77" t="s">
        <v>20</v>
      </c>
      <c r="EI4" s="77"/>
      <c r="EJ4" s="77"/>
      <c r="EK4" s="77"/>
      <c r="EL4" s="77"/>
      <c r="EM4" s="77"/>
      <c r="EN4" s="77"/>
      <c r="EO4" s="77"/>
      <c r="EP4" s="64" t="s">
        <v>19</v>
      </c>
      <c r="EQ4" s="64"/>
      <c r="ER4" s="64"/>
      <c r="ES4" s="64"/>
      <c r="ET4" s="64"/>
      <c r="EU4" s="64"/>
      <c r="EV4" s="64"/>
      <c r="EW4" s="64"/>
      <c r="EX4" s="77" t="s">
        <v>20</v>
      </c>
      <c r="EY4" s="77"/>
      <c r="EZ4" s="77"/>
      <c r="FA4" s="77"/>
      <c r="FB4" s="77"/>
      <c r="FC4" s="77"/>
      <c r="FD4" s="77"/>
      <c r="FE4" s="77"/>
      <c r="FF4" s="64" t="s">
        <v>19</v>
      </c>
      <c r="FG4" s="64"/>
      <c r="FH4" s="64"/>
      <c r="FI4" s="64"/>
      <c r="FJ4" s="64"/>
      <c r="FK4" s="64"/>
      <c r="FL4" s="64"/>
      <c r="FM4" s="64"/>
      <c r="FN4" s="77" t="s">
        <v>20</v>
      </c>
      <c r="FO4" s="77"/>
      <c r="FP4" s="77"/>
      <c r="FQ4" s="77"/>
      <c r="FR4" s="77"/>
      <c r="FS4" s="77"/>
      <c r="FT4" s="77"/>
      <c r="FU4" s="77"/>
      <c r="FV4" s="64" t="s">
        <v>19</v>
      </c>
      <c r="FW4" s="64"/>
      <c r="FX4" s="64"/>
      <c r="FY4" s="64"/>
      <c r="FZ4" s="64"/>
      <c r="GA4" s="64"/>
      <c r="GB4" s="64"/>
      <c r="GC4" s="64"/>
      <c r="GD4" s="77" t="s">
        <v>20</v>
      </c>
      <c r="GE4" s="77"/>
      <c r="GF4" s="77"/>
      <c r="GG4" s="77"/>
      <c r="GH4" s="77"/>
      <c r="GI4" s="77"/>
      <c r="GJ4" s="77"/>
      <c r="GK4" s="77"/>
      <c r="GL4" s="64" t="s">
        <v>19</v>
      </c>
      <c r="GM4" s="64"/>
      <c r="GN4" s="64"/>
      <c r="GO4" s="64"/>
      <c r="GP4" s="64"/>
      <c r="GQ4" s="64"/>
      <c r="GR4" s="64"/>
      <c r="GS4" s="64"/>
      <c r="GT4" s="77" t="s">
        <v>20</v>
      </c>
      <c r="GU4" s="77"/>
      <c r="GV4" s="77"/>
      <c r="GW4" s="77"/>
      <c r="GX4" s="77"/>
      <c r="GY4" s="77"/>
      <c r="GZ4" s="77"/>
      <c r="HA4" s="77"/>
      <c r="HB4" s="64" t="s">
        <v>19</v>
      </c>
      <c r="HC4" s="64"/>
      <c r="HD4" s="64"/>
      <c r="HE4" s="64"/>
      <c r="HF4" s="64"/>
      <c r="HG4" s="64"/>
      <c r="HH4" s="64"/>
      <c r="HI4" s="64"/>
      <c r="HJ4" s="77" t="s">
        <v>20</v>
      </c>
      <c r="HK4" s="77"/>
      <c r="HL4" s="77"/>
      <c r="HM4" s="77"/>
      <c r="HN4" s="77"/>
      <c r="HO4" s="77"/>
      <c r="HP4" s="77"/>
      <c r="HQ4" s="77"/>
      <c r="HR4" s="64" t="s">
        <v>19</v>
      </c>
      <c r="HS4" s="64"/>
      <c r="HT4" s="64"/>
      <c r="HU4" s="64"/>
      <c r="HV4" s="64"/>
      <c r="HW4" s="64"/>
      <c r="HX4" s="64"/>
      <c r="HY4" s="64"/>
      <c r="HZ4" s="77" t="s">
        <v>20</v>
      </c>
      <c r="IA4" s="77"/>
      <c r="IB4" s="77"/>
      <c r="IC4" s="77"/>
      <c r="ID4" s="77"/>
      <c r="IE4" s="77"/>
      <c r="IF4" s="77"/>
      <c r="IG4" s="77"/>
      <c r="IH4" s="64" t="s">
        <v>19</v>
      </c>
      <c r="II4" s="64"/>
      <c r="IJ4" s="64"/>
      <c r="IK4" s="64"/>
      <c r="IL4" s="64"/>
      <c r="IM4" s="64"/>
      <c r="IN4" s="64"/>
      <c r="IO4" s="64"/>
      <c r="IP4" s="77" t="s">
        <v>20</v>
      </c>
      <c r="IQ4" s="77"/>
      <c r="IR4" s="77"/>
      <c r="IS4" s="77"/>
      <c r="IT4" s="77"/>
      <c r="IU4" s="77"/>
      <c r="IV4" s="77"/>
      <c r="IW4" s="77"/>
    </row>
    <row r="5" spans="1:257" x14ac:dyDescent="0.2">
      <c r="A5" s="4" t="s">
        <v>17</v>
      </c>
      <c r="B5" s="5" t="str">
        <f>'Demand Stage 2'!B4</f>
        <v>ST.FERGUS</v>
      </c>
      <c r="C5" s="5" t="str">
        <f>'Demand Stage 2'!C4</f>
        <v>EASINGTON</v>
      </c>
      <c r="D5" s="5" t="str">
        <f>'Demand Stage 2'!D4</f>
        <v>TEESSIDE</v>
      </c>
      <c r="E5" s="5" t="str">
        <f>'Demand Stage 2'!F4</f>
        <v>Emden Consumers</v>
      </c>
      <c r="F5" s="5" t="str">
        <f>'Demand Stage 2'!H4</f>
        <v>Dornum Consumers</v>
      </c>
      <c r="G5" s="5" t="str">
        <f>'Demand Stage 2'!J4</f>
        <v>Zeebrugge Consumers</v>
      </c>
      <c r="H5" s="5" t="str">
        <f>'Demand Stage 2'!K4</f>
        <v>DUNKERQUE</v>
      </c>
      <c r="I5" s="5" t="str">
        <f>'Demand Stage 2'!L4</f>
        <v>POLAND</v>
      </c>
      <c r="J5" s="6" t="e">
        <f>'Demand Stage 2'!#REF!</f>
        <v>#REF!</v>
      </c>
      <c r="K5" s="6" t="e">
        <f>'Demand Stage 2'!#REF!</f>
        <v>#REF!</v>
      </c>
      <c r="L5" s="6" t="e">
        <f>'Demand Stage 2'!#REF!</f>
        <v>#REF!</v>
      </c>
      <c r="M5" s="6" t="e">
        <f>'Demand Stage 2'!#REF!</f>
        <v>#REF!</v>
      </c>
      <c r="N5" s="6" t="e">
        <f>'Demand Stage 2'!#REF!</f>
        <v>#REF!</v>
      </c>
      <c r="O5" s="6" t="e">
        <f>'Demand Stage 2'!#REF!</f>
        <v>#REF!</v>
      </c>
      <c r="P5" s="6" t="e">
        <f>'Demand Stage 2'!#REF!</f>
        <v>#REF!</v>
      </c>
      <c r="Q5" s="6" t="e">
        <f>'Demand Stage 2'!#REF!</f>
        <v>#REF!</v>
      </c>
      <c r="R5" s="5" t="str">
        <f>'Demand Stage 2'!B4</f>
        <v>ST.FERGUS</v>
      </c>
      <c r="S5" s="5" t="str">
        <f>'Demand Stage 2'!C4</f>
        <v>EASINGTON</v>
      </c>
      <c r="T5" s="5" t="str">
        <f>'Demand Stage 2'!D4</f>
        <v>TEESSIDE</v>
      </c>
      <c r="U5" s="5" t="str">
        <f>'Demand Stage 2'!F4</f>
        <v>Emden Consumers</v>
      </c>
      <c r="V5" s="5" t="str">
        <f>'Demand Stage 2'!H4</f>
        <v>Dornum Consumers</v>
      </c>
      <c r="W5" s="5" t="str">
        <f>'Demand Stage 2'!J4</f>
        <v>Zeebrugge Consumers</v>
      </c>
      <c r="X5" s="5" t="str">
        <f>'Demand Stage 2'!K4</f>
        <v>DUNKERQUE</v>
      </c>
      <c r="Y5" s="5" t="str">
        <f>'Demand Stage 2'!L4</f>
        <v>POLAND</v>
      </c>
      <c r="Z5" s="6" t="e">
        <f>'Demand Stage 2'!#REF!</f>
        <v>#REF!</v>
      </c>
      <c r="AA5" s="6" t="e">
        <f>'Demand Stage 2'!#REF!</f>
        <v>#REF!</v>
      </c>
      <c r="AB5" s="6" t="e">
        <f>'Demand Stage 2'!#REF!</f>
        <v>#REF!</v>
      </c>
      <c r="AC5" s="6" t="e">
        <f>'Demand Stage 2'!#REF!</f>
        <v>#REF!</v>
      </c>
      <c r="AD5" s="6" t="e">
        <f>'Demand Stage 2'!#REF!</f>
        <v>#REF!</v>
      </c>
      <c r="AE5" s="6" t="e">
        <f>'Demand Stage 2'!#REF!</f>
        <v>#REF!</v>
      </c>
      <c r="AF5" s="6" t="e">
        <f>'Demand Stage 2'!#REF!</f>
        <v>#REF!</v>
      </c>
      <c r="AG5" s="6" t="e">
        <f>'Demand Stage 2'!#REF!</f>
        <v>#REF!</v>
      </c>
      <c r="AH5" s="5" t="str">
        <f>'Demand Stage 2'!B4</f>
        <v>ST.FERGUS</v>
      </c>
      <c r="AI5" s="5" t="str">
        <f>'Demand Stage 2'!C4</f>
        <v>EASINGTON</v>
      </c>
      <c r="AJ5" s="5" t="str">
        <f>'Demand Stage 2'!D4</f>
        <v>TEESSIDE</v>
      </c>
      <c r="AK5" s="5" t="str">
        <f>'Demand Stage 2'!F4</f>
        <v>Emden Consumers</v>
      </c>
      <c r="AL5" s="5" t="str">
        <f>'Demand Stage 2'!H4</f>
        <v>Dornum Consumers</v>
      </c>
      <c r="AM5" s="5" t="str">
        <f>'Demand Stage 2'!J4</f>
        <v>Zeebrugge Consumers</v>
      </c>
      <c r="AN5" s="5" t="str">
        <f>'Demand Stage 2'!K4</f>
        <v>DUNKERQUE</v>
      </c>
      <c r="AO5" s="5" t="str">
        <f>'Demand Stage 2'!L4</f>
        <v>POLAND</v>
      </c>
      <c r="AP5" s="6" t="e">
        <f>'Demand Stage 2'!#REF!</f>
        <v>#REF!</v>
      </c>
      <c r="AQ5" s="6" t="e">
        <f>'Demand Stage 2'!#REF!</f>
        <v>#REF!</v>
      </c>
      <c r="AR5" s="6" t="e">
        <f>'Demand Stage 2'!#REF!</f>
        <v>#REF!</v>
      </c>
      <c r="AS5" s="6" t="e">
        <f>'Demand Stage 2'!#REF!</f>
        <v>#REF!</v>
      </c>
      <c r="AT5" s="6" t="e">
        <f>'Demand Stage 2'!#REF!</f>
        <v>#REF!</v>
      </c>
      <c r="AU5" s="6" t="e">
        <f>'Demand Stage 2'!#REF!</f>
        <v>#REF!</v>
      </c>
      <c r="AV5" s="6" t="e">
        <f>'Demand Stage 2'!#REF!</f>
        <v>#REF!</v>
      </c>
      <c r="AW5" s="6" t="e">
        <f>'Demand Stage 2'!#REF!</f>
        <v>#REF!</v>
      </c>
      <c r="AX5" s="5" t="str">
        <f>'Demand Stage 2'!B4</f>
        <v>ST.FERGUS</v>
      </c>
      <c r="AY5" s="5" t="str">
        <f>'Demand Stage 2'!C4</f>
        <v>EASINGTON</v>
      </c>
      <c r="AZ5" s="5" t="str">
        <f>'Demand Stage 2'!D4</f>
        <v>TEESSIDE</v>
      </c>
      <c r="BA5" s="5" t="str">
        <f>'Demand Stage 2'!F4</f>
        <v>Emden Consumers</v>
      </c>
      <c r="BB5" s="5" t="str">
        <f>'Demand Stage 2'!H4</f>
        <v>Dornum Consumers</v>
      </c>
      <c r="BC5" s="5" t="str">
        <f>'Demand Stage 2'!J4</f>
        <v>Zeebrugge Consumers</v>
      </c>
      <c r="BD5" s="5" t="str">
        <f>'Demand Stage 2'!K4</f>
        <v>DUNKERQUE</v>
      </c>
      <c r="BE5" s="5" t="str">
        <f>'Demand Stage 2'!L4</f>
        <v>POLAND</v>
      </c>
      <c r="BF5" s="6" t="e">
        <f>'Demand Stage 2'!#REF!</f>
        <v>#REF!</v>
      </c>
      <c r="BG5" s="6" t="e">
        <f>'Demand Stage 2'!#REF!</f>
        <v>#REF!</v>
      </c>
      <c r="BH5" s="6" t="e">
        <f>'Demand Stage 2'!#REF!</f>
        <v>#REF!</v>
      </c>
      <c r="BI5" s="6" t="e">
        <f>'Demand Stage 2'!#REF!</f>
        <v>#REF!</v>
      </c>
      <c r="BJ5" s="6" t="e">
        <f>'Demand Stage 2'!#REF!</f>
        <v>#REF!</v>
      </c>
      <c r="BK5" s="6" t="e">
        <f>'Demand Stage 2'!#REF!</f>
        <v>#REF!</v>
      </c>
      <c r="BL5" s="6" t="e">
        <f>'Demand Stage 2'!#REF!</f>
        <v>#REF!</v>
      </c>
      <c r="BM5" s="6" t="e">
        <f>'Demand Stage 2'!#REF!</f>
        <v>#REF!</v>
      </c>
      <c r="BN5" s="5" t="e">
        <f>'Demand Stage 2'!#REF!</f>
        <v>#REF!</v>
      </c>
      <c r="BO5" s="5" t="e">
        <f>'Demand Stage 2'!#REF!</f>
        <v>#REF!</v>
      </c>
      <c r="BP5" s="5" t="e">
        <f>'Demand Stage 2'!#REF!</f>
        <v>#REF!</v>
      </c>
      <c r="BQ5" s="5" t="e">
        <f>'Demand Stage 2'!#REF!</f>
        <v>#REF!</v>
      </c>
      <c r="BR5" s="5" t="e">
        <f>'Demand Stage 2'!#REF!</f>
        <v>#REF!</v>
      </c>
      <c r="BS5" s="5" t="e">
        <f>'Demand Stage 2'!#REF!</f>
        <v>#REF!</v>
      </c>
      <c r="BT5" s="5" t="e">
        <f>'Demand Stage 2'!#REF!</f>
        <v>#REF!</v>
      </c>
      <c r="BU5" s="5" t="e">
        <f>'Demand Stage 2'!#REF!</f>
        <v>#REF!</v>
      </c>
      <c r="BV5" s="6" t="e">
        <f>'Demand Stage 2'!#REF!</f>
        <v>#REF!</v>
      </c>
      <c r="BW5" s="6" t="e">
        <f>'Demand Stage 2'!#REF!</f>
        <v>#REF!</v>
      </c>
      <c r="BX5" s="6" t="e">
        <f>'Demand Stage 2'!#REF!</f>
        <v>#REF!</v>
      </c>
      <c r="BY5" s="6" t="e">
        <f>'Demand Stage 2'!#REF!</f>
        <v>#REF!</v>
      </c>
      <c r="BZ5" s="6" t="e">
        <f>'Demand Stage 2'!#REF!</f>
        <v>#REF!</v>
      </c>
      <c r="CA5" s="6" t="e">
        <f>'Demand Stage 2'!#REF!</f>
        <v>#REF!</v>
      </c>
      <c r="CB5" s="6" t="e">
        <f>'Demand Stage 2'!#REF!</f>
        <v>#REF!</v>
      </c>
      <c r="CC5" s="6" t="e">
        <f>'Demand Stage 2'!#REF!</f>
        <v>#REF!</v>
      </c>
      <c r="CD5" s="5" t="e">
        <f>BN5</f>
        <v>#REF!</v>
      </c>
      <c r="CE5" s="5" t="e">
        <f t="shared" ref="CE5:CK13" si="14">BO5</f>
        <v>#REF!</v>
      </c>
      <c r="CF5" s="5" t="e">
        <f t="shared" si="14"/>
        <v>#REF!</v>
      </c>
      <c r="CG5" s="5" t="e">
        <f t="shared" si="14"/>
        <v>#REF!</v>
      </c>
      <c r="CH5" s="5" t="e">
        <f t="shared" si="14"/>
        <v>#REF!</v>
      </c>
      <c r="CI5" s="5" t="e">
        <f t="shared" si="14"/>
        <v>#REF!</v>
      </c>
      <c r="CJ5" s="5" t="e">
        <f t="shared" si="14"/>
        <v>#REF!</v>
      </c>
      <c r="CK5" s="5" t="e">
        <f t="shared" si="14"/>
        <v>#REF!</v>
      </c>
      <c r="CL5" s="6" t="e">
        <f>BV5</f>
        <v>#REF!</v>
      </c>
      <c r="CM5" s="6" t="e">
        <f t="shared" ref="CM5:CS9" si="15">BW5</f>
        <v>#REF!</v>
      </c>
      <c r="CN5" s="6" t="e">
        <f t="shared" si="15"/>
        <v>#REF!</v>
      </c>
      <c r="CO5" s="6" t="e">
        <f t="shared" si="15"/>
        <v>#REF!</v>
      </c>
      <c r="CP5" s="6" t="e">
        <f t="shared" si="15"/>
        <v>#REF!</v>
      </c>
      <c r="CQ5" s="6" t="e">
        <f t="shared" si="15"/>
        <v>#REF!</v>
      </c>
      <c r="CR5" s="6" t="e">
        <f t="shared" si="15"/>
        <v>#REF!</v>
      </c>
      <c r="CS5" s="6" t="e">
        <f t="shared" si="15"/>
        <v>#REF!</v>
      </c>
      <c r="CT5" s="5" t="e">
        <f>CD5</f>
        <v>#REF!</v>
      </c>
      <c r="CU5" s="5" t="e">
        <f t="shared" ref="CU5:DB13" si="16">CE5</f>
        <v>#REF!</v>
      </c>
      <c r="CV5" s="5" t="e">
        <f t="shared" si="16"/>
        <v>#REF!</v>
      </c>
      <c r="CW5" s="5" t="e">
        <f t="shared" si="16"/>
        <v>#REF!</v>
      </c>
      <c r="CX5" s="5" t="e">
        <f t="shared" si="16"/>
        <v>#REF!</v>
      </c>
      <c r="CY5" s="5" t="e">
        <f t="shared" si="16"/>
        <v>#REF!</v>
      </c>
      <c r="CZ5" s="5" t="e">
        <f t="shared" si="16"/>
        <v>#REF!</v>
      </c>
      <c r="DA5" s="5" t="e">
        <f t="shared" si="16"/>
        <v>#REF!</v>
      </c>
      <c r="DB5" s="6" t="e">
        <f t="shared" si="16"/>
        <v>#REF!</v>
      </c>
      <c r="DC5" s="6" t="e">
        <f t="shared" ref="DC5:DC9" si="17">CM5</f>
        <v>#REF!</v>
      </c>
      <c r="DD5" s="6" t="e">
        <f t="shared" ref="DD5:DD9" si="18">CN5</f>
        <v>#REF!</v>
      </c>
      <c r="DE5" s="6" t="e">
        <f t="shared" ref="DE5:DE9" si="19">CO5</f>
        <v>#REF!</v>
      </c>
      <c r="DF5" s="6" t="e">
        <f t="shared" ref="DF5:DF9" si="20">CP5</f>
        <v>#REF!</v>
      </c>
      <c r="DG5" s="6" t="e">
        <f t="shared" ref="DG5:DG9" si="21">CQ5</f>
        <v>#REF!</v>
      </c>
      <c r="DH5" s="6" t="e">
        <f t="shared" ref="DH5:DH9" si="22">CR5</f>
        <v>#REF!</v>
      </c>
      <c r="DI5" s="6" t="e">
        <f t="shared" ref="DI5:DI9" si="23">CS5</f>
        <v>#REF!</v>
      </c>
      <c r="DJ5" s="5" t="e">
        <f>CT5</f>
        <v>#REF!</v>
      </c>
      <c r="DK5" s="5" t="e">
        <f t="shared" ref="DK5:DQ13" si="24">CU5</f>
        <v>#REF!</v>
      </c>
      <c r="DL5" s="5" t="e">
        <f t="shared" si="24"/>
        <v>#REF!</v>
      </c>
      <c r="DM5" s="5" t="e">
        <f t="shared" si="24"/>
        <v>#REF!</v>
      </c>
      <c r="DN5" s="5" t="e">
        <f t="shared" si="24"/>
        <v>#REF!</v>
      </c>
      <c r="DO5" s="5" t="e">
        <f t="shared" si="24"/>
        <v>#REF!</v>
      </c>
      <c r="DP5" s="5" t="e">
        <f t="shared" si="24"/>
        <v>#REF!</v>
      </c>
      <c r="DQ5" s="5" t="e">
        <f t="shared" si="24"/>
        <v>#REF!</v>
      </c>
      <c r="DR5" s="6" t="e">
        <f>DB5</f>
        <v>#REF!</v>
      </c>
      <c r="DS5" s="6" t="e">
        <f t="shared" ref="DS5:DY5" si="25">DC5</f>
        <v>#REF!</v>
      </c>
      <c r="DT5" s="6" t="e">
        <f t="shared" si="25"/>
        <v>#REF!</v>
      </c>
      <c r="DU5" s="6" t="e">
        <f t="shared" si="25"/>
        <v>#REF!</v>
      </c>
      <c r="DV5" s="6" t="e">
        <f t="shared" si="25"/>
        <v>#REF!</v>
      </c>
      <c r="DW5" s="6" t="e">
        <f t="shared" si="25"/>
        <v>#REF!</v>
      </c>
      <c r="DX5" s="6" t="e">
        <f t="shared" si="25"/>
        <v>#REF!</v>
      </c>
      <c r="DY5" s="6" t="e">
        <f t="shared" si="25"/>
        <v>#REF!</v>
      </c>
      <c r="DZ5" s="5" t="e">
        <f>'Demand Stage 2'!#REF!</f>
        <v>#REF!</v>
      </c>
      <c r="EA5" s="5" t="e">
        <f>'Demand Stage 2'!#REF!</f>
        <v>#REF!</v>
      </c>
      <c r="EB5" s="5" t="e">
        <f>'Demand Stage 2'!#REF!</f>
        <v>#REF!</v>
      </c>
      <c r="EC5" s="5" t="e">
        <f>'Demand Stage 2'!#REF!</f>
        <v>#REF!</v>
      </c>
      <c r="ED5" s="5" t="e">
        <f>'Demand Stage 2'!#REF!</f>
        <v>#REF!</v>
      </c>
      <c r="EE5" s="5" t="e">
        <f>'Demand Stage 2'!#REF!</f>
        <v>#REF!</v>
      </c>
      <c r="EF5" s="5" t="e">
        <f>'Demand Stage 2'!#REF!</f>
        <v>#REF!</v>
      </c>
      <c r="EG5" s="5" t="e">
        <f>'Demand Stage 2'!#REF!</f>
        <v>#REF!</v>
      </c>
      <c r="EH5" s="6" t="e">
        <f>'Demand Stage 2'!#REF!</f>
        <v>#REF!</v>
      </c>
      <c r="EI5" s="6" t="e">
        <f>'Demand Stage 2'!#REF!</f>
        <v>#REF!</v>
      </c>
      <c r="EJ5" s="6" t="e">
        <f>'Demand Stage 2'!#REF!</f>
        <v>#REF!</v>
      </c>
      <c r="EK5" s="6" t="e">
        <f>'Demand Stage 2'!#REF!</f>
        <v>#REF!</v>
      </c>
      <c r="EL5" s="6" t="e">
        <f>'Demand Stage 2'!#REF!</f>
        <v>#REF!</v>
      </c>
      <c r="EM5" s="6" t="e">
        <f>'Demand Stage 2'!#REF!</f>
        <v>#REF!</v>
      </c>
      <c r="EN5" s="6" t="e">
        <f>'Demand Stage 2'!#REF!</f>
        <v>#REF!</v>
      </c>
      <c r="EO5" s="6" t="e">
        <f>'Demand Stage 2'!#REF!</f>
        <v>#REF!</v>
      </c>
      <c r="EP5" s="5" t="e">
        <f>DZ5</f>
        <v>#REF!</v>
      </c>
      <c r="EQ5" s="5" t="e">
        <f t="shared" ref="EQ5:EW13" si="26">EA5</f>
        <v>#REF!</v>
      </c>
      <c r="ER5" s="5" t="e">
        <f t="shared" si="26"/>
        <v>#REF!</v>
      </c>
      <c r="ES5" s="5" t="e">
        <f t="shared" si="26"/>
        <v>#REF!</v>
      </c>
      <c r="ET5" s="5" t="e">
        <f t="shared" si="26"/>
        <v>#REF!</v>
      </c>
      <c r="EU5" s="5" t="e">
        <f t="shared" si="26"/>
        <v>#REF!</v>
      </c>
      <c r="EV5" s="5" t="e">
        <f t="shared" si="26"/>
        <v>#REF!</v>
      </c>
      <c r="EW5" s="5" t="e">
        <f t="shared" si="26"/>
        <v>#REF!</v>
      </c>
      <c r="EX5" s="6" t="e">
        <f>EH5</f>
        <v>#REF!</v>
      </c>
      <c r="EY5" s="6" t="e">
        <f t="shared" ref="EY5:FE9" si="27">EI5</f>
        <v>#REF!</v>
      </c>
      <c r="EZ5" s="6" t="e">
        <f t="shared" si="27"/>
        <v>#REF!</v>
      </c>
      <c r="FA5" s="6" t="e">
        <f t="shared" si="27"/>
        <v>#REF!</v>
      </c>
      <c r="FB5" s="6" t="e">
        <f t="shared" si="27"/>
        <v>#REF!</v>
      </c>
      <c r="FC5" s="6" t="e">
        <f t="shared" si="27"/>
        <v>#REF!</v>
      </c>
      <c r="FD5" s="6" t="e">
        <f t="shared" si="27"/>
        <v>#REF!</v>
      </c>
      <c r="FE5" s="6" t="e">
        <f t="shared" si="27"/>
        <v>#REF!</v>
      </c>
      <c r="FF5" s="5" t="e">
        <f>EP5</f>
        <v>#REF!</v>
      </c>
      <c r="FG5" s="5" t="e">
        <f t="shared" ref="FG5:FM13" si="28">EQ5</f>
        <v>#REF!</v>
      </c>
      <c r="FH5" s="5" t="e">
        <f t="shared" si="28"/>
        <v>#REF!</v>
      </c>
      <c r="FI5" s="5" t="e">
        <f t="shared" si="28"/>
        <v>#REF!</v>
      </c>
      <c r="FJ5" s="5" t="e">
        <f t="shared" si="28"/>
        <v>#REF!</v>
      </c>
      <c r="FK5" s="5" t="e">
        <f t="shared" si="28"/>
        <v>#REF!</v>
      </c>
      <c r="FL5" s="5" t="e">
        <f t="shared" si="28"/>
        <v>#REF!</v>
      </c>
      <c r="FM5" s="5" t="e">
        <f t="shared" si="28"/>
        <v>#REF!</v>
      </c>
      <c r="FN5" s="6" t="e">
        <f>EX5</f>
        <v>#REF!</v>
      </c>
      <c r="FO5" s="6" t="e">
        <f t="shared" ref="FO5:FU5" si="29">EY5</f>
        <v>#REF!</v>
      </c>
      <c r="FP5" s="6" t="e">
        <f t="shared" si="29"/>
        <v>#REF!</v>
      </c>
      <c r="FQ5" s="6" t="e">
        <f t="shared" si="29"/>
        <v>#REF!</v>
      </c>
      <c r="FR5" s="6" t="e">
        <f t="shared" si="29"/>
        <v>#REF!</v>
      </c>
      <c r="FS5" s="6" t="e">
        <f t="shared" si="29"/>
        <v>#REF!</v>
      </c>
      <c r="FT5" s="6" t="e">
        <f t="shared" si="29"/>
        <v>#REF!</v>
      </c>
      <c r="FU5" s="6" t="e">
        <f t="shared" si="29"/>
        <v>#REF!</v>
      </c>
      <c r="FV5" s="5" t="e">
        <f>FF5</f>
        <v>#REF!</v>
      </c>
      <c r="FW5" s="5" t="e">
        <f t="shared" ref="FW5:GC13" si="30">FG5</f>
        <v>#REF!</v>
      </c>
      <c r="FX5" s="5" t="e">
        <f t="shared" si="30"/>
        <v>#REF!</v>
      </c>
      <c r="FY5" s="5" t="e">
        <f t="shared" si="30"/>
        <v>#REF!</v>
      </c>
      <c r="FZ5" s="5" t="e">
        <f t="shared" si="30"/>
        <v>#REF!</v>
      </c>
      <c r="GA5" s="5" t="e">
        <f t="shared" si="30"/>
        <v>#REF!</v>
      </c>
      <c r="GB5" s="5" t="e">
        <f t="shared" si="30"/>
        <v>#REF!</v>
      </c>
      <c r="GC5" s="5" t="e">
        <f t="shared" si="30"/>
        <v>#REF!</v>
      </c>
      <c r="GD5" s="6" t="e">
        <f>FN5</f>
        <v>#REF!</v>
      </c>
      <c r="GE5" s="6" t="e">
        <f t="shared" ref="GE5:GK9" si="31">FO5</f>
        <v>#REF!</v>
      </c>
      <c r="GF5" s="6" t="e">
        <f t="shared" si="31"/>
        <v>#REF!</v>
      </c>
      <c r="GG5" s="6" t="e">
        <f t="shared" si="31"/>
        <v>#REF!</v>
      </c>
      <c r="GH5" s="6" t="e">
        <f t="shared" si="31"/>
        <v>#REF!</v>
      </c>
      <c r="GI5" s="6" t="e">
        <f t="shared" si="31"/>
        <v>#REF!</v>
      </c>
      <c r="GJ5" s="6" t="e">
        <f t="shared" si="31"/>
        <v>#REF!</v>
      </c>
      <c r="GK5" s="6" t="e">
        <f t="shared" si="31"/>
        <v>#REF!</v>
      </c>
      <c r="GL5" s="5" t="e">
        <f>'Demand Stage 2'!#REF!</f>
        <v>#REF!</v>
      </c>
      <c r="GM5" s="5" t="e">
        <f>'Demand Stage 2'!#REF!</f>
        <v>#REF!</v>
      </c>
      <c r="GN5" s="5" t="e">
        <f>'Demand Stage 2'!#REF!</f>
        <v>#REF!</v>
      </c>
      <c r="GO5" s="5" t="e">
        <f>'Demand Stage 2'!#REF!</f>
        <v>#REF!</v>
      </c>
      <c r="GP5" s="5" t="e">
        <f>'Demand Stage 2'!#REF!</f>
        <v>#REF!</v>
      </c>
      <c r="GQ5" s="5" t="e">
        <f>'Demand Stage 2'!#REF!</f>
        <v>#REF!</v>
      </c>
      <c r="GR5" s="5" t="e">
        <f>'Demand Stage 2'!#REF!</f>
        <v>#REF!</v>
      </c>
      <c r="GS5" s="5" t="e">
        <f>'Demand Stage 2'!#REF!</f>
        <v>#REF!</v>
      </c>
      <c r="GT5" s="6" t="e">
        <f>'Demand Stage 2'!#REF!</f>
        <v>#REF!</v>
      </c>
      <c r="GU5" s="6" t="e">
        <f>'Demand Stage 2'!#REF!</f>
        <v>#REF!</v>
      </c>
      <c r="GV5" s="6" t="e">
        <f>'Demand Stage 2'!#REF!</f>
        <v>#REF!</v>
      </c>
      <c r="GW5" s="6" t="e">
        <f>'Demand Stage 2'!#REF!</f>
        <v>#REF!</v>
      </c>
      <c r="GX5" s="6" t="e">
        <f>'Demand Stage 2'!#REF!</f>
        <v>#REF!</v>
      </c>
      <c r="GY5" s="6" t="e">
        <f>'Demand Stage 2'!#REF!</f>
        <v>#REF!</v>
      </c>
      <c r="GZ5" s="6" t="e">
        <f>'Demand Stage 2'!#REF!</f>
        <v>#REF!</v>
      </c>
      <c r="HA5" s="6" t="e">
        <f>'Demand Stage 2'!#REF!</f>
        <v>#REF!</v>
      </c>
      <c r="HB5" s="5" t="e">
        <f>GL5</f>
        <v>#REF!</v>
      </c>
      <c r="HC5" s="5" t="e">
        <f t="shared" ref="HC5:HI13" si="32">GM5</f>
        <v>#REF!</v>
      </c>
      <c r="HD5" s="5" t="e">
        <f t="shared" si="32"/>
        <v>#REF!</v>
      </c>
      <c r="HE5" s="5" t="e">
        <f t="shared" si="32"/>
        <v>#REF!</v>
      </c>
      <c r="HF5" s="5" t="e">
        <f t="shared" si="32"/>
        <v>#REF!</v>
      </c>
      <c r="HG5" s="5" t="e">
        <f t="shared" si="32"/>
        <v>#REF!</v>
      </c>
      <c r="HH5" s="5" t="e">
        <f t="shared" si="32"/>
        <v>#REF!</v>
      </c>
      <c r="HI5" s="5" t="e">
        <f t="shared" si="32"/>
        <v>#REF!</v>
      </c>
      <c r="HJ5" s="6" t="e">
        <f>GT5</f>
        <v>#REF!</v>
      </c>
      <c r="HK5" s="6" t="e">
        <f t="shared" ref="HK5:HQ5" si="33">GU5</f>
        <v>#REF!</v>
      </c>
      <c r="HL5" s="6" t="e">
        <f t="shared" si="33"/>
        <v>#REF!</v>
      </c>
      <c r="HM5" s="6" t="e">
        <f t="shared" si="33"/>
        <v>#REF!</v>
      </c>
      <c r="HN5" s="6" t="e">
        <f t="shared" si="33"/>
        <v>#REF!</v>
      </c>
      <c r="HO5" s="6" t="e">
        <f t="shared" si="33"/>
        <v>#REF!</v>
      </c>
      <c r="HP5" s="6" t="e">
        <f t="shared" si="33"/>
        <v>#REF!</v>
      </c>
      <c r="HQ5" s="6" t="e">
        <f t="shared" si="33"/>
        <v>#REF!</v>
      </c>
      <c r="HR5" s="5" t="e">
        <f>HB5</f>
        <v>#REF!</v>
      </c>
      <c r="HS5" s="5" t="e">
        <f t="shared" ref="HS5:HY13" si="34">HC5</f>
        <v>#REF!</v>
      </c>
      <c r="HT5" s="5" t="e">
        <f t="shared" si="34"/>
        <v>#REF!</v>
      </c>
      <c r="HU5" s="5" t="e">
        <f t="shared" si="34"/>
        <v>#REF!</v>
      </c>
      <c r="HV5" s="5" t="e">
        <f t="shared" si="34"/>
        <v>#REF!</v>
      </c>
      <c r="HW5" s="5" t="e">
        <f t="shared" si="34"/>
        <v>#REF!</v>
      </c>
      <c r="HX5" s="5" t="e">
        <f t="shared" si="34"/>
        <v>#REF!</v>
      </c>
      <c r="HY5" s="5" t="e">
        <f t="shared" si="34"/>
        <v>#REF!</v>
      </c>
      <c r="HZ5" s="6" t="e">
        <f>HJ5</f>
        <v>#REF!</v>
      </c>
      <c r="IA5" s="6" t="e">
        <f t="shared" ref="IA5:IG9" si="35">HK5</f>
        <v>#REF!</v>
      </c>
      <c r="IB5" s="6" t="e">
        <f t="shared" si="35"/>
        <v>#REF!</v>
      </c>
      <c r="IC5" s="6" t="e">
        <f t="shared" si="35"/>
        <v>#REF!</v>
      </c>
      <c r="ID5" s="6" t="e">
        <f t="shared" si="35"/>
        <v>#REF!</v>
      </c>
      <c r="IE5" s="6" t="e">
        <f t="shared" si="35"/>
        <v>#REF!</v>
      </c>
      <c r="IF5" s="6" t="e">
        <f t="shared" si="35"/>
        <v>#REF!</v>
      </c>
      <c r="IG5" s="6" t="e">
        <f t="shared" si="35"/>
        <v>#REF!</v>
      </c>
      <c r="IH5" s="5" t="e">
        <f>HR5</f>
        <v>#REF!</v>
      </c>
      <c r="II5" s="5" t="e">
        <f t="shared" ref="II5:IO13" si="36">HS5</f>
        <v>#REF!</v>
      </c>
      <c r="IJ5" s="5" t="e">
        <f t="shared" si="36"/>
        <v>#REF!</v>
      </c>
      <c r="IK5" s="5" t="e">
        <f t="shared" si="36"/>
        <v>#REF!</v>
      </c>
      <c r="IL5" s="5" t="e">
        <f t="shared" si="36"/>
        <v>#REF!</v>
      </c>
      <c r="IM5" s="5" t="e">
        <f t="shared" si="36"/>
        <v>#REF!</v>
      </c>
      <c r="IN5" s="5" t="e">
        <f t="shared" si="36"/>
        <v>#REF!</v>
      </c>
      <c r="IO5" s="5" t="e">
        <f t="shared" si="36"/>
        <v>#REF!</v>
      </c>
      <c r="IP5" s="6" t="e">
        <f>HZ5</f>
        <v>#REF!</v>
      </c>
      <c r="IQ5" s="6" t="e">
        <f t="shared" ref="IQ5:IW9" si="37">IA5</f>
        <v>#REF!</v>
      </c>
      <c r="IR5" s="6" t="e">
        <f t="shared" si="37"/>
        <v>#REF!</v>
      </c>
      <c r="IS5" s="6" t="e">
        <f t="shared" si="37"/>
        <v>#REF!</v>
      </c>
      <c r="IT5" s="6" t="e">
        <f t="shared" si="37"/>
        <v>#REF!</v>
      </c>
      <c r="IU5" s="6" t="e">
        <f t="shared" si="37"/>
        <v>#REF!</v>
      </c>
      <c r="IV5" s="6" t="e">
        <f t="shared" si="37"/>
        <v>#REF!</v>
      </c>
      <c r="IW5" s="6" t="e">
        <f t="shared" si="37"/>
        <v>#REF!</v>
      </c>
    </row>
    <row r="6" spans="1:257" x14ac:dyDescent="0.2">
      <c r="A6" s="1">
        <v>0</v>
      </c>
      <c r="B6" s="2">
        <f>'Demand Stage 2'!B5</f>
        <v>12.5</v>
      </c>
      <c r="C6" s="2">
        <f>'Demand Stage 2'!C5</f>
        <v>12.5</v>
      </c>
      <c r="D6" s="2">
        <f>'Demand Stage 2'!D5</f>
        <v>12.5</v>
      </c>
      <c r="E6" s="2">
        <f>'Demand Stage 2'!F5</f>
        <v>25</v>
      </c>
      <c r="F6" s="2">
        <f>'Demand Stage 2'!H5</f>
        <v>25</v>
      </c>
      <c r="G6" s="2">
        <f>'Demand Stage 2'!J5</f>
        <v>25</v>
      </c>
      <c r="H6" s="2">
        <f>'Demand Stage 2'!K5</f>
        <v>50</v>
      </c>
      <c r="I6" s="2">
        <f>'Demand Stage 2'!L5</f>
        <v>25</v>
      </c>
      <c r="J6" s="3" t="e">
        <f>'Demand Stage 2'!#REF!</f>
        <v>#REF!</v>
      </c>
      <c r="K6" s="3" t="e">
        <f>'Demand Stage 2'!#REF!</f>
        <v>#REF!</v>
      </c>
      <c r="L6" s="3" t="e">
        <f>'Demand Stage 2'!#REF!</f>
        <v>#REF!</v>
      </c>
      <c r="M6" s="3" t="e">
        <f>'Demand Stage 2'!#REF!</f>
        <v>#REF!</v>
      </c>
      <c r="N6" s="3" t="e">
        <f>'Demand Stage 2'!#REF!</f>
        <v>#REF!</v>
      </c>
      <c r="O6" s="3" t="e">
        <f>'Demand Stage 2'!#REF!</f>
        <v>#REF!</v>
      </c>
      <c r="P6" s="3" t="e">
        <f>'Demand Stage 2'!#REF!</f>
        <v>#REF!</v>
      </c>
      <c r="Q6" s="3" t="e">
        <f>'Demand Stage 2'!#REF!</f>
        <v>#REF!</v>
      </c>
      <c r="R6" s="2">
        <f>'Demand Stage 2'!B5</f>
        <v>12.5</v>
      </c>
      <c r="S6" s="2">
        <f>'Demand Stage 2'!C5</f>
        <v>12.5</v>
      </c>
      <c r="T6" s="2">
        <f>'Demand Stage 2'!D5</f>
        <v>12.5</v>
      </c>
      <c r="U6" s="2">
        <f>'Demand Stage 2'!F5</f>
        <v>25</v>
      </c>
      <c r="V6" s="2">
        <f>'Demand Stage 2'!H5</f>
        <v>25</v>
      </c>
      <c r="W6" s="2">
        <f>'Demand Stage 2'!J5</f>
        <v>25</v>
      </c>
      <c r="X6" s="2">
        <f>'Demand Stage 2'!K5</f>
        <v>50</v>
      </c>
      <c r="Y6" s="2">
        <f>'Demand Stage 2'!L5</f>
        <v>25</v>
      </c>
      <c r="Z6" s="3" t="e">
        <f>'Demand Stage 2'!#REF!</f>
        <v>#REF!</v>
      </c>
      <c r="AA6" s="3" t="e">
        <f>'Demand Stage 2'!#REF!</f>
        <v>#REF!</v>
      </c>
      <c r="AB6" s="3" t="e">
        <f>'Demand Stage 2'!#REF!</f>
        <v>#REF!</v>
      </c>
      <c r="AC6" s="3" t="e">
        <f>'Demand Stage 2'!#REF!</f>
        <v>#REF!</v>
      </c>
      <c r="AD6" s="3" t="e">
        <f>'Demand Stage 2'!#REF!</f>
        <v>#REF!</v>
      </c>
      <c r="AE6" s="3" t="e">
        <f>'Demand Stage 2'!#REF!</f>
        <v>#REF!</v>
      </c>
      <c r="AF6" s="3" t="e">
        <f>'Demand Stage 2'!#REF!</f>
        <v>#REF!</v>
      </c>
      <c r="AG6" s="3" t="e">
        <f>'Demand Stage 2'!#REF!</f>
        <v>#REF!</v>
      </c>
      <c r="AH6" s="2">
        <f>'Demand Stage 2'!B5</f>
        <v>12.5</v>
      </c>
      <c r="AI6" s="2">
        <f>'Demand Stage 2'!C5</f>
        <v>12.5</v>
      </c>
      <c r="AJ6" s="2">
        <f>'Demand Stage 2'!D5</f>
        <v>12.5</v>
      </c>
      <c r="AK6" s="2">
        <f>'Demand Stage 2'!F5</f>
        <v>25</v>
      </c>
      <c r="AL6" s="2">
        <f>'Demand Stage 2'!H5</f>
        <v>25</v>
      </c>
      <c r="AM6" s="2">
        <f>'Demand Stage 2'!J5</f>
        <v>25</v>
      </c>
      <c r="AN6" s="2">
        <f>'Demand Stage 2'!K5</f>
        <v>50</v>
      </c>
      <c r="AO6" s="2">
        <f>'Demand Stage 2'!L5</f>
        <v>25</v>
      </c>
      <c r="AP6" s="3" t="e">
        <f>'Demand Stage 2'!#REF!</f>
        <v>#REF!</v>
      </c>
      <c r="AQ6" s="3" t="e">
        <f>'Demand Stage 2'!#REF!</f>
        <v>#REF!</v>
      </c>
      <c r="AR6" s="3" t="e">
        <f>'Demand Stage 2'!#REF!</f>
        <v>#REF!</v>
      </c>
      <c r="AS6" s="3" t="e">
        <f>'Demand Stage 2'!#REF!</f>
        <v>#REF!</v>
      </c>
      <c r="AT6" s="3" t="e">
        <f>'Demand Stage 2'!#REF!</f>
        <v>#REF!</v>
      </c>
      <c r="AU6" s="3" t="e">
        <f>'Demand Stage 2'!#REF!</f>
        <v>#REF!</v>
      </c>
      <c r="AV6" s="3" t="e">
        <f>'Demand Stage 2'!#REF!</f>
        <v>#REF!</v>
      </c>
      <c r="AW6" s="3" t="e">
        <f>'Demand Stage 2'!#REF!</f>
        <v>#REF!</v>
      </c>
      <c r="AX6" s="2">
        <f>'Demand Stage 2'!B5</f>
        <v>12.5</v>
      </c>
      <c r="AY6" s="2">
        <f>'Demand Stage 2'!C5</f>
        <v>12.5</v>
      </c>
      <c r="AZ6" s="2">
        <f>'Demand Stage 2'!D5</f>
        <v>12.5</v>
      </c>
      <c r="BA6" s="2">
        <f>'Demand Stage 2'!F5</f>
        <v>25</v>
      </c>
      <c r="BB6" s="2">
        <f>'Demand Stage 2'!H5</f>
        <v>25</v>
      </c>
      <c r="BC6" s="2">
        <f>'Demand Stage 2'!J5</f>
        <v>25</v>
      </c>
      <c r="BD6" s="2">
        <f>'Demand Stage 2'!K5</f>
        <v>50</v>
      </c>
      <c r="BE6" s="2">
        <f>'Demand Stage 2'!L5</f>
        <v>25</v>
      </c>
      <c r="BF6" s="3" t="e">
        <f>'Demand Stage 2'!#REF!</f>
        <v>#REF!</v>
      </c>
      <c r="BG6" s="3" t="e">
        <f>'Demand Stage 2'!#REF!</f>
        <v>#REF!</v>
      </c>
      <c r="BH6" s="3" t="e">
        <f>'Demand Stage 2'!#REF!</f>
        <v>#REF!</v>
      </c>
      <c r="BI6" s="3" t="e">
        <f>'Demand Stage 2'!#REF!</f>
        <v>#REF!</v>
      </c>
      <c r="BJ6" s="3" t="e">
        <f>'Demand Stage 2'!#REF!</f>
        <v>#REF!</v>
      </c>
      <c r="BK6" s="3" t="e">
        <f>'Demand Stage 2'!#REF!</f>
        <v>#REF!</v>
      </c>
      <c r="BL6" s="3" t="e">
        <f>'Demand Stage 2'!#REF!</f>
        <v>#REF!</v>
      </c>
      <c r="BM6" s="3" t="e">
        <f>'Demand Stage 2'!#REF!</f>
        <v>#REF!</v>
      </c>
      <c r="BN6" s="2" t="e">
        <f>'Demand Stage 2'!#REF!</f>
        <v>#REF!</v>
      </c>
      <c r="BO6" s="2" t="e">
        <f>'Demand Stage 2'!#REF!</f>
        <v>#REF!</v>
      </c>
      <c r="BP6" s="2" t="e">
        <f>'Demand Stage 2'!#REF!</f>
        <v>#REF!</v>
      </c>
      <c r="BQ6" s="2" t="e">
        <f>'Demand Stage 2'!#REF!</f>
        <v>#REF!</v>
      </c>
      <c r="BR6" s="2" t="e">
        <f>'Demand Stage 2'!#REF!</f>
        <v>#REF!</v>
      </c>
      <c r="BS6" s="2" t="e">
        <f>'Demand Stage 2'!#REF!</f>
        <v>#REF!</v>
      </c>
      <c r="BT6" s="2" t="e">
        <f>'Demand Stage 2'!#REF!</f>
        <v>#REF!</v>
      </c>
      <c r="BU6" s="2" t="e">
        <f>'Demand Stage 2'!#REF!</f>
        <v>#REF!</v>
      </c>
      <c r="BV6" s="3" t="e">
        <f>'Demand Stage 2'!#REF!</f>
        <v>#REF!</v>
      </c>
      <c r="BW6" s="3" t="e">
        <f>'Demand Stage 2'!#REF!</f>
        <v>#REF!</v>
      </c>
      <c r="BX6" s="3" t="e">
        <f>'Demand Stage 2'!#REF!</f>
        <v>#REF!</v>
      </c>
      <c r="BY6" s="3" t="e">
        <f>'Demand Stage 2'!#REF!</f>
        <v>#REF!</v>
      </c>
      <c r="BZ6" s="3" t="e">
        <f>'Demand Stage 2'!#REF!</f>
        <v>#REF!</v>
      </c>
      <c r="CA6" s="3" t="e">
        <f>'Demand Stage 2'!#REF!</f>
        <v>#REF!</v>
      </c>
      <c r="CB6" s="3" t="e">
        <f>'Demand Stage 2'!#REF!</f>
        <v>#REF!</v>
      </c>
      <c r="CC6" s="3" t="e">
        <f>'Demand Stage 2'!#REF!</f>
        <v>#REF!</v>
      </c>
      <c r="CD6" s="2" t="e">
        <f t="shared" ref="CD6:CD13" si="38">BN6</f>
        <v>#REF!</v>
      </c>
      <c r="CE6" s="2" t="e">
        <f t="shared" si="14"/>
        <v>#REF!</v>
      </c>
      <c r="CF6" s="2" t="e">
        <f t="shared" si="14"/>
        <v>#REF!</v>
      </c>
      <c r="CG6" s="2" t="e">
        <f t="shared" si="14"/>
        <v>#REF!</v>
      </c>
      <c r="CH6" s="2" t="e">
        <f t="shared" si="14"/>
        <v>#REF!</v>
      </c>
      <c r="CI6" s="2" t="e">
        <f t="shared" si="14"/>
        <v>#REF!</v>
      </c>
      <c r="CJ6" s="2" t="e">
        <f t="shared" si="14"/>
        <v>#REF!</v>
      </c>
      <c r="CK6" s="2" t="e">
        <f t="shared" si="14"/>
        <v>#REF!</v>
      </c>
      <c r="CL6" s="3" t="e">
        <f t="shared" ref="CL6:CL9" si="39">BV6</f>
        <v>#REF!</v>
      </c>
      <c r="CM6" s="3" t="e">
        <f t="shared" si="15"/>
        <v>#REF!</v>
      </c>
      <c r="CN6" s="3" t="e">
        <f t="shared" si="15"/>
        <v>#REF!</v>
      </c>
      <c r="CO6" s="3" t="e">
        <f t="shared" si="15"/>
        <v>#REF!</v>
      </c>
      <c r="CP6" s="3" t="e">
        <f t="shared" si="15"/>
        <v>#REF!</v>
      </c>
      <c r="CQ6" s="3" t="e">
        <f t="shared" si="15"/>
        <v>#REF!</v>
      </c>
      <c r="CR6" s="3" t="e">
        <f t="shared" si="15"/>
        <v>#REF!</v>
      </c>
      <c r="CS6" s="3" t="e">
        <f t="shared" si="15"/>
        <v>#REF!</v>
      </c>
      <c r="CT6" s="2" t="e">
        <f>CD6</f>
        <v>#REF!</v>
      </c>
      <c r="CU6" s="2" t="e">
        <f t="shared" si="16"/>
        <v>#REF!</v>
      </c>
      <c r="CV6" s="2" t="e">
        <f t="shared" si="16"/>
        <v>#REF!</v>
      </c>
      <c r="CW6" s="2" t="e">
        <f t="shared" si="16"/>
        <v>#REF!</v>
      </c>
      <c r="CX6" s="2" t="e">
        <f t="shared" si="16"/>
        <v>#REF!</v>
      </c>
      <c r="CY6" s="2" t="e">
        <f t="shared" si="16"/>
        <v>#REF!</v>
      </c>
      <c r="CZ6" s="2" t="e">
        <f t="shared" si="16"/>
        <v>#REF!</v>
      </c>
      <c r="DA6" s="2" t="e">
        <f t="shared" si="16"/>
        <v>#REF!</v>
      </c>
      <c r="DB6" s="3" t="e">
        <f t="shared" si="16"/>
        <v>#REF!</v>
      </c>
      <c r="DC6" s="3" t="e">
        <f t="shared" si="17"/>
        <v>#REF!</v>
      </c>
      <c r="DD6" s="3" t="e">
        <f t="shared" si="18"/>
        <v>#REF!</v>
      </c>
      <c r="DE6" s="3" t="e">
        <f t="shared" si="19"/>
        <v>#REF!</v>
      </c>
      <c r="DF6" s="3" t="e">
        <f t="shared" si="20"/>
        <v>#REF!</v>
      </c>
      <c r="DG6" s="3" t="e">
        <f t="shared" si="21"/>
        <v>#REF!</v>
      </c>
      <c r="DH6" s="3" t="e">
        <f t="shared" si="22"/>
        <v>#REF!</v>
      </c>
      <c r="DI6" s="3" t="e">
        <f t="shared" si="23"/>
        <v>#REF!</v>
      </c>
      <c r="DJ6" s="2" t="e">
        <f t="shared" ref="DJ6:DJ13" si="40">CT6</f>
        <v>#REF!</v>
      </c>
      <c r="DK6" s="2" t="e">
        <f t="shared" si="24"/>
        <v>#REF!</v>
      </c>
      <c r="DL6" s="2" t="e">
        <f t="shared" si="24"/>
        <v>#REF!</v>
      </c>
      <c r="DM6" s="2" t="e">
        <f t="shared" si="24"/>
        <v>#REF!</v>
      </c>
      <c r="DN6" s="2" t="e">
        <f t="shared" si="24"/>
        <v>#REF!</v>
      </c>
      <c r="DO6" s="2" t="e">
        <f t="shared" si="24"/>
        <v>#REF!</v>
      </c>
      <c r="DP6" s="2" t="e">
        <f t="shared" si="24"/>
        <v>#REF!</v>
      </c>
      <c r="DQ6" s="2" t="e">
        <f t="shared" si="24"/>
        <v>#REF!</v>
      </c>
      <c r="DR6" s="3" t="e">
        <f t="shared" ref="DR6:DR9" si="41">DB6</f>
        <v>#REF!</v>
      </c>
      <c r="DS6" s="3" t="e">
        <f t="shared" ref="DS6:DS9" si="42">DC6</f>
        <v>#REF!</v>
      </c>
      <c r="DT6" s="3" t="e">
        <f t="shared" ref="DT6:DT9" si="43">DD6</f>
        <v>#REF!</v>
      </c>
      <c r="DU6" s="3" t="e">
        <f t="shared" ref="DU6:DU9" si="44">DE6</f>
        <v>#REF!</v>
      </c>
      <c r="DV6" s="3" t="e">
        <f t="shared" ref="DV6:DV9" si="45">DF6</f>
        <v>#REF!</v>
      </c>
      <c r="DW6" s="3" t="e">
        <f t="shared" ref="DW6:DW9" si="46">DG6</f>
        <v>#REF!</v>
      </c>
      <c r="DX6" s="3" t="e">
        <f t="shared" ref="DX6:DX9" si="47">DH6</f>
        <v>#REF!</v>
      </c>
      <c r="DY6" s="3" t="e">
        <f t="shared" ref="DY6:DY9" si="48">DI6</f>
        <v>#REF!</v>
      </c>
      <c r="DZ6" s="2" t="e">
        <f>'Demand Stage 2'!#REF!</f>
        <v>#REF!</v>
      </c>
      <c r="EA6" s="2" t="e">
        <f>'Demand Stage 2'!#REF!</f>
        <v>#REF!</v>
      </c>
      <c r="EB6" s="2" t="e">
        <f>'Demand Stage 2'!#REF!</f>
        <v>#REF!</v>
      </c>
      <c r="EC6" s="2" t="e">
        <f>'Demand Stage 2'!#REF!</f>
        <v>#REF!</v>
      </c>
      <c r="ED6" s="2" t="e">
        <f>'Demand Stage 2'!#REF!</f>
        <v>#REF!</v>
      </c>
      <c r="EE6" s="2" t="e">
        <f>'Demand Stage 2'!#REF!</f>
        <v>#REF!</v>
      </c>
      <c r="EF6" s="2" t="e">
        <f>'Demand Stage 2'!#REF!</f>
        <v>#REF!</v>
      </c>
      <c r="EG6" s="2" t="e">
        <f>'Demand Stage 2'!#REF!</f>
        <v>#REF!</v>
      </c>
      <c r="EH6" s="3" t="e">
        <f>'Demand Stage 2'!#REF!</f>
        <v>#REF!</v>
      </c>
      <c r="EI6" s="3" t="e">
        <f>'Demand Stage 2'!#REF!</f>
        <v>#REF!</v>
      </c>
      <c r="EJ6" s="3" t="e">
        <f>'Demand Stage 2'!#REF!</f>
        <v>#REF!</v>
      </c>
      <c r="EK6" s="3" t="e">
        <f>'Demand Stage 2'!#REF!</f>
        <v>#REF!</v>
      </c>
      <c r="EL6" s="3" t="e">
        <f>'Demand Stage 2'!#REF!</f>
        <v>#REF!</v>
      </c>
      <c r="EM6" s="3" t="e">
        <f>'Demand Stage 2'!#REF!</f>
        <v>#REF!</v>
      </c>
      <c r="EN6" s="3" t="e">
        <f>'Demand Stage 2'!#REF!</f>
        <v>#REF!</v>
      </c>
      <c r="EO6" s="3" t="e">
        <f>'Demand Stage 2'!#REF!</f>
        <v>#REF!</v>
      </c>
      <c r="EP6" s="2" t="e">
        <f t="shared" ref="EP6:EP13" si="49">DZ6</f>
        <v>#REF!</v>
      </c>
      <c r="EQ6" s="2" t="e">
        <f t="shared" si="26"/>
        <v>#REF!</v>
      </c>
      <c r="ER6" s="2" t="e">
        <f t="shared" si="26"/>
        <v>#REF!</v>
      </c>
      <c r="ES6" s="2" t="e">
        <f t="shared" si="26"/>
        <v>#REF!</v>
      </c>
      <c r="ET6" s="2" t="e">
        <f t="shared" si="26"/>
        <v>#REF!</v>
      </c>
      <c r="EU6" s="2" t="e">
        <f t="shared" si="26"/>
        <v>#REF!</v>
      </c>
      <c r="EV6" s="2" t="e">
        <f t="shared" si="26"/>
        <v>#REF!</v>
      </c>
      <c r="EW6" s="2" t="e">
        <f t="shared" si="26"/>
        <v>#REF!</v>
      </c>
      <c r="EX6" s="3" t="e">
        <f t="shared" ref="EX6:EX9" si="50">EH6</f>
        <v>#REF!</v>
      </c>
      <c r="EY6" s="3" t="e">
        <f t="shared" si="27"/>
        <v>#REF!</v>
      </c>
      <c r="EZ6" s="3" t="e">
        <f t="shared" si="27"/>
        <v>#REF!</v>
      </c>
      <c r="FA6" s="3" t="e">
        <f t="shared" si="27"/>
        <v>#REF!</v>
      </c>
      <c r="FB6" s="3" t="e">
        <f t="shared" si="27"/>
        <v>#REF!</v>
      </c>
      <c r="FC6" s="3" t="e">
        <f t="shared" si="27"/>
        <v>#REF!</v>
      </c>
      <c r="FD6" s="3" t="e">
        <f t="shared" si="27"/>
        <v>#REF!</v>
      </c>
      <c r="FE6" s="3" t="e">
        <f t="shared" si="27"/>
        <v>#REF!</v>
      </c>
      <c r="FF6" s="2" t="e">
        <f t="shared" ref="FF6:FF13" si="51">EP6</f>
        <v>#REF!</v>
      </c>
      <c r="FG6" s="2" t="e">
        <f t="shared" si="28"/>
        <v>#REF!</v>
      </c>
      <c r="FH6" s="2" t="e">
        <f t="shared" si="28"/>
        <v>#REF!</v>
      </c>
      <c r="FI6" s="2" t="e">
        <f t="shared" si="28"/>
        <v>#REF!</v>
      </c>
      <c r="FJ6" s="2" t="e">
        <f t="shared" si="28"/>
        <v>#REF!</v>
      </c>
      <c r="FK6" s="2" t="e">
        <f t="shared" si="28"/>
        <v>#REF!</v>
      </c>
      <c r="FL6" s="2" t="e">
        <f t="shared" si="28"/>
        <v>#REF!</v>
      </c>
      <c r="FM6" s="2" t="e">
        <f t="shared" si="28"/>
        <v>#REF!</v>
      </c>
      <c r="FN6" s="3" t="e">
        <f t="shared" ref="FN6:FN9" si="52">EX6</f>
        <v>#REF!</v>
      </c>
      <c r="FO6" s="3" t="e">
        <f t="shared" ref="FO6:FO9" si="53">EY6</f>
        <v>#REF!</v>
      </c>
      <c r="FP6" s="3" t="e">
        <f t="shared" ref="FP6:FP9" si="54">EZ6</f>
        <v>#REF!</v>
      </c>
      <c r="FQ6" s="3" t="e">
        <f t="shared" ref="FQ6:FQ9" si="55">FA6</f>
        <v>#REF!</v>
      </c>
      <c r="FR6" s="3" t="e">
        <f t="shared" ref="FR6:FR9" si="56">FB6</f>
        <v>#REF!</v>
      </c>
      <c r="FS6" s="3" t="e">
        <f t="shared" ref="FS6:FS9" si="57">FC6</f>
        <v>#REF!</v>
      </c>
      <c r="FT6" s="3" t="e">
        <f t="shared" ref="FT6:FT9" si="58">FD6</f>
        <v>#REF!</v>
      </c>
      <c r="FU6" s="3" t="e">
        <f t="shared" ref="FU6:FU9" si="59">FE6</f>
        <v>#REF!</v>
      </c>
      <c r="FV6" s="2" t="e">
        <f t="shared" ref="FV6:FV13" si="60">FF6</f>
        <v>#REF!</v>
      </c>
      <c r="FW6" s="2" t="e">
        <f t="shared" si="30"/>
        <v>#REF!</v>
      </c>
      <c r="FX6" s="2" t="e">
        <f t="shared" si="30"/>
        <v>#REF!</v>
      </c>
      <c r="FY6" s="2" t="e">
        <f t="shared" si="30"/>
        <v>#REF!</v>
      </c>
      <c r="FZ6" s="2" t="e">
        <f t="shared" si="30"/>
        <v>#REF!</v>
      </c>
      <c r="GA6" s="2" t="e">
        <f t="shared" si="30"/>
        <v>#REF!</v>
      </c>
      <c r="GB6" s="2" t="e">
        <f t="shared" si="30"/>
        <v>#REF!</v>
      </c>
      <c r="GC6" s="2" t="e">
        <f t="shared" si="30"/>
        <v>#REF!</v>
      </c>
      <c r="GD6" s="3" t="e">
        <f t="shared" ref="GD6:GD9" si="61">FN6</f>
        <v>#REF!</v>
      </c>
      <c r="GE6" s="3" t="e">
        <f t="shared" si="31"/>
        <v>#REF!</v>
      </c>
      <c r="GF6" s="3" t="e">
        <f t="shared" si="31"/>
        <v>#REF!</v>
      </c>
      <c r="GG6" s="3" t="e">
        <f t="shared" si="31"/>
        <v>#REF!</v>
      </c>
      <c r="GH6" s="3" t="e">
        <f t="shared" si="31"/>
        <v>#REF!</v>
      </c>
      <c r="GI6" s="3" t="e">
        <f t="shared" si="31"/>
        <v>#REF!</v>
      </c>
      <c r="GJ6" s="3" t="e">
        <f t="shared" si="31"/>
        <v>#REF!</v>
      </c>
      <c r="GK6" s="3" t="e">
        <f t="shared" si="31"/>
        <v>#REF!</v>
      </c>
      <c r="GL6" s="2" t="e">
        <f>'Demand Stage 2'!#REF!</f>
        <v>#REF!</v>
      </c>
      <c r="GM6" s="2" t="e">
        <f>'Demand Stage 2'!#REF!</f>
        <v>#REF!</v>
      </c>
      <c r="GN6" s="2" t="e">
        <f>'Demand Stage 2'!#REF!</f>
        <v>#REF!</v>
      </c>
      <c r="GO6" s="2" t="e">
        <f>'Demand Stage 2'!#REF!</f>
        <v>#REF!</v>
      </c>
      <c r="GP6" s="2" t="e">
        <f>'Demand Stage 2'!#REF!</f>
        <v>#REF!</v>
      </c>
      <c r="GQ6" s="2" t="e">
        <f>'Demand Stage 2'!#REF!</f>
        <v>#REF!</v>
      </c>
      <c r="GR6" s="2" t="e">
        <f>'Demand Stage 2'!#REF!</f>
        <v>#REF!</v>
      </c>
      <c r="GS6" s="2" t="e">
        <f>'Demand Stage 2'!#REF!</f>
        <v>#REF!</v>
      </c>
      <c r="GT6" s="3" t="e">
        <f>'Demand Stage 2'!#REF!</f>
        <v>#REF!</v>
      </c>
      <c r="GU6" s="3" t="e">
        <f>'Demand Stage 2'!#REF!</f>
        <v>#REF!</v>
      </c>
      <c r="GV6" s="3" t="e">
        <f>'Demand Stage 2'!#REF!</f>
        <v>#REF!</v>
      </c>
      <c r="GW6" s="3" t="e">
        <f>'Demand Stage 2'!#REF!</f>
        <v>#REF!</v>
      </c>
      <c r="GX6" s="3" t="e">
        <f>'Demand Stage 2'!#REF!</f>
        <v>#REF!</v>
      </c>
      <c r="GY6" s="3" t="e">
        <f>'Demand Stage 2'!#REF!</f>
        <v>#REF!</v>
      </c>
      <c r="GZ6" s="3" t="e">
        <f>'Demand Stage 2'!#REF!</f>
        <v>#REF!</v>
      </c>
      <c r="HA6" s="3" t="e">
        <f>'Demand Stage 2'!#REF!</f>
        <v>#REF!</v>
      </c>
      <c r="HB6" s="2" t="e">
        <f>GL6</f>
        <v>#REF!</v>
      </c>
      <c r="HC6" s="2" t="e">
        <f t="shared" si="32"/>
        <v>#REF!</v>
      </c>
      <c r="HD6" s="2" t="e">
        <f t="shared" si="32"/>
        <v>#REF!</v>
      </c>
      <c r="HE6" s="2" t="e">
        <f t="shared" si="32"/>
        <v>#REF!</v>
      </c>
      <c r="HF6" s="2" t="e">
        <f t="shared" si="32"/>
        <v>#REF!</v>
      </c>
      <c r="HG6" s="2" t="e">
        <f t="shared" si="32"/>
        <v>#REF!</v>
      </c>
      <c r="HH6" s="2" t="e">
        <f t="shared" si="32"/>
        <v>#REF!</v>
      </c>
      <c r="HI6" s="2" t="e">
        <f t="shared" si="32"/>
        <v>#REF!</v>
      </c>
      <c r="HJ6" s="3" t="e">
        <f t="shared" ref="HJ6:HJ9" si="62">GT6</f>
        <v>#REF!</v>
      </c>
      <c r="HK6" s="3" t="e">
        <f t="shared" ref="HK6:HK9" si="63">GU6</f>
        <v>#REF!</v>
      </c>
      <c r="HL6" s="3" t="e">
        <f t="shared" ref="HL6:HL9" si="64">GV6</f>
        <v>#REF!</v>
      </c>
      <c r="HM6" s="3" t="e">
        <f t="shared" ref="HM6:HM9" si="65">GW6</f>
        <v>#REF!</v>
      </c>
      <c r="HN6" s="3" t="e">
        <f t="shared" ref="HN6:HN9" si="66">GX6</f>
        <v>#REF!</v>
      </c>
      <c r="HO6" s="3" t="e">
        <f t="shared" ref="HO6:HO9" si="67">GY6</f>
        <v>#REF!</v>
      </c>
      <c r="HP6" s="3" t="e">
        <f t="shared" ref="HP6:HP9" si="68">GZ6</f>
        <v>#REF!</v>
      </c>
      <c r="HQ6" s="3" t="e">
        <f t="shared" ref="HQ6:HQ9" si="69">HA6</f>
        <v>#REF!</v>
      </c>
      <c r="HR6" s="2" t="e">
        <f t="shared" ref="HR6:HR13" si="70">HB6</f>
        <v>#REF!</v>
      </c>
      <c r="HS6" s="2" t="e">
        <f t="shared" si="34"/>
        <v>#REF!</v>
      </c>
      <c r="HT6" s="2" t="e">
        <f t="shared" si="34"/>
        <v>#REF!</v>
      </c>
      <c r="HU6" s="2" t="e">
        <f t="shared" si="34"/>
        <v>#REF!</v>
      </c>
      <c r="HV6" s="2" t="e">
        <f t="shared" si="34"/>
        <v>#REF!</v>
      </c>
      <c r="HW6" s="2" t="e">
        <f t="shared" si="34"/>
        <v>#REF!</v>
      </c>
      <c r="HX6" s="2" t="e">
        <f t="shared" si="34"/>
        <v>#REF!</v>
      </c>
      <c r="HY6" s="2" t="e">
        <f t="shared" si="34"/>
        <v>#REF!</v>
      </c>
      <c r="HZ6" s="3" t="e">
        <f t="shared" ref="HZ6:HZ9" si="71">HJ6</f>
        <v>#REF!</v>
      </c>
      <c r="IA6" s="3" t="e">
        <f t="shared" si="35"/>
        <v>#REF!</v>
      </c>
      <c r="IB6" s="3" t="e">
        <f t="shared" si="35"/>
        <v>#REF!</v>
      </c>
      <c r="IC6" s="3" t="e">
        <f t="shared" si="35"/>
        <v>#REF!</v>
      </c>
      <c r="ID6" s="3" t="e">
        <f t="shared" si="35"/>
        <v>#REF!</v>
      </c>
      <c r="IE6" s="3" t="e">
        <f t="shared" si="35"/>
        <v>#REF!</v>
      </c>
      <c r="IF6" s="3" t="e">
        <f t="shared" si="35"/>
        <v>#REF!</v>
      </c>
      <c r="IG6" s="3" t="e">
        <f t="shared" si="35"/>
        <v>#REF!</v>
      </c>
      <c r="IH6" s="2" t="e">
        <f t="shared" ref="IH6:IH13" si="72">HR6</f>
        <v>#REF!</v>
      </c>
      <c r="II6" s="2" t="e">
        <f t="shared" si="36"/>
        <v>#REF!</v>
      </c>
      <c r="IJ6" s="2" t="e">
        <f t="shared" si="36"/>
        <v>#REF!</v>
      </c>
      <c r="IK6" s="2" t="e">
        <f t="shared" si="36"/>
        <v>#REF!</v>
      </c>
      <c r="IL6" s="2" t="e">
        <f t="shared" si="36"/>
        <v>#REF!</v>
      </c>
      <c r="IM6" s="2" t="e">
        <f t="shared" si="36"/>
        <v>#REF!</v>
      </c>
      <c r="IN6" s="2" t="e">
        <f t="shared" si="36"/>
        <v>#REF!</v>
      </c>
      <c r="IO6" s="2" t="e">
        <f t="shared" si="36"/>
        <v>#REF!</v>
      </c>
      <c r="IP6" s="3" t="e">
        <f t="shared" ref="IP6:IP9" si="73">HZ6</f>
        <v>#REF!</v>
      </c>
      <c r="IQ6" s="3" t="e">
        <f t="shared" si="37"/>
        <v>#REF!</v>
      </c>
      <c r="IR6" s="3" t="e">
        <f t="shared" si="37"/>
        <v>#REF!</v>
      </c>
      <c r="IS6" s="3" t="e">
        <f t="shared" si="37"/>
        <v>#REF!</v>
      </c>
      <c r="IT6" s="3" t="e">
        <f t="shared" si="37"/>
        <v>#REF!</v>
      </c>
      <c r="IU6" s="3" t="e">
        <f t="shared" si="37"/>
        <v>#REF!</v>
      </c>
      <c r="IV6" s="3" t="e">
        <f t="shared" si="37"/>
        <v>#REF!</v>
      </c>
      <c r="IW6" s="3" t="e">
        <f t="shared" si="37"/>
        <v>#REF!</v>
      </c>
    </row>
    <row r="7" spans="1:257" x14ac:dyDescent="0.2">
      <c r="A7" s="1">
        <v>1</v>
      </c>
      <c r="B7" s="2">
        <f>'Demand Stage 2'!B6</f>
        <v>12.5</v>
      </c>
      <c r="C7" s="2">
        <f>'Demand Stage 2'!C6</f>
        <v>12.5</v>
      </c>
      <c r="D7" s="2">
        <f>'Demand Stage 2'!D6</f>
        <v>12.5</v>
      </c>
      <c r="E7" s="2">
        <f>'Demand Stage 2'!F6</f>
        <v>25</v>
      </c>
      <c r="F7" s="2">
        <f>'Demand Stage 2'!H6</f>
        <v>25</v>
      </c>
      <c r="G7" s="2">
        <f>'Demand Stage 2'!J6</f>
        <v>25</v>
      </c>
      <c r="H7" s="2">
        <f>'Demand Stage 2'!K6</f>
        <v>50</v>
      </c>
      <c r="I7" s="2">
        <f>'Demand Stage 2'!L6</f>
        <v>25</v>
      </c>
      <c r="J7" s="3" t="e">
        <f>'Demand Stage 2'!#REF!</f>
        <v>#REF!</v>
      </c>
      <c r="K7" s="3" t="e">
        <f>'Demand Stage 2'!#REF!</f>
        <v>#REF!</v>
      </c>
      <c r="L7" s="3" t="e">
        <f>'Demand Stage 2'!#REF!</f>
        <v>#REF!</v>
      </c>
      <c r="M7" s="3" t="e">
        <f>'Demand Stage 2'!#REF!</f>
        <v>#REF!</v>
      </c>
      <c r="N7" s="3" t="e">
        <f>'Demand Stage 2'!#REF!</f>
        <v>#REF!</v>
      </c>
      <c r="O7" s="3" t="e">
        <f>'Demand Stage 2'!#REF!</f>
        <v>#REF!</v>
      </c>
      <c r="P7" s="3" t="e">
        <f>'Demand Stage 2'!#REF!</f>
        <v>#REF!</v>
      </c>
      <c r="Q7" s="3" t="e">
        <f>'Demand Stage 2'!#REF!</f>
        <v>#REF!</v>
      </c>
      <c r="R7" s="2">
        <f>'Demand Stage 2'!B6</f>
        <v>12.5</v>
      </c>
      <c r="S7" s="2">
        <f>'Demand Stage 2'!C6</f>
        <v>12.5</v>
      </c>
      <c r="T7" s="2">
        <f>'Demand Stage 2'!D6</f>
        <v>12.5</v>
      </c>
      <c r="U7" s="2">
        <f>'Demand Stage 2'!F6</f>
        <v>25</v>
      </c>
      <c r="V7" s="2">
        <f>'Demand Stage 2'!H6</f>
        <v>25</v>
      </c>
      <c r="W7" s="2">
        <f>'Demand Stage 2'!J6</f>
        <v>25</v>
      </c>
      <c r="X7" s="2">
        <f>'Demand Stage 2'!K6</f>
        <v>50</v>
      </c>
      <c r="Y7" s="2">
        <f>'Demand Stage 2'!L6</f>
        <v>25</v>
      </c>
      <c r="Z7" s="3" t="e">
        <f>'Demand Stage 2'!#REF!</f>
        <v>#REF!</v>
      </c>
      <c r="AA7" s="3" t="e">
        <f>'Demand Stage 2'!#REF!</f>
        <v>#REF!</v>
      </c>
      <c r="AB7" s="3" t="e">
        <f>'Demand Stage 2'!#REF!</f>
        <v>#REF!</v>
      </c>
      <c r="AC7" s="3" t="e">
        <f>'Demand Stage 2'!#REF!</f>
        <v>#REF!</v>
      </c>
      <c r="AD7" s="3" t="e">
        <f>'Demand Stage 2'!#REF!</f>
        <v>#REF!</v>
      </c>
      <c r="AE7" s="3" t="e">
        <f>'Demand Stage 2'!#REF!</f>
        <v>#REF!</v>
      </c>
      <c r="AF7" s="3" t="e">
        <f>'Demand Stage 2'!#REF!</f>
        <v>#REF!</v>
      </c>
      <c r="AG7" s="3" t="e">
        <f>'Demand Stage 2'!#REF!</f>
        <v>#REF!</v>
      </c>
      <c r="AH7" s="2">
        <f>'Demand Stage 2'!B6</f>
        <v>12.5</v>
      </c>
      <c r="AI7" s="2">
        <f>'Demand Stage 2'!C6</f>
        <v>12.5</v>
      </c>
      <c r="AJ7" s="2">
        <f>'Demand Stage 2'!D6</f>
        <v>12.5</v>
      </c>
      <c r="AK7" s="2">
        <f>'Demand Stage 2'!F6</f>
        <v>25</v>
      </c>
      <c r="AL7" s="2">
        <f>'Demand Stage 2'!H6</f>
        <v>25</v>
      </c>
      <c r="AM7" s="2">
        <f>'Demand Stage 2'!J6</f>
        <v>25</v>
      </c>
      <c r="AN7" s="2">
        <f>'Demand Stage 2'!K6</f>
        <v>50</v>
      </c>
      <c r="AO7" s="2">
        <f>'Demand Stage 2'!L6</f>
        <v>25</v>
      </c>
      <c r="AP7" s="3" t="e">
        <f>'Demand Stage 2'!#REF!</f>
        <v>#REF!</v>
      </c>
      <c r="AQ7" s="3" t="e">
        <f>'Demand Stage 2'!#REF!</f>
        <v>#REF!</v>
      </c>
      <c r="AR7" s="3" t="e">
        <f>'Demand Stage 2'!#REF!</f>
        <v>#REF!</v>
      </c>
      <c r="AS7" s="3" t="e">
        <f>'Demand Stage 2'!#REF!</f>
        <v>#REF!</v>
      </c>
      <c r="AT7" s="3" t="e">
        <f>'Demand Stage 2'!#REF!</f>
        <v>#REF!</v>
      </c>
      <c r="AU7" s="3" t="e">
        <f>'Demand Stage 2'!#REF!</f>
        <v>#REF!</v>
      </c>
      <c r="AV7" s="3" t="e">
        <f>'Demand Stage 2'!#REF!</f>
        <v>#REF!</v>
      </c>
      <c r="AW7" s="3" t="e">
        <f>'Demand Stage 2'!#REF!</f>
        <v>#REF!</v>
      </c>
      <c r="AX7" s="2">
        <f>'Demand Stage 2'!B6</f>
        <v>12.5</v>
      </c>
      <c r="AY7" s="2">
        <f>'Demand Stage 2'!C6</f>
        <v>12.5</v>
      </c>
      <c r="AZ7" s="2">
        <f>'Demand Stage 2'!D6</f>
        <v>12.5</v>
      </c>
      <c r="BA7" s="2">
        <f>'Demand Stage 2'!F6</f>
        <v>25</v>
      </c>
      <c r="BB7" s="2">
        <f>'Demand Stage 2'!H6</f>
        <v>25</v>
      </c>
      <c r="BC7" s="2">
        <f>'Demand Stage 2'!J6</f>
        <v>25</v>
      </c>
      <c r="BD7" s="2">
        <f>'Demand Stage 2'!K6</f>
        <v>50</v>
      </c>
      <c r="BE7" s="2">
        <f>'Demand Stage 2'!L6</f>
        <v>25</v>
      </c>
      <c r="BF7" s="3" t="e">
        <f>'Demand Stage 2'!#REF!</f>
        <v>#REF!</v>
      </c>
      <c r="BG7" s="3" t="e">
        <f>'Demand Stage 2'!#REF!</f>
        <v>#REF!</v>
      </c>
      <c r="BH7" s="3" t="e">
        <f>'Demand Stage 2'!#REF!</f>
        <v>#REF!</v>
      </c>
      <c r="BI7" s="3" t="e">
        <f>'Demand Stage 2'!#REF!</f>
        <v>#REF!</v>
      </c>
      <c r="BJ7" s="3" t="e">
        <f>'Demand Stage 2'!#REF!</f>
        <v>#REF!</v>
      </c>
      <c r="BK7" s="3" t="e">
        <f>'Demand Stage 2'!#REF!</f>
        <v>#REF!</v>
      </c>
      <c r="BL7" s="3" t="e">
        <f>'Demand Stage 2'!#REF!</f>
        <v>#REF!</v>
      </c>
      <c r="BM7" s="3" t="e">
        <f>'Demand Stage 2'!#REF!</f>
        <v>#REF!</v>
      </c>
      <c r="BN7" s="2" t="e">
        <f>'Demand Stage 2'!#REF!</f>
        <v>#REF!</v>
      </c>
      <c r="BO7" s="2" t="e">
        <f>'Demand Stage 2'!#REF!</f>
        <v>#REF!</v>
      </c>
      <c r="BP7" s="2" t="e">
        <f>'Demand Stage 2'!#REF!</f>
        <v>#REF!</v>
      </c>
      <c r="BQ7" s="2" t="e">
        <f>'Demand Stage 2'!#REF!</f>
        <v>#REF!</v>
      </c>
      <c r="BR7" s="2" t="e">
        <f>'Demand Stage 2'!#REF!</f>
        <v>#REF!</v>
      </c>
      <c r="BS7" s="2" t="e">
        <f>'Demand Stage 2'!#REF!</f>
        <v>#REF!</v>
      </c>
      <c r="BT7" s="2" t="e">
        <f>'Demand Stage 2'!#REF!</f>
        <v>#REF!</v>
      </c>
      <c r="BU7" s="2" t="e">
        <f>'Demand Stage 2'!#REF!</f>
        <v>#REF!</v>
      </c>
      <c r="BV7" s="3" t="e">
        <f>'Demand Stage 2'!#REF!</f>
        <v>#REF!</v>
      </c>
      <c r="BW7" s="3" t="e">
        <f>'Demand Stage 2'!#REF!</f>
        <v>#REF!</v>
      </c>
      <c r="BX7" s="3" t="e">
        <f>'Demand Stage 2'!#REF!</f>
        <v>#REF!</v>
      </c>
      <c r="BY7" s="3" t="e">
        <f>'Demand Stage 2'!#REF!</f>
        <v>#REF!</v>
      </c>
      <c r="BZ7" s="3" t="e">
        <f>'Demand Stage 2'!#REF!</f>
        <v>#REF!</v>
      </c>
      <c r="CA7" s="3" t="e">
        <f>'Demand Stage 2'!#REF!</f>
        <v>#REF!</v>
      </c>
      <c r="CB7" s="3" t="e">
        <f>'Demand Stage 2'!#REF!</f>
        <v>#REF!</v>
      </c>
      <c r="CC7" s="3" t="e">
        <f>'Demand Stage 2'!#REF!</f>
        <v>#REF!</v>
      </c>
      <c r="CD7" s="2" t="e">
        <f t="shared" si="38"/>
        <v>#REF!</v>
      </c>
      <c r="CE7" s="2" t="e">
        <f t="shared" si="14"/>
        <v>#REF!</v>
      </c>
      <c r="CF7" s="2" t="e">
        <f t="shared" si="14"/>
        <v>#REF!</v>
      </c>
      <c r="CG7" s="2" t="e">
        <f t="shared" si="14"/>
        <v>#REF!</v>
      </c>
      <c r="CH7" s="2" t="e">
        <f t="shared" si="14"/>
        <v>#REF!</v>
      </c>
      <c r="CI7" s="2" t="e">
        <f t="shared" si="14"/>
        <v>#REF!</v>
      </c>
      <c r="CJ7" s="2" t="e">
        <f t="shared" si="14"/>
        <v>#REF!</v>
      </c>
      <c r="CK7" s="2" t="e">
        <f t="shared" si="14"/>
        <v>#REF!</v>
      </c>
      <c r="CL7" s="3" t="e">
        <f t="shared" si="39"/>
        <v>#REF!</v>
      </c>
      <c r="CM7" s="3" t="e">
        <f t="shared" si="15"/>
        <v>#REF!</v>
      </c>
      <c r="CN7" s="3" t="e">
        <f t="shared" si="15"/>
        <v>#REF!</v>
      </c>
      <c r="CO7" s="3" t="e">
        <f t="shared" si="15"/>
        <v>#REF!</v>
      </c>
      <c r="CP7" s="3" t="e">
        <f t="shared" si="15"/>
        <v>#REF!</v>
      </c>
      <c r="CQ7" s="3" t="e">
        <f t="shared" si="15"/>
        <v>#REF!</v>
      </c>
      <c r="CR7" s="3" t="e">
        <f t="shared" si="15"/>
        <v>#REF!</v>
      </c>
      <c r="CS7" s="3" t="e">
        <f t="shared" si="15"/>
        <v>#REF!</v>
      </c>
      <c r="CT7" s="2" t="e">
        <f t="shared" ref="CT7:CT13" si="74">CD7</f>
        <v>#REF!</v>
      </c>
      <c r="CU7" s="2" t="e">
        <f t="shared" si="16"/>
        <v>#REF!</v>
      </c>
      <c r="CV7" s="2" t="e">
        <f t="shared" si="16"/>
        <v>#REF!</v>
      </c>
      <c r="CW7" s="2" t="e">
        <f t="shared" si="16"/>
        <v>#REF!</v>
      </c>
      <c r="CX7" s="2" t="e">
        <f t="shared" si="16"/>
        <v>#REF!</v>
      </c>
      <c r="CY7" s="2" t="e">
        <f t="shared" si="16"/>
        <v>#REF!</v>
      </c>
      <c r="CZ7" s="2" t="e">
        <f t="shared" si="16"/>
        <v>#REF!</v>
      </c>
      <c r="DA7" s="2" t="e">
        <f t="shared" si="16"/>
        <v>#REF!</v>
      </c>
      <c r="DB7" s="3" t="e">
        <f t="shared" si="16"/>
        <v>#REF!</v>
      </c>
      <c r="DC7" s="3" t="e">
        <f t="shared" si="17"/>
        <v>#REF!</v>
      </c>
      <c r="DD7" s="3" t="e">
        <f t="shared" si="18"/>
        <v>#REF!</v>
      </c>
      <c r="DE7" s="3" t="e">
        <f t="shared" si="19"/>
        <v>#REF!</v>
      </c>
      <c r="DF7" s="3" t="e">
        <f t="shared" si="20"/>
        <v>#REF!</v>
      </c>
      <c r="DG7" s="3" t="e">
        <f t="shared" si="21"/>
        <v>#REF!</v>
      </c>
      <c r="DH7" s="3" t="e">
        <f t="shared" si="22"/>
        <v>#REF!</v>
      </c>
      <c r="DI7" s="3" t="e">
        <f t="shared" si="23"/>
        <v>#REF!</v>
      </c>
      <c r="DJ7" s="2" t="e">
        <f t="shared" si="40"/>
        <v>#REF!</v>
      </c>
      <c r="DK7" s="2" t="e">
        <f t="shared" si="24"/>
        <v>#REF!</v>
      </c>
      <c r="DL7" s="2" t="e">
        <f t="shared" si="24"/>
        <v>#REF!</v>
      </c>
      <c r="DM7" s="2" t="e">
        <f t="shared" si="24"/>
        <v>#REF!</v>
      </c>
      <c r="DN7" s="2" t="e">
        <f t="shared" si="24"/>
        <v>#REF!</v>
      </c>
      <c r="DO7" s="2" t="e">
        <f t="shared" si="24"/>
        <v>#REF!</v>
      </c>
      <c r="DP7" s="2" t="e">
        <f t="shared" si="24"/>
        <v>#REF!</v>
      </c>
      <c r="DQ7" s="2" t="e">
        <f t="shared" si="24"/>
        <v>#REF!</v>
      </c>
      <c r="DR7" s="3" t="e">
        <f t="shared" si="41"/>
        <v>#REF!</v>
      </c>
      <c r="DS7" s="3" t="e">
        <f t="shared" si="42"/>
        <v>#REF!</v>
      </c>
      <c r="DT7" s="3" t="e">
        <f t="shared" si="43"/>
        <v>#REF!</v>
      </c>
      <c r="DU7" s="3" t="e">
        <f t="shared" si="44"/>
        <v>#REF!</v>
      </c>
      <c r="DV7" s="3" t="e">
        <f t="shared" si="45"/>
        <v>#REF!</v>
      </c>
      <c r="DW7" s="3" t="e">
        <f t="shared" si="46"/>
        <v>#REF!</v>
      </c>
      <c r="DX7" s="3" t="e">
        <f t="shared" si="47"/>
        <v>#REF!</v>
      </c>
      <c r="DY7" s="3" t="e">
        <f t="shared" si="48"/>
        <v>#REF!</v>
      </c>
      <c r="DZ7" s="2" t="e">
        <f>'Demand Stage 2'!#REF!</f>
        <v>#REF!</v>
      </c>
      <c r="EA7" s="2" t="e">
        <f>'Demand Stage 2'!#REF!</f>
        <v>#REF!</v>
      </c>
      <c r="EB7" s="2" t="e">
        <f>'Demand Stage 2'!#REF!</f>
        <v>#REF!</v>
      </c>
      <c r="EC7" s="2" t="e">
        <f>'Demand Stage 2'!#REF!</f>
        <v>#REF!</v>
      </c>
      <c r="ED7" s="2" t="e">
        <f>'Demand Stage 2'!#REF!</f>
        <v>#REF!</v>
      </c>
      <c r="EE7" s="2" t="e">
        <f>'Demand Stage 2'!#REF!</f>
        <v>#REF!</v>
      </c>
      <c r="EF7" s="2" t="e">
        <f>'Demand Stage 2'!#REF!</f>
        <v>#REF!</v>
      </c>
      <c r="EG7" s="2" t="e">
        <f>'Demand Stage 2'!#REF!</f>
        <v>#REF!</v>
      </c>
      <c r="EH7" s="3" t="e">
        <f>'Demand Stage 2'!#REF!</f>
        <v>#REF!</v>
      </c>
      <c r="EI7" s="3" t="e">
        <f>'Demand Stage 2'!#REF!</f>
        <v>#REF!</v>
      </c>
      <c r="EJ7" s="3" t="e">
        <f>'Demand Stage 2'!#REF!</f>
        <v>#REF!</v>
      </c>
      <c r="EK7" s="3" t="e">
        <f>'Demand Stage 2'!#REF!</f>
        <v>#REF!</v>
      </c>
      <c r="EL7" s="3" t="e">
        <f>'Demand Stage 2'!#REF!</f>
        <v>#REF!</v>
      </c>
      <c r="EM7" s="3" t="e">
        <f>'Demand Stage 2'!#REF!</f>
        <v>#REF!</v>
      </c>
      <c r="EN7" s="3" t="e">
        <f>'Demand Stage 2'!#REF!</f>
        <v>#REF!</v>
      </c>
      <c r="EO7" s="3" t="e">
        <f>'Demand Stage 2'!#REF!</f>
        <v>#REF!</v>
      </c>
      <c r="EP7" s="2" t="e">
        <f t="shared" si="49"/>
        <v>#REF!</v>
      </c>
      <c r="EQ7" s="2" t="e">
        <f t="shared" si="26"/>
        <v>#REF!</v>
      </c>
      <c r="ER7" s="2" t="e">
        <f t="shared" si="26"/>
        <v>#REF!</v>
      </c>
      <c r="ES7" s="2" t="e">
        <f t="shared" si="26"/>
        <v>#REF!</v>
      </c>
      <c r="ET7" s="2" t="e">
        <f t="shared" si="26"/>
        <v>#REF!</v>
      </c>
      <c r="EU7" s="2" t="e">
        <f t="shared" si="26"/>
        <v>#REF!</v>
      </c>
      <c r="EV7" s="2" t="e">
        <f t="shared" si="26"/>
        <v>#REF!</v>
      </c>
      <c r="EW7" s="2" t="e">
        <f t="shared" si="26"/>
        <v>#REF!</v>
      </c>
      <c r="EX7" s="3" t="e">
        <f t="shared" si="50"/>
        <v>#REF!</v>
      </c>
      <c r="EY7" s="3" t="e">
        <f t="shared" si="27"/>
        <v>#REF!</v>
      </c>
      <c r="EZ7" s="3" t="e">
        <f t="shared" si="27"/>
        <v>#REF!</v>
      </c>
      <c r="FA7" s="3" t="e">
        <f t="shared" si="27"/>
        <v>#REF!</v>
      </c>
      <c r="FB7" s="3" t="e">
        <f t="shared" si="27"/>
        <v>#REF!</v>
      </c>
      <c r="FC7" s="3" t="e">
        <f t="shared" si="27"/>
        <v>#REF!</v>
      </c>
      <c r="FD7" s="3" t="e">
        <f t="shared" si="27"/>
        <v>#REF!</v>
      </c>
      <c r="FE7" s="3" t="e">
        <f t="shared" si="27"/>
        <v>#REF!</v>
      </c>
      <c r="FF7" s="2" t="e">
        <f t="shared" si="51"/>
        <v>#REF!</v>
      </c>
      <c r="FG7" s="2" t="e">
        <f t="shared" si="28"/>
        <v>#REF!</v>
      </c>
      <c r="FH7" s="2" t="e">
        <f t="shared" si="28"/>
        <v>#REF!</v>
      </c>
      <c r="FI7" s="2" t="e">
        <f t="shared" si="28"/>
        <v>#REF!</v>
      </c>
      <c r="FJ7" s="2" t="e">
        <f t="shared" si="28"/>
        <v>#REF!</v>
      </c>
      <c r="FK7" s="2" t="e">
        <f t="shared" si="28"/>
        <v>#REF!</v>
      </c>
      <c r="FL7" s="2" t="e">
        <f t="shared" si="28"/>
        <v>#REF!</v>
      </c>
      <c r="FM7" s="2" t="e">
        <f t="shared" si="28"/>
        <v>#REF!</v>
      </c>
      <c r="FN7" s="3" t="e">
        <f t="shared" si="52"/>
        <v>#REF!</v>
      </c>
      <c r="FO7" s="3" t="e">
        <f t="shared" si="53"/>
        <v>#REF!</v>
      </c>
      <c r="FP7" s="3" t="e">
        <f t="shared" si="54"/>
        <v>#REF!</v>
      </c>
      <c r="FQ7" s="3" t="e">
        <f t="shared" si="55"/>
        <v>#REF!</v>
      </c>
      <c r="FR7" s="3" t="e">
        <f t="shared" si="56"/>
        <v>#REF!</v>
      </c>
      <c r="FS7" s="3" t="e">
        <f t="shared" si="57"/>
        <v>#REF!</v>
      </c>
      <c r="FT7" s="3" t="e">
        <f t="shared" si="58"/>
        <v>#REF!</v>
      </c>
      <c r="FU7" s="3" t="e">
        <f t="shared" si="59"/>
        <v>#REF!</v>
      </c>
      <c r="FV7" s="2" t="e">
        <f t="shared" si="60"/>
        <v>#REF!</v>
      </c>
      <c r="FW7" s="2" t="e">
        <f t="shared" si="30"/>
        <v>#REF!</v>
      </c>
      <c r="FX7" s="2" t="e">
        <f t="shared" si="30"/>
        <v>#REF!</v>
      </c>
      <c r="FY7" s="2" t="e">
        <f t="shared" si="30"/>
        <v>#REF!</v>
      </c>
      <c r="FZ7" s="2" t="e">
        <f t="shared" si="30"/>
        <v>#REF!</v>
      </c>
      <c r="GA7" s="2" t="e">
        <f t="shared" si="30"/>
        <v>#REF!</v>
      </c>
      <c r="GB7" s="2" t="e">
        <f t="shared" si="30"/>
        <v>#REF!</v>
      </c>
      <c r="GC7" s="2" t="e">
        <f t="shared" si="30"/>
        <v>#REF!</v>
      </c>
      <c r="GD7" s="3" t="e">
        <f t="shared" si="61"/>
        <v>#REF!</v>
      </c>
      <c r="GE7" s="3" t="e">
        <f t="shared" si="31"/>
        <v>#REF!</v>
      </c>
      <c r="GF7" s="3" t="e">
        <f t="shared" si="31"/>
        <v>#REF!</v>
      </c>
      <c r="GG7" s="3" t="e">
        <f t="shared" si="31"/>
        <v>#REF!</v>
      </c>
      <c r="GH7" s="3" t="e">
        <f t="shared" si="31"/>
        <v>#REF!</v>
      </c>
      <c r="GI7" s="3" t="e">
        <f t="shared" si="31"/>
        <v>#REF!</v>
      </c>
      <c r="GJ7" s="3" t="e">
        <f t="shared" si="31"/>
        <v>#REF!</v>
      </c>
      <c r="GK7" s="3" t="e">
        <f t="shared" si="31"/>
        <v>#REF!</v>
      </c>
      <c r="GL7" s="2" t="e">
        <f>'Demand Stage 2'!#REF!</f>
        <v>#REF!</v>
      </c>
      <c r="GM7" s="2" t="e">
        <f>'Demand Stage 2'!#REF!</f>
        <v>#REF!</v>
      </c>
      <c r="GN7" s="2" t="e">
        <f>'Demand Stage 2'!#REF!</f>
        <v>#REF!</v>
      </c>
      <c r="GO7" s="2" t="e">
        <f>'Demand Stage 2'!#REF!</f>
        <v>#REF!</v>
      </c>
      <c r="GP7" s="2" t="e">
        <f>'Demand Stage 2'!#REF!</f>
        <v>#REF!</v>
      </c>
      <c r="GQ7" s="2" t="e">
        <f>'Demand Stage 2'!#REF!</f>
        <v>#REF!</v>
      </c>
      <c r="GR7" s="2" t="e">
        <f>'Demand Stage 2'!#REF!</f>
        <v>#REF!</v>
      </c>
      <c r="GS7" s="2" t="e">
        <f>'Demand Stage 2'!#REF!</f>
        <v>#REF!</v>
      </c>
      <c r="GT7" s="3" t="e">
        <f>'Demand Stage 2'!#REF!</f>
        <v>#REF!</v>
      </c>
      <c r="GU7" s="3" t="e">
        <f>'Demand Stage 2'!#REF!</f>
        <v>#REF!</v>
      </c>
      <c r="GV7" s="3" t="e">
        <f>'Demand Stage 2'!#REF!</f>
        <v>#REF!</v>
      </c>
      <c r="GW7" s="3" t="e">
        <f>'Demand Stage 2'!#REF!</f>
        <v>#REF!</v>
      </c>
      <c r="GX7" s="3" t="e">
        <f>'Demand Stage 2'!#REF!</f>
        <v>#REF!</v>
      </c>
      <c r="GY7" s="3" t="e">
        <f>'Demand Stage 2'!#REF!</f>
        <v>#REF!</v>
      </c>
      <c r="GZ7" s="3" t="e">
        <f>'Demand Stage 2'!#REF!</f>
        <v>#REF!</v>
      </c>
      <c r="HA7" s="3" t="e">
        <f>'Demand Stage 2'!#REF!</f>
        <v>#REF!</v>
      </c>
      <c r="HB7" s="2" t="e">
        <f t="shared" ref="HB7:HB13" si="75">GL7</f>
        <v>#REF!</v>
      </c>
      <c r="HC7" s="2" t="e">
        <f t="shared" si="32"/>
        <v>#REF!</v>
      </c>
      <c r="HD7" s="2" t="e">
        <f t="shared" si="32"/>
        <v>#REF!</v>
      </c>
      <c r="HE7" s="2" t="e">
        <f t="shared" si="32"/>
        <v>#REF!</v>
      </c>
      <c r="HF7" s="2" t="e">
        <f t="shared" si="32"/>
        <v>#REF!</v>
      </c>
      <c r="HG7" s="2" t="e">
        <f t="shared" si="32"/>
        <v>#REF!</v>
      </c>
      <c r="HH7" s="2" t="e">
        <f t="shared" si="32"/>
        <v>#REF!</v>
      </c>
      <c r="HI7" s="2" t="e">
        <f t="shared" si="32"/>
        <v>#REF!</v>
      </c>
      <c r="HJ7" s="3" t="e">
        <f t="shared" si="62"/>
        <v>#REF!</v>
      </c>
      <c r="HK7" s="3" t="e">
        <f t="shared" si="63"/>
        <v>#REF!</v>
      </c>
      <c r="HL7" s="3" t="e">
        <f t="shared" si="64"/>
        <v>#REF!</v>
      </c>
      <c r="HM7" s="3" t="e">
        <f t="shared" si="65"/>
        <v>#REF!</v>
      </c>
      <c r="HN7" s="3" t="e">
        <f t="shared" si="66"/>
        <v>#REF!</v>
      </c>
      <c r="HO7" s="3" t="e">
        <f t="shared" si="67"/>
        <v>#REF!</v>
      </c>
      <c r="HP7" s="3" t="e">
        <f t="shared" si="68"/>
        <v>#REF!</v>
      </c>
      <c r="HQ7" s="3" t="e">
        <f t="shared" si="69"/>
        <v>#REF!</v>
      </c>
      <c r="HR7" s="2" t="e">
        <f t="shared" si="70"/>
        <v>#REF!</v>
      </c>
      <c r="HS7" s="2" t="e">
        <f t="shared" si="34"/>
        <v>#REF!</v>
      </c>
      <c r="HT7" s="2" t="e">
        <f t="shared" si="34"/>
        <v>#REF!</v>
      </c>
      <c r="HU7" s="2" t="e">
        <f t="shared" si="34"/>
        <v>#REF!</v>
      </c>
      <c r="HV7" s="2" t="e">
        <f t="shared" si="34"/>
        <v>#REF!</v>
      </c>
      <c r="HW7" s="2" t="e">
        <f t="shared" si="34"/>
        <v>#REF!</v>
      </c>
      <c r="HX7" s="2" t="e">
        <f t="shared" si="34"/>
        <v>#REF!</v>
      </c>
      <c r="HY7" s="2" t="e">
        <f t="shared" si="34"/>
        <v>#REF!</v>
      </c>
      <c r="HZ7" s="3" t="e">
        <f t="shared" si="71"/>
        <v>#REF!</v>
      </c>
      <c r="IA7" s="3" t="e">
        <f t="shared" si="35"/>
        <v>#REF!</v>
      </c>
      <c r="IB7" s="3" t="e">
        <f t="shared" si="35"/>
        <v>#REF!</v>
      </c>
      <c r="IC7" s="3" t="e">
        <f t="shared" si="35"/>
        <v>#REF!</v>
      </c>
      <c r="ID7" s="3" t="e">
        <f t="shared" si="35"/>
        <v>#REF!</v>
      </c>
      <c r="IE7" s="3" t="e">
        <f t="shared" si="35"/>
        <v>#REF!</v>
      </c>
      <c r="IF7" s="3" t="e">
        <f t="shared" si="35"/>
        <v>#REF!</v>
      </c>
      <c r="IG7" s="3" t="e">
        <f t="shared" si="35"/>
        <v>#REF!</v>
      </c>
      <c r="IH7" s="2" t="e">
        <f t="shared" si="72"/>
        <v>#REF!</v>
      </c>
      <c r="II7" s="2" t="e">
        <f t="shared" si="36"/>
        <v>#REF!</v>
      </c>
      <c r="IJ7" s="2" t="e">
        <f t="shared" si="36"/>
        <v>#REF!</v>
      </c>
      <c r="IK7" s="2" t="e">
        <f t="shared" si="36"/>
        <v>#REF!</v>
      </c>
      <c r="IL7" s="2" t="e">
        <f t="shared" si="36"/>
        <v>#REF!</v>
      </c>
      <c r="IM7" s="2" t="e">
        <f t="shared" si="36"/>
        <v>#REF!</v>
      </c>
      <c r="IN7" s="2" t="e">
        <f t="shared" si="36"/>
        <v>#REF!</v>
      </c>
      <c r="IO7" s="2" t="e">
        <f t="shared" si="36"/>
        <v>#REF!</v>
      </c>
      <c r="IP7" s="3" t="e">
        <f t="shared" si="73"/>
        <v>#REF!</v>
      </c>
      <c r="IQ7" s="3" t="e">
        <f t="shared" si="37"/>
        <v>#REF!</v>
      </c>
      <c r="IR7" s="3" t="e">
        <f t="shared" si="37"/>
        <v>#REF!</v>
      </c>
      <c r="IS7" s="3" t="e">
        <f t="shared" si="37"/>
        <v>#REF!</v>
      </c>
      <c r="IT7" s="3" t="e">
        <f t="shared" si="37"/>
        <v>#REF!</v>
      </c>
      <c r="IU7" s="3" t="e">
        <f t="shared" si="37"/>
        <v>#REF!</v>
      </c>
      <c r="IV7" s="3" t="e">
        <f t="shared" si="37"/>
        <v>#REF!</v>
      </c>
      <c r="IW7" s="3" t="e">
        <f t="shared" si="37"/>
        <v>#REF!</v>
      </c>
    </row>
    <row r="8" spans="1:257" x14ac:dyDescent="0.2">
      <c r="A8" s="1">
        <v>2</v>
      </c>
      <c r="B8" s="2">
        <f>'Demand Stage 2'!B7</f>
        <v>12.5</v>
      </c>
      <c r="C8" s="2">
        <f>'Demand Stage 2'!C7</f>
        <v>12.5</v>
      </c>
      <c r="D8" s="2">
        <f>'Demand Stage 2'!D7</f>
        <v>12.5</v>
      </c>
      <c r="E8" s="2">
        <f>'Demand Stage 2'!F7</f>
        <v>25</v>
      </c>
      <c r="F8" s="2">
        <f>'Demand Stage 2'!H7</f>
        <v>25</v>
      </c>
      <c r="G8" s="2">
        <f>'Demand Stage 2'!J7</f>
        <v>25</v>
      </c>
      <c r="H8" s="2">
        <f>'Demand Stage 2'!K7</f>
        <v>50</v>
      </c>
      <c r="I8" s="2">
        <f>'Demand Stage 2'!L7</f>
        <v>25</v>
      </c>
      <c r="J8" s="3" t="e">
        <f>'Demand Stage 2'!#REF!</f>
        <v>#REF!</v>
      </c>
      <c r="K8" s="3" t="e">
        <f>'Demand Stage 2'!#REF!</f>
        <v>#REF!</v>
      </c>
      <c r="L8" s="3" t="e">
        <f>'Demand Stage 2'!#REF!</f>
        <v>#REF!</v>
      </c>
      <c r="M8" s="3" t="e">
        <f>'Demand Stage 2'!#REF!</f>
        <v>#REF!</v>
      </c>
      <c r="N8" s="3" t="e">
        <f>'Demand Stage 2'!#REF!</f>
        <v>#REF!</v>
      </c>
      <c r="O8" s="3" t="e">
        <f>'Demand Stage 2'!#REF!</f>
        <v>#REF!</v>
      </c>
      <c r="P8" s="3" t="e">
        <f>'Demand Stage 2'!#REF!</f>
        <v>#REF!</v>
      </c>
      <c r="Q8" s="3" t="e">
        <f>'Demand Stage 2'!#REF!</f>
        <v>#REF!</v>
      </c>
      <c r="R8" s="2">
        <f>'Demand Stage 2'!B7</f>
        <v>12.5</v>
      </c>
      <c r="S8" s="2">
        <f>'Demand Stage 2'!C7</f>
        <v>12.5</v>
      </c>
      <c r="T8" s="2">
        <f>'Demand Stage 2'!D7</f>
        <v>12.5</v>
      </c>
      <c r="U8" s="2">
        <f>'Demand Stage 2'!F7</f>
        <v>25</v>
      </c>
      <c r="V8" s="2">
        <f>'Demand Stage 2'!H7</f>
        <v>25</v>
      </c>
      <c r="W8" s="2">
        <f>'Demand Stage 2'!J7</f>
        <v>25</v>
      </c>
      <c r="X8" s="2">
        <f>'Demand Stage 2'!K7</f>
        <v>50</v>
      </c>
      <c r="Y8" s="2">
        <f>'Demand Stage 2'!L7</f>
        <v>25</v>
      </c>
      <c r="Z8" s="3" t="e">
        <f>'Demand Stage 2'!#REF!</f>
        <v>#REF!</v>
      </c>
      <c r="AA8" s="3" t="e">
        <f>'Demand Stage 2'!#REF!</f>
        <v>#REF!</v>
      </c>
      <c r="AB8" s="3" t="e">
        <f>'Demand Stage 2'!#REF!</f>
        <v>#REF!</v>
      </c>
      <c r="AC8" s="3" t="e">
        <f>'Demand Stage 2'!#REF!</f>
        <v>#REF!</v>
      </c>
      <c r="AD8" s="3" t="e">
        <f>'Demand Stage 2'!#REF!</f>
        <v>#REF!</v>
      </c>
      <c r="AE8" s="3" t="e">
        <f>'Demand Stage 2'!#REF!</f>
        <v>#REF!</v>
      </c>
      <c r="AF8" s="3" t="e">
        <f>'Demand Stage 2'!#REF!</f>
        <v>#REF!</v>
      </c>
      <c r="AG8" s="3" t="e">
        <f>'Demand Stage 2'!#REF!</f>
        <v>#REF!</v>
      </c>
      <c r="AH8" s="2">
        <f>'Demand Stage 2'!B7</f>
        <v>12.5</v>
      </c>
      <c r="AI8" s="2">
        <f>'Demand Stage 2'!C7</f>
        <v>12.5</v>
      </c>
      <c r="AJ8" s="2">
        <f>'Demand Stage 2'!D7</f>
        <v>12.5</v>
      </c>
      <c r="AK8" s="2">
        <f>'Demand Stage 2'!F7</f>
        <v>25</v>
      </c>
      <c r="AL8" s="2">
        <f>'Demand Stage 2'!H7</f>
        <v>25</v>
      </c>
      <c r="AM8" s="2">
        <f>'Demand Stage 2'!J7</f>
        <v>25</v>
      </c>
      <c r="AN8" s="2">
        <f>'Demand Stage 2'!K7</f>
        <v>50</v>
      </c>
      <c r="AO8" s="2">
        <f>'Demand Stage 2'!L7</f>
        <v>25</v>
      </c>
      <c r="AP8" s="3" t="e">
        <f>'Demand Stage 2'!#REF!</f>
        <v>#REF!</v>
      </c>
      <c r="AQ8" s="3" t="e">
        <f>'Demand Stage 2'!#REF!</f>
        <v>#REF!</v>
      </c>
      <c r="AR8" s="3" t="e">
        <f>'Demand Stage 2'!#REF!</f>
        <v>#REF!</v>
      </c>
      <c r="AS8" s="3" t="e">
        <f>'Demand Stage 2'!#REF!</f>
        <v>#REF!</v>
      </c>
      <c r="AT8" s="3" t="e">
        <f>'Demand Stage 2'!#REF!</f>
        <v>#REF!</v>
      </c>
      <c r="AU8" s="3" t="e">
        <f>'Demand Stage 2'!#REF!</f>
        <v>#REF!</v>
      </c>
      <c r="AV8" s="3" t="e">
        <f>'Demand Stage 2'!#REF!</f>
        <v>#REF!</v>
      </c>
      <c r="AW8" s="3" t="e">
        <f>'Demand Stage 2'!#REF!</f>
        <v>#REF!</v>
      </c>
      <c r="AX8" s="2">
        <f>'Demand Stage 2'!B7</f>
        <v>12.5</v>
      </c>
      <c r="AY8" s="2">
        <f>'Demand Stage 2'!C7</f>
        <v>12.5</v>
      </c>
      <c r="AZ8" s="2">
        <f>'Demand Stage 2'!D7</f>
        <v>12.5</v>
      </c>
      <c r="BA8" s="2">
        <f>'Demand Stage 2'!F7</f>
        <v>25</v>
      </c>
      <c r="BB8" s="2">
        <f>'Demand Stage 2'!H7</f>
        <v>25</v>
      </c>
      <c r="BC8" s="2">
        <f>'Demand Stage 2'!J7</f>
        <v>25</v>
      </c>
      <c r="BD8" s="2">
        <f>'Demand Stage 2'!K7</f>
        <v>50</v>
      </c>
      <c r="BE8" s="2">
        <f>'Demand Stage 2'!L7</f>
        <v>25</v>
      </c>
      <c r="BF8" s="3" t="e">
        <f>'Demand Stage 2'!#REF!</f>
        <v>#REF!</v>
      </c>
      <c r="BG8" s="3" t="e">
        <f>'Demand Stage 2'!#REF!</f>
        <v>#REF!</v>
      </c>
      <c r="BH8" s="3" t="e">
        <f>'Demand Stage 2'!#REF!</f>
        <v>#REF!</v>
      </c>
      <c r="BI8" s="3" t="e">
        <f>'Demand Stage 2'!#REF!</f>
        <v>#REF!</v>
      </c>
      <c r="BJ8" s="3" t="e">
        <f>'Demand Stage 2'!#REF!</f>
        <v>#REF!</v>
      </c>
      <c r="BK8" s="3" t="e">
        <f>'Demand Stage 2'!#REF!</f>
        <v>#REF!</v>
      </c>
      <c r="BL8" s="3" t="e">
        <f>'Demand Stage 2'!#REF!</f>
        <v>#REF!</v>
      </c>
      <c r="BM8" s="3" t="e">
        <f>'Demand Stage 2'!#REF!</f>
        <v>#REF!</v>
      </c>
      <c r="BN8" s="2" t="e">
        <f>'Demand Stage 2'!#REF!</f>
        <v>#REF!</v>
      </c>
      <c r="BO8" s="2" t="e">
        <f>'Demand Stage 2'!#REF!</f>
        <v>#REF!</v>
      </c>
      <c r="BP8" s="2" t="e">
        <f>'Demand Stage 2'!#REF!</f>
        <v>#REF!</v>
      </c>
      <c r="BQ8" s="2" t="e">
        <f>'Demand Stage 2'!#REF!</f>
        <v>#REF!</v>
      </c>
      <c r="BR8" s="2" t="e">
        <f>'Demand Stage 2'!#REF!</f>
        <v>#REF!</v>
      </c>
      <c r="BS8" s="2" t="e">
        <f>'Demand Stage 2'!#REF!</f>
        <v>#REF!</v>
      </c>
      <c r="BT8" s="2" t="e">
        <f>'Demand Stage 2'!#REF!</f>
        <v>#REF!</v>
      </c>
      <c r="BU8" s="2" t="e">
        <f>'Demand Stage 2'!#REF!</f>
        <v>#REF!</v>
      </c>
      <c r="BV8" s="3" t="e">
        <f>'Demand Stage 2'!#REF!</f>
        <v>#REF!</v>
      </c>
      <c r="BW8" s="3" t="e">
        <f>'Demand Stage 2'!#REF!</f>
        <v>#REF!</v>
      </c>
      <c r="BX8" s="3" t="e">
        <f>'Demand Stage 2'!#REF!</f>
        <v>#REF!</v>
      </c>
      <c r="BY8" s="3" t="e">
        <f>'Demand Stage 2'!#REF!</f>
        <v>#REF!</v>
      </c>
      <c r="BZ8" s="3" t="e">
        <f>'Demand Stage 2'!#REF!</f>
        <v>#REF!</v>
      </c>
      <c r="CA8" s="3" t="e">
        <f>'Demand Stage 2'!#REF!</f>
        <v>#REF!</v>
      </c>
      <c r="CB8" s="3" t="e">
        <f>'Demand Stage 2'!#REF!</f>
        <v>#REF!</v>
      </c>
      <c r="CC8" s="3" t="e">
        <f>'Demand Stage 2'!#REF!</f>
        <v>#REF!</v>
      </c>
      <c r="CD8" s="2" t="e">
        <f t="shared" si="38"/>
        <v>#REF!</v>
      </c>
      <c r="CE8" s="2" t="e">
        <f t="shared" si="14"/>
        <v>#REF!</v>
      </c>
      <c r="CF8" s="2" t="e">
        <f t="shared" si="14"/>
        <v>#REF!</v>
      </c>
      <c r="CG8" s="2" t="e">
        <f t="shared" si="14"/>
        <v>#REF!</v>
      </c>
      <c r="CH8" s="2" t="e">
        <f t="shared" si="14"/>
        <v>#REF!</v>
      </c>
      <c r="CI8" s="2" t="e">
        <f t="shared" si="14"/>
        <v>#REF!</v>
      </c>
      <c r="CJ8" s="2" t="e">
        <f t="shared" si="14"/>
        <v>#REF!</v>
      </c>
      <c r="CK8" s="2" t="e">
        <f t="shared" si="14"/>
        <v>#REF!</v>
      </c>
      <c r="CL8" s="3" t="e">
        <f t="shared" si="39"/>
        <v>#REF!</v>
      </c>
      <c r="CM8" s="3" t="e">
        <f t="shared" si="15"/>
        <v>#REF!</v>
      </c>
      <c r="CN8" s="3" t="e">
        <f t="shared" si="15"/>
        <v>#REF!</v>
      </c>
      <c r="CO8" s="3" t="e">
        <f t="shared" si="15"/>
        <v>#REF!</v>
      </c>
      <c r="CP8" s="3" t="e">
        <f t="shared" si="15"/>
        <v>#REF!</v>
      </c>
      <c r="CQ8" s="3" t="e">
        <f t="shared" si="15"/>
        <v>#REF!</v>
      </c>
      <c r="CR8" s="3" t="e">
        <f t="shared" si="15"/>
        <v>#REF!</v>
      </c>
      <c r="CS8" s="3" t="e">
        <f t="shared" si="15"/>
        <v>#REF!</v>
      </c>
      <c r="CT8" s="2" t="e">
        <f t="shared" si="74"/>
        <v>#REF!</v>
      </c>
      <c r="CU8" s="2" t="e">
        <f t="shared" si="16"/>
        <v>#REF!</v>
      </c>
      <c r="CV8" s="2" t="e">
        <f t="shared" si="16"/>
        <v>#REF!</v>
      </c>
      <c r="CW8" s="2" t="e">
        <f t="shared" si="16"/>
        <v>#REF!</v>
      </c>
      <c r="CX8" s="2" t="e">
        <f t="shared" si="16"/>
        <v>#REF!</v>
      </c>
      <c r="CY8" s="2" t="e">
        <f t="shared" si="16"/>
        <v>#REF!</v>
      </c>
      <c r="CZ8" s="2" t="e">
        <f t="shared" si="16"/>
        <v>#REF!</v>
      </c>
      <c r="DA8" s="2" t="e">
        <f t="shared" si="16"/>
        <v>#REF!</v>
      </c>
      <c r="DB8" s="3" t="e">
        <f t="shared" si="16"/>
        <v>#REF!</v>
      </c>
      <c r="DC8" s="3" t="e">
        <f t="shared" si="17"/>
        <v>#REF!</v>
      </c>
      <c r="DD8" s="3" t="e">
        <f t="shared" si="18"/>
        <v>#REF!</v>
      </c>
      <c r="DE8" s="3" t="e">
        <f t="shared" si="19"/>
        <v>#REF!</v>
      </c>
      <c r="DF8" s="3" t="e">
        <f t="shared" si="20"/>
        <v>#REF!</v>
      </c>
      <c r="DG8" s="3" t="e">
        <f t="shared" si="21"/>
        <v>#REF!</v>
      </c>
      <c r="DH8" s="3" t="e">
        <f t="shared" si="22"/>
        <v>#REF!</v>
      </c>
      <c r="DI8" s="3" t="e">
        <f t="shared" si="23"/>
        <v>#REF!</v>
      </c>
      <c r="DJ8" s="2" t="e">
        <f t="shared" si="40"/>
        <v>#REF!</v>
      </c>
      <c r="DK8" s="2" t="e">
        <f t="shared" si="24"/>
        <v>#REF!</v>
      </c>
      <c r="DL8" s="2" t="e">
        <f t="shared" si="24"/>
        <v>#REF!</v>
      </c>
      <c r="DM8" s="2" t="e">
        <f t="shared" si="24"/>
        <v>#REF!</v>
      </c>
      <c r="DN8" s="2" t="e">
        <f t="shared" si="24"/>
        <v>#REF!</v>
      </c>
      <c r="DO8" s="2" t="e">
        <f t="shared" si="24"/>
        <v>#REF!</v>
      </c>
      <c r="DP8" s="2" t="e">
        <f t="shared" si="24"/>
        <v>#REF!</v>
      </c>
      <c r="DQ8" s="2" t="e">
        <f t="shared" si="24"/>
        <v>#REF!</v>
      </c>
      <c r="DR8" s="3" t="e">
        <f t="shared" si="41"/>
        <v>#REF!</v>
      </c>
      <c r="DS8" s="3" t="e">
        <f t="shared" si="42"/>
        <v>#REF!</v>
      </c>
      <c r="DT8" s="3" t="e">
        <f t="shared" si="43"/>
        <v>#REF!</v>
      </c>
      <c r="DU8" s="3" t="e">
        <f t="shared" si="44"/>
        <v>#REF!</v>
      </c>
      <c r="DV8" s="3" t="e">
        <f t="shared" si="45"/>
        <v>#REF!</v>
      </c>
      <c r="DW8" s="3" t="e">
        <f t="shared" si="46"/>
        <v>#REF!</v>
      </c>
      <c r="DX8" s="3" t="e">
        <f t="shared" si="47"/>
        <v>#REF!</v>
      </c>
      <c r="DY8" s="3" t="e">
        <f t="shared" si="48"/>
        <v>#REF!</v>
      </c>
      <c r="DZ8" s="2" t="e">
        <f>'Demand Stage 2'!#REF!</f>
        <v>#REF!</v>
      </c>
      <c r="EA8" s="2" t="e">
        <f>'Demand Stage 2'!#REF!</f>
        <v>#REF!</v>
      </c>
      <c r="EB8" s="2" t="e">
        <f>'Demand Stage 2'!#REF!</f>
        <v>#REF!</v>
      </c>
      <c r="EC8" s="2" t="e">
        <f>'Demand Stage 2'!#REF!</f>
        <v>#REF!</v>
      </c>
      <c r="ED8" s="2" t="e">
        <f>'Demand Stage 2'!#REF!</f>
        <v>#REF!</v>
      </c>
      <c r="EE8" s="2" t="e">
        <f>'Demand Stage 2'!#REF!</f>
        <v>#REF!</v>
      </c>
      <c r="EF8" s="2" t="e">
        <f>'Demand Stage 2'!#REF!</f>
        <v>#REF!</v>
      </c>
      <c r="EG8" s="2" t="e">
        <f>'Demand Stage 2'!#REF!</f>
        <v>#REF!</v>
      </c>
      <c r="EH8" s="3" t="e">
        <f>'Demand Stage 2'!#REF!</f>
        <v>#REF!</v>
      </c>
      <c r="EI8" s="3" t="e">
        <f>'Demand Stage 2'!#REF!</f>
        <v>#REF!</v>
      </c>
      <c r="EJ8" s="3" t="e">
        <f>'Demand Stage 2'!#REF!</f>
        <v>#REF!</v>
      </c>
      <c r="EK8" s="3" t="e">
        <f>'Demand Stage 2'!#REF!</f>
        <v>#REF!</v>
      </c>
      <c r="EL8" s="3" t="e">
        <f>'Demand Stage 2'!#REF!</f>
        <v>#REF!</v>
      </c>
      <c r="EM8" s="3" t="e">
        <f>'Demand Stage 2'!#REF!</f>
        <v>#REF!</v>
      </c>
      <c r="EN8" s="3" t="e">
        <f>'Demand Stage 2'!#REF!</f>
        <v>#REF!</v>
      </c>
      <c r="EO8" s="3" t="e">
        <f>'Demand Stage 2'!#REF!</f>
        <v>#REF!</v>
      </c>
      <c r="EP8" s="2" t="e">
        <f t="shared" si="49"/>
        <v>#REF!</v>
      </c>
      <c r="EQ8" s="2" t="e">
        <f t="shared" si="26"/>
        <v>#REF!</v>
      </c>
      <c r="ER8" s="2" t="e">
        <f t="shared" si="26"/>
        <v>#REF!</v>
      </c>
      <c r="ES8" s="2" t="e">
        <f t="shared" si="26"/>
        <v>#REF!</v>
      </c>
      <c r="ET8" s="2" t="e">
        <f t="shared" si="26"/>
        <v>#REF!</v>
      </c>
      <c r="EU8" s="2" t="e">
        <f t="shared" si="26"/>
        <v>#REF!</v>
      </c>
      <c r="EV8" s="2" t="e">
        <f t="shared" si="26"/>
        <v>#REF!</v>
      </c>
      <c r="EW8" s="2" t="e">
        <f t="shared" si="26"/>
        <v>#REF!</v>
      </c>
      <c r="EX8" s="3" t="e">
        <f t="shared" si="50"/>
        <v>#REF!</v>
      </c>
      <c r="EY8" s="3" t="e">
        <f t="shared" si="27"/>
        <v>#REF!</v>
      </c>
      <c r="EZ8" s="3" t="e">
        <f t="shared" si="27"/>
        <v>#REF!</v>
      </c>
      <c r="FA8" s="3" t="e">
        <f t="shared" si="27"/>
        <v>#REF!</v>
      </c>
      <c r="FB8" s="3" t="e">
        <f t="shared" si="27"/>
        <v>#REF!</v>
      </c>
      <c r="FC8" s="3" t="e">
        <f t="shared" si="27"/>
        <v>#REF!</v>
      </c>
      <c r="FD8" s="3" t="e">
        <f t="shared" si="27"/>
        <v>#REF!</v>
      </c>
      <c r="FE8" s="3" t="e">
        <f t="shared" si="27"/>
        <v>#REF!</v>
      </c>
      <c r="FF8" s="2" t="e">
        <f t="shared" si="51"/>
        <v>#REF!</v>
      </c>
      <c r="FG8" s="2" t="e">
        <f t="shared" si="28"/>
        <v>#REF!</v>
      </c>
      <c r="FH8" s="2" t="e">
        <f t="shared" si="28"/>
        <v>#REF!</v>
      </c>
      <c r="FI8" s="2" t="e">
        <f t="shared" si="28"/>
        <v>#REF!</v>
      </c>
      <c r="FJ8" s="2" t="e">
        <f t="shared" si="28"/>
        <v>#REF!</v>
      </c>
      <c r="FK8" s="2" t="e">
        <f t="shared" si="28"/>
        <v>#REF!</v>
      </c>
      <c r="FL8" s="2" t="e">
        <f t="shared" si="28"/>
        <v>#REF!</v>
      </c>
      <c r="FM8" s="2" t="e">
        <f t="shared" si="28"/>
        <v>#REF!</v>
      </c>
      <c r="FN8" s="3" t="e">
        <f t="shared" si="52"/>
        <v>#REF!</v>
      </c>
      <c r="FO8" s="3" t="e">
        <f t="shared" si="53"/>
        <v>#REF!</v>
      </c>
      <c r="FP8" s="3" t="e">
        <f t="shared" si="54"/>
        <v>#REF!</v>
      </c>
      <c r="FQ8" s="3" t="e">
        <f t="shared" si="55"/>
        <v>#REF!</v>
      </c>
      <c r="FR8" s="3" t="e">
        <f t="shared" si="56"/>
        <v>#REF!</v>
      </c>
      <c r="FS8" s="3" t="e">
        <f t="shared" si="57"/>
        <v>#REF!</v>
      </c>
      <c r="FT8" s="3" t="e">
        <f t="shared" si="58"/>
        <v>#REF!</v>
      </c>
      <c r="FU8" s="3" t="e">
        <f t="shared" si="59"/>
        <v>#REF!</v>
      </c>
      <c r="FV8" s="2" t="e">
        <f t="shared" si="60"/>
        <v>#REF!</v>
      </c>
      <c r="FW8" s="2" t="e">
        <f t="shared" si="30"/>
        <v>#REF!</v>
      </c>
      <c r="FX8" s="2" t="e">
        <f t="shared" si="30"/>
        <v>#REF!</v>
      </c>
      <c r="FY8" s="2" t="e">
        <f t="shared" si="30"/>
        <v>#REF!</v>
      </c>
      <c r="FZ8" s="2" t="e">
        <f t="shared" si="30"/>
        <v>#REF!</v>
      </c>
      <c r="GA8" s="2" t="e">
        <f t="shared" si="30"/>
        <v>#REF!</v>
      </c>
      <c r="GB8" s="2" t="e">
        <f t="shared" si="30"/>
        <v>#REF!</v>
      </c>
      <c r="GC8" s="2" t="e">
        <f t="shared" si="30"/>
        <v>#REF!</v>
      </c>
      <c r="GD8" s="3" t="e">
        <f t="shared" si="61"/>
        <v>#REF!</v>
      </c>
      <c r="GE8" s="3" t="e">
        <f t="shared" si="31"/>
        <v>#REF!</v>
      </c>
      <c r="GF8" s="3" t="e">
        <f t="shared" si="31"/>
        <v>#REF!</v>
      </c>
      <c r="GG8" s="3" t="e">
        <f t="shared" si="31"/>
        <v>#REF!</v>
      </c>
      <c r="GH8" s="3" t="e">
        <f t="shared" si="31"/>
        <v>#REF!</v>
      </c>
      <c r="GI8" s="3" t="e">
        <f t="shared" si="31"/>
        <v>#REF!</v>
      </c>
      <c r="GJ8" s="3" t="e">
        <f t="shared" si="31"/>
        <v>#REF!</v>
      </c>
      <c r="GK8" s="3" t="e">
        <f t="shared" si="31"/>
        <v>#REF!</v>
      </c>
      <c r="GL8" s="2" t="e">
        <f>'Demand Stage 2'!#REF!</f>
        <v>#REF!</v>
      </c>
      <c r="GM8" s="2" t="e">
        <f>'Demand Stage 2'!#REF!</f>
        <v>#REF!</v>
      </c>
      <c r="GN8" s="2" t="e">
        <f>'Demand Stage 2'!#REF!</f>
        <v>#REF!</v>
      </c>
      <c r="GO8" s="2" t="e">
        <f>'Demand Stage 2'!#REF!</f>
        <v>#REF!</v>
      </c>
      <c r="GP8" s="2" t="e">
        <f>'Demand Stage 2'!#REF!</f>
        <v>#REF!</v>
      </c>
      <c r="GQ8" s="2" t="e">
        <f>'Demand Stage 2'!#REF!</f>
        <v>#REF!</v>
      </c>
      <c r="GR8" s="2" t="e">
        <f>'Demand Stage 2'!#REF!</f>
        <v>#REF!</v>
      </c>
      <c r="GS8" s="2" t="e">
        <f>'Demand Stage 2'!#REF!</f>
        <v>#REF!</v>
      </c>
      <c r="GT8" s="3" t="e">
        <f>'Demand Stage 2'!#REF!</f>
        <v>#REF!</v>
      </c>
      <c r="GU8" s="3" t="e">
        <f>'Demand Stage 2'!#REF!</f>
        <v>#REF!</v>
      </c>
      <c r="GV8" s="3" t="e">
        <f>'Demand Stage 2'!#REF!</f>
        <v>#REF!</v>
      </c>
      <c r="GW8" s="3" t="e">
        <f>'Demand Stage 2'!#REF!</f>
        <v>#REF!</v>
      </c>
      <c r="GX8" s="3" t="e">
        <f>'Demand Stage 2'!#REF!</f>
        <v>#REF!</v>
      </c>
      <c r="GY8" s="3" t="e">
        <f>'Demand Stage 2'!#REF!</f>
        <v>#REF!</v>
      </c>
      <c r="GZ8" s="3" t="e">
        <f>'Demand Stage 2'!#REF!</f>
        <v>#REF!</v>
      </c>
      <c r="HA8" s="3" t="e">
        <f>'Demand Stage 2'!#REF!</f>
        <v>#REF!</v>
      </c>
      <c r="HB8" s="2" t="e">
        <f t="shared" si="75"/>
        <v>#REF!</v>
      </c>
      <c r="HC8" s="2" t="e">
        <f t="shared" si="32"/>
        <v>#REF!</v>
      </c>
      <c r="HD8" s="2" t="e">
        <f t="shared" si="32"/>
        <v>#REF!</v>
      </c>
      <c r="HE8" s="2" t="e">
        <f t="shared" si="32"/>
        <v>#REF!</v>
      </c>
      <c r="HF8" s="2" t="e">
        <f t="shared" si="32"/>
        <v>#REF!</v>
      </c>
      <c r="HG8" s="2" t="e">
        <f t="shared" si="32"/>
        <v>#REF!</v>
      </c>
      <c r="HH8" s="2" t="e">
        <f t="shared" si="32"/>
        <v>#REF!</v>
      </c>
      <c r="HI8" s="2" t="e">
        <f t="shared" si="32"/>
        <v>#REF!</v>
      </c>
      <c r="HJ8" s="3" t="e">
        <f t="shared" si="62"/>
        <v>#REF!</v>
      </c>
      <c r="HK8" s="3" t="e">
        <f t="shared" si="63"/>
        <v>#REF!</v>
      </c>
      <c r="HL8" s="3" t="e">
        <f t="shared" si="64"/>
        <v>#REF!</v>
      </c>
      <c r="HM8" s="3" t="e">
        <f t="shared" si="65"/>
        <v>#REF!</v>
      </c>
      <c r="HN8" s="3" t="e">
        <f t="shared" si="66"/>
        <v>#REF!</v>
      </c>
      <c r="HO8" s="3" t="e">
        <f t="shared" si="67"/>
        <v>#REF!</v>
      </c>
      <c r="HP8" s="3" t="e">
        <f t="shared" si="68"/>
        <v>#REF!</v>
      </c>
      <c r="HQ8" s="3" t="e">
        <f t="shared" si="69"/>
        <v>#REF!</v>
      </c>
      <c r="HR8" s="2" t="e">
        <f t="shared" si="70"/>
        <v>#REF!</v>
      </c>
      <c r="HS8" s="2" t="e">
        <f t="shared" si="34"/>
        <v>#REF!</v>
      </c>
      <c r="HT8" s="2" t="e">
        <f t="shared" si="34"/>
        <v>#REF!</v>
      </c>
      <c r="HU8" s="2" t="e">
        <f t="shared" si="34"/>
        <v>#REF!</v>
      </c>
      <c r="HV8" s="2" t="e">
        <f t="shared" si="34"/>
        <v>#REF!</v>
      </c>
      <c r="HW8" s="2" t="e">
        <f t="shared" si="34"/>
        <v>#REF!</v>
      </c>
      <c r="HX8" s="2" t="e">
        <f t="shared" si="34"/>
        <v>#REF!</v>
      </c>
      <c r="HY8" s="2" t="e">
        <f t="shared" si="34"/>
        <v>#REF!</v>
      </c>
      <c r="HZ8" s="3" t="e">
        <f t="shared" si="71"/>
        <v>#REF!</v>
      </c>
      <c r="IA8" s="3" t="e">
        <f t="shared" si="35"/>
        <v>#REF!</v>
      </c>
      <c r="IB8" s="3" t="e">
        <f t="shared" si="35"/>
        <v>#REF!</v>
      </c>
      <c r="IC8" s="3" t="e">
        <f t="shared" si="35"/>
        <v>#REF!</v>
      </c>
      <c r="ID8" s="3" t="e">
        <f t="shared" si="35"/>
        <v>#REF!</v>
      </c>
      <c r="IE8" s="3" t="e">
        <f t="shared" si="35"/>
        <v>#REF!</v>
      </c>
      <c r="IF8" s="3" t="e">
        <f t="shared" si="35"/>
        <v>#REF!</v>
      </c>
      <c r="IG8" s="3" t="e">
        <f t="shared" si="35"/>
        <v>#REF!</v>
      </c>
      <c r="IH8" s="2" t="e">
        <f t="shared" si="72"/>
        <v>#REF!</v>
      </c>
      <c r="II8" s="2" t="e">
        <f t="shared" si="36"/>
        <v>#REF!</v>
      </c>
      <c r="IJ8" s="2" t="e">
        <f t="shared" si="36"/>
        <v>#REF!</v>
      </c>
      <c r="IK8" s="2" t="e">
        <f t="shared" si="36"/>
        <v>#REF!</v>
      </c>
      <c r="IL8" s="2" t="e">
        <f t="shared" si="36"/>
        <v>#REF!</v>
      </c>
      <c r="IM8" s="2" t="e">
        <f t="shared" si="36"/>
        <v>#REF!</v>
      </c>
      <c r="IN8" s="2" t="e">
        <f t="shared" si="36"/>
        <v>#REF!</v>
      </c>
      <c r="IO8" s="2" t="e">
        <f t="shared" si="36"/>
        <v>#REF!</v>
      </c>
      <c r="IP8" s="3" t="e">
        <f t="shared" si="73"/>
        <v>#REF!</v>
      </c>
      <c r="IQ8" s="3" t="e">
        <f t="shared" si="37"/>
        <v>#REF!</v>
      </c>
      <c r="IR8" s="3" t="e">
        <f t="shared" si="37"/>
        <v>#REF!</v>
      </c>
      <c r="IS8" s="3" t="e">
        <f t="shared" si="37"/>
        <v>#REF!</v>
      </c>
      <c r="IT8" s="3" t="e">
        <f t="shared" si="37"/>
        <v>#REF!</v>
      </c>
      <c r="IU8" s="3" t="e">
        <f t="shared" si="37"/>
        <v>#REF!</v>
      </c>
      <c r="IV8" s="3" t="e">
        <f t="shared" si="37"/>
        <v>#REF!</v>
      </c>
      <c r="IW8" s="3" t="e">
        <f t="shared" si="37"/>
        <v>#REF!</v>
      </c>
    </row>
    <row r="9" spans="1:257" x14ac:dyDescent="0.2">
      <c r="A9" s="1">
        <v>3</v>
      </c>
      <c r="B9" s="2">
        <f>'Demand Stage 2'!B8</f>
        <v>12.5</v>
      </c>
      <c r="C9" s="2">
        <f>'Demand Stage 2'!C8</f>
        <v>12.5</v>
      </c>
      <c r="D9" s="2">
        <f>'Demand Stage 2'!D8</f>
        <v>12.5</v>
      </c>
      <c r="E9" s="2">
        <f>'Demand Stage 2'!F8</f>
        <v>25</v>
      </c>
      <c r="F9" s="2">
        <f>'Demand Stage 2'!H8</f>
        <v>25</v>
      </c>
      <c r="G9" s="2">
        <f>'Demand Stage 2'!J8</f>
        <v>25</v>
      </c>
      <c r="H9" s="2">
        <f>'Demand Stage 2'!K8</f>
        <v>50</v>
      </c>
      <c r="I9" s="2">
        <f>'Demand Stage 2'!L8</f>
        <v>25</v>
      </c>
      <c r="J9" s="3" t="e">
        <f>'Demand Stage 2'!#REF!</f>
        <v>#REF!</v>
      </c>
      <c r="K9" s="3" t="e">
        <f>'Demand Stage 2'!#REF!</f>
        <v>#REF!</v>
      </c>
      <c r="L9" s="3" t="e">
        <f>'Demand Stage 2'!#REF!</f>
        <v>#REF!</v>
      </c>
      <c r="M9" s="3" t="e">
        <f>'Demand Stage 2'!#REF!</f>
        <v>#REF!</v>
      </c>
      <c r="N9" s="3" t="e">
        <f>'Demand Stage 2'!#REF!</f>
        <v>#REF!</v>
      </c>
      <c r="O9" s="3" t="e">
        <f>'Demand Stage 2'!#REF!</f>
        <v>#REF!</v>
      </c>
      <c r="P9" s="3" t="e">
        <f>'Demand Stage 2'!#REF!</f>
        <v>#REF!</v>
      </c>
      <c r="Q9" s="3" t="e">
        <f>'Demand Stage 2'!#REF!</f>
        <v>#REF!</v>
      </c>
      <c r="R9" s="2">
        <f>'Demand Stage 2'!B8</f>
        <v>12.5</v>
      </c>
      <c r="S9" s="2">
        <f>'Demand Stage 2'!C8</f>
        <v>12.5</v>
      </c>
      <c r="T9" s="2">
        <f>'Demand Stage 2'!D8</f>
        <v>12.5</v>
      </c>
      <c r="U9" s="2">
        <f>'Demand Stage 2'!F8</f>
        <v>25</v>
      </c>
      <c r="V9" s="2">
        <f>'Demand Stage 2'!H8</f>
        <v>25</v>
      </c>
      <c r="W9" s="2">
        <f>'Demand Stage 2'!J8</f>
        <v>25</v>
      </c>
      <c r="X9" s="2">
        <f>'Demand Stage 2'!K8</f>
        <v>50</v>
      </c>
      <c r="Y9" s="2">
        <f>'Demand Stage 2'!L8</f>
        <v>25</v>
      </c>
      <c r="Z9" s="3" t="e">
        <f>'Demand Stage 2'!#REF!</f>
        <v>#REF!</v>
      </c>
      <c r="AA9" s="3" t="e">
        <f>'Demand Stage 2'!#REF!</f>
        <v>#REF!</v>
      </c>
      <c r="AB9" s="3" t="e">
        <f>'Demand Stage 2'!#REF!</f>
        <v>#REF!</v>
      </c>
      <c r="AC9" s="3" t="e">
        <f>'Demand Stage 2'!#REF!</f>
        <v>#REF!</v>
      </c>
      <c r="AD9" s="3" t="e">
        <f>'Demand Stage 2'!#REF!</f>
        <v>#REF!</v>
      </c>
      <c r="AE9" s="3" t="e">
        <f>'Demand Stage 2'!#REF!</f>
        <v>#REF!</v>
      </c>
      <c r="AF9" s="3" t="e">
        <f>'Demand Stage 2'!#REF!</f>
        <v>#REF!</v>
      </c>
      <c r="AG9" s="3" t="e">
        <f>'Demand Stage 2'!#REF!</f>
        <v>#REF!</v>
      </c>
      <c r="AH9" s="2">
        <f>'Demand Stage 2'!B8</f>
        <v>12.5</v>
      </c>
      <c r="AI9" s="2">
        <f>'Demand Stage 2'!C8</f>
        <v>12.5</v>
      </c>
      <c r="AJ9" s="2">
        <f>'Demand Stage 2'!D8</f>
        <v>12.5</v>
      </c>
      <c r="AK9" s="2">
        <f>'Demand Stage 2'!F8</f>
        <v>25</v>
      </c>
      <c r="AL9" s="2">
        <f>'Demand Stage 2'!H8</f>
        <v>25</v>
      </c>
      <c r="AM9" s="2">
        <f>'Demand Stage 2'!J8</f>
        <v>25</v>
      </c>
      <c r="AN9" s="2">
        <f>'Demand Stage 2'!K8</f>
        <v>50</v>
      </c>
      <c r="AO9" s="2">
        <f>'Demand Stage 2'!L8</f>
        <v>25</v>
      </c>
      <c r="AP9" s="3" t="e">
        <f>'Demand Stage 2'!#REF!</f>
        <v>#REF!</v>
      </c>
      <c r="AQ9" s="3" t="e">
        <f>'Demand Stage 2'!#REF!</f>
        <v>#REF!</v>
      </c>
      <c r="AR9" s="3" t="e">
        <f>'Demand Stage 2'!#REF!</f>
        <v>#REF!</v>
      </c>
      <c r="AS9" s="3" t="e">
        <f>'Demand Stage 2'!#REF!</f>
        <v>#REF!</v>
      </c>
      <c r="AT9" s="3" t="e">
        <f>'Demand Stage 2'!#REF!</f>
        <v>#REF!</v>
      </c>
      <c r="AU9" s="3" t="e">
        <f>'Demand Stage 2'!#REF!</f>
        <v>#REF!</v>
      </c>
      <c r="AV9" s="3" t="e">
        <f>'Demand Stage 2'!#REF!</f>
        <v>#REF!</v>
      </c>
      <c r="AW9" s="3" t="e">
        <f>'Demand Stage 2'!#REF!</f>
        <v>#REF!</v>
      </c>
      <c r="AX9" s="2">
        <f>'Demand Stage 2'!B8</f>
        <v>12.5</v>
      </c>
      <c r="AY9" s="2">
        <f>'Demand Stage 2'!C8</f>
        <v>12.5</v>
      </c>
      <c r="AZ9" s="2">
        <f>'Demand Stage 2'!D8</f>
        <v>12.5</v>
      </c>
      <c r="BA9" s="2">
        <f>'Demand Stage 2'!F8</f>
        <v>25</v>
      </c>
      <c r="BB9" s="2">
        <f>'Demand Stage 2'!H8</f>
        <v>25</v>
      </c>
      <c r="BC9" s="2">
        <f>'Demand Stage 2'!J8</f>
        <v>25</v>
      </c>
      <c r="BD9" s="2">
        <f>'Demand Stage 2'!K8</f>
        <v>50</v>
      </c>
      <c r="BE9" s="2">
        <f>'Demand Stage 2'!L8</f>
        <v>25</v>
      </c>
      <c r="BF9" s="3" t="e">
        <f>'Demand Stage 2'!#REF!</f>
        <v>#REF!</v>
      </c>
      <c r="BG9" s="3" t="e">
        <f>'Demand Stage 2'!#REF!</f>
        <v>#REF!</v>
      </c>
      <c r="BH9" s="3" t="e">
        <f>'Demand Stage 2'!#REF!</f>
        <v>#REF!</v>
      </c>
      <c r="BI9" s="3" t="e">
        <f>'Demand Stage 2'!#REF!</f>
        <v>#REF!</v>
      </c>
      <c r="BJ9" s="3" t="e">
        <f>'Demand Stage 2'!#REF!</f>
        <v>#REF!</v>
      </c>
      <c r="BK9" s="3" t="e">
        <f>'Demand Stage 2'!#REF!</f>
        <v>#REF!</v>
      </c>
      <c r="BL9" s="3" t="e">
        <f>'Demand Stage 2'!#REF!</f>
        <v>#REF!</v>
      </c>
      <c r="BM9" s="3" t="e">
        <f>'Demand Stage 2'!#REF!</f>
        <v>#REF!</v>
      </c>
      <c r="BN9" s="2" t="e">
        <f>'Demand Stage 2'!#REF!</f>
        <v>#REF!</v>
      </c>
      <c r="BO9" s="2" t="e">
        <f>'Demand Stage 2'!#REF!</f>
        <v>#REF!</v>
      </c>
      <c r="BP9" s="2" t="e">
        <f>'Demand Stage 2'!#REF!</f>
        <v>#REF!</v>
      </c>
      <c r="BQ9" s="2" t="e">
        <f>'Demand Stage 2'!#REF!</f>
        <v>#REF!</v>
      </c>
      <c r="BR9" s="2" t="e">
        <f>'Demand Stage 2'!#REF!</f>
        <v>#REF!</v>
      </c>
      <c r="BS9" s="2" t="e">
        <f>'Demand Stage 2'!#REF!</f>
        <v>#REF!</v>
      </c>
      <c r="BT9" s="2" t="e">
        <f>'Demand Stage 2'!#REF!</f>
        <v>#REF!</v>
      </c>
      <c r="BU9" s="2" t="e">
        <f>'Demand Stage 2'!#REF!</f>
        <v>#REF!</v>
      </c>
      <c r="BV9" s="3" t="e">
        <f>'Demand Stage 2'!#REF!</f>
        <v>#REF!</v>
      </c>
      <c r="BW9" s="3" t="e">
        <f>'Demand Stage 2'!#REF!</f>
        <v>#REF!</v>
      </c>
      <c r="BX9" s="3" t="e">
        <f>'Demand Stage 2'!#REF!</f>
        <v>#REF!</v>
      </c>
      <c r="BY9" s="3" t="e">
        <f>'Demand Stage 2'!#REF!</f>
        <v>#REF!</v>
      </c>
      <c r="BZ9" s="3" t="e">
        <f>'Demand Stage 2'!#REF!</f>
        <v>#REF!</v>
      </c>
      <c r="CA9" s="3" t="e">
        <f>'Demand Stage 2'!#REF!</f>
        <v>#REF!</v>
      </c>
      <c r="CB9" s="3" t="e">
        <f>'Demand Stage 2'!#REF!</f>
        <v>#REF!</v>
      </c>
      <c r="CC9" s="3" t="e">
        <f>'Demand Stage 2'!#REF!</f>
        <v>#REF!</v>
      </c>
      <c r="CD9" s="2" t="e">
        <f t="shared" si="38"/>
        <v>#REF!</v>
      </c>
      <c r="CE9" s="2" t="e">
        <f t="shared" si="14"/>
        <v>#REF!</v>
      </c>
      <c r="CF9" s="2" t="e">
        <f t="shared" si="14"/>
        <v>#REF!</v>
      </c>
      <c r="CG9" s="2" t="e">
        <f t="shared" si="14"/>
        <v>#REF!</v>
      </c>
      <c r="CH9" s="2" t="e">
        <f t="shared" si="14"/>
        <v>#REF!</v>
      </c>
      <c r="CI9" s="2" t="e">
        <f t="shared" si="14"/>
        <v>#REF!</v>
      </c>
      <c r="CJ9" s="2" t="e">
        <f t="shared" si="14"/>
        <v>#REF!</v>
      </c>
      <c r="CK9" s="2" t="e">
        <f t="shared" si="14"/>
        <v>#REF!</v>
      </c>
      <c r="CL9" s="3" t="e">
        <f t="shared" si="39"/>
        <v>#REF!</v>
      </c>
      <c r="CM9" s="3" t="e">
        <f t="shared" si="15"/>
        <v>#REF!</v>
      </c>
      <c r="CN9" s="3" t="e">
        <f t="shared" si="15"/>
        <v>#REF!</v>
      </c>
      <c r="CO9" s="3" t="e">
        <f t="shared" si="15"/>
        <v>#REF!</v>
      </c>
      <c r="CP9" s="3" t="e">
        <f t="shared" si="15"/>
        <v>#REF!</v>
      </c>
      <c r="CQ9" s="3" t="e">
        <f t="shared" si="15"/>
        <v>#REF!</v>
      </c>
      <c r="CR9" s="3" t="e">
        <f t="shared" si="15"/>
        <v>#REF!</v>
      </c>
      <c r="CS9" s="3" t="e">
        <f t="shared" si="15"/>
        <v>#REF!</v>
      </c>
      <c r="CT9" s="2" t="e">
        <f t="shared" si="74"/>
        <v>#REF!</v>
      </c>
      <c r="CU9" s="2" t="e">
        <f t="shared" si="16"/>
        <v>#REF!</v>
      </c>
      <c r="CV9" s="2" t="e">
        <f t="shared" si="16"/>
        <v>#REF!</v>
      </c>
      <c r="CW9" s="2" t="e">
        <f t="shared" si="16"/>
        <v>#REF!</v>
      </c>
      <c r="CX9" s="2" t="e">
        <f t="shared" si="16"/>
        <v>#REF!</v>
      </c>
      <c r="CY9" s="2" t="e">
        <f t="shared" si="16"/>
        <v>#REF!</v>
      </c>
      <c r="CZ9" s="2" t="e">
        <f t="shared" si="16"/>
        <v>#REF!</v>
      </c>
      <c r="DA9" s="2" t="e">
        <f t="shared" si="16"/>
        <v>#REF!</v>
      </c>
      <c r="DB9" s="3" t="e">
        <f>CL9</f>
        <v>#REF!</v>
      </c>
      <c r="DC9" s="3" t="e">
        <f t="shared" si="17"/>
        <v>#REF!</v>
      </c>
      <c r="DD9" s="3" t="e">
        <f t="shared" si="18"/>
        <v>#REF!</v>
      </c>
      <c r="DE9" s="3" t="e">
        <f t="shared" si="19"/>
        <v>#REF!</v>
      </c>
      <c r="DF9" s="3" t="e">
        <f t="shared" si="20"/>
        <v>#REF!</v>
      </c>
      <c r="DG9" s="3" t="e">
        <f t="shared" si="21"/>
        <v>#REF!</v>
      </c>
      <c r="DH9" s="3" t="e">
        <f t="shared" si="22"/>
        <v>#REF!</v>
      </c>
      <c r="DI9" s="3" t="e">
        <f t="shared" si="23"/>
        <v>#REF!</v>
      </c>
      <c r="DJ9" s="2" t="e">
        <f t="shared" si="40"/>
        <v>#REF!</v>
      </c>
      <c r="DK9" s="2" t="e">
        <f t="shared" si="24"/>
        <v>#REF!</v>
      </c>
      <c r="DL9" s="2" t="e">
        <f t="shared" si="24"/>
        <v>#REF!</v>
      </c>
      <c r="DM9" s="2" t="e">
        <f t="shared" si="24"/>
        <v>#REF!</v>
      </c>
      <c r="DN9" s="2" t="e">
        <f t="shared" si="24"/>
        <v>#REF!</v>
      </c>
      <c r="DO9" s="2" t="e">
        <f t="shared" si="24"/>
        <v>#REF!</v>
      </c>
      <c r="DP9" s="2" t="e">
        <f t="shared" si="24"/>
        <v>#REF!</v>
      </c>
      <c r="DQ9" s="2" t="e">
        <f t="shared" si="24"/>
        <v>#REF!</v>
      </c>
      <c r="DR9" s="3" t="e">
        <f t="shared" si="41"/>
        <v>#REF!</v>
      </c>
      <c r="DS9" s="3" t="e">
        <f t="shared" si="42"/>
        <v>#REF!</v>
      </c>
      <c r="DT9" s="3" t="e">
        <f t="shared" si="43"/>
        <v>#REF!</v>
      </c>
      <c r="DU9" s="3" t="e">
        <f t="shared" si="44"/>
        <v>#REF!</v>
      </c>
      <c r="DV9" s="3" t="e">
        <f t="shared" si="45"/>
        <v>#REF!</v>
      </c>
      <c r="DW9" s="3" t="e">
        <f t="shared" si="46"/>
        <v>#REF!</v>
      </c>
      <c r="DX9" s="3" t="e">
        <f t="shared" si="47"/>
        <v>#REF!</v>
      </c>
      <c r="DY9" s="3" t="e">
        <f t="shared" si="48"/>
        <v>#REF!</v>
      </c>
      <c r="DZ9" s="2" t="e">
        <f>'Demand Stage 2'!#REF!</f>
        <v>#REF!</v>
      </c>
      <c r="EA9" s="2" t="e">
        <f>'Demand Stage 2'!#REF!</f>
        <v>#REF!</v>
      </c>
      <c r="EB9" s="2" t="e">
        <f>'Demand Stage 2'!#REF!</f>
        <v>#REF!</v>
      </c>
      <c r="EC9" s="2" t="e">
        <f>'Demand Stage 2'!#REF!</f>
        <v>#REF!</v>
      </c>
      <c r="ED9" s="2" t="e">
        <f>'Demand Stage 2'!#REF!</f>
        <v>#REF!</v>
      </c>
      <c r="EE9" s="2" t="e">
        <f>'Demand Stage 2'!#REF!</f>
        <v>#REF!</v>
      </c>
      <c r="EF9" s="2" t="e">
        <f>'Demand Stage 2'!#REF!</f>
        <v>#REF!</v>
      </c>
      <c r="EG9" s="2" t="e">
        <f>'Demand Stage 2'!#REF!</f>
        <v>#REF!</v>
      </c>
      <c r="EH9" s="3" t="e">
        <f>'Demand Stage 2'!#REF!</f>
        <v>#REF!</v>
      </c>
      <c r="EI9" s="3" t="e">
        <f>'Demand Stage 2'!#REF!</f>
        <v>#REF!</v>
      </c>
      <c r="EJ9" s="3" t="e">
        <f>'Demand Stage 2'!#REF!</f>
        <v>#REF!</v>
      </c>
      <c r="EK9" s="3" t="e">
        <f>'Demand Stage 2'!#REF!</f>
        <v>#REF!</v>
      </c>
      <c r="EL9" s="3" t="e">
        <f>'Demand Stage 2'!#REF!</f>
        <v>#REF!</v>
      </c>
      <c r="EM9" s="3" t="e">
        <f>'Demand Stage 2'!#REF!</f>
        <v>#REF!</v>
      </c>
      <c r="EN9" s="3" t="e">
        <f>'Demand Stage 2'!#REF!</f>
        <v>#REF!</v>
      </c>
      <c r="EO9" s="3" t="e">
        <f>'Demand Stage 2'!#REF!</f>
        <v>#REF!</v>
      </c>
      <c r="EP9" s="2" t="e">
        <f t="shared" si="49"/>
        <v>#REF!</v>
      </c>
      <c r="EQ9" s="2" t="e">
        <f t="shared" si="26"/>
        <v>#REF!</v>
      </c>
      <c r="ER9" s="2" t="e">
        <f t="shared" si="26"/>
        <v>#REF!</v>
      </c>
      <c r="ES9" s="2" t="e">
        <f t="shared" si="26"/>
        <v>#REF!</v>
      </c>
      <c r="ET9" s="2" t="e">
        <f t="shared" si="26"/>
        <v>#REF!</v>
      </c>
      <c r="EU9" s="2" t="e">
        <f t="shared" si="26"/>
        <v>#REF!</v>
      </c>
      <c r="EV9" s="2" t="e">
        <f t="shared" si="26"/>
        <v>#REF!</v>
      </c>
      <c r="EW9" s="2" t="e">
        <f t="shared" si="26"/>
        <v>#REF!</v>
      </c>
      <c r="EX9" s="3" t="e">
        <f t="shared" si="50"/>
        <v>#REF!</v>
      </c>
      <c r="EY9" s="3" t="e">
        <f t="shared" si="27"/>
        <v>#REF!</v>
      </c>
      <c r="EZ9" s="3" t="e">
        <f t="shared" si="27"/>
        <v>#REF!</v>
      </c>
      <c r="FA9" s="3" t="e">
        <f t="shared" si="27"/>
        <v>#REF!</v>
      </c>
      <c r="FB9" s="3" t="e">
        <f t="shared" si="27"/>
        <v>#REF!</v>
      </c>
      <c r="FC9" s="3" t="e">
        <f t="shared" si="27"/>
        <v>#REF!</v>
      </c>
      <c r="FD9" s="3" t="e">
        <f t="shared" si="27"/>
        <v>#REF!</v>
      </c>
      <c r="FE9" s="3" t="e">
        <f t="shared" si="27"/>
        <v>#REF!</v>
      </c>
      <c r="FF9" s="2" t="e">
        <f t="shared" si="51"/>
        <v>#REF!</v>
      </c>
      <c r="FG9" s="2" t="e">
        <f t="shared" si="28"/>
        <v>#REF!</v>
      </c>
      <c r="FH9" s="2" t="e">
        <f t="shared" si="28"/>
        <v>#REF!</v>
      </c>
      <c r="FI9" s="2" t="e">
        <f t="shared" si="28"/>
        <v>#REF!</v>
      </c>
      <c r="FJ9" s="2" t="e">
        <f t="shared" si="28"/>
        <v>#REF!</v>
      </c>
      <c r="FK9" s="2" t="e">
        <f t="shared" si="28"/>
        <v>#REF!</v>
      </c>
      <c r="FL9" s="2" t="e">
        <f t="shared" si="28"/>
        <v>#REF!</v>
      </c>
      <c r="FM9" s="2" t="e">
        <f t="shared" si="28"/>
        <v>#REF!</v>
      </c>
      <c r="FN9" s="3" t="e">
        <f t="shared" si="52"/>
        <v>#REF!</v>
      </c>
      <c r="FO9" s="3" t="e">
        <f t="shared" si="53"/>
        <v>#REF!</v>
      </c>
      <c r="FP9" s="3" t="e">
        <f t="shared" si="54"/>
        <v>#REF!</v>
      </c>
      <c r="FQ9" s="3" t="e">
        <f t="shared" si="55"/>
        <v>#REF!</v>
      </c>
      <c r="FR9" s="3" t="e">
        <f t="shared" si="56"/>
        <v>#REF!</v>
      </c>
      <c r="FS9" s="3" t="e">
        <f t="shared" si="57"/>
        <v>#REF!</v>
      </c>
      <c r="FT9" s="3" t="e">
        <f t="shared" si="58"/>
        <v>#REF!</v>
      </c>
      <c r="FU9" s="3" t="e">
        <f t="shared" si="59"/>
        <v>#REF!</v>
      </c>
      <c r="FV9" s="2" t="e">
        <f t="shared" si="60"/>
        <v>#REF!</v>
      </c>
      <c r="FW9" s="2" t="e">
        <f t="shared" si="30"/>
        <v>#REF!</v>
      </c>
      <c r="FX9" s="2" t="e">
        <f t="shared" si="30"/>
        <v>#REF!</v>
      </c>
      <c r="FY9" s="2" t="e">
        <f t="shared" si="30"/>
        <v>#REF!</v>
      </c>
      <c r="FZ9" s="2" t="e">
        <f t="shared" si="30"/>
        <v>#REF!</v>
      </c>
      <c r="GA9" s="2" t="e">
        <f t="shared" si="30"/>
        <v>#REF!</v>
      </c>
      <c r="GB9" s="2" t="e">
        <f t="shared" si="30"/>
        <v>#REF!</v>
      </c>
      <c r="GC9" s="2" t="e">
        <f t="shared" si="30"/>
        <v>#REF!</v>
      </c>
      <c r="GD9" s="3" t="e">
        <f t="shared" si="61"/>
        <v>#REF!</v>
      </c>
      <c r="GE9" s="3" t="e">
        <f t="shared" si="31"/>
        <v>#REF!</v>
      </c>
      <c r="GF9" s="3" t="e">
        <f t="shared" si="31"/>
        <v>#REF!</v>
      </c>
      <c r="GG9" s="3" t="e">
        <f t="shared" si="31"/>
        <v>#REF!</v>
      </c>
      <c r="GH9" s="3" t="e">
        <f t="shared" si="31"/>
        <v>#REF!</v>
      </c>
      <c r="GI9" s="3" t="e">
        <f t="shared" si="31"/>
        <v>#REF!</v>
      </c>
      <c r="GJ9" s="3" t="e">
        <f t="shared" si="31"/>
        <v>#REF!</v>
      </c>
      <c r="GK9" s="3" t="e">
        <f t="shared" si="31"/>
        <v>#REF!</v>
      </c>
      <c r="GL9" s="2" t="e">
        <f>'Demand Stage 2'!#REF!</f>
        <v>#REF!</v>
      </c>
      <c r="GM9" s="2" t="e">
        <f>'Demand Stage 2'!#REF!</f>
        <v>#REF!</v>
      </c>
      <c r="GN9" s="2" t="e">
        <f>'Demand Stage 2'!#REF!</f>
        <v>#REF!</v>
      </c>
      <c r="GO9" s="2" t="e">
        <f>'Demand Stage 2'!#REF!</f>
        <v>#REF!</v>
      </c>
      <c r="GP9" s="2" t="e">
        <f>'Demand Stage 2'!#REF!</f>
        <v>#REF!</v>
      </c>
      <c r="GQ9" s="2" t="e">
        <f>'Demand Stage 2'!#REF!</f>
        <v>#REF!</v>
      </c>
      <c r="GR9" s="2" t="e">
        <f>'Demand Stage 2'!#REF!</f>
        <v>#REF!</v>
      </c>
      <c r="GS9" s="2" t="e">
        <f>'Demand Stage 2'!#REF!</f>
        <v>#REF!</v>
      </c>
      <c r="GT9" s="3" t="e">
        <f>'Demand Stage 2'!#REF!</f>
        <v>#REF!</v>
      </c>
      <c r="GU9" s="3" t="e">
        <f>'Demand Stage 2'!#REF!</f>
        <v>#REF!</v>
      </c>
      <c r="GV9" s="3" t="e">
        <f>'Demand Stage 2'!#REF!</f>
        <v>#REF!</v>
      </c>
      <c r="GW9" s="3" t="e">
        <f>'Demand Stage 2'!#REF!</f>
        <v>#REF!</v>
      </c>
      <c r="GX9" s="3" t="e">
        <f>'Demand Stage 2'!#REF!</f>
        <v>#REF!</v>
      </c>
      <c r="GY9" s="3" t="e">
        <f>'Demand Stage 2'!#REF!</f>
        <v>#REF!</v>
      </c>
      <c r="GZ9" s="3" t="e">
        <f>'Demand Stage 2'!#REF!</f>
        <v>#REF!</v>
      </c>
      <c r="HA9" s="3" t="e">
        <f>'Demand Stage 2'!#REF!</f>
        <v>#REF!</v>
      </c>
      <c r="HB9" s="2" t="e">
        <f t="shared" si="75"/>
        <v>#REF!</v>
      </c>
      <c r="HC9" s="2" t="e">
        <f t="shared" si="32"/>
        <v>#REF!</v>
      </c>
      <c r="HD9" s="2" t="e">
        <f t="shared" si="32"/>
        <v>#REF!</v>
      </c>
      <c r="HE9" s="2" t="e">
        <f t="shared" si="32"/>
        <v>#REF!</v>
      </c>
      <c r="HF9" s="2" t="e">
        <f t="shared" si="32"/>
        <v>#REF!</v>
      </c>
      <c r="HG9" s="2" t="e">
        <f t="shared" si="32"/>
        <v>#REF!</v>
      </c>
      <c r="HH9" s="2" t="e">
        <f t="shared" si="32"/>
        <v>#REF!</v>
      </c>
      <c r="HI9" s="2" t="e">
        <f t="shared" si="32"/>
        <v>#REF!</v>
      </c>
      <c r="HJ9" s="3" t="e">
        <f t="shared" si="62"/>
        <v>#REF!</v>
      </c>
      <c r="HK9" s="3" t="e">
        <f t="shared" si="63"/>
        <v>#REF!</v>
      </c>
      <c r="HL9" s="3" t="e">
        <f t="shared" si="64"/>
        <v>#REF!</v>
      </c>
      <c r="HM9" s="3" t="e">
        <f t="shared" si="65"/>
        <v>#REF!</v>
      </c>
      <c r="HN9" s="3" t="e">
        <f t="shared" si="66"/>
        <v>#REF!</v>
      </c>
      <c r="HO9" s="3" t="e">
        <f t="shared" si="67"/>
        <v>#REF!</v>
      </c>
      <c r="HP9" s="3" t="e">
        <f t="shared" si="68"/>
        <v>#REF!</v>
      </c>
      <c r="HQ9" s="3" t="e">
        <f t="shared" si="69"/>
        <v>#REF!</v>
      </c>
      <c r="HR9" s="2" t="e">
        <f t="shared" si="70"/>
        <v>#REF!</v>
      </c>
      <c r="HS9" s="2" t="e">
        <f t="shared" si="34"/>
        <v>#REF!</v>
      </c>
      <c r="HT9" s="2" t="e">
        <f t="shared" si="34"/>
        <v>#REF!</v>
      </c>
      <c r="HU9" s="2" t="e">
        <f t="shared" si="34"/>
        <v>#REF!</v>
      </c>
      <c r="HV9" s="2" t="e">
        <f t="shared" si="34"/>
        <v>#REF!</v>
      </c>
      <c r="HW9" s="2" t="e">
        <f t="shared" si="34"/>
        <v>#REF!</v>
      </c>
      <c r="HX9" s="2" t="e">
        <f t="shared" si="34"/>
        <v>#REF!</v>
      </c>
      <c r="HY9" s="2" t="e">
        <f t="shared" si="34"/>
        <v>#REF!</v>
      </c>
      <c r="HZ9" s="3" t="e">
        <f t="shared" si="71"/>
        <v>#REF!</v>
      </c>
      <c r="IA9" s="3" t="e">
        <f t="shared" si="35"/>
        <v>#REF!</v>
      </c>
      <c r="IB9" s="3" t="e">
        <f t="shared" si="35"/>
        <v>#REF!</v>
      </c>
      <c r="IC9" s="3" t="e">
        <f t="shared" si="35"/>
        <v>#REF!</v>
      </c>
      <c r="ID9" s="3" t="e">
        <f t="shared" si="35"/>
        <v>#REF!</v>
      </c>
      <c r="IE9" s="3" t="e">
        <f t="shared" si="35"/>
        <v>#REF!</v>
      </c>
      <c r="IF9" s="3" t="e">
        <f t="shared" si="35"/>
        <v>#REF!</v>
      </c>
      <c r="IG9" s="3" t="e">
        <f t="shared" si="35"/>
        <v>#REF!</v>
      </c>
      <c r="IH9" s="2" t="e">
        <f t="shared" si="72"/>
        <v>#REF!</v>
      </c>
      <c r="II9" s="2" t="e">
        <f t="shared" si="36"/>
        <v>#REF!</v>
      </c>
      <c r="IJ9" s="2" t="e">
        <f t="shared" si="36"/>
        <v>#REF!</v>
      </c>
      <c r="IK9" s="2" t="e">
        <f t="shared" si="36"/>
        <v>#REF!</v>
      </c>
      <c r="IL9" s="2" t="e">
        <f t="shared" si="36"/>
        <v>#REF!</v>
      </c>
      <c r="IM9" s="2" t="e">
        <f t="shared" si="36"/>
        <v>#REF!</v>
      </c>
      <c r="IN9" s="2" t="e">
        <f t="shared" si="36"/>
        <v>#REF!</v>
      </c>
      <c r="IO9" s="2" t="e">
        <f t="shared" si="36"/>
        <v>#REF!</v>
      </c>
      <c r="IP9" s="3" t="e">
        <f t="shared" si="73"/>
        <v>#REF!</v>
      </c>
      <c r="IQ9" s="3" t="e">
        <f t="shared" si="37"/>
        <v>#REF!</v>
      </c>
      <c r="IR9" s="3" t="e">
        <f t="shared" si="37"/>
        <v>#REF!</v>
      </c>
      <c r="IS9" s="3" t="e">
        <f t="shared" si="37"/>
        <v>#REF!</v>
      </c>
      <c r="IT9" s="3" t="e">
        <f t="shared" si="37"/>
        <v>#REF!</v>
      </c>
      <c r="IU9" s="3" t="e">
        <f t="shared" si="37"/>
        <v>#REF!</v>
      </c>
      <c r="IV9" s="3" t="e">
        <f t="shared" si="37"/>
        <v>#REF!</v>
      </c>
      <c r="IW9" s="3" t="e">
        <f t="shared" si="37"/>
        <v>#REF!</v>
      </c>
    </row>
    <row r="10" spans="1:257" x14ac:dyDescent="0.2">
      <c r="A10" s="1">
        <v>4</v>
      </c>
      <c r="B10" s="2">
        <f>'Demand Stage 2'!B9</f>
        <v>12.5</v>
      </c>
      <c r="C10" s="2">
        <f>'Demand Stage 2'!C9</f>
        <v>12.5</v>
      </c>
      <c r="D10" s="2">
        <f>'Demand Stage 2'!D9</f>
        <v>12.5</v>
      </c>
      <c r="E10" s="2">
        <f>'Demand Stage 2'!F9</f>
        <v>33.125</v>
      </c>
      <c r="F10" s="2">
        <f>'Demand Stage 2'!H9</f>
        <v>33.125</v>
      </c>
      <c r="G10" s="2">
        <f>'Demand Stage 2'!J9</f>
        <v>35</v>
      </c>
      <c r="H10" s="2">
        <f>'Demand Stage 2'!K9</f>
        <v>56.25</v>
      </c>
      <c r="I10" s="2">
        <f>'Demand Stage 2'!L9</f>
        <v>25</v>
      </c>
      <c r="J10" s="3"/>
      <c r="K10" s="3"/>
      <c r="L10" s="3"/>
      <c r="M10" s="3"/>
      <c r="N10" s="3"/>
      <c r="O10" s="3"/>
      <c r="P10" s="3"/>
      <c r="Q10" s="3"/>
      <c r="R10" s="2">
        <f>'Demand Stage 2'!B9</f>
        <v>12.5</v>
      </c>
      <c r="S10" s="2">
        <f>'Demand Stage 2'!C9</f>
        <v>12.5</v>
      </c>
      <c r="T10" s="2">
        <f>'Demand Stage 2'!D9</f>
        <v>12.5</v>
      </c>
      <c r="U10" s="2">
        <f>'Demand Stage 2'!F9</f>
        <v>33.125</v>
      </c>
      <c r="V10" s="2">
        <f>'Demand Stage 2'!H9</f>
        <v>33.125</v>
      </c>
      <c r="W10" s="2">
        <f>'Demand Stage 2'!J9</f>
        <v>35</v>
      </c>
      <c r="X10" s="2">
        <f>'Demand Stage 2'!K9</f>
        <v>56.25</v>
      </c>
      <c r="Y10" s="2">
        <f>'Demand Stage 2'!L9</f>
        <v>25</v>
      </c>
      <c r="Z10" s="3"/>
      <c r="AA10" s="3"/>
      <c r="AB10" s="3"/>
      <c r="AC10" s="3"/>
      <c r="AD10" s="3"/>
      <c r="AE10" s="3"/>
      <c r="AF10" s="3"/>
      <c r="AG10" s="3"/>
      <c r="AH10" s="2">
        <f>'Demand Stage 2'!B9</f>
        <v>12.5</v>
      </c>
      <c r="AI10" s="2">
        <f>'Demand Stage 2'!C9</f>
        <v>12.5</v>
      </c>
      <c r="AJ10" s="2">
        <f>'Demand Stage 2'!D9</f>
        <v>12.5</v>
      </c>
      <c r="AK10" s="2">
        <f>'Demand Stage 2'!F9</f>
        <v>33.125</v>
      </c>
      <c r="AL10" s="2">
        <f>'Demand Stage 2'!H9</f>
        <v>33.125</v>
      </c>
      <c r="AM10" s="2">
        <f>'Demand Stage 2'!J9</f>
        <v>35</v>
      </c>
      <c r="AN10" s="2">
        <f>'Demand Stage 2'!K9</f>
        <v>56.25</v>
      </c>
      <c r="AO10" s="2">
        <f>'Demand Stage 2'!L9</f>
        <v>25</v>
      </c>
      <c r="AP10" s="3"/>
      <c r="AQ10" s="3"/>
      <c r="AR10" s="3"/>
      <c r="AS10" s="3"/>
      <c r="AT10" s="3"/>
      <c r="AU10" s="3"/>
      <c r="AV10" s="3"/>
      <c r="AW10" s="3"/>
      <c r="AX10" s="2">
        <f>'Demand Stage 2'!B9</f>
        <v>12.5</v>
      </c>
      <c r="AY10" s="2">
        <f>'Demand Stage 2'!C9</f>
        <v>12.5</v>
      </c>
      <c r="AZ10" s="2">
        <f>'Demand Stage 2'!D9</f>
        <v>12.5</v>
      </c>
      <c r="BA10" s="2">
        <f>'Demand Stage 2'!F9</f>
        <v>33.125</v>
      </c>
      <c r="BB10" s="2">
        <f>'Demand Stage 2'!H9</f>
        <v>33.125</v>
      </c>
      <c r="BC10" s="2">
        <f>'Demand Stage 2'!J9</f>
        <v>35</v>
      </c>
      <c r="BD10" s="2">
        <f>'Demand Stage 2'!K9</f>
        <v>56.25</v>
      </c>
      <c r="BE10" s="2">
        <f>'Demand Stage 2'!L9</f>
        <v>25</v>
      </c>
      <c r="BF10" s="3"/>
      <c r="BG10" s="3"/>
      <c r="BH10" s="3"/>
      <c r="BI10" s="3"/>
      <c r="BJ10" s="3"/>
      <c r="BK10" s="3"/>
      <c r="BL10" s="3"/>
      <c r="BM10" s="3"/>
      <c r="BN10" s="2" t="e">
        <f>'Demand Stage 2'!#REF!</f>
        <v>#REF!</v>
      </c>
      <c r="BO10" s="2" t="e">
        <f>'Demand Stage 2'!#REF!</f>
        <v>#REF!</v>
      </c>
      <c r="BP10" s="2" t="e">
        <f>'Demand Stage 2'!#REF!</f>
        <v>#REF!</v>
      </c>
      <c r="BQ10" s="2" t="e">
        <f>'Demand Stage 2'!#REF!</f>
        <v>#REF!</v>
      </c>
      <c r="BR10" s="2" t="e">
        <f>'Demand Stage 2'!#REF!</f>
        <v>#REF!</v>
      </c>
      <c r="BS10" s="2" t="e">
        <f>'Demand Stage 2'!#REF!</f>
        <v>#REF!</v>
      </c>
      <c r="BT10" s="2" t="e">
        <f>'Demand Stage 2'!#REF!</f>
        <v>#REF!</v>
      </c>
      <c r="BU10" s="2" t="e">
        <f>'Demand Stage 2'!#REF!</f>
        <v>#REF!</v>
      </c>
      <c r="BV10" s="3"/>
      <c r="BW10" s="3"/>
      <c r="BX10" s="3"/>
      <c r="BY10" s="3"/>
      <c r="BZ10" s="3"/>
      <c r="CA10" s="3"/>
      <c r="CB10" s="3"/>
      <c r="CC10" s="3"/>
      <c r="CD10" s="2" t="e">
        <f t="shared" si="38"/>
        <v>#REF!</v>
      </c>
      <c r="CE10" s="2" t="e">
        <f t="shared" si="14"/>
        <v>#REF!</v>
      </c>
      <c r="CF10" s="2" t="e">
        <f t="shared" si="14"/>
        <v>#REF!</v>
      </c>
      <c r="CG10" s="2" t="e">
        <f t="shared" si="14"/>
        <v>#REF!</v>
      </c>
      <c r="CH10" s="2" t="e">
        <f t="shared" si="14"/>
        <v>#REF!</v>
      </c>
      <c r="CI10" s="2" t="e">
        <f t="shared" si="14"/>
        <v>#REF!</v>
      </c>
      <c r="CJ10" s="2" t="e">
        <f t="shared" si="14"/>
        <v>#REF!</v>
      </c>
      <c r="CK10" s="2" t="e">
        <f t="shared" si="14"/>
        <v>#REF!</v>
      </c>
      <c r="CL10" s="3"/>
      <c r="CM10" s="3"/>
      <c r="CN10" s="3"/>
      <c r="CO10" s="3"/>
      <c r="CP10" s="3"/>
      <c r="CQ10" s="3"/>
      <c r="CR10" s="3"/>
      <c r="CS10" s="3"/>
      <c r="CT10" s="2" t="e">
        <f t="shared" si="74"/>
        <v>#REF!</v>
      </c>
      <c r="CU10" s="2" t="e">
        <f t="shared" si="16"/>
        <v>#REF!</v>
      </c>
      <c r="CV10" s="2" t="e">
        <f t="shared" si="16"/>
        <v>#REF!</v>
      </c>
      <c r="CW10" s="2" t="e">
        <f t="shared" si="16"/>
        <v>#REF!</v>
      </c>
      <c r="CX10" s="2" t="e">
        <f t="shared" si="16"/>
        <v>#REF!</v>
      </c>
      <c r="CY10" s="2" t="e">
        <f t="shared" si="16"/>
        <v>#REF!</v>
      </c>
      <c r="CZ10" s="2" t="e">
        <f t="shared" si="16"/>
        <v>#REF!</v>
      </c>
      <c r="DA10" s="2" t="e">
        <f t="shared" si="16"/>
        <v>#REF!</v>
      </c>
      <c r="DB10" s="3"/>
      <c r="DC10" s="3"/>
      <c r="DD10" s="3"/>
      <c r="DE10" s="3"/>
      <c r="DF10" s="3"/>
      <c r="DG10" s="3"/>
      <c r="DH10" s="3"/>
      <c r="DI10" s="3"/>
      <c r="DJ10" s="2" t="e">
        <f t="shared" si="40"/>
        <v>#REF!</v>
      </c>
      <c r="DK10" s="2" t="e">
        <f t="shared" si="24"/>
        <v>#REF!</v>
      </c>
      <c r="DL10" s="2" t="e">
        <f t="shared" si="24"/>
        <v>#REF!</v>
      </c>
      <c r="DM10" s="2" t="e">
        <f t="shared" si="24"/>
        <v>#REF!</v>
      </c>
      <c r="DN10" s="2" t="e">
        <f t="shared" si="24"/>
        <v>#REF!</v>
      </c>
      <c r="DO10" s="2" t="e">
        <f t="shared" si="24"/>
        <v>#REF!</v>
      </c>
      <c r="DP10" s="2" t="e">
        <f t="shared" si="24"/>
        <v>#REF!</v>
      </c>
      <c r="DQ10" s="2" t="e">
        <f t="shared" si="24"/>
        <v>#REF!</v>
      </c>
      <c r="DR10" s="3"/>
      <c r="DS10" s="3"/>
      <c r="DT10" s="3"/>
      <c r="DU10" s="3"/>
      <c r="DV10" s="3"/>
      <c r="DW10" s="3"/>
      <c r="DX10" s="3"/>
      <c r="DY10" s="3"/>
      <c r="DZ10" s="2" t="e">
        <f>'Demand Stage 2'!#REF!</f>
        <v>#REF!</v>
      </c>
      <c r="EA10" s="2" t="e">
        <f>'Demand Stage 2'!#REF!</f>
        <v>#REF!</v>
      </c>
      <c r="EB10" s="2" t="e">
        <f>'Demand Stage 2'!#REF!</f>
        <v>#REF!</v>
      </c>
      <c r="EC10" s="2" t="e">
        <f>'Demand Stage 2'!#REF!</f>
        <v>#REF!</v>
      </c>
      <c r="ED10" s="2" t="e">
        <f>'Demand Stage 2'!#REF!</f>
        <v>#REF!</v>
      </c>
      <c r="EE10" s="2" t="e">
        <f>'Demand Stage 2'!#REF!</f>
        <v>#REF!</v>
      </c>
      <c r="EF10" s="2" t="e">
        <f>'Demand Stage 2'!#REF!</f>
        <v>#REF!</v>
      </c>
      <c r="EG10" s="2" t="e">
        <f>'Demand Stage 2'!#REF!</f>
        <v>#REF!</v>
      </c>
      <c r="EH10" s="3"/>
      <c r="EI10" s="3"/>
      <c r="EJ10" s="3"/>
      <c r="EK10" s="3"/>
      <c r="EL10" s="3"/>
      <c r="EM10" s="3"/>
      <c r="EN10" s="3"/>
      <c r="EO10" s="3"/>
      <c r="EP10" s="2" t="e">
        <f t="shared" si="49"/>
        <v>#REF!</v>
      </c>
      <c r="EQ10" s="2" t="e">
        <f t="shared" si="26"/>
        <v>#REF!</v>
      </c>
      <c r="ER10" s="2" t="e">
        <f t="shared" si="26"/>
        <v>#REF!</v>
      </c>
      <c r="ES10" s="2" t="e">
        <f t="shared" si="26"/>
        <v>#REF!</v>
      </c>
      <c r="ET10" s="2" t="e">
        <f t="shared" si="26"/>
        <v>#REF!</v>
      </c>
      <c r="EU10" s="2" t="e">
        <f t="shared" si="26"/>
        <v>#REF!</v>
      </c>
      <c r="EV10" s="2" t="e">
        <f t="shared" si="26"/>
        <v>#REF!</v>
      </c>
      <c r="EW10" s="2" t="e">
        <f t="shared" si="26"/>
        <v>#REF!</v>
      </c>
      <c r="EX10" s="3"/>
      <c r="EY10" s="3"/>
      <c r="EZ10" s="3"/>
      <c r="FA10" s="3"/>
      <c r="FB10" s="3"/>
      <c r="FC10" s="3"/>
      <c r="FD10" s="3"/>
      <c r="FE10" s="3"/>
      <c r="FF10" s="2" t="e">
        <f t="shared" si="51"/>
        <v>#REF!</v>
      </c>
      <c r="FG10" s="2" t="e">
        <f t="shared" si="28"/>
        <v>#REF!</v>
      </c>
      <c r="FH10" s="2" t="e">
        <f t="shared" si="28"/>
        <v>#REF!</v>
      </c>
      <c r="FI10" s="2" t="e">
        <f t="shared" si="28"/>
        <v>#REF!</v>
      </c>
      <c r="FJ10" s="2" t="e">
        <f t="shared" si="28"/>
        <v>#REF!</v>
      </c>
      <c r="FK10" s="2" t="e">
        <f t="shared" si="28"/>
        <v>#REF!</v>
      </c>
      <c r="FL10" s="2" t="e">
        <f t="shared" si="28"/>
        <v>#REF!</v>
      </c>
      <c r="FM10" s="2" t="e">
        <f t="shared" si="28"/>
        <v>#REF!</v>
      </c>
      <c r="FN10" s="3"/>
      <c r="FO10" s="3"/>
      <c r="FP10" s="3"/>
      <c r="FQ10" s="3"/>
      <c r="FR10" s="3"/>
      <c r="FS10" s="3"/>
      <c r="FT10" s="3"/>
      <c r="FU10" s="3"/>
      <c r="FV10" s="2" t="e">
        <f t="shared" si="60"/>
        <v>#REF!</v>
      </c>
      <c r="FW10" s="2" t="e">
        <f t="shared" si="30"/>
        <v>#REF!</v>
      </c>
      <c r="FX10" s="2" t="e">
        <f t="shared" si="30"/>
        <v>#REF!</v>
      </c>
      <c r="FY10" s="2" t="e">
        <f t="shared" si="30"/>
        <v>#REF!</v>
      </c>
      <c r="FZ10" s="2" t="e">
        <f t="shared" si="30"/>
        <v>#REF!</v>
      </c>
      <c r="GA10" s="2" t="e">
        <f t="shared" si="30"/>
        <v>#REF!</v>
      </c>
      <c r="GB10" s="2" t="e">
        <f t="shared" si="30"/>
        <v>#REF!</v>
      </c>
      <c r="GC10" s="2" t="e">
        <f t="shared" si="30"/>
        <v>#REF!</v>
      </c>
      <c r="GD10" s="3"/>
      <c r="GE10" s="3"/>
      <c r="GF10" s="3"/>
      <c r="GG10" s="3"/>
      <c r="GH10" s="3"/>
      <c r="GI10" s="3"/>
      <c r="GJ10" s="3"/>
      <c r="GK10" s="3"/>
      <c r="GL10" s="2" t="e">
        <f>'Demand Stage 2'!#REF!</f>
        <v>#REF!</v>
      </c>
      <c r="GM10" s="2" t="e">
        <f>'Demand Stage 2'!#REF!</f>
        <v>#REF!</v>
      </c>
      <c r="GN10" s="2" t="e">
        <f>'Demand Stage 2'!#REF!</f>
        <v>#REF!</v>
      </c>
      <c r="GO10" s="2" t="e">
        <f>'Demand Stage 2'!#REF!</f>
        <v>#REF!</v>
      </c>
      <c r="GP10" s="2" t="e">
        <f>'Demand Stage 2'!#REF!</f>
        <v>#REF!</v>
      </c>
      <c r="GQ10" s="2" t="e">
        <f>'Demand Stage 2'!#REF!</f>
        <v>#REF!</v>
      </c>
      <c r="GR10" s="2" t="e">
        <f>'Demand Stage 2'!#REF!</f>
        <v>#REF!</v>
      </c>
      <c r="GS10" s="2" t="e">
        <f>'Demand Stage 2'!#REF!</f>
        <v>#REF!</v>
      </c>
      <c r="GT10" s="3"/>
      <c r="GU10" s="3"/>
      <c r="GV10" s="3"/>
      <c r="GW10" s="3"/>
      <c r="GX10" s="3"/>
      <c r="GY10" s="3"/>
      <c r="GZ10" s="3"/>
      <c r="HA10" s="3"/>
      <c r="HB10" s="2" t="e">
        <f t="shared" si="75"/>
        <v>#REF!</v>
      </c>
      <c r="HC10" s="2" t="e">
        <f t="shared" si="32"/>
        <v>#REF!</v>
      </c>
      <c r="HD10" s="2" t="e">
        <f t="shared" si="32"/>
        <v>#REF!</v>
      </c>
      <c r="HE10" s="2" t="e">
        <f t="shared" si="32"/>
        <v>#REF!</v>
      </c>
      <c r="HF10" s="2" t="e">
        <f t="shared" si="32"/>
        <v>#REF!</v>
      </c>
      <c r="HG10" s="2" t="e">
        <f t="shared" si="32"/>
        <v>#REF!</v>
      </c>
      <c r="HH10" s="2" t="e">
        <f t="shared" si="32"/>
        <v>#REF!</v>
      </c>
      <c r="HI10" s="2" t="e">
        <f t="shared" si="32"/>
        <v>#REF!</v>
      </c>
      <c r="HJ10" s="3"/>
      <c r="HK10" s="3"/>
      <c r="HL10" s="3"/>
      <c r="HM10" s="3"/>
      <c r="HN10" s="3"/>
      <c r="HO10" s="3"/>
      <c r="HP10" s="3"/>
      <c r="HQ10" s="3"/>
      <c r="HR10" s="2" t="e">
        <f t="shared" si="70"/>
        <v>#REF!</v>
      </c>
      <c r="HS10" s="2" t="e">
        <f t="shared" si="34"/>
        <v>#REF!</v>
      </c>
      <c r="HT10" s="2" t="e">
        <f t="shared" si="34"/>
        <v>#REF!</v>
      </c>
      <c r="HU10" s="2" t="e">
        <f t="shared" si="34"/>
        <v>#REF!</v>
      </c>
      <c r="HV10" s="2" t="e">
        <f t="shared" si="34"/>
        <v>#REF!</v>
      </c>
      <c r="HW10" s="2" t="e">
        <f t="shared" si="34"/>
        <v>#REF!</v>
      </c>
      <c r="HX10" s="2" t="e">
        <f t="shared" si="34"/>
        <v>#REF!</v>
      </c>
      <c r="HY10" s="2" t="e">
        <f t="shared" si="34"/>
        <v>#REF!</v>
      </c>
      <c r="HZ10" s="3"/>
      <c r="IA10" s="3"/>
      <c r="IB10" s="3"/>
      <c r="IC10" s="3"/>
      <c r="ID10" s="3"/>
      <c r="IE10" s="3"/>
      <c r="IF10" s="3"/>
      <c r="IG10" s="3"/>
      <c r="IH10" s="2" t="e">
        <f t="shared" si="72"/>
        <v>#REF!</v>
      </c>
      <c r="II10" s="2" t="e">
        <f t="shared" si="36"/>
        <v>#REF!</v>
      </c>
      <c r="IJ10" s="2" t="e">
        <f t="shared" si="36"/>
        <v>#REF!</v>
      </c>
      <c r="IK10" s="2" t="e">
        <f t="shared" si="36"/>
        <v>#REF!</v>
      </c>
      <c r="IL10" s="2" t="e">
        <f t="shared" si="36"/>
        <v>#REF!</v>
      </c>
      <c r="IM10" s="2" t="e">
        <f t="shared" si="36"/>
        <v>#REF!</v>
      </c>
      <c r="IN10" s="2" t="e">
        <f t="shared" si="36"/>
        <v>#REF!</v>
      </c>
      <c r="IO10" s="2" t="e">
        <f t="shared" si="36"/>
        <v>#REF!</v>
      </c>
      <c r="IP10" s="3"/>
      <c r="IQ10" s="3"/>
      <c r="IR10" s="3"/>
      <c r="IS10" s="3"/>
      <c r="IT10" s="3"/>
      <c r="IU10" s="3"/>
      <c r="IV10" s="3"/>
      <c r="IW10" s="3"/>
    </row>
    <row r="11" spans="1:257" x14ac:dyDescent="0.2">
      <c r="A11" s="1">
        <v>5</v>
      </c>
      <c r="B11" s="2">
        <f>'Demand Stage 2'!B10</f>
        <v>12.5</v>
      </c>
      <c r="C11" s="2">
        <f>'Demand Stage 2'!C10</f>
        <v>12.5</v>
      </c>
      <c r="D11" s="2">
        <f>'Demand Stage 2'!D10</f>
        <v>12.5</v>
      </c>
      <c r="E11" s="2">
        <f>'Demand Stage 2'!F10</f>
        <v>25</v>
      </c>
      <c r="F11" s="2">
        <f>'Demand Stage 2'!H10</f>
        <v>25</v>
      </c>
      <c r="G11" s="2">
        <f>'Demand Stage 2'!J10</f>
        <v>25</v>
      </c>
      <c r="H11" s="2">
        <f>'Demand Stage 2'!K10</f>
        <v>43.75</v>
      </c>
      <c r="I11" s="2">
        <f>'Demand Stage 2'!L10</f>
        <v>25</v>
      </c>
      <c r="J11" s="3"/>
      <c r="K11" s="3"/>
      <c r="L11" s="3"/>
      <c r="M11" s="3"/>
      <c r="N11" s="3"/>
      <c r="O11" s="3"/>
      <c r="P11" s="3"/>
      <c r="Q11" s="3"/>
      <c r="R11" s="2">
        <f>'Demand Stage 2'!B10</f>
        <v>12.5</v>
      </c>
      <c r="S11" s="2">
        <f>'Demand Stage 2'!C10</f>
        <v>12.5</v>
      </c>
      <c r="T11" s="2">
        <f>'Demand Stage 2'!D10</f>
        <v>12.5</v>
      </c>
      <c r="U11" s="2">
        <f>'Demand Stage 2'!F10</f>
        <v>25</v>
      </c>
      <c r="V11" s="2">
        <f>'Demand Stage 2'!H10</f>
        <v>25</v>
      </c>
      <c r="W11" s="2">
        <f>'Demand Stage 2'!J10</f>
        <v>25</v>
      </c>
      <c r="X11" s="2">
        <f>'Demand Stage 2'!K10</f>
        <v>43.75</v>
      </c>
      <c r="Y11" s="2">
        <f>'Demand Stage 2'!L10</f>
        <v>25</v>
      </c>
      <c r="Z11" s="3"/>
      <c r="AA11" s="3"/>
      <c r="AB11" s="3"/>
      <c r="AC11" s="3"/>
      <c r="AD11" s="3"/>
      <c r="AE11" s="3"/>
      <c r="AF11" s="3"/>
      <c r="AG11" s="3"/>
      <c r="AH11" s="2">
        <f>'Demand Stage 2'!B10</f>
        <v>12.5</v>
      </c>
      <c r="AI11" s="2">
        <f>'Demand Stage 2'!C10</f>
        <v>12.5</v>
      </c>
      <c r="AJ11" s="2">
        <f>'Demand Stage 2'!D10</f>
        <v>12.5</v>
      </c>
      <c r="AK11" s="2">
        <f>'Demand Stage 2'!F10</f>
        <v>25</v>
      </c>
      <c r="AL11" s="2">
        <f>'Demand Stage 2'!H10</f>
        <v>25</v>
      </c>
      <c r="AM11" s="2">
        <f>'Demand Stage 2'!J10</f>
        <v>25</v>
      </c>
      <c r="AN11" s="2">
        <f>'Demand Stage 2'!K10</f>
        <v>43.75</v>
      </c>
      <c r="AO11" s="2">
        <f>'Demand Stage 2'!L10</f>
        <v>25</v>
      </c>
      <c r="AP11" s="3"/>
      <c r="AQ11" s="3"/>
      <c r="AR11" s="3"/>
      <c r="AS11" s="3"/>
      <c r="AT11" s="3"/>
      <c r="AU11" s="3"/>
      <c r="AV11" s="3"/>
      <c r="AW11" s="3"/>
      <c r="AX11" s="2">
        <f>'Demand Stage 2'!B10</f>
        <v>12.5</v>
      </c>
      <c r="AY11" s="2">
        <f>'Demand Stage 2'!C10</f>
        <v>12.5</v>
      </c>
      <c r="AZ11" s="2">
        <f>'Demand Stage 2'!D10</f>
        <v>12.5</v>
      </c>
      <c r="BA11" s="2">
        <f>'Demand Stage 2'!F10</f>
        <v>25</v>
      </c>
      <c r="BB11" s="2">
        <f>'Demand Stage 2'!H10</f>
        <v>25</v>
      </c>
      <c r="BC11" s="2">
        <f>'Demand Stage 2'!J10</f>
        <v>25</v>
      </c>
      <c r="BD11" s="2">
        <f>'Demand Stage 2'!K10</f>
        <v>43.75</v>
      </c>
      <c r="BE11" s="2">
        <f>'Demand Stage 2'!L10</f>
        <v>25</v>
      </c>
      <c r="BF11" s="3"/>
      <c r="BG11" s="3"/>
      <c r="BH11" s="3"/>
      <c r="BI11" s="3"/>
      <c r="BJ11" s="3"/>
      <c r="BK11" s="3"/>
      <c r="BL11" s="3"/>
      <c r="BM11" s="3"/>
      <c r="BN11" s="2" t="e">
        <f>'Demand Stage 2'!#REF!</f>
        <v>#REF!</v>
      </c>
      <c r="BO11" s="2" t="e">
        <f>'Demand Stage 2'!#REF!</f>
        <v>#REF!</v>
      </c>
      <c r="BP11" s="2" t="e">
        <f>'Demand Stage 2'!#REF!</f>
        <v>#REF!</v>
      </c>
      <c r="BQ11" s="2" t="e">
        <f>'Demand Stage 2'!#REF!</f>
        <v>#REF!</v>
      </c>
      <c r="BR11" s="2" t="e">
        <f>'Demand Stage 2'!#REF!</f>
        <v>#REF!</v>
      </c>
      <c r="BS11" s="2" t="e">
        <f>'Demand Stage 2'!#REF!</f>
        <v>#REF!</v>
      </c>
      <c r="BT11" s="2" t="e">
        <f>'Demand Stage 2'!#REF!</f>
        <v>#REF!</v>
      </c>
      <c r="BU11" s="2" t="e">
        <f>'Demand Stage 2'!#REF!</f>
        <v>#REF!</v>
      </c>
      <c r="BV11" s="3"/>
      <c r="BW11" s="3"/>
      <c r="BX11" s="3"/>
      <c r="BY11" s="3"/>
      <c r="BZ11" s="3"/>
      <c r="CA11" s="3"/>
      <c r="CB11" s="3"/>
      <c r="CC11" s="3"/>
      <c r="CD11" s="2" t="e">
        <f t="shared" si="38"/>
        <v>#REF!</v>
      </c>
      <c r="CE11" s="2" t="e">
        <f t="shared" si="14"/>
        <v>#REF!</v>
      </c>
      <c r="CF11" s="2" t="e">
        <f t="shared" si="14"/>
        <v>#REF!</v>
      </c>
      <c r="CG11" s="2" t="e">
        <f t="shared" si="14"/>
        <v>#REF!</v>
      </c>
      <c r="CH11" s="2" t="e">
        <f t="shared" si="14"/>
        <v>#REF!</v>
      </c>
      <c r="CI11" s="2" t="e">
        <f t="shared" si="14"/>
        <v>#REF!</v>
      </c>
      <c r="CJ11" s="2" t="e">
        <f t="shared" si="14"/>
        <v>#REF!</v>
      </c>
      <c r="CK11" s="2" t="e">
        <f t="shared" si="14"/>
        <v>#REF!</v>
      </c>
      <c r="CL11" s="3"/>
      <c r="CM11" s="3"/>
      <c r="CN11" s="3"/>
      <c r="CO11" s="3"/>
      <c r="CP11" s="3"/>
      <c r="CQ11" s="3"/>
      <c r="CR11" s="3"/>
      <c r="CS11" s="3"/>
      <c r="CT11" s="2" t="e">
        <f t="shared" si="74"/>
        <v>#REF!</v>
      </c>
      <c r="CU11" s="2" t="e">
        <f t="shared" si="16"/>
        <v>#REF!</v>
      </c>
      <c r="CV11" s="2" t="e">
        <f t="shared" si="16"/>
        <v>#REF!</v>
      </c>
      <c r="CW11" s="2" t="e">
        <f t="shared" si="16"/>
        <v>#REF!</v>
      </c>
      <c r="CX11" s="2" t="e">
        <f t="shared" si="16"/>
        <v>#REF!</v>
      </c>
      <c r="CY11" s="2" t="e">
        <f t="shared" si="16"/>
        <v>#REF!</v>
      </c>
      <c r="CZ11" s="2" t="e">
        <f t="shared" si="16"/>
        <v>#REF!</v>
      </c>
      <c r="DA11" s="2" t="e">
        <f t="shared" si="16"/>
        <v>#REF!</v>
      </c>
      <c r="DB11" s="3"/>
      <c r="DC11" s="3"/>
      <c r="DD11" s="3"/>
      <c r="DE11" s="3"/>
      <c r="DF11" s="3"/>
      <c r="DG11" s="3"/>
      <c r="DH11" s="3"/>
      <c r="DI11" s="3"/>
      <c r="DJ11" s="2" t="e">
        <f t="shared" si="40"/>
        <v>#REF!</v>
      </c>
      <c r="DK11" s="2" t="e">
        <f t="shared" si="24"/>
        <v>#REF!</v>
      </c>
      <c r="DL11" s="2" t="e">
        <f t="shared" si="24"/>
        <v>#REF!</v>
      </c>
      <c r="DM11" s="2" t="e">
        <f t="shared" si="24"/>
        <v>#REF!</v>
      </c>
      <c r="DN11" s="2" t="e">
        <f t="shared" si="24"/>
        <v>#REF!</v>
      </c>
      <c r="DO11" s="2" t="e">
        <f t="shared" si="24"/>
        <v>#REF!</v>
      </c>
      <c r="DP11" s="2" t="e">
        <f t="shared" si="24"/>
        <v>#REF!</v>
      </c>
      <c r="DQ11" s="2" t="e">
        <f t="shared" si="24"/>
        <v>#REF!</v>
      </c>
      <c r="DR11" s="3"/>
      <c r="DS11" s="3"/>
      <c r="DT11" s="3"/>
      <c r="DU11" s="3"/>
      <c r="DV11" s="3"/>
      <c r="DW11" s="3"/>
      <c r="DX11" s="3"/>
      <c r="DY11" s="3"/>
      <c r="DZ11" s="2" t="e">
        <f>'Demand Stage 2'!#REF!</f>
        <v>#REF!</v>
      </c>
      <c r="EA11" s="2" t="e">
        <f>'Demand Stage 2'!#REF!</f>
        <v>#REF!</v>
      </c>
      <c r="EB11" s="2" t="e">
        <f>'Demand Stage 2'!#REF!</f>
        <v>#REF!</v>
      </c>
      <c r="EC11" s="2" t="e">
        <f>'Demand Stage 2'!#REF!</f>
        <v>#REF!</v>
      </c>
      <c r="ED11" s="2" t="e">
        <f>'Demand Stage 2'!#REF!</f>
        <v>#REF!</v>
      </c>
      <c r="EE11" s="2" t="e">
        <f>'Demand Stage 2'!#REF!</f>
        <v>#REF!</v>
      </c>
      <c r="EF11" s="2" t="e">
        <f>'Demand Stage 2'!#REF!</f>
        <v>#REF!</v>
      </c>
      <c r="EG11" s="2" t="e">
        <f>'Demand Stage 2'!#REF!</f>
        <v>#REF!</v>
      </c>
      <c r="EH11" s="3"/>
      <c r="EI11" s="3"/>
      <c r="EJ11" s="3"/>
      <c r="EK11" s="3"/>
      <c r="EL11" s="3"/>
      <c r="EM11" s="3"/>
      <c r="EN11" s="3"/>
      <c r="EO11" s="3"/>
      <c r="EP11" s="2" t="e">
        <f t="shared" si="49"/>
        <v>#REF!</v>
      </c>
      <c r="EQ11" s="2" t="e">
        <f t="shared" si="26"/>
        <v>#REF!</v>
      </c>
      <c r="ER11" s="2" t="e">
        <f t="shared" si="26"/>
        <v>#REF!</v>
      </c>
      <c r="ES11" s="2" t="e">
        <f t="shared" si="26"/>
        <v>#REF!</v>
      </c>
      <c r="ET11" s="2" t="e">
        <f t="shared" si="26"/>
        <v>#REF!</v>
      </c>
      <c r="EU11" s="2" t="e">
        <f t="shared" si="26"/>
        <v>#REF!</v>
      </c>
      <c r="EV11" s="2" t="e">
        <f t="shared" si="26"/>
        <v>#REF!</v>
      </c>
      <c r="EW11" s="2" t="e">
        <f t="shared" si="26"/>
        <v>#REF!</v>
      </c>
      <c r="EX11" s="3"/>
      <c r="EY11" s="3"/>
      <c r="EZ11" s="3"/>
      <c r="FA11" s="3"/>
      <c r="FB11" s="3"/>
      <c r="FC11" s="3"/>
      <c r="FD11" s="3"/>
      <c r="FE11" s="3"/>
      <c r="FF11" s="2" t="e">
        <f t="shared" si="51"/>
        <v>#REF!</v>
      </c>
      <c r="FG11" s="2" t="e">
        <f t="shared" si="28"/>
        <v>#REF!</v>
      </c>
      <c r="FH11" s="2" t="e">
        <f t="shared" si="28"/>
        <v>#REF!</v>
      </c>
      <c r="FI11" s="2" t="e">
        <f t="shared" si="28"/>
        <v>#REF!</v>
      </c>
      <c r="FJ11" s="2" t="e">
        <f t="shared" si="28"/>
        <v>#REF!</v>
      </c>
      <c r="FK11" s="2" t="e">
        <f t="shared" si="28"/>
        <v>#REF!</v>
      </c>
      <c r="FL11" s="2" t="e">
        <f t="shared" si="28"/>
        <v>#REF!</v>
      </c>
      <c r="FM11" s="2" t="e">
        <f t="shared" si="28"/>
        <v>#REF!</v>
      </c>
      <c r="FN11" s="3"/>
      <c r="FO11" s="3"/>
      <c r="FP11" s="3"/>
      <c r="FQ11" s="3"/>
      <c r="FR11" s="3"/>
      <c r="FS11" s="3"/>
      <c r="FT11" s="3"/>
      <c r="FU11" s="3"/>
      <c r="FV11" s="2" t="e">
        <f t="shared" si="60"/>
        <v>#REF!</v>
      </c>
      <c r="FW11" s="2" t="e">
        <f t="shared" si="30"/>
        <v>#REF!</v>
      </c>
      <c r="FX11" s="2" t="e">
        <f t="shared" si="30"/>
        <v>#REF!</v>
      </c>
      <c r="FY11" s="2" t="e">
        <f t="shared" si="30"/>
        <v>#REF!</v>
      </c>
      <c r="FZ11" s="2" t="e">
        <f t="shared" si="30"/>
        <v>#REF!</v>
      </c>
      <c r="GA11" s="2" t="e">
        <f t="shared" si="30"/>
        <v>#REF!</v>
      </c>
      <c r="GB11" s="2" t="e">
        <f t="shared" si="30"/>
        <v>#REF!</v>
      </c>
      <c r="GC11" s="2" t="e">
        <f t="shared" si="30"/>
        <v>#REF!</v>
      </c>
      <c r="GD11" s="3"/>
      <c r="GE11" s="3"/>
      <c r="GF11" s="3"/>
      <c r="GG11" s="3"/>
      <c r="GH11" s="3"/>
      <c r="GI11" s="3"/>
      <c r="GJ11" s="3"/>
      <c r="GK11" s="3"/>
      <c r="GL11" s="2" t="e">
        <f>'Demand Stage 2'!#REF!</f>
        <v>#REF!</v>
      </c>
      <c r="GM11" s="2" t="e">
        <f>'Demand Stage 2'!#REF!</f>
        <v>#REF!</v>
      </c>
      <c r="GN11" s="2" t="e">
        <f>'Demand Stage 2'!#REF!</f>
        <v>#REF!</v>
      </c>
      <c r="GO11" s="2" t="e">
        <f>'Demand Stage 2'!#REF!</f>
        <v>#REF!</v>
      </c>
      <c r="GP11" s="2" t="e">
        <f>'Demand Stage 2'!#REF!</f>
        <v>#REF!</v>
      </c>
      <c r="GQ11" s="2" t="e">
        <f>'Demand Stage 2'!#REF!</f>
        <v>#REF!</v>
      </c>
      <c r="GR11" s="2" t="e">
        <f>'Demand Stage 2'!#REF!</f>
        <v>#REF!</v>
      </c>
      <c r="GS11" s="2" t="e">
        <f>'Demand Stage 2'!#REF!</f>
        <v>#REF!</v>
      </c>
      <c r="GT11" s="3"/>
      <c r="GU11" s="3"/>
      <c r="GV11" s="3"/>
      <c r="GW11" s="3"/>
      <c r="GX11" s="3"/>
      <c r="GY11" s="3"/>
      <c r="GZ11" s="3"/>
      <c r="HA11" s="3"/>
      <c r="HB11" s="2" t="e">
        <f t="shared" si="75"/>
        <v>#REF!</v>
      </c>
      <c r="HC11" s="2" t="e">
        <f t="shared" si="32"/>
        <v>#REF!</v>
      </c>
      <c r="HD11" s="2" t="e">
        <f t="shared" si="32"/>
        <v>#REF!</v>
      </c>
      <c r="HE11" s="2" t="e">
        <f t="shared" si="32"/>
        <v>#REF!</v>
      </c>
      <c r="HF11" s="2" t="e">
        <f t="shared" si="32"/>
        <v>#REF!</v>
      </c>
      <c r="HG11" s="2" t="e">
        <f t="shared" si="32"/>
        <v>#REF!</v>
      </c>
      <c r="HH11" s="2" t="e">
        <f t="shared" si="32"/>
        <v>#REF!</v>
      </c>
      <c r="HI11" s="2" t="e">
        <f t="shared" si="32"/>
        <v>#REF!</v>
      </c>
      <c r="HJ11" s="3"/>
      <c r="HK11" s="3"/>
      <c r="HL11" s="3"/>
      <c r="HM11" s="3"/>
      <c r="HN11" s="3"/>
      <c r="HO11" s="3"/>
      <c r="HP11" s="3"/>
      <c r="HQ11" s="3"/>
      <c r="HR11" s="2" t="e">
        <f t="shared" si="70"/>
        <v>#REF!</v>
      </c>
      <c r="HS11" s="2" t="e">
        <f t="shared" si="34"/>
        <v>#REF!</v>
      </c>
      <c r="HT11" s="2" t="e">
        <f t="shared" si="34"/>
        <v>#REF!</v>
      </c>
      <c r="HU11" s="2" t="e">
        <f t="shared" si="34"/>
        <v>#REF!</v>
      </c>
      <c r="HV11" s="2" t="e">
        <f t="shared" si="34"/>
        <v>#REF!</v>
      </c>
      <c r="HW11" s="2" t="e">
        <f t="shared" si="34"/>
        <v>#REF!</v>
      </c>
      <c r="HX11" s="2" t="e">
        <f t="shared" si="34"/>
        <v>#REF!</v>
      </c>
      <c r="HY11" s="2" t="e">
        <f t="shared" si="34"/>
        <v>#REF!</v>
      </c>
      <c r="HZ11" s="3"/>
      <c r="IA11" s="3"/>
      <c r="IB11" s="3"/>
      <c r="IC11" s="3"/>
      <c r="ID11" s="3"/>
      <c r="IE11" s="3"/>
      <c r="IF11" s="3"/>
      <c r="IG11" s="3"/>
      <c r="IH11" s="2" t="e">
        <f t="shared" si="72"/>
        <v>#REF!</v>
      </c>
      <c r="II11" s="2" t="e">
        <f t="shared" si="36"/>
        <v>#REF!</v>
      </c>
      <c r="IJ11" s="2" t="e">
        <f t="shared" si="36"/>
        <v>#REF!</v>
      </c>
      <c r="IK11" s="2" t="e">
        <f t="shared" si="36"/>
        <v>#REF!</v>
      </c>
      <c r="IL11" s="2" t="e">
        <f t="shared" si="36"/>
        <v>#REF!</v>
      </c>
      <c r="IM11" s="2" t="e">
        <f t="shared" si="36"/>
        <v>#REF!</v>
      </c>
      <c r="IN11" s="2" t="e">
        <f t="shared" si="36"/>
        <v>#REF!</v>
      </c>
      <c r="IO11" s="2" t="e">
        <f t="shared" si="36"/>
        <v>#REF!</v>
      </c>
      <c r="IP11" s="3"/>
      <c r="IQ11" s="3"/>
      <c r="IR11" s="3"/>
      <c r="IS11" s="3"/>
      <c r="IT11" s="3"/>
      <c r="IU11" s="3"/>
      <c r="IV11" s="3"/>
      <c r="IW11" s="3"/>
    </row>
    <row r="12" spans="1:257" x14ac:dyDescent="0.2">
      <c r="A12" s="1">
        <v>6</v>
      </c>
      <c r="B12" s="2">
        <f>'Demand Stage 2'!B11</f>
        <v>12.5</v>
      </c>
      <c r="C12" s="2">
        <f>'Demand Stage 2'!C11</f>
        <v>12.5</v>
      </c>
      <c r="D12" s="2">
        <f>'Demand Stage 2'!D11</f>
        <v>12.5</v>
      </c>
      <c r="E12" s="2">
        <f>'Demand Stage 2'!F11</f>
        <v>25</v>
      </c>
      <c r="F12" s="2">
        <f>'Demand Stage 2'!H11</f>
        <v>25</v>
      </c>
      <c r="G12" s="2">
        <f>'Demand Stage 2'!J11</f>
        <v>25</v>
      </c>
      <c r="H12" s="2">
        <f>'Demand Stage 2'!K11</f>
        <v>43.75</v>
      </c>
      <c r="I12" s="2">
        <f>'Demand Stage 2'!L11</f>
        <v>25</v>
      </c>
      <c r="J12" s="3"/>
      <c r="K12" s="3"/>
      <c r="L12" s="3"/>
      <c r="M12" s="3"/>
      <c r="N12" s="3"/>
      <c r="O12" s="3"/>
      <c r="P12" s="3"/>
      <c r="Q12" s="3"/>
      <c r="R12" s="2">
        <f>'Demand Stage 2'!B11</f>
        <v>12.5</v>
      </c>
      <c r="S12" s="2">
        <f>'Demand Stage 2'!C11</f>
        <v>12.5</v>
      </c>
      <c r="T12" s="2">
        <f>'Demand Stage 2'!D11</f>
        <v>12.5</v>
      </c>
      <c r="U12" s="2">
        <f>'Demand Stage 2'!F11</f>
        <v>25</v>
      </c>
      <c r="V12" s="2">
        <f>'Demand Stage 2'!H11</f>
        <v>25</v>
      </c>
      <c r="W12" s="2">
        <f>'Demand Stage 2'!J11</f>
        <v>25</v>
      </c>
      <c r="X12" s="2">
        <f>'Demand Stage 2'!K11</f>
        <v>43.75</v>
      </c>
      <c r="Y12" s="2">
        <f>'Demand Stage 2'!L11</f>
        <v>25</v>
      </c>
      <c r="Z12" s="3"/>
      <c r="AA12" s="3"/>
      <c r="AB12" s="3"/>
      <c r="AC12" s="3"/>
      <c r="AD12" s="3"/>
      <c r="AE12" s="3"/>
      <c r="AF12" s="3"/>
      <c r="AG12" s="3"/>
      <c r="AH12" s="2">
        <f>'Demand Stage 2'!B11</f>
        <v>12.5</v>
      </c>
      <c r="AI12" s="2">
        <f>'Demand Stage 2'!C11</f>
        <v>12.5</v>
      </c>
      <c r="AJ12" s="2">
        <f>'Demand Stage 2'!D11</f>
        <v>12.5</v>
      </c>
      <c r="AK12" s="2">
        <f>'Demand Stage 2'!F11</f>
        <v>25</v>
      </c>
      <c r="AL12" s="2">
        <f>'Demand Stage 2'!H11</f>
        <v>25</v>
      </c>
      <c r="AM12" s="2">
        <f>'Demand Stage 2'!J11</f>
        <v>25</v>
      </c>
      <c r="AN12" s="2">
        <f>'Demand Stage 2'!K11</f>
        <v>43.75</v>
      </c>
      <c r="AO12" s="2">
        <f>'Demand Stage 2'!L11</f>
        <v>25</v>
      </c>
      <c r="AP12" s="3"/>
      <c r="AQ12" s="3"/>
      <c r="AR12" s="3"/>
      <c r="AS12" s="3"/>
      <c r="AT12" s="3"/>
      <c r="AU12" s="3"/>
      <c r="AV12" s="3"/>
      <c r="AW12" s="3"/>
      <c r="AX12" s="2">
        <f>'Demand Stage 2'!B11</f>
        <v>12.5</v>
      </c>
      <c r="AY12" s="2">
        <f>'Demand Stage 2'!C11</f>
        <v>12.5</v>
      </c>
      <c r="AZ12" s="2">
        <f>'Demand Stage 2'!D11</f>
        <v>12.5</v>
      </c>
      <c r="BA12" s="2">
        <f>'Demand Stage 2'!F11</f>
        <v>25</v>
      </c>
      <c r="BB12" s="2">
        <f>'Demand Stage 2'!H11</f>
        <v>25</v>
      </c>
      <c r="BC12" s="2">
        <f>'Demand Stage 2'!J11</f>
        <v>25</v>
      </c>
      <c r="BD12" s="2">
        <f>'Demand Stage 2'!K11</f>
        <v>43.75</v>
      </c>
      <c r="BE12" s="2">
        <f>'Demand Stage 2'!L11</f>
        <v>25</v>
      </c>
      <c r="BF12" s="3"/>
      <c r="BG12" s="3"/>
      <c r="BH12" s="3"/>
      <c r="BI12" s="3"/>
      <c r="BJ12" s="3"/>
      <c r="BK12" s="3"/>
      <c r="BL12" s="3"/>
      <c r="BM12" s="3"/>
      <c r="BN12" s="2" t="e">
        <f>'Demand Stage 2'!#REF!</f>
        <v>#REF!</v>
      </c>
      <c r="BO12" s="2" t="e">
        <f>'Demand Stage 2'!#REF!</f>
        <v>#REF!</v>
      </c>
      <c r="BP12" s="2" t="e">
        <f>'Demand Stage 2'!#REF!</f>
        <v>#REF!</v>
      </c>
      <c r="BQ12" s="2" t="e">
        <f>'Demand Stage 2'!#REF!</f>
        <v>#REF!</v>
      </c>
      <c r="BR12" s="2" t="e">
        <f>'Demand Stage 2'!#REF!</f>
        <v>#REF!</v>
      </c>
      <c r="BS12" s="2" t="e">
        <f>'Demand Stage 2'!#REF!</f>
        <v>#REF!</v>
      </c>
      <c r="BT12" s="2" t="e">
        <f>'Demand Stage 2'!#REF!</f>
        <v>#REF!</v>
      </c>
      <c r="BU12" s="2" t="e">
        <f>'Demand Stage 2'!#REF!</f>
        <v>#REF!</v>
      </c>
      <c r="BV12" s="3"/>
      <c r="BW12" s="3"/>
      <c r="BX12" s="3"/>
      <c r="BY12" s="3"/>
      <c r="BZ12" s="3"/>
      <c r="CA12" s="3"/>
      <c r="CB12" s="3"/>
      <c r="CC12" s="3"/>
      <c r="CD12" s="2" t="e">
        <f t="shared" si="38"/>
        <v>#REF!</v>
      </c>
      <c r="CE12" s="2" t="e">
        <f t="shared" si="14"/>
        <v>#REF!</v>
      </c>
      <c r="CF12" s="2" t="e">
        <f t="shared" si="14"/>
        <v>#REF!</v>
      </c>
      <c r="CG12" s="2" t="e">
        <f t="shared" si="14"/>
        <v>#REF!</v>
      </c>
      <c r="CH12" s="2" t="e">
        <f t="shared" si="14"/>
        <v>#REF!</v>
      </c>
      <c r="CI12" s="2" t="e">
        <f t="shared" si="14"/>
        <v>#REF!</v>
      </c>
      <c r="CJ12" s="2" t="e">
        <f t="shared" si="14"/>
        <v>#REF!</v>
      </c>
      <c r="CK12" s="2" t="e">
        <f t="shared" si="14"/>
        <v>#REF!</v>
      </c>
      <c r="CL12" s="3"/>
      <c r="CM12" s="3"/>
      <c r="CN12" s="3"/>
      <c r="CO12" s="3"/>
      <c r="CP12" s="3"/>
      <c r="CQ12" s="3"/>
      <c r="CR12" s="3"/>
      <c r="CS12" s="3"/>
      <c r="CT12" s="2" t="e">
        <f t="shared" si="74"/>
        <v>#REF!</v>
      </c>
      <c r="CU12" s="2" t="e">
        <f t="shared" si="16"/>
        <v>#REF!</v>
      </c>
      <c r="CV12" s="2" t="e">
        <f t="shared" si="16"/>
        <v>#REF!</v>
      </c>
      <c r="CW12" s="2" t="e">
        <f t="shared" si="16"/>
        <v>#REF!</v>
      </c>
      <c r="CX12" s="2" t="e">
        <f t="shared" si="16"/>
        <v>#REF!</v>
      </c>
      <c r="CY12" s="2" t="e">
        <f t="shared" si="16"/>
        <v>#REF!</v>
      </c>
      <c r="CZ12" s="2" t="e">
        <f t="shared" si="16"/>
        <v>#REF!</v>
      </c>
      <c r="DA12" s="2" t="e">
        <f t="shared" si="16"/>
        <v>#REF!</v>
      </c>
      <c r="DB12" s="3"/>
      <c r="DC12" s="3"/>
      <c r="DD12" s="3"/>
      <c r="DE12" s="3"/>
      <c r="DF12" s="3"/>
      <c r="DG12" s="3"/>
      <c r="DH12" s="3"/>
      <c r="DI12" s="3"/>
      <c r="DJ12" s="2" t="e">
        <f t="shared" si="40"/>
        <v>#REF!</v>
      </c>
      <c r="DK12" s="2" t="e">
        <f t="shared" si="24"/>
        <v>#REF!</v>
      </c>
      <c r="DL12" s="2" t="e">
        <f t="shared" si="24"/>
        <v>#REF!</v>
      </c>
      <c r="DM12" s="2" t="e">
        <f t="shared" si="24"/>
        <v>#REF!</v>
      </c>
      <c r="DN12" s="2" t="e">
        <f t="shared" si="24"/>
        <v>#REF!</v>
      </c>
      <c r="DO12" s="2" t="e">
        <f t="shared" si="24"/>
        <v>#REF!</v>
      </c>
      <c r="DP12" s="2" t="e">
        <f t="shared" si="24"/>
        <v>#REF!</v>
      </c>
      <c r="DQ12" s="2" t="e">
        <f t="shared" si="24"/>
        <v>#REF!</v>
      </c>
      <c r="DR12" s="3"/>
      <c r="DS12" s="3"/>
      <c r="DT12" s="3"/>
      <c r="DU12" s="3"/>
      <c r="DV12" s="3"/>
      <c r="DW12" s="3"/>
      <c r="DX12" s="3"/>
      <c r="DY12" s="3"/>
      <c r="DZ12" s="2" t="e">
        <f>'Demand Stage 2'!#REF!</f>
        <v>#REF!</v>
      </c>
      <c r="EA12" s="2" t="e">
        <f>'Demand Stage 2'!#REF!</f>
        <v>#REF!</v>
      </c>
      <c r="EB12" s="2" t="e">
        <f>'Demand Stage 2'!#REF!</f>
        <v>#REF!</v>
      </c>
      <c r="EC12" s="2" t="e">
        <f>'Demand Stage 2'!#REF!</f>
        <v>#REF!</v>
      </c>
      <c r="ED12" s="2" t="e">
        <f>'Demand Stage 2'!#REF!</f>
        <v>#REF!</v>
      </c>
      <c r="EE12" s="2" t="e">
        <f>'Demand Stage 2'!#REF!</f>
        <v>#REF!</v>
      </c>
      <c r="EF12" s="2" t="e">
        <f>'Demand Stage 2'!#REF!</f>
        <v>#REF!</v>
      </c>
      <c r="EG12" s="2" t="e">
        <f>'Demand Stage 2'!#REF!</f>
        <v>#REF!</v>
      </c>
      <c r="EH12" s="3"/>
      <c r="EI12" s="3"/>
      <c r="EJ12" s="3"/>
      <c r="EK12" s="3"/>
      <c r="EL12" s="3"/>
      <c r="EM12" s="3"/>
      <c r="EN12" s="3"/>
      <c r="EO12" s="3"/>
      <c r="EP12" s="2" t="e">
        <f t="shared" si="49"/>
        <v>#REF!</v>
      </c>
      <c r="EQ12" s="2" t="e">
        <f t="shared" si="26"/>
        <v>#REF!</v>
      </c>
      <c r="ER12" s="2" t="e">
        <f t="shared" si="26"/>
        <v>#REF!</v>
      </c>
      <c r="ES12" s="2" t="e">
        <f t="shared" si="26"/>
        <v>#REF!</v>
      </c>
      <c r="ET12" s="2" t="e">
        <f t="shared" si="26"/>
        <v>#REF!</v>
      </c>
      <c r="EU12" s="2" t="e">
        <f t="shared" si="26"/>
        <v>#REF!</v>
      </c>
      <c r="EV12" s="2" t="e">
        <f t="shared" si="26"/>
        <v>#REF!</v>
      </c>
      <c r="EW12" s="2" t="e">
        <f t="shared" si="26"/>
        <v>#REF!</v>
      </c>
      <c r="EX12" s="3"/>
      <c r="EY12" s="3"/>
      <c r="EZ12" s="3"/>
      <c r="FA12" s="3"/>
      <c r="FB12" s="3"/>
      <c r="FC12" s="3"/>
      <c r="FD12" s="3"/>
      <c r="FE12" s="3"/>
      <c r="FF12" s="2" t="e">
        <f t="shared" si="51"/>
        <v>#REF!</v>
      </c>
      <c r="FG12" s="2" t="e">
        <f t="shared" si="28"/>
        <v>#REF!</v>
      </c>
      <c r="FH12" s="2" t="e">
        <f t="shared" si="28"/>
        <v>#REF!</v>
      </c>
      <c r="FI12" s="2" t="e">
        <f t="shared" si="28"/>
        <v>#REF!</v>
      </c>
      <c r="FJ12" s="2" t="e">
        <f t="shared" si="28"/>
        <v>#REF!</v>
      </c>
      <c r="FK12" s="2" t="e">
        <f t="shared" si="28"/>
        <v>#REF!</v>
      </c>
      <c r="FL12" s="2" t="e">
        <f t="shared" si="28"/>
        <v>#REF!</v>
      </c>
      <c r="FM12" s="2" t="e">
        <f t="shared" si="28"/>
        <v>#REF!</v>
      </c>
      <c r="FN12" s="3"/>
      <c r="FO12" s="3"/>
      <c r="FP12" s="3"/>
      <c r="FQ12" s="3"/>
      <c r="FR12" s="3"/>
      <c r="FS12" s="3"/>
      <c r="FT12" s="3"/>
      <c r="FU12" s="3"/>
      <c r="FV12" s="2" t="e">
        <f t="shared" si="60"/>
        <v>#REF!</v>
      </c>
      <c r="FW12" s="2" t="e">
        <f t="shared" si="30"/>
        <v>#REF!</v>
      </c>
      <c r="FX12" s="2" t="e">
        <f t="shared" si="30"/>
        <v>#REF!</v>
      </c>
      <c r="FY12" s="2" t="e">
        <f t="shared" si="30"/>
        <v>#REF!</v>
      </c>
      <c r="FZ12" s="2" t="e">
        <f t="shared" si="30"/>
        <v>#REF!</v>
      </c>
      <c r="GA12" s="2" t="e">
        <f t="shared" si="30"/>
        <v>#REF!</v>
      </c>
      <c r="GB12" s="2" t="e">
        <f t="shared" si="30"/>
        <v>#REF!</v>
      </c>
      <c r="GC12" s="2" t="e">
        <f t="shared" si="30"/>
        <v>#REF!</v>
      </c>
      <c r="GD12" s="3"/>
      <c r="GE12" s="3"/>
      <c r="GF12" s="3"/>
      <c r="GG12" s="3"/>
      <c r="GH12" s="3"/>
      <c r="GI12" s="3"/>
      <c r="GJ12" s="3"/>
      <c r="GK12" s="3"/>
      <c r="GL12" s="2" t="e">
        <f>'Demand Stage 2'!#REF!</f>
        <v>#REF!</v>
      </c>
      <c r="GM12" s="2" t="e">
        <f>'Demand Stage 2'!#REF!</f>
        <v>#REF!</v>
      </c>
      <c r="GN12" s="2" t="e">
        <f>'Demand Stage 2'!#REF!</f>
        <v>#REF!</v>
      </c>
      <c r="GO12" s="2" t="e">
        <f>'Demand Stage 2'!#REF!</f>
        <v>#REF!</v>
      </c>
      <c r="GP12" s="2" t="e">
        <f>'Demand Stage 2'!#REF!</f>
        <v>#REF!</v>
      </c>
      <c r="GQ12" s="2" t="e">
        <f>'Demand Stage 2'!#REF!</f>
        <v>#REF!</v>
      </c>
      <c r="GR12" s="2" t="e">
        <f>'Demand Stage 2'!#REF!</f>
        <v>#REF!</v>
      </c>
      <c r="GS12" s="2" t="e">
        <f>'Demand Stage 2'!#REF!</f>
        <v>#REF!</v>
      </c>
      <c r="GT12" s="3"/>
      <c r="GU12" s="3"/>
      <c r="GV12" s="3"/>
      <c r="GW12" s="3"/>
      <c r="GX12" s="3"/>
      <c r="GY12" s="3"/>
      <c r="GZ12" s="3"/>
      <c r="HA12" s="3"/>
      <c r="HB12" s="2" t="e">
        <f t="shared" si="75"/>
        <v>#REF!</v>
      </c>
      <c r="HC12" s="2" t="e">
        <f t="shared" si="32"/>
        <v>#REF!</v>
      </c>
      <c r="HD12" s="2" t="e">
        <f t="shared" si="32"/>
        <v>#REF!</v>
      </c>
      <c r="HE12" s="2" t="e">
        <f t="shared" si="32"/>
        <v>#REF!</v>
      </c>
      <c r="HF12" s="2" t="e">
        <f t="shared" si="32"/>
        <v>#REF!</v>
      </c>
      <c r="HG12" s="2" t="e">
        <f t="shared" si="32"/>
        <v>#REF!</v>
      </c>
      <c r="HH12" s="2" t="e">
        <f t="shared" si="32"/>
        <v>#REF!</v>
      </c>
      <c r="HI12" s="2" t="e">
        <f t="shared" si="32"/>
        <v>#REF!</v>
      </c>
      <c r="HJ12" s="3"/>
      <c r="HK12" s="3"/>
      <c r="HL12" s="3"/>
      <c r="HM12" s="3"/>
      <c r="HN12" s="3"/>
      <c r="HO12" s="3"/>
      <c r="HP12" s="3"/>
      <c r="HQ12" s="3"/>
      <c r="HR12" s="2" t="e">
        <f t="shared" si="70"/>
        <v>#REF!</v>
      </c>
      <c r="HS12" s="2" t="e">
        <f t="shared" si="34"/>
        <v>#REF!</v>
      </c>
      <c r="HT12" s="2" t="e">
        <f t="shared" si="34"/>
        <v>#REF!</v>
      </c>
      <c r="HU12" s="2" t="e">
        <f t="shared" si="34"/>
        <v>#REF!</v>
      </c>
      <c r="HV12" s="2" t="e">
        <f t="shared" si="34"/>
        <v>#REF!</v>
      </c>
      <c r="HW12" s="2" t="e">
        <f t="shared" si="34"/>
        <v>#REF!</v>
      </c>
      <c r="HX12" s="2" t="e">
        <f t="shared" si="34"/>
        <v>#REF!</v>
      </c>
      <c r="HY12" s="2" t="e">
        <f t="shared" si="34"/>
        <v>#REF!</v>
      </c>
      <c r="HZ12" s="3"/>
      <c r="IA12" s="3"/>
      <c r="IB12" s="3"/>
      <c r="IC12" s="3"/>
      <c r="ID12" s="3"/>
      <c r="IE12" s="3"/>
      <c r="IF12" s="3"/>
      <c r="IG12" s="3"/>
      <c r="IH12" s="2" t="e">
        <f t="shared" si="72"/>
        <v>#REF!</v>
      </c>
      <c r="II12" s="2" t="e">
        <f t="shared" si="36"/>
        <v>#REF!</v>
      </c>
      <c r="IJ12" s="2" t="e">
        <f t="shared" si="36"/>
        <v>#REF!</v>
      </c>
      <c r="IK12" s="2" t="e">
        <f t="shared" si="36"/>
        <v>#REF!</v>
      </c>
      <c r="IL12" s="2" t="e">
        <f t="shared" si="36"/>
        <v>#REF!</v>
      </c>
      <c r="IM12" s="2" t="e">
        <f t="shared" si="36"/>
        <v>#REF!</v>
      </c>
      <c r="IN12" s="2" t="e">
        <f t="shared" si="36"/>
        <v>#REF!</v>
      </c>
      <c r="IO12" s="2" t="e">
        <f t="shared" si="36"/>
        <v>#REF!</v>
      </c>
      <c r="IP12" s="3"/>
      <c r="IQ12" s="3"/>
      <c r="IR12" s="3"/>
      <c r="IS12" s="3"/>
      <c r="IT12" s="3"/>
      <c r="IU12" s="3"/>
      <c r="IV12" s="3"/>
      <c r="IW12" s="3"/>
    </row>
    <row r="13" spans="1:257" x14ac:dyDescent="0.2">
      <c r="A13" s="1">
        <v>7</v>
      </c>
      <c r="B13" s="2">
        <f>'Demand Stage 2'!B12</f>
        <v>12.5</v>
      </c>
      <c r="C13" s="2">
        <f>'Demand Stage 2'!C12</f>
        <v>12.5</v>
      </c>
      <c r="D13" s="2">
        <f>'Demand Stage 2'!D12</f>
        <v>12.5</v>
      </c>
      <c r="E13" s="2">
        <f>'Demand Stage 2'!F12</f>
        <v>33.125</v>
      </c>
      <c r="F13" s="2">
        <f>'Demand Stage 2'!H12</f>
        <v>33.125</v>
      </c>
      <c r="G13" s="2">
        <f>'Demand Stage 2'!J12</f>
        <v>35</v>
      </c>
      <c r="H13" s="2">
        <f>'Demand Stage 2'!K12</f>
        <v>50</v>
      </c>
      <c r="I13" s="2">
        <f>'Demand Stage 2'!L12</f>
        <v>25</v>
      </c>
      <c r="J13" s="3"/>
      <c r="K13" s="3"/>
      <c r="L13" s="3"/>
      <c r="M13" s="3"/>
      <c r="N13" s="3"/>
      <c r="O13" s="3"/>
      <c r="P13" s="3"/>
      <c r="Q13" s="3"/>
      <c r="R13" s="2">
        <f>'Demand Stage 2'!B12</f>
        <v>12.5</v>
      </c>
      <c r="S13" s="2">
        <f>'Demand Stage 2'!C12</f>
        <v>12.5</v>
      </c>
      <c r="T13" s="2">
        <f>'Demand Stage 2'!D12</f>
        <v>12.5</v>
      </c>
      <c r="U13" s="2">
        <f>'Demand Stage 2'!F12</f>
        <v>33.125</v>
      </c>
      <c r="V13" s="2">
        <f>'Demand Stage 2'!H12</f>
        <v>33.125</v>
      </c>
      <c r="W13" s="2">
        <f>'Demand Stage 2'!J12</f>
        <v>35</v>
      </c>
      <c r="X13" s="2">
        <f>'Demand Stage 2'!K12</f>
        <v>50</v>
      </c>
      <c r="Y13" s="2">
        <f>'Demand Stage 2'!L12</f>
        <v>25</v>
      </c>
      <c r="Z13" s="3"/>
      <c r="AA13" s="3"/>
      <c r="AB13" s="3"/>
      <c r="AC13" s="3"/>
      <c r="AD13" s="3"/>
      <c r="AE13" s="3"/>
      <c r="AF13" s="3"/>
      <c r="AG13" s="3"/>
      <c r="AH13" s="2">
        <f>'Demand Stage 2'!B12</f>
        <v>12.5</v>
      </c>
      <c r="AI13" s="2">
        <f>'Demand Stage 2'!C12</f>
        <v>12.5</v>
      </c>
      <c r="AJ13" s="2">
        <f>'Demand Stage 2'!D12</f>
        <v>12.5</v>
      </c>
      <c r="AK13" s="2">
        <f>'Demand Stage 2'!F12</f>
        <v>33.125</v>
      </c>
      <c r="AL13" s="2">
        <f>'Demand Stage 2'!H12</f>
        <v>33.125</v>
      </c>
      <c r="AM13" s="2">
        <f>'Demand Stage 2'!J12</f>
        <v>35</v>
      </c>
      <c r="AN13" s="2">
        <f>'Demand Stage 2'!K12</f>
        <v>50</v>
      </c>
      <c r="AO13" s="2">
        <f>'Demand Stage 2'!L12</f>
        <v>25</v>
      </c>
      <c r="AP13" s="3"/>
      <c r="AQ13" s="3"/>
      <c r="AR13" s="3"/>
      <c r="AS13" s="3"/>
      <c r="AT13" s="3"/>
      <c r="AU13" s="3"/>
      <c r="AV13" s="3"/>
      <c r="AW13" s="3"/>
      <c r="AX13" s="2">
        <f>'Demand Stage 2'!B12</f>
        <v>12.5</v>
      </c>
      <c r="AY13" s="2">
        <f>'Demand Stage 2'!C12</f>
        <v>12.5</v>
      </c>
      <c r="AZ13" s="2">
        <f>'Demand Stage 2'!D12</f>
        <v>12.5</v>
      </c>
      <c r="BA13" s="2">
        <f>'Demand Stage 2'!F12</f>
        <v>33.125</v>
      </c>
      <c r="BB13" s="2">
        <f>'Demand Stage 2'!H12</f>
        <v>33.125</v>
      </c>
      <c r="BC13" s="2">
        <f>'Demand Stage 2'!J12</f>
        <v>35</v>
      </c>
      <c r="BD13" s="2">
        <f>'Demand Stage 2'!K12</f>
        <v>50</v>
      </c>
      <c r="BE13" s="2">
        <f>'Demand Stage 2'!L12</f>
        <v>25</v>
      </c>
      <c r="BF13" s="3"/>
      <c r="BG13" s="3"/>
      <c r="BH13" s="3"/>
      <c r="BI13" s="3"/>
      <c r="BJ13" s="3"/>
      <c r="BK13" s="3"/>
      <c r="BL13" s="3"/>
      <c r="BM13" s="3"/>
      <c r="BN13" s="2" t="e">
        <f>'Demand Stage 2'!#REF!</f>
        <v>#REF!</v>
      </c>
      <c r="BO13" s="2" t="e">
        <f>'Demand Stage 2'!#REF!</f>
        <v>#REF!</v>
      </c>
      <c r="BP13" s="2" t="e">
        <f>'Demand Stage 2'!#REF!</f>
        <v>#REF!</v>
      </c>
      <c r="BQ13" s="2" t="e">
        <f>'Demand Stage 2'!#REF!</f>
        <v>#REF!</v>
      </c>
      <c r="BR13" s="2" t="e">
        <f>'Demand Stage 2'!#REF!</f>
        <v>#REF!</v>
      </c>
      <c r="BS13" s="2" t="e">
        <f>'Demand Stage 2'!#REF!</f>
        <v>#REF!</v>
      </c>
      <c r="BT13" s="2" t="e">
        <f>'Demand Stage 2'!#REF!</f>
        <v>#REF!</v>
      </c>
      <c r="BU13" s="2" t="e">
        <f>'Demand Stage 2'!#REF!</f>
        <v>#REF!</v>
      </c>
      <c r="BV13" s="3"/>
      <c r="BW13" s="3"/>
      <c r="BX13" s="3"/>
      <c r="BY13" s="3"/>
      <c r="BZ13" s="3"/>
      <c r="CA13" s="3"/>
      <c r="CB13" s="3"/>
      <c r="CC13" s="3"/>
      <c r="CD13" s="2" t="e">
        <f t="shared" si="38"/>
        <v>#REF!</v>
      </c>
      <c r="CE13" s="2" t="e">
        <f t="shared" si="14"/>
        <v>#REF!</v>
      </c>
      <c r="CF13" s="2" t="e">
        <f t="shared" si="14"/>
        <v>#REF!</v>
      </c>
      <c r="CG13" s="2" t="e">
        <f t="shared" si="14"/>
        <v>#REF!</v>
      </c>
      <c r="CH13" s="2" t="e">
        <f t="shared" si="14"/>
        <v>#REF!</v>
      </c>
      <c r="CI13" s="2" t="e">
        <f t="shared" si="14"/>
        <v>#REF!</v>
      </c>
      <c r="CJ13" s="2" t="e">
        <f t="shared" si="14"/>
        <v>#REF!</v>
      </c>
      <c r="CK13" s="2" t="e">
        <f t="shared" si="14"/>
        <v>#REF!</v>
      </c>
      <c r="CL13" s="3"/>
      <c r="CM13" s="3"/>
      <c r="CN13" s="3"/>
      <c r="CO13" s="3"/>
      <c r="CP13" s="3"/>
      <c r="CQ13" s="3"/>
      <c r="CR13" s="3"/>
      <c r="CS13" s="3"/>
      <c r="CT13" s="2" t="e">
        <f t="shared" si="74"/>
        <v>#REF!</v>
      </c>
      <c r="CU13" s="2" t="e">
        <f t="shared" si="16"/>
        <v>#REF!</v>
      </c>
      <c r="CV13" s="2" t="e">
        <f t="shared" si="16"/>
        <v>#REF!</v>
      </c>
      <c r="CW13" s="2" t="e">
        <f t="shared" si="16"/>
        <v>#REF!</v>
      </c>
      <c r="CX13" s="2" t="e">
        <f t="shared" si="16"/>
        <v>#REF!</v>
      </c>
      <c r="CY13" s="2" t="e">
        <f t="shared" si="16"/>
        <v>#REF!</v>
      </c>
      <c r="CZ13" s="2" t="e">
        <f>CJ13</f>
        <v>#REF!</v>
      </c>
      <c r="DA13" s="2" t="e">
        <f t="shared" si="16"/>
        <v>#REF!</v>
      </c>
      <c r="DB13" s="3"/>
      <c r="DC13" s="3"/>
      <c r="DD13" s="3"/>
      <c r="DE13" s="3"/>
      <c r="DF13" s="3"/>
      <c r="DG13" s="3"/>
      <c r="DH13" s="3"/>
      <c r="DI13" s="3"/>
      <c r="DJ13" s="2" t="e">
        <f t="shared" si="40"/>
        <v>#REF!</v>
      </c>
      <c r="DK13" s="2" t="e">
        <f t="shared" si="24"/>
        <v>#REF!</v>
      </c>
      <c r="DL13" s="2" t="e">
        <f t="shared" si="24"/>
        <v>#REF!</v>
      </c>
      <c r="DM13" s="2" t="e">
        <f t="shared" si="24"/>
        <v>#REF!</v>
      </c>
      <c r="DN13" s="2" t="e">
        <f t="shared" si="24"/>
        <v>#REF!</v>
      </c>
      <c r="DO13" s="2" t="e">
        <f t="shared" si="24"/>
        <v>#REF!</v>
      </c>
      <c r="DP13" s="2" t="e">
        <f t="shared" si="24"/>
        <v>#REF!</v>
      </c>
      <c r="DQ13" s="2" t="e">
        <f t="shared" si="24"/>
        <v>#REF!</v>
      </c>
      <c r="DR13" s="3"/>
      <c r="DS13" s="3"/>
      <c r="DT13" s="3"/>
      <c r="DU13" s="3"/>
      <c r="DV13" s="3"/>
      <c r="DW13" s="3"/>
      <c r="DX13" s="3"/>
      <c r="DY13" s="3"/>
      <c r="DZ13" s="2" t="e">
        <f>'Demand Stage 2'!#REF!</f>
        <v>#REF!</v>
      </c>
      <c r="EA13" s="2" t="e">
        <f>'Demand Stage 2'!#REF!</f>
        <v>#REF!</v>
      </c>
      <c r="EB13" s="2" t="e">
        <f>'Demand Stage 2'!#REF!</f>
        <v>#REF!</v>
      </c>
      <c r="EC13" s="2" t="e">
        <f>'Demand Stage 2'!#REF!</f>
        <v>#REF!</v>
      </c>
      <c r="ED13" s="2" t="e">
        <f>'Demand Stage 2'!#REF!</f>
        <v>#REF!</v>
      </c>
      <c r="EE13" s="2" t="e">
        <f>'Demand Stage 2'!#REF!</f>
        <v>#REF!</v>
      </c>
      <c r="EF13" s="2" t="e">
        <f>'Demand Stage 2'!#REF!</f>
        <v>#REF!</v>
      </c>
      <c r="EG13" s="2" t="e">
        <f>'Demand Stage 2'!#REF!</f>
        <v>#REF!</v>
      </c>
      <c r="EH13" s="3"/>
      <c r="EI13" s="3"/>
      <c r="EJ13" s="3"/>
      <c r="EK13" s="3"/>
      <c r="EL13" s="3"/>
      <c r="EM13" s="3"/>
      <c r="EN13" s="3"/>
      <c r="EO13" s="3"/>
      <c r="EP13" s="2" t="e">
        <f t="shared" si="49"/>
        <v>#REF!</v>
      </c>
      <c r="EQ13" s="2" t="e">
        <f t="shared" si="26"/>
        <v>#REF!</v>
      </c>
      <c r="ER13" s="2" t="e">
        <f t="shared" si="26"/>
        <v>#REF!</v>
      </c>
      <c r="ES13" s="2" t="e">
        <f t="shared" si="26"/>
        <v>#REF!</v>
      </c>
      <c r="ET13" s="2" t="e">
        <f t="shared" si="26"/>
        <v>#REF!</v>
      </c>
      <c r="EU13" s="2" t="e">
        <f t="shared" si="26"/>
        <v>#REF!</v>
      </c>
      <c r="EV13" s="2" t="e">
        <f t="shared" si="26"/>
        <v>#REF!</v>
      </c>
      <c r="EW13" s="2" t="e">
        <f t="shared" si="26"/>
        <v>#REF!</v>
      </c>
      <c r="EX13" s="3"/>
      <c r="EY13" s="3"/>
      <c r="EZ13" s="3"/>
      <c r="FA13" s="3"/>
      <c r="FB13" s="3"/>
      <c r="FC13" s="3"/>
      <c r="FD13" s="3"/>
      <c r="FE13" s="3"/>
      <c r="FF13" s="2" t="e">
        <f t="shared" si="51"/>
        <v>#REF!</v>
      </c>
      <c r="FG13" s="2" t="e">
        <f t="shared" si="28"/>
        <v>#REF!</v>
      </c>
      <c r="FH13" s="2" t="e">
        <f t="shared" si="28"/>
        <v>#REF!</v>
      </c>
      <c r="FI13" s="2" t="e">
        <f t="shared" si="28"/>
        <v>#REF!</v>
      </c>
      <c r="FJ13" s="2" t="e">
        <f t="shared" si="28"/>
        <v>#REF!</v>
      </c>
      <c r="FK13" s="2" t="e">
        <f t="shared" si="28"/>
        <v>#REF!</v>
      </c>
      <c r="FL13" s="2" t="e">
        <f t="shared" si="28"/>
        <v>#REF!</v>
      </c>
      <c r="FM13" s="2" t="e">
        <f t="shared" si="28"/>
        <v>#REF!</v>
      </c>
      <c r="FN13" s="3"/>
      <c r="FO13" s="3"/>
      <c r="FP13" s="3"/>
      <c r="FQ13" s="3"/>
      <c r="FR13" s="3"/>
      <c r="FS13" s="3"/>
      <c r="FT13" s="3"/>
      <c r="FU13" s="3"/>
      <c r="FV13" s="2" t="e">
        <f t="shared" si="60"/>
        <v>#REF!</v>
      </c>
      <c r="FW13" s="2" t="e">
        <f t="shared" si="30"/>
        <v>#REF!</v>
      </c>
      <c r="FX13" s="2" t="e">
        <f t="shared" si="30"/>
        <v>#REF!</v>
      </c>
      <c r="FY13" s="2" t="e">
        <f t="shared" si="30"/>
        <v>#REF!</v>
      </c>
      <c r="FZ13" s="2" t="e">
        <f t="shared" si="30"/>
        <v>#REF!</v>
      </c>
      <c r="GA13" s="2" t="e">
        <f t="shared" si="30"/>
        <v>#REF!</v>
      </c>
      <c r="GB13" s="2" t="e">
        <f t="shared" si="30"/>
        <v>#REF!</v>
      </c>
      <c r="GC13" s="2" t="e">
        <f t="shared" si="30"/>
        <v>#REF!</v>
      </c>
      <c r="GD13" s="3"/>
      <c r="GE13" s="3"/>
      <c r="GF13" s="3"/>
      <c r="GG13" s="3"/>
      <c r="GH13" s="3"/>
      <c r="GI13" s="3"/>
      <c r="GJ13" s="3"/>
      <c r="GK13" s="3"/>
      <c r="GL13" s="2" t="e">
        <f>'Demand Stage 2'!#REF!</f>
        <v>#REF!</v>
      </c>
      <c r="GM13" s="2" t="e">
        <f>'Demand Stage 2'!#REF!</f>
        <v>#REF!</v>
      </c>
      <c r="GN13" s="2" t="e">
        <f>'Demand Stage 2'!#REF!</f>
        <v>#REF!</v>
      </c>
      <c r="GO13" s="2" t="e">
        <f>'Demand Stage 2'!#REF!</f>
        <v>#REF!</v>
      </c>
      <c r="GP13" s="2" t="e">
        <f>'Demand Stage 2'!#REF!</f>
        <v>#REF!</v>
      </c>
      <c r="GQ13" s="2" t="e">
        <f>'Demand Stage 2'!#REF!</f>
        <v>#REF!</v>
      </c>
      <c r="GR13" s="2" t="e">
        <f>'Demand Stage 2'!#REF!</f>
        <v>#REF!</v>
      </c>
      <c r="GS13" s="2" t="e">
        <f>'Demand Stage 2'!#REF!</f>
        <v>#REF!</v>
      </c>
      <c r="GT13" s="3"/>
      <c r="GU13" s="3"/>
      <c r="GV13" s="3"/>
      <c r="GW13" s="3"/>
      <c r="GX13" s="3"/>
      <c r="GY13" s="3"/>
      <c r="GZ13" s="3"/>
      <c r="HA13" s="3"/>
      <c r="HB13" s="2" t="e">
        <f t="shared" si="75"/>
        <v>#REF!</v>
      </c>
      <c r="HC13" s="2" t="e">
        <f t="shared" si="32"/>
        <v>#REF!</v>
      </c>
      <c r="HD13" s="2" t="e">
        <f t="shared" si="32"/>
        <v>#REF!</v>
      </c>
      <c r="HE13" s="2" t="e">
        <f t="shared" si="32"/>
        <v>#REF!</v>
      </c>
      <c r="HF13" s="2" t="e">
        <f t="shared" si="32"/>
        <v>#REF!</v>
      </c>
      <c r="HG13" s="2" t="e">
        <f t="shared" si="32"/>
        <v>#REF!</v>
      </c>
      <c r="HH13" s="2" t="e">
        <f t="shared" si="32"/>
        <v>#REF!</v>
      </c>
      <c r="HI13" s="2" t="e">
        <f t="shared" si="32"/>
        <v>#REF!</v>
      </c>
      <c r="HJ13" s="3"/>
      <c r="HK13" s="3"/>
      <c r="HL13" s="3"/>
      <c r="HM13" s="3"/>
      <c r="HN13" s="3"/>
      <c r="HO13" s="3"/>
      <c r="HP13" s="3"/>
      <c r="HQ13" s="3"/>
      <c r="HR13" s="2" t="e">
        <f t="shared" si="70"/>
        <v>#REF!</v>
      </c>
      <c r="HS13" s="2" t="e">
        <f t="shared" si="34"/>
        <v>#REF!</v>
      </c>
      <c r="HT13" s="2" t="e">
        <f t="shared" si="34"/>
        <v>#REF!</v>
      </c>
      <c r="HU13" s="2" t="e">
        <f t="shared" si="34"/>
        <v>#REF!</v>
      </c>
      <c r="HV13" s="2" t="e">
        <f t="shared" si="34"/>
        <v>#REF!</v>
      </c>
      <c r="HW13" s="2" t="e">
        <f t="shared" si="34"/>
        <v>#REF!</v>
      </c>
      <c r="HX13" s="2" t="e">
        <f t="shared" si="34"/>
        <v>#REF!</v>
      </c>
      <c r="HY13" s="2" t="e">
        <f t="shared" si="34"/>
        <v>#REF!</v>
      </c>
      <c r="HZ13" s="3"/>
      <c r="IA13" s="3"/>
      <c r="IB13" s="3"/>
      <c r="IC13" s="3"/>
      <c r="ID13" s="3"/>
      <c r="IE13" s="3"/>
      <c r="IF13" s="3"/>
      <c r="IG13" s="3"/>
      <c r="IH13" s="2" t="e">
        <f t="shared" si="72"/>
        <v>#REF!</v>
      </c>
      <c r="II13" s="2" t="e">
        <f t="shared" si="36"/>
        <v>#REF!</v>
      </c>
      <c r="IJ13" s="2" t="e">
        <f t="shared" si="36"/>
        <v>#REF!</v>
      </c>
      <c r="IK13" s="2" t="e">
        <f t="shared" si="36"/>
        <v>#REF!</v>
      </c>
      <c r="IL13" s="2" t="e">
        <f t="shared" si="36"/>
        <v>#REF!</v>
      </c>
      <c r="IM13" s="2" t="e">
        <f t="shared" si="36"/>
        <v>#REF!</v>
      </c>
      <c r="IN13" s="2" t="e">
        <f t="shared" si="36"/>
        <v>#REF!</v>
      </c>
      <c r="IO13" s="2" t="e">
        <f t="shared" si="36"/>
        <v>#REF!</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208</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N9"/>
  <sheetViews>
    <sheetView zoomScale="210" zoomScaleNormal="210" workbookViewId="0">
      <selection activeCell="K6" sqref="K6"/>
    </sheetView>
  </sheetViews>
  <sheetFormatPr baseColWidth="10" defaultRowHeight="16" x14ac:dyDescent="0.2"/>
  <cols>
    <col min="1" max="1" width="13" bestFit="1" customWidth="1"/>
  </cols>
  <sheetData>
    <row r="1" spans="1:14" x14ac:dyDescent="0.2">
      <c r="A1" s="8" t="s">
        <v>17</v>
      </c>
      <c r="B1" s="8" t="s">
        <v>101</v>
      </c>
      <c r="C1" s="8" t="s">
        <v>111</v>
      </c>
      <c r="D1" s="8" t="s">
        <v>107</v>
      </c>
      <c r="E1" s="8" t="s">
        <v>338</v>
      </c>
      <c r="F1" s="8" t="s">
        <v>336</v>
      </c>
      <c r="G1" s="8" t="s">
        <v>337</v>
      </c>
      <c r="H1" s="8" t="s">
        <v>339</v>
      </c>
      <c r="I1" s="8" t="s">
        <v>340</v>
      </c>
      <c r="J1" s="8" t="s">
        <v>341</v>
      </c>
      <c r="K1" s="8" t="s">
        <v>114</v>
      </c>
      <c r="L1" s="8" t="s">
        <v>109</v>
      </c>
      <c r="N1" s="8" t="s">
        <v>325</v>
      </c>
    </row>
    <row r="2" spans="1:14" x14ac:dyDescent="0.2">
      <c r="A2">
        <v>1</v>
      </c>
      <c r="B2">
        <v>26</v>
      </c>
      <c r="C2">
        <v>26</v>
      </c>
      <c r="D2">
        <v>26</v>
      </c>
      <c r="E2">
        <v>28</v>
      </c>
      <c r="F2">
        <v>28</v>
      </c>
      <c r="G2">
        <v>28</v>
      </c>
      <c r="H2">
        <v>28</v>
      </c>
      <c r="I2">
        <v>29</v>
      </c>
      <c r="J2">
        <v>29</v>
      </c>
      <c r="K2">
        <v>30</v>
      </c>
      <c r="L2">
        <v>30</v>
      </c>
      <c r="N2">
        <f>AVERAGE(B2:L2)</f>
        <v>28</v>
      </c>
    </row>
    <row r="3" spans="1:14" x14ac:dyDescent="0.2">
      <c r="A3">
        <v>2</v>
      </c>
      <c r="B3">
        <v>26</v>
      </c>
      <c r="C3">
        <v>26</v>
      </c>
      <c r="D3">
        <v>26</v>
      </c>
      <c r="E3">
        <v>28</v>
      </c>
      <c r="F3">
        <v>28</v>
      </c>
      <c r="G3">
        <v>28</v>
      </c>
      <c r="H3">
        <v>28</v>
      </c>
      <c r="I3">
        <v>29</v>
      </c>
      <c r="J3">
        <v>29</v>
      </c>
      <c r="K3">
        <v>30</v>
      </c>
      <c r="L3">
        <v>30</v>
      </c>
      <c r="N3">
        <f t="shared" ref="N3:N9" si="0">AVERAGE(B3:L3)</f>
        <v>28</v>
      </c>
    </row>
    <row r="4" spans="1:14" x14ac:dyDescent="0.2">
      <c r="A4">
        <v>3</v>
      </c>
      <c r="B4">
        <v>26</v>
      </c>
      <c r="C4">
        <v>26</v>
      </c>
      <c r="D4">
        <v>26</v>
      </c>
      <c r="E4">
        <v>28</v>
      </c>
      <c r="F4">
        <v>28</v>
      </c>
      <c r="G4">
        <v>28</v>
      </c>
      <c r="H4">
        <v>28</v>
      </c>
      <c r="I4">
        <v>29</v>
      </c>
      <c r="J4">
        <v>29</v>
      </c>
      <c r="K4">
        <v>30</v>
      </c>
      <c r="L4">
        <v>30</v>
      </c>
      <c r="N4">
        <f t="shared" si="0"/>
        <v>28</v>
      </c>
    </row>
    <row r="5" spans="1:14" x14ac:dyDescent="0.2">
      <c r="A5">
        <v>4</v>
      </c>
      <c r="B5">
        <v>26</v>
      </c>
      <c r="C5">
        <v>26</v>
      </c>
      <c r="D5">
        <v>26</v>
      </c>
      <c r="E5">
        <v>28</v>
      </c>
      <c r="F5">
        <v>28</v>
      </c>
      <c r="G5">
        <v>28</v>
      </c>
      <c r="H5">
        <v>28</v>
      </c>
      <c r="I5">
        <v>29</v>
      </c>
      <c r="J5">
        <v>29</v>
      </c>
      <c r="K5">
        <v>30</v>
      </c>
      <c r="L5">
        <v>30</v>
      </c>
      <c r="N5">
        <f t="shared" si="0"/>
        <v>28</v>
      </c>
    </row>
    <row r="6" spans="1:14" x14ac:dyDescent="0.2">
      <c r="A6">
        <v>5</v>
      </c>
      <c r="B6">
        <v>28</v>
      </c>
      <c r="C6">
        <v>28</v>
      </c>
      <c r="D6">
        <v>28</v>
      </c>
      <c r="E6">
        <v>30</v>
      </c>
      <c r="F6">
        <v>30</v>
      </c>
      <c r="G6">
        <v>30</v>
      </c>
      <c r="H6">
        <v>30</v>
      </c>
      <c r="I6">
        <v>31</v>
      </c>
      <c r="J6">
        <v>31</v>
      </c>
      <c r="K6">
        <v>32</v>
      </c>
      <c r="L6">
        <v>30</v>
      </c>
      <c r="N6">
        <f t="shared" si="0"/>
        <v>29.818181818181817</v>
      </c>
    </row>
    <row r="7" spans="1:14" x14ac:dyDescent="0.2">
      <c r="A7">
        <v>6</v>
      </c>
      <c r="B7">
        <v>27</v>
      </c>
      <c r="C7">
        <v>27</v>
      </c>
      <c r="D7">
        <v>27</v>
      </c>
      <c r="E7">
        <v>29</v>
      </c>
      <c r="F7">
        <v>29</v>
      </c>
      <c r="G7">
        <v>29</v>
      </c>
      <c r="H7">
        <v>29</v>
      </c>
      <c r="I7">
        <v>30</v>
      </c>
      <c r="J7">
        <v>30</v>
      </c>
      <c r="K7">
        <v>31</v>
      </c>
      <c r="L7">
        <v>30</v>
      </c>
      <c r="N7">
        <f t="shared" si="0"/>
        <v>28.90909090909091</v>
      </c>
    </row>
    <row r="8" spans="1:14" x14ac:dyDescent="0.2">
      <c r="A8">
        <v>7</v>
      </c>
      <c r="B8">
        <v>27</v>
      </c>
      <c r="C8">
        <v>27</v>
      </c>
      <c r="D8">
        <v>27</v>
      </c>
      <c r="E8">
        <v>29</v>
      </c>
      <c r="F8">
        <v>29</v>
      </c>
      <c r="G8">
        <v>29</v>
      </c>
      <c r="H8">
        <v>29</v>
      </c>
      <c r="I8">
        <v>30</v>
      </c>
      <c r="J8">
        <v>30</v>
      </c>
      <c r="K8">
        <v>31</v>
      </c>
      <c r="L8">
        <v>30</v>
      </c>
      <c r="N8">
        <f t="shared" si="0"/>
        <v>28.90909090909091</v>
      </c>
    </row>
    <row r="9" spans="1:14" x14ac:dyDescent="0.2">
      <c r="A9">
        <v>8</v>
      </c>
      <c r="B9">
        <v>29</v>
      </c>
      <c r="C9">
        <v>29</v>
      </c>
      <c r="D9">
        <v>29</v>
      </c>
      <c r="E9">
        <v>31</v>
      </c>
      <c r="F9">
        <v>31</v>
      </c>
      <c r="G9">
        <v>31</v>
      </c>
      <c r="H9">
        <v>31</v>
      </c>
      <c r="I9">
        <v>32</v>
      </c>
      <c r="J9">
        <v>32</v>
      </c>
      <c r="K9">
        <v>33</v>
      </c>
      <c r="L9">
        <v>30</v>
      </c>
      <c r="N9">
        <f t="shared" si="0"/>
        <v>30.727272727272727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101</v>
      </c>
      <c r="C1" s="8" t="s">
        <v>111</v>
      </c>
      <c r="D1" s="8" t="s">
        <v>107</v>
      </c>
      <c r="E1" s="8" t="s">
        <v>112</v>
      </c>
      <c r="F1" s="8" t="s">
        <v>119</v>
      </c>
      <c r="G1" s="8" t="s">
        <v>113</v>
      </c>
      <c r="H1" s="8" t="s">
        <v>114</v>
      </c>
      <c r="I1" s="8" t="s">
        <v>109</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0" sqref="B10"/>
    </sheetView>
  </sheetViews>
  <sheetFormatPr baseColWidth="10" defaultRowHeight="16" x14ac:dyDescent="0.2"/>
  <cols>
    <col min="1" max="1" width="24.5" bestFit="1" customWidth="1"/>
  </cols>
  <sheetData>
    <row r="1" spans="1:2" x14ac:dyDescent="0.2">
      <c r="A1" s="8" t="s">
        <v>1</v>
      </c>
      <c r="B1" s="8" t="s">
        <v>28</v>
      </c>
    </row>
    <row r="2" spans="1:2" x14ac:dyDescent="0.2">
      <c r="A2" s="8" t="s">
        <v>21</v>
      </c>
      <c r="B2">
        <v>0</v>
      </c>
    </row>
    <row r="3" spans="1:2" x14ac:dyDescent="0.2">
      <c r="A3" s="8" t="s">
        <v>299</v>
      </c>
      <c r="B3">
        <v>1</v>
      </c>
    </row>
    <row r="4" spans="1:2" x14ac:dyDescent="0.2">
      <c r="A4" s="8" t="s">
        <v>300</v>
      </c>
      <c r="B4">
        <v>1</v>
      </c>
    </row>
    <row r="5" spans="1:2" x14ac:dyDescent="0.2">
      <c r="A5" s="8" t="s">
        <v>301</v>
      </c>
      <c r="B5">
        <v>1</v>
      </c>
    </row>
    <row r="6" spans="1:2" x14ac:dyDescent="0.2">
      <c r="A6" s="8" t="s">
        <v>22</v>
      </c>
      <c r="B6">
        <v>0.25</v>
      </c>
    </row>
    <row r="7" spans="1:2" x14ac:dyDescent="0.2">
      <c r="A7" s="8" t="s">
        <v>53</v>
      </c>
      <c r="B7">
        <v>8</v>
      </c>
    </row>
    <row r="8" spans="1:2" x14ac:dyDescent="0.2">
      <c r="A8" s="8" t="s">
        <v>26</v>
      </c>
      <c r="B8">
        <v>32</v>
      </c>
    </row>
    <row r="9" spans="1:2" x14ac:dyDescent="0.2">
      <c r="A9" s="8" t="s">
        <v>27</v>
      </c>
      <c r="B9">
        <f>B8*4</f>
        <v>128</v>
      </c>
    </row>
    <row r="10" spans="1:2" x14ac:dyDescent="0.2">
      <c r="A10" s="10" t="s">
        <v>54</v>
      </c>
      <c r="B10" s="11">
        <v>11</v>
      </c>
    </row>
    <row r="11" spans="1:2" x14ac:dyDescent="0.2">
      <c r="A11" s="10" t="s">
        <v>55</v>
      </c>
      <c r="B11" s="11">
        <v>8</v>
      </c>
    </row>
    <row r="12" spans="1:2" x14ac:dyDescent="0.2">
      <c r="A12" s="8" t="s">
        <v>331</v>
      </c>
      <c r="B12">
        <v>1</v>
      </c>
    </row>
    <row r="13" spans="1:2" x14ac:dyDescent="0.2">
      <c r="A13" s="8" t="s">
        <v>332</v>
      </c>
      <c r="B13">
        <v>1.04</v>
      </c>
    </row>
    <row r="14" spans="1:2" x14ac:dyDescent="0.2">
      <c r="A14" s="8" t="s">
        <v>333</v>
      </c>
      <c r="B14">
        <v>1.08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T68"/>
  <sheetViews>
    <sheetView topLeftCell="A10" zoomScale="75" zoomScaleNormal="160" workbookViewId="0">
      <selection activeCell="F11" sqref="F11"/>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9" width="14" customWidth="1"/>
    <col min="10" max="10" width="8.33203125" customWidth="1"/>
    <col min="11" max="11" width="16" bestFit="1" customWidth="1"/>
    <col min="14" max="14" width="13.1640625" bestFit="1" customWidth="1"/>
    <col min="15" max="15" width="18.5" bestFit="1" customWidth="1"/>
    <col min="16" max="16" width="23.5" customWidth="1"/>
    <col min="17" max="17" width="34.1640625" bestFit="1" customWidth="1"/>
    <col min="18" max="18" width="15" bestFit="1" customWidth="1"/>
  </cols>
  <sheetData>
    <row r="1" spans="1:20" ht="34" x14ac:dyDescent="0.2">
      <c r="A1" s="15" t="s">
        <v>0</v>
      </c>
      <c r="B1" s="26" t="s">
        <v>1</v>
      </c>
      <c r="C1" s="26" t="s">
        <v>121</v>
      </c>
      <c r="D1" s="26" t="s">
        <v>122</v>
      </c>
      <c r="E1" s="26" t="s">
        <v>123</v>
      </c>
      <c r="F1" s="26" t="s">
        <v>2</v>
      </c>
      <c r="G1" s="26" t="s">
        <v>3</v>
      </c>
      <c r="H1" s="16" t="s">
        <v>124</v>
      </c>
      <c r="I1" s="16" t="s">
        <v>23</v>
      </c>
      <c r="J1" s="16" t="s">
        <v>351</v>
      </c>
      <c r="K1" s="4" t="s">
        <v>120</v>
      </c>
      <c r="L1" s="4" t="s">
        <v>13</v>
      </c>
      <c r="M1" s="7" t="s">
        <v>14</v>
      </c>
      <c r="N1" s="5" t="s">
        <v>56</v>
      </c>
      <c r="O1" s="6" t="s">
        <v>57</v>
      </c>
      <c r="P1" s="51" t="s">
        <v>320</v>
      </c>
      <c r="Q1" s="51" t="s">
        <v>321</v>
      </c>
      <c r="R1" s="51" t="s">
        <v>322</v>
      </c>
      <c r="T1" s="8" t="s">
        <v>334</v>
      </c>
    </row>
    <row r="2" spans="1:20" x14ac:dyDescent="0.2">
      <c r="A2" s="1">
        <v>1</v>
      </c>
      <c r="B2" s="17" t="s">
        <v>10</v>
      </c>
      <c r="C2" s="17" t="s">
        <v>125</v>
      </c>
      <c r="D2" s="17" t="s">
        <v>126</v>
      </c>
      <c r="E2" s="17" t="s">
        <v>127</v>
      </c>
      <c r="F2" s="17" t="s">
        <v>81</v>
      </c>
      <c r="G2" s="17" t="s">
        <v>84</v>
      </c>
      <c r="H2" s="1" t="str">
        <f>"LINESTRING(" &amp; P2 &amp; "," &amp; R2 &amp; "," &amp; Q2 &amp; ")"</f>
        <v>LINESTRING(2.89805500000006 60.5606330000001,2.96794024746388 60.5519809989487,3.0378254949277 60.5433289978974)</v>
      </c>
      <c r="I2" s="1">
        <f>J2*10000/8/1000</f>
        <v>60.125</v>
      </c>
      <c r="J2" s="1">
        <v>48.1</v>
      </c>
      <c r="K2" s="1" t="str">
        <f t="shared" ref="K2:K45" si="0">IF(J2=100,"Capacity unknown","")</f>
        <v/>
      </c>
      <c r="L2" s="1">
        <f>INDEX(Nodes!$A:$A,MATCH(Arcs!F2,Nodes!$B:$B,0))</f>
        <v>6</v>
      </c>
      <c r="M2" s="1">
        <f>INDEX(Nodes!$A:$A,MATCH(Arcs!G2,Nodes!$B:$B,0))</f>
        <v>7</v>
      </c>
      <c r="N2" s="2">
        <v>0.1</v>
      </c>
      <c r="O2" s="3">
        <v>0.1</v>
      </c>
      <c r="P2" t="str" cm="1">
        <f t="array" ref="P2">SUBSTITUTE(INDEX(Nodes!$A$3:$E$64,Arcs!L2,4) &amp; " " &amp; INDEX(Nodes!$A$3:$E$64,Arcs!L2,5), ",",".")</f>
        <v>2.89805500000006 60.5606330000001</v>
      </c>
      <c r="Q2" t="str" cm="1">
        <f t="array" ref="Q2">SUBSTITUTE(INDEX(Nodes!$A$3:$E$64,Arcs!M2,4) &amp; " " &amp; INDEX(Nodes!$A$3:$E$64,Arcs!M2,5), ",",".")</f>
        <v>3.0378254949277 60.5433289978974</v>
      </c>
      <c r="R2" t="str">
        <f>SUBSTITUTE(AVERAGE(INDEX(Nodes!$A$3:$E$64,Arcs!L2,4), INDEX(Nodes!$A$3:$E$64,Arcs!M2,4)) &amp; " " &amp; AVERAGE(INDEX(Nodes!$A$3:$E$64,Arcs!L2,5), INDEX(Nodes!$A$3:$E$64,Arcs!M2,5)), ",", ".")</f>
        <v>2.96794024746388 60.5519809989487</v>
      </c>
      <c r="T2">
        <v>0.01</v>
      </c>
    </row>
    <row r="3" spans="1:20" x14ac:dyDescent="0.2">
      <c r="A3" s="1">
        <v>2</v>
      </c>
      <c r="B3" s="17" t="s">
        <v>129</v>
      </c>
      <c r="C3" s="17" t="s">
        <v>125</v>
      </c>
      <c r="D3" s="17" t="s">
        <v>126</v>
      </c>
      <c r="E3" s="17" t="s">
        <v>130</v>
      </c>
      <c r="F3" s="17" t="s">
        <v>72</v>
      </c>
      <c r="G3" s="17" t="s">
        <v>71</v>
      </c>
      <c r="H3" s="1" t="str">
        <f t="shared" ref="H3:H62" si="1">"LINESTRING(" &amp; P3 &amp; "," &amp; R3 &amp; "," &amp; Q3 &amp; ")"</f>
        <v>LINESTRING(6.44125800000006 64.233255,7.11614205264601 64.2919112956052,7.79102610529196 64.3505675912103)</v>
      </c>
      <c r="I3" s="1">
        <f t="shared" ref="I3:I66" si="2">J3*10000/8/1000</f>
        <v>6.25</v>
      </c>
      <c r="J3" s="1">
        <v>5</v>
      </c>
      <c r="K3" s="1" t="str">
        <f t="shared" si="0"/>
        <v/>
      </c>
      <c r="L3" s="1">
        <f>INDEX(Nodes!$A:$A,MATCH(Arcs!F3,Nodes!$B:$B,0))</f>
        <v>13</v>
      </c>
      <c r="M3" s="1">
        <f>INDEX(Nodes!$A:$A,MATCH(Arcs!G3,Nodes!$B:$B,0))</f>
        <v>14</v>
      </c>
      <c r="N3" s="2">
        <v>0.1</v>
      </c>
      <c r="O3" s="3">
        <v>0.1</v>
      </c>
      <c r="P3" t="str" cm="1">
        <f t="array" ref="P3">SUBSTITUTE(INDEX(Nodes!$A$3:$E$64,Arcs!L3,4) &amp; " " &amp; INDEX(Nodes!$A$3:$E$64,Arcs!L3,5), ",",".")</f>
        <v>6.44125800000006 64.233255</v>
      </c>
      <c r="Q3" t="str" cm="1">
        <f t="array" ref="Q3">SUBSTITUTE(INDEX(Nodes!$A$3:$E$64,Arcs!M3,4) &amp; " " &amp; INDEX(Nodes!$A$3:$E$64,Arcs!M3,5), ",",".")</f>
        <v>7.79102610529196 64.3505675912103</v>
      </c>
      <c r="R3" t="str">
        <f>SUBSTITUTE(AVERAGE(INDEX(Nodes!$A$3:$E$64,Arcs!L3,4), INDEX(Nodes!$A$3:$E$64,Arcs!M3,4)) &amp; " " &amp; AVERAGE(INDEX(Nodes!$A$3:$E$64,Arcs!L3,5), INDEX(Nodes!$A$3:$E$64,Arcs!M3,5)), ",", ".")</f>
        <v>7.11614205264601 64.2919112956052</v>
      </c>
      <c r="T3">
        <v>0.01</v>
      </c>
    </row>
    <row r="4" spans="1:20" x14ac:dyDescent="0.2">
      <c r="A4" s="1">
        <v>3</v>
      </c>
      <c r="B4" s="17" t="s">
        <v>60</v>
      </c>
      <c r="C4" s="17" t="s">
        <v>131</v>
      </c>
      <c r="D4" s="17" t="s">
        <v>126</v>
      </c>
      <c r="E4" s="17" t="s">
        <v>132</v>
      </c>
      <c r="F4" s="17" t="s">
        <v>198</v>
      </c>
      <c r="G4" s="17" t="s">
        <v>199</v>
      </c>
      <c r="H4" s="1" t="str">
        <f t="shared" si="1"/>
        <v>LINESTRING(4.68854112718991 62.3027286385494,5.10073123031673 60.7874221331929,5.51292133344356 59.2721156278364)</v>
      </c>
      <c r="I4" s="1">
        <f t="shared" si="2"/>
        <v>87.5</v>
      </c>
      <c r="J4" s="1">
        <v>70</v>
      </c>
      <c r="K4" s="1" t="str">
        <f t="shared" si="0"/>
        <v/>
      </c>
      <c r="L4" s="1">
        <f>INDEX(Nodes!$A:$A,MATCH(Arcs!F4,Nodes!$B:$B,0))</f>
        <v>2</v>
      </c>
      <c r="M4" s="1">
        <f>INDEX(Nodes!$A:$A,MATCH(Arcs!G4,Nodes!$B:$B,0))</f>
        <v>36</v>
      </c>
      <c r="N4" s="2">
        <v>0.1</v>
      </c>
      <c r="O4" s="3">
        <v>0.1</v>
      </c>
      <c r="P4" t="str" cm="1">
        <f t="array" ref="P4">SUBSTITUTE(INDEX(Nodes!$A$3:$E$64,Arcs!L4,4) &amp; " " &amp; INDEX(Nodes!$A$3:$E$64,Arcs!L4,5), ",",".")</f>
        <v>4.68854112718991 62.3027286385494</v>
      </c>
      <c r="Q4" t="str" cm="1">
        <f t="array" ref="Q4">SUBSTITUTE(INDEX(Nodes!$A$3:$E$64,Arcs!M4,4) &amp; " " &amp; INDEX(Nodes!$A$3:$E$64,Arcs!M4,5), ",",".")</f>
        <v>5.51292133344356 59.2721156278364</v>
      </c>
      <c r="R4" t="str">
        <f>SUBSTITUTE(AVERAGE(INDEX(Nodes!$A$3:$E$64,Arcs!L4,4), INDEX(Nodes!$A$3:$E$64,Arcs!M4,4)) &amp; " " &amp; AVERAGE(INDEX(Nodes!$A$3:$E$64,Arcs!L4,5), INDEX(Nodes!$A$3:$E$64,Arcs!M4,5)), ",", ".")</f>
        <v>5.10073123031673 60.7874221331929</v>
      </c>
      <c r="T4">
        <v>0.70699999999999996</v>
      </c>
    </row>
    <row r="5" spans="1:20" x14ac:dyDescent="0.2">
      <c r="A5" s="1">
        <v>4</v>
      </c>
      <c r="B5" s="17" t="s">
        <v>12</v>
      </c>
      <c r="C5" s="17" t="s">
        <v>131</v>
      </c>
      <c r="D5" s="17" t="s">
        <v>126</v>
      </c>
      <c r="E5" s="17" t="s">
        <v>133</v>
      </c>
      <c r="F5" s="17" t="s">
        <v>98</v>
      </c>
      <c r="G5" s="18" t="s">
        <v>110</v>
      </c>
      <c r="H5" s="1" t="str">
        <f t="shared" si="1"/>
        <v>LINESTRING(2.46440416605363 58.1881490174125,3.34351308302685 56.9475590087063,4.22262200000006 55.7069690000001)</v>
      </c>
      <c r="I5" s="1">
        <f t="shared" si="2"/>
        <v>57.125</v>
      </c>
      <c r="J5" s="39">
        <v>45.7</v>
      </c>
      <c r="K5" s="1" t="str">
        <f t="shared" si="0"/>
        <v/>
      </c>
      <c r="L5" s="1">
        <f>INDEX(Nodes!$A:$A,MATCH(Arcs!F5,Nodes!$B:$B,0))</f>
        <v>15</v>
      </c>
      <c r="M5" s="1">
        <f>INDEX(Nodes!$A:$A,MATCH(Arcs!G5,Nodes!$B:$B,0))</f>
        <v>23</v>
      </c>
      <c r="N5" s="2">
        <v>0.1</v>
      </c>
      <c r="O5" s="3">
        <v>0.1</v>
      </c>
      <c r="P5" t="str" cm="1">
        <f t="array" ref="P5">SUBSTITUTE(INDEX(Nodes!$A$3:$E$64,Arcs!L5,4) &amp; " " &amp; INDEX(Nodes!$A$3:$E$64,Arcs!L5,5), ",",".")</f>
        <v>2.46440416605363 58.1881490174125</v>
      </c>
      <c r="Q5" t="str" cm="1">
        <f t="array" ref="Q5">SUBSTITUTE(INDEX(Nodes!$A$3:$E$64,Arcs!M5,4) &amp; " " &amp; INDEX(Nodes!$A$3:$E$64,Arcs!M5,5), ",",".")</f>
        <v>4.22262200000006 55.7069690000001</v>
      </c>
      <c r="R5" t="str">
        <f>SUBSTITUTE(AVERAGE(INDEX(Nodes!$A$3:$E$64,Arcs!L5,4), INDEX(Nodes!$A$3:$E$64,Arcs!M5,4)) &amp; " " &amp; AVERAGE(INDEX(Nodes!$A$3:$E$64,Arcs!L5,5), INDEX(Nodes!$A$3:$E$64,Arcs!M5,5)), ",", ".")</f>
        <v>3.34351308302685 56.9475590087063</v>
      </c>
      <c r="T5">
        <f>0.667*0.6</f>
        <v>0.4002</v>
      </c>
    </row>
    <row r="6" spans="1:20" x14ac:dyDescent="0.2">
      <c r="A6" s="1">
        <v>5</v>
      </c>
      <c r="B6" s="17" t="s">
        <v>12</v>
      </c>
      <c r="C6" s="17" t="s">
        <v>131</v>
      </c>
      <c r="D6" s="17" t="s">
        <v>126</v>
      </c>
      <c r="E6" s="17" t="s">
        <v>133</v>
      </c>
      <c r="F6" s="18" t="s">
        <v>110</v>
      </c>
      <c r="G6" s="17" t="s">
        <v>323</v>
      </c>
      <c r="H6" s="1" t="str">
        <f t="shared" si="1"/>
        <v>LINESTRING(4.22262200000006 55.7069690000001,5.77452100000005 54.6933345000001,7.32642000000004 53.6797000000001)</v>
      </c>
      <c r="I6" s="1">
        <f t="shared" si="2"/>
        <v>57.125</v>
      </c>
      <c r="J6" s="39">
        <v>45.7</v>
      </c>
      <c r="K6" s="1" t="str">
        <f t="shared" si="0"/>
        <v/>
      </c>
      <c r="L6" s="1">
        <f>INDEX(Nodes!$A:$A,MATCH(Arcs!F6,Nodes!$B:$B,0))</f>
        <v>23</v>
      </c>
      <c r="M6" s="1">
        <f>INDEX(Nodes!$A:$A,MATCH(Arcs!G6,Nodes!$B:$B,0))</f>
        <v>21</v>
      </c>
      <c r="N6" s="2">
        <v>0.1</v>
      </c>
      <c r="O6" s="3">
        <v>0.1</v>
      </c>
      <c r="P6" t="str" cm="1">
        <f t="array" ref="P6">SUBSTITUTE(INDEX(Nodes!$A$3:$E$64,Arcs!L6,4) &amp; " " &amp; INDEX(Nodes!$A$3:$E$64,Arcs!L6,5), ",",".")</f>
        <v>4.22262200000006 55.7069690000001</v>
      </c>
      <c r="Q6" t="str" cm="1">
        <f t="array" ref="Q6">SUBSTITUTE(INDEX(Nodes!$A$3:$E$64,Arcs!M6,4) &amp; " " &amp; INDEX(Nodes!$A$3:$E$64,Arcs!M6,5), ",",".")</f>
        <v>7.32642000000004 53.6797000000001</v>
      </c>
      <c r="R6" t="str">
        <f>SUBSTITUTE(AVERAGE(INDEX(Nodes!$A$3:$E$64,Arcs!L6,4), INDEX(Nodes!$A$3:$E$64,Arcs!M6,4)) &amp; " " &amp; AVERAGE(INDEX(Nodes!$A$3:$E$64,Arcs!L6,5), INDEX(Nodes!$A$3:$E$64,Arcs!M6,5)), ",", ".")</f>
        <v>5.77452100000005 54.6933345000001</v>
      </c>
      <c r="T6">
        <f>0.667*0.4</f>
        <v>0.26680000000000004</v>
      </c>
    </row>
    <row r="7" spans="1:20" x14ac:dyDescent="0.2">
      <c r="A7" s="1">
        <v>6</v>
      </c>
      <c r="B7" s="17" t="s">
        <v>291</v>
      </c>
      <c r="C7" s="17" t="s">
        <v>131</v>
      </c>
      <c r="D7" s="17" t="s">
        <v>126</v>
      </c>
      <c r="E7" s="17" t="s">
        <v>134</v>
      </c>
      <c r="F7" s="17" t="s">
        <v>199</v>
      </c>
      <c r="G7" s="17" t="s">
        <v>104</v>
      </c>
      <c r="H7" s="1" t="str">
        <f t="shared" si="1"/>
        <v>LINESTRING(5.51292133344356 59.2721156278364,6.00836066672178 57.4910578139182,6.5038 55.71)</v>
      </c>
      <c r="I7" s="1">
        <f t="shared" si="2"/>
        <v>91.875</v>
      </c>
      <c r="J7" s="39">
        <v>73.5</v>
      </c>
      <c r="K7" s="1" t="str">
        <f t="shared" si="0"/>
        <v/>
      </c>
      <c r="L7" s="1">
        <f>INDEX(Nodes!$A:$A,MATCH(Arcs!F7,Nodes!$B:$B,0))</f>
        <v>36</v>
      </c>
      <c r="M7" s="1">
        <f>INDEX(Nodes!$A:$A,MATCH(Arcs!G7,Nodes!$B:$B,0))</f>
        <v>5</v>
      </c>
      <c r="N7" s="2">
        <v>0.1</v>
      </c>
      <c r="O7" s="3">
        <v>0.1</v>
      </c>
      <c r="P7" t="str" cm="1">
        <f t="array" ref="P7">SUBSTITUTE(INDEX(Nodes!$A$3:$E$64,Arcs!L7,4) &amp; " " &amp; INDEX(Nodes!$A$3:$E$64,Arcs!L7,5), ",",".")</f>
        <v>5.51292133344356 59.2721156278364</v>
      </c>
      <c r="Q7" t="str" cm="1">
        <f t="array" ref="Q7">SUBSTITUTE(INDEX(Nodes!$A$3:$E$64,Arcs!M7,4) &amp; " " &amp; INDEX(Nodes!$A$3:$E$64,Arcs!M7,5), ",",".")</f>
        <v>6.5038 55.71</v>
      </c>
      <c r="R7" t="str">
        <f>SUBSTITUTE(AVERAGE(INDEX(Nodes!$A$3:$E$64,Arcs!L7,4), INDEX(Nodes!$A$3:$E$64,Arcs!M7,4)) &amp; " " &amp; AVERAGE(INDEX(Nodes!$A$3:$E$64,Arcs!L7,5), INDEX(Nodes!$A$3:$E$64,Arcs!M7,5)), ",", ".")</f>
        <v>6.00836066672178 57.4910578139182</v>
      </c>
      <c r="T7">
        <v>0.44</v>
      </c>
    </row>
    <row r="8" spans="1:20" x14ac:dyDescent="0.2">
      <c r="A8" s="1">
        <v>7</v>
      </c>
      <c r="B8" s="17" t="s">
        <v>292</v>
      </c>
      <c r="C8" s="17" t="s">
        <v>131</v>
      </c>
      <c r="D8" s="17" t="s">
        <v>126</v>
      </c>
      <c r="E8" s="17" t="s">
        <v>134</v>
      </c>
      <c r="F8" s="17" t="s">
        <v>104</v>
      </c>
      <c r="G8" s="17" t="s">
        <v>323</v>
      </c>
      <c r="H8" s="1" t="str">
        <f t="shared" si="1"/>
        <v>LINESTRING(6.5038 55.71,6.91511000000002 54.69485,7.32642000000004 53.6797000000001)</v>
      </c>
      <c r="I8" s="1">
        <f t="shared" si="2"/>
        <v>91.875</v>
      </c>
      <c r="J8" s="39">
        <v>73.5</v>
      </c>
      <c r="K8" s="1" t="str">
        <f t="shared" si="0"/>
        <v/>
      </c>
      <c r="L8" s="1">
        <f>INDEX(Nodes!$A:$A,MATCH(Arcs!F8,Nodes!$B:$B,0))</f>
        <v>5</v>
      </c>
      <c r="M8" s="1">
        <f>INDEX(Nodes!$A:$A,MATCH(Arcs!G8,Nodes!$B:$B,0))</f>
        <v>21</v>
      </c>
      <c r="N8" s="2">
        <v>0.1</v>
      </c>
      <c r="O8" s="3">
        <v>0.1</v>
      </c>
      <c r="P8" t="str" cm="1">
        <f t="array" ref="P8">SUBSTITUTE(INDEX(Nodes!$A$3:$E$64,Arcs!L8,4) &amp; " " &amp; INDEX(Nodes!$A$3:$E$64,Arcs!L8,5), ",",".")</f>
        <v>6.5038 55.71</v>
      </c>
      <c r="Q8" t="str" cm="1">
        <f t="array" ref="Q8">SUBSTITUTE(INDEX(Nodes!$A$3:$E$64,Arcs!M8,4) &amp; " " &amp; INDEX(Nodes!$A$3:$E$64,Arcs!M8,5), ",",".")</f>
        <v>7.32642000000004 53.6797000000001</v>
      </c>
      <c r="R8" t="str">
        <f>SUBSTITUTE(AVERAGE(INDEX(Nodes!$A$3:$E$64,Arcs!L8,4), INDEX(Nodes!$A$3:$E$64,Arcs!M8,4)) &amp; " " &amp; AVERAGE(INDEX(Nodes!$A$3:$E$64,Arcs!L8,5), INDEX(Nodes!$A$3:$E$64,Arcs!M8,5)), ",", ".")</f>
        <v>6.91511000000002 54.69485</v>
      </c>
      <c r="T8">
        <v>0.22</v>
      </c>
    </row>
    <row r="9" spans="1:20" x14ac:dyDescent="0.2">
      <c r="A9" s="1">
        <v>8</v>
      </c>
      <c r="B9" s="17" t="s">
        <v>11</v>
      </c>
      <c r="C9" s="17" t="s">
        <v>131</v>
      </c>
      <c r="D9" s="17" t="s">
        <v>126</v>
      </c>
      <c r="E9" s="17" t="s">
        <v>136</v>
      </c>
      <c r="F9" s="17" t="s">
        <v>98</v>
      </c>
      <c r="G9" s="17" t="s">
        <v>114</v>
      </c>
      <c r="H9" s="1" t="str">
        <f t="shared" si="1"/>
        <v>LINESTRING(2.46440416605363 58.1881490174125,2.35855658302684 54.6172775087063,2.25270900000004 51.046406)</v>
      </c>
      <c r="I9" s="1">
        <f t="shared" si="2"/>
        <v>67.75</v>
      </c>
      <c r="J9" s="53">
        <v>54.2</v>
      </c>
      <c r="K9" s="1" t="str">
        <f t="shared" si="0"/>
        <v/>
      </c>
      <c r="L9" s="1">
        <f>INDEX(Nodes!$A:$A,MATCH(Arcs!F9,Nodes!$B:$B,0))</f>
        <v>15</v>
      </c>
      <c r="M9" s="1">
        <f>INDEX(Nodes!$A:$A,MATCH(Arcs!G9,Nodes!$B:$B,0))</f>
        <v>17</v>
      </c>
      <c r="N9" s="2">
        <v>0.1</v>
      </c>
      <c r="O9" s="3">
        <v>0.1</v>
      </c>
      <c r="P9" t="str" cm="1">
        <f t="array" ref="P9">SUBSTITUTE(INDEX(Nodes!$A$3:$E$64,Arcs!L9,4) &amp; " " &amp; INDEX(Nodes!$A$3:$E$64,Arcs!L9,5), ",",".")</f>
        <v>2.46440416605363 58.1881490174125</v>
      </c>
      <c r="Q9" t="str" cm="1">
        <f t="array" ref="Q9">SUBSTITUTE(INDEX(Nodes!$A$3:$E$64,Arcs!M9,4) &amp; " " &amp; INDEX(Nodes!$A$3:$E$64,Arcs!M9,5), ",",".")</f>
        <v>2.25270900000004 51.046406</v>
      </c>
      <c r="R9" t="str">
        <f>SUBSTITUTE(AVERAGE(INDEX(Nodes!$A$3:$E$64,Arcs!L9,4), INDEX(Nodes!$A$3:$E$64,Arcs!M9,4)) &amp; " " &amp; AVERAGE(INDEX(Nodes!$A$3:$E$64,Arcs!L9,5), INDEX(Nodes!$A$3:$E$64,Arcs!M9,5)), ",", ".")</f>
        <v>2.35855658302684 54.6172775087063</v>
      </c>
      <c r="T9">
        <v>0.84</v>
      </c>
    </row>
    <row r="10" spans="1:20" x14ac:dyDescent="0.2">
      <c r="A10" s="1">
        <v>9</v>
      </c>
      <c r="B10" s="17" t="s">
        <v>177</v>
      </c>
      <c r="C10" s="17" t="s">
        <v>131</v>
      </c>
      <c r="D10" s="17" t="s">
        <v>126</v>
      </c>
      <c r="E10" s="17" t="s">
        <v>137</v>
      </c>
      <c r="F10" s="17" t="s">
        <v>178</v>
      </c>
      <c r="G10" s="17" t="s">
        <v>83</v>
      </c>
      <c r="H10" s="1" t="str">
        <f t="shared" si="1"/>
        <v>LINESTRING(2.50707808340931 61.0775819356338,3.67283754339515 60.8114652109992,4.838597003381 60.5453484863646)</v>
      </c>
      <c r="I10" s="1">
        <f t="shared" si="2"/>
        <v>41.875</v>
      </c>
      <c r="J10" s="39">
        <v>33.5</v>
      </c>
      <c r="K10" s="1" t="str">
        <f t="shared" si="0"/>
        <v/>
      </c>
      <c r="L10" s="1">
        <f>INDEX(Nodes!$A:$A,MATCH(Arcs!F10,Nodes!$B:$B,0))</f>
        <v>38</v>
      </c>
      <c r="M10" s="1">
        <f>INDEX(Nodes!$A:$A,MATCH(Arcs!G10,Nodes!$B:$B,0))</f>
        <v>37</v>
      </c>
      <c r="N10" s="2">
        <v>0.1</v>
      </c>
      <c r="O10" s="3">
        <v>0.1</v>
      </c>
      <c r="P10" t="str" cm="1">
        <f t="array" ref="P10">SUBSTITUTE(INDEX(Nodes!$A$3:$E$64,Arcs!L10,4) &amp; " " &amp; INDEX(Nodes!$A$3:$E$64,Arcs!L10,5), ",",".")</f>
        <v>2.50707808340931 61.0775819356338</v>
      </c>
      <c r="Q10" t="str" cm="1">
        <f t="array" ref="Q10">SUBSTITUTE(INDEX(Nodes!$A$3:$E$64,Arcs!M10,4) &amp; " " &amp; INDEX(Nodes!$A$3:$E$64,Arcs!M10,5), ",",".")</f>
        <v>4.838597003381 60.5453484863646</v>
      </c>
      <c r="R10" t="str">
        <f>SUBSTITUTE(AVERAGE(INDEX(Nodes!$A$3:$E$64,Arcs!L10,4), INDEX(Nodes!$A$3:$E$64,Arcs!M10,4)) &amp; " " &amp; AVERAGE(INDEX(Nodes!$A$3:$E$64,Arcs!L10,5), INDEX(Nodes!$A$3:$E$64,Arcs!M10,5)), ",", ".")</f>
        <v>3.67283754339515 60.8114652109992</v>
      </c>
      <c r="T10">
        <v>0.14699999999999999</v>
      </c>
    </row>
    <row r="11" spans="1:20" x14ac:dyDescent="0.2">
      <c r="A11" s="1">
        <v>10</v>
      </c>
      <c r="B11" s="17" t="s">
        <v>7</v>
      </c>
      <c r="C11" s="17" t="s">
        <v>131</v>
      </c>
      <c r="D11" s="17" t="s">
        <v>126</v>
      </c>
      <c r="E11" s="17" t="s">
        <v>138</v>
      </c>
      <c r="F11" s="17" t="s">
        <v>76</v>
      </c>
      <c r="G11" s="17" t="s">
        <v>97</v>
      </c>
      <c r="H11" s="1" t="str">
        <f t="shared" si="1"/>
        <v>LINESTRING(6.94577121700007 62.851558685,4.43081880699815 60.6082514294188,1.91586639699623 58.3649441738375)</v>
      </c>
      <c r="I11" s="1">
        <f t="shared" si="2"/>
        <v>93.375</v>
      </c>
      <c r="J11" s="39">
        <v>74.7</v>
      </c>
      <c r="K11" s="1" t="str">
        <f t="shared" si="0"/>
        <v/>
      </c>
      <c r="L11" s="1">
        <f>INDEX(Nodes!$A:$A,MATCH(Arcs!F11,Nodes!$B:$B,0))</f>
        <v>44</v>
      </c>
      <c r="M11" s="1">
        <f>INDEX(Nodes!$A:$A,MATCH(Arcs!G11,Nodes!$B:$B,0))</f>
        <v>51</v>
      </c>
      <c r="N11" s="2">
        <v>0.1</v>
      </c>
      <c r="O11" s="3">
        <v>0.1</v>
      </c>
      <c r="P11" t="str" cm="1">
        <f t="array" ref="P11">SUBSTITUTE(INDEX(Nodes!$A$3:$E$64,Arcs!L11,4) &amp; " " &amp; INDEX(Nodes!$A$3:$E$64,Arcs!L11,5), ",",".")</f>
        <v>6.94577121700007 62.851558685</v>
      </c>
      <c r="Q11" t="str" cm="1">
        <f t="array" ref="Q11">SUBSTITUTE(INDEX(Nodes!$A$3:$E$64,Arcs!M11,4) &amp; " " &amp; INDEX(Nodes!$A$3:$E$64,Arcs!M11,5), ",",".")</f>
        <v>1.91586639699623 58.3649441738375</v>
      </c>
      <c r="R11" t="str">
        <f>SUBSTITUTE(AVERAGE(INDEX(Nodes!$A$3:$E$64,Arcs!L11,4), INDEX(Nodes!$A$3:$E$64,Arcs!M11,4)) &amp; " " &amp; AVERAGE(INDEX(Nodes!$A$3:$E$64,Arcs!L11,5), INDEX(Nodes!$A$3:$E$64,Arcs!M11,5)), ",", ".")</f>
        <v>4.43081880699815 60.6082514294188</v>
      </c>
      <c r="T11">
        <v>0.627</v>
      </c>
    </row>
    <row r="12" spans="1:20" x14ac:dyDescent="0.2">
      <c r="A12" s="1">
        <v>11</v>
      </c>
      <c r="B12" s="17" t="s">
        <v>7</v>
      </c>
      <c r="C12" s="17" t="s">
        <v>131</v>
      </c>
      <c r="D12" s="17" t="s">
        <v>126</v>
      </c>
      <c r="E12" s="17" t="s">
        <v>139</v>
      </c>
      <c r="F12" s="17" t="s">
        <v>97</v>
      </c>
      <c r="G12" s="17" t="s">
        <v>111</v>
      </c>
      <c r="H12" s="1" t="str">
        <f t="shared" si="1"/>
        <v>LINESTRING(1.91586639699623 58.3649441738375,1.01594869849812 56.0120875869188,0.116031000000021 53.659231)</v>
      </c>
      <c r="I12" s="1">
        <f t="shared" si="2"/>
        <v>92.25</v>
      </c>
      <c r="J12" s="39">
        <v>73.8</v>
      </c>
      <c r="K12" s="1" t="str">
        <f t="shared" si="0"/>
        <v/>
      </c>
      <c r="L12" s="1">
        <f>INDEX(Nodes!$A:$A,MATCH(Arcs!F12,Nodes!$B:$B,0))</f>
        <v>51</v>
      </c>
      <c r="M12" s="1">
        <f>INDEX(Nodes!$A:$A,MATCH(Arcs!G12,Nodes!$B:$B,0))</f>
        <v>18</v>
      </c>
      <c r="N12" s="2">
        <v>0.1</v>
      </c>
      <c r="O12" s="3">
        <v>0.1</v>
      </c>
      <c r="P12" t="str" cm="1">
        <f t="array" ref="P12">SUBSTITUTE(INDEX(Nodes!$A$3:$E$64,Arcs!L12,4) &amp; " " &amp; INDEX(Nodes!$A$3:$E$64,Arcs!L12,5), ",",".")</f>
        <v>1.91586639699623 58.3649441738375</v>
      </c>
      <c r="Q12" t="str" cm="1">
        <f t="array" ref="Q12">SUBSTITUTE(INDEX(Nodes!$A$3:$E$64,Arcs!M12,4) &amp; " " &amp; INDEX(Nodes!$A$3:$E$64,Arcs!M12,5), ",",".")</f>
        <v>0.116031000000021 53.659231</v>
      </c>
      <c r="R12" t="str">
        <f>SUBSTITUTE(AVERAGE(INDEX(Nodes!$A$3:$E$64,Arcs!L12,4), INDEX(Nodes!$A$3:$E$64,Arcs!M12,4)) &amp; " " &amp; AVERAGE(INDEX(Nodes!$A$3:$E$64,Arcs!L12,5), INDEX(Nodes!$A$3:$E$64,Arcs!M12,5)), ",", ".")</f>
        <v>1.01594869849812 56.0120875869188</v>
      </c>
      <c r="T12">
        <v>0.54300000000000004</v>
      </c>
    </row>
    <row r="13" spans="1:20" x14ac:dyDescent="0.2">
      <c r="A13" s="1">
        <v>12</v>
      </c>
      <c r="B13" s="17" t="s">
        <v>140</v>
      </c>
      <c r="C13" s="17" t="s">
        <v>131</v>
      </c>
      <c r="D13" s="17" t="s">
        <v>126</v>
      </c>
      <c r="E13" s="17" t="s">
        <v>141</v>
      </c>
      <c r="F13" s="17" t="s">
        <v>67</v>
      </c>
      <c r="G13" s="17" t="s">
        <v>70</v>
      </c>
      <c r="H13" s="1" t="str">
        <f t="shared" si="1"/>
        <v>LINESTRING(8.0785441179034 66.0293308994089,7.44000255895174 65.5569234497045,6.80146100000007 65.0845160000001)</v>
      </c>
      <c r="I13" s="1">
        <f t="shared" si="2"/>
        <v>13.75</v>
      </c>
      <c r="J13" s="39">
        <v>11</v>
      </c>
      <c r="K13" s="1" t="str">
        <f t="shared" si="0"/>
        <v/>
      </c>
      <c r="L13" s="1">
        <f>INDEX(Nodes!$A:$A,MATCH(Arcs!F13,Nodes!$B:$B,0))</f>
        <v>41</v>
      </c>
      <c r="M13" s="1">
        <f>INDEX(Nodes!$A:$A,MATCH(Arcs!G13,Nodes!$B:$B,0))</f>
        <v>42</v>
      </c>
      <c r="N13" s="2">
        <v>0.1</v>
      </c>
      <c r="O13" s="3">
        <v>0.1</v>
      </c>
      <c r="P13" t="str" cm="1">
        <f t="array" ref="P13">SUBSTITUTE(INDEX(Nodes!$A$3:$E$64,Arcs!L13,4) &amp; " " &amp; INDEX(Nodes!$A$3:$E$64,Arcs!L13,5), ",",".")</f>
        <v>8.0785441179034 66.0293308994089</v>
      </c>
      <c r="Q13" t="str" cm="1">
        <f t="array" ref="Q13">SUBSTITUTE(INDEX(Nodes!$A$3:$E$64,Arcs!M13,4) &amp; " " &amp; INDEX(Nodes!$A$3:$E$64,Arcs!M13,5), ",",".")</f>
        <v>6.80146100000007 65.0845160000001</v>
      </c>
      <c r="R13" t="str">
        <f>SUBSTITUTE(AVERAGE(INDEX(Nodes!$A$3:$E$64,Arcs!L13,4), INDEX(Nodes!$A$3:$E$64,Arcs!M13,4)) &amp; " " &amp; AVERAGE(INDEX(Nodes!$A$3:$E$64,Arcs!L13,5), INDEX(Nodes!$A$3:$E$64,Arcs!M13,5)), ",", ".")</f>
        <v>7.44000255895174 65.5569234497045</v>
      </c>
      <c r="T13">
        <v>0.128</v>
      </c>
    </row>
    <row r="14" spans="1:20" x14ac:dyDescent="0.2">
      <c r="A14" s="1">
        <v>13</v>
      </c>
      <c r="B14" s="17" t="s">
        <v>142</v>
      </c>
      <c r="C14" s="17" t="s">
        <v>131</v>
      </c>
      <c r="D14" s="17" t="s">
        <v>126</v>
      </c>
      <c r="E14" s="17" t="s">
        <v>143</v>
      </c>
      <c r="F14" s="17" t="s">
        <v>103</v>
      </c>
      <c r="G14" s="17" t="s">
        <v>102</v>
      </c>
      <c r="H14" s="1" t="str">
        <f t="shared" si="1"/>
        <v>LINESTRING(3.33050300000002 56.490369,3.28025150000001 56.5201845,3.23 56.55)</v>
      </c>
      <c r="I14" s="1">
        <f t="shared" si="2"/>
        <v>55.5</v>
      </c>
      <c r="J14" s="39">
        <v>44.4</v>
      </c>
      <c r="K14" s="1" t="str">
        <f t="shared" si="0"/>
        <v/>
      </c>
      <c r="L14" s="1">
        <f>INDEX(Nodes!$A:$A,MATCH(Arcs!F14,Nodes!$B:$B,0))</f>
        <v>43</v>
      </c>
      <c r="M14" s="1">
        <f>INDEX(Nodes!$A:$A,MATCH(Arcs!G14,Nodes!$B:$B,0))</f>
        <v>20</v>
      </c>
      <c r="N14" s="2">
        <v>0.1</v>
      </c>
      <c r="O14" s="3">
        <v>0.1</v>
      </c>
      <c r="P14" t="str" cm="1">
        <f t="array" ref="P14">SUBSTITUTE(INDEX(Nodes!$A$3:$E$64,Arcs!L14,4) &amp; " " &amp; INDEX(Nodes!$A$3:$E$64,Arcs!L14,5), ",",".")</f>
        <v>3.33050300000002 56.490369</v>
      </c>
      <c r="Q14" t="str" cm="1">
        <f t="array" ref="Q14">SUBSTITUTE(INDEX(Nodes!$A$3:$E$64,Arcs!M14,4) &amp; " " &amp; INDEX(Nodes!$A$3:$E$64,Arcs!M14,5), ",",".")</f>
        <v>3.23 56.55</v>
      </c>
      <c r="R14" t="str">
        <f>SUBSTITUTE(AVERAGE(INDEX(Nodes!$A$3:$E$64,Arcs!L14,4), INDEX(Nodes!$A$3:$E$64,Arcs!M14,4)) &amp; " " &amp; AVERAGE(INDEX(Nodes!$A$3:$E$64,Arcs!L14,5), INDEX(Nodes!$A$3:$E$64,Arcs!M14,5)), ",", ".")</f>
        <v>3.28025150000001 56.5201845</v>
      </c>
      <c r="T14">
        <v>0.02</v>
      </c>
    </row>
    <row r="15" spans="1:20" x14ac:dyDescent="0.2">
      <c r="A15" s="1">
        <v>14</v>
      </c>
      <c r="B15" s="17" t="s">
        <v>142</v>
      </c>
      <c r="C15" s="17" t="s">
        <v>131</v>
      </c>
      <c r="D15" s="17" t="s">
        <v>126</v>
      </c>
      <c r="E15" s="17" t="s">
        <v>144</v>
      </c>
      <c r="F15" s="17" t="s">
        <v>103</v>
      </c>
      <c r="G15" s="17" t="s">
        <v>105</v>
      </c>
      <c r="H15" s="1" t="str">
        <f t="shared" si="1"/>
        <v>LINESTRING(3.33050300000002 56.490369,3.94372505908058 55.9746756858192,4.55694711816114 55.4589823716383)</v>
      </c>
      <c r="I15" s="1">
        <f t="shared" si="2"/>
        <v>55.5</v>
      </c>
      <c r="J15" s="39">
        <v>44.4</v>
      </c>
      <c r="K15" s="1" t="str">
        <f t="shared" si="0"/>
        <v/>
      </c>
      <c r="L15" s="1">
        <f>INDEX(Nodes!$A:$A,MATCH(Arcs!F15,Nodes!$B:$B,0))</f>
        <v>43</v>
      </c>
      <c r="M15" s="1">
        <f>INDEX(Nodes!$A:$A,MATCH(Arcs!G15,Nodes!$B:$B,0))</f>
        <v>4</v>
      </c>
      <c r="N15" s="2">
        <v>0.1</v>
      </c>
      <c r="O15" s="3">
        <v>0.1</v>
      </c>
      <c r="P15" t="str" cm="1">
        <f t="array" ref="P15">SUBSTITUTE(INDEX(Nodes!$A$3:$E$64,Arcs!L15,4) &amp; " " &amp; INDEX(Nodes!$A$3:$E$64,Arcs!L15,5), ",",".")</f>
        <v>3.33050300000002 56.490369</v>
      </c>
      <c r="Q15" t="str" cm="1">
        <f t="array" ref="Q15">SUBSTITUTE(INDEX(Nodes!$A$3:$E$64,Arcs!M15,4) &amp; " " &amp; INDEX(Nodes!$A$3:$E$64,Arcs!M15,5), ",",".")</f>
        <v>4.55694711816114 55.4589823716383</v>
      </c>
      <c r="R15" t="str">
        <f>SUBSTITUTE(AVERAGE(INDEX(Nodes!$A$3:$E$64,Arcs!L15,4), INDEX(Nodes!$A$3:$E$64,Arcs!M15,4)) &amp; " " &amp; AVERAGE(INDEX(Nodes!$A$3:$E$64,Arcs!L15,5), INDEX(Nodes!$A$3:$E$64,Arcs!M15,5)), ",", ".")</f>
        <v>3.94372505908058 55.9746756858192</v>
      </c>
      <c r="T15">
        <f>0.431/3</f>
        <v>0.14366666666666666</v>
      </c>
    </row>
    <row r="16" spans="1:20" x14ac:dyDescent="0.2">
      <c r="A16" s="1">
        <v>15</v>
      </c>
      <c r="B16" s="17" t="s">
        <v>142</v>
      </c>
      <c r="C16" s="17" t="s">
        <v>131</v>
      </c>
      <c r="D16" s="17" t="s">
        <v>126</v>
      </c>
      <c r="E16" s="17" t="s">
        <v>144</v>
      </c>
      <c r="F16" s="17" t="s">
        <v>105</v>
      </c>
      <c r="G16" s="17" t="s">
        <v>108</v>
      </c>
      <c r="H16" s="1" t="str">
        <f t="shared" si="1"/>
        <v>LINESTRING(4.55694711816114 55.4589823716383,5.2987903360241 54.982391852912,6.04063355388706 54.5058013341856)</v>
      </c>
      <c r="I16" s="1">
        <f t="shared" si="2"/>
        <v>55.5</v>
      </c>
      <c r="J16" s="39">
        <v>44.4</v>
      </c>
      <c r="K16" s="1" t="str">
        <f t="shared" si="0"/>
        <v/>
      </c>
      <c r="L16" s="1">
        <f>INDEX(Nodes!$A:$A,MATCH(Arcs!F16,Nodes!$B:$B,0))</f>
        <v>4</v>
      </c>
      <c r="M16" s="1">
        <f>INDEX(Nodes!$A:$A,MATCH(Arcs!G16,Nodes!$B:$B,0))</f>
        <v>30</v>
      </c>
      <c r="N16" s="2">
        <v>0.1</v>
      </c>
      <c r="O16" s="3">
        <v>0.1</v>
      </c>
      <c r="P16" t="str" cm="1">
        <f t="array" ref="P16">SUBSTITUTE(INDEX(Nodes!$A$3:$E$64,Arcs!L16,4) &amp; " " &amp; INDEX(Nodes!$A$3:$E$64,Arcs!L16,5), ",",".")</f>
        <v>4.55694711816114 55.4589823716383</v>
      </c>
      <c r="Q16" t="str" cm="1">
        <f t="array" ref="Q16">SUBSTITUTE(INDEX(Nodes!$A$3:$E$64,Arcs!M16,4) &amp; " " &amp; INDEX(Nodes!$A$3:$E$64,Arcs!M16,5), ",",".")</f>
        <v>6.04063355388706 54.5058013341856</v>
      </c>
      <c r="R16" t="str">
        <f>SUBSTITUTE(AVERAGE(INDEX(Nodes!$A$3:$E$64,Arcs!L16,4), INDEX(Nodes!$A$3:$E$64,Arcs!M16,4)) &amp; " " &amp; AVERAGE(INDEX(Nodes!$A$3:$E$64,Arcs!L16,5), INDEX(Nodes!$A$3:$E$64,Arcs!M16,5)), ",", ".")</f>
        <v>5.2987903360241 54.982391852912</v>
      </c>
      <c r="T16">
        <f>0.431/3</f>
        <v>0.14366666666666666</v>
      </c>
    </row>
    <row r="17" spans="1:20" x14ac:dyDescent="0.2">
      <c r="A17" s="1">
        <v>16</v>
      </c>
      <c r="B17" s="17" t="s">
        <v>142</v>
      </c>
      <c r="C17" s="17" t="s">
        <v>131</v>
      </c>
      <c r="D17" s="17" t="s">
        <v>126</v>
      </c>
      <c r="E17" s="17" t="s">
        <v>144</v>
      </c>
      <c r="F17" s="17" t="s">
        <v>108</v>
      </c>
      <c r="G17" s="17" t="s">
        <v>112</v>
      </c>
      <c r="H17" s="1" t="str">
        <f t="shared" si="1"/>
        <v>LINESTRING(6.04063355388706 54.5058013341856,6.61496177694355 53.9260006670928,7.18929000000003 53.3462000000001)</v>
      </c>
      <c r="I17" s="1">
        <f t="shared" si="2"/>
        <v>55.5</v>
      </c>
      <c r="J17" s="39">
        <v>44.4</v>
      </c>
      <c r="K17" s="1" t="str">
        <f t="shared" si="0"/>
        <v/>
      </c>
      <c r="L17" s="1">
        <f>INDEX(Nodes!$A:$A,MATCH(Arcs!F17,Nodes!$B:$B,0))</f>
        <v>30</v>
      </c>
      <c r="M17" s="1">
        <f>INDEX(Nodes!$A:$A,MATCH(Arcs!G17,Nodes!$B:$B,0))</f>
        <v>22</v>
      </c>
      <c r="N17" s="2">
        <v>0.1</v>
      </c>
      <c r="O17" s="3">
        <v>0.1</v>
      </c>
      <c r="P17" t="str" cm="1">
        <f t="array" ref="P17">SUBSTITUTE(INDEX(Nodes!$A$3:$E$64,Arcs!L17,4) &amp; " " &amp; INDEX(Nodes!$A$3:$E$64,Arcs!L17,5), ",",".")</f>
        <v>6.04063355388706 54.5058013341856</v>
      </c>
      <c r="Q17" t="str" cm="1">
        <f t="array" ref="Q17">SUBSTITUTE(INDEX(Nodes!$A$3:$E$64,Arcs!M17,4) &amp; " " &amp; INDEX(Nodes!$A$3:$E$64,Arcs!M17,5), ",",".")</f>
        <v>7.18929000000003 53.3462000000001</v>
      </c>
      <c r="R17" t="str">
        <f>SUBSTITUTE(AVERAGE(INDEX(Nodes!$A$3:$E$64,Arcs!L17,4), INDEX(Nodes!$A$3:$E$64,Arcs!M17,4)) &amp; " " &amp; AVERAGE(INDEX(Nodes!$A$3:$E$64,Arcs!L17,5), INDEX(Nodes!$A$3:$E$64,Arcs!M17,5)), ",", ".")</f>
        <v>6.61496177694355 53.9260006670928</v>
      </c>
      <c r="T17">
        <f>0.431/3</f>
        <v>0.14366666666666666</v>
      </c>
    </row>
    <row r="18" spans="1:20" x14ac:dyDescent="0.2">
      <c r="A18" s="1">
        <v>17</v>
      </c>
      <c r="B18" s="17" t="s">
        <v>145</v>
      </c>
      <c r="C18" s="17" t="s">
        <v>131</v>
      </c>
      <c r="D18" s="17" t="s">
        <v>126</v>
      </c>
      <c r="E18" s="17" t="s">
        <v>146</v>
      </c>
      <c r="F18" s="17" t="s">
        <v>86</v>
      </c>
      <c r="G18" s="17" t="s">
        <v>88</v>
      </c>
      <c r="H18" s="1" t="str">
        <f t="shared" si="1"/>
        <v>LINESTRING(2.82404618697923 60.4869004536081,2.52963583723616 60.0289879024106,2.23522548749309 59.5710753512132)</v>
      </c>
      <c r="I18" s="1">
        <f t="shared" si="2"/>
        <v>43.75</v>
      </c>
      <c r="J18" s="39">
        <v>35</v>
      </c>
      <c r="K18" s="1" t="str">
        <f t="shared" si="0"/>
        <v/>
      </c>
      <c r="L18" s="1">
        <f>INDEX(Nodes!$A:$A,MATCH(Arcs!F18,Nodes!$B:$B,0))</f>
        <v>46</v>
      </c>
      <c r="M18" s="1">
        <f>INDEX(Nodes!$A:$A,MATCH(Arcs!G18,Nodes!$B:$B,0))</f>
        <v>33</v>
      </c>
      <c r="N18" s="2">
        <v>0.1</v>
      </c>
      <c r="O18" s="3">
        <v>0.1</v>
      </c>
      <c r="P18" t="str" cm="1">
        <f t="array" ref="P18">SUBSTITUTE(INDEX(Nodes!$A$3:$E$64,Arcs!L18,4) &amp; " " &amp; INDEX(Nodes!$A$3:$E$64,Arcs!L18,5), ",",".")</f>
        <v>2.82404618697923 60.4869004536081</v>
      </c>
      <c r="Q18" t="str" cm="1">
        <f t="array" ref="Q18">SUBSTITUTE(INDEX(Nodes!$A$3:$E$64,Arcs!M18,4) &amp; " " &amp; INDEX(Nodes!$A$3:$E$64,Arcs!M18,5), ",",".")</f>
        <v>2.23522548749309 59.5710753512132</v>
      </c>
      <c r="R18" t="str">
        <f>SUBSTITUTE(AVERAGE(INDEX(Nodes!$A$3:$E$64,Arcs!L18,4), INDEX(Nodes!$A$3:$E$64,Arcs!M18,4)) &amp; " " &amp; AVERAGE(INDEX(Nodes!$A$3:$E$64,Arcs!L18,5), INDEX(Nodes!$A$3:$E$64,Arcs!M18,5)), ",", ".")</f>
        <v>2.52963583723616 60.0289879024106</v>
      </c>
      <c r="T18">
        <v>0.109</v>
      </c>
    </row>
    <row r="19" spans="1:20" x14ac:dyDescent="0.2">
      <c r="A19" s="1">
        <v>18</v>
      </c>
      <c r="B19" s="17" t="s">
        <v>10</v>
      </c>
      <c r="C19" s="17" t="s">
        <v>131</v>
      </c>
      <c r="D19" s="17" t="s">
        <v>126</v>
      </c>
      <c r="E19" s="17" t="s">
        <v>147</v>
      </c>
      <c r="F19" s="17" t="s">
        <v>78</v>
      </c>
      <c r="G19" s="17" t="s">
        <v>199</v>
      </c>
      <c r="H19" s="1" t="str">
        <f t="shared" si="1"/>
        <v>LINESTRING(1.84593600000005 61.1858300000001,3.67942866672181 60.2289728139182,5.51292133344356 59.2721156278364)</v>
      </c>
      <c r="I19" s="1">
        <f t="shared" si="2"/>
        <v>31.25</v>
      </c>
      <c r="J19" s="1">
        <v>25</v>
      </c>
      <c r="K19" s="1" t="str">
        <f t="shared" si="0"/>
        <v/>
      </c>
      <c r="L19" s="1">
        <f>INDEX(Nodes!$A:$A,MATCH(Arcs!F19,Nodes!$B:$B,0))</f>
        <v>53</v>
      </c>
      <c r="M19" s="1">
        <f>INDEX(Nodes!$A:$A,MATCH(Arcs!G19,Nodes!$B:$B,0))</f>
        <v>36</v>
      </c>
      <c r="N19" s="2">
        <v>0.1</v>
      </c>
      <c r="O19" s="3">
        <v>0.1</v>
      </c>
      <c r="P19" t="str" cm="1">
        <f t="array" ref="P19">SUBSTITUTE(INDEX(Nodes!$A$3:$E$64,Arcs!L19,4) &amp; " " &amp; INDEX(Nodes!$A$3:$E$64,Arcs!L19,5), ",",".")</f>
        <v>1.84593600000005 61.1858300000001</v>
      </c>
      <c r="Q19" t="str" cm="1">
        <f t="array" ref="Q19">SUBSTITUTE(INDEX(Nodes!$A$3:$E$64,Arcs!M19,4) &amp; " " &amp; INDEX(Nodes!$A$3:$E$64,Arcs!M19,5), ",",".")</f>
        <v>5.51292133344356 59.2721156278364</v>
      </c>
      <c r="R19" t="str">
        <f>SUBSTITUTE(AVERAGE(INDEX(Nodes!$A$3:$E$64,Arcs!L19,4), INDEX(Nodes!$A$3:$E$64,Arcs!M19,4)) &amp; " " &amp; AVERAGE(INDEX(Nodes!$A$3:$E$64,Arcs!L19,5), INDEX(Nodes!$A$3:$E$64,Arcs!M19,5)), ",", ".")</f>
        <v>3.67942866672181 60.2289728139182</v>
      </c>
      <c r="T19">
        <f>0.306/2</f>
        <v>0.153</v>
      </c>
    </row>
    <row r="20" spans="1:20" x14ac:dyDescent="0.2">
      <c r="A20" s="1">
        <v>19</v>
      </c>
      <c r="B20" s="17" t="s">
        <v>10</v>
      </c>
      <c r="C20" s="17" t="s">
        <v>131</v>
      </c>
      <c r="D20" s="17" t="s">
        <v>126</v>
      </c>
      <c r="E20" s="17" t="s">
        <v>148</v>
      </c>
      <c r="F20" s="17" t="s">
        <v>89</v>
      </c>
      <c r="G20" s="17" t="s">
        <v>99</v>
      </c>
      <c r="H20" s="1" t="str">
        <f t="shared" si="1"/>
        <v>LINESTRING(2.23452257796894 59.5707378727449,2.35412777628591 58.8775735508799,2.47373297460288 58.1844092290148)</v>
      </c>
      <c r="I20" s="1">
        <f t="shared" si="2"/>
        <v>38.375</v>
      </c>
      <c r="J20" s="39">
        <v>30.7</v>
      </c>
      <c r="K20" s="1" t="str">
        <f t="shared" si="0"/>
        <v/>
      </c>
      <c r="L20" s="1">
        <f>INDEX(Nodes!$A:$A,MATCH(Arcs!F20,Nodes!$B:$B,0))</f>
        <v>32</v>
      </c>
      <c r="M20" s="1">
        <f>INDEX(Nodes!$A:$A,MATCH(Arcs!G20,Nodes!$B:$B,0))</f>
        <v>16</v>
      </c>
      <c r="N20" s="2">
        <v>0.1</v>
      </c>
      <c r="O20" s="3">
        <v>0.1</v>
      </c>
      <c r="P20" t="str" cm="1">
        <f t="array" ref="P20">SUBSTITUTE(INDEX(Nodes!$A$3:$E$64,Arcs!L20,4) &amp; " " &amp; INDEX(Nodes!$A$3:$E$64,Arcs!L20,5), ",",".")</f>
        <v>2.23452257796894 59.5707378727449</v>
      </c>
      <c r="Q20" t="str" cm="1">
        <f t="array" ref="Q20">SUBSTITUTE(INDEX(Nodes!$A$3:$E$64,Arcs!M20,4) &amp; " " &amp; INDEX(Nodes!$A$3:$E$64,Arcs!M20,5), ",",".")</f>
        <v>2.47373297460288 58.1844092290148</v>
      </c>
      <c r="R20" t="str">
        <f>SUBSTITUTE(AVERAGE(INDEX(Nodes!$A$3:$E$64,Arcs!L20,4), INDEX(Nodes!$A$3:$E$64,Arcs!M20,4)) &amp; " " &amp; AVERAGE(INDEX(Nodes!$A$3:$E$64,Arcs!L20,5), INDEX(Nodes!$A$3:$E$64,Arcs!M20,5)), ",", ".")</f>
        <v>2.35412777628591 58.8775735508799</v>
      </c>
      <c r="T20">
        <v>0.155</v>
      </c>
    </row>
    <row r="21" spans="1:20" x14ac:dyDescent="0.2">
      <c r="A21" s="1">
        <v>20</v>
      </c>
      <c r="B21" s="17" t="s">
        <v>10</v>
      </c>
      <c r="C21" s="17" t="s">
        <v>131</v>
      </c>
      <c r="D21" s="17" t="s">
        <v>126</v>
      </c>
      <c r="E21" s="17" t="s">
        <v>148</v>
      </c>
      <c r="F21" s="17" t="s">
        <v>199</v>
      </c>
      <c r="G21" s="17" t="s">
        <v>99</v>
      </c>
      <c r="H21" s="1" t="str">
        <f t="shared" si="1"/>
        <v>LINESTRING(5.51292133344356 59.2721156278364,3.99332715402322 58.7282624284256,2.47373297460288 58.1844092290148)</v>
      </c>
      <c r="I21" s="1">
        <f t="shared" si="2"/>
        <v>26.375</v>
      </c>
      <c r="J21" s="39">
        <v>21.1</v>
      </c>
      <c r="K21" s="1" t="str">
        <f t="shared" si="0"/>
        <v/>
      </c>
      <c r="L21" s="1">
        <f>INDEX(Nodes!$A:$A,MATCH(Arcs!F21,Nodes!$B:$B,0))</f>
        <v>36</v>
      </c>
      <c r="M21" s="1">
        <f>INDEX(Nodes!$A:$A,MATCH(Arcs!G21,Nodes!$B:$B,0))</f>
        <v>16</v>
      </c>
      <c r="N21" s="2">
        <v>0.1</v>
      </c>
      <c r="O21" s="3">
        <v>0.1</v>
      </c>
      <c r="P21" t="str" cm="1">
        <f t="array" ref="P21">SUBSTITUTE(INDEX(Nodes!$A$3:$E$64,Arcs!L21,4) &amp; " " &amp; INDEX(Nodes!$A$3:$E$64,Arcs!L21,5), ",",".")</f>
        <v>5.51292133344356 59.2721156278364</v>
      </c>
      <c r="Q21" t="str" cm="1">
        <f t="array" ref="Q21">SUBSTITUTE(INDEX(Nodes!$A$3:$E$64,Arcs!M21,4) &amp; " " &amp; INDEX(Nodes!$A$3:$E$64,Arcs!M21,5), ",",".")</f>
        <v>2.47373297460288 58.1844092290148</v>
      </c>
      <c r="R21" t="str">
        <f>SUBSTITUTE(AVERAGE(INDEX(Nodes!$A$3:$E$64,Arcs!L21,4), INDEX(Nodes!$A$3:$E$64,Arcs!M21,4)) &amp; " " &amp; AVERAGE(INDEX(Nodes!$A$3:$E$64,Arcs!L21,5), INDEX(Nodes!$A$3:$E$64,Arcs!M21,5)), ",", ".")</f>
        <v>3.99332715402322 58.7282624284256</v>
      </c>
      <c r="T21">
        <v>0.22800000000000001</v>
      </c>
    </row>
    <row r="22" spans="1:20" x14ac:dyDescent="0.2">
      <c r="A22" s="1">
        <v>21</v>
      </c>
      <c r="B22" s="17" t="s">
        <v>10</v>
      </c>
      <c r="C22" s="17" t="s">
        <v>131</v>
      </c>
      <c r="D22" s="17" t="s">
        <v>126</v>
      </c>
      <c r="E22" s="17" t="s">
        <v>148</v>
      </c>
      <c r="F22" s="17" t="s">
        <v>99</v>
      </c>
      <c r="G22" s="17" t="s">
        <v>103</v>
      </c>
      <c r="H22" s="1" t="str">
        <f t="shared" si="1"/>
        <v>LINESTRING(2.47373297460288 58.1844092290148,2.90211798730145 57.3373891145074,3.33050300000002 56.490369)</v>
      </c>
      <c r="I22" s="1">
        <f t="shared" si="2"/>
        <v>55.5</v>
      </c>
      <c r="J22" s="39">
        <v>44.4</v>
      </c>
      <c r="K22" s="1" t="str">
        <f t="shared" si="0"/>
        <v/>
      </c>
      <c r="L22" s="1">
        <f>INDEX(Nodes!$A:$A,MATCH(Arcs!F22,Nodes!$B:$B,0))</f>
        <v>16</v>
      </c>
      <c r="M22" s="1">
        <f>INDEX(Nodes!$A:$A,MATCH(Arcs!G22,Nodes!$B:$B,0))</f>
        <v>43</v>
      </c>
      <c r="N22" s="2">
        <v>0.1</v>
      </c>
      <c r="O22" s="3">
        <v>0.1</v>
      </c>
      <c r="P22" t="str" cm="1">
        <f t="array" ref="P22">SUBSTITUTE(INDEX(Nodes!$A$3:$E$64,Arcs!L22,4) &amp; " " &amp; INDEX(Nodes!$A$3:$E$64,Arcs!L22,5), ",",".")</f>
        <v>2.47373297460288 58.1844092290148</v>
      </c>
      <c r="Q22" t="str" cm="1">
        <f t="array" ref="Q22">SUBSTITUTE(INDEX(Nodes!$A$3:$E$64,Arcs!M22,4) &amp; " " &amp; INDEX(Nodes!$A$3:$E$64,Arcs!M22,5), ",",".")</f>
        <v>3.33050300000002 56.490369</v>
      </c>
      <c r="R22" t="str">
        <f>SUBSTITUTE(AVERAGE(INDEX(Nodes!$A$3:$E$64,Arcs!L22,4), INDEX(Nodes!$A$3:$E$64,Arcs!M22,4)) &amp; " " &amp; AVERAGE(INDEX(Nodes!$A$3:$E$64,Arcs!L22,5), INDEX(Nodes!$A$3:$E$64,Arcs!M22,5)), ",", ".")</f>
        <v>2.90211798730145 57.3373891145074</v>
      </c>
      <c r="T22">
        <v>0.20300000000000001</v>
      </c>
    </row>
    <row r="23" spans="1:20" x14ac:dyDescent="0.2">
      <c r="A23" s="1">
        <v>22</v>
      </c>
      <c r="B23" s="17" t="s">
        <v>10</v>
      </c>
      <c r="C23" s="17" t="s">
        <v>131</v>
      </c>
      <c r="D23" s="17" t="s">
        <v>126</v>
      </c>
      <c r="E23" s="17" t="s">
        <v>147</v>
      </c>
      <c r="F23" s="17" t="s">
        <v>77</v>
      </c>
      <c r="G23" s="17" t="s">
        <v>78</v>
      </c>
      <c r="H23" s="1" t="str">
        <f t="shared" si="1"/>
        <v>LINESTRING(1.83152577758408 61.2024450476016,1.83873088879207 61.1941375238008,1.84593600000005 61.1858300000001)</v>
      </c>
      <c r="I23" s="1">
        <f t="shared" si="2"/>
        <v>31.25</v>
      </c>
      <c r="J23" s="1">
        <v>25</v>
      </c>
      <c r="K23" s="1" t="str">
        <f t="shared" si="0"/>
        <v/>
      </c>
      <c r="L23" s="1">
        <f>INDEX(Nodes!$A:$A,MATCH(Arcs!F23,Nodes!$B:$B,0))</f>
        <v>54</v>
      </c>
      <c r="M23" s="1">
        <f>INDEX(Nodes!$A:$A,MATCH(Arcs!G23,Nodes!$B:$B,0))</f>
        <v>53</v>
      </c>
      <c r="N23" s="2">
        <v>0.1</v>
      </c>
      <c r="O23" s="3">
        <v>0.1</v>
      </c>
      <c r="P23" t="str" cm="1">
        <f t="array" ref="P23">SUBSTITUTE(INDEX(Nodes!$A$3:$E$64,Arcs!L23,4) &amp; " " &amp; INDEX(Nodes!$A$3:$E$64,Arcs!L23,5), ",",".")</f>
        <v>1.83152577758408 61.2024450476016</v>
      </c>
      <c r="Q23" t="str" cm="1">
        <f t="array" ref="Q23">SUBSTITUTE(INDEX(Nodes!$A$3:$E$64,Arcs!M23,4) &amp; " " &amp; INDEX(Nodes!$A$3:$E$64,Arcs!M23,5), ",",".")</f>
        <v>1.84593600000005 61.1858300000001</v>
      </c>
      <c r="R23" t="str">
        <f>SUBSTITUTE(AVERAGE(INDEX(Nodes!$A$3:$E$64,Arcs!L23,4), INDEX(Nodes!$A$3:$E$64,Arcs!M23,4)) &amp; " " &amp; AVERAGE(INDEX(Nodes!$A$3:$E$64,Arcs!L23,5), INDEX(Nodes!$A$3:$E$64,Arcs!M23,5)), ",", ".")</f>
        <v>1.83873088879207 61.1941375238008</v>
      </c>
      <c r="T23">
        <f>0.306/2</f>
        <v>0.153</v>
      </c>
    </row>
    <row r="24" spans="1:20" x14ac:dyDescent="0.2">
      <c r="A24" s="1">
        <v>23</v>
      </c>
      <c r="B24" s="17" t="s">
        <v>5</v>
      </c>
      <c r="C24" s="17" t="s">
        <v>131</v>
      </c>
      <c r="D24" s="17" t="s">
        <v>126</v>
      </c>
      <c r="E24" s="17" t="s">
        <v>149</v>
      </c>
      <c r="F24" s="17" t="s">
        <v>77</v>
      </c>
      <c r="G24" s="17" t="s">
        <v>80</v>
      </c>
      <c r="H24" s="1" t="str">
        <f t="shared" si="1"/>
        <v>LINESTRING(1.83152577758408 61.2024450476016,1.76585744579207 61.1122317403008,1.70018911400007 61.022018433)</v>
      </c>
      <c r="I24" s="1">
        <f t="shared" si="2"/>
        <v>31.25</v>
      </c>
      <c r="J24" s="39">
        <v>25</v>
      </c>
      <c r="K24" s="1" t="str">
        <f t="shared" si="0"/>
        <v/>
      </c>
      <c r="L24" s="1">
        <f>INDEX(Nodes!$A:$A,MATCH(Arcs!F24,Nodes!$B:$B,0))</f>
        <v>54</v>
      </c>
      <c r="M24" s="1">
        <f>INDEX(Nodes!$A:$A,MATCH(Arcs!G24,Nodes!$B:$B,0))</f>
        <v>24</v>
      </c>
      <c r="N24" s="2">
        <v>0.1</v>
      </c>
      <c r="O24" s="3">
        <v>0.1</v>
      </c>
      <c r="P24" t="str" cm="1">
        <f t="array" ref="P24">SUBSTITUTE(INDEX(Nodes!$A$3:$E$64,Arcs!L24,4) &amp; " " &amp; INDEX(Nodes!$A$3:$E$64,Arcs!L24,5), ",",".")</f>
        <v>1.83152577758408 61.2024450476016</v>
      </c>
      <c r="Q24" t="str" cm="1">
        <f t="array" ref="Q24">SUBSTITUTE(INDEX(Nodes!$A$3:$E$64,Arcs!M24,4) &amp; " " &amp; INDEX(Nodes!$A$3:$E$64,Arcs!M24,5), ",",".")</f>
        <v>1.70018911400007 61.022018433</v>
      </c>
      <c r="R24" t="str">
        <f>SUBSTITUTE(AVERAGE(INDEX(Nodes!$A$3:$E$64,Arcs!L24,4), INDEX(Nodes!$A$3:$E$64,Arcs!M24,4)) &amp; " " &amp; AVERAGE(INDEX(Nodes!$A$3:$E$64,Arcs!L24,5), INDEX(Nodes!$A$3:$E$64,Arcs!M24,5)), ",", ".")</f>
        <v>1.76585744579207 61.1122317403008</v>
      </c>
      <c r="T24">
        <v>2.3E-2</v>
      </c>
    </row>
    <row r="25" spans="1:20" x14ac:dyDescent="0.2">
      <c r="A25" s="1">
        <v>24</v>
      </c>
      <c r="B25" s="17" t="s">
        <v>6</v>
      </c>
      <c r="C25" s="17" t="s">
        <v>131</v>
      </c>
      <c r="D25" s="17" t="s">
        <v>126</v>
      </c>
      <c r="E25" s="17" t="s">
        <v>146</v>
      </c>
      <c r="F25" s="17" t="s">
        <v>88</v>
      </c>
      <c r="G25" s="17" t="s">
        <v>101</v>
      </c>
      <c r="H25" s="1" t="str">
        <f t="shared" si="1"/>
        <v>LINESTRING(2.23522548749309 59.5710753512132,0.204787243746546 58.5755231756066,-1.825651 57.579971)</v>
      </c>
      <c r="I25" s="1">
        <f t="shared" si="2"/>
        <v>46.125</v>
      </c>
      <c r="J25" s="39">
        <v>36.9</v>
      </c>
      <c r="K25" s="1" t="str">
        <f t="shared" si="0"/>
        <v/>
      </c>
      <c r="L25" s="1">
        <f>INDEX(Nodes!$A:$A,MATCH(Arcs!F25,Nodes!$B:$B,0))</f>
        <v>33</v>
      </c>
      <c r="M25" s="1">
        <f>INDEX(Nodes!$A:$A,MATCH(Arcs!G25,Nodes!$B:$B,0))</f>
        <v>52</v>
      </c>
      <c r="N25" s="2">
        <v>0.1</v>
      </c>
      <c r="O25" s="3">
        <v>0.1</v>
      </c>
      <c r="P25" t="str" cm="1">
        <f t="array" ref="P25">SUBSTITUTE(INDEX(Nodes!$A$3:$E$64,Arcs!L25,4) &amp; " " &amp; INDEX(Nodes!$A$3:$E$64,Arcs!L25,5), ",",".")</f>
        <v>2.23522548749309 59.5710753512132</v>
      </c>
      <c r="Q25" t="str" cm="1">
        <f t="array" ref="Q25">SUBSTITUTE(INDEX(Nodes!$A$3:$E$64,Arcs!M25,4) &amp; " " &amp; INDEX(Nodes!$A$3:$E$64,Arcs!M25,5), ",",".")</f>
        <v>-1.825651 57.579971</v>
      </c>
      <c r="R25" t="str">
        <f>SUBSTITUTE(AVERAGE(INDEX(Nodes!$A$3:$E$64,Arcs!L25,4), INDEX(Nodes!$A$3:$E$64,Arcs!M25,4)) &amp; " " &amp; AVERAGE(INDEX(Nodes!$A$3:$E$64,Arcs!L25,5), INDEX(Nodes!$A$3:$E$64,Arcs!M25,5)), ",", ".")</f>
        <v>0.204787243746546 58.5755231756066</v>
      </c>
      <c r="T25">
        <v>0.36099999999999999</v>
      </c>
    </row>
    <row r="26" spans="1:20" x14ac:dyDescent="0.2">
      <c r="A26" s="1">
        <v>25</v>
      </c>
      <c r="B26" s="17" t="s">
        <v>150</v>
      </c>
      <c r="C26" s="17" t="s">
        <v>131</v>
      </c>
      <c r="D26" s="17" t="s">
        <v>126</v>
      </c>
      <c r="E26" s="17" t="s">
        <v>151</v>
      </c>
      <c r="F26" s="17" t="s">
        <v>97</v>
      </c>
      <c r="G26" s="17" t="s">
        <v>106</v>
      </c>
      <c r="H26" s="1" t="str">
        <f t="shared" si="1"/>
        <v>LINESTRING(1.91586639699623 58.3649441738375,2.60784119849812 56.5772190869188,3.29981600000002 54.789494)</v>
      </c>
      <c r="I26" s="1">
        <f t="shared" si="2"/>
        <v>52.75</v>
      </c>
      <c r="J26" s="53">
        <v>42.2</v>
      </c>
      <c r="K26" s="1" t="str">
        <f t="shared" si="0"/>
        <v/>
      </c>
      <c r="L26" s="1">
        <f>INDEX(Nodes!$A:$A,MATCH(Arcs!F26,Nodes!$B:$B,0))</f>
        <v>51</v>
      </c>
      <c r="M26" s="1">
        <f>INDEX(Nodes!$A:$A,MATCH(Arcs!G26,Nodes!$B:$B,0))</f>
        <v>59</v>
      </c>
      <c r="N26" s="2">
        <v>0.1</v>
      </c>
      <c r="O26" s="3">
        <v>0.1</v>
      </c>
      <c r="P26" t="str" cm="1">
        <f t="array" ref="P26">SUBSTITUTE(INDEX(Nodes!$A$3:$E$64,Arcs!L26,4) &amp; " " &amp; INDEX(Nodes!$A$3:$E$64,Arcs!L26,5), ",",".")</f>
        <v>1.91586639699623 58.3649441738375</v>
      </c>
      <c r="Q26" t="str" cm="1">
        <f t="array" ref="Q26">SUBSTITUTE(INDEX(Nodes!$A$3:$E$64,Arcs!M26,4) &amp; " " &amp; INDEX(Nodes!$A$3:$E$64,Arcs!M26,5), ",",".")</f>
        <v>3.29981600000002 54.789494</v>
      </c>
      <c r="R26" t="str">
        <f>SUBSTITUTE(AVERAGE(INDEX(Nodes!$A$3:$E$64,Arcs!L26,4), INDEX(Nodes!$A$3:$E$64,Arcs!M26,4)) &amp; " " &amp; AVERAGE(INDEX(Nodes!$A$3:$E$64,Arcs!L26,5), INDEX(Nodes!$A$3:$E$64,Arcs!M26,5)), ",", ".")</f>
        <v>2.60784119849812 56.5772190869188</v>
      </c>
      <c r="T26">
        <f>0.813/2</f>
        <v>0.40649999999999997</v>
      </c>
    </row>
    <row r="27" spans="1:20" x14ac:dyDescent="0.2">
      <c r="A27" s="1">
        <v>26</v>
      </c>
      <c r="B27" s="17" t="s">
        <v>150</v>
      </c>
      <c r="C27" s="17" t="s">
        <v>131</v>
      </c>
      <c r="D27" s="17" t="s">
        <v>126</v>
      </c>
      <c r="E27" s="17" t="s">
        <v>151</v>
      </c>
      <c r="F27" s="17" t="s">
        <v>106</v>
      </c>
      <c r="G27" s="17" t="s">
        <v>113</v>
      </c>
      <c r="H27" s="1" t="str">
        <f t="shared" si="1"/>
        <v>LINESTRING(3.29981600000002 54.789494,3.26480650000005 53.070001,3.22979700000008 51.350508)</v>
      </c>
      <c r="I27" s="1">
        <f t="shared" si="2"/>
        <v>52.75</v>
      </c>
      <c r="J27" s="53">
        <v>42.2</v>
      </c>
      <c r="K27" s="1" t="str">
        <f t="shared" si="0"/>
        <v/>
      </c>
      <c r="L27" s="1">
        <f>INDEX(Nodes!$A:$A,MATCH(Arcs!F27,Nodes!$B:$B,0))</f>
        <v>59</v>
      </c>
      <c r="M27" s="1">
        <f>INDEX(Nodes!$A:$A,MATCH(Arcs!G27,Nodes!$B:$B,0))</f>
        <v>58</v>
      </c>
      <c r="N27" s="2">
        <v>0.1</v>
      </c>
      <c r="O27" s="3">
        <v>0.1</v>
      </c>
      <c r="P27" t="str" cm="1">
        <f t="array" ref="P27">SUBSTITUTE(INDEX(Nodes!$A$3:$E$64,Arcs!L27,4) &amp; " " &amp; INDEX(Nodes!$A$3:$E$64,Arcs!L27,5), ",",".")</f>
        <v>3.29981600000002 54.789494</v>
      </c>
      <c r="Q27" t="str" cm="1">
        <f t="array" ref="Q27">SUBSTITUTE(INDEX(Nodes!$A$3:$E$64,Arcs!M27,4) &amp; " " &amp; INDEX(Nodes!$A$3:$E$64,Arcs!M27,5), ",",".")</f>
        <v>3.22979700000008 51.350508</v>
      </c>
      <c r="R27" t="str">
        <f>SUBSTITUTE(AVERAGE(INDEX(Nodes!$A$3:$E$64,Arcs!L27,4), INDEX(Nodes!$A$3:$E$64,Arcs!M27,4)) &amp; " " &amp; AVERAGE(INDEX(Nodes!$A$3:$E$64,Arcs!L27,5), INDEX(Nodes!$A$3:$E$64,Arcs!M27,5)), ",", ".")</f>
        <v>3.26480650000005 53.070001</v>
      </c>
      <c r="T27">
        <f>0.813/2</f>
        <v>0.40649999999999997</v>
      </c>
    </row>
    <row r="28" spans="1:20" x14ac:dyDescent="0.2">
      <c r="A28" s="1">
        <v>27</v>
      </c>
      <c r="B28" s="17" t="s">
        <v>8</v>
      </c>
      <c r="C28" s="17" t="s">
        <v>131</v>
      </c>
      <c r="D28" s="17" t="s">
        <v>126</v>
      </c>
      <c r="E28" s="17" t="s">
        <v>152</v>
      </c>
      <c r="F28" s="17" t="s">
        <v>83</v>
      </c>
      <c r="G28" s="17" t="s">
        <v>97</v>
      </c>
      <c r="H28" s="1" t="str">
        <f t="shared" si="1"/>
        <v>LINESTRING(4.838597003381 60.5453484863646,3.37723170018861 59.455146330101,1.91586639699623 58.3649441738375)</v>
      </c>
      <c r="I28" s="1">
        <f t="shared" si="2"/>
        <v>92.5</v>
      </c>
      <c r="J28" s="39">
        <v>74</v>
      </c>
      <c r="K28" s="1" t="str">
        <f t="shared" si="0"/>
        <v/>
      </c>
      <c r="L28" s="1">
        <f>INDEX(Nodes!$A:$A,MATCH(Arcs!F28,Nodes!$B:$B,0))</f>
        <v>37</v>
      </c>
      <c r="M28" s="1">
        <f>INDEX(Nodes!$A:$A,MATCH(Arcs!G28,Nodes!$B:$B,0))</f>
        <v>51</v>
      </c>
      <c r="N28" s="2">
        <v>0.1</v>
      </c>
      <c r="O28" s="3">
        <v>0.1</v>
      </c>
      <c r="P28" t="str" cm="1">
        <f t="array" ref="P28">SUBSTITUTE(INDEX(Nodes!$A$3:$E$64,Arcs!L28,4) &amp; " " &amp; INDEX(Nodes!$A$3:$E$64,Arcs!L28,5), ",",".")</f>
        <v>4.838597003381 60.5453484863646</v>
      </c>
      <c r="Q28" t="str" cm="1">
        <f t="array" ref="Q28">SUBSTITUTE(INDEX(Nodes!$A$3:$E$64,Arcs!M28,4) &amp; " " &amp; INDEX(Nodes!$A$3:$E$64,Arcs!M28,5), ",",".")</f>
        <v>1.91586639699623 58.3649441738375</v>
      </c>
      <c r="R28" t="str">
        <f>SUBSTITUTE(AVERAGE(INDEX(Nodes!$A$3:$E$64,Arcs!L28,4), INDEX(Nodes!$A$3:$E$64,Arcs!M28,4)) &amp; " " &amp; AVERAGE(INDEX(Nodes!$A$3:$E$64,Arcs!L28,5), INDEX(Nodes!$A$3:$E$64,Arcs!M28,5)), ",", ".")</f>
        <v>3.37723170018861 59.455146330101</v>
      </c>
      <c r="T28">
        <v>0.29899999999999999</v>
      </c>
    </row>
    <row r="29" spans="1:20" x14ac:dyDescent="0.2">
      <c r="A29" s="1">
        <v>28</v>
      </c>
      <c r="B29" s="17" t="s">
        <v>9</v>
      </c>
      <c r="C29" s="17" t="s">
        <v>131</v>
      </c>
      <c r="D29" s="17" t="s">
        <v>126</v>
      </c>
      <c r="E29" s="17" t="s">
        <v>153</v>
      </c>
      <c r="F29" s="17" t="s">
        <v>83</v>
      </c>
      <c r="G29" s="17" t="s">
        <v>98</v>
      </c>
      <c r="H29" s="1" t="str">
        <f t="shared" si="1"/>
        <v>LINESTRING(4.838597003381 60.5453484863646,3.65150058471732 59.3667487518886,2.46440416605363 58.1881490174125)</v>
      </c>
      <c r="I29" s="1">
        <f t="shared" si="2"/>
        <v>91.25</v>
      </c>
      <c r="J29" s="39">
        <v>73</v>
      </c>
      <c r="K29" s="1" t="str">
        <f t="shared" si="0"/>
        <v/>
      </c>
      <c r="L29" s="1">
        <f>INDEX(Nodes!$A:$A,MATCH(Arcs!F29,Nodes!$B:$B,0))</f>
        <v>37</v>
      </c>
      <c r="M29" s="1">
        <f>INDEX(Nodes!$A:$A,MATCH(Arcs!G29,Nodes!$B:$B,0))</f>
        <v>15</v>
      </c>
      <c r="N29" s="2">
        <v>0.1</v>
      </c>
      <c r="O29" s="3">
        <v>0.1</v>
      </c>
      <c r="P29" t="str" cm="1">
        <f t="array" ref="P29">SUBSTITUTE(INDEX(Nodes!$A$3:$E$64,Arcs!L29,4) &amp; " " &amp; INDEX(Nodes!$A$3:$E$64,Arcs!L29,5), ",",".")</f>
        <v>4.838597003381 60.5453484863646</v>
      </c>
      <c r="Q29" t="str" cm="1">
        <f t="array" ref="Q29">SUBSTITUTE(INDEX(Nodes!$A$3:$E$64,Arcs!M29,4) &amp; " " &amp; INDEX(Nodes!$A$3:$E$64,Arcs!M29,5), ",",".")</f>
        <v>2.46440416605363 58.1881490174125</v>
      </c>
      <c r="R29" t="str">
        <f>SUBSTITUTE(AVERAGE(INDEX(Nodes!$A$3:$E$64,Arcs!L29,4), INDEX(Nodes!$A$3:$E$64,Arcs!M29,4)) &amp; " " &amp; AVERAGE(INDEX(Nodes!$A$3:$E$64,Arcs!L29,5), INDEX(Nodes!$A$3:$E$64,Arcs!M29,5)), ",", ".")</f>
        <v>3.65150058471732 59.3667487518886</v>
      </c>
      <c r="T29">
        <v>0.3</v>
      </c>
    </row>
    <row r="30" spans="1:20" x14ac:dyDescent="0.2">
      <c r="A30" s="1">
        <v>29</v>
      </c>
      <c r="B30" s="17" t="s">
        <v>179</v>
      </c>
      <c r="C30" s="17" t="s">
        <v>131</v>
      </c>
      <c r="D30" s="17" t="s">
        <v>126</v>
      </c>
      <c r="E30" s="17" t="s">
        <v>154</v>
      </c>
      <c r="F30" s="17" t="s">
        <v>180</v>
      </c>
      <c r="G30" s="17" t="s">
        <v>181</v>
      </c>
      <c r="H30" s="1" t="str">
        <f t="shared" si="1"/>
        <v>LINESTRING(1.69998526600006 61.02079773,2.80248752933371 61.1754957531437,3.90498979266736 61.3301937762874)</v>
      </c>
      <c r="I30" s="1">
        <f t="shared" si="2"/>
        <v>22.75</v>
      </c>
      <c r="J30" s="39">
        <v>18.2</v>
      </c>
      <c r="K30" s="1" t="str">
        <f t="shared" si="0"/>
        <v/>
      </c>
      <c r="L30" s="1">
        <f>INDEX(Nodes!$A:$A,MATCH(Arcs!F30,Nodes!$B:$B,0))</f>
        <v>26</v>
      </c>
      <c r="M30" s="1">
        <f>INDEX(Nodes!$A:$A,MATCH(Arcs!G30,Nodes!$B:$B,0))</f>
        <v>27</v>
      </c>
      <c r="N30" s="2">
        <v>0.1</v>
      </c>
      <c r="O30" s="3">
        <v>0.1</v>
      </c>
      <c r="P30" t="str" cm="1">
        <f t="array" ref="P30">SUBSTITUTE(INDEX(Nodes!$A$3:$E$64,Arcs!L30,4) &amp; " " &amp; INDEX(Nodes!$A$3:$E$64,Arcs!L30,5), ",",".")</f>
        <v>1.69998526600006 61.02079773</v>
      </c>
      <c r="Q30" t="str" cm="1">
        <f t="array" ref="Q30">SUBSTITUTE(INDEX(Nodes!$A$3:$E$64,Arcs!M30,4) &amp; " " &amp; INDEX(Nodes!$A$3:$E$64,Arcs!M30,5), ",",".")</f>
        <v>3.90498979266736 61.3301937762874</v>
      </c>
      <c r="R30" t="str">
        <f>SUBSTITUTE(AVERAGE(INDEX(Nodes!$A$3:$E$64,Arcs!L30,4), INDEX(Nodes!$A$3:$E$64,Arcs!M30,4)) &amp; " " &amp; AVERAGE(INDEX(Nodes!$A$3:$E$64,Arcs!L30,5), INDEX(Nodes!$A$3:$E$64,Arcs!M30,5)), ",", ".")</f>
        <v>2.80248752933371 61.1754957531437</v>
      </c>
      <c r="T30">
        <v>0.13100000000000001</v>
      </c>
    </row>
    <row r="31" spans="1:20" x14ac:dyDescent="0.2">
      <c r="A31" s="1">
        <v>30</v>
      </c>
      <c r="B31" s="17" t="s">
        <v>182</v>
      </c>
      <c r="C31" s="17" t="s">
        <v>155</v>
      </c>
      <c r="D31" s="17" t="s">
        <v>126</v>
      </c>
      <c r="E31" s="17" t="s">
        <v>156</v>
      </c>
      <c r="F31" s="17" t="s">
        <v>88</v>
      </c>
      <c r="G31" s="17" t="s">
        <v>92</v>
      </c>
      <c r="H31" s="1" t="str">
        <f t="shared" si="1"/>
        <v>LINESTRING(2.23522548749309 59.5710753512132,2.36128039402701 59.3704008474222,2.48733530056093 59.1697263436312)</v>
      </c>
      <c r="I31" s="1">
        <f t="shared" si="2"/>
        <v>12.5</v>
      </c>
      <c r="J31" s="1">
        <v>10</v>
      </c>
      <c r="K31" s="1" t="str">
        <f t="shared" si="0"/>
        <v/>
      </c>
      <c r="L31" s="1">
        <f>INDEX(Nodes!$A:$A,MATCH(Arcs!F31,Nodes!$B:$B,0))</f>
        <v>33</v>
      </c>
      <c r="M31" s="1">
        <f>INDEX(Nodes!$A:$A,MATCH(Arcs!G31,Nodes!$B:$B,0))</f>
        <v>28</v>
      </c>
      <c r="N31" s="2">
        <v>0.1</v>
      </c>
      <c r="O31" s="3">
        <v>0.1</v>
      </c>
      <c r="P31" t="str" cm="1">
        <f t="array" ref="P31">SUBSTITUTE(INDEX(Nodes!$A$3:$E$64,Arcs!L31,4) &amp; " " &amp; INDEX(Nodes!$A$3:$E$64,Arcs!L31,5), ",",".")</f>
        <v>2.23522548749309 59.5710753512132</v>
      </c>
      <c r="Q31" t="str" cm="1">
        <f t="array" ref="Q31">SUBSTITUTE(INDEX(Nodes!$A$3:$E$64,Arcs!M31,4) &amp; " " &amp; INDEX(Nodes!$A$3:$E$64,Arcs!M31,5), ",",".")</f>
        <v>2.48733530056093 59.1697263436312</v>
      </c>
      <c r="R31" t="str">
        <f>SUBSTITUTE(AVERAGE(INDEX(Nodes!$A$3:$E$64,Arcs!L31,4), INDEX(Nodes!$A$3:$E$64,Arcs!M31,4)) &amp; " " &amp; AVERAGE(INDEX(Nodes!$A$3:$E$64,Arcs!L31,5), INDEX(Nodes!$A$3:$E$64,Arcs!M31,5)), ",", ".")</f>
        <v>2.36128039402701 59.3704008474222</v>
      </c>
      <c r="T31">
        <v>0.02</v>
      </c>
    </row>
    <row r="32" spans="1:20" x14ac:dyDescent="0.2">
      <c r="A32" s="1">
        <v>31</v>
      </c>
      <c r="B32" s="17" t="s">
        <v>183</v>
      </c>
      <c r="C32" s="17" t="s">
        <v>155</v>
      </c>
      <c r="D32" s="17" t="s">
        <v>126</v>
      </c>
      <c r="E32" s="17" t="s">
        <v>157</v>
      </c>
      <c r="F32" s="17" t="s">
        <v>93</v>
      </c>
      <c r="G32" s="17" t="s">
        <v>96</v>
      </c>
      <c r="H32" s="1" t="str">
        <f t="shared" si="1"/>
        <v>LINESTRING(1.7504700744274 58.8424105628707,1.82461800400345 58.6064721852943,1.89876593357951 58.370533807718)</v>
      </c>
      <c r="I32" s="1">
        <f t="shared" si="2"/>
        <v>364.625</v>
      </c>
      <c r="J32" s="1">
        <v>291.7</v>
      </c>
      <c r="K32" s="1" t="str">
        <f t="shared" si="0"/>
        <v/>
      </c>
      <c r="L32" s="1">
        <f>INDEX(Nodes!$A:$A,MATCH(Arcs!F32,Nodes!$B:$B,0))</f>
        <v>29</v>
      </c>
      <c r="M32" s="1">
        <f>INDEX(Nodes!$A:$A,MATCH(Arcs!G32,Nodes!$B:$B,0))</f>
        <v>50</v>
      </c>
      <c r="N32" s="2">
        <v>0.1</v>
      </c>
      <c r="O32" s="3">
        <v>0.1</v>
      </c>
      <c r="P32" t="str" cm="1">
        <f t="array" ref="P32">SUBSTITUTE(INDEX(Nodes!$A$3:$E$64,Arcs!L32,4) &amp; " " &amp; INDEX(Nodes!$A$3:$E$64,Arcs!L32,5), ",",".")</f>
        <v>1.7504700744274 58.8424105628707</v>
      </c>
      <c r="Q32" t="str" cm="1">
        <f t="array" ref="Q32">SUBSTITUTE(INDEX(Nodes!$A$3:$E$64,Arcs!M32,4) &amp; " " &amp; INDEX(Nodes!$A$3:$E$64,Arcs!M32,5), ",",".")</f>
        <v>1.89876593357951 58.370533807718</v>
      </c>
      <c r="R32" t="str">
        <f>SUBSTITUTE(AVERAGE(INDEX(Nodes!$A$3:$E$64,Arcs!L32,4), INDEX(Nodes!$A$3:$E$64,Arcs!M32,4)) &amp; " " &amp; AVERAGE(INDEX(Nodes!$A$3:$E$64,Arcs!L32,5), INDEX(Nodes!$A$3:$E$64,Arcs!M32,5)), ",", ".")</f>
        <v>1.82461800400345 58.6064721852943</v>
      </c>
      <c r="T32">
        <v>0.05</v>
      </c>
    </row>
    <row r="33" spans="1:20" x14ac:dyDescent="0.2">
      <c r="A33" s="1">
        <v>32</v>
      </c>
      <c r="B33" s="17" t="s">
        <v>158</v>
      </c>
      <c r="C33" s="17" t="s">
        <v>131</v>
      </c>
      <c r="D33" s="17" t="s">
        <v>126</v>
      </c>
      <c r="E33" s="17" t="s">
        <v>159</v>
      </c>
      <c r="F33" s="17" t="s">
        <v>69</v>
      </c>
      <c r="G33" s="17" t="s">
        <v>75</v>
      </c>
      <c r="H33" s="1" t="str">
        <f t="shared" si="1"/>
        <v>LINESTRING(7.32024542386713 65.3214995786325,7.98923048166803 64.3601952705966,8.65821553946893 63.3988909625608)</v>
      </c>
      <c r="I33" s="1">
        <f t="shared" si="2"/>
        <v>5.875</v>
      </c>
      <c r="J33" s="39">
        <v>4.7</v>
      </c>
      <c r="K33" s="1" t="str">
        <f t="shared" si="0"/>
        <v/>
      </c>
      <c r="L33" s="1">
        <f>INDEX(Nodes!$A:$A,MATCH(Arcs!F33,Nodes!$B:$B,0))</f>
        <v>31</v>
      </c>
      <c r="M33" s="1">
        <f>INDEX(Nodes!$A:$A,MATCH(Arcs!G33,Nodes!$B:$B,0))</f>
        <v>56</v>
      </c>
      <c r="N33" s="2">
        <v>0.1</v>
      </c>
      <c r="O33" s="3">
        <v>0.1</v>
      </c>
      <c r="P33" t="str" cm="1">
        <f t="array" ref="P33">SUBSTITUTE(INDEX(Nodes!$A$3:$E$64,Arcs!L33,4) &amp; " " &amp; INDEX(Nodes!$A$3:$E$64,Arcs!L33,5), ",",".")</f>
        <v>7.32024542386713 65.3214995786325</v>
      </c>
      <c r="Q33" t="str" cm="1">
        <f t="array" ref="Q33">SUBSTITUTE(INDEX(Nodes!$A$3:$E$64,Arcs!M33,4) &amp; " " &amp; INDEX(Nodes!$A$3:$E$64,Arcs!M33,5), ",",".")</f>
        <v>8.65821553946893 63.3988909625608</v>
      </c>
      <c r="R33" t="str">
        <f>SUBSTITUTE(AVERAGE(INDEX(Nodes!$A$3:$E$64,Arcs!L33,4), INDEX(Nodes!$A$3:$E$64,Arcs!M33,4)) &amp; " " &amp; AVERAGE(INDEX(Nodes!$A$3:$E$64,Arcs!L33,5), INDEX(Nodes!$A$3:$E$64,Arcs!M33,5)), ",", ".")</f>
        <v>7.98923048166803 64.3601952705966</v>
      </c>
      <c r="T33">
        <v>0.25</v>
      </c>
    </row>
    <row r="34" spans="1:20" x14ac:dyDescent="0.2">
      <c r="A34" s="1">
        <v>33</v>
      </c>
      <c r="B34" s="17" t="s">
        <v>160</v>
      </c>
      <c r="C34" s="17" t="s">
        <v>155</v>
      </c>
      <c r="D34" s="17" t="s">
        <v>126</v>
      </c>
      <c r="E34" s="17" t="s">
        <v>141</v>
      </c>
      <c r="F34" s="17" t="s">
        <v>69</v>
      </c>
      <c r="G34" s="17" t="s">
        <v>70</v>
      </c>
      <c r="H34" s="1" t="str">
        <f t="shared" si="1"/>
        <v>LINESTRING(7.32024542386713 65.3214995786325,7.0608532119336 65.2030077893163,6.80146100000007 65.0845160000001)</v>
      </c>
      <c r="I34" s="1">
        <f t="shared" si="2"/>
        <v>13.75</v>
      </c>
      <c r="J34" s="1">
        <v>11</v>
      </c>
      <c r="K34" s="1" t="str">
        <f t="shared" si="0"/>
        <v/>
      </c>
      <c r="L34" s="1">
        <f>INDEX(Nodes!$A:$A,MATCH(Arcs!F34,Nodes!$B:$B,0))</f>
        <v>31</v>
      </c>
      <c r="M34" s="1">
        <f>INDEX(Nodes!$A:$A,MATCH(Arcs!G34,Nodes!$B:$B,0))</f>
        <v>42</v>
      </c>
      <c r="N34" s="2">
        <v>0.1</v>
      </c>
      <c r="O34" s="3">
        <v>0.1</v>
      </c>
      <c r="P34" t="str" cm="1">
        <f t="array" ref="P34">SUBSTITUTE(INDEX(Nodes!$A$3:$E$64,Arcs!L34,4) &amp; " " &amp; INDEX(Nodes!$A$3:$E$64,Arcs!L34,5), ",",".")</f>
        <v>7.32024542386713 65.3214995786325</v>
      </c>
      <c r="Q34" t="str" cm="1">
        <f t="array" ref="Q34">SUBSTITUTE(INDEX(Nodes!$A$3:$E$64,Arcs!M34,4) &amp; " " &amp; INDEX(Nodes!$A$3:$E$64,Arcs!M34,5), ",",".")</f>
        <v>6.80146100000007 65.0845160000001</v>
      </c>
      <c r="R34" t="str">
        <f>SUBSTITUTE(AVERAGE(INDEX(Nodes!$A$3:$E$64,Arcs!L34,4), INDEX(Nodes!$A$3:$E$64,Arcs!M34,4)) &amp; " " &amp; AVERAGE(INDEX(Nodes!$A$3:$E$64,Arcs!L34,5), INDEX(Nodes!$A$3:$E$64,Arcs!M34,5)), ",", ".")</f>
        <v>7.0608532119336 65.2030077893163</v>
      </c>
      <c r="T34">
        <v>0.01</v>
      </c>
    </row>
    <row r="35" spans="1:20" x14ac:dyDescent="0.2">
      <c r="A35" s="1">
        <v>34</v>
      </c>
      <c r="B35" s="17" t="s">
        <v>184</v>
      </c>
      <c r="C35" s="17" t="s">
        <v>155</v>
      </c>
      <c r="D35" s="17" t="s">
        <v>126</v>
      </c>
      <c r="E35" s="17" t="s">
        <v>161</v>
      </c>
      <c r="F35" s="17" t="s">
        <v>91</v>
      </c>
      <c r="G35" s="17" t="s">
        <v>94</v>
      </c>
      <c r="H35" s="1" t="str">
        <f t="shared" si="1"/>
        <v>LINESTRING(5.05417600000004 59.326808,3.80597375650467 59.0843695361675,2.5577715130093 58.8419310723351)</v>
      </c>
      <c r="I35" s="1">
        <f t="shared" si="2"/>
        <v>6.25</v>
      </c>
      <c r="J35" s="1">
        <v>5</v>
      </c>
      <c r="K35" s="1" t="str">
        <f t="shared" si="0"/>
        <v/>
      </c>
      <c r="L35" s="1">
        <f>INDEX(Nodes!$A:$A,MATCH(Arcs!F35,Nodes!$B:$B,0))</f>
        <v>34</v>
      </c>
      <c r="M35" s="1">
        <f>INDEX(Nodes!$A:$A,MATCH(Arcs!G35,Nodes!$B:$B,0))</f>
        <v>35</v>
      </c>
      <c r="N35" s="2">
        <v>0.1</v>
      </c>
      <c r="O35" s="3">
        <v>0.1</v>
      </c>
      <c r="P35" t="str" cm="1">
        <f t="array" ref="P35">SUBSTITUTE(INDEX(Nodes!$A$3:$E$64,Arcs!L35,4) &amp; " " &amp; INDEX(Nodes!$A$3:$E$64,Arcs!L35,5), ",",".")</f>
        <v>5.05417600000004 59.326808</v>
      </c>
      <c r="Q35" t="str" cm="1">
        <f t="array" ref="Q35">SUBSTITUTE(INDEX(Nodes!$A$3:$E$64,Arcs!M35,4) &amp; " " &amp; INDEX(Nodes!$A$3:$E$64,Arcs!M35,5), ",",".")</f>
        <v>2.5577715130093 58.8419310723351</v>
      </c>
      <c r="R35" t="str">
        <f>SUBSTITUTE(AVERAGE(INDEX(Nodes!$A$3:$E$64,Arcs!L35,4), INDEX(Nodes!$A$3:$E$64,Arcs!M35,4)) &amp; " " &amp; AVERAGE(INDEX(Nodes!$A$3:$E$64,Arcs!L35,5), INDEX(Nodes!$A$3:$E$64,Arcs!M35,5)), ",", ".")</f>
        <v>3.80597375650467 59.0843695361675</v>
      </c>
      <c r="T35">
        <v>0.01</v>
      </c>
    </row>
    <row r="36" spans="1:20" x14ac:dyDescent="0.2">
      <c r="A36" s="1">
        <v>35</v>
      </c>
      <c r="B36" s="17" t="s">
        <v>185</v>
      </c>
      <c r="C36" s="17" t="s">
        <v>155</v>
      </c>
      <c r="D36" s="17" t="s">
        <v>126</v>
      </c>
      <c r="E36" s="17" t="s">
        <v>162</v>
      </c>
      <c r="F36" s="17" t="s">
        <v>87</v>
      </c>
      <c r="G36" s="17" t="s">
        <v>85</v>
      </c>
      <c r="H36" s="1" t="str">
        <f t="shared" si="1"/>
        <v>LINESTRING(2.01751548100003 59.8949619730001,2.01445157351417 60.1984986400223,2.01138766602831 60.5020353070445)</v>
      </c>
      <c r="I36" s="1">
        <f t="shared" si="2"/>
        <v>60.125</v>
      </c>
      <c r="J36" s="1">
        <v>48.1</v>
      </c>
      <c r="K36" s="1" t="str">
        <f t="shared" si="0"/>
        <v/>
      </c>
      <c r="L36" s="1">
        <f>INDEX(Nodes!$A:$A,MATCH(Arcs!F36,Nodes!$B:$B,0))</f>
        <v>39</v>
      </c>
      <c r="M36" s="1">
        <f>INDEX(Nodes!$A:$A,MATCH(Arcs!G36,Nodes!$B:$B,0))</f>
        <v>25</v>
      </c>
      <c r="N36" s="2">
        <v>0.1</v>
      </c>
      <c r="O36" s="3">
        <v>0.1</v>
      </c>
      <c r="P36" t="str" cm="1">
        <f t="array" ref="P36">SUBSTITUTE(INDEX(Nodes!$A$3:$E$64,Arcs!L36,4) &amp; " " &amp; INDEX(Nodes!$A$3:$E$64,Arcs!L36,5), ",",".")</f>
        <v>2.01751548100003 59.8949619730001</v>
      </c>
      <c r="Q36" t="str" cm="1">
        <f t="array" ref="Q36">SUBSTITUTE(INDEX(Nodes!$A$3:$E$64,Arcs!M36,4) &amp; " " &amp; INDEX(Nodes!$A$3:$E$64,Arcs!M36,5), ",",".")</f>
        <v>2.01138766602831 60.5020353070445</v>
      </c>
      <c r="R36" t="str">
        <f>SUBSTITUTE(AVERAGE(INDEX(Nodes!$A$3:$E$64,Arcs!L36,4), INDEX(Nodes!$A$3:$E$64,Arcs!M36,4)) &amp; " " &amp; AVERAGE(INDEX(Nodes!$A$3:$E$64,Arcs!L36,5), INDEX(Nodes!$A$3:$E$64,Arcs!M36,5)), ",", ".")</f>
        <v>2.01445157351417 60.1984986400223</v>
      </c>
      <c r="T36">
        <v>0.01</v>
      </c>
    </row>
    <row r="37" spans="1:20" x14ac:dyDescent="0.2">
      <c r="A37" s="1">
        <v>36</v>
      </c>
      <c r="B37" s="17" t="s">
        <v>163</v>
      </c>
      <c r="C37" s="17" t="s">
        <v>164</v>
      </c>
      <c r="D37" s="17" t="s">
        <v>126</v>
      </c>
      <c r="E37" s="17" t="s">
        <v>138</v>
      </c>
      <c r="F37" s="17" t="s">
        <v>73</v>
      </c>
      <c r="G37" s="17" t="s">
        <v>76</v>
      </c>
      <c r="H37" s="1" t="str">
        <f t="shared" si="1"/>
        <v>LINESTRING(5.38676357200006 63.5280816700001,6.16626739450007 63.1898201775001,6.94577121700007 62.851558685)</v>
      </c>
      <c r="I37" s="1">
        <f t="shared" si="2"/>
        <v>76.25</v>
      </c>
      <c r="J37" s="40">
        <v>61</v>
      </c>
      <c r="K37" s="1" t="str">
        <f t="shared" si="0"/>
        <v/>
      </c>
      <c r="L37" s="1">
        <f>INDEX(Nodes!$A:$A,MATCH(Arcs!F37,Nodes!$B:$B,0))</f>
        <v>45</v>
      </c>
      <c r="M37" s="1">
        <f>INDEX(Nodes!$A:$A,MATCH(Arcs!G37,Nodes!$B:$B,0))</f>
        <v>44</v>
      </c>
      <c r="N37" s="2">
        <v>0.1</v>
      </c>
      <c r="O37" s="3">
        <v>0.1</v>
      </c>
      <c r="P37" t="str" cm="1">
        <f t="array" ref="P37">SUBSTITUTE(INDEX(Nodes!$A$3:$E$64,Arcs!L37,4) &amp; " " &amp; INDEX(Nodes!$A$3:$E$64,Arcs!L37,5), ",",".")</f>
        <v>5.38676357200006 63.5280816700001</v>
      </c>
      <c r="Q37" t="str" cm="1">
        <f t="array" ref="Q37">SUBSTITUTE(INDEX(Nodes!$A$3:$E$64,Arcs!M37,4) &amp; " " &amp; INDEX(Nodes!$A$3:$E$64,Arcs!M37,5), ",",".")</f>
        <v>6.94577121700007 62.851558685</v>
      </c>
      <c r="R37" t="str">
        <f>SUBSTITUTE(AVERAGE(INDEX(Nodes!$A$3:$E$64,Arcs!L37,4), INDEX(Nodes!$A$3:$E$64,Arcs!M37,4)) &amp; " " &amp; AVERAGE(INDEX(Nodes!$A$3:$E$64,Arcs!L37,5), INDEX(Nodes!$A$3:$E$64,Arcs!M37,5)), ",", ".")</f>
        <v>6.16626739450007 63.1898201775001</v>
      </c>
      <c r="T37">
        <v>0.1</v>
      </c>
    </row>
    <row r="38" spans="1:20" x14ac:dyDescent="0.2">
      <c r="A38" s="1">
        <v>37</v>
      </c>
      <c r="B38" s="17" t="s">
        <v>167</v>
      </c>
      <c r="C38" s="17" t="s">
        <v>131</v>
      </c>
      <c r="D38" s="17" t="s">
        <v>126</v>
      </c>
      <c r="E38" s="17" t="s">
        <v>168</v>
      </c>
      <c r="F38" s="17" t="s">
        <v>66</v>
      </c>
      <c r="G38" s="17" t="s">
        <v>76</v>
      </c>
      <c r="H38" s="1" t="str">
        <f t="shared" si="1"/>
        <v>LINESTRING(7.10722700000002 67.0556100000001,7.02649910850005 64.9535843425001,6.94577121700007 62.851558685)</v>
      </c>
      <c r="I38" s="1">
        <f t="shared" si="2"/>
        <v>72</v>
      </c>
      <c r="J38" s="39">
        <v>57.6</v>
      </c>
      <c r="K38" s="1" t="str">
        <f t="shared" si="0"/>
        <v/>
      </c>
      <c r="L38" s="1">
        <f>INDEX(Nodes!$A:$A,MATCH(Arcs!F38,Nodes!$B:$B,0))</f>
        <v>1</v>
      </c>
      <c r="M38" s="1">
        <f>INDEX(Nodes!$A:$A,MATCH(Arcs!G38,Nodes!$B:$B,0))</f>
        <v>44</v>
      </c>
      <c r="N38" s="2">
        <v>0.1</v>
      </c>
      <c r="O38" s="3">
        <v>0.1</v>
      </c>
      <c r="P38" t="str" cm="1">
        <f t="array" ref="P38">SUBSTITUTE(INDEX(Nodes!$A$3:$E$64,Arcs!L38,4) &amp; " " &amp; INDEX(Nodes!$A$3:$E$64,Arcs!L38,5), ",",".")</f>
        <v>7.10722700000002 67.0556100000001</v>
      </c>
      <c r="Q38" t="str" cm="1">
        <f t="array" ref="Q38">SUBSTITUTE(INDEX(Nodes!$A$3:$E$64,Arcs!M38,4) &amp; " " &amp; INDEX(Nodes!$A$3:$E$64,Arcs!M38,5), ",",".")</f>
        <v>6.94577121700007 62.851558685</v>
      </c>
      <c r="R38" t="str">
        <f>SUBSTITUTE(AVERAGE(INDEX(Nodes!$A$3:$E$64,Arcs!L38,4), INDEX(Nodes!$A$3:$E$64,Arcs!M38,4)) &amp; " " &amp; AVERAGE(INDEX(Nodes!$A$3:$E$64,Arcs!L38,5), INDEX(Nodes!$A$3:$E$64,Arcs!M38,5)), ",", ".")</f>
        <v>7.02649910850005 64.9535843425001</v>
      </c>
      <c r="T38">
        <v>0.48199999999999998</v>
      </c>
    </row>
    <row r="39" spans="1:20" x14ac:dyDescent="0.2">
      <c r="A39" s="1">
        <v>38</v>
      </c>
      <c r="B39" s="17" t="s">
        <v>186</v>
      </c>
      <c r="C39" s="17" t="s">
        <v>169</v>
      </c>
      <c r="D39" s="17" t="s">
        <v>126</v>
      </c>
      <c r="E39" s="17" t="s">
        <v>170</v>
      </c>
      <c r="F39" s="17" t="s">
        <v>68</v>
      </c>
      <c r="G39" s="17" t="s">
        <v>197</v>
      </c>
      <c r="H39" s="1" t="str">
        <f t="shared" si="1"/>
        <v>LINESTRING(7.65583281980168 65.6937438991215,7.22974632790087 65.3941076995608,6.80365983600007 65.0944715000001)</v>
      </c>
      <c r="I39" s="1">
        <f t="shared" si="2"/>
        <v>60.125</v>
      </c>
      <c r="J39" s="1">
        <v>48.1</v>
      </c>
      <c r="K39" s="1" t="str">
        <f t="shared" si="0"/>
        <v/>
      </c>
      <c r="L39" s="1">
        <f>INDEX(Nodes!$A:$A,MATCH(Arcs!F39,Nodes!$B:$B,0))</f>
        <v>49</v>
      </c>
      <c r="M39" s="1">
        <f>INDEX(Nodes!$A:$A,MATCH(Arcs!G39,Nodes!$B:$B,0))</f>
        <v>3</v>
      </c>
      <c r="N39" s="2">
        <v>0.1</v>
      </c>
      <c r="O39" s="3">
        <v>0.1</v>
      </c>
      <c r="P39" t="str" cm="1">
        <f t="array" ref="P39">SUBSTITUTE(INDEX(Nodes!$A$3:$E$64,Arcs!L39,4) &amp; " " &amp; INDEX(Nodes!$A$3:$E$64,Arcs!L39,5), ",",".")</f>
        <v>7.65583281980168 65.6937438991215</v>
      </c>
      <c r="Q39" t="str" cm="1">
        <f t="array" ref="Q39">SUBSTITUTE(INDEX(Nodes!$A$3:$E$64,Arcs!M39,4) &amp; " " &amp; INDEX(Nodes!$A$3:$E$64,Arcs!M39,5), ",",".")</f>
        <v>6.80365983600007 65.0944715000001</v>
      </c>
      <c r="R39" t="str">
        <f>SUBSTITUTE(AVERAGE(INDEX(Nodes!$A$3:$E$64,Arcs!L39,4), INDEX(Nodes!$A$3:$E$64,Arcs!M39,4)) &amp; " " &amp; AVERAGE(INDEX(Nodes!$A$3:$E$64,Arcs!L39,5), INDEX(Nodes!$A$3:$E$64,Arcs!M39,5)), ",", ".")</f>
        <v>7.22974632790087 65.3941076995608</v>
      </c>
      <c r="T39">
        <v>0.02</v>
      </c>
    </row>
    <row r="40" spans="1:20" x14ac:dyDescent="0.2">
      <c r="A40" s="1">
        <v>39</v>
      </c>
      <c r="B40" s="17" t="s">
        <v>188</v>
      </c>
      <c r="C40" s="17" t="s">
        <v>155</v>
      </c>
      <c r="D40" s="17" t="s">
        <v>126</v>
      </c>
      <c r="E40" s="17" t="s">
        <v>152</v>
      </c>
      <c r="F40" s="17" t="s">
        <v>82</v>
      </c>
      <c r="G40" s="17" t="s">
        <v>83</v>
      </c>
      <c r="H40" s="1" t="str">
        <f t="shared" si="1"/>
        <v>LINESTRING(4.83583000000004 60.5501750000001,4.83721350169052 60.5477617431823,4.838597003381 60.5453484863646)</v>
      </c>
      <c r="I40" s="1">
        <f t="shared" si="2"/>
        <v>137.5</v>
      </c>
      <c r="J40" s="40">
        <v>110</v>
      </c>
      <c r="K40" s="1" t="str">
        <f t="shared" si="0"/>
        <v/>
      </c>
      <c r="L40" s="1">
        <f>INDEX(Nodes!$A:$A,MATCH(Arcs!F40,Nodes!$B:$B,0))</f>
        <v>57</v>
      </c>
      <c r="M40" s="1">
        <f>INDEX(Nodes!$A:$A,MATCH(Arcs!G40,Nodes!$B:$B,0))</f>
        <v>37</v>
      </c>
      <c r="N40" s="2">
        <v>0.1</v>
      </c>
      <c r="O40" s="3">
        <v>0.1</v>
      </c>
      <c r="P40" t="str" cm="1">
        <f t="array" ref="P40">SUBSTITUTE(INDEX(Nodes!$A$3:$E$64,Arcs!L40,4) &amp; " " &amp; INDEX(Nodes!$A$3:$E$64,Arcs!L40,5), ",",".")</f>
        <v>4.83583000000004 60.5501750000001</v>
      </c>
      <c r="Q40" t="str" cm="1">
        <f t="array" ref="Q40">SUBSTITUTE(INDEX(Nodes!$A$3:$E$64,Arcs!M40,4) &amp; " " &amp; INDEX(Nodes!$A$3:$E$64,Arcs!M40,5), ",",".")</f>
        <v>4.838597003381 60.5453484863646</v>
      </c>
      <c r="R40" t="str">
        <f>SUBSTITUTE(AVERAGE(INDEX(Nodes!$A$3:$E$64,Arcs!L40,4), INDEX(Nodes!$A$3:$E$64,Arcs!M40,4)) &amp; " " &amp; AVERAGE(INDEX(Nodes!$A$3:$E$64,Arcs!L40,5), INDEX(Nodes!$A$3:$E$64,Arcs!M40,5)), ",", ".")</f>
        <v>4.83721350169052 60.5477617431823</v>
      </c>
      <c r="T40">
        <v>0.05</v>
      </c>
    </row>
    <row r="41" spans="1:20" x14ac:dyDescent="0.2">
      <c r="A41" s="1">
        <v>40</v>
      </c>
      <c r="B41" s="17" t="s">
        <v>191</v>
      </c>
      <c r="C41" s="17" t="s">
        <v>131</v>
      </c>
      <c r="D41" s="17" t="s">
        <v>126</v>
      </c>
      <c r="E41" s="17" t="s">
        <v>174</v>
      </c>
      <c r="F41" s="17" t="s">
        <v>90</v>
      </c>
      <c r="G41" s="17" t="s">
        <v>95</v>
      </c>
      <c r="H41" s="1" t="str">
        <f t="shared" si="1"/>
        <v>LINESTRING(1.39113707900003 59.477978469,1.82264345536872 59.1586920721751,2.25414983173741 58.8394056753501)</v>
      </c>
      <c r="I41" s="1">
        <f t="shared" si="2"/>
        <v>6.25</v>
      </c>
      <c r="J41" s="1">
        <v>5</v>
      </c>
      <c r="K41" s="1" t="str">
        <f t="shared" si="0"/>
        <v/>
      </c>
      <c r="L41" s="1">
        <f>INDEX(Nodes!$A:$A,MATCH(Arcs!F41,Nodes!$B:$B,0))</f>
        <v>19</v>
      </c>
      <c r="M41" s="1">
        <f>INDEX(Nodes!$A:$A,MATCH(Arcs!G41,Nodes!$B:$B,0))</f>
        <v>48</v>
      </c>
      <c r="N41" s="2">
        <v>0.1</v>
      </c>
      <c r="O41" s="3">
        <v>0.1</v>
      </c>
      <c r="P41" t="str" cm="1">
        <f t="array" ref="P41">SUBSTITUTE(INDEX(Nodes!$A$3:$E$64,Arcs!L41,4) &amp; " " &amp; INDEX(Nodes!$A$3:$E$64,Arcs!L41,5), ",",".")</f>
        <v>1.39113707900003 59.477978469</v>
      </c>
      <c r="Q41" t="str" cm="1">
        <f t="array" ref="Q41">SUBSTITUTE(INDEX(Nodes!$A$3:$E$64,Arcs!M41,4) &amp; " " &amp; INDEX(Nodes!$A$3:$E$64,Arcs!M41,5), ",",".")</f>
        <v>2.25414983173741 58.8394056753501</v>
      </c>
      <c r="R41" t="str">
        <f>SUBSTITUTE(AVERAGE(INDEX(Nodes!$A$3:$E$64,Arcs!L41,4), INDEX(Nodes!$A$3:$E$64,Arcs!M41,4)) &amp; " " &amp; AVERAGE(INDEX(Nodes!$A$3:$E$64,Arcs!L41,5), INDEX(Nodes!$A$3:$E$64,Arcs!M41,5)), ",", ".")</f>
        <v>1.82264345536872 59.1586920721751</v>
      </c>
      <c r="T41">
        <v>9.4E-2</v>
      </c>
    </row>
    <row r="42" spans="1:20" x14ac:dyDescent="0.2">
      <c r="A42" s="1">
        <v>41</v>
      </c>
      <c r="B42" s="17" t="s">
        <v>150</v>
      </c>
      <c r="C42" s="17" t="s">
        <v>131</v>
      </c>
      <c r="D42" s="17" t="s">
        <v>126</v>
      </c>
      <c r="E42" s="17" t="s">
        <v>151</v>
      </c>
      <c r="F42" s="17" t="s">
        <v>97</v>
      </c>
      <c r="G42" s="17" t="s">
        <v>99</v>
      </c>
      <c r="H42" s="1" t="str">
        <f t="shared" si="1"/>
        <v>LINESTRING(1.91586639699623 58.3649441738375,2.19479968579955 58.2746767014261,2.47373297460288 58.1844092290148)</v>
      </c>
      <c r="I42" s="1">
        <f t="shared" si="2"/>
        <v>68.75</v>
      </c>
      <c r="J42" s="39">
        <v>55</v>
      </c>
      <c r="K42" s="1" t="str">
        <f t="shared" si="0"/>
        <v/>
      </c>
      <c r="L42" s="1">
        <f>INDEX(Nodes!$A:$A,MATCH(Arcs!F42,Nodes!$B:$B,0))</f>
        <v>51</v>
      </c>
      <c r="M42" s="1">
        <f>INDEX(Nodes!$A:$A,MATCH(Arcs!G42,Nodes!$B:$B,0))</f>
        <v>16</v>
      </c>
      <c r="N42" s="2">
        <v>0.1</v>
      </c>
      <c r="O42" s="3">
        <v>0.1</v>
      </c>
      <c r="P42" t="str" cm="1">
        <f t="array" ref="P42">SUBSTITUTE(INDEX(Nodes!$A$3:$E$64,Arcs!L42,4) &amp; " " &amp; INDEX(Nodes!$A$3:$E$64,Arcs!L42,5), ",",".")</f>
        <v>1.91586639699623 58.3649441738375</v>
      </c>
      <c r="Q42" t="str" cm="1">
        <f t="array" ref="Q42">SUBSTITUTE(INDEX(Nodes!$A$3:$E$64,Arcs!M42,4) &amp; " " &amp; INDEX(Nodes!$A$3:$E$64,Arcs!M42,5), ",",".")</f>
        <v>2.47373297460288 58.1844092290148</v>
      </c>
      <c r="R42" t="str">
        <f>SUBSTITUTE(AVERAGE(INDEX(Nodes!$A$3:$E$64,Arcs!L42,4), INDEX(Nodes!$A$3:$E$64,Arcs!M42,4)) &amp; " " &amp; AVERAGE(INDEX(Nodes!$A$3:$E$64,Arcs!L42,5), INDEX(Nodes!$A$3:$E$64,Arcs!M42,5)), ",", ".")</f>
        <v>2.19479968579955 58.2746767014261</v>
      </c>
      <c r="T42">
        <v>3.9E-2</v>
      </c>
    </row>
    <row r="43" spans="1:20" x14ac:dyDescent="0.2">
      <c r="A43" s="1">
        <v>42</v>
      </c>
      <c r="B43" s="17" t="s">
        <v>293</v>
      </c>
      <c r="C43" s="17"/>
      <c r="D43" s="17"/>
      <c r="E43" s="17"/>
      <c r="F43" s="18" t="s">
        <v>104</v>
      </c>
      <c r="G43" s="18" t="s">
        <v>115</v>
      </c>
      <c r="H43" s="1" t="str">
        <f t="shared" si="1"/>
        <v>LINESTRING(6.5038 55.71,7.45555 55.7275,8.4073 55.745)</v>
      </c>
      <c r="I43" s="1">
        <f t="shared" si="2"/>
        <v>40</v>
      </c>
      <c r="J43" s="19">
        <v>32</v>
      </c>
      <c r="K43" s="1" t="str">
        <f t="shared" si="0"/>
        <v/>
      </c>
      <c r="L43" s="1">
        <f>INDEX(Nodes!$A:$A,MATCH(Arcs!F43,Nodes!$B:$B,0))</f>
        <v>5</v>
      </c>
      <c r="M43" s="1">
        <f>INDEX(Nodes!$A:$A,MATCH(Arcs!G43,Nodes!$B:$B,0))</f>
        <v>9</v>
      </c>
      <c r="N43" s="2">
        <v>0.1</v>
      </c>
      <c r="O43" s="3">
        <v>0.1</v>
      </c>
      <c r="P43" t="str" cm="1">
        <f t="array" ref="P43">SUBSTITUTE(INDEX(Nodes!$A$3:$E$64,Arcs!L43,4) &amp; " " &amp; INDEX(Nodes!$A$3:$E$64,Arcs!L43,5), ",",".")</f>
        <v>6.5038 55.71</v>
      </c>
      <c r="Q43" t="str" cm="1">
        <f t="array" ref="Q43">SUBSTITUTE(INDEX(Nodes!$A$3:$E$64,Arcs!M43,4) &amp; " " &amp; INDEX(Nodes!$A$3:$E$64,Arcs!M43,5), ",",".")</f>
        <v>8.4073 55.745</v>
      </c>
      <c r="R43" t="str">
        <f>SUBSTITUTE(AVERAGE(INDEX(Nodes!$A$3:$E$64,Arcs!L43,4), INDEX(Nodes!$A$3:$E$64,Arcs!M43,4)) &amp; " " &amp; AVERAGE(INDEX(Nodes!$A$3:$E$64,Arcs!L43,5), INDEX(Nodes!$A$3:$E$64,Arcs!M43,5)), ",", ".")</f>
        <v>7.45555 55.7275</v>
      </c>
      <c r="T43">
        <v>0.1</v>
      </c>
    </row>
    <row r="44" spans="1:20" x14ac:dyDescent="0.2">
      <c r="A44" s="1">
        <v>43</v>
      </c>
      <c r="B44" s="17" t="s">
        <v>294</v>
      </c>
      <c r="C44" s="17"/>
      <c r="D44" s="17"/>
      <c r="E44" s="17"/>
      <c r="F44" s="18" t="s">
        <v>116</v>
      </c>
      <c r="G44" s="18" t="s">
        <v>117</v>
      </c>
      <c r="H44" s="1" t="str">
        <f t="shared" si="1"/>
        <v>LINESTRING(9.3108 55.617,10.05295 55.452,10.7951 55.287)</v>
      </c>
      <c r="I44" s="1">
        <f t="shared" si="2"/>
        <v>65</v>
      </c>
      <c r="J44" s="19">
        <v>52</v>
      </c>
      <c r="K44" s="1" t="str">
        <f t="shared" si="0"/>
        <v/>
      </c>
      <c r="L44" s="1">
        <f>INDEX(Nodes!$A:$A,MATCH(Arcs!F44,Nodes!$B:$B,0))</f>
        <v>10</v>
      </c>
      <c r="M44" s="1">
        <f>INDEX(Nodes!$A:$A,MATCH(Arcs!G44,Nodes!$B:$B,0))</f>
        <v>11</v>
      </c>
      <c r="N44" s="2">
        <v>0.1</v>
      </c>
      <c r="O44" s="3">
        <v>0.1</v>
      </c>
      <c r="P44" t="str" cm="1">
        <f t="array" ref="P44">SUBSTITUTE(INDEX(Nodes!$A$3:$E$64,Arcs!L44,4) &amp; " " &amp; INDEX(Nodes!$A$3:$E$64,Arcs!L44,5), ",",".")</f>
        <v>9.3108 55.617</v>
      </c>
      <c r="Q44" t="str" cm="1">
        <f t="array" ref="Q44">SUBSTITUTE(INDEX(Nodes!$A$3:$E$64,Arcs!M44,4) &amp; " " &amp; INDEX(Nodes!$A$3:$E$64,Arcs!M44,5), ",",".")</f>
        <v>10.7951 55.287</v>
      </c>
      <c r="R44" t="str">
        <f>SUBSTITUTE(AVERAGE(INDEX(Nodes!$A$3:$E$64,Arcs!L44,4), INDEX(Nodes!$A$3:$E$64,Arcs!M44,4)) &amp; " " &amp; AVERAGE(INDEX(Nodes!$A$3:$E$64,Arcs!L44,5), INDEX(Nodes!$A$3:$E$64,Arcs!M44,5)), ",", ".")</f>
        <v>10.05295 55.452</v>
      </c>
      <c r="T44">
        <v>0.05</v>
      </c>
    </row>
    <row r="45" spans="1:20" x14ac:dyDescent="0.2">
      <c r="A45" s="1">
        <v>44</v>
      </c>
      <c r="B45" s="17" t="s">
        <v>295</v>
      </c>
      <c r="C45" s="17"/>
      <c r="D45" s="17"/>
      <c r="E45" s="17"/>
      <c r="F45" s="18" t="s">
        <v>118</v>
      </c>
      <c r="G45" s="18" t="s">
        <v>109</v>
      </c>
      <c r="H45" s="1" t="str">
        <f t="shared" si="1"/>
        <v>LINESTRING(11.2102 55.389,13.23505 54.5945,15.2599 53.8)</v>
      </c>
      <c r="I45" s="1">
        <f t="shared" si="2"/>
        <v>40</v>
      </c>
      <c r="J45" s="19">
        <v>32</v>
      </c>
      <c r="K45" s="1" t="str">
        <f t="shared" si="0"/>
        <v/>
      </c>
      <c r="L45" s="1">
        <f>INDEX(Nodes!$A:$A,MATCH(Arcs!F45,Nodes!$B:$B,0))</f>
        <v>12</v>
      </c>
      <c r="M45" s="1">
        <f>INDEX(Nodes!$A:$A,MATCH(Arcs!G45,Nodes!$B:$B,0))</f>
        <v>47</v>
      </c>
      <c r="N45" s="2">
        <v>0.1</v>
      </c>
      <c r="O45" s="3">
        <v>0.1</v>
      </c>
      <c r="P45" t="str" cm="1">
        <f t="array" ref="P45">SUBSTITUTE(INDEX(Nodes!$A$3:$E$64,Arcs!L45,4) &amp; " " &amp; INDEX(Nodes!$A$3:$E$64,Arcs!L45,5), ",",".")</f>
        <v>11.2102 55.389</v>
      </c>
      <c r="Q45" t="str" cm="1">
        <f t="array" ref="Q45">SUBSTITUTE(INDEX(Nodes!$A$3:$E$64,Arcs!M45,4) &amp; " " &amp; INDEX(Nodes!$A$3:$E$64,Arcs!M45,5), ",",".")</f>
        <v>15.2599 53.8</v>
      </c>
      <c r="R45" t="str">
        <f>SUBSTITUTE(AVERAGE(INDEX(Nodes!$A$3:$E$64,Arcs!L45,4), INDEX(Nodes!$A$3:$E$64,Arcs!M45,4)) &amp; " " &amp; AVERAGE(INDEX(Nodes!$A$3:$E$64,Arcs!L45,5), INDEX(Nodes!$A$3:$E$64,Arcs!M45,5)), ",", ".")</f>
        <v>13.23505 54.5945</v>
      </c>
      <c r="T45">
        <v>0.15</v>
      </c>
    </row>
    <row r="46" spans="1:20" x14ac:dyDescent="0.2">
      <c r="A46" s="1">
        <v>45</v>
      </c>
      <c r="B46" s="17" t="s">
        <v>175</v>
      </c>
      <c r="C46" s="17"/>
      <c r="D46" s="17"/>
      <c r="E46" s="17"/>
      <c r="F46" s="47" t="s">
        <v>100</v>
      </c>
      <c r="G46" s="47" t="s">
        <v>107</v>
      </c>
      <c r="H46" s="1" t="str">
        <f t="shared" si="1"/>
        <v>LINESTRING(1.803328 57.758069,0.349372 56.1913345,-1.104584 54.6246)</v>
      </c>
      <c r="I46" s="1">
        <f t="shared" si="2"/>
        <v>60</v>
      </c>
      <c r="J46" s="19">
        <v>48</v>
      </c>
      <c r="K46" s="1" t="s">
        <v>311</v>
      </c>
      <c r="L46" s="1">
        <f>INDEX(Nodes!$A:$A,MATCH(Arcs!F46,Nodes!$B:$B,0))</f>
        <v>8</v>
      </c>
      <c r="M46" s="1">
        <f>INDEX(Nodes!$A:$A,MATCH(Arcs!G46,Nodes!$B:$B,0))</f>
        <v>55</v>
      </c>
      <c r="N46" s="2">
        <v>0.1</v>
      </c>
      <c r="O46" s="3">
        <v>0.1</v>
      </c>
      <c r="P46" t="str" cm="1">
        <f t="array" ref="P46">SUBSTITUTE(INDEX(Nodes!$A$3:$E$64,Arcs!L46,4) &amp; " " &amp; INDEX(Nodes!$A$3:$E$64,Arcs!L46,5), ",",".")</f>
        <v>1.803328 57.758069</v>
      </c>
      <c r="Q46" t="str" cm="1">
        <f t="array" ref="Q46">SUBSTITUTE(INDEX(Nodes!$A$3:$E$64,Arcs!M46,4) &amp; " " &amp; INDEX(Nodes!$A$3:$E$64,Arcs!M46,5), ",",".")</f>
        <v>-1.104584 54.6246</v>
      </c>
      <c r="R46" t="str">
        <f>SUBSTITUTE(AVERAGE(INDEX(Nodes!$A$3:$E$64,Arcs!L46,4), INDEX(Nodes!$A$3:$E$64,Arcs!M46,4)) &amp; " " &amp; AVERAGE(INDEX(Nodes!$A$3:$E$64,Arcs!L46,5), INDEX(Nodes!$A$3:$E$64,Arcs!M46,5)), ",", ".")</f>
        <v>0.349372 56.1913345</v>
      </c>
      <c r="T46">
        <v>0.2</v>
      </c>
    </row>
    <row r="47" spans="1:20" x14ac:dyDescent="0.2">
      <c r="A47" s="1">
        <v>46</v>
      </c>
      <c r="B47" s="17" t="s">
        <v>176</v>
      </c>
      <c r="C47" s="17"/>
      <c r="D47" s="17"/>
      <c r="E47" s="17"/>
      <c r="F47" s="17" t="s">
        <v>79</v>
      </c>
      <c r="G47" s="17" t="s">
        <v>101</v>
      </c>
      <c r="H47" s="1" t="str">
        <f t="shared" si="1"/>
        <v>LINESTRING(1.705013 61.034477,-0.060319 59.307224,-1.825651 57.579971)</v>
      </c>
      <c r="I47" s="1">
        <f t="shared" si="2"/>
        <v>41.25</v>
      </c>
      <c r="J47" s="19">
        <v>33</v>
      </c>
      <c r="K47" s="1" t="str">
        <f t="shared" ref="K47:K55" si="3">IF(J47=100,"Capacity unknown","")</f>
        <v/>
      </c>
      <c r="L47" s="1">
        <f>INDEX(Nodes!$A:$A,MATCH(Arcs!F47,Nodes!$B:$B,0))</f>
        <v>40</v>
      </c>
      <c r="M47" s="1">
        <f>INDEX(Nodes!$A:$A,MATCH(Arcs!G47,Nodes!$B:$B,0))</f>
        <v>52</v>
      </c>
      <c r="N47" s="2">
        <v>0.1</v>
      </c>
      <c r="O47" s="3">
        <v>0.1</v>
      </c>
      <c r="P47" t="str" cm="1">
        <f t="array" ref="P47">SUBSTITUTE(INDEX(Nodes!$A$3:$E$64,Arcs!L47,4) &amp; " " &amp; INDEX(Nodes!$A$3:$E$64,Arcs!L47,5), ",",".")</f>
        <v>1.705013 61.034477</v>
      </c>
      <c r="Q47" t="str" cm="1">
        <f t="array" ref="Q47">SUBSTITUTE(INDEX(Nodes!$A$3:$E$64,Arcs!M47,4) &amp; " " &amp; INDEX(Nodes!$A$3:$E$64,Arcs!M47,5), ",",".")</f>
        <v>-1.825651 57.579971</v>
      </c>
      <c r="R47" t="str">
        <f>SUBSTITUTE(AVERAGE(INDEX(Nodes!$A$3:$E$64,Arcs!L47,4), INDEX(Nodes!$A$3:$E$64,Arcs!M47,4)) &amp; " " &amp; AVERAGE(INDEX(Nodes!$A$3:$E$64,Arcs!L47,5), INDEX(Nodes!$A$3:$E$64,Arcs!M47,5)), ",", ".")</f>
        <v>-0.060319 59.307224</v>
      </c>
      <c r="T47">
        <v>0.4</v>
      </c>
    </row>
    <row r="48" spans="1:20" x14ac:dyDescent="0.2">
      <c r="A48" s="1">
        <v>47</v>
      </c>
      <c r="B48" s="28" t="s">
        <v>211</v>
      </c>
      <c r="F48" s="29" t="s">
        <v>115</v>
      </c>
      <c r="G48" s="29" t="s">
        <v>116</v>
      </c>
      <c r="H48" s="1" t="str">
        <f t="shared" si="1"/>
        <v>LINESTRING(8.4073 55.745,8.85905 55.681,9.3108 55.617)</v>
      </c>
      <c r="I48" s="1">
        <f t="shared" si="2"/>
        <v>1250</v>
      </c>
      <c r="J48" s="30">
        <v>1000</v>
      </c>
      <c r="K48" s="27" t="str">
        <f t="shared" si="3"/>
        <v/>
      </c>
      <c r="L48" s="1">
        <f>INDEX(Nodes!$A:$A,MATCH(Arcs!F48,Nodes!$B:$B,0))</f>
        <v>9</v>
      </c>
      <c r="M48" s="1">
        <f>INDEX(Nodes!$A:$A,MATCH(Arcs!G48,Nodes!$B:$B,0))</f>
        <v>10</v>
      </c>
      <c r="N48" s="2">
        <v>0.1</v>
      </c>
      <c r="O48" s="3">
        <v>0.1</v>
      </c>
      <c r="P48" t="str" cm="1">
        <f t="array" ref="P48">SUBSTITUTE(INDEX(Nodes!$A$3:$E$64,Arcs!L48,4) &amp; " " &amp; INDEX(Nodes!$A$3:$E$64,Arcs!L48,5), ",",".")</f>
        <v>8.4073 55.745</v>
      </c>
      <c r="Q48" t="str" cm="1">
        <f t="array" ref="Q48">SUBSTITUTE(INDEX(Nodes!$A$3:$E$64,Arcs!M48,4) &amp; " " &amp; INDEX(Nodes!$A$3:$E$64,Arcs!M48,5), ",",".")</f>
        <v>9.3108 55.617</v>
      </c>
      <c r="R48" t="str">
        <f>SUBSTITUTE(AVERAGE(INDEX(Nodes!$A$3:$E$64,Arcs!L48,4), INDEX(Nodes!$A$3:$E$64,Arcs!M48,4)) &amp; " " &amp; AVERAGE(INDEX(Nodes!$A$3:$E$64,Arcs!L48,5), INDEX(Nodes!$A$3:$E$64,Arcs!M48,5)), ",", ".")</f>
        <v>8.85905 55.681</v>
      </c>
      <c r="T48">
        <v>0</v>
      </c>
    </row>
    <row r="49" spans="1:20" x14ac:dyDescent="0.2">
      <c r="A49" s="1">
        <v>48</v>
      </c>
      <c r="B49" s="28" t="s">
        <v>212</v>
      </c>
      <c r="F49" s="18" t="s">
        <v>117</v>
      </c>
      <c r="G49" s="18" t="s">
        <v>118</v>
      </c>
      <c r="H49" s="1" t="str">
        <f t="shared" si="1"/>
        <v>LINESTRING(10.7951 55.287,11.00265 55.338,11.2102 55.389)</v>
      </c>
      <c r="I49" s="1">
        <f t="shared" si="2"/>
        <v>1250</v>
      </c>
      <c r="J49" s="30">
        <v>1000</v>
      </c>
      <c r="K49" s="27" t="str">
        <f t="shared" si="3"/>
        <v/>
      </c>
      <c r="L49" s="1">
        <f>INDEX(Nodes!$A:$A,MATCH(Arcs!F49,Nodes!$B:$B,0))</f>
        <v>11</v>
      </c>
      <c r="M49" s="1">
        <f>INDEX(Nodes!$A:$A,MATCH(Arcs!G49,Nodes!$B:$B,0))</f>
        <v>12</v>
      </c>
      <c r="N49" s="2">
        <v>0.1</v>
      </c>
      <c r="O49" s="3">
        <v>0.1</v>
      </c>
      <c r="P49" t="str" cm="1">
        <f t="array" ref="P49">SUBSTITUTE(INDEX(Nodes!$A$3:$E$64,Arcs!L49,4) &amp; " " &amp; INDEX(Nodes!$A$3:$E$64,Arcs!L49,5), ",",".")</f>
        <v>10.7951 55.287</v>
      </c>
      <c r="Q49" t="str" cm="1">
        <f t="array" ref="Q49">SUBSTITUTE(INDEX(Nodes!$A$3:$E$64,Arcs!M49,4) &amp; " " &amp; INDEX(Nodes!$A$3:$E$64,Arcs!M49,5), ",",".")</f>
        <v>11.2102 55.389</v>
      </c>
      <c r="R49" t="str">
        <f>SUBSTITUTE(AVERAGE(INDEX(Nodes!$A$3:$E$64,Arcs!L49,4), INDEX(Nodes!$A$3:$E$64,Arcs!M49,4)) &amp; " " &amp; AVERAGE(INDEX(Nodes!$A$3:$E$64,Arcs!L49,5), INDEX(Nodes!$A$3:$E$64,Arcs!M49,5)), ",", ".")</f>
        <v>11.00265 55.338</v>
      </c>
      <c r="T49">
        <v>0</v>
      </c>
    </row>
    <row r="50" spans="1:20" x14ac:dyDescent="0.2">
      <c r="A50" s="1">
        <v>49</v>
      </c>
      <c r="B50" s="28" t="s">
        <v>306</v>
      </c>
      <c r="F50" s="29" t="s">
        <v>99</v>
      </c>
      <c r="G50" s="29" t="s">
        <v>98</v>
      </c>
      <c r="H50" s="1" t="str">
        <f t="shared" si="1"/>
        <v>LINESTRING(2.47373297460288 58.1844092290148,2.46906857032826 58.1862791232136,2.46440416605363 58.1881490174125)</v>
      </c>
      <c r="I50" s="1">
        <f t="shared" si="2"/>
        <v>1250</v>
      </c>
      <c r="J50" s="30">
        <v>1000</v>
      </c>
      <c r="K50" s="27" t="str">
        <f t="shared" si="3"/>
        <v/>
      </c>
      <c r="L50" s="1">
        <f>INDEX(Nodes!$A:$A,MATCH(Arcs!F50,Nodes!$B:$B,0))</f>
        <v>16</v>
      </c>
      <c r="M50" s="1">
        <f>INDEX(Nodes!$A:$A,MATCH(Arcs!G50,Nodes!$B:$B,0))</f>
        <v>15</v>
      </c>
      <c r="N50" s="2">
        <v>0.1</v>
      </c>
      <c r="O50" s="3">
        <v>0.1</v>
      </c>
      <c r="P50" t="str" cm="1">
        <f t="array" ref="P50">SUBSTITUTE(INDEX(Nodes!$A$3:$E$64,Arcs!L50,4) &amp; " " &amp; INDEX(Nodes!$A$3:$E$64,Arcs!L50,5), ",",".")</f>
        <v>2.47373297460288 58.1844092290148</v>
      </c>
      <c r="Q50" t="str" cm="1">
        <f t="array" ref="Q50">SUBSTITUTE(INDEX(Nodes!$A$3:$E$64,Arcs!M50,4) &amp; " " &amp; INDEX(Nodes!$A$3:$E$64,Arcs!M50,5), ",",".")</f>
        <v>2.46440416605363 58.1881490174125</v>
      </c>
      <c r="R50" t="str">
        <f>SUBSTITUTE(AVERAGE(INDEX(Nodes!$A$3:$E$64,Arcs!L50,4), INDEX(Nodes!$A$3:$E$64,Arcs!M50,4)) &amp; " " &amp; AVERAGE(INDEX(Nodes!$A$3:$E$64,Arcs!L50,5), INDEX(Nodes!$A$3:$E$64,Arcs!M50,5)), ",", ".")</f>
        <v>2.46906857032826 58.1862791232136</v>
      </c>
      <c r="T50">
        <v>0</v>
      </c>
    </row>
    <row r="51" spans="1:20" x14ac:dyDescent="0.2">
      <c r="A51" s="1">
        <v>50</v>
      </c>
      <c r="B51" s="28" t="s">
        <v>307</v>
      </c>
      <c r="F51" s="29" t="s">
        <v>96</v>
      </c>
      <c r="G51" s="29" t="s">
        <v>97</v>
      </c>
      <c r="H51" s="1" t="str">
        <f t="shared" si="1"/>
        <v>LINESTRING(1.89876593357951 58.370533807718,1.90731616528787 58.3677389907777,1.91586639699623 58.3649441738375)</v>
      </c>
      <c r="I51" s="1">
        <f t="shared" si="2"/>
        <v>1250</v>
      </c>
      <c r="J51" s="30">
        <v>1000</v>
      </c>
      <c r="K51" s="27" t="str">
        <f t="shared" si="3"/>
        <v/>
      </c>
      <c r="L51" s="1">
        <f>INDEX(Nodes!$A:$A,MATCH(Arcs!F51,Nodes!$B:$B,0))</f>
        <v>50</v>
      </c>
      <c r="M51" s="1">
        <f>INDEX(Nodes!$A:$A,MATCH(Arcs!G51,Nodes!$B:$B,0))</f>
        <v>51</v>
      </c>
      <c r="N51" s="2">
        <v>0.1</v>
      </c>
      <c r="O51" s="3">
        <v>0.1</v>
      </c>
      <c r="P51" t="str" cm="1">
        <f t="array" ref="P51">SUBSTITUTE(INDEX(Nodes!$A$3:$E$64,Arcs!L51,4) &amp; " " &amp; INDEX(Nodes!$A$3:$E$64,Arcs!L51,5), ",",".")</f>
        <v>1.89876593357951 58.370533807718</v>
      </c>
      <c r="Q51" t="str" cm="1">
        <f t="array" ref="Q51">SUBSTITUTE(INDEX(Nodes!$A$3:$E$64,Arcs!M51,4) &amp; " " &amp; INDEX(Nodes!$A$3:$E$64,Arcs!M51,5), ",",".")</f>
        <v>1.91586639699623 58.3649441738375</v>
      </c>
      <c r="R51" t="str">
        <f>SUBSTITUTE(AVERAGE(INDEX(Nodes!$A$3:$E$64,Arcs!L51,4), INDEX(Nodes!$A$3:$E$64,Arcs!M51,4)) &amp; " " &amp; AVERAGE(INDEX(Nodes!$A$3:$E$64,Arcs!L51,5), INDEX(Nodes!$A$3:$E$64,Arcs!M51,5)), ",", ".")</f>
        <v>1.90731616528787 58.3677389907777</v>
      </c>
      <c r="T51">
        <v>0</v>
      </c>
    </row>
    <row r="52" spans="1:20" x14ac:dyDescent="0.2">
      <c r="A52" s="1">
        <v>51</v>
      </c>
      <c r="B52" s="28" t="s">
        <v>308</v>
      </c>
      <c r="F52" s="29" t="s">
        <v>102</v>
      </c>
      <c r="G52" s="29" t="s">
        <v>103</v>
      </c>
      <c r="H52" s="1" t="str">
        <f t="shared" si="1"/>
        <v>LINESTRING(3.23 56.55,3.28025150000001 56.5201845,3.33050300000002 56.490369)</v>
      </c>
      <c r="I52" s="1">
        <f t="shared" si="2"/>
        <v>1250</v>
      </c>
      <c r="J52" s="30">
        <v>1000</v>
      </c>
      <c r="K52" s="27" t="str">
        <f t="shared" si="3"/>
        <v/>
      </c>
      <c r="L52" s="1">
        <f>INDEX(Nodes!$A:$A,MATCH(Arcs!F52,Nodes!$B:$B,0))</f>
        <v>20</v>
      </c>
      <c r="M52" s="1">
        <f>INDEX(Nodes!$A:$A,MATCH(Arcs!G52,Nodes!$B:$B,0))</f>
        <v>43</v>
      </c>
      <c r="N52" s="2">
        <v>0.1</v>
      </c>
      <c r="O52" s="3">
        <v>0.1</v>
      </c>
      <c r="P52" t="str" cm="1">
        <f t="array" ref="P52">SUBSTITUTE(INDEX(Nodes!$A$3:$E$64,Arcs!L52,4) &amp; " " &amp; INDEX(Nodes!$A$3:$E$64,Arcs!L52,5), ",",".")</f>
        <v>3.23 56.55</v>
      </c>
      <c r="Q52" t="str" cm="1">
        <f t="array" ref="Q52">SUBSTITUTE(INDEX(Nodes!$A$3:$E$64,Arcs!M52,4) &amp; " " &amp; INDEX(Nodes!$A$3:$E$64,Arcs!M52,5), ",",".")</f>
        <v>3.33050300000002 56.490369</v>
      </c>
      <c r="R52" t="str">
        <f>SUBSTITUTE(AVERAGE(INDEX(Nodes!$A$3:$E$64,Arcs!L52,4), INDEX(Nodes!$A$3:$E$64,Arcs!M52,4)) &amp; " " &amp; AVERAGE(INDEX(Nodes!$A$3:$E$64,Arcs!L52,5), INDEX(Nodes!$A$3:$E$64,Arcs!M52,5)), ",", ".")</f>
        <v>3.28025150000001 56.5201845</v>
      </c>
      <c r="T52">
        <v>0</v>
      </c>
    </row>
    <row r="53" spans="1:20" x14ac:dyDescent="0.2">
      <c r="A53" s="1">
        <v>52</v>
      </c>
      <c r="B53" s="28" t="s">
        <v>309</v>
      </c>
      <c r="C53" s="1">
        <v>52</v>
      </c>
      <c r="D53" s="28" t="s">
        <v>309</v>
      </c>
      <c r="E53" s="1">
        <v>52</v>
      </c>
      <c r="F53" s="29" t="s">
        <v>71</v>
      </c>
      <c r="G53" s="29" t="s">
        <v>72</v>
      </c>
      <c r="H53" s="1" t="str">
        <f t="shared" si="1"/>
        <v>LINESTRING(7.79102610529196 64.3505675912103,7.11614205264601 64.2919112956052,6.44125800000006 64.233255)</v>
      </c>
      <c r="I53" s="1">
        <f t="shared" si="2"/>
        <v>1250</v>
      </c>
      <c r="J53" s="30">
        <v>1000</v>
      </c>
      <c r="K53" s="27" t="str">
        <f t="shared" si="3"/>
        <v/>
      </c>
      <c r="L53" s="1">
        <f>INDEX(Nodes!$A:$A,MATCH(Arcs!F53,Nodes!$B:$B,0))</f>
        <v>14</v>
      </c>
      <c r="M53" s="1">
        <f>INDEX(Nodes!$A:$A,MATCH(Arcs!G53,Nodes!$B:$B,0))</f>
        <v>13</v>
      </c>
      <c r="N53" s="2">
        <v>0.1</v>
      </c>
      <c r="O53" s="3">
        <v>0.1</v>
      </c>
      <c r="P53" t="str" cm="1">
        <f t="array" ref="P53">SUBSTITUTE(INDEX(Nodes!$A$3:$E$64,Arcs!L53,4) &amp; " " &amp; INDEX(Nodes!$A$3:$E$64,Arcs!L53,5), ",",".")</f>
        <v>7.79102610529196 64.3505675912103</v>
      </c>
      <c r="Q53" t="str" cm="1">
        <f t="array" ref="Q53">SUBSTITUTE(INDEX(Nodes!$A$3:$E$64,Arcs!M53,4) &amp; " " &amp; INDEX(Nodes!$A$3:$E$64,Arcs!M53,5), ",",".")</f>
        <v>6.44125800000006 64.233255</v>
      </c>
      <c r="R53" t="str">
        <f>SUBSTITUTE(AVERAGE(INDEX(Nodes!$A$3:$E$64,Arcs!L53,4), INDEX(Nodes!$A$3:$E$64,Arcs!M53,4)) &amp; " " &amp; AVERAGE(INDEX(Nodes!$A$3:$E$64,Arcs!L53,5), INDEX(Nodes!$A$3:$E$64,Arcs!M53,5)), ",", ".")</f>
        <v>7.11614205264601 64.2919112956052</v>
      </c>
      <c r="T53">
        <v>0</v>
      </c>
    </row>
    <row r="54" spans="1:20" x14ac:dyDescent="0.2">
      <c r="A54" s="1">
        <v>53</v>
      </c>
      <c r="B54" s="28" t="s">
        <v>310</v>
      </c>
      <c r="C54" s="1">
        <v>53</v>
      </c>
      <c r="D54" s="28" t="s">
        <v>310</v>
      </c>
      <c r="E54" s="1">
        <v>53</v>
      </c>
      <c r="F54" s="29" t="s">
        <v>80</v>
      </c>
      <c r="G54" s="29" t="s">
        <v>79</v>
      </c>
      <c r="H54" s="1" t="str">
        <f t="shared" si="1"/>
        <v>LINESTRING(1.70018911400007 61.022018433,1.70260105700003 61.0282477165,1.705013 61.034477)</v>
      </c>
      <c r="I54" s="1">
        <f t="shared" si="2"/>
        <v>1250</v>
      </c>
      <c r="J54" s="30">
        <v>1000</v>
      </c>
      <c r="K54" s="27" t="str">
        <f t="shared" si="3"/>
        <v/>
      </c>
      <c r="L54" s="1">
        <f>INDEX(Nodes!$A:$A,MATCH(Arcs!F54,Nodes!$B:$B,0))</f>
        <v>24</v>
      </c>
      <c r="M54" s="1">
        <f>INDEX(Nodes!$A:$A,MATCH(Arcs!G54,Nodes!$B:$B,0))</f>
        <v>40</v>
      </c>
      <c r="N54" s="2">
        <v>0.1</v>
      </c>
      <c r="O54" s="3">
        <v>0.1</v>
      </c>
      <c r="P54" t="str" cm="1">
        <f t="array" ref="P54">SUBSTITUTE(INDEX(Nodes!$A$3:$E$64,Arcs!L54,4) &amp; " " &amp; INDEX(Nodes!$A$3:$E$64,Arcs!L54,5), ",",".")</f>
        <v>1.70018911400007 61.022018433</v>
      </c>
      <c r="Q54" t="str" cm="1">
        <f t="array" ref="Q54">SUBSTITUTE(INDEX(Nodes!$A$3:$E$64,Arcs!M54,4) &amp; " " &amp; INDEX(Nodes!$A$3:$E$64,Arcs!M54,5), ",",".")</f>
        <v>1.705013 61.034477</v>
      </c>
      <c r="R54" t="str">
        <f>SUBSTITUTE(AVERAGE(INDEX(Nodes!$A$3:$E$64,Arcs!L54,4), INDEX(Nodes!$A$3:$E$64,Arcs!M54,4)) &amp; " " &amp; AVERAGE(INDEX(Nodes!$A$3:$E$64,Arcs!L54,5), INDEX(Nodes!$A$3:$E$64,Arcs!M54,5)), ",", ".")</f>
        <v>1.70260105700003 61.0282477165</v>
      </c>
      <c r="T54">
        <v>0</v>
      </c>
    </row>
    <row r="55" spans="1:20" x14ac:dyDescent="0.2">
      <c r="A55" s="1">
        <v>54</v>
      </c>
      <c r="B55" s="28" t="s">
        <v>313</v>
      </c>
      <c r="C55" s="1">
        <v>54</v>
      </c>
      <c r="D55" s="28" t="s">
        <v>313</v>
      </c>
      <c r="E55" s="1">
        <v>54</v>
      </c>
      <c r="F55" s="29" t="s">
        <v>197</v>
      </c>
      <c r="G55" s="17" t="s">
        <v>198</v>
      </c>
      <c r="H55" s="1" t="str">
        <f t="shared" si="1"/>
        <v>LINESTRING(6.80365983600007 65.0944715000001,5.74610048159499 63.6986000692747,4.68854112718991 62.3027286385494)</v>
      </c>
      <c r="I55" s="1">
        <f t="shared" si="2"/>
        <v>1250</v>
      </c>
      <c r="J55" s="30">
        <v>1000</v>
      </c>
      <c r="K55" s="27" t="str">
        <f t="shared" si="3"/>
        <v/>
      </c>
      <c r="L55" s="1">
        <f>INDEX(Nodes!$A:$A,MATCH(Arcs!F55,Nodes!$B:$B,0))</f>
        <v>3</v>
      </c>
      <c r="M55" s="1">
        <f>INDEX(Nodes!$A:$A,MATCH(Arcs!G55,Nodes!$B:$B,0))</f>
        <v>2</v>
      </c>
      <c r="N55" s="2">
        <v>0.1</v>
      </c>
      <c r="O55" s="3">
        <v>0.1</v>
      </c>
      <c r="P55" t="str" cm="1">
        <f t="array" ref="P55">SUBSTITUTE(INDEX(Nodes!$A$3:$E$64,Arcs!L55,4) &amp; " " &amp; INDEX(Nodes!$A$3:$E$64,Arcs!L55,5), ",",".")</f>
        <v>6.80365983600007 65.0944715000001</v>
      </c>
      <c r="Q55" t="str" cm="1">
        <f t="array" ref="Q55">SUBSTITUTE(INDEX(Nodes!$A$3:$E$64,Arcs!M55,4) &amp; " " &amp; INDEX(Nodes!$A$3:$E$64,Arcs!M55,5), ",",".")</f>
        <v>4.68854112718991 62.3027286385494</v>
      </c>
      <c r="R55" t="str">
        <f>SUBSTITUTE(AVERAGE(INDEX(Nodes!$A$3:$E$64,Arcs!L55,4), INDEX(Nodes!$A$3:$E$64,Arcs!M55,4)) &amp; " " &amp; AVERAGE(INDEX(Nodes!$A$3:$E$64,Arcs!L55,5), INDEX(Nodes!$A$3:$E$64,Arcs!M55,5)), ",", ".")</f>
        <v>5.74610048159499 63.6986000692747</v>
      </c>
      <c r="T55">
        <v>0</v>
      </c>
    </row>
    <row r="56" spans="1:20" x14ac:dyDescent="0.2">
      <c r="A56" s="1">
        <v>55</v>
      </c>
      <c r="B56" s="28" t="s">
        <v>314</v>
      </c>
      <c r="F56" s="29" t="s">
        <v>84</v>
      </c>
      <c r="G56" s="29" t="s">
        <v>86</v>
      </c>
      <c r="H56" s="1" t="str">
        <f t="shared" si="1"/>
        <v>LINESTRING(3.0378254949277 60.5433289978974,2.93093584095346 60.5151147257528,2.82404618697923 60.4869004536081)</v>
      </c>
      <c r="I56" s="1">
        <f t="shared" si="2"/>
        <v>1250</v>
      </c>
      <c r="J56" s="30">
        <v>1000</v>
      </c>
      <c r="K56" s="27" t="str">
        <f t="shared" ref="K56:K60" si="4">IF(J56=100,"Capacity unknown","")</f>
        <v/>
      </c>
      <c r="L56" s="1">
        <f>INDEX(Nodes!$A:$A,MATCH(Arcs!F56,Nodes!$B:$B,0))</f>
        <v>7</v>
      </c>
      <c r="M56" s="1">
        <f>INDEX(Nodes!$A:$A,MATCH(Arcs!G56,Nodes!$B:$B,0))</f>
        <v>46</v>
      </c>
      <c r="N56" s="2">
        <v>0.1</v>
      </c>
      <c r="O56" s="3">
        <v>0.1</v>
      </c>
      <c r="P56" t="str" cm="1">
        <f t="array" ref="P56">SUBSTITUTE(INDEX(Nodes!$A$3:$E$64,Arcs!L56,4) &amp; " " &amp; INDEX(Nodes!$A$3:$E$64,Arcs!L56,5), ",",".")</f>
        <v>3.0378254949277 60.5433289978974</v>
      </c>
      <c r="Q56" t="str" cm="1">
        <f t="array" ref="Q56">SUBSTITUTE(INDEX(Nodes!$A$3:$E$64,Arcs!M56,4) &amp; " " &amp; INDEX(Nodes!$A$3:$E$64,Arcs!M56,5), ",",".")</f>
        <v>2.82404618697923 60.4869004536081</v>
      </c>
      <c r="R56" t="str">
        <f>SUBSTITUTE(AVERAGE(INDEX(Nodes!$A$3:$E$64,Arcs!L56,4), INDEX(Nodes!$A$3:$E$64,Arcs!M56,4)) &amp; " " &amp; AVERAGE(INDEX(Nodes!$A$3:$E$64,Arcs!L56,5), INDEX(Nodes!$A$3:$E$64,Arcs!M56,5)), ",", ".")</f>
        <v>2.93093584095346 60.5151147257528</v>
      </c>
      <c r="T56">
        <v>0</v>
      </c>
    </row>
    <row r="57" spans="1:20" x14ac:dyDescent="0.2">
      <c r="A57" s="1">
        <v>56</v>
      </c>
      <c r="B57" s="28" t="s">
        <v>315</v>
      </c>
      <c r="F57" s="29" t="s">
        <v>71</v>
      </c>
      <c r="G57" s="29" t="s">
        <v>198</v>
      </c>
      <c r="H57" s="1" t="str">
        <f t="shared" si="1"/>
        <v>LINESTRING(7.79102610529196 64.3505675912103,6.23978361624093 63.3266481148799,4.68854112718991 62.3027286385494)</v>
      </c>
      <c r="I57" s="1">
        <f t="shared" si="2"/>
        <v>1250</v>
      </c>
      <c r="J57" s="30">
        <v>1000</v>
      </c>
      <c r="K57" s="27" t="str">
        <f t="shared" si="4"/>
        <v/>
      </c>
      <c r="L57" s="1">
        <f>INDEX(Nodes!$A:$A,MATCH(Arcs!F57,Nodes!$B:$B,0))</f>
        <v>14</v>
      </c>
      <c r="M57" s="1">
        <f>INDEX(Nodes!$A:$A,MATCH(Arcs!G57,Nodes!$B:$B,0))</f>
        <v>2</v>
      </c>
      <c r="N57" s="2">
        <v>0.1</v>
      </c>
      <c r="O57" s="3">
        <v>0.1</v>
      </c>
      <c r="P57" t="str" cm="1">
        <f t="array" ref="P57">SUBSTITUTE(INDEX(Nodes!$A$3:$E$64,Arcs!L57,4) &amp; " " &amp; INDEX(Nodes!$A$3:$E$64,Arcs!L57,5), ",",".")</f>
        <v>7.79102610529196 64.3505675912103</v>
      </c>
      <c r="Q57" t="str" cm="1">
        <f t="array" ref="Q57">SUBSTITUTE(INDEX(Nodes!$A$3:$E$64,Arcs!M57,4) &amp; " " &amp; INDEX(Nodes!$A$3:$E$64,Arcs!M57,5), ",",".")</f>
        <v>4.68854112718991 62.3027286385494</v>
      </c>
      <c r="R57" t="str">
        <f>SUBSTITUTE(AVERAGE(INDEX(Nodes!$A$3:$E$64,Arcs!L57,4), INDEX(Nodes!$A$3:$E$64,Arcs!M57,4)) &amp; " " &amp; AVERAGE(INDEX(Nodes!$A$3:$E$64,Arcs!L57,5), INDEX(Nodes!$A$3:$E$64,Arcs!M57,5)), ",", ".")</f>
        <v>6.23978361624093 63.3266481148799</v>
      </c>
      <c r="T57">
        <v>0</v>
      </c>
    </row>
    <row r="58" spans="1:20" x14ac:dyDescent="0.2">
      <c r="A58" s="1">
        <v>57</v>
      </c>
      <c r="B58" s="28" t="s">
        <v>316</v>
      </c>
      <c r="F58" s="29" t="s">
        <v>95</v>
      </c>
      <c r="G58" t="s">
        <v>91</v>
      </c>
      <c r="H58" s="1" t="str">
        <f t="shared" si="1"/>
        <v>LINESTRING(2.25414983173741 58.8394056753501,3.65416291586873 59.0831068376751,5.05417600000004 59.326808)</v>
      </c>
      <c r="I58" s="1">
        <f t="shared" si="2"/>
        <v>1250</v>
      </c>
      <c r="J58" s="30">
        <v>1000</v>
      </c>
      <c r="K58" s="27" t="str">
        <f t="shared" si="4"/>
        <v/>
      </c>
      <c r="L58" s="1">
        <f>INDEX(Nodes!$A:$A,MATCH(Arcs!F58,Nodes!$B:$B,0))</f>
        <v>48</v>
      </c>
      <c r="M58" s="1">
        <f>INDEX(Nodes!$A:$A,MATCH(Arcs!G58,Nodes!$B:$B,0))</f>
        <v>34</v>
      </c>
      <c r="N58" s="2">
        <v>0.1</v>
      </c>
      <c r="O58" s="3">
        <v>0.1</v>
      </c>
      <c r="P58" t="str" cm="1">
        <f t="array" ref="P58">SUBSTITUTE(INDEX(Nodes!$A$3:$E$64,Arcs!L58,4) &amp; " " &amp; INDEX(Nodes!$A$3:$E$64,Arcs!L58,5), ",",".")</f>
        <v>2.25414983173741 58.8394056753501</v>
      </c>
      <c r="Q58" t="str" cm="1">
        <f t="array" ref="Q58">SUBSTITUTE(INDEX(Nodes!$A$3:$E$64,Arcs!M58,4) &amp; " " &amp; INDEX(Nodes!$A$3:$E$64,Arcs!M58,5), ",",".")</f>
        <v>5.05417600000004 59.326808</v>
      </c>
      <c r="R58" t="str">
        <f>SUBSTITUTE(AVERAGE(INDEX(Nodes!$A$3:$E$64,Arcs!L58,4), INDEX(Nodes!$A$3:$E$64,Arcs!M58,4)) &amp; " " &amp; AVERAGE(INDEX(Nodes!$A$3:$E$64,Arcs!L58,5), INDEX(Nodes!$A$3:$E$64,Arcs!M58,5)), ",", ".")</f>
        <v>3.65416291586873 59.0831068376751</v>
      </c>
      <c r="T58">
        <v>0</v>
      </c>
    </row>
    <row r="59" spans="1:20" x14ac:dyDescent="0.2">
      <c r="A59" s="1">
        <v>58</v>
      </c>
      <c r="B59" s="28" t="s">
        <v>317</v>
      </c>
      <c r="F59" t="s">
        <v>94</v>
      </c>
      <c r="G59" s="49" t="s">
        <v>199</v>
      </c>
      <c r="H59" s="1" t="str">
        <f t="shared" si="1"/>
        <v>LINESTRING(2.5577715130093 58.8419310723351,4.03534642322643 59.0570233500857,5.51292133344356 59.2721156278364)</v>
      </c>
      <c r="I59" s="1">
        <f t="shared" si="2"/>
        <v>1250</v>
      </c>
      <c r="J59" s="30">
        <v>1000</v>
      </c>
      <c r="K59" s="27" t="str">
        <f t="shared" si="4"/>
        <v/>
      </c>
      <c r="L59" s="1">
        <f>INDEX(Nodes!$A:$A,MATCH(Arcs!F59,Nodes!$B:$B,0))</f>
        <v>35</v>
      </c>
      <c r="M59" s="1">
        <f>INDEX(Nodes!$A:$A,MATCH(Arcs!G59,Nodes!$B:$B,0))</f>
        <v>36</v>
      </c>
      <c r="N59" s="2">
        <v>0.1</v>
      </c>
      <c r="O59" s="3">
        <v>0.1</v>
      </c>
      <c r="P59" t="str" cm="1">
        <f t="array" ref="P59">SUBSTITUTE(INDEX(Nodes!$A$3:$E$64,Arcs!L59,4) &amp; " " &amp; INDEX(Nodes!$A$3:$E$64,Arcs!L59,5), ",",".")</f>
        <v>2.5577715130093 58.8419310723351</v>
      </c>
      <c r="Q59" t="str" cm="1">
        <f t="array" ref="Q59">SUBSTITUTE(INDEX(Nodes!$A$3:$E$64,Arcs!M59,4) &amp; " " &amp; INDEX(Nodes!$A$3:$E$64,Arcs!M59,5), ",",".")</f>
        <v>5.51292133344356 59.2721156278364</v>
      </c>
      <c r="R59" t="str">
        <f>SUBSTITUTE(AVERAGE(INDEX(Nodes!$A$3:$E$64,Arcs!L59,4), INDEX(Nodes!$A$3:$E$64,Arcs!M59,4)) &amp; " " &amp; AVERAGE(INDEX(Nodes!$A$3:$E$64,Arcs!L59,5), INDEX(Nodes!$A$3:$E$64,Arcs!M59,5)), ",", ".")</f>
        <v>4.03534642322643 59.0570233500857</v>
      </c>
      <c r="T59">
        <v>0</v>
      </c>
    </row>
    <row r="60" spans="1:20" x14ac:dyDescent="0.2">
      <c r="A60" s="1">
        <v>59</v>
      </c>
      <c r="B60" s="28" t="s">
        <v>318</v>
      </c>
      <c r="F60" s="17" t="s">
        <v>70</v>
      </c>
      <c r="G60" s="17" t="s">
        <v>198</v>
      </c>
      <c r="H60" s="1" t="str">
        <f t="shared" si="1"/>
        <v>LINESTRING(6.80146100000007 65.0845160000001,5.74500106359499 63.6936223192747,4.68854112718991 62.3027286385494)</v>
      </c>
      <c r="I60" s="1">
        <f t="shared" si="2"/>
        <v>1250</v>
      </c>
      <c r="J60" s="30">
        <v>1000</v>
      </c>
      <c r="K60" s="27" t="str">
        <f t="shared" si="4"/>
        <v/>
      </c>
      <c r="L60" s="1">
        <f>INDEX(Nodes!$A:$A,MATCH(Arcs!F60,Nodes!$B:$B,0))</f>
        <v>42</v>
      </c>
      <c r="M60" s="1">
        <f>INDEX(Nodes!$A:$A,MATCH(Arcs!G60,Nodes!$B:$B,0))</f>
        <v>2</v>
      </c>
      <c r="N60" s="2">
        <v>0.1</v>
      </c>
      <c r="O60" s="3">
        <v>0.1</v>
      </c>
      <c r="P60" t="str" cm="1">
        <f t="array" ref="P60">SUBSTITUTE(INDEX(Nodes!$A$3:$E$64,Arcs!L60,4) &amp; " " &amp; INDEX(Nodes!$A$3:$E$64,Arcs!L60,5), ",",".")</f>
        <v>6.80146100000007 65.0845160000001</v>
      </c>
      <c r="Q60" t="str" cm="1">
        <f t="array" ref="Q60">SUBSTITUTE(INDEX(Nodes!$A$3:$E$64,Arcs!M60,4) &amp; " " &amp; INDEX(Nodes!$A$3:$E$64,Arcs!M60,5), ",",".")</f>
        <v>4.68854112718991 62.3027286385494</v>
      </c>
      <c r="R60" t="str">
        <f>SUBSTITUTE(AVERAGE(INDEX(Nodes!$A$3:$E$64,Arcs!L60,4), INDEX(Nodes!$A$3:$E$64,Arcs!M60,4)) &amp; " " &amp; AVERAGE(INDEX(Nodes!$A$3:$E$64,Arcs!L60,5), INDEX(Nodes!$A$3:$E$64,Arcs!M60,5)), ",", ".")</f>
        <v>5.74500106359499 63.6936223192747</v>
      </c>
      <c r="T60">
        <v>0</v>
      </c>
    </row>
    <row r="61" spans="1:20" x14ac:dyDescent="0.2">
      <c r="A61" s="1">
        <v>60</v>
      </c>
      <c r="B61" s="28" t="s">
        <v>319</v>
      </c>
      <c r="F61" s="50" t="s">
        <v>87</v>
      </c>
      <c r="G61" s="49" t="s">
        <v>88</v>
      </c>
      <c r="H61" s="1" t="str">
        <f t="shared" si="1"/>
        <v>LINESTRING(2.01751548100003 59.8949619730001,2.12637048424656 59.7330186621066,2.23522548749309 59.5710753512132)</v>
      </c>
      <c r="I61" s="1">
        <f t="shared" si="2"/>
        <v>1250</v>
      </c>
      <c r="J61" s="30">
        <v>1000</v>
      </c>
      <c r="K61" s="27" t="str">
        <f t="shared" ref="K61" si="5">IF(J61=100,"Capacity unknown","")</f>
        <v/>
      </c>
      <c r="L61" s="1">
        <f>INDEX(Nodes!$A:$A,MATCH(Arcs!F61,Nodes!$B:$B,0))</f>
        <v>39</v>
      </c>
      <c r="M61" s="1">
        <f>INDEX(Nodes!$A:$A,MATCH(Arcs!G61,Nodes!$B:$B,0))</f>
        <v>33</v>
      </c>
      <c r="N61" s="2">
        <v>0.1</v>
      </c>
      <c r="O61" s="3">
        <v>0.1</v>
      </c>
      <c r="P61" t="str" cm="1">
        <f t="array" ref="P61">SUBSTITUTE(INDEX(Nodes!$A$3:$E$64,Arcs!L61,4) &amp; " " &amp; INDEX(Nodes!$A$3:$E$64,Arcs!L61,5), ",",".")</f>
        <v>2.01751548100003 59.8949619730001</v>
      </c>
      <c r="Q61" t="str" cm="1">
        <f t="array" ref="Q61">SUBSTITUTE(INDEX(Nodes!$A$3:$E$64,Arcs!M61,4) &amp; " " &amp; INDEX(Nodes!$A$3:$E$64,Arcs!M61,5), ",",".")</f>
        <v>2.23522548749309 59.5710753512132</v>
      </c>
      <c r="R61" t="str">
        <f>SUBSTITUTE(AVERAGE(INDEX(Nodes!$A$3:$E$64,Arcs!L61,4), INDEX(Nodes!$A$3:$E$64,Arcs!M61,4)) &amp; " " &amp; AVERAGE(INDEX(Nodes!$A$3:$E$64,Arcs!L61,5), INDEX(Nodes!$A$3:$E$64,Arcs!M61,5)), ",", ".")</f>
        <v>2.12637048424656 59.7330186621066</v>
      </c>
      <c r="T61">
        <v>0</v>
      </c>
    </row>
    <row r="62" spans="1:20" x14ac:dyDescent="0.2">
      <c r="A62" s="1">
        <v>61</v>
      </c>
      <c r="B62" s="28" t="s">
        <v>330</v>
      </c>
      <c r="F62" s="17" t="s">
        <v>181</v>
      </c>
      <c r="G62" s="49" t="s">
        <v>80</v>
      </c>
      <c r="H62" s="1" t="str">
        <f t="shared" si="1"/>
        <v>LINESTRING(3.90498979266736 61.3301937762874,2.80258945333371 61.1761061046437,1.70018911400007 61.022018433)</v>
      </c>
      <c r="I62" s="1">
        <f t="shared" si="2"/>
        <v>22.75</v>
      </c>
      <c r="J62" s="39">
        <v>18.2</v>
      </c>
      <c r="L62" s="1">
        <f>INDEX(Nodes!$A:$A,MATCH(Arcs!F62,Nodes!$B:$B,0))</f>
        <v>27</v>
      </c>
      <c r="M62" s="1">
        <f>INDEX(Nodes!$A:$A,MATCH(Arcs!G62,Nodes!$B:$B,0))</f>
        <v>24</v>
      </c>
      <c r="N62" s="2">
        <v>0.1</v>
      </c>
      <c r="O62" s="3">
        <v>0.1</v>
      </c>
      <c r="P62" t="str" cm="1">
        <f t="array" ref="P62">SUBSTITUTE(INDEX(Nodes!$A$3:$E$64,Arcs!L62,4) &amp; " " &amp; INDEX(Nodes!$A$3:$E$64,Arcs!L62,5), ",",".")</f>
        <v>3.90498979266736 61.3301937762874</v>
      </c>
      <c r="Q62" t="str" cm="1">
        <f t="array" ref="Q62">SUBSTITUTE(INDEX(Nodes!$A$3:$E$64,Arcs!M62,4) &amp; " " &amp; INDEX(Nodes!$A$3:$E$64,Arcs!M62,5), ",",".")</f>
        <v>1.70018911400007 61.022018433</v>
      </c>
      <c r="R62" t="str">
        <f>SUBSTITUTE(AVERAGE(INDEX(Nodes!$A$3:$E$64,Arcs!L62,4), INDEX(Nodes!$A$3:$E$64,Arcs!M62,4)) &amp; " " &amp; AVERAGE(INDEX(Nodes!$A$3:$E$64,Arcs!L62,5), INDEX(Nodes!$A$3:$E$64,Arcs!M62,5)), ",", ".")</f>
        <v>2.80258945333371 61.1761061046437</v>
      </c>
      <c r="T62">
        <v>0</v>
      </c>
    </row>
    <row r="63" spans="1:20" x14ac:dyDescent="0.2">
      <c r="A63" s="1">
        <v>62</v>
      </c>
      <c r="B63" s="28" t="s">
        <v>342</v>
      </c>
      <c r="F63" t="s">
        <v>113</v>
      </c>
      <c r="G63" s="49" t="s">
        <v>341</v>
      </c>
      <c r="I63" s="1">
        <f t="shared" si="2"/>
        <v>1250</v>
      </c>
      <c r="J63" s="30">
        <v>1000</v>
      </c>
      <c r="L63" s="1">
        <f>INDEX(Nodes!$A:$A,MATCH(Arcs!F63,Nodes!$B:$B,0))</f>
        <v>58</v>
      </c>
      <c r="M63" s="1">
        <f>INDEX(Nodes!$A:$A,MATCH(Arcs!G63,Nodes!$B:$B,0))</f>
        <v>65</v>
      </c>
      <c r="N63" s="2">
        <v>0.1</v>
      </c>
      <c r="O63" s="3">
        <v>0.1</v>
      </c>
    </row>
    <row r="64" spans="1:20" x14ac:dyDescent="0.2">
      <c r="A64" s="1">
        <v>63</v>
      </c>
      <c r="B64" s="28" t="s">
        <v>343</v>
      </c>
      <c r="F64" t="s">
        <v>113</v>
      </c>
      <c r="G64" s="49" t="s">
        <v>340</v>
      </c>
      <c r="I64" s="1">
        <f t="shared" si="2"/>
        <v>1250</v>
      </c>
      <c r="J64" s="30">
        <v>1000</v>
      </c>
      <c r="L64" s="1">
        <f>INDEX(Nodes!$A:$A,MATCH(Arcs!F64,Nodes!$B:$B,0))</f>
        <v>58</v>
      </c>
      <c r="M64" s="1">
        <f>INDEX(Nodes!$A:$A,MATCH(Arcs!G64,Nodes!$B:$B,0))</f>
        <v>64</v>
      </c>
      <c r="N64" s="2">
        <v>0</v>
      </c>
      <c r="O64" s="3">
        <v>0</v>
      </c>
    </row>
    <row r="65" spans="1:15" x14ac:dyDescent="0.2">
      <c r="A65" s="1">
        <v>64</v>
      </c>
      <c r="B65" s="28" t="s">
        <v>344</v>
      </c>
      <c r="F65" t="s">
        <v>112</v>
      </c>
      <c r="G65" s="49" t="s">
        <v>336</v>
      </c>
      <c r="I65" s="1">
        <f t="shared" si="2"/>
        <v>1250</v>
      </c>
      <c r="J65" s="30">
        <v>1000</v>
      </c>
      <c r="L65" s="1">
        <f>INDEX(Nodes!$A:$A,MATCH(Arcs!F65,Nodes!$B:$B,0))</f>
        <v>22</v>
      </c>
      <c r="M65" s="1">
        <f>INDEX(Nodes!$A:$A,MATCH(Arcs!G65,Nodes!$B:$B,0))</f>
        <v>61</v>
      </c>
      <c r="N65" s="2">
        <v>0</v>
      </c>
      <c r="O65" s="3">
        <v>0</v>
      </c>
    </row>
    <row r="66" spans="1:15" x14ac:dyDescent="0.2">
      <c r="A66" s="1">
        <v>65</v>
      </c>
      <c r="B66" s="28" t="s">
        <v>345</v>
      </c>
      <c r="F66" t="s">
        <v>112</v>
      </c>
      <c r="G66" s="49" t="s">
        <v>338</v>
      </c>
      <c r="I66" s="1">
        <f t="shared" si="2"/>
        <v>1250</v>
      </c>
      <c r="J66" s="30">
        <v>1000</v>
      </c>
      <c r="L66" s="1">
        <f>INDEX(Nodes!$A:$A,MATCH(Arcs!F66,Nodes!$B:$B,0))</f>
        <v>22</v>
      </c>
      <c r="M66" s="1">
        <f>INDEX(Nodes!$A:$A,MATCH(Arcs!G66,Nodes!$B:$B,0))</f>
        <v>60</v>
      </c>
      <c r="N66" s="2">
        <v>0</v>
      </c>
      <c r="O66" s="3">
        <v>0</v>
      </c>
    </row>
    <row r="67" spans="1:15" x14ac:dyDescent="0.2">
      <c r="A67" s="1">
        <v>66</v>
      </c>
      <c r="B67" s="28" t="s">
        <v>346</v>
      </c>
      <c r="F67" t="s">
        <v>323</v>
      </c>
      <c r="G67" s="49" t="s">
        <v>339</v>
      </c>
      <c r="I67" s="1">
        <f t="shared" ref="I67:I68" si="6">J67*10000/8/1000</f>
        <v>1250</v>
      </c>
      <c r="J67" s="30">
        <v>1000</v>
      </c>
      <c r="L67" s="1">
        <f>INDEX(Nodes!$A:$A,MATCH(Arcs!F67,Nodes!$B:$B,0))</f>
        <v>21</v>
      </c>
      <c r="M67" s="1">
        <f>INDEX(Nodes!$A:$A,MATCH(Arcs!G67,Nodes!$B:$B,0))</f>
        <v>63</v>
      </c>
      <c r="N67" s="2">
        <v>0</v>
      </c>
      <c r="O67" s="3">
        <v>0</v>
      </c>
    </row>
    <row r="68" spans="1:15" x14ac:dyDescent="0.2">
      <c r="A68" s="1">
        <v>67</v>
      </c>
      <c r="B68" s="28" t="s">
        <v>347</v>
      </c>
      <c r="F68" t="s">
        <v>323</v>
      </c>
      <c r="G68" s="49" t="s">
        <v>337</v>
      </c>
      <c r="I68" s="1">
        <f t="shared" si="6"/>
        <v>1250</v>
      </c>
      <c r="J68" s="30">
        <v>1000</v>
      </c>
      <c r="L68" s="1">
        <f>INDEX(Nodes!$A:$A,MATCH(Arcs!F68,Nodes!$B:$B,0))</f>
        <v>21</v>
      </c>
      <c r="M68" s="1">
        <f>INDEX(Nodes!$A:$A,MATCH(Arcs!G68,Nodes!$B:$B,0))</f>
        <v>62</v>
      </c>
      <c r="N68" s="2">
        <v>0</v>
      </c>
      <c r="O68" s="3">
        <v>0</v>
      </c>
    </row>
  </sheetData>
  <autoFilter ref="A1:O54" xr:uid="{2902688A-D2A3-854F-B341-C0BEC53AF991}"/>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19"/>
  <sheetViews>
    <sheetView zoomScale="200" zoomScaleNormal="200" workbookViewId="0">
      <selection activeCell="A2" sqref="A2"/>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5" t="s">
        <v>164</v>
      </c>
      <c r="B1" s="25" t="s">
        <v>169</v>
      </c>
      <c r="C1" s="25" t="s">
        <v>202</v>
      </c>
      <c r="D1" s="25" t="s">
        <v>155</v>
      </c>
      <c r="E1" s="25" t="s">
        <v>203</v>
      </c>
      <c r="F1" s="25" t="s">
        <v>204</v>
      </c>
      <c r="G1" s="25" t="s">
        <v>206</v>
      </c>
      <c r="H1" s="25" t="s">
        <v>205</v>
      </c>
    </row>
    <row r="2" spans="1:8" x14ac:dyDescent="0.2">
      <c r="A2" s="1" t="s">
        <v>73</v>
      </c>
      <c r="B2" t="s">
        <v>68</v>
      </c>
      <c r="C2" t="s">
        <v>102</v>
      </c>
      <c r="D2" s="24" t="s">
        <v>66</v>
      </c>
      <c r="E2" s="24" t="s">
        <v>90</v>
      </c>
      <c r="F2" s="48" t="s">
        <v>180</v>
      </c>
      <c r="G2" s="48" t="s">
        <v>67</v>
      </c>
      <c r="H2" s="48" t="s">
        <v>81</v>
      </c>
    </row>
    <row r="3" spans="1:8" x14ac:dyDescent="0.2">
      <c r="D3" s="24" t="s">
        <v>69</v>
      </c>
    </row>
    <row r="4" spans="1:8" x14ac:dyDescent="0.2">
      <c r="B4" s="11"/>
      <c r="D4" s="1" t="s">
        <v>91</v>
      </c>
    </row>
    <row r="5" spans="1:8" x14ac:dyDescent="0.2">
      <c r="D5" s="24" t="s">
        <v>178</v>
      </c>
    </row>
    <row r="6" spans="1:8" x14ac:dyDescent="0.2">
      <c r="D6" s="24" t="s">
        <v>87</v>
      </c>
    </row>
    <row r="7" spans="1:8" x14ac:dyDescent="0.2">
      <c r="D7" s="24" t="s">
        <v>86</v>
      </c>
    </row>
    <row r="8" spans="1:8" x14ac:dyDescent="0.2">
      <c r="D8" s="24" t="s">
        <v>96</v>
      </c>
    </row>
    <row r="9" spans="1:8" x14ac:dyDescent="0.2">
      <c r="D9" s="24" t="s">
        <v>77</v>
      </c>
    </row>
    <row r="10" spans="1:8" x14ac:dyDescent="0.2">
      <c r="D10" s="24" t="s">
        <v>82</v>
      </c>
    </row>
    <row r="11" spans="1:8" x14ac:dyDescent="0.2">
      <c r="D11" s="48" t="s">
        <v>100</v>
      </c>
    </row>
    <row r="13" spans="1:8" x14ac:dyDescent="0.2">
      <c r="A13" cm="1">
        <f t="array" ref="A13">SUM(IF(ISNUMBER(VLOOKUP(A2:A11,Nodes!$B$3:$J$61,8)),VLOOKUP(A2:A11,Nodes!$B$3:$J$61,8)))</f>
        <v>5</v>
      </c>
      <c r="B13" cm="1">
        <f t="array" ref="B13">SUM(IF(ISNUMBER(VLOOKUP(B2:B11,Nodes!$B$3:$J$61,8)),VLOOKUP(B2:B11,Nodes!$B$3:$J$61,8)))</f>
        <v>5</v>
      </c>
      <c r="C13" cm="1">
        <f t="array" ref="C13">SUM(IF(ISNUMBER(VLOOKUP(C2:C11,Nodes!$B$3:$J$61,8)),VLOOKUP(C2:C11,Nodes!$B$3:$J$61,8)))</f>
        <v>5</v>
      </c>
      <c r="D13" cm="1">
        <f t="array" ref="D13">SUM(IF(ISNUMBER(VLOOKUP(D2:D11,Nodes!$B$3:$J$61,8)),VLOOKUP(D2:D11,Nodes!$B$3:$J$61,8)))</f>
        <v>50</v>
      </c>
      <c r="E13" cm="1">
        <f t="array" ref="E13">SUM(IF(ISNUMBER(VLOOKUP(E2:E11,Nodes!$B$3:$J$61,8)),VLOOKUP(E2:E11,Nodes!$B$3:$J$61,8)))</f>
        <v>5</v>
      </c>
      <c r="F13" s="38" cm="1">
        <f t="array" ref="F13">SUM(IF(ISNUMBER(VLOOKUP(F2:F11,Nodes!$B$3:$J$61,8)),VLOOKUP(F2:F11,Nodes!$B$3:$J$61,8)))</f>
        <v>5</v>
      </c>
      <c r="G13" s="38" cm="1">
        <f t="array" ref="G13">SUM(IF(ISNUMBER(VLOOKUP(G2:G11,Nodes!$B$3:$J$61,8)),VLOOKUP(G2:G11,Nodes!$B$3:$J$61,8)))</f>
        <v>5</v>
      </c>
      <c r="H13" s="38" cm="1">
        <f t="array" ref="H13">SUM(IF(ISNUMBER(VLOOKUP(H2:H11,Nodes!$B$3:$J$61,8)),VLOOKUP(H2:H11,Nodes!$B$3:$J$61,8)))</f>
        <v>5</v>
      </c>
    </row>
    <row r="15" spans="1:8" x14ac:dyDescent="0.2">
      <c r="H15" s="24" t="s">
        <v>326</v>
      </c>
    </row>
    <row r="16" spans="1:8" x14ac:dyDescent="0.2">
      <c r="H16" t="s">
        <v>327</v>
      </c>
    </row>
    <row r="17" spans="8:8" x14ac:dyDescent="0.2">
      <c r="H17" t="s">
        <v>328</v>
      </c>
    </row>
    <row r="18" spans="8:8" x14ac:dyDescent="0.2">
      <c r="H18" t="s">
        <v>329</v>
      </c>
    </row>
    <row r="19" spans="8:8" x14ac:dyDescent="0.2">
      <c r="H19" t="s">
        <v>335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Q10"/>
  <sheetViews>
    <sheetView topLeftCell="C1" zoomScale="200" zoomScaleNormal="200" workbookViewId="0">
      <selection activeCell="O2" sqref="O2"/>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14" bestFit="1" customWidth="1"/>
    <col min="6" max="6" width="16.6640625" bestFit="1" customWidth="1"/>
    <col min="7" max="7" width="15.1640625" bestFit="1" customWidth="1"/>
    <col min="8" max="8" width="17.6640625" bestFit="1" customWidth="1"/>
    <col min="9" max="9" width="17.1640625" bestFit="1" customWidth="1"/>
    <col min="10" max="10" width="19.5" bestFit="1" customWidth="1"/>
    <col min="11" max="11" width="12.1640625" bestFit="1" customWidth="1"/>
    <col min="12" max="12" width="8.1640625" bestFit="1" customWidth="1"/>
    <col min="14" max="14" width="19.1640625" bestFit="1" customWidth="1"/>
    <col min="15" max="15" width="16.1640625" bestFit="1" customWidth="1"/>
  </cols>
  <sheetData>
    <row r="1" spans="1:17" x14ac:dyDescent="0.2">
      <c r="A1" s="8" t="s">
        <v>289</v>
      </c>
      <c r="B1" s="8" t="s">
        <v>101</v>
      </c>
      <c r="C1" s="8" t="s">
        <v>111</v>
      </c>
      <c r="D1" s="8" t="s">
        <v>107</v>
      </c>
      <c r="E1" s="8" t="s">
        <v>336</v>
      </c>
      <c r="F1" s="8" t="s">
        <v>338</v>
      </c>
      <c r="G1" s="8" t="s">
        <v>339</v>
      </c>
      <c r="H1" s="8" t="s">
        <v>337</v>
      </c>
      <c r="I1" s="8" t="s">
        <v>341</v>
      </c>
      <c r="J1" s="8" t="s">
        <v>340</v>
      </c>
      <c r="K1" s="8" t="s">
        <v>114</v>
      </c>
      <c r="L1" s="8" t="s">
        <v>109</v>
      </c>
      <c r="N1" s="8" t="s">
        <v>296</v>
      </c>
      <c r="O1" s="8" t="s">
        <v>297</v>
      </c>
      <c r="Q1" s="8"/>
    </row>
    <row r="2" spans="1:17" x14ac:dyDescent="0.2">
      <c r="A2" t="s">
        <v>164</v>
      </c>
      <c r="B2">
        <f>0</f>
        <v>0</v>
      </c>
      <c r="C2">
        <v>0</v>
      </c>
      <c r="D2">
        <v>0</v>
      </c>
      <c r="E2">
        <v>0</v>
      </c>
      <c r="F2">
        <v>0</v>
      </c>
      <c r="G2">
        <v>0</v>
      </c>
      <c r="H2">
        <v>0</v>
      </c>
      <c r="I2">
        <v>1</v>
      </c>
      <c r="J2">
        <v>0</v>
      </c>
      <c r="K2">
        <v>0</v>
      </c>
      <c r="L2">
        <v>0</v>
      </c>
      <c r="N2">
        <f>HLOOKUP(A2,Traders!$A$1:$H$13,13,)</f>
        <v>5</v>
      </c>
      <c r="O2" cm="1">
        <f t="array" ref="O2">SUM(B2:L2*MAX('Demand Stage 1'!$B$5:$L$12))</f>
        <v>56.25</v>
      </c>
    </row>
    <row r="3" spans="1:17" x14ac:dyDescent="0.2">
      <c r="A3" t="s">
        <v>169</v>
      </c>
      <c r="B3">
        <v>0</v>
      </c>
      <c r="C3">
        <v>0</v>
      </c>
      <c r="D3">
        <v>0</v>
      </c>
      <c r="E3">
        <v>0</v>
      </c>
      <c r="F3">
        <v>0</v>
      </c>
      <c r="G3">
        <v>0.1</v>
      </c>
      <c r="H3">
        <v>0</v>
      </c>
      <c r="I3">
        <v>0</v>
      </c>
      <c r="J3">
        <v>0</v>
      </c>
      <c r="K3">
        <v>0</v>
      </c>
      <c r="L3">
        <v>0.3</v>
      </c>
      <c r="N3">
        <f>HLOOKUP(A3,Traders!$A$1:$H$13,13,)</f>
        <v>5</v>
      </c>
      <c r="O3" cm="1">
        <f t="array" ref="O3">SUM(B3:L3*MAX('Demand Stage 1'!$B$5:$L$12))</f>
        <v>22.5</v>
      </c>
    </row>
    <row r="4" spans="1:17" x14ac:dyDescent="0.2">
      <c r="A4" t="s">
        <v>202</v>
      </c>
      <c r="B4">
        <v>0</v>
      </c>
      <c r="C4">
        <v>0</v>
      </c>
      <c r="D4">
        <v>0</v>
      </c>
      <c r="E4">
        <f>0.075*2</f>
        <v>0.15</v>
      </c>
      <c r="F4">
        <v>0</v>
      </c>
      <c r="G4">
        <v>0</v>
      </c>
      <c r="H4">
        <v>0</v>
      </c>
      <c r="I4">
        <v>0</v>
      </c>
      <c r="J4">
        <v>0</v>
      </c>
      <c r="K4">
        <v>0</v>
      </c>
      <c r="L4">
        <v>0</v>
      </c>
      <c r="N4">
        <f>HLOOKUP(A4,Traders!$A$1:$H$13,13,)</f>
        <v>5</v>
      </c>
      <c r="O4" cm="1">
        <f t="array" ref="O4">SUM(B4:L4*MAX('Demand Stage 1'!$B$5:$L$12))</f>
        <v>8.4375</v>
      </c>
    </row>
    <row r="5" spans="1:17" x14ac:dyDescent="0.2">
      <c r="A5" t="s">
        <v>155</v>
      </c>
      <c r="B5">
        <v>0.35</v>
      </c>
      <c r="C5">
        <v>1</v>
      </c>
      <c r="D5">
        <v>1</v>
      </c>
      <c r="E5">
        <f>1-E4-E6</f>
        <v>0.75</v>
      </c>
      <c r="F5">
        <f>1-F4-F6</f>
        <v>1</v>
      </c>
      <c r="G5">
        <f>1-G3-G6-G8</f>
        <v>0.75</v>
      </c>
      <c r="H5">
        <f>1-H3-H6-H8</f>
        <v>1</v>
      </c>
      <c r="I5">
        <v>0</v>
      </c>
      <c r="J5">
        <v>1</v>
      </c>
      <c r="K5">
        <v>1</v>
      </c>
      <c r="L5">
        <v>0.7</v>
      </c>
      <c r="N5">
        <f>HLOOKUP(A5,Traders!$A$1:$H$13,13,)</f>
        <v>50</v>
      </c>
      <c r="O5" cm="1">
        <f t="array" ref="O5">SUM(B5:L5*MAX('Demand Stage 1'!$B$5:$L$12))</f>
        <v>480.9375</v>
      </c>
    </row>
    <row r="6" spans="1:17" x14ac:dyDescent="0.2">
      <c r="A6" t="s">
        <v>203</v>
      </c>
      <c r="B6">
        <v>0</v>
      </c>
      <c r="C6">
        <v>0</v>
      </c>
      <c r="D6">
        <v>0</v>
      </c>
      <c r="E6">
        <v>0.1</v>
      </c>
      <c r="F6">
        <v>0</v>
      </c>
      <c r="G6">
        <v>0.1</v>
      </c>
      <c r="H6">
        <v>0</v>
      </c>
      <c r="I6">
        <v>0</v>
      </c>
      <c r="J6">
        <v>0</v>
      </c>
      <c r="K6">
        <v>0</v>
      </c>
      <c r="L6">
        <v>0</v>
      </c>
      <c r="N6">
        <f>HLOOKUP(A6,Traders!$A$1:$H$13,13,)</f>
        <v>5</v>
      </c>
      <c r="O6" cm="1">
        <f t="array" ref="O6">SUM(B6:L6*MAX('Demand Stage 1'!$B$5:$L$12))</f>
        <v>11.25</v>
      </c>
    </row>
    <row r="7" spans="1:17" x14ac:dyDescent="0.2">
      <c r="A7" t="s">
        <v>204</v>
      </c>
      <c r="B7">
        <v>0.64</v>
      </c>
      <c r="C7">
        <v>0</v>
      </c>
      <c r="D7">
        <v>0</v>
      </c>
      <c r="E7">
        <v>0</v>
      </c>
      <c r="F7">
        <v>0</v>
      </c>
      <c r="G7">
        <v>0</v>
      </c>
      <c r="H7">
        <v>0</v>
      </c>
      <c r="I7">
        <v>0</v>
      </c>
      <c r="J7">
        <v>0</v>
      </c>
      <c r="K7">
        <v>0</v>
      </c>
      <c r="L7">
        <v>0</v>
      </c>
      <c r="N7">
        <f>HLOOKUP(A7,Traders!$A$1:$H$13,13,)</f>
        <v>5</v>
      </c>
      <c r="O7" cm="1">
        <f t="array" ref="O7">SUM(B7:L7*MAX('Demand Stage 1'!$B$5:$L$12))</f>
        <v>36</v>
      </c>
    </row>
    <row r="8" spans="1:17" x14ac:dyDescent="0.2">
      <c r="A8" t="s">
        <v>206</v>
      </c>
      <c r="B8">
        <v>0</v>
      </c>
      <c r="C8">
        <v>0</v>
      </c>
      <c r="D8">
        <v>0</v>
      </c>
      <c r="E8">
        <v>0</v>
      </c>
      <c r="F8">
        <v>0</v>
      </c>
      <c r="G8">
        <v>0.05</v>
      </c>
      <c r="H8">
        <v>0</v>
      </c>
      <c r="I8">
        <v>0</v>
      </c>
      <c r="J8">
        <v>0</v>
      </c>
      <c r="K8">
        <v>0</v>
      </c>
      <c r="L8">
        <v>0</v>
      </c>
      <c r="N8">
        <f>HLOOKUP(A8,Traders!$A$1:$H$13,13,)</f>
        <v>5</v>
      </c>
      <c r="O8" cm="1">
        <f t="array" ref="O8">SUM(B8:L8*MAX('Demand Stage 1'!$B$5:$L$12))</f>
        <v>2.8125</v>
      </c>
    </row>
    <row r="9" spans="1:17" ht="17" thickBot="1" x14ac:dyDescent="0.25">
      <c r="A9" s="37" t="s">
        <v>205</v>
      </c>
      <c r="B9">
        <v>0.01</v>
      </c>
      <c r="C9">
        <v>0</v>
      </c>
      <c r="D9">
        <v>0</v>
      </c>
      <c r="E9">
        <v>0</v>
      </c>
      <c r="F9">
        <v>0</v>
      </c>
      <c r="G9">
        <v>0</v>
      </c>
      <c r="H9">
        <v>0</v>
      </c>
      <c r="I9">
        <v>0</v>
      </c>
      <c r="J9">
        <v>0</v>
      </c>
      <c r="K9">
        <v>0</v>
      </c>
      <c r="L9">
        <v>0</v>
      </c>
      <c r="M9" s="37"/>
      <c r="N9">
        <f>HLOOKUP(A9,Traders!$A$1:$H$13,13,)</f>
        <v>5</v>
      </c>
      <c r="O9" s="37" cm="1">
        <f t="array" ref="O9">SUM(B9:L9*MAX('Demand Stage 1'!$B$5:$L$12))</f>
        <v>0.5625</v>
      </c>
    </row>
    <row r="10" spans="1:17" ht="17" thickTop="1" x14ac:dyDescent="0.2">
      <c r="A10" s="8" t="s">
        <v>298</v>
      </c>
      <c r="B10">
        <f t="shared" ref="B10:L10" si="0">SUM(B2:B9)</f>
        <v>1</v>
      </c>
      <c r="C10">
        <f t="shared" si="0"/>
        <v>1</v>
      </c>
      <c r="D10">
        <f t="shared" si="0"/>
        <v>1</v>
      </c>
      <c r="E10">
        <f t="shared" ref="E10" si="1">SUM(E2:E9)</f>
        <v>1</v>
      </c>
      <c r="F10">
        <f t="shared" si="0"/>
        <v>1</v>
      </c>
      <c r="G10">
        <f t="shared" ref="G10" si="2">SUM(G2:G9)</f>
        <v>1</v>
      </c>
      <c r="H10">
        <f t="shared" si="0"/>
        <v>1</v>
      </c>
      <c r="I10">
        <f t="shared" ref="I10" si="3">SUM(I2:I9)</f>
        <v>1</v>
      </c>
      <c r="J10">
        <f t="shared" si="0"/>
        <v>1</v>
      </c>
      <c r="K10">
        <f t="shared" si="0"/>
        <v>1</v>
      </c>
      <c r="L10">
        <f t="shared" si="0"/>
        <v>1</v>
      </c>
      <c r="O10" cm="1">
        <f t="array" ref="O10">SUM(B10:L10*MAX('Demand Stage 1'!$B$5:$L$12))</f>
        <v>618.75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209</v>
      </c>
      <c r="C1" t="s">
        <v>210</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workbookViewId="0">
      <selection activeCell="A3" sqref="A3"/>
    </sheetView>
  </sheetViews>
  <sheetFormatPr baseColWidth="10" defaultRowHeight="16" x14ac:dyDescent="0.2"/>
  <cols>
    <col min="1" max="1" width="21.5" bestFit="1" customWidth="1"/>
  </cols>
  <sheetData>
    <row r="1" spans="1:3" x14ac:dyDescent="0.2">
      <c r="A1" t="s">
        <v>91</v>
      </c>
      <c r="B1" s="52" t="s">
        <v>77</v>
      </c>
      <c r="C1" s="8" t="s">
        <v>18</v>
      </c>
    </row>
    <row r="2" spans="1:3" x14ac:dyDescent="0.2">
      <c r="A2">
        <v>0</v>
      </c>
      <c r="B2">
        <v>0</v>
      </c>
      <c r="C2">
        <v>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topLeftCell="A44" zoomScale="180" zoomScaleNormal="180" workbookViewId="0">
      <selection activeCell="B15" sqref="B15"/>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1" t="s">
        <v>213</v>
      </c>
      <c r="B1" s="31" t="s">
        <v>214</v>
      </c>
      <c r="C1" s="31" t="s">
        <v>214</v>
      </c>
      <c r="D1" s="31" t="s">
        <v>214</v>
      </c>
      <c r="E1" s="33" t="s">
        <v>265</v>
      </c>
      <c r="F1" s="33" t="s">
        <v>266</v>
      </c>
      <c r="H1" s="33" t="s">
        <v>2</v>
      </c>
    </row>
    <row r="2" spans="1:8" x14ac:dyDescent="0.2">
      <c r="A2" t="s">
        <v>215</v>
      </c>
      <c r="B2" s="32">
        <v>8889.5949999999993</v>
      </c>
      <c r="C2" s="32">
        <v>8919.5750000000007</v>
      </c>
      <c r="D2" s="32">
        <v>8749.3649999999998</v>
      </c>
      <c r="E2" s="34" t="s">
        <v>66</v>
      </c>
      <c r="F2">
        <f>B2/365</f>
        <v>24.355054794520544</v>
      </c>
    </row>
    <row r="3" spans="1:8" x14ac:dyDescent="0.2">
      <c r="A3" t="s">
        <v>216</v>
      </c>
      <c r="B3" s="32">
        <v>1329.308</v>
      </c>
      <c r="C3" s="32">
        <v>683.63900000000001</v>
      </c>
      <c r="D3" s="32">
        <v>593.24699999999996</v>
      </c>
      <c r="E3" t="s">
        <v>90</v>
      </c>
      <c r="F3">
        <f t="shared" ref="F3:F51" si="0">B3/365</f>
        <v>3.6419397260273971</v>
      </c>
      <c r="H3" s="35" t="s">
        <v>268</v>
      </c>
    </row>
    <row r="4" spans="1:8" x14ac:dyDescent="0.2">
      <c r="A4" t="s">
        <v>217</v>
      </c>
      <c r="B4" s="32"/>
      <c r="C4" s="32"/>
      <c r="D4" s="32">
        <v>6606.7179999999998</v>
      </c>
      <c r="E4" s="1" t="s">
        <v>197</v>
      </c>
      <c r="F4">
        <f t="shared" si="0"/>
        <v>0</v>
      </c>
    </row>
    <row r="5" spans="1:8" x14ac:dyDescent="0.2">
      <c r="A5" t="s">
        <v>218</v>
      </c>
      <c r="B5" s="32">
        <v>0</v>
      </c>
      <c r="C5" s="32">
        <v>0</v>
      </c>
      <c r="D5" s="32">
        <v>3.9390000000000001</v>
      </c>
      <c r="F5">
        <f t="shared" si="0"/>
        <v>0</v>
      </c>
      <c r="H5" t="s">
        <v>269</v>
      </c>
    </row>
    <row r="6" spans="1:8" x14ac:dyDescent="0.2">
      <c r="A6" t="s">
        <v>219</v>
      </c>
      <c r="B6" s="32">
        <v>48.064999999999998</v>
      </c>
      <c r="C6" s="32">
        <v>81.236000000000004</v>
      </c>
      <c r="D6" s="32">
        <v>130.86000000000001</v>
      </c>
      <c r="E6" s="1" t="s">
        <v>81</v>
      </c>
      <c r="F6">
        <f t="shared" si="0"/>
        <v>0.13168493150684932</v>
      </c>
    </row>
    <row r="7" spans="1:8" x14ac:dyDescent="0.2">
      <c r="A7" t="s">
        <v>220</v>
      </c>
      <c r="B7" s="32">
        <v>0</v>
      </c>
      <c r="C7" s="32">
        <v>0</v>
      </c>
      <c r="D7" s="32">
        <v>3.72</v>
      </c>
      <c r="E7" s="1" t="s">
        <v>72</v>
      </c>
      <c r="F7">
        <f t="shared" si="0"/>
        <v>0</v>
      </c>
    </row>
    <row r="8" spans="1:8" x14ac:dyDescent="0.2">
      <c r="A8" t="s">
        <v>221</v>
      </c>
      <c r="B8" s="32">
        <v>0</v>
      </c>
      <c r="C8" s="32">
        <v>0</v>
      </c>
      <c r="D8" s="32"/>
      <c r="E8" t="s">
        <v>180</v>
      </c>
      <c r="F8">
        <f t="shared" si="0"/>
        <v>0</v>
      </c>
      <c r="H8" s="35" t="s">
        <v>270</v>
      </c>
    </row>
    <row r="9" spans="1:8" x14ac:dyDescent="0.2">
      <c r="A9" t="s">
        <v>222</v>
      </c>
      <c r="B9" s="32">
        <v>471.73399999999998</v>
      </c>
      <c r="C9" s="32">
        <v>491.40300000000002</v>
      </c>
      <c r="D9" s="32">
        <v>449.49099999999999</v>
      </c>
      <c r="E9" s="1" t="s">
        <v>90</v>
      </c>
      <c r="F9">
        <f t="shared" si="0"/>
        <v>1.292421917808219</v>
      </c>
    </row>
    <row r="10" spans="1:8" x14ac:dyDescent="0.2">
      <c r="A10" t="s">
        <v>223</v>
      </c>
      <c r="B10" s="32">
        <v>578.78499999999997</v>
      </c>
      <c r="C10" s="32">
        <v>656.80499999999995</v>
      </c>
      <c r="D10" s="32">
        <v>738.14400000000001</v>
      </c>
      <c r="E10" t="s">
        <v>102</v>
      </c>
      <c r="F10">
        <f t="shared" si="0"/>
        <v>1.5857123287671231</v>
      </c>
    </row>
    <row r="11" spans="1:8" x14ac:dyDescent="0.2">
      <c r="A11" t="s">
        <v>224</v>
      </c>
      <c r="B11" s="32">
        <v>222.233</v>
      </c>
      <c r="C11" s="32">
        <v>302.17500000000001</v>
      </c>
      <c r="D11" s="32">
        <v>247.51400000000001</v>
      </c>
      <c r="E11" t="s">
        <v>102</v>
      </c>
      <c r="F11">
        <f t="shared" si="0"/>
        <v>0.6088575342465754</v>
      </c>
      <c r="H11" t="s">
        <v>271</v>
      </c>
    </row>
    <row r="12" spans="1:8" x14ac:dyDescent="0.2">
      <c r="A12" t="s">
        <v>225</v>
      </c>
      <c r="B12" s="32">
        <v>1282.3420000000001</v>
      </c>
      <c r="C12" s="32">
        <v>1073.472</v>
      </c>
      <c r="D12" s="32">
        <v>1162.1959999999999</v>
      </c>
      <c r="E12" t="s">
        <v>82</v>
      </c>
      <c r="F12">
        <f t="shared" si="0"/>
        <v>3.5132657534246579</v>
      </c>
      <c r="H12" t="s">
        <v>272</v>
      </c>
    </row>
    <row r="13" spans="1:8" x14ac:dyDescent="0.2">
      <c r="A13" t="s">
        <v>226</v>
      </c>
      <c r="B13" s="32">
        <v>2811.1990000000001</v>
      </c>
      <c r="C13" s="32">
        <v>726.50099999999998</v>
      </c>
      <c r="D13" s="32">
        <v>247.86099999999999</v>
      </c>
      <c r="E13" t="s">
        <v>96</v>
      </c>
      <c r="F13">
        <f t="shared" si="0"/>
        <v>7.7019150684931512</v>
      </c>
      <c r="H13" t="s">
        <v>273</v>
      </c>
    </row>
    <row r="14" spans="1:8" x14ac:dyDescent="0.2">
      <c r="A14" t="s">
        <v>227</v>
      </c>
      <c r="B14" s="32">
        <v>2588.0810000000001</v>
      </c>
      <c r="C14" s="32">
        <v>2436.7339999999999</v>
      </c>
      <c r="D14" s="32">
        <v>2344.2719999999999</v>
      </c>
      <c r="E14" s="1" t="s">
        <v>180</v>
      </c>
      <c r="F14">
        <f t="shared" si="0"/>
        <v>7.0906328767123288</v>
      </c>
    </row>
    <row r="15" spans="1:8" x14ac:dyDescent="0.2">
      <c r="A15" t="s">
        <v>228</v>
      </c>
      <c r="B15" s="32">
        <v>1214.5999999999999</v>
      </c>
      <c r="C15" s="32">
        <v>1206.1949999999999</v>
      </c>
      <c r="D15" s="32">
        <v>1325.316</v>
      </c>
      <c r="E15" t="s">
        <v>96</v>
      </c>
      <c r="F15">
        <f t="shared" si="0"/>
        <v>3.3276712328767122</v>
      </c>
      <c r="H15" t="s">
        <v>267</v>
      </c>
    </row>
    <row r="16" spans="1:8" x14ac:dyDescent="0.2">
      <c r="A16" t="s">
        <v>229</v>
      </c>
      <c r="B16" s="32">
        <v>0</v>
      </c>
      <c r="C16" s="32">
        <v>0</v>
      </c>
      <c r="D16" s="32">
        <v>0</v>
      </c>
      <c r="F16">
        <f t="shared" si="0"/>
        <v>0</v>
      </c>
      <c r="H16" t="s">
        <v>274</v>
      </c>
    </row>
    <row r="17" spans="1:8" x14ac:dyDescent="0.2">
      <c r="A17" t="s">
        <v>230</v>
      </c>
      <c r="B17" s="32">
        <v>5570.9179999999997</v>
      </c>
      <c r="C17" s="32">
        <v>5745.72</v>
      </c>
      <c r="D17" s="32">
        <v>4876.4679999999998</v>
      </c>
      <c r="E17" s="17" t="s">
        <v>77</v>
      </c>
      <c r="F17">
        <f t="shared" si="0"/>
        <v>15.262789041095889</v>
      </c>
      <c r="H17" s="35" t="s">
        <v>275</v>
      </c>
    </row>
    <row r="18" spans="1:8" x14ac:dyDescent="0.2">
      <c r="A18" t="s">
        <v>231</v>
      </c>
      <c r="B18" s="32">
        <v>1910.729</v>
      </c>
      <c r="C18" s="32">
        <v>1626.653</v>
      </c>
      <c r="D18" s="32">
        <v>1540.9349999999999</v>
      </c>
      <c r="E18" s="34" t="s">
        <v>69</v>
      </c>
      <c r="F18">
        <f t="shared" si="0"/>
        <v>5.23487397260274</v>
      </c>
    </row>
    <row r="19" spans="1:8" x14ac:dyDescent="0.2">
      <c r="A19" t="s">
        <v>232</v>
      </c>
      <c r="B19" s="32">
        <v>0</v>
      </c>
      <c r="C19" s="32">
        <v>0.20399999999999999</v>
      </c>
      <c r="D19" s="32">
        <v>26.434999999999999</v>
      </c>
      <c r="E19" t="s">
        <v>89</v>
      </c>
      <c r="F19">
        <f t="shared" si="0"/>
        <v>0</v>
      </c>
    </row>
    <row r="20" spans="1:8" x14ac:dyDescent="0.2">
      <c r="A20" t="s">
        <v>233</v>
      </c>
      <c r="B20" s="32">
        <v>35.110999999999997</v>
      </c>
      <c r="C20" s="32">
        <v>3.0259999999999998</v>
      </c>
      <c r="D20" s="32">
        <v>4.6120000000000001</v>
      </c>
      <c r="E20" t="s">
        <v>102</v>
      </c>
      <c r="F20">
        <f t="shared" si="0"/>
        <v>9.6194520547945195E-2</v>
      </c>
      <c r="H20" t="s">
        <v>276</v>
      </c>
    </row>
    <row r="21" spans="1:8" x14ac:dyDescent="0.2">
      <c r="A21" t="s">
        <v>234</v>
      </c>
      <c r="B21" s="32">
        <v>291.70999999999998</v>
      </c>
      <c r="C21" s="32">
        <v>410.226</v>
      </c>
      <c r="D21" s="32">
        <v>440.81099999999998</v>
      </c>
      <c r="E21" t="s">
        <v>90</v>
      </c>
      <c r="F21">
        <f t="shared" si="0"/>
        <v>0.79920547945205478</v>
      </c>
      <c r="H21" t="s">
        <v>277</v>
      </c>
    </row>
    <row r="22" spans="1:8" x14ac:dyDescent="0.2">
      <c r="A22" t="s">
        <v>235</v>
      </c>
      <c r="B22" s="32">
        <v>1041.0509999999999</v>
      </c>
      <c r="C22" s="32">
        <v>1012.068</v>
      </c>
      <c r="D22" s="32">
        <v>841.24800000000005</v>
      </c>
      <c r="E22" s="1" t="s">
        <v>91</v>
      </c>
      <c r="F22">
        <f t="shared" si="0"/>
        <v>2.8521945205479451</v>
      </c>
    </row>
    <row r="23" spans="1:8" x14ac:dyDescent="0.2">
      <c r="A23" t="s">
        <v>236</v>
      </c>
      <c r="B23" s="32">
        <v>508.40300000000002</v>
      </c>
      <c r="C23" s="32">
        <v>566.721</v>
      </c>
      <c r="D23" s="32">
        <v>657.03899999999999</v>
      </c>
      <c r="E23" t="s">
        <v>197</v>
      </c>
      <c r="F23">
        <f t="shared" si="0"/>
        <v>1.3928849315068494</v>
      </c>
      <c r="H23" t="s">
        <v>278</v>
      </c>
    </row>
    <row r="24" spans="1:8" x14ac:dyDescent="0.2">
      <c r="A24" t="s">
        <v>237</v>
      </c>
      <c r="B24" s="32">
        <v>2844.82</v>
      </c>
      <c r="C24" s="32">
        <v>3478.627</v>
      </c>
      <c r="D24" s="32">
        <v>4181.5940000000001</v>
      </c>
      <c r="E24" s="1" t="s">
        <v>178</v>
      </c>
      <c r="F24">
        <f t="shared" si="0"/>
        <v>7.7940273972602743</v>
      </c>
    </row>
    <row r="25" spans="1:8" x14ac:dyDescent="0.2">
      <c r="A25" t="s">
        <v>238</v>
      </c>
      <c r="B25" s="32">
        <v>2628.125</v>
      </c>
      <c r="C25" s="32">
        <v>913.13300000000004</v>
      </c>
      <c r="D25" s="32"/>
      <c r="E25" s="1" t="s">
        <v>87</v>
      </c>
      <c r="F25">
        <f t="shared" si="0"/>
        <v>7.2003424657534243</v>
      </c>
    </row>
    <row r="26" spans="1:8" x14ac:dyDescent="0.2">
      <c r="A26" t="s">
        <v>239</v>
      </c>
      <c r="B26" s="32">
        <v>569.45500000000004</v>
      </c>
      <c r="C26" s="32">
        <v>576.18600000000004</v>
      </c>
      <c r="D26" s="32">
        <v>577.52499999999998</v>
      </c>
      <c r="E26" t="s">
        <v>67</v>
      </c>
      <c r="F26">
        <f t="shared" si="0"/>
        <v>1.560150684931507</v>
      </c>
      <c r="H26" t="s">
        <v>279</v>
      </c>
    </row>
    <row r="27" spans="1:8" x14ac:dyDescent="0.2">
      <c r="A27" t="s">
        <v>240</v>
      </c>
      <c r="B27" s="32">
        <v>68.573999999999998</v>
      </c>
      <c r="C27" s="32">
        <v>82.480999999999995</v>
      </c>
      <c r="D27" s="32">
        <v>326.358</v>
      </c>
      <c r="E27" t="s">
        <v>197</v>
      </c>
      <c r="F27">
        <f t="shared" si="0"/>
        <v>0.18787397260273972</v>
      </c>
      <c r="H27" t="s">
        <v>280</v>
      </c>
    </row>
    <row r="28" spans="1:8" x14ac:dyDescent="0.2">
      <c r="A28" t="s">
        <v>241</v>
      </c>
      <c r="B28" s="32">
        <v>0</v>
      </c>
      <c r="C28" s="32">
        <v>0</v>
      </c>
      <c r="D28" s="32"/>
      <c r="F28">
        <f t="shared" si="0"/>
        <v>0</v>
      </c>
    </row>
    <row r="29" spans="1:8" x14ac:dyDescent="0.2">
      <c r="A29" t="s">
        <v>242</v>
      </c>
      <c r="B29" s="32">
        <v>0</v>
      </c>
      <c r="C29" s="32">
        <v>0</v>
      </c>
      <c r="D29" s="32"/>
      <c r="F29">
        <f t="shared" si="0"/>
        <v>0</v>
      </c>
    </row>
    <row r="30" spans="1:8" x14ac:dyDescent="0.2">
      <c r="A30" t="s">
        <v>243</v>
      </c>
      <c r="B30" s="32">
        <v>9559.6110000000008</v>
      </c>
      <c r="C30" s="32">
        <v>11204.512000000001</v>
      </c>
      <c r="D30" s="32">
        <v>11911.325000000001</v>
      </c>
      <c r="E30" s="1" t="s">
        <v>73</v>
      </c>
      <c r="F30">
        <f t="shared" si="0"/>
        <v>26.190715068493152</v>
      </c>
    </row>
    <row r="31" spans="1:8" x14ac:dyDescent="0.2">
      <c r="A31" t="s">
        <v>244</v>
      </c>
      <c r="B31" s="32">
        <v>6523.8289999999997</v>
      </c>
      <c r="C31" s="32">
        <v>8158.1670000000004</v>
      </c>
      <c r="D31" s="32">
        <v>3468.5250000000001</v>
      </c>
      <c r="E31" s="1" t="s">
        <v>86</v>
      </c>
      <c r="F31">
        <f t="shared" si="0"/>
        <v>17.873504109589039</v>
      </c>
    </row>
    <row r="32" spans="1:8" x14ac:dyDescent="0.2">
      <c r="A32" t="s">
        <v>245</v>
      </c>
      <c r="B32" s="32">
        <v>4.6669999999999998</v>
      </c>
      <c r="C32" s="32">
        <v>6.3460000000000001</v>
      </c>
      <c r="D32" s="32">
        <v>8.0749999999999993</v>
      </c>
      <c r="E32" s="1" t="s">
        <v>86</v>
      </c>
      <c r="F32">
        <f t="shared" si="0"/>
        <v>1.2786301369863013E-2</v>
      </c>
    </row>
    <row r="33" spans="1:8" x14ac:dyDescent="0.2">
      <c r="A33" t="s">
        <v>246</v>
      </c>
      <c r="B33" s="32">
        <v>6523.8289999999997</v>
      </c>
      <c r="C33" s="32">
        <v>8158.1670000000004</v>
      </c>
      <c r="D33" s="32">
        <v>698.84699999999998</v>
      </c>
      <c r="E33" s="1" t="s">
        <v>86</v>
      </c>
      <c r="F33">
        <f t="shared" si="0"/>
        <v>17.873504109589039</v>
      </c>
    </row>
    <row r="34" spans="1:8" x14ac:dyDescent="0.2">
      <c r="A34" t="s">
        <v>247</v>
      </c>
      <c r="B34" s="32">
        <v>6162.7870000000003</v>
      </c>
      <c r="C34" s="32">
        <v>4509.7179999999998</v>
      </c>
      <c r="D34" s="32">
        <v>3243.4229999999998</v>
      </c>
      <c r="E34" s="1" t="s">
        <v>68</v>
      </c>
      <c r="F34">
        <f t="shared" si="0"/>
        <v>16.88434794520548</v>
      </c>
    </row>
    <row r="35" spans="1:8" x14ac:dyDescent="0.2">
      <c r="A35" t="s">
        <v>248</v>
      </c>
      <c r="B35" s="32">
        <v>76.070999999999998</v>
      </c>
      <c r="C35" s="32">
        <v>89.119</v>
      </c>
      <c r="D35" s="32">
        <v>145.56899999999999</v>
      </c>
      <c r="E35" s="1" t="s">
        <v>96</v>
      </c>
      <c r="F35">
        <f t="shared" si="0"/>
        <v>0.20841369863013698</v>
      </c>
    </row>
    <row r="36" spans="1:8" x14ac:dyDescent="0.2">
      <c r="A36" t="s">
        <v>249</v>
      </c>
      <c r="B36" s="32">
        <v>1334.021</v>
      </c>
      <c r="C36" s="32">
        <v>1821.5219999999999</v>
      </c>
      <c r="D36" s="32">
        <v>2270.2930000000001</v>
      </c>
      <c r="E36" s="1" t="s">
        <v>96</v>
      </c>
      <c r="F36">
        <f t="shared" si="0"/>
        <v>3.6548520547945205</v>
      </c>
    </row>
    <row r="37" spans="1:8" x14ac:dyDescent="0.2">
      <c r="A37" t="s">
        <v>250</v>
      </c>
      <c r="B37" s="32">
        <v>3689.7310000000002</v>
      </c>
      <c r="C37" s="32">
        <v>0</v>
      </c>
      <c r="D37" s="32">
        <v>3776.0549999999998</v>
      </c>
      <c r="E37" s="1" t="s">
        <v>187</v>
      </c>
      <c r="F37">
        <f t="shared" si="0"/>
        <v>10.108852054794522</v>
      </c>
    </row>
    <row r="38" spans="1:8" x14ac:dyDescent="0.2">
      <c r="A38" t="s">
        <v>251</v>
      </c>
      <c r="B38" s="32">
        <v>0</v>
      </c>
      <c r="C38" s="32">
        <v>0</v>
      </c>
      <c r="D38" s="32">
        <v>0</v>
      </c>
      <c r="F38">
        <f t="shared" si="0"/>
        <v>0</v>
      </c>
      <c r="H38" t="s">
        <v>281</v>
      </c>
    </row>
    <row r="39" spans="1:8" x14ac:dyDescent="0.2">
      <c r="A39" t="s">
        <v>252</v>
      </c>
      <c r="B39" s="32">
        <v>0</v>
      </c>
      <c r="C39" s="32">
        <v>0</v>
      </c>
      <c r="D39" s="32"/>
      <c r="F39">
        <f t="shared" si="0"/>
        <v>0</v>
      </c>
    </row>
    <row r="40" spans="1:8" x14ac:dyDescent="0.2">
      <c r="A40" t="s">
        <v>253</v>
      </c>
      <c r="B40" s="32">
        <v>686.33399999999995</v>
      </c>
      <c r="C40" s="32">
        <v>822.01599999999996</v>
      </c>
      <c r="D40" s="32">
        <v>932.529</v>
      </c>
      <c r="E40" s="1" t="s">
        <v>77</v>
      </c>
      <c r="F40">
        <f t="shared" si="0"/>
        <v>1.8803671232876711</v>
      </c>
    </row>
    <row r="41" spans="1:8" x14ac:dyDescent="0.2">
      <c r="A41" t="s">
        <v>254</v>
      </c>
      <c r="B41" s="32">
        <v>85.117999999999995</v>
      </c>
      <c r="C41" s="32">
        <v>66.167000000000002</v>
      </c>
      <c r="D41" s="32">
        <v>40.765999999999998</v>
      </c>
      <c r="E41" s="17" t="s">
        <v>77</v>
      </c>
      <c r="F41">
        <f t="shared" si="0"/>
        <v>0.23319999999999999</v>
      </c>
      <c r="H41" t="s">
        <v>282</v>
      </c>
    </row>
    <row r="42" spans="1:8" x14ac:dyDescent="0.2">
      <c r="A42" t="s">
        <v>255</v>
      </c>
      <c r="B42" s="32">
        <v>0</v>
      </c>
      <c r="C42" s="32">
        <v>0</v>
      </c>
      <c r="D42" s="32">
        <v>0</v>
      </c>
      <c r="F42">
        <f t="shared" si="0"/>
        <v>0</v>
      </c>
    </row>
    <row r="43" spans="1:8" x14ac:dyDescent="0.2">
      <c r="A43" t="s">
        <v>256</v>
      </c>
      <c r="B43" s="32">
        <v>39787.256999999998</v>
      </c>
      <c r="C43" s="32">
        <v>37360.771999999997</v>
      </c>
      <c r="D43" s="32">
        <v>35059.578000000001</v>
      </c>
      <c r="E43" s="1" t="s">
        <v>82</v>
      </c>
      <c r="F43">
        <f t="shared" si="0"/>
        <v>109.00618356164382</v>
      </c>
    </row>
    <row r="44" spans="1:8" x14ac:dyDescent="0.2">
      <c r="A44" t="s">
        <v>257</v>
      </c>
      <c r="B44" s="32">
        <v>3093.8470000000002</v>
      </c>
      <c r="C44" s="32">
        <v>2643.7049999999999</v>
      </c>
      <c r="D44" s="32">
        <v>2983.739</v>
      </c>
      <c r="E44" t="s">
        <v>197</v>
      </c>
      <c r="F44">
        <f t="shared" si="0"/>
        <v>8.4762931506849313</v>
      </c>
      <c r="H44" t="s">
        <v>283</v>
      </c>
    </row>
    <row r="45" spans="1:8" x14ac:dyDescent="0.2">
      <c r="A45" t="s">
        <v>258</v>
      </c>
      <c r="B45" s="32">
        <v>0</v>
      </c>
      <c r="C45" s="32">
        <v>0</v>
      </c>
      <c r="D45" s="32">
        <v>0</v>
      </c>
      <c r="F45">
        <f t="shared" si="0"/>
        <v>0</v>
      </c>
    </row>
    <row r="46" spans="1:8" x14ac:dyDescent="0.2">
      <c r="A46" t="s">
        <v>259</v>
      </c>
      <c r="B46" s="32">
        <v>503.95400000000001</v>
      </c>
      <c r="C46" s="32">
        <v>643.67499999999995</v>
      </c>
      <c r="D46" s="32">
        <v>1023.092</v>
      </c>
      <c r="E46" t="s">
        <v>178</v>
      </c>
      <c r="F46">
        <f t="shared" si="0"/>
        <v>1.380695890410959</v>
      </c>
      <c r="H46" t="s">
        <v>284</v>
      </c>
    </row>
    <row r="47" spans="1:8" x14ac:dyDescent="0.2">
      <c r="A47" t="s">
        <v>260</v>
      </c>
      <c r="B47" s="32">
        <v>351.137</v>
      </c>
      <c r="C47" s="32">
        <v>404.238</v>
      </c>
      <c r="D47" s="32">
        <v>414.34899999999999</v>
      </c>
      <c r="E47" t="s">
        <v>102</v>
      </c>
      <c r="F47">
        <f t="shared" si="0"/>
        <v>0.96201917808219173</v>
      </c>
      <c r="H47" t="s">
        <v>285</v>
      </c>
    </row>
    <row r="48" spans="1:8" x14ac:dyDescent="0.2">
      <c r="A48" t="s">
        <v>261</v>
      </c>
      <c r="B48" s="32">
        <v>1480.8489999999999</v>
      </c>
      <c r="C48" s="32">
        <v>1222.9880000000001</v>
      </c>
      <c r="D48" s="32">
        <v>1575.146</v>
      </c>
      <c r="E48" t="s">
        <v>180</v>
      </c>
      <c r="F48">
        <f t="shared" si="0"/>
        <v>4.057120547945205</v>
      </c>
      <c r="H48" t="s">
        <v>286</v>
      </c>
    </row>
    <row r="49" spans="1:8" x14ac:dyDescent="0.2">
      <c r="A49" t="s">
        <v>262</v>
      </c>
      <c r="B49" s="32">
        <v>5.9009999999999998</v>
      </c>
      <c r="C49" s="32">
        <v>98.837000000000003</v>
      </c>
      <c r="D49" s="32">
        <v>122.099</v>
      </c>
      <c r="E49" t="s">
        <v>86</v>
      </c>
      <c r="F49">
        <f t="shared" si="0"/>
        <v>1.6167123287671233E-2</v>
      </c>
      <c r="H49" t="s">
        <v>287</v>
      </c>
    </row>
    <row r="50" spans="1:8" x14ac:dyDescent="0.2">
      <c r="A50" t="s">
        <v>263</v>
      </c>
      <c r="B50" s="32">
        <v>0</v>
      </c>
      <c r="C50" s="32">
        <v>0</v>
      </c>
      <c r="D50" s="32">
        <v>0</v>
      </c>
      <c r="F50">
        <f t="shared" si="0"/>
        <v>0</v>
      </c>
    </row>
    <row r="51" spans="1:8" x14ac:dyDescent="0.2">
      <c r="A51" t="s">
        <v>264</v>
      </c>
      <c r="B51" s="32">
        <v>5759.634</v>
      </c>
      <c r="C51" s="32">
        <v>5498.473</v>
      </c>
      <c r="D51" s="32">
        <v>4297.1899999999996</v>
      </c>
      <c r="E51" t="s">
        <v>178</v>
      </c>
      <c r="F51">
        <f t="shared" si="0"/>
        <v>15.779819178082192</v>
      </c>
      <c r="H51" t="s">
        <v>288</v>
      </c>
    </row>
    <row r="53" spans="1:8" x14ac:dyDescent="0.2">
      <c r="A53" s="8" t="s">
        <v>302</v>
      </c>
      <c r="B53" s="41">
        <f>SUM(B2:B51)</f>
        <v>120533.41499999999</v>
      </c>
      <c r="C53" s="41">
        <f t="shared" ref="C53:D53" si="1">SUM(C2:C51)</f>
        <v>113701.202</v>
      </c>
      <c r="D53" s="41">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R24"/>
  <sheetViews>
    <sheetView tabSelected="1" workbookViewId="0">
      <selection activeCell="V40" sqref="V40"/>
    </sheetView>
  </sheetViews>
  <sheetFormatPr baseColWidth="10" defaultRowHeight="16" x14ac:dyDescent="0.2"/>
  <sheetData>
    <row r="1" spans="1:18" x14ac:dyDescent="0.2">
      <c r="A1" t="s">
        <v>290</v>
      </c>
      <c r="B1" s="34" t="s">
        <v>135</v>
      </c>
    </row>
    <row r="4" spans="1:18" x14ac:dyDescent="0.2">
      <c r="A4" s="1">
        <v>42</v>
      </c>
      <c r="B4" s="17" t="s">
        <v>189</v>
      </c>
      <c r="C4" s="17" t="s">
        <v>155</v>
      </c>
      <c r="D4" s="17" t="s">
        <v>126</v>
      </c>
      <c r="E4" s="17" t="s">
        <v>153</v>
      </c>
      <c r="F4" s="17" t="s">
        <v>82</v>
      </c>
      <c r="G4" s="17" t="s">
        <v>83</v>
      </c>
      <c r="H4" s="1" t="s">
        <v>171</v>
      </c>
      <c r="I4" s="1">
        <v>0</v>
      </c>
      <c r="J4" s="1" t="str">
        <f>IF(I4=100,"Capacity unknown","")</f>
        <v/>
      </c>
      <c r="K4" s="1">
        <f>INDEX(Nodes!$A:$A,MATCH(Extra!F4,Nodes!$B:$B,0))</f>
        <v>57</v>
      </c>
      <c r="L4" s="1">
        <f>INDEX(Nodes!$A:$A,MATCH(Extra!G4,Nodes!$B:$B,0))</f>
        <v>37</v>
      </c>
      <c r="M4" s="2">
        <v>1</v>
      </c>
      <c r="N4" s="3">
        <v>1</v>
      </c>
    </row>
    <row r="5" spans="1:18" x14ac:dyDescent="0.2">
      <c r="A5" s="1">
        <v>43</v>
      </c>
      <c r="B5" s="17" t="s">
        <v>190</v>
      </c>
      <c r="C5" s="17" t="s">
        <v>155</v>
      </c>
      <c r="D5" s="17" t="s">
        <v>126</v>
      </c>
      <c r="E5" s="17" t="s">
        <v>172</v>
      </c>
      <c r="F5" s="17" t="s">
        <v>82</v>
      </c>
      <c r="G5" s="17" t="s">
        <v>83</v>
      </c>
      <c r="H5" s="1" t="s">
        <v>173</v>
      </c>
      <c r="I5" s="1">
        <v>0</v>
      </c>
      <c r="J5" s="1" t="str">
        <f>IF(I5=100,"Capacity unknown","")</f>
        <v/>
      </c>
      <c r="K5" s="1">
        <f>INDEX(Nodes!$A:$A,MATCH(Extra!F5,Nodes!$B:$B,0))</f>
        <v>57</v>
      </c>
      <c r="L5" s="1">
        <f>INDEX(Nodes!$A:$A,MATCH(Extra!G5,Nodes!$B:$B,0))</f>
        <v>37</v>
      </c>
      <c r="M5" s="2">
        <v>1</v>
      </c>
      <c r="N5" s="3">
        <v>1</v>
      </c>
    </row>
    <row r="6" spans="1:18" x14ac:dyDescent="0.2">
      <c r="A6" s="1">
        <v>37</v>
      </c>
      <c r="B6" s="17" t="s">
        <v>165</v>
      </c>
      <c r="C6" s="17" t="s">
        <v>164</v>
      </c>
      <c r="D6" s="17" t="s">
        <v>126</v>
      </c>
      <c r="E6" s="17" t="s">
        <v>138</v>
      </c>
      <c r="F6" s="17" t="s">
        <v>74</v>
      </c>
      <c r="G6" s="17" t="s">
        <v>76</v>
      </c>
      <c r="H6" s="1" t="s">
        <v>166</v>
      </c>
      <c r="I6" s="1">
        <v>0</v>
      </c>
      <c r="J6" s="1" t="str">
        <f>IF(I6=100,"Capacity unknown","")</f>
        <v/>
      </c>
      <c r="K6" s="1" t="e">
        <f>INDEX(Nodes!$A:$A,MATCH(Extra!F6,Nodes!$B:$B,0))</f>
        <v>#N/A</v>
      </c>
      <c r="L6" s="1">
        <f>INDEX(Nodes!$A:$A,MATCH(Extra!G6,Nodes!$B:$B,0))</f>
        <v>44</v>
      </c>
      <c r="M6" s="2">
        <v>1</v>
      </c>
      <c r="N6" s="3">
        <v>1</v>
      </c>
    </row>
    <row r="9" spans="1:18" x14ac:dyDescent="0.2">
      <c r="A9" s="42" t="s">
        <v>303</v>
      </c>
    </row>
    <row r="10" spans="1:18" x14ac:dyDescent="0.2">
      <c r="A10" s="43" t="s">
        <v>303</v>
      </c>
    </row>
    <row r="11" spans="1:18" x14ac:dyDescent="0.2">
      <c r="A11" s="44" t="s">
        <v>304</v>
      </c>
    </row>
    <row r="12" spans="1:18" x14ac:dyDescent="0.2">
      <c r="A12" s="45" t="s">
        <v>305</v>
      </c>
    </row>
    <row r="15" spans="1:18" x14ac:dyDescent="0.2">
      <c r="A15" s="8" t="s">
        <v>101</v>
      </c>
      <c r="B15" s="8" t="s">
        <v>111</v>
      </c>
      <c r="C15" s="8" t="s">
        <v>107</v>
      </c>
      <c r="D15" s="8" t="s">
        <v>112</v>
      </c>
      <c r="E15" s="8" t="s">
        <v>323</v>
      </c>
      <c r="F15" s="8" t="s">
        <v>113</v>
      </c>
      <c r="G15" s="8" t="s">
        <v>114</v>
      </c>
      <c r="H15" s="8" t="s">
        <v>109</v>
      </c>
    </row>
    <row r="16" spans="1:18" x14ac:dyDescent="0.2">
      <c r="A16">
        <f>0</f>
        <v>0</v>
      </c>
      <c r="B16">
        <v>0.4</v>
      </c>
      <c r="C16">
        <v>0</v>
      </c>
      <c r="D16">
        <v>0</v>
      </c>
      <c r="E16">
        <f>4/45</f>
        <v>8.8888888888888892E-2</v>
      </c>
      <c r="F16">
        <f>8/40</f>
        <v>0.2</v>
      </c>
      <c r="G16">
        <f>0.1</f>
        <v>0.1</v>
      </c>
      <c r="H16">
        <v>0.6</v>
      </c>
      <c r="K16">
        <f>0</f>
        <v>0</v>
      </c>
      <c r="L16">
        <v>0.4</v>
      </c>
      <c r="M16">
        <v>0</v>
      </c>
      <c r="N16">
        <v>0</v>
      </c>
      <c r="O16">
        <v>0</v>
      </c>
      <c r="P16">
        <f>12.5/40</f>
        <v>0.3125</v>
      </c>
      <c r="Q16">
        <f>12.5/40</f>
        <v>0.3125</v>
      </c>
      <c r="R16">
        <v>0</v>
      </c>
    </row>
    <row r="17" spans="1:18" x14ac:dyDescent="0.2">
      <c r="A17">
        <v>0</v>
      </c>
      <c r="B17">
        <v>0</v>
      </c>
      <c r="C17">
        <v>0</v>
      </c>
      <c r="D17">
        <v>0</v>
      </c>
      <c r="E17">
        <f>4/45</f>
        <v>8.8888888888888892E-2</v>
      </c>
      <c r="F17">
        <v>0</v>
      </c>
      <c r="G17">
        <v>0</v>
      </c>
      <c r="H17">
        <v>0.05</v>
      </c>
      <c r="K17">
        <v>0</v>
      </c>
      <c r="L17">
        <v>0</v>
      </c>
      <c r="M17">
        <v>0</v>
      </c>
      <c r="N17">
        <v>0</v>
      </c>
      <c r="O17">
        <f>2.5/45</f>
        <v>5.5555555555555552E-2</v>
      </c>
      <c r="P17">
        <v>0</v>
      </c>
      <c r="Q17">
        <v>0</v>
      </c>
      <c r="R17">
        <v>0.2</v>
      </c>
    </row>
    <row r="18" spans="1:18" x14ac:dyDescent="0.2">
      <c r="A18">
        <v>0</v>
      </c>
      <c r="B18">
        <v>0</v>
      </c>
      <c r="C18">
        <v>0</v>
      </c>
      <c r="D18">
        <f>3.5/45</f>
        <v>7.7777777777777779E-2</v>
      </c>
      <c r="E18">
        <v>0</v>
      </c>
      <c r="F18">
        <v>0</v>
      </c>
      <c r="G18">
        <v>0</v>
      </c>
      <c r="H18">
        <v>0</v>
      </c>
      <c r="K18">
        <v>0</v>
      </c>
      <c r="L18">
        <v>0</v>
      </c>
      <c r="M18">
        <v>0</v>
      </c>
      <c r="N18">
        <f>3.5/45</f>
        <v>7.7777777777777779E-2</v>
      </c>
      <c r="O18">
        <v>0</v>
      </c>
      <c r="P18">
        <v>0</v>
      </c>
      <c r="Q18">
        <v>0</v>
      </c>
      <c r="R18">
        <v>0</v>
      </c>
    </row>
    <row r="19" spans="1:18" x14ac:dyDescent="0.2">
      <c r="A19">
        <v>0.8</v>
      </c>
      <c r="B19">
        <v>0.57499999999999996</v>
      </c>
      <c r="C19">
        <v>1</v>
      </c>
      <c r="D19">
        <f>40/45</f>
        <v>0.88888888888888884</v>
      </c>
      <c r="E19">
        <f>33/45</f>
        <v>0.73333333333333328</v>
      </c>
      <c r="F19">
        <f>28/40</f>
        <v>0.7</v>
      </c>
      <c r="G19">
        <v>0.9</v>
      </c>
      <c r="H19">
        <v>0.35</v>
      </c>
      <c r="K19">
        <v>0.4</v>
      </c>
      <c r="L19">
        <v>0.6</v>
      </c>
      <c r="M19">
        <v>1</v>
      </c>
      <c r="N19">
        <f>8/9</f>
        <v>0.88888888888888884</v>
      </c>
      <c r="O19">
        <f>8/9</f>
        <v>0.88888888888888884</v>
      </c>
      <c r="P19">
        <v>0.6875</v>
      </c>
      <c r="Q19">
        <v>0.6875</v>
      </c>
      <c r="R19">
        <v>0.8</v>
      </c>
    </row>
    <row r="20" spans="1:18" x14ac:dyDescent="0.2">
      <c r="A20">
        <v>0</v>
      </c>
      <c r="B20">
        <v>0</v>
      </c>
      <c r="C20">
        <v>0</v>
      </c>
      <c r="D20">
        <f>0.5/45</f>
        <v>1.1111111111111112E-2</v>
      </c>
      <c r="E20">
        <f>1.5/45</f>
        <v>3.3333333333333333E-2</v>
      </c>
      <c r="F20">
        <f>1/40</f>
        <v>2.5000000000000001E-2</v>
      </c>
      <c r="G20">
        <v>0</v>
      </c>
      <c r="H20">
        <v>0</v>
      </c>
      <c r="K20">
        <v>0</v>
      </c>
      <c r="L20">
        <v>0</v>
      </c>
      <c r="M20">
        <v>0</v>
      </c>
      <c r="N20">
        <f>1.5/45</f>
        <v>3.3333333333333333E-2</v>
      </c>
      <c r="O20">
        <f>1.5/45</f>
        <v>3.3333333333333333E-2</v>
      </c>
      <c r="P20">
        <v>0</v>
      </c>
      <c r="Q20">
        <v>0</v>
      </c>
      <c r="R20">
        <v>0</v>
      </c>
    </row>
    <row r="21" spans="1:18" x14ac:dyDescent="0.2">
      <c r="A21">
        <v>0.2</v>
      </c>
      <c r="B21">
        <v>0</v>
      </c>
      <c r="C21">
        <v>0</v>
      </c>
      <c r="D21">
        <f>1/45</f>
        <v>2.2222222222222223E-2</v>
      </c>
      <c r="E21">
        <f>2.5/45</f>
        <v>5.5555555555555552E-2</v>
      </c>
      <c r="F21">
        <f>3/40</f>
        <v>7.4999999999999997E-2</v>
      </c>
      <c r="G21">
        <v>0</v>
      </c>
      <c r="H21">
        <v>0</v>
      </c>
      <c r="K21">
        <v>0.57499999999999996</v>
      </c>
      <c r="L21">
        <v>0</v>
      </c>
      <c r="M21">
        <v>0</v>
      </c>
      <c r="N21">
        <v>0</v>
      </c>
      <c r="O21">
        <v>0</v>
      </c>
      <c r="P21">
        <v>0</v>
      </c>
      <c r="Q21">
        <v>0</v>
      </c>
      <c r="R21">
        <v>0</v>
      </c>
    </row>
    <row r="22" spans="1:18" x14ac:dyDescent="0.2">
      <c r="A22">
        <v>0</v>
      </c>
      <c r="B22">
        <v>0</v>
      </c>
      <c r="C22">
        <v>0</v>
      </c>
      <c r="D22">
        <v>0</v>
      </c>
      <c r="E22">
        <v>0</v>
      </c>
      <c r="F22">
        <v>0</v>
      </c>
      <c r="G22">
        <v>0</v>
      </c>
      <c r="H22">
        <v>0</v>
      </c>
      <c r="K22">
        <v>0</v>
      </c>
      <c r="L22">
        <v>0</v>
      </c>
      <c r="M22">
        <v>0</v>
      </c>
      <c r="N22">
        <v>0</v>
      </c>
      <c r="O22">
        <f>1/45</f>
        <v>2.2222222222222223E-2</v>
      </c>
      <c r="P22">
        <v>0</v>
      </c>
      <c r="Q22">
        <v>0</v>
      </c>
      <c r="R22">
        <v>0</v>
      </c>
    </row>
    <row r="23" spans="1:18" x14ac:dyDescent="0.2">
      <c r="A23">
        <v>0</v>
      </c>
      <c r="B23">
        <v>2.5000000000000001E-2</v>
      </c>
      <c r="C23">
        <v>0</v>
      </c>
      <c r="D23">
        <v>0</v>
      </c>
      <c r="E23">
        <v>0</v>
      </c>
      <c r="F23">
        <v>0</v>
      </c>
      <c r="G23">
        <v>0</v>
      </c>
      <c r="H23">
        <v>0</v>
      </c>
      <c r="K23">
        <v>2.5000000000000001E-2</v>
      </c>
      <c r="L23">
        <v>0</v>
      </c>
      <c r="M23">
        <v>0</v>
      </c>
      <c r="N23">
        <v>0</v>
      </c>
      <c r="O23">
        <v>0</v>
      </c>
      <c r="P23">
        <v>0</v>
      </c>
      <c r="Q23">
        <v>0</v>
      </c>
      <c r="R23">
        <v>0</v>
      </c>
    </row>
    <row r="24" spans="1: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1745B-B690-BE47-B18A-0B40DEBCE2B4}">
  <dimension ref="A1:L33"/>
  <sheetViews>
    <sheetView zoomScale="180" zoomScaleNormal="180" workbookViewId="0">
      <selection activeCell="G33" sqref="G33"/>
    </sheetView>
  </sheetViews>
  <sheetFormatPr baseColWidth="10" defaultRowHeight="16" x14ac:dyDescent="0.2"/>
  <cols>
    <col min="1" max="1" width="6.83203125" bestFit="1" customWidth="1"/>
    <col min="2" max="2" width="6.83203125" customWidth="1"/>
    <col min="3" max="3" width="19.5" bestFit="1" customWidth="1"/>
    <col min="4" max="4" width="17" bestFit="1" customWidth="1"/>
    <col min="5" max="5" width="24" bestFit="1" customWidth="1"/>
    <col min="6" max="6" width="13.83203125" bestFit="1" customWidth="1"/>
    <col min="7" max="7" width="14.6640625" bestFit="1" customWidth="1"/>
  </cols>
  <sheetData>
    <row r="1" spans="1:12" x14ac:dyDescent="0.2">
      <c r="A1" t="s">
        <v>350</v>
      </c>
      <c r="B1" t="s">
        <v>0</v>
      </c>
      <c r="C1" t="s">
        <v>340</v>
      </c>
      <c r="D1" t="s">
        <v>341</v>
      </c>
      <c r="E1" t="s">
        <v>349</v>
      </c>
      <c r="F1" t="s">
        <v>336</v>
      </c>
      <c r="G1" t="s">
        <v>339</v>
      </c>
      <c r="H1" t="s">
        <v>18</v>
      </c>
    </row>
    <row r="2" spans="1:12" x14ac:dyDescent="0.2">
      <c r="A2">
        <v>1</v>
      </c>
      <c r="B2">
        <f>Parameters!$B$7*A2+1</f>
        <v>9</v>
      </c>
      <c r="C2">
        <v>1</v>
      </c>
      <c r="D2">
        <v>1</v>
      </c>
      <c r="E2">
        <v>1</v>
      </c>
      <c r="F2">
        <v>1</v>
      </c>
      <c r="G2">
        <v>1</v>
      </c>
      <c r="H2">
        <v>0</v>
      </c>
      <c r="J2" t="str">
        <f t="shared" ref="J2:J33" si="0">_xlfn.TEXTJOIN("",,C2:G2)</f>
        <v>11111</v>
      </c>
      <c r="K2" t="str" cm="1">
        <f t="array" ref="K2">_xlfn.TEXTJOIN("",, -C2:G2)</f>
        <v>-1-1-1-1-1</v>
      </c>
      <c r="L2">
        <f>_xlfn.XLOOKUP(K2, J:J, B:B, "No match")</f>
        <v>257</v>
      </c>
    </row>
    <row r="3" spans="1:12" x14ac:dyDescent="0.2">
      <c r="A3">
        <v>2</v>
      </c>
      <c r="B3">
        <f>Parameters!$B$7*A3+1</f>
        <v>17</v>
      </c>
      <c r="C3">
        <v>1</v>
      </c>
      <c r="D3">
        <v>-1</v>
      </c>
      <c r="E3">
        <v>1</v>
      </c>
      <c r="F3">
        <v>1</v>
      </c>
      <c r="G3">
        <v>1</v>
      </c>
      <c r="H3">
        <f>1/24</f>
        <v>4.1666666666666664E-2</v>
      </c>
      <c r="J3" t="str">
        <f t="shared" si="0"/>
        <v>1-1111</v>
      </c>
      <c r="K3" t="str" cm="1">
        <f t="array" ref="K3">_xlfn.TEXTJOIN("",, -C3:G3)</f>
        <v>-11-1-1-1</v>
      </c>
      <c r="L3">
        <f t="shared" ref="L3:L33" si="1">_xlfn.XLOOKUP(K3, J:J, B:B, "No match")</f>
        <v>249</v>
      </c>
    </row>
    <row r="4" spans="1:12" x14ac:dyDescent="0.2">
      <c r="A4">
        <v>3</v>
      </c>
      <c r="B4">
        <f>Parameters!$B$7*A4+1</f>
        <v>25</v>
      </c>
      <c r="C4">
        <v>1</v>
      </c>
      <c r="D4">
        <v>1</v>
      </c>
      <c r="E4">
        <v>-1</v>
      </c>
      <c r="F4">
        <v>1</v>
      </c>
      <c r="G4">
        <v>1</v>
      </c>
      <c r="H4">
        <v>0</v>
      </c>
      <c r="J4" t="str">
        <f t="shared" si="0"/>
        <v>11-111</v>
      </c>
      <c r="K4" t="str" cm="1">
        <f t="array" ref="K4">_xlfn.TEXTJOIN("",, -C4:G4)</f>
        <v>-1-11-1-1</v>
      </c>
      <c r="L4">
        <f t="shared" si="1"/>
        <v>241</v>
      </c>
    </row>
    <row r="5" spans="1:12" x14ac:dyDescent="0.2">
      <c r="A5">
        <v>4</v>
      </c>
      <c r="B5">
        <f>Parameters!$B$7*A5+1</f>
        <v>33</v>
      </c>
      <c r="C5">
        <v>1</v>
      </c>
      <c r="D5">
        <v>-1</v>
      </c>
      <c r="E5">
        <v>-1</v>
      </c>
      <c r="F5">
        <v>1</v>
      </c>
      <c r="G5">
        <v>1</v>
      </c>
      <c r="H5">
        <f>1/24</f>
        <v>4.1666666666666664E-2</v>
      </c>
      <c r="J5" t="str">
        <f t="shared" si="0"/>
        <v>1-1-111</v>
      </c>
      <c r="K5" t="str" cm="1">
        <f t="array" ref="K5">_xlfn.TEXTJOIN("",, -C5:G5)</f>
        <v>-111-1-1</v>
      </c>
      <c r="L5">
        <f t="shared" si="1"/>
        <v>233</v>
      </c>
    </row>
    <row r="6" spans="1:12" x14ac:dyDescent="0.2">
      <c r="A6">
        <v>5</v>
      </c>
      <c r="B6">
        <f>Parameters!$B$7*A6+1</f>
        <v>41</v>
      </c>
      <c r="C6">
        <v>1</v>
      </c>
      <c r="D6">
        <v>1</v>
      </c>
      <c r="E6">
        <v>1</v>
      </c>
      <c r="F6">
        <v>-1</v>
      </c>
      <c r="G6">
        <v>1</v>
      </c>
      <c r="H6">
        <v>0</v>
      </c>
      <c r="J6" t="str">
        <f t="shared" si="0"/>
        <v>111-11</v>
      </c>
      <c r="K6" t="str" cm="1">
        <f t="array" ref="K6">_xlfn.TEXTJOIN("",, -C6:G6)</f>
        <v>-1-1-11-1</v>
      </c>
      <c r="L6">
        <f t="shared" si="1"/>
        <v>225</v>
      </c>
    </row>
    <row r="7" spans="1:12" x14ac:dyDescent="0.2">
      <c r="A7">
        <v>6</v>
      </c>
      <c r="B7">
        <f>Parameters!$B$7*A7+1</f>
        <v>49</v>
      </c>
      <c r="C7">
        <v>1</v>
      </c>
      <c r="D7">
        <v>-1</v>
      </c>
      <c r="E7">
        <v>1</v>
      </c>
      <c r="F7">
        <v>-1</v>
      </c>
      <c r="G7">
        <v>1</v>
      </c>
      <c r="H7">
        <f>1/24</f>
        <v>4.1666666666666664E-2</v>
      </c>
      <c r="J7" t="str">
        <f t="shared" si="0"/>
        <v>1-11-11</v>
      </c>
      <c r="K7" t="str" cm="1">
        <f t="array" ref="K7">_xlfn.TEXTJOIN("",, -C7:G7)</f>
        <v>-11-11-1</v>
      </c>
      <c r="L7">
        <f t="shared" si="1"/>
        <v>217</v>
      </c>
    </row>
    <row r="8" spans="1:12" x14ac:dyDescent="0.2">
      <c r="A8">
        <v>7</v>
      </c>
      <c r="B8">
        <f>Parameters!$B$7*A8+1</f>
        <v>57</v>
      </c>
      <c r="C8">
        <v>1</v>
      </c>
      <c r="D8">
        <v>1</v>
      </c>
      <c r="E8">
        <v>-1</v>
      </c>
      <c r="F8">
        <v>-1</v>
      </c>
      <c r="G8">
        <v>1</v>
      </c>
      <c r="H8">
        <v>0</v>
      </c>
      <c r="J8" t="str">
        <f t="shared" si="0"/>
        <v>11-1-11</v>
      </c>
      <c r="K8" t="str" cm="1">
        <f t="array" ref="K8">_xlfn.TEXTJOIN("",, -C8:G8)</f>
        <v>-1-111-1</v>
      </c>
      <c r="L8">
        <f t="shared" si="1"/>
        <v>209</v>
      </c>
    </row>
    <row r="9" spans="1:12" x14ac:dyDescent="0.2">
      <c r="A9">
        <v>8</v>
      </c>
      <c r="B9">
        <f>Parameters!$B$7*A9+1</f>
        <v>65</v>
      </c>
      <c r="C9">
        <v>1</v>
      </c>
      <c r="D9">
        <v>-1</v>
      </c>
      <c r="E9">
        <v>-1</v>
      </c>
      <c r="F9">
        <v>-1</v>
      </c>
      <c r="G9">
        <v>1</v>
      </c>
      <c r="H9">
        <f>1/24</f>
        <v>4.1666666666666664E-2</v>
      </c>
      <c r="J9" t="str">
        <f t="shared" si="0"/>
        <v>1-1-1-11</v>
      </c>
      <c r="K9" t="str" cm="1">
        <f t="array" ref="K9">_xlfn.TEXTJOIN("",, -C9:G9)</f>
        <v>-1111-1</v>
      </c>
      <c r="L9">
        <f t="shared" si="1"/>
        <v>201</v>
      </c>
    </row>
    <row r="10" spans="1:12" x14ac:dyDescent="0.2">
      <c r="A10">
        <v>9</v>
      </c>
      <c r="B10">
        <f>Parameters!$B$7*A10+1</f>
        <v>73</v>
      </c>
      <c r="C10">
        <v>1</v>
      </c>
      <c r="D10">
        <v>1</v>
      </c>
      <c r="E10">
        <v>1</v>
      </c>
      <c r="F10">
        <v>1</v>
      </c>
      <c r="G10">
        <v>-1</v>
      </c>
      <c r="H10">
        <v>0</v>
      </c>
      <c r="J10" t="str">
        <f t="shared" si="0"/>
        <v>1111-1</v>
      </c>
      <c r="K10" t="str" cm="1">
        <f t="array" ref="K10">_xlfn.TEXTJOIN("",, -C10:G10)</f>
        <v>-1-1-1-11</v>
      </c>
      <c r="L10">
        <f t="shared" si="1"/>
        <v>193</v>
      </c>
    </row>
    <row r="11" spans="1:12" x14ac:dyDescent="0.2">
      <c r="A11">
        <v>10</v>
      </c>
      <c r="B11">
        <f>Parameters!$B$7*A11+1</f>
        <v>81</v>
      </c>
      <c r="C11">
        <v>1</v>
      </c>
      <c r="D11">
        <v>-1</v>
      </c>
      <c r="E11">
        <v>1</v>
      </c>
      <c r="F11">
        <v>1</v>
      </c>
      <c r="G11">
        <v>-1</v>
      </c>
      <c r="H11">
        <f>1/24</f>
        <v>4.1666666666666664E-2</v>
      </c>
      <c r="J11" t="str">
        <f t="shared" si="0"/>
        <v>1-111-1</v>
      </c>
      <c r="K11" t="str" cm="1">
        <f t="array" ref="K11">_xlfn.TEXTJOIN("",, -C11:G11)</f>
        <v>-11-1-11</v>
      </c>
      <c r="L11">
        <f t="shared" si="1"/>
        <v>185</v>
      </c>
    </row>
    <row r="12" spans="1:12" x14ac:dyDescent="0.2">
      <c r="A12">
        <v>11</v>
      </c>
      <c r="B12">
        <f>Parameters!$B$7*A12+1</f>
        <v>89</v>
      </c>
      <c r="C12">
        <v>1</v>
      </c>
      <c r="D12">
        <v>1</v>
      </c>
      <c r="E12">
        <v>-1</v>
      </c>
      <c r="F12">
        <v>1</v>
      </c>
      <c r="G12">
        <v>-1</v>
      </c>
      <c r="H12">
        <v>0</v>
      </c>
      <c r="J12" t="str">
        <f t="shared" si="0"/>
        <v>11-11-1</v>
      </c>
      <c r="K12" t="str" cm="1">
        <f t="array" ref="K12">_xlfn.TEXTJOIN("",, -C12:G12)</f>
        <v>-1-11-11</v>
      </c>
      <c r="L12">
        <f t="shared" si="1"/>
        <v>177</v>
      </c>
    </row>
    <row r="13" spans="1:12" x14ac:dyDescent="0.2">
      <c r="A13">
        <v>12</v>
      </c>
      <c r="B13">
        <f>Parameters!$B$7*A13+1</f>
        <v>97</v>
      </c>
      <c r="C13">
        <v>1</v>
      </c>
      <c r="D13">
        <v>-1</v>
      </c>
      <c r="E13">
        <v>-1</v>
      </c>
      <c r="F13">
        <v>1</v>
      </c>
      <c r="G13">
        <v>-1</v>
      </c>
      <c r="H13">
        <f>1/24</f>
        <v>4.1666666666666664E-2</v>
      </c>
      <c r="J13" t="str">
        <f t="shared" si="0"/>
        <v>1-1-11-1</v>
      </c>
      <c r="K13" t="str" cm="1">
        <f t="array" ref="K13">_xlfn.TEXTJOIN("",, -C13:G13)</f>
        <v>-111-11</v>
      </c>
      <c r="L13">
        <f t="shared" si="1"/>
        <v>169</v>
      </c>
    </row>
    <row r="14" spans="1:12" x14ac:dyDescent="0.2">
      <c r="A14">
        <v>13</v>
      </c>
      <c r="B14">
        <f>Parameters!$B$7*A14+1</f>
        <v>105</v>
      </c>
      <c r="C14">
        <v>1</v>
      </c>
      <c r="D14">
        <v>1</v>
      </c>
      <c r="E14">
        <v>1</v>
      </c>
      <c r="F14">
        <v>-1</v>
      </c>
      <c r="G14">
        <v>-1</v>
      </c>
      <c r="H14">
        <v>0</v>
      </c>
      <c r="J14" t="str">
        <f t="shared" si="0"/>
        <v>111-1-1</v>
      </c>
      <c r="K14" t="str" cm="1">
        <f t="array" ref="K14">_xlfn.TEXTJOIN("",, -C14:G14)</f>
        <v>-1-1-111</v>
      </c>
      <c r="L14">
        <f t="shared" si="1"/>
        <v>161</v>
      </c>
    </row>
    <row r="15" spans="1:12" x14ac:dyDescent="0.2">
      <c r="A15">
        <v>14</v>
      </c>
      <c r="B15">
        <f>Parameters!$B$7*A15+1</f>
        <v>113</v>
      </c>
      <c r="C15">
        <v>1</v>
      </c>
      <c r="D15">
        <v>-1</v>
      </c>
      <c r="E15">
        <v>1</v>
      </c>
      <c r="F15">
        <v>-1</v>
      </c>
      <c r="G15">
        <v>-1</v>
      </c>
      <c r="H15">
        <f>1/24</f>
        <v>4.1666666666666664E-2</v>
      </c>
      <c r="J15" t="str">
        <f t="shared" si="0"/>
        <v>1-11-1-1</v>
      </c>
      <c r="K15" t="str" cm="1">
        <f t="array" ref="K15">_xlfn.TEXTJOIN("",, -C15:G15)</f>
        <v>-11-111</v>
      </c>
      <c r="L15">
        <f t="shared" si="1"/>
        <v>153</v>
      </c>
    </row>
    <row r="16" spans="1:12" x14ac:dyDescent="0.2">
      <c r="A16">
        <v>15</v>
      </c>
      <c r="B16">
        <f>Parameters!$B$7*A16+1</f>
        <v>121</v>
      </c>
      <c r="C16">
        <v>1</v>
      </c>
      <c r="D16">
        <v>1</v>
      </c>
      <c r="E16">
        <v>-1</v>
      </c>
      <c r="F16">
        <v>-1</v>
      </c>
      <c r="G16">
        <v>-1</v>
      </c>
      <c r="H16">
        <v>0</v>
      </c>
      <c r="J16" t="str">
        <f t="shared" si="0"/>
        <v>11-1-1-1</v>
      </c>
      <c r="K16" t="str" cm="1">
        <f t="array" ref="K16">_xlfn.TEXTJOIN("",, -C16:G16)</f>
        <v>-1-1111</v>
      </c>
      <c r="L16">
        <f t="shared" si="1"/>
        <v>145</v>
      </c>
    </row>
    <row r="17" spans="1:12" x14ac:dyDescent="0.2">
      <c r="A17">
        <v>16</v>
      </c>
      <c r="B17">
        <f>Parameters!$B$7*A17+1</f>
        <v>129</v>
      </c>
      <c r="C17">
        <v>1</v>
      </c>
      <c r="D17">
        <v>-1</v>
      </c>
      <c r="E17">
        <v>-1</v>
      </c>
      <c r="F17">
        <v>-1</v>
      </c>
      <c r="G17">
        <v>-1</v>
      </c>
      <c r="H17">
        <f>1/24</f>
        <v>4.1666666666666664E-2</v>
      </c>
      <c r="J17" t="str">
        <f t="shared" si="0"/>
        <v>1-1-1-1-1</v>
      </c>
      <c r="K17" t="str" cm="1">
        <f t="array" ref="K17">_xlfn.TEXTJOIN("",, -C17:G17)</f>
        <v>-11111</v>
      </c>
      <c r="L17">
        <f t="shared" si="1"/>
        <v>137</v>
      </c>
    </row>
    <row r="18" spans="1:12" x14ac:dyDescent="0.2">
      <c r="A18">
        <v>17</v>
      </c>
      <c r="B18">
        <f>Parameters!$B$7*A18+1</f>
        <v>137</v>
      </c>
      <c r="C18">
        <v>-1</v>
      </c>
      <c r="D18">
        <v>1</v>
      </c>
      <c r="E18">
        <v>1</v>
      </c>
      <c r="F18">
        <v>1</v>
      </c>
      <c r="G18">
        <v>1</v>
      </c>
      <c r="H18">
        <f t="shared" ref="H18:H33" si="2">1/24</f>
        <v>4.1666666666666664E-2</v>
      </c>
      <c r="J18" t="str">
        <f t="shared" si="0"/>
        <v>-11111</v>
      </c>
      <c r="K18" t="str" cm="1">
        <f t="array" ref="K18">_xlfn.TEXTJOIN("",, -C18:G18)</f>
        <v>1-1-1-1-1</v>
      </c>
      <c r="L18">
        <f t="shared" si="1"/>
        <v>129</v>
      </c>
    </row>
    <row r="19" spans="1:12" x14ac:dyDescent="0.2">
      <c r="A19">
        <v>18</v>
      </c>
      <c r="B19">
        <f>Parameters!$B$7*A19+1</f>
        <v>145</v>
      </c>
      <c r="C19">
        <v>-1</v>
      </c>
      <c r="D19">
        <v>-1</v>
      </c>
      <c r="E19">
        <v>1</v>
      </c>
      <c r="F19">
        <v>1</v>
      </c>
      <c r="G19">
        <v>1</v>
      </c>
      <c r="H19">
        <f t="shared" si="2"/>
        <v>4.1666666666666664E-2</v>
      </c>
      <c r="J19" t="str">
        <f t="shared" si="0"/>
        <v>-1-1111</v>
      </c>
      <c r="K19" t="str" cm="1">
        <f t="array" ref="K19">_xlfn.TEXTJOIN("",, -C19:G19)</f>
        <v>11-1-1-1</v>
      </c>
      <c r="L19">
        <f t="shared" si="1"/>
        <v>121</v>
      </c>
    </row>
    <row r="20" spans="1:12" x14ac:dyDescent="0.2">
      <c r="A20">
        <v>19</v>
      </c>
      <c r="B20">
        <f>Parameters!$B$7*A20+1</f>
        <v>153</v>
      </c>
      <c r="C20">
        <v>-1</v>
      </c>
      <c r="D20">
        <v>1</v>
      </c>
      <c r="E20">
        <v>-1</v>
      </c>
      <c r="F20">
        <v>1</v>
      </c>
      <c r="G20">
        <v>1</v>
      </c>
      <c r="H20">
        <f t="shared" si="2"/>
        <v>4.1666666666666664E-2</v>
      </c>
      <c r="J20" t="str">
        <f t="shared" si="0"/>
        <v>-11-111</v>
      </c>
      <c r="K20" t="str" cm="1">
        <f t="array" ref="K20">_xlfn.TEXTJOIN("",, -C20:G20)</f>
        <v>1-11-1-1</v>
      </c>
      <c r="L20">
        <f t="shared" si="1"/>
        <v>113</v>
      </c>
    </row>
    <row r="21" spans="1:12" x14ac:dyDescent="0.2">
      <c r="A21">
        <v>20</v>
      </c>
      <c r="B21">
        <f>Parameters!$B$7*A21+1</f>
        <v>161</v>
      </c>
      <c r="C21">
        <v>-1</v>
      </c>
      <c r="D21">
        <v>-1</v>
      </c>
      <c r="E21">
        <v>-1</v>
      </c>
      <c r="F21">
        <v>1</v>
      </c>
      <c r="G21">
        <v>1</v>
      </c>
      <c r="H21">
        <f t="shared" si="2"/>
        <v>4.1666666666666664E-2</v>
      </c>
      <c r="J21" t="str">
        <f t="shared" si="0"/>
        <v>-1-1-111</v>
      </c>
      <c r="K21" t="str" cm="1">
        <f t="array" ref="K21">_xlfn.TEXTJOIN("",, -C21:G21)</f>
        <v>111-1-1</v>
      </c>
      <c r="L21">
        <f t="shared" si="1"/>
        <v>105</v>
      </c>
    </row>
    <row r="22" spans="1:12" x14ac:dyDescent="0.2">
      <c r="A22">
        <v>21</v>
      </c>
      <c r="B22">
        <f>Parameters!$B$7*A22+1</f>
        <v>169</v>
      </c>
      <c r="C22">
        <v>-1</v>
      </c>
      <c r="D22">
        <v>1</v>
      </c>
      <c r="E22">
        <v>1</v>
      </c>
      <c r="F22">
        <v>-1</v>
      </c>
      <c r="G22">
        <v>1</v>
      </c>
      <c r="H22">
        <f t="shared" si="2"/>
        <v>4.1666666666666664E-2</v>
      </c>
      <c r="J22" t="str">
        <f t="shared" si="0"/>
        <v>-111-11</v>
      </c>
      <c r="K22" t="str" cm="1">
        <f t="array" ref="K22">_xlfn.TEXTJOIN("",, -C22:G22)</f>
        <v>1-1-11-1</v>
      </c>
      <c r="L22">
        <f t="shared" si="1"/>
        <v>97</v>
      </c>
    </row>
    <row r="23" spans="1:12" x14ac:dyDescent="0.2">
      <c r="A23">
        <v>22</v>
      </c>
      <c r="B23">
        <f>Parameters!$B$7*A23+1</f>
        <v>177</v>
      </c>
      <c r="C23">
        <v>-1</v>
      </c>
      <c r="D23">
        <v>-1</v>
      </c>
      <c r="E23">
        <v>1</v>
      </c>
      <c r="F23">
        <v>-1</v>
      </c>
      <c r="G23">
        <v>1</v>
      </c>
      <c r="H23">
        <f t="shared" si="2"/>
        <v>4.1666666666666664E-2</v>
      </c>
      <c r="J23" t="str">
        <f t="shared" si="0"/>
        <v>-1-11-11</v>
      </c>
      <c r="K23" t="str" cm="1">
        <f t="array" ref="K23">_xlfn.TEXTJOIN("",, -C23:G23)</f>
        <v>11-11-1</v>
      </c>
      <c r="L23">
        <f t="shared" si="1"/>
        <v>89</v>
      </c>
    </row>
    <row r="24" spans="1:12" x14ac:dyDescent="0.2">
      <c r="A24">
        <v>23</v>
      </c>
      <c r="B24">
        <f>Parameters!$B$7*A24+1</f>
        <v>185</v>
      </c>
      <c r="C24">
        <v>-1</v>
      </c>
      <c r="D24">
        <v>1</v>
      </c>
      <c r="E24">
        <v>-1</v>
      </c>
      <c r="F24">
        <v>-1</v>
      </c>
      <c r="G24">
        <v>1</v>
      </c>
      <c r="H24">
        <f t="shared" si="2"/>
        <v>4.1666666666666664E-2</v>
      </c>
      <c r="J24" t="str">
        <f t="shared" si="0"/>
        <v>-11-1-11</v>
      </c>
      <c r="K24" t="str" cm="1">
        <f t="array" ref="K24">_xlfn.TEXTJOIN("",, -C24:G24)</f>
        <v>1-111-1</v>
      </c>
      <c r="L24">
        <f t="shared" si="1"/>
        <v>81</v>
      </c>
    </row>
    <row r="25" spans="1:12" x14ac:dyDescent="0.2">
      <c r="A25">
        <v>24</v>
      </c>
      <c r="B25">
        <f>Parameters!$B$7*A25+1</f>
        <v>193</v>
      </c>
      <c r="C25">
        <v>-1</v>
      </c>
      <c r="D25">
        <v>-1</v>
      </c>
      <c r="E25">
        <v>-1</v>
      </c>
      <c r="F25">
        <v>-1</v>
      </c>
      <c r="G25">
        <v>1</v>
      </c>
      <c r="H25">
        <f t="shared" si="2"/>
        <v>4.1666666666666664E-2</v>
      </c>
      <c r="J25" t="str">
        <f t="shared" si="0"/>
        <v>-1-1-1-11</v>
      </c>
      <c r="K25" t="str" cm="1">
        <f t="array" ref="K25">_xlfn.TEXTJOIN("",, -C25:G25)</f>
        <v>1111-1</v>
      </c>
      <c r="L25">
        <f t="shared" si="1"/>
        <v>73</v>
      </c>
    </row>
    <row r="26" spans="1:12" x14ac:dyDescent="0.2">
      <c r="A26">
        <v>25</v>
      </c>
      <c r="B26">
        <f>Parameters!$B$7*A26+1</f>
        <v>201</v>
      </c>
      <c r="C26">
        <v>-1</v>
      </c>
      <c r="D26">
        <v>1</v>
      </c>
      <c r="E26">
        <v>1</v>
      </c>
      <c r="F26">
        <v>1</v>
      </c>
      <c r="G26">
        <v>-1</v>
      </c>
      <c r="H26">
        <f t="shared" si="2"/>
        <v>4.1666666666666664E-2</v>
      </c>
      <c r="J26" t="str">
        <f t="shared" si="0"/>
        <v>-1111-1</v>
      </c>
      <c r="K26" t="str" cm="1">
        <f t="array" ref="K26">_xlfn.TEXTJOIN("",, -C26:G26)</f>
        <v>1-1-1-11</v>
      </c>
      <c r="L26">
        <f t="shared" si="1"/>
        <v>65</v>
      </c>
    </row>
    <row r="27" spans="1:12" x14ac:dyDescent="0.2">
      <c r="A27">
        <v>26</v>
      </c>
      <c r="B27">
        <f>Parameters!$B$7*A27+1</f>
        <v>209</v>
      </c>
      <c r="C27">
        <v>-1</v>
      </c>
      <c r="D27">
        <v>-1</v>
      </c>
      <c r="E27">
        <v>1</v>
      </c>
      <c r="F27">
        <v>1</v>
      </c>
      <c r="G27">
        <v>-1</v>
      </c>
      <c r="H27">
        <f t="shared" si="2"/>
        <v>4.1666666666666664E-2</v>
      </c>
      <c r="J27" t="str">
        <f t="shared" si="0"/>
        <v>-1-111-1</v>
      </c>
      <c r="K27" t="str" cm="1">
        <f t="array" ref="K27">_xlfn.TEXTJOIN("",, -C27:G27)</f>
        <v>11-1-11</v>
      </c>
      <c r="L27">
        <f t="shared" si="1"/>
        <v>57</v>
      </c>
    </row>
    <row r="28" spans="1:12" x14ac:dyDescent="0.2">
      <c r="A28">
        <v>27</v>
      </c>
      <c r="B28">
        <f>Parameters!$B$7*A28+1</f>
        <v>217</v>
      </c>
      <c r="C28">
        <v>-1</v>
      </c>
      <c r="D28">
        <v>1</v>
      </c>
      <c r="E28">
        <v>-1</v>
      </c>
      <c r="F28">
        <v>1</v>
      </c>
      <c r="G28">
        <v>-1</v>
      </c>
      <c r="H28">
        <f t="shared" si="2"/>
        <v>4.1666666666666664E-2</v>
      </c>
      <c r="J28" t="str">
        <f t="shared" si="0"/>
        <v>-11-11-1</v>
      </c>
      <c r="K28" t="str" cm="1">
        <f t="array" ref="K28">_xlfn.TEXTJOIN("",, -C28:G28)</f>
        <v>1-11-11</v>
      </c>
      <c r="L28">
        <f t="shared" si="1"/>
        <v>49</v>
      </c>
    </row>
    <row r="29" spans="1:12" x14ac:dyDescent="0.2">
      <c r="A29">
        <v>28</v>
      </c>
      <c r="B29">
        <f>Parameters!$B$7*A29+1</f>
        <v>225</v>
      </c>
      <c r="C29">
        <v>-1</v>
      </c>
      <c r="D29">
        <v>-1</v>
      </c>
      <c r="E29">
        <v>-1</v>
      </c>
      <c r="F29">
        <v>1</v>
      </c>
      <c r="G29">
        <v>-1</v>
      </c>
      <c r="H29">
        <f t="shared" si="2"/>
        <v>4.1666666666666664E-2</v>
      </c>
      <c r="J29" t="str">
        <f t="shared" si="0"/>
        <v>-1-1-11-1</v>
      </c>
      <c r="K29" t="str" cm="1">
        <f t="array" ref="K29">_xlfn.TEXTJOIN("",, -C29:G29)</f>
        <v>111-11</v>
      </c>
      <c r="L29">
        <f t="shared" si="1"/>
        <v>41</v>
      </c>
    </row>
    <row r="30" spans="1:12" x14ac:dyDescent="0.2">
      <c r="A30">
        <v>29</v>
      </c>
      <c r="B30">
        <f>Parameters!$B$7*A30+1</f>
        <v>233</v>
      </c>
      <c r="C30">
        <v>-1</v>
      </c>
      <c r="D30">
        <v>1</v>
      </c>
      <c r="E30">
        <v>1</v>
      </c>
      <c r="F30">
        <v>-1</v>
      </c>
      <c r="G30">
        <v>-1</v>
      </c>
      <c r="H30">
        <f t="shared" si="2"/>
        <v>4.1666666666666664E-2</v>
      </c>
      <c r="J30" t="str">
        <f t="shared" si="0"/>
        <v>-111-1-1</v>
      </c>
      <c r="K30" t="str" cm="1">
        <f t="array" ref="K30">_xlfn.TEXTJOIN("",, -C30:G30)</f>
        <v>1-1-111</v>
      </c>
      <c r="L30">
        <f t="shared" si="1"/>
        <v>33</v>
      </c>
    </row>
    <row r="31" spans="1:12" x14ac:dyDescent="0.2">
      <c r="A31">
        <v>30</v>
      </c>
      <c r="B31">
        <f>Parameters!$B$7*A31+1</f>
        <v>241</v>
      </c>
      <c r="C31">
        <v>-1</v>
      </c>
      <c r="D31">
        <v>-1</v>
      </c>
      <c r="E31">
        <v>1</v>
      </c>
      <c r="F31">
        <v>-1</v>
      </c>
      <c r="G31">
        <v>-1</v>
      </c>
      <c r="H31">
        <f t="shared" si="2"/>
        <v>4.1666666666666664E-2</v>
      </c>
      <c r="J31" t="str">
        <f t="shared" si="0"/>
        <v>-1-11-1-1</v>
      </c>
      <c r="K31" t="str" cm="1">
        <f t="array" ref="K31">_xlfn.TEXTJOIN("",, -C31:G31)</f>
        <v>11-111</v>
      </c>
      <c r="L31">
        <f t="shared" si="1"/>
        <v>25</v>
      </c>
    </row>
    <row r="32" spans="1:12" x14ac:dyDescent="0.2">
      <c r="A32">
        <v>31</v>
      </c>
      <c r="B32">
        <f>Parameters!$B$7*A32+1</f>
        <v>249</v>
      </c>
      <c r="C32">
        <v>-1</v>
      </c>
      <c r="D32">
        <v>1</v>
      </c>
      <c r="E32">
        <v>-1</v>
      </c>
      <c r="F32">
        <v>-1</v>
      </c>
      <c r="G32">
        <v>-1</v>
      </c>
      <c r="H32">
        <f t="shared" si="2"/>
        <v>4.1666666666666664E-2</v>
      </c>
      <c r="J32" t="str">
        <f t="shared" si="0"/>
        <v>-11-1-1-1</v>
      </c>
      <c r="K32" t="str" cm="1">
        <f t="array" ref="K32">_xlfn.TEXTJOIN("",, -C32:G32)</f>
        <v>1-1111</v>
      </c>
      <c r="L32">
        <f t="shared" si="1"/>
        <v>17</v>
      </c>
    </row>
    <row r="33" spans="1:12" x14ac:dyDescent="0.2">
      <c r="A33">
        <v>32</v>
      </c>
      <c r="B33">
        <f>Parameters!$B$7*A33+1</f>
        <v>257</v>
      </c>
      <c r="C33">
        <v>-1</v>
      </c>
      <c r="D33">
        <v>-1</v>
      </c>
      <c r="E33">
        <v>-1</v>
      </c>
      <c r="F33">
        <v>-1</v>
      </c>
      <c r="G33">
        <v>-1</v>
      </c>
      <c r="H33">
        <f t="shared" si="2"/>
        <v>4.1666666666666664E-2</v>
      </c>
      <c r="J33" t="str">
        <f t="shared" si="0"/>
        <v>-1-1-1-1-1</v>
      </c>
      <c r="K33" t="str" cm="1">
        <f t="array" ref="K33">_xlfn.TEXTJOIN("",, -C33:G33)</f>
        <v>11111</v>
      </c>
      <c r="L33">
        <f t="shared" si="1"/>
        <v>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Nodes</vt:lpstr>
      <vt:lpstr>Demand Stage 1</vt:lpstr>
      <vt:lpstr>Demand Stage 2</vt:lpstr>
      <vt:lpstr>Demand Stage 3</vt:lpstr>
      <vt:lpstr>Demand Stage 3 Old</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lpstr>OverwiewSecondStage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2026-01-14T13:36:54Z</dcterms:modified>
</cp:coreProperties>
</file>