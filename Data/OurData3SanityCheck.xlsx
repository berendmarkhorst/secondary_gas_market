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0BEE8741-EAE2-D04E-98E6-D6C1075DFA3E}" xr6:coauthVersionLast="47" xr6:coauthVersionMax="47" xr10:uidLastSave="{00000000-0000-0000-0000-000000000000}"/>
  <bookViews>
    <workbookView xWindow="-38400" yWindow="0" windowWidth="38400" windowHeight="24000" activeTab="10"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9" i="16" l="1"/>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C10" i="16" s="1"/>
  <c r="B6" i="16"/>
  <c r="B4" i="16"/>
  <c r="C4" i="16"/>
  <c r="D4" i="16"/>
  <c r="E4" i="16"/>
  <c r="F4" i="16"/>
  <c r="G4" i="16"/>
  <c r="H4" i="16"/>
  <c r="I4" i="16"/>
  <c r="B3" i="16"/>
  <c r="C3" i="16"/>
  <c r="D3" i="16"/>
  <c r="E3" i="16"/>
  <c r="F3" i="16"/>
  <c r="G3" i="16"/>
  <c r="H3" i="16"/>
  <c r="I3" i="16"/>
  <c r="H2" i="16"/>
  <c r="I2" i="16"/>
  <c r="C2" i="16"/>
  <c r="D2" i="16"/>
  <c r="E2" i="16"/>
  <c r="F2" i="16"/>
  <c r="G2" i="16"/>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C8" i="2"/>
  <c r="AD8" i="2"/>
  <c r="AE8" i="2"/>
  <c r="AF8" i="2"/>
  <c r="AG8" i="2"/>
  <c r="AH8" i="2"/>
  <c r="AI8" i="2"/>
  <c r="AC9" i="2"/>
  <c r="AD9" i="2"/>
  <c r="AE9" i="2"/>
  <c r="AF9" i="2"/>
  <c r="AG9" i="2"/>
  <c r="AH9" i="2"/>
  <c r="AI9" i="2"/>
  <c r="AC10" i="2"/>
  <c r="AD10" i="2"/>
  <c r="AE10" i="2"/>
  <c r="AF10" i="2"/>
  <c r="AG10" i="2"/>
  <c r="AH10" i="2"/>
  <c r="AI10" i="2"/>
  <c r="AC11"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C15" i="2"/>
  <c r="AD15" i="2"/>
  <c r="AE15" i="2"/>
  <c r="AF15" i="2"/>
  <c r="AG15" i="2"/>
  <c r="AH15" i="2"/>
  <c r="AI15" i="2"/>
  <c r="AC16" i="2"/>
  <c r="AD16" i="2"/>
  <c r="AE16" i="2"/>
  <c r="AF16" i="2"/>
  <c r="AG16" i="2"/>
  <c r="AH16" i="2"/>
  <c r="AI16" i="2"/>
  <c r="AC17" i="2"/>
  <c r="AD17" i="2"/>
  <c r="AE17" i="2"/>
  <c r="AF17" i="2"/>
  <c r="AG17" i="2"/>
  <c r="AH17" i="2"/>
  <c r="AI17" i="2"/>
  <c r="AC18" i="2"/>
  <c r="AD18" i="2"/>
  <c r="AE18" i="2"/>
  <c r="AF18" i="2"/>
  <c r="AG18" i="2"/>
  <c r="AH18" i="2"/>
  <c r="AI18" i="2"/>
  <c r="AC19" i="2"/>
  <c r="AD19" i="2"/>
  <c r="AE19" i="2"/>
  <c r="AF19" i="2"/>
  <c r="AG19" i="2"/>
  <c r="AH19" i="2"/>
  <c r="AI19" i="2"/>
  <c r="AC20" i="2"/>
  <c r="AD20" i="2"/>
  <c r="AE20" i="2"/>
  <c r="AF20" i="2"/>
  <c r="AG20" i="2"/>
  <c r="AH20" i="2"/>
  <c r="AI20" i="2"/>
  <c r="AC21" i="2"/>
  <c r="AD21" i="2"/>
  <c r="AE21" i="2"/>
  <c r="AF21" i="2"/>
  <c r="AG21" i="2"/>
  <c r="AH21" i="2"/>
  <c r="AI21" i="2"/>
  <c r="AC22" i="2"/>
  <c r="AD22" i="2"/>
  <c r="AE22" i="2"/>
  <c r="AF22" i="2"/>
  <c r="AG22" i="2"/>
  <c r="AH22" i="2"/>
  <c r="AI22" i="2"/>
  <c r="AC23" i="2"/>
  <c r="AD23" i="2"/>
  <c r="AE23" i="2"/>
  <c r="AF23" i="2"/>
  <c r="AG23" i="2"/>
  <c r="AH23" i="2"/>
  <c r="AI23" i="2"/>
  <c r="AC24" i="2"/>
  <c r="AD24" i="2"/>
  <c r="AE24" i="2"/>
  <c r="AF24" i="2"/>
  <c r="AG24" i="2"/>
  <c r="AH24" i="2"/>
  <c r="AI24" i="2"/>
  <c r="AC25" i="2"/>
  <c r="AD25" i="2"/>
  <c r="AE25" i="2"/>
  <c r="AF25" i="2"/>
  <c r="AG25" i="2"/>
  <c r="AH25" i="2"/>
  <c r="AI25" i="2"/>
  <c r="AC26" i="2"/>
  <c r="AD26" i="2"/>
  <c r="AE26" i="2"/>
  <c r="AF26" i="2"/>
  <c r="AG26" i="2"/>
  <c r="AH26" i="2"/>
  <c r="AI26" i="2"/>
  <c r="AC27"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C31" i="2"/>
  <c r="AD31" i="2"/>
  <c r="AE31" i="2"/>
  <c r="AF31" i="2"/>
  <c r="AG31" i="2"/>
  <c r="AH31" i="2"/>
  <c r="AI31" i="2"/>
  <c r="AC32" i="2"/>
  <c r="AD32" i="2"/>
  <c r="AE32" i="2"/>
  <c r="AF32" i="2"/>
  <c r="AG32" i="2"/>
  <c r="AH32" i="2"/>
  <c r="AI32" i="2"/>
  <c r="AC33" i="2"/>
  <c r="AD33" i="2"/>
  <c r="AE33" i="2"/>
  <c r="AF33" i="2"/>
  <c r="AG33" i="2"/>
  <c r="AH33" i="2"/>
  <c r="AI33" i="2"/>
  <c r="AC34" i="2"/>
  <c r="AD34" i="2"/>
  <c r="AE34" i="2"/>
  <c r="AF34" i="2"/>
  <c r="AG34" i="2"/>
  <c r="AH34" i="2"/>
  <c r="AI34" i="2"/>
  <c r="AC35" i="2"/>
  <c r="AD35" i="2"/>
  <c r="AE35" i="2"/>
  <c r="AF35" i="2"/>
  <c r="AG35" i="2"/>
  <c r="AH35" i="2"/>
  <c r="AI35" i="2"/>
  <c r="AC36" i="2"/>
  <c r="AD36" i="2"/>
  <c r="AE36" i="2"/>
  <c r="AF36" i="2"/>
  <c r="AG36" i="2"/>
  <c r="AH36" i="2"/>
  <c r="AI36" i="2"/>
  <c r="AC37" i="2"/>
  <c r="AD37" i="2"/>
  <c r="AE37" i="2"/>
  <c r="AF37" i="2"/>
  <c r="AG37" i="2"/>
  <c r="AH37" i="2"/>
  <c r="AI37" i="2"/>
  <c r="AC38" i="2"/>
  <c r="AD38" i="2"/>
  <c r="AE38" i="2"/>
  <c r="AF38" i="2"/>
  <c r="AG38" i="2"/>
  <c r="AH38" i="2"/>
  <c r="AI38" i="2"/>
  <c r="AC39" i="2"/>
  <c r="AD39" i="2"/>
  <c r="AE39" i="2"/>
  <c r="AF39" i="2"/>
  <c r="AG39" i="2"/>
  <c r="AH39" i="2"/>
  <c r="AI39" i="2"/>
  <c r="AC40" i="2"/>
  <c r="AD40" i="2"/>
  <c r="AE40" i="2"/>
  <c r="AF40" i="2"/>
  <c r="AG40" i="2"/>
  <c r="AH40" i="2"/>
  <c r="AI40" i="2"/>
  <c r="AC41" i="2"/>
  <c r="AD41" i="2"/>
  <c r="AE41" i="2"/>
  <c r="AF41" i="2"/>
  <c r="AG41" i="2"/>
  <c r="AH41" i="2"/>
  <c r="AI41" i="2"/>
  <c r="AC42" i="2"/>
  <c r="AD42" i="2"/>
  <c r="AE42" i="2"/>
  <c r="AF42" i="2"/>
  <c r="AG42" i="2"/>
  <c r="AH42" i="2"/>
  <c r="AI42" i="2"/>
  <c r="AC43" i="2"/>
  <c r="AD43" i="2"/>
  <c r="AE43" i="2"/>
  <c r="AF43" i="2"/>
  <c r="AG43" i="2"/>
  <c r="AH43" i="2"/>
  <c r="AI43" i="2"/>
  <c r="AC44" i="2"/>
  <c r="AD44" i="2"/>
  <c r="AE44" i="2"/>
  <c r="AF44" i="2"/>
  <c r="AG44" i="2"/>
  <c r="AH44" i="2"/>
  <c r="AI44" i="2"/>
  <c r="AC45" i="2"/>
  <c r="AD45" i="2"/>
  <c r="AE45" i="2"/>
  <c r="AF45" i="2"/>
  <c r="AG45" i="2"/>
  <c r="AH45" i="2"/>
  <c r="AI45" i="2"/>
  <c r="AC46" i="2"/>
  <c r="AD46" i="2"/>
  <c r="AE46" i="2"/>
  <c r="AF46" i="2"/>
  <c r="AG46" i="2"/>
  <c r="AH46" i="2"/>
  <c r="AI46" i="2"/>
  <c r="AC47" i="2"/>
  <c r="AD47" i="2"/>
  <c r="AE47" i="2"/>
  <c r="AF47" i="2"/>
  <c r="AG47" i="2"/>
  <c r="AH47" i="2"/>
  <c r="AI47" i="2"/>
  <c r="AC48" i="2"/>
  <c r="AD48" i="2"/>
  <c r="AE48" i="2"/>
  <c r="AF48" i="2"/>
  <c r="AG48" i="2"/>
  <c r="AH48" i="2"/>
  <c r="AI48" i="2"/>
  <c r="AC49" i="2"/>
  <c r="AD49" i="2"/>
  <c r="AE49" i="2"/>
  <c r="AF49" i="2"/>
  <c r="AG49" i="2"/>
  <c r="AH49" i="2"/>
  <c r="AI49" i="2"/>
  <c r="AC50" i="2"/>
  <c r="AD50" i="2"/>
  <c r="AE50" i="2"/>
  <c r="AF50" i="2"/>
  <c r="AG50" i="2"/>
  <c r="AH50" i="2"/>
  <c r="AI50" i="2"/>
  <c r="AC51" i="2"/>
  <c r="AD51" i="2"/>
  <c r="AE51" i="2"/>
  <c r="AF51" i="2"/>
  <c r="AG51" i="2"/>
  <c r="AH51" i="2"/>
  <c r="AI51" i="2"/>
  <c r="AC52" i="2"/>
  <c r="AD52" i="2"/>
  <c r="AE52" i="2"/>
  <c r="AF52" i="2"/>
  <c r="AG52" i="2"/>
  <c r="AH52" i="2"/>
  <c r="AI52" i="2"/>
  <c r="AC53" i="2"/>
  <c r="AD53" i="2"/>
  <c r="AE53" i="2"/>
  <c r="AF53" i="2"/>
  <c r="AG53" i="2"/>
  <c r="AH53" i="2"/>
  <c r="AI53" i="2"/>
  <c r="AC54" i="2"/>
  <c r="AD54" i="2"/>
  <c r="AE54" i="2"/>
  <c r="AF54" i="2"/>
  <c r="AG54" i="2"/>
  <c r="AH54" i="2"/>
  <c r="AI54" i="2"/>
  <c r="AC55" i="2"/>
  <c r="AD55" i="2"/>
  <c r="AE55" i="2"/>
  <c r="AF55" i="2"/>
  <c r="AG55" i="2"/>
  <c r="AH55" i="2"/>
  <c r="AI55" i="2"/>
  <c r="AC56" i="2"/>
  <c r="AD56" i="2"/>
  <c r="AE56" i="2"/>
  <c r="AF56" i="2"/>
  <c r="AG56" i="2"/>
  <c r="AH56" i="2"/>
  <c r="AI56" i="2"/>
  <c r="AC57" i="2"/>
  <c r="AD57" i="2"/>
  <c r="AE57" i="2"/>
  <c r="AF57" i="2"/>
  <c r="AG57" i="2"/>
  <c r="AH57" i="2"/>
  <c r="AI57" i="2"/>
  <c r="AC58" i="2"/>
  <c r="AD58" i="2"/>
  <c r="AE58" i="2"/>
  <c r="AF58" i="2"/>
  <c r="AG58" i="2"/>
  <c r="AH58" i="2"/>
  <c r="AI58" i="2"/>
  <c r="AC59"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AC3" i="2"/>
  <c r="K62" i="1"/>
  <c r="O62" i="1" s="1" a="1"/>
  <c r="O62" i="1" s="1"/>
  <c r="L62" i="1"/>
  <c r="P62" i="1" s="1" a="1"/>
  <c r="P62" i="1" s="1"/>
  <c r="B2" i="16"/>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<sst xmlns="http://schemas.openxmlformats.org/spreadsheetml/2006/main" count="785" uniqueCount="343">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</sst>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opLeftCell="A14" zoomScale="108" zoomScaleNormal="108" workbookViewId="0">
      <selection activeCell="B36" sqref="B36"/>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v>0</v>
      </c>
      <c r="J3" s="2">
        <v>8889.5949999999993</v>
      </c>
      <c r="K3" s="11">
        <v>500</v>
      </c>
      <c r="L3" s="11">
        <v>500</v>
      </c>
      <c r="M3" s="2">
        <v>10</v>
      </c>
      <c r="N3" s="2">
        <v>100</v>
      </c>
      <c r="O3" s="2">
        <v>3</v>
      </c>
      <c r="P3" s="2">
        <v>5</v>
      </c>
      <c r="Q3" s="2">
        <v>5</v>
      </c>
      <c r="R3" s="2">
        <v>5.2</v>
      </c>
      <c r="S3" s="2">
        <v>5.2</v>
      </c>
      <c r="T3" s="2">
        <v>5.4</v>
      </c>
      <c r="U3" s="2">
        <v>5.4</v>
      </c>
      <c r="V3" s="3">
        <v>5</v>
      </c>
      <c r="W3" s="3">
        <v>5</v>
      </c>
      <c r="X3" s="3">
        <v>100</v>
      </c>
      <c r="Y3" s="3">
        <v>0</v>
      </c>
      <c r="Z3" s="3">
        <v>0</v>
      </c>
      <c r="AA3" s="3">
        <f>M3</f>
        <v>10</v>
      </c>
      <c r="AB3" s="3">
        <v>0</v>
      </c>
      <c r="AC3" s="3">
        <f>O3</f>
        <v>3</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v>0</v>
      </c>
      <c r="J4" s="2">
        <v>0</v>
      </c>
      <c r="K4" s="11">
        <v>500</v>
      </c>
      <c r="L4" s="11">
        <v>500</v>
      </c>
      <c r="M4" s="2">
        <v>10</v>
      </c>
      <c r="N4" s="2">
        <v>100</v>
      </c>
      <c r="O4" s="2">
        <v>3</v>
      </c>
      <c r="P4" s="2">
        <v>5</v>
      </c>
      <c r="Q4" s="2">
        <v>5</v>
      </c>
      <c r="R4" s="2">
        <v>5.2</v>
      </c>
      <c r="S4" s="2">
        <v>5.2</v>
      </c>
      <c r="T4" s="2">
        <v>5.4</v>
      </c>
      <c r="U4" s="2">
        <v>5.4</v>
      </c>
      <c r="V4" s="3">
        <v>5</v>
      </c>
      <c r="W4" s="3">
        <v>5</v>
      </c>
      <c r="X4" s="3">
        <v>100</v>
      </c>
      <c r="Y4" s="3">
        <v>0</v>
      </c>
      <c r="Z4" s="3">
        <v>0</v>
      </c>
      <c r="AA4" s="3">
        <f t="shared" ref="AA4:AA61" si="1">M4</f>
        <v>10</v>
      </c>
      <c r="AB4" s="3">
        <v>0</v>
      </c>
      <c r="AC4" s="3">
        <f t="shared" ref="AC4:AC61" si="2">O4</f>
        <v>3</v>
      </c>
      <c r="AD4" s="3">
        <f t="shared" ref="AD4:AD61" si="3">P4</f>
        <v>5</v>
      </c>
      <c r="AE4" s="3">
        <f t="shared" ref="AE4:AE61" si="4">Q4</f>
        <v>5</v>
      </c>
      <c r="AF4" s="3">
        <f t="shared" ref="AF4:AF61" si="5">R4</f>
        <v>5.2</v>
      </c>
      <c r="AG4" s="3">
        <f t="shared" ref="AG4:AG61" si="6">S4</f>
        <v>5.2</v>
      </c>
      <c r="AH4" s="3">
        <f t="shared" ref="AH4:AH61" si="7">T4</f>
        <v>5.4</v>
      </c>
      <c r="AI4" s="3">
        <f t="shared" ref="AI4:AI61" si="8">U4</f>
        <v>5.4</v>
      </c>
    </row>
    <row r="5" spans="1:35" x14ac:dyDescent="0.2">
      <c r="A5" s="1">
        <v>3</v>
      </c>
      <c r="B5" s="1" t="s">
        <v>205</v>
      </c>
      <c r="C5" s="1"/>
      <c r="D5" s="16">
        <v>6.8036598360000653</v>
      </c>
      <c r="E5" s="16">
        <v>65.094471500000054</v>
      </c>
      <c r="F5" s="1" t="s">
        <v>322</v>
      </c>
      <c r="G5" s="2">
        <v>5</v>
      </c>
      <c r="H5" s="2">
        <v>5</v>
      </c>
      <c r="I5" s="2">
        <v>0</v>
      </c>
      <c r="J5" s="2">
        <v>0</v>
      </c>
      <c r="K5" s="11">
        <v>500</v>
      </c>
      <c r="L5" s="11">
        <v>500</v>
      </c>
      <c r="M5" s="2">
        <v>10</v>
      </c>
      <c r="N5" s="2">
        <v>100</v>
      </c>
      <c r="O5" s="2">
        <v>3</v>
      </c>
      <c r="P5" s="2">
        <v>5</v>
      </c>
      <c r="Q5" s="2">
        <v>5</v>
      </c>
      <c r="R5" s="2">
        <v>5.2</v>
      </c>
      <c r="S5" s="2">
        <v>5.2</v>
      </c>
      <c r="T5" s="2">
        <v>5.4</v>
      </c>
      <c r="U5" s="2">
        <v>5.4</v>
      </c>
      <c r="V5" s="3">
        <v>5</v>
      </c>
      <c r="W5" s="3">
        <v>5</v>
      </c>
      <c r="X5" s="3">
        <v>100</v>
      </c>
      <c r="Y5" s="3">
        <v>0</v>
      </c>
      <c r="Z5" s="3">
        <v>0</v>
      </c>
      <c r="AA5" s="3">
        <f t="shared" si="1"/>
        <v>10</v>
      </c>
      <c r="AB5" s="3">
        <v>0</v>
      </c>
      <c r="AC5" s="3">
        <f t="shared" si="2"/>
        <v>3</v>
      </c>
      <c r="AD5" s="3">
        <f t="shared" si="3"/>
        <v>5</v>
      </c>
      <c r="AE5" s="3">
        <f t="shared" si="4"/>
        <v>5</v>
      </c>
      <c r="AF5" s="3">
        <f t="shared" si="5"/>
        <v>5.2</v>
      </c>
      <c r="AG5" s="3">
        <f t="shared" si="6"/>
        <v>5.2</v>
      </c>
      <c r="AH5" s="3">
        <f t="shared" si="7"/>
        <v>5.4</v>
      </c>
      <c r="AI5" s="3">
        <f t="shared" si="8"/>
        <v>5.4</v>
      </c>
    </row>
    <row r="6" spans="1:35" x14ac:dyDescent="0.2">
      <c r="A6" s="1">
        <v>4</v>
      </c>
      <c r="B6" s="1" t="s">
        <v>113</v>
      </c>
      <c r="C6" s="1"/>
      <c r="D6" s="22">
        <v>4.5569471181611378</v>
      </c>
      <c r="E6" s="22">
        <v>55.458982371638299</v>
      </c>
      <c r="F6" s="1"/>
      <c r="G6" s="2">
        <v>5</v>
      </c>
      <c r="H6" s="2">
        <v>5</v>
      </c>
      <c r="I6" s="2">
        <v>0</v>
      </c>
      <c r="J6" s="2">
        <v>0</v>
      </c>
      <c r="K6" s="11">
        <v>500</v>
      </c>
      <c r="L6" s="11">
        <v>500</v>
      </c>
      <c r="M6" s="2">
        <v>10</v>
      </c>
      <c r="N6" s="2">
        <v>100</v>
      </c>
      <c r="O6" s="2">
        <v>3</v>
      </c>
      <c r="P6" s="2">
        <v>5</v>
      </c>
      <c r="Q6" s="2">
        <v>5</v>
      </c>
      <c r="R6" s="2">
        <v>5.2</v>
      </c>
      <c r="S6" s="2">
        <v>5.2</v>
      </c>
      <c r="T6" s="2">
        <v>5.4</v>
      </c>
      <c r="U6" s="2">
        <v>5.4</v>
      </c>
      <c r="V6" s="3">
        <v>5</v>
      </c>
      <c r="W6" s="3">
        <v>5</v>
      </c>
      <c r="X6" s="3">
        <v>100</v>
      </c>
      <c r="Y6" s="3">
        <v>0</v>
      </c>
      <c r="Z6" s="3">
        <v>0</v>
      </c>
      <c r="AA6" s="3">
        <f t="shared" si="1"/>
        <v>10</v>
      </c>
      <c r="AB6" s="3">
        <v>0</v>
      </c>
      <c r="AC6" s="3">
        <f t="shared" si="2"/>
        <v>3</v>
      </c>
      <c r="AD6" s="3">
        <f t="shared" si="3"/>
        <v>5</v>
      </c>
      <c r="AE6" s="3">
        <f t="shared" si="4"/>
        <v>5</v>
      </c>
      <c r="AF6" s="3">
        <f t="shared" si="5"/>
        <v>5.2</v>
      </c>
      <c r="AG6" s="3">
        <f t="shared" si="6"/>
        <v>5.2</v>
      </c>
      <c r="AH6" s="3">
        <f t="shared" si="7"/>
        <v>5.4</v>
      </c>
      <c r="AI6" s="3">
        <f t="shared" si="8"/>
        <v>5.4</v>
      </c>
    </row>
    <row r="7" spans="1:35" x14ac:dyDescent="0.2">
      <c r="A7" s="1">
        <v>5</v>
      </c>
      <c r="B7" s="1" t="s">
        <v>112</v>
      </c>
      <c r="C7" s="1"/>
      <c r="D7" s="22">
        <v>6.5038</v>
      </c>
      <c r="E7" s="22">
        <v>55.71</v>
      </c>
      <c r="F7" s="1"/>
      <c r="G7" s="2">
        <v>5</v>
      </c>
      <c r="H7" s="2">
        <v>5</v>
      </c>
      <c r="I7" s="2">
        <v>0</v>
      </c>
      <c r="J7" s="29">
        <v>0</v>
      </c>
      <c r="K7" s="11">
        <v>500</v>
      </c>
      <c r="L7" s="11">
        <v>500</v>
      </c>
      <c r="M7" s="2">
        <v>10</v>
      </c>
      <c r="N7" s="2">
        <v>100</v>
      </c>
      <c r="O7" s="2">
        <v>3</v>
      </c>
      <c r="P7" s="2">
        <v>5</v>
      </c>
      <c r="Q7" s="2">
        <v>5</v>
      </c>
      <c r="R7" s="2">
        <v>5.2</v>
      </c>
      <c r="S7" s="2">
        <v>5.2</v>
      </c>
      <c r="T7" s="2">
        <v>5.4</v>
      </c>
      <c r="U7" s="2">
        <v>5.4</v>
      </c>
      <c r="V7" s="3">
        <v>5</v>
      </c>
      <c r="W7" s="3">
        <v>5</v>
      </c>
      <c r="X7" s="3">
        <v>100</v>
      </c>
      <c r="Y7" s="3">
        <v>0</v>
      </c>
      <c r="Z7" s="3">
        <v>0</v>
      </c>
      <c r="AA7" s="3">
        <f t="shared" si="1"/>
        <v>10</v>
      </c>
      <c r="AB7" s="3">
        <v>0</v>
      </c>
      <c r="AC7" s="3">
        <f t="shared" si="2"/>
        <v>3</v>
      </c>
      <c r="AD7" s="3">
        <f t="shared" si="3"/>
        <v>5</v>
      </c>
      <c r="AE7" s="3">
        <f t="shared" si="4"/>
        <v>5</v>
      </c>
      <c r="AF7" s="3">
        <f t="shared" si="5"/>
        <v>5.2</v>
      </c>
      <c r="AG7" s="3">
        <f t="shared" si="6"/>
        <v>5.2</v>
      </c>
      <c r="AH7" s="3">
        <f t="shared" si="7"/>
        <v>5.4</v>
      </c>
      <c r="AI7" s="3">
        <f t="shared" si="8"/>
        <v>5.4</v>
      </c>
    </row>
    <row r="8" spans="1:35" x14ac:dyDescent="0.2">
      <c r="A8" s="1">
        <v>6</v>
      </c>
      <c r="B8" s="1" t="s">
        <v>89</v>
      </c>
      <c r="C8" s="1"/>
      <c r="D8" s="16">
        <v>2.8980550000000558</v>
      </c>
      <c r="E8" s="16">
        <v>60.560633000000053</v>
      </c>
      <c r="F8" s="1" t="s">
        <v>322</v>
      </c>
      <c r="G8" s="2">
        <v>5</v>
      </c>
      <c r="H8" s="2">
        <v>5</v>
      </c>
      <c r="I8" s="2">
        <v>0</v>
      </c>
      <c r="J8" s="2">
        <v>0</v>
      </c>
      <c r="K8" s="11">
        <v>500</v>
      </c>
      <c r="L8" s="11">
        <v>500</v>
      </c>
      <c r="M8" s="2">
        <v>10</v>
      </c>
      <c r="N8" s="2">
        <v>100</v>
      </c>
      <c r="O8" s="2">
        <v>3</v>
      </c>
      <c r="P8" s="2">
        <v>5</v>
      </c>
      <c r="Q8" s="2">
        <v>5</v>
      </c>
      <c r="R8" s="2">
        <v>5.2</v>
      </c>
      <c r="S8" s="2">
        <v>5.2</v>
      </c>
      <c r="T8" s="2">
        <v>5.4</v>
      </c>
      <c r="U8" s="2">
        <v>5.4</v>
      </c>
      <c r="V8" s="3">
        <v>5</v>
      </c>
      <c r="W8" s="3">
        <v>5</v>
      </c>
      <c r="X8" s="3">
        <v>100</v>
      </c>
      <c r="Y8" s="3">
        <v>0</v>
      </c>
      <c r="Z8" s="3">
        <v>0</v>
      </c>
      <c r="AA8" s="3">
        <f t="shared" si="1"/>
        <v>10</v>
      </c>
      <c r="AB8" s="3">
        <v>0</v>
      </c>
      <c r="AC8" s="3">
        <f t="shared" si="2"/>
        <v>3</v>
      </c>
      <c r="AD8" s="3">
        <f t="shared" si="3"/>
        <v>5</v>
      </c>
      <c r="AE8" s="3">
        <f t="shared" si="4"/>
        <v>5</v>
      </c>
      <c r="AF8" s="3">
        <f t="shared" si="5"/>
        <v>5.2</v>
      </c>
      <c r="AG8" s="3">
        <f t="shared" si="6"/>
        <v>5.2</v>
      </c>
      <c r="AH8" s="3">
        <f t="shared" si="7"/>
        <v>5.4</v>
      </c>
      <c r="AI8" s="3">
        <f t="shared" si="8"/>
        <v>5.4</v>
      </c>
    </row>
    <row r="9" spans="1:35" x14ac:dyDescent="0.2">
      <c r="A9" s="1">
        <v>7</v>
      </c>
      <c r="B9" s="1" t="s">
        <v>92</v>
      </c>
      <c r="C9" s="1"/>
      <c r="D9" s="16">
        <v>3.037825494927695</v>
      </c>
      <c r="E9" s="16">
        <v>60.543328997897447</v>
      </c>
      <c r="F9" s="1" t="s">
        <v>322</v>
      </c>
      <c r="G9" s="2">
        <v>5</v>
      </c>
      <c r="H9" s="2">
        <v>5</v>
      </c>
      <c r="I9" s="2">
        <v>0</v>
      </c>
      <c r="J9" s="2">
        <v>48.064999999999998</v>
      </c>
      <c r="K9" s="11">
        <v>500</v>
      </c>
      <c r="L9" s="11">
        <v>500</v>
      </c>
      <c r="M9" s="2">
        <v>10</v>
      </c>
      <c r="N9" s="2">
        <v>100</v>
      </c>
      <c r="O9" s="2">
        <v>3</v>
      </c>
      <c r="P9" s="2">
        <v>5</v>
      </c>
      <c r="Q9" s="2">
        <v>5</v>
      </c>
      <c r="R9" s="2">
        <v>5.2</v>
      </c>
      <c r="S9" s="2">
        <v>5.2</v>
      </c>
      <c r="T9" s="2">
        <v>5.4</v>
      </c>
      <c r="U9" s="2">
        <v>5.4</v>
      </c>
      <c r="V9" s="3">
        <v>5</v>
      </c>
      <c r="W9" s="3">
        <v>5</v>
      </c>
      <c r="X9" s="3">
        <v>100</v>
      </c>
      <c r="Y9" s="3">
        <v>0</v>
      </c>
      <c r="Z9" s="3">
        <v>0</v>
      </c>
      <c r="AA9" s="3">
        <f t="shared" si="1"/>
        <v>10</v>
      </c>
      <c r="AB9" s="3">
        <v>0</v>
      </c>
      <c r="AC9" s="3">
        <f t="shared" si="2"/>
        <v>3</v>
      </c>
      <c r="AD9" s="3">
        <f t="shared" si="3"/>
        <v>5</v>
      </c>
      <c r="AE9" s="3">
        <f t="shared" si="4"/>
        <v>5</v>
      </c>
      <c r="AF9" s="3">
        <f t="shared" si="5"/>
        <v>5.2</v>
      </c>
      <c r="AG9" s="3">
        <f t="shared" si="6"/>
        <v>5.2</v>
      </c>
      <c r="AH9" s="3">
        <f t="shared" si="7"/>
        <v>5.4</v>
      </c>
      <c r="AI9" s="3">
        <f t="shared" si="8"/>
        <v>5.4</v>
      </c>
    </row>
    <row r="10" spans="1:35" x14ac:dyDescent="0.2">
      <c r="A10" s="1">
        <v>8</v>
      </c>
      <c r="B10" s="1" t="s">
        <v>108</v>
      </c>
      <c r="C10" s="1"/>
      <c r="D10" s="22">
        <v>1.803328</v>
      </c>
      <c r="E10" s="22">
        <v>57.758068999999999</v>
      </c>
      <c r="F10" s="1"/>
      <c r="G10" s="2">
        <v>5</v>
      </c>
      <c r="H10" s="2">
        <v>5</v>
      </c>
      <c r="I10" s="2">
        <v>0</v>
      </c>
      <c r="J10" s="2">
        <v>1282.3420000000001</v>
      </c>
      <c r="K10" s="11">
        <v>500</v>
      </c>
      <c r="L10" s="11">
        <v>500</v>
      </c>
      <c r="M10" s="2">
        <v>10</v>
      </c>
      <c r="N10" s="2">
        <v>100</v>
      </c>
      <c r="O10" s="2">
        <v>3</v>
      </c>
      <c r="P10" s="2">
        <v>5</v>
      </c>
      <c r="Q10" s="2">
        <v>5</v>
      </c>
      <c r="R10" s="2">
        <v>5.2</v>
      </c>
      <c r="S10" s="2">
        <v>5.2</v>
      </c>
      <c r="T10" s="2">
        <v>5.4</v>
      </c>
      <c r="U10" s="2">
        <v>5.4</v>
      </c>
      <c r="V10" s="3">
        <v>5</v>
      </c>
      <c r="W10" s="3">
        <v>5</v>
      </c>
      <c r="X10" s="3">
        <v>100</v>
      </c>
      <c r="Y10" s="3">
        <v>0</v>
      </c>
      <c r="Z10" s="3">
        <v>0</v>
      </c>
      <c r="AA10" s="3">
        <f t="shared" si="1"/>
        <v>10</v>
      </c>
      <c r="AB10" s="3">
        <v>0</v>
      </c>
      <c r="AC10" s="3">
        <f t="shared" si="2"/>
        <v>3</v>
      </c>
      <c r="AD10" s="3">
        <f t="shared" si="3"/>
        <v>5</v>
      </c>
      <c r="AE10" s="3">
        <f t="shared" si="4"/>
        <v>5</v>
      </c>
      <c r="AF10" s="3">
        <f t="shared" si="5"/>
        <v>5.2</v>
      </c>
      <c r="AG10" s="3">
        <f t="shared" si="6"/>
        <v>5.2</v>
      </c>
      <c r="AH10" s="3">
        <f t="shared" si="7"/>
        <v>5.4</v>
      </c>
      <c r="AI10" s="3">
        <f t="shared" si="8"/>
        <v>5.4</v>
      </c>
    </row>
    <row r="11" spans="1:35" x14ac:dyDescent="0.2">
      <c r="A11" s="1">
        <v>9</v>
      </c>
      <c r="B11" s="1" t="s">
        <v>123</v>
      </c>
      <c r="C11" s="1"/>
      <c r="D11" s="22">
        <v>8.4072999999999993</v>
      </c>
      <c r="E11" s="22">
        <v>55.744999999999997</v>
      </c>
      <c r="F11" s="1"/>
      <c r="G11" s="2">
        <v>5</v>
      </c>
      <c r="H11" s="2">
        <v>5</v>
      </c>
      <c r="I11" s="2">
        <v>0</v>
      </c>
      <c r="J11" s="2">
        <v>0</v>
      </c>
      <c r="K11" s="11">
        <v>500</v>
      </c>
      <c r="L11" s="11">
        <v>500</v>
      </c>
      <c r="M11" s="2">
        <v>10</v>
      </c>
      <c r="N11" s="2">
        <v>100</v>
      </c>
      <c r="O11" s="2">
        <v>3</v>
      </c>
      <c r="P11" s="2">
        <v>5</v>
      </c>
      <c r="Q11" s="2">
        <v>5</v>
      </c>
      <c r="R11" s="2">
        <v>5.2</v>
      </c>
      <c r="S11" s="2">
        <v>5.2</v>
      </c>
      <c r="T11" s="2">
        <v>5.4</v>
      </c>
      <c r="U11" s="2">
        <v>5.4</v>
      </c>
      <c r="V11" s="3">
        <v>5</v>
      </c>
      <c r="W11" s="3">
        <v>5</v>
      </c>
      <c r="X11" s="3">
        <v>100</v>
      </c>
      <c r="Y11" s="3">
        <v>0</v>
      </c>
      <c r="Z11" s="3">
        <v>0</v>
      </c>
      <c r="AA11" s="3">
        <f t="shared" si="1"/>
        <v>10</v>
      </c>
      <c r="AB11" s="3">
        <v>0</v>
      </c>
      <c r="AC11" s="3">
        <f t="shared" si="2"/>
        <v>3</v>
      </c>
      <c r="AD11" s="3">
        <f t="shared" si="3"/>
        <v>5</v>
      </c>
      <c r="AE11" s="3">
        <f t="shared" si="4"/>
        <v>5</v>
      </c>
      <c r="AF11" s="3">
        <f t="shared" si="5"/>
        <v>5.2</v>
      </c>
      <c r="AG11" s="3">
        <f t="shared" si="6"/>
        <v>5.2</v>
      </c>
      <c r="AH11" s="3">
        <f t="shared" si="7"/>
        <v>5.4</v>
      </c>
      <c r="AI11" s="3">
        <f t="shared" si="8"/>
        <v>5.4</v>
      </c>
    </row>
    <row r="12" spans="1:35" x14ac:dyDescent="0.2">
      <c r="A12" s="1">
        <v>10</v>
      </c>
      <c r="B12" s="1" t="s">
        <v>124</v>
      </c>
      <c r="C12" s="1"/>
      <c r="D12" s="22">
        <v>9.3108000000000004</v>
      </c>
      <c r="E12" s="22">
        <v>55.616999999999997</v>
      </c>
      <c r="F12" s="1"/>
      <c r="G12" s="2">
        <v>5</v>
      </c>
      <c r="H12" s="2">
        <v>5</v>
      </c>
      <c r="I12" s="2">
        <v>0</v>
      </c>
      <c r="J12" s="2">
        <v>0</v>
      </c>
      <c r="K12" s="11">
        <v>500</v>
      </c>
      <c r="L12" s="11">
        <v>500</v>
      </c>
      <c r="M12" s="2">
        <v>10</v>
      </c>
      <c r="N12" s="2">
        <v>100</v>
      </c>
      <c r="O12" s="2">
        <v>3</v>
      </c>
      <c r="P12" s="2">
        <v>5</v>
      </c>
      <c r="Q12" s="2">
        <v>5</v>
      </c>
      <c r="R12" s="2">
        <v>5.2</v>
      </c>
      <c r="S12" s="2">
        <v>5.2</v>
      </c>
      <c r="T12" s="2">
        <v>5.4</v>
      </c>
      <c r="U12" s="2">
        <v>5.4</v>
      </c>
      <c r="V12" s="3">
        <v>5</v>
      </c>
      <c r="W12" s="3">
        <v>5</v>
      </c>
      <c r="X12" s="3">
        <v>100</v>
      </c>
      <c r="Y12" s="3">
        <v>0</v>
      </c>
      <c r="Z12" s="3">
        <v>0</v>
      </c>
      <c r="AA12" s="3">
        <f t="shared" si="1"/>
        <v>10</v>
      </c>
      <c r="AB12" s="3">
        <v>0</v>
      </c>
      <c r="AC12" s="3">
        <f t="shared" si="2"/>
        <v>3</v>
      </c>
      <c r="AD12" s="3">
        <f t="shared" si="3"/>
        <v>5</v>
      </c>
      <c r="AE12" s="3">
        <f t="shared" si="4"/>
        <v>5</v>
      </c>
      <c r="AF12" s="3">
        <f t="shared" si="5"/>
        <v>5.2</v>
      </c>
      <c r="AG12" s="3">
        <f t="shared" si="6"/>
        <v>5.2</v>
      </c>
      <c r="AH12" s="3">
        <f t="shared" si="7"/>
        <v>5.4</v>
      </c>
      <c r="AI12" s="3">
        <f t="shared" si="8"/>
        <v>5.4</v>
      </c>
    </row>
    <row r="13" spans="1:35" x14ac:dyDescent="0.2">
      <c r="A13" s="1">
        <v>11</v>
      </c>
      <c r="B13" s="1" t="s">
        <v>125</v>
      </c>
      <c r="C13" s="1"/>
      <c r="D13" s="22">
        <v>10.7951</v>
      </c>
      <c r="E13" s="22">
        <v>55.286999999999999</v>
      </c>
      <c r="F13" s="1"/>
      <c r="G13" s="2">
        <v>5</v>
      </c>
      <c r="H13" s="2">
        <v>5</v>
      </c>
      <c r="I13" s="2">
        <v>0</v>
      </c>
      <c r="J13" s="2">
        <v>0</v>
      </c>
      <c r="K13" s="11">
        <v>500</v>
      </c>
      <c r="L13" s="11">
        <v>500</v>
      </c>
      <c r="M13" s="2">
        <v>10</v>
      </c>
      <c r="N13" s="2">
        <v>100</v>
      </c>
      <c r="O13" s="2">
        <v>3</v>
      </c>
      <c r="P13" s="2">
        <v>5</v>
      </c>
      <c r="Q13" s="2">
        <v>5</v>
      </c>
      <c r="R13" s="2">
        <v>5.2</v>
      </c>
      <c r="S13" s="2">
        <v>5.2</v>
      </c>
      <c r="T13" s="2">
        <v>5.4</v>
      </c>
      <c r="U13" s="2">
        <v>5.4</v>
      </c>
      <c r="V13" s="3">
        <v>5</v>
      </c>
      <c r="W13" s="3">
        <v>5</v>
      </c>
      <c r="X13" s="3">
        <v>100</v>
      </c>
      <c r="Y13" s="3">
        <v>0</v>
      </c>
      <c r="Z13" s="3">
        <v>0</v>
      </c>
      <c r="AA13" s="3">
        <f t="shared" si="1"/>
        <v>10</v>
      </c>
      <c r="AB13" s="3">
        <v>0</v>
      </c>
      <c r="AC13" s="3">
        <f t="shared" si="2"/>
        <v>3</v>
      </c>
      <c r="AD13" s="3">
        <f t="shared" si="3"/>
        <v>5</v>
      </c>
      <c r="AE13" s="3">
        <f t="shared" si="4"/>
        <v>5</v>
      </c>
      <c r="AF13" s="3">
        <f t="shared" si="5"/>
        <v>5.2</v>
      </c>
      <c r="AG13" s="3">
        <f t="shared" si="6"/>
        <v>5.2</v>
      </c>
      <c r="AH13" s="3">
        <f t="shared" si="7"/>
        <v>5.4</v>
      </c>
      <c r="AI13" s="3">
        <f t="shared" si="8"/>
        <v>5.4</v>
      </c>
    </row>
    <row r="14" spans="1:35" x14ac:dyDescent="0.2">
      <c r="A14" s="1">
        <v>12</v>
      </c>
      <c r="B14" s="1" t="s">
        <v>126</v>
      </c>
      <c r="C14" s="1"/>
      <c r="D14" s="22">
        <v>11.2102</v>
      </c>
      <c r="E14" s="22">
        <v>55.389000000000003</v>
      </c>
      <c r="F14" s="1"/>
      <c r="G14" s="2">
        <v>5</v>
      </c>
      <c r="H14" s="2">
        <v>5</v>
      </c>
      <c r="I14" s="2">
        <v>0</v>
      </c>
      <c r="J14" s="2">
        <v>0</v>
      </c>
      <c r="K14" s="11">
        <v>500</v>
      </c>
      <c r="L14" s="11">
        <v>500</v>
      </c>
      <c r="M14" s="2">
        <v>10</v>
      </c>
      <c r="N14" s="2">
        <v>100</v>
      </c>
      <c r="O14" s="2">
        <v>3</v>
      </c>
      <c r="P14" s="2">
        <v>5</v>
      </c>
      <c r="Q14" s="2">
        <v>5</v>
      </c>
      <c r="R14" s="2">
        <v>5.2</v>
      </c>
      <c r="S14" s="2">
        <v>5.2</v>
      </c>
      <c r="T14" s="2">
        <v>5.4</v>
      </c>
      <c r="U14" s="2">
        <v>5.4</v>
      </c>
      <c r="V14" s="3">
        <v>5</v>
      </c>
      <c r="W14" s="3">
        <v>5</v>
      </c>
      <c r="X14" s="3">
        <v>100</v>
      </c>
      <c r="Y14" s="3">
        <v>0</v>
      </c>
      <c r="Z14" s="3">
        <v>0</v>
      </c>
      <c r="AA14" s="3">
        <f t="shared" si="1"/>
        <v>10</v>
      </c>
      <c r="AB14" s="3">
        <v>0</v>
      </c>
      <c r="AC14" s="3">
        <f t="shared" si="2"/>
        <v>3</v>
      </c>
      <c r="AD14" s="3">
        <f t="shared" si="3"/>
        <v>5</v>
      </c>
      <c r="AE14" s="3">
        <f t="shared" si="4"/>
        <v>5</v>
      </c>
      <c r="AF14" s="3">
        <f t="shared" si="5"/>
        <v>5.2</v>
      </c>
      <c r="AG14" s="3">
        <f t="shared" si="6"/>
        <v>5.2</v>
      </c>
      <c r="AH14" s="3">
        <f t="shared" si="7"/>
        <v>5.4</v>
      </c>
      <c r="AI14" s="3">
        <f t="shared" si="8"/>
        <v>5.4</v>
      </c>
    </row>
    <row r="15" spans="1:35" x14ac:dyDescent="0.2">
      <c r="A15" s="1">
        <v>13</v>
      </c>
      <c r="B15" s="1" t="s">
        <v>80</v>
      </c>
      <c r="C15" s="1"/>
      <c r="D15" s="16">
        <v>6.4412580000000617</v>
      </c>
      <c r="E15" s="16">
        <v>64.233255000000042</v>
      </c>
      <c r="F15" s="1" t="s">
        <v>322</v>
      </c>
      <c r="G15" s="2">
        <v>5</v>
      </c>
      <c r="H15" s="2">
        <v>5</v>
      </c>
      <c r="I15" s="2">
        <v>0</v>
      </c>
      <c r="J15" s="2">
        <v>48.064999999999998</v>
      </c>
      <c r="K15" s="11">
        <v>500</v>
      </c>
      <c r="L15" s="11">
        <v>500</v>
      </c>
      <c r="M15" s="2">
        <v>10</v>
      </c>
      <c r="N15" s="2">
        <v>100</v>
      </c>
      <c r="O15" s="2">
        <v>3</v>
      </c>
      <c r="P15" s="2">
        <v>5</v>
      </c>
      <c r="Q15" s="2">
        <v>5</v>
      </c>
      <c r="R15" s="2">
        <v>5.2</v>
      </c>
      <c r="S15" s="2">
        <v>5.2</v>
      </c>
      <c r="T15" s="2">
        <v>5.4</v>
      </c>
      <c r="U15" s="2">
        <v>5.4</v>
      </c>
      <c r="V15" s="3">
        <v>5</v>
      </c>
      <c r="W15" s="3">
        <v>5</v>
      </c>
      <c r="X15" s="3">
        <v>100</v>
      </c>
      <c r="Y15" s="3">
        <v>0</v>
      </c>
      <c r="Z15" s="3">
        <v>0</v>
      </c>
      <c r="AA15" s="3">
        <f t="shared" si="1"/>
        <v>10</v>
      </c>
      <c r="AB15" s="3">
        <v>0</v>
      </c>
      <c r="AC15" s="3">
        <f t="shared" si="2"/>
        <v>3</v>
      </c>
      <c r="AD15" s="3">
        <f t="shared" si="3"/>
        <v>5</v>
      </c>
      <c r="AE15" s="3">
        <f t="shared" si="4"/>
        <v>5</v>
      </c>
      <c r="AF15" s="3">
        <f t="shared" si="5"/>
        <v>5.2</v>
      </c>
      <c r="AG15" s="3">
        <f t="shared" si="6"/>
        <v>5.2</v>
      </c>
      <c r="AH15" s="3">
        <f t="shared" si="7"/>
        <v>5.4</v>
      </c>
      <c r="AI15" s="3">
        <f t="shared" si="8"/>
        <v>5.4</v>
      </c>
    </row>
    <row r="16" spans="1:35" x14ac:dyDescent="0.2">
      <c r="A16" s="1">
        <v>14</v>
      </c>
      <c r="B16" s="1" t="s">
        <v>79</v>
      </c>
      <c r="C16" s="1"/>
      <c r="D16" s="16">
        <v>7.7910261052919596</v>
      </c>
      <c r="E16" s="16">
        <v>64.350567591210293</v>
      </c>
      <c r="F16" s="1"/>
      <c r="G16" s="2">
        <v>5</v>
      </c>
      <c r="H16" s="2">
        <v>5</v>
      </c>
      <c r="I16" s="2">
        <v>0</v>
      </c>
      <c r="J16" s="2">
        <v>48.064999999999998</v>
      </c>
      <c r="K16" s="11">
        <v>500</v>
      </c>
      <c r="L16" s="11">
        <v>500</v>
      </c>
      <c r="M16" s="2">
        <v>10</v>
      </c>
      <c r="N16" s="2">
        <v>100</v>
      </c>
      <c r="O16" s="2">
        <v>3</v>
      </c>
      <c r="P16" s="2">
        <v>5</v>
      </c>
      <c r="Q16" s="2">
        <v>5</v>
      </c>
      <c r="R16" s="2">
        <v>5.2</v>
      </c>
      <c r="S16" s="2">
        <v>5.2</v>
      </c>
      <c r="T16" s="2">
        <v>5.4</v>
      </c>
      <c r="U16" s="2">
        <v>5.4</v>
      </c>
      <c r="V16" s="3">
        <v>5</v>
      </c>
      <c r="W16" s="3">
        <v>5</v>
      </c>
      <c r="X16" s="3">
        <v>100</v>
      </c>
      <c r="Y16" s="3">
        <v>0</v>
      </c>
      <c r="Z16" s="3">
        <v>0</v>
      </c>
      <c r="AA16" s="3">
        <f t="shared" si="1"/>
        <v>10</v>
      </c>
      <c r="AB16" s="3">
        <v>0</v>
      </c>
      <c r="AC16" s="3">
        <f t="shared" si="2"/>
        <v>3</v>
      </c>
      <c r="AD16" s="3">
        <f t="shared" si="3"/>
        <v>5</v>
      </c>
      <c r="AE16" s="3">
        <f t="shared" si="4"/>
        <v>5</v>
      </c>
      <c r="AF16" s="3">
        <f t="shared" si="5"/>
        <v>5.2</v>
      </c>
      <c r="AG16" s="3">
        <f t="shared" si="6"/>
        <v>5.2</v>
      </c>
      <c r="AH16" s="3">
        <f t="shared" si="7"/>
        <v>5.4</v>
      </c>
      <c r="AI16" s="3">
        <f t="shared" si="8"/>
        <v>5.4</v>
      </c>
    </row>
    <row r="17" spans="1:35" x14ac:dyDescent="0.2">
      <c r="A17" s="1">
        <v>15</v>
      </c>
      <c r="B17" s="1" t="s">
        <v>106</v>
      </c>
      <c r="C17" s="1"/>
      <c r="D17" s="22">
        <v>2.4644041660536331</v>
      </c>
      <c r="E17" s="22">
        <v>58.188149017412513</v>
      </c>
      <c r="F17" s="1"/>
      <c r="G17" s="2">
        <v>5</v>
      </c>
      <c r="H17" s="2">
        <v>5</v>
      </c>
      <c r="I17" s="2">
        <v>0</v>
      </c>
      <c r="J17" s="2">
        <v>0</v>
      </c>
      <c r="K17" s="11">
        <v>500</v>
      </c>
      <c r="L17" s="11">
        <v>500</v>
      </c>
      <c r="M17" s="2">
        <v>10</v>
      </c>
      <c r="N17" s="2">
        <v>100</v>
      </c>
      <c r="O17" s="2">
        <v>3</v>
      </c>
      <c r="P17" s="2">
        <v>5</v>
      </c>
      <c r="Q17" s="2">
        <v>5</v>
      </c>
      <c r="R17" s="2">
        <v>5.2</v>
      </c>
      <c r="S17" s="2">
        <v>5.2</v>
      </c>
      <c r="T17" s="2">
        <v>5.4</v>
      </c>
      <c r="U17" s="2">
        <v>5.4</v>
      </c>
      <c r="V17" s="3">
        <v>5</v>
      </c>
      <c r="W17" s="3">
        <v>5</v>
      </c>
      <c r="X17" s="3">
        <v>100</v>
      </c>
      <c r="Y17" s="3">
        <v>0</v>
      </c>
      <c r="Z17" s="3">
        <v>0</v>
      </c>
      <c r="AA17" s="3">
        <f t="shared" si="1"/>
        <v>10</v>
      </c>
      <c r="AB17" s="3">
        <v>0</v>
      </c>
      <c r="AC17" s="3">
        <f t="shared" si="2"/>
        <v>3</v>
      </c>
      <c r="AD17" s="3">
        <f t="shared" si="3"/>
        <v>5</v>
      </c>
      <c r="AE17" s="3">
        <f t="shared" si="4"/>
        <v>5</v>
      </c>
      <c r="AF17" s="3">
        <f t="shared" si="5"/>
        <v>5.2</v>
      </c>
      <c r="AG17" s="3">
        <f t="shared" si="6"/>
        <v>5.2</v>
      </c>
      <c r="AH17" s="3">
        <f t="shared" si="7"/>
        <v>5.4</v>
      </c>
      <c r="AI17" s="3">
        <f t="shared" si="8"/>
        <v>5.4</v>
      </c>
    </row>
    <row r="18" spans="1:35" x14ac:dyDescent="0.2">
      <c r="A18" s="1">
        <v>16</v>
      </c>
      <c r="B18" s="1" t="s">
        <v>107</v>
      </c>
      <c r="C18" s="1"/>
      <c r="D18" s="22">
        <v>2.4737329746028802</v>
      </c>
      <c r="E18" s="22">
        <v>58.184409229014761</v>
      </c>
      <c r="F18" s="1"/>
      <c r="G18" s="2">
        <v>5</v>
      </c>
      <c r="H18" s="2">
        <v>5</v>
      </c>
      <c r="I18" s="2">
        <v>0</v>
      </c>
      <c r="J18" s="2">
        <v>0</v>
      </c>
      <c r="K18" s="11">
        <v>500</v>
      </c>
      <c r="L18" s="11">
        <v>500</v>
      </c>
      <c r="M18" s="2">
        <v>10</v>
      </c>
      <c r="N18" s="2">
        <v>100</v>
      </c>
      <c r="O18" s="2">
        <v>3</v>
      </c>
      <c r="P18" s="2">
        <v>5</v>
      </c>
      <c r="Q18" s="2">
        <v>5</v>
      </c>
      <c r="R18" s="2">
        <v>5.2</v>
      </c>
      <c r="S18" s="2">
        <v>5.2</v>
      </c>
      <c r="T18" s="2">
        <v>5.4</v>
      </c>
      <c r="U18" s="2">
        <v>5.4</v>
      </c>
      <c r="V18" s="3">
        <v>5</v>
      </c>
      <c r="W18" s="3">
        <v>5</v>
      </c>
      <c r="X18" s="3">
        <v>100</v>
      </c>
      <c r="Y18" s="3">
        <v>0</v>
      </c>
      <c r="Z18" s="3">
        <v>0</v>
      </c>
      <c r="AA18" s="3">
        <f t="shared" si="1"/>
        <v>10</v>
      </c>
      <c r="AB18" s="3">
        <v>0</v>
      </c>
      <c r="AC18" s="3">
        <f t="shared" si="2"/>
        <v>3</v>
      </c>
      <c r="AD18" s="3">
        <f t="shared" si="3"/>
        <v>5</v>
      </c>
      <c r="AE18" s="3">
        <f t="shared" si="4"/>
        <v>5</v>
      </c>
      <c r="AF18" s="3">
        <f t="shared" si="5"/>
        <v>5.2</v>
      </c>
      <c r="AG18" s="3">
        <f t="shared" si="6"/>
        <v>5.2</v>
      </c>
      <c r="AH18" s="3">
        <f t="shared" si="7"/>
        <v>5.4</v>
      </c>
      <c r="AI18" s="3">
        <f t="shared" si="8"/>
        <v>5.4</v>
      </c>
    </row>
    <row r="19" spans="1:35" x14ac:dyDescent="0.2">
      <c r="A19" s="1">
        <v>17</v>
      </c>
      <c r="B19" s="1" t="s">
        <v>122</v>
      </c>
      <c r="C19" s="1" t="s">
        <v>335</v>
      </c>
      <c r="D19" s="22">
        <v>2.252709000000038</v>
      </c>
      <c r="E19" s="22">
        <v>51.046406000000047</v>
      </c>
      <c r="F19" s="1"/>
      <c r="G19" s="2">
        <v>5</v>
      </c>
      <c r="H19" s="2">
        <v>5</v>
      </c>
      <c r="I19" s="2">
        <v>0</v>
      </c>
      <c r="J19" s="29">
        <v>1214.5999999999999</v>
      </c>
      <c r="K19" s="11">
        <v>500</v>
      </c>
      <c r="L19" s="11">
        <v>500</v>
      </c>
      <c r="M19" s="2">
        <v>10</v>
      </c>
      <c r="N19" s="2">
        <v>100</v>
      </c>
      <c r="O19" s="2">
        <v>2.9990000000000001</v>
      </c>
      <c r="P19" s="2">
        <v>5</v>
      </c>
      <c r="Q19" s="2">
        <v>5</v>
      </c>
      <c r="R19" s="2">
        <v>5.2</v>
      </c>
      <c r="S19" s="2">
        <v>5.2</v>
      </c>
      <c r="T19" s="2">
        <v>5.4</v>
      </c>
      <c r="U19" s="2">
        <v>5.4</v>
      </c>
      <c r="V19" s="3">
        <v>5</v>
      </c>
      <c r="W19" s="3">
        <v>5</v>
      </c>
      <c r="X19" s="3">
        <v>100</v>
      </c>
      <c r="Y19" s="3">
        <v>0</v>
      </c>
      <c r="Z19" s="3">
        <v>0</v>
      </c>
      <c r="AA19" s="3">
        <f t="shared" si="1"/>
        <v>10</v>
      </c>
      <c r="AB19" s="3">
        <v>0</v>
      </c>
      <c r="AC19" s="3">
        <f t="shared" si="2"/>
        <v>2.9990000000000001</v>
      </c>
      <c r="AD19" s="3">
        <f t="shared" si="3"/>
        <v>5</v>
      </c>
      <c r="AE19" s="3">
        <f t="shared" si="4"/>
        <v>5</v>
      </c>
      <c r="AF19" s="3">
        <f t="shared" si="5"/>
        <v>5.2</v>
      </c>
      <c r="AG19" s="3">
        <f t="shared" si="6"/>
        <v>5.2</v>
      </c>
      <c r="AH19" s="3">
        <f t="shared" si="7"/>
        <v>5.4</v>
      </c>
      <c r="AI19" s="3">
        <f t="shared" si="8"/>
        <v>5.4</v>
      </c>
    </row>
    <row r="20" spans="1:35" x14ac:dyDescent="0.2">
      <c r="A20" s="1">
        <v>18</v>
      </c>
      <c r="B20" s="1" t="s">
        <v>119</v>
      </c>
      <c r="C20" s="1" t="s">
        <v>335</v>
      </c>
      <c r="D20" s="22">
        <v>0.1160310000000209</v>
      </c>
      <c r="E20" s="22">
        <v>53.659231000000027</v>
      </c>
      <c r="F20" s="1"/>
      <c r="G20" s="2">
        <v>5</v>
      </c>
      <c r="H20" s="2">
        <v>5</v>
      </c>
      <c r="I20" s="2">
        <v>0</v>
      </c>
      <c r="J20" s="2">
        <v>0</v>
      </c>
      <c r="K20" s="11">
        <v>500</v>
      </c>
      <c r="L20" s="11">
        <v>500</v>
      </c>
      <c r="M20" s="2">
        <v>10</v>
      </c>
      <c r="N20" s="2">
        <v>100</v>
      </c>
      <c r="O20" s="2">
        <v>2.9990000000000001</v>
      </c>
      <c r="P20" s="2">
        <v>5</v>
      </c>
      <c r="Q20" s="2">
        <v>5</v>
      </c>
      <c r="R20" s="2">
        <v>5.2</v>
      </c>
      <c r="S20" s="2">
        <v>5.2</v>
      </c>
      <c r="T20" s="2">
        <v>5.4</v>
      </c>
      <c r="U20" s="2">
        <v>5.4</v>
      </c>
      <c r="V20" s="3">
        <v>5</v>
      </c>
      <c r="W20" s="3">
        <v>5</v>
      </c>
      <c r="X20" s="3">
        <v>100</v>
      </c>
      <c r="Y20" s="3">
        <v>0</v>
      </c>
      <c r="Z20" s="3">
        <v>0</v>
      </c>
      <c r="AA20" s="3">
        <f t="shared" si="1"/>
        <v>10</v>
      </c>
      <c r="AB20" s="3">
        <v>0</v>
      </c>
      <c r="AC20" s="3">
        <f t="shared" si="2"/>
        <v>2.9990000000000001</v>
      </c>
      <c r="AD20" s="3">
        <f t="shared" si="3"/>
        <v>5</v>
      </c>
      <c r="AE20" s="3">
        <f t="shared" si="4"/>
        <v>5</v>
      </c>
      <c r="AF20" s="3">
        <f t="shared" si="5"/>
        <v>5.2</v>
      </c>
      <c r="AG20" s="3">
        <f t="shared" si="6"/>
        <v>5.2</v>
      </c>
      <c r="AH20" s="3">
        <f t="shared" si="7"/>
        <v>5.4</v>
      </c>
      <c r="AI20" s="3">
        <f t="shared" si="8"/>
        <v>5.4</v>
      </c>
    </row>
    <row r="21" spans="1:35" x14ac:dyDescent="0.2">
      <c r="A21" s="1">
        <v>19</v>
      </c>
      <c r="B21" s="1" t="s">
        <v>98</v>
      </c>
      <c r="C21" s="1"/>
      <c r="D21" s="16">
        <v>1.3911370790000319</v>
      </c>
      <c r="E21" s="16">
        <v>59.47797846900005</v>
      </c>
      <c r="F21" s="1" t="s">
        <v>322</v>
      </c>
      <c r="G21" s="2">
        <v>5</v>
      </c>
      <c r="H21" s="2">
        <v>5</v>
      </c>
      <c r="I21" s="2">
        <v>0</v>
      </c>
      <c r="J21" s="2">
        <v>48.064999999999998</v>
      </c>
      <c r="K21" s="11">
        <v>500</v>
      </c>
      <c r="L21" s="11">
        <v>500</v>
      </c>
      <c r="M21" s="2">
        <v>10</v>
      </c>
      <c r="N21" s="2">
        <v>100</v>
      </c>
      <c r="O21" s="2">
        <v>3</v>
      </c>
      <c r="P21" s="2">
        <v>5</v>
      </c>
      <c r="Q21" s="2">
        <v>5</v>
      </c>
      <c r="R21" s="2">
        <v>5.2</v>
      </c>
      <c r="S21" s="2">
        <v>5.2</v>
      </c>
      <c r="T21" s="2">
        <v>5.4</v>
      </c>
      <c r="U21" s="2">
        <v>5.4</v>
      </c>
      <c r="V21" s="3">
        <v>5</v>
      </c>
      <c r="W21" s="3">
        <v>5</v>
      </c>
      <c r="X21" s="3">
        <v>100</v>
      </c>
      <c r="Y21" s="3">
        <v>0</v>
      </c>
      <c r="Z21" s="3">
        <v>0</v>
      </c>
      <c r="AA21" s="3">
        <f t="shared" si="1"/>
        <v>10</v>
      </c>
      <c r="AB21" s="3">
        <v>0</v>
      </c>
      <c r="AC21" s="3">
        <f t="shared" si="2"/>
        <v>3</v>
      </c>
      <c r="AD21" s="3">
        <f t="shared" si="3"/>
        <v>5</v>
      </c>
      <c r="AE21" s="3">
        <f t="shared" si="4"/>
        <v>5</v>
      </c>
      <c r="AF21" s="3">
        <f t="shared" si="5"/>
        <v>5.2</v>
      </c>
      <c r="AG21" s="3">
        <f t="shared" si="6"/>
        <v>5.2</v>
      </c>
      <c r="AH21" s="3">
        <f t="shared" si="7"/>
        <v>5.4</v>
      </c>
      <c r="AI21" s="3">
        <f t="shared" si="8"/>
        <v>5.4</v>
      </c>
    </row>
    <row r="22" spans="1:35" x14ac:dyDescent="0.2">
      <c r="A22" s="1">
        <v>20</v>
      </c>
      <c r="B22" s="1" t="s">
        <v>110</v>
      </c>
      <c r="C22" s="1"/>
      <c r="D22" s="39">
        <v>3.23</v>
      </c>
      <c r="E22" s="39">
        <v>56.55</v>
      </c>
      <c r="F22" s="1"/>
      <c r="G22" s="2">
        <v>5</v>
      </c>
      <c r="H22" s="2">
        <v>5</v>
      </c>
      <c r="I22" s="2">
        <v>0</v>
      </c>
      <c r="J22" s="2">
        <v>578.78499999999997</v>
      </c>
      <c r="K22" s="11">
        <v>500</v>
      </c>
      <c r="L22" s="11">
        <v>500</v>
      </c>
      <c r="M22" s="2">
        <v>10</v>
      </c>
      <c r="N22" s="2">
        <v>100</v>
      </c>
      <c r="O22" s="2">
        <v>3</v>
      </c>
      <c r="P22" s="2">
        <v>5</v>
      </c>
      <c r="Q22" s="2">
        <v>5</v>
      </c>
      <c r="R22" s="2">
        <v>5.2</v>
      </c>
      <c r="S22" s="2">
        <v>5.2</v>
      </c>
      <c r="T22" s="2">
        <v>5.4</v>
      </c>
      <c r="U22" s="2">
        <v>5.4</v>
      </c>
      <c r="V22" s="3">
        <v>5</v>
      </c>
      <c r="W22" s="3">
        <v>5</v>
      </c>
      <c r="X22" s="3">
        <v>100</v>
      </c>
      <c r="Y22" s="3">
        <v>0</v>
      </c>
      <c r="Z22" s="3">
        <v>0</v>
      </c>
      <c r="AA22" s="3">
        <f t="shared" si="1"/>
        <v>10</v>
      </c>
      <c r="AB22" s="3">
        <v>0</v>
      </c>
      <c r="AC22" s="3">
        <f t="shared" si="2"/>
        <v>3</v>
      </c>
      <c r="AD22" s="3">
        <f t="shared" si="3"/>
        <v>5</v>
      </c>
      <c r="AE22" s="3">
        <f t="shared" si="4"/>
        <v>5</v>
      </c>
      <c r="AF22" s="3">
        <f t="shared" si="5"/>
        <v>5.2</v>
      </c>
      <c r="AG22" s="3">
        <f t="shared" si="6"/>
        <v>5.2</v>
      </c>
      <c r="AH22" s="3">
        <f t="shared" si="7"/>
        <v>5.4</v>
      </c>
      <c r="AI22" s="3">
        <f t="shared" si="8"/>
        <v>5.4</v>
      </c>
    </row>
    <row r="23" spans="1:35" x14ac:dyDescent="0.2">
      <c r="A23" s="1">
        <v>21</v>
      </c>
      <c r="B23" s="1" t="s">
        <v>334</v>
      </c>
      <c r="C23" s="1" t="s">
        <v>335</v>
      </c>
      <c r="D23" s="22">
        <v>7.3264200000000406</v>
      </c>
      <c r="E23" s="22">
        <v>53.679700000000082</v>
      </c>
      <c r="F23" s="1"/>
      <c r="G23" s="2">
        <v>5</v>
      </c>
      <c r="H23" s="2">
        <v>5</v>
      </c>
      <c r="I23" s="2">
        <v>0</v>
      </c>
      <c r="J23" s="2">
        <v>0</v>
      </c>
      <c r="K23" s="11">
        <v>500</v>
      </c>
      <c r="L23" s="11">
        <v>500</v>
      </c>
      <c r="M23" s="2">
        <v>10</v>
      </c>
      <c r="N23" s="2">
        <v>100</v>
      </c>
      <c r="O23" s="2">
        <v>2.9990000000000001</v>
      </c>
      <c r="P23" s="2">
        <v>5</v>
      </c>
      <c r="Q23" s="2">
        <v>5</v>
      </c>
      <c r="R23" s="2">
        <v>5.2</v>
      </c>
      <c r="S23" s="2">
        <v>5.2</v>
      </c>
      <c r="T23" s="2">
        <v>5.4</v>
      </c>
      <c r="U23" s="2">
        <v>5.4</v>
      </c>
      <c r="V23" s="3">
        <v>5</v>
      </c>
      <c r="W23" s="3">
        <v>5</v>
      </c>
      <c r="X23" s="3">
        <v>100</v>
      </c>
      <c r="Y23" s="3">
        <v>0</v>
      </c>
      <c r="Z23" s="3">
        <v>0</v>
      </c>
      <c r="AA23" s="3">
        <f t="shared" si="1"/>
        <v>10</v>
      </c>
      <c r="AB23" s="3">
        <v>0</v>
      </c>
      <c r="AC23" s="3">
        <f t="shared" si="2"/>
        <v>2.9990000000000001</v>
      </c>
      <c r="AD23" s="3">
        <f t="shared" si="3"/>
        <v>5</v>
      </c>
      <c r="AE23" s="3">
        <f t="shared" si="4"/>
        <v>5</v>
      </c>
      <c r="AF23" s="3">
        <f t="shared" si="5"/>
        <v>5.2</v>
      </c>
      <c r="AG23" s="3">
        <f t="shared" si="6"/>
        <v>5.2</v>
      </c>
      <c r="AH23" s="3">
        <f t="shared" si="7"/>
        <v>5.4</v>
      </c>
      <c r="AI23" s="3">
        <f t="shared" si="8"/>
        <v>5.4</v>
      </c>
    </row>
    <row r="24" spans="1:35" x14ac:dyDescent="0.2">
      <c r="A24" s="1">
        <v>22</v>
      </c>
      <c r="B24" s="1" t="s">
        <v>120</v>
      </c>
      <c r="C24" s="1" t="s">
        <v>335</v>
      </c>
      <c r="D24" s="16">
        <v>7.1892900000000282</v>
      </c>
      <c r="E24" s="16">
        <v>53.346200000000067</v>
      </c>
      <c r="F24" s="1"/>
      <c r="G24" s="2">
        <v>5</v>
      </c>
      <c r="H24" s="2">
        <v>5</v>
      </c>
      <c r="I24" s="2">
        <v>0</v>
      </c>
      <c r="J24" s="2">
        <v>0</v>
      </c>
      <c r="K24" s="11">
        <v>500</v>
      </c>
      <c r="L24" s="11">
        <v>500</v>
      </c>
      <c r="M24" s="2">
        <v>10</v>
      </c>
      <c r="N24" s="2">
        <v>100</v>
      </c>
      <c r="O24" s="2">
        <v>2.9990000000000001</v>
      </c>
      <c r="P24" s="2">
        <v>5</v>
      </c>
      <c r="Q24" s="2">
        <v>5</v>
      </c>
      <c r="R24" s="2">
        <v>5.2</v>
      </c>
      <c r="S24" s="2">
        <v>5.2</v>
      </c>
      <c r="T24" s="2">
        <v>5.4</v>
      </c>
      <c r="U24" s="2">
        <v>5.4</v>
      </c>
      <c r="V24" s="3">
        <v>5</v>
      </c>
      <c r="W24" s="3">
        <v>5</v>
      </c>
      <c r="X24" s="3">
        <v>100</v>
      </c>
      <c r="Y24" s="3">
        <v>0</v>
      </c>
      <c r="Z24" s="3">
        <v>0</v>
      </c>
      <c r="AA24" s="3">
        <f t="shared" si="1"/>
        <v>10</v>
      </c>
      <c r="AB24" s="3">
        <v>0</v>
      </c>
      <c r="AC24" s="3">
        <f t="shared" si="2"/>
        <v>2.9990000000000001</v>
      </c>
      <c r="AD24" s="3">
        <f t="shared" si="3"/>
        <v>5</v>
      </c>
      <c r="AE24" s="3">
        <f t="shared" si="4"/>
        <v>5</v>
      </c>
      <c r="AF24" s="3">
        <f t="shared" si="5"/>
        <v>5.2</v>
      </c>
      <c r="AG24" s="3">
        <f t="shared" si="6"/>
        <v>5.2</v>
      </c>
      <c r="AH24" s="3">
        <f t="shared" si="7"/>
        <v>5.4</v>
      </c>
      <c r="AI24" s="3">
        <f t="shared" si="8"/>
        <v>5.4</v>
      </c>
    </row>
    <row r="25" spans="1:35" x14ac:dyDescent="0.2">
      <c r="A25" s="1">
        <v>23</v>
      </c>
      <c r="B25" s="1" t="s">
        <v>118</v>
      </c>
      <c r="C25" s="1"/>
      <c r="D25" s="23">
        <v>4.2226220000000581</v>
      </c>
      <c r="E25" s="23">
        <v>55.706969000000072</v>
      </c>
      <c r="F25" s="1"/>
      <c r="G25" s="2">
        <v>5</v>
      </c>
      <c r="H25" s="2">
        <v>5</v>
      </c>
      <c r="I25" s="2">
        <v>0</v>
      </c>
      <c r="J25" s="2">
        <v>0</v>
      </c>
      <c r="K25" s="11">
        <v>500</v>
      </c>
      <c r="L25" s="11">
        <v>500</v>
      </c>
      <c r="M25" s="2">
        <v>10</v>
      </c>
      <c r="N25" s="2">
        <v>100</v>
      </c>
      <c r="O25" s="2">
        <v>3</v>
      </c>
      <c r="P25" s="2">
        <v>5</v>
      </c>
      <c r="Q25" s="2">
        <v>5</v>
      </c>
      <c r="R25" s="2">
        <v>5.2</v>
      </c>
      <c r="S25" s="2">
        <v>5.2</v>
      </c>
      <c r="T25" s="2">
        <v>5.4</v>
      </c>
      <c r="U25" s="2">
        <v>5.4</v>
      </c>
      <c r="V25" s="3">
        <v>5</v>
      </c>
      <c r="W25" s="3">
        <v>5</v>
      </c>
      <c r="X25" s="3">
        <v>100</v>
      </c>
      <c r="Y25" s="3">
        <v>0</v>
      </c>
      <c r="Z25" s="3">
        <v>0</v>
      </c>
      <c r="AA25" s="3">
        <f t="shared" si="1"/>
        <v>10</v>
      </c>
      <c r="AB25" s="3">
        <v>0</v>
      </c>
      <c r="AC25" s="3">
        <f t="shared" si="2"/>
        <v>3</v>
      </c>
      <c r="AD25" s="3">
        <f t="shared" si="3"/>
        <v>5</v>
      </c>
      <c r="AE25" s="3">
        <f t="shared" si="4"/>
        <v>5</v>
      </c>
      <c r="AF25" s="3">
        <f t="shared" si="5"/>
        <v>5.2</v>
      </c>
      <c r="AG25" s="3">
        <f t="shared" si="6"/>
        <v>5.2</v>
      </c>
      <c r="AH25" s="3">
        <f t="shared" si="7"/>
        <v>5.4</v>
      </c>
      <c r="AI25" s="3">
        <f t="shared" si="8"/>
        <v>5.4</v>
      </c>
    </row>
    <row r="26" spans="1:35" x14ac:dyDescent="0.2">
      <c r="A26" s="1">
        <v>24</v>
      </c>
      <c r="B26" s="1" t="s">
        <v>88</v>
      </c>
      <c r="C26" s="1"/>
      <c r="D26" s="16">
        <v>1.700189114000068</v>
      </c>
      <c r="E26" s="16">
        <v>61.022018433000028</v>
      </c>
      <c r="F26" s="1"/>
      <c r="G26" s="2">
        <v>5</v>
      </c>
      <c r="H26" s="2">
        <v>5</v>
      </c>
      <c r="I26" s="2">
        <v>0</v>
      </c>
      <c r="J26" s="2">
        <v>0</v>
      </c>
      <c r="K26" s="11">
        <v>500</v>
      </c>
      <c r="L26" s="11">
        <v>500</v>
      </c>
      <c r="M26" s="2">
        <v>10</v>
      </c>
      <c r="N26" s="2">
        <v>100</v>
      </c>
      <c r="O26" s="2">
        <v>3</v>
      </c>
      <c r="P26" s="2">
        <v>5</v>
      </c>
      <c r="Q26" s="2">
        <v>5</v>
      </c>
      <c r="R26" s="2">
        <v>5.2</v>
      </c>
      <c r="S26" s="2">
        <v>5.2</v>
      </c>
      <c r="T26" s="2">
        <v>5.4</v>
      </c>
      <c r="U26" s="2">
        <v>5.4</v>
      </c>
      <c r="V26" s="3">
        <v>5</v>
      </c>
      <c r="W26" s="3">
        <v>5</v>
      </c>
      <c r="X26" s="3">
        <v>100</v>
      </c>
      <c r="Y26" s="3">
        <v>0</v>
      </c>
      <c r="Z26" s="3">
        <v>0</v>
      </c>
      <c r="AA26" s="3">
        <f t="shared" si="1"/>
        <v>10</v>
      </c>
      <c r="AB26" s="3">
        <v>0</v>
      </c>
      <c r="AC26" s="3">
        <f t="shared" si="2"/>
        <v>3</v>
      </c>
      <c r="AD26" s="3">
        <f t="shared" si="3"/>
        <v>5</v>
      </c>
      <c r="AE26" s="3">
        <f t="shared" si="4"/>
        <v>5</v>
      </c>
      <c r="AF26" s="3">
        <f t="shared" si="5"/>
        <v>5.2</v>
      </c>
      <c r="AG26" s="3">
        <f t="shared" si="6"/>
        <v>5.2</v>
      </c>
      <c r="AH26" s="3">
        <f t="shared" si="7"/>
        <v>5.4</v>
      </c>
      <c r="AI26" s="3">
        <f t="shared" si="8"/>
        <v>5.4</v>
      </c>
    </row>
    <row r="27" spans="1:35" x14ac:dyDescent="0.2">
      <c r="A27" s="1">
        <v>25</v>
      </c>
      <c r="B27" s="1" t="s">
        <v>93</v>
      </c>
      <c r="C27" s="1"/>
      <c r="D27" s="16">
        <v>2.011387666028313</v>
      </c>
      <c r="E27" s="16">
        <v>60.502035307044537</v>
      </c>
      <c r="F27" s="1" t="s">
        <v>322</v>
      </c>
      <c r="G27" s="2">
        <v>5</v>
      </c>
      <c r="H27" s="2">
        <v>5</v>
      </c>
      <c r="I27" s="2">
        <v>0</v>
      </c>
      <c r="J27" s="2">
        <v>0</v>
      </c>
      <c r="K27" s="11">
        <v>500</v>
      </c>
      <c r="L27" s="11">
        <v>500</v>
      </c>
      <c r="M27" s="2">
        <v>10</v>
      </c>
      <c r="N27" s="2">
        <v>100</v>
      </c>
      <c r="O27" s="2">
        <v>3</v>
      </c>
      <c r="P27" s="2">
        <v>5</v>
      </c>
      <c r="Q27" s="2">
        <v>5</v>
      </c>
      <c r="R27" s="2">
        <v>5.2</v>
      </c>
      <c r="S27" s="2">
        <v>5.2</v>
      </c>
      <c r="T27" s="2">
        <v>5.4</v>
      </c>
      <c r="U27" s="2">
        <v>5.4</v>
      </c>
      <c r="V27" s="3">
        <v>5</v>
      </c>
      <c r="W27" s="3">
        <v>5</v>
      </c>
      <c r="X27" s="3">
        <v>100</v>
      </c>
      <c r="Y27" s="3">
        <v>0</v>
      </c>
      <c r="Z27" s="3">
        <v>0</v>
      </c>
      <c r="AA27" s="3">
        <f t="shared" si="1"/>
        <v>10</v>
      </c>
      <c r="AB27" s="3">
        <v>0</v>
      </c>
      <c r="AC27" s="3">
        <f t="shared" si="2"/>
        <v>3</v>
      </c>
      <c r="AD27" s="3">
        <f t="shared" si="3"/>
        <v>5</v>
      </c>
      <c r="AE27" s="3">
        <f t="shared" si="4"/>
        <v>5</v>
      </c>
      <c r="AF27" s="3">
        <f t="shared" si="5"/>
        <v>5.2</v>
      </c>
      <c r="AG27" s="3">
        <f t="shared" si="6"/>
        <v>5.2</v>
      </c>
      <c r="AH27" s="3">
        <f t="shared" si="7"/>
        <v>5.4</v>
      </c>
      <c r="AI27" s="3">
        <f t="shared" si="8"/>
        <v>5.4</v>
      </c>
    </row>
    <row r="28" spans="1:35" x14ac:dyDescent="0.2">
      <c r="A28" s="1">
        <v>26</v>
      </c>
      <c r="B28" s="1" t="s">
        <v>188</v>
      </c>
      <c r="C28" s="1"/>
      <c r="D28" s="16">
        <v>1.6999852660000561</v>
      </c>
      <c r="E28" s="16">
        <v>61.020797730000027</v>
      </c>
      <c r="F28" s="1" t="s">
        <v>322</v>
      </c>
      <c r="G28" s="2">
        <v>5</v>
      </c>
      <c r="H28" s="2">
        <v>5</v>
      </c>
      <c r="I28" s="2">
        <v>0</v>
      </c>
      <c r="J28" s="2">
        <v>2588.0810000000001</v>
      </c>
      <c r="K28" s="11">
        <v>500</v>
      </c>
      <c r="L28" s="11">
        <v>500</v>
      </c>
      <c r="M28" s="2">
        <v>10</v>
      </c>
      <c r="N28" s="2">
        <v>100</v>
      </c>
      <c r="O28" s="2">
        <v>3</v>
      </c>
      <c r="P28" s="2">
        <v>5</v>
      </c>
      <c r="Q28" s="2">
        <v>5</v>
      </c>
      <c r="R28" s="2">
        <v>5.2</v>
      </c>
      <c r="S28" s="2">
        <v>5.2</v>
      </c>
      <c r="T28" s="2">
        <v>5.4</v>
      </c>
      <c r="U28" s="2">
        <v>5.4</v>
      </c>
      <c r="V28" s="3">
        <v>5</v>
      </c>
      <c r="W28" s="3">
        <v>5</v>
      </c>
      <c r="X28" s="3">
        <v>100</v>
      </c>
      <c r="Y28" s="3">
        <v>0</v>
      </c>
      <c r="Z28" s="3">
        <v>0</v>
      </c>
      <c r="AA28" s="3">
        <f t="shared" si="1"/>
        <v>10</v>
      </c>
      <c r="AB28" s="3">
        <v>0</v>
      </c>
      <c r="AC28" s="3">
        <f t="shared" si="2"/>
        <v>3</v>
      </c>
      <c r="AD28" s="3">
        <f t="shared" si="3"/>
        <v>5</v>
      </c>
      <c r="AE28" s="3">
        <f t="shared" si="4"/>
        <v>5</v>
      </c>
      <c r="AF28" s="3">
        <f t="shared" si="5"/>
        <v>5.2</v>
      </c>
      <c r="AG28" s="3">
        <f t="shared" si="6"/>
        <v>5.2</v>
      </c>
      <c r="AH28" s="3">
        <f t="shared" si="7"/>
        <v>5.4</v>
      </c>
      <c r="AI28" s="3">
        <f t="shared" si="8"/>
        <v>5.4</v>
      </c>
    </row>
    <row r="29" spans="1:35" x14ac:dyDescent="0.2">
      <c r="A29" s="1">
        <v>27</v>
      </c>
      <c r="B29" s="1" t="s">
        <v>189</v>
      </c>
      <c r="C29" s="1"/>
      <c r="D29" s="16">
        <v>3.9049897926673558</v>
      </c>
      <c r="E29" s="16">
        <v>61.330193776287437</v>
      </c>
      <c r="F29" s="1" t="s">
        <v>322</v>
      </c>
      <c r="G29" s="2">
        <v>5</v>
      </c>
      <c r="H29" s="2">
        <v>5</v>
      </c>
      <c r="I29" s="2">
        <v>0</v>
      </c>
      <c r="J29" s="2">
        <v>2588.0810000000001</v>
      </c>
      <c r="K29" s="11">
        <v>500</v>
      </c>
      <c r="L29" s="11">
        <v>500</v>
      </c>
      <c r="M29" s="2">
        <v>10</v>
      </c>
      <c r="N29" s="2">
        <v>100</v>
      </c>
      <c r="O29" s="2">
        <v>3</v>
      </c>
      <c r="P29" s="2">
        <v>5</v>
      </c>
      <c r="Q29" s="2">
        <v>5</v>
      </c>
      <c r="R29" s="2">
        <v>5.2</v>
      </c>
      <c r="S29" s="2">
        <v>5.2</v>
      </c>
      <c r="T29" s="2">
        <v>5.4</v>
      </c>
      <c r="U29" s="2">
        <v>5.4</v>
      </c>
      <c r="V29" s="3">
        <v>5</v>
      </c>
      <c r="W29" s="3">
        <v>5</v>
      </c>
      <c r="X29" s="3">
        <v>100</v>
      </c>
      <c r="Y29" s="3">
        <v>0</v>
      </c>
      <c r="Z29" s="3">
        <v>0</v>
      </c>
      <c r="AA29" s="3">
        <f t="shared" si="1"/>
        <v>10</v>
      </c>
      <c r="AB29" s="3">
        <v>0</v>
      </c>
      <c r="AC29" s="3">
        <f t="shared" si="2"/>
        <v>3</v>
      </c>
      <c r="AD29" s="3">
        <f t="shared" si="3"/>
        <v>5</v>
      </c>
      <c r="AE29" s="3">
        <f t="shared" si="4"/>
        <v>5</v>
      </c>
      <c r="AF29" s="3">
        <f t="shared" si="5"/>
        <v>5.2</v>
      </c>
      <c r="AG29" s="3">
        <f t="shared" si="6"/>
        <v>5.2</v>
      </c>
      <c r="AH29" s="3">
        <f t="shared" si="7"/>
        <v>5.4</v>
      </c>
      <c r="AI29" s="3">
        <f t="shared" si="8"/>
        <v>5.4</v>
      </c>
    </row>
    <row r="30" spans="1:35" x14ac:dyDescent="0.2">
      <c r="A30" s="1">
        <v>28</v>
      </c>
      <c r="B30" s="1" t="s">
        <v>100</v>
      </c>
      <c r="C30" s="1"/>
      <c r="D30" s="16">
        <v>2.487335300560932</v>
      </c>
      <c r="E30" s="16">
        <v>59.169726343631233</v>
      </c>
      <c r="F30" s="1"/>
      <c r="G30" s="2">
        <v>5</v>
      </c>
      <c r="H30" s="2">
        <v>5</v>
      </c>
      <c r="I30" s="2">
        <v>0</v>
      </c>
      <c r="J30" s="2">
        <v>48.064999999999998</v>
      </c>
      <c r="K30" s="11">
        <v>500</v>
      </c>
      <c r="L30" s="11">
        <v>500</v>
      </c>
      <c r="M30" s="2">
        <v>10</v>
      </c>
      <c r="N30" s="2">
        <v>100</v>
      </c>
      <c r="O30" s="2">
        <v>3</v>
      </c>
      <c r="P30" s="2">
        <v>5</v>
      </c>
      <c r="Q30" s="2">
        <v>5</v>
      </c>
      <c r="R30" s="2">
        <v>5.2</v>
      </c>
      <c r="S30" s="2">
        <v>5.2</v>
      </c>
      <c r="T30" s="2">
        <v>5.4</v>
      </c>
      <c r="U30" s="2">
        <v>5.4</v>
      </c>
      <c r="V30" s="3">
        <v>5</v>
      </c>
      <c r="W30" s="3">
        <v>5</v>
      </c>
      <c r="X30" s="3">
        <v>100</v>
      </c>
      <c r="Y30" s="3">
        <v>0</v>
      </c>
      <c r="Z30" s="3">
        <v>0</v>
      </c>
      <c r="AA30" s="3">
        <f t="shared" si="1"/>
        <v>10</v>
      </c>
      <c r="AB30" s="3">
        <v>0</v>
      </c>
      <c r="AC30" s="3">
        <f t="shared" si="2"/>
        <v>3</v>
      </c>
      <c r="AD30" s="3">
        <f t="shared" si="3"/>
        <v>5</v>
      </c>
      <c r="AE30" s="3">
        <f t="shared" si="4"/>
        <v>5</v>
      </c>
      <c r="AF30" s="3">
        <f t="shared" si="5"/>
        <v>5.2</v>
      </c>
      <c r="AG30" s="3">
        <f t="shared" si="6"/>
        <v>5.2</v>
      </c>
      <c r="AH30" s="3">
        <f t="shared" si="7"/>
        <v>5.4</v>
      </c>
      <c r="AI30" s="3">
        <f t="shared" si="8"/>
        <v>5.4</v>
      </c>
    </row>
    <row r="31" spans="1:35" x14ac:dyDescent="0.2">
      <c r="A31" s="1">
        <v>29</v>
      </c>
      <c r="B31" s="1" t="s">
        <v>101</v>
      </c>
      <c r="C31" s="1"/>
      <c r="D31" s="16">
        <v>1.750470074427396</v>
      </c>
      <c r="E31" s="16">
        <v>58.84241056287069</v>
      </c>
      <c r="F31" s="1"/>
      <c r="G31" s="2">
        <v>5</v>
      </c>
      <c r="H31" s="2">
        <v>5</v>
      </c>
      <c r="I31" s="2">
        <v>0</v>
      </c>
      <c r="J31" s="2">
        <v>667.00199999999995</v>
      </c>
      <c r="K31" s="11">
        <v>500</v>
      </c>
      <c r="L31" s="11">
        <v>500</v>
      </c>
      <c r="M31" s="2">
        <v>10</v>
      </c>
      <c r="N31" s="2">
        <v>100</v>
      </c>
      <c r="O31" s="2">
        <v>3</v>
      </c>
      <c r="P31" s="2">
        <v>5</v>
      </c>
      <c r="Q31" s="2">
        <v>5</v>
      </c>
      <c r="R31" s="2">
        <v>5.2</v>
      </c>
      <c r="S31" s="2">
        <v>5.2</v>
      </c>
      <c r="T31" s="2">
        <v>5.4</v>
      </c>
      <c r="U31" s="2">
        <v>5.4</v>
      </c>
      <c r="V31" s="3">
        <v>5</v>
      </c>
      <c r="W31" s="3">
        <v>5</v>
      </c>
      <c r="X31" s="3">
        <v>100</v>
      </c>
      <c r="Y31" s="3">
        <v>0</v>
      </c>
      <c r="Z31" s="3">
        <v>0</v>
      </c>
      <c r="AA31" s="3">
        <f t="shared" si="1"/>
        <v>10</v>
      </c>
      <c r="AB31" s="3">
        <v>0</v>
      </c>
      <c r="AC31" s="3">
        <f t="shared" si="2"/>
        <v>3</v>
      </c>
      <c r="AD31" s="3">
        <f t="shared" si="3"/>
        <v>5</v>
      </c>
      <c r="AE31" s="3">
        <f t="shared" si="4"/>
        <v>5</v>
      </c>
      <c r="AF31" s="3">
        <f t="shared" si="5"/>
        <v>5.2</v>
      </c>
      <c r="AG31" s="3">
        <f t="shared" si="6"/>
        <v>5.2</v>
      </c>
      <c r="AH31" s="3">
        <f t="shared" si="7"/>
        <v>5.4</v>
      </c>
      <c r="AI31" s="3">
        <f t="shared" si="8"/>
        <v>5.4</v>
      </c>
    </row>
    <row r="32" spans="1:35" x14ac:dyDescent="0.2">
      <c r="A32" s="1">
        <v>30</v>
      </c>
      <c r="B32" s="1" t="s">
        <v>116</v>
      </c>
      <c r="C32" s="1"/>
      <c r="D32" s="22">
        <v>6.0406335538870612</v>
      </c>
      <c r="E32" s="22">
        <v>54.505801334185612</v>
      </c>
      <c r="F32" s="1"/>
      <c r="G32" s="2">
        <v>5</v>
      </c>
      <c r="H32" s="2">
        <v>5</v>
      </c>
      <c r="I32" s="2">
        <v>0</v>
      </c>
      <c r="J32" s="2">
        <v>0</v>
      </c>
      <c r="K32" s="11">
        <v>500</v>
      </c>
      <c r="L32" s="11">
        <v>500</v>
      </c>
      <c r="M32" s="2">
        <v>10</v>
      </c>
      <c r="N32" s="2">
        <v>100</v>
      </c>
      <c r="O32" s="2">
        <v>3</v>
      </c>
      <c r="P32" s="2">
        <v>5</v>
      </c>
      <c r="Q32" s="2">
        <v>5</v>
      </c>
      <c r="R32" s="2">
        <v>5.2</v>
      </c>
      <c r="S32" s="2">
        <v>5.2</v>
      </c>
      <c r="T32" s="2">
        <v>5.4</v>
      </c>
      <c r="U32" s="2">
        <v>5.4</v>
      </c>
      <c r="V32" s="3">
        <v>5</v>
      </c>
      <c r="W32" s="3">
        <v>5</v>
      </c>
      <c r="X32" s="3">
        <v>100</v>
      </c>
      <c r="Y32" s="3">
        <v>0</v>
      </c>
      <c r="Z32" s="3">
        <v>0</v>
      </c>
      <c r="AA32" s="3">
        <f t="shared" si="1"/>
        <v>10</v>
      </c>
      <c r="AB32" s="3">
        <v>0</v>
      </c>
      <c r="AC32" s="3">
        <f t="shared" si="2"/>
        <v>3</v>
      </c>
      <c r="AD32" s="3">
        <f t="shared" si="3"/>
        <v>5</v>
      </c>
      <c r="AE32" s="3">
        <f t="shared" si="4"/>
        <v>5</v>
      </c>
      <c r="AF32" s="3">
        <f t="shared" si="5"/>
        <v>5.2</v>
      </c>
      <c r="AG32" s="3">
        <f t="shared" si="6"/>
        <v>5.2</v>
      </c>
      <c r="AH32" s="3">
        <f t="shared" si="7"/>
        <v>5.4</v>
      </c>
      <c r="AI32" s="3">
        <f t="shared" si="8"/>
        <v>5.4</v>
      </c>
    </row>
    <row r="33" spans="1:35" x14ac:dyDescent="0.2">
      <c r="A33" s="1">
        <v>31</v>
      </c>
      <c r="B33" s="1" t="s">
        <v>77</v>
      </c>
      <c r="C33" s="1"/>
      <c r="D33" s="16">
        <v>7.3202454238671333</v>
      </c>
      <c r="E33" s="16">
        <v>65.321499578632455</v>
      </c>
      <c r="F33" s="1" t="s">
        <v>322</v>
      </c>
      <c r="G33" s="2">
        <v>5</v>
      </c>
      <c r="H33" s="2">
        <v>5</v>
      </c>
      <c r="I33" s="2">
        <v>0</v>
      </c>
      <c r="J33" s="2">
        <v>1214.5999999999999</v>
      </c>
      <c r="K33" s="11">
        <v>500</v>
      </c>
      <c r="L33" s="11">
        <v>500</v>
      </c>
      <c r="M33" s="2">
        <v>10</v>
      </c>
      <c r="N33" s="2">
        <v>100</v>
      </c>
      <c r="O33" s="2">
        <v>3</v>
      </c>
      <c r="P33" s="2">
        <v>5</v>
      </c>
      <c r="Q33" s="2">
        <v>5</v>
      </c>
      <c r="R33" s="2">
        <v>5.2</v>
      </c>
      <c r="S33" s="2">
        <v>5.2</v>
      </c>
      <c r="T33" s="2">
        <v>5.4</v>
      </c>
      <c r="U33" s="2">
        <v>5.4</v>
      </c>
      <c r="V33" s="3">
        <v>5</v>
      </c>
      <c r="W33" s="3">
        <v>5</v>
      </c>
      <c r="X33" s="3">
        <v>100</v>
      </c>
      <c r="Y33" s="3">
        <v>0</v>
      </c>
      <c r="Z33" s="3">
        <v>0</v>
      </c>
      <c r="AA33" s="3">
        <f t="shared" si="1"/>
        <v>10</v>
      </c>
      <c r="AB33" s="3">
        <v>0</v>
      </c>
      <c r="AC33" s="3">
        <f t="shared" si="2"/>
        <v>3</v>
      </c>
      <c r="AD33" s="3">
        <f t="shared" si="3"/>
        <v>5</v>
      </c>
      <c r="AE33" s="3">
        <f t="shared" si="4"/>
        <v>5</v>
      </c>
      <c r="AF33" s="3">
        <f t="shared" si="5"/>
        <v>5.2</v>
      </c>
      <c r="AG33" s="3">
        <f t="shared" si="6"/>
        <v>5.2</v>
      </c>
      <c r="AH33" s="3">
        <f t="shared" si="7"/>
        <v>5.4</v>
      </c>
      <c r="AI33" s="3">
        <f t="shared" si="8"/>
        <v>5.4</v>
      </c>
    </row>
    <row r="34" spans="1:35" x14ac:dyDescent="0.2">
      <c r="A34" s="1">
        <v>32</v>
      </c>
      <c r="B34" s="1" t="s">
        <v>97</v>
      </c>
      <c r="C34" s="1"/>
      <c r="D34" s="16">
        <v>2.2345225779689399</v>
      </c>
      <c r="E34" s="16">
        <v>59.570737872744949</v>
      </c>
      <c r="F34" s="1"/>
      <c r="G34" s="2">
        <v>5</v>
      </c>
      <c r="H34" s="2">
        <v>5</v>
      </c>
      <c r="I34" s="2">
        <v>0</v>
      </c>
      <c r="J34" s="2">
        <v>1329.308</v>
      </c>
      <c r="K34" s="11">
        <v>500</v>
      </c>
      <c r="L34" s="11">
        <v>500</v>
      </c>
      <c r="M34" s="2">
        <v>10</v>
      </c>
      <c r="N34" s="2">
        <v>100</v>
      </c>
      <c r="O34" s="2">
        <v>3</v>
      </c>
      <c r="P34" s="2">
        <v>5</v>
      </c>
      <c r="Q34" s="2">
        <v>5</v>
      </c>
      <c r="R34" s="2">
        <v>5.2</v>
      </c>
      <c r="S34" s="2">
        <v>5.2</v>
      </c>
      <c r="T34" s="2">
        <v>5.4</v>
      </c>
      <c r="U34" s="2">
        <v>5.4</v>
      </c>
      <c r="V34" s="3">
        <v>5</v>
      </c>
      <c r="W34" s="3">
        <v>5</v>
      </c>
      <c r="X34" s="3">
        <v>100</v>
      </c>
      <c r="Y34" s="3">
        <v>0</v>
      </c>
      <c r="Z34" s="3">
        <v>0</v>
      </c>
      <c r="AA34" s="3">
        <f t="shared" si="1"/>
        <v>10</v>
      </c>
      <c r="AB34" s="3">
        <v>0</v>
      </c>
      <c r="AC34" s="3">
        <f t="shared" si="2"/>
        <v>3</v>
      </c>
      <c r="AD34" s="3">
        <f t="shared" si="3"/>
        <v>5</v>
      </c>
      <c r="AE34" s="3">
        <f t="shared" si="4"/>
        <v>5</v>
      </c>
      <c r="AF34" s="3">
        <f t="shared" si="5"/>
        <v>5.2</v>
      </c>
      <c r="AG34" s="3">
        <f t="shared" si="6"/>
        <v>5.2</v>
      </c>
      <c r="AH34" s="3">
        <f t="shared" si="7"/>
        <v>5.4</v>
      </c>
      <c r="AI34" s="3">
        <f t="shared" si="8"/>
        <v>5.4</v>
      </c>
    </row>
    <row r="35" spans="1:35" x14ac:dyDescent="0.2">
      <c r="A35" s="1">
        <v>33</v>
      </c>
      <c r="B35" s="1" t="s">
        <v>96</v>
      </c>
      <c r="C35" s="1"/>
      <c r="D35" s="16">
        <v>2.2352254874930928</v>
      </c>
      <c r="E35" s="16">
        <v>59.571075351213203</v>
      </c>
      <c r="F35" s="1"/>
      <c r="G35" s="2">
        <v>5</v>
      </c>
      <c r="H35" s="2">
        <v>5</v>
      </c>
      <c r="I35" s="2">
        <v>0</v>
      </c>
      <c r="J35" s="2">
        <v>1329.308</v>
      </c>
      <c r="K35" s="11">
        <v>500</v>
      </c>
      <c r="L35" s="11">
        <v>500</v>
      </c>
      <c r="M35" s="2">
        <v>10</v>
      </c>
      <c r="N35" s="2">
        <v>100</v>
      </c>
      <c r="O35" s="2">
        <v>3</v>
      </c>
      <c r="P35" s="2">
        <v>5</v>
      </c>
      <c r="Q35" s="2">
        <v>5</v>
      </c>
      <c r="R35" s="2">
        <v>5.2</v>
      </c>
      <c r="S35" s="2">
        <v>5.2</v>
      </c>
      <c r="T35" s="2">
        <v>5.4</v>
      </c>
      <c r="U35" s="2">
        <v>5.4</v>
      </c>
      <c r="V35" s="3">
        <v>5</v>
      </c>
      <c r="W35" s="3">
        <v>5</v>
      </c>
      <c r="X35" s="3">
        <v>100</v>
      </c>
      <c r="Y35" s="3">
        <v>0</v>
      </c>
      <c r="Z35" s="3">
        <v>0</v>
      </c>
      <c r="AA35" s="3">
        <f t="shared" si="1"/>
        <v>10</v>
      </c>
      <c r="AB35" s="3">
        <v>0</v>
      </c>
      <c r="AC35" s="3">
        <f t="shared" si="2"/>
        <v>3</v>
      </c>
      <c r="AD35" s="3">
        <f t="shared" si="3"/>
        <v>5</v>
      </c>
      <c r="AE35" s="3">
        <f t="shared" si="4"/>
        <v>5</v>
      </c>
      <c r="AF35" s="3">
        <f t="shared" si="5"/>
        <v>5.2</v>
      </c>
      <c r="AG35" s="3">
        <f t="shared" si="6"/>
        <v>5.2</v>
      </c>
      <c r="AH35" s="3">
        <f t="shared" si="7"/>
        <v>5.4</v>
      </c>
      <c r="AI35" s="3">
        <f t="shared" si="8"/>
        <v>5.4</v>
      </c>
    </row>
    <row r="36" spans="1:35" x14ac:dyDescent="0.2">
      <c r="A36" s="1">
        <v>34</v>
      </c>
      <c r="B36" s="1" t="s">
        <v>99</v>
      </c>
      <c r="C36" s="1"/>
      <c r="D36" s="16">
        <v>5.0541760000000409</v>
      </c>
      <c r="E36" s="16">
        <v>59.326808000000028</v>
      </c>
      <c r="F36" s="1" t="s">
        <v>322</v>
      </c>
      <c r="G36" s="2">
        <v>5</v>
      </c>
      <c r="H36" s="2">
        <v>5</v>
      </c>
      <c r="I36" s="2">
        <v>5</v>
      </c>
      <c r="J36" s="2">
        <v>8889.5949999999993</v>
      </c>
      <c r="K36" s="11">
        <v>500</v>
      </c>
      <c r="L36" s="11">
        <v>500</v>
      </c>
      <c r="M36" s="2">
        <v>10</v>
      </c>
      <c r="N36" s="2">
        <v>100</v>
      </c>
      <c r="O36" s="2">
        <v>3</v>
      </c>
      <c r="P36" s="2">
        <v>5</v>
      </c>
      <c r="Q36" s="2">
        <v>5</v>
      </c>
      <c r="R36" s="2">
        <v>5.2</v>
      </c>
      <c r="S36" s="2">
        <v>5.2</v>
      </c>
      <c r="T36" s="2">
        <v>5.4</v>
      </c>
      <c r="U36" s="2">
        <v>5.4</v>
      </c>
      <c r="V36" s="3">
        <v>5</v>
      </c>
      <c r="W36" s="3">
        <v>5</v>
      </c>
      <c r="X36" s="3">
        <v>100</v>
      </c>
      <c r="Y36" s="3">
        <v>0</v>
      </c>
      <c r="Z36" s="3">
        <v>0</v>
      </c>
      <c r="AA36" s="3">
        <f t="shared" si="1"/>
        <v>10</v>
      </c>
      <c r="AB36" s="3">
        <v>0</v>
      </c>
      <c r="AC36" s="3">
        <f t="shared" si="2"/>
        <v>3</v>
      </c>
      <c r="AD36" s="3">
        <f t="shared" si="3"/>
        <v>5</v>
      </c>
      <c r="AE36" s="3">
        <f t="shared" si="4"/>
        <v>5</v>
      </c>
      <c r="AF36" s="3">
        <f t="shared" si="5"/>
        <v>5.2</v>
      </c>
      <c r="AG36" s="3">
        <f t="shared" si="6"/>
        <v>5.2</v>
      </c>
      <c r="AH36" s="3">
        <f t="shared" si="7"/>
        <v>5.4</v>
      </c>
      <c r="AI36" s="3">
        <f t="shared" si="8"/>
        <v>5.4</v>
      </c>
    </row>
    <row r="37" spans="1:35" x14ac:dyDescent="0.2">
      <c r="A37" s="1">
        <v>35</v>
      </c>
      <c r="B37" s="1" t="s">
        <v>102</v>
      </c>
      <c r="C37" s="1"/>
      <c r="D37" s="16">
        <v>2.5577715130093028</v>
      </c>
      <c r="E37" s="16">
        <v>58.841931072335058</v>
      </c>
      <c r="F37" s="1" t="s">
        <v>322</v>
      </c>
      <c r="G37" s="2">
        <v>5</v>
      </c>
      <c r="H37" s="2">
        <v>5</v>
      </c>
      <c r="I37" s="2">
        <v>0</v>
      </c>
      <c r="J37" s="2">
        <v>8889.5949999999993</v>
      </c>
      <c r="K37" s="11">
        <v>500</v>
      </c>
      <c r="L37" s="11">
        <v>500</v>
      </c>
      <c r="M37" s="2">
        <v>10</v>
      </c>
      <c r="N37" s="2">
        <v>100</v>
      </c>
      <c r="O37" s="2">
        <v>3</v>
      </c>
      <c r="P37" s="2">
        <v>5</v>
      </c>
      <c r="Q37" s="2">
        <v>5</v>
      </c>
      <c r="R37" s="2">
        <v>5.2</v>
      </c>
      <c r="S37" s="2">
        <v>5.2</v>
      </c>
      <c r="T37" s="2">
        <v>5.4</v>
      </c>
      <c r="U37" s="2">
        <v>5.4</v>
      </c>
      <c r="V37" s="3">
        <v>5</v>
      </c>
      <c r="W37" s="3">
        <v>5</v>
      </c>
      <c r="X37" s="3">
        <v>100</v>
      </c>
      <c r="Y37" s="3">
        <v>0</v>
      </c>
      <c r="Z37" s="3">
        <v>0</v>
      </c>
      <c r="AA37" s="3">
        <f t="shared" si="1"/>
        <v>10</v>
      </c>
      <c r="AB37" s="3">
        <v>0</v>
      </c>
      <c r="AC37" s="3">
        <f t="shared" si="2"/>
        <v>3</v>
      </c>
      <c r="AD37" s="3">
        <f t="shared" si="3"/>
        <v>5</v>
      </c>
      <c r="AE37" s="3">
        <f t="shared" si="4"/>
        <v>5</v>
      </c>
      <c r="AF37" s="3">
        <f t="shared" si="5"/>
        <v>5.2</v>
      </c>
      <c r="AG37" s="3">
        <f t="shared" si="6"/>
        <v>5.2</v>
      </c>
      <c r="AH37" s="3">
        <f t="shared" si="7"/>
        <v>5.4</v>
      </c>
      <c r="AI37" s="3">
        <f t="shared" si="8"/>
        <v>5.4</v>
      </c>
    </row>
    <row r="38" spans="1:35" x14ac:dyDescent="0.2">
      <c r="A38" s="1">
        <v>36</v>
      </c>
      <c r="B38" s="1" t="s">
        <v>207</v>
      </c>
      <c r="C38" s="1"/>
      <c r="D38" s="16">
        <v>5.5129213334435638</v>
      </c>
      <c r="E38" s="16">
        <v>59.272115627836378</v>
      </c>
      <c r="F38" s="1"/>
      <c r="G38" s="2">
        <v>5</v>
      </c>
      <c r="H38" s="2">
        <v>5</v>
      </c>
      <c r="I38" s="2">
        <v>0</v>
      </c>
      <c r="J38" s="2">
        <v>0</v>
      </c>
      <c r="K38" s="11">
        <v>500</v>
      </c>
      <c r="L38" s="11">
        <v>500</v>
      </c>
      <c r="M38" s="2">
        <v>10</v>
      </c>
      <c r="N38" s="2">
        <v>100</v>
      </c>
      <c r="O38" s="2">
        <v>3</v>
      </c>
      <c r="P38" s="2">
        <v>5</v>
      </c>
      <c r="Q38" s="2">
        <v>5</v>
      </c>
      <c r="R38" s="2">
        <v>5.2</v>
      </c>
      <c r="S38" s="2">
        <v>5.2</v>
      </c>
      <c r="T38" s="2">
        <v>5.4</v>
      </c>
      <c r="U38" s="2">
        <v>5.4</v>
      </c>
      <c r="V38" s="3">
        <v>5</v>
      </c>
      <c r="W38" s="3">
        <v>5</v>
      </c>
      <c r="X38" s="3">
        <v>100</v>
      </c>
      <c r="Y38" s="3">
        <v>0</v>
      </c>
      <c r="Z38" s="3">
        <v>0</v>
      </c>
      <c r="AA38" s="3">
        <f t="shared" si="1"/>
        <v>10</v>
      </c>
      <c r="AB38" s="3">
        <v>0</v>
      </c>
      <c r="AC38" s="3">
        <f t="shared" si="2"/>
        <v>3</v>
      </c>
      <c r="AD38" s="3">
        <f t="shared" si="3"/>
        <v>5</v>
      </c>
      <c r="AE38" s="3">
        <f t="shared" si="4"/>
        <v>5</v>
      </c>
      <c r="AF38" s="3">
        <f t="shared" si="5"/>
        <v>5.2</v>
      </c>
      <c r="AG38" s="3">
        <f t="shared" si="6"/>
        <v>5.2</v>
      </c>
      <c r="AH38" s="3">
        <f t="shared" si="7"/>
        <v>5.4</v>
      </c>
      <c r="AI38" s="3">
        <f t="shared" si="8"/>
        <v>5.4</v>
      </c>
    </row>
    <row r="39" spans="1:35" x14ac:dyDescent="0.2">
      <c r="A39" s="1">
        <v>37</v>
      </c>
      <c r="B39" s="1" t="s">
        <v>91</v>
      </c>
      <c r="C39" s="1"/>
      <c r="D39" s="16">
        <v>4.8385970033810022</v>
      </c>
      <c r="E39" s="16">
        <v>60.545348486364603</v>
      </c>
      <c r="F39" s="1"/>
      <c r="G39" s="2">
        <v>5</v>
      </c>
      <c r="H39" s="2">
        <v>5</v>
      </c>
      <c r="I39" s="2">
        <v>0</v>
      </c>
      <c r="J39" s="2">
        <v>0</v>
      </c>
      <c r="K39" s="11">
        <v>500</v>
      </c>
      <c r="L39" s="11">
        <v>500</v>
      </c>
      <c r="M39" s="2">
        <v>10</v>
      </c>
      <c r="N39" s="2">
        <v>100</v>
      </c>
      <c r="O39" s="2">
        <v>3</v>
      </c>
      <c r="P39" s="2">
        <v>5</v>
      </c>
      <c r="Q39" s="2">
        <v>5</v>
      </c>
      <c r="R39" s="2">
        <v>5.2</v>
      </c>
      <c r="S39" s="2">
        <v>5.2</v>
      </c>
      <c r="T39" s="2">
        <v>5.4</v>
      </c>
      <c r="U39" s="2">
        <v>5.4</v>
      </c>
      <c r="V39" s="3">
        <v>5</v>
      </c>
      <c r="W39" s="3">
        <v>5</v>
      </c>
      <c r="X39" s="3">
        <v>100</v>
      </c>
      <c r="Y39" s="3">
        <v>0</v>
      </c>
      <c r="Z39" s="3">
        <v>0</v>
      </c>
      <c r="AA39" s="3">
        <f t="shared" si="1"/>
        <v>10</v>
      </c>
      <c r="AB39" s="3">
        <v>0</v>
      </c>
      <c r="AC39" s="3">
        <f t="shared" si="2"/>
        <v>3</v>
      </c>
      <c r="AD39" s="3">
        <f t="shared" si="3"/>
        <v>5</v>
      </c>
      <c r="AE39" s="3">
        <f t="shared" si="4"/>
        <v>5</v>
      </c>
      <c r="AF39" s="3">
        <f t="shared" si="5"/>
        <v>5.2</v>
      </c>
      <c r="AG39" s="3">
        <f t="shared" si="6"/>
        <v>5.2</v>
      </c>
      <c r="AH39" s="3">
        <f t="shared" si="7"/>
        <v>5.4</v>
      </c>
      <c r="AI39" s="3">
        <f t="shared" si="8"/>
        <v>5.4</v>
      </c>
    </row>
    <row r="40" spans="1:35" x14ac:dyDescent="0.2">
      <c r="A40" s="1">
        <v>38</v>
      </c>
      <c r="B40" s="1" t="s">
        <v>186</v>
      </c>
      <c r="C40" s="1"/>
      <c r="D40" s="16">
        <v>2.5070780834093052</v>
      </c>
      <c r="E40" s="16">
        <v>61.077581935633752</v>
      </c>
      <c r="F40" s="1"/>
      <c r="G40" s="2">
        <v>5</v>
      </c>
      <c r="H40" s="2">
        <v>5</v>
      </c>
      <c r="I40" s="2">
        <v>0</v>
      </c>
      <c r="J40" s="2">
        <v>508.40300000000002</v>
      </c>
      <c r="K40" s="11">
        <v>500</v>
      </c>
      <c r="L40" s="11">
        <v>500</v>
      </c>
      <c r="M40" s="2">
        <v>10</v>
      </c>
      <c r="N40" s="2">
        <v>100</v>
      </c>
      <c r="O40" s="2">
        <v>3</v>
      </c>
      <c r="P40" s="2">
        <v>5</v>
      </c>
      <c r="Q40" s="2">
        <v>5</v>
      </c>
      <c r="R40" s="2">
        <v>5.2</v>
      </c>
      <c r="S40" s="2">
        <v>5.2</v>
      </c>
      <c r="T40" s="2">
        <v>5.4</v>
      </c>
      <c r="U40" s="2">
        <v>5.4</v>
      </c>
      <c r="V40" s="3">
        <v>5</v>
      </c>
      <c r="W40" s="3">
        <v>5</v>
      </c>
      <c r="X40" s="3">
        <v>100</v>
      </c>
      <c r="Y40" s="3">
        <v>0</v>
      </c>
      <c r="Z40" s="3">
        <v>0</v>
      </c>
      <c r="AA40" s="3">
        <f t="shared" si="1"/>
        <v>10</v>
      </c>
      <c r="AB40" s="3">
        <v>0</v>
      </c>
      <c r="AC40" s="3">
        <f t="shared" si="2"/>
        <v>3</v>
      </c>
      <c r="AD40" s="3">
        <f t="shared" si="3"/>
        <v>5</v>
      </c>
      <c r="AE40" s="3">
        <f t="shared" si="4"/>
        <v>5</v>
      </c>
      <c r="AF40" s="3">
        <f t="shared" si="5"/>
        <v>5.2</v>
      </c>
      <c r="AG40" s="3">
        <f t="shared" si="6"/>
        <v>5.2</v>
      </c>
      <c r="AH40" s="3">
        <f t="shared" si="7"/>
        <v>5.4</v>
      </c>
      <c r="AI40" s="3">
        <f t="shared" si="8"/>
        <v>5.4</v>
      </c>
    </row>
    <row r="41" spans="1:35" x14ac:dyDescent="0.2">
      <c r="A41" s="1">
        <v>39</v>
      </c>
      <c r="B41" s="1" t="s">
        <v>95</v>
      </c>
      <c r="C41" s="1"/>
      <c r="D41" s="16">
        <v>2.0175154810000322</v>
      </c>
      <c r="E41" s="16">
        <v>59.894961973000079</v>
      </c>
      <c r="F41" s="1" t="s">
        <v>322</v>
      </c>
      <c r="G41" s="2">
        <v>5</v>
      </c>
      <c r="H41" s="2">
        <v>5</v>
      </c>
      <c r="I41" s="2">
        <v>0</v>
      </c>
      <c r="J41" s="2">
        <v>48.064999999999998</v>
      </c>
      <c r="K41" s="11">
        <v>500</v>
      </c>
      <c r="L41" s="11">
        <v>500</v>
      </c>
      <c r="M41" s="2">
        <v>10</v>
      </c>
      <c r="N41" s="2">
        <v>100</v>
      </c>
      <c r="O41" s="2">
        <v>3</v>
      </c>
      <c r="P41" s="2">
        <v>5</v>
      </c>
      <c r="Q41" s="2">
        <v>5</v>
      </c>
      <c r="R41" s="2">
        <v>5.2</v>
      </c>
      <c r="S41" s="2">
        <v>5.2</v>
      </c>
      <c r="T41" s="2">
        <v>5.4</v>
      </c>
      <c r="U41" s="2">
        <v>5.4</v>
      </c>
      <c r="V41" s="3">
        <v>5</v>
      </c>
      <c r="W41" s="3">
        <v>5</v>
      </c>
      <c r="X41" s="3">
        <v>100</v>
      </c>
      <c r="Y41" s="3">
        <v>0</v>
      </c>
      <c r="Z41" s="3">
        <v>0</v>
      </c>
      <c r="AA41" s="3">
        <f t="shared" si="1"/>
        <v>10</v>
      </c>
      <c r="AB41" s="3">
        <v>0</v>
      </c>
      <c r="AC41" s="3">
        <f t="shared" si="2"/>
        <v>3</v>
      </c>
      <c r="AD41" s="3">
        <f t="shared" si="3"/>
        <v>5</v>
      </c>
      <c r="AE41" s="3">
        <f t="shared" si="4"/>
        <v>5</v>
      </c>
      <c r="AF41" s="3">
        <f t="shared" si="5"/>
        <v>5.2</v>
      </c>
      <c r="AG41" s="3">
        <f t="shared" si="6"/>
        <v>5.2</v>
      </c>
      <c r="AH41" s="3">
        <f t="shared" si="7"/>
        <v>5.4</v>
      </c>
      <c r="AI41" s="3">
        <f t="shared" si="8"/>
        <v>5.4</v>
      </c>
    </row>
    <row r="42" spans="1:35" x14ac:dyDescent="0.2">
      <c r="A42" s="1">
        <v>40</v>
      </c>
      <c r="B42" s="1" t="s">
        <v>87</v>
      </c>
      <c r="C42" s="1"/>
      <c r="D42" s="16">
        <v>1.7050129999999999</v>
      </c>
      <c r="E42" s="16">
        <v>61.034477000000003</v>
      </c>
      <c r="F42" s="1"/>
      <c r="G42" s="2">
        <v>5</v>
      </c>
      <c r="H42" s="2">
        <v>5</v>
      </c>
      <c r="I42" s="2">
        <v>0</v>
      </c>
      <c r="J42" s="2">
        <v>68.573999999999998</v>
      </c>
      <c r="K42" s="11">
        <v>500</v>
      </c>
      <c r="L42" s="11">
        <v>500</v>
      </c>
      <c r="M42" s="2">
        <v>10</v>
      </c>
      <c r="N42" s="2">
        <v>100</v>
      </c>
      <c r="O42" s="2">
        <v>3</v>
      </c>
      <c r="P42" s="2">
        <v>5</v>
      </c>
      <c r="Q42" s="2">
        <v>5</v>
      </c>
      <c r="R42" s="2">
        <v>5.2</v>
      </c>
      <c r="S42" s="2">
        <v>5.2</v>
      </c>
      <c r="T42" s="2">
        <v>5.4</v>
      </c>
      <c r="U42" s="2">
        <v>5.4</v>
      </c>
      <c r="V42" s="3">
        <v>5</v>
      </c>
      <c r="W42" s="3">
        <v>5</v>
      </c>
      <c r="X42" s="3">
        <v>100</v>
      </c>
      <c r="Y42" s="3">
        <v>0</v>
      </c>
      <c r="Z42" s="3">
        <v>0</v>
      </c>
      <c r="AA42" s="3">
        <f t="shared" si="1"/>
        <v>10</v>
      </c>
      <c r="AB42" s="3">
        <v>0</v>
      </c>
      <c r="AC42" s="3">
        <f t="shared" si="2"/>
        <v>3</v>
      </c>
      <c r="AD42" s="3">
        <f t="shared" si="3"/>
        <v>5</v>
      </c>
      <c r="AE42" s="3">
        <f t="shared" si="4"/>
        <v>5</v>
      </c>
      <c r="AF42" s="3">
        <f t="shared" si="5"/>
        <v>5.2</v>
      </c>
      <c r="AG42" s="3">
        <f t="shared" si="6"/>
        <v>5.2</v>
      </c>
      <c r="AH42" s="3">
        <f t="shared" si="7"/>
        <v>5.4</v>
      </c>
      <c r="AI42" s="3">
        <f t="shared" si="8"/>
        <v>5.4</v>
      </c>
    </row>
    <row r="43" spans="1:35" x14ac:dyDescent="0.2">
      <c r="A43" s="1">
        <v>41</v>
      </c>
      <c r="B43" s="1" t="s">
        <v>75</v>
      </c>
      <c r="C43" s="1"/>
      <c r="D43" s="16">
        <v>8.0785441179034034</v>
      </c>
      <c r="E43" s="16">
        <v>66.029330899408933</v>
      </c>
      <c r="F43" s="1" t="s">
        <v>322</v>
      </c>
      <c r="G43" s="2">
        <v>5</v>
      </c>
      <c r="H43" s="2">
        <v>5</v>
      </c>
      <c r="I43" s="2">
        <v>0</v>
      </c>
      <c r="J43" s="2">
        <v>1041.0509999999999</v>
      </c>
      <c r="K43" s="11">
        <v>500</v>
      </c>
      <c r="L43" s="11">
        <v>500</v>
      </c>
      <c r="M43" s="2">
        <v>10</v>
      </c>
      <c r="N43" s="2">
        <v>100</v>
      </c>
      <c r="O43" s="2">
        <v>3</v>
      </c>
      <c r="P43" s="2">
        <v>5</v>
      </c>
      <c r="Q43" s="2">
        <v>5</v>
      </c>
      <c r="R43" s="2">
        <v>5.2</v>
      </c>
      <c r="S43" s="2">
        <v>5.2</v>
      </c>
      <c r="T43" s="2">
        <v>5.4</v>
      </c>
      <c r="U43" s="2">
        <v>5.4</v>
      </c>
      <c r="V43" s="3">
        <v>5</v>
      </c>
      <c r="W43" s="3">
        <v>5</v>
      </c>
      <c r="X43" s="3">
        <v>100</v>
      </c>
      <c r="Y43" s="3">
        <v>0</v>
      </c>
      <c r="Z43" s="3">
        <v>0</v>
      </c>
      <c r="AA43" s="3">
        <f t="shared" si="1"/>
        <v>10</v>
      </c>
      <c r="AB43" s="3">
        <v>0</v>
      </c>
      <c r="AC43" s="3">
        <f t="shared" si="2"/>
        <v>3</v>
      </c>
      <c r="AD43" s="3">
        <f t="shared" si="3"/>
        <v>5</v>
      </c>
      <c r="AE43" s="3">
        <f t="shared" si="4"/>
        <v>5</v>
      </c>
      <c r="AF43" s="3">
        <f t="shared" si="5"/>
        <v>5.2</v>
      </c>
      <c r="AG43" s="3">
        <f t="shared" si="6"/>
        <v>5.2</v>
      </c>
      <c r="AH43" s="3">
        <f t="shared" si="7"/>
        <v>5.4</v>
      </c>
      <c r="AI43" s="3">
        <f t="shared" si="8"/>
        <v>5.4</v>
      </c>
    </row>
    <row r="44" spans="1:35" x14ac:dyDescent="0.2">
      <c r="A44" s="1">
        <v>42</v>
      </c>
      <c r="B44" s="1" t="s">
        <v>78</v>
      </c>
      <c r="C44" s="1"/>
      <c r="D44" s="16">
        <v>6.8014610000000744</v>
      </c>
      <c r="E44" s="16">
        <v>65.084516000000065</v>
      </c>
      <c r="F44" s="1" t="s">
        <v>322</v>
      </c>
      <c r="G44" s="2">
        <v>5</v>
      </c>
      <c r="H44" s="2">
        <v>5</v>
      </c>
      <c r="I44" s="2">
        <v>0</v>
      </c>
      <c r="J44" s="2">
        <v>1214.5999999999999</v>
      </c>
      <c r="K44" s="11">
        <v>500</v>
      </c>
      <c r="L44" s="11">
        <v>500</v>
      </c>
      <c r="M44" s="2">
        <v>10</v>
      </c>
      <c r="N44" s="2">
        <v>100</v>
      </c>
      <c r="O44" s="2">
        <v>3</v>
      </c>
      <c r="P44" s="2">
        <v>5</v>
      </c>
      <c r="Q44" s="2">
        <v>5</v>
      </c>
      <c r="R44" s="2">
        <v>5.2</v>
      </c>
      <c r="S44" s="2">
        <v>5.2</v>
      </c>
      <c r="T44" s="2">
        <v>5.4</v>
      </c>
      <c r="U44" s="2">
        <v>5.4</v>
      </c>
      <c r="V44" s="3">
        <v>5</v>
      </c>
      <c r="W44" s="3">
        <v>5</v>
      </c>
      <c r="X44" s="3">
        <v>100</v>
      </c>
      <c r="Y44" s="3">
        <v>0</v>
      </c>
      <c r="Z44" s="3">
        <v>0</v>
      </c>
      <c r="AA44" s="3">
        <f t="shared" si="1"/>
        <v>10</v>
      </c>
      <c r="AB44" s="3">
        <v>0</v>
      </c>
      <c r="AC44" s="3">
        <f t="shared" si="2"/>
        <v>3</v>
      </c>
      <c r="AD44" s="3">
        <f t="shared" si="3"/>
        <v>5</v>
      </c>
      <c r="AE44" s="3">
        <f t="shared" si="4"/>
        <v>5</v>
      </c>
      <c r="AF44" s="3">
        <f t="shared" si="5"/>
        <v>5.2</v>
      </c>
      <c r="AG44" s="3">
        <f t="shared" si="6"/>
        <v>5.2</v>
      </c>
      <c r="AH44" s="3">
        <f t="shared" si="7"/>
        <v>5.4</v>
      </c>
      <c r="AI44" s="3">
        <f t="shared" si="8"/>
        <v>5.4</v>
      </c>
    </row>
    <row r="45" spans="1:35" x14ac:dyDescent="0.2">
      <c r="A45" s="1">
        <v>43</v>
      </c>
      <c r="B45" s="1" t="s">
        <v>111</v>
      </c>
      <c r="C45" s="1"/>
      <c r="D45" s="22">
        <v>3.330503000000022</v>
      </c>
      <c r="E45" s="22">
        <v>56.490369000000037</v>
      </c>
      <c r="F45" s="1"/>
      <c r="G45" s="2">
        <v>5</v>
      </c>
      <c r="H45" s="2">
        <v>5</v>
      </c>
      <c r="I45" s="2">
        <v>0</v>
      </c>
      <c r="J45" s="2">
        <v>933.85500000000002</v>
      </c>
      <c r="K45" s="11">
        <v>500</v>
      </c>
      <c r="L45" s="11">
        <v>500</v>
      </c>
      <c r="M45" s="2">
        <v>10</v>
      </c>
      <c r="N45" s="2">
        <v>100</v>
      </c>
      <c r="O45" s="2">
        <v>3</v>
      </c>
      <c r="P45" s="2">
        <v>5</v>
      </c>
      <c r="Q45" s="2">
        <v>5</v>
      </c>
      <c r="R45" s="2">
        <v>5.2</v>
      </c>
      <c r="S45" s="2">
        <v>5.2</v>
      </c>
      <c r="T45" s="2">
        <v>5.4</v>
      </c>
      <c r="U45" s="2">
        <v>5.4</v>
      </c>
      <c r="V45" s="3">
        <v>5</v>
      </c>
      <c r="W45" s="3">
        <v>5</v>
      </c>
      <c r="X45" s="3">
        <v>100</v>
      </c>
      <c r="Y45" s="3">
        <v>0</v>
      </c>
      <c r="Z45" s="3">
        <v>0</v>
      </c>
      <c r="AA45" s="3">
        <f t="shared" si="1"/>
        <v>10</v>
      </c>
      <c r="AB45" s="3">
        <v>0</v>
      </c>
      <c r="AC45" s="3">
        <f t="shared" si="2"/>
        <v>3</v>
      </c>
      <c r="AD45" s="3">
        <f t="shared" si="3"/>
        <v>5</v>
      </c>
      <c r="AE45" s="3">
        <f t="shared" si="4"/>
        <v>5</v>
      </c>
      <c r="AF45" s="3">
        <f t="shared" si="5"/>
        <v>5.2</v>
      </c>
      <c r="AG45" s="3">
        <f t="shared" si="6"/>
        <v>5.2</v>
      </c>
      <c r="AH45" s="3">
        <f t="shared" si="7"/>
        <v>5.4</v>
      </c>
      <c r="AI45" s="3">
        <f t="shared" si="8"/>
        <v>5.4</v>
      </c>
    </row>
    <row r="46" spans="1:35" x14ac:dyDescent="0.2">
      <c r="A46" s="1">
        <v>44</v>
      </c>
      <c r="B46" s="1" t="s">
        <v>84</v>
      </c>
      <c r="C46" s="1"/>
      <c r="D46" s="49">
        <v>6.9457712170000718</v>
      </c>
      <c r="E46" s="49">
        <v>62.851558685000043</v>
      </c>
      <c r="F46" s="1"/>
      <c r="G46" s="2">
        <v>5</v>
      </c>
      <c r="H46" s="2">
        <v>5</v>
      </c>
      <c r="I46" s="2">
        <v>0</v>
      </c>
      <c r="J46" s="2">
        <v>3093.8470000000002</v>
      </c>
      <c r="K46" s="11">
        <v>500</v>
      </c>
      <c r="L46" s="11">
        <v>500</v>
      </c>
      <c r="M46" s="2">
        <v>10</v>
      </c>
      <c r="N46" s="2">
        <v>100</v>
      </c>
      <c r="O46" s="2">
        <v>3</v>
      </c>
      <c r="P46" s="2">
        <v>5</v>
      </c>
      <c r="Q46" s="2">
        <v>5</v>
      </c>
      <c r="R46" s="2">
        <v>5.2</v>
      </c>
      <c r="S46" s="2">
        <v>5.2</v>
      </c>
      <c r="T46" s="2">
        <v>5.4</v>
      </c>
      <c r="U46" s="2">
        <v>5.4</v>
      </c>
      <c r="V46" s="3">
        <v>5</v>
      </c>
      <c r="W46" s="3">
        <v>5</v>
      </c>
      <c r="X46" s="3">
        <v>100</v>
      </c>
      <c r="Y46" s="3">
        <v>0</v>
      </c>
      <c r="Z46" s="3">
        <v>0</v>
      </c>
      <c r="AA46" s="3">
        <f t="shared" si="1"/>
        <v>10</v>
      </c>
      <c r="AB46" s="3">
        <v>0</v>
      </c>
      <c r="AC46" s="3">
        <f t="shared" si="2"/>
        <v>3</v>
      </c>
      <c r="AD46" s="3">
        <f t="shared" si="3"/>
        <v>5</v>
      </c>
      <c r="AE46" s="3">
        <f t="shared" si="4"/>
        <v>5</v>
      </c>
      <c r="AF46" s="3">
        <f t="shared" si="5"/>
        <v>5.2</v>
      </c>
      <c r="AG46" s="3">
        <f t="shared" si="6"/>
        <v>5.2</v>
      </c>
      <c r="AH46" s="3">
        <f t="shared" si="7"/>
        <v>5.4</v>
      </c>
      <c r="AI46" s="3">
        <f t="shared" si="8"/>
        <v>5.4</v>
      </c>
    </row>
    <row r="47" spans="1:35" x14ac:dyDescent="0.2">
      <c r="A47" s="1">
        <v>45</v>
      </c>
      <c r="B47" s="1" t="s">
        <v>81</v>
      </c>
      <c r="C47" s="1"/>
      <c r="D47" s="16">
        <v>5.3867635720000644</v>
      </c>
      <c r="E47" s="16">
        <v>63.528081670000063</v>
      </c>
      <c r="F47" s="1"/>
      <c r="G47" s="2">
        <v>5</v>
      </c>
      <c r="H47" s="2">
        <v>5</v>
      </c>
      <c r="I47" s="2">
        <v>0</v>
      </c>
      <c r="J47" s="2">
        <v>48.064999999999998</v>
      </c>
      <c r="K47" s="11">
        <v>500</v>
      </c>
      <c r="L47" s="11">
        <v>500</v>
      </c>
      <c r="M47" s="2">
        <v>10</v>
      </c>
      <c r="N47" s="2">
        <v>100</v>
      </c>
      <c r="O47" s="2">
        <v>3</v>
      </c>
      <c r="P47" s="2">
        <v>5</v>
      </c>
      <c r="Q47" s="2">
        <v>5</v>
      </c>
      <c r="R47" s="2">
        <v>5.2</v>
      </c>
      <c r="S47" s="2">
        <v>5.2</v>
      </c>
      <c r="T47" s="2">
        <v>5.4</v>
      </c>
      <c r="U47" s="2">
        <v>5.4</v>
      </c>
      <c r="V47" s="3">
        <v>5</v>
      </c>
      <c r="W47" s="3">
        <v>5</v>
      </c>
      <c r="X47" s="3">
        <v>100</v>
      </c>
      <c r="Y47" s="3">
        <v>0</v>
      </c>
      <c r="Z47" s="3">
        <v>0</v>
      </c>
      <c r="AA47" s="3">
        <f t="shared" si="1"/>
        <v>10</v>
      </c>
      <c r="AB47" s="3">
        <v>0</v>
      </c>
      <c r="AC47" s="3">
        <f t="shared" si="2"/>
        <v>3</v>
      </c>
      <c r="AD47" s="3">
        <f t="shared" si="3"/>
        <v>5</v>
      </c>
      <c r="AE47" s="3">
        <f t="shared" si="4"/>
        <v>5</v>
      </c>
      <c r="AF47" s="3">
        <f t="shared" si="5"/>
        <v>5.2</v>
      </c>
      <c r="AG47" s="3">
        <f t="shared" si="6"/>
        <v>5.2</v>
      </c>
      <c r="AH47" s="3">
        <f t="shared" si="7"/>
        <v>5.4</v>
      </c>
      <c r="AI47" s="3">
        <f t="shared" si="8"/>
        <v>5.4</v>
      </c>
    </row>
    <row r="48" spans="1:35" x14ac:dyDescent="0.2">
      <c r="A48" s="1">
        <v>46</v>
      </c>
      <c r="B48" s="1" t="s">
        <v>94</v>
      </c>
      <c r="C48" s="1"/>
      <c r="D48" s="16">
        <v>2.8240461869792348</v>
      </c>
      <c r="E48" s="16">
        <v>60.486900453608072</v>
      </c>
      <c r="F48" s="1"/>
      <c r="G48" s="2">
        <v>5</v>
      </c>
      <c r="H48" s="2">
        <v>5</v>
      </c>
      <c r="I48" s="2">
        <v>0</v>
      </c>
      <c r="J48" s="2">
        <v>48.064999999999998</v>
      </c>
      <c r="K48" s="11">
        <v>500</v>
      </c>
      <c r="L48" s="11">
        <v>500</v>
      </c>
      <c r="M48" s="2">
        <v>10</v>
      </c>
      <c r="N48" s="2">
        <v>100</v>
      </c>
      <c r="O48" s="2">
        <v>3</v>
      </c>
      <c r="P48" s="2">
        <v>5</v>
      </c>
      <c r="Q48" s="2">
        <v>5</v>
      </c>
      <c r="R48" s="2">
        <v>5.2</v>
      </c>
      <c r="S48" s="2">
        <v>5.2</v>
      </c>
      <c r="T48" s="2">
        <v>5.4</v>
      </c>
      <c r="U48" s="2">
        <v>5.4</v>
      </c>
      <c r="V48" s="3">
        <v>5</v>
      </c>
      <c r="W48" s="3">
        <v>5</v>
      </c>
      <c r="X48" s="3">
        <v>100</v>
      </c>
      <c r="Y48" s="3">
        <v>0</v>
      </c>
      <c r="Z48" s="3">
        <v>0</v>
      </c>
      <c r="AA48" s="3">
        <f t="shared" si="1"/>
        <v>10</v>
      </c>
      <c r="AB48" s="3">
        <v>0</v>
      </c>
      <c r="AC48" s="3">
        <f t="shared" si="2"/>
        <v>3</v>
      </c>
      <c r="AD48" s="3">
        <f t="shared" si="3"/>
        <v>5</v>
      </c>
      <c r="AE48" s="3">
        <f t="shared" si="4"/>
        <v>5</v>
      </c>
      <c r="AF48" s="3">
        <f t="shared" si="5"/>
        <v>5.2</v>
      </c>
      <c r="AG48" s="3">
        <f t="shared" si="6"/>
        <v>5.2</v>
      </c>
      <c r="AH48" s="3">
        <f t="shared" si="7"/>
        <v>5.4</v>
      </c>
      <c r="AI48" s="3">
        <f t="shared" si="8"/>
        <v>5.4</v>
      </c>
    </row>
    <row r="49" spans="1:35" x14ac:dyDescent="0.2">
      <c r="A49" s="1">
        <v>47</v>
      </c>
      <c r="B49" s="1" t="s">
        <v>117</v>
      </c>
      <c r="C49" s="1" t="s">
        <v>335</v>
      </c>
      <c r="D49" s="22">
        <v>15.2599</v>
      </c>
      <c r="E49" s="22">
        <v>53.8</v>
      </c>
      <c r="F49" s="1"/>
      <c r="G49" s="2">
        <v>5</v>
      </c>
      <c r="H49" s="2">
        <v>5</v>
      </c>
      <c r="I49" s="2">
        <v>0</v>
      </c>
      <c r="J49" s="29">
        <v>1041.0509999999999</v>
      </c>
      <c r="K49" s="11">
        <v>500</v>
      </c>
      <c r="L49" s="11">
        <v>500</v>
      </c>
      <c r="M49" s="2">
        <v>10</v>
      </c>
      <c r="N49" s="2">
        <v>100</v>
      </c>
      <c r="O49" s="2">
        <v>2.9990000000000001</v>
      </c>
      <c r="P49" s="2">
        <v>5</v>
      </c>
      <c r="Q49" s="2">
        <v>5</v>
      </c>
      <c r="R49" s="2">
        <v>5.2</v>
      </c>
      <c r="S49" s="2">
        <v>5.2</v>
      </c>
      <c r="T49" s="2">
        <v>5.4</v>
      </c>
      <c r="U49" s="2">
        <v>5.4</v>
      </c>
      <c r="V49" s="3">
        <v>5</v>
      </c>
      <c r="W49" s="3">
        <v>5</v>
      </c>
      <c r="X49" s="3">
        <v>100</v>
      </c>
      <c r="Y49" s="3">
        <v>0</v>
      </c>
      <c r="Z49" s="3">
        <v>0</v>
      </c>
      <c r="AA49" s="3">
        <f t="shared" si="1"/>
        <v>10</v>
      </c>
      <c r="AB49" s="3">
        <v>0</v>
      </c>
      <c r="AC49" s="3">
        <f t="shared" si="2"/>
        <v>2.9990000000000001</v>
      </c>
      <c r="AD49" s="3">
        <f t="shared" si="3"/>
        <v>5</v>
      </c>
      <c r="AE49" s="3">
        <f t="shared" si="4"/>
        <v>5</v>
      </c>
      <c r="AF49" s="3">
        <f t="shared" si="5"/>
        <v>5.2</v>
      </c>
      <c r="AG49" s="3">
        <f t="shared" si="6"/>
        <v>5.2</v>
      </c>
      <c r="AH49" s="3">
        <f t="shared" si="7"/>
        <v>5.4</v>
      </c>
      <c r="AI49" s="3">
        <f t="shared" si="8"/>
        <v>5.4</v>
      </c>
    </row>
    <row r="50" spans="1:35" x14ac:dyDescent="0.2">
      <c r="A50" s="1">
        <v>48</v>
      </c>
      <c r="B50" s="1" t="s">
        <v>103</v>
      </c>
      <c r="C50" s="1"/>
      <c r="D50" s="16">
        <v>2.254149831737414</v>
      </c>
      <c r="E50" s="16">
        <v>58.839405675350093</v>
      </c>
      <c r="F50" s="1" t="s">
        <v>322</v>
      </c>
      <c r="G50" s="2">
        <v>5</v>
      </c>
      <c r="H50" s="2">
        <v>5</v>
      </c>
      <c r="I50" s="2">
        <v>0</v>
      </c>
      <c r="J50" s="2">
        <v>0</v>
      </c>
      <c r="K50" s="11">
        <v>500</v>
      </c>
      <c r="L50" s="11">
        <v>500</v>
      </c>
      <c r="M50" s="2">
        <v>10</v>
      </c>
      <c r="N50" s="2">
        <v>100</v>
      </c>
      <c r="O50" s="2">
        <v>3</v>
      </c>
      <c r="P50" s="2">
        <v>5</v>
      </c>
      <c r="Q50" s="2">
        <v>5</v>
      </c>
      <c r="R50" s="2">
        <v>5.2</v>
      </c>
      <c r="S50" s="2">
        <v>5.2</v>
      </c>
      <c r="T50" s="2">
        <v>5.4</v>
      </c>
      <c r="U50" s="2">
        <v>5.4</v>
      </c>
      <c r="V50" s="3">
        <v>5</v>
      </c>
      <c r="W50" s="3">
        <v>5</v>
      </c>
      <c r="X50" s="3">
        <v>100</v>
      </c>
      <c r="Y50" s="3">
        <v>0</v>
      </c>
      <c r="Z50" s="3">
        <v>0</v>
      </c>
      <c r="AA50" s="3">
        <f t="shared" si="1"/>
        <v>10</v>
      </c>
      <c r="AB50" s="3">
        <v>0</v>
      </c>
      <c r="AC50" s="3">
        <f t="shared" si="2"/>
        <v>3</v>
      </c>
      <c r="AD50" s="3">
        <f t="shared" si="3"/>
        <v>5</v>
      </c>
      <c r="AE50" s="3">
        <f t="shared" si="4"/>
        <v>5</v>
      </c>
      <c r="AF50" s="3">
        <f t="shared" si="5"/>
        <v>5.2</v>
      </c>
      <c r="AG50" s="3">
        <f t="shared" si="6"/>
        <v>5.2</v>
      </c>
      <c r="AH50" s="3">
        <f t="shared" si="7"/>
        <v>5.4</v>
      </c>
      <c r="AI50" s="3">
        <f t="shared" si="8"/>
        <v>5.4</v>
      </c>
    </row>
    <row r="51" spans="1:35" x14ac:dyDescent="0.2">
      <c r="A51" s="1">
        <v>49</v>
      </c>
      <c r="B51" s="1" t="s">
        <v>76</v>
      </c>
      <c r="C51" s="1"/>
      <c r="D51" s="16">
        <v>7.6558328198016818</v>
      </c>
      <c r="E51" s="16">
        <v>65.693743899121472</v>
      </c>
      <c r="F51" s="1" t="s">
        <v>322</v>
      </c>
      <c r="G51" s="2">
        <v>5</v>
      </c>
      <c r="H51" s="2">
        <v>5</v>
      </c>
      <c r="I51" s="2">
        <v>0</v>
      </c>
      <c r="J51" s="2">
        <v>48.064999999999998</v>
      </c>
      <c r="K51" s="11">
        <v>500</v>
      </c>
      <c r="L51" s="11">
        <v>500</v>
      </c>
      <c r="M51" s="2">
        <v>10</v>
      </c>
      <c r="N51" s="2">
        <v>100</v>
      </c>
      <c r="O51" s="2">
        <v>3</v>
      </c>
      <c r="P51" s="2">
        <v>5</v>
      </c>
      <c r="Q51" s="2">
        <v>5</v>
      </c>
      <c r="R51" s="2">
        <v>5.2</v>
      </c>
      <c r="S51" s="2">
        <v>5.2</v>
      </c>
      <c r="T51" s="2">
        <v>5.4</v>
      </c>
      <c r="U51" s="2">
        <v>5.4</v>
      </c>
      <c r="V51" s="3">
        <v>5</v>
      </c>
      <c r="W51" s="3">
        <v>5</v>
      </c>
      <c r="X51" s="3">
        <v>100</v>
      </c>
      <c r="Y51" s="3">
        <v>0</v>
      </c>
      <c r="Z51" s="3">
        <v>0</v>
      </c>
      <c r="AA51" s="3">
        <f t="shared" si="1"/>
        <v>10</v>
      </c>
      <c r="AB51" s="3">
        <v>0</v>
      </c>
      <c r="AC51" s="3">
        <f t="shared" si="2"/>
        <v>3</v>
      </c>
      <c r="AD51" s="3">
        <f t="shared" si="3"/>
        <v>5</v>
      </c>
      <c r="AE51" s="3">
        <f t="shared" si="4"/>
        <v>5</v>
      </c>
      <c r="AF51" s="3">
        <f t="shared" si="5"/>
        <v>5.2</v>
      </c>
      <c r="AG51" s="3">
        <f t="shared" si="6"/>
        <v>5.2</v>
      </c>
      <c r="AH51" s="3">
        <f t="shared" si="7"/>
        <v>5.4</v>
      </c>
      <c r="AI51" s="3">
        <f t="shared" si="8"/>
        <v>5.4</v>
      </c>
    </row>
    <row r="52" spans="1:35" x14ac:dyDescent="0.2">
      <c r="A52" s="1">
        <v>50</v>
      </c>
      <c r="B52" s="1" t="s">
        <v>104</v>
      </c>
      <c r="C52" s="1"/>
      <c r="D52" s="22">
        <v>1.898765933579508</v>
      </c>
      <c r="E52" s="22">
        <v>58.370533807717997</v>
      </c>
      <c r="F52" s="1"/>
      <c r="G52" s="2">
        <v>5</v>
      </c>
      <c r="H52" s="2">
        <v>5</v>
      </c>
      <c r="I52" s="2">
        <v>0</v>
      </c>
      <c r="J52" s="2">
        <v>291.70999999999998</v>
      </c>
      <c r="K52" s="11">
        <v>500</v>
      </c>
      <c r="L52" s="11">
        <v>500</v>
      </c>
      <c r="M52" s="2">
        <v>10</v>
      </c>
      <c r="N52" s="2">
        <v>100</v>
      </c>
      <c r="O52" s="2">
        <v>3</v>
      </c>
      <c r="P52" s="2">
        <v>5</v>
      </c>
      <c r="Q52" s="2">
        <v>5</v>
      </c>
      <c r="R52" s="2">
        <v>5.2</v>
      </c>
      <c r="S52" s="2">
        <v>5.2</v>
      </c>
      <c r="T52" s="2">
        <v>5.4</v>
      </c>
      <c r="U52" s="2">
        <v>5.4</v>
      </c>
      <c r="V52" s="3">
        <v>5</v>
      </c>
      <c r="W52" s="3">
        <v>5</v>
      </c>
      <c r="X52" s="3">
        <v>100</v>
      </c>
      <c r="Y52" s="3">
        <v>0</v>
      </c>
      <c r="Z52" s="3">
        <v>0</v>
      </c>
      <c r="AA52" s="3">
        <f t="shared" si="1"/>
        <v>10</v>
      </c>
      <c r="AB52" s="3">
        <v>0</v>
      </c>
      <c r="AC52" s="3">
        <f t="shared" si="2"/>
        <v>3</v>
      </c>
      <c r="AD52" s="3">
        <f t="shared" si="3"/>
        <v>5</v>
      </c>
      <c r="AE52" s="3">
        <f t="shared" si="4"/>
        <v>5</v>
      </c>
      <c r="AF52" s="3">
        <f t="shared" si="5"/>
        <v>5.2</v>
      </c>
      <c r="AG52" s="3">
        <f t="shared" si="6"/>
        <v>5.2</v>
      </c>
      <c r="AH52" s="3">
        <f t="shared" si="7"/>
        <v>5.4</v>
      </c>
      <c r="AI52" s="3">
        <f t="shared" si="8"/>
        <v>5.4</v>
      </c>
    </row>
    <row r="53" spans="1:35" x14ac:dyDescent="0.2">
      <c r="A53" s="1">
        <v>51</v>
      </c>
      <c r="B53" s="1" t="s">
        <v>105</v>
      </c>
      <c r="C53" s="1"/>
      <c r="D53" s="22">
        <v>1.915866396996226</v>
      </c>
      <c r="E53" s="22">
        <v>58.364944173837479</v>
      </c>
      <c r="F53" s="1"/>
      <c r="G53" s="2">
        <v>5</v>
      </c>
      <c r="H53" s="2">
        <v>5</v>
      </c>
      <c r="I53" s="2">
        <v>0</v>
      </c>
      <c r="J53" s="2">
        <v>1.974</v>
      </c>
      <c r="K53" s="11">
        <v>500</v>
      </c>
      <c r="L53" s="11">
        <v>500</v>
      </c>
      <c r="M53" s="2">
        <v>10</v>
      </c>
      <c r="N53" s="2">
        <v>100</v>
      </c>
      <c r="O53" s="2">
        <v>3</v>
      </c>
      <c r="P53" s="2">
        <v>5</v>
      </c>
      <c r="Q53" s="2">
        <v>5</v>
      </c>
      <c r="R53" s="2">
        <v>5.2</v>
      </c>
      <c r="S53" s="2">
        <v>5.2</v>
      </c>
      <c r="T53" s="2">
        <v>5.4</v>
      </c>
      <c r="U53" s="2">
        <v>5.4</v>
      </c>
      <c r="V53" s="3">
        <v>5</v>
      </c>
      <c r="W53" s="3">
        <v>5</v>
      </c>
      <c r="X53" s="3">
        <v>100</v>
      </c>
      <c r="Y53" s="3">
        <v>0</v>
      </c>
      <c r="Z53" s="3">
        <v>0</v>
      </c>
      <c r="AA53" s="3">
        <f t="shared" si="1"/>
        <v>10</v>
      </c>
      <c r="AB53" s="3">
        <v>0</v>
      </c>
      <c r="AC53" s="3">
        <f t="shared" si="2"/>
        <v>3</v>
      </c>
      <c r="AD53" s="3">
        <f t="shared" si="3"/>
        <v>5</v>
      </c>
      <c r="AE53" s="3">
        <f t="shared" si="4"/>
        <v>5</v>
      </c>
      <c r="AF53" s="3">
        <f t="shared" si="5"/>
        <v>5.2</v>
      </c>
      <c r="AG53" s="3">
        <f t="shared" si="6"/>
        <v>5.2</v>
      </c>
      <c r="AH53" s="3">
        <f t="shared" si="7"/>
        <v>5.4</v>
      </c>
      <c r="AI53" s="3">
        <f t="shared" si="8"/>
        <v>5.4</v>
      </c>
    </row>
    <row r="54" spans="1:35" x14ac:dyDescent="0.2">
      <c r="A54" s="1">
        <v>52</v>
      </c>
      <c r="B54" s="1" t="s">
        <v>109</v>
      </c>
      <c r="C54" s="1" t="s">
        <v>335</v>
      </c>
      <c r="D54" s="22">
        <v>-1.8256509999999999</v>
      </c>
      <c r="E54" s="22">
        <v>57.579971</v>
      </c>
      <c r="F54" s="1"/>
      <c r="G54" s="2">
        <v>5</v>
      </c>
      <c r="H54" s="2">
        <v>5</v>
      </c>
      <c r="I54" s="2">
        <v>0</v>
      </c>
      <c r="J54" s="2">
        <v>0</v>
      </c>
      <c r="K54" s="11">
        <v>500</v>
      </c>
      <c r="L54" s="11">
        <v>500</v>
      </c>
      <c r="M54" s="2">
        <v>10</v>
      </c>
      <c r="N54" s="2">
        <v>100</v>
      </c>
      <c r="O54" s="2">
        <v>2.9990000000000001</v>
      </c>
      <c r="P54" s="2">
        <v>5</v>
      </c>
      <c r="Q54" s="2">
        <v>5</v>
      </c>
      <c r="R54" s="2">
        <v>5.2</v>
      </c>
      <c r="S54" s="2">
        <v>5.2</v>
      </c>
      <c r="T54" s="2">
        <v>5.4</v>
      </c>
      <c r="U54" s="2">
        <v>5.4</v>
      </c>
      <c r="V54" s="3">
        <v>5</v>
      </c>
      <c r="W54" s="3">
        <v>5</v>
      </c>
      <c r="X54" s="3">
        <v>100</v>
      </c>
      <c r="Y54" s="3">
        <v>0</v>
      </c>
      <c r="Z54" s="3">
        <v>0</v>
      </c>
      <c r="AA54" s="3">
        <f t="shared" si="1"/>
        <v>10</v>
      </c>
      <c r="AB54" s="3">
        <v>0</v>
      </c>
      <c r="AC54" s="3">
        <f t="shared" si="2"/>
        <v>2.9990000000000001</v>
      </c>
      <c r="AD54" s="3">
        <f t="shared" si="3"/>
        <v>5</v>
      </c>
      <c r="AE54" s="3">
        <f t="shared" si="4"/>
        <v>5</v>
      </c>
      <c r="AF54" s="3">
        <f t="shared" si="5"/>
        <v>5.2</v>
      </c>
      <c r="AG54" s="3">
        <f t="shared" si="6"/>
        <v>5.2</v>
      </c>
      <c r="AH54" s="3">
        <f t="shared" si="7"/>
        <v>5.4</v>
      </c>
      <c r="AI54" s="3">
        <f t="shared" si="8"/>
        <v>5.4</v>
      </c>
    </row>
    <row r="55" spans="1:35" x14ac:dyDescent="0.2">
      <c r="A55" s="1">
        <v>53</v>
      </c>
      <c r="B55" s="1" t="s">
        <v>86</v>
      </c>
      <c r="C55" s="1"/>
      <c r="D55" s="16">
        <v>1.845936000000052</v>
      </c>
      <c r="E55" s="16">
        <v>61.185830000000067</v>
      </c>
      <c r="F55" s="1"/>
      <c r="G55" s="2">
        <v>5</v>
      </c>
      <c r="H55" s="2">
        <v>5</v>
      </c>
      <c r="I55" s="2">
        <v>0</v>
      </c>
      <c r="J55" s="2">
        <v>0</v>
      </c>
      <c r="K55" s="11">
        <v>500</v>
      </c>
      <c r="L55" s="11">
        <v>500</v>
      </c>
      <c r="M55" s="2">
        <v>10</v>
      </c>
      <c r="N55" s="2">
        <v>100</v>
      </c>
      <c r="O55" s="2">
        <v>3</v>
      </c>
      <c r="P55" s="2">
        <v>5</v>
      </c>
      <c r="Q55" s="2">
        <v>5</v>
      </c>
      <c r="R55" s="2">
        <v>5.2</v>
      </c>
      <c r="S55" s="2">
        <v>5.2</v>
      </c>
      <c r="T55" s="2">
        <v>5.4</v>
      </c>
      <c r="U55" s="2">
        <v>5.4</v>
      </c>
      <c r="V55" s="3">
        <v>5</v>
      </c>
      <c r="W55" s="3">
        <v>5</v>
      </c>
      <c r="X55" s="3">
        <v>100</v>
      </c>
      <c r="Y55" s="3">
        <v>0</v>
      </c>
      <c r="Z55" s="3">
        <v>0</v>
      </c>
      <c r="AA55" s="3">
        <f t="shared" si="1"/>
        <v>10</v>
      </c>
      <c r="AB55" s="3">
        <v>0</v>
      </c>
      <c r="AC55" s="3">
        <f t="shared" si="2"/>
        <v>3</v>
      </c>
      <c r="AD55" s="3">
        <f t="shared" si="3"/>
        <v>5</v>
      </c>
      <c r="AE55" s="3">
        <f t="shared" si="4"/>
        <v>5</v>
      </c>
      <c r="AF55" s="3">
        <f t="shared" si="5"/>
        <v>5.2</v>
      </c>
      <c r="AG55" s="3">
        <f t="shared" si="6"/>
        <v>5.2</v>
      </c>
      <c r="AH55" s="3">
        <f t="shared" si="7"/>
        <v>5.4</v>
      </c>
      <c r="AI55" s="3">
        <f t="shared" si="8"/>
        <v>5.4</v>
      </c>
    </row>
    <row r="56" spans="1:35" x14ac:dyDescent="0.2">
      <c r="A56" s="1">
        <v>54</v>
      </c>
      <c r="B56" s="1" t="s">
        <v>85</v>
      </c>
      <c r="C56" s="1"/>
      <c r="D56" s="16">
        <v>1.8315257775840801</v>
      </c>
      <c r="E56" s="16">
        <v>61.20244504760155</v>
      </c>
      <c r="F56" s="1"/>
      <c r="G56" s="2">
        <v>5</v>
      </c>
      <c r="H56" s="2">
        <v>5</v>
      </c>
      <c r="I56" s="2">
        <v>5</v>
      </c>
      <c r="J56" s="2">
        <v>0</v>
      </c>
      <c r="K56" s="11">
        <v>500</v>
      </c>
      <c r="L56" s="11">
        <v>500</v>
      </c>
      <c r="M56" s="2">
        <v>10</v>
      </c>
      <c r="N56" s="2">
        <v>100</v>
      </c>
      <c r="O56" s="2">
        <v>3</v>
      </c>
      <c r="P56" s="2">
        <v>5</v>
      </c>
      <c r="Q56" s="2">
        <v>5</v>
      </c>
      <c r="R56" s="2">
        <v>5.2</v>
      </c>
      <c r="S56" s="2">
        <v>5.2</v>
      </c>
      <c r="T56" s="2">
        <v>5.4</v>
      </c>
      <c r="U56" s="2">
        <v>5.4</v>
      </c>
      <c r="V56" s="3">
        <v>5</v>
      </c>
      <c r="W56" s="3">
        <v>5</v>
      </c>
      <c r="X56" s="3">
        <v>100</v>
      </c>
      <c r="Y56" s="3">
        <v>0</v>
      </c>
      <c r="Z56" s="3">
        <v>0</v>
      </c>
      <c r="AA56" s="3">
        <f t="shared" si="1"/>
        <v>10</v>
      </c>
      <c r="AB56" s="3">
        <v>0</v>
      </c>
      <c r="AC56" s="3">
        <f t="shared" si="2"/>
        <v>3</v>
      </c>
      <c r="AD56" s="3">
        <f t="shared" si="3"/>
        <v>5</v>
      </c>
      <c r="AE56" s="3">
        <f t="shared" si="4"/>
        <v>5</v>
      </c>
      <c r="AF56" s="3">
        <f t="shared" si="5"/>
        <v>5.2</v>
      </c>
      <c r="AG56" s="3">
        <f t="shared" si="6"/>
        <v>5.2</v>
      </c>
      <c r="AH56" s="3">
        <f t="shared" si="7"/>
        <v>5.4</v>
      </c>
      <c r="AI56" s="3">
        <f t="shared" si="8"/>
        <v>5.4</v>
      </c>
    </row>
    <row r="57" spans="1:35" x14ac:dyDescent="0.2">
      <c r="A57" s="1">
        <v>55</v>
      </c>
      <c r="B57" s="1" t="s">
        <v>115</v>
      </c>
      <c r="C57" s="1" t="s">
        <v>335</v>
      </c>
      <c r="D57" s="22">
        <v>-1.104584</v>
      </c>
      <c r="E57" s="22">
        <v>54.624600000000001</v>
      </c>
      <c r="F57" s="1"/>
      <c r="G57" s="2">
        <v>5</v>
      </c>
      <c r="H57" s="2">
        <v>5</v>
      </c>
      <c r="I57" s="2">
        <v>0</v>
      </c>
      <c r="J57" s="2">
        <v>222.233</v>
      </c>
      <c r="K57" s="11">
        <v>500</v>
      </c>
      <c r="L57" s="11">
        <v>500</v>
      </c>
      <c r="M57" s="2">
        <v>10</v>
      </c>
      <c r="N57" s="2">
        <v>100</v>
      </c>
      <c r="O57" s="2">
        <v>2.9990000000000001</v>
      </c>
      <c r="P57" s="2">
        <v>5</v>
      </c>
      <c r="Q57" s="2">
        <v>5</v>
      </c>
      <c r="R57" s="2">
        <v>5.2</v>
      </c>
      <c r="S57" s="2">
        <v>5.2</v>
      </c>
      <c r="T57" s="2">
        <v>5.4</v>
      </c>
      <c r="U57" s="2">
        <v>5.4</v>
      </c>
      <c r="V57" s="3">
        <v>5</v>
      </c>
      <c r="W57" s="3">
        <v>5</v>
      </c>
      <c r="X57" s="3">
        <v>100</v>
      </c>
      <c r="Y57" s="3">
        <v>0</v>
      </c>
      <c r="Z57" s="3">
        <v>0</v>
      </c>
      <c r="AA57" s="3">
        <f t="shared" si="1"/>
        <v>10</v>
      </c>
      <c r="AB57" s="3">
        <v>0</v>
      </c>
      <c r="AC57" s="3">
        <f t="shared" si="2"/>
        <v>2.9990000000000001</v>
      </c>
      <c r="AD57" s="3">
        <f t="shared" si="3"/>
        <v>5</v>
      </c>
      <c r="AE57" s="3">
        <f t="shared" si="4"/>
        <v>5</v>
      </c>
      <c r="AF57" s="3">
        <f t="shared" si="5"/>
        <v>5.2</v>
      </c>
      <c r="AG57" s="3">
        <f t="shared" si="6"/>
        <v>5.2</v>
      </c>
      <c r="AH57" s="3">
        <f t="shared" si="7"/>
        <v>5.4</v>
      </c>
      <c r="AI57" s="3">
        <f t="shared" si="8"/>
        <v>5.4</v>
      </c>
    </row>
    <row r="58" spans="1:35" x14ac:dyDescent="0.2">
      <c r="A58" s="1">
        <v>56</v>
      </c>
      <c r="B58" s="1" t="s">
        <v>83</v>
      </c>
      <c r="C58" s="1"/>
      <c r="D58" s="16">
        <v>8.6582155394689266</v>
      </c>
      <c r="E58" s="16">
        <v>63.398890962560763</v>
      </c>
      <c r="F58" s="1" t="s">
        <v>322</v>
      </c>
      <c r="G58" s="2">
        <v>5</v>
      </c>
      <c r="H58" s="2">
        <v>5</v>
      </c>
      <c r="I58" s="2">
        <v>0</v>
      </c>
      <c r="J58" s="2">
        <v>0</v>
      </c>
      <c r="K58" s="11">
        <v>500</v>
      </c>
      <c r="L58" s="11">
        <v>500</v>
      </c>
      <c r="M58" s="2">
        <v>10</v>
      </c>
      <c r="N58" s="2">
        <v>100</v>
      </c>
      <c r="O58" s="2">
        <v>3</v>
      </c>
      <c r="P58" s="2">
        <v>5</v>
      </c>
      <c r="Q58" s="2">
        <v>5</v>
      </c>
      <c r="R58" s="2">
        <v>5.2</v>
      </c>
      <c r="S58" s="2">
        <v>5.2</v>
      </c>
      <c r="T58" s="2">
        <v>5.4</v>
      </c>
      <c r="U58" s="2">
        <v>5.4</v>
      </c>
      <c r="V58" s="3">
        <v>5</v>
      </c>
      <c r="W58" s="3">
        <v>5</v>
      </c>
      <c r="X58" s="3">
        <v>100</v>
      </c>
      <c r="Y58" s="3">
        <v>0</v>
      </c>
      <c r="Z58" s="3">
        <v>0</v>
      </c>
      <c r="AA58" s="3">
        <f t="shared" si="1"/>
        <v>10</v>
      </c>
      <c r="AB58" s="3">
        <v>0</v>
      </c>
      <c r="AC58" s="3">
        <f t="shared" si="2"/>
        <v>3</v>
      </c>
      <c r="AD58" s="3">
        <f t="shared" si="3"/>
        <v>5</v>
      </c>
      <c r="AE58" s="3">
        <f t="shared" si="4"/>
        <v>5</v>
      </c>
      <c r="AF58" s="3">
        <f t="shared" si="5"/>
        <v>5.2</v>
      </c>
      <c r="AG58" s="3">
        <f t="shared" si="6"/>
        <v>5.2</v>
      </c>
      <c r="AH58" s="3">
        <f t="shared" si="7"/>
        <v>5.4</v>
      </c>
      <c r="AI58" s="3">
        <f t="shared" si="8"/>
        <v>5.4</v>
      </c>
    </row>
    <row r="59" spans="1:35" x14ac:dyDescent="0.2">
      <c r="A59" s="1">
        <v>57</v>
      </c>
      <c r="B59" s="1" t="s">
        <v>90</v>
      </c>
      <c r="C59" s="1"/>
      <c r="D59" s="16">
        <v>4.835830000000044</v>
      </c>
      <c r="E59" s="16">
        <v>60.550175000000081</v>
      </c>
      <c r="F59" s="1"/>
      <c r="G59" s="2">
        <v>5</v>
      </c>
      <c r="H59" s="2">
        <v>5</v>
      </c>
      <c r="I59" s="2">
        <v>0</v>
      </c>
      <c r="J59" s="2">
        <v>2628.125</v>
      </c>
      <c r="K59" s="11">
        <v>500</v>
      </c>
      <c r="L59" s="11">
        <v>500</v>
      </c>
      <c r="M59" s="2">
        <v>10</v>
      </c>
      <c r="N59" s="2">
        <v>100</v>
      </c>
      <c r="O59" s="2">
        <v>3</v>
      </c>
      <c r="P59" s="2">
        <v>5</v>
      </c>
      <c r="Q59" s="2">
        <v>5</v>
      </c>
      <c r="R59" s="2">
        <v>5.2</v>
      </c>
      <c r="S59" s="2">
        <v>5.2</v>
      </c>
      <c r="T59" s="2">
        <v>5.4</v>
      </c>
      <c r="U59" s="2">
        <v>5.4</v>
      </c>
      <c r="V59" s="3">
        <v>5</v>
      </c>
      <c r="W59" s="3">
        <v>5</v>
      </c>
      <c r="X59" s="3">
        <v>100</v>
      </c>
      <c r="Y59" s="3">
        <v>0</v>
      </c>
      <c r="Z59" s="3">
        <v>0</v>
      </c>
      <c r="AA59" s="3">
        <f t="shared" si="1"/>
        <v>10</v>
      </c>
      <c r="AB59" s="3">
        <v>0</v>
      </c>
      <c r="AC59" s="3">
        <f t="shared" si="2"/>
        <v>3</v>
      </c>
      <c r="AD59" s="3">
        <f t="shared" si="3"/>
        <v>5</v>
      </c>
      <c r="AE59" s="3">
        <f t="shared" si="4"/>
        <v>5</v>
      </c>
      <c r="AF59" s="3">
        <f t="shared" si="5"/>
        <v>5.2</v>
      </c>
      <c r="AG59" s="3">
        <f t="shared" si="6"/>
        <v>5.2</v>
      </c>
      <c r="AH59" s="3">
        <f t="shared" si="7"/>
        <v>5.4</v>
      </c>
      <c r="AI59" s="3">
        <f t="shared" si="8"/>
        <v>5.4</v>
      </c>
    </row>
    <row r="60" spans="1:35" x14ac:dyDescent="0.2">
      <c r="A60" s="1">
        <v>58</v>
      </c>
      <c r="B60" s="1" t="s">
        <v>121</v>
      </c>
      <c r="C60" s="1" t="s">
        <v>335</v>
      </c>
      <c r="D60" s="22">
        <v>3.229797000000076</v>
      </c>
      <c r="E60" s="22">
        <v>51.350508000000048</v>
      </c>
      <c r="F60" s="1"/>
      <c r="G60" s="2">
        <v>5</v>
      </c>
      <c r="H60" s="2">
        <v>5</v>
      </c>
      <c r="I60" s="2">
        <v>0</v>
      </c>
      <c r="J60" s="2">
        <v>48.064999999999998</v>
      </c>
      <c r="K60" s="11">
        <v>500</v>
      </c>
      <c r="L60" s="11">
        <v>500</v>
      </c>
      <c r="M60" s="2">
        <v>10</v>
      </c>
      <c r="N60" s="2">
        <v>100</v>
      </c>
      <c r="O60" s="2">
        <v>2.9990000000000001</v>
      </c>
      <c r="P60" s="2">
        <v>5</v>
      </c>
      <c r="Q60" s="2">
        <v>5</v>
      </c>
      <c r="R60" s="2">
        <v>5.2</v>
      </c>
      <c r="S60" s="2">
        <v>5.2</v>
      </c>
      <c r="T60" s="2">
        <v>5.4</v>
      </c>
      <c r="U60" s="2">
        <v>5.4</v>
      </c>
      <c r="V60" s="3">
        <v>5</v>
      </c>
      <c r="W60" s="3">
        <v>5</v>
      </c>
      <c r="X60" s="3">
        <v>100</v>
      </c>
      <c r="Y60" s="3">
        <v>0</v>
      </c>
      <c r="Z60" s="3">
        <v>0</v>
      </c>
      <c r="AA60" s="3">
        <f t="shared" si="1"/>
        <v>10</v>
      </c>
      <c r="AB60" s="3">
        <v>0</v>
      </c>
      <c r="AC60" s="3">
        <f t="shared" si="2"/>
        <v>2.9990000000000001</v>
      </c>
      <c r="AD60" s="3">
        <f t="shared" si="3"/>
        <v>5</v>
      </c>
      <c r="AE60" s="3">
        <f t="shared" si="4"/>
        <v>5</v>
      </c>
      <c r="AF60" s="3">
        <f t="shared" si="5"/>
        <v>5.2</v>
      </c>
      <c r="AG60" s="3">
        <f t="shared" si="6"/>
        <v>5.2</v>
      </c>
      <c r="AH60" s="3">
        <f t="shared" si="7"/>
        <v>5.4</v>
      </c>
      <c r="AI60" s="3">
        <f t="shared" si="8"/>
        <v>5.4</v>
      </c>
    </row>
    <row r="61" spans="1:35" x14ac:dyDescent="0.2">
      <c r="A61" s="1">
        <v>59</v>
      </c>
      <c r="B61" s="1" t="s">
        <v>114</v>
      </c>
      <c r="C61" s="1"/>
      <c r="D61" s="22">
        <v>3.2998160000000212</v>
      </c>
      <c r="E61" s="22">
        <v>54.789494000000047</v>
      </c>
      <c r="F61" s="1"/>
      <c r="G61" s="2">
        <v>5</v>
      </c>
      <c r="H61" s="2">
        <v>5</v>
      </c>
      <c r="I61" s="2">
        <v>0</v>
      </c>
      <c r="J61" s="2">
        <v>0</v>
      </c>
      <c r="K61" s="11">
        <v>500</v>
      </c>
      <c r="L61" s="11">
        <v>500</v>
      </c>
      <c r="M61" s="2">
        <v>10</v>
      </c>
      <c r="N61" s="2">
        <v>100</v>
      </c>
      <c r="O61" s="2">
        <v>3</v>
      </c>
      <c r="P61" s="2">
        <v>5</v>
      </c>
      <c r="Q61" s="2">
        <v>5</v>
      </c>
      <c r="R61" s="2">
        <v>5.2</v>
      </c>
      <c r="S61" s="2">
        <v>5.2</v>
      </c>
      <c r="T61" s="2">
        <v>5.4</v>
      </c>
      <c r="U61" s="2">
        <v>5.4</v>
      </c>
      <c r="V61" s="3">
        <v>5</v>
      </c>
      <c r="W61" s="3">
        <v>5</v>
      </c>
      <c r="X61" s="3">
        <v>100</v>
      </c>
      <c r="Y61" s="3">
        <v>0</v>
      </c>
      <c r="Z61" s="3">
        <v>0</v>
      </c>
      <c r="AA61" s="3">
        <f t="shared" si="1"/>
        <v>10</v>
      </c>
      <c r="AB61" s="3">
        <v>0</v>
      </c>
      <c r="AC61" s="3">
        <f t="shared" si="2"/>
        <v>3</v>
      </c>
      <c r="AD61" s="3">
        <f t="shared" si="3"/>
        <v>5</v>
      </c>
      <c r="AE61" s="3">
        <f t="shared" si="4"/>
        <v>5</v>
      </c>
      <c r="AF61" s="3">
        <f t="shared" si="5"/>
        <v>5.2</v>
      </c>
      <c r="AG61" s="3">
        <f t="shared" si="6"/>
        <v>5.2</v>
      </c>
      <c r="AH61" s="3">
        <f t="shared" si="7"/>
        <v>5.4</v>
      </c>
      <c r="AI61" s="3">
        <f t="shared" si="8"/>
        <v>5.4</v>
      </c>
    </row>
    <row r="64" spans="1:35" x14ac:dyDescent="0.2">
      <c r="H64" t="s">
        <v>323</v>
      </c>
      <c r="I64">
        <f>SUM(I3:I61)-SUMIF(F3:F61,"Los",I3:I61)</f>
        <v>5</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E2" sqref="E2"/>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2"/>
  <sheetViews>
    <sheetView zoomScale="180" zoomScaleNormal="180" workbookViewId="0">
      <selection activeCell="B6" sqref="B6"/>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3" zoomScale="160" zoomScaleNormal="160" workbookViewId="0">
      <selection activeCell="F38" sqref="F38"/>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tabSelected="1"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0</v>
      </c>
      <c r="B15" cm="1">
        <f t="array" ref="B15">SUM(IF(ISNUMBER(VLOOKUP(B2:B13,Nodes!$B$3:$I$61,8)),VLOOKUP(B2:B13,Nodes!$B$3:$I$61,8)))</f>
        <v>0</v>
      </c>
      <c r="C15" cm="1">
        <f t="array" ref="C15">SUM(IF(ISNUMBER(VLOOKUP(C2:C13,Nodes!$B$3:$I$61,8)),VLOOKUP(C2:C13,Nodes!$B$3:$I$61,8)))</f>
        <v>0</v>
      </c>
      <c r="D15" cm="1">
        <f t="array" ref="D15">SUM(IF(ISNUMBER(VLOOKUP(D2:D13,Nodes!$B$3:$I$61,8)),VLOOKUP(D2:D13,Nodes!$B$3:$I$61,8)))</f>
        <v>10</v>
      </c>
      <c r="E15" cm="1">
        <f t="array" ref="E15">SUM(IF(ISNUMBER(VLOOKUP(E2:E13,Nodes!$B$3:$I$61,8)),VLOOKUP(E2:E13,Nodes!$B$3:$I$61,8)))</f>
        <v>0</v>
      </c>
      <c r="F15" s="41" cm="1">
        <f t="array" ref="F15">SUM(IF(ISNUMBER(VLOOKUP(F2:F13,Nodes!$B$3:$I$61,8)),VLOOKUP(F2:F13,Nodes!$B$3:$I$61,8)))</f>
        <v>0</v>
      </c>
      <c r="G15" s="41" cm="1">
        <f t="array" ref="G15">SUM(IF(ISNUMBER(VLOOKUP(G2:G13,Nodes!$B$3:$I$61,8)),VLOOKUP(G2:G13,Nodes!$B$3:$I$61,8)))</f>
        <v>0</v>
      </c>
      <c r="H15" s="41" cm="1">
        <f t="array" ref="H15">SUM(IF(ISNUMBER(VLOOKUP(H2:H13,Nodes!$B$3:$I$61,8)),VLOOKUP(H2:H13,Nodes!$B$3:$I$61,8)))</f>
        <v>0</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6" sqref="F6"/>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f>0</f>
        <v>0</v>
      </c>
      <c r="D2">
        <f>0</f>
        <v>0</v>
      </c>
      <c r="E2">
        <f>0</f>
        <v>0</v>
      </c>
      <c r="F2">
        <f>0</f>
        <v>0</v>
      </c>
      <c r="G2">
        <f>0</f>
        <v>0</v>
      </c>
      <c r="H2">
        <f>0</f>
        <v>0</v>
      </c>
      <c r="I2">
        <f>0</f>
        <v>0</v>
      </c>
      <c r="K2">
        <f>HLOOKUP(A2,Traders!$A$1:$H$15,15,)</f>
        <v>0</v>
      </c>
      <c r="L2" cm="1">
        <f t="array" ref="L2">SUM(B2:I2*MAX('Demand Stage 1'!$B$5:$I$12))</f>
        <v>0</v>
      </c>
    </row>
    <row r="3" spans="1:12" x14ac:dyDescent="0.2">
      <c r="A3" t="s">
        <v>177</v>
      </c>
      <c r="B3">
        <f>0</f>
        <v>0</v>
      </c>
      <c r="C3">
        <f>0</f>
        <v>0</v>
      </c>
      <c r="D3">
        <f>0</f>
        <v>0</v>
      </c>
      <c r="E3">
        <f>0</f>
        <v>0</v>
      </c>
      <c r="F3">
        <f>0</f>
        <v>0</v>
      </c>
      <c r="G3">
        <f>0</f>
        <v>0</v>
      </c>
      <c r="H3">
        <f>0</f>
        <v>0</v>
      </c>
      <c r="I3">
        <f>0</f>
        <v>0</v>
      </c>
      <c r="K3">
        <f>HLOOKUP(A3,Traders!$A$1:$H$15,15,)</f>
        <v>0</v>
      </c>
      <c r="L3" cm="1">
        <f t="array" ref="L3">SUM(B3:I3*MAX('Demand Stage 1'!$B$5:$I$12))</f>
        <v>0</v>
      </c>
    </row>
    <row r="4" spans="1:12" x14ac:dyDescent="0.2">
      <c r="A4" t="s">
        <v>210</v>
      </c>
      <c r="B4">
        <f>0</f>
        <v>0</v>
      </c>
      <c r="C4">
        <f>0</f>
        <v>0</v>
      </c>
      <c r="D4">
        <f>0</f>
        <v>0</v>
      </c>
      <c r="E4">
        <f>0</f>
        <v>0</v>
      </c>
      <c r="F4">
        <f>0</f>
        <v>0</v>
      </c>
      <c r="G4">
        <f>0</f>
        <v>0</v>
      </c>
      <c r="H4">
        <f>0</f>
        <v>0</v>
      </c>
      <c r="I4">
        <f>0</f>
        <v>0</v>
      </c>
      <c r="K4">
        <f>HLOOKUP(A4,Traders!$A$1:$H$15,15,)</f>
        <v>0</v>
      </c>
      <c r="L4" cm="1">
        <f t="array" ref="L4">SUM(B4:I4*MAX('Demand Stage 1'!$B$5:$I$12))</f>
        <v>0</v>
      </c>
    </row>
    <row r="5" spans="1:12" x14ac:dyDescent="0.2">
      <c r="A5" t="s">
        <v>163</v>
      </c>
      <c r="B5">
        <v>0</v>
      </c>
      <c r="C5">
        <v>0</v>
      </c>
      <c r="D5">
        <v>0</v>
      </c>
      <c r="E5">
        <v>0</v>
      </c>
      <c r="F5">
        <v>0.1</v>
      </c>
      <c r="G5">
        <v>0</v>
      </c>
      <c r="H5">
        <v>0</v>
      </c>
      <c r="I5">
        <v>0</v>
      </c>
      <c r="K5">
        <f>HLOOKUP(A5,Traders!$A$1:$H$15,15,)</f>
        <v>10</v>
      </c>
      <c r="L5" cm="1">
        <f t="array" ref="L5">SUM(B5:I5*MAX('Demand Stage 1'!$B$5:$I$12))</f>
        <v>4.5</v>
      </c>
    </row>
    <row r="6" spans="1:12" x14ac:dyDescent="0.2">
      <c r="A6" t="s">
        <v>211</v>
      </c>
      <c r="B6">
        <f>0</f>
        <v>0</v>
      </c>
      <c r="C6">
        <f>0</f>
        <v>0</v>
      </c>
      <c r="D6">
        <f>0</f>
        <v>0</v>
      </c>
      <c r="E6">
        <f>0</f>
        <v>0</v>
      </c>
      <c r="F6">
        <f>0</f>
        <v>0</v>
      </c>
      <c r="G6">
        <f>0</f>
        <v>0</v>
      </c>
      <c r="H6">
        <f>0</f>
        <v>0</v>
      </c>
      <c r="I6">
        <f>0</f>
        <v>0</v>
      </c>
      <c r="K6">
        <f>HLOOKUP(A6,Traders!$A$1:$H$15,15,)</f>
        <v>0</v>
      </c>
      <c r="L6" cm="1">
        <f t="array" ref="L6">SUM(B6:I6*MAX('Demand Stage 1'!$B$5:$I$12))</f>
        <v>0</v>
      </c>
    </row>
    <row r="7" spans="1:12" x14ac:dyDescent="0.2">
      <c r="A7" t="s">
        <v>212</v>
      </c>
      <c r="B7">
        <f>0</f>
        <v>0</v>
      </c>
      <c r="C7">
        <f>0</f>
        <v>0</v>
      </c>
      <c r="D7">
        <f>0</f>
        <v>0</v>
      </c>
      <c r="E7">
        <f>0</f>
        <v>0</v>
      </c>
      <c r="F7">
        <f>0</f>
        <v>0</v>
      </c>
      <c r="G7">
        <f>0</f>
        <v>0</v>
      </c>
      <c r="H7">
        <f>0</f>
        <v>0</v>
      </c>
      <c r="I7">
        <f>0</f>
        <v>0</v>
      </c>
      <c r="K7">
        <f>HLOOKUP(A7,Traders!$A$1:$H$15,15,)</f>
        <v>0</v>
      </c>
      <c r="L7" cm="1">
        <f t="array" ref="L7">SUM(B7:I7*MAX('Demand Stage 1'!$B$5:$I$12))</f>
        <v>0</v>
      </c>
    </row>
    <row r="8" spans="1:12" x14ac:dyDescent="0.2">
      <c r="A8" t="s">
        <v>214</v>
      </c>
      <c r="B8">
        <f>0</f>
        <v>0</v>
      </c>
      <c r="C8">
        <f>0</f>
        <v>0</v>
      </c>
      <c r="D8">
        <f>0</f>
        <v>0</v>
      </c>
      <c r="E8">
        <f>0</f>
        <v>0</v>
      </c>
      <c r="F8">
        <f>0</f>
        <v>0</v>
      </c>
      <c r="G8">
        <f>0</f>
        <v>0</v>
      </c>
      <c r="H8">
        <f>0</f>
        <v>0</v>
      </c>
      <c r="I8">
        <f>0</f>
        <v>0</v>
      </c>
      <c r="K8">
        <f>HLOOKUP(A8,Traders!$A$1:$H$15,15,)</f>
        <v>0</v>
      </c>
      <c r="L8" cm="1">
        <f t="array" ref="L8">SUM(B8:I8*MAX('Demand Stage 1'!$B$5:$I$12))</f>
        <v>0</v>
      </c>
    </row>
    <row r="9" spans="1:12" ht="17" thickBot="1" x14ac:dyDescent="0.25">
      <c r="A9" s="40" t="s">
        <v>213</v>
      </c>
      <c r="B9">
        <f>0</f>
        <v>0</v>
      </c>
      <c r="C9">
        <f>0</f>
        <v>0</v>
      </c>
      <c r="D9">
        <f>0</f>
        <v>0</v>
      </c>
      <c r="E9">
        <f>0</f>
        <v>0</v>
      </c>
      <c r="F9">
        <f>0</f>
        <v>0</v>
      </c>
      <c r="G9">
        <f>0</f>
        <v>0</v>
      </c>
      <c r="H9">
        <f>0</f>
        <v>0</v>
      </c>
      <c r="I9">
        <f>0</f>
        <v>0</v>
      </c>
      <c r="J9" s="40"/>
      <c r="K9">
        <f>HLOOKUP(A9,Traders!$A$1:$H$15,15,)</f>
        <v>0</v>
      </c>
      <c r="L9" s="40" cm="1">
        <f t="array" ref="L9">SUM(B9:I9*MAX('Demand Stage 1'!$B$5:$I$12))</f>
        <v>0</v>
      </c>
    </row>
    <row r="10" spans="1:12" ht="17" thickTop="1" x14ac:dyDescent="0.2">
      <c r="A10" s="8" t="s">
        <v>308</v>
      </c>
      <c r="B10">
        <f>SUM(B2:B9)</f>
        <v>0</v>
      </c>
      <c r="C10">
        <f t="shared" ref="C10:I10" si="0">SUM(C2:C9)</f>
        <v>0</v>
      </c>
      <c r="D10">
        <f t="shared" si="0"/>
        <v>0</v>
      </c>
      <c r="E10">
        <f>SUM(E2:E9)</f>
        <v>0</v>
      </c>
      <c r="F10">
        <f>SUM(F2:F9)</f>
        <v>0.1</v>
      </c>
      <c r="G10">
        <f t="shared" si="0"/>
        <v>0</v>
      </c>
      <c r="H10">
        <f t="shared" si="0"/>
        <v>0</v>
      </c>
      <c r="I10">
        <f t="shared" si="0"/>
        <v>0</v>
      </c>
      <c r="L10" cm="1">
        <f t="array" ref="L10">SUM(B10:I10*MAX('Demand Stage 1'!$B$5:$I$12))</f>
        <v>4.5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3"/>
  <sheetViews>
    <sheetView workbookViewId="0">
      <selection activeCell="A5" sqref="A5"/>
    </sheetView>
  </sheetViews>
  <sheetFormatPr baseColWidth="10" defaultRowHeight="16" x14ac:dyDescent="0.2"/>
  <cols>
    <col min="1" max="1" width="21.5" bestFit="1" customWidth="1"/>
  </cols>
  <sheetData>
    <row r="1" spans="1:3" x14ac:dyDescent="0.2">
      <c r="A1" t="s">
        <v>110</v>
      </c>
      <c r="B1" s="55" t="s">
        <v>85</v>
      </c>
      <c r="C1" s="8" t="s">
        <v>26</v>
      </c>
    </row>
    <row r="2" spans="1:3" x14ac:dyDescent="0.2">
      <c r="A2">
        <v>0.1</v>
      </c>
      <c r="B2">
        <v>0.1</v>
      </c>
      <c r="C2">
        <v>0.5</v>
      </c>
    </row>
    <row r="3" spans="1:3" x14ac:dyDescent="0.2">
      <c r="A3">
        <v>0.2</v>
      </c>
      <c r="B3">
        <v>0.3</v>
      </c>
      <c r="C3">
        <v>0.5</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2025-03-31T12:13:30Z</dcterms:modified>
</cp:coreProperties>
</file>